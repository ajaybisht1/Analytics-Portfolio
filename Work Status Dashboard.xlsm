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jay.c.bisht\Desktop\"/>
    </mc:Choice>
  </mc:AlternateContent>
  <xr:revisionPtr revIDLastSave="0" documentId="13_ncr:1_{455E5BD7-0992-4787-9123-4AAC3C2298A0}" xr6:coauthVersionLast="47" xr6:coauthVersionMax="47" xr10:uidLastSave="{00000000-0000-0000-0000-000000000000}"/>
  <bookViews>
    <workbookView xWindow="-110" yWindow="-110" windowWidth="19420" windowHeight="10300" firstSheet="2" activeTab="5" xr2:uid="{00000000-000D-0000-FFFF-FFFF00000000}"/>
  </bookViews>
  <sheets>
    <sheet name="How to use" sheetId="19" r:id="rId1"/>
    <sheet name="Pending Activity 1" sheetId="20" r:id="rId2"/>
    <sheet name="Pending Activity 2" sheetId="21" r:id="rId3"/>
    <sheet name="Database_query_name" sheetId="8" r:id="rId4"/>
    <sheet name="Pending Activity 3 Ageing" sheetId="9" r:id="rId5"/>
    <sheet name="Processed Activity 3" sheetId="13" r:id="rId6"/>
    <sheet name="Site Allocation" sheetId="5" r:id="rId7"/>
  </sheets>
  <definedNames>
    <definedName name="_xlnm._FilterDatabase" localSheetId="3" hidden="1">Database_query_name!$H$1:$H$3739</definedName>
    <definedName name="_xlnm._FilterDatabase" localSheetId="1" hidden="1">'Pending Activity 1'!$J$1:$N$1000</definedName>
    <definedName name="_xlnm._FilterDatabase" localSheetId="2" hidden="1">'Pending Activity 2'!$N$1:$P$502</definedName>
    <definedName name="_xlnm._FilterDatabase" localSheetId="5" hidden="1">'Processed Activity 3'!$A$3:$D$9</definedName>
    <definedName name="_xlnm._FilterDatabase" localSheetId="6" hidden="1">'Site Allocation'!$A$1:$C$37</definedName>
    <definedName name="ExternalData_1" localSheetId="3" hidden="1">Database_query_name!$A$1:$G$3739</definedName>
  </definedNames>
  <calcPr calcId="191029"/>
  <pivotCaches>
    <pivotCache cacheId="0" r:id="rId8"/>
    <pivotCache cacheId="5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000" i="20" l="1"/>
  <c r="N999" i="20"/>
  <c r="N998" i="20"/>
  <c r="N997" i="20"/>
  <c r="N996" i="20"/>
  <c r="N995" i="20"/>
  <c r="N994" i="20"/>
  <c r="N993" i="20"/>
  <c r="N992" i="20"/>
  <c r="N991" i="20"/>
  <c r="N990" i="20"/>
  <c r="N989" i="20"/>
  <c r="N988" i="20"/>
  <c r="N987" i="20"/>
  <c r="N986" i="20"/>
  <c r="N985" i="20"/>
  <c r="N984" i="20"/>
  <c r="N983" i="20"/>
  <c r="N982" i="20"/>
  <c r="N981" i="20"/>
  <c r="N980" i="20"/>
  <c r="N979" i="20"/>
  <c r="N978" i="20"/>
  <c r="N977" i="20"/>
  <c r="N976" i="20"/>
  <c r="N975" i="20"/>
  <c r="N974" i="20"/>
  <c r="N973" i="20"/>
  <c r="N972" i="20"/>
  <c r="N971" i="20"/>
  <c r="N970" i="20"/>
  <c r="N969" i="20"/>
  <c r="N968" i="20"/>
  <c r="N967" i="20"/>
  <c r="N966" i="20"/>
  <c r="N965" i="20"/>
  <c r="N964" i="20"/>
  <c r="N963" i="20"/>
  <c r="N962" i="20"/>
  <c r="N961" i="20"/>
  <c r="N960" i="20"/>
  <c r="N959" i="20"/>
  <c r="N958" i="20"/>
  <c r="N957" i="20"/>
  <c r="N956" i="20"/>
  <c r="N955" i="20"/>
  <c r="N954" i="20"/>
  <c r="N953" i="20"/>
  <c r="N952" i="20"/>
  <c r="N951" i="20"/>
  <c r="N950" i="20"/>
  <c r="N949" i="20"/>
  <c r="N948" i="20"/>
  <c r="N947" i="20"/>
  <c r="N946" i="20"/>
  <c r="N945" i="20"/>
  <c r="N944" i="20"/>
  <c r="N943" i="20"/>
  <c r="N942" i="20"/>
  <c r="N941" i="20"/>
  <c r="N940" i="20"/>
  <c r="N939" i="20"/>
  <c r="N938" i="20"/>
  <c r="N937" i="20"/>
  <c r="N936" i="20"/>
  <c r="N935" i="20"/>
  <c r="N934" i="20"/>
  <c r="N933" i="20"/>
  <c r="N932" i="20"/>
  <c r="N931" i="20"/>
  <c r="N930" i="20"/>
  <c r="N929" i="20"/>
  <c r="N928" i="20"/>
  <c r="N927" i="20"/>
  <c r="N926" i="20"/>
  <c r="N925" i="20"/>
  <c r="N924" i="20"/>
  <c r="N923" i="20"/>
  <c r="N922" i="20"/>
  <c r="N921" i="20"/>
  <c r="N920" i="20"/>
  <c r="N919" i="20"/>
  <c r="N918" i="20"/>
  <c r="N917" i="20"/>
  <c r="N916" i="20"/>
  <c r="N915" i="20"/>
  <c r="N914" i="20"/>
  <c r="N913" i="20"/>
  <c r="N912" i="20"/>
  <c r="N911" i="20"/>
  <c r="N910" i="20"/>
  <c r="N909" i="20"/>
  <c r="N908" i="20"/>
  <c r="N907" i="20"/>
  <c r="N906" i="20"/>
  <c r="N905" i="20"/>
  <c r="N904" i="20"/>
  <c r="N903" i="20"/>
  <c r="N902" i="20"/>
  <c r="N901" i="20"/>
  <c r="N900" i="20"/>
  <c r="N899" i="20"/>
  <c r="N898" i="20"/>
  <c r="N897" i="20"/>
  <c r="N896" i="20"/>
  <c r="N895" i="20"/>
  <c r="N894" i="20"/>
  <c r="N893" i="20"/>
  <c r="N892" i="20"/>
  <c r="N891" i="20"/>
  <c r="N890" i="20"/>
  <c r="N889" i="20"/>
  <c r="N888" i="20"/>
  <c r="N887" i="20"/>
  <c r="N886" i="20"/>
  <c r="N885" i="20"/>
  <c r="N884" i="20"/>
  <c r="N883" i="20"/>
  <c r="N882" i="20"/>
  <c r="N881" i="20"/>
  <c r="N880" i="20"/>
  <c r="N879" i="20"/>
  <c r="N878" i="20"/>
  <c r="N877" i="20"/>
  <c r="N876" i="20"/>
  <c r="N875" i="20"/>
  <c r="N874" i="20"/>
  <c r="N873" i="20"/>
  <c r="N872" i="20"/>
  <c r="N871" i="20"/>
  <c r="N870" i="20"/>
  <c r="N869" i="20"/>
  <c r="N868" i="20"/>
  <c r="N867" i="20"/>
  <c r="N866" i="20"/>
  <c r="N865" i="20"/>
  <c r="N864" i="20"/>
  <c r="N863" i="20"/>
  <c r="N862" i="20"/>
  <c r="N861" i="20"/>
  <c r="N860" i="20"/>
  <c r="N859" i="20"/>
  <c r="N858" i="20"/>
  <c r="N857" i="20"/>
  <c r="N856" i="20"/>
  <c r="N855" i="20"/>
  <c r="N854" i="20"/>
  <c r="N853" i="20"/>
  <c r="N852" i="20"/>
  <c r="N851" i="20"/>
  <c r="N850" i="20"/>
  <c r="N849" i="20"/>
  <c r="N848" i="20"/>
  <c r="N847" i="20"/>
  <c r="N846" i="20"/>
  <c r="N845" i="20"/>
  <c r="N844" i="20"/>
  <c r="N843" i="20"/>
  <c r="N842" i="20"/>
  <c r="N841" i="20"/>
  <c r="N840" i="20"/>
  <c r="N839" i="20"/>
  <c r="N838" i="20"/>
  <c r="N837" i="20"/>
  <c r="N836" i="20"/>
  <c r="N835" i="20"/>
  <c r="N834" i="20"/>
  <c r="N833" i="20"/>
  <c r="N832" i="20"/>
  <c r="N831" i="20"/>
  <c r="N830" i="20"/>
  <c r="N829" i="20"/>
  <c r="N828" i="20"/>
  <c r="N827" i="20"/>
  <c r="N826" i="20"/>
  <c r="N825" i="20"/>
  <c r="N824" i="20"/>
  <c r="N823" i="20"/>
  <c r="N822" i="20"/>
  <c r="N821" i="20"/>
  <c r="N820" i="20"/>
  <c r="N819" i="20"/>
  <c r="N818" i="20"/>
  <c r="N817" i="20"/>
  <c r="N816" i="20"/>
  <c r="N815" i="20"/>
  <c r="N814" i="20"/>
  <c r="N813" i="20"/>
  <c r="N812" i="20"/>
  <c r="N811" i="20"/>
  <c r="N810" i="20"/>
  <c r="N809" i="20"/>
  <c r="N808" i="20"/>
  <c r="N807" i="20"/>
  <c r="N806" i="20"/>
  <c r="N805" i="20"/>
  <c r="N804" i="20"/>
  <c r="N803" i="20"/>
  <c r="N802" i="20"/>
  <c r="N801" i="20"/>
  <c r="N800" i="20"/>
  <c r="N799" i="20"/>
  <c r="N798" i="20"/>
  <c r="N797" i="20"/>
  <c r="N796" i="20"/>
  <c r="N795" i="20"/>
  <c r="N794" i="20"/>
  <c r="N793" i="20"/>
  <c r="N792" i="20"/>
  <c r="N791" i="20"/>
  <c r="N790" i="20"/>
  <c r="N789" i="20"/>
  <c r="N788" i="20"/>
  <c r="N787" i="20"/>
  <c r="N786" i="20"/>
  <c r="N785" i="20"/>
  <c r="N784" i="20"/>
  <c r="N783" i="20"/>
  <c r="N782" i="20"/>
  <c r="N781" i="20"/>
  <c r="N780" i="20"/>
  <c r="N779" i="20"/>
  <c r="N778" i="20"/>
  <c r="N777" i="20"/>
  <c r="N776" i="20"/>
  <c r="N775" i="20"/>
  <c r="N774" i="20"/>
  <c r="N773" i="20"/>
  <c r="N772" i="20"/>
  <c r="N771" i="20"/>
  <c r="N770" i="20"/>
  <c r="N769" i="20"/>
  <c r="N768" i="20"/>
  <c r="N767" i="20"/>
  <c r="N766" i="20"/>
  <c r="N765" i="20"/>
  <c r="N764" i="20"/>
  <c r="N763" i="20"/>
  <c r="N762" i="20"/>
  <c r="N761" i="20"/>
  <c r="N760" i="20"/>
  <c r="N759" i="20"/>
  <c r="N758" i="20"/>
  <c r="N757" i="20"/>
  <c r="N756" i="20"/>
  <c r="N755" i="20"/>
  <c r="N754" i="20"/>
  <c r="N753" i="20"/>
  <c r="N752" i="20"/>
  <c r="N751" i="20"/>
  <c r="N750" i="20"/>
  <c r="N749" i="20"/>
  <c r="N748" i="20"/>
  <c r="N747" i="20"/>
  <c r="N746" i="20"/>
  <c r="N745" i="20"/>
  <c r="N744" i="20"/>
  <c r="N743" i="20"/>
  <c r="N742" i="20"/>
  <c r="N741" i="20"/>
  <c r="N740" i="20"/>
  <c r="N739" i="20"/>
  <c r="N738" i="20"/>
  <c r="N737" i="20"/>
  <c r="N736" i="20"/>
  <c r="N735" i="20"/>
  <c r="N734" i="20"/>
  <c r="N733" i="20"/>
  <c r="N732" i="20"/>
  <c r="N731" i="20"/>
  <c r="N730" i="20"/>
  <c r="N729" i="20"/>
  <c r="N728" i="20"/>
  <c r="N727" i="20"/>
  <c r="N726" i="20"/>
  <c r="N725" i="20"/>
  <c r="N724" i="20"/>
  <c r="N723" i="20"/>
  <c r="N722" i="20"/>
  <c r="N721" i="20"/>
  <c r="N720" i="20"/>
  <c r="N719" i="20"/>
  <c r="N718" i="20"/>
  <c r="N717" i="20"/>
  <c r="N716" i="20"/>
  <c r="N715" i="20"/>
  <c r="N714" i="20"/>
  <c r="N713" i="20"/>
  <c r="N712" i="20"/>
  <c r="N711" i="20"/>
  <c r="N710" i="20"/>
  <c r="N709" i="20"/>
  <c r="N708" i="20"/>
  <c r="N707" i="20"/>
  <c r="N706" i="20"/>
  <c r="N705" i="20"/>
  <c r="N704" i="20"/>
  <c r="N703" i="20"/>
  <c r="N702" i="20"/>
  <c r="N701" i="20"/>
  <c r="N700" i="20"/>
  <c r="N699" i="20"/>
  <c r="N698" i="20"/>
  <c r="N697" i="20"/>
  <c r="N696" i="20"/>
  <c r="N695" i="20"/>
  <c r="N694" i="20"/>
  <c r="N693" i="20"/>
  <c r="N692" i="20"/>
  <c r="N691" i="20"/>
  <c r="N690" i="20"/>
  <c r="N689" i="20"/>
  <c r="N688" i="20"/>
  <c r="N687" i="20"/>
  <c r="N686" i="20"/>
  <c r="N685" i="20"/>
  <c r="N684" i="20"/>
  <c r="N683" i="20"/>
  <c r="N682" i="20"/>
  <c r="N681" i="20"/>
  <c r="N680" i="20"/>
  <c r="N679" i="20"/>
  <c r="N678" i="20"/>
  <c r="N677" i="20"/>
  <c r="N676" i="20"/>
  <c r="N675" i="20"/>
  <c r="N674" i="20"/>
  <c r="N673" i="20"/>
  <c r="N672" i="20"/>
  <c r="N671" i="20"/>
  <c r="N670" i="20"/>
  <c r="N669" i="20"/>
  <c r="N668" i="20"/>
  <c r="N667" i="20"/>
  <c r="N666" i="20"/>
  <c r="N665" i="20"/>
  <c r="N664" i="20"/>
  <c r="N663" i="20"/>
  <c r="N662" i="20"/>
  <c r="N661" i="20"/>
  <c r="N660" i="20"/>
  <c r="N659" i="20"/>
  <c r="N658" i="20"/>
  <c r="N657" i="20"/>
  <c r="N656" i="20"/>
  <c r="N655" i="20"/>
  <c r="N654" i="20"/>
  <c r="N653" i="20"/>
  <c r="N652" i="20"/>
  <c r="N651" i="20"/>
  <c r="N650" i="20"/>
  <c r="N649" i="20"/>
  <c r="N648" i="20"/>
  <c r="N647" i="20"/>
  <c r="N646" i="20"/>
  <c r="N645" i="20"/>
  <c r="N644" i="20"/>
  <c r="N643" i="20"/>
  <c r="N642" i="20"/>
  <c r="N641" i="20"/>
  <c r="N640" i="20"/>
  <c r="N639" i="20"/>
  <c r="N638" i="20"/>
  <c r="N637" i="20"/>
  <c r="N636" i="20"/>
  <c r="N635" i="20"/>
  <c r="N634" i="20"/>
  <c r="N633" i="20"/>
  <c r="N632" i="20"/>
  <c r="N631" i="20"/>
  <c r="N630" i="20"/>
  <c r="N629" i="20"/>
  <c r="N628" i="20"/>
  <c r="N627" i="20"/>
  <c r="N626" i="20"/>
  <c r="N625" i="20"/>
  <c r="N624" i="20"/>
  <c r="N623" i="20"/>
  <c r="N622" i="20"/>
  <c r="N621" i="20"/>
  <c r="N620" i="20"/>
  <c r="N619" i="20"/>
  <c r="N618" i="20"/>
  <c r="N617" i="20"/>
  <c r="N616" i="20"/>
  <c r="N615" i="20"/>
  <c r="N614" i="20"/>
  <c r="N613" i="20"/>
  <c r="N612" i="20"/>
  <c r="N611" i="20"/>
  <c r="N610" i="20"/>
  <c r="N609" i="20"/>
  <c r="N608" i="20"/>
  <c r="N607" i="20"/>
  <c r="N606" i="20"/>
  <c r="N605" i="20"/>
  <c r="N604" i="20"/>
  <c r="N603" i="20"/>
  <c r="N602" i="20"/>
  <c r="N601" i="20"/>
  <c r="N600" i="20"/>
  <c r="N599" i="20"/>
  <c r="N598" i="20"/>
  <c r="N597" i="20"/>
  <c r="N596" i="20"/>
  <c r="N595" i="20"/>
  <c r="N594" i="20"/>
  <c r="N593" i="20"/>
  <c r="N592" i="20"/>
  <c r="N591" i="20"/>
  <c r="N590" i="20"/>
  <c r="N589" i="20"/>
  <c r="N588" i="20"/>
  <c r="N587" i="20"/>
  <c r="N586" i="20"/>
  <c r="N585" i="20"/>
  <c r="N584" i="20"/>
  <c r="N583" i="20"/>
  <c r="N582" i="20"/>
  <c r="N581" i="20"/>
  <c r="N580" i="20"/>
  <c r="N579" i="20"/>
  <c r="N578" i="20"/>
  <c r="N577" i="20"/>
  <c r="N576" i="20"/>
  <c r="N575" i="20"/>
  <c r="N574" i="20"/>
  <c r="N573" i="20"/>
  <c r="N572" i="20"/>
  <c r="N571" i="20"/>
  <c r="N570" i="20"/>
  <c r="N569" i="20"/>
  <c r="N568" i="20"/>
  <c r="N567" i="20"/>
  <c r="N566" i="20"/>
  <c r="N565" i="20"/>
  <c r="N564" i="20"/>
  <c r="N563" i="20"/>
  <c r="N562" i="20"/>
  <c r="N561" i="20"/>
  <c r="N560" i="20"/>
  <c r="N559" i="20"/>
  <c r="N558" i="20"/>
  <c r="N557" i="20"/>
  <c r="N556" i="20"/>
  <c r="N555" i="20"/>
  <c r="N554" i="20"/>
  <c r="N553" i="20"/>
  <c r="N552" i="20"/>
  <c r="N551" i="20"/>
  <c r="N550" i="20"/>
  <c r="N549" i="20"/>
  <c r="N548" i="20"/>
  <c r="N547" i="20"/>
  <c r="N546" i="20"/>
  <c r="N545" i="20"/>
  <c r="N544" i="20"/>
  <c r="N543" i="20"/>
  <c r="N542" i="20"/>
  <c r="N541" i="20"/>
  <c r="N540" i="20"/>
  <c r="N539" i="20"/>
  <c r="N538" i="20"/>
  <c r="N537" i="20"/>
  <c r="N536" i="20"/>
  <c r="N535" i="20"/>
  <c r="N534" i="20"/>
  <c r="N533" i="20"/>
  <c r="N532" i="20"/>
  <c r="N531" i="20"/>
  <c r="N530" i="20"/>
  <c r="N529" i="20"/>
  <c r="N528" i="20"/>
  <c r="N527" i="20"/>
  <c r="N526" i="20"/>
  <c r="N525" i="20"/>
  <c r="N524" i="20"/>
  <c r="N523" i="20"/>
  <c r="N522" i="20"/>
  <c r="N521" i="20"/>
  <c r="N520" i="20"/>
  <c r="N519" i="20"/>
  <c r="N518" i="20"/>
  <c r="N517" i="20"/>
  <c r="N516" i="20"/>
  <c r="N515" i="20"/>
  <c r="N514" i="20"/>
  <c r="N513" i="20"/>
  <c r="N512" i="20"/>
  <c r="N511" i="20"/>
  <c r="N510" i="20"/>
  <c r="N509" i="20"/>
  <c r="N508" i="20"/>
  <c r="N507" i="20"/>
  <c r="N506" i="20"/>
  <c r="N505" i="20"/>
  <c r="N504" i="20"/>
  <c r="N503" i="20"/>
  <c r="N502" i="20"/>
  <c r="N501" i="20"/>
  <c r="N500" i="20"/>
  <c r="N499" i="20"/>
  <c r="N498" i="20"/>
  <c r="N497" i="20"/>
  <c r="N496" i="20"/>
  <c r="N495" i="20"/>
  <c r="N494" i="20"/>
  <c r="N493" i="20"/>
  <c r="N492" i="20"/>
  <c r="N491" i="20"/>
  <c r="N490" i="20"/>
  <c r="N489" i="20"/>
  <c r="N488" i="20"/>
  <c r="N487" i="20"/>
  <c r="N486" i="20"/>
  <c r="N485" i="20"/>
  <c r="N484" i="20"/>
  <c r="N483" i="20"/>
  <c r="N482" i="20"/>
  <c r="N481" i="20"/>
  <c r="N480" i="20"/>
  <c r="N479" i="20"/>
  <c r="N478" i="20"/>
  <c r="N477" i="20"/>
  <c r="N476" i="20"/>
  <c r="N475" i="20"/>
  <c r="N474" i="20"/>
  <c r="N473" i="20"/>
  <c r="N472" i="20"/>
  <c r="N471" i="20"/>
  <c r="N470" i="20"/>
  <c r="N469" i="20"/>
  <c r="N468" i="20"/>
  <c r="N467" i="20"/>
  <c r="N466" i="20"/>
  <c r="N465" i="20"/>
  <c r="N464" i="20"/>
  <c r="N463" i="20"/>
  <c r="N462" i="20"/>
  <c r="N461" i="20"/>
  <c r="N460" i="20"/>
  <c r="N459" i="20"/>
  <c r="N458" i="20"/>
  <c r="N457" i="20"/>
  <c r="N456" i="20"/>
  <c r="N455" i="20"/>
  <c r="N454" i="20"/>
  <c r="N453" i="20"/>
  <c r="N452" i="20"/>
  <c r="N451" i="20"/>
  <c r="N450" i="20"/>
  <c r="N449" i="20"/>
  <c r="N448" i="20"/>
  <c r="N447" i="20"/>
  <c r="N446" i="20"/>
  <c r="N445" i="20"/>
  <c r="N444" i="20"/>
  <c r="N443" i="20"/>
  <c r="N442" i="20"/>
  <c r="N441" i="20"/>
  <c r="N440" i="20"/>
  <c r="N439" i="20"/>
  <c r="N438" i="20"/>
  <c r="N437" i="20"/>
  <c r="N436" i="20"/>
  <c r="N435" i="20"/>
  <c r="N434" i="20"/>
  <c r="N433" i="20"/>
  <c r="N432" i="20"/>
  <c r="N431" i="20"/>
  <c r="N430" i="20"/>
  <c r="N429" i="20"/>
  <c r="N428" i="20"/>
  <c r="N427" i="20"/>
  <c r="N426" i="20"/>
  <c r="N425" i="20"/>
  <c r="N424" i="20"/>
  <c r="N423" i="20"/>
  <c r="N422" i="20"/>
  <c r="N421" i="20"/>
  <c r="N420" i="20"/>
  <c r="N419" i="20"/>
  <c r="N418" i="20"/>
  <c r="N417" i="20"/>
  <c r="N416" i="20"/>
  <c r="N415" i="20"/>
  <c r="N414" i="20"/>
  <c r="N413" i="20"/>
  <c r="N412" i="20"/>
  <c r="N411" i="20"/>
  <c r="N410" i="20"/>
  <c r="N409" i="20"/>
  <c r="N408" i="20"/>
  <c r="N407" i="20"/>
  <c r="N406" i="20"/>
  <c r="N405" i="20"/>
  <c r="N404" i="20"/>
  <c r="N403" i="20"/>
  <c r="N402" i="20"/>
  <c r="N401" i="20"/>
  <c r="N400" i="20"/>
  <c r="N399" i="20"/>
  <c r="N398" i="20"/>
  <c r="N397" i="20"/>
  <c r="N396" i="20"/>
  <c r="N395" i="20"/>
  <c r="N394" i="20"/>
  <c r="N393" i="20"/>
  <c r="N392" i="20"/>
  <c r="N391" i="20"/>
  <c r="N390" i="20"/>
  <c r="N389" i="20"/>
  <c r="N388" i="20"/>
  <c r="N387" i="20"/>
  <c r="N386" i="20"/>
  <c r="N385" i="20"/>
  <c r="N384" i="20"/>
  <c r="N383" i="20"/>
  <c r="N382" i="20"/>
  <c r="N381" i="20"/>
  <c r="N380" i="20"/>
  <c r="N379" i="20"/>
  <c r="N378" i="20"/>
  <c r="N377" i="20"/>
  <c r="N376" i="20"/>
  <c r="N375" i="20"/>
  <c r="N374" i="20"/>
  <c r="N373" i="20"/>
  <c r="N372" i="20"/>
  <c r="N371" i="20"/>
  <c r="N370" i="20"/>
  <c r="N369" i="20"/>
  <c r="N368" i="20"/>
  <c r="N367" i="20"/>
  <c r="N366" i="20"/>
  <c r="N365" i="20"/>
  <c r="N364" i="20"/>
  <c r="N363" i="20"/>
  <c r="N362" i="20"/>
  <c r="N361" i="20"/>
  <c r="N360" i="20"/>
  <c r="N359" i="20"/>
  <c r="N358" i="20"/>
  <c r="N357" i="20"/>
  <c r="N356" i="20"/>
  <c r="N355" i="20"/>
  <c r="N354" i="20"/>
  <c r="N353" i="20"/>
  <c r="N352" i="20"/>
  <c r="N351" i="20"/>
  <c r="N350" i="20"/>
  <c r="N349" i="20"/>
  <c r="N348" i="20"/>
  <c r="N347" i="20"/>
  <c r="N346" i="20"/>
  <c r="N345" i="20"/>
  <c r="N344" i="20"/>
  <c r="N343" i="20"/>
  <c r="N342" i="20"/>
  <c r="N341" i="20"/>
  <c r="N340" i="20"/>
  <c r="N339" i="20"/>
  <c r="N338" i="20"/>
  <c r="N337" i="20"/>
  <c r="N336" i="20"/>
  <c r="N335" i="20"/>
  <c r="N334" i="20"/>
  <c r="N333" i="20"/>
  <c r="N332" i="20"/>
  <c r="N331" i="20"/>
  <c r="N330" i="20"/>
  <c r="N329" i="20"/>
  <c r="N328" i="20"/>
  <c r="N327" i="20"/>
  <c r="N326" i="20"/>
  <c r="N325" i="20"/>
  <c r="N324" i="20"/>
  <c r="N323" i="20"/>
  <c r="N322" i="20"/>
  <c r="N321" i="20"/>
  <c r="N320" i="20"/>
  <c r="N319" i="20"/>
  <c r="N318" i="20"/>
  <c r="N317" i="20"/>
  <c r="N316" i="20"/>
  <c r="N315" i="20"/>
  <c r="N314" i="20"/>
  <c r="N313" i="20"/>
  <c r="N312" i="20"/>
  <c r="N311" i="20"/>
  <c r="N310" i="20"/>
  <c r="N309" i="20"/>
  <c r="N308" i="20"/>
  <c r="N307" i="20"/>
  <c r="N306" i="20"/>
  <c r="N305" i="20"/>
  <c r="N304" i="20"/>
  <c r="N303" i="20"/>
  <c r="N302" i="20"/>
  <c r="N301" i="20"/>
  <c r="N300" i="20"/>
  <c r="N299" i="20"/>
  <c r="N298" i="20"/>
  <c r="N297" i="20"/>
  <c r="N296" i="20"/>
  <c r="N295" i="20"/>
  <c r="N294" i="20"/>
  <c r="N293" i="20"/>
  <c r="N292" i="20"/>
  <c r="N291" i="20"/>
  <c r="N290" i="20"/>
  <c r="N289" i="20"/>
  <c r="N288" i="20"/>
  <c r="N287" i="20"/>
  <c r="N286" i="20"/>
  <c r="N285" i="20"/>
  <c r="N284" i="20"/>
  <c r="N283" i="20"/>
  <c r="N282" i="20"/>
  <c r="N281" i="20"/>
  <c r="N280" i="20"/>
  <c r="N279" i="20"/>
  <c r="N278" i="20"/>
  <c r="N277" i="20"/>
  <c r="N276" i="20"/>
  <c r="N275" i="20"/>
  <c r="N274" i="20"/>
  <c r="N273" i="20"/>
  <c r="N272" i="20"/>
  <c r="N271" i="20"/>
  <c r="N270" i="20"/>
  <c r="N269" i="20"/>
  <c r="N268" i="20"/>
  <c r="N267" i="20"/>
  <c r="N266" i="20"/>
  <c r="N265" i="20"/>
  <c r="N264" i="20"/>
  <c r="N263" i="20"/>
  <c r="N262" i="20"/>
  <c r="N261" i="20"/>
  <c r="N260" i="20"/>
  <c r="N259" i="20"/>
  <c r="N258" i="20"/>
  <c r="N257" i="20"/>
  <c r="N256" i="20"/>
  <c r="N255" i="20"/>
  <c r="N254" i="20"/>
  <c r="N253" i="20"/>
  <c r="N252" i="20"/>
  <c r="N251" i="20"/>
  <c r="N250" i="20"/>
  <c r="N249" i="20"/>
  <c r="N248" i="20"/>
  <c r="N247" i="20"/>
  <c r="N246" i="20"/>
  <c r="N245" i="20"/>
  <c r="N244" i="20"/>
  <c r="N243" i="20"/>
  <c r="N242" i="20"/>
  <c r="N241" i="20"/>
  <c r="N240" i="20"/>
  <c r="N239" i="20"/>
  <c r="N238" i="20"/>
  <c r="N237" i="20"/>
  <c r="N236" i="20"/>
  <c r="N235" i="20"/>
  <c r="N234" i="20"/>
  <c r="N233" i="20"/>
  <c r="N232" i="20"/>
  <c r="N231" i="20"/>
  <c r="N230" i="20"/>
  <c r="N229" i="20"/>
  <c r="N228" i="20"/>
  <c r="N227" i="20"/>
  <c r="N226" i="20"/>
  <c r="N225" i="20"/>
  <c r="N224" i="20"/>
  <c r="N223" i="20"/>
  <c r="N222" i="20"/>
  <c r="N221" i="20"/>
  <c r="N220" i="20"/>
  <c r="N219" i="20"/>
  <c r="N218" i="20"/>
  <c r="N217" i="20"/>
  <c r="N216" i="20"/>
  <c r="N215" i="20"/>
  <c r="N214" i="20"/>
  <c r="N213" i="20"/>
  <c r="N212" i="20"/>
  <c r="N211" i="20"/>
  <c r="N210" i="20"/>
  <c r="N209" i="20"/>
  <c r="N208" i="20"/>
  <c r="N207" i="20"/>
  <c r="N206" i="20"/>
  <c r="N205" i="20"/>
  <c r="N204" i="20"/>
  <c r="N203" i="20"/>
  <c r="N202" i="20"/>
  <c r="N201" i="20"/>
  <c r="N200" i="20"/>
  <c r="N199" i="20"/>
  <c r="N198" i="20"/>
  <c r="N197" i="20"/>
  <c r="N196" i="20"/>
  <c r="N195" i="20"/>
  <c r="N194" i="20"/>
  <c r="N193" i="20"/>
  <c r="N192" i="20"/>
  <c r="N191" i="20"/>
  <c r="N190" i="20"/>
  <c r="N189" i="20"/>
  <c r="N188" i="20"/>
  <c r="N187" i="20"/>
  <c r="N186" i="20"/>
  <c r="N185" i="20"/>
  <c r="N184" i="20"/>
  <c r="N183" i="20"/>
  <c r="N182" i="20"/>
  <c r="N181" i="20"/>
  <c r="N180" i="20"/>
  <c r="N179" i="20"/>
  <c r="N178" i="20"/>
  <c r="N177" i="20"/>
  <c r="N176" i="20"/>
  <c r="N175" i="20"/>
  <c r="N174" i="20"/>
  <c r="N173" i="20"/>
  <c r="N172" i="20"/>
  <c r="N171" i="20"/>
  <c r="N170" i="20"/>
  <c r="N169" i="20"/>
  <c r="N168" i="20"/>
  <c r="N167" i="20"/>
  <c r="N166" i="20"/>
  <c r="N165" i="20"/>
  <c r="N164" i="20"/>
  <c r="N163" i="20"/>
  <c r="N162" i="20"/>
  <c r="N161" i="20"/>
  <c r="N160" i="20"/>
  <c r="N159" i="20"/>
  <c r="N158" i="20"/>
  <c r="N157" i="20"/>
  <c r="N156" i="20"/>
  <c r="N155" i="20"/>
  <c r="N154" i="20"/>
  <c r="N153" i="20"/>
  <c r="N152" i="20"/>
  <c r="N151" i="20"/>
  <c r="N150" i="20"/>
  <c r="N149" i="20"/>
  <c r="N148" i="20"/>
  <c r="N147" i="20"/>
  <c r="N146" i="20"/>
  <c r="N145" i="20"/>
  <c r="N144" i="20"/>
  <c r="N143" i="20"/>
  <c r="N142" i="20"/>
  <c r="N141" i="20"/>
  <c r="N140" i="20"/>
  <c r="N139" i="20"/>
  <c r="N138" i="20"/>
  <c r="N137" i="20"/>
  <c r="N136" i="20"/>
  <c r="N135" i="20"/>
  <c r="N134" i="20"/>
  <c r="N133" i="20"/>
  <c r="N132" i="20"/>
  <c r="N131" i="20"/>
  <c r="N130" i="20"/>
  <c r="N129" i="20"/>
  <c r="N128" i="20"/>
  <c r="N127" i="20"/>
  <c r="N126" i="20"/>
  <c r="N125" i="20"/>
  <c r="N124" i="20"/>
  <c r="N123" i="20"/>
  <c r="N122" i="20"/>
  <c r="N121" i="20"/>
  <c r="N120" i="20"/>
  <c r="N119" i="20"/>
  <c r="N118" i="20"/>
  <c r="N117" i="20"/>
  <c r="N116" i="20"/>
  <c r="N115" i="20"/>
  <c r="N114" i="20"/>
  <c r="N113" i="20"/>
  <c r="N112" i="20"/>
  <c r="N111" i="20"/>
  <c r="N110" i="20"/>
  <c r="N109" i="20"/>
  <c r="N108" i="20"/>
  <c r="N107" i="20"/>
  <c r="N106" i="20"/>
  <c r="N105" i="20"/>
  <c r="N104" i="20"/>
  <c r="N103" i="20"/>
  <c r="N102" i="20"/>
  <c r="N101" i="20"/>
  <c r="N100" i="20"/>
  <c r="N99" i="20"/>
  <c r="N98" i="20"/>
  <c r="N97" i="20"/>
  <c r="N96" i="20"/>
  <c r="N95" i="20"/>
  <c r="N94" i="20"/>
  <c r="N93" i="20"/>
  <c r="N92" i="20"/>
  <c r="N91" i="20"/>
  <c r="N90" i="20"/>
  <c r="N89" i="20"/>
  <c r="N88" i="20"/>
  <c r="N87" i="20"/>
  <c r="N86" i="20"/>
  <c r="N85" i="20"/>
  <c r="N84" i="20"/>
  <c r="N83" i="20"/>
  <c r="N82" i="20"/>
  <c r="N81" i="20"/>
  <c r="N80" i="20"/>
  <c r="N79" i="20"/>
  <c r="N78" i="20"/>
  <c r="N77" i="20"/>
  <c r="N76" i="20"/>
  <c r="N75" i="20"/>
  <c r="N74" i="20"/>
  <c r="N73" i="20"/>
  <c r="N72" i="20"/>
  <c r="N71" i="20"/>
  <c r="N70" i="20"/>
  <c r="N69" i="20"/>
  <c r="N68" i="20"/>
  <c r="N67" i="20"/>
  <c r="N66" i="20"/>
  <c r="N65" i="20"/>
  <c r="N64" i="20"/>
  <c r="N63" i="20"/>
  <c r="N62" i="20"/>
  <c r="N61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N3" i="20"/>
  <c r="N2" i="20"/>
  <c r="C9" i="13"/>
  <c r="C8" i="13"/>
  <c r="C7" i="13"/>
  <c r="C6" i="13"/>
  <c r="C5" i="13"/>
  <c r="C4" i="13"/>
  <c r="B6" i="13"/>
  <c r="B4" i="13"/>
  <c r="G3739" i="8"/>
  <c r="G3738" i="8"/>
  <c r="G3041" i="8"/>
  <c r="G2756" i="8"/>
  <c r="G2591" i="8"/>
  <c r="G3734" i="8"/>
  <c r="G2994" i="8"/>
  <c r="G2588" i="8"/>
  <c r="G3735" i="8"/>
  <c r="G2755" i="8"/>
  <c r="G3737" i="8"/>
  <c r="G3728" i="8"/>
  <c r="G3727" i="8"/>
  <c r="G3726" i="8"/>
  <c r="G2584" i="8"/>
  <c r="G2748" i="8"/>
  <c r="G3039" i="8"/>
  <c r="G3722" i="8"/>
  <c r="G2743" i="8"/>
  <c r="G3720" i="8"/>
  <c r="G3031" i="8"/>
  <c r="G3718" i="8"/>
  <c r="G2729" i="8"/>
  <c r="G3716" i="8"/>
  <c r="G3029" i="8"/>
  <c r="G3025" i="8"/>
  <c r="G3713" i="8"/>
  <c r="G3175" i="8"/>
  <c r="G3023" i="8"/>
  <c r="G3732" i="8"/>
  <c r="G3736" i="8"/>
  <c r="G2727" i="8"/>
  <c r="G2572" i="8"/>
  <c r="G3706" i="8"/>
  <c r="G3705" i="8"/>
  <c r="G3019" i="8"/>
  <c r="G3703" i="8"/>
  <c r="G3702" i="8"/>
  <c r="G2719" i="8"/>
  <c r="G2718" i="8"/>
  <c r="G3699" i="8"/>
  <c r="G3698" i="8"/>
  <c r="G3697" i="8"/>
  <c r="G3696" i="8"/>
  <c r="G2560" i="8"/>
  <c r="G2548" i="8"/>
  <c r="G3693" i="8"/>
  <c r="G2710" i="8"/>
  <c r="G3691" i="8"/>
  <c r="G2547" i="8"/>
  <c r="G2546" i="8"/>
  <c r="G3688" i="8"/>
  <c r="G2701" i="8"/>
  <c r="G3686" i="8"/>
  <c r="G3685" i="8"/>
  <c r="G3730" i="8"/>
  <c r="G3724" i="8"/>
  <c r="G3721" i="8"/>
  <c r="G2699" i="8"/>
  <c r="G3035" i="8"/>
  <c r="G3679" i="8"/>
  <c r="G2695" i="8"/>
  <c r="G3733" i="8"/>
  <c r="G2693" i="8"/>
  <c r="G3675" i="8"/>
  <c r="G3011" i="8"/>
  <c r="G3010" i="8"/>
  <c r="G2543" i="8"/>
  <c r="G2692" i="8"/>
  <c r="G3169" i="8"/>
  <c r="G3356" i="8"/>
  <c r="G3000" i="8"/>
  <c r="G2998" i="8"/>
  <c r="G3666" i="8"/>
  <c r="G2996" i="8"/>
  <c r="G3664" i="8"/>
  <c r="G2536" i="8"/>
  <c r="G3662" i="8"/>
  <c r="G3661" i="8"/>
  <c r="G2689" i="8"/>
  <c r="G2986" i="8"/>
  <c r="G3658" i="8"/>
  <c r="G3657" i="8"/>
  <c r="G2985" i="8"/>
  <c r="G3655" i="8"/>
  <c r="G2668" i="8"/>
  <c r="G3729" i="8"/>
  <c r="G3652" i="8"/>
  <c r="G2977" i="8"/>
  <c r="G3650" i="8"/>
  <c r="G2661" i="8"/>
  <c r="G3648" i="8"/>
  <c r="G2974" i="8"/>
  <c r="G3646" i="8"/>
  <c r="G2971" i="8"/>
  <c r="G3644" i="8"/>
  <c r="G3643" i="8"/>
  <c r="G3642" i="8"/>
  <c r="G3641" i="8"/>
  <c r="G3717" i="8"/>
  <c r="G3639" i="8"/>
  <c r="G3638" i="8"/>
  <c r="G3637" i="8"/>
  <c r="G3636" i="8"/>
  <c r="G3635" i="8"/>
  <c r="G3634" i="8"/>
  <c r="G3633" i="8"/>
  <c r="G3632" i="8"/>
  <c r="G3631" i="8"/>
  <c r="G2657" i="8"/>
  <c r="G2966" i="8"/>
  <c r="G3628" i="8"/>
  <c r="G3627" i="8"/>
  <c r="G2961" i="8"/>
  <c r="G3625" i="8"/>
  <c r="G3712" i="8"/>
  <c r="G3623" i="8"/>
  <c r="G2653" i="8"/>
  <c r="G2681" i="8"/>
  <c r="G2939" i="8"/>
  <c r="G3619" i="8"/>
  <c r="G2651" i="8"/>
  <c r="G3617" i="8"/>
  <c r="G3346" i="8"/>
  <c r="G3615" i="8"/>
  <c r="G2649" i="8"/>
  <c r="G3613" i="8"/>
  <c r="G3612" i="8"/>
  <c r="G2926" i="8"/>
  <c r="G3610" i="8"/>
  <c r="G2645" i="8"/>
  <c r="G3608" i="8"/>
  <c r="G3607" i="8"/>
  <c r="G2925" i="8"/>
  <c r="G3605" i="8"/>
  <c r="G2535" i="8"/>
  <c r="G3603" i="8"/>
  <c r="G2921" i="8"/>
  <c r="G3601" i="8"/>
  <c r="G3709" i="8"/>
  <c r="G3708" i="8"/>
  <c r="G3598" i="8"/>
  <c r="G3597" i="8"/>
  <c r="G3596" i="8"/>
  <c r="G2990" i="8"/>
  <c r="G2639" i="8"/>
  <c r="G3593" i="8"/>
  <c r="G3731" i="8"/>
  <c r="G2911" i="8"/>
  <c r="G2900" i="8"/>
  <c r="G2634" i="8"/>
  <c r="G3588" i="8"/>
  <c r="G2627" i="8"/>
  <c r="G2899" i="8"/>
  <c r="G3585" i="8"/>
  <c r="G3584" i="8"/>
  <c r="G3583" i="8"/>
  <c r="G3324" i="8"/>
  <c r="G3581" i="8"/>
  <c r="G2679" i="8"/>
  <c r="G2626" i="8"/>
  <c r="G3578" i="8"/>
  <c r="G3577" i="8"/>
  <c r="G3576" i="8"/>
  <c r="G3575" i="8"/>
  <c r="G2897" i="8"/>
  <c r="G3573" i="8"/>
  <c r="G3572" i="8"/>
  <c r="G2622" i="8"/>
  <c r="G3570" i="8"/>
  <c r="G3569" i="8"/>
  <c r="G3568" i="8"/>
  <c r="G2895" i="8"/>
  <c r="G2607" i="8"/>
  <c r="G3565" i="8"/>
  <c r="G3311" i="8"/>
  <c r="G3563" i="8"/>
  <c r="G3562" i="8"/>
  <c r="G3561" i="8"/>
  <c r="G3723" i="8"/>
  <c r="G3559" i="8"/>
  <c r="G3701" i="8"/>
  <c r="G3557" i="8"/>
  <c r="G3700" i="8"/>
  <c r="G3555" i="8"/>
  <c r="G2596" i="8"/>
  <c r="G3553" i="8"/>
  <c r="G3552" i="8"/>
  <c r="G3719" i="8"/>
  <c r="G3550" i="8"/>
  <c r="G3549" i="8"/>
  <c r="G2594" i="8"/>
  <c r="G3715" i="8"/>
  <c r="G2672" i="8"/>
  <c r="G3545" i="8"/>
  <c r="G2894" i="8"/>
  <c r="G3166" i="8"/>
  <c r="G2891" i="8"/>
  <c r="G2884" i="8"/>
  <c r="G2882" i="8"/>
  <c r="G3539" i="8"/>
  <c r="G3538" i="8"/>
  <c r="G2866" i="8"/>
  <c r="G2593" i="8"/>
  <c r="G3535" i="8"/>
  <c r="G3534" i="8"/>
  <c r="G2585" i="8"/>
  <c r="G3532" i="8"/>
  <c r="G3531" i="8"/>
  <c r="G2855" i="8"/>
  <c r="G2849" i="8"/>
  <c r="G3714" i="8"/>
  <c r="G2840" i="8"/>
  <c r="G3526" i="8"/>
  <c r="G3525" i="8"/>
  <c r="G2838" i="8"/>
  <c r="G2533" i="8"/>
  <c r="G2583" i="8"/>
  <c r="G2837" i="8"/>
  <c r="G2526" i="8"/>
  <c r="G3519" i="8"/>
  <c r="G3034" i="8"/>
  <c r="G3517" i="8"/>
  <c r="G3677" i="8"/>
  <c r="G2833" i="8"/>
  <c r="G3514" i="8"/>
  <c r="G3711" i="8"/>
  <c r="G2667" i="8"/>
  <c r="G3511" i="8"/>
  <c r="G2523" i="8"/>
  <c r="G3509" i="8"/>
  <c r="G2512" i="8"/>
  <c r="G3507" i="8"/>
  <c r="G2830" i="8"/>
  <c r="G2804" i="8"/>
  <c r="G3504" i="8"/>
  <c r="G2803" i="8"/>
  <c r="G3502" i="8"/>
  <c r="G2503" i="8"/>
  <c r="G3725" i="8"/>
  <c r="G3499" i="8"/>
  <c r="G2499" i="8"/>
  <c r="G2582" i="8"/>
  <c r="G3496" i="8"/>
  <c r="G2574" i="8"/>
  <c r="G2490" i="8"/>
  <c r="G2799" i="8"/>
  <c r="G2488" i="8"/>
  <c r="G2573" i="8"/>
  <c r="G3490" i="8"/>
  <c r="G2484" i="8"/>
  <c r="G3488" i="8"/>
  <c r="G2479" i="8"/>
  <c r="G3486" i="8"/>
  <c r="G2798" i="8"/>
  <c r="G2569" i="8"/>
  <c r="G2663" i="8"/>
  <c r="G3482" i="8"/>
  <c r="G3481" i="8"/>
  <c r="G3704" i="8"/>
  <c r="G2568" i="8"/>
  <c r="G2647" i="8"/>
  <c r="G3477" i="8"/>
  <c r="G3476" i="8"/>
  <c r="G3165" i="8"/>
  <c r="G3621" i="8"/>
  <c r="G3473" i="8"/>
  <c r="G3472" i="8"/>
  <c r="G2477" i="8"/>
  <c r="G2797" i="8"/>
  <c r="G3469" i="8"/>
  <c r="G2771" i="8"/>
  <c r="G3467" i="8"/>
  <c r="G2469" i="8"/>
  <c r="G3465" i="8"/>
  <c r="G2642" i="8"/>
  <c r="G3021" i="8"/>
  <c r="G2769" i="8"/>
  <c r="G3461" i="8"/>
  <c r="G3163" i="8"/>
  <c r="G3459" i="8"/>
  <c r="G3458" i="8"/>
  <c r="G3692" i="8"/>
  <c r="G2768" i="8"/>
  <c r="G3455" i="8"/>
  <c r="G3710" i="8"/>
  <c r="G3453" i="8"/>
  <c r="G3452" i="8"/>
  <c r="G3451" i="8"/>
  <c r="G2567" i="8"/>
  <c r="G2564" i="8"/>
  <c r="G3448" i="8"/>
  <c r="G2762" i="8"/>
  <c r="G2559" i="8"/>
  <c r="G2554" i="8"/>
  <c r="G2637" i="8"/>
  <c r="G2736" i="8"/>
  <c r="G3310" i="8"/>
  <c r="G3441" i="8"/>
  <c r="G2618" i="8"/>
  <c r="G2466" i="8"/>
  <c r="G3674" i="8"/>
  <c r="G2734" i="8"/>
  <c r="G2459" i="8"/>
  <c r="G2614" i="8"/>
  <c r="G3154" i="8"/>
  <c r="G2450" i="8"/>
  <c r="G2449" i="8"/>
  <c r="G3431" i="8"/>
  <c r="G3430" i="8"/>
  <c r="G3429" i="8"/>
  <c r="G3428" i="8"/>
  <c r="G2532" i="8"/>
  <c r="G3426" i="8"/>
  <c r="G3425" i="8"/>
  <c r="G3424" i="8"/>
  <c r="G3423" i="8"/>
  <c r="G2431" i="8"/>
  <c r="G2724" i="8"/>
  <c r="G3420" i="8"/>
  <c r="G3419" i="8"/>
  <c r="G3418" i="8"/>
  <c r="G2704" i="8"/>
  <c r="G3416" i="8"/>
  <c r="G3687" i="8"/>
  <c r="G2698" i="8"/>
  <c r="G2612" i="8"/>
  <c r="G3707" i="8"/>
  <c r="G2423" i="8"/>
  <c r="G3410" i="8"/>
  <c r="G3409" i="8"/>
  <c r="G2610" i="8"/>
  <c r="G2527" i="8"/>
  <c r="G3406" i="8"/>
  <c r="G2511" i="8"/>
  <c r="G3404" i="8"/>
  <c r="G3403" i="8"/>
  <c r="G2510" i="8"/>
  <c r="G3401" i="8"/>
  <c r="G2606" i="8"/>
  <c r="G3673" i="8"/>
  <c r="G2508" i="8"/>
  <c r="G3669" i="8"/>
  <c r="G3396" i="8"/>
  <c r="G2421" i="8"/>
  <c r="G2504" i="8"/>
  <c r="G3020" i="8"/>
  <c r="G3153" i="8"/>
  <c r="G2970" i="8"/>
  <c r="G2416" i="8"/>
  <c r="G3389" i="8"/>
  <c r="G3595" i="8"/>
  <c r="G2597" i="8"/>
  <c r="G2415" i="8"/>
  <c r="G2411" i="8"/>
  <c r="G2697" i="8"/>
  <c r="G2500" i="8"/>
  <c r="G2592" i="8"/>
  <c r="G2691" i="8"/>
  <c r="G2586" i="8"/>
  <c r="G2579" i="8"/>
  <c r="G3378" i="8"/>
  <c r="G2496" i="8"/>
  <c r="G3695" i="8"/>
  <c r="G3151" i="8"/>
  <c r="G2684" i="8"/>
  <c r="G3373" i="8"/>
  <c r="G2677" i="8"/>
  <c r="G2675" i="8"/>
  <c r="G3370" i="8"/>
  <c r="G3369" i="8"/>
  <c r="G2670" i="8"/>
  <c r="G3367" i="8"/>
  <c r="G2401" i="8"/>
  <c r="G2577" i="8"/>
  <c r="G2666" i="8"/>
  <c r="G2493" i="8"/>
  <c r="G2485" i="8"/>
  <c r="G2381" i="8"/>
  <c r="G2571" i="8"/>
  <c r="G2664" i="8"/>
  <c r="G2480" i="8"/>
  <c r="G3357" i="8"/>
  <c r="G2652" i="8"/>
  <c r="G2378" i="8"/>
  <c r="G2566" i="8"/>
  <c r="G2473" i="8"/>
  <c r="G3352" i="8"/>
  <c r="G3351" i="8"/>
  <c r="G3147" i="8"/>
  <c r="G3580" i="8"/>
  <c r="G3348" i="8"/>
  <c r="G3694" i="8"/>
  <c r="G2650" i="8"/>
  <c r="G3345" i="8"/>
  <c r="G2463" i="8"/>
  <c r="G3690" i="8"/>
  <c r="G3342" i="8"/>
  <c r="G2376" i="8"/>
  <c r="G2452" i="8"/>
  <c r="G2371" i="8"/>
  <c r="G2562" i="8"/>
  <c r="G2552" i="8"/>
  <c r="G3336" i="8"/>
  <c r="G3335" i="8"/>
  <c r="G3137" i="8"/>
  <c r="G2368" i="8"/>
  <c r="G3015" i="8"/>
  <c r="G3684" i="8"/>
  <c r="G3330" i="8"/>
  <c r="G3689" i="8"/>
  <c r="G2541" i="8"/>
  <c r="G2446" i="8"/>
  <c r="G3326" i="8"/>
  <c r="G3325" i="8"/>
  <c r="G2644" i="8"/>
  <c r="G3323" i="8"/>
  <c r="G2365" i="8"/>
  <c r="G2442" i="8"/>
  <c r="G3320" i="8"/>
  <c r="G2438" i="8"/>
  <c r="G3318" i="8"/>
  <c r="G2539" i="8"/>
  <c r="G3316" i="8"/>
  <c r="G3315" i="8"/>
  <c r="G2354" i="8"/>
  <c r="G3313" i="8"/>
  <c r="G2538" i="8"/>
  <c r="G2635" i="8"/>
  <c r="G2628" i="8"/>
  <c r="G3309" i="8"/>
  <c r="G2349" i="8"/>
  <c r="G3683" i="8"/>
  <c r="G3306" i="8"/>
  <c r="G3546" i="8"/>
  <c r="G2624" i="8"/>
  <c r="G2428" i="8"/>
  <c r="G3302" i="8"/>
  <c r="G3301" i="8"/>
  <c r="G3304" i="8"/>
  <c r="G3299" i="8"/>
  <c r="G3298" i="8"/>
  <c r="G3300" i="8"/>
  <c r="G3296" i="8"/>
  <c r="G3668" i="8"/>
  <c r="G2623" i="8"/>
  <c r="G2620" i="8"/>
  <c r="G2619" i="8"/>
  <c r="G3516" i="8"/>
  <c r="G2346" i="8"/>
  <c r="G2616" i="8"/>
  <c r="G2530" i="8"/>
  <c r="G2345" i="8"/>
  <c r="G2529" i="8"/>
  <c r="G2524" i="8"/>
  <c r="G2605" i="8"/>
  <c r="G3667" i="8"/>
  <c r="G2426" i="8"/>
  <c r="G2604" i="8"/>
  <c r="G2414" i="8"/>
  <c r="G2407" i="8"/>
  <c r="G2406" i="8"/>
  <c r="G2403" i="8"/>
  <c r="G3680" i="8"/>
  <c r="G3275" i="8"/>
  <c r="G2520" i="8"/>
  <c r="G2603" i="8"/>
  <c r="G3272" i="8"/>
  <c r="G2380" i="8"/>
  <c r="G2519" i="8"/>
  <c r="G2518" i="8"/>
  <c r="G3297" i="8"/>
  <c r="G2965" i="8"/>
  <c r="G3135" i="8"/>
  <c r="G2600" i="8"/>
  <c r="G3264" i="8"/>
  <c r="G3263" i="8"/>
  <c r="G3262" i="8"/>
  <c r="G2342" i="8"/>
  <c r="G2598" i="8"/>
  <c r="G3259" i="8"/>
  <c r="G2341" i="8"/>
  <c r="G2590" i="8"/>
  <c r="G2517" i="8"/>
  <c r="G2333" i="8"/>
  <c r="G2498" i="8"/>
  <c r="G3253" i="8"/>
  <c r="G3252" i="8"/>
  <c r="G2587" i="8"/>
  <c r="G3250" i="8"/>
  <c r="G3672" i="8"/>
  <c r="G3248" i="8"/>
  <c r="G3247" i="8"/>
  <c r="G3663" i="8"/>
  <c r="G3245" i="8"/>
  <c r="G2495" i="8"/>
  <c r="G3665" i="8"/>
  <c r="G2367" i="8"/>
  <c r="G2360" i="8"/>
  <c r="G2357" i="8"/>
  <c r="G3239" i="8"/>
  <c r="G2343" i="8"/>
  <c r="G2482" i="8"/>
  <c r="G2581" i="8"/>
  <c r="G3235" i="8"/>
  <c r="G2471" i="8"/>
  <c r="G3233" i="8"/>
  <c r="G2332" i="8"/>
  <c r="G2319" i="8"/>
  <c r="G2576" i="8"/>
  <c r="G2313" i="8"/>
  <c r="G3228" i="8"/>
  <c r="G2570" i="8"/>
  <c r="G3226" i="8"/>
  <c r="G2964" i="8"/>
  <c r="G3224" i="8"/>
  <c r="G3682" i="8"/>
  <c r="G2563" i="8"/>
  <c r="G3681" i="8"/>
  <c r="G3220" i="8"/>
  <c r="G3219" i="8"/>
  <c r="G2304" i="8"/>
  <c r="G2557" i="8"/>
  <c r="G3216" i="8"/>
  <c r="G2329" i="8"/>
  <c r="G3214" i="8"/>
  <c r="G2556" i="8"/>
  <c r="G2323" i="8"/>
  <c r="G2542" i="8"/>
  <c r="G2302" i="8"/>
  <c r="G3209" i="8"/>
  <c r="G3131" i="8"/>
  <c r="G3207" i="8"/>
  <c r="G2320" i="8"/>
  <c r="G2287" i="8"/>
  <c r="G3295" i="8"/>
  <c r="G2470" i="8"/>
  <c r="G2283" i="8"/>
  <c r="G2298" i="8"/>
  <c r="G2534" i="8"/>
  <c r="G2467" i="8"/>
  <c r="G2465" i="8"/>
  <c r="G3197" i="8"/>
  <c r="G3659" i="8"/>
  <c r="G2279" i="8"/>
  <c r="G2458" i="8"/>
  <c r="G3008" i="8"/>
  <c r="G2263" i="8"/>
  <c r="G3191" i="8"/>
  <c r="G3190" i="8"/>
  <c r="G3189" i="8"/>
  <c r="G2525" i="8"/>
  <c r="G3187" i="8"/>
  <c r="G2447" i="8"/>
  <c r="G3185" i="8"/>
  <c r="G2291" i="8"/>
  <c r="G2521" i="8"/>
  <c r="G3124" i="8"/>
  <c r="G3678" i="8"/>
  <c r="G3676" i="8"/>
  <c r="G3512" i="8"/>
  <c r="G2282" i="8"/>
  <c r="G3177" i="8"/>
  <c r="G2516" i="8"/>
  <c r="G2281" i="8"/>
  <c r="G3174" i="8"/>
  <c r="G3173" i="8"/>
  <c r="G2443" i="8"/>
  <c r="G3005" i="8"/>
  <c r="G3604" i="8"/>
  <c r="G2271" i="8"/>
  <c r="G3168" i="8"/>
  <c r="G2261" i="8"/>
  <c r="G3120" i="8"/>
  <c r="G3671" i="8"/>
  <c r="G2505" i="8"/>
  <c r="G3670" i="8"/>
  <c r="G3162" i="8"/>
  <c r="G2502" i="8"/>
  <c r="G2481" i="8"/>
  <c r="G3294" i="8"/>
  <c r="G3158" i="8"/>
  <c r="G3656" i="8"/>
  <c r="G2478" i="8"/>
  <c r="G3155" i="8"/>
  <c r="G2266" i="8"/>
  <c r="G2264" i="8"/>
  <c r="G3152" i="8"/>
  <c r="G2256" i="8"/>
  <c r="G3150" i="8"/>
  <c r="G3149" i="8"/>
  <c r="G3148" i="8"/>
  <c r="G2248" i="8"/>
  <c r="G2475" i="8"/>
  <c r="G2234" i="8"/>
  <c r="G3144" i="8"/>
  <c r="G2441" i="8"/>
  <c r="G3142" i="8"/>
  <c r="G2472" i="8"/>
  <c r="G2225" i="8"/>
  <c r="G2464" i="8"/>
  <c r="G3004" i="8"/>
  <c r="G3660" i="8"/>
  <c r="G3653" i="8"/>
  <c r="G2246" i="8"/>
  <c r="G2462" i="8"/>
  <c r="G2461" i="8"/>
  <c r="G2460" i="8"/>
  <c r="G2243" i="8"/>
  <c r="G2439" i="8"/>
  <c r="G2995" i="8"/>
  <c r="G3128" i="8"/>
  <c r="G3127" i="8"/>
  <c r="G2429" i="8"/>
  <c r="G3125" i="8"/>
  <c r="G3114" i="8"/>
  <c r="G2440" i="8"/>
  <c r="G3122" i="8"/>
  <c r="G3483" i="8"/>
  <c r="G2240" i="8"/>
  <c r="G2437" i="8"/>
  <c r="G3118" i="8"/>
  <c r="G3117" i="8"/>
  <c r="G2435" i="8"/>
  <c r="G2427" i="8"/>
  <c r="G2236" i="8"/>
  <c r="G2228" i="8"/>
  <c r="G3112" i="8"/>
  <c r="G2419" i="8"/>
  <c r="G3592" i="8"/>
  <c r="G3109" i="8"/>
  <c r="G2420" i="8"/>
  <c r="G3107" i="8"/>
  <c r="G3106" i="8"/>
  <c r="G2218" i="8"/>
  <c r="G2417" i="8"/>
  <c r="G2413" i="8"/>
  <c r="G2412" i="8"/>
  <c r="G3101" i="8"/>
  <c r="G2222" i="8"/>
  <c r="G2993" i="8"/>
  <c r="G2212" i="8"/>
  <c r="G3097" i="8"/>
  <c r="G2209" i="8"/>
  <c r="G3095" i="8"/>
  <c r="G2215" i="8"/>
  <c r="G3093" i="8"/>
  <c r="G3092" i="8"/>
  <c r="G3091" i="8"/>
  <c r="G2204" i="8"/>
  <c r="G3089" i="8"/>
  <c r="G2402" i="8"/>
  <c r="G2409" i="8"/>
  <c r="G2208" i="8"/>
  <c r="G3085" i="8"/>
  <c r="G3084" i="8"/>
  <c r="G2955" i="8"/>
  <c r="G2203" i="8"/>
  <c r="G3081" i="8"/>
  <c r="G3080" i="8"/>
  <c r="G3478" i="8"/>
  <c r="G3078" i="8"/>
  <c r="G2197" i="8"/>
  <c r="G3523" i="8"/>
  <c r="G2190" i="8"/>
  <c r="G3074" i="8"/>
  <c r="G3293" i="8"/>
  <c r="G3072" i="8"/>
  <c r="G2182" i="8"/>
  <c r="G3070" i="8"/>
  <c r="G3651" i="8"/>
  <c r="G3068" i="8"/>
  <c r="G3067" i="8"/>
  <c r="G2201" i="8"/>
  <c r="G2408" i="8"/>
  <c r="G2396" i="8"/>
  <c r="G2192" i="8"/>
  <c r="G3062" i="8"/>
  <c r="G3061" i="8"/>
  <c r="G3060" i="8"/>
  <c r="G2188" i="8"/>
  <c r="G3058" i="8"/>
  <c r="G3057" i="8"/>
  <c r="G3056" i="8"/>
  <c r="G3055" i="8"/>
  <c r="G3474" i="8"/>
  <c r="G2992" i="8"/>
  <c r="G3052" i="8"/>
  <c r="G3051" i="8"/>
  <c r="G3520" i="8"/>
  <c r="G2399" i="8"/>
  <c r="G2179" i="8"/>
  <c r="G2394" i="8"/>
  <c r="G3046" i="8"/>
  <c r="G2393" i="8"/>
  <c r="G2178" i="8"/>
  <c r="G2392" i="8"/>
  <c r="G2398" i="8"/>
  <c r="G2397" i="8"/>
  <c r="G2175" i="8"/>
  <c r="G2390" i="8"/>
  <c r="G2173" i="8"/>
  <c r="G3654" i="8"/>
  <c r="G2170" i="8"/>
  <c r="G2983" i="8"/>
  <c r="G2166" i="8"/>
  <c r="G3033" i="8"/>
  <c r="G3032" i="8"/>
  <c r="G2385" i="8"/>
  <c r="G3030" i="8"/>
  <c r="G3647" i="8"/>
  <c r="G3028" i="8"/>
  <c r="G3027" i="8"/>
  <c r="G3026" i="8"/>
  <c r="G2382" i="8"/>
  <c r="G3024" i="8"/>
  <c r="G2377" i="8"/>
  <c r="G3022" i="8"/>
  <c r="G2157" i="8"/>
  <c r="G2147" i="8"/>
  <c r="G3292" i="8"/>
  <c r="G3018" i="8"/>
  <c r="G3017" i="8"/>
  <c r="G3016" i="8"/>
  <c r="G3518" i="8"/>
  <c r="G3014" i="8"/>
  <c r="G3464" i="8"/>
  <c r="G3649" i="8"/>
  <c r="G3645" i="8"/>
  <c r="G2375" i="8"/>
  <c r="G2181" i="8"/>
  <c r="G2146" i="8"/>
  <c r="G2391" i="8"/>
  <c r="G3006" i="8"/>
  <c r="G2145" i="8"/>
  <c r="G2144" i="8"/>
  <c r="G2177" i="8"/>
  <c r="G2160" i="8"/>
  <c r="G3001" i="8"/>
  <c r="G2372" i="8"/>
  <c r="G3113" i="8"/>
  <c r="G2362" i="8"/>
  <c r="G2997" i="8"/>
  <c r="G2356" i="8"/>
  <c r="G2125" i="8"/>
  <c r="G2389" i="8"/>
  <c r="G2120" i="8"/>
  <c r="G2118" i="8"/>
  <c r="G2991" i="8"/>
  <c r="G2383" i="8"/>
  <c r="G2153" i="8"/>
  <c r="G2150" i="8"/>
  <c r="G2987" i="8"/>
  <c r="G3629" i="8"/>
  <c r="G2340" i="8"/>
  <c r="G2137" i="8"/>
  <c r="G2113" i="8"/>
  <c r="G2982" i="8"/>
  <c r="G2134" i="8"/>
  <c r="G2110" i="8"/>
  <c r="G2980" i="8"/>
  <c r="G2124" i="8"/>
  <c r="G2339" i="8"/>
  <c r="G2976" i="8"/>
  <c r="G2975" i="8"/>
  <c r="G2334" i="8"/>
  <c r="G2973" i="8"/>
  <c r="G2972" i="8"/>
  <c r="G2330" i="8"/>
  <c r="G3444" i="8"/>
  <c r="G2969" i="8"/>
  <c r="G3510" i="8"/>
  <c r="G2119" i="8"/>
  <c r="G2328" i="8"/>
  <c r="G2374" i="8"/>
  <c r="G2370" i="8"/>
  <c r="G2091" i="8"/>
  <c r="G2962" i="8"/>
  <c r="G2317" i="8"/>
  <c r="G2960" i="8"/>
  <c r="G2112" i="8"/>
  <c r="G2088" i="8"/>
  <c r="G3508" i="8"/>
  <c r="G2956" i="8"/>
  <c r="G3440" i="8"/>
  <c r="G2083" i="8"/>
  <c r="G3435" i="8"/>
  <c r="G2952" i="8"/>
  <c r="G2076" i="8"/>
  <c r="G2950" i="8"/>
  <c r="G2949" i="8"/>
  <c r="G2948" i="8"/>
  <c r="G2947" i="8"/>
  <c r="G2946" i="8"/>
  <c r="G2109" i="8"/>
  <c r="G2979" i="8"/>
  <c r="G2106" i="8"/>
  <c r="G2942" i="8"/>
  <c r="G2941" i="8"/>
  <c r="G2940" i="8"/>
  <c r="G3626" i="8"/>
  <c r="G2366" i="8"/>
  <c r="G2099" i="8"/>
  <c r="G2098" i="8"/>
  <c r="G2935" i="8"/>
  <c r="G2934" i="8"/>
  <c r="G2093" i="8"/>
  <c r="G2932" i="8"/>
  <c r="G3100" i="8"/>
  <c r="G2953" i="8"/>
  <c r="G2929" i="8"/>
  <c r="G3501" i="8"/>
  <c r="G2927" i="8"/>
  <c r="G2315" i="8"/>
  <c r="G2301" i="8"/>
  <c r="G2359" i="8"/>
  <c r="G2043" i="8"/>
  <c r="G2922" i="8"/>
  <c r="G2299" i="8"/>
  <c r="G2092" i="8"/>
  <c r="G2037" i="8"/>
  <c r="G2352" i="8"/>
  <c r="G2347" i="8"/>
  <c r="G2344" i="8"/>
  <c r="G3094" i="8"/>
  <c r="G2029" i="8"/>
  <c r="G2021" i="8"/>
  <c r="G3640" i="8"/>
  <c r="G2286" i="8"/>
  <c r="G2910" i="8"/>
  <c r="G2909" i="8"/>
  <c r="G2908" i="8"/>
  <c r="G2907" i="8"/>
  <c r="G2017" i="8"/>
  <c r="G2905" i="8"/>
  <c r="G2904" i="8"/>
  <c r="G2903" i="8"/>
  <c r="G2013" i="8"/>
  <c r="G2901" i="8"/>
  <c r="G2278" i="8"/>
  <c r="G2276" i="8"/>
  <c r="G2898" i="8"/>
  <c r="G2273" i="8"/>
  <c r="G2896" i="8"/>
  <c r="G2259" i="8"/>
  <c r="G2241" i="8"/>
  <c r="G2893" i="8"/>
  <c r="G2338" i="8"/>
  <c r="G2239" i="8"/>
  <c r="G2890" i="8"/>
  <c r="G2938" i="8"/>
  <c r="G2888" i="8"/>
  <c r="G2887" i="8"/>
  <c r="G3630" i="8"/>
  <c r="G3624" i="8"/>
  <c r="G2232" i="8"/>
  <c r="G2009" i="8"/>
  <c r="G2230" i="8"/>
  <c r="G2881" i="8"/>
  <c r="G2880" i="8"/>
  <c r="G2879" i="8"/>
  <c r="G2878" i="8"/>
  <c r="G2877" i="8"/>
  <c r="G2876" i="8"/>
  <c r="G2090" i="8"/>
  <c r="G3500" i="8"/>
  <c r="G3090" i="8"/>
  <c r="G2930" i="8"/>
  <c r="G2871" i="8"/>
  <c r="G2870" i="8"/>
  <c r="G3413" i="8"/>
  <c r="G2087" i="8"/>
  <c r="G2008" i="8"/>
  <c r="G2227" i="8"/>
  <c r="G2865" i="8"/>
  <c r="G2864" i="8"/>
  <c r="G2863" i="8"/>
  <c r="G2084" i="8"/>
  <c r="G2861" i="8"/>
  <c r="G2860" i="8"/>
  <c r="G2859" i="8"/>
  <c r="G2858" i="8"/>
  <c r="G2324" i="8"/>
  <c r="G2007" i="8"/>
  <c r="G2217" i="8"/>
  <c r="G2312" i="8"/>
  <c r="G2853" i="8"/>
  <c r="G2852" i="8"/>
  <c r="G2851" i="8"/>
  <c r="G2311" i="8"/>
  <c r="G2211" i="8"/>
  <c r="G2848" i="8"/>
  <c r="G2847" i="8"/>
  <c r="G2846" i="8"/>
  <c r="G2845" i="8"/>
  <c r="G3622" i="8"/>
  <c r="G2843" i="8"/>
  <c r="G2842" i="8"/>
  <c r="G1996" i="8"/>
  <c r="G3289" i="8"/>
  <c r="G2839" i="8"/>
  <c r="G3284" i="8"/>
  <c r="G3620" i="8"/>
  <c r="G2836" i="8"/>
  <c r="G2306" i="8"/>
  <c r="G2080" i="8"/>
  <c r="G2206" i="8"/>
  <c r="G2300" i="8"/>
  <c r="G2831" i="8"/>
  <c r="G2194" i="8"/>
  <c r="G2829" i="8"/>
  <c r="G3408" i="8"/>
  <c r="G1991" i="8"/>
  <c r="G2078" i="8"/>
  <c r="G2825" i="8"/>
  <c r="G2824" i="8"/>
  <c r="G2297" i="8"/>
  <c r="G2968" i="8"/>
  <c r="G2070" i="8"/>
  <c r="G1990" i="8"/>
  <c r="G2289" i="8"/>
  <c r="G2818" i="8"/>
  <c r="G2817" i="8"/>
  <c r="G2816" i="8"/>
  <c r="G2284" i="8"/>
  <c r="G2814" i="8"/>
  <c r="G2280" i="8"/>
  <c r="G2812" i="8"/>
  <c r="G2811" i="8"/>
  <c r="G2810" i="8"/>
  <c r="G2270" i="8"/>
  <c r="G2065" i="8"/>
  <c r="G2807" i="8"/>
  <c r="G2268" i="8"/>
  <c r="G2924" i="8"/>
  <c r="G2191" i="8"/>
  <c r="G2169" i="8"/>
  <c r="G2802" i="8"/>
  <c r="G3400" i="8"/>
  <c r="G2064" i="8"/>
  <c r="G2167" i="8"/>
  <c r="G2163" i="8"/>
  <c r="G3283" i="8"/>
  <c r="G2262" i="8"/>
  <c r="G1985" i="8"/>
  <c r="G2794" i="8"/>
  <c r="G1984" i="8"/>
  <c r="G2260" i="8"/>
  <c r="G2791" i="8"/>
  <c r="G2254" i="8"/>
  <c r="G1983" i="8"/>
  <c r="G3077" i="8"/>
  <c r="G3618" i="8"/>
  <c r="G3614" i="8"/>
  <c r="G2785" i="8"/>
  <c r="G2253" i="8"/>
  <c r="G1981" i="8"/>
  <c r="G2782" i="8"/>
  <c r="G1963" i="8"/>
  <c r="G2251" i="8"/>
  <c r="G1961" i="8"/>
  <c r="G2061" i="8"/>
  <c r="G3498" i="8"/>
  <c r="G2247" i="8"/>
  <c r="G2775" i="8"/>
  <c r="G2774" i="8"/>
  <c r="G2060" i="8"/>
  <c r="G1945" i="8"/>
  <c r="G2154" i="8"/>
  <c r="G2963" i="8"/>
  <c r="G2139" i="8"/>
  <c r="G2121" i="8"/>
  <c r="G2245" i="8"/>
  <c r="G3494" i="8"/>
  <c r="G2059" i="8"/>
  <c r="G2764" i="8"/>
  <c r="G2763" i="8"/>
  <c r="G3281" i="8"/>
  <c r="G3391" i="8"/>
  <c r="G3492" i="8"/>
  <c r="G3609" i="8"/>
  <c r="G2758" i="8"/>
  <c r="G1944" i="8"/>
  <c r="G2058" i="8"/>
  <c r="G2052" i="8"/>
  <c r="G2754" i="8"/>
  <c r="G2753" i="8"/>
  <c r="G2752" i="8"/>
  <c r="G2751" i="8"/>
  <c r="G2750" i="8"/>
  <c r="G2226" i="8"/>
  <c r="G2049" i="8"/>
  <c r="G1941" i="8"/>
  <c r="G2746" i="8"/>
  <c r="G1936" i="8"/>
  <c r="G2958" i="8"/>
  <c r="G3600" i="8"/>
  <c r="G2742" i="8"/>
  <c r="G2741" i="8"/>
  <c r="G2740" i="8"/>
  <c r="G1934" i="8"/>
  <c r="G2738" i="8"/>
  <c r="G2737" i="8"/>
  <c r="G2114" i="8"/>
  <c r="G2735" i="8"/>
  <c r="G2086" i="8"/>
  <c r="G2733" i="8"/>
  <c r="G2732" i="8"/>
  <c r="G2731" i="8"/>
  <c r="G1924" i="8"/>
  <c r="G2040" i="8"/>
  <c r="G2728" i="8"/>
  <c r="G2024" i="8"/>
  <c r="G2726" i="8"/>
  <c r="G2213" i="8"/>
  <c r="G2081" i="8"/>
  <c r="G1915" i="8"/>
  <c r="G2722" i="8"/>
  <c r="G2721" i="8"/>
  <c r="G3489" i="8"/>
  <c r="G3599" i="8"/>
  <c r="G3594" i="8"/>
  <c r="G2717" i="8"/>
  <c r="G2207" i="8"/>
  <c r="G2198" i="8"/>
  <c r="G2714" i="8"/>
  <c r="G2713" i="8"/>
  <c r="G2193" i="8"/>
  <c r="G2957" i="8"/>
  <c r="G2023" i="8"/>
  <c r="G2709" i="8"/>
  <c r="G1913" i="8"/>
  <c r="G1907" i="8"/>
  <c r="G2706" i="8"/>
  <c r="G2918" i="8"/>
  <c r="G2079" i="8"/>
  <c r="G1905" i="8"/>
  <c r="G3388" i="8"/>
  <c r="G3589" i="8"/>
  <c r="G2700" i="8"/>
  <c r="G2020" i="8"/>
  <c r="G3616" i="8"/>
  <c r="G3611" i="8"/>
  <c r="G2184" i="8"/>
  <c r="G2015" i="8"/>
  <c r="G2176" i="8"/>
  <c r="G2006" i="8"/>
  <c r="G2004" i="8"/>
  <c r="G2073" i="8"/>
  <c r="G2690" i="8"/>
  <c r="G1997" i="8"/>
  <c r="G2688" i="8"/>
  <c r="G2687" i="8"/>
  <c r="G2686" i="8"/>
  <c r="G2164" i="8"/>
  <c r="G2069" i="8"/>
  <c r="G2161" i="8"/>
  <c r="G2682" i="8"/>
  <c r="G2151" i="8"/>
  <c r="G2680" i="8"/>
  <c r="G2917" i="8"/>
  <c r="G1904" i="8"/>
  <c r="G2068" i="8"/>
  <c r="G2676" i="8"/>
  <c r="G2062" i="8"/>
  <c r="G2674" i="8"/>
  <c r="G2673" i="8"/>
  <c r="G2143" i="8"/>
  <c r="G2671" i="8"/>
  <c r="G2046" i="8"/>
  <c r="G2669" i="8"/>
  <c r="G1989" i="8"/>
  <c r="G2142" i="8"/>
  <c r="G2045" i="8"/>
  <c r="G2665" i="8"/>
  <c r="G3606" i="8"/>
  <c r="G2916" i="8"/>
  <c r="G2662" i="8"/>
  <c r="G3587" i="8"/>
  <c r="G2660" i="8"/>
  <c r="G2659" i="8"/>
  <c r="G1894" i="8"/>
  <c r="G1986" i="8"/>
  <c r="G2954" i="8"/>
  <c r="G2655" i="8"/>
  <c r="G1892" i="8"/>
  <c r="G1982" i="8"/>
  <c r="G2038" i="8"/>
  <c r="G1973" i="8"/>
  <c r="G2033" i="8"/>
  <c r="G1971" i="8"/>
  <c r="G1885" i="8"/>
  <c r="G2138" i="8"/>
  <c r="G3487" i="8"/>
  <c r="G1967" i="8"/>
  <c r="G2031" i="8"/>
  <c r="G2643" i="8"/>
  <c r="G2136" i="8"/>
  <c r="G2641" i="8"/>
  <c r="G2640" i="8"/>
  <c r="G1952" i="8"/>
  <c r="G2638" i="8"/>
  <c r="G2892" i="8"/>
  <c r="G1882" i="8"/>
  <c r="G3273" i="8"/>
  <c r="G3579" i="8"/>
  <c r="G2633" i="8"/>
  <c r="G2632" i="8"/>
  <c r="G2631" i="8"/>
  <c r="G2630" i="8"/>
  <c r="G2629" i="8"/>
  <c r="G3602" i="8"/>
  <c r="G1949" i="8"/>
  <c r="G1946" i="8"/>
  <c r="G2625" i="8"/>
  <c r="G2028" i="8"/>
  <c r="G2002" i="8"/>
  <c r="G1933" i="8"/>
  <c r="G2621" i="8"/>
  <c r="G1999" i="8"/>
  <c r="G1998" i="8"/>
  <c r="G3387" i="8"/>
  <c r="G2617" i="8"/>
  <c r="G1980" i="8"/>
  <c r="G1879" i="8"/>
  <c r="G2135" i="8"/>
  <c r="G2613" i="8"/>
  <c r="G2133" i="8"/>
  <c r="G2611" i="8"/>
  <c r="G2129" i="8"/>
  <c r="G2609" i="8"/>
  <c r="G1876" i="8"/>
  <c r="G1931" i="8"/>
  <c r="G2117" i="8"/>
  <c r="G1976" i="8"/>
  <c r="G1972" i="8"/>
  <c r="G1966" i="8"/>
  <c r="G2602" i="8"/>
  <c r="G2601" i="8"/>
  <c r="G1960" i="8"/>
  <c r="G2599" i="8"/>
  <c r="G3591" i="8"/>
  <c r="G2115" i="8"/>
  <c r="G1929" i="8"/>
  <c r="G2595" i="8"/>
  <c r="G3075" i="8"/>
  <c r="G3571" i="8"/>
  <c r="G3382" i="8"/>
  <c r="G1875" i="8"/>
  <c r="G1953" i="8"/>
  <c r="G2589" i="8"/>
  <c r="G1867" i="8"/>
  <c r="G1951" i="8"/>
  <c r="G2111" i="8"/>
  <c r="G1928" i="8"/>
  <c r="G1863" i="8"/>
  <c r="G1914" i="8"/>
  <c r="G1912" i="8"/>
  <c r="G1950" i="8"/>
  <c r="G2580" i="8"/>
  <c r="G2889" i="8"/>
  <c r="G2578" i="8"/>
  <c r="G3380" i="8"/>
  <c r="G1948" i="8"/>
  <c r="G2575" i="8"/>
  <c r="G1906" i="8"/>
  <c r="G1888" i="8"/>
  <c r="G1862" i="8"/>
  <c r="G2108" i="8"/>
  <c r="G1943" i="8"/>
  <c r="G1878" i="8"/>
  <c r="G1873" i="8"/>
  <c r="G1871" i="8"/>
  <c r="G2107" i="8"/>
  <c r="G2565" i="8"/>
  <c r="G1868" i="8"/>
  <c r="G3590" i="8"/>
  <c r="G2103" i="8"/>
  <c r="G2561" i="8"/>
  <c r="G1855" i="8"/>
  <c r="G1866" i="8"/>
  <c r="G2558" i="8"/>
  <c r="G1939" i="8"/>
  <c r="G1937" i="8"/>
  <c r="G2555" i="8"/>
  <c r="G1856" i="8"/>
  <c r="G2553" i="8"/>
  <c r="G2872" i="8"/>
  <c r="G2551" i="8"/>
  <c r="G2550" i="8"/>
  <c r="G2549" i="8"/>
  <c r="G2951" i="8"/>
  <c r="G3471" i="8"/>
  <c r="G3466" i="8"/>
  <c r="G2545" i="8"/>
  <c r="G2544" i="8"/>
  <c r="G1854" i="8"/>
  <c r="G1917" i="8"/>
  <c r="G2097" i="8"/>
  <c r="G2540" i="8"/>
  <c r="G2085" i="8"/>
  <c r="G2082" i="8"/>
  <c r="G2537" i="8"/>
  <c r="G1852" i="8"/>
  <c r="G1848" i="8"/>
  <c r="G1908" i="8"/>
  <c r="G1842" i="8"/>
  <c r="G1851" i="8"/>
  <c r="G2531" i="8"/>
  <c r="G2077" i="8"/>
  <c r="G2075" i="8"/>
  <c r="G2528" i="8"/>
  <c r="G1843" i="8"/>
  <c r="G1839" i="8"/>
  <c r="G1903" i="8"/>
  <c r="G2066" i="8"/>
  <c r="G1833" i="8"/>
  <c r="G2522" i="8"/>
  <c r="G1901" i="8"/>
  <c r="G2056" i="8"/>
  <c r="G2055" i="8"/>
  <c r="G2054" i="8"/>
  <c r="G2039" i="8"/>
  <c r="G1899" i="8"/>
  <c r="G2515" i="8"/>
  <c r="G2514" i="8"/>
  <c r="G2513" i="8"/>
  <c r="G1829" i="8"/>
  <c r="G3071" i="8"/>
  <c r="G3037" i="8"/>
  <c r="G2509" i="8"/>
  <c r="G3566" i="8"/>
  <c r="G2507" i="8"/>
  <c r="G2506" i="8"/>
  <c r="G1898" i="8"/>
  <c r="G1841" i="8"/>
  <c r="G1826" i="8"/>
  <c r="G1884" i="8"/>
  <c r="G2501" i="8"/>
  <c r="G1821" i="8"/>
  <c r="G1825" i="8"/>
  <c r="G2034" i="8"/>
  <c r="G2497" i="8"/>
  <c r="G1811" i="8"/>
  <c r="G2869" i="8"/>
  <c r="G2494" i="8"/>
  <c r="G3558" i="8"/>
  <c r="G2492" i="8"/>
  <c r="G2491" i="8"/>
  <c r="G1816" i="8"/>
  <c r="G2489" i="8"/>
  <c r="G2944" i="8"/>
  <c r="G2487" i="8"/>
  <c r="G2486" i="8"/>
  <c r="G1804" i="8"/>
  <c r="G3463" i="8"/>
  <c r="G2483" i="8"/>
  <c r="G2032" i="8"/>
  <c r="G1881" i="8"/>
  <c r="G1802" i="8"/>
  <c r="G1815" i="8"/>
  <c r="G1874" i="8"/>
  <c r="G3454" i="8"/>
  <c r="G2476" i="8"/>
  <c r="G1870" i="8"/>
  <c r="G2474" i="8"/>
  <c r="G1776" i="8"/>
  <c r="G1869" i="8"/>
  <c r="G2027" i="8"/>
  <c r="G2022" i="8"/>
  <c r="G3439" i="8"/>
  <c r="G2468" i="8"/>
  <c r="G3379" i="8"/>
  <c r="G1809" i="8"/>
  <c r="G3365" i="8"/>
  <c r="G1864" i="8"/>
  <c r="G1774" i="8"/>
  <c r="G1857" i="8"/>
  <c r="G1849" i="8"/>
  <c r="G1846" i="8"/>
  <c r="G3436" i="8"/>
  <c r="G2010" i="8"/>
  <c r="G2457" i="8"/>
  <c r="G2456" i="8"/>
  <c r="G2455" i="8"/>
  <c r="G2454" i="8"/>
  <c r="G2453" i="8"/>
  <c r="G3012" i="8"/>
  <c r="G2451" i="8"/>
  <c r="G1807" i="8"/>
  <c r="G1806" i="8"/>
  <c r="G2448" i="8"/>
  <c r="G2003" i="8"/>
  <c r="G1773" i="8"/>
  <c r="G2445" i="8"/>
  <c r="G2444" i="8"/>
  <c r="G1995" i="8"/>
  <c r="G1759" i="8"/>
  <c r="G1977" i="8"/>
  <c r="G1838" i="8"/>
  <c r="G1970" i="8"/>
  <c r="G1741" i="8"/>
  <c r="G1831" i="8"/>
  <c r="G2436" i="8"/>
  <c r="G1827" i="8"/>
  <c r="G2434" i="8"/>
  <c r="G2433" i="8"/>
  <c r="G2432" i="8"/>
  <c r="G1803" i="8"/>
  <c r="G2430" i="8"/>
  <c r="G1969" i="8"/>
  <c r="G1740" i="8"/>
  <c r="G2857" i="8"/>
  <c r="G3009" i="8"/>
  <c r="G2425" i="8"/>
  <c r="G2424" i="8"/>
  <c r="G2928" i="8"/>
  <c r="G2422" i="8"/>
  <c r="G1801" i="8"/>
  <c r="G1818" i="8"/>
  <c r="G1968" i="8"/>
  <c r="G2418" i="8"/>
  <c r="G1956" i="8"/>
  <c r="G3433" i="8"/>
  <c r="G1790" i="8"/>
  <c r="G1735" i="8"/>
  <c r="G1955" i="8"/>
  <c r="G1954" i="8"/>
  <c r="G1789" i="8"/>
  <c r="G2410" i="8"/>
  <c r="G3360" i="8"/>
  <c r="G3354" i="8"/>
  <c r="G3556" i="8"/>
  <c r="G1731" i="8"/>
  <c r="G2405" i="8"/>
  <c r="G2404" i="8"/>
  <c r="G1717" i="8"/>
  <c r="G1814" i="8"/>
  <c r="G1788" i="8"/>
  <c r="G2400" i="8"/>
  <c r="G3268" i="8"/>
  <c r="G3586" i="8"/>
  <c r="G1812" i="8"/>
  <c r="G1938" i="8"/>
  <c r="G2395" i="8"/>
  <c r="G1930" i="8"/>
  <c r="G1925" i="8"/>
  <c r="G1923" i="8"/>
  <c r="G1922" i="8"/>
  <c r="G1800" i="8"/>
  <c r="G1911" i="8"/>
  <c r="G2388" i="8"/>
  <c r="G2387" i="8"/>
  <c r="G2386" i="8"/>
  <c r="G1793" i="8"/>
  <c r="G2384" i="8"/>
  <c r="G3349" i="8"/>
  <c r="G1792" i="8"/>
  <c r="G2923" i="8"/>
  <c r="G1716" i="8"/>
  <c r="G2379" i="8"/>
  <c r="G3432" i="8"/>
  <c r="G1787" i="8"/>
  <c r="G1786" i="8"/>
  <c r="G3582" i="8"/>
  <c r="G1910" i="8"/>
  <c r="G2373" i="8"/>
  <c r="G3574" i="8"/>
  <c r="G1778" i="8"/>
  <c r="G1909" i="8"/>
  <c r="G2369" i="8"/>
  <c r="G1762" i="8"/>
  <c r="G3554" i="8"/>
  <c r="G3338" i="8"/>
  <c r="G1755" i="8"/>
  <c r="G2364" i="8"/>
  <c r="G2363" i="8"/>
  <c r="G1784" i="8"/>
  <c r="G2361" i="8"/>
  <c r="G1713" i="8"/>
  <c r="G1890" i="8"/>
  <c r="G2358" i="8"/>
  <c r="G1706" i="8"/>
  <c r="G1781" i="8"/>
  <c r="G2355" i="8"/>
  <c r="G2919" i="8"/>
  <c r="G2353" i="8"/>
  <c r="G1883" i="8"/>
  <c r="G2351" i="8"/>
  <c r="G2350" i="8"/>
  <c r="G3422" i="8"/>
  <c r="G2348" i="8"/>
  <c r="G1877" i="8"/>
  <c r="G1753" i="8"/>
  <c r="G1751" i="8"/>
  <c r="G1872" i="8"/>
  <c r="G3003" i="8"/>
  <c r="G3412" i="8"/>
  <c r="G1744" i="8"/>
  <c r="G1780" i="8"/>
  <c r="G1771" i="8"/>
  <c r="G1853" i="8"/>
  <c r="G2337" i="8"/>
  <c r="G2336" i="8"/>
  <c r="G2335" i="8"/>
  <c r="G1758" i="8"/>
  <c r="G1724" i="8"/>
  <c r="G1697" i="8"/>
  <c r="G2331" i="8"/>
  <c r="G3265" i="8"/>
  <c r="G3411" i="8"/>
  <c r="G3567" i="8"/>
  <c r="G2327" i="8"/>
  <c r="G2326" i="8"/>
  <c r="G2325" i="8"/>
  <c r="G3337" i="8"/>
  <c r="G1715" i="8"/>
  <c r="G2322" i="8"/>
  <c r="G2321" i="8"/>
  <c r="G1701" i="8"/>
  <c r="G1696" i="8"/>
  <c r="G2318" i="8"/>
  <c r="G1756" i="8"/>
  <c r="G2316" i="8"/>
  <c r="G1754" i="8"/>
  <c r="G2314" i="8"/>
  <c r="G1675" i="8"/>
  <c r="G1850" i="8"/>
  <c r="G1847" i="8"/>
  <c r="G2310" i="8"/>
  <c r="G2309" i="8"/>
  <c r="G2308" i="8"/>
  <c r="G2307" i="8"/>
  <c r="G1835" i="8"/>
  <c r="G2305" i="8"/>
  <c r="G1674" i="8"/>
  <c r="G2303" i="8"/>
  <c r="G1673" i="8"/>
  <c r="G1752" i="8"/>
  <c r="G2854" i="8"/>
  <c r="G1739" i="8"/>
  <c r="G3548" i="8"/>
  <c r="G3328" i="8"/>
  <c r="G2296" i="8"/>
  <c r="G2295" i="8"/>
  <c r="G2294" i="8"/>
  <c r="G2293" i="8"/>
  <c r="G2292" i="8"/>
  <c r="G1670" i="8"/>
  <c r="G2290" i="8"/>
  <c r="G1832" i="8"/>
  <c r="G2288" i="8"/>
  <c r="G1694" i="8"/>
  <c r="G3260" i="8"/>
  <c r="G2285" i="8"/>
  <c r="G2850" i="8"/>
  <c r="G1688" i="8"/>
  <c r="G3543" i="8"/>
  <c r="G3536" i="8"/>
  <c r="G1823" i="8"/>
  <c r="G1678" i="8"/>
  <c r="G3564" i="8"/>
  <c r="G2277" i="8"/>
  <c r="G3560" i="8"/>
  <c r="G2275" i="8"/>
  <c r="G2274" i="8"/>
  <c r="G1738" i="8"/>
  <c r="G2272" i="8"/>
  <c r="G1664" i="8"/>
  <c r="G1808" i="8"/>
  <c r="G2269" i="8"/>
  <c r="G1798" i="8"/>
  <c r="G2267" i="8"/>
  <c r="G1658" i="8"/>
  <c r="G2265" i="8"/>
  <c r="G1644" i="8"/>
  <c r="G1677" i="8"/>
  <c r="G1791" i="8"/>
  <c r="G1676" i="8"/>
  <c r="G1783" i="8"/>
  <c r="G1737" i="8"/>
  <c r="G2258" i="8"/>
  <c r="G2257" i="8"/>
  <c r="G3533" i="8"/>
  <c r="G2255" i="8"/>
  <c r="G1777" i="8"/>
  <c r="G1769" i="8"/>
  <c r="G2252" i="8"/>
  <c r="G1768" i="8"/>
  <c r="G2250" i="8"/>
  <c r="G2249" i="8"/>
  <c r="G1639" i="8"/>
  <c r="G1767" i="8"/>
  <c r="G1623" i="8"/>
  <c r="G1749" i="8"/>
  <c r="G2244" i="8"/>
  <c r="G3002" i="8"/>
  <c r="G2242" i="8"/>
  <c r="G1723" i="8"/>
  <c r="G3522" i="8"/>
  <c r="G3257" i="8"/>
  <c r="G2238" i="8"/>
  <c r="G2237" i="8"/>
  <c r="G1612" i="8"/>
  <c r="G2235" i="8"/>
  <c r="G1665" i="8"/>
  <c r="G2233" i="8"/>
  <c r="G1721" i="8"/>
  <c r="G2231" i="8"/>
  <c r="G1712" i="8"/>
  <c r="G2229" i="8"/>
  <c r="G1590" i="8"/>
  <c r="G1710" i="8"/>
  <c r="G1748" i="8"/>
  <c r="G1653" i="8"/>
  <c r="G2224" i="8"/>
  <c r="G2223" i="8"/>
  <c r="G1586" i="8"/>
  <c r="G2221" i="8"/>
  <c r="G2220" i="8"/>
  <c r="G2219" i="8"/>
  <c r="G1649" i="8"/>
  <c r="G1709" i="8"/>
  <c r="G2216" i="8"/>
  <c r="G3497" i="8"/>
  <c r="G2214" i="8"/>
  <c r="G3317" i="8"/>
  <c r="G2914" i="8"/>
  <c r="G1702" i="8"/>
  <c r="G2210" i="8"/>
  <c r="G1646" i="8"/>
  <c r="G1630" i="8"/>
  <c r="G1745" i="8"/>
  <c r="G1695" i="8"/>
  <c r="G2205" i="8"/>
  <c r="G1581" i="8"/>
  <c r="G1627" i="8"/>
  <c r="G2202" i="8"/>
  <c r="G1626" i="8"/>
  <c r="G2200" i="8"/>
  <c r="G2199" i="8"/>
  <c r="G3312" i="8"/>
  <c r="G3495" i="8"/>
  <c r="G2196" i="8"/>
  <c r="G2195" i="8"/>
  <c r="G1693" i="8"/>
  <c r="G1743" i="8"/>
  <c r="G2913" i="8"/>
  <c r="G1692" i="8"/>
  <c r="G1571" i="8"/>
  <c r="G2189" i="8"/>
  <c r="G3395" i="8"/>
  <c r="G2187" i="8"/>
  <c r="G2186" i="8"/>
  <c r="G2185" i="8"/>
  <c r="G1742" i="8"/>
  <c r="G2183" i="8"/>
  <c r="G1570" i="8"/>
  <c r="G1567" i="8"/>
  <c r="G2180" i="8"/>
  <c r="G1622" i="8"/>
  <c r="G1621" i="8"/>
  <c r="G1565" i="8"/>
  <c r="G1736" i="8"/>
  <c r="G3393" i="8"/>
  <c r="G2174" i="8"/>
  <c r="G1620" i="8"/>
  <c r="G2172" i="8"/>
  <c r="G2171" i="8"/>
  <c r="G1616" i="8"/>
  <c r="G1691" i="8"/>
  <c r="G2168" i="8"/>
  <c r="G1684" i="8"/>
  <c r="G1615" i="8"/>
  <c r="G2165" i="8"/>
  <c r="G1734" i="8"/>
  <c r="G3551" i="8"/>
  <c r="G2162" i="8"/>
  <c r="G1730" i="8"/>
  <c r="G1564" i="8"/>
  <c r="G2159" i="8"/>
  <c r="G2158" i="8"/>
  <c r="G1614" i="8"/>
  <c r="G2156" i="8"/>
  <c r="G2155" i="8"/>
  <c r="G1683" i="8"/>
  <c r="G1559" i="8"/>
  <c r="G2152" i="8"/>
  <c r="G1728" i="8"/>
  <c r="G1555" i="8"/>
  <c r="G2149" i="8"/>
  <c r="G2148" i="8"/>
  <c r="G1610" i="8"/>
  <c r="G1607" i="8"/>
  <c r="G1605" i="8"/>
  <c r="G3390" i="8"/>
  <c r="G1725" i="8"/>
  <c r="G1714" i="8"/>
  <c r="G2141" i="8"/>
  <c r="G2140" i="8"/>
  <c r="G1682" i="8"/>
  <c r="G1704" i="8"/>
  <c r="G1554" i="8"/>
  <c r="G1703" i="8"/>
  <c r="G1700" i="8"/>
  <c r="G1553" i="8"/>
  <c r="G2835" i="8"/>
  <c r="G2132" i="8"/>
  <c r="G2131" i="8"/>
  <c r="G2130" i="8"/>
  <c r="G3305" i="8"/>
  <c r="G2128" i="8"/>
  <c r="G2127" i="8"/>
  <c r="G2126" i="8"/>
  <c r="G1596" i="8"/>
  <c r="G1552" i="8"/>
  <c r="G2123" i="8"/>
  <c r="G2122" i="8"/>
  <c r="G1679" i="8"/>
  <c r="G2906" i="8"/>
  <c r="G1542" i="8"/>
  <c r="G3386" i="8"/>
  <c r="G2832" i="8"/>
  <c r="G2116" i="8"/>
  <c r="G3291" i="8"/>
  <c r="G3547" i="8"/>
  <c r="G1593" i="8"/>
  <c r="G1532" i="8"/>
  <c r="G1690" i="8"/>
  <c r="G2902" i="8"/>
  <c r="G1514" i="8"/>
  <c r="G1689" i="8"/>
  <c r="G1686" i="8"/>
  <c r="G1509" i="8"/>
  <c r="G2105" i="8"/>
  <c r="G2104" i="8"/>
  <c r="G1668" i="8"/>
  <c r="G2102" i="8"/>
  <c r="G2101" i="8"/>
  <c r="G2100" i="8"/>
  <c r="G1503" i="8"/>
  <c r="G1499" i="8"/>
  <c r="G1663" i="8"/>
  <c r="G2096" i="8"/>
  <c r="G2095" i="8"/>
  <c r="G2094" i="8"/>
  <c r="G1487" i="8"/>
  <c r="G1482" i="8"/>
  <c r="G1572" i="8"/>
  <c r="G3491" i="8"/>
  <c r="G2089" i="8"/>
  <c r="G1563" i="8"/>
  <c r="G1472" i="8"/>
  <c r="G1667" i="8"/>
  <c r="G1660" i="8"/>
  <c r="G1464" i="8"/>
  <c r="G1558" i="8"/>
  <c r="G1659" i="8"/>
  <c r="G1666" i="8"/>
  <c r="G1463" i="8"/>
  <c r="G1662" i="8"/>
  <c r="G1449" i="8"/>
  <c r="G1655" i="8"/>
  <c r="G1549" i="8"/>
  <c r="G2828" i="8"/>
  <c r="G2074" i="8"/>
  <c r="G3544" i="8"/>
  <c r="G2072" i="8"/>
  <c r="G2071" i="8"/>
  <c r="G1448" i="8"/>
  <c r="G1654" i="8"/>
  <c r="G1650" i="8"/>
  <c r="G2067" i="8"/>
  <c r="G1651" i="8"/>
  <c r="G1446" i="8"/>
  <c r="G1442" i="8"/>
  <c r="G2063" i="8"/>
  <c r="G3251" i="8"/>
  <c r="G1441" i="8"/>
  <c r="G1440" i="8"/>
  <c r="G1439" i="8"/>
  <c r="G1438" i="8"/>
  <c r="G2057" i="8"/>
  <c r="G1643" i="8"/>
  <c r="G1641" i="8"/>
  <c r="G1640" i="8"/>
  <c r="G2053" i="8"/>
  <c r="G1424" i="8"/>
  <c r="G2051" i="8"/>
  <c r="G2050" i="8"/>
  <c r="G2999" i="8"/>
  <c r="G2048" i="8"/>
  <c r="G2047" i="8"/>
  <c r="G3542" i="8"/>
  <c r="G1633" i="8"/>
  <c r="G2044" i="8"/>
  <c r="G1541" i="8"/>
  <c r="G2042" i="8"/>
  <c r="G2041" i="8"/>
  <c r="G1421" i="8"/>
  <c r="G1638" i="8"/>
  <c r="G1632" i="8"/>
  <c r="G1539" i="8"/>
  <c r="G2036" i="8"/>
  <c r="G2035" i="8"/>
  <c r="G2823" i="8"/>
  <c r="G1613" i="8"/>
  <c r="G3288" i="8"/>
  <c r="G1606" i="8"/>
  <c r="G2030" i="8"/>
  <c r="G1530" i="8"/>
  <c r="G1604" i="8"/>
  <c r="G1624" i="8"/>
  <c r="G2026" i="8"/>
  <c r="G2025" i="8"/>
  <c r="G1418" i="8"/>
  <c r="G1413" i="8"/>
  <c r="G1617" i="8"/>
  <c r="G2883" i="8"/>
  <c r="G1411" i="8"/>
  <c r="G2019" i="8"/>
  <c r="G2018" i="8"/>
  <c r="G2874" i="8"/>
  <c r="G2016" i="8"/>
  <c r="G1400" i="8"/>
  <c r="G2014" i="8"/>
  <c r="G1522" i="8"/>
  <c r="G2012" i="8"/>
  <c r="G2011" i="8"/>
  <c r="G1603" i="8"/>
  <c r="G2867" i="8"/>
  <c r="G3385" i="8"/>
  <c r="G1517" i="8"/>
  <c r="G3484" i="8"/>
  <c r="G2005" i="8"/>
  <c r="G3479" i="8"/>
  <c r="G1601" i="8"/>
  <c r="G1594" i="8"/>
  <c r="G2001" i="8"/>
  <c r="G2000" i="8"/>
  <c r="G1576" i="8"/>
  <c r="G3243" i="8"/>
  <c r="G1392" i="8"/>
  <c r="G1511" i="8"/>
  <c r="G1600" i="8"/>
  <c r="G1994" i="8"/>
  <c r="G1993" i="8"/>
  <c r="G1992" i="8"/>
  <c r="G1507" i="8"/>
  <c r="G1506" i="8"/>
  <c r="G3475" i="8"/>
  <c r="G1988" i="8"/>
  <c r="G1987" i="8"/>
  <c r="G1389" i="8"/>
  <c r="G3376" i="8"/>
  <c r="G1502" i="8"/>
  <c r="G1493" i="8"/>
  <c r="G1380" i="8"/>
  <c r="G1471" i="8"/>
  <c r="G1575" i="8"/>
  <c r="G1979" i="8"/>
  <c r="G1978" i="8"/>
  <c r="G1595" i="8"/>
  <c r="G1560" i="8"/>
  <c r="G1975" i="8"/>
  <c r="G1974" i="8"/>
  <c r="G1379" i="8"/>
  <c r="G1534" i="8"/>
  <c r="G1372" i="8"/>
  <c r="G1589" i="8"/>
  <c r="G1580" i="8"/>
  <c r="G1561" i="8"/>
  <c r="G1370" i="8"/>
  <c r="G3236" i="8"/>
  <c r="G1965" i="8"/>
  <c r="G1964" i="8"/>
  <c r="G1460" i="8"/>
  <c r="G1962" i="8"/>
  <c r="G1459" i="8"/>
  <c r="G3541" i="8"/>
  <c r="G1959" i="8"/>
  <c r="G1958" i="8"/>
  <c r="G1957" i="8"/>
  <c r="G1550" i="8"/>
  <c r="G1548" i="8"/>
  <c r="G1547" i="8"/>
  <c r="G1531" i="8"/>
  <c r="G1361" i="8"/>
  <c r="G1528" i="8"/>
  <c r="G1526" i="8"/>
  <c r="G2989" i="8"/>
  <c r="G1524" i="8"/>
  <c r="G1947" i="8"/>
  <c r="G3460" i="8"/>
  <c r="G1450" i="8"/>
  <c r="G2856" i="8"/>
  <c r="G3230" i="8"/>
  <c r="G1942" i="8"/>
  <c r="G1435" i="8"/>
  <c r="G1940" i="8"/>
  <c r="G1520" i="8"/>
  <c r="G1544" i="8"/>
  <c r="G1516" i="8"/>
  <c r="G1423" i="8"/>
  <c r="G1935" i="8"/>
  <c r="G2841" i="8"/>
  <c r="G1355" i="8"/>
  <c r="G1932" i="8"/>
  <c r="G1354" i="8"/>
  <c r="G1540" i="8"/>
  <c r="G1352" i="8"/>
  <c r="G1343" i="8"/>
  <c r="G1927" i="8"/>
  <c r="G1926" i="8"/>
  <c r="G1535" i="8"/>
  <c r="G3366" i="8"/>
  <c r="G2819" i="8"/>
  <c r="G3286" i="8"/>
  <c r="G1921" i="8"/>
  <c r="G1920" i="8"/>
  <c r="G1919" i="8"/>
  <c r="G1918" i="8"/>
  <c r="G1512" i="8"/>
  <c r="G1916" i="8"/>
  <c r="G3361" i="8"/>
  <c r="G1336" i="8"/>
  <c r="G1412" i="8"/>
  <c r="G1334" i="8"/>
  <c r="G1527" i="8"/>
  <c r="G1525" i="8"/>
  <c r="G1523" i="8"/>
  <c r="G1490" i="8"/>
  <c r="G1408" i="8"/>
  <c r="G3457" i="8"/>
  <c r="G1407" i="8"/>
  <c r="G2827" i="8"/>
  <c r="G1488" i="8"/>
  <c r="G1902" i="8"/>
  <c r="G3227" i="8"/>
  <c r="G1900" i="8"/>
  <c r="G1485" i="8"/>
  <c r="G1478" i="8"/>
  <c r="G1897" i="8"/>
  <c r="G1896" i="8"/>
  <c r="G1895" i="8"/>
  <c r="G3355" i="8"/>
  <c r="G1893" i="8"/>
  <c r="G1403" i="8"/>
  <c r="G1891" i="8"/>
  <c r="G1515" i="8"/>
  <c r="G1889" i="8"/>
  <c r="G1330" i="8"/>
  <c r="G1887" i="8"/>
  <c r="G1886" i="8"/>
  <c r="G1401" i="8"/>
  <c r="G1468" i="8"/>
  <c r="G1505" i="8"/>
  <c r="G1399" i="8"/>
  <c r="G3540" i="8"/>
  <c r="G1880" i="8"/>
  <c r="G3347" i="8"/>
  <c r="G3450" i="8"/>
  <c r="G1500" i="8"/>
  <c r="G3343" i="8"/>
  <c r="G1397" i="8"/>
  <c r="G1458" i="8"/>
  <c r="G1328" i="8"/>
  <c r="G1498" i="8"/>
  <c r="G1323" i="8"/>
  <c r="G1457" i="8"/>
  <c r="G1455" i="8"/>
  <c r="G1317" i="8"/>
  <c r="G1395" i="8"/>
  <c r="G2988" i="8"/>
  <c r="G1865" i="8"/>
  <c r="G3537" i="8"/>
  <c r="G1394" i="8"/>
  <c r="G1393" i="8"/>
  <c r="G1861" i="8"/>
  <c r="G1860" i="8"/>
  <c r="G1859" i="8"/>
  <c r="G1858" i="8"/>
  <c r="G1451" i="8"/>
  <c r="G1312" i="8"/>
  <c r="G1390" i="8"/>
  <c r="G2822" i="8"/>
  <c r="G1497" i="8"/>
  <c r="G1387" i="8"/>
  <c r="G1303" i="8"/>
  <c r="G1491" i="8"/>
  <c r="G1447" i="8"/>
  <c r="G1376" i="8"/>
  <c r="G1480" i="8"/>
  <c r="G1444" i="8"/>
  <c r="G1845" i="8"/>
  <c r="G1844" i="8"/>
  <c r="G1297" i="8"/>
  <c r="G1373" i="8"/>
  <c r="G1291" i="8"/>
  <c r="G1840" i="8"/>
  <c r="G1362" i="8"/>
  <c r="G1428" i="8"/>
  <c r="G1837" i="8"/>
  <c r="G1836" i="8"/>
  <c r="G1479" i="8"/>
  <c r="G1834" i="8"/>
  <c r="G1342" i="8"/>
  <c r="G1477" i="8"/>
  <c r="G1409" i="8"/>
  <c r="G1830" i="8"/>
  <c r="G1340" i="8"/>
  <c r="G1828" i="8"/>
  <c r="G1391" i="8"/>
  <c r="G1337" i="8"/>
  <c r="G1311" i="8"/>
  <c r="G1824" i="8"/>
  <c r="G2815" i="8"/>
  <c r="G1822" i="8"/>
  <c r="G3449" i="8"/>
  <c r="G1820" i="8"/>
  <c r="G1819" i="8"/>
  <c r="G1388" i="8"/>
  <c r="G1817" i="8"/>
  <c r="G1304" i="8"/>
  <c r="G1292" i="8"/>
  <c r="G1385" i="8"/>
  <c r="G1813" i="8"/>
  <c r="G1384" i="8"/>
  <c r="G1282" i="8"/>
  <c r="G1810" i="8"/>
  <c r="G1290" i="8"/>
  <c r="G1474" i="8"/>
  <c r="G1280" i="8"/>
  <c r="G1277" i="8"/>
  <c r="G1805" i="8"/>
  <c r="G1271" i="8"/>
  <c r="G1275" i="8"/>
  <c r="G1268" i="8"/>
  <c r="G1263" i="8"/>
  <c r="G1369" i="8"/>
  <c r="G1799" i="8"/>
  <c r="G2813" i="8"/>
  <c r="G1797" i="8"/>
  <c r="G1796" i="8"/>
  <c r="G1795" i="8"/>
  <c r="G1794" i="8"/>
  <c r="G3222" i="8"/>
  <c r="G3530" i="8"/>
  <c r="G1470" i="8"/>
  <c r="G3341" i="8"/>
  <c r="G1262" i="8"/>
  <c r="G2820" i="8"/>
  <c r="G1350" i="8"/>
  <c r="G3339" i="8"/>
  <c r="G1785" i="8"/>
  <c r="G1349" i="8"/>
  <c r="G1461" i="8"/>
  <c r="G1782" i="8"/>
  <c r="G3217" i="8"/>
  <c r="G3529" i="8"/>
  <c r="G1779" i="8"/>
  <c r="G1261" i="8"/>
  <c r="G1454" i="8"/>
  <c r="G1267" i="8"/>
  <c r="G1775" i="8"/>
  <c r="G1264" i="8"/>
  <c r="G1252" i="8"/>
  <c r="G1772" i="8"/>
  <c r="G3528" i="8"/>
  <c r="G1770" i="8"/>
  <c r="G1453" i="8"/>
  <c r="G1445" i="8"/>
  <c r="G1443" i="8"/>
  <c r="G1766" i="8"/>
  <c r="G1765" i="8"/>
  <c r="G1764" i="8"/>
  <c r="G1763" i="8"/>
  <c r="G1258" i="8"/>
  <c r="G1761" i="8"/>
  <c r="G1760" i="8"/>
  <c r="G1250" i="8"/>
  <c r="G3213" i="8"/>
  <c r="G1757" i="8"/>
  <c r="G3527" i="8"/>
  <c r="G1251" i="8"/>
  <c r="G3524" i="8"/>
  <c r="G1247" i="8"/>
  <c r="G1347" i="8"/>
  <c r="G1243" i="8"/>
  <c r="G1750" i="8"/>
  <c r="G1437" i="8"/>
  <c r="G1436" i="8"/>
  <c r="G1747" i="8"/>
  <c r="G1746" i="8"/>
  <c r="G1426" i="8"/>
  <c r="G3333" i="8"/>
  <c r="G1422" i="8"/>
  <c r="G1419" i="8"/>
  <c r="G1249" i="8"/>
  <c r="G2984" i="8"/>
  <c r="G1346" i="8"/>
  <c r="G3521" i="8"/>
  <c r="G3515" i="8"/>
  <c r="G3285" i="8"/>
  <c r="G1244" i="8"/>
  <c r="G1410" i="8"/>
  <c r="G1733" i="8"/>
  <c r="G1732" i="8"/>
  <c r="G1242" i="8"/>
  <c r="G1398" i="8"/>
  <c r="G1729" i="8"/>
  <c r="G1386" i="8"/>
  <c r="G1727" i="8"/>
  <c r="G1726" i="8"/>
  <c r="G1381" i="8"/>
  <c r="G1238" i="8"/>
  <c r="G1335" i="8"/>
  <c r="G1722" i="8"/>
  <c r="G1333" i="8"/>
  <c r="G1720" i="8"/>
  <c r="G1719" i="8"/>
  <c r="G1718" i="8"/>
  <c r="G1241" i="8"/>
  <c r="G1228" i="8"/>
  <c r="G1236" i="8"/>
  <c r="G2809" i="8"/>
  <c r="G2981" i="8"/>
  <c r="G3513" i="8"/>
  <c r="G1711" i="8"/>
  <c r="G1322" i="8"/>
  <c r="G1320" i="8"/>
  <c r="G1708" i="8"/>
  <c r="G1707" i="8"/>
  <c r="G1217" i="8"/>
  <c r="G1705" i="8"/>
  <c r="G1375" i="8"/>
  <c r="G1366" i="8"/>
  <c r="G1318" i="8"/>
  <c r="G1233" i="8"/>
  <c r="G1363" i="8"/>
  <c r="G1699" i="8"/>
  <c r="G1698" i="8"/>
  <c r="G2978" i="8"/>
  <c r="G3446" i="8"/>
  <c r="G1313" i="8"/>
  <c r="G1222" i="8"/>
  <c r="G1310" i="8"/>
  <c r="G1308" i="8"/>
  <c r="G1305" i="8"/>
  <c r="G1359" i="8"/>
  <c r="G1338" i="8"/>
  <c r="G1215" i="8"/>
  <c r="G1687" i="8"/>
  <c r="G1332" i="8"/>
  <c r="G1685" i="8"/>
  <c r="G1302" i="8"/>
  <c r="G1301" i="8"/>
  <c r="G1300" i="8"/>
  <c r="G1681" i="8"/>
  <c r="G1680" i="8"/>
  <c r="G3506" i="8"/>
  <c r="G3332" i="8"/>
  <c r="G1202" i="8"/>
  <c r="G1197" i="8"/>
  <c r="G1211" i="8"/>
  <c r="G1200" i="8"/>
  <c r="G1188" i="8"/>
  <c r="G1672" i="8"/>
  <c r="G1671" i="8"/>
  <c r="G3445" i="8"/>
  <c r="G1669" i="8"/>
  <c r="G3274" i="8"/>
  <c r="G1299" i="8"/>
  <c r="G1295" i="8"/>
  <c r="G2795" i="8"/>
  <c r="G1187" i="8"/>
  <c r="G1321" i="8"/>
  <c r="G1289" i="8"/>
  <c r="G1661" i="8"/>
  <c r="G1319" i="8"/>
  <c r="G1314" i="8"/>
  <c r="G1185" i="8"/>
  <c r="G1657" i="8"/>
  <c r="G1656" i="8"/>
  <c r="G2806" i="8"/>
  <c r="G3211" i="8"/>
  <c r="G3329" i="8"/>
  <c r="G1652" i="8"/>
  <c r="G1307" i="8"/>
  <c r="G1273" i="8"/>
  <c r="G3322" i="8"/>
  <c r="G1648" i="8"/>
  <c r="G1647" i="8"/>
  <c r="G1196" i="8"/>
  <c r="G1645" i="8"/>
  <c r="G1183" i="8"/>
  <c r="G1306" i="8"/>
  <c r="G1642" i="8"/>
  <c r="G1296" i="8"/>
  <c r="G1288" i="8"/>
  <c r="G1174" i="8"/>
  <c r="G1287" i="8"/>
  <c r="G1637" i="8"/>
  <c r="G1636" i="8"/>
  <c r="G1635" i="8"/>
  <c r="G1634" i="8"/>
  <c r="G1272" i="8"/>
  <c r="G1256" i="8"/>
  <c r="G1631" i="8"/>
  <c r="G1180" i="8"/>
  <c r="G1629" i="8"/>
  <c r="G1628" i="8"/>
  <c r="G1179" i="8"/>
  <c r="G1177" i="8"/>
  <c r="G1625" i="8"/>
  <c r="G1284" i="8"/>
  <c r="G1170" i="8"/>
  <c r="G1169" i="8"/>
  <c r="G2793" i="8"/>
  <c r="G3314" i="8"/>
  <c r="G1619" i="8"/>
  <c r="G1618" i="8"/>
  <c r="G1278" i="8"/>
  <c r="G1163" i="8"/>
  <c r="G1157" i="8"/>
  <c r="G1153" i="8"/>
  <c r="G1245" i="8"/>
  <c r="G3434" i="8"/>
  <c r="G1611" i="8"/>
  <c r="G1141" i="8"/>
  <c r="G1609" i="8"/>
  <c r="G1608" i="8"/>
  <c r="G2789" i="8"/>
  <c r="G1234" i="8"/>
  <c r="G1134" i="8"/>
  <c r="G1225" i="8"/>
  <c r="G1274" i="8"/>
  <c r="G1602" i="8"/>
  <c r="G1270" i="8"/>
  <c r="G1266" i="8"/>
  <c r="G1599" i="8"/>
  <c r="G1598" i="8"/>
  <c r="G1597" i="8"/>
  <c r="G1126" i="8"/>
  <c r="G1260" i="8"/>
  <c r="G1221" i="8"/>
  <c r="G1122" i="8"/>
  <c r="G1592" i="8"/>
  <c r="G1591" i="8"/>
  <c r="G1168" i="8"/>
  <c r="G1257" i="8"/>
  <c r="G1588" i="8"/>
  <c r="G1587" i="8"/>
  <c r="G3427" i="8"/>
  <c r="G1585" i="8"/>
  <c r="G1584" i="8"/>
  <c r="G1583" i="8"/>
  <c r="G1582" i="8"/>
  <c r="G1160" i="8"/>
  <c r="G1246" i="8"/>
  <c r="G1579" i="8"/>
  <c r="G1578" i="8"/>
  <c r="G1577" i="8"/>
  <c r="G1220" i="8"/>
  <c r="G3505" i="8"/>
  <c r="G1574" i="8"/>
  <c r="G1573" i="8"/>
  <c r="G1121" i="8"/>
  <c r="G2967" i="8"/>
  <c r="G3415" i="8"/>
  <c r="G1569" i="8"/>
  <c r="G1568" i="8"/>
  <c r="G1155" i="8"/>
  <c r="G1566" i="8"/>
  <c r="G1154" i="8"/>
  <c r="G1152" i="8"/>
  <c r="G1119" i="8"/>
  <c r="G1562" i="8"/>
  <c r="G1240" i="8"/>
  <c r="G3503" i="8"/>
  <c r="G1140" i="8"/>
  <c r="G2783" i="8"/>
  <c r="G1557" i="8"/>
  <c r="G1556" i="8"/>
  <c r="G1128" i="8"/>
  <c r="G1127" i="8"/>
  <c r="G1123" i="8"/>
  <c r="G1115" i="8"/>
  <c r="G1551" i="8"/>
  <c r="G1239" i="8"/>
  <c r="G1118" i="8"/>
  <c r="G1235" i="8"/>
  <c r="G1231" i="8"/>
  <c r="G1546" i="8"/>
  <c r="G1545" i="8"/>
  <c r="G3270" i="8"/>
  <c r="G1543" i="8"/>
  <c r="G3407" i="8"/>
  <c r="G1111" i="8"/>
  <c r="G1230" i="8"/>
  <c r="G1109" i="8"/>
  <c r="G1538" i="8"/>
  <c r="G1537" i="8"/>
  <c r="G1536" i="8"/>
  <c r="G1227" i="8"/>
  <c r="G1201" i="8"/>
  <c r="G1533" i="8"/>
  <c r="G1108" i="8"/>
  <c r="G1199" i="8"/>
  <c r="G1099" i="8"/>
  <c r="G1529" i="8"/>
  <c r="G1198" i="8"/>
  <c r="G3269" i="8"/>
  <c r="G1194" i="8"/>
  <c r="G1224" i="8"/>
  <c r="G1190" i="8"/>
  <c r="G1218" i="8"/>
  <c r="G1095" i="8"/>
  <c r="G1521" i="8"/>
  <c r="G3204" i="8"/>
  <c r="G1519" i="8"/>
  <c r="G1518" i="8"/>
  <c r="G3308" i="8"/>
  <c r="G3493" i="8"/>
  <c r="G1216" i="8"/>
  <c r="G1102" i="8"/>
  <c r="G1513" i="8"/>
  <c r="G1173" i="8"/>
  <c r="G1094" i="8"/>
  <c r="G1510" i="8"/>
  <c r="G1101" i="8"/>
  <c r="G1508" i="8"/>
  <c r="G1091" i="8"/>
  <c r="G3290" i="8"/>
  <c r="G1203" i="8"/>
  <c r="G1504" i="8"/>
  <c r="G2959" i="8"/>
  <c r="G3287" i="8"/>
  <c r="G1501" i="8"/>
  <c r="G3267" i="8"/>
  <c r="G1080" i="8"/>
  <c r="G1192" i="8"/>
  <c r="G1182" i="8"/>
  <c r="G1496" i="8"/>
  <c r="G1495" i="8"/>
  <c r="G1494" i="8"/>
  <c r="G1089" i="8"/>
  <c r="G1492" i="8"/>
  <c r="G1181" i="8"/>
  <c r="G1162" i="8"/>
  <c r="G1489" i="8"/>
  <c r="G3485" i="8"/>
  <c r="G2945" i="8"/>
  <c r="G1486" i="8"/>
  <c r="G1146" i="8"/>
  <c r="G1484" i="8"/>
  <c r="G1483" i="8"/>
  <c r="G1073" i="8"/>
  <c r="G1481" i="8"/>
  <c r="G1176" i="8"/>
  <c r="G1175" i="8"/>
  <c r="G1139" i="8"/>
  <c r="G1166" i="8"/>
  <c r="G1476" i="8"/>
  <c r="G1475" i="8"/>
  <c r="G1165" i="8"/>
  <c r="G1473" i="8"/>
  <c r="G1071" i="8"/>
  <c r="G1086" i="8"/>
  <c r="G1161" i="8"/>
  <c r="G1469" i="8"/>
  <c r="G1138" i="8"/>
  <c r="G1467" i="8"/>
  <c r="G1466" i="8"/>
  <c r="G1465" i="8"/>
  <c r="G1064" i="8"/>
  <c r="G1062" i="8"/>
  <c r="G1462" i="8"/>
  <c r="G2805" i="8"/>
  <c r="G1082" i="8"/>
  <c r="G1058" i="8"/>
  <c r="G1137" i="8"/>
  <c r="G3480" i="8"/>
  <c r="G1456" i="8"/>
  <c r="G1136" i="8"/>
  <c r="G1151" i="8"/>
  <c r="G1150" i="8"/>
  <c r="G1452" i="8"/>
  <c r="G1135" i="8"/>
  <c r="G1053" i="8"/>
  <c r="G1054" i="8"/>
  <c r="G1052" i="8"/>
  <c r="G1129" i="8"/>
  <c r="G2943" i="8"/>
  <c r="G2801" i="8"/>
  <c r="G1110" i="8"/>
  <c r="G3256" i="8"/>
  <c r="G3405" i="8"/>
  <c r="G1037" i="8"/>
  <c r="G1024" i="8"/>
  <c r="G1021" i="8"/>
  <c r="G1012" i="8"/>
  <c r="G1149" i="8"/>
  <c r="G1145" i="8"/>
  <c r="G1051" i="8"/>
  <c r="G1434" i="8"/>
  <c r="G1433" i="8"/>
  <c r="G1432" i="8"/>
  <c r="G1431" i="8"/>
  <c r="G1430" i="8"/>
  <c r="G1429" i="8"/>
  <c r="G1085" i="8"/>
  <c r="G1427" i="8"/>
  <c r="G1144" i="8"/>
  <c r="G1425" i="8"/>
  <c r="G1009" i="8"/>
  <c r="G2781" i="8"/>
  <c r="G1125" i="8"/>
  <c r="G1000" i="8"/>
  <c r="G1420" i="8"/>
  <c r="G2796" i="8"/>
  <c r="G3402" i="8"/>
  <c r="G1417" i="8"/>
  <c r="G1416" i="8"/>
  <c r="G1415" i="8"/>
  <c r="G1414" i="8"/>
  <c r="G998" i="8"/>
  <c r="G3276" i="8"/>
  <c r="G988" i="8"/>
  <c r="G1116" i="8"/>
  <c r="G1084" i="8"/>
  <c r="G1048" i="8"/>
  <c r="G1047" i="8"/>
  <c r="G1406" i="8"/>
  <c r="G1405" i="8"/>
  <c r="G1404" i="8"/>
  <c r="G1038" i="8"/>
  <c r="G1402" i="8"/>
  <c r="G1036" i="8"/>
  <c r="G3398" i="8"/>
  <c r="G1033" i="8"/>
  <c r="G1114" i="8"/>
  <c r="G1014" i="8"/>
  <c r="G1396" i="8"/>
  <c r="G1011" i="8"/>
  <c r="G3261" i="8"/>
  <c r="G1010" i="8"/>
  <c r="G982" i="8"/>
  <c r="G1076" i="8"/>
  <c r="G2779" i="8"/>
  <c r="G975" i="8"/>
  <c r="G1066" i="8"/>
  <c r="G1004" i="8"/>
  <c r="G1112" i="8"/>
  <c r="G1061" i="8"/>
  <c r="G1059" i="8"/>
  <c r="G1383" i="8"/>
  <c r="G1382" i="8"/>
  <c r="G1100" i="8"/>
  <c r="G967" i="8"/>
  <c r="G955" i="8"/>
  <c r="G1378" i="8"/>
  <c r="G1377" i="8"/>
  <c r="G1003" i="8"/>
  <c r="G3254" i="8"/>
  <c r="G1374" i="8"/>
  <c r="G999" i="8"/>
  <c r="G952" i="8"/>
  <c r="G1371" i="8"/>
  <c r="G941" i="8"/>
  <c r="G1055" i="8"/>
  <c r="G1368" i="8"/>
  <c r="G1367" i="8"/>
  <c r="G1092" i="8"/>
  <c r="G1365" i="8"/>
  <c r="G1364" i="8"/>
  <c r="G1083" i="8"/>
  <c r="G991" i="8"/>
  <c r="G2937" i="8"/>
  <c r="G1360" i="8"/>
  <c r="G3244" i="8"/>
  <c r="G1358" i="8"/>
  <c r="G1357" i="8"/>
  <c r="G1356" i="8"/>
  <c r="G939" i="8"/>
  <c r="G933" i="8"/>
  <c r="G1353" i="8"/>
  <c r="G921" i="8"/>
  <c r="G1351" i="8"/>
  <c r="G3200" i="8"/>
  <c r="G3470" i="8"/>
  <c r="G1348" i="8"/>
  <c r="G1050" i="8"/>
  <c r="G3196" i="8"/>
  <c r="G1345" i="8"/>
  <c r="G1344" i="8"/>
  <c r="G916" i="8"/>
  <c r="G989" i="8"/>
  <c r="G1341" i="8"/>
  <c r="G3258" i="8"/>
  <c r="G1339" i="8"/>
  <c r="G1078" i="8"/>
  <c r="G3255" i="8"/>
  <c r="G2936" i="8"/>
  <c r="G3468" i="8"/>
  <c r="G3394" i="8"/>
  <c r="G1043" i="8"/>
  <c r="G3237" i="8"/>
  <c r="G1331" i="8"/>
  <c r="G908" i="8"/>
  <c r="G1329" i="8"/>
  <c r="G896" i="8"/>
  <c r="G1327" i="8"/>
  <c r="G1326" i="8"/>
  <c r="G1325" i="8"/>
  <c r="G1324" i="8"/>
  <c r="G885" i="8"/>
  <c r="G1040" i="8"/>
  <c r="G1072" i="8"/>
  <c r="G1035" i="8"/>
  <c r="G2792" i="8"/>
  <c r="G1034" i="8"/>
  <c r="G3392" i="8"/>
  <c r="G1316" i="8"/>
  <c r="G1315" i="8"/>
  <c r="G1070" i="8"/>
  <c r="G1030" i="8"/>
  <c r="G874" i="8"/>
  <c r="G986" i="8"/>
  <c r="G1026" i="8"/>
  <c r="G1309" i="8"/>
  <c r="G1016" i="8"/>
  <c r="G1069" i="8"/>
  <c r="G1068" i="8"/>
  <c r="G997" i="8"/>
  <c r="G2777" i="8"/>
  <c r="G864" i="8"/>
  <c r="G996" i="8"/>
  <c r="G995" i="8"/>
  <c r="G994" i="8"/>
  <c r="G993" i="8"/>
  <c r="G1298" i="8"/>
  <c r="G859" i="8"/>
  <c r="G1065" i="8"/>
  <c r="G978" i="8"/>
  <c r="G1294" i="8"/>
  <c r="G1293" i="8"/>
  <c r="G3249" i="8"/>
  <c r="G3383" i="8"/>
  <c r="G983" i="8"/>
  <c r="G973" i="8"/>
  <c r="G1045" i="8"/>
  <c r="G1044" i="8"/>
  <c r="G1286" i="8"/>
  <c r="G1285" i="8"/>
  <c r="G1041" i="8"/>
  <c r="G1283" i="8"/>
  <c r="G851" i="8"/>
  <c r="G1281" i="8"/>
  <c r="G981" i="8"/>
  <c r="G1279" i="8"/>
  <c r="G2790" i="8"/>
  <c r="G977" i="8"/>
  <c r="G1276" i="8"/>
  <c r="G974" i="8"/>
  <c r="G3234" i="8"/>
  <c r="G3462" i="8"/>
  <c r="G971" i="8"/>
  <c r="G845" i="8"/>
  <c r="G1039" i="8"/>
  <c r="G1269" i="8"/>
  <c r="G829" i="8"/>
  <c r="G827" i="8"/>
  <c r="G1031" i="8"/>
  <c r="G1265" i="8"/>
  <c r="G815" i="8"/>
  <c r="G2772" i="8"/>
  <c r="G962" i="8"/>
  <c r="G957" i="8"/>
  <c r="G1025" i="8"/>
  <c r="G1259" i="8"/>
  <c r="G956" i="8"/>
  <c r="G1020" i="8"/>
  <c r="G969" i="8"/>
  <c r="G1255" i="8"/>
  <c r="G1254" i="8"/>
  <c r="G1253" i="8"/>
  <c r="G2933" i="8"/>
  <c r="G2770" i="8"/>
  <c r="G3377" i="8"/>
  <c r="G3375" i="8"/>
  <c r="G1248" i="8"/>
  <c r="G3246" i="8"/>
  <c r="G1019" i="8"/>
  <c r="G964" i="8"/>
  <c r="G814" i="8"/>
  <c r="G953" i="8"/>
  <c r="G802" i="8"/>
  <c r="G797" i="8"/>
  <c r="G1013" i="8"/>
  <c r="G1006" i="8"/>
  <c r="G946" i="8"/>
  <c r="G1237" i="8"/>
  <c r="G945" i="8"/>
  <c r="G2784" i="8"/>
  <c r="G963" i="8"/>
  <c r="G935" i="8"/>
  <c r="G1232" i="8"/>
  <c r="G990" i="8"/>
  <c r="G985" i="8"/>
  <c r="G1229" i="8"/>
  <c r="G795" i="8"/>
  <c r="G972" i="8"/>
  <c r="G1226" i="8"/>
  <c r="G961" i="8"/>
  <c r="G965" i="8"/>
  <c r="G1223" i="8"/>
  <c r="G926" i="8"/>
  <c r="G960" i="8"/>
  <c r="G3188" i="8"/>
  <c r="G1219" i="8"/>
  <c r="G934" i="8"/>
  <c r="G788" i="8"/>
  <c r="G932" i="8"/>
  <c r="G913" i="8"/>
  <c r="G1214" i="8"/>
  <c r="G1213" i="8"/>
  <c r="G1212" i="8"/>
  <c r="G785" i="8"/>
  <c r="G1210" i="8"/>
  <c r="G1209" i="8"/>
  <c r="G1208" i="8"/>
  <c r="G1207" i="8"/>
  <c r="G1206" i="8"/>
  <c r="G1205" i="8"/>
  <c r="G1204" i="8"/>
  <c r="G930" i="8"/>
  <c r="G909" i="8"/>
  <c r="G3456" i="8"/>
  <c r="G775" i="8"/>
  <c r="G942" i="8"/>
  <c r="G937" i="8"/>
  <c r="G897" i="8"/>
  <c r="G890" i="8"/>
  <c r="G1195" i="8"/>
  <c r="G936" i="8"/>
  <c r="G1193" i="8"/>
  <c r="G3225" i="8"/>
  <c r="G1191" i="8"/>
  <c r="G931" i="8"/>
  <c r="G1189" i="8"/>
  <c r="G767" i="8"/>
  <c r="G762" i="8"/>
  <c r="G1186" i="8"/>
  <c r="G755" i="8"/>
  <c r="G1184" i="8"/>
  <c r="G749" i="8"/>
  <c r="G922" i="8"/>
  <c r="G919" i="8"/>
  <c r="G888" i="8"/>
  <c r="G883" i="8"/>
  <c r="G1178" i="8"/>
  <c r="G882" i="8"/>
  <c r="G917" i="8"/>
  <c r="G899" i="8"/>
  <c r="G746" i="8"/>
  <c r="G929" i="8"/>
  <c r="G1172" i="8"/>
  <c r="G1171" i="8"/>
  <c r="G745" i="8"/>
  <c r="G878" i="8"/>
  <c r="G2931" i="8"/>
  <c r="G1167" i="8"/>
  <c r="G3203" i="8"/>
  <c r="G3199" i="8"/>
  <c r="G1164" i="8"/>
  <c r="G875" i="8"/>
  <c r="G927" i="8"/>
  <c r="G898" i="8"/>
  <c r="G740" i="8"/>
  <c r="G1159" i="8"/>
  <c r="G1158" i="8"/>
  <c r="G2766" i="8"/>
  <c r="G1156" i="8"/>
  <c r="G728" i="8"/>
  <c r="G715" i="8"/>
  <c r="G3215" i="8"/>
  <c r="G2920" i="8"/>
  <c r="G2780" i="8"/>
  <c r="G3198" i="8"/>
  <c r="G3194" i="8"/>
  <c r="G1148" i="8"/>
  <c r="G1147" i="8"/>
  <c r="G925" i="8"/>
  <c r="G895" i="8"/>
  <c r="G889" i="8"/>
  <c r="G1143" i="8"/>
  <c r="G1142" i="8"/>
  <c r="G873" i="8"/>
  <c r="G714" i="8"/>
  <c r="G923" i="8"/>
  <c r="G918" i="8"/>
  <c r="G3183" i="8"/>
  <c r="G907" i="8"/>
  <c r="G3176" i="8"/>
  <c r="G871" i="8"/>
  <c r="G1133" i="8"/>
  <c r="G1132" i="8"/>
  <c r="G1131" i="8"/>
  <c r="G1130" i="8"/>
  <c r="G906" i="8"/>
  <c r="G708" i="8"/>
  <c r="G691" i="8"/>
  <c r="G868" i="8"/>
  <c r="G2776" i="8"/>
  <c r="G1124" i="8"/>
  <c r="G3363" i="8"/>
  <c r="G861" i="8"/>
  <c r="G2760" i="8"/>
  <c r="G1120" i="8"/>
  <c r="G860" i="8"/>
  <c r="G858" i="8"/>
  <c r="G1117" i="8"/>
  <c r="G887" i="8"/>
  <c r="G688" i="8"/>
  <c r="G880" i="8"/>
  <c r="G1113" i="8"/>
  <c r="G876" i="8"/>
  <c r="G852" i="8"/>
  <c r="G3447" i="8"/>
  <c r="G842" i="8"/>
  <c r="G3362" i="8"/>
  <c r="G1107" i="8"/>
  <c r="G1106" i="8"/>
  <c r="G1105" i="8"/>
  <c r="G1104" i="8"/>
  <c r="G1103" i="8"/>
  <c r="G671" i="8"/>
  <c r="G667" i="8"/>
  <c r="G872" i="8"/>
  <c r="G841" i="8"/>
  <c r="G1098" i="8"/>
  <c r="G1097" i="8"/>
  <c r="G1096" i="8"/>
  <c r="G836" i="8"/>
  <c r="G3212" i="8"/>
  <c r="G1093" i="8"/>
  <c r="G870" i="8"/>
  <c r="G831" i="8"/>
  <c r="G1090" i="8"/>
  <c r="G823" i="8"/>
  <c r="G1088" i="8"/>
  <c r="G1087" i="8"/>
  <c r="G799" i="8"/>
  <c r="G904" i="8"/>
  <c r="G902" i="8"/>
  <c r="G2767" i="8"/>
  <c r="G791" i="8"/>
  <c r="G1081" i="8"/>
  <c r="G3358" i="8"/>
  <c r="G1079" i="8"/>
  <c r="G869" i="8"/>
  <c r="G1077" i="8"/>
  <c r="G893" i="8"/>
  <c r="G1075" i="8"/>
  <c r="G1074" i="8"/>
  <c r="G666" i="8"/>
  <c r="G863" i="8"/>
  <c r="G664" i="8"/>
  <c r="G856" i="8"/>
  <c r="G853" i="8"/>
  <c r="G2761" i="8"/>
  <c r="G1067" i="8"/>
  <c r="G884" i="8"/>
  <c r="G3186" i="8"/>
  <c r="G3353" i="8"/>
  <c r="G1063" i="8"/>
  <c r="G661" i="8"/>
  <c r="G881" i="8"/>
  <c r="G1060" i="8"/>
  <c r="G3443" i="8"/>
  <c r="G780" i="8"/>
  <c r="G1057" i="8"/>
  <c r="G1056" i="8"/>
  <c r="G879" i="8"/>
  <c r="G649" i="8"/>
  <c r="G3206" i="8"/>
  <c r="G646" i="8"/>
  <c r="G777" i="8"/>
  <c r="G862" i="8"/>
  <c r="G1049" i="8"/>
  <c r="G769" i="8"/>
  <c r="G758" i="8"/>
  <c r="G1046" i="8"/>
  <c r="G844" i="8"/>
  <c r="G840" i="8"/>
  <c r="G850" i="8"/>
  <c r="G1042" i="8"/>
  <c r="G2749" i="8"/>
  <c r="G3164" i="8"/>
  <c r="G3179" i="8"/>
  <c r="G750" i="8"/>
  <c r="G645" i="8"/>
  <c r="G741" i="8"/>
  <c r="G838" i="8"/>
  <c r="G3442" i="8"/>
  <c r="G729" i="8"/>
  <c r="G1032" i="8"/>
  <c r="G834" i="8"/>
  <c r="G3438" i="8"/>
  <c r="G1029" i="8"/>
  <c r="G1028" i="8"/>
  <c r="G1027" i="8"/>
  <c r="G826" i="8"/>
  <c r="G2725" i="8"/>
  <c r="G3350" i="8"/>
  <c r="G1023" i="8"/>
  <c r="G1022" i="8"/>
  <c r="G640" i="8"/>
  <c r="G833" i="8"/>
  <c r="G832" i="8"/>
  <c r="G1018" i="8"/>
  <c r="G1017" i="8"/>
  <c r="G820" i="8"/>
  <c r="G1015" i="8"/>
  <c r="G720" i="8"/>
  <c r="G830" i="8"/>
  <c r="G627" i="8"/>
  <c r="G2757" i="8"/>
  <c r="G719" i="8"/>
  <c r="G624" i="8"/>
  <c r="G1008" i="8"/>
  <c r="G1007" i="8"/>
  <c r="G816" i="8"/>
  <c r="G1005" i="8"/>
  <c r="G717" i="8"/>
  <c r="G716" i="8"/>
  <c r="G1002" i="8"/>
  <c r="G1001" i="8"/>
  <c r="G2915" i="8"/>
  <c r="G2747" i="8"/>
  <c r="G3344" i="8"/>
  <c r="G809" i="8"/>
  <c r="G805" i="8"/>
  <c r="G801" i="8"/>
  <c r="G796" i="8"/>
  <c r="G792" i="8"/>
  <c r="G992" i="8"/>
  <c r="G3205" i="8"/>
  <c r="G813" i="8"/>
  <c r="G710" i="8"/>
  <c r="G622" i="8"/>
  <c r="G987" i="8"/>
  <c r="G707" i="8"/>
  <c r="G810" i="8"/>
  <c r="G984" i="8"/>
  <c r="G702" i="8"/>
  <c r="G3340" i="8"/>
  <c r="G2745" i="8"/>
  <c r="G980" i="8"/>
  <c r="G979" i="8"/>
  <c r="G790" i="8"/>
  <c r="G3202" i="8"/>
  <c r="G976" i="8"/>
  <c r="G620" i="8"/>
  <c r="G698" i="8"/>
  <c r="G774" i="8"/>
  <c r="G808" i="8"/>
  <c r="G764" i="8"/>
  <c r="G970" i="8"/>
  <c r="G760" i="8"/>
  <c r="G968" i="8"/>
  <c r="G619" i="8"/>
  <c r="G966" i="8"/>
  <c r="G803" i="8"/>
  <c r="G3161" i="8"/>
  <c r="G756" i="8"/>
  <c r="G697" i="8"/>
  <c r="G733" i="8"/>
  <c r="G732" i="8"/>
  <c r="G959" i="8"/>
  <c r="G958" i="8"/>
  <c r="G695" i="8"/>
  <c r="G689" i="8"/>
  <c r="G3334" i="8"/>
  <c r="G954" i="8"/>
  <c r="G687" i="8"/>
  <c r="G614" i="8"/>
  <c r="G951" i="8"/>
  <c r="G950" i="8"/>
  <c r="G949" i="8"/>
  <c r="G948" i="8"/>
  <c r="G947" i="8"/>
  <c r="G3195" i="8"/>
  <c r="G685" i="8"/>
  <c r="G944" i="8"/>
  <c r="G943" i="8"/>
  <c r="G703" i="8"/>
  <c r="G2912" i="8"/>
  <c r="G940" i="8"/>
  <c r="G3331" i="8"/>
  <c r="G938" i="8"/>
  <c r="G693" i="8"/>
  <c r="G686" i="8"/>
  <c r="G3193" i="8"/>
  <c r="G798" i="8"/>
  <c r="G611" i="8"/>
  <c r="G794" i="8"/>
  <c r="G684" i="8"/>
  <c r="G783" i="8"/>
  <c r="G681" i="8"/>
  <c r="G928" i="8"/>
  <c r="G665" i="8"/>
  <c r="G682" i="8"/>
  <c r="G660" i="8"/>
  <c r="G924" i="8"/>
  <c r="G655" i="8"/>
  <c r="G782" i="8"/>
  <c r="G610" i="8"/>
  <c r="G920" i="8"/>
  <c r="G778" i="8"/>
  <c r="G652" i="8"/>
  <c r="G776" i="8"/>
  <c r="G2886" i="8"/>
  <c r="G915" i="8"/>
  <c r="G914" i="8"/>
  <c r="G657" i="8"/>
  <c r="G912" i="8"/>
  <c r="G911" i="8"/>
  <c r="G910" i="8"/>
  <c r="G656" i="8"/>
  <c r="G608" i="8"/>
  <c r="G650" i="8"/>
  <c r="G648" i="8"/>
  <c r="G905" i="8"/>
  <c r="G647" i="8"/>
  <c r="G903" i="8"/>
  <c r="G638" i="8"/>
  <c r="G901" i="8"/>
  <c r="G900" i="8"/>
  <c r="G2716" i="8"/>
  <c r="G3172" i="8"/>
  <c r="G651" i="8"/>
  <c r="G3327" i="8"/>
  <c r="G768" i="8"/>
  <c r="G894" i="8"/>
  <c r="G634" i="8"/>
  <c r="G892" i="8"/>
  <c r="G891" i="8"/>
  <c r="G644" i="8"/>
  <c r="G766" i="8"/>
  <c r="G643" i="8"/>
  <c r="G765" i="8"/>
  <c r="G886" i="8"/>
  <c r="G607" i="8"/>
  <c r="G633" i="8"/>
  <c r="G2744" i="8"/>
  <c r="G3192" i="8"/>
  <c r="G630" i="8"/>
  <c r="G751" i="8"/>
  <c r="G615" i="8"/>
  <c r="G629" i="8"/>
  <c r="G877" i="8"/>
  <c r="G748" i="8"/>
  <c r="G628" i="8"/>
  <c r="G2885" i="8"/>
  <c r="G625" i="8"/>
  <c r="G3143" i="8"/>
  <c r="G2739" i="8"/>
  <c r="G3130" i="8"/>
  <c r="G739" i="8"/>
  <c r="G623" i="8"/>
  <c r="G867" i="8"/>
  <c r="G866" i="8"/>
  <c r="G865" i="8"/>
  <c r="G605" i="8"/>
  <c r="G737" i="8"/>
  <c r="G613" i="8"/>
  <c r="G618" i="8"/>
  <c r="G612" i="8"/>
  <c r="G584" i="8"/>
  <c r="G600" i="8"/>
  <c r="G857" i="8"/>
  <c r="G3126" i="8"/>
  <c r="G855" i="8"/>
  <c r="G854" i="8"/>
  <c r="G731" i="8"/>
  <c r="G3171" i="8"/>
  <c r="G578" i="8"/>
  <c r="G604" i="8"/>
  <c r="G849" i="8"/>
  <c r="G848" i="8"/>
  <c r="G847" i="8"/>
  <c r="G846" i="8"/>
  <c r="G559" i="8"/>
  <c r="G730" i="8"/>
  <c r="G843" i="8"/>
  <c r="G599" i="8"/>
  <c r="G595" i="8"/>
  <c r="G725" i="8"/>
  <c r="G839" i="8"/>
  <c r="G603" i="8"/>
  <c r="G837" i="8"/>
  <c r="G2730" i="8"/>
  <c r="G835" i="8"/>
  <c r="G724" i="8"/>
  <c r="G723" i="8"/>
  <c r="G2715" i="8"/>
  <c r="G594" i="8"/>
  <c r="G3121" i="8"/>
  <c r="G3321" i="8"/>
  <c r="G828" i="8"/>
  <c r="G551" i="8"/>
  <c r="G593" i="8"/>
  <c r="G825" i="8"/>
  <c r="G824" i="8"/>
  <c r="G592" i="8"/>
  <c r="G822" i="8"/>
  <c r="G821" i="8"/>
  <c r="G587" i="8"/>
  <c r="G819" i="8"/>
  <c r="G818" i="8"/>
  <c r="G817" i="8"/>
  <c r="G2712" i="8"/>
  <c r="G3319" i="8"/>
  <c r="G3307" i="8"/>
  <c r="G3115" i="8"/>
  <c r="G812" i="8"/>
  <c r="G811" i="8"/>
  <c r="G722" i="8"/>
  <c r="G580" i="8"/>
  <c r="G718" i="8"/>
  <c r="G807" i="8"/>
  <c r="G806" i="8"/>
  <c r="G3160" i="8"/>
  <c r="G804" i="8"/>
  <c r="G713" i="8"/>
  <c r="G547" i="8"/>
  <c r="G3159" i="8"/>
  <c r="G800" i="8"/>
  <c r="G589" i="8"/>
  <c r="G712" i="8"/>
  <c r="G536" i="8"/>
  <c r="G574" i="8"/>
  <c r="G535" i="8"/>
  <c r="G711" i="8"/>
  <c r="G793" i="8"/>
  <c r="G573" i="8"/>
  <c r="G588" i="8"/>
  <c r="G571" i="8"/>
  <c r="G789" i="8"/>
  <c r="G3303" i="8"/>
  <c r="G787" i="8"/>
  <c r="G786" i="8"/>
  <c r="G534" i="8"/>
  <c r="G784" i="8"/>
  <c r="G701" i="8"/>
  <c r="G694" i="8"/>
  <c r="G781" i="8"/>
  <c r="G575" i="8"/>
  <c r="G779" i="8"/>
  <c r="G679" i="8"/>
  <c r="G572" i="8"/>
  <c r="G675" i="8"/>
  <c r="G2875" i="8"/>
  <c r="G3157" i="8"/>
  <c r="G773" i="8"/>
  <c r="G772" i="8"/>
  <c r="G771" i="8"/>
  <c r="G770" i="8"/>
  <c r="G3170" i="8"/>
  <c r="G672" i="8"/>
  <c r="G529" i="8"/>
  <c r="G670" i="8"/>
  <c r="G668" i="8"/>
  <c r="G3156" i="8"/>
  <c r="G763" i="8"/>
  <c r="G526" i="8"/>
  <c r="G761" i="8"/>
  <c r="G3437" i="8"/>
  <c r="G759" i="8"/>
  <c r="G570" i="8"/>
  <c r="G757" i="8"/>
  <c r="G562" i="8"/>
  <c r="G525" i="8"/>
  <c r="G754" i="8"/>
  <c r="G753" i="8"/>
  <c r="G752" i="8"/>
  <c r="G662" i="8"/>
  <c r="G568" i="8"/>
  <c r="G2873" i="8"/>
  <c r="G2705" i="8"/>
  <c r="G747" i="8"/>
  <c r="G3282" i="8"/>
  <c r="G3280" i="8"/>
  <c r="G744" i="8"/>
  <c r="G743" i="8"/>
  <c r="G742" i="8"/>
  <c r="G561" i="8"/>
  <c r="G515" i="8"/>
  <c r="G659" i="8"/>
  <c r="G738" i="8"/>
  <c r="G658" i="8"/>
  <c r="G736" i="8"/>
  <c r="G735" i="8"/>
  <c r="G734" i="8"/>
  <c r="G555" i="8"/>
  <c r="G553" i="8"/>
  <c r="G3111" i="8"/>
  <c r="G3104" i="8"/>
  <c r="G556" i="8"/>
  <c r="G512" i="8"/>
  <c r="G727" i="8"/>
  <c r="G726" i="8"/>
  <c r="G641" i="8"/>
  <c r="G639" i="8"/>
  <c r="G637" i="8"/>
  <c r="G626" i="8"/>
  <c r="G721" i="8"/>
  <c r="G550" i="8"/>
  <c r="G2723" i="8"/>
  <c r="G621" i="8"/>
  <c r="G533" i="8"/>
  <c r="G531" i="8"/>
  <c r="G505" i="8"/>
  <c r="G501" i="8"/>
  <c r="G598" i="8"/>
  <c r="G597" i="8"/>
  <c r="G586" i="8"/>
  <c r="G528" i="8"/>
  <c r="G709" i="8"/>
  <c r="G497" i="8"/>
  <c r="G522" i="8"/>
  <c r="G706" i="8"/>
  <c r="G705" i="8"/>
  <c r="G704" i="8"/>
  <c r="G552" i="8"/>
  <c r="G3167" i="8"/>
  <c r="G579" i="8"/>
  <c r="G700" i="8"/>
  <c r="G699" i="8"/>
  <c r="G3145" i="8"/>
  <c r="G516" i="8"/>
  <c r="G696" i="8"/>
  <c r="G513" i="8"/>
  <c r="G577" i="8"/>
  <c r="G3146" i="8"/>
  <c r="G692" i="8"/>
  <c r="G2868" i="8"/>
  <c r="G690" i="8"/>
  <c r="G500" i="8"/>
  <c r="G3279" i="8"/>
  <c r="G494" i="8"/>
  <c r="G543" i="8"/>
  <c r="G492" i="8"/>
  <c r="G541" i="8"/>
  <c r="G683" i="8"/>
  <c r="G489" i="8"/>
  <c r="G540" i="8"/>
  <c r="G680" i="8"/>
  <c r="G569" i="8"/>
  <c r="G678" i="8"/>
  <c r="G677" i="8"/>
  <c r="G676" i="8"/>
  <c r="G564" i="8"/>
  <c r="G674" i="8"/>
  <c r="G673" i="8"/>
  <c r="G560" i="8"/>
  <c r="G496" i="8"/>
  <c r="G557" i="8"/>
  <c r="G669" i="8"/>
  <c r="G549" i="8"/>
  <c r="G487" i="8"/>
  <c r="G464" i="8"/>
  <c r="G539" i="8"/>
  <c r="G2862" i="8"/>
  <c r="G663" i="8"/>
  <c r="G3103" i="8"/>
  <c r="G3278" i="8"/>
  <c r="G3141" i="8"/>
  <c r="G548" i="8"/>
  <c r="G538" i="8"/>
  <c r="G482" i="8"/>
  <c r="G475" i="8"/>
  <c r="G3421" i="8"/>
  <c r="G654" i="8"/>
  <c r="G653" i="8"/>
  <c r="G537" i="8"/>
  <c r="G471" i="8"/>
  <c r="G530" i="8"/>
  <c r="G2844" i="8"/>
  <c r="G523" i="8"/>
  <c r="G518" i="8"/>
  <c r="G3277" i="8"/>
  <c r="G3271" i="8"/>
  <c r="G466" i="8"/>
  <c r="G2720" i="8"/>
  <c r="G642" i="8"/>
  <c r="G511" i="8"/>
  <c r="G460" i="8"/>
  <c r="G503" i="8"/>
  <c r="G514" i="8"/>
  <c r="G499" i="8"/>
  <c r="G636" i="8"/>
  <c r="G635" i="8"/>
  <c r="G504" i="8"/>
  <c r="G3417" i="8"/>
  <c r="G632" i="8"/>
  <c r="G631" i="8"/>
  <c r="G3414" i="8"/>
  <c r="G458" i="8"/>
  <c r="G456" i="8"/>
  <c r="G457" i="8"/>
  <c r="G490" i="8"/>
  <c r="G454" i="8"/>
  <c r="G453" i="8"/>
  <c r="G452" i="8"/>
  <c r="G2834" i="8"/>
  <c r="G3102" i="8"/>
  <c r="G3266" i="8"/>
  <c r="G3242" i="8"/>
  <c r="G448" i="8"/>
  <c r="G617" i="8"/>
  <c r="G616" i="8"/>
  <c r="G498" i="8"/>
  <c r="G449" i="8"/>
  <c r="G495" i="8"/>
  <c r="G441" i="8"/>
  <c r="G445" i="8"/>
  <c r="G442" i="8"/>
  <c r="G609" i="8"/>
  <c r="G440" i="8"/>
  <c r="G2826" i="8"/>
  <c r="G606" i="8"/>
  <c r="G3241" i="8"/>
  <c r="G3139" i="8"/>
  <c r="G488" i="8"/>
  <c r="G602" i="8"/>
  <c r="G601" i="8"/>
  <c r="G432" i="8"/>
  <c r="G426" i="8"/>
  <c r="G484" i="8"/>
  <c r="G479" i="8"/>
  <c r="G596" i="8"/>
  <c r="G423" i="8"/>
  <c r="G420" i="8"/>
  <c r="G486" i="8"/>
  <c r="G413" i="8"/>
  <c r="G591" i="8"/>
  <c r="G590" i="8"/>
  <c r="G403" i="8"/>
  <c r="G395" i="8"/>
  <c r="G485" i="8"/>
  <c r="G473" i="8"/>
  <c r="G585" i="8"/>
  <c r="G439" i="8"/>
  <c r="G583" i="8"/>
  <c r="G582" i="8"/>
  <c r="G581" i="8"/>
  <c r="G3399" i="8"/>
  <c r="G3087" i="8"/>
  <c r="G3240" i="8"/>
  <c r="G3083" i="8"/>
  <c r="G576" i="8"/>
  <c r="G3140" i="8"/>
  <c r="G483" i="8"/>
  <c r="G476" i="8"/>
  <c r="G391" i="8"/>
  <c r="G474" i="8"/>
  <c r="G381" i="8"/>
  <c r="G469" i="8"/>
  <c r="G377" i="8"/>
  <c r="G567" i="8"/>
  <c r="G566" i="8"/>
  <c r="G565" i="8"/>
  <c r="G2702" i="8"/>
  <c r="G563" i="8"/>
  <c r="G459" i="8"/>
  <c r="G368" i="8"/>
  <c r="G468" i="8"/>
  <c r="G437" i="8"/>
  <c r="G558" i="8"/>
  <c r="G467" i="8"/>
  <c r="G367" i="8"/>
  <c r="G446" i="8"/>
  <c r="G554" i="8"/>
  <c r="G438" i="8"/>
  <c r="G3136" i="8"/>
  <c r="G436" i="8"/>
  <c r="G2711" i="8"/>
  <c r="G463" i="8"/>
  <c r="G461" i="8"/>
  <c r="G430" i="8"/>
  <c r="G546" i="8"/>
  <c r="G545" i="8"/>
  <c r="G544" i="8"/>
  <c r="G3397" i="8"/>
  <c r="G542" i="8"/>
  <c r="G422" i="8"/>
  <c r="G3134" i="8"/>
  <c r="G421" i="8"/>
  <c r="G2696" i="8"/>
  <c r="G416" i="8"/>
  <c r="G3238" i="8"/>
  <c r="G3232" i="8"/>
  <c r="G425" i="8"/>
  <c r="G365" i="8"/>
  <c r="G532" i="8"/>
  <c r="G363" i="8"/>
  <c r="G401" i="8"/>
  <c r="G424" i="8"/>
  <c r="G360" i="8"/>
  <c r="G527" i="8"/>
  <c r="G415" i="8"/>
  <c r="G414" i="8"/>
  <c r="G524" i="8"/>
  <c r="G399" i="8"/>
  <c r="G3138" i="8"/>
  <c r="G521" i="8"/>
  <c r="G520" i="8"/>
  <c r="G519" i="8"/>
  <c r="G3384" i="8"/>
  <c r="G517" i="8"/>
  <c r="G352" i="8"/>
  <c r="G411" i="8"/>
  <c r="G397" i="8"/>
  <c r="G348" i="8"/>
  <c r="G410" i="8"/>
  <c r="G450" i="8"/>
  <c r="G510" i="8"/>
  <c r="G509" i="8"/>
  <c r="G508" i="8"/>
  <c r="G507" i="8"/>
  <c r="G506" i="8"/>
  <c r="G409" i="8"/>
  <c r="G392" i="8"/>
  <c r="G444" i="8"/>
  <c r="G502" i="8"/>
  <c r="G407" i="8"/>
  <c r="G343" i="8"/>
  <c r="G435" i="8"/>
  <c r="G385" i="8"/>
  <c r="G2821" i="8"/>
  <c r="G2808" i="8"/>
  <c r="G384" i="8"/>
  <c r="G341" i="8"/>
  <c r="G493" i="8"/>
  <c r="G340" i="8"/>
  <c r="G491" i="8"/>
  <c r="G433" i="8"/>
  <c r="G339" i="8"/>
  <c r="G374" i="8"/>
  <c r="G405" i="8"/>
  <c r="G362" i="8"/>
  <c r="G361" i="8"/>
  <c r="G431" i="8"/>
  <c r="G358" i="8"/>
  <c r="G337" i="8"/>
  <c r="G481" i="8"/>
  <c r="G480" i="8"/>
  <c r="G3079" i="8"/>
  <c r="G478" i="8"/>
  <c r="G477" i="8"/>
  <c r="G3133" i="8"/>
  <c r="G336" i="8"/>
  <c r="G357" i="8"/>
  <c r="G418" i="8"/>
  <c r="G472" i="8"/>
  <c r="G2708" i="8"/>
  <c r="G470" i="8"/>
  <c r="G406" i="8"/>
  <c r="G380" i="8"/>
  <c r="G378" i="8"/>
  <c r="G3129" i="8"/>
  <c r="G465" i="8"/>
  <c r="G400" i="8"/>
  <c r="G375" i="8"/>
  <c r="G462" i="8"/>
  <c r="G366" i="8"/>
  <c r="G394" i="8"/>
  <c r="G354" i="8"/>
  <c r="G335" i="8"/>
  <c r="G389" i="8"/>
  <c r="G333" i="8"/>
  <c r="G455" i="8"/>
  <c r="G327" i="8"/>
  <c r="G3231" i="8"/>
  <c r="G323" i="8"/>
  <c r="G451" i="8"/>
  <c r="G364" i="8"/>
  <c r="G388" i="8"/>
  <c r="G322" i="8"/>
  <c r="G447" i="8"/>
  <c r="G351" i="8"/>
  <c r="G382" i="8"/>
  <c r="G356" i="8"/>
  <c r="G443" i="8"/>
  <c r="G379" i="8"/>
  <c r="G321" i="8"/>
  <c r="G371" i="8"/>
  <c r="G2800" i="8"/>
  <c r="G350" i="8"/>
  <c r="G3229" i="8"/>
  <c r="G3223" i="8"/>
  <c r="G3065" i="8"/>
  <c r="G434" i="8"/>
  <c r="G355" i="8"/>
  <c r="G2707" i="8"/>
  <c r="G346" i="8"/>
  <c r="G370" i="8"/>
  <c r="G429" i="8"/>
  <c r="G428" i="8"/>
  <c r="G427" i="8"/>
  <c r="G313" i="8"/>
  <c r="G369" i="8"/>
  <c r="G359" i="8"/>
  <c r="G2703" i="8"/>
  <c r="G347" i="8"/>
  <c r="G344" i="8"/>
  <c r="G310" i="8"/>
  <c r="G419" i="8"/>
  <c r="G342" i="8"/>
  <c r="G417" i="8"/>
  <c r="G326" i="8"/>
  <c r="G353" i="8"/>
  <c r="G345" i="8"/>
  <c r="G309" i="8"/>
  <c r="G412" i="8"/>
  <c r="G3221" i="8"/>
  <c r="G3218" i="8"/>
  <c r="G3210" i="8"/>
  <c r="G408" i="8"/>
  <c r="G329" i="8"/>
  <c r="G332" i="8"/>
  <c r="G295" i="8"/>
  <c r="G404" i="8"/>
  <c r="G307" i="8"/>
  <c r="G402" i="8"/>
  <c r="G319" i="8"/>
  <c r="G279" i="8"/>
  <c r="G317" i="8"/>
  <c r="G398" i="8"/>
  <c r="G3132" i="8"/>
  <c r="G396" i="8"/>
  <c r="G3110" i="8"/>
  <c r="G3208" i="8"/>
  <c r="G393" i="8"/>
  <c r="G315" i="8"/>
  <c r="G3105" i="8"/>
  <c r="G390" i="8"/>
  <c r="G270" i="8"/>
  <c r="G266" i="8"/>
  <c r="G387" i="8"/>
  <c r="G386" i="8"/>
  <c r="G303" i="8"/>
  <c r="G302" i="8"/>
  <c r="G383" i="8"/>
  <c r="G262" i="8"/>
  <c r="G306" i="8"/>
  <c r="G331" i="8"/>
  <c r="G261" i="8"/>
  <c r="G325" i="8"/>
  <c r="G305" i="8"/>
  <c r="G376" i="8"/>
  <c r="G316" i="8"/>
  <c r="G3123" i="8"/>
  <c r="G373" i="8"/>
  <c r="G372" i="8"/>
  <c r="G2788" i="8"/>
  <c r="G2787" i="8"/>
  <c r="G254" i="8"/>
  <c r="G293" i="8"/>
  <c r="G3099" i="8"/>
  <c r="G312" i="8"/>
  <c r="G290" i="8"/>
  <c r="G311" i="8"/>
  <c r="G3098" i="8"/>
  <c r="G300" i="8"/>
  <c r="G299" i="8"/>
  <c r="G287" i="8"/>
  <c r="G250" i="8"/>
  <c r="G292" i="8"/>
  <c r="G291" i="8"/>
  <c r="G308" i="8"/>
  <c r="G2694" i="8"/>
  <c r="G3119" i="8"/>
  <c r="G3201" i="8"/>
  <c r="G3096" i="8"/>
  <c r="G3381" i="8"/>
  <c r="G3374" i="8"/>
  <c r="G349" i="8"/>
  <c r="G284" i="8"/>
  <c r="G289" i="8"/>
  <c r="G294" i="8"/>
  <c r="G249" i="8"/>
  <c r="G286" i="8"/>
  <c r="G283" i="8"/>
  <c r="G288" i="8"/>
  <c r="G282" i="8"/>
  <c r="G278" i="8"/>
  <c r="G274" i="8"/>
  <c r="G338" i="8"/>
  <c r="G2678" i="8"/>
  <c r="G272" i="8"/>
  <c r="G271" i="8"/>
  <c r="G334" i="8"/>
  <c r="G267" i="8"/>
  <c r="G285" i="8"/>
  <c r="G273" i="8"/>
  <c r="G330" i="8"/>
  <c r="G248" i="8"/>
  <c r="G328" i="8"/>
  <c r="G263" i="8"/>
  <c r="G264" i="8"/>
  <c r="G3064" i="8"/>
  <c r="G324" i="8"/>
  <c r="G255" i="8"/>
  <c r="G253" i="8"/>
  <c r="G2658" i="8"/>
  <c r="G320" i="8"/>
  <c r="G259" i="8"/>
  <c r="G318" i="8"/>
  <c r="G258" i="8"/>
  <c r="G269" i="8"/>
  <c r="G256" i="8"/>
  <c r="G314" i="8"/>
  <c r="G251" i="8"/>
  <c r="G246" i="8"/>
  <c r="G3054" i="8"/>
  <c r="G3086" i="8"/>
  <c r="G3082" i="8"/>
  <c r="G241" i="8"/>
  <c r="G2656" i="8"/>
  <c r="G247" i="8"/>
  <c r="G245" i="8"/>
  <c r="G304" i="8"/>
  <c r="G225" i="8"/>
  <c r="G223" i="8"/>
  <c r="G301" i="8"/>
  <c r="G211" i="8"/>
  <c r="G192" i="8"/>
  <c r="G298" i="8"/>
  <c r="G297" i="8"/>
  <c r="G296" i="8"/>
  <c r="G244" i="8"/>
  <c r="G240" i="8"/>
  <c r="G3076" i="8"/>
  <c r="G191" i="8"/>
  <c r="G186" i="8"/>
  <c r="G238" i="8"/>
  <c r="G184" i="8"/>
  <c r="G221" i="8"/>
  <c r="G236" i="8"/>
  <c r="G3116" i="8"/>
  <c r="G3047" i="8"/>
  <c r="G235" i="8"/>
  <c r="G234" i="8"/>
  <c r="G2654" i="8"/>
  <c r="G281" i="8"/>
  <c r="G280" i="8"/>
  <c r="G243" i="8"/>
  <c r="G226" i="8"/>
  <c r="G277" i="8"/>
  <c r="G276" i="8"/>
  <c r="G275" i="8"/>
  <c r="G224" i="8"/>
  <c r="G217" i="8"/>
  <c r="G219" i="8"/>
  <c r="G213" i="8"/>
  <c r="G2786" i="8"/>
  <c r="G2685" i="8"/>
  <c r="G268" i="8"/>
  <c r="G3066" i="8"/>
  <c r="G2778" i="8"/>
  <c r="G265" i="8"/>
  <c r="G181" i="8"/>
  <c r="G3063" i="8"/>
  <c r="G239" i="8"/>
  <c r="G232" i="8"/>
  <c r="G260" i="8"/>
  <c r="G172" i="8"/>
  <c r="G165" i="8"/>
  <c r="G257" i="8"/>
  <c r="G161" i="8"/>
  <c r="G212" i="8"/>
  <c r="G231" i="8"/>
  <c r="G210" i="8"/>
  <c r="G252" i="8"/>
  <c r="G207" i="8"/>
  <c r="G230" i="8"/>
  <c r="G228" i="8"/>
  <c r="G222" i="8"/>
  <c r="G202" i="8"/>
  <c r="G209" i="8"/>
  <c r="G201" i="8"/>
  <c r="G220" i="8"/>
  <c r="G3184" i="8"/>
  <c r="G242" i="8"/>
  <c r="G188" i="8"/>
  <c r="G185" i="8"/>
  <c r="G216" i="8"/>
  <c r="G199" i="8"/>
  <c r="G237" i="8"/>
  <c r="G2648" i="8"/>
  <c r="G178" i="8"/>
  <c r="G174" i="8"/>
  <c r="G233" i="8"/>
  <c r="G214" i="8"/>
  <c r="G204" i="8"/>
  <c r="G200" i="8"/>
  <c r="G229" i="8"/>
  <c r="G2773" i="8"/>
  <c r="G227" i="8"/>
  <c r="G3059" i="8"/>
  <c r="G3372" i="8"/>
  <c r="G171" i="8"/>
  <c r="G153" i="8"/>
  <c r="G197" i="8"/>
  <c r="G183" i="8"/>
  <c r="G196" i="8"/>
  <c r="G166" i="8"/>
  <c r="G218" i="8"/>
  <c r="G173" i="8"/>
  <c r="G194" i="8"/>
  <c r="G215" i="8"/>
  <c r="G193" i="8"/>
  <c r="G2646" i="8"/>
  <c r="G3053" i="8"/>
  <c r="G152" i="8"/>
  <c r="G158" i="8"/>
  <c r="G164" i="8"/>
  <c r="G208" i="8"/>
  <c r="G157" i="8"/>
  <c r="G206" i="8"/>
  <c r="G205" i="8"/>
  <c r="G189" i="8"/>
  <c r="G203" i="8"/>
  <c r="G2636" i="8"/>
  <c r="G3050" i="8"/>
  <c r="G3182" i="8"/>
  <c r="G156" i="8"/>
  <c r="G198" i="8"/>
  <c r="G187" i="8"/>
  <c r="G177" i="8"/>
  <c r="G195" i="8"/>
  <c r="G175" i="8"/>
  <c r="G167" i="8"/>
  <c r="G146" i="8"/>
  <c r="G144" i="8"/>
  <c r="G190" i="8"/>
  <c r="G155" i="8"/>
  <c r="G154" i="8"/>
  <c r="G2765" i="8"/>
  <c r="G3108" i="8"/>
  <c r="G3045" i="8"/>
  <c r="G140" i="8"/>
  <c r="G3043" i="8"/>
  <c r="G182" i="8"/>
  <c r="G139" i="8"/>
  <c r="G180" i="8"/>
  <c r="G179" i="8"/>
  <c r="G147" i="8"/>
  <c r="G145" i="8"/>
  <c r="G176" i="8"/>
  <c r="G133" i="8"/>
  <c r="G138" i="8"/>
  <c r="G151" i="8"/>
  <c r="G136" i="8"/>
  <c r="G130" i="8"/>
  <c r="G170" i="8"/>
  <c r="G169" i="8"/>
  <c r="G168" i="8"/>
  <c r="G3181" i="8"/>
  <c r="G129" i="8"/>
  <c r="G131" i="8"/>
  <c r="G149" i="8"/>
  <c r="G163" i="8"/>
  <c r="G162" i="8"/>
  <c r="G3088" i="8"/>
  <c r="G160" i="8"/>
  <c r="G159" i="8"/>
  <c r="G3048" i="8"/>
  <c r="G3044" i="8"/>
  <c r="G126" i="8"/>
  <c r="G132" i="8"/>
  <c r="G141" i="8"/>
  <c r="G124" i="8"/>
  <c r="G118" i="8"/>
  <c r="G135" i="8"/>
  <c r="G150" i="8"/>
  <c r="G113" i="8"/>
  <c r="G148" i="8"/>
  <c r="G119" i="8"/>
  <c r="G114" i="8"/>
  <c r="G2759" i="8"/>
  <c r="G3073" i="8"/>
  <c r="G143" i="8"/>
  <c r="G142" i="8"/>
  <c r="G109" i="8"/>
  <c r="G3371" i="8"/>
  <c r="G111" i="8"/>
  <c r="G3040" i="8"/>
  <c r="G137" i="8"/>
  <c r="G110" i="8"/>
  <c r="G94" i="8"/>
  <c r="G134" i="8"/>
  <c r="G127" i="8"/>
  <c r="G125" i="8"/>
  <c r="G106" i="8"/>
  <c r="G116" i="8"/>
  <c r="G115" i="8"/>
  <c r="G128" i="8"/>
  <c r="G121" i="8"/>
  <c r="G102" i="8"/>
  <c r="G112" i="8"/>
  <c r="G103" i="8"/>
  <c r="G123" i="8"/>
  <c r="G122" i="8"/>
  <c r="G100" i="8"/>
  <c r="G120" i="8"/>
  <c r="G3038" i="8"/>
  <c r="G101" i="8"/>
  <c r="G117" i="8"/>
  <c r="G99" i="8"/>
  <c r="G97" i="8"/>
  <c r="G88" i="8"/>
  <c r="G93" i="8"/>
  <c r="G81" i="8"/>
  <c r="G87" i="8"/>
  <c r="G77" i="8"/>
  <c r="G84" i="8"/>
  <c r="G108" i="8"/>
  <c r="G107" i="8"/>
  <c r="G73" i="8"/>
  <c r="G105" i="8"/>
  <c r="G104" i="8"/>
  <c r="G62" i="8"/>
  <c r="G2615" i="8"/>
  <c r="G3069" i="8"/>
  <c r="G76" i="8"/>
  <c r="G3036" i="8"/>
  <c r="G98" i="8"/>
  <c r="G75" i="8"/>
  <c r="G96" i="8"/>
  <c r="G95" i="8"/>
  <c r="G78" i="8"/>
  <c r="G72" i="8"/>
  <c r="G92" i="8"/>
  <c r="G91" i="8"/>
  <c r="G90" i="8"/>
  <c r="G89" i="8"/>
  <c r="G61" i="8"/>
  <c r="G60" i="8"/>
  <c r="G86" i="8"/>
  <c r="G85" i="8"/>
  <c r="G3013" i="8"/>
  <c r="G83" i="8"/>
  <c r="G82" i="8"/>
  <c r="G66" i="8"/>
  <c r="G80" i="8"/>
  <c r="G79" i="8"/>
  <c r="G71" i="8"/>
  <c r="G59" i="8"/>
  <c r="G65" i="8"/>
  <c r="G67" i="8"/>
  <c r="G74" i="8"/>
  <c r="G56" i="8"/>
  <c r="G70" i="8"/>
  <c r="G69" i="8"/>
  <c r="G55" i="8"/>
  <c r="G3007" i="8"/>
  <c r="G68" i="8"/>
  <c r="G49" i="8"/>
  <c r="G58" i="8"/>
  <c r="G57" i="8"/>
  <c r="G64" i="8"/>
  <c r="G63" i="8"/>
  <c r="G54" i="8"/>
  <c r="G51" i="8"/>
  <c r="G3049" i="8"/>
  <c r="G3042" i="8"/>
  <c r="G3180" i="8"/>
  <c r="G3178" i="8"/>
  <c r="G3368" i="8"/>
  <c r="G26" i="8"/>
  <c r="G42" i="8"/>
  <c r="G53" i="8"/>
  <c r="G52" i="8"/>
  <c r="G39" i="8"/>
  <c r="G50" i="8"/>
  <c r="G47" i="8"/>
  <c r="G48" i="8"/>
  <c r="G46" i="8"/>
  <c r="G45" i="8"/>
  <c r="G36" i="8"/>
  <c r="G44" i="8"/>
  <c r="G43" i="8"/>
  <c r="G37" i="8"/>
  <c r="G41" i="8"/>
  <c r="G40" i="8"/>
  <c r="G3364" i="8"/>
  <c r="G38" i="8"/>
  <c r="G3359" i="8"/>
  <c r="G35" i="8"/>
  <c r="G2608" i="8"/>
  <c r="G34" i="8"/>
  <c r="G33" i="8"/>
  <c r="G32" i="8"/>
  <c r="G31" i="8"/>
  <c r="G30" i="8"/>
  <c r="G29" i="8"/>
  <c r="G28" i="8"/>
  <c r="G27" i="8"/>
  <c r="G2683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J23" i="8"/>
  <c r="J30" i="8"/>
  <c r="J39" i="8"/>
  <c r="J74" i="8"/>
  <c r="J33" i="8"/>
  <c r="J34" i="8"/>
  <c r="J2608" i="8"/>
  <c r="J35" i="8"/>
  <c r="J51" i="8"/>
  <c r="J38" i="8"/>
  <c r="J54" i="8"/>
  <c r="J40" i="8"/>
  <c r="J41" i="8"/>
  <c r="J3007" i="8"/>
  <c r="J43" i="8"/>
  <c r="J83" i="8"/>
  <c r="J36" i="8"/>
  <c r="J45" i="8"/>
  <c r="J46" i="8"/>
  <c r="J48" i="8"/>
  <c r="J47" i="8"/>
  <c r="J50" i="8"/>
  <c r="J65" i="8"/>
  <c r="J52" i="8"/>
  <c r="J108" i="8"/>
  <c r="J42" i="8"/>
  <c r="J26" i="8"/>
  <c r="J3368" i="8"/>
  <c r="J3178" i="8"/>
  <c r="J3180" i="8"/>
  <c r="J3042" i="8"/>
  <c r="J3049" i="8"/>
  <c r="J78" i="8"/>
  <c r="J95" i="8"/>
  <c r="J63" i="8"/>
  <c r="J64" i="8"/>
  <c r="J57" i="8"/>
  <c r="J58" i="8"/>
  <c r="J49" i="8"/>
  <c r="J97" i="8"/>
  <c r="J75" i="8"/>
  <c r="J55" i="8"/>
  <c r="J69" i="8"/>
  <c r="J70" i="8"/>
  <c r="J56" i="8"/>
  <c r="J103" i="8"/>
  <c r="J67" i="8"/>
  <c r="J76" i="8"/>
  <c r="J59" i="8"/>
  <c r="J71" i="8"/>
  <c r="J79" i="8"/>
  <c r="J80" i="8"/>
  <c r="J66" i="8"/>
  <c r="J82" i="8"/>
  <c r="J134" i="8"/>
  <c r="J3013" i="8"/>
  <c r="J85" i="8"/>
  <c r="J86" i="8"/>
  <c r="J60" i="8"/>
  <c r="J61" i="8"/>
  <c r="J89" i="8"/>
  <c r="J90" i="8"/>
  <c r="J91" i="8"/>
  <c r="J92" i="8"/>
  <c r="J72" i="8"/>
  <c r="J104" i="8"/>
  <c r="J77" i="8"/>
  <c r="J96" i="8"/>
  <c r="J101" i="8"/>
  <c r="J98" i="8"/>
  <c r="J3036" i="8"/>
  <c r="J3038" i="8"/>
  <c r="J3069" i="8"/>
  <c r="J2615" i="8"/>
  <c r="J62" i="8"/>
  <c r="J100" i="8"/>
  <c r="J105" i="8"/>
  <c r="J73" i="8"/>
  <c r="J107" i="8"/>
  <c r="J111" i="8"/>
  <c r="J84" i="8"/>
  <c r="J142" i="8"/>
  <c r="J87" i="8"/>
  <c r="J81" i="8"/>
  <c r="J93" i="8"/>
  <c r="J88" i="8"/>
  <c r="J109" i="8"/>
  <c r="J99" i="8"/>
  <c r="J117" i="8"/>
  <c r="J148" i="8"/>
  <c r="J160" i="8"/>
  <c r="J120" i="8"/>
  <c r="J147" i="8"/>
  <c r="J122" i="8"/>
  <c r="J123" i="8"/>
  <c r="J141" i="8"/>
  <c r="J112" i="8"/>
  <c r="J102" i="8"/>
  <c r="J121" i="8"/>
  <c r="J128" i="8"/>
  <c r="J115" i="8"/>
  <c r="J116" i="8"/>
  <c r="J106" i="8"/>
  <c r="J125" i="8"/>
  <c r="J127" i="8"/>
  <c r="J132" i="8"/>
  <c r="J94" i="8"/>
  <c r="J110" i="8"/>
  <c r="J137" i="8"/>
  <c r="J3040" i="8"/>
  <c r="J126" i="8"/>
  <c r="J3371" i="8"/>
  <c r="J163" i="8"/>
  <c r="J3181" i="8"/>
  <c r="J143" i="8"/>
  <c r="J3073" i="8"/>
  <c r="J2759" i="8"/>
  <c r="J114" i="8"/>
  <c r="J119" i="8"/>
  <c r="J130" i="8"/>
  <c r="J113" i="8"/>
  <c r="J150" i="8"/>
  <c r="J135" i="8"/>
  <c r="J118" i="8"/>
  <c r="J124" i="8"/>
  <c r="J168" i="8"/>
  <c r="J133" i="8"/>
  <c r="J145" i="8"/>
  <c r="J3044" i="8"/>
  <c r="J3048" i="8"/>
  <c r="J159" i="8"/>
  <c r="J179" i="8"/>
  <c r="J3088" i="8"/>
  <c r="J162" i="8"/>
  <c r="J208" i="8"/>
  <c r="J149" i="8"/>
  <c r="J131" i="8"/>
  <c r="J129" i="8"/>
  <c r="J152" i="8"/>
  <c r="J140" i="8"/>
  <c r="J169" i="8"/>
  <c r="J170" i="8"/>
  <c r="J206" i="8"/>
  <c r="J136" i="8"/>
  <c r="J151" i="8"/>
  <c r="J138" i="8"/>
  <c r="J154" i="8"/>
  <c r="J176" i="8"/>
  <c r="J156" i="8"/>
  <c r="J203" i="8"/>
  <c r="J173" i="8"/>
  <c r="J180" i="8"/>
  <c r="J139" i="8"/>
  <c r="J182" i="8"/>
  <c r="J3043" i="8"/>
  <c r="J3372" i="8"/>
  <c r="J3045" i="8"/>
  <c r="J3108" i="8"/>
  <c r="J2765" i="8"/>
  <c r="J200" i="8"/>
  <c r="J155" i="8"/>
  <c r="J190" i="8"/>
  <c r="J144" i="8"/>
  <c r="J146" i="8"/>
  <c r="J167" i="8"/>
  <c r="J175" i="8"/>
  <c r="J195" i="8"/>
  <c r="J177" i="8"/>
  <c r="J187" i="8"/>
  <c r="J198" i="8"/>
  <c r="J3053" i="8"/>
  <c r="J3182" i="8"/>
  <c r="J3050" i="8"/>
  <c r="J2636" i="8"/>
  <c r="J2646" i="8"/>
  <c r="J189" i="8"/>
  <c r="J205" i="8"/>
  <c r="J220" i="8"/>
  <c r="J157" i="8"/>
  <c r="J166" i="8"/>
  <c r="J164" i="8"/>
  <c r="J158" i="8"/>
  <c r="J171" i="8"/>
  <c r="J229" i="8"/>
  <c r="J214" i="8"/>
  <c r="J193" i="8"/>
  <c r="J215" i="8"/>
  <c r="J194" i="8"/>
  <c r="J207" i="8"/>
  <c r="J218" i="8"/>
  <c r="J233" i="8"/>
  <c r="J196" i="8"/>
  <c r="J183" i="8"/>
  <c r="J197" i="8"/>
  <c r="J153" i="8"/>
  <c r="J178" i="8"/>
  <c r="J276" i="8"/>
  <c r="J3059" i="8"/>
  <c r="J227" i="8"/>
  <c r="J2773" i="8"/>
  <c r="J2648" i="8"/>
  <c r="J244" i="8"/>
  <c r="J204" i="8"/>
  <c r="J199" i="8"/>
  <c r="J216" i="8"/>
  <c r="J174" i="8"/>
  <c r="J185" i="8"/>
  <c r="J188" i="8"/>
  <c r="J237" i="8"/>
  <c r="J192" i="8"/>
  <c r="J201" i="8"/>
  <c r="J211" i="8"/>
  <c r="J3063" i="8"/>
  <c r="J242" i="8"/>
  <c r="J3184" i="8"/>
  <c r="J2778" i="8"/>
  <c r="J2685" i="8"/>
  <c r="J209" i="8"/>
  <c r="J202" i="8"/>
  <c r="J222" i="8"/>
  <c r="J228" i="8"/>
  <c r="J230" i="8"/>
  <c r="J213" i="8"/>
  <c r="J252" i="8"/>
  <c r="J210" i="8"/>
  <c r="J231" i="8"/>
  <c r="J212" i="8"/>
  <c r="J161" i="8"/>
  <c r="J257" i="8"/>
  <c r="J165" i="8"/>
  <c r="J172" i="8"/>
  <c r="J260" i="8"/>
  <c r="J232" i="8"/>
  <c r="J239" i="8"/>
  <c r="J224" i="8"/>
  <c r="J181" i="8"/>
  <c r="J265" i="8"/>
  <c r="J226" i="8"/>
  <c r="J3066" i="8"/>
  <c r="J268" i="8"/>
  <c r="J280" i="8"/>
  <c r="J2786" i="8"/>
  <c r="J2654" i="8"/>
  <c r="J219" i="8"/>
  <c r="J217" i="8"/>
  <c r="J234" i="8"/>
  <c r="J275" i="8"/>
  <c r="J223" i="8"/>
  <c r="J277" i="8"/>
  <c r="J235" i="8"/>
  <c r="J243" i="8"/>
  <c r="J236" i="8"/>
  <c r="J281" i="8"/>
  <c r="J184" i="8"/>
  <c r="J3076" i="8"/>
  <c r="J297" i="8"/>
  <c r="J3047" i="8"/>
  <c r="J3116" i="8"/>
  <c r="J2656" i="8"/>
  <c r="J221" i="8"/>
  <c r="J246" i="8"/>
  <c r="J238" i="8"/>
  <c r="J186" i="8"/>
  <c r="J191" i="8"/>
  <c r="J320" i="8"/>
  <c r="J240" i="8"/>
  <c r="J251" i="8"/>
  <c r="J296" i="8"/>
  <c r="J255" i="8"/>
  <c r="J298" i="8"/>
  <c r="J256" i="8"/>
  <c r="J258" i="8"/>
  <c r="J301" i="8"/>
  <c r="J259" i="8"/>
  <c r="J225" i="8"/>
  <c r="J304" i="8"/>
  <c r="J245" i="8"/>
  <c r="J247" i="8"/>
  <c r="J271" i="8"/>
  <c r="J241" i="8"/>
  <c r="J3082" i="8"/>
  <c r="J3086" i="8"/>
  <c r="J3054" i="8"/>
  <c r="J2678" i="8"/>
  <c r="J2658" i="8"/>
  <c r="J314" i="8"/>
  <c r="J253" i="8"/>
  <c r="J269" i="8"/>
  <c r="J264" i="8"/>
  <c r="J318" i="8"/>
  <c r="J263" i="8"/>
  <c r="J274" i="8"/>
  <c r="J248" i="8"/>
  <c r="J283" i="8"/>
  <c r="J278" i="8"/>
  <c r="J324" i="8"/>
  <c r="J3064" i="8"/>
  <c r="J3374" i="8"/>
  <c r="J3381" i="8"/>
  <c r="J328" i="8"/>
  <c r="J3119" i="8"/>
  <c r="J330" i="8"/>
  <c r="J273" i="8"/>
  <c r="J285" i="8"/>
  <c r="J267" i="8"/>
  <c r="J334" i="8"/>
  <c r="J282" i="8"/>
  <c r="J272" i="8"/>
  <c r="J284" i="8"/>
  <c r="J338" i="8"/>
  <c r="J292" i="8"/>
  <c r="J287" i="8"/>
  <c r="J299" i="8"/>
  <c r="J288" i="8"/>
  <c r="J291" i="8"/>
  <c r="J286" i="8"/>
  <c r="J249" i="8"/>
  <c r="J294" i="8"/>
  <c r="J289" i="8"/>
  <c r="J290" i="8"/>
  <c r="J349" i="8"/>
  <c r="J300" i="8"/>
  <c r="J3098" i="8"/>
  <c r="J3096" i="8"/>
  <c r="J3201" i="8"/>
  <c r="J3123" i="8"/>
  <c r="J2694" i="8"/>
  <c r="J308" i="8"/>
  <c r="J396" i="8"/>
  <c r="J293" i="8"/>
  <c r="J250" i="8"/>
  <c r="J254" i="8"/>
  <c r="J305" i="8"/>
  <c r="J302" i="8"/>
  <c r="J303" i="8"/>
  <c r="J311" i="8"/>
  <c r="J306" i="8"/>
  <c r="J312" i="8"/>
  <c r="J3099" i="8"/>
  <c r="J390" i="8"/>
  <c r="J3105" i="8"/>
  <c r="J2787" i="8"/>
  <c r="J2788" i="8"/>
  <c r="J372" i="8"/>
  <c r="J373" i="8"/>
  <c r="J315" i="8"/>
  <c r="J316" i="8"/>
  <c r="J376" i="8"/>
  <c r="J317" i="8"/>
  <c r="J325" i="8"/>
  <c r="J261" i="8"/>
  <c r="J331" i="8"/>
  <c r="J307" i="8"/>
  <c r="J262" i="8"/>
  <c r="J383" i="8"/>
  <c r="J319" i="8"/>
  <c r="J326" i="8"/>
  <c r="J386" i="8"/>
  <c r="J387" i="8"/>
  <c r="J266" i="8"/>
  <c r="J270" i="8"/>
  <c r="J309" i="8"/>
  <c r="J310" i="8"/>
  <c r="J344" i="8"/>
  <c r="J393" i="8"/>
  <c r="J3208" i="8"/>
  <c r="J3110" i="8"/>
  <c r="J2703" i="8"/>
  <c r="J3132" i="8"/>
  <c r="J398" i="8"/>
  <c r="J347" i="8"/>
  <c r="J279" i="8"/>
  <c r="J350" i="8"/>
  <c r="J402" i="8"/>
  <c r="J313" i="8"/>
  <c r="J404" i="8"/>
  <c r="J295" i="8"/>
  <c r="J332" i="8"/>
  <c r="J329" i="8"/>
  <c r="J408" i="8"/>
  <c r="J3210" i="8"/>
  <c r="J3218" i="8"/>
  <c r="J3221" i="8"/>
  <c r="J412" i="8"/>
  <c r="J2707" i="8"/>
  <c r="J345" i="8"/>
  <c r="J353" i="8"/>
  <c r="J351" i="8"/>
  <c r="J417" i="8"/>
  <c r="J342" i="8"/>
  <c r="J419" i="8"/>
  <c r="J321" i="8"/>
  <c r="J354" i="8"/>
  <c r="J357" i="8"/>
  <c r="J322" i="8"/>
  <c r="J359" i="8"/>
  <c r="J369" i="8"/>
  <c r="J323" i="8"/>
  <c r="J427" i="8"/>
  <c r="J428" i="8"/>
  <c r="J429" i="8"/>
  <c r="J370" i="8"/>
  <c r="J346" i="8"/>
  <c r="J327" i="8"/>
  <c r="J355" i="8"/>
  <c r="J434" i="8"/>
  <c r="J3065" i="8"/>
  <c r="J3223" i="8"/>
  <c r="J3229" i="8"/>
  <c r="J3133" i="8"/>
  <c r="J2800" i="8"/>
  <c r="J371" i="8"/>
  <c r="J333" i="8"/>
  <c r="J379" i="8"/>
  <c r="J443" i="8"/>
  <c r="J356" i="8"/>
  <c r="J382" i="8"/>
  <c r="J358" i="8"/>
  <c r="J447" i="8"/>
  <c r="J335" i="8"/>
  <c r="J388" i="8"/>
  <c r="J364" i="8"/>
  <c r="J451" i="8"/>
  <c r="J3129" i="8"/>
  <c r="J3231" i="8"/>
  <c r="J2708" i="8"/>
  <c r="J455" i="8"/>
  <c r="J336" i="8"/>
  <c r="J389" i="8"/>
  <c r="J337" i="8"/>
  <c r="J361" i="8"/>
  <c r="J394" i="8"/>
  <c r="J366" i="8"/>
  <c r="J462" i="8"/>
  <c r="J375" i="8"/>
  <c r="J400" i="8"/>
  <c r="J465" i="8"/>
  <c r="J339" i="8"/>
  <c r="J378" i="8"/>
  <c r="J380" i="8"/>
  <c r="J406" i="8"/>
  <c r="J470" i="8"/>
  <c r="J340" i="8"/>
  <c r="J472" i="8"/>
  <c r="J418" i="8"/>
  <c r="J362" i="8"/>
  <c r="J341" i="8"/>
  <c r="J374" i="8"/>
  <c r="J477" i="8"/>
  <c r="J478" i="8"/>
  <c r="J3079" i="8"/>
  <c r="J480" i="8"/>
  <c r="J481" i="8"/>
  <c r="J343" i="8"/>
  <c r="J384" i="8"/>
  <c r="J431" i="8"/>
  <c r="J385" i="8"/>
  <c r="J392" i="8"/>
  <c r="J405" i="8"/>
  <c r="J397" i="8"/>
  <c r="J348" i="8"/>
  <c r="J433" i="8"/>
  <c r="J491" i="8"/>
  <c r="J352" i="8"/>
  <c r="J493" i="8"/>
  <c r="J3138" i="8"/>
  <c r="J3384" i="8"/>
  <c r="J2808" i="8"/>
  <c r="J2821" i="8"/>
  <c r="J399" i="8"/>
  <c r="J435" i="8"/>
  <c r="J360" i="8"/>
  <c r="J407" i="8"/>
  <c r="J502" i="8"/>
  <c r="J444" i="8"/>
  <c r="J401" i="8"/>
  <c r="J409" i="8"/>
  <c r="J506" i="8"/>
  <c r="J507" i="8"/>
  <c r="J508" i="8"/>
  <c r="J509" i="8"/>
  <c r="J510" i="8"/>
  <c r="J450" i="8"/>
  <c r="J410" i="8"/>
  <c r="J363" i="8"/>
  <c r="J416" i="8"/>
  <c r="J411" i="8"/>
  <c r="J365" i="8"/>
  <c r="J517" i="8"/>
  <c r="J421" i="8"/>
  <c r="J519" i="8"/>
  <c r="J520" i="8"/>
  <c r="J521" i="8"/>
  <c r="J2711" i="8"/>
  <c r="J3134" i="8"/>
  <c r="J524" i="8"/>
  <c r="J414" i="8"/>
  <c r="J415" i="8"/>
  <c r="J527" i="8"/>
  <c r="J367" i="8"/>
  <c r="J424" i="8"/>
  <c r="J422" i="8"/>
  <c r="J368" i="8"/>
  <c r="J532" i="8"/>
  <c r="J377" i="8"/>
  <c r="J425" i="8"/>
  <c r="J3232" i="8"/>
  <c r="J3238" i="8"/>
  <c r="J3397" i="8"/>
  <c r="J2696" i="8"/>
  <c r="J3136" i="8"/>
  <c r="J438" i="8"/>
  <c r="J446" i="8"/>
  <c r="J542" i="8"/>
  <c r="J459" i="8"/>
  <c r="J544" i="8"/>
  <c r="J545" i="8"/>
  <c r="J546" i="8"/>
  <c r="J430" i="8"/>
  <c r="J461" i="8"/>
  <c r="J463" i="8"/>
  <c r="J381" i="8"/>
  <c r="J436" i="8"/>
  <c r="J474" i="8"/>
  <c r="J476" i="8"/>
  <c r="J554" i="8"/>
  <c r="J483" i="8"/>
  <c r="J391" i="8"/>
  <c r="J467" i="8"/>
  <c r="J558" i="8"/>
  <c r="J437" i="8"/>
  <c r="J468" i="8"/>
  <c r="J3140" i="8"/>
  <c r="J3399" i="8"/>
  <c r="J563" i="8"/>
  <c r="J2702" i="8"/>
  <c r="J565" i="8"/>
  <c r="J566" i="8"/>
  <c r="J567" i="8"/>
  <c r="J395" i="8"/>
  <c r="J469" i="8"/>
  <c r="J403" i="8"/>
  <c r="J485" i="8"/>
  <c r="J413" i="8"/>
  <c r="J486" i="8"/>
  <c r="J488" i="8"/>
  <c r="J420" i="8"/>
  <c r="J576" i="8"/>
  <c r="J3083" i="8"/>
  <c r="J3240" i="8"/>
  <c r="J3087" i="8"/>
  <c r="J3139" i="8"/>
  <c r="J581" i="8"/>
  <c r="J582" i="8"/>
  <c r="J583" i="8"/>
  <c r="J439" i="8"/>
  <c r="J585" i="8"/>
  <c r="J473" i="8"/>
  <c r="J495" i="8"/>
  <c r="J423" i="8"/>
  <c r="J426" i="8"/>
  <c r="J590" i="8"/>
  <c r="J591" i="8"/>
  <c r="J432" i="8"/>
  <c r="J498" i="8"/>
  <c r="J441" i="8"/>
  <c r="J448" i="8"/>
  <c r="J596" i="8"/>
  <c r="J479" i="8"/>
  <c r="J484" i="8"/>
  <c r="J452" i="8"/>
  <c r="J454" i="8"/>
  <c r="J601" i="8"/>
  <c r="J602" i="8"/>
  <c r="J3414" i="8"/>
  <c r="J3417" i="8"/>
  <c r="J3241" i="8"/>
  <c r="J606" i="8"/>
  <c r="J2826" i="8"/>
  <c r="J440" i="8"/>
  <c r="J609" i="8"/>
  <c r="J442" i="8"/>
  <c r="J445" i="8"/>
  <c r="J456" i="8"/>
  <c r="J504" i="8"/>
  <c r="J449" i="8"/>
  <c r="J514" i="8"/>
  <c r="J616" i="8"/>
  <c r="J617" i="8"/>
  <c r="J458" i="8"/>
  <c r="J3242" i="8"/>
  <c r="J3266" i="8"/>
  <c r="J3102" i="8"/>
  <c r="J2834" i="8"/>
  <c r="J2720" i="8"/>
  <c r="J453" i="8"/>
  <c r="J466" i="8"/>
  <c r="J490" i="8"/>
  <c r="J457" i="8"/>
  <c r="J471" i="8"/>
  <c r="J475" i="8"/>
  <c r="J518" i="8"/>
  <c r="J631" i="8"/>
  <c r="J632" i="8"/>
  <c r="J523" i="8"/>
  <c r="J530" i="8"/>
  <c r="J635" i="8"/>
  <c r="J636" i="8"/>
  <c r="J499" i="8"/>
  <c r="J537" i="8"/>
  <c r="J503" i="8"/>
  <c r="J460" i="8"/>
  <c r="J511" i="8"/>
  <c r="J642" i="8"/>
  <c r="J482" i="8"/>
  <c r="J489" i="8"/>
  <c r="J3271" i="8"/>
  <c r="J3277" i="8"/>
  <c r="J3421" i="8"/>
  <c r="J3141" i="8"/>
  <c r="J2844" i="8"/>
  <c r="J539" i="8"/>
  <c r="J492" i="8"/>
  <c r="J540" i="8"/>
  <c r="J653" i="8"/>
  <c r="J654" i="8"/>
  <c r="J541" i="8"/>
  <c r="J494" i="8"/>
  <c r="J500" i="8"/>
  <c r="J538" i="8"/>
  <c r="J548" i="8"/>
  <c r="J543" i="8"/>
  <c r="J3278" i="8"/>
  <c r="J3103" i="8"/>
  <c r="J663" i="8"/>
  <c r="J2862" i="8"/>
  <c r="J3146" i="8"/>
  <c r="J464" i="8"/>
  <c r="J487" i="8"/>
  <c r="J549" i="8"/>
  <c r="J669" i="8"/>
  <c r="J557" i="8"/>
  <c r="J496" i="8"/>
  <c r="J560" i="8"/>
  <c r="J673" i="8"/>
  <c r="J674" i="8"/>
  <c r="J564" i="8"/>
  <c r="J676" i="8"/>
  <c r="J677" i="8"/>
  <c r="J678" i="8"/>
  <c r="J569" i="8"/>
  <c r="J680" i="8"/>
  <c r="J552" i="8"/>
  <c r="J513" i="8"/>
  <c r="J683" i="8"/>
  <c r="J553" i="8"/>
  <c r="J516" i="8"/>
  <c r="J555" i="8"/>
  <c r="J3145" i="8"/>
  <c r="J3279" i="8"/>
  <c r="J3167" i="8"/>
  <c r="J690" i="8"/>
  <c r="J2868" i="8"/>
  <c r="J692" i="8"/>
  <c r="J562" i="8"/>
  <c r="J577" i="8"/>
  <c r="J522" i="8"/>
  <c r="J696" i="8"/>
  <c r="J528" i="8"/>
  <c r="J531" i="8"/>
  <c r="J699" i="8"/>
  <c r="J700" i="8"/>
  <c r="J579" i="8"/>
  <c r="J533" i="8"/>
  <c r="J3437" i="8"/>
  <c r="J704" i="8"/>
  <c r="J705" i="8"/>
  <c r="J706" i="8"/>
  <c r="J2723" i="8"/>
  <c r="J497" i="8"/>
  <c r="J709" i="8"/>
  <c r="J550" i="8"/>
  <c r="J586" i="8"/>
  <c r="J597" i="8"/>
  <c r="J598" i="8"/>
  <c r="J501" i="8"/>
  <c r="J505" i="8"/>
  <c r="J556" i="8"/>
  <c r="J561" i="8"/>
  <c r="J621" i="8"/>
  <c r="J568" i="8"/>
  <c r="J570" i="8"/>
  <c r="J721" i="8"/>
  <c r="J626" i="8"/>
  <c r="J637" i="8"/>
  <c r="J639" i="8"/>
  <c r="J641" i="8"/>
  <c r="J726" i="8"/>
  <c r="J727" i="8"/>
  <c r="J512" i="8"/>
  <c r="J3170" i="8"/>
  <c r="J3104" i="8"/>
  <c r="J3111" i="8"/>
  <c r="J3156" i="8"/>
  <c r="J3157" i="8"/>
  <c r="J734" i="8"/>
  <c r="J735" i="8"/>
  <c r="J736" i="8"/>
  <c r="J658" i="8"/>
  <c r="J738" i="8"/>
  <c r="J659" i="8"/>
  <c r="J515" i="8"/>
  <c r="J572" i="8"/>
  <c r="J742" i="8"/>
  <c r="J743" i="8"/>
  <c r="J744" i="8"/>
  <c r="J3280" i="8"/>
  <c r="J3282" i="8"/>
  <c r="J747" i="8"/>
  <c r="J2705" i="8"/>
  <c r="J2873" i="8"/>
  <c r="J575" i="8"/>
  <c r="J662" i="8"/>
  <c r="J752" i="8"/>
  <c r="J753" i="8"/>
  <c r="J754" i="8"/>
  <c r="J525" i="8"/>
  <c r="J571" i="8"/>
  <c r="J757" i="8"/>
  <c r="J588" i="8"/>
  <c r="J759" i="8"/>
  <c r="J573" i="8"/>
  <c r="J761" i="8"/>
  <c r="J526" i="8"/>
  <c r="J763" i="8"/>
  <c r="J574" i="8"/>
  <c r="J668" i="8"/>
  <c r="J670" i="8"/>
  <c r="J529" i="8"/>
  <c r="J672" i="8"/>
  <c r="J589" i="8"/>
  <c r="J770" i="8"/>
  <c r="J771" i="8"/>
  <c r="J772" i="8"/>
  <c r="J773" i="8"/>
  <c r="J3159" i="8"/>
  <c r="J2875" i="8"/>
  <c r="J675" i="8"/>
  <c r="J592" i="8"/>
  <c r="J679" i="8"/>
  <c r="J779" i="8"/>
  <c r="J594" i="8"/>
  <c r="J781" i="8"/>
  <c r="J694" i="8"/>
  <c r="J701" i="8"/>
  <c r="J784" i="8"/>
  <c r="J534" i="8"/>
  <c r="J786" i="8"/>
  <c r="J787" i="8"/>
  <c r="J3303" i="8"/>
  <c r="J789" i="8"/>
  <c r="J3160" i="8"/>
  <c r="J2730" i="8"/>
  <c r="J580" i="8"/>
  <c r="J793" i="8"/>
  <c r="J711" i="8"/>
  <c r="J535" i="8"/>
  <c r="J587" i="8"/>
  <c r="J536" i="8"/>
  <c r="J712" i="8"/>
  <c r="J595" i="8"/>
  <c r="J800" i="8"/>
  <c r="J593" i="8"/>
  <c r="J547" i="8"/>
  <c r="J713" i="8"/>
  <c r="J804" i="8"/>
  <c r="J603" i="8"/>
  <c r="J806" i="8"/>
  <c r="J807" i="8"/>
  <c r="J718" i="8"/>
  <c r="J604" i="8"/>
  <c r="J722" i="8"/>
  <c r="J811" i="8"/>
  <c r="J812" i="8"/>
  <c r="J3115" i="8"/>
  <c r="J3307" i="8"/>
  <c r="J3319" i="8"/>
  <c r="J2712" i="8"/>
  <c r="J817" i="8"/>
  <c r="J818" i="8"/>
  <c r="J819" i="8"/>
  <c r="J613" i="8"/>
  <c r="J821" i="8"/>
  <c r="J822" i="8"/>
  <c r="J599" i="8"/>
  <c r="J824" i="8"/>
  <c r="J825" i="8"/>
  <c r="J615" i="8"/>
  <c r="J551" i="8"/>
  <c r="J828" i="8"/>
  <c r="J3321" i="8"/>
  <c r="J3121" i="8"/>
  <c r="J3171" i="8"/>
  <c r="J2715" i="8"/>
  <c r="J723" i="8"/>
  <c r="J724" i="8"/>
  <c r="J835" i="8"/>
  <c r="J600" i="8"/>
  <c r="J837" i="8"/>
  <c r="J630" i="8"/>
  <c r="J839" i="8"/>
  <c r="J725" i="8"/>
  <c r="J612" i="8"/>
  <c r="J618" i="8"/>
  <c r="J843" i="8"/>
  <c r="J730" i="8"/>
  <c r="J559" i="8"/>
  <c r="J846" i="8"/>
  <c r="J847" i="8"/>
  <c r="J848" i="8"/>
  <c r="J849" i="8"/>
  <c r="J633" i="8"/>
  <c r="J578" i="8"/>
  <c r="J623" i="8"/>
  <c r="J731" i="8"/>
  <c r="J854" i="8"/>
  <c r="J855" i="8"/>
  <c r="J3126" i="8"/>
  <c r="J857" i="8"/>
  <c r="J2739" i="8"/>
  <c r="J584" i="8"/>
  <c r="J625" i="8"/>
  <c r="J628" i="8"/>
  <c r="J634" i="8"/>
  <c r="J737" i="8"/>
  <c r="J605" i="8"/>
  <c r="J865" i="8"/>
  <c r="J866" i="8"/>
  <c r="J867" i="8"/>
  <c r="J629" i="8"/>
  <c r="J739" i="8"/>
  <c r="J3130" i="8"/>
  <c r="J3192" i="8"/>
  <c r="J3143" i="8"/>
  <c r="J2744" i="8"/>
  <c r="J2885" i="8"/>
  <c r="J643" i="8"/>
  <c r="J748" i="8"/>
  <c r="J877" i="8"/>
  <c r="J644" i="8"/>
  <c r="J638" i="8"/>
  <c r="J751" i="8"/>
  <c r="J647" i="8"/>
  <c r="J651" i="8"/>
  <c r="J656" i="8"/>
  <c r="J648" i="8"/>
  <c r="J607" i="8"/>
  <c r="J886" i="8"/>
  <c r="J765" i="8"/>
  <c r="J657" i="8"/>
  <c r="J766" i="8"/>
  <c r="J682" i="8"/>
  <c r="J891" i="8"/>
  <c r="J892" i="8"/>
  <c r="J650" i="8"/>
  <c r="J894" i="8"/>
  <c r="J768" i="8"/>
  <c r="J3327" i="8"/>
  <c r="J3193" i="8"/>
  <c r="J3172" i="8"/>
  <c r="J2716" i="8"/>
  <c r="J900" i="8"/>
  <c r="J901" i="8"/>
  <c r="J652" i="8"/>
  <c r="J903" i="8"/>
  <c r="J655" i="8"/>
  <c r="J905" i="8"/>
  <c r="J660" i="8"/>
  <c r="J665" i="8"/>
  <c r="J608" i="8"/>
  <c r="J685" i="8"/>
  <c r="J910" i="8"/>
  <c r="J911" i="8"/>
  <c r="J912" i="8"/>
  <c r="J3195" i="8"/>
  <c r="J914" i="8"/>
  <c r="J915" i="8"/>
  <c r="J2886" i="8"/>
  <c r="J776" i="8"/>
  <c r="J681" i="8"/>
  <c r="J778" i="8"/>
  <c r="J920" i="8"/>
  <c r="J610" i="8"/>
  <c r="J782" i="8"/>
  <c r="J684" i="8"/>
  <c r="J924" i="8"/>
  <c r="J686" i="8"/>
  <c r="J687" i="8"/>
  <c r="J693" i="8"/>
  <c r="J928" i="8"/>
  <c r="J703" i="8"/>
  <c r="J783" i="8"/>
  <c r="J732" i="8"/>
  <c r="J794" i="8"/>
  <c r="J611" i="8"/>
  <c r="J798" i="8"/>
  <c r="J689" i="8"/>
  <c r="J733" i="8"/>
  <c r="J756" i="8"/>
  <c r="J938" i="8"/>
  <c r="J3331" i="8"/>
  <c r="J940" i="8"/>
  <c r="J2912" i="8"/>
  <c r="J3161" i="8"/>
  <c r="J943" i="8"/>
  <c r="J944" i="8"/>
  <c r="J695" i="8"/>
  <c r="J697" i="8"/>
  <c r="J947" i="8"/>
  <c r="J948" i="8"/>
  <c r="J949" i="8"/>
  <c r="J950" i="8"/>
  <c r="J951" i="8"/>
  <c r="J614" i="8"/>
  <c r="J698" i="8"/>
  <c r="J954" i="8"/>
  <c r="J3334" i="8"/>
  <c r="J3202" i="8"/>
  <c r="J2745" i="8"/>
  <c r="J958" i="8"/>
  <c r="J959" i="8"/>
  <c r="J760" i="8"/>
  <c r="J764" i="8"/>
  <c r="J702" i="8"/>
  <c r="J774" i="8"/>
  <c r="J790" i="8"/>
  <c r="J803" i="8"/>
  <c r="J966" i="8"/>
  <c r="J619" i="8"/>
  <c r="J968" i="8"/>
  <c r="J792" i="8"/>
  <c r="J970" i="8"/>
  <c r="J796" i="8"/>
  <c r="J808" i="8"/>
  <c r="J801" i="8"/>
  <c r="J707" i="8"/>
  <c r="J620" i="8"/>
  <c r="J976" i="8"/>
  <c r="J710" i="8"/>
  <c r="J805" i="8"/>
  <c r="J979" i="8"/>
  <c r="J980" i="8"/>
  <c r="J3205" i="8"/>
  <c r="J3340" i="8"/>
  <c r="J2747" i="8"/>
  <c r="J984" i="8"/>
  <c r="J810" i="8"/>
  <c r="J716" i="8"/>
  <c r="J987" i="8"/>
  <c r="J622" i="8"/>
  <c r="J717" i="8"/>
  <c r="J813" i="8"/>
  <c r="J719" i="8"/>
  <c r="J992" i="8"/>
  <c r="J809" i="8"/>
  <c r="J820" i="8"/>
  <c r="J826" i="8"/>
  <c r="J3438" i="8"/>
  <c r="J3442" i="8"/>
  <c r="J3344" i="8"/>
  <c r="J2757" i="8"/>
  <c r="J2915" i="8"/>
  <c r="J1001" i="8"/>
  <c r="J1002" i="8"/>
  <c r="J720" i="8"/>
  <c r="J729" i="8"/>
  <c r="J1005" i="8"/>
  <c r="J816" i="8"/>
  <c r="J1007" i="8"/>
  <c r="J1008" i="8"/>
  <c r="J624" i="8"/>
  <c r="J741" i="8"/>
  <c r="J750" i="8"/>
  <c r="J627" i="8"/>
  <c r="J830" i="8"/>
  <c r="J758" i="8"/>
  <c r="J1015" i="8"/>
  <c r="J838" i="8"/>
  <c r="J1017" i="8"/>
  <c r="J1018" i="8"/>
  <c r="J832" i="8"/>
  <c r="J833" i="8"/>
  <c r="J640" i="8"/>
  <c r="J1022" i="8"/>
  <c r="J1023" i="8"/>
  <c r="J3350" i="8"/>
  <c r="J2725" i="8"/>
  <c r="J3164" i="8"/>
  <c r="J1027" i="8"/>
  <c r="J1028" i="8"/>
  <c r="J1029" i="8"/>
  <c r="J850" i="8"/>
  <c r="J834" i="8"/>
  <c r="J1032" i="8"/>
  <c r="J769" i="8"/>
  <c r="J862" i="8"/>
  <c r="J879" i="8"/>
  <c r="J777" i="8"/>
  <c r="J645" i="8"/>
  <c r="J3206" i="8"/>
  <c r="J3179" i="8"/>
  <c r="J3443" i="8"/>
  <c r="J2749" i="8"/>
  <c r="J1042" i="8"/>
  <c r="J881" i="8"/>
  <c r="J840" i="8"/>
  <c r="J844" i="8"/>
  <c r="J1046" i="8"/>
  <c r="J780" i="8"/>
  <c r="J791" i="8"/>
  <c r="J1049" i="8"/>
  <c r="J884" i="8"/>
  <c r="J799" i="8"/>
  <c r="J646" i="8"/>
  <c r="J823" i="8"/>
  <c r="J649" i="8"/>
  <c r="J893" i="8"/>
  <c r="J1056" i="8"/>
  <c r="J1057" i="8"/>
  <c r="J831" i="8"/>
  <c r="J902" i="8"/>
  <c r="J1060" i="8"/>
  <c r="J904" i="8"/>
  <c r="J661" i="8"/>
  <c r="J1063" i="8"/>
  <c r="J3353" i="8"/>
  <c r="J3186" i="8"/>
  <c r="J3447" i="8"/>
  <c r="J1067" i="8"/>
  <c r="J2761" i="8"/>
  <c r="J853" i="8"/>
  <c r="J856" i="8"/>
  <c r="J664" i="8"/>
  <c r="J863" i="8"/>
  <c r="J666" i="8"/>
  <c r="J1074" i="8"/>
  <c r="J1075" i="8"/>
  <c r="J906" i="8"/>
  <c r="J1077" i="8"/>
  <c r="J869" i="8"/>
  <c r="J1079" i="8"/>
  <c r="J3358" i="8"/>
  <c r="J1081" i="8"/>
  <c r="J3212" i="8"/>
  <c r="J2767" i="8"/>
  <c r="J3176" i="8"/>
  <c r="J907" i="8"/>
  <c r="J836" i="8"/>
  <c r="J1087" i="8"/>
  <c r="J1088" i="8"/>
  <c r="J841" i="8"/>
  <c r="J1090" i="8"/>
  <c r="J842" i="8"/>
  <c r="J870" i="8"/>
  <c r="J1093" i="8"/>
  <c r="J852" i="8"/>
  <c r="J858" i="8"/>
  <c r="J1096" i="8"/>
  <c r="J1097" i="8"/>
  <c r="J1098" i="8"/>
  <c r="J860" i="8"/>
  <c r="J872" i="8"/>
  <c r="J667" i="8"/>
  <c r="J671" i="8"/>
  <c r="J1103" i="8"/>
  <c r="J1104" i="8"/>
  <c r="J1105" i="8"/>
  <c r="J1106" i="8"/>
  <c r="J1107" i="8"/>
  <c r="J3362" i="8"/>
  <c r="J2760" i="8"/>
  <c r="J3183" i="8"/>
  <c r="J861" i="8"/>
  <c r="J876" i="8"/>
  <c r="J1113" i="8"/>
  <c r="J880" i="8"/>
  <c r="J688" i="8"/>
  <c r="J887" i="8"/>
  <c r="J1117" i="8"/>
  <c r="J868" i="8"/>
  <c r="J871" i="8"/>
  <c r="J1120" i="8"/>
  <c r="J873" i="8"/>
  <c r="J3215" i="8"/>
  <c r="J3363" i="8"/>
  <c r="J1124" i="8"/>
  <c r="J2776" i="8"/>
  <c r="J2766" i="8"/>
  <c r="J691" i="8"/>
  <c r="J708" i="8"/>
  <c r="J918" i="8"/>
  <c r="J1130" i="8"/>
  <c r="J1131" i="8"/>
  <c r="J1132" i="8"/>
  <c r="J1133" i="8"/>
  <c r="J875" i="8"/>
  <c r="J923" i="8"/>
  <c r="J925" i="8"/>
  <c r="J927" i="8"/>
  <c r="J929" i="8"/>
  <c r="J931" i="8"/>
  <c r="J714" i="8"/>
  <c r="J878" i="8"/>
  <c r="J1142" i="8"/>
  <c r="J1143" i="8"/>
  <c r="J889" i="8"/>
  <c r="J895" i="8"/>
  <c r="J936" i="8"/>
  <c r="J1147" i="8"/>
  <c r="J1148" i="8"/>
  <c r="J3194" i="8"/>
  <c r="J3198" i="8"/>
  <c r="J2780" i="8"/>
  <c r="J2920" i="8"/>
  <c r="J882" i="8"/>
  <c r="J715" i="8"/>
  <c r="J728" i="8"/>
  <c r="J1156" i="8"/>
  <c r="J883" i="8"/>
  <c r="J1158" i="8"/>
  <c r="J1159" i="8"/>
  <c r="J740" i="8"/>
  <c r="J898" i="8"/>
  <c r="J937" i="8"/>
  <c r="J888" i="8"/>
  <c r="J1164" i="8"/>
  <c r="J3199" i="8"/>
  <c r="J3203" i="8"/>
  <c r="J1167" i="8"/>
  <c r="J2931" i="8"/>
  <c r="J890" i="8"/>
  <c r="J745" i="8"/>
  <c r="J1171" i="8"/>
  <c r="J1172" i="8"/>
  <c r="J942" i="8"/>
  <c r="J746" i="8"/>
  <c r="J899" i="8"/>
  <c r="J917" i="8"/>
  <c r="J897" i="8"/>
  <c r="J1178" i="8"/>
  <c r="J909" i="8"/>
  <c r="J913" i="8"/>
  <c r="J919" i="8"/>
  <c r="J922" i="8"/>
  <c r="J749" i="8"/>
  <c r="J1184" i="8"/>
  <c r="J755" i="8"/>
  <c r="J1186" i="8"/>
  <c r="J762" i="8"/>
  <c r="J767" i="8"/>
  <c r="J1189" i="8"/>
  <c r="J3456" i="8"/>
  <c r="J1191" i="8"/>
  <c r="J3225" i="8"/>
  <c r="J1193" i="8"/>
  <c r="J3188" i="8"/>
  <c r="J1195" i="8"/>
  <c r="J926" i="8"/>
  <c r="J935" i="8"/>
  <c r="J960" i="8"/>
  <c r="J961" i="8"/>
  <c r="J775" i="8"/>
  <c r="J963" i="8"/>
  <c r="J945" i="8"/>
  <c r="J930" i="8"/>
  <c r="J1204" i="8"/>
  <c r="J1205" i="8"/>
  <c r="J1206" i="8"/>
  <c r="J1207" i="8"/>
  <c r="J1208" i="8"/>
  <c r="J1209" i="8"/>
  <c r="J1210" i="8"/>
  <c r="J785" i="8"/>
  <c r="J1212" i="8"/>
  <c r="J1213" i="8"/>
  <c r="J1214" i="8"/>
  <c r="J946" i="8"/>
  <c r="J932" i="8"/>
  <c r="J788" i="8"/>
  <c r="J934" i="8"/>
  <c r="J1219" i="8"/>
  <c r="J964" i="8"/>
  <c r="J969" i="8"/>
  <c r="J953" i="8"/>
  <c r="J1223" i="8"/>
  <c r="J965" i="8"/>
  <c r="J971" i="8"/>
  <c r="J1226" i="8"/>
  <c r="J972" i="8"/>
  <c r="J795" i="8"/>
  <c r="J1229" i="8"/>
  <c r="J985" i="8"/>
  <c r="J990" i="8"/>
  <c r="J1232" i="8"/>
  <c r="J3246" i="8"/>
  <c r="J3462" i="8"/>
  <c r="J2784" i="8"/>
  <c r="J2770" i="8"/>
  <c r="J1237" i="8"/>
  <c r="J956" i="8"/>
  <c r="J1006" i="8"/>
  <c r="J1013" i="8"/>
  <c r="J797" i="8"/>
  <c r="J802" i="8"/>
  <c r="J957" i="8"/>
  <c r="J814" i="8"/>
  <c r="J973" i="8"/>
  <c r="J1019" i="8"/>
  <c r="J962" i="8"/>
  <c r="J1248" i="8"/>
  <c r="J3375" i="8"/>
  <c r="J3377" i="8"/>
  <c r="J2772" i="8"/>
  <c r="J2933" i="8"/>
  <c r="J1253" i="8"/>
  <c r="J1254" i="8"/>
  <c r="J1255" i="8"/>
  <c r="J978" i="8"/>
  <c r="J1020" i="8"/>
  <c r="J974" i="8"/>
  <c r="J1259" i="8"/>
  <c r="J1025" i="8"/>
  <c r="J977" i="8"/>
  <c r="J981" i="8"/>
  <c r="J983" i="8"/>
  <c r="J815" i="8"/>
  <c r="J1265" i="8"/>
  <c r="J1031" i="8"/>
  <c r="J827" i="8"/>
  <c r="J829" i="8"/>
  <c r="J1269" i="8"/>
  <c r="J1039" i="8"/>
  <c r="J845" i="8"/>
  <c r="J993" i="8"/>
  <c r="J994" i="8"/>
  <c r="J3234" i="8"/>
  <c r="J3249" i="8"/>
  <c r="J1276" i="8"/>
  <c r="J2777" i="8"/>
  <c r="J2790" i="8"/>
  <c r="J1279" i="8"/>
  <c r="J986" i="8"/>
  <c r="J1281" i="8"/>
  <c r="J851" i="8"/>
  <c r="J1283" i="8"/>
  <c r="J1041" i="8"/>
  <c r="J1285" i="8"/>
  <c r="J1286" i="8"/>
  <c r="J1044" i="8"/>
  <c r="J1045" i="8"/>
  <c r="J995" i="8"/>
  <c r="J3255" i="8"/>
  <c r="J3383" i="8"/>
  <c r="J3258" i="8"/>
  <c r="J1293" i="8"/>
  <c r="J1294" i="8"/>
  <c r="J996" i="8"/>
  <c r="J1065" i="8"/>
  <c r="J859" i="8"/>
  <c r="J1298" i="8"/>
  <c r="J997" i="8"/>
  <c r="J1016" i="8"/>
  <c r="J1026" i="8"/>
  <c r="J1030" i="8"/>
  <c r="J864" i="8"/>
  <c r="J989" i="8"/>
  <c r="J1034" i="8"/>
  <c r="J1068" i="8"/>
  <c r="J1069" i="8"/>
  <c r="J1035" i="8"/>
  <c r="J1309" i="8"/>
  <c r="J1040" i="8"/>
  <c r="J991" i="8"/>
  <c r="J874" i="8"/>
  <c r="J1043" i="8"/>
  <c r="J1070" i="8"/>
  <c r="J1315" i="8"/>
  <c r="J1316" i="8"/>
  <c r="J3392" i="8"/>
  <c r="J3468" i="8"/>
  <c r="J2792" i="8"/>
  <c r="J3196" i="8"/>
  <c r="J1072" i="8"/>
  <c r="J1050" i="8"/>
  <c r="J885" i="8"/>
  <c r="J1324" i="8"/>
  <c r="J1325" i="8"/>
  <c r="J1326" i="8"/>
  <c r="J1327" i="8"/>
  <c r="J896" i="8"/>
  <c r="J1329" i="8"/>
  <c r="J908" i="8"/>
  <c r="J1331" i="8"/>
  <c r="J3237" i="8"/>
  <c r="J3470" i="8"/>
  <c r="J3394" i="8"/>
  <c r="J3200" i="8"/>
  <c r="J2936" i="8"/>
  <c r="J999" i="8"/>
  <c r="J1078" i="8"/>
  <c r="J1339" i="8"/>
  <c r="J1003" i="8"/>
  <c r="J1341" i="8"/>
  <c r="J1004" i="8"/>
  <c r="J916" i="8"/>
  <c r="J1344" i="8"/>
  <c r="J1345" i="8"/>
  <c r="J1055" i="8"/>
  <c r="J1059" i="8"/>
  <c r="J1348" i="8"/>
  <c r="J1061" i="8"/>
  <c r="J1066" i="8"/>
  <c r="J1351" i="8"/>
  <c r="J921" i="8"/>
  <c r="J1353" i="8"/>
  <c r="J933" i="8"/>
  <c r="J939" i="8"/>
  <c r="J1356" i="8"/>
  <c r="J1357" i="8"/>
  <c r="J1358" i="8"/>
  <c r="J3244" i="8"/>
  <c r="J1360" i="8"/>
  <c r="J2937" i="8"/>
  <c r="J2779" i="8"/>
  <c r="J1083" i="8"/>
  <c r="J1364" i="8"/>
  <c r="J1365" i="8"/>
  <c r="J1092" i="8"/>
  <c r="J1367" i="8"/>
  <c r="J1368" i="8"/>
  <c r="J1076" i="8"/>
  <c r="J941" i="8"/>
  <c r="J1371" i="8"/>
  <c r="J952" i="8"/>
  <c r="J1010" i="8"/>
  <c r="J1374" i="8"/>
  <c r="J3254" i="8"/>
  <c r="J3261" i="8"/>
  <c r="J1377" i="8"/>
  <c r="J1378" i="8"/>
  <c r="J955" i="8"/>
  <c r="J967" i="8"/>
  <c r="J1100" i="8"/>
  <c r="J1382" i="8"/>
  <c r="J1383" i="8"/>
  <c r="J1084" i="8"/>
  <c r="J1085" i="8"/>
  <c r="J1112" i="8"/>
  <c r="J1011" i="8"/>
  <c r="J1110" i="8"/>
  <c r="J975" i="8"/>
  <c r="J1014" i="8"/>
  <c r="J1129" i="8"/>
  <c r="J982" i="8"/>
  <c r="J1033" i="8"/>
  <c r="J1036" i="8"/>
  <c r="J1038" i="8"/>
  <c r="J1396" i="8"/>
  <c r="J1047" i="8"/>
  <c r="J1114" i="8"/>
  <c r="J1048" i="8"/>
  <c r="J3398" i="8"/>
  <c r="J3276" i="8"/>
  <c r="J1402" i="8"/>
  <c r="J2781" i="8"/>
  <c r="J1404" i="8"/>
  <c r="J1405" i="8"/>
  <c r="J1406" i="8"/>
  <c r="J1051" i="8"/>
  <c r="J1053" i="8"/>
  <c r="J1135" i="8"/>
  <c r="J1116" i="8"/>
  <c r="J988" i="8"/>
  <c r="J1058" i="8"/>
  <c r="J998" i="8"/>
  <c r="J1414" i="8"/>
  <c r="J1415" i="8"/>
  <c r="J1416" i="8"/>
  <c r="J1417" i="8"/>
  <c r="J3402" i="8"/>
  <c r="J2796" i="8"/>
  <c r="J1420" i="8"/>
  <c r="J1000" i="8"/>
  <c r="J1125" i="8"/>
  <c r="J1082" i="8"/>
  <c r="J1009" i="8"/>
  <c r="J1425" i="8"/>
  <c r="J1144" i="8"/>
  <c r="J1427" i="8"/>
  <c r="J1136" i="8"/>
  <c r="J1429" i="8"/>
  <c r="J1430" i="8"/>
  <c r="J1431" i="8"/>
  <c r="J1432" i="8"/>
  <c r="J1433" i="8"/>
  <c r="J1434" i="8"/>
  <c r="J1086" i="8"/>
  <c r="J1145" i="8"/>
  <c r="J1149" i="8"/>
  <c r="J1012" i="8"/>
  <c r="J1021" i="8"/>
  <c r="J1024" i="8"/>
  <c r="J1037" i="8"/>
  <c r="J3405" i="8"/>
  <c r="J3256" i="8"/>
  <c r="J3480" i="8"/>
  <c r="J2801" i="8"/>
  <c r="J2943" i="8"/>
  <c r="J1137" i="8"/>
  <c r="J1052" i="8"/>
  <c r="J1054" i="8"/>
  <c r="J1089" i="8"/>
  <c r="J1138" i="8"/>
  <c r="J1452" i="8"/>
  <c r="J1150" i="8"/>
  <c r="J1151" i="8"/>
  <c r="J1139" i="8"/>
  <c r="J1456" i="8"/>
  <c r="J1146" i="8"/>
  <c r="J3485" i="8"/>
  <c r="J3287" i="8"/>
  <c r="J3290" i="8"/>
  <c r="J2805" i="8"/>
  <c r="J1462" i="8"/>
  <c r="J1062" i="8"/>
  <c r="J1064" i="8"/>
  <c r="J1465" i="8"/>
  <c r="J1466" i="8"/>
  <c r="J1467" i="8"/>
  <c r="J1162" i="8"/>
  <c r="J1469" i="8"/>
  <c r="J1161" i="8"/>
  <c r="J1091" i="8"/>
  <c r="J1071" i="8"/>
  <c r="J1473" i="8"/>
  <c r="J1165" i="8"/>
  <c r="J1475" i="8"/>
  <c r="J1476" i="8"/>
  <c r="J1166" i="8"/>
  <c r="J1173" i="8"/>
  <c r="J1175" i="8"/>
  <c r="J1176" i="8"/>
  <c r="J1481" i="8"/>
  <c r="J1073" i="8"/>
  <c r="J1483" i="8"/>
  <c r="J1484" i="8"/>
  <c r="J3493" i="8"/>
  <c r="J1486" i="8"/>
  <c r="J2945" i="8"/>
  <c r="J3204" i="8"/>
  <c r="J1489" i="8"/>
  <c r="J1190" i="8"/>
  <c r="J1181" i="8"/>
  <c r="J1492" i="8"/>
  <c r="J1094" i="8"/>
  <c r="J1494" i="8"/>
  <c r="J1495" i="8"/>
  <c r="J1496" i="8"/>
  <c r="J1182" i="8"/>
  <c r="J1192" i="8"/>
  <c r="J1080" i="8"/>
  <c r="J3267" i="8"/>
  <c r="J1501" i="8"/>
  <c r="J3308" i="8"/>
  <c r="J2959" i="8"/>
  <c r="J1504" i="8"/>
  <c r="J1203" i="8"/>
  <c r="J1095" i="8"/>
  <c r="J1099" i="8"/>
  <c r="J1508" i="8"/>
  <c r="J1101" i="8"/>
  <c r="J1510" i="8"/>
  <c r="J1109" i="8"/>
  <c r="J1194" i="8"/>
  <c r="J1513" i="8"/>
  <c r="J1102" i="8"/>
  <c r="J1216" i="8"/>
  <c r="J1198" i="8"/>
  <c r="J1111" i="8"/>
  <c r="J1518" i="8"/>
  <c r="J1519" i="8"/>
  <c r="J1199" i="8"/>
  <c r="J1521" i="8"/>
  <c r="J1118" i="8"/>
  <c r="J1218" i="8"/>
  <c r="J1201" i="8"/>
  <c r="J1224" i="8"/>
  <c r="J3503" i="8"/>
  <c r="J3269" i="8"/>
  <c r="J3505" i="8"/>
  <c r="J1529" i="8"/>
  <c r="J2783" i="8"/>
  <c r="J1220" i="8"/>
  <c r="J1108" i="8"/>
  <c r="J1533" i="8"/>
  <c r="J1221" i="8"/>
  <c r="J1227" i="8"/>
  <c r="J1536" i="8"/>
  <c r="J1537" i="8"/>
  <c r="J1538" i="8"/>
  <c r="J1119" i="8"/>
  <c r="J1230" i="8"/>
  <c r="J1121" i="8"/>
  <c r="J3407" i="8"/>
  <c r="J1543" i="8"/>
  <c r="J3270" i="8"/>
  <c r="J1545" i="8"/>
  <c r="J1546" i="8"/>
  <c r="J1231" i="8"/>
  <c r="J1235" i="8"/>
  <c r="J1122" i="8"/>
  <c r="J1239" i="8"/>
  <c r="J1551" i="8"/>
  <c r="J1115" i="8"/>
  <c r="J1123" i="8"/>
  <c r="J1127" i="8"/>
  <c r="J1128" i="8"/>
  <c r="J1556" i="8"/>
  <c r="J1557" i="8"/>
  <c r="J1126" i="8"/>
  <c r="J1140" i="8"/>
  <c r="J1225" i="8"/>
  <c r="J1240" i="8"/>
  <c r="J1562" i="8"/>
  <c r="J1134" i="8"/>
  <c r="J1152" i="8"/>
  <c r="J1154" i="8"/>
  <c r="J1566" i="8"/>
  <c r="J1155" i="8"/>
  <c r="J1568" i="8"/>
  <c r="J1569" i="8"/>
  <c r="J3415" i="8"/>
  <c r="J2967" i="8"/>
  <c r="J2789" i="8"/>
  <c r="J1573" i="8"/>
  <c r="J1574" i="8"/>
  <c r="J1234" i="8"/>
  <c r="J1245" i="8"/>
  <c r="J1577" i="8"/>
  <c r="J1578" i="8"/>
  <c r="J1579" i="8"/>
  <c r="J1246" i="8"/>
  <c r="J1160" i="8"/>
  <c r="J1582" i="8"/>
  <c r="J1583" i="8"/>
  <c r="J1584" i="8"/>
  <c r="J1585" i="8"/>
  <c r="J3427" i="8"/>
  <c r="J1587" i="8"/>
  <c r="J1588" i="8"/>
  <c r="J1257" i="8"/>
  <c r="J1168" i="8"/>
  <c r="J1591" i="8"/>
  <c r="J1592" i="8"/>
  <c r="J1141" i="8"/>
  <c r="J1256" i="8"/>
  <c r="J1260" i="8"/>
  <c r="J1153" i="8"/>
  <c r="J1597" i="8"/>
  <c r="J1598" i="8"/>
  <c r="J1599" i="8"/>
  <c r="J1266" i="8"/>
  <c r="J1270" i="8"/>
  <c r="J1602" i="8"/>
  <c r="J1274" i="8"/>
  <c r="J1272" i="8"/>
  <c r="J1157" i="8"/>
  <c r="J1273" i="8"/>
  <c r="J1163" i="8"/>
  <c r="J1608" i="8"/>
  <c r="J1609" i="8"/>
  <c r="J3314" i="8"/>
  <c r="J1611" i="8"/>
  <c r="J3434" i="8"/>
  <c r="J3211" i="8"/>
  <c r="J2793" i="8"/>
  <c r="J1169" i="8"/>
  <c r="J1177" i="8"/>
  <c r="J1278" i="8"/>
  <c r="J1618" i="8"/>
  <c r="J1619" i="8"/>
  <c r="J1179" i="8"/>
  <c r="J1180" i="8"/>
  <c r="J1196" i="8"/>
  <c r="J1170" i="8"/>
  <c r="J1284" i="8"/>
  <c r="J1625" i="8"/>
  <c r="J3322" i="8"/>
  <c r="J3329" i="8"/>
  <c r="J1628" i="8"/>
  <c r="J1629" i="8"/>
  <c r="J2795" i="8"/>
  <c r="J1631" i="8"/>
  <c r="J1289" i="8"/>
  <c r="J1295" i="8"/>
  <c r="J1634" i="8"/>
  <c r="J1635" i="8"/>
  <c r="J1636" i="8"/>
  <c r="J1637" i="8"/>
  <c r="J1287" i="8"/>
  <c r="J1174" i="8"/>
  <c r="J1288" i="8"/>
  <c r="J1296" i="8"/>
  <c r="J1642" i="8"/>
  <c r="J1306" i="8"/>
  <c r="J1183" i="8"/>
  <c r="J1645" i="8"/>
  <c r="J1197" i="8"/>
  <c r="J1647" i="8"/>
  <c r="J1648" i="8"/>
  <c r="J1202" i="8"/>
  <c r="J1299" i="8"/>
  <c r="J1307" i="8"/>
  <c r="J1652" i="8"/>
  <c r="J3332" i="8"/>
  <c r="J3506" i="8"/>
  <c r="J2806" i="8"/>
  <c r="J1656" i="8"/>
  <c r="J1657" i="8"/>
  <c r="J1185" i="8"/>
  <c r="J1314" i="8"/>
  <c r="J1319" i="8"/>
  <c r="J1661" i="8"/>
  <c r="J1300" i="8"/>
  <c r="J1321" i="8"/>
  <c r="J1187" i="8"/>
  <c r="J1215" i="8"/>
  <c r="J1301" i="8"/>
  <c r="J1302" i="8"/>
  <c r="J3274" i="8"/>
  <c r="J1669" i="8"/>
  <c r="J3445" i="8"/>
  <c r="J1671" i="8"/>
  <c r="J1672" i="8"/>
  <c r="J1188" i="8"/>
  <c r="J1200" i="8"/>
  <c r="J1211" i="8"/>
  <c r="J1222" i="8"/>
  <c r="J1233" i="8"/>
  <c r="J1236" i="8"/>
  <c r="J1305" i="8"/>
  <c r="J1680" i="8"/>
  <c r="J1681" i="8"/>
  <c r="J1308" i="8"/>
  <c r="J1310" i="8"/>
  <c r="J1313" i="8"/>
  <c r="J1685" i="8"/>
  <c r="J1332" i="8"/>
  <c r="J1687" i="8"/>
  <c r="J1238" i="8"/>
  <c r="J1338" i="8"/>
  <c r="J1359" i="8"/>
  <c r="J1318" i="8"/>
  <c r="J1320" i="8"/>
  <c r="J1322" i="8"/>
  <c r="J3333" i="8"/>
  <c r="J3513" i="8"/>
  <c r="J3446" i="8"/>
  <c r="J2978" i="8"/>
  <c r="J1698" i="8"/>
  <c r="J1699" i="8"/>
  <c r="J1363" i="8"/>
  <c r="J1243" i="8"/>
  <c r="J1333" i="8"/>
  <c r="J1366" i="8"/>
  <c r="J1375" i="8"/>
  <c r="J1705" i="8"/>
  <c r="J1217" i="8"/>
  <c r="J1707" i="8"/>
  <c r="J1708" i="8"/>
  <c r="J1335" i="8"/>
  <c r="J3515" i="8"/>
  <c r="J1711" i="8"/>
  <c r="J3521" i="8"/>
  <c r="J2981" i="8"/>
  <c r="J2809" i="8"/>
  <c r="J1247" i="8"/>
  <c r="J1228" i="8"/>
  <c r="J1241" i="8"/>
  <c r="J1718" i="8"/>
  <c r="J1719" i="8"/>
  <c r="J1720" i="8"/>
  <c r="J1346" i="8"/>
  <c r="J1722" i="8"/>
  <c r="J1347" i="8"/>
  <c r="J1251" i="8"/>
  <c r="J1381" i="8"/>
  <c r="J1726" i="8"/>
  <c r="J1727" i="8"/>
  <c r="J1386" i="8"/>
  <c r="J1729" i="8"/>
  <c r="J1398" i="8"/>
  <c r="J1242" i="8"/>
  <c r="J1732" i="8"/>
  <c r="J1733" i="8"/>
  <c r="J1410" i="8"/>
  <c r="J1244" i="8"/>
  <c r="J3285" i="8"/>
  <c r="J3524" i="8"/>
  <c r="J3527" i="8"/>
  <c r="J3213" i="8"/>
  <c r="J2984" i="8"/>
  <c r="J1249" i="8"/>
  <c r="J1419" i="8"/>
  <c r="J1422" i="8"/>
  <c r="J1258" i="8"/>
  <c r="J1426" i="8"/>
  <c r="J1746" i="8"/>
  <c r="J1747" i="8"/>
  <c r="J1436" i="8"/>
  <c r="J1437" i="8"/>
  <c r="J1750" i="8"/>
  <c r="J1261" i="8"/>
  <c r="J3528" i="8"/>
  <c r="J3339" i="8"/>
  <c r="J3529" i="8"/>
  <c r="J2820" i="8"/>
  <c r="J3217" i="8"/>
  <c r="J1757" i="8"/>
  <c r="J1349" i="8"/>
  <c r="J1250" i="8"/>
  <c r="J1760" i="8"/>
  <c r="J1761" i="8"/>
  <c r="J1262" i="8"/>
  <c r="J1763" i="8"/>
  <c r="J1764" i="8"/>
  <c r="J1765" i="8"/>
  <c r="J1766" i="8"/>
  <c r="J1443" i="8"/>
  <c r="J1445" i="8"/>
  <c r="J1453" i="8"/>
  <c r="J1770" i="8"/>
  <c r="J1350" i="8"/>
  <c r="J1772" i="8"/>
  <c r="J1252" i="8"/>
  <c r="J1264" i="8"/>
  <c r="J1775" i="8"/>
  <c r="J1267" i="8"/>
  <c r="J1454" i="8"/>
  <c r="J3341" i="8"/>
  <c r="J1779" i="8"/>
  <c r="J3530" i="8"/>
  <c r="J3222" i="8"/>
  <c r="J1782" i="8"/>
  <c r="J1461" i="8"/>
  <c r="J1369" i="8"/>
  <c r="J1785" i="8"/>
  <c r="J1263" i="8"/>
  <c r="J1384" i="8"/>
  <c r="J1275" i="8"/>
  <c r="J1277" i="8"/>
  <c r="J1280" i="8"/>
  <c r="J1470" i="8"/>
  <c r="J1385" i="8"/>
  <c r="J1388" i="8"/>
  <c r="J1794" i="8"/>
  <c r="J1795" i="8"/>
  <c r="J1796" i="8"/>
  <c r="J1797" i="8"/>
  <c r="J2813" i="8"/>
  <c r="J1799" i="8"/>
  <c r="J1391" i="8"/>
  <c r="J1290" i="8"/>
  <c r="J1268" i="8"/>
  <c r="J1292" i="8"/>
  <c r="J1271" i="8"/>
  <c r="J1805" i="8"/>
  <c r="J1304" i="8"/>
  <c r="J1311" i="8"/>
  <c r="J1474" i="8"/>
  <c r="J1337" i="8"/>
  <c r="J1810" i="8"/>
  <c r="J1282" i="8"/>
  <c r="J1409" i="8"/>
  <c r="J1813" i="8"/>
  <c r="J1428" i="8"/>
  <c r="J1340" i="8"/>
  <c r="J1342" i="8"/>
  <c r="J1817" i="8"/>
  <c r="J1444" i="8"/>
  <c r="J1819" i="8"/>
  <c r="J1820" i="8"/>
  <c r="J3449" i="8"/>
  <c r="J1822" i="8"/>
  <c r="J2815" i="8"/>
  <c r="J1824" i="8"/>
  <c r="J1362" i="8"/>
  <c r="J1373" i="8"/>
  <c r="J1447" i="8"/>
  <c r="J1828" i="8"/>
  <c r="J1376" i="8"/>
  <c r="J1830" i="8"/>
  <c r="J1451" i="8"/>
  <c r="J1477" i="8"/>
  <c r="J1387" i="8"/>
  <c r="J1834" i="8"/>
  <c r="J1479" i="8"/>
  <c r="J1836" i="8"/>
  <c r="J1837" i="8"/>
  <c r="J3537" i="8"/>
  <c r="J2822" i="8"/>
  <c r="J1840" i="8"/>
  <c r="J1291" i="8"/>
  <c r="J1390" i="8"/>
  <c r="J1297" i="8"/>
  <c r="J1844" i="8"/>
  <c r="J1845" i="8"/>
  <c r="J1455" i="8"/>
  <c r="J1480" i="8"/>
  <c r="J1393" i="8"/>
  <c r="J1457" i="8"/>
  <c r="J1491" i="8"/>
  <c r="J1303" i="8"/>
  <c r="J1394" i="8"/>
  <c r="J1497" i="8"/>
  <c r="J1395" i="8"/>
  <c r="J1397" i="8"/>
  <c r="J1312" i="8"/>
  <c r="J1458" i="8"/>
  <c r="J1858" i="8"/>
  <c r="J1859" i="8"/>
  <c r="J1860" i="8"/>
  <c r="J1861" i="8"/>
  <c r="J3343" i="8"/>
  <c r="J3347" i="8"/>
  <c r="J3540" i="8"/>
  <c r="J1865" i="8"/>
  <c r="J2988" i="8"/>
  <c r="J1399" i="8"/>
  <c r="J1317" i="8"/>
  <c r="J1468" i="8"/>
  <c r="J1478" i="8"/>
  <c r="J1323" i="8"/>
  <c r="J1498" i="8"/>
  <c r="J1328" i="8"/>
  <c r="J1485" i="8"/>
  <c r="J1401" i="8"/>
  <c r="J1403" i="8"/>
  <c r="J1500" i="8"/>
  <c r="J3450" i="8"/>
  <c r="J3355" i="8"/>
  <c r="J1880" i="8"/>
  <c r="J3227" i="8"/>
  <c r="J2827" i="8"/>
  <c r="J1505" i="8"/>
  <c r="J1488" i="8"/>
  <c r="J1407" i="8"/>
  <c r="J1886" i="8"/>
  <c r="J1887" i="8"/>
  <c r="J1330" i="8"/>
  <c r="J1889" i="8"/>
  <c r="J1515" i="8"/>
  <c r="J1891" i="8"/>
  <c r="J1408" i="8"/>
  <c r="J1893" i="8"/>
  <c r="J1412" i="8"/>
  <c r="J1895" i="8"/>
  <c r="J1896" i="8"/>
  <c r="J1897" i="8"/>
  <c r="J1490" i="8"/>
  <c r="J1512" i="8"/>
  <c r="J1900" i="8"/>
  <c r="J1516" i="8"/>
  <c r="J1902" i="8"/>
  <c r="J1520" i="8"/>
  <c r="J3361" i="8"/>
  <c r="J3366" i="8"/>
  <c r="J3457" i="8"/>
  <c r="J2841" i="8"/>
  <c r="J3230" i="8"/>
  <c r="J1523" i="8"/>
  <c r="J1525" i="8"/>
  <c r="J1527" i="8"/>
  <c r="J1334" i="8"/>
  <c r="J1423" i="8"/>
  <c r="J1336" i="8"/>
  <c r="J1435" i="8"/>
  <c r="J1916" i="8"/>
  <c r="J1524" i="8"/>
  <c r="J1918" i="8"/>
  <c r="J1919" i="8"/>
  <c r="J1920" i="8"/>
  <c r="J1921" i="8"/>
  <c r="J3286" i="8"/>
  <c r="J2819" i="8"/>
  <c r="J2856" i="8"/>
  <c r="J1535" i="8"/>
  <c r="J1926" i="8"/>
  <c r="J1927" i="8"/>
  <c r="J1343" i="8"/>
  <c r="J1352" i="8"/>
  <c r="J1540" i="8"/>
  <c r="J1354" i="8"/>
  <c r="J1932" i="8"/>
  <c r="J1355" i="8"/>
  <c r="J1450" i="8"/>
  <c r="J1935" i="8"/>
  <c r="J1459" i="8"/>
  <c r="J1526" i="8"/>
  <c r="J1544" i="8"/>
  <c r="J1528" i="8"/>
  <c r="J1940" i="8"/>
  <c r="J1460" i="8"/>
  <c r="J1942" i="8"/>
  <c r="J1531" i="8"/>
  <c r="J1471" i="8"/>
  <c r="J1493" i="8"/>
  <c r="J3460" i="8"/>
  <c r="J1947" i="8"/>
  <c r="J3541" i="8"/>
  <c r="J2989" i="8"/>
  <c r="J3236" i="8"/>
  <c r="J1534" i="8"/>
  <c r="J1361" i="8"/>
  <c r="J1560" i="8"/>
  <c r="J1547" i="8"/>
  <c r="J1548" i="8"/>
  <c r="J1550" i="8"/>
  <c r="J1957" i="8"/>
  <c r="J1958" i="8"/>
  <c r="J1959" i="8"/>
  <c r="J1575" i="8"/>
  <c r="J1502" i="8"/>
  <c r="J1962" i="8"/>
  <c r="J3376" i="8"/>
  <c r="J1964" i="8"/>
  <c r="J1965" i="8"/>
  <c r="J3243" i="8"/>
  <c r="J1370" i="8"/>
  <c r="J1561" i="8"/>
  <c r="J1580" i="8"/>
  <c r="J1589" i="8"/>
  <c r="J1372" i="8"/>
  <c r="J1576" i="8"/>
  <c r="J1379" i="8"/>
  <c r="J1974" i="8"/>
  <c r="J1975" i="8"/>
  <c r="J1594" i="8"/>
  <c r="J1595" i="8"/>
  <c r="J1978" i="8"/>
  <c r="J1979" i="8"/>
  <c r="J1604" i="8"/>
  <c r="J1506" i="8"/>
  <c r="J1380" i="8"/>
  <c r="J1507" i="8"/>
  <c r="J1511" i="8"/>
  <c r="J1517" i="8"/>
  <c r="J1389" i="8"/>
  <c r="J1987" i="8"/>
  <c r="J1988" i="8"/>
  <c r="J3475" i="8"/>
  <c r="J3385" i="8"/>
  <c r="J2867" i="8"/>
  <c r="J1992" i="8"/>
  <c r="J1993" i="8"/>
  <c r="J1994" i="8"/>
  <c r="J1600" i="8"/>
  <c r="J1522" i="8"/>
  <c r="J1392" i="8"/>
  <c r="J1606" i="8"/>
  <c r="J1613" i="8"/>
  <c r="J2000" i="8"/>
  <c r="J2001" i="8"/>
  <c r="J1632" i="8"/>
  <c r="J1601" i="8"/>
  <c r="J3479" i="8"/>
  <c r="J2005" i="8"/>
  <c r="J3484" i="8"/>
  <c r="J2874" i="8"/>
  <c r="J2883" i="8"/>
  <c r="J1530" i="8"/>
  <c r="J1603" i="8"/>
  <c r="J2011" i="8"/>
  <c r="J2012" i="8"/>
  <c r="J1539" i="8"/>
  <c r="J2014" i="8"/>
  <c r="J1400" i="8"/>
  <c r="J2016" i="8"/>
  <c r="J1541" i="8"/>
  <c r="J2018" i="8"/>
  <c r="J2019" i="8"/>
  <c r="J1411" i="8"/>
  <c r="J1549" i="8"/>
  <c r="J1617" i="8"/>
  <c r="J1413" i="8"/>
  <c r="J1418" i="8"/>
  <c r="J2025" i="8"/>
  <c r="J2026" i="8"/>
  <c r="J1624" i="8"/>
  <c r="J1633" i="8"/>
  <c r="J1558" i="8"/>
  <c r="J2030" i="8"/>
  <c r="J3542" i="8"/>
  <c r="J3288" i="8"/>
  <c r="J3251" i="8"/>
  <c r="J2823" i="8"/>
  <c r="J2035" i="8"/>
  <c r="J2036" i="8"/>
  <c r="J1563" i="8"/>
  <c r="J1650" i="8"/>
  <c r="J1638" i="8"/>
  <c r="J1421" i="8"/>
  <c r="J2041" i="8"/>
  <c r="J2042" i="8"/>
  <c r="J1572" i="8"/>
  <c r="J2044" i="8"/>
  <c r="J1654" i="8"/>
  <c r="J3544" i="8"/>
  <c r="J2047" i="8"/>
  <c r="J2048" i="8"/>
  <c r="J2999" i="8"/>
  <c r="J2050" i="8"/>
  <c r="J2051" i="8"/>
  <c r="J1424" i="8"/>
  <c r="J2053" i="8"/>
  <c r="J1640" i="8"/>
  <c r="J1641" i="8"/>
  <c r="J1643" i="8"/>
  <c r="J2057" i="8"/>
  <c r="J1438" i="8"/>
  <c r="J1439" i="8"/>
  <c r="J1440" i="8"/>
  <c r="J1441" i="8"/>
  <c r="J1662" i="8"/>
  <c r="J2063" i="8"/>
  <c r="J1442" i="8"/>
  <c r="J1446" i="8"/>
  <c r="J1651" i="8"/>
  <c r="J2067" i="8"/>
  <c r="J1666" i="8"/>
  <c r="J1667" i="8"/>
  <c r="J1448" i="8"/>
  <c r="J2071" i="8"/>
  <c r="J2072" i="8"/>
  <c r="J3547" i="8"/>
  <c r="J2074" i="8"/>
  <c r="J2828" i="8"/>
  <c r="J2902" i="8"/>
  <c r="J1655" i="8"/>
  <c r="J1449" i="8"/>
  <c r="J1679" i="8"/>
  <c r="J1463" i="8"/>
  <c r="J1682" i="8"/>
  <c r="J1659" i="8"/>
  <c r="J1593" i="8"/>
  <c r="J1464" i="8"/>
  <c r="J1660" i="8"/>
  <c r="J1683" i="8"/>
  <c r="J1472" i="8"/>
  <c r="J3386" i="8"/>
  <c r="J2089" i="8"/>
  <c r="J3491" i="8"/>
  <c r="J2906" i="8"/>
  <c r="J1482" i="8"/>
  <c r="J1487" i="8"/>
  <c r="J2094" i="8"/>
  <c r="J2095" i="8"/>
  <c r="J2096" i="8"/>
  <c r="J1663" i="8"/>
  <c r="J1499" i="8"/>
  <c r="J1503" i="8"/>
  <c r="J2100" i="8"/>
  <c r="J2101" i="8"/>
  <c r="J2102" i="8"/>
  <c r="J1668" i="8"/>
  <c r="J2104" i="8"/>
  <c r="J2105" i="8"/>
  <c r="J1509" i="8"/>
  <c r="J1686" i="8"/>
  <c r="J1689" i="8"/>
  <c r="J1514" i="8"/>
  <c r="J1596" i="8"/>
  <c r="J1690" i="8"/>
  <c r="J1532" i="8"/>
  <c r="J3390" i="8"/>
  <c r="J3551" i="8"/>
  <c r="J3291" i="8"/>
  <c r="J2116" i="8"/>
  <c r="J2832" i="8"/>
  <c r="J1605" i="8"/>
  <c r="J1542" i="8"/>
  <c r="J1607" i="8"/>
  <c r="J1684" i="8"/>
  <c r="J2122" i="8"/>
  <c r="J2123" i="8"/>
  <c r="J1552" i="8"/>
  <c r="J1610" i="8"/>
  <c r="J2126" i="8"/>
  <c r="J2127" i="8"/>
  <c r="J2128" i="8"/>
  <c r="J3305" i="8"/>
  <c r="J2130" i="8"/>
  <c r="J2131" i="8"/>
  <c r="J2132" i="8"/>
  <c r="J2835" i="8"/>
  <c r="J1553" i="8"/>
  <c r="J1700" i="8"/>
  <c r="J1703" i="8"/>
  <c r="J1554" i="8"/>
  <c r="J1704" i="8"/>
  <c r="J1691" i="8"/>
  <c r="J2140" i="8"/>
  <c r="J2141" i="8"/>
  <c r="J1714" i="8"/>
  <c r="J1725" i="8"/>
  <c r="J1614" i="8"/>
  <c r="J1615" i="8"/>
  <c r="J1616" i="8"/>
  <c r="J1620" i="8"/>
  <c r="J2148" i="8"/>
  <c r="J2149" i="8"/>
  <c r="J1555" i="8"/>
  <c r="J1728" i="8"/>
  <c r="J2152" i="8"/>
  <c r="J1559" i="8"/>
  <c r="J1692" i="8"/>
  <c r="J2155" i="8"/>
  <c r="J2156" i="8"/>
  <c r="J3393" i="8"/>
  <c r="J2158" i="8"/>
  <c r="J2159" i="8"/>
  <c r="J1564" i="8"/>
  <c r="J1730" i="8"/>
  <c r="J2162" i="8"/>
  <c r="J1693" i="8"/>
  <c r="J1734" i="8"/>
  <c r="J2165" i="8"/>
  <c r="J1621" i="8"/>
  <c r="J1695" i="8"/>
  <c r="J2168" i="8"/>
  <c r="J1702" i="8"/>
  <c r="J1622" i="8"/>
  <c r="J2171" i="8"/>
  <c r="J2172" i="8"/>
  <c r="J3395" i="8"/>
  <c r="J2174" i="8"/>
  <c r="J2913" i="8"/>
  <c r="J1736" i="8"/>
  <c r="J1565" i="8"/>
  <c r="J1626" i="8"/>
  <c r="J1627" i="8"/>
  <c r="J2180" i="8"/>
  <c r="J1567" i="8"/>
  <c r="J1570" i="8"/>
  <c r="J2183" i="8"/>
  <c r="J1742" i="8"/>
  <c r="J2185" i="8"/>
  <c r="J2186" i="8"/>
  <c r="J2187" i="8"/>
  <c r="J1630" i="8"/>
  <c r="J2189" i="8"/>
  <c r="J1571" i="8"/>
  <c r="J1709" i="8"/>
  <c r="J1646" i="8"/>
  <c r="J1743" i="8"/>
  <c r="J1710" i="8"/>
  <c r="J2195" i="8"/>
  <c r="J2196" i="8"/>
  <c r="J3495" i="8"/>
  <c r="J3312" i="8"/>
  <c r="J2199" i="8"/>
  <c r="J2200" i="8"/>
  <c r="J2914" i="8"/>
  <c r="J2202" i="8"/>
  <c r="J1649" i="8"/>
  <c r="J1581" i="8"/>
  <c r="J2205" i="8"/>
  <c r="J1712" i="8"/>
  <c r="J1745" i="8"/>
  <c r="J1653" i="8"/>
  <c r="J1665" i="8"/>
  <c r="J2210" i="8"/>
  <c r="J1721" i="8"/>
  <c r="J1676" i="8"/>
  <c r="J3317" i="8"/>
  <c r="J2214" i="8"/>
  <c r="J3497" i="8"/>
  <c r="J2216" i="8"/>
  <c r="J3257" i="8"/>
  <c r="J1677" i="8"/>
  <c r="J2219" i="8"/>
  <c r="J2220" i="8"/>
  <c r="J2221" i="8"/>
  <c r="J1586" i="8"/>
  <c r="J2223" i="8"/>
  <c r="J2224" i="8"/>
  <c r="J1678" i="8"/>
  <c r="J1748" i="8"/>
  <c r="J1723" i="8"/>
  <c r="J1590" i="8"/>
  <c r="J2229" i="8"/>
  <c r="J1737" i="8"/>
  <c r="J2231" i="8"/>
  <c r="J1738" i="8"/>
  <c r="J2233" i="8"/>
  <c r="J1688" i="8"/>
  <c r="J2235" i="8"/>
  <c r="J1612" i="8"/>
  <c r="J2237" i="8"/>
  <c r="J2238" i="8"/>
  <c r="J3560" i="8"/>
  <c r="J3522" i="8"/>
  <c r="J3564" i="8"/>
  <c r="J2242" i="8"/>
  <c r="J3002" i="8"/>
  <c r="J2244" i="8"/>
  <c r="J1749" i="8"/>
  <c r="J1623" i="8"/>
  <c r="J1767" i="8"/>
  <c r="J1639" i="8"/>
  <c r="J2249" i="8"/>
  <c r="J2250" i="8"/>
  <c r="J1768" i="8"/>
  <c r="J2252" i="8"/>
  <c r="J1769" i="8"/>
  <c r="J1777" i="8"/>
  <c r="J2255" i="8"/>
  <c r="J3533" i="8"/>
  <c r="J2257" i="8"/>
  <c r="J2258" i="8"/>
  <c r="J3260" i="8"/>
  <c r="J1783" i="8"/>
  <c r="J1694" i="8"/>
  <c r="J1791" i="8"/>
  <c r="J1701" i="8"/>
  <c r="J1644" i="8"/>
  <c r="J2265" i="8"/>
  <c r="J1658" i="8"/>
  <c r="J2267" i="8"/>
  <c r="J1798" i="8"/>
  <c r="J2269" i="8"/>
  <c r="J1808" i="8"/>
  <c r="J1664" i="8"/>
  <c r="J2272" i="8"/>
  <c r="J1739" i="8"/>
  <c r="J2274" i="8"/>
  <c r="J2275" i="8"/>
  <c r="J1752" i="8"/>
  <c r="J2277" i="8"/>
  <c r="J1754" i="8"/>
  <c r="J1715" i="8"/>
  <c r="J1823" i="8"/>
  <c r="J3536" i="8"/>
  <c r="J3543" i="8"/>
  <c r="J3411" i="8"/>
  <c r="J2850" i="8"/>
  <c r="J2285" i="8"/>
  <c r="J1756" i="8"/>
  <c r="J1724" i="8"/>
  <c r="J2288" i="8"/>
  <c r="J1832" i="8"/>
  <c r="J2290" i="8"/>
  <c r="J1670" i="8"/>
  <c r="J2292" i="8"/>
  <c r="J2293" i="8"/>
  <c r="J2294" i="8"/>
  <c r="J2295" i="8"/>
  <c r="J2296" i="8"/>
  <c r="J3328" i="8"/>
  <c r="J3548" i="8"/>
  <c r="J3567" i="8"/>
  <c r="J2854" i="8"/>
  <c r="J3265" i="8"/>
  <c r="J1673" i="8"/>
  <c r="J2303" i="8"/>
  <c r="J1674" i="8"/>
  <c r="J2305" i="8"/>
  <c r="J1835" i="8"/>
  <c r="J2307" i="8"/>
  <c r="J2308" i="8"/>
  <c r="J2309" i="8"/>
  <c r="J2310" i="8"/>
  <c r="J1847" i="8"/>
  <c r="J1850" i="8"/>
  <c r="J1675" i="8"/>
  <c r="J2314" i="8"/>
  <c r="J1758" i="8"/>
  <c r="J2316" i="8"/>
  <c r="J1771" i="8"/>
  <c r="J2318" i="8"/>
  <c r="J1696" i="8"/>
  <c r="J1744" i="8"/>
  <c r="J2321" i="8"/>
  <c r="J2322" i="8"/>
  <c r="J3412" i="8"/>
  <c r="J3337" i="8"/>
  <c r="J2325" i="8"/>
  <c r="J2326" i="8"/>
  <c r="J2327" i="8"/>
  <c r="J1780" i="8"/>
  <c r="J1751" i="8"/>
  <c r="J1781" i="8"/>
  <c r="J2331" i="8"/>
  <c r="J1697" i="8"/>
  <c r="J1753" i="8"/>
  <c r="J1784" i="8"/>
  <c r="J2335" i="8"/>
  <c r="J2336" i="8"/>
  <c r="J2337" i="8"/>
  <c r="J1853" i="8"/>
  <c r="J3574" i="8"/>
  <c r="J3582" i="8"/>
  <c r="J3422" i="8"/>
  <c r="J2919" i="8"/>
  <c r="J3003" i="8"/>
  <c r="J1872" i="8"/>
  <c r="J1755" i="8"/>
  <c r="J1762" i="8"/>
  <c r="J1877" i="8"/>
  <c r="J2348" i="8"/>
  <c r="J1778" i="8"/>
  <c r="J2350" i="8"/>
  <c r="J2351" i="8"/>
  <c r="J1883" i="8"/>
  <c r="J2353" i="8"/>
  <c r="J1786" i="8"/>
  <c r="J2355" i="8"/>
  <c r="J1787" i="8"/>
  <c r="J1706" i="8"/>
  <c r="J2358" i="8"/>
  <c r="J1890" i="8"/>
  <c r="J1713" i="8"/>
  <c r="J2361" i="8"/>
  <c r="J1792" i="8"/>
  <c r="J2363" i="8"/>
  <c r="J2364" i="8"/>
  <c r="J3432" i="8"/>
  <c r="J3338" i="8"/>
  <c r="J3554" i="8"/>
  <c r="J2923" i="8"/>
  <c r="J2369" i="8"/>
  <c r="J1909" i="8"/>
  <c r="J1788" i="8"/>
  <c r="J1793" i="8"/>
  <c r="J2373" i="8"/>
  <c r="J1910" i="8"/>
  <c r="J1800" i="8"/>
  <c r="J1789" i="8"/>
  <c r="J1812" i="8"/>
  <c r="J1790" i="8"/>
  <c r="J2379" i="8"/>
  <c r="J1716" i="8"/>
  <c r="J3433" i="8"/>
  <c r="J3586" i="8"/>
  <c r="J3349" i="8"/>
  <c r="J2384" i="8"/>
  <c r="J3268" i="8"/>
  <c r="J2386" i="8"/>
  <c r="J2387" i="8"/>
  <c r="J2388" i="8"/>
  <c r="J1911" i="8"/>
  <c r="J1814" i="8"/>
  <c r="J1922" i="8"/>
  <c r="J1923" i="8"/>
  <c r="J1925" i="8"/>
  <c r="J1930" i="8"/>
  <c r="J2395" i="8"/>
  <c r="J1938" i="8"/>
  <c r="J1818" i="8"/>
  <c r="J1827" i="8"/>
  <c r="J1831" i="8"/>
  <c r="J2400" i="8"/>
  <c r="J1801" i="8"/>
  <c r="J1838" i="8"/>
  <c r="J1717" i="8"/>
  <c r="J2404" i="8"/>
  <c r="J2405" i="8"/>
  <c r="J1731" i="8"/>
  <c r="J3556" i="8"/>
  <c r="J3354" i="8"/>
  <c r="J3360" i="8"/>
  <c r="J2410" i="8"/>
  <c r="J2928" i="8"/>
  <c r="J1954" i="8"/>
  <c r="J1955" i="8"/>
  <c r="J1735" i="8"/>
  <c r="J1803" i="8"/>
  <c r="J1806" i="8"/>
  <c r="J1956" i="8"/>
  <c r="J2418" i="8"/>
  <c r="J1968" i="8"/>
  <c r="J1846" i="8"/>
  <c r="J1807" i="8"/>
  <c r="J2422" i="8"/>
  <c r="J3436" i="8"/>
  <c r="J2424" i="8"/>
  <c r="J2425" i="8"/>
  <c r="J3009" i="8"/>
  <c r="J2857" i="8"/>
  <c r="J1740" i="8"/>
  <c r="J1969" i="8"/>
  <c r="J2430" i="8"/>
  <c r="J1809" i="8"/>
  <c r="J2432" i="8"/>
  <c r="J2433" i="8"/>
  <c r="J2434" i="8"/>
  <c r="J1849" i="8"/>
  <c r="J2436" i="8"/>
  <c r="J1857" i="8"/>
  <c r="J1741" i="8"/>
  <c r="J1970" i="8"/>
  <c r="J1864" i="8"/>
  <c r="J1977" i="8"/>
  <c r="J1759" i="8"/>
  <c r="J1995" i="8"/>
  <c r="J2444" i="8"/>
  <c r="J2445" i="8"/>
  <c r="J1773" i="8"/>
  <c r="J2003" i="8"/>
  <c r="J2448" i="8"/>
  <c r="J3439" i="8"/>
  <c r="J3454" i="8"/>
  <c r="J2451" i="8"/>
  <c r="J3012" i="8"/>
  <c r="J2453" i="8"/>
  <c r="J2454" i="8"/>
  <c r="J2455" i="8"/>
  <c r="J2456" i="8"/>
  <c r="J2457" i="8"/>
  <c r="J2010" i="8"/>
  <c r="J1815" i="8"/>
  <c r="J1869" i="8"/>
  <c r="J1870" i="8"/>
  <c r="J1874" i="8"/>
  <c r="J1774" i="8"/>
  <c r="J1881" i="8"/>
  <c r="J3365" i="8"/>
  <c r="J3463" i="8"/>
  <c r="J3379" i="8"/>
  <c r="J2468" i="8"/>
  <c r="J2944" i="8"/>
  <c r="J2022" i="8"/>
  <c r="J2027" i="8"/>
  <c r="J1884" i="8"/>
  <c r="J1776" i="8"/>
  <c r="J2474" i="8"/>
  <c r="J1898" i="8"/>
  <c r="J2476" i="8"/>
  <c r="J1816" i="8"/>
  <c r="J1899" i="8"/>
  <c r="J1825" i="8"/>
  <c r="J1802" i="8"/>
  <c r="J1901" i="8"/>
  <c r="J2032" i="8"/>
  <c r="J2483" i="8"/>
  <c r="J1826" i="8"/>
  <c r="J1804" i="8"/>
  <c r="J2486" i="8"/>
  <c r="J2487" i="8"/>
  <c r="J1829" i="8"/>
  <c r="J2489" i="8"/>
  <c r="J1833" i="8"/>
  <c r="J2491" i="8"/>
  <c r="J2492" i="8"/>
  <c r="J3558" i="8"/>
  <c r="J2494" i="8"/>
  <c r="J2869" i="8"/>
  <c r="J1811" i="8"/>
  <c r="J2497" i="8"/>
  <c r="J2034" i="8"/>
  <c r="J1839" i="8"/>
  <c r="J1821" i="8"/>
  <c r="J2501" i="8"/>
  <c r="J1903" i="8"/>
  <c r="J1842" i="8"/>
  <c r="J1841" i="8"/>
  <c r="J1908" i="8"/>
  <c r="J2506" i="8"/>
  <c r="J2507" i="8"/>
  <c r="J3566" i="8"/>
  <c r="J2509" i="8"/>
  <c r="J3037" i="8"/>
  <c r="J3071" i="8"/>
  <c r="J1848" i="8"/>
  <c r="J2513" i="8"/>
  <c r="J2514" i="8"/>
  <c r="J2515" i="8"/>
  <c r="J1917" i="8"/>
  <c r="J2039" i="8"/>
  <c r="J2054" i="8"/>
  <c r="J2055" i="8"/>
  <c r="J2056" i="8"/>
  <c r="J1937" i="8"/>
  <c r="J2522" i="8"/>
  <c r="J1852" i="8"/>
  <c r="J2066" i="8"/>
  <c r="J1939" i="8"/>
  <c r="J1854" i="8"/>
  <c r="J1843" i="8"/>
  <c r="J2528" i="8"/>
  <c r="J2075" i="8"/>
  <c r="J2077" i="8"/>
  <c r="J2531" i="8"/>
  <c r="J1851" i="8"/>
  <c r="J3466" i="8"/>
  <c r="J3590" i="8"/>
  <c r="J3471" i="8"/>
  <c r="J2951" i="8"/>
  <c r="J2537" i="8"/>
  <c r="J2082" i="8"/>
  <c r="J2085" i="8"/>
  <c r="J2540" i="8"/>
  <c r="J2097" i="8"/>
  <c r="J1943" i="8"/>
  <c r="J1855" i="8"/>
  <c r="J2544" i="8"/>
  <c r="J2545" i="8"/>
  <c r="J1862" i="8"/>
  <c r="J1863" i="8"/>
  <c r="J1867" i="8"/>
  <c r="J2549" i="8"/>
  <c r="J2550" i="8"/>
  <c r="J2551" i="8"/>
  <c r="J2872" i="8"/>
  <c r="J2553" i="8"/>
  <c r="J1856" i="8"/>
  <c r="J2555" i="8"/>
  <c r="J1948" i="8"/>
  <c r="J1950" i="8"/>
  <c r="J2558" i="8"/>
  <c r="J1866" i="8"/>
  <c r="J1875" i="8"/>
  <c r="J2561" i="8"/>
  <c r="J2103" i="8"/>
  <c r="J1951" i="8"/>
  <c r="J1868" i="8"/>
  <c r="J2565" i="8"/>
  <c r="J2107" i="8"/>
  <c r="J1871" i="8"/>
  <c r="J1873" i="8"/>
  <c r="J1878" i="8"/>
  <c r="J1953" i="8"/>
  <c r="J2108" i="8"/>
  <c r="J1876" i="8"/>
  <c r="J1888" i="8"/>
  <c r="J1906" i="8"/>
  <c r="J2575" i="8"/>
  <c r="J3591" i="8"/>
  <c r="J3380" i="8"/>
  <c r="J2578" i="8"/>
  <c r="J2889" i="8"/>
  <c r="J2580" i="8"/>
  <c r="J1960" i="8"/>
  <c r="J1912" i="8"/>
  <c r="J1914" i="8"/>
  <c r="J1879" i="8"/>
  <c r="J1928" i="8"/>
  <c r="J2111" i="8"/>
  <c r="J1966" i="8"/>
  <c r="J1882" i="8"/>
  <c r="J2589" i="8"/>
  <c r="J1972" i="8"/>
  <c r="J3487" i="8"/>
  <c r="J3382" i="8"/>
  <c r="J3571" i="8"/>
  <c r="J3075" i="8"/>
  <c r="J2595" i="8"/>
  <c r="J1929" i="8"/>
  <c r="J2115" i="8"/>
  <c r="J1976" i="8"/>
  <c r="J2599" i="8"/>
  <c r="J1980" i="8"/>
  <c r="J2601" i="8"/>
  <c r="J2602" i="8"/>
  <c r="J1998" i="8"/>
  <c r="J1999" i="8"/>
  <c r="J2002" i="8"/>
  <c r="J2117" i="8"/>
  <c r="J1931" i="8"/>
  <c r="J1885" i="8"/>
  <c r="J2609" i="8"/>
  <c r="J2129" i="8"/>
  <c r="J2611" i="8"/>
  <c r="J2133" i="8"/>
  <c r="J2613" i="8"/>
  <c r="J2135" i="8"/>
  <c r="J1892" i="8"/>
  <c r="J2028" i="8"/>
  <c r="J2617" i="8"/>
  <c r="J3387" i="8"/>
  <c r="J3602" i="8"/>
  <c r="J3273" i="8"/>
  <c r="J2621" i="8"/>
  <c r="J1933" i="8"/>
  <c r="J2031" i="8"/>
  <c r="J2033" i="8"/>
  <c r="J2625" i="8"/>
  <c r="J1946" i="8"/>
  <c r="J1949" i="8"/>
  <c r="J2038" i="8"/>
  <c r="J2629" i="8"/>
  <c r="J2630" i="8"/>
  <c r="J2631" i="8"/>
  <c r="J2632" i="8"/>
  <c r="J2633" i="8"/>
  <c r="J3579" i="8"/>
  <c r="J3606" i="8"/>
  <c r="J2954" i="8"/>
  <c r="J2892" i="8"/>
  <c r="J2638" i="8"/>
  <c r="J1952" i="8"/>
  <c r="J2640" i="8"/>
  <c r="J2641" i="8"/>
  <c r="J2136" i="8"/>
  <c r="J2643" i="8"/>
  <c r="J2045" i="8"/>
  <c r="J1967" i="8"/>
  <c r="J1894" i="8"/>
  <c r="J2138" i="8"/>
  <c r="J1904" i="8"/>
  <c r="J1971" i="8"/>
  <c r="J2046" i="8"/>
  <c r="J1973" i="8"/>
  <c r="J2062" i="8"/>
  <c r="J1982" i="8"/>
  <c r="J1905" i="8"/>
  <c r="J2655" i="8"/>
  <c r="J1907" i="8"/>
  <c r="J1986" i="8"/>
  <c r="J1913" i="8"/>
  <c r="J2659" i="8"/>
  <c r="J2660" i="8"/>
  <c r="J3587" i="8"/>
  <c r="J2662" i="8"/>
  <c r="J2916" i="8"/>
  <c r="J2068" i="8"/>
  <c r="J2665" i="8"/>
  <c r="J2069" i="8"/>
  <c r="J2142" i="8"/>
  <c r="J1989" i="8"/>
  <c r="J2669" i="8"/>
  <c r="J2073" i="8"/>
  <c r="J2671" i="8"/>
  <c r="J2143" i="8"/>
  <c r="J2673" i="8"/>
  <c r="J2674" i="8"/>
  <c r="J3611" i="8"/>
  <c r="J2676" i="8"/>
  <c r="J3616" i="8"/>
  <c r="J2957" i="8"/>
  <c r="J2917" i="8"/>
  <c r="J2680" i="8"/>
  <c r="J2151" i="8"/>
  <c r="J2682" i="8"/>
  <c r="J2161" i="8"/>
  <c r="J2079" i="8"/>
  <c r="J2164" i="8"/>
  <c r="J2686" i="8"/>
  <c r="J2687" i="8"/>
  <c r="J2688" i="8"/>
  <c r="J1997" i="8"/>
  <c r="J2690" i="8"/>
  <c r="J2081" i="8"/>
  <c r="J2004" i="8"/>
  <c r="J2006" i="8"/>
  <c r="J2176" i="8"/>
  <c r="J2015" i="8"/>
  <c r="J2184" i="8"/>
  <c r="J2086" i="8"/>
  <c r="J2114" i="8"/>
  <c r="J2020" i="8"/>
  <c r="J2700" i="8"/>
  <c r="J3589" i="8"/>
  <c r="J3388" i="8"/>
  <c r="J3489" i="8"/>
  <c r="J3281" i="8"/>
  <c r="J2918" i="8"/>
  <c r="J2706" i="8"/>
  <c r="J1915" i="8"/>
  <c r="J1924" i="8"/>
  <c r="J2709" i="8"/>
  <c r="J2023" i="8"/>
  <c r="J1934" i="8"/>
  <c r="J2193" i="8"/>
  <c r="J2713" i="8"/>
  <c r="J2714" i="8"/>
  <c r="J2198" i="8"/>
  <c r="J2207" i="8"/>
  <c r="J2717" i="8"/>
  <c r="J3594" i="8"/>
  <c r="J3599" i="8"/>
  <c r="J2958" i="8"/>
  <c r="J2721" i="8"/>
  <c r="J2722" i="8"/>
  <c r="J1936" i="8"/>
  <c r="J2121" i="8"/>
  <c r="J2213" i="8"/>
  <c r="J2726" i="8"/>
  <c r="J2024" i="8"/>
  <c r="J2728" i="8"/>
  <c r="J2040" i="8"/>
  <c r="J1941" i="8"/>
  <c r="J2731" i="8"/>
  <c r="J2732" i="8"/>
  <c r="J2733" i="8"/>
  <c r="J2139" i="8"/>
  <c r="J2735" i="8"/>
  <c r="J2154" i="8"/>
  <c r="J2737" i="8"/>
  <c r="J2738" i="8"/>
  <c r="J1944" i="8"/>
  <c r="J2740" i="8"/>
  <c r="J2741" i="8"/>
  <c r="J2742" i="8"/>
  <c r="J3600" i="8"/>
  <c r="J3492" i="8"/>
  <c r="J3494" i="8"/>
  <c r="J2746" i="8"/>
  <c r="J2963" i="8"/>
  <c r="J2049" i="8"/>
  <c r="J2226" i="8"/>
  <c r="J2750" i="8"/>
  <c r="J2751" i="8"/>
  <c r="J2752" i="8"/>
  <c r="J2753" i="8"/>
  <c r="J2754" i="8"/>
  <c r="J2052" i="8"/>
  <c r="J2058" i="8"/>
  <c r="J1945" i="8"/>
  <c r="J2758" i="8"/>
  <c r="J3609" i="8"/>
  <c r="J3498" i="8"/>
  <c r="J3391" i="8"/>
  <c r="J3283" i="8"/>
  <c r="J2763" i="8"/>
  <c r="J2764" i="8"/>
  <c r="J2059" i="8"/>
  <c r="J1961" i="8"/>
  <c r="J2245" i="8"/>
  <c r="J2163" i="8"/>
  <c r="J2167" i="8"/>
  <c r="J1963" i="8"/>
  <c r="J2169" i="8"/>
  <c r="J1981" i="8"/>
  <c r="J2060" i="8"/>
  <c r="J2774" i="8"/>
  <c r="J2775" i="8"/>
  <c r="J2247" i="8"/>
  <c r="J1983" i="8"/>
  <c r="J2061" i="8"/>
  <c r="J1984" i="8"/>
  <c r="J2251" i="8"/>
  <c r="J1985" i="8"/>
  <c r="J2782" i="8"/>
  <c r="J1990" i="8"/>
  <c r="J2253" i="8"/>
  <c r="J2785" i="8"/>
  <c r="J3614" i="8"/>
  <c r="J3618" i="8"/>
  <c r="J3077" i="8"/>
  <c r="J2968" i="8"/>
  <c r="J2254" i="8"/>
  <c r="J2791" i="8"/>
  <c r="J2260" i="8"/>
  <c r="J1991" i="8"/>
  <c r="J2794" i="8"/>
  <c r="J1996" i="8"/>
  <c r="J2262" i="8"/>
  <c r="J2191" i="8"/>
  <c r="J2194" i="8"/>
  <c r="J2206" i="8"/>
  <c r="J2064" i="8"/>
  <c r="J3400" i="8"/>
  <c r="J2802" i="8"/>
  <c r="J3620" i="8"/>
  <c r="J3284" i="8"/>
  <c r="J2924" i="8"/>
  <c r="J2268" i="8"/>
  <c r="J2807" i="8"/>
  <c r="J2065" i="8"/>
  <c r="J2270" i="8"/>
  <c r="J2810" i="8"/>
  <c r="J2811" i="8"/>
  <c r="J2812" i="8"/>
  <c r="J2280" i="8"/>
  <c r="J2814" i="8"/>
  <c r="J2284" i="8"/>
  <c r="J2816" i="8"/>
  <c r="J2817" i="8"/>
  <c r="J2818" i="8"/>
  <c r="J2289" i="8"/>
  <c r="J2007" i="8"/>
  <c r="J2070" i="8"/>
  <c r="J2008" i="8"/>
  <c r="J2297" i="8"/>
  <c r="J2824" i="8"/>
  <c r="J2825" i="8"/>
  <c r="J2078" i="8"/>
  <c r="J3500" i="8"/>
  <c r="J3408" i="8"/>
  <c r="J2829" i="8"/>
  <c r="J3289" i="8"/>
  <c r="J2831" i="8"/>
  <c r="J2300" i="8"/>
  <c r="J2211" i="8"/>
  <c r="J2080" i="8"/>
  <c r="J2306" i="8"/>
  <c r="J2836" i="8"/>
  <c r="J2217" i="8"/>
  <c r="J2227" i="8"/>
  <c r="J2839" i="8"/>
  <c r="J2230" i="8"/>
  <c r="J2009" i="8"/>
  <c r="J2842" i="8"/>
  <c r="J2843" i="8"/>
  <c r="J3622" i="8"/>
  <c r="J2845" i="8"/>
  <c r="J2846" i="8"/>
  <c r="J2847" i="8"/>
  <c r="J2848" i="8"/>
  <c r="J2232" i="8"/>
  <c r="J2311" i="8"/>
  <c r="J2851" i="8"/>
  <c r="J2852" i="8"/>
  <c r="J2853" i="8"/>
  <c r="J2312" i="8"/>
  <c r="J2239" i="8"/>
  <c r="J2013" i="8"/>
  <c r="J2324" i="8"/>
  <c r="J2858" i="8"/>
  <c r="J2859" i="8"/>
  <c r="J2860" i="8"/>
  <c r="J2861" i="8"/>
  <c r="J2084" i="8"/>
  <c r="J2863" i="8"/>
  <c r="J2864" i="8"/>
  <c r="J2865" i="8"/>
  <c r="J2241" i="8"/>
  <c r="J2017" i="8"/>
  <c r="J2087" i="8"/>
  <c r="J3413" i="8"/>
  <c r="J2870" i="8"/>
  <c r="J2871" i="8"/>
  <c r="J2930" i="8"/>
  <c r="J3090" i="8"/>
  <c r="J2021" i="8"/>
  <c r="J2090" i="8"/>
  <c r="J2876" i="8"/>
  <c r="J2877" i="8"/>
  <c r="J2878" i="8"/>
  <c r="J2879" i="8"/>
  <c r="J2880" i="8"/>
  <c r="J2881" i="8"/>
  <c r="J2259" i="8"/>
  <c r="J2029" i="8"/>
  <c r="J2273" i="8"/>
  <c r="J3624" i="8"/>
  <c r="J3630" i="8"/>
  <c r="J2887" i="8"/>
  <c r="J2888" i="8"/>
  <c r="J2938" i="8"/>
  <c r="J2890" i="8"/>
  <c r="J2276" i="8"/>
  <c r="J2338" i="8"/>
  <c r="J2893" i="8"/>
  <c r="J2278" i="8"/>
  <c r="J2286" i="8"/>
  <c r="J2896" i="8"/>
  <c r="J2299" i="8"/>
  <c r="J2898" i="8"/>
  <c r="J2301" i="8"/>
  <c r="J2315" i="8"/>
  <c r="J2901" i="8"/>
  <c r="J2037" i="8"/>
  <c r="J2903" i="8"/>
  <c r="J2904" i="8"/>
  <c r="J2905" i="8"/>
  <c r="J2043" i="8"/>
  <c r="J2907" i="8"/>
  <c r="J2908" i="8"/>
  <c r="J2909" i="8"/>
  <c r="J2910" i="8"/>
  <c r="J3626" i="8"/>
  <c r="J3640" i="8"/>
  <c r="J3501" i="8"/>
  <c r="J2979" i="8"/>
  <c r="J3094" i="8"/>
  <c r="J2344" i="8"/>
  <c r="J2347" i="8"/>
  <c r="J2352" i="8"/>
  <c r="J2076" i="8"/>
  <c r="J2092" i="8"/>
  <c r="J2317" i="8"/>
  <c r="J2922" i="8"/>
  <c r="J2083" i="8"/>
  <c r="J2359" i="8"/>
  <c r="J2328" i="8"/>
  <c r="J2330" i="8"/>
  <c r="J2927" i="8"/>
  <c r="J3508" i="8"/>
  <c r="J2929" i="8"/>
  <c r="J2953" i="8"/>
  <c r="J3100" i="8"/>
  <c r="J2932" i="8"/>
  <c r="J2093" i="8"/>
  <c r="J2934" i="8"/>
  <c r="J2935" i="8"/>
  <c r="J2098" i="8"/>
  <c r="J2099" i="8"/>
  <c r="J2366" i="8"/>
  <c r="J2334" i="8"/>
  <c r="J2940" i="8"/>
  <c r="J2941" i="8"/>
  <c r="J2942" i="8"/>
  <c r="J2106" i="8"/>
  <c r="J2088" i="8"/>
  <c r="J2109" i="8"/>
  <c r="J2946" i="8"/>
  <c r="J2947" i="8"/>
  <c r="J2948" i="8"/>
  <c r="J2949" i="8"/>
  <c r="J2950" i="8"/>
  <c r="J2091" i="8"/>
  <c r="J2952" i="8"/>
  <c r="J3435" i="8"/>
  <c r="J3510" i="8"/>
  <c r="J3440" i="8"/>
  <c r="J2956" i="8"/>
  <c r="J2980" i="8"/>
  <c r="J2110" i="8"/>
  <c r="J2112" i="8"/>
  <c r="J2960" i="8"/>
  <c r="J2339" i="8"/>
  <c r="J2962" i="8"/>
  <c r="J2113" i="8"/>
  <c r="J2370" i="8"/>
  <c r="J2374" i="8"/>
  <c r="J2340" i="8"/>
  <c r="J2119" i="8"/>
  <c r="J2118" i="8"/>
  <c r="J2969" i="8"/>
  <c r="J3444" i="8"/>
  <c r="J3629" i="8"/>
  <c r="J2972" i="8"/>
  <c r="J2973" i="8"/>
  <c r="J2356" i="8"/>
  <c r="J2975" i="8"/>
  <c r="J2976" i="8"/>
  <c r="J2362" i="8"/>
  <c r="J2124" i="8"/>
  <c r="J2120" i="8"/>
  <c r="J2125" i="8"/>
  <c r="J2134" i="8"/>
  <c r="J2982" i="8"/>
  <c r="J2144" i="8"/>
  <c r="J2137" i="8"/>
  <c r="J2372" i="8"/>
  <c r="J2375" i="8"/>
  <c r="J2987" i="8"/>
  <c r="J2150" i="8"/>
  <c r="J2153" i="8"/>
  <c r="J2383" i="8"/>
  <c r="J2991" i="8"/>
  <c r="J2145" i="8"/>
  <c r="J2146" i="8"/>
  <c r="J2389" i="8"/>
  <c r="J3518" i="8"/>
  <c r="J3645" i="8"/>
  <c r="J2997" i="8"/>
  <c r="J3292" i="8"/>
  <c r="J3113" i="8"/>
  <c r="J2377" i="8"/>
  <c r="J3001" i="8"/>
  <c r="J2160" i="8"/>
  <c r="J2177" i="8"/>
  <c r="J2147" i="8"/>
  <c r="J2157" i="8"/>
  <c r="J3006" i="8"/>
  <c r="J2391" i="8"/>
  <c r="J2166" i="8"/>
  <c r="J2181" i="8"/>
  <c r="J2382" i="8"/>
  <c r="J3647" i="8"/>
  <c r="J3649" i="8"/>
  <c r="J3464" i="8"/>
  <c r="J3014" i="8"/>
  <c r="J2983" i="8"/>
  <c r="J3016" i="8"/>
  <c r="J3017" i="8"/>
  <c r="J3018" i="8"/>
  <c r="J2385" i="8"/>
  <c r="J2170" i="8"/>
  <c r="J2173" i="8"/>
  <c r="J3022" i="8"/>
  <c r="J2390" i="8"/>
  <c r="J3024" i="8"/>
  <c r="J2397" i="8"/>
  <c r="J3026" i="8"/>
  <c r="J3027" i="8"/>
  <c r="J3028" i="8"/>
  <c r="J2398" i="8"/>
  <c r="J3030" i="8"/>
  <c r="J2399" i="8"/>
  <c r="J3032" i="8"/>
  <c r="J3033" i="8"/>
  <c r="J2175" i="8"/>
  <c r="J2178" i="8"/>
  <c r="J2179" i="8"/>
  <c r="J3654" i="8"/>
  <c r="J3520" i="8"/>
  <c r="J3651" i="8"/>
  <c r="J2992" i="8"/>
  <c r="J3293" i="8"/>
  <c r="J2402" i="8"/>
  <c r="J2392" i="8"/>
  <c r="J2188" i="8"/>
  <c r="J2393" i="8"/>
  <c r="J3046" i="8"/>
  <c r="J2394" i="8"/>
  <c r="J2192" i="8"/>
  <c r="J2420" i="8"/>
  <c r="J2201" i="8"/>
  <c r="J3051" i="8"/>
  <c r="J3052" i="8"/>
  <c r="J3523" i="8"/>
  <c r="J3474" i="8"/>
  <c r="J3055" i="8"/>
  <c r="J3056" i="8"/>
  <c r="J3057" i="8"/>
  <c r="J3058" i="8"/>
  <c r="J2203" i="8"/>
  <c r="J3060" i="8"/>
  <c r="J3061" i="8"/>
  <c r="J3062" i="8"/>
  <c r="J2208" i="8"/>
  <c r="J2396" i="8"/>
  <c r="J2408" i="8"/>
  <c r="J2209" i="8"/>
  <c r="J3067" i="8"/>
  <c r="J3068" i="8"/>
  <c r="J2435" i="8"/>
  <c r="J3070" i="8"/>
  <c r="J2182" i="8"/>
  <c r="J3072" i="8"/>
  <c r="J2437" i="8"/>
  <c r="J3074" i="8"/>
  <c r="J2190" i="8"/>
  <c r="J2212" i="8"/>
  <c r="J2197" i="8"/>
  <c r="J3078" i="8"/>
  <c r="J3478" i="8"/>
  <c r="J3080" i="8"/>
  <c r="J3081" i="8"/>
  <c r="J2993" i="8"/>
  <c r="J2955" i="8"/>
  <c r="J3084" i="8"/>
  <c r="J3085" i="8"/>
  <c r="J2218" i="8"/>
  <c r="J2409" i="8"/>
  <c r="J2440" i="8"/>
  <c r="J3089" i="8"/>
  <c r="J2204" i="8"/>
  <c r="J3091" i="8"/>
  <c r="J3092" i="8"/>
  <c r="J3093" i="8"/>
  <c r="J2215" i="8"/>
  <c r="J3095" i="8"/>
  <c r="J3592" i="8"/>
  <c r="J3097" i="8"/>
  <c r="J2995" i="8"/>
  <c r="J3004" i="8"/>
  <c r="J2222" i="8"/>
  <c r="J3101" i="8"/>
  <c r="J2412" i="8"/>
  <c r="J2413" i="8"/>
  <c r="J2417" i="8"/>
  <c r="J2225" i="8"/>
  <c r="J3106" i="8"/>
  <c r="J3107" i="8"/>
  <c r="J2460" i="8"/>
  <c r="J3109" i="8"/>
  <c r="J2234" i="8"/>
  <c r="J2419" i="8"/>
  <c r="J3112" i="8"/>
  <c r="J2228" i="8"/>
  <c r="J2236" i="8"/>
  <c r="J2427" i="8"/>
  <c r="J2461" i="8"/>
  <c r="J3117" i="8"/>
  <c r="J3118" i="8"/>
  <c r="J2462" i="8"/>
  <c r="J2240" i="8"/>
  <c r="J3483" i="8"/>
  <c r="J3122" i="8"/>
  <c r="J3653" i="8"/>
  <c r="J3114" i="8"/>
  <c r="J3125" i="8"/>
  <c r="J2429" i="8"/>
  <c r="J3127" i="8"/>
  <c r="J3128" i="8"/>
  <c r="J2261" i="8"/>
  <c r="J2439" i="8"/>
  <c r="J2243" i="8"/>
  <c r="J2464" i="8"/>
  <c r="J2472" i="8"/>
  <c r="J2475" i="8"/>
  <c r="J2246" i="8"/>
  <c r="J2478" i="8"/>
  <c r="J3660" i="8"/>
  <c r="J3604" i="8"/>
  <c r="J3656" i="8"/>
  <c r="J3005" i="8"/>
  <c r="J3294" i="8"/>
  <c r="J3142" i="8"/>
  <c r="J2441" i="8"/>
  <c r="J3144" i="8"/>
  <c r="J2263" i="8"/>
  <c r="J2481" i="8"/>
  <c r="J2248" i="8"/>
  <c r="J3148" i="8"/>
  <c r="J3149" i="8"/>
  <c r="J3150" i="8"/>
  <c r="J2256" i="8"/>
  <c r="J3152" i="8"/>
  <c r="J2264" i="8"/>
  <c r="J2266" i="8"/>
  <c r="J3155" i="8"/>
  <c r="J2502" i="8"/>
  <c r="J2505" i="8"/>
  <c r="J3158" i="8"/>
  <c r="J2516" i="8"/>
  <c r="J2521" i="8"/>
  <c r="J2525" i="8"/>
  <c r="J3162" i="8"/>
  <c r="J3670" i="8"/>
  <c r="J3659" i="8"/>
  <c r="J3671" i="8"/>
  <c r="J3120" i="8"/>
  <c r="J3008" i="8"/>
  <c r="J3168" i="8"/>
  <c r="J2271" i="8"/>
  <c r="J2279" i="8"/>
  <c r="J2283" i="8"/>
  <c r="J2443" i="8"/>
  <c r="J3173" i="8"/>
  <c r="J3174" i="8"/>
  <c r="J2281" i="8"/>
  <c r="J2534" i="8"/>
  <c r="J3177" i="8"/>
  <c r="J2282" i="8"/>
  <c r="J3512" i="8"/>
  <c r="J3676" i="8"/>
  <c r="J3678" i="8"/>
  <c r="J3124" i="8"/>
  <c r="J3295" i="8"/>
  <c r="J2291" i="8"/>
  <c r="J3185" i="8"/>
  <c r="J2447" i="8"/>
  <c r="J3187" i="8"/>
  <c r="J2542" i="8"/>
  <c r="J3189" i="8"/>
  <c r="J3190" i="8"/>
  <c r="J3191" i="8"/>
  <c r="J2287" i="8"/>
  <c r="J2320" i="8"/>
  <c r="J2458" i="8"/>
  <c r="J2323" i="8"/>
  <c r="J2556" i="8"/>
  <c r="J3197" i="8"/>
  <c r="J2465" i="8"/>
  <c r="J2467" i="8"/>
  <c r="J2557" i="8"/>
  <c r="J2298" i="8"/>
  <c r="J2329" i="8"/>
  <c r="J2470" i="8"/>
  <c r="J2563" i="8"/>
  <c r="J3663" i="8"/>
  <c r="J3672" i="8"/>
  <c r="J3207" i="8"/>
  <c r="J3131" i="8"/>
  <c r="J3209" i="8"/>
  <c r="J2302" i="8"/>
  <c r="J2570" i="8"/>
  <c r="J2333" i="8"/>
  <c r="J2576" i="8"/>
  <c r="J3214" i="8"/>
  <c r="J2341" i="8"/>
  <c r="J3216" i="8"/>
  <c r="J2581" i="8"/>
  <c r="J2304" i="8"/>
  <c r="J3219" i="8"/>
  <c r="J3220" i="8"/>
  <c r="J3681" i="8"/>
  <c r="J3665" i="8"/>
  <c r="J3682" i="8"/>
  <c r="J3224" i="8"/>
  <c r="J2964" i="8"/>
  <c r="J3226" i="8"/>
  <c r="J2587" i="8"/>
  <c r="J3228" i="8"/>
  <c r="J2313" i="8"/>
  <c r="J2590" i="8"/>
  <c r="J2319" i="8"/>
  <c r="J2332" i="8"/>
  <c r="J3233" i="8"/>
  <c r="J2471" i="8"/>
  <c r="J3235" i="8"/>
  <c r="J2598" i="8"/>
  <c r="J2482" i="8"/>
  <c r="J2343" i="8"/>
  <c r="J3239" i="8"/>
  <c r="J2357" i="8"/>
  <c r="J2360" i="8"/>
  <c r="J2367" i="8"/>
  <c r="J2600" i="8"/>
  <c r="J2495" i="8"/>
  <c r="J3245" i="8"/>
  <c r="J2342" i="8"/>
  <c r="J3247" i="8"/>
  <c r="J3248" i="8"/>
  <c r="J3680" i="8"/>
  <c r="J3250" i="8"/>
  <c r="J3297" i="8"/>
  <c r="J3252" i="8"/>
  <c r="J3253" i="8"/>
  <c r="J2498" i="8"/>
  <c r="J2345" i="8"/>
  <c r="J2517" i="8"/>
  <c r="J2603" i="8"/>
  <c r="J2346" i="8"/>
  <c r="J3259" i="8"/>
  <c r="J2604" i="8"/>
  <c r="J2349" i="8"/>
  <c r="J3262" i="8"/>
  <c r="J3263" i="8"/>
  <c r="J3264" i="8"/>
  <c r="J3667" i="8"/>
  <c r="J3135" i="8"/>
  <c r="J2965" i="8"/>
  <c r="J2605" i="8"/>
  <c r="J2518" i="8"/>
  <c r="J2519" i="8"/>
  <c r="J2380" i="8"/>
  <c r="J3272" i="8"/>
  <c r="J2616" i="8"/>
  <c r="J2520" i="8"/>
  <c r="J3275" i="8"/>
  <c r="J2354" i="8"/>
  <c r="J2403" i="8"/>
  <c r="J2406" i="8"/>
  <c r="J2407" i="8"/>
  <c r="J2414" i="8"/>
  <c r="J2619" i="8"/>
  <c r="J2426" i="8"/>
  <c r="J2620" i="8"/>
  <c r="J2623" i="8"/>
  <c r="J2524" i="8"/>
  <c r="J2529" i="8"/>
  <c r="J2365" i="8"/>
  <c r="J2530" i="8"/>
  <c r="J3668" i="8"/>
  <c r="J3689" i="8"/>
  <c r="J3516" i="8"/>
  <c r="J3300" i="8"/>
  <c r="J3304" i="8"/>
  <c r="J2624" i="8"/>
  <c r="J2628" i="8"/>
  <c r="J3296" i="8"/>
  <c r="J2635" i="8"/>
  <c r="J3298" i="8"/>
  <c r="J3299" i="8"/>
  <c r="J2644" i="8"/>
  <c r="J3301" i="8"/>
  <c r="J3302" i="8"/>
  <c r="J2428" i="8"/>
  <c r="J2650" i="8"/>
  <c r="J3546" i="8"/>
  <c r="J3306" i="8"/>
  <c r="J3683" i="8"/>
  <c r="J3015" i="8"/>
  <c r="J3309" i="8"/>
  <c r="J2652" i="8"/>
  <c r="J2664" i="8"/>
  <c r="J2538" i="8"/>
  <c r="J3313" i="8"/>
  <c r="J2368" i="8"/>
  <c r="J3315" i="8"/>
  <c r="J3316" i="8"/>
  <c r="J2539" i="8"/>
  <c r="J3318" i="8"/>
  <c r="J2438" i="8"/>
  <c r="J3320" i="8"/>
  <c r="J2442" i="8"/>
  <c r="J2371" i="8"/>
  <c r="J3323" i="8"/>
  <c r="J2666" i="8"/>
  <c r="J3325" i="8"/>
  <c r="J3326" i="8"/>
  <c r="J2446" i="8"/>
  <c r="J2541" i="8"/>
  <c r="J2376" i="8"/>
  <c r="J3330" i="8"/>
  <c r="J3684" i="8"/>
  <c r="J3690" i="8"/>
  <c r="J3694" i="8"/>
  <c r="J3137" i="8"/>
  <c r="J3335" i="8"/>
  <c r="J3336" i="8"/>
  <c r="J2552" i="8"/>
  <c r="J2562" i="8"/>
  <c r="J2378" i="8"/>
  <c r="J2452" i="8"/>
  <c r="J2381" i="8"/>
  <c r="J3342" i="8"/>
  <c r="J2401" i="8"/>
  <c r="J2463" i="8"/>
  <c r="J3345" i="8"/>
  <c r="J2670" i="8"/>
  <c r="J3695" i="8"/>
  <c r="J3348" i="8"/>
  <c r="J3580" i="8"/>
  <c r="J3147" i="8"/>
  <c r="J3351" i="8"/>
  <c r="J3352" i="8"/>
  <c r="J2473" i="8"/>
  <c r="J2566" i="8"/>
  <c r="J2411" i="8"/>
  <c r="J2675" i="8"/>
  <c r="J3357" i="8"/>
  <c r="J2480" i="8"/>
  <c r="J2677" i="8"/>
  <c r="J2571" i="8"/>
  <c r="J2415" i="8"/>
  <c r="J2485" i="8"/>
  <c r="J2493" i="8"/>
  <c r="J2684" i="8"/>
  <c r="J2577" i="8"/>
  <c r="J2416" i="8"/>
  <c r="J3367" i="8"/>
  <c r="J2691" i="8"/>
  <c r="J3369" i="8"/>
  <c r="J3370" i="8"/>
  <c r="J2697" i="8"/>
  <c r="J3669" i="8"/>
  <c r="J3373" i="8"/>
  <c r="J3673" i="8"/>
  <c r="J3151" i="8"/>
  <c r="J3020" i="8"/>
  <c r="J2496" i="8"/>
  <c r="J3378" i="8"/>
  <c r="J2579" i="8"/>
  <c r="J2586" i="8"/>
  <c r="J2698" i="8"/>
  <c r="J2592" i="8"/>
  <c r="J2500" i="8"/>
  <c r="J2704" i="8"/>
  <c r="J2421" i="8"/>
  <c r="J2423" i="8"/>
  <c r="J2597" i="8"/>
  <c r="J3595" i="8"/>
  <c r="J3389" i="8"/>
  <c r="J3707" i="8"/>
  <c r="J2970" i="8"/>
  <c r="J3153" i="8"/>
  <c r="J2431" i="8"/>
  <c r="J2504" i="8"/>
  <c r="J2449" i="8"/>
  <c r="J3396" i="8"/>
  <c r="J2724" i="8"/>
  <c r="J2508" i="8"/>
  <c r="J2734" i="8"/>
  <c r="J2606" i="8"/>
  <c r="J3401" i="8"/>
  <c r="J2510" i="8"/>
  <c r="J3403" i="8"/>
  <c r="J3404" i="8"/>
  <c r="J2511" i="8"/>
  <c r="J3406" i="8"/>
  <c r="J2527" i="8"/>
  <c r="J2610" i="8"/>
  <c r="J3409" i="8"/>
  <c r="J3410" i="8"/>
  <c r="J2450" i="8"/>
  <c r="J2459" i="8"/>
  <c r="J2612" i="8"/>
  <c r="J3674" i="8"/>
  <c r="J3687" i="8"/>
  <c r="J3416" i="8"/>
  <c r="J3310" i="8"/>
  <c r="J3418" i="8"/>
  <c r="J3419" i="8"/>
  <c r="J3420" i="8"/>
  <c r="J2736" i="8"/>
  <c r="J2466" i="8"/>
  <c r="J3423" i="8"/>
  <c r="J3424" i="8"/>
  <c r="J3425" i="8"/>
  <c r="J3426" i="8"/>
  <c r="J2532" i="8"/>
  <c r="J3428" i="8"/>
  <c r="J3429" i="8"/>
  <c r="J3430" i="8"/>
  <c r="J3431" i="8"/>
  <c r="J3710" i="8"/>
  <c r="J3021" i="8"/>
  <c r="J3154" i="8"/>
  <c r="J2614" i="8"/>
  <c r="J2469" i="8"/>
  <c r="J2762" i="8"/>
  <c r="J2768" i="8"/>
  <c r="J2477" i="8"/>
  <c r="J2618" i="8"/>
  <c r="J3441" i="8"/>
  <c r="J2769" i="8"/>
  <c r="J2771" i="8"/>
  <c r="J2637" i="8"/>
  <c r="J2554" i="8"/>
  <c r="J2559" i="8"/>
  <c r="J2797" i="8"/>
  <c r="J3448" i="8"/>
  <c r="J2564" i="8"/>
  <c r="J2567" i="8"/>
  <c r="J3451" i="8"/>
  <c r="J3452" i="8"/>
  <c r="J3453" i="8"/>
  <c r="J2479" i="8"/>
  <c r="J3455" i="8"/>
  <c r="J3704" i="8"/>
  <c r="J3692" i="8"/>
  <c r="J3458" i="8"/>
  <c r="J3459" i="8"/>
  <c r="J3163" i="8"/>
  <c r="J3461" i="8"/>
  <c r="J2799" i="8"/>
  <c r="J2484" i="8"/>
  <c r="J2642" i="8"/>
  <c r="J3465" i="8"/>
  <c r="J2488" i="8"/>
  <c r="J3467" i="8"/>
  <c r="J2803" i="8"/>
  <c r="J3469" i="8"/>
  <c r="J2804" i="8"/>
  <c r="J2499" i="8"/>
  <c r="J3472" i="8"/>
  <c r="J3473" i="8"/>
  <c r="J3621" i="8"/>
  <c r="J3165" i="8"/>
  <c r="J3476" i="8"/>
  <c r="J3477" i="8"/>
  <c r="J2647" i="8"/>
  <c r="J2568" i="8"/>
  <c r="J2830" i="8"/>
  <c r="J3481" i="8"/>
  <c r="J3482" i="8"/>
  <c r="J2663" i="8"/>
  <c r="J2569" i="8"/>
  <c r="J2798" i="8"/>
  <c r="J3486" i="8"/>
  <c r="J2503" i="8"/>
  <c r="J3488" i="8"/>
  <c r="J2512" i="8"/>
  <c r="J3490" i="8"/>
  <c r="J2573" i="8"/>
  <c r="J2523" i="8"/>
  <c r="J2833" i="8"/>
  <c r="J2490" i="8"/>
  <c r="J2574" i="8"/>
  <c r="J3496" i="8"/>
  <c r="J2582" i="8"/>
  <c r="J3711" i="8"/>
  <c r="J3499" i="8"/>
  <c r="J3725" i="8"/>
  <c r="J3034" i="8"/>
  <c r="J3502" i="8"/>
  <c r="J2837" i="8"/>
  <c r="J3504" i="8"/>
  <c r="J2838" i="8"/>
  <c r="J2840" i="8"/>
  <c r="J3507" i="8"/>
  <c r="J2526" i="8"/>
  <c r="J3509" i="8"/>
  <c r="J2533" i="8"/>
  <c r="J3511" i="8"/>
  <c r="J2667" i="8"/>
  <c r="J3531" i="8"/>
  <c r="J3514" i="8"/>
  <c r="J3714" i="8"/>
  <c r="J3677" i="8"/>
  <c r="J3517" i="8"/>
  <c r="J3532" i="8"/>
  <c r="J3519" i="8"/>
  <c r="J3534" i="8"/>
  <c r="J2849" i="8"/>
  <c r="J2583" i="8"/>
  <c r="J3535" i="8"/>
  <c r="J2855" i="8"/>
  <c r="J3525" i="8"/>
  <c r="J3526" i="8"/>
  <c r="J2866" i="8"/>
  <c r="J2882" i="8"/>
  <c r="J2884" i="8"/>
  <c r="J2891" i="8"/>
  <c r="J3539" i="8"/>
  <c r="J3545" i="8"/>
  <c r="J2585" i="8"/>
  <c r="J3552" i="8"/>
  <c r="J3561" i="8"/>
  <c r="J2593" i="8"/>
  <c r="J2894" i="8"/>
  <c r="J3538" i="8"/>
  <c r="J3573" i="8"/>
  <c r="J3715" i="8"/>
  <c r="J3719" i="8"/>
  <c r="J3723" i="8"/>
  <c r="J3166" i="8"/>
  <c r="J3311" i="8"/>
  <c r="J3583" i="8"/>
  <c r="J2672" i="8"/>
  <c r="J2895" i="8"/>
  <c r="J2594" i="8"/>
  <c r="J3549" i="8"/>
  <c r="J3550" i="8"/>
  <c r="J2897" i="8"/>
  <c r="J3585" i="8"/>
  <c r="J3553" i="8"/>
  <c r="J2596" i="8"/>
  <c r="J3555" i="8"/>
  <c r="J3700" i="8"/>
  <c r="J3557" i="8"/>
  <c r="J3701" i="8"/>
  <c r="J3559" i="8"/>
  <c r="J3324" i="8"/>
  <c r="J3597" i="8"/>
  <c r="J3562" i="8"/>
  <c r="J3563" i="8"/>
  <c r="J2899" i="8"/>
  <c r="J3565" i="8"/>
  <c r="J2607" i="8"/>
  <c r="J2900" i="8"/>
  <c r="J3568" i="8"/>
  <c r="J3569" i="8"/>
  <c r="J3570" i="8"/>
  <c r="J2622" i="8"/>
  <c r="J3572" i="8"/>
  <c r="J3603" i="8"/>
  <c r="J2911" i="8"/>
  <c r="J3575" i="8"/>
  <c r="J3576" i="8"/>
  <c r="J3577" i="8"/>
  <c r="J3578" i="8"/>
  <c r="J2626" i="8"/>
  <c r="J2679" i="8"/>
  <c r="J3581" i="8"/>
  <c r="J3731" i="8"/>
  <c r="J3610" i="8"/>
  <c r="J3584" i="8"/>
  <c r="J3612" i="8"/>
  <c r="J2990" i="8"/>
  <c r="J2627" i="8"/>
  <c r="J3588" i="8"/>
  <c r="J2634" i="8"/>
  <c r="J2921" i="8"/>
  <c r="J2925" i="8"/>
  <c r="J2926" i="8"/>
  <c r="J3593" i="8"/>
  <c r="J2639" i="8"/>
  <c r="J3613" i="8"/>
  <c r="J3596" i="8"/>
  <c r="J3615" i="8"/>
  <c r="J3598" i="8"/>
  <c r="J3708" i="8"/>
  <c r="J3709" i="8"/>
  <c r="J3601" i="8"/>
  <c r="J3346" i="8"/>
  <c r="J3623" i="8"/>
  <c r="J2535" i="8"/>
  <c r="J3605" i="8"/>
  <c r="J2651" i="8"/>
  <c r="J3607" i="8"/>
  <c r="J3608" i="8"/>
  <c r="J2645" i="8"/>
  <c r="J3625" i="8"/>
  <c r="J2939" i="8"/>
  <c r="J3627" i="8"/>
  <c r="J2681" i="8"/>
  <c r="J2649" i="8"/>
  <c r="J3632" i="8"/>
  <c r="J2961" i="8"/>
  <c r="J3617" i="8"/>
  <c r="J2966" i="8"/>
  <c r="J3619" i="8"/>
  <c r="J2971" i="8"/>
  <c r="J2974" i="8"/>
  <c r="J2653" i="8"/>
  <c r="J3635" i="8"/>
  <c r="J3712" i="8"/>
  <c r="J3636" i="8"/>
  <c r="J3729" i="8"/>
  <c r="J3637" i="8"/>
  <c r="J3628" i="8"/>
  <c r="J2986" i="8"/>
  <c r="J2657" i="8"/>
  <c r="J3631" i="8"/>
  <c r="J3638" i="8"/>
  <c r="J3633" i="8"/>
  <c r="J3634" i="8"/>
  <c r="J3644" i="8"/>
  <c r="J3652" i="8"/>
  <c r="J3662" i="8"/>
  <c r="J2543" i="8"/>
  <c r="J3639" i="8"/>
  <c r="J3717" i="8"/>
  <c r="J3641" i="8"/>
  <c r="J3642" i="8"/>
  <c r="J3643" i="8"/>
  <c r="J3035" i="8"/>
  <c r="J2536" i="8"/>
  <c r="J3646" i="8"/>
  <c r="J2996" i="8"/>
  <c r="J3648" i="8"/>
  <c r="J2661" i="8"/>
  <c r="J3650" i="8"/>
  <c r="J2977" i="8"/>
  <c r="J2546" i="8"/>
  <c r="J2998" i="8"/>
  <c r="J2668" i="8"/>
  <c r="J3655" i="8"/>
  <c r="J2985" i="8"/>
  <c r="J3657" i="8"/>
  <c r="J3658" i="8"/>
  <c r="J3000" i="8"/>
  <c r="J2689" i="8"/>
  <c r="J3661" i="8"/>
  <c r="J2547" i="8"/>
  <c r="J3010" i="8"/>
  <c r="J3664" i="8"/>
  <c r="J3011" i="8"/>
  <c r="J3666" i="8"/>
  <c r="J3733" i="8"/>
  <c r="J3705" i="8"/>
  <c r="J3356" i="8"/>
  <c r="J3169" i="8"/>
  <c r="J2692" i="8"/>
  <c r="J2548" i="8"/>
  <c r="J3019" i="8"/>
  <c r="J3023" i="8"/>
  <c r="J3675" i="8"/>
  <c r="J2693" i="8"/>
  <c r="J3025" i="8"/>
  <c r="J2695" i="8"/>
  <c r="J3679" i="8"/>
  <c r="J2560" i="8"/>
  <c r="J2699" i="8"/>
  <c r="J3721" i="8"/>
  <c r="J3724" i="8"/>
  <c r="J3730" i="8"/>
  <c r="J3685" i="8"/>
  <c r="J3686" i="8"/>
  <c r="J2701" i="8"/>
  <c r="J3688" i="8"/>
  <c r="J3029" i="8"/>
  <c r="J2572" i="8"/>
  <c r="J3691" i="8"/>
  <c r="J2710" i="8"/>
  <c r="J3693" i="8"/>
  <c r="J3039" i="8"/>
  <c r="J2588" i="8"/>
  <c r="J3696" i="8"/>
  <c r="J3697" i="8"/>
  <c r="J3698" i="8"/>
  <c r="J3699" i="8"/>
  <c r="J2718" i="8"/>
  <c r="J2719" i="8"/>
  <c r="J3702" i="8"/>
  <c r="J3703" i="8"/>
  <c r="J3031" i="8"/>
  <c r="J2591" i="8"/>
  <c r="J3706" i="8"/>
  <c r="J7" i="8"/>
  <c r="J2727" i="8"/>
  <c r="J3736" i="8"/>
  <c r="J3732" i="8"/>
  <c r="J3737" i="8"/>
  <c r="J3175" i="8"/>
  <c r="J3713" i="8"/>
  <c r="J2755" i="8"/>
  <c r="J3041" i="8"/>
  <c r="J3716" i="8"/>
  <c r="J2729" i="8"/>
  <c r="J3718" i="8"/>
  <c r="J2" i="8"/>
  <c r="J3720" i="8"/>
  <c r="J2743" i="8"/>
  <c r="J3722" i="8"/>
  <c r="J9" i="8"/>
  <c r="J2748" i="8"/>
  <c r="J2584" i="8"/>
  <c r="J3726" i="8"/>
  <c r="J3727" i="8"/>
  <c r="J3728" i="8"/>
  <c r="J5" i="8"/>
  <c r="J12" i="8"/>
  <c r="J3735" i="8"/>
  <c r="J14" i="8"/>
  <c r="J2994" i="8"/>
  <c r="J3734" i="8"/>
  <c r="J15" i="8"/>
  <c r="J2756" i="8"/>
  <c r="J13" i="8"/>
  <c r="J3738" i="8"/>
  <c r="J3739" i="8"/>
  <c r="H1261" i="8"/>
  <c r="H138" i="8"/>
  <c r="H129" i="8"/>
  <c r="H141" i="8"/>
  <c r="H2156" i="8"/>
  <c r="H2823" i="8"/>
  <c r="H1589" i="8"/>
  <c r="H3457" i="8"/>
  <c r="H1373" i="8"/>
  <c r="H2809" i="8"/>
  <c r="H3427" i="8"/>
  <c r="H1538" i="8"/>
  <c r="H1165" i="8"/>
  <c r="H1116" i="8"/>
  <c r="H147" i="8"/>
  <c r="F147" i="8" s="1"/>
  <c r="H176" i="8"/>
  <c r="H170" i="8"/>
  <c r="F170" i="8" s="1"/>
  <c r="H162" i="8"/>
  <c r="H3048" i="8"/>
  <c r="F3048" i="8" s="1"/>
  <c r="H118" i="8"/>
  <c r="F118" i="8" s="1"/>
  <c r="H150" i="8"/>
  <c r="H3073" i="8"/>
  <c r="F3073" i="8" s="1"/>
  <c r="H3040" i="8"/>
  <c r="F3040" i="8" s="1"/>
  <c r="H116" i="8"/>
  <c r="H122" i="8"/>
  <c r="F122" i="8" s="1"/>
  <c r="H73" i="8"/>
  <c r="H98" i="8"/>
  <c r="H78" i="8"/>
  <c r="H61" i="8"/>
  <c r="H86" i="8"/>
  <c r="H82" i="8"/>
  <c r="F82" i="8" s="1"/>
  <c r="H74" i="8"/>
  <c r="H58" i="8"/>
  <c r="F58" i="8" s="1"/>
  <c r="H3180" i="8"/>
  <c r="F3180" i="8" s="1"/>
  <c r="H50" i="8"/>
  <c r="H37" i="8"/>
  <c r="H34" i="8"/>
  <c r="H18" i="8"/>
  <c r="H16" i="8"/>
  <c r="H10" i="8"/>
  <c r="H6" i="8"/>
  <c r="I1486" i="8"/>
  <c r="I2330" i="8"/>
  <c r="I2972" i="8"/>
  <c r="I1980" i="8"/>
  <c r="I2238" i="8"/>
  <c r="I3257" i="8"/>
  <c r="I3522" i="8"/>
  <c r="I2617" i="8"/>
  <c r="I2973" i="8"/>
  <c r="I2334" i="8"/>
  <c r="I3134" i="8"/>
  <c r="I1723" i="8"/>
  <c r="I3387" i="8"/>
  <c r="I1998" i="8"/>
  <c r="I2975" i="8"/>
  <c r="I2976" i="8"/>
  <c r="I1999" i="8"/>
  <c r="I2339" i="8"/>
  <c r="I2621" i="8"/>
  <c r="I2124" i="8"/>
  <c r="I1933" i="8"/>
  <c r="I2002" i="8"/>
  <c r="I2980" i="8"/>
  <c r="I2110" i="8"/>
  <c r="I1761" i="8"/>
  <c r="I1258" i="8"/>
  <c r="I1763" i="8"/>
  <c r="I1764" i="8"/>
  <c r="I2242" i="8"/>
  <c r="I3002" i="8"/>
  <c r="I2134" i="8"/>
  <c r="I2244" i="8"/>
  <c r="I1765" i="8"/>
  <c r="I1766" i="8"/>
  <c r="I1443" i="8"/>
  <c r="I1445" i="8"/>
  <c r="I1453" i="8"/>
  <c r="I2982" i="8"/>
  <c r="I2113" i="8"/>
  <c r="I1770" i="8"/>
  <c r="I1749" i="8"/>
  <c r="I1623" i="8"/>
  <c r="I2137" i="8"/>
  <c r="I2340" i="8"/>
  <c r="I3629" i="8"/>
  <c r="I1767" i="8"/>
  <c r="I2987" i="8"/>
  <c r="I1639" i="8"/>
  <c r="I2150" i="8"/>
  <c r="I2153" i="8"/>
  <c r="I2383" i="8"/>
  <c r="I2991" i="8"/>
  <c r="I2028" i="8"/>
  <c r="I3528" i="8"/>
  <c r="I1772" i="8"/>
  <c r="I2118" i="8"/>
  <c r="I2625" i="8"/>
  <c r="I2120" i="8"/>
  <c r="I1946" i="8"/>
  <c r="I1949" i="8"/>
  <c r="I3602" i="8"/>
  <c r="I2945" i="8"/>
  <c r="I2629" i="8"/>
  <c r="I2389" i="8"/>
  <c r="I2125" i="8"/>
  <c r="I2630" i="8"/>
  <c r="I2631" i="8"/>
  <c r="I1252" i="8"/>
  <c r="I264" i="8"/>
  <c r="I863" i="8"/>
  <c r="I2632" i="8"/>
  <c r="I2249" i="8"/>
  <c r="I3485" i="8"/>
  <c r="I2633" i="8"/>
  <c r="I2250" i="8"/>
  <c r="I540" i="8"/>
  <c r="I3579" i="8"/>
  <c r="I137" i="8"/>
  <c r="I3273" i="8"/>
  <c r="I1768" i="8"/>
  <c r="I2092" i="8"/>
  <c r="I2252" i="8"/>
  <c r="I2299" i="8"/>
  <c r="I1769" i="8"/>
  <c r="I2922" i="8"/>
  <c r="I1294" i="8"/>
  <c r="I1882" i="8"/>
  <c r="I666" i="8"/>
  <c r="I1777" i="8"/>
  <c r="I2356" i="8"/>
  <c r="I2255" i="8"/>
  <c r="I3533" i="8"/>
  <c r="I2257" i="8"/>
  <c r="I2258" i="8"/>
  <c r="I1737" i="8"/>
  <c r="I1783" i="8"/>
  <c r="I2043" i="8"/>
  <c r="I1676" i="8"/>
  <c r="I1791" i="8"/>
  <c r="I1677" i="8"/>
  <c r="I2864" i="8"/>
  <c r="I2865" i="8"/>
  <c r="I2227" i="8"/>
  <c r="I2008" i="8"/>
  <c r="I1074" i="8"/>
  <c r="I2087" i="8"/>
  <c r="I3413" i="8"/>
  <c r="I1644" i="8"/>
  <c r="I2265" i="8"/>
  <c r="I1658" i="8"/>
  <c r="I2267" i="8"/>
  <c r="I1798" i="8"/>
  <c r="I2269" i="8"/>
  <c r="I1489" i="8"/>
  <c r="I2892" i="8"/>
  <c r="I2638" i="8"/>
  <c r="I1808" i="8"/>
  <c r="I1664" i="8"/>
  <c r="I2997" i="8"/>
  <c r="I2272" i="8"/>
  <c r="I1738" i="8"/>
  <c r="I2274" i="8"/>
  <c r="I2275" i="8"/>
  <c r="I3560" i="8"/>
  <c r="I2277" i="8"/>
  <c r="I3564" i="8"/>
  <c r="I1678" i="8"/>
  <c r="I1823" i="8"/>
  <c r="I3536" i="8"/>
  <c r="I2362" i="8"/>
  <c r="I3113" i="8"/>
  <c r="I2372" i="8"/>
  <c r="I3543" i="8"/>
  <c r="I1688" i="8"/>
  <c r="I3001" i="8"/>
  <c r="I1952" i="8"/>
  <c r="I2850" i="8"/>
  <c r="I2285" i="8"/>
  <c r="I2160" i="8"/>
  <c r="I3260" i="8"/>
  <c r="I2177" i="8"/>
  <c r="I2640" i="8"/>
  <c r="I1694" i="8"/>
  <c r="I2641" i="8"/>
  <c r="I2144" i="8"/>
  <c r="I2288" i="8"/>
  <c r="I1832" i="8"/>
  <c r="I1264" i="8"/>
  <c r="I2136" i="8"/>
  <c r="I2290" i="8"/>
  <c r="I1670" i="8"/>
  <c r="I2292" i="8"/>
  <c r="I2293" i="8"/>
  <c r="I2145" i="8"/>
  <c r="I2643" i="8"/>
  <c r="I2294" i="8"/>
  <c r="I2031" i="8"/>
  <c r="I1967" i="8"/>
  <c r="I3006" i="8"/>
  <c r="I2391" i="8"/>
  <c r="I2295" i="8"/>
  <c r="I3487" i="8"/>
  <c r="I2138" i="8"/>
  <c r="I1885" i="8"/>
  <c r="I1971" i="8"/>
  <c r="I2296" i="8"/>
  <c r="I1775" i="8"/>
  <c r="I1267" i="8"/>
  <c r="I2146" i="8"/>
  <c r="I3328" i="8"/>
  <c r="I1454" i="8"/>
  <c r="I2181" i="8"/>
  <c r="I1261" i="8"/>
  <c r="I1779" i="8"/>
  <c r="I3529" i="8"/>
  <c r="I3217" i="8"/>
  <c r="I2375" i="8"/>
  <c r="I3645" i="8"/>
  <c r="I1782" i="8"/>
  <c r="I1461" i="8"/>
  <c r="I1349" i="8"/>
  <c r="I3649" i="8"/>
  <c r="I3548" i="8"/>
  <c r="I3464" i="8"/>
  <c r="I1739" i="8"/>
  <c r="I2033" i="8"/>
  <c r="I1973" i="8"/>
  <c r="I2038" i="8"/>
  <c r="I1982" i="8"/>
  <c r="I1892" i="8"/>
  <c r="I1785" i="8"/>
  <c r="I3014" i="8"/>
  <c r="I2655" i="8"/>
  <c r="I3518" i="8"/>
  <c r="I3016" i="8"/>
  <c r="I3339" i="8"/>
  <c r="I1350" i="8"/>
  <c r="I2854" i="8"/>
  <c r="I2820" i="8"/>
  <c r="I2954" i="8"/>
  <c r="I1262" i="8"/>
  <c r="I3341" i="8"/>
  <c r="I1986" i="8"/>
  <c r="I1894" i="8"/>
  <c r="I1470" i="8"/>
  <c r="I2659" i="8"/>
  <c r="I3017" i="8"/>
  <c r="I3530" i="8"/>
  <c r="I3222" i="8"/>
  <c r="I3018" i="8"/>
  <c r="I2660" i="8"/>
  <c r="I1752" i="8"/>
  <c r="I1794" i="8"/>
  <c r="I3587" i="8"/>
  <c r="I1795" i="8"/>
  <c r="I1796" i="8"/>
  <c r="I2662" i="8"/>
  <c r="I1797" i="8"/>
  <c r="I2916" i="8"/>
  <c r="I3606" i="8"/>
  <c r="I2813" i="8"/>
  <c r="I1673" i="8"/>
  <c r="I1799" i="8"/>
  <c r="I2359" i="8"/>
  <c r="I2303" i="8"/>
  <c r="I978" i="8"/>
  <c r="I2301" i="8"/>
  <c r="I1075" i="8"/>
  <c r="I2315" i="8"/>
  <c r="I2927" i="8"/>
  <c r="I1674" i="8"/>
  <c r="I3501" i="8"/>
  <c r="I2929" i="8"/>
  <c r="I2305" i="8"/>
  <c r="I2665" i="8"/>
  <c r="I2045" i="8"/>
  <c r="I2142" i="8"/>
  <c r="I1989" i="8"/>
  <c r="I2953" i="8"/>
  <c r="I3100" i="8"/>
  <c r="I2932" i="8"/>
  <c r="I2093" i="8"/>
  <c r="I2934" i="8"/>
  <c r="I2935" i="8"/>
  <c r="I2098" i="8"/>
  <c r="I2099" i="8"/>
  <c r="I2669" i="8"/>
  <c r="I2046" i="8"/>
  <c r="I2671" i="8"/>
  <c r="I1835" i="8"/>
  <c r="I1065" i="8"/>
  <c r="I2366" i="8"/>
  <c r="I2307" i="8"/>
  <c r="I3626" i="8"/>
  <c r="I2940" i="8"/>
  <c r="I2941" i="8"/>
  <c r="I2942" i="8"/>
  <c r="I2143" i="8"/>
  <c r="I2106" i="8"/>
  <c r="I2979" i="8"/>
  <c r="I2109" i="8"/>
  <c r="I893" i="8"/>
  <c r="I2946" i="8"/>
  <c r="I2673" i="8"/>
  <c r="I2308" i="8"/>
  <c r="I2947" i="8"/>
  <c r="I1369" i="8"/>
  <c r="I2309" i="8"/>
  <c r="I2310" i="8"/>
  <c r="I1847" i="8"/>
  <c r="I1850" i="8"/>
  <c r="I1263" i="8"/>
  <c r="I1675" i="8"/>
  <c r="I1268" i="8"/>
  <c r="I2314" i="8"/>
  <c r="I1754" i="8"/>
  <c r="I2316" i="8"/>
  <c r="I1756" i="8"/>
  <c r="I2318" i="8"/>
  <c r="I1696" i="8"/>
  <c r="I1701" i="8"/>
  <c r="I2870" i="8"/>
  <c r="I2871" i="8"/>
  <c r="I2321" i="8"/>
  <c r="I2930" i="8"/>
  <c r="I3090" i="8"/>
  <c r="I2322" i="8"/>
  <c r="I3500" i="8"/>
  <c r="I2090" i="8"/>
  <c r="I1715" i="8"/>
  <c r="I2876" i="8"/>
  <c r="I3337" i="8"/>
  <c r="I2325" i="8"/>
  <c r="I2326" i="8"/>
  <c r="I2327" i="8"/>
  <c r="I3567" i="8"/>
  <c r="I3411" i="8"/>
  <c r="I1162" i="8"/>
  <c r="I3265" i="8"/>
  <c r="I2331" i="8"/>
  <c r="I1275" i="8"/>
  <c r="I2674" i="8"/>
  <c r="I1697" i="8"/>
  <c r="I1724" i="8"/>
  <c r="I3292" i="8"/>
  <c r="I1758" i="8"/>
  <c r="I2335" i="8"/>
  <c r="I2062" i="8"/>
  <c r="I1271" i="8"/>
  <c r="I2147" i="8"/>
  <c r="I2336" i="8"/>
  <c r="I2337" i="8"/>
  <c r="I1805" i="8"/>
  <c r="I1277" i="8"/>
  <c r="I1280" i="8"/>
  <c r="I1853" i="8"/>
  <c r="I1771" i="8"/>
  <c r="I1780" i="8"/>
  <c r="I489" i="8"/>
  <c r="I1744" i="8"/>
  <c r="I683" i="8"/>
  <c r="I859" i="8"/>
  <c r="I1474" i="8"/>
  <c r="I2157" i="8"/>
  <c r="I3412" i="8"/>
  <c r="I3022" i="8"/>
  <c r="I3003" i="8"/>
  <c r="I2676" i="8"/>
  <c r="I2377" i="8"/>
  <c r="I2068" i="8"/>
  <c r="I1872" i="8"/>
  <c r="I1904" i="8"/>
  <c r="I1751" i="8"/>
  <c r="I3024" i="8"/>
  <c r="I2382" i="8"/>
  <c r="I3026" i="8"/>
  <c r="I2917" i="8"/>
  <c r="I3027" i="8"/>
  <c r="I3028" i="8"/>
  <c r="I1753" i="8"/>
  <c r="I3647" i="8"/>
  <c r="I3030" i="8"/>
  <c r="I2385" i="8"/>
  <c r="I2680" i="8"/>
  <c r="I1877" i="8"/>
  <c r="I3032" i="8"/>
  <c r="I3033" i="8"/>
  <c r="I2166" i="8"/>
  <c r="I2151" i="8"/>
  <c r="I422" i="8"/>
  <c r="I542" i="8"/>
  <c r="I3397" i="8"/>
  <c r="I544" i="8"/>
  <c r="I545" i="8"/>
  <c r="I2983" i="8"/>
  <c r="I1290" i="8"/>
  <c r="I2170" i="8"/>
  <c r="I1810" i="8"/>
  <c r="I1282" i="8"/>
  <c r="I1384" i="8"/>
  <c r="I3654" i="8"/>
  <c r="I2173" i="8"/>
  <c r="I2348" i="8"/>
  <c r="I2390" i="8"/>
  <c r="I2175" i="8"/>
  <c r="I2397" i="8"/>
  <c r="I2398" i="8"/>
  <c r="I2392" i="8"/>
  <c r="I2178" i="8"/>
  <c r="I2393" i="8"/>
  <c r="I2682" i="8"/>
  <c r="I3046" i="8"/>
  <c r="I2394" i="8"/>
  <c r="I3422" i="8"/>
  <c r="I2161" i="8"/>
  <c r="I1813" i="8"/>
  <c r="I1385" i="8"/>
  <c r="I1181" i="8"/>
  <c r="I1492" i="8"/>
  <c r="I2069" i="8"/>
  <c r="I2179" i="8"/>
  <c r="I2164" i="8"/>
  <c r="I2686" i="8"/>
  <c r="I1292" i="8"/>
  <c r="I2399" i="8"/>
  <c r="I2687" i="8"/>
  <c r="I3520" i="8"/>
  <c r="I2350" i="8"/>
  <c r="I1304" i="8"/>
  <c r="I1817" i="8"/>
  <c r="I2688" i="8"/>
  <c r="I1997" i="8"/>
  <c r="I1388" i="8"/>
  <c r="I2948" i="8"/>
  <c r="I1298" i="8"/>
  <c r="I2351" i="8"/>
  <c r="I1077" i="8"/>
  <c r="I1883" i="8"/>
  <c r="I2949" i="8"/>
  <c r="I2353" i="8"/>
  <c r="I2919" i="8"/>
  <c r="I2690" i="8"/>
  <c r="I2073" i="8"/>
  <c r="I2950" i="8"/>
  <c r="I869" i="8"/>
  <c r="I2076" i="8"/>
  <c r="I2004" i="8"/>
  <c r="I2355" i="8"/>
  <c r="I1781" i="8"/>
  <c r="I2952" i="8"/>
  <c r="I3435" i="8"/>
  <c r="I2083" i="8"/>
  <c r="I3440" i="8"/>
  <c r="I2006" i="8"/>
  <c r="I1706" i="8"/>
  <c r="I2956" i="8"/>
  <c r="I3051" i="8"/>
  <c r="I2358" i="8"/>
  <c r="I1890" i="8"/>
  <c r="I1713" i="8"/>
  <c r="I2361" i="8"/>
  <c r="I1784" i="8"/>
  <c r="I2363" i="8"/>
  <c r="I2364" i="8"/>
  <c r="I1755" i="8"/>
  <c r="I3338" i="8"/>
  <c r="I3554" i="8"/>
  <c r="I1762" i="8"/>
  <c r="I2369" i="8"/>
  <c r="I1909" i="8"/>
  <c r="I1778" i="8"/>
  <c r="I2877" i="8"/>
  <c r="I2878" i="8"/>
  <c r="I3574" i="8"/>
  <c r="I2879" i="8"/>
  <c r="I2880" i="8"/>
  <c r="I2881" i="8"/>
  <c r="I2230" i="8"/>
  <c r="I2009" i="8"/>
  <c r="I2373" i="8"/>
  <c r="I1910" i="8"/>
  <c r="I3582" i="8"/>
  <c r="I1786" i="8"/>
  <c r="I1787" i="8"/>
  <c r="I3052" i="8"/>
  <c r="I3432" i="8"/>
  <c r="I2379" i="8"/>
  <c r="I1089" i="8"/>
  <c r="I1716" i="8"/>
  <c r="I2176" i="8"/>
  <c r="I3508" i="8"/>
  <c r="I2923" i="8"/>
  <c r="I1792" i="8"/>
  <c r="I1819" i="8"/>
  <c r="I3349" i="8"/>
  <c r="I2384" i="8"/>
  <c r="I1793" i="8"/>
  <c r="I2992" i="8"/>
  <c r="I2386" i="8"/>
  <c r="I2387" i="8"/>
  <c r="I2388" i="8"/>
  <c r="I2" i="8"/>
  <c r="I541" i="8"/>
  <c r="I492" i="8"/>
  <c r="I1911" i="8"/>
  <c r="I543" i="8"/>
  <c r="I1800" i="8"/>
  <c r="I1820" i="8"/>
  <c r="I2015" i="8"/>
  <c r="I3449" i="8"/>
  <c r="I1822" i="8"/>
  <c r="I2815" i="8"/>
  <c r="I1824" i="8"/>
  <c r="I1494" i="8"/>
  <c r="I3474" i="8"/>
  <c r="I1922" i="8"/>
  <c r="I3055" i="8"/>
  <c r="I2184" i="8"/>
  <c r="I3056" i="8"/>
  <c r="I1311" i="8"/>
  <c r="I3057" i="8"/>
  <c r="I1923" i="8"/>
  <c r="I1925" i="8"/>
  <c r="I3611" i="8"/>
  <c r="I1930" i="8"/>
  <c r="I546" i="8"/>
  <c r="I3058" i="8"/>
  <c r="I2395" i="8"/>
  <c r="I3616" i="8"/>
  <c r="I1938" i="8"/>
  <c r="I2188" i="8"/>
  <c r="I3060" i="8"/>
  <c r="I3061" i="8"/>
  <c r="I3062" i="8"/>
  <c r="I1812" i="8"/>
  <c r="I3586" i="8"/>
  <c r="I2020" i="8"/>
  <c r="I2192" i="8"/>
  <c r="I2700" i="8"/>
  <c r="I3589" i="8"/>
  <c r="I3388" i="8"/>
  <c r="I3268" i="8"/>
  <c r="I2400" i="8"/>
  <c r="I1905" i="8"/>
  <c r="I3040" i="8"/>
  <c r="I2396" i="8"/>
  <c r="I2079" i="8"/>
  <c r="I1337" i="8"/>
  <c r="I2408" i="8"/>
  <c r="I2918" i="8"/>
  <c r="I2201" i="8"/>
  <c r="I1391" i="8"/>
  <c r="I3067" i="8"/>
  <c r="I3068" i="8"/>
  <c r="I1788" i="8"/>
  <c r="I3651" i="8"/>
  <c r="I1828" i="8"/>
  <c r="I3070" i="8"/>
  <c r="I1340" i="8"/>
  <c r="I1830" i="8"/>
  <c r="I2706" i="8"/>
  <c r="I1814" i="8"/>
  <c r="I2182" i="8"/>
  <c r="I1717" i="8"/>
  <c r="I3072" i="8"/>
  <c r="I3293" i="8"/>
  <c r="I2404" i="8"/>
  <c r="I3074" i="8"/>
  <c r="I2190" i="8"/>
  <c r="I3523" i="8"/>
  <c r="I1907" i="8"/>
  <c r="I2197" i="8"/>
  <c r="I3078" i="8"/>
  <c r="I993" i="8"/>
  <c r="I1913" i="8"/>
  <c r="I2405" i="8"/>
  <c r="I3478" i="8"/>
  <c r="I3080" i="8"/>
  <c r="I1731" i="8"/>
  <c r="I1079" i="8"/>
  <c r="I1409" i="8"/>
  <c r="I1477" i="8"/>
  <c r="I1495" i="8"/>
  <c r="I2709" i="8"/>
  <c r="I3556" i="8"/>
  <c r="I3354" i="8"/>
  <c r="I1496" i="8"/>
  <c r="I2023" i="8"/>
  <c r="I2957" i="8"/>
  <c r="I2193" i="8"/>
  <c r="I2713" i="8"/>
  <c r="I2714" i="8"/>
  <c r="I3358" i="8"/>
  <c r="I3360" i="8"/>
  <c r="I2198" i="8"/>
  <c r="I1342" i="8"/>
  <c r="I2207" i="8"/>
  <c r="I2088" i="8"/>
  <c r="I2717" i="8"/>
  <c r="I2410" i="8"/>
  <c r="I2112" i="8"/>
  <c r="I1789" i="8"/>
  <c r="I1954" i="8"/>
  <c r="I1834" i="8"/>
  <c r="I3594" i="8"/>
  <c r="I1479" i="8"/>
  <c r="I1955" i="8"/>
  <c r="I1081" i="8"/>
  <c r="I994" i="8"/>
  <c r="I111" i="8"/>
  <c r="I1182" i="8"/>
  <c r="I494" i="8"/>
  <c r="I1192" i="8"/>
  <c r="I2232" i="8"/>
  <c r="I3624" i="8"/>
  <c r="I3630" i="8"/>
  <c r="I2887" i="8"/>
  <c r="I2888" i="8"/>
  <c r="I2938" i="8"/>
  <c r="I2890" i="8"/>
  <c r="I2239" i="8"/>
  <c r="I1735" i="8"/>
  <c r="I1790" i="8"/>
  <c r="I791" i="8"/>
  <c r="I3433" i="8"/>
  <c r="I1956" i="8"/>
  <c r="I2418" i="8"/>
  <c r="I1836" i="8"/>
  <c r="I1837" i="8"/>
  <c r="I1968" i="8"/>
  <c r="I3081" i="8"/>
  <c r="I1428" i="8"/>
  <c r="I1362" i="8"/>
  <c r="I1840" i="8"/>
  <c r="I3279" i="8"/>
  <c r="I1818" i="8"/>
  <c r="I3599" i="8"/>
  <c r="I3489" i="8"/>
  <c r="I1291" i="8"/>
  <c r="I1373" i="8"/>
  <c r="I500" i="8"/>
  <c r="I1801" i="8"/>
  <c r="I2422" i="8"/>
  <c r="I2721" i="8"/>
  <c r="I1297" i="8"/>
  <c r="I2203" i="8"/>
  <c r="I1844" i="8"/>
  <c r="I1845" i="8"/>
  <c r="I2955" i="8"/>
  <c r="I2722" i="8"/>
  <c r="I1915" i="8"/>
  <c r="I2928" i="8"/>
  <c r="I690" i="8"/>
  <c r="I2868" i="8"/>
  <c r="I1444" i="8"/>
  <c r="I3084" i="8"/>
  <c r="I2424" i="8"/>
  <c r="I2081" i="8"/>
  <c r="I2425" i="8"/>
  <c r="I3009" i="8"/>
  <c r="I2857" i="8"/>
  <c r="I1740" i="8"/>
  <c r="I3085" i="8"/>
  <c r="I1969" i="8"/>
  <c r="I2213" i="8"/>
  <c r="I2726" i="8"/>
  <c r="I2024" i="8"/>
  <c r="I2728" i="8"/>
  <c r="I2040" i="8"/>
  <c r="I2430" i="8"/>
  <c r="I1924" i="8"/>
  <c r="I2208" i="8"/>
  <c r="I2731" i="8"/>
  <c r="I2409" i="8"/>
  <c r="I1803" i="8"/>
  <c r="I2732" i="8"/>
  <c r="I2733" i="8"/>
  <c r="I2402" i="8"/>
  <c r="I2086" i="8"/>
  <c r="I2735" i="8"/>
  <c r="I2767" i="8"/>
  <c r="I3089" i="8"/>
  <c r="I902" i="8"/>
  <c r="I1480" i="8"/>
  <c r="I1376" i="8"/>
  <c r="I2432" i="8"/>
  <c r="I2433" i="8"/>
  <c r="I1447" i="8"/>
  <c r="I2204" i="8"/>
  <c r="I2434" i="8"/>
  <c r="I1491" i="8"/>
  <c r="I1303" i="8"/>
  <c r="I1387" i="8"/>
  <c r="I3091" i="8"/>
  <c r="I1497" i="8"/>
  <c r="I3092" i="8"/>
  <c r="I3093" i="8"/>
  <c r="I2215" i="8"/>
  <c r="I3095" i="8"/>
  <c r="I1827" i="8"/>
  <c r="I2209" i="8"/>
  <c r="I3097" i="8"/>
  <c r="I2212" i="8"/>
  <c r="I2114" i="8"/>
  <c r="I995" i="8"/>
  <c r="I2993" i="8"/>
  <c r="I2737" i="8"/>
  <c r="I2822" i="8"/>
  <c r="I2436" i="8"/>
  <c r="I2222" i="8"/>
  <c r="I1390" i="8"/>
  <c r="I2738" i="8"/>
  <c r="I1934" i="8"/>
  <c r="I2740" i="8"/>
  <c r="I2741" i="8"/>
  <c r="I2742" i="8"/>
  <c r="I1080" i="8"/>
  <c r="I1312" i="8"/>
  <c r="I3267" i="8"/>
  <c r="I3101" i="8"/>
  <c r="I1451" i="8"/>
  <c r="I3600" i="8"/>
  <c r="I2958" i="8"/>
  <c r="I1858" i="8"/>
  <c r="I1859" i="8"/>
  <c r="I2412" i="8"/>
  <c r="I2413" i="8"/>
  <c r="I2417" i="8"/>
  <c r="I1936" i="8"/>
  <c r="I1860" i="8"/>
  <c r="I2746" i="8"/>
  <c r="I1941" i="8"/>
  <c r="I2049" i="8"/>
  <c r="I2218" i="8"/>
  <c r="I1831" i="8"/>
  <c r="I1861" i="8"/>
  <c r="I2960" i="8"/>
  <c r="I1393" i="8"/>
  <c r="I1741" i="8"/>
  <c r="I1394" i="8"/>
  <c r="I1970" i="8"/>
  <c r="I1838" i="8"/>
  <c r="I2226" i="8"/>
  <c r="I1977" i="8"/>
  <c r="I2750" i="8"/>
  <c r="I1759" i="8"/>
  <c r="I2751" i="8"/>
  <c r="I2317" i="8"/>
  <c r="I1501" i="8"/>
  <c r="I1995" i="8"/>
  <c r="I2444" i="8"/>
  <c r="I996" i="8"/>
  <c r="I904" i="8"/>
  <c r="I2445" i="8"/>
  <c r="I3537" i="8"/>
  <c r="I2752" i="8"/>
  <c r="I1865" i="8"/>
  <c r="I2753" i="8"/>
  <c r="I2754" i="8"/>
  <c r="I2988" i="8"/>
  <c r="I1395" i="8"/>
  <c r="I799" i="8"/>
  <c r="I1773" i="8"/>
  <c r="I2003" i="8"/>
  <c r="I2448" i="8"/>
  <c r="I1806" i="8"/>
  <c r="I692" i="8"/>
  <c r="I1807" i="8"/>
  <c r="I2451" i="8"/>
  <c r="I3012" i="8"/>
  <c r="I2453" i="8"/>
  <c r="I2454" i="8"/>
  <c r="I1317" i="8"/>
  <c r="I2338" i="8"/>
  <c r="I2893" i="8"/>
  <c r="I2241" i="8"/>
  <c r="I2259" i="8"/>
  <c r="I1455" i="8"/>
  <c r="I2896" i="8"/>
  <c r="I2273" i="8"/>
  <c r="I2898" i="8"/>
  <c r="I2276" i="8"/>
  <c r="I1087" i="8"/>
  <c r="I1457" i="8"/>
  <c r="I2455" i="8"/>
  <c r="I2456" i="8"/>
  <c r="I2457" i="8"/>
  <c r="I2010" i="8"/>
  <c r="I3436" i="8"/>
  <c r="I1846" i="8"/>
  <c r="I3287" i="8"/>
  <c r="I2959" i="8"/>
  <c r="I1504" i="8"/>
  <c r="I3146" i="8"/>
  <c r="I1323" i="8"/>
  <c r="I577" i="8"/>
  <c r="I1498" i="8"/>
  <c r="I1849" i="8"/>
  <c r="I1857" i="8"/>
  <c r="I1328" i="8"/>
  <c r="I1458" i="8"/>
  <c r="I1774" i="8"/>
  <c r="I3106" i="8"/>
  <c r="I3107" i="8"/>
  <c r="I2052" i="8"/>
  <c r="I1864" i="8"/>
  <c r="I1397" i="8"/>
  <c r="I2420" i="8"/>
  <c r="I3365" i="8"/>
  <c r="I3109" i="8"/>
  <c r="I2058" i="8"/>
  <c r="I3592" i="8"/>
  <c r="I513" i="8"/>
  <c r="I3343" i="8"/>
  <c r="I1500" i="8"/>
  <c r="I1203" i="8"/>
  <c r="I3450" i="8"/>
  <c r="I3347" i="8"/>
  <c r="I1880" i="8"/>
  <c r="I1809" i="8"/>
  <c r="I1944" i="8"/>
  <c r="I696" i="8"/>
  <c r="I3290" i="8"/>
  <c r="I2758" i="8"/>
  <c r="I3379" i="8"/>
  <c r="I3609" i="8"/>
  <c r="I2468" i="8"/>
  <c r="I3492" i="8"/>
  <c r="I3391" i="8"/>
  <c r="I3281" i="8"/>
  <c r="I2763" i="8"/>
  <c r="I3439" i="8"/>
  <c r="I2764" i="8"/>
  <c r="I2022" i="8"/>
  <c r="I2059" i="8"/>
  <c r="I3494" i="8"/>
  <c r="I3540" i="8"/>
  <c r="I1088" i="8"/>
  <c r="I2245" i="8"/>
  <c r="I2419" i="8"/>
  <c r="I2027" i="8"/>
  <c r="I1399" i="8"/>
  <c r="I1505" i="8"/>
  <c r="I1468" i="8"/>
  <c r="I1401" i="8"/>
  <c r="I430" i="8"/>
  <c r="I3112" i="8"/>
  <c r="I1886" i="8"/>
  <c r="I2228" i="8"/>
  <c r="I3371" i="8"/>
  <c r="I1869" i="8"/>
  <c r="I2236" i="8"/>
  <c r="I1887" i="8"/>
  <c r="I1330" i="8"/>
  <c r="I2121" i="8"/>
  <c r="I2427" i="8"/>
  <c r="I823" i="8"/>
  <c r="I1889" i="8"/>
  <c r="I2139" i="8"/>
  <c r="I2963" i="8"/>
  <c r="I2154" i="8"/>
  <c r="I1091" i="8"/>
  <c r="I2435" i="8"/>
  <c r="I1090" i="8"/>
  <c r="I1515" i="8"/>
  <c r="I1945" i="8"/>
  <c r="I1891" i="8"/>
  <c r="I1403" i="8"/>
  <c r="I2060" i="8"/>
  <c r="I1893" i="8"/>
  <c r="I1776" i="8"/>
  <c r="I3355" i="8"/>
  <c r="I2962" i="8"/>
  <c r="I2474" i="8"/>
  <c r="I2091" i="8"/>
  <c r="I2774" i="8"/>
  <c r="I2775" i="8"/>
  <c r="I831" i="8"/>
  <c r="I1870" i="8"/>
  <c r="I2247" i="8"/>
  <c r="I3498" i="8"/>
  <c r="I2061" i="8"/>
  <c r="I2370" i="8"/>
  <c r="I864" i="8"/>
  <c r="I1895" i="8"/>
  <c r="I2476" i="8"/>
  <c r="I2777" i="8"/>
  <c r="I870" i="8"/>
  <c r="I1093" i="8"/>
  <c r="I3454" i="8"/>
  <c r="I1874" i="8"/>
  <c r="I1896" i="8"/>
  <c r="I1897" i="8"/>
  <c r="I1478" i="8"/>
  <c r="I1485" i="8"/>
  <c r="I1900" i="8"/>
  <c r="I3227" i="8"/>
  <c r="I1902" i="8"/>
  <c r="I1488" i="8"/>
  <c r="I1815" i="8"/>
  <c r="I2827" i="8"/>
  <c r="I1407" i="8"/>
  <c r="I3457" i="8"/>
  <c r="I1802" i="8"/>
  <c r="I1408" i="8"/>
  <c r="I2278" i="8"/>
  <c r="I2901" i="8"/>
  <c r="I1881" i="8"/>
  <c r="I2032" i="8"/>
  <c r="I2013" i="8"/>
  <c r="I1490" i="8"/>
  <c r="I2903" i="8"/>
  <c r="I2904" i="8"/>
  <c r="I2905" i="8"/>
  <c r="I2017" i="8"/>
  <c r="I2483" i="8"/>
  <c r="I3463" i="8"/>
  <c r="I1804" i="8"/>
  <c r="I1508" i="8"/>
  <c r="I1523" i="8"/>
  <c r="I1101" i="8"/>
  <c r="I3" i="8"/>
  <c r="I516" i="8"/>
  <c r="I2374" i="8"/>
  <c r="I1525" i="8"/>
  <c r="I2486" i="8"/>
  <c r="I2487" i="8"/>
  <c r="I2944" i="8"/>
  <c r="I2489" i="8"/>
  <c r="I1527" i="8"/>
  <c r="I1961" i="8"/>
  <c r="I1334" i="8"/>
  <c r="I1816" i="8"/>
  <c r="I1412" i="8"/>
  <c r="I1336" i="8"/>
  <c r="I3361" i="8"/>
  <c r="I1916" i="8"/>
  <c r="I1512" i="8"/>
  <c r="I2491" i="8"/>
  <c r="I2251" i="8"/>
  <c r="I1963" i="8"/>
  <c r="I2782" i="8"/>
  <c r="I1510" i="8"/>
  <c r="I1981" i="8"/>
  <c r="I2253" i="8"/>
  <c r="I2785" i="8"/>
  <c r="I3614" i="8"/>
  <c r="I2492" i="8"/>
  <c r="I3618" i="8"/>
  <c r="I3558" i="8"/>
  <c r="I3077" i="8"/>
  <c r="I1983" i="8"/>
  <c r="I1918" i="8"/>
  <c r="I1919" i="8"/>
  <c r="I2254" i="8"/>
  <c r="I1094" i="8"/>
  <c r="I3212" i="8"/>
  <c r="I2791" i="8"/>
  <c r="I2260" i="8"/>
  <c r="I1920" i="8"/>
  <c r="I836" i="8"/>
  <c r="I1984" i="8"/>
  <c r="I1921" i="8"/>
  <c r="I3286" i="8"/>
  <c r="I2794" i="8"/>
  <c r="I2819" i="8"/>
  <c r="I2494" i="8"/>
  <c r="I2869" i="8"/>
  <c r="I3366" i="8"/>
  <c r="I1535" i="8"/>
  <c r="I1926" i="8"/>
  <c r="I1985" i="8"/>
  <c r="I1927" i="8"/>
  <c r="I1343" i="8"/>
  <c r="I461" i="8"/>
  <c r="I1811" i="8"/>
  <c r="I1352" i="8"/>
  <c r="I2497" i="8"/>
  <c r="I2034" i="8"/>
  <c r="I1540" i="8"/>
  <c r="I1354" i="8"/>
  <c r="I1825" i="8"/>
  <c r="I1932" i="8"/>
  <c r="I2262" i="8"/>
  <c r="I1821" i="8"/>
  <c r="I3283" i="8"/>
  <c r="I1096" i="8"/>
  <c r="I2163" i="8"/>
  <c r="I2501" i="8"/>
  <c r="I1884" i="8"/>
  <c r="I2167" i="8"/>
  <c r="I2064" i="8"/>
  <c r="I3400" i="8"/>
  <c r="I2802" i="8"/>
  <c r="I2169" i="8"/>
  <c r="I1826" i="8"/>
  <c r="I1097" i="8"/>
  <c r="I1841" i="8"/>
  <c r="I2191" i="8"/>
  <c r="I2924" i="8"/>
  <c r="I1898" i="8"/>
  <c r="I1355" i="8"/>
  <c r="I3145" i="8"/>
  <c r="I2328" i="8"/>
  <c r="I2119" i="8"/>
  <c r="I2268" i="8"/>
  <c r="I2807" i="8"/>
  <c r="I2065" i="8"/>
  <c r="I2506" i="8"/>
  <c r="I2270" i="8"/>
  <c r="I2841" i="8"/>
  <c r="I1098" i="8"/>
  <c r="I2810" i="8"/>
  <c r="I997" i="8"/>
  <c r="I1935" i="8"/>
  <c r="I1173" i="8"/>
  <c r="I841" i="8"/>
  <c r="I1068" i="8"/>
  <c r="I872" i="8"/>
  <c r="I2507" i="8"/>
  <c r="I1423" i="8"/>
  <c r="I2811" i="8"/>
  <c r="I3510" i="8"/>
  <c r="I3566" i="8"/>
  <c r="I1516" i="8"/>
  <c r="I1544" i="8"/>
  <c r="I1520" i="8"/>
  <c r="I667" i="8"/>
  <c r="I1940" i="8"/>
  <c r="I1435" i="8"/>
  <c r="I1942" i="8"/>
  <c r="I2509" i="8"/>
  <c r="I3037" i="8"/>
  <c r="I2969" i="8"/>
  <c r="I2907" i="8"/>
  <c r="I2908" i="8"/>
  <c r="I3071" i="8"/>
  <c r="I1829" i="8"/>
  <c r="I2909" i="8"/>
  <c r="I3230" i="8"/>
  <c r="I2856" i="8"/>
  <c r="I2910" i="8"/>
  <c r="I2513" i="8"/>
  <c r="I1513" i="8"/>
  <c r="I2286" i="8"/>
  <c r="I3640" i="8"/>
  <c r="I2021" i="8"/>
  <c r="I671" i="8"/>
  <c r="I2029" i="8"/>
  <c r="I1450" i="8"/>
  <c r="I3460" i="8"/>
  <c r="I2514" i="8"/>
  <c r="I1102" i="8"/>
  <c r="I2515" i="8"/>
  <c r="I1947" i="8"/>
  <c r="I699" i="8"/>
  <c r="I2812" i="8"/>
  <c r="I1524" i="8"/>
  <c r="I3444" i="8"/>
  <c r="I1899" i="8"/>
  <c r="I2989" i="8"/>
  <c r="I2280" i="8"/>
  <c r="I2814" i="8"/>
  <c r="I2284" i="8"/>
  <c r="I1526" i="8"/>
  <c r="I700" i="8"/>
  <c r="I1216" i="8"/>
  <c r="I579" i="8"/>
  <c r="I1528" i="8"/>
  <c r="I1361" i="8"/>
  <c r="I1531" i="8"/>
  <c r="I2816" i="8"/>
  <c r="I2039" i="8"/>
  <c r="I2817" i="8"/>
  <c r="I2054" i="8"/>
  <c r="I2818" i="8"/>
  <c r="I2289" i="8"/>
  <c r="I2055" i="8"/>
  <c r="I2056" i="8"/>
  <c r="I1990" i="8"/>
  <c r="I1901" i="8"/>
  <c r="I1547" i="8"/>
  <c r="I2522" i="8"/>
  <c r="I2070" i="8"/>
  <c r="I2968" i="8"/>
  <c r="I1833" i="8"/>
  <c r="I2066" i="8"/>
  <c r="I1548" i="8"/>
  <c r="I3493" i="8"/>
  <c r="I3308" i="8"/>
  <c r="I2297" i="8"/>
  <c r="I1903" i="8"/>
  <c r="I1839" i="8"/>
  <c r="I1843" i="8"/>
  <c r="I1550" i="8"/>
  <c r="I2528" i="8"/>
  <c r="I2824" i="8"/>
  <c r="I2075" i="8"/>
  <c r="I2077" i="8"/>
  <c r="I1518" i="8"/>
  <c r="I1103" i="8"/>
  <c r="I2825" i="8"/>
  <c r="I1957" i="8"/>
  <c r="I2078" i="8"/>
  <c r="I2531" i="8"/>
  <c r="I1851" i="8"/>
  <c r="I463" i="8"/>
  <c r="I2711" i="8"/>
  <c r="I1519" i="8"/>
  <c r="I1958" i="8"/>
  <c r="I1991" i="8"/>
  <c r="I1959" i="8"/>
  <c r="I3204" i="8"/>
  <c r="I1521" i="8"/>
  <c r="I1842" i="8"/>
  <c r="I1104" i="8"/>
  <c r="I1908" i="8"/>
  <c r="I1095" i="8"/>
  <c r="I1218" i="8"/>
  <c r="I1190" i="8"/>
  <c r="I1848" i="8"/>
  <c r="I1105" i="8"/>
  <c r="I1852" i="8"/>
  <c r="I3541" i="8"/>
  <c r="I2537" i="8"/>
  <c r="I2082" i="8"/>
  <c r="I2085" i="8"/>
  <c r="I1069" i="8"/>
  <c r="I2540" i="8"/>
  <c r="I3408" i="8"/>
  <c r="I2829" i="8"/>
  <c r="I1459" i="8"/>
  <c r="I2194" i="8"/>
  <c r="I2831" i="8"/>
  <c r="I2097" i="8"/>
  <c r="I2300" i="8"/>
  <c r="I3167" i="8"/>
  <c r="I1106" i="8"/>
  <c r="I1962" i="8"/>
  <c r="I1917" i="8"/>
  <c r="I1460" i="8"/>
  <c r="I1854" i="8"/>
  <c r="I2544" i="8"/>
  <c r="I2545" i="8"/>
  <c r="I3466" i="8"/>
  <c r="I3471" i="8"/>
  <c r="I2951" i="8"/>
  <c r="I1224" i="8"/>
  <c r="I2549" i="8"/>
  <c r="I552" i="8"/>
  <c r="I1964" i="8"/>
  <c r="I2206" i="8"/>
  <c r="I2080" i="8"/>
  <c r="I2306" i="8"/>
  <c r="I2836" i="8"/>
  <c r="I2550" i="8"/>
  <c r="I2551" i="8"/>
  <c r="I3620" i="8"/>
  <c r="I3284" i="8"/>
  <c r="I1965" i="8"/>
  <c r="I3236" i="8"/>
  <c r="I2839" i="8"/>
  <c r="I3289" i="8"/>
  <c r="I2872" i="8"/>
  <c r="I1996" i="8"/>
  <c r="I2842" i="8"/>
  <c r="I1016" i="8"/>
  <c r="I1107" i="8"/>
  <c r="I2553" i="8"/>
  <c r="I1856" i="8"/>
  <c r="I1370" i="8"/>
  <c r="I2843" i="8"/>
  <c r="I3622" i="8"/>
  <c r="I1309" i="8"/>
  <c r="I1194" i="8"/>
  <c r="I3269" i="8"/>
  <c r="I2555" i="8"/>
  <c r="I1937" i="8"/>
  <c r="I1561" i="8"/>
  <c r="I1939" i="8"/>
  <c r="I1198" i="8"/>
  <c r="I704" i="8"/>
  <c r="I3094" i="8"/>
  <c r="I2344" i="8"/>
  <c r="I1580" i="8"/>
  <c r="I2347" i="8"/>
  <c r="I1589" i="8"/>
  <c r="I2558" i="8"/>
  <c r="I1866" i="8"/>
  <c r="I2352" i="8"/>
  <c r="I2037" i="8"/>
  <c r="I1372" i="8"/>
  <c r="I1534" i="8"/>
  <c r="I1855" i="8"/>
  <c r="I2561" i="8"/>
  <c r="I2103" i="8"/>
  <c r="I3590" i="8"/>
  <c r="I1868" i="8"/>
  <c r="I2565" i="8"/>
  <c r="I2107" i="8"/>
  <c r="I1379" i="8"/>
  <c r="I1974" i="8"/>
  <c r="I1529" i="8"/>
  <c r="I1871" i="8"/>
  <c r="I1873" i="8"/>
  <c r="I1099" i="8"/>
  <c r="I1199" i="8"/>
  <c r="I2845" i="8"/>
  <c r="I2846" i="8"/>
  <c r="I1975" i="8"/>
  <c r="I1108" i="8"/>
  <c r="I1560" i="8"/>
  <c r="I1878" i="8"/>
  <c r="I1943" i="8"/>
  <c r="I1026" i="8"/>
  <c r="I1595" i="8"/>
  <c r="I1978" i="8"/>
  <c r="I2847" i="8"/>
  <c r="I2848" i="8"/>
  <c r="I1979" i="8"/>
  <c r="I1533" i="8"/>
  <c r="I705" i="8"/>
  <c r="I1575" i="8"/>
  <c r="I2211" i="8"/>
  <c r="I2108" i="8"/>
  <c r="I1201" i="8"/>
  <c r="I986" i="8"/>
  <c r="I1471" i="8"/>
  <c r="I1862" i="8"/>
  <c r="I1888" i="8"/>
  <c r="I874" i="8"/>
  <c r="I1380" i="8"/>
  <c r="I1493" i="8"/>
  <c r="I1906" i="8"/>
  <c r="I2575" i="8"/>
  <c r="I1948" i="8"/>
  <c r="I2311" i="8"/>
  <c r="I3380" i="8"/>
  <c r="I1502" i="8"/>
  <c r="I706" i="8"/>
  <c r="I1227" i="8"/>
  <c r="I1030" i="8"/>
  <c r="I3376" i="8"/>
  <c r="I1536" i="8"/>
  <c r="I2578" i="8"/>
  <c r="I1389" i="8"/>
  <c r="I1987" i="8"/>
  <c r="I2851" i="8"/>
  <c r="I1988" i="8"/>
  <c r="I1070" i="8"/>
  <c r="I1537" i="8"/>
  <c r="I1538" i="8"/>
  <c r="I2889" i="8"/>
  <c r="I2580" i="8"/>
  <c r="I1109" i="8"/>
  <c r="I1950" i="8"/>
  <c r="I3362" i="8"/>
  <c r="I1912" i="8"/>
  <c r="I3475" i="8"/>
  <c r="I1230" i="8"/>
  <c r="I1914" i="8"/>
  <c r="I1506" i="8"/>
  <c r="I1863" i="8"/>
  <c r="I522" i="8"/>
  <c r="I1315" i="8"/>
  <c r="I1928" i="8"/>
  <c r="I2852" i="8"/>
  <c r="I842" i="8"/>
  <c r="I3447" i="8"/>
  <c r="I2853" i="8"/>
  <c r="I2111" i="8"/>
  <c r="I1111" i="8"/>
  <c r="I852" i="8"/>
  <c r="I876" i="8"/>
  <c r="I1113" i="8"/>
  <c r="I497" i="8"/>
  <c r="I880" i="8"/>
  <c r="I1507" i="8"/>
  <c r="I1992" i="8"/>
  <c r="I2312" i="8"/>
  <c r="I2217" i="8"/>
  <c r="I688" i="8"/>
  <c r="I887" i="8"/>
  <c r="I3407" i="8"/>
  <c r="I1543" i="8"/>
  <c r="I1117" i="8"/>
  <c r="I858" i="8"/>
  <c r="I1951" i="8"/>
  <c r="I1867" i="8"/>
  <c r="I1993" i="8"/>
  <c r="I3270" i="8"/>
  <c r="I1994" i="8"/>
  <c r="I2007" i="8"/>
  <c r="I2324" i="8"/>
  <c r="I1316" i="8"/>
  <c r="I2858" i="8"/>
  <c r="I1600" i="8"/>
  <c r="I860" i="8"/>
  <c r="I2859" i="8"/>
  <c r="I1511" i="8"/>
  <c r="I2860" i="8"/>
  <c r="I3392" i="8"/>
  <c r="I2589" i="8"/>
  <c r="I1034" i="8"/>
  <c r="I2792" i="8"/>
  <c r="I1545" i="8"/>
  <c r="I1392" i="8"/>
  <c r="I1546" i="8"/>
  <c r="I1231" i="8"/>
  <c r="I1953" i="8"/>
  <c r="I1235" i="8"/>
  <c r="I3243" i="8"/>
  <c r="I1118" i="8"/>
  <c r="I109" i="8"/>
  <c r="I142" i="8"/>
  <c r="I1875" i="8"/>
  <c r="I3382" i="8"/>
  <c r="I1576" i="8"/>
  <c r="I3571" i="8"/>
  <c r="I2000" i="8"/>
  <c r="I1239" i="8"/>
  <c r="I1551" i="8"/>
  <c r="I3075" i="8"/>
  <c r="I2595" i="8"/>
  <c r="I1035" i="8"/>
  <c r="I2001" i="8"/>
  <c r="I1594" i="8"/>
  <c r="I1072" i="8"/>
  <c r="I1601" i="8"/>
  <c r="I1115" i="8"/>
  <c r="I1040" i="8"/>
  <c r="I885" i="8"/>
  <c r="I1929" i="8"/>
  <c r="I2115" i="8"/>
  <c r="I1324" i="8"/>
  <c r="I1123" i="8"/>
  <c r="I2861" i="8"/>
  <c r="I3479" i="8"/>
  <c r="I709" i="8"/>
  <c r="I3117" i="8"/>
  <c r="I263" i="8"/>
  <c r="I2005" i="8"/>
  <c r="I1325" i="8"/>
  <c r="I528" i="8"/>
  <c r="I3484" i="8"/>
  <c r="I1517" i="8"/>
  <c r="I3385" i="8"/>
  <c r="I328" i="8"/>
  <c r="I1326" i="8"/>
  <c r="I1327" i="8"/>
  <c r="I2084" i="8"/>
  <c r="I1127" i="8"/>
  <c r="I1120" i="8"/>
  <c r="I1128" i="8"/>
  <c r="I2760" i="8"/>
  <c r="I2863" i="8"/>
  <c r="I2867" i="8"/>
  <c r="I1603" i="8"/>
  <c r="I586" i="8"/>
  <c r="I2011" i="8"/>
  <c r="I1556" i="8"/>
  <c r="I2012" i="8"/>
  <c r="I1522" i="8"/>
  <c r="I597" i="8"/>
  <c r="I2014" i="8"/>
  <c r="I436" i="8"/>
  <c r="I598" i="8"/>
  <c r="I1400" i="8"/>
  <c r="I896" i="8"/>
  <c r="I2016" i="8"/>
  <c r="I1329" i="8"/>
  <c r="I3591" i="8"/>
  <c r="I908" i="8"/>
  <c r="I1557" i="8"/>
  <c r="I2599" i="8"/>
  <c r="I2874" i="8"/>
  <c r="I1331" i="8"/>
  <c r="I2018" i="8"/>
  <c r="I1960" i="8"/>
  <c r="I2783" i="8"/>
  <c r="I1140" i="8"/>
  <c r="I2601" i="8"/>
  <c r="I3237" i="8"/>
  <c r="I2602" i="8"/>
  <c r="I1966" i="8"/>
  <c r="I3503" i="8"/>
  <c r="I501" i="8"/>
  <c r="I2019" i="8"/>
  <c r="I1240" i="8"/>
  <c r="I1562" i="8"/>
  <c r="I1119" i="8"/>
  <c r="I1152" i="8"/>
  <c r="I1411" i="8"/>
  <c r="I1154" i="8"/>
  <c r="I1566" i="8"/>
  <c r="I1155" i="8"/>
  <c r="I2883" i="8"/>
  <c r="I1568" i="8"/>
  <c r="I1617" i="8"/>
  <c r="I1569" i="8"/>
  <c r="I1043" i="8"/>
  <c r="I1413" i="8"/>
  <c r="I3394" i="8"/>
  <c r="I3415" i="8"/>
  <c r="I861" i="8"/>
  <c r="I1418" i="8"/>
  <c r="I2967" i="8"/>
  <c r="I1121" i="8"/>
  <c r="I1573" i="8"/>
  <c r="I1574" i="8"/>
  <c r="I3505" i="8"/>
  <c r="I2025" i="8"/>
  <c r="I1220" i="8"/>
  <c r="I1577" i="8"/>
  <c r="I1578" i="8"/>
  <c r="I3468" i="8"/>
  <c r="I505" i="8"/>
  <c r="I3363" i="8"/>
  <c r="I1579" i="8"/>
  <c r="I1972" i="8"/>
  <c r="I2026" i="8"/>
  <c r="I531" i="8"/>
  <c r="I1124" i="8"/>
  <c r="I1246" i="8"/>
  <c r="I533" i="8"/>
  <c r="I2936" i="8"/>
  <c r="I3255" i="8"/>
  <c r="I1976" i="8"/>
  <c r="I621" i="8"/>
  <c r="I143" i="8"/>
  <c r="I1160" i="8"/>
  <c r="I2776" i="8"/>
  <c r="I3073" i="8"/>
  <c r="I2117" i="8"/>
  <c r="I1931" i="8"/>
  <c r="I868" i="8"/>
  <c r="I691" i="8"/>
  <c r="I1876" i="8"/>
  <c r="I708" i="8"/>
  <c r="I2609" i="8"/>
  <c r="I906" i="8"/>
  <c r="I1130" i="8"/>
  <c r="I2129" i="8"/>
  <c r="I1131" i="8"/>
  <c r="I1624" i="8"/>
  <c r="I1604" i="8"/>
  <c r="I1530" i="8"/>
  <c r="I2611" i="8"/>
  <c r="I2133" i="8"/>
  <c r="I1582" i="8"/>
  <c r="I2030" i="8"/>
  <c r="I2613" i="8"/>
  <c r="I1606" i="8"/>
  <c r="I3288" i="8"/>
  <c r="I1613" i="8"/>
  <c r="I1078" i="8"/>
  <c r="I1583" i="8"/>
  <c r="I2823" i="8"/>
  <c r="I2035" i="8"/>
  <c r="I2036" i="8"/>
  <c r="I1539" i="8"/>
  <c r="I1584" i="8"/>
  <c r="I1585" i="8"/>
  <c r="I3427" i="8"/>
  <c r="I1339" i="8"/>
  <c r="I1132" i="8"/>
  <c r="I1587" i="8"/>
  <c r="I1588" i="8"/>
  <c r="I3258" i="8"/>
  <c r="I1632" i="8"/>
  <c r="I1638" i="8"/>
  <c r="I1257" i="8"/>
  <c r="I1168" i="8"/>
  <c r="I248" i="8"/>
  <c r="I1341" i="8"/>
  <c r="I989" i="8"/>
  <c r="I1591" i="8"/>
  <c r="I1592" i="8"/>
  <c r="I1122" i="8"/>
  <c r="I916" i="8"/>
  <c r="I1133" i="8"/>
  <c r="I2759" i="8"/>
  <c r="I1421" i="8"/>
  <c r="I2041" i="8"/>
  <c r="I2135" i="8"/>
  <c r="I1344" i="8"/>
  <c r="I2042" i="8"/>
  <c r="I1541" i="8"/>
  <c r="I1879" i="8"/>
  <c r="I2044" i="8"/>
  <c r="I1633" i="8"/>
  <c r="I3542" i="8"/>
  <c r="I2047" i="8"/>
  <c r="I1221" i="8"/>
  <c r="I1260" i="8"/>
  <c r="I1126" i="8"/>
  <c r="I1345" i="8"/>
  <c r="I3196" i="8"/>
  <c r="I1050" i="8"/>
  <c r="I330" i="8"/>
  <c r="I2723" i="8"/>
  <c r="I2048" i="8"/>
  <c r="I1597" i="8"/>
  <c r="I2999" i="8"/>
  <c r="I550" i="8"/>
  <c r="I1348" i="8"/>
  <c r="I721" i="8"/>
  <c r="I2050" i="8"/>
  <c r="I1598" i="8"/>
  <c r="I3470" i="8"/>
  <c r="I626" i="8"/>
  <c r="I3200" i="8"/>
  <c r="I1599" i="8"/>
  <c r="I2051" i="8"/>
  <c r="I1266" i="8"/>
  <c r="I637" i="8"/>
  <c r="I1270" i="8"/>
  <c r="I1602" i="8"/>
  <c r="I1351" i="8"/>
  <c r="I639" i="8"/>
  <c r="I4" i="8"/>
  <c r="I1424" i="8"/>
  <c r="I871" i="8"/>
  <c r="I2053" i="8"/>
  <c r="I1640" i="8"/>
  <c r="I1274" i="8"/>
  <c r="I1641" i="8"/>
  <c r="I641" i="8"/>
  <c r="I1643" i="8"/>
  <c r="I1225" i="8"/>
  <c r="I2057" i="8"/>
  <c r="I1438" i="8"/>
  <c r="I1439" i="8"/>
  <c r="I1134" i="8"/>
  <c r="I1234" i="8"/>
  <c r="I2789" i="8"/>
  <c r="I1440" i="8"/>
  <c r="I1608" i="8"/>
  <c r="I1609" i="8"/>
  <c r="I921" i="8"/>
  <c r="I1141" i="8"/>
  <c r="I726" i="8"/>
  <c r="I1441" i="8"/>
  <c r="I3251" i="8"/>
  <c r="I1611" i="8"/>
  <c r="I1353" i="8"/>
  <c r="I933" i="8"/>
  <c r="I2063" i="8"/>
  <c r="I1442" i="8"/>
  <c r="I939" i="8"/>
  <c r="I1356" i="8"/>
  <c r="I3434" i="8"/>
  <c r="I1446" i="8"/>
  <c r="I1651" i="8"/>
  <c r="I1245" i="8"/>
  <c r="I2067" i="8"/>
  <c r="I1650" i="8"/>
  <c r="I273" i="8"/>
  <c r="I727" i="8"/>
  <c r="I1654" i="8"/>
  <c r="I1357" i="8"/>
  <c r="I1153" i="8"/>
  <c r="I1157" i="8"/>
  <c r="I3136" i="8"/>
  <c r="I1448" i="8"/>
  <c r="I1163" i="8"/>
  <c r="I2071" i="8"/>
  <c r="I2072" i="8"/>
  <c r="I1278" i="8"/>
  <c r="I3544" i="8"/>
  <c r="I2074" i="8"/>
  <c r="I3176" i="8"/>
  <c r="I1618" i="8"/>
  <c r="I2828" i="8"/>
  <c r="I1619" i="8"/>
  <c r="I3314" i="8"/>
  <c r="I2793" i="8"/>
  <c r="I1358" i="8"/>
  <c r="I1169" i="8"/>
  <c r="I1170" i="8"/>
  <c r="I1284" i="8"/>
  <c r="I3244" i="8"/>
  <c r="I1360" i="8"/>
  <c r="I1625" i="8"/>
  <c r="I2937" i="8"/>
  <c r="I1177" i="8"/>
  <c r="I512" i="8"/>
  <c r="I1179" i="8"/>
  <c r="I1549" i="8"/>
  <c r="I1628" i="8"/>
  <c r="I991" i="8"/>
  <c r="I1083" i="8"/>
  <c r="I556" i="8"/>
  <c r="I1629" i="8"/>
  <c r="I1655" i="8"/>
  <c r="I3104" i="8"/>
  <c r="I1180" i="8"/>
  <c r="I1631" i="8"/>
  <c r="I3111" i="8"/>
  <c r="I1256" i="8"/>
  <c r="I1272" i="8"/>
  <c r="I907" i="8"/>
  <c r="I3183" i="8"/>
  <c r="I1634" i="8"/>
  <c r="I553" i="8"/>
  <c r="I1635" i="8"/>
  <c r="I1636" i="8"/>
  <c r="I1637" i="8"/>
  <c r="I1364" i="8"/>
  <c r="I1287" i="8"/>
  <c r="I1174" i="8"/>
  <c r="I1288" i="8"/>
  <c r="I1296" i="8"/>
  <c r="I918" i="8"/>
  <c r="I923" i="8"/>
  <c r="I1642" i="8"/>
  <c r="I1449" i="8"/>
  <c r="I1306" i="8"/>
  <c r="I1662" i="8"/>
  <c r="I1183" i="8"/>
  <c r="I1365" i="8"/>
  <c r="I1092" i="8"/>
  <c r="I1463" i="8"/>
  <c r="I1666" i="8"/>
  <c r="I1367" i="8"/>
  <c r="I714" i="8"/>
  <c r="I1368" i="8"/>
  <c r="I1659" i="8"/>
  <c r="I1558" i="8"/>
  <c r="I1464" i="8"/>
  <c r="I1660" i="8"/>
  <c r="I1667" i="8"/>
  <c r="I1472" i="8"/>
  <c r="I1563" i="8"/>
  <c r="I1055" i="8"/>
  <c r="I1645" i="8"/>
  <c r="I2089" i="8"/>
  <c r="I3491" i="8"/>
  <c r="I941" i="8"/>
  <c r="I1572" i="8"/>
  <c r="I1482" i="8"/>
  <c r="I873" i="8"/>
  <c r="I1371" i="8"/>
  <c r="I1487" i="8"/>
  <c r="I1196" i="8"/>
  <c r="I1142" i="8"/>
  <c r="I1647" i="8"/>
  <c r="I952" i="8"/>
  <c r="I999" i="8"/>
  <c r="I1648" i="8"/>
  <c r="I1374" i="8"/>
  <c r="I3322" i="8"/>
  <c r="I2094" i="8"/>
  <c r="I2095" i="8"/>
  <c r="I2096" i="8"/>
  <c r="I1143" i="8"/>
  <c r="I889" i="8"/>
  <c r="I1663" i="8"/>
  <c r="I3254" i="8"/>
  <c r="I1499" i="8"/>
  <c r="I1273" i="8"/>
  <c r="I1003" i="8"/>
  <c r="I5" i="8"/>
  <c r="I6" i="8"/>
  <c r="I285" i="8"/>
  <c r="I1503" i="8"/>
  <c r="I895" i="8"/>
  <c r="I267" i="8"/>
  <c r="I1307" i="8"/>
  <c r="I1652" i="8"/>
  <c r="I3329" i="8"/>
  <c r="I114" i="8"/>
  <c r="I1377" i="8"/>
  <c r="I1378" i="8"/>
  <c r="I925" i="8"/>
  <c r="I2100" i="8"/>
  <c r="I3211" i="8"/>
  <c r="I2101" i="8"/>
  <c r="I2102" i="8"/>
  <c r="I955" i="8"/>
  <c r="I1668" i="8"/>
  <c r="I2104" i="8"/>
  <c r="I1147" i="8"/>
  <c r="I2105" i="8"/>
  <c r="I2806" i="8"/>
  <c r="I1656" i="8"/>
  <c r="I1509" i="8"/>
  <c r="I1148" i="8"/>
  <c r="I1686" i="8"/>
  <c r="I3194" i="8"/>
  <c r="I1657" i="8"/>
  <c r="I1185" i="8"/>
  <c r="I967" i="8"/>
  <c r="I1314" i="8"/>
  <c r="I1319" i="8"/>
  <c r="I1661" i="8"/>
  <c r="I1689" i="8"/>
  <c r="I1514" i="8"/>
  <c r="I1289" i="8"/>
  <c r="I1321" i="8"/>
  <c r="I1187" i="8"/>
  <c r="I7" i="8"/>
  <c r="I1100" i="8"/>
  <c r="I2795" i="8"/>
  <c r="I555" i="8"/>
  <c r="I8" i="8"/>
  <c r="I1295" i="8"/>
  <c r="I1382" i="8"/>
  <c r="I2902" i="8"/>
  <c r="I1299" i="8"/>
  <c r="I3274" i="8"/>
  <c r="I734" i="8"/>
  <c r="I1690" i="8"/>
  <c r="I735" i="8"/>
  <c r="I1669" i="8"/>
  <c r="I3445" i="8"/>
  <c r="I1671" i="8"/>
  <c r="I736" i="8"/>
  <c r="I9" i="8"/>
  <c r="I658" i="8"/>
  <c r="I3198" i="8"/>
  <c r="I438" i="8"/>
  <c r="I1532" i="8"/>
  <c r="I2780" i="8"/>
  <c r="I1593" i="8"/>
  <c r="I1672" i="8"/>
  <c r="I334" i="8"/>
  <c r="I1188" i="8"/>
  <c r="I10" i="8"/>
  <c r="I3547" i="8"/>
  <c r="I3291" i="8"/>
  <c r="I2116" i="8"/>
  <c r="I2832" i="8"/>
  <c r="I554" i="8"/>
  <c r="I446" i="8"/>
  <c r="I738" i="8"/>
  <c r="I3386" i="8"/>
  <c r="I1383" i="8"/>
  <c r="I1542" i="8"/>
  <c r="I2906" i="8"/>
  <c r="I1059" i="8"/>
  <c r="I659" i="8"/>
  <c r="I1061" i="8"/>
  <c r="I1112" i="8"/>
  <c r="I515" i="8"/>
  <c r="I1004" i="8"/>
  <c r="I1066" i="8"/>
  <c r="I1679" i="8"/>
  <c r="I2122" i="8"/>
  <c r="I2123" i="8"/>
  <c r="I1552" i="8"/>
  <c r="I975" i="8"/>
  <c r="I1596" i="8"/>
  <c r="I2126" i="8"/>
  <c r="I2779" i="8"/>
  <c r="I1076" i="8"/>
  <c r="I1200" i="8"/>
  <c r="I2127" i="8"/>
  <c r="I2128" i="8"/>
  <c r="I3305" i="8"/>
  <c r="I1211" i="8"/>
  <c r="I2130" i="8"/>
  <c r="I982" i="8"/>
  <c r="I1197" i="8"/>
  <c r="I2131" i="8"/>
  <c r="I2132" i="8"/>
  <c r="I561" i="8"/>
  <c r="I271" i="8"/>
  <c r="I272" i="8"/>
  <c r="I742" i="8"/>
  <c r="I743" i="8"/>
  <c r="I744" i="8"/>
  <c r="I2835" i="8"/>
  <c r="I1202" i="8"/>
  <c r="I1553" i="8"/>
  <c r="I1700" i="8"/>
  <c r="I3332" i="8"/>
  <c r="I1703" i="8"/>
  <c r="I1554" i="8"/>
  <c r="I1704" i="8"/>
  <c r="I1682" i="8"/>
  <c r="I2140" i="8"/>
  <c r="I2141" i="8"/>
  <c r="I2920" i="8"/>
  <c r="I3506" i="8"/>
  <c r="I1714" i="8"/>
  <c r="I1725" i="8"/>
  <c r="I1680" i="8"/>
  <c r="I1010" i="8"/>
  <c r="I1681" i="8"/>
  <c r="I1300" i="8"/>
  <c r="I1301" i="8"/>
  <c r="I2678" i="8"/>
  <c r="I3280" i="8"/>
  <c r="I3282" i="8"/>
  <c r="I3215" i="8"/>
  <c r="I3261" i="8"/>
  <c r="I715" i="8"/>
  <c r="I1011" i="8"/>
  <c r="I1302" i="8"/>
  <c r="I1685" i="8"/>
  <c r="I747" i="8"/>
  <c r="I728" i="8"/>
  <c r="I1332" i="8"/>
  <c r="I338" i="8"/>
  <c r="I1687" i="8"/>
  <c r="I2705" i="8"/>
  <c r="I2873" i="8"/>
  <c r="I3118" i="8"/>
  <c r="I1215" i="8"/>
  <c r="I568" i="8"/>
  <c r="I1156" i="8"/>
  <c r="I1338" i="8"/>
  <c r="I1359" i="8"/>
  <c r="I1305" i="8"/>
  <c r="I1308" i="8"/>
  <c r="I1310" i="8"/>
  <c r="I1222" i="8"/>
  <c r="I2766" i="8"/>
  <c r="I1313" i="8"/>
  <c r="I3390" i="8"/>
  <c r="I1605" i="8"/>
  <c r="I1607" i="8"/>
  <c r="I1610" i="8"/>
  <c r="I274" i="8"/>
  <c r="I1158" i="8"/>
  <c r="I278" i="8"/>
  <c r="I2148" i="8"/>
  <c r="I2149" i="8"/>
  <c r="I282" i="8"/>
  <c r="I662" i="8"/>
  <c r="I1555" i="8"/>
  <c r="I1728" i="8"/>
  <c r="I2152" i="8"/>
  <c r="I1559" i="8"/>
  <c r="I1159" i="8"/>
  <c r="I740" i="8"/>
  <c r="I1683" i="8"/>
  <c r="I2155" i="8"/>
  <c r="I1396" i="8"/>
  <c r="I2156" i="8"/>
  <c r="I3446" i="8"/>
  <c r="I1614" i="8"/>
  <c r="I2158" i="8"/>
  <c r="I2159" i="8"/>
  <c r="I1564" i="8"/>
  <c r="I898" i="8"/>
  <c r="I1730" i="8"/>
  <c r="I2162" i="8"/>
  <c r="I3551" i="8"/>
  <c r="I1734" i="8"/>
  <c r="I1014" i="8"/>
  <c r="I2165" i="8"/>
  <c r="I1615" i="8"/>
  <c r="I1684" i="8"/>
  <c r="I2978" i="8"/>
  <c r="I2168" i="8"/>
  <c r="I367" i="8"/>
  <c r="I11" i="8"/>
  <c r="I1691" i="8"/>
  <c r="I927" i="8"/>
  <c r="I875" i="8"/>
  <c r="I288" i="8"/>
  <c r="I1698" i="8"/>
  <c r="I1616" i="8"/>
  <c r="I1164" i="8"/>
  <c r="I3199" i="8"/>
  <c r="I3203" i="8"/>
  <c r="I2171" i="8"/>
  <c r="I2172" i="8"/>
  <c r="I467" i="8"/>
  <c r="I1699" i="8"/>
  <c r="I1620" i="8"/>
  <c r="I1167" i="8"/>
  <c r="I2174" i="8"/>
  <c r="I1363" i="8"/>
  <c r="I2931" i="8"/>
  <c r="I878" i="8"/>
  <c r="I752" i="8"/>
  <c r="I745" i="8"/>
  <c r="I1233" i="8"/>
  <c r="I753" i="8"/>
  <c r="I754" i="8"/>
  <c r="I558" i="8"/>
  <c r="I3393" i="8"/>
  <c r="I1318" i="8"/>
  <c r="I1366" i="8"/>
  <c r="I1736" i="8"/>
  <c r="I12" i="8"/>
  <c r="I1375" i="8"/>
  <c r="I1565" i="8"/>
  <c r="I1705" i="8"/>
  <c r="I1621" i="8"/>
  <c r="I1217" i="8"/>
  <c r="I1707" i="8"/>
  <c r="I525" i="8"/>
  <c r="I1622" i="8"/>
  <c r="I283" i="8"/>
  <c r="I1708" i="8"/>
  <c r="I1320" i="8"/>
  <c r="I437" i="8"/>
  <c r="I1114" i="8"/>
  <c r="I1322" i="8"/>
  <c r="I13" i="8"/>
  <c r="I1033" i="8"/>
  <c r="I1711" i="8"/>
  <c r="I14" i="8"/>
  <c r="I3398" i="8"/>
  <c r="I2180" i="8"/>
  <c r="I15" i="8"/>
  <c r="I468" i="8"/>
  <c r="I2437" i="8"/>
  <c r="I562" i="8"/>
  <c r="I757" i="8"/>
  <c r="I3513" i="8"/>
  <c r="I2981" i="8"/>
  <c r="I1567" i="8"/>
  <c r="I1036" i="8"/>
  <c r="I1570" i="8"/>
  <c r="I2183" i="8"/>
  <c r="I368" i="8"/>
  <c r="I570" i="8"/>
  <c r="I1742" i="8"/>
  <c r="I1402" i="8"/>
  <c r="I2185" i="8"/>
  <c r="I759" i="8"/>
  <c r="I1038" i="8"/>
  <c r="I1404" i="8"/>
  <c r="I2186" i="8"/>
  <c r="I2187" i="8"/>
  <c r="I2809" i="8"/>
  <c r="I3437" i="8"/>
  <c r="I761" i="8"/>
  <c r="I1236" i="8"/>
  <c r="I1228" i="8"/>
  <c r="I1405" i="8"/>
  <c r="I1406" i="8"/>
  <c r="I3395" i="8"/>
  <c r="I2189" i="8"/>
  <c r="I1047" i="8"/>
  <c r="I1571" i="8"/>
  <c r="I1241" i="8"/>
  <c r="I1718" i="8"/>
  <c r="I1719" i="8"/>
  <c r="I459" i="8"/>
  <c r="I1720" i="8"/>
  <c r="I1333" i="8"/>
  <c r="I1722" i="8"/>
  <c r="I1335" i="8"/>
  <c r="I1238" i="8"/>
  <c r="I1048" i="8"/>
  <c r="I1171" i="8"/>
  <c r="I1172" i="8"/>
  <c r="I1084" i="8"/>
  <c r="I1381" i="8"/>
  <c r="I929" i="8"/>
  <c r="I526" i="8"/>
  <c r="I763" i="8"/>
  <c r="I746" i="8"/>
  <c r="I1726" i="8"/>
  <c r="I3156" i="8"/>
  <c r="I899" i="8"/>
  <c r="I668" i="8"/>
  <c r="I670" i="8"/>
  <c r="I286" i="8"/>
  <c r="I917" i="8"/>
  <c r="I249" i="8"/>
  <c r="I1116" i="8"/>
  <c r="I1692" i="8"/>
  <c r="I882" i="8"/>
  <c r="I119" i="8"/>
  <c r="I2913" i="8"/>
  <c r="I1727" i="8"/>
  <c r="I1743" i="8"/>
  <c r="I1693" i="8"/>
  <c r="I988" i="8"/>
  <c r="I294" i="8"/>
  <c r="I2195" i="8"/>
  <c r="I2196" i="8"/>
  <c r="I3495" i="8"/>
  <c r="I3312" i="8"/>
  <c r="I2199" i="8"/>
  <c r="I3276" i="8"/>
  <c r="I2200" i="8"/>
  <c r="I1178" i="8"/>
  <c r="I883" i="8"/>
  <c r="I1626" i="8"/>
  <c r="I888" i="8"/>
  <c r="I2202" i="8"/>
  <c r="I1386" i="8"/>
  <c r="I1627" i="8"/>
  <c r="I1581" i="8"/>
  <c r="I998" i="8"/>
  <c r="I2205" i="8"/>
  <c r="I16" i="8"/>
  <c r="I529" i="8"/>
  <c r="I919" i="8"/>
  <c r="I1414" i="8"/>
  <c r="I1695" i="8"/>
  <c r="I1415" i="8"/>
  <c r="I922" i="8"/>
  <c r="I148" i="8"/>
  <c r="I749" i="8"/>
  <c r="I1729" i="8"/>
  <c r="I1398" i="8"/>
  <c r="I1745" i="8"/>
  <c r="I1184" i="8"/>
  <c r="I1630" i="8"/>
  <c r="I755" i="8"/>
  <c r="I563" i="8"/>
  <c r="I289" i="8"/>
  <c r="I672" i="8"/>
  <c r="I1646" i="8"/>
  <c r="I1242" i="8"/>
  <c r="I1732" i="8"/>
  <c r="I3170" i="8"/>
  <c r="I1186" i="8"/>
  <c r="I113" i="8"/>
  <c r="I770" i="8"/>
  <c r="I1733" i="8"/>
  <c r="I771" i="8"/>
  <c r="I772" i="8"/>
  <c r="I2210" i="8"/>
  <c r="I1410" i="8"/>
  <c r="I1244" i="8"/>
  <c r="I773" i="8"/>
  <c r="I1702" i="8"/>
  <c r="I2914" i="8"/>
  <c r="I3285" i="8"/>
  <c r="I3515" i="8"/>
  <c r="I1416" i="8"/>
  <c r="I3157" i="8"/>
  <c r="I3317" i="8"/>
  <c r="I2214" i="8"/>
  <c r="I2875" i="8"/>
  <c r="I675" i="8"/>
  <c r="I1417" i="8"/>
  <c r="I3402" i="8"/>
  <c r="I3497" i="8"/>
  <c r="I3521" i="8"/>
  <c r="I2796" i="8"/>
  <c r="I2216" i="8"/>
  <c r="I1420" i="8"/>
  <c r="I1709" i="8"/>
  <c r="I1000" i="8"/>
  <c r="I762" i="8"/>
  <c r="I2702" i="8"/>
  <c r="I572" i="8"/>
  <c r="I1125" i="8"/>
  <c r="I679" i="8"/>
  <c r="I1346" i="8"/>
  <c r="I1649" i="8"/>
  <c r="I565" i="8"/>
  <c r="I779" i="8"/>
  <c r="I575" i="8"/>
  <c r="I781" i="8"/>
  <c r="I2219" i="8"/>
  <c r="I2781" i="8"/>
  <c r="I1009" i="8"/>
  <c r="I2220" i="8"/>
  <c r="I566" i="8"/>
  <c r="I1425" i="8"/>
  <c r="I567" i="8"/>
  <c r="I2984" i="8"/>
  <c r="I1144" i="8"/>
  <c r="I767" i="8"/>
  <c r="I694" i="8"/>
  <c r="I1249" i="8"/>
  <c r="I1427" i="8"/>
  <c r="I2221" i="8"/>
  <c r="I1586" i="8"/>
  <c r="I1189" i="8"/>
  <c r="I1419" i="8"/>
  <c r="I1422" i="8"/>
  <c r="I1085" i="8"/>
  <c r="I3333" i="8"/>
  <c r="I1429" i="8"/>
  <c r="I1426" i="8"/>
  <c r="I150" i="8"/>
  <c r="I1746" i="8"/>
  <c r="I701" i="8"/>
  <c r="I1747" i="8"/>
  <c r="I784" i="8"/>
  <c r="I931" i="8"/>
  <c r="I1191" i="8"/>
  <c r="I1430" i="8"/>
  <c r="I1436" i="8"/>
  <c r="I3225" i="8"/>
  <c r="I534" i="8"/>
  <c r="I786" i="8"/>
  <c r="I787" i="8"/>
  <c r="I1193" i="8"/>
  <c r="I3303" i="8"/>
  <c r="I789" i="8"/>
  <c r="I284" i="8"/>
  <c r="I1437" i="8"/>
  <c r="I349" i="8"/>
  <c r="I2223" i="8"/>
  <c r="I1431" i="8"/>
  <c r="I2224" i="8"/>
  <c r="I1432" i="8"/>
  <c r="I936" i="8"/>
  <c r="I571" i="8"/>
  <c r="I1195" i="8"/>
  <c r="I1433" i="8"/>
  <c r="I1653" i="8"/>
  <c r="I1748" i="8"/>
  <c r="I1710" i="8"/>
  <c r="I1590" i="8"/>
  <c r="I2229" i="8"/>
  <c r="I890" i="8"/>
  <c r="I897" i="8"/>
  <c r="I937" i="8"/>
  <c r="I1712" i="8"/>
  <c r="I588" i="8"/>
  <c r="I573" i="8"/>
  <c r="I2231" i="8"/>
  <c r="I1434" i="8"/>
  <c r="I793" i="8"/>
  <c r="I711" i="8"/>
  <c r="I3374" i="8"/>
  <c r="I1721" i="8"/>
  <c r="I377" i="8"/>
  <c r="I3381" i="8"/>
  <c r="I469" i="8"/>
  <c r="I381" i="8"/>
  <c r="I942" i="8"/>
  <c r="I535" i="8"/>
  <c r="I775" i="8"/>
  <c r="I1051" i="8"/>
  <c r="I135" i="8"/>
  <c r="I1750" i="8"/>
  <c r="I3456" i="8"/>
  <c r="I118" i="8"/>
  <c r="I909" i="8"/>
  <c r="I1243" i="8"/>
  <c r="I930" i="8"/>
  <c r="I474" i="8"/>
  <c r="I1347" i="8"/>
  <c r="I1204" i="8"/>
  <c r="I391" i="8"/>
  <c r="I1247" i="8"/>
  <c r="I3524" i="8"/>
  <c r="I1251" i="8"/>
  <c r="I476" i="8"/>
  <c r="I574" i="8"/>
  <c r="I124" i="8"/>
  <c r="I3096" i="8"/>
  <c r="I483" i="8"/>
  <c r="I3527" i="8"/>
  <c r="I2233" i="8"/>
  <c r="I1145" i="8"/>
  <c r="I2240" i="8"/>
  <c r="I1665" i="8"/>
  <c r="I3201" i="8"/>
  <c r="I3119" i="8"/>
  <c r="I1149" i="8"/>
  <c r="I2235" i="8"/>
  <c r="I17" i="8"/>
  <c r="I1612" i="8"/>
  <c r="I536" i="8"/>
  <c r="I2237" i="8"/>
  <c r="I3483" i="8"/>
  <c r="I141" i="8"/>
  <c r="I2694" i="8"/>
  <c r="I1012" i="8"/>
  <c r="I1205" i="8"/>
  <c r="I3122" i="8"/>
  <c r="I18" i="8"/>
  <c r="I3140" i="8"/>
  <c r="I1021" i="8"/>
  <c r="I712" i="8"/>
  <c r="I589" i="8"/>
  <c r="I576" i="8"/>
  <c r="I800" i="8"/>
  <c r="I1024" i="8"/>
  <c r="I1037" i="8"/>
  <c r="I1757" i="8"/>
  <c r="I3405" i="8"/>
  <c r="I3256" i="8"/>
  <c r="I3083" i="8"/>
  <c r="I1110" i="8"/>
  <c r="I2801" i="8"/>
  <c r="I3240" i="8"/>
  <c r="I3213" i="8"/>
  <c r="I2943" i="8"/>
  <c r="I1206" i="8"/>
  <c r="I308" i="8"/>
  <c r="I3159" i="8"/>
  <c r="I547" i="8"/>
  <c r="I1250" i="8"/>
  <c r="I1129" i="8"/>
  <c r="I2440" i="8"/>
  <c r="I1052" i="8"/>
  <c r="I1054" i="8"/>
  <c r="I1207" i="8"/>
  <c r="I1053" i="8"/>
  <c r="I1135" i="8"/>
  <c r="I1208" i="8"/>
  <c r="I3087" i="8"/>
  <c r="I713" i="8"/>
  <c r="I804" i="8"/>
  <c r="I1452" i="8"/>
  <c r="I3160" i="8"/>
  <c r="I806" i="8"/>
  <c r="I1209" i="8"/>
  <c r="I1210" i="8"/>
  <c r="I1150" i="8"/>
  <c r="I807" i="8"/>
  <c r="I785" i="8"/>
  <c r="I3114" i="8"/>
  <c r="I718" i="8"/>
  <c r="I580" i="8"/>
  <c r="I3125" i="8"/>
  <c r="I1212" i="8"/>
  <c r="I132" i="8"/>
  <c r="I1213" i="8"/>
  <c r="I1214" i="8"/>
  <c r="I126" i="8"/>
  <c r="I722" i="8"/>
  <c r="I2429" i="8"/>
  <c r="I811" i="8"/>
  <c r="I1151" i="8"/>
  <c r="I913" i="8"/>
  <c r="I1136" i="8"/>
  <c r="I932" i="8"/>
  <c r="I291" i="8"/>
  <c r="I788" i="8"/>
  <c r="I934" i="8"/>
  <c r="I812" i="8"/>
  <c r="I1219" i="8"/>
  <c r="I3188" i="8"/>
  <c r="I960" i="8"/>
  <c r="I3115" i="8"/>
  <c r="I3307" i="8"/>
  <c r="I3319" i="8"/>
  <c r="I926" i="8"/>
  <c r="I2712" i="8"/>
  <c r="I292" i="8"/>
  <c r="I3044" i="8"/>
  <c r="I3048" i="8"/>
  <c r="I159" i="8"/>
  <c r="I3399" i="8"/>
  <c r="I817" i="8"/>
  <c r="I1223" i="8"/>
  <c r="I965" i="8"/>
  <c r="I160" i="8"/>
  <c r="I961" i="8"/>
  <c r="I3088" i="8"/>
  <c r="I1226" i="8"/>
  <c r="I972" i="8"/>
  <c r="I581" i="8"/>
  <c r="I818" i="8"/>
  <c r="I582" i="8"/>
  <c r="I795" i="8"/>
  <c r="I1229" i="8"/>
  <c r="I819" i="8"/>
  <c r="I162" i="8"/>
  <c r="I985" i="8"/>
  <c r="I990" i="8"/>
  <c r="I163" i="8"/>
  <c r="I149" i="8"/>
  <c r="I250" i="8"/>
  <c r="I19" i="8"/>
  <c r="I287" i="8"/>
  <c r="I1760" i="8"/>
  <c r="I131" i="8"/>
  <c r="I587" i="8"/>
  <c r="I1456" i="8"/>
  <c r="I3480" i="8"/>
  <c r="I1137" i="8"/>
  <c r="I1058" i="8"/>
  <c r="I299" i="8"/>
  <c r="I20" i="8"/>
  <c r="I821" i="8"/>
  <c r="I1082" i="8"/>
  <c r="I583" i="8"/>
  <c r="I300" i="8"/>
  <c r="I3098" i="8"/>
  <c r="I21" i="8"/>
  <c r="I22" i="8"/>
  <c r="I23" i="8"/>
  <c r="I2805" i="8"/>
  <c r="I1232" i="8"/>
  <c r="I935" i="8"/>
  <c r="I963" i="8"/>
  <c r="I822" i="8"/>
  <c r="I439" i="8"/>
  <c r="I592" i="8"/>
  <c r="I1462" i="8"/>
  <c r="I824" i="8"/>
  <c r="I825" i="8"/>
  <c r="I593" i="8"/>
  <c r="I1062" i="8"/>
  <c r="I551" i="8"/>
  <c r="I828" i="8"/>
  <c r="I3127" i="8"/>
  <c r="I1064" i="8"/>
  <c r="I1465" i="8"/>
  <c r="I3321" i="8"/>
  <c r="I3121" i="8"/>
  <c r="I594" i="8"/>
  <c r="I2715" i="8"/>
  <c r="I585" i="8"/>
  <c r="I723" i="8"/>
  <c r="I724" i="8"/>
  <c r="I129" i="8"/>
  <c r="I1466" i="8"/>
  <c r="I1467" i="8"/>
  <c r="I835" i="8"/>
  <c r="I473" i="8"/>
  <c r="I485" i="8"/>
  <c r="I2730" i="8"/>
  <c r="I837" i="8"/>
  <c r="I603" i="8"/>
  <c r="I2784" i="8"/>
  <c r="I839" i="8"/>
  <c r="I725" i="8"/>
  <c r="I1138" i="8"/>
  <c r="I1469" i="8"/>
  <c r="I1161" i="8"/>
  <c r="I945" i="8"/>
  <c r="I311" i="8"/>
  <c r="I1086" i="8"/>
  <c r="I1237" i="8"/>
  <c r="I1071" i="8"/>
  <c r="I946" i="8"/>
  <c r="I1006" i="8"/>
  <c r="I1473" i="8"/>
  <c r="I290" i="8"/>
  <c r="I1013" i="8"/>
  <c r="I395" i="8"/>
  <c r="I595" i="8"/>
  <c r="I1165" i="8"/>
  <c r="I797" i="8"/>
  <c r="I312" i="8"/>
  <c r="I3099" i="8"/>
  <c r="I599" i="8"/>
  <c r="I843" i="8"/>
  <c r="I1475" i="8"/>
  <c r="I802" i="8"/>
  <c r="I3128" i="8"/>
  <c r="I1476" i="8"/>
  <c r="I3181" i="8"/>
  <c r="I1166" i="8"/>
  <c r="I168" i="8"/>
  <c r="I169" i="8"/>
  <c r="I730" i="8"/>
  <c r="I953" i="8"/>
  <c r="I814" i="8"/>
  <c r="I170" i="8"/>
  <c r="I559" i="8"/>
  <c r="I846" i="8"/>
  <c r="I964" i="8"/>
  <c r="I847" i="8"/>
  <c r="I130" i="8"/>
  <c r="I1019" i="8"/>
  <c r="I3246" i="8"/>
  <c r="I848" i="8"/>
  <c r="I849" i="8"/>
  <c r="I293" i="8"/>
  <c r="I254" i="8"/>
  <c r="I1248" i="8"/>
  <c r="I1139" i="8"/>
  <c r="I2787" i="8"/>
  <c r="I604" i="8"/>
  <c r="I578" i="8"/>
  <c r="I3375" i="8"/>
  <c r="I3377" i="8"/>
  <c r="I2770" i="8"/>
  <c r="I2933" i="8"/>
  <c r="I1253" i="8"/>
  <c r="I1254" i="8"/>
  <c r="I1255" i="8"/>
  <c r="I3171" i="8"/>
  <c r="I731" i="8"/>
  <c r="I854" i="8"/>
  <c r="I1175" i="8"/>
  <c r="I969" i="8"/>
  <c r="I855" i="8"/>
  <c r="I3126" i="8"/>
  <c r="I857" i="8"/>
  <c r="I600" i="8"/>
  <c r="I1020" i="8"/>
  <c r="I584" i="8"/>
  <c r="I612" i="8"/>
  <c r="I956" i="8"/>
  <c r="I618" i="8"/>
  <c r="I1259" i="8"/>
  <c r="I613" i="8"/>
  <c r="I2788" i="8"/>
  <c r="I136" i="8"/>
  <c r="I151" i="8"/>
  <c r="I1025" i="8"/>
  <c r="I372" i="8"/>
  <c r="I138" i="8"/>
  <c r="I373" i="8"/>
  <c r="I3123" i="8"/>
  <c r="I316" i="8"/>
  <c r="I957" i="8"/>
  <c r="I962" i="8"/>
  <c r="I2772" i="8"/>
  <c r="I815" i="8"/>
  <c r="I1265" i="8"/>
  <c r="I133" i="8"/>
  <c r="I376" i="8"/>
  <c r="I1031" i="8"/>
  <c r="I827" i="8"/>
  <c r="I403" i="8"/>
  <c r="I737" i="8"/>
  <c r="I829" i="8"/>
  <c r="I1269" i="8"/>
  <c r="I1039" i="8"/>
  <c r="I845" i="8"/>
  <c r="I971" i="8"/>
  <c r="I590" i="8"/>
  <c r="I176" i="8"/>
  <c r="I145" i="8"/>
  <c r="I3462" i="8"/>
  <c r="I605" i="8"/>
  <c r="I147" i="8"/>
  <c r="I3234" i="8"/>
  <c r="I179" i="8"/>
  <c r="I180" i="8"/>
  <c r="I24" i="8"/>
  <c r="I305" i="8"/>
  <c r="I865" i="8"/>
  <c r="I139" i="8"/>
  <c r="I591" i="8"/>
  <c r="I2995" i="8"/>
  <c r="I1176" i="8"/>
  <c r="I325" i="8"/>
  <c r="I866" i="8"/>
  <c r="I867" i="8"/>
  <c r="I261" i="8"/>
  <c r="I25" i="8"/>
  <c r="I2683" i="8"/>
  <c r="I182" i="8"/>
  <c r="I331" i="8"/>
  <c r="I306" i="8"/>
  <c r="I1481" i="8"/>
  <c r="I3043" i="8"/>
  <c r="I262" i="8"/>
  <c r="I1073" i="8"/>
  <c r="I383" i="8"/>
  <c r="I1483" i="8"/>
  <c r="I302" i="8"/>
  <c r="I974" i="8"/>
  <c r="I1484" i="8"/>
  <c r="I27" i="8"/>
  <c r="I413" i="8"/>
  <c r="I1146" i="8"/>
  <c r="I623" i="8"/>
  <c r="I1276" i="8"/>
  <c r="I303" i="8"/>
  <c r="I739" i="8"/>
  <c r="I3130" i="8"/>
  <c r="I486" i="8"/>
  <c r="I2439" i="8"/>
  <c r="I2739" i="8"/>
  <c r="I3143" i="8"/>
  <c r="I625" i="8"/>
  <c r="I2885" i="8"/>
  <c r="I420" i="8"/>
  <c r="I628" i="8"/>
  <c r="I386" i="8"/>
  <c r="I748" i="8"/>
  <c r="I140" i="8"/>
  <c r="I423" i="8"/>
  <c r="I877" i="8"/>
  <c r="I629" i="8"/>
  <c r="I3045" i="8"/>
  <c r="I596" i="8"/>
  <c r="I615" i="8"/>
  <c r="I751" i="8"/>
  <c r="I630" i="8"/>
  <c r="I3192" i="8"/>
  <c r="I2744" i="8"/>
  <c r="I387" i="8"/>
  <c r="I633" i="8"/>
  <c r="I607" i="8"/>
  <c r="I886" i="8"/>
  <c r="I3108" i="8"/>
  <c r="I765" i="8"/>
  <c r="I643" i="8"/>
  <c r="I977" i="8"/>
  <c r="I766" i="8"/>
  <c r="I644" i="8"/>
  <c r="I891" i="8"/>
  <c r="I2790" i="8"/>
  <c r="I892" i="8"/>
  <c r="I634" i="8"/>
  <c r="I1279" i="8"/>
  <c r="I266" i="8"/>
  <c r="I894" i="8"/>
  <c r="I768" i="8"/>
  <c r="I3327" i="8"/>
  <c r="I981" i="8"/>
  <c r="I1281" i="8"/>
  <c r="I851" i="8"/>
  <c r="I1283" i="8"/>
  <c r="I651" i="8"/>
  <c r="I3172" i="8"/>
  <c r="I2765" i="8"/>
  <c r="I154" i="8"/>
  <c r="I479" i="8"/>
  <c r="I2716" i="8"/>
  <c r="I270" i="8"/>
  <c r="I1041" i="8"/>
  <c r="I390" i="8"/>
  <c r="I155" i="8"/>
  <c r="I2243" i="8"/>
  <c r="I900" i="8"/>
  <c r="I2460" i="8"/>
  <c r="I3105" i="8"/>
  <c r="I315" i="8"/>
  <c r="I190" i="8"/>
  <c r="I901" i="8"/>
  <c r="I638" i="8"/>
  <c r="I903" i="8"/>
  <c r="I1285" i="8"/>
  <c r="I144" i="8"/>
  <c r="I647" i="8"/>
  <c r="I905" i="8"/>
  <c r="I648" i="8"/>
  <c r="I146" i="8"/>
  <c r="I167" i="8"/>
  <c r="I393" i="8"/>
  <c r="I3208" i="8"/>
  <c r="I175" i="8"/>
  <c r="I1286" i="8"/>
  <c r="I650" i="8"/>
  <c r="I1044" i="8"/>
  <c r="I608" i="8"/>
  <c r="I3110" i="8"/>
  <c r="I656" i="8"/>
  <c r="I396" i="8"/>
  <c r="I1045" i="8"/>
  <c r="I973" i="8"/>
  <c r="I910" i="8"/>
  <c r="I911" i="8"/>
  <c r="I484" i="8"/>
  <c r="I426" i="8"/>
  <c r="I3132" i="8"/>
  <c r="I912" i="8"/>
  <c r="I657" i="8"/>
  <c r="I398" i="8"/>
  <c r="I914" i="8"/>
  <c r="I983" i="8"/>
  <c r="I915" i="8"/>
  <c r="I2886" i="8"/>
  <c r="I776" i="8"/>
  <c r="I652" i="8"/>
  <c r="I3383" i="8"/>
  <c r="I778" i="8"/>
  <c r="I920" i="8"/>
  <c r="I317" i="8"/>
  <c r="I279" i="8"/>
  <c r="I195" i="8"/>
  <c r="I319" i="8"/>
  <c r="I402" i="8"/>
  <c r="I28" i="8"/>
  <c r="I29" i="8"/>
  <c r="I307" i="8"/>
  <c r="I404" i="8"/>
  <c r="I295" i="8"/>
  <c r="I30" i="8"/>
  <c r="I177" i="8"/>
  <c r="I31" i="8"/>
  <c r="I610" i="8"/>
  <c r="I432" i="8"/>
  <c r="I782" i="8"/>
  <c r="I655" i="8"/>
  <c r="I924" i="8"/>
  <c r="I660" i="8"/>
  <c r="I682" i="8"/>
  <c r="I665" i="8"/>
  <c r="I187" i="8"/>
  <c r="I928" i="8"/>
  <c r="I681" i="8"/>
  <c r="I32" i="8"/>
  <c r="I198" i="8"/>
  <c r="I783" i="8"/>
  <c r="I684" i="8"/>
  <c r="I156" i="8"/>
  <c r="I3182" i="8"/>
  <c r="I2461" i="8"/>
  <c r="I332" i="8"/>
  <c r="I33" i="8"/>
  <c r="I3050" i="8"/>
  <c r="I329" i="8"/>
  <c r="I408" i="8"/>
  <c r="I794" i="8"/>
  <c r="I3210" i="8"/>
  <c r="I3218" i="8"/>
  <c r="I2636" i="8"/>
  <c r="I2462" i="8"/>
  <c r="I611" i="8"/>
  <c r="I798" i="8"/>
  <c r="I3193" i="8"/>
  <c r="I686" i="8"/>
  <c r="I2246" i="8"/>
  <c r="I3653" i="8"/>
  <c r="I34" i="8"/>
  <c r="I3221" i="8"/>
  <c r="I3660" i="8"/>
  <c r="I3004" i="8"/>
  <c r="I412" i="8"/>
  <c r="I693" i="8"/>
  <c r="I3249" i="8"/>
  <c r="I2608" i="8"/>
  <c r="I309" i="8"/>
  <c r="I1293" i="8"/>
  <c r="I938" i="8"/>
  <c r="I3331" i="8"/>
  <c r="I601" i="8"/>
  <c r="I940" i="8"/>
  <c r="I2912" i="8"/>
  <c r="I703" i="8"/>
  <c r="I602" i="8"/>
  <c r="I2464" i="8"/>
  <c r="I345" i="8"/>
  <c r="I943" i="8"/>
  <c r="I488" i="8"/>
  <c r="I3139" i="8"/>
  <c r="I203" i="8"/>
  <c r="I353" i="8"/>
  <c r="I944" i="8"/>
  <c r="I685" i="8"/>
  <c r="I189" i="8"/>
  <c r="I205" i="8"/>
  <c r="I206" i="8"/>
  <c r="I157" i="8"/>
  <c r="I326" i="8"/>
  <c r="I417" i="8"/>
  <c r="I3195" i="8"/>
  <c r="I3241" i="8"/>
  <c r="I947" i="8"/>
  <c r="I208" i="8"/>
  <c r="I2225" i="8"/>
  <c r="I948" i="8"/>
  <c r="I949" i="8"/>
  <c r="I342" i="8"/>
  <c r="I950" i="8"/>
  <c r="I419" i="8"/>
  <c r="I2472" i="8"/>
  <c r="I164" i="8"/>
  <c r="I310" i="8"/>
  <c r="I951" i="8"/>
  <c r="I344" i="8"/>
  <c r="I614" i="8"/>
  <c r="I3142" i="8"/>
  <c r="I687" i="8"/>
  <c r="I954" i="8"/>
  <c r="I347" i="8"/>
  <c r="I158" i="8"/>
  <c r="I2703" i="8"/>
  <c r="I359" i="8"/>
  <c r="I606" i="8"/>
  <c r="I3334" i="8"/>
  <c r="I689" i="8"/>
  <c r="I152" i="8"/>
  <c r="I695" i="8"/>
  <c r="I3053" i="8"/>
  <c r="I369" i="8"/>
  <c r="I2441" i="8"/>
  <c r="I2646" i="8"/>
  <c r="I313" i="8"/>
  <c r="I958" i="8"/>
  <c r="I3144" i="8"/>
  <c r="I427" i="8"/>
  <c r="I428" i="8"/>
  <c r="I429" i="8"/>
  <c r="I370" i="8"/>
  <c r="I346" i="8"/>
  <c r="I2234" i="8"/>
  <c r="I2475" i="8"/>
  <c r="I2248" i="8"/>
  <c r="I959" i="8"/>
  <c r="I3148" i="8"/>
  <c r="I3149" i="8"/>
  <c r="I3150" i="8"/>
  <c r="I2256" i="8"/>
  <c r="I3152" i="8"/>
  <c r="I2264" i="8"/>
  <c r="I2266" i="8"/>
  <c r="I732" i="8"/>
  <c r="I733" i="8"/>
  <c r="I697" i="8"/>
  <c r="I2707" i="8"/>
  <c r="I756" i="8"/>
  <c r="I3161" i="8"/>
  <c r="I803" i="8"/>
  <c r="I2826" i="8"/>
  <c r="I355" i="8"/>
  <c r="I966" i="8"/>
  <c r="I619" i="8"/>
  <c r="I968" i="8"/>
  <c r="I440" i="8"/>
  <c r="I609" i="8"/>
  <c r="I760" i="8"/>
  <c r="I434" i="8"/>
  <c r="I442" i="8"/>
  <c r="I193" i="8"/>
  <c r="I35" i="8"/>
  <c r="I970" i="8"/>
  <c r="I3065" i="8"/>
  <c r="I215" i="8"/>
  <c r="I764" i="8"/>
  <c r="I3223" i="8"/>
  <c r="I3229" i="8"/>
  <c r="I3359" i="8"/>
  <c r="I350" i="8"/>
  <c r="I445" i="8"/>
  <c r="I194" i="8"/>
  <c r="I38" i="8"/>
  <c r="I2800" i="8"/>
  <c r="I371" i="8"/>
  <c r="I173" i="8"/>
  <c r="I3364" i="8"/>
  <c r="I218" i="8"/>
  <c r="I40" i="8"/>
  <c r="I808" i="8"/>
  <c r="I774" i="8"/>
  <c r="I698" i="8"/>
  <c r="I620" i="8"/>
  <c r="I976" i="8"/>
  <c r="I3202" i="8"/>
  <c r="I790" i="8"/>
  <c r="I166" i="8"/>
  <c r="I979" i="8"/>
  <c r="I321" i="8"/>
  <c r="I980" i="8"/>
  <c r="I3155" i="8"/>
  <c r="I441" i="8"/>
  <c r="I196" i="8"/>
  <c r="I2745" i="8"/>
  <c r="I183" i="8"/>
  <c r="I41" i="8"/>
  <c r="I379" i="8"/>
  <c r="I3340" i="8"/>
  <c r="I443" i="8"/>
  <c r="I2478" i="8"/>
  <c r="I3656" i="8"/>
  <c r="I702" i="8"/>
  <c r="I984" i="8"/>
  <c r="I356" i="8"/>
  <c r="I810" i="8"/>
  <c r="I3158" i="8"/>
  <c r="I3294" i="8"/>
  <c r="I495" i="8"/>
  <c r="I37" i="8"/>
  <c r="I707" i="8"/>
  <c r="I449" i="8"/>
  <c r="I987" i="8"/>
  <c r="I498" i="8"/>
  <c r="I622" i="8"/>
  <c r="I2481" i="8"/>
  <c r="I2502" i="8"/>
  <c r="I710" i="8"/>
  <c r="I813" i="8"/>
  <c r="I3205" i="8"/>
  <c r="I992" i="8"/>
  <c r="I43" i="8"/>
  <c r="I382" i="8"/>
  <c r="I351" i="8"/>
  <c r="I792" i="8"/>
  <c r="I447" i="8"/>
  <c r="I322" i="8"/>
  <c r="I796" i="8"/>
  <c r="I388" i="8"/>
  <c r="I197" i="8"/>
  <c r="I364" i="8"/>
  <c r="I801" i="8"/>
  <c r="I805" i="8"/>
  <c r="I809" i="8"/>
  <c r="I3344" i="8"/>
  <c r="I451" i="8"/>
  <c r="I2747" i="8"/>
  <c r="I2915" i="8"/>
  <c r="I1001" i="8"/>
  <c r="I323" i="8"/>
  <c r="I153" i="8"/>
  <c r="I1002" i="8"/>
  <c r="I616" i="8"/>
  <c r="I617" i="8"/>
  <c r="I716" i="8"/>
  <c r="I3162" i="8"/>
  <c r="I3231" i="8"/>
  <c r="I3670" i="8"/>
  <c r="I717" i="8"/>
  <c r="I327" i="8"/>
  <c r="I1005" i="8"/>
  <c r="I2505" i="8"/>
  <c r="I3671" i="8"/>
  <c r="I3120" i="8"/>
  <c r="I816" i="8"/>
  <c r="I455" i="8"/>
  <c r="I1007" i="8"/>
  <c r="I448" i="8"/>
  <c r="I1008" i="8"/>
  <c r="I2261" i="8"/>
  <c r="I171" i="8"/>
  <c r="I624" i="8"/>
  <c r="I3372" i="8"/>
  <c r="I719" i="8"/>
  <c r="I3059" i="8"/>
  <c r="I227" i="8"/>
  <c r="I2757" i="8"/>
  <c r="I333" i="8"/>
  <c r="I3168" i="8"/>
  <c r="I627" i="8"/>
  <c r="I389" i="8"/>
  <c r="I2271" i="8"/>
  <c r="I335" i="8"/>
  <c r="I830" i="8"/>
  <c r="I3604" i="8"/>
  <c r="I354" i="8"/>
  <c r="I720" i="8"/>
  <c r="I3005" i="8"/>
  <c r="I1015" i="8"/>
  <c r="I2443" i="8"/>
  <c r="I3173" i="8"/>
  <c r="I820" i="8"/>
  <c r="I3174" i="8"/>
  <c r="I1017" i="8"/>
  <c r="I2281" i="8"/>
  <c r="I2773" i="8"/>
  <c r="I1018" i="8"/>
  <c r="I832" i="8"/>
  <c r="I394" i="8"/>
  <c r="I833" i="8"/>
  <c r="I2516" i="8"/>
  <c r="I366" i="8"/>
  <c r="I462" i="8"/>
  <c r="I640" i="8"/>
  <c r="I375" i="8"/>
  <c r="I1022" i="8"/>
  <c r="I3177" i="8"/>
  <c r="I2282" i="8"/>
  <c r="I3512" i="8"/>
  <c r="I44" i="8"/>
  <c r="I400" i="8"/>
  <c r="I36" i="8"/>
  <c r="I3676" i="8"/>
  <c r="I229" i="8"/>
  <c r="I200" i="8"/>
  <c r="I3678" i="8"/>
  <c r="I45" i="8"/>
  <c r="I1023" i="8"/>
  <c r="I204" i="8"/>
  <c r="I3124" i="8"/>
  <c r="I214" i="8"/>
  <c r="I46" i="8"/>
  <c r="I233" i="8"/>
  <c r="I3242" i="8"/>
  <c r="I174" i="8"/>
  <c r="I3266" i="8"/>
  <c r="I465" i="8"/>
  <c r="I3350" i="8"/>
  <c r="I2725" i="8"/>
  <c r="I826" i="8"/>
  <c r="I178" i="8"/>
  <c r="I3102" i="8"/>
  <c r="I1027" i="8"/>
  <c r="I2834" i="8"/>
  <c r="I452" i="8"/>
  <c r="I453" i="8"/>
  <c r="I454" i="8"/>
  <c r="I48" i="8"/>
  <c r="I3129" i="8"/>
  <c r="I490" i="8"/>
  <c r="I47" i="8"/>
  <c r="I50" i="8"/>
  <c r="I39" i="8"/>
  <c r="I457" i="8"/>
  <c r="I2648" i="8"/>
  <c r="I237" i="8"/>
  <c r="I52" i="8"/>
  <c r="I199" i="8"/>
  <c r="I53" i="8"/>
  <c r="I1028" i="8"/>
  <c r="I1029" i="8"/>
  <c r="I2521" i="8"/>
  <c r="I2291" i="8"/>
  <c r="I3185" i="8"/>
  <c r="I456" i="8"/>
  <c r="I3438" i="8"/>
  <c r="I378" i="8"/>
  <c r="I834" i="8"/>
  <c r="I1032" i="8"/>
  <c r="I729" i="8"/>
  <c r="I3442" i="8"/>
  <c r="I42" i="8"/>
  <c r="I216" i="8"/>
  <c r="I185" i="8"/>
  <c r="I458" i="8"/>
  <c r="I3414" i="8"/>
  <c r="I631" i="8"/>
  <c r="I632" i="8"/>
  <c r="I3417" i="8"/>
  <c r="I2447" i="8"/>
  <c r="I188" i="8"/>
  <c r="I242" i="8"/>
  <c r="I838" i="8"/>
  <c r="I26" i="8"/>
  <c r="I3187" i="8"/>
  <c r="I380" i="8"/>
  <c r="I741" i="8"/>
  <c r="I2525" i="8"/>
  <c r="I645" i="8"/>
  <c r="I3184" i="8"/>
  <c r="I406" i="8"/>
  <c r="I504" i="8"/>
  <c r="I3368" i="8"/>
  <c r="I470" i="8"/>
  <c r="I750" i="8"/>
  <c r="I2708" i="8"/>
  <c r="I472" i="8"/>
  <c r="I220" i="8"/>
  <c r="I3178" i="8"/>
  <c r="I3189" i="8"/>
  <c r="I201" i="8"/>
  <c r="I635" i="8"/>
  <c r="I209" i="8"/>
  <c r="I636" i="8"/>
  <c r="I3179" i="8"/>
  <c r="I3164" i="8"/>
  <c r="I418" i="8"/>
  <c r="I357" i="8"/>
  <c r="I336" i="8"/>
  <c r="I3180" i="8"/>
  <c r="I202" i="8"/>
  <c r="I222" i="8"/>
  <c r="I228" i="8"/>
  <c r="I3133" i="8"/>
  <c r="I2749" i="8"/>
  <c r="I477" i="8"/>
  <c r="I478" i="8"/>
  <c r="I1042" i="8"/>
  <c r="I3079" i="8"/>
  <c r="I480" i="8"/>
  <c r="I850" i="8"/>
  <c r="I3042" i="8"/>
  <c r="I840" i="8"/>
  <c r="I499" i="8"/>
  <c r="I514" i="8"/>
  <c r="I230" i="8"/>
  <c r="I844" i="8"/>
  <c r="I3190" i="8"/>
  <c r="I3191" i="8"/>
  <c r="I2263" i="8"/>
  <c r="I3008" i="8"/>
  <c r="I2458" i="8"/>
  <c r="I2279" i="8"/>
  <c r="I1046" i="8"/>
  <c r="I481" i="8"/>
  <c r="I758" i="8"/>
  <c r="I207" i="8"/>
  <c r="I337" i="8"/>
  <c r="I503" i="8"/>
  <c r="I769" i="8"/>
  <c r="I3659" i="8"/>
  <c r="I1049" i="8"/>
  <c r="I862" i="8"/>
  <c r="I252" i="8"/>
  <c r="I210" i="8"/>
  <c r="I777" i="8"/>
  <c r="I3197" i="8"/>
  <c r="I646" i="8"/>
  <c r="I231" i="8"/>
  <c r="I2465" i="8"/>
  <c r="I2467" i="8"/>
  <c r="I358" i="8"/>
  <c r="I2534" i="8"/>
  <c r="I2298" i="8"/>
  <c r="I2283" i="8"/>
  <c r="I3206" i="8"/>
  <c r="I2470" i="8"/>
  <c r="I3295" i="8"/>
  <c r="I2287" i="8"/>
  <c r="I649" i="8"/>
  <c r="I879" i="8"/>
  <c r="I1056" i="8"/>
  <c r="I431" i="8"/>
  <c r="I1057" i="8"/>
  <c r="I2320" i="8"/>
  <c r="I3207" i="8"/>
  <c r="I3131" i="8"/>
  <c r="I361" i="8"/>
  <c r="I460" i="8"/>
  <c r="I362" i="8"/>
  <c r="I405" i="8"/>
  <c r="I780" i="8"/>
  <c r="I374" i="8"/>
  <c r="I3443" i="8"/>
  <c r="I1060" i="8"/>
  <c r="I339" i="8"/>
  <c r="I511" i="8"/>
  <c r="I642" i="8"/>
  <c r="I881" i="8"/>
  <c r="I2720" i="8"/>
  <c r="I433" i="8"/>
  <c r="I466" i="8"/>
  <c r="I491" i="8"/>
  <c r="I3209" i="8"/>
  <c r="I661" i="8"/>
  <c r="I3271" i="8"/>
  <c r="I2302" i="8"/>
  <c r="I340" i="8"/>
  <c r="I3277" i="8"/>
  <c r="I2542" i="8"/>
  <c r="I493" i="8"/>
  <c r="I3049" i="8"/>
  <c r="I1063" i="8"/>
  <c r="I3353" i="8"/>
  <c r="I2323" i="8"/>
  <c r="I51" i="8"/>
  <c r="I3186" i="8"/>
  <c r="I518" i="8"/>
  <c r="I884" i="8"/>
  <c r="I341" i="8"/>
  <c r="I212" i="8"/>
  <c r="I1067" i="8"/>
  <c r="I2761" i="8"/>
  <c r="I54" i="8"/>
  <c r="I63" i="8"/>
  <c r="I2556" i="8"/>
  <c r="I523" i="8"/>
  <c r="I161" i="8"/>
  <c r="I257" i="8"/>
  <c r="I165" i="8"/>
  <c r="I3214" i="8"/>
  <c r="I2844" i="8"/>
  <c r="I853" i="8"/>
  <c r="I172" i="8"/>
  <c r="I2329" i="8"/>
  <c r="I3216" i="8"/>
  <c r="I2557" i="8"/>
  <c r="I384" i="8"/>
  <c r="I856" i="8"/>
  <c r="I2304" i="8"/>
  <c r="I530" i="8"/>
  <c r="I64" i="8"/>
  <c r="I57" i="8"/>
  <c r="I471" i="8"/>
  <c r="I664" i="8"/>
  <c r="I3219" i="8"/>
  <c r="I3220" i="8"/>
  <c r="I260" i="8"/>
  <c r="I232" i="8"/>
  <c r="I239" i="8"/>
  <c r="I3681" i="8"/>
  <c r="I2808" i="8"/>
  <c r="I2563" i="8"/>
  <c r="I3682" i="8"/>
  <c r="I3063" i="8"/>
  <c r="I181" i="8"/>
  <c r="I265" i="8"/>
  <c r="I2821" i="8"/>
  <c r="I385" i="8"/>
  <c r="I537" i="8"/>
  <c r="I3224" i="8"/>
  <c r="I58" i="8"/>
  <c r="I435" i="8"/>
  <c r="I343" i="8"/>
  <c r="I49" i="8"/>
  <c r="I653" i="8"/>
  <c r="I654" i="8"/>
  <c r="I2964" i="8"/>
  <c r="I3421" i="8"/>
  <c r="I407" i="8"/>
  <c r="I3226" i="8"/>
  <c r="I502" i="8"/>
  <c r="I2570" i="8"/>
  <c r="I3228" i="8"/>
  <c r="I2778" i="8"/>
  <c r="I444" i="8"/>
  <c r="I392" i="8"/>
  <c r="I2313" i="8"/>
  <c r="I3066" i="8"/>
  <c r="I2576" i="8"/>
  <c r="I475" i="8"/>
  <c r="I268" i="8"/>
  <c r="I482" i="8"/>
  <c r="I2685" i="8"/>
  <c r="I2786" i="8"/>
  <c r="I213" i="8"/>
  <c r="I2319" i="8"/>
  <c r="I2332" i="8"/>
  <c r="I3233" i="8"/>
  <c r="I2471" i="8"/>
  <c r="I409" i="8"/>
  <c r="I3235" i="8"/>
  <c r="I2581" i="8"/>
  <c r="I2482" i="8"/>
  <c r="I2343" i="8"/>
  <c r="I3239" i="8"/>
  <c r="I2357" i="8"/>
  <c r="I2360" i="8"/>
  <c r="I2367" i="8"/>
  <c r="I3665" i="8"/>
  <c r="I2495" i="8"/>
  <c r="I3245" i="8"/>
  <c r="I506" i="8"/>
  <c r="I3663" i="8"/>
  <c r="I219" i="8"/>
  <c r="I507" i="8"/>
  <c r="I538" i="8"/>
  <c r="I508" i="8"/>
  <c r="I3247" i="8"/>
  <c r="I509" i="8"/>
  <c r="I3248" i="8"/>
  <c r="I548" i="8"/>
  <c r="I3141" i="8"/>
  <c r="I510" i="8"/>
  <c r="I217" i="8"/>
  <c r="I3278" i="8"/>
  <c r="I3103" i="8"/>
  <c r="I450" i="8"/>
  <c r="I410" i="8"/>
  <c r="I224" i="8"/>
  <c r="I3672" i="8"/>
  <c r="I663" i="8"/>
  <c r="I348" i="8"/>
  <c r="I275" i="8"/>
  <c r="I397" i="8"/>
  <c r="I2862" i="8"/>
  <c r="I68" i="8"/>
  <c r="I276" i="8"/>
  <c r="I411" i="8"/>
  <c r="I277" i="8"/>
  <c r="I539" i="8"/>
  <c r="I3007" i="8"/>
  <c r="I55" i="8"/>
  <c r="I464" i="8"/>
  <c r="I3250" i="8"/>
  <c r="I2587" i="8"/>
  <c r="I487" i="8"/>
  <c r="I549" i="8"/>
  <c r="I669" i="8"/>
  <c r="I557" i="8"/>
  <c r="I496" i="8"/>
  <c r="I560" i="8"/>
  <c r="I3252" i="8"/>
  <c r="I673" i="8"/>
  <c r="I674" i="8"/>
  <c r="I564" i="8"/>
  <c r="I69" i="8"/>
  <c r="I3253" i="8"/>
  <c r="I676" i="8"/>
  <c r="I226" i="8"/>
  <c r="I2498" i="8"/>
  <c r="I2333" i="8"/>
  <c r="I2517" i="8"/>
  <c r="I70" i="8"/>
  <c r="I2590" i="8"/>
  <c r="I677" i="8"/>
  <c r="I243" i="8"/>
  <c r="I2341" i="8"/>
  <c r="I678" i="8"/>
  <c r="I56" i="8"/>
  <c r="I352" i="8"/>
  <c r="I569" i="8"/>
  <c r="I74" i="8"/>
  <c r="I67" i="8"/>
  <c r="I680" i="8"/>
  <c r="I280" i="8"/>
  <c r="I3259" i="8"/>
  <c r="I2598" i="8"/>
  <c r="I281" i="8"/>
  <c r="I2342" i="8"/>
  <c r="I3262" i="8"/>
  <c r="I2654" i="8"/>
  <c r="I234" i="8"/>
  <c r="I65" i="8"/>
  <c r="I235" i="8"/>
  <c r="I3047" i="8"/>
  <c r="I3263" i="8"/>
  <c r="I517" i="8"/>
  <c r="I3264" i="8"/>
  <c r="I59" i="8"/>
  <c r="I2600" i="8"/>
  <c r="I3116" i="8"/>
  <c r="I236" i="8"/>
  <c r="I3384" i="8"/>
  <c r="I71" i="8"/>
  <c r="I3135" i="8"/>
  <c r="I2965" i="8"/>
  <c r="I221" i="8"/>
  <c r="I3297" i="8"/>
  <c r="I184" i="8"/>
  <c r="I79" i="8"/>
  <c r="I519" i="8"/>
  <c r="I520" i="8"/>
  <c r="I521" i="8"/>
  <c r="I80" i="8"/>
  <c r="I66" i="8"/>
  <c r="I2518" i="8"/>
  <c r="I82" i="8"/>
  <c r="I2519" i="8"/>
  <c r="I3138" i="8"/>
  <c r="I399" i="8"/>
  <c r="I2380" i="8"/>
  <c r="I3272" i="8"/>
  <c r="I2603" i="8"/>
  <c r="I2520" i="8"/>
  <c r="I3275" i="8"/>
  <c r="I3680" i="8"/>
  <c r="I238" i="8"/>
  <c r="I2403" i="8"/>
  <c r="I2406" i="8"/>
  <c r="I2407" i="8"/>
  <c r="I186" i="8"/>
  <c r="I83" i="8"/>
  <c r="I2414" i="8"/>
  <c r="I191" i="8"/>
  <c r="I524" i="8"/>
  <c r="I2604" i="8"/>
  <c r="I2426" i="8"/>
  <c r="I3667" i="8"/>
  <c r="I2605" i="8"/>
  <c r="I414" i="8"/>
  <c r="I415" i="8"/>
  <c r="I2524" i="8"/>
  <c r="I2529" i="8"/>
  <c r="I2345" i="8"/>
  <c r="I2530" i="8"/>
  <c r="I2616" i="8"/>
  <c r="I2346" i="8"/>
  <c r="I3516" i="8"/>
  <c r="I2619" i="8"/>
  <c r="I3013" i="8"/>
  <c r="I2620" i="8"/>
  <c r="I2623" i="8"/>
  <c r="I3668" i="8"/>
  <c r="I3296" i="8"/>
  <c r="I527" i="8"/>
  <c r="I3300" i="8"/>
  <c r="I360" i="8"/>
  <c r="I424" i="8"/>
  <c r="I401" i="8"/>
  <c r="I363" i="8"/>
  <c r="I532" i="8"/>
  <c r="I365" i="8"/>
  <c r="I425" i="8"/>
  <c r="I85" i="8"/>
  <c r="I3076" i="8"/>
  <c r="I3232" i="8"/>
  <c r="I3238" i="8"/>
  <c r="I3298" i="8"/>
  <c r="I240" i="8"/>
  <c r="I244" i="8"/>
  <c r="I296" i="8"/>
  <c r="I86" i="8"/>
  <c r="I416" i="8"/>
  <c r="I2696" i="8"/>
  <c r="I421" i="8"/>
  <c r="I3299" i="8"/>
  <c r="I3304" i="8"/>
  <c r="I3301" i="8"/>
  <c r="I3302" i="8"/>
  <c r="I2428" i="8"/>
  <c r="I60" i="8"/>
  <c r="I61" i="8"/>
  <c r="I2624" i="8"/>
  <c r="I3546" i="8"/>
  <c r="I3306" i="8"/>
  <c r="I297" i="8"/>
  <c r="I3683" i="8"/>
  <c r="I89" i="8"/>
  <c r="I90" i="8"/>
  <c r="I91" i="8"/>
  <c r="I2349" i="8"/>
  <c r="I3309" i="8"/>
  <c r="I2628" i="8"/>
  <c r="I92" i="8"/>
  <c r="I72" i="8"/>
  <c r="I2635" i="8"/>
  <c r="I2538" i="8"/>
  <c r="I3313" i="8"/>
  <c r="I2354" i="8"/>
  <c r="I3315" i="8"/>
  <c r="I3316" i="8"/>
  <c r="I2539" i="8"/>
  <c r="I3318" i="8"/>
  <c r="I78" i="8"/>
  <c r="I95" i="8"/>
  <c r="I298" i="8"/>
  <c r="I2438" i="8"/>
  <c r="I96" i="8"/>
  <c r="I192" i="8"/>
  <c r="I3320" i="8"/>
  <c r="I2442" i="8"/>
  <c r="I2365" i="8"/>
  <c r="I3323" i="8"/>
  <c r="I2644" i="8"/>
  <c r="I75" i="8"/>
  <c r="I98" i="8"/>
  <c r="I211" i="8"/>
  <c r="I3036" i="8"/>
  <c r="I301" i="8"/>
  <c r="I223" i="8"/>
  <c r="I3325" i="8"/>
  <c r="I225" i="8"/>
  <c r="I3326" i="8"/>
  <c r="I304" i="8"/>
  <c r="I245" i="8"/>
  <c r="I2446" i="8"/>
  <c r="I2541" i="8"/>
  <c r="I3689" i="8"/>
  <c r="I3330" i="8"/>
  <c r="I247" i="8"/>
  <c r="I3684" i="8"/>
  <c r="I2656" i="8"/>
  <c r="I3015" i="8"/>
  <c r="I2368" i="8"/>
  <c r="I3137" i="8"/>
  <c r="I76" i="8"/>
  <c r="I3335" i="8"/>
  <c r="I3069" i="8"/>
  <c r="I3336" i="8"/>
  <c r="I2552" i="8"/>
  <c r="I2562" i="8"/>
  <c r="I2615" i="8"/>
  <c r="I2371" i="8"/>
  <c r="I2452" i="8"/>
  <c r="I241" i="8"/>
  <c r="I3082" i="8"/>
  <c r="I3086" i="8"/>
  <c r="I62" i="8"/>
  <c r="I2376" i="8"/>
  <c r="I104" i="8"/>
  <c r="I105" i="8"/>
  <c r="I3342" i="8"/>
  <c r="I3690" i="8"/>
  <c r="I2463" i="8"/>
  <c r="I3345" i="8"/>
  <c r="I3054" i="8"/>
  <c r="I2650" i="8"/>
  <c r="I3694" i="8"/>
  <c r="I3348" i="8"/>
  <c r="I3580" i="8"/>
  <c r="I246" i="8"/>
  <c r="I251" i="8"/>
  <c r="I3147" i="8"/>
  <c r="I3351" i="8"/>
  <c r="I73" i="8"/>
  <c r="I3352" i="8"/>
  <c r="I107" i="8"/>
  <c r="I108" i="8"/>
  <c r="I314" i="8"/>
  <c r="I2473" i="8"/>
  <c r="I2566" i="8"/>
  <c r="I2378" i="8"/>
  <c r="I2652" i="8"/>
  <c r="I3357" i="8"/>
  <c r="I2480" i="8"/>
  <c r="I2664" i="8"/>
  <c r="I84" i="8"/>
  <c r="I2571" i="8"/>
  <c r="I2381" i="8"/>
  <c r="I2485" i="8"/>
  <c r="I2493" i="8"/>
  <c r="I256" i="8"/>
  <c r="I2666" i="8"/>
  <c r="I2577" i="8"/>
  <c r="I2401" i="8"/>
  <c r="I77" i="8"/>
  <c r="I3367" i="8"/>
  <c r="I269" i="8"/>
  <c r="I258" i="8"/>
  <c r="I87" i="8"/>
  <c r="I81" i="8"/>
  <c r="I2670" i="8"/>
  <c r="I93" i="8"/>
  <c r="I318" i="8"/>
  <c r="I3369" i="8"/>
  <c r="I3370" i="8"/>
  <c r="I259" i="8"/>
  <c r="I2675" i="8"/>
  <c r="I320" i="8"/>
  <c r="I2677" i="8"/>
  <c r="I3373" i="8"/>
  <c r="I2684" i="8"/>
  <c r="I3151" i="8"/>
  <c r="I3695" i="8"/>
  <c r="I2496" i="8"/>
  <c r="I3378" i="8"/>
  <c r="I2658" i="8"/>
  <c r="I2579" i="8"/>
  <c r="I2586" i="8"/>
  <c r="I2691" i="8"/>
  <c r="I88" i="8"/>
  <c r="I253" i="8"/>
  <c r="I2592" i="8"/>
  <c r="I2500" i="8"/>
  <c r="I2697" i="8"/>
  <c r="I2411" i="8"/>
  <c r="I2415" i="8"/>
  <c r="I2597" i="8"/>
  <c r="I3595" i="8"/>
  <c r="I3389" i="8"/>
  <c r="I2416" i="8"/>
  <c r="I2970" i="8"/>
  <c r="I97" i="8"/>
  <c r="I99" i="8"/>
  <c r="I117" i="8"/>
  <c r="I3153" i="8"/>
  <c r="I3020" i="8"/>
  <c r="I101" i="8"/>
  <c r="I3038" i="8"/>
  <c r="I2504" i="8"/>
  <c r="I2421" i="8"/>
  <c r="I3396" i="8"/>
  <c r="I3669" i="8"/>
  <c r="I2508" i="8"/>
  <c r="I3673" i="8"/>
  <c r="I2606" i="8"/>
  <c r="I3401" i="8"/>
  <c r="I2510" i="8"/>
  <c r="I3403" i="8"/>
  <c r="I3404" i="8"/>
  <c r="I2511" i="8"/>
  <c r="I3406" i="8"/>
  <c r="I255" i="8"/>
  <c r="I2527" i="8"/>
  <c r="I2610" i="8"/>
  <c r="I120" i="8"/>
  <c r="I3409" i="8"/>
  <c r="I3410" i="8"/>
  <c r="I2423" i="8"/>
  <c r="I100" i="8"/>
  <c r="I3707" i="8"/>
  <c r="I122" i="8"/>
  <c r="I324" i="8"/>
  <c r="I123" i="8"/>
  <c r="I2612" i="8"/>
  <c r="I2698" i="8"/>
  <c r="I3064" i="8"/>
  <c r="I3687" i="8"/>
  <c r="I3416" i="8"/>
  <c r="I2704" i="8"/>
  <c r="I3418" i="8"/>
  <c r="I3419" i="8"/>
  <c r="I3420" i="8"/>
  <c r="I103" i="8"/>
  <c r="I2724" i="8"/>
  <c r="I112" i="8"/>
  <c r="I2431" i="8"/>
  <c r="I3423" i="8"/>
  <c r="I3424" i="8"/>
  <c r="I102" i="8"/>
  <c r="I121" i="8"/>
  <c r="I3425" i="8"/>
  <c r="I3426" i="8"/>
  <c r="I2532" i="8"/>
  <c r="I3428" i="8"/>
  <c r="I3429" i="8"/>
  <c r="I3430" i="8"/>
  <c r="I3431" i="8"/>
  <c r="I2449" i="8"/>
  <c r="I2450" i="8"/>
  <c r="I3154" i="8"/>
  <c r="I2614" i="8"/>
  <c r="I2459" i="8"/>
  <c r="I2734" i="8"/>
  <c r="I3674" i="8"/>
  <c r="I2466" i="8"/>
  <c r="I2618" i="8"/>
  <c r="I3441" i="8"/>
  <c r="I3310" i="8"/>
  <c r="I2736" i="8"/>
  <c r="I2637" i="8"/>
  <c r="I2554" i="8"/>
  <c r="I2559" i="8"/>
  <c r="I2762" i="8"/>
  <c r="I3448" i="8"/>
  <c r="I2564" i="8"/>
  <c r="I2567" i="8"/>
  <c r="I3451" i="8"/>
  <c r="I3452" i="8"/>
  <c r="I3453" i="8"/>
  <c r="I3710" i="8"/>
  <c r="I3455" i="8"/>
  <c r="I2768" i="8"/>
  <c r="I3692" i="8"/>
  <c r="I3458" i="8"/>
  <c r="I3459" i="8"/>
  <c r="I3163" i="8"/>
  <c r="I128" i="8"/>
  <c r="I3461" i="8"/>
  <c r="I2769" i="8"/>
  <c r="I115" i="8"/>
  <c r="I3021" i="8"/>
  <c r="I2642" i="8"/>
  <c r="I3465" i="8"/>
  <c r="I2469" i="8"/>
  <c r="I3467" i="8"/>
  <c r="I2771" i="8"/>
  <c r="I3469" i="8"/>
  <c r="I2797" i="8"/>
  <c r="I2477" i="8"/>
  <c r="I3472" i="8"/>
  <c r="I3473" i="8"/>
  <c r="I3621" i="8"/>
  <c r="I3165" i="8"/>
  <c r="I3476" i="8"/>
  <c r="I3477" i="8"/>
  <c r="I2647" i="8"/>
  <c r="I2568" i="8"/>
  <c r="I3704" i="8"/>
  <c r="I116" i="8"/>
  <c r="I106" i="8"/>
  <c r="I3481" i="8"/>
  <c r="I3482" i="8"/>
  <c r="I2663" i="8"/>
  <c r="I2569" i="8"/>
  <c r="I2798" i="8"/>
  <c r="I3486" i="8"/>
  <c r="I2479" i="8"/>
  <c r="I3488" i="8"/>
  <c r="I2484" i="8"/>
  <c r="I3490" i="8"/>
  <c r="I2573" i="8"/>
  <c r="I2488" i="8"/>
  <c r="I2799" i="8"/>
  <c r="I2490" i="8"/>
  <c r="I2574" i="8"/>
  <c r="I3496" i="8"/>
  <c r="I2582" i="8"/>
  <c r="I2499" i="8"/>
  <c r="I3499" i="8"/>
  <c r="I3725" i="8"/>
  <c r="I2503" i="8"/>
  <c r="I3502" i="8"/>
  <c r="I2803" i="8"/>
  <c r="I3504" i="8"/>
  <c r="I2804" i="8"/>
  <c r="I2830" i="8"/>
  <c r="I3507" i="8"/>
  <c r="I2512" i="8"/>
  <c r="I3509" i="8"/>
  <c r="I2523" i="8"/>
  <c r="I3511" i="8"/>
  <c r="I2667" i="8"/>
  <c r="I3711" i="8"/>
  <c r="I3514" i="8"/>
  <c r="I2833" i="8"/>
  <c r="I3677" i="8"/>
  <c r="I3517" i="8"/>
  <c r="I3034" i="8"/>
  <c r="I3519" i="8"/>
  <c r="I2526" i="8"/>
  <c r="I2837" i="8"/>
  <c r="I2583" i="8"/>
  <c r="I2533" i="8"/>
  <c r="I2838" i="8"/>
  <c r="I3525" i="8"/>
  <c r="I3526" i="8"/>
  <c r="I2840" i="8"/>
  <c r="I3714" i="8"/>
  <c r="I2849" i="8"/>
  <c r="I2855" i="8"/>
  <c r="I3531" i="8"/>
  <c r="I3532" i="8"/>
  <c r="I2585" i="8"/>
  <c r="I3534" i="8"/>
  <c r="I3535" i="8"/>
  <c r="I125" i="8"/>
  <c r="I127" i="8"/>
  <c r="I134" i="8"/>
  <c r="I2593" i="8"/>
  <c r="I2866" i="8"/>
  <c r="I94" i="8"/>
  <c r="I3538" i="8"/>
  <c r="I3539" i="8"/>
  <c r="I2882" i="8"/>
  <c r="I2884" i="8"/>
  <c r="I2891" i="8"/>
  <c r="I110" i="8"/>
  <c r="I3166" i="8"/>
  <c r="I2894" i="8"/>
  <c r="I3545" i="8"/>
  <c r="I2672" i="8"/>
  <c r="I3715" i="8"/>
  <c r="I2594" i="8"/>
  <c r="I3549" i="8"/>
  <c r="I3550" i="8"/>
  <c r="I3719" i="8"/>
  <c r="I3552" i="8"/>
  <c r="I3553" i="8"/>
  <c r="I2596" i="8"/>
  <c r="I3555" i="8"/>
  <c r="I3700" i="8"/>
  <c r="I3557" i="8"/>
  <c r="I3701" i="8"/>
  <c r="I3559" i="8"/>
  <c r="I3723" i="8"/>
  <c r="I3561" i="8"/>
  <c r="I3562" i="8"/>
  <c r="I3563" i="8"/>
  <c r="I3311" i="8"/>
  <c r="I3565" i="8"/>
  <c r="I2607" i="8"/>
  <c r="I2895" i="8"/>
  <c r="I3568" i="8"/>
  <c r="I3569" i="8"/>
  <c r="I3570" i="8"/>
  <c r="I2622" i="8"/>
  <c r="I3572" i="8"/>
  <c r="I3573" i="8"/>
  <c r="I2897" i="8"/>
  <c r="I3575" i="8"/>
  <c r="I3576" i="8"/>
  <c r="I3577" i="8"/>
  <c r="I3578" i="8"/>
  <c r="I2626" i="8"/>
  <c r="I2679" i="8"/>
  <c r="I3581" i="8"/>
  <c r="I3324" i="8"/>
  <c r="I3583" i="8"/>
  <c r="I3584" i="8"/>
  <c r="I3585" i="8"/>
  <c r="I2899" i="8"/>
  <c r="I2627" i="8"/>
  <c r="I3588" i="8"/>
  <c r="I2634" i="8"/>
  <c r="I2900" i="8"/>
  <c r="I2911" i="8"/>
  <c r="I3731" i="8"/>
  <c r="I3593" i="8"/>
  <c r="I2639" i="8"/>
  <c r="I2990" i="8"/>
  <c r="I3596" i="8"/>
  <c r="I3597" i="8"/>
  <c r="I3598" i="8"/>
  <c r="I3708" i="8"/>
  <c r="I3709" i="8"/>
  <c r="I3601" i="8"/>
  <c r="I2921" i="8"/>
  <c r="I3603" i="8"/>
  <c r="I2535" i="8"/>
  <c r="I3605" i="8"/>
  <c r="I2925" i="8"/>
  <c r="I3607" i="8"/>
  <c r="I3608" i="8"/>
  <c r="I2645" i="8"/>
  <c r="I3610" i="8"/>
  <c r="I2926" i="8"/>
  <c r="I3612" i="8"/>
  <c r="I3613" i="8"/>
  <c r="I2649" i="8"/>
  <c r="I3615" i="8"/>
  <c r="I3346" i="8"/>
  <c r="I3617" i="8"/>
  <c r="I2651" i="8"/>
  <c r="I3619" i="8"/>
  <c r="I2939" i="8"/>
  <c r="I2681" i="8"/>
  <c r="I2653" i="8"/>
  <c r="I3623" i="8"/>
  <c r="I3712" i="8"/>
  <c r="I3625" i="8"/>
  <c r="I2961" i="8"/>
  <c r="I3627" i="8"/>
  <c r="I3628" i="8"/>
  <c r="I2966" i="8"/>
  <c r="I2657" i="8"/>
  <c r="I3631" i="8"/>
  <c r="I3632" i="8"/>
  <c r="I3633" i="8"/>
  <c r="I3634" i="8"/>
  <c r="I3635" i="8"/>
  <c r="I3636" i="8"/>
  <c r="I3637" i="8"/>
  <c r="I3638" i="8"/>
  <c r="I3639" i="8"/>
  <c r="I3717" i="8"/>
  <c r="I3641" i="8"/>
  <c r="I3642" i="8"/>
  <c r="I3643" i="8"/>
  <c r="I3644" i="8"/>
  <c r="I2971" i="8"/>
  <c r="I3646" i="8"/>
  <c r="I2974" i="8"/>
  <c r="I3648" i="8"/>
  <c r="I2661" i="8"/>
  <c r="I3650" i="8"/>
  <c r="I2977" i="8"/>
  <c r="I3652" i="8"/>
  <c r="I3729" i="8"/>
  <c r="I2668" i="8"/>
  <c r="I3655" i="8"/>
  <c r="I2985" i="8"/>
  <c r="I3657" i="8"/>
  <c r="I3658" i="8"/>
  <c r="I2986" i="8"/>
  <c r="I2689" i="8"/>
  <c r="I3661" i="8"/>
  <c r="I3662" i="8"/>
  <c r="I2536" i="8"/>
  <c r="I3664" i="8"/>
  <c r="I2996" i="8"/>
  <c r="I3666" i="8"/>
  <c r="I2998" i="8"/>
  <c r="I3000" i="8"/>
  <c r="I3356" i="8"/>
  <c r="I3169" i="8"/>
  <c r="I2692" i="8"/>
  <c r="I2543" i="8"/>
  <c r="I3010" i="8"/>
  <c r="I3011" i="8"/>
  <c r="I3675" i="8"/>
  <c r="I2693" i="8"/>
  <c r="I3733" i="8"/>
  <c r="I2695" i="8"/>
  <c r="I3679" i="8"/>
  <c r="I3035" i="8"/>
  <c r="I2699" i="8"/>
  <c r="I3721" i="8"/>
  <c r="I3724" i="8"/>
  <c r="I3730" i="8"/>
  <c r="I3685" i="8"/>
  <c r="I3686" i="8"/>
  <c r="I2701" i="8"/>
  <c r="I3688" i="8"/>
  <c r="I2546" i="8"/>
  <c r="I2547" i="8"/>
  <c r="I3691" i="8"/>
  <c r="I2710" i="8"/>
  <c r="I3693" i="8"/>
  <c r="I2548" i="8"/>
  <c r="I2560" i="8"/>
  <c r="I3696" i="8"/>
  <c r="I3697" i="8"/>
  <c r="I3698" i="8"/>
  <c r="I3699" i="8"/>
  <c r="I2718" i="8"/>
  <c r="I2719" i="8"/>
  <c r="I3702" i="8"/>
  <c r="I3703" i="8"/>
  <c r="I3019" i="8"/>
  <c r="I3705" i="8"/>
  <c r="I3706" i="8"/>
  <c r="I2572" i="8"/>
  <c r="I2727" i="8"/>
  <c r="I3736" i="8"/>
  <c r="I3732" i="8"/>
  <c r="I3023" i="8"/>
  <c r="I3175" i="8"/>
  <c r="I3713" i="8"/>
  <c r="I3025" i="8"/>
  <c r="I3029" i="8"/>
  <c r="I3716" i="8"/>
  <c r="I2729" i="8"/>
  <c r="I3718" i="8"/>
  <c r="I3031" i="8"/>
  <c r="I3720" i="8"/>
  <c r="I2743" i="8"/>
  <c r="I3722" i="8"/>
  <c r="I3039" i="8"/>
  <c r="I2748" i="8"/>
  <c r="I2584" i="8"/>
  <c r="I3726" i="8"/>
  <c r="I3727" i="8"/>
  <c r="I3728" i="8"/>
  <c r="I3737" i="8"/>
  <c r="I2755" i="8"/>
  <c r="I3735" i="8"/>
  <c r="I2588" i="8"/>
  <c r="I2994" i="8"/>
  <c r="I3734" i="8"/>
  <c r="I2591" i="8"/>
  <c r="I2756" i="8"/>
  <c r="I3041" i="8"/>
  <c r="I3738" i="8"/>
  <c r="I3739" i="8"/>
  <c r="B7" i="13"/>
  <c r="B8" i="13"/>
  <c r="B9" i="13"/>
  <c r="J3" i="8" l="1"/>
  <c r="K3" i="8" s="1"/>
  <c r="J29" i="8"/>
  <c r="K29" i="8" s="1"/>
  <c r="J4" i="8"/>
  <c r="K5" i="8"/>
  <c r="K3706" i="8"/>
  <c r="K3658" i="8"/>
  <c r="K3539" i="8"/>
  <c r="K116" i="8"/>
  <c r="K2597" i="8"/>
  <c r="K3259" i="8"/>
  <c r="K3248" i="8"/>
  <c r="K503" i="8"/>
  <c r="K2217" i="8"/>
  <c r="K2812" i="8"/>
  <c r="K3040" i="8"/>
  <c r="K3728" i="8"/>
  <c r="K2543" i="8"/>
  <c r="K3632" i="8"/>
  <c r="K3584" i="8"/>
  <c r="K2585" i="8"/>
  <c r="K2798" i="8"/>
  <c r="K3692" i="8"/>
  <c r="K103" i="8"/>
  <c r="K3404" i="8"/>
  <c r="K2411" i="8"/>
  <c r="K2670" i="8"/>
  <c r="K2664" i="8"/>
  <c r="K3342" i="8"/>
  <c r="K76" i="8"/>
  <c r="K3689" i="8"/>
  <c r="K78" i="8"/>
  <c r="K2635" i="8"/>
  <c r="K2428" i="8"/>
  <c r="K86" i="8"/>
  <c r="K85" i="8"/>
  <c r="K3300" i="8"/>
  <c r="K3516" i="8"/>
  <c r="K414" i="8"/>
  <c r="K2520" i="8"/>
  <c r="K2518" i="8"/>
  <c r="K3297" i="8"/>
  <c r="K2600" i="8"/>
  <c r="K1063" i="8"/>
  <c r="K661" i="8"/>
  <c r="K511" i="8"/>
  <c r="K460" i="8"/>
  <c r="K879" i="8"/>
  <c r="K210" i="8"/>
  <c r="K207" i="8"/>
  <c r="K3191" i="8"/>
  <c r="K850" i="8"/>
  <c r="K228" i="8"/>
  <c r="K3179" i="8"/>
  <c r="K472" i="8"/>
  <c r="K188" i="8"/>
  <c r="K216" i="8"/>
  <c r="K456" i="8"/>
  <c r="K52" i="8"/>
  <c r="K3129" i="8"/>
  <c r="K178" i="8"/>
  <c r="K233" i="8"/>
  <c r="K3177" i="8"/>
  <c r="K3173" i="8"/>
  <c r="K335" i="8"/>
  <c r="K3059" i="8"/>
  <c r="K1007" i="8"/>
  <c r="K717" i="8"/>
  <c r="K153" i="8"/>
  <c r="K805" i="8"/>
  <c r="K792" i="8"/>
  <c r="K495" i="8"/>
  <c r="K2478" i="8"/>
  <c r="K441" i="8"/>
  <c r="K976" i="8"/>
  <c r="K173" i="8"/>
  <c r="K3229" i="8"/>
  <c r="K442" i="8"/>
  <c r="K732" i="8"/>
  <c r="K959" i="8"/>
  <c r="K427" i="8"/>
  <c r="K695" i="8"/>
  <c r="K347" i="8"/>
  <c r="K164" i="8"/>
  <c r="K208" i="8"/>
  <c r="K943" i="8"/>
  <c r="K3331" i="8"/>
  <c r="K798" i="8"/>
  <c r="K329" i="8"/>
  <c r="K783" i="8"/>
  <c r="K660" i="8"/>
  <c r="K195" i="8"/>
  <c r="K2886" i="8"/>
  <c r="K426" i="8"/>
  <c r="K3110" i="8"/>
  <c r="K167" i="8"/>
  <c r="K638" i="8"/>
  <c r="K155" i="8"/>
  <c r="K3172" i="8"/>
  <c r="K894" i="8"/>
  <c r="K629" i="8"/>
  <c r="K2885" i="8"/>
  <c r="K302" i="8"/>
  <c r="K331" i="8"/>
  <c r="K1176" i="8"/>
  <c r="K179" i="8"/>
  <c r="K1031" i="8"/>
  <c r="K316" i="8"/>
  <c r="K600" i="8"/>
  <c r="K3171" i="8"/>
  <c r="K578" i="8"/>
  <c r="K170" i="8"/>
  <c r="K1476" i="8"/>
  <c r="K797" i="8"/>
  <c r="K1138" i="8"/>
  <c r="K473" i="8"/>
  <c r="K2715" i="8"/>
  <c r="K551" i="8"/>
  <c r="K822" i="8"/>
  <c r="K3098" i="8"/>
  <c r="K160" i="8"/>
  <c r="K1219" i="8"/>
  <c r="K1151" i="8"/>
  <c r="K2801" i="8"/>
  <c r="K800" i="8"/>
  <c r="K1205" i="8"/>
  <c r="K2233" i="8"/>
  <c r="K3524" i="8"/>
  <c r="K909" i="8"/>
  <c r="K571" i="8"/>
  <c r="K150" i="8"/>
  <c r="K567" i="8"/>
  <c r="K575" i="8"/>
  <c r="K2702" i="8"/>
  <c r="K2210" i="8"/>
  <c r="K1463" i="8"/>
  <c r="K3698" i="8"/>
  <c r="K3650" i="8"/>
  <c r="K2921" i="8"/>
  <c r="K2574" i="8"/>
  <c r="K318" i="8"/>
  <c r="K3252" i="8"/>
  <c r="K3226" i="8"/>
  <c r="K47" i="8"/>
  <c r="K2489" i="8"/>
  <c r="K1515" i="8"/>
  <c r="K2960" i="8"/>
  <c r="K3035" i="8"/>
  <c r="K3576" i="8"/>
  <c r="K94" i="8"/>
  <c r="K2564" i="8"/>
  <c r="K2698" i="8"/>
  <c r="K99" i="8"/>
  <c r="K2677" i="8"/>
  <c r="K108" i="8"/>
  <c r="K223" i="8"/>
  <c r="K3738" i="8"/>
  <c r="K2547" i="8"/>
  <c r="K3642" i="8"/>
  <c r="K2639" i="8"/>
  <c r="K2672" i="8"/>
  <c r="K2571" i="8"/>
  <c r="K2498" i="8"/>
  <c r="K3063" i="8"/>
  <c r="K1458" i="8"/>
  <c r="K1824" i="8"/>
  <c r="K1877" i="8"/>
  <c r="K1739" i="8"/>
  <c r="K2756" i="8"/>
  <c r="K3696" i="8"/>
  <c r="K3648" i="8"/>
  <c r="K3608" i="8"/>
  <c r="K2894" i="8"/>
  <c r="K2503" i="8"/>
  <c r="K3021" i="8"/>
  <c r="K3441" i="8"/>
  <c r="K3410" i="8"/>
  <c r="K3396" i="8"/>
  <c r="K2579" i="8"/>
  <c r="K2577" i="8"/>
  <c r="K3580" i="8"/>
  <c r="K2452" i="8"/>
  <c r="K2365" i="8"/>
  <c r="K2994" i="8"/>
  <c r="K2729" i="8"/>
  <c r="K3736" i="8"/>
  <c r="K3693" i="8"/>
  <c r="K3356" i="8"/>
  <c r="K3661" i="8"/>
  <c r="K3729" i="8"/>
  <c r="K2971" i="8"/>
  <c r="K2966" i="8"/>
  <c r="K2681" i="8"/>
  <c r="K3605" i="8"/>
  <c r="K2755" i="8"/>
  <c r="K3011" i="8"/>
  <c r="K3634" i="8"/>
  <c r="K3570" i="8"/>
  <c r="K3511" i="8"/>
  <c r="K2614" i="8"/>
  <c r="K251" i="8"/>
  <c r="K236" i="8"/>
  <c r="K2323" i="8"/>
  <c r="K906" i="8"/>
  <c r="K1516" i="8"/>
  <c r="K1910" i="8"/>
  <c r="K1805" i="8"/>
  <c r="K1738" i="8"/>
  <c r="K3175" i="8"/>
  <c r="K3717" i="8"/>
  <c r="K3709" i="8"/>
  <c r="K3552" i="8"/>
  <c r="K3517" i="8"/>
  <c r="K2568" i="8"/>
  <c r="K3425" i="8"/>
  <c r="K3588" i="8"/>
  <c r="K3700" i="8"/>
  <c r="K1702" i="8"/>
  <c r="K289" i="8"/>
  <c r="K749" i="8"/>
  <c r="K1626" i="8"/>
  <c r="K119" i="8"/>
  <c r="K668" i="8"/>
  <c r="K1381" i="8"/>
  <c r="K1333" i="8"/>
  <c r="K2189" i="8"/>
  <c r="K2809" i="8"/>
  <c r="K1742" i="8"/>
  <c r="K14" i="8"/>
  <c r="K1565" i="8"/>
  <c r="K1614" i="8"/>
  <c r="K3025" i="8"/>
  <c r="K3666" i="8"/>
  <c r="K3610" i="8"/>
  <c r="K3535" i="8"/>
  <c r="K3473" i="8"/>
  <c r="K410" i="8"/>
  <c r="K2302" i="8"/>
  <c r="K840" i="8"/>
  <c r="K1331" i="8"/>
  <c r="K1988" i="8"/>
  <c r="K1848" i="8"/>
  <c r="K3227" i="8"/>
  <c r="K500" i="8"/>
  <c r="K1385" i="8"/>
  <c r="K3019" i="8"/>
  <c r="K3664" i="8"/>
  <c r="K3346" i="8"/>
  <c r="K3568" i="8"/>
  <c r="K3509" i="8"/>
  <c r="K2477" i="8"/>
  <c r="K2450" i="8"/>
  <c r="K2849" i="8"/>
  <c r="K3722" i="8"/>
  <c r="K3721" i="8"/>
  <c r="K2961" i="8"/>
  <c r="K3578" i="8"/>
  <c r="K3220" i="8"/>
  <c r="K406" i="8"/>
  <c r="K1580" i="8"/>
  <c r="K2731" i="8"/>
  <c r="K2662" i="8"/>
  <c r="K2625" i="8"/>
  <c r="K3657" i="8"/>
  <c r="K3601" i="8"/>
  <c r="K384" i="8"/>
  <c r="K833" i="8"/>
  <c r="K327" i="8"/>
  <c r="K447" i="8"/>
  <c r="K428" i="8"/>
  <c r="K682" i="8"/>
  <c r="K319" i="8"/>
  <c r="K393" i="8"/>
  <c r="K2200" i="8"/>
  <c r="K1171" i="8"/>
  <c r="K3305" i="8"/>
  <c r="K2072" i="8"/>
  <c r="K2999" i="8"/>
  <c r="K3427" i="8"/>
  <c r="K1078" i="8"/>
  <c r="K2611" i="8"/>
  <c r="K2609" i="8"/>
  <c r="K2776" i="8"/>
  <c r="K1246" i="8"/>
  <c r="K3468" i="8"/>
  <c r="K1569" i="8"/>
  <c r="K1152" i="8"/>
  <c r="K2602" i="8"/>
  <c r="K2874" i="8"/>
  <c r="K1400" i="8"/>
  <c r="K2011" i="8"/>
  <c r="K528" i="8"/>
  <c r="K1123" i="8"/>
  <c r="K1072" i="8"/>
  <c r="K2000" i="8"/>
  <c r="K3243" i="8"/>
  <c r="K1034" i="8"/>
  <c r="K1951" i="8"/>
  <c r="K2312" i="8"/>
  <c r="K1111" i="8"/>
  <c r="K522" i="8"/>
  <c r="K1950" i="8"/>
  <c r="K2851" i="8"/>
  <c r="K1380" i="8"/>
  <c r="K2211" i="8"/>
  <c r="K1595" i="8"/>
  <c r="K2845" i="8"/>
  <c r="K1372" i="8"/>
  <c r="K2344" i="8"/>
  <c r="K3269" i="8"/>
  <c r="K1107" i="8"/>
  <c r="K1965" i="8"/>
  <c r="K2206" i="8"/>
  <c r="K2300" i="8"/>
  <c r="K1069" i="8"/>
  <c r="K1190" i="8"/>
  <c r="K1959" i="8"/>
  <c r="K2078" i="8"/>
  <c r="K2528" i="8"/>
  <c r="K1548" i="8"/>
  <c r="K1990" i="8"/>
  <c r="K2816" i="8"/>
  <c r="K2284" i="8"/>
  <c r="K699" i="8"/>
  <c r="K671" i="8"/>
  <c r="K3566" i="8"/>
  <c r="K1173" i="8"/>
  <c r="K2065" i="8"/>
  <c r="K2924" i="8"/>
  <c r="K1811" i="8"/>
  <c r="K2869" i="8"/>
  <c r="K1983" i="8"/>
  <c r="K3361" i="8"/>
  <c r="K1523" i="8"/>
  <c r="K2903" i="8"/>
  <c r="K1802" i="8"/>
  <c r="K1900" i="8"/>
  <c r="K2247" i="8"/>
  <c r="K1090" i="8"/>
  <c r="K2427" i="8"/>
  <c r="K2419" i="8"/>
  <c r="K3439" i="8"/>
  <c r="K2758" i="8"/>
  <c r="K2420" i="8"/>
  <c r="K2959" i="8"/>
  <c r="K1457" i="8"/>
  <c r="K2241" i="8"/>
  <c r="K1807" i="8"/>
  <c r="K996" i="8"/>
  <c r="K2417" i="8"/>
  <c r="K3101" i="8"/>
  <c r="K2114" i="8"/>
  <c r="K3092" i="8"/>
  <c r="K1447" i="8"/>
  <c r="K2735" i="8"/>
  <c r="K2208" i="8"/>
  <c r="K1969" i="8"/>
  <c r="K3084" i="8"/>
  <c r="K1845" i="8"/>
  <c r="K1373" i="8"/>
  <c r="K1428" i="8"/>
  <c r="K791" i="8"/>
  <c r="K3630" i="8"/>
  <c r="K1081" i="8"/>
  <c r="K2410" i="8"/>
  <c r="K2714" i="8"/>
  <c r="K2709" i="8"/>
  <c r="K2405" i="8"/>
  <c r="K3074" i="8"/>
  <c r="K1830" i="8"/>
  <c r="K1391" i="8"/>
  <c r="K1905" i="8"/>
  <c r="K3586" i="8"/>
  <c r="K2395" i="8"/>
  <c r="K1311" i="8"/>
  <c r="K2815" i="8"/>
  <c r="K492" i="8"/>
  <c r="K2384" i="8"/>
  <c r="K1089" i="8"/>
  <c r="K2373" i="8"/>
  <c r="K2877" i="8"/>
  <c r="K2364" i="8"/>
  <c r="K2956" i="8"/>
  <c r="K2355" i="8"/>
  <c r="K2353" i="8"/>
  <c r="K1997" i="8"/>
  <c r="K1292" i="8"/>
  <c r="K1813" i="8"/>
  <c r="K2392" i="8"/>
  <c r="K1384" i="8"/>
  <c r="K3397" i="8"/>
  <c r="K2680" i="8"/>
  <c r="K3026" i="8"/>
  <c r="K2676" i="8"/>
  <c r="K1744" i="8"/>
  <c r="K2337" i="8"/>
  <c r="K1724" i="8"/>
  <c r="K3567" i="8"/>
  <c r="K3500" i="8"/>
  <c r="K1696" i="8"/>
  <c r="K1263" i="8"/>
  <c r="K2673" i="8"/>
  <c r="K2941" i="8"/>
  <c r="K2046" i="8"/>
  <c r="K3100" i="8"/>
  <c r="K3501" i="8"/>
  <c r="K2359" i="8"/>
  <c r="K1796" i="8"/>
  <c r="K3530" i="8"/>
  <c r="K2954" i="8"/>
  <c r="K3014" i="8"/>
  <c r="K3464" i="8"/>
  <c r="K3217" i="8"/>
  <c r="K1267" i="8"/>
  <c r="K2391" i="8"/>
  <c r="K2292" i="8"/>
  <c r="K2641" i="8"/>
  <c r="K1952" i="8"/>
  <c r="K1823" i="8"/>
  <c r="K2272" i="8"/>
  <c r="K1798" i="8"/>
  <c r="K2008" i="8"/>
  <c r="K1783" i="8"/>
  <c r="K666" i="8"/>
  <c r="K1768" i="8"/>
  <c r="K2249" i="8"/>
  <c r="K2389" i="8"/>
  <c r="K2118" i="8"/>
  <c r="K1639" i="8"/>
  <c r="K1770" i="8"/>
  <c r="K2244" i="8"/>
  <c r="K2110" i="8"/>
  <c r="K2976" i="8"/>
  <c r="K2617" i="8"/>
  <c r="K923" i="8"/>
  <c r="K1636" i="8"/>
  <c r="K3111" i="8"/>
  <c r="K1360" i="8"/>
  <c r="K1619" i="8"/>
  <c r="K2071" i="8"/>
  <c r="K727" i="8"/>
  <c r="K1356" i="8"/>
  <c r="K1441" i="8"/>
  <c r="K1234" i="8"/>
  <c r="K1641" i="8"/>
  <c r="K1351" i="8"/>
  <c r="K626" i="8"/>
  <c r="K1597" i="8"/>
  <c r="K1260" i="8"/>
  <c r="K2042" i="8"/>
  <c r="K1122" i="8"/>
  <c r="K1613" i="8"/>
  <c r="K1617" i="8"/>
  <c r="K2975" i="8"/>
  <c r="K1732" i="8"/>
  <c r="K1184" i="8"/>
  <c r="K1627" i="8"/>
  <c r="K249" i="8"/>
  <c r="K1228" i="8"/>
  <c r="K1038" i="8"/>
  <c r="K468" i="8"/>
  <c r="K1322" i="8"/>
  <c r="K1707" i="8"/>
  <c r="K1366" i="8"/>
  <c r="K752" i="8"/>
  <c r="K467" i="8"/>
  <c r="K288" i="8"/>
  <c r="K1684" i="8"/>
  <c r="K898" i="8"/>
  <c r="K2155" i="8"/>
  <c r="K662" i="8"/>
  <c r="K1607" i="8"/>
  <c r="K1305" i="8"/>
  <c r="K2705" i="8"/>
  <c r="K1011" i="8"/>
  <c r="K1300" i="8"/>
  <c r="K2141" i="8"/>
  <c r="K1553" i="8"/>
  <c r="K561" i="8"/>
  <c r="K2128" i="8"/>
  <c r="K1552" i="8"/>
  <c r="K1061" i="8"/>
  <c r="K446" i="8"/>
  <c r="K334" i="8"/>
  <c r="K9" i="8"/>
  <c r="K3274" i="8"/>
  <c r="K1100" i="8"/>
  <c r="K1319" i="8"/>
  <c r="K1509" i="8"/>
  <c r="K2102" i="8"/>
  <c r="K3329" i="8"/>
  <c r="K2096" i="8"/>
  <c r="K1647" i="8"/>
  <c r="K941" i="8"/>
  <c r="K1660" i="8"/>
  <c r="K991" i="8"/>
  <c r="K3708" i="8"/>
  <c r="K3677" i="8"/>
  <c r="K3725" i="8"/>
  <c r="K3448" i="8"/>
  <c r="K2449" i="8"/>
  <c r="K2443" i="8"/>
  <c r="K611" i="8"/>
  <c r="K3527" i="8"/>
  <c r="K2229" i="8"/>
  <c r="K762" i="8"/>
  <c r="K1217" i="8"/>
  <c r="K282" i="8"/>
  <c r="K715" i="8"/>
  <c r="K1464" i="8"/>
  <c r="K3734" i="8"/>
  <c r="K3726" i="8"/>
  <c r="K3718" i="8"/>
  <c r="K3732" i="8"/>
  <c r="K3702" i="8"/>
  <c r="K2548" i="8"/>
  <c r="K3686" i="8"/>
  <c r="K2695" i="8"/>
  <c r="K3169" i="8"/>
  <c r="K3662" i="8"/>
  <c r="K2668" i="8"/>
  <c r="K3646" i="8"/>
  <c r="K3638" i="8"/>
  <c r="K2657" i="8"/>
  <c r="K2653" i="8"/>
  <c r="K2649" i="8"/>
  <c r="K2925" i="8"/>
  <c r="K3598" i="8"/>
  <c r="K2900" i="8"/>
  <c r="K3324" i="8"/>
  <c r="K2897" i="8"/>
  <c r="K2607" i="8"/>
  <c r="K3701" i="8"/>
  <c r="K3550" i="8"/>
  <c r="K110" i="8"/>
  <c r="K2593" i="8"/>
  <c r="K3531" i="8"/>
  <c r="K2533" i="8"/>
  <c r="K2833" i="8"/>
  <c r="K3507" i="8"/>
  <c r="K3499" i="8"/>
  <c r="K2573" i="8"/>
  <c r="K2663" i="8"/>
  <c r="K3477" i="8"/>
  <c r="K3469" i="8"/>
  <c r="K2769" i="8"/>
  <c r="K3455" i="8"/>
  <c r="K2762" i="8"/>
  <c r="K2466" i="8"/>
  <c r="K3431" i="8"/>
  <c r="K102" i="8"/>
  <c r="K3419" i="8"/>
  <c r="K123" i="8"/>
  <c r="K120" i="8"/>
  <c r="K2510" i="8"/>
  <c r="K2504" i="8"/>
  <c r="K2970" i="8"/>
  <c r="K2500" i="8"/>
  <c r="K3378" i="8"/>
  <c r="K2675" i="8"/>
  <c r="K87" i="8"/>
  <c r="K256" i="8"/>
  <c r="K3357" i="8"/>
  <c r="K3352" i="8"/>
  <c r="K3694" i="8"/>
  <c r="K104" i="8"/>
  <c r="K2615" i="8"/>
  <c r="K2368" i="8"/>
  <c r="K2446" i="8"/>
  <c r="K3036" i="8"/>
  <c r="K3320" i="8"/>
  <c r="K2539" i="8"/>
  <c r="K92" i="8"/>
  <c r="K297" i="8"/>
  <c r="K3301" i="8"/>
  <c r="K244" i="8"/>
  <c r="K365" i="8"/>
  <c r="K3296" i="8"/>
  <c r="K2616" i="8"/>
  <c r="K3667" i="8"/>
  <c r="K2407" i="8"/>
  <c r="K3272" i="8"/>
  <c r="K80" i="8"/>
  <c r="K2965" i="8"/>
  <c r="K3264" i="8"/>
  <c r="K3262" i="8"/>
  <c r="K74" i="8"/>
  <c r="K2590" i="8"/>
  <c r="K69" i="8"/>
  <c r="K669" i="8"/>
  <c r="K539" i="8"/>
  <c r="K348" i="8"/>
  <c r="K217" i="8"/>
  <c r="K538" i="8"/>
  <c r="K2367" i="8"/>
  <c r="K409" i="8"/>
  <c r="K482" i="8"/>
  <c r="K2778" i="8"/>
  <c r="K654" i="8"/>
  <c r="K385" i="8"/>
  <c r="K3681" i="8"/>
  <c r="K57" i="8"/>
  <c r="K2329" i="8"/>
  <c r="K523" i="8"/>
  <c r="K884" i="8"/>
  <c r="K493" i="8"/>
  <c r="K491" i="8"/>
  <c r="K1060" i="8"/>
  <c r="K3131" i="8"/>
  <c r="K2287" i="8"/>
  <c r="K2467" i="8"/>
  <c r="K862" i="8"/>
  <c r="K481" i="8"/>
  <c r="K844" i="8"/>
  <c r="K3079" i="8"/>
  <c r="K202" i="8"/>
  <c r="K209" i="8"/>
  <c r="K750" i="8"/>
  <c r="K741" i="8"/>
  <c r="K3417" i="8"/>
  <c r="K3442" i="8"/>
  <c r="K2291" i="8"/>
  <c r="K2648" i="8"/>
  <c r="K454" i="8"/>
  <c r="K2725" i="8"/>
  <c r="K214" i="8"/>
  <c r="K3676" i="8"/>
  <c r="K375" i="8"/>
  <c r="K1018" i="8"/>
  <c r="K1015" i="8"/>
  <c r="K389" i="8"/>
  <c r="K3372" i="8"/>
  <c r="K816" i="8"/>
  <c r="K3231" i="8"/>
  <c r="K1001" i="8"/>
  <c r="K364" i="8"/>
  <c r="K382" i="8"/>
  <c r="K908" i="8"/>
  <c r="K263" i="8"/>
  <c r="K3581" i="8"/>
  <c r="K3573" i="8"/>
  <c r="K3557" i="8"/>
  <c r="K3549" i="8"/>
  <c r="K3514" i="8"/>
  <c r="K3490" i="8"/>
  <c r="K3476" i="8"/>
  <c r="K2771" i="8"/>
  <c r="K3461" i="8"/>
  <c r="K3674" i="8"/>
  <c r="K3430" i="8"/>
  <c r="K3424" i="8"/>
  <c r="K2610" i="8"/>
  <c r="K3401" i="8"/>
  <c r="K3038" i="8"/>
  <c r="K259" i="8"/>
  <c r="K258" i="8"/>
  <c r="K73" i="8"/>
  <c r="K2650" i="8"/>
  <c r="K2376" i="8"/>
  <c r="K3015" i="8"/>
  <c r="K211" i="8"/>
  <c r="K192" i="8"/>
  <c r="K3316" i="8"/>
  <c r="K2628" i="8"/>
  <c r="K3306" i="8"/>
  <c r="K3304" i="8"/>
  <c r="K240" i="8"/>
  <c r="K532" i="8"/>
  <c r="K2406" i="8"/>
  <c r="K521" i="8"/>
  <c r="K569" i="8"/>
  <c r="K70" i="8"/>
  <c r="K549" i="8"/>
  <c r="K663" i="8"/>
  <c r="K507" i="8"/>
  <c r="K2360" i="8"/>
  <c r="K268" i="8"/>
  <c r="K3228" i="8"/>
  <c r="K2821" i="8"/>
  <c r="K239" i="8"/>
  <c r="K2556" i="8"/>
  <c r="K3443" i="8"/>
  <c r="K3295" i="8"/>
  <c r="K2465" i="8"/>
  <c r="K1042" i="8"/>
  <c r="K635" i="8"/>
  <c r="K470" i="8"/>
  <c r="K380" i="8"/>
  <c r="K729" i="8"/>
  <c r="K2521" i="8"/>
  <c r="K457" i="8"/>
  <c r="K453" i="8"/>
  <c r="K36" i="8"/>
  <c r="K640" i="8"/>
  <c r="K2773" i="8"/>
  <c r="K624" i="8"/>
  <c r="K3120" i="8"/>
  <c r="K3162" i="8"/>
  <c r="K2915" i="8"/>
  <c r="K43" i="8"/>
  <c r="K498" i="8"/>
  <c r="K321" i="8"/>
  <c r="K313" i="8"/>
  <c r="K3142" i="8"/>
  <c r="K2981" i="8"/>
  <c r="K558" i="8"/>
  <c r="K3203" i="8"/>
  <c r="K1156" i="8"/>
  <c r="K1183" i="8"/>
  <c r="K1588" i="8"/>
  <c r="K2613" i="8"/>
  <c r="K1155" i="8"/>
  <c r="K2783" i="8"/>
  <c r="K2103" i="8"/>
  <c r="K1513" i="8"/>
  <c r="K2328" i="8"/>
  <c r="K1881" i="8"/>
  <c r="K1403" i="8"/>
  <c r="K2454" i="8"/>
  <c r="K2742" i="8"/>
  <c r="K1480" i="8"/>
  <c r="K3009" i="8"/>
  <c r="K2890" i="8"/>
  <c r="K2023" i="8"/>
  <c r="K1717" i="8"/>
  <c r="K3060" i="8"/>
  <c r="K3046" i="8"/>
  <c r="K1753" i="8"/>
  <c r="K1677" i="8"/>
  <c r="K1949" i="8"/>
  <c r="K1764" i="8"/>
  <c r="K743" i="8"/>
  <c r="K1532" i="8"/>
  <c r="K512" i="8"/>
  <c r="K2057" i="8"/>
  <c r="K1579" i="8"/>
  <c r="K3385" i="8"/>
  <c r="K1537" i="8"/>
  <c r="K2561" i="8"/>
  <c r="K1842" i="8"/>
  <c r="K2077" i="8"/>
  <c r="K2297" i="8"/>
  <c r="K1216" i="8"/>
  <c r="K3444" i="8"/>
  <c r="K3460" i="8"/>
  <c r="K2169" i="8"/>
  <c r="K1926" i="8"/>
  <c r="K2901" i="8"/>
  <c r="K1880" i="8"/>
  <c r="K2751" i="8"/>
  <c r="K2746" i="8"/>
  <c r="K2958" i="8"/>
  <c r="K3095" i="8"/>
  <c r="K2425" i="8"/>
  <c r="K1915" i="8"/>
  <c r="K2198" i="8"/>
  <c r="K1788" i="8"/>
  <c r="K3474" i="8"/>
  <c r="K1800" i="8"/>
  <c r="K3508" i="8"/>
  <c r="K2879" i="8"/>
  <c r="K3520" i="8"/>
  <c r="K2682" i="8"/>
  <c r="K2348" i="8"/>
  <c r="K3028" i="8"/>
  <c r="K2876" i="8"/>
  <c r="K2871" i="8"/>
  <c r="K1065" i="8"/>
  <c r="K1986" i="8"/>
  <c r="K1782" i="8"/>
  <c r="K2643" i="8"/>
  <c r="K2160" i="8"/>
  <c r="K1791" i="8"/>
  <c r="K2137" i="8"/>
  <c r="K1443" i="8"/>
  <c r="K2766" i="8"/>
  <c r="K1725" i="8"/>
  <c r="K2779" i="8"/>
  <c r="K3254" i="8"/>
  <c r="K1055" i="8"/>
  <c r="K2074" i="8"/>
  <c r="K1609" i="8"/>
  <c r="K1266" i="8"/>
  <c r="K1421" i="8"/>
  <c r="K3505" i="8"/>
  <c r="K2760" i="8"/>
  <c r="K1040" i="8"/>
  <c r="K2852" i="8"/>
  <c r="K463" i="8"/>
  <c r="K3735" i="8"/>
  <c r="K3029" i="8"/>
  <c r="K2572" i="8"/>
  <c r="K3699" i="8"/>
  <c r="K3675" i="8"/>
  <c r="K2998" i="8"/>
  <c r="K3635" i="8"/>
  <c r="K3627" i="8"/>
  <c r="K3603" i="8"/>
  <c r="K2990" i="8"/>
  <c r="K2627" i="8"/>
  <c r="K3555" i="8"/>
  <c r="K2882" i="8"/>
  <c r="K3714" i="8"/>
  <c r="K2526" i="8"/>
  <c r="K2667" i="8"/>
  <c r="K3504" i="8"/>
  <c r="K106" i="8"/>
  <c r="K3621" i="8"/>
  <c r="K2469" i="8"/>
  <c r="K3163" i="8"/>
  <c r="K3452" i="8"/>
  <c r="K2459" i="8"/>
  <c r="K3428" i="8"/>
  <c r="K2431" i="8"/>
  <c r="K255" i="8"/>
  <c r="K3673" i="8"/>
  <c r="K3020" i="8"/>
  <c r="K88" i="8"/>
  <c r="K3151" i="8"/>
  <c r="K3369" i="8"/>
  <c r="K3367" i="8"/>
  <c r="K2566" i="8"/>
  <c r="K3345" i="8"/>
  <c r="K3086" i="8"/>
  <c r="K3336" i="8"/>
  <c r="K3326" i="8"/>
  <c r="K75" i="8"/>
  <c r="K2438" i="8"/>
  <c r="K421" i="8"/>
  <c r="K3238" i="8"/>
  <c r="K2620" i="8"/>
  <c r="K2529" i="8"/>
  <c r="K524" i="8"/>
  <c r="K3138" i="8"/>
  <c r="K519" i="8"/>
  <c r="K3384" i="8"/>
  <c r="K2333" i="8"/>
  <c r="K2587" i="8"/>
  <c r="K276" i="8"/>
  <c r="K3663" i="8"/>
  <c r="K2332" i="8"/>
  <c r="K2576" i="8"/>
  <c r="K260" i="8"/>
  <c r="K1057" i="8"/>
  <c r="K3206" i="8"/>
  <c r="K646" i="8"/>
  <c r="K769" i="8"/>
  <c r="K26" i="8"/>
  <c r="K3414" i="8"/>
  <c r="K1028" i="8"/>
  <c r="K354" i="8"/>
  <c r="K333" i="8"/>
  <c r="K2505" i="8"/>
  <c r="K796" i="8"/>
  <c r="K445" i="8"/>
  <c r="K968" i="8"/>
  <c r="K344" i="8"/>
  <c r="K949" i="8"/>
  <c r="K3210" i="8"/>
  <c r="K175" i="8"/>
  <c r="K2460" i="8"/>
  <c r="K981" i="8"/>
  <c r="K886" i="8"/>
  <c r="K3043" i="8"/>
  <c r="K867" i="8"/>
  <c r="K612" i="8"/>
  <c r="K837" i="8"/>
  <c r="K1214" i="8"/>
  <c r="K785" i="8"/>
  <c r="K2223" i="8"/>
  <c r="K679" i="8"/>
  <c r="K2214" i="8"/>
  <c r="K882" i="8"/>
  <c r="K1084" i="8"/>
  <c r="K570" i="8"/>
  <c r="K283" i="8"/>
  <c r="K1375" i="8"/>
  <c r="K753" i="8"/>
  <c r="K1167" i="8"/>
  <c r="K1215" i="8"/>
  <c r="K3280" i="8"/>
  <c r="K1703" i="8"/>
  <c r="K1378" i="8"/>
  <c r="K1663" i="8"/>
  <c r="K1608" i="8"/>
  <c r="H3254" i="8"/>
  <c r="H140" i="8"/>
  <c r="F140" i="8" s="1"/>
  <c r="H185" i="8"/>
  <c r="H280" i="8"/>
  <c r="H246" i="8"/>
  <c r="H328" i="8"/>
  <c r="F328" i="8" s="1"/>
  <c r="H272" i="8"/>
  <c r="F272" i="8" s="1"/>
  <c r="H3096" i="8"/>
  <c r="F3096" i="8" s="1"/>
  <c r="H287" i="8"/>
  <c r="H376" i="8"/>
  <c r="F376" i="8" s="1"/>
  <c r="H302" i="8"/>
  <c r="H408" i="8"/>
  <c r="H326" i="8"/>
  <c r="H359" i="8"/>
  <c r="H371" i="8"/>
  <c r="H333" i="8"/>
  <c r="H400" i="8"/>
  <c r="H410" i="8"/>
  <c r="H360" i="8"/>
  <c r="H544" i="8"/>
  <c r="H3136" i="8"/>
  <c r="H468" i="8"/>
  <c r="H377" i="8"/>
  <c r="H576" i="8"/>
  <c r="H432" i="8"/>
  <c r="H440" i="8"/>
  <c r="H616" i="8"/>
  <c r="H453" i="8"/>
  <c r="H632" i="8"/>
  <c r="H2862" i="8"/>
  <c r="H3279" i="8"/>
  <c r="H696" i="8"/>
  <c r="H704" i="8"/>
  <c r="H597" i="8"/>
  <c r="H550" i="8"/>
  <c r="H512" i="8"/>
  <c r="H752" i="8"/>
  <c r="H3437" i="8"/>
  <c r="H675" i="8"/>
  <c r="H784" i="8"/>
  <c r="H2712" i="8"/>
  <c r="H848" i="8"/>
  <c r="H605" i="8"/>
  <c r="H3143" i="8"/>
  <c r="H686" i="8"/>
  <c r="H968" i="8"/>
  <c r="H976" i="8"/>
  <c r="H992" i="8"/>
  <c r="H1008" i="8"/>
  <c r="H820" i="8"/>
  <c r="H1032" i="8"/>
  <c r="H3164" i="8"/>
  <c r="H3358" i="8"/>
  <c r="H1088" i="8"/>
  <c r="H1096" i="8"/>
  <c r="H1104" i="8"/>
  <c r="H876" i="8"/>
  <c r="H1120" i="8"/>
  <c r="H708" i="8"/>
  <c r="H907" i="8"/>
  <c r="H889" i="8"/>
  <c r="H740" i="8"/>
  <c r="H2931" i="8"/>
  <c r="H917" i="8"/>
  <c r="H1184" i="8"/>
  <c r="H3225" i="8"/>
  <c r="H1208" i="8"/>
  <c r="H932" i="8"/>
  <c r="H1232" i="8"/>
  <c r="H1013" i="8"/>
  <c r="H969" i="8"/>
  <c r="H815" i="8"/>
  <c r="H981" i="8"/>
  <c r="H1065" i="8"/>
  <c r="H2777" i="8"/>
  <c r="H874" i="8"/>
  <c r="H896" i="8"/>
  <c r="H2936" i="8"/>
  <c r="H1344" i="8"/>
  <c r="H921" i="8"/>
  <c r="H1368" i="8"/>
  <c r="H1003" i="8"/>
  <c r="H3398" i="8"/>
  <c r="H1048" i="8"/>
  <c r="H1432" i="8"/>
  <c r="H1024" i="8"/>
  <c r="H1052" i="8"/>
  <c r="H1176" i="8"/>
  <c r="H3485" i="8"/>
  <c r="H1496" i="8"/>
  <c r="H1504" i="8"/>
  <c r="H3204" i="8"/>
  <c r="H1536" i="8"/>
  <c r="H3270" i="8"/>
  <c r="H1115" i="8"/>
  <c r="H1220" i="8"/>
  <c r="H1592" i="8"/>
  <c r="H1266" i="8"/>
  <c r="H1608" i="8"/>
  <c r="H1163" i="8"/>
  <c r="H1284" i="8"/>
  <c r="H1256" i="8"/>
  <c r="H1288" i="8"/>
  <c r="H1656" i="8"/>
  <c r="H1187" i="8"/>
  <c r="H1680" i="8"/>
  <c r="H1215" i="8"/>
  <c r="H3446" i="8"/>
  <c r="H1386" i="8"/>
  <c r="H3285" i="8"/>
  <c r="H1347" i="8"/>
  <c r="H1445" i="8"/>
  <c r="H1267" i="8"/>
  <c r="H3530" i="8"/>
  <c r="H1474" i="8"/>
  <c r="H1824" i="8"/>
  <c r="H1477" i="8"/>
  <c r="H1840" i="8"/>
  <c r="H1376" i="8"/>
  <c r="H1312" i="8"/>
  <c r="H1498" i="8"/>
  <c r="H1880" i="8"/>
  <c r="H1330" i="8"/>
  <c r="H1896" i="8"/>
  <c r="H1334" i="8"/>
  <c r="H1920" i="8"/>
  <c r="H1423" i="8"/>
  <c r="H2856" i="8"/>
  <c r="H1361" i="8"/>
  <c r="H3541" i="8"/>
  <c r="H1561" i="8"/>
  <c r="H1502" i="8"/>
  <c r="H1992" i="8"/>
  <c r="H2000" i="8"/>
  <c r="H2016" i="8"/>
  <c r="H1418" i="8"/>
  <c r="H3288" i="8"/>
  <c r="H1421" i="8"/>
  <c r="H2048" i="8"/>
  <c r="H1643" i="8"/>
  <c r="H1442" i="8"/>
  <c r="H2072" i="8"/>
  <c r="H1463" i="8"/>
  <c r="H1563" i="8"/>
  <c r="H2096" i="8"/>
  <c r="H2104" i="8"/>
  <c r="H1532" i="8"/>
  <c r="H2906" i="8"/>
  <c r="H2128" i="8"/>
  <c r="H1703" i="8"/>
  <c r="H2152" i="8"/>
  <c r="H2168" i="8"/>
  <c r="H1736" i="8"/>
  <c r="H1742" i="8"/>
  <c r="H2913" i="8"/>
  <c r="H1630" i="8"/>
  <c r="H2216" i="8"/>
  <c r="H2224" i="8"/>
  <c r="H3522" i="8"/>
  <c r="H3533" i="8"/>
  <c r="H1644" i="8"/>
  <c r="H2272" i="8"/>
  <c r="H1823" i="8"/>
  <c r="H2288" i="8"/>
  <c r="H2296" i="8"/>
  <c r="H1674" i="8"/>
  <c r="H1850" i="8"/>
  <c r="H1701" i="8"/>
  <c r="H2336" i="8"/>
  <c r="H1872" i="8"/>
  <c r="H1883" i="8"/>
  <c r="H1713" i="8"/>
  <c r="H1762" i="8"/>
  <c r="H1786" i="8"/>
  <c r="H1923" i="8"/>
  <c r="H2400" i="8"/>
  <c r="H3354" i="8"/>
  <c r="H3433" i="8"/>
  <c r="H2432" i="8"/>
  <c r="H1838" i="8"/>
  <c r="H1864" i="8"/>
  <c r="H1802" i="8"/>
  <c r="H2944" i="8"/>
  <c r="H1811" i="8"/>
  <c r="H1841" i="8"/>
  <c r="H2056" i="8"/>
  <c r="H2528" i="8"/>
  <c r="H1852" i="8"/>
  <c r="H2544" i="8"/>
  <c r="H2872" i="8"/>
  <c r="H1855" i="8"/>
  <c r="H1873" i="8"/>
  <c r="H1948" i="8"/>
  <c r="H1863" i="8"/>
  <c r="H1960" i="8"/>
  <c r="H2028" i="8"/>
  <c r="H2632" i="8"/>
  <c r="H2640" i="8"/>
  <c r="H1885" i="8"/>
  <c r="H2954" i="8"/>
  <c r="H3606" i="8"/>
  <c r="H2143" i="8"/>
  <c r="H2680" i="8"/>
  <c r="H3489" i="8"/>
  <c r="H2728" i="8"/>
  <c r="H2114" i="8"/>
  <c r="H2752" i="8"/>
  <c r="H2121" i="8"/>
  <c r="H2253" i="8"/>
  <c r="H2260" i="8"/>
  <c r="H2064" i="8"/>
  <c r="H2816" i="8"/>
  <c r="H2824" i="8"/>
  <c r="H2300" i="8"/>
  <c r="H3289" i="8"/>
  <c r="H2848" i="8"/>
  <c r="H2007" i="8"/>
  <c r="H2930" i="8"/>
  <c r="H2880" i="8"/>
  <c r="H2896" i="8"/>
  <c r="H2904" i="8"/>
  <c r="H2092" i="8"/>
  <c r="H3501" i="8"/>
  <c r="H2098" i="8"/>
  <c r="H2979" i="8"/>
  <c r="H2137" i="8"/>
  <c r="H2118" i="8"/>
  <c r="H2146" i="8"/>
  <c r="H3024" i="8"/>
  <c r="H3032" i="8"/>
  <c r="H2175" i="8"/>
  <c r="H2179" i="8"/>
  <c r="H3056" i="8"/>
  <c r="H2396" i="8"/>
  <c r="H3072" i="8"/>
  <c r="H3080" i="8"/>
  <c r="H2402" i="8"/>
  <c r="H2209" i="8"/>
  <c r="H2417" i="8"/>
  <c r="H3112" i="8"/>
  <c r="H2240" i="8"/>
  <c r="H3128" i="8"/>
  <c r="H2516" i="8"/>
  <c r="H3131" i="8"/>
  <c r="H2332" i="8"/>
  <c r="H2357" i="8"/>
  <c r="H3248" i="8"/>
  <c r="H3320" i="8"/>
  <c r="H2463" i="8"/>
  <c r="H3695" i="8"/>
  <c r="H3153" i="8"/>
  <c r="H2606" i="8"/>
  <c r="H2610" i="8"/>
  <c r="H3424" i="8"/>
  <c r="H2449" i="8"/>
  <c r="H3472" i="8"/>
  <c r="H167" i="8"/>
  <c r="F167" i="8" s="1"/>
  <c r="H2753" i="8"/>
  <c r="H2785" i="8"/>
  <c r="H2817" i="8"/>
  <c r="H2211" i="8"/>
  <c r="H2881" i="8"/>
  <c r="H2021" i="8"/>
  <c r="H2109" i="8"/>
  <c r="H2339" i="8"/>
  <c r="H2181" i="8"/>
  <c r="H2397" i="8"/>
  <c r="H3293" i="8"/>
  <c r="H2218" i="8"/>
  <c r="H3660" i="8"/>
  <c r="H2271" i="8"/>
  <c r="H2298" i="8"/>
  <c r="H3233" i="8"/>
  <c r="H2600" i="8"/>
  <c r="H3300" i="8"/>
  <c r="H3689" i="8"/>
  <c r="H2381" i="8"/>
  <c r="H3020" i="8"/>
  <c r="H3425" i="8"/>
  <c r="H3692" i="8"/>
  <c r="H2484" i="8"/>
  <c r="H2837" i="8"/>
  <c r="H3553" i="8"/>
  <c r="H3585" i="8"/>
  <c r="H3617" i="8"/>
  <c r="H2661" i="8"/>
  <c r="F2661" i="8" s="1"/>
  <c r="H3713" i="8"/>
  <c r="H3108" i="8"/>
  <c r="F3108" i="8" s="1"/>
  <c r="H175" i="8"/>
  <c r="F175" i="8" s="1"/>
  <c r="H2636" i="8"/>
  <c r="H158" i="8"/>
  <c r="F158" i="8" s="1"/>
  <c r="H174" i="8"/>
  <c r="F174" i="8" s="1"/>
  <c r="H2778" i="8"/>
  <c r="H298" i="8"/>
  <c r="F298" i="8" s="1"/>
  <c r="H253" i="8"/>
  <c r="F253" i="8" s="1"/>
  <c r="H294" i="8"/>
  <c r="H3119" i="8"/>
  <c r="H325" i="8"/>
  <c r="H3208" i="8"/>
  <c r="H3218" i="8"/>
  <c r="H313" i="8"/>
  <c r="H335" i="8"/>
  <c r="H357" i="8"/>
  <c r="H337" i="8"/>
  <c r="H385" i="8"/>
  <c r="H397" i="8"/>
  <c r="H3138" i="8"/>
  <c r="H401" i="8"/>
  <c r="H2696" i="8"/>
  <c r="H546" i="8"/>
  <c r="H459" i="8"/>
  <c r="H3240" i="8"/>
  <c r="H420" i="8"/>
  <c r="H602" i="8"/>
  <c r="H442" i="8"/>
  <c r="H448" i="8"/>
  <c r="H490" i="8"/>
  <c r="H504" i="8"/>
  <c r="H464" i="8"/>
  <c r="H690" i="8"/>
  <c r="H3145" i="8"/>
  <c r="H706" i="8"/>
  <c r="H501" i="8"/>
  <c r="H626" i="8"/>
  <c r="H786" i="8"/>
  <c r="H711" i="8"/>
  <c r="H547" i="8"/>
  <c r="H722" i="8"/>
  <c r="H593" i="8"/>
  <c r="H2885" i="8"/>
  <c r="H3192" i="8"/>
  <c r="H644" i="8"/>
  <c r="H3172" i="8"/>
  <c r="H914" i="8"/>
  <c r="H782" i="8"/>
  <c r="H783" i="8"/>
  <c r="H938" i="8"/>
  <c r="H3195" i="8"/>
  <c r="H954" i="8"/>
  <c r="H970" i="8"/>
  <c r="H1018" i="8"/>
  <c r="H826" i="8"/>
  <c r="H862" i="8"/>
  <c r="H780" i="8"/>
  <c r="H884" i="8"/>
  <c r="H791" i="8"/>
  <c r="H1090" i="8"/>
  <c r="H1098" i="8"/>
  <c r="H880" i="8"/>
  <c r="H861" i="8"/>
  <c r="H925" i="8"/>
  <c r="H715" i="8"/>
  <c r="H745" i="8"/>
  <c r="H1186" i="8"/>
  <c r="H934" i="8"/>
  <c r="H1226" i="8"/>
  <c r="H802" i="8"/>
  <c r="H956" i="8"/>
  <c r="H851" i="8"/>
  <c r="H1298" i="8"/>
  <c r="H1068" i="8"/>
  <c r="H1070" i="8"/>
  <c r="H1040" i="8"/>
  <c r="H908" i="8"/>
  <c r="H1112" i="8"/>
  <c r="H3402" i="8"/>
  <c r="H1144" i="8"/>
  <c r="H1053" i="8"/>
  <c r="H1073" i="8"/>
  <c r="H1192" i="8"/>
  <c r="H3290" i="8"/>
  <c r="H1102" i="8"/>
  <c r="H1095" i="8"/>
  <c r="H1099" i="8"/>
  <c r="H1546" i="8"/>
  <c r="H3415" i="8"/>
  <c r="H1578" i="8"/>
  <c r="H1221" i="8"/>
  <c r="H1602" i="8"/>
  <c r="H1141" i="8"/>
  <c r="H1618" i="8"/>
  <c r="H1177" i="8"/>
  <c r="H1642" i="8"/>
  <c r="H1200" i="8"/>
  <c r="H1300" i="8"/>
  <c r="H1722" i="8"/>
  <c r="H3521" i="8"/>
  <c r="H3524" i="8"/>
  <c r="H1258" i="8"/>
  <c r="H1770" i="8"/>
  <c r="H3339" i="8"/>
  <c r="H1794" i="8"/>
  <c r="H1268" i="8"/>
  <c r="H1810" i="8"/>
  <c r="H1388" i="8"/>
  <c r="H1491" i="8"/>
  <c r="H2988" i="8"/>
  <c r="H1399" i="8"/>
  <c r="H1515" i="8"/>
  <c r="H1478" i="8"/>
  <c r="H1336" i="8"/>
  <c r="H1540" i="8"/>
  <c r="H1544" i="8"/>
  <c r="H3460" i="8"/>
  <c r="H1547" i="8"/>
  <c r="H1962" i="8"/>
  <c r="H1978" i="8"/>
  <c r="H1389" i="8"/>
  <c r="H1994" i="8"/>
  <c r="H1594" i="8"/>
  <c r="H1603" i="8"/>
  <c r="H2050" i="8"/>
  <c r="H1651" i="8"/>
  <c r="H2074" i="8"/>
  <c r="H1499" i="8"/>
  <c r="H3547" i="8"/>
  <c r="H2162" i="8"/>
  <c r="H1621" i="8"/>
  <c r="H2210" i="8"/>
  <c r="H1649" i="8"/>
  <c r="H2250" i="8"/>
  <c r="H2258" i="8"/>
  <c r="H1658" i="8"/>
  <c r="H2274" i="8"/>
  <c r="H3543" i="8"/>
  <c r="H2290" i="8"/>
  <c r="H3548" i="8"/>
  <c r="H1835" i="8"/>
  <c r="H2314" i="8"/>
  <c r="H2322" i="8"/>
  <c r="H3265" i="8"/>
  <c r="H1853" i="8"/>
  <c r="H1753" i="8"/>
  <c r="H2919" i="8"/>
  <c r="H1909" i="8"/>
  <c r="H3432" i="8"/>
  <c r="H2386" i="8"/>
  <c r="H1930" i="8"/>
  <c r="H2410" i="8"/>
  <c r="H2418" i="8"/>
  <c r="H1759" i="8"/>
  <c r="H1807" i="8"/>
  <c r="H2010" i="8"/>
  <c r="H1809" i="8"/>
  <c r="H2474" i="8"/>
  <c r="H2032" i="8"/>
  <c r="H2506" i="8"/>
  <c r="H2514" i="8"/>
  <c r="H2522" i="8"/>
  <c r="H2077" i="8"/>
  <c r="H2082" i="8"/>
  <c r="H3466" i="8"/>
  <c r="H1856" i="8"/>
  <c r="H2103" i="8"/>
  <c r="H1943" i="8"/>
  <c r="H2578" i="8"/>
  <c r="H2111" i="8"/>
  <c r="H3075" i="8"/>
  <c r="H2602" i="8"/>
  <c r="H2129" i="8"/>
  <c r="H3387" i="8"/>
  <c r="H1946" i="8"/>
  <c r="H2033" i="8"/>
  <c r="H1894" i="8"/>
  <c r="H2045" i="8"/>
  <c r="H2674" i="8"/>
  <c r="H2682" i="8"/>
  <c r="H2690" i="8"/>
  <c r="H2706" i="8"/>
  <c r="H2714" i="8"/>
  <c r="H2722" i="8"/>
  <c r="H1924" i="8"/>
  <c r="H2738" i="8"/>
  <c r="H2746" i="8"/>
  <c r="H2754" i="8"/>
  <c r="H3281" i="8"/>
  <c r="H2963" i="8"/>
  <c r="H2794" i="8"/>
  <c r="H2802" i="8"/>
  <c r="H2810" i="8"/>
  <c r="H2818" i="8"/>
  <c r="H2078" i="8"/>
  <c r="H2080" i="8"/>
  <c r="H2311" i="8"/>
  <c r="H2858" i="8"/>
  <c r="H2227" i="8"/>
  <c r="H3500" i="8"/>
  <c r="H2890" i="8"/>
  <c r="H2898" i="8"/>
  <c r="H2922" i="8"/>
  <c r="H2366" i="8"/>
  <c r="H2946" i="8"/>
  <c r="H2083" i="8"/>
  <c r="H2962" i="8"/>
  <c r="H3444" i="8"/>
  <c r="H2124" i="8"/>
  <c r="H3629" i="8"/>
  <c r="H2389" i="8"/>
  <c r="H2160" i="8"/>
  <c r="H2375" i="8"/>
  <c r="H3018" i="8"/>
  <c r="H3026" i="8"/>
  <c r="H2166" i="8"/>
  <c r="H2398" i="8"/>
  <c r="H3520" i="8"/>
  <c r="H3058" i="8"/>
  <c r="H2201" i="8"/>
  <c r="H3074" i="8"/>
  <c r="H2203" i="8"/>
  <c r="H2204" i="8"/>
  <c r="H2212" i="8"/>
  <c r="H3106" i="8"/>
  <c r="H2236" i="8"/>
  <c r="H2439" i="8"/>
  <c r="H2475" i="8"/>
  <c r="H3162" i="8"/>
  <c r="H2282" i="8"/>
  <c r="H2447" i="8"/>
  <c r="H2458" i="8"/>
  <c r="H2283" i="8"/>
  <c r="H2302" i="8"/>
  <c r="H3226" i="8"/>
  <c r="H2367" i="8"/>
  <c r="H2341" i="8"/>
  <c r="H2346" i="8"/>
  <c r="H3298" i="8"/>
  <c r="H3306" i="8"/>
  <c r="H2354" i="8"/>
  <c r="H2365" i="8"/>
  <c r="H3330" i="8"/>
  <c r="H2566" i="8"/>
  <c r="H3378" i="8"/>
  <c r="H2415" i="8"/>
  <c r="H2504" i="8"/>
  <c r="H2510" i="8"/>
  <c r="H3493" i="8"/>
  <c r="H1190" i="8"/>
  <c r="H1230" i="8"/>
  <c r="H1235" i="8"/>
  <c r="H1556" i="8"/>
  <c r="H1152" i="8"/>
  <c r="H1246" i="8"/>
  <c r="H1588" i="8"/>
  <c r="H1225" i="8"/>
  <c r="H3434" i="8"/>
  <c r="H3314" i="8"/>
  <c r="H1628" i="8"/>
  <c r="H1183" i="8"/>
  <c r="H1652" i="8"/>
  <c r="H3274" i="8"/>
  <c r="H1197" i="8"/>
  <c r="H1302" i="8"/>
  <c r="H1308" i="8"/>
  <c r="H1708" i="8"/>
  <c r="H1228" i="8"/>
  <c r="H1732" i="8"/>
  <c r="H2984" i="8"/>
  <c r="H1436" i="8"/>
  <c r="H3527" i="8"/>
  <c r="H1772" i="8"/>
  <c r="H3529" i="8"/>
  <c r="H1796" i="8"/>
  <c r="H1271" i="8"/>
  <c r="H1384" i="8"/>
  <c r="H1820" i="8"/>
  <c r="H1836" i="8"/>
  <c r="H1844" i="8"/>
  <c r="H1860" i="8"/>
  <c r="H1317" i="8"/>
  <c r="H3343" i="8"/>
  <c r="H1468" i="8"/>
  <c r="H1900" i="8"/>
  <c r="H1490" i="8"/>
  <c r="H3366" i="8"/>
  <c r="H1932" i="8"/>
  <c r="H1940" i="8"/>
  <c r="H1524" i="8"/>
  <c r="H1964" i="8"/>
  <c r="H1534" i="8"/>
  <c r="H1988" i="8"/>
  <c r="H1511" i="8"/>
  <c r="H3479" i="8"/>
  <c r="H2012" i="8"/>
  <c r="H1604" i="8"/>
  <c r="H2036" i="8"/>
  <c r="H1424" i="8"/>
  <c r="H1440" i="8"/>
  <c r="H1650" i="8"/>
  <c r="H1549" i="8"/>
  <c r="H1482" i="8"/>
  <c r="H2100" i="8"/>
  <c r="H2116" i="8"/>
  <c r="H1552" i="8"/>
  <c r="H2132" i="8"/>
  <c r="H2140" i="8"/>
  <c r="H1734" i="8"/>
  <c r="H2180" i="8"/>
  <c r="H3395" i="8"/>
  <c r="H2196" i="8"/>
  <c r="H1581" i="8"/>
  <c r="H2220" i="8"/>
  <c r="H1590" i="8"/>
  <c r="H1612" i="8"/>
  <c r="H2244" i="8"/>
  <c r="H2252" i="8"/>
  <c r="H1783" i="8"/>
  <c r="H1798" i="8"/>
  <c r="H3560" i="8"/>
  <c r="H2850" i="8"/>
  <c r="H2292" i="8"/>
  <c r="H2854" i="8"/>
  <c r="H2308" i="8"/>
  <c r="H2316" i="8"/>
  <c r="H3337" i="8"/>
  <c r="H1697" i="8"/>
  <c r="H1780" i="8"/>
  <c r="H2348" i="8"/>
  <c r="H1781" i="8"/>
  <c r="H2364" i="8"/>
  <c r="H3574" i="8"/>
  <c r="H1716" i="8"/>
  <c r="H2388" i="8"/>
  <c r="H1938" i="8"/>
  <c r="H2404" i="8"/>
  <c r="H1954" i="8"/>
  <c r="H1818" i="8"/>
  <c r="H1740" i="8"/>
  <c r="H2436" i="8"/>
  <c r="H2444" i="8"/>
  <c r="H3012" i="8"/>
  <c r="H1846" i="8"/>
  <c r="H2468" i="8"/>
  <c r="H2476" i="8"/>
  <c r="H3463" i="8"/>
  <c r="H2492" i="8"/>
  <c r="H1821" i="8"/>
  <c r="H3566" i="8"/>
  <c r="H1899" i="8"/>
  <c r="H2066" i="8"/>
  <c r="H1851" i="8"/>
  <c r="H2540" i="8"/>
  <c r="H2951" i="8"/>
  <c r="H1937" i="8"/>
  <c r="H1868" i="8"/>
  <c r="H1862" i="8"/>
  <c r="H2580" i="8"/>
  <c r="H1867" i="8"/>
  <c r="H1929" i="8"/>
  <c r="H1972" i="8"/>
  <c r="H2133" i="8"/>
  <c r="H1999" i="8"/>
  <c r="H3602" i="8"/>
  <c r="H2031" i="8"/>
  <c r="H2038" i="8"/>
  <c r="H2660" i="8"/>
  <c r="H1989" i="8"/>
  <c r="H2676" i="8"/>
  <c r="H2069" i="8"/>
  <c r="H2004" i="8"/>
  <c r="H2700" i="8"/>
  <c r="H1913" i="8"/>
  <c r="H2207" i="8"/>
  <c r="H2732" i="8"/>
  <c r="H2740" i="8"/>
  <c r="H2049" i="8"/>
  <c r="H2058" i="8"/>
  <c r="H2764" i="8"/>
  <c r="H1945" i="8"/>
  <c r="H2251" i="8"/>
  <c r="H3077" i="8"/>
  <c r="H2262" i="8"/>
  <c r="H2191" i="8"/>
  <c r="H2812" i="8"/>
  <c r="H1990" i="8"/>
  <c r="H3408" i="8"/>
  <c r="H2836" i="8"/>
  <c r="H3622" i="8"/>
  <c r="H2852" i="8"/>
  <c r="H2860" i="8"/>
  <c r="H2087" i="8"/>
  <c r="H2876" i="8"/>
  <c r="H2232" i="8"/>
  <c r="H2278" i="8"/>
  <c r="H2908" i="8"/>
  <c r="H2344" i="8"/>
  <c r="H2359" i="8"/>
  <c r="H2932" i="8"/>
  <c r="H2940" i="8"/>
  <c r="H2948" i="8"/>
  <c r="H2956" i="8"/>
  <c r="H2370" i="8"/>
  <c r="H2972" i="8"/>
  <c r="H2150" i="8"/>
  <c r="H2356" i="8"/>
  <c r="H2144" i="8"/>
  <c r="H3649" i="8"/>
  <c r="H2147" i="8"/>
  <c r="H3028" i="8"/>
  <c r="H2170" i="8"/>
  <c r="H2178" i="8"/>
  <c r="H3052" i="8"/>
  <c r="H3060" i="8"/>
  <c r="H3068" i="8"/>
  <c r="H3523" i="8"/>
  <c r="H3084" i="8"/>
  <c r="H3092" i="8"/>
  <c r="H2222" i="8"/>
  <c r="H2420" i="8"/>
  <c r="H2435" i="8"/>
  <c r="H3114" i="8"/>
  <c r="H2460" i="8"/>
  <c r="H2225" i="8"/>
  <c r="H3148" i="8"/>
  <c r="H2478" i="8"/>
  <c r="H2505" i="8"/>
  <c r="H2443" i="8"/>
  <c r="H3676" i="8"/>
  <c r="H2525" i="8"/>
  <c r="H3659" i="8"/>
  <c r="H3295" i="8"/>
  <c r="H2323" i="8"/>
  <c r="H3220" i="8"/>
  <c r="H3228" i="8"/>
  <c r="H2495" i="8"/>
  <c r="H3252" i="8"/>
  <c r="H2598" i="8"/>
  <c r="H3680" i="8"/>
  <c r="H2605" i="8"/>
  <c r="H2619" i="8"/>
  <c r="H3304" i="8"/>
  <c r="H2349" i="8"/>
  <c r="H3316" i="8"/>
  <c r="H2644" i="8"/>
  <c r="H3015" i="8"/>
  <c r="H2452" i="8"/>
  <c r="H3348" i="8"/>
  <c r="H2652" i="8"/>
  <c r="H2666" i="8"/>
  <c r="H2677" i="8"/>
  <c r="H2586" i="8"/>
  <c r="H3595" i="8"/>
  <c r="H3396" i="8"/>
  <c r="H3404" i="8"/>
  <c r="H3707" i="8"/>
  <c r="H3420" i="8"/>
  <c r="H3428" i="8"/>
  <c r="H2459" i="8"/>
  <c r="H2637" i="8"/>
  <c r="H3452" i="8"/>
  <c r="H3163" i="8"/>
  <c r="H2771" i="8"/>
  <c r="H3476" i="8"/>
  <c r="H3725" i="8"/>
  <c r="H2512" i="8"/>
  <c r="H3677" i="8"/>
  <c r="H2838" i="8"/>
  <c r="H3532" i="8"/>
  <c r="H2882" i="8"/>
  <c r="H2594" i="8"/>
  <c r="H3700" i="8"/>
  <c r="H3311" i="8"/>
  <c r="H3572" i="8"/>
  <c r="F3572" i="8" s="1"/>
  <c r="H2679" i="8"/>
  <c r="F2679" i="8" s="1"/>
  <c r="H3588" i="8"/>
  <c r="H3596" i="8"/>
  <c r="H2535" i="8"/>
  <c r="F2535" i="8" s="1"/>
  <c r="H3612" i="8"/>
  <c r="H2939" i="8"/>
  <c r="H3628" i="8"/>
  <c r="H3636" i="8"/>
  <c r="H3644" i="8"/>
  <c r="H3652" i="8"/>
  <c r="H2689" i="8"/>
  <c r="H3000" i="8"/>
  <c r="H2693" i="8"/>
  <c r="H3730" i="8"/>
  <c r="H2710" i="8"/>
  <c r="H2718" i="8"/>
  <c r="H2727" i="8"/>
  <c r="H3716" i="8"/>
  <c r="H2748" i="8"/>
  <c r="F2748" i="8" s="1"/>
  <c r="H2588" i="8"/>
  <c r="H3308" i="8"/>
  <c r="H1111" i="8"/>
  <c r="H1118" i="8"/>
  <c r="H1557" i="8"/>
  <c r="H1154" i="8"/>
  <c r="H1573" i="8"/>
  <c r="H1160" i="8"/>
  <c r="H1257" i="8"/>
  <c r="H1597" i="8"/>
  <c r="H1134" i="8"/>
  <c r="H1245" i="8"/>
  <c r="H2793" i="8"/>
  <c r="H1629" i="8"/>
  <c r="H1637" i="8"/>
  <c r="H1645" i="8"/>
  <c r="H3329" i="8"/>
  <c r="H1661" i="8"/>
  <c r="H1669" i="8"/>
  <c r="H1202" i="8"/>
  <c r="H1685" i="8"/>
  <c r="H1310" i="8"/>
  <c r="H1233" i="8"/>
  <c r="H1320" i="8"/>
  <c r="H1241" i="8"/>
  <c r="H1381" i="8"/>
  <c r="H1733" i="8"/>
  <c r="H1249" i="8"/>
  <c r="H1437" i="8"/>
  <c r="H1757" i="8"/>
  <c r="H1765" i="8"/>
  <c r="H1252" i="8"/>
  <c r="H3217" i="8"/>
  <c r="H1262" i="8"/>
  <c r="H1797" i="8"/>
  <c r="H1805" i="8"/>
  <c r="H1813" i="8"/>
  <c r="H3449" i="8"/>
  <c r="H1340" i="8"/>
  <c r="H1837" i="8"/>
  <c r="H1845" i="8"/>
  <c r="H1497" i="8"/>
  <c r="H1861" i="8"/>
  <c r="H1455" i="8"/>
  <c r="H1500" i="8"/>
  <c r="H1893" i="8"/>
  <c r="H3227" i="8"/>
  <c r="H1523" i="8"/>
  <c r="H1535" i="8"/>
  <c r="H1355" i="8"/>
  <c r="H2989" i="8"/>
  <c r="H1965" i="8"/>
  <c r="H1379" i="8"/>
  <c r="H1471" i="8"/>
  <c r="H3475" i="8"/>
  <c r="H1392" i="8"/>
  <c r="H1522" i="8"/>
  <c r="H2883" i="8"/>
  <c r="H1530" i="8"/>
  <c r="H1539" i="8"/>
  <c r="H1633" i="8"/>
  <c r="H1441" i="8"/>
  <c r="H1654" i="8"/>
  <c r="H1655" i="8"/>
  <c r="H1660" i="8"/>
  <c r="H1487" i="8"/>
  <c r="H2101" i="8"/>
  <c r="H1514" i="8"/>
  <c r="H1596" i="8"/>
  <c r="H2835" i="8"/>
  <c r="H2141" i="8"/>
  <c r="H2149" i="8"/>
  <c r="H2165" i="8"/>
  <c r="H1620" i="8"/>
  <c r="H1567" i="8"/>
  <c r="H2189" i="8"/>
  <c r="H3495" i="8"/>
  <c r="H2205" i="8"/>
  <c r="H3317" i="8"/>
  <c r="H2221" i="8"/>
  <c r="H2229" i="8"/>
  <c r="H2237" i="8"/>
  <c r="H1749" i="8"/>
  <c r="H1769" i="8"/>
  <c r="H1676" i="8"/>
  <c r="H2269" i="8"/>
  <c r="H2277" i="8"/>
  <c r="H2293" i="8"/>
  <c r="H1752" i="8"/>
  <c r="H2309" i="8"/>
  <c r="H1756" i="8"/>
  <c r="H1724" i="8"/>
  <c r="H1744" i="8"/>
  <c r="H3422" i="8"/>
  <c r="H1706" i="8"/>
  <c r="H1755" i="8"/>
  <c r="H2373" i="8"/>
  <c r="H2923" i="8"/>
  <c r="H1911" i="8"/>
  <c r="H2405" i="8"/>
  <c r="H1801" i="8"/>
  <c r="H1969" i="8"/>
  <c r="H1831" i="8"/>
  <c r="H2453" i="8"/>
  <c r="H1849" i="8"/>
  <c r="H3439" i="8"/>
  <c r="H3454" i="8"/>
  <c r="H1804" i="8"/>
  <c r="H3558" i="8"/>
  <c r="H2501" i="8"/>
  <c r="H2509" i="8"/>
  <c r="H2039" i="8"/>
  <c r="H1903" i="8"/>
  <c r="H1842" i="8"/>
  <c r="H2097" i="8"/>
  <c r="H2549" i="8"/>
  <c r="H1939" i="8"/>
  <c r="H2565" i="8"/>
  <c r="H1888" i="8"/>
  <c r="H1950" i="8"/>
  <c r="H2589" i="8"/>
  <c r="H2115" i="8"/>
  <c r="H1976" i="8"/>
  <c r="H2613" i="8"/>
  <c r="H2621" i="8"/>
  <c r="H1967" i="8"/>
  <c r="H1982" i="8"/>
  <c r="H3587" i="8"/>
  <c r="H2164" i="8"/>
  <c r="H2006" i="8"/>
  <c r="H3589" i="8"/>
  <c r="H2709" i="8"/>
  <c r="H2717" i="8"/>
  <c r="H2213" i="8"/>
  <c r="H2733" i="8"/>
  <c r="H2741" i="8"/>
  <c r="H2226" i="8"/>
  <c r="H1944" i="8"/>
  <c r="H2059" i="8"/>
  <c r="H2060" i="8"/>
  <c r="H1963" i="8"/>
  <c r="H1983" i="8"/>
  <c r="H2280" i="8"/>
  <c r="H2845" i="8"/>
  <c r="H2853" i="8"/>
  <c r="H2861" i="8"/>
  <c r="H3413" i="8"/>
  <c r="H2877" i="8"/>
  <c r="H3624" i="8"/>
  <c r="H2901" i="8"/>
  <c r="H2301" i="8"/>
  <c r="H2093" i="8"/>
  <c r="H2949" i="8"/>
  <c r="H3508" i="8"/>
  <c r="H2374" i="8"/>
  <c r="H2973" i="8"/>
  <c r="H2134" i="8"/>
  <c r="H2153" i="8"/>
  <c r="H2997" i="8"/>
  <c r="H2145" i="8"/>
  <c r="H3464" i="8"/>
  <c r="H2157" i="8"/>
  <c r="H3647" i="8"/>
  <c r="H3654" i="8"/>
  <c r="H2393" i="8"/>
  <c r="H2992" i="8"/>
  <c r="H3061" i="8"/>
  <c r="H3651" i="8"/>
  <c r="H3093" i="8"/>
  <c r="H3101" i="8"/>
  <c r="H3109" i="8"/>
  <c r="H3117" i="8"/>
  <c r="H3125" i="8"/>
  <c r="H2461" i="8"/>
  <c r="H2472" i="8"/>
  <c r="H3149" i="8"/>
  <c r="H3656" i="8"/>
  <c r="H3173" i="8"/>
  <c r="H3678" i="8"/>
  <c r="H3197" i="8"/>
  <c r="H2287" i="8"/>
  <c r="H2556" i="8"/>
  <c r="H3681" i="8"/>
  <c r="H2313" i="8"/>
  <c r="H2342" i="8"/>
  <c r="H2518" i="8"/>
  <c r="H2403" i="8"/>
  <c r="H2524" i="8"/>
  <c r="H3301" i="8"/>
  <c r="H3309" i="8"/>
  <c r="H2539" i="8"/>
  <c r="H2368" i="8"/>
  <c r="H3580" i="8"/>
  <c r="H3357" i="8"/>
  <c r="H2577" i="8"/>
  <c r="H3373" i="8"/>
  <c r="H2691" i="8"/>
  <c r="H3389" i="8"/>
  <c r="H3669" i="8"/>
  <c r="H2612" i="8"/>
  <c r="H2724" i="8"/>
  <c r="H3429" i="8"/>
  <c r="H2734" i="8"/>
  <c r="H2554" i="8"/>
  <c r="H3453" i="8"/>
  <c r="H3461" i="8"/>
  <c r="H3469" i="8"/>
  <c r="H3477" i="8"/>
  <c r="H2798" i="8"/>
  <c r="F2798" i="8" s="1"/>
  <c r="H2799" i="8"/>
  <c r="H2503" i="8"/>
  <c r="H3525" i="8"/>
  <c r="H2585" i="8"/>
  <c r="H3557" i="8"/>
  <c r="F3557" i="8" s="1"/>
  <c r="H3565" i="8"/>
  <c r="H3573" i="8"/>
  <c r="H3581" i="8"/>
  <c r="H2634" i="8"/>
  <c r="H3597" i="8"/>
  <c r="H2681" i="8"/>
  <c r="F2681" i="8" s="1"/>
  <c r="H2966" i="8"/>
  <c r="H3637" i="8"/>
  <c r="H2971" i="8"/>
  <c r="H3729" i="8"/>
  <c r="H3661" i="8"/>
  <c r="H3685" i="8"/>
  <c r="H3693" i="8"/>
  <c r="H2719" i="8"/>
  <c r="H3736" i="8"/>
  <c r="H2729" i="8"/>
  <c r="H2584" i="8"/>
  <c r="H1975" i="8"/>
  <c r="H198" i="8"/>
  <c r="H200" i="8"/>
  <c r="F200" i="8" s="1"/>
  <c r="H239" i="8"/>
  <c r="F239" i="8" s="1"/>
  <c r="H240" i="8"/>
  <c r="H264" i="8"/>
  <c r="H288" i="8"/>
  <c r="F288" i="8" s="1"/>
  <c r="H390" i="8"/>
  <c r="F390" i="8" s="1"/>
  <c r="H327" i="8"/>
  <c r="H362" i="8"/>
  <c r="H502" i="8"/>
  <c r="H3384" i="8"/>
  <c r="H566" i="8"/>
  <c r="H582" i="8"/>
  <c r="H2834" i="8"/>
  <c r="H3414" i="8"/>
  <c r="H3277" i="8"/>
  <c r="H543" i="8"/>
  <c r="H528" i="8"/>
  <c r="H726" i="8"/>
  <c r="H734" i="8"/>
  <c r="H742" i="8"/>
  <c r="H568" i="8"/>
  <c r="H570" i="8"/>
  <c r="H670" i="8"/>
  <c r="H3157" i="8"/>
  <c r="H694" i="8"/>
  <c r="H571" i="8"/>
  <c r="H806" i="8"/>
  <c r="H3307" i="8"/>
  <c r="H822" i="8"/>
  <c r="H3121" i="8"/>
  <c r="H846" i="8"/>
  <c r="H854" i="8"/>
  <c r="H629" i="8"/>
  <c r="H886" i="8"/>
  <c r="H910" i="8"/>
  <c r="H682" i="8"/>
  <c r="H958" i="8"/>
  <c r="H3340" i="8"/>
  <c r="H720" i="8"/>
  <c r="H3438" i="8"/>
  <c r="H750" i="8"/>
  <c r="H1046" i="8"/>
  <c r="H649" i="8"/>
  <c r="H856" i="8"/>
  <c r="H869" i="8"/>
  <c r="H799" i="8"/>
  <c r="H3212" i="8"/>
  <c r="H671" i="8"/>
  <c r="H858" i="8"/>
  <c r="H868" i="8"/>
  <c r="H1142" i="8"/>
  <c r="H3198" i="8"/>
  <c r="H3203" i="8"/>
  <c r="H746" i="8"/>
  <c r="H922" i="8"/>
  <c r="H931" i="8"/>
  <c r="H937" i="8"/>
  <c r="H1206" i="8"/>
  <c r="H985" i="8"/>
  <c r="H946" i="8"/>
  <c r="H1019" i="8"/>
  <c r="H962" i="8"/>
  <c r="H1294" i="8"/>
  <c r="H996" i="8"/>
  <c r="H1026" i="8"/>
  <c r="H1034" i="8"/>
  <c r="H3394" i="8"/>
  <c r="H989" i="8"/>
  <c r="H1358" i="8"/>
  <c r="H1092" i="8"/>
  <c r="H1374" i="8"/>
  <c r="H1114" i="8"/>
  <c r="H1406" i="8"/>
  <c r="H1414" i="8"/>
  <c r="H1125" i="8"/>
  <c r="H1430" i="8"/>
  <c r="H1151" i="8"/>
  <c r="H1462" i="8"/>
  <c r="H1161" i="8"/>
  <c r="H1139" i="8"/>
  <c r="H1486" i="8"/>
  <c r="H1494" i="8"/>
  <c r="H3287" i="8"/>
  <c r="H1510" i="8"/>
  <c r="H1194" i="8"/>
  <c r="H1201" i="8"/>
  <c r="H3407" i="8"/>
  <c r="H2783" i="8"/>
  <c r="H1574" i="8"/>
  <c r="H1582" i="8"/>
  <c r="H1168" i="8"/>
  <c r="H1598" i="8"/>
  <c r="H1234" i="8"/>
  <c r="H1153" i="8"/>
  <c r="H1169" i="8"/>
  <c r="H1287" i="8"/>
  <c r="H1196" i="8"/>
  <c r="H3211" i="8"/>
  <c r="H1289" i="8"/>
  <c r="H3332" i="8"/>
  <c r="H1222" i="8"/>
  <c r="H1318" i="8"/>
  <c r="H1726" i="8"/>
  <c r="H3213" i="8"/>
  <c r="H1766" i="8"/>
  <c r="H1264" i="8"/>
  <c r="H1782" i="8"/>
  <c r="H3341" i="8"/>
  <c r="H2813" i="8"/>
  <c r="H1385" i="8"/>
  <c r="H1822" i="8"/>
  <c r="H1830" i="8"/>
  <c r="H1428" i="8"/>
  <c r="H1444" i="8"/>
  <c r="H2822" i="8"/>
  <c r="H1393" i="8"/>
  <c r="H1457" i="8"/>
  <c r="H3450" i="8"/>
  <c r="H1902" i="8"/>
  <c r="H1918" i="8"/>
  <c r="H1926" i="8"/>
  <c r="H2841" i="8"/>
  <c r="H1942" i="8"/>
  <c r="H3236" i="8"/>
  <c r="H3484" i="8"/>
  <c r="H2014" i="8"/>
  <c r="H1617" i="8"/>
  <c r="H1632" i="8"/>
  <c r="H1667" i="8"/>
  <c r="H2094" i="8"/>
  <c r="H2102" i="8"/>
  <c r="H2902" i="8"/>
  <c r="H3386" i="8"/>
  <c r="H2126" i="8"/>
  <c r="H1553" i="8"/>
  <c r="H1555" i="8"/>
  <c r="H2158" i="8"/>
  <c r="H1615" i="8"/>
  <c r="H2174" i="8"/>
  <c r="H1571" i="8"/>
  <c r="H1695" i="8"/>
  <c r="H2214" i="8"/>
  <c r="H1586" i="8"/>
  <c r="H1623" i="8"/>
  <c r="H1777" i="8"/>
  <c r="H3260" i="8"/>
  <c r="H2294" i="8"/>
  <c r="H1673" i="8"/>
  <c r="H2310" i="8"/>
  <c r="H2318" i="8"/>
  <c r="H3412" i="8"/>
  <c r="H2350" i="8"/>
  <c r="H2358" i="8"/>
  <c r="H1910" i="8"/>
  <c r="H1792" i="8"/>
  <c r="H1800" i="8"/>
  <c r="H1735" i="8"/>
  <c r="H2422" i="8"/>
  <c r="H2430" i="8"/>
  <c r="H1741" i="8"/>
  <c r="H2454" i="8"/>
  <c r="H2022" i="8"/>
  <c r="H2486" i="8"/>
  <c r="H1884" i="8"/>
  <c r="H3037" i="8"/>
  <c r="H2054" i="8"/>
  <c r="H1917" i="8"/>
  <c r="H2550" i="8"/>
  <c r="H2107" i="8"/>
  <c r="H1906" i="8"/>
  <c r="H1953" i="8"/>
  <c r="H3591" i="8"/>
  <c r="H2117" i="8"/>
  <c r="H2135" i="8"/>
  <c r="H1933" i="8"/>
  <c r="H2638" i="8"/>
  <c r="H3487" i="8"/>
  <c r="H1892" i="8"/>
  <c r="H2662" i="8"/>
  <c r="H1904" i="8"/>
  <c r="H2176" i="8"/>
  <c r="H3594" i="8"/>
  <c r="H2726" i="8"/>
  <c r="H2742" i="8"/>
  <c r="H2750" i="8"/>
  <c r="H2758" i="8"/>
  <c r="H3494" i="8"/>
  <c r="H2774" i="8"/>
  <c r="H2782" i="8"/>
  <c r="H2254" i="8"/>
  <c r="H2814" i="8"/>
  <c r="H2194" i="8"/>
  <c r="H2084" i="8"/>
  <c r="H2870" i="8"/>
  <c r="H2878" i="8"/>
  <c r="H3630" i="8"/>
  <c r="H2241" i="8"/>
  <c r="H2013" i="8"/>
  <c r="H2910" i="8"/>
  <c r="H2934" i="8"/>
  <c r="H2950" i="8"/>
  <c r="H2088" i="8"/>
  <c r="H2328" i="8"/>
  <c r="H2334" i="8"/>
  <c r="H2982" i="8"/>
  <c r="H2383" i="8"/>
  <c r="H2362" i="8"/>
  <c r="H3006" i="8"/>
  <c r="H3014" i="8"/>
  <c r="H3030" i="8"/>
  <c r="H2173" i="8"/>
  <c r="H3046" i="8"/>
  <c r="H3474" i="8"/>
  <c r="H3078" i="8"/>
  <c r="H2208" i="8"/>
  <c r="H2215" i="8"/>
  <c r="H2412" i="8"/>
  <c r="H3592" i="8"/>
  <c r="H2429" i="8"/>
  <c r="H3142" i="8"/>
  <c r="H3120" i="8"/>
  <c r="H2563" i="8"/>
  <c r="H2576" i="8"/>
  <c r="H2498" i="8"/>
  <c r="H3262" i="8"/>
  <c r="H2519" i="8"/>
  <c r="H2623" i="8"/>
  <c r="H3302" i="8"/>
  <c r="H3326" i="8"/>
  <c r="H3342" i="8"/>
  <c r="H2592" i="8"/>
  <c r="H2698" i="8"/>
  <c r="H3710" i="8"/>
  <c r="H2769" i="8"/>
  <c r="H3502" i="8"/>
  <c r="H2699" i="8"/>
  <c r="H3023" i="8"/>
  <c r="H3679" i="8"/>
  <c r="H2974" i="8"/>
  <c r="H3615" i="8"/>
  <c r="H3583" i="8"/>
  <c r="H3719" i="8"/>
  <c r="H3519" i="8"/>
  <c r="H2479" i="8"/>
  <c r="H3455" i="8"/>
  <c r="H3423" i="8"/>
  <c r="H2970" i="8"/>
  <c r="H2664" i="8"/>
  <c r="H2446" i="8"/>
  <c r="H3668" i="8"/>
  <c r="H3263" i="8"/>
  <c r="H2319" i="8"/>
  <c r="H2467" i="8"/>
  <c r="H2261" i="8"/>
  <c r="H2246" i="8"/>
  <c r="H2413" i="8"/>
  <c r="H2182" i="8"/>
  <c r="H2390" i="8"/>
  <c r="H2391" i="8"/>
  <c r="H2975" i="8"/>
  <c r="H2106" i="8"/>
  <c r="H2286" i="8"/>
  <c r="H2879" i="8"/>
  <c r="H2847" i="8"/>
  <c r="H2284" i="8"/>
  <c r="H1981" i="8"/>
  <c r="H2751" i="8"/>
  <c r="H1812" i="8"/>
  <c r="H1401" i="8"/>
  <c r="H916" i="8"/>
  <c r="H3041" i="8"/>
  <c r="H3705" i="8"/>
  <c r="F3705" i="8" s="1"/>
  <c r="H3010" i="8"/>
  <c r="H3641" i="8"/>
  <c r="H2645" i="8"/>
  <c r="F2645" i="8" s="1"/>
  <c r="H3577" i="8"/>
  <c r="H3545" i="8"/>
  <c r="H3711" i="8"/>
  <c r="H3481" i="8"/>
  <c r="H2564" i="8"/>
  <c r="H2704" i="8"/>
  <c r="H2411" i="8"/>
  <c r="H2473" i="8"/>
  <c r="H2442" i="8"/>
  <c r="H2616" i="8"/>
  <c r="H2590" i="8"/>
  <c r="H2964" i="8"/>
  <c r="H3008" i="8"/>
  <c r="H2502" i="8"/>
  <c r="H2995" i="8"/>
  <c r="H3097" i="8"/>
  <c r="H2408" i="8"/>
  <c r="H3033" i="8"/>
  <c r="H3001" i="8"/>
  <c r="H2969" i="8"/>
  <c r="H2099" i="8"/>
  <c r="H2905" i="8"/>
  <c r="H3090" i="8"/>
  <c r="H1996" i="8"/>
  <c r="H2270" i="8"/>
  <c r="H3498" i="8"/>
  <c r="H1936" i="8"/>
  <c r="H2629" i="8"/>
  <c r="H2832" i="8"/>
  <c r="H3246" i="8"/>
  <c r="H2591" i="8"/>
  <c r="H3703" i="8"/>
  <c r="H2692" i="8"/>
  <c r="H3639" i="8"/>
  <c r="H3607" i="8"/>
  <c r="H3575" i="8"/>
  <c r="H3166" i="8"/>
  <c r="H3511" i="8"/>
  <c r="H2568" i="8"/>
  <c r="H2762" i="8"/>
  <c r="H3687" i="8"/>
  <c r="H2500" i="8"/>
  <c r="H3351" i="8"/>
  <c r="H2438" i="8"/>
  <c r="H2345" i="8"/>
  <c r="H2333" i="8"/>
  <c r="H3682" i="8"/>
  <c r="H3191" i="8"/>
  <c r="H3294" i="8"/>
  <c r="H3127" i="8"/>
  <c r="H3095" i="8"/>
  <c r="H2192" i="8"/>
  <c r="H2385" i="8"/>
  <c r="H3113" i="8"/>
  <c r="H2119" i="8"/>
  <c r="H2935" i="8"/>
  <c r="H2903" i="8"/>
  <c r="H2871" i="8"/>
  <c r="H2839" i="8"/>
  <c r="H2807" i="8"/>
  <c r="H2775" i="8"/>
  <c r="H3600" i="8"/>
  <c r="H913" i="8"/>
  <c r="H3737" i="8"/>
  <c r="H3697" i="8"/>
  <c r="H2996" i="8"/>
  <c r="H3633" i="8"/>
  <c r="H3601" i="8"/>
  <c r="H3569" i="8"/>
  <c r="H2866" i="8"/>
  <c r="H2804" i="8"/>
  <c r="H3473" i="8"/>
  <c r="H3441" i="8"/>
  <c r="H3409" i="8"/>
  <c r="H2496" i="8"/>
  <c r="H3345" i="8"/>
  <c r="H3313" i="8"/>
  <c r="H2604" i="8"/>
  <c r="H3672" i="8"/>
  <c r="H2557" i="8"/>
  <c r="H3185" i="8"/>
  <c r="H2264" i="8"/>
  <c r="H3483" i="8"/>
  <c r="H3089" i="8"/>
  <c r="H3057" i="8"/>
  <c r="H2382" i="8"/>
  <c r="H2120" i="8"/>
  <c r="H2317" i="8"/>
  <c r="H2929" i="8"/>
  <c r="H2273" i="8"/>
  <c r="H2865" i="8"/>
  <c r="H2206" i="8"/>
  <c r="H3400" i="8"/>
  <c r="H2139" i="8"/>
  <c r="H1957" i="8"/>
  <c r="H860" i="8"/>
  <c r="H3727" i="8"/>
  <c r="H2560" i="8"/>
  <c r="H2536" i="8"/>
  <c r="F2536" i="8" s="1"/>
  <c r="H3631" i="8"/>
  <c r="H3708" i="8"/>
  <c r="H2895" i="8"/>
  <c r="H3535" i="8"/>
  <c r="H2803" i="8"/>
  <c r="H2477" i="8"/>
  <c r="H2466" i="8"/>
  <c r="H2527" i="8"/>
  <c r="H3151" i="8"/>
  <c r="H3690" i="8"/>
  <c r="H2635" i="8"/>
  <c r="H2407" i="8"/>
  <c r="H3247" i="8"/>
  <c r="H2329" i="8"/>
  <c r="H2521" i="8"/>
  <c r="H2256" i="8"/>
  <c r="H2437" i="8"/>
  <c r="H2409" i="8"/>
  <c r="H3055" i="8"/>
  <c r="H2377" i="8"/>
  <c r="H2991" i="8"/>
  <c r="H2112" i="8"/>
  <c r="H2927" i="8"/>
  <c r="H2259" i="8"/>
  <c r="H2863" i="8"/>
  <c r="H2831" i="8"/>
  <c r="H2167" i="8"/>
  <c r="H2245" i="8"/>
  <c r="H1087" i="8"/>
  <c r="H2743" i="8"/>
  <c r="H2546" i="8"/>
  <c r="H3657" i="8"/>
  <c r="H3625" i="8"/>
  <c r="H3593" i="8"/>
  <c r="H3561" i="8"/>
  <c r="H2849" i="8"/>
  <c r="H2582" i="8"/>
  <c r="H3465" i="8"/>
  <c r="H2450" i="8"/>
  <c r="H3401" i="8"/>
  <c r="H3369" i="8"/>
  <c r="H2552" i="8"/>
  <c r="H3546" i="8"/>
  <c r="H2603" i="8"/>
  <c r="H2360" i="8"/>
  <c r="H3209" i="8"/>
  <c r="H3177" i="8"/>
  <c r="H2234" i="8"/>
  <c r="H2228" i="8"/>
  <c r="H3081" i="8"/>
  <c r="H2399" i="8"/>
  <c r="H3017" i="8"/>
  <c r="H2340" i="8"/>
  <c r="H3435" i="8"/>
  <c r="H2299" i="8"/>
  <c r="H2938" i="8"/>
  <c r="H2324" i="8"/>
  <c r="H2825" i="8"/>
  <c r="H1984" i="8"/>
  <c r="H3391" i="8"/>
  <c r="H2053" i="8"/>
  <c r="H2959" i="8"/>
  <c r="H594" i="8"/>
  <c r="H3031" i="8"/>
  <c r="H2701" i="8"/>
  <c r="H3655" i="8"/>
  <c r="H3623" i="8"/>
  <c r="H2911" i="8"/>
  <c r="H3559" i="8"/>
  <c r="H2840" i="8"/>
  <c r="H2574" i="8"/>
  <c r="H3021" i="8"/>
  <c r="H3431" i="8"/>
  <c r="H3673" i="8"/>
  <c r="H3367" i="8"/>
  <c r="H3335" i="8"/>
  <c r="H2428" i="8"/>
  <c r="H2380" i="8"/>
  <c r="H3239" i="8"/>
  <c r="H3207" i="8"/>
  <c r="H2281" i="8"/>
  <c r="H2441" i="8"/>
  <c r="H2419" i="8"/>
  <c r="H3478" i="8"/>
  <c r="H2394" i="8"/>
  <c r="H3518" i="8"/>
  <c r="H2113" i="8"/>
  <c r="H2076" i="8"/>
  <c r="H2037" i="8"/>
  <c r="H2887" i="8"/>
  <c r="H2217" i="8"/>
  <c r="H2297" i="8"/>
  <c r="H2791" i="8"/>
  <c r="H3609" i="8"/>
  <c r="H1512" i="8"/>
  <c r="H1086" i="8"/>
  <c r="H2873" i="8"/>
  <c r="H40" i="8"/>
  <c r="F40" i="8" s="1"/>
  <c r="H3368" i="8"/>
  <c r="F3368" i="8" s="1"/>
  <c r="H80" i="8"/>
  <c r="F80" i="8" s="1"/>
  <c r="H104" i="8"/>
  <c r="F104" i="8" s="1"/>
  <c r="H128" i="8"/>
  <c r="F128" i="8" s="1"/>
  <c r="H3182" i="8"/>
  <c r="F3182" i="8" s="1"/>
  <c r="H296" i="8"/>
  <c r="F296" i="8" s="1"/>
  <c r="H304" i="8"/>
  <c r="F304" i="8" s="1"/>
  <c r="H320" i="8"/>
  <c r="F320" i="8" s="1"/>
  <c r="H293" i="8"/>
  <c r="H2808" i="8"/>
  <c r="H460" i="8"/>
  <c r="H475" i="8"/>
  <c r="H744" i="8"/>
  <c r="H800" i="8"/>
  <c r="H824" i="8"/>
  <c r="H2715" i="8"/>
  <c r="H725" i="8"/>
  <c r="H3126" i="8"/>
  <c r="H643" i="8"/>
  <c r="H912" i="8"/>
  <c r="H928" i="8"/>
  <c r="H984" i="8"/>
  <c r="H2915" i="8"/>
  <c r="H1056" i="8"/>
  <c r="H863" i="8"/>
  <c r="H1248" i="8"/>
  <c r="H1059" i="8"/>
  <c r="H1416" i="8"/>
  <c r="H1568" i="8"/>
  <c r="H1648" i="8"/>
  <c r="H1760" i="8"/>
  <c r="H1304" i="8"/>
  <c r="H3537" i="8"/>
  <c r="H1560" i="8"/>
  <c r="H2384" i="8"/>
  <c r="H2424" i="8"/>
  <c r="H2456" i="8"/>
  <c r="H2184" i="8"/>
  <c r="H2864" i="8"/>
  <c r="H2372" i="8"/>
  <c r="H3653" i="8"/>
  <c r="H3144" i="8"/>
  <c r="H3152" i="8"/>
  <c r="H2481" i="8"/>
  <c r="H2291" i="8"/>
  <c r="H2263" i="8"/>
  <c r="H2534" i="8"/>
  <c r="H3216" i="8"/>
  <c r="H3224" i="8"/>
  <c r="H2517" i="8"/>
  <c r="H3264" i="8"/>
  <c r="H3272" i="8"/>
  <c r="H2414" i="8"/>
  <c r="H2530" i="8"/>
  <c r="H3296" i="8"/>
  <c r="H2624" i="8"/>
  <c r="H2538" i="8"/>
  <c r="H2541" i="8"/>
  <c r="H3336" i="8"/>
  <c r="H3352" i="8"/>
  <c r="H2571" i="8"/>
  <c r="H2670" i="8"/>
  <c r="H2697" i="8"/>
  <c r="H3416" i="8"/>
  <c r="H2618" i="8"/>
  <c r="H3448" i="8"/>
  <c r="H2768" i="8"/>
  <c r="H2642" i="8"/>
  <c r="H3704" i="8"/>
  <c r="H3488" i="8"/>
  <c r="H3496" i="8"/>
  <c r="H3504" i="8"/>
  <c r="H2667" i="8"/>
  <c r="F2667" i="8" s="1"/>
  <c r="H2526" i="8"/>
  <c r="H3714" i="8"/>
  <c r="H2593" i="8"/>
  <c r="H2894" i="8"/>
  <c r="H3552" i="8"/>
  <c r="H3723" i="8"/>
  <c r="H3568" i="8"/>
  <c r="H3576" i="8"/>
  <c r="H3584" i="8"/>
  <c r="H3731" i="8"/>
  <c r="H3709" i="8"/>
  <c r="H3608" i="8"/>
  <c r="H3346" i="8"/>
  <c r="H3712" i="8"/>
  <c r="H3632" i="8"/>
  <c r="H3717" i="8"/>
  <c r="H3648" i="8"/>
  <c r="H2985" i="8"/>
  <c r="F2985" i="8" s="1"/>
  <c r="H3664" i="8"/>
  <c r="H2543" i="8"/>
  <c r="H3035" i="8"/>
  <c r="H3688" i="8"/>
  <c r="H3696" i="8"/>
  <c r="H3019" i="8"/>
  <c r="H3175" i="8"/>
  <c r="H3720" i="8"/>
  <c r="H2756" i="8"/>
  <c r="H81" i="8"/>
  <c r="F81" i="8" s="1"/>
  <c r="H168" i="8"/>
  <c r="F168" i="8" s="1"/>
  <c r="H146" i="8"/>
  <c r="F146" i="8" s="1"/>
  <c r="H194" i="8"/>
  <c r="F194" i="8" s="1"/>
  <c r="H222" i="8"/>
  <c r="F222" i="8" s="1"/>
  <c r="H374" i="8"/>
  <c r="H520" i="8"/>
  <c r="H3238" i="8"/>
  <c r="H439" i="8"/>
  <c r="H680" i="8"/>
  <c r="H672" i="8"/>
  <c r="H573" i="8"/>
  <c r="H751" i="8"/>
  <c r="H3327" i="8"/>
  <c r="H920" i="8"/>
  <c r="H944" i="8"/>
  <c r="H2920" i="8"/>
  <c r="H965" i="8"/>
  <c r="H971" i="8"/>
  <c r="H1045" i="8"/>
  <c r="H1360" i="8"/>
  <c r="H1064" i="8"/>
  <c r="H1173" i="8"/>
  <c r="H3503" i="8"/>
  <c r="H1584" i="8"/>
  <c r="H1375" i="8"/>
  <c r="H3513" i="8"/>
  <c r="H1720" i="8"/>
  <c r="H3333" i="8"/>
  <c r="H3385" i="8"/>
  <c r="H1721" i="8"/>
  <c r="H1869" i="8"/>
  <c r="H1829" i="8"/>
  <c r="H3382" i="8"/>
  <c r="H1980" i="8"/>
  <c r="H2079" i="8"/>
  <c r="H2958" i="8"/>
  <c r="H3492" i="8"/>
  <c r="H2247" i="8"/>
  <c r="H3640" i="8"/>
  <c r="H2960" i="8"/>
  <c r="H3510" i="8"/>
  <c r="H2976" i="8"/>
  <c r="H3016" i="8"/>
  <c r="H3728" i="8"/>
  <c r="H2" i="8"/>
  <c r="H2683" i="8"/>
  <c r="F2683" i="8" s="1"/>
  <c r="H90" i="8"/>
  <c r="F90" i="8" s="1"/>
  <c r="H88" i="8"/>
  <c r="H114" i="8"/>
  <c r="H218" i="8"/>
  <c r="F218" i="8" s="1"/>
  <c r="H3059" i="8"/>
  <c r="F3059" i="8" s="1"/>
  <c r="H242" i="8"/>
  <c r="F242" i="8" s="1"/>
  <c r="H230" i="8"/>
  <c r="F230" i="8" s="1"/>
  <c r="H165" i="8"/>
  <c r="F165" i="8" s="1"/>
  <c r="H224" i="8"/>
  <c r="H2654" i="8"/>
  <c r="H238" i="8"/>
  <c r="F238" i="8" s="1"/>
  <c r="H247" i="8"/>
  <c r="F247" i="8" s="1"/>
  <c r="H314" i="8"/>
  <c r="F314" i="8" s="1"/>
  <c r="H330" i="8"/>
  <c r="F330" i="8" s="1"/>
  <c r="H338" i="8"/>
  <c r="F338" i="8" s="1"/>
  <c r="H300" i="8"/>
  <c r="H2787" i="8"/>
  <c r="H386" i="8"/>
  <c r="F386" i="8" s="1"/>
  <c r="H402" i="8"/>
  <c r="H342" i="8"/>
  <c r="H434" i="8"/>
  <c r="H379" i="8"/>
  <c r="H364" i="8"/>
  <c r="H3129" i="8"/>
  <c r="H433" i="8"/>
  <c r="H506" i="8"/>
  <c r="H554" i="8"/>
  <c r="H381" i="8"/>
  <c r="H473" i="8"/>
  <c r="H642" i="8"/>
  <c r="H530" i="8"/>
  <c r="H538" i="8"/>
  <c r="H674" i="8"/>
  <c r="H3104" i="8"/>
  <c r="H24" i="8"/>
  <c r="H48" i="8"/>
  <c r="F48" i="8" s="1"/>
  <c r="H70" i="8"/>
  <c r="H96" i="8"/>
  <c r="F96" i="8" s="1"/>
  <c r="H120" i="8"/>
  <c r="H110" i="8"/>
  <c r="H160" i="8"/>
  <c r="H219" i="8"/>
  <c r="F219" i="8" s="1"/>
  <c r="H286" i="8"/>
  <c r="F286" i="8" s="1"/>
  <c r="H315" i="8"/>
  <c r="H279" i="8"/>
  <c r="H322" i="8"/>
  <c r="H472" i="8"/>
  <c r="H480" i="8"/>
  <c r="H392" i="8"/>
  <c r="H736" i="8"/>
  <c r="H718" i="8"/>
  <c r="H647" i="8"/>
  <c r="H775" i="8"/>
  <c r="H1035" i="8"/>
  <c r="H1672" i="8"/>
  <c r="H1369" i="8"/>
  <c r="H2827" i="8"/>
  <c r="H2065" i="8"/>
  <c r="H8" i="8"/>
  <c r="H32" i="8"/>
  <c r="H64" i="8"/>
  <c r="H208" i="8"/>
  <c r="H171" i="8"/>
  <c r="H214" i="8"/>
  <c r="F214" i="8" s="1"/>
  <c r="H161" i="8"/>
  <c r="F161" i="8" s="1"/>
  <c r="H181" i="8"/>
  <c r="F181" i="8" s="1"/>
  <c r="H221" i="8"/>
  <c r="H2707" i="8"/>
  <c r="H413" i="8"/>
  <c r="H523" i="8"/>
  <c r="H560" i="8"/>
  <c r="H614" i="8"/>
  <c r="H732" i="8"/>
  <c r="H3350" i="8"/>
  <c r="H769" i="8"/>
  <c r="H3353" i="8"/>
  <c r="H982" i="8"/>
  <c r="H1009" i="8"/>
  <c r="H1456" i="8"/>
  <c r="H1071" i="8"/>
  <c r="H1198" i="8"/>
  <c r="H1349" i="8"/>
  <c r="H1343" i="8"/>
  <c r="H3390" i="8"/>
  <c r="H1564" i="8"/>
  <c r="H2200" i="8"/>
  <c r="H1639" i="8"/>
  <c r="H3567" i="8"/>
  <c r="H2448" i="8"/>
  <c r="H1876" i="8"/>
  <c r="H2688" i="8"/>
  <c r="H2193" i="8"/>
  <c r="H2888" i="8"/>
  <c r="H2952" i="8"/>
  <c r="H3168" i="8"/>
  <c r="H9" i="8"/>
  <c r="H17" i="8"/>
  <c r="H25" i="8"/>
  <c r="H33" i="8"/>
  <c r="F33" i="8" s="1"/>
  <c r="H41" i="8"/>
  <c r="F41" i="8" s="1"/>
  <c r="H47" i="8"/>
  <c r="H3178" i="8"/>
  <c r="F3178" i="8" s="1"/>
  <c r="H57" i="8"/>
  <c r="F57" i="8" s="1"/>
  <c r="H56" i="8"/>
  <c r="H66" i="8"/>
  <c r="F66" i="8" s="1"/>
  <c r="H89" i="8"/>
  <c r="F89" i="8" s="1"/>
  <c r="H75" i="8"/>
  <c r="H105" i="8"/>
  <c r="H93" i="8"/>
  <c r="H100" i="8"/>
  <c r="F100" i="8" s="1"/>
  <c r="H115" i="8"/>
  <c r="H137" i="8"/>
  <c r="F137" i="8" s="1"/>
  <c r="H2759" i="8"/>
  <c r="F2759" i="8" s="1"/>
  <c r="H124" i="8"/>
  <c r="F124" i="8" s="1"/>
  <c r="H3088" i="8"/>
  <c r="F3088" i="8" s="1"/>
  <c r="H169" i="8"/>
  <c r="H145" i="8"/>
  <c r="F145" i="8" s="1"/>
  <c r="H3045" i="8"/>
  <c r="F3045" i="8" s="1"/>
  <c r="H3050" i="8"/>
  <c r="F3050" i="8" s="1"/>
  <c r="H164" i="8"/>
  <c r="H173" i="8"/>
  <c r="H3372" i="8"/>
  <c r="F3372" i="8" s="1"/>
  <c r="H233" i="8"/>
  <c r="F233" i="8" s="1"/>
  <c r="H188" i="8"/>
  <c r="H228" i="8"/>
  <c r="F228" i="8" s="1"/>
  <c r="H257" i="8"/>
  <c r="H265" i="8"/>
  <c r="H217" i="8"/>
  <c r="H281" i="8"/>
  <c r="F281" i="8" s="1"/>
  <c r="H184" i="8"/>
  <c r="F184" i="8" s="1"/>
  <c r="H297" i="8"/>
  <c r="F297" i="8" s="1"/>
  <c r="H245" i="8"/>
  <c r="F245" i="8" s="1"/>
  <c r="H251" i="8"/>
  <c r="F251" i="8" s="1"/>
  <c r="H2658" i="8"/>
  <c r="H248" i="8"/>
  <c r="F248" i="8" s="1"/>
  <c r="H2678" i="8"/>
  <c r="H249" i="8"/>
  <c r="F249" i="8" s="1"/>
  <c r="H3201" i="8"/>
  <c r="F3201" i="8" s="1"/>
  <c r="H299" i="8"/>
  <c r="F299" i="8" s="1"/>
  <c r="H254" i="8"/>
  <c r="F254" i="8" s="1"/>
  <c r="H305" i="8"/>
  <c r="H303" i="8"/>
  <c r="H393" i="8"/>
  <c r="H319" i="8"/>
  <c r="H3210" i="8"/>
  <c r="H417" i="8"/>
  <c r="H369" i="8"/>
  <c r="H355" i="8"/>
  <c r="H321" i="8"/>
  <c r="H388" i="8"/>
  <c r="H389" i="8"/>
  <c r="H465" i="8"/>
  <c r="H418" i="8"/>
  <c r="H481" i="8"/>
  <c r="H339" i="8"/>
  <c r="H2821" i="8"/>
  <c r="H409" i="8"/>
  <c r="H348" i="8"/>
  <c r="H521" i="8"/>
  <c r="H424" i="8"/>
  <c r="H416" i="8"/>
  <c r="H545" i="8"/>
  <c r="H438" i="8"/>
  <c r="H368" i="8"/>
  <c r="H469" i="8"/>
  <c r="H3083" i="8"/>
  <c r="H585" i="8"/>
  <c r="H486" i="8"/>
  <c r="H601" i="8"/>
  <c r="H609" i="8"/>
  <c r="H617" i="8"/>
  <c r="H454" i="8"/>
  <c r="H3417" i="8"/>
  <c r="H511" i="8"/>
  <c r="H2844" i="8"/>
  <c r="H482" i="8"/>
  <c r="H539" i="8"/>
  <c r="H673" i="8"/>
  <c r="H540" i="8"/>
  <c r="H500" i="8"/>
  <c r="H516" i="8"/>
  <c r="H705" i="8"/>
  <c r="H598" i="8"/>
  <c r="H721" i="8"/>
  <c r="H556" i="8"/>
  <c r="H658" i="8"/>
  <c r="H3280" i="8"/>
  <c r="H753" i="8"/>
  <c r="H761" i="8"/>
  <c r="H3170" i="8"/>
  <c r="H572" i="8"/>
  <c r="H534" i="8"/>
  <c r="H793" i="8"/>
  <c r="H3159" i="8"/>
  <c r="H580" i="8"/>
  <c r="H817" i="8"/>
  <c r="H825" i="8"/>
  <c r="H723" i="8"/>
  <c r="H595" i="8"/>
  <c r="H849" i="8"/>
  <c r="H857" i="8"/>
  <c r="H865" i="8"/>
  <c r="H625" i="8"/>
  <c r="H630" i="8"/>
  <c r="H766" i="8"/>
  <c r="H651" i="8"/>
  <c r="H905" i="8"/>
  <c r="H657" i="8"/>
  <c r="H610" i="8"/>
  <c r="H681" i="8"/>
  <c r="H693" i="8"/>
  <c r="H685" i="8"/>
  <c r="H687" i="8"/>
  <c r="H733" i="8"/>
  <c r="H760" i="8"/>
  <c r="H3202" i="8"/>
  <c r="H810" i="8"/>
  <c r="H792" i="8"/>
  <c r="H1001" i="8"/>
  <c r="H624" i="8"/>
  <c r="H1017" i="8"/>
  <c r="H2725" i="8"/>
  <c r="H729" i="8"/>
  <c r="H2749" i="8"/>
  <c r="H1049" i="8"/>
  <c r="H1057" i="8"/>
  <c r="H3186" i="8"/>
  <c r="H666" i="8"/>
  <c r="H1081" i="8"/>
  <c r="H823" i="8"/>
  <c r="H1097" i="8"/>
  <c r="H1105" i="8"/>
  <c r="H1113" i="8"/>
  <c r="H2760" i="8"/>
  <c r="H906" i="8"/>
  <c r="H3183" i="8"/>
  <c r="H895" i="8"/>
  <c r="H3215" i="8"/>
  <c r="H898" i="8"/>
  <c r="H878" i="8"/>
  <c r="H882" i="8"/>
  <c r="H755" i="8"/>
  <c r="H1193" i="8"/>
  <c r="H3456" i="8"/>
  <c r="H1209" i="8"/>
  <c r="H788" i="8"/>
  <c r="H961" i="8"/>
  <c r="H935" i="8"/>
  <c r="H797" i="8"/>
  <c r="H3375" i="8"/>
  <c r="H1020" i="8"/>
  <c r="H1265" i="8"/>
  <c r="H3462" i="8"/>
  <c r="H1281" i="8"/>
  <c r="H973" i="8"/>
  <c r="H859" i="8"/>
  <c r="H997" i="8"/>
  <c r="H1030" i="8"/>
  <c r="H1072" i="8"/>
  <c r="H1329" i="8"/>
  <c r="H3255" i="8"/>
  <c r="H1345" i="8"/>
  <c r="H1353" i="8"/>
  <c r="H2937" i="8"/>
  <c r="H1055" i="8"/>
  <c r="H1377" i="8"/>
  <c r="H1061" i="8"/>
  <c r="H1010" i="8"/>
  <c r="H1036" i="8"/>
  <c r="H1084" i="8"/>
  <c r="H1417" i="8"/>
  <c r="H1425" i="8"/>
  <c r="H1433" i="8"/>
  <c r="H1037" i="8"/>
  <c r="H1054" i="8"/>
  <c r="H3480" i="8"/>
  <c r="H1465" i="8"/>
  <c r="H1473" i="8"/>
  <c r="H1481" i="8"/>
  <c r="H1489" i="8"/>
  <c r="H1182" i="8"/>
  <c r="H1203" i="8"/>
  <c r="H1513" i="8"/>
  <c r="H1521" i="8"/>
  <c r="H1529" i="8"/>
  <c r="H1537" i="8"/>
  <c r="H1545" i="8"/>
  <c r="H1240" i="8"/>
  <c r="H1569" i="8"/>
  <c r="H1577" i="8"/>
  <c r="H1585" i="8"/>
  <c r="H1122" i="8"/>
  <c r="H1270" i="8"/>
  <c r="H1609" i="8"/>
  <c r="H1278" i="8"/>
  <c r="H1625" i="8"/>
  <c r="H1272" i="8"/>
  <c r="H1296" i="8"/>
  <c r="H3322" i="8"/>
  <c r="H1657" i="8"/>
  <c r="H2795" i="8"/>
  <c r="H1188" i="8"/>
  <c r="H1681" i="8"/>
  <c r="H1338" i="8"/>
  <c r="H2978" i="8"/>
  <c r="H1705" i="8"/>
  <c r="H2981" i="8"/>
  <c r="H1333" i="8"/>
  <c r="H1729" i="8"/>
  <c r="H3515" i="8"/>
  <c r="H1426" i="8"/>
  <c r="H1247" i="8"/>
  <c r="H1761" i="8"/>
  <c r="H1453" i="8"/>
  <c r="H1454" i="8"/>
  <c r="H1785" i="8"/>
  <c r="H3222" i="8"/>
  <c r="H1263" i="8"/>
  <c r="H1290" i="8"/>
  <c r="H1817" i="8"/>
  <c r="H1311" i="8"/>
  <c r="H1342" i="8"/>
  <c r="H1291" i="8"/>
  <c r="H1447" i="8"/>
  <c r="H1451" i="8"/>
  <c r="H1865" i="8"/>
  <c r="H1328" i="8"/>
  <c r="H3540" i="8"/>
  <c r="H1889" i="8"/>
  <c r="H1897" i="8"/>
  <c r="H1407" i="8"/>
  <c r="H1412" i="8"/>
  <c r="H1921" i="8"/>
  <c r="H1352" i="8"/>
  <c r="H1516" i="8"/>
  <c r="H1450" i="8"/>
  <c r="H1531" i="8"/>
  <c r="H1459" i="8"/>
  <c r="H1580" i="8"/>
  <c r="H1595" i="8"/>
  <c r="H3376" i="8"/>
  <c r="H1993" i="8"/>
  <c r="H2001" i="8"/>
  <c r="H2867" i="8"/>
  <c r="H2874" i="8"/>
  <c r="H2025" i="8"/>
  <c r="H1613" i="8"/>
  <c r="H2041" i="8"/>
  <c r="H2999" i="8"/>
  <c r="H2057" i="8"/>
  <c r="H1446" i="8"/>
  <c r="H3544" i="8"/>
  <c r="H1666" i="8"/>
  <c r="H2089" i="8"/>
  <c r="H1663" i="8"/>
  <c r="H2105" i="8"/>
  <c r="H1593" i="8"/>
  <c r="H1679" i="8"/>
  <c r="H3305" i="8"/>
  <c r="H1554" i="8"/>
  <c r="H1605" i="8"/>
  <c r="H1559" i="8"/>
  <c r="H1730" i="8"/>
  <c r="H1691" i="8"/>
  <c r="H1565" i="8"/>
  <c r="H2185" i="8"/>
  <c r="H1743" i="8"/>
  <c r="H1626" i="8"/>
  <c r="H1646" i="8"/>
  <c r="H1709" i="8"/>
  <c r="H1653" i="8"/>
  <c r="H2233" i="8"/>
  <c r="H1723" i="8"/>
  <c r="H2249" i="8"/>
  <c r="H2257" i="8"/>
  <c r="H2265" i="8"/>
  <c r="H1738" i="8"/>
  <c r="H3536" i="8"/>
  <c r="H1832" i="8"/>
  <c r="H3328" i="8"/>
  <c r="H2305" i="8"/>
  <c r="H1675" i="8"/>
  <c r="H2321" i="8"/>
  <c r="H3411" i="8"/>
  <c r="H2337" i="8"/>
  <c r="H1751" i="8"/>
  <c r="H2353" i="8"/>
  <c r="H2361" i="8"/>
  <c r="H2369" i="8"/>
  <c r="H1787" i="8"/>
  <c r="H1793" i="8"/>
  <c r="H1925" i="8"/>
  <c r="H1788" i="8"/>
  <c r="H3360" i="8"/>
  <c r="H1956" i="8"/>
  <c r="H2425" i="8"/>
  <c r="H2433" i="8"/>
  <c r="H1977" i="8"/>
  <c r="H1806" i="8"/>
  <c r="H2457" i="8"/>
  <c r="H3365" i="8"/>
  <c r="H1776" i="8"/>
  <c r="H1881" i="8"/>
  <c r="H2489" i="8"/>
  <c r="H2497" i="8"/>
  <c r="H1898" i="8"/>
  <c r="H2513" i="8"/>
  <c r="H1901" i="8"/>
  <c r="H2075" i="8"/>
  <c r="H2537" i="8"/>
  <c r="H2545" i="8"/>
  <c r="H2553" i="8"/>
  <c r="H2561" i="8"/>
  <c r="H1878" i="8"/>
  <c r="H3380" i="8"/>
  <c r="H1928" i="8"/>
  <c r="H3571" i="8"/>
  <c r="H2601" i="8"/>
  <c r="H2609" i="8"/>
  <c r="H2617" i="8"/>
  <c r="H2625" i="8"/>
  <c r="H2633" i="8"/>
  <c r="H2641" i="8"/>
  <c r="H1971" i="8"/>
  <c r="H1986" i="8"/>
  <c r="H2665" i="8"/>
  <c r="H2673" i="8"/>
  <c r="H2151" i="8"/>
  <c r="H1997" i="8"/>
  <c r="H3611" i="8"/>
  <c r="H2918" i="8"/>
  <c r="H2713" i="8"/>
  <c r="H2721" i="8"/>
  <c r="H2040" i="8"/>
  <c r="H2737" i="8"/>
  <c r="H1915" i="8"/>
  <c r="H2073" i="8"/>
  <c r="H2659" i="8"/>
  <c r="H1949" i="8"/>
  <c r="H2595" i="8"/>
  <c r="H3590" i="8"/>
  <c r="H2531" i="8"/>
  <c r="H1825" i="8"/>
  <c r="H3379" i="8"/>
  <c r="H1827" i="8"/>
  <c r="H1717" i="8"/>
  <c r="H1778" i="8"/>
  <c r="H1771" i="8"/>
  <c r="H2307" i="8"/>
  <c r="H2275" i="8"/>
  <c r="H3002" i="8"/>
  <c r="H1702" i="8"/>
  <c r="H1622" i="8"/>
  <c r="H1610" i="8"/>
  <c r="H3291" i="8"/>
  <c r="H1558" i="8"/>
  <c r="H2051" i="8"/>
  <c r="H2019" i="8"/>
  <c r="H1987" i="8"/>
  <c r="H1548" i="8"/>
  <c r="H2819" i="8"/>
  <c r="H1891" i="8"/>
  <c r="H1859" i="8"/>
  <c r="H1391" i="8"/>
  <c r="H1795" i="8"/>
  <c r="H1763" i="8"/>
  <c r="H1242" i="8"/>
  <c r="H1699" i="8"/>
  <c r="H1299" i="8"/>
  <c r="H1635" i="8"/>
  <c r="H1274" i="8"/>
  <c r="H2967" i="8"/>
  <c r="H1495" i="8"/>
  <c r="H1367" i="8"/>
  <c r="H1006" i="8"/>
  <c r="H852" i="8"/>
  <c r="H3115" i="8"/>
  <c r="H489" i="8"/>
  <c r="H3282" i="8"/>
  <c r="H526" i="8"/>
  <c r="H604" i="8"/>
  <c r="H963" i="8"/>
  <c r="H1078" i="8"/>
  <c r="H1127" i="8"/>
  <c r="H1562" i="8"/>
  <c r="H1217" i="8"/>
  <c r="H1337" i="8"/>
  <c r="H2018" i="8"/>
  <c r="H1704" i="8"/>
  <c r="H3" i="8"/>
  <c r="H11" i="8"/>
  <c r="H19" i="8"/>
  <c r="F19" i="8" s="1"/>
  <c r="H27" i="8"/>
  <c r="F27" i="8" s="1"/>
  <c r="H2608" i="8"/>
  <c r="H43" i="8"/>
  <c r="H39" i="8"/>
  <c r="H3042" i="8"/>
  <c r="F3042" i="8" s="1"/>
  <c r="H49" i="8"/>
  <c r="H67" i="8"/>
  <c r="H83" i="8"/>
  <c r="H91" i="8"/>
  <c r="H3036" i="8"/>
  <c r="F3036" i="8" s="1"/>
  <c r="H107" i="8"/>
  <c r="H97" i="8"/>
  <c r="H123" i="8"/>
  <c r="H106" i="8"/>
  <c r="H111" i="8"/>
  <c r="H119" i="8"/>
  <c r="H132" i="8"/>
  <c r="F132" i="8" s="1"/>
  <c r="H163" i="8"/>
  <c r="H130" i="8"/>
  <c r="H179" i="8"/>
  <c r="F179" i="8" s="1"/>
  <c r="H2765" i="8"/>
  <c r="H195" i="8"/>
  <c r="H203" i="8"/>
  <c r="H152" i="8"/>
  <c r="F152" i="8" s="1"/>
  <c r="H166" i="8"/>
  <c r="H227" i="8"/>
  <c r="F227" i="8" s="1"/>
  <c r="H178" i="8"/>
  <c r="H3184" i="8"/>
  <c r="F3184" i="8" s="1"/>
  <c r="H207" i="8"/>
  <c r="F207" i="8" s="1"/>
  <c r="H172" i="8"/>
  <c r="F172" i="8" s="1"/>
  <c r="H3066" i="8"/>
  <c r="F3066" i="8" s="1"/>
  <c r="H275" i="8"/>
  <c r="H234" i="8"/>
  <c r="H186" i="8"/>
  <c r="F186" i="8" s="1"/>
  <c r="H192" i="8"/>
  <c r="H2656" i="8"/>
  <c r="H256" i="8"/>
  <c r="H255" i="8"/>
  <c r="H273" i="8"/>
  <c r="H274" i="8"/>
  <c r="H289" i="8"/>
  <c r="F289" i="8" s="1"/>
  <c r="H2694" i="8"/>
  <c r="H3098" i="8"/>
  <c r="F3098" i="8" s="1"/>
  <c r="H2788" i="8"/>
  <c r="H261" i="8"/>
  <c r="H387" i="8"/>
  <c r="H3110" i="8"/>
  <c r="F3110" i="8" s="1"/>
  <c r="H307" i="8"/>
  <c r="H3221" i="8"/>
  <c r="H419" i="8"/>
  <c r="H427" i="8"/>
  <c r="H3065" i="8"/>
  <c r="H443" i="8"/>
  <c r="H451" i="8"/>
  <c r="H354" i="8"/>
  <c r="H378" i="8"/>
  <c r="H336" i="8"/>
  <c r="H358" i="8"/>
  <c r="H491" i="8"/>
  <c r="H435" i="8"/>
  <c r="H507" i="8"/>
  <c r="H411" i="8"/>
  <c r="H399" i="8"/>
  <c r="H363" i="8"/>
  <c r="H421" i="8"/>
  <c r="H430" i="8"/>
  <c r="H446" i="8"/>
  <c r="H563" i="8"/>
  <c r="H474" i="8"/>
  <c r="H3087" i="8"/>
  <c r="H485" i="8"/>
  <c r="H423" i="8"/>
  <c r="H488" i="8"/>
  <c r="H445" i="8"/>
  <c r="H3242" i="8"/>
  <c r="H457" i="8"/>
  <c r="H635" i="8"/>
  <c r="H2720" i="8"/>
  <c r="H471" i="8"/>
  <c r="H548" i="8"/>
  <c r="H487" i="8"/>
  <c r="H564" i="8"/>
  <c r="H683" i="8"/>
  <c r="H2868" i="8"/>
  <c r="H699" i="8"/>
  <c r="H522" i="8"/>
  <c r="H505" i="8"/>
  <c r="H637" i="8"/>
  <c r="H3111" i="8"/>
  <c r="H659" i="8"/>
  <c r="H747" i="8"/>
  <c r="H525" i="8"/>
  <c r="H763" i="8"/>
  <c r="H771" i="8"/>
  <c r="H779" i="8"/>
  <c r="H787" i="8"/>
  <c r="H535" i="8"/>
  <c r="H713" i="8"/>
  <c r="H811" i="8"/>
  <c r="H819" i="8"/>
  <c r="H551" i="8"/>
  <c r="H835" i="8"/>
  <c r="H843" i="8"/>
  <c r="H578" i="8"/>
  <c r="H584" i="8"/>
  <c r="H867" i="8"/>
  <c r="H628" i="8"/>
  <c r="H2744" i="8"/>
  <c r="H891" i="8"/>
  <c r="H2716" i="8"/>
  <c r="H650" i="8"/>
  <c r="H915" i="8"/>
  <c r="H655" i="8"/>
  <c r="H684" i="8"/>
  <c r="H3331" i="8"/>
  <c r="H947" i="8"/>
  <c r="H3334" i="8"/>
  <c r="H756" i="8"/>
  <c r="H764" i="8"/>
  <c r="H979" i="8"/>
  <c r="H987" i="8"/>
  <c r="H801" i="8"/>
  <c r="H716" i="8"/>
  <c r="H2757" i="8"/>
  <c r="H832" i="8"/>
  <c r="H1027" i="8"/>
  <c r="H838" i="8"/>
  <c r="H850" i="8"/>
  <c r="H777" i="8"/>
  <c r="H3443" i="8"/>
  <c r="H1067" i="8"/>
  <c r="H1075" i="8"/>
  <c r="H2767" i="8"/>
  <c r="H831" i="8"/>
  <c r="H841" i="8"/>
  <c r="H1107" i="8"/>
  <c r="H688" i="8"/>
  <c r="H3363" i="8"/>
  <c r="H1131" i="8"/>
  <c r="H923" i="8"/>
  <c r="H1147" i="8"/>
  <c r="H728" i="8"/>
  <c r="H875" i="8"/>
  <c r="H1171" i="8"/>
  <c r="H883" i="8"/>
  <c r="H762" i="8"/>
  <c r="H1195" i="8"/>
  <c r="H930" i="8"/>
  <c r="H785" i="8"/>
  <c r="H1219" i="8"/>
  <c r="H972" i="8"/>
  <c r="H2784" i="8"/>
  <c r="H953" i="8"/>
  <c r="H2770" i="8"/>
  <c r="H1259" i="8"/>
  <c r="H827" i="8"/>
  <c r="H974" i="8"/>
  <c r="H1283" i="8"/>
  <c r="H3383" i="8"/>
  <c r="H993" i="8"/>
  <c r="H1069" i="8"/>
  <c r="H1315" i="8"/>
  <c r="H885" i="8"/>
  <c r="H1331" i="8"/>
  <c r="H1339" i="8"/>
  <c r="H1050" i="8"/>
  <c r="H939" i="8"/>
  <c r="H1083" i="8"/>
  <c r="H1371" i="8"/>
  <c r="H955" i="8"/>
  <c r="H1004" i="8"/>
  <c r="H1011" i="8"/>
  <c r="H1038" i="8"/>
  <c r="H988" i="8"/>
  <c r="H2796" i="8"/>
  <c r="H1427" i="8"/>
  <c r="H1051" i="8"/>
  <c r="H3256" i="8"/>
  <c r="H1135" i="8"/>
  <c r="H1058" i="8"/>
  <c r="H1467" i="8"/>
  <c r="H1475" i="8"/>
  <c r="H1483" i="8"/>
  <c r="H1181" i="8"/>
  <c r="H1080" i="8"/>
  <c r="H1091" i="8"/>
  <c r="H1216" i="8"/>
  <c r="H1218" i="8"/>
  <c r="H1199" i="8"/>
  <c r="H1109" i="8"/>
  <c r="H1231" i="8"/>
  <c r="H3734" i="8"/>
  <c r="H3726" i="8"/>
  <c r="H3718" i="8"/>
  <c r="H3732" i="8"/>
  <c r="H3702" i="8"/>
  <c r="H2548" i="8"/>
  <c r="H3686" i="8"/>
  <c r="H2695" i="8"/>
  <c r="H3169" i="8"/>
  <c r="H3662" i="8"/>
  <c r="H2668" i="8"/>
  <c r="H3646" i="8"/>
  <c r="H3638" i="8"/>
  <c r="H2657" i="8"/>
  <c r="H2653" i="8"/>
  <c r="H2649" i="8"/>
  <c r="H2925" i="8"/>
  <c r="H3598" i="8"/>
  <c r="H2900" i="8"/>
  <c r="H3324" i="8"/>
  <c r="H2897" i="8"/>
  <c r="H2607" i="8"/>
  <c r="F2607" i="8" s="1"/>
  <c r="H3701" i="8"/>
  <c r="H3550" i="8"/>
  <c r="F3550" i="8" s="1"/>
  <c r="H2891" i="8"/>
  <c r="H3534" i="8"/>
  <c r="H3526" i="8"/>
  <c r="H3034" i="8"/>
  <c r="H2523" i="8"/>
  <c r="H2490" i="8"/>
  <c r="F2490" i="8" s="1"/>
  <c r="H3486" i="8"/>
  <c r="H2647" i="8"/>
  <c r="H2797" i="8"/>
  <c r="H2559" i="8"/>
  <c r="H3674" i="8"/>
  <c r="H3430" i="8"/>
  <c r="H2431" i="8"/>
  <c r="H3406" i="8"/>
  <c r="H2508" i="8"/>
  <c r="H2416" i="8"/>
  <c r="H2684" i="8"/>
  <c r="H2401" i="8"/>
  <c r="H2480" i="8"/>
  <c r="H3147" i="8"/>
  <c r="H3137" i="8"/>
  <c r="H3318" i="8"/>
  <c r="H2628" i="8"/>
  <c r="H2529" i="8"/>
  <c r="H2406" i="8"/>
  <c r="H3663" i="8"/>
  <c r="H2343" i="8"/>
  <c r="H3214" i="8"/>
  <c r="H2320" i="8"/>
  <c r="H2465" i="8"/>
  <c r="H3190" i="8"/>
  <c r="H3124" i="8"/>
  <c r="H3174" i="8"/>
  <c r="H3158" i="8"/>
  <c r="H3150" i="8"/>
  <c r="H2462" i="8"/>
  <c r="H3118" i="8"/>
  <c r="H3070" i="8"/>
  <c r="H3062" i="8"/>
  <c r="H3022" i="8"/>
  <c r="H2942" i="8"/>
  <c r="H2315" i="8"/>
  <c r="H2352" i="8"/>
  <c r="H2312" i="8"/>
  <c r="H2846" i="8"/>
  <c r="H3284" i="8"/>
  <c r="H2968" i="8"/>
  <c r="H2268" i="8"/>
  <c r="H2163" i="8"/>
  <c r="H2198" i="8"/>
  <c r="H2161" i="8"/>
  <c r="H1973" i="8"/>
  <c r="H1998" i="8"/>
  <c r="H1951" i="8"/>
  <c r="H2555" i="8"/>
  <c r="H1833" i="8"/>
  <c r="H2491" i="8"/>
  <c r="H3436" i="8"/>
  <c r="H2857" i="8"/>
  <c r="H2395" i="8"/>
  <c r="H2363" i="8"/>
  <c r="H2331" i="8"/>
  <c r="H1739" i="8"/>
  <c r="H2267" i="8"/>
  <c r="H2235" i="8"/>
  <c r="H1627" i="8"/>
  <c r="H2171" i="8"/>
  <c r="H1682" i="8"/>
  <c r="H1686" i="8"/>
  <c r="H2828" i="8"/>
  <c r="H1541" i="8"/>
  <c r="H2011" i="8"/>
  <c r="H1979" i="8"/>
  <c r="H1947" i="8"/>
  <c r="H3361" i="8"/>
  <c r="H1505" i="8"/>
  <c r="H1303" i="8"/>
  <c r="H1819" i="8"/>
  <c r="H1350" i="8"/>
  <c r="H1251" i="8"/>
  <c r="H1335" i="8"/>
  <c r="H1305" i="8"/>
  <c r="H1314" i="8"/>
  <c r="H1179" i="8"/>
  <c r="H1260" i="8"/>
  <c r="H1119" i="8"/>
  <c r="H1062" i="8"/>
  <c r="H3468" i="8"/>
  <c r="H1207" i="8"/>
  <c r="H853" i="8"/>
  <c r="H754" i="8"/>
  <c r="H679" i="8"/>
  <c r="H599" i="8"/>
  <c r="H866" i="8"/>
  <c r="H697" i="8"/>
  <c r="H796" i="8"/>
  <c r="H1210" i="8"/>
  <c r="H1031" i="8"/>
  <c r="H991" i="8"/>
  <c r="H941" i="8"/>
  <c r="H3261" i="8"/>
  <c r="H1434" i="8"/>
  <c r="H3405" i="8"/>
  <c r="H1137" i="8"/>
  <c r="H1466" i="8"/>
  <c r="H1698" i="8"/>
  <c r="H2026" i="8"/>
  <c r="H2042" i="8"/>
  <c r="H2130" i="8"/>
  <c r="H1607" i="8"/>
  <c r="H1683" i="8"/>
  <c r="H1616" i="8"/>
  <c r="H4" i="8"/>
  <c r="H12" i="8"/>
  <c r="H20" i="8"/>
  <c r="H28" i="8"/>
  <c r="H35" i="8"/>
  <c r="H44" i="8"/>
  <c r="H52" i="8"/>
  <c r="H3049" i="8"/>
  <c r="F3049" i="8" s="1"/>
  <c r="H68" i="8"/>
  <c r="H65" i="8"/>
  <c r="F65" i="8" s="1"/>
  <c r="H3013" i="8"/>
  <c r="F3013" i="8" s="1"/>
  <c r="H92" i="8"/>
  <c r="F92" i="8" s="1"/>
  <c r="H76" i="8"/>
  <c r="F76" i="8" s="1"/>
  <c r="H108" i="8"/>
  <c r="H99" i="8"/>
  <c r="H103" i="8"/>
  <c r="H125" i="8"/>
  <c r="F125" i="8" s="1"/>
  <c r="H3371" i="8"/>
  <c r="F3371" i="8" s="1"/>
  <c r="H148" i="8"/>
  <c r="H126" i="8"/>
  <c r="H149" i="8"/>
  <c r="H136" i="8"/>
  <c r="F136" i="8" s="1"/>
  <c r="H180" i="8"/>
  <c r="H154" i="8"/>
  <c r="H177" i="8"/>
  <c r="F177" i="8" s="1"/>
  <c r="H189" i="8"/>
  <c r="F189" i="8" s="1"/>
  <c r="H3053" i="8"/>
  <c r="H196" i="8"/>
  <c r="F196" i="8" s="1"/>
  <c r="H2773" i="8"/>
  <c r="H2648" i="8"/>
  <c r="H220" i="8"/>
  <c r="F220" i="8" s="1"/>
  <c r="H252" i="8"/>
  <c r="F252" i="8" s="1"/>
  <c r="H260" i="8"/>
  <c r="F260" i="8" s="1"/>
  <c r="H268" i="8"/>
  <c r="H276" i="8"/>
  <c r="F276" i="8" s="1"/>
  <c r="H235" i="8"/>
  <c r="H191" i="8"/>
  <c r="F191" i="8" s="1"/>
  <c r="H211" i="8"/>
  <c r="H241" i="8"/>
  <c r="H269" i="8"/>
  <c r="H324" i="8"/>
  <c r="F324" i="8" s="1"/>
  <c r="H285" i="8"/>
  <c r="H278" i="8"/>
  <c r="H284" i="8"/>
  <c r="H308" i="8"/>
  <c r="F308" i="8" s="1"/>
  <c r="H311" i="8"/>
  <c r="H372" i="8"/>
  <c r="H331" i="8"/>
  <c r="H266" i="8"/>
  <c r="H396" i="8"/>
  <c r="F396" i="8" s="1"/>
  <c r="H404" i="8"/>
  <c r="H412" i="8"/>
  <c r="H310" i="8"/>
  <c r="H428" i="8"/>
  <c r="H3223" i="8"/>
  <c r="H356" i="8"/>
  <c r="H323" i="8"/>
  <c r="H394" i="8"/>
  <c r="H380" i="8"/>
  <c r="H3133" i="8"/>
  <c r="H431" i="8"/>
  <c r="H340" i="8"/>
  <c r="H343" i="8"/>
  <c r="H508" i="8"/>
  <c r="H352" i="8"/>
  <c r="H524" i="8"/>
  <c r="H532" i="8"/>
  <c r="H3134" i="8"/>
  <c r="H461" i="8"/>
  <c r="H367" i="8"/>
  <c r="H2702" i="8"/>
  <c r="H391" i="8"/>
  <c r="H3399" i="8"/>
  <c r="H395" i="8"/>
  <c r="H596" i="8"/>
  <c r="H3139" i="8"/>
  <c r="H441" i="8"/>
  <c r="H3266" i="8"/>
  <c r="H456" i="8"/>
  <c r="H636" i="8"/>
  <c r="H466" i="8"/>
  <c r="H537" i="8"/>
  <c r="H3141" i="8"/>
  <c r="H549" i="8"/>
  <c r="H676" i="8"/>
  <c r="H541" i="8"/>
  <c r="H692" i="8"/>
  <c r="H700" i="8"/>
  <c r="H497" i="8"/>
  <c r="H531" i="8"/>
  <c r="H639" i="8"/>
  <c r="H553" i="8"/>
  <c r="H515" i="8"/>
  <c r="H2705" i="8"/>
  <c r="H562" i="8"/>
  <c r="H3156" i="8"/>
  <c r="H772" i="8"/>
  <c r="H575" i="8"/>
  <c r="H3303" i="8"/>
  <c r="H574" i="8"/>
  <c r="H804" i="8"/>
  <c r="H812" i="8"/>
  <c r="H587" i="8"/>
  <c r="H828" i="8"/>
  <c r="H2730" i="8"/>
  <c r="H730" i="8"/>
  <c r="H3171" i="8"/>
  <c r="H612" i="8"/>
  <c r="H623" i="8"/>
  <c r="H748" i="8"/>
  <c r="H633" i="8"/>
  <c r="H892" i="8"/>
  <c r="H900" i="8"/>
  <c r="H608" i="8"/>
  <c r="H2886" i="8"/>
  <c r="H924" i="8"/>
  <c r="H794" i="8"/>
  <c r="H940" i="8"/>
  <c r="H948" i="8"/>
  <c r="H689" i="8"/>
  <c r="H3161" i="8"/>
  <c r="H808" i="8"/>
  <c r="H980" i="8"/>
  <c r="H622" i="8"/>
  <c r="H805" i="8"/>
  <c r="H717" i="8"/>
  <c r="H627" i="8"/>
  <c r="H833" i="8"/>
  <c r="H1028" i="8"/>
  <c r="H741" i="8"/>
  <c r="H840" i="8"/>
  <c r="H646" i="8"/>
  <c r="H1060" i="8"/>
  <c r="H2761" i="8"/>
  <c r="H893" i="8"/>
  <c r="H902" i="8"/>
  <c r="H870" i="8"/>
  <c r="H872" i="8"/>
  <c r="H3362" i="8"/>
  <c r="H887" i="8"/>
  <c r="H1124" i="8"/>
  <c r="H1132" i="8"/>
  <c r="H714" i="8"/>
  <c r="H1148" i="8"/>
  <c r="H1156" i="8"/>
  <c r="H1164" i="8"/>
  <c r="H1172" i="8"/>
  <c r="H888" i="8"/>
  <c r="H767" i="8"/>
  <c r="H890" i="8"/>
  <c r="H1204" i="8"/>
  <c r="H1212" i="8"/>
  <c r="H3188" i="8"/>
  <c r="H795" i="8"/>
  <c r="H945" i="8"/>
  <c r="H814" i="8"/>
  <c r="H2933" i="8"/>
  <c r="H1025" i="8"/>
  <c r="H829" i="8"/>
  <c r="H1276" i="8"/>
  <c r="H1041" i="8"/>
  <c r="H3249" i="8"/>
  <c r="H994" i="8"/>
  <c r="H1016" i="8"/>
  <c r="H1316" i="8"/>
  <c r="H1324" i="8"/>
  <c r="H3237" i="8"/>
  <c r="H3258" i="8"/>
  <c r="H1348" i="8"/>
  <c r="H1356" i="8"/>
  <c r="H1364" i="8"/>
  <c r="H952" i="8"/>
  <c r="H967" i="8"/>
  <c r="H1066" i="8"/>
  <c r="H1396" i="8"/>
  <c r="H1404" i="8"/>
  <c r="H3276" i="8"/>
  <c r="H1420" i="8"/>
  <c r="H1085" i="8"/>
  <c r="H1145" i="8"/>
  <c r="H1110" i="8"/>
  <c r="H1452" i="8"/>
  <c r="H1082" i="8"/>
  <c r="H1138" i="8"/>
  <c r="H1476" i="8"/>
  <c r="H1484" i="8"/>
  <c r="H1492" i="8"/>
  <c r="H3267" i="8"/>
  <c r="H1508" i="8"/>
  <c r="H1108" i="8"/>
  <c r="H1121" i="8"/>
  <c r="H1126" i="8"/>
  <c r="H1636" i="8"/>
  <c r="H1319" i="8"/>
  <c r="H1363" i="8"/>
  <c r="H1238" i="8"/>
  <c r="H1764" i="8"/>
  <c r="H2820" i="8"/>
  <c r="H1828" i="8"/>
  <c r="H1387" i="8"/>
  <c r="H1403" i="8"/>
  <c r="H1916" i="8"/>
  <c r="H1550" i="8"/>
  <c r="H1575" i="8"/>
  <c r="H1411" i="8"/>
  <c r="H2044" i="8"/>
  <c r="H1464" i="8"/>
  <c r="H1689" i="8"/>
  <c r="H2148" i="8"/>
  <c r="H2172" i="8"/>
  <c r="H2914" i="8"/>
  <c r="H1882" i="8"/>
  <c r="H2081" i="8"/>
  <c r="H2994" i="8"/>
  <c r="H3733" i="8"/>
  <c r="F3733" i="8" s="1"/>
  <c r="H3356" i="8"/>
  <c r="F3356" i="8" s="1"/>
  <c r="H3613" i="8"/>
  <c r="F3613" i="8" s="1"/>
  <c r="H3605" i="8"/>
  <c r="H3549" i="8"/>
  <c r="F3549" i="8" s="1"/>
  <c r="H2884" i="8"/>
  <c r="H3517" i="8"/>
  <c r="H3509" i="8"/>
  <c r="H2511" i="8"/>
  <c r="H2376" i="8"/>
  <c r="H3325" i="8"/>
  <c r="H2620" i="8"/>
  <c r="H3253" i="8"/>
  <c r="H3245" i="8"/>
  <c r="H2482" i="8"/>
  <c r="H3189" i="8"/>
  <c r="H3671" i="8"/>
  <c r="H3085" i="8"/>
  <c r="H2197" i="8"/>
  <c r="H2941" i="8"/>
  <c r="H2347" i="8"/>
  <c r="H2909" i="8"/>
  <c r="H2893" i="8"/>
  <c r="H3620" i="8"/>
  <c r="H2829" i="8"/>
  <c r="H2070" i="8"/>
  <c r="H2924" i="8"/>
  <c r="H3283" i="8"/>
  <c r="H2068" i="8"/>
  <c r="H2325" i="8"/>
  <c r="H2005" i="8"/>
  <c r="H1435" i="8"/>
  <c r="H1128" i="8"/>
  <c r="H1021" i="8"/>
  <c r="H986" i="8"/>
  <c r="H749" i="8"/>
  <c r="H1005" i="8"/>
  <c r="H738" i="8"/>
  <c r="H707" i="8"/>
  <c r="H719" i="8"/>
  <c r="H3442" i="8"/>
  <c r="H1042" i="8"/>
  <c r="H1106" i="8"/>
  <c r="H1130" i="8"/>
  <c r="H3377" i="8"/>
  <c r="H3234" i="8"/>
  <c r="H933" i="8"/>
  <c r="H1378" i="8"/>
  <c r="H1634" i="8"/>
  <c r="H1185" i="8"/>
  <c r="H1295" i="8"/>
  <c r="H1359" i="8"/>
  <c r="H1746" i="8"/>
  <c r="H1834" i="8"/>
  <c r="H2186" i="8"/>
  <c r="H2202" i="8"/>
  <c r="H2242" i="8"/>
  <c r="H2034" i="8"/>
  <c r="H5" i="8"/>
  <c r="H13" i="8"/>
  <c r="F13" i="8" s="1"/>
  <c r="H21" i="8"/>
  <c r="H29" i="8"/>
  <c r="H3359" i="8"/>
  <c r="F3359" i="8" s="1"/>
  <c r="H36" i="8"/>
  <c r="H53" i="8"/>
  <c r="H51" i="8"/>
  <c r="H3007" i="8"/>
  <c r="F3007" i="8" s="1"/>
  <c r="H59" i="8"/>
  <c r="H85" i="8"/>
  <c r="H72" i="8"/>
  <c r="H3069" i="8"/>
  <c r="F3069" i="8" s="1"/>
  <c r="H84" i="8"/>
  <c r="H117" i="8"/>
  <c r="F117" i="8" s="1"/>
  <c r="H112" i="8"/>
  <c r="F112" i="8" s="1"/>
  <c r="H127" i="8"/>
  <c r="F127" i="8" s="1"/>
  <c r="H109" i="8"/>
  <c r="H113" i="8"/>
  <c r="H3044" i="8"/>
  <c r="F3044" i="8" s="1"/>
  <c r="H131" i="8"/>
  <c r="F131" i="8" s="1"/>
  <c r="H151" i="8"/>
  <c r="H139" i="8"/>
  <c r="F139" i="8" s="1"/>
  <c r="H155" i="8"/>
  <c r="F155" i="8" s="1"/>
  <c r="H187" i="8"/>
  <c r="F187" i="8" s="1"/>
  <c r="H205" i="8"/>
  <c r="F205" i="8" s="1"/>
  <c r="H2646" i="8"/>
  <c r="H183" i="8"/>
  <c r="H229" i="8"/>
  <c r="H237" i="8"/>
  <c r="F237" i="8" s="1"/>
  <c r="H201" i="8"/>
  <c r="H210" i="8"/>
  <c r="F210" i="8" s="1"/>
  <c r="H232" i="8"/>
  <c r="F232" i="8" s="1"/>
  <c r="H2685" i="8"/>
  <c r="F2685" i="8" s="1"/>
  <c r="H277" i="8"/>
  <c r="F277" i="8" s="1"/>
  <c r="H3047" i="8"/>
  <c r="F3047" i="8" s="1"/>
  <c r="H3076" i="8"/>
  <c r="H301" i="8"/>
  <c r="F301" i="8" s="1"/>
  <c r="H3082" i="8"/>
  <c r="F3082" i="8" s="1"/>
  <c r="H258" i="8"/>
  <c r="H3064" i="8"/>
  <c r="H267" i="8"/>
  <c r="F267" i="8" s="1"/>
  <c r="H282" i="8"/>
  <c r="H349" i="8"/>
  <c r="F349" i="8" s="1"/>
  <c r="H291" i="8"/>
  <c r="H290" i="8"/>
  <c r="H373" i="8"/>
  <c r="H306" i="8"/>
  <c r="H270" i="8"/>
  <c r="H3132" i="8"/>
  <c r="F3132" i="8" s="1"/>
  <c r="H295" i="8"/>
  <c r="H309" i="8"/>
  <c r="H344" i="8"/>
  <c r="H429" i="8"/>
  <c r="H3229" i="8"/>
  <c r="H382" i="8"/>
  <c r="H3231" i="8"/>
  <c r="H366" i="8"/>
  <c r="H406" i="8"/>
  <c r="H477" i="8"/>
  <c r="H361" i="8"/>
  <c r="H493" i="8"/>
  <c r="H407" i="8"/>
  <c r="H509" i="8"/>
  <c r="H517" i="8"/>
  <c r="H414" i="8"/>
  <c r="H365" i="8"/>
  <c r="H422" i="8"/>
  <c r="H463" i="8"/>
  <c r="H467" i="8"/>
  <c r="H565" i="8"/>
  <c r="H476" i="8"/>
  <c r="H581" i="8"/>
  <c r="H403" i="8"/>
  <c r="H479" i="8"/>
  <c r="H3241" i="8"/>
  <c r="H495" i="8"/>
  <c r="H3102" i="8"/>
  <c r="H458" i="8"/>
  <c r="H499" i="8"/>
  <c r="H3271" i="8"/>
  <c r="H653" i="8"/>
  <c r="H3278" i="8"/>
  <c r="H669" i="8"/>
  <c r="H677" i="8"/>
  <c r="H492" i="8"/>
  <c r="H3146" i="8"/>
  <c r="H579" i="8"/>
  <c r="H709" i="8"/>
  <c r="H533" i="8"/>
  <c r="H641" i="8"/>
  <c r="H555" i="8"/>
  <c r="H561" i="8"/>
  <c r="H757" i="8"/>
  <c r="H668" i="8"/>
  <c r="H773" i="8"/>
  <c r="H781" i="8"/>
  <c r="H789" i="8"/>
  <c r="H536" i="8"/>
  <c r="H3160" i="8"/>
  <c r="H821" i="8"/>
  <c r="H3321" i="8"/>
  <c r="H837" i="8"/>
  <c r="H559" i="8"/>
  <c r="H731" i="8"/>
  <c r="H618" i="8"/>
  <c r="H739" i="8"/>
  <c r="H877" i="8"/>
  <c r="H607" i="8"/>
  <c r="H634" i="8"/>
  <c r="H901" i="8"/>
  <c r="H656" i="8"/>
  <c r="H776" i="8"/>
  <c r="H660" i="8"/>
  <c r="H611" i="8"/>
  <c r="H2912" i="8"/>
  <c r="H949" i="8"/>
  <c r="H695" i="8"/>
  <c r="H803" i="8"/>
  <c r="H774" i="8"/>
  <c r="H2745" i="8"/>
  <c r="H710" i="8"/>
  <c r="H809" i="8"/>
  <c r="H830" i="8"/>
  <c r="H640" i="8"/>
  <c r="H1029" i="8"/>
  <c r="H645" i="8"/>
  <c r="H844" i="8"/>
  <c r="H3206" i="8"/>
  <c r="H881" i="8"/>
  <c r="H1077" i="8"/>
  <c r="H904" i="8"/>
  <c r="H1093" i="8"/>
  <c r="H667" i="8"/>
  <c r="H842" i="8"/>
  <c r="H1117" i="8"/>
  <c r="H2776" i="8"/>
  <c r="H1133" i="8"/>
  <c r="H873" i="8"/>
  <c r="H3194" i="8"/>
  <c r="H2766" i="8"/>
  <c r="H3199" i="8"/>
  <c r="H929" i="8"/>
  <c r="H919" i="8"/>
  <c r="H1189" i="8"/>
  <c r="H897" i="8"/>
  <c r="H1205" i="8"/>
  <c r="H1213" i="8"/>
  <c r="H960" i="8"/>
  <c r="H1229" i="8"/>
  <c r="H1237" i="8"/>
  <c r="H964" i="8"/>
  <c r="H1253" i="8"/>
  <c r="H957" i="8"/>
  <c r="H1269" i="8"/>
  <c r="H977" i="8"/>
  <c r="H1285" i="8"/>
  <c r="H1293" i="8"/>
  <c r="H995" i="8"/>
  <c r="H1309" i="8"/>
  <c r="H3392" i="8"/>
  <c r="H1325" i="8"/>
  <c r="H1043" i="8"/>
  <c r="H1341" i="8"/>
  <c r="H3470" i="8"/>
  <c r="H1357" i="8"/>
  <c r="H1365" i="8"/>
  <c r="H999" i="8"/>
  <c r="H1100" i="8"/>
  <c r="H975" i="8"/>
  <c r="H1014" i="8"/>
  <c r="H1405" i="8"/>
  <c r="H998" i="8"/>
  <c r="H1000" i="8"/>
  <c r="H1429" i="8"/>
  <c r="H1149" i="8"/>
  <c r="H2801" i="8"/>
  <c r="H1150" i="8"/>
  <c r="H2805" i="8"/>
  <c r="H1469" i="8"/>
  <c r="H1166" i="8"/>
  <c r="H1146" i="8"/>
  <c r="H1089" i="8"/>
  <c r="H1501" i="8"/>
  <c r="H1101" i="8"/>
  <c r="H1224" i="8"/>
  <c r="H1533" i="8"/>
  <c r="H2488" i="8"/>
  <c r="H2569" i="8"/>
  <c r="H3297" i="8"/>
  <c r="H2581" i="8"/>
  <c r="H2110" i="8"/>
  <c r="H2338" i="8"/>
  <c r="H1934" i="8"/>
  <c r="H1907" i="8"/>
  <c r="H2062" i="8"/>
  <c r="H2643" i="8"/>
  <c r="H2611" i="8"/>
  <c r="H2889" i="8"/>
  <c r="H3471" i="8"/>
  <c r="H2515" i="8"/>
  <c r="H2483" i="8"/>
  <c r="H2451" i="8"/>
  <c r="H1968" i="8"/>
  <c r="H2387" i="8"/>
  <c r="H2355" i="8"/>
  <c r="H1715" i="8"/>
  <c r="H1670" i="8"/>
  <c r="H1737" i="8"/>
  <c r="H1710" i="8"/>
  <c r="H2195" i="8"/>
  <c r="H3551" i="8"/>
  <c r="H2131" i="8"/>
  <c r="H1503" i="8"/>
  <c r="H2067" i="8"/>
  <c r="H2035" i="8"/>
  <c r="H1601" i="8"/>
  <c r="H1372" i="8"/>
  <c r="H1520" i="8"/>
  <c r="H1408" i="8"/>
  <c r="H1397" i="8"/>
  <c r="H1297" i="8"/>
  <c r="H1282" i="8"/>
  <c r="H1779" i="8"/>
  <c r="H1747" i="8"/>
  <c r="H1236" i="8"/>
  <c r="H1301" i="8"/>
  <c r="H1307" i="8"/>
  <c r="H1619" i="8"/>
  <c r="H1587" i="8"/>
  <c r="H1123" i="8"/>
  <c r="H1431" i="8"/>
  <c r="H864" i="8"/>
  <c r="H899" i="8"/>
  <c r="H818" i="8"/>
  <c r="H724" i="8"/>
  <c r="H918" i="8"/>
  <c r="H927" i="8"/>
  <c r="H1178" i="8"/>
  <c r="H909" i="8"/>
  <c r="H3196" i="8"/>
  <c r="H1273" i="8"/>
  <c r="H1858" i="8"/>
  <c r="H3286" i="8"/>
  <c r="H1509" i="8"/>
  <c r="H1665" i="8"/>
  <c r="H1784" i="8"/>
  <c r="H1814" i="8"/>
  <c r="H3009" i="8"/>
  <c r="H3579" i="8"/>
  <c r="H14" i="8"/>
  <c r="H22" i="8"/>
  <c r="H30" i="8"/>
  <c r="H38" i="8"/>
  <c r="F38" i="8" s="1"/>
  <c r="H45" i="8"/>
  <c r="H42" i="8"/>
  <c r="H54" i="8"/>
  <c r="H55" i="8"/>
  <c r="H71" i="8"/>
  <c r="H2615" i="8"/>
  <c r="H77" i="8"/>
  <c r="H101" i="8"/>
  <c r="H102" i="8"/>
  <c r="H134" i="8"/>
  <c r="H142" i="8"/>
  <c r="H182" i="8"/>
  <c r="F182" i="8" s="1"/>
  <c r="H190" i="8"/>
  <c r="H206" i="8"/>
  <c r="H193" i="8"/>
  <c r="F193" i="8" s="1"/>
  <c r="H197" i="8"/>
  <c r="F197" i="8" s="1"/>
  <c r="H199" i="8"/>
  <c r="H209" i="8"/>
  <c r="H231" i="8"/>
  <c r="F231" i="8" s="1"/>
  <c r="H2786" i="8"/>
  <c r="H226" i="8"/>
  <c r="H3116" i="8"/>
  <c r="F3116" i="8" s="1"/>
  <c r="H223" i="8"/>
  <c r="H3086" i="8"/>
  <c r="F3086" i="8" s="1"/>
  <c r="H318" i="8"/>
  <c r="F318" i="8" s="1"/>
  <c r="H334" i="8"/>
  <c r="F334" i="8" s="1"/>
  <c r="H3374" i="8"/>
  <c r="H292" i="8"/>
  <c r="F292" i="8" s="1"/>
  <c r="H312" i="8"/>
  <c r="F312" i="8" s="1"/>
  <c r="H3123" i="8"/>
  <c r="H262" i="8"/>
  <c r="H398" i="8"/>
  <c r="H332" i="8"/>
  <c r="H345" i="8"/>
  <c r="H347" i="8"/>
  <c r="H370" i="8"/>
  <c r="H350" i="8"/>
  <c r="H351" i="8"/>
  <c r="H462" i="8"/>
  <c r="H470" i="8"/>
  <c r="H478" i="8"/>
  <c r="H341" i="8"/>
  <c r="H510" i="8"/>
  <c r="H415" i="8"/>
  <c r="H425" i="8"/>
  <c r="H542" i="8"/>
  <c r="H2711" i="8"/>
  <c r="H558" i="8"/>
  <c r="H483" i="8"/>
  <c r="H590" i="8"/>
  <c r="H484" i="8"/>
  <c r="H606" i="8"/>
  <c r="H449" i="8"/>
  <c r="H514" i="8"/>
  <c r="H654" i="8"/>
  <c r="H3103" i="8"/>
  <c r="H557" i="8"/>
  <c r="H678" i="8"/>
  <c r="H577" i="8"/>
  <c r="H3167" i="8"/>
  <c r="H621" i="8"/>
  <c r="H712" i="8"/>
  <c r="H603" i="8"/>
  <c r="H613" i="8"/>
  <c r="H3130" i="8"/>
  <c r="H894" i="8"/>
  <c r="H638" i="8"/>
  <c r="H798" i="8"/>
  <c r="H703" i="8"/>
  <c r="H950" i="8"/>
  <c r="H966" i="8"/>
  <c r="H698" i="8"/>
  <c r="H813" i="8"/>
  <c r="H3344" i="8"/>
  <c r="H816" i="8"/>
  <c r="H1022" i="8"/>
  <c r="H661" i="8"/>
  <c r="H3447" i="8"/>
  <c r="H871" i="8"/>
  <c r="H1158" i="8"/>
  <c r="H1214" i="8"/>
  <c r="H926" i="8"/>
  <c r="H1254" i="8"/>
  <c r="H1039" i="8"/>
  <c r="H2790" i="8"/>
  <c r="H1286" i="8"/>
  <c r="H1326" i="8"/>
  <c r="H3200" i="8"/>
  <c r="H1382" i="8"/>
  <c r="H2779" i="8"/>
  <c r="H1012" i="8"/>
  <c r="H2943" i="8"/>
  <c r="H1518" i="8"/>
  <c r="H1239" i="8"/>
  <c r="H1566" i="8"/>
  <c r="H1180" i="8"/>
  <c r="H3445" i="8"/>
  <c r="H1332" i="8"/>
  <c r="H1322" i="8"/>
  <c r="H1718" i="8"/>
  <c r="H1410" i="8"/>
  <c r="H1419" i="8"/>
  <c r="H1750" i="8"/>
  <c r="H1277" i="8"/>
  <c r="H1886" i="8"/>
  <c r="H3355" i="8"/>
  <c r="H1525" i="8"/>
  <c r="H1526" i="8"/>
  <c r="H1958" i="8"/>
  <c r="H1974" i="8"/>
  <c r="H1380" i="8"/>
  <c r="H1506" i="8"/>
  <c r="H3243" i="8"/>
  <c r="H2030" i="8"/>
  <c r="H3542" i="8"/>
  <c r="H1640" i="8"/>
  <c r="H3251" i="8"/>
  <c r="H1448" i="8"/>
  <c r="H1449" i="8"/>
  <c r="H1714" i="8"/>
  <c r="H1570" i="8"/>
  <c r="H3312" i="8"/>
  <c r="H1712" i="8"/>
  <c r="H2238" i="8"/>
  <c r="H1791" i="8"/>
  <c r="H1808" i="8"/>
  <c r="H3564" i="8"/>
  <c r="H2326" i="8"/>
  <c r="H1758" i="8"/>
  <c r="H3338" i="8"/>
  <c r="H3586" i="8"/>
  <c r="H1731" i="8"/>
  <c r="H1773" i="8"/>
  <c r="H1857" i="8"/>
  <c r="H1874" i="8"/>
  <c r="H2494" i="8"/>
  <c r="H1839" i="8"/>
  <c r="H1908" i="8"/>
  <c r="H2558" i="8"/>
  <c r="H1912" i="8"/>
  <c r="H2630" i="8"/>
  <c r="H2046" i="8"/>
  <c r="H2686" i="8"/>
  <c r="H3388" i="8"/>
  <c r="H2023" i="8"/>
  <c r="H2086" i="8"/>
  <c r="H3739" i="8"/>
  <c r="H3735" i="8"/>
  <c r="H3039" i="8"/>
  <c r="F3039" i="8" s="1"/>
  <c r="H3029" i="8"/>
  <c r="H2572" i="8"/>
  <c r="H3699" i="8"/>
  <c r="H3691" i="8"/>
  <c r="H3724" i="8"/>
  <c r="F3724" i="8" s="1"/>
  <c r="H3675" i="8"/>
  <c r="H2998" i="8"/>
  <c r="H2986" i="8"/>
  <c r="F2986" i="8" s="1"/>
  <c r="H2977" i="8"/>
  <c r="F2977" i="8" s="1"/>
  <c r="H3643" i="8"/>
  <c r="H3635" i="8"/>
  <c r="H3627" i="8"/>
  <c r="H3619" i="8"/>
  <c r="H2926" i="8"/>
  <c r="H3603" i="8"/>
  <c r="H2990" i="8"/>
  <c r="F2990" i="8" s="1"/>
  <c r="H2627" i="8"/>
  <c r="H2626" i="8"/>
  <c r="F2626" i="8" s="1"/>
  <c r="H2622" i="8"/>
  <c r="H3563" i="8"/>
  <c r="H3555" i="8"/>
  <c r="H3715" i="8"/>
  <c r="H3539" i="8"/>
  <c r="H3531" i="8"/>
  <c r="H2533" i="8"/>
  <c r="H2833" i="8"/>
  <c r="H3507" i="8"/>
  <c r="H3499" i="8"/>
  <c r="H2573" i="8"/>
  <c r="H2663" i="8"/>
  <c r="F2663" i="8" s="1"/>
  <c r="H3165" i="8"/>
  <c r="H3467" i="8"/>
  <c r="H3459" i="8"/>
  <c r="H3451" i="8"/>
  <c r="H2736" i="8"/>
  <c r="H2614" i="8"/>
  <c r="H2532" i="8"/>
  <c r="H3419" i="8"/>
  <c r="H2423" i="8"/>
  <c r="H3403" i="8"/>
  <c r="H2421" i="8"/>
  <c r="H2597" i="8"/>
  <c r="H2579" i="8"/>
  <c r="H2675" i="8"/>
  <c r="H2493" i="8"/>
  <c r="H2378" i="8"/>
  <c r="H3694" i="8"/>
  <c r="H2371" i="8"/>
  <c r="H3684" i="8"/>
  <c r="H3323" i="8"/>
  <c r="H3315" i="8"/>
  <c r="H3683" i="8"/>
  <c r="H3299" i="8"/>
  <c r="H3516" i="8"/>
  <c r="H3667" i="8"/>
  <c r="H3275" i="8"/>
  <c r="H2965" i="8"/>
  <c r="H3259" i="8"/>
  <c r="H2587" i="8"/>
  <c r="H3665" i="8"/>
  <c r="H3235" i="8"/>
  <c r="H2570" i="8"/>
  <c r="H3219" i="8"/>
  <c r="H2542" i="8"/>
  <c r="H2470" i="8"/>
  <c r="H2279" i="8"/>
  <c r="H3187" i="8"/>
  <c r="H3512" i="8"/>
  <c r="H3005" i="8"/>
  <c r="H3670" i="8"/>
  <c r="H3155" i="8"/>
  <c r="H2248" i="8"/>
  <c r="H2464" i="8"/>
  <c r="H2243" i="8"/>
  <c r="H2440" i="8"/>
  <c r="H2427" i="8"/>
  <c r="H3107" i="8"/>
  <c r="H2993" i="8"/>
  <c r="H3091" i="8"/>
  <c r="H2955" i="8"/>
  <c r="H2190" i="8"/>
  <c r="H3067" i="8"/>
  <c r="H2188" i="8"/>
  <c r="H3051" i="8"/>
  <c r="H2392" i="8"/>
  <c r="H2983" i="8"/>
  <c r="H3027" i="8"/>
  <c r="H3292" i="8"/>
  <c r="H3645" i="8"/>
  <c r="H2177" i="8"/>
  <c r="H2125" i="8"/>
  <c r="H2987" i="8"/>
  <c r="H2980" i="8"/>
  <c r="H2330" i="8"/>
  <c r="H2091" i="8"/>
  <c r="H3440" i="8"/>
  <c r="H2947" i="8"/>
  <c r="H3626" i="8"/>
  <c r="H3100" i="8"/>
  <c r="H2043" i="8"/>
  <c r="H3094" i="8"/>
  <c r="H2907" i="8"/>
  <c r="H2276" i="8"/>
  <c r="H2239" i="8"/>
  <c r="H2009" i="8"/>
  <c r="H2090" i="8"/>
  <c r="H2008" i="8"/>
  <c r="H2859" i="8"/>
  <c r="H2851" i="8"/>
  <c r="H2843" i="8"/>
  <c r="H2306" i="8"/>
  <c r="H1991" i="8"/>
  <c r="H2289" i="8"/>
  <c r="H2811" i="8"/>
  <c r="H2169" i="8"/>
  <c r="H1985" i="8"/>
  <c r="H3618" i="8"/>
  <c r="H1961" i="8"/>
  <c r="H2154" i="8"/>
  <c r="H2763" i="8"/>
  <c r="H2052" i="8"/>
  <c r="H1941" i="8"/>
  <c r="H2669" i="8"/>
  <c r="H2892" i="8"/>
  <c r="H2445" i="8"/>
  <c r="H1955" i="8"/>
  <c r="H2285" i="8"/>
  <c r="H1614" i="8"/>
  <c r="H1227" i="8"/>
  <c r="H1047" i="8"/>
  <c r="H1279" i="8"/>
  <c r="H2780" i="8"/>
  <c r="H652" i="8"/>
  <c r="H770" i="8"/>
  <c r="H600" i="8"/>
  <c r="H648" i="8"/>
  <c r="H790" i="8"/>
  <c r="H1002" i="8"/>
  <c r="H1074" i="8"/>
  <c r="H936" i="8"/>
  <c r="H983" i="8"/>
  <c r="H1402" i="8"/>
  <c r="H1162" i="8"/>
  <c r="H1398" i="8"/>
  <c r="H1458" i="8"/>
  <c r="H1438" i="8"/>
  <c r="H1659" i="8"/>
  <c r="H3491" i="8"/>
  <c r="H2122" i="8"/>
  <c r="H1693" i="8"/>
  <c r="H1748" i="8"/>
  <c r="H2434" i="8"/>
  <c r="H1816" i="8"/>
  <c r="H2136" i="8"/>
  <c r="H3616" i="8"/>
  <c r="H7" i="8"/>
  <c r="H15" i="8"/>
  <c r="H23" i="8"/>
  <c r="H31" i="8"/>
  <c r="H3364" i="8"/>
  <c r="H46" i="8"/>
  <c r="H26" i="8"/>
  <c r="H63" i="8"/>
  <c r="H69" i="8"/>
  <c r="H79" i="8"/>
  <c r="H60" i="8"/>
  <c r="H95" i="8"/>
  <c r="F95" i="8" s="1"/>
  <c r="H62" i="8"/>
  <c r="H87" i="8"/>
  <c r="H3038" i="8"/>
  <c r="F3038" i="8" s="1"/>
  <c r="H121" i="8"/>
  <c r="F121" i="8" s="1"/>
  <c r="H94" i="8"/>
  <c r="H143" i="8"/>
  <c r="F143" i="8" s="1"/>
  <c r="H135" i="8"/>
  <c r="H159" i="8"/>
  <c r="F159" i="8" s="1"/>
  <c r="H3181" i="8"/>
  <c r="F3181" i="8" s="1"/>
  <c r="H133" i="8"/>
  <c r="F133" i="8" s="1"/>
  <c r="H3043" i="8"/>
  <c r="F3043" i="8" s="1"/>
  <c r="H144" i="8"/>
  <c r="F144" i="8" s="1"/>
  <c r="H156" i="8"/>
  <c r="H157" i="8"/>
  <c r="F157" i="8" s="1"/>
  <c r="H215" i="8"/>
  <c r="H153" i="8"/>
  <c r="F153" i="8" s="1"/>
  <c r="H204" i="8"/>
  <c r="F204" i="8" s="1"/>
  <c r="H216" i="8"/>
  <c r="F216" i="8" s="1"/>
  <c r="H202" i="8"/>
  <c r="F202" i="8" s="1"/>
  <c r="H212" i="8"/>
  <c r="F212" i="8" s="1"/>
  <c r="H3063" i="8"/>
  <c r="H213" i="8"/>
  <c r="H243" i="8"/>
  <c r="F243" i="8" s="1"/>
  <c r="H236" i="8"/>
  <c r="H244" i="8"/>
  <c r="F244" i="8" s="1"/>
  <c r="H225" i="8"/>
  <c r="F225" i="8" s="1"/>
  <c r="H3054" i="8"/>
  <c r="H259" i="8"/>
  <c r="H263" i="8"/>
  <c r="F263" i="8" s="1"/>
  <c r="H271" i="8"/>
  <c r="H283" i="8"/>
  <c r="F283" i="8" s="1"/>
  <c r="H3381" i="8"/>
  <c r="H250" i="8"/>
  <c r="H3099" i="8"/>
  <c r="F3099" i="8" s="1"/>
  <c r="H316" i="8"/>
  <c r="H383" i="8"/>
  <c r="H3105" i="8"/>
  <c r="H317" i="8"/>
  <c r="H329" i="8"/>
  <c r="H353" i="8"/>
  <c r="H2703" i="8"/>
  <c r="H346" i="8"/>
  <c r="H2800" i="8"/>
  <c r="H447" i="8"/>
  <c r="H455" i="8"/>
  <c r="H375" i="8"/>
  <c r="H2708" i="8"/>
  <c r="H3079" i="8"/>
  <c r="H405" i="8"/>
  <c r="H384" i="8"/>
  <c r="H444" i="8"/>
  <c r="H450" i="8"/>
  <c r="H519" i="8"/>
  <c r="H527" i="8"/>
  <c r="H3232" i="8"/>
  <c r="H3397" i="8"/>
  <c r="H436" i="8"/>
  <c r="H437" i="8"/>
  <c r="H567" i="8"/>
  <c r="H3140" i="8"/>
  <c r="H583" i="8"/>
  <c r="H591" i="8"/>
  <c r="H426" i="8"/>
  <c r="H2826" i="8"/>
  <c r="H498" i="8"/>
  <c r="H452" i="8"/>
  <c r="H631" i="8"/>
  <c r="H503" i="8"/>
  <c r="H518" i="8"/>
  <c r="H3421" i="8"/>
  <c r="H663" i="8"/>
  <c r="H496" i="8"/>
  <c r="H569" i="8"/>
  <c r="H494" i="8"/>
  <c r="H513" i="8"/>
  <c r="H552" i="8"/>
  <c r="H586" i="8"/>
  <c r="H2723" i="8"/>
  <c r="H727" i="8"/>
  <c r="H735" i="8"/>
  <c r="H743" i="8"/>
  <c r="H662" i="8"/>
  <c r="H759" i="8"/>
  <c r="H529" i="8"/>
  <c r="H2875" i="8"/>
  <c r="H701" i="8"/>
  <c r="H588" i="8"/>
  <c r="H589" i="8"/>
  <c r="H807" i="8"/>
  <c r="H3319" i="8"/>
  <c r="H592" i="8"/>
  <c r="H839" i="8"/>
  <c r="H847" i="8"/>
  <c r="H855" i="8"/>
  <c r="H737" i="8"/>
  <c r="H2739" i="8"/>
  <c r="H615" i="8"/>
  <c r="H765" i="8"/>
  <c r="H903" i="8"/>
  <c r="H911" i="8"/>
  <c r="H778" i="8"/>
  <c r="H665" i="8"/>
  <c r="H3193" i="8"/>
  <c r="H943" i="8"/>
  <c r="H951" i="8"/>
  <c r="H959" i="8"/>
  <c r="H619" i="8"/>
  <c r="H620" i="8"/>
  <c r="H702" i="8"/>
  <c r="H3205" i="8"/>
  <c r="H2747" i="8"/>
  <c r="H1007" i="8"/>
  <c r="H1015" i="8"/>
  <c r="H1023" i="8"/>
  <c r="H834" i="8"/>
  <c r="H3179" i="8"/>
  <c r="H758" i="8"/>
  <c r="H879" i="8"/>
  <c r="H1063" i="8"/>
  <c r="H664" i="8"/>
  <c r="H1079" i="8"/>
  <c r="H836" i="8"/>
  <c r="H1103" i="8"/>
  <c r="H691" i="8"/>
  <c r="H3176" i="8"/>
  <c r="H1159" i="8"/>
  <c r="H1167" i="8"/>
  <c r="H1191" i="8"/>
  <c r="H942" i="8"/>
  <c r="H1223" i="8"/>
  <c r="H990" i="8"/>
  <c r="H1255" i="8"/>
  <c r="H2772" i="8"/>
  <c r="H1044" i="8"/>
  <c r="H978" i="8"/>
  <c r="H2792" i="8"/>
  <c r="H1327" i="8"/>
  <c r="H1351" i="8"/>
  <c r="H3244" i="8"/>
  <c r="H1383" i="8"/>
  <c r="H1076" i="8"/>
  <c r="H1415" i="8"/>
  <c r="H2781" i="8"/>
  <c r="H1129" i="8"/>
  <c r="H1136" i="8"/>
  <c r="H1175" i="8"/>
  <c r="H2945" i="8"/>
  <c r="H1094" i="8"/>
  <c r="H1519" i="8"/>
  <c r="H1543" i="8"/>
  <c r="H1551" i="8"/>
  <c r="H1140" i="8"/>
  <c r="H1155" i="8"/>
  <c r="H3505" i="8"/>
  <c r="H1583" i="8"/>
  <c r="H1591" i="8"/>
  <c r="H1599" i="8"/>
  <c r="H2789" i="8"/>
  <c r="H1157" i="8"/>
  <c r="H1170" i="8"/>
  <c r="H1631" i="8"/>
  <c r="H1174" i="8"/>
  <c r="H1647" i="8"/>
  <c r="H2806" i="8"/>
  <c r="H1321" i="8"/>
  <c r="H1671" i="8"/>
  <c r="H3506" i="8"/>
  <c r="H1687" i="8"/>
  <c r="H1313" i="8"/>
  <c r="H1366" i="8"/>
  <c r="H1711" i="8"/>
  <c r="H1719" i="8"/>
  <c r="H1727" i="8"/>
  <c r="H1244" i="8"/>
  <c r="H1422" i="8"/>
  <c r="H1243" i="8"/>
  <c r="H1250" i="8"/>
  <c r="H1443" i="8"/>
  <c r="H1775" i="8"/>
  <c r="H1461" i="8"/>
  <c r="H1470" i="8"/>
  <c r="H1799" i="8"/>
  <c r="H1280" i="8"/>
  <c r="H1292" i="8"/>
  <c r="H2815" i="8"/>
  <c r="H1409" i="8"/>
  <c r="H1362" i="8"/>
  <c r="H1480" i="8"/>
  <c r="H1390" i="8"/>
  <c r="H1394" i="8"/>
  <c r="H1323" i="8"/>
  <c r="H3347" i="8"/>
  <c r="H1887" i="8"/>
  <c r="H1895" i="8"/>
  <c r="H1488" i="8"/>
  <c r="H1527" i="8"/>
  <c r="H1919" i="8"/>
  <c r="H1927" i="8"/>
  <c r="H1935" i="8"/>
  <c r="H3230" i="8"/>
  <c r="H1528" i="8"/>
  <c r="H1959" i="8"/>
  <c r="H1370" i="8"/>
  <c r="H1493" i="8"/>
  <c r="H1507" i="8"/>
  <c r="H1576" i="8"/>
  <c r="H1517" i="8"/>
  <c r="H1400" i="8"/>
  <c r="H1413" i="8"/>
  <c r="H1606" i="8"/>
  <c r="H1638" i="8"/>
  <c r="H2047" i="8"/>
  <c r="H1641" i="8"/>
  <c r="H2063" i="8"/>
  <c r="H2071" i="8"/>
  <c r="H1662" i="8"/>
  <c r="H1472" i="8"/>
  <c r="H2095" i="8"/>
  <c r="H1668" i="8"/>
  <c r="H1690" i="8"/>
  <c r="H1542" i="8"/>
  <c r="H2127" i="8"/>
  <c r="H1700" i="8"/>
  <c r="H1725" i="8"/>
  <c r="H1728" i="8"/>
  <c r="H2159" i="8"/>
  <c r="H1684" i="8"/>
  <c r="H3393" i="8"/>
  <c r="H2183" i="8"/>
  <c r="H1692" i="8"/>
  <c r="H2199" i="8"/>
  <c r="H1745" i="8"/>
  <c r="H3497" i="8"/>
  <c r="H2223" i="8"/>
  <c r="H2231" i="8"/>
  <c r="H3257" i="8"/>
  <c r="H1767" i="8"/>
  <c r="H2255" i="8"/>
  <c r="H1677" i="8"/>
  <c r="H1664" i="8"/>
  <c r="H1678" i="8"/>
  <c r="H1694" i="8"/>
  <c r="H2295" i="8"/>
  <c r="H2303" i="8"/>
  <c r="H1847" i="8"/>
  <c r="H1696" i="8"/>
  <c r="H2327" i="8"/>
  <c r="H2335" i="8"/>
  <c r="H3003" i="8"/>
  <c r="H2351" i="8"/>
  <c r="H1890" i="8"/>
  <c r="H3554" i="8"/>
  <c r="H3582" i="8"/>
  <c r="H3349" i="8"/>
  <c r="H1922" i="8"/>
  <c r="H3268" i="8"/>
  <c r="H3556" i="8"/>
  <c r="H1790" i="8"/>
  <c r="H2928" i="8"/>
  <c r="H1803" i="8"/>
  <c r="H1970" i="8"/>
  <c r="H2003" i="8"/>
  <c r="H2455" i="8"/>
  <c r="H1774" i="8"/>
  <c r="H2027" i="8"/>
  <c r="H1815" i="8"/>
  <c r="H2487" i="8"/>
  <c r="H2869" i="8"/>
  <c r="H1826" i="8"/>
  <c r="H3071" i="8"/>
  <c r="H2055" i="8"/>
  <c r="H1843" i="8"/>
  <c r="H1848" i="8"/>
  <c r="H1854" i="8"/>
  <c r="H2551" i="8"/>
  <c r="H1866" i="8"/>
  <c r="H1871" i="8"/>
  <c r="H2575" i="8"/>
  <c r="H1914" i="8"/>
  <c r="H1875" i="8"/>
  <c r="H2599" i="8"/>
  <c r="H1931" i="8"/>
  <c r="H1879" i="8"/>
  <c r="H2002" i="8"/>
  <c r="H2631" i="8"/>
  <c r="H1952" i="8"/>
  <c r="H2138" i="8"/>
  <c r="H2655" i="8"/>
  <c r="H2916" i="8"/>
  <c r="H2671" i="8"/>
  <c r="H2917" i="8"/>
  <c r="H2687" i="8"/>
  <c r="H2015" i="8"/>
  <c r="H1905" i="8"/>
  <c r="H2957" i="8"/>
  <c r="H3599" i="8"/>
  <c r="H2024" i="8"/>
  <c r="H2735" i="8"/>
  <c r="H3738" i="8"/>
  <c r="H2755" i="8"/>
  <c r="F2755" i="8" s="1"/>
  <c r="H3722" i="8"/>
  <c r="F3722" i="8" s="1"/>
  <c r="H3025" i="8"/>
  <c r="H3706" i="8"/>
  <c r="H3698" i="8"/>
  <c r="F3698" i="8" s="1"/>
  <c r="H2547" i="8"/>
  <c r="H3721" i="8"/>
  <c r="H3011" i="8"/>
  <c r="H3666" i="8"/>
  <c r="H3658" i="8"/>
  <c r="H3650" i="8"/>
  <c r="H3642" i="8"/>
  <c r="H3634" i="8"/>
  <c r="H2961" i="8"/>
  <c r="H2651" i="8"/>
  <c r="F2651" i="8" s="1"/>
  <c r="H3610" i="8"/>
  <c r="H2921" i="8"/>
  <c r="H2639" i="8"/>
  <c r="H2899" i="8"/>
  <c r="H3578" i="8"/>
  <c r="H3570" i="8"/>
  <c r="H3562" i="8"/>
  <c r="H2596" i="8"/>
  <c r="F2596" i="8" s="1"/>
  <c r="H2672" i="8"/>
  <c r="F2672" i="8" s="1"/>
  <c r="H3538" i="8"/>
  <c r="H2855" i="8"/>
  <c r="H2583" i="8"/>
  <c r="H3514" i="8"/>
  <c r="H2830" i="8"/>
  <c r="H2499" i="8"/>
  <c r="H3490" i="8"/>
  <c r="H3482" i="8"/>
  <c r="H3621" i="8"/>
  <c r="H2469" i="8"/>
  <c r="H3458" i="8"/>
  <c r="H2567" i="8"/>
  <c r="H3310" i="8"/>
  <c r="H3154" i="8"/>
  <c r="H3426" i="8"/>
  <c r="H3418" i="8"/>
  <c r="H3410" i="8"/>
  <c r="H3370" i="8"/>
  <c r="H2485" i="8"/>
  <c r="H2650" i="8"/>
  <c r="H2562" i="8"/>
  <c r="H2426" i="8"/>
  <c r="H2520" i="8"/>
  <c r="H3135" i="8"/>
  <c r="H3250" i="8"/>
  <c r="H2471" i="8"/>
  <c r="H2304" i="8"/>
  <c r="H3604" i="8"/>
  <c r="H2266" i="8"/>
  <c r="H3004" i="8"/>
  <c r="H3122" i="8"/>
  <c r="H2953" i="8"/>
  <c r="H2029" i="8"/>
  <c r="H2017" i="8"/>
  <c r="H2230" i="8"/>
  <c r="H2842" i="8"/>
  <c r="H3614" i="8"/>
  <c r="H2061" i="8"/>
  <c r="H2731" i="8"/>
  <c r="H2020" i="8"/>
  <c r="H2142" i="8"/>
  <c r="H3273" i="8"/>
  <c r="H1966" i="8"/>
  <c r="H2108" i="8"/>
  <c r="H2085" i="8"/>
  <c r="H2507" i="8"/>
  <c r="H1870" i="8"/>
  <c r="H1995" i="8"/>
  <c r="H1789" i="8"/>
  <c r="H2379" i="8"/>
  <c r="H1877" i="8"/>
  <c r="H1754" i="8"/>
  <c r="H1688" i="8"/>
  <c r="H1768" i="8"/>
  <c r="H2219" i="8"/>
  <c r="H2187" i="8"/>
  <c r="H2155" i="8"/>
  <c r="H2123" i="8"/>
  <c r="H1572" i="8"/>
  <c r="H1439" i="8"/>
  <c r="H1624" i="8"/>
  <c r="H1600" i="8"/>
  <c r="H1460" i="8"/>
  <c r="H1354" i="8"/>
  <c r="H1485" i="8"/>
  <c r="H1395" i="8"/>
  <c r="H1479" i="8"/>
  <c r="H1275" i="8"/>
  <c r="H3528" i="8"/>
  <c r="H1346" i="8"/>
  <c r="H1707" i="8"/>
  <c r="H1211" i="8"/>
  <c r="H1306" i="8"/>
  <c r="H1611" i="8"/>
  <c r="H1579" i="8"/>
  <c r="H3269" i="8"/>
  <c r="H1033" i="8"/>
  <c r="H845" i="8"/>
  <c r="H1143" i="8"/>
  <c r="H768" i="8"/>
  <c r="K1786" i="8"/>
  <c r="K2938" i="8"/>
  <c r="K2631" i="8"/>
  <c r="K1925" i="8"/>
  <c r="K2972" i="8"/>
  <c r="K2314" i="8"/>
  <c r="K2916" i="8"/>
  <c r="K2660" i="8"/>
  <c r="K1962" i="8"/>
  <c r="K1741" i="8"/>
  <c r="K3413" i="8"/>
  <c r="K3289" i="8"/>
  <c r="K2079" i="8"/>
  <c r="K2934" i="8"/>
  <c r="K3134" i="8"/>
  <c r="K1891" i="8"/>
  <c r="K2073" i="8"/>
  <c r="K2138" i="8"/>
  <c r="K2896" i="8"/>
  <c r="K3033" i="8"/>
  <c r="K2275" i="8"/>
  <c r="K1280" i="8"/>
  <c r="K2255" i="8"/>
  <c r="K2772" i="8"/>
  <c r="K767" i="8"/>
  <c r="K2054" i="8"/>
  <c r="K2254" i="8"/>
  <c r="K2058" i="8"/>
  <c r="K3537" i="8"/>
  <c r="K2741" i="8"/>
  <c r="K1491" i="8"/>
  <c r="K2418" i="8"/>
  <c r="K1496" i="8"/>
  <c r="K1907" i="8"/>
  <c r="K2182" i="8"/>
  <c r="K1872" i="8"/>
  <c r="K2665" i="8"/>
  <c r="K2301" i="8"/>
  <c r="K1832" i="8"/>
  <c r="K3113" i="8"/>
  <c r="K1946" i="8"/>
  <c r="K1763" i="8"/>
  <c r="K2907" i="8"/>
  <c r="K2737" i="8"/>
  <c r="K1890" i="8"/>
  <c r="K2335" i="8"/>
  <c r="K3016" i="8"/>
  <c r="K2299" i="8"/>
  <c r="K1522" i="8"/>
  <c r="K3475" i="8"/>
  <c r="K2841" i="8"/>
  <c r="K516" i="8"/>
  <c r="K2422" i="8"/>
  <c r="K3554" i="8"/>
  <c r="K113" i="8"/>
  <c r="K1096" i="8"/>
  <c r="K3279" i="8"/>
  <c r="K3435" i="8"/>
  <c r="K3265" i="8"/>
  <c r="K2250" i="8"/>
  <c r="K2126" i="8"/>
  <c r="K1257" i="8"/>
  <c r="K1121" i="8"/>
  <c r="K1127" i="8"/>
  <c r="K2858" i="8"/>
  <c r="K706" i="8"/>
  <c r="K2107" i="8"/>
  <c r="K2545" i="8"/>
  <c r="K3230" i="8"/>
  <c r="K2509" i="8"/>
  <c r="K2064" i="8"/>
  <c r="K2262" i="8"/>
  <c r="K1920" i="8"/>
  <c r="K1981" i="8"/>
  <c r="K2944" i="8"/>
  <c r="K870" i="8"/>
  <c r="K3355" i="8"/>
  <c r="K1886" i="8"/>
  <c r="K1203" i="8"/>
  <c r="K1328" i="8"/>
  <c r="K2988" i="8"/>
  <c r="K1977" i="8"/>
  <c r="K1861" i="8"/>
  <c r="K2738" i="8"/>
  <c r="K709" i="8"/>
  <c r="K1869" i="8"/>
  <c r="K1182" i="8"/>
  <c r="K1492" i="8"/>
  <c r="K1369" i="8"/>
  <c r="K2383" i="8"/>
  <c r="K142" i="8"/>
  <c r="K2468" i="8"/>
  <c r="K1731" i="8"/>
  <c r="K2983" i="8"/>
  <c r="K2106" i="8"/>
  <c r="K2621" i="8"/>
  <c r="K964" i="8"/>
  <c r="K3249" i="8"/>
  <c r="K724" i="8"/>
  <c r="K2943" i="8"/>
  <c r="K2237" i="8"/>
  <c r="K2216" i="8"/>
  <c r="K747" i="8"/>
  <c r="K735" i="8"/>
  <c r="K1563" i="8"/>
  <c r="K714" i="8"/>
  <c r="K1177" i="8"/>
  <c r="K3544" i="8"/>
  <c r="K2129" i="8"/>
  <c r="K1931" i="8"/>
  <c r="K1329" i="8"/>
  <c r="K1392" i="8"/>
  <c r="K2859" i="8"/>
  <c r="K1113" i="8"/>
  <c r="K2575" i="8"/>
  <c r="K2848" i="8"/>
  <c r="K1589" i="8"/>
  <c r="K1370" i="8"/>
  <c r="K2829" i="8"/>
  <c r="K2522" i="8"/>
  <c r="K872" i="8"/>
  <c r="K2034" i="8"/>
  <c r="K3614" i="8"/>
  <c r="K2491" i="8"/>
  <c r="K1961" i="8"/>
  <c r="K1488" i="8"/>
  <c r="K1874" i="8"/>
  <c r="K2370" i="8"/>
  <c r="K2139" i="8"/>
  <c r="K2059" i="8"/>
  <c r="K3106" i="8"/>
  <c r="K1323" i="8"/>
  <c r="K2457" i="8"/>
  <c r="K2453" i="8"/>
  <c r="K902" i="8"/>
  <c r="K1803" i="8"/>
  <c r="K1017" i="8"/>
  <c r="K2781" i="8"/>
  <c r="K1711" i="8"/>
  <c r="K3376" i="8"/>
  <c r="K50" i="8"/>
  <c r="K144" i="8"/>
  <c r="K932" i="8"/>
  <c r="K1051" i="8"/>
  <c r="K2152" i="8"/>
  <c r="K986" i="8"/>
  <c r="K1921" i="8"/>
  <c r="K203" i="8"/>
  <c r="K2051" i="8"/>
  <c r="K2836" i="8"/>
  <c r="K2091" i="8"/>
  <c r="K615" i="8"/>
  <c r="K3394" i="8"/>
  <c r="K2700" i="8"/>
  <c r="K2188" i="8"/>
  <c r="K2892" i="8"/>
  <c r="K326" i="8"/>
  <c r="K168" i="8"/>
  <c r="K438" i="8"/>
  <c r="K3383" i="8"/>
  <c r="K1760" i="8"/>
  <c r="K2195" i="8"/>
  <c r="K873" i="8"/>
  <c r="K1566" i="8"/>
  <c r="K1052" i="8"/>
  <c r="K757" i="8"/>
  <c r="K1629" i="8"/>
  <c r="K386" i="8"/>
  <c r="K3140" i="8"/>
  <c r="K1651" i="8"/>
  <c r="K3075" i="8"/>
  <c r="K2513" i="8"/>
  <c r="K40" i="8"/>
  <c r="K2458" i="8"/>
  <c r="K357" i="8"/>
  <c r="K3266" i="8"/>
  <c r="K2304" i="8"/>
  <c r="K617" i="8"/>
  <c r="K2598" i="8"/>
  <c r="K1762" i="8"/>
  <c r="K2622" i="8"/>
  <c r="K2381" i="8"/>
  <c r="K499" i="8"/>
  <c r="K970" i="8"/>
  <c r="K2707" i="8"/>
  <c r="K3150" i="8"/>
  <c r="K2441" i="8"/>
  <c r="K359" i="8"/>
  <c r="K610" i="8"/>
  <c r="K479" i="8"/>
  <c r="K2790" i="8"/>
  <c r="K305" i="8"/>
  <c r="K145" i="8"/>
  <c r="K737" i="8"/>
  <c r="K1025" i="8"/>
  <c r="K599" i="8"/>
  <c r="K290" i="8"/>
  <c r="K945" i="8"/>
  <c r="K1064" i="8"/>
  <c r="K1462" i="8"/>
  <c r="K1226" i="8"/>
  <c r="K159" i="8"/>
  <c r="K3115" i="8"/>
  <c r="K804" i="8"/>
  <c r="K1757" i="8"/>
  <c r="K1665" i="8"/>
  <c r="K1721" i="8"/>
  <c r="K1653" i="8"/>
  <c r="K1747" i="8"/>
  <c r="K773" i="8"/>
  <c r="K563" i="8"/>
  <c r="K2205" i="8"/>
  <c r="K899" i="8"/>
  <c r="K1720" i="8"/>
  <c r="K3395" i="8"/>
  <c r="K367" i="8"/>
  <c r="K3551" i="8"/>
  <c r="K1158" i="8"/>
  <c r="K1714" i="8"/>
  <c r="K742" i="8"/>
  <c r="K2130" i="8"/>
  <c r="K1004" i="8"/>
  <c r="K1383" i="8"/>
  <c r="K3547" i="8"/>
  <c r="K1514" i="8"/>
  <c r="K2104" i="8"/>
  <c r="K1503" i="8"/>
  <c r="K1648" i="8"/>
  <c r="K907" i="8"/>
  <c r="K1358" i="8"/>
  <c r="K1153" i="8"/>
  <c r="K1353" i="8"/>
  <c r="K1225" i="8"/>
  <c r="K1348" i="8"/>
  <c r="K2044" i="8"/>
  <c r="K2759" i="8"/>
  <c r="K248" i="8"/>
  <c r="K2035" i="8"/>
  <c r="K2030" i="8"/>
  <c r="K3255" i="8"/>
  <c r="K3684" i="8"/>
  <c r="K673" i="8"/>
  <c r="K54" i="8"/>
  <c r="K51" i="8"/>
  <c r="K340" i="8"/>
  <c r="K2720" i="8"/>
  <c r="K780" i="8"/>
  <c r="K477" i="8"/>
  <c r="K834" i="8"/>
  <c r="K2834" i="8"/>
  <c r="K2261" i="8"/>
  <c r="K451" i="8"/>
  <c r="K984" i="8"/>
  <c r="K183" i="8"/>
  <c r="K548" i="8"/>
  <c r="K3189" i="8"/>
  <c r="K449" i="8"/>
  <c r="K2246" i="8"/>
  <c r="K486" i="8"/>
  <c r="K23" i="8"/>
  <c r="K574" i="8"/>
  <c r="K148" i="8"/>
  <c r="K1164" i="8"/>
  <c r="K3643" i="8"/>
  <c r="K238" i="8"/>
  <c r="K56" i="8"/>
  <c r="K3239" i="8"/>
  <c r="K504" i="8"/>
  <c r="K366" i="8"/>
  <c r="K3205" i="8"/>
  <c r="K2912" i="8"/>
  <c r="K3182" i="8"/>
  <c r="K2770" i="8"/>
  <c r="K181" i="8"/>
  <c r="K166" i="8"/>
  <c r="K1712" i="8"/>
  <c r="K883" i="8"/>
  <c r="K3446" i="8"/>
  <c r="K3194" i="8"/>
  <c r="K1424" i="8"/>
  <c r="K2844" i="8"/>
  <c r="K1023" i="8"/>
  <c r="K657" i="8"/>
  <c r="K1175" i="8"/>
  <c r="K162" i="8"/>
  <c r="K786" i="8"/>
  <c r="K1306" i="8"/>
  <c r="K3196" i="8"/>
  <c r="K370" i="8"/>
  <c r="K1045" i="8"/>
  <c r="K254" i="8"/>
  <c r="K1422" i="8"/>
  <c r="K2187" i="8"/>
  <c r="K1287" i="8"/>
  <c r="K1587" i="8"/>
  <c r="K501" i="8"/>
  <c r="K1108" i="8"/>
  <c r="K2951" i="8"/>
  <c r="K1954" i="8"/>
  <c r="K1298" i="8"/>
  <c r="K1474" i="8"/>
  <c r="K1973" i="8"/>
  <c r="K1454" i="8"/>
  <c r="K1960" i="8"/>
  <c r="K1852" i="8"/>
  <c r="K1520" i="8"/>
  <c r="K1505" i="8"/>
  <c r="K1773" i="8"/>
  <c r="K3270" i="8"/>
  <c r="K1529" i="8"/>
  <c r="K2017" i="8"/>
  <c r="K2024" i="8"/>
  <c r="K2386" i="8"/>
  <c r="K1561" i="8"/>
  <c r="K3595" i="8"/>
  <c r="K3047" i="8"/>
  <c r="K502" i="8"/>
  <c r="K343" i="8"/>
  <c r="K2349" i="8"/>
  <c r="K401" i="8"/>
  <c r="K224" i="8"/>
  <c r="K3416" i="8"/>
  <c r="K3245" i="8"/>
  <c r="K2482" i="8"/>
  <c r="K3242" i="8"/>
  <c r="K227" i="8"/>
  <c r="K193" i="8"/>
  <c r="K957" i="8"/>
  <c r="K312" i="8"/>
  <c r="K3044" i="8"/>
  <c r="K2978" i="8"/>
  <c r="K1610" i="8"/>
  <c r="K1301" i="8"/>
  <c r="K1661" i="8"/>
  <c r="K1667" i="8"/>
  <c r="K1256" i="8"/>
  <c r="K2789" i="8"/>
  <c r="K1573" i="8"/>
  <c r="K3400" i="8"/>
  <c r="K1777" i="8"/>
  <c r="K3739" i="8"/>
  <c r="K3488" i="8"/>
  <c r="K3195" i="8"/>
  <c r="K34" i="8"/>
  <c r="K650" i="8"/>
  <c r="K634" i="8"/>
  <c r="K1146" i="8"/>
  <c r="K1680" i="8"/>
  <c r="K630" i="8"/>
  <c r="K730" i="8"/>
  <c r="K788" i="8"/>
  <c r="K2224" i="8"/>
  <c r="K2883" i="8"/>
  <c r="K2471" i="8"/>
  <c r="K2234" i="8"/>
  <c r="K277" i="8"/>
  <c r="K379" i="8"/>
  <c r="K774" i="8"/>
  <c r="K950" i="8"/>
  <c r="K602" i="8"/>
  <c r="K681" i="8"/>
  <c r="K1204" i="8"/>
  <c r="K1710" i="8"/>
  <c r="K944" i="8"/>
  <c r="K914" i="8"/>
  <c r="K905" i="8"/>
  <c r="K139" i="8"/>
  <c r="K138" i="8"/>
  <c r="K587" i="8"/>
  <c r="K573" i="8"/>
  <c r="K888" i="8"/>
  <c r="K1240" i="8"/>
  <c r="K910" i="8"/>
  <c r="K2739" i="8"/>
  <c r="K1269" i="8"/>
  <c r="K395" i="8"/>
  <c r="K3096" i="8"/>
  <c r="K675" i="8"/>
  <c r="K3496" i="8"/>
  <c r="K466" i="8"/>
  <c r="K722" i="8"/>
  <c r="K2913" i="8"/>
  <c r="K1705" i="8"/>
  <c r="K2063" i="8"/>
  <c r="K3382" i="8"/>
  <c r="K2098" i="8"/>
  <c r="K2651" i="8"/>
  <c r="K2899" i="8"/>
  <c r="K2840" i="8"/>
  <c r="K2479" i="8"/>
  <c r="K2736" i="8"/>
  <c r="K3687" i="8"/>
  <c r="K2463" i="8"/>
  <c r="K2519" i="8"/>
  <c r="K235" i="8"/>
  <c r="K3250" i="8"/>
  <c r="K506" i="8"/>
  <c r="K2319" i="8"/>
  <c r="K3066" i="8"/>
  <c r="K856" i="8"/>
  <c r="K2761" i="8"/>
  <c r="K405" i="8"/>
  <c r="K431" i="8"/>
  <c r="K2283" i="8"/>
  <c r="K3008" i="8"/>
  <c r="K418" i="8"/>
  <c r="K3178" i="8"/>
  <c r="K2996" i="8"/>
  <c r="K226" i="8"/>
  <c r="K830" i="8"/>
  <c r="K733" i="8"/>
  <c r="K158" i="8"/>
  <c r="K3132" i="8"/>
  <c r="K585" i="8"/>
  <c r="K1058" i="8"/>
  <c r="K3170" i="8"/>
  <c r="K2183" i="8"/>
  <c r="K1554" i="8"/>
  <c r="K1542" i="8"/>
  <c r="K1371" i="8"/>
  <c r="K1368" i="8"/>
  <c r="K871" i="8"/>
  <c r="K1050" i="8"/>
  <c r="K1633" i="8"/>
  <c r="K1131" i="8"/>
  <c r="K868" i="8"/>
  <c r="K1976" i="8"/>
  <c r="K1972" i="8"/>
  <c r="K3415" i="8"/>
  <c r="K2019" i="8"/>
  <c r="K3591" i="8"/>
  <c r="K597" i="8"/>
  <c r="K2863" i="8"/>
  <c r="K328" i="8"/>
  <c r="K3117" i="8"/>
  <c r="K885" i="8"/>
  <c r="K2595" i="8"/>
  <c r="K1875" i="8"/>
  <c r="K1546" i="8"/>
  <c r="K1511" i="8"/>
  <c r="K1994" i="8"/>
  <c r="K3407" i="8"/>
  <c r="K497" i="8"/>
  <c r="K842" i="8"/>
  <c r="K1230" i="8"/>
  <c r="K1538" i="8"/>
  <c r="K1536" i="8"/>
  <c r="K1948" i="8"/>
  <c r="K1471" i="8"/>
  <c r="K1979" i="8"/>
  <c r="K1560" i="8"/>
  <c r="K1871" i="8"/>
  <c r="K2558" i="8"/>
  <c r="K1939" i="8"/>
  <c r="K2843" i="8"/>
  <c r="K2872" i="8"/>
  <c r="K2550" i="8"/>
  <c r="K1224" i="8"/>
  <c r="K1917" i="8"/>
  <c r="K1459" i="8"/>
  <c r="K3541" i="8"/>
  <c r="K1104" i="8"/>
  <c r="K2711" i="8"/>
  <c r="K1518" i="8"/>
  <c r="K1903" i="8"/>
  <c r="K2070" i="8"/>
  <c r="K1899" i="8"/>
  <c r="K2514" i="8"/>
  <c r="K2908" i="8"/>
  <c r="K667" i="8"/>
  <c r="K2507" i="8"/>
  <c r="K1098" i="8"/>
  <c r="K1826" i="8"/>
  <c r="K2163" i="8"/>
  <c r="K1540" i="8"/>
  <c r="K1985" i="8"/>
  <c r="K3286" i="8"/>
  <c r="K1094" i="8"/>
  <c r="K2492" i="8"/>
  <c r="K2251" i="8"/>
  <c r="K1334" i="8"/>
  <c r="K2374" i="8"/>
  <c r="K2483" i="8"/>
  <c r="K1815" i="8"/>
  <c r="K1896" i="8"/>
  <c r="K864" i="8"/>
  <c r="K2774" i="8"/>
  <c r="K2963" i="8"/>
  <c r="K2236" i="8"/>
  <c r="K1468" i="8"/>
  <c r="K3494" i="8"/>
  <c r="K3492" i="8"/>
  <c r="K1809" i="8"/>
  <c r="K3592" i="8"/>
  <c r="K3107" i="8"/>
  <c r="K577" i="8"/>
  <c r="K2010" i="8"/>
  <c r="K2273" i="8"/>
  <c r="K2003" i="8"/>
  <c r="K2752" i="8"/>
  <c r="K2317" i="8"/>
  <c r="K1394" i="8"/>
  <c r="K1941" i="8"/>
  <c r="K1858" i="8"/>
  <c r="K2822" i="8"/>
  <c r="K1827" i="8"/>
  <c r="K1303" i="8"/>
  <c r="K2732" i="8"/>
  <c r="K2728" i="8"/>
  <c r="K2928" i="8"/>
  <c r="K2721" i="8"/>
  <c r="K1818" i="8"/>
  <c r="K1836" i="8"/>
  <c r="K494" i="8"/>
  <c r="K1834" i="8"/>
  <c r="K1079" i="8"/>
  <c r="K3651" i="8"/>
  <c r="K1337" i="8"/>
  <c r="K3589" i="8"/>
  <c r="K3611" i="8"/>
  <c r="K1922" i="8"/>
  <c r="K1820" i="8"/>
  <c r="K2387" i="8"/>
  <c r="K2923" i="8"/>
  <c r="K1787" i="8"/>
  <c r="K2880" i="8"/>
  <c r="K1713" i="8"/>
  <c r="K2083" i="8"/>
  <c r="K2950" i="8"/>
  <c r="K2351" i="8"/>
  <c r="K2350" i="8"/>
  <c r="K2069" i="8"/>
  <c r="K2390" i="8"/>
  <c r="K1290" i="8"/>
  <c r="K2166" i="8"/>
  <c r="K1904" i="8"/>
  <c r="K2157" i="8"/>
  <c r="K1853" i="8"/>
  <c r="K2062" i="8"/>
  <c r="K2331" i="8"/>
  <c r="K3337" i="8"/>
  <c r="K2321" i="8"/>
  <c r="K1754" i="8"/>
  <c r="K2309" i="8"/>
  <c r="K2979" i="8"/>
  <c r="K2366" i="8"/>
  <c r="K2935" i="8"/>
  <c r="K2045" i="8"/>
  <c r="K1075" i="8"/>
  <c r="K3606" i="8"/>
  <c r="K1752" i="8"/>
  <c r="K1894" i="8"/>
  <c r="K3339" i="8"/>
  <c r="K2038" i="8"/>
  <c r="K1461" i="8"/>
  <c r="K2181" i="8"/>
  <c r="K1885" i="8"/>
  <c r="K2294" i="8"/>
  <c r="K1264" i="8"/>
  <c r="K3260" i="8"/>
  <c r="K2372" i="8"/>
  <c r="K3560" i="8"/>
  <c r="K2638" i="8"/>
  <c r="K1644" i="8"/>
  <c r="K3533" i="8"/>
  <c r="K1769" i="8"/>
  <c r="K540" i="8"/>
  <c r="K1252" i="8"/>
  <c r="K2991" i="8"/>
  <c r="K2340" i="8"/>
  <c r="K1445" i="8"/>
  <c r="K2124" i="8"/>
  <c r="K1723" i="8"/>
  <c r="K1980" i="8"/>
  <c r="K1341" i="8"/>
  <c r="K2036" i="8"/>
  <c r="K2025" i="8"/>
  <c r="K1342" i="8"/>
  <c r="K3199" i="8"/>
  <c r="K3282" i="8"/>
  <c r="K1289" i="8"/>
  <c r="K925" i="8"/>
  <c r="K1374" i="8"/>
  <c r="K2197" i="8"/>
  <c r="K2196" i="8"/>
  <c r="K754" i="8"/>
  <c r="K1559" i="8"/>
  <c r="K728" i="8"/>
  <c r="K3291" i="8"/>
  <c r="K1669" i="8"/>
  <c r="K1657" i="8"/>
  <c r="K1147" i="8"/>
  <c r="K895" i="8"/>
  <c r="K1169" i="8"/>
  <c r="K1157" i="8"/>
  <c r="K1245" i="8"/>
  <c r="K721" i="8"/>
  <c r="K770" i="8"/>
  <c r="K2174" i="8"/>
  <c r="K579" i="8"/>
  <c r="K3513" i="8"/>
  <c r="K1708" i="8"/>
  <c r="K1734" i="8"/>
  <c r="K278" i="8"/>
  <c r="K568" i="8"/>
  <c r="K982" i="8"/>
  <c r="K1066" i="8"/>
  <c r="K1295" i="8"/>
  <c r="K1662" i="8"/>
  <c r="K1174" i="8"/>
  <c r="K3183" i="8"/>
  <c r="K1655" i="8"/>
  <c r="K933" i="8"/>
  <c r="K2818" i="8"/>
  <c r="K2634" i="8"/>
  <c r="K2891" i="8"/>
  <c r="K2426" i="8"/>
  <c r="K2342" i="8"/>
  <c r="K653" i="8"/>
  <c r="K3207" i="8"/>
  <c r="K1046" i="8"/>
  <c r="K3005" i="8"/>
  <c r="K627" i="8"/>
  <c r="K38" i="8"/>
  <c r="K609" i="8"/>
  <c r="K3152" i="8"/>
  <c r="K3334" i="8"/>
  <c r="K309" i="8"/>
  <c r="K332" i="8"/>
  <c r="K782" i="8"/>
  <c r="K315" i="8"/>
  <c r="K851" i="8"/>
  <c r="K765" i="8"/>
  <c r="K1073" i="8"/>
  <c r="K605" i="8"/>
  <c r="K1265" i="8"/>
  <c r="K1139" i="8"/>
  <c r="K3321" i="8"/>
  <c r="K825" i="8"/>
  <c r="K581" i="8"/>
  <c r="K1207" i="8"/>
  <c r="K3256" i="8"/>
  <c r="K3119" i="8"/>
  <c r="K3381" i="8"/>
  <c r="K1249" i="8"/>
  <c r="K529" i="8"/>
  <c r="K3495" i="8"/>
  <c r="K3437" i="8"/>
  <c r="K1691" i="8"/>
  <c r="K1159" i="8"/>
  <c r="K3215" i="8"/>
  <c r="K744" i="8"/>
  <c r="K1197" i="8"/>
  <c r="K2906" i="8"/>
  <c r="K2780" i="8"/>
  <c r="K1382" i="8"/>
  <c r="K1321" i="8"/>
  <c r="K2105" i="8"/>
  <c r="K267" i="8"/>
  <c r="K1499" i="8"/>
  <c r="K1487" i="8"/>
  <c r="K1634" i="8"/>
  <c r="K1170" i="8"/>
  <c r="K2067" i="8"/>
  <c r="K921" i="8"/>
  <c r="K637" i="8"/>
  <c r="K330" i="8"/>
  <c r="K2041" i="8"/>
  <c r="K3258" i="8"/>
  <c r="K1624" i="8"/>
  <c r="K621" i="8"/>
  <c r="K1929" i="8"/>
  <c r="K1035" i="8"/>
  <c r="K1543" i="8"/>
  <c r="K880" i="8"/>
  <c r="K1914" i="8"/>
  <c r="K2311" i="8"/>
  <c r="K1533" i="8"/>
  <c r="K1866" i="8"/>
  <c r="K3622" i="8"/>
  <c r="K2551" i="8"/>
  <c r="K1839" i="8"/>
  <c r="K2968" i="8"/>
  <c r="K1102" i="8"/>
  <c r="K3071" i="8"/>
  <c r="K2810" i="8"/>
  <c r="K2119" i="8"/>
  <c r="K1927" i="8"/>
  <c r="K1963" i="8"/>
  <c r="K2154" i="8"/>
  <c r="K1401" i="8"/>
  <c r="K3391" i="8"/>
  <c r="K2448" i="8"/>
  <c r="K2733" i="8"/>
  <c r="K3078" i="8"/>
  <c r="K2408" i="8"/>
  <c r="K3061" i="8"/>
  <c r="K2388" i="8"/>
  <c r="K869" i="8"/>
  <c r="K2394" i="8"/>
  <c r="K2170" i="8"/>
  <c r="K1271" i="8"/>
  <c r="K2325" i="8"/>
  <c r="K2316" i="8"/>
  <c r="K1350" i="8"/>
  <c r="K1349" i="8"/>
  <c r="K2177" i="8"/>
  <c r="K2265" i="8"/>
  <c r="K2257" i="8"/>
  <c r="K3629" i="8"/>
  <c r="K2242" i="8"/>
  <c r="K1933" i="8"/>
  <c r="K2926" i="8"/>
  <c r="K125" i="8"/>
  <c r="K64" i="8"/>
  <c r="K172" i="8"/>
  <c r="K270" i="8"/>
  <c r="K140" i="8"/>
  <c r="K855" i="8"/>
  <c r="K1232" i="8"/>
  <c r="K817" i="8"/>
  <c r="K3319" i="8"/>
  <c r="K718" i="8"/>
  <c r="K141" i="8"/>
  <c r="K1193" i="8"/>
  <c r="K1649" i="8"/>
  <c r="K1733" i="8"/>
  <c r="K929" i="8"/>
  <c r="K3398" i="8"/>
  <c r="K1320" i="8"/>
  <c r="K1363" i="8"/>
  <c r="K2158" i="8"/>
  <c r="K2148" i="8"/>
  <c r="K1313" i="8"/>
  <c r="K1679" i="8"/>
  <c r="K2116" i="8"/>
  <c r="K1185" i="8"/>
  <c r="K2100" i="8"/>
  <c r="K3322" i="8"/>
  <c r="K1659" i="8"/>
  <c r="K1288" i="8"/>
  <c r="K1179" i="8"/>
  <c r="K3176" i="8"/>
  <c r="K1438" i="8"/>
  <c r="K2053" i="8"/>
  <c r="K2050" i="8"/>
  <c r="K989" i="8"/>
  <c r="K1539" i="8"/>
  <c r="K691" i="8"/>
  <c r="K1220" i="8"/>
  <c r="K861" i="8"/>
  <c r="K1140" i="8"/>
  <c r="K2014" i="8"/>
  <c r="K1326" i="8"/>
  <c r="K2007" i="8"/>
  <c r="K2889" i="8"/>
  <c r="K1862" i="8"/>
  <c r="K1878" i="8"/>
  <c r="K3590" i="8"/>
  <c r="K1198" i="8"/>
  <c r="K1460" i="8"/>
  <c r="K2194" i="8"/>
  <c r="K2537" i="8"/>
  <c r="K1908" i="8"/>
  <c r="K1103" i="8"/>
  <c r="K2989" i="8"/>
  <c r="K2286" i="8"/>
  <c r="K1940" i="8"/>
  <c r="K1097" i="8"/>
  <c r="K1354" i="8"/>
  <c r="K3212" i="8"/>
  <c r="K1525" i="8"/>
  <c r="K3463" i="8"/>
  <c r="K2032" i="8"/>
  <c r="K2827" i="8"/>
  <c r="K1895" i="8"/>
  <c r="K2060" i="8"/>
  <c r="K1887" i="8"/>
  <c r="K1944" i="8"/>
  <c r="K2052" i="8"/>
  <c r="K1498" i="8"/>
  <c r="K3436" i="8"/>
  <c r="K1317" i="8"/>
  <c r="K1865" i="8"/>
  <c r="K1501" i="8"/>
  <c r="K1970" i="8"/>
  <c r="K2049" i="8"/>
  <c r="K1859" i="8"/>
  <c r="K1080" i="8"/>
  <c r="K2209" i="8"/>
  <c r="K1387" i="8"/>
  <c r="K1376" i="8"/>
  <c r="K2857" i="8"/>
  <c r="K690" i="8"/>
  <c r="K1297" i="8"/>
  <c r="K3599" i="8"/>
  <c r="K2239" i="8"/>
  <c r="K1192" i="8"/>
  <c r="K3594" i="8"/>
  <c r="K2207" i="8"/>
  <c r="K1409" i="8"/>
  <c r="K1828" i="8"/>
  <c r="K3388" i="8"/>
  <c r="K2015" i="8"/>
  <c r="K1792" i="8"/>
  <c r="K2881" i="8"/>
  <c r="K2369" i="8"/>
  <c r="K2361" i="8"/>
  <c r="K3440" i="8"/>
  <c r="K1304" i="8"/>
  <c r="K2175" i="8"/>
  <c r="K2151" i="8"/>
  <c r="K1751" i="8"/>
  <c r="K1771" i="8"/>
  <c r="K2310" i="8"/>
  <c r="K2307" i="8"/>
  <c r="K2142" i="8"/>
  <c r="K2813" i="8"/>
  <c r="K1794" i="8"/>
  <c r="K1470" i="8"/>
  <c r="K1982" i="8"/>
  <c r="K1261" i="8"/>
  <c r="K1971" i="8"/>
  <c r="K2136" i="8"/>
  <c r="K3543" i="8"/>
  <c r="K2277" i="8"/>
  <c r="K2864" i="8"/>
  <c r="K2922" i="8"/>
  <c r="K3579" i="8"/>
  <c r="K264" i="8"/>
  <c r="K3602" i="8"/>
  <c r="K1453" i="8"/>
  <c r="K2238" i="8"/>
  <c r="K2380" i="8"/>
  <c r="K1332" i="8"/>
  <c r="K3447" i="8"/>
  <c r="K1047" i="8"/>
  <c r="K3445" i="8"/>
  <c r="K2930" i="8"/>
  <c r="K2542" i="8"/>
  <c r="K1231" i="8"/>
  <c r="K2026" i="8"/>
  <c r="K1137" i="8"/>
  <c r="K2977" i="8"/>
  <c r="K1475" i="8"/>
  <c r="K3691" i="8"/>
  <c r="K2220" i="8"/>
  <c r="K134" i="8"/>
  <c r="K2830" i="8"/>
  <c r="K2499" i="8"/>
  <c r="K2592" i="8"/>
  <c r="K2496" i="8"/>
  <c r="K2652" i="8"/>
  <c r="K89" i="8"/>
  <c r="K83" i="8"/>
  <c r="K2534" i="8"/>
  <c r="K645" i="8"/>
  <c r="K200" i="8"/>
  <c r="K2502" i="8"/>
  <c r="K355" i="8"/>
  <c r="K205" i="8"/>
  <c r="K3004" i="8"/>
  <c r="K30" i="8"/>
  <c r="K766" i="8"/>
  <c r="K387" i="8"/>
  <c r="K971" i="8"/>
  <c r="K2788" i="8"/>
  <c r="K848" i="8"/>
  <c r="K946" i="8"/>
  <c r="K250" i="8"/>
  <c r="K795" i="8"/>
  <c r="K292" i="8"/>
  <c r="K1212" i="8"/>
  <c r="K1210" i="8"/>
  <c r="K1208" i="8"/>
  <c r="K1250" i="8"/>
  <c r="K942" i="8"/>
  <c r="K793" i="8"/>
  <c r="K890" i="8"/>
  <c r="K284" i="8"/>
  <c r="K1436" i="8"/>
  <c r="K1586" i="8"/>
  <c r="K3497" i="8"/>
  <c r="K1416" i="8"/>
  <c r="K1695" i="8"/>
  <c r="K3276" i="8"/>
  <c r="K1693" i="8"/>
  <c r="K746" i="8"/>
  <c r="K1048" i="8"/>
  <c r="K1718" i="8"/>
  <c r="K1570" i="8"/>
  <c r="K2493" i="8"/>
  <c r="K3710" i="8"/>
  <c r="K632" i="8"/>
  <c r="K197" i="8"/>
  <c r="K307" i="8"/>
  <c r="K3613" i="8"/>
  <c r="K3668" i="8"/>
  <c r="K3161" i="8"/>
  <c r="K3023" i="8"/>
  <c r="K2692" i="8"/>
  <c r="K3420" i="8"/>
  <c r="K2421" i="8"/>
  <c r="K320" i="8"/>
  <c r="K107" i="8"/>
  <c r="K3318" i="8"/>
  <c r="K3683" i="8"/>
  <c r="K2346" i="8"/>
  <c r="K2654" i="8"/>
  <c r="K3253" i="8"/>
  <c r="K3278" i="8"/>
  <c r="K3216" i="8"/>
  <c r="K3049" i="8"/>
  <c r="K361" i="8"/>
  <c r="K358" i="8"/>
  <c r="K3190" i="8"/>
  <c r="K636" i="8"/>
  <c r="K2447" i="8"/>
  <c r="K46" i="8"/>
  <c r="K719" i="8"/>
  <c r="K801" i="8"/>
  <c r="K620" i="8"/>
  <c r="K152" i="8"/>
  <c r="K947" i="8"/>
  <c r="K345" i="8"/>
  <c r="K924" i="8"/>
  <c r="K484" i="8"/>
  <c r="K146" i="8"/>
  <c r="K390" i="8"/>
  <c r="K2744" i="8"/>
  <c r="K1483" i="8"/>
  <c r="K2995" i="8"/>
  <c r="K845" i="8"/>
  <c r="K857" i="8"/>
  <c r="K604" i="8"/>
  <c r="K814" i="8"/>
  <c r="K835" i="8"/>
  <c r="K1062" i="8"/>
  <c r="K149" i="8"/>
  <c r="K965" i="8"/>
  <c r="K812" i="8"/>
  <c r="K1209" i="8"/>
  <c r="K1012" i="8"/>
  <c r="K3031" i="8"/>
  <c r="K2560" i="8"/>
  <c r="K3679" i="8"/>
  <c r="K3655" i="8"/>
  <c r="K3639" i="8"/>
  <c r="K3719" i="8"/>
  <c r="K2866" i="8"/>
  <c r="K3532" i="8"/>
  <c r="K2569" i="8"/>
  <c r="K2797" i="8"/>
  <c r="K2768" i="8"/>
  <c r="K121" i="8"/>
  <c r="K97" i="8"/>
  <c r="K81" i="8"/>
  <c r="K3302" i="8"/>
  <c r="K2605" i="8"/>
  <c r="K59" i="8"/>
  <c r="K677" i="8"/>
  <c r="K3235" i="8"/>
  <c r="K341" i="8"/>
  <c r="K339" i="8"/>
  <c r="K252" i="8"/>
  <c r="K480" i="8"/>
  <c r="K2708" i="8"/>
  <c r="K3185" i="8"/>
  <c r="K826" i="8"/>
  <c r="K832" i="8"/>
  <c r="K323" i="8"/>
  <c r="K977" i="8"/>
  <c r="K613" i="8"/>
  <c r="K3125" i="8"/>
  <c r="K3727" i="8"/>
  <c r="K3703" i="8"/>
  <c r="K2536" i="8"/>
  <c r="K2974" i="8"/>
  <c r="K3631" i="8"/>
  <c r="K3623" i="8"/>
  <c r="K3615" i="8"/>
  <c r="K3583" i="8"/>
  <c r="K2895" i="8"/>
  <c r="K3166" i="8"/>
  <c r="K2647" i="8"/>
  <c r="K115" i="8"/>
  <c r="K2618" i="8"/>
  <c r="K3409" i="8"/>
  <c r="K2697" i="8"/>
  <c r="K2371" i="8"/>
  <c r="K2442" i="8"/>
  <c r="K296" i="8"/>
  <c r="K2603" i="8"/>
  <c r="K2964" i="8"/>
  <c r="K455" i="8"/>
  <c r="K2481" i="8"/>
  <c r="K3155" i="8"/>
  <c r="K434" i="8"/>
  <c r="K3144" i="8"/>
  <c r="K2472" i="8"/>
  <c r="K3660" i="8"/>
  <c r="K915" i="8"/>
  <c r="K266" i="8"/>
  <c r="K3123" i="8"/>
  <c r="K1135" i="8"/>
  <c r="K2838" i="8"/>
  <c r="K1022" i="8"/>
  <c r="K3403" i="8"/>
  <c r="K2658" i="8"/>
  <c r="K2480" i="8"/>
  <c r="K105" i="8"/>
  <c r="K72" i="8"/>
  <c r="K557" i="8"/>
  <c r="K444" i="8"/>
  <c r="K2808" i="8"/>
  <c r="K161" i="8"/>
  <c r="K3209" i="8"/>
  <c r="K2525" i="8"/>
  <c r="K42" i="8"/>
  <c r="K48" i="8"/>
  <c r="K229" i="8"/>
  <c r="K351" i="8"/>
  <c r="K443" i="8"/>
  <c r="K371" i="8"/>
  <c r="K2826" i="8"/>
  <c r="K954" i="8"/>
  <c r="K189" i="8"/>
  <c r="K198" i="8"/>
  <c r="K295" i="8"/>
  <c r="K608" i="8"/>
  <c r="K901" i="8"/>
  <c r="K877" i="8"/>
  <c r="K182" i="8"/>
  <c r="K3234" i="8"/>
  <c r="K1255" i="8"/>
  <c r="K3246" i="8"/>
  <c r="K3128" i="8"/>
  <c r="K1071" i="8"/>
  <c r="K725" i="8"/>
  <c r="K594" i="8"/>
  <c r="K300" i="8"/>
  <c r="K582" i="8"/>
  <c r="K2712" i="8"/>
  <c r="K811" i="8"/>
  <c r="K576" i="8"/>
  <c r="K2235" i="8"/>
  <c r="K2591" i="8"/>
  <c r="K2248" i="8"/>
  <c r="K118" i="8"/>
  <c r="K381" i="8"/>
  <c r="K936" i="8"/>
  <c r="K789" i="8"/>
  <c r="K1430" i="8"/>
  <c r="K2221" i="8"/>
  <c r="K1425" i="8"/>
  <c r="K779" i="8"/>
  <c r="K3402" i="8"/>
  <c r="K3515" i="8"/>
  <c r="K772" i="8"/>
  <c r="K1745" i="8"/>
  <c r="K1414" i="8"/>
  <c r="K1386" i="8"/>
  <c r="K2199" i="8"/>
  <c r="K1743" i="8"/>
  <c r="K917" i="8"/>
  <c r="K763" i="8"/>
  <c r="K1241" i="8"/>
  <c r="K1236" i="8"/>
  <c r="K759" i="8"/>
  <c r="K1036" i="8"/>
  <c r="K15" i="8"/>
  <c r="K1114" i="8"/>
  <c r="K878" i="8"/>
  <c r="K2172" i="8"/>
  <c r="K875" i="8"/>
  <c r="K1615" i="8"/>
  <c r="K1564" i="8"/>
  <c r="K1683" i="8"/>
  <c r="K1359" i="8"/>
  <c r="K1687" i="8"/>
  <c r="K1681" i="8"/>
  <c r="K2140" i="8"/>
  <c r="K1202" i="8"/>
  <c r="K2132" i="8"/>
  <c r="K2127" i="8"/>
  <c r="K2123" i="8"/>
  <c r="K659" i="8"/>
  <c r="K1672" i="8"/>
  <c r="K736" i="8"/>
  <c r="K1299" i="8"/>
  <c r="K7" i="8"/>
  <c r="K1314" i="8"/>
  <c r="K1656" i="8"/>
  <c r="K2101" i="8"/>
  <c r="K1003" i="8"/>
  <c r="K2095" i="8"/>
  <c r="K1142" i="8"/>
  <c r="K3491" i="8"/>
  <c r="K1092" i="8"/>
  <c r="K918" i="8"/>
  <c r="K1631" i="8"/>
  <c r="K1628" i="8"/>
  <c r="K3244" i="8"/>
  <c r="K2828" i="8"/>
  <c r="K1163" i="8"/>
  <c r="K273" i="8"/>
  <c r="K939" i="8"/>
  <c r="K1134" i="8"/>
  <c r="K1274" i="8"/>
  <c r="K1602" i="8"/>
  <c r="K3470" i="8"/>
  <c r="K2048" i="8"/>
  <c r="K1221" i="8"/>
  <c r="K1344" i="8"/>
  <c r="K1638" i="8"/>
  <c r="K1585" i="8"/>
  <c r="K1530" i="8"/>
  <c r="K708" i="8"/>
  <c r="K1160" i="8"/>
  <c r="K1124" i="8"/>
  <c r="K2967" i="8"/>
  <c r="K1119" i="8"/>
  <c r="K3237" i="8"/>
  <c r="K2599" i="8"/>
  <c r="K598" i="8"/>
  <c r="K586" i="8"/>
  <c r="K1325" i="8"/>
  <c r="K1324" i="8"/>
  <c r="K1594" i="8"/>
  <c r="K3571" i="8"/>
  <c r="K1235" i="8"/>
  <c r="K2589" i="8"/>
  <c r="K1316" i="8"/>
  <c r="K858" i="8"/>
  <c r="K1992" i="8"/>
  <c r="K2111" i="8"/>
  <c r="K1863" i="8"/>
  <c r="K1109" i="8"/>
  <c r="K1987" i="8"/>
  <c r="K1502" i="8"/>
  <c r="K874" i="8"/>
  <c r="K1026" i="8"/>
  <c r="K1199" i="8"/>
  <c r="K2565" i="8"/>
  <c r="K2037" i="8"/>
  <c r="K1194" i="8"/>
  <c r="K1016" i="8"/>
  <c r="K1964" i="8"/>
  <c r="K2544" i="8"/>
  <c r="K2097" i="8"/>
  <c r="K2085" i="8"/>
  <c r="K1218" i="8"/>
  <c r="K1991" i="8"/>
  <c r="K1957" i="8"/>
  <c r="K2066" i="8"/>
  <c r="K2056" i="8"/>
  <c r="K1531" i="8"/>
  <c r="K2814" i="8"/>
  <c r="K1947" i="8"/>
  <c r="K2021" i="8"/>
  <c r="K2909" i="8"/>
  <c r="K3510" i="8"/>
  <c r="K1935" i="8"/>
  <c r="K2807" i="8"/>
  <c r="K2191" i="8"/>
  <c r="K2167" i="8"/>
  <c r="K1932" i="8"/>
  <c r="K461" i="8"/>
  <c r="K2494" i="8"/>
  <c r="K2260" i="8"/>
  <c r="K3077" i="8"/>
  <c r="K1336" i="8"/>
  <c r="K2487" i="8"/>
  <c r="K1508" i="8"/>
  <c r="K1490" i="8"/>
  <c r="K3457" i="8"/>
  <c r="K1485" i="8"/>
  <c r="K2777" i="8"/>
  <c r="K1776" i="8"/>
  <c r="K2435" i="8"/>
  <c r="K2121" i="8"/>
  <c r="K3112" i="8"/>
  <c r="K2245" i="8"/>
  <c r="K3290" i="8"/>
  <c r="K1500" i="8"/>
  <c r="K1397" i="8"/>
  <c r="K1857" i="8"/>
  <c r="K3287" i="8"/>
  <c r="K1087" i="8"/>
  <c r="K2893" i="8"/>
  <c r="K692" i="8"/>
  <c r="K2754" i="8"/>
  <c r="K2226" i="8"/>
  <c r="K1831" i="8"/>
  <c r="K2413" i="8"/>
  <c r="K3267" i="8"/>
  <c r="K1390" i="8"/>
  <c r="K2212" i="8"/>
  <c r="K1497" i="8"/>
  <c r="K2086" i="8"/>
  <c r="K1924" i="8"/>
  <c r="K3085" i="8"/>
  <c r="K1444" i="8"/>
  <c r="K1844" i="8"/>
  <c r="K1291" i="8"/>
  <c r="K3081" i="8"/>
  <c r="K3624" i="8"/>
  <c r="K1955" i="8"/>
  <c r="K2717" i="8"/>
  <c r="K2713" i="8"/>
  <c r="K1495" i="8"/>
  <c r="K1913" i="8"/>
  <c r="K2404" i="8"/>
  <c r="K2201" i="8"/>
  <c r="K2400" i="8"/>
  <c r="K1812" i="8"/>
  <c r="K3058" i="8"/>
  <c r="K3056" i="8"/>
  <c r="K1822" i="8"/>
  <c r="K541" i="8"/>
  <c r="K2379" i="8"/>
  <c r="K2009" i="8"/>
  <c r="K1778" i="8"/>
  <c r="K2363" i="8"/>
  <c r="K1706" i="8"/>
  <c r="K2004" i="8"/>
  <c r="K2949" i="8"/>
  <c r="K2686" i="8"/>
  <c r="K2161" i="8"/>
  <c r="K2398" i="8"/>
  <c r="K1282" i="8"/>
  <c r="K542" i="8"/>
  <c r="K2385" i="8"/>
  <c r="K2382" i="8"/>
  <c r="K489" i="8"/>
  <c r="K2336" i="8"/>
  <c r="K1697" i="8"/>
  <c r="K2327" i="8"/>
  <c r="K2322" i="8"/>
  <c r="K2318" i="8"/>
  <c r="K1850" i="8"/>
  <c r="K2940" i="8"/>
  <c r="K2669" i="8"/>
  <c r="K2953" i="8"/>
  <c r="K1674" i="8"/>
  <c r="K1799" i="8"/>
  <c r="K1795" i="8"/>
  <c r="K3017" i="8"/>
  <c r="K1785" i="8"/>
  <c r="K3548" i="8"/>
  <c r="K3529" i="8"/>
  <c r="K1775" i="8"/>
  <c r="K3006" i="8"/>
  <c r="K1670" i="8"/>
  <c r="K1694" i="8"/>
  <c r="K3001" i="8"/>
  <c r="K1678" i="8"/>
  <c r="K2997" i="8"/>
  <c r="K2267" i="8"/>
  <c r="K2227" i="8"/>
  <c r="K1737" i="8"/>
  <c r="K1882" i="8"/>
  <c r="K3273" i="8"/>
  <c r="K2632" i="8"/>
  <c r="K2629" i="8"/>
  <c r="K1772" i="8"/>
  <c r="K2113" i="8"/>
  <c r="K2134" i="8"/>
  <c r="K2980" i="8"/>
  <c r="K3522" i="8"/>
  <c r="K2719" i="8"/>
  <c r="K3135" i="8"/>
  <c r="K3565" i="8"/>
  <c r="K324" i="8"/>
  <c r="K2416" i="8"/>
  <c r="K564" i="8"/>
  <c r="K3350" i="8"/>
  <c r="K2559" i="8"/>
  <c r="K3418" i="8"/>
  <c r="K2855" i="8"/>
  <c r="K2562" i="8"/>
  <c r="K2530" i="8"/>
  <c r="K67" i="8"/>
  <c r="K510" i="8"/>
  <c r="K230" i="8"/>
  <c r="K2636" i="8"/>
  <c r="K269" i="8"/>
  <c r="K131" i="8"/>
  <c r="K2727" i="8"/>
  <c r="K2693" i="8"/>
  <c r="K3652" i="8"/>
  <c r="K3636" i="8"/>
  <c r="K3612" i="8"/>
  <c r="K3596" i="8"/>
  <c r="K3572" i="8"/>
  <c r="K2884" i="8"/>
  <c r="K2804" i="8"/>
  <c r="K3467" i="8"/>
  <c r="K2734" i="8"/>
  <c r="K2527" i="8"/>
  <c r="K3695" i="8"/>
  <c r="K3054" i="8"/>
  <c r="K98" i="8"/>
  <c r="K3546" i="8"/>
  <c r="K2345" i="8"/>
  <c r="K3141" i="8"/>
  <c r="K3233" i="8"/>
  <c r="K232" i="8"/>
  <c r="K3277" i="8"/>
  <c r="K231" i="8"/>
  <c r="K514" i="8"/>
  <c r="K3368" i="8"/>
  <c r="K1029" i="8"/>
  <c r="K204" i="8"/>
  <c r="K720" i="8"/>
  <c r="K716" i="8"/>
  <c r="K356" i="8"/>
  <c r="K3065" i="8"/>
  <c r="K2646" i="8"/>
  <c r="K353" i="8"/>
  <c r="K3218" i="8"/>
  <c r="K778" i="8"/>
  <c r="K3105" i="8"/>
  <c r="K751" i="8"/>
  <c r="K261" i="8"/>
  <c r="K372" i="8"/>
  <c r="K1248" i="8"/>
  <c r="K311" i="8"/>
  <c r="K2805" i="8"/>
  <c r="K291" i="8"/>
  <c r="K1206" i="8"/>
  <c r="K3483" i="8"/>
  <c r="K1347" i="8"/>
  <c r="K1431" i="8"/>
  <c r="K1085" i="8"/>
  <c r="K2875" i="8"/>
  <c r="K2718" i="8"/>
  <c r="K3311" i="8"/>
  <c r="K127" i="8"/>
  <c r="K2582" i="8"/>
  <c r="K128" i="8"/>
  <c r="K3423" i="8"/>
  <c r="K101" i="8"/>
  <c r="K2485" i="8"/>
  <c r="K2552" i="8"/>
  <c r="K3298" i="8"/>
  <c r="K2604" i="8"/>
  <c r="K71" i="8"/>
  <c r="K352" i="8"/>
  <c r="K3672" i="8"/>
  <c r="K2357" i="8"/>
  <c r="K265" i="8"/>
  <c r="K3186" i="8"/>
  <c r="K374" i="8"/>
  <c r="K3659" i="8"/>
  <c r="K336" i="8"/>
  <c r="K631" i="8"/>
  <c r="K452" i="8"/>
  <c r="K2281" i="8"/>
  <c r="K3671" i="8"/>
  <c r="K987" i="8"/>
  <c r="K194" i="8"/>
  <c r="K346" i="8"/>
  <c r="K342" i="8"/>
  <c r="K3653" i="8"/>
  <c r="K647" i="8"/>
  <c r="K3108" i="8"/>
  <c r="K413" i="8"/>
  <c r="K829" i="8"/>
  <c r="K2933" i="8"/>
  <c r="K1013" i="8"/>
  <c r="K824" i="8"/>
  <c r="K3399" i="8"/>
  <c r="K1452" i="8"/>
  <c r="K1021" i="8"/>
  <c r="K135" i="8"/>
  <c r="K787" i="8"/>
  <c r="K784" i="8"/>
  <c r="K1420" i="8"/>
  <c r="K2748" i="8"/>
  <c r="K2710" i="8"/>
  <c r="K2689" i="8"/>
  <c r="K3644" i="8"/>
  <c r="K3628" i="8"/>
  <c r="K2535" i="8"/>
  <c r="K2679" i="8"/>
  <c r="K3711" i="8"/>
  <c r="K3165" i="8"/>
  <c r="K3429" i="8"/>
  <c r="K2606" i="8"/>
  <c r="K3370" i="8"/>
  <c r="K62" i="8"/>
  <c r="K3315" i="8"/>
  <c r="K363" i="8"/>
  <c r="K399" i="8"/>
  <c r="K411" i="8"/>
  <c r="K2570" i="8"/>
  <c r="K853" i="8"/>
  <c r="K2320" i="8"/>
  <c r="K478" i="8"/>
  <c r="K1032" i="8"/>
  <c r="K400" i="8"/>
  <c r="K171" i="8"/>
  <c r="K992" i="8"/>
  <c r="K808" i="8"/>
  <c r="K2256" i="8"/>
  <c r="K417" i="8"/>
  <c r="K2461" i="8"/>
  <c r="K398" i="8"/>
  <c r="K2716" i="8"/>
  <c r="K2439" i="8"/>
  <c r="K3462" i="8"/>
  <c r="K969" i="8"/>
  <c r="K843" i="8"/>
  <c r="K1465" i="8"/>
  <c r="K972" i="8"/>
  <c r="K126" i="8"/>
  <c r="K3405" i="8"/>
  <c r="K377" i="8"/>
  <c r="K694" i="8"/>
  <c r="K3716" i="8"/>
  <c r="K3000" i="8"/>
  <c r="K2939" i="8"/>
  <c r="K2484" i="8"/>
  <c r="K2704" i="8"/>
  <c r="K3389" i="8"/>
  <c r="K2656" i="8"/>
  <c r="K3309" i="8"/>
  <c r="K2623" i="8"/>
  <c r="K520" i="8"/>
  <c r="K2517" i="8"/>
  <c r="K219" i="8"/>
  <c r="K49" i="8"/>
  <c r="K63" i="8"/>
  <c r="K2470" i="8"/>
  <c r="K201" i="8"/>
  <c r="K39" i="8"/>
  <c r="K462" i="8"/>
  <c r="K2747" i="8"/>
  <c r="K41" i="8"/>
  <c r="K756" i="8"/>
  <c r="K614" i="8"/>
  <c r="K2608" i="8"/>
  <c r="K432" i="8"/>
  <c r="K1286" i="8"/>
  <c r="K892" i="8"/>
  <c r="K262" i="8"/>
  <c r="K815" i="8"/>
  <c r="K847" i="8"/>
  <c r="K129" i="8"/>
  <c r="K985" i="8"/>
  <c r="K3114" i="8"/>
  <c r="K3201" i="8"/>
  <c r="K1748" i="8"/>
  <c r="K1346" i="8"/>
  <c r="K2588" i="8"/>
  <c r="K3730" i="8"/>
  <c r="K2837" i="8"/>
  <c r="K3481" i="8"/>
  <c r="K2554" i="8"/>
  <c r="K122" i="8"/>
  <c r="K253" i="8"/>
  <c r="K3351" i="8"/>
  <c r="K304" i="8"/>
  <c r="K3299" i="8"/>
  <c r="K2403" i="8"/>
  <c r="K3263" i="8"/>
  <c r="K487" i="8"/>
  <c r="K475" i="8"/>
  <c r="K530" i="8"/>
  <c r="K433" i="8"/>
  <c r="K2279" i="8"/>
  <c r="K3187" i="8"/>
  <c r="K465" i="8"/>
  <c r="K3168" i="8"/>
  <c r="K388" i="8"/>
  <c r="K979" i="8"/>
  <c r="K440" i="8"/>
  <c r="K606" i="8"/>
  <c r="K703" i="8"/>
  <c r="K928" i="8"/>
  <c r="K973" i="8"/>
  <c r="K1281" i="8"/>
  <c r="K748" i="8"/>
  <c r="K865" i="8"/>
  <c r="K956" i="8"/>
  <c r="K169" i="8"/>
  <c r="K603" i="8"/>
  <c r="K821" i="8"/>
  <c r="K3307" i="8"/>
  <c r="K1054" i="8"/>
  <c r="K124" i="8"/>
  <c r="K588" i="8"/>
  <c r="K1009" i="8"/>
  <c r="K2986" i="8"/>
  <c r="K3619" i="8"/>
  <c r="K2626" i="8"/>
  <c r="K2354" i="8"/>
  <c r="K810" i="8"/>
  <c r="K920" i="8"/>
  <c r="K1253" i="8"/>
  <c r="K130" i="8"/>
  <c r="K990" i="8"/>
  <c r="K3160" i="8"/>
  <c r="K308" i="8"/>
  <c r="K712" i="8"/>
  <c r="K3333" i="8"/>
  <c r="K1709" i="8"/>
  <c r="K2914" i="8"/>
  <c r="K672" i="8"/>
  <c r="K1729" i="8"/>
  <c r="K1722" i="8"/>
  <c r="K1014" i="8"/>
  <c r="K1704" i="8"/>
  <c r="K1076" i="8"/>
  <c r="K1645" i="8"/>
  <c r="K3136" i="8"/>
  <c r="K3542" i="8"/>
  <c r="K1873" i="8"/>
  <c r="K1996" i="8"/>
  <c r="K2549" i="8"/>
  <c r="K1519" i="8"/>
  <c r="K2289" i="8"/>
  <c r="K1528" i="8"/>
  <c r="K1423" i="8"/>
  <c r="K2501" i="8"/>
  <c r="K2794" i="8"/>
  <c r="K3618" i="8"/>
  <c r="K1816" i="8"/>
  <c r="K1897" i="8"/>
  <c r="K2775" i="8"/>
  <c r="K3540" i="8"/>
  <c r="K513" i="8"/>
  <c r="K2898" i="8"/>
  <c r="K2436" i="8"/>
  <c r="K2040" i="8"/>
  <c r="K1837" i="8"/>
  <c r="K2957" i="8"/>
  <c r="K3072" i="8"/>
  <c r="K1930" i="8"/>
  <c r="K3055" i="8"/>
  <c r="K3052" i="8"/>
  <c r="K1077" i="8"/>
  <c r="K2179" i="8"/>
  <c r="K3647" i="8"/>
  <c r="K3412" i="8"/>
  <c r="K1275" i="8"/>
  <c r="K2109" i="8"/>
  <c r="K2315" i="8"/>
  <c r="K2031" i="8"/>
  <c r="K1808" i="8"/>
  <c r="K2028" i="8"/>
  <c r="K3387" i="8"/>
  <c r="K2584" i="8"/>
  <c r="K3685" i="8"/>
  <c r="K3563" i="8"/>
  <c r="K2583" i="8"/>
  <c r="K3482" i="8"/>
  <c r="K2637" i="8"/>
  <c r="K3707" i="8"/>
  <c r="K245" i="8"/>
  <c r="K2624" i="8"/>
  <c r="K517" i="8"/>
  <c r="K518" i="8"/>
  <c r="K3180" i="8"/>
  <c r="K3124" i="8"/>
  <c r="K1086" i="8"/>
  <c r="K1402" i="8"/>
  <c r="K1606" i="8"/>
  <c r="K2578" i="8"/>
  <c r="K3039" i="8"/>
  <c r="K3724" i="8"/>
  <c r="K3597" i="8"/>
  <c r="K3147" i="8"/>
  <c r="K2784" i="8"/>
  <c r="K1082" i="8"/>
  <c r="K670" i="8"/>
  <c r="K2867" i="8"/>
  <c r="K3733" i="8"/>
  <c r="K3637" i="8"/>
  <c r="K1049" i="8"/>
  <c r="K1750" i="8"/>
  <c r="K3715" i="8"/>
  <c r="K215" i="8"/>
  <c r="K1466" i="8"/>
  <c r="K931" i="8"/>
  <c r="K618" i="8"/>
  <c r="K3104" i="8"/>
  <c r="K2860" i="8"/>
  <c r="K3145" i="8"/>
  <c r="K303" i="8"/>
  <c r="K2271" i="8"/>
  <c r="K187" i="8"/>
  <c r="K474" i="8"/>
  <c r="K1222" i="8"/>
  <c r="K887" i="8"/>
  <c r="K508" i="8"/>
  <c r="K2541" i="8"/>
  <c r="K3575" i="8"/>
  <c r="K237" i="8"/>
  <c r="K222" i="8"/>
  <c r="K2266" i="8"/>
  <c r="K471" i="8"/>
  <c r="K1276" i="8"/>
  <c r="K275" i="8"/>
  <c r="K3665" i="8"/>
  <c r="K3559" i="8"/>
  <c r="K3137" i="8"/>
  <c r="K3607" i="8"/>
  <c r="K2666" i="8"/>
  <c r="K186" i="8"/>
  <c r="K221" i="8"/>
  <c r="K3223" i="8"/>
  <c r="K1165" i="8"/>
  <c r="K547" i="8"/>
  <c r="K2701" i="8"/>
  <c r="K527" i="8"/>
  <c r="K3480" i="8"/>
  <c r="K2911" i="8"/>
  <c r="K2512" i="8"/>
  <c r="K3348" i="8"/>
  <c r="K301" i="8"/>
  <c r="K425" i="8"/>
  <c r="K3007" i="8"/>
  <c r="K2685" i="8"/>
  <c r="K537" i="8"/>
  <c r="K649" i="8"/>
  <c r="K758" i="8"/>
  <c r="K3670" i="8"/>
  <c r="K3294" i="8"/>
  <c r="K938" i="8"/>
  <c r="K279" i="8"/>
  <c r="K651" i="8"/>
  <c r="K625" i="8"/>
  <c r="K963" i="8"/>
  <c r="K1110" i="8"/>
  <c r="K1247" i="8"/>
  <c r="K1426" i="8"/>
  <c r="K1242" i="8"/>
  <c r="K1238" i="8"/>
  <c r="K1318" i="8"/>
  <c r="K1605" i="8"/>
  <c r="K554" i="8"/>
  <c r="K1652" i="8"/>
  <c r="K1635" i="8"/>
  <c r="K726" i="8"/>
  <c r="K1592" i="8"/>
  <c r="K1578" i="8"/>
  <c r="K2488" i="8"/>
  <c r="K2612" i="8"/>
  <c r="K3050" i="8"/>
  <c r="K2084" i="8"/>
  <c r="K1434" i="8"/>
  <c r="K66" i="8"/>
  <c r="K376" i="8"/>
  <c r="K2594" i="8"/>
  <c r="K3453" i="8"/>
  <c r="K2378" i="8"/>
  <c r="K96" i="8"/>
  <c r="K281" i="8"/>
  <c r="K674" i="8"/>
  <c r="K3094" i="8"/>
  <c r="K2763" i="8"/>
  <c r="K1575" i="8"/>
  <c r="K3284" i="8"/>
  <c r="K1550" i="8"/>
  <c r="K1942" i="8"/>
  <c r="K1510" i="8"/>
  <c r="K1870" i="8"/>
  <c r="K2433" i="8"/>
  <c r="K1790" i="8"/>
  <c r="K1340" i="8"/>
  <c r="K3349" i="8"/>
  <c r="K2688" i="8"/>
  <c r="K3003" i="8"/>
  <c r="K2946" i="8"/>
  <c r="K2987" i="8"/>
  <c r="K2444" i="8"/>
  <c r="K2820" i="8"/>
  <c r="K3562" i="8"/>
  <c r="K2596" i="8"/>
  <c r="K3519" i="8"/>
  <c r="K2803" i="8"/>
  <c r="K3465" i="8"/>
  <c r="K3459" i="8"/>
  <c r="K3451" i="8"/>
  <c r="K2532" i="8"/>
  <c r="K112" i="8"/>
  <c r="K100" i="8"/>
  <c r="K3406" i="8"/>
  <c r="K2508" i="8"/>
  <c r="K3153" i="8"/>
  <c r="K2691" i="8"/>
  <c r="K2684" i="8"/>
  <c r="K77" i="8"/>
  <c r="K2473" i="8"/>
  <c r="K3082" i="8"/>
  <c r="K3069" i="8"/>
  <c r="K247" i="8"/>
  <c r="K225" i="8"/>
  <c r="K2644" i="8"/>
  <c r="K298" i="8"/>
  <c r="K3313" i="8"/>
  <c r="K91" i="8"/>
  <c r="K61" i="8"/>
  <c r="K2696" i="8"/>
  <c r="K3232" i="8"/>
  <c r="K424" i="8"/>
  <c r="K3013" i="8"/>
  <c r="K2524" i="8"/>
  <c r="K191" i="8"/>
  <c r="K3680" i="8"/>
  <c r="K79" i="8"/>
  <c r="K678" i="8"/>
  <c r="K2343" i="8"/>
  <c r="K435" i="8"/>
  <c r="K3214" i="8"/>
  <c r="K881" i="8"/>
  <c r="K3197" i="8"/>
  <c r="K2749" i="8"/>
  <c r="K838" i="8"/>
  <c r="K458" i="8"/>
  <c r="K378" i="8"/>
  <c r="K1027" i="8"/>
  <c r="K3737" i="8"/>
  <c r="K2341" i="8"/>
  <c r="K448" i="8"/>
  <c r="K412" i="8"/>
  <c r="K897" i="8"/>
  <c r="K1736" i="8"/>
  <c r="K1118" i="8"/>
  <c r="K2080" i="8"/>
  <c r="K2451" i="8"/>
  <c r="K994" i="8"/>
  <c r="K2671" i="8"/>
  <c r="K2743" i="8"/>
  <c r="K3593" i="8"/>
  <c r="K3538" i="8"/>
  <c r="K3534" i="8"/>
  <c r="K3704" i="8"/>
  <c r="K3472" i="8"/>
  <c r="K2642" i="8"/>
  <c r="K3458" i="8"/>
  <c r="K2567" i="8"/>
  <c r="K3310" i="8"/>
  <c r="K3154" i="8"/>
  <c r="K3426" i="8"/>
  <c r="K2724" i="8"/>
  <c r="K3064" i="8"/>
  <c r="K2414" i="8"/>
  <c r="K3275" i="8"/>
  <c r="K82" i="8"/>
  <c r="K184" i="8"/>
  <c r="K3116" i="8"/>
  <c r="K65" i="8"/>
  <c r="K280" i="8"/>
  <c r="K560" i="8"/>
  <c r="K464" i="8"/>
  <c r="K2862" i="8"/>
  <c r="K450" i="8"/>
  <c r="K509" i="8"/>
  <c r="K213" i="8"/>
  <c r="K2313" i="8"/>
  <c r="K407" i="8"/>
  <c r="K58" i="8"/>
  <c r="K3682" i="8"/>
  <c r="K3219" i="8"/>
  <c r="K165" i="8"/>
  <c r="K1067" i="8"/>
  <c r="K3353" i="8"/>
  <c r="K3271" i="8"/>
  <c r="K642" i="8"/>
  <c r="K362" i="8"/>
  <c r="K1056" i="8"/>
  <c r="K2298" i="8"/>
  <c r="K777" i="8"/>
  <c r="K337" i="8"/>
  <c r="K2263" i="8"/>
  <c r="K3042" i="8"/>
  <c r="K3133" i="8"/>
  <c r="K3164" i="8"/>
  <c r="K220" i="8"/>
  <c r="K3184" i="8"/>
  <c r="K242" i="8"/>
  <c r="K185" i="8"/>
  <c r="K3438" i="8"/>
  <c r="K199" i="8"/>
  <c r="K490" i="8"/>
  <c r="K3102" i="8"/>
  <c r="K3678" i="8"/>
  <c r="K2282" i="8"/>
  <c r="K820" i="8"/>
  <c r="K1002" i="8"/>
  <c r="K809" i="8"/>
  <c r="K196" i="8"/>
  <c r="K2225" i="8"/>
  <c r="K488" i="8"/>
  <c r="K408" i="8"/>
  <c r="K2243" i="8"/>
  <c r="K768" i="8"/>
  <c r="K633" i="8"/>
  <c r="K420" i="8"/>
  <c r="K325" i="8"/>
  <c r="K3375" i="8"/>
  <c r="K1150" i="8"/>
  <c r="K1024" i="8"/>
  <c r="K1251" i="8"/>
  <c r="K1746" i="8"/>
  <c r="K572" i="8"/>
  <c r="K1188" i="8"/>
  <c r="K3484" i="8"/>
  <c r="K1978" i="8"/>
  <c r="K3493" i="8"/>
  <c r="K836" i="8"/>
  <c r="K2764" i="8"/>
  <c r="K995" i="8"/>
  <c r="K3478" i="8"/>
  <c r="K1781" i="8"/>
  <c r="K1701" i="8"/>
  <c r="K2655" i="8"/>
  <c r="K2293" i="8"/>
  <c r="K1761" i="8"/>
  <c r="K394" i="8"/>
  <c r="K734" i="8"/>
  <c r="K3720" i="8"/>
  <c r="K3688" i="8"/>
  <c r="K2985" i="8"/>
  <c r="K3712" i="8"/>
  <c r="K3731" i="8"/>
  <c r="K3723" i="8"/>
  <c r="K3525" i="8"/>
  <c r="K2799" i="8"/>
  <c r="K234" i="8"/>
  <c r="K680" i="8"/>
  <c r="K243" i="8"/>
  <c r="K676" i="8"/>
  <c r="K496" i="8"/>
  <c r="K55" i="8"/>
  <c r="K397" i="8"/>
  <c r="K3103" i="8"/>
  <c r="K3247" i="8"/>
  <c r="K2495" i="8"/>
  <c r="K2581" i="8"/>
  <c r="K2786" i="8"/>
  <c r="K392" i="8"/>
  <c r="K3421" i="8"/>
  <c r="K3224" i="8"/>
  <c r="K2563" i="8"/>
  <c r="K664" i="8"/>
  <c r="K2557" i="8"/>
  <c r="K257" i="8"/>
  <c r="K212" i="8"/>
  <c r="K3041" i="8"/>
  <c r="K3713" i="8"/>
  <c r="K3705" i="8"/>
  <c r="K3697" i="8"/>
  <c r="K2546" i="8"/>
  <c r="K2699" i="8"/>
  <c r="K3010" i="8"/>
  <c r="K2661" i="8"/>
  <c r="K3641" i="8"/>
  <c r="K3633" i="8"/>
  <c r="K3625" i="8"/>
  <c r="K3617" i="8"/>
  <c r="K2645" i="8"/>
  <c r="K3585" i="8"/>
  <c r="K3577" i="8"/>
  <c r="K3569" i="8"/>
  <c r="K3561" i="8"/>
  <c r="K3553" i="8"/>
  <c r="K3545" i="8"/>
  <c r="K3526" i="8"/>
  <c r="K3034" i="8"/>
  <c r="K2523" i="8"/>
  <c r="K3502" i="8"/>
  <c r="K2490" i="8"/>
  <c r="K3486" i="8"/>
  <c r="K2423" i="8"/>
  <c r="K2511" i="8"/>
  <c r="K3669" i="8"/>
  <c r="K117" i="8"/>
  <c r="K2415" i="8"/>
  <c r="K2586" i="8"/>
  <c r="K3373" i="8"/>
  <c r="K93" i="8"/>
  <c r="K2401" i="8"/>
  <c r="K84" i="8"/>
  <c r="K314" i="8"/>
  <c r="K246" i="8"/>
  <c r="K3690" i="8"/>
  <c r="K241" i="8"/>
  <c r="K3335" i="8"/>
  <c r="K3330" i="8"/>
  <c r="K3325" i="8"/>
  <c r="K3323" i="8"/>
  <c r="K95" i="8"/>
  <c r="K2538" i="8"/>
  <c r="K90" i="8"/>
  <c r="K60" i="8"/>
  <c r="K416" i="8"/>
  <c r="K3076" i="8"/>
  <c r="K360" i="8"/>
  <c r="K2619" i="8"/>
  <c r="K415" i="8"/>
  <c r="K174" i="8"/>
  <c r="K45" i="8"/>
  <c r="K3512" i="8"/>
  <c r="K2516" i="8"/>
  <c r="K3174" i="8"/>
  <c r="K3604" i="8"/>
  <c r="K2757" i="8"/>
  <c r="K1008" i="8"/>
  <c r="K1005" i="8"/>
  <c r="K616" i="8"/>
  <c r="K3344" i="8"/>
  <c r="K322" i="8"/>
  <c r="K710" i="8"/>
  <c r="K3656" i="8"/>
  <c r="K966" i="8"/>
  <c r="K3148" i="8"/>
  <c r="K3053" i="8"/>
  <c r="K310" i="8"/>
  <c r="K206" i="8"/>
  <c r="K601" i="8"/>
  <c r="K3193" i="8"/>
  <c r="K684" i="8"/>
  <c r="K177" i="8"/>
  <c r="K776" i="8"/>
  <c r="K656" i="8"/>
  <c r="K903" i="8"/>
  <c r="K2765" i="8"/>
  <c r="K644" i="8"/>
  <c r="K3045" i="8"/>
  <c r="K974" i="8"/>
  <c r="K306" i="8"/>
  <c r="K180" i="8"/>
  <c r="K590" i="8"/>
  <c r="K827" i="8"/>
  <c r="K136" i="8"/>
  <c r="K1020" i="8"/>
  <c r="K731" i="8"/>
  <c r="K849" i="8"/>
  <c r="K559" i="8"/>
  <c r="K3181" i="8"/>
  <c r="K1006" i="8"/>
  <c r="K1469" i="8"/>
  <c r="K485" i="8"/>
  <c r="K828" i="8"/>
  <c r="K439" i="8"/>
  <c r="K1229" i="8"/>
  <c r="K961" i="8"/>
  <c r="K3188" i="8"/>
  <c r="K913" i="8"/>
  <c r="K132" i="8"/>
  <c r="K3087" i="8"/>
  <c r="K3240" i="8"/>
  <c r="K3122" i="8"/>
  <c r="K1145" i="8"/>
  <c r="K1243" i="8"/>
  <c r="K535" i="8"/>
  <c r="K711" i="8"/>
  <c r="K1195" i="8"/>
  <c r="K1437" i="8"/>
  <c r="K3225" i="8"/>
  <c r="K1189" i="8"/>
  <c r="K2984" i="8"/>
  <c r="K781" i="8"/>
  <c r="K3521" i="8"/>
  <c r="K3157" i="8"/>
  <c r="K1410" i="8"/>
  <c r="K1630" i="8"/>
  <c r="K1415" i="8"/>
  <c r="K1581" i="8"/>
  <c r="K988" i="8"/>
  <c r="K1116" i="8"/>
  <c r="K1726" i="8"/>
  <c r="K1719" i="8"/>
  <c r="K1405" i="8"/>
  <c r="K1404" i="8"/>
  <c r="K2437" i="8"/>
  <c r="K13" i="8"/>
  <c r="K525" i="8"/>
  <c r="K745" i="8"/>
  <c r="K1699" i="8"/>
  <c r="K1698" i="8"/>
  <c r="K1730" i="8"/>
  <c r="K1396" i="8"/>
  <c r="K1555" i="8"/>
  <c r="K2873" i="8"/>
  <c r="K1302" i="8"/>
  <c r="K2920" i="8"/>
  <c r="K1700" i="8"/>
  <c r="K271" i="8"/>
  <c r="K975" i="8"/>
  <c r="K738" i="8"/>
  <c r="K658" i="8"/>
  <c r="K2795" i="8"/>
  <c r="K1148" i="8"/>
  <c r="K955" i="8"/>
  <c r="K114" i="8"/>
  <c r="K1143" i="8"/>
  <c r="K952" i="8"/>
  <c r="K1572" i="8"/>
  <c r="K1666" i="8"/>
  <c r="K1642" i="8"/>
  <c r="K1637" i="8"/>
  <c r="K1083" i="8"/>
  <c r="K1625" i="8"/>
  <c r="K3314" i="8"/>
  <c r="K1654" i="8"/>
  <c r="K3434" i="8"/>
  <c r="K3251" i="8"/>
  <c r="K641" i="8"/>
  <c r="K639" i="8"/>
  <c r="K3200" i="8"/>
  <c r="K1126" i="8"/>
  <c r="K1541" i="8"/>
  <c r="K916" i="8"/>
  <c r="K1339" i="8"/>
  <c r="K1583" i="8"/>
  <c r="K2133" i="8"/>
  <c r="K3073" i="8"/>
  <c r="K533" i="8"/>
  <c r="K505" i="8"/>
  <c r="K1043" i="8"/>
  <c r="K1411" i="8"/>
  <c r="K1966" i="8"/>
  <c r="K1556" i="8"/>
  <c r="K1120" i="8"/>
  <c r="K2861" i="8"/>
  <c r="K1601" i="8"/>
  <c r="K1239" i="8"/>
  <c r="K2792" i="8"/>
  <c r="K1600" i="8"/>
  <c r="K1867" i="8"/>
  <c r="K852" i="8"/>
  <c r="K1315" i="8"/>
  <c r="K1493" i="8"/>
  <c r="K2108" i="8"/>
  <c r="K2846" i="8"/>
  <c r="K1379" i="8"/>
  <c r="K1534" i="8"/>
  <c r="K2555" i="8"/>
  <c r="K2553" i="8"/>
  <c r="K3236" i="8"/>
  <c r="K3466" i="8"/>
  <c r="K3167" i="8"/>
  <c r="K2540" i="8"/>
  <c r="K3204" i="8"/>
  <c r="K2531" i="8"/>
  <c r="K2824" i="8"/>
  <c r="K1901" i="8"/>
  <c r="K2039" i="8"/>
  <c r="K1526" i="8"/>
  <c r="K2029" i="8"/>
  <c r="K2856" i="8"/>
  <c r="K3037" i="8"/>
  <c r="K841" i="8"/>
  <c r="K2506" i="8"/>
  <c r="K1898" i="8"/>
  <c r="K1821" i="8"/>
  <c r="K1352" i="8"/>
  <c r="K3366" i="8"/>
  <c r="K1918" i="8"/>
  <c r="K2253" i="8"/>
  <c r="K1916" i="8"/>
  <c r="K1101" i="8"/>
  <c r="K2904" i="8"/>
  <c r="K1408" i="8"/>
  <c r="K1093" i="8"/>
  <c r="K3498" i="8"/>
  <c r="K2962" i="8"/>
  <c r="K823" i="8"/>
  <c r="K2228" i="8"/>
  <c r="K2027" i="8"/>
  <c r="K3379" i="8"/>
  <c r="K3450" i="8"/>
  <c r="K3365" i="8"/>
  <c r="K1504" i="8"/>
  <c r="K2455" i="8"/>
  <c r="K2259" i="8"/>
  <c r="K1395" i="8"/>
  <c r="K904" i="8"/>
  <c r="K2750" i="8"/>
  <c r="K1936" i="8"/>
  <c r="K1451" i="8"/>
  <c r="K1934" i="8"/>
  <c r="K3093" i="8"/>
  <c r="K2204" i="8"/>
  <c r="K2767" i="8"/>
  <c r="K2213" i="8"/>
  <c r="K2424" i="8"/>
  <c r="K2955" i="8"/>
  <c r="K1362" i="8"/>
  <c r="K3433" i="8"/>
  <c r="K2887" i="8"/>
  <c r="K2112" i="8"/>
  <c r="K3358" i="8"/>
  <c r="K3556" i="8"/>
  <c r="K2190" i="8"/>
  <c r="K2706" i="8"/>
  <c r="K3067" i="8"/>
  <c r="K2020" i="8"/>
  <c r="K3616" i="8"/>
  <c r="K3057" i="8"/>
  <c r="K1911" i="8"/>
  <c r="K1793" i="8"/>
  <c r="K1716" i="8"/>
  <c r="K2878" i="8"/>
  <c r="K1755" i="8"/>
  <c r="K3051" i="8"/>
  <c r="K2919" i="8"/>
  <c r="K1388" i="8"/>
  <c r="K2399" i="8"/>
  <c r="K2178" i="8"/>
  <c r="K3654" i="8"/>
  <c r="K544" i="8"/>
  <c r="K2917" i="8"/>
  <c r="K2377" i="8"/>
  <c r="K683" i="8"/>
  <c r="K3292" i="8"/>
  <c r="K3411" i="8"/>
  <c r="K2090" i="8"/>
  <c r="K1675" i="8"/>
  <c r="K2308" i="8"/>
  <c r="K2942" i="8"/>
  <c r="K2932" i="8"/>
  <c r="K2929" i="8"/>
  <c r="K2303" i="8"/>
  <c r="K3222" i="8"/>
  <c r="K1262" i="8"/>
  <c r="K2375" i="8"/>
  <c r="K2146" i="8"/>
  <c r="K2295" i="8"/>
  <c r="K2144" i="8"/>
  <c r="K2850" i="8"/>
  <c r="K3536" i="8"/>
  <c r="K2269" i="8"/>
  <c r="K1074" i="8"/>
  <c r="K2043" i="8"/>
  <c r="K2092" i="8"/>
  <c r="K3485" i="8"/>
  <c r="K2125" i="8"/>
  <c r="K2150" i="8"/>
  <c r="K1749" i="8"/>
  <c r="K1765" i="8"/>
  <c r="K1999" i="8"/>
  <c r="K2973" i="8"/>
  <c r="K1486" i="8"/>
  <c r="K739" i="8"/>
  <c r="K1612" i="8"/>
  <c r="K1112" i="8"/>
  <c r="K1129" i="8"/>
  <c r="K3362" i="8"/>
  <c r="K1227" i="8"/>
  <c r="K3202" i="8"/>
  <c r="K1308" i="8"/>
  <c r="K896" i="8"/>
  <c r="K707" i="8"/>
  <c r="K3340" i="8"/>
  <c r="K790" i="8"/>
  <c r="K2800" i="8"/>
  <c r="K35" i="8"/>
  <c r="K803" i="8"/>
  <c r="K3149" i="8"/>
  <c r="K958" i="8"/>
  <c r="K2703" i="8"/>
  <c r="K948" i="8"/>
  <c r="K685" i="8"/>
  <c r="K940" i="8"/>
  <c r="K3221" i="8"/>
  <c r="K794" i="8"/>
  <c r="K665" i="8"/>
  <c r="K402" i="8"/>
  <c r="K983" i="8"/>
  <c r="K1044" i="8"/>
  <c r="K1285" i="8"/>
  <c r="K1041" i="8"/>
  <c r="K3327" i="8"/>
  <c r="K643" i="8"/>
  <c r="K423" i="8"/>
  <c r="K3130" i="8"/>
  <c r="K383" i="8"/>
  <c r="K866" i="8"/>
  <c r="K1039" i="8"/>
  <c r="K962" i="8"/>
  <c r="K1259" i="8"/>
  <c r="K854" i="8"/>
  <c r="K1019" i="8"/>
  <c r="K802" i="8"/>
  <c r="K1237" i="8"/>
  <c r="K2730" i="8"/>
  <c r="K3121" i="8"/>
  <c r="K592" i="8"/>
  <c r="K299" i="8"/>
  <c r="K163" i="8"/>
  <c r="K3088" i="8"/>
  <c r="K926" i="8"/>
  <c r="K1136" i="8"/>
  <c r="K580" i="8"/>
  <c r="K713" i="8"/>
  <c r="K3213" i="8"/>
  <c r="K589" i="8"/>
  <c r="K1149" i="8"/>
  <c r="K476" i="8"/>
  <c r="K930" i="8"/>
  <c r="K469" i="8"/>
  <c r="K937" i="8"/>
  <c r="K1432" i="8"/>
  <c r="K534" i="8"/>
  <c r="K1419" i="8"/>
  <c r="K566" i="8"/>
  <c r="K1000" i="8"/>
  <c r="K3317" i="8"/>
  <c r="K771" i="8"/>
  <c r="K755" i="8"/>
  <c r="K919" i="8"/>
  <c r="K1178" i="8"/>
  <c r="K1727" i="8"/>
  <c r="K3156" i="8"/>
  <c r="K459" i="8"/>
  <c r="K761" i="8"/>
  <c r="K368" i="8"/>
  <c r="K2180" i="8"/>
  <c r="K1622" i="8"/>
  <c r="K3393" i="8"/>
  <c r="K1620" i="8"/>
  <c r="K2168" i="8"/>
  <c r="K740" i="8"/>
  <c r="K274" i="8"/>
  <c r="K1338" i="8"/>
  <c r="K1685" i="8"/>
  <c r="K2678" i="8"/>
  <c r="K1682" i="8"/>
  <c r="K2131" i="8"/>
  <c r="K1596" i="8"/>
  <c r="K1059" i="8"/>
  <c r="K1593" i="8"/>
  <c r="K1690" i="8"/>
  <c r="K1187" i="8"/>
  <c r="K1686" i="8"/>
  <c r="K1377" i="8"/>
  <c r="K1273" i="8"/>
  <c r="K999" i="8"/>
  <c r="K2089" i="8"/>
  <c r="K1367" i="8"/>
  <c r="K1296" i="8"/>
  <c r="K1272" i="8"/>
  <c r="K1549" i="8"/>
  <c r="K2793" i="8"/>
  <c r="K1357" i="8"/>
  <c r="K1611" i="8"/>
  <c r="K1643" i="8"/>
  <c r="K1270" i="8"/>
  <c r="K550" i="8"/>
  <c r="K1879" i="8"/>
  <c r="K1591" i="8"/>
  <c r="K1132" i="8"/>
  <c r="K3288" i="8"/>
  <c r="K1130" i="8"/>
  <c r="K143" i="8"/>
  <c r="K3363" i="8"/>
  <c r="K1418" i="8"/>
  <c r="K1562" i="8"/>
  <c r="K1557" i="8"/>
  <c r="K2012" i="8"/>
  <c r="K1327" i="8"/>
  <c r="K3479" i="8"/>
  <c r="K2001" i="8"/>
  <c r="K1953" i="8"/>
  <c r="K860" i="8"/>
  <c r="K1117" i="8"/>
  <c r="K876" i="8"/>
  <c r="K1506" i="8"/>
  <c r="K1070" i="8"/>
  <c r="K3380" i="8"/>
  <c r="K705" i="8"/>
  <c r="K1975" i="8"/>
  <c r="K1868" i="8"/>
  <c r="K2347" i="8"/>
  <c r="K1309" i="8"/>
  <c r="K2839" i="8"/>
  <c r="K552" i="8"/>
  <c r="K1106" i="8"/>
  <c r="K2082" i="8"/>
  <c r="K1521" i="8"/>
  <c r="K2825" i="8"/>
  <c r="K3308" i="8"/>
  <c r="K2055" i="8"/>
  <c r="K2280" i="8"/>
  <c r="K1450" i="8"/>
  <c r="K1829" i="8"/>
  <c r="K1544" i="8"/>
  <c r="K997" i="8"/>
  <c r="K1355" i="8"/>
  <c r="K1884" i="8"/>
  <c r="K2497" i="8"/>
  <c r="K1984" i="8"/>
  <c r="K3558" i="8"/>
  <c r="K1412" i="8"/>
  <c r="K1804" i="8"/>
  <c r="K1407" i="8"/>
  <c r="K3454" i="8"/>
  <c r="K831" i="8"/>
  <c r="K1091" i="8"/>
  <c r="K430" i="8"/>
  <c r="K3281" i="8"/>
  <c r="K3343" i="8"/>
  <c r="K1774" i="8"/>
  <c r="K1846" i="8"/>
  <c r="K2338" i="8"/>
  <c r="K799" i="8"/>
  <c r="K1759" i="8"/>
  <c r="K2218" i="8"/>
  <c r="K3600" i="8"/>
  <c r="K2993" i="8"/>
  <c r="K3089" i="8"/>
  <c r="K2726" i="8"/>
  <c r="K2722" i="8"/>
  <c r="K3489" i="8"/>
  <c r="K1735" i="8"/>
  <c r="K1479" i="8"/>
  <c r="K3360" i="8"/>
  <c r="K1477" i="8"/>
  <c r="K3523" i="8"/>
  <c r="K3070" i="8"/>
  <c r="K2396" i="8"/>
  <c r="K1938" i="8"/>
  <c r="K1494" i="8"/>
  <c r="K2992" i="8"/>
  <c r="K3432" i="8"/>
  <c r="K3574" i="8"/>
  <c r="K1784" i="8"/>
  <c r="K2076" i="8"/>
  <c r="K2948" i="8"/>
  <c r="K2164" i="8"/>
  <c r="K2173" i="8"/>
  <c r="K422" i="8"/>
  <c r="K3024" i="8"/>
  <c r="K859" i="8"/>
  <c r="K2147" i="8"/>
  <c r="K1162" i="8"/>
  <c r="K3090" i="8"/>
  <c r="K1268" i="8"/>
  <c r="K893" i="8"/>
  <c r="K2099" i="8"/>
  <c r="K2305" i="8"/>
  <c r="K1673" i="8"/>
  <c r="K3018" i="8"/>
  <c r="K3518" i="8"/>
  <c r="K3649" i="8"/>
  <c r="K3328" i="8"/>
  <c r="K2296" i="8"/>
  <c r="K2290" i="8"/>
  <c r="K2285" i="8"/>
  <c r="K3564" i="8"/>
  <c r="K1489" i="8"/>
  <c r="K2865" i="8"/>
  <c r="K2356" i="8"/>
  <c r="K2633" i="8"/>
  <c r="K2945" i="8"/>
  <c r="K2153" i="8"/>
  <c r="K2982" i="8"/>
  <c r="K1258" i="8"/>
  <c r="K1998" i="8"/>
  <c r="K2330" i="8"/>
  <c r="K813" i="8"/>
  <c r="K3158" i="8"/>
  <c r="K2745" i="8"/>
  <c r="K698" i="8"/>
  <c r="K764" i="8"/>
  <c r="K619" i="8"/>
  <c r="K2264" i="8"/>
  <c r="K429" i="8"/>
  <c r="K689" i="8"/>
  <c r="K951" i="8"/>
  <c r="K3241" i="8"/>
  <c r="K3139" i="8"/>
  <c r="K693" i="8"/>
  <c r="K2462" i="8"/>
  <c r="K317" i="8"/>
  <c r="K912" i="8"/>
  <c r="K396" i="8"/>
  <c r="K648" i="8"/>
  <c r="K900" i="8"/>
  <c r="K1283" i="8"/>
  <c r="K891" i="8"/>
  <c r="K3192" i="8"/>
  <c r="K628" i="8"/>
  <c r="K623" i="8"/>
  <c r="K147" i="8"/>
  <c r="K133" i="8"/>
  <c r="K151" i="8"/>
  <c r="K3126" i="8"/>
  <c r="K3377" i="8"/>
  <c r="K293" i="8"/>
  <c r="K953" i="8"/>
  <c r="K3099" i="8"/>
  <c r="K1473" i="8"/>
  <c r="K839" i="8"/>
  <c r="K723" i="8"/>
  <c r="K593" i="8"/>
  <c r="K287" i="8"/>
  <c r="K818" i="8"/>
  <c r="K3048" i="8"/>
  <c r="K934" i="8"/>
  <c r="K1213" i="8"/>
  <c r="K806" i="8"/>
  <c r="K2440" i="8"/>
  <c r="K3083" i="8"/>
  <c r="K2694" i="8"/>
  <c r="K2240" i="8"/>
  <c r="K391" i="8"/>
  <c r="K3456" i="8"/>
  <c r="K3374" i="8"/>
  <c r="K1590" i="8"/>
  <c r="K3303" i="8"/>
  <c r="K701" i="8"/>
  <c r="K1144" i="8"/>
  <c r="K565" i="8"/>
  <c r="K2796" i="8"/>
  <c r="K3285" i="8"/>
  <c r="K1186" i="8"/>
  <c r="K922" i="8"/>
  <c r="K2202" i="8"/>
  <c r="K294" i="8"/>
  <c r="K286" i="8"/>
  <c r="K1172" i="8"/>
  <c r="K1571" i="8"/>
  <c r="K2186" i="8"/>
  <c r="K562" i="8"/>
  <c r="K437" i="8"/>
  <c r="K12" i="8"/>
  <c r="K2931" i="8"/>
  <c r="K1616" i="8"/>
  <c r="K2162" i="8"/>
  <c r="K1728" i="8"/>
  <c r="K3390" i="8"/>
  <c r="K3118" i="8"/>
  <c r="K3261" i="8"/>
  <c r="K3506" i="8"/>
  <c r="K2835" i="8"/>
  <c r="K1211" i="8"/>
  <c r="K2122" i="8"/>
  <c r="K3386" i="8"/>
  <c r="K3198" i="8"/>
  <c r="K2902" i="8"/>
  <c r="K1689" i="8"/>
  <c r="K2806" i="8"/>
  <c r="K1307" i="8"/>
  <c r="K889" i="8"/>
  <c r="K1196" i="8"/>
  <c r="K1472" i="8"/>
  <c r="K1365" i="8"/>
  <c r="K1364" i="8"/>
  <c r="K1180" i="8"/>
  <c r="K2937" i="8"/>
  <c r="K1278" i="8"/>
  <c r="K1650" i="8"/>
  <c r="K1442" i="8"/>
  <c r="K1440" i="8"/>
  <c r="K4" i="8"/>
  <c r="K1598" i="8"/>
  <c r="K1345" i="8"/>
  <c r="K2135" i="8"/>
  <c r="K1632" i="8"/>
  <c r="K2823" i="8"/>
  <c r="K1582" i="8"/>
  <c r="K1876" i="8"/>
  <c r="K2936" i="8"/>
  <c r="K1577" i="8"/>
  <c r="K1413" i="8"/>
  <c r="K1154" i="8"/>
  <c r="K2601" i="8"/>
  <c r="K2016" i="8"/>
  <c r="K1603" i="8"/>
  <c r="K1517" i="8"/>
  <c r="K1115" i="8"/>
  <c r="K1576" i="8"/>
  <c r="K1545" i="8"/>
  <c r="K2324" i="8"/>
  <c r="K688" i="8"/>
  <c r="K2853" i="8"/>
  <c r="K1912" i="8"/>
  <c r="K1030" i="8"/>
  <c r="K1888" i="8"/>
  <c r="K2847" i="8"/>
  <c r="K1099" i="8"/>
  <c r="K1855" i="8"/>
  <c r="K704" i="8"/>
  <c r="K1856" i="8"/>
  <c r="K3620" i="8"/>
  <c r="K3471" i="8"/>
  <c r="K2831" i="8"/>
  <c r="K1105" i="8"/>
  <c r="K1958" i="8"/>
  <c r="K2075" i="8"/>
  <c r="K1833" i="8"/>
  <c r="K1361" i="8"/>
  <c r="K1524" i="8"/>
  <c r="K3640" i="8"/>
  <c r="K2969" i="8"/>
  <c r="K2811" i="8"/>
  <c r="K2270" i="8"/>
  <c r="K1841" i="8"/>
  <c r="K3283" i="8"/>
  <c r="K1343" i="8"/>
  <c r="K2819" i="8"/>
  <c r="K1919" i="8"/>
  <c r="K2782" i="8"/>
  <c r="K1527" i="8"/>
  <c r="K2013" i="8"/>
  <c r="K1902" i="8"/>
  <c r="K2476" i="8"/>
  <c r="K1893" i="8"/>
  <c r="K1889" i="8"/>
  <c r="K3371" i="8"/>
  <c r="K1088" i="8"/>
  <c r="K3609" i="8"/>
  <c r="K3347" i="8"/>
  <c r="K1864" i="8"/>
  <c r="K3146" i="8"/>
  <c r="K2276" i="8"/>
  <c r="K3012" i="8"/>
  <c r="K2753" i="8"/>
  <c r="K1838" i="8"/>
  <c r="K1860" i="8"/>
  <c r="K2740" i="8"/>
  <c r="K3097" i="8"/>
  <c r="K3091" i="8"/>
  <c r="K2432" i="8"/>
  <c r="K2409" i="8"/>
  <c r="K1740" i="8"/>
  <c r="K2203" i="8"/>
  <c r="K1840" i="8"/>
  <c r="K2888" i="8"/>
  <c r="K1789" i="8"/>
  <c r="K2193" i="8"/>
  <c r="K993" i="8"/>
  <c r="K1814" i="8"/>
  <c r="K2918" i="8"/>
  <c r="K2192" i="8"/>
  <c r="K546" i="8"/>
  <c r="K2184" i="8"/>
  <c r="K543" i="8"/>
  <c r="K1819" i="8"/>
  <c r="K2230" i="8"/>
  <c r="K3338" i="8"/>
  <c r="K2006" i="8"/>
  <c r="K2690" i="8"/>
  <c r="K1817" i="8"/>
  <c r="K1181" i="8"/>
  <c r="K2397" i="8"/>
  <c r="K545" i="8"/>
  <c r="K3030" i="8"/>
  <c r="K2068" i="8"/>
  <c r="K1780" i="8"/>
  <c r="K2674" i="8"/>
  <c r="K1715" i="8"/>
  <c r="K1756" i="8"/>
  <c r="K2947" i="8"/>
  <c r="K3626" i="8"/>
  <c r="K2093" i="8"/>
  <c r="K2927" i="8"/>
  <c r="K3587" i="8"/>
  <c r="K3341" i="8"/>
  <c r="K1892" i="8"/>
  <c r="K3645" i="8"/>
  <c r="K1967" i="8"/>
  <c r="K2288" i="8"/>
  <c r="K1688" i="8"/>
  <c r="K2274" i="8"/>
  <c r="K2087" i="8"/>
  <c r="K2258" i="8"/>
  <c r="K137" i="8"/>
  <c r="K2630" i="8"/>
  <c r="K3528" i="8"/>
  <c r="K1623" i="8"/>
  <c r="K3002" i="8"/>
  <c r="K2339" i="8"/>
  <c r="K3257" i="8"/>
  <c r="K622" i="8"/>
  <c r="K702" i="8"/>
  <c r="K980" i="8"/>
  <c r="K218" i="8"/>
  <c r="K350" i="8"/>
  <c r="K760" i="8"/>
  <c r="K697" i="8"/>
  <c r="K2475" i="8"/>
  <c r="K369" i="8"/>
  <c r="K687" i="8"/>
  <c r="K419" i="8"/>
  <c r="K157" i="8"/>
  <c r="K2464" i="8"/>
  <c r="K1293" i="8"/>
  <c r="K686" i="8"/>
  <c r="K33" i="8"/>
  <c r="K156" i="8"/>
  <c r="K655" i="8"/>
  <c r="K404" i="8"/>
  <c r="K652" i="8"/>
  <c r="K911" i="8"/>
  <c r="K3208" i="8"/>
  <c r="K190" i="8"/>
  <c r="K154" i="8"/>
  <c r="K1279" i="8"/>
  <c r="K607" i="8"/>
  <c r="K596" i="8"/>
  <c r="K3143" i="8"/>
  <c r="K1484" i="8"/>
  <c r="K1481" i="8"/>
  <c r="K591" i="8"/>
  <c r="K176" i="8"/>
  <c r="K403" i="8"/>
  <c r="K373" i="8"/>
  <c r="K584" i="8"/>
  <c r="K1254" i="8"/>
  <c r="K2787" i="8"/>
  <c r="K846" i="8"/>
  <c r="K1166" i="8"/>
  <c r="K595" i="8"/>
  <c r="K1161" i="8"/>
  <c r="K1467" i="8"/>
  <c r="K3127" i="8"/>
  <c r="K935" i="8"/>
  <c r="K583" i="8"/>
  <c r="K1456" i="8"/>
  <c r="K819" i="8"/>
  <c r="K1223" i="8"/>
  <c r="K960" i="8"/>
  <c r="K2429" i="8"/>
  <c r="K807" i="8"/>
  <c r="K1053" i="8"/>
  <c r="K3159" i="8"/>
  <c r="K1037" i="8"/>
  <c r="K536" i="8"/>
  <c r="K483" i="8"/>
  <c r="K775" i="8"/>
  <c r="K2231" i="8"/>
  <c r="K1433" i="8"/>
  <c r="K349" i="8"/>
  <c r="K1191" i="8"/>
  <c r="K1429" i="8"/>
  <c r="K1427" i="8"/>
  <c r="K2219" i="8"/>
  <c r="K1125" i="8"/>
  <c r="K1417" i="8"/>
  <c r="K1244" i="8"/>
  <c r="K1646" i="8"/>
  <c r="K1398" i="8"/>
  <c r="K998" i="8"/>
  <c r="K3312" i="8"/>
  <c r="K1692" i="8"/>
  <c r="K526" i="8"/>
  <c r="K1335" i="8"/>
  <c r="K1406" i="8"/>
  <c r="K2185" i="8"/>
  <c r="K1567" i="8"/>
  <c r="K1033" i="8"/>
  <c r="K1621" i="8"/>
  <c r="K1233" i="8"/>
  <c r="K2171" i="8"/>
  <c r="K927" i="8"/>
  <c r="K2165" i="8"/>
  <c r="K2159" i="8"/>
  <c r="K2156" i="8"/>
  <c r="K2149" i="8"/>
  <c r="K1310" i="8"/>
  <c r="K338" i="8"/>
  <c r="K1010" i="8"/>
  <c r="K3332" i="8"/>
  <c r="K272" i="8"/>
  <c r="K1200" i="8"/>
  <c r="K515" i="8"/>
  <c r="K2832" i="8"/>
  <c r="K1671" i="8"/>
  <c r="K555" i="8"/>
  <c r="K967" i="8"/>
  <c r="K1668" i="8"/>
  <c r="K3211" i="8"/>
  <c r="K285" i="8"/>
  <c r="K2094" i="8"/>
  <c r="K1482" i="8"/>
  <c r="K1558" i="8"/>
  <c r="K1449" i="8"/>
  <c r="K553" i="8"/>
  <c r="K556" i="8"/>
  <c r="K1284" i="8"/>
  <c r="K1618" i="8"/>
  <c r="K1448" i="8"/>
  <c r="K1446" i="8"/>
  <c r="K1141" i="8"/>
  <c r="K1439" i="8"/>
  <c r="K1640" i="8"/>
  <c r="K1599" i="8"/>
  <c r="K2723" i="8"/>
  <c r="K2047" i="8"/>
  <c r="K1133" i="8"/>
  <c r="K1168" i="8"/>
  <c r="K1584" i="8"/>
  <c r="K1604" i="8"/>
  <c r="K2117" i="8"/>
  <c r="K531" i="8"/>
  <c r="K1574" i="8"/>
  <c r="K1568" i="8"/>
  <c r="K3503" i="8"/>
  <c r="K2018" i="8"/>
  <c r="K436" i="8"/>
  <c r="K1128" i="8"/>
  <c r="K2005" i="8"/>
  <c r="K2115" i="8"/>
  <c r="K1551" i="8"/>
  <c r="K109" i="8"/>
  <c r="K3392" i="8"/>
  <c r="K1993" i="8"/>
  <c r="K1507" i="8"/>
  <c r="K1928" i="8"/>
  <c r="K2580" i="8"/>
  <c r="K1389" i="8"/>
  <c r="K1906" i="8"/>
  <c r="K1201" i="8"/>
  <c r="K1943" i="8"/>
  <c r="K1974" i="8"/>
  <c r="K2352" i="8"/>
  <c r="K1937" i="8"/>
  <c r="K2842" i="8"/>
  <c r="K2306" i="8"/>
  <c r="K1854" i="8"/>
  <c r="K3408" i="8"/>
  <c r="K1095" i="8"/>
  <c r="K1851" i="8"/>
  <c r="K1843" i="8"/>
  <c r="K1547" i="8"/>
  <c r="K2817" i="8"/>
  <c r="K700" i="8"/>
  <c r="K2515" i="8"/>
  <c r="K2910" i="8"/>
  <c r="K1435" i="8"/>
  <c r="K1068" i="8"/>
  <c r="K2268" i="8"/>
  <c r="K2802" i="8"/>
  <c r="K1825" i="8"/>
  <c r="K1535" i="8"/>
  <c r="K2791" i="8"/>
  <c r="K2785" i="8"/>
  <c r="K1512" i="8"/>
  <c r="K2486" i="8"/>
  <c r="K2905" i="8"/>
  <c r="K2278" i="8"/>
  <c r="K1478" i="8"/>
  <c r="K2061" i="8"/>
  <c r="K2474" i="8"/>
  <c r="K1945" i="8"/>
  <c r="K1330" i="8"/>
  <c r="K1399" i="8"/>
  <c r="K2022" i="8"/>
  <c r="K696" i="8"/>
  <c r="K3109" i="8"/>
  <c r="K1849" i="8"/>
  <c r="K2456" i="8"/>
  <c r="K1455" i="8"/>
  <c r="K1806" i="8"/>
  <c r="K2445" i="8"/>
  <c r="K1995" i="8"/>
  <c r="K1393" i="8"/>
  <c r="K2412" i="8"/>
  <c r="K1312" i="8"/>
  <c r="K2222" i="8"/>
  <c r="K2215" i="8"/>
  <c r="K2434" i="8"/>
  <c r="K2402" i="8"/>
  <c r="K2430" i="8"/>
  <c r="K2081" i="8"/>
  <c r="K2868" i="8"/>
  <c r="K1801" i="8"/>
  <c r="K1968" i="8"/>
  <c r="K1956" i="8"/>
  <c r="K2232" i="8"/>
  <c r="K111" i="8"/>
  <c r="K2088" i="8"/>
  <c r="K3354" i="8"/>
  <c r="K3080" i="8"/>
  <c r="K3293" i="8"/>
  <c r="K3068" i="8"/>
  <c r="K3268" i="8"/>
  <c r="K3062" i="8"/>
  <c r="K1923" i="8"/>
  <c r="K3449" i="8"/>
  <c r="K2" i="8"/>
  <c r="K2176" i="8"/>
  <c r="K3582" i="8"/>
  <c r="K1909" i="8"/>
  <c r="K2358" i="8"/>
  <c r="K2952" i="8"/>
  <c r="K1883" i="8"/>
  <c r="K2687" i="8"/>
  <c r="K3422" i="8"/>
  <c r="K2393" i="8"/>
  <c r="K1810" i="8"/>
  <c r="K3032" i="8"/>
  <c r="K3027" i="8"/>
  <c r="K3022" i="8"/>
  <c r="K1277" i="8"/>
  <c r="K1758" i="8"/>
  <c r="K2326" i="8"/>
  <c r="K2870" i="8"/>
  <c r="K1847" i="8"/>
  <c r="K2143" i="8"/>
  <c r="K1835" i="8"/>
  <c r="K1989" i="8"/>
  <c r="K978" i="8"/>
  <c r="K1797" i="8"/>
  <c r="K2659" i="8"/>
  <c r="K2854" i="8"/>
  <c r="K2033" i="8"/>
  <c r="K1779" i="8"/>
  <c r="K3487" i="8"/>
  <c r="K2145" i="8"/>
  <c r="K2640" i="8"/>
  <c r="K2362" i="8"/>
  <c r="K1664" i="8"/>
  <c r="K1658" i="8"/>
  <c r="K1676" i="8"/>
  <c r="K1294" i="8"/>
  <c r="K2252" i="8"/>
  <c r="K863" i="8"/>
  <c r="K2120" i="8"/>
  <c r="K1767" i="8"/>
  <c r="K1766" i="8"/>
  <c r="K2002" i="8"/>
  <c r="K2334" i="8"/>
  <c r="C7" i="5"/>
  <c r="C13" i="5"/>
  <c r="C12" i="5"/>
  <c r="C11" i="5"/>
  <c r="C10" i="5"/>
  <c r="C9" i="5"/>
  <c r="C8" i="5"/>
  <c r="C31" i="5"/>
  <c r="C30" i="5"/>
  <c r="C29" i="5"/>
  <c r="C28" i="5"/>
  <c r="C27" i="5"/>
  <c r="C26" i="5"/>
  <c r="C37" i="5"/>
  <c r="C36" i="5"/>
  <c r="C35" i="5"/>
  <c r="C34" i="5"/>
  <c r="C33" i="5"/>
  <c r="C32" i="5"/>
  <c r="C19" i="5"/>
  <c r="C18" i="5"/>
  <c r="C17" i="5"/>
  <c r="C16" i="5"/>
  <c r="C15" i="5"/>
  <c r="C6" i="5"/>
  <c r="C5" i="5"/>
  <c r="C4" i="5"/>
  <c r="C3" i="5"/>
  <c r="C2" i="5"/>
  <c r="C14" i="5"/>
  <c r="C25" i="5"/>
  <c r="C24" i="5"/>
  <c r="C23" i="5"/>
  <c r="C22" i="5"/>
  <c r="C21" i="5"/>
  <c r="C20" i="5"/>
  <c r="J6" i="8" l="1"/>
  <c r="K6" i="8" s="1"/>
  <c r="P491" i="21"/>
  <c r="P500" i="21"/>
  <c r="P502" i="21"/>
  <c r="P496" i="21"/>
  <c r="P488" i="21"/>
  <c r="P498" i="21"/>
  <c r="P499" i="21"/>
  <c r="P494" i="21"/>
  <c r="P492" i="21"/>
  <c r="P493" i="21"/>
  <c r="P489" i="21"/>
  <c r="P495" i="21"/>
  <c r="P490" i="21"/>
  <c r="P497" i="21"/>
  <c r="P501" i="21"/>
  <c r="P483" i="21"/>
  <c r="P480" i="21"/>
  <c r="P474" i="21"/>
  <c r="P463" i="21"/>
  <c r="P486" i="21"/>
  <c r="P465" i="21"/>
  <c r="P484" i="21"/>
  <c r="P470" i="21"/>
  <c r="P482" i="21"/>
  <c r="P487" i="21"/>
  <c r="P485" i="21"/>
  <c r="P478" i="21"/>
  <c r="P476" i="21"/>
  <c r="P477" i="21"/>
  <c r="P466" i="21"/>
  <c r="P472" i="21"/>
  <c r="P475" i="21"/>
  <c r="P468" i="21"/>
  <c r="P469" i="21"/>
  <c r="P464" i="21"/>
  <c r="P473" i="21"/>
  <c r="P471" i="21"/>
  <c r="P481" i="21"/>
  <c r="P479" i="21"/>
  <c r="P467" i="21"/>
  <c r="P453" i="21"/>
  <c r="P455" i="21"/>
  <c r="P454" i="21"/>
  <c r="P457" i="21"/>
  <c r="P462" i="21"/>
  <c r="P449" i="21"/>
  <c r="P451" i="21"/>
  <c r="P458" i="21"/>
  <c r="P460" i="21"/>
  <c r="P459" i="21"/>
  <c r="P452" i="21"/>
  <c r="P461" i="21"/>
  <c r="P456" i="21"/>
  <c r="P450" i="21"/>
  <c r="P440" i="21"/>
  <c r="P438" i="21"/>
  <c r="P445" i="21"/>
  <c r="P442" i="21"/>
  <c r="P444" i="21"/>
  <c r="P448" i="21"/>
  <c r="P437" i="21"/>
  <c r="P439" i="21"/>
  <c r="P443" i="21"/>
  <c r="P446" i="21"/>
  <c r="P441" i="21"/>
  <c r="P447" i="21"/>
  <c r="P423" i="21"/>
  <c r="P432" i="21"/>
  <c r="P426" i="21"/>
  <c r="P422" i="21"/>
  <c r="P425" i="21"/>
  <c r="P421" i="21"/>
  <c r="P435" i="21"/>
  <c r="P433" i="21"/>
  <c r="P420" i="21"/>
  <c r="P429" i="21"/>
  <c r="P427" i="21"/>
  <c r="P424" i="21"/>
  <c r="P430" i="21"/>
  <c r="P431" i="21"/>
  <c r="P428" i="21"/>
  <c r="P436" i="21"/>
  <c r="P434" i="21"/>
  <c r="P412" i="21"/>
  <c r="P418" i="21"/>
  <c r="P417" i="21"/>
  <c r="P415" i="21"/>
  <c r="P409" i="21"/>
  <c r="P410" i="21"/>
  <c r="P411" i="21"/>
  <c r="P416" i="21"/>
  <c r="P406" i="21"/>
  <c r="P414" i="21"/>
  <c r="P407" i="21"/>
  <c r="P413" i="21"/>
  <c r="P408" i="21"/>
  <c r="P419" i="21"/>
  <c r="P403" i="21"/>
  <c r="P405" i="21"/>
  <c r="P396" i="21"/>
  <c r="P404" i="21"/>
  <c r="P395" i="21"/>
  <c r="P401" i="21"/>
  <c r="P402" i="21"/>
  <c r="P393" i="21"/>
  <c r="P400" i="21"/>
  <c r="P397" i="21"/>
  <c r="P399" i="21"/>
  <c r="P398" i="21"/>
  <c r="P394" i="21"/>
  <c r="P386" i="21"/>
  <c r="P389" i="21"/>
  <c r="P388" i="21"/>
  <c r="P385" i="21"/>
  <c r="P387" i="21"/>
  <c r="P383" i="21"/>
  <c r="P384" i="21"/>
  <c r="P390" i="21"/>
  <c r="P392" i="21"/>
  <c r="P391" i="21"/>
  <c r="P371" i="21"/>
  <c r="P368" i="21"/>
  <c r="P382" i="21"/>
  <c r="P381" i="21"/>
  <c r="P365" i="21"/>
  <c r="P373" i="21"/>
  <c r="P378" i="21"/>
  <c r="P377" i="21"/>
  <c r="P366" i="21"/>
  <c r="P367" i="21"/>
  <c r="P369" i="21"/>
  <c r="P375" i="21"/>
  <c r="P372" i="21"/>
  <c r="P376" i="21"/>
  <c r="P380" i="21"/>
  <c r="P379" i="21"/>
  <c r="P370" i="21"/>
  <c r="P374" i="21"/>
  <c r="P356" i="21"/>
  <c r="P362" i="21"/>
  <c r="P359" i="21"/>
  <c r="P353" i="21"/>
  <c r="P354" i="21"/>
  <c r="P363" i="21"/>
  <c r="P364" i="21"/>
  <c r="P357" i="21"/>
  <c r="P361" i="21"/>
  <c r="P358" i="21"/>
  <c r="P355" i="21"/>
  <c r="P360" i="21"/>
  <c r="P346" i="21"/>
  <c r="P348" i="21"/>
  <c r="P349" i="21"/>
  <c r="P350" i="21"/>
  <c r="P347" i="21"/>
  <c r="P352" i="21"/>
  <c r="P351" i="21"/>
  <c r="P335" i="21"/>
  <c r="P334" i="21"/>
  <c r="P333" i="21"/>
  <c r="P332" i="21"/>
  <c r="P336" i="21"/>
  <c r="P340" i="21"/>
  <c r="P338" i="21"/>
  <c r="P341" i="21"/>
  <c r="P331" i="21"/>
  <c r="P337" i="21"/>
  <c r="P345" i="21"/>
  <c r="P344" i="21"/>
  <c r="P343" i="21"/>
  <c r="P339" i="21"/>
  <c r="P342" i="21"/>
  <c r="P321" i="21"/>
  <c r="P326" i="21"/>
  <c r="P324" i="21"/>
  <c r="P319" i="21"/>
  <c r="P325" i="21"/>
  <c r="P327" i="21"/>
  <c r="P323" i="21"/>
  <c r="P318" i="21"/>
  <c r="P320" i="21"/>
  <c r="P330" i="21"/>
  <c r="P328" i="21"/>
  <c r="P329" i="21"/>
  <c r="P317" i="21"/>
  <c r="P322" i="21"/>
  <c r="P315" i="21"/>
  <c r="P303" i="21"/>
  <c r="P313" i="21"/>
  <c r="P306" i="21"/>
  <c r="P297" i="21"/>
  <c r="P308" i="21"/>
  <c r="P301" i="21"/>
  <c r="P312" i="21"/>
  <c r="P298" i="21"/>
  <c r="P295" i="21"/>
  <c r="P296" i="21"/>
  <c r="P307" i="21"/>
  <c r="P310" i="21"/>
  <c r="P311" i="21"/>
  <c r="P309" i="21"/>
  <c r="P304" i="21"/>
  <c r="P302" i="21"/>
  <c r="P305" i="21"/>
  <c r="P300" i="21"/>
  <c r="P316" i="21"/>
  <c r="P299" i="21"/>
  <c r="P314" i="21"/>
  <c r="P293" i="21"/>
  <c r="P290" i="21"/>
  <c r="P286" i="21"/>
  <c r="P291" i="21"/>
  <c r="P283" i="21"/>
  <c r="P289" i="21"/>
  <c r="P294" i="21"/>
  <c r="P285" i="21"/>
  <c r="P292" i="21"/>
  <c r="P288" i="21"/>
  <c r="P287" i="21"/>
  <c r="P284" i="21"/>
  <c r="P269" i="21"/>
  <c r="P282" i="21"/>
  <c r="P280" i="21"/>
  <c r="P275" i="21"/>
  <c r="P266" i="21"/>
  <c r="P281" i="21"/>
  <c r="P271" i="21"/>
  <c r="P278" i="21"/>
  <c r="P264" i="21"/>
  <c r="P279" i="21"/>
  <c r="P265" i="21"/>
  <c r="P274" i="21"/>
  <c r="P277" i="21"/>
  <c r="P267" i="21"/>
  <c r="P273" i="21"/>
  <c r="P270" i="21"/>
  <c r="P276" i="21"/>
  <c r="P272" i="21"/>
  <c r="P268" i="21"/>
  <c r="P254" i="21"/>
  <c r="P261" i="21"/>
  <c r="P255" i="21"/>
  <c r="P253" i="21"/>
  <c r="P256" i="21"/>
  <c r="P262" i="21"/>
  <c r="P263" i="21"/>
  <c r="P259" i="21"/>
  <c r="P260" i="21"/>
  <c r="P257" i="21"/>
  <c r="P252" i="21"/>
  <c r="P258" i="21"/>
  <c r="P249" i="21"/>
  <c r="P242" i="21"/>
  <c r="P241" i="21"/>
  <c r="P240" i="21"/>
  <c r="P244" i="21"/>
  <c r="P248" i="21"/>
  <c r="P246" i="21"/>
  <c r="P251" i="21"/>
  <c r="P245" i="21"/>
  <c r="P247" i="21"/>
  <c r="P250" i="21"/>
  <c r="P243" i="21"/>
  <c r="P224" i="21"/>
  <c r="P230" i="21"/>
  <c r="P234" i="21"/>
  <c r="P223" i="21"/>
  <c r="P239" i="21"/>
  <c r="P226" i="21"/>
  <c r="P237" i="21"/>
  <c r="P233" i="21"/>
  <c r="P232" i="21"/>
  <c r="P235" i="21"/>
  <c r="P225" i="21"/>
  <c r="P229" i="21"/>
  <c r="P238" i="21"/>
  <c r="P228" i="21"/>
  <c r="P227" i="21"/>
  <c r="P236" i="21"/>
  <c r="P231" i="21"/>
  <c r="P214" i="21"/>
  <c r="P221" i="21"/>
  <c r="P222" i="21"/>
  <c r="P216" i="21"/>
  <c r="P220" i="21"/>
  <c r="P218" i="21"/>
  <c r="P217" i="21"/>
  <c r="P219" i="21"/>
  <c r="P215" i="21"/>
  <c r="P213" i="21"/>
  <c r="P203" i="21"/>
  <c r="P208" i="21"/>
  <c r="P205" i="21"/>
  <c r="P201" i="21"/>
  <c r="P211" i="21"/>
  <c r="P206" i="21"/>
  <c r="P212" i="21"/>
  <c r="P209" i="21"/>
  <c r="P202" i="21"/>
  <c r="P207" i="21"/>
  <c r="P204" i="21"/>
  <c r="P210" i="21"/>
  <c r="P190" i="21"/>
  <c r="P184" i="21"/>
  <c r="P187" i="21"/>
  <c r="P195" i="21"/>
  <c r="P197" i="21"/>
  <c r="P185" i="21"/>
  <c r="P192" i="21"/>
  <c r="P189" i="21"/>
  <c r="P191" i="21"/>
  <c r="P200" i="21"/>
  <c r="P188" i="21"/>
  <c r="P198" i="21"/>
  <c r="P193" i="21"/>
  <c r="P181" i="21"/>
  <c r="P199" i="21"/>
  <c r="P179" i="21"/>
  <c r="P180" i="21"/>
  <c r="P183" i="21"/>
  <c r="P194" i="21"/>
  <c r="P182" i="21"/>
  <c r="P196" i="21"/>
  <c r="P186" i="21"/>
  <c r="P168" i="21"/>
  <c r="P173" i="21"/>
  <c r="P175" i="21"/>
  <c r="P169" i="21"/>
  <c r="P177" i="21"/>
  <c r="P176" i="21"/>
  <c r="P172" i="21"/>
  <c r="P167" i="21"/>
  <c r="P174" i="21"/>
  <c r="P178" i="21"/>
  <c r="P170" i="21"/>
  <c r="P171" i="21"/>
  <c r="P158" i="21"/>
  <c r="P163" i="21"/>
  <c r="P162" i="21"/>
  <c r="P160" i="21"/>
  <c r="P161" i="21"/>
  <c r="P166" i="21"/>
  <c r="P157" i="21"/>
  <c r="P165" i="21"/>
  <c r="P164" i="21"/>
  <c r="P159" i="21"/>
  <c r="P153" i="21"/>
  <c r="P152" i="21"/>
  <c r="P149" i="21"/>
  <c r="P150" i="21"/>
  <c r="P148" i="21"/>
  <c r="P151" i="21"/>
  <c r="P155" i="21"/>
  <c r="P147" i="21"/>
  <c r="P156" i="21"/>
  <c r="P154" i="21"/>
  <c r="P139" i="21"/>
  <c r="P144" i="21"/>
  <c r="P140" i="21"/>
  <c r="P136" i="21"/>
  <c r="P143" i="21"/>
  <c r="P137" i="21"/>
  <c r="P146" i="21"/>
  <c r="P142" i="21"/>
  <c r="P145" i="21"/>
  <c r="P141" i="21"/>
  <c r="P138" i="21"/>
  <c r="P128" i="21"/>
  <c r="P131" i="21"/>
  <c r="P133" i="21"/>
  <c r="P127" i="21"/>
  <c r="P121" i="21"/>
  <c r="P123" i="21"/>
  <c r="P132" i="21"/>
  <c r="P134" i="21"/>
  <c r="P126" i="21"/>
  <c r="P135" i="21"/>
  <c r="P122" i="21"/>
  <c r="P124" i="21"/>
  <c r="P129" i="21"/>
  <c r="P130" i="21"/>
  <c r="P125" i="21"/>
  <c r="P115" i="21"/>
  <c r="P116" i="21"/>
  <c r="P118" i="21"/>
  <c r="P114" i="21"/>
  <c r="P120" i="21"/>
  <c r="P119" i="21"/>
  <c r="P117" i="21"/>
  <c r="P113" i="21"/>
  <c r="P112" i="21"/>
  <c r="P100" i="21"/>
  <c r="P108" i="21"/>
  <c r="P104" i="21"/>
  <c r="P106" i="21"/>
  <c r="P103" i="21"/>
  <c r="P109" i="21"/>
  <c r="P110" i="21"/>
  <c r="P101" i="21"/>
  <c r="P107" i="21"/>
  <c r="P111" i="21"/>
  <c r="P102" i="21"/>
  <c r="P105" i="21"/>
  <c r="P94" i="21"/>
  <c r="P90" i="21"/>
  <c r="P91" i="21"/>
  <c r="P96" i="21"/>
  <c r="P99" i="21"/>
  <c r="P93" i="21"/>
  <c r="P97" i="21"/>
  <c r="P98" i="21"/>
  <c r="P95" i="21"/>
  <c r="P92" i="21"/>
  <c r="P83" i="21"/>
  <c r="P86" i="21"/>
  <c r="P85" i="21"/>
  <c r="P75" i="21"/>
  <c r="P81" i="21"/>
  <c r="P84" i="21"/>
  <c r="P89" i="21"/>
  <c r="P77" i="21"/>
  <c r="P78" i="21"/>
  <c r="P88" i="21"/>
  <c r="P82" i="21"/>
  <c r="P87" i="21"/>
  <c r="P76" i="21"/>
  <c r="P79" i="21"/>
  <c r="P80" i="21"/>
  <c r="P60" i="21"/>
  <c r="P68" i="21"/>
  <c r="P72" i="21"/>
  <c r="P65" i="21"/>
  <c r="P61" i="21"/>
  <c r="P74" i="21"/>
  <c r="P73" i="21"/>
  <c r="P70" i="21"/>
  <c r="P66" i="21"/>
  <c r="P63" i="21"/>
  <c r="P71" i="21"/>
  <c r="P62" i="21"/>
  <c r="P67" i="21"/>
  <c r="P64" i="21"/>
  <c r="P58" i="21"/>
  <c r="P59" i="21"/>
  <c r="P69" i="21"/>
  <c r="P54" i="21"/>
  <c r="P52" i="21"/>
  <c r="P48" i="21"/>
  <c r="P53" i="21"/>
  <c r="P56" i="21"/>
  <c r="P51" i="21"/>
  <c r="P57" i="21"/>
  <c r="P50" i="21"/>
  <c r="P49" i="21"/>
  <c r="P55" i="21"/>
  <c r="P47" i="21"/>
  <c r="P36" i="21"/>
  <c r="P34" i="21"/>
  <c r="P38" i="21"/>
  <c r="P39" i="21"/>
  <c r="P33" i="21"/>
  <c r="P37" i="21"/>
  <c r="P35" i="21"/>
  <c r="P43" i="21"/>
  <c r="P40" i="21"/>
  <c r="P41" i="21"/>
  <c r="P45" i="21"/>
  <c r="P44" i="21"/>
  <c r="P46" i="21"/>
  <c r="P42" i="21"/>
  <c r="P32" i="21"/>
  <c r="P27" i="21"/>
  <c r="P22" i="21"/>
  <c r="P19" i="21"/>
  <c r="P21" i="21"/>
  <c r="P17" i="21"/>
  <c r="P16" i="21"/>
  <c r="P28" i="21"/>
  <c r="P26" i="21"/>
  <c r="P24" i="21"/>
  <c r="P18" i="21"/>
  <c r="P23" i="21"/>
  <c r="P31" i="21"/>
  <c r="P30" i="21"/>
  <c r="P25" i="21"/>
  <c r="P29" i="21"/>
  <c r="P20" i="21"/>
  <c r="P2" i="21"/>
  <c r="P7" i="21"/>
  <c r="P3" i="21"/>
  <c r="P11" i="21"/>
  <c r="P9" i="21"/>
  <c r="P6" i="21"/>
  <c r="P14" i="21"/>
  <c r="P4" i="21"/>
  <c r="P5" i="21"/>
  <c r="P12" i="21"/>
  <c r="P8" i="21"/>
  <c r="P13" i="21"/>
  <c r="P15" i="21"/>
  <c r="P10" i="21"/>
  <c r="B5" i="13"/>
  <c r="J6" i="21"/>
  <c r="J28" i="8" l="1"/>
  <c r="K28" i="8" s="1"/>
  <c r="D5" i="13"/>
  <c r="D8" i="13"/>
  <c r="D6" i="13"/>
  <c r="D9" i="13"/>
  <c r="D7" i="13"/>
  <c r="J8" i="8" l="1"/>
  <c r="K8" i="8" s="1"/>
  <c r="N2" i="8"/>
  <c r="L2" i="8"/>
  <c r="M2" i="8"/>
  <c r="N3" i="8"/>
  <c r="J32" i="8" l="1"/>
  <c r="K32" i="8" s="1"/>
  <c r="L3" i="8"/>
  <c r="M3" i="8"/>
  <c r="L5" i="8"/>
  <c r="M5" i="8"/>
  <c r="N5" i="8"/>
  <c r="N4" i="8"/>
  <c r="M4" i="8"/>
  <c r="J10" i="8" l="1"/>
  <c r="K10" i="8" s="1"/>
  <c r="L4" i="8"/>
  <c r="L6" i="8"/>
  <c r="M6" i="8"/>
  <c r="N6" i="8"/>
  <c r="J11" i="8" l="1"/>
  <c r="K11" i="8" s="1"/>
  <c r="N7" i="8"/>
  <c r="M7" i="8"/>
  <c r="L7" i="8"/>
  <c r="J44" i="8" l="1"/>
  <c r="K44" i="8" s="1"/>
  <c r="J3359" i="8"/>
  <c r="K3359" i="8" s="1"/>
  <c r="J31" i="8"/>
  <c r="K31" i="8" s="1"/>
  <c r="L8" i="8"/>
  <c r="M8" i="8"/>
  <c r="N8" i="8"/>
  <c r="J53" i="8" l="1"/>
  <c r="K53" i="8" s="1"/>
  <c r="N9" i="8"/>
  <c r="M9" i="8"/>
  <c r="L9" i="8"/>
  <c r="J16" i="8" l="1"/>
  <c r="K16" i="8" s="1"/>
  <c r="N10" i="8"/>
  <c r="L10" i="8"/>
  <c r="M10" i="8"/>
  <c r="J17" i="8" l="1"/>
  <c r="K17" i="8" s="1"/>
  <c r="L11" i="8"/>
  <c r="M11" i="8"/>
  <c r="N11" i="8"/>
  <c r="J18" i="8" l="1"/>
  <c r="K18" i="8" s="1"/>
  <c r="M12" i="8"/>
  <c r="N12" i="8"/>
  <c r="L12" i="8"/>
  <c r="J19" i="8" l="1"/>
  <c r="K19" i="8" s="1"/>
  <c r="L13" i="8"/>
  <c r="M13" i="8"/>
  <c r="N13" i="8"/>
  <c r="J20" i="8" l="1"/>
  <c r="K20" i="8" s="1"/>
  <c r="M14" i="8"/>
  <c r="N14" i="8"/>
  <c r="L14" i="8"/>
  <c r="J21" i="8" l="1"/>
  <c r="K21" i="8" s="1"/>
  <c r="L15" i="8"/>
  <c r="M15" i="8"/>
  <c r="N15" i="8"/>
  <c r="J22" i="8" l="1"/>
  <c r="K22" i="8" s="1"/>
  <c r="L16" i="8"/>
  <c r="M16" i="8"/>
  <c r="N16" i="8"/>
  <c r="J3364" i="8" l="1"/>
  <c r="K3364" i="8" s="1"/>
  <c r="L17" i="8"/>
  <c r="M17" i="8"/>
  <c r="N17" i="8"/>
  <c r="J24" i="8" l="1"/>
  <c r="K24" i="8" s="1"/>
  <c r="M18" i="8"/>
  <c r="L18" i="8"/>
  <c r="N18" i="8"/>
  <c r="J25" i="8" l="1"/>
  <c r="K25" i="8" s="1"/>
  <c r="M19" i="8"/>
  <c r="N19" i="8"/>
  <c r="L19" i="8"/>
  <c r="J2683" i="8" l="1"/>
  <c r="K2683" i="8" s="1"/>
  <c r="M20" i="8"/>
  <c r="N20" i="8"/>
  <c r="L20" i="8"/>
  <c r="J27" i="8" l="1"/>
  <c r="K27" i="8" s="1"/>
  <c r="L21" i="8"/>
  <c r="N21" i="8"/>
  <c r="M21" i="8"/>
  <c r="J37" i="8" l="1"/>
  <c r="K37" i="8" s="1"/>
  <c r="J68" i="8"/>
  <c r="K68" i="8" s="1"/>
  <c r="M22" i="8"/>
  <c r="N22" i="8"/>
  <c r="L22" i="8"/>
  <c r="L23" i="8" l="1"/>
  <c r="N23" i="8"/>
  <c r="M23" i="8"/>
  <c r="N24" i="8" l="1"/>
  <c r="L24" i="8"/>
  <c r="M24" i="8"/>
  <c r="M25" i="8" l="1"/>
  <c r="L25" i="8"/>
  <c r="N25" i="8"/>
  <c r="N2683" i="8" l="1"/>
  <c r="L2683" i="8"/>
  <c r="M2683" i="8"/>
  <c r="M27" i="8" l="1"/>
  <c r="N27" i="8"/>
  <c r="L27" i="8"/>
  <c r="M28" i="8" l="1"/>
  <c r="N28" i="8"/>
  <c r="L28" i="8"/>
  <c r="M29" i="8" l="1"/>
  <c r="N29" i="8"/>
  <c r="L29" i="8"/>
  <c r="L30" i="8" l="1"/>
  <c r="M30" i="8"/>
  <c r="N30" i="8"/>
  <c r="N31" i="8" l="1"/>
  <c r="L31" i="8"/>
  <c r="M31" i="8"/>
  <c r="N32" i="8" l="1"/>
  <c r="L32" i="8"/>
  <c r="M32" i="8"/>
  <c r="M33" i="8" l="1"/>
  <c r="L33" i="8"/>
  <c r="N33" i="8"/>
  <c r="L34" i="8" l="1"/>
  <c r="M34" i="8"/>
  <c r="N34" i="8"/>
  <c r="N2608" i="8" l="1"/>
  <c r="M2608" i="8"/>
  <c r="L2608" i="8"/>
  <c r="M35" i="8" l="1"/>
  <c r="L35" i="8"/>
  <c r="N35" i="8"/>
  <c r="L3359" i="8" l="1"/>
  <c r="M3359" i="8"/>
  <c r="N3359" i="8"/>
  <c r="L38" i="8" l="1"/>
  <c r="M38" i="8"/>
  <c r="N38" i="8"/>
  <c r="L3364" i="8" l="1"/>
  <c r="M3364" i="8"/>
  <c r="N3364" i="8"/>
  <c r="M40" i="8" l="1"/>
  <c r="L40" i="8"/>
  <c r="N40" i="8"/>
  <c r="M41" i="8" l="1"/>
  <c r="L41" i="8"/>
  <c r="N41" i="8"/>
  <c r="L37" i="8" l="1"/>
  <c r="N37" i="8"/>
  <c r="M37" i="8"/>
  <c r="M43" i="8" l="1"/>
  <c r="L43" i="8"/>
  <c r="N43" i="8"/>
  <c r="N44" i="8" l="1"/>
  <c r="M44" i="8"/>
  <c r="L44" i="8"/>
  <c r="L36" i="8" l="1"/>
  <c r="M36" i="8"/>
  <c r="N36" i="8"/>
  <c r="M45" i="8" l="1"/>
  <c r="L45" i="8"/>
  <c r="N45" i="8"/>
  <c r="L46" i="8" l="1"/>
  <c r="N46" i="8"/>
  <c r="M46" i="8"/>
  <c r="L48" i="8" l="1"/>
  <c r="N48" i="8"/>
  <c r="M48" i="8"/>
  <c r="L47" i="8" l="1"/>
  <c r="M47" i="8"/>
  <c r="N47" i="8"/>
  <c r="M50" i="8" l="1"/>
  <c r="N50" i="8"/>
  <c r="L50" i="8"/>
  <c r="L39" i="8" l="1"/>
  <c r="M39" i="8"/>
  <c r="N39" i="8"/>
  <c r="L52" i="8" l="1"/>
  <c r="M52" i="8"/>
  <c r="N52" i="8"/>
  <c r="N53" i="8" l="1"/>
  <c r="L53" i="8"/>
  <c r="M53" i="8"/>
  <c r="L42" i="8" l="1"/>
  <c r="M42" i="8"/>
  <c r="N42" i="8"/>
  <c r="N26" i="8" l="1"/>
  <c r="M26" i="8"/>
  <c r="L26" i="8"/>
  <c r="N3368" i="8" l="1"/>
  <c r="L3368" i="8"/>
  <c r="M3368" i="8"/>
  <c r="N3178" i="8" l="1"/>
  <c r="L3178" i="8"/>
  <c r="M3178" i="8"/>
  <c r="M3180" i="8" l="1"/>
  <c r="N3180" i="8"/>
  <c r="L3180" i="8"/>
  <c r="L3042" i="8" l="1"/>
  <c r="N3042" i="8"/>
  <c r="M3042" i="8"/>
  <c r="L3049" i="8" l="1"/>
  <c r="N3049" i="8"/>
  <c r="M3049" i="8"/>
  <c r="N51" i="8" l="1"/>
  <c r="L51" i="8"/>
  <c r="M51" i="8"/>
  <c r="L54" i="8" l="1"/>
  <c r="M54" i="8"/>
  <c r="N54" i="8"/>
  <c r="M63" i="8" l="1"/>
  <c r="L63" i="8"/>
  <c r="N63" i="8"/>
  <c r="N64" i="8" l="1"/>
  <c r="M64" i="8"/>
  <c r="L64" i="8"/>
  <c r="L57" i="8" l="1"/>
  <c r="N57" i="8"/>
  <c r="M57" i="8"/>
  <c r="L58" i="8" l="1"/>
  <c r="M58" i="8"/>
  <c r="N58" i="8"/>
  <c r="M49" i="8" l="1"/>
  <c r="N49" i="8"/>
  <c r="L49" i="8"/>
  <c r="N68" i="8" l="1"/>
  <c r="L68" i="8"/>
  <c r="M68" i="8"/>
  <c r="L3007" i="8" l="1"/>
  <c r="N3007" i="8"/>
  <c r="M3007" i="8"/>
  <c r="M55" i="8" l="1"/>
  <c r="L55" i="8"/>
  <c r="N55" i="8"/>
  <c r="N69" i="8" l="1"/>
  <c r="L69" i="8"/>
  <c r="M69" i="8"/>
  <c r="M70" i="8" l="1"/>
  <c r="N70" i="8"/>
  <c r="L70" i="8"/>
  <c r="M56" i="8" l="1"/>
  <c r="N56" i="8"/>
  <c r="L56" i="8"/>
  <c r="L74" i="8" l="1"/>
  <c r="M74" i="8"/>
  <c r="N74" i="8"/>
  <c r="N67" i="8" l="1"/>
  <c r="M67" i="8"/>
  <c r="L67" i="8"/>
  <c r="L65" i="8" l="1"/>
  <c r="M65" i="8"/>
  <c r="N65" i="8"/>
  <c r="M59" i="8" l="1"/>
  <c r="N59" i="8"/>
  <c r="L59" i="8"/>
  <c r="L71" i="8" l="1"/>
  <c r="N71" i="8"/>
  <c r="M71" i="8"/>
  <c r="N79" i="8" l="1"/>
  <c r="L79" i="8"/>
  <c r="M79" i="8"/>
  <c r="N80" i="8" l="1"/>
  <c r="L80" i="8"/>
  <c r="M80" i="8"/>
  <c r="M66" i="8" l="1"/>
  <c r="N66" i="8"/>
  <c r="L66" i="8"/>
  <c r="L82" i="8" l="1"/>
  <c r="N82" i="8"/>
  <c r="M82" i="8"/>
  <c r="L83" i="8" l="1"/>
  <c r="M83" i="8"/>
  <c r="N83" i="8"/>
  <c r="M3013" i="8" l="1"/>
  <c r="N3013" i="8"/>
  <c r="L3013" i="8"/>
  <c r="L85" i="8" l="1"/>
  <c r="M85" i="8"/>
  <c r="N85" i="8"/>
  <c r="M86" i="8" l="1"/>
  <c r="L86" i="8"/>
  <c r="N86" i="8"/>
  <c r="M60" i="8" l="1"/>
  <c r="N60" i="8"/>
  <c r="L60" i="8"/>
  <c r="N61" i="8" l="1"/>
  <c r="L61" i="8"/>
  <c r="M61" i="8"/>
  <c r="M89" i="8" l="1"/>
  <c r="N89" i="8"/>
  <c r="L89" i="8"/>
  <c r="N90" i="8" l="1"/>
  <c r="L90" i="8"/>
  <c r="M90" i="8"/>
  <c r="L91" i="8" l="1"/>
  <c r="M91" i="8"/>
  <c r="N91" i="8"/>
  <c r="N92" i="8" l="1"/>
  <c r="L92" i="8"/>
  <c r="M92" i="8"/>
  <c r="L72" i="8" l="1"/>
  <c r="N72" i="8"/>
  <c r="M72" i="8"/>
  <c r="L78" i="8" l="1"/>
  <c r="M78" i="8"/>
  <c r="N78" i="8"/>
  <c r="M95" i="8" l="1"/>
  <c r="N95" i="8"/>
  <c r="L95" i="8"/>
  <c r="L96" i="8" l="1"/>
  <c r="M96" i="8"/>
  <c r="N96" i="8"/>
  <c r="M75" i="8" l="1"/>
  <c r="L75" i="8"/>
  <c r="N75" i="8"/>
  <c r="L98" i="8" l="1"/>
  <c r="N98" i="8"/>
  <c r="M98" i="8"/>
  <c r="L3036" i="8" l="1"/>
  <c r="N3036" i="8"/>
  <c r="M3036" i="8"/>
  <c r="N76" i="8" l="1"/>
  <c r="L76" i="8"/>
  <c r="M76" i="8"/>
  <c r="N3069" i="8" l="1"/>
  <c r="L3069" i="8"/>
  <c r="M3069" i="8"/>
  <c r="M2615" i="8" l="1"/>
  <c r="N2615" i="8"/>
  <c r="L2615" i="8"/>
  <c r="L62" i="8" l="1"/>
  <c r="N62" i="8"/>
  <c r="M62" i="8"/>
  <c r="M104" i="8" l="1"/>
  <c r="N104" i="8"/>
  <c r="L104" i="8"/>
  <c r="M105" i="8" l="1"/>
  <c r="L105" i="8"/>
  <c r="N105" i="8"/>
  <c r="L73" i="8" l="1"/>
  <c r="M73" i="8"/>
  <c r="N73" i="8"/>
  <c r="M107" i="8" l="1"/>
  <c r="L107" i="8"/>
  <c r="N107" i="8"/>
  <c r="L108" i="8" l="1"/>
  <c r="M108" i="8"/>
  <c r="N108" i="8"/>
  <c r="M84" i="8" l="1"/>
  <c r="N84" i="8"/>
  <c r="L84" i="8"/>
  <c r="N77" i="8" l="1"/>
  <c r="M77" i="8"/>
  <c r="L77" i="8"/>
  <c r="N87" i="8" l="1"/>
  <c r="M87" i="8"/>
  <c r="L87" i="8"/>
  <c r="L81" i="8" l="1"/>
  <c r="N81" i="8"/>
  <c r="M81" i="8"/>
  <c r="M93" i="8" l="1"/>
  <c r="N93" i="8"/>
  <c r="L93" i="8"/>
  <c r="L88" i="8" l="1"/>
  <c r="M88" i="8"/>
  <c r="N88" i="8"/>
  <c r="M97" i="8" l="1"/>
  <c r="N97" i="8"/>
  <c r="L97" i="8"/>
  <c r="L99" i="8" l="1"/>
  <c r="M99" i="8"/>
  <c r="N99" i="8"/>
  <c r="M117" i="8" l="1"/>
  <c r="N117" i="8"/>
  <c r="L117" i="8"/>
  <c r="M101" i="8" l="1"/>
  <c r="L101" i="8"/>
  <c r="N101" i="8"/>
  <c r="M3038" i="8" l="1"/>
  <c r="N3038" i="8"/>
  <c r="L3038" i="8"/>
  <c r="N120" i="8" l="1"/>
  <c r="L120" i="8"/>
  <c r="M120" i="8"/>
  <c r="N100" i="8" l="1"/>
  <c r="L100" i="8"/>
  <c r="M100" i="8"/>
  <c r="L122" i="8" l="1"/>
  <c r="M122" i="8"/>
  <c r="N122" i="8"/>
  <c r="N123" i="8" l="1"/>
  <c r="L123" i="8"/>
  <c r="M123" i="8"/>
  <c r="M103" i="8" l="1"/>
  <c r="N103" i="8"/>
  <c r="L103" i="8"/>
  <c r="N112" i="8" l="1"/>
  <c r="M112" i="8"/>
  <c r="L112" i="8"/>
  <c r="M102" i="8" l="1"/>
  <c r="L102" i="8"/>
  <c r="N102" i="8"/>
  <c r="L121" i="8" l="1"/>
  <c r="M121" i="8"/>
  <c r="N121" i="8"/>
  <c r="N128" i="8" l="1"/>
  <c r="M128" i="8"/>
  <c r="L128" i="8"/>
  <c r="L115" i="8" l="1"/>
  <c r="N115" i="8"/>
  <c r="M115" i="8"/>
  <c r="N116" i="8" l="1"/>
  <c r="L116" i="8"/>
  <c r="M116" i="8"/>
  <c r="L106" i="8" l="1"/>
  <c r="M106" i="8"/>
  <c r="N106" i="8"/>
  <c r="M125" i="8" l="1"/>
  <c r="L125" i="8"/>
  <c r="N125" i="8"/>
  <c r="L127" i="8" l="1"/>
  <c r="M127" i="8"/>
  <c r="N127" i="8"/>
  <c r="L134" i="8" l="1"/>
  <c r="M134" i="8"/>
  <c r="N134" i="8"/>
  <c r="L94" i="8" l="1"/>
  <c r="M94" i="8"/>
  <c r="N94" i="8"/>
  <c r="L110" i="8" l="1"/>
  <c r="M110" i="8"/>
  <c r="N110" i="8"/>
  <c r="N137" i="8" l="1"/>
  <c r="L137" i="8"/>
  <c r="M137" i="8"/>
  <c r="M3040" i="8" l="1"/>
  <c r="N3040" i="8"/>
  <c r="L3040" i="8"/>
  <c r="N111" i="8" l="1"/>
  <c r="L111" i="8"/>
  <c r="M111" i="8"/>
  <c r="M3371" i="8" l="1"/>
  <c r="N3371" i="8"/>
  <c r="L3371" i="8"/>
  <c r="N109" i="8" l="1"/>
  <c r="M109" i="8"/>
  <c r="L109" i="8"/>
  <c r="L142" i="8" l="1"/>
  <c r="N142" i="8"/>
  <c r="M142" i="8"/>
  <c r="L143" i="8" l="1"/>
  <c r="N143" i="8"/>
  <c r="M143" i="8"/>
  <c r="L3073" i="8" l="1"/>
  <c r="M3073" i="8"/>
  <c r="N3073" i="8"/>
  <c r="M2759" i="8" l="1"/>
  <c r="L2759" i="8"/>
  <c r="N2759" i="8"/>
  <c r="L114" i="8" l="1"/>
  <c r="N114" i="8"/>
  <c r="M114" i="8"/>
  <c r="L119" i="8" l="1"/>
  <c r="M119" i="8"/>
  <c r="N119" i="8"/>
  <c r="N148" i="8" l="1"/>
  <c r="L148" i="8"/>
  <c r="M148" i="8"/>
  <c r="N113" i="8" l="1"/>
  <c r="M113" i="8"/>
  <c r="L113" i="8"/>
  <c r="L150" i="8" l="1"/>
  <c r="N150" i="8"/>
  <c r="M150" i="8"/>
  <c r="M135" i="8" l="1"/>
  <c r="L135" i="8"/>
  <c r="N135" i="8"/>
  <c r="L118" i="8" l="1"/>
  <c r="M118" i="8"/>
  <c r="N118" i="8"/>
  <c r="M124" i="8" l="1"/>
  <c r="L124" i="8"/>
  <c r="N124" i="8"/>
  <c r="L141" i="8" l="1"/>
  <c r="M141" i="8"/>
  <c r="N141" i="8"/>
  <c r="L132" i="8" l="1"/>
  <c r="N132" i="8"/>
  <c r="M132" i="8"/>
  <c r="L126" i="8" l="1"/>
  <c r="M126" i="8"/>
  <c r="N126" i="8"/>
  <c r="M3044" i="8" l="1"/>
  <c r="N3044" i="8"/>
  <c r="L3044" i="8"/>
  <c r="N3048" i="8" l="1"/>
  <c r="L3048" i="8"/>
  <c r="M3048" i="8"/>
  <c r="M159" i="8" l="1"/>
  <c r="L159" i="8"/>
  <c r="N159" i="8"/>
  <c r="L160" i="8" l="1"/>
  <c r="M160" i="8"/>
  <c r="N160" i="8"/>
  <c r="N3088" i="8" l="1"/>
  <c r="M3088" i="8"/>
  <c r="L3088" i="8"/>
  <c r="N162" i="8" l="1"/>
  <c r="L162" i="8"/>
  <c r="M162" i="8"/>
  <c r="N163" i="8" l="1"/>
  <c r="L163" i="8"/>
  <c r="M163" i="8"/>
  <c r="L149" i="8" l="1"/>
  <c r="N149" i="8"/>
  <c r="M149" i="8"/>
  <c r="M131" i="8" l="1"/>
  <c r="L131" i="8"/>
  <c r="N131" i="8"/>
  <c r="N129" i="8" l="1"/>
  <c r="L129" i="8"/>
  <c r="M129" i="8"/>
  <c r="L3181" i="8" l="1"/>
  <c r="N3181" i="8"/>
  <c r="M3181" i="8"/>
  <c r="L168" i="8" l="1"/>
  <c r="N168" i="8"/>
  <c r="M168" i="8"/>
  <c r="M169" i="8" l="1"/>
  <c r="N169" i="8"/>
  <c r="L169" i="8"/>
  <c r="L170" i="8" l="1"/>
  <c r="M170" i="8"/>
  <c r="N170" i="8"/>
  <c r="N130" i="8" l="1"/>
  <c r="M130" i="8"/>
  <c r="L130" i="8"/>
  <c r="L136" i="8" l="1"/>
  <c r="M136" i="8"/>
  <c r="N136" i="8"/>
  <c r="N151" i="8" l="1"/>
  <c r="L151" i="8"/>
  <c r="M151" i="8"/>
  <c r="M138" i="8" l="1"/>
  <c r="L138" i="8"/>
  <c r="N138" i="8"/>
  <c r="L133" i="8" l="1"/>
  <c r="N133" i="8"/>
  <c r="M133" i="8"/>
  <c r="L176" i="8" l="1"/>
  <c r="M176" i="8"/>
  <c r="N176" i="8"/>
  <c r="N145" i="8" l="1"/>
  <c r="L145" i="8"/>
  <c r="M145" i="8"/>
  <c r="N147" i="8" l="1"/>
  <c r="L147" i="8"/>
  <c r="M147" i="8"/>
  <c r="L179" i="8" l="1"/>
  <c r="N179" i="8"/>
  <c r="M179" i="8"/>
  <c r="L180" i="8" l="1"/>
  <c r="M180" i="8"/>
  <c r="N180" i="8"/>
  <c r="M139" i="8" l="1"/>
  <c r="N139" i="8"/>
  <c r="L139" i="8"/>
  <c r="N182" i="8" l="1"/>
  <c r="M182" i="8"/>
  <c r="L182" i="8"/>
  <c r="N3043" i="8" l="1"/>
  <c r="M3043" i="8"/>
  <c r="L3043" i="8"/>
  <c r="L140" i="8" l="1"/>
  <c r="N140" i="8"/>
  <c r="M140" i="8"/>
  <c r="L3045" i="8" l="1"/>
  <c r="N3045" i="8"/>
  <c r="M3045" i="8"/>
  <c r="L3108" i="8" l="1"/>
  <c r="N3108" i="8"/>
  <c r="M3108" i="8"/>
  <c r="L2765" i="8" l="1"/>
  <c r="M2765" i="8"/>
  <c r="N2765" i="8"/>
  <c r="M154" i="8" l="1"/>
  <c r="N154" i="8"/>
  <c r="L154" i="8"/>
  <c r="N155" i="8" l="1"/>
  <c r="L155" i="8"/>
  <c r="M155" i="8"/>
  <c r="N190" i="8" l="1"/>
  <c r="L190" i="8"/>
  <c r="M190" i="8"/>
  <c r="M144" i="8" l="1"/>
  <c r="N144" i="8"/>
  <c r="L144" i="8"/>
  <c r="N146" i="8" l="1"/>
  <c r="L146" i="8"/>
  <c r="M146" i="8"/>
  <c r="L167" i="8" l="1"/>
  <c r="M167" i="8"/>
  <c r="N167" i="8"/>
  <c r="N175" i="8" l="1"/>
  <c r="L175" i="8"/>
  <c r="M175" i="8"/>
  <c r="L195" i="8" l="1"/>
  <c r="M195" i="8"/>
  <c r="N195" i="8"/>
  <c r="N177" i="8" l="1"/>
  <c r="L177" i="8"/>
  <c r="M177" i="8"/>
  <c r="N187" i="8" l="1"/>
  <c r="L187" i="8"/>
  <c r="M187" i="8"/>
  <c r="M198" i="8" l="1"/>
  <c r="L198" i="8"/>
  <c r="N198" i="8"/>
  <c r="M156" i="8" l="1"/>
  <c r="L156" i="8"/>
  <c r="N156" i="8"/>
  <c r="L3182" i="8" l="1"/>
  <c r="N3182" i="8"/>
  <c r="M3182" i="8"/>
  <c r="N3050" i="8" l="1"/>
  <c r="M3050" i="8"/>
  <c r="L3050" i="8"/>
  <c r="M2636" i="8" l="1"/>
  <c r="N2636" i="8"/>
  <c r="L2636" i="8"/>
  <c r="M203" i="8" l="1"/>
  <c r="N203" i="8"/>
  <c r="L203" i="8"/>
  <c r="N189" i="8" l="1"/>
  <c r="L189" i="8"/>
  <c r="M189" i="8"/>
  <c r="L205" i="8" l="1"/>
  <c r="M205" i="8"/>
  <c r="N205" i="8"/>
  <c r="L206" i="8" l="1"/>
  <c r="N206" i="8"/>
  <c r="M206" i="8"/>
  <c r="N157" i="8" l="1"/>
  <c r="L157" i="8"/>
  <c r="M157" i="8"/>
  <c r="M208" i="8" l="1"/>
  <c r="N208" i="8"/>
  <c r="L208" i="8"/>
  <c r="L164" i="8" l="1"/>
  <c r="M164" i="8"/>
  <c r="N164" i="8"/>
  <c r="L158" i="8" l="1"/>
  <c r="M158" i="8"/>
  <c r="N158" i="8"/>
  <c r="M152" i="8" l="1"/>
  <c r="N152" i="8"/>
  <c r="L152" i="8"/>
  <c r="L3053" i="8" l="1"/>
  <c r="N3053" i="8"/>
  <c r="M3053" i="8"/>
  <c r="L2646" i="8" l="1"/>
  <c r="N2646" i="8"/>
  <c r="M2646" i="8"/>
  <c r="L193" i="8" l="1"/>
  <c r="M193" i="8"/>
  <c r="N193" i="8"/>
  <c r="M215" i="8" l="1"/>
  <c r="N215" i="8"/>
  <c r="L215" i="8"/>
  <c r="L194" i="8" l="1"/>
  <c r="M194" i="8"/>
  <c r="N194" i="8"/>
  <c r="L173" i="8" l="1"/>
  <c r="M173" i="8"/>
  <c r="N173" i="8"/>
  <c r="L218" i="8" l="1"/>
  <c r="N218" i="8"/>
  <c r="M218" i="8"/>
  <c r="M166" i="8" l="1"/>
  <c r="N166" i="8"/>
  <c r="L166" i="8"/>
  <c r="L196" i="8" l="1"/>
  <c r="N196" i="8"/>
  <c r="M196" i="8"/>
  <c r="N183" i="8" l="1"/>
  <c r="M183" i="8"/>
  <c r="L183" i="8"/>
  <c r="M197" i="8" l="1"/>
  <c r="N197" i="8"/>
  <c r="L197" i="8"/>
  <c r="L153" i="8" l="1"/>
  <c r="M153" i="8"/>
  <c r="N153" i="8"/>
  <c r="M171" i="8" l="1"/>
  <c r="N171" i="8"/>
  <c r="L171" i="8"/>
  <c r="N3372" i="8" l="1"/>
  <c r="L3372" i="8"/>
  <c r="M3372" i="8"/>
  <c r="L3059" i="8" l="1"/>
  <c r="M3059" i="8"/>
  <c r="N3059" i="8"/>
  <c r="L227" i="8" l="1"/>
  <c r="N227" i="8"/>
  <c r="M227" i="8"/>
  <c r="L2773" i="8" l="1"/>
  <c r="M2773" i="8"/>
  <c r="N2773" i="8"/>
  <c r="N229" i="8" l="1"/>
  <c r="M229" i="8"/>
  <c r="L229" i="8"/>
  <c r="L200" i="8" l="1"/>
  <c r="M200" i="8"/>
  <c r="N200" i="8"/>
  <c r="L204" i="8" l="1"/>
  <c r="N204" i="8"/>
  <c r="M204" i="8"/>
  <c r="N214" i="8" l="1"/>
  <c r="M214" i="8"/>
  <c r="L214" i="8"/>
  <c r="L233" i="8" l="1"/>
  <c r="M233" i="8"/>
  <c r="N233" i="8"/>
  <c r="L174" i="8" l="1"/>
  <c r="M174" i="8"/>
  <c r="N174" i="8"/>
  <c r="L178" i="8" l="1"/>
  <c r="M178" i="8"/>
  <c r="N178" i="8"/>
  <c r="N2648" i="8" l="1"/>
  <c r="L2648" i="8"/>
  <c r="M2648" i="8"/>
  <c r="N237" i="8" l="1"/>
  <c r="M237" i="8"/>
  <c r="L237" i="8"/>
  <c r="L199" i="8" l="1"/>
  <c r="N199" i="8"/>
  <c r="M199" i="8"/>
  <c r="L216" i="8" l="1"/>
  <c r="M216" i="8"/>
  <c r="N216" i="8"/>
  <c r="L185" i="8" l="1"/>
  <c r="N185" i="8"/>
  <c r="M185" i="8"/>
  <c r="N188" i="8" l="1"/>
  <c r="M188" i="8"/>
  <c r="L188" i="8"/>
  <c r="N242" i="8" l="1"/>
  <c r="L242" i="8"/>
  <c r="M242" i="8"/>
  <c r="L3184" i="8" l="1"/>
  <c r="M3184" i="8"/>
  <c r="N3184" i="8"/>
  <c r="M220" i="8" l="1"/>
  <c r="L220" i="8"/>
  <c r="N220" i="8"/>
  <c r="L201" i="8" l="1"/>
  <c r="M201" i="8"/>
  <c r="N201" i="8"/>
  <c r="M209" i="8" l="1"/>
  <c r="N209" i="8"/>
  <c r="L209" i="8"/>
  <c r="L202" i="8" l="1"/>
  <c r="M202" i="8"/>
  <c r="N202" i="8"/>
  <c r="N222" i="8" l="1"/>
  <c r="L222" i="8"/>
  <c r="M222" i="8"/>
  <c r="L228" i="8" l="1"/>
  <c r="M228" i="8"/>
  <c r="N228" i="8"/>
  <c r="M230" i="8" l="1"/>
  <c r="N230" i="8"/>
  <c r="L230" i="8"/>
  <c r="M207" i="8" l="1"/>
  <c r="N207" i="8"/>
  <c r="L207" i="8"/>
  <c r="L252" i="8" l="1"/>
  <c r="N252" i="8"/>
  <c r="M252" i="8"/>
  <c r="L210" i="8" l="1"/>
  <c r="M210" i="8"/>
  <c r="N210" i="8"/>
  <c r="M231" i="8" l="1"/>
  <c r="N231" i="8"/>
  <c r="L231" i="8"/>
  <c r="L212" i="8" l="1"/>
  <c r="N212" i="8"/>
  <c r="M212" i="8"/>
  <c r="N161" i="8" l="1"/>
  <c r="L161" i="8"/>
  <c r="M161" i="8"/>
  <c r="L257" i="8" l="1"/>
  <c r="N257" i="8"/>
  <c r="M257" i="8"/>
  <c r="L165" i="8" l="1"/>
  <c r="N165" i="8"/>
  <c r="M165" i="8"/>
  <c r="L172" i="8" l="1"/>
  <c r="M172" i="8"/>
  <c r="N172" i="8"/>
  <c r="N260" i="8" l="1"/>
  <c r="L260" i="8"/>
  <c r="M260" i="8"/>
  <c r="L232" i="8" l="1"/>
  <c r="M232" i="8"/>
  <c r="N232" i="8"/>
  <c r="N239" i="8" l="1"/>
  <c r="M239" i="8"/>
  <c r="L239" i="8"/>
  <c r="N3063" i="8" l="1"/>
  <c r="L3063" i="8"/>
  <c r="M3063" i="8"/>
  <c r="N181" i="8" l="1"/>
  <c r="M181" i="8"/>
  <c r="L181" i="8"/>
  <c r="N265" i="8" l="1"/>
  <c r="M265" i="8"/>
  <c r="L265" i="8"/>
  <c r="L2778" i="8" l="1"/>
  <c r="N2778" i="8"/>
  <c r="M2778" i="8"/>
  <c r="N3066" i="8" l="1"/>
  <c r="L3066" i="8"/>
  <c r="M3066" i="8"/>
  <c r="L268" i="8" l="1"/>
  <c r="M268" i="8"/>
  <c r="N268" i="8"/>
  <c r="N2685" i="8" l="1"/>
  <c r="M2685" i="8"/>
  <c r="L2685" i="8"/>
  <c r="M2786" i="8" l="1"/>
  <c r="L2786" i="8"/>
  <c r="N2786" i="8"/>
  <c r="L213" i="8" l="1"/>
  <c r="M213" i="8"/>
  <c r="N213" i="8"/>
  <c r="N219" i="8" l="1"/>
  <c r="M219" i="8"/>
  <c r="L219" i="8"/>
  <c r="N217" i="8" l="1"/>
  <c r="L217" i="8"/>
  <c r="M217" i="8"/>
  <c r="N224" i="8" l="1"/>
  <c r="M224" i="8"/>
  <c r="L224" i="8"/>
  <c r="N275" i="8" l="1"/>
  <c r="M275" i="8"/>
  <c r="L275" i="8"/>
  <c r="L276" i="8" l="1"/>
  <c r="N276" i="8"/>
  <c r="M276" i="8"/>
  <c r="L277" i="8" l="1"/>
  <c r="M277" i="8"/>
  <c r="N277" i="8"/>
  <c r="L226" i="8" l="1"/>
  <c r="M226" i="8"/>
  <c r="N226" i="8"/>
  <c r="L243" i="8" l="1"/>
  <c r="N243" i="8"/>
  <c r="M243" i="8"/>
  <c r="L280" i="8" l="1"/>
  <c r="N280" i="8"/>
  <c r="M280" i="8"/>
  <c r="M281" i="8" l="1"/>
  <c r="L281" i="8"/>
  <c r="N281" i="8"/>
  <c r="L2654" i="8" l="1"/>
  <c r="N2654" i="8"/>
  <c r="M2654" i="8"/>
  <c r="L234" i="8" l="1"/>
  <c r="N234" i="8"/>
  <c r="M234" i="8"/>
  <c r="N235" i="8" l="1"/>
  <c r="L235" i="8"/>
  <c r="M235" i="8"/>
  <c r="N3047" i="8" l="1"/>
  <c r="L3047" i="8"/>
  <c r="M3047" i="8"/>
  <c r="L3116" i="8" l="1"/>
  <c r="N3116" i="8"/>
  <c r="M3116" i="8"/>
  <c r="M236" i="8" l="1"/>
  <c r="L236" i="8"/>
  <c r="N236" i="8"/>
  <c r="L221" i="8" l="1"/>
  <c r="M221" i="8"/>
  <c r="N221" i="8"/>
  <c r="M184" i="8" l="1"/>
  <c r="N184" i="8"/>
  <c r="L184" i="8"/>
  <c r="M238" i="8" l="1"/>
  <c r="L238" i="8"/>
  <c r="N238" i="8"/>
  <c r="M186" i="8" l="1"/>
  <c r="L186" i="8"/>
  <c r="N186" i="8"/>
  <c r="M191" i="8" l="1"/>
  <c r="L191" i="8"/>
  <c r="N191" i="8"/>
  <c r="M3076" i="8" l="1"/>
  <c r="N3076" i="8"/>
  <c r="L3076" i="8"/>
  <c r="L240" i="8" l="1"/>
  <c r="N240" i="8"/>
  <c r="M240" i="8"/>
  <c r="N244" i="8" l="1"/>
  <c r="L244" i="8"/>
  <c r="M244" i="8"/>
  <c r="N296" i="8" l="1"/>
  <c r="M296" i="8"/>
  <c r="L296" i="8"/>
  <c r="N297" i="8" l="1"/>
  <c r="M297" i="8"/>
  <c r="L297" i="8"/>
  <c r="M298" i="8" l="1"/>
  <c r="N298" i="8"/>
  <c r="L298" i="8"/>
  <c r="L192" i="8" l="1"/>
  <c r="M192" i="8"/>
  <c r="N192" i="8"/>
  <c r="N211" i="8" l="1"/>
  <c r="L211" i="8"/>
  <c r="M211" i="8"/>
  <c r="M301" i="8" l="1"/>
  <c r="L301" i="8"/>
  <c r="N301" i="8"/>
  <c r="N223" i="8" l="1"/>
  <c r="M223" i="8"/>
  <c r="L223" i="8"/>
  <c r="N225" i="8" l="1"/>
  <c r="M225" i="8"/>
  <c r="L225" i="8"/>
  <c r="N304" i="8" l="1"/>
  <c r="M304" i="8"/>
  <c r="L304" i="8"/>
  <c r="N245" i="8" l="1"/>
  <c r="M245" i="8"/>
  <c r="L245" i="8"/>
  <c r="L247" i="8" l="1"/>
  <c r="M247" i="8"/>
  <c r="N247" i="8"/>
  <c r="M2656" i="8" l="1"/>
  <c r="L2656" i="8"/>
  <c r="N2656" i="8"/>
  <c r="M241" i="8" l="1"/>
  <c r="N241" i="8"/>
  <c r="L241" i="8"/>
  <c r="N3082" i="8" l="1"/>
  <c r="L3082" i="8"/>
  <c r="M3082" i="8"/>
  <c r="L3086" i="8" l="1"/>
  <c r="M3086" i="8"/>
  <c r="N3086" i="8"/>
  <c r="L3054" i="8" l="1"/>
  <c r="N3054" i="8"/>
  <c r="M3054" i="8"/>
  <c r="N246" i="8" l="1"/>
  <c r="L246" i="8"/>
  <c r="M246" i="8"/>
  <c r="N251" i="8" l="1"/>
  <c r="L251" i="8"/>
  <c r="M251" i="8"/>
  <c r="M314" i="8" l="1"/>
  <c r="N314" i="8"/>
  <c r="L314" i="8"/>
  <c r="N256" i="8" l="1"/>
  <c r="L256" i="8"/>
  <c r="M256" i="8"/>
  <c r="M269" i="8" l="1"/>
  <c r="N269" i="8"/>
  <c r="L269" i="8"/>
  <c r="L258" i="8" l="1"/>
  <c r="M258" i="8"/>
  <c r="N258" i="8"/>
  <c r="N318" i="8" l="1"/>
  <c r="M318" i="8"/>
  <c r="L318" i="8"/>
  <c r="L259" i="8" l="1"/>
  <c r="M259" i="8"/>
  <c r="N259" i="8"/>
  <c r="L320" i="8" l="1"/>
  <c r="M320" i="8"/>
  <c r="N320" i="8"/>
  <c r="L2658" i="8" l="1"/>
  <c r="N2658" i="8"/>
  <c r="M2658" i="8"/>
  <c r="N253" i="8" l="1"/>
  <c r="M253" i="8"/>
  <c r="L253" i="8"/>
  <c r="L255" i="8" l="1"/>
  <c r="N255" i="8"/>
  <c r="M255" i="8"/>
  <c r="M324" i="8" l="1"/>
  <c r="N324" i="8"/>
  <c r="L324" i="8"/>
  <c r="L3064" i="8" l="1"/>
  <c r="M3064" i="8"/>
  <c r="N3064" i="8"/>
  <c r="L264" i="8" l="1"/>
  <c r="M264" i="8"/>
  <c r="N264" i="8"/>
  <c r="N263" i="8" l="1"/>
  <c r="L263" i="8"/>
  <c r="M263" i="8"/>
  <c r="M328" i="8" l="1"/>
  <c r="L328" i="8"/>
  <c r="N328" i="8"/>
  <c r="M248" i="8" l="1"/>
  <c r="N248" i="8"/>
  <c r="L248" i="8"/>
  <c r="L330" i="8" l="1"/>
  <c r="M330" i="8"/>
  <c r="N330" i="8"/>
  <c r="M273" i="8" l="1"/>
  <c r="L273" i="8"/>
  <c r="N273" i="8"/>
  <c r="N285" i="8" l="1"/>
  <c r="M285" i="8"/>
  <c r="L285" i="8"/>
  <c r="L267" i="8" l="1"/>
  <c r="M267" i="8"/>
  <c r="N267" i="8"/>
  <c r="M334" i="8" l="1"/>
  <c r="L334" i="8"/>
  <c r="N334" i="8"/>
  <c r="L271" i="8" l="1"/>
  <c r="N271" i="8"/>
  <c r="M271" i="8"/>
  <c r="M272" i="8" l="1"/>
  <c r="N272" i="8"/>
  <c r="L272" i="8"/>
  <c r="L2678" i="8" l="1"/>
  <c r="N2678" i="8"/>
  <c r="M2678" i="8"/>
  <c r="N338" i="8" l="1"/>
  <c r="L338" i="8"/>
  <c r="M338" i="8"/>
  <c r="N274" i="8" l="1"/>
  <c r="L274" i="8"/>
  <c r="M274" i="8"/>
  <c r="N278" i="8" l="1"/>
  <c r="L278" i="8"/>
  <c r="M278" i="8"/>
  <c r="N282" i="8" l="1"/>
  <c r="M282" i="8"/>
  <c r="L282" i="8"/>
  <c r="L288" i="8" l="1"/>
  <c r="M288" i="8"/>
  <c r="N288" i="8"/>
  <c r="L283" i="8" l="1"/>
  <c r="N283" i="8"/>
  <c r="M283" i="8"/>
  <c r="M286" i="8" l="1"/>
  <c r="N286" i="8"/>
  <c r="L286" i="8"/>
  <c r="L249" i="8" l="1"/>
  <c r="N249" i="8"/>
  <c r="M249" i="8"/>
  <c r="L294" i="8" l="1"/>
  <c r="N294" i="8"/>
  <c r="M294" i="8"/>
  <c r="M289" i="8" l="1"/>
  <c r="N289" i="8"/>
  <c r="L289" i="8"/>
  <c r="L284" i="8" l="1"/>
  <c r="N284" i="8"/>
  <c r="M284" i="8"/>
  <c r="N349" i="8" l="1"/>
  <c r="L349" i="8"/>
  <c r="M349" i="8"/>
  <c r="L3374" i="8" l="1"/>
  <c r="N3374" i="8"/>
  <c r="M3374" i="8"/>
  <c r="M3381" i="8" l="1"/>
  <c r="L3381" i="8"/>
  <c r="N3381" i="8"/>
  <c r="M3096" i="8" l="1"/>
  <c r="L3096" i="8"/>
  <c r="N3096" i="8"/>
  <c r="M3201" i="8" l="1"/>
  <c r="N3201" i="8"/>
  <c r="L3201" i="8"/>
  <c r="M3119" i="8" l="1"/>
  <c r="L3119" i="8"/>
  <c r="N3119" i="8"/>
  <c r="N2694" i="8" l="1"/>
  <c r="L2694" i="8"/>
  <c r="M2694" i="8"/>
  <c r="L308" i="8" l="1"/>
  <c r="M308" i="8"/>
  <c r="N308" i="8"/>
  <c r="N291" i="8" l="1"/>
  <c r="L291" i="8"/>
  <c r="M291" i="8"/>
  <c r="L292" i="8" l="1"/>
  <c r="N292" i="8"/>
  <c r="M292" i="8"/>
  <c r="M250" i="8" l="1"/>
  <c r="L250" i="8"/>
  <c r="N250" i="8"/>
  <c r="N287" i="8" l="1"/>
  <c r="L287" i="8"/>
  <c r="M287" i="8"/>
  <c r="N299" i="8" l="1"/>
  <c r="L299" i="8"/>
  <c r="M299" i="8"/>
  <c r="M300" i="8" l="1"/>
  <c r="L300" i="8"/>
  <c r="N300" i="8"/>
  <c r="L3098" i="8" l="1"/>
  <c r="N3098" i="8"/>
  <c r="M3098" i="8"/>
  <c r="N311" i="8" l="1"/>
  <c r="L311" i="8"/>
  <c r="M311" i="8"/>
  <c r="N290" i="8" l="1"/>
  <c r="M290" i="8"/>
  <c r="L290" i="8"/>
  <c r="L312" i="8" l="1"/>
  <c r="N312" i="8"/>
  <c r="M312" i="8"/>
  <c r="N3099" i="8" l="1"/>
  <c r="L3099" i="8"/>
  <c r="M3099" i="8"/>
  <c r="L293" i="8" l="1"/>
  <c r="M293" i="8"/>
  <c r="N293" i="8"/>
  <c r="N254" i="8" l="1"/>
  <c r="L254" i="8"/>
  <c r="M254" i="8"/>
  <c r="M2787" i="8" l="1"/>
  <c r="N2787" i="8"/>
  <c r="L2787" i="8"/>
  <c r="L2788" i="8" l="1"/>
  <c r="N2788" i="8"/>
  <c r="M2788" i="8"/>
  <c r="M372" i="8" l="1"/>
  <c r="N372" i="8"/>
  <c r="L372" i="8"/>
  <c r="L373" i="8" l="1"/>
  <c r="N373" i="8"/>
  <c r="M373" i="8"/>
  <c r="L3123" i="8" l="1"/>
  <c r="M3123" i="8"/>
  <c r="N3123" i="8"/>
  <c r="L316" i="8" l="1"/>
  <c r="M316" i="8"/>
  <c r="N316" i="8"/>
  <c r="M376" i="8" l="1"/>
  <c r="L376" i="8"/>
  <c r="N376" i="8"/>
  <c r="N305" i="8" l="1"/>
  <c r="L305" i="8"/>
  <c r="M305" i="8"/>
  <c r="M325" i="8" l="1"/>
  <c r="N325" i="8"/>
  <c r="L325" i="8"/>
  <c r="N261" i="8" l="1"/>
  <c r="M261" i="8"/>
  <c r="L261" i="8"/>
  <c r="L331" i="8" l="1"/>
  <c r="N331" i="8"/>
  <c r="M331" i="8"/>
  <c r="M306" i="8" l="1"/>
  <c r="N306" i="8"/>
  <c r="L306" i="8"/>
  <c r="N262" i="8" l="1"/>
  <c r="L262" i="8"/>
  <c r="M262" i="8"/>
  <c r="M383" i="8" l="1"/>
  <c r="N383" i="8"/>
  <c r="L383" i="8"/>
  <c r="L302" i="8" l="1"/>
  <c r="M302" i="8"/>
  <c r="N302" i="8"/>
  <c r="L303" i="8" l="1"/>
  <c r="N303" i="8"/>
  <c r="M303" i="8"/>
  <c r="M386" i="8" l="1"/>
  <c r="N386" i="8"/>
  <c r="L386" i="8"/>
  <c r="M387" i="8" l="1"/>
  <c r="N387" i="8"/>
  <c r="L387" i="8"/>
  <c r="M266" i="8" l="1"/>
  <c r="L266" i="8"/>
  <c r="N266" i="8"/>
  <c r="N270" i="8" l="1"/>
  <c r="M270" i="8"/>
  <c r="L270" i="8"/>
  <c r="N390" i="8" l="1"/>
  <c r="M390" i="8"/>
  <c r="L390" i="8"/>
  <c r="N3105" i="8" l="1"/>
  <c r="M3105" i="8"/>
  <c r="L3105" i="8"/>
  <c r="M315" i="8" l="1"/>
  <c r="N315" i="8"/>
  <c r="L315" i="8"/>
  <c r="L393" i="8" l="1"/>
  <c r="N393" i="8"/>
  <c r="M393" i="8"/>
  <c r="L3208" i="8" l="1"/>
  <c r="M3208" i="8"/>
  <c r="N3208" i="8"/>
  <c r="L3110" i="8" l="1"/>
  <c r="M3110" i="8"/>
  <c r="N3110" i="8"/>
  <c r="N396" i="8" l="1"/>
  <c r="M396" i="8"/>
  <c r="L396" i="8"/>
  <c r="L3132" i="8" l="1"/>
  <c r="M3132" i="8"/>
  <c r="N3132" i="8"/>
  <c r="M398" i="8" l="1"/>
  <c r="L398" i="8"/>
  <c r="N398" i="8"/>
  <c r="N317" i="8" l="1"/>
  <c r="L317" i="8"/>
  <c r="M317" i="8"/>
  <c r="L279" i="8" l="1"/>
  <c r="N279" i="8"/>
  <c r="M279" i="8"/>
  <c r="L319" i="8" l="1"/>
  <c r="N319" i="8"/>
  <c r="M319" i="8"/>
  <c r="N402" i="8" l="1"/>
  <c r="L402" i="8"/>
  <c r="M402" i="8"/>
  <c r="N307" i="8" l="1"/>
  <c r="L307" i="8"/>
  <c r="M307" i="8"/>
  <c r="M404" i="8" l="1"/>
  <c r="N404" i="8"/>
  <c r="L404" i="8"/>
  <c r="N295" i="8" l="1"/>
  <c r="L295" i="8"/>
  <c r="M295" i="8"/>
  <c r="M332" i="8" l="1"/>
  <c r="L332" i="8"/>
  <c r="N332" i="8"/>
  <c r="L329" i="8" l="1"/>
  <c r="M329" i="8"/>
  <c r="N329" i="8"/>
  <c r="N408" i="8" l="1"/>
  <c r="M408" i="8"/>
  <c r="L408" i="8"/>
  <c r="N3210" i="8" l="1"/>
  <c r="L3210" i="8"/>
  <c r="M3210" i="8"/>
  <c r="M3218" i="8" l="1"/>
  <c r="L3218" i="8"/>
  <c r="N3218" i="8"/>
  <c r="M3221" i="8" l="1"/>
  <c r="N3221" i="8"/>
  <c r="L3221" i="8"/>
  <c r="L412" i="8" l="1"/>
  <c r="M412" i="8"/>
  <c r="N412" i="8"/>
  <c r="M309" i="8" l="1"/>
  <c r="N309" i="8"/>
  <c r="L309" i="8"/>
  <c r="N345" i="8" l="1"/>
  <c r="M345" i="8"/>
  <c r="L345" i="8"/>
  <c r="L353" i="8" l="1"/>
  <c r="M353" i="8"/>
  <c r="N353" i="8"/>
  <c r="M326" i="8" l="1"/>
  <c r="L326" i="8"/>
  <c r="N326" i="8"/>
  <c r="M417" i="8" l="1"/>
  <c r="N417" i="8"/>
  <c r="L417" i="8"/>
  <c r="N342" i="8" l="1"/>
  <c r="L342" i="8"/>
  <c r="M342" i="8"/>
  <c r="L419" i="8" l="1"/>
  <c r="M419" i="8"/>
  <c r="N419" i="8"/>
  <c r="L310" i="8" l="1"/>
  <c r="N310" i="8"/>
  <c r="M310" i="8"/>
  <c r="L344" i="8" l="1"/>
  <c r="N344" i="8"/>
  <c r="M344" i="8"/>
  <c r="L347" i="8" l="1"/>
  <c r="N347" i="8"/>
  <c r="M347" i="8"/>
  <c r="N2703" i="8" l="1"/>
  <c r="L2703" i="8"/>
  <c r="M2703" i="8"/>
  <c r="M359" i="8" l="1"/>
  <c r="N359" i="8"/>
  <c r="L359" i="8"/>
  <c r="N369" i="8" l="1"/>
  <c r="L369" i="8"/>
  <c r="M369" i="8"/>
  <c r="L313" i="8" l="1"/>
  <c r="N313" i="8"/>
  <c r="M313" i="8"/>
  <c r="L427" i="8" l="1"/>
  <c r="N427" i="8"/>
  <c r="M427" i="8"/>
  <c r="M428" i="8" l="1"/>
  <c r="L428" i="8"/>
  <c r="N428" i="8"/>
  <c r="N429" i="8" l="1"/>
  <c r="M429" i="8"/>
  <c r="L429" i="8"/>
  <c r="N370" i="8" l="1"/>
  <c r="M370" i="8"/>
  <c r="L370" i="8"/>
  <c r="L346" i="8" l="1"/>
  <c r="M346" i="8"/>
  <c r="N346" i="8"/>
  <c r="N2707" i="8" l="1"/>
  <c r="M2707" i="8"/>
  <c r="L2707" i="8"/>
  <c r="L355" i="8" l="1"/>
  <c r="M355" i="8"/>
  <c r="N355" i="8"/>
  <c r="L434" i="8" l="1"/>
  <c r="M434" i="8"/>
  <c r="N434" i="8"/>
  <c r="L3065" i="8" l="1"/>
  <c r="M3065" i="8"/>
  <c r="N3065" i="8"/>
  <c r="N3223" i="8" l="1"/>
  <c r="M3223" i="8"/>
  <c r="L3223" i="8"/>
  <c r="M3229" i="8" l="1"/>
  <c r="N3229" i="8"/>
  <c r="L3229" i="8"/>
  <c r="L350" i="8" l="1"/>
  <c r="N350" i="8"/>
  <c r="M350" i="8"/>
  <c r="N2800" i="8" l="1"/>
  <c r="L2800" i="8"/>
  <c r="M2800" i="8"/>
  <c r="L371" i="8" l="1"/>
  <c r="M371" i="8"/>
  <c r="N371" i="8"/>
  <c r="M321" i="8" l="1"/>
  <c r="L321" i="8"/>
  <c r="N321" i="8"/>
  <c r="N379" i="8" l="1"/>
  <c r="M379" i="8"/>
  <c r="L379" i="8"/>
  <c r="L443" i="8" l="1"/>
  <c r="N443" i="8"/>
  <c r="M443" i="8"/>
  <c r="L356" i="8" l="1"/>
  <c r="M356" i="8"/>
  <c r="N356" i="8"/>
  <c r="N382" i="8" l="1"/>
  <c r="M382" i="8"/>
  <c r="L382" i="8"/>
  <c r="M351" i="8" l="1"/>
  <c r="L351" i="8"/>
  <c r="N351" i="8"/>
  <c r="L447" i="8" l="1"/>
  <c r="N447" i="8"/>
  <c r="M447" i="8"/>
  <c r="N322" i="8" l="1"/>
  <c r="L322" i="8"/>
  <c r="M322" i="8"/>
  <c r="M388" i="8" l="1"/>
  <c r="L388" i="8"/>
  <c r="N388" i="8"/>
  <c r="M364" i="8" l="1"/>
  <c r="L364" i="8"/>
  <c r="N364" i="8"/>
  <c r="M451" i="8" l="1"/>
  <c r="L451" i="8"/>
  <c r="N451" i="8"/>
  <c r="L323" i="8" l="1"/>
  <c r="M323" i="8"/>
  <c r="N323" i="8"/>
  <c r="N3231" i="8" l="1"/>
  <c r="M3231" i="8"/>
  <c r="L3231" i="8"/>
  <c r="L327" i="8" l="1"/>
  <c r="N327" i="8"/>
  <c r="M327" i="8"/>
  <c r="N455" i="8" l="1"/>
  <c r="M455" i="8"/>
  <c r="L455" i="8"/>
  <c r="N333" i="8" l="1"/>
  <c r="L333" i="8"/>
  <c r="M333" i="8"/>
  <c r="N389" i="8" l="1"/>
  <c r="L389" i="8"/>
  <c r="M389" i="8"/>
  <c r="N335" i="8" l="1"/>
  <c r="M335" i="8"/>
  <c r="L335" i="8"/>
  <c r="M354" i="8" l="1"/>
  <c r="N354" i="8"/>
  <c r="L354" i="8"/>
  <c r="M394" i="8" l="1"/>
  <c r="L394" i="8"/>
  <c r="N394" i="8"/>
  <c r="L366" i="8" l="1"/>
  <c r="N366" i="8"/>
  <c r="M366" i="8"/>
  <c r="N462" i="8" l="1"/>
  <c r="L462" i="8"/>
  <c r="M462" i="8"/>
  <c r="N375" i="8" l="1"/>
  <c r="M375" i="8"/>
  <c r="L375" i="8"/>
  <c r="M400" i="8" l="1"/>
  <c r="N400" i="8"/>
  <c r="L400" i="8"/>
  <c r="N465" i="8" l="1"/>
  <c r="L465" i="8"/>
  <c r="M465" i="8"/>
  <c r="M3129" i="8" l="1"/>
  <c r="N3129" i="8"/>
  <c r="L3129" i="8"/>
  <c r="N378" i="8" l="1"/>
  <c r="L378" i="8"/>
  <c r="M378" i="8"/>
  <c r="L380" i="8" l="1"/>
  <c r="N380" i="8"/>
  <c r="M380" i="8"/>
  <c r="N406" i="8" l="1"/>
  <c r="L406" i="8"/>
  <c r="M406" i="8"/>
  <c r="L470" i="8" l="1"/>
  <c r="M470" i="8"/>
  <c r="N470" i="8"/>
  <c r="L2708" i="8" l="1"/>
  <c r="N2708" i="8"/>
  <c r="M2708" i="8"/>
  <c r="L472" i="8" l="1"/>
  <c r="M472" i="8"/>
  <c r="N472" i="8"/>
  <c r="L418" i="8" l="1"/>
  <c r="N418" i="8"/>
  <c r="M418" i="8"/>
  <c r="N357" i="8" l="1"/>
  <c r="M357" i="8"/>
  <c r="L357" i="8"/>
  <c r="L336" i="8" l="1"/>
  <c r="M336" i="8"/>
  <c r="N336" i="8"/>
  <c r="L3133" i="8" l="1"/>
  <c r="M3133" i="8"/>
  <c r="N3133" i="8"/>
  <c r="N477" i="8" l="1"/>
  <c r="L477" i="8"/>
  <c r="M477" i="8"/>
  <c r="L478" i="8" l="1"/>
  <c r="N478" i="8"/>
  <c r="M478" i="8"/>
  <c r="N3079" i="8" l="1"/>
  <c r="L3079" i="8"/>
  <c r="M3079" i="8"/>
  <c r="M480" i="8" l="1"/>
  <c r="L480" i="8"/>
  <c r="N480" i="8"/>
  <c r="N481" i="8" l="1"/>
  <c r="L481" i="8"/>
  <c r="M481" i="8"/>
  <c r="L337" i="8" l="1"/>
  <c r="N337" i="8"/>
  <c r="M337" i="8"/>
  <c r="M358" i="8" l="1"/>
  <c r="L358" i="8"/>
  <c r="N358" i="8"/>
  <c r="N431" i="8" l="1"/>
  <c r="M431" i="8"/>
  <c r="L431" i="8"/>
  <c r="N361" i="8" l="1"/>
  <c r="L361" i="8"/>
  <c r="M361" i="8"/>
  <c r="L362" i="8" l="1"/>
  <c r="N362" i="8"/>
  <c r="M362" i="8"/>
  <c r="N405" i="8" l="1"/>
  <c r="L405" i="8"/>
  <c r="M405" i="8"/>
  <c r="N374" i="8" l="1"/>
  <c r="M374" i="8"/>
  <c r="L374" i="8"/>
  <c r="L339" i="8" l="1"/>
  <c r="M339" i="8"/>
  <c r="N339" i="8"/>
  <c r="N433" i="8" l="1"/>
  <c r="L433" i="8"/>
  <c r="M433" i="8"/>
  <c r="N491" i="8" l="1"/>
  <c r="M491" i="8"/>
  <c r="L491" i="8"/>
  <c r="M340" i="8" l="1"/>
  <c r="L340" i="8"/>
  <c r="N340" i="8"/>
  <c r="M493" i="8" l="1"/>
  <c r="L493" i="8"/>
  <c r="N493" i="8"/>
  <c r="L341" i="8" l="1"/>
  <c r="N341" i="8"/>
  <c r="M341" i="8"/>
  <c r="L384" i="8" l="1"/>
  <c r="N384" i="8"/>
  <c r="M384" i="8"/>
  <c r="L2808" i="8" l="1"/>
  <c r="N2808" i="8"/>
  <c r="M2808" i="8"/>
  <c r="N2821" i="8" l="1"/>
  <c r="M2821" i="8"/>
  <c r="L2821" i="8"/>
  <c r="N385" i="8" l="1"/>
  <c r="L385" i="8"/>
  <c r="M385" i="8"/>
  <c r="N435" i="8" l="1"/>
  <c r="L435" i="8"/>
  <c r="M435" i="8"/>
  <c r="M343" i="8" l="1"/>
  <c r="L343" i="8"/>
  <c r="N343" i="8"/>
  <c r="L407" i="8" l="1"/>
  <c r="N407" i="8"/>
  <c r="M407" i="8"/>
  <c r="N502" i="8" l="1"/>
  <c r="L502" i="8"/>
  <c r="M502" i="8"/>
  <c r="M444" i="8" l="1"/>
  <c r="L444" i="8"/>
  <c r="N444" i="8"/>
  <c r="L392" i="8" l="1"/>
  <c r="N392" i="8"/>
  <c r="M392" i="8"/>
  <c r="M409" i="8" l="1"/>
  <c r="N409" i="8"/>
  <c r="L409" i="8"/>
  <c r="N506" i="8" l="1"/>
  <c r="M506" i="8"/>
  <c r="L506" i="8"/>
  <c r="L507" i="8" l="1"/>
  <c r="N507" i="8"/>
  <c r="M507" i="8"/>
  <c r="M508" i="8" l="1"/>
  <c r="N508" i="8"/>
  <c r="L508" i="8"/>
  <c r="N509" i="8" l="1"/>
  <c r="M509" i="8"/>
  <c r="L509" i="8"/>
  <c r="M510" i="8" l="1"/>
  <c r="L510" i="8"/>
  <c r="N510" i="8"/>
  <c r="M450" i="8" l="1"/>
  <c r="L450" i="8"/>
  <c r="N450" i="8"/>
  <c r="N410" i="8" l="1"/>
  <c r="M410" i="8"/>
  <c r="L410" i="8"/>
  <c r="M348" i="8" l="1"/>
  <c r="L348" i="8"/>
  <c r="N348" i="8"/>
  <c r="L397" i="8" l="1"/>
  <c r="N397" i="8"/>
  <c r="M397" i="8"/>
  <c r="N411" i="8" l="1"/>
  <c r="L411" i="8"/>
  <c r="M411" i="8"/>
  <c r="L352" i="8" l="1"/>
  <c r="M352" i="8"/>
  <c r="N352" i="8"/>
  <c r="M517" i="8" l="1"/>
  <c r="N517" i="8"/>
  <c r="L517" i="8"/>
  <c r="N3384" i="8" l="1"/>
  <c r="L3384" i="8"/>
  <c r="M3384" i="8"/>
  <c r="N519" i="8" l="1"/>
  <c r="L519" i="8"/>
  <c r="M519" i="8"/>
  <c r="L520" i="8" l="1"/>
  <c r="M520" i="8"/>
  <c r="N520" i="8"/>
  <c r="N521" i="8" l="1"/>
  <c r="M521" i="8"/>
  <c r="L521" i="8"/>
  <c r="M3138" i="8" l="1"/>
  <c r="L3138" i="8"/>
  <c r="N3138" i="8"/>
  <c r="N399" i="8" l="1"/>
  <c r="L399" i="8"/>
  <c r="M399" i="8"/>
  <c r="M524" i="8" l="1"/>
  <c r="N524" i="8"/>
  <c r="L524" i="8"/>
  <c r="L414" i="8" l="1"/>
  <c r="N414" i="8"/>
  <c r="M414" i="8"/>
  <c r="M415" i="8" l="1"/>
  <c r="N415" i="8"/>
  <c r="L415" i="8"/>
  <c r="N527" i="8" l="1"/>
  <c r="L527" i="8"/>
  <c r="M527" i="8"/>
  <c r="M360" i="8" l="1"/>
  <c r="N360" i="8"/>
  <c r="L360" i="8"/>
  <c r="N424" i="8" l="1"/>
  <c r="M424" i="8"/>
  <c r="L424" i="8"/>
  <c r="L401" i="8" l="1"/>
  <c r="M401" i="8"/>
  <c r="N401" i="8"/>
  <c r="N363" i="8" l="1"/>
  <c r="L363" i="8"/>
  <c r="M363" i="8"/>
  <c r="M532" i="8" l="1"/>
  <c r="N532" i="8"/>
  <c r="L532" i="8"/>
  <c r="N365" i="8" l="1"/>
  <c r="L365" i="8"/>
  <c r="M365" i="8"/>
  <c r="L425" i="8" l="1"/>
  <c r="N425" i="8"/>
  <c r="M425" i="8"/>
  <c r="M3232" i="8" l="1"/>
  <c r="N3232" i="8"/>
  <c r="L3232" i="8"/>
  <c r="M3238" i="8" l="1"/>
  <c r="N3238" i="8"/>
  <c r="L3238" i="8"/>
  <c r="M416" i="8" l="1"/>
  <c r="N416" i="8"/>
  <c r="L416" i="8"/>
  <c r="M2696" i="8" l="1"/>
  <c r="N2696" i="8"/>
  <c r="L2696" i="8"/>
  <c r="N421" i="8" l="1"/>
  <c r="M421" i="8"/>
  <c r="L421" i="8"/>
  <c r="M3134" i="8" l="1"/>
  <c r="N3134" i="8"/>
  <c r="L3134" i="8"/>
  <c r="L422" i="8" l="1"/>
  <c r="M422" i="8"/>
  <c r="N422" i="8"/>
  <c r="M542" i="8" l="1"/>
  <c r="L542" i="8"/>
  <c r="N542" i="8"/>
  <c r="L3397" i="8" l="1"/>
  <c r="N3397" i="8"/>
  <c r="M3397" i="8"/>
  <c r="L544" i="8" l="1"/>
  <c r="N544" i="8"/>
  <c r="M544" i="8"/>
  <c r="N545" i="8" l="1"/>
  <c r="L545" i="8"/>
  <c r="M545" i="8"/>
  <c r="N546" i="8" l="1"/>
  <c r="L546" i="8"/>
  <c r="M546" i="8"/>
  <c r="L430" i="8" l="1"/>
  <c r="M430" i="8"/>
  <c r="N430" i="8"/>
  <c r="L461" i="8" l="1"/>
  <c r="M461" i="8"/>
  <c r="N461" i="8"/>
  <c r="L463" i="8" l="1"/>
  <c r="M463" i="8"/>
  <c r="N463" i="8"/>
  <c r="M2711" i="8" l="1"/>
  <c r="L2711" i="8"/>
  <c r="N2711" i="8"/>
  <c r="M436" i="8" l="1"/>
  <c r="L436" i="8"/>
  <c r="N436" i="8"/>
  <c r="L3136" i="8" l="1"/>
  <c r="N3136" i="8"/>
  <c r="M3136" i="8"/>
  <c r="M438" i="8" l="1"/>
  <c r="N438" i="8"/>
  <c r="L438" i="8"/>
  <c r="L554" i="8" l="1"/>
  <c r="N554" i="8"/>
  <c r="M554" i="8"/>
  <c r="M446" i="8" l="1"/>
  <c r="N446" i="8"/>
  <c r="L446" i="8"/>
  <c r="M367" i="8" l="1"/>
  <c r="L367" i="8"/>
  <c r="N367" i="8"/>
  <c r="L467" i="8" l="1"/>
  <c r="M467" i="8"/>
  <c r="N467" i="8"/>
  <c r="L558" i="8" l="1"/>
  <c r="M558" i="8"/>
  <c r="N558" i="8"/>
  <c r="N437" i="8" l="1"/>
  <c r="L437" i="8"/>
  <c r="M437" i="8"/>
  <c r="N468" i="8" l="1"/>
  <c r="L468" i="8"/>
  <c r="M468" i="8"/>
  <c r="L368" i="8" l="1"/>
  <c r="N368" i="8"/>
  <c r="M368" i="8"/>
  <c r="L459" i="8" l="1"/>
  <c r="N459" i="8"/>
  <c r="M459" i="8"/>
  <c r="L563" i="8" l="1"/>
  <c r="N563" i="8"/>
  <c r="M563" i="8"/>
  <c r="L2702" i="8" l="1"/>
  <c r="N2702" i="8"/>
  <c r="M2702" i="8"/>
  <c r="L565" i="8" l="1"/>
  <c r="M565" i="8"/>
  <c r="N565" i="8"/>
  <c r="L566" i="8" l="1"/>
  <c r="M566" i="8"/>
  <c r="N566" i="8"/>
  <c r="L567" i="8" l="1"/>
  <c r="M567" i="8"/>
  <c r="N567" i="8"/>
  <c r="M377" i="8" l="1"/>
  <c r="L377" i="8"/>
  <c r="N377" i="8"/>
  <c r="L469" i="8" l="1"/>
  <c r="N469" i="8"/>
  <c r="M469" i="8"/>
  <c r="M381" i="8" l="1"/>
  <c r="L381" i="8"/>
  <c r="N381" i="8"/>
  <c r="M474" i="8" l="1"/>
  <c r="L474" i="8"/>
  <c r="N474" i="8"/>
  <c r="N391" i="8" l="1"/>
  <c r="L391" i="8"/>
  <c r="M391" i="8"/>
  <c r="L476" i="8" l="1"/>
  <c r="N476" i="8"/>
  <c r="M476" i="8"/>
  <c r="N483" i="8" l="1"/>
  <c r="L483" i="8"/>
  <c r="M483" i="8"/>
  <c r="N3140" i="8" l="1"/>
  <c r="M3140" i="8"/>
  <c r="L3140" i="8"/>
  <c r="N576" i="8" l="1"/>
  <c r="M576" i="8"/>
  <c r="L576" i="8"/>
  <c r="L3083" i="8" l="1"/>
  <c r="N3083" i="8"/>
  <c r="M3083" i="8"/>
  <c r="L3240" i="8" l="1"/>
  <c r="M3240" i="8"/>
  <c r="N3240" i="8"/>
  <c r="L3087" i="8" l="1"/>
  <c r="N3087" i="8"/>
  <c r="M3087" i="8"/>
  <c r="L3399" i="8" l="1"/>
  <c r="M3399" i="8"/>
  <c r="N3399" i="8"/>
  <c r="N581" i="8" l="1"/>
  <c r="M581" i="8"/>
  <c r="L581" i="8"/>
  <c r="M582" i="8" l="1"/>
  <c r="N582" i="8"/>
  <c r="L582" i="8"/>
  <c r="N583" i="8" l="1"/>
  <c r="L583" i="8"/>
  <c r="M583" i="8"/>
  <c r="L439" i="8" l="1"/>
  <c r="N439" i="8"/>
  <c r="M439" i="8"/>
  <c r="L585" i="8" l="1"/>
  <c r="M585" i="8"/>
  <c r="N585" i="8"/>
  <c r="L473" i="8" l="1"/>
  <c r="M473" i="8"/>
  <c r="N473" i="8"/>
  <c r="L485" i="8" l="1"/>
  <c r="M485" i="8"/>
  <c r="N485" i="8"/>
  <c r="N395" i="8" l="1"/>
  <c r="L395" i="8"/>
  <c r="M395" i="8"/>
  <c r="N403" i="8" l="1"/>
  <c r="L403" i="8"/>
  <c r="M403" i="8"/>
  <c r="N590" i="8" l="1"/>
  <c r="M590" i="8"/>
  <c r="L590" i="8"/>
  <c r="L591" i="8" l="1"/>
  <c r="N591" i="8"/>
  <c r="M591" i="8"/>
  <c r="N413" i="8" l="1"/>
  <c r="L413" i="8"/>
  <c r="M413" i="8"/>
  <c r="M486" i="8" l="1"/>
  <c r="N486" i="8"/>
  <c r="L486" i="8"/>
  <c r="L420" i="8" l="1"/>
  <c r="N420" i="8"/>
  <c r="M420" i="8"/>
  <c r="N423" i="8" l="1"/>
  <c r="L423" i="8"/>
  <c r="M423" i="8"/>
  <c r="M596" i="8" l="1"/>
  <c r="N596" i="8"/>
  <c r="L596" i="8"/>
  <c r="L479" i="8" l="1"/>
  <c r="M479" i="8"/>
  <c r="N479" i="8"/>
  <c r="L484" i="8" l="1"/>
  <c r="N484" i="8"/>
  <c r="M484" i="8"/>
  <c r="L426" i="8" l="1"/>
  <c r="M426" i="8"/>
  <c r="N426" i="8"/>
  <c r="N432" i="8" l="1"/>
  <c r="L432" i="8"/>
  <c r="M432" i="8"/>
  <c r="L601" i="8" l="1"/>
  <c r="M601" i="8"/>
  <c r="N601" i="8"/>
  <c r="L602" i="8" l="1"/>
  <c r="M602" i="8"/>
  <c r="N602" i="8"/>
  <c r="L488" i="8" l="1"/>
  <c r="N488" i="8"/>
  <c r="M488" i="8"/>
  <c r="N3139" i="8" l="1"/>
  <c r="L3139" i="8"/>
  <c r="M3139" i="8"/>
  <c r="N3241" i="8" l="1"/>
  <c r="M3241" i="8"/>
  <c r="L3241" i="8"/>
  <c r="L606" i="8" l="1"/>
  <c r="M606" i="8"/>
  <c r="N606" i="8"/>
  <c r="L2826" i="8" l="1"/>
  <c r="N2826" i="8"/>
  <c r="M2826" i="8"/>
  <c r="M440" i="8" l="1"/>
  <c r="L440" i="8"/>
  <c r="N440" i="8"/>
  <c r="L609" i="8" l="1"/>
  <c r="N609" i="8"/>
  <c r="M609" i="8"/>
  <c r="L442" i="8" l="1"/>
  <c r="M442" i="8"/>
  <c r="N442" i="8"/>
  <c r="M445" i="8" l="1"/>
  <c r="N445" i="8"/>
  <c r="L445" i="8"/>
  <c r="M441" i="8" l="1"/>
  <c r="N441" i="8"/>
  <c r="L441" i="8"/>
  <c r="L495" i="8" l="1"/>
  <c r="M495" i="8"/>
  <c r="N495" i="8"/>
  <c r="M449" i="8" l="1"/>
  <c r="N449" i="8"/>
  <c r="L449" i="8"/>
  <c r="N498" i="8" l="1"/>
  <c r="M498" i="8"/>
  <c r="L498" i="8"/>
  <c r="M616" i="8" l="1"/>
  <c r="L616" i="8"/>
  <c r="N616" i="8"/>
  <c r="N617" i="8" l="1"/>
  <c r="M617" i="8"/>
  <c r="L617" i="8"/>
  <c r="M448" i="8" l="1"/>
  <c r="L448" i="8"/>
  <c r="N448" i="8"/>
  <c r="L3242" i="8" l="1"/>
  <c r="M3242" i="8"/>
  <c r="N3242" i="8"/>
  <c r="N3266" i="8" l="1"/>
  <c r="M3266" i="8"/>
  <c r="L3266" i="8"/>
  <c r="L3102" i="8" l="1"/>
  <c r="N3102" i="8"/>
  <c r="M3102" i="8"/>
  <c r="N2834" i="8" l="1"/>
  <c r="M2834" i="8"/>
  <c r="L2834" i="8"/>
  <c r="M452" i="8" l="1"/>
  <c r="N452" i="8"/>
  <c r="L452" i="8"/>
  <c r="L453" i="8" l="1"/>
  <c r="M453" i="8"/>
  <c r="N453" i="8"/>
  <c r="N454" i="8" l="1"/>
  <c r="L454" i="8"/>
  <c r="M454" i="8"/>
  <c r="L490" i="8" l="1"/>
  <c r="M490" i="8"/>
  <c r="N490" i="8"/>
  <c r="L457" i="8" l="1"/>
  <c r="N457" i="8"/>
  <c r="M457" i="8"/>
  <c r="L456" i="8" l="1"/>
  <c r="M456" i="8"/>
  <c r="N456" i="8"/>
  <c r="N458" i="8" l="1"/>
  <c r="L458" i="8"/>
  <c r="M458" i="8"/>
  <c r="N3414" i="8" l="1"/>
  <c r="M3414" i="8"/>
  <c r="L3414" i="8"/>
  <c r="M631" i="8" l="1"/>
  <c r="L631" i="8"/>
  <c r="N631" i="8"/>
  <c r="N632" i="8" l="1"/>
  <c r="M632" i="8"/>
  <c r="L632" i="8"/>
  <c r="N3417" i="8" l="1"/>
  <c r="M3417" i="8"/>
  <c r="L3417" i="8"/>
  <c r="L504" i="8" l="1"/>
  <c r="M504" i="8"/>
  <c r="N504" i="8"/>
  <c r="N635" i="8" l="1"/>
  <c r="L635" i="8"/>
  <c r="M635" i="8"/>
  <c r="L636" i="8" l="1"/>
  <c r="N636" i="8"/>
  <c r="M636" i="8"/>
  <c r="N499" i="8" l="1"/>
  <c r="L499" i="8"/>
  <c r="M499" i="8"/>
  <c r="M514" i="8" l="1"/>
  <c r="L514" i="8"/>
  <c r="N514" i="8"/>
  <c r="N503" i="8" l="1"/>
  <c r="L503" i="8"/>
  <c r="M503" i="8"/>
  <c r="L460" i="8" l="1"/>
  <c r="M460" i="8"/>
  <c r="N460" i="8"/>
  <c r="L511" i="8" l="1"/>
  <c r="M511" i="8"/>
  <c r="N511" i="8"/>
  <c r="M642" i="8" l="1"/>
  <c r="N642" i="8"/>
  <c r="L642" i="8"/>
  <c r="N2720" i="8" l="1"/>
  <c r="L2720" i="8"/>
  <c r="M2720" i="8"/>
  <c r="L466" i="8" l="1"/>
  <c r="N466" i="8"/>
  <c r="M466" i="8"/>
  <c r="M3271" i="8" l="1"/>
  <c r="L3271" i="8"/>
  <c r="N3271" i="8"/>
  <c r="N3277" i="8" l="1"/>
  <c r="L3277" i="8"/>
  <c r="M3277" i="8"/>
  <c r="M518" i="8" l="1"/>
  <c r="N518" i="8"/>
  <c r="L518" i="8"/>
  <c r="N523" i="8" l="1"/>
  <c r="L523" i="8"/>
  <c r="M523" i="8"/>
  <c r="M2844" i="8" l="1"/>
  <c r="N2844" i="8"/>
  <c r="L2844" i="8"/>
  <c r="N530" i="8" l="1"/>
  <c r="M530" i="8"/>
  <c r="L530" i="8"/>
  <c r="L471" i="8" l="1"/>
  <c r="M471" i="8"/>
  <c r="N471" i="8"/>
  <c r="L537" i="8" l="1"/>
  <c r="N537" i="8"/>
  <c r="M537" i="8"/>
  <c r="N653" i="8" l="1"/>
  <c r="M653" i="8"/>
  <c r="L653" i="8"/>
  <c r="N654" i="8" l="1"/>
  <c r="L654" i="8"/>
  <c r="M654" i="8"/>
  <c r="M3421" i="8" l="1"/>
  <c r="L3421" i="8"/>
  <c r="N3421" i="8"/>
  <c r="M475" i="8" l="1"/>
  <c r="L475" i="8"/>
  <c r="N475" i="8"/>
  <c r="N482" i="8" l="1"/>
  <c r="M482" i="8"/>
  <c r="L482" i="8"/>
  <c r="N538" i="8" l="1"/>
  <c r="L538" i="8"/>
  <c r="M538" i="8"/>
  <c r="M548" i="8" l="1"/>
  <c r="L548" i="8"/>
  <c r="N548" i="8"/>
  <c r="N3141" i="8" l="1"/>
  <c r="M3141" i="8"/>
  <c r="L3141" i="8"/>
  <c r="L3278" i="8" l="1"/>
  <c r="N3278" i="8"/>
  <c r="M3278" i="8"/>
  <c r="L3103" i="8" l="1"/>
  <c r="N3103" i="8"/>
  <c r="M3103" i="8"/>
  <c r="N663" i="8" l="1"/>
  <c r="L663" i="8"/>
  <c r="M663" i="8"/>
  <c r="N2862" i="8" l="1"/>
  <c r="M2862" i="8"/>
  <c r="L2862" i="8"/>
  <c r="N539" i="8" l="1"/>
  <c r="L539" i="8"/>
  <c r="M539" i="8"/>
  <c r="L464" i="8" l="1"/>
  <c r="M464" i="8"/>
  <c r="N464" i="8"/>
  <c r="M487" i="8" l="1"/>
  <c r="N487" i="8"/>
  <c r="L487" i="8"/>
  <c r="L549" i="8" l="1"/>
  <c r="N549" i="8"/>
  <c r="M549" i="8"/>
  <c r="N669" i="8" l="1"/>
  <c r="M669" i="8"/>
  <c r="L669" i="8"/>
  <c r="L557" i="8" l="1"/>
  <c r="N557" i="8"/>
  <c r="M557" i="8"/>
  <c r="L496" i="8" l="1"/>
  <c r="N496" i="8"/>
  <c r="M496" i="8"/>
  <c r="L560" i="8" l="1"/>
  <c r="N560" i="8"/>
  <c r="M560" i="8"/>
  <c r="N673" i="8" l="1"/>
  <c r="L673" i="8"/>
  <c r="M673" i="8"/>
  <c r="N674" i="8" l="1"/>
  <c r="L674" i="8"/>
  <c r="M674" i="8"/>
  <c r="N564" i="8" l="1"/>
  <c r="M564" i="8"/>
  <c r="L564" i="8"/>
  <c r="L676" i="8" l="1"/>
  <c r="N676" i="8"/>
  <c r="M676" i="8"/>
  <c r="L677" i="8" l="1"/>
  <c r="M677" i="8"/>
  <c r="N677" i="8"/>
  <c r="N678" i="8" l="1"/>
  <c r="L678" i="8"/>
  <c r="M678" i="8"/>
  <c r="L569" i="8" l="1"/>
  <c r="M569" i="8"/>
  <c r="N569" i="8"/>
  <c r="L680" i="8" l="1"/>
  <c r="M680" i="8"/>
  <c r="N680" i="8"/>
  <c r="N540" i="8" l="1"/>
  <c r="M540" i="8"/>
  <c r="L540" i="8"/>
  <c r="M489" i="8" l="1"/>
  <c r="L489" i="8"/>
  <c r="N489" i="8"/>
  <c r="N683" i="8" l="1"/>
  <c r="M683" i="8"/>
  <c r="L683" i="8"/>
  <c r="N541" i="8" l="1"/>
  <c r="M541" i="8"/>
  <c r="L541" i="8"/>
  <c r="M492" i="8" l="1"/>
  <c r="L492" i="8"/>
  <c r="N492" i="8"/>
  <c r="N543" i="8" l="1"/>
  <c r="L543" i="8"/>
  <c r="M543" i="8"/>
  <c r="L494" i="8" l="1"/>
  <c r="M494" i="8"/>
  <c r="N494" i="8"/>
  <c r="L3279" i="8" l="1"/>
  <c r="N3279" i="8"/>
  <c r="M3279" i="8"/>
  <c r="L500" i="8" l="1"/>
  <c r="M500" i="8"/>
  <c r="N500" i="8"/>
  <c r="M690" i="8" l="1"/>
  <c r="N690" i="8"/>
  <c r="L690" i="8"/>
  <c r="L2868" i="8" l="1"/>
  <c r="M2868" i="8"/>
  <c r="N2868" i="8"/>
  <c r="L692" i="8" l="1"/>
  <c r="N692" i="8"/>
  <c r="M692" i="8"/>
  <c r="N3146" i="8" l="1"/>
  <c r="M3146" i="8"/>
  <c r="L3146" i="8"/>
  <c r="L577" i="8" l="1"/>
  <c r="M577" i="8"/>
  <c r="N577" i="8"/>
  <c r="L513" i="8" l="1"/>
  <c r="M513" i="8"/>
  <c r="N513" i="8"/>
  <c r="N696" i="8" l="1"/>
  <c r="L696" i="8"/>
  <c r="M696" i="8"/>
  <c r="N516" i="8" l="1"/>
  <c r="L516" i="8"/>
  <c r="M516" i="8"/>
  <c r="L3145" i="8" l="1"/>
  <c r="N3145" i="8"/>
  <c r="M3145" i="8"/>
  <c r="N699" i="8" l="1"/>
  <c r="M699" i="8"/>
  <c r="L699" i="8"/>
  <c r="N700" i="8" l="1"/>
  <c r="L700" i="8"/>
  <c r="M700" i="8"/>
  <c r="L579" i="8" l="1"/>
  <c r="M579" i="8"/>
  <c r="N579" i="8"/>
  <c r="L3167" i="8" l="1"/>
  <c r="M3167" i="8"/>
  <c r="N3167" i="8"/>
  <c r="L552" i="8" l="1"/>
  <c r="M552" i="8"/>
  <c r="N552" i="8"/>
  <c r="N704" i="8" l="1"/>
  <c r="M704" i="8"/>
  <c r="L704" i="8"/>
  <c r="M705" i="8" l="1"/>
  <c r="L705" i="8"/>
  <c r="N705" i="8"/>
  <c r="N706" i="8" l="1"/>
  <c r="M706" i="8"/>
  <c r="L706" i="8"/>
  <c r="L522" i="8" l="1"/>
  <c r="N522" i="8"/>
  <c r="M522" i="8"/>
  <c r="L497" i="8" l="1"/>
  <c r="M497" i="8"/>
  <c r="N497" i="8"/>
  <c r="N709" i="8" l="1"/>
  <c r="M709" i="8"/>
  <c r="L709" i="8"/>
  <c r="L528" i="8" l="1"/>
  <c r="M528" i="8"/>
  <c r="N528" i="8"/>
  <c r="M586" i="8" l="1"/>
  <c r="L586" i="8"/>
  <c r="N586" i="8"/>
  <c r="L597" i="8" l="1"/>
  <c r="M597" i="8"/>
  <c r="N597" i="8"/>
  <c r="M598" i="8" l="1"/>
  <c r="L598" i="8"/>
  <c r="N598" i="8"/>
  <c r="M501" i="8" l="1"/>
  <c r="L501" i="8"/>
  <c r="N501" i="8"/>
  <c r="L505" i="8" l="1"/>
  <c r="M505" i="8"/>
  <c r="N505" i="8"/>
  <c r="M531" i="8" l="1"/>
  <c r="N531" i="8"/>
  <c r="L531" i="8"/>
  <c r="L533" i="8" l="1"/>
  <c r="N533" i="8"/>
  <c r="M533" i="8"/>
  <c r="M621" i="8" l="1"/>
  <c r="L621" i="8"/>
  <c r="N621" i="8"/>
  <c r="M2723" i="8" l="1"/>
  <c r="N2723" i="8"/>
  <c r="L2723" i="8"/>
  <c r="N550" i="8" l="1"/>
  <c r="M550" i="8"/>
  <c r="L550" i="8"/>
  <c r="M721" i="8" l="1"/>
  <c r="L721" i="8"/>
  <c r="N721" i="8"/>
  <c r="L626" i="8" l="1"/>
  <c r="M626" i="8"/>
  <c r="N626" i="8"/>
  <c r="M637" i="8" l="1"/>
  <c r="L637" i="8"/>
  <c r="N637" i="8"/>
  <c r="M639" i="8" l="1"/>
  <c r="L639" i="8"/>
  <c r="N639" i="8"/>
  <c r="M641" i="8" l="1"/>
  <c r="N641" i="8"/>
  <c r="L641" i="8"/>
  <c r="L726" i="8" l="1"/>
  <c r="N726" i="8"/>
  <c r="M726" i="8"/>
  <c r="L727" i="8" l="1"/>
  <c r="M727" i="8"/>
  <c r="N727" i="8"/>
  <c r="L512" i="8" l="1"/>
  <c r="M512" i="8"/>
  <c r="N512" i="8"/>
  <c r="N556" i="8" l="1"/>
  <c r="L556" i="8"/>
  <c r="M556" i="8"/>
  <c r="M3104" i="8" l="1"/>
  <c r="L3104" i="8"/>
  <c r="N3104" i="8"/>
  <c r="N3111" i="8" l="1"/>
  <c r="L3111" i="8"/>
  <c r="M3111" i="8"/>
  <c r="N553" i="8" l="1"/>
  <c r="L553" i="8"/>
  <c r="M553" i="8"/>
  <c r="L555" i="8" l="1"/>
  <c r="N555" i="8"/>
  <c r="M555" i="8"/>
  <c r="L734" i="8" l="1"/>
  <c r="N734" i="8"/>
  <c r="M734" i="8"/>
  <c r="M735" i="8" l="1"/>
  <c r="L735" i="8"/>
  <c r="N735" i="8"/>
  <c r="N736" i="8" l="1"/>
  <c r="L736" i="8"/>
  <c r="M736" i="8"/>
  <c r="N658" i="8" l="1"/>
  <c r="M658" i="8"/>
  <c r="L658" i="8"/>
  <c r="L738" i="8" l="1"/>
  <c r="N738" i="8"/>
  <c r="M738" i="8"/>
  <c r="M659" i="8" l="1"/>
  <c r="L659" i="8"/>
  <c r="N659" i="8"/>
  <c r="M515" i="8" l="1"/>
  <c r="N515" i="8"/>
  <c r="L515" i="8"/>
  <c r="M561" i="8" l="1"/>
  <c r="N561" i="8"/>
  <c r="L561" i="8"/>
  <c r="M742" i="8" l="1"/>
  <c r="N742" i="8"/>
  <c r="L742" i="8"/>
  <c r="L743" i="8" l="1"/>
  <c r="M743" i="8"/>
  <c r="N743" i="8"/>
  <c r="L744" i="8" l="1"/>
  <c r="N744" i="8"/>
  <c r="M744" i="8"/>
  <c r="L3280" i="8" l="1"/>
  <c r="M3280" i="8"/>
  <c r="N3280" i="8"/>
  <c r="N3282" i="8" l="1"/>
  <c r="M3282" i="8"/>
  <c r="L3282" i="8"/>
  <c r="N747" i="8" l="1"/>
  <c r="M747" i="8"/>
  <c r="L747" i="8"/>
  <c r="L2705" i="8" l="1"/>
  <c r="M2705" i="8"/>
  <c r="N2705" i="8"/>
  <c r="L2873" i="8" l="1"/>
  <c r="M2873" i="8"/>
  <c r="N2873" i="8"/>
  <c r="L568" i="8" l="1"/>
  <c r="N568" i="8"/>
  <c r="M568" i="8"/>
  <c r="L662" i="8" l="1"/>
  <c r="M662" i="8"/>
  <c r="N662" i="8"/>
  <c r="M752" i="8" l="1"/>
  <c r="N752" i="8"/>
  <c r="L752" i="8"/>
  <c r="N753" i="8" l="1"/>
  <c r="L753" i="8"/>
  <c r="M753" i="8"/>
  <c r="L754" i="8" l="1"/>
  <c r="M754" i="8"/>
  <c r="N754" i="8"/>
  <c r="L525" i="8" l="1"/>
  <c r="N525" i="8"/>
  <c r="M525" i="8"/>
  <c r="L562" i="8" l="1"/>
  <c r="N562" i="8"/>
  <c r="M562" i="8"/>
  <c r="N757" i="8" l="1"/>
  <c r="M757" i="8"/>
  <c r="L757" i="8"/>
  <c r="L570" i="8" l="1"/>
  <c r="N570" i="8"/>
  <c r="M570" i="8"/>
  <c r="M759" i="8" l="1"/>
  <c r="N759" i="8"/>
  <c r="L759" i="8"/>
  <c r="L3437" i="8" l="1"/>
  <c r="M3437" i="8"/>
  <c r="N3437" i="8"/>
  <c r="N761" i="8" l="1"/>
  <c r="L761" i="8"/>
  <c r="M761" i="8"/>
  <c r="N526" i="8" l="1"/>
  <c r="M526" i="8"/>
  <c r="L526" i="8"/>
  <c r="M763" i="8" l="1"/>
  <c r="L763" i="8"/>
  <c r="N763" i="8"/>
  <c r="L3156" i="8" l="1"/>
  <c r="M3156" i="8"/>
  <c r="N3156" i="8"/>
  <c r="M668" i="8" l="1"/>
  <c r="L668" i="8"/>
  <c r="N668" i="8"/>
  <c r="N670" i="8" l="1"/>
  <c r="L670" i="8"/>
  <c r="M670" i="8"/>
  <c r="M529" i="8" l="1"/>
  <c r="L529" i="8"/>
  <c r="N529" i="8"/>
  <c r="L672" i="8" l="1"/>
  <c r="N672" i="8"/>
  <c r="M672" i="8"/>
  <c r="L3170" i="8" l="1"/>
  <c r="M3170" i="8"/>
  <c r="N3170" i="8"/>
  <c r="L770" i="8" l="1"/>
  <c r="N770" i="8"/>
  <c r="M770" i="8"/>
  <c r="N771" i="8" l="1"/>
  <c r="M771" i="8"/>
  <c r="L771" i="8"/>
  <c r="N772" i="8" l="1"/>
  <c r="M772" i="8"/>
  <c r="L772" i="8"/>
  <c r="N773" i="8" l="1"/>
  <c r="L773" i="8"/>
  <c r="M773" i="8"/>
  <c r="L3157" i="8" l="1"/>
  <c r="N3157" i="8"/>
  <c r="M3157" i="8"/>
  <c r="L2875" i="8" l="1"/>
  <c r="N2875" i="8"/>
  <c r="M2875" i="8"/>
  <c r="L675" i="8" l="1"/>
  <c r="N675" i="8"/>
  <c r="M675" i="8"/>
  <c r="L572" i="8" l="1"/>
  <c r="N572" i="8"/>
  <c r="M572" i="8"/>
  <c r="L679" i="8" l="1"/>
  <c r="N679" i="8"/>
  <c r="M679" i="8"/>
  <c r="M779" i="8" l="1"/>
  <c r="L779" i="8"/>
  <c r="N779" i="8"/>
  <c r="L575" i="8" l="1"/>
  <c r="M575" i="8"/>
  <c r="N575" i="8"/>
  <c r="L781" i="8" l="1"/>
  <c r="N781" i="8"/>
  <c r="M781" i="8"/>
  <c r="N694" i="8" l="1"/>
  <c r="L694" i="8"/>
  <c r="M694" i="8"/>
  <c r="N701" i="8" l="1"/>
  <c r="M701" i="8"/>
  <c r="L701" i="8"/>
  <c r="L784" i="8" l="1"/>
  <c r="M784" i="8"/>
  <c r="N784" i="8"/>
  <c r="N534" i="8" l="1"/>
  <c r="L534" i="8"/>
  <c r="M534" i="8"/>
  <c r="M786" i="8" l="1"/>
  <c r="N786" i="8"/>
  <c r="L786" i="8"/>
  <c r="N787" i="8" l="1"/>
  <c r="L787" i="8"/>
  <c r="M787" i="8"/>
  <c r="N3303" i="8" l="1"/>
  <c r="L3303" i="8"/>
  <c r="M3303" i="8"/>
  <c r="L789" i="8" l="1"/>
  <c r="M789" i="8"/>
  <c r="N789" i="8"/>
  <c r="L571" i="8" l="1"/>
  <c r="M571" i="8"/>
  <c r="N571" i="8"/>
  <c r="M588" i="8" l="1"/>
  <c r="N588" i="8"/>
  <c r="L588" i="8"/>
  <c r="L573" i="8" l="1"/>
  <c r="M573" i="8"/>
  <c r="N573" i="8"/>
  <c r="M793" i="8" l="1"/>
  <c r="L793" i="8"/>
  <c r="N793" i="8"/>
  <c r="L711" i="8" l="1"/>
  <c r="N711" i="8"/>
  <c r="M711" i="8"/>
  <c r="M535" i="8" l="1"/>
  <c r="L535" i="8"/>
  <c r="N535" i="8"/>
  <c r="N574" i="8" l="1"/>
  <c r="M574" i="8"/>
  <c r="L574" i="8"/>
  <c r="M536" i="8" l="1"/>
  <c r="N536" i="8"/>
  <c r="L536" i="8"/>
  <c r="L712" i="8" l="1"/>
  <c r="M712" i="8"/>
  <c r="N712" i="8"/>
  <c r="L589" i="8" l="1"/>
  <c r="N589" i="8"/>
  <c r="M589" i="8"/>
  <c r="N800" i="8" l="1"/>
  <c r="L800" i="8"/>
  <c r="M800" i="8"/>
  <c r="N3159" i="8" l="1"/>
  <c r="L3159" i="8"/>
  <c r="M3159" i="8"/>
  <c r="N547" i="8" l="1"/>
  <c r="L547" i="8"/>
  <c r="M547" i="8"/>
  <c r="L713" i="8" l="1"/>
  <c r="N713" i="8"/>
  <c r="M713" i="8"/>
  <c r="M804" i="8" l="1"/>
  <c r="L804" i="8"/>
  <c r="N804" i="8"/>
  <c r="L3160" i="8" l="1"/>
  <c r="N3160" i="8"/>
  <c r="M3160" i="8"/>
  <c r="N806" i="8" l="1"/>
  <c r="L806" i="8"/>
  <c r="M806" i="8"/>
  <c r="N807" i="8" l="1"/>
  <c r="L807" i="8"/>
  <c r="M807" i="8"/>
  <c r="L718" i="8" l="1"/>
  <c r="N718" i="8"/>
  <c r="M718" i="8"/>
  <c r="N580" i="8" l="1"/>
  <c r="L580" i="8"/>
  <c r="M580" i="8"/>
  <c r="L722" i="8" l="1"/>
  <c r="N722" i="8"/>
  <c r="M722" i="8"/>
  <c r="L811" i="8" l="1"/>
  <c r="M811" i="8"/>
  <c r="N811" i="8"/>
  <c r="M812" i="8" l="1"/>
  <c r="L812" i="8"/>
  <c r="N812" i="8"/>
  <c r="L3115" i="8" l="1"/>
  <c r="N3115" i="8"/>
  <c r="M3115" i="8"/>
  <c r="M3307" i="8" l="1"/>
  <c r="N3307" i="8"/>
  <c r="L3307" i="8"/>
  <c r="M3319" i="8" l="1"/>
  <c r="N3319" i="8"/>
  <c r="L3319" i="8"/>
  <c r="L2712" i="8" l="1"/>
  <c r="M2712" i="8"/>
  <c r="N2712" i="8"/>
  <c r="L817" i="8" l="1"/>
  <c r="M817" i="8"/>
  <c r="N817" i="8"/>
  <c r="M818" i="8" l="1"/>
  <c r="N818" i="8"/>
  <c r="L818" i="8"/>
  <c r="M819" i="8" l="1"/>
  <c r="L819" i="8"/>
  <c r="N819" i="8"/>
  <c r="N587" i="8" l="1"/>
  <c r="M587" i="8"/>
  <c r="L587" i="8"/>
  <c r="N821" i="8" l="1"/>
  <c r="L821" i="8"/>
  <c r="M821" i="8"/>
  <c r="L822" i="8" l="1"/>
  <c r="M822" i="8"/>
  <c r="N822" i="8"/>
  <c r="N592" i="8" l="1"/>
  <c r="L592" i="8"/>
  <c r="M592" i="8"/>
  <c r="L824" i="8" l="1"/>
  <c r="N824" i="8"/>
  <c r="M824" i="8"/>
  <c r="L825" i="8" l="1"/>
  <c r="N825" i="8"/>
  <c r="M825" i="8"/>
  <c r="N593" i="8" l="1"/>
  <c r="L593" i="8"/>
  <c r="M593" i="8"/>
  <c r="N551" i="8" l="1"/>
  <c r="M551" i="8"/>
  <c r="L551" i="8"/>
  <c r="N828" i="8" l="1"/>
  <c r="M828" i="8"/>
  <c r="L828" i="8"/>
  <c r="L3321" i="8" l="1"/>
  <c r="M3321" i="8"/>
  <c r="N3321" i="8"/>
  <c r="L3121" i="8" l="1"/>
  <c r="N3121" i="8"/>
  <c r="M3121" i="8"/>
  <c r="L594" i="8" l="1"/>
  <c r="M594" i="8"/>
  <c r="N594" i="8"/>
  <c r="M2715" i="8" l="1"/>
  <c r="L2715" i="8"/>
  <c r="N2715" i="8"/>
  <c r="N723" i="8" l="1"/>
  <c r="L723" i="8"/>
  <c r="M723" i="8"/>
  <c r="M724" i="8" l="1"/>
  <c r="N724" i="8"/>
  <c r="L724" i="8"/>
  <c r="L835" i="8" l="1"/>
  <c r="N835" i="8"/>
  <c r="M835" i="8"/>
  <c r="N2730" i="8" l="1"/>
  <c r="L2730" i="8"/>
  <c r="M2730" i="8"/>
  <c r="M837" i="8" l="1"/>
  <c r="L837" i="8"/>
  <c r="N837" i="8"/>
  <c r="L603" i="8" l="1"/>
  <c r="M603" i="8"/>
  <c r="N603" i="8"/>
  <c r="L839" i="8" l="1"/>
  <c r="N839" i="8"/>
  <c r="M839" i="8"/>
  <c r="N725" i="8" l="1"/>
  <c r="M725" i="8"/>
  <c r="L725" i="8"/>
  <c r="N595" i="8" l="1"/>
  <c r="L595" i="8"/>
  <c r="M595" i="8"/>
  <c r="L599" i="8" l="1"/>
  <c r="M599" i="8"/>
  <c r="N599" i="8"/>
  <c r="M843" i="8" l="1"/>
  <c r="L843" i="8"/>
  <c r="N843" i="8"/>
  <c r="M730" i="8" l="1"/>
  <c r="L730" i="8"/>
  <c r="N730" i="8"/>
  <c r="L559" i="8" l="1"/>
  <c r="M559" i="8"/>
  <c r="N559" i="8"/>
  <c r="L846" i="8" l="1"/>
  <c r="M846" i="8"/>
  <c r="N846" i="8"/>
  <c r="N847" i="8" l="1"/>
  <c r="M847" i="8"/>
  <c r="L847" i="8"/>
  <c r="L848" i="8" l="1"/>
  <c r="N848" i="8"/>
  <c r="M848" i="8"/>
  <c r="L849" i="8" l="1"/>
  <c r="N849" i="8"/>
  <c r="M849" i="8"/>
  <c r="M604" i="8" l="1"/>
  <c r="L604" i="8"/>
  <c r="N604" i="8"/>
  <c r="L578" i="8" l="1"/>
  <c r="M578" i="8"/>
  <c r="N578" i="8"/>
  <c r="L3171" i="8" l="1"/>
  <c r="M3171" i="8"/>
  <c r="N3171" i="8"/>
  <c r="L731" i="8" l="1"/>
  <c r="N731" i="8"/>
  <c r="M731" i="8"/>
  <c r="N854" i="8" l="1"/>
  <c r="L854" i="8"/>
  <c r="M854" i="8"/>
  <c r="L855" i="8" l="1"/>
  <c r="N855" i="8"/>
  <c r="M855" i="8"/>
  <c r="N3126" i="8" l="1"/>
  <c r="L3126" i="8"/>
  <c r="M3126" i="8"/>
  <c r="N857" i="8" l="1"/>
  <c r="M857" i="8"/>
  <c r="L857" i="8"/>
  <c r="L600" i="8" l="1"/>
  <c r="M600" i="8"/>
  <c r="N600" i="8"/>
  <c r="N584" i="8" l="1"/>
  <c r="L584" i="8"/>
  <c r="M584" i="8"/>
  <c r="L612" i="8" l="1"/>
  <c r="N612" i="8"/>
  <c r="M612" i="8"/>
  <c r="M618" i="8" l="1"/>
  <c r="N618" i="8"/>
  <c r="L618" i="8"/>
  <c r="N613" i="8" l="1"/>
  <c r="M613" i="8"/>
  <c r="L613" i="8"/>
  <c r="N737" i="8" l="1"/>
  <c r="L737" i="8"/>
  <c r="M737" i="8"/>
  <c r="L605" i="8" l="1"/>
  <c r="M605" i="8"/>
  <c r="N605" i="8"/>
  <c r="M865" i="8" l="1"/>
  <c r="N865" i="8"/>
  <c r="L865" i="8"/>
  <c r="M866" i="8" l="1"/>
  <c r="L866" i="8"/>
  <c r="N866" i="8"/>
  <c r="L867" i="8" l="1"/>
  <c r="N867" i="8"/>
  <c r="M867" i="8"/>
  <c r="N623" i="8" l="1"/>
  <c r="L623" i="8"/>
  <c r="M623" i="8"/>
  <c r="M739" i="8" l="1"/>
  <c r="L739" i="8"/>
  <c r="N739" i="8"/>
  <c r="L3130" i="8" l="1"/>
  <c r="N3130" i="8"/>
  <c r="M3130" i="8"/>
  <c r="L2739" i="8" l="1"/>
  <c r="N2739" i="8"/>
  <c r="M2739" i="8"/>
  <c r="N3143" i="8" l="1"/>
  <c r="L3143" i="8"/>
  <c r="M3143" i="8"/>
  <c r="L625" i="8" l="1"/>
  <c r="N625" i="8"/>
  <c r="M625" i="8"/>
  <c r="L2885" i="8" l="1"/>
  <c r="M2885" i="8"/>
  <c r="N2885" i="8"/>
  <c r="N628" i="8" l="1"/>
  <c r="M628" i="8"/>
  <c r="L628" i="8"/>
  <c r="N748" i="8" l="1"/>
  <c r="M748" i="8"/>
  <c r="L748" i="8"/>
  <c r="M877" i="8" l="1"/>
  <c r="L877" i="8"/>
  <c r="N877" i="8"/>
  <c r="L629" i="8" l="1"/>
  <c r="M629" i="8"/>
  <c r="N629" i="8"/>
  <c r="L615" i="8" l="1"/>
  <c r="N615" i="8"/>
  <c r="M615" i="8"/>
  <c r="L751" i="8" l="1"/>
  <c r="M751" i="8"/>
  <c r="N751" i="8"/>
  <c r="L630" i="8" l="1"/>
  <c r="M630" i="8"/>
  <c r="N630" i="8"/>
  <c r="M3192" i="8" l="1"/>
  <c r="L3192" i="8"/>
  <c r="N3192" i="8"/>
  <c r="L2744" i="8" l="1"/>
  <c r="N2744" i="8"/>
  <c r="M2744" i="8"/>
  <c r="L633" i="8" l="1"/>
  <c r="N633" i="8"/>
  <c r="M633" i="8"/>
  <c r="L607" i="8" l="1"/>
  <c r="M607" i="8"/>
  <c r="N607" i="8"/>
  <c r="N886" i="8" l="1"/>
  <c r="M886" i="8"/>
  <c r="L886" i="8"/>
  <c r="L765" i="8" l="1"/>
  <c r="M765" i="8"/>
  <c r="N765" i="8"/>
  <c r="N643" i="8" l="1"/>
  <c r="L643" i="8"/>
  <c r="M643" i="8"/>
  <c r="L766" i="8" l="1"/>
  <c r="N766" i="8"/>
  <c r="M766" i="8"/>
  <c r="L644" i="8" l="1"/>
  <c r="N644" i="8"/>
  <c r="M644" i="8"/>
  <c r="N891" i="8" l="1"/>
  <c r="L891" i="8"/>
  <c r="M891" i="8"/>
  <c r="M892" i="8" l="1"/>
  <c r="L892" i="8"/>
  <c r="N892" i="8"/>
  <c r="M634" i="8" l="1"/>
  <c r="N634" i="8"/>
  <c r="L634" i="8"/>
  <c r="L894" i="8" l="1"/>
  <c r="M894" i="8"/>
  <c r="N894" i="8"/>
  <c r="L768" i="8" l="1"/>
  <c r="N768" i="8"/>
  <c r="M768" i="8"/>
  <c r="N3327" i="8" l="1"/>
  <c r="L3327" i="8"/>
  <c r="M3327" i="8"/>
  <c r="M651" i="8" l="1"/>
  <c r="L651" i="8"/>
  <c r="N651" i="8"/>
  <c r="L3172" i="8" l="1"/>
  <c r="M3172" i="8"/>
  <c r="N3172" i="8"/>
  <c r="N2716" i="8" l="1"/>
  <c r="L2716" i="8"/>
  <c r="M2716" i="8"/>
  <c r="N900" i="8" l="1"/>
  <c r="L900" i="8"/>
  <c r="M900" i="8"/>
  <c r="L901" i="8" l="1"/>
  <c r="M901" i="8"/>
  <c r="N901" i="8"/>
  <c r="L638" i="8" l="1"/>
  <c r="M638" i="8"/>
  <c r="N638" i="8"/>
  <c r="L903" i="8" l="1"/>
  <c r="M903" i="8"/>
  <c r="N903" i="8"/>
  <c r="L647" i="8" l="1"/>
  <c r="M647" i="8"/>
  <c r="N647" i="8"/>
  <c r="N905" i="8" l="1"/>
  <c r="L905" i="8"/>
  <c r="M905" i="8"/>
  <c r="N648" i="8" l="1"/>
  <c r="L648" i="8"/>
  <c r="M648" i="8"/>
  <c r="L650" i="8" l="1"/>
  <c r="M650" i="8"/>
  <c r="N650" i="8"/>
  <c r="L608" i="8" l="1"/>
  <c r="N608" i="8"/>
  <c r="M608" i="8"/>
  <c r="L656" i="8" l="1"/>
  <c r="N656" i="8"/>
  <c r="M656" i="8"/>
  <c r="M910" i="8" l="1"/>
  <c r="L910" i="8"/>
  <c r="N910" i="8"/>
  <c r="L911" i="8" l="1"/>
  <c r="N911" i="8"/>
  <c r="M911" i="8"/>
  <c r="L912" i="8" l="1"/>
  <c r="N912" i="8"/>
  <c r="M912" i="8"/>
  <c r="M657" i="8" l="1"/>
  <c r="N657" i="8"/>
  <c r="L657" i="8"/>
  <c r="M914" i="8" l="1"/>
  <c r="L914" i="8"/>
  <c r="N914" i="8"/>
  <c r="L915" i="8" l="1"/>
  <c r="N915" i="8"/>
  <c r="M915" i="8"/>
  <c r="L2886" i="8" l="1"/>
  <c r="M2886" i="8"/>
  <c r="N2886" i="8"/>
  <c r="L776" i="8" l="1"/>
  <c r="N776" i="8"/>
  <c r="M776" i="8"/>
  <c r="N652" i="8" l="1"/>
  <c r="M652" i="8"/>
  <c r="L652" i="8"/>
  <c r="N778" i="8" l="1"/>
  <c r="M778" i="8"/>
  <c r="L778" i="8"/>
  <c r="L920" i="8" l="1"/>
  <c r="N920" i="8"/>
  <c r="M920" i="8"/>
  <c r="L610" i="8" l="1"/>
  <c r="N610" i="8"/>
  <c r="M610" i="8"/>
  <c r="L782" i="8" l="1"/>
  <c r="M782" i="8"/>
  <c r="N782" i="8"/>
  <c r="N655" i="8" l="1"/>
  <c r="L655" i="8"/>
  <c r="M655" i="8"/>
  <c r="L924" i="8" l="1"/>
  <c r="N924" i="8"/>
  <c r="M924" i="8"/>
  <c r="L660" i="8" l="1"/>
  <c r="M660" i="8"/>
  <c r="N660" i="8"/>
  <c r="N682" i="8" l="1"/>
  <c r="L682" i="8"/>
  <c r="M682" i="8"/>
  <c r="N665" i="8" l="1"/>
  <c r="L665" i="8"/>
  <c r="M665" i="8"/>
  <c r="M928" i="8" l="1"/>
  <c r="L928" i="8"/>
  <c r="N928" i="8"/>
  <c r="L681" i="8" l="1"/>
  <c r="M681" i="8"/>
  <c r="N681" i="8"/>
  <c r="L783" i="8" l="1"/>
  <c r="N783" i="8"/>
  <c r="M783" i="8"/>
  <c r="L684" i="8" l="1"/>
  <c r="N684" i="8"/>
  <c r="M684" i="8"/>
  <c r="N794" i="8" l="1"/>
  <c r="L794" i="8"/>
  <c r="M794" i="8"/>
  <c r="L611" i="8" l="1"/>
  <c r="N611" i="8"/>
  <c r="M611" i="8"/>
  <c r="L798" i="8" l="1"/>
  <c r="M798" i="8"/>
  <c r="N798" i="8"/>
  <c r="L3193" i="8" l="1"/>
  <c r="N3193" i="8"/>
  <c r="M3193" i="8"/>
  <c r="L686" i="8" l="1"/>
  <c r="M686" i="8"/>
  <c r="N686" i="8"/>
  <c r="L693" i="8" l="1"/>
  <c r="M693" i="8"/>
  <c r="N693" i="8"/>
  <c r="N938" i="8" l="1"/>
  <c r="M938" i="8"/>
  <c r="L938" i="8"/>
  <c r="M3331" i="8" l="1"/>
  <c r="N3331" i="8"/>
  <c r="L3331" i="8"/>
  <c r="N940" i="8" l="1"/>
  <c r="L940" i="8"/>
  <c r="M940" i="8"/>
  <c r="L2912" i="8" l="1"/>
  <c r="N2912" i="8"/>
  <c r="M2912" i="8"/>
  <c r="L703" i="8" l="1"/>
  <c r="M703" i="8"/>
  <c r="N703" i="8"/>
  <c r="L943" i="8" l="1"/>
  <c r="M943" i="8"/>
  <c r="N943" i="8"/>
  <c r="N944" i="8" l="1"/>
  <c r="L944" i="8"/>
  <c r="M944" i="8"/>
  <c r="N685" i="8" l="1"/>
  <c r="L685" i="8"/>
  <c r="M685" i="8"/>
  <c r="L3195" i="8" l="1"/>
  <c r="M3195" i="8"/>
  <c r="N3195" i="8"/>
  <c r="M947" i="8" l="1"/>
  <c r="N947" i="8"/>
  <c r="L947" i="8"/>
  <c r="L948" i="8" l="1"/>
  <c r="N948" i="8"/>
  <c r="M948" i="8"/>
  <c r="L949" i="8" l="1"/>
  <c r="M949" i="8"/>
  <c r="N949" i="8"/>
  <c r="L950" i="8" l="1"/>
  <c r="M950" i="8"/>
  <c r="N950" i="8"/>
  <c r="N951" i="8" l="1"/>
  <c r="L951" i="8"/>
  <c r="M951" i="8"/>
  <c r="M614" i="8" l="1"/>
  <c r="L614" i="8"/>
  <c r="N614" i="8"/>
  <c r="L687" i="8" l="1"/>
  <c r="M687" i="8"/>
  <c r="N687" i="8"/>
  <c r="L954" i="8" l="1"/>
  <c r="M954" i="8"/>
  <c r="N954" i="8"/>
  <c r="N3334" i="8" l="1"/>
  <c r="M3334" i="8"/>
  <c r="L3334" i="8"/>
  <c r="L689" i="8" l="1"/>
  <c r="N689" i="8"/>
  <c r="M689" i="8"/>
  <c r="M695" i="8" l="1"/>
  <c r="L695" i="8"/>
  <c r="N695" i="8"/>
  <c r="N958" i="8" l="1"/>
  <c r="L958" i="8"/>
  <c r="M958" i="8"/>
  <c r="N959" i="8" l="1"/>
  <c r="L959" i="8"/>
  <c r="M959" i="8"/>
  <c r="L732" i="8" l="1"/>
  <c r="N732" i="8"/>
  <c r="M732" i="8"/>
  <c r="M733" i="8" l="1"/>
  <c r="N733" i="8"/>
  <c r="L733" i="8"/>
  <c r="M697" i="8" l="1"/>
  <c r="N697" i="8"/>
  <c r="L697" i="8"/>
  <c r="M756" i="8" l="1"/>
  <c r="L756" i="8"/>
  <c r="N756" i="8"/>
  <c r="N3161" i="8" l="1"/>
  <c r="L3161" i="8"/>
  <c r="M3161" i="8"/>
  <c r="L803" i="8" l="1"/>
  <c r="N803" i="8"/>
  <c r="M803" i="8"/>
  <c r="L966" i="8" l="1"/>
  <c r="N966" i="8"/>
  <c r="M966" i="8"/>
  <c r="M619" i="8" l="1"/>
  <c r="N619" i="8"/>
  <c r="L619" i="8"/>
  <c r="L968" i="8" l="1"/>
  <c r="N968" i="8"/>
  <c r="M968" i="8"/>
  <c r="L760" i="8" l="1"/>
  <c r="M760" i="8"/>
  <c r="N760" i="8"/>
  <c r="N970" i="8" l="1"/>
  <c r="L970" i="8"/>
  <c r="M970" i="8"/>
  <c r="L764" i="8" l="1"/>
  <c r="M764" i="8"/>
  <c r="N764" i="8"/>
  <c r="N808" i="8" l="1"/>
  <c r="M808" i="8"/>
  <c r="L808" i="8"/>
  <c r="L774" i="8" l="1"/>
  <c r="M774" i="8"/>
  <c r="N774" i="8"/>
  <c r="L698" i="8" l="1"/>
  <c r="N698" i="8"/>
  <c r="M698" i="8"/>
  <c r="L620" i="8" l="1"/>
  <c r="M620" i="8"/>
  <c r="N620" i="8"/>
  <c r="N976" i="8" l="1"/>
  <c r="L976" i="8"/>
  <c r="M976" i="8"/>
  <c r="L3202" i="8" l="1"/>
  <c r="N3202" i="8"/>
  <c r="M3202" i="8"/>
  <c r="N790" i="8" l="1"/>
  <c r="L790" i="8"/>
  <c r="M790" i="8"/>
  <c r="N979" i="8" l="1"/>
  <c r="M979" i="8"/>
  <c r="L979" i="8"/>
  <c r="L980" i="8" l="1"/>
  <c r="N980" i="8"/>
  <c r="M980" i="8"/>
  <c r="L2745" i="8" l="1"/>
  <c r="N2745" i="8"/>
  <c r="M2745" i="8"/>
  <c r="L3340" i="8" l="1"/>
  <c r="M3340" i="8"/>
  <c r="N3340" i="8"/>
  <c r="L702" i="8" l="1"/>
  <c r="M702" i="8"/>
  <c r="N702" i="8"/>
  <c r="M984" i="8" l="1"/>
  <c r="L984" i="8"/>
  <c r="N984" i="8"/>
  <c r="N810" i="8" l="1"/>
  <c r="L810" i="8"/>
  <c r="M810" i="8"/>
  <c r="N707" i="8" l="1"/>
  <c r="M707" i="8"/>
  <c r="L707" i="8"/>
  <c r="L987" i="8" l="1"/>
  <c r="N987" i="8"/>
  <c r="M987" i="8"/>
  <c r="L622" i="8" l="1"/>
  <c r="M622" i="8"/>
  <c r="N622" i="8"/>
  <c r="N710" i="8" l="1"/>
  <c r="M710" i="8"/>
  <c r="L710" i="8"/>
  <c r="N813" i="8" l="1"/>
  <c r="L813" i="8"/>
  <c r="M813" i="8"/>
  <c r="M3205" i="8" l="1"/>
  <c r="L3205" i="8"/>
  <c r="N3205" i="8"/>
  <c r="N992" i="8" l="1"/>
  <c r="M992" i="8"/>
  <c r="L992" i="8"/>
  <c r="L792" i="8" l="1"/>
  <c r="M792" i="8"/>
  <c r="N792" i="8"/>
  <c r="N796" i="8" l="1"/>
  <c r="M796" i="8"/>
  <c r="L796" i="8"/>
  <c r="L801" i="8" l="1"/>
  <c r="N801" i="8"/>
  <c r="M801" i="8"/>
  <c r="N805" i="8" l="1"/>
  <c r="L805" i="8"/>
  <c r="M805" i="8"/>
  <c r="N809" i="8" l="1"/>
  <c r="L809" i="8"/>
  <c r="M809" i="8"/>
  <c r="L3344" i="8" l="1"/>
  <c r="M3344" i="8"/>
  <c r="N3344" i="8"/>
  <c r="M2747" i="8" l="1"/>
  <c r="N2747" i="8"/>
  <c r="L2747" i="8"/>
  <c r="M2915" i="8" l="1"/>
  <c r="L2915" i="8"/>
  <c r="N2915" i="8"/>
  <c r="N1001" i="8" l="1"/>
  <c r="M1001" i="8"/>
  <c r="L1001" i="8"/>
  <c r="L1002" i="8" l="1"/>
  <c r="N1002" i="8"/>
  <c r="M1002" i="8"/>
  <c r="N716" i="8" l="1"/>
  <c r="M716" i="8"/>
  <c r="L716" i="8"/>
  <c r="L717" i="8" l="1"/>
  <c r="M717" i="8"/>
  <c r="N717" i="8"/>
  <c r="N1005" i="8" l="1"/>
  <c r="L1005" i="8"/>
  <c r="M1005" i="8"/>
  <c r="N816" i="8" l="1"/>
  <c r="L816" i="8"/>
  <c r="M816" i="8"/>
  <c r="M1007" i="8" l="1"/>
  <c r="N1007" i="8"/>
  <c r="L1007" i="8"/>
  <c r="N1008" i="8" l="1"/>
  <c r="L1008" i="8"/>
  <c r="M1008" i="8"/>
  <c r="L624" i="8" l="1"/>
  <c r="N624" i="8"/>
  <c r="M624" i="8"/>
  <c r="L719" i="8" l="1"/>
  <c r="M719" i="8"/>
  <c r="N719" i="8"/>
  <c r="M2757" i="8" l="1"/>
  <c r="N2757" i="8"/>
  <c r="L2757" i="8"/>
  <c r="L627" i="8" l="1"/>
  <c r="N627" i="8"/>
  <c r="M627" i="8"/>
  <c r="M830" i="8" l="1"/>
  <c r="N830" i="8"/>
  <c r="L830" i="8"/>
  <c r="L720" i="8" l="1"/>
  <c r="N720" i="8"/>
  <c r="M720" i="8"/>
  <c r="N1015" i="8" l="1"/>
  <c r="M1015" i="8"/>
  <c r="L1015" i="8"/>
  <c r="L820" i="8" l="1"/>
  <c r="N820" i="8"/>
  <c r="M820" i="8"/>
  <c r="N1017" i="8" l="1"/>
  <c r="L1017" i="8"/>
  <c r="M1017" i="8"/>
  <c r="L1018" i="8" l="1"/>
  <c r="M1018" i="8"/>
  <c r="N1018" i="8"/>
  <c r="L832" i="8" l="1"/>
  <c r="N832" i="8"/>
  <c r="M832" i="8"/>
  <c r="L833" i="8" l="1"/>
  <c r="N833" i="8"/>
  <c r="M833" i="8"/>
  <c r="N640" i="8" l="1"/>
  <c r="M640" i="8"/>
  <c r="L640" i="8"/>
  <c r="L1022" i="8" l="1"/>
  <c r="N1022" i="8"/>
  <c r="M1022" i="8"/>
  <c r="M1023" i="8" l="1"/>
  <c r="N1023" i="8"/>
  <c r="L1023" i="8"/>
  <c r="M3350" i="8" l="1"/>
  <c r="N3350" i="8"/>
  <c r="L3350" i="8"/>
  <c r="N2725" i="8" l="1"/>
  <c r="L2725" i="8"/>
  <c r="M2725" i="8"/>
  <c r="L826" i="8" l="1"/>
  <c r="N826" i="8"/>
  <c r="M826" i="8"/>
  <c r="N1027" i="8" l="1"/>
  <c r="L1027" i="8"/>
  <c r="M1027" i="8"/>
  <c r="L1028" i="8" l="1"/>
  <c r="N1028" i="8"/>
  <c r="M1028" i="8"/>
  <c r="M1029" i="8" l="1"/>
  <c r="L1029" i="8"/>
  <c r="N1029" i="8"/>
  <c r="N3438" i="8" l="1"/>
  <c r="M3438" i="8"/>
  <c r="L3438" i="8"/>
  <c r="N834" i="8" l="1"/>
  <c r="L834" i="8"/>
  <c r="M834" i="8"/>
  <c r="L1032" i="8" l="1"/>
  <c r="N1032" i="8"/>
  <c r="M1032" i="8"/>
  <c r="L729" i="8" l="1"/>
  <c r="N729" i="8"/>
  <c r="M729" i="8"/>
  <c r="N3442" i="8" l="1"/>
  <c r="L3442" i="8"/>
  <c r="M3442" i="8"/>
  <c r="N838" i="8" l="1"/>
  <c r="L838" i="8"/>
  <c r="M838" i="8"/>
  <c r="M741" i="8" l="1"/>
  <c r="N741" i="8"/>
  <c r="L741" i="8"/>
  <c r="L645" i="8" l="1"/>
  <c r="M645" i="8"/>
  <c r="N645" i="8"/>
  <c r="N750" i="8" l="1"/>
  <c r="M750" i="8"/>
  <c r="L750" i="8"/>
  <c r="L3179" i="8" l="1"/>
  <c r="M3179" i="8"/>
  <c r="N3179" i="8"/>
  <c r="L3164" i="8" l="1"/>
  <c r="N3164" i="8"/>
  <c r="M3164" i="8"/>
  <c r="N2749" i="8" l="1"/>
  <c r="L2749" i="8"/>
  <c r="M2749" i="8"/>
  <c r="L1042" i="8" l="1"/>
  <c r="M1042" i="8"/>
  <c r="N1042" i="8"/>
  <c r="L850" i="8" l="1"/>
  <c r="M850" i="8"/>
  <c r="N850" i="8"/>
  <c r="N840" i="8" l="1"/>
  <c r="L840" i="8"/>
  <c r="M840" i="8"/>
  <c r="N844" i="8" l="1"/>
  <c r="M844" i="8"/>
  <c r="L844" i="8"/>
  <c r="N1046" i="8" l="1"/>
  <c r="M1046" i="8"/>
  <c r="L1046" i="8"/>
  <c r="L758" i="8" l="1"/>
  <c r="M758" i="8"/>
  <c r="N758" i="8"/>
  <c r="L769" i="8" l="1"/>
  <c r="N769" i="8"/>
  <c r="M769" i="8"/>
  <c r="M1049" i="8" l="1"/>
  <c r="N1049" i="8"/>
  <c r="L1049" i="8"/>
  <c r="N862" i="8" l="1"/>
  <c r="M862" i="8"/>
  <c r="L862" i="8"/>
  <c r="L777" i="8" l="1"/>
  <c r="N777" i="8"/>
  <c r="M777" i="8"/>
  <c r="L646" i="8" l="1"/>
  <c r="M646" i="8"/>
  <c r="N646" i="8"/>
  <c r="M3206" i="8" l="1"/>
  <c r="L3206" i="8"/>
  <c r="N3206" i="8"/>
  <c r="L649" i="8" l="1"/>
  <c r="N649" i="8"/>
  <c r="M649" i="8"/>
  <c r="L879" i="8" l="1"/>
  <c r="M879" i="8"/>
  <c r="N879" i="8"/>
  <c r="L1056" i="8" l="1"/>
  <c r="N1056" i="8"/>
  <c r="M1056" i="8"/>
  <c r="L1057" i="8" l="1"/>
  <c r="M1057" i="8"/>
  <c r="N1057" i="8"/>
  <c r="N780" i="8" l="1"/>
  <c r="L780" i="8"/>
  <c r="M780" i="8"/>
  <c r="L3443" i="8" l="1"/>
  <c r="M3443" i="8"/>
  <c r="N3443" i="8"/>
  <c r="N1060" i="8" l="1"/>
  <c r="M1060" i="8"/>
  <c r="L1060" i="8"/>
  <c r="N881" i="8" l="1"/>
  <c r="L881" i="8"/>
  <c r="M881" i="8"/>
  <c r="M661" i="8" l="1"/>
  <c r="N661" i="8"/>
  <c r="L661" i="8"/>
  <c r="N1063" i="8" l="1"/>
  <c r="L1063" i="8"/>
  <c r="M1063" i="8"/>
  <c r="L3353" i="8" l="1"/>
  <c r="N3353" i="8"/>
  <c r="M3353" i="8"/>
  <c r="N3186" i="8" l="1"/>
  <c r="M3186" i="8"/>
  <c r="L3186" i="8"/>
  <c r="L884" i="8" l="1"/>
  <c r="M884" i="8"/>
  <c r="N884" i="8"/>
  <c r="L1067" i="8" l="1"/>
  <c r="M1067" i="8"/>
  <c r="N1067" i="8"/>
  <c r="M2761" i="8" l="1"/>
  <c r="L2761" i="8"/>
  <c r="N2761" i="8"/>
  <c r="N853" i="8" l="1"/>
  <c r="L853" i="8"/>
  <c r="M853" i="8"/>
  <c r="N856" i="8" l="1"/>
  <c r="L856" i="8"/>
  <c r="M856" i="8"/>
  <c r="M664" i="8" l="1"/>
  <c r="L664" i="8"/>
  <c r="N664" i="8"/>
  <c r="L863" i="8" l="1"/>
  <c r="M863" i="8"/>
  <c r="N863" i="8"/>
  <c r="N666" i="8" l="1"/>
  <c r="L666" i="8"/>
  <c r="M666" i="8"/>
  <c r="M1074" i="8" l="1"/>
  <c r="L1074" i="8"/>
  <c r="N1074" i="8"/>
  <c r="L1075" i="8" l="1"/>
  <c r="N1075" i="8"/>
  <c r="M1075" i="8"/>
  <c r="N893" i="8" l="1"/>
  <c r="L893" i="8"/>
  <c r="M893" i="8"/>
  <c r="N1077" i="8" l="1"/>
  <c r="M1077" i="8"/>
  <c r="L1077" i="8"/>
  <c r="L869" i="8" l="1"/>
  <c r="M869" i="8"/>
  <c r="N869" i="8"/>
  <c r="M1079" i="8" l="1"/>
  <c r="L1079" i="8"/>
  <c r="N1079" i="8"/>
  <c r="L3358" i="8" l="1"/>
  <c r="M3358" i="8"/>
  <c r="N3358" i="8"/>
  <c r="L1081" i="8" l="1"/>
  <c r="N1081" i="8"/>
  <c r="M1081" i="8"/>
  <c r="N791" i="8" l="1"/>
  <c r="L791" i="8"/>
  <c r="M791" i="8"/>
  <c r="M2767" i="8" l="1"/>
  <c r="L2767" i="8"/>
  <c r="N2767" i="8"/>
  <c r="L902" i="8" l="1"/>
  <c r="M902" i="8"/>
  <c r="N902" i="8"/>
  <c r="N904" i="8" l="1"/>
  <c r="M904" i="8"/>
  <c r="L904" i="8"/>
  <c r="N799" i="8" l="1"/>
  <c r="L799" i="8"/>
  <c r="M799" i="8"/>
  <c r="L1087" i="8" l="1"/>
  <c r="N1087" i="8"/>
  <c r="M1087" i="8"/>
  <c r="N1088" i="8" l="1"/>
  <c r="L1088" i="8"/>
  <c r="M1088" i="8"/>
  <c r="L823" i="8" l="1"/>
  <c r="M823" i="8"/>
  <c r="N823" i="8"/>
  <c r="N1090" i="8" l="1"/>
  <c r="M1090" i="8"/>
  <c r="L1090" i="8"/>
  <c r="N831" i="8" l="1"/>
  <c r="L831" i="8"/>
  <c r="M831" i="8"/>
  <c r="M870" i="8" l="1"/>
  <c r="N870" i="8"/>
  <c r="L870" i="8"/>
  <c r="M1093" i="8" l="1"/>
  <c r="L1093" i="8"/>
  <c r="N1093" i="8"/>
  <c r="L3212" i="8" l="1"/>
  <c r="N3212" i="8"/>
  <c r="M3212" i="8"/>
  <c r="N836" i="8" l="1"/>
  <c r="L836" i="8"/>
  <c r="M836" i="8"/>
  <c r="M1096" i="8" l="1"/>
  <c r="N1096" i="8"/>
  <c r="L1096" i="8"/>
  <c r="L1097" i="8" l="1"/>
  <c r="M1097" i="8"/>
  <c r="N1097" i="8"/>
  <c r="M1098" i="8" l="1"/>
  <c r="N1098" i="8"/>
  <c r="L1098" i="8"/>
  <c r="L841" i="8" l="1"/>
  <c r="N841" i="8"/>
  <c r="M841" i="8"/>
  <c r="N872" i="8" l="1"/>
  <c r="L872" i="8"/>
  <c r="M872" i="8"/>
  <c r="N667" i="8" l="1"/>
  <c r="L667" i="8"/>
  <c r="M667" i="8"/>
  <c r="N671" i="8" l="1"/>
  <c r="L671" i="8"/>
  <c r="M671" i="8"/>
  <c r="M1103" i="8" l="1"/>
  <c r="L1103" i="8"/>
  <c r="N1103" i="8"/>
  <c r="N1104" i="8" l="1"/>
  <c r="L1104" i="8"/>
  <c r="M1104" i="8"/>
  <c r="L1105" i="8" l="1"/>
  <c r="M1105" i="8"/>
  <c r="N1105" i="8"/>
  <c r="N1106" i="8" l="1"/>
  <c r="L1106" i="8"/>
  <c r="M1106" i="8"/>
  <c r="L1107" i="8" l="1"/>
  <c r="N1107" i="8"/>
  <c r="M1107" i="8"/>
  <c r="N3362" i="8" l="1"/>
  <c r="M3362" i="8"/>
  <c r="L3362" i="8"/>
  <c r="L842" i="8" l="1"/>
  <c r="N842" i="8"/>
  <c r="M842" i="8"/>
  <c r="M3447" i="8" l="1"/>
  <c r="L3447" i="8"/>
  <c r="N3447" i="8"/>
  <c r="L852" i="8" l="1"/>
  <c r="N852" i="8"/>
  <c r="M852" i="8"/>
  <c r="L876" i="8" l="1"/>
  <c r="N876" i="8"/>
  <c r="M876" i="8"/>
  <c r="L1113" i="8" l="1"/>
  <c r="N1113" i="8"/>
  <c r="M1113" i="8"/>
  <c r="L880" i="8" l="1"/>
  <c r="N880" i="8"/>
  <c r="M880" i="8"/>
  <c r="N688" i="8" l="1"/>
  <c r="L688" i="8"/>
  <c r="M688" i="8"/>
  <c r="L887" i="8" l="1"/>
  <c r="N887" i="8"/>
  <c r="M887" i="8"/>
  <c r="N1117" i="8" l="1"/>
  <c r="L1117" i="8"/>
  <c r="M1117" i="8"/>
  <c r="L858" i="8" l="1"/>
  <c r="N858" i="8"/>
  <c r="M858" i="8"/>
  <c r="N860" i="8" l="1"/>
  <c r="M860" i="8"/>
  <c r="L860" i="8"/>
  <c r="N1120" i="8" l="1"/>
  <c r="M1120" i="8"/>
  <c r="L1120" i="8"/>
  <c r="L2760" i="8" l="1"/>
  <c r="N2760" i="8"/>
  <c r="M2760" i="8"/>
  <c r="L861" i="8" l="1"/>
  <c r="N861" i="8"/>
  <c r="M861" i="8"/>
  <c r="N3363" i="8" l="1"/>
  <c r="L3363" i="8"/>
  <c r="M3363" i="8"/>
  <c r="L1124" i="8" l="1"/>
  <c r="M1124" i="8"/>
  <c r="N1124" i="8"/>
  <c r="L2776" i="8" l="1"/>
  <c r="M2776" i="8"/>
  <c r="N2776" i="8"/>
  <c r="L868" i="8" l="1"/>
  <c r="N868" i="8"/>
  <c r="M868" i="8"/>
  <c r="L691" i="8" l="1"/>
  <c r="N691" i="8"/>
  <c r="M691" i="8"/>
  <c r="M708" i="8" l="1"/>
  <c r="L708" i="8"/>
  <c r="N708" i="8"/>
  <c r="L906" i="8" l="1"/>
  <c r="M906" i="8"/>
  <c r="N906" i="8"/>
  <c r="N1130" i="8" l="1"/>
  <c r="L1130" i="8"/>
  <c r="M1130" i="8"/>
  <c r="M1131" i="8" l="1"/>
  <c r="N1131" i="8"/>
  <c r="L1131" i="8"/>
  <c r="N1132" i="8" l="1"/>
  <c r="L1132" i="8"/>
  <c r="M1132" i="8"/>
  <c r="L1133" i="8" l="1"/>
  <c r="N1133" i="8"/>
  <c r="M1133" i="8"/>
  <c r="M871" i="8" l="1"/>
  <c r="N871" i="8"/>
  <c r="L871" i="8"/>
  <c r="L3176" i="8" l="1"/>
  <c r="N3176" i="8"/>
  <c r="M3176" i="8"/>
  <c r="M907" i="8" l="1"/>
  <c r="N907" i="8"/>
  <c r="L907" i="8"/>
  <c r="L3183" i="8" l="1"/>
  <c r="N3183" i="8"/>
  <c r="M3183" i="8"/>
  <c r="M918" i="8" l="1"/>
  <c r="L918" i="8"/>
  <c r="N918" i="8"/>
  <c r="M923" i="8" l="1"/>
  <c r="L923" i="8"/>
  <c r="N923" i="8"/>
  <c r="L714" i="8" l="1"/>
  <c r="N714" i="8"/>
  <c r="M714" i="8"/>
  <c r="M873" i="8" l="1"/>
  <c r="N873" i="8"/>
  <c r="L873" i="8"/>
  <c r="M1142" i="8" l="1"/>
  <c r="L1142" i="8"/>
  <c r="N1142" i="8"/>
  <c r="L1143" i="8" l="1"/>
  <c r="M1143" i="8"/>
  <c r="N1143" i="8"/>
  <c r="M889" i="8" l="1"/>
  <c r="N889" i="8"/>
  <c r="L889" i="8"/>
  <c r="M895" i="8" l="1"/>
  <c r="L895" i="8"/>
  <c r="N895" i="8"/>
  <c r="M925" i="8" l="1"/>
  <c r="L925" i="8"/>
  <c r="N925" i="8"/>
  <c r="L1147" i="8" l="1"/>
  <c r="M1147" i="8"/>
  <c r="N1147" i="8"/>
  <c r="L1148" i="8" l="1"/>
  <c r="M1148" i="8"/>
  <c r="N1148" i="8"/>
  <c r="M3194" i="8" l="1"/>
  <c r="N3194" i="8"/>
  <c r="L3194" i="8"/>
  <c r="N3198" i="8" l="1"/>
  <c r="L3198" i="8"/>
  <c r="M3198" i="8"/>
  <c r="L2780" i="8" l="1"/>
  <c r="M2780" i="8"/>
  <c r="N2780" i="8"/>
  <c r="L2920" i="8" l="1"/>
  <c r="N2920" i="8"/>
  <c r="M2920" i="8"/>
  <c r="L3215" i="8" l="1"/>
  <c r="M3215" i="8"/>
  <c r="N3215" i="8"/>
  <c r="M715" i="8" l="1"/>
  <c r="L715" i="8"/>
  <c r="N715" i="8"/>
  <c r="L728" i="8" l="1"/>
  <c r="M728" i="8"/>
  <c r="N728" i="8"/>
  <c r="M1156" i="8" l="1"/>
  <c r="N1156" i="8"/>
  <c r="L1156" i="8"/>
  <c r="M2766" i="8" l="1"/>
  <c r="L2766" i="8"/>
  <c r="N2766" i="8"/>
  <c r="M1158" i="8" l="1"/>
  <c r="L1158" i="8"/>
  <c r="N1158" i="8"/>
  <c r="N1159" i="8" l="1"/>
  <c r="L1159" i="8"/>
  <c r="M1159" i="8"/>
  <c r="L740" i="8" l="1"/>
  <c r="N740" i="8"/>
  <c r="M740" i="8"/>
  <c r="M898" i="8" l="1"/>
  <c r="L898" i="8"/>
  <c r="N898" i="8"/>
  <c r="M927" i="8" l="1"/>
  <c r="N927" i="8"/>
  <c r="L927" i="8"/>
  <c r="L875" i="8" l="1"/>
  <c r="M875" i="8"/>
  <c r="N875" i="8"/>
  <c r="M1164" i="8" l="1"/>
  <c r="L1164" i="8"/>
  <c r="N1164" i="8"/>
  <c r="N3199" i="8" l="1"/>
  <c r="M3199" i="8"/>
  <c r="L3199" i="8"/>
  <c r="L3203" i="8" l="1"/>
  <c r="M3203" i="8"/>
  <c r="N3203" i="8"/>
  <c r="M1167" i="8" l="1"/>
  <c r="L1167" i="8"/>
  <c r="N1167" i="8"/>
  <c r="L2931" i="8" l="1"/>
  <c r="N2931" i="8"/>
  <c r="M2931" i="8"/>
  <c r="M878" i="8" l="1"/>
  <c r="N878" i="8"/>
  <c r="L878" i="8"/>
  <c r="L745" i="8" l="1"/>
  <c r="M745" i="8"/>
  <c r="N745" i="8"/>
  <c r="L1171" i="8" l="1"/>
  <c r="M1171" i="8"/>
  <c r="N1171" i="8"/>
  <c r="N1172" i="8" l="1"/>
  <c r="L1172" i="8"/>
  <c r="M1172" i="8"/>
  <c r="L929" i="8" l="1"/>
  <c r="N929" i="8"/>
  <c r="M929" i="8"/>
  <c r="L746" i="8" l="1"/>
  <c r="N746" i="8"/>
  <c r="M746" i="8"/>
  <c r="N899" i="8" l="1"/>
  <c r="L899" i="8"/>
  <c r="M899" i="8"/>
  <c r="M917" i="8" l="1"/>
  <c r="L917" i="8"/>
  <c r="N917" i="8"/>
  <c r="N882" i="8" l="1"/>
  <c r="M882" i="8"/>
  <c r="L882" i="8"/>
  <c r="N1178" i="8" l="1"/>
  <c r="L1178" i="8"/>
  <c r="M1178" i="8"/>
  <c r="L883" i="8" l="1"/>
  <c r="N883" i="8"/>
  <c r="M883" i="8"/>
  <c r="L888" i="8" l="1"/>
  <c r="M888" i="8"/>
  <c r="N888" i="8"/>
  <c r="N919" i="8" l="1"/>
  <c r="M919" i="8"/>
  <c r="L919" i="8"/>
  <c r="N922" i="8" l="1"/>
  <c r="L922" i="8"/>
  <c r="M922" i="8"/>
  <c r="L749" i="8" l="1"/>
  <c r="N749" i="8"/>
  <c r="M749" i="8"/>
  <c r="L1184" i="8" l="1"/>
  <c r="N1184" i="8"/>
  <c r="M1184" i="8"/>
  <c r="L755" i="8" l="1"/>
  <c r="M755" i="8"/>
  <c r="N755" i="8"/>
  <c r="L1186" i="8" l="1"/>
  <c r="N1186" i="8"/>
  <c r="M1186" i="8"/>
  <c r="N762" i="8" l="1"/>
  <c r="M762" i="8"/>
  <c r="L762" i="8"/>
  <c r="N767" i="8" l="1"/>
  <c r="L767" i="8"/>
  <c r="M767" i="8"/>
  <c r="M1189" i="8" l="1"/>
  <c r="L1189" i="8"/>
  <c r="N1189" i="8"/>
  <c r="N931" i="8" l="1"/>
  <c r="L931" i="8"/>
  <c r="M931" i="8"/>
  <c r="M1191" i="8" l="1"/>
  <c r="N1191" i="8"/>
  <c r="L1191" i="8"/>
  <c r="N3225" i="8" l="1"/>
  <c r="M3225" i="8"/>
  <c r="L3225" i="8"/>
  <c r="L1193" i="8" l="1"/>
  <c r="N1193" i="8"/>
  <c r="M1193" i="8"/>
  <c r="M936" i="8" l="1"/>
  <c r="L936" i="8"/>
  <c r="N936" i="8"/>
  <c r="L1195" i="8" l="1"/>
  <c r="N1195" i="8"/>
  <c r="M1195" i="8"/>
  <c r="N890" i="8" l="1"/>
  <c r="M890" i="8"/>
  <c r="L890" i="8"/>
  <c r="M897" i="8" l="1"/>
  <c r="L897" i="8"/>
  <c r="N897" i="8"/>
  <c r="N937" i="8" l="1"/>
  <c r="L937" i="8"/>
  <c r="M937" i="8"/>
  <c r="N942" i="8" l="1"/>
  <c r="M942" i="8"/>
  <c r="L942" i="8"/>
  <c r="L775" i="8" l="1"/>
  <c r="N775" i="8"/>
  <c r="M775" i="8"/>
  <c r="N3456" i="8" l="1"/>
  <c r="L3456" i="8"/>
  <c r="M3456" i="8"/>
  <c r="L909" i="8" l="1"/>
  <c r="M909" i="8"/>
  <c r="N909" i="8"/>
  <c r="L930" i="8" l="1"/>
  <c r="N930" i="8"/>
  <c r="M930" i="8"/>
  <c r="L1204" i="8" l="1"/>
  <c r="M1204" i="8"/>
  <c r="N1204" i="8"/>
  <c r="L1205" i="8" l="1"/>
  <c r="N1205" i="8"/>
  <c r="M1205" i="8"/>
  <c r="N1206" i="8" l="1"/>
  <c r="M1206" i="8"/>
  <c r="L1206" i="8"/>
  <c r="L1207" i="8" l="1"/>
  <c r="N1207" i="8"/>
  <c r="M1207" i="8"/>
  <c r="M1208" i="8" l="1"/>
  <c r="N1208" i="8"/>
  <c r="L1208" i="8"/>
  <c r="N1209" i="8" l="1"/>
  <c r="M1209" i="8"/>
  <c r="L1209" i="8"/>
  <c r="L1210" i="8" l="1"/>
  <c r="N1210" i="8"/>
  <c r="M1210" i="8"/>
  <c r="N785" i="8" l="1"/>
  <c r="M785" i="8"/>
  <c r="L785" i="8"/>
  <c r="L1212" i="8" l="1"/>
  <c r="N1212" i="8"/>
  <c r="M1212" i="8"/>
  <c r="L1213" i="8" l="1"/>
  <c r="N1213" i="8"/>
  <c r="M1213" i="8"/>
  <c r="N1214" i="8" l="1"/>
  <c r="L1214" i="8"/>
  <c r="M1214" i="8"/>
  <c r="L913" i="8" l="1"/>
  <c r="N913" i="8"/>
  <c r="M913" i="8"/>
  <c r="L932" i="8" l="1"/>
  <c r="N932" i="8"/>
  <c r="M932" i="8"/>
  <c r="M788" i="8" l="1"/>
  <c r="N788" i="8"/>
  <c r="L788" i="8"/>
  <c r="N934" i="8" l="1"/>
  <c r="L934" i="8"/>
  <c r="M934" i="8"/>
  <c r="N1219" i="8" l="1"/>
  <c r="L1219" i="8"/>
  <c r="M1219" i="8"/>
  <c r="L3188" i="8" l="1"/>
  <c r="N3188" i="8"/>
  <c r="M3188" i="8"/>
  <c r="N960" i="8" l="1"/>
  <c r="L960" i="8"/>
  <c r="M960" i="8"/>
  <c r="N926" i="8" l="1"/>
  <c r="L926" i="8"/>
  <c r="M926" i="8"/>
  <c r="N1223" i="8" l="1"/>
  <c r="L1223" i="8"/>
  <c r="M1223" i="8"/>
  <c r="M965" i="8" l="1"/>
  <c r="N965" i="8"/>
  <c r="L965" i="8"/>
  <c r="M961" i="8" l="1"/>
  <c r="N961" i="8"/>
  <c r="L961" i="8"/>
  <c r="N1226" i="8" l="1"/>
  <c r="L1226" i="8"/>
  <c r="M1226" i="8"/>
  <c r="N972" i="8" l="1"/>
  <c r="L972" i="8"/>
  <c r="M972" i="8"/>
  <c r="L795" i="8" l="1"/>
  <c r="N795" i="8"/>
  <c r="M795" i="8"/>
  <c r="L1229" i="8" l="1"/>
  <c r="N1229" i="8"/>
  <c r="M1229" i="8"/>
  <c r="L985" i="8" l="1"/>
  <c r="N985" i="8"/>
  <c r="M985" i="8"/>
  <c r="L990" i="8" l="1"/>
  <c r="N990" i="8"/>
  <c r="M990" i="8"/>
  <c r="N1232" i="8" l="1"/>
  <c r="M1232" i="8"/>
  <c r="L1232" i="8"/>
  <c r="N935" i="8" l="1"/>
  <c r="L935" i="8"/>
  <c r="M935" i="8"/>
  <c r="L963" i="8" l="1"/>
  <c r="N963" i="8"/>
  <c r="M963" i="8"/>
  <c r="M2784" i="8" l="1"/>
  <c r="L2784" i="8"/>
  <c r="N2784" i="8"/>
  <c r="L945" i="8" l="1"/>
  <c r="M945" i="8"/>
  <c r="N945" i="8"/>
  <c r="L1237" i="8" l="1"/>
  <c r="N1237" i="8"/>
  <c r="M1237" i="8"/>
  <c r="M946" i="8" l="1"/>
  <c r="L946" i="8"/>
  <c r="N946" i="8"/>
  <c r="L1006" i="8" l="1"/>
  <c r="M1006" i="8"/>
  <c r="N1006" i="8"/>
  <c r="L1013" i="8" l="1"/>
  <c r="M1013" i="8"/>
  <c r="N1013" i="8"/>
  <c r="N797" i="8" l="1"/>
  <c r="L797" i="8"/>
  <c r="M797" i="8"/>
  <c r="N802" i="8" l="1"/>
  <c r="L802" i="8"/>
  <c r="M802" i="8"/>
  <c r="L953" i="8" l="1"/>
  <c r="M953" i="8"/>
  <c r="N953" i="8"/>
  <c r="L814" i="8" l="1"/>
  <c r="M814" i="8"/>
  <c r="N814" i="8"/>
  <c r="M964" i="8" l="1"/>
  <c r="L964" i="8"/>
  <c r="N964" i="8"/>
  <c r="L1019" i="8" l="1"/>
  <c r="N1019" i="8"/>
  <c r="M1019" i="8"/>
  <c r="L3246" i="8" l="1"/>
  <c r="M3246" i="8"/>
  <c r="N3246" i="8"/>
  <c r="N1248" i="8" l="1"/>
  <c r="M1248" i="8"/>
  <c r="L1248" i="8"/>
  <c r="L3375" i="8" l="1"/>
  <c r="N3375" i="8"/>
  <c r="M3375" i="8"/>
  <c r="L3377" i="8" l="1"/>
  <c r="N3377" i="8"/>
  <c r="M3377" i="8"/>
  <c r="L2770" i="8" l="1"/>
  <c r="N2770" i="8"/>
  <c r="M2770" i="8"/>
  <c r="N2933" i="8" l="1"/>
  <c r="L2933" i="8"/>
  <c r="M2933" i="8"/>
  <c r="L1253" i="8" l="1"/>
  <c r="N1253" i="8"/>
  <c r="M1253" i="8"/>
  <c r="N1254" i="8" l="1"/>
  <c r="L1254" i="8"/>
  <c r="M1254" i="8"/>
  <c r="L1255" i="8" l="1"/>
  <c r="M1255" i="8"/>
  <c r="N1255" i="8"/>
  <c r="N969" i="8" l="1"/>
  <c r="M969" i="8"/>
  <c r="L969" i="8"/>
  <c r="L1020" i="8" l="1"/>
  <c r="N1020" i="8"/>
  <c r="M1020" i="8"/>
  <c r="L956" i="8" l="1"/>
  <c r="N956" i="8"/>
  <c r="M956" i="8"/>
  <c r="N1259" i="8" l="1"/>
  <c r="L1259" i="8"/>
  <c r="M1259" i="8"/>
  <c r="M1025" i="8" l="1"/>
  <c r="N1025" i="8"/>
  <c r="L1025" i="8"/>
  <c r="L957" i="8" l="1"/>
  <c r="N957" i="8"/>
  <c r="M957" i="8"/>
  <c r="M962" i="8" l="1"/>
  <c r="N962" i="8"/>
  <c r="L962" i="8"/>
  <c r="N2772" i="8" l="1"/>
  <c r="L2772" i="8"/>
  <c r="M2772" i="8"/>
  <c r="L815" i="8" l="1"/>
  <c r="N815" i="8"/>
  <c r="M815" i="8"/>
  <c r="N1265" i="8" l="1"/>
  <c r="L1265" i="8"/>
  <c r="M1265" i="8"/>
  <c r="L1031" i="8" l="1"/>
  <c r="M1031" i="8"/>
  <c r="N1031" i="8"/>
  <c r="N827" i="8" l="1"/>
  <c r="M827" i="8"/>
  <c r="L827" i="8"/>
  <c r="L829" i="8" l="1"/>
  <c r="N829" i="8"/>
  <c r="M829" i="8"/>
  <c r="M1269" i="8" l="1"/>
  <c r="N1269" i="8"/>
  <c r="L1269" i="8"/>
  <c r="M1039" i="8" l="1"/>
  <c r="L1039" i="8"/>
  <c r="N1039" i="8"/>
  <c r="M845" i="8" l="1"/>
  <c r="N845" i="8"/>
  <c r="L845" i="8"/>
  <c r="N971" i="8" l="1"/>
  <c r="L971" i="8"/>
  <c r="M971" i="8"/>
  <c r="N3462" i="8" l="1"/>
  <c r="L3462" i="8"/>
  <c r="M3462" i="8"/>
  <c r="N3234" i="8" l="1"/>
  <c r="L3234" i="8"/>
  <c r="M3234" i="8"/>
  <c r="L974" i="8" l="1"/>
  <c r="N974" i="8"/>
  <c r="M974" i="8"/>
  <c r="M1276" i="8" l="1"/>
  <c r="L1276" i="8"/>
  <c r="N1276" i="8"/>
  <c r="L977" i="8" l="1"/>
  <c r="N977" i="8"/>
  <c r="M977" i="8"/>
  <c r="N2790" i="8" l="1"/>
  <c r="L2790" i="8"/>
  <c r="M2790" i="8"/>
  <c r="M1279" i="8" l="1"/>
  <c r="N1279" i="8"/>
  <c r="L1279" i="8"/>
  <c r="N981" i="8" l="1"/>
  <c r="M981" i="8"/>
  <c r="L981" i="8"/>
  <c r="N1281" i="8" l="1"/>
  <c r="M1281" i="8"/>
  <c r="L1281" i="8"/>
  <c r="L851" i="8" l="1"/>
  <c r="M851" i="8"/>
  <c r="N851" i="8"/>
  <c r="L1283" i="8" l="1"/>
  <c r="N1283" i="8"/>
  <c r="M1283" i="8"/>
  <c r="M1041" i="8" l="1"/>
  <c r="N1041" i="8"/>
  <c r="L1041" i="8"/>
  <c r="N1285" i="8" l="1"/>
  <c r="L1285" i="8"/>
  <c r="M1285" i="8"/>
  <c r="N1286" i="8" l="1"/>
  <c r="L1286" i="8"/>
  <c r="M1286" i="8"/>
  <c r="M1044" i="8" l="1"/>
  <c r="L1044" i="8"/>
  <c r="N1044" i="8"/>
  <c r="N1045" i="8" l="1"/>
  <c r="L1045" i="8"/>
  <c r="M1045" i="8"/>
  <c r="L973" i="8" l="1"/>
  <c r="N973" i="8"/>
  <c r="M973" i="8"/>
  <c r="N983" i="8" l="1"/>
  <c r="L983" i="8"/>
  <c r="M983" i="8"/>
  <c r="L3383" i="8" l="1"/>
  <c r="N3383" i="8"/>
  <c r="M3383" i="8"/>
  <c r="M3249" i="8" l="1"/>
  <c r="N3249" i="8"/>
  <c r="L3249" i="8"/>
  <c r="M1293" i="8" l="1"/>
  <c r="N1293" i="8"/>
  <c r="L1293" i="8"/>
  <c r="M1294" i="8" l="1"/>
  <c r="N1294" i="8"/>
  <c r="L1294" i="8"/>
  <c r="N978" i="8" l="1"/>
  <c r="L978" i="8"/>
  <c r="M978" i="8"/>
  <c r="N1065" i="8" l="1"/>
  <c r="L1065" i="8"/>
  <c r="M1065" i="8"/>
  <c r="L859" i="8" l="1"/>
  <c r="M859" i="8"/>
  <c r="N859" i="8"/>
  <c r="N1298" i="8" l="1"/>
  <c r="L1298" i="8"/>
  <c r="M1298" i="8"/>
  <c r="M993" i="8" l="1"/>
  <c r="N993" i="8"/>
  <c r="L993" i="8"/>
  <c r="N994" i="8" l="1"/>
  <c r="L994" i="8"/>
  <c r="M994" i="8"/>
  <c r="M995" i="8" l="1"/>
  <c r="L995" i="8"/>
  <c r="N995" i="8"/>
  <c r="M996" i="8" l="1"/>
  <c r="N996" i="8"/>
  <c r="L996" i="8"/>
  <c r="M864" i="8" l="1"/>
  <c r="L864" i="8"/>
  <c r="N864" i="8"/>
  <c r="L2777" i="8" l="1"/>
  <c r="M2777" i="8"/>
  <c r="N2777" i="8"/>
  <c r="N997" i="8" l="1"/>
  <c r="L997" i="8"/>
  <c r="M997" i="8"/>
  <c r="N1068" i="8" l="1"/>
  <c r="L1068" i="8"/>
  <c r="M1068" i="8"/>
  <c r="N1069" i="8" l="1"/>
  <c r="L1069" i="8"/>
  <c r="M1069" i="8"/>
  <c r="L1016" i="8" l="1"/>
  <c r="M1016" i="8"/>
  <c r="N1016" i="8"/>
  <c r="L1309" i="8" l="1"/>
  <c r="N1309" i="8"/>
  <c r="M1309" i="8"/>
  <c r="M1026" i="8" l="1"/>
  <c r="N1026" i="8"/>
  <c r="L1026" i="8"/>
  <c r="M986" i="8" l="1"/>
  <c r="N986" i="8"/>
  <c r="L986" i="8"/>
  <c r="M874" i="8" l="1"/>
  <c r="L874" i="8"/>
  <c r="N874" i="8"/>
  <c r="M1030" i="8" l="1"/>
  <c r="N1030" i="8"/>
  <c r="L1030" i="8"/>
  <c r="L1070" i="8" l="1"/>
  <c r="N1070" i="8"/>
  <c r="M1070" i="8"/>
  <c r="N1315" i="8" l="1"/>
  <c r="M1315" i="8"/>
  <c r="L1315" i="8"/>
  <c r="M1316" i="8" l="1"/>
  <c r="N1316" i="8"/>
  <c r="L1316" i="8"/>
  <c r="M3392" i="8" l="1"/>
  <c r="N3392" i="8"/>
  <c r="L3392" i="8"/>
  <c r="L1034" i="8" l="1"/>
  <c r="N1034" i="8"/>
  <c r="M1034" i="8"/>
  <c r="N2792" i="8" l="1"/>
  <c r="M2792" i="8"/>
  <c r="L2792" i="8"/>
  <c r="M1035" i="8" l="1"/>
  <c r="L1035" i="8"/>
  <c r="N1035" i="8"/>
  <c r="L1072" i="8" l="1"/>
  <c r="N1072" i="8"/>
  <c r="M1072" i="8"/>
  <c r="M1040" i="8" l="1"/>
  <c r="N1040" i="8"/>
  <c r="L1040" i="8"/>
  <c r="M885" i="8" l="1"/>
  <c r="L885" i="8"/>
  <c r="N885" i="8"/>
  <c r="L1324" i="8" l="1"/>
  <c r="M1324" i="8"/>
  <c r="N1324" i="8"/>
  <c r="M1325" i="8" l="1"/>
  <c r="L1325" i="8"/>
  <c r="N1325" i="8"/>
  <c r="L1326" i="8" l="1"/>
  <c r="N1326" i="8"/>
  <c r="M1326" i="8"/>
  <c r="L1327" i="8" l="1"/>
  <c r="N1327" i="8"/>
  <c r="M1327" i="8"/>
  <c r="N896" i="8" l="1"/>
  <c r="L896" i="8"/>
  <c r="M896" i="8"/>
  <c r="M1329" i="8" l="1"/>
  <c r="L1329" i="8"/>
  <c r="N1329" i="8"/>
  <c r="M908" i="8" l="1"/>
  <c r="N908" i="8"/>
  <c r="L908" i="8"/>
  <c r="N1331" i="8" l="1"/>
  <c r="L1331" i="8"/>
  <c r="M1331" i="8"/>
  <c r="L3237" i="8" l="1"/>
  <c r="N3237" i="8"/>
  <c r="M3237" i="8"/>
  <c r="L1043" i="8" l="1"/>
  <c r="N1043" i="8"/>
  <c r="M1043" i="8"/>
  <c r="M3394" i="8" l="1"/>
  <c r="N3394" i="8"/>
  <c r="L3394" i="8"/>
  <c r="L3468" i="8" l="1"/>
  <c r="M3468" i="8"/>
  <c r="N3468" i="8"/>
  <c r="N2936" i="8" l="1"/>
  <c r="L2936" i="8"/>
  <c r="M2936" i="8"/>
  <c r="M3255" i="8" l="1"/>
  <c r="N3255" i="8"/>
  <c r="L3255" i="8"/>
  <c r="L1078" i="8" l="1"/>
  <c r="M1078" i="8"/>
  <c r="N1078" i="8"/>
  <c r="L1339" i="8" l="1"/>
  <c r="M1339" i="8"/>
  <c r="N1339" i="8"/>
  <c r="M3258" i="8" l="1"/>
  <c r="L3258" i="8"/>
  <c r="N3258" i="8"/>
  <c r="L1341" i="8" l="1"/>
  <c r="N1341" i="8"/>
  <c r="M1341" i="8"/>
  <c r="L989" i="8" l="1"/>
  <c r="N989" i="8"/>
  <c r="M989" i="8"/>
  <c r="M916" i="8" l="1"/>
  <c r="N916" i="8"/>
  <c r="L916" i="8"/>
  <c r="M1344" i="8" l="1"/>
  <c r="L1344" i="8"/>
  <c r="N1344" i="8"/>
  <c r="N1345" i="8" l="1"/>
  <c r="L1345" i="8"/>
  <c r="M1345" i="8"/>
  <c r="M3196" i="8" l="1"/>
  <c r="N3196" i="8"/>
  <c r="L3196" i="8"/>
  <c r="N1050" i="8" l="1"/>
  <c r="M1050" i="8"/>
  <c r="L1050" i="8"/>
  <c r="L1348" i="8" l="1"/>
  <c r="M1348" i="8"/>
  <c r="N1348" i="8"/>
  <c r="M3470" i="8" l="1"/>
  <c r="N3470" i="8"/>
  <c r="L3470" i="8"/>
  <c r="L3200" i="8" l="1"/>
  <c r="M3200" i="8"/>
  <c r="N3200" i="8"/>
  <c r="L1351" i="8" l="1"/>
  <c r="M1351" i="8"/>
  <c r="N1351" i="8"/>
  <c r="L921" i="8" l="1"/>
  <c r="N921" i="8"/>
  <c r="M921" i="8"/>
  <c r="M1353" i="8" l="1"/>
  <c r="L1353" i="8"/>
  <c r="N1353" i="8"/>
  <c r="N933" i="8" l="1"/>
  <c r="L933" i="8"/>
  <c r="M933" i="8"/>
  <c r="L939" i="8" l="1"/>
  <c r="M939" i="8"/>
  <c r="N939" i="8"/>
  <c r="L1356" i="8" l="1"/>
  <c r="M1356" i="8"/>
  <c r="N1356" i="8"/>
  <c r="N1357" i="8" l="1"/>
  <c r="L1357" i="8"/>
  <c r="M1357" i="8"/>
  <c r="N1358" i="8" l="1"/>
  <c r="M1358" i="8"/>
  <c r="L1358" i="8"/>
  <c r="M3244" i="8" l="1"/>
  <c r="L3244" i="8"/>
  <c r="N3244" i="8"/>
  <c r="M1360" i="8" l="1"/>
  <c r="N1360" i="8"/>
  <c r="L1360" i="8"/>
  <c r="N2937" i="8" l="1"/>
  <c r="L2937" i="8"/>
  <c r="M2937" i="8"/>
  <c r="L991" i="8" l="1"/>
  <c r="M991" i="8"/>
  <c r="N991" i="8"/>
  <c r="L1083" i="8" l="1"/>
  <c r="N1083" i="8"/>
  <c r="M1083" i="8"/>
  <c r="L1364" i="8" l="1"/>
  <c r="N1364" i="8"/>
  <c r="M1364" i="8"/>
  <c r="N1365" i="8" l="1"/>
  <c r="L1365" i="8"/>
  <c r="M1365" i="8"/>
  <c r="L1092" i="8" l="1"/>
  <c r="M1092" i="8"/>
  <c r="N1092" i="8"/>
  <c r="N1367" i="8" l="1"/>
  <c r="L1367" i="8"/>
  <c r="M1367" i="8"/>
  <c r="M1368" i="8" l="1"/>
  <c r="N1368" i="8"/>
  <c r="L1368" i="8"/>
  <c r="M1055" i="8" l="1"/>
  <c r="L1055" i="8"/>
  <c r="N1055" i="8"/>
  <c r="L941" i="8" l="1"/>
  <c r="M941" i="8"/>
  <c r="N941" i="8"/>
  <c r="L1371" i="8" l="1"/>
  <c r="M1371" i="8"/>
  <c r="N1371" i="8"/>
  <c r="L952" i="8" l="1"/>
  <c r="N952" i="8"/>
  <c r="M952" i="8"/>
  <c r="M999" i="8" l="1"/>
  <c r="N999" i="8"/>
  <c r="L999" i="8"/>
  <c r="N1374" i="8" l="1"/>
  <c r="M1374" i="8"/>
  <c r="L1374" i="8"/>
  <c r="L3254" i="8" l="1"/>
  <c r="N3254" i="8"/>
  <c r="M3254" i="8"/>
  <c r="L1003" i="8" l="1"/>
  <c r="M1003" i="8"/>
  <c r="N1003" i="8"/>
  <c r="N1377" i="8" l="1"/>
  <c r="L1377" i="8"/>
  <c r="M1377" i="8"/>
  <c r="N1378" i="8" l="1"/>
  <c r="L1378" i="8"/>
  <c r="M1378" i="8"/>
  <c r="L955" i="8" l="1"/>
  <c r="N955" i="8"/>
  <c r="M955" i="8"/>
  <c r="L967" i="8" l="1"/>
  <c r="M967" i="8"/>
  <c r="N967" i="8"/>
  <c r="L1100" i="8" l="1"/>
  <c r="M1100" i="8"/>
  <c r="N1100" i="8"/>
  <c r="N1382" i="8" l="1"/>
  <c r="L1382" i="8"/>
  <c r="M1382" i="8"/>
  <c r="M1383" i="8" l="1"/>
  <c r="L1383" i="8"/>
  <c r="N1383" i="8"/>
  <c r="L1059" i="8" l="1"/>
  <c r="N1059" i="8"/>
  <c r="M1059" i="8"/>
  <c r="M1061" i="8" l="1"/>
  <c r="L1061" i="8"/>
  <c r="N1061" i="8"/>
  <c r="N1112" i="8" l="1"/>
  <c r="L1112" i="8"/>
  <c r="M1112" i="8"/>
  <c r="M1004" i="8" l="1"/>
  <c r="L1004" i="8"/>
  <c r="N1004" i="8"/>
  <c r="L1066" i="8" l="1"/>
  <c r="M1066" i="8"/>
  <c r="N1066" i="8"/>
  <c r="L975" i="8" l="1"/>
  <c r="N975" i="8"/>
  <c r="M975" i="8"/>
  <c r="M2779" i="8" l="1"/>
  <c r="N2779" i="8"/>
  <c r="L2779" i="8"/>
  <c r="M1076" i="8" l="1"/>
  <c r="L1076" i="8"/>
  <c r="N1076" i="8"/>
  <c r="N982" i="8" l="1"/>
  <c r="L982" i="8"/>
  <c r="M982" i="8"/>
  <c r="L1010" i="8" l="1"/>
  <c r="N1010" i="8"/>
  <c r="M1010" i="8"/>
  <c r="N3261" i="8" l="1"/>
  <c r="L3261" i="8"/>
  <c r="M3261" i="8"/>
  <c r="L1011" i="8" l="1"/>
  <c r="M1011" i="8"/>
  <c r="N1011" i="8"/>
  <c r="L1396" i="8" l="1"/>
  <c r="N1396" i="8"/>
  <c r="M1396" i="8"/>
  <c r="L1014" i="8" l="1"/>
  <c r="N1014" i="8"/>
  <c r="M1014" i="8"/>
  <c r="L1114" i="8" l="1"/>
  <c r="M1114" i="8"/>
  <c r="N1114" i="8"/>
  <c r="L1033" i="8" l="1"/>
  <c r="M1033" i="8"/>
  <c r="N1033" i="8"/>
  <c r="L3398" i="8" l="1"/>
  <c r="N3398" i="8"/>
  <c r="M3398" i="8"/>
  <c r="L1036" i="8" l="1"/>
  <c r="M1036" i="8"/>
  <c r="N1036" i="8"/>
  <c r="N1402" i="8" l="1"/>
  <c r="L1402" i="8"/>
  <c r="M1402" i="8"/>
  <c r="L1038" i="8" l="1"/>
  <c r="M1038" i="8"/>
  <c r="N1038" i="8"/>
  <c r="L1404" i="8" l="1"/>
  <c r="N1404" i="8"/>
  <c r="M1404" i="8"/>
  <c r="L1405" i="8" l="1"/>
  <c r="N1405" i="8"/>
  <c r="M1405" i="8"/>
  <c r="L1406" i="8" l="1"/>
  <c r="M1406" i="8"/>
  <c r="N1406" i="8"/>
  <c r="L1047" i="8" l="1"/>
  <c r="M1047" i="8"/>
  <c r="N1047" i="8"/>
  <c r="N1048" i="8" l="1"/>
  <c r="L1048" i="8"/>
  <c r="M1048" i="8"/>
  <c r="M1084" i="8" l="1"/>
  <c r="L1084" i="8"/>
  <c r="N1084" i="8"/>
  <c r="M1116" i="8" l="1"/>
  <c r="N1116" i="8"/>
  <c r="L1116" i="8"/>
  <c r="L988" i="8" l="1"/>
  <c r="N988" i="8"/>
  <c r="M988" i="8"/>
  <c r="M3276" i="8" l="1"/>
  <c r="L3276" i="8"/>
  <c r="N3276" i="8"/>
  <c r="L998" i="8" l="1"/>
  <c r="N998" i="8"/>
  <c r="M998" i="8"/>
  <c r="M1414" i="8" l="1"/>
  <c r="L1414" i="8"/>
  <c r="N1414" i="8"/>
  <c r="M1415" i="8" l="1"/>
  <c r="L1415" i="8"/>
  <c r="N1415" i="8"/>
  <c r="L1416" i="8" l="1"/>
  <c r="M1416" i="8"/>
  <c r="N1416" i="8"/>
  <c r="N1417" i="8" l="1"/>
  <c r="L1417" i="8"/>
  <c r="M1417" i="8"/>
  <c r="N3402" i="8" l="1"/>
  <c r="M3402" i="8"/>
  <c r="L3402" i="8"/>
  <c r="N2796" i="8" l="1"/>
  <c r="L2796" i="8"/>
  <c r="M2796" i="8"/>
  <c r="M1420" i="8" l="1"/>
  <c r="N1420" i="8"/>
  <c r="L1420" i="8"/>
  <c r="L1000" i="8" l="1"/>
  <c r="N1000" i="8"/>
  <c r="M1000" i="8"/>
  <c r="L1125" i="8" l="1"/>
  <c r="N1125" i="8"/>
  <c r="M1125" i="8"/>
  <c r="L2781" i="8" l="1"/>
  <c r="M2781" i="8"/>
  <c r="N2781" i="8"/>
  <c r="L1009" i="8" l="1"/>
  <c r="N1009" i="8"/>
  <c r="M1009" i="8"/>
  <c r="L1425" i="8" l="1"/>
  <c r="M1425" i="8"/>
  <c r="N1425" i="8"/>
  <c r="N1144" i="8" l="1"/>
  <c r="M1144" i="8"/>
  <c r="L1144" i="8"/>
  <c r="N1427" i="8" l="1"/>
  <c r="L1427" i="8"/>
  <c r="M1427" i="8"/>
  <c r="L1085" i="8" l="1"/>
  <c r="M1085" i="8"/>
  <c r="N1085" i="8"/>
  <c r="L1429" i="8" l="1"/>
  <c r="N1429" i="8"/>
  <c r="M1429" i="8"/>
  <c r="L1430" i="8" l="1"/>
  <c r="N1430" i="8"/>
  <c r="M1430" i="8"/>
  <c r="L1431" i="8" l="1"/>
  <c r="M1431" i="8"/>
  <c r="N1431" i="8"/>
  <c r="L1432" i="8" l="1"/>
  <c r="N1432" i="8"/>
  <c r="M1432" i="8"/>
  <c r="N1433" i="8" l="1"/>
  <c r="L1433" i="8"/>
  <c r="M1433" i="8"/>
  <c r="L1434" i="8" l="1"/>
  <c r="N1434" i="8"/>
  <c r="M1434" i="8"/>
  <c r="N1051" i="8" l="1"/>
  <c r="M1051" i="8"/>
  <c r="L1051" i="8"/>
  <c r="N1145" i="8" l="1"/>
  <c r="M1145" i="8"/>
  <c r="L1145" i="8"/>
  <c r="L1149" i="8" l="1"/>
  <c r="M1149" i="8"/>
  <c r="N1149" i="8"/>
  <c r="M1012" i="8" l="1"/>
  <c r="L1012" i="8"/>
  <c r="N1012" i="8"/>
  <c r="N1021" i="8" l="1"/>
  <c r="M1021" i="8"/>
  <c r="L1021" i="8"/>
  <c r="L1024" i="8" l="1"/>
  <c r="N1024" i="8"/>
  <c r="M1024" i="8"/>
  <c r="N1037" i="8" l="1"/>
  <c r="L1037" i="8"/>
  <c r="M1037" i="8"/>
  <c r="N3405" i="8" l="1"/>
  <c r="L3405" i="8"/>
  <c r="M3405" i="8"/>
  <c r="M3256" i="8" l="1"/>
  <c r="N3256" i="8"/>
  <c r="L3256" i="8"/>
  <c r="L1110" i="8" l="1"/>
  <c r="M1110" i="8"/>
  <c r="N1110" i="8"/>
  <c r="L2801" i="8" l="1"/>
  <c r="N2801" i="8"/>
  <c r="M2801" i="8"/>
  <c r="L2943" i="8" l="1"/>
  <c r="M2943" i="8"/>
  <c r="N2943" i="8"/>
  <c r="N1129" i="8" l="1"/>
  <c r="M1129" i="8"/>
  <c r="L1129" i="8"/>
  <c r="M1052" i="8" l="1"/>
  <c r="N1052" i="8"/>
  <c r="L1052" i="8"/>
  <c r="N1054" i="8" l="1"/>
  <c r="M1054" i="8"/>
  <c r="L1054" i="8"/>
  <c r="N1053" i="8" l="1"/>
  <c r="L1053" i="8"/>
  <c r="M1053" i="8"/>
  <c r="L1135" i="8" l="1"/>
  <c r="M1135" i="8"/>
  <c r="N1135" i="8"/>
  <c r="N1452" i="8" l="1"/>
  <c r="L1452" i="8"/>
  <c r="M1452" i="8"/>
  <c r="L1150" i="8" l="1"/>
  <c r="N1150" i="8"/>
  <c r="M1150" i="8"/>
  <c r="L1151" i="8" l="1"/>
  <c r="N1151" i="8"/>
  <c r="M1151" i="8"/>
  <c r="L1136" i="8" l="1"/>
  <c r="M1136" i="8"/>
  <c r="N1136" i="8"/>
  <c r="M1456" i="8" l="1"/>
  <c r="N1456" i="8"/>
  <c r="L1456" i="8"/>
  <c r="N3480" i="8" l="1"/>
  <c r="M3480" i="8"/>
  <c r="L3480" i="8"/>
  <c r="L1137" i="8" l="1"/>
  <c r="N1137" i="8"/>
  <c r="M1137" i="8"/>
  <c r="L1058" i="8" l="1"/>
  <c r="M1058" i="8"/>
  <c r="N1058" i="8"/>
  <c r="M1082" i="8" l="1"/>
  <c r="N1082" i="8"/>
  <c r="L1082" i="8"/>
  <c r="N2805" i="8" l="1"/>
  <c r="M2805" i="8"/>
  <c r="L2805" i="8"/>
  <c r="M1462" i="8" l="1"/>
  <c r="N1462" i="8"/>
  <c r="L1462" i="8"/>
  <c r="L1062" i="8" l="1"/>
  <c r="M1062" i="8"/>
  <c r="N1062" i="8"/>
  <c r="L1064" i="8" l="1"/>
  <c r="N1064" i="8"/>
  <c r="M1064" i="8"/>
  <c r="M1465" i="8" l="1"/>
  <c r="N1465" i="8"/>
  <c r="L1465" i="8"/>
  <c r="N1466" i="8" l="1"/>
  <c r="M1466" i="8"/>
  <c r="L1466" i="8"/>
  <c r="M1467" i="8" l="1"/>
  <c r="L1467" i="8"/>
  <c r="N1467" i="8"/>
  <c r="L1138" i="8" l="1"/>
  <c r="N1138" i="8"/>
  <c r="M1138" i="8"/>
  <c r="N1469" i="8" l="1"/>
  <c r="M1469" i="8"/>
  <c r="L1469" i="8"/>
  <c r="N1161" i="8" l="1"/>
  <c r="L1161" i="8"/>
  <c r="M1161" i="8"/>
  <c r="L1086" i="8" l="1"/>
  <c r="M1086" i="8"/>
  <c r="N1086" i="8"/>
  <c r="L1071" i="8" l="1"/>
  <c r="N1071" i="8"/>
  <c r="M1071" i="8"/>
  <c r="M1473" i="8" l="1"/>
  <c r="N1473" i="8"/>
  <c r="L1473" i="8"/>
  <c r="N1165" i="8" l="1"/>
  <c r="M1165" i="8"/>
  <c r="L1165" i="8"/>
  <c r="M1475" i="8" l="1"/>
  <c r="L1475" i="8"/>
  <c r="N1475" i="8"/>
  <c r="L1476" i="8" l="1"/>
  <c r="M1476" i="8"/>
  <c r="N1476" i="8"/>
  <c r="N1166" i="8" l="1"/>
  <c r="M1166" i="8"/>
  <c r="L1166" i="8"/>
  <c r="M1139" i="8" l="1"/>
  <c r="L1139" i="8"/>
  <c r="N1139" i="8"/>
  <c r="N1175" i="8" l="1"/>
  <c r="L1175" i="8"/>
  <c r="M1175" i="8"/>
  <c r="L1176" i="8" l="1"/>
  <c r="M1176" i="8"/>
  <c r="N1176" i="8"/>
  <c r="N1481" i="8" l="1"/>
  <c r="L1481" i="8"/>
  <c r="M1481" i="8"/>
  <c r="N1073" i="8" l="1"/>
  <c r="M1073" i="8"/>
  <c r="L1073" i="8"/>
  <c r="N1483" i="8" l="1"/>
  <c r="L1483" i="8"/>
  <c r="M1483" i="8"/>
  <c r="L1484" i="8" l="1"/>
  <c r="M1484" i="8"/>
  <c r="N1484" i="8"/>
  <c r="L1146" i="8" l="1"/>
  <c r="M1146" i="8"/>
  <c r="N1146" i="8"/>
  <c r="L1486" i="8" l="1"/>
  <c r="N1486" i="8"/>
  <c r="M1486" i="8"/>
  <c r="N2945" i="8" l="1"/>
  <c r="L2945" i="8"/>
  <c r="M2945" i="8"/>
  <c r="L3485" i="8" l="1"/>
  <c r="N3485" i="8"/>
  <c r="M3485" i="8"/>
  <c r="L1489" i="8" l="1"/>
  <c r="M1489" i="8"/>
  <c r="N1489" i="8"/>
  <c r="N1162" i="8" l="1"/>
  <c r="M1162" i="8"/>
  <c r="L1162" i="8"/>
  <c r="N1181" i="8" l="1"/>
  <c r="L1181" i="8"/>
  <c r="M1181" i="8"/>
  <c r="L1492" i="8" l="1"/>
  <c r="N1492" i="8"/>
  <c r="M1492" i="8"/>
  <c r="M1089" i="8" l="1"/>
  <c r="N1089" i="8"/>
  <c r="L1089" i="8"/>
  <c r="N1494" i="8" l="1"/>
  <c r="L1494" i="8"/>
  <c r="M1494" i="8"/>
  <c r="N1495" i="8" l="1"/>
  <c r="M1495" i="8"/>
  <c r="L1495" i="8"/>
  <c r="N1496" i="8" l="1"/>
  <c r="M1496" i="8"/>
  <c r="L1496" i="8"/>
  <c r="N1182" i="8" l="1"/>
  <c r="M1182" i="8"/>
  <c r="L1182" i="8"/>
  <c r="M1192" i="8" l="1"/>
  <c r="L1192" i="8"/>
  <c r="N1192" i="8"/>
  <c r="M1080" i="8" l="1"/>
  <c r="L1080" i="8"/>
  <c r="N1080" i="8"/>
  <c r="N3267" i="8" l="1"/>
  <c r="M3267" i="8"/>
  <c r="L3267" i="8"/>
  <c r="L1501" i="8" l="1"/>
  <c r="N1501" i="8"/>
  <c r="M1501" i="8"/>
  <c r="M3287" i="8" l="1"/>
  <c r="N3287" i="8"/>
  <c r="L3287" i="8"/>
  <c r="M2959" i="8" l="1"/>
  <c r="L2959" i="8"/>
  <c r="N2959" i="8"/>
  <c r="L1504" i="8" l="1"/>
  <c r="N1504" i="8"/>
  <c r="M1504" i="8"/>
  <c r="N1203" i="8" l="1"/>
  <c r="L1203" i="8"/>
  <c r="M1203" i="8"/>
  <c r="M3290" i="8" l="1"/>
  <c r="L3290" i="8"/>
  <c r="N3290" i="8"/>
  <c r="L1091" i="8" l="1"/>
  <c r="N1091" i="8"/>
  <c r="M1091" i="8"/>
  <c r="L1508" i="8" l="1"/>
  <c r="M1508" i="8"/>
  <c r="N1508" i="8"/>
  <c r="L1101" i="8" l="1"/>
  <c r="N1101" i="8"/>
  <c r="M1101" i="8"/>
  <c r="N1510" i="8" l="1"/>
  <c r="M1510" i="8"/>
  <c r="L1510" i="8"/>
  <c r="M1094" i="8" l="1"/>
  <c r="N1094" i="8"/>
  <c r="L1094" i="8"/>
  <c r="M1173" i="8" l="1"/>
  <c r="N1173" i="8"/>
  <c r="L1173" i="8"/>
  <c r="L1513" i="8" l="1"/>
  <c r="N1513" i="8"/>
  <c r="M1513" i="8"/>
  <c r="L1102" i="8" l="1"/>
  <c r="M1102" i="8"/>
  <c r="N1102" i="8"/>
  <c r="N1216" i="8" l="1"/>
  <c r="M1216" i="8"/>
  <c r="L1216" i="8"/>
  <c r="L3493" i="8" l="1"/>
  <c r="N3493" i="8"/>
  <c r="M3493" i="8"/>
  <c r="N3308" i="8" l="1"/>
  <c r="L3308" i="8"/>
  <c r="M3308" i="8"/>
  <c r="M1518" i="8" l="1"/>
  <c r="L1518" i="8"/>
  <c r="N1518" i="8"/>
  <c r="M1519" i="8" l="1"/>
  <c r="N1519" i="8"/>
  <c r="L1519" i="8"/>
  <c r="M3204" i="8" l="1"/>
  <c r="L3204" i="8"/>
  <c r="N3204" i="8"/>
  <c r="N1521" i="8" l="1"/>
  <c r="L1521" i="8"/>
  <c r="M1521" i="8"/>
  <c r="M1095" i="8" l="1"/>
  <c r="L1095" i="8"/>
  <c r="N1095" i="8"/>
  <c r="M1218" i="8" l="1"/>
  <c r="N1218" i="8"/>
  <c r="L1218" i="8"/>
  <c r="M1190" i="8" l="1"/>
  <c r="L1190" i="8"/>
  <c r="N1190" i="8"/>
  <c r="L1224" i="8" l="1"/>
  <c r="N1224" i="8"/>
  <c r="M1224" i="8"/>
  <c r="N1194" i="8" l="1"/>
  <c r="M1194" i="8"/>
  <c r="L1194" i="8"/>
  <c r="M3269" i="8" l="1"/>
  <c r="N3269" i="8"/>
  <c r="L3269" i="8"/>
  <c r="L1198" i="8" l="1"/>
  <c r="M1198" i="8"/>
  <c r="N1198" i="8"/>
  <c r="N1529" i="8" l="1"/>
  <c r="M1529" i="8"/>
  <c r="L1529" i="8"/>
  <c r="N1099" i="8" l="1"/>
  <c r="L1099" i="8"/>
  <c r="M1099" i="8"/>
  <c r="N1199" i="8" l="1"/>
  <c r="L1199" i="8"/>
  <c r="M1199" i="8"/>
  <c r="N1108" i="8" l="1"/>
  <c r="M1108" i="8"/>
  <c r="L1108" i="8"/>
  <c r="N1533" i="8" l="1"/>
  <c r="L1533" i="8"/>
  <c r="M1533" i="8"/>
  <c r="N1201" i="8" l="1"/>
  <c r="L1201" i="8"/>
  <c r="M1201" i="8"/>
  <c r="L1227" i="8" l="1"/>
  <c r="M1227" i="8"/>
  <c r="N1227" i="8"/>
  <c r="N1536" i="8" l="1"/>
  <c r="M1536" i="8"/>
  <c r="L1536" i="8"/>
  <c r="L1537" i="8" l="1"/>
  <c r="N1537" i="8"/>
  <c r="M1537" i="8"/>
  <c r="L1538" i="8" l="1"/>
  <c r="M1538" i="8"/>
  <c r="N1538" i="8"/>
  <c r="L1109" i="8" l="1"/>
  <c r="M1109" i="8"/>
  <c r="N1109" i="8"/>
  <c r="N1230" i="8" l="1"/>
  <c r="M1230" i="8"/>
  <c r="L1230" i="8"/>
  <c r="L1111" i="8" l="1"/>
  <c r="N1111" i="8"/>
  <c r="M1111" i="8"/>
  <c r="L3407" i="8" l="1"/>
  <c r="M3407" i="8"/>
  <c r="N3407" i="8"/>
  <c r="L1543" i="8" l="1"/>
  <c r="N1543" i="8"/>
  <c r="M1543" i="8"/>
  <c r="N3270" i="8" l="1"/>
  <c r="M3270" i="8"/>
  <c r="L3270" i="8"/>
  <c r="N1545" i="8" l="1"/>
  <c r="L1545" i="8"/>
  <c r="M1545" i="8"/>
  <c r="M1546" i="8" l="1"/>
  <c r="L1546" i="8"/>
  <c r="N1546" i="8"/>
  <c r="L1231" i="8" l="1"/>
  <c r="N1231" i="8"/>
  <c r="M1231" i="8"/>
  <c r="M1235" i="8" l="1"/>
  <c r="L1235" i="8"/>
  <c r="N1235" i="8"/>
  <c r="L1118" i="8" l="1"/>
  <c r="M1118" i="8"/>
  <c r="N1118" i="8"/>
  <c r="N1239" i="8" l="1"/>
  <c r="M1239" i="8"/>
  <c r="L1239" i="8"/>
  <c r="L1551" i="8" l="1"/>
  <c r="M1551" i="8"/>
  <c r="N1551" i="8"/>
  <c r="L1115" i="8" l="1"/>
  <c r="M1115" i="8"/>
  <c r="N1115" i="8"/>
  <c r="N1123" i="8" l="1"/>
  <c r="L1123" i="8"/>
  <c r="M1123" i="8"/>
  <c r="L1127" i="8" l="1"/>
  <c r="M1127" i="8"/>
  <c r="N1127" i="8"/>
  <c r="N1128" i="8" l="1"/>
  <c r="L1128" i="8"/>
  <c r="M1128" i="8"/>
  <c r="L1556" i="8" l="1"/>
  <c r="N1556" i="8"/>
  <c r="M1556" i="8"/>
  <c r="L1557" i="8" l="1"/>
  <c r="N1557" i="8"/>
  <c r="M1557" i="8"/>
  <c r="N2783" i="8" l="1"/>
  <c r="M2783" i="8"/>
  <c r="L2783" i="8"/>
  <c r="M1140" i="8" l="1"/>
  <c r="L1140" i="8"/>
  <c r="N1140" i="8"/>
  <c r="M3503" i="8" l="1"/>
  <c r="L3503" i="8"/>
  <c r="N3503" i="8"/>
  <c r="M1240" i="8" l="1"/>
  <c r="L1240" i="8"/>
  <c r="N1240" i="8"/>
  <c r="M1562" i="8" l="1"/>
  <c r="N1562" i="8"/>
  <c r="L1562" i="8"/>
  <c r="M1119" i="8" l="1"/>
  <c r="L1119" i="8"/>
  <c r="N1119" i="8"/>
  <c r="M1152" i="8" l="1"/>
  <c r="N1152" i="8"/>
  <c r="L1152" i="8"/>
  <c r="N1154" i="8" l="1"/>
  <c r="L1154" i="8"/>
  <c r="M1154" i="8"/>
  <c r="N1566" i="8" l="1"/>
  <c r="L1566" i="8"/>
  <c r="M1566" i="8"/>
  <c r="L1155" i="8" l="1"/>
  <c r="N1155" i="8"/>
  <c r="M1155" i="8"/>
  <c r="L1568" i="8" l="1"/>
  <c r="M1568" i="8"/>
  <c r="N1568" i="8"/>
  <c r="L1569" i="8" l="1"/>
  <c r="M1569" i="8"/>
  <c r="N1569" i="8"/>
  <c r="N3415" i="8" l="1"/>
  <c r="M3415" i="8"/>
  <c r="L3415" i="8"/>
  <c r="L2967" i="8" l="1"/>
  <c r="N2967" i="8"/>
  <c r="M2967" i="8"/>
  <c r="N1121" i="8" l="1"/>
  <c r="M1121" i="8"/>
  <c r="L1121" i="8"/>
  <c r="M1573" i="8" l="1"/>
  <c r="N1573" i="8"/>
  <c r="L1573" i="8"/>
  <c r="N1574" i="8" l="1"/>
  <c r="L1574" i="8"/>
  <c r="M1574" i="8"/>
  <c r="L3505" i="8" l="1"/>
  <c r="N3505" i="8"/>
  <c r="M3505" i="8"/>
  <c r="L1220" i="8" l="1"/>
  <c r="N1220" i="8"/>
  <c r="M1220" i="8"/>
  <c r="L1577" i="8" l="1"/>
  <c r="N1577" i="8"/>
  <c r="M1577" i="8"/>
  <c r="L1578" i="8" l="1"/>
  <c r="N1578" i="8"/>
  <c r="M1578" i="8"/>
  <c r="L1579" i="8" l="1"/>
  <c r="N1579" i="8"/>
  <c r="M1579" i="8"/>
  <c r="L1246" i="8" l="1"/>
  <c r="N1246" i="8"/>
  <c r="M1246" i="8"/>
  <c r="M1160" i="8" l="1"/>
  <c r="L1160" i="8"/>
  <c r="N1160" i="8"/>
  <c r="N1582" i="8" l="1"/>
  <c r="L1582" i="8"/>
  <c r="M1582" i="8"/>
  <c r="N1583" i="8" l="1"/>
  <c r="L1583" i="8"/>
  <c r="M1583" i="8"/>
  <c r="N1584" i="8" l="1"/>
  <c r="L1584" i="8"/>
  <c r="M1584" i="8"/>
  <c r="L1585" i="8" l="1"/>
  <c r="M1585" i="8"/>
  <c r="N1585" i="8"/>
  <c r="N3427" i="8" l="1"/>
  <c r="M3427" i="8"/>
  <c r="L3427" i="8"/>
  <c r="L1587" i="8" l="1"/>
  <c r="M1587" i="8"/>
  <c r="N1587" i="8"/>
  <c r="M1588" i="8" l="1"/>
  <c r="L1588" i="8"/>
  <c r="N1588" i="8"/>
  <c r="L1257" i="8" l="1"/>
  <c r="M1257" i="8"/>
  <c r="N1257" i="8"/>
  <c r="N1168" i="8" l="1"/>
  <c r="L1168" i="8"/>
  <c r="M1168" i="8"/>
  <c r="L1591" i="8" l="1"/>
  <c r="M1591" i="8"/>
  <c r="N1591" i="8"/>
  <c r="L1592" i="8" l="1"/>
  <c r="N1592" i="8"/>
  <c r="M1592" i="8"/>
  <c r="N1122" i="8" l="1"/>
  <c r="M1122" i="8"/>
  <c r="L1122" i="8"/>
  <c r="M1221" i="8" l="1"/>
  <c r="L1221" i="8"/>
  <c r="N1221" i="8"/>
  <c r="L1260" i="8" l="1"/>
  <c r="M1260" i="8"/>
  <c r="N1260" i="8"/>
  <c r="L1126" i="8" l="1"/>
  <c r="N1126" i="8"/>
  <c r="M1126" i="8"/>
  <c r="L1597" i="8" l="1"/>
  <c r="M1597" i="8"/>
  <c r="N1597" i="8"/>
  <c r="L1598" i="8" l="1"/>
  <c r="N1598" i="8"/>
  <c r="M1598" i="8"/>
  <c r="N1599" i="8" l="1"/>
  <c r="L1599" i="8"/>
  <c r="M1599" i="8"/>
  <c r="M1266" i="8" l="1"/>
  <c r="L1266" i="8"/>
  <c r="N1266" i="8"/>
  <c r="M1270" i="8" l="1"/>
  <c r="N1270" i="8"/>
  <c r="L1270" i="8"/>
  <c r="N1602" i="8" l="1"/>
  <c r="L1602" i="8"/>
  <c r="M1602" i="8"/>
  <c r="M1274" i="8" l="1"/>
  <c r="L1274" i="8"/>
  <c r="N1274" i="8"/>
  <c r="M1225" i="8" l="1"/>
  <c r="L1225" i="8"/>
  <c r="N1225" i="8"/>
  <c r="L1134" i="8" l="1"/>
  <c r="N1134" i="8"/>
  <c r="M1134" i="8"/>
  <c r="L1234" i="8" l="1"/>
  <c r="N1234" i="8"/>
  <c r="M1234" i="8"/>
  <c r="L2789" i="8" l="1"/>
  <c r="M2789" i="8"/>
  <c r="N2789" i="8"/>
  <c r="L1608" i="8" l="1"/>
  <c r="N1608" i="8"/>
  <c r="M1608" i="8"/>
  <c r="L1609" i="8" l="1"/>
  <c r="M1609" i="8"/>
  <c r="N1609" i="8"/>
  <c r="N1141" i="8" l="1"/>
  <c r="L1141" i="8"/>
  <c r="M1141" i="8"/>
  <c r="M1611" i="8" l="1"/>
  <c r="N1611" i="8"/>
  <c r="L1611" i="8"/>
  <c r="L3434" i="8" l="1"/>
  <c r="M3434" i="8"/>
  <c r="N3434" i="8"/>
  <c r="L1245" i="8" l="1"/>
  <c r="M1245" i="8"/>
  <c r="N1245" i="8"/>
  <c r="M1153" i="8" l="1"/>
  <c r="L1153" i="8"/>
  <c r="N1153" i="8"/>
  <c r="N1157" i="8" l="1"/>
  <c r="M1157" i="8"/>
  <c r="L1157" i="8"/>
  <c r="M1163" i="8" l="1"/>
  <c r="N1163" i="8"/>
  <c r="L1163" i="8"/>
  <c r="N1278" i="8" l="1"/>
  <c r="M1278" i="8"/>
  <c r="L1278" i="8"/>
  <c r="N1618" i="8" l="1"/>
  <c r="L1618" i="8"/>
  <c r="M1618" i="8"/>
  <c r="M1619" i="8" l="1"/>
  <c r="L1619" i="8"/>
  <c r="N1619" i="8"/>
  <c r="L3314" i="8" l="1"/>
  <c r="N3314" i="8"/>
  <c r="M3314" i="8"/>
  <c r="N2793" i="8" l="1"/>
  <c r="L2793" i="8"/>
  <c r="M2793" i="8"/>
  <c r="L1169" i="8" l="1"/>
  <c r="N1169" i="8"/>
  <c r="M1169" i="8"/>
  <c r="N1170" i="8" l="1"/>
  <c r="L1170" i="8"/>
  <c r="M1170" i="8"/>
  <c r="N1284" i="8" l="1"/>
  <c r="L1284" i="8"/>
  <c r="M1284" i="8"/>
  <c r="L1625" i="8" l="1"/>
  <c r="M1625" i="8"/>
  <c r="N1625" i="8"/>
  <c r="N1177" i="8" l="1"/>
  <c r="L1177" i="8"/>
  <c r="M1177" i="8"/>
  <c r="L1179" i="8" l="1"/>
  <c r="N1179" i="8"/>
  <c r="M1179" i="8"/>
  <c r="M1628" i="8" l="1"/>
  <c r="L1628" i="8"/>
  <c r="N1628" i="8"/>
  <c r="N1629" i="8" l="1"/>
  <c r="L1629" i="8"/>
  <c r="M1629" i="8"/>
  <c r="L1180" i="8" l="1"/>
  <c r="M1180" i="8"/>
  <c r="N1180" i="8"/>
  <c r="L1631" i="8" l="1"/>
  <c r="N1631" i="8"/>
  <c r="M1631" i="8"/>
  <c r="M1256" i="8" l="1"/>
  <c r="L1256" i="8"/>
  <c r="N1256" i="8"/>
  <c r="N1272" i="8" l="1"/>
  <c r="L1272" i="8"/>
  <c r="M1272" i="8"/>
  <c r="L1634" i="8" l="1"/>
  <c r="N1634" i="8"/>
  <c r="M1634" i="8"/>
  <c r="N1635" i="8" l="1"/>
  <c r="L1635" i="8"/>
  <c r="M1635" i="8"/>
  <c r="N1636" i="8" l="1"/>
  <c r="M1636" i="8"/>
  <c r="L1636" i="8"/>
  <c r="L1637" i="8" l="1"/>
  <c r="N1637" i="8"/>
  <c r="M1637" i="8"/>
  <c r="L1287" i="8" l="1"/>
  <c r="N1287" i="8"/>
  <c r="M1287" i="8"/>
  <c r="N1174" i="8" l="1"/>
  <c r="L1174" i="8"/>
  <c r="M1174" i="8"/>
  <c r="N1288" i="8" l="1"/>
  <c r="M1288" i="8"/>
  <c r="L1288" i="8"/>
  <c r="L1296" i="8" l="1"/>
  <c r="N1296" i="8"/>
  <c r="M1296" i="8"/>
  <c r="L1642" i="8" l="1"/>
  <c r="N1642" i="8"/>
  <c r="M1642" i="8"/>
  <c r="M1306" i="8" l="1"/>
  <c r="L1306" i="8"/>
  <c r="N1306" i="8"/>
  <c r="L1183" i="8" l="1"/>
  <c r="N1183" i="8"/>
  <c r="M1183" i="8"/>
  <c r="L1645" i="8" l="1"/>
  <c r="N1645" i="8"/>
  <c r="M1645" i="8"/>
  <c r="N1196" i="8" l="1"/>
  <c r="L1196" i="8"/>
  <c r="M1196" i="8"/>
  <c r="L1647" i="8" l="1"/>
  <c r="M1647" i="8"/>
  <c r="N1647" i="8"/>
  <c r="N1648" i="8" l="1"/>
  <c r="L1648" i="8"/>
  <c r="M1648" i="8"/>
  <c r="M3322" i="8" l="1"/>
  <c r="L3322" i="8"/>
  <c r="N3322" i="8"/>
  <c r="N1273" i="8" l="1"/>
  <c r="L1273" i="8"/>
  <c r="M1273" i="8"/>
  <c r="L1307" i="8" l="1"/>
  <c r="N1307" i="8"/>
  <c r="M1307" i="8"/>
  <c r="M1652" i="8" l="1"/>
  <c r="L1652" i="8"/>
  <c r="N1652" i="8"/>
  <c r="M3329" i="8" l="1"/>
  <c r="L3329" i="8"/>
  <c r="N3329" i="8"/>
  <c r="L3211" i="8" l="1"/>
  <c r="M3211" i="8"/>
  <c r="N3211" i="8"/>
  <c r="N2806" i="8" l="1"/>
  <c r="L2806" i="8"/>
  <c r="M2806" i="8"/>
  <c r="M1656" i="8" l="1"/>
  <c r="N1656" i="8"/>
  <c r="L1656" i="8"/>
  <c r="N1657" i="8" l="1"/>
  <c r="M1657" i="8"/>
  <c r="L1657" i="8"/>
  <c r="M1185" i="8" l="1"/>
  <c r="N1185" i="8"/>
  <c r="L1185" i="8"/>
  <c r="L1314" i="8" l="1"/>
  <c r="N1314" i="8"/>
  <c r="M1314" i="8"/>
  <c r="L1319" i="8" l="1"/>
  <c r="M1319" i="8"/>
  <c r="N1319" i="8"/>
  <c r="L1661" i="8" l="1"/>
  <c r="M1661" i="8"/>
  <c r="N1661" i="8"/>
  <c r="M1289" i="8" l="1"/>
  <c r="L1289" i="8"/>
  <c r="N1289" i="8"/>
  <c r="L1321" i="8" l="1"/>
  <c r="N1321" i="8"/>
  <c r="M1321" i="8"/>
  <c r="M1187" i="8" l="1"/>
  <c r="N1187" i="8"/>
  <c r="L1187" i="8"/>
  <c r="L2795" i="8" l="1"/>
  <c r="N2795" i="8"/>
  <c r="M2795" i="8"/>
  <c r="L1295" i="8" l="1"/>
  <c r="M1295" i="8"/>
  <c r="N1295" i="8"/>
  <c r="M1299" i="8" l="1"/>
  <c r="N1299" i="8"/>
  <c r="L1299" i="8"/>
  <c r="L3274" i="8" l="1"/>
  <c r="M3274" i="8"/>
  <c r="N3274" i="8"/>
  <c r="M1669" i="8" l="1"/>
  <c r="L1669" i="8"/>
  <c r="N1669" i="8"/>
  <c r="N3445" i="8" l="1"/>
  <c r="M3445" i="8"/>
  <c r="L3445" i="8"/>
  <c r="N1671" i="8" l="1"/>
  <c r="L1671" i="8"/>
  <c r="M1671" i="8"/>
  <c r="M1672" i="8" l="1"/>
  <c r="L1672" i="8"/>
  <c r="N1672" i="8"/>
  <c r="N1188" i="8" l="1"/>
  <c r="L1188" i="8"/>
  <c r="M1188" i="8"/>
  <c r="N1200" i="8" l="1"/>
  <c r="L1200" i="8"/>
  <c r="M1200" i="8"/>
  <c r="N1211" i="8" l="1"/>
  <c r="L1211" i="8"/>
  <c r="M1211" i="8"/>
  <c r="N1197" i="8" l="1"/>
  <c r="M1197" i="8"/>
  <c r="L1197" i="8"/>
  <c r="M1202" i="8" l="1"/>
  <c r="L1202" i="8"/>
  <c r="N1202" i="8"/>
  <c r="N3332" i="8" l="1"/>
  <c r="L3332" i="8"/>
  <c r="M3332" i="8"/>
  <c r="N3506" i="8" l="1"/>
  <c r="L3506" i="8"/>
  <c r="M3506" i="8"/>
  <c r="L1680" i="8" l="1"/>
  <c r="N1680" i="8"/>
  <c r="M1680" i="8"/>
  <c r="L1681" i="8" l="1"/>
  <c r="M1681" i="8"/>
  <c r="N1681" i="8"/>
  <c r="L1300" i="8" l="1"/>
  <c r="N1300" i="8"/>
  <c r="M1300" i="8"/>
  <c r="L1301" i="8" l="1"/>
  <c r="M1301" i="8"/>
  <c r="N1301" i="8"/>
  <c r="L1302" i="8" l="1"/>
  <c r="N1302" i="8"/>
  <c r="M1302" i="8"/>
  <c r="N1685" i="8" l="1"/>
  <c r="L1685" i="8"/>
  <c r="M1685" i="8"/>
  <c r="M1332" i="8" l="1"/>
  <c r="L1332" i="8"/>
  <c r="N1332" i="8"/>
  <c r="M1687" i="8" l="1"/>
  <c r="L1687" i="8"/>
  <c r="N1687" i="8"/>
  <c r="M1215" i="8" l="1"/>
  <c r="L1215" i="8"/>
  <c r="N1215" i="8"/>
  <c r="M1338" i="8" l="1"/>
  <c r="L1338" i="8"/>
  <c r="N1338" i="8"/>
  <c r="N1359" i="8" l="1"/>
  <c r="L1359" i="8"/>
  <c r="M1359" i="8"/>
  <c r="L1305" i="8" l="1"/>
  <c r="M1305" i="8"/>
  <c r="N1305" i="8"/>
  <c r="M1308" i="8" l="1"/>
  <c r="N1308" i="8"/>
  <c r="L1308" i="8"/>
  <c r="M1310" i="8" l="1"/>
  <c r="L1310" i="8"/>
  <c r="N1310" i="8"/>
  <c r="M1222" i="8" l="1"/>
  <c r="L1222" i="8"/>
  <c r="N1222" i="8"/>
  <c r="L1313" i="8" l="1"/>
  <c r="M1313" i="8"/>
  <c r="N1313" i="8"/>
  <c r="N3446" i="8" l="1"/>
  <c r="M3446" i="8"/>
  <c r="L3446" i="8"/>
  <c r="L2978" i="8" l="1"/>
  <c r="N2978" i="8"/>
  <c r="M2978" i="8"/>
  <c r="L1698" i="8" l="1"/>
  <c r="M1698" i="8"/>
  <c r="N1698" i="8"/>
  <c r="L1699" i="8" l="1"/>
  <c r="N1699" i="8"/>
  <c r="M1699" i="8"/>
  <c r="L1363" i="8" l="1"/>
  <c r="N1363" i="8"/>
  <c r="M1363" i="8"/>
  <c r="N1233" i="8" l="1"/>
  <c r="L1233" i="8"/>
  <c r="M1233" i="8"/>
  <c r="M1318" i="8" l="1"/>
  <c r="L1318" i="8"/>
  <c r="N1318" i="8"/>
  <c r="L1366" i="8" l="1"/>
  <c r="M1366" i="8"/>
  <c r="N1366" i="8"/>
  <c r="L1375" i="8" l="1"/>
  <c r="N1375" i="8"/>
  <c r="M1375" i="8"/>
  <c r="M1705" i="8" l="1"/>
  <c r="L1705" i="8"/>
  <c r="N1705" i="8"/>
  <c r="L1217" i="8" l="1"/>
  <c r="N1217" i="8"/>
  <c r="M1217" i="8"/>
  <c r="L1707" i="8" l="1"/>
  <c r="M1707" i="8"/>
  <c r="N1707" i="8"/>
  <c r="L1708" i="8" l="1"/>
  <c r="M1708" i="8"/>
  <c r="N1708" i="8"/>
  <c r="L1320" i="8" l="1"/>
  <c r="N1320" i="8"/>
  <c r="M1320" i="8"/>
  <c r="L1322" i="8" l="1"/>
  <c r="N1322" i="8"/>
  <c r="M1322" i="8"/>
  <c r="N1711" i="8" l="1"/>
  <c r="L1711" i="8"/>
  <c r="M1711" i="8"/>
  <c r="M3513" i="8" l="1"/>
  <c r="N3513" i="8"/>
  <c r="L3513" i="8"/>
  <c r="M2981" i="8" l="1"/>
  <c r="N2981" i="8"/>
  <c r="L2981" i="8"/>
  <c r="L2809" i="8" l="1"/>
  <c r="M2809" i="8"/>
  <c r="N2809" i="8"/>
  <c r="L1236" i="8" l="1"/>
  <c r="M1236" i="8"/>
  <c r="N1236" i="8"/>
  <c r="M1228" i="8" l="1"/>
  <c r="N1228" i="8"/>
  <c r="L1228" i="8"/>
  <c r="N1241" i="8" l="1"/>
  <c r="L1241" i="8"/>
  <c r="M1241" i="8"/>
  <c r="L1718" i="8" l="1"/>
  <c r="N1718" i="8"/>
  <c r="M1718" i="8"/>
  <c r="L1719" i="8" l="1"/>
  <c r="N1719" i="8"/>
  <c r="M1719" i="8"/>
  <c r="N1720" i="8" l="1"/>
  <c r="M1720" i="8"/>
  <c r="L1720" i="8"/>
  <c r="N1333" i="8" l="1"/>
  <c r="M1333" i="8"/>
  <c r="L1333" i="8"/>
  <c r="L1722" i="8" l="1"/>
  <c r="N1722" i="8"/>
  <c r="M1722" i="8"/>
  <c r="N1335" i="8" l="1"/>
  <c r="L1335" i="8"/>
  <c r="M1335" i="8"/>
  <c r="M1238" i="8" l="1"/>
  <c r="L1238" i="8"/>
  <c r="N1238" i="8"/>
  <c r="L1381" i="8" l="1"/>
  <c r="M1381" i="8"/>
  <c r="N1381" i="8"/>
  <c r="L1726" i="8" l="1"/>
  <c r="N1726" i="8"/>
  <c r="M1726" i="8"/>
  <c r="N1727" i="8" l="1"/>
  <c r="L1727" i="8"/>
  <c r="M1727" i="8"/>
  <c r="M1386" i="8" l="1"/>
  <c r="L1386" i="8"/>
  <c r="N1386" i="8"/>
  <c r="L1729" i="8" l="1"/>
  <c r="N1729" i="8"/>
  <c r="M1729" i="8"/>
  <c r="N1398" i="8" l="1"/>
  <c r="L1398" i="8"/>
  <c r="M1398" i="8"/>
  <c r="L1242" i="8" l="1"/>
  <c r="N1242" i="8"/>
  <c r="M1242" i="8"/>
  <c r="N1732" i="8" l="1"/>
  <c r="M1732" i="8"/>
  <c r="L1732" i="8"/>
  <c r="L1733" i="8" l="1"/>
  <c r="N1733" i="8"/>
  <c r="M1733" i="8"/>
  <c r="L1410" i="8" l="1"/>
  <c r="N1410" i="8"/>
  <c r="M1410" i="8"/>
  <c r="L1244" i="8" l="1"/>
  <c r="M1244" i="8"/>
  <c r="N1244" i="8"/>
  <c r="L3285" i="8" l="1"/>
  <c r="M3285" i="8"/>
  <c r="N3285" i="8"/>
  <c r="L3515" i="8" l="1"/>
  <c r="M3515" i="8"/>
  <c r="N3515" i="8"/>
  <c r="L3521" i="8" l="1"/>
  <c r="N3521" i="8"/>
  <c r="M3521" i="8"/>
  <c r="N1346" i="8" l="1"/>
  <c r="M1346" i="8"/>
  <c r="L1346" i="8"/>
  <c r="L2984" i="8" l="1"/>
  <c r="M2984" i="8"/>
  <c r="N2984" i="8"/>
  <c r="M1249" i="8" l="1"/>
  <c r="L1249" i="8"/>
  <c r="N1249" i="8"/>
  <c r="N1419" i="8" l="1"/>
  <c r="L1419" i="8"/>
  <c r="M1419" i="8"/>
  <c r="N1422" i="8" l="1"/>
  <c r="L1422" i="8"/>
  <c r="M1422" i="8"/>
  <c r="M3333" i="8" l="1"/>
  <c r="L3333" i="8"/>
  <c r="N3333" i="8"/>
  <c r="L1426" i="8" l="1"/>
  <c r="M1426" i="8"/>
  <c r="N1426" i="8"/>
  <c r="L1746" i="8" l="1"/>
  <c r="N1746" i="8"/>
  <c r="M1746" i="8"/>
  <c r="N1747" i="8" l="1"/>
  <c r="M1747" i="8"/>
  <c r="L1747" i="8"/>
  <c r="L1436" i="8" l="1"/>
  <c r="M1436" i="8"/>
  <c r="N1436" i="8"/>
  <c r="N1437" i="8" l="1"/>
  <c r="L1437" i="8"/>
  <c r="M1437" i="8"/>
  <c r="M1750" i="8" l="1"/>
  <c r="L1750" i="8"/>
  <c r="N1750" i="8"/>
  <c r="L1243" i="8" l="1"/>
  <c r="N1243" i="8"/>
  <c r="M1243" i="8"/>
  <c r="L1347" i="8" l="1"/>
  <c r="M1347" i="8"/>
  <c r="N1347" i="8"/>
  <c r="M1247" i="8" l="1"/>
  <c r="N1247" i="8"/>
  <c r="L1247" i="8"/>
  <c r="M3524" i="8" l="1"/>
  <c r="N3524" i="8"/>
  <c r="L3524" i="8"/>
  <c r="L1251" i="8" l="1"/>
  <c r="N1251" i="8"/>
  <c r="M1251" i="8"/>
  <c r="L3527" i="8" l="1"/>
  <c r="M3527" i="8"/>
  <c r="N3527" i="8"/>
  <c r="N1757" i="8" l="1"/>
  <c r="L1757" i="8"/>
  <c r="M1757" i="8"/>
  <c r="N3213" i="8" l="1"/>
  <c r="L3213" i="8"/>
  <c r="M3213" i="8"/>
  <c r="L1250" i="8" l="1"/>
  <c r="N1250" i="8"/>
  <c r="M1250" i="8"/>
  <c r="L1760" i="8" l="1"/>
  <c r="N1760" i="8"/>
  <c r="M1760" i="8"/>
  <c r="M1761" i="8" l="1"/>
  <c r="L1761" i="8"/>
  <c r="N1761" i="8"/>
  <c r="M1258" i="8" l="1"/>
  <c r="N1258" i="8"/>
  <c r="L1258" i="8"/>
  <c r="L1763" i="8" l="1"/>
  <c r="M1763" i="8"/>
  <c r="N1763" i="8"/>
  <c r="L1764" i="8" l="1"/>
  <c r="N1764" i="8"/>
  <c r="M1764" i="8"/>
  <c r="L1765" i="8" l="1"/>
  <c r="M1765" i="8"/>
  <c r="N1765" i="8"/>
  <c r="N1766" i="8" l="1"/>
  <c r="L1766" i="8"/>
  <c r="M1766" i="8"/>
  <c r="N1443" i="8" l="1"/>
  <c r="L1443" i="8"/>
  <c r="M1443" i="8"/>
  <c r="M1445" i="8" l="1"/>
  <c r="L1445" i="8"/>
  <c r="N1445" i="8"/>
  <c r="N1453" i="8" l="1"/>
  <c r="L1453" i="8"/>
  <c r="M1453" i="8"/>
  <c r="N1770" i="8" l="1"/>
  <c r="M1770" i="8"/>
  <c r="L1770" i="8"/>
  <c r="M3528" i="8" l="1"/>
  <c r="N3528" i="8"/>
  <c r="L3528" i="8"/>
  <c r="L1772" i="8" l="1"/>
  <c r="N1772" i="8"/>
  <c r="M1772" i="8"/>
  <c r="M1252" i="8" l="1"/>
  <c r="L1252" i="8"/>
  <c r="N1252" i="8"/>
  <c r="M1264" i="8" l="1"/>
  <c r="N1264" i="8"/>
  <c r="L1264" i="8"/>
  <c r="L1775" i="8" l="1"/>
  <c r="M1775" i="8"/>
  <c r="N1775" i="8"/>
  <c r="N1267" i="8" l="1"/>
  <c r="L1267" i="8"/>
  <c r="M1267" i="8"/>
  <c r="N1454" i="8" l="1"/>
  <c r="L1454" i="8"/>
  <c r="M1454" i="8"/>
  <c r="M1261" i="8" l="1"/>
  <c r="N1261" i="8"/>
  <c r="L1261" i="8"/>
  <c r="L1779" i="8" l="1"/>
  <c r="M1779" i="8"/>
  <c r="N1779" i="8"/>
  <c r="L3529" i="8" l="1"/>
  <c r="M3529" i="8"/>
  <c r="N3529" i="8"/>
  <c r="L3217" i="8" l="1"/>
  <c r="M3217" i="8"/>
  <c r="N3217" i="8"/>
  <c r="L1782" i="8" l="1"/>
  <c r="M1782" i="8"/>
  <c r="N1782" i="8"/>
  <c r="N1461" i="8" l="1"/>
  <c r="M1461" i="8"/>
  <c r="L1461" i="8"/>
  <c r="L1349" i="8" l="1"/>
  <c r="N1349" i="8"/>
  <c r="M1349" i="8"/>
  <c r="N1785" i="8" l="1"/>
  <c r="L1785" i="8"/>
  <c r="M1785" i="8"/>
  <c r="M3339" i="8" l="1"/>
  <c r="N3339" i="8"/>
  <c r="L3339" i="8"/>
  <c r="N1350" i="8" l="1"/>
  <c r="M1350" i="8"/>
  <c r="L1350" i="8"/>
  <c r="M2820" i="8" l="1"/>
  <c r="N2820" i="8"/>
  <c r="L2820" i="8"/>
  <c r="L1262" i="8" l="1"/>
  <c r="N1262" i="8"/>
  <c r="M1262" i="8"/>
  <c r="N3341" i="8" l="1"/>
  <c r="L3341" i="8"/>
  <c r="M3341" i="8"/>
  <c r="M1470" i="8" l="1"/>
  <c r="N1470" i="8"/>
  <c r="L1470" i="8"/>
  <c r="N3530" i="8" l="1"/>
  <c r="L3530" i="8"/>
  <c r="M3530" i="8"/>
  <c r="N3222" i="8" l="1"/>
  <c r="M3222" i="8"/>
  <c r="L3222" i="8"/>
  <c r="N1794" i="8" l="1"/>
  <c r="L1794" i="8"/>
  <c r="M1794" i="8"/>
  <c r="L1795" i="8" l="1"/>
  <c r="M1795" i="8"/>
  <c r="N1795" i="8"/>
  <c r="M1796" i="8" l="1"/>
  <c r="L1796" i="8"/>
  <c r="N1796" i="8"/>
  <c r="L1797" i="8" l="1"/>
  <c r="M1797" i="8"/>
  <c r="N1797" i="8"/>
  <c r="L2813" i="8" l="1"/>
  <c r="N2813" i="8"/>
  <c r="M2813" i="8"/>
  <c r="N1799" i="8" l="1"/>
  <c r="L1799" i="8"/>
  <c r="M1799" i="8"/>
  <c r="M1369" i="8" l="1"/>
  <c r="N1369" i="8"/>
  <c r="L1369" i="8"/>
  <c r="M1263" i="8" l="1"/>
  <c r="N1263" i="8"/>
  <c r="L1263" i="8"/>
  <c r="M1268" i="8" l="1"/>
  <c r="N1268" i="8"/>
  <c r="L1268" i="8"/>
  <c r="L1275" i="8" l="1"/>
  <c r="M1275" i="8"/>
  <c r="N1275" i="8"/>
  <c r="M1271" i="8" l="1"/>
  <c r="N1271" i="8"/>
  <c r="L1271" i="8"/>
  <c r="L1805" i="8" l="1"/>
  <c r="M1805" i="8"/>
  <c r="N1805" i="8"/>
  <c r="N1277" i="8" l="1"/>
  <c r="L1277" i="8"/>
  <c r="M1277" i="8"/>
  <c r="N1280" i="8" l="1"/>
  <c r="L1280" i="8"/>
  <c r="M1280" i="8"/>
  <c r="L1474" i="8" l="1"/>
  <c r="N1474" i="8"/>
  <c r="M1474" i="8"/>
  <c r="M1290" i="8" l="1"/>
  <c r="L1290" i="8"/>
  <c r="N1290" i="8"/>
  <c r="M1810" i="8" l="1"/>
  <c r="N1810" i="8"/>
  <c r="L1810" i="8"/>
  <c r="N1282" i="8" l="1"/>
  <c r="L1282" i="8"/>
  <c r="M1282" i="8"/>
  <c r="L1384" i="8" l="1"/>
  <c r="N1384" i="8"/>
  <c r="M1384" i="8"/>
  <c r="M1813" i="8" l="1"/>
  <c r="L1813" i="8"/>
  <c r="N1813" i="8"/>
  <c r="M1385" i="8" l="1"/>
  <c r="L1385" i="8"/>
  <c r="N1385" i="8"/>
  <c r="M1292" i="8" l="1"/>
  <c r="L1292" i="8"/>
  <c r="N1292" i="8"/>
  <c r="L1304" i="8" l="1"/>
  <c r="M1304" i="8"/>
  <c r="N1304" i="8"/>
  <c r="N1817" i="8" l="1"/>
  <c r="L1817" i="8"/>
  <c r="M1817" i="8"/>
  <c r="L1388" i="8" l="1"/>
  <c r="N1388" i="8"/>
  <c r="M1388" i="8"/>
  <c r="N1819" i="8" l="1"/>
  <c r="L1819" i="8"/>
  <c r="M1819" i="8"/>
  <c r="N1820" i="8" l="1"/>
  <c r="M1820" i="8"/>
  <c r="L1820" i="8"/>
  <c r="L3449" i="8" l="1"/>
  <c r="M3449" i="8"/>
  <c r="N3449" i="8"/>
  <c r="L1822" i="8" l="1"/>
  <c r="M1822" i="8"/>
  <c r="N1822" i="8"/>
  <c r="N2815" i="8" l="1"/>
  <c r="M2815" i="8"/>
  <c r="L2815" i="8"/>
  <c r="L1824" i="8" l="1"/>
  <c r="M1824" i="8"/>
  <c r="N1824" i="8"/>
  <c r="M1311" i="8" l="1"/>
  <c r="L1311" i="8"/>
  <c r="N1311" i="8"/>
  <c r="M1337" i="8" l="1"/>
  <c r="N1337" i="8"/>
  <c r="L1337" i="8"/>
  <c r="N1391" i="8" l="1"/>
  <c r="L1391" i="8"/>
  <c r="M1391" i="8"/>
  <c r="M1828" i="8" l="1"/>
  <c r="L1828" i="8"/>
  <c r="N1828" i="8"/>
  <c r="L1340" i="8" l="1"/>
  <c r="N1340" i="8"/>
  <c r="M1340" i="8"/>
  <c r="M1830" i="8" l="1"/>
  <c r="L1830" i="8"/>
  <c r="N1830" i="8"/>
  <c r="N1409" i="8" l="1"/>
  <c r="M1409" i="8"/>
  <c r="L1409" i="8"/>
  <c r="L1477" i="8" l="1"/>
  <c r="M1477" i="8"/>
  <c r="N1477" i="8"/>
  <c r="N1342" i="8" l="1"/>
  <c r="M1342" i="8"/>
  <c r="L1342" i="8"/>
  <c r="M1834" i="8" l="1"/>
  <c r="L1834" i="8"/>
  <c r="N1834" i="8"/>
  <c r="M1479" i="8" l="1"/>
  <c r="N1479" i="8"/>
  <c r="L1479" i="8"/>
  <c r="L1836" i="8" l="1"/>
  <c r="M1836" i="8"/>
  <c r="N1836" i="8"/>
  <c r="L1837" i="8" l="1"/>
  <c r="M1837" i="8"/>
  <c r="N1837" i="8"/>
  <c r="L1428" i="8" l="1"/>
  <c r="N1428" i="8"/>
  <c r="M1428" i="8"/>
  <c r="N1362" i="8" l="1"/>
  <c r="L1362" i="8"/>
  <c r="M1362" i="8"/>
  <c r="N1840" i="8" l="1"/>
  <c r="M1840" i="8"/>
  <c r="L1840" i="8"/>
  <c r="L1291" i="8" l="1"/>
  <c r="N1291" i="8"/>
  <c r="M1291" i="8"/>
  <c r="M1373" i="8" l="1"/>
  <c r="L1373" i="8"/>
  <c r="N1373" i="8"/>
  <c r="L1297" i="8" l="1"/>
  <c r="N1297" i="8"/>
  <c r="M1297" i="8"/>
  <c r="N1844" i="8" l="1"/>
  <c r="M1844" i="8"/>
  <c r="L1844" i="8"/>
  <c r="N1845" i="8" l="1"/>
  <c r="M1845" i="8"/>
  <c r="L1845" i="8"/>
  <c r="N1444" i="8" l="1"/>
  <c r="M1444" i="8"/>
  <c r="L1444" i="8"/>
  <c r="N1480" i="8" l="1"/>
  <c r="L1480" i="8"/>
  <c r="M1480" i="8"/>
  <c r="L1376" i="8" l="1"/>
  <c r="M1376" i="8"/>
  <c r="N1376" i="8"/>
  <c r="N1447" i="8" l="1"/>
  <c r="L1447" i="8"/>
  <c r="M1447" i="8"/>
  <c r="L1491" i="8" l="1"/>
  <c r="M1491" i="8"/>
  <c r="N1491" i="8"/>
  <c r="L1303" i="8" l="1"/>
  <c r="M1303" i="8"/>
  <c r="N1303" i="8"/>
  <c r="L1387" i="8" l="1"/>
  <c r="N1387" i="8"/>
  <c r="M1387" i="8"/>
  <c r="N1497" i="8" l="1"/>
  <c r="M1497" i="8"/>
  <c r="L1497" i="8"/>
  <c r="M2822" i="8" l="1"/>
  <c r="L2822" i="8"/>
  <c r="N2822" i="8"/>
  <c r="M1390" i="8" l="1"/>
  <c r="N1390" i="8"/>
  <c r="L1390" i="8"/>
  <c r="N1312" i="8" l="1"/>
  <c r="L1312" i="8"/>
  <c r="M1312" i="8"/>
  <c r="N1451" i="8" l="1"/>
  <c r="M1451" i="8"/>
  <c r="L1451" i="8"/>
  <c r="L1858" i="8" l="1"/>
  <c r="M1858" i="8"/>
  <c r="N1858" i="8"/>
  <c r="M1859" i="8" l="1"/>
  <c r="N1859" i="8"/>
  <c r="L1859" i="8"/>
  <c r="L1860" i="8" l="1"/>
  <c r="M1860" i="8"/>
  <c r="N1860" i="8"/>
  <c r="M1861" i="8" l="1"/>
  <c r="N1861" i="8"/>
  <c r="L1861" i="8"/>
  <c r="M1393" i="8" l="1"/>
  <c r="N1393" i="8"/>
  <c r="L1393" i="8"/>
  <c r="L1394" i="8" l="1"/>
  <c r="N1394" i="8"/>
  <c r="M1394" i="8"/>
  <c r="M3537" i="8" l="1"/>
  <c r="L3537" i="8"/>
  <c r="N3537" i="8"/>
  <c r="N1865" i="8" l="1"/>
  <c r="L1865" i="8"/>
  <c r="M1865" i="8"/>
  <c r="M2988" i="8" l="1"/>
  <c r="L2988" i="8"/>
  <c r="N2988" i="8"/>
  <c r="M1395" i="8" l="1"/>
  <c r="N1395" i="8"/>
  <c r="L1395" i="8"/>
  <c r="N1317" i="8" l="1"/>
  <c r="L1317" i="8"/>
  <c r="M1317" i="8"/>
  <c r="N1455" i="8" l="1"/>
  <c r="L1455" i="8"/>
  <c r="M1455" i="8"/>
  <c r="N1457" i="8" l="1"/>
  <c r="L1457" i="8"/>
  <c r="M1457" i="8"/>
  <c r="M1323" i="8" l="1"/>
  <c r="L1323" i="8"/>
  <c r="N1323" i="8"/>
  <c r="L1498" i="8" l="1"/>
  <c r="N1498" i="8"/>
  <c r="M1498" i="8"/>
  <c r="L1328" i="8" l="1"/>
  <c r="N1328" i="8"/>
  <c r="M1328" i="8"/>
  <c r="L1458" i="8" l="1"/>
  <c r="N1458" i="8"/>
  <c r="M1458" i="8"/>
  <c r="L1397" i="8" l="1"/>
  <c r="M1397" i="8"/>
  <c r="N1397" i="8"/>
  <c r="L3343" i="8" l="1"/>
  <c r="N3343" i="8"/>
  <c r="M3343" i="8"/>
  <c r="M1500" i="8" l="1"/>
  <c r="L1500" i="8"/>
  <c r="N1500" i="8"/>
  <c r="L3450" i="8" l="1"/>
  <c r="N3450" i="8"/>
  <c r="M3450" i="8"/>
  <c r="N3347" i="8" l="1"/>
  <c r="L3347" i="8"/>
  <c r="M3347" i="8"/>
  <c r="M1880" i="8" l="1"/>
  <c r="N1880" i="8"/>
  <c r="L1880" i="8"/>
  <c r="L3540" i="8" l="1"/>
  <c r="N3540" i="8"/>
  <c r="M3540" i="8"/>
  <c r="L1399" i="8" l="1"/>
  <c r="M1399" i="8"/>
  <c r="N1399" i="8"/>
  <c r="N1505" i="8" l="1"/>
  <c r="L1505" i="8"/>
  <c r="M1505" i="8"/>
  <c r="L1468" i="8" l="1"/>
  <c r="N1468" i="8"/>
  <c r="M1468" i="8"/>
  <c r="M1401" i="8" l="1"/>
  <c r="N1401" i="8"/>
  <c r="L1401" i="8"/>
  <c r="M1886" i="8" l="1"/>
  <c r="N1886" i="8"/>
  <c r="L1886" i="8"/>
  <c r="M1887" i="8" l="1"/>
  <c r="N1887" i="8"/>
  <c r="L1887" i="8"/>
  <c r="M1330" i="8" l="1"/>
  <c r="L1330" i="8"/>
  <c r="N1330" i="8"/>
  <c r="M1889" i="8" l="1"/>
  <c r="N1889" i="8"/>
  <c r="L1889" i="8"/>
  <c r="M1515" i="8" l="1"/>
  <c r="L1515" i="8"/>
  <c r="N1515" i="8"/>
  <c r="N1891" i="8" l="1"/>
  <c r="M1891" i="8"/>
  <c r="L1891" i="8"/>
  <c r="M1403" i="8" l="1"/>
  <c r="N1403" i="8"/>
  <c r="L1403" i="8"/>
  <c r="N1893" i="8" l="1"/>
  <c r="L1893" i="8"/>
  <c r="M1893" i="8"/>
  <c r="N3355" i="8" l="1"/>
  <c r="L3355" i="8"/>
  <c r="M3355" i="8"/>
  <c r="M1895" i="8" l="1"/>
  <c r="N1895" i="8"/>
  <c r="L1895" i="8"/>
  <c r="M1896" i="8" l="1"/>
  <c r="L1896" i="8"/>
  <c r="N1896" i="8"/>
  <c r="L1897" i="8" l="1"/>
  <c r="N1897" i="8"/>
  <c r="M1897" i="8"/>
  <c r="N1478" i="8" l="1"/>
  <c r="M1478" i="8"/>
  <c r="L1478" i="8"/>
  <c r="N1485" i="8" l="1"/>
  <c r="M1485" i="8"/>
  <c r="L1485" i="8"/>
  <c r="M1900" i="8" l="1"/>
  <c r="L1900" i="8"/>
  <c r="N1900" i="8"/>
  <c r="L3227" i="8" l="1"/>
  <c r="M3227" i="8"/>
  <c r="N3227" i="8"/>
  <c r="N1902" i="8" l="1"/>
  <c r="L1902" i="8"/>
  <c r="M1902" i="8"/>
  <c r="L1488" i="8" l="1"/>
  <c r="N1488" i="8"/>
  <c r="M1488" i="8"/>
  <c r="N2827" i="8" l="1"/>
  <c r="M2827" i="8"/>
  <c r="L2827" i="8"/>
  <c r="N1407" i="8" l="1"/>
  <c r="L1407" i="8"/>
  <c r="M1407" i="8"/>
  <c r="N3457" i="8" l="1"/>
  <c r="L3457" i="8"/>
  <c r="M3457" i="8"/>
  <c r="N1408" i="8" l="1"/>
  <c r="L1408" i="8"/>
  <c r="M1408" i="8"/>
  <c r="N1490" i="8" l="1"/>
  <c r="L1490" i="8"/>
  <c r="M1490" i="8"/>
  <c r="N1523" i="8" l="1"/>
  <c r="M1523" i="8"/>
  <c r="L1523" i="8"/>
  <c r="M1525" i="8" l="1"/>
  <c r="N1525" i="8"/>
  <c r="L1525" i="8"/>
  <c r="L1527" i="8" l="1"/>
  <c r="M1527" i="8"/>
  <c r="N1527" i="8"/>
  <c r="L1334" i="8" l="1"/>
  <c r="N1334" i="8"/>
  <c r="M1334" i="8"/>
  <c r="N1412" i="8" l="1"/>
  <c r="L1412" i="8"/>
  <c r="M1412" i="8"/>
  <c r="L1336" i="8" l="1"/>
  <c r="M1336" i="8"/>
  <c r="N1336" i="8"/>
  <c r="N3361" i="8" l="1"/>
  <c r="M3361" i="8"/>
  <c r="L3361" i="8"/>
  <c r="L1916" i="8" l="1"/>
  <c r="N1916" i="8"/>
  <c r="M1916" i="8"/>
  <c r="M1512" i="8" l="1"/>
  <c r="L1512" i="8"/>
  <c r="N1512" i="8"/>
  <c r="N1918" i="8" l="1"/>
  <c r="M1918" i="8"/>
  <c r="L1918" i="8"/>
  <c r="N1919" i="8" l="1"/>
  <c r="L1919" i="8"/>
  <c r="M1919" i="8"/>
  <c r="M1920" i="8" l="1"/>
  <c r="L1920" i="8"/>
  <c r="N1920" i="8"/>
  <c r="L1921" i="8" l="1"/>
  <c r="M1921" i="8"/>
  <c r="N1921" i="8"/>
  <c r="M3286" i="8" l="1"/>
  <c r="L3286" i="8"/>
  <c r="N3286" i="8"/>
  <c r="N2819" i="8" l="1"/>
  <c r="L2819" i="8"/>
  <c r="M2819" i="8"/>
  <c r="L3366" i="8" l="1"/>
  <c r="M3366" i="8"/>
  <c r="N3366" i="8"/>
  <c r="L1535" i="8" l="1"/>
  <c r="M1535" i="8"/>
  <c r="N1535" i="8"/>
  <c r="L1926" i="8" l="1"/>
  <c r="N1926" i="8"/>
  <c r="M1926" i="8"/>
  <c r="N1927" i="8" l="1"/>
  <c r="L1927" i="8"/>
  <c r="M1927" i="8"/>
  <c r="N1343" i="8" l="1"/>
  <c r="L1343" i="8"/>
  <c r="M1343" i="8"/>
  <c r="L1352" i="8" l="1"/>
  <c r="N1352" i="8"/>
  <c r="M1352" i="8"/>
  <c r="N1540" i="8" l="1"/>
  <c r="M1540" i="8"/>
  <c r="L1540" i="8"/>
  <c r="L1354" i="8" l="1"/>
  <c r="N1354" i="8"/>
  <c r="M1354" i="8"/>
  <c r="N1932" i="8" l="1"/>
  <c r="M1932" i="8"/>
  <c r="L1932" i="8"/>
  <c r="L1355" i="8" l="1"/>
  <c r="N1355" i="8"/>
  <c r="M1355" i="8"/>
  <c r="N2841" i="8" l="1"/>
  <c r="L2841" i="8"/>
  <c r="M2841" i="8"/>
  <c r="M1935" i="8" l="1"/>
  <c r="N1935" i="8"/>
  <c r="L1935" i="8"/>
  <c r="L1423" i="8" l="1"/>
  <c r="N1423" i="8"/>
  <c r="M1423" i="8"/>
  <c r="M1516" i="8" l="1"/>
  <c r="L1516" i="8"/>
  <c r="N1516" i="8"/>
  <c r="M1544" i="8" l="1"/>
  <c r="L1544" i="8"/>
  <c r="N1544" i="8"/>
  <c r="M1520" i="8" l="1"/>
  <c r="L1520" i="8"/>
  <c r="N1520" i="8"/>
  <c r="M1940" i="8" l="1"/>
  <c r="N1940" i="8"/>
  <c r="L1940" i="8"/>
  <c r="M1435" i="8" l="1"/>
  <c r="L1435" i="8"/>
  <c r="N1435" i="8"/>
  <c r="N1942" i="8" l="1"/>
  <c r="L1942" i="8"/>
  <c r="M1942" i="8"/>
  <c r="N3230" i="8" l="1"/>
  <c r="L3230" i="8"/>
  <c r="M3230" i="8"/>
  <c r="L2856" i="8" l="1"/>
  <c r="M2856" i="8"/>
  <c r="N2856" i="8"/>
  <c r="L1450" i="8" l="1"/>
  <c r="N1450" i="8"/>
  <c r="M1450" i="8"/>
  <c r="L3460" i="8" l="1"/>
  <c r="M3460" i="8"/>
  <c r="N3460" i="8"/>
  <c r="M1947" i="8" l="1"/>
  <c r="L1947" i="8"/>
  <c r="N1947" i="8"/>
  <c r="M1524" i="8" l="1"/>
  <c r="N1524" i="8"/>
  <c r="L1524" i="8"/>
  <c r="N2989" i="8" l="1"/>
  <c r="M2989" i="8"/>
  <c r="L2989" i="8"/>
  <c r="L1526" i="8" l="1"/>
  <c r="N1526" i="8"/>
  <c r="M1526" i="8"/>
  <c r="M1528" i="8" l="1"/>
  <c r="L1528" i="8"/>
  <c r="N1528" i="8"/>
  <c r="N1361" i="8" l="1"/>
  <c r="L1361" i="8"/>
  <c r="M1361" i="8"/>
  <c r="M1531" i="8" l="1"/>
  <c r="L1531" i="8"/>
  <c r="N1531" i="8"/>
  <c r="M1547" i="8" l="1"/>
  <c r="N1547" i="8"/>
  <c r="L1547" i="8"/>
  <c r="N1548" i="8" l="1"/>
  <c r="M1548" i="8"/>
  <c r="L1548" i="8"/>
  <c r="L1550" i="8" l="1"/>
  <c r="N1550" i="8"/>
  <c r="M1550" i="8"/>
  <c r="N1957" i="8" l="1"/>
  <c r="L1957" i="8"/>
  <c r="M1957" i="8"/>
  <c r="N1958" i="8" l="1"/>
  <c r="L1958" i="8"/>
  <c r="M1958" i="8"/>
  <c r="N1959" i="8" l="1"/>
  <c r="M1959" i="8"/>
  <c r="L1959" i="8"/>
  <c r="L3541" i="8" l="1"/>
  <c r="N3541" i="8"/>
  <c r="M3541" i="8"/>
  <c r="M1459" i="8" l="1"/>
  <c r="L1459" i="8"/>
  <c r="N1459" i="8"/>
  <c r="N1962" i="8" l="1"/>
  <c r="M1962" i="8"/>
  <c r="L1962" i="8"/>
  <c r="L1460" i="8" l="1"/>
  <c r="M1460" i="8"/>
  <c r="N1460" i="8"/>
  <c r="M1964" i="8" l="1"/>
  <c r="L1964" i="8"/>
  <c r="N1964" i="8"/>
  <c r="L1965" i="8" l="1"/>
  <c r="N1965" i="8"/>
  <c r="M1965" i="8"/>
  <c r="L3236" i="8" l="1"/>
  <c r="N3236" i="8"/>
  <c r="M3236" i="8"/>
  <c r="M1370" i="8" l="1"/>
  <c r="N1370" i="8"/>
  <c r="L1370" i="8"/>
  <c r="L1561" i="8" l="1"/>
  <c r="N1561" i="8"/>
  <c r="M1561" i="8"/>
  <c r="M1580" i="8" l="1"/>
  <c r="L1580" i="8"/>
  <c r="N1580" i="8"/>
  <c r="L1589" i="8" l="1"/>
  <c r="N1589" i="8"/>
  <c r="M1589" i="8"/>
  <c r="L1372" i="8" l="1"/>
  <c r="N1372" i="8"/>
  <c r="M1372" i="8"/>
  <c r="L1534" i="8" l="1"/>
  <c r="N1534" i="8"/>
  <c r="M1534" i="8"/>
  <c r="L1379" i="8" l="1"/>
  <c r="N1379" i="8"/>
  <c r="M1379" i="8"/>
  <c r="N1974" i="8" l="1"/>
  <c r="L1974" i="8"/>
  <c r="M1974" i="8"/>
  <c r="N1975" i="8" l="1"/>
  <c r="L1975" i="8"/>
  <c r="M1975" i="8"/>
  <c r="M1560" i="8" l="1"/>
  <c r="L1560" i="8"/>
  <c r="N1560" i="8"/>
  <c r="N1595" i="8" l="1"/>
  <c r="L1595" i="8"/>
  <c r="M1595" i="8"/>
  <c r="M1978" i="8" l="1"/>
  <c r="L1978" i="8"/>
  <c r="N1978" i="8"/>
  <c r="L1979" i="8" l="1"/>
  <c r="N1979" i="8"/>
  <c r="M1979" i="8"/>
  <c r="N1575" i="8" l="1"/>
  <c r="L1575" i="8"/>
  <c r="M1575" i="8"/>
  <c r="M1471" i="8" l="1"/>
  <c r="N1471" i="8"/>
  <c r="L1471" i="8"/>
  <c r="M1380" i="8" l="1"/>
  <c r="L1380" i="8"/>
  <c r="N1380" i="8"/>
  <c r="L1493" i="8" l="1"/>
  <c r="N1493" i="8"/>
  <c r="M1493" i="8"/>
  <c r="L1502" i="8" l="1"/>
  <c r="N1502" i="8"/>
  <c r="M1502" i="8"/>
  <c r="M3376" i="8" l="1"/>
  <c r="L3376" i="8"/>
  <c r="N3376" i="8"/>
  <c r="N1389" i="8" l="1"/>
  <c r="L1389" i="8"/>
  <c r="M1389" i="8"/>
  <c r="N1987" i="8" l="1"/>
  <c r="L1987" i="8"/>
  <c r="M1987" i="8"/>
  <c r="L1988" i="8" l="1"/>
  <c r="N1988" i="8"/>
  <c r="M1988" i="8"/>
  <c r="M3475" i="8" l="1"/>
  <c r="N3475" i="8"/>
  <c r="L3475" i="8"/>
  <c r="L1506" i="8" l="1"/>
  <c r="M1506" i="8"/>
  <c r="N1506" i="8"/>
  <c r="M1507" i="8" l="1"/>
  <c r="L1507" i="8"/>
  <c r="N1507" i="8"/>
  <c r="M1992" i="8" l="1"/>
  <c r="L1992" i="8"/>
  <c r="N1992" i="8"/>
  <c r="N1993" i="8" l="1"/>
  <c r="L1993" i="8"/>
  <c r="M1993" i="8"/>
  <c r="L1994" i="8" l="1"/>
  <c r="N1994" i="8"/>
  <c r="M1994" i="8"/>
  <c r="L1600" i="8" l="1"/>
  <c r="N1600" i="8"/>
  <c r="M1600" i="8"/>
  <c r="M1511" i="8" l="1"/>
  <c r="L1511" i="8"/>
  <c r="N1511" i="8"/>
  <c r="L1392" i="8" l="1"/>
  <c r="M1392" i="8"/>
  <c r="N1392" i="8"/>
  <c r="M3243" i="8" l="1"/>
  <c r="L3243" i="8"/>
  <c r="N3243" i="8"/>
  <c r="L1576" i="8" l="1"/>
  <c r="M1576" i="8"/>
  <c r="N1576" i="8"/>
  <c r="M2000" i="8" l="1"/>
  <c r="L2000" i="8"/>
  <c r="N2000" i="8"/>
  <c r="L2001" i="8" l="1"/>
  <c r="N2001" i="8"/>
  <c r="M2001" i="8"/>
  <c r="M1594" i="8" l="1"/>
  <c r="L1594" i="8"/>
  <c r="N1594" i="8"/>
  <c r="L1601" i="8" l="1"/>
  <c r="M1601" i="8"/>
  <c r="N1601" i="8"/>
  <c r="N3479" i="8" l="1"/>
  <c r="L3479" i="8"/>
  <c r="M3479" i="8"/>
  <c r="N2005" i="8" l="1"/>
  <c r="M2005" i="8"/>
  <c r="L2005" i="8"/>
  <c r="L3484" i="8" l="1"/>
  <c r="M3484" i="8"/>
  <c r="N3484" i="8"/>
  <c r="N1517" i="8" l="1"/>
  <c r="L1517" i="8"/>
  <c r="M1517" i="8"/>
  <c r="L3385" i="8" l="1"/>
  <c r="N3385" i="8"/>
  <c r="M3385" i="8"/>
  <c r="L2867" i="8" l="1"/>
  <c r="N2867" i="8"/>
  <c r="M2867" i="8"/>
  <c r="N1603" i="8" l="1"/>
  <c r="L1603" i="8"/>
  <c r="M1603" i="8"/>
  <c r="M2011" i="8" l="1"/>
  <c r="L2011" i="8"/>
  <c r="N2011" i="8"/>
  <c r="L2012" i="8" l="1"/>
  <c r="N2012" i="8"/>
  <c r="M2012" i="8"/>
  <c r="N1522" i="8" l="1"/>
  <c r="L1522" i="8"/>
  <c r="M1522" i="8"/>
  <c r="M2014" i="8" l="1"/>
  <c r="L2014" i="8"/>
  <c r="N2014" i="8"/>
  <c r="L1400" i="8" l="1"/>
  <c r="N1400" i="8"/>
  <c r="M1400" i="8"/>
  <c r="N2016" i="8" l="1"/>
  <c r="L2016" i="8"/>
  <c r="M2016" i="8"/>
  <c r="L2874" i="8" l="1"/>
  <c r="M2874" i="8"/>
  <c r="N2874" i="8"/>
  <c r="N2018" i="8" l="1"/>
  <c r="L2018" i="8"/>
  <c r="M2018" i="8"/>
  <c r="M2019" i="8" l="1"/>
  <c r="N2019" i="8"/>
  <c r="L2019" i="8"/>
  <c r="L1411" i="8" l="1"/>
  <c r="M1411" i="8"/>
  <c r="N1411" i="8"/>
  <c r="M2883" i="8" l="1"/>
  <c r="L2883" i="8"/>
  <c r="N2883" i="8"/>
  <c r="M1617" i="8" l="1"/>
  <c r="L1617" i="8"/>
  <c r="N1617" i="8"/>
  <c r="L1413" i="8" l="1"/>
  <c r="M1413" i="8"/>
  <c r="N1413" i="8"/>
  <c r="M1418" i="8" l="1"/>
  <c r="L1418" i="8"/>
  <c r="N1418" i="8"/>
  <c r="N2025" i="8" l="1"/>
  <c r="L2025" i="8"/>
  <c r="M2025" i="8"/>
  <c r="L2026" i="8" l="1"/>
  <c r="N2026" i="8"/>
  <c r="M2026" i="8"/>
  <c r="M1624" i="8" l="1"/>
  <c r="N1624" i="8"/>
  <c r="L1624" i="8"/>
  <c r="L1604" i="8" l="1"/>
  <c r="N1604" i="8"/>
  <c r="M1604" i="8"/>
  <c r="N1530" i="8" l="1"/>
  <c r="L1530" i="8"/>
  <c r="M1530" i="8"/>
  <c r="M2030" i="8" l="1"/>
  <c r="N2030" i="8"/>
  <c r="L2030" i="8"/>
  <c r="M1606" i="8" l="1"/>
  <c r="N1606" i="8"/>
  <c r="L1606" i="8"/>
  <c r="N3288" i="8" l="1"/>
  <c r="L3288" i="8"/>
  <c r="M3288" i="8"/>
  <c r="N1613" i="8" l="1"/>
  <c r="L1613" i="8"/>
  <c r="M1613" i="8"/>
  <c r="N2823" i="8" l="1"/>
  <c r="L2823" i="8"/>
  <c r="M2823" i="8"/>
  <c r="L2035" i="8" l="1"/>
  <c r="N2035" i="8"/>
  <c r="M2035" i="8"/>
  <c r="M2036" i="8" l="1"/>
  <c r="L2036" i="8"/>
  <c r="N2036" i="8"/>
  <c r="M1539" i="8" l="1"/>
  <c r="N1539" i="8"/>
  <c r="L1539" i="8"/>
  <c r="L1632" i="8" l="1"/>
  <c r="N1632" i="8"/>
  <c r="M1632" i="8"/>
  <c r="M1638" i="8" l="1"/>
  <c r="N1638" i="8"/>
  <c r="L1638" i="8"/>
  <c r="N1421" i="8" l="1"/>
  <c r="M1421" i="8"/>
  <c r="L1421" i="8"/>
  <c r="M2041" i="8" l="1"/>
  <c r="N2041" i="8"/>
  <c r="L2041" i="8"/>
  <c r="M2042" i="8" l="1"/>
  <c r="L2042" i="8"/>
  <c r="N2042" i="8"/>
  <c r="L1541" i="8" l="1"/>
  <c r="N1541" i="8"/>
  <c r="M1541" i="8"/>
  <c r="N2044" i="8" l="1"/>
  <c r="M2044" i="8"/>
  <c r="L2044" i="8"/>
  <c r="L1633" i="8" l="1"/>
  <c r="N1633" i="8"/>
  <c r="M1633" i="8"/>
  <c r="L3542" i="8" l="1"/>
  <c r="N3542" i="8"/>
  <c r="M3542" i="8"/>
  <c r="N2047" i="8" l="1"/>
  <c r="L2047" i="8"/>
  <c r="M2047" i="8"/>
  <c r="M2048" i="8" l="1"/>
  <c r="L2048" i="8"/>
  <c r="N2048" i="8"/>
  <c r="L2999" i="8" l="1"/>
  <c r="N2999" i="8"/>
  <c r="M2999" i="8"/>
  <c r="L2050" i="8" l="1"/>
  <c r="M2050" i="8"/>
  <c r="N2050" i="8"/>
  <c r="L2051" i="8" l="1"/>
  <c r="N2051" i="8"/>
  <c r="M2051" i="8"/>
  <c r="M1424" i="8" l="1"/>
  <c r="N1424" i="8"/>
  <c r="L1424" i="8"/>
  <c r="M2053" i="8" l="1"/>
  <c r="N2053" i="8"/>
  <c r="L2053" i="8"/>
  <c r="N1640" i="8" l="1"/>
  <c r="L1640" i="8"/>
  <c r="M1640" i="8"/>
  <c r="L1641" i="8" l="1"/>
  <c r="M1641" i="8"/>
  <c r="N1641" i="8"/>
  <c r="L1643" i="8" l="1"/>
  <c r="N1643" i="8"/>
  <c r="M1643" i="8"/>
  <c r="L2057" i="8" l="1"/>
  <c r="N2057" i="8"/>
  <c r="M2057" i="8"/>
  <c r="L1438" i="8" l="1"/>
  <c r="N1438" i="8"/>
  <c r="M1438" i="8"/>
  <c r="L1439" i="8" l="1"/>
  <c r="N1439" i="8"/>
  <c r="M1439" i="8"/>
  <c r="L1440" i="8" l="1"/>
  <c r="M1440" i="8"/>
  <c r="N1440" i="8"/>
  <c r="M1441" i="8" l="1"/>
  <c r="N1441" i="8"/>
  <c r="L1441" i="8"/>
  <c r="L3251" i="8" l="1"/>
  <c r="M3251" i="8"/>
  <c r="N3251" i="8"/>
  <c r="L2063" i="8" l="1"/>
  <c r="M2063" i="8"/>
  <c r="N2063" i="8"/>
  <c r="N1442" i="8" l="1"/>
  <c r="L1442" i="8"/>
  <c r="M1442" i="8"/>
  <c r="N1446" i="8" l="1"/>
  <c r="L1446" i="8"/>
  <c r="M1446" i="8"/>
  <c r="M1651" i="8" l="1"/>
  <c r="N1651" i="8"/>
  <c r="L1651" i="8"/>
  <c r="M2067" i="8" l="1"/>
  <c r="L2067" i="8"/>
  <c r="N2067" i="8"/>
  <c r="L1650" i="8" l="1"/>
  <c r="M1650" i="8"/>
  <c r="N1650" i="8"/>
  <c r="L1654" i="8" l="1"/>
  <c r="M1654" i="8"/>
  <c r="N1654" i="8"/>
  <c r="L1448" i="8" l="1"/>
  <c r="N1448" i="8"/>
  <c r="M1448" i="8"/>
  <c r="M2071" i="8" l="1"/>
  <c r="L2071" i="8"/>
  <c r="N2071" i="8"/>
  <c r="L2072" i="8" l="1"/>
  <c r="M2072" i="8"/>
  <c r="N2072" i="8"/>
  <c r="L3544" i="8" l="1"/>
  <c r="M3544" i="8"/>
  <c r="N3544" i="8"/>
  <c r="L2074" i="8" l="1"/>
  <c r="M2074" i="8"/>
  <c r="N2074" i="8"/>
  <c r="M2828" i="8" l="1"/>
  <c r="L2828" i="8"/>
  <c r="N2828" i="8"/>
  <c r="L1549" i="8" l="1"/>
  <c r="N1549" i="8"/>
  <c r="M1549" i="8"/>
  <c r="M1655" i="8" l="1"/>
  <c r="N1655" i="8"/>
  <c r="L1655" i="8"/>
  <c r="L1449" i="8" l="1"/>
  <c r="N1449" i="8"/>
  <c r="M1449" i="8"/>
  <c r="L1662" i="8" l="1"/>
  <c r="N1662" i="8"/>
  <c r="M1662" i="8"/>
  <c r="L1463" i="8" l="1"/>
  <c r="M1463" i="8"/>
  <c r="N1463" i="8"/>
  <c r="L1666" i="8" l="1"/>
  <c r="M1666" i="8"/>
  <c r="N1666" i="8"/>
  <c r="L1659" i="8" l="1"/>
  <c r="N1659" i="8"/>
  <c r="M1659" i="8"/>
  <c r="N1558" i="8" l="1"/>
  <c r="L1558" i="8"/>
  <c r="M1558" i="8"/>
  <c r="L1464" i="8" l="1"/>
  <c r="N1464" i="8"/>
  <c r="M1464" i="8"/>
  <c r="M1660" i="8" l="1"/>
  <c r="L1660" i="8"/>
  <c r="N1660" i="8"/>
  <c r="L1667" i="8" l="1"/>
  <c r="M1667" i="8"/>
  <c r="N1667" i="8"/>
  <c r="N1472" i="8" l="1"/>
  <c r="L1472" i="8"/>
  <c r="M1472" i="8"/>
  <c r="N1563" i="8" l="1"/>
  <c r="L1563" i="8"/>
  <c r="M1563" i="8"/>
  <c r="L2089" i="8" l="1"/>
  <c r="N2089" i="8"/>
  <c r="M2089" i="8"/>
  <c r="M3491" i="8" l="1"/>
  <c r="L3491" i="8"/>
  <c r="N3491" i="8"/>
  <c r="L1572" i="8" l="1"/>
  <c r="N1572" i="8"/>
  <c r="M1572" i="8"/>
  <c r="N1482" i="8" l="1"/>
  <c r="L1482" i="8"/>
  <c r="M1482" i="8"/>
  <c r="L1487" i="8" l="1"/>
  <c r="N1487" i="8"/>
  <c r="M1487" i="8"/>
  <c r="N2094" i="8" l="1"/>
  <c r="M2094" i="8"/>
  <c r="L2094" i="8"/>
  <c r="N2095" i="8" l="1"/>
  <c r="M2095" i="8"/>
  <c r="L2095" i="8"/>
  <c r="N2096" i="8" l="1"/>
  <c r="M2096" i="8"/>
  <c r="L2096" i="8"/>
  <c r="L1663" i="8" l="1"/>
  <c r="M1663" i="8"/>
  <c r="N1663" i="8"/>
  <c r="L1499" i="8" l="1"/>
  <c r="N1499" i="8"/>
  <c r="M1499" i="8"/>
  <c r="M1503" i="8" l="1"/>
  <c r="N1503" i="8"/>
  <c r="L1503" i="8"/>
  <c r="L2100" i="8" l="1"/>
  <c r="N2100" i="8"/>
  <c r="M2100" i="8"/>
  <c r="L2101" i="8" l="1"/>
  <c r="M2101" i="8"/>
  <c r="N2101" i="8"/>
  <c r="L2102" i="8" l="1"/>
  <c r="M2102" i="8"/>
  <c r="N2102" i="8"/>
  <c r="N1668" i="8" l="1"/>
  <c r="L1668" i="8"/>
  <c r="M1668" i="8"/>
  <c r="M2104" i="8" l="1"/>
  <c r="L2104" i="8"/>
  <c r="N2104" i="8"/>
  <c r="M2105" i="8" l="1"/>
  <c r="N2105" i="8"/>
  <c r="L2105" i="8"/>
  <c r="L1509" i="8" l="1"/>
  <c r="M1509" i="8"/>
  <c r="N1509" i="8"/>
  <c r="L1686" i="8" l="1"/>
  <c r="N1686" i="8"/>
  <c r="M1686" i="8"/>
  <c r="N1689" i="8" l="1"/>
  <c r="M1689" i="8"/>
  <c r="L1689" i="8"/>
  <c r="L1514" i="8" l="1"/>
  <c r="M1514" i="8"/>
  <c r="N1514" i="8"/>
  <c r="N2902" i="8" l="1"/>
  <c r="M2902" i="8"/>
  <c r="L2902" i="8"/>
  <c r="L1690" i="8" l="1"/>
  <c r="M1690" i="8"/>
  <c r="N1690" i="8"/>
  <c r="L1532" i="8" l="1"/>
  <c r="N1532" i="8"/>
  <c r="M1532" i="8"/>
  <c r="N1593" i="8" l="1"/>
  <c r="L1593" i="8"/>
  <c r="M1593" i="8"/>
  <c r="M3547" i="8" l="1"/>
  <c r="L3547" i="8"/>
  <c r="N3547" i="8"/>
  <c r="N3291" i="8" l="1"/>
  <c r="M3291" i="8"/>
  <c r="L3291" i="8"/>
  <c r="L2116" i="8" l="1"/>
  <c r="M2116" i="8"/>
  <c r="N2116" i="8"/>
  <c r="L2832" i="8" l="1"/>
  <c r="N2832" i="8"/>
  <c r="M2832" i="8"/>
  <c r="L3386" i="8" l="1"/>
  <c r="M3386" i="8"/>
  <c r="N3386" i="8"/>
  <c r="M1542" i="8" l="1"/>
  <c r="N1542" i="8"/>
  <c r="L1542" i="8"/>
  <c r="L2906" i="8" l="1"/>
  <c r="M2906" i="8"/>
  <c r="N2906" i="8"/>
  <c r="L1679" i="8" l="1"/>
  <c r="N1679" i="8"/>
  <c r="M1679" i="8"/>
  <c r="N2122" i="8" l="1"/>
  <c r="L2122" i="8"/>
  <c r="M2122" i="8"/>
  <c r="N2123" i="8" l="1"/>
  <c r="L2123" i="8"/>
  <c r="M2123" i="8"/>
  <c r="N1552" i="8" l="1"/>
  <c r="L1552" i="8"/>
  <c r="M1552" i="8"/>
  <c r="N1596" i="8" l="1"/>
  <c r="L1596" i="8"/>
  <c r="M1596" i="8"/>
  <c r="N2126" i="8" l="1"/>
  <c r="L2126" i="8"/>
  <c r="M2126" i="8"/>
  <c r="L2127" i="8" l="1"/>
  <c r="M2127" i="8"/>
  <c r="N2127" i="8"/>
  <c r="M2128" i="8" l="1"/>
  <c r="N2128" i="8"/>
  <c r="L2128" i="8"/>
  <c r="M3305" i="8" l="1"/>
  <c r="N3305" i="8"/>
  <c r="L3305" i="8"/>
  <c r="M2130" i="8" l="1"/>
  <c r="L2130" i="8"/>
  <c r="N2130" i="8"/>
  <c r="L2131" i="8" l="1"/>
  <c r="N2131" i="8"/>
  <c r="M2131" i="8"/>
  <c r="L2132" i="8" l="1"/>
  <c r="N2132" i="8"/>
  <c r="M2132" i="8"/>
  <c r="L2835" i="8" l="1"/>
  <c r="N2835" i="8"/>
  <c r="M2835" i="8"/>
  <c r="L1553" i="8" l="1"/>
  <c r="N1553" i="8"/>
  <c r="M1553" i="8"/>
  <c r="N1700" i="8" l="1"/>
  <c r="M1700" i="8"/>
  <c r="L1700" i="8"/>
  <c r="L1703" i="8" l="1"/>
  <c r="M1703" i="8"/>
  <c r="N1703" i="8"/>
  <c r="M1554" i="8" l="1"/>
  <c r="L1554" i="8"/>
  <c r="N1554" i="8"/>
  <c r="L1704" i="8" l="1"/>
  <c r="N1704" i="8"/>
  <c r="M1704" i="8"/>
  <c r="N1682" i="8" l="1"/>
  <c r="L1682" i="8"/>
  <c r="M1682" i="8"/>
  <c r="N2140" i="8" l="1"/>
  <c r="M2140" i="8"/>
  <c r="L2140" i="8"/>
  <c r="L2141" i="8" l="1"/>
  <c r="N2141" i="8"/>
  <c r="M2141" i="8"/>
  <c r="M1714" i="8" l="1"/>
  <c r="L1714" i="8"/>
  <c r="N1714" i="8"/>
  <c r="N1725" i="8" l="1"/>
  <c r="L1725" i="8"/>
  <c r="M1725" i="8"/>
  <c r="N3390" i="8" l="1"/>
  <c r="L3390" i="8"/>
  <c r="M3390" i="8"/>
  <c r="L1605" i="8" l="1"/>
  <c r="N1605" i="8"/>
  <c r="M1605" i="8"/>
  <c r="L1607" i="8" l="1"/>
  <c r="N1607" i="8"/>
  <c r="M1607" i="8"/>
  <c r="L1610" i="8" l="1"/>
  <c r="M1610" i="8"/>
  <c r="N1610" i="8"/>
  <c r="L2148" i="8" l="1"/>
  <c r="M2148" i="8"/>
  <c r="N2148" i="8"/>
  <c r="L2149" i="8" l="1"/>
  <c r="N2149" i="8"/>
  <c r="M2149" i="8"/>
  <c r="L1555" i="8" l="1"/>
  <c r="N1555" i="8"/>
  <c r="M1555" i="8"/>
  <c r="N1728" i="8" l="1"/>
  <c r="M1728" i="8"/>
  <c r="L1728" i="8"/>
  <c r="M2152" i="8" l="1"/>
  <c r="N2152" i="8"/>
  <c r="L2152" i="8"/>
  <c r="L1559" i="8" l="1"/>
  <c r="M1559" i="8"/>
  <c r="N1559" i="8"/>
  <c r="L1683" i="8" l="1"/>
  <c r="N1683" i="8"/>
  <c r="M1683" i="8"/>
  <c r="L2155" i="8" l="1"/>
  <c r="N2155" i="8"/>
  <c r="M2155" i="8"/>
  <c r="L2156" i="8" l="1"/>
  <c r="M2156" i="8"/>
  <c r="N2156" i="8"/>
  <c r="L1614" i="8" l="1"/>
  <c r="M1614" i="8"/>
  <c r="N1614" i="8"/>
  <c r="L2158" i="8" l="1"/>
  <c r="N2158" i="8"/>
  <c r="M2158" i="8"/>
  <c r="N2159" i="8" l="1"/>
  <c r="L2159" i="8"/>
  <c r="M2159" i="8"/>
  <c r="M1564" i="8" l="1"/>
  <c r="N1564" i="8"/>
  <c r="L1564" i="8"/>
  <c r="M1730" i="8" l="1"/>
  <c r="L1730" i="8"/>
  <c r="N1730" i="8"/>
  <c r="L2162" i="8" l="1"/>
  <c r="M2162" i="8"/>
  <c r="N2162" i="8"/>
  <c r="L3551" i="8" l="1"/>
  <c r="M3551" i="8"/>
  <c r="N3551" i="8"/>
  <c r="L1734" i="8" l="1"/>
  <c r="M1734" i="8"/>
  <c r="N1734" i="8"/>
  <c r="N2165" i="8" l="1"/>
  <c r="L2165" i="8"/>
  <c r="M2165" i="8"/>
  <c r="N1615" i="8" l="1"/>
  <c r="M1615" i="8"/>
  <c r="L1615" i="8"/>
  <c r="L1684" i="8" l="1"/>
  <c r="N1684" i="8"/>
  <c r="M1684" i="8"/>
  <c r="N2168" i="8" l="1"/>
  <c r="L2168" i="8"/>
  <c r="M2168" i="8"/>
  <c r="L1691" i="8" l="1"/>
  <c r="M1691" i="8"/>
  <c r="N1691" i="8"/>
  <c r="N1616" i="8" l="1"/>
  <c r="L1616" i="8"/>
  <c r="M1616" i="8"/>
  <c r="L2171" i="8" l="1"/>
  <c r="N2171" i="8"/>
  <c r="M2171" i="8"/>
  <c r="M2172" i="8" l="1"/>
  <c r="L2172" i="8"/>
  <c r="N2172" i="8"/>
  <c r="N1620" i="8" l="1"/>
  <c r="L1620" i="8"/>
  <c r="M1620" i="8"/>
  <c r="L2174" i="8" l="1"/>
  <c r="N2174" i="8"/>
  <c r="M2174" i="8"/>
  <c r="N3393" i="8" l="1"/>
  <c r="L3393" i="8"/>
  <c r="M3393" i="8"/>
  <c r="L1736" i="8" l="1"/>
  <c r="M1736" i="8"/>
  <c r="N1736" i="8"/>
  <c r="M1565" i="8" l="1"/>
  <c r="L1565" i="8"/>
  <c r="N1565" i="8"/>
  <c r="L1621" i="8" l="1"/>
  <c r="M1621" i="8"/>
  <c r="N1621" i="8"/>
  <c r="L1622" i="8" l="1"/>
  <c r="N1622" i="8"/>
  <c r="M1622" i="8"/>
  <c r="N2180" i="8" l="1"/>
  <c r="L2180" i="8"/>
  <c r="M2180" i="8"/>
  <c r="N1567" i="8" l="1"/>
  <c r="L1567" i="8"/>
  <c r="M1567" i="8"/>
  <c r="M1570" i="8" l="1"/>
  <c r="L1570" i="8"/>
  <c r="N1570" i="8"/>
  <c r="L2183" i="8" l="1"/>
  <c r="M2183" i="8"/>
  <c r="N2183" i="8"/>
  <c r="L1742" i="8" l="1"/>
  <c r="M1742" i="8"/>
  <c r="N1742" i="8"/>
  <c r="N2185" i="8" l="1"/>
  <c r="L2185" i="8"/>
  <c r="M2185" i="8"/>
  <c r="N2186" i="8" l="1"/>
  <c r="L2186" i="8"/>
  <c r="M2186" i="8"/>
  <c r="M2187" i="8" l="1"/>
  <c r="L2187" i="8"/>
  <c r="N2187" i="8"/>
  <c r="L3395" i="8" l="1"/>
  <c r="M3395" i="8"/>
  <c r="N3395" i="8"/>
  <c r="L2189" i="8" l="1"/>
  <c r="N2189" i="8"/>
  <c r="M2189" i="8"/>
  <c r="N1571" i="8" l="1"/>
  <c r="L1571" i="8"/>
  <c r="M1571" i="8"/>
  <c r="N1692" i="8" l="1"/>
  <c r="L1692" i="8"/>
  <c r="M1692" i="8"/>
  <c r="L2913" i="8" l="1"/>
  <c r="M2913" i="8"/>
  <c r="N2913" i="8"/>
  <c r="N1743" i="8" l="1"/>
  <c r="M1743" i="8"/>
  <c r="L1743" i="8"/>
  <c r="M1693" i="8" l="1"/>
  <c r="N1693" i="8"/>
  <c r="L1693" i="8"/>
  <c r="M2195" i="8" l="1"/>
  <c r="N2195" i="8"/>
  <c r="L2195" i="8"/>
  <c r="M2196" i="8" l="1"/>
  <c r="N2196" i="8"/>
  <c r="L2196" i="8"/>
  <c r="L3495" i="8" l="1"/>
  <c r="M3495" i="8"/>
  <c r="N3495" i="8"/>
  <c r="N3312" i="8" l="1"/>
  <c r="L3312" i="8"/>
  <c r="M3312" i="8"/>
  <c r="M2199" i="8" l="1"/>
  <c r="L2199" i="8"/>
  <c r="N2199" i="8"/>
  <c r="L2200" i="8" l="1"/>
  <c r="M2200" i="8"/>
  <c r="N2200" i="8"/>
  <c r="L1626" i="8" l="1"/>
  <c r="M1626" i="8"/>
  <c r="N1626" i="8"/>
  <c r="N2202" i="8" l="1"/>
  <c r="L2202" i="8"/>
  <c r="M2202" i="8"/>
  <c r="L1627" i="8" l="1"/>
  <c r="M1627" i="8"/>
  <c r="N1627" i="8"/>
  <c r="L1581" i="8" l="1"/>
  <c r="N1581" i="8"/>
  <c r="M1581" i="8"/>
  <c r="M2205" i="8" l="1"/>
  <c r="L2205" i="8"/>
  <c r="N2205" i="8"/>
  <c r="L1695" i="8" l="1"/>
  <c r="N1695" i="8"/>
  <c r="M1695" i="8"/>
  <c r="N1745" i="8" l="1"/>
  <c r="L1745" i="8"/>
  <c r="M1745" i="8"/>
  <c r="L1630" i="8" l="1"/>
  <c r="N1630" i="8"/>
  <c r="M1630" i="8"/>
  <c r="N1646" i="8" l="1"/>
  <c r="L1646" i="8"/>
  <c r="M1646" i="8"/>
  <c r="L2210" i="8" l="1"/>
  <c r="M2210" i="8"/>
  <c r="N2210" i="8"/>
  <c r="L1702" i="8" l="1"/>
  <c r="M1702" i="8"/>
  <c r="N1702" i="8"/>
  <c r="N2914" i="8" l="1"/>
  <c r="M2914" i="8"/>
  <c r="L2914" i="8"/>
  <c r="N3317" i="8" l="1"/>
  <c r="L3317" i="8"/>
  <c r="M3317" i="8"/>
  <c r="N2214" i="8" l="1"/>
  <c r="M2214" i="8"/>
  <c r="L2214" i="8"/>
  <c r="L3497" i="8" l="1"/>
  <c r="M3497" i="8"/>
  <c r="N3497" i="8"/>
  <c r="L2216" i="8" l="1"/>
  <c r="M2216" i="8"/>
  <c r="N2216" i="8"/>
  <c r="L1709" i="8" l="1"/>
  <c r="N1709" i="8"/>
  <c r="M1709" i="8"/>
  <c r="L1649" i="8" l="1"/>
  <c r="N1649" i="8"/>
  <c r="M1649" i="8"/>
  <c r="M2219" i="8" l="1"/>
  <c r="L2219" i="8"/>
  <c r="N2219" i="8"/>
  <c r="N2220" i="8" l="1"/>
  <c r="L2220" i="8"/>
  <c r="M2220" i="8"/>
  <c r="L2221" i="8" l="1"/>
  <c r="N2221" i="8"/>
  <c r="M2221" i="8"/>
  <c r="N1586" i="8" l="1"/>
  <c r="M1586" i="8"/>
  <c r="L1586" i="8"/>
  <c r="L2223" i="8" l="1"/>
  <c r="N2223" i="8"/>
  <c r="M2223" i="8"/>
  <c r="L2224" i="8" l="1"/>
  <c r="M2224" i="8"/>
  <c r="N2224" i="8"/>
  <c r="N1653" i="8" l="1"/>
  <c r="M1653" i="8"/>
  <c r="L1653" i="8"/>
  <c r="L1748" i="8" l="1"/>
  <c r="M1748" i="8"/>
  <c r="N1748" i="8"/>
  <c r="M1710" i="8" l="1"/>
  <c r="L1710" i="8"/>
  <c r="N1710" i="8"/>
  <c r="N1590" i="8" l="1"/>
  <c r="L1590" i="8"/>
  <c r="M1590" i="8"/>
  <c r="L2229" i="8" l="1"/>
  <c r="M2229" i="8"/>
  <c r="N2229" i="8"/>
  <c r="M1712" i="8" l="1"/>
  <c r="N1712" i="8"/>
  <c r="L1712" i="8"/>
  <c r="N2231" i="8" l="1"/>
  <c r="L2231" i="8"/>
  <c r="M2231" i="8"/>
  <c r="L1721" i="8" l="1"/>
  <c r="N1721" i="8"/>
  <c r="M1721" i="8"/>
  <c r="L2233" i="8" l="1"/>
  <c r="M2233" i="8"/>
  <c r="N2233" i="8"/>
  <c r="L1665" i="8" l="1"/>
  <c r="M1665" i="8"/>
  <c r="N1665" i="8"/>
  <c r="N2235" i="8" l="1"/>
  <c r="L2235" i="8"/>
  <c r="M2235" i="8"/>
  <c r="M1612" i="8" l="1"/>
  <c r="N1612" i="8"/>
  <c r="L1612" i="8"/>
  <c r="N2237" i="8" l="1"/>
  <c r="M2237" i="8"/>
  <c r="L2237" i="8"/>
  <c r="M2238" i="8" l="1"/>
  <c r="N2238" i="8"/>
  <c r="L2238" i="8"/>
  <c r="L3257" i="8" l="1"/>
  <c r="N3257" i="8"/>
  <c r="M3257" i="8"/>
  <c r="M3522" i="8" l="1"/>
  <c r="L3522" i="8"/>
  <c r="N3522" i="8"/>
  <c r="M1723" i="8" l="1"/>
  <c r="N1723" i="8"/>
  <c r="L1723" i="8"/>
  <c r="M2242" i="8" l="1"/>
  <c r="N2242" i="8"/>
  <c r="L2242" i="8"/>
  <c r="M3002" i="8" l="1"/>
  <c r="N3002" i="8"/>
  <c r="L3002" i="8"/>
  <c r="L2244" i="8" l="1"/>
  <c r="N2244" i="8"/>
  <c r="M2244" i="8"/>
  <c r="N1749" i="8" l="1"/>
  <c r="M1749" i="8"/>
  <c r="L1749" i="8"/>
  <c r="N1623" i="8" l="1"/>
  <c r="L1623" i="8"/>
  <c r="M1623" i="8"/>
  <c r="L1767" i="8" l="1"/>
  <c r="M1767" i="8"/>
  <c r="N1767" i="8"/>
  <c r="L1639" i="8" l="1"/>
  <c r="N1639" i="8"/>
  <c r="M1639" i="8"/>
  <c r="M2249" i="8" l="1"/>
  <c r="N2249" i="8"/>
  <c r="L2249" i="8"/>
  <c r="M2250" i="8" l="1"/>
  <c r="L2250" i="8"/>
  <c r="N2250" i="8"/>
  <c r="L1768" i="8" l="1"/>
  <c r="N1768" i="8"/>
  <c r="M1768" i="8"/>
  <c r="L2252" i="8" l="1"/>
  <c r="M2252" i="8"/>
  <c r="N2252" i="8"/>
  <c r="M1769" i="8" l="1"/>
  <c r="N1769" i="8"/>
  <c r="L1769" i="8"/>
  <c r="L1777" i="8" l="1"/>
  <c r="N1777" i="8"/>
  <c r="M1777" i="8"/>
  <c r="L2255" i="8" l="1"/>
  <c r="M2255" i="8"/>
  <c r="N2255" i="8"/>
  <c r="N3533" i="8" l="1"/>
  <c r="M3533" i="8"/>
  <c r="L3533" i="8"/>
  <c r="M2257" i="8" l="1"/>
  <c r="L2257" i="8"/>
  <c r="N2257" i="8"/>
  <c r="N2258" i="8" l="1"/>
  <c r="L2258" i="8"/>
  <c r="M2258" i="8"/>
  <c r="N1737" i="8" l="1"/>
  <c r="L1737" i="8"/>
  <c r="M1737" i="8"/>
  <c r="M1783" i="8" l="1"/>
  <c r="N1783" i="8"/>
  <c r="L1783" i="8"/>
  <c r="N1676" i="8" l="1"/>
  <c r="L1676" i="8"/>
  <c r="M1676" i="8"/>
  <c r="N1791" i="8" l="1"/>
  <c r="M1791" i="8"/>
  <c r="L1791" i="8"/>
  <c r="N1677" i="8" l="1"/>
  <c r="M1677" i="8"/>
  <c r="L1677" i="8"/>
  <c r="N1644" i="8" l="1"/>
  <c r="L1644" i="8"/>
  <c r="M1644" i="8"/>
  <c r="N2265" i="8" l="1"/>
  <c r="L2265" i="8"/>
  <c r="M2265" i="8"/>
  <c r="L1658" i="8" l="1"/>
  <c r="M1658" i="8"/>
  <c r="N1658" i="8"/>
  <c r="L2267" i="8" l="1"/>
  <c r="M2267" i="8"/>
  <c r="N2267" i="8"/>
  <c r="L1798" i="8" l="1"/>
  <c r="M1798" i="8"/>
  <c r="N1798" i="8"/>
  <c r="N2269" i="8" l="1"/>
  <c r="L2269" i="8"/>
  <c r="M2269" i="8"/>
  <c r="L1808" i="8" l="1"/>
  <c r="N1808" i="8"/>
  <c r="M1808" i="8"/>
  <c r="N1664" i="8" l="1"/>
  <c r="L1664" i="8"/>
  <c r="M1664" i="8"/>
  <c r="N2272" i="8" l="1"/>
  <c r="M2272" i="8"/>
  <c r="L2272" i="8"/>
  <c r="M1738" i="8" l="1"/>
  <c r="L1738" i="8"/>
  <c r="N1738" i="8"/>
  <c r="N2274" i="8" l="1"/>
  <c r="L2274" i="8"/>
  <c r="M2274" i="8"/>
  <c r="L2275" i="8" l="1"/>
  <c r="N2275" i="8"/>
  <c r="M2275" i="8"/>
  <c r="N3560" i="8" l="1"/>
  <c r="L3560" i="8"/>
  <c r="M3560" i="8"/>
  <c r="L2277" i="8" l="1"/>
  <c r="M2277" i="8"/>
  <c r="N2277" i="8"/>
  <c r="L3564" i="8" l="1"/>
  <c r="M3564" i="8"/>
  <c r="N3564" i="8"/>
  <c r="M1678" i="8" l="1"/>
  <c r="L1678" i="8"/>
  <c r="N1678" i="8"/>
  <c r="L1823" i="8" l="1"/>
  <c r="M1823" i="8"/>
  <c r="N1823" i="8"/>
  <c r="N3536" i="8" l="1"/>
  <c r="L3536" i="8"/>
  <c r="M3536" i="8"/>
  <c r="M3543" i="8" l="1"/>
  <c r="L3543" i="8"/>
  <c r="N3543" i="8"/>
  <c r="M1688" i="8" l="1"/>
  <c r="N1688" i="8"/>
  <c r="L1688" i="8"/>
  <c r="L2850" i="8" l="1"/>
  <c r="M2850" i="8"/>
  <c r="N2850" i="8"/>
  <c r="N2285" i="8" l="1"/>
  <c r="L2285" i="8"/>
  <c r="M2285" i="8"/>
  <c r="L3260" i="8" l="1"/>
  <c r="M3260" i="8"/>
  <c r="N3260" i="8"/>
  <c r="M1694" i="8" l="1"/>
  <c r="L1694" i="8"/>
  <c r="N1694" i="8"/>
  <c r="L2288" i="8" l="1"/>
  <c r="N2288" i="8"/>
  <c r="M2288" i="8"/>
  <c r="M1832" i="8" l="1"/>
  <c r="L1832" i="8"/>
  <c r="N1832" i="8"/>
  <c r="M2290" i="8" l="1"/>
  <c r="N2290" i="8"/>
  <c r="L2290" i="8"/>
  <c r="N1670" i="8" l="1"/>
  <c r="M1670" i="8"/>
  <c r="L1670" i="8"/>
  <c r="M2292" i="8" l="1"/>
  <c r="L2292" i="8"/>
  <c r="N2292" i="8"/>
  <c r="M2293" i="8" l="1"/>
  <c r="L2293" i="8"/>
  <c r="N2293" i="8"/>
  <c r="M2294" i="8" l="1"/>
  <c r="L2294" i="8"/>
  <c r="N2294" i="8"/>
  <c r="L2295" i="8" l="1"/>
  <c r="N2295" i="8"/>
  <c r="M2295" i="8"/>
  <c r="N2296" i="8" l="1"/>
  <c r="L2296" i="8"/>
  <c r="M2296" i="8"/>
  <c r="N3328" i="8" l="1"/>
  <c r="L3328" i="8"/>
  <c r="M3328" i="8"/>
  <c r="N3548" i="8" l="1"/>
  <c r="L3548" i="8"/>
  <c r="M3548" i="8"/>
  <c r="N1739" i="8" l="1"/>
  <c r="M1739" i="8"/>
  <c r="L1739" i="8"/>
  <c r="N2854" i="8" l="1"/>
  <c r="L2854" i="8"/>
  <c r="M2854" i="8"/>
  <c r="M1752" i="8" l="1"/>
  <c r="N1752" i="8"/>
  <c r="L1752" i="8"/>
  <c r="N1673" i="8" l="1"/>
  <c r="L1673" i="8"/>
  <c r="M1673" i="8"/>
  <c r="L2303" i="8" l="1"/>
  <c r="N2303" i="8"/>
  <c r="M2303" i="8"/>
  <c r="M1674" i="8" l="1"/>
  <c r="N1674" i="8"/>
  <c r="L1674" i="8"/>
  <c r="M2305" i="8" l="1"/>
  <c r="L2305" i="8"/>
  <c r="N2305" i="8"/>
  <c r="L1835" i="8" l="1"/>
  <c r="M1835" i="8"/>
  <c r="N1835" i="8"/>
  <c r="L2307" i="8" l="1"/>
  <c r="N2307" i="8"/>
  <c r="M2307" i="8"/>
  <c r="L2308" i="8" l="1"/>
  <c r="N2308" i="8"/>
  <c r="M2308" i="8"/>
  <c r="L2309" i="8" l="1"/>
  <c r="N2309" i="8"/>
  <c r="M2309" i="8"/>
  <c r="M2310" i="8" l="1"/>
  <c r="L2310" i="8"/>
  <c r="N2310" i="8"/>
  <c r="N1847" i="8" l="1"/>
  <c r="L1847" i="8"/>
  <c r="M1847" i="8"/>
  <c r="M1850" i="8" l="1"/>
  <c r="L1850" i="8"/>
  <c r="N1850" i="8"/>
  <c r="N1675" i="8" l="1"/>
  <c r="L1675" i="8"/>
  <c r="M1675" i="8"/>
  <c r="N2314" i="8" l="1"/>
  <c r="M2314" i="8"/>
  <c r="L2314" i="8"/>
  <c r="L1754" i="8" l="1"/>
  <c r="M1754" i="8"/>
  <c r="N1754" i="8"/>
  <c r="L2316" i="8" l="1"/>
  <c r="N2316" i="8"/>
  <c r="M2316" i="8"/>
  <c r="N1756" i="8" l="1"/>
  <c r="L1756" i="8"/>
  <c r="M1756" i="8"/>
  <c r="L2318" i="8" l="1"/>
  <c r="M2318" i="8"/>
  <c r="N2318" i="8"/>
  <c r="M1696" i="8" l="1"/>
  <c r="N1696" i="8"/>
  <c r="L1696" i="8"/>
  <c r="L1701" i="8" l="1"/>
  <c r="N1701" i="8"/>
  <c r="M1701" i="8"/>
  <c r="M2321" i="8" l="1"/>
  <c r="L2321" i="8"/>
  <c r="N2321" i="8"/>
  <c r="N2322" i="8" l="1"/>
  <c r="M2322" i="8"/>
  <c r="L2322" i="8"/>
  <c r="N1715" i="8" l="1"/>
  <c r="L1715" i="8"/>
  <c r="M1715" i="8"/>
  <c r="M3337" i="8" l="1"/>
  <c r="L3337" i="8"/>
  <c r="N3337" i="8"/>
  <c r="N2325" i="8" l="1"/>
  <c r="L2325" i="8"/>
  <c r="M2325" i="8"/>
  <c r="N2326" i="8" l="1"/>
  <c r="L2326" i="8"/>
  <c r="M2326" i="8"/>
  <c r="N2327" i="8" l="1"/>
  <c r="M2327" i="8"/>
  <c r="L2327" i="8"/>
  <c r="N3567" i="8" l="1"/>
  <c r="M3567" i="8"/>
  <c r="L3567" i="8"/>
  <c r="L3411" i="8" l="1"/>
  <c r="N3411" i="8"/>
  <c r="M3411" i="8"/>
  <c r="M3265" i="8" l="1"/>
  <c r="N3265" i="8"/>
  <c r="L3265" i="8"/>
  <c r="M2331" i="8" l="1"/>
  <c r="N2331" i="8"/>
  <c r="L2331" i="8"/>
  <c r="L1697" i="8" l="1"/>
  <c r="N1697" i="8"/>
  <c r="M1697" i="8"/>
  <c r="L1724" i="8" l="1"/>
  <c r="M1724" i="8"/>
  <c r="N1724" i="8"/>
  <c r="L1758" i="8" l="1"/>
  <c r="M1758" i="8"/>
  <c r="N1758" i="8"/>
  <c r="M2335" i="8" l="1"/>
  <c r="N2335" i="8"/>
  <c r="L2335" i="8"/>
  <c r="N2336" i="8" l="1"/>
  <c r="M2336" i="8"/>
  <c r="L2336" i="8"/>
  <c r="L2337" i="8" l="1"/>
  <c r="N2337" i="8"/>
  <c r="M2337" i="8"/>
  <c r="N1853" i="8" l="1"/>
  <c r="L1853" i="8"/>
  <c r="M1853" i="8"/>
  <c r="N1771" i="8" l="1"/>
  <c r="L1771" i="8"/>
  <c r="M1771" i="8"/>
  <c r="L1780" i="8" l="1"/>
  <c r="N1780" i="8"/>
  <c r="M1780" i="8"/>
  <c r="N1744" i="8" l="1"/>
  <c r="L1744" i="8"/>
  <c r="M1744" i="8"/>
  <c r="M3412" i="8" l="1"/>
  <c r="L3412" i="8"/>
  <c r="N3412" i="8"/>
  <c r="L3003" i="8" l="1"/>
  <c r="N3003" i="8"/>
  <c r="M3003" i="8"/>
  <c r="M1872" i="8" l="1"/>
  <c r="L1872" i="8"/>
  <c r="N1872" i="8"/>
  <c r="M1751" i="8" l="1"/>
  <c r="N1751" i="8"/>
  <c r="L1751" i="8"/>
  <c r="M1753" i="8" l="1"/>
  <c r="N1753" i="8"/>
  <c r="L1753" i="8"/>
  <c r="L1877" i="8" l="1"/>
  <c r="M1877" i="8"/>
  <c r="N1877" i="8"/>
  <c r="M2348" i="8" l="1"/>
  <c r="L2348" i="8"/>
  <c r="N2348" i="8"/>
  <c r="N3422" i="8" l="1"/>
  <c r="L3422" i="8"/>
  <c r="M3422" i="8"/>
  <c r="M2350" i="8" l="1"/>
  <c r="L2350" i="8"/>
  <c r="N2350" i="8"/>
  <c r="N2351" i="8" l="1"/>
  <c r="M2351" i="8"/>
  <c r="L2351" i="8"/>
  <c r="N1883" i="8" l="1"/>
  <c r="L1883" i="8"/>
  <c r="M1883" i="8"/>
  <c r="L2353" i="8" l="1"/>
  <c r="M2353" i="8"/>
  <c r="N2353" i="8"/>
  <c r="N2919" i="8" l="1"/>
  <c r="M2919" i="8"/>
  <c r="L2919" i="8"/>
  <c r="M2355" i="8" l="1"/>
  <c r="L2355" i="8"/>
  <c r="N2355" i="8"/>
  <c r="M1781" i="8" l="1"/>
  <c r="L1781" i="8"/>
  <c r="N1781" i="8"/>
  <c r="L1706" i="8" l="1"/>
  <c r="N1706" i="8"/>
  <c r="M1706" i="8"/>
  <c r="L2358" i="8" l="1"/>
  <c r="M2358" i="8"/>
  <c r="N2358" i="8"/>
  <c r="M1890" i="8" l="1"/>
  <c r="N1890" i="8"/>
  <c r="L1890" i="8"/>
  <c r="M1713" i="8" l="1"/>
  <c r="N1713" i="8"/>
  <c r="L1713" i="8"/>
  <c r="N2361" i="8" l="1"/>
  <c r="M2361" i="8"/>
  <c r="L2361" i="8"/>
  <c r="N1784" i="8" l="1"/>
  <c r="L1784" i="8"/>
  <c r="M1784" i="8"/>
  <c r="L2363" i="8" l="1"/>
  <c r="N2363" i="8"/>
  <c r="M2363" i="8"/>
  <c r="N2364" i="8" l="1"/>
  <c r="L2364" i="8"/>
  <c r="M2364" i="8"/>
  <c r="L1755" i="8" l="1"/>
  <c r="N1755" i="8"/>
  <c r="M1755" i="8"/>
  <c r="M3338" i="8" l="1"/>
  <c r="N3338" i="8"/>
  <c r="L3338" i="8"/>
  <c r="L3554" i="8" l="1"/>
  <c r="M3554" i="8"/>
  <c r="N3554" i="8"/>
  <c r="N1762" i="8" l="1"/>
  <c r="L1762" i="8"/>
  <c r="M1762" i="8"/>
  <c r="L2369" i="8" l="1"/>
  <c r="M2369" i="8"/>
  <c r="N2369" i="8"/>
  <c r="M1909" i="8" l="1"/>
  <c r="N1909" i="8"/>
  <c r="L1909" i="8"/>
  <c r="M1778" i="8" l="1"/>
  <c r="L1778" i="8"/>
  <c r="N1778" i="8"/>
  <c r="M3574" i="8" l="1"/>
  <c r="N3574" i="8"/>
  <c r="L3574" i="8"/>
  <c r="N2373" i="8" l="1"/>
  <c r="L2373" i="8"/>
  <c r="M2373" i="8"/>
  <c r="L1910" i="8" l="1"/>
  <c r="M1910" i="8"/>
  <c r="N1910" i="8"/>
  <c r="N3582" i="8" l="1"/>
  <c r="L3582" i="8"/>
  <c r="M3582" i="8"/>
  <c r="M1786" i="8" l="1"/>
  <c r="L1786" i="8"/>
  <c r="N1786" i="8"/>
  <c r="N1787" i="8" l="1"/>
  <c r="L1787" i="8"/>
  <c r="M1787" i="8"/>
  <c r="M3432" i="8" l="1"/>
  <c r="N3432" i="8"/>
  <c r="L3432" i="8"/>
  <c r="L2379" i="8" l="1"/>
  <c r="N2379" i="8"/>
  <c r="M2379" i="8"/>
  <c r="M1716" i="8" l="1"/>
  <c r="L1716" i="8"/>
  <c r="N1716" i="8"/>
  <c r="M2923" i="8" l="1"/>
  <c r="L2923" i="8"/>
  <c r="N2923" i="8"/>
  <c r="M1792" i="8" l="1"/>
  <c r="N1792" i="8"/>
  <c r="L1792" i="8"/>
  <c r="L3349" i="8" l="1"/>
  <c r="N3349" i="8"/>
  <c r="M3349" i="8"/>
  <c r="L2384" i="8" l="1"/>
  <c r="M2384" i="8"/>
  <c r="N2384" i="8"/>
  <c r="L1793" i="8" l="1"/>
  <c r="N1793" i="8"/>
  <c r="M1793" i="8"/>
  <c r="M2386" i="8" l="1"/>
  <c r="N2386" i="8"/>
  <c r="L2386" i="8"/>
  <c r="M2387" i="8" l="1"/>
  <c r="L2387" i="8"/>
  <c r="N2387" i="8"/>
  <c r="L2388" i="8" l="1"/>
  <c r="N2388" i="8"/>
  <c r="M2388" i="8"/>
  <c r="N1911" i="8" l="1"/>
  <c r="L1911" i="8"/>
  <c r="M1911" i="8"/>
  <c r="L1800" i="8" l="1"/>
  <c r="M1800" i="8"/>
  <c r="N1800" i="8"/>
  <c r="L1922" i="8" l="1"/>
  <c r="N1922" i="8"/>
  <c r="M1922" i="8"/>
  <c r="N1923" i="8" l="1"/>
  <c r="L1923" i="8"/>
  <c r="M1923" i="8"/>
  <c r="N1925" i="8" l="1"/>
  <c r="M1925" i="8"/>
  <c r="L1925" i="8"/>
  <c r="L1930" i="8" l="1"/>
  <c r="N1930" i="8"/>
  <c r="M1930" i="8"/>
  <c r="N2395" i="8" l="1"/>
  <c r="M2395" i="8"/>
  <c r="L2395" i="8"/>
  <c r="L1938" i="8" l="1"/>
  <c r="M1938" i="8"/>
  <c r="N1938" i="8"/>
  <c r="N1812" i="8" l="1"/>
  <c r="L1812" i="8"/>
  <c r="M1812" i="8"/>
  <c r="N3586" i="8" l="1"/>
  <c r="L3586" i="8"/>
  <c r="M3586" i="8"/>
  <c r="N3268" i="8" l="1"/>
  <c r="L3268" i="8"/>
  <c r="M3268" i="8"/>
  <c r="M2400" i="8" l="1"/>
  <c r="N2400" i="8"/>
  <c r="L2400" i="8"/>
  <c r="L1788" i="8" l="1"/>
  <c r="N1788" i="8"/>
  <c r="M1788" i="8"/>
  <c r="N1814" i="8" l="1"/>
  <c r="L1814" i="8"/>
  <c r="M1814" i="8"/>
  <c r="N1717" i="8" l="1"/>
  <c r="L1717" i="8"/>
  <c r="M1717" i="8"/>
  <c r="M2404" i="8" l="1"/>
  <c r="L2404" i="8"/>
  <c r="N2404" i="8"/>
  <c r="N2405" i="8" l="1"/>
  <c r="L2405" i="8"/>
  <c r="M2405" i="8"/>
  <c r="M1731" i="8" l="1"/>
  <c r="L1731" i="8"/>
  <c r="N1731" i="8"/>
  <c r="L3556" i="8" l="1"/>
  <c r="M3556" i="8"/>
  <c r="N3556" i="8"/>
  <c r="M3354" i="8" l="1"/>
  <c r="N3354" i="8"/>
  <c r="L3354" i="8"/>
  <c r="N3360" i="8" l="1"/>
  <c r="L3360" i="8"/>
  <c r="M3360" i="8"/>
  <c r="N2410" i="8" l="1"/>
  <c r="L2410" i="8"/>
  <c r="M2410" i="8"/>
  <c r="N1789" i="8" l="1"/>
  <c r="L1789" i="8"/>
  <c r="M1789" i="8"/>
  <c r="N1954" i="8" l="1"/>
  <c r="M1954" i="8"/>
  <c r="L1954" i="8"/>
  <c r="N1955" i="8" l="1"/>
  <c r="L1955" i="8"/>
  <c r="M1955" i="8"/>
  <c r="N1735" i="8" l="1"/>
  <c r="L1735" i="8"/>
  <c r="M1735" i="8"/>
  <c r="L1790" i="8" l="1"/>
  <c r="N1790" i="8"/>
  <c r="M1790" i="8"/>
  <c r="L3433" i="8" l="1"/>
  <c r="N3433" i="8"/>
  <c r="M3433" i="8"/>
  <c r="N1956" i="8" l="1"/>
  <c r="L1956" i="8"/>
  <c r="M1956" i="8"/>
  <c r="M2418" i="8" l="1"/>
  <c r="L2418" i="8"/>
  <c r="N2418" i="8"/>
  <c r="M1968" i="8" l="1"/>
  <c r="N1968" i="8"/>
  <c r="L1968" i="8"/>
  <c r="N1818" i="8" l="1"/>
  <c r="M1818" i="8"/>
  <c r="L1818" i="8"/>
  <c r="L1801" i="8" l="1"/>
  <c r="M1801" i="8"/>
  <c r="N1801" i="8"/>
  <c r="L2422" i="8" l="1"/>
  <c r="N2422" i="8"/>
  <c r="M2422" i="8"/>
  <c r="M2928" i="8" l="1"/>
  <c r="N2928" i="8"/>
  <c r="L2928" i="8"/>
  <c r="L2424" i="8" l="1"/>
  <c r="N2424" i="8"/>
  <c r="M2424" i="8"/>
  <c r="N2425" i="8" l="1"/>
  <c r="M2425" i="8"/>
  <c r="L2425" i="8"/>
  <c r="N3009" i="8" l="1"/>
  <c r="L3009" i="8"/>
  <c r="M3009" i="8"/>
  <c r="N2857" i="8" l="1"/>
  <c r="L2857" i="8"/>
  <c r="M2857" i="8"/>
  <c r="L1740" i="8" l="1"/>
  <c r="N1740" i="8"/>
  <c r="M1740" i="8"/>
  <c r="L1969" i="8" l="1"/>
  <c r="M1969" i="8"/>
  <c r="N1969" i="8"/>
  <c r="L2430" i="8" l="1"/>
  <c r="M2430" i="8"/>
  <c r="N2430" i="8"/>
  <c r="L1803" i="8" l="1"/>
  <c r="M1803" i="8"/>
  <c r="N1803" i="8"/>
  <c r="M2432" i="8" l="1"/>
  <c r="N2432" i="8"/>
  <c r="L2432" i="8"/>
  <c r="L2433" i="8" l="1"/>
  <c r="N2433" i="8"/>
  <c r="M2433" i="8"/>
  <c r="L2434" i="8" l="1"/>
  <c r="M2434" i="8"/>
  <c r="N2434" i="8"/>
  <c r="L1827" i="8" l="1"/>
  <c r="N1827" i="8"/>
  <c r="M1827" i="8"/>
  <c r="N2436" i="8" l="1"/>
  <c r="M2436" i="8"/>
  <c r="L2436" i="8"/>
  <c r="M1831" i="8" l="1"/>
  <c r="N1831" i="8"/>
  <c r="L1831" i="8"/>
  <c r="N1741" i="8" l="1"/>
  <c r="M1741" i="8"/>
  <c r="L1741" i="8"/>
  <c r="N1970" i="8" l="1"/>
  <c r="L1970" i="8"/>
  <c r="M1970" i="8"/>
  <c r="L1838" i="8" l="1"/>
  <c r="M1838" i="8"/>
  <c r="N1838" i="8"/>
  <c r="L1977" i="8" l="1"/>
  <c r="M1977" i="8"/>
  <c r="N1977" i="8"/>
  <c r="N1759" i="8" l="1"/>
  <c r="L1759" i="8"/>
  <c r="M1759" i="8"/>
  <c r="M1995" i="8" l="1"/>
  <c r="L1995" i="8"/>
  <c r="N1995" i="8"/>
  <c r="L2444" i="8" l="1"/>
  <c r="M2444" i="8"/>
  <c r="N2444" i="8"/>
  <c r="N2445" i="8" l="1"/>
  <c r="L2445" i="8"/>
  <c r="M2445" i="8"/>
  <c r="N1773" i="8" l="1"/>
  <c r="L1773" i="8"/>
  <c r="M1773" i="8"/>
  <c r="N2003" i="8" l="1"/>
  <c r="L2003" i="8"/>
  <c r="M2003" i="8"/>
  <c r="L2448" i="8" l="1"/>
  <c r="N2448" i="8"/>
  <c r="M2448" i="8"/>
  <c r="L1806" i="8" l="1"/>
  <c r="M1806" i="8"/>
  <c r="N1806" i="8"/>
  <c r="M1807" i="8" l="1"/>
  <c r="L1807" i="8"/>
  <c r="N1807" i="8"/>
  <c r="L2451" i="8" l="1"/>
  <c r="M2451" i="8"/>
  <c r="N2451" i="8"/>
  <c r="N3012" i="8" l="1"/>
  <c r="L3012" i="8"/>
  <c r="M3012" i="8"/>
  <c r="N2453" i="8" l="1"/>
  <c r="M2453" i="8"/>
  <c r="L2453" i="8"/>
  <c r="M2454" i="8" l="1"/>
  <c r="L2454" i="8"/>
  <c r="N2454" i="8"/>
  <c r="L2455" i="8" l="1"/>
  <c r="N2455" i="8"/>
  <c r="M2455" i="8"/>
  <c r="M2456" i="8" l="1"/>
  <c r="N2456" i="8"/>
  <c r="L2456" i="8"/>
  <c r="L2457" i="8" l="1"/>
  <c r="M2457" i="8"/>
  <c r="N2457" i="8"/>
  <c r="N2010" i="8" l="1"/>
  <c r="M2010" i="8"/>
  <c r="L2010" i="8"/>
  <c r="M3436" i="8" l="1"/>
  <c r="L3436" i="8"/>
  <c r="N3436" i="8"/>
  <c r="L1846" i="8" l="1"/>
  <c r="M1846" i="8"/>
  <c r="N1846" i="8"/>
  <c r="L1849" i="8" l="1"/>
  <c r="M1849" i="8"/>
  <c r="N1849" i="8"/>
  <c r="L1857" i="8" l="1"/>
  <c r="N1857" i="8"/>
  <c r="M1857" i="8"/>
  <c r="M1774" i="8" l="1"/>
  <c r="N1774" i="8"/>
  <c r="L1774" i="8"/>
  <c r="N1864" i="8" l="1"/>
  <c r="L1864" i="8"/>
  <c r="M1864" i="8"/>
  <c r="M3365" i="8" l="1"/>
  <c r="L3365" i="8"/>
  <c r="N3365" i="8"/>
  <c r="L1809" i="8" l="1"/>
  <c r="N1809" i="8"/>
  <c r="M1809" i="8"/>
  <c r="N3379" i="8" l="1"/>
  <c r="M3379" i="8"/>
  <c r="L3379" i="8"/>
  <c r="M2468" i="8" l="1"/>
  <c r="N2468" i="8"/>
  <c r="L2468" i="8"/>
  <c r="L3439" i="8" l="1"/>
  <c r="N3439" i="8"/>
  <c r="M3439" i="8"/>
  <c r="M2022" i="8" l="1"/>
  <c r="L2022" i="8"/>
  <c r="N2022" i="8"/>
  <c r="M2027" i="8" l="1"/>
  <c r="L2027" i="8"/>
  <c r="N2027" i="8"/>
  <c r="N1869" i="8" l="1"/>
  <c r="M1869" i="8"/>
  <c r="L1869" i="8"/>
  <c r="L1776" i="8" l="1"/>
  <c r="M1776" i="8"/>
  <c r="N1776" i="8"/>
  <c r="M2474" i="8" l="1"/>
  <c r="L2474" i="8"/>
  <c r="N2474" i="8"/>
  <c r="L1870" i="8" l="1"/>
  <c r="N1870" i="8"/>
  <c r="M1870" i="8"/>
  <c r="N2476" i="8" l="1"/>
  <c r="L2476" i="8"/>
  <c r="M2476" i="8"/>
  <c r="N3454" i="8" l="1"/>
  <c r="M3454" i="8"/>
  <c r="L3454" i="8"/>
  <c r="M1874" i="8" l="1"/>
  <c r="N1874" i="8"/>
  <c r="L1874" i="8"/>
  <c r="L1815" i="8" l="1"/>
  <c r="N1815" i="8"/>
  <c r="M1815" i="8"/>
  <c r="N1802" i="8" l="1"/>
  <c r="L1802" i="8"/>
  <c r="M1802" i="8"/>
  <c r="N1881" i="8" l="1"/>
  <c r="L1881" i="8"/>
  <c r="M1881" i="8"/>
  <c r="N2032" i="8" l="1"/>
  <c r="L2032" i="8"/>
  <c r="M2032" i="8"/>
  <c r="N2483" i="8" l="1"/>
  <c r="L2483" i="8"/>
  <c r="M2483" i="8"/>
  <c r="N3463" i="8" l="1"/>
  <c r="L3463" i="8"/>
  <c r="M3463" i="8"/>
  <c r="L1804" i="8" l="1"/>
  <c r="N1804" i="8"/>
  <c r="M1804" i="8"/>
  <c r="N2486" i="8" l="1"/>
  <c r="L2486" i="8"/>
  <c r="M2486" i="8"/>
  <c r="M2487" i="8" l="1"/>
  <c r="N2487" i="8"/>
  <c r="L2487" i="8"/>
  <c r="N2944" i="8" l="1"/>
  <c r="L2944" i="8"/>
  <c r="M2944" i="8"/>
  <c r="M2489" i="8" l="1"/>
  <c r="L2489" i="8"/>
  <c r="N2489" i="8"/>
  <c r="L1816" i="8" l="1"/>
  <c r="N1816" i="8"/>
  <c r="M1816" i="8"/>
  <c r="L2491" i="8" l="1"/>
  <c r="M2491" i="8"/>
  <c r="N2491" i="8"/>
  <c r="L2492" i="8" l="1"/>
  <c r="M2492" i="8"/>
  <c r="N2492" i="8"/>
  <c r="L3558" i="8" l="1"/>
  <c r="N3558" i="8"/>
  <c r="M3558" i="8"/>
  <c r="L2494" i="8" l="1"/>
  <c r="N2494" i="8"/>
  <c r="M2494" i="8"/>
  <c r="L2869" i="8" l="1"/>
  <c r="M2869" i="8"/>
  <c r="N2869" i="8"/>
  <c r="M1811" i="8" l="1"/>
  <c r="L1811" i="8"/>
  <c r="N1811" i="8"/>
  <c r="L2497" i="8" l="1"/>
  <c r="N2497" i="8"/>
  <c r="M2497" i="8"/>
  <c r="L2034" i="8" l="1"/>
  <c r="N2034" i="8"/>
  <c r="M2034" i="8"/>
  <c r="M1825" i="8" l="1"/>
  <c r="L1825" i="8"/>
  <c r="N1825" i="8"/>
  <c r="N1821" i="8" l="1"/>
  <c r="M1821" i="8"/>
  <c r="L1821" i="8"/>
  <c r="L2501" i="8" l="1"/>
  <c r="N2501" i="8"/>
  <c r="M2501" i="8"/>
  <c r="M1884" i="8" l="1"/>
  <c r="N1884" i="8"/>
  <c r="L1884" i="8"/>
  <c r="M1826" i="8" l="1"/>
  <c r="N1826" i="8"/>
  <c r="L1826" i="8"/>
  <c r="N1841" i="8" l="1"/>
  <c r="L1841" i="8"/>
  <c r="M1841" i="8"/>
  <c r="N1898" i="8" l="1"/>
  <c r="M1898" i="8"/>
  <c r="L1898" i="8"/>
  <c r="M2506" i="8" l="1"/>
  <c r="L2506" i="8"/>
  <c r="N2506" i="8"/>
  <c r="M2507" i="8" l="1"/>
  <c r="N2507" i="8"/>
  <c r="L2507" i="8"/>
  <c r="M3566" i="8" l="1"/>
  <c r="L3566" i="8"/>
  <c r="N3566" i="8"/>
  <c r="M2509" i="8" l="1"/>
  <c r="L2509" i="8"/>
  <c r="N2509" i="8"/>
  <c r="M3037" i="8" l="1"/>
  <c r="L3037" i="8"/>
  <c r="N3037" i="8"/>
  <c r="M3071" i="8" l="1"/>
  <c r="N3071" i="8"/>
  <c r="L3071" i="8"/>
  <c r="L1829" i="8" l="1"/>
  <c r="N1829" i="8"/>
  <c r="M1829" i="8"/>
  <c r="L2513" i="8" l="1"/>
  <c r="M2513" i="8"/>
  <c r="N2513" i="8"/>
  <c r="M2514" i="8" l="1"/>
  <c r="L2514" i="8"/>
  <c r="N2514" i="8"/>
  <c r="M2515" i="8" l="1"/>
  <c r="L2515" i="8"/>
  <c r="N2515" i="8"/>
  <c r="M1899" i="8" l="1"/>
  <c r="L1899" i="8"/>
  <c r="N1899" i="8"/>
  <c r="L2039" i="8" l="1"/>
  <c r="M2039" i="8"/>
  <c r="N2039" i="8"/>
  <c r="M2054" i="8" l="1"/>
  <c r="N2054" i="8"/>
  <c r="L2054" i="8"/>
  <c r="L2055" i="8" l="1"/>
  <c r="N2055" i="8"/>
  <c r="M2055" i="8"/>
  <c r="M2056" i="8" l="1"/>
  <c r="L2056" i="8"/>
  <c r="N2056" i="8"/>
  <c r="M1901" i="8" l="1"/>
  <c r="N1901" i="8"/>
  <c r="L1901" i="8"/>
  <c r="L2522" i="8" l="1"/>
  <c r="M2522" i="8"/>
  <c r="N2522" i="8"/>
  <c r="N1833" i="8" l="1"/>
  <c r="L1833" i="8"/>
  <c r="M1833" i="8"/>
  <c r="L2066" i="8" l="1"/>
  <c r="M2066" i="8"/>
  <c r="N2066" i="8"/>
  <c r="L1903" i="8" l="1"/>
  <c r="N1903" i="8"/>
  <c r="M1903" i="8"/>
  <c r="L1839" i="8" l="1"/>
  <c r="N1839" i="8"/>
  <c r="M1839" i="8"/>
  <c r="M1843" i="8" l="1"/>
  <c r="L1843" i="8"/>
  <c r="N1843" i="8"/>
  <c r="M2528" i="8" l="1"/>
  <c r="N2528" i="8"/>
  <c r="L2528" i="8"/>
  <c r="N2075" i="8" l="1"/>
  <c r="L2075" i="8"/>
  <c r="M2075" i="8"/>
  <c r="N2077" i="8" l="1"/>
  <c r="M2077" i="8"/>
  <c r="L2077" i="8"/>
  <c r="M2531" i="8" l="1"/>
  <c r="N2531" i="8"/>
  <c r="L2531" i="8"/>
  <c r="N1851" i="8" l="1"/>
  <c r="L1851" i="8"/>
  <c r="M1851" i="8"/>
  <c r="M1842" i="8" l="1"/>
  <c r="N1842" i="8"/>
  <c r="L1842" i="8"/>
  <c r="M1908" i="8" l="1"/>
  <c r="N1908" i="8"/>
  <c r="L1908" i="8"/>
  <c r="N1848" i="8" l="1"/>
  <c r="L1848" i="8"/>
  <c r="M1848" i="8"/>
  <c r="N1852" i="8" l="1"/>
  <c r="M1852" i="8"/>
  <c r="L1852" i="8"/>
  <c r="L2537" i="8" l="1"/>
  <c r="M2537" i="8"/>
  <c r="N2537" i="8"/>
  <c r="L2082" i="8" l="1"/>
  <c r="N2082" i="8"/>
  <c r="M2082" i="8"/>
  <c r="N2085" i="8" l="1"/>
  <c r="M2085" i="8"/>
  <c r="L2085" i="8"/>
  <c r="N2540" i="8" l="1"/>
  <c r="M2540" i="8"/>
  <c r="L2540" i="8"/>
  <c r="N2097" i="8" l="1"/>
  <c r="M2097" i="8"/>
  <c r="L2097" i="8"/>
  <c r="M1917" i="8" l="1"/>
  <c r="N1917" i="8"/>
  <c r="L1917" i="8"/>
  <c r="L1854" i="8" l="1"/>
  <c r="N1854" i="8"/>
  <c r="M1854" i="8"/>
  <c r="L2544" i="8" l="1"/>
  <c r="N2544" i="8"/>
  <c r="M2544" i="8"/>
  <c r="N2545" i="8" l="1"/>
  <c r="M2545" i="8"/>
  <c r="L2545" i="8"/>
  <c r="L3466" i="8" l="1"/>
  <c r="N3466" i="8"/>
  <c r="M3466" i="8"/>
  <c r="N3471" i="8" l="1"/>
  <c r="L3471" i="8"/>
  <c r="M3471" i="8"/>
  <c r="M2951" i="8" l="1"/>
  <c r="L2951" i="8"/>
  <c r="N2951" i="8"/>
  <c r="L2549" i="8" l="1"/>
  <c r="N2549" i="8"/>
  <c r="M2549" i="8"/>
  <c r="L2550" i="8" l="1"/>
  <c r="N2550" i="8"/>
  <c r="M2550" i="8"/>
  <c r="L2551" i="8" l="1"/>
  <c r="N2551" i="8"/>
  <c r="M2551" i="8"/>
  <c r="L2872" i="8" l="1"/>
  <c r="M2872" i="8"/>
  <c r="N2872" i="8"/>
  <c r="L2553" i="8" l="1"/>
  <c r="N2553" i="8"/>
  <c r="M2553" i="8"/>
  <c r="N1856" i="8" l="1"/>
  <c r="L1856" i="8"/>
  <c r="M1856" i="8"/>
  <c r="L2555" i="8" l="1"/>
  <c r="N2555" i="8"/>
  <c r="M2555" i="8"/>
  <c r="N1937" i="8" l="1"/>
  <c r="L1937" i="8"/>
  <c r="M1937" i="8"/>
  <c r="M1939" i="8" l="1"/>
  <c r="L1939" i="8"/>
  <c r="N1939" i="8"/>
  <c r="L2558" i="8" l="1"/>
  <c r="N2558" i="8"/>
  <c r="M2558" i="8"/>
  <c r="N1866" i="8" l="1"/>
  <c r="L1866" i="8"/>
  <c r="M1866" i="8"/>
  <c r="N1855" i="8" l="1"/>
  <c r="L1855" i="8"/>
  <c r="M1855" i="8"/>
  <c r="M2561" i="8" l="1"/>
  <c r="N2561" i="8"/>
  <c r="L2561" i="8"/>
  <c r="L2103" i="8" l="1"/>
  <c r="M2103" i="8"/>
  <c r="N2103" i="8"/>
  <c r="L3590" i="8" l="1"/>
  <c r="M3590" i="8"/>
  <c r="N3590" i="8"/>
  <c r="L1868" i="8" l="1"/>
  <c r="N1868" i="8"/>
  <c r="M1868" i="8"/>
  <c r="M2565" i="8" l="1"/>
  <c r="L2565" i="8"/>
  <c r="N2565" i="8"/>
  <c r="M2107" i="8" l="1"/>
  <c r="L2107" i="8"/>
  <c r="N2107" i="8"/>
  <c r="L1871" i="8" l="1"/>
  <c r="N1871" i="8"/>
  <c r="M1871" i="8"/>
  <c r="L1873" i="8" l="1"/>
  <c r="N1873" i="8"/>
  <c r="M1873" i="8"/>
  <c r="L1878" i="8" l="1"/>
  <c r="M1878" i="8"/>
  <c r="N1878" i="8"/>
  <c r="M1943" i="8" l="1"/>
  <c r="L1943" i="8"/>
  <c r="N1943" i="8"/>
  <c r="L2108" i="8" l="1"/>
  <c r="M2108" i="8"/>
  <c r="N2108" i="8"/>
  <c r="L1862" i="8" l="1"/>
  <c r="M1862" i="8"/>
  <c r="N1862" i="8"/>
  <c r="N1888" i="8" l="1"/>
  <c r="L1888" i="8"/>
  <c r="M1888" i="8"/>
  <c r="M1906" i="8" l="1"/>
  <c r="L1906" i="8"/>
  <c r="N1906" i="8"/>
  <c r="M2575" i="8" l="1"/>
  <c r="L2575" i="8"/>
  <c r="N2575" i="8"/>
  <c r="N1948" i="8" l="1"/>
  <c r="L1948" i="8"/>
  <c r="M1948" i="8"/>
  <c r="L3380" i="8" l="1"/>
  <c r="N3380" i="8"/>
  <c r="M3380" i="8"/>
  <c r="M2578" i="8" l="1"/>
  <c r="N2578" i="8"/>
  <c r="L2578" i="8"/>
  <c r="L2889" i="8" l="1"/>
  <c r="M2889" i="8"/>
  <c r="N2889" i="8"/>
  <c r="N2580" i="8" l="1"/>
  <c r="M2580" i="8"/>
  <c r="L2580" i="8"/>
  <c r="M1950" i="8" l="1"/>
  <c r="N1950" i="8"/>
  <c r="L1950" i="8"/>
  <c r="M1912" i="8" l="1"/>
  <c r="N1912" i="8"/>
  <c r="L1912" i="8"/>
  <c r="L1914" i="8" l="1"/>
  <c r="N1914" i="8"/>
  <c r="M1914" i="8"/>
  <c r="N1863" i="8" l="1"/>
  <c r="M1863" i="8"/>
  <c r="L1863" i="8"/>
  <c r="M1928" i="8" l="1"/>
  <c r="N1928" i="8"/>
  <c r="L1928" i="8"/>
  <c r="N2111" i="8" l="1"/>
  <c r="M2111" i="8"/>
  <c r="L2111" i="8"/>
  <c r="N1951" i="8" l="1"/>
  <c r="L1951" i="8"/>
  <c r="M1951" i="8"/>
  <c r="L1867" i="8" l="1"/>
  <c r="N1867" i="8"/>
  <c r="M1867" i="8"/>
  <c r="N2589" i="8" l="1"/>
  <c r="L2589" i="8"/>
  <c r="M2589" i="8"/>
  <c r="N1953" i="8" l="1"/>
  <c r="M1953" i="8"/>
  <c r="L1953" i="8"/>
  <c r="L1875" i="8" l="1"/>
  <c r="M1875" i="8"/>
  <c r="N1875" i="8"/>
  <c r="M3382" i="8" l="1"/>
  <c r="N3382" i="8"/>
  <c r="L3382" i="8"/>
  <c r="L3571" i="8" l="1"/>
  <c r="N3571" i="8"/>
  <c r="M3571" i="8"/>
  <c r="M3075" i="8" l="1"/>
  <c r="L3075" i="8"/>
  <c r="N3075" i="8"/>
  <c r="M2595" i="8" l="1"/>
  <c r="N2595" i="8"/>
  <c r="L2595" i="8"/>
  <c r="M1929" i="8" l="1"/>
  <c r="L1929" i="8"/>
  <c r="N1929" i="8"/>
  <c r="L2115" i="8" l="1"/>
  <c r="M2115" i="8"/>
  <c r="N2115" i="8"/>
  <c r="N3591" i="8" l="1"/>
  <c r="L3591" i="8"/>
  <c r="M3591" i="8"/>
  <c r="M2599" i="8" l="1"/>
  <c r="L2599" i="8"/>
  <c r="N2599" i="8"/>
  <c r="M1960" i="8" l="1"/>
  <c r="L1960" i="8"/>
  <c r="N1960" i="8"/>
  <c r="N2601" i="8" l="1"/>
  <c r="L2601" i="8"/>
  <c r="M2601" i="8"/>
  <c r="N2602" i="8" l="1"/>
  <c r="M2602" i="8"/>
  <c r="L2602" i="8"/>
  <c r="N1966" i="8" l="1"/>
  <c r="M1966" i="8"/>
  <c r="L1966" i="8"/>
  <c r="N1972" i="8" l="1"/>
  <c r="M1972" i="8"/>
  <c r="L1972" i="8"/>
  <c r="M1976" i="8" l="1"/>
  <c r="L1976" i="8"/>
  <c r="N1976" i="8"/>
  <c r="N2117" i="8" l="1"/>
  <c r="L2117" i="8"/>
  <c r="M2117" i="8"/>
  <c r="N1931" i="8" l="1"/>
  <c r="L1931" i="8"/>
  <c r="M1931" i="8"/>
  <c r="N1876" i="8" l="1"/>
  <c r="L1876" i="8"/>
  <c r="M1876" i="8"/>
  <c r="M2609" i="8" l="1"/>
  <c r="N2609" i="8"/>
  <c r="L2609" i="8"/>
  <c r="L2129" i="8" l="1"/>
  <c r="M2129" i="8"/>
  <c r="N2129" i="8"/>
  <c r="N2611" i="8" l="1"/>
  <c r="L2611" i="8"/>
  <c r="M2611" i="8"/>
  <c r="N2133" i="8" l="1"/>
  <c r="L2133" i="8"/>
  <c r="M2133" i="8"/>
  <c r="M2613" i="8" l="1"/>
  <c r="L2613" i="8"/>
  <c r="N2613" i="8"/>
  <c r="N2135" i="8" l="1"/>
  <c r="L2135" i="8"/>
  <c r="M2135" i="8"/>
  <c r="L1879" i="8" l="1"/>
  <c r="M1879" i="8"/>
  <c r="N1879" i="8"/>
  <c r="M1980" i="8" l="1"/>
  <c r="L1980" i="8"/>
  <c r="N1980" i="8"/>
  <c r="M2617" i="8" l="1"/>
  <c r="L2617" i="8"/>
  <c r="N2617" i="8"/>
  <c r="M3387" i="8" l="1"/>
  <c r="L3387" i="8"/>
  <c r="N3387" i="8"/>
  <c r="N1998" i="8" l="1"/>
  <c r="L1998" i="8"/>
  <c r="M1998" i="8"/>
  <c r="L1999" i="8" l="1"/>
  <c r="N1999" i="8"/>
  <c r="M1999" i="8"/>
  <c r="M2621" i="8" l="1"/>
  <c r="N2621" i="8"/>
  <c r="L2621" i="8"/>
  <c r="L1933" i="8" l="1"/>
  <c r="N1933" i="8"/>
  <c r="M1933" i="8"/>
  <c r="N2002" i="8" l="1"/>
  <c r="L2002" i="8"/>
  <c r="M2002" i="8"/>
  <c r="L2028" i="8" l="1"/>
  <c r="N2028" i="8"/>
  <c r="M2028" i="8"/>
  <c r="L2625" i="8" l="1"/>
  <c r="M2625" i="8"/>
  <c r="N2625" i="8"/>
  <c r="N1946" i="8" l="1"/>
  <c r="L1946" i="8"/>
  <c r="M1946" i="8"/>
  <c r="L1949" i="8" l="1"/>
  <c r="N1949" i="8"/>
  <c r="M1949" i="8"/>
  <c r="M3602" i="8" l="1"/>
  <c r="N3602" i="8"/>
  <c r="L3602" i="8"/>
  <c r="M2629" i="8" l="1"/>
  <c r="L2629" i="8"/>
  <c r="N2629" i="8"/>
  <c r="M2630" i="8" l="1"/>
  <c r="N2630" i="8"/>
  <c r="L2630" i="8"/>
  <c r="N2631" i="8" l="1"/>
  <c r="L2631" i="8"/>
  <c r="M2631" i="8"/>
  <c r="N2632" i="8" l="1"/>
  <c r="M2632" i="8"/>
  <c r="L2632" i="8"/>
  <c r="N2633" i="8" l="1"/>
  <c r="L2633" i="8"/>
  <c r="M2633" i="8"/>
  <c r="L3579" i="8" l="1"/>
  <c r="N3579" i="8"/>
  <c r="M3579" i="8"/>
  <c r="L3273" i="8" l="1"/>
  <c r="M3273" i="8"/>
  <c r="N3273" i="8"/>
  <c r="L1882" i="8" l="1"/>
  <c r="N1882" i="8"/>
  <c r="M1882" i="8"/>
  <c r="M2892" i="8" l="1"/>
  <c r="N2892" i="8"/>
  <c r="L2892" i="8"/>
  <c r="L2638" i="8" l="1"/>
  <c r="M2638" i="8"/>
  <c r="N2638" i="8"/>
  <c r="L1952" i="8" l="1"/>
  <c r="M1952" i="8"/>
  <c r="N1952" i="8"/>
  <c r="N2640" i="8" l="1"/>
  <c r="L2640" i="8"/>
  <c r="M2640" i="8"/>
  <c r="L2641" i="8" l="1"/>
  <c r="M2641" i="8"/>
  <c r="N2641" i="8"/>
  <c r="L2136" i="8" l="1"/>
  <c r="M2136" i="8"/>
  <c r="N2136" i="8"/>
  <c r="L2643" i="8" l="1"/>
  <c r="M2643" i="8"/>
  <c r="N2643" i="8"/>
  <c r="M2031" i="8" l="1"/>
  <c r="L2031" i="8"/>
  <c r="N2031" i="8"/>
  <c r="L1967" i="8" l="1"/>
  <c r="M1967" i="8"/>
  <c r="N1967" i="8"/>
  <c r="N3487" i="8" l="1"/>
  <c r="L3487" i="8"/>
  <c r="M3487" i="8"/>
  <c r="N2138" i="8" l="1"/>
  <c r="M2138" i="8"/>
  <c r="L2138" i="8"/>
  <c r="L1885" i="8" l="1"/>
  <c r="N1885" i="8"/>
  <c r="M1885" i="8"/>
  <c r="N1971" i="8" l="1"/>
  <c r="M1971" i="8"/>
  <c r="L1971" i="8"/>
  <c r="M2033" i="8" l="1"/>
  <c r="L2033" i="8"/>
  <c r="N2033" i="8"/>
  <c r="L1973" i="8" l="1"/>
  <c r="M1973" i="8"/>
  <c r="N1973" i="8"/>
  <c r="L2038" i="8" l="1"/>
  <c r="N2038" i="8"/>
  <c r="M2038" i="8"/>
  <c r="M1982" i="8" l="1"/>
  <c r="N1982" i="8"/>
  <c r="L1982" i="8"/>
  <c r="N1892" i="8" l="1"/>
  <c r="L1892" i="8"/>
  <c r="M1892" i="8"/>
  <c r="N2655" i="8" l="1"/>
  <c r="L2655" i="8"/>
  <c r="M2655" i="8"/>
  <c r="M2954" i="8" l="1"/>
  <c r="L2954" i="8"/>
  <c r="N2954" i="8"/>
  <c r="L1986" i="8" l="1"/>
  <c r="N1986" i="8"/>
  <c r="M1986" i="8"/>
  <c r="N1894" i="8" l="1"/>
  <c r="M1894" i="8"/>
  <c r="L1894" i="8"/>
  <c r="N2659" i="8" l="1"/>
  <c r="L2659" i="8"/>
  <c r="M2659" i="8"/>
  <c r="M2660" i="8" l="1"/>
  <c r="N2660" i="8"/>
  <c r="L2660" i="8"/>
  <c r="L3587" i="8" l="1"/>
  <c r="N3587" i="8"/>
  <c r="M3587" i="8"/>
  <c r="M2662" i="8" l="1"/>
  <c r="L2662" i="8"/>
  <c r="N2662" i="8"/>
  <c r="L2916" i="8" l="1"/>
  <c r="M2916" i="8"/>
  <c r="N2916" i="8"/>
  <c r="M3606" i="8" l="1"/>
  <c r="N3606" i="8"/>
  <c r="L3606" i="8"/>
  <c r="M2665" i="8" l="1"/>
  <c r="N2665" i="8"/>
  <c r="L2665" i="8"/>
  <c r="M2045" i="8" l="1"/>
  <c r="N2045" i="8"/>
  <c r="L2045" i="8"/>
  <c r="L2142" i="8" l="1"/>
  <c r="N2142" i="8"/>
  <c r="M2142" i="8"/>
  <c r="L1989" i="8" l="1"/>
  <c r="M1989" i="8"/>
  <c r="N1989" i="8"/>
  <c r="N2669" i="8" l="1"/>
  <c r="L2669" i="8"/>
  <c r="M2669" i="8"/>
  <c r="L2046" i="8" l="1"/>
  <c r="M2046" i="8"/>
  <c r="N2046" i="8"/>
  <c r="L2671" i="8" l="1"/>
  <c r="M2671" i="8"/>
  <c r="N2671" i="8"/>
  <c r="M2143" i="8" l="1"/>
  <c r="N2143" i="8"/>
  <c r="L2143" i="8"/>
  <c r="L2673" i="8" l="1"/>
  <c r="M2673" i="8"/>
  <c r="N2673" i="8"/>
  <c r="L2674" i="8" l="1"/>
  <c r="M2674" i="8"/>
  <c r="N2674" i="8"/>
  <c r="N2062" i="8" l="1"/>
  <c r="M2062" i="8"/>
  <c r="L2062" i="8"/>
  <c r="M2676" i="8" l="1"/>
  <c r="N2676" i="8"/>
  <c r="L2676" i="8"/>
  <c r="N2068" i="8" l="1"/>
  <c r="L2068" i="8"/>
  <c r="M2068" i="8"/>
  <c r="L1904" i="8" l="1"/>
  <c r="N1904" i="8"/>
  <c r="M1904" i="8"/>
  <c r="L2917" i="8" l="1"/>
  <c r="N2917" i="8"/>
  <c r="M2917" i="8"/>
  <c r="M2680" i="8" l="1"/>
  <c r="N2680" i="8"/>
  <c r="L2680" i="8"/>
  <c r="M2151" i="8" l="1"/>
  <c r="L2151" i="8"/>
  <c r="N2151" i="8"/>
  <c r="L2682" i="8" l="1"/>
  <c r="M2682" i="8"/>
  <c r="N2682" i="8"/>
  <c r="N2161" i="8" l="1"/>
  <c r="M2161" i="8"/>
  <c r="L2161" i="8"/>
  <c r="L2069" i="8" l="1"/>
  <c r="N2069" i="8"/>
  <c r="M2069" i="8"/>
  <c r="N2164" i="8" l="1"/>
  <c r="L2164" i="8"/>
  <c r="M2164" i="8"/>
  <c r="L2686" i="8" l="1"/>
  <c r="N2686" i="8"/>
  <c r="M2686" i="8"/>
  <c r="L2687" i="8" l="1"/>
  <c r="M2687" i="8"/>
  <c r="N2687" i="8"/>
  <c r="M2688" i="8" l="1"/>
  <c r="L2688" i="8"/>
  <c r="N2688" i="8"/>
  <c r="M1997" i="8" l="1"/>
  <c r="N1997" i="8"/>
  <c r="L1997" i="8"/>
  <c r="N2690" i="8" l="1"/>
  <c r="L2690" i="8"/>
  <c r="M2690" i="8"/>
  <c r="N2073" i="8" l="1"/>
  <c r="L2073" i="8"/>
  <c r="M2073" i="8"/>
  <c r="L2004" i="8" l="1"/>
  <c r="M2004" i="8"/>
  <c r="N2004" i="8"/>
  <c r="L2006" i="8" l="1"/>
  <c r="N2006" i="8"/>
  <c r="M2006" i="8"/>
  <c r="L2176" i="8" l="1"/>
  <c r="M2176" i="8"/>
  <c r="N2176" i="8"/>
  <c r="M2015" i="8" l="1"/>
  <c r="L2015" i="8"/>
  <c r="N2015" i="8"/>
  <c r="N2184" i="8" l="1"/>
  <c r="L2184" i="8"/>
  <c r="M2184" i="8"/>
  <c r="L3611" i="8" l="1"/>
  <c r="N3611" i="8"/>
  <c r="M3611" i="8"/>
  <c r="N3616" i="8" l="1"/>
  <c r="L3616" i="8"/>
  <c r="M3616" i="8"/>
  <c r="L2020" i="8" l="1"/>
  <c r="N2020" i="8"/>
  <c r="M2020" i="8"/>
  <c r="L2700" i="8" l="1"/>
  <c r="N2700" i="8"/>
  <c r="M2700" i="8"/>
  <c r="M3589" i="8" l="1"/>
  <c r="N3589" i="8"/>
  <c r="L3589" i="8"/>
  <c r="N3388" i="8" l="1"/>
  <c r="M3388" i="8"/>
  <c r="L3388" i="8"/>
  <c r="N1905" i="8" l="1"/>
  <c r="L1905" i="8"/>
  <c r="M1905" i="8"/>
  <c r="N2079" i="8" l="1"/>
  <c r="L2079" i="8"/>
  <c r="M2079" i="8"/>
  <c r="L2918" i="8" l="1"/>
  <c r="M2918" i="8"/>
  <c r="N2918" i="8"/>
  <c r="N2706" i="8" l="1"/>
  <c r="L2706" i="8"/>
  <c r="M2706" i="8"/>
  <c r="L1907" i="8" l="1"/>
  <c r="N1907" i="8"/>
  <c r="M1907" i="8"/>
  <c r="L1913" i="8" l="1"/>
  <c r="M1913" i="8"/>
  <c r="N1913" i="8"/>
  <c r="N2709" i="8" l="1"/>
  <c r="L2709" i="8"/>
  <c r="M2709" i="8"/>
  <c r="M2023" i="8" l="1"/>
  <c r="L2023" i="8"/>
  <c r="N2023" i="8"/>
  <c r="L2957" i="8" l="1"/>
  <c r="N2957" i="8"/>
  <c r="M2957" i="8"/>
  <c r="N2193" i="8" l="1"/>
  <c r="L2193" i="8"/>
  <c r="M2193" i="8"/>
  <c r="N2713" i="8" l="1"/>
  <c r="M2713" i="8"/>
  <c r="L2713" i="8"/>
  <c r="M2714" i="8" l="1"/>
  <c r="N2714" i="8"/>
  <c r="L2714" i="8"/>
  <c r="L2198" i="8" l="1"/>
  <c r="M2198" i="8"/>
  <c r="N2198" i="8"/>
  <c r="N2207" i="8" l="1"/>
  <c r="L2207" i="8"/>
  <c r="M2207" i="8"/>
  <c r="N2717" i="8" l="1"/>
  <c r="M2717" i="8"/>
  <c r="L2717" i="8"/>
  <c r="N3594" i="8" l="1"/>
  <c r="L3594" i="8"/>
  <c r="M3594" i="8"/>
  <c r="M3599" i="8" l="1"/>
  <c r="L3599" i="8"/>
  <c r="N3599" i="8"/>
  <c r="L3489" i="8" l="1"/>
  <c r="N3489" i="8"/>
  <c r="M3489" i="8"/>
  <c r="M2721" i="8" l="1"/>
  <c r="L2721" i="8"/>
  <c r="N2721" i="8"/>
  <c r="N2722" i="8" l="1"/>
  <c r="L2722" i="8"/>
  <c r="M2722" i="8"/>
  <c r="M1915" i="8" l="1"/>
  <c r="N1915" i="8"/>
  <c r="L1915" i="8"/>
  <c r="N2081" i="8" l="1"/>
  <c r="L2081" i="8"/>
  <c r="M2081" i="8"/>
  <c r="L2213" i="8" l="1"/>
  <c r="N2213" i="8"/>
  <c r="M2213" i="8"/>
  <c r="N2726" i="8" l="1"/>
  <c r="L2726" i="8"/>
  <c r="M2726" i="8"/>
  <c r="L2024" i="8" l="1"/>
  <c r="M2024" i="8"/>
  <c r="N2024" i="8"/>
  <c r="M2728" i="8" l="1"/>
  <c r="L2728" i="8"/>
  <c r="N2728" i="8"/>
  <c r="L2040" i="8" l="1"/>
  <c r="N2040" i="8"/>
  <c r="M2040" i="8"/>
  <c r="M1924" i="8" l="1"/>
  <c r="N1924" i="8"/>
  <c r="L1924" i="8"/>
  <c r="N2731" i="8" l="1"/>
  <c r="M2731" i="8"/>
  <c r="L2731" i="8"/>
  <c r="L2732" i="8" l="1"/>
  <c r="M2732" i="8"/>
  <c r="N2732" i="8"/>
  <c r="L2733" i="8" l="1"/>
  <c r="M2733" i="8"/>
  <c r="N2733" i="8"/>
  <c r="M2086" i="8" l="1"/>
  <c r="L2086" i="8"/>
  <c r="N2086" i="8"/>
  <c r="L2735" i="8" l="1"/>
  <c r="M2735" i="8"/>
  <c r="N2735" i="8"/>
  <c r="N2114" i="8" l="1"/>
  <c r="L2114" i="8"/>
  <c r="M2114" i="8"/>
  <c r="M2737" i="8" l="1"/>
  <c r="N2737" i="8"/>
  <c r="L2737" i="8"/>
  <c r="M2738" i="8" l="1"/>
  <c r="L2738" i="8"/>
  <c r="N2738" i="8"/>
  <c r="L1934" i="8" l="1"/>
  <c r="M1934" i="8"/>
  <c r="N1934" i="8"/>
  <c r="N2740" i="8" l="1"/>
  <c r="L2740" i="8"/>
  <c r="M2740" i="8"/>
  <c r="M2741" i="8" l="1"/>
  <c r="L2741" i="8"/>
  <c r="N2741" i="8"/>
  <c r="N2742" i="8" l="1"/>
  <c r="M2742" i="8"/>
  <c r="L2742" i="8"/>
  <c r="M3600" i="8" l="1"/>
  <c r="N3600" i="8"/>
  <c r="L3600" i="8"/>
  <c r="L2958" i="8" l="1"/>
  <c r="M2958" i="8"/>
  <c r="N2958" i="8"/>
  <c r="N1936" i="8" l="1"/>
  <c r="L1936" i="8"/>
  <c r="M1936" i="8"/>
  <c r="N2746" i="8" l="1"/>
  <c r="L2746" i="8"/>
  <c r="M2746" i="8"/>
  <c r="L1941" i="8" l="1"/>
  <c r="N1941" i="8"/>
  <c r="M1941" i="8"/>
  <c r="N2049" i="8" l="1"/>
  <c r="M2049" i="8"/>
  <c r="L2049" i="8"/>
  <c r="L2226" i="8" l="1"/>
  <c r="M2226" i="8"/>
  <c r="N2226" i="8"/>
  <c r="L2750" i="8" l="1"/>
  <c r="M2750" i="8"/>
  <c r="N2750" i="8"/>
  <c r="M2751" i="8" l="1"/>
  <c r="L2751" i="8"/>
  <c r="N2751" i="8"/>
  <c r="L2752" i="8" l="1"/>
  <c r="N2752" i="8"/>
  <c r="M2752" i="8"/>
  <c r="N2753" i="8" l="1"/>
  <c r="L2753" i="8"/>
  <c r="M2753" i="8"/>
  <c r="N2754" i="8" l="1"/>
  <c r="L2754" i="8"/>
  <c r="M2754" i="8"/>
  <c r="M2052" i="8" l="1"/>
  <c r="L2052" i="8"/>
  <c r="N2052" i="8"/>
  <c r="N2058" i="8" l="1"/>
  <c r="M2058" i="8"/>
  <c r="L2058" i="8"/>
  <c r="L1944" i="8" l="1"/>
  <c r="N1944" i="8"/>
  <c r="M1944" i="8"/>
  <c r="L2758" i="8" l="1"/>
  <c r="M2758" i="8"/>
  <c r="N2758" i="8"/>
  <c r="N3609" i="8" l="1"/>
  <c r="L3609" i="8"/>
  <c r="M3609" i="8"/>
  <c r="L3492" i="8" l="1"/>
  <c r="N3492" i="8"/>
  <c r="M3492" i="8"/>
  <c r="M3391" i="8" l="1"/>
  <c r="N3391" i="8"/>
  <c r="L3391" i="8"/>
  <c r="L3281" i="8" l="1"/>
  <c r="N3281" i="8"/>
  <c r="M3281" i="8"/>
  <c r="M2763" i="8" l="1"/>
  <c r="L2763" i="8"/>
  <c r="N2763" i="8"/>
  <c r="L2764" i="8" l="1"/>
  <c r="M2764" i="8"/>
  <c r="N2764" i="8"/>
  <c r="M2059" i="8" l="1"/>
  <c r="N2059" i="8"/>
  <c r="L2059" i="8"/>
  <c r="N3494" i="8" l="1"/>
  <c r="L3494" i="8"/>
  <c r="M3494" i="8"/>
  <c r="M2245" i="8" l="1"/>
  <c r="N2245" i="8"/>
  <c r="L2245" i="8"/>
  <c r="L2121" i="8" l="1"/>
  <c r="N2121" i="8"/>
  <c r="M2121" i="8"/>
  <c r="L2139" i="8" l="1"/>
  <c r="M2139" i="8"/>
  <c r="N2139" i="8"/>
  <c r="N2963" i="8" l="1"/>
  <c r="M2963" i="8"/>
  <c r="L2963" i="8"/>
  <c r="L2154" i="8" l="1"/>
  <c r="M2154" i="8"/>
  <c r="N2154" i="8"/>
  <c r="N1945" i="8" l="1"/>
  <c r="L1945" i="8"/>
  <c r="M1945" i="8"/>
  <c r="M2060" i="8" l="1"/>
  <c r="N2060" i="8"/>
  <c r="L2060" i="8"/>
  <c r="L2774" i="8" l="1"/>
  <c r="N2774" i="8"/>
  <c r="M2774" i="8"/>
  <c r="L2775" i="8" l="1"/>
  <c r="N2775" i="8"/>
  <c r="M2775" i="8"/>
  <c r="L2247" i="8" l="1"/>
  <c r="M2247" i="8"/>
  <c r="N2247" i="8"/>
  <c r="L3498" i="8" l="1"/>
  <c r="M3498" i="8"/>
  <c r="N3498" i="8"/>
  <c r="N2061" i="8" l="1"/>
  <c r="L2061" i="8"/>
  <c r="M2061" i="8"/>
  <c r="M1961" i="8" l="1"/>
  <c r="L1961" i="8"/>
  <c r="N1961" i="8"/>
  <c r="M2251" i="8" l="1"/>
  <c r="L2251" i="8"/>
  <c r="N2251" i="8"/>
  <c r="N1963" i="8" l="1"/>
  <c r="L1963" i="8"/>
  <c r="M1963" i="8"/>
  <c r="L2782" i="8" l="1"/>
  <c r="M2782" i="8"/>
  <c r="N2782" i="8"/>
  <c r="L1981" i="8" l="1"/>
  <c r="M1981" i="8"/>
  <c r="N1981" i="8"/>
  <c r="M2253" i="8" l="1"/>
  <c r="N2253" i="8"/>
  <c r="L2253" i="8"/>
  <c r="N2785" i="8" l="1"/>
  <c r="L2785" i="8"/>
  <c r="M2785" i="8"/>
  <c r="L3614" i="8" l="1"/>
  <c r="N3614" i="8"/>
  <c r="M3614" i="8"/>
  <c r="L3618" i="8" l="1"/>
  <c r="N3618" i="8"/>
  <c r="M3618" i="8"/>
  <c r="L3077" i="8" l="1"/>
  <c r="M3077" i="8"/>
  <c r="N3077" i="8"/>
  <c r="N1983" i="8" l="1"/>
  <c r="L1983" i="8"/>
  <c r="M1983" i="8"/>
  <c r="M2254" i="8" l="1"/>
  <c r="L2254" i="8"/>
  <c r="N2254" i="8"/>
  <c r="L2791" i="8" l="1"/>
  <c r="N2791" i="8"/>
  <c r="M2791" i="8"/>
  <c r="L2260" i="8" l="1"/>
  <c r="M2260" i="8"/>
  <c r="N2260" i="8"/>
  <c r="L1984" i="8" l="1"/>
  <c r="N1984" i="8"/>
  <c r="M1984" i="8"/>
  <c r="N2794" i="8" l="1"/>
  <c r="M2794" i="8"/>
  <c r="L2794" i="8"/>
  <c r="N1985" i="8" l="1"/>
  <c r="M1985" i="8"/>
  <c r="L1985" i="8"/>
  <c r="N2262" i="8" l="1"/>
  <c r="M2262" i="8"/>
  <c r="L2262" i="8"/>
  <c r="N3283" i="8" l="1"/>
  <c r="L3283" i="8"/>
  <c r="M3283" i="8"/>
  <c r="M2163" i="8" l="1"/>
  <c r="N2163" i="8"/>
  <c r="L2163" i="8"/>
  <c r="L2167" i="8" l="1"/>
  <c r="N2167" i="8"/>
  <c r="M2167" i="8"/>
  <c r="M2064" i="8" l="1"/>
  <c r="N2064" i="8"/>
  <c r="L2064" i="8"/>
  <c r="N3400" i="8" l="1"/>
  <c r="M3400" i="8"/>
  <c r="L3400" i="8"/>
  <c r="N2802" i="8" l="1"/>
  <c r="L2802" i="8"/>
  <c r="M2802" i="8"/>
  <c r="M2169" i="8" l="1"/>
  <c r="N2169" i="8"/>
  <c r="L2169" i="8"/>
  <c r="N2191" i="8" l="1"/>
  <c r="L2191" i="8"/>
  <c r="M2191" i="8"/>
  <c r="M2924" i="8" l="1"/>
  <c r="L2924" i="8"/>
  <c r="N2924" i="8"/>
  <c r="M2268" i="8" l="1"/>
  <c r="L2268" i="8"/>
  <c r="N2268" i="8"/>
  <c r="N2807" i="8" l="1"/>
  <c r="L2807" i="8"/>
  <c r="M2807" i="8"/>
  <c r="M2065" i="8" l="1"/>
  <c r="L2065" i="8"/>
  <c r="N2065" i="8"/>
  <c r="N2270" i="8" l="1"/>
  <c r="L2270" i="8"/>
  <c r="M2270" i="8"/>
  <c r="M2810" i="8" l="1"/>
  <c r="N2810" i="8"/>
  <c r="L2810" i="8"/>
  <c r="N2811" i="8" l="1"/>
  <c r="L2811" i="8"/>
  <c r="M2811" i="8"/>
  <c r="L2812" i="8" l="1"/>
  <c r="N2812" i="8"/>
  <c r="M2812" i="8"/>
  <c r="L2280" i="8" l="1"/>
  <c r="M2280" i="8"/>
  <c r="N2280" i="8"/>
  <c r="M2814" i="8" l="1"/>
  <c r="L2814" i="8"/>
  <c r="N2814" i="8"/>
  <c r="M2284" i="8" l="1"/>
  <c r="N2284" i="8"/>
  <c r="L2284" i="8"/>
  <c r="L2816" i="8" l="1"/>
  <c r="M2816" i="8"/>
  <c r="N2816" i="8"/>
  <c r="N2817" i="8" l="1"/>
  <c r="L2817" i="8"/>
  <c r="M2817" i="8"/>
  <c r="L2818" i="8" l="1"/>
  <c r="N2818" i="8"/>
  <c r="M2818" i="8"/>
  <c r="L2289" i="8" l="1"/>
  <c r="N2289" i="8"/>
  <c r="M2289" i="8"/>
  <c r="N1990" i="8" l="1"/>
  <c r="M1990" i="8"/>
  <c r="L1990" i="8"/>
  <c r="L2070" i="8" l="1"/>
  <c r="N2070" i="8"/>
  <c r="M2070" i="8"/>
  <c r="L2968" i="8" l="1"/>
  <c r="N2968" i="8"/>
  <c r="M2968" i="8"/>
  <c r="L2297" i="8" l="1"/>
  <c r="M2297" i="8"/>
  <c r="N2297" i="8"/>
  <c r="M2824" i="8" l="1"/>
  <c r="N2824" i="8"/>
  <c r="L2824" i="8"/>
  <c r="N2825" i="8" l="1"/>
  <c r="M2825" i="8"/>
  <c r="L2825" i="8"/>
  <c r="L2078" i="8" l="1"/>
  <c r="N2078" i="8"/>
  <c r="M2078" i="8"/>
  <c r="M1991" i="8" l="1"/>
  <c r="N1991" i="8"/>
  <c r="L1991" i="8"/>
  <c r="N3408" i="8" l="1"/>
  <c r="L3408" i="8"/>
  <c r="M3408" i="8"/>
  <c r="L2829" i="8" l="1"/>
  <c r="M2829" i="8"/>
  <c r="N2829" i="8"/>
  <c r="M2194" i="8" l="1"/>
  <c r="N2194" i="8"/>
  <c r="L2194" i="8"/>
  <c r="L2831" i="8" l="1"/>
  <c r="M2831" i="8"/>
  <c r="N2831" i="8"/>
  <c r="L2300" i="8" l="1"/>
  <c r="N2300" i="8"/>
  <c r="M2300" i="8"/>
  <c r="N2206" i="8" l="1"/>
  <c r="L2206" i="8"/>
  <c r="M2206" i="8"/>
  <c r="M2080" i="8" l="1"/>
  <c r="N2080" i="8"/>
  <c r="L2080" i="8"/>
  <c r="L2306" i="8" l="1"/>
  <c r="M2306" i="8"/>
  <c r="N2306" i="8"/>
  <c r="M2836" i="8" l="1"/>
  <c r="L2836" i="8"/>
  <c r="N2836" i="8"/>
  <c r="N3620" i="8" l="1"/>
  <c r="L3620" i="8"/>
  <c r="M3620" i="8"/>
  <c r="M3284" i="8" l="1"/>
  <c r="N3284" i="8"/>
  <c r="L3284" i="8"/>
  <c r="N2839" i="8" l="1"/>
  <c r="L2839" i="8"/>
  <c r="M2839" i="8"/>
  <c r="L3289" i="8" l="1"/>
  <c r="M3289" i="8"/>
  <c r="N3289" i="8"/>
  <c r="M1996" i="8" l="1"/>
  <c r="L1996" i="8"/>
  <c r="N1996" i="8"/>
  <c r="M2842" i="8" l="1"/>
  <c r="L2842" i="8"/>
  <c r="N2842" i="8"/>
  <c r="L2843" i="8" l="1"/>
  <c r="N2843" i="8"/>
  <c r="M2843" i="8"/>
  <c r="N3622" i="8" l="1"/>
  <c r="M3622" i="8"/>
  <c r="L3622" i="8"/>
  <c r="M2845" i="8" l="1"/>
  <c r="L2845" i="8"/>
  <c r="N2845" i="8"/>
  <c r="N2846" i="8" l="1"/>
  <c r="L2846" i="8"/>
  <c r="M2846" i="8"/>
  <c r="N2847" i="8" l="1"/>
  <c r="L2847" i="8"/>
  <c r="M2847" i="8"/>
  <c r="L2848" i="8" l="1"/>
  <c r="M2848" i="8"/>
  <c r="N2848" i="8"/>
  <c r="M2211" i="8" l="1"/>
  <c r="L2211" i="8"/>
  <c r="N2211" i="8"/>
  <c r="L2311" i="8" l="1"/>
  <c r="N2311" i="8"/>
  <c r="M2311" i="8"/>
  <c r="L2851" i="8" l="1"/>
  <c r="N2851" i="8"/>
  <c r="M2851" i="8"/>
  <c r="L2852" i="8" l="1"/>
  <c r="M2852" i="8"/>
  <c r="N2852" i="8"/>
  <c r="N2853" i="8" l="1"/>
  <c r="L2853" i="8"/>
  <c r="M2853" i="8"/>
  <c r="N2312" i="8" l="1"/>
  <c r="M2312" i="8"/>
  <c r="L2312" i="8"/>
  <c r="L2217" i="8" l="1"/>
  <c r="M2217" i="8"/>
  <c r="N2217" i="8"/>
  <c r="L2007" i="8" l="1"/>
  <c r="N2007" i="8"/>
  <c r="M2007" i="8"/>
  <c r="N2324" i="8" l="1"/>
  <c r="L2324" i="8"/>
  <c r="M2324" i="8"/>
  <c r="M2858" i="8" l="1"/>
  <c r="L2858" i="8"/>
  <c r="N2858" i="8"/>
  <c r="L2859" i="8" l="1"/>
  <c r="M2859" i="8"/>
  <c r="N2859" i="8"/>
  <c r="N2860" i="8" l="1"/>
  <c r="M2860" i="8"/>
  <c r="L2860" i="8"/>
  <c r="L2861" i="8" l="1"/>
  <c r="N2861" i="8"/>
  <c r="M2861" i="8"/>
  <c r="M2084" i="8" l="1"/>
  <c r="L2084" i="8"/>
  <c r="N2084" i="8"/>
  <c r="N2863" i="8" l="1"/>
  <c r="M2863" i="8"/>
  <c r="L2863" i="8"/>
  <c r="M2864" i="8" l="1"/>
  <c r="L2864" i="8"/>
  <c r="N2864" i="8"/>
  <c r="N2865" i="8" l="1"/>
  <c r="L2865" i="8"/>
  <c r="M2865" i="8"/>
  <c r="M2227" i="8" l="1"/>
  <c r="N2227" i="8"/>
  <c r="L2227" i="8"/>
  <c r="N2008" i="8" l="1"/>
  <c r="L2008" i="8"/>
  <c r="M2008" i="8"/>
  <c r="L2087" i="8" l="1"/>
  <c r="N2087" i="8"/>
  <c r="M2087" i="8"/>
  <c r="M3413" i="8" l="1"/>
  <c r="N3413" i="8"/>
  <c r="L3413" i="8"/>
  <c r="L2870" i="8" l="1"/>
  <c r="M2870" i="8"/>
  <c r="N2870" i="8"/>
  <c r="L2871" i="8" l="1"/>
  <c r="M2871" i="8"/>
  <c r="N2871" i="8"/>
  <c r="N2930" i="8" l="1"/>
  <c r="M2930" i="8"/>
  <c r="L2930" i="8"/>
  <c r="N3090" i="8" l="1"/>
  <c r="L3090" i="8"/>
  <c r="M3090" i="8"/>
  <c r="M3500" i="8" l="1"/>
  <c r="L3500" i="8"/>
  <c r="N3500" i="8"/>
  <c r="L2090" i="8" l="1"/>
  <c r="N2090" i="8"/>
  <c r="M2090" i="8"/>
  <c r="M2876" i="8" l="1"/>
  <c r="L2876" i="8"/>
  <c r="N2876" i="8"/>
  <c r="M2877" i="8" l="1"/>
  <c r="N2877" i="8"/>
  <c r="L2877" i="8"/>
  <c r="M2878" i="8" l="1"/>
  <c r="L2878" i="8"/>
  <c r="N2878" i="8"/>
  <c r="L2879" i="8" l="1"/>
  <c r="M2879" i="8"/>
  <c r="N2879" i="8"/>
  <c r="N2880" i="8" l="1"/>
  <c r="M2880" i="8"/>
  <c r="L2880" i="8"/>
  <c r="L2881" i="8" l="1"/>
  <c r="N2881" i="8"/>
  <c r="M2881" i="8"/>
  <c r="M2230" i="8" l="1"/>
  <c r="N2230" i="8"/>
  <c r="L2230" i="8"/>
  <c r="M2009" i="8" l="1"/>
  <c r="N2009" i="8"/>
  <c r="L2009" i="8"/>
  <c r="L2232" i="8" l="1"/>
  <c r="N2232" i="8"/>
  <c r="M2232" i="8"/>
  <c r="N3624" i="8" l="1"/>
  <c r="M3624" i="8"/>
  <c r="L3624" i="8"/>
  <c r="L3630" i="8" l="1"/>
  <c r="M3630" i="8"/>
  <c r="N3630" i="8"/>
  <c r="L2887" i="8" l="1"/>
  <c r="N2887" i="8"/>
  <c r="M2887" i="8"/>
  <c r="N2888" i="8" l="1"/>
  <c r="L2888" i="8"/>
  <c r="M2888" i="8"/>
  <c r="N2938" i="8" l="1"/>
  <c r="M2938" i="8"/>
  <c r="L2938" i="8"/>
  <c r="M2890" i="8" l="1"/>
  <c r="N2890" i="8"/>
  <c r="L2890" i="8"/>
  <c r="M2239" i="8" l="1"/>
  <c r="N2239" i="8"/>
  <c r="L2239" i="8"/>
  <c r="N2338" i="8" l="1"/>
  <c r="L2338" i="8"/>
  <c r="M2338" i="8"/>
  <c r="N2893" i="8" l="1"/>
  <c r="M2893" i="8"/>
  <c r="L2893" i="8"/>
  <c r="L2241" i="8" l="1"/>
  <c r="N2241" i="8"/>
  <c r="M2241" i="8"/>
  <c r="N2259" i="8" l="1"/>
  <c r="L2259" i="8"/>
  <c r="M2259" i="8"/>
  <c r="L2896" i="8" l="1"/>
  <c r="N2896" i="8"/>
  <c r="M2896" i="8"/>
  <c r="M2273" i="8" l="1"/>
  <c r="N2273" i="8"/>
  <c r="L2273" i="8"/>
  <c r="M2898" i="8" l="1"/>
  <c r="N2898" i="8"/>
  <c r="L2898" i="8"/>
  <c r="N2276" i="8" l="1"/>
  <c r="L2276" i="8"/>
  <c r="M2276" i="8"/>
  <c r="M2278" i="8" l="1"/>
  <c r="N2278" i="8"/>
  <c r="L2278" i="8"/>
  <c r="L2901" i="8" l="1"/>
  <c r="M2901" i="8"/>
  <c r="N2901" i="8"/>
  <c r="N2013" i="8" l="1"/>
  <c r="L2013" i="8"/>
  <c r="M2013" i="8"/>
  <c r="N2903" i="8" l="1"/>
  <c r="L2903" i="8"/>
  <c r="M2903" i="8"/>
  <c r="L2904" i="8" l="1"/>
  <c r="N2904" i="8"/>
  <c r="M2904" i="8"/>
  <c r="M2905" i="8" l="1"/>
  <c r="L2905" i="8"/>
  <c r="N2905" i="8"/>
  <c r="N2017" i="8" l="1"/>
  <c r="L2017" i="8"/>
  <c r="M2017" i="8"/>
  <c r="M2907" i="8" l="1"/>
  <c r="L2907" i="8"/>
  <c r="N2907" i="8"/>
  <c r="L2908" i="8" l="1"/>
  <c r="M2908" i="8"/>
  <c r="N2908" i="8"/>
  <c r="N2909" i="8" l="1"/>
  <c r="M2909" i="8"/>
  <c r="L2909" i="8"/>
  <c r="N2910" i="8" l="1"/>
  <c r="L2910" i="8"/>
  <c r="M2910" i="8"/>
  <c r="M2286" i="8" l="1"/>
  <c r="L2286" i="8"/>
  <c r="N2286" i="8"/>
  <c r="M3640" i="8" l="1"/>
  <c r="L3640" i="8"/>
  <c r="N3640" i="8"/>
  <c r="M2021" i="8" l="1"/>
  <c r="N2021" i="8"/>
  <c r="L2021" i="8"/>
  <c r="L2029" i="8" l="1"/>
  <c r="N2029" i="8"/>
  <c r="M2029" i="8"/>
  <c r="N3094" i="8" l="1"/>
  <c r="M3094" i="8"/>
  <c r="L3094" i="8"/>
  <c r="M2344" i="8" l="1"/>
  <c r="L2344" i="8"/>
  <c r="N2344" i="8"/>
  <c r="M2347" i="8" l="1"/>
  <c r="N2347" i="8"/>
  <c r="L2347" i="8"/>
  <c r="M2352" i="8" l="1"/>
  <c r="L2352" i="8"/>
  <c r="N2352" i="8"/>
  <c r="M2037" i="8" l="1"/>
  <c r="L2037" i="8"/>
  <c r="N2037" i="8"/>
  <c r="N2092" i="8" l="1"/>
  <c r="M2092" i="8"/>
  <c r="L2092" i="8"/>
  <c r="M2299" i="8" l="1"/>
  <c r="L2299" i="8"/>
  <c r="N2299" i="8"/>
  <c r="L2922" i="8" l="1"/>
  <c r="M2922" i="8"/>
  <c r="N2922" i="8"/>
  <c r="M2043" i="8" l="1"/>
  <c r="L2043" i="8"/>
  <c r="N2043" i="8"/>
  <c r="L2359" i="8" l="1"/>
  <c r="N2359" i="8"/>
  <c r="M2359" i="8"/>
  <c r="N2301" i="8" l="1"/>
  <c r="L2301" i="8"/>
  <c r="M2301" i="8"/>
  <c r="L2315" i="8" l="1"/>
  <c r="N2315" i="8"/>
  <c r="M2315" i="8"/>
  <c r="M2927" i="8" l="1"/>
  <c r="L2927" i="8"/>
  <c r="N2927" i="8"/>
  <c r="N3501" i="8" l="1"/>
  <c r="M3501" i="8"/>
  <c r="L3501" i="8"/>
  <c r="M2929" i="8" l="1"/>
  <c r="N2929" i="8"/>
  <c r="L2929" i="8"/>
  <c r="N2953" i="8" l="1"/>
  <c r="M2953" i="8"/>
  <c r="L2953" i="8"/>
  <c r="L3100" i="8" l="1"/>
  <c r="M3100" i="8"/>
  <c r="N3100" i="8"/>
  <c r="M2932" i="8" l="1"/>
  <c r="L2932" i="8"/>
  <c r="N2932" i="8"/>
  <c r="M2093" i="8" l="1"/>
  <c r="L2093" i="8"/>
  <c r="N2093" i="8"/>
  <c r="M2934" i="8" l="1"/>
  <c r="N2934" i="8"/>
  <c r="L2934" i="8"/>
  <c r="N2935" i="8" l="1"/>
  <c r="M2935" i="8"/>
  <c r="L2935" i="8"/>
  <c r="N2098" i="8" l="1"/>
  <c r="L2098" i="8"/>
  <c r="M2098" i="8"/>
  <c r="L2099" i="8" l="1"/>
  <c r="M2099" i="8"/>
  <c r="N2099" i="8"/>
  <c r="M2366" i="8" l="1"/>
  <c r="L2366" i="8"/>
  <c r="N2366" i="8"/>
  <c r="N3626" i="8" l="1"/>
  <c r="L3626" i="8"/>
  <c r="M3626" i="8"/>
  <c r="N2940" i="8" l="1"/>
  <c r="L2940" i="8"/>
  <c r="M2940" i="8"/>
  <c r="L2941" i="8" l="1"/>
  <c r="N2941" i="8"/>
  <c r="M2941" i="8"/>
  <c r="L2942" i="8" l="1"/>
  <c r="N2942" i="8"/>
  <c r="M2942" i="8"/>
  <c r="N2106" i="8" l="1"/>
  <c r="M2106" i="8"/>
  <c r="L2106" i="8"/>
  <c r="M2979" i="8" l="1"/>
  <c r="L2979" i="8"/>
  <c r="N2979" i="8"/>
  <c r="N2109" i="8" l="1"/>
  <c r="M2109" i="8"/>
  <c r="L2109" i="8"/>
  <c r="L2946" i="8" l="1"/>
  <c r="N2946" i="8"/>
  <c r="M2946" i="8"/>
  <c r="N2947" i="8" l="1"/>
  <c r="L2947" i="8"/>
  <c r="M2947" i="8"/>
  <c r="N2948" i="8" l="1"/>
  <c r="L2948" i="8"/>
  <c r="M2948" i="8"/>
  <c r="N2949" i="8" l="1"/>
  <c r="M2949" i="8"/>
  <c r="L2949" i="8"/>
  <c r="M2950" i="8" l="1"/>
  <c r="L2950" i="8"/>
  <c r="N2950" i="8"/>
  <c r="M2076" i="8" l="1"/>
  <c r="L2076" i="8"/>
  <c r="N2076" i="8"/>
  <c r="L2952" i="8" l="1"/>
  <c r="M2952" i="8"/>
  <c r="N2952" i="8"/>
  <c r="N3435" i="8" l="1"/>
  <c r="M3435" i="8"/>
  <c r="L3435" i="8"/>
  <c r="N2083" i="8" l="1"/>
  <c r="M2083" i="8"/>
  <c r="L2083" i="8"/>
  <c r="L3440" i="8" l="1"/>
  <c r="N3440" i="8"/>
  <c r="M3440" i="8"/>
  <c r="N2956" i="8" l="1"/>
  <c r="L2956" i="8"/>
  <c r="M2956" i="8"/>
  <c r="M3508" i="8" l="1"/>
  <c r="L3508" i="8"/>
  <c r="N3508" i="8"/>
  <c r="L2088" i="8" l="1"/>
  <c r="M2088" i="8"/>
  <c r="N2088" i="8"/>
  <c r="N2112" i="8" l="1"/>
  <c r="L2112" i="8"/>
  <c r="M2112" i="8"/>
  <c r="L2960" i="8" l="1"/>
  <c r="M2960" i="8"/>
  <c r="N2960" i="8"/>
  <c r="N2317" i="8" l="1"/>
  <c r="M2317" i="8"/>
  <c r="L2317" i="8"/>
  <c r="N2962" i="8" l="1"/>
  <c r="M2962" i="8"/>
  <c r="L2962" i="8"/>
  <c r="N2091" i="8" l="1"/>
  <c r="M2091" i="8"/>
  <c r="L2091" i="8"/>
  <c r="L2370" i="8" l="1"/>
  <c r="M2370" i="8"/>
  <c r="N2370" i="8"/>
  <c r="M2374" i="8" l="1"/>
  <c r="L2374" i="8"/>
  <c r="N2374" i="8"/>
  <c r="L2328" i="8" l="1"/>
  <c r="N2328" i="8"/>
  <c r="M2328" i="8"/>
  <c r="L2119" i="8" l="1"/>
  <c r="M2119" i="8"/>
  <c r="N2119" i="8"/>
  <c r="M3510" i="8" l="1"/>
  <c r="N3510" i="8"/>
  <c r="L3510" i="8"/>
  <c r="N2969" i="8" l="1"/>
  <c r="L2969" i="8"/>
  <c r="M2969" i="8"/>
  <c r="N3444" i="8" l="1"/>
  <c r="M3444" i="8"/>
  <c r="L3444" i="8"/>
  <c r="N2330" i="8" l="1"/>
  <c r="L2330" i="8"/>
  <c r="M2330" i="8"/>
  <c r="N2972" i="8" l="1"/>
  <c r="L2972" i="8"/>
  <c r="M2972" i="8"/>
  <c r="L2973" i="8" l="1"/>
  <c r="M2973" i="8"/>
  <c r="N2973" i="8"/>
  <c r="M2334" i="8" l="1"/>
  <c r="N2334" i="8"/>
  <c r="L2334" i="8"/>
  <c r="M2975" i="8" l="1"/>
  <c r="L2975" i="8"/>
  <c r="N2975" i="8"/>
  <c r="N2976" i="8" l="1"/>
  <c r="M2976" i="8"/>
  <c r="L2976" i="8"/>
  <c r="N2339" i="8" l="1"/>
  <c r="L2339" i="8"/>
  <c r="M2339" i="8"/>
  <c r="M2124" i="8" l="1"/>
  <c r="L2124" i="8"/>
  <c r="N2124" i="8"/>
  <c r="N2980" i="8" l="1"/>
  <c r="L2980" i="8"/>
  <c r="M2980" i="8"/>
  <c r="M2110" i="8" l="1"/>
  <c r="L2110" i="8"/>
  <c r="N2110" i="8"/>
  <c r="L2134" i="8" l="1"/>
  <c r="M2134" i="8"/>
  <c r="N2134" i="8"/>
  <c r="M2982" i="8" l="1"/>
  <c r="N2982" i="8"/>
  <c r="L2982" i="8"/>
  <c r="N2113" i="8" l="1"/>
  <c r="L2113" i="8"/>
  <c r="M2113" i="8"/>
  <c r="N2137" i="8" l="1"/>
  <c r="M2137" i="8"/>
  <c r="L2137" i="8"/>
  <c r="N2340" i="8" l="1"/>
  <c r="M2340" i="8"/>
  <c r="L2340" i="8"/>
  <c r="M3629" i="8" l="1"/>
  <c r="L3629" i="8"/>
  <c r="N3629" i="8"/>
  <c r="N2987" i="8" l="1"/>
  <c r="M2987" i="8"/>
  <c r="L2987" i="8"/>
  <c r="L2150" i="8" l="1"/>
  <c r="M2150" i="8"/>
  <c r="N2150" i="8"/>
  <c r="L2153" i="8" l="1"/>
  <c r="M2153" i="8"/>
  <c r="N2153" i="8"/>
  <c r="M2383" i="8" l="1"/>
  <c r="N2383" i="8"/>
  <c r="L2383" i="8"/>
  <c r="N2991" i="8" l="1"/>
  <c r="M2991" i="8"/>
  <c r="L2991" i="8"/>
  <c r="L2118" i="8" l="1"/>
  <c r="N2118" i="8"/>
  <c r="M2118" i="8"/>
  <c r="N2120" i="8" l="1"/>
  <c r="L2120" i="8"/>
  <c r="M2120" i="8"/>
  <c r="M2389" i="8" l="1"/>
  <c r="L2389" i="8"/>
  <c r="N2389" i="8"/>
  <c r="L2125" i="8" l="1"/>
  <c r="N2125" i="8"/>
  <c r="M2125" i="8"/>
  <c r="N2356" i="8" l="1"/>
  <c r="L2356" i="8"/>
  <c r="M2356" i="8"/>
  <c r="L2997" i="8" l="1"/>
  <c r="M2997" i="8"/>
  <c r="N2997" i="8"/>
  <c r="M2362" i="8" l="1"/>
  <c r="N2362" i="8"/>
  <c r="L2362" i="8"/>
  <c r="M3113" i="8" l="1"/>
  <c r="L3113" i="8"/>
  <c r="N3113" i="8"/>
  <c r="N2372" i="8" l="1"/>
  <c r="M2372" i="8"/>
  <c r="L2372" i="8"/>
  <c r="N3001" i="8" l="1"/>
  <c r="M3001" i="8"/>
  <c r="L3001" i="8"/>
  <c r="N2160" i="8" l="1"/>
  <c r="L2160" i="8"/>
  <c r="M2160" i="8"/>
  <c r="L2177" i="8" l="1"/>
  <c r="N2177" i="8"/>
  <c r="M2177" i="8"/>
  <c r="L2144" i="8" l="1"/>
  <c r="N2144" i="8"/>
  <c r="M2144" i="8"/>
  <c r="L2145" i="8" l="1"/>
  <c r="M2145" i="8"/>
  <c r="N2145" i="8"/>
  <c r="L3006" i="8" l="1"/>
  <c r="M3006" i="8"/>
  <c r="N3006" i="8"/>
  <c r="M2391" i="8" l="1"/>
  <c r="N2391" i="8"/>
  <c r="L2391" i="8"/>
  <c r="L2146" i="8" l="1"/>
  <c r="N2146" i="8"/>
  <c r="M2146" i="8"/>
  <c r="L2181" i="8" l="1"/>
  <c r="M2181" i="8"/>
  <c r="N2181" i="8"/>
  <c r="M2375" i="8" l="1"/>
  <c r="L2375" i="8"/>
  <c r="N2375" i="8"/>
  <c r="N3645" i="8" l="1"/>
  <c r="L3645" i="8"/>
  <c r="M3645" i="8"/>
  <c r="N3649" i="8" l="1"/>
  <c r="L3649" i="8"/>
  <c r="M3649" i="8"/>
  <c r="N3464" i="8" l="1"/>
  <c r="L3464" i="8"/>
  <c r="M3464" i="8"/>
  <c r="N3014" i="8" l="1"/>
  <c r="M3014" i="8"/>
  <c r="L3014" i="8"/>
  <c r="L3518" i="8" l="1"/>
  <c r="M3518" i="8"/>
  <c r="N3518" i="8"/>
  <c r="L3016" i="8" l="1"/>
  <c r="N3016" i="8"/>
  <c r="M3016" i="8"/>
  <c r="N3017" i="8" l="1"/>
  <c r="L3017" i="8"/>
  <c r="M3017" i="8"/>
  <c r="N3018" i="8" l="1"/>
  <c r="L3018" i="8"/>
  <c r="M3018" i="8"/>
  <c r="M3292" i="8" l="1"/>
  <c r="L3292" i="8"/>
  <c r="N3292" i="8"/>
  <c r="L2147" i="8" l="1"/>
  <c r="M2147" i="8"/>
  <c r="N2147" i="8"/>
  <c r="M2157" i="8" l="1"/>
  <c r="L2157" i="8"/>
  <c r="N2157" i="8"/>
  <c r="L3022" i="8" l="1"/>
  <c r="M3022" i="8"/>
  <c r="N3022" i="8"/>
  <c r="L2377" i="8" l="1"/>
  <c r="M2377" i="8"/>
  <c r="N2377" i="8"/>
  <c r="N3024" i="8" l="1"/>
  <c r="L3024" i="8"/>
  <c r="M3024" i="8"/>
  <c r="L2382" i="8" l="1"/>
  <c r="M2382" i="8"/>
  <c r="N2382" i="8"/>
  <c r="L3026" i="8" l="1"/>
  <c r="N3026" i="8"/>
  <c r="M3026" i="8"/>
  <c r="N3027" i="8" l="1"/>
  <c r="L3027" i="8"/>
  <c r="M3027" i="8"/>
  <c r="M3028" i="8" l="1"/>
  <c r="N3028" i="8"/>
  <c r="L3028" i="8"/>
  <c r="L3647" i="8" l="1"/>
  <c r="N3647" i="8"/>
  <c r="M3647" i="8"/>
  <c r="M3030" i="8" l="1"/>
  <c r="L3030" i="8"/>
  <c r="N3030" i="8"/>
  <c r="L2385" i="8" l="1"/>
  <c r="N2385" i="8"/>
  <c r="M2385" i="8"/>
  <c r="L3032" i="8" l="1"/>
  <c r="M3032" i="8"/>
  <c r="N3032" i="8"/>
  <c r="L3033" i="8" l="1"/>
  <c r="N3033" i="8"/>
  <c r="M3033" i="8"/>
  <c r="M2166" i="8" l="1"/>
  <c r="L2166" i="8"/>
  <c r="N2166" i="8"/>
  <c r="L2983" i="8" l="1"/>
  <c r="N2983" i="8"/>
  <c r="M2983" i="8"/>
  <c r="L2170" i="8" l="1"/>
  <c r="M2170" i="8"/>
  <c r="N2170" i="8"/>
  <c r="L3654" i="8" l="1"/>
  <c r="N3654" i="8"/>
  <c r="M3654" i="8"/>
  <c r="N2173" i="8" l="1"/>
  <c r="L2173" i="8"/>
  <c r="M2173" i="8"/>
  <c r="M2390" i="8" l="1"/>
  <c r="N2390" i="8"/>
  <c r="L2390" i="8"/>
  <c r="L2175" i="8" l="1"/>
  <c r="N2175" i="8"/>
  <c r="M2175" i="8"/>
  <c r="N2397" i="8" l="1"/>
  <c r="L2397" i="8"/>
  <c r="M2397" i="8"/>
  <c r="N2398" i="8" l="1"/>
  <c r="L2398" i="8"/>
  <c r="M2398" i="8"/>
  <c r="N2392" i="8" l="1"/>
  <c r="M2392" i="8"/>
  <c r="L2392" i="8"/>
  <c r="N2178" i="8" l="1"/>
  <c r="L2178" i="8"/>
  <c r="M2178" i="8"/>
  <c r="N2393" i="8" l="1"/>
  <c r="L2393" i="8"/>
  <c r="M2393" i="8"/>
  <c r="M3046" i="8" l="1"/>
  <c r="L3046" i="8"/>
  <c r="N3046" i="8"/>
  <c r="L2394" i="8" l="1"/>
  <c r="N2394" i="8"/>
  <c r="M2394" i="8"/>
  <c r="M2179" i="8" l="1"/>
  <c r="L2179" i="8"/>
  <c r="N2179" i="8"/>
  <c r="L2399" i="8" l="1"/>
  <c r="M2399" i="8"/>
  <c r="N2399" i="8"/>
  <c r="N3520" i="8" l="1"/>
  <c r="L3520" i="8"/>
  <c r="M3520" i="8"/>
  <c r="L3051" i="8" l="1"/>
  <c r="N3051" i="8"/>
  <c r="M3051" i="8"/>
  <c r="L3052" i="8" l="1"/>
  <c r="M3052" i="8"/>
  <c r="N3052" i="8"/>
  <c r="L2992" i="8" l="1"/>
  <c r="N2992" i="8"/>
  <c r="M2992" i="8"/>
  <c r="N3474" i="8" l="1"/>
  <c r="L3474" i="8"/>
  <c r="M3474" i="8"/>
  <c r="L3055" i="8" l="1"/>
  <c r="N3055" i="8"/>
  <c r="M3055" i="8"/>
  <c r="L3056" i="8" l="1"/>
  <c r="N3056" i="8"/>
  <c r="M3056" i="8"/>
  <c r="N3057" i="8" l="1"/>
  <c r="L3057" i="8"/>
  <c r="M3057" i="8"/>
  <c r="M3058" i="8" l="1"/>
  <c r="L3058" i="8"/>
  <c r="N3058" i="8"/>
  <c r="M2188" i="8" l="1"/>
  <c r="L2188" i="8"/>
  <c r="N2188" i="8"/>
  <c r="L3060" i="8" l="1"/>
  <c r="M3060" i="8"/>
  <c r="N3060" i="8"/>
  <c r="N3061" i="8" l="1"/>
  <c r="L3061" i="8"/>
  <c r="M3061" i="8"/>
  <c r="L3062" i="8" l="1"/>
  <c r="M3062" i="8"/>
  <c r="N3062" i="8"/>
  <c r="L2192" i="8" l="1"/>
  <c r="M2192" i="8"/>
  <c r="N2192" i="8"/>
  <c r="N2396" i="8" l="1"/>
  <c r="L2396" i="8"/>
  <c r="M2396" i="8"/>
  <c r="L2408" i="8" l="1"/>
  <c r="M2408" i="8"/>
  <c r="N2408" i="8"/>
  <c r="N2201" i="8" l="1"/>
  <c r="L2201" i="8"/>
  <c r="M2201" i="8"/>
  <c r="M3067" i="8" l="1"/>
  <c r="L3067" i="8"/>
  <c r="N3067" i="8"/>
  <c r="L3068" i="8" l="1"/>
  <c r="M3068" i="8"/>
  <c r="N3068" i="8"/>
  <c r="M3651" i="8" l="1"/>
  <c r="L3651" i="8"/>
  <c r="N3651" i="8"/>
  <c r="L3070" i="8" l="1"/>
  <c r="M3070" i="8"/>
  <c r="N3070" i="8"/>
  <c r="N2182" i="8" l="1"/>
  <c r="L2182" i="8"/>
  <c r="M2182" i="8"/>
  <c r="L3072" i="8" l="1"/>
  <c r="N3072" i="8"/>
  <c r="M3072" i="8"/>
  <c r="N3293" i="8" l="1"/>
  <c r="L3293" i="8"/>
  <c r="M3293" i="8"/>
  <c r="L3074" i="8" l="1"/>
  <c r="N3074" i="8"/>
  <c r="M3074" i="8"/>
  <c r="M2190" i="8" l="1"/>
  <c r="L2190" i="8"/>
  <c r="N2190" i="8"/>
  <c r="L3523" i="8" l="1"/>
  <c r="M3523" i="8"/>
  <c r="N3523" i="8"/>
  <c r="M2197" i="8" l="1"/>
  <c r="L2197" i="8"/>
  <c r="N2197" i="8"/>
  <c r="L3078" i="8" l="1"/>
  <c r="N3078" i="8"/>
  <c r="M3078" i="8"/>
  <c r="M3478" i="8" l="1"/>
  <c r="L3478" i="8"/>
  <c r="N3478" i="8"/>
  <c r="N3080" i="8" l="1"/>
  <c r="L3080" i="8"/>
  <c r="M3080" i="8"/>
  <c r="L3081" i="8" l="1"/>
  <c r="N3081" i="8"/>
  <c r="M3081" i="8"/>
  <c r="N2203" i="8" l="1"/>
  <c r="L2203" i="8"/>
  <c r="M2203" i="8"/>
  <c r="M2955" i="8" l="1"/>
  <c r="L2955" i="8"/>
  <c r="N2955" i="8"/>
  <c r="N3084" i="8" l="1"/>
  <c r="L3084" i="8"/>
  <c r="M3084" i="8"/>
  <c r="N3085" i="8" l="1"/>
  <c r="M3085" i="8"/>
  <c r="L3085" i="8"/>
  <c r="L2208" i="8" l="1"/>
  <c r="M2208" i="8"/>
  <c r="N2208" i="8"/>
  <c r="M2409" i="8" l="1"/>
  <c r="N2409" i="8"/>
  <c r="L2409" i="8"/>
  <c r="N2402" i="8" l="1"/>
  <c r="M2402" i="8"/>
  <c r="L2402" i="8"/>
  <c r="N3089" i="8" l="1"/>
  <c r="L3089" i="8"/>
  <c r="M3089" i="8"/>
  <c r="L2204" i="8" l="1"/>
  <c r="M2204" i="8"/>
  <c r="N2204" i="8"/>
  <c r="N3091" i="8" l="1"/>
  <c r="L3091" i="8"/>
  <c r="M3091" i="8"/>
  <c r="L3092" i="8" l="1"/>
  <c r="N3092" i="8"/>
  <c r="M3092" i="8"/>
  <c r="N3093" i="8" l="1"/>
  <c r="M3093" i="8"/>
  <c r="L3093" i="8"/>
  <c r="N2215" i="8" l="1"/>
  <c r="L2215" i="8"/>
  <c r="M2215" i="8"/>
  <c r="N3095" i="8" l="1"/>
  <c r="L3095" i="8"/>
  <c r="M3095" i="8"/>
  <c r="L2209" i="8" l="1"/>
  <c r="N2209" i="8"/>
  <c r="M2209" i="8"/>
  <c r="N3097" i="8" l="1"/>
  <c r="L3097" i="8"/>
  <c r="M3097" i="8"/>
  <c r="L2212" i="8" l="1"/>
  <c r="M2212" i="8"/>
  <c r="N2212" i="8"/>
  <c r="L2993" i="8" l="1"/>
  <c r="M2993" i="8"/>
  <c r="N2993" i="8"/>
  <c r="L2222" i="8" l="1"/>
  <c r="M2222" i="8"/>
  <c r="N2222" i="8"/>
  <c r="L3101" i="8" l="1"/>
  <c r="N3101" i="8"/>
  <c r="M3101" i="8"/>
  <c r="N2412" i="8" l="1"/>
  <c r="L2412" i="8"/>
  <c r="M2412" i="8"/>
  <c r="L2413" i="8" l="1"/>
  <c r="N2413" i="8"/>
  <c r="M2413" i="8"/>
  <c r="L2417" i="8" l="1"/>
  <c r="N2417" i="8"/>
  <c r="M2417" i="8"/>
  <c r="N2218" i="8" l="1"/>
  <c r="L2218" i="8"/>
  <c r="M2218" i="8"/>
  <c r="N3106" i="8" l="1"/>
  <c r="L3106" i="8"/>
  <c r="M3106" i="8"/>
  <c r="N3107" i="8" l="1"/>
  <c r="M3107" i="8"/>
  <c r="L3107" i="8"/>
  <c r="M2420" i="8" l="1"/>
  <c r="L2420" i="8"/>
  <c r="N2420" i="8"/>
  <c r="M3109" i="8" l="1"/>
  <c r="L3109" i="8"/>
  <c r="N3109" i="8"/>
  <c r="N3592" i="8" l="1"/>
  <c r="L3592" i="8"/>
  <c r="M3592" i="8"/>
  <c r="N2419" i="8" l="1"/>
  <c r="L2419" i="8"/>
  <c r="M2419" i="8"/>
  <c r="M3112" i="8" l="1"/>
  <c r="L3112" i="8"/>
  <c r="N3112" i="8"/>
  <c r="M2228" i="8" l="1"/>
  <c r="L2228" i="8"/>
  <c r="N2228" i="8"/>
  <c r="N2236" i="8" l="1"/>
  <c r="M2236" i="8"/>
  <c r="L2236" i="8"/>
  <c r="M2427" i="8" l="1"/>
  <c r="L2427" i="8"/>
  <c r="N2427" i="8"/>
  <c r="N2435" i="8" l="1"/>
  <c r="M2435" i="8"/>
  <c r="L2435" i="8"/>
  <c r="L3117" i="8" l="1"/>
  <c r="N3117" i="8"/>
  <c r="M3117" i="8"/>
  <c r="L3118" i="8" l="1"/>
  <c r="N3118" i="8"/>
  <c r="M3118" i="8"/>
  <c r="L2437" i="8" l="1"/>
  <c r="N2437" i="8"/>
  <c r="M2437" i="8"/>
  <c r="N2240" i="8" l="1"/>
  <c r="L2240" i="8"/>
  <c r="M2240" i="8"/>
  <c r="L3483" i="8" l="1"/>
  <c r="N3483" i="8"/>
  <c r="M3483" i="8"/>
  <c r="L3122" i="8" l="1"/>
  <c r="N3122" i="8"/>
  <c r="M3122" i="8"/>
  <c r="N2440" i="8" l="1"/>
  <c r="L2440" i="8"/>
  <c r="M2440" i="8"/>
  <c r="N3114" i="8" l="1"/>
  <c r="M3114" i="8"/>
  <c r="L3114" i="8"/>
  <c r="M3125" i="8" l="1"/>
  <c r="L3125" i="8"/>
  <c r="N3125" i="8"/>
  <c r="L2429" i="8" l="1"/>
  <c r="N2429" i="8"/>
  <c r="M2429" i="8"/>
  <c r="N3127" i="8" l="1"/>
  <c r="L3127" i="8"/>
  <c r="M3127" i="8"/>
  <c r="L3128" i="8" l="1"/>
  <c r="M3128" i="8"/>
  <c r="N3128" i="8"/>
  <c r="M2995" i="8" l="1"/>
  <c r="L2995" i="8"/>
  <c r="N2995" i="8"/>
  <c r="N2439" i="8" l="1"/>
  <c r="L2439" i="8"/>
  <c r="M2439" i="8"/>
  <c r="L2243" i="8" l="1"/>
  <c r="N2243" i="8"/>
  <c r="M2243" i="8"/>
  <c r="M2460" i="8" l="1"/>
  <c r="N2460" i="8"/>
  <c r="L2460" i="8"/>
  <c r="L2461" i="8" l="1"/>
  <c r="N2461" i="8"/>
  <c r="M2461" i="8"/>
  <c r="L2462" i="8" l="1"/>
  <c r="M2462" i="8"/>
  <c r="N2462" i="8"/>
  <c r="L2246" i="8" l="1"/>
  <c r="M2246" i="8"/>
  <c r="N2246" i="8"/>
  <c r="M3653" i="8" l="1"/>
  <c r="N3653" i="8"/>
  <c r="L3653" i="8"/>
  <c r="N3660" i="8" l="1"/>
  <c r="L3660" i="8"/>
  <c r="M3660" i="8"/>
  <c r="L3004" i="8" l="1"/>
  <c r="N3004" i="8"/>
  <c r="M3004" i="8"/>
  <c r="L2464" i="8" l="1"/>
  <c r="N2464" i="8"/>
  <c r="M2464" i="8"/>
  <c r="L2225" i="8" l="1"/>
  <c r="N2225" i="8"/>
  <c r="M2225" i="8"/>
  <c r="L2472" i="8" l="1"/>
  <c r="M2472" i="8"/>
  <c r="N2472" i="8"/>
  <c r="L3142" i="8" l="1"/>
  <c r="M3142" i="8"/>
  <c r="N3142" i="8"/>
  <c r="N2441" i="8" l="1"/>
  <c r="L2441" i="8"/>
  <c r="M2441" i="8"/>
  <c r="M3144" i="8" l="1"/>
  <c r="N3144" i="8"/>
  <c r="L3144" i="8"/>
  <c r="L2234" i="8" l="1"/>
  <c r="M2234" i="8"/>
  <c r="N2234" i="8"/>
  <c r="N2475" i="8" l="1"/>
  <c r="L2475" i="8"/>
  <c r="M2475" i="8"/>
  <c r="M2248" i="8" l="1"/>
  <c r="L2248" i="8"/>
  <c r="N2248" i="8"/>
  <c r="M3148" i="8" l="1"/>
  <c r="N3148" i="8"/>
  <c r="L3148" i="8"/>
  <c r="N3149" i="8" l="1"/>
  <c r="L3149" i="8"/>
  <c r="M3149" i="8"/>
  <c r="L3150" i="8" l="1"/>
  <c r="N3150" i="8"/>
  <c r="M3150" i="8"/>
  <c r="M2256" i="8" l="1"/>
  <c r="N2256" i="8"/>
  <c r="L2256" i="8"/>
  <c r="M3152" i="8" l="1"/>
  <c r="N3152" i="8"/>
  <c r="L3152" i="8"/>
  <c r="M2264" i="8" l="1"/>
  <c r="N2264" i="8"/>
  <c r="L2264" i="8"/>
  <c r="M2266" i="8" l="1"/>
  <c r="L2266" i="8"/>
  <c r="N2266" i="8"/>
  <c r="L3155" i="8" l="1"/>
  <c r="M3155" i="8"/>
  <c r="N3155" i="8"/>
  <c r="M2478" i="8" l="1"/>
  <c r="L2478" i="8"/>
  <c r="N2478" i="8"/>
  <c r="M3656" i="8" l="1"/>
  <c r="N3656" i="8"/>
  <c r="L3656" i="8"/>
  <c r="L3158" i="8" l="1"/>
  <c r="N3158" i="8"/>
  <c r="M3158" i="8"/>
  <c r="M3294" i="8" l="1"/>
  <c r="L3294" i="8"/>
  <c r="N3294" i="8"/>
  <c r="L2481" i="8" l="1"/>
  <c r="N2481" i="8"/>
  <c r="M2481" i="8"/>
  <c r="M2502" i="8" l="1"/>
  <c r="N2502" i="8"/>
  <c r="L2502" i="8"/>
  <c r="L3162" i="8" l="1"/>
  <c r="N3162" i="8"/>
  <c r="M3162" i="8"/>
  <c r="L3670" i="8" l="1"/>
  <c r="N3670" i="8"/>
  <c r="M3670" i="8"/>
  <c r="N2505" i="8" l="1"/>
  <c r="M2505" i="8"/>
  <c r="L2505" i="8"/>
  <c r="M3671" i="8" l="1"/>
  <c r="N3671" i="8"/>
  <c r="L3671" i="8"/>
  <c r="M3120" i="8" l="1"/>
  <c r="L3120" i="8"/>
  <c r="N3120" i="8"/>
  <c r="N2261" i="8" l="1"/>
  <c r="L2261" i="8"/>
  <c r="M2261" i="8"/>
  <c r="N3168" i="8" l="1"/>
  <c r="L3168" i="8"/>
  <c r="M3168" i="8"/>
  <c r="L2271" i="8" l="1"/>
  <c r="N2271" i="8"/>
  <c r="M2271" i="8"/>
  <c r="N3604" i="8" l="1"/>
  <c r="L3604" i="8"/>
  <c r="M3604" i="8"/>
  <c r="M3005" i="8" l="1"/>
  <c r="N3005" i="8"/>
  <c r="L3005" i="8"/>
  <c r="L2443" i="8" l="1"/>
  <c r="M2443" i="8"/>
  <c r="N2443" i="8"/>
  <c r="N3173" i="8" l="1"/>
  <c r="L3173" i="8"/>
  <c r="M3173" i="8"/>
  <c r="N3174" i="8" l="1"/>
  <c r="L3174" i="8"/>
  <c r="M3174" i="8"/>
  <c r="M2281" i="8" l="1"/>
  <c r="L2281" i="8"/>
  <c r="N2281" i="8"/>
  <c r="N2516" i="8" l="1"/>
  <c r="L2516" i="8"/>
  <c r="M2516" i="8"/>
  <c r="M3177" i="8" l="1"/>
  <c r="N3177" i="8"/>
  <c r="L3177" i="8"/>
  <c r="M2282" i="8" l="1"/>
  <c r="N2282" i="8"/>
  <c r="L2282" i="8"/>
  <c r="N3512" i="8" l="1"/>
  <c r="L3512" i="8"/>
  <c r="M3512" i="8"/>
  <c r="N3676" i="8" l="1"/>
  <c r="L3676" i="8"/>
  <c r="M3676" i="8"/>
  <c r="N3678" i="8" l="1"/>
  <c r="L3678" i="8"/>
  <c r="M3678" i="8"/>
  <c r="N3124" i="8" l="1"/>
  <c r="M3124" i="8"/>
  <c r="L3124" i="8"/>
  <c r="L2521" i="8" l="1"/>
  <c r="N2521" i="8"/>
  <c r="M2521" i="8"/>
  <c r="N2291" i="8" l="1"/>
  <c r="L2291" i="8"/>
  <c r="M2291" i="8"/>
  <c r="M3185" i="8" l="1"/>
  <c r="L3185" i="8"/>
  <c r="N3185" i="8"/>
  <c r="L2447" i="8" l="1"/>
  <c r="N2447" i="8"/>
  <c r="M2447" i="8"/>
  <c r="M3187" i="8" l="1"/>
  <c r="N3187" i="8"/>
  <c r="L3187" i="8"/>
  <c r="M2525" i="8" l="1"/>
  <c r="N2525" i="8"/>
  <c r="L2525" i="8"/>
  <c r="N3189" i="8" l="1"/>
  <c r="M3189" i="8"/>
  <c r="L3189" i="8"/>
  <c r="L3190" i="8" l="1"/>
  <c r="N3190" i="8"/>
  <c r="M3190" i="8"/>
  <c r="L3191" i="8" l="1"/>
  <c r="M3191" i="8"/>
  <c r="N3191" i="8"/>
  <c r="N2263" i="8" l="1"/>
  <c r="M2263" i="8"/>
  <c r="L2263" i="8"/>
  <c r="N3008" i="8" l="1"/>
  <c r="L3008" i="8"/>
  <c r="M3008" i="8"/>
  <c r="N2458" i="8" l="1"/>
  <c r="M2458" i="8"/>
  <c r="L2458" i="8"/>
  <c r="L2279" i="8" l="1"/>
  <c r="N2279" i="8"/>
  <c r="M2279" i="8"/>
  <c r="N3659" i="8" l="1"/>
  <c r="M3659" i="8"/>
  <c r="L3659" i="8"/>
  <c r="L3197" i="8" l="1"/>
  <c r="M3197" i="8"/>
  <c r="N3197" i="8"/>
  <c r="M2465" i="8" l="1"/>
  <c r="N2465" i="8"/>
  <c r="L2465" i="8"/>
  <c r="N2467" i="8" l="1"/>
  <c r="M2467" i="8"/>
  <c r="L2467" i="8"/>
  <c r="L2534" i="8" l="1"/>
  <c r="M2534" i="8"/>
  <c r="N2534" i="8"/>
  <c r="L2298" i="8" l="1"/>
  <c r="N2298" i="8"/>
  <c r="M2298" i="8"/>
  <c r="N2283" i="8" l="1"/>
  <c r="L2283" i="8"/>
  <c r="M2283" i="8"/>
  <c r="M2470" i="8" l="1"/>
  <c r="L2470" i="8"/>
  <c r="N2470" i="8"/>
  <c r="L3295" i="8" l="1"/>
  <c r="N3295" i="8"/>
  <c r="M3295" i="8"/>
  <c r="M2287" i="8" l="1"/>
  <c r="L2287" i="8"/>
  <c r="N2287" i="8"/>
  <c r="N2320" i="8" l="1"/>
  <c r="M2320" i="8"/>
  <c r="L2320" i="8"/>
  <c r="L3207" i="8" l="1"/>
  <c r="M3207" i="8"/>
  <c r="N3207" i="8"/>
  <c r="N3131" i="8" l="1"/>
  <c r="L3131" i="8"/>
  <c r="M3131" i="8"/>
  <c r="L3209" i="8" l="1"/>
  <c r="N3209" i="8"/>
  <c r="M3209" i="8"/>
  <c r="L2302" i="8" l="1"/>
  <c r="M2302" i="8"/>
  <c r="N2302" i="8"/>
  <c r="M2542" i="8" l="1"/>
  <c r="L2542" i="8"/>
  <c r="N2542" i="8"/>
  <c r="N2323" i="8" l="1"/>
  <c r="L2323" i="8"/>
  <c r="M2323" i="8"/>
  <c r="N2556" i="8" l="1"/>
  <c r="L2556" i="8"/>
  <c r="M2556" i="8"/>
  <c r="N3214" i="8" l="1"/>
  <c r="L3214" i="8"/>
  <c r="M3214" i="8"/>
  <c r="M2329" i="8" l="1"/>
  <c r="L2329" i="8"/>
  <c r="N2329" i="8"/>
  <c r="L3216" i="8" l="1"/>
  <c r="N3216" i="8"/>
  <c r="M3216" i="8"/>
  <c r="L2557" i="8" l="1"/>
  <c r="N2557" i="8"/>
  <c r="M2557" i="8"/>
  <c r="M2304" i="8" l="1"/>
  <c r="N2304" i="8"/>
  <c r="L2304" i="8"/>
  <c r="L3219" i="8" l="1"/>
  <c r="N3219" i="8"/>
  <c r="M3219" i="8"/>
  <c r="N3220" i="8" l="1"/>
  <c r="M3220" i="8"/>
  <c r="L3220" i="8"/>
  <c r="N3681" i="8" l="1"/>
  <c r="L3681" i="8"/>
  <c r="M3681" i="8"/>
  <c r="L2563" i="8" l="1"/>
  <c r="N2563" i="8"/>
  <c r="M2563" i="8"/>
  <c r="L3682" i="8" l="1"/>
  <c r="N3682" i="8"/>
  <c r="M3682" i="8"/>
  <c r="L3224" i="8" l="1"/>
  <c r="N3224" i="8"/>
  <c r="M3224" i="8"/>
  <c r="N2964" i="8" l="1"/>
  <c r="M2964" i="8"/>
  <c r="L2964" i="8"/>
  <c r="N3226" i="8" l="1"/>
  <c r="L3226" i="8"/>
  <c r="M3226" i="8"/>
  <c r="M2570" i="8" l="1"/>
  <c r="L2570" i="8"/>
  <c r="N2570" i="8"/>
  <c r="M3228" i="8" l="1"/>
  <c r="N3228" i="8"/>
  <c r="L3228" i="8"/>
  <c r="L2313" i="8" l="1"/>
  <c r="N2313" i="8"/>
  <c r="M2313" i="8"/>
  <c r="M2576" i="8" l="1"/>
  <c r="L2576" i="8"/>
  <c r="N2576" i="8"/>
  <c r="N2319" i="8" l="1"/>
  <c r="L2319" i="8"/>
  <c r="M2319" i="8"/>
  <c r="N2332" i="8" l="1"/>
  <c r="M2332" i="8"/>
  <c r="L2332" i="8"/>
  <c r="N3233" i="8" l="1"/>
  <c r="M3233" i="8"/>
  <c r="L3233" i="8"/>
  <c r="L2471" i="8" l="1"/>
  <c r="M2471" i="8"/>
  <c r="N2471" i="8"/>
  <c r="N3235" i="8" l="1"/>
  <c r="M3235" i="8"/>
  <c r="L3235" i="8"/>
  <c r="L2581" i="8" l="1"/>
  <c r="N2581" i="8"/>
  <c r="M2581" i="8"/>
  <c r="L2482" i="8" l="1"/>
  <c r="M2482" i="8"/>
  <c r="N2482" i="8"/>
  <c r="N2343" i="8" l="1"/>
  <c r="L2343" i="8"/>
  <c r="M2343" i="8"/>
  <c r="M3239" i="8" l="1"/>
  <c r="L3239" i="8"/>
  <c r="N3239" i="8"/>
  <c r="L2357" i="8" l="1"/>
  <c r="N2357" i="8"/>
  <c r="M2357" i="8"/>
  <c r="L2360" i="8" l="1"/>
  <c r="M2360" i="8"/>
  <c r="N2360" i="8"/>
  <c r="N2367" i="8" l="1"/>
  <c r="L2367" i="8"/>
  <c r="M2367" i="8"/>
  <c r="M3665" i="8" l="1"/>
  <c r="L3665" i="8"/>
  <c r="N3665" i="8"/>
  <c r="L2495" i="8" l="1"/>
  <c r="N2495" i="8"/>
  <c r="M2495" i="8"/>
  <c r="N3245" i="8" l="1"/>
  <c r="L3245" i="8"/>
  <c r="M3245" i="8"/>
  <c r="L3663" i="8" l="1"/>
  <c r="N3663" i="8"/>
  <c r="M3663" i="8"/>
  <c r="L3247" i="8" l="1"/>
  <c r="N3247" i="8"/>
  <c r="M3247" i="8"/>
  <c r="N3248" i="8" l="1"/>
  <c r="L3248" i="8"/>
  <c r="M3248" i="8"/>
  <c r="L3672" i="8" l="1"/>
  <c r="N3672" i="8"/>
  <c r="M3672" i="8"/>
  <c r="N3250" i="8" l="1"/>
  <c r="M3250" i="8"/>
  <c r="L3250" i="8"/>
  <c r="L2587" i="8" l="1"/>
  <c r="N2587" i="8"/>
  <c r="M2587" i="8"/>
  <c r="L3252" i="8" l="1"/>
  <c r="N3252" i="8"/>
  <c r="M3252" i="8"/>
  <c r="L3253" i="8" l="1"/>
  <c r="M3253" i="8"/>
  <c r="N3253" i="8"/>
  <c r="L2498" i="8" l="1"/>
  <c r="M2498" i="8"/>
  <c r="N2498" i="8"/>
  <c r="M2333" i="8" l="1"/>
  <c r="N2333" i="8"/>
  <c r="L2333" i="8"/>
  <c r="N2517" i="8" l="1"/>
  <c r="M2517" i="8"/>
  <c r="L2517" i="8"/>
  <c r="N2590" i="8" l="1"/>
  <c r="L2590" i="8"/>
  <c r="M2590" i="8"/>
  <c r="N2341" i="8" l="1"/>
  <c r="M2341" i="8"/>
  <c r="L2341" i="8"/>
  <c r="N3259" i="8" l="1"/>
  <c r="L3259" i="8"/>
  <c r="M3259" i="8"/>
  <c r="L2598" i="8" l="1"/>
  <c r="N2598" i="8"/>
  <c r="M2598" i="8"/>
  <c r="M2342" i="8" l="1"/>
  <c r="L2342" i="8"/>
  <c r="N2342" i="8"/>
  <c r="N3262" i="8" l="1"/>
  <c r="M3262" i="8"/>
  <c r="L3262" i="8"/>
  <c r="M3263" i="8" l="1"/>
  <c r="N3263" i="8"/>
  <c r="L3263" i="8"/>
  <c r="N3264" i="8" l="1"/>
  <c r="L3264" i="8"/>
  <c r="M3264" i="8"/>
  <c r="L2600" i="8" l="1"/>
  <c r="N2600" i="8"/>
  <c r="M2600" i="8"/>
  <c r="N3135" i="8" l="1"/>
  <c r="M3135" i="8"/>
  <c r="L3135" i="8"/>
  <c r="N2965" i="8" l="1"/>
  <c r="L2965" i="8"/>
  <c r="M2965" i="8"/>
  <c r="L3297" i="8" l="1"/>
  <c r="M3297" i="8"/>
  <c r="N3297" i="8"/>
  <c r="L2518" i="8" l="1"/>
  <c r="M2518" i="8"/>
  <c r="N2518" i="8"/>
  <c r="N2519" i="8" l="1"/>
  <c r="L2519" i="8"/>
  <c r="M2519" i="8"/>
  <c r="L2380" i="8" l="1"/>
  <c r="N2380" i="8"/>
  <c r="M2380" i="8"/>
  <c r="N3272" i="8" l="1"/>
  <c r="M3272" i="8"/>
  <c r="L3272" i="8"/>
  <c r="L2603" i="8" l="1"/>
  <c r="N2603" i="8"/>
  <c r="M2603" i="8"/>
  <c r="L2520" i="8" l="1"/>
  <c r="M2520" i="8"/>
  <c r="N2520" i="8"/>
  <c r="L3275" i="8" l="1"/>
  <c r="N3275" i="8"/>
  <c r="M3275" i="8"/>
  <c r="N3680" i="8" l="1"/>
  <c r="L3680" i="8"/>
  <c r="M3680" i="8"/>
  <c r="L2403" i="8" l="1"/>
  <c r="N2403" i="8"/>
  <c r="M2403" i="8"/>
  <c r="L2406" i="8" l="1"/>
  <c r="M2406" i="8"/>
  <c r="N2406" i="8"/>
  <c r="N2407" i="8" l="1"/>
  <c r="L2407" i="8"/>
  <c r="M2407" i="8"/>
  <c r="L2414" i="8" l="1"/>
  <c r="N2414" i="8"/>
  <c r="M2414" i="8"/>
  <c r="N2604" i="8" l="1"/>
  <c r="M2604" i="8"/>
  <c r="L2604" i="8"/>
  <c r="N2426" i="8" l="1"/>
  <c r="L2426" i="8"/>
  <c r="M2426" i="8"/>
  <c r="N3667" i="8" l="1"/>
  <c r="L3667" i="8"/>
  <c r="M3667" i="8"/>
  <c r="L2605" i="8" l="1"/>
  <c r="N2605" i="8"/>
  <c r="M2605" i="8"/>
  <c r="M2524" i="8" l="1"/>
  <c r="L2524" i="8"/>
  <c r="N2524" i="8"/>
  <c r="L2529" i="8" l="1"/>
  <c r="M2529" i="8"/>
  <c r="N2529" i="8"/>
  <c r="M2345" i="8" l="1"/>
  <c r="L2345" i="8"/>
  <c r="N2345" i="8"/>
  <c r="N2530" i="8" l="1"/>
  <c r="M2530" i="8"/>
  <c r="L2530" i="8"/>
  <c r="N2616" i="8" l="1"/>
  <c r="M2616" i="8"/>
  <c r="L2616" i="8"/>
  <c r="L2346" i="8" l="1"/>
  <c r="N2346" i="8"/>
  <c r="M2346" i="8"/>
  <c r="L3516" i="8" l="1"/>
  <c r="N3516" i="8"/>
  <c r="M3516" i="8"/>
  <c r="M2619" i="8" l="1"/>
  <c r="N2619" i="8"/>
  <c r="L2619" i="8"/>
  <c r="L2620" i="8" l="1"/>
  <c r="M2620" i="8"/>
  <c r="N2620" i="8"/>
  <c r="L2623" i="8" l="1"/>
  <c r="M2623" i="8"/>
  <c r="N2623" i="8"/>
  <c r="M3668" i="8" l="1"/>
  <c r="N3668" i="8"/>
  <c r="L3668" i="8"/>
  <c r="M3296" i="8" l="1"/>
  <c r="L3296" i="8"/>
  <c r="N3296" i="8"/>
  <c r="L3300" i="8" l="1"/>
  <c r="M3300" i="8"/>
  <c r="N3300" i="8"/>
  <c r="M3298" i="8" l="1"/>
  <c r="L3298" i="8"/>
  <c r="N3298" i="8"/>
  <c r="N3299" i="8" l="1"/>
  <c r="L3299" i="8"/>
  <c r="M3299" i="8"/>
  <c r="M3304" i="8" l="1"/>
  <c r="L3304" i="8"/>
  <c r="N3304" i="8"/>
  <c r="L3301" i="8" l="1"/>
  <c r="N3301" i="8"/>
  <c r="M3301" i="8"/>
  <c r="L3302" i="8" l="1"/>
  <c r="N3302" i="8"/>
  <c r="M3302" i="8"/>
  <c r="N2428" i="8" l="1"/>
  <c r="M2428" i="8"/>
  <c r="L2428" i="8"/>
  <c r="M2624" i="8" l="1"/>
  <c r="N2624" i="8"/>
  <c r="L2624" i="8"/>
  <c r="N3546" i="8" l="1"/>
  <c r="M3546" i="8"/>
  <c r="L3546" i="8"/>
  <c r="N3306" i="8" l="1"/>
  <c r="M3306" i="8"/>
  <c r="L3306" i="8"/>
  <c r="L3683" i="8" l="1"/>
  <c r="N3683" i="8"/>
  <c r="M3683" i="8"/>
  <c r="N2349" i="8" l="1"/>
  <c r="M2349" i="8"/>
  <c r="L2349" i="8"/>
  <c r="M3309" i="8" l="1"/>
  <c r="L3309" i="8"/>
  <c r="N3309" i="8"/>
  <c r="M2628" i="8" l="1"/>
  <c r="L2628" i="8"/>
  <c r="N2628" i="8"/>
  <c r="L2635" i="8" l="1"/>
  <c r="N2635" i="8"/>
  <c r="M2635" i="8"/>
  <c r="M2538" i="8" l="1"/>
  <c r="L2538" i="8"/>
  <c r="N2538" i="8"/>
  <c r="L3313" i="8" l="1"/>
  <c r="M3313" i="8"/>
  <c r="N3313" i="8"/>
  <c r="N2354" i="8" l="1"/>
  <c r="M2354" i="8"/>
  <c r="L2354" i="8"/>
  <c r="L3315" i="8" l="1"/>
  <c r="M3315" i="8"/>
  <c r="N3315" i="8"/>
  <c r="L3316" i="8" l="1"/>
  <c r="M3316" i="8"/>
  <c r="N3316" i="8"/>
  <c r="N2539" i="8" l="1"/>
  <c r="M2539" i="8"/>
  <c r="L2539" i="8"/>
  <c r="L3318" i="8" l="1"/>
  <c r="M3318" i="8"/>
  <c r="N3318" i="8"/>
  <c r="M2438" i="8" l="1"/>
  <c r="N2438" i="8"/>
  <c r="L2438" i="8"/>
  <c r="N3320" i="8" l="1"/>
  <c r="L3320" i="8"/>
  <c r="M3320" i="8"/>
  <c r="L2442" i="8" l="1"/>
  <c r="N2442" i="8"/>
  <c r="M2442" i="8"/>
  <c r="L2365" i="8" l="1"/>
  <c r="M2365" i="8"/>
  <c r="N2365" i="8"/>
  <c r="M3323" i="8" l="1"/>
  <c r="N3323" i="8"/>
  <c r="L3323" i="8"/>
  <c r="M2644" i="8" l="1"/>
  <c r="N2644" i="8"/>
  <c r="L2644" i="8"/>
  <c r="M3325" i="8" l="1"/>
  <c r="N3325" i="8"/>
  <c r="L3325" i="8"/>
  <c r="L3326" i="8" l="1"/>
  <c r="N3326" i="8"/>
  <c r="M3326" i="8"/>
  <c r="N2446" i="8" l="1"/>
  <c r="L2446" i="8"/>
  <c r="M2446" i="8"/>
  <c r="L2541" i="8" l="1"/>
  <c r="M2541" i="8"/>
  <c r="N2541" i="8"/>
  <c r="M3689" i="8" l="1"/>
  <c r="N3689" i="8"/>
  <c r="L3689" i="8"/>
  <c r="L3330" i="8" l="1"/>
  <c r="M3330" i="8"/>
  <c r="N3330" i="8"/>
  <c r="M3684" i="8" l="1"/>
  <c r="N3684" i="8"/>
  <c r="L3684" i="8"/>
  <c r="L3015" i="8" l="1"/>
  <c r="N3015" i="8"/>
  <c r="M3015" i="8"/>
  <c r="N2368" i="8" l="1"/>
  <c r="L2368" i="8"/>
  <c r="M2368" i="8"/>
  <c r="M3137" i="8" l="1"/>
  <c r="L3137" i="8"/>
  <c r="N3137" i="8"/>
  <c r="M3335" i="8" l="1"/>
  <c r="N3335" i="8"/>
  <c r="L3335" i="8"/>
  <c r="L3336" i="8" l="1"/>
  <c r="N3336" i="8"/>
  <c r="M3336" i="8"/>
  <c r="L2552" i="8" l="1"/>
  <c r="N2552" i="8"/>
  <c r="M2552" i="8"/>
  <c r="L2562" i="8" l="1"/>
  <c r="N2562" i="8"/>
  <c r="M2562" i="8"/>
  <c r="L2371" i="8" l="1"/>
  <c r="N2371" i="8"/>
  <c r="M2371" i="8"/>
  <c r="M2452" i="8" l="1"/>
  <c r="N2452" i="8"/>
  <c r="L2452" i="8"/>
  <c r="L2376" i="8" l="1"/>
  <c r="M2376" i="8"/>
  <c r="N2376" i="8"/>
  <c r="L3342" i="8" l="1"/>
  <c r="M3342" i="8"/>
  <c r="N3342" i="8"/>
  <c r="N3690" i="8" l="1"/>
  <c r="M3690" i="8"/>
  <c r="L3690" i="8"/>
  <c r="N2463" i="8" l="1"/>
  <c r="M2463" i="8"/>
  <c r="L2463" i="8"/>
  <c r="N3345" i="8" l="1"/>
  <c r="L3345" i="8"/>
  <c r="M3345" i="8"/>
  <c r="M2650" i="8" l="1"/>
  <c r="L2650" i="8"/>
  <c r="N2650" i="8"/>
  <c r="L3694" i="8" l="1"/>
  <c r="M3694" i="8"/>
  <c r="N3694" i="8"/>
  <c r="L3348" i="8" l="1"/>
  <c r="N3348" i="8"/>
  <c r="M3348" i="8"/>
  <c r="L3580" i="8" l="1"/>
  <c r="M3580" i="8"/>
  <c r="N3580" i="8"/>
  <c r="M3147" i="8" l="1"/>
  <c r="L3147" i="8"/>
  <c r="N3147" i="8"/>
  <c r="L3351" i="8" l="1"/>
  <c r="M3351" i="8"/>
  <c r="N3351" i="8"/>
  <c r="N3352" i="8" l="1"/>
  <c r="M3352" i="8"/>
  <c r="L3352" i="8"/>
  <c r="L2473" i="8" l="1"/>
  <c r="N2473" i="8"/>
  <c r="M2473" i="8"/>
  <c r="N2566" i="8" l="1"/>
  <c r="L2566" i="8"/>
  <c r="M2566" i="8"/>
  <c r="L2378" i="8" l="1"/>
  <c r="M2378" i="8"/>
  <c r="N2378" i="8"/>
  <c r="L2652" i="8" l="1"/>
  <c r="M2652" i="8"/>
  <c r="N2652" i="8"/>
  <c r="N3357" i="8" l="1"/>
  <c r="M3357" i="8"/>
  <c r="L3357" i="8"/>
  <c r="L2480" i="8" l="1"/>
  <c r="M2480" i="8"/>
  <c r="N2480" i="8"/>
  <c r="L2664" i="8" l="1"/>
  <c r="M2664" i="8"/>
  <c r="N2664" i="8"/>
  <c r="N2571" i="8" l="1"/>
  <c r="L2571" i="8"/>
  <c r="M2571" i="8"/>
  <c r="M2381" i="8" l="1"/>
  <c r="L2381" i="8"/>
  <c r="N2381" i="8"/>
  <c r="L2485" i="8" l="1"/>
  <c r="N2485" i="8"/>
  <c r="M2485" i="8"/>
  <c r="N2493" i="8" l="1"/>
  <c r="L2493" i="8"/>
  <c r="M2493" i="8"/>
  <c r="M2666" i="8" l="1"/>
  <c r="L2666" i="8"/>
  <c r="N2666" i="8"/>
  <c r="M2577" i="8" l="1"/>
  <c r="L2577" i="8"/>
  <c r="N2577" i="8"/>
  <c r="M2401" i="8" l="1"/>
  <c r="N2401" i="8"/>
  <c r="L2401" i="8"/>
  <c r="N3367" i="8" l="1"/>
  <c r="M3367" i="8"/>
  <c r="L3367" i="8"/>
  <c r="L2670" i="8" l="1"/>
  <c r="M2670" i="8"/>
  <c r="N2670" i="8"/>
  <c r="N3369" i="8" l="1"/>
  <c r="L3369" i="8"/>
  <c r="M3369" i="8"/>
  <c r="L3370" i="8" l="1"/>
  <c r="M3370" i="8"/>
  <c r="N3370" i="8"/>
  <c r="N2675" i="8" l="1"/>
  <c r="L2675" i="8"/>
  <c r="M2675" i="8"/>
  <c r="N2677" i="8" l="1"/>
  <c r="M2677" i="8"/>
  <c r="L2677" i="8"/>
  <c r="M3373" i="8" l="1"/>
  <c r="N3373" i="8"/>
  <c r="L3373" i="8"/>
  <c r="N2684" i="8" l="1"/>
  <c r="L2684" i="8"/>
  <c r="M2684" i="8"/>
  <c r="L3151" i="8" l="1"/>
  <c r="N3151" i="8"/>
  <c r="M3151" i="8"/>
  <c r="M3695" i="8" l="1"/>
  <c r="N3695" i="8"/>
  <c r="L3695" i="8"/>
  <c r="L2496" i="8" l="1"/>
  <c r="M2496" i="8"/>
  <c r="N2496" i="8"/>
  <c r="N3378" i="8" l="1"/>
  <c r="L3378" i="8"/>
  <c r="M3378" i="8"/>
  <c r="N2579" i="8" l="1"/>
  <c r="M2579" i="8"/>
  <c r="L2579" i="8"/>
  <c r="M2586" i="8" l="1"/>
  <c r="N2586" i="8"/>
  <c r="L2586" i="8"/>
  <c r="L2691" i="8" l="1"/>
  <c r="N2691" i="8"/>
  <c r="M2691" i="8"/>
  <c r="L2592" i="8" l="1"/>
  <c r="N2592" i="8"/>
  <c r="M2592" i="8"/>
  <c r="N2500" i="8" l="1"/>
  <c r="L2500" i="8"/>
  <c r="M2500" i="8"/>
  <c r="L2697" i="8" l="1"/>
  <c r="M2697" i="8"/>
  <c r="N2697" i="8"/>
  <c r="L2411" i="8" l="1"/>
  <c r="M2411" i="8"/>
  <c r="N2411" i="8"/>
  <c r="M2415" i="8" l="1"/>
  <c r="N2415" i="8"/>
  <c r="L2415" i="8"/>
  <c r="N2597" i="8" l="1"/>
  <c r="M2597" i="8"/>
  <c r="L2597" i="8"/>
  <c r="M3595" i="8" l="1"/>
  <c r="L3595" i="8"/>
  <c r="N3595" i="8"/>
  <c r="L3389" i="8" l="1"/>
  <c r="M3389" i="8"/>
  <c r="N3389" i="8"/>
  <c r="N2416" i="8" l="1"/>
  <c r="L2416" i="8"/>
  <c r="M2416" i="8"/>
  <c r="N2970" i="8" l="1"/>
  <c r="L2970" i="8"/>
  <c r="M2970" i="8"/>
  <c r="N3153" i="8" l="1"/>
  <c r="L3153" i="8"/>
  <c r="M3153" i="8"/>
  <c r="M3020" i="8" l="1"/>
  <c r="N3020" i="8"/>
  <c r="L3020" i="8"/>
  <c r="N2504" i="8" l="1"/>
  <c r="L2504" i="8"/>
  <c r="M2504" i="8"/>
  <c r="N2421" i="8" l="1"/>
  <c r="M2421" i="8"/>
  <c r="L2421" i="8"/>
  <c r="L3396" i="8" l="1"/>
  <c r="M3396" i="8"/>
  <c r="N3396" i="8"/>
  <c r="M3669" i="8" l="1"/>
  <c r="N3669" i="8"/>
  <c r="L3669" i="8"/>
  <c r="M2508" i="8" l="1"/>
  <c r="L2508" i="8"/>
  <c r="N2508" i="8"/>
  <c r="N3673" i="8" l="1"/>
  <c r="L3673" i="8"/>
  <c r="M3673" i="8"/>
  <c r="L2606" i="8" l="1"/>
  <c r="N2606" i="8"/>
  <c r="M2606" i="8"/>
  <c r="M3401" i="8" l="1"/>
  <c r="N3401" i="8"/>
  <c r="L3401" i="8"/>
  <c r="N2510" i="8" l="1"/>
  <c r="L2510" i="8"/>
  <c r="M2510" i="8"/>
  <c r="L3403" i="8" l="1"/>
  <c r="N3403" i="8"/>
  <c r="M3403" i="8"/>
  <c r="M3404" i="8" l="1"/>
  <c r="L3404" i="8"/>
  <c r="N3404" i="8"/>
  <c r="M2511" i="8" l="1"/>
  <c r="N2511" i="8"/>
  <c r="L2511" i="8"/>
  <c r="M3406" i="8" l="1"/>
  <c r="N3406" i="8"/>
  <c r="L3406" i="8"/>
  <c r="L2527" i="8" l="1"/>
  <c r="M2527" i="8"/>
  <c r="N2527" i="8"/>
  <c r="L2610" i="8" l="1"/>
  <c r="M2610" i="8"/>
  <c r="N2610" i="8"/>
  <c r="N3409" i="8" l="1"/>
  <c r="M3409" i="8"/>
  <c r="L3409" i="8"/>
  <c r="L3410" i="8" l="1"/>
  <c r="N3410" i="8"/>
  <c r="M3410" i="8"/>
  <c r="M2423" i="8" l="1"/>
  <c r="N2423" i="8"/>
  <c r="L2423" i="8"/>
  <c r="N3707" i="8" l="1"/>
  <c r="L3707" i="8"/>
  <c r="M3707" i="8"/>
  <c r="M2612" i="8" l="1"/>
  <c r="L2612" i="8"/>
  <c r="N2612" i="8"/>
  <c r="L2698" i="8" l="1"/>
  <c r="M2698" i="8"/>
  <c r="N2698" i="8"/>
  <c r="N3687" i="8" l="1"/>
  <c r="L3687" i="8"/>
  <c r="M3687" i="8"/>
  <c r="N3416" i="8" l="1"/>
  <c r="L3416" i="8"/>
  <c r="M3416" i="8"/>
  <c r="N2704" i="8" l="1"/>
  <c r="L2704" i="8"/>
  <c r="M2704" i="8"/>
  <c r="M3418" i="8" l="1"/>
  <c r="N3418" i="8"/>
  <c r="L3418" i="8"/>
  <c r="L3419" i="8" l="1"/>
  <c r="N3419" i="8"/>
  <c r="M3419" i="8"/>
  <c r="L3420" i="8" l="1"/>
  <c r="M3420" i="8"/>
  <c r="N3420" i="8"/>
  <c r="M2724" i="8" l="1"/>
  <c r="L2724" i="8"/>
  <c r="N2724" i="8"/>
  <c r="M2431" i="8" l="1"/>
  <c r="N2431" i="8"/>
  <c r="L2431" i="8"/>
  <c r="L3423" i="8" l="1"/>
  <c r="M3423" i="8"/>
  <c r="N3423" i="8"/>
  <c r="L3424" i="8" l="1"/>
  <c r="N3424" i="8"/>
  <c r="M3424" i="8"/>
  <c r="N3425" i="8" l="1"/>
  <c r="L3425" i="8"/>
  <c r="M3425" i="8"/>
  <c r="L3426" i="8" l="1"/>
  <c r="M3426" i="8"/>
  <c r="N3426" i="8"/>
  <c r="N2532" i="8" l="1"/>
  <c r="L2532" i="8"/>
  <c r="M2532" i="8"/>
  <c r="L3428" i="8" l="1"/>
  <c r="M3428" i="8"/>
  <c r="N3428" i="8"/>
  <c r="L3429" i="8" l="1"/>
  <c r="N3429" i="8"/>
  <c r="M3429" i="8"/>
  <c r="L3430" i="8" l="1"/>
  <c r="M3430" i="8"/>
  <c r="N3430" i="8"/>
  <c r="N3431" i="8" l="1"/>
  <c r="L3431" i="8"/>
  <c r="M3431" i="8"/>
  <c r="L2449" i="8" l="1"/>
  <c r="N2449" i="8"/>
  <c r="M2449" i="8"/>
  <c r="N2450" i="8" l="1"/>
  <c r="M2450" i="8"/>
  <c r="L2450" i="8"/>
  <c r="L3154" i="8" l="1"/>
  <c r="M3154" i="8"/>
  <c r="N3154" i="8"/>
  <c r="N2614" i="8" l="1"/>
  <c r="L2614" i="8"/>
  <c r="M2614" i="8"/>
  <c r="L2459" i="8" l="1"/>
  <c r="N2459" i="8"/>
  <c r="M2459" i="8"/>
  <c r="N2734" i="8" l="1"/>
  <c r="L2734" i="8"/>
  <c r="M2734" i="8"/>
  <c r="N3674" i="8" l="1"/>
  <c r="L3674" i="8"/>
  <c r="M3674" i="8"/>
  <c r="N2466" i="8" l="1"/>
  <c r="M2466" i="8"/>
  <c r="L2466" i="8"/>
  <c r="L2618" i="8" l="1"/>
  <c r="M2618" i="8"/>
  <c r="N2618" i="8"/>
  <c r="L3441" i="8" l="1"/>
  <c r="M3441" i="8"/>
  <c r="N3441" i="8"/>
  <c r="L3310" i="8" l="1"/>
  <c r="M3310" i="8"/>
  <c r="N3310" i="8"/>
  <c r="L2736" i="8" l="1"/>
  <c r="M2736" i="8"/>
  <c r="N2736" i="8"/>
  <c r="M2637" i="8" l="1"/>
  <c r="L2637" i="8"/>
  <c r="N2637" i="8"/>
  <c r="M2554" i="8" l="1"/>
  <c r="L2554" i="8"/>
  <c r="N2554" i="8"/>
  <c r="N2559" i="8" l="1"/>
  <c r="M2559" i="8"/>
  <c r="L2559" i="8"/>
  <c r="L2762" i="8" l="1"/>
  <c r="M2762" i="8"/>
  <c r="N2762" i="8"/>
  <c r="L3448" i="8" l="1"/>
  <c r="N3448" i="8"/>
  <c r="M3448" i="8"/>
  <c r="L2564" i="8" l="1"/>
  <c r="M2564" i="8"/>
  <c r="N2564" i="8"/>
  <c r="L2567" i="8" l="1"/>
  <c r="M2567" i="8"/>
  <c r="N2567" i="8"/>
  <c r="N3451" i="8" l="1"/>
  <c r="L3451" i="8"/>
  <c r="M3451" i="8"/>
  <c r="N3452" i="8" l="1"/>
  <c r="M3452" i="8"/>
  <c r="L3452" i="8"/>
  <c r="L3453" i="8" l="1"/>
  <c r="M3453" i="8"/>
  <c r="N3453" i="8"/>
  <c r="M3710" i="8" l="1"/>
  <c r="N3710" i="8"/>
  <c r="L3710" i="8"/>
  <c r="N3455" i="8" l="1"/>
  <c r="L3455" i="8"/>
  <c r="M3455" i="8"/>
  <c r="L2768" i="8" l="1"/>
  <c r="M2768" i="8"/>
  <c r="N2768" i="8"/>
  <c r="L3692" i="8" l="1"/>
  <c r="N3692" i="8"/>
  <c r="M3692" i="8"/>
  <c r="M3458" i="8" l="1"/>
  <c r="N3458" i="8"/>
  <c r="L3458" i="8"/>
  <c r="N3459" i="8" l="1"/>
  <c r="L3459" i="8"/>
  <c r="M3459" i="8"/>
  <c r="L3163" i="8" l="1"/>
  <c r="M3163" i="8"/>
  <c r="N3163" i="8"/>
  <c r="N3461" i="8" l="1"/>
  <c r="L3461" i="8"/>
  <c r="M3461" i="8"/>
  <c r="M2769" i="8" l="1"/>
  <c r="N2769" i="8"/>
  <c r="L2769" i="8"/>
  <c r="N3021" i="8" l="1"/>
  <c r="M3021" i="8"/>
  <c r="L3021" i="8"/>
  <c r="L2642" i="8" l="1"/>
  <c r="M2642" i="8"/>
  <c r="N2642" i="8"/>
  <c r="N3465" i="8" l="1"/>
  <c r="M3465" i="8"/>
  <c r="L3465" i="8"/>
  <c r="M2469" i="8" l="1"/>
  <c r="L2469" i="8"/>
  <c r="N2469" i="8"/>
  <c r="L3467" i="8" l="1"/>
  <c r="M3467" i="8"/>
  <c r="N3467" i="8"/>
  <c r="L2771" i="8" l="1"/>
  <c r="N2771" i="8"/>
  <c r="M2771" i="8"/>
  <c r="N3469" i="8" l="1"/>
  <c r="L3469" i="8"/>
  <c r="M3469" i="8"/>
  <c r="L2797" i="8" l="1"/>
  <c r="N2797" i="8"/>
  <c r="M2797" i="8"/>
  <c r="L2477" i="8" l="1"/>
  <c r="M2477" i="8"/>
  <c r="N2477" i="8"/>
  <c r="L3472" i="8" l="1"/>
  <c r="M3472" i="8"/>
  <c r="N3472" i="8"/>
  <c r="N3473" i="8" l="1"/>
  <c r="L3473" i="8"/>
  <c r="M3473" i="8"/>
  <c r="L3621" i="8" l="1"/>
  <c r="N3621" i="8"/>
  <c r="M3621" i="8"/>
  <c r="L3165" i="8" l="1"/>
  <c r="M3165" i="8"/>
  <c r="N3165" i="8"/>
  <c r="N3476" i="8" l="1"/>
  <c r="M3476" i="8"/>
  <c r="L3476" i="8"/>
  <c r="N3477" i="8" l="1"/>
  <c r="L3477" i="8"/>
  <c r="M3477" i="8"/>
  <c r="L2647" i="8" l="1"/>
  <c r="N2647" i="8"/>
  <c r="M2647" i="8"/>
  <c r="M2568" i="8" l="1"/>
  <c r="L2568" i="8"/>
  <c r="N2568" i="8"/>
  <c r="N3704" i="8" l="1"/>
  <c r="M3704" i="8"/>
  <c r="L3704" i="8"/>
  <c r="N3481" i="8" l="1"/>
  <c r="L3481" i="8"/>
  <c r="M3481" i="8"/>
  <c r="N3482" i="8" l="1"/>
  <c r="M3482" i="8"/>
  <c r="L3482" i="8"/>
  <c r="N2663" i="8" l="1"/>
  <c r="L2663" i="8"/>
  <c r="M2663" i="8"/>
  <c r="L2569" i="8" l="1"/>
  <c r="M2569" i="8"/>
  <c r="N2569" i="8"/>
  <c r="L2798" i="8" l="1"/>
  <c r="M2798" i="8"/>
  <c r="N2798" i="8"/>
  <c r="L3486" i="8" l="1"/>
  <c r="N3486" i="8"/>
  <c r="M3486" i="8"/>
  <c r="M2479" i="8" l="1"/>
  <c r="N2479" i="8"/>
  <c r="L2479" i="8"/>
  <c r="N3488" i="8" l="1"/>
  <c r="M3488" i="8"/>
  <c r="L3488" i="8"/>
  <c r="N2484" i="8" l="1"/>
  <c r="L2484" i="8"/>
  <c r="M2484" i="8"/>
  <c r="M3490" i="8" l="1"/>
  <c r="N3490" i="8"/>
  <c r="L3490" i="8"/>
  <c r="N2573" i="8" l="1"/>
  <c r="L2573" i="8"/>
  <c r="M2573" i="8"/>
  <c r="M2488" i="8" l="1"/>
  <c r="L2488" i="8"/>
  <c r="N2488" i="8"/>
  <c r="N2799" i="8" l="1"/>
  <c r="M2799" i="8"/>
  <c r="L2799" i="8"/>
  <c r="L2490" i="8" l="1"/>
  <c r="N2490" i="8"/>
  <c r="M2490" i="8"/>
  <c r="M2574" i="8" l="1"/>
  <c r="N2574" i="8"/>
  <c r="L2574" i="8"/>
  <c r="M3496" i="8" l="1"/>
  <c r="N3496" i="8"/>
  <c r="L3496" i="8"/>
  <c r="L2582" i="8" l="1"/>
  <c r="N2582" i="8"/>
  <c r="M2582" i="8"/>
  <c r="L2499" i="8" l="1"/>
  <c r="N2499" i="8"/>
  <c r="M2499" i="8"/>
  <c r="N3499" i="8" l="1"/>
  <c r="M3499" i="8"/>
  <c r="L3499" i="8"/>
  <c r="M3725" i="8" l="1"/>
  <c r="L3725" i="8"/>
  <c r="N3725" i="8"/>
  <c r="M2503" i="8" l="1"/>
  <c r="L2503" i="8"/>
  <c r="N2503" i="8"/>
  <c r="L3502" i="8" l="1"/>
  <c r="M3502" i="8"/>
  <c r="N3502" i="8"/>
  <c r="M2803" i="8" l="1"/>
  <c r="N2803" i="8"/>
  <c r="L2803" i="8"/>
  <c r="N3504" i="8" l="1"/>
  <c r="L3504" i="8"/>
  <c r="M3504" i="8"/>
  <c r="L2804" i="8" l="1"/>
  <c r="N2804" i="8"/>
  <c r="M2804" i="8"/>
  <c r="L2830" i="8" l="1"/>
  <c r="M2830" i="8"/>
  <c r="N2830" i="8"/>
  <c r="M3507" i="8" l="1"/>
  <c r="N3507" i="8"/>
  <c r="L3507" i="8"/>
  <c r="L2512" i="8" l="1"/>
  <c r="N2512" i="8"/>
  <c r="M2512" i="8"/>
  <c r="L3509" i="8" l="1"/>
  <c r="M3509" i="8"/>
  <c r="N3509" i="8"/>
  <c r="M2523" i="8" l="1"/>
  <c r="L2523" i="8"/>
  <c r="N2523" i="8"/>
  <c r="N3511" i="8" l="1"/>
  <c r="M3511" i="8"/>
  <c r="L3511" i="8"/>
  <c r="L2667" i="8" l="1"/>
  <c r="N2667" i="8"/>
  <c r="M2667" i="8"/>
  <c r="L3711" i="8" l="1"/>
  <c r="M3711" i="8"/>
  <c r="N3711" i="8"/>
  <c r="N3514" i="8" l="1"/>
  <c r="L3514" i="8"/>
  <c r="M3514" i="8"/>
  <c r="N2833" i="8" l="1"/>
  <c r="L2833" i="8"/>
  <c r="M2833" i="8"/>
  <c r="N3677" i="8" l="1"/>
  <c r="M3677" i="8"/>
  <c r="L3677" i="8"/>
  <c r="L3517" i="8" l="1"/>
  <c r="M3517" i="8"/>
  <c r="N3517" i="8"/>
  <c r="L3034" i="8" l="1"/>
  <c r="N3034" i="8"/>
  <c r="M3034" i="8"/>
  <c r="N3519" i="8" l="1"/>
  <c r="L3519" i="8"/>
  <c r="M3519" i="8"/>
  <c r="L2526" i="8" l="1"/>
  <c r="M2526" i="8"/>
  <c r="N2526" i="8"/>
  <c r="M2837" i="8" l="1"/>
  <c r="L2837" i="8"/>
  <c r="N2837" i="8"/>
  <c r="L2583" i="8" l="1"/>
  <c r="N2583" i="8"/>
  <c r="M2583" i="8"/>
  <c r="N2533" i="8" l="1"/>
  <c r="L2533" i="8"/>
  <c r="M2533" i="8"/>
  <c r="L2838" i="8" l="1"/>
  <c r="N2838" i="8"/>
  <c r="M2838" i="8"/>
  <c r="L3525" i="8" l="1"/>
  <c r="M3525" i="8"/>
  <c r="N3525" i="8"/>
  <c r="L3526" i="8" l="1"/>
  <c r="N3526" i="8"/>
  <c r="M3526" i="8"/>
  <c r="L2840" i="8" l="1"/>
  <c r="M2840" i="8"/>
  <c r="N2840" i="8"/>
  <c r="M3714" i="8" l="1"/>
  <c r="N3714" i="8"/>
  <c r="L3714" i="8"/>
  <c r="M2849" i="8" l="1"/>
  <c r="L2849" i="8"/>
  <c r="N2849" i="8"/>
  <c r="N2855" i="8" l="1"/>
  <c r="M2855" i="8"/>
  <c r="L2855" i="8"/>
  <c r="N3531" i="8" l="1"/>
  <c r="M3531" i="8"/>
  <c r="L3531" i="8"/>
  <c r="L3532" i="8" l="1"/>
  <c r="M3532" i="8"/>
  <c r="N3532" i="8"/>
  <c r="L2585" i="8" l="1"/>
  <c r="M2585" i="8"/>
  <c r="N2585" i="8"/>
  <c r="L3534" i="8" l="1"/>
  <c r="M3534" i="8"/>
  <c r="N3534" i="8"/>
  <c r="N3535" i="8" l="1"/>
  <c r="L3535" i="8"/>
  <c r="M3535" i="8"/>
  <c r="N2593" i="8" l="1"/>
  <c r="L2593" i="8"/>
  <c r="M2593" i="8"/>
  <c r="L2866" i="8" l="1"/>
  <c r="N2866" i="8"/>
  <c r="M2866" i="8"/>
  <c r="N3538" i="8" l="1"/>
  <c r="L3538" i="8"/>
  <c r="M3538" i="8"/>
  <c r="L3539" i="8" l="1"/>
  <c r="M3539" i="8"/>
  <c r="N3539" i="8"/>
  <c r="L2882" i="8" l="1"/>
  <c r="N2882" i="8"/>
  <c r="M2882" i="8"/>
  <c r="L2884" i="8" l="1"/>
  <c r="N2884" i="8"/>
  <c r="M2884" i="8"/>
  <c r="L2891" i="8" l="1"/>
  <c r="M2891" i="8"/>
  <c r="N2891" i="8"/>
  <c r="L3166" i="8" l="1"/>
  <c r="M3166" i="8"/>
  <c r="N3166" i="8"/>
  <c r="L2894" i="8" l="1"/>
  <c r="M2894" i="8"/>
  <c r="N2894" i="8"/>
  <c r="L3545" i="8" l="1"/>
  <c r="N3545" i="8"/>
  <c r="M3545" i="8"/>
  <c r="L2672" i="8" l="1"/>
  <c r="N2672" i="8"/>
  <c r="M2672" i="8"/>
  <c r="L3715" i="8" l="1"/>
  <c r="N3715" i="8"/>
  <c r="M3715" i="8"/>
  <c r="N2594" i="8" l="1"/>
  <c r="L2594" i="8"/>
  <c r="M2594" i="8"/>
  <c r="N3549" i="8" l="1"/>
  <c r="M3549" i="8"/>
  <c r="L3549" i="8"/>
  <c r="N3550" i="8" l="1"/>
  <c r="L3550" i="8"/>
  <c r="M3550" i="8"/>
  <c r="L3719" i="8" l="1"/>
  <c r="M3719" i="8"/>
  <c r="N3719" i="8"/>
  <c r="L3552" i="8" l="1"/>
  <c r="N3552" i="8"/>
  <c r="M3552" i="8"/>
  <c r="N3553" i="8" l="1"/>
  <c r="M3553" i="8"/>
  <c r="L3553" i="8"/>
  <c r="L2596" i="8" l="1"/>
  <c r="M2596" i="8"/>
  <c r="N2596" i="8"/>
  <c r="M3555" i="8" l="1"/>
  <c r="L3555" i="8"/>
  <c r="N3555" i="8"/>
  <c r="L3700" i="8" l="1"/>
  <c r="N3700" i="8"/>
  <c r="M3700" i="8"/>
  <c r="N3557" i="8" l="1"/>
  <c r="L3557" i="8"/>
  <c r="M3557" i="8"/>
  <c r="N3701" i="8" l="1"/>
  <c r="L3701" i="8"/>
  <c r="M3701" i="8"/>
  <c r="N3559" i="8" l="1"/>
  <c r="M3559" i="8"/>
  <c r="L3559" i="8"/>
  <c r="L3723" i="8" l="1"/>
  <c r="N3723" i="8"/>
  <c r="M3723" i="8"/>
  <c r="M3561" i="8" l="1"/>
  <c r="L3561" i="8"/>
  <c r="N3561" i="8"/>
  <c r="L3562" i="8" l="1"/>
  <c r="N3562" i="8"/>
  <c r="M3562" i="8"/>
  <c r="M3563" i="8" l="1"/>
  <c r="N3563" i="8"/>
  <c r="L3563" i="8"/>
  <c r="L3311" i="8" l="1"/>
  <c r="N3311" i="8"/>
  <c r="M3311" i="8"/>
  <c r="L3565" i="8" l="1"/>
  <c r="N3565" i="8"/>
  <c r="M3565" i="8"/>
  <c r="N2607" i="8" l="1"/>
  <c r="L2607" i="8"/>
  <c r="M2607" i="8"/>
  <c r="M2895" i="8" l="1"/>
  <c r="L2895" i="8"/>
  <c r="N2895" i="8"/>
  <c r="L3568" i="8" l="1"/>
  <c r="M3568" i="8"/>
  <c r="N3568" i="8"/>
  <c r="L3569" i="8" l="1"/>
  <c r="N3569" i="8"/>
  <c r="M3569" i="8"/>
  <c r="N3570" i="8" l="1"/>
  <c r="L3570" i="8"/>
  <c r="M3570" i="8"/>
  <c r="L2622" i="8" l="1"/>
  <c r="M2622" i="8"/>
  <c r="N2622" i="8"/>
  <c r="M3572" i="8" l="1"/>
  <c r="N3572" i="8"/>
  <c r="L3572" i="8"/>
  <c r="L3573" i="8" l="1"/>
  <c r="N3573" i="8"/>
  <c r="M3573" i="8"/>
  <c r="N2897" i="8" l="1"/>
  <c r="L2897" i="8"/>
  <c r="M2897" i="8"/>
  <c r="N3575" i="8" l="1"/>
  <c r="M3575" i="8"/>
  <c r="L3575" i="8"/>
  <c r="L3576" i="8" l="1"/>
  <c r="M3576" i="8"/>
  <c r="N3576" i="8"/>
  <c r="M3577" i="8" l="1"/>
  <c r="L3577" i="8"/>
  <c r="N3577" i="8"/>
  <c r="L3578" i="8" l="1"/>
  <c r="N3578" i="8"/>
  <c r="M3578" i="8"/>
  <c r="M2626" i="8" l="1"/>
  <c r="N2626" i="8"/>
  <c r="L2626" i="8"/>
  <c r="L2679" i="8" l="1"/>
  <c r="N2679" i="8"/>
  <c r="M2679" i="8"/>
  <c r="N3581" i="8" l="1"/>
  <c r="M3581" i="8"/>
  <c r="L3581" i="8"/>
  <c r="N3324" i="8" l="1"/>
  <c r="M3324" i="8"/>
  <c r="L3324" i="8"/>
  <c r="N3583" i="8" l="1"/>
  <c r="M3583" i="8"/>
  <c r="L3583" i="8"/>
  <c r="M3584" i="8" l="1"/>
  <c r="L3584" i="8"/>
  <c r="N3584" i="8"/>
  <c r="L3585" i="8" l="1"/>
  <c r="N3585" i="8"/>
  <c r="M3585" i="8"/>
  <c r="L2899" i="8" l="1"/>
  <c r="N2899" i="8"/>
  <c r="M2899" i="8"/>
  <c r="N2627" i="8" l="1"/>
  <c r="L2627" i="8"/>
  <c r="M2627" i="8"/>
  <c r="M3588" i="8" l="1"/>
  <c r="L3588" i="8"/>
  <c r="N3588" i="8"/>
  <c r="N2634" i="8" l="1"/>
  <c r="M2634" i="8"/>
  <c r="L2634" i="8"/>
  <c r="N2900" i="8" l="1"/>
  <c r="L2900" i="8"/>
  <c r="M2900" i="8"/>
  <c r="L2911" i="8" l="1"/>
  <c r="N2911" i="8"/>
  <c r="M2911" i="8"/>
  <c r="L3731" i="8" l="1"/>
  <c r="N3731" i="8"/>
  <c r="M3731" i="8"/>
  <c r="N3593" i="8" l="1"/>
  <c r="M3593" i="8"/>
  <c r="L3593" i="8"/>
  <c r="M2639" i="8" l="1"/>
  <c r="N2639" i="8"/>
  <c r="L2639" i="8"/>
  <c r="M2990" i="8" l="1"/>
  <c r="N2990" i="8"/>
  <c r="L2990" i="8"/>
  <c r="M3596" i="8" l="1"/>
  <c r="L3596" i="8"/>
  <c r="N3596" i="8"/>
  <c r="M3597" i="8" l="1"/>
  <c r="N3597" i="8"/>
  <c r="L3597" i="8"/>
  <c r="N3598" i="8" l="1"/>
  <c r="L3598" i="8"/>
  <c r="M3598" i="8"/>
  <c r="M3708" i="8" l="1"/>
  <c r="L3708" i="8"/>
  <c r="N3708" i="8"/>
  <c r="M3709" i="8" l="1"/>
  <c r="L3709" i="8"/>
  <c r="N3709" i="8"/>
  <c r="L3601" i="8" l="1"/>
  <c r="M3601" i="8"/>
  <c r="N3601" i="8"/>
  <c r="N2921" i="8" l="1"/>
  <c r="L2921" i="8"/>
  <c r="M2921" i="8"/>
  <c r="M3603" i="8" l="1"/>
  <c r="N3603" i="8"/>
  <c r="L3603" i="8"/>
  <c r="L2535" i="8" l="1"/>
  <c r="M2535" i="8"/>
  <c r="N2535" i="8"/>
  <c r="L3605" i="8" l="1"/>
  <c r="M3605" i="8"/>
  <c r="N3605" i="8"/>
  <c r="N2925" i="8" l="1"/>
  <c r="L2925" i="8"/>
  <c r="M2925" i="8"/>
  <c r="N3607" i="8" l="1"/>
  <c r="L3607" i="8"/>
  <c r="M3607" i="8"/>
  <c r="M3608" i="8" l="1"/>
  <c r="L3608" i="8"/>
  <c r="N3608" i="8"/>
  <c r="L2645" i="8" l="1"/>
  <c r="N2645" i="8"/>
  <c r="M2645" i="8"/>
  <c r="L3610" i="8" l="1"/>
  <c r="N3610" i="8"/>
  <c r="M3610" i="8"/>
  <c r="L2926" i="8" l="1"/>
  <c r="N2926" i="8"/>
  <c r="M2926" i="8"/>
  <c r="L3612" i="8" l="1"/>
  <c r="N3612" i="8"/>
  <c r="M3612" i="8"/>
  <c r="M3613" i="8" l="1"/>
  <c r="L3613" i="8"/>
  <c r="N3613" i="8"/>
  <c r="N2649" i="8" l="1"/>
  <c r="L2649" i="8"/>
  <c r="M2649" i="8"/>
  <c r="M3615" i="8" l="1"/>
  <c r="N3615" i="8"/>
  <c r="L3615" i="8"/>
  <c r="N3346" i="8" l="1"/>
  <c r="L3346" i="8"/>
  <c r="M3346" i="8"/>
  <c r="L3617" i="8" l="1"/>
  <c r="N3617" i="8"/>
  <c r="M3617" i="8"/>
  <c r="N2651" i="8" l="1"/>
  <c r="L2651" i="8"/>
  <c r="M2651" i="8"/>
  <c r="L3619" i="8" l="1"/>
  <c r="N3619" i="8"/>
  <c r="M3619" i="8"/>
  <c r="N2939" i="8" l="1"/>
  <c r="M2939" i="8"/>
  <c r="L2939" i="8"/>
  <c r="L2681" i="8" l="1"/>
  <c r="M2681" i="8"/>
  <c r="N2681" i="8"/>
  <c r="N2653" i="8" l="1"/>
  <c r="M2653" i="8"/>
  <c r="L2653" i="8"/>
  <c r="L3623" i="8" l="1"/>
  <c r="N3623" i="8"/>
  <c r="M3623" i="8"/>
  <c r="L3712" i="8" l="1"/>
  <c r="N3712" i="8"/>
  <c r="M3712" i="8"/>
  <c r="L3625" i="8" l="1"/>
  <c r="N3625" i="8"/>
  <c r="M3625" i="8"/>
  <c r="M2961" i="8" l="1"/>
  <c r="L2961" i="8"/>
  <c r="N2961" i="8"/>
  <c r="L3627" i="8" l="1"/>
  <c r="M3627" i="8"/>
  <c r="N3627" i="8"/>
  <c r="M3628" i="8" l="1"/>
  <c r="L3628" i="8"/>
  <c r="N3628" i="8"/>
  <c r="L2966" i="8" l="1"/>
  <c r="N2966" i="8"/>
  <c r="M2966" i="8"/>
  <c r="N2657" i="8" l="1"/>
  <c r="M2657" i="8"/>
  <c r="L2657" i="8"/>
  <c r="L3631" i="8" l="1"/>
  <c r="M3631" i="8"/>
  <c r="N3631" i="8"/>
  <c r="M3632" i="8" l="1"/>
  <c r="L3632" i="8"/>
  <c r="N3632" i="8"/>
  <c r="L3633" i="8" l="1"/>
  <c r="N3633" i="8"/>
  <c r="M3633" i="8"/>
  <c r="N3634" i="8" l="1"/>
  <c r="L3634" i="8"/>
  <c r="M3634" i="8"/>
  <c r="N3635" i="8" l="1"/>
  <c r="L3635" i="8"/>
  <c r="M3635" i="8"/>
  <c r="L3636" i="8" l="1"/>
  <c r="M3636" i="8"/>
  <c r="N3636" i="8"/>
  <c r="N3637" i="8" l="1"/>
  <c r="M3637" i="8"/>
  <c r="L3637" i="8"/>
  <c r="L3638" i="8" l="1"/>
  <c r="M3638" i="8"/>
  <c r="N3638" i="8"/>
  <c r="L3639" i="8" l="1"/>
  <c r="M3639" i="8"/>
  <c r="N3639" i="8"/>
  <c r="M3717" i="8" l="1"/>
  <c r="L3717" i="8"/>
  <c r="N3717" i="8"/>
  <c r="L3641" i="8" l="1"/>
  <c r="N3641" i="8"/>
  <c r="M3641" i="8"/>
  <c r="N3642" i="8" l="1"/>
  <c r="L3642" i="8"/>
  <c r="M3642" i="8"/>
  <c r="L3643" i="8" l="1"/>
  <c r="N3643" i="8"/>
  <c r="M3643" i="8"/>
  <c r="L3644" i="8" l="1"/>
  <c r="M3644" i="8"/>
  <c r="N3644" i="8"/>
  <c r="L2971" i="8" l="1"/>
  <c r="N2971" i="8"/>
  <c r="M2971" i="8"/>
  <c r="N3646" i="8" l="1"/>
  <c r="M3646" i="8"/>
  <c r="L3646" i="8"/>
  <c r="L2974" i="8" l="1"/>
  <c r="N2974" i="8"/>
  <c r="M2974" i="8"/>
  <c r="M3648" i="8" l="1"/>
  <c r="N3648" i="8"/>
  <c r="L3648" i="8"/>
  <c r="L2661" i="8" l="1"/>
  <c r="M2661" i="8"/>
  <c r="N2661" i="8"/>
  <c r="M3650" i="8" l="1"/>
  <c r="N3650" i="8"/>
  <c r="L3650" i="8"/>
  <c r="N2977" i="8" l="1"/>
  <c r="L2977" i="8"/>
  <c r="M2977" i="8"/>
  <c r="M3652" i="8" l="1"/>
  <c r="L3652" i="8"/>
  <c r="N3652" i="8"/>
  <c r="M3729" i="8" l="1"/>
  <c r="L3729" i="8"/>
  <c r="N3729" i="8"/>
  <c r="L2668" i="8" l="1"/>
  <c r="N2668" i="8"/>
  <c r="M2668" i="8"/>
  <c r="L3655" i="8" l="1"/>
  <c r="M3655" i="8"/>
  <c r="N3655" i="8"/>
  <c r="L2985" i="8" l="1"/>
  <c r="N2985" i="8"/>
  <c r="M2985" i="8"/>
  <c r="L3657" i="8" l="1"/>
  <c r="M3657" i="8"/>
  <c r="N3657" i="8"/>
  <c r="N3658" i="8" l="1"/>
  <c r="L3658" i="8"/>
  <c r="M3658" i="8"/>
  <c r="L2986" i="8" l="1"/>
  <c r="M2986" i="8"/>
  <c r="N2986" i="8"/>
  <c r="L2689" i="8" l="1"/>
  <c r="M2689" i="8"/>
  <c r="N2689" i="8"/>
  <c r="L3661" i="8" l="1"/>
  <c r="M3661" i="8"/>
  <c r="N3661" i="8"/>
  <c r="N3662" i="8" l="1"/>
  <c r="L3662" i="8"/>
  <c r="M3662" i="8"/>
  <c r="N2536" i="8" l="1"/>
  <c r="L2536" i="8"/>
  <c r="M2536" i="8"/>
  <c r="L3664" i="8" l="1"/>
  <c r="M3664" i="8"/>
  <c r="N3664" i="8"/>
  <c r="L2996" i="8" l="1"/>
  <c r="M2996" i="8"/>
  <c r="N2996" i="8"/>
  <c r="M3666" i="8" l="1"/>
  <c r="N3666" i="8"/>
  <c r="L3666" i="8"/>
  <c r="N2998" i="8" l="1"/>
  <c r="M2998" i="8"/>
  <c r="L2998" i="8"/>
  <c r="L3000" i="8" l="1"/>
  <c r="M3000" i="8"/>
  <c r="N3000" i="8"/>
  <c r="L3356" i="8" l="1"/>
  <c r="N3356" i="8"/>
  <c r="M3356" i="8"/>
  <c r="N3169" i="8" l="1"/>
  <c r="M3169" i="8"/>
  <c r="L3169" i="8"/>
  <c r="L2692" i="8" l="1"/>
  <c r="N2692" i="8"/>
  <c r="M2692" i="8"/>
  <c r="M2543" i="8" l="1"/>
  <c r="L2543" i="8"/>
  <c r="N2543" i="8"/>
  <c r="L3010" i="8" l="1"/>
  <c r="N3010" i="8"/>
  <c r="M3010" i="8"/>
  <c r="N3011" i="8" l="1"/>
  <c r="L3011" i="8"/>
  <c r="M3011" i="8"/>
  <c r="M3675" i="8" l="1"/>
  <c r="L3675" i="8"/>
  <c r="N3675" i="8"/>
  <c r="L2693" i="8" l="1"/>
  <c r="N2693" i="8"/>
  <c r="M2693" i="8"/>
  <c r="M3733" i="8" l="1"/>
  <c r="N3733" i="8"/>
  <c r="L3733" i="8"/>
  <c r="L2695" i="8" l="1"/>
  <c r="N2695" i="8"/>
  <c r="M2695" i="8"/>
  <c r="L3679" i="8" l="1"/>
  <c r="N3679" i="8"/>
  <c r="M3679" i="8"/>
  <c r="M3035" i="8" l="1"/>
  <c r="L3035" i="8"/>
  <c r="N3035" i="8"/>
  <c r="L2699" i="8" l="1"/>
  <c r="N2699" i="8"/>
  <c r="M2699" i="8"/>
  <c r="N3721" i="8" l="1"/>
  <c r="L3721" i="8"/>
  <c r="M3721" i="8"/>
  <c r="L3724" i="8" l="1"/>
  <c r="N3724" i="8"/>
  <c r="M3724" i="8"/>
  <c r="L3730" i="8" l="1"/>
  <c r="M3730" i="8"/>
  <c r="N3730" i="8"/>
  <c r="M3685" i="8" l="1"/>
  <c r="N3685" i="8"/>
  <c r="L3685" i="8"/>
  <c r="M3686" i="8" l="1"/>
  <c r="L3686" i="8"/>
  <c r="N3686" i="8"/>
  <c r="N2701" i="8" l="1"/>
  <c r="L2701" i="8"/>
  <c r="M2701" i="8"/>
  <c r="N3688" i="8" l="1"/>
  <c r="M3688" i="8"/>
  <c r="L3688" i="8"/>
  <c r="N2546" i="8" l="1"/>
  <c r="M2546" i="8"/>
  <c r="L2546" i="8"/>
  <c r="L2547" i="8" l="1"/>
  <c r="N2547" i="8"/>
  <c r="M2547" i="8"/>
  <c r="M3691" i="8" l="1"/>
  <c r="L3691" i="8"/>
  <c r="N3691" i="8"/>
  <c r="N2710" i="8" l="1"/>
  <c r="L2710" i="8"/>
  <c r="M2710" i="8"/>
  <c r="M3693" i="8" l="1"/>
  <c r="N3693" i="8"/>
  <c r="L3693" i="8"/>
  <c r="N2548" i="8" l="1"/>
  <c r="L2548" i="8"/>
  <c r="M2548" i="8"/>
  <c r="L2560" i="8" l="1"/>
  <c r="N2560" i="8"/>
  <c r="M2560" i="8"/>
  <c r="L3696" i="8" l="1"/>
  <c r="M3696" i="8"/>
  <c r="N3696" i="8"/>
  <c r="L3697" i="8" l="1"/>
  <c r="N3697" i="8"/>
  <c r="M3697" i="8"/>
  <c r="N3698" i="8" l="1"/>
  <c r="L3698" i="8"/>
  <c r="M3698" i="8"/>
  <c r="M3699" i="8" l="1"/>
  <c r="N3699" i="8"/>
  <c r="L3699" i="8"/>
  <c r="L2718" i="8" l="1"/>
  <c r="M2718" i="8"/>
  <c r="N2718" i="8"/>
  <c r="M2719" i="8" l="1"/>
  <c r="N2719" i="8"/>
  <c r="L2719" i="8"/>
  <c r="M3702" i="8" l="1"/>
  <c r="N3702" i="8"/>
  <c r="L3702" i="8"/>
  <c r="N3703" i="8" l="1"/>
  <c r="M3703" i="8"/>
  <c r="L3703" i="8"/>
  <c r="L3019" i="8" l="1"/>
  <c r="M3019" i="8"/>
  <c r="N3019" i="8"/>
  <c r="L3705" i="8" l="1"/>
  <c r="M3705" i="8"/>
  <c r="N3705" i="8"/>
  <c r="M3706" i="8" l="1"/>
  <c r="N3706" i="8"/>
  <c r="L3706" i="8"/>
  <c r="M2572" i="8" l="1"/>
  <c r="L2572" i="8"/>
  <c r="N2572" i="8"/>
  <c r="L2727" i="8" l="1"/>
  <c r="M2727" i="8"/>
  <c r="N2727" i="8"/>
  <c r="N3736" i="8" l="1"/>
  <c r="L3736" i="8"/>
  <c r="M3736" i="8"/>
  <c r="N3732" i="8" l="1"/>
  <c r="M3732" i="8"/>
  <c r="L3732" i="8"/>
  <c r="L3023" i="8" l="1"/>
  <c r="N3023" i="8"/>
  <c r="M3023" i="8"/>
  <c r="M3175" i="8" l="1"/>
  <c r="L3175" i="8"/>
  <c r="N3175" i="8"/>
  <c r="L3713" i="8" l="1"/>
  <c r="M3713" i="8"/>
  <c r="N3713" i="8"/>
  <c r="M3025" i="8" l="1"/>
  <c r="N3025" i="8"/>
  <c r="L3025" i="8"/>
  <c r="M3029" i="8" l="1"/>
  <c r="L3029" i="8"/>
  <c r="N3029" i="8"/>
  <c r="M3716" i="8" l="1"/>
  <c r="L3716" i="8"/>
  <c r="N3716" i="8"/>
  <c r="M2729" i="8" l="1"/>
  <c r="L2729" i="8"/>
  <c r="N2729" i="8"/>
  <c r="L3718" i="8" l="1"/>
  <c r="N3718" i="8"/>
  <c r="M3718" i="8"/>
  <c r="N3031" i="8" l="1"/>
  <c r="L3031" i="8"/>
  <c r="M3031" i="8"/>
  <c r="L3720" i="8" l="1"/>
  <c r="N3720" i="8"/>
  <c r="M3720" i="8"/>
  <c r="L2743" i="8" l="1"/>
  <c r="N2743" i="8"/>
  <c r="M2743" i="8"/>
  <c r="L3722" i="8" l="1"/>
  <c r="M3722" i="8"/>
  <c r="N3722" i="8"/>
  <c r="N3039" i="8" l="1"/>
  <c r="M3039" i="8"/>
  <c r="L3039" i="8"/>
  <c r="M2748" i="8" l="1"/>
  <c r="L2748" i="8"/>
  <c r="N2748" i="8"/>
  <c r="N2584" i="8" l="1"/>
  <c r="M2584" i="8"/>
  <c r="L2584" i="8"/>
  <c r="M3726" i="8" l="1"/>
  <c r="L3726" i="8"/>
  <c r="N3726" i="8"/>
  <c r="L3727" i="8" l="1"/>
  <c r="N3727" i="8"/>
  <c r="M3727" i="8"/>
  <c r="M3728" i="8" l="1"/>
  <c r="N3728" i="8"/>
  <c r="L3728" i="8"/>
  <c r="L3737" i="8" l="1"/>
  <c r="N3737" i="8"/>
  <c r="M3737" i="8"/>
  <c r="N2755" i="8" l="1"/>
  <c r="L2755" i="8"/>
  <c r="M2755" i="8"/>
  <c r="L3735" i="8" l="1"/>
  <c r="N3735" i="8"/>
  <c r="M3735" i="8"/>
  <c r="N2588" i="8" l="1"/>
  <c r="L2588" i="8"/>
  <c r="M2588" i="8"/>
  <c r="N2994" i="8" l="1"/>
  <c r="L2994" i="8"/>
  <c r="M2994" i="8"/>
  <c r="N3734" i="8" l="1"/>
  <c r="L3734" i="8"/>
  <c r="M3734" i="8"/>
  <c r="L2591" i="8" l="1"/>
  <c r="M2591" i="8"/>
  <c r="N2591" i="8"/>
  <c r="M2756" i="8" l="1"/>
  <c r="L2756" i="8"/>
  <c r="N2756" i="8"/>
  <c r="L3041" i="8" l="1"/>
  <c r="N3041" i="8"/>
  <c r="M3041" i="8"/>
  <c r="N3738" i="8" l="1"/>
  <c r="L3738" i="8"/>
  <c r="M3738" i="8"/>
  <c r="L3739" i="8" l="1"/>
  <c r="N3739" i="8"/>
  <c r="M3739" i="8"/>
  <c r="D4" i="13"/>
  <c r="D747" i="8"/>
  <c r="D1742" i="8"/>
  <c r="D1839" i="8"/>
  <c r="D2236" i="8"/>
  <c r="D3242" i="8"/>
  <c r="D2368" i="8"/>
  <c r="D1028" i="8"/>
  <c r="D2486" i="8"/>
  <c r="D3135" i="8"/>
  <c r="D1091" i="8"/>
  <c r="D1764" i="8"/>
  <c r="D2980" i="8"/>
  <c r="D2597" i="8"/>
  <c r="D990" i="8"/>
  <c r="D2581" i="8"/>
  <c r="D3398" i="8"/>
  <c r="D3434" i="8"/>
  <c r="D568" i="8"/>
  <c r="D299" i="8"/>
  <c r="D1666" i="8"/>
  <c r="D3661" i="8"/>
  <c r="D1270" i="8"/>
  <c r="D2638" i="8"/>
  <c r="D1556" i="8"/>
  <c r="D2143" i="8"/>
  <c r="D206" i="8"/>
  <c r="D330" i="8"/>
  <c r="D2226" i="8"/>
  <c r="D1875" i="8"/>
  <c r="D1910" i="8"/>
  <c r="D2499" i="8"/>
  <c r="D1463" i="8"/>
  <c r="D836" i="8"/>
  <c r="D952" i="8"/>
  <c r="D2347" i="8"/>
  <c r="D1403" i="8"/>
  <c r="D2046" i="8"/>
  <c r="D2812" i="8"/>
  <c r="D237" i="8"/>
  <c r="D2615" i="8"/>
  <c r="D2514" i="8"/>
  <c r="D1207" i="8"/>
  <c r="D1360" i="8"/>
  <c r="D2985" i="8"/>
  <c r="D2136" i="8"/>
  <c r="D2207" i="8"/>
  <c r="D2410" i="8"/>
  <c r="D3601" i="8"/>
  <c r="D195" i="8"/>
  <c r="D3226" i="8"/>
  <c r="D241" i="8"/>
  <c r="D333" i="8"/>
  <c r="D56" i="8"/>
  <c r="D3401" i="8"/>
  <c r="D902" i="8"/>
  <c r="D2771" i="8"/>
  <c r="D2967" i="8"/>
  <c r="D3451" i="8"/>
  <c r="D1228" i="8"/>
  <c r="D1895" i="8"/>
  <c r="D1590" i="8"/>
  <c r="D61" i="8"/>
  <c r="D2203" i="8"/>
  <c r="D3475" i="8"/>
  <c r="D3427" i="8"/>
  <c r="D3719" i="8"/>
  <c r="D273" i="8"/>
  <c r="D3000" i="8"/>
  <c r="D758" i="8"/>
  <c r="D3736" i="8"/>
  <c r="D3275" i="8"/>
  <c r="D1983" i="8"/>
  <c r="D530" i="8"/>
  <c r="D1424" i="8"/>
  <c r="D2591" i="8"/>
  <c r="D3145" i="8"/>
  <c r="D1621" i="8"/>
  <c r="D322" i="8"/>
  <c r="D2621" i="8"/>
  <c r="D648" i="8"/>
  <c r="D2355" i="8"/>
  <c r="D7" i="8"/>
  <c r="D2599" i="8"/>
  <c r="D3720" i="8"/>
  <c r="D1568" i="8"/>
  <c r="D3503" i="8"/>
  <c r="D1547" i="8"/>
  <c r="D1408" i="8"/>
  <c r="D1989" i="8"/>
  <c r="D829" i="8"/>
  <c r="D2752" i="8"/>
  <c r="D1060" i="8"/>
  <c r="D3133" i="8"/>
  <c r="D2518" i="8"/>
  <c r="D2874" i="8"/>
  <c r="D2879" i="8"/>
  <c r="D2512" i="8"/>
  <c r="D2737" i="8"/>
  <c r="D2036" i="8"/>
  <c r="D1572" i="8"/>
  <c r="D287" i="8"/>
  <c r="D792" i="8"/>
  <c r="D864" i="8"/>
  <c r="D1068" i="8"/>
  <c r="D1832" i="8"/>
  <c r="D3303" i="8"/>
  <c r="D873" i="8"/>
  <c r="D3460" i="8"/>
  <c r="D2453" i="8"/>
  <c r="D2856" i="8"/>
  <c r="D2259" i="8"/>
  <c r="D1660" i="8"/>
  <c r="D2349" i="8"/>
  <c r="D735" i="8"/>
  <c r="D737" i="8"/>
  <c r="D907" i="8"/>
  <c r="D102" i="8"/>
  <c r="D123" i="8"/>
  <c r="D2893" i="8"/>
  <c r="D3111" i="8"/>
  <c r="D1131" i="8"/>
  <c r="D110" i="8"/>
  <c r="D2041" i="8"/>
  <c r="D301" i="8"/>
  <c r="D2565" i="8"/>
  <c r="D1576" i="8"/>
  <c r="D3167" i="8"/>
  <c r="D537" i="8"/>
  <c r="D515" i="8"/>
  <c r="D1121" i="8"/>
  <c r="D561" i="8"/>
  <c r="D2849" i="8"/>
  <c r="D167" i="8"/>
  <c r="D20" i="8"/>
  <c r="D607" i="8"/>
  <c r="D2596" i="8"/>
  <c r="D2570" i="8"/>
  <c r="D1555" i="8"/>
  <c r="D797" i="8"/>
  <c r="D2075" i="8"/>
  <c r="D730" i="8"/>
  <c r="D1850" i="8"/>
  <c r="D2073" i="8"/>
  <c r="D1841" i="8"/>
  <c r="D2928" i="8"/>
  <c r="D3210" i="8"/>
  <c r="D1027" i="8"/>
  <c r="D3555" i="8"/>
  <c r="D3435" i="8"/>
  <c r="D427" i="8"/>
  <c r="D2004" i="8"/>
  <c r="D899" i="8"/>
  <c r="D275" i="8"/>
  <c r="D3642" i="8"/>
  <c r="D379" i="8"/>
  <c r="D3037" i="8"/>
  <c r="D3251" i="8"/>
  <c r="D2249" i="8"/>
  <c r="D2686" i="8"/>
  <c r="D2674" i="8"/>
  <c r="D1616" i="8"/>
  <c r="D506" i="8"/>
  <c r="D359" i="8"/>
  <c r="D2297" i="8"/>
  <c r="D3310" i="8"/>
  <c r="D3502" i="8"/>
  <c r="D3542" i="8"/>
  <c r="D2617" i="8"/>
  <c r="D695" i="8"/>
  <c r="D1826" i="8"/>
  <c r="D3452" i="8"/>
  <c r="D2831" i="8"/>
  <c r="D933" i="8"/>
  <c r="D971" i="8"/>
  <c r="D1657" i="8"/>
  <c r="D1371" i="8"/>
  <c r="D1551" i="8"/>
  <c r="D1806" i="8"/>
  <c r="D859" i="8"/>
  <c r="D1483" i="8"/>
  <c r="D572" i="8"/>
  <c r="D81" i="8"/>
  <c r="D3013" i="8"/>
  <c r="D1954" i="8"/>
  <c r="D329" i="8"/>
  <c r="D1151" i="8"/>
  <c r="D998" i="8"/>
  <c r="D3492" i="8"/>
  <c r="D470" i="8"/>
  <c r="D2275" i="8"/>
  <c r="D2837" i="8"/>
  <c r="D2250" i="8"/>
  <c r="D3057" i="8"/>
  <c r="D2618" i="8"/>
  <c r="D1070" i="8"/>
  <c r="D2634" i="8"/>
  <c r="D2049" i="8"/>
  <c r="D854" i="8"/>
  <c r="D3059" i="8"/>
  <c r="D114" i="8"/>
  <c r="D2594" i="8"/>
  <c r="D236" i="8"/>
  <c r="D366" i="8"/>
  <c r="D1771" i="8"/>
  <c r="D394" i="8"/>
  <c r="D2137" i="8"/>
  <c r="D2905" i="8"/>
  <c r="D2244" i="8"/>
  <c r="D2606" i="8"/>
  <c r="D250" i="8"/>
  <c r="D808" i="8"/>
  <c r="D1539" i="8"/>
  <c r="D1126" i="8"/>
  <c r="D733" i="8"/>
  <c r="D1067" i="8"/>
  <c r="D1080" i="8"/>
  <c r="D3342" i="8"/>
  <c r="D940" i="8"/>
  <c r="D93" i="8"/>
  <c r="D1187" i="8"/>
  <c r="D3093" i="8"/>
  <c r="D1647" i="8"/>
  <c r="D3608" i="8"/>
  <c r="D2699" i="8"/>
  <c r="D1106" i="8"/>
  <c r="D1751" i="8"/>
  <c r="D375" i="8"/>
  <c r="D781" i="8"/>
  <c r="D1256" i="8"/>
  <c r="D643" i="8"/>
  <c r="D3257" i="8"/>
  <c r="D947" i="8"/>
  <c r="D450" i="8"/>
  <c r="D3479" i="8"/>
  <c r="D2650" i="8"/>
  <c r="D1341" i="8"/>
  <c r="D1626" i="8"/>
  <c r="D1157" i="8"/>
  <c r="D1093" i="8"/>
  <c r="D403" i="8"/>
  <c r="D3646" i="8"/>
  <c r="D1937" i="8"/>
  <c r="D488" i="8"/>
  <c r="D3219" i="8"/>
  <c r="D3369" i="8"/>
  <c r="D1337" i="8"/>
  <c r="D408" i="8"/>
  <c r="D2294" i="8"/>
  <c r="D3504" i="8"/>
  <c r="D3729" i="8"/>
  <c r="D720" i="8"/>
  <c r="D226" i="8"/>
  <c r="D2556" i="8"/>
  <c r="D3388" i="8"/>
  <c r="D1135" i="8"/>
  <c r="D2566" i="8"/>
  <c r="D1489" i="8"/>
  <c r="D1452" i="8"/>
  <c r="D268" i="8"/>
  <c r="D94" i="8"/>
  <c r="D3158" i="8"/>
  <c r="D1944" i="8"/>
  <c r="D2477" i="8"/>
  <c r="D1515" i="8"/>
  <c r="D1587" i="8"/>
  <c r="D2445" i="8"/>
  <c r="D353" i="8"/>
  <c r="D2665" i="8"/>
  <c r="D1396" i="8"/>
  <c r="D1960" i="8"/>
  <c r="D2572" i="8"/>
  <c r="D2317" i="8"/>
  <c r="D260" i="8"/>
  <c r="D3384" i="8"/>
  <c r="D1595" i="8"/>
  <c r="D1574" i="8"/>
  <c r="D1120" i="8"/>
  <c r="D3335" i="8"/>
  <c r="D2637" i="8"/>
  <c r="D2037" i="8"/>
  <c r="D2366" i="8"/>
  <c r="D197" i="8"/>
  <c r="D2539" i="8"/>
  <c r="D3686" i="8"/>
  <c r="D3444" i="8"/>
  <c r="D2655" i="8"/>
  <c r="D898" i="8"/>
  <c r="D231" i="8"/>
  <c r="D831" i="8"/>
  <c r="D1748" i="8"/>
  <c r="D57" i="8"/>
  <c r="D1227" i="8"/>
  <c r="D1589" i="8"/>
  <c r="D803" i="8"/>
  <c r="D3272" i="8"/>
  <c r="D1343" i="8"/>
  <c r="D2200" i="8"/>
  <c r="D1559" i="8"/>
  <c r="D3373" i="8"/>
  <c r="D3489" i="8"/>
  <c r="D3173" i="8"/>
  <c r="D934" i="8"/>
  <c r="D2801" i="8"/>
  <c r="D1952" i="8"/>
  <c r="D2221" i="8"/>
  <c r="D1705" i="8"/>
  <c r="D3528" i="8"/>
  <c r="D104" i="8"/>
  <c r="D988" i="8"/>
  <c r="D490" i="8"/>
  <c r="D2727" i="8"/>
  <c r="D3585" i="8"/>
  <c r="D1162" i="8"/>
  <c r="D2904" i="8"/>
  <c r="D2340" i="8"/>
  <c r="D3561" i="8"/>
  <c r="D2604" i="8"/>
  <c r="D1309" i="8"/>
  <c r="D1529" i="8"/>
  <c r="D1284" i="8"/>
  <c r="D277" i="8"/>
  <c r="D126" i="8"/>
  <c r="D3014" i="8"/>
  <c r="D253" i="8"/>
  <c r="D1095" i="8"/>
  <c r="D3655" i="8"/>
  <c r="D3505" i="8"/>
  <c r="D2792" i="8"/>
  <c r="D1376" i="8"/>
  <c r="D3617" i="8"/>
  <c r="D1150" i="8"/>
  <c r="D3614" i="8"/>
  <c r="D1600" i="8"/>
  <c r="D1570" i="8"/>
  <c r="D2564" i="8"/>
  <c r="D296" i="8"/>
  <c r="D724" i="8"/>
  <c r="D153" i="8"/>
  <c r="D2412" i="8"/>
  <c r="D1415" i="8"/>
  <c r="D2957" i="8"/>
  <c r="D2018" i="8"/>
  <c r="D3234" i="8"/>
  <c r="D1089" i="8"/>
  <c r="D2822" i="8"/>
  <c r="D2685" i="8"/>
  <c r="D1672" i="8"/>
  <c r="D2245" i="8"/>
  <c r="D1362" i="8"/>
  <c r="D2478" i="8"/>
  <c r="D1209" i="8"/>
  <c r="D2592" i="8"/>
  <c r="D2362" i="8"/>
  <c r="D3618" i="8"/>
  <c r="D3052" i="8"/>
  <c r="D3169" i="8"/>
  <c r="D489" i="8"/>
  <c r="D2435" i="8"/>
  <c r="D3680" i="8"/>
  <c r="D1858" i="8"/>
  <c r="D2701" i="8"/>
  <c r="D1234" i="8"/>
  <c r="D1665" i="8"/>
  <c r="D3113" i="8"/>
  <c r="D3381" i="8"/>
  <c r="D1263" i="8"/>
  <c r="D2884" i="8"/>
  <c r="D1741" i="8"/>
  <c r="D2809" i="8"/>
  <c r="D2272" i="8"/>
  <c r="D279" i="8"/>
  <c r="D233" i="8"/>
  <c r="D865" i="8"/>
  <c r="D1915" i="8"/>
  <c r="D144" i="8"/>
  <c r="D1436" i="8"/>
  <c r="D2238" i="8"/>
  <c r="D577" i="8"/>
  <c r="D1099" i="8"/>
  <c r="D3387" i="8"/>
  <c r="D2039" i="8"/>
  <c r="D2414" i="8"/>
  <c r="D2891" i="8"/>
  <c r="D2194" i="8"/>
  <c r="D1594" i="8"/>
  <c r="D3665" i="8"/>
  <c r="D1460" i="8"/>
  <c r="D1969" i="8"/>
  <c r="D1285" i="8"/>
  <c r="D3285" i="8"/>
  <c r="D1046" i="8"/>
  <c r="D1329" i="8"/>
  <c r="D2765" i="8"/>
  <c r="D2864" i="8"/>
  <c r="D1116" i="8"/>
  <c r="D3659" i="8"/>
  <c r="D1133" i="8"/>
  <c r="D2896" i="8"/>
  <c r="D1968" i="8"/>
  <c r="D3394" i="8"/>
  <c r="D2735" i="8"/>
  <c r="D2827" i="8"/>
  <c r="D3658" i="8"/>
  <c r="D1235" i="8"/>
  <c r="D1172" i="8"/>
  <c r="D1375" i="8"/>
  <c r="D1671" i="8"/>
  <c r="D2419" i="8"/>
  <c r="D838" i="8"/>
  <c r="D1105" i="8"/>
  <c r="D281" i="8"/>
  <c r="D3442" i="8"/>
  <c r="D2336" i="8"/>
  <c r="D949" i="8"/>
  <c r="D396" i="8"/>
  <c r="D2169" i="8"/>
  <c r="D2043" i="8"/>
  <c r="D713" i="8"/>
  <c r="D1206" i="8"/>
  <c r="D3644" i="8"/>
  <c r="D3547" i="8"/>
  <c r="D3495" i="8"/>
  <c r="D1761" i="8"/>
  <c r="D2481" i="8"/>
  <c r="D754" i="8"/>
  <c r="D3238" i="8"/>
  <c r="D1885" i="8"/>
  <c r="D909" i="8"/>
  <c r="D2939" i="8"/>
  <c r="D3390" i="8"/>
  <c r="D3703" i="8"/>
  <c r="D3714" i="8"/>
  <c r="D1620" i="8"/>
  <c r="D2195" i="8"/>
  <c r="D1193" i="8"/>
  <c r="D628" i="8"/>
  <c r="D1083" i="8"/>
  <c r="D3588" i="8"/>
  <c r="D2810" i="8"/>
  <c r="D2161" i="8"/>
  <c r="D294" i="8"/>
  <c r="D1635" i="8"/>
  <c r="D565" i="8"/>
  <c r="D1318" i="8"/>
  <c r="D1865" i="8"/>
  <c r="D1225" i="8"/>
  <c r="D116" i="8"/>
  <c r="D1488" i="8"/>
  <c r="D2901" i="8"/>
  <c r="D2744" i="8"/>
  <c r="D1722" i="8"/>
  <c r="D746" i="8"/>
  <c r="D820" i="8"/>
  <c r="D834" i="8"/>
  <c r="D2953" i="8"/>
  <c r="D2626" i="8"/>
  <c r="D2550" i="8"/>
  <c r="D3506" i="8"/>
  <c r="D3127" i="8"/>
  <c r="D387" i="8"/>
  <c r="D2876" i="8"/>
  <c r="D3684" i="8"/>
  <c r="D3300" i="8"/>
  <c r="D2781" i="8"/>
  <c r="D1597" i="8"/>
  <c r="D916" i="8"/>
  <c r="D2074" i="8"/>
  <c r="D2852" i="8"/>
  <c r="D1358" i="8"/>
  <c r="D109" i="8"/>
  <c r="D34" i="8"/>
  <c r="D1176" i="8"/>
  <c r="D3510" i="8"/>
  <c r="D1776" i="8"/>
  <c r="D1367" i="8"/>
  <c r="D1854" i="8"/>
  <c r="D2025" i="8"/>
  <c r="D664" i="8"/>
  <c r="D1848" i="8"/>
  <c r="D1542" i="8"/>
  <c r="D400" i="8"/>
  <c r="D3445" i="8"/>
  <c r="D2583" i="8"/>
  <c r="D3446" i="8"/>
  <c r="D125" i="8"/>
  <c r="D3032" i="8"/>
  <c r="D1283" i="8"/>
  <c r="D584" i="8"/>
  <c r="D12" i="8"/>
  <c r="D503" i="8"/>
  <c r="D2228" i="8"/>
  <c r="D1560" i="8"/>
  <c r="D551" i="8"/>
  <c r="D3160" i="8"/>
  <c r="D2728" i="8"/>
  <c r="D305" i="8"/>
  <c r="D1550" i="8"/>
  <c r="D3058" i="8"/>
  <c r="D3174" i="8"/>
  <c r="D3634" i="8"/>
  <c r="D1827" i="8"/>
  <c r="D1731" i="8"/>
  <c r="D1802" i="8"/>
  <c r="D3571" i="8"/>
  <c r="D171" i="8"/>
  <c r="D3296" i="8"/>
  <c r="D2089" i="8"/>
  <c r="D1098" i="8"/>
  <c r="D3619" i="8"/>
  <c r="D2028" i="8"/>
  <c r="D3567" i="8"/>
  <c r="D3314" i="8"/>
  <c r="D1320" i="8"/>
  <c r="D45" i="8"/>
  <c r="D783" i="8"/>
  <c r="D2719" i="8"/>
  <c r="D627" i="8"/>
  <c r="D2040" i="8"/>
  <c r="D3291" i="8"/>
  <c r="D2677" i="8"/>
  <c r="D2217" i="8"/>
  <c r="D1368" i="8"/>
  <c r="D645" i="8"/>
  <c r="D1795" i="8"/>
  <c r="D2494" i="8"/>
  <c r="D3687" i="8"/>
  <c r="D288" i="8"/>
  <c r="D1231" i="8"/>
  <c r="D1801" i="8"/>
  <c r="D2772" i="8"/>
  <c r="D3386" i="8"/>
  <c r="D1000" i="8"/>
  <c r="D2830" i="8"/>
  <c r="D1733" i="8"/>
  <c r="D494" i="8"/>
  <c r="D3382" i="8"/>
  <c r="D3472" i="8"/>
  <c r="D1170" i="8"/>
  <c r="D1221" i="8"/>
  <c r="D3651" i="8"/>
  <c r="D219" i="8"/>
  <c r="D447" i="8"/>
  <c r="D2540" i="8"/>
  <c r="D1036" i="8"/>
  <c r="D2174" i="8"/>
  <c r="D2945" i="8"/>
  <c r="D772" i="8"/>
  <c r="D1299" i="8"/>
  <c r="D1694" i="8"/>
  <c r="D3681" i="8"/>
  <c r="D332" i="8"/>
  <c r="D2865" i="8"/>
  <c r="D2793" i="8"/>
  <c r="D3436" i="8"/>
  <c r="D847" i="8"/>
  <c r="D1884" i="8"/>
  <c r="D419" i="8"/>
  <c r="D3527" i="8"/>
  <c r="D596" i="8"/>
  <c r="D172" i="8"/>
  <c r="D3370" i="8"/>
  <c r="D155" i="8"/>
  <c r="D1851" i="8"/>
  <c r="D441" i="8"/>
  <c r="D2491" i="8"/>
  <c r="D937" i="8"/>
  <c r="D717" i="8"/>
  <c r="D497" i="8"/>
  <c r="D258" i="8"/>
  <c r="D278" i="8"/>
  <c r="D2253" i="8"/>
  <c r="D356" i="8"/>
  <c r="D955" i="8"/>
  <c r="D2489" i="8"/>
  <c r="D3028" i="8"/>
  <c r="D1577" i="8"/>
  <c r="D3029" i="8"/>
  <c r="D2660" i="8"/>
  <c r="D1491" i="8"/>
  <c r="D310" i="8"/>
  <c r="D1923" i="8"/>
  <c r="D2227" i="8"/>
  <c r="D1902" i="8"/>
  <c r="D1125" i="8"/>
  <c r="D2223" i="8"/>
  <c r="D567" i="8"/>
  <c r="D1210" i="8"/>
  <c r="D3474" i="8"/>
  <c r="D1479" i="8"/>
  <c r="D446" i="8"/>
  <c r="D2779" i="8"/>
  <c r="D2811" i="8"/>
  <c r="D3001" i="8"/>
  <c r="D2462" i="8"/>
  <c r="D2853" i="8"/>
  <c r="D1646" i="8"/>
  <c r="D423" i="8"/>
  <c r="D524" i="8"/>
  <c r="D2714" i="8"/>
  <c r="D3354" i="8"/>
  <c r="D409" i="8"/>
  <c r="D3233" i="8"/>
  <c r="D752" i="8"/>
  <c r="D27" i="8"/>
  <c r="D1605" i="8"/>
  <c r="D2899" i="8"/>
  <c r="D1165" i="8"/>
  <c r="D1365" i="8"/>
  <c r="D1194" i="8"/>
  <c r="D2314" i="8"/>
  <c r="D3484" i="8"/>
  <c r="D338" i="8"/>
  <c r="D2345" i="8"/>
  <c r="D912" i="8"/>
  <c r="D2709" i="8"/>
  <c r="D380" i="8"/>
  <c r="D727" i="8"/>
  <c r="D740" i="8"/>
  <c r="D2571" i="8"/>
  <c r="D716" i="8"/>
  <c r="D3554" i="8"/>
  <c r="D3701" i="8"/>
  <c r="D3070" i="8"/>
  <c r="D3004" i="8"/>
  <c r="D2508" i="8"/>
  <c r="D3590" i="8"/>
  <c r="D1842" i="8"/>
  <c r="D999" i="8"/>
  <c r="D1303" i="8"/>
  <c r="D968" i="8"/>
  <c r="D3596" i="8"/>
  <c r="D2145" i="8"/>
  <c r="D3079" i="8"/>
  <c r="D364" i="8"/>
  <c r="D2009" i="8"/>
  <c r="D974" i="8"/>
  <c r="D2328" i="8"/>
  <c r="D866" i="8"/>
  <c r="D942" i="8"/>
  <c r="D1020" i="8"/>
  <c r="D1663" i="8"/>
  <c r="D1422" i="8"/>
  <c r="D1476" i="8"/>
  <c r="D2204" i="8"/>
  <c r="D5" i="8"/>
  <c r="D303" i="8"/>
  <c r="D1497" i="8"/>
  <c r="D1496" i="8"/>
  <c r="D3364" i="8"/>
  <c r="D1773" i="8"/>
  <c r="D2158" i="8"/>
  <c r="D1904" i="8"/>
  <c r="D1442" i="8"/>
  <c r="D3440" i="8"/>
  <c r="D2490" i="8"/>
  <c r="D484" i="8"/>
  <c r="D178" i="8"/>
  <c r="D2620" i="8"/>
  <c r="D2159" i="8"/>
  <c r="D3422" i="8"/>
  <c r="D424" i="8"/>
  <c r="D2339" i="8"/>
  <c r="D1129" i="8"/>
  <c r="D1528" i="8"/>
  <c r="D3081" i="8"/>
  <c r="D626" i="8"/>
  <c r="D2651" i="8"/>
  <c r="D1109" i="8"/>
  <c r="D2760" i="8"/>
  <c r="D1652" i="8"/>
  <c r="D1840" i="8"/>
  <c r="D2052" i="8"/>
  <c r="D138" i="8"/>
  <c r="D3688" i="8"/>
  <c r="D2092" i="8"/>
  <c r="D1038" i="8"/>
  <c r="D1372" i="8"/>
  <c r="D3297" i="8"/>
  <c r="D2668" i="8"/>
  <c r="D560" i="8"/>
  <c r="D2633" i="8"/>
  <c r="D1864" i="8"/>
  <c r="D42" i="8"/>
  <c r="D2712" i="8"/>
  <c r="D3050" i="8"/>
  <c r="D496" i="8"/>
  <c r="D17" i="8"/>
  <c r="D393" i="8"/>
  <c r="D2377" i="8"/>
  <c r="D1240" i="8"/>
  <c r="D1613" i="8"/>
  <c r="D1140" i="8"/>
  <c r="D2246" i="8"/>
  <c r="D1862" i="8"/>
  <c r="D246" i="8"/>
  <c r="D2087" i="8"/>
  <c r="D3216" i="8"/>
  <c r="D1925" i="8"/>
  <c r="D2302" i="8"/>
  <c r="D2607" i="8"/>
  <c r="D911" i="8"/>
  <c r="D1699" i="8"/>
  <c r="D461" i="8"/>
  <c r="D1887" i="8"/>
  <c r="D2138" i="8"/>
  <c r="D630" i="8"/>
  <c r="D3328" i="8"/>
  <c r="D479" i="8"/>
  <c r="D66" i="8"/>
  <c r="D855" i="8"/>
  <c r="D2487" i="8"/>
  <c r="D744" i="8"/>
  <c r="D1087" i="8"/>
  <c r="D214" i="8"/>
  <c r="D2554" i="8"/>
  <c r="D1271" i="8"/>
  <c r="D3612" i="8"/>
  <c r="D2519" i="8"/>
  <c r="D3496" i="8"/>
  <c r="D790" i="8"/>
  <c r="D1154" i="8"/>
  <c r="D2610" i="8"/>
  <c r="D3193" i="8"/>
  <c r="D1819" i="8"/>
  <c r="D2413" i="8"/>
  <c r="D1014" i="8"/>
  <c r="D2306" i="8"/>
  <c r="D3675" i="8"/>
  <c r="D1816" i="8"/>
  <c r="D722" i="8"/>
  <c r="D2301" i="8"/>
  <c r="D1803" i="8"/>
  <c r="D2515" i="8"/>
  <c r="D3126" i="8"/>
  <c r="D3459" i="8"/>
  <c r="D1581" i="8"/>
  <c r="D2733" i="8"/>
  <c r="D189" i="8"/>
  <c r="D328" i="8"/>
  <c r="D3294" i="8"/>
  <c r="D411" i="8"/>
  <c r="D2680" i="8"/>
  <c r="D3623" i="8"/>
  <c r="D3347" i="8"/>
  <c r="D3716" i="8"/>
  <c r="D1022" i="8"/>
  <c r="D3282" i="8"/>
  <c r="D2718" i="8"/>
  <c r="D2248" i="8"/>
  <c r="D1421" i="8"/>
  <c r="D2736" i="8"/>
  <c r="D2871" i="8"/>
  <c r="D1029" i="8"/>
  <c r="D1495" i="8"/>
  <c r="D749" i="8"/>
  <c r="D2183" i="8"/>
  <c r="D3315" i="8"/>
  <c r="D3313" i="8"/>
  <c r="D1872" i="8"/>
  <c r="D1573" i="8"/>
  <c r="D3095" i="8"/>
  <c r="D3604" i="8"/>
  <c r="D1781" i="8"/>
  <c r="D1498" i="8"/>
  <c r="D1578" i="8"/>
  <c r="D1273" i="8"/>
  <c r="D2595" i="8"/>
  <c r="D801" i="8"/>
  <c r="D885" i="8"/>
  <c r="D3708" i="8"/>
  <c r="D2463" i="8"/>
  <c r="D1913" i="8"/>
  <c r="D3615" i="8"/>
  <c r="D2367" i="8"/>
  <c r="D3639" i="8"/>
  <c r="D18" i="8"/>
  <c r="D1812" i="8"/>
  <c r="D3423" i="8"/>
  <c r="D19" i="8"/>
  <c r="D3159" i="8"/>
  <c r="D2520" i="8"/>
  <c r="D467" i="8"/>
  <c r="D2798" i="8"/>
  <c r="D1348" i="8"/>
  <c r="D473" i="8"/>
  <c r="D3185" i="8"/>
  <c r="D2066" i="8"/>
  <c r="D1327" i="8"/>
  <c r="D869" i="8"/>
  <c r="D901" i="8"/>
  <c r="D2154" i="8"/>
  <c r="D1863" i="8"/>
  <c r="D1583" i="8"/>
  <c r="D3730" i="8"/>
  <c r="D80" i="8"/>
  <c r="D3637" i="8"/>
  <c r="D1730" i="8"/>
  <c r="D2545" i="8"/>
  <c r="D3284" i="8"/>
  <c r="D1196" i="8"/>
  <c r="D3019" i="8"/>
  <c r="D3062" i="8"/>
  <c r="D1593" i="8"/>
  <c r="D2298" i="8"/>
  <c r="D2828" i="8"/>
  <c r="D2446" i="8"/>
  <c r="D691" i="8"/>
  <c r="D621" i="8"/>
  <c r="D3205" i="8"/>
  <c r="D3270" i="8"/>
  <c r="D1906" i="8"/>
  <c r="D3360" i="8"/>
  <c r="D361" i="8"/>
  <c r="D669" i="8"/>
  <c r="D1769" i="8"/>
  <c r="D3406" i="8"/>
  <c r="D1084" i="8"/>
  <c r="D3606" i="8"/>
  <c r="D1658" i="8"/>
  <c r="D127" i="8"/>
  <c r="D1388" i="8"/>
  <c r="D286" i="8"/>
  <c r="D3155" i="8"/>
  <c r="D2383" i="8"/>
  <c r="D3084" i="8"/>
  <c r="D232" i="8"/>
  <c r="D1740" i="8"/>
  <c r="D2385" i="8"/>
  <c r="D85" i="8"/>
  <c r="D979" i="8"/>
  <c r="D813" i="8"/>
  <c r="D2364" i="8"/>
  <c r="D3393" i="8"/>
  <c r="D2915" i="8"/>
  <c r="D3330" i="8"/>
  <c r="D289" i="8"/>
  <c r="D2469" i="8"/>
  <c r="D3674" i="8"/>
  <c r="D791" i="8"/>
  <c r="D3499" i="8"/>
  <c r="D2157" i="8"/>
  <c r="D2017" i="8"/>
  <c r="D919" i="8"/>
  <c r="D1261" i="8"/>
  <c r="D2882" i="8"/>
  <c r="D1579" i="8"/>
  <c r="D1428" i="8"/>
  <c r="D3301" i="8"/>
  <c r="D3454" i="8"/>
  <c r="D1521" i="8"/>
  <c r="D2786" i="8"/>
  <c r="D3693" i="8"/>
  <c r="D1035" i="8"/>
  <c r="D1385" i="8"/>
  <c r="D960" i="8"/>
  <c r="D365" i="8"/>
  <c r="D1387" i="8"/>
  <c r="D2742" i="8"/>
  <c r="D3038" i="8"/>
  <c r="D3362" i="8"/>
  <c r="D2338" i="8"/>
  <c r="D2708" i="8"/>
  <c r="D2252" i="8"/>
  <c r="D2344" i="8"/>
  <c r="D997" i="8"/>
  <c r="D1166" i="8"/>
  <c r="D1175" i="8"/>
  <c r="D2166" i="8"/>
  <c r="D2761" i="8"/>
  <c r="D2389" i="8"/>
  <c r="D3163" i="8"/>
  <c r="D1797" i="8"/>
  <c r="D738" i="8"/>
  <c r="D346" i="8"/>
  <c r="D1100" i="8"/>
  <c r="D874" i="8"/>
  <c r="D1643" i="8"/>
  <c r="D1890" i="8"/>
  <c r="D3513" i="8"/>
  <c r="D3709" i="8"/>
  <c r="D202" i="8"/>
  <c r="D3551" i="8"/>
  <c r="D1693" i="8"/>
  <c r="D283" i="8"/>
  <c r="D145" i="8"/>
  <c r="D1313" i="8"/>
  <c r="D2451" i="8"/>
  <c r="D3366" i="8"/>
  <c r="D1144" i="8"/>
  <c r="D341" i="8"/>
  <c r="D641" i="8"/>
  <c r="D1279" i="8"/>
  <c r="D846" i="8"/>
  <c r="D2978" i="8"/>
  <c r="D11" i="8"/>
  <c r="D1063" i="8"/>
  <c r="D3397" i="8"/>
  <c r="D3305" i="8"/>
  <c r="D961" i="8"/>
  <c r="D2313" i="8"/>
  <c r="D1651" i="8"/>
  <c r="D2219" i="8"/>
  <c r="D3144" i="8"/>
  <c r="D3071" i="8"/>
  <c r="D672" i="8"/>
  <c r="D613" i="8"/>
  <c r="D2176" i="8"/>
  <c r="D3351" i="8"/>
  <c r="D1561" i="8"/>
  <c r="D815" i="8"/>
  <c r="D2090" i="8"/>
  <c r="D2962" i="8"/>
  <c r="D970" i="8"/>
  <c r="D1993" i="8"/>
  <c r="D3204" i="8"/>
  <c r="D235" i="8"/>
  <c r="D1871" i="8"/>
  <c r="D312" i="8"/>
  <c r="D2107" i="8"/>
  <c r="D3249" i="8"/>
  <c r="D2408" i="8"/>
  <c r="D101" i="8"/>
  <c r="D2924" i="8"/>
  <c r="D118" i="8"/>
  <c r="D1246" i="8"/>
  <c r="D2212" i="8"/>
  <c r="D1011" i="8"/>
  <c r="D154" i="8"/>
  <c r="D3202" i="8"/>
  <c r="D3317" i="8"/>
  <c r="D1588" i="8"/>
  <c r="D3042" i="8"/>
  <c r="D2808" i="8"/>
  <c r="D1112" i="8"/>
  <c r="D3046" i="8"/>
  <c r="D1444" i="8"/>
  <c r="D3543" i="8"/>
  <c r="D2632" i="8"/>
  <c r="D2834" i="8"/>
  <c r="D3591" i="8"/>
  <c r="D692" i="8"/>
  <c r="D1076" i="8"/>
  <c r="D3051" i="8"/>
  <c r="D1818" i="8"/>
  <c r="D2149" i="8"/>
  <c r="D3105" i="8"/>
  <c r="D1006" i="8"/>
  <c r="D3399" i="8"/>
  <c r="D1845" i="8"/>
  <c r="D1800" i="8"/>
  <c r="D928" i="8"/>
  <c r="D2277" i="8"/>
  <c r="D62" i="8"/>
  <c r="D1794" i="8"/>
  <c r="D2053" i="8"/>
  <c r="D3348" i="8"/>
  <c r="D2913" i="8"/>
  <c r="D1888" i="8"/>
  <c r="D36" i="8"/>
  <c r="D853" i="8"/>
  <c r="D2390" i="8"/>
  <c r="D3290" i="8"/>
  <c r="D646" i="8"/>
  <c r="D3255" i="8"/>
  <c r="D2888" i="8"/>
  <c r="D2624" i="8"/>
  <c r="D284" i="8"/>
  <c r="D2785" i="8"/>
  <c r="D3355" i="8"/>
  <c r="D3280" i="8"/>
  <c r="D1397" i="8"/>
  <c r="D1760" i="8"/>
  <c r="D1143" i="8"/>
  <c r="D344" i="8"/>
  <c r="D2560" i="8"/>
  <c r="D2048" i="8"/>
  <c r="D2818" i="8"/>
  <c r="D3696" i="8"/>
  <c r="D1645" i="8"/>
  <c r="D2725" i="8"/>
  <c r="D3096" i="8"/>
  <c r="D631" i="8"/>
  <c r="D1929" i="8"/>
  <c r="D1791" i="8"/>
  <c r="D2794" i="8"/>
  <c r="D1278" i="8"/>
  <c r="D500" i="8"/>
  <c r="D615" i="8"/>
  <c r="D1354" i="8"/>
  <c r="D444" i="8"/>
  <c r="D2523" i="8"/>
  <c r="D982" i="8"/>
  <c r="D3316" i="8"/>
  <c r="D918" i="8"/>
  <c r="D140" i="8"/>
  <c r="D3586" i="8"/>
  <c r="D557" i="8"/>
  <c r="D635" i="8"/>
  <c r="D2994" i="8"/>
  <c r="D1714" i="8"/>
  <c r="D875" i="8"/>
  <c r="D392" i="8"/>
  <c r="D2442" i="8"/>
  <c r="D3477" i="8"/>
  <c r="D2860" i="8"/>
  <c r="D1921" i="8"/>
  <c r="D2751" i="8"/>
  <c r="D142" i="8"/>
  <c r="D3564" i="8"/>
  <c r="D750" i="8"/>
  <c r="D2440" i="8"/>
  <c r="D2460" i="8"/>
  <c r="D2273" i="8"/>
  <c r="D14" i="8"/>
  <c r="D1352" i="8"/>
  <c r="D502" i="8"/>
  <c r="D2332" i="8"/>
  <c r="D3392" i="8"/>
  <c r="D3383" i="8"/>
  <c r="D3106" i="8"/>
  <c r="D2094" i="8"/>
  <c r="D183" i="8"/>
  <c r="D1976" i="8"/>
  <c r="D597" i="8"/>
  <c r="D1244" i="8"/>
  <c r="D1790" i="8"/>
  <c r="D1192" i="8"/>
  <c r="D2016" i="8"/>
  <c r="D2002" i="8"/>
  <c r="D1956" i="8"/>
  <c r="D33" i="8"/>
  <c r="D2644" i="8"/>
  <c r="D1130" i="8"/>
  <c r="D2069" i="8"/>
  <c r="D1691" i="8"/>
  <c r="D342" i="8"/>
  <c r="D23" i="8"/>
  <c r="D2309" i="8"/>
  <c r="D2759" i="8"/>
  <c r="D2839" i="8"/>
  <c r="D1558" i="8"/>
  <c r="D514" i="8"/>
  <c r="D2391" i="8"/>
  <c r="D3103" i="8"/>
  <c r="D3465" i="8"/>
  <c r="D1045" i="8"/>
  <c r="D1953" i="8"/>
  <c r="D1499" i="8"/>
  <c r="D1384" i="8"/>
  <c r="D3589" i="8"/>
  <c r="D3264" i="8"/>
  <c r="D3692" i="8"/>
  <c r="D3739" i="8"/>
  <c r="D839" i="8"/>
  <c r="D3089" i="8"/>
  <c r="D2548" i="8"/>
  <c r="D422" i="8"/>
  <c r="D1340" i="8"/>
  <c r="D1264" i="8"/>
  <c r="D2807" i="8"/>
  <c r="D1179" i="8"/>
  <c r="D3669" i="8"/>
  <c r="D1824" i="8"/>
  <c r="D2358" i="8"/>
  <c r="D2819" i="8"/>
  <c r="D2706" i="8"/>
  <c r="D614" i="8"/>
  <c r="D1843" i="8"/>
  <c r="D1186" i="8"/>
  <c r="D3336" i="8"/>
  <c r="D3115" i="8"/>
  <c r="D405" i="8"/>
  <c r="D2502" i="8"/>
  <c r="D932" i="8"/>
  <c r="D1305" i="8"/>
  <c r="D2303" i="8"/>
  <c r="D848" i="8"/>
  <c r="D177" i="8"/>
  <c r="D111" i="8"/>
  <c r="D3132" i="8"/>
  <c r="D2784" i="8"/>
  <c r="D410" i="8"/>
  <c r="D1585" i="8"/>
  <c r="D987" i="8"/>
  <c r="D1667" i="8"/>
  <c r="D204" i="8"/>
  <c r="D398" i="8"/>
  <c r="D1469" i="8"/>
  <c r="D95" i="8"/>
  <c r="D3515" i="8"/>
  <c r="D63" i="8"/>
  <c r="D1149" i="8"/>
  <c r="D2256" i="8"/>
  <c r="D2923" i="8"/>
  <c r="D1378" i="8"/>
  <c r="D2732" i="8"/>
  <c r="D1464" i="8"/>
  <c r="D1813" i="8"/>
  <c r="D3456" i="8"/>
  <c r="D2846" i="8"/>
  <c r="D3049" i="8"/>
  <c r="D3704" i="8"/>
  <c r="D1679" i="8"/>
  <c r="D50" i="8"/>
  <c r="D3610" i="8"/>
  <c r="D2773" i="8"/>
  <c r="D2105" i="8"/>
  <c r="D2168" i="8"/>
  <c r="D2981" i="8"/>
  <c r="D799" i="8"/>
  <c r="D1640" i="8"/>
  <c r="D870" i="8"/>
  <c r="D1708" i="8"/>
  <c r="D1877" i="8"/>
  <c r="D2044" i="8"/>
  <c r="D1330" i="8"/>
  <c r="D1919" i="8"/>
  <c r="D2110" i="8"/>
  <c r="D261" i="8"/>
  <c r="D774" i="8"/>
  <c r="D2513" i="8"/>
  <c r="D1833" i="8"/>
  <c r="D779" i="8"/>
  <c r="D2898" i="8"/>
  <c r="D3323" i="8"/>
  <c r="D852" i="8"/>
  <c r="D1927" i="8"/>
  <c r="D1914" i="8"/>
  <c r="D594" i="8"/>
  <c r="D1243" i="8"/>
  <c r="D2276" i="8"/>
  <c r="D809" i="8"/>
  <c r="D2209" i="8"/>
  <c r="D3006" i="8"/>
  <c r="D625" i="8"/>
  <c r="D2731" i="8"/>
  <c r="D266" i="8"/>
  <c r="D1661" i="8"/>
  <c r="D1707" i="8"/>
  <c r="D164" i="8"/>
  <c r="D1536" i="8"/>
  <c r="D2956" i="8"/>
  <c r="D3271" i="8"/>
  <c r="D1471" i="8"/>
  <c r="D1383" i="8"/>
  <c r="D1805" i="8"/>
  <c r="D2129" i="8"/>
  <c r="D49" i="8"/>
  <c r="D2237" i="8"/>
  <c r="D1474" i="8"/>
  <c r="D1487" i="8"/>
  <c r="D2825" i="8"/>
  <c r="D1056" i="8"/>
  <c r="D1697" i="8"/>
  <c r="D3520" i="8"/>
  <c r="D3425" i="8"/>
  <c r="D983" i="8"/>
  <c r="D2163" i="8"/>
  <c r="D3529" i="8"/>
  <c r="D2361" i="8"/>
  <c r="D891" i="8"/>
  <c r="D3695" i="8"/>
  <c r="D3464" i="8"/>
  <c r="D122" i="8"/>
  <c r="D1466" i="8"/>
  <c r="D1882" i="8"/>
  <c r="D644" i="8"/>
  <c r="D3511" i="8"/>
  <c r="D430" i="8"/>
  <c r="D3430" i="8"/>
  <c r="D3731" i="8"/>
  <c r="D894" i="8"/>
  <c r="D558" i="8"/>
  <c r="D3463" i="8"/>
  <c r="D3178" i="8"/>
  <c r="D3277" i="8"/>
  <c r="D2859" i="8"/>
  <c r="D2061" i="8"/>
  <c r="D1945" i="8"/>
  <c r="D910" i="8"/>
  <c r="D2330" i="8"/>
  <c r="D311" i="8"/>
  <c r="D1473" i="8"/>
  <c r="D559" i="8"/>
  <c r="D861" i="8"/>
  <c r="D523" i="8"/>
  <c r="D2457" i="8"/>
  <c r="D3130" i="8"/>
  <c r="D3003" i="8"/>
  <c r="D2278" i="8"/>
  <c r="D1504" i="8"/>
  <c r="D927" i="8"/>
  <c r="D1505" i="8"/>
  <c r="D1503" i="8"/>
  <c r="D487" i="8"/>
  <c r="D3068" i="8"/>
  <c r="D2095" i="8"/>
  <c r="D2639" i="8"/>
  <c r="D3246" i="8"/>
  <c r="D1073" i="8"/>
  <c r="D2951" i="8"/>
  <c r="D3486" i="8"/>
  <c r="D1582" i="8"/>
  <c r="D2640" i="8"/>
  <c r="D651" i="8"/>
  <c r="D1763" i="8"/>
  <c r="D1114" i="8"/>
  <c r="D146" i="8"/>
  <c r="D2127" i="8"/>
  <c r="D2817" i="8"/>
  <c r="D1715" i="8"/>
  <c r="D2739" i="8"/>
  <c r="D2399" i="8"/>
  <c r="D3094" i="8"/>
  <c r="D1255" i="8"/>
  <c r="D1258" i="8"/>
  <c r="D1200" i="8"/>
  <c r="D483" i="8"/>
  <c r="D771" i="8"/>
  <c r="D492" i="8"/>
  <c r="D2806" i="8"/>
  <c r="D1991" i="8"/>
  <c r="D800" i="8"/>
  <c r="D1065" i="8"/>
  <c r="D491" i="8"/>
  <c r="D2283" i="8"/>
  <c r="D2473" i="8"/>
  <c r="D1933" i="8"/>
  <c r="D389" i="8"/>
  <c r="D1399" i="8"/>
  <c r="D217" i="8"/>
  <c r="D2429" i="8"/>
  <c r="D73" i="8"/>
  <c r="D2423" i="8"/>
  <c r="D218" i="8"/>
  <c r="D951" i="8"/>
  <c r="D1869" i="8"/>
  <c r="D53" i="8"/>
  <c r="D2588" i="8"/>
  <c r="D1199" i="8"/>
  <c r="D2065" i="8"/>
  <c r="D3085" i="8"/>
  <c r="D2535" i="8"/>
  <c r="D1251" i="8"/>
  <c r="D106" i="8"/>
  <c r="D655" i="8"/>
  <c r="D3580" i="8"/>
  <c r="D2641" i="8"/>
  <c r="D3583" i="8"/>
  <c r="D229" i="8"/>
  <c r="D1096" i="8"/>
  <c r="D3092" i="8"/>
  <c r="D3151" i="8"/>
  <c r="D2341" i="8"/>
  <c r="D433" i="8"/>
  <c r="D3041" i="8"/>
  <c r="D2602" i="8"/>
  <c r="D156" i="8"/>
  <c r="D2482" i="8"/>
  <c r="D1233" i="8"/>
  <c r="D904" i="8"/>
  <c r="D1061" i="8"/>
  <c r="D1386" i="8"/>
  <c r="D544" i="8"/>
  <c r="D3676" i="8"/>
  <c r="D1508" i="8"/>
  <c r="D3728" i="8"/>
  <c r="D2047" i="8"/>
  <c r="D599" i="8"/>
  <c r="D51" i="8"/>
  <c r="D1128" i="8"/>
  <c r="D3306" i="8"/>
  <c r="D671" i="8"/>
  <c r="D3514" i="8"/>
  <c r="D321" i="8"/>
  <c r="D256" i="8"/>
  <c r="D3073" i="8"/>
  <c r="D1804" i="8"/>
  <c r="D1490" i="8"/>
  <c r="D2188" i="8"/>
  <c r="D1280" i="8"/>
  <c r="D1922" i="8"/>
  <c r="D3556" i="8"/>
  <c r="D9" i="8"/>
  <c r="D1315" i="8"/>
  <c r="D1612" i="8"/>
  <c r="D1134" i="8"/>
  <c r="D1737" i="8"/>
  <c r="D77" i="8"/>
  <c r="D2766" i="8"/>
  <c r="D2741" i="8"/>
  <c r="D1064" i="8"/>
  <c r="D3562" i="8"/>
  <c r="D3036" i="8"/>
  <c r="D383" i="8"/>
  <c r="D2717" i="8"/>
  <c r="D1978" i="8"/>
  <c r="D1101" i="8"/>
  <c r="D3712" i="8"/>
  <c r="D690" i="8"/>
  <c r="D2720" i="8"/>
  <c r="D2971" i="8"/>
  <c r="D804" i="8"/>
  <c r="D835" i="8"/>
  <c r="D3281" i="8"/>
  <c r="D2676" i="8"/>
  <c r="D2558" i="8"/>
  <c r="D2820" i="8"/>
  <c r="D3356" i="8"/>
  <c r="D883" i="8"/>
  <c r="D1398" i="8"/>
  <c r="D2767" i="8"/>
  <c r="D3611" i="8"/>
  <c r="D2331" i="8"/>
  <c r="D437" i="8"/>
  <c r="D3195" i="8"/>
  <c r="D1370" i="8"/>
  <c r="D3723" i="8"/>
  <c r="D1538" i="8"/>
  <c r="D1544" i="8"/>
  <c r="D2724" i="8"/>
  <c r="D3319" i="8"/>
  <c r="D1298" i="8"/>
  <c r="D3530" i="8"/>
  <c r="D1317" i="8"/>
  <c r="D1770" i="8"/>
  <c r="D1534" i="8"/>
  <c r="D2909" i="8"/>
  <c r="D369" i="8"/>
  <c r="D1654" i="8"/>
  <c r="D3408" i="8"/>
  <c r="D120" i="8"/>
  <c r="D2318" i="8"/>
  <c r="D3279" i="8"/>
  <c r="D2452" i="8"/>
  <c r="D2333" i="8"/>
  <c r="D764" i="8"/>
  <c r="D887" i="8"/>
  <c r="D133" i="8"/>
  <c r="D2132" i="8"/>
  <c r="D1252" i="8"/>
  <c r="D674" i="8"/>
  <c r="D1382" i="8"/>
  <c r="D1541" i="8"/>
  <c r="D1986" i="8"/>
  <c r="D339" i="8"/>
  <c r="D460" i="8"/>
  <c r="D843" i="8"/>
  <c r="D709" i="8"/>
  <c r="D2788" i="8"/>
  <c r="D510" i="8"/>
  <c r="D3455" i="8"/>
  <c r="D2612" i="8"/>
  <c r="D3196" i="8"/>
  <c r="D2079" i="8"/>
  <c r="D2295" i="8"/>
  <c r="D2388" i="8"/>
  <c r="D3172" i="8"/>
  <c r="D2584" i="8"/>
  <c r="D1688" i="8"/>
  <c r="D3673" i="8"/>
  <c r="D1689" i="8"/>
  <c r="D1127" i="8"/>
  <c r="D1624" i="8"/>
  <c r="D280" i="8"/>
  <c r="D2479" i="8"/>
  <c r="D2266" i="8"/>
  <c r="D2524" i="8"/>
  <c r="D1723" i="8"/>
  <c r="D248" i="8"/>
  <c r="D2855" i="8"/>
  <c r="D508" i="8"/>
  <c r="D2575" i="8"/>
  <c r="D271" i="8"/>
  <c r="D2966" i="8"/>
  <c r="D3149" i="8"/>
  <c r="D3541" i="8"/>
  <c r="D1632" i="8"/>
  <c r="D3668" i="8"/>
  <c r="D1107" i="8"/>
  <c r="D2411" i="8"/>
  <c r="D191" i="8"/>
  <c r="D3325" i="8"/>
  <c r="D1392" i="8"/>
  <c r="D1334" i="8"/>
  <c r="D2000" i="8"/>
  <c r="D2608" i="8"/>
  <c r="D2679" i="8"/>
  <c r="D2170" i="8"/>
  <c r="D538" i="8"/>
  <c r="D2753" i="8"/>
  <c r="D3241" i="8"/>
  <c r="D694" i="8"/>
  <c r="D2975" i="8"/>
  <c r="D673" i="8"/>
  <c r="D552" i="8"/>
  <c r="D1695" i="8"/>
  <c r="D1753" i="8"/>
  <c r="D1023" i="8"/>
  <c r="D1326" i="8"/>
  <c r="D1066" i="8"/>
  <c r="D1277" i="8"/>
  <c r="D2783" i="8"/>
  <c r="D453" i="8"/>
  <c r="D1636" i="8"/>
  <c r="D190" i="8"/>
  <c r="D426" i="8"/>
  <c r="D1907" i="8"/>
  <c r="D2251" i="8"/>
  <c r="D3311" i="8"/>
  <c r="D1272" i="8"/>
  <c r="D1868" i="8"/>
  <c r="D1817" i="8"/>
  <c r="D3072" i="8"/>
  <c r="D1591" i="8"/>
  <c r="D1990" i="8"/>
  <c r="D474" i="8"/>
  <c r="D2371" i="8"/>
  <c r="D1911" i="8"/>
  <c r="D707" i="8"/>
  <c r="D3020" i="8"/>
  <c r="D1250" i="8"/>
  <c r="D2216" i="8"/>
  <c r="D457" i="8"/>
  <c r="D1562" i="8"/>
  <c r="D420" i="8"/>
  <c r="D786" i="8"/>
  <c r="D2115" i="8"/>
  <c r="D1016" i="8"/>
  <c r="D944" i="8"/>
  <c r="D2454" i="8"/>
  <c r="D1015" i="8"/>
  <c r="D556" i="8"/>
  <c r="D3289" i="8"/>
  <c r="D1601" i="8"/>
  <c r="D3117" i="8"/>
  <c r="D2485" i="8"/>
  <c r="D3565" i="8"/>
  <c r="D442" i="8"/>
  <c r="D368" i="8"/>
  <c r="D3069" i="8"/>
  <c r="D1226" i="8"/>
  <c r="D6" i="8"/>
  <c r="D2199" i="8"/>
  <c r="D3428" i="8"/>
  <c r="D351" i="8"/>
  <c r="D2777" i="8"/>
  <c r="D2019" i="8"/>
  <c r="D3415" i="8"/>
  <c r="D3357" i="8"/>
  <c r="D2381" i="8"/>
  <c r="D908" i="8"/>
  <c r="D1938" i="8"/>
  <c r="D1745" i="8"/>
  <c r="D598" i="8"/>
  <c r="D3574" i="8"/>
  <c r="D161" i="8"/>
  <c r="D522" i="8"/>
  <c r="D2234" i="8"/>
  <c r="D1310" i="8"/>
  <c r="D2425" i="8"/>
  <c r="D1649" i="8"/>
  <c r="D2497" i="8"/>
  <c r="D2063" i="8"/>
  <c r="D501" i="8"/>
  <c r="D3377" i="8"/>
  <c r="D1543" i="8"/>
  <c r="D3448" i="8"/>
  <c r="D1062" i="8"/>
  <c r="D1522" i="8"/>
  <c r="D2449" i="8"/>
  <c r="D2529" i="8"/>
  <c r="D3060" i="8"/>
  <c r="D335" i="8"/>
  <c r="D3259" i="8"/>
  <c r="D1670" i="8"/>
  <c r="D973" i="8"/>
  <c r="D334" i="8"/>
  <c r="D1178" i="8"/>
  <c r="D529" i="8"/>
  <c r="D795" i="8"/>
  <c r="D26" i="8"/>
  <c r="D2327" i="8"/>
  <c r="D1349" i="8"/>
  <c r="D1024" i="8"/>
  <c r="D3485" i="8"/>
  <c r="D3648" i="8"/>
  <c r="D1988" i="8"/>
  <c r="D1673" i="8"/>
  <c r="D1894" i="8"/>
  <c r="D802" i="8"/>
  <c r="D1159" i="8"/>
  <c r="D3307" i="8"/>
  <c r="D1893" i="8"/>
  <c r="D1338" i="8"/>
  <c r="D659" i="8"/>
  <c r="D2601" i="8"/>
  <c r="D3613" i="8"/>
  <c r="D1619" i="8"/>
  <c r="D193" i="8"/>
  <c r="D903" i="8"/>
  <c r="D2569" i="8"/>
  <c r="D3563" i="8"/>
  <c r="D3491" i="8"/>
  <c r="D3329" i="8"/>
  <c r="D134" i="8"/>
  <c r="D1346" i="8"/>
  <c r="D2795" i="8"/>
  <c r="D583" i="8"/>
  <c r="D2402" i="8"/>
  <c r="D1876" i="8"/>
  <c r="D611" i="8"/>
  <c r="D1004" i="8"/>
  <c r="D1627" i="8"/>
  <c r="D1217" i="8"/>
  <c r="D576" i="8"/>
  <c r="D532" i="8"/>
  <c r="D1074" i="8"/>
  <c r="D107" i="8"/>
  <c r="D2130" i="8"/>
  <c r="D1002" i="8"/>
  <c r="D1552" i="8"/>
  <c r="D1043" i="8"/>
  <c r="D3065" i="8"/>
  <c r="D1077" i="8"/>
  <c r="D96" i="8"/>
  <c r="D1772" i="8"/>
  <c r="D3217" i="8"/>
  <c r="D776" i="8"/>
  <c r="D992" i="8"/>
  <c r="D3647" i="8"/>
  <c r="D1201" i="8"/>
  <c r="D676" i="8"/>
  <c r="D3417" i="8"/>
  <c r="D543" i="8"/>
  <c r="D3230" i="8"/>
  <c r="D3232" i="8"/>
  <c r="D525" i="8"/>
  <c r="D683" i="8"/>
  <c r="D3002" i="8"/>
  <c r="D914" i="8"/>
  <c r="D2649" i="8"/>
  <c r="D274" i="8"/>
  <c r="D714" i="8"/>
  <c r="D3104" i="8"/>
  <c r="D931" i="8"/>
  <c r="D292" i="8"/>
  <c r="D2935" i="8"/>
  <c r="D439" i="8"/>
  <c r="D1516" i="8"/>
  <c r="D3478" i="8"/>
  <c r="D1653" i="8"/>
  <c r="D1363" i="8"/>
  <c r="D149" i="8"/>
  <c r="D1786" i="8"/>
  <c r="D1300" i="8"/>
  <c r="D3391" i="8"/>
  <c r="D1752" i="8"/>
  <c r="D3621" i="8"/>
  <c r="D2670" i="8"/>
  <c r="D3165" i="8"/>
  <c r="D3371" i="8"/>
  <c r="D3066" i="8"/>
  <c r="D1680" i="8"/>
  <c r="D2060" i="8"/>
  <c r="D1147" i="8"/>
  <c r="D2121" i="8"/>
  <c r="D682" i="8"/>
  <c r="D2892" i="8"/>
  <c r="D3213" i="8"/>
  <c r="D315" i="8"/>
  <c r="D1509" i="8"/>
  <c r="D2870" i="8"/>
  <c r="D1815" i="8"/>
  <c r="D755" i="8"/>
  <c r="D1999" i="8"/>
  <c r="D2823" i="8"/>
  <c r="D697" i="8"/>
  <c r="D2802" i="8"/>
  <c r="D3501" i="8"/>
  <c r="D2185" i="8"/>
  <c r="D1254" i="8"/>
  <c r="D3635" i="8"/>
  <c r="D811" i="8"/>
  <c r="D143" i="8"/>
  <c r="D2552" i="8"/>
  <c r="D2729" i="8"/>
  <c r="D3581" i="8"/>
  <c r="D1718" i="8"/>
  <c r="D367" i="8"/>
  <c r="D211" i="8"/>
  <c r="D1008" i="8"/>
  <c r="D3101" i="8"/>
  <c r="D785" i="8"/>
  <c r="D1481" i="8"/>
  <c r="D2505" i="8"/>
  <c r="D3447" i="8"/>
  <c r="D3488" i="8"/>
  <c r="D3724" i="8"/>
  <c r="D2532" i="8"/>
  <c r="D3181" i="8"/>
  <c r="D3190" i="8"/>
  <c r="D2920" i="8"/>
  <c r="D272" i="8"/>
  <c r="D434" i="8"/>
  <c r="D170" i="8"/>
  <c r="D1236" i="8"/>
  <c r="D3188" i="8"/>
  <c r="D3404" i="8"/>
  <c r="D475" i="8"/>
  <c r="D3539" i="8"/>
  <c r="D2993" i="8"/>
  <c r="D1934" i="8"/>
  <c r="D1750" i="8"/>
  <c r="D2329" i="8"/>
  <c r="D1834" i="8"/>
  <c r="D3176" i="8"/>
  <c r="D3134" i="8"/>
  <c r="D1947" i="8"/>
  <c r="D2955" i="8"/>
  <c r="D1676" i="8"/>
  <c r="D2866" i="8"/>
  <c r="D1484" i="8"/>
  <c r="D2269" i="8"/>
  <c r="D2084" i="8"/>
  <c r="D79" i="8"/>
  <c r="D2911" i="8"/>
  <c r="D1777" i="8"/>
  <c r="D340" i="8"/>
  <c r="D3698" i="8"/>
  <c r="D3379" i="8"/>
  <c r="D3012" i="8"/>
  <c r="D581" i="8"/>
  <c r="D148" i="8"/>
  <c r="D2543" i="8"/>
  <c r="D1013" i="8"/>
  <c r="D1427" i="8"/>
  <c r="D3250" i="8"/>
  <c r="D639" i="8"/>
  <c r="D1218" i="8"/>
  <c r="D1889" i="8"/>
  <c r="D3220" i="8"/>
  <c r="D295" i="8"/>
  <c r="D3166" i="8"/>
  <c r="D2854" i="8"/>
  <c r="D1757" i="8"/>
  <c r="D620" i="8"/>
  <c r="D1430" i="8"/>
  <c r="D3308" i="8"/>
  <c r="D1524" i="8"/>
  <c r="D1019" i="8"/>
  <c r="D2654" i="8"/>
  <c r="D54" i="8"/>
  <c r="D2722" i="8"/>
  <c r="D257" i="8"/>
  <c r="D2578" i="8"/>
  <c r="D2614" i="8"/>
  <c r="D3192" i="8"/>
  <c r="D1103" i="8"/>
  <c r="D2623" i="8"/>
  <c r="D1905" i="8"/>
  <c r="D3295" i="8"/>
  <c r="D290" i="8"/>
  <c r="D2150" i="8"/>
  <c r="D1185" i="8"/>
  <c r="D2125" i="8"/>
  <c r="D472" i="8"/>
  <c r="D878" i="8"/>
  <c r="D965" i="8"/>
  <c r="D2694" i="8"/>
  <c r="D1847" i="8"/>
  <c r="D2112" i="8"/>
  <c r="D1312" i="8"/>
  <c r="D1739" i="8"/>
  <c r="D3224" i="8"/>
  <c r="D3016" i="8"/>
  <c r="D1390" i="8"/>
  <c r="D1237" i="8"/>
  <c r="D1513" i="8"/>
  <c r="D2409" i="8"/>
  <c r="D2291" i="8"/>
  <c r="D1356" i="8"/>
  <c r="D1500" i="8"/>
  <c r="D2464" i="8"/>
  <c r="D1054" i="8"/>
  <c r="D2369" i="8"/>
  <c r="D141" i="8"/>
  <c r="D336" i="8"/>
  <c r="D2335" i="8"/>
  <c r="D2658" i="8"/>
  <c r="D1704" i="8"/>
  <c r="D2973" i="8"/>
  <c r="D3652" i="8"/>
  <c r="D2847" i="8"/>
  <c r="D1546" i="8"/>
  <c r="D546" i="8"/>
  <c r="D1971" i="8"/>
  <c r="D2493" i="8"/>
  <c r="D3450" i="8"/>
  <c r="D2782" i="8"/>
  <c r="D1987" i="8"/>
  <c r="D3341" i="8"/>
  <c r="D3498" i="8"/>
  <c r="D3700" i="8"/>
  <c r="D3519" i="8"/>
  <c r="D959" i="8"/>
  <c r="D769" i="8"/>
  <c r="D782" i="8"/>
  <c r="D2768" i="8"/>
  <c r="D526" i="8"/>
  <c r="D2796" i="8"/>
  <c r="D2868" i="8"/>
  <c r="D745" i="8"/>
  <c r="D324" i="8"/>
  <c r="D2984" i="8"/>
  <c r="D1195" i="8"/>
  <c r="D2510" i="8"/>
  <c r="D187" i="8"/>
  <c r="D1980" i="8"/>
  <c r="D3298" i="8"/>
  <c r="D3318" i="8"/>
  <c r="D176" i="8"/>
  <c r="D1716" i="8"/>
  <c r="D108" i="8"/>
  <c r="D2749" i="8"/>
  <c r="D718" i="8"/>
  <c r="D2055" i="8"/>
  <c r="D719" i="8"/>
  <c r="D1604" i="8"/>
  <c r="D2656" i="8"/>
  <c r="D3" i="8"/>
  <c r="D2119" i="8"/>
  <c r="D1977" i="8"/>
  <c r="D3086" i="8"/>
  <c r="D3136" i="8"/>
  <c r="D1379" i="8"/>
  <c r="D2172" i="8"/>
  <c r="D2032" i="8"/>
  <c r="D2910" i="8"/>
  <c r="D2643" i="8"/>
  <c r="D3481" i="8"/>
  <c r="D2952" i="8"/>
  <c r="D858" i="8"/>
  <c r="D158" i="8"/>
  <c r="D2536" i="8"/>
  <c r="D2549" i="8"/>
  <c r="D3559" i="8"/>
  <c r="D2580" i="8"/>
  <c r="D3469" i="8"/>
  <c r="D2233" i="8"/>
  <c r="D3660" i="8"/>
  <c r="D186" i="8"/>
  <c r="D1736" i="8"/>
  <c r="D2078" i="8"/>
  <c r="D464" i="8"/>
  <c r="D2970" i="8"/>
  <c r="D1754" i="8"/>
  <c r="D1443" i="8"/>
  <c r="D1630" i="8"/>
  <c r="D2791" i="8"/>
  <c r="D3026" i="8"/>
  <c r="D2922" i="8"/>
  <c r="D1545" i="8"/>
  <c r="D868" i="8"/>
  <c r="D3075" i="8"/>
  <c r="D736" i="8"/>
  <c r="D578" i="8"/>
  <c r="D2629" i="8"/>
  <c r="D1849" i="8"/>
  <c r="D3153" i="8"/>
  <c r="D1783" i="8"/>
  <c r="D3338" i="8"/>
  <c r="D3706" i="8"/>
  <c r="D3524" i="8"/>
  <c r="D1119" i="8"/>
  <c r="D2403" i="8"/>
  <c r="D2813" i="8"/>
  <c r="D704" i="8"/>
  <c r="D2659" i="8"/>
  <c r="D10" i="8"/>
  <c r="D3120" i="8"/>
  <c r="D616" i="8"/>
  <c r="D711" i="8"/>
  <c r="D1292" i="8"/>
  <c r="D763" i="8"/>
  <c r="D2420" i="8"/>
  <c r="D3343" i="8"/>
  <c r="D2912" i="8"/>
  <c r="D3191" i="8"/>
  <c r="D2690" i="8"/>
  <c r="D1052" i="8"/>
  <c r="D3368" i="8"/>
  <c r="D2254" i="8"/>
  <c r="D3235" i="8"/>
  <c r="D2474" i="8"/>
  <c r="D1995" i="8"/>
  <c r="D2563" i="8"/>
  <c r="D1975" i="8"/>
  <c r="D2664" i="8"/>
  <c r="D2734" i="8"/>
  <c r="D3312" i="8"/>
  <c r="D545" i="8"/>
  <c r="D923" i="8"/>
  <c r="D770" i="8"/>
  <c r="D300" i="8"/>
  <c r="D2702" i="8"/>
  <c r="D222" i="8"/>
  <c r="D658" i="8"/>
  <c r="D1453" i="8"/>
  <c r="D2509" i="8"/>
  <c r="D1374" i="8"/>
  <c r="D536" i="8"/>
  <c r="D2764" i="8"/>
  <c r="D2437" i="8"/>
  <c r="D1961" i="8"/>
  <c r="D3512" i="8"/>
  <c r="D1423" i="8"/>
  <c r="D2919" i="8"/>
  <c r="D2255" i="8"/>
  <c r="D1350" i="8"/>
  <c r="D856" i="8"/>
  <c r="D3048" i="8"/>
  <c r="D3137" i="8"/>
  <c r="D2538" i="8"/>
  <c r="D3363" i="8"/>
  <c r="D2746" i="8"/>
  <c r="D3638" i="8"/>
  <c r="D1078" i="8"/>
  <c r="D3420" i="8"/>
  <c r="D610" i="8"/>
  <c r="D1249" i="8"/>
  <c r="D1012" i="8"/>
  <c r="D386" i="8"/>
  <c r="D3476" i="8"/>
  <c r="D2305" i="8"/>
  <c r="D1031" i="8"/>
  <c r="D2310" i="8"/>
  <c r="D1900" i="8"/>
  <c r="D3682" i="8"/>
  <c r="D886" i="8"/>
  <c r="D892" i="8"/>
  <c r="D3055" i="8"/>
  <c r="D2902" i="8"/>
  <c r="D2605" i="8"/>
  <c r="D2401" i="8"/>
  <c r="D207" i="8"/>
  <c r="D2100" i="8"/>
  <c r="D1241" i="8"/>
  <c r="D609" i="8"/>
  <c r="D2270" i="8"/>
  <c r="D1222" i="8"/>
  <c r="D3177" i="8"/>
  <c r="D761" i="8"/>
  <c r="D1732" i="8"/>
  <c r="D1044" i="8"/>
  <c r="D2144" i="8"/>
  <c r="D657" i="8"/>
  <c r="D512" i="8"/>
  <c r="D1492" i="8"/>
  <c r="D3643" i="8"/>
  <c r="D1569" i="8"/>
  <c r="D1768" i="8"/>
  <c r="D2261" i="8"/>
  <c r="D1220" i="8"/>
  <c r="D182" i="8"/>
  <c r="D205" i="8"/>
  <c r="D2427" i="8"/>
  <c r="D1766" i="8"/>
  <c r="D3097" i="8"/>
  <c r="D1683" i="8"/>
  <c r="D617" i="8"/>
  <c r="D2526" i="8"/>
  <c r="D1033" i="8"/>
  <c r="D2675" i="8"/>
  <c r="D1592" i="8"/>
  <c r="D1102" i="8"/>
  <c r="D3274" i="8"/>
  <c r="D3691" i="8"/>
  <c r="D3534" i="8"/>
  <c r="D3099" i="8"/>
  <c r="D1749" i="8"/>
  <c r="D734" i="8"/>
  <c r="D995" i="8"/>
  <c r="D3715" i="8"/>
  <c r="D1928" i="8"/>
  <c r="D1717" i="8"/>
  <c r="D1644" i="8"/>
  <c r="D972" i="8"/>
  <c r="D2370" i="8"/>
  <c r="D210" i="8"/>
  <c r="D1510" i="8"/>
  <c r="D2215" i="8"/>
  <c r="D355" i="8"/>
  <c r="D435" i="8"/>
  <c r="D1870" i="8"/>
  <c r="D2582" i="8"/>
  <c r="D1124" i="8"/>
  <c r="D2424" i="8"/>
  <c r="D2262" i="8"/>
  <c r="D1344" i="8"/>
  <c r="D313" i="8"/>
  <c r="D2989" i="8"/>
  <c r="D1055" i="8"/>
  <c r="D1145" i="8"/>
  <c r="D486" i="8"/>
  <c r="D1168" i="8"/>
  <c r="D2426" i="8"/>
  <c r="D477" i="8"/>
  <c r="D1964" i="8"/>
  <c r="D1912" i="8"/>
  <c r="D2286" i="8"/>
  <c r="D201" i="8"/>
  <c r="D2296" i="8"/>
  <c r="D1465" i="8"/>
  <c r="D3110" i="8"/>
  <c r="D1901" i="8"/>
  <c r="D3299" i="8"/>
  <c r="D458" i="8"/>
  <c r="D1820" i="8"/>
  <c r="D1669" i="8"/>
  <c r="D3372" i="8"/>
  <c r="D1447" i="8"/>
  <c r="D649" i="8"/>
  <c r="D3699" i="8"/>
  <c r="D1230" i="8"/>
  <c r="D821" i="8"/>
  <c r="D3162" i="8"/>
  <c r="D3735" i="8"/>
  <c r="D404" i="8"/>
  <c r="D3083" i="8"/>
  <c r="D469" i="8"/>
  <c r="D391" i="8"/>
  <c r="D2705" i="8"/>
  <c r="D3457" i="8"/>
  <c r="D3437" i="8"/>
  <c r="D3666" i="8"/>
  <c r="D2877" i="8"/>
  <c r="D2937" i="8"/>
  <c r="D3203" i="8"/>
  <c r="D3031" i="8"/>
  <c r="D3146" i="8"/>
  <c r="D2890" i="8"/>
  <c r="D788" i="8"/>
  <c r="D2395" i="8"/>
  <c r="D32" i="8"/>
  <c r="D1239" i="8"/>
  <c r="D1662" i="8"/>
  <c r="D2020" i="8"/>
  <c r="D2517" i="8"/>
  <c r="D2652" i="8"/>
  <c r="D485" i="8"/>
  <c r="D2077" i="8"/>
  <c r="D3353" i="8"/>
  <c r="D1564" i="8"/>
  <c r="D1449" i="8"/>
  <c r="D588" i="8"/>
  <c r="D629" i="8"/>
  <c r="D1948" i="8"/>
  <c r="D2881" i="8"/>
  <c r="D592" i="8"/>
  <c r="D377" i="8"/>
  <c r="D1963" i="8"/>
  <c r="D1728" i="8"/>
  <c r="D2050" i="8"/>
  <c r="D3080" i="8"/>
  <c r="D1721" i="8"/>
  <c r="D1245" i="8"/>
  <c r="D1117" i="8"/>
  <c r="D994" i="8"/>
  <c r="D939" i="8"/>
  <c r="D1747" i="8"/>
  <c r="D137" i="8"/>
  <c r="D2422" i="8"/>
  <c r="D2393" i="8"/>
  <c r="D1502" i="8"/>
  <c r="D3331" i="8"/>
  <c r="D3197" i="8"/>
  <c r="D3207" i="8"/>
  <c r="D1821" i="8"/>
  <c r="D3558" i="8"/>
  <c r="D2950" i="8"/>
  <c r="D418" i="8"/>
  <c r="D1924" i="8"/>
  <c r="D2167" i="8"/>
  <c r="D789" i="8"/>
  <c r="D1787" i="8"/>
  <c r="D969" i="8"/>
  <c r="D1860" i="8"/>
  <c r="D1290" i="8"/>
  <c r="D1085" i="8"/>
  <c r="D2756" i="8"/>
  <c r="D401" i="8"/>
  <c r="D1215" i="8"/>
  <c r="D1030" i="8"/>
  <c r="D3592" i="8"/>
  <c r="D2495" i="8"/>
  <c r="D1173" i="8"/>
  <c r="D476" i="8"/>
  <c r="D3630" i="8"/>
  <c r="D1111" i="8"/>
  <c r="D1021" i="8"/>
  <c r="D2838" i="8"/>
  <c r="D1001" i="8"/>
  <c r="D2997" i="8"/>
  <c r="D906" i="8"/>
  <c r="D571" i="8"/>
  <c r="D3664" i="8"/>
  <c r="D636" i="8"/>
  <c r="D2225" i="8"/>
  <c r="D3526" i="8"/>
  <c r="D1123" i="8"/>
  <c r="D291" i="8"/>
  <c r="D2140" i="8"/>
  <c r="D3119" i="8"/>
  <c r="D21" i="8"/>
  <c r="D1674" i="8"/>
  <c r="D679" i="8"/>
  <c r="D573" i="8"/>
  <c r="D2088" i="8"/>
  <c r="D2380" i="8"/>
  <c r="D2376" i="8"/>
  <c r="D2987" i="8"/>
  <c r="D331" i="8"/>
  <c r="D2642" i="8"/>
  <c r="D555" i="8"/>
  <c r="D3487" i="8"/>
  <c r="D1339" i="8"/>
  <c r="D3141" i="8"/>
  <c r="D1369" i="8"/>
  <c r="D563" i="8"/>
  <c r="D819" i="8"/>
  <c r="D3572" i="8"/>
  <c r="D97" i="8"/>
  <c r="D2378" i="8"/>
  <c r="D2387" i="8"/>
  <c r="D2006" i="8"/>
  <c r="D2357" i="8"/>
  <c r="D3044" i="8"/>
  <c r="D2628" i="8"/>
  <c r="D1440" i="8"/>
  <c r="D2430" i="8"/>
  <c r="D2648" i="8"/>
  <c r="D3212" i="8"/>
  <c r="D3500" i="8"/>
  <c r="D3546" i="8"/>
  <c r="D2218" i="8"/>
  <c r="D1042" i="8"/>
  <c r="D3694" i="8"/>
  <c r="D3175" i="8"/>
  <c r="D1461" i="8"/>
  <c r="D516" i="8"/>
  <c r="D2850" i="8"/>
  <c r="D520" i="8"/>
  <c r="D3429" i="8"/>
  <c r="D2448" i="8"/>
  <c r="D2555" i="8"/>
  <c r="D2900" i="8"/>
  <c r="D862" i="8"/>
  <c r="D454" i="8"/>
  <c r="D1873" i="8"/>
  <c r="D343" i="8"/>
  <c r="D1598" i="8"/>
  <c r="D166" i="8"/>
  <c r="D3131" i="8"/>
  <c r="D1526" i="8"/>
  <c r="D89" i="8"/>
  <c r="D16" i="8"/>
  <c r="D579" i="8"/>
  <c r="D3411" i="8"/>
  <c r="D2689" i="8"/>
  <c r="D3227" i="8"/>
  <c r="D1799" i="8"/>
  <c r="D2869" i="8"/>
  <c r="D880" i="8"/>
  <c r="D2180" i="8"/>
  <c r="D1097" i="8"/>
  <c r="D1685" i="8"/>
  <c r="D3677" i="8"/>
  <c r="D1918" i="8"/>
  <c r="D3594" i="8"/>
  <c r="D1899" i="8"/>
  <c r="D1825" i="8"/>
  <c r="D1659" i="8"/>
  <c r="D1857" i="8"/>
  <c r="D827" i="8"/>
  <c r="D773" i="8"/>
  <c r="D984" i="8"/>
  <c r="D2268" i="8"/>
  <c r="D2147" i="8"/>
  <c r="D308" i="8"/>
  <c r="D678" i="8"/>
  <c r="D2175" i="8"/>
  <c r="D1458" i="8"/>
  <c r="D2433" i="8"/>
  <c r="D478" i="8"/>
  <c r="D3737" i="8"/>
  <c r="D661" i="8"/>
  <c r="D2432" i="8"/>
  <c r="D3218" i="8"/>
  <c r="D3223" i="8"/>
  <c r="D784" i="8"/>
  <c r="D2083" i="8"/>
  <c r="D480" i="8"/>
  <c r="D586" i="8"/>
  <c r="D1844" i="8"/>
  <c r="D935" i="8"/>
  <c r="D3262" i="8"/>
  <c r="D3121" i="8"/>
  <c r="D2224" i="8"/>
  <c r="D1472" i="8"/>
  <c r="D922" i="8"/>
  <c r="D3725" i="8"/>
  <c r="D1291" i="8"/>
  <c r="D2553" i="8"/>
  <c r="D1003" i="8"/>
  <c r="D816" i="8"/>
  <c r="D3470" i="8"/>
  <c r="D2438" i="8"/>
  <c r="D1729" i="8"/>
  <c r="D2031" i="8"/>
  <c r="D726" i="8"/>
  <c r="D269" i="8"/>
  <c r="D1823" i="8"/>
  <c r="D2118" i="8"/>
  <c r="D3324" i="8"/>
  <c r="D2492" i="8"/>
  <c r="D2436" i="8"/>
  <c r="D1629" i="8"/>
  <c r="D936" i="8"/>
  <c r="D2007" i="8"/>
  <c r="D1418" i="8"/>
  <c r="D3076" i="8"/>
  <c r="D69" i="8"/>
  <c r="D589" i="8"/>
  <c r="D428" i="8"/>
  <c r="D3517" i="8"/>
  <c r="D3064" i="8"/>
  <c r="D1394" i="8"/>
  <c r="D2201" i="8"/>
  <c r="D1359" i="8"/>
  <c r="D213" i="8"/>
  <c r="D2878" i="8"/>
  <c r="D2815" i="8"/>
  <c r="D2934" i="8"/>
  <c r="D1208" i="8"/>
  <c r="D3114" i="8"/>
  <c r="D548" i="8"/>
  <c r="D2579" i="8"/>
  <c r="D1429" i="8"/>
  <c r="D1974" i="8"/>
  <c r="D1373" i="8"/>
  <c r="D1985" i="8"/>
  <c r="D3187" i="8"/>
  <c r="D1814" i="8"/>
  <c r="D1878" i="8"/>
  <c r="D147" i="8"/>
  <c r="D230" i="8"/>
  <c r="D3015" i="8"/>
  <c r="D748" i="8"/>
  <c r="D3198" i="8"/>
  <c r="D1289" i="8"/>
  <c r="D3243" i="8"/>
  <c r="D3087" i="8"/>
  <c r="D1916" i="8"/>
  <c r="D2824" i="8"/>
  <c r="D1113" i="8"/>
  <c r="D2986" i="8"/>
  <c r="D2704" i="8"/>
  <c r="D212" i="8"/>
  <c r="D1909" i="8"/>
  <c r="D1282" i="8"/>
  <c r="D48" i="8"/>
  <c r="D2210" i="8"/>
  <c r="D1655" i="8"/>
  <c r="D2109" i="8"/>
  <c r="D1553" i="8"/>
  <c r="D962" i="8"/>
  <c r="D2398" i="8"/>
  <c r="D412" i="8"/>
  <c r="D1405" i="8"/>
  <c r="D1381" i="8"/>
  <c r="D3156" i="8"/>
  <c r="D3620" i="8"/>
  <c r="D3605" i="8"/>
  <c r="D2059" i="8"/>
  <c r="D2695" i="8"/>
  <c r="D2014" i="8"/>
  <c r="D1316" i="8"/>
  <c r="D2470" i="8"/>
  <c r="D3490" i="8"/>
  <c r="D505" i="8"/>
  <c r="D307" i="8"/>
  <c r="D52" i="8"/>
  <c r="D2603" i="8"/>
  <c r="D1182" i="8"/>
  <c r="D1519" i="8"/>
  <c r="D1926" i="8"/>
  <c r="D2239" i="8"/>
  <c r="D67" i="8"/>
  <c r="D1053" i="8"/>
  <c r="D194" i="8"/>
  <c r="D2721" i="8"/>
  <c r="D3023" i="8"/>
  <c r="D3018" i="8"/>
  <c r="D2504" i="8"/>
  <c r="D1898" i="8"/>
  <c r="D943" i="8"/>
  <c r="D3718" i="8"/>
  <c r="D3525" i="8"/>
  <c r="D3509" i="8"/>
  <c r="D1161" i="8"/>
  <c r="D358" i="8"/>
  <c r="D259" i="8"/>
  <c r="D3077" i="8"/>
  <c r="D2308" i="8"/>
  <c r="D2104" i="8"/>
  <c r="D1409" i="8"/>
  <c r="D963" i="8"/>
  <c r="D1755" i="8"/>
  <c r="D2547" i="8"/>
  <c r="D2346" i="8"/>
  <c r="D2940" i="8"/>
  <c r="D1727" i="8"/>
  <c r="D2775" i="8"/>
  <c r="D2999" i="8"/>
  <c r="D1204" i="8"/>
  <c r="D2657" i="8"/>
  <c r="D684" i="8"/>
  <c r="D1347" i="8"/>
  <c r="D2763" i="8"/>
  <c r="D350" i="8"/>
  <c r="D2755" i="8"/>
  <c r="D465" i="8"/>
  <c r="D3380" i="8"/>
  <c r="D372" i="8"/>
  <c r="D893" i="8"/>
  <c r="D1417" i="8"/>
  <c r="D3707" i="8"/>
  <c r="D822" i="8"/>
  <c r="D2908" i="8"/>
  <c r="D1811" i="8"/>
  <c r="D3624" i="8"/>
  <c r="D2011" i="8"/>
  <c r="D70" i="8"/>
  <c r="D385" i="8"/>
  <c r="D2325" i="8"/>
  <c r="D1614" i="8"/>
  <c r="D3194" i="8"/>
  <c r="D2600" i="8"/>
  <c r="D2914" i="8"/>
  <c r="D337" i="8"/>
  <c r="D3067" i="8"/>
  <c r="D2064" i="8"/>
  <c r="D1321" i="8"/>
  <c r="D390" i="8"/>
  <c r="D729" i="8"/>
  <c r="D2568" i="8"/>
  <c r="D3732" i="8"/>
  <c r="D2342" i="8"/>
  <c r="D542" i="8"/>
  <c r="D1296" i="8"/>
  <c r="D347" i="8"/>
  <c r="D265" i="8"/>
  <c r="D24" i="8"/>
  <c r="D1048" i="8"/>
  <c r="D2198" i="8"/>
  <c r="D3287" i="8"/>
  <c r="D554" i="8"/>
  <c r="D723" i="8"/>
  <c r="D2285" i="8"/>
  <c r="D3671" i="8"/>
  <c r="D2979" i="8"/>
  <c r="D1223" i="8"/>
  <c r="D1997" i="8"/>
  <c r="D3293" i="8"/>
  <c r="D2450" i="8"/>
  <c r="D1293" i="8"/>
  <c r="D1025" i="8"/>
  <c r="D3261" i="8"/>
  <c r="D13" i="8"/>
  <c r="D1830" i="8"/>
  <c r="D302" i="8"/>
  <c r="D3090" i="8"/>
  <c r="D1297" i="8"/>
  <c r="D619" i="8"/>
  <c r="D2833" i="8"/>
  <c r="D3005" i="8"/>
  <c r="D2178" i="8"/>
  <c r="D2745" i="8"/>
  <c r="D681" i="8"/>
  <c r="D86" i="8"/>
  <c r="D1835" i="8"/>
  <c r="D2279" i="8"/>
  <c r="D242" i="8"/>
  <c r="D2001" i="8"/>
  <c r="D220" i="8"/>
  <c r="D1778" i="8"/>
  <c r="D1437" i="8"/>
  <c r="D1332" i="8"/>
  <c r="D1090" i="8"/>
  <c r="D2021" i="8"/>
  <c r="D3283" i="8"/>
  <c r="D2750" i="8"/>
  <c r="D2964" i="8"/>
  <c r="D550" i="8"/>
  <c r="D1883" i="8"/>
  <c r="D2573" i="8"/>
  <c r="D688" i="8"/>
  <c r="D518" i="8"/>
  <c r="D1931" i="8"/>
  <c r="D208" i="8"/>
  <c r="D981" i="8"/>
  <c r="D2307" i="8"/>
  <c r="D3112" i="8"/>
  <c r="D1930" i="8"/>
  <c r="D1211" i="8"/>
  <c r="D2447" i="8"/>
  <c r="D689" i="8"/>
  <c r="D3576" i="8"/>
  <c r="D3021" i="8"/>
  <c r="D3098" i="8"/>
  <c r="D633" i="8"/>
  <c r="D1979" i="8"/>
  <c r="D642" i="8"/>
  <c r="D1007" i="8"/>
  <c r="D3063" i="8"/>
  <c r="D2780" i="8"/>
  <c r="D3339" i="8"/>
  <c r="D989" i="8"/>
  <c r="D1275" i="8"/>
  <c r="D2235" i="8"/>
  <c r="D2995" i="8"/>
  <c r="D1606" i="8"/>
  <c r="D1079" i="8"/>
  <c r="D921" i="8"/>
  <c r="D1395" i="8"/>
  <c r="D1431" i="8"/>
  <c r="D298" i="8"/>
  <c r="D425" i="8"/>
  <c r="D1118" i="8"/>
  <c r="D3636" i="8"/>
  <c r="D2334" i="8"/>
  <c r="D2373" i="8"/>
  <c r="D2114" i="8"/>
  <c r="D1189" i="8"/>
  <c r="D255" i="8"/>
  <c r="D2134" i="8"/>
  <c r="D209" i="8"/>
  <c r="D179" i="8"/>
  <c r="D175" i="8"/>
  <c r="D2488" i="8"/>
  <c r="D429" i="8"/>
  <c r="D618" i="8"/>
  <c r="D3171" i="8"/>
  <c r="D82" i="8"/>
  <c r="D3600" i="8"/>
  <c r="D2153" i="8"/>
  <c r="D1874" i="8"/>
  <c r="D3626" i="8"/>
  <c r="D98" i="8"/>
  <c r="D1323" i="8"/>
  <c r="D225" i="8"/>
  <c r="D1836" i="8"/>
  <c r="D2243" i="8"/>
  <c r="D440" i="8"/>
  <c r="D2673" i="8"/>
  <c r="D1641" i="8"/>
  <c r="D1155" i="8"/>
  <c r="D1072" i="8"/>
  <c r="D1475" i="8"/>
  <c r="D381" i="8"/>
  <c r="D2214" i="8"/>
  <c r="D2267" i="8"/>
  <c r="D818" i="8"/>
  <c r="D3410" i="8"/>
  <c r="D3322" i="8"/>
  <c r="D254" i="8"/>
  <c r="D1586" i="8"/>
  <c r="D3309" i="8"/>
  <c r="D3566" i="8"/>
  <c r="D2126" i="8"/>
  <c r="D1719" i="8"/>
  <c r="D1762" i="8"/>
  <c r="D2179" i="8"/>
  <c r="D1433" i="8"/>
  <c r="D913" i="8"/>
  <c r="D2365" i="8"/>
  <c r="D3179" i="8"/>
  <c r="D675" i="8"/>
  <c r="D3480" i="8"/>
  <c r="D2947" i="8"/>
  <c r="D2533" i="8"/>
  <c r="D463" i="8"/>
  <c r="D2202" i="8"/>
  <c r="D2471" i="8"/>
  <c r="D28" i="8"/>
  <c r="D666" i="8"/>
  <c r="D3431" i="8"/>
  <c r="D2541" i="8"/>
  <c r="D929" i="8"/>
  <c r="D2354" i="8"/>
  <c r="D3400" i="8"/>
  <c r="D638" i="8"/>
  <c r="D1810" i="8"/>
  <c r="D2521" i="8"/>
  <c r="D867" i="8"/>
  <c r="D2894" i="8"/>
  <c r="D3221" i="8"/>
  <c r="D1634" i="8"/>
  <c r="D2193" i="8"/>
  <c r="D3209" i="8"/>
  <c r="D950" i="8"/>
  <c r="D1202" i="8"/>
  <c r="D703" i="8"/>
  <c r="D640" i="8"/>
  <c r="D2703" i="8"/>
  <c r="D76" i="8"/>
  <c r="D3333" i="8"/>
  <c r="D3268" i="8"/>
  <c r="D1540" i="8"/>
  <c r="D938" i="8"/>
  <c r="D2537" i="8"/>
  <c r="D3494" i="8"/>
  <c r="D2026" i="8"/>
  <c r="D712" i="8"/>
  <c r="D1306" i="8"/>
  <c r="D406" i="8"/>
  <c r="D978" i="8"/>
  <c r="D2895" i="8"/>
  <c r="D3521" i="8"/>
  <c r="D3657" i="8"/>
  <c r="D2996" i="8"/>
  <c r="D3154" i="8"/>
  <c r="D2816" i="8"/>
  <c r="D2082" i="8"/>
  <c r="D3252" i="8"/>
  <c r="D975" i="8"/>
  <c r="D1216" i="8"/>
  <c r="D436" i="8"/>
  <c r="D130" i="8"/>
  <c r="D35" i="8"/>
  <c r="D3184" i="8"/>
  <c r="D2918" i="8"/>
  <c r="D751" i="8"/>
  <c r="D360" i="8"/>
  <c r="D3138" i="8"/>
  <c r="D1393" i="8"/>
  <c r="D2320" i="8"/>
  <c r="D3326" i="8"/>
  <c r="D860" i="8"/>
  <c r="D124" i="8"/>
  <c r="D3385" i="8"/>
  <c r="D1017" i="8"/>
  <c r="D3550" i="8"/>
  <c r="D1010" i="8"/>
  <c r="D3140" i="8"/>
  <c r="D128" i="8"/>
  <c r="D985" i="8"/>
  <c r="D777" i="8"/>
  <c r="D900" i="8"/>
  <c r="D1018" i="8"/>
  <c r="D1856" i="8"/>
  <c r="D165" i="8"/>
  <c r="D511" i="8"/>
  <c r="D443" i="8"/>
  <c r="D2696" i="8"/>
  <c r="D2033" i="8"/>
  <c r="D449" i="8"/>
  <c r="D814" i="8"/>
  <c r="D3679" i="8"/>
  <c r="D1710" i="8"/>
  <c r="D521" i="8"/>
  <c r="D1238" i="8"/>
  <c r="D3403" i="8"/>
  <c r="D654" i="8"/>
  <c r="D481" i="8"/>
  <c r="D1435" i="8"/>
  <c r="D2455" i="8"/>
  <c r="D1494" i="8"/>
  <c r="D3466" i="8"/>
  <c r="D2160" i="8"/>
  <c r="D964" i="8"/>
  <c r="D3595" i="8"/>
  <c r="D1037" i="8"/>
  <c r="D105" i="8"/>
  <c r="D1785" i="8"/>
  <c r="D378" i="8"/>
  <c r="D462" i="8"/>
  <c r="D1514" i="8"/>
  <c r="D1992" i="8"/>
  <c r="D2631" i="8"/>
  <c r="D837" i="8"/>
  <c r="D3733" i="8"/>
  <c r="D1432" i="8"/>
  <c r="D2091" i="8"/>
  <c r="D2315" i="8"/>
  <c r="D199" i="8"/>
  <c r="D2857" i="8"/>
  <c r="D2162" i="8"/>
  <c r="D2141" i="8"/>
  <c r="D2758" i="8"/>
  <c r="D1575" i="8"/>
  <c r="D826" i="8"/>
  <c r="D622" i="8"/>
  <c r="D2562" i="8"/>
  <c r="D1780" i="8"/>
  <c r="D2356" i="8"/>
  <c r="D3180" i="8"/>
  <c r="D2998" i="8"/>
  <c r="D1389" i="8"/>
  <c r="D1891" i="8"/>
  <c r="D223" i="8"/>
  <c r="D317" i="8"/>
  <c r="D3645" i="8"/>
  <c r="D1962" i="8"/>
  <c r="D168" i="8"/>
  <c r="D103" i="8"/>
  <c r="D471" i="8"/>
  <c r="D793" i="8"/>
  <c r="D2468" i="8"/>
  <c r="D660" i="8"/>
  <c r="D119" i="8"/>
  <c r="D1525" i="8"/>
  <c r="D91" i="8"/>
  <c r="D348" i="8"/>
  <c r="D1448" i="8"/>
  <c r="D3396" i="8"/>
  <c r="D976" i="8"/>
  <c r="D3228" i="8"/>
  <c r="D593" i="8"/>
  <c r="D58" i="8"/>
  <c r="D1138" i="8"/>
  <c r="D2926" i="8"/>
  <c r="D1966" i="8"/>
  <c r="D920" i="8"/>
  <c r="D2829" i="8"/>
  <c r="D1229" i="8"/>
  <c r="D1623" i="8"/>
  <c r="D2903" i="8"/>
  <c r="D2943" i="8"/>
  <c r="D3009" i="8"/>
  <c r="D2740" i="8"/>
  <c r="D319" i="8"/>
  <c r="D2386" i="8"/>
  <c r="D517" i="8"/>
  <c r="D2932" i="8"/>
  <c r="D1711" i="8"/>
  <c r="D2863" i="8"/>
  <c r="D2992" i="8"/>
  <c r="D1434" i="8"/>
  <c r="D606" i="8"/>
  <c r="D2466" i="8"/>
  <c r="D778" i="8"/>
  <c r="D2122" i="8"/>
  <c r="D534" i="8"/>
  <c r="D2029" i="8"/>
  <c r="D2851" i="8"/>
  <c r="D2506" i="8"/>
  <c r="D2522" i="8"/>
  <c r="D2" i="8"/>
  <c r="D1416" i="8"/>
  <c r="D3253" i="8"/>
  <c r="D1407" i="8"/>
  <c r="D590" i="8"/>
  <c r="D1188" i="8"/>
  <c r="D3432" i="8"/>
  <c r="D1402" i="8"/>
  <c r="D1892" i="8"/>
  <c r="D562" i="8"/>
  <c r="D2958" i="8"/>
  <c r="D306" i="8"/>
  <c r="D3710" i="8"/>
  <c r="D3548" i="8"/>
  <c r="D3201" i="8"/>
  <c r="D2527" i="8"/>
  <c r="D570" i="8"/>
  <c r="D958" i="8"/>
  <c r="D249" i="8"/>
  <c r="D1501" i="8"/>
  <c r="D3152" i="8"/>
  <c r="D3497" i="8"/>
  <c r="D1380" i="8"/>
  <c r="D2534" i="8"/>
  <c r="D2472" i="8"/>
  <c r="D1557" i="8"/>
  <c r="D113" i="8"/>
  <c r="D2257" i="8"/>
  <c r="D75" i="8"/>
  <c r="D3409" i="8"/>
  <c r="D1759" i="8"/>
  <c r="D1639" i="8"/>
  <c r="D2467" i="8"/>
  <c r="D1507" i="8"/>
  <c r="D3168" i="8"/>
  <c r="D3717" i="8"/>
  <c r="D3017" i="8"/>
  <c r="D3603" i="8"/>
  <c r="D2101" i="8"/>
  <c r="D3263" i="8"/>
  <c r="D1706" i="8"/>
  <c r="D157" i="8"/>
  <c r="D1807" i="8"/>
  <c r="D2322" i="8"/>
  <c r="D1413" i="8"/>
  <c r="D2542" i="8"/>
  <c r="D2274" i="8"/>
  <c r="D3254" i="8"/>
  <c r="D314" i="8"/>
  <c r="D2081" i="8"/>
  <c r="D647" i="8"/>
  <c r="D890" i="8"/>
  <c r="D1470" i="8"/>
  <c r="D2299" i="8"/>
  <c r="D2097" i="8"/>
  <c r="D3248" i="8"/>
  <c r="D1518" i="8"/>
  <c r="D1462" i="8"/>
  <c r="D432" i="8"/>
  <c r="D3593" i="8"/>
  <c r="D1690" i="8"/>
  <c r="D2647" i="8"/>
  <c r="D739" i="8"/>
  <c r="D3346" i="8"/>
  <c r="D22" i="8"/>
  <c r="D3043" i="8"/>
  <c r="D3424" i="8"/>
  <c r="D1357" i="8"/>
  <c r="D1949" i="8"/>
  <c r="D459" i="8"/>
  <c r="D2280" i="8"/>
  <c r="D1335" i="8"/>
  <c r="D2622" i="8"/>
  <c r="D3549" i="8"/>
  <c r="D1184" i="8"/>
  <c r="D456" i="8"/>
  <c r="D1477" i="8"/>
  <c r="D1456" i="8"/>
  <c r="D1809" i="8"/>
  <c r="D604" i="8"/>
  <c r="D2840" i="8"/>
  <c r="D1311" i="8"/>
  <c r="D823" i="8"/>
  <c r="D841" i="8"/>
  <c r="D1517" i="8"/>
  <c r="D2359" i="8"/>
  <c r="D181" i="8"/>
  <c r="D1743" i="8"/>
  <c r="D160" i="8"/>
  <c r="D1058" i="8"/>
  <c r="D43" i="8"/>
  <c r="D3689" i="8"/>
  <c r="D2593" i="8"/>
  <c r="D1607" i="8"/>
  <c r="D993" i="8"/>
  <c r="D2897" i="8"/>
  <c r="D320" i="8"/>
  <c r="D3374" i="8"/>
  <c r="D2500" i="8"/>
  <c r="D1563" i="8"/>
  <c r="D828" i="8"/>
  <c r="D1527" i="8"/>
  <c r="D547" i="8"/>
  <c r="D3522" i="8"/>
  <c r="D2836" i="8"/>
  <c r="D1984" i="8"/>
  <c r="D1268" i="8"/>
  <c r="D527" i="8"/>
  <c r="D99" i="8"/>
  <c r="D881" i="8"/>
  <c r="D1009" i="8"/>
  <c r="D2873" i="8"/>
  <c r="D2396" i="8"/>
  <c r="D3147" i="8"/>
  <c r="D3705" i="8"/>
  <c r="D174" i="8"/>
  <c r="D1837" i="8"/>
  <c r="D1457" i="8"/>
  <c r="D698" i="8"/>
  <c r="D2814" i="8"/>
  <c r="D129" i="8"/>
  <c r="D2906" i="8"/>
  <c r="D830" i="8"/>
  <c r="D553" i="8"/>
  <c r="D357" i="8"/>
  <c r="D1767" i="8"/>
  <c r="D3237" i="8"/>
  <c r="D3570" i="8"/>
  <c r="D2189" i="8"/>
  <c r="D775" i="8"/>
  <c r="D1596" i="8"/>
  <c r="D2723" i="8"/>
  <c r="D2630" i="8"/>
  <c r="D2290" i="8"/>
  <c r="D3124" i="8"/>
  <c r="D139" i="8"/>
  <c r="D323" i="8"/>
  <c r="D60" i="8"/>
  <c r="D1965" i="8"/>
  <c r="D3402" i="8"/>
  <c r="D634" i="8"/>
  <c r="D1478" i="8"/>
  <c r="D977" i="8"/>
  <c r="D2546" i="8"/>
  <c r="D2625" i="8"/>
  <c r="D2382" i="8"/>
  <c r="D1353" i="8"/>
  <c r="D3231" i="8"/>
  <c r="D3577" i="8"/>
  <c r="D3622" i="8"/>
  <c r="D3616" i="8"/>
  <c r="D1775" i="8"/>
  <c r="D2805" i="8"/>
  <c r="D3656" i="8"/>
  <c r="D180" i="8"/>
  <c r="D121" i="8"/>
  <c r="D3183" i="8"/>
  <c r="D1994" i="8"/>
  <c r="D980" i="8"/>
  <c r="D362" i="8"/>
  <c r="D2799" i="8"/>
  <c r="D3631" i="8"/>
  <c r="D1756" i="8"/>
  <c r="D3344" i="8"/>
  <c r="D3128" i="8"/>
  <c r="D247" i="8"/>
  <c r="D732" i="8"/>
  <c r="D1973" i="8"/>
  <c r="D3414" i="8"/>
  <c r="D513" i="8"/>
  <c r="D956" i="8"/>
  <c r="D3091" i="8"/>
  <c r="D3273" i="8"/>
  <c r="D1266" i="8"/>
  <c r="D2271" i="8"/>
  <c r="D1333" i="8"/>
  <c r="D3189" i="8"/>
  <c r="D200" i="8"/>
  <c r="D2559" i="8"/>
  <c r="D632" i="8"/>
  <c r="D2229" i="8"/>
  <c r="D2544" i="8"/>
  <c r="D2220" i="8"/>
  <c r="D1678" i="8"/>
  <c r="D1169" i="8"/>
  <c r="D897" i="8"/>
  <c r="D1554" i="8"/>
  <c r="D1445" i="8"/>
  <c r="D2027" i="8"/>
  <c r="D3433" i="8"/>
  <c r="D817" i="8"/>
  <c r="D1734" i="8"/>
  <c r="D150" i="8"/>
  <c r="D3010" i="8"/>
  <c r="D3493" i="8"/>
  <c r="D3641" i="8"/>
  <c r="D1032" i="8"/>
  <c r="D3453" i="8"/>
  <c r="D152" i="8"/>
  <c r="D3607" i="8"/>
  <c r="D3345" i="8"/>
  <c r="D267" i="8"/>
  <c r="D1881" i="8"/>
  <c r="D3148" i="8"/>
  <c r="D1941" i="8"/>
  <c r="D493" i="8"/>
  <c r="D996" i="8"/>
  <c r="D1269" i="8"/>
  <c r="D1167" i="8"/>
  <c r="D667" i="8"/>
  <c r="D1744" i="8"/>
  <c r="D2917" i="8"/>
  <c r="D1970" i="8"/>
  <c r="D3579" i="8"/>
  <c r="D805" i="8"/>
  <c r="D3582" i="8"/>
  <c r="D1677" i="8"/>
  <c r="D2747" i="8"/>
  <c r="D3545" i="8"/>
  <c r="D1351" i="8"/>
  <c r="D136" i="8"/>
  <c r="D1248" i="8"/>
  <c r="D1122" i="8"/>
  <c r="D1656" i="8"/>
  <c r="D2231" i="8"/>
  <c r="D2024" i="8"/>
  <c r="D926" i="8"/>
  <c r="D1232" i="8"/>
  <c r="D3088" i="8"/>
  <c r="D2465" i="8"/>
  <c r="D3653" i="8"/>
  <c r="D3416" i="8"/>
  <c r="D3107" i="8"/>
  <c r="D3726" i="8"/>
  <c r="D1746" i="8"/>
  <c r="D2576" i="8"/>
  <c r="D1701" i="8"/>
  <c r="D2691" i="8"/>
  <c r="D840" i="8"/>
  <c r="D455" i="8"/>
  <c r="D3670" i="8"/>
  <c r="D845" i="8"/>
  <c r="D78" i="8"/>
  <c r="D3276" i="8"/>
  <c r="D1565" i="8"/>
  <c r="D1580" i="8"/>
  <c r="D224" i="8"/>
  <c r="D3468" i="8"/>
  <c r="D374" i="8"/>
  <c r="D2360" i="8"/>
  <c r="D1181" i="8"/>
  <c r="D3302" i="8"/>
  <c r="D2977" i="8"/>
  <c r="D2337" i="8"/>
  <c r="D833" i="8"/>
  <c r="D221" i="8"/>
  <c r="D1855" i="8"/>
  <c r="D2835" i="8"/>
  <c r="D3288" i="8"/>
  <c r="D1034" i="8"/>
  <c r="D2667" i="8"/>
  <c r="D757" i="8"/>
  <c r="D842" i="8"/>
  <c r="D1301" i="8"/>
  <c r="D3544" i="8"/>
  <c r="D2242" i="8"/>
  <c r="D2484" i="8"/>
  <c r="D37" i="8"/>
  <c r="D47" i="8"/>
  <c r="D2557" i="8"/>
  <c r="D2790" i="8"/>
  <c r="D431" i="8"/>
  <c r="D1648" i="8"/>
  <c r="D2804" i="8"/>
  <c r="D1725" i="8"/>
  <c r="D112" i="8"/>
  <c r="D721" i="8"/>
  <c r="D2418" i="8"/>
  <c r="D3245" i="8"/>
  <c r="D285" i="8"/>
  <c r="D2080" i="8"/>
  <c r="D832" i="8"/>
  <c r="D2352" i="8"/>
  <c r="D2682" i="8"/>
  <c r="D957" i="8"/>
  <c r="D849" i="8"/>
  <c r="D3256" i="8"/>
  <c r="D2530" i="8"/>
  <c r="D2589" i="8"/>
  <c r="D600" i="8"/>
  <c r="D824" i="8"/>
  <c r="D1951" i="8"/>
  <c r="D3405" i="8"/>
  <c r="D2672" i="8"/>
  <c r="D3265" i="8"/>
  <c r="D3030" i="8"/>
  <c r="D1523" i="8"/>
  <c r="D2197" i="8"/>
  <c r="D766" i="8"/>
  <c r="D3266" i="8"/>
  <c r="D169" i="8"/>
  <c r="D3375" i="8"/>
  <c r="D3053" i="8"/>
  <c r="D2070" i="8"/>
  <c r="D2480" i="8"/>
  <c r="D2681" i="8"/>
  <c r="D1686" i="8"/>
  <c r="D2636" i="8"/>
  <c r="D825" i="8"/>
  <c r="D3040" i="8"/>
  <c r="D3654" i="8"/>
  <c r="D879" i="8"/>
  <c r="D1932" i="8"/>
  <c r="D612" i="8"/>
  <c r="D1549" i="8"/>
  <c r="D1617" i="8"/>
  <c r="D1336" i="8"/>
  <c r="D373" i="8"/>
  <c r="D3557" i="8"/>
  <c r="D1942" i="8"/>
  <c r="D2206" i="8"/>
  <c r="D888" i="8"/>
  <c r="D2501" i="8"/>
  <c r="D2936" i="8"/>
  <c r="D3247" i="8"/>
  <c r="D2146" i="8"/>
  <c r="D2933" i="8"/>
  <c r="D1696" i="8"/>
  <c r="D3239" i="8"/>
  <c r="D2590" i="8"/>
  <c r="D1274" i="8"/>
  <c r="D1637" i="8"/>
  <c r="D1459" i="8"/>
  <c r="D915" i="8"/>
  <c r="D2669" i="8"/>
  <c r="D3035" i="8"/>
  <c r="D3711" i="8"/>
  <c r="D1838" i="8"/>
  <c r="D3054" i="8"/>
  <c r="D40" i="8"/>
  <c r="D535" i="8"/>
  <c r="D188" i="8"/>
  <c r="D2300" i="8"/>
  <c r="D2577" i="8"/>
  <c r="D2551" i="8"/>
  <c r="D2343" i="8"/>
  <c r="D1051" i="8"/>
  <c r="D699" i="8"/>
  <c r="D100" i="8"/>
  <c r="D3222" i="8"/>
  <c r="D415" i="8"/>
  <c r="D2152" i="8"/>
  <c r="D650" i="8"/>
  <c r="D3108" i="8"/>
  <c r="D1148" i="8"/>
  <c r="D2187" i="8"/>
  <c r="D889" i="8"/>
  <c r="D3359" i="8"/>
  <c r="D3022" i="8"/>
  <c r="D3412" i="8"/>
  <c r="D3139" i="8"/>
  <c r="D3286" i="8"/>
  <c r="D2022" i="8"/>
  <c r="D39" i="8"/>
  <c r="D3208" i="8"/>
  <c r="D3164" i="8"/>
  <c r="D3627" i="8"/>
  <c r="D3672" i="8"/>
  <c r="D384" i="8"/>
  <c r="D2754" i="8"/>
  <c r="D3650" i="8"/>
  <c r="D55" i="8"/>
  <c r="D2800" i="8"/>
  <c r="D1439" i="8"/>
  <c r="D1609" i="8"/>
  <c r="D3738" i="8"/>
  <c r="D1307" i="8"/>
  <c r="D92" i="8"/>
  <c r="D1328" i="8"/>
  <c r="D2086" i="8"/>
  <c r="D163" i="8"/>
  <c r="D2456" i="8"/>
  <c r="D1520" i="8"/>
  <c r="D2684" i="8"/>
  <c r="D2177" i="8"/>
  <c r="D2173" i="8"/>
  <c r="D2311" i="8"/>
  <c r="D1720" i="8"/>
  <c r="D482" i="8"/>
  <c r="D2058" i="8"/>
  <c r="D2609" i="8"/>
  <c r="D1537" i="8"/>
  <c r="D872" i="8"/>
  <c r="D2186" i="8"/>
  <c r="D2743" i="8"/>
  <c r="D243" i="8"/>
  <c r="D930" i="8"/>
  <c r="D2421" i="8"/>
  <c r="D1219" i="8"/>
  <c r="D1324" i="8"/>
  <c r="D2323" i="8"/>
  <c r="D1059" i="8"/>
  <c r="D1533" i="8"/>
  <c r="D806" i="8"/>
  <c r="D451" i="8"/>
  <c r="D2098" i="8"/>
  <c r="D3727" i="8"/>
  <c r="D3240" i="8"/>
  <c r="D1724" i="8"/>
  <c r="D1782" i="8"/>
  <c r="D2976" i="8"/>
  <c r="D3407" i="8"/>
  <c r="D2963" i="8"/>
  <c r="D2778" i="8"/>
  <c r="D580" i="8"/>
  <c r="D421" i="8"/>
  <c r="D2155" i="8"/>
  <c r="D2057" i="8"/>
  <c r="D946" i="8"/>
  <c r="D2211" i="8"/>
  <c r="D3575" i="8"/>
  <c r="D2730" i="8"/>
  <c r="D1441" i="8"/>
  <c r="D30" i="8"/>
  <c r="D2954" i="8"/>
  <c r="D3426" i="8"/>
  <c r="D701" i="8"/>
  <c r="D2281" i="8"/>
  <c r="D3702" i="8"/>
  <c r="D1364" i="8"/>
  <c r="D196" i="8"/>
  <c r="D8" i="8"/>
  <c r="D1325" i="8"/>
  <c r="D2428" i="8"/>
  <c r="D3186" i="8"/>
  <c r="D670" i="8"/>
  <c r="D1935" i="8"/>
  <c r="D1709" i="8"/>
  <c r="D1050" i="8"/>
  <c r="D895" i="8"/>
  <c r="D693" i="8"/>
  <c r="D192" i="8"/>
  <c r="D762" i="8"/>
  <c r="D653" i="8"/>
  <c r="D2663" i="8"/>
  <c r="D2374" i="8"/>
  <c r="D2348" i="8"/>
  <c r="D2627" i="8"/>
  <c r="D2613" i="8"/>
  <c r="D1603" i="8"/>
  <c r="D2394" i="8"/>
  <c r="D2826" i="8"/>
  <c r="D794" i="8"/>
  <c r="D2324" i="8"/>
  <c r="D1086" i="8"/>
  <c r="D3033" i="8"/>
  <c r="D1391" i="8"/>
  <c r="D2135" i="8"/>
  <c r="D2969" i="8"/>
  <c r="D882" i="8"/>
  <c r="D1205" i="8"/>
  <c r="D2292" i="8"/>
  <c r="D1247" i="8"/>
  <c r="D2586" i="8"/>
  <c r="D354" i="8"/>
  <c r="D466" i="8"/>
  <c r="D1049" i="8"/>
  <c r="D2182" i="8"/>
  <c r="D185" i="8"/>
  <c r="D2406" i="8"/>
  <c r="D245" i="8"/>
  <c r="D3532" i="8"/>
  <c r="D117" i="8"/>
  <c r="D1331" i="8"/>
  <c r="D624" i="8"/>
  <c r="D371" i="8"/>
  <c r="D3122" i="8"/>
  <c r="D3025" i="8"/>
  <c r="D3413" i="8"/>
  <c r="D388" i="8"/>
  <c r="D3508" i="8"/>
  <c r="D3533" i="8"/>
  <c r="D445" i="8"/>
  <c r="D1735" i="8"/>
  <c r="D2312" i="8"/>
  <c r="D2948" i="8"/>
  <c r="D2164" i="8"/>
  <c r="D316" i="8"/>
  <c r="D83" i="8"/>
  <c r="D1406" i="8"/>
  <c r="D509" i="8"/>
  <c r="D2707" i="8"/>
  <c r="D263" i="8"/>
  <c r="D2982" i="8"/>
  <c r="D1700" i="8"/>
  <c r="D850" i="8"/>
  <c r="D1846" i="8"/>
  <c r="D90" i="8"/>
  <c r="D2351" i="8"/>
  <c r="D251" i="8"/>
  <c r="D2008" i="8"/>
  <c r="D1530" i="8"/>
  <c r="D608" i="8"/>
  <c r="D2111" i="8"/>
  <c r="D1792" i="8"/>
  <c r="D2880" i="8"/>
  <c r="D2171" i="8"/>
  <c r="D2942" i="8"/>
  <c r="D767" i="8"/>
  <c r="D1281" i="8"/>
  <c r="D2693" i="8"/>
  <c r="D2666" i="8"/>
  <c r="D3337" i="8"/>
  <c r="D3418" i="8"/>
  <c r="D1998" i="8"/>
  <c r="D863" i="8"/>
  <c r="D574" i="8"/>
  <c r="D2148" i="8"/>
  <c r="D326" i="8"/>
  <c r="D1322" i="8"/>
  <c r="D3332" i="8"/>
  <c r="D416" i="8"/>
  <c r="D1180" i="8"/>
  <c r="D3125" i="8"/>
  <c r="D844" i="8"/>
  <c r="D2264" i="8"/>
  <c r="D499" i="8"/>
  <c r="D2475" i="8"/>
  <c r="D3304" i="8"/>
  <c r="D327" i="8"/>
  <c r="D2930" i="8"/>
  <c r="D216" i="8"/>
  <c r="D131" i="8"/>
  <c r="D2883" i="8"/>
  <c r="D3340" i="8"/>
  <c r="D1224" i="8"/>
  <c r="D2991" i="8"/>
  <c r="D3609" i="8"/>
  <c r="D702" i="8"/>
  <c r="D3584" i="8"/>
  <c r="D2848" i="8"/>
  <c r="D1567" i="8"/>
  <c r="D2416" i="8"/>
  <c r="D1110" i="8"/>
  <c r="D414" i="8"/>
  <c r="D276" i="8"/>
  <c r="D685" i="8"/>
  <c r="D780" i="8"/>
  <c r="D2867" i="8"/>
  <c r="D407" i="8"/>
  <c r="D3269" i="8"/>
  <c r="D1401" i="8"/>
  <c r="D1788" i="8"/>
  <c r="D1946" i="8"/>
  <c r="D2875" i="8"/>
  <c r="D2156" i="8"/>
  <c r="D1535" i="8"/>
  <c r="D1152" i="8"/>
  <c r="D876" i="8"/>
  <c r="D1081" i="8"/>
  <c r="D3214" i="8"/>
  <c r="D1531" i="8"/>
  <c r="D2397" i="8"/>
  <c r="D2350" i="8"/>
  <c r="D662" i="8"/>
  <c r="D1982" i="8"/>
  <c r="D2988" i="8"/>
  <c r="D84" i="8"/>
  <c r="D1425" i="8"/>
  <c r="D756" i="8"/>
  <c r="D399" i="8"/>
  <c r="D3553" i="8"/>
  <c r="D810" i="8"/>
  <c r="D2567" i="8"/>
  <c r="D1631" i="8"/>
  <c r="D585" i="8"/>
  <c r="D2434" i="8"/>
  <c r="D2117" i="8"/>
  <c r="D540" i="8"/>
  <c r="D87" i="8"/>
  <c r="D2034" i="8"/>
  <c r="D2326" i="8"/>
  <c r="D2042" i="8"/>
  <c r="D2561" i="8"/>
  <c r="D595" i="8"/>
  <c r="D1039" i="8"/>
  <c r="D1041" i="8"/>
  <c r="D1410" i="8"/>
  <c r="D1082" i="8"/>
  <c r="D2417" i="8"/>
  <c r="D531" i="8"/>
  <c r="D1142" i="8"/>
  <c r="D2585" i="8"/>
  <c r="D953" i="8"/>
  <c r="D2384" i="8"/>
  <c r="D262" i="8"/>
  <c r="D1260" i="8"/>
  <c r="D2106" i="8"/>
  <c r="D2832" i="8"/>
  <c r="D2797" i="8"/>
  <c r="D1377" i="8"/>
  <c r="D270" i="8"/>
  <c r="D2748" i="8"/>
  <c r="D1257" i="8"/>
  <c r="D2005" i="8"/>
  <c r="D2282" i="8"/>
  <c r="D708" i="8"/>
  <c r="D1692" i="8"/>
  <c r="D3236" i="8"/>
  <c r="D2916" i="8"/>
  <c r="D3056" i="8"/>
  <c r="D46" i="8"/>
  <c r="D2929" i="8"/>
  <c r="D2030" i="8"/>
  <c r="D282" i="8"/>
  <c r="D1412" i="8"/>
  <c r="D3449" i="8"/>
  <c r="D1158" i="8"/>
  <c r="D3244" i="8"/>
  <c r="D1104" i="8"/>
  <c r="D1212" i="8"/>
  <c r="D1308" i="8"/>
  <c r="D3462" i="8"/>
  <c r="D2687" i="8"/>
  <c r="D706" i="8"/>
  <c r="D1164" i="8"/>
  <c r="D569" i="8"/>
  <c r="D2757" i="8"/>
  <c r="D3713" i="8"/>
  <c r="D2392" i="8"/>
  <c r="D151" i="8"/>
  <c r="D3327" i="8"/>
  <c r="D696" i="8"/>
  <c r="D1939" i="8"/>
  <c r="D1345" i="8"/>
  <c r="D3697" i="8"/>
  <c r="D1366" i="8"/>
  <c r="D2379" i="8"/>
  <c r="D1506" i="8"/>
  <c r="D857" i="8"/>
  <c r="D1611" i="8"/>
  <c r="D2858" i="8"/>
  <c r="D3662" i="8"/>
  <c r="D293" i="8"/>
  <c r="D1599" i="8"/>
  <c r="D1726" i="8"/>
  <c r="D665" i="8"/>
  <c r="D3321" i="8"/>
  <c r="D917" i="8"/>
  <c r="D1622" i="8"/>
  <c r="D2646" i="8"/>
  <c r="D2038" i="8"/>
  <c r="D74" i="8"/>
  <c r="D2139" i="8"/>
  <c r="D252" i="8"/>
  <c r="D3640" i="8"/>
  <c r="D1183" i="8"/>
  <c r="D3632" i="8"/>
  <c r="D2959" i="8"/>
  <c r="D2289" i="8"/>
  <c r="D3078" i="8"/>
  <c r="D1486" i="8"/>
  <c r="D677" i="8"/>
  <c r="D3663" i="8"/>
  <c r="D1468" i="8"/>
  <c r="D2841" i="8"/>
  <c r="D31" i="8"/>
  <c r="D2142" i="8"/>
  <c r="D2116" i="8"/>
  <c r="D2404" i="8"/>
  <c r="D2770" i="8"/>
  <c r="D1687" i="8"/>
  <c r="D1455" i="8"/>
  <c r="D742" i="8"/>
  <c r="D2103" i="8"/>
  <c r="D2113" i="8"/>
  <c r="D2983" i="8"/>
  <c r="D663" i="8"/>
  <c r="D1668" i="8"/>
  <c r="D2165" i="8"/>
  <c r="D1404" i="8"/>
  <c r="D3109" i="8"/>
  <c r="D2886" i="8"/>
  <c r="D3598" i="8"/>
  <c r="D438" i="8"/>
  <c r="D603" i="8"/>
  <c r="D1628" i="8"/>
  <c r="D1861" i="8"/>
  <c r="D3182" i="8"/>
  <c r="D2085" i="8"/>
  <c r="D3458" i="8"/>
  <c r="D3365" i="8"/>
  <c r="D3389" i="8"/>
  <c r="D1793" i="8"/>
  <c r="D3278" i="8"/>
  <c r="D1295" i="8"/>
  <c r="D3722" i="8"/>
  <c r="D1426" i="8"/>
  <c r="D2108" i="8"/>
  <c r="D2861" i="8"/>
  <c r="D1828" i="8"/>
  <c r="D1287" i="8"/>
  <c r="D519" i="8"/>
  <c r="D2661" i="8"/>
  <c r="D765" i="8"/>
  <c r="D25" i="8"/>
  <c r="D135" i="8"/>
  <c r="D349" i="8"/>
  <c r="D370" i="8"/>
  <c r="D1967" i="8"/>
  <c r="D1955" i="8"/>
  <c r="D2697" i="8"/>
  <c r="D3518" i="8"/>
  <c r="D905" i="8"/>
  <c r="D504" i="8"/>
  <c r="D1400" i="8"/>
  <c r="D3667" i="8"/>
  <c r="D2716" i="8"/>
  <c r="D71" i="8"/>
  <c r="D2232" i="8"/>
  <c r="D1784" i="8"/>
  <c r="D1094" i="8"/>
  <c r="D3045" i="8"/>
  <c r="D715" i="8"/>
  <c r="D3349" i="8"/>
  <c r="D1615" i="8"/>
  <c r="D3334" i="8"/>
  <c r="D417" i="8"/>
  <c r="D1532" i="8"/>
  <c r="D1943" i="8"/>
  <c r="D3143" i="8"/>
  <c r="D2635" i="8"/>
  <c r="D725" i="8"/>
  <c r="D3367" i="8"/>
  <c r="D1069" i="8"/>
  <c r="D1259" i="8"/>
  <c r="D2885" i="8"/>
  <c r="D1026" i="8"/>
  <c r="D1650" i="8"/>
  <c r="D2662" i="8"/>
  <c r="D238" i="8"/>
  <c r="D215" i="8"/>
  <c r="D2068" i="8"/>
  <c r="D2688" i="8"/>
  <c r="D2525" i="8"/>
  <c r="D1867" i="8"/>
  <c r="D402" i="8"/>
  <c r="D741" i="8"/>
  <c r="D3507" i="8"/>
  <c r="D2671" i="8"/>
  <c r="D203" i="8"/>
  <c r="D1141" i="8"/>
  <c r="D1774" i="8"/>
  <c r="D1294" i="8"/>
  <c r="D1779" i="8"/>
  <c r="D1698" i="8"/>
  <c r="D2678" i="8"/>
  <c r="D1879" i="8"/>
  <c r="D3633" i="8"/>
  <c r="D591" i="8"/>
  <c r="D807" i="8"/>
  <c r="D2405" i="8"/>
  <c r="D2927" i="8"/>
  <c r="D1191" i="8"/>
  <c r="D3206" i="8"/>
  <c r="D1642" i="8"/>
  <c r="D2258" i="8"/>
  <c r="D2184" i="8"/>
  <c r="D382" i="8"/>
  <c r="D1414" i="8"/>
  <c r="D3320" i="8"/>
  <c r="D3537" i="8"/>
  <c r="D1765" i="8"/>
  <c r="D1342" i="8"/>
  <c r="D1174" i="8"/>
  <c r="D3157" i="8"/>
  <c r="D1608" i="8"/>
  <c r="D1302" i="8"/>
  <c r="D2222" i="8"/>
  <c r="D851" i="8"/>
  <c r="D2230" i="8"/>
  <c r="D1454" i="8"/>
  <c r="D3258" i="8"/>
  <c r="D2461" i="8"/>
  <c r="D533" i="8"/>
  <c r="D1092" i="8"/>
  <c r="D3024" i="8"/>
  <c r="D2972" i="8"/>
  <c r="D710" i="8"/>
  <c r="D2458" i="8"/>
  <c r="D1197" i="8"/>
  <c r="D1160" i="8"/>
  <c r="D1789" i="8"/>
  <c r="D72" i="8"/>
  <c r="D2931" i="8"/>
  <c r="D2439" i="8"/>
  <c r="D2483" i="8"/>
  <c r="D1511" i="8"/>
  <c r="D2213" i="8"/>
  <c r="D1798" i="8"/>
  <c r="D2099" i="8"/>
  <c r="D3560" i="8"/>
  <c r="D184" i="8"/>
  <c r="D731" i="8"/>
  <c r="D3011" i="8"/>
  <c r="D2516" i="8"/>
  <c r="D2511" i="8"/>
  <c r="D605" i="8"/>
  <c r="D3200" i="8"/>
  <c r="D507" i="8"/>
  <c r="D2789" i="8"/>
  <c r="D397" i="8"/>
  <c r="D2076" i="8"/>
  <c r="D1132" i="8"/>
  <c r="D2102" i="8"/>
  <c r="D1610" i="8"/>
  <c r="D239" i="8"/>
  <c r="D1088" i="8"/>
  <c r="D2319" i="8"/>
  <c r="D2015" i="8"/>
  <c r="D1355" i="8"/>
  <c r="D2196" i="8"/>
  <c r="D3482" i="8"/>
  <c r="D3602" i="8"/>
  <c r="D3438" i="8"/>
  <c r="D2845" i="8"/>
  <c r="D728" i="8"/>
  <c r="D680" i="8"/>
  <c r="D2003" i="8"/>
  <c r="D954" i="8"/>
  <c r="D2700" i="8"/>
  <c r="D3441" i="8"/>
  <c r="D1936" i="8"/>
  <c r="D3569" i="8"/>
  <c r="D345" i="8"/>
  <c r="D2862" i="8"/>
  <c r="D1242" i="8"/>
  <c r="D2415" i="8"/>
  <c r="D3267" i="8"/>
  <c r="D1137" i="8"/>
  <c r="D796" i="8"/>
  <c r="D3008" i="8"/>
  <c r="D1361" i="8"/>
  <c r="D2713" i="8"/>
  <c r="D1908" i="8"/>
  <c r="D1480" i="8"/>
  <c r="D705" i="8"/>
  <c r="D3628" i="8"/>
  <c r="D1866" i="8"/>
  <c r="D2363" i="8"/>
  <c r="D991" i="8"/>
  <c r="D924" i="8"/>
  <c r="D159" i="8"/>
  <c r="D3443" i="8"/>
  <c r="D743" i="8"/>
  <c r="D1115" i="8"/>
  <c r="D3721" i="8"/>
  <c r="D2247" i="8"/>
  <c r="D1482" i="8"/>
  <c r="D3352" i="8"/>
  <c r="D2711" i="8"/>
  <c r="D1831" i="8"/>
  <c r="D601" i="8"/>
  <c r="D2012" i="8"/>
  <c r="D3225" i="8"/>
  <c r="D2710" i="8"/>
  <c r="D1852" i="8"/>
  <c r="D2887" i="8"/>
  <c r="D1467" i="8"/>
  <c r="D3568" i="8"/>
  <c r="D1438" i="8"/>
  <c r="D1981" i="8"/>
  <c r="D2051" i="8"/>
  <c r="D602" i="8"/>
  <c r="D297" i="8"/>
  <c r="D2738" i="8"/>
  <c r="D3685" i="8"/>
  <c r="D2190" i="8"/>
  <c r="D1171" i="8"/>
  <c r="D3142" i="8"/>
  <c r="D3170" i="8"/>
  <c r="D1681" i="8"/>
  <c r="D1940" i="8"/>
  <c r="D668" i="8"/>
  <c r="D2441" i="8"/>
  <c r="D452" i="8"/>
  <c r="D1047" i="8"/>
  <c r="D2045" i="8"/>
  <c r="D2431" i="8"/>
  <c r="D1822" i="8"/>
  <c r="D1950" i="8"/>
  <c r="D2151" i="8"/>
  <c r="D3690" i="8"/>
  <c r="D564" i="8"/>
  <c r="D498" i="8"/>
  <c r="D1314" i="8"/>
  <c r="D2010" i="8"/>
  <c r="D264" i="8"/>
  <c r="D2787" i="8"/>
  <c r="D3578" i="8"/>
  <c r="D1897" i="8"/>
  <c r="D2240" i="8"/>
  <c r="D1566" i="8"/>
  <c r="D1738" i="8"/>
  <c r="D1493" i="8"/>
  <c r="D1880" i="8"/>
  <c r="D413" i="8"/>
  <c r="D700" i="8"/>
  <c r="D1304" i="8"/>
  <c r="D3473" i="8"/>
  <c r="D2503" i="8"/>
  <c r="D3419" i="8"/>
  <c r="D2843" i="8"/>
  <c r="D3129" i="8"/>
  <c r="D1920" i="8"/>
  <c r="D3350" i="8"/>
  <c r="D575" i="8"/>
  <c r="D1584" i="8"/>
  <c r="D1213" i="8"/>
  <c r="D2653" i="8"/>
  <c r="D3552" i="8"/>
  <c r="D925" i="8"/>
  <c r="D1163" i="8"/>
  <c r="D2284" i="8"/>
  <c r="D2241" i="8"/>
  <c r="D1319" i="8"/>
  <c r="D2776" i="8"/>
  <c r="D1190" i="8"/>
  <c r="D2938" i="8"/>
  <c r="D2181" i="8"/>
  <c r="D528" i="8"/>
  <c r="D3597" i="8"/>
  <c r="D3199" i="8"/>
  <c r="D240" i="8"/>
  <c r="D2120" i="8"/>
  <c r="D2619" i="8"/>
  <c r="D1675" i="8"/>
  <c r="D1618" i="8"/>
  <c r="D2191" i="8"/>
  <c r="D3260" i="8"/>
  <c r="D3439" i="8"/>
  <c r="D2528" i="8"/>
  <c r="D2400" i="8"/>
  <c r="D2375" i="8"/>
  <c r="D2265" i="8"/>
  <c r="D2062" i="8"/>
  <c r="D3229" i="8"/>
  <c r="D3061" i="8"/>
  <c r="D2941" i="8"/>
  <c r="D2965" i="8"/>
  <c r="D2531" i="8"/>
  <c r="D495" i="8"/>
  <c r="D59" i="8"/>
  <c r="D1265" i="8"/>
  <c r="D2444" i="8"/>
  <c r="D1633" i="8"/>
  <c r="D759" i="8"/>
  <c r="D1903" i="8"/>
  <c r="D41" i="8"/>
  <c r="D1713" i="8"/>
  <c r="D115" i="8"/>
  <c r="D1108" i="8"/>
  <c r="D2496" i="8"/>
  <c r="D3007" i="8"/>
  <c r="D637" i="8"/>
  <c r="D1156" i="8"/>
  <c r="D162" i="8"/>
  <c r="D2124" i="8"/>
  <c r="D3734" i="8"/>
  <c r="D2990" i="8"/>
  <c r="D2960" i="8"/>
  <c r="D2698" i="8"/>
  <c r="D896" i="8"/>
  <c r="D2974" i="8"/>
  <c r="D967" i="8"/>
  <c r="D2293" i="8"/>
  <c r="D798" i="8"/>
  <c r="D2803" i="8"/>
  <c r="D318" i="8"/>
  <c r="D3150" i="8"/>
  <c r="D2072" i="8"/>
  <c r="D3683" i="8"/>
  <c r="D2949" i="8"/>
  <c r="D3047" i="8"/>
  <c r="D2498" i="8"/>
  <c r="D3471" i="8"/>
  <c r="D787" i="8"/>
  <c r="D877" i="8"/>
  <c r="D2316" i="8"/>
  <c r="D3378" i="8"/>
  <c r="D686" i="8"/>
  <c r="D753" i="8"/>
  <c r="D2769" i="8"/>
  <c r="D1758" i="8"/>
  <c r="D1602" i="8"/>
  <c r="D1896" i="8"/>
  <c r="D3123" i="8"/>
  <c r="D309" i="8"/>
  <c r="D1957" i="8"/>
  <c r="D986" i="8"/>
  <c r="D3361" i="8"/>
  <c r="D3292" i="8"/>
  <c r="D65" i="8"/>
  <c r="D3102" i="8"/>
  <c r="D376" i="8"/>
  <c r="D244" i="8"/>
  <c r="D44" i="8"/>
  <c r="D468" i="8"/>
  <c r="D2821" i="8"/>
  <c r="D2726" i="8"/>
  <c r="D15" i="8"/>
  <c r="D1040" i="8"/>
  <c r="D760" i="8"/>
  <c r="D3536" i="8"/>
  <c r="D2844" i="8"/>
  <c r="D3629" i="8"/>
  <c r="D1972" i="8"/>
  <c r="D1276" i="8"/>
  <c r="D2443" i="8"/>
  <c r="D2921" i="8"/>
  <c r="D2944" i="8"/>
  <c r="D1075" i="8"/>
  <c r="D1712" i="8"/>
  <c r="D3538" i="8"/>
  <c r="D3211" i="8"/>
  <c r="D2192" i="8"/>
  <c r="D2208" i="8"/>
  <c r="D2968" i="8"/>
  <c r="D3034" i="8"/>
  <c r="D2260" i="8"/>
  <c r="D304" i="8"/>
  <c r="D228" i="8"/>
  <c r="D884" i="8"/>
  <c r="D1571" i="8"/>
  <c r="D1214" i="8"/>
  <c r="D2071" i="8"/>
  <c r="D1139" i="8"/>
  <c r="D768" i="8"/>
  <c r="D539" i="8"/>
  <c r="D3161" i="8"/>
  <c r="D3100" i="8"/>
  <c r="D2096" i="8"/>
  <c r="D1253" i="8"/>
  <c r="D1057" i="8"/>
  <c r="D132" i="8"/>
  <c r="D1959" i="8"/>
  <c r="D3587" i="8"/>
  <c r="D3039" i="8"/>
  <c r="D623" i="8"/>
  <c r="D3376" i="8"/>
  <c r="D2023" i="8"/>
  <c r="D3540" i="8"/>
  <c r="D38" i="8"/>
  <c r="D3082" i="8"/>
  <c r="D2587" i="8"/>
  <c r="D352" i="8"/>
  <c r="D2304" i="8"/>
  <c r="D64" i="8"/>
  <c r="D2133" i="8"/>
  <c r="D2056" i="8"/>
  <c r="D1829" i="8"/>
  <c r="D1450" i="8"/>
  <c r="D3531" i="8"/>
  <c r="D2598" i="8"/>
  <c r="D3573" i="8"/>
  <c r="D1682" i="8"/>
  <c r="D29" i="8"/>
  <c r="D2287" i="8"/>
  <c r="D1198" i="8"/>
  <c r="D2683" i="8"/>
  <c r="D1702" i="8"/>
  <c r="D1262" i="8"/>
  <c r="D3421" i="8"/>
  <c r="D1177" i="8"/>
  <c r="D3074" i="8"/>
  <c r="D1859" i="8"/>
  <c r="D1153" i="8"/>
  <c r="D1286" i="8"/>
  <c r="D1005" i="8"/>
  <c r="D2611" i="8"/>
  <c r="D1136" i="8"/>
  <c r="D1853" i="8"/>
  <c r="D1451" i="8"/>
  <c r="D549" i="8"/>
  <c r="D2507" i="8"/>
  <c r="D2645" i="8"/>
  <c r="D2407" i="8"/>
  <c r="D234" i="8"/>
  <c r="D2093" i="8"/>
  <c r="D1886" i="8"/>
  <c r="D1796" i="8"/>
  <c r="D1146" i="8"/>
  <c r="D3215" i="8"/>
  <c r="D1071" i="8"/>
  <c r="D173" i="8"/>
  <c r="D2762" i="8"/>
  <c r="D2889" i="8"/>
  <c r="D2288" i="8"/>
  <c r="D3027" i="8"/>
  <c r="D2842" i="8"/>
  <c r="D3358" i="8"/>
  <c r="D1664" i="8"/>
  <c r="D2321" i="8"/>
  <c r="D2123" i="8"/>
  <c r="D363" i="8"/>
  <c r="D2574" i="8"/>
  <c r="D2774" i="8"/>
  <c r="D2692" i="8"/>
  <c r="D3118" i="8"/>
  <c r="D2715" i="8"/>
  <c r="D395" i="8"/>
  <c r="D2128" i="8"/>
  <c r="D966" i="8"/>
  <c r="D1446" i="8"/>
  <c r="D3467" i="8"/>
  <c r="D3116" i="8"/>
  <c r="D2205" i="8"/>
  <c r="D656" i="8"/>
  <c r="D1703" i="8"/>
  <c r="D1808" i="8"/>
  <c r="D2925" i="8"/>
  <c r="D2872" i="8"/>
  <c r="D1684" i="8"/>
  <c r="D2131" i="8"/>
  <c r="D2961" i="8"/>
  <c r="D1917" i="8"/>
  <c r="D1420" i="8"/>
  <c r="D587" i="8"/>
  <c r="D3461" i="8"/>
  <c r="D1411" i="8"/>
  <c r="D2263" i="8"/>
  <c r="D88" i="8"/>
  <c r="D3649" i="8"/>
  <c r="D871" i="8"/>
  <c r="D1996" i="8"/>
  <c r="D2372" i="8"/>
  <c r="D652" i="8"/>
  <c r="D541" i="8"/>
  <c r="D2476" i="8"/>
  <c r="D198" i="8"/>
  <c r="D2054" i="8"/>
  <c r="D2013" i="8"/>
  <c r="D4" i="8"/>
  <c r="D3516" i="8"/>
  <c r="D2907" i="8"/>
  <c r="D3625" i="8"/>
  <c r="D1958" i="8"/>
  <c r="D2035" i="8"/>
  <c r="D2353" i="8"/>
  <c r="D1485" i="8"/>
  <c r="D3395" i="8"/>
  <c r="D687" i="8"/>
  <c r="D1625" i="8"/>
  <c r="D1419" i="8"/>
  <c r="D325" i="8"/>
  <c r="D945" i="8"/>
  <c r="D948" i="8"/>
  <c r="D68" i="8"/>
  <c r="D2616" i="8"/>
  <c r="D227" i="8"/>
  <c r="D2067" i="8"/>
  <c r="D1203" i="8"/>
  <c r="D3599" i="8"/>
  <c r="D1548" i="8"/>
  <c r="D941" i="8"/>
  <c r="D3483" i="8"/>
  <c r="D1288" i="8"/>
  <c r="D3523" i="8"/>
  <c r="D582" i="8"/>
  <c r="D812" i="8"/>
  <c r="D566" i="8"/>
  <c r="D3535" i="8"/>
  <c r="D2459" i="8"/>
  <c r="D1512" i="8"/>
  <c r="D3678" i="8"/>
  <c r="D1267" i="8"/>
  <c r="D1638" i="8"/>
  <c r="D2946" i="8"/>
  <c r="D448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80A8E3-9F98-45F5-A283-7A503FE5F602}" keepAlive="1" name="Query - qry_ProdData2_PDI_Cash_Exception_Application" description="Connection to the 'qry_ProdData2_PDI_Cash_Exception_Application' query in the workbook." type="5" refreshedVersion="8" background="1" saveData="1">
    <dbPr connection="Provider=Microsoft.Mashup.OleDb.1;Data Source=$Workbook$;Location=qry_ProdData2_PDI_Cash_Exception_Application;Extended Properties=&quot;&quot;" command="SELECT * FROM [qry_ProdData2_PDI_Cash_Exception_Application]"/>
  </connection>
</connections>
</file>

<file path=xl/sharedStrings.xml><?xml version="1.0" encoding="utf-8"?>
<sst xmlns="http://schemas.openxmlformats.org/spreadsheetml/2006/main" count="10887" uniqueCount="105">
  <si>
    <t>Row Labels</t>
  </si>
  <si>
    <t>Grand Total</t>
  </si>
  <si>
    <t>Market</t>
  </si>
  <si>
    <t>Analyst</t>
  </si>
  <si>
    <t>Column Labels</t>
  </si>
  <si>
    <t>ANALYST</t>
  </si>
  <si>
    <t>AGEING</t>
  </si>
  <si>
    <t>TODAY</t>
  </si>
  <si>
    <t>AGEING RANGE</t>
  </si>
  <si>
    <t>Previous Day</t>
  </si>
  <si>
    <t>The Day before</t>
  </si>
  <si>
    <t>Total of 2 days</t>
  </si>
  <si>
    <t xml:space="preserve">  </t>
  </si>
  <si>
    <t xml:space="preserve">3. Click "Refresh Pivot" button. </t>
  </si>
  <si>
    <t>Refresh Database</t>
  </si>
  <si>
    <t>2. Right click anywhere on table</t>
  </si>
  <si>
    <t>3. Click "Refresh", wait a few seconds and insert your login credentials in prompt</t>
  </si>
  <si>
    <t>Must do changes before rolling out file to Analysts</t>
  </si>
  <si>
    <t>1. Click "Clear Data" &amp; "Refresh Pivot" Buttons one after the other</t>
  </si>
  <si>
    <t>2. You can type store number in cell "P5" to check analyst assigned</t>
  </si>
  <si>
    <t>1. Refresh Pivot 1</t>
  </si>
  <si>
    <t>3. Refresh Pivot 2</t>
  </si>
  <si>
    <t>2. Go to cell "B2" and apply the smallest number in filter</t>
  </si>
  <si>
    <t>4. Go to cell "B15" and apply the smallest two numbers in filter</t>
  </si>
  <si>
    <t>1. Go to cell "B1" and filter "blank" item. If already selected, do nothing</t>
  </si>
  <si>
    <t>Total</t>
  </si>
  <si>
    <t>2nd Last WD</t>
  </si>
  <si>
    <t>Last WD</t>
  </si>
  <si>
    <t>Count of 
Previous Day</t>
  </si>
  <si>
    <t>Count of 
The Day before</t>
  </si>
  <si>
    <t>NAME</t>
  </si>
  <si>
    <t>5-6</t>
  </si>
  <si>
    <t>7-9</t>
  </si>
  <si>
    <t>10-12</t>
  </si>
  <si>
    <t>(Multiple Items)</t>
  </si>
  <si>
    <t xml:space="preserve">1. Go to worksheet "Database_query_name" </t>
  </si>
  <si>
    <t>Date</t>
  </si>
  <si>
    <t>Type</t>
  </si>
  <si>
    <t>Market No</t>
  </si>
  <si>
    <t>2. Click on cell "I2" and Paste raw data</t>
  </si>
  <si>
    <t>1. Paste the screenshots from tool</t>
  </si>
  <si>
    <t>Pending Activity 3</t>
  </si>
  <si>
    <t>Pending Activity 2</t>
  </si>
  <si>
    <t>Pending Activity1</t>
  </si>
  <si>
    <t>Processed Activity 3</t>
  </si>
  <si>
    <t>1. Go to worksheet "Database_query_name" &gt; Right click anywhere on table &gt; Go to "Table Design" and click "Unlink" option</t>
  </si>
  <si>
    <t xml:space="preserve">2 Go to Pending Activity 1&gt; right click "Clear Data" and "Refresh Pivot" buttons one by one and press delete button </t>
  </si>
  <si>
    <t>Analyst1</t>
  </si>
  <si>
    <t>Analyst2</t>
  </si>
  <si>
    <t>Analyst3</t>
  </si>
  <si>
    <t>Analyst4</t>
  </si>
  <si>
    <t>Analyst5</t>
  </si>
  <si>
    <t>Analyst6</t>
  </si>
  <si>
    <t>Store No</t>
  </si>
  <si>
    <t>1000111</t>
  </si>
  <si>
    <t>1001111</t>
  </si>
  <si>
    <t>1002111</t>
  </si>
  <si>
    <t>1003111</t>
  </si>
  <si>
    <t>1004111</t>
  </si>
  <si>
    <t>1005111</t>
  </si>
  <si>
    <t>1006111</t>
  </si>
  <si>
    <t>1007111</t>
  </si>
  <si>
    <t>1008111</t>
  </si>
  <si>
    <t>1009111</t>
  </si>
  <si>
    <t>1010111</t>
  </si>
  <si>
    <t>1011111</t>
  </si>
  <si>
    <t>1012111</t>
  </si>
  <si>
    <t>1013111</t>
  </si>
  <si>
    <t>1014111</t>
  </si>
  <si>
    <t>1015111</t>
  </si>
  <si>
    <t>1016111</t>
  </si>
  <si>
    <t>1017111</t>
  </si>
  <si>
    <t>1018111</t>
  </si>
  <si>
    <t>1019111</t>
  </si>
  <si>
    <t>1020111</t>
  </si>
  <si>
    <t>1021111</t>
  </si>
  <si>
    <t>1022111</t>
  </si>
  <si>
    <t>1023111</t>
  </si>
  <si>
    <t>1024111</t>
  </si>
  <si>
    <t>1025111</t>
  </si>
  <si>
    <t>1026111</t>
  </si>
  <si>
    <t>1027111</t>
  </si>
  <si>
    <t>1028111</t>
  </si>
  <si>
    <t>1029111</t>
  </si>
  <si>
    <t>1030111</t>
  </si>
  <si>
    <t>1031111</t>
  </si>
  <si>
    <t>1032111</t>
  </si>
  <si>
    <t>1033111</t>
  </si>
  <si>
    <t>1034111</t>
  </si>
  <si>
    <t>1035111</t>
  </si>
  <si>
    <t>Type Store No Below</t>
  </si>
  <si>
    <t>MARKET No</t>
  </si>
  <si>
    <t>SITE</t>
  </si>
  <si>
    <t>INSERT DATE</t>
  </si>
  <si>
    <t>TYPE</t>
  </si>
  <si>
    <t>AMOUNT</t>
  </si>
  <si>
    <t>WORKED BY</t>
  </si>
  <si>
    <t>CHANGED ON</t>
  </si>
  <si>
    <t>(blank)</t>
  </si>
  <si>
    <t>Count of AMOUNT</t>
  </si>
  <si>
    <t>Site No</t>
  </si>
  <si>
    <t>TYPE1</t>
  </si>
  <si>
    <t>TYPE2</t>
  </si>
  <si>
    <t>TYPE3</t>
  </si>
  <si>
    <t>Count of Market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</si>
</sst>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Century Gothic"/>
      <family val="2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52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left" indent="1"/>
    </xf>
    <xf numFmtId="0" fontId="4" fillId="0" borderId="0" xfId="0" applyFont="1" applyAlignment="1">
      <alignment horizontal="left" indent="1"/>
    </xf>
    <xf numFmtId="0" fontId="4" fillId="4" borderId="5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3" fillId="3" borderId="0" xfId="0" applyFont="1" applyFill="1" applyAlignment="1" applyProtection="1">
      <alignment horizontal="left" vertical="top" readingOrder="1"/>
      <protection locked="0"/>
    </xf>
    <xf numFmtId="0" fontId="0" fillId="0" borderId="3" xfId="0" applyBorder="1" applyProtection="1">
      <protection locked="0"/>
    </xf>
    <xf numFmtId="0" fontId="3" fillId="3" borderId="0" xfId="0" applyFont="1" applyFill="1" applyAlignment="1">
      <alignment horizontal="left" vertical="top" readingOrder="1"/>
    </xf>
    <xf numFmtId="0" fontId="0" fillId="5" borderId="0" xfId="0" applyFill="1"/>
    <xf numFmtId="0" fontId="2" fillId="0" borderId="8" xfId="0" applyFont="1" applyBorder="1" applyAlignment="1">
      <alignment horizontal="left"/>
    </xf>
    <xf numFmtId="0" fontId="0" fillId="0" borderId="9" xfId="0" applyBorder="1" applyProtection="1">
      <protection locked="0"/>
    </xf>
    <xf numFmtId="0" fontId="2" fillId="0" borderId="10" xfId="0" applyFont="1" applyBorder="1" applyAlignment="1">
      <alignment horizontal="left"/>
    </xf>
    <xf numFmtId="0" fontId="0" fillId="0" borderId="1" xfId="0" applyBorder="1" applyProtection="1">
      <protection locked="0"/>
    </xf>
    <xf numFmtId="0" fontId="0" fillId="0" borderId="11" xfId="0" applyBorder="1" applyProtection="1">
      <protection locked="0"/>
    </xf>
    <xf numFmtId="0" fontId="0" fillId="6" borderId="0" xfId="0" applyFill="1" applyProtection="1">
      <protection locked="0"/>
    </xf>
    <xf numFmtId="0" fontId="0" fillId="6" borderId="0" xfId="0" applyFill="1"/>
    <xf numFmtId="49" fontId="0" fillId="6" borderId="0" xfId="0" applyNumberFormat="1" applyFill="1"/>
    <xf numFmtId="0" fontId="4" fillId="6" borderId="0" xfId="0" applyFont="1" applyFill="1" applyAlignment="1" applyProtection="1">
      <alignment horizontal="center"/>
      <protection hidden="1"/>
    </xf>
    <xf numFmtId="0" fontId="4" fillId="6" borderId="0" xfId="0" applyFont="1" applyFill="1" applyProtection="1">
      <protection locked="0"/>
    </xf>
    <xf numFmtId="0" fontId="4" fillId="0" borderId="4" xfId="0" applyFont="1" applyBorder="1" applyProtection="1">
      <protection hidden="1"/>
    </xf>
    <xf numFmtId="0" fontId="0" fillId="6" borderId="8" xfId="0" applyFill="1" applyBorder="1" applyProtection="1">
      <protection locked="0"/>
    </xf>
    <xf numFmtId="0" fontId="0" fillId="6" borderId="9" xfId="0" applyFill="1" applyBorder="1"/>
    <xf numFmtId="0" fontId="0" fillId="6" borderId="9" xfId="0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7" xfId="0" applyFont="1" applyFill="1" applyBorder="1" applyProtection="1">
      <protection locked="0"/>
    </xf>
    <xf numFmtId="0" fontId="2" fillId="5" borderId="2" xfId="0" applyFont="1" applyFill="1" applyBorder="1" applyAlignment="1" applyProtection="1">
      <alignment horizontal="left" wrapText="1"/>
      <protection locked="0"/>
    </xf>
    <xf numFmtId="0" fontId="0" fillId="6" borderId="13" xfId="0" applyFill="1" applyBorder="1" applyProtection="1">
      <protection locked="0"/>
    </xf>
    <xf numFmtId="0" fontId="0" fillId="6" borderId="12" xfId="0" applyFill="1" applyBorder="1" applyProtection="1">
      <protection locked="0"/>
    </xf>
    <xf numFmtId="0" fontId="0" fillId="6" borderId="12" xfId="0" applyFill="1" applyBorder="1" applyAlignment="1" applyProtection="1">
      <alignment horizontal="left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6" fillId="7" borderId="3" xfId="0" applyFont="1" applyFill="1" applyBorder="1" applyAlignment="1">
      <alignment horizontal="center"/>
    </xf>
    <xf numFmtId="0" fontId="6" fillId="8" borderId="3" xfId="0" applyFont="1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6" fillId="10" borderId="3" xfId="0" applyFont="1" applyFill="1" applyBorder="1" applyAlignment="1">
      <alignment horizontal="center"/>
    </xf>
    <xf numFmtId="0" fontId="6" fillId="11" borderId="3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0" fillId="6" borderId="14" xfId="0" applyFill="1" applyBorder="1" applyAlignment="1" applyProtection="1">
      <alignment horizontal="left"/>
      <protection locked="0"/>
    </xf>
    <xf numFmtId="0" fontId="0" fillId="6" borderId="8" xfId="0" applyFill="1" applyBorder="1" applyAlignment="1" applyProtection="1">
      <alignment horizontal="left"/>
      <protection locked="0"/>
    </xf>
    <xf numFmtId="2" fontId="0" fillId="0" borderId="0" xfId="0" applyNumberFormat="1"/>
    <xf numFmtId="0" fontId="2" fillId="6" borderId="0" xfId="0" applyFont="1" applyFill="1" applyProtection="1">
      <protection locked="0"/>
    </xf>
    <xf numFmtId="0" fontId="0" fillId="6" borderId="14" xfId="0" applyFill="1" applyBorder="1" applyProtection="1">
      <protection locked="0"/>
    </xf>
    <xf numFmtId="0" fontId="0" fillId="6" borderId="15" xfId="0" applyFill="1" applyBorder="1" applyProtection="1">
      <protection locked="0"/>
    </xf>
    <xf numFmtId="0" fontId="0" fillId="6" borderId="16" xfId="0" applyFill="1" applyBorder="1" applyProtection="1">
      <protection locked="0"/>
    </xf>
    <xf numFmtId="0" fontId="0" fillId="6" borderId="17" xfId="0" applyFill="1" applyBorder="1" applyProtection="1">
      <protection locked="0"/>
    </xf>
    <xf numFmtId="14" fontId="0" fillId="0" borderId="3" xfId="0" applyNumberFormat="1" applyBorder="1" applyProtection="1">
      <protection locked="0"/>
    </xf>
    <xf numFmtId="14" fontId="0" fillId="0" borderId="18" xfId="0" applyNumberFormat="1" applyBorder="1" applyProtection="1">
      <protection locked="0"/>
    </xf>
    <xf numFmtId="0" fontId="0" fillId="0" borderId="3" xfId="0" applyBorder="1"/>
    <xf numFmtId="0" fontId="0" fillId="0" borderId="0" xfId="0" applyNumberFormat="1"/>
  </cellXfs>
  <cellStyles count="2">
    <cellStyle name="Normal" xfId="0" builtinId="0"/>
    <cellStyle name="Normal 2" xfId="1" xr:uid="{CEE6A9F3-272A-45AD-A23B-9B4AFD9B48F5}"/>
  </cellStyles>
  <dxfs count="52">
    <dxf>
      <alignment wrapText="1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alignment wrapText="1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 patternType="solid">
          <bgColor rgb="FF00B05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19" formatCode="m/d/yyyy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[Work Status Dashboard.xlsm]Pending Activity 3 Ageing!PivotTable6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Pending Exceptions Count</a:t>
            </a:r>
          </a:p>
        </c:rich>
      </c:tx>
      <c:layout>
        <c:manualLayout>
          <c:xMode val="edge"/>
          <c:yMode val="edge"/>
          <c:x val="0.33295355859902198"/>
          <c:y val="8.1291921843102952E-2"/>
        </c:manualLayout>
      </c:layout>
      <c:overlay val="0"/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6824547585115635E-2"/>
          <c:y val="0.21596784776902886"/>
          <c:w val="0.66413907921530202"/>
          <c:h val="0.5342042140565761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'Pending Activity 3 Ageing'!$B$4:$B$5</c:f>
              <c:strCache>
                <c:ptCount val="1"/>
                <c:pt idx="0">
                  <c:v>7-9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'Pending Activity 3 Ageing'!$A$6:$A$12</c:f>
              <c:strCache>
                <c:ptCount val="6"/>
                <c:pt idx="0">
                  <c:v>Analyst2</c:v>
                </c:pt>
                <c:pt idx="1">
                  <c:v>Analyst6</c:v>
                </c:pt>
                <c:pt idx="2">
                  <c:v>Analyst3</c:v>
                </c:pt>
                <c:pt idx="3">
                  <c:v>Analyst5</c:v>
                </c:pt>
                <c:pt idx="4">
                  <c:v>Analyst1</c:v>
                </c:pt>
                <c:pt idx="5">
                  <c:v>Analyst4</c:v>
                </c:pt>
              </c:strCache>
            </c:strRef>
          </c:cat>
          <c:val>
            <c:numRef>
              <c:f>'Pending Activity 3 Ageing'!$B$6:$B$12</c:f>
              <c:numCache>
                <c:formatCode>General</c:formatCode>
                <c:ptCount val="6"/>
                <c:pt idx="0">
                  <c:v>13</c:v>
                </c:pt>
                <c:pt idx="1">
                  <c:v>19</c:v>
                </c:pt>
                <c:pt idx="2">
                  <c:v>12</c:v>
                </c:pt>
                <c:pt idx="3">
                  <c:v>16</c:v>
                </c:pt>
                <c:pt idx="4">
                  <c:v>15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6-4993-AF15-6E9041465B7E}"/>
            </c:ext>
          </c:extLst>
        </c:ser>
        <c:ser>
          <c:idx val="1"/>
          <c:order val="1"/>
          <c:tx>
            <c:strRef>
              <c:f>'Pending Activity 3 Ageing'!$C$4:$C$5</c:f>
              <c:strCache>
                <c:ptCount val="1"/>
                <c:pt idx="0">
                  <c:v>10-12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'Pending Activity 3 Ageing'!$A$6:$A$12</c:f>
              <c:strCache>
                <c:ptCount val="6"/>
                <c:pt idx="0">
                  <c:v>Analyst2</c:v>
                </c:pt>
                <c:pt idx="1">
                  <c:v>Analyst6</c:v>
                </c:pt>
                <c:pt idx="2">
                  <c:v>Analyst3</c:v>
                </c:pt>
                <c:pt idx="3">
                  <c:v>Analyst5</c:v>
                </c:pt>
                <c:pt idx="4">
                  <c:v>Analyst1</c:v>
                </c:pt>
                <c:pt idx="5">
                  <c:v>Analyst4</c:v>
                </c:pt>
              </c:strCache>
            </c:strRef>
          </c:cat>
          <c:val>
            <c:numRef>
              <c:f>'Pending Activity 3 Ageing'!$C$6:$C$12</c:f>
              <c:numCache>
                <c:formatCode>General</c:formatCode>
                <c:ptCount val="6"/>
                <c:pt idx="0">
                  <c:v>29</c:v>
                </c:pt>
                <c:pt idx="1">
                  <c:v>35</c:v>
                </c:pt>
                <c:pt idx="2">
                  <c:v>37</c:v>
                </c:pt>
                <c:pt idx="3">
                  <c:v>5</c:v>
                </c:pt>
                <c:pt idx="4">
                  <c:v>31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95-46C4-82CE-A44593FE7235}"/>
            </c:ext>
          </c:extLst>
        </c:ser>
        <c:ser>
          <c:idx val="2"/>
          <c:order val="2"/>
          <c:tx>
            <c:strRef>
              <c:f>'Pending Activity 3 Ageing'!$D$4:$D$5</c:f>
              <c:strCache>
                <c:ptCount val="1"/>
                <c:pt idx="0">
                  <c:v>5-6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'Pending Activity 3 Ageing'!$A$6:$A$12</c:f>
              <c:strCache>
                <c:ptCount val="6"/>
                <c:pt idx="0">
                  <c:v>Analyst2</c:v>
                </c:pt>
                <c:pt idx="1">
                  <c:v>Analyst6</c:v>
                </c:pt>
                <c:pt idx="2">
                  <c:v>Analyst3</c:v>
                </c:pt>
                <c:pt idx="3">
                  <c:v>Analyst5</c:v>
                </c:pt>
                <c:pt idx="4">
                  <c:v>Analyst1</c:v>
                </c:pt>
                <c:pt idx="5">
                  <c:v>Analyst4</c:v>
                </c:pt>
              </c:strCache>
            </c:strRef>
          </c:cat>
          <c:val>
            <c:numRef>
              <c:f>'Pending Activity 3 Ageing'!$D$6:$D$12</c:f>
              <c:numCache>
                <c:formatCode>General</c:formatCode>
                <c:ptCount val="6"/>
                <c:pt idx="0">
                  <c:v>9</c:v>
                </c:pt>
                <c:pt idx="1">
                  <c:v>12</c:v>
                </c:pt>
                <c:pt idx="2">
                  <c:v>9</c:v>
                </c:pt>
                <c:pt idx="3">
                  <c:v>14</c:v>
                </c:pt>
                <c:pt idx="4">
                  <c:v>16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95-46C4-82CE-A44593FE7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7775920"/>
        <c:axId val="394662952"/>
      </c:barChart>
      <c:catAx>
        <c:axId val="91777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662952"/>
        <c:crosses val="autoZero"/>
        <c:auto val="1"/>
        <c:lblAlgn val="ctr"/>
        <c:lblOffset val="100"/>
        <c:noMultiLvlLbl val="0"/>
      </c:catAx>
      <c:valAx>
        <c:axId val="394662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77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0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Completed Activity</a:t>
            </a:r>
            <a:r>
              <a:rPr lang="en-US" b="1" baseline="0">
                <a:solidFill>
                  <a:schemeClr val="bg1"/>
                </a:solidFill>
              </a:rPr>
              <a:t> </a:t>
            </a:r>
            <a:r>
              <a:rPr lang="en-US" b="1">
                <a:solidFill>
                  <a:schemeClr val="bg1"/>
                </a:solidFill>
              </a:rPr>
              <a:t>Count</a:t>
            </a:r>
          </a:p>
        </c:rich>
      </c:tx>
      <c:overlay val="0"/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'Processed Activity 3'!$B$3</c:f>
              <c:strCache>
                <c:ptCount val="1"/>
                <c:pt idx="0">
                  <c:v>Count of 
Previous Day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'Processed Activity 3'!$A$4:$A$9</c:f>
              <c:strCache>
                <c:ptCount val="6"/>
                <c:pt idx="0">
                  <c:v>Analyst1</c:v>
                </c:pt>
                <c:pt idx="1">
                  <c:v>Analyst2</c:v>
                </c:pt>
                <c:pt idx="2">
                  <c:v>Analyst3</c:v>
                </c:pt>
                <c:pt idx="3">
                  <c:v>Analyst4</c:v>
                </c:pt>
                <c:pt idx="4">
                  <c:v>Analyst5</c:v>
                </c:pt>
                <c:pt idx="5">
                  <c:v>Analyst6</c:v>
                </c:pt>
              </c:strCache>
            </c:strRef>
          </c:cat>
          <c:val>
            <c:numRef>
              <c:f>'Processed Activity 3'!$B$4:$B$9</c:f>
              <c:numCache>
                <c:formatCode>General</c:formatCode>
                <c:ptCount val="6"/>
                <c:pt idx="0">
                  <c:v>33</c:v>
                </c:pt>
                <c:pt idx="1">
                  <c:v>25</c:v>
                </c:pt>
                <c:pt idx="2">
                  <c:v>27</c:v>
                </c:pt>
                <c:pt idx="3">
                  <c:v>25</c:v>
                </c:pt>
                <c:pt idx="4">
                  <c:v>27</c:v>
                </c:pt>
                <c:pt idx="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6-4EF8-BF7C-BB27EDC33504}"/>
            </c:ext>
          </c:extLst>
        </c:ser>
        <c:ser>
          <c:idx val="1"/>
          <c:order val="1"/>
          <c:tx>
            <c:strRef>
              <c:f>'Processed Activity 3'!$C$3</c:f>
              <c:strCache>
                <c:ptCount val="1"/>
                <c:pt idx="0">
                  <c:v>Count of 
The Day before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'Processed Activity 3'!$A$4:$A$9</c:f>
              <c:strCache>
                <c:ptCount val="6"/>
                <c:pt idx="0">
                  <c:v>Analyst1</c:v>
                </c:pt>
                <c:pt idx="1">
                  <c:v>Analyst2</c:v>
                </c:pt>
                <c:pt idx="2">
                  <c:v>Analyst3</c:v>
                </c:pt>
                <c:pt idx="3">
                  <c:v>Analyst4</c:v>
                </c:pt>
                <c:pt idx="4">
                  <c:v>Analyst5</c:v>
                </c:pt>
                <c:pt idx="5">
                  <c:v>Analyst6</c:v>
                </c:pt>
              </c:strCache>
            </c:strRef>
          </c:cat>
          <c:val>
            <c:numRef>
              <c:f>'Processed Activity 3'!$C$4:$C$9</c:f>
              <c:numCache>
                <c:formatCode>General</c:formatCode>
                <c:ptCount val="6"/>
                <c:pt idx="0">
                  <c:v>23</c:v>
                </c:pt>
                <c:pt idx="1">
                  <c:v>34</c:v>
                </c:pt>
                <c:pt idx="2">
                  <c:v>30</c:v>
                </c:pt>
                <c:pt idx="3">
                  <c:v>35</c:v>
                </c:pt>
                <c:pt idx="4">
                  <c:v>37</c:v>
                </c:pt>
                <c:pt idx="5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06-4EF8-BF7C-BB27EDC33504}"/>
            </c:ext>
          </c:extLst>
        </c:ser>
        <c:ser>
          <c:idx val="2"/>
          <c:order val="2"/>
          <c:tx>
            <c:strRef>
              <c:f>'Processed Activity 3'!$D$3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'Processed Activity 3'!$A$4:$A$9</c:f>
              <c:strCache>
                <c:ptCount val="6"/>
                <c:pt idx="0">
                  <c:v>Analyst1</c:v>
                </c:pt>
                <c:pt idx="1">
                  <c:v>Analyst2</c:v>
                </c:pt>
                <c:pt idx="2">
                  <c:v>Analyst3</c:v>
                </c:pt>
                <c:pt idx="3">
                  <c:v>Analyst4</c:v>
                </c:pt>
                <c:pt idx="4">
                  <c:v>Analyst5</c:v>
                </c:pt>
                <c:pt idx="5">
                  <c:v>Analyst6</c:v>
                </c:pt>
              </c:strCache>
            </c:strRef>
          </c:cat>
          <c:val>
            <c:numRef>
              <c:f>'Processed Activity 3'!$D$4:$D$9</c:f>
              <c:numCache>
                <c:formatCode>General</c:formatCode>
                <c:ptCount val="6"/>
                <c:pt idx="0">
                  <c:v>56</c:v>
                </c:pt>
                <c:pt idx="1">
                  <c:v>59</c:v>
                </c:pt>
                <c:pt idx="2">
                  <c:v>57</c:v>
                </c:pt>
                <c:pt idx="3">
                  <c:v>60</c:v>
                </c:pt>
                <c:pt idx="4">
                  <c:v>64</c:v>
                </c:pt>
                <c:pt idx="5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06-4EF8-BF7C-BB27EDC33504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>
        <a:alpha val="0"/>
      </a:srgb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0</xdr:row>
      <xdr:rowOff>123825</xdr:rowOff>
    </xdr:from>
    <xdr:to>
      <xdr:col>8</xdr:col>
      <xdr:colOff>28575</xdr:colOff>
      <xdr:row>2</xdr:row>
      <xdr:rowOff>161925</xdr:rowOff>
    </xdr:to>
    <xdr:sp macro="[0]!ClearOld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EFFEE6F-0308-E7E1-3A0B-0E3F48B2AF84}"/>
            </a:ext>
          </a:extLst>
        </xdr:cNvPr>
        <xdr:cNvSpPr/>
      </xdr:nvSpPr>
      <xdr:spPr>
        <a:xfrm>
          <a:off x="6867525" y="123825"/>
          <a:ext cx="885825" cy="41910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Clear Data</a:t>
          </a:r>
        </a:p>
        <a:p>
          <a:pPr algn="l"/>
          <a:endParaRPr lang="en-US" sz="1100" b="1"/>
        </a:p>
      </xdr:txBody>
    </xdr:sp>
    <xdr:clientData/>
  </xdr:twoCellAnchor>
  <xdr:twoCellAnchor>
    <xdr:from>
      <xdr:col>6</xdr:col>
      <xdr:colOff>590549</xdr:colOff>
      <xdr:row>3</xdr:row>
      <xdr:rowOff>76200</xdr:rowOff>
    </xdr:from>
    <xdr:to>
      <xdr:col>8</xdr:col>
      <xdr:colOff>104775</xdr:colOff>
      <xdr:row>5</xdr:row>
      <xdr:rowOff>115824</xdr:rowOff>
    </xdr:to>
    <xdr:sp macro="[0]!Module2.CreatePivo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D96B4D1-8CD7-AF51-839D-84257ED29112}"/>
            </a:ext>
          </a:extLst>
        </xdr:cNvPr>
        <xdr:cNvSpPr/>
      </xdr:nvSpPr>
      <xdr:spPr>
        <a:xfrm>
          <a:off x="6810374" y="647700"/>
          <a:ext cx="1019176" cy="420624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  <a:r>
            <a:rPr lang="en-US" sz="1100" b="1" baseline="0"/>
            <a:t> Pivot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217237</xdr:colOff>
      <xdr:row>24</xdr:row>
      <xdr:rowOff>73560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5F62943-E54E-AAB0-341F-8216697A1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425658" cy="44851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0</xdr:row>
      <xdr:rowOff>85725</xdr:rowOff>
    </xdr:from>
    <xdr:to>
      <xdr:col>13</xdr:col>
      <xdr:colOff>428625</xdr:colOff>
      <xdr:row>14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6CBA0DD-FF5A-5066-B23E-84DCFBB07F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73026</xdr:colOff>
      <xdr:row>0</xdr:row>
      <xdr:rowOff>12700</xdr:rowOff>
    </xdr:from>
    <xdr:to>
      <xdr:col>10</xdr:col>
      <xdr:colOff>50800</xdr:colOff>
      <xdr:row>14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4B1B6F-6602-ED03-C893-F52A65AA22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Bisht, Ajay C." refreshedDate="45202.950374884262" createdVersion="8" refreshedVersion="8" minRefreshableVersion="3" recordCount="3738" xr:uid="{283C82F1-434B-4CA2-BFC1-00FBFE166209}">
  <cacheSource type="worksheet">
    <worksheetSource name="qry_ProdData2_PDI_Cash_Exception_Application"/>
  </cacheSource>
  <cacheFields count="14">
    <cacheField name="MARKET No" numFmtId="0">
      <sharedItems containsSemiMixedTypes="0" containsString="0" containsNumber="1" containsInteger="1" minValue="1000" maxValue="1035"/>
    </cacheField>
    <cacheField name="SITE" numFmtId="0">
      <sharedItems/>
    </cacheField>
    <cacheField name="INSERT DATE" numFmtId="22">
      <sharedItems containsSemiMixedTypes="0" containsNonDate="0" containsDate="1" containsString="0" minDate="2023-09-10T06:10:11" maxDate="2023-09-28T06:10:11"/>
    </cacheField>
    <cacheField name="TYPE" numFmtId="0">
      <sharedItems/>
    </cacheField>
    <cacheField name="AMOUNT" numFmtId="0">
      <sharedItems containsSemiMixedTypes="0" containsString="0" containsNumber="1" minValue="-34693.279999999999" maxValue="1672469.01"/>
    </cacheField>
    <cacheField name="WORKED BY" numFmtId="0">
      <sharedItems containsBlank="1" count="7">
        <m/>
        <s v="Analyst6"/>
        <s v="Analyst5"/>
        <s v="Analyst4"/>
        <s v="Analyst2"/>
        <s v="Analyst1"/>
        <s v="Analyst3"/>
      </sharedItems>
    </cacheField>
    <cacheField name="CHANGED ON" numFmtId="22">
      <sharedItems containsSemiMixedTypes="0" containsNonDate="0" containsDate="1" containsString="0" minDate="2023-09-11T06:10:11" maxDate="2023-10-05T06:10:11"/>
    </cacheField>
    <cacheField name="ANALYST" numFmtId="0">
      <sharedItems count="20">
        <s v="Analyst4"/>
        <s v="Analyst2"/>
        <s v="Analyst3"/>
        <s v="Analyst1"/>
        <s v="Analyst6"/>
        <s v="Analyst5"/>
        <s v="Shivam Rajput " u="1"/>
        <s v="Varsha gupta" u="1"/>
        <s v="Ajay Bisht " u="1"/>
        <s v="Akshita Gupta" u="1"/>
        <s v="Jyoti Joshi " u="1"/>
        <s v="Pinki Kumari" u="1"/>
        <s v="Santosh Jha" u="1"/>
        <s v="Ajay Bisht" u="1"/>
        <s v="Pinki Kumari " u="1"/>
        <e v="#N/A" u="1"/>
        <s v="Shivam Rajput" u="1"/>
        <s v="Nidhi Jha" u="1"/>
        <s v="Divesh kumar" u="1"/>
        <s v="Jyoti Joshi" u="1"/>
      </sharedItems>
    </cacheField>
    <cacheField name="TODAY" numFmtId="14">
      <sharedItems containsSemiMixedTypes="0" containsNonDate="0" containsDate="1" containsString="0" minDate="2023-10-03T00:00:00" maxDate="2023-10-04T00:00:00"/>
    </cacheField>
    <cacheField name="AGEING" numFmtId="2">
      <sharedItems containsSemiMixedTypes="0" containsString="0" containsNumber="1" minValue="4.7429282407392748" maxValue="22.742928240739275"/>
    </cacheField>
    <cacheField name="AGEING RANGE" numFmtId="0">
      <sharedItems count="6">
        <s v="10-12"/>
        <s v="7-9"/>
        <s v="5-6"/>
        <s v="0-1 " u="1"/>
        <s v="2-4" u="1"/>
        <s v="0-1" u="1"/>
      </sharedItems>
    </cacheField>
    <cacheField name="Previous Day" numFmtId="0">
      <sharedItems containsSemiMixedTypes="0" containsString="0" containsNumber="1" minValue="-3719" maxValue="44994" count="3871">
        <n v="17.742928240739275"/>
        <n v="11.742928240739275"/>
        <n v="16.742928240739275"/>
        <n v="9.7429282407392748"/>
        <n v="15.742928240739275"/>
        <n v="8.7429282407392748"/>
        <n v="14.742928240739275"/>
        <n v="6.7429282407392748"/>
        <n v="4.7429282407392748"/>
        <n v="12.742928240739275"/>
        <n v="10.742928240739275"/>
        <n v="7.7429282407392748"/>
        <n v="5.7429282407392748"/>
        <n v="3.7429282407392748"/>
        <n v="2.7429282407392748"/>
        <n v="0.74292824073927477"/>
        <n v="-0.25707175926072523"/>
        <n v="-2.2570717592607252"/>
        <n v="20.742928240739275"/>
        <n v="13.742928240739275"/>
        <n v="18.742928240739275"/>
        <n v="21.742928240739275"/>
        <n v="1.7429282407392748"/>
        <n v="-1.2570717592607252"/>
        <n v="19.742928240739275"/>
        <n v="-3322" u="1"/>
        <n v="-846" u="1"/>
        <n v="0" u="1"/>
        <n v="-3192" u="1"/>
        <n v="-3062" u="1"/>
        <n v="-781" u="1"/>
        <n v="-2932" u="1"/>
        <n v="-191" u="1"/>
        <n v="-2802" u="1"/>
        <n v="-716" u="1"/>
        <n v="-2672" u="1"/>
        <n v="-2542" u="1"/>
        <n v="-651" u="1"/>
        <n v="-2412" u="1"/>
        <n v="-2282" u="1"/>
        <n v="-586" u="1"/>
        <n v="-2152" u="1"/>
        <n v="-2035" u="1"/>
        <n v="-521" u="1"/>
        <n v="25" u="1"/>
        <n v="-1970" u="1"/>
        <n v="-127" u="1"/>
        <n v="-1905" u="1"/>
        <n v="-484" u="1"/>
        <n v="-3649" u="1"/>
        <n v="-1840" u="1"/>
        <n v="-3519" u="1"/>
        <n v="-1775" u="1"/>
        <n v="-3389" u="1"/>
        <n v="-1710" u="1"/>
        <n v="-3259" u="1"/>
        <n v="-1645" u="1"/>
        <n v="-419" u="1"/>
        <n v="-3129" u="1"/>
        <n v="-1580" u="1"/>
        <n v="-2999" u="1"/>
        <n v="-1515" u="1"/>
        <n v="-2869" u="1"/>
        <n v="-1450" u="1"/>
        <n v="-2739" u="1"/>
        <n v="-1385" u="1"/>
        <n v="-354" u="1"/>
        <n v="-2609" u="1"/>
        <n v="-1320" u="1"/>
        <n v="-2479" u="1"/>
        <n v="-1255" u="1"/>
        <n v="-2349" u="1"/>
        <n v="-1190" u="1"/>
        <n v="-2219" u="1"/>
        <n v="-1125" u="1"/>
        <n v="-289" u="1"/>
        <n v="-2089" u="1"/>
        <n v="-1060" u="1"/>
        <n v="44799" u="1"/>
        <n v="-17" u="1"/>
        <n v="-977" u="1"/>
        <n v="-63" u="1"/>
        <n v="-3716" u="1"/>
        <n v="-240" u="1"/>
        <n v="-3586" u="1"/>
        <n v="-912" u="1"/>
        <n v="-3456" u="1"/>
        <n v="-3326" u="1"/>
        <n v="-847" u="1"/>
        <n v="-3196" u="1"/>
        <n v="-3066" u="1"/>
        <n v="-782" u="1"/>
        <n v="-2936" u="1"/>
        <n v="-2806" u="1"/>
        <n v="-717" u="1"/>
        <n v="-2676" u="1"/>
        <n v="-175" u="1"/>
        <n v="-2546" u="1"/>
        <n v="-652" u="1"/>
        <n v="-2416" u="1"/>
        <n v="-2286" u="1"/>
        <n v="-587" u="1"/>
        <n v="-2156" u="1"/>
        <n v="-2037" u="1"/>
        <n v="-522" u="1"/>
        <n v="-1972" u="1"/>
        <n v="-1907" u="1"/>
        <n v="23" u="1"/>
        <n v="-3653" u="1"/>
        <n v="-1842" u="1"/>
        <n v="-119" u="1"/>
        <n v="-3523" u="1"/>
        <n v="-1777" u="1"/>
        <n v="-452" u="1"/>
        <n v="-3393" u="1"/>
        <n v="-1712" u="1"/>
        <n v="-3263" u="1"/>
        <n v="-1647" u="1"/>
        <n v="-3133" u="1"/>
        <n v="-1582" u="1"/>
        <n v="-3003" u="1"/>
        <n v="-1517" u="1"/>
        <n v="-387" u="1"/>
        <n v="-2873" u="1"/>
        <n v="-1452" u="1"/>
        <n v="-2743" u="1"/>
        <n v="-1387" u="1"/>
        <n v="-2613" u="1"/>
        <n v="-1322" u="1"/>
        <n v="-2483" u="1"/>
        <n v="-1257" u="1"/>
        <n v="-322" u="1"/>
        <n v="-2353" u="1"/>
        <n v="-1192" u="1"/>
        <n v="-2223" u="1"/>
        <n v="-1127" u="1"/>
        <n v="-2093" u="1"/>
        <n v="-1062" u="1"/>
        <n v="-257" u="1"/>
        <n v="44800" u="1"/>
        <n v="-978" u="1"/>
        <n v="44737" u="1"/>
        <n v="-3590" u="1"/>
        <n v="-913" u="1"/>
        <n v="-59" u="1"/>
        <n v="-3460" u="1"/>
        <n v="-224" u="1"/>
        <n v="-3330" u="1"/>
        <n v="-848" u="1"/>
        <n v="-3200" u="1"/>
        <n v="-3070" u="1"/>
        <n v="-783" u="1"/>
        <n v="-2940" u="1"/>
        <n v="-2810" u="1"/>
        <n v="-718" u="1"/>
        <n v="-2680" u="1"/>
        <n v="-2550" u="1"/>
        <n v="-653" u="1"/>
        <n v="-2420" u="1"/>
        <n v="-159" u="1"/>
        <n v="-2290" u="1"/>
        <n v="-588" u="1"/>
        <n v="-2160" u="1"/>
        <n v="-2039" u="1"/>
        <n v="-523" u="1"/>
        <n v="-1974" u="1"/>
        <n v="-1909" u="1"/>
        <n v="-485" u="1"/>
        <n v="-3657" u="1"/>
        <n v="-1844" u="1"/>
        <n v="-3527" u="1"/>
        <n v="-1779" u="1"/>
        <n v="21" u="1"/>
        <n v="-3397" u="1"/>
        <n v="-1714" u="1"/>
        <n v="-111" u="1"/>
        <n v="-3267" u="1"/>
        <n v="-1649" u="1"/>
        <n v="-420" u="1"/>
        <n v="-3137" u="1"/>
        <n v="-1584" u="1"/>
        <n v="-3007" u="1"/>
        <n v="-1519" u="1"/>
        <n v="-2877" u="1"/>
        <n v="-1454" u="1"/>
        <n v="-2747" u="1"/>
        <n v="-1389" u="1"/>
        <n v="-355" u="1"/>
        <n v="-2617" u="1"/>
        <n v="-1324" u="1"/>
        <n v="-2487" u="1"/>
        <n v="-1259" u="1"/>
        <n v="-2357" u="1"/>
        <n v="-1194" u="1"/>
        <n v="-2227" u="1"/>
        <n v="-1129" u="1"/>
        <n v="-290" u="1"/>
        <n v="-2097" u="1"/>
        <n v="-1064" u="1"/>
        <n v="-979" u="1"/>
        <n v="-1" u="1"/>
        <n v="44738" u="1"/>
        <n v="-3594" u="1"/>
        <n v="-914" u="1"/>
        <n v="-3464" u="1"/>
        <n v="-3334" u="1"/>
        <n v="-849" u="1"/>
        <n v="-55" u="1"/>
        <n v="-3204" u="1"/>
        <n v="-208" u="1"/>
        <n v="-3074" u="1"/>
        <n v="-784" u="1"/>
        <n v="-2944" u="1"/>
        <n v="-2814" u="1"/>
        <n v="-719" u="1"/>
        <n v="-2684" u="1"/>
        <n v="-2554" u="1"/>
        <n v="-654" u="1"/>
        <n v="-2424" u="1"/>
        <n v="-2294" u="1"/>
        <n v="-589" u="1"/>
        <n v="-2164" u="1"/>
        <n v="-143" u="1"/>
        <n v="-2041" u="1"/>
        <n v="-524" u="1"/>
        <n v="-1976" u="1"/>
        <n v="-1911" u="1"/>
        <n v="-3661" u="1"/>
        <n v="-1846" u="1"/>
        <n v="-3531" u="1"/>
        <n v="-1781" u="1"/>
        <n v="-453" u="1"/>
        <n v="-3401" u="1"/>
        <n v="-1716" u="1"/>
        <n v="-3271" u="1"/>
        <n v="-1651" u="1"/>
        <n v="19" u="1"/>
        <n v="-3141" u="1"/>
        <n v="-1586" u="1"/>
        <n v="-103" u="1"/>
        <n v="70" u="1"/>
        <n v="-3011" u="1"/>
        <n v="-1521" u="1"/>
        <n v="-388" u="1"/>
        <n v="-2881" u="1"/>
        <n v="-1456" u="1"/>
        <n v="-2751" u="1"/>
        <n v="-1391" u="1"/>
        <n v="-2621" u="1"/>
        <n v="-1326" u="1"/>
        <n v="-2491" u="1"/>
        <n v="-1261" u="1"/>
        <n v="-323" u="1"/>
        <n v="-2361" u="1"/>
        <n v="-1196" u="1"/>
        <n v="-2231" u="1"/>
        <n v="-1131" u="1"/>
        <n v="-2101" u="1"/>
        <n v="-1066" u="1"/>
        <n v="-258" u="1"/>
        <n v="-980" u="1"/>
        <n v="44802" u="1"/>
        <n v="-3598" u="1"/>
        <n v="-915" u="1"/>
        <n v="44739" u="1"/>
        <n v="-3468" u="1"/>
        <n v="44676" u="1"/>
        <n v="-3338" u="1"/>
        <n v="-850" u="1"/>
        <n v="-3208" u="1"/>
        <n v="-3078" u="1"/>
        <n v="-785" u="1"/>
        <n v="-51" u="1"/>
        <n v="-2948" u="1"/>
        <n v="-192" u="1"/>
        <n v="-2818" u="1"/>
        <n v="-720" u="1"/>
        <n v="-2688" u="1"/>
        <n v="-2558" u="1"/>
        <n v="-655" u="1"/>
        <n v="-2428" u="1"/>
        <n v="-2298" u="1"/>
        <n v="-590" u="1"/>
        <n v="-2168" u="1"/>
        <n v="-2043" u="1"/>
        <n v="-525" u="1"/>
        <n v="-1978" u="1"/>
        <n v="-1913" u="1"/>
        <n v="-486" u="1"/>
        <n v="-3665" u="1"/>
        <n v="-1848" u="1"/>
        <n v="-3535" u="1"/>
        <n v="-1783" u="1"/>
        <n v="-3405" u="1"/>
        <n v="-1718" u="1"/>
        <n v="-3275" u="1"/>
        <n v="-1653" u="1"/>
        <n v="-421" u="1"/>
        <n v="-3145" u="1"/>
        <n v="-1588" u="1"/>
        <n v="-3015" u="1"/>
        <n v="-1523" u="1"/>
        <n v="17" u="1"/>
        <n v="-2885" u="1"/>
        <n v="-1458" u="1"/>
        <n v="-95" u="1"/>
        <n v="-2755" u="1"/>
        <n v="-1393" u="1"/>
        <n v="-356" u="1"/>
        <n v="-2625" u="1"/>
        <n v="-1328" u="1"/>
        <n v="-2495" u="1"/>
        <n v="-1263" u="1"/>
        <n v="-2365" u="1"/>
        <n v="-1198" u="1"/>
        <n v="-2235" u="1"/>
        <n v="-1133" u="1"/>
        <n v="-291" u="1"/>
        <n v="-2105" u="1"/>
        <n v="-1068" u="1"/>
        <n v="-981" u="1"/>
        <n v="-241" u="1"/>
        <n v="-3602" u="1"/>
        <n v="-916" u="1"/>
        <n v="-3472" u="1"/>
        <n v="-3342" u="1"/>
        <n v="-851" u="1"/>
        <n v="-3212" u="1"/>
        <n v="-3082" u="1"/>
        <n v="-786" u="1"/>
        <n v="-2952" u="1"/>
        <n v="-2822" u="1"/>
        <n v="-721" u="1"/>
        <n v="-47" u="1"/>
        <n v="-2692" u="1"/>
        <n v="-176" u="1"/>
        <n v="-2562" u="1"/>
        <n v="-656" u="1"/>
        <n v="-2432" u="1"/>
        <n v="-2302" u="1"/>
        <n v="-591" u="1"/>
        <n v="-2172" u="1"/>
        <n v="-2045" u="1"/>
        <n v="-526" u="1"/>
        <n v="-1980" u="1"/>
        <n v="-1915" u="1"/>
        <n v="-3669" u="1"/>
        <n v="-1850" u="1"/>
        <n v="-3539" u="1"/>
        <n v="-1785" u="1"/>
        <n v="-454" u="1"/>
        <n v="-3409" u="1"/>
        <n v="-1720" u="1"/>
        <n v="-3279" u="1"/>
        <n v="-1655" u="1"/>
        <n v="-3149" u="1"/>
        <n v="-1590" u="1"/>
        <n v="-3019" u="1"/>
        <n v="-1525" u="1"/>
        <n v="-389" u="1"/>
        <n v="-2889" u="1"/>
        <n v="-1460" u="1"/>
        <n v="-2759" u="1"/>
        <n v="-1395" u="1"/>
        <n v="-2629" u="1"/>
        <n v="-1330" u="1"/>
        <n v="-87" u="1"/>
        <n v="-2499" u="1"/>
        <n v="-1265" u="1"/>
        <n v="-324" u="1"/>
        <n v="-2369" u="1"/>
        <n v="-1200" u="1"/>
        <n v="-2239" u="1"/>
        <n v="-1135" u="1"/>
        <n v="-2109" u="1"/>
        <n v="-1070" u="1"/>
        <n v="-259" u="1"/>
        <n v="-982" u="1"/>
        <n v="-3606" u="1"/>
        <n v="-917" u="1"/>
        <n v="-3476" u="1"/>
        <n v="-225" u="1"/>
        <n v="-3346" u="1"/>
        <n v="-852" u="1"/>
        <n v="-3216" u="1"/>
        <n v="-3086" u="1"/>
        <n v="-787" u="1"/>
        <n v="-2956" u="1"/>
        <n v="-2826" u="1"/>
        <n v="-722" u="1"/>
        <n v="-2696" u="1"/>
        <n v="-2566" u="1"/>
        <n v="-657" u="1"/>
        <n v="-43" u="1"/>
        <n v="-2436" u="1"/>
        <n v="-160" u="1"/>
        <n v="-2306" u="1"/>
        <n v="-592" u="1"/>
        <n v="-2176" u="1"/>
        <n v="-2047" u="1"/>
        <n v="-527" u="1"/>
        <n v="-1982" u="1"/>
        <n v="-1917" u="1"/>
        <n v="-487" u="1"/>
        <n v="-3673" u="1"/>
        <n v="-1852" u="1"/>
        <n v="-3543" u="1"/>
        <n v="-1787" u="1"/>
        <n v="-3413" u="1"/>
        <n v="-1722" u="1"/>
        <n v="-3283" u="1"/>
        <n v="-1657" u="1"/>
        <n v="-422" u="1"/>
        <n v="-3153" u="1"/>
        <n v="-1592" u="1"/>
        <n v="-3023" u="1"/>
        <n v="-1527" u="1"/>
        <n v="-2893" u="1"/>
        <n v="-1462" u="1"/>
        <n v="-2763" u="1"/>
        <n v="-1397" u="1"/>
        <n v="-357" u="1"/>
        <n v="1" u="1"/>
        <n v="-2633" u="1"/>
        <n v="-1332" u="1"/>
        <n v="-2503" u="1"/>
        <n v="-1267" u="1"/>
        <n v="-2373" u="1"/>
        <n v="-1202" u="1"/>
        <n v="-79" u="1"/>
        <n v="55" u="1"/>
        <n v="-2243" u="1"/>
        <n v="-1137" u="1"/>
        <n v="-292" u="1"/>
        <n v="-2113" u="1"/>
        <n v="-1072" u="1"/>
        <n v="-983" u="1"/>
        <n v="44994" u="1"/>
        <n v="-3610" u="1"/>
        <n v="-918" u="1"/>
        <n v="-3480" u="1"/>
        <n v="-3350" u="1"/>
        <n v="-853" u="1"/>
        <n v="-3220" u="1"/>
        <n v="-209" u="1"/>
        <n v="-3090" u="1"/>
        <n v="-788" u="1"/>
        <n v="-2960" u="1"/>
        <n v="-2830" u="1"/>
        <n v="-723" u="1"/>
        <n v="-2700" u="1"/>
        <n v="-2570" u="1"/>
        <n v="-658" u="1"/>
        <n v="-2440" u="1"/>
        <n v="-2310" u="1"/>
        <n v="-593" u="1"/>
        <n v="-39" u="1"/>
        <n v="-2180" u="1"/>
        <n v="-144" u="1"/>
        <n v="-2050" u="1"/>
        <n v="-528" u="1"/>
        <n v="-1984" u="1"/>
        <n v="-1919" u="1"/>
        <n v="-3677" u="1"/>
        <n v="-1854" u="1"/>
        <n v="-3547" u="1"/>
        <n v="-1789" u="1"/>
        <n v="-455" u="1"/>
        <n v="-3417" u="1"/>
        <n v="-1724" u="1"/>
        <n v="-3287" u="1"/>
        <n v="-1659" u="1"/>
        <n v="-3157" u="1"/>
        <n v="-1594" u="1"/>
        <n v="-3027" u="1"/>
        <n v="-1529" u="1"/>
        <n v="-390" u="1"/>
        <n v="-2897" u="1"/>
        <n v="-1464" u="1"/>
        <n v="-2767" u="1"/>
        <n v="-1399" u="1"/>
        <n v="-2637" u="1"/>
        <n v="-1334" u="1"/>
        <n v="-2507" u="1"/>
        <n v="-1269" u="1"/>
        <n v="-325" u="1"/>
        <n v="-2377" u="1"/>
        <n v="-1204" u="1"/>
        <n v="-2247" u="1"/>
        <n v="-1139" u="1"/>
        <n v="-2117" u="1"/>
        <n v="-1074" u="1"/>
        <n v="-71" u="1"/>
        <n v="51" u="1"/>
        <n v="-260" u="1"/>
        <n v="-984" u="1"/>
        <n v="-3614" u="1"/>
        <n v="-919" u="1"/>
        <n v="-3484" u="1"/>
        <n v="-3354" u="1"/>
        <n v="-854" u="1"/>
        <n v="-3224" u="1"/>
        <n v="-3094" u="1"/>
        <n v="-789" u="1"/>
        <n v="-2964" u="1"/>
        <n v="-193" u="1"/>
        <n v="-2834" u="1"/>
        <n v="-724" u="1"/>
        <n v="-2704" u="1"/>
        <n v="-2574" u="1"/>
        <n v="-659" u="1"/>
        <n v="-2444" u="1"/>
        <n v="-2314" u="1"/>
        <n v="-594" u="1"/>
        <n v="-2184" u="1"/>
        <n v="-2054" u="1"/>
        <n v="-529" u="1"/>
        <n v="-35" u="1"/>
        <n v="-1986" u="1"/>
        <n v="-128" u="1"/>
        <n v="-1921" u="1"/>
        <n v="-488" u="1"/>
        <n v="-3681" u="1"/>
        <n v="-1856" u="1"/>
        <n v="-3551" u="1"/>
        <n v="-1791" u="1"/>
        <n v="-3421" u="1"/>
        <n v="-1726" u="1"/>
        <n v="-3291" u="1"/>
        <n v="-1661" u="1"/>
        <n v="-423" u="1"/>
        <n v="-3161" u="1"/>
        <n v="-1596" u="1"/>
        <n v="-3031" u="1"/>
        <n v="-1531" u="1"/>
        <n v="-2901" u="1"/>
        <n v="-1466" u="1"/>
        <n v="-2771" u="1"/>
        <n v="-1401" u="1"/>
        <n v="-358" u="1"/>
        <n v="-2641" u="1"/>
        <n v="-1336" u="1"/>
        <n v="-2511" u="1"/>
        <n v="-1271" u="1"/>
        <n v="-2381" u="1"/>
        <n v="-1206" u="1"/>
        <n v="-2251" u="1"/>
        <n v="-1141" u="1"/>
        <n v="-293" u="1"/>
        <n v="-2121" u="1"/>
        <n v="-1076" u="1"/>
        <n v="-985" u="1"/>
        <n v="-242" u="1"/>
        <n v="-3618" u="1"/>
        <n v="-920" u="1"/>
        <n v="-3488" u="1"/>
        <n v="-3358" u="1"/>
        <n v="-855" u="1"/>
        <n v="-3228" u="1"/>
        <n v="-3098" u="1"/>
        <n v="-790" u="1"/>
        <n v="44807" u="1"/>
        <n v="-2968" u="1"/>
        <n v="-2838" u="1"/>
        <n v="-725" u="1"/>
        <n v="-2708" u="1"/>
        <n v="-177" u="1"/>
        <n v="-2578" u="1"/>
        <n v="-660" u="1"/>
        <n v="-2448" u="1"/>
        <n v="-2318" u="1"/>
        <n v="-595" u="1"/>
        <n v="-2188" u="1"/>
        <n v="-2058" u="1"/>
        <n v="-530" u="1"/>
        <n v="-1988" u="1"/>
        <n v="-1923" u="1"/>
        <n v="-3685" u="1"/>
        <n v="-1858" u="1"/>
        <n v="-120" u="1"/>
        <n v="-3555" u="1"/>
        <n v="-1793" u="1"/>
        <n v="-456" u="1"/>
        <n v="-3425" u="1"/>
        <n v="-1728" u="1"/>
        <n v="-3295" u="1"/>
        <n v="-1663" u="1"/>
        <n v="-3165" u="1"/>
        <n v="-1598" u="1"/>
        <n v="-3035" u="1"/>
        <n v="-1533" u="1"/>
        <n v="-391" u="1"/>
        <n v="-2905" u="1"/>
        <n v="-1468" u="1"/>
        <n v="-2775" u="1"/>
        <n v="-1403" u="1"/>
        <n v="-2645" u="1"/>
        <n v="-1338" u="1"/>
        <n v="-2515" u="1"/>
        <n v="-1273" u="1"/>
        <n v="-326" u="1"/>
        <n v="-2385" u="1"/>
        <n v="-1208" u="1"/>
        <n v="-2255" u="1"/>
        <n v="-1143" u="1"/>
        <n v="-2125" u="1"/>
        <n v="-1078" u="1"/>
        <n v="-261" u="1"/>
        <n v="-986" u="1"/>
        <n v="-3622" u="1"/>
        <n v="-921" u="1"/>
        <n v="43" u="1"/>
        <n v="-3492" u="1"/>
        <n v="-226" u="1"/>
        <n v="-3362" u="1"/>
        <n v="-856" u="1"/>
        <n v="-3232" u="1"/>
        <n v="-3102" u="1"/>
        <n v="-791" u="1"/>
        <n v="-2972" u="1"/>
        <n v="44808" u="1"/>
        <n v="-2842" u="1"/>
        <n v="-726" u="1"/>
        <n v="44745" u="1"/>
        <n v="-2712" u="1"/>
        <n v="-2582" u="1"/>
        <n v="-661" u="1"/>
        <n v="44619" u="1"/>
        <n v="-2452" u="1"/>
        <n v="-161" u="1"/>
        <n v="-2322" u="1"/>
        <n v="-596" u="1"/>
        <n v="-2192" u="1"/>
        <n v="-2062" u="1"/>
        <n v="-531" u="1"/>
        <n v="-1990" u="1"/>
        <n v="-1925" u="1"/>
        <n v="-489" u="1"/>
        <n v="-3689" u="1"/>
        <n v="-1860" u="1"/>
        <n v="-3559" u="1"/>
        <n v="-1795" u="1"/>
        <n v="-3429" u="1"/>
        <n v="-1730" u="1"/>
        <n v="-112" u="1"/>
        <n v="-3299" u="1"/>
        <n v="-1665" u="1"/>
        <n v="-424" u="1"/>
        <n v="-3169" u="1"/>
        <n v="-1600" u="1"/>
        <n v="-3039" u="1"/>
        <n v="-1535" u="1"/>
        <n v="-2909" u="1"/>
        <n v="-1470" u="1"/>
        <n v="-2779" u="1"/>
        <n v="-1405" u="1"/>
        <n v="-359" u="1"/>
        <n v="-2649" u="1"/>
        <n v="-1340" u="1"/>
        <n v="-2519" u="1"/>
        <n v="-1275" u="1"/>
        <n v="-2389" u="1"/>
        <n v="-1210" u="1"/>
        <n v="-2259" u="1"/>
        <n v="-1145" u="1"/>
        <n v="-294" u="1"/>
        <n v="-2129" u="1"/>
        <n v="-1080" u="1"/>
        <n v="-987" u="1"/>
        <n v="-3626" u="1"/>
        <n v="-922" u="1"/>
        <n v="-3496" u="1"/>
        <n v="-3366" u="1"/>
        <n v="-857" u="1"/>
        <n v="-3236" u="1"/>
        <n v="-210" u="1"/>
        <n v="-3106" u="1"/>
        <n v="-792" u="1"/>
        <n v="-2976" u="1"/>
        <n v="-2846" u="1"/>
        <n v="-727" u="1"/>
        <n v="44809" u="1"/>
        <n v="-2716" u="1"/>
        <n v="44746" u="1"/>
        <n v="-2586" u="1"/>
        <n v="-662" u="1"/>
        <n v="-2456" u="1"/>
        <n v="44620" u="1"/>
        <n v="-2326" u="1"/>
        <n v="-597" u="1"/>
        <n v="-2196" u="1"/>
        <n v="-145" u="1"/>
        <n v="-2066" u="1"/>
        <n v="-532" u="1"/>
        <n v="-1992" u="1"/>
        <n v="-1927" u="1"/>
        <n v="-3693" u="1"/>
        <n v="-1862" u="1"/>
        <n v="-3563" u="1"/>
        <n v="-1797" u="1"/>
        <n v="-457" u="1"/>
        <n v="-3433" u="1"/>
        <n v="-1732" u="1"/>
        <n v="-3303" u="1"/>
        <n v="-1667" u="1"/>
        <n v="-3173" u="1"/>
        <n v="-1602" u="1"/>
        <n v="-104" u="1"/>
        <n v="71" u="1"/>
        <n v="-3043" u="1"/>
        <n v="-1537" u="1"/>
        <n v="-392" u="1"/>
        <n v="-2913" u="1"/>
        <n v="-1472" u="1"/>
        <n v="-2783" u="1"/>
        <n v="-1407" u="1"/>
        <n v="-2653" u="1"/>
        <n v="-1342" u="1"/>
        <n v="-2523" u="1"/>
        <n v="-1277" u="1"/>
        <n v="-327" u="1"/>
        <n v="-2393" u="1"/>
        <n v="-1212" u="1"/>
        <n v="-2263" u="1"/>
        <n v="-1147" u="1"/>
        <n v="-2133" u="1"/>
        <n v="-1082" u="1"/>
        <n v="-262" u="1"/>
        <n v="-988" u="1"/>
        <n v="-3630" u="1"/>
        <n v="-923" u="1"/>
        <n v="-3500" u="1"/>
        <n v="-3370" u="1"/>
        <n v="-858" u="1"/>
        <n v="-3240" u="1"/>
        <n v="-3110" u="1"/>
        <n v="-793" u="1"/>
        <n v="35" u="1"/>
        <n v="-2980" u="1"/>
        <n v="-194" u="1"/>
        <n v="-2850" u="1"/>
        <n v="-728" u="1"/>
        <n v="-2720" u="1"/>
        <n v="44810" u="1"/>
        <n v="-2590" u="1"/>
        <n v="-663" u="1"/>
        <n v="44747" u="1"/>
        <n v="-2460" u="1"/>
        <n v="-2330" u="1"/>
        <n v="-598" u="1"/>
        <n v="-2200" u="1"/>
        <n v="-2070" u="1"/>
        <n v="-533" u="1"/>
        <n v="-1994" u="1"/>
        <n v="-129" u="1"/>
        <n v="-1929" u="1"/>
        <n v="-490" u="1"/>
        <n v="-3697" u="1"/>
        <n v="-1864" u="1"/>
        <n v="-3567" u="1"/>
        <n v="-1799" u="1"/>
        <n v="-3437" u="1"/>
        <n v="-1734" u="1"/>
        <n v="-3307" u="1"/>
        <n v="-1669" u="1"/>
        <n v="-425" u="1"/>
        <n v="-3177" u="1"/>
        <n v="-1604" u="1"/>
        <n v="-3047" u="1"/>
        <n v="-1539" u="1"/>
        <n v="-2917" u="1"/>
        <n v="-1474" u="1"/>
        <n v="-96" u="1"/>
        <n v="-2787" u="1"/>
        <n v="-1409" u="1"/>
        <n v="-360" u="1"/>
        <n v="-2657" u="1"/>
        <n v="-1344" u="1"/>
        <n v="-2527" u="1"/>
        <n v="-1279" u="1"/>
        <n v="-2397" u="1"/>
        <n v="-1214" u="1"/>
        <n v="-2267" u="1"/>
        <n v="-1149" u="1"/>
        <n v="-295" u="1"/>
        <n v="-2137" u="1"/>
        <n v="-1084" u="1"/>
        <n v="-989" u="1"/>
        <n v="-243" u="1"/>
        <n v="-3634" u="1"/>
        <n v="-924" u="1"/>
        <n v="-3504" u="1"/>
        <n v="-3374" u="1"/>
        <n v="-859" u="1"/>
        <n v="-3244" u="1"/>
        <n v="-3114" u="1"/>
        <n v="-794" u="1"/>
        <n v="-2984" u="1"/>
        <n v="-2854" u="1"/>
        <n v="-729" u="1"/>
        <n v="-2724" u="1"/>
        <n v="-178" u="1"/>
        <n v="-2594" u="1"/>
        <n v="-664" u="1"/>
        <n v="-2464" u="1"/>
        <n v="-2334" u="1"/>
        <n v="-599" u="1"/>
        <n v="-2204" u="1"/>
        <n v="-2074" u="1"/>
        <n v="-534" u="1"/>
        <n v="-1996" u="1"/>
        <n v="-1931" u="1"/>
        <n v="-3701" u="1"/>
        <n v="-1866" u="1"/>
        <n v="-3571" u="1"/>
        <n v="-1801" u="1"/>
        <n v="-458" u="1"/>
        <n v="-3441" u="1"/>
        <n v="-1736" u="1"/>
        <n v="-3311" u="1"/>
        <n v="-1671" u="1"/>
        <n v="-3181" u="1"/>
        <n v="-1606" u="1"/>
        <n v="-3051" u="1"/>
        <n v="-1541" u="1"/>
        <n v="-393" u="1"/>
        <n v="-2921" u="1"/>
        <n v="-1476" u="1"/>
        <n v="-2791" u="1"/>
        <n v="-1411" u="1"/>
        <n v="-2661" u="1"/>
        <n v="-1346" u="1"/>
        <n v="-88" u="1"/>
        <n v="-2531" u="1"/>
        <n v="-1281" u="1"/>
        <n v="-328" u="1"/>
        <n v="-2401" u="1"/>
        <n v="-1216" u="1"/>
        <n v="-2271" u="1"/>
        <n v="-1151" u="1"/>
        <n v="-2141" u="1"/>
        <n v="-1086" u="1"/>
        <n v="-263" u="1"/>
        <n v="-990" u="1"/>
        <n v="-3638" u="1"/>
        <n v="-925" u="1"/>
        <n v="-3508" u="1"/>
        <n v="-227" u="1"/>
        <n v="-3378" u="1"/>
        <n v="-860" u="1"/>
        <n v="-3248" u="1"/>
        <n v="-3118" u="1"/>
        <n v="-795" u="1"/>
        <n v="-2988" u="1"/>
        <n v="-2858" u="1"/>
        <n v="-730" u="1"/>
        <n v="-2728" u="1"/>
        <n v="-2598" u="1"/>
        <n v="-665" u="1"/>
        <n v="-2468" u="1"/>
        <n v="-162" u="1"/>
        <n v="-2338" u="1"/>
        <n v="-600" u="1"/>
        <n v="-2208" u="1"/>
        <n v="-2078" u="1"/>
        <n v="-535" u="1"/>
        <n v="-1998" u="1"/>
        <n v="-1933" u="1"/>
        <n v="-491" u="1"/>
        <n v="-3705" u="1"/>
        <n v="-1868" u="1"/>
        <n v="-3575" u="1"/>
        <n v="-1803" u="1"/>
        <n v="-3445" u="1"/>
        <n v="-1738" u="1"/>
        <n v="-3315" u="1"/>
        <n v="-1673" u="1"/>
        <n v="-426" u="1"/>
        <n v="-3185" u="1"/>
        <n v="-1608" u="1"/>
        <n v="-3055" u="1"/>
        <n v="-1543" u="1"/>
        <n v="-2925" u="1"/>
        <n v="-1478" u="1"/>
        <n v="-2795" u="1"/>
        <n v="-1413" u="1"/>
        <n v="-361" u="1"/>
        <n v="-2665" u="1"/>
        <n v="-1348" u="1"/>
        <n v="-2535" u="1"/>
        <n v="-1283" u="1"/>
        <n v="-2405" u="1"/>
        <n v="-1218" u="1"/>
        <n v="-80" u="1"/>
        <n v="-2275" u="1"/>
        <n v="-1153" u="1"/>
        <n v="-296" u="1"/>
        <n v="-2145" u="1"/>
        <n v="-1088" u="1"/>
        <n v="-991" u="1"/>
        <n v="-3642" u="1"/>
        <n v="-926" u="1"/>
        <n v="-3512" u="1"/>
        <n v="-3382" u="1"/>
        <n v="-861" u="1"/>
        <n v="-3252" u="1"/>
        <n v="-211" u="1"/>
        <n v="-3122" u="1"/>
        <n v="-796" u="1"/>
        <n v="-2992" u="1"/>
        <n v="-2862" u="1"/>
        <n v="-731" u="1"/>
        <n v="-2732" u="1"/>
        <n v="-2602" u="1"/>
        <n v="-666" u="1"/>
        <n v="-2472" u="1"/>
        <n v="-2342" u="1"/>
        <n v="-601" u="1"/>
        <n v="44813" u="1"/>
        <n v="-2212" u="1"/>
        <n v="-146" u="1"/>
        <n v="44750" u="1"/>
        <n v="-2082" u="1"/>
        <n v="-536" u="1"/>
        <n v="-2000" u="1"/>
        <n v="44624" u="1"/>
        <n v="-1935" u="1"/>
        <n v="-3709" u="1"/>
        <n v="-1870" u="1"/>
        <n v="-3579" u="1"/>
        <n v="-1805" u="1"/>
        <n v="-459" u="1"/>
        <n v="-3449" u="1"/>
        <n v="-1740" u="1"/>
        <n v="-3319" u="1"/>
        <n v="-1675" u="1"/>
        <n v="-3189" u="1"/>
        <n v="-1610" u="1"/>
        <n v="-3059" u="1"/>
        <n v="-1545" u="1"/>
        <n v="-394" u="1"/>
        <n v="-2929" u="1"/>
        <n v="-1480" u="1"/>
        <n v="-2799" u="1"/>
        <n v="-1415" u="1"/>
        <n v="-2669" u="1"/>
        <n v="-1350" u="1"/>
        <n v="-2539" u="1"/>
        <n v="-1285" u="1"/>
        <n v="-329" u="1"/>
        <n v="-2409" u="1"/>
        <n v="-1220" u="1"/>
        <n v="-2279" u="1"/>
        <n v="-1155" u="1"/>
        <n v="-2149" u="1"/>
        <n v="-1090" u="1"/>
        <n v="-72" u="1"/>
        <n v="-1025" u="1"/>
        <n v="-264" u="1"/>
        <n v="-992" u="1"/>
        <n v="-3646" u="1"/>
        <n v="-927" u="1"/>
        <n v="-3516" u="1"/>
        <n v="-3386" u="1"/>
        <n v="-862" u="1"/>
        <n v="-3256" u="1"/>
        <n v="-3126" u="1"/>
        <n v="-797" u="1"/>
        <n v="-2996" u="1"/>
        <n v="-195" u="1"/>
        <n v="-2866" u="1"/>
        <n v="-732" u="1"/>
        <n v="-2736" u="1"/>
        <n v="-2606" u="1"/>
        <n v="-667" u="1"/>
        <n v="-2476" u="1"/>
        <n v="-2346" u="1"/>
        <n v="-602" u="1"/>
        <n v="-2216" u="1"/>
        <n v="44814" u="1"/>
        <n v="-2086" u="1"/>
        <n v="-537" u="1"/>
        <n v="44751" u="1"/>
        <n v="-2002" u="1"/>
        <n v="-130" u="1"/>
        <n v="-1937" u="1"/>
        <n v="-492" u="1"/>
        <n v="-3713" u="1"/>
        <n v="-1872" u="1"/>
        <n v="-3583" u="1"/>
        <n v="-1807" u="1"/>
        <n v="-3453" u="1"/>
        <n v="-1742" u="1"/>
        <n v="-3323" u="1"/>
        <n v="-1677" u="1"/>
        <n v="-427" u="1"/>
        <n v="-3193" u="1"/>
        <n v="-1612" u="1"/>
        <n v="-3063" u="1"/>
        <n v="-1547" u="1"/>
        <n v="-2933" u="1"/>
        <n v="-1482" u="1"/>
        <n v="-2803" u="1"/>
        <n v="-1417" u="1"/>
        <n v="-362" u="1"/>
        <n v="-2673" u="1"/>
        <n v="-1352" u="1"/>
        <n v="-2543" u="1"/>
        <n v="-1287" u="1"/>
        <n v="-2413" u="1"/>
        <n v="-1222" u="1"/>
        <n v="-2283" u="1"/>
        <n v="-1157" u="1"/>
        <n v="-297" u="1"/>
        <n v="-2153" u="1"/>
        <n v="-1092" u="1"/>
        <n v="-1027" u="1"/>
        <n v="-993" u="1"/>
        <n v="-64" u="1"/>
        <n v="-244" u="1"/>
        <n v="-3650" u="1"/>
        <n v="-928" u="1"/>
        <n v="-3520" u="1"/>
        <n v="-3390" u="1"/>
        <n v="-863" u="1"/>
        <n v="-3260" u="1"/>
        <n v="-3130" u="1"/>
        <n v="-798" u="1"/>
        <n v="-3000" u="1"/>
        <n v="-2870" u="1"/>
        <n v="-733" u="1"/>
        <n v="-2740" u="1"/>
        <n v="-179" u="1"/>
        <n v="-2610" u="1"/>
        <n v="-668" u="1"/>
        <n v="-2480" u="1"/>
        <n v="-2350" u="1"/>
        <n v="-603" u="1"/>
        <n v="-2220" u="1"/>
        <n v="-2090" u="1"/>
        <n v="-538" u="1"/>
        <n v="44815" u="1"/>
        <n v="-2004" u="1"/>
        <n v="44752" u="1"/>
        <n v="-1939" u="1"/>
        <n v="-3717" u="1"/>
        <n v="-1874" u="1"/>
        <n v="-121" u="1"/>
        <n v="-3587" u="1"/>
        <n v="-1809" u="1"/>
        <n v="-460" u="1"/>
        <n v="-3457" u="1"/>
        <n v="-1744" u="1"/>
        <n v="-3327" u="1"/>
        <n v="-1679" u="1"/>
        <n v="-3197" u="1"/>
        <n v="-1614" u="1"/>
        <n v="-3067" u="1"/>
        <n v="-1549" u="1"/>
        <n v="-395" u="1"/>
        <n v="-2937" u="1"/>
        <n v="-1484" u="1"/>
        <n v="-2807" u="1"/>
        <n v="-1419" u="1"/>
        <n v="-2677" u="1"/>
        <n v="-1354" u="1"/>
        <n v="-2547" u="1"/>
        <n v="-1289" u="1"/>
        <n v="-330" u="1"/>
        <n v="-2417" u="1"/>
        <n v="-1224" u="1"/>
        <n v="-2287" u="1"/>
        <n v="-1159" u="1"/>
        <n v="-2157" u="1"/>
        <n v="-1094" u="1"/>
        <n v="-1029" u="1"/>
        <n v="-265" u="1"/>
        <n v="-994" u="1"/>
        <n v="-3654" u="1"/>
        <n v="-929" u="1"/>
        <n v="-60" u="1"/>
        <n v="-3524" u="1"/>
        <n v="-228" u="1"/>
        <n v="-3394" u="1"/>
        <n v="-864" u="1"/>
        <n v="-3264" u="1"/>
        <n v="-3134" u="1"/>
        <n v="-799" u="1"/>
        <n v="-3004" u="1"/>
        <n v="-2874" u="1"/>
        <n v="-734" u="1"/>
        <n v="-2744" u="1"/>
        <n v="-2614" u="1"/>
        <n v="-669" u="1"/>
        <n v="-2484" u="1"/>
        <n v="-163" u="1"/>
        <n v="-2354" u="1"/>
        <n v="-604" u="1"/>
        <n v="-2224" u="1"/>
        <n v="-2094" u="1"/>
        <n v="-539" u="1"/>
        <n v="-2006" u="1"/>
        <n v="44816" u="1"/>
        <n v="-1941" u="1"/>
        <n v="-493" u="1"/>
        <n v="44753" u="1"/>
        <n v="-1876" u="1"/>
        <n v="-3591" u="1"/>
        <n v="-1811" u="1"/>
        <n v="44627" u="1"/>
        <n v="-3461" u="1"/>
        <n v="-1746" u="1"/>
        <n v="-113" u="1"/>
        <n v="-3331" u="1"/>
        <n v="-1681" u="1"/>
        <n v="-428" u="1"/>
        <n v="-3201" u="1"/>
        <n v="-1616" u="1"/>
        <n v="-3071" u="1"/>
        <n v="-1551" u="1"/>
        <n v="-2941" u="1"/>
        <n v="-1486" u="1"/>
        <n v="-2811" u="1"/>
        <n v="-1421" u="1"/>
        <n v="-363" u="1"/>
        <n v="-2681" u="1"/>
        <n v="-1356" u="1"/>
        <n v="-2551" u="1"/>
        <n v="-1291" u="1"/>
        <n v="-2421" u="1"/>
        <n v="-1226" u="1"/>
        <n v="-2291" u="1"/>
        <n v="-1161" u="1"/>
        <n v="-298" u="1"/>
        <n v="-2161" u="1"/>
        <n v="-1096" u="1"/>
        <n v="-1031" u="1"/>
        <n v="-995" u="1"/>
        <n v="-3658" u="1"/>
        <n v="-930" u="1"/>
        <n v="-3528" u="1"/>
        <n v="-3398" u="1"/>
        <n v="-865" u="1"/>
        <n v="-56" u="1"/>
        <n v="-3268" u="1"/>
        <n v="-212" u="1"/>
        <n v="-3138" u="1"/>
        <n v="-800" u="1"/>
        <n v="-3008" u="1"/>
        <n v="-2878" u="1"/>
        <n v="-735" u="1"/>
        <n v="-2748" u="1"/>
        <n v="-2618" u="1"/>
        <n v="-670" u="1"/>
        <n v="-2488" u="1"/>
        <n v="-2358" u="1"/>
        <n v="-605" u="1"/>
        <n v="-2228" u="1"/>
        <n v="-147" u="1"/>
        <n v="-2098" u="1"/>
        <n v="-540" u="1"/>
        <n v="-2008" u="1"/>
        <n v="-1943" u="1"/>
        <n v="44817" u="1"/>
        <n v="-1878" u="1"/>
        <n v="44754" u="1"/>
        <n v="-3595" u="1"/>
        <n v="-1813" u="1"/>
        <n v="-461" u="1"/>
        <n v="-3465" u="1"/>
        <n v="-1748" u="1"/>
        <n v="-3335" u="1"/>
        <n v="-1683" u="1"/>
        <n v="-3205" u="1"/>
        <n v="-1618" u="1"/>
        <n v="-105" u="1"/>
        <n v="72" u="1"/>
        <n v="-3075" u="1"/>
        <n v="-1553" u="1"/>
        <n v="-396" u="1"/>
        <n v="-2945" u="1"/>
        <n v="-1488" u="1"/>
        <n v="-2815" u="1"/>
        <n v="-1423" u="1"/>
        <n v="-2685" u="1"/>
        <n v="-1358" u="1"/>
        <n v="-2555" u="1"/>
        <n v="-1293" u="1"/>
        <n v="-331" u="1"/>
        <n v="-2425" u="1"/>
        <n v="-1228" u="1"/>
        <n v="-2295" u="1"/>
        <n v="-1163" u="1"/>
        <n v="-2165" u="1"/>
        <n v="-1098" u="1"/>
        <n v="-1033" u="1"/>
        <n v="-266" u="1"/>
        <n v="-996" u="1"/>
        <n v="-3662" u="1"/>
        <n v="-931" u="1"/>
        <n v="-3532" u="1"/>
        <n v="-3402" u="1"/>
        <n v="-866" u="1"/>
        <n v="-3272" u="1"/>
        <n v="-3142" u="1"/>
        <n v="-801" u="1"/>
        <n v="-52" u="1"/>
        <n v="-3012" u="1"/>
        <n v="-196" u="1"/>
        <n v="-2882" u="1"/>
        <n v="-736" u="1"/>
        <n v="-2752" u="1"/>
        <n v="-2622" u="1"/>
        <n v="-671" u="1"/>
        <n v="-2492" u="1"/>
        <n v="-2362" u="1"/>
        <n v="-606" u="1"/>
        <n v="-2232" u="1"/>
        <n v="-2102" u="1"/>
        <n v="-541" u="1"/>
        <n v="-2010" u="1"/>
        <n v="-131" u="1"/>
        <n v="-1945" u="1"/>
        <n v="-494" u="1"/>
        <n v="-1880" u="1"/>
        <n v="-3599" u="1"/>
        <n v="-1815" u="1"/>
        <n v="-3469" u="1"/>
        <n v="-1750" u="1"/>
        <n v="-3339" u="1"/>
        <n v="-1685" u="1"/>
        <n v="-429" u="1"/>
        <n v="-3209" u="1"/>
        <n v="-1620" u="1"/>
        <n v="-3079" u="1"/>
        <n v="-1555" u="1"/>
        <n v="-2949" u="1"/>
        <n v="-1490" u="1"/>
        <n v="-97" u="1"/>
        <n v="64" u="1"/>
        <n v="-2819" u="1"/>
        <n v="-1425" u="1"/>
        <n v="-364" u="1"/>
        <n v="-2689" u="1"/>
        <n v="-1360" u="1"/>
        <n v="-2559" u="1"/>
        <n v="-1295" u="1"/>
        <n v="-2429" u="1"/>
        <n v="-1230" u="1"/>
        <n v="-2299" u="1"/>
        <n v="-1165" u="1"/>
        <n v="-299" u="1"/>
        <n v="-2169" u="1"/>
        <n v="-1100" u="1"/>
        <n v="-1035" u="1"/>
        <n v="-997" u="1"/>
        <n v="-245" u="1"/>
        <n v="-3666" u="1"/>
        <n v="-932" u="1"/>
        <n v="-3536" u="1"/>
        <n v="-3406" u="1"/>
        <n v="-867" u="1"/>
        <n v="-3276" u="1"/>
        <n v="-3146" u="1"/>
        <n v="-802" u="1"/>
        <n v="-3016" u="1"/>
        <n v="-2886" u="1"/>
        <n v="-737" u="1"/>
        <n v="-48" u="1"/>
        <n v="-2756" u="1"/>
        <n v="-180" u="1"/>
        <n v="-2626" u="1"/>
        <n v="-672" u="1"/>
        <n v="-2496" u="1"/>
        <n v="-2366" u="1"/>
        <n v="-607" u="1"/>
        <n v="-2236" u="1"/>
        <n v="-2106" u="1"/>
        <n v="-542" u="1"/>
        <n v="-2012" u="1"/>
        <n v="-1947" u="1"/>
        <n v="-1882" u="1"/>
        <n v="-3603" u="1"/>
        <n v="-1817" u="1"/>
        <n v="-462" u="1"/>
        <n v="-3473" u="1"/>
        <n v="-1752" u="1"/>
        <n v="-3343" u="1"/>
        <n v="-1687" u="1"/>
        <n v="-3213" u="1"/>
        <n v="-1622" u="1"/>
        <n v="-3083" u="1"/>
        <n v="-1557" u="1"/>
        <n v="-397" u="1"/>
        <n v="-2953" u="1"/>
        <n v="-1492" u="1"/>
        <n v="-2823" u="1"/>
        <n v="-1427" u="1"/>
        <n v="-2693" u="1"/>
        <n v="-1362" u="1"/>
        <n v="-89" u="1"/>
        <n v="-2563" u="1"/>
        <n v="-1297" u="1"/>
        <n v="-332" u="1"/>
        <n v="-2433" u="1"/>
        <n v="-1232" u="1"/>
        <n v="-2303" u="1"/>
        <n v="-1167" u="1"/>
        <n v="-2173" u="1"/>
        <n v="-1102" u="1"/>
        <n v="-1037" u="1"/>
        <n v="-267" u="1"/>
        <n v="-998" u="1"/>
        <n v="-3670" u="1"/>
        <n v="-933" u="1"/>
        <n v="-3540" u="1"/>
        <n v="-229" u="1"/>
        <n v="-3410" u="1"/>
        <n v="-868" u="1"/>
        <n v="-3280" u="1"/>
        <n v="-3150" u="1"/>
        <n v="-803" u="1"/>
        <n v="-3020" u="1"/>
        <n v="-2890" u="1"/>
        <n v="-738" u="1"/>
        <n v="-2760" u="1"/>
        <n v="-2630" u="1"/>
        <n v="-673" u="1"/>
        <n v="-44" u="1"/>
        <n v="-2500" u="1"/>
        <n v="-164" u="1"/>
        <n v="-2370" u="1"/>
        <n v="-608" u="1"/>
        <n v="-2240" u="1"/>
        <n v="-2110" u="1"/>
        <n v="-543" u="1"/>
        <n v="-2014" u="1"/>
        <n v="-1949" u="1"/>
        <n v="-495" u="1"/>
        <n v="-1884" u="1"/>
        <n v="-3607" u="1"/>
        <n v="-1819" u="1"/>
        <n v="-3477" u="1"/>
        <n v="-1754" u="1"/>
        <n v="44820" u="1"/>
        <n v="-3347" u="1"/>
        <n v="-1689" u="1"/>
        <n v="-430" u="1"/>
        <n v="44757" u="1"/>
        <n v="-3217" u="1"/>
        <n v="-1624" u="1"/>
        <n v="-3087" u="1"/>
        <n v="-1559" u="1"/>
        <n v="-2957" u="1"/>
        <n v="-1494" u="1"/>
        <n v="-2827" u="1"/>
        <n v="-1429" u="1"/>
        <n v="-365" u="1"/>
        <n v="-2697" u="1"/>
        <n v="-1364" u="1"/>
        <n v="-2567" u="1"/>
        <n v="-1299" u="1"/>
        <n v="-2437" u="1"/>
        <n v="-1234" u="1"/>
        <n v="-81" u="1"/>
        <n v="-2307" u="1"/>
        <n v="-1169" u="1"/>
        <n v="-300" u="1"/>
        <n v="-2177" u="1"/>
        <n v="-1104" u="1"/>
        <n v="-1039" u="1"/>
        <n v="-999" u="1"/>
        <n v="-3674" u="1"/>
        <n v="-934" u="1"/>
        <n v="-3544" u="1"/>
        <n v="-3414" u="1"/>
        <n v="-869" u="1"/>
        <n v="-3284" u="1"/>
        <n v="-213" u="1"/>
        <n v="-3154" u="1"/>
        <n v="-804" u="1"/>
        <n v="-3024" u="1"/>
        <n v="-2894" u="1"/>
        <n v="-739" u="1"/>
        <n v="-2764" u="1"/>
        <n v="-2634" u="1"/>
        <n v="-674" u="1"/>
        <n v="-2504" u="1"/>
        <n v="-2374" u="1"/>
        <n v="-609" u="1"/>
        <n v="-40" u="1"/>
        <n v="-2244" u="1"/>
        <n v="-148" u="1"/>
        <n v="-2114" u="1"/>
        <n v="-544" u="1"/>
        <n v="-2016" u="1"/>
        <n v="-1951" u="1"/>
        <n v="-1886" u="1"/>
        <n v="-3611" u="1"/>
        <n v="-1821" u="1"/>
        <n v="-463" u="1"/>
        <n v="-3481" u="1"/>
        <n v="-1756" u="1"/>
        <n v="-3351" u="1"/>
        <n v="-1691" u="1"/>
        <n v="-3221" u="1"/>
        <n v="-1626" u="1"/>
        <n v="44758" u="1"/>
        <n v="-3091" u="1"/>
        <n v="-1561" u="1"/>
        <n v="-398" u="1"/>
        <n v="-2961" u="1"/>
        <n v="-1496" u="1"/>
        <n v="-2831" u="1"/>
        <n v="-1431" u="1"/>
        <n v="-2701" u="1"/>
        <n v="-1366" u="1"/>
        <n v="-2571" u="1"/>
        <n v="-1301" u="1"/>
        <n v="-333" u="1"/>
        <n v="-2441" u="1"/>
        <n v="-1236" u="1"/>
        <n v="-2311" u="1"/>
        <n v="-1171" u="1"/>
        <n v="-2181" u="1"/>
        <n v="-1106" u="1"/>
        <n v="-73" u="1"/>
        <n v="52" u="1"/>
        <n v="-2051" u="1"/>
        <n v="-1041" u="1"/>
        <n v="-268" u="1"/>
        <n v="-1000" u="1"/>
        <n v="-3678" u="1"/>
        <n v="-935" u="1"/>
        <n v="-3548" u="1"/>
        <n v="-3418" u="1"/>
        <n v="-870" u="1"/>
        <n v="-3288" u="1"/>
        <n v="-3158" u="1"/>
        <n v="-805" u="1"/>
        <n v="-3028" u="1"/>
        <n v="-197" u="1"/>
        <n v="-2898" u="1"/>
        <n v="-740" u="1"/>
        <n v="-2768" u="1"/>
        <n v="-2638" u="1"/>
        <n v="-675" u="1"/>
        <n v="-2508" u="1"/>
        <n v="-2378" u="1"/>
        <n v="-610" u="1"/>
        <n v="-2248" u="1"/>
        <n v="-2118" u="1"/>
        <n v="-545" u="1"/>
        <n v="-36" u="1"/>
        <n v="-2018" u="1"/>
        <n v="-132" u="1"/>
        <n v="-1953" u="1"/>
        <n v="-496" u="1"/>
        <n v="-1888" u="1"/>
        <n v="-3615" u="1"/>
        <n v="-1823" u="1"/>
        <n v="-3485" u="1"/>
        <n v="-1758" u="1"/>
        <n v="-3355" u="1"/>
        <n v="-1693" u="1"/>
        <n v="-431" u="1"/>
        <n v="-3225" u="1"/>
        <n v="-1628" u="1"/>
        <n v="-3095" u="1"/>
        <n v="-1563" u="1"/>
        <n v="-2965" u="1"/>
        <n v="-1498" u="1"/>
        <n v="-2835" u="1"/>
        <n v="-1433" u="1"/>
        <n v="-366" u="1"/>
        <n v="44633" u="1"/>
        <n v="-2705" u="1"/>
        <n v="-1368" u="1"/>
        <n v="-2575" u="1"/>
        <n v="-1303" u="1"/>
        <n v="-2445" u="1"/>
        <n v="-1238" u="1"/>
        <n v="-2315" u="1"/>
        <n v="-1173" u="1"/>
        <n v="-301" u="1"/>
        <n v="-2185" u="1"/>
        <n v="-1108" u="1"/>
        <n v="-2055" u="1"/>
        <n v="-1043" u="1"/>
        <n v="-1001" u="1"/>
        <n v="-65" u="1"/>
        <n v="48" u="1"/>
        <n v="-246" u="1"/>
        <n v="-3682" u="1"/>
        <n v="-936" u="1"/>
        <n v="-3552" u="1"/>
        <n v="-3422" u="1"/>
        <n v="-871" u="1"/>
        <n v="-3292" u="1"/>
        <n v="-3162" u="1"/>
        <n v="-806" u="1"/>
        <n v="-3032" u="1"/>
        <n v="-2902" u="1"/>
        <n v="-741" u="1"/>
        <n v="-2772" u="1"/>
        <n v="-181" u="1"/>
        <n v="-2642" u="1"/>
        <n v="-676" u="1"/>
        <n v="-2512" u="1"/>
        <n v="-2382" u="1"/>
        <n v="-611" u="1"/>
        <n v="-2252" u="1"/>
        <n v="-2122" u="1"/>
        <n v="-546" u="1"/>
        <n v="-2020" u="1"/>
        <n v="-1955" u="1"/>
        <n v="-32" u="1"/>
        <n v="-1890" u="1"/>
        <n v="-122" u="1"/>
        <n v="-3619" u="1"/>
        <n v="-1825" u="1"/>
        <n v="-464" u="1"/>
        <n v="-3489" u="1"/>
        <n v="-1760" u="1"/>
        <n v="-3359" u="1"/>
        <n v="-1695" u="1"/>
        <n v="-3229" u="1"/>
        <n v="-1630" u="1"/>
        <n v="-3099" u="1"/>
        <n v="-1565" u="1"/>
        <n v="-399" u="1"/>
        <n v="-2969" u="1"/>
        <n v="-1500" u="1"/>
        <n v="44760" u="1"/>
        <n v="-2839" u="1"/>
        <n v="-1435" u="1"/>
        <n v="44697" u="1"/>
        <n v="-2709" u="1"/>
        <n v="-1370" u="1"/>
        <n v="-2579" u="1"/>
        <n v="-1305" u="1"/>
        <n v="-334" u="1"/>
        <n v="-2449" u="1"/>
        <n v="-1240" u="1"/>
        <n v="-2319" u="1"/>
        <n v="-1175" u="1"/>
        <n v="-2189" u="1"/>
        <n v="-1110" u="1"/>
        <n v="-2059" u="1"/>
        <n v="-1045" u="1"/>
        <n v="-269" u="1"/>
        <n v="-1002" u="1"/>
        <n v="-3686" u="1"/>
        <n v="-937" u="1"/>
        <n v="44" u="1"/>
        <n v="-3556" u="1"/>
        <n v="-230" u="1"/>
        <n v="-3426" u="1"/>
        <n v="-872" u="1"/>
        <n v="-3296" u="1"/>
        <n v="-3166" u="1"/>
        <n v="-807" u="1"/>
        <n v="-3036" u="1"/>
        <n v="-2906" u="1"/>
        <n v="-742" u="1"/>
        <n v="-2776" u="1"/>
        <n v="-2646" u="1"/>
        <n v="-677" u="1"/>
        <n v="-2516" u="1"/>
        <n v="-165" u="1"/>
        <n v="-2386" u="1"/>
        <n v="-612" u="1"/>
        <n v="-2256" u="1"/>
        <n v="-2126" u="1"/>
        <n v="-547" u="1"/>
        <n v="-2022" u="1"/>
        <n v="-1957" u="1"/>
        <n v="-497" u="1"/>
        <n v="-1892" u="1"/>
        <n v="-3623" u="1"/>
        <n v="-1827" u="1"/>
        <n v="-30" u="1"/>
        <n v="-3493" u="1"/>
        <n v="-1762" u="1"/>
        <n v="-114" u="1"/>
        <n v="-3363" u="1"/>
        <n v="-1697" u="1"/>
        <n v="-432" u="1"/>
        <n v="-3233" u="1"/>
        <n v="-1632" u="1"/>
        <n v="-3103" u="1"/>
        <n v="-1567" u="1"/>
        <n v="-2973" u="1"/>
        <n v="-1502" u="1"/>
        <n v="-2843" u="1"/>
        <n v="-1437" u="1"/>
        <n v="-367" u="1"/>
        <n v="44761" u="1"/>
        <n v="-2713" u="1"/>
        <n v="-1372" u="1"/>
        <n v="-2583" u="1"/>
        <n v="-1307" u="1"/>
        <n v="-2453" u="1"/>
        <n v="-1242" u="1"/>
        <n v="-2323" u="1"/>
        <n v="-1177" u="1"/>
        <n v="-302" u="1"/>
        <n v="-2193" u="1"/>
        <n v="-1112" u="1"/>
        <n v="-2063" u="1"/>
        <n v="-1047" u="1"/>
        <n v="-1003" u="1"/>
        <n v="-3690" u="1"/>
        <n v="-938" u="1"/>
        <n v="-3560" u="1"/>
        <n v="-3430" u="1"/>
        <n v="-873" u="1"/>
        <n v="-3300" u="1"/>
        <n v="-214" u="1"/>
        <n v="-3170" u="1"/>
        <n v="-808" u="1"/>
        <n v="-3040" u="1"/>
        <n v="-2910" u="1"/>
        <n v="-743" u="1"/>
        <n v="-2780" u="1"/>
        <n v="-2650" u="1"/>
        <n v="-678" u="1"/>
        <n v="-2520" u="1"/>
        <n v="-2390" u="1"/>
        <n v="-613" u="1"/>
        <n v="-2260" u="1"/>
        <n v="-149" u="1"/>
        <n v="-2130" u="1"/>
        <n v="-548" u="1"/>
        <n v="-2024" u="1"/>
        <n v="-1959" u="1"/>
        <n v="-1894" u="1"/>
        <n v="-3627" u="1"/>
        <n v="-1829" u="1"/>
        <n v="-465" u="1"/>
        <n v="-3497" u="1"/>
        <n v="-1764" u="1"/>
        <n v="-3367" u="1"/>
        <n v="-1699" u="1"/>
        <n v="-28" u="1"/>
        <n v="-3237" u="1"/>
        <n v="-1634" u="1"/>
        <n v="-106" u="1"/>
        <n v="73" u="1"/>
        <n v="-3107" u="1"/>
        <n v="-1569" u="1"/>
        <n v="-400" u="1"/>
        <n v="-2977" u="1"/>
        <n v="-1504" u="1"/>
        <n v="-2847" u="1"/>
        <n v="-1439" u="1"/>
        <n v="-2717" u="1"/>
        <n v="-1374" u="1"/>
        <n v="-2587" u="1"/>
        <n v="-1309" u="1"/>
        <n v="-335" u="1"/>
        <n v="-2457" u="1"/>
        <n v="-1244" u="1"/>
        <n v="-2327" u="1"/>
        <n v="-1179" u="1"/>
        <n v="-2197" u="1"/>
        <n v="-1114" u="1"/>
        <n v="-2067" u="1"/>
        <n v="-1049" u="1"/>
        <n v="-270" u="1"/>
        <n v="-1004" u="1"/>
        <n v="-3694" u="1"/>
        <n v="-939" u="1"/>
        <n v="-3564" u="1"/>
        <n v="-3434" u="1"/>
        <n v="-874" u="1"/>
        <n v="-3304" u="1"/>
        <n v="-3174" u="1"/>
        <n v="-809" u="1"/>
        <n v="36" u="1"/>
        <n v="-3044" u="1"/>
        <n v="-198" u="1"/>
        <n v="-2914" u="1"/>
        <n v="-744" u="1"/>
        <n v="-2784" u="1"/>
        <n v="-2654" u="1"/>
        <n v="-679" u="1"/>
        <n v="-2524" u="1"/>
        <n v="-2394" u="1"/>
        <n v="-614" u="1"/>
        <n v="-2264" u="1"/>
        <n v="-2134" u="1"/>
        <n v="-549" u="1"/>
        <n v="-2026" u="1"/>
        <n v="-133" u="1"/>
        <n v="-1961" u="1"/>
        <n v="-498" u="1"/>
        <n v="-1896" u="1"/>
        <n v="-3631" u="1"/>
        <n v="-1831" u="1"/>
        <n v="-3501" u="1"/>
        <n v="-1766" u="1"/>
        <n v="-3371" u="1"/>
        <n v="-1701" u="1"/>
        <n v="-433" u="1"/>
        <n v="-3241" u="1"/>
        <n v="-1636" u="1"/>
        <n v="-3111" u="1"/>
        <n v="-1571" u="1"/>
        <n v="-26" u="1"/>
        <n v="-2981" u="1"/>
        <n v="-1506" u="1"/>
        <n v="-98" u="1"/>
        <n v="65" u="1"/>
        <n v="-2851" u="1"/>
        <n v="-1441" u="1"/>
        <n v="-368" u="1"/>
        <n v="-2721" u="1"/>
        <n v="-1376" u="1"/>
        <n v="-2591" u="1"/>
        <n v="-1311" u="1"/>
        <n v="-2461" u="1"/>
        <n v="-1246" u="1"/>
        <n v="-2331" u="1"/>
        <n v="-1181" u="1"/>
        <n v="-303" u="1"/>
        <n v="-2201" u="1"/>
        <n v="-1116" u="1"/>
        <n v="-2071" u="1"/>
        <n v="-1051" u="1"/>
        <n v="-1005" u="1"/>
        <n v="-247" u="1"/>
        <n v="-3698" u="1"/>
        <n v="-940" u="1"/>
        <n v="-3568" u="1"/>
        <n v="-3438" u="1"/>
        <n v="-875" u="1"/>
        <n v="-3308" u="1"/>
        <n v="-3178" u="1"/>
        <n v="-810" u="1"/>
        <n v="-3048" u="1"/>
        <n v="-2918" u="1"/>
        <n v="-745" u="1"/>
        <n v="32" u="1"/>
        <n v="-2788" u="1"/>
        <n v="-182" u="1"/>
        <n v="-2658" u="1"/>
        <n v="-680" u="1"/>
        <n v="-2528" u="1"/>
        <n v="-2398" u="1"/>
        <n v="-615" u="1"/>
        <n v="-2268" u="1"/>
        <n v="-2138" u="1"/>
        <n v="-550" u="1"/>
        <n v="-2028" u="1"/>
        <n v="-1963" u="1"/>
        <n v="-1898" u="1"/>
        <n v="-3635" u="1"/>
        <n v="-1833" u="1"/>
        <n v="-466" u="1"/>
        <n v="-3505" u="1"/>
        <n v="-1768" u="1"/>
        <n v="-3375" u="1"/>
        <n v="-1703" u="1"/>
        <n v="-3245" u="1"/>
        <n v="-1638" u="1"/>
        <n v="-3115" u="1"/>
        <n v="-1573" u="1"/>
        <n v="-401" u="1"/>
        <n v="-2985" u="1"/>
        <n v="-1508" u="1"/>
        <n v="-2855" u="1"/>
        <n v="-1443" u="1"/>
        <n v="-24" u="1"/>
        <n v="-2725" u="1"/>
        <n v="-1378" u="1"/>
        <n v="-90" u="1"/>
        <n v="-2595" u="1"/>
        <n v="-1313" u="1"/>
        <n v="-336" u="1"/>
        <n v="-2465" u="1"/>
        <n v="-1248" u="1"/>
        <n v="44764" u="1"/>
        <n v="-2335" u="1"/>
        <n v="-1183" u="1"/>
        <n v="-2205" u="1"/>
        <n v="-1118" u="1"/>
        <n v="-2075" u="1"/>
        <n v="-1053" u="1"/>
        <n v="-271" u="1"/>
        <n v="-1006" u="1"/>
        <n v="-3702" u="1"/>
        <n v="-941" u="1"/>
        <n v="-3572" u="1"/>
        <n v="-231" u="1"/>
        <n v="-3442" u="1"/>
        <n v="-876" u="1"/>
        <n v="-3312" u="1"/>
        <n v="-3182" u="1"/>
        <n v="-811" u="1"/>
        <n v="-3052" u="1"/>
        <n v="-2922" u="1"/>
        <n v="-746" u="1"/>
        <n v="-2792" u="1"/>
        <n v="-2662" u="1"/>
        <n v="-681" u="1"/>
        <n v="30" u="1"/>
        <n v="-2532" u="1"/>
        <n v="-166" u="1"/>
        <n v="-2402" u="1"/>
        <n v="-616" u="1"/>
        <n v="-2272" u="1"/>
        <n v="-2142" u="1"/>
        <n v="-551" u="1"/>
        <n v="-2030" u="1"/>
        <n v="-1965" u="1"/>
        <n v="-499" u="1"/>
        <n v="-1900" u="1"/>
        <n v="-3639" u="1"/>
        <n v="-1835" u="1"/>
        <n v="-3509" u="1"/>
        <n v="-1770" u="1"/>
        <n v="-3379" u="1"/>
        <n v="-1705" u="1"/>
        <n v="-434" u="1"/>
        <n v="-3249" u="1"/>
        <n v="-1640" u="1"/>
        <n v="-3119" u="1"/>
        <n v="-1575" u="1"/>
        <n v="-2989" u="1"/>
        <n v="-1510" u="1"/>
        <n v="-2859" u="1"/>
        <n v="-1445" u="1"/>
        <n v="-369" u="1"/>
        <n v="-2729" u="1"/>
        <n v="-1380" u="1"/>
        <n v="-2599" u="1"/>
        <n v="-1315" u="1"/>
        <n v="-22" u="1"/>
        <n v="-2469" u="1"/>
        <n v="-1250" u="1"/>
        <n v="-82" u="1"/>
        <n v="-2339" u="1"/>
        <n v="-1185" u="1"/>
        <n v="-304" u="1"/>
        <n v="44765" u="1"/>
        <n v="-2209" u="1"/>
        <n v="-1120" u="1"/>
        <n v="44702" u="1"/>
        <n v="-2079" u="1"/>
        <n v="-1055" u="1"/>
        <n v="-1007" u="1"/>
        <n v="-3706" u="1"/>
        <n v="-942" u="1"/>
        <n v="-3576" u="1"/>
        <n v="-3446" u="1"/>
        <n v="-877" u="1"/>
        <n v="-3316" u="1"/>
        <n v="-215" u="1"/>
        <n v="-3186" u="1"/>
        <n v="-812" u="1"/>
        <n v="-3056" u="1"/>
        <n v="-2926" u="1"/>
        <n v="-747" u="1"/>
        <n v="-2796" u="1"/>
        <n v="-2666" u="1"/>
        <n v="-682" u="1"/>
        <n v="-2536" u="1"/>
        <n v="-2406" u="1"/>
        <n v="-617" u="1"/>
        <n v="28" u="1"/>
        <n v="-2276" u="1"/>
        <n v="-150" u="1"/>
        <n v="-2146" u="1"/>
        <n v="-552" u="1"/>
        <n v="-2032" u="1"/>
        <n v="-1967" u="1"/>
        <n v="-1902" u="1"/>
        <n v="-3643" u="1"/>
        <n v="-1837" u="1"/>
        <n v="-467" u="1"/>
        <n v="-3513" u="1"/>
        <n v="-1772" u="1"/>
        <n v="-3383" u="1"/>
        <n v="-1707" u="1"/>
        <n v="-3253" u="1"/>
        <n v="-1642" u="1"/>
        <n v="-3123" u="1"/>
        <n v="-1577" u="1"/>
        <n v="-402" u="1"/>
        <n v="-2993" u="1"/>
        <n v="-1512" u="1"/>
        <n v="-2863" u="1"/>
        <n v="-1447" u="1"/>
        <n v="-2733" u="1"/>
        <n v="-1382" u="1"/>
        <n v="-2603" u="1"/>
        <n v="-1317" u="1"/>
        <n v="-337" u="1"/>
        <n v="-2473" u="1"/>
        <n v="-1252" u="1"/>
        <n v="-2343" u="1"/>
        <n v="-1187" u="1"/>
        <n v="-20" u="1"/>
        <n v="-2213" u="1"/>
        <n v="-1122" u="1"/>
        <n v="-74" u="1"/>
        <n v="44766" u="1"/>
        <n v="-2083" u="1"/>
        <n v="-1057" u="1"/>
        <n v="-272" u="1"/>
        <n v="44703" u="1"/>
        <n v="-1008" u="1"/>
        <n v="-3710" u="1"/>
        <n v="-943" u="1"/>
        <n v="-3580" u="1"/>
        <n v="-3450" u="1"/>
        <n v="-878" u="1"/>
        <n v="-3320" u="1"/>
        <n v="-3190" u="1"/>
        <n v="-813" u="1"/>
        <n v="-3060" u="1"/>
        <n v="-199" u="1"/>
        <n v="-2930" u="1"/>
        <n v="-748" u="1"/>
        <n v="-2800" u="1"/>
        <n v="-2670" u="1"/>
        <n v="-683" u="1"/>
        <n v="-2540" u="1"/>
        <n v="-2410" u="1"/>
        <n v="-618" u="1"/>
        <n v="-2280" u="1"/>
        <n v="-2150" u="1"/>
        <n v="-553" u="1"/>
        <n v="26" u="1"/>
        <n v="-2034" u="1"/>
        <n v="-134" u="1"/>
        <n v="-1969" u="1"/>
        <n v="-500" u="1"/>
        <n v="-1904" u="1"/>
        <n v="-3647" u="1"/>
        <n v="-1839" u="1"/>
        <n v="-3517" u="1"/>
        <n v="-1774" u="1"/>
        <n v="-3387" u="1"/>
        <n v="-1709" u="1"/>
        <n v="-435" u="1"/>
        <n v="-3257" u="1"/>
        <n v="-1644" u="1"/>
        <n v="-3127" u="1"/>
        <n v="-1579" u="1"/>
        <n v="-2997" u="1"/>
        <n v="-1514" u="1"/>
        <n v="-2867" u="1"/>
        <n v="-1449" u="1"/>
        <n v="-370" u="1"/>
        <n v="-2737" u="1"/>
        <n v="-1384" u="1"/>
        <n v="-2607" u="1"/>
        <n v="-1319" u="1"/>
        <n v="-2477" u="1"/>
        <n v="-1254" u="1"/>
        <n v="-2347" u="1"/>
        <n v="-1189" u="1"/>
        <n v="-305" u="1"/>
        <n v="-2217" u="1"/>
        <n v="-1124" u="1"/>
        <n v="-2087" u="1"/>
        <n v="-1059" u="1"/>
        <n v="-18" u="1"/>
        <n v="-1009" u="1"/>
        <n v="-66" u="1"/>
        <n v="-248" u="1"/>
        <n v="-3714" u="1"/>
        <n v="-944" u="1"/>
        <n v="-3584" u="1"/>
        <n v="-3454" u="1"/>
        <n v="-879" u="1"/>
        <n v="-3324" u="1"/>
        <n v="-3194" u="1"/>
        <n v="-814" u="1"/>
        <n v="-3064" u="1"/>
        <n v="-2934" u="1"/>
        <n v="-749" u="1"/>
        <n v="-2804" u="1"/>
        <n v="-183" u="1"/>
        <n v="-2674" u="1"/>
        <n v="-684" u="1"/>
        <n v="-2544" u="1"/>
        <n v="-2414" u="1"/>
        <n v="-619" u="1"/>
        <n v="-2284" u="1"/>
        <n v="-2154" u="1"/>
        <n v="-554" u="1"/>
        <n v="-2036" u="1"/>
        <n v="-1971" u="1"/>
        <n v="24" u="1"/>
        <n v="-1906" u="1"/>
        <n v="-123" u="1"/>
        <n v="-3651" u="1"/>
        <n v="-1841" u="1"/>
        <n v="-468" u="1"/>
        <n v="-3521" u="1"/>
        <n v="-1776" u="1"/>
        <n v="-3391" u="1"/>
        <n v="-1711" u="1"/>
        <n v="-3261" u="1"/>
        <n v="-1646" u="1"/>
        <n v="-3131" u="1"/>
        <n v="-1581" u="1"/>
        <n v="-403" u="1"/>
        <n v="-3001" u="1"/>
        <n v="-1516" u="1"/>
        <n v="-2871" u="1"/>
        <n v="-1451" u="1"/>
        <n v="-2741" u="1"/>
        <n v="-1386" u="1"/>
        <n v="-2611" u="1"/>
        <n v="-1321" u="1"/>
        <n v="-338" u="1"/>
        <n v="-2481" u="1"/>
        <n v="-1256" u="1"/>
        <n v="-2351" u="1"/>
        <n v="-1191" u="1"/>
        <n v="-2221" u="1"/>
        <n v="-1126" u="1"/>
        <n v="-2091" u="1"/>
        <n v="-1061" u="1"/>
        <n v="-273" u="1"/>
        <n v="-1010" u="1"/>
        <n v="44768" u="1"/>
        <n v="-16" u="1"/>
        <n v="-3718" u="1"/>
        <n v="-945" u="1"/>
        <n v="-61" u="1"/>
        <n v="-3588" u="1"/>
        <n v="-232" u="1"/>
        <n v="-3458" u="1"/>
        <n v="-880" u="1"/>
        <n v="-3328" u="1"/>
        <n v="-3198" u="1"/>
        <n v="-815" u="1"/>
        <n v="-3068" u="1"/>
        <n v="-2938" u="1"/>
        <n v="-750" u="1"/>
        <n v="-2808" u="1"/>
        <n v="-2678" u="1"/>
        <n v="-685" u="1"/>
        <n v="-2548" u="1"/>
        <n v="-167" u="1"/>
        <n v="-2418" u="1"/>
        <n v="-620" u="1"/>
        <n v="-2288" u="1"/>
        <n v="-2158" u="1"/>
        <n v="-555" u="1"/>
        <n v="-2038" u="1"/>
        <n v="-1973" u="1"/>
        <n v="-501" u="1"/>
        <n v="-1908" u="1"/>
        <n v="-3655" u="1"/>
        <n v="-1843" u="1"/>
        <n v="22" u="1"/>
        <n v="-3525" u="1"/>
        <n v="-1778" u="1"/>
        <n v="-115" u="1"/>
        <n v="-3395" u="1"/>
        <n v="-1713" u="1"/>
        <n v="-436" u="1"/>
        <n v="-3265" u="1"/>
        <n v="-1648" u="1"/>
        <n v="-3135" u="1"/>
        <n v="-1583" u="1"/>
        <n v="-3005" u="1"/>
        <n v="-1518" u="1"/>
        <n v="-2875" u="1"/>
        <n v="-1453" u="1"/>
        <n v="-371" u="1"/>
        <n v="-2745" u="1"/>
        <n v="-1388" u="1"/>
        <n v="-2615" u="1"/>
        <n v="-1323" u="1"/>
        <n v="-2485" u="1"/>
        <n v="-1258" u="1"/>
        <n v="-2355" u="1"/>
        <n v="-1193" u="1"/>
        <n v="-306" u="1"/>
        <n v="-2225" u="1"/>
        <n v="-1128" u="1"/>
        <n v="-2095" u="1"/>
        <n v="-1063" u="1"/>
        <n v="-1011" u="1"/>
        <n v="-946" u="1"/>
        <n v="-3592" u="1"/>
        <n v="-15" u="1"/>
        <n v="-3462" u="1"/>
        <n v="-881" u="1"/>
        <n v="-57" u="1"/>
        <n v="-3332" u="1"/>
        <n v="-216" u="1"/>
        <n v="-3202" u="1"/>
        <n v="-816" u="1"/>
        <n v="-3072" u="1"/>
        <n v="-2942" u="1"/>
        <n v="-751" u="1"/>
        <n v="-2812" u="1"/>
        <n v="-2682" u="1"/>
        <n v="-686" u="1"/>
        <n v="-2552" u="1"/>
        <n v="-2422" u="1"/>
        <n v="-621" u="1"/>
        <n v="-2292" u="1"/>
        <n v="-151" u="1"/>
        <n v="-2162" u="1"/>
        <n v="-556" u="1"/>
        <n v="-2040" u="1"/>
        <n v="-1975" u="1"/>
        <n v="-1910" u="1"/>
        <n v="-3659" u="1"/>
        <n v="-1845" u="1"/>
        <n v="-469" u="1"/>
        <n v="-3529" u="1"/>
        <n v="-1780" u="1"/>
        <n v="-3399" u="1"/>
        <n v="-1715" u="1"/>
        <n v="20" u="1"/>
        <n v="-3269" u="1"/>
        <n v="-1650" u="1"/>
        <n v="-107" u="1"/>
        <n v="-3139" u="1"/>
        <n v="-1585" u="1"/>
        <n v="-404" u="1"/>
        <n v="-3009" u="1"/>
        <n v="-1520" u="1"/>
        <n v="-2879" u="1"/>
        <n v="-1455" u="1"/>
        <n v="-2749" u="1"/>
        <n v="-1390" u="1"/>
        <n v="-2619" u="1"/>
        <n v="-1325" u="1"/>
        <n v="-339" u="1"/>
        <n v="-2489" u="1"/>
        <n v="-1260" u="1"/>
        <n v="-2359" u="1"/>
        <n v="-1195" u="1"/>
        <n v="-2229" u="1"/>
        <n v="-1130" u="1"/>
        <n v="-2099" u="1"/>
        <n v="-1065" u="1"/>
        <n v="-274" u="1"/>
        <n v="-1012" u="1"/>
        <n v="-947" u="1"/>
        <n v="-3596" u="1"/>
        <n v="-3466" u="1"/>
        <n v="-882" u="1"/>
        <n v="-3336" u="1"/>
        <n v="-14" u="1"/>
        <n v="-3206" u="1"/>
        <n v="-817" u="1"/>
        <n v="-53" u="1"/>
        <n v="-3076" u="1"/>
        <n v="-200" u="1"/>
        <n v="-2946" u="1"/>
        <n v="-752" u="1"/>
        <n v="-2816" u="1"/>
        <n v="-2686" u="1"/>
        <n v="-687" u="1"/>
        <n v="-2556" u="1"/>
        <n v="-2426" u="1"/>
        <n v="-622" u="1"/>
        <n v="-2296" u="1"/>
        <n v="-2166" u="1"/>
        <n v="-557" u="1"/>
        <n v="-2042" u="1"/>
        <n v="-135" u="1"/>
        <n v="-1977" u="1"/>
        <n v="-502" u="1"/>
        <n v="-1912" u="1"/>
        <n v="-3663" u="1"/>
        <n v="-1847" u="1"/>
        <n v="-3533" u="1"/>
        <n v="-1782" u="1"/>
        <n v="-3403" u="1"/>
        <n v="-1717" u="1"/>
        <n v="-437" u="1"/>
        <n v="-3273" u="1"/>
        <n v="-1652" u="1"/>
        <n v="-3143" u="1"/>
        <n v="-1587" u="1"/>
        <n v="18" u="1"/>
        <n v="-3013" u="1"/>
        <n v="-1522" u="1"/>
        <n v="-99" u="1"/>
        <n v="66" u="1"/>
        <n v="-2883" u="1"/>
        <n v="-1457" u="1"/>
        <n v="-372" u="1"/>
        <n v="-2753" u="1"/>
        <n v="-1392" u="1"/>
        <n v="-2623" u="1"/>
        <n v="-1327" u="1"/>
        <n v="-2493" u="1"/>
        <n v="-1262" u="1"/>
        <n v="-2363" u="1"/>
        <n v="-1197" u="1"/>
        <n v="-307" u="1"/>
        <n v="-2233" u="1"/>
        <n v="-1132" u="1"/>
        <n v="-2103" u="1"/>
        <n v="-1067" u="1"/>
        <n v="-1013" u="1"/>
        <n v="-249" u="1"/>
        <n v="-948" u="1"/>
        <n v="-3600" u="1"/>
        <n v="44771" u="1"/>
        <n v="-3470" u="1"/>
        <n v="-883" u="1"/>
        <n v="-3340" u="1"/>
        <n v="-3210" u="1"/>
        <n v="-818" u="1"/>
        <n v="-3080" u="1"/>
        <n v="-13" u="1"/>
        <n v="-2950" u="1"/>
        <n v="-753" u="1"/>
        <n v="-49" u="1"/>
        <n v="-2820" u="1"/>
        <n v="-184" u="1"/>
        <n v="-2690" u="1"/>
        <n v="-688" u="1"/>
        <n v="-2560" u="1"/>
        <n v="-2430" u="1"/>
        <n v="-623" u="1"/>
        <n v="-2300" u="1"/>
        <n v="-2170" u="1"/>
        <n v="-558" u="1"/>
        <n v="-2044" u="1"/>
        <n v="-1979" u="1"/>
        <n v="-1914" u="1"/>
        <n v="-3667" u="1"/>
        <n v="-1849" u="1"/>
        <n v="-470" u="1"/>
        <n v="-3537" u="1"/>
        <n v="-1784" u="1"/>
        <n v="-3407" u="1"/>
        <n v="-1719" u="1"/>
        <n v="-3277" u="1"/>
        <n v="-1654" u="1"/>
        <n v="-3147" u="1"/>
        <n v="-1589" u="1"/>
        <n v="-405" u="1"/>
        <n v="-3017" u="1"/>
        <n v="-1524" u="1"/>
        <n v="-2887" u="1"/>
        <n v="-1459" u="1"/>
        <n v="16" u="1"/>
        <n v="-2757" u="1"/>
        <n v="-1394" u="1"/>
        <n v="-91" u="1"/>
        <n v="-2627" u="1"/>
        <n v="-1329" u="1"/>
        <n v="-340" u="1"/>
        <n v="-2497" u="1"/>
        <n v="-1264" u="1"/>
        <n v="-2367" u="1"/>
        <n v="-1199" u="1"/>
        <n v="-2237" u="1"/>
        <n v="-1134" u="1"/>
        <n v="-2107" u="1"/>
        <n v="-1069" u="1"/>
        <n v="-275" u="1"/>
        <n v="-1014" u="1"/>
        <n v="-949" u="1"/>
        <n v="-3604" u="1"/>
        <n v="-233" u="1"/>
        <n v="44835" u="1"/>
        <n v="-3474" u="1"/>
        <n v="-884" u="1"/>
        <n v="44772" u="1"/>
        <n v="-3344" u="1"/>
        <n v="-3214" u="1"/>
        <n v="-819" u="1"/>
        <n v="-3084" u="1"/>
        <n v="-2954" u="1"/>
        <n v="-754" u="1"/>
        <n v="-2824" u="1"/>
        <n v="-12" u="1"/>
        <n v="-2694" u="1"/>
        <n v="-689" u="1"/>
        <n v="-45" u="1"/>
        <n v="-2564" u="1"/>
        <n v="-168" u="1"/>
        <n v="-2434" u="1"/>
        <n v="-624" u="1"/>
        <n v="-2304" u="1"/>
        <n v="-2174" u="1"/>
        <n v="-559" u="1"/>
        <n v="-2046" u="1"/>
        <n v="-1981" u="1"/>
        <n v="-503" u="1"/>
        <n v="-1916" u="1"/>
        <n v="-3671" u="1"/>
        <n v="-1851" u="1"/>
        <n v="-3541" u="1"/>
        <n v="-1786" u="1"/>
        <n v="-3411" u="1"/>
        <n v="-1721" u="1"/>
        <n v="-438" u="1"/>
        <n v="-3281" u="1"/>
        <n v="-1656" u="1"/>
        <n v="-3151" u="1"/>
        <n v="-1591" u="1"/>
        <n v="-3021" u="1"/>
        <n v="-1526" u="1"/>
        <n v="-2891" u="1"/>
        <n v="-1461" u="1"/>
        <n v="-373" u="1"/>
        <n v="-2761" u="1"/>
        <n v="-1396" u="1"/>
        <n v="-2631" u="1"/>
        <n v="-1331" u="1"/>
        <n v="15" u="1"/>
        <n v="-2501" u="1"/>
        <n v="-1266" u="1"/>
        <n v="-83" u="1"/>
        <n v="-2371" u="1"/>
        <n v="-1201" u="1"/>
        <n v="-308" u="1"/>
        <n v="-2241" u="1"/>
        <n v="-1136" u="1"/>
        <n v="-2111" u="1"/>
        <n v="-1071" u="1"/>
        <n v="-1015" u="1"/>
        <n v="-950" u="1"/>
        <n v="-3608" u="1"/>
        <n v="-3478" u="1"/>
        <n v="-885" u="1"/>
        <n v="-3348" u="1"/>
        <n v="-217" u="1"/>
        <n v="44773" u="1"/>
        <n v="-3218" u="1"/>
        <n v="-820" u="1"/>
        <n v="-3088" u="1"/>
        <n v="-2958" u="1"/>
        <n v="-755" u="1"/>
        <n v="-2828" u="1"/>
        <n v="-2698" u="1"/>
        <n v="-690" u="1"/>
        <n v="-2568" u="1"/>
        <n v="-11" u="1"/>
        <n v="-2438" u="1"/>
        <n v="-625" u="1"/>
        <n v="-41" u="1"/>
        <n v="-2308" u="1"/>
        <n v="-152" u="1"/>
        <n v="-2178" u="1"/>
        <n v="-560" u="1"/>
        <n v="-2048" u="1"/>
        <n v="-1983" u="1"/>
        <n v="-1918" u="1"/>
        <n v="-3675" u="1"/>
        <n v="-1853" u="1"/>
        <n v="-471" u="1"/>
        <n v="-3545" u="1"/>
        <n v="-1788" u="1"/>
        <n v="-3415" u="1"/>
        <n v="-1723" u="1"/>
        <n v="-3285" u="1"/>
        <n v="-1658" u="1"/>
        <n v="-3155" u="1"/>
        <n v="-1593" u="1"/>
        <n v="-406" u="1"/>
        <n v="-3025" u="1"/>
        <n v="-1528" u="1"/>
        <n v="-2895" u="1"/>
        <n v="-1463" u="1"/>
        <n v="-2765" u="1"/>
        <n v="-1398" u="1"/>
        <n v="-2635" u="1"/>
        <n v="-1333" u="1"/>
        <n v="-341" u="1"/>
        <n v="-2505" u="1"/>
        <n v="-1268" u="1"/>
        <n v="-2375" u="1"/>
        <n v="-1203" u="1"/>
        <n v="14" u="1"/>
        <n v="-2245" u="1"/>
        <n v="-1138" u="1"/>
        <n v="-75" u="1"/>
        <n v="-2115" u="1"/>
        <n v="-1073" u="1"/>
        <n v="-276" u="1"/>
        <n v="-1016" u="1"/>
        <n v="-951" u="1"/>
        <n v="-3612" u="1"/>
        <n v="-3482" u="1"/>
        <n v="-886" u="1"/>
        <n v="-3352" u="1"/>
        <n v="-3222" u="1"/>
        <n v="-821" u="1"/>
        <n v="44774" u="1"/>
        <n v="-3092" u="1"/>
        <n v="-201" u="1"/>
        <n v="-2962" u="1"/>
        <n v="-756" u="1"/>
        <n v="-2832" u="1"/>
        <n v="-2702" u="1"/>
        <n v="-691" u="1"/>
        <n v="-2572" u="1"/>
        <n v="-2442" u="1"/>
        <n v="-626" u="1"/>
        <n v="-2312" u="1"/>
        <n v="-10" u="1"/>
        <n v="-2182" u="1"/>
        <n v="-561" u="1"/>
        <n v="-37" u="1"/>
        <n v="-2052" u="1"/>
        <n v="-136" u="1"/>
        <n v="-1985" u="1"/>
        <n v="-504" u="1"/>
        <n v="-1920" u="1"/>
        <n v="-3679" u="1"/>
        <n v="-1855" u="1"/>
        <n v="-3549" u="1"/>
        <n v="-1790" u="1"/>
        <n v="-3419" u="1"/>
        <n v="-1725" u="1"/>
        <n v="-439" u="1"/>
        <n v="-3289" u="1"/>
        <n v="-1660" u="1"/>
        <n v="-3159" u="1"/>
        <n v="-1595" u="1"/>
        <n v="-3029" u="1"/>
        <n v="-1530" u="1"/>
        <n v="-2899" u="1"/>
        <n v="-1465" u="1"/>
        <n v="-374" u="1"/>
        <n v="-2769" u="1"/>
        <n v="-1400" u="1"/>
        <n v="-2639" u="1"/>
        <n v="-1335" u="1"/>
        <n v="-2509" u="1"/>
        <n v="-1270" u="1"/>
        <n v="-2379" u="1"/>
        <n v="-1205" u="1"/>
        <n v="-309" u="1"/>
        <n v="-2249" u="1"/>
        <n v="-1140" u="1"/>
        <n v="-2119" u="1"/>
        <n v="-1075" u="1"/>
        <n v="13" u="1"/>
        <n v="-1017" u="1"/>
        <n v="-67" u="1"/>
        <n v="49" u="1"/>
        <n v="-250" u="1"/>
        <n v="-952" u="1"/>
        <n v="-3616" u="1"/>
        <n v="-3486" u="1"/>
        <n v="-887" u="1"/>
        <n v="-3356" u="1"/>
        <n v="-3226" u="1"/>
        <n v="-822" u="1"/>
        <n v="-3096" u="1"/>
        <n v="44775" u="1"/>
        <n v="-2966" u="1"/>
        <n v="-757" u="1"/>
        <n v="-2836" u="1"/>
        <n v="-185" u="1"/>
        <n v="-2706" u="1"/>
        <n v="-692" u="1"/>
        <n v="-2576" u="1"/>
        <n v="-2446" u="1"/>
        <n v="-627" u="1"/>
        <n v="-2316" u="1"/>
        <n v="-2186" u="1"/>
        <n v="-562" u="1"/>
        <n v="-2056" u="1"/>
        <n v="-9" u="1"/>
        <n v="-1987" u="1"/>
        <n v="-33" u="1"/>
        <n v="-1922" u="1"/>
        <n v="-124" u="1"/>
        <n v="-3683" u="1"/>
        <n v="-1857" u="1"/>
        <n v="-472" u="1"/>
        <n v="-3553" u="1"/>
        <n v="-1792" u="1"/>
        <n v="-3423" u="1"/>
        <n v="-1727" u="1"/>
        <n v="-3293" u="1"/>
        <n v="-1662" u="1"/>
        <n v="-3163" u="1"/>
        <n v="-1597" u="1"/>
        <n v="-407" u="1"/>
        <n v="-3033" u="1"/>
        <n v="-1532" u="1"/>
        <n v="-2903" u="1"/>
        <n v="-1467" u="1"/>
        <n v="-2773" u="1"/>
        <n v="-1402" u="1"/>
        <n v="-2643" u="1"/>
        <n v="-1337" u="1"/>
        <n v="-342" u="1"/>
        <n v="-2513" u="1"/>
        <n v="-1272" u="1"/>
        <n v="-2383" u="1"/>
        <n v="-1207" u="1"/>
        <n v="-2253" u="1"/>
        <n v="-1142" u="1"/>
        <n v="-2123" u="1"/>
        <n v="-1077" u="1"/>
        <n v="-277" u="1"/>
        <n v="-1018" u="1"/>
        <n v="12" u="1"/>
        <n v="-953" u="1"/>
        <n v="45" u="1"/>
        <n v="-3620" u="1"/>
        <n v="-234" u="1"/>
        <n v="-3490" u="1"/>
        <n v="-888" u="1"/>
        <n v="-3360" u="1"/>
        <n v="-3230" u="1"/>
        <n v="-823" u="1"/>
        <n v="-3100" u="1"/>
        <n v="-2970" u="1"/>
        <n v="-758" u="1"/>
        <n v="-2840" u="1"/>
        <n v="-2710" u="1"/>
        <n v="-693" u="1"/>
        <n v="-2580" u="1"/>
        <n v="-169" u="1"/>
        <n v="-2450" u="1"/>
        <n v="-628" u="1"/>
        <n v="-2320" u="1"/>
        <n v="-2190" u="1"/>
        <n v="-563" u="1"/>
        <n v="-2060" u="1"/>
        <n v="-1989" u="1"/>
        <n v="-505" u="1"/>
        <n v="-1924" u="1"/>
        <n v="-8" u="1"/>
        <n v="-3687" u="1"/>
        <n v="-1859" u="1"/>
        <n v="-3557" u="1"/>
        <n v="-1794" u="1"/>
        <n v="-116" u="1"/>
        <n v="-3427" u="1"/>
        <n v="-1729" u="1"/>
        <n v="-440" u="1"/>
        <n v="-3297" u="1"/>
        <n v="-1664" u="1"/>
        <n v="-3167" u="1"/>
        <n v="-1599" u="1"/>
        <n v="-3037" u="1"/>
        <n v="-1534" u="1"/>
        <n v="-2907" u="1"/>
        <n v="-1469" u="1"/>
        <n v="-375" u="1"/>
        <n v="-2777" u="1"/>
        <n v="-1404" u="1"/>
        <n v="-2647" u="1"/>
        <n v="-1339" u="1"/>
        <n v="-2517" u="1"/>
        <n v="-1274" u="1"/>
        <n v="-2387" u="1"/>
        <n v="-1209" u="1"/>
        <n v="-310" u="1"/>
        <n v="-2257" u="1"/>
        <n v="-1144" u="1"/>
        <n v="-2127" u="1"/>
        <n v="-1079" u="1"/>
        <n v="-1019" u="1"/>
        <n v="-954" u="1"/>
        <n v="-3624" u="1"/>
        <n v="11" u="1"/>
        <n v="-3494" u="1"/>
        <n v="-889" u="1"/>
        <n v="-3364" u="1"/>
        <n v="-218" u="1"/>
        <n v="-3234" u="1"/>
        <n v="-824" u="1"/>
        <n v="-3104" u="1"/>
        <n v="-2974" u="1"/>
        <n v="-759" u="1"/>
        <n v="-2844" u="1"/>
        <n v="-2714" u="1"/>
        <n v="-694" u="1"/>
        <n v="-2584" u="1"/>
        <n v="-2454" u="1"/>
        <n v="-629" u="1"/>
        <n v="-2324" u="1"/>
        <n v="-153" u="1"/>
        <n v="-2194" u="1"/>
        <n v="-564" u="1"/>
        <n v="-2064" u="1"/>
        <n v="-1991" u="1"/>
        <n v="-1926" u="1"/>
        <n v="-3691" u="1"/>
        <n v="-1861" u="1"/>
        <n v="-473" u="1"/>
        <n v="-3561" u="1"/>
        <n v="-1796" u="1"/>
        <n v="-3431" u="1"/>
        <n v="-1731" u="1"/>
        <n v="-3301" u="1"/>
        <n v="-1666" u="1"/>
        <n v="-108" u="1"/>
        <n v="-3171" u="1"/>
        <n v="-1601" u="1"/>
        <n v="-408" u="1"/>
        <n v="-3041" u="1"/>
        <n v="-1536" u="1"/>
        <n v="-2911" u="1"/>
        <n v="-1471" u="1"/>
        <n v="-2781" u="1"/>
        <n v="-1406" u="1"/>
        <n v="-2651" u="1"/>
        <n v="-1341" u="1"/>
        <n v="-343" u="1"/>
        <n v="-2521" u="1"/>
        <n v="-1276" u="1"/>
        <n v="-2391" u="1"/>
        <n v="-1211" u="1"/>
        <n v="-2261" u="1"/>
        <n v="-1146" u="1"/>
        <n v="-2131" u="1"/>
        <n v="-1081" u="1"/>
        <n v="-278" u="1"/>
        <n v="-1020" u="1"/>
        <n v="-955" u="1"/>
        <n v="-3628" u="1"/>
        <n v="-3498" u="1"/>
        <n v="-890" u="1"/>
        <n v="-3368" u="1"/>
        <n v="10" u="1"/>
        <n v="-3238" u="1"/>
        <n v="-825" u="1"/>
        <n v="-3108" u="1"/>
        <n v="-202" u="1"/>
        <n v="-2978" u="1"/>
        <n v="-760" u="1"/>
        <n v="-2848" u="1"/>
        <n v="-2718" u="1"/>
        <n v="-695" u="1"/>
        <n v="44778" u="1"/>
        <n v="-2588" u="1"/>
        <n v="-2458" u="1"/>
        <n v="-630" u="1"/>
        <n v="-2328" u="1"/>
        <n v="-2198" u="1"/>
        <n v="-565" u="1"/>
        <n v="-2068" u="1"/>
        <n v="-137" u="1"/>
        <n v="-1993" u="1"/>
        <n v="-506" u="1"/>
        <n v="-1928" u="1"/>
        <n v="-3695" u="1"/>
        <n v="-1863" u="1"/>
        <n v="-3565" u="1"/>
        <n v="-1798" u="1"/>
        <n v="-3435" u="1"/>
        <n v="-1733" u="1"/>
        <n v="-441" u="1"/>
        <n v="-3305" u="1"/>
        <n v="-1668" u="1"/>
        <n v="-7" u="1"/>
        <n v="-3175" u="1"/>
        <n v="-1603" u="1"/>
        <n v="-3045" u="1"/>
        <n v="-1538" u="1"/>
        <n v="-100" u="1"/>
        <n v="67" u="1"/>
        <n v="-2915" u="1"/>
        <n v="-1473" u="1"/>
        <n v="-376" u="1"/>
        <n v="-2785" u="1"/>
        <n v="-1408" u="1"/>
        <n v="-2655" u="1"/>
        <n v="-1343" u="1"/>
        <n v="-2525" u="1"/>
        <n v="-1278" u="1"/>
        <n v="-2395" u="1"/>
        <n v="-1213" u="1"/>
        <n v="-311" u="1"/>
        <n v="-2265" u="1"/>
        <n v="-1148" u="1"/>
        <n v="-2135" u="1"/>
        <n v="-1083" u="1"/>
        <n v="-1021" u="1"/>
        <n v="-251" u="1"/>
        <n v="-956" u="1"/>
        <n v="-3632" u="1"/>
        <n v="-3502" u="1"/>
        <n v="-891" u="1"/>
        <n v="-3372" u="1"/>
        <n v="-3242" u="1"/>
        <n v="-826" u="1"/>
        <n v="-3112" u="1"/>
        <n v="9" u="1"/>
        <n v="-2982" u="1"/>
        <n v="-761" u="1"/>
        <n v="33" u="1"/>
        <n v="-2852" u="1"/>
        <n v="-186" u="1"/>
        <n v="-2722" u="1"/>
        <n v="-696" u="1"/>
        <n v="-2592" u="1"/>
        <n v="44779" u="1"/>
        <n v="-2462" u="1"/>
        <n v="-631" u="1"/>
        <n v="-2332" u="1"/>
        <n v="-2202" u="1"/>
        <n v="-566" u="1"/>
        <n v="-2072" u="1"/>
        <n v="-1995" u="1"/>
        <n v="-1930" u="1"/>
        <n v="-3699" u="1"/>
        <n v="-1865" u="1"/>
        <n v="-474" u="1"/>
        <n v="-3569" u="1"/>
        <n v="-1800" u="1"/>
        <n v="-3439" u="1"/>
        <n v="-1735" u="1"/>
        <n v="-3309" u="1"/>
        <n v="-1670" u="1"/>
        <n v="-3179" u="1"/>
        <n v="-1605" u="1"/>
        <n v="-409" u="1"/>
        <n v="-3049" u="1"/>
        <n v="-1540" u="1"/>
        <n v="-2919" u="1"/>
        <n v="-1475" u="1"/>
        <n v="-2789" u="1"/>
        <n v="-1410" u="1"/>
        <n v="-92" u="1"/>
        <n v="-2659" u="1"/>
        <n v="-1345" u="1"/>
        <n v="-344" u="1"/>
        <n v="-2529" u="1"/>
        <n v="-1280" u="1"/>
        <n v="-2399" u="1"/>
        <n v="-1215" u="1"/>
        <n v="-2269" u="1"/>
        <n v="-1150" u="1"/>
        <n v="-2139" u="1"/>
        <n v="-1085" u="1"/>
        <n v="-279" u="1"/>
        <n v="-1022" u="1"/>
        <n v="-957" u="1"/>
        <n v="-3636" u="1"/>
        <n v="-235" u="1"/>
        <n v="-3506" u="1"/>
        <n v="-892" u="1"/>
        <n v="-3376" u="1"/>
        <n v="-3246" u="1"/>
        <n v="-827" u="1"/>
        <n v="-3116" u="1"/>
        <n v="-2986" u="1"/>
        <n v="-762" u="1"/>
        <n v="-2856" u="1"/>
        <n v="8" u="1"/>
        <n v="-2726" u="1"/>
        <n v="-697" u="1"/>
        <n v="-2596" u="1"/>
        <n v="-170" u="1"/>
        <n v="-2466" u="1"/>
        <n v="-632" u="1"/>
        <n v="44780" u="1"/>
        <n v="-2336" u="1"/>
        <n v="-2206" u="1"/>
        <n v="-567" u="1"/>
        <n v="-2076" u="1"/>
        <n v="-1997" u="1"/>
        <n v="-507" u="1"/>
        <n v="-1932" u="1"/>
        <n v="-3703" u="1"/>
        <n v="-1867" u="1"/>
        <n v="-3573" u="1"/>
        <n v="-1802" u="1"/>
        <n v="-3443" u="1"/>
        <n v="-1737" u="1"/>
        <n v="-442" u="1"/>
        <n v="-3313" u="1"/>
        <n v="-1672" u="1"/>
        <n v="-3183" u="1"/>
        <n v="-1607" u="1"/>
        <n v="-3053" u="1"/>
        <n v="-1542" u="1"/>
        <n v="-2923" u="1"/>
        <n v="-1477" u="1"/>
        <n v="-377" u="1"/>
        <n v="-2793" u="1"/>
        <n v="-1412" u="1"/>
        <n v="-6" u="1"/>
        <n v="-2663" u="1"/>
        <n v="-1347" u="1"/>
        <n v="-2533" u="1"/>
        <n v="-1282" u="1"/>
        <n v="-84" u="1"/>
        <n v="-2403" u="1"/>
        <n v="-1217" u="1"/>
        <n v="-312" u="1"/>
        <n v="-2273" u="1"/>
        <n v="-1152" u="1"/>
        <n v="-2143" u="1"/>
        <n v="-1087" u="1"/>
        <n v="-1023" u="1"/>
        <n v="-958" u="1"/>
        <n v="-3640" u="1"/>
        <n v="-3510" u="1"/>
        <n v="-893" u="1"/>
        <n v="-3380" u="1"/>
        <n v="-219" u="1"/>
        <n v="-3250" u="1"/>
        <n v="-828" u="1"/>
        <n v="-3120" u="1"/>
        <n v="-2990" u="1"/>
        <n v="-763" u="1"/>
        <n v="-2860" u="1"/>
        <n v="-2730" u="1"/>
        <n v="-698" u="1"/>
        <n v="-2600" u="1"/>
        <n v="-2470" u="1"/>
        <n v="-633" u="1"/>
        <n v="-2340" u="1"/>
        <n v="-154" u="1"/>
        <n v="44781" u="1"/>
        <n v="-2210" u="1"/>
        <n v="-568" u="1"/>
        <n v="-2080" u="1"/>
        <n v="-1999" u="1"/>
        <n v="-1934" u="1"/>
        <n v="-3707" u="1"/>
        <n v="-1869" u="1"/>
        <n v="-475" u="1"/>
        <n v="-3577" u="1"/>
        <n v="-1804" u="1"/>
        <n v="-3447" u="1"/>
        <n v="-1739" u="1"/>
        <n v="-3317" u="1"/>
        <n v="-1674" u="1"/>
        <n v="-3187" u="1"/>
        <n v="-1609" u="1"/>
        <n v="-410" u="1"/>
        <n v="-3057" u="1"/>
        <n v="-1544" u="1"/>
        <n v="-2927" u="1"/>
        <n v="-1479" u="1"/>
        <n v="-2797" u="1"/>
        <n v="-1414" u="1"/>
        <n v="-2667" u="1"/>
        <n v="-1349" u="1"/>
        <n v="-345" u="1"/>
        <n v="-2537" u="1"/>
        <n v="-1284" u="1"/>
        <n v="-2407" u="1"/>
        <n v="-1219" u="1"/>
        <n v="-2277" u="1"/>
        <n v="-1154" u="1"/>
        <n v="-76" u="1"/>
        <n v="-2147" u="1"/>
        <n v="-1089" u="1"/>
        <n v="-280" u="1"/>
        <n v="-1024" u="1"/>
        <n v="-959" u="1"/>
        <n v="-3644" u="1"/>
        <n v="-3514" u="1"/>
        <n v="-894" u="1"/>
        <n v="-3384" u="1"/>
        <n v="-3254" u="1"/>
        <n v="-829" u="1"/>
        <n v="-3124" u="1"/>
        <n v="-203" u="1"/>
        <n v="-2994" u="1"/>
        <n v="-764" u="1"/>
        <n v="-2864" u="1"/>
        <n v="-2734" u="1"/>
        <n v="-699" u="1"/>
        <n v="-2604" u="1"/>
        <n v="-2474" u="1"/>
        <n v="-634" u="1"/>
        <n v="-2344" u="1"/>
        <n v="7" u="1"/>
        <n v="-2214" u="1"/>
        <n v="-569" u="1"/>
        <n v="44782" u="1"/>
        <n v="-2084" u="1"/>
        <n v="-138" u="1"/>
        <n v="-2001" u="1"/>
        <n v="-508" u="1"/>
        <n v="-1936" u="1"/>
        <n v="-3711" u="1"/>
        <n v="-1871" u="1"/>
        <n v="-3581" u="1"/>
        <n v="-1806" u="1"/>
        <n v="-3451" u="1"/>
        <n v="-1741" u="1"/>
        <n v="-443" u="1"/>
        <n v="-3321" u="1"/>
        <n v="-1676" u="1"/>
        <n v="-3191" u="1"/>
        <n v="-1611" u="1"/>
        <n v="-3061" u="1"/>
        <n v="-1546" u="1"/>
        <n v="-2931" u="1"/>
        <n v="-1481" u="1"/>
        <n v="-378" u="1"/>
        <n v="-2801" u="1"/>
        <n v="-1416" u="1"/>
        <n v="-2671" u="1"/>
        <n v="-1351" u="1"/>
        <n v="-2541" u="1"/>
        <n v="-1286" u="1"/>
        <n v="-2411" u="1"/>
        <n v="-1221" u="1"/>
        <n v="-313" u="1"/>
        <n v="-2281" u="1"/>
        <n v="-1156" u="1"/>
        <n v="-5" u="1"/>
        <n v="-2151" u="1"/>
        <n v="-1091" u="1"/>
        <n v="-1026" u="1"/>
        <n v="-68" u="1"/>
        <n v="-252" u="1"/>
        <n v="-960" u="1"/>
        <n v="-3648" u="1"/>
        <n v="-3518" u="1"/>
        <n v="-895" u="1"/>
        <n v="-3388" u="1"/>
        <n v="-3258" u="1"/>
        <n v="-830" u="1"/>
        <n v="-3128" u="1"/>
        <n v="-2998" u="1"/>
        <n v="-765" u="1"/>
        <n v="-2868" u="1"/>
        <n v="-187" u="1"/>
        <n v="-2738" u="1"/>
        <n v="-700" u="1"/>
        <n v="-2608" u="1"/>
        <n v="-2478" u="1"/>
        <n v="-635" u="1"/>
        <n v="-2348" u="1"/>
        <n v="-2218" u="1"/>
        <n v="-570" u="1"/>
        <n v="-2088" u="1"/>
        <n v="-2003" u="1"/>
        <n v="-1938" u="1"/>
        <n v="-125" u="1"/>
        <n v="-3715" u="1"/>
        <n v="-1873" u="1"/>
        <n v="-476" u="1"/>
        <n v="-3585" u="1"/>
        <n v="-1808" u="1"/>
        <n v="-3455" u="1"/>
        <n v="-1743" u="1"/>
        <n v="-3325" u="1"/>
        <n v="-1678" u="1"/>
        <n v="-3195" u="1"/>
        <n v="-1613" u="1"/>
        <n v="-411" u="1"/>
        <n v="-3065" u="1"/>
        <n v="-1548" u="1"/>
        <n v="-2935" u="1"/>
        <n v="-1483" u="1"/>
        <n v="-2805" u="1"/>
        <n v="-1418" u="1"/>
        <n v="-2675" u="1"/>
        <n v="-1353" u="1"/>
        <n v="-346" u="1"/>
        <n v="-2545" u="1"/>
        <n v="-1288" u="1"/>
        <n v="-2415" u="1"/>
        <n v="-1223" u="1"/>
        <n v="-2285" u="1"/>
        <n v="-1158" u="1"/>
        <n v="-2155" u="1"/>
        <n v="-1093" u="1"/>
        <n v="-281" u="1"/>
        <n v="-1028" u="1"/>
        <n v="-961" u="1"/>
        <n v="-62" u="1"/>
        <n v="-3652" u="1"/>
        <n v="-236" u="1"/>
        <n v="-3522" u="1"/>
        <n v="-896" u="1"/>
        <n v="-3392" u="1"/>
        <n v="-3262" u="1"/>
        <n v="-831" u="1"/>
        <n v="-3132" u="1"/>
        <n v="-3002" u="1"/>
        <n v="-766" u="1"/>
        <n v="-2872" u="1"/>
        <n v="-2742" u="1"/>
        <n v="-701" u="1"/>
        <n v="-2612" u="1"/>
        <n v="-171" u="1"/>
        <n v="-2482" u="1"/>
        <n v="-636" u="1"/>
        <n v="-2352" u="1"/>
        <n v="-2222" u="1"/>
        <n v="-571" u="1"/>
        <n v="-2092" u="1"/>
        <n v="-2005" u="1"/>
        <n v="-509" u="1"/>
        <n v="-1940" u="1"/>
        <n v="6" u="1"/>
        <n v="-3719" u="1"/>
        <n v="-1875" u="1"/>
        <n v="-3589" u="1"/>
        <n v="-1810" u="1"/>
        <n v="-117" u="1"/>
        <n v="-3459" u="1"/>
        <n v="-1745" u="1"/>
        <n v="-444" u="1"/>
        <n v="-3329" u="1"/>
        <n v="-1680" u="1"/>
        <n v="-3199" u="1"/>
        <n v="-1615" u="1"/>
        <n v="-3069" u="1"/>
        <n v="-1550" u="1"/>
        <n v="-2939" u="1"/>
        <n v="-1485" u="1"/>
        <n v="-379" u="1"/>
        <n v="-2809" u="1"/>
        <n v="-1420" u="1"/>
        <n v="-2679" u="1"/>
        <n v="-1355" u="1"/>
        <n v="-2549" u="1"/>
        <n v="-1290" u="1"/>
        <n v="-2419" u="1"/>
        <n v="-1225" u="1"/>
        <n v="-314" u="1"/>
        <n v="-2289" u="1"/>
        <n v="-1160" u="1"/>
        <n v="-2159" u="1"/>
        <n v="-1095" u="1"/>
        <n v="-1030" u="1"/>
        <n v="-962" u="1"/>
        <n v="-4" u="1"/>
        <n v="-3656" u="1"/>
        <n v="-3526" u="1"/>
        <n v="-897" u="1"/>
        <n v="-58" u="1"/>
        <n v="-3396" u="1"/>
        <n v="-220" u="1"/>
        <n v="-3266" u="1"/>
        <n v="-832" u="1"/>
        <n v="-3136" u="1"/>
        <n v="-3006" u="1"/>
        <n v="-767" u="1"/>
        <n v="-2876" u="1"/>
        <n v="-2746" u="1"/>
        <n v="-702" u="1"/>
        <n v="-2616" u="1"/>
        <n v="-2486" u="1"/>
        <n v="-637" u="1"/>
        <n v="-2356" u="1"/>
        <n v="-155" u="1"/>
        <n v="-2226" u="1"/>
        <n v="-572" u="1"/>
        <n v="-2096" u="1"/>
        <n v="-2007" u="1"/>
        <n v="-1942" u="1"/>
        <n v="44785" u="1"/>
        <n v="-1877" u="1"/>
        <n v="-477" u="1"/>
        <n v="-3593" u="1"/>
        <n v="-1812" u="1"/>
        <n v="-3463" u="1"/>
        <n v="-1747" u="1"/>
        <n v="-3333" u="1"/>
        <n v="-1682" u="1"/>
        <n v="-109" u="1"/>
        <n v="76" u="1"/>
        <n v="-3203" u="1"/>
        <n v="-1617" u="1"/>
        <n v="-412" u="1"/>
        <n v="-3073" u="1"/>
        <n v="-1552" u="1"/>
        <n v="-2943" u="1"/>
        <n v="-1487" u="1"/>
        <n v="-2813" u="1"/>
        <n v="-1422" u="1"/>
        <n v="-2683" u="1"/>
        <n v="-1357" u="1"/>
        <n v="-347" u="1"/>
        <n v="-2553" u="1"/>
        <n v="-1292" u="1"/>
        <n v="-2423" u="1"/>
        <n v="-1227" u="1"/>
        <n v="-2293" u="1"/>
        <n v="-1162" u="1"/>
        <n v="-2163" u="1"/>
        <n v="-1097" u="1"/>
        <n v="-282" u="1"/>
        <n v="-1032" u="1"/>
        <n v="-963" u="1"/>
        <n v="-3660" u="1"/>
        <n v="-3530" u="1"/>
        <n v="-898" u="1"/>
        <n v="-3400" u="1"/>
        <n v="-3270" u="1"/>
        <n v="-833" u="1"/>
        <n v="-54" u="1"/>
        <n v="-3140" u="1"/>
        <n v="-204" u="1"/>
        <n v="-3010" u="1"/>
        <n v="-768" u="1"/>
        <n v="-2880" u="1"/>
        <n v="-2750" u="1"/>
        <n v="-703" u="1"/>
        <n v="-2620" u="1"/>
        <n v="-2490" u="1"/>
        <n v="-638" u="1"/>
        <n v="-2360" u="1"/>
        <n v="-2230" u="1"/>
        <n v="-573" u="1"/>
        <n v="-2100" u="1"/>
        <n v="-139" u="1"/>
        <n v="-2009" u="1"/>
        <n v="-510" u="1"/>
        <n v="-1944" u="1"/>
        <n v="-1879" u="1"/>
        <n v="44786" u="1"/>
        <n v="-3597" u="1"/>
        <n v="-1814" u="1"/>
        <n v="44723" u="1"/>
        <n v="-3467" u="1"/>
        <n v="-1749" u="1"/>
        <n v="-445" u="1"/>
        <n v="-3337" u="1"/>
        <n v="-1684" u="1"/>
        <n v="5" u="1"/>
        <n v="-3207" u="1"/>
        <n v="-1619" u="1"/>
        <n v="-3077" u="1"/>
        <n v="-1554" u="1"/>
        <n v="-101" u="1"/>
        <n v="-2947" u="1"/>
        <n v="-1489" u="1"/>
        <n v="-380" u="1"/>
        <n v="-2817" u="1"/>
        <n v="-1424" u="1"/>
        <n v="-2687" u="1"/>
        <n v="-1359" u="1"/>
        <n v="-2557" u="1"/>
        <n v="-1294" u="1"/>
        <n v="-2427" u="1"/>
        <n v="-1229" u="1"/>
        <n v="-315" u="1"/>
        <n v="-2297" u="1"/>
        <n v="-1164" u="1"/>
        <n v="-2167" u="1"/>
        <n v="-1099" u="1"/>
        <n v="-1034" u="1"/>
        <n v="-253" u="1"/>
        <n v="-964" u="1"/>
        <n v="-3664" u="1"/>
        <n v="-3534" u="1"/>
        <n v="-899" u="1"/>
        <n v="-3404" u="1"/>
        <n v="-3274" u="1"/>
        <n v="-834" u="1"/>
        <n v="-3144" u="1"/>
        <n v="-3014" u="1"/>
        <n v="-769" u="1"/>
        <n v="-50" u="1"/>
        <n v="-2884" u="1"/>
        <n v="-188" u="1"/>
        <n v="-2754" u="1"/>
        <n v="-704" u="1"/>
        <n v="-2624" u="1"/>
        <n v="-2494" u="1"/>
        <n v="-639" u="1"/>
        <n v="-2364" u="1"/>
        <n v="-2234" u="1"/>
        <n v="-574" u="1"/>
        <n v="-2104" u="1"/>
        <n v="-2011" u="1"/>
        <n v="-1946" u="1"/>
        <n v="-1881" u="1"/>
        <n v="-478" u="1"/>
        <n v="-3601" u="1"/>
        <n v="-1816" u="1"/>
        <n v="44787" u="1"/>
        <n v="-3471" u="1"/>
        <n v="-1751" u="1"/>
        <n v="44724" u="1"/>
        <n v="-3341" u="1"/>
        <n v="-1686" u="1"/>
        <n v="-3211" u="1"/>
        <n v="-1621" u="1"/>
        <n v="-413" u="1"/>
        <n v="-3081" u="1"/>
        <n v="-1556" u="1"/>
        <n v="-2951" u="1"/>
        <n v="-1491" u="1"/>
        <n v="-2821" u="1"/>
        <n v="-1426" u="1"/>
        <n v="-93" u="1"/>
        <n v="-2691" u="1"/>
        <n v="-1361" u="1"/>
        <n v="-348" u="1"/>
        <n v="-2561" u="1"/>
        <n v="-1296" u="1"/>
        <n v="-2431" u="1"/>
        <n v="-1231" u="1"/>
        <n v="-2301" u="1"/>
        <n v="-1166" u="1"/>
        <n v="-2171" u="1"/>
        <n v="-1101" u="1"/>
        <n v="-283" u="1"/>
        <n v="-1036" u="1"/>
        <n v="-965" u="1"/>
        <n v="-3668" u="1"/>
        <n v="-237" u="1"/>
        <n v="-3538" u="1"/>
        <n v="-900" u="1"/>
        <n v="-3408" u="1"/>
        <n v="-3278" u="1"/>
        <n v="-835" u="1"/>
        <n v="-3148" u="1"/>
        <n v="-3018" u="1"/>
        <n v="-770" u="1"/>
        <n v="-2888" u="1"/>
        <n v="-2758" u="1"/>
        <n v="-705" u="1"/>
        <n v="-46" u="1"/>
        <n v="-2628" u="1"/>
        <n v="-172" u="1"/>
        <n v="-2498" u="1"/>
        <n v="-640" u="1"/>
        <n v="-2368" u="1"/>
        <n v="-2238" u="1"/>
        <n v="-575" u="1"/>
        <n v="-2108" u="1"/>
        <n v="-2013" u="1"/>
        <n v="-511" u="1"/>
        <n v="-1948" u="1"/>
        <n v="-1883" u="1"/>
        <n v="-3605" u="1"/>
        <n v="-1818" u="1"/>
        <n v="-3475" u="1"/>
        <n v="-1753" u="1"/>
        <n v="-446" u="1"/>
        <n v="44788" u="1"/>
        <n v="-3345" u="1"/>
        <n v="-1688" u="1"/>
        <n v="44725" u="1"/>
        <n v="-3215" u="1"/>
        <n v="-1623" u="1"/>
        <n v="-3085" u="1"/>
        <n v="-1558" u="1"/>
        <n v="-2955" u="1"/>
        <n v="-1493" u="1"/>
        <n v="-381" u="1"/>
        <n v="-2825" u="1"/>
        <n v="-1428" u="1"/>
        <n v="4" u="1"/>
        <n v="-2695" u="1"/>
        <n v="-1363" u="1"/>
        <n v="-2565" u="1"/>
        <n v="-1298" u="1"/>
        <n v="-85" u="1"/>
        <n v="-2435" u="1"/>
        <n v="-1233" u="1"/>
        <n v="-316" u="1"/>
        <n v="-2305" u="1"/>
        <n v="-1168" u="1"/>
        <n v="-2175" u="1"/>
        <n v="-1103" u="1"/>
        <n v="-1038" u="1"/>
        <n v="-966" u="1"/>
        <n v="-3672" u="1"/>
        <n v="-3542" u="1"/>
        <n v="-901" u="1"/>
        <n v="-3412" u="1"/>
        <n v="-221" u="1"/>
        <n v="-3282" u="1"/>
        <n v="-836" u="1"/>
        <n v="-3152" u="1"/>
        <n v="-3022" u="1"/>
        <n v="-771" u="1"/>
        <n v="-2892" u="1"/>
        <n v="-2762" u="1"/>
        <n v="-706" u="1"/>
        <n v="-3" u="1"/>
        <n v="-2632" u="1"/>
        <n v="-2502" u="1"/>
        <n v="-641" u="1"/>
        <n v="-42" u="1"/>
        <n v="-2372" u="1"/>
        <n v="-156" u="1"/>
        <n v="-2242" u="1"/>
        <n v="-576" u="1"/>
        <n v="-2112" u="1"/>
        <n v="-2015" u="1"/>
        <n v="-1950" u="1"/>
        <n v="-1885" u="1"/>
        <n v="-479" u="1"/>
        <n v="-3609" u="1"/>
        <n v="-1820" u="1"/>
        <n v="-3479" u="1"/>
        <n v="-1755" u="1"/>
        <n v="-3349" u="1"/>
        <n v="-1690" u="1"/>
        <n v="44789" u="1"/>
        <n v="-3219" u="1"/>
        <n v="-1625" u="1"/>
        <n v="-414" u="1"/>
        <n v="44726" u="1"/>
        <n v="-3089" u="1"/>
        <n v="-1560" u="1"/>
        <n v="-2959" u="1"/>
        <n v="-1495" u="1"/>
        <n v="-2829" u="1"/>
        <n v="-1430" u="1"/>
        <n v="-2699" u="1"/>
        <n v="-1365" u="1"/>
        <n v="-349" u="1"/>
        <n v="-2569" u="1"/>
        <n v="-1300" u="1"/>
        <n v="-2439" u="1"/>
        <n v="-1235" u="1"/>
        <n v="-2309" u="1"/>
        <n v="-1170" u="1"/>
        <n v="-77" u="1"/>
        <n v="-2179" u="1"/>
        <n v="-1105" u="1"/>
        <n v="-284" u="1"/>
        <n v="-2049" u="1"/>
        <n v="-1040" u="1"/>
        <n v="-967" u="1"/>
        <n v="-3676" u="1"/>
        <n v="-3546" u="1"/>
        <n v="-902" u="1"/>
        <n v="-3416" u="1"/>
        <n v="-3286" u="1"/>
        <n v="-837" u="1"/>
        <n v="-3156" u="1"/>
        <n v="-205" u="1"/>
        <n v="-3026" u="1"/>
        <n v="-772" u="1"/>
        <n v="-2896" u="1"/>
        <n v="-2766" u="1"/>
        <n v="-707" u="1"/>
        <n v="-2636" u="1"/>
        <n v="-2506" u="1"/>
        <n v="-642" u="1"/>
        <n v="-2376" u="1"/>
        <n v="-2246" u="1"/>
        <n v="-577" u="1"/>
        <n v="-38" u="1"/>
        <n v="-2116" u="1"/>
        <n v="-140" u="1"/>
        <n v="-2017" u="1"/>
        <n v="-512" u="1"/>
        <n v="-1952" u="1"/>
        <n v="-1887" u="1"/>
        <n v="-3613" u="1"/>
        <n v="-1822" u="1"/>
        <n v="-3483" u="1"/>
        <n v="-1757" u="1"/>
        <n v="-447" u="1"/>
        <n v="-3353" u="1"/>
        <n v="-1692" u="1"/>
        <n v="-3223" u="1"/>
        <n v="-1627" u="1"/>
        <n v="-3093" u="1"/>
        <n v="-1562" u="1"/>
        <n v="-2963" u="1"/>
        <n v="-1497" u="1"/>
        <n v="-382" u="1"/>
        <n v="-2833" u="1"/>
        <n v="-1432" u="1"/>
        <n v="-2703" u="1"/>
        <n v="-1367" u="1"/>
        <n v="-2573" u="1"/>
        <n v="-1302" u="1"/>
        <n v="-2443" u="1"/>
        <n v="-1237" u="1"/>
        <n v="-317" u="1"/>
        <n v="-2313" u="1"/>
        <n v="-1172" u="1"/>
        <n v="-2183" u="1"/>
        <n v="-1107" u="1"/>
        <n v="-2053" u="1"/>
        <n v="-1042" u="1"/>
        <n v="-69" u="1"/>
        <n v="50" u="1"/>
        <n v="-254" u="1"/>
        <n v="-968" u="1"/>
        <n v="-3680" u="1"/>
        <n v="-3550" u="1"/>
        <n v="-903" u="1"/>
        <n v="-3420" u="1"/>
        <n v="-3290" u="1"/>
        <n v="-838" u="1"/>
        <n v="-3160" u="1"/>
        <n v="-3030" u="1"/>
        <n v="-773" u="1"/>
        <n v="-2900" u="1"/>
        <n v="-189" u="1"/>
        <n v="-2770" u="1"/>
        <n v="-708" u="1"/>
        <n v="-2640" u="1"/>
        <n v="-2510" u="1"/>
        <n v="-643" u="1"/>
        <n v="-2380" u="1"/>
        <n v="-2250" u="1"/>
        <n v="-578" u="1"/>
        <n v="-2120" u="1"/>
        <n v="-2019" u="1"/>
        <n v="-513" u="1"/>
        <n v="-34" u="1"/>
        <n v="-1954" u="1"/>
        <n v="-126" u="1"/>
        <n v="-1889" u="1"/>
        <n v="-480" u="1"/>
        <n v="-3617" u="1"/>
        <n v="-1824" u="1"/>
        <n v="-3487" u="1"/>
        <n v="-1759" u="1"/>
        <n v="-3357" u="1"/>
        <n v="-1694" u="1"/>
        <n v="-3227" u="1"/>
        <n v="-1629" u="1"/>
        <n v="-415" u="1"/>
        <n v="-3097" u="1"/>
        <n v="-1564" u="1"/>
        <n v="-2967" u="1"/>
        <n v="-1499" u="1"/>
        <n v="-2837" u="1"/>
        <n v="-1434" u="1"/>
        <n v="-2707" u="1"/>
        <n v="-1369" u="1"/>
        <n v="-350" u="1"/>
        <n v="-2577" u="1"/>
        <n v="-1304" u="1"/>
        <n v="-2447" u="1"/>
        <n v="-1239" u="1"/>
        <n v="-2317" u="1"/>
        <n v="-1174" u="1"/>
        <n v="-2187" u="1"/>
        <n v="-1109" u="1"/>
        <n v="-285" u="1"/>
        <n v="-2057" u="1"/>
        <n v="-1044" u="1"/>
        <n v="-969" u="1"/>
        <n v="46" u="1"/>
        <n v="-3684" u="1"/>
        <n v="-238" u="1"/>
        <n v="-3554" u="1"/>
        <n v="-904" u="1"/>
        <n v="-3424" u="1"/>
        <n v="-3294" u="1"/>
        <n v="-839" u="1"/>
        <n v="-3164" u="1"/>
        <n v="-3034" u="1"/>
        <n v="-774" u="1"/>
        <n v="-2904" u="1"/>
        <n v="-2774" u="1"/>
        <n v="-709" u="1"/>
        <n v="-2644" u="1"/>
        <n v="-173" u="1"/>
        <n v="-2514" u="1"/>
        <n v="-644" u="1"/>
        <n v="-2384" u="1"/>
        <n v="-2254" u="1"/>
        <n v="-579" u="1"/>
        <n v="-2124" u="1"/>
        <n v="-2021" u="1"/>
        <n v="-514" u="1"/>
        <n v="-1956" u="1"/>
        <n v="-1891" u="1"/>
        <n v="-31" u="1"/>
        <n v="-3621" u="1"/>
        <n v="-1826" u="1"/>
        <n v="-118" u="1"/>
        <n v="-3491" u="1"/>
        <n v="-1761" u="1"/>
        <n v="-448" u="1"/>
        <n v="-3361" u="1"/>
        <n v="-1696" u="1"/>
        <n v="-3231" u="1"/>
        <n v="-1631" u="1"/>
        <n v="-3101" u="1"/>
        <n v="-1566" u="1"/>
        <n v="-2971" u="1"/>
        <n v="-1501" u="1"/>
        <n v="-383" u="1"/>
        <n v="44792" u="1"/>
        <n v="-2841" u="1"/>
        <n v="-1436" u="1"/>
        <n v="44729" u="1"/>
        <n v="-2711" u="1"/>
        <n v="-1371" u="1"/>
        <n v="-2581" u="1"/>
        <n v="-1306" u="1"/>
        <n v="-2451" u="1"/>
        <n v="-1241" u="1"/>
        <n v="-318" u="1"/>
        <n v="-2321" u="1"/>
        <n v="-1176" u="1"/>
        <n v="-2191" u="1"/>
        <n v="-1111" u="1"/>
        <n v="-2061" u="1"/>
        <n v="-1046" u="1"/>
        <n v="-970" u="1"/>
        <n v="3" u="1"/>
        <n v="-3688" u="1"/>
        <n v="-3558" u="1"/>
        <n v="-905" u="1"/>
        <n v="-3428" u="1"/>
        <n v="-222" u="1"/>
        <n v="-3298" u="1"/>
        <n v="-840" u="1"/>
        <n v="-3168" u="1"/>
        <n v="-3038" u="1"/>
        <n v="-775" u="1"/>
        <n v="-2908" u="1"/>
        <n v="-2778" u="1"/>
        <n v="-710" u="1"/>
        <n v="-2648" u="1"/>
        <n v="-2518" u="1"/>
        <n v="-645" u="1"/>
        <n v="-2388" u="1"/>
        <n v="-157" u="1"/>
        <n v="-2258" u="1"/>
        <n v="-580" u="1"/>
        <n v="-2128" u="1"/>
        <n v="-2023" u="1"/>
        <n v="-515" u="1"/>
        <n v="-1958" u="1"/>
        <n v="-1893" u="1"/>
        <n v="-481" u="1"/>
        <n v="-2" u="1"/>
        <n v="-3625" u="1"/>
        <n v="-1828" u="1"/>
        <n v="-3495" u="1"/>
        <n v="-1763" u="1"/>
        <n v="-29" u="1"/>
        <n v="-3365" u="1"/>
        <n v="-1698" u="1"/>
        <n v="-110" u="1"/>
        <n v="-3235" u="1"/>
        <n v="-1633" u="1"/>
        <n v="-416" u="1"/>
        <n v="-3105" u="1"/>
        <n v="-1568" u="1"/>
        <n v="-2975" u="1"/>
        <n v="-1503" u="1"/>
        <n v="-2845" u="1"/>
        <n v="-1438" u="1"/>
        <n v="44793" u="1"/>
        <n v="-2715" u="1"/>
        <n v="-1373" u="1"/>
        <n v="-351" u="1"/>
        <n v="44730" u="1"/>
        <n v="-2585" u="1"/>
        <n v="-1308" u="1"/>
        <n v="-2455" u="1"/>
        <n v="-1243" u="1"/>
        <n v="-2325" u="1"/>
        <n v="-1178" u="1"/>
        <n v="-2195" u="1"/>
        <n v="-1113" u="1"/>
        <n v="-286" u="1"/>
        <n v="-2065" u="1"/>
        <n v="-1048" u="1"/>
        <n v="-971" u="1"/>
        <n v="-3692" u="1"/>
        <n v="-3562" u="1"/>
        <n v="-906" u="1"/>
        <n v="-3432" u="1"/>
        <n v="-3302" u="1"/>
        <n v="-841" u="1"/>
        <n v="-3172" u="1"/>
        <n v="-206" u="1"/>
        <n v="-3042" u="1"/>
        <n v="-776" u="1"/>
        <n v="-2912" u="1"/>
        <n v="-2782" u="1"/>
        <n v="-711" u="1"/>
        <n v="-2652" u="1"/>
        <n v="-2522" u="1"/>
        <n v="-646" u="1"/>
        <n v="-2392" u="1"/>
        <n v="-2262" u="1"/>
        <n v="-581" u="1"/>
        <n v="-2132" u="1"/>
        <n v="-141" u="1"/>
        <n v="-2025" u="1"/>
        <n v="-516" u="1"/>
        <n v="-1960" u="1"/>
        <n v="-1895" u="1"/>
        <n v="-3629" u="1"/>
        <n v="-1830" u="1"/>
        <n v="-3499" u="1"/>
        <n v="-1765" u="1"/>
        <n v="-449" u="1"/>
        <n v="-3369" u="1"/>
        <n v="-1700" u="1"/>
        <n v="-3239" u="1"/>
        <n v="-1635" u="1"/>
        <n v="-27" u="1"/>
        <n v="-3109" u="1"/>
        <n v="-1570" u="1"/>
        <n v="-102" u="1"/>
        <n v="69" u="1"/>
        <n v="-2979" u="1"/>
        <n v="-1505" u="1"/>
        <n v="-384" u="1"/>
        <n v="-2849" u="1"/>
        <n v="-1440" u="1"/>
        <n v="-2719" u="1"/>
        <n v="-1375" u="1"/>
        <n v="44794" u="1"/>
        <n v="-2589" u="1"/>
        <n v="-1310" u="1"/>
        <n v="44731" u="1"/>
        <n v="-2459" u="1"/>
        <n v="-1245" u="1"/>
        <n v="-319" u="1"/>
        <n v="-2329" u="1"/>
        <n v="-1180" u="1"/>
        <n v="-2199" u="1"/>
        <n v="-1115" u="1"/>
        <n v="-2069" u="1"/>
        <n v="-1050" u="1"/>
        <n v="-255" u="1"/>
        <n v="-972" u="1"/>
        <n v="-3696" u="1"/>
        <n v="-3566" u="1"/>
        <n v="-907" u="1"/>
        <n v="-3436" u="1"/>
        <n v="-3306" u="1"/>
        <n v="-842" u="1"/>
        <n v="-3176" u="1"/>
        <n v="-3046" u="1"/>
        <n v="-777" u="1"/>
        <n v="34" u="1"/>
        <n v="-2916" u="1"/>
        <n v="-190" u="1"/>
        <n v="-2786" u="1"/>
        <n v="-712" u="1"/>
        <n v="-2656" u="1"/>
        <n v="-2526" u="1"/>
        <n v="-647" u="1"/>
        <n v="-2396" u="1"/>
        <n v="-2266" u="1"/>
        <n v="-582" u="1"/>
        <n v="-2136" u="1"/>
        <n v="-2027" u="1"/>
        <n v="-517" u="1"/>
        <n v="-1962" u="1"/>
        <n v="-1897" u="1"/>
        <n v="-482" u="1"/>
        <n v="-3633" u="1"/>
        <n v="-1832" u="1"/>
        <n v="-3503" u="1"/>
        <n v="-1767" u="1"/>
        <n v="-3373" u="1"/>
        <n v="-1702" u="1"/>
        <n v="-3243" u="1"/>
        <n v="-1637" u="1"/>
        <n v="-417" u="1"/>
        <n v="-3113" u="1"/>
        <n v="-1572" u="1"/>
        <n v="-2983" u="1"/>
        <n v="-1507" u="1"/>
        <n v="-25" u="1"/>
        <n v="-2853" u="1"/>
        <n v="-1442" u="1"/>
        <n v="-94" u="1"/>
        <n v="-2723" u="1"/>
        <n v="-1377" u="1"/>
        <n v="-352" u="1"/>
        <n v="-2593" u="1"/>
        <n v="-1312" u="1"/>
        <n v="-2463" u="1"/>
        <n v="-1247" u="1"/>
        <n v="44732" u="1"/>
        <n v="-2333" u="1"/>
        <n v="-1182" u="1"/>
        <n v="-2203" u="1"/>
        <n v="-1117" u="1"/>
        <n v="-287" u="1"/>
        <n v="-2073" u="1"/>
        <n v="-1052" u="1"/>
        <n v="-973" u="1"/>
        <n v="-3700" u="1"/>
        <n v="-239" u="1"/>
        <n v="-3570" u="1"/>
        <n v="-908" u="1"/>
        <n v="-3440" u="1"/>
        <n v="-3310" u="1"/>
        <n v="-843" u="1"/>
        <n v="-3180" u="1"/>
        <n v="-3050" u="1"/>
        <n v="-778" u="1"/>
        <n v="-2920" u="1"/>
        <n v="-2790" u="1"/>
        <n v="-713" u="1"/>
        <n v="31" u="1"/>
        <n v="-2660" u="1"/>
        <n v="-174" u="1"/>
        <n v="-2530" u="1"/>
        <n v="-648" u="1"/>
        <n v="-2400" u="1"/>
        <n v="-2270" u="1"/>
        <n v="-583" u="1"/>
        <n v="-2140" u="1"/>
        <n v="-2029" u="1"/>
        <n v="-518" u="1"/>
        <n v="-1964" u="1"/>
        <n v="-1899" u="1"/>
        <n v="-3637" u="1"/>
        <n v="-1834" u="1"/>
        <n v="-3507" u="1"/>
        <n v="-1769" u="1"/>
        <n v="-450" u="1"/>
        <n v="-3377" u="1"/>
        <n v="-1704" u="1"/>
        <n v="-3247" u="1"/>
        <n v="-1639" u="1"/>
        <n v="-3117" u="1"/>
        <n v="-1574" u="1"/>
        <n v="-2987" u="1"/>
        <n v="-1509" u="1"/>
        <n v="-385" u="1"/>
        <n v="-2857" u="1"/>
        <n v="-1444" u="1"/>
        <n v="-2727" u="1"/>
        <n v="-1379" u="1"/>
        <n v="-23" u="1"/>
        <n v="-2597" u="1"/>
        <n v="-1314" u="1"/>
        <n v="-86" u="1"/>
        <n v="-2467" u="1"/>
        <n v="-1249" u="1"/>
        <n v="-320" u="1"/>
        <n v="-2337" u="1"/>
        <n v="-1184" u="1"/>
        <n v="44733" u="1"/>
        <n v="-2207" u="1"/>
        <n v="-1119" u="1"/>
        <n v="-2077" u="1"/>
        <n v="-1054" u="1"/>
        <n v="-974" u="1"/>
        <n v="-3704" u="1"/>
        <n v="-3574" u="1"/>
        <n v="-909" u="1"/>
        <n v="-3444" u="1"/>
        <n v="-223" u="1"/>
        <n v="-3314" u="1"/>
        <n v="-844" u="1"/>
        <n v="-3184" u="1"/>
        <n v="-3054" u="1"/>
        <n v="-779" u="1"/>
        <n v="-2924" u="1"/>
        <n v="-2794" u="1"/>
        <n v="-714" u="1"/>
        <n v="2" u="1"/>
        <n v="-2664" u="1"/>
        <n v="-2534" u="1"/>
        <n v="-649" u="1"/>
        <n v="29" u="1"/>
        <n v="-2404" u="1"/>
        <n v="-158" u="1"/>
        <n v="-2274" u="1"/>
        <n v="-584" u="1"/>
        <n v="-2144" u="1"/>
        <n v="-2031" u="1"/>
        <n v="-519" u="1"/>
        <n v="-1966" u="1"/>
        <n v="-1901" u="1"/>
        <n v="-483" u="1"/>
        <n v="-3641" u="1"/>
        <n v="-1836" u="1"/>
        <n v="-3511" u="1"/>
        <n v="-1771" u="1"/>
        <n v="-3381" u="1"/>
        <n v="-1706" u="1"/>
        <n v="-3251" u="1"/>
        <n v="-1641" u="1"/>
        <n v="-418" u="1"/>
        <n v="-3121" u="1"/>
        <n v="-1576" u="1"/>
        <n v="-2991" u="1"/>
        <n v="-1511" u="1"/>
        <n v="-2861" u="1"/>
        <n v="-1446" u="1"/>
        <n v="-2731" u="1"/>
        <n v="-1381" u="1"/>
        <n v="-353" u="1"/>
        <n v="-2601" u="1"/>
        <n v="-1316" u="1"/>
        <n v="-2471" u="1"/>
        <n v="-1251" u="1"/>
        <n v="-21" u="1"/>
        <n v="-2341" u="1"/>
        <n v="-1186" u="1"/>
        <n v="-78" u="1"/>
        <n v="-2211" u="1"/>
        <n v="-1121" u="1"/>
        <n v="-288" u="1"/>
        <n v="-2081" u="1"/>
        <n v="-1056" u="1"/>
        <n v="-975" u="1"/>
        <n v="-3708" u="1"/>
        <n v="-3578" u="1"/>
        <n v="-910" u="1"/>
        <n v="-3448" u="1"/>
        <n v="-3318" u="1"/>
        <n v="-845" u="1"/>
        <n v="-3188" u="1"/>
        <n v="-207" u="1"/>
        <n v="-3058" u="1"/>
        <n v="-780" u="1"/>
        <n v="-2928" u="1"/>
        <n v="-2798" u="1"/>
        <n v="-715" u="1"/>
        <n v="-2668" u="1"/>
        <n v="-2538" u="1"/>
        <n v="-650" u="1"/>
        <n v="-2408" u="1"/>
        <n v="-2278" u="1"/>
        <n v="-585" u="1"/>
        <n v="27" u="1"/>
        <n v="-2148" u="1"/>
        <n v="-142" u="1"/>
        <n v="-2033" u="1"/>
        <n v="-520" u="1"/>
        <n v="-1968" u="1"/>
        <n v="-1903" u="1"/>
        <n v="-3645" u="1"/>
        <n v="-1838" u="1"/>
        <n v="-3515" u="1"/>
        <n v="-1773" u="1"/>
        <n v="-451" u="1"/>
        <n v="-3385" u="1"/>
        <n v="-1708" u="1"/>
        <n v="-3255" u="1"/>
        <n v="-1643" u="1"/>
        <n v="-3125" u="1"/>
        <n v="-1578" u="1"/>
        <n v="-2995" u="1"/>
        <n v="-1513" u="1"/>
        <n v="-386" u="1"/>
        <n v="-2865" u="1"/>
        <n v="-1448" u="1"/>
        <n v="-2735" u="1"/>
        <n v="-1383" u="1"/>
        <n v="-2605" u="1"/>
        <n v="-1318" u="1"/>
        <n v="-2475" u="1"/>
        <n v="-1253" u="1"/>
        <n v="-321" u="1"/>
        <n v="-2345" u="1"/>
        <n v="-1188" u="1"/>
        <n v="-2215" u="1"/>
        <n v="-1123" u="1"/>
        <n v="-19" u="1"/>
        <n v="-2085" u="1"/>
        <n v="-1058" u="1"/>
        <n v="-70" u="1"/>
        <n v="-256" u="1"/>
        <n v="-976" u="1"/>
        <n v="-3712" u="1"/>
        <n v="-3582" u="1"/>
        <n v="-911" u="1"/>
        <n v="-3452" u="1"/>
      </sharedItems>
    </cacheField>
    <cacheField name="The Day before" numFmtId="0">
      <sharedItems containsSemiMixedTypes="0" containsString="0" containsNumber="1" minValue="-2.2570717592607252" maxValue="21.742928240739275"/>
    </cacheField>
    <cacheField name="Total of 2 days" numFmtId="0">
      <sharedItems containsSemiMixedTypes="0" containsString="0" containsNumber="1" minValue="-3719" maxValue="44994" count="3871">
        <n v="17.742928240739275"/>
        <n v="11.742928240739275"/>
        <n v="16.742928240739275"/>
        <n v="9.7429282407392748"/>
        <n v="15.742928240739275"/>
        <n v="8.7429282407392748"/>
        <n v="14.742928240739275"/>
        <n v="6.7429282407392748"/>
        <n v="4.7429282407392748"/>
        <n v="12.742928240739275"/>
        <n v="10.742928240739275"/>
        <n v="7.7429282407392748"/>
        <n v="5.7429282407392748"/>
        <n v="3.7429282407392748"/>
        <n v="2.7429282407392748"/>
        <n v="0.74292824073927477"/>
        <n v="-0.25707175926072523"/>
        <n v="-2.2570717592607252"/>
        <n v="20.742928240739275"/>
        <n v="13.742928240739275"/>
        <n v="18.742928240739275"/>
        <n v="21.742928240739275"/>
        <n v="1.7429282407392748"/>
        <n v="-1.2570717592607252"/>
        <n v="19.742928240739275"/>
        <n v="-3322" u="1"/>
        <n v="-846" u="1"/>
        <n v="0" u="1"/>
        <n v="-3192" u="1"/>
        <n v="-3062" u="1"/>
        <n v="-781" u="1"/>
        <n v="-2932" u="1"/>
        <n v="-191" u="1"/>
        <n v="-2802" u="1"/>
        <n v="-716" u="1"/>
        <n v="-2672" u="1"/>
        <n v="-2542" u="1"/>
        <n v="-651" u="1"/>
        <n v="-2412" u="1"/>
        <n v="-2282" u="1"/>
        <n v="-586" u="1"/>
        <n v="-2152" u="1"/>
        <n v="-2035" u="1"/>
        <n v="-521" u="1"/>
        <n v="25" u="1"/>
        <n v="-1970" u="1"/>
        <n v="-127" u="1"/>
        <n v="-1905" u="1"/>
        <n v="-484" u="1"/>
        <n v="-3649" u="1"/>
        <n v="-1840" u="1"/>
        <n v="-3519" u="1"/>
        <n v="-1775" u="1"/>
        <n v="-3389" u="1"/>
        <n v="-1710" u="1"/>
        <n v="-3259" u="1"/>
        <n v="-1645" u="1"/>
        <n v="-419" u="1"/>
        <n v="-3129" u="1"/>
        <n v="-1580" u="1"/>
        <n v="-2999" u="1"/>
        <n v="-1515" u="1"/>
        <n v="-2869" u="1"/>
        <n v="-1450" u="1"/>
        <n v="-2739" u="1"/>
        <n v="-1385" u="1"/>
        <n v="-354" u="1"/>
        <n v="-2609" u="1"/>
        <n v="-1320" u="1"/>
        <n v="-2479" u="1"/>
        <n v="-1255" u="1"/>
        <n v="-2349" u="1"/>
        <n v="-1190" u="1"/>
        <n v="-2219" u="1"/>
        <n v="-1125" u="1"/>
        <n v="-289" u="1"/>
        <n v="-2089" u="1"/>
        <n v="-1060" u="1"/>
        <n v="44799" u="1"/>
        <n v="-17" u="1"/>
        <n v="-977" u="1"/>
        <n v="-63" u="1"/>
        <n v="-3716" u="1"/>
        <n v="-240" u="1"/>
        <n v="-3586" u="1"/>
        <n v="-912" u="1"/>
        <n v="-3456" u="1"/>
        <n v="-3326" u="1"/>
        <n v="-847" u="1"/>
        <n v="-3196" u="1"/>
        <n v="-3066" u="1"/>
        <n v="-782" u="1"/>
        <n v="-2936" u="1"/>
        <n v="-2806" u="1"/>
        <n v="-717" u="1"/>
        <n v="-2676" u="1"/>
        <n v="-175" u="1"/>
        <n v="-2546" u="1"/>
        <n v="-652" u="1"/>
        <n v="-2416" u="1"/>
        <n v="-2286" u="1"/>
        <n v="-587" u="1"/>
        <n v="-2156" u="1"/>
        <n v="-2037" u="1"/>
        <n v="-522" u="1"/>
        <n v="-1972" u="1"/>
        <n v="-1907" u="1"/>
        <n v="23" u="1"/>
        <n v="-3653" u="1"/>
        <n v="-1842" u="1"/>
        <n v="-119" u="1"/>
        <n v="-3523" u="1"/>
        <n v="-1777" u="1"/>
        <n v="-452" u="1"/>
        <n v="-3393" u="1"/>
        <n v="-1712" u="1"/>
        <n v="-3263" u="1"/>
        <n v="-1647" u="1"/>
        <n v="-3133" u="1"/>
        <n v="-1582" u="1"/>
        <n v="-3003" u="1"/>
        <n v="-1517" u="1"/>
        <n v="-387" u="1"/>
        <n v="-2873" u="1"/>
        <n v="-1452" u="1"/>
        <n v="-2743" u="1"/>
        <n v="-1387" u="1"/>
        <n v="-2613" u="1"/>
        <n v="-1322" u="1"/>
        <n v="-2483" u="1"/>
        <n v="-1257" u="1"/>
        <n v="-322" u="1"/>
        <n v="-2353" u="1"/>
        <n v="-1192" u="1"/>
        <n v="-2223" u="1"/>
        <n v="-1127" u="1"/>
        <n v="-2093" u="1"/>
        <n v="-1062" u="1"/>
        <n v="-257" u="1"/>
        <n v="44800" u="1"/>
        <n v="-978" u="1"/>
        <n v="44737" u="1"/>
        <n v="-3590" u="1"/>
        <n v="-913" u="1"/>
        <n v="-59" u="1"/>
        <n v="-3460" u="1"/>
        <n v="-224" u="1"/>
        <n v="-3330" u="1"/>
        <n v="-848" u="1"/>
        <n v="-3200" u="1"/>
        <n v="-3070" u="1"/>
        <n v="-783" u="1"/>
        <n v="-2940" u="1"/>
        <n v="-2810" u="1"/>
        <n v="-718" u="1"/>
        <n v="-2680" u="1"/>
        <n v="-2550" u="1"/>
        <n v="-653" u="1"/>
        <n v="-2420" u="1"/>
        <n v="-159" u="1"/>
        <n v="-2290" u="1"/>
        <n v="-588" u="1"/>
        <n v="-2160" u="1"/>
        <n v="-2039" u="1"/>
        <n v="-523" u="1"/>
        <n v="-1974" u="1"/>
        <n v="-1909" u="1"/>
        <n v="-485" u="1"/>
        <n v="-3657" u="1"/>
        <n v="-1844" u="1"/>
        <n v="-3527" u="1"/>
        <n v="-1779" u="1"/>
        <n v="21" u="1"/>
        <n v="-3397" u="1"/>
        <n v="-1714" u="1"/>
        <n v="-111" u="1"/>
        <n v="-3267" u="1"/>
        <n v="-1649" u="1"/>
        <n v="-420" u="1"/>
        <n v="-3137" u="1"/>
        <n v="-1584" u="1"/>
        <n v="-3007" u="1"/>
        <n v="-1519" u="1"/>
        <n v="-2877" u="1"/>
        <n v="-1454" u="1"/>
        <n v="-2747" u="1"/>
        <n v="-1389" u="1"/>
        <n v="-355" u="1"/>
        <n v="-2617" u="1"/>
        <n v="-1324" u="1"/>
        <n v="-2487" u="1"/>
        <n v="-1259" u="1"/>
        <n v="-2357" u="1"/>
        <n v="-1194" u="1"/>
        <n v="-2227" u="1"/>
        <n v="-1129" u="1"/>
        <n v="-290" u="1"/>
        <n v="-2097" u="1"/>
        <n v="-1064" u="1"/>
        <n v="-979" u="1"/>
        <n v="-1" u="1"/>
        <n v="44738" u="1"/>
        <n v="-3594" u="1"/>
        <n v="-914" u="1"/>
        <n v="-3464" u="1"/>
        <n v="-3334" u="1"/>
        <n v="-849" u="1"/>
        <n v="-55" u="1"/>
        <n v="-3204" u="1"/>
        <n v="-208" u="1"/>
        <n v="-3074" u="1"/>
        <n v="-784" u="1"/>
        <n v="-2944" u="1"/>
        <n v="-2814" u="1"/>
        <n v="-719" u="1"/>
        <n v="-2684" u="1"/>
        <n v="-2554" u="1"/>
        <n v="-654" u="1"/>
        <n v="-2424" u="1"/>
        <n v="-2294" u="1"/>
        <n v="-589" u="1"/>
        <n v="-2164" u="1"/>
        <n v="-143" u="1"/>
        <n v="-2041" u="1"/>
        <n v="-524" u="1"/>
        <n v="-1976" u="1"/>
        <n v="-1911" u="1"/>
        <n v="-3661" u="1"/>
        <n v="-1846" u="1"/>
        <n v="-3531" u="1"/>
        <n v="-1781" u="1"/>
        <n v="-453" u="1"/>
        <n v="-3401" u="1"/>
        <n v="-1716" u="1"/>
        <n v="-3271" u="1"/>
        <n v="-1651" u="1"/>
        <n v="19" u="1"/>
        <n v="-3141" u="1"/>
        <n v="-1586" u="1"/>
        <n v="-103" u="1"/>
        <n v="70" u="1"/>
        <n v="-3011" u="1"/>
        <n v="-1521" u="1"/>
        <n v="-388" u="1"/>
        <n v="-2881" u="1"/>
        <n v="-1456" u="1"/>
        <n v="-2751" u="1"/>
        <n v="-1391" u="1"/>
        <n v="-2621" u="1"/>
        <n v="-1326" u="1"/>
        <n v="-2491" u="1"/>
        <n v="-1261" u="1"/>
        <n v="-323" u="1"/>
        <n v="-2361" u="1"/>
        <n v="-1196" u="1"/>
        <n v="-2231" u="1"/>
        <n v="-1131" u="1"/>
        <n v="-2101" u="1"/>
        <n v="-1066" u="1"/>
        <n v="-258" u="1"/>
        <n v="-980" u="1"/>
        <n v="44802" u="1"/>
        <n v="-3598" u="1"/>
        <n v="-915" u="1"/>
        <n v="44739" u="1"/>
        <n v="-3468" u="1"/>
        <n v="44676" u="1"/>
        <n v="-3338" u="1"/>
        <n v="-850" u="1"/>
        <n v="-3208" u="1"/>
        <n v="-3078" u="1"/>
        <n v="-785" u="1"/>
        <n v="-51" u="1"/>
        <n v="-2948" u="1"/>
        <n v="-192" u="1"/>
        <n v="-2818" u="1"/>
        <n v="-720" u="1"/>
        <n v="-2688" u="1"/>
        <n v="-2558" u="1"/>
        <n v="-655" u="1"/>
        <n v="-2428" u="1"/>
        <n v="-2298" u="1"/>
        <n v="-590" u="1"/>
        <n v="-2168" u="1"/>
        <n v="-2043" u="1"/>
        <n v="-525" u="1"/>
        <n v="-1978" u="1"/>
        <n v="-1913" u="1"/>
        <n v="-486" u="1"/>
        <n v="-3665" u="1"/>
        <n v="-1848" u="1"/>
        <n v="-3535" u="1"/>
        <n v="-1783" u="1"/>
        <n v="-3405" u="1"/>
        <n v="-1718" u="1"/>
        <n v="-3275" u="1"/>
        <n v="-1653" u="1"/>
        <n v="-421" u="1"/>
        <n v="-3145" u="1"/>
        <n v="-1588" u="1"/>
        <n v="-3015" u="1"/>
        <n v="-1523" u="1"/>
        <n v="17" u="1"/>
        <n v="-2885" u="1"/>
        <n v="-1458" u="1"/>
        <n v="-95" u="1"/>
        <n v="-2755" u="1"/>
        <n v="-1393" u="1"/>
        <n v="-356" u="1"/>
        <n v="-2625" u="1"/>
        <n v="-1328" u="1"/>
        <n v="-2495" u="1"/>
        <n v="-1263" u="1"/>
        <n v="-2365" u="1"/>
        <n v="-1198" u="1"/>
        <n v="-2235" u="1"/>
        <n v="-1133" u="1"/>
        <n v="-291" u="1"/>
        <n v="-2105" u="1"/>
        <n v="-1068" u="1"/>
        <n v="-981" u="1"/>
        <n v="-241" u="1"/>
        <n v="-3602" u="1"/>
        <n v="-916" u="1"/>
        <n v="-3472" u="1"/>
        <n v="-3342" u="1"/>
        <n v="-851" u="1"/>
        <n v="-3212" u="1"/>
        <n v="-3082" u="1"/>
        <n v="-786" u="1"/>
        <n v="-2952" u="1"/>
        <n v="-2822" u="1"/>
        <n v="-721" u="1"/>
        <n v="-47" u="1"/>
        <n v="-2692" u="1"/>
        <n v="-176" u="1"/>
        <n v="-2562" u="1"/>
        <n v="-656" u="1"/>
        <n v="-2432" u="1"/>
        <n v="-2302" u="1"/>
        <n v="-591" u="1"/>
        <n v="-2172" u="1"/>
        <n v="-2045" u="1"/>
        <n v="-526" u="1"/>
        <n v="-1980" u="1"/>
        <n v="-1915" u="1"/>
        <n v="-3669" u="1"/>
        <n v="-1850" u="1"/>
        <n v="-3539" u="1"/>
        <n v="-1785" u="1"/>
        <n v="-454" u="1"/>
        <n v="-3409" u="1"/>
        <n v="-1720" u="1"/>
        <n v="-3279" u="1"/>
        <n v="-1655" u="1"/>
        <n v="-3149" u="1"/>
        <n v="-1590" u="1"/>
        <n v="-3019" u="1"/>
        <n v="-1525" u="1"/>
        <n v="-389" u="1"/>
        <n v="-2889" u="1"/>
        <n v="-1460" u="1"/>
        <n v="-2759" u="1"/>
        <n v="-1395" u="1"/>
        <n v="-2629" u="1"/>
        <n v="-1330" u="1"/>
        <n v="-87" u="1"/>
        <n v="-2499" u="1"/>
        <n v="-1265" u="1"/>
        <n v="-324" u="1"/>
        <n v="-2369" u="1"/>
        <n v="-1200" u="1"/>
        <n v="-2239" u="1"/>
        <n v="-1135" u="1"/>
        <n v="-2109" u="1"/>
        <n v="-1070" u="1"/>
        <n v="-259" u="1"/>
        <n v="-982" u="1"/>
        <n v="-3606" u="1"/>
        <n v="-917" u="1"/>
        <n v="-3476" u="1"/>
        <n v="-225" u="1"/>
        <n v="-3346" u="1"/>
        <n v="-852" u="1"/>
        <n v="-3216" u="1"/>
        <n v="-3086" u="1"/>
        <n v="-787" u="1"/>
        <n v="-2956" u="1"/>
        <n v="-2826" u="1"/>
        <n v="-722" u="1"/>
        <n v="-2696" u="1"/>
        <n v="-2566" u="1"/>
        <n v="-657" u="1"/>
        <n v="-43" u="1"/>
        <n v="-2436" u="1"/>
        <n v="-160" u="1"/>
        <n v="-2306" u="1"/>
        <n v="-592" u="1"/>
        <n v="-2176" u="1"/>
        <n v="-2047" u="1"/>
        <n v="-527" u="1"/>
        <n v="-1982" u="1"/>
        <n v="-1917" u="1"/>
        <n v="-487" u="1"/>
        <n v="-3673" u="1"/>
        <n v="-1852" u="1"/>
        <n v="-3543" u="1"/>
        <n v="-1787" u="1"/>
        <n v="-3413" u="1"/>
        <n v="-1722" u="1"/>
        <n v="-3283" u="1"/>
        <n v="-1657" u="1"/>
        <n v="-422" u="1"/>
        <n v="-3153" u="1"/>
        <n v="-1592" u="1"/>
        <n v="-3023" u="1"/>
        <n v="-1527" u="1"/>
        <n v="-2893" u="1"/>
        <n v="-1462" u="1"/>
        <n v="-2763" u="1"/>
        <n v="-1397" u="1"/>
        <n v="-357" u="1"/>
        <n v="1" u="1"/>
        <n v="-2633" u="1"/>
        <n v="-1332" u="1"/>
        <n v="-2503" u="1"/>
        <n v="-1267" u="1"/>
        <n v="-2373" u="1"/>
        <n v="-1202" u="1"/>
        <n v="-79" u="1"/>
        <n v="55" u="1"/>
        <n v="-2243" u="1"/>
        <n v="-1137" u="1"/>
        <n v="-292" u="1"/>
        <n v="-2113" u="1"/>
        <n v="-1072" u="1"/>
        <n v="-983" u="1"/>
        <n v="44994" u="1"/>
        <n v="-3610" u="1"/>
        <n v="-918" u="1"/>
        <n v="-3480" u="1"/>
        <n v="-3350" u="1"/>
        <n v="-853" u="1"/>
        <n v="-3220" u="1"/>
        <n v="-209" u="1"/>
        <n v="-3090" u="1"/>
        <n v="-788" u="1"/>
        <n v="-2960" u="1"/>
        <n v="-2830" u="1"/>
        <n v="-723" u="1"/>
        <n v="-2700" u="1"/>
        <n v="-2570" u="1"/>
        <n v="-658" u="1"/>
        <n v="-2440" u="1"/>
        <n v="-2310" u="1"/>
        <n v="-593" u="1"/>
        <n v="-39" u="1"/>
        <n v="-2180" u="1"/>
        <n v="-144" u="1"/>
        <n v="-2050" u="1"/>
        <n v="-528" u="1"/>
        <n v="-1984" u="1"/>
        <n v="-1919" u="1"/>
        <n v="-3677" u="1"/>
        <n v="-1854" u="1"/>
        <n v="-3547" u="1"/>
        <n v="-1789" u="1"/>
        <n v="-455" u="1"/>
        <n v="-3417" u="1"/>
        <n v="-1724" u="1"/>
        <n v="-3287" u="1"/>
        <n v="-1659" u="1"/>
        <n v="-3157" u="1"/>
        <n v="-1594" u="1"/>
        <n v="-3027" u="1"/>
        <n v="-1529" u="1"/>
        <n v="-390" u="1"/>
        <n v="-2897" u="1"/>
        <n v="-1464" u="1"/>
        <n v="-2767" u="1"/>
        <n v="-1399" u="1"/>
        <n v="-2637" u="1"/>
        <n v="-1334" u="1"/>
        <n v="-2507" u="1"/>
        <n v="-1269" u="1"/>
        <n v="-325" u="1"/>
        <n v="-2377" u="1"/>
        <n v="-1204" u="1"/>
        <n v="-2247" u="1"/>
        <n v="-1139" u="1"/>
        <n v="-2117" u="1"/>
        <n v="-1074" u="1"/>
        <n v="-71" u="1"/>
        <n v="51" u="1"/>
        <n v="-260" u="1"/>
        <n v="-984" u="1"/>
        <n v="-3614" u="1"/>
        <n v="-919" u="1"/>
        <n v="-3484" u="1"/>
        <n v="-3354" u="1"/>
        <n v="-854" u="1"/>
        <n v="-3224" u="1"/>
        <n v="-3094" u="1"/>
        <n v="-789" u="1"/>
        <n v="-2964" u="1"/>
        <n v="-193" u="1"/>
        <n v="-2834" u="1"/>
        <n v="-724" u="1"/>
        <n v="-2704" u="1"/>
        <n v="-2574" u="1"/>
        <n v="-659" u="1"/>
        <n v="-2444" u="1"/>
        <n v="-2314" u="1"/>
        <n v="-594" u="1"/>
        <n v="-2184" u="1"/>
        <n v="-2054" u="1"/>
        <n v="-529" u="1"/>
        <n v="-35" u="1"/>
        <n v="-1986" u="1"/>
        <n v="-128" u="1"/>
        <n v="-1921" u="1"/>
        <n v="-488" u="1"/>
        <n v="-3681" u="1"/>
        <n v="-1856" u="1"/>
        <n v="-3551" u="1"/>
        <n v="-1791" u="1"/>
        <n v="-3421" u="1"/>
        <n v="-1726" u="1"/>
        <n v="-3291" u="1"/>
        <n v="-1661" u="1"/>
        <n v="-423" u="1"/>
        <n v="-3161" u="1"/>
        <n v="-1596" u="1"/>
        <n v="-3031" u="1"/>
        <n v="-1531" u="1"/>
        <n v="-2901" u="1"/>
        <n v="-1466" u="1"/>
        <n v="-2771" u="1"/>
        <n v="-1401" u="1"/>
        <n v="-358" u="1"/>
        <n v="-2641" u="1"/>
        <n v="-1336" u="1"/>
        <n v="-2511" u="1"/>
        <n v="-1271" u="1"/>
        <n v="-2381" u="1"/>
        <n v="-1206" u="1"/>
        <n v="-2251" u="1"/>
        <n v="-1141" u="1"/>
        <n v="-293" u="1"/>
        <n v="-2121" u="1"/>
        <n v="-1076" u="1"/>
        <n v="-985" u="1"/>
        <n v="-242" u="1"/>
        <n v="-3618" u="1"/>
        <n v="-920" u="1"/>
        <n v="-3488" u="1"/>
        <n v="-3358" u="1"/>
        <n v="-855" u="1"/>
        <n v="-3228" u="1"/>
        <n v="-3098" u="1"/>
        <n v="-790" u="1"/>
        <n v="44807" u="1"/>
        <n v="-2968" u="1"/>
        <n v="-2838" u="1"/>
        <n v="-725" u="1"/>
        <n v="-2708" u="1"/>
        <n v="-177" u="1"/>
        <n v="-2578" u="1"/>
        <n v="-660" u="1"/>
        <n v="-2448" u="1"/>
        <n v="-2318" u="1"/>
        <n v="-595" u="1"/>
        <n v="-2188" u="1"/>
        <n v="-2058" u="1"/>
        <n v="-530" u="1"/>
        <n v="-1988" u="1"/>
        <n v="-1923" u="1"/>
        <n v="-3685" u="1"/>
        <n v="-1858" u="1"/>
        <n v="-120" u="1"/>
        <n v="-3555" u="1"/>
        <n v="-1793" u="1"/>
        <n v="-456" u="1"/>
        <n v="-3425" u="1"/>
        <n v="-1728" u="1"/>
        <n v="-3295" u="1"/>
        <n v="-1663" u="1"/>
        <n v="-3165" u="1"/>
        <n v="-1598" u="1"/>
        <n v="-3035" u="1"/>
        <n v="-1533" u="1"/>
        <n v="-391" u="1"/>
        <n v="-2905" u="1"/>
        <n v="-1468" u="1"/>
        <n v="-2775" u="1"/>
        <n v="-1403" u="1"/>
        <n v="-2645" u="1"/>
        <n v="-1338" u="1"/>
        <n v="-2515" u="1"/>
        <n v="-1273" u="1"/>
        <n v="-326" u="1"/>
        <n v="-2385" u="1"/>
        <n v="-1208" u="1"/>
        <n v="-2255" u="1"/>
        <n v="-1143" u="1"/>
        <n v="-2125" u="1"/>
        <n v="-1078" u="1"/>
        <n v="-261" u="1"/>
        <n v="-986" u="1"/>
        <n v="-3622" u="1"/>
        <n v="-921" u="1"/>
        <n v="43" u="1"/>
        <n v="-3492" u="1"/>
        <n v="-226" u="1"/>
        <n v="-3362" u="1"/>
        <n v="-856" u="1"/>
        <n v="-3232" u="1"/>
        <n v="-3102" u="1"/>
        <n v="-791" u="1"/>
        <n v="-2972" u="1"/>
        <n v="44808" u="1"/>
        <n v="-2842" u="1"/>
        <n v="-726" u="1"/>
        <n v="44745" u="1"/>
        <n v="-2712" u="1"/>
        <n v="-2582" u="1"/>
        <n v="-661" u="1"/>
        <n v="44619" u="1"/>
        <n v="-2452" u="1"/>
        <n v="-161" u="1"/>
        <n v="-2322" u="1"/>
        <n v="-596" u="1"/>
        <n v="-2192" u="1"/>
        <n v="-2062" u="1"/>
        <n v="-531" u="1"/>
        <n v="-1990" u="1"/>
        <n v="-1925" u="1"/>
        <n v="-489" u="1"/>
        <n v="-3689" u="1"/>
        <n v="-1860" u="1"/>
        <n v="-3559" u="1"/>
        <n v="-1795" u="1"/>
        <n v="-3429" u="1"/>
        <n v="-1730" u="1"/>
        <n v="-112" u="1"/>
        <n v="-3299" u="1"/>
        <n v="-1665" u="1"/>
        <n v="-424" u="1"/>
        <n v="-3169" u="1"/>
        <n v="-1600" u="1"/>
        <n v="-3039" u="1"/>
        <n v="-1535" u="1"/>
        <n v="-2909" u="1"/>
        <n v="-1470" u="1"/>
        <n v="-2779" u="1"/>
        <n v="-1405" u="1"/>
        <n v="-359" u="1"/>
        <n v="-2649" u="1"/>
        <n v="-1340" u="1"/>
        <n v="-2519" u="1"/>
        <n v="-1275" u="1"/>
        <n v="-2389" u="1"/>
        <n v="-1210" u="1"/>
        <n v="-2259" u="1"/>
        <n v="-1145" u="1"/>
        <n v="-294" u="1"/>
        <n v="-2129" u="1"/>
        <n v="-1080" u="1"/>
        <n v="-987" u="1"/>
        <n v="-3626" u="1"/>
        <n v="-922" u="1"/>
        <n v="-3496" u="1"/>
        <n v="-3366" u="1"/>
        <n v="-857" u="1"/>
        <n v="-3236" u="1"/>
        <n v="-210" u="1"/>
        <n v="-3106" u="1"/>
        <n v="-792" u="1"/>
        <n v="-2976" u="1"/>
        <n v="-2846" u="1"/>
        <n v="-727" u="1"/>
        <n v="44809" u="1"/>
        <n v="-2716" u="1"/>
        <n v="44746" u="1"/>
        <n v="-2586" u="1"/>
        <n v="-662" u="1"/>
        <n v="-2456" u="1"/>
        <n v="44620" u="1"/>
        <n v="-2326" u="1"/>
        <n v="-597" u="1"/>
        <n v="-2196" u="1"/>
        <n v="-145" u="1"/>
        <n v="-2066" u="1"/>
        <n v="-532" u="1"/>
        <n v="-1992" u="1"/>
        <n v="-1927" u="1"/>
        <n v="-3693" u="1"/>
        <n v="-1862" u="1"/>
        <n v="-3563" u="1"/>
        <n v="-1797" u="1"/>
        <n v="-457" u="1"/>
        <n v="-3433" u="1"/>
        <n v="-1732" u="1"/>
        <n v="-3303" u="1"/>
        <n v="-1667" u="1"/>
        <n v="-3173" u="1"/>
        <n v="-1602" u="1"/>
        <n v="-104" u="1"/>
        <n v="71" u="1"/>
        <n v="-3043" u="1"/>
        <n v="-1537" u="1"/>
        <n v="-392" u="1"/>
        <n v="-2913" u="1"/>
        <n v="-1472" u="1"/>
        <n v="-2783" u="1"/>
        <n v="-1407" u="1"/>
        <n v="-2653" u="1"/>
        <n v="-1342" u="1"/>
        <n v="-2523" u="1"/>
        <n v="-1277" u="1"/>
        <n v="-327" u="1"/>
        <n v="-2393" u="1"/>
        <n v="-1212" u="1"/>
        <n v="-2263" u="1"/>
        <n v="-1147" u="1"/>
        <n v="-2133" u="1"/>
        <n v="-1082" u="1"/>
        <n v="-262" u="1"/>
        <n v="-988" u="1"/>
        <n v="-3630" u="1"/>
        <n v="-923" u="1"/>
        <n v="-3500" u="1"/>
        <n v="-3370" u="1"/>
        <n v="-858" u="1"/>
        <n v="-3240" u="1"/>
        <n v="-3110" u="1"/>
        <n v="-793" u="1"/>
        <n v="35" u="1"/>
        <n v="-2980" u="1"/>
        <n v="-194" u="1"/>
        <n v="-2850" u="1"/>
        <n v="-728" u="1"/>
        <n v="-2720" u="1"/>
        <n v="44810" u="1"/>
        <n v="-2590" u="1"/>
        <n v="-663" u="1"/>
        <n v="44747" u="1"/>
        <n v="-2460" u="1"/>
        <n v="-2330" u="1"/>
        <n v="-598" u="1"/>
        <n v="-2200" u="1"/>
        <n v="-2070" u="1"/>
        <n v="-533" u="1"/>
        <n v="-1994" u="1"/>
        <n v="-129" u="1"/>
        <n v="-1929" u="1"/>
        <n v="-490" u="1"/>
        <n v="-3697" u="1"/>
        <n v="-1864" u="1"/>
        <n v="-3567" u="1"/>
        <n v="-1799" u="1"/>
        <n v="-3437" u="1"/>
        <n v="-1734" u="1"/>
        <n v="-3307" u="1"/>
        <n v="-1669" u="1"/>
        <n v="-425" u="1"/>
        <n v="-3177" u="1"/>
        <n v="-1604" u="1"/>
        <n v="-3047" u="1"/>
        <n v="-1539" u="1"/>
        <n v="-2917" u="1"/>
        <n v="-1474" u="1"/>
        <n v="-96" u="1"/>
        <n v="-2787" u="1"/>
        <n v="-1409" u="1"/>
        <n v="-360" u="1"/>
        <n v="-2657" u="1"/>
        <n v="-1344" u="1"/>
        <n v="-2527" u="1"/>
        <n v="-1279" u="1"/>
        <n v="-2397" u="1"/>
        <n v="-1214" u="1"/>
        <n v="-2267" u="1"/>
        <n v="-1149" u="1"/>
        <n v="-295" u="1"/>
        <n v="-2137" u="1"/>
        <n v="-1084" u="1"/>
        <n v="-989" u="1"/>
        <n v="-243" u="1"/>
        <n v="-3634" u="1"/>
        <n v="-924" u="1"/>
        <n v="-3504" u="1"/>
        <n v="-3374" u="1"/>
        <n v="-859" u="1"/>
        <n v="-3244" u="1"/>
        <n v="-3114" u="1"/>
        <n v="-794" u="1"/>
        <n v="-2984" u="1"/>
        <n v="-2854" u="1"/>
        <n v="-729" u="1"/>
        <n v="-2724" u="1"/>
        <n v="-178" u="1"/>
        <n v="-2594" u="1"/>
        <n v="-664" u="1"/>
        <n v="-2464" u="1"/>
        <n v="-2334" u="1"/>
        <n v="-599" u="1"/>
        <n v="-2204" u="1"/>
        <n v="-2074" u="1"/>
        <n v="-534" u="1"/>
        <n v="-1996" u="1"/>
        <n v="-1931" u="1"/>
        <n v="-3701" u="1"/>
        <n v="-1866" u="1"/>
        <n v="-3571" u="1"/>
        <n v="-1801" u="1"/>
        <n v="-458" u="1"/>
        <n v="-3441" u="1"/>
        <n v="-1736" u="1"/>
        <n v="-3311" u="1"/>
        <n v="-1671" u="1"/>
        <n v="-3181" u="1"/>
        <n v="-1606" u="1"/>
        <n v="-3051" u="1"/>
        <n v="-1541" u="1"/>
        <n v="-393" u="1"/>
        <n v="-2921" u="1"/>
        <n v="-1476" u="1"/>
        <n v="-2791" u="1"/>
        <n v="-1411" u="1"/>
        <n v="-2661" u="1"/>
        <n v="-1346" u="1"/>
        <n v="-88" u="1"/>
        <n v="-2531" u="1"/>
        <n v="-1281" u="1"/>
        <n v="-328" u="1"/>
        <n v="-2401" u="1"/>
        <n v="-1216" u="1"/>
        <n v="-2271" u="1"/>
        <n v="-1151" u="1"/>
        <n v="-2141" u="1"/>
        <n v="-1086" u="1"/>
        <n v="-263" u="1"/>
        <n v="-990" u="1"/>
        <n v="-3638" u="1"/>
        <n v="-925" u="1"/>
        <n v="-3508" u="1"/>
        <n v="-227" u="1"/>
        <n v="-3378" u="1"/>
        <n v="-860" u="1"/>
        <n v="-3248" u="1"/>
        <n v="-3118" u="1"/>
        <n v="-795" u="1"/>
        <n v="-2988" u="1"/>
        <n v="-2858" u="1"/>
        <n v="-730" u="1"/>
        <n v="-2728" u="1"/>
        <n v="-2598" u="1"/>
        <n v="-665" u="1"/>
        <n v="-2468" u="1"/>
        <n v="-162" u="1"/>
        <n v="-2338" u="1"/>
        <n v="-600" u="1"/>
        <n v="-2208" u="1"/>
        <n v="-2078" u="1"/>
        <n v="-535" u="1"/>
        <n v="-1998" u="1"/>
        <n v="-1933" u="1"/>
        <n v="-491" u="1"/>
        <n v="-3705" u="1"/>
        <n v="-1868" u="1"/>
        <n v="-3575" u="1"/>
        <n v="-1803" u="1"/>
        <n v="-3445" u="1"/>
        <n v="-1738" u="1"/>
        <n v="-3315" u="1"/>
        <n v="-1673" u="1"/>
        <n v="-426" u="1"/>
        <n v="-3185" u="1"/>
        <n v="-1608" u="1"/>
        <n v="-3055" u="1"/>
        <n v="-1543" u="1"/>
        <n v="-2925" u="1"/>
        <n v="-1478" u="1"/>
        <n v="-2795" u="1"/>
        <n v="-1413" u="1"/>
        <n v="-361" u="1"/>
        <n v="-2665" u="1"/>
        <n v="-1348" u="1"/>
        <n v="-2535" u="1"/>
        <n v="-1283" u="1"/>
        <n v="-2405" u="1"/>
        <n v="-1218" u="1"/>
        <n v="-80" u="1"/>
        <n v="-2275" u="1"/>
        <n v="-1153" u="1"/>
        <n v="-296" u="1"/>
        <n v="-2145" u="1"/>
        <n v="-1088" u="1"/>
        <n v="-991" u="1"/>
        <n v="-3642" u="1"/>
        <n v="-926" u="1"/>
        <n v="-3512" u="1"/>
        <n v="-3382" u="1"/>
        <n v="-861" u="1"/>
        <n v="-3252" u="1"/>
        <n v="-211" u="1"/>
        <n v="-3122" u="1"/>
        <n v="-796" u="1"/>
        <n v="-2992" u="1"/>
        <n v="-2862" u="1"/>
        <n v="-731" u="1"/>
        <n v="-2732" u="1"/>
        <n v="-2602" u="1"/>
        <n v="-666" u="1"/>
        <n v="-2472" u="1"/>
        <n v="-2342" u="1"/>
        <n v="-601" u="1"/>
        <n v="44813" u="1"/>
        <n v="-2212" u="1"/>
        <n v="-146" u="1"/>
        <n v="44750" u="1"/>
        <n v="-2082" u="1"/>
        <n v="-536" u="1"/>
        <n v="-2000" u="1"/>
        <n v="44624" u="1"/>
        <n v="-1935" u="1"/>
        <n v="-3709" u="1"/>
        <n v="-1870" u="1"/>
        <n v="-3579" u="1"/>
        <n v="-1805" u="1"/>
        <n v="-459" u="1"/>
        <n v="-3449" u="1"/>
        <n v="-1740" u="1"/>
        <n v="-3319" u="1"/>
        <n v="-1675" u="1"/>
        <n v="-3189" u="1"/>
        <n v="-1610" u="1"/>
        <n v="-3059" u="1"/>
        <n v="-1545" u="1"/>
        <n v="-394" u="1"/>
        <n v="-2929" u="1"/>
        <n v="-1480" u="1"/>
        <n v="-2799" u="1"/>
        <n v="-1415" u="1"/>
        <n v="-2669" u="1"/>
        <n v="-1350" u="1"/>
        <n v="-2539" u="1"/>
        <n v="-1285" u="1"/>
        <n v="-329" u="1"/>
        <n v="-2409" u="1"/>
        <n v="-1220" u="1"/>
        <n v="-2279" u="1"/>
        <n v="-1155" u="1"/>
        <n v="-2149" u="1"/>
        <n v="-1090" u="1"/>
        <n v="-72" u="1"/>
        <n v="-1025" u="1"/>
        <n v="-264" u="1"/>
        <n v="-992" u="1"/>
        <n v="-3646" u="1"/>
        <n v="-927" u="1"/>
        <n v="-3516" u="1"/>
        <n v="-3386" u="1"/>
        <n v="-862" u="1"/>
        <n v="-3256" u="1"/>
        <n v="-3126" u="1"/>
        <n v="-797" u="1"/>
        <n v="-2996" u="1"/>
        <n v="-195" u="1"/>
        <n v="-2866" u="1"/>
        <n v="-732" u="1"/>
        <n v="-2736" u="1"/>
        <n v="-2606" u="1"/>
        <n v="-667" u="1"/>
        <n v="-2476" u="1"/>
        <n v="-2346" u="1"/>
        <n v="-602" u="1"/>
        <n v="-2216" u="1"/>
        <n v="44814" u="1"/>
        <n v="-2086" u="1"/>
        <n v="-537" u="1"/>
        <n v="44751" u="1"/>
        <n v="-2002" u="1"/>
        <n v="-130" u="1"/>
        <n v="-1937" u="1"/>
        <n v="-492" u="1"/>
        <n v="-3713" u="1"/>
        <n v="-1872" u="1"/>
        <n v="-3583" u="1"/>
        <n v="-1807" u="1"/>
        <n v="-3453" u="1"/>
        <n v="-1742" u="1"/>
        <n v="-3323" u="1"/>
        <n v="-1677" u="1"/>
        <n v="-427" u="1"/>
        <n v="-3193" u="1"/>
        <n v="-1612" u="1"/>
        <n v="-3063" u="1"/>
        <n v="-1547" u="1"/>
        <n v="-2933" u="1"/>
        <n v="-1482" u="1"/>
        <n v="-2803" u="1"/>
        <n v="-1417" u="1"/>
        <n v="-362" u="1"/>
        <n v="-2673" u="1"/>
        <n v="-1352" u="1"/>
        <n v="-2543" u="1"/>
        <n v="-1287" u="1"/>
        <n v="-2413" u="1"/>
        <n v="-1222" u="1"/>
        <n v="-2283" u="1"/>
        <n v="-1157" u="1"/>
        <n v="-297" u="1"/>
        <n v="-2153" u="1"/>
        <n v="-1092" u="1"/>
        <n v="-1027" u="1"/>
        <n v="-993" u="1"/>
        <n v="-64" u="1"/>
        <n v="-244" u="1"/>
        <n v="-3650" u="1"/>
        <n v="-928" u="1"/>
        <n v="-3520" u="1"/>
        <n v="-3390" u="1"/>
        <n v="-863" u="1"/>
        <n v="-3260" u="1"/>
        <n v="-3130" u="1"/>
        <n v="-798" u="1"/>
        <n v="-3000" u="1"/>
        <n v="-2870" u="1"/>
        <n v="-733" u="1"/>
        <n v="-2740" u="1"/>
        <n v="-179" u="1"/>
        <n v="-2610" u="1"/>
        <n v="-668" u="1"/>
        <n v="-2480" u="1"/>
        <n v="-2350" u="1"/>
        <n v="-603" u="1"/>
        <n v="-2220" u="1"/>
        <n v="-2090" u="1"/>
        <n v="-538" u="1"/>
        <n v="44815" u="1"/>
        <n v="-2004" u="1"/>
        <n v="44752" u="1"/>
        <n v="-1939" u="1"/>
        <n v="-3717" u="1"/>
        <n v="-1874" u="1"/>
        <n v="-121" u="1"/>
        <n v="-3587" u="1"/>
        <n v="-1809" u="1"/>
        <n v="-460" u="1"/>
        <n v="-3457" u="1"/>
        <n v="-1744" u="1"/>
        <n v="-3327" u="1"/>
        <n v="-1679" u="1"/>
        <n v="-3197" u="1"/>
        <n v="-1614" u="1"/>
        <n v="-3067" u="1"/>
        <n v="-1549" u="1"/>
        <n v="-395" u="1"/>
        <n v="-2937" u="1"/>
        <n v="-1484" u="1"/>
        <n v="-2807" u="1"/>
        <n v="-1419" u="1"/>
        <n v="-2677" u="1"/>
        <n v="-1354" u="1"/>
        <n v="-2547" u="1"/>
        <n v="-1289" u="1"/>
        <n v="-330" u="1"/>
        <n v="-2417" u="1"/>
        <n v="-1224" u="1"/>
        <n v="-2287" u="1"/>
        <n v="-1159" u="1"/>
        <n v="-2157" u="1"/>
        <n v="-1094" u="1"/>
        <n v="-1029" u="1"/>
        <n v="-265" u="1"/>
        <n v="-994" u="1"/>
        <n v="-3654" u="1"/>
        <n v="-929" u="1"/>
        <n v="-60" u="1"/>
        <n v="-3524" u="1"/>
        <n v="-228" u="1"/>
        <n v="-3394" u="1"/>
        <n v="-864" u="1"/>
        <n v="-3264" u="1"/>
        <n v="-3134" u="1"/>
        <n v="-799" u="1"/>
        <n v="-3004" u="1"/>
        <n v="-2874" u="1"/>
        <n v="-734" u="1"/>
        <n v="-2744" u="1"/>
        <n v="-2614" u="1"/>
        <n v="-669" u="1"/>
        <n v="-2484" u="1"/>
        <n v="-163" u="1"/>
        <n v="-2354" u="1"/>
        <n v="-604" u="1"/>
        <n v="-2224" u="1"/>
        <n v="-2094" u="1"/>
        <n v="-539" u="1"/>
        <n v="-2006" u="1"/>
        <n v="44816" u="1"/>
        <n v="-1941" u="1"/>
        <n v="-493" u="1"/>
        <n v="44753" u="1"/>
        <n v="-1876" u="1"/>
        <n v="-3591" u="1"/>
        <n v="-1811" u="1"/>
        <n v="44627" u="1"/>
        <n v="-3461" u="1"/>
        <n v="-1746" u="1"/>
        <n v="-113" u="1"/>
        <n v="-3331" u="1"/>
        <n v="-1681" u="1"/>
        <n v="-428" u="1"/>
        <n v="-3201" u="1"/>
        <n v="-1616" u="1"/>
        <n v="-3071" u="1"/>
        <n v="-1551" u="1"/>
        <n v="-2941" u="1"/>
        <n v="-1486" u="1"/>
        <n v="-2811" u="1"/>
        <n v="-1421" u="1"/>
        <n v="-363" u="1"/>
        <n v="-2681" u="1"/>
        <n v="-1356" u="1"/>
        <n v="-2551" u="1"/>
        <n v="-1291" u="1"/>
        <n v="-2421" u="1"/>
        <n v="-1226" u="1"/>
        <n v="-2291" u="1"/>
        <n v="-1161" u="1"/>
        <n v="-298" u="1"/>
        <n v="-2161" u="1"/>
        <n v="-1096" u="1"/>
        <n v="-1031" u="1"/>
        <n v="-995" u="1"/>
        <n v="-3658" u="1"/>
        <n v="-930" u="1"/>
        <n v="-3528" u="1"/>
        <n v="-3398" u="1"/>
        <n v="-865" u="1"/>
        <n v="-56" u="1"/>
        <n v="-3268" u="1"/>
        <n v="-212" u="1"/>
        <n v="-3138" u="1"/>
        <n v="-800" u="1"/>
        <n v="-3008" u="1"/>
        <n v="-2878" u="1"/>
        <n v="-735" u="1"/>
        <n v="-2748" u="1"/>
        <n v="-2618" u="1"/>
        <n v="-670" u="1"/>
        <n v="-2488" u="1"/>
        <n v="-2358" u="1"/>
        <n v="-605" u="1"/>
        <n v="-2228" u="1"/>
        <n v="-147" u="1"/>
        <n v="-2098" u="1"/>
        <n v="-540" u="1"/>
        <n v="-2008" u="1"/>
        <n v="-1943" u="1"/>
        <n v="44817" u="1"/>
        <n v="-1878" u="1"/>
        <n v="44754" u="1"/>
        <n v="-3595" u="1"/>
        <n v="-1813" u="1"/>
        <n v="-461" u="1"/>
        <n v="-3465" u="1"/>
        <n v="-1748" u="1"/>
        <n v="-3335" u="1"/>
        <n v="-1683" u="1"/>
        <n v="-3205" u="1"/>
        <n v="-1618" u="1"/>
        <n v="-105" u="1"/>
        <n v="72" u="1"/>
        <n v="-3075" u="1"/>
        <n v="-1553" u="1"/>
        <n v="-396" u="1"/>
        <n v="-2945" u="1"/>
        <n v="-1488" u="1"/>
        <n v="-2815" u="1"/>
        <n v="-1423" u="1"/>
        <n v="-2685" u="1"/>
        <n v="-1358" u="1"/>
        <n v="-2555" u="1"/>
        <n v="-1293" u="1"/>
        <n v="-331" u="1"/>
        <n v="-2425" u="1"/>
        <n v="-1228" u="1"/>
        <n v="-2295" u="1"/>
        <n v="-1163" u="1"/>
        <n v="-2165" u="1"/>
        <n v="-1098" u="1"/>
        <n v="-1033" u="1"/>
        <n v="-266" u="1"/>
        <n v="-996" u="1"/>
        <n v="-3662" u="1"/>
        <n v="-931" u="1"/>
        <n v="-3532" u="1"/>
        <n v="-3402" u="1"/>
        <n v="-866" u="1"/>
        <n v="-3272" u="1"/>
        <n v="-3142" u="1"/>
        <n v="-801" u="1"/>
        <n v="-52" u="1"/>
        <n v="-3012" u="1"/>
        <n v="-196" u="1"/>
        <n v="-2882" u="1"/>
        <n v="-736" u="1"/>
        <n v="-2752" u="1"/>
        <n v="-2622" u="1"/>
        <n v="-671" u="1"/>
        <n v="-2492" u="1"/>
        <n v="-2362" u="1"/>
        <n v="-606" u="1"/>
        <n v="-2232" u="1"/>
        <n v="-2102" u="1"/>
        <n v="-541" u="1"/>
        <n v="-2010" u="1"/>
        <n v="-131" u="1"/>
        <n v="-1945" u="1"/>
        <n v="-494" u="1"/>
        <n v="-1880" u="1"/>
        <n v="-3599" u="1"/>
        <n v="-1815" u="1"/>
        <n v="-3469" u="1"/>
        <n v="-1750" u="1"/>
        <n v="-3339" u="1"/>
        <n v="-1685" u="1"/>
        <n v="-429" u="1"/>
        <n v="-3209" u="1"/>
        <n v="-1620" u="1"/>
        <n v="-3079" u="1"/>
        <n v="-1555" u="1"/>
        <n v="-2949" u="1"/>
        <n v="-1490" u="1"/>
        <n v="-97" u="1"/>
        <n v="64" u="1"/>
        <n v="-2819" u="1"/>
        <n v="-1425" u="1"/>
        <n v="-364" u="1"/>
        <n v="-2689" u="1"/>
        <n v="-1360" u="1"/>
        <n v="-2559" u="1"/>
        <n v="-1295" u="1"/>
        <n v="-2429" u="1"/>
        <n v="-1230" u="1"/>
        <n v="-2299" u="1"/>
        <n v="-1165" u="1"/>
        <n v="-299" u="1"/>
        <n v="-2169" u="1"/>
        <n v="-1100" u="1"/>
        <n v="-1035" u="1"/>
        <n v="-997" u="1"/>
        <n v="-245" u="1"/>
        <n v="-3666" u="1"/>
        <n v="-932" u="1"/>
        <n v="-3536" u="1"/>
        <n v="-3406" u="1"/>
        <n v="-867" u="1"/>
        <n v="-3276" u="1"/>
        <n v="-3146" u="1"/>
        <n v="-802" u="1"/>
        <n v="-3016" u="1"/>
        <n v="-2886" u="1"/>
        <n v="-737" u="1"/>
        <n v="-48" u="1"/>
        <n v="-2756" u="1"/>
        <n v="-180" u="1"/>
        <n v="-2626" u="1"/>
        <n v="-672" u="1"/>
        <n v="-2496" u="1"/>
        <n v="-2366" u="1"/>
        <n v="-607" u="1"/>
        <n v="-2236" u="1"/>
        <n v="-2106" u="1"/>
        <n v="-542" u="1"/>
        <n v="-2012" u="1"/>
        <n v="-1947" u="1"/>
        <n v="-1882" u="1"/>
        <n v="-3603" u="1"/>
        <n v="-1817" u="1"/>
        <n v="-462" u="1"/>
        <n v="-3473" u="1"/>
        <n v="-1752" u="1"/>
        <n v="-3343" u="1"/>
        <n v="-1687" u="1"/>
        <n v="-3213" u="1"/>
        <n v="-1622" u="1"/>
        <n v="-3083" u="1"/>
        <n v="-1557" u="1"/>
        <n v="-397" u="1"/>
        <n v="-2953" u="1"/>
        <n v="-1492" u="1"/>
        <n v="-2823" u="1"/>
        <n v="-1427" u="1"/>
        <n v="-2693" u="1"/>
        <n v="-1362" u="1"/>
        <n v="-89" u="1"/>
        <n v="-2563" u="1"/>
        <n v="-1297" u="1"/>
        <n v="-332" u="1"/>
        <n v="-2433" u="1"/>
        <n v="-1232" u="1"/>
        <n v="-2303" u="1"/>
        <n v="-1167" u="1"/>
        <n v="-2173" u="1"/>
        <n v="-1102" u="1"/>
        <n v="-1037" u="1"/>
        <n v="-267" u="1"/>
        <n v="-998" u="1"/>
        <n v="-3670" u="1"/>
        <n v="-933" u="1"/>
        <n v="-3540" u="1"/>
        <n v="-229" u="1"/>
        <n v="-3410" u="1"/>
        <n v="-868" u="1"/>
        <n v="-3280" u="1"/>
        <n v="-3150" u="1"/>
        <n v="-803" u="1"/>
        <n v="-3020" u="1"/>
        <n v="-2890" u="1"/>
        <n v="-738" u="1"/>
        <n v="-2760" u="1"/>
        <n v="-2630" u="1"/>
        <n v="-673" u="1"/>
        <n v="-44" u="1"/>
        <n v="-2500" u="1"/>
        <n v="-164" u="1"/>
        <n v="-2370" u="1"/>
        <n v="-608" u="1"/>
        <n v="-2240" u="1"/>
        <n v="-2110" u="1"/>
        <n v="-543" u="1"/>
        <n v="-2014" u="1"/>
        <n v="-1949" u="1"/>
        <n v="-495" u="1"/>
        <n v="-1884" u="1"/>
        <n v="-3607" u="1"/>
        <n v="-1819" u="1"/>
        <n v="-3477" u="1"/>
        <n v="-1754" u="1"/>
        <n v="44820" u="1"/>
        <n v="-3347" u="1"/>
        <n v="-1689" u="1"/>
        <n v="-430" u="1"/>
        <n v="44757" u="1"/>
        <n v="-3217" u="1"/>
        <n v="-1624" u="1"/>
        <n v="-3087" u="1"/>
        <n v="-1559" u="1"/>
        <n v="-2957" u="1"/>
        <n v="-1494" u="1"/>
        <n v="-2827" u="1"/>
        <n v="-1429" u="1"/>
        <n v="-365" u="1"/>
        <n v="-2697" u="1"/>
        <n v="-1364" u="1"/>
        <n v="-2567" u="1"/>
        <n v="-1299" u="1"/>
        <n v="-2437" u="1"/>
        <n v="-1234" u="1"/>
        <n v="-81" u="1"/>
        <n v="-2307" u="1"/>
        <n v="-1169" u="1"/>
        <n v="-300" u="1"/>
        <n v="-2177" u="1"/>
        <n v="-1104" u="1"/>
        <n v="-1039" u="1"/>
        <n v="-999" u="1"/>
        <n v="-3674" u="1"/>
        <n v="-934" u="1"/>
        <n v="-3544" u="1"/>
        <n v="-3414" u="1"/>
        <n v="-869" u="1"/>
        <n v="-3284" u="1"/>
        <n v="-213" u="1"/>
        <n v="-3154" u="1"/>
        <n v="-804" u="1"/>
        <n v="-3024" u="1"/>
        <n v="-2894" u="1"/>
        <n v="-739" u="1"/>
        <n v="-2764" u="1"/>
        <n v="-2634" u="1"/>
        <n v="-674" u="1"/>
        <n v="-2504" u="1"/>
        <n v="-2374" u="1"/>
        <n v="-609" u="1"/>
        <n v="-40" u="1"/>
        <n v="-2244" u="1"/>
        <n v="-148" u="1"/>
        <n v="-2114" u="1"/>
        <n v="-544" u="1"/>
        <n v="-2016" u="1"/>
        <n v="-1951" u="1"/>
        <n v="-1886" u="1"/>
        <n v="-3611" u="1"/>
        <n v="-1821" u="1"/>
        <n v="-463" u="1"/>
        <n v="-3481" u="1"/>
        <n v="-1756" u="1"/>
        <n v="-3351" u="1"/>
        <n v="-1691" u="1"/>
        <n v="-3221" u="1"/>
        <n v="-1626" u="1"/>
        <n v="44758" u="1"/>
        <n v="-3091" u="1"/>
        <n v="-1561" u="1"/>
        <n v="-398" u="1"/>
        <n v="-2961" u="1"/>
        <n v="-1496" u="1"/>
        <n v="-2831" u="1"/>
        <n v="-1431" u="1"/>
        <n v="-2701" u="1"/>
        <n v="-1366" u="1"/>
        <n v="-2571" u="1"/>
        <n v="-1301" u="1"/>
        <n v="-333" u="1"/>
        <n v="-2441" u="1"/>
        <n v="-1236" u="1"/>
        <n v="-2311" u="1"/>
        <n v="-1171" u="1"/>
        <n v="-2181" u="1"/>
        <n v="-1106" u="1"/>
        <n v="-73" u="1"/>
        <n v="52" u="1"/>
        <n v="-2051" u="1"/>
        <n v="-1041" u="1"/>
        <n v="-268" u="1"/>
        <n v="-1000" u="1"/>
        <n v="-3678" u="1"/>
        <n v="-935" u="1"/>
        <n v="-3548" u="1"/>
        <n v="-3418" u="1"/>
        <n v="-870" u="1"/>
        <n v="-3288" u="1"/>
        <n v="-3158" u="1"/>
        <n v="-805" u="1"/>
        <n v="-3028" u="1"/>
        <n v="-197" u="1"/>
        <n v="-2898" u="1"/>
        <n v="-740" u="1"/>
        <n v="-2768" u="1"/>
        <n v="-2638" u="1"/>
        <n v="-675" u="1"/>
        <n v="-2508" u="1"/>
        <n v="-2378" u="1"/>
        <n v="-610" u="1"/>
        <n v="-2248" u="1"/>
        <n v="-2118" u="1"/>
        <n v="-545" u="1"/>
        <n v="-36" u="1"/>
        <n v="-2018" u="1"/>
        <n v="-132" u="1"/>
        <n v="-1953" u="1"/>
        <n v="-496" u="1"/>
        <n v="-1888" u="1"/>
        <n v="-3615" u="1"/>
        <n v="-1823" u="1"/>
        <n v="-3485" u="1"/>
        <n v="-1758" u="1"/>
        <n v="-3355" u="1"/>
        <n v="-1693" u="1"/>
        <n v="-431" u="1"/>
        <n v="-3225" u="1"/>
        <n v="-1628" u="1"/>
        <n v="-3095" u="1"/>
        <n v="-1563" u="1"/>
        <n v="-2965" u="1"/>
        <n v="-1498" u="1"/>
        <n v="-2835" u="1"/>
        <n v="-1433" u="1"/>
        <n v="-366" u="1"/>
        <n v="44633" u="1"/>
        <n v="-2705" u="1"/>
        <n v="-1368" u="1"/>
        <n v="-2575" u="1"/>
        <n v="-1303" u="1"/>
        <n v="-2445" u="1"/>
        <n v="-1238" u="1"/>
        <n v="-2315" u="1"/>
        <n v="-1173" u="1"/>
        <n v="-301" u="1"/>
        <n v="-2185" u="1"/>
        <n v="-1108" u="1"/>
        <n v="-2055" u="1"/>
        <n v="-1043" u="1"/>
        <n v="-1001" u="1"/>
        <n v="-65" u="1"/>
        <n v="48" u="1"/>
        <n v="-246" u="1"/>
        <n v="-3682" u="1"/>
        <n v="-936" u="1"/>
        <n v="-3552" u="1"/>
        <n v="-3422" u="1"/>
        <n v="-871" u="1"/>
        <n v="-3292" u="1"/>
        <n v="-3162" u="1"/>
        <n v="-806" u="1"/>
        <n v="-3032" u="1"/>
        <n v="-2902" u="1"/>
        <n v="-741" u="1"/>
        <n v="-2772" u="1"/>
        <n v="-181" u="1"/>
        <n v="-2642" u="1"/>
        <n v="-676" u="1"/>
        <n v="-2512" u="1"/>
        <n v="-2382" u="1"/>
        <n v="-611" u="1"/>
        <n v="-2252" u="1"/>
        <n v="-2122" u="1"/>
        <n v="-546" u="1"/>
        <n v="-2020" u="1"/>
        <n v="-1955" u="1"/>
        <n v="-32" u="1"/>
        <n v="-1890" u="1"/>
        <n v="-122" u="1"/>
        <n v="-3619" u="1"/>
        <n v="-1825" u="1"/>
        <n v="-464" u="1"/>
        <n v="-3489" u="1"/>
        <n v="-1760" u="1"/>
        <n v="-3359" u="1"/>
        <n v="-1695" u="1"/>
        <n v="-3229" u="1"/>
        <n v="-1630" u="1"/>
        <n v="-3099" u="1"/>
        <n v="-1565" u="1"/>
        <n v="-399" u="1"/>
        <n v="-2969" u="1"/>
        <n v="-1500" u="1"/>
        <n v="44760" u="1"/>
        <n v="-2839" u="1"/>
        <n v="-1435" u="1"/>
        <n v="44697" u="1"/>
        <n v="-2709" u="1"/>
        <n v="-1370" u="1"/>
        <n v="-2579" u="1"/>
        <n v="-1305" u="1"/>
        <n v="-334" u="1"/>
        <n v="-2449" u="1"/>
        <n v="-1240" u="1"/>
        <n v="-2319" u="1"/>
        <n v="-1175" u="1"/>
        <n v="-2189" u="1"/>
        <n v="-1110" u="1"/>
        <n v="-2059" u="1"/>
        <n v="-1045" u="1"/>
        <n v="-269" u="1"/>
        <n v="-1002" u="1"/>
        <n v="-3686" u="1"/>
        <n v="-937" u="1"/>
        <n v="44" u="1"/>
        <n v="-3556" u="1"/>
        <n v="-230" u="1"/>
        <n v="-3426" u="1"/>
        <n v="-872" u="1"/>
        <n v="-3296" u="1"/>
        <n v="-3166" u="1"/>
        <n v="-807" u="1"/>
        <n v="-3036" u="1"/>
        <n v="-2906" u="1"/>
        <n v="-742" u="1"/>
        <n v="-2776" u="1"/>
        <n v="-2646" u="1"/>
        <n v="-677" u="1"/>
        <n v="-2516" u="1"/>
        <n v="-165" u="1"/>
        <n v="-2386" u="1"/>
        <n v="-612" u="1"/>
        <n v="-2256" u="1"/>
        <n v="-2126" u="1"/>
        <n v="-547" u="1"/>
        <n v="-2022" u="1"/>
        <n v="-1957" u="1"/>
        <n v="-497" u="1"/>
        <n v="-1892" u="1"/>
        <n v="-3623" u="1"/>
        <n v="-1827" u="1"/>
        <n v="-30" u="1"/>
        <n v="-3493" u="1"/>
        <n v="-1762" u="1"/>
        <n v="-114" u="1"/>
        <n v="-3363" u="1"/>
        <n v="-1697" u="1"/>
        <n v="-432" u="1"/>
        <n v="-3233" u="1"/>
        <n v="-1632" u="1"/>
        <n v="-3103" u="1"/>
        <n v="-1567" u="1"/>
        <n v="-2973" u="1"/>
        <n v="-1502" u="1"/>
        <n v="-2843" u="1"/>
        <n v="-1437" u="1"/>
        <n v="-367" u="1"/>
        <n v="44761" u="1"/>
        <n v="-2713" u="1"/>
        <n v="-1372" u="1"/>
        <n v="-2583" u="1"/>
        <n v="-1307" u="1"/>
        <n v="-2453" u="1"/>
        <n v="-1242" u="1"/>
        <n v="-2323" u="1"/>
        <n v="-1177" u="1"/>
        <n v="-302" u="1"/>
        <n v="-2193" u="1"/>
        <n v="-1112" u="1"/>
        <n v="-2063" u="1"/>
        <n v="-1047" u="1"/>
        <n v="-1003" u="1"/>
        <n v="-3690" u="1"/>
        <n v="-938" u="1"/>
        <n v="-3560" u="1"/>
        <n v="-3430" u="1"/>
        <n v="-873" u="1"/>
        <n v="-3300" u="1"/>
        <n v="-214" u="1"/>
        <n v="-3170" u="1"/>
        <n v="-808" u="1"/>
        <n v="-3040" u="1"/>
        <n v="-2910" u="1"/>
        <n v="-743" u="1"/>
        <n v="-2780" u="1"/>
        <n v="-2650" u="1"/>
        <n v="-678" u="1"/>
        <n v="-2520" u="1"/>
        <n v="-2390" u="1"/>
        <n v="-613" u="1"/>
        <n v="-2260" u="1"/>
        <n v="-149" u="1"/>
        <n v="-2130" u="1"/>
        <n v="-548" u="1"/>
        <n v="-2024" u="1"/>
        <n v="-1959" u="1"/>
        <n v="-1894" u="1"/>
        <n v="-3627" u="1"/>
        <n v="-1829" u="1"/>
        <n v="-465" u="1"/>
        <n v="-3497" u="1"/>
        <n v="-1764" u="1"/>
        <n v="-3367" u="1"/>
        <n v="-1699" u="1"/>
        <n v="-28" u="1"/>
        <n v="-3237" u="1"/>
        <n v="-1634" u="1"/>
        <n v="-106" u="1"/>
        <n v="73" u="1"/>
        <n v="-3107" u="1"/>
        <n v="-1569" u="1"/>
        <n v="-400" u="1"/>
        <n v="-2977" u="1"/>
        <n v="-1504" u="1"/>
        <n v="-2847" u="1"/>
        <n v="-1439" u="1"/>
        <n v="-2717" u="1"/>
        <n v="-1374" u="1"/>
        <n v="-2587" u="1"/>
        <n v="-1309" u="1"/>
        <n v="-335" u="1"/>
        <n v="-2457" u="1"/>
        <n v="-1244" u="1"/>
        <n v="-2327" u="1"/>
        <n v="-1179" u="1"/>
        <n v="-2197" u="1"/>
        <n v="-1114" u="1"/>
        <n v="-2067" u="1"/>
        <n v="-1049" u="1"/>
        <n v="-270" u="1"/>
        <n v="-1004" u="1"/>
        <n v="-3694" u="1"/>
        <n v="-939" u="1"/>
        <n v="-3564" u="1"/>
        <n v="-3434" u="1"/>
        <n v="-874" u="1"/>
        <n v="-3304" u="1"/>
        <n v="-3174" u="1"/>
        <n v="-809" u="1"/>
        <n v="36" u="1"/>
        <n v="-3044" u="1"/>
        <n v="-198" u="1"/>
        <n v="-2914" u="1"/>
        <n v="-744" u="1"/>
        <n v="-2784" u="1"/>
        <n v="-2654" u="1"/>
        <n v="-679" u="1"/>
        <n v="-2524" u="1"/>
        <n v="-2394" u="1"/>
        <n v="-614" u="1"/>
        <n v="-2264" u="1"/>
        <n v="-2134" u="1"/>
        <n v="-549" u="1"/>
        <n v="-2026" u="1"/>
        <n v="-133" u="1"/>
        <n v="-1961" u="1"/>
        <n v="-498" u="1"/>
        <n v="-1896" u="1"/>
        <n v="-3631" u="1"/>
        <n v="-1831" u="1"/>
        <n v="-3501" u="1"/>
        <n v="-1766" u="1"/>
        <n v="-3371" u="1"/>
        <n v="-1701" u="1"/>
        <n v="-433" u="1"/>
        <n v="-3241" u="1"/>
        <n v="-1636" u="1"/>
        <n v="-3111" u="1"/>
        <n v="-1571" u="1"/>
        <n v="-26" u="1"/>
        <n v="-2981" u="1"/>
        <n v="-1506" u="1"/>
        <n v="-98" u="1"/>
        <n v="65" u="1"/>
        <n v="-2851" u="1"/>
        <n v="-1441" u="1"/>
        <n v="-368" u="1"/>
        <n v="-2721" u="1"/>
        <n v="-1376" u="1"/>
        <n v="-2591" u="1"/>
        <n v="-1311" u="1"/>
        <n v="-2461" u="1"/>
        <n v="-1246" u="1"/>
        <n v="-2331" u="1"/>
        <n v="-1181" u="1"/>
        <n v="-303" u="1"/>
        <n v="-2201" u="1"/>
        <n v="-1116" u="1"/>
        <n v="-2071" u="1"/>
        <n v="-1051" u="1"/>
        <n v="-1005" u="1"/>
        <n v="-247" u="1"/>
        <n v="-3698" u="1"/>
        <n v="-940" u="1"/>
        <n v="-3568" u="1"/>
        <n v="-3438" u="1"/>
        <n v="-875" u="1"/>
        <n v="-3308" u="1"/>
        <n v="-3178" u="1"/>
        <n v="-810" u="1"/>
        <n v="-3048" u="1"/>
        <n v="-2918" u="1"/>
        <n v="-745" u="1"/>
        <n v="32" u="1"/>
        <n v="-2788" u="1"/>
        <n v="-182" u="1"/>
        <n v="-2658" u="1"/>
        <n v="-680" u="1"/>
        <n v="-2528" u="1"/>
        <n v="-2398" u="1"/>
        <n v="-615" u="1"/>
        <n v="-2268" u="1"/>
        <n v="-2138" u="1"/>
        <n v="-550" u="1"/>
        <n v="-2028" u="1"/>
        <n v="-1963" u="1"/>
        <n v="-1898" u="1"/>
        <n v="-3635" u="1"/>
        <n v="-1833" u="1"/>
        <n v="-466" u="1"/>
        <n v="-3505" u="1"/>
        <n v="-1768" u="1"/>
        <n v="-3375" u="1"/>
        <n v="-1703" u="1"/>
        <n v="-3245" u="1"/>
        <n v="-1638" u="1"/>
        <n v="-3115" u="1"/>
        <n v="-1573" u="1"/>
        <n v="-401" u="1"/>
        <n v="-2985" u="1"/>
        <n v="-1508" u="1"/>
        <n v="-2855" u="1"/>
        <n v="-1443" u="1"/>
        <n v="-24" u="1"/>
        <n v="-2725" u="1"/>
        <n v="-1378" u="1"/>
        <n v="-90" u="1"/>
        <n v="-2595" u="1"/>
        <n v="-1313" u="1"/>
        <n v="-336" u="1"/>
        <n v="-2465" u="1"/>
        <n v="-1248" u="1"/>
        <n v="44764" u="1"/>
        <n v="-2335" u="1"/>
        <n v="-1183" u="1"/>
        <n v="-2205" u="1"/>
        <n v="-1118" u="1"/>
        <n v="-2075" u="1"/>
        <n v="-1053" u="1"/>
        <n v="-271" u="1"/>
        <n v="-1006" u="1"/>
        <n v="-3702" u="1"/>
        <n v="-941" u="1"/>
        <n v="-3572" u="1"/>
        <n v="-231" u="1"/>
        <n v="-3442" u="1"/>
        <n v="-876" u="1"/>
        <n v="-3312" u="1"/>
        <n v="-3182" u="1"/>
        <n v="-811" u="1"/>
        <n v="-3052" u="1"/>
        <n v="-2922" u="1"/>
        <n v="-746" u="1"/>
        <n v="-2792" u="1"/>
        <n v="-2662" u="1"/>
        <n v="-681" u="1"/>
        <n v="30" u="1"/>
        <n v="-2532" u="1"/>
        <n v="-166" u="1"/>
        <n v="-2402" u="1"/>
        <n v="-616" u="1"/>
        <n v="-2272" u="1"/>
        <n v="-2142" u="1"/>
        <n v="-551" u="1"/>
        <n v="-2030" u="1"/>
        <n v="-1965" u="1"/>
        <n v="-499" u="1"/>
        <n v="-1900" u="1"/>
        <n v="-3639" u="1"/>
        <n v="-1835" u="1"/>
        <n v="-3509" u="1"/>
        <n v="-1770" u="1"/>
        <n v="-3379" u="1"/>
        <n v="-1705" u="1"/>
        <n v="-434" u="1"/>
        <n v="-3249" u="1"/>
        <n v="-1640" u="1"/>
        <n v="-3119" u="1"/>
        <n v="-1575" u="1"/>
        <n v="-2989" u="1"/>
        <n v="-1510" u="1"/>
        <n v="-2859" u="1"/>
        <n v="-1445" u="1"/>
        <n v="-369" u="1"/>
        <n v="-2729" u="1"/>
        <n v="-1380" u="1"/>
        <n v="-2599" u="1"/>
        <n v="-1315" u="1"/>
        <n v="-22" u="1"/>
        <n v="-2469" u="1"/>
        <n v="-1250" u="1"/>
        <n v="-82" u="1"/>
        <n v="-2339" u="1"/>
        <n v="-1185" u="1"/>
        <n v="-304" u="1"/>
        <n v="44765" u="1"/>
        <n v="-2209" u="1"/>
        <n v="-1120" u="1"/>
        <n v="44702" u="1"/>
        <n v="-2079" u="1"/>
        <n v="-1055" u="1"/>
        <n v="-1007" u="1"/>
        <n v="-3706" u="1"/>
        <n v="-942" u="1"/>
        <n v="-3576" u="1"/>
        <n v="-3446" u="1"/>
        <n v="-877" u="1"/>
        <n v="-3316" u="1"/>
        <n v="-215" u="1"/>
        <n v="-3186" u="1"/>
        <n v="-812" u="1"/>
        <n v="-3056" u="1"/>
        <n v="-2926" u="1"/>
        <n v="-747" u="1"/>
        <n v="-2796" u="1"/>
        <n v="-2666" u="1"/>
        <n v="-682" u="1"/>
        <n v="-2536" u="1"/>
        <n v="-2406" u="1"/>
        <n v="-617" u="1"/>
        <n v="28" u="1"/>
        <n v="-2276" u="1"/>
        <n v="-150" u="1"/>
        <n v="-2146" u="1"/>
        <n v="-552" u="1"/>
        <n v="-2032" u="1"/>
        <n v="-1967" u="1"/>
        <n v="-1902" u="1"/>
        <n v="-3643" u="1"/>
        <n v="-1837" u="1"/>
        <n v="-467" u="1"/>
        <n v="-3513" u="1"/>
        <n v="-1772" u="1"/>
        <n v="-3383" u="1"/>
        <n v="-1707" u="1"/>
        <n v="-3253" u="1"/>
        <n v="-1642" u="1"/>
        <n v="-3123" u="1"/>
        <n v="-1577" u="1"/>
        <n v="-402" u="1"/>
        <n v="-2993" u="1"/>
        <n v="-1512" u="1"/>
        <n v="-2863" u="1"/>
        <n v="-1447" u="1"/>
        <n v="-2733" u="1"/>
        <n v="-1382" u="1"/>
        <n v="-2603" u="1"/>
        <n v="-1317" u="1"/>
        <n v="-337" u="1"/>
        <n v="-2473" u="1"/>
        <n v="-1252" u="1"/>
        <n v="-2343" u="1"/>
        <n v="-1187" u="1"/>
        <n v="-20" u="1"/>
        <n v="-2213" u="1"/>
        <n v="-1122" u="1"/>
        <n v="-74" u="1"/>
        <n v="44766" u="1"/>
        <n v="-2083" u="1"/>
        <n v="-1057" u="1"/>
        <n v="-272" u="1"/>
        <n v="44703" u="1"/>
        <n v="-1008" u="1"/>
        <n v="-3710" u="1"/>
        <n v="-943" u="1"/>
        <n v="-3580" u="1"/>
        <n v="-3450" u="1"/>
        <n v="-878" u="1"/>
        <n v="-3320" u="1"/>
        <n v="-3190" u="1"/>
        <n v="-813" u="1"/>
        <n v="-3060" u="1"/>
        <n v="-199" u="1"/>
        <n v="-2930" u="1"/>
        <n v="-748" u="1"/>
        <n v="-2800" u="1"/>
        <n v="-2670" u="1"/>
        <n v="-683" u="1"/>
        <n v="-2540" u="1"/>
        <n v="-2410" u="1"/>
        <n v="-618" u="1"/>
        <n v="-2280" u="1"/>
        <n v="-2150" u="1"/>
        <n v="-553" u="1"/>
        <n v="26" u="1"/>
        <n v="-2034" u="1"/>
        <n v="-134" u="1"/>
        <n v="-1969" u="1"/>
        <n v="-500" u="1"/>
        <n v="-1904" u="1"/>
        <n v="-3647" u="1"/>
        <n v="-1839" u="1"/>
        <n v="-3517" u="1"/>
        <n v="-1774" u="1"/>
        <n v="-3387" u="1"/>
        <n v="-1709" u="1"/>
        <n v="-435" u="1"/>
        <n v="-3257" u="1"/>
        <n v="-1644" u="1"/>
        <n v="-3127" u="1"/>
        <n v="-1579" u="1"/>
        <n v="-2997" u="1"/>
        <n v="-1514" u="1"/>
        <n v="-2867" u="1"/>
        <n v="-1449" u="1"/>
        <n v="-370" u="1"/>
        <n v="-2737" u="1"/>
        <n v="-1384" u="1"/>
        <n v="-2607" u="1"/>
        <n v="-1319" u="1"/>
        <n v="-2477" u="1"/>
        <n v="-1254" u="1"/>
        <n v="-2347" u="1"/>
        <n v="-1189" u="1"/>
        <n v="-305" u="1"/>
        <n v="-2217" u="1"/>
        <n v="-1124" u="1"/>
        <n v="-2087" u="1"/>
        <n v="-1059" u="1"/>
        <n v="-18" u="1"/>
        <n v="-1009" u="1"/>
        <n v="-66" u="1"/>
        <n v="-248" u="1"/>
        <n v="-3714" u="1"/>
        <n v="-944" u="1"/>
        <n v="-3584" u="1"/>
        <n v="-3454" u="1"/>
        <n v="-879" u="1"/>
        <n v="-3324" u="1"/>
        <n v="-3194" u="1"/>
        <n v="-814" u="1"/>
        <n v="-3064" u="1"/>
        <n v="-2934" u="1"/>
        <n v="-749" u="1"/>
        <n v="-2804" u="1"/>
        <n v="-183" u="1"/>
        <n v="-2674" u="1"/>
        <n v="-684" u="1"/>
        <n v="-2544" u="1"/>
        <n v="-2414" u="1"/>
        <n v="-619" u="1"/>
        <n v="-2284" u="1"/>
        <n v="-2154" u="1"/>
        <n v="-554" u="1"/>
        <n v="-2036" u="1"/>
        <n v="-1971" u="1"/>
        <n v="24" u="1"/>
        <n v="-1906" u="1"/>
        <n v="-123" u="1"/>
        <n v="-3651" u="1"/>
        <n v="-1841" u="1"/>
        <n v="-468" u="1"/>
        <n v="-3521" u="1"/>
        <n v="-1776" u="1"/>
        <n v="-3391" u="1"/>
        <n v="-1711" u="1"/>
        <n v="-3261" u="1"/>
        <n v="-1646" u="1"/>
        <n v="-3131" u="1"/>
        <n v="-1581" u="1"/>
        <n v="-403" u="1"/>
        <n v="-3001" u="1"/>
        <n v="-1516" u="1"/>
        <n v="-2871" u="1"/>
        <n v="-1451" u="1"/>
        <n v="-2741" u="1"/>
        <n v="-1386" u="1"/>
        <n v="-2611" u="1"/>
        <n v="-1321" u="1"/>
        <n v="-338" u="1"/>
        <n v="-2481" u="1"/>
        <n v="-1256" u="1"/>
        <n v="-2351" u="1"/>
        <n v="-1191" u="1"/>
        <n v="-2221" u="1"/>
        <n v="-1126" u="1"/>
        <n v="-2091" u="1"/>
        <n v="-1061" u="1"/>
        <n v="-273" u="1"/>
        <n v="-1010" u="1"/>
        <n v="44768" u="1"/>
        <n v="-16" u="1"/>
        <n v="-3718" u="1"/>
        <n v="-945" u="1"/>
        <n v="-61" u="1"/>
        <n v="-3588" u="1"/>
        <n v="-232" u="1"/>
        <n v="-3458" u="1"/>
        <n v="-880" u="1"/>
        <n v="-3328" u="1"/>
        <n v="-3198" u="1"/>
        <n v="-815" u="1"/>
        <n v="-3068" u="1"/>
        <n v="-2938" u="1"/>
        <n v="-750" u="1"/>
        <n v="-2808" u="1"/>
        <n v="-2678" u="1"/>
        <n v="-685" u="1"/>
        <n v="-2548" u="1"/>
        <n v="-167" u="1"/>
        <n v="-2418" u="1"/>
        <n v="-620" u="1"/>
        <n v="-2288" u="1"/>
        <n v="-2158" u="1"/>
        <n v="-555" u="1"/>
        <n v="-2038" u="1"/>
        <n v="-1973" u="1"/>
        <n v="-501" u="1"/>
        <n v="-1908" u="1"/>
        <n v="-3655" u="1"/>
        <n v="-1843" u="1"/>
        <n v="22" u="1"/>
        <n v="-3525" u="1"/>
        <n v="-1778" u="1"/>
        <n v="-115" u="1"/>
        <n v="-3395" u="1"/>
        <n v="-1713" u="1"/>
        <n v="-436" u="1"/>
        <n v="-3265" u="1"/>
        <n v="-1648" u="1"/>
        <n v="-3135" u="1"/>
        <n v="-1583" u="1"/>
        <n v="-3005" u="1"/>
        <n v="-1518" u="1"/>
        <n v="-2875" u="1"/>
        <n v="-1453" u="1"/>
        <n v="-371" u="1"/>
        <n v="-2745" u="1"/>
        <n v="-1388" u="1"/>
        <n v="-2615" u="1"/>
        <n v="-1323" u="1"/>
        <n v="-2485" u="1"/>
        <n v="-1258" u="1"/>
        <n v="-2355" u="1"/>
        <n v="-1193" u="1"/>
        <n v="-306" u="1"/>
        <n v="-2225" u="1"/>
        <n v="-1128" u="1"/>
        <n v="-2095" u="1"/>
        <n v="-1063" u="1"/>
        <n v="-1011" u="1"/>
        <n v="-946" u="1"/>
        <n v="-3592" u="1"/>
        <n v="-15" u="1"/>
        <n v="-3462" u="1"/>
        <n v="-881" u="1"/>
        <n v="-57" u="1"/>
        <n v="-3332" u="1"/>
        <n v="-216" u="1"/>
        <n v="-3202" u="1"/>
        <n v="-816" u="1"/>
        <n v="-3072" u="1"/>
        <n v="-2942" u="1"/>
        <n v="-751" u="1"/>
        <n v="-2812" u="1"/>
        <n v="-2682" u="1"/>
        <n v="-686" u="1"/>
        <n v="-2552" u="1"/>
        <n v="-2422" u="1"/>
        <n v="-621" u="1"/>
        <n v="-2292" u="1"/>
        <n v="-151" u="1"/>
        <n v="-2162" u="1"/>
        <n v="-556" u="1"/>
        <n v="-2040" u="1"/>
        <n v="-1975" u="1"/>
        <n v="-1910" u="1"/>
        <n v="-3659" u="1"/>
        <n v="-1845" u="1"/>
        <n v="-469" u="1"/>
        <n v="-3529" u="1"/>
        <n v="-1780" u="1"/>
        <n v="-3399" u="1"/>
        <n v="-1715" u="1"/>
        <n v="20" u="1"/>
        <n v="-3269" u="1"/>
        <n v="-1650" u="1"/>
        <n v="-107" u="1"/>
        <n v="-3139" u="1"/>
        <n v="-1585" u="1"/>
        <n v="-404" u="1"/>
        <n v="-3009" u="1"/>
        <n v="-1520" u="1"/>
        <n v="-2879" u="1"/>
        <n v="-1455" u="1"/>
        <n v="-2749" u="1"/>
        <n v="-1390" u="1"/>
        <n v="-2619" u="1"/>
        <n v="-1325" u="1"/>
        <n v="-339" u="1"/>
        <n v="-2489" u="1"/>
        <n v="-1260" u="1"/>
        <n v="-2359" u="1"/>
        <n v="-1195" u="1"/>
        <n v="-2229" u="1"/>
        <n v="-1130" u="1"/>
        <n v="-2099" u="1"/>
        <n v="-1065" u="1"/>
        <n v="-274" u="1"/>
        <n v="-1012" u="1"/>
        <n v="-947" u="1"/>
        <n v="-3596" u="1"/>
        <n v="-3466" u="1"/>
        <n v="-882" u="1"/>
        <n v="-3336" u="1"/>
        <n v="-14" u="1"/>
        <n v="-3206" u="1"/>
        <n v="-817" u="1"/>
        <n v="-53" u="1"/>
        <n v="-3076" u="1"/>
        <n v="-200" u="1"/>
        <n v="-2946" u="1"/>
        <n v="-752" u="1"/>
        <n v="-2816" u="1"/>
        <n v="-2686" u="1"/>
        <n v="-687" u="1"/>
        <n v="-2556" u="1"/>
        <n v="-2426" u="1"/>
        <n v="-622" u="1"/>
        <n v="-2296" u="1"/>
        <n v="-2166" u="1"/>
        <n v="-557" u="1"/>
        <n v="-2042" u="1"/>
        <n v="-135" u="1"/>
        <n v="-1977" u="1"/>
        <n v="-502" u="1"/>
        <n v="-1912" u="1"/>
        <n v="-3663" u="1"/>
        <n v="-1847" u="1"/>
        <n v="-3533" u="1"/>
        <n v="-1782" u="1"/>
        <n v="-3403" u="1"/>
        <n v="-1717" u="1"/>
        <n v="-437" u="1"/>
        <n v="-3273" u="1"/>
        <n v="-1652" u="1"/>
        <n v="-3143" u="1"/>
        <n v="-1587" u="1"/>
        <n v="18" u="1"/>
        <n v="-3013" u="1"/>
        <n v="-1522" u="1"/>
        <n v="-99" u="1"/>
        <n v="66" u="1"/>
        <n v="-2883" u="1"/>
        <n v="-1457" u="1"/>
        <n v="-372" u="1"/>
        <n v="-2753" u="1"/>
        <n v="-1392" u="1"/>
        <n v="-2623" u="1"/>
        <n v="-1327" u="1"/>
        <n v="-2493" u="1"/>
        <n v="-1262" u="1"/>
        <n v="-2363" u="1"/>
        <n v="-1197" u="1"/>
        <n v="-307" u="1"/>
        <n v="-2233" u="1"/>
        <n v="-1132" u="1"/>
        <n v="-2103" u="1"/>
        <n v="-1067" u="1"/>
        <n v="-1013" u="1"/>
        <n v="-249" u="1"/>
        <n v="-948" u="1"/>
        <n v="-3600" u="1"/>
        <n v="44771" u="1"/>
        <n v="-3470" u="1"/>
        <n v="-883" u="1"/>
        <n v="-3340" u="1"/>
        <n v="-3210" u="1"/>
        <n v="-818" u="1"/>
        <n v="-3080" u="1"/>
        <n v="-13" u="1"/>
        <n v="-2950" u="1"/>
        <n v="-753" u="1"/>
        <n v="-49" u="1"/>
        <n v="-2820" u="1"/>
        <n v="-184" u="1"/>
        <n v="-2690" u="1"/>
        <n v="-688" u="1"/>
        <n v="-2560" u="1"/>
        <n v="-2430" u="1"/>
        <n v="-623" u="1"/>
        <n v="-2300" u="1"/>
        <n v="-2170" u="1"/>
        <n v="-558" u="1"/>
        <n v="-2044" u="1"/>
        <n v="-1979" u="1"/>
        <n v="-1914" u="1"/>
        <n v="-3667" u="1"/>
        <n v="-1849" u="1"/>
        <n v="-470" u="1"/>
        <n v="-3537" u="1"/>
        <n v="-1784" u="1"/>
        <n v="-3407" u="1"/>
        <n v="-1719" u="1"/>
        <n v="-3277" u="1"/>
        <n v="-1654" u="1"/>
        <n v="-3147" u="1"/>
        <n v="-1589" u="1"/>
        <n v="-405" u="1"/>
        <n v="-3017" u="1"/>
        <n v="-1524" u="1"/>
        <n v="-2887" u="1"/>
        <n v="-1459" u="1"/>
        <n v="16" u="1"/>
        <n v="-2757" u="1"/>
        <n v="-1394" u="1"/>
        <n v="-91" u="1"/>
        <n v="-2627" u="1"/>
        <n v="-1329" u="1"/>
        <n v="-340" u="1"/>
        <n v="-2497" u="1"/>
        <n v="-1264" u="1"/>
        <n v="-2367" u="1"/>
        <n v="-1199" u="1"/>
        <n v="-2237" u="1"/>
        <n v="-1134" u="1"/>
        <n v="-2107" u="1"/>
        <n v="-1069" u="1"/>
        <n v="-275" u="1"/>
        <n v="-1014" u="1"/>
        <n v="-949" u="1"/>
        <n v="-3604" u="1"/>
        <n v="-233" u="1"/>
        <n v="44835" u="1"/>
        <n v="-3474" u="1"/>
        <n v="-884" u="1"/>
        <n v="44772" u="1"/>
        <n v="-3344" u="1"/>
        <n v="-3214" u="1"/>
        <n v="-819" u="1"/>
        <n v="-3084" u="1"/>
        <n v="-2954" u="1"/>
        <n v="-754" u="1"/>
        <n v="-2824" u="1"/>
        <n v="-12" u="1"/>
        <n v="-2694" u="1"/>
        <n v="-689" u="1"/>
        <n v="-45" u="1"/>
        <n v="-2564" u="1"/>
        <n v="-168" u="1"/>
        <n v="-2434" u="1"/>
        <n v="-624" u="1"/>
        <n v="-2304" u="1"/>
        <n v="-2174" u="1"/>
        <n v="-559" u="1"/>
        <n v="-2046" u="1"/>
        <n v="-1981" u="1"/>
        <n v="-503" u="1"/>
        <n v="-1916" u="1"/>
        <n v="-3671" u="1"/>
        <n v="-1851" u="1"/>
        <n v="-3541" u="1"/>
        <n v="-1786" u="1"/>
        <n v="-3411" u="1"/>
        <n v="-1721" u="1"/>
        <n v="-438" u="1"/>
        <n v="-3281" u="1"/>
        <n v="-1656" u="1"/>
        <n v="-3151" u="1"/>
        <n v="-1591" u="1"/>
        <n v="-3021" u="1"/>
        <n v="-1526" u="1"/>
        <n v="-2891" u="1"/>
        <n v="-1461" u="1"/>
        <n v="-373" u="1"/>
        <n v="-2761" u="1"/>
        <n v="-1396" u="1"/>
        <n v="-2631" u="1"/>
        <n v="-1331" u="1"/>
        <n v="15" u="1"/>
        <n v="-2501" u="1"/>
        <n v="-1266" u="1"/>
        <n v="-83" u="1"/>
        <n v="-2371" u="1"/>
        <n v="-1201" u="1"/>
        <n v="-308" u="1"/>
        <n v="-2241" u="1"/>
        <n v="-1136" u="1"/>
        <n v="-2111" u="1"/>
        <n v="-1071" u="1"/>
        <n v="-1015" u="1"/>
        <n v="-950" u="1"/>
        <n v="-3608" u="1"/>
        <n v="-3478" u="1"/>
        <n v="-885" u="1"/>
        <n v="-3348" u="1"/>
        <n v="-217" u="1"/>
        <n v="44773" u="1"/>
        <n v="-3218" u="1"/>
        <n v="-820" u="1"/>
        <n v="-3088" u="1"/>
        <n v="-2958" u="1"/>
        <n v="-755" u="1"/>
        <n v="-2828" u="1"/>
        <n v="-2698" u="1"/>
        <n v="-690" u="1"/>
        <n v="-2568" u="1"/>
        <n v="-11" u="1"/>
        <n v="-2438" u="1"/>
        <n v="-625" u="1"/>
        <n v="-41" u="1"/>
        <n v="-2308" u="1"/>
        <n v="-152" u="1"/>
        <n v="-2178" u="1"/>
        <n v="-560" u="1"/>
        <n v="-2048" u="1"/>
        <n v="-1983" u="1"/>
        <n v="-1918" u="1"/>
        <n v="-3675" u="1"/>
        <n v="-1853" u="1"/>
        <n v="-471" u="1"/>
        <n v="-3545" u="1"/>
        <n v="-1788" u="1"/>
        <n v="-3415" u="1"/>
        <n v="-1723" u="1"/>
        <n v="-3285" u="1"/>
        <n v="-1658" u="1"/>
        <n v="-3155" u="1"/>
        <n v="-1593" u="1"/>
        <n v="-406" u="1"/>
        <n v="-3025" u="1"/>
        <n v="-1528" u="1"/>
        <n v="-2895" u="1"/>
        <n v="-1463" u="1"/>
        <n v="-2765" u="1"/>
        <n v="-1398" u="1"/>
        <n v="-2635" u="1"/>
        <n v="-1333" u="1"/>
        <n v="-341" u="1"/>
        <n v="-2505" u="1"/>
        <n v="-1268" u="1"/>
        <n v="-2375" u="1"/>
        <n v="-1203" u="1"/>
        <n v="14" u="1"/>
        <n v="-2245" u="1"/>
        <n v="-1138" u="1"/>
        <n v="-75" u="1"/>
        <n v="-2115" u="1"/>
        <n v="-1073" u="1"/>
        <n v="-276" u="1"/>
        <n v="-1016" u="1"/>
        <n v="-951" u="1"/>
        <n v="-3612" u="1"/>
        <n v="-3482" u="1"/>
        <n v="-886" u="1"/>
        <n v="-3352" u="1"/>
        <n v="-3222" u="1"/>
        <n v="-821" u="1"/>
        <n v="44774" u="1"/>
        <n v="-3092" u="1"/>
        <n v="-201" u="1"/>
        <n v="-2962" u="1"/>
        <n v="-756" u="1"/>
        <n v="-2832" u="1"/>
        <n v="-2702" u="1"/>
        <n v="-691" u="1"/>
        <n v="-2572" u="1"/>
        <n v="-2442" u="1"/>
        <n v="-626" u="1"/>
        <n v="-2312" u="1"/>
        <n v="-10" u="1"/>
        <n v="-2182" u="1"/>
        <n v="-561" u="1"/>
        <n v="-37" u="1"/>
        <n v="-2052" u="1"/>
        <n v="-136" u="1"/>
        <n v="-1985" u="1"/>
        <n v="-504" u="1"/>
        <n v="-1920" u="1"/>
        <n v="-3679" u="1"/>
        <n v="-1855" u="1"/>
        <n v="-3549" u="1"/>
        <n v="-1790" u="1"/>
        <n v="-3419" u="1"/>
        <n v="-1725" u="1"/>
        <n v="-439" u="1"/>
        <n v="-3289" u="1"/>
        <n v="-1660" u="1"/>
        <n v="-3159" u="1"/>
        <n v="-1595" u="1"/>
        <n v="-3029" u="1"/>
        <n v="-1530" u="1"/>
        <n v="-2899" u="1"/>
        <n v="-1465" u="1"/>
        <n v="-374" u="1"/>
        <n v="-2769" u="1"/>
        <n v="-1400" u="1"/>
        <n v="-2639" u="1"/>
        <n v="-1335" u="1"/>
        <n v="-2509" u="1"/>
        <n v="-1270" u="1"/>
        <n v="-2379" u="1"/>
        <n v="-1205" u="1"/>
        <n v="-309" u="1"/>
        <n v="-2249" u="1"/>
        <n v="-1140" u="1"/>
        <n v="-2119" u="1"/>
        <n v="-1075" u="1"/>
        <n v="13" u="1"/>
        <n v="-1017" u="1"/>
        <n v="-67" u="1"/>
        <n v="49" u="1"/>
        <n v="-250" u="1"/>
        <n v="-952" u="1"/>
        <n v="-3616" u="1"/>
        <n v="-3486" u="1"/>
        <n v="-887" u="1"/>
        <n v="-3356" u="1"/>
        <n v="-3226" u="1"/>
        <n v="-822" u="1"/>
        <n v="-3096" u="1"/>
        <n v="44775" u="1"/>
        <n v="-2966" u="1"/>
        <n v="-757" u="1"/>
        <n v="-2836" u="1"/>
        <n v="-185" u="1"/>
        <n v="-2706" u="1"/>
        <n v="-692" u="1"/>
        <n v="-2576" u="1"/>
        <n v="-2446" u="1"/>
        <n v="-627" u="1"/>
        <n v="-2316" u="1"/>
        <n v="-2186" u="1"/>
        <n v="-562" u="1"/>
        <n v="-2056" u="1"/>
        <n v="-9" u="1"/>
        <n v="-1987" u="1"/>
        <n v="-33" u="1"/>
        <n v="-1922" u="1"/>
        <n v="-124" u="1"/>
        <n v="-3683" u="1"/>
        <n v="-1857" u="1"/>
        <n v="-472" u="1"/>
        <n v="-3553" u="1"/>
        <n v="-1792" u="1"/>
        <n v="-3423" u="1"/>
        <n v="-1727" u="1"/>
        <n v="-3293" u="1"/>
        <n v="-1662" u="1"/>
        <n v="-3163" u="1"/>
        <n v="-1597" u="1"/>
        <n v="-407" u="1"/>
        <n v="-3033" u="1"/>
        <n v="-1532" u="1"/>
        <n v="-2903" u="1"/>
        <n v="-1467" u="1"/>
        <n v="-2773" u="1"/>
        <n v="-1402" u="1"/>
        <n v="-2643" u="1"/>
        <n v="-1337" u="1"/>
        <n v="-342" u="1"/>
        <n v="-2513" u="1"/>
        <n v="-1272" u="1"/>
        <n v="-2383" u="1"/>
        <n v="-1207" u="1"/>
        <n v="-2253" u="1"/>
        <n v="-1142" u="1"/>
        <n v="-2123" u="1"/>
        <n v="-1077" u="1"/>
        <n v="-277" u="1"/>
        <n v="-1018" u="1"/>
        <n v="12" u="1"/>
        <n v="-953" u="1"/>
        <n v="45" u="1"/>
        <n v="-3620" u="1"/>
        <n v="-234" u="1"/>
        <n v="-3490" u="1"/>
        <n v="-888" u="1"/>
        <n v="-3360" u="1"/>
        <n v="-3230" u="1"/>
        <n v="-823" u="1"/>
        <n v="-3100" u="1"/>
        <n v="-2970" u="1"/>
        <n v="-758" u="1"/>
        <n v="-2840" u="1"/>
        <n v="-2710" u="1"/>
        <n v="-693" u="1"/>
        <n v="-2580" u="1"/>
        <n v="-169" u="1"/>
        <n v="-2450" u="1"/>
        <n v="-628" u="1"/>
        <n v="-2320" u="1"/>
        <n v="-2190" u="1"/>
        <n v="-563" u="1"/>
        <n v="-2060" u="1"/>
        <n v="-1989" u="1"/>
        <n v="-505" u="1"/>
        <n v="-1924" u="1"/>
        <n v="-8" u="1"/>
        <n v="-3687" u="1"/>
        <n v="-1859" u="1"/>
        <n v="-3557" u="1"/>
        <n v="-1794" u="1"/>
        <n v="-116" u="1"/>
        <n v="-3427" u="1"/>
        <n v="-1729" u="1"/>
        <n v="-440" u="1"/>
        <n v="-3297" u="1"/>
        <n v="-1664" u="1"/>
        <n v="-3167" u="1"/>
        <n v="-1599" u="1"/>
        <n v="-3037" u="1"/>
        <n v="-1534" u="1"/>
        <n v="-2907" u="1"/>
        <n v="-1469" u="1"/>
        <n v="-375" u="1"/>
        <n v="-2777" u="1"/>
        <n v="-1404" u="1"/>
        <n v="-2647" u="1"/>
        <n v="-1339" u="1"/>
        <n v="-2517" u="1"/>
        <n v="-1274" u="1"/>
        <n v="-2387" u="1"/>
        <n v="-1209" u="1"/>
        <n v="-310" u="1"/>
        <n v="-2257" u="1"/>
        <n v="-1144" u="1"/>
        <n v="-2127" u="1"/>
        <n v="-1079" u="1"/>
        <n v="-1019" u="1"/>
        <n v="-954" u="1"/>
        <n v="-3624" u="1"/>
        <n v="11" u="1"/>
        <n v="-3494" u="1"/>
        <n v="-889" u="1"/>
        <n v="-3364" u="1"/>
        <n v="-218" u="1"/>
        <n v="-3234" u="1"/>
        <n v="-824" u="1"/>
        <n v="-3104" u="1"/>
        <n v="-2974" u="1"/>
        <n v="-759" u="1"/>
        <n v="-2844" u="1"/>
        <n v="-2714" u="1"/>
        <n v="-694" u="1"/>
        <n v="-2584" u="1"/>
        <n v="-2454" u="1"/>
        <n v="-629" u="1"/>
        <n v="-2324" u="1"/>
        <n v="-153" u="1"/>
        <n v="-2194" u="1"/>
        <n v="-564" u="1"/>
        <n v="-2064" u="1"/>
        <n v="-1991" u="1"/>
        <n v="-1926" u="1"/>
        <n v="-3691" u="1"/>
        <n v="-1861" u="1"/>
        <n v="-473" u="1"/>
        <n v="-3561" u="1"/>
        <n v="-1796" u="1"/>
        <n v="-3431" u="1"/>
        <n v="-1731" u="1"/>
        <n v="-3301" u="1"/>
        <n v="-1666" u="1"/>
        <n v="-108" u="1"/>
        <n v="-3171" u="1"/>
        <n v="-1601" u="1"/>
        <n v="-408" u="1"/>
        <n v="-3041" u="1"/>
        <n v="-1536" u="1"/>
        <n v="-2911" u="1"/>
        <n v="-1471" u="1"/>
        <n v="-2781" u="1"/>
        <n v="-1406" u="1"/>
        <n v="-2651" u="1"/>
        <n v="-1341" u="1"/>
        <n v="-343" u="1"/>
        <n v="-2521" u="1"/>
        <n v="-1276" u="1"/>
        <n v="-2391" u="1"/>
        <n v="-1211" u="1"/>
        <n v="-2261" u="1"/>
        <n v="-1146" u="1"/>
        <n v="-2131" u="1"/>
        <n v="-1081" u="1"/>
        <n v="-278" u="1"/>
        <n v="-1020" u="1"/>
        <n v="-955" u="1"/>
        <n v="-3628" u="1"/>
        <n v="-3498" u="1"/>
        <n v="-890" u="1"/>
        <n v="-3368" u="1"/>
        <n v="10" u="1"/>
        <n v="-3238" u="1"/>
        <n v="-825" u="1"/>
        <n v="-3108" u="1"/>
        <n v="-202" u="1"/>
        <n v="-2978" u="1"/>
        <n v="-760" u="1"/>
        <n v="-2848" u="1"/>
        <n v="-2718" u="1"/>
        <n v="-695" u="1"/>
        <n v="44778" u="1"/>
        <n v="-2588" u="1"/>
        <n v="-2458" u="1"/>
        <n v="-630" u="1"/>
        <n v="-2328" u="1"/>
        <n v="-2198" u="1"/>
        <n v="-565" u="1"/>
        <n v="-2068" u="1"/>
        <n v="-137" u="1"/>
        <n v="-1993" u="1"/>
        <n v="-506" u="1"/>
        <n v="-1928" u="1"/>
        <n v="-3695" u="1"/>
        <n v="-1863" u="1"/>
        <n v="-3565" u="1"/>
        <n v="-1798" u="1"/>
        <n v="-3435" u="1"/>
        <n v="-1733" u="1"/>
        <n v="-441" u="1"/>
        <n v="-3305" u="1"/>
        <n v="-1668" u="1"/>
        <n v="-7" u="1"/>
        <n v="-3175" u="1"/>
        <n v="-1603" u="1"/>
        <n v="-3045" u="1"/>
        <n v="-1538" u="1"/>
        <n v="-100" u="1"/>
        <n v="67" u="1"/>
        <n v="-2915" u="1"/>
        <n v="-1473" u="1"/>
        <n v="-376" u="1"/>
        <n v="-2785" u="1"/>
        <n v="-1408" u="1"/>
        <n v="-2655" u="1"/>
        <n v="-1343" u="1"/>
        <n v="-2525" u="1"/>
        <n v="-1278" u="1"/>
        <n v="-2395" u="1"/>
        <n v="-1213" u="1"/>
        <n v="-311" u="1"/>
        <n v="-2265" u="1"/>
        <n v="-1148" u="1"/>
        <n v="-2135" u="1"/>
        <n v="-1083" u="1"/>
        <n v="-1021" u="1"/>
        <n v="-251" u="1"/>
        <n v="-956" u="1"/>
        <n v="-3632" u="1"/>
        <n v="-3502" u="1"/>
        <n v="-891" u="1"/>
        <n v="-3372" u="1"/>
        <n v="-3242" u="1"/>
        <n v="-826" u="1"/>
        <n v="-3112" u="1"/>
        <n v="9" u="1"/>
        <n v="-2982" u="1"/>
        <n v="-761" u="1"/>
        <n v="33" u="1"/>
        <n v="-2852" u="1"/>
        <n v="-186" u="1"/>
        <n v="-2722" u="1"/>
        <n v="-696" u="1"/>
        <n v="-2592" u="1"/>
        <n v="44779" u="1"/>
        <n v="-2462" u="1"/>
        <n v="-631" u="1"/>
        <n v="-2332" u="1"/>
        <n v="-2202" u="1"/>
        <n v="-566" u="1"/>
        <n v="-2072" u="1"/>
        <n v="-1995" u="1"/>
        <n v="-1930" u="1"/>
        <n v="-3699" u="1"/>
        <n v="-1865" u="1"/>
        <n v="-474" u="1"/>
        <n v="-3569" u="1"/>
        <n v="-1800" u="1"/>
        <n v="-3439" u="1"/>
        <n v="-1735" u="1"/>
        <n v="-3309" u="1"/>
        <n v="-1670" u="1"/>
        <n v="-3179" u="1"/>
        <n v="-1605" u="1"/>
        <n v="-409" u="1"/>
        <n v="-3049" u="1"/>
        <n v="-1540" u="1"/>
        <n v="-2919" u="1"/>
        <n v="-1475" u="1"/>
        <n v="-2789" u="1"/>
        <n v="-1410" u="1"/>
        <n v="-92" u="1"/>
        <n v="-2659" u="1"/>
        <n v="-1345" u="1"/>
        <n v="-344" u="1"/>
        <n v="-2529" u="1"/>
        <n v="-1280" u="1"/>
        <n v="-2399" u="1"/>
        <n v="-1215" u="1"/>
        <n v="-2269" u="1"/>
        <n v="-1150" u="1"/>
        <n v="-2139" u="1"/>
        <n v="-1085" u="1"/>
        <n v="-279" u="1"/>
        <n v="-1022" u="1"/>
        <n v="-957" u="1"/>
        <n v="-3636" u="1"/>
        <n v="-235" u="1"/>
        <n v="-3506" u="1"/>
        <n v="-892" u="1"/>
        <n v="-3376" u="1"/>
        <n v="-3246" u="1"/>
        <n v="-827" u="1"/>
        <n v="-3116" u="1"/>
        <n v="-2986" u="1"/>
        <n v="-762" u="1"/>
        <n v="-2856" u="1"/>
        <n v="8" u="1"/>
        <n v="-2726" u="1"/>
        <n v="-697" u="1"/>
        <n v="-2596" u="1"/>
        <n v="-170" u="1"/>
        <n v="-2466" u="1"/>
        <n v="-632" u="1"/>
        <n v="44780" u="1"/>
        <n v="-2336" u="1"/>
        <n v="-2206" u="1"/>
        <n v="-567" u="1"/>
        <n v="-2076" u="1"/>
        <n v="-1997" u="1"/>
        <n v="-507" u="1"/>
        <n v="-1932" u="1"/>
        <n v="-3703" u="1"/>
        <n v="-1867" u="1"/>
        <n v="-3573" u="1"/>
        <n v="-1802" u="1"/>
        <n v="-3443" u="1"/>
        <n v="-1737" u="1"/>
        <n v="-442" u="1"/>
        <n v="-3313" u="1"/>
        <n v="-1672" u="1"/>
        <n v="-3183" u="1"/>
        <n v="-1607" u="1"/>
        <n v="-3053" u="1"/>
        <n v="-1542" u="1"/>
        <n v="-2923" u="1"/>
        <n v="-1477" u="1"/>
        <n v="-377" u="1"/>
        <n v="-2793" u="1"/>
        <n v="-1412" u="1"/>
        <n v="-6" u="1"/>
        <n v="-2663" u="1"/>
        <n v="-1347" u="1"/>
        <n v="-2533" u="1"/>
        <n v="-1282" u="1"/>
        <n v="-84" u="1"/>
        <n v="-2403" u="1"/>
        <n v="-1217" u="1"/>
        <n v="-312" u="1"/>
        <n v="-2273" u="1"/>
        <n v="-1152" u="1"/>
        <n v="-2143" u="1"/>
        <n v="-1087" u="1"/>
        <n v="-1023" u="1"/>
        <n v="-958" u="1"/>
        <n v="-3640" u="1"/>
        <n v="-3510" u="1"/>
        <n v="-893" u="1"/>
        <n v="-3380" u="1"/>
        <n v="-219" u="1"/>
        <n v="-3250" u="1"/>
        <n v="-828" u="1"/>
        <n v="-3120" u="1"/>
        <n v="-2990" u="1"/>
        <n v="-763" u="1"/>
        <n v="-2860" u="1"/>
        <n v="-2730" u="1"/>
        <n v="-698" u="1"/>
        <n v="-2600" u="1"/>
        <n v="-2470" u="1"/>
        <n v="-633" u="1"/>
        <n v="-2340" u="1"/>
        <n v="-154" u="1"/>
        <n v="44781" u="1"/>
        <n v="-2210" u="1"/>
        <n v="-568" u="1"/>
        <n v="-2080" u="1"/>
        <n v="-1999" u="1"/>
        <n v="-1934" u="1"/>
        <n v="-3707" u="1"/>
        <n v="-1869" u="1"/>
        <n v="-475" u="1"/>
        <n v="-3577" u="1"/>
        <n v="-1804" u="1"/>
        <n v="-3447" u="1"/>
        <n v="-1739" u="1"/>
        <n v="-3317" u="1"/>
        <n v="-1674" u="1"/>
        <n v="-3187" u="1"/>
        <n v="-1609" u="1"/>
        <n v="-410" u="1"/>
        <n v="-3057" u="1"/>
        <n v="-1544" u="1"/>
        <n v="-2927" u="1"/>
        <n v="-1479" u="1"/>
        <n v="-2797" u="1"/>
        <n v="-1414" u="1"/>
        <n v="-2667" u="1"/>
        <n v="-1349" u="1"/>
        <n v="-345" u="1"/>
        <n v="-2537" u="1"/>
        <n v="-1284" u="1"/>
        <n v="-2407" u="1"/>
        <n v="-1219" u="1"/>
        <n v="-2277" u="1"/>
        <n v="-1154" u="1"/>
        <n v="-76" u="1"/>
        <n v="-2147" u="1"/>
        <n v="-1089" u="1"/>
        <n v="-280" u="1"/>
        <n v="-1024" u="1"/>
        <n v="-959" u="1"/>
        <n v="-3644" u="1"/>
        <n v="-3514" u="1"/>
        <n v="-894" u="1"/>
        <n v="-3384" u="1"/>
        <n v="-3254" u="1"/>
        <n v="-829" u="1"/>
        <n v="-3124" u="1"/>
        <n v="-203" u="1"/>
        <n v="-2994" u="1"/>
        <n v="-764" u="1"/>
        <n v="-2864" u="1"/>
        <n v="-2734" u="1"/>
        <n v="-699" u="1"/>
        <n v="-2604" u="1"/>
        <n v="-2474" u="1"/>
        <n v="-634" u="1"/>
        <n v="-2344" u="1"/>
        <n v="7" u="1"/>
        <n v="-2214" u="1"/>
        <n v="-569" u="1"/>
        <n v="44782" u="1"/>
        <n v="-2084" u="1"/>
        <n v="-138" u="1"/>
        <n v="-2001" u="1"/>
        <n v="-508" u="1"/>
        <n v="-1936" u="1"/>
        <n v="-3711" u="1"/>
        <n v="-1871" u="1"/>
        <n v="-3581" u="1"/>
        <n v="-1806" u="1"/>
        <n v="-3451" u="1"/>
        <n v="-1741" u="1"/>
        <n v="-443" u="1"/>
        <n v="-3321" u="1"/>
        <n v="-1676" u="1"/>
        <n v="-3191" u="1"/>
        <n v="-1611" u="1"/>
        <n v="-3061" u="1"/>
        <n v="-1546" u="1"/>
        <n v="-2931" u="1"/>
        <n v="-1481" u="1"/>
        <n v="-378" u="1"/>
        <n v="-2801" u="1"/>
        <n v="-1416" u="1"/>
        <n v="-2671" u="1"/>
        <n v="-1351" u="1"/>
        <n v="-2541" u="1"/>
        <n v="-1286" u="1"/>
        <n v="-2411" u="1"/>
        <n v="-1221" u="1"/>
        <n v="-313" u="1"/>
        <n v="-2281" u="1"/>
        <n v="-1156" u="1"/>
        <n v="-5" u="1"/>
        <n v="-2151" u="1"/>
        <n v="-1091" u="1"/>
        <n v="-1026" u="1"/>
        <n v="-68" u="1"/>
        <n v="-252" u="1"/>
        <n v="-960" u="1"/>
        <n v="-3648" u="1"/>
        <n v="-3518" u="1"/>
        <n v="-895" u="1"/>
        <n v="-3388" u="1"/>
        <n v="-3258" u="1"/>
        <n v="-830" u="1"/>
        <n v="-3128" u="1"/>
        <n v="-2998" u="1"/>
        <n v="-765" u="1"/>
        <n v="-2868" u="1"/>
        <n v="-187" u="1"/>
        <n v="-2738" u="1"/>
        <n v="-700" u="1"/>
        <n v="-2608" u="1"/>
        <n v="-2478" u="1"/>
        <n v="-635" u="1"/>
        <n v="-2348" u="1"/>
        <n v="-2218" u="1"/>
        <n v="-570" u="1"/>
        <n v="-2088" u="1"/>
        <n v="-2003" u="1"/>
        <n v="-1938" u="1"/>
        <n v="-125" u="1"/>
        <n v="-3715" u="1"/>
        <n v="-1873" u="1"/>
        <n v="-476" u="1"/>
        <n v="-3585" u="1"/>
        <n v="-1808" u="1"/>
        <n v="-3455" u="1"/>
        <n v="-1743" u="1"/>
        <n v="-3325" u="1"/>
        <n v="-1678" u="1"/>
        <n v="-3195" u="1"/>
        <n v="-1613" u="1"/>
        <n v="-411" u="1"/>
        <n v="-3065" u="1"/>
        <n v="-1548" u="1"/>
        <n v="-2935" u="1"/>
        <n v="-1483" u="1"/>
        <n v="-2805" u="1"/>
        <n v="-1418" u="1"/>
        <n v="-2675" u="1"/>
        <n v="-1353" u="1"/>
        <n v="-346" u="1"/>
        <n v="-2545" u="1"/>
        <n v="-1288" u="1"/>
        <n v="-2415" u="1"/>
        <n v="-1223" u="1"/>
        <n v="-2285" u="1"/>
        <n v="-1158" u="1"/>
        <n v="-2155" u="1"/>
        <n v="-1093" u="1"/>
        <n v="-281" u="1"/>
        <n v="-1028" u="1"/>
        <n v="-961" u="1"/>
        <n v="-62" u="1"/>
        <n v="-3652" u="1"/>
        <n v="-236" u="1"/>
        <n v="-3522" u="1"/>
        <n v="-896" u="1"/>
        <n v="-3392" u="1"/>
        <n v="-3262" u="1"/>
        <n v="-831" u="1"/>
        <n v="-3132" u="1"/>
        <n v="-3002" u="1"/>
        <n v="-766" u="1"/>
        <n v="-2872" u="1"/>
        <n v="-2742" u="1"/>
        <n v="-701" u="1"/>
        <n v="-2612" u="1"/>
        <n v="-171" u="1"/>
        <n v="-2482" u="1"/>
        <n v="-636" u="1"/>
        <n v="-2352" u="1"/>
        <n v="-2222" u="1"/>
        <n v="-571" u="1"/>
        <n v="-2092" u="1"/>
        <n v="-2005" u="1"/>
        <n v="-509" u="1"/>
        <n v="-1940" u="1"/>
        <n v="6" u="1"/>
        <n v="-3719" u="1"/>
        <n v="-1875" u="1"/>
        <n v="-3589" u="1"/>
        <n v="-1810" u="1"/>
        <n v="-117" u="1"/>
        <n v="-3459" u="1"/>
        <n v="-1745" u="1"/>
        <n v="-444" u="1"/>
        <n v="-3329" u="1"/>
        <n v="-1680" u="1"/>
        <n v="-3199" u="1"/>
        <n v="-1615" u="1"/>
        <n v="-3069" u="1"/>
        <n v="-1550" u="1"/>
        <n v="-2939" u="1"/>
        <n v="-1485" u="1"/>
        <n v="-379" u="1"/>
        <n v="-2809" u="1"/>
        <n v="-1420" u="1"/>
        <n v="-2679" u="1"/>
        <n v="-1355" u="1"/>
        <n v="-2549" u="1"/>
        <n v="-1290" u="1"/>
        <n v="-2419" u="1"/>
        <n v="-1225" u="1"/>
        <n v="-314" u="1"/>
        <n v="-2289" u="1"/>
        <n v="-1160" u="1"/>
        <n v="-2159" u="1"/>
        <n v="-1095" u="1"/>
        <n v="-1030" u="1"/>
        <n v="-962" u="1"/>
        <n v="-4" u="1"/>
        <n v="-3656" u="1"/>
        <n v="-3526" u="1"/>
        <n v="-897" u="1"/>
        <n v="-58" u="1"/>
        <n v="-3396" u="1"/>
        <n v="-220" u="1"/>
        <n v="-3266" u="1"/>
        <n v="-832" u="1"/>
        <n v="-3136" u="1"/>
        <n v="-3006" u="1"/>
        <n v="-767" u="1"/>
        <n v="-2876" u="1"/>
        <n v="-2746" u="1"/>
        <n v="-702" u="1"/>
        <n v="-2616" u="1"/>
        <n v="-2486" u="1"/>
        <n v="-637" u="1"/>
        <n v="-2356" u="1"/>
        <n v="-155" u="1"/>
        <n v="-2226" u="1"/>
        <n v="-572" u="1"/>
        <n v="-2096" u="1"/>
        <n v="-2007" u="1"/>
        <n v="-1942" u="1"/>
        <n v="44785" u="1"/>
        <n v="-1877" u="1"/>
        <n v="-477" u="1"/>
        <n v="-3593" u="1"/>
        <n v="-1812" u="1"/>
        <n v="-3463" u="1"/>
        <n v="-1747" u="1"/>
        <n v="-3333" u="1"/>
        <n v="-1682" u="1"/>
        <n v="-109" u="1"/>
        <n v="76" u="1"/>
        <n v="-3203" u="1"/>
        <n v="-1617" u="1"/>
        <n v="-412" u="1"/>
        <n v="-3073" u="1"/>
        <n v="-1552" u="1"/>
        <n v="-2943" u="1"/>
        <n v="-1487" u="1"/>
        <n v="-2813" u="1"/>
        <n v="-1422" u="1"/>
        <n v="-2683" u="1"/>
        <n v="-1357" u="1"/>
        <n v="-347" u="1"/>
        <n v="-2553" u="1"/>
        <n v="-1292" u="1"/>
        <n v="-2423" u="1"/>
        <n v="-1227" u="1"/>
        <n v="-2293" u="1"/>
        <n v="-1162" u="1"/>
        <n v="-2163" u="1"/>
        <n v="-1097" u="1"/>
        <n v="-282" u="1"/>
        <n v="-1032" u="1"/>
        <n v="-963" u="1"/>
        <n v="-3660" u="1"/>
        <n v="-3530" u="1"/>
        <n v="-898" u="1"/>
        <n v="-3400" u="1"/>
        <n v="-3270" u="1"/>
        <n v="-833" u="1"/>
        <n v="-54" u="1"/>
        <n v="-3140" u="1"/>
        <n v="-204" u="1"/>
        <n v="-3010" u="1"/>
        <n v="-768" u="1"/>
        <n v="-2880" u="1"/>
        <n v="-2750" u="1"/>
        <n v="-703" u="1"/>
        <n v="-2620" u="1"/>
        <n v="-2490" u="1"/>
        <n v="-638" u="1"/>
        <n v="-2360" u="1"/>
        <n v="-2230" u="1"/>
        <n v="-573" u="1"/>
        <n v="-2100" u="1"/>
        <n v="-139" u="1"/>
        <n v="-2009" u="1"/>
        <n v="-510" u="1"/>
        <n v="-1944" u="1"/>
        <n v="-1879" u="1"/>
        <n v="44786" u="1"/>
        <n v="-3597" u="1"/>
        <n v="-1814" u="1"/>
        <n v="44723" u="1"/>
        <n v="-3467" u="1"/>
        <n v="-1749" u="1"/>
        <n v="-445" u="1"/>
        <n v="-3337" u="1"/>
        <n v="-1684" u="1"/>
        <n v="5" u="1"/>
        <n v="-3207" u="1"/>
        <n v="-1619" u="1"/>
        <n v="-3077" u="1"/>
        <n v="-1554" u="1"/>
        <n v="-101" u="1"/>
        <n v="-2947" u="1"/>
        <n v="-1489" u="1"/>
        <n v="-380" u="1"/>
        <n v="-2817" u="1"/>
        <n v="-1424" u="1"/>
        <n v="-2687" u="1"/>
        <n v="-1359" u="1"/>
        <n v="-2557" u="1"/>
        <n v="-1294" u="1"/>
        <n v="-2427" u="1"/>
        <n v="-1229" u="1"/>
        <n v="-315" u="1"/>
        <n v="-2297" u="1"/>
        <n v="-1164" u="1"/>
        <n v="-2167" u="1"/>
        <n v="-1099" u="1"/>
        <n v="-1034" u="1"/>
        <n v="-253" u="1"/>
        <n v="-964" u="1"/>
        <n v="-3664" u="1"/>
        <n v="-3534" u="1"/>
        <n v="-899" u="1"/>
        <n v="-3404" u="1"/>
        <n v="-3274" u="1"/>
        <n v="-834" u="1"/>
        <n v="-3144" u="1"/>
        <n v="-3014" u="1"/>
        <n v="-769" u="1"/>
        <n v="-50" u="1"/>
        <n v="-2884" u="1"/>
        <n v="-188" u="1"/>
        <n v="-2754" u="1"/>
        <n v="-704" u="1"/>
        <n v="-2624" u="1"/>
        <n v="-2494" u="1"/>
        <n v="-639" u="1"/>
        <n v="-2364" u="1"/>
        <n v="-2234" u="1"/>
        <n v="-574" u="1"/>
        <n v="-2104" u="1"/>
        <n v="-2011" u="1"/>
        <n v="-1946" u="1"/>
        <n v="-1881" u="1"/>
        <n v="-478" u="1"/>
        <n v="-3601" u="1"/>
        <n v="-1816" u="1"/>
        <n v="44787" u="1"/>
        <n v="-3471" u="1"/>
        <n v="-1751" u="1"/>
        <n v="44724" u="1"/>
        <n v="-3341" u="1"/>
        <n v="-1686" u="1"/>
        <n v="-3211" u="1"/>
        <n v="-1621" u="1"/>
        <n v="-413" u="1"/>
        <n v="-3081" u="1"/>
        <n v="-1556" u="1"/>
        <n v="-2951" u="1"/>
        <n v="-1491" u="1"/>
        <n v="-2821" u="1"/>
        <n v="-1426" u="1"/>
        <n v="-93" u="1"/>
        <n v="-2691" u="1"/>
        <n v="-1361" u="1"/>
        <n v="-348" u="1"/>
        <n v="-2561" u="1"/>
        <n v="-1296" u="1"/>
        <n v="-2431" u="1"/>
        <n v="-1231" u="1"/>
        <n v="-2301" u="1"/>
        <n v="-1166" u="1"/>
        <n v="-2171" u="1"/>
        <n v="-1101" u="1"/>
        <n v="-283" u="1"/>
        <n v="-1036" u="1"/>
        <n v="-965" u="1"/>
        <n v="-3668" u="1"/>
        <n v="-237" u="1"/>
        <n v="-3538" u="1"/>
        <n v="-900" u="1"/>
        <n v="-3408" u="1"/>
        <n v="-3278" u="1"/>
        <n v="-835" u="1"/>
        <n v="-3148" u="1"/>
        <n v="-3018" u="1"/>
        <n v="-770" u="1"/>
        <n v="-2888" u="1"/>
        <n v="-2758" u="1"/>
        <n v="-705" u="1"/>
        <n v="-46" u="1"/>
        <n v="-2628" u="1"/>
        <n v="-172" u="1"/>
        <n v="-2498" u="1"/>
        <n v="-640" u="1"/>
        <n v="-2368" u="1"/>
        <n v="-2238" u="1"/>
        <n v="-575" u="1"/>
        <n v="-2108" u="1"/>
        <n v="-2013" u="1"/>
        <n v="-511" u="1"/>
        <n v="-1948" u="1"/>
        <n v="-1883" u="1"/>
        <n v="-3605" u="1"/>
        <n v="-1818" u="1"/>
        <n v="-3475" u="1"/>
        <n v="-1753" u="1"/>
        <n v="-446" u="1"/>
        <n v="44788" u="1"/>
        <n v="-3345" u="1"/>
        <n v="-1688" u="1"/>
        <n v="44725" u="1"/>
        <n v="-3215" u="1"/>
        <n v="-1623" u="1"/>
        <n v="-3085" u="1"/>
        <n v="-1558" u="1"/>
        <n v="-2955" u="1"/>
        <n v="-1493" u="1"/>
        <n v="-381" u="1"/>
        <n v="-2825" u="1"/>
        <n v="-1428" u="1"/>
        <n v="4" u="1"/>
        <n v="-2695" u="1"/>
        <n v="-1363" u="1"/>
        <n v="-2565" u="1"/>
        <n v="-1298" u="1"/>
        <n v="-85" u="1"/>
        <n v="-2435" u="1"/>
        <n v="-1233" u="1"/>
        <n v="-316" u="1"/>
        <n v="-2305" u="1"/>
        <n v="-1168" u="1"/>
        <n v="-2175" u="1"/>
        <n v="-1103" u="1"/>
        <n v="-1038" u="1"/>
        <n v="-966" u="1"/>
        <n v="-3672" u="1"/>
        <n v="-3542" u="1"/>
        <n v="-901" u="1"/>
        <n v="-3412" u="1"/>
        <n v="-221" u="1"/>
        <n v="-3282" u="1"/>
        <n v="-836" u="1"/>
        <n v="-3152" u="1"/>
        <n v="-3022" u="1"/>
        <n v="-771" u="1"/>
        <n v="-2892" u="1"/>
        <n v="-2762" u="1"/>
        <n v="-706" u="1"/>
        <n v="-3" u="1"/>
        <n v="-2632" u="1"/>
        <n v="-2502" u="1"/>
        <n v="-641" u="1"/>
        <n v="-42" u="1"/>
        <n v="-2372" u="1"/>
        <n v="-156" u="1"/>
        <n v="-2242" u="1"/>
        <n v="-576" u="1"/>
        <n v="-2112" u="1"/>
        <n v="-2015" u="1"/>
        <n v="-1950" u="1"/>
        <n v="-1885" u="1"/>
        <n v="-479" u="1"/>
        <n v="-3609" u="1"/>
        <n v="-1820" u="1"/>
        <n v="-3479" u="1"/>
        <n v="-1755" u="1"/>
        <n v="-3349" u="1"/>
        <n v="-1690" u="1"/>
        <n v="44789" u="1"/>
        <n v="-3219" u="1"/>
        <n v="-1625" u="1"/>
        <n v="-414" u="1"/>
        <n v="44726" u="1"/>
        <n v="-3089" u="1"/>
        <n v="-1560" u="1"/>
        <n v="-2959" u="1"/>
        <n v="-1495" u="1"/>
        <n v="-2829" u="1"/>
        <n v="-1430" u="1"/>
        <n v="-2699" u="1"/>
        <n v="-1365" u="1"/>
        <n v="-349" u="1"/>
        <n v="-2569" u="1"/>
        <n v="-1300" u="1"/>
        <n v="-2439" u="1"/>
        <n v="-1235" u="1"/>
        <n v="-2309" u="1"/>
        <n v="-1170" u="1"/>
        <n v="-77" u="1"/>
        <n v="-2179" u="1"/>
        <n v="-1105" u="1"/>
        <n v="-284" u="1"/>
        <n v="-2049" u="1"/>
        <n v="-1040" u="1"/>
        <n v="-967" u="1"/>
        <n v="-3676" u="1"/>
        <n v="-3546" u="1"/>
        <n v="-902" u="1"/>
        <n v="-3416" u="1"/>
        <n v="-3286" u="1"/>
        <n v="-837" u="1"/>
        <n v="-3156" u="1"/>
        <n v="-205" u="1"/>
        <n v="-3026" u="1"/>
        <n v="-772" u="1"/>
        <n v="-2896" u="1"/>
        <n v="-2766" u="1"/>
        <n v="-707" u="1"/>
        <n v="-2636" u="1"/>
        <n v="-2506" u="1"/>
        <n v="-642" u="1"/>
        <n v="-2376" u="1"/>
        <n v="-2246" u="1"/>
        <n v="-577" u="1"/>
        <n v="-38" u="1"/>
        <n v="-2116" u="1"/>
        <n v="-140" u="1"/>
        <n v="-2017" u="1"/>
        <n v="-512" u="1"/>
        <n v="-1952" u="1"/>
        <n v="-1887" u="1"/>
        <n v="-3613" u="1"/>
        <n v="-1822" u="1"/>
        <n v="-3483" u="1"/>
        <n v="-1757" u="1"/>
        <n v="-447" u="1"/>
        <n v="-3353" u="1"/>
        <n v="-1692" u="1"/>
        <n v="-3223" u="1"/>
        <n v="-1627" u="1"/>
        <n v="-3093" u="1"/>
        <n v="-1562" u="1"/>
        <n v="-2963" u="1"/>
        <n v="-1497" u="1"/>
        <n v="-382" u="1"/>
        <n v="-2833" u="1"/>
        <n v="-1432" u="1"/>
        <n v="-2703" u="1"/>
        <n v="-1367" u="1"/>
        <n v="-2573" u="1"/>
        <n v="-1302" u="1"/>
        <n v="-2443" u="1"/>
        <n v="-1237" u="1"/>
        <n v="-317" u="1"/>
        <n v="-2313" u="1"/>
        <n v="-1172" u="1"/>
        <n v="-2183" u="1"/>
        <n v="-1107" u="1"/>
        <n v="-2053" u="1"/>
        <n v="-1042" u="1"/>
        <n v="-69" u="1"/>
        <n v="50" u="1"/>
        <n v="-254" u="1"/>
        <n v="-968" u="1"/>
        <n v="-3680" u="1"/>
        <n v="-3550" u="1"/>
        <n v="-903" u="1"/>
        <n v="-3420" u="1"/>
        <n v="-3290" u="1"/>
        <n v="-838" u="1"/>
        <n v="-3160" u="1"/>
        <n v="-3030" u="1"/>
        <n v="-773" u="1"/>
        <n v="-2900" u="1"/>
        <n v="-189" u="1"/>
        <n v="-2770" u="1"/>
        <n v="-708" u="1"/>
        <n v="-2640" u="1"/>
        <n v="-2510" u="1"/>
        <n v="-643" u="1"/>
        <n v="-2380" u="1"/>
        <n v="-2250" u="1"/>
        <n v="-578" u="1"/>
        <n v="-2120" u="1"/>
        <n v="-2019" u="1"/>
        <n v="-513" u="1"/>
        <n v="-34" u="1"/>
        <n v="-1954" u="1"/>
        <n v="-126" u="1"/>
        <n v="-1889" u="1"/>
        <n v="-480" u="1"/>
        <n v="-3617" u="1"/>
        <n v="-1824" u="1"/>
        <n v="-3487" u="1"/>
        <n v="-1759" u="1"/>
        <n v="-3357" u="1"/>
        <n v="-1694" u="1"/>
        <n v="-3227" u="1"/>
        <n v="-1629" u="1"/>
        <n v="-415" u="1"/>
        <n v="-3097" u="1"/>
        <n v="-1564" u="1"/>
        <n v="-2967" u="1"/>
        <n v="-1499" u="1"/>
        <n v="-2837" u="1"/>
        <n v="-1434" u="1"/>
        <n v="-2707" u="1"/>
        <n v="-1369" u="1"/>
        <n v="-350" u="1"/>
        <n v="-2577" u="1"/>
        <n v="-1304" u="1"/>
        <n v="-2447" u="1"/>
        <n v="-1239" u="1"/>
        <n v="-2317" u="1"/>
        <n v="-1174" u="1"/>
        <n v="-2187" u="1"/>
        <n v="-1109" u="1"/>
        <n v="-285" u="1"/>
        <n v="-2057" u="1"/>
        <n v="-1044" u="1"/>
        <n v="-969" u="1"/>
        <n v="46" u="1"/>
        <n v="-3684" u="1"/>
        <n v="-238" u="1"/>
        <n v="-3554" u="1"/>
        <n v="-904" u="1"/>
        <n v="-3424" u="1"/>
        <n v="-3294" u="1"/>
        <n v="-839" u="1"/>
        <n v="-3164" u="1"/>
        <n v="-3034" u="1"/>
        <n v="-774" u="1"/>
        <n v="-2904" u="1"/>
        <n v="-2774" u="1"/>
        <n v="-709" u="1"/>
        <n v="-2644" u="1"/>
        <n v="-173" u="1"/>
        <n v="-2514" u="1"/>
        <n v="-644" u="1"/>
        <n v="-2384" u="1"/>
        <n v="-2254" u="1"/>
        <n v="-579" u="1"/>
        <n v="-2124" u="1"/>
        <n v="-2021" u="1"/>
        <n v="-514" u="1"/>
        <n v="-1956" u="1"/>
        <n v="-1891" u="1"/>
        <n v="-31" u="1"/>
        <n v="-3621" u="1"/>
        <n v="-1826" u="1"/>
        <n v="-118" u="1"/>
        <n v="-3491" u="1"/>
        <n v="-1761" u="1"/>
        <n v="-448" u="1"/>
        <n v="-3361" u="1"/>
        <n v="-1696" u="1"/>
        <n v="-3231" u="1"/>
        <n v="-1631" u="1"/>
        <n v="-3101" u="1"/>
        <n v="-1566" u="1"/>
        <n v="-2971" u="1"/>
        <n v="-1501" u="1"/>
        <n v="-383" u="1"/>
        <n v="44792" u="1"/>
        <n v="-2841" u="1"/>
        <n v="-1436" u="1"/>
        <n v="44729" u="1"/>
        <n v="-2711" u="1"/>
        <n v="-1371" u="1"/>
        <n v="-2581" u="1"/>
        <n v="-1306" u="1"/>
        <n v="-2451" u="1"/>
        <n v="-1241" u="1"/>
        <n v="-318" u="1"/>
        <n v="-2321" u="1"/>
        <n v="-1176" u="1"/>
        <n v="-2191" u="1"/>
        <n v="-1111" u="1"/>
        <n v="-2061" u="1"/>
        <n v="-1046" u="1"/>
        <n v="-970" u="1"/>
        <n v="3" u="1"/>
        <n v="-3688" u="1"/>
        <n v="-3558" u="1"/>
        <n v="-905" u="1"/>
        <n v="-3428" u="1"/>
        <n v="-222" u="1"/>
        <n v="-3298" u="1"/>
        <n v="-840" u="1"/>
        <n v="-3168" u="1"/>
        <n v="-3038" u="1"/>
        <n v="-775" u="1"/>
        <n v="-2908" u="1"/>
        <n v="-2778" u="1"/>
        <n v="-710" u="1"/>
        <n v="-2648" u="1"/>
        <n v="-2518" u="1"/>
        <n v="-645" u="1"/>
        <n v="-2388" u="1"/>
        <n v="-157" u="1"/>
        <n v="-2258" u="1"/>
        <n v="-580" u="1"/>
        <n v="-2128" u="1"/>
        <n v="-2023" u="1"/>
        <n v="-515" u="1"/>
        <n v="-1958" u="1"/>
        <n v="-1893" u="1"/>
        <n v="-481" u="1"/>
        <n v="-2" u="1"/>
        <n v="-3625" u="1"/>
        <n v="-1828" u="1"/>
        <n v="-3495" u="1"/>
        <n v="-1763" u="1"/>
        <n v="-29" u="1"/>
        <n v="-3365" u="1"/>
        <n v="-1698" u="1"/>
        <n v="-110" u="1"/>
        <n v="-3235" u="1"/>
        <n v="-1633" u="1"/>
        <n v="-416" u="1"/>
        <n v="-3105" u="1"/>
        <n v="-1568" u="1"/>
        <n v="-2975" u="1"/>
        <n v="-1503" u="1"/>
        <n v="-2845" u="1"/>
        <n v="-1438" u="1"/>
        <n v="44793" u="1"/>
        <n v="-2715" u="1"/>
        <n v="-1373" u="1"/>
        <n v="-351" u="1"/>
        <n v="44730" u="1"/>
        <n v="-2585" u="1"/>
        <n v="-1308" u="1"/>
        <n v="-2455" u="1"/>
        <n v="-1243" u="1"/>
        <n v="-2325" u="1"/>
        <n v="-1178" u="1"/>
        <n v="-2195" u="1"/>
        <n v="-1113" u="1"/>
        <n v="-286" u="1"/>
        <n v="-2065" u="1"/>
        <n v="-1048" u="1"/>
        <n v="-971" u="1"/>
        <n v="-3692" u="1"/>
        <n v="-3562" u="1"/>
        <n v="-906" u="1"/>
        <n v="-3432" u="1"/>
        <n v="-3302" u="1"/>
        <n v="-841" u="1"/>
        <n v="-3172" u="1"/>
        <n v="-206" u="1"/>
        <n v="-3042" u="1"/>
        <n v="-776" u="1"/>
        <n v="-2912" u="1"/>
        <n v="-2782" u="1"/>
        <n v="-711" u="1"/>
        <n v="-2652" u="1"/>
        <n v="-2522" u="1"/>
        <n v="-646" u="1"/>
        <n v="-2392" u="1"/>
        <n v="-2262" u="1"/>
        <n v="-581" u="1"/>
        <n v="-2132" u="1"/>
        <n v="-141" u="1"/>
        <n v="-2025" u="1"/>
        <n v="-516" u="1"/>
        <n v="-1960" u="1"/>
        <n v="-1895" u="1"/>
        <n v="-3629" u="1"/>
        <n v="-1830" u="1"/>
        <n v="-3499" u="1"/>
        <n v="-1765" u="1"/>
        <n v="-449" u="1"/>
        <n v="-3369" u="1"/>
        <n v="-1700" u="1"/>
        <n v="-3239" u="1"/>
        <n v="-1635" u="1"/>
        <n v="-27" u="1"/>
        <n v="-3109" u="1"/>
        <n v="-1570" u="1"/>
        <n v="-102" u="1"/>
        <n v="69" u="1"/>
        <n v="-2979" u="1"/>
        <n v="-1505" u="1"/>
        <n v="-384" u="1"/>
        <n v="-2849" u="1"/>
        <n v="-1440" u="1"/>
        <n v="-2719" u="1"/>
        <n v="-1375" u="1"/>
        <n v="44794" u="1"/>
        <n v="-2589" u="1"/>
        <n v="-1310" u="1"/>
        <n v="44731" u="1"/>
        <n v="-2459" u="1"/>
        <n v="-1245" u="1"/>
        <n v="-319" u="1"/>
        <n v="-2329" u="1"/>
        <n v="-1180" u="1"/>
        <n v="-2199" u="1"/>
        <n v="-1115" u="1"/>
        <n v="-2069" u="1"/>
        <n v="-1050" u="1"/>
        <n v="-255" u="1"/>
        <n v="-972" u="1"/>
        <n v="-3696" u="1"/>
        <n v="-3566" u="1"/>
        <n v="-907" u="1"/>
        <n v="-3436" u="1"/>
        <n v="-3306" u="1"/>
        <n v="-842" u="1"/>
        <n v="-3176" u="1"/>
        <n v="-3046" u="1"/>
        <n v="-777" u="1"/>
        <n v="34" u="1"/>
        <n v="-2916" u="1"/>
        <n v="-190" u="1"/>
        <n v="-2786" u="1"/>
        <n v="-712" u="1"/>
        <n v="-2656" u="1"/>
        <n v="-2526" u="1"/>
        <n v="-647" u="1"/>
        <n v="-2396" u="1"/>
        <n v="-2266" u="1"/>
        <n v="-582" u="1"/>
        <n v="-2136" u="1"/>
        <n v="-2027" u="1"/>
        <n v="-517" u="1"/>
        <n v="-1962" u="1"/>
        <n v="-1897" u="1"/>
        <n v="-482" u="1"/>
        <n v="-3633" u="1"/>
        <n v="-1832" u="1"/>
        <n v="-3503" u="1"/>
        <n v="-1767" u="1"/>
        <n v="-3373" u="1"/>
        <n v="-1702" u="1"/>
        <n v="-3243" u="1"/>
        <n v="-1637" u="1"/>
        <n v="-417" u="1"/>
        <n v="-3113" u="1"/>
        <n v="-1572" u="1"/>
        <n v="-2983" u="1"/>
        <n v="-1507" u="1"/>
        <n v="-25" u="1"/>
        <n v="-2853" u="1"/>
        <n v="-1442" u="1"/>
        <n v="-94" u="1"/>
        <n v="-2723" u="1"/>
        <n v="-1377" u="1"/>
        <n v="-352" u="1"/>
        <n v="-2593" u="1"/>
        <n v="-1312" u="1"/>
        <n v="-2463" u="1"/>
        <n v="-1247" u="1"/>
        <n v="44732" u="1"/>
        <n v="-2333" u="1"/>
        <n v="-1182" u="1"/>
        <n v="-2203" u="1"/>
        <n v="-1117" u="1"/>
        <n v="-287" u="1"/>
        <n v="-2073" u="1"/>
        <n v="-1052" u="1"/>
        <n v="-973" u="1"/>
        <n v="-3700" u="1"/>
        <n v="-239" u="1"/>
        <n v="-3570" u="1"/>
        <n v="-908" u="1"/>
        <n v="-3440" u="1"/>
        <n v="-3310" u="1"/>
        <n v="-843" u="1"/>
        <n v="-3180" u="1"/>
        <n v="-3050" u="1"/>
        <n v="-778" u="1"/>
        <n v="-2920" u="1"/>
        <n v="-2790" u="1"/>
        <n v="-713" u="1"/>
        <n v="31" u="1"/>
        <n v="-2660" u="1"/>
        <n v="-174" u="1"/>
        <n v="-2530" u="1"/>
        <n v="-648" u="1"/>
        <n v="-2400" u="1"/>
        <n v="-2270" u="1"/>
        <n v="-583" u="1"/>
        <n v="-2140" u="1"/>
        <n v="-2029" u="1"/>
        <n v="-518" u="1"/>
        <n v="-1964" u="1"/>
        <n v="-1899" u="1"/>
        <n v="-3637" u="1"/>
        <n v="-1834" u="1"/>
        <n v="-3507" u="1"/>
        <n v="-1769" u="1"/>
        <n v="-450" u="1"/>
        <n v="-3377" u="1"/>
        <n v="-1704" u="1"/>
        <n v="-3247" u="1"/>
        <n v="-1639" u="1"/>
        <n v="-3117" u="1"/>
        <n v="-1574" u="1"/>
        <n v="-2987" u="1"/>
        <n v="-1509" u="1"/>
        <n v="-385" u="1"/>
        <n v="-2857" u="1"/>
        <n v="-1444" u="1"/>
        <n v="-2727" u="1"/>
        <n v="-1379" u="1"/>
        <n v="-23" u="1"/>
        <n v="-2597" u="1"/>
        <n v="-1314" u="1"/>
        <n v="-86" u="1"/>
        <n v="-2467" u="1"/>
        <n v="-1249" u="1"/>
        <n v="-320" u="1"/>
        <n v="-2337" u="1"/>
        <n v="-1184" u="1"/>
        <n v="44733" u="1"/>
        <n v="-2207" u="1"/>
        <n v="-1119" u="1"/>
        <n v="-2077" u="1"/>
        <n v="-1054" u="1"/>
        <n v="-974" u="1"/>
        <n v="-3704" u="1"/>
        <n v="-3574" u="1"/>
        <n v="-909" u="1"/>
        <n v="-3444" u="1"/>
        <n v="-223" u="1"/>
        <n v="-3314" u="1"/>
        <n v="-844" u="1"/>
        <n v="-3184" u="1"/>
        <n v="-3054" u="1"/>
        <n v="-779" u="1"/>
        <n v="-2924" u="1"/>
        <n v="-2794" u="1"/>
        <n v="-714" u="1"/>
        <n v="2" u="1"/>
        <n v="-2664" u="1"/>
        <n v="-2534" u="1"/>
        <n v="-649" u="1"/>
        <n v="29" u="1"/>
        <n v="-2404" u="1"/>
        <n v="-158" u="1"/>
        <n v="-2274" u="1"/>
        <n v="-584" u="1"/>
        <n v="-2144" u="1"/>
        <n v="-2031" u="1"/>
        <n v="-519" u="1"/>
        <n v="-1966" u="1"/>
        <n v="-1901" u="1"/>
        <n v="-483" u="1"/>
        <n v="-3641" u="1"/>
        <n v="-1836" u="1"/>
        <n v="-3511" u="1"/>
        <n v="-1771" u="1"/>
        <n v="-3381" u="1"/>
        <n v="-1706" u="1"/>
        <n v="-3251" u="1"/>
        <n v="-1641" u="1"/>
        <n v="-418" u="1"/>
        <n v="-3121" u="1"/>
        <n v="-1576" u="1"/>
        <n v="-2991" u="1"/>
        <n v="-1511" u="1"/>
        <n v="-2861" u="1"/>
        <n v="-1446" u="1"/>
        <n v="-2731" u="1"/>
        <n v="-1381" u="1"/>
        <n v="-353" u="1"/>
        <n v="-2601" u="1"/>
        <n v="-1316" u="1"/>
        <n v="-2471" u="1"/>
        <n v="-1251" u="1"/>
        <n v="-21" u="1"/>
        <n v="-2341" u="1"/>
        <n v="-1186" u="1"/>
        <n v="-78" u="1"/>
        <n v="-2211" u="1"/>
        <n v="-1121" u="1"/>
        <n v="-288" u="1"/>
        <n v="-2081" u="1"/>
        <n v="-1056" u="1"/>
        <n v="-975" u="1"/>
        <n v="-3708" u="1"/>
        <n v="-3578" u="1"/>
        <n v="-910" u="1"/>
        <n v="-3448" u="1"/>
        <n v="-3318" u="1"/>
        <n v="-845" u="1"/>
        <n v="-3188" u="1"/>
        <n v="-207" u="1"/>
        <n v="-3058" u="1"/>
        <n v="-780" u="1"/>
        <n v="-2928" u="1"/>
        <n v="-2798" u="1"/>
        <n v="-715" u="1"/>
        <n v="-2668" u="1"/>
        <n v="-2538" u="1"/>
        <n v="-650" u="1"/>
        <n v="-2408" u="1"/>
        <n v="-2278" u="1"/>
        <n v="-585" u="1"/>
        <n v="27" u="1"/>
        <n v="-2148" u="1"/>
        <n v="-142" u="1"/>
        <n v="-2033" u="1"/>
        <n v="-520" u="1"/>
        <n v="-1968" u="1"/>
        <n v="-1903" u="1"/>
        <n v="-3645" u="1"/>
        <n v="-1838" u="1"/>
        <n v="-3515" u="1"/>
        <n v="-1773" u="1"/>
        <n v="-451" u="1"/>
        <n v="-3385" u="1"/>
        <n v="-1708" u="1"/>
        <n v="-3255" u="1"/>
        <n v="-1643" u="1"/>
        <n v="-3125" u="1"/>
        <n v="-1578" u="1"/>
        <n v="-2995" u="1"/>
        <n v="-1513" u="1"/>
        <n v="-386" u="1"/>
        <n v="-2865" u="1"/>
        <n v="-1448" u="1"/>
        <n v="-2735" u="1"/>
        <n v="-1383" u="1"/>
        <n v="-2605" u="1"/>
        <n v="-1318" u="1"/>
        <n v="-2475" u="1"/>
        <n v="-1253" u="1"/>
        <n v="-321" u="1"/>
        <n v="-2345" u="1"/>
        <n v="-1188" u="1"/>
        <n v="-2215" u="1"/>
        <n v="-1123" u="1"/>
        <n v="-19" u="1"/>
        <n v="-2085" u="1"/>
        <n v="-1058" u="1"/>
        <n v="-70" u="1"/>
        <n v="-256" u="1"/>
        <n v="-976" u="1"/>
        <n v="-3712" u="1"/>
        <n v="-3582" u="1"/>
        <n v="-911" u="1"/>
        <n v="-3452" u="1"/>
      </sharedItems>
    </cacheField>
  </cacheFields>
  <extLst>
    <ext xmlns:x14="http://schemas.microsoft.com/office/spreadsheetml/2009/9/main" uri="{725AE2AE-9491-48be-B2B4-4EB974FC3084}">
      <x14:pivotCacheDefinition pivotCacheId="182705661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sht, Ajay C." refreshedDate="45203.000404282408" createdVersion="8" refreshedVersion="8" minRefreshableVersion="3" recordCount="999" xr:uid="{12594B6A-DE5B-4496-BD78-3D933FD7568D}">
  <cacheSource type="worksheet">
    <worksheetSource ref="J1:N1000" sheet="Pending Activity 1"/>
  </cacheSource>
  <cacheFields count="5">
    <cacheField name="Market No" numFmtId="0">
      <sharedItems containsMixedTypes="1" containsNumber="1" containsInteger="1" minValue="1000" maxValue="1035"/>
    </cacheField>
    <cacheField name="Site No" numFmtId="0">
      <sharedItems containsMixedTypes="1" containsNumber="1" containsInteger="1" minValue="1000111" maxValue="1035111"/>
    </cacheField>
    <cacheField name="Date" numFmtId="0">
      <sharedItems containsDate="1" containsMixedTypes="1" minDate="2023-09-09T00:00:00" maxDate="2023-10-07T00:00:00"/>
    </cacheField>
    <cacheField name="Type" numFmtId="0">
      <sharedItems containsBlank="1" count="7">
        <s v="TYPE1"/>
        <s v="TYPE3"/>
        <s v="TYPE2"/>
        <m/>
        <s v="  "/>
        <s v="TYPE5" u="1"/>
        <s v="TYPE4" u="1"/>
      </sharedItems>
    </cacheField>
    <cacheField name="Analyst" numFmtId="0">
      <sharedItems count="7">
        <s v="Analyst6"/>
        <s v="Analyst1"/>
        <s v="Analyst4"/>
        <s v="Analyst2"/>
        <s v="Analyst3"/>
        <s v="Analyst5"/>
        <e v="#N/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38">
  <r>
    <n v="1021"/>
    <s v="1021111"/>
    <d v="2023-09-10T06:10:11"/>
    <s v="type42"/>
    <n v="206.01"/>
    <x v="0"/>
    <d v="2023-09-15T06:10:11"/>
    <x v="0"/>
    <d v="2023-10-03T00:00:00"/>
    <n v="22.742928240739275"/>
    <x v="0"/>
    <x v="0"/>
    <n v="17.742928240739275"/>
    <x v="0"/>
  </r>
  <r>
    <n v="1022"/>
    <s v="1022111"/>
    <d v="2023-09-16T06:10:11"/>
    <s v="type40"/>
    <n v="14.12"/>
    <x v="1"/>
    <d v="2023-09-21T06:10:11"/>
    <x v="0"/>
    <d v="2023-10-03T00:00:00"/>
    <n v="16.742928240739275"/>
    <x v="0"/>
    <x v="1"/>
    <n v="11.742928240739275"/>
    <x v="1"/>
  </r>
  <r>
    <n v="1010"/>
    <s v="1010111"/>
    <d v="2023-09-16T06:10:11"/>
    <s v="type24"/>
    <n v="152.94"/>
    <x v="0"/>
    <d v="2023-09-21T06:10:11"/>
    <x v="1"/>
    <d v="2023-10-03T00:00:00"/>
    <n v="16.742928240739275"/>
    <x v="0"/>
    <x v="1"/>
    <n v="11.742928240739275"/>
    <x v="1"/>
  </r>
  <r>
    <n v="1012"/>
    <s v="1012111"/>
    <d v="2023-09-11T06:10:11"/>
    <s v="type40"/>
    <n v="-1500.16"/>
    <x v="0"/>
    <d v="2023-09-16T06:10:11"/>
    <x v="2"/>
    <d v="2023-10-03T00:00:00"/>
    <n v="21.742928240739275"/>
    <x v="0"/>
    <x v="2"/>
    <n v="16.742928240739275"/>
    <x v="2"/>
  </r>
  <r>
    <n v="1001"/>
    <s v="1001111"/>
    <d v="2023-09-18T06:10:11"/>
    <s v="type40"/>
    <n v="-1405.19"/>
    <x v="0"/>
    <d v="2023-09-23T06:10:11"/>
    <x v="3"/>
    <d v="2023-10-03T00:00:00"/>
    <n v="14.742928240739275"/>
    <x v="0"/>
    <x v="3"/>
    <n v="9.7429282407392748"/>
    <x v="3"/>
  </r>
  <r>
    <n v="1015"/>
    <s v="1015111"/>
    <d v="2023-09-12T06:10:11"/>
    <s v="type38"/>
    <n v="400.84"/>
    <x v="0"/>
    <d v="2023-09-17T06:10:11"/>
    <x v="2"/>
    <d v="2023-10-03T00:00:00"/>
    <n v="20.742928240739275"/>
    <x v="0"/>
    <x v="4"/>
    <n v="15.742928240739275"/>
    <x v="4"/>
  </r>
  <r>
    <n v="1004"/>
    <s v="1004111"/>
    <d v="2023-09-19T06:10:11"/>
    <s v="type35"/>
    <n v="2546.89"/>
    <x v="0"/>
    <d v="2023-09-24T06:10:11"/>
    <x v="3"/>
    <d v="2023-10-03T00:00:00"/>
    <n v="13.742928240739275"/>
    <x v="0"/>
    <x v="5"/>
    <n v="8.7429282407392748"/>
    <x v="5"/>
  </r>
  <r>
    <n v="1034"/>
    <s v="1034111"/>
    <d v="2023-09-13T06:10:11"/>
    <s v="type52"/>
    <n v="65.45"/>
    <x v="0"/>
    <d v="2023-09-18T06:10:11"/>
    <x v="4"/>
    <d v="2023-10-03T00:00:00"/>
    <n v="19.742928240739275"/>
    <x v="0"/>
    <x v="6"/>
    <n v="14.742928240739275"/>
    <x v="6"/>
  </r>
  <r>
    <n v="1030"/>
    <s v="1030111"/>
    <d v="2023-09-21T06:10:11"/>
    <s v="type38"/>
    <n v="192.29"/>
    <x v="2"/>
    <d v="2023-09-26T06:10:11"/>
    <x v="4"/>
    <d v="2023-10-03T00:00:00"/>
    <n v="11.742928240739275"/>
    <x v="0"/>
    <x v="7"/>
    <n v="6.7429282407392748"/>
    <x v="7"/>
  </r>
  <r>
    <n v="1009"/>
    <s v="1009111"/>
    <d v="2023-09-21T06:10:11"/>
    <s v="type40"/>
    <n v="1514.46"/>
    <x v="0"/>
    <d v="2023-09-28T06:10:11"/>
    <x v="1"/>
    <d v="2023-10-03T00:00:00"/>
    <n v="11.742928240739275"/>
    <x v="0"/>
    <x v="8"/>
    <n v="4.7429282407392748"/>
    <x v="8"/>
  </r>
  <r>
    <n v="1018"/>
    <s v="1018111"/>
    <d v="2023-09-13T06:10:11"/>
    <s v="type38"/>
    <n v="603.45000000000005"/>
    <x v="0"/>
    <d v="2023-09-20T06:10:11"/>
    <x v="0"/>
    <d v="2023-10-03T00:00:00"/>
    <n v="19.742928240739275"/>
    <x v="0"/>
    <x v="9"/>
    <n v="12.742928240739275"/>
    <x v="9"/>
  </r>
  <r>
    <n v="1027"/>
    <s v="1027111"/>
    <d v="2023-09-14T06:10:11"/>
    <s v="type44"/>
    <n v="1431.12"/>
    <x v="2"/>
    <d v="2023-09-21T06:10:11"/>
    <x v="5"/>
    <d v="2023-10-03T00:00:00"/>
    <n v="18.742928240739275"/>
    <x v="0"/>
    <x v="1"/>
    <n v="11.742928240739275"/>
    <x v="1"/>
  </r>
  <r>
    <n v="1004"/>
    <s v="1004111"/>
    <d v="2023-09-14T06:10:11"/>
    <s v="type38"/>
    <n v="304.07"/>
    <x v="0"/>
    <d v="2023-09-21T06:10:11"/>
    <x v="3"/>
    <d v="2023-10-03T00:00:00"/>
    <n v="18.742928240739275"/>
    <x v="0"/>
    <x v="1"/>
    <n v="11.742928240739275"/>
    <x v="1"/>
  </r>
  <r>
    <n v="1013"/>
    <s v="1013111"/>
    <d v="2023-09-15T06:10:11"/>
    <s v="type40"/>
    <n v="-336.12"/>
    <x v="0"/>
    <d v="2023-09-22T06:10:11"/>
    <x v="2"/>
    <d v="2023-10-03T00:00:00"/>
    <n v="17.742928240739275"/>
    <x v="0"/>
    <x v="10"/>
    <n v="10.742928240739275"/>
    <x v="10"/>
  </r>
  <r>
    <n v="1003"/>
    <s v="1003111"/>
    <d v="2023-09-17T06:10:11"/>
    <s v="type40"/>
    <n v="444.6"/>
    <x v="2"/>
    <d v="2023-09-24T06:10:11"/>
    <x v="3"/>
    <d v="2023-10-03T00:00:00"/>
    <n v="15.742928240739275"/>
    <x v="0"/>
    <x v="5"/>
    <n v="8.7429282407392748"/>
    <x v="5"/>
  </r>
  <r>
    <n v="1007"/>
    <s v="1007111"/>
    <d v="2023-09-18T06:10:11"/>
    <s v="type13"/>
    <n v="42162.55"/>
    <x v="0"/>
    <d v="2023-09-25T06:10:11"/>
    <x v="1"/>
    <d v="2023-10-03T00:00:00"/>
    <n v="14.742928240739275"/>
    <x v="0"/>
    <x v="11"/>
    <n v="7.7429282407392748"/>
    <x v="11"/>
  </r>
  <r>
    <n v="1020"/>
    <s v="1020111"/>
    <d v="2023-09-19T06:10:11"/>
    <s v="type40"/>
    <n v="608.21"/>
    <x v="2"/>
    <d v="2023-09-26T06:10:11"/>
    <x v="0"/>
    <d v="2023-10-03T00:00:00"/>
    <n v="13.742928240739275"/>
    <x v="0"/>
    <x v="7"/>
    <n v="6.7429282407392748"/>
    <x v="7"/>
  </r>
  <r>
    <n v="1025"/>
    <s v="1025111"/>
    <d v="2023-09-20T06:10:11"/>
    <s v="type40"/>
    <n v="-363.36"/>
    <x v="2"/>
    <d v="2023-09-27T06:10:11"/>
    <x v="5"/>
    <d v="2023-10-03T00:00:00"/>
    <n v="12.742928240739275"/>
    <x v="0"/>
    <x v="12"/>
    <n v="5.7429282407392748"/>
    <x v="12"/>
  </r>
  <r>
    <n v="1001"/>
    <s v="1001111"/>
    <d v="2023-09-21T06:10:11"/>
    <s v="type42"/>
    <n v="270.77"/>
    <x v="0"/>
    <d v="2023-09-28T06:10:11"/>
    <x v="3"/>
    <d v="2023-10-03T00:00:00"/>
    <n v="11.742928240739275"/>
    <x v="0"/>
    <x v="8"/>
    <n v="4.7429282407392748"/>
    <x v="8"/>
  </r>
  <r>
    <n v="1004"/>
    <s v="1004111"/>
    <d v="2023-09-22T06:10:11"/>
    <s v="type13"/>
    <n v="40004.61"/>
    <x v="0"/>
    <d v="2023-09-29T06:10:11"/>
    <x v="3"/>
    <d v="2023-10-03T00:00:00"/>
    <n v="10.742928240739275"/>
    <x v="0"/>
    <x v="13"/>
    <n v="3.7429282407392748"/>
    <x v="13"/>
  </r>
  <r>
    <n v="1007"/>
    <s v="1007111"/>
    <d v="2023-09-23T06:10:11"/>
    <s v="type13"/>
    <n v="44395.19"/>
    <x v="0"/>
    <d v="2023-09-30T06:10:11"/>
    <x v="1"/>
    <d v="2023-10-03T00:00:00"/>
    <n v="9.7429282407392748"/>
    <x v="0"/>
    <x v="14"/>
    <n v="2.7429282407392748"/>
    <x v="14"/>
  </r>
  <r>
    <n v="1018"/>
    <s v="1018111"/>
    <d v="2023-09-15T06:10:11"/>
    <s v="type40"/>
    <n v="3"/>
    <x v="0"/>
    <d v="2023-09-22T06:10:11"/>
    <x v="0"/>
    <d v="2023-10-03T00:00:00"/>
    <n v="17.742928240739275"/>
    <x v="0"/>
    <x v="10"/>
    <n v="10.742928240739275"/>
    <x v="10"/>
  </r>
  <r>
    <n v="1004"/>
    <s v="1004111"/>
    <d v="2023-09-25T06:10:11"/>
    <s v="type40"/>
    <n v="352.96"/>
    <x v="3"/>
    <d v="2023-10-02T06:10:11"/>
    <x v="3"/>
    <d v="2023-10-03T00:00:00"/>
    <n v="7.7429282407392748"/>
    <x v="1"/>
    <x v="15"/>
    <n v="0.74292824073927477"/>
    <x v="15"/>
  </r>
  <r>
    <n v="1014"/>
    <s v="1014111"/>
    <d v="2023-09-26T06:10:11"/>
    <s v="type24"/>
    <n v="622.74"/>
    <x v="3"/>
    <d v="2023-10-03T06:10:11"/>
    <x v="2"/>
    <d v="2023-10-03T00:00:00"/>
    <n v="6.7429282407392748"/>
    <x v="1"/>
    <x v="16"/>
    <n v="-0.25707175926072523"/>
    <x v="16"/>
  </r>
  <r>
    <n v="1013"/>
    <s v="1013111"/>
    <d v="2023-09-23T06:10:11"/>
    <s v="type40"/>
    <n v="365.15"/>
    <x v="0"/>
    <d v="2023-09-25T06:10:11"/>
    <x v="2"/>
    <d v="2023-10-03T00:00:00"/>
    <n v="9.7429282407392748"/>
    <x v="0"/>
    <x v="11"/>
    <n v="7.7429282407392748"/>
    <x v="11"/>
  </r>
  <r>
    <n v="1023"/>
    <s v="1023111"/>
    <d v="2023-09-28T06:10:11"/>
    <s v="type13"/>
    <n v="50292.53"/>
    <x v="3"/>
    <d v="2023-10-05T06:10:11"/>
    <x v="0"/>
    <d v="2023-10-03T00:00:00"/>
    <n v="4.7429282407392748"/>
    <x v="2"/>
    <x v="17"/>
    <n v="-2.2570717592607252"/>
    <x v="17"/>
  </r>
  <r>
    <n v="1031"/>
    <s v="1031111"/>
    <d v="2023-09-18T06:10:11"/>
    <s v="type40"/>
    <n v="-2510.6"/>
    <x v="0"/>
    <d v="2023-09-25T06:10:11"/>
    <x v="4"/>
    <d v="2023-10-03T00:00:00"/>
    <n v="14.742928240739275"/>
    <x v="0"/>
    <x v="11"/>
    <n v="7.7429282407392748"/>
    <x v="11"/>
  </r>
  <r>
    <n v="1006"/>
    <s v="1006111"/>
    <d v="2023-09-17T06:10:11"/>
    <s v="type40"/>
    <n v="478.4"/>
    <x v="0"/>
    <d v="2023-09-18T06:10:11"/>
    <x v="1"/>
    <d v="2023-10-03T00:00:00"/>
    <n v="15.742928240739275"/>
    <x v="0"/>
    <x v="6"/>
    <n v="14.742928240739275"/>
    <x v="6"/>
  </r>
  <r>
    <n v="1017"/>
    <s v="1017111"/>
    <d v="2023-09-20T06:10:11"/>
    <s v="type40"/>
    <n v="-726.35"/>
    <x v="3"/>
    <d v="2023-09-21T06:10:11"/>
    <x v="2"/>
    <d v="2023-10-03T00:00:00"/>
    <n v="12.742928240739275"/>
    <x v="0"/>
    <x v="1"/>
    <n v="11.742928240739275"/>
    <x v="1"/>
  </r>
  <r>
    <n v="1006"/>
    <s v="1006111"/>
    <d v="2023-09-22T06:10:11"/>
    <s v="type40"/>
    <n v="1230.78"/>
    <x v="0"/>
    <d v="2023-09-23T06:10:11"/>
    <x v="1"/>
    <d v="2023-10-03T00:00:00"/>
    <n v="10.742928240739275"/>
    <x v="0"/>
    <x v="3"/>
    <n v="9.7429282407392748"/>
    <x v="3"/>
  </r>
  <r>
    <n v="1011"/>
    <s v="1011111"/>
    <d v="2023-09-20T06:10:11"/>
    <s v="type7"/>
    <n v="-1312.6"/>
    <x v="0"/>
    <d v="2023-09-21T06:10:11"/>
    <x v="1"/>
    <d v="2023-10-03T00:00:00"/>
    <n v="12.742928240739275"/>
    <x v="0"/>
    <x v="1"/>
    <n v="11.742928240739275"/>
    <x v="1"/>
  </r>
  <r>
    <n v="1021"/>
    <s v="1021111"/>
    <d v="2023-09-23T06:10:11"/>
    <s v="type40"/>
    <n v="-385.75"/>
    <x v="3"/>
    <d v="2023-09-24T06:10:11"/>
    <x v="0"/>
    <d v="2023-10-03T00:00:00"/>
    <n v="9.7429282407392748"/>
    <x v="0"/>
    <x v="5"/>
    <n v="8.7429282407392748"/>
    <x v="5"/>
  </r>
  <r>
    <n v="1034"/>
    <s v="1034111"/>
    <d v="2023-09-25T06:10:11"/>
    <s v="type52"/>
    <n v="443.31"/>
    <x v="0"/>
    <d v="2023-09-26T06:10:11"/>
    <x v="4"/>
    <d v="2023-10-03T00:00:00"/>
    <n v="7.7429282407392748"/>
    <x v="1"/>
    <x v="7"/>
    <n v="6.7429282407392748"/>
    <x v="7"/>
  </r>
  <r>
    <n v="1002"/>
    <s v="1002111"/>
    <d v="2023-09-16T06:10:11"/>
    <s v="type40"/>
    <n v="-417.38"/>
    <x v="0"/>
    <d v="2023-09-17T06:10:11"/>
    <x v="3"/>
    <d v="2023-10-03T00:00:00"/>
    <n v="16.742928240739275"/>
    <x v="0"/>
    <x v="4"/>
    <n v="15.742928240739275"/>
    <x v="4"/>
  </r>
  <r>
    <n v="1002"/>
    <s v="1002111"/>
    <d v="2023-09-16T06:10:11"/>
    <s v="type40"/>
    <n v="12.46"/>
    <x v="0"/>
    <d v="2023-09-17T06:10:11"/>
    <x v="3"/>
    <d v="2023-10-03T00:00:00"/>
    <n v="16.742928240739275"/>
    <x v="0"/>
    <x v="4"/>
    <n v="15.742928240739275"/>
    <x v="4"/>
  </r>
  <r>
    <n v="1014"/>
    <s v="1014111"/>
    <d v="2023-09-11T06:10:11"/>
    <s v="type13"/>
    <n v="61832.56"/>
    <x v="0"/>
    <d v="2023-09-12T06:10:11"/>
    <x v="2"/>
    <d v="2023-10-03T00:00:00"/>
    <n v="21.742928240739275"/>
    <x v="0"/>
    <x v="18"/>
    <n v="20.742928240739275"/>
    <x v="18"/>
  </r>
  <r>
    <n v="1024"/>
    <s v="1024111"/>
    <d v="2023-09-18T06:10:11"/>
    <s v="type40"/>
    <n v="-2824.84"/>
    <x v="2"/>
    <d v="2023-09-19T06:10:11"/>
    <x v="5"/>
    <d v="2023-10-03T00:00:00"/>
    <n v="14.742928240739275"/>
    <x v="0"/>
    <x v="19"/>
    <n v="13.742928240739275"/>
    <x v="19"/>
  </r>
  <r>
    <n v="1005"/>
    <s v="1005111"/>
    <d v="2023-09-12T06:10:11"/>
    <s v="type40"/>
    <n v="-387.43"/>
    <x v="0"/>
    <d v="2023-09-14T06:10:11"/>
    <x v="3"/>
    <d v="2023-10-03T00:00:00"/>
    <n v="20.742928240739275"/>
    <x v="0"/>
    <x v="20"/>
    <n v="18.742928240739275"/>
    <x v="20"/>
  </r>
  <r>
    <n v="1019"/>
    <s v="1019111"/>
    <d v="2023-09-20T06:10:11"/>
    <s v="type40"/>
    <n v="-884.25"/>
    <x v="3"/>
    <d v="2023-09-21T06:10:11"/>
    <x v="0"/>
    <d v="2023-10-03T00:00:00"/>
    <n v="12.742928240739275"/>
    <x v="0"/>
    <x v="1"/>
    <n v="11.742928240739275"/>
    <x v="1"/>
  </r>
  <r>
    <n v="1026"/>
    <s v="1026111"/>
    <d v="2023-09-21T06:10:11"/>
    <s v="type40"/>
    <n v="-323.92"/>
    <x v="2"/>
    <d v="2023-09-22T06:10:11"/>
    <x v="5"/>
    <d v="2023-10-03T00:00:00"/>
    <n v="11.742928240739275"/>
    <x v="0"/>
    <x v="10"/>
    <n v="10.742928240739275"/>
    <x v="10"/>
  </r>
  <r>
    <n v="1007"/>
    <s v="1007111"/>
    <d v="2023-09-22T06:10:11"/>
    <s v="type40"/>
    <n v="-739.56"/>
    <x v="0"/>
    <d v="2023-09-24T06:10:11"/>
    <x v="1"/>
    <d v="2023-10-03T00:00:00"/>
    <n v="10.742928240739275"/>
    <x v="0"/>
    <x v="5"/>
    <n v="8.7429282407392748"/>
    <x v="5"/>
  </r>
  <r>
    <n v="1034"/>
    <s v="1034111"/>
    <d v="2023-09-27T06:10:11"/>
    <s v="type40"/>
    <n v="-5614.57"/>
    <x v="0"/>
    <d v="2023-09-28T06:10:11"/>
    <x v="4"/>
    <d v="2023-10-03T00:00:00"/>
    <n v="5.7429282407392748"/>
    <x v="2"/>
    <x v="8"/>
    <n v="4.7429282407392748"/>
    <x v="8"/>
  </r>
  <r>
    <n v="1008"/>
    <s v="1008111"/>
    <d v="2023-09-26T06:10:11"/>
    <s v="type13"/>
    <n v="25357.89"/>
    <x v="0"/>
    <d v="2023-09-27T06:10:11"/>
    <x v="1"/>
    <d v="2023-10-03T00:00:00"/>
    <n v="6.7429282407392748"/>
    <x v="1"/>
    <x v="12"/>
    <n v="5.7429282407392748"/>
    <x v="12"/>
  </r>
  <r>
    <n v="1003"/>
    <s v="1003111"/>
    <d v="2023-09-17T06:10:11"/>
    <s v="type40"/>
    <n v="89.26"/>
    <x v="0"/>
    <d v="2023-09-18T06:10:11"/>
    <x v="3"/>
    <d v="2023-10-03T00:00:00"/>
    <n v="15.742928240739275"/>
    <x v="0"/>
    <x v="6"/>
    <n v="14.742928240739275"/>
    <x v="6"/>
  </r>
  <r>
    <n v="1005"/>
    <s v="1005111"/>
    <d v="2023-09-18T06:10:11"/>
    <s v="type13"/>
    <n v="25704.799999999999"/>
    <x v="0"/>
    <d v="2023-09-20T06:10:11"/>
    <x v="3"/>
    <d v="2023-10-03T00:00:00"/>
    <n v="14.742928240739275"/>
    <x v="0"/>
    <x v="9"/>
    <n v="12.742928240739275"/>
    <x v="9"/>
  </r>
  <r>
    <n v="1004"/>
    <s v="1004111"/>
    <d v="2023-09-19T06:10:11"/>
    <s v="type40"/>
    <n v="3083"/>
    <x v="0"/>
    <d v="2023-09-21T06:10:11"/>
    <x v="3"/>
    <d v="2023-10-03T00:00:00"/>
    <n v="13.742928240739275"/>
    <x v="0"/>
    <x v="1"/>
    <n v="11.742928240739275"/>
    <x v="1"/>
  </r>
  <r>
    <n v="1018"/>
    <s v="1018111"/>
    <d v="2023-09-18T06:10:11"/>
    <s v="type7"/>
    <n v="-12786.77"/>
    <x v="3"/>
    <d v="2023-09-20T06:10:11"/>
    <x v="0"/>
    <d v="2023-10-03T00:00:00"/>
    <n v="14.742928240739275"/>
    <x v="0"/>
    <x v="9"/>
    <n v="12.742928240739275"/>
    <x v="9"/>
  </r>
  <r>
    <n v="1003"/>
    <s v="1003111"/>
    <d v="2023-09-14T06:10:11"/>
    <s v="type40"/>
    <n v="397.11"/>
    <x v="0"/>
    <d v="2023-09-16T06:10:11"/>
    <x v="3"/>
    <d v="2023-10-03T00:00:00"/>
    <n v="18.742928240739275"/>
    <x v="0"/>
    <x v="2"/>
    <n v="16.742928240739275"/>
    <x v="2"/>
  </r>
  <r>
    <n v="1032"/>
    <s v="1032111"/>
    <d v="2023-09-20T06:10:11"/>
    <s v="type40"/>
    <n v="-1008.82"/>
    <x v="0"/>
    <d v="2023-09-22T06:10:11"/>
    <x v="4"/>
    <d v="2023-10-03T00:00:00"/>
    <n v="12.742928240739275"/>
    <x v="0"/>
    <x v="10"/>
    <n v="10.742928240739275"/>
    <x v="10"/>
  </r>
  <r>
    <n v="1031"/>
    <s v="1031111"/>
    <d v="2023-09-13T06:10:11"/>
    <s v="type13"/>
    <n v="17847.16"/>
    <x v="0"/>
    <d v="2023-09-15T06:10:11"/>
    <x v="4"/>
    <d v="2023-10-03T00:00:00"/>
    <n v="19.742928240739275"/>
    <x v="0"/>
    <x v="0"/>
    <n v="17.742928240739275"/>
    <x v="0"/>
  </r>
  <r>
    <n v="1033"/>
    <s v="1033111"/>
    <d v="2023-09-21T06:10:11"/>
    <s v="type40"/>
    <n v="2453.04"/>
    <x v="0"/>
    <d v="2023-09-23T06:10:11"/>
    <x v="4"/>
    <d v="2023-10-03T00:00:00"/>
    <n v="11.742928240739275"/>
    <x v="0"/>
    <x v="3"/>
    <n v="9.7429282407392748"/>
    <x v="3"/>
  </r>
  <r>
    <n v="1005"/>
    <s v="1005111"/>
    <d v="2023-09-28T06:10:11"/>
    <s v="type40"/>
    <n v="-328.26"/>
    <x v="0"/>
    <d v="2023-09-30T06:10:11"/>
    <x v="3"/>
    <d v="2023-10-03T00:00:00"/>
    <n v="4.7429282407392748"/>
    <x v="2"/>
    <x v="14"/>
    <n v="2.7429282407392748"/>
    <x v="14"/>
  </r>
  <r>
    <n v="1009"/>
    <s v="1009111"/>
    <d v="2023-09-13T06:10:11"/>
    <s v="type40"/>
    <n v="762.98"/>
    <x v="0"/>
    <d v="2023-09-15T06:10:11"/>
    <x v="1"/>
    <d v="2023-10-03T00:00:00"/>
    <n v="19.742928240739275"/>
    <x v="0"/>
    <x v="0"/>
    <n v="17.742928240739275"/>
    <x v="0"/>
  </r>
  <r>
    <n v="1016"/>
    <s v="1016111"/>
    <d v="2023-09-16T06:10:11"/>
    <s v="type40"/>
    <n v="-1998.83"/>
    <x v="0"/>
    <d v="2023-09-21T06:10:11"/>
    <x v="2"/>
    <d v="2023-10-03T00:00:00"/>
    <n v="16.742928240739275"/>
    <x v="0"/>
    <x v="1"/>
    <n v="11.742928240739275"/>
    <x v="1"/>
  </r>
  <r>
    <n v="1007"/>
    <s v="1007111"/>
    <d v="2023-09-18T06:10:11"/>
    <s v="type42"/>
    <n v="612.14"/>
    <x v="0"/>
    <d v="2023-09-23T06:10:11"/>
    <x v="1"/>
    <d v="2023-10-03T00:00:00"/>
    <n v="14.742928240739275"/>
    <x v="0"/>
    <x v="3"/>
    <n v="9.7429282407392748"/>
    <x v="3"/>
  </r>
  <r>
    <n v="1026"/>
    <s v="1026111"/>
    <d v="2023-09-13T06:10:11"/>
    <s v="type13"/>
    <n v="52305.93"/>
    <x v="2"/>
    <d v="2023-09-15T06:10:11"/>
    <x v="5"/>
    <d v="2023-10-03T00:00:00"/>
    <n v="19.742928240739275"/>
    <x v="0"/>
    <x v="0"/>
    <n v="17.742928240739275"/>
    <x v="0"/>
  </r>
  <r>
    <n v="1026"/>
    <s v="1026111"/>
    <d v="2023-09-14T06:10:11"/>
    <s v="type40"/>
    <n v="-498.58"/>
    <x v="2"/>
    <d v="2023-09-16T06:10:11"/>
    <x v="5"/>
    <d v="2023-10-03T00:00:00"/>
    <n v="18.742928240739275"/>
    <x v="0"/>
    <x v="2"/>
    <n v="16.742928240739275"/>
    <x v="2"/>
  </r>
  <r>
    <n v="1010"/>
    <s v="1010111"/>
    <d v="2023-09-20T06:10:11"/>
    <s v="type40"/>
    <n v="1437.81"/>
    <x v="0"/>
    <d v="2023-09-27T06:10:11"/>
    <x v="1"/>
    <d v="2023-10-03T00:00:00"/>
    <n v="12.742928240739275"/>
    <x v="0"/>
    <x v="12"/>
    <n v="5.7429282407392748"/>
    <x v="12"/>
  </r>
  <r>
    <n v="1008"/>
    <s v="1008111"/>
    <d v="2023-09-16T06:10:11"/>
    <s v="type40"/>
    <n v="2000.36"/>
    <x v="0"/>
    <d v="2023-09-23T06:10:11"/>
    <x v="1"/>
    <d v="2023-10-03T00:00:00"/>
    <n v="16.742928240739275"/>
    <x v="0"/>
    <x v="3"/>
    <n v="9.7429282407392748"/>
    <x v="3"/>
  </r>
  <r>
    <n v="1011"/>
    <s v="1011111"/>
    <d v="2023-09-17T06:10:11"/>
    <s v="type40"/>
    <n v="-4497.2299999999996"/>
    <x v="0"/>
    <d v="2023-09-24T06:10:11"/>
    <x v="1"/>
    <d v="2023-10-03T00:00:00"/>
    <n v="15.742928240739275"/>
    <x v="0"/>
    <x v="5"/>
    <n v="8.7429282407392748"/>
    <x v="5"/>
  </r>
  <r>
    <n v="1009"/>
    <s v="1009111"/>
    <d v="2023-09-10T06:10:11"/>
    <s v="type7"/>
    <n v="-1179.33"/>
    <x v="0"/>
    <d v="2023-09-11T06:10:11"/>
    <x v="1"/>
    <d v="2023-10-03T00:00:00"/>
    <n v="22.742928240739275"/>
    <x v="0"/>
    <x v="21"/>
    <n v="21.742928240739275"/>
    <x v="21"/>
  </r>
  <r>
    <n v="1035"/>
    <s v="1035111"/>
    <d v="2023-09-12T06:10:11"/>
    <s v="type40"/>
    <n v="442.61"/>
    <x v="0"/>
    <d v="2023-09-14T06:10:11"/>
    <x v="4"/>
    <d v="2023-10-03T00:00:00"/>
    <n v="20.742928240739275"/>
    <x v="0"/>
    <x v="20"/>
    <n v="18.742928240739275"/>
    <x v="20"/>
  </r>
  <r>
    <n v="1031"/>
    <s v="1031111"/>
    <d v="2023-09-13T06:10:11"/>
    <s v="type13"/>
    <n v="41456.17"/>
    <x v="0"/>
    <d v="2023-09-15T06:10:11"/>
    <x v="4"/>
    <d v="2023-10-03T00:00:00"/>
    <n v="19.742928240739275"/>
    <x v="0"/>
    <x v="0"/>
    <n v="17.742928240739275"/>
    <x v="0"/>
  </r>
  <r>
    <n v="1029"/>
    <s v="1029111"/>
    <d v="2023-09-20T06:10:11"/>
    <s v="type40"/>
    <n v="488.42"/>
    <x v="2"/>
    <d v="2023-09-25T06:10:11"/>
    <x v="5"/>
    <d v="2023-10-03T00:00:00"/>
    <n v="12.742928240739275"/>
    <x v="0"/>
    <x v="11"/>
    <n v="7.7429282407392748"/>
    <x v="11"/>
  </r>
  <r>
    <n v="1025"/>
    <s v="1025111"/>
    <d v="2023-09-23T06:10:11"/>
    <s v="type40"/>
    <n v="-402.71"/>
    <x v="2"/>
    <d v="2023-09-30T06:10:11"/>
    <x v="5"/>
    <d v="2023-10-03T00:00:00"/>
    <n v="9.7429282407392748"/>
    <x v="0"/>
    <x v="14"/>
    <n v="2.7429282407392748"/>
    <x v="14"/>
  </r>
  <r>
    <n v="1001"/>
    <s v="1001111"/>
    <d v="2023-09-19T06:10:11"/>
    <s v="type13"/>
    <n v="50362.86"/>
    <x v="0"/>
    <d v="2023-09-24T06:10:11"/>
    <x v="3"/>
    <d v="2023-10-03T00:00:00"/>
    <n v="13.742928240739275"/>
    <x v="0"/>
    <x v="5"/>
    <n v="8.7429282407392748"/>
    <x v="5"/>
  </r>
  <r>
    <n v="1002"/>
    <s v="1002111"/>
    <d v="2023-09-10T06:10:11"/>
    <s v="type7"/>
    <n v="-8906.6"/>
    <x v="0"/>
    <d v="2023-09-15T06:10:11"/>
    <x v="3"/>
    <d v="2023-10-03T00:00:00"/>
    <n v="22.742928240739275"/>
    <x v="0"/>
    <x v="0"/>
    <n v="17.742928240739275"/>
    <x v="0"/>
  </r>
  <r>
    <n v="1017"/>
    <s v="1017111"/>
    <d v="2023-09-16T06:10:11"/>
    <s v="type40"/>
    <n v="-662.93"/>
    <x v="0"/>
    <d v="2023-09-21T06:10:11"/>
    <x v="2"/>
    <d v="2023-10-03T00:00:00"/>
    <n v="16.742928240739275"/>
    <x v="0"/>
    <x v="1"/>
    <n v="11.742928240739275"/>
    <x v="1"/>
  </r>
  <r>
    <n v="1015"/>
    <s v="1015111"/>
    <d v="2023-09-17T06:10:11"/>
    <s v="type40"/>
    <n v="1633.77"/>
    <x v="0"/>
    <d v="2023-09-22T06:10:11"/>
    <x v="2"/>
    <d v="2023-10-03T00:00:00"/>
    <n v="15.742928240739275"/>
    <x v="0"/>
    <x v="10"/>
    <n v="10.742928240739275"/>
    <x v="10"/>
  </r>
  <r>
    <n v="1012"/>
    <s v="1012111"/>
    <d v="2023-09-21T06:10:11"/>
    <s v="type40"/>
    <n v="-443.8"/>
    <x v="0"/>
    <d v="2023-09-28T06:10:11"/>
    <x v="2"/>
    <d v="2023-10-03T00:00:00"/>
    <n v="11.742928240739275"/>
    <x v="0"/>
    <x v="8"/>
    <n v="4.7429282407392748"/>
    <x v="8"/>
  </r>
  <r>
    <n v="1014"/>
    <s v="1014111"/>
    <d v="2023-09-20T06:10:11"/>
    <s v="type13"/>
    <n v="14943.72"/>
    <x v="0"/>
    <d v="2023-09-27T06:10:11"/>
    <x v="2"/>
    <d v="2023-10-03T00:00:00"/>
    <n v="12.742928240739275"/>
    <x v="0"/>
    <x v="12"/>
    <n v="5.7429282407392748"/>
    <x v="12"/>
  </r>
  <r>
    <n v="1011"/>
    <s v="1011111"/>
    <d v="2023-09-13T06:10:11"/>
    <s v="type7"/>
    <n v="-1286.67"/>
    <x v="0"/>
    <d v="2023-09-14T06:10:11"/>
    <x v="1"/>
    <d v="2023-10-03T00:00:00"/>
    <n v="19.742928240739275"/>
    <x v="0"/>
    <x v="20"/>
    <n v="18.742928240739275"/>
    <x v="20"/>
  </r>
  <r>
    <n v="1012"/>
    <s v="1012111"/>
    <d v="2023-09-14T06:10:11"/>
    <s v="type13"/>
    <n v="48404.7"/>
    <x v="0"/>
    <d v="2023-09-19T06:10:11"/>
    <x v="2"/>
    <d v="2023-10-03T00:00:00"/>
    <n v="18.742928240739275"/>
    <x v="0"/>
    <x v="19"/>
    <n v="13.742928240739275"/>
    <x v="19"/>
  </r>
  <r>
    <n v="1003"/>
    <s v="1003111"/>
    <d v="2023-09-15T06:10:11"/>
    <s v="type40"/>
    <n v="-398.21"/>
    <x v="0"/>
    <d v="2023-09-16T06:10:11"/>
    <x v="3"/>
    <d v="2023-10-03T00:00:00"/>
    <n v="17.742928240739275"/>
    <x v="0"/>
    <x v="2"/>
    <n v="16.742928240739275"/>
    <x v="2"/>
  </r>
  <r>
    <n v="1029"/>
    <s v="1029111"/>
    <d v="2023-09-20T06:10:11"/>
    <s v="type40"/>
    <n v="-884.63"/>
    <x v="2"/>
    <d v="2023-09-21T06:10:11"/>
    <x v="5"/>
    <d v="2023-10-03T00:00:00"/>
    <n v="12.742928240739275"/>
    <x v="0"/>
    <x v="1"/>
    <n v="11.742928240739275"/>
    <x v="1"/>
  </r>
  <r>
    <n v="1009"/>
    <s v="1009111"/>
    <d v="2023-09-21T06:10:11"/>
    <s v="type35"/>
    <n v="6499.79"/>
    <x v="0"/>
    <d v="2023-09-22T06:10:11"/>
    <x v="1"/>
    <d v="2023-10-03T00:00:00"/>
    <n v="11.742928240739275"/>
    <x v="0"/>
    <x v="10"/>
    <n v="10.742928240739275"/>
    <x v="10"/>
  </r>
  <r>
    <n v="1015"/>
    <s v="1015111"/>
    <d v="2023-09-10T06:10:11"/>
    <s v="type40"/>
    <n v="2616.2800000000002"/>
    <x v="0"/>
    <d v="2023-09-17T06:10:11"/>
    <x v="2"/>
    <d v="2023-10-03T00:00:00"/>
    <n v="22.742928240739275"/>
    <x v="0"/>
    <x v="4"/>
    <n v="15.742928240739275"/>
    <x v="4"/>
  </r>
  <r>
    <n v="1030"/>
    <s v="1030111"/>
    <d v="2023-09-21T06:10:11"/>
    <s v="type40"/>
    <n v="440.97"/>
    <x v="0"/>
    <d v="2023-09-28T06:10:11"/>
    <x v="4"/>
    <d v="2023-10-03T00:00:00"/>
    <n v="11.742928240739275"/>
    <x v="0"/>
    <x v="8"/>
    <n v="4.7429282407392748"/>
    <x v="8"/>
  </r>
  <r>
    <n v="1018"/>
    <s v="1018111"/>
    <d v="2023-09-22T06:10:11"/>
    <s v="type40"/>
    <n v="-614.65"/>
    <x v="3"/>
    <d v="2023-09-29T06:10:11"/>
    <x v="0"/>
    <d v="2023-10-03T00:00:00"/>
    <n v="10.742928240739275"/>
    <x v="0"/>
    <x v="13"/>
    <n v="3.7429282407392748"/>
    <x v="13"/>
  </r>
  <r>
    <n v="1024"/>
    <s v="1024111"/>
    <d v="2023-09-16T06:10:11"/>
    <s v="type32"/>
    <n v="929733.84"/>
    <x v="2"/>
    <d v="2023-09-17T06:10:11"/>
    <x v="5"/>
    <d v="2023-10-03T00:00:00"/>
    <n v="16.742928240739275"/>
    <x v="0"/>
    <x v="4"/>
    <n v="15.742928240739275"/>
    <x v="4"/>
  </r>
  <r>
    <n v="1019"/>
    <s v="1019111"/>
    <d v="2023-09-24T06:10:11"/>
    <s v="type40"/>
    <n v="-352.71"/>
    <x v="3"/>
    <d v="2023-10-01T06:10:11"/>
    <x v="0"/>
    <d v="2023-10-03T00:00:00"/>
    <n v="8.7429282407392748"/>
    <x v="1"/>
    <x v="22"/>
    <n v="1.7429282407392748"/>
    <x v="22"/>
  </r>
  <r>
    <n v="1021"/>
    <s v="1021111"/>
    <d v="2023-09-28T06:10:11"/>
    <s v="type40"/>
    <n v="1418.82"/>
    <x v="0"/>
    <d v="2023-10-05T06:10:11"/>
    <x v="0"/>
    <d v="2023-10-03T00:00:00"/>
    <n v="4.7429282407392748"/>
    <x v="2"/>
    <x v="17"/>
    <n v="-2.2570717592607252"/>
    <x v="17"/>
  </r>
  <r>
    <n v="1014"/>
    <s v="1014111"/>
    <d v="2023-09-14T06:10:11"/>
    <s v="type40"/>
    <n v="741.35"/>
    <x v="0"/>
    <d v="2023-09-15T06:10:11"/>
    <x v="2"/>
    <d v="2023-10-03T00:00:00"/>
    <n v="18.742928240739275"/>
    <x v="0"/>
    <x v="0"/>
    <n v="17.742928240739275"/>
    <x v="0"/>
  </r>
  <r>
    <n v="1030"/>
    <s v="1030111"/>
    <d v="2023-09-27T06:10:11"/>
    <s v="type27"/>
    <n v="1403522.45"/>
    <x v="0"/>
    <d v="2023-10-04T06:10:11"/>
    <x v="4"/>
    <d v="2023-10-03T00:00:00"/>
    <n v="5.7429282407392748"/>
    <x v="2"/>
    <x v="23"/>
    <n v="-1.2570717592607252"/>
    <x v="23"/>
  </r>
  <r>
    <n v="1033"/>
    <s v="1033111"/>
    <d v="2023-09-28T06:10:11"/>
    <s v="type32"/>
    <n v="1533197.1"/>
    <x v="0"/>
    <d v="2023-10-05T06:10:11"/>
    <x v="4"/>
    <d v="2023-10-03T00:00:00"/>
    <n v="4.7429282407392748"/>
    <x v="2"/>
    <x v="17"/>
    <n v="-2.2570717592607252"/>
    <x v="17"/>
  </r>
  <r>
    <n v="1011"/>
    <s v="1011111"/>
    <d v="2023-09-15T06:10:11"/>
    <s v="type27"/>
    <n v="327425.24"/>
    <x v="0"/>
    <d v="2023-09-16T06:10:11"/>
    <x v="1"/>
    <d v="2023-10-03T00:00:00"/>
    <n v="17.742928240739275"/>
    <x v="0"/>
    <x v="2"/>
    <n v="16.742928240739275"/>
    <x v="2"/>
  </r>
  <r>
    <n v="1009"/>
    <s v="1009111"/>
    <d v="2023-09-17T06:10:11"/>
    <s v="type54"/>
    <n v="308.45"/>
    <x v="0"/>
    <d v="2023-09-19T06:10:11"/>
    <x v="1"/>
    <d v="2023-10-03T00:00:00"/>
    <n v="15.742928240739275"/>
    <x v="0"/>
    <x v="19"/>
    <n v="13.742928240739275"/>
    <x v="19"/>
  </r>
  <r>
    <n v="1022"/>
    <s v="1022111"/>
    <d v="2023-09-18T06:10:11"/>
    <s v="type13"/>
    <n v="13057.21"/>
    <x v="3"/>
    <d v="2023-09-25T06:10:11"/>
    <x v="0"/>
    <d v="2023-10-03T00:00:00"/>
    <n v="14.742928240739275"/>
    <x v="0"/>
    <x v="11"/>
    <n v="7.7429282407392748"/>
    <x v="11"/>
  </r>
  <r>
    <n v="1023"/>
    <s v="1023111"/>
    <d v="2023-09-18T06:10:11"/>
    <s v="type13"/>
    <n v="18696.79"/>
    <x v="3"/>
    <d v="2023-09-25T06:10:11"/>
    <x v="0"/>
    <d v="2023-10-03T00:00:00"/>
    <n v="14.742928240739275"/>
    <x v="0"/>
    <x v="11"/>
    <n v="7.7429282407392748"/>
    <x v="11"/>
  </r>
  <r>
    <n v="1033"/>
    <s v="1033111"/>
    <d v="2023-09-19T06:10:11"/>
    <s v="type13"/>
    <n v="16103.9"/>
    <x v="0"/>
    <d v="2023-09-26T06:10:11"/>
    <x v="4"/>
    <d v="2023-10-03T00:00:00"/>
    <n v="13.742928240739275"/>
    <x v="0"/>
    <x v="7"/>
    <n v="6.7429282407392748"/>
    <x v="7"/>
  </r>
  <r>
    <n v="1020"/>
    <s v="1020111"/>
    <d v="2023-09-20T06:10:11"/>
    <s v="type13"/>
    <n v="31071.33"/>
    <x v="3"/>
    <d v="2023-09-27T06:10:11"/>
    <x v="0"/>
    <d v="2023-10-03T00:00:00"/>
    <n v="12.742928240739275"/>
    <x v="0"/>
    <x v="12"/>
    <n v="5.7429282407392748"/>
    <x v="12"/>
  </r>
  <r>
    <n v="1017"/>
    <s v="1017111"/>
    <d v="2023-09-16T06:10:11"/>
    <s v="type13"/>
    <n v="43617.52"/>
    <x v="0"/>
    <d v="2023-09-18T06:10:11"/>
    <x v="2"/>
    <d v="2023-10-03T00:00:00"/>
    <n v="16.742928240739275"/>
    <x v="0"/>
    <x v="6"/>
    <n v="14.742928240739275"/>
    <x v="6"/>
  </r>
  <r>
    <n v="1013"/>
    <s v="1013111"/>
    <d v="2023-09-21T06:10:11"/>
    <s v="type13"/>
    <n v="58997.5"/>
    <x v="0"/>
    <d v="2023-09-26T06:10:11"/>
    <x v="2"/>
    <d v="2023-10-03T00:00:00"/>
    <n v="11.742928240739275"/>
    <x v="0"/>
    <x v="7"/>
    <n v="6.7429282407392748"/>
    <x v="7"/>
  </r>
  <r>
    <n v="1018"/>
    <s v="1018111"/>
    <d v="2023-09-11T06:10:11"/>
    <s v="type40"/>
    <n v="-1685.64"/>
    <x v="3"/>
    <d v="2023-09-12T06:10:11"/>
    <x v="0"/>
    <d v="2023-10-03T00:00:00"/>
    <n v="21.742928240739275"/>
    <x v="0"/>
    <x v="18"/>
    <n v="20.742928240739275"/>
    <x v="18"/>
  </r>
  <r>
    <n v="1023"/>
    <s v="1023111"/>
    <d v="2023-09-22T06:10:11"/>
    <s v="type40"/>
    <n v="-458.79"/>
    <x v="3"/>
    <d v="2023-09-23T06:10:11"/>
    <x v="0"/>
    <d v="2023-10-03T00:00:00"/>
    <n v="10.742928240739275"/>
    <x v="0"/>
    <x v="3"/>
    <n v="9.7429282407392748"/>
    <x v="3"/>
  </r>
  <r>
    <n v="1001"/>
    <s v="1001111"/>
    <d v="2023-09-15T06:10:11"/>
    <s v="type13"/>
    <n v="16663.349999999999"/>
    <x v="0"/>
    <d v="2023-09-17T06:10:11"/>
    <x v="3"/>
    <d v="2023-10-03T00:00:00"/>
    <n v="17.742928240739275"/>
    <x v="0"/>
    <x v="4"/>
    <n v="15.742928240739275"/>
    <x v="4"/>
  </r>
  <r>
    <n v="1031"/>
    <s v="1031111"/>
    <d v="2023-09-24T06:10:11"/>
    <s v="type13"/>
    <n v="54029.919999999998"/>
    <x v="0"/>
    <d v="2023-09-25T06:10:11"/>
    <x v="4"/>
    <d v="2023-10-03T00:00:00"/>
    <n v="8.7429282407392748"/>
    <x v="1"/>
    <x v="11"/>
    <n v="7.7429282407392748"/>
    <x v="11"/>
  </r>
  <r>
    <n v="1001"/>
    <s v="1001111"/>
    <d v="2023-09-18T06:10:11"/>
    <s v="type13"/>
    <n v="15844.42"/>
    <x v="0"/>
    <d v="2023-09-20T06:10:11"/>
    <x v="3"/>
    <d v="2023-10-03T00:00:00"/>
    <n v="14.742928240739275"/>
    <x v="0"/>
    <x v="9"/>
    <n v="12.742928240739275"/>
    <x v="9"/>
  </r>
  <r>
    <n v="1026"/>
    <s v="1026111"/>
    <d v="2023-09-11T06:10:11"/>
    <s v="type40"/>
    <n v="982.62"/>
    <x v="2"/>
    <d v="2023-09-13T06:10:11"/>
    <x v="5"/>
    <d v="2023-10-03T00:00:00"/>
    <n v="21.742928240739275"/>
    <x v="0"/>
    <x v="24"/>
    <n v="19.742928240739275"/>
    <x v="24"/>
  </r>
  <r>
    <n v="1007"/>
    <s v="1007111"/>
    <d v="2023-09-23T06:10:11"/>
    <s v="type13"/>
    <n v="28522.32"/>
    <x v="0"/>
    <d v="2023-09-25T06:10:11"/>
    <x v="1"/>
    <d v="2023-10-03T00:00:00"/>
    <n v="9.7429282407392748"/>
    <x v="0"/>
    <x v="11"/>
    <n v="7.7429282407392748"/>
    <x v="11"/>
  </r>
  <r>
    <n v="1003"/>
    <s v="1003111"/>
    <d v="2023-09-16T06:10:11"/>
    <s v="type40"/>
    <n v="-734.6"/>
    <x v="0"/>
    <d v="2023-09-18T06:10:11"/>
    <x v="3"/>
    <d v="2023-10-03T00:00:00"/>
    <n v="16.742928240739275"/>
    <x v="0"/>
    <x v="6"/>
    <n v="14.742928240739275"/>
    <x v="6"/>
  </r>
  <r>
    <n v="1011"/>
    <s v="1011111"/>
    <d v="2023-09-18T06:10:11"/>
    <s v="type40"/>
    <n v="13.14"/>
    <x v="0"/>
    <d v="2023-09-20T06:10:11"/>
    <x v="1"/>
    <d v="2023-10-03T00:00:00"/>
    <n v="14.742928240739275"/>
    <x v="0"/>
    <x v="9"/>
    <n v="12.742928240739275"/>
    <x v="9"/>
  </r>
  <r>
    <n v="1018"/>
    <s v="1018111"/>
    <d v="2023-09-21T06:10:11"/>
    <s v="type40"/>
    <n v="445.85"/>
    <x v="3"/>
    <d v="2023-09-22T06:10:11"/>
    <x v="0"/>
    <d v="2023-10-03T00:00:00"/>
    <n v="11.742928240739275"/>
    <x v="0"/>
    <x v="10"/>
    <n v="10.742928240739275"/>
    <x v="10"/>
  </r>
  <r>
    <n v="1033"/>
    <s v="1033111"/>
    <d v="2023-09-12T06:10:11"/>
    <s v="type40"/>
    <n v="459.64"/>
    <x v="0"/>
    <d v="2023-09-13T06:10:11"/>
    <x v="4"/>
    <d v="2023-10-03T00:00:00"/>
    <n v="20.742928240739275"/>
    <x v="0"/>
    <x v="24"/>
    <n v="19.742928240739275"/>
    <x v="24"/>
  </r>
  <r>
    <n v="1006"/>
    <s v="1006111"/>
    <d v="2023-09-20T06:10:11"/>
    <s v="type43"/>
    <n v="324.51"/>
    <x v="0"/>
    <d v="2023-09-22T06:10:11"/>
    <x v="1"/>
    <d v="2023-10-03T00:00:00"/>
    <n v="12.742928240739275"/>
    <x v="0"/>
    <x v="10"/>
    <n v="10.742928240739275"/>
    <x v="10"/>
  </r>
  <r>
    <n v="1034"/>
    <s v="1034111"/>
    <d v="2023-09-13T06:10:11"/>
    <s v="type40"/>
    <n v="-1878.19"/>
    <x v="0"/>
    <d v="2023-09-14T06:10:11"/>
    <x v="4"/>
    <d v="2023-10-03T00:00:00"/>
    <n v="19.742928240739275"/>
    <x v="0"/>
    <x v="20"/>
    <n v="18.742928240739275"/>
    <x v="20"/>
  </r>
  <r>
    <n v="1002"/>
    <s v="1002111"/>
    <d v="2023-09-21T06:10:11"/>
    <s v="type7"/>
    <n v="-14133.83"/>
    <x v="0"/>
    <d v="2023-09-22T06:10:11"/>
    <x v="3"/>
    <d v="2023-10-03T00:00:00"/>
    <n v="11.742928240739275"/>
    <x v="0"/>
    <x v="10"/>
    <n v="10.742928240739275"/>
    <x v="10"/>
  </r>
  <r>
    <n v="1012"/>
    <s v="1012111"/>
    <d v="2023-09-18T06:10:11"/>
    <s v="type32"/>
    <n v="1441.02"/>
    <x v="0"/>
    <d v="2023-09-23T06:10:11"/>
    <x v="2"/>
    <d v="2023-10-03T00:00:00"/>
    <n v="14.742928240739275"/>
    <x v="0"/>
    <x v="3"/>
    <n v="9.7429282407392748"/>
    <x v="3"/>
  </r>
  <r>
    <n v="1007"/>
    <s v="1007111"/>
    <d v="2023-09-22T06:10:11"/>
    <s v="type40"/>
    <n v="-358.15"/>
    <x v="0"/>
    <d v="2023-09-27T06:10:11"/>
    <x v="1"/>
    <d v="2023-10-03T00:00:00"/>
    <n v="10.742928240739275"/>
    <x v="0"/>
    <x v="12"/>
    <n v="5.7429282407392748"/>
    <x v="12"/>
  </r>
  <r>
    <n v="1009"/>
    <s v="1009111"/>
    <d v="2023-09-14T06:10:11"/>
    <s v="type40"/>
    <n v="66.27"/>
    <x v="0"/>
    <d v="2023-09-19T06:10:11"/>
    <x v="1"/>
    <d v="2023-10-03T00:00:00"/>
    <n v="18.742928240739275"/>
    <x v="0"/>
    <x v="19"/>
    <n v="13.742928240739275"/>
    <x v="19"/>
  </r>
  <r>
    <n v="1026"/>
    <s v="1026111"/>
    <d v="2023-09-16T06:10:11"/>
    <s v="type41"/>
    <n v="256.89"/>
    <x v="2"/>
    <d v="2023-09-18T06:10:11"/>
    <x v="5"/>
    <d v="2023-10-03T00:00:00"/>
    <n v="16.742928240739275"/>
    <x v="0"/>
    <x v="6"/>
    <n v="14.742928240739275"/>
    <x v="6"/>
  </r>
  <r>
    <n v="1012"/>
    <s v="1012111"/>
    <d v="2023-09-18T06:10:11"/>
    <s v="type18"/>
    <n v="312.27"/>
    <x v="0"/>
    <d v="2023-09-25T06:10:11"/>
    <x v="2"/>
    <d v="2023-10-03T00:00:00"/>
    <n v="14.742928240739275"/>
    <x v="0"/>
    <x v="11"/>
    <n v="7.7429282407392748"/>
    <x v="11"/>
  </r>
  <r>
    <n v="1008"/>
    <s v="1008111"/>
    <d v="2023-09-16T06:10:11"/>
    <s v="type40"/>
    <n v="679.97"/>
    <x v="0"/>
    <d v="2023-09-23T06:10:11"/>
    <x v="1"/>
    <d v="2023-10-03T00:00:00"/>
    <n v="16.742928240739275"/>
    <x v="0"/>
    <x v="3"/>
    <n v="9.7429282407392748"/>
    <x v="3"/>
  </r>
  <r>
    <n v="1003"/>
    <s v="1003111"/>
    <d v="2023-09-18T06:10:11"/>
    <s v="type7"/>
    <n v="-12494.63"/>
    <x v="0"/>
    <d v="2023-09-20T06:10:11"/>
    <x v="3"/>
    <d v="2023-10-03T00:00:00"/>
    <n v="14.742928240739275"/>
    <x v="0"/>
    <x v="9"/>
    <n v="12.742928240739275"/>
    <x v="9"/>
  </r>
  <r>
    <n v="1004"/>
    <s v="1004111"/>
    <d v="2023-09-19T06:10:11"/>
    <s v="type41"/>
    <n v="483.72"/>
    <x v="0"/>
    <d v="2023-09-21T06:10:11"/>
    <x v="3"/>
    <d v="2023-10-03T00:00:00"/>
    <n v="13.742928240739275"/>
    <x v="0"/>
    <x v="1"/>
    <n v="11.742928240739275"/>
    <x v="1"/>
  </r>
  <r>
    <n v="1021"/>
    <s v="1021111"/>
    <d v="2023-09-19T06:10:11"/>
    <s v="type13"/>
    <n v="15911.1"/>
    <x v="3"/>
    <d v="2023-09-21T06:10:11"/>
    <x v="0"/>
    <d v="2023-10-03T00:00:00"/>
    <n v="13.742928240739275"/>
    <x v="0"/>
    <x v="1"/>
    <n v="11.742928240739275"/>
    <x v="1"/>
  </r>
  <r>
    <n v="1009"/>
    <s v="1009111"/>
    <d v="2023-09-20T06:10:11"/>
    <s v="type40"/>
    <n v="3672.55"/>
    <x v="4"/>
    <d v="2023-09-27T06:10:11"/>
    <x v="1"/>
    <d v="2023-10-03T00:00:00"/>
    <n v="12.742928240739275"/>
    <x v="0"/>
    <x v="12"/>
    <n v="5.7429282407392748"/>
    <x v="12"/>
  </r>
  <r>
    <n v="1003"/>
    <s v="1003111"/>
    <d v="2023-09-17T06:10:11"/>
    <s v="type29"/>
    <n v="340.72"/>
    <x v="0"/>
    <d v="2023-09-24T06:10:11"/>
    <x v="3"/>
    <d v="2023-10-03T00:00:00"/>
    <n v="15.742928240739275"/>
    <x v="0"/>
    <x v="5"/>
    <n v="8.7429282407392748"/>
    <x v="5"/>
  </r>
  <r>
    <n v="1032"/>
    <s v="1032111"/>
    <d v="2023-09-14T06:10:11"/>
    <s v="type40"/>
    <n v="-718.18"/>
    <x v="0"/>
    <d v="2023-09-16T06:10:11"/>
    <x v="4"/>
    <d v="2023-10-03T00:00:00"/>
    <n v="18.742928240739275"/>
    <x v="0"/>
    <x v="2"/>
    <n v="16.742928240739275"/>
    <x v="2"/>
  </r>
  <r>
    <n v="1029"/>
    <s v="1029111"/>
    <d v="2023-09-17T06:10:11"/>
    <s v="type40"/>
    <n v="801.98"/>
    <x v="2"/>
    <d v="2023-09-19T06:10:11"/>
    <x v="5"/>
    <d v="2023-10-03T00:00:00"/>
    <n v="15.742928240739275"/>
    <x v="0"/>
    <x v="19"/>
    <n v="13.742928240739275"/>
    <x v="19"/>
  </r>
  <r>
    <n v="1023"/>
    <s v="1023111"/>
    <d v="2023-09-15T06:10:11"/>
    <s v="type13"/>
    <n v="59216.72"/>
    <x v="3"/>
    <d v="2023-09-17T06:10:11"/>
    <x v="0"/>
    <d v="2023-10-03T00:00:00"/>
    <n v="17.742928240739275"/>
    <x v="0"/>
    <x v="4"/>
    <n v="15.742928240739275"/>
    <x v="4"/>
  </r>
  <r>
    <n v="1035"/>
    <s v="1035111"/>
    <d v="2023-09-15T06:10:11"/>
    <s v="type13"/>
    <n v="54922.21"/>
    <x v="0"/>
    <d v="2023-09-17T06:10:11"/>
    <x v="4"/>
    <d v="2023-10-03T00:00:00"/>
    <n v="17.742928240739275"/>
    <x v="0"/>
    <x v="4"/>
    <n v="15.742928240739275"/>
    <x v="4"/>
  </r>
  <r>
    <n v="1010"/>
    <s v="1010111"/>
    <d v="2023-09-21T06:10:11"/>
    <s v="type40"/>
    <n v="483.52"/>
    <x v="4"/>
    <d v="2023-09-28T06:10:11"/>
    <x v="1"/>
    <d v="2023-10-03T00:00:00"/>
    <n v="11.742928240739275"/>
    <x v="0"/>
    <x v="8"/>
    <n v="4.7429282407392748"/>
    <x v="8"/>
  </r>
  <r>
    <n v="1026"/>
    <s v="1026111"/>
    <d v="2023-09-20T06:10:11"/>
    <s v="type40"/>
    <n v="655.68"/>
    <x v="2"/>
    <d v="2023-09-22T06:10:11"/>
    <x v="5"/>
    <d v="2023-10-03T00:00:00"/>
    <n v="12.742928240739275"/>
    <x v="0"/>
    <x v="10"/>
    <n v="10.742928240739275"/>
    <x v="10"/>
  </r>
  <r>
    <n v="1002"/>
    <s v="1002111"/>
    <d v="2023-09-23T06:10:11"/>
    <s v="type40"/>
    <n v="25"/>
    <x v="0"/>
    <d v="2023-09-30T06:10:11"/>
    <x v="3"/>
    <d v="2023-10-03T00:00:00"/>
    <n v="9.7429282407392748"/>
    <x v="0"/>
    <x v="14"/>
    <n v="2.7429282407392748"/>
    <x v="14"/>
  </r>
  <r>
    <n v="1024"/>
    <s v="1024111"/>
    <d v="2023-09-21T06:10:11"/>
    <s v="type40"/>
    <n v="-427.69"/>
    <x v="2"/>
    <d v="2023-09-23T06:10:11"/>
    <x v="5"/>
    <d v="2023-10-03T00:00:00"/>
    <n v="11.742928240739275"/>
    <x v="0"/>
    <x v="3"/>
    <n v="9.7429282407392748"/>
    <x v="3"/>
  </r>
  <r>
    <n v="1022"/>
    <s v="1022111"/>
    <d v="2023-09-18T06:10:11"/>
    <s v="type7"/>
    <n v="1286.67"/>
    <x v="3"/>
    <d v="2023-09-20T06:10:11"/>
    <x v="0"/>
    <d v="2023-10-03T00:00:00"/>
    <n v="14.742928240739275"/>
    <x v="0"/>
    <x v="9"/>
    <n v="12.742928240739275"/>
    <x v="9"/>
  </r>
  <r>
    <n v="1002"/>
    <s v="1002111"/>
    <d v="2023-09-13T06:10:11"/>
    <s v="type40"/>
    <n v="-2466.92"/>
    <x v="0"/>
    <d v="2023-09-14T06:10:11"/>
    <x v="3"/>
    <d v="2023-10-03T00:00:00"/>
    <n v="19.742928240739275"/>
    <x v="0"/>
    <x v="20"/>
    <n v="18.742928240739275"/>
    <x v="20"/>
  </r>
  <r>
    <n v="1005"/>
    <s v="1005111"/>
    <d v="2023-09-18T06:10:11"/>
    <s v="type32"/>
    <n v="5529.75"/>
    <x v="0"/>
    <d v="2023-09-19T06:10:11"/>
    <x v="3"/>
    <d v="2023-10-03T00:00:00"/>
    <n v="14.742928240739275"/>
    <x v="0"/>
    <x v="19"/>
    <n v="13.742928240739275"/>
    <x v="19"/>
  </r>
  <r>
    <n v="1009"/>
    <s v="1009111"/>
    <d v="2023-09-13T06:10:11"/>
    <s v="type40"/>
    <n v="-16102.23"/>
    <x v="4"/>
    <d v="2023-09-14T06:10:11"/>
    <x v="1"/>
    <d v="2023-10-03T00:00:00"/>
    <n v="19.742928240739275"/>
    <x v="0"/>
    <x v="20"/>
    <n v="18.742928240739275"/>
    <x v="20"/>
  </r>
  <r>
    <n v="1024"/>
    <s v="1024111"/>
    <d v="2023-09-22T06:10:11"/>
    <s v="type31"/>
    <n v="377.76"/>
    <x v="2"/>
    <d v="2023-09-29T06:10:11"/>
    <x v="5"/>
    <d v="2023-10-03T00:00:00"/>
    <n v="10.742928240739275"/>
    <x v="0"/>
    <x v="13"/>
    <n v="3.7429282407392748"/>
    <x v="13"/>
  </r>
  <r>
    <n v="1026"/>
    <s v="1026111"/>
    <d v="2023-09-22T06:10:11"/>
    <s v="type40"/>
    <n v="-2311.4699999999998"/>
    <x v="2"/>
    <d v="2023-09-23T06:10:11"/>
    <x v="5"/>
    <d v="2023-10-03T00:00:00"/>
    <n v="10.742928240739275"/>
    <x v="0"/>
    <x v="3"/>
    <n v="9.7429282407392748"/>
    <x v="3"/>
  </r>
  <r>
    <n v="1031"/>
    <s v="1031111"/>
    <d v="2023-09-25T06:10:11"/>
    <s v="type13"/>
    <n v="41097.29"/>
    <x v="0"/>
    <d v="2023-09-30T06:10:11"/>
    <x v="4"/>
    <d v="2023-10-03T00:00:00"/>
    <n v="7.7429282407392748"/>
    <x v="1"/>
    <x v="14"/>
    <n v="2.7429282407392748"/>
    <x v="14"/>
  </r>
  <r>
    <n v="1014"/>
    <s v="1014111"/>
    <d v="2023-09-20T06:10:11"/>
    <s v="type40"/>
    <n v="-835.65"/>
    <x v="0"/>
    <d v="2023-09-27T06:10:11"/>
    <x v="2"/>
    <d v="2023-10-03T00:00:00"/>
    <n v="12.742928240739275"/>
    <x v="0"/>
    <x v="12"/>
    <n v="5.7429282407392748"/>
    <x v="12"/>
  </r>
  <r>
    <n v="1006"/>
    <s v="1006111"/>
    <d v="2023-09-16T06:10:11"/>
    <s v="type40"/>
    <n v="-8216.0499999999993"/>
    <x v="4"/>
    <d v="2023-09-17T06:10:11"/>
    <x v="1"/>
    <d v="2023-10-03T00:00:00"/>
    <n v="16.742928240739275"/>
    <x v="0"/>
    <x v="4"/>
    <n v="15.742928240739275"/>
    <x v="4"/>
  </r>
  <r>
    <n v="1021"/>
    <s v="1021111"/>
    <d v="2023-09-23T06:10:11"/>
    <s v="type40"/>
    <n v="-9753.65"/>
    <x v="3"/>
    <d v="2023-09-28T06:10:11"/>
    <x v="0"/>
    <d v="2023-10-03T00:00:00"/>
    <n v="9.7429282407392748"/>
    <x v="0"/>
    <x v="8"/>
    <n v="4.7429282407392748"/>
    <x v="8"/>
  </r>
  <r>
    <n v="1005"/>
    <s v="1005111"/>
    <d v="2023-09-18T06:10:11"/>
    <s v="type40"/>
    <n v="2933.31"/>
    <x v="0"/>
    <d v="2023-09-19T06:10:11"/>
    <x v="3"/>
    <d v="2023-10-03T00:00:00"/>
    <n v="14.742928240739275"/>
    <x v="0"/>
    <x v="19"/>
    <n v="13.742928240739275"/>
    <x v="19"/>
  </r>
  <r>
    <n v="1009"/>
    <s v="1009111"/>
    <d v="2023-09-22T06:10:11"/>
    <s v="type40"/>
    <n v="16102.19"/>
    <x v="4"/>
    <d v="2023-09-24T06:10:11"/>
    <x v="1"/>
    <d v="2023-10-03T00:00:00"/>
    <n v="10.742928240739275"/>
    <x v="0"/>
    <x v="5"/>
    <n v="8.7429282407392748"/>
    <x v="5"/>
  </r>
  <r>
    <n v="1009"/>
    <s v="1009111"/>
    <d v="2023-09-14T06:10:11"/>
    <s v="type40"/>
    <n v="969.46"/>
    <x v="4"/>
    <d v="2023-09-16T06:10:11"/>
    <x v="1"/>
    <d v="2023-10-03T00:00:00"/>
    <n v="18.742928240739275"/>
    <x v="0"/>
    <x v="2"/>
    <n v="16.742928240739275"/>
    <x v="2"/>
  </r>
  <r>
    <n v="1016"/>
    <s v="1016111"/>
    <d v="2023-09-21T06:10:11"/>
    <s v="type35"/>
    <n v="1146.02"/>
    <x v="0"/>
    <d v="2023-09-28T06:10:11"/>
    <x v="2"/>
    <d v="2023-10-03T00:00:00"/>
    <n v="11.742928240739275"/>
    <x v="0"/>
    <x v="8"/>
    <n v="4.7429282407392748"/>
    <x v="8"/>
  </r>
  <r>
    <n v="1032"/>
    <s v="1032111"/>
    <d v="2023-09-15T06:10:11"/>
    <s v="type19"/>
    <n v="561.16999999999996"/>
    <x v="0"/>
    <d v="2023-09-20T06:10:11"/>
    <x v="4"/>
    <d v="2023-10-03T00:00:00"/>
    <n v="17.742928240739275"/>
    <x v="0"/>
    <x v="9"/>
    <n v="12.742928240739275"/>
    <x v="9"/>
  </r>
  <r>
    <n v="1019"/>
    <s v="1019111"/>
    <d v="2023-09-26T06:10:11"/>
    <s v="type17"/>
    <n v="432.36"/>
    <x v="3"/>
    <d v="2023-10-03T06:10:11"/>
    <x v="0"/>
    <d v="2023-10-03T00:00:00"/>
    <n v="6.7429282407392748"/>
    <x v="1"/>
    <x v="16"/>
    <n v="-0.25707175926072523"/>
    <x v="16"/>
  </r>
  <r>
    <n v="1006"/>
    <s v="1006111"/>
    <d v="2023-09-18T06:10:11"/>
    <s v="type25"/>
    <n v="219.77"/>
    <x v="4"/>
    <d v="2023-09-20T06:10:11"/>
    <x v="1"/>
    <d v="2023-10-03T00:00:00"/>
    <n v="14.742928240739275"/>
    <x v="0"/>
    <x v="9"/>
    <n v="12.742928240739275"/>
    <x v="9"/>
  </r>
  <r>
    <n v="1028"/>
    <s v="1028111"/>
    <d v="2023-09-23T06:10:11"/>
    <s v="type40"/>
    <n v="4775.09"/>
    <x v="2"/>
    <d v="2023-09-24T06:10:11"/>
    <x v="5"/>
    <d v="2023-10-03T00:00:00"/>
    <n v="9.7429282407392748"/>
    <x v="0"/>
    <x v="5"/>
    <n v="8.7429282407392748"/>
    <x v="5"/>
  </r>
  <r>
    <n v="1010"/>
    <s v="1010111"/>
    <d v="2023-09-19T06:10:11"/>
    <s v="type17"/>
    <n v="377.93"/>
    <x v="4"/>
    <d v="2023-09-21T06:10:11"/>
    <x v="1"/>
    <d v="2023-10-03T00:00:00"/>
    <n v="13.742928240739275"/>
    <x v="0"/>
    <x v="1"/>
    <n v="11.742928240739275"/>
    <x v="1"/>
  </r>
  <r>
    <n v="1005"/>
    <s v="1005111"/>
    <d v="2023-09-21T06:10:11"/>
    <s v="type40"/>
    <n v="1722.86"/>
    <x v="5"/>
    <d v="2023-09-22T06:10:11"/>
    <x v="3"/>
    <d v="2023-10-03T00:00:00"/>
    <n v="11.742928240739275"/>
    <x v="0"/>
    <x v="10"/>
    <n v="10.742928240739275"/>
    <x v="10"/>
  </r>
  <r>
    <n v="1031"/>
    <s v="1031111"/>
    <d v="2023-09-20T06:10:11"/>
    <s v="type40"/>
    <n v="-1365.27"/>
    <x v="0"/>
    <d v="2023-09-27T06:10:11"/>
    <x v="4"/>
    <d v="2023-10-03T00:00:00"/>
    <n v="12.742928240739275"/>
    <x v="0"/>
    <x v="12"/>
    <n v="5.7429282407392748"/>
    <x v="12"/>
  </r>
  <r>
    <n v="1017"/>
    <s v="1017111"/>
    <d v="2023-09-12T06:10:11"/>
    <s v="type40"/>
    <n v="-582.01"/>
    <x v="0"/>
    <d v="2023-09-13T06:10:11"/>
    <x v="2"/>
    <d v="2023-10-03T00:00:00"/>
    <n v="20.742928240739275"/>
    <x v="0"/>
    <x v="24"/>
    <n v="19.742928240739275"/>
    <x v="24"/>
  </r>
  <r>
    <n v="1033"/>
    <s v="1033111"/>
    <d v="2023-09-19T06:10:11"/>
    <s v="type40"/>
    <n v="-381.04"/>
    <x v="0"/>
    <d v="2023-09-26T06:10:11"/>
    <x v="4"/>
    <d v="2023-10-03T00:00:00"/>
    <n v="13.742928240739275"/>
    <x v="0"/>
    <x v="7"/>
    <n v="6.7429282407392748"/>
    <x v="7"/>
  </r>
  <r>
    <n v="1016"/>
    <s v="1016111"/>
    <d v="2023-09-17T06:10:11"/>
    <s v="type40"/>
    <n v="-1920.85"/>
    <x v="0"/>
    <d v="2023-09-18T06:10:11"/>
    <x v="2"/>
    <d v="2023-10-03T00:00:00"/>
    <n v="15.742928240739275"/>
    <x v="0"/>
    <x v="6"/>
    <n v="14.742928240739275"/>
    <x v="6"/>
  </r>
  <r>
    <n v="1011"/>
    <s v="1011111"/>
    <d v="2023-09-14T06:10:11"/>
    <s v="type7"/>
    <n v="-15395.73"/>
    <x v="4"/>
    <d v="2023-09-21T06:10:11"/>
    <x v="1"/>
    <d v="2023-10-03T00:00:00"/>
    <n v="18.742928240739275"/>
    <x v="0"/>
    <x v="1"/>
    <n v="11.742928240739275"/>
    <x v="1"/>
  </r>
  <r>
    <n v="1006"/>
    <s v="1006111"/>
    <d v="2023-09-22T06:10:11"/>
    <s v="type40"/>
    <n v="-301.52"/>
    <x v="4"/>
    <d v="2023-09-29T06:10:11"/>
    <x v="1"/>
    <d v="2023-10-03T00:00:00"/>
    <n v="10.742928240739275"/>
    <x v="0"/>
    <x v="13"/>
    <n v="3.7429282407392748"/>
    <x v="13"/>
  </r>
  <r>
    <n v="1016"/>
    <s v="1016111"/>
    <d v="2023-09-18T06:10:11"/>
    <s v="type40"/>
    <n v="7246.87"/>
    <x v="0"/>
    <d v="2023-09-20T06:10:11"/>
    <x v="2"/>
    <d v="2023-10-03T00:00:00"/>
    <n v="14.742928240739275"/>
    <x v="0"/>
    <x v="9"/>
    <n v="12.742928240739275"/>
    <x v="9"/>
  </r>
  <r>
    <n v="1027"/>
    <s v="1027111"/>
    <d v="2023-09-17T06:10:11"/>
    <s v="type40"/>
    <n v="-774.75"/>
    <x v="2"/>
    <d v="2023-09-19T06:10:11"/>
    <x v="5"/>
    <d v="2023-10-03T00:00:00"/>
    <n v="15.742928240739275"/>
    <x v="0"/>
    <x v="19"/>
    <n v="13.742928240739275"/>
    <x v="19"/>
  </r>
  <r>
    <n v="1014"/>
    <s v="1014111"/>
    <d v="2023-09-20T06:10:11"/>
    <s v="type40"/>
    <n v="-323.44"/>
    <x v="5"/>
    <d v="2023-09-22T06:10:11"/>
    <x v="2"/>
    <d v="2023-10-03T00:00:00"/>
    <n v="12.742928240739275"/>
    <x v="0"/>
    <x v="10"/>
    <n v="10.742928240739275"/>
    <x v="10"/>
  </r>
  <r>
    <n v="1005"/>
    <s v="1005111"/>
    <d v="2023-09-13T06:10:11"/>
    <s v="type40"/>
    <n v="-504.59"/>
    <x v="5"/>
    <d v="2023-09-18T06:10:11"/>
    <x v="3"/>
    <d v="2023-10-03T00:00:00"/>
    <n v="19.742928240739275"/>
    <x v="0"/>
    <x v="6"/>
    <n v="14.742928240739275"/>
    <x v="6"/>
  </r>
  <r>
    <n v="1004"/>
    <s v="1004111"/>
    <d v="2023-09-14T06:10:11"/>
    <s v="type42"/>
    <n v="250"/>
    <x v="5"/>
    <d v="2023-09-21T06:10:11"/>
    <x v="3"/>
    <d v="2023-10-03T00:00:00"/>
    <n v="18.742928240739275"/>
    <x v="0"/>
    <x v="1"/>
    <n v="11.742928240739275"/>
    <x v="1"/>
  </r>
  <r>
    <n v="1022"/>
    <s v="1022111"/>
    <d v="2023-09-26T06:10:11"/>
    <s v="type40"/>
    <n v="663.5"/>
    <x v="3"/>
    <d v="2023-10-03T06:10:11"/>
    <x v="0"/>
    <d v="2023-10-03T00:00:00"/>
    <n v="6.7429282407392748"/>
    <x v="1"/>
    <x v="16"/>
    <n v="-0.25707175926072523"/>
    <x v="16"/>
  </r>
  <r>
    <n v="1034"/>
    <s v="1034111"/>
    <d v="2023-09-20T06:10:11"/>
    <s v="type40"/>
    <n v="-310.37"/>
    <x v="0"/>
    <d v="2023-09-27T06:10:11"/>
    <x v="4"/>
    <d v="2023-10-03T00:00:00"/>
    <n v="12.742928240739275"/>
    <x v="0"/>
    <x v="12"/>
    <n v="5.7429282407392748"/>
    <x v="12"/>
  </r>
  <r>
    <n v="1007"/>
    <s v="1007111"/>
    <d v="2023-09-16T06:10:11"/>
    <s v="type40"/>
    <n v="565.17999999999995"/>
    <x v="4"/>
    <d v="2023-09-18T06:10:11"/>
    <x v="1"/>
    <d v="2023-10-03T00:00:00"/>
    <n v="16.742928240739275"/>
    <x v="0"/>
    <x v="6"/>
    <n v="14.742928240739275"/>
    <x v="6"/>
  </r>
  <r>
    <n v="1033"/>
    <s v="1033111"/>
    <d v="2023-09-10T06:10:11"/>
    <s v="type40"/>
    <n v="465.52"/>
    <x v="0"/>
    <d v="2023-09-11T06:10:11"/>
    <x v="4"/>
    <d v="2023-10-03T00:00:00"/>
    <n v="22.742928240739275"/>
    <x v="0"/>
    <x v="21"/>
    <n v="21.742928240739275"/>
    <x v="21"/>
  </r>
  <r>
    <n v="1030"/>
    <s v="1030111"/>
    <d v="2023-09-24T06:10:11"/>
    <s v="type40"/>
    <n v="-656.65"/>
    <x v="0"/>
    <d v="2023-09-25T06:10:11"/>
    <x v="4"/>
    <d v="2023-10-03T00:00:00"/>
    <n v="8.7429282407392748"/>
    <x v="1"/>
    <x v="11"/>
    <n v="7.7429282407392748"/>
    <x v="11"/>
  </r>
  <r>
    <n v="1016"/>
    <s v="1016111"/>
    <d v="2023-09-14T06:10:11"/>
    <s v="type40"/>
    <n v="-1302.3"/>
    <x v="0"/>
    <d v="2023-09-21T06:10:11"/>
    <x v="2"/>
    <d v="2023-10-03T00:00:00"/>
    <n v="18.742928240739275"/>
    <x v="0"/>
    <x v="1"/>
    <n v="11.742928240739275"/>
    <x v="1"/>
  </r>
  <r>
    <n v="1008"/>
    <s v="1008111"/>
    <d v="2023-09-18T06:10:11"/>
    <s v="type26"/>
    <n v="130.77000000000001"/>
    <x v="4"/>
    <d v="2023-09-20T06:10:11"/>
    <x v="1"/>
    <d v="2023-10-03T00:00:00"/>
    <n v="14.742928240739275"/>
    <x v="0"/>
    <x v="9"/>
    <n v="12.742928240739275"/>
    <x v="9"/>
  </r>
  <r>
    <n v="1007"/>
    <s v="1007111"/>
    <d v="2023-09-13T06:10:11"/>
    <s v="type27"/>
    <n v="797.74"/>
    <x v="5"/>
    <d v="2023-09-20T06:10:11"/>
    <x v="1"/>
    <d v="2023-10-03T00:00:00"/>
    <n v="19.742928240739275"/>
    <x v="0"/>
    <x v="9"/>
    <n v="12.742928240739275"/>
    <x v="9"/>
  </r>
  <r>
    <n v="1029"/>
    <s v="1029111"/>
    <d v="2023-09-20T06:10:11"/>
    <s v="type40"/>
    <n v="30.47"/>
    <x v="2"/>
    <d v="2023-09-22T06:10:11"/>
    <x v="5"/>
    <d v="2023-10-03T00:00:00"/>
    <n v="12.742928240739275"/>
    <x v="0"/>
    <x v="10"/>
    <n v="10.742928240739275"/>
    <x v="10"/>
  </r>
  <r>
    <n v="1022"/>
    <s v="1022111"/>
    <d v="2023-09-21T06:10:11"/>
    <s v="type18"/>
    <n v="494.34"/>
    <x v="3"/>
    <d v="2023-09-22T06:10:11"/>
    <x v="0"/>
    <d v="2023-10-03T00:00:00"/>
    <n v="11.742928240739275"/>
    <x v="0"/>
    <x v="10"/>
    <n v="10.742928240739275"/>
    <x v="10"/>
  </r>
  <r>
    <n v="1030"/>
    <s v="1030111"/>
    <d v="2023-09-15T06:10:11"/>
    <s v="type40"/>
    <n v="131.9"/>
    <x v="0"/>
    <d v="2023-09-16T06:10:11"/>
    <x v="4"/>
    <d v="2023-10-03T00:00:00"/>
    <n v="17.742928240739275"/>
    <x v="0"/>
    <x v="2"/>
    <n v="16.742928240739275"/>
    <x v="2"/>
  </r>
  <r>
    <n v="1020"/>
    <s v="1020111"/>
    <d v="2023-09-15T06:10:11"/>
    <s v="type17"/>
    <n v="607.59"/>
    <x v="3"/>
    <d v="2023-09-16T06:10:11"/>
    <x v="0"/>
    <d v="2023-10-03T00:00:00"/>
    <n v="17.742928240739275"/>
    <x v="0"/>
    <x v="2"/>
    <n v="16.742928240739275"/>
    <x v="2"/>
  </r>
  <r>
    <n v="1012"/>
    <s v="1012111"/>
    <d v="2023-09-15T06:10:11"/>
    <s v="type40"/>
    <n v="3521.26"/>
    <x v="5"/>
    <d v="2023-09-22T06:10:11"/>
    <x v="2"/>
    <d v="2023-10-03T00:00:00"/>
    <n v="17.742928240739275"/>
    <x v="0"/>
    <x v="10"/>
    <n v="10.742928240739275"/>
    <x v="10"/>
  </r>
  <r>
    <n v="1010"/>
    <s v="1010111"/>
    <d v="2023-09-18T06:10:11"/>
    <s v="type40"/>
    <n v="-19611.79"/>
    <x v="4"/>
    <d v="2023-09-20T06:10:11"/>
    <x v="1"/>
    <d v="2023-10-03T00:00:00"/>
    <n v="14.742928240739275"/>
    <x v="0"/>
    <x v="9"/>
    <n v="12.742928240739275"/>
    <x v="9"/>
  </r>
  <r>
    <n v="1012"/>
    <s v="1012111"/>
    <d v="2023-09-21T06:10:11"/>
    <s v="type40"/>
    <n v="1441.28"/>
    <x v="0"/>
    <d v="2023-09-28T06:10:11"/>
    <x v="2"/>
    <d v="2023-10-03T00:00:00"/>
    <n v="11.742928240739275"/>
    <x v="0"/>
    <x v="8"/>
    <n v="4.7429282407392748"/>
    <x v="8"/>
  </r>
  <r>
    <n v="1000"/>
    <s v="1000111"/>
    <d v="2023-09-19T06:10:11"/>
    <s v="type13"/>
    <n v="26541.97"/>
    <x v="5"/>
    <d v="2023-09-20T06:10:11"/>
    <x v="3"/>
    <d v="2023-10-03T00:00:00"/>
    <n v="13.742928240739275"/>
    <x v="0"/>
    <x v="9"/>
    <n v="12.742928240739275"/>
    <x v="9"/>
  </r>
  <r>
    <n v="1024"/>
    <s v="1024111"/>
    <d v="2023-09-20T06:10:11"/>
    <s v="type15"/>
    <n v="1731.48"/>
    <x v="2"/>
    <d v="2023-09-22T06:10:11"/>
    <x v="5"/>
    <d v="2023-10-03T00:00:00"/>
    <n v="12.742928240739275"/>
    <x v="0"/>
    <x v="10"/>
    <n v="10.742928240739275"/>
    <x v="10"/>
  </r>
  <r>
    <n v="1030"/>
    <s v="1030111"/>
    <d v="2023-09-19T06:10:11"/>
    <s v="type40"/>
    <n v="-530.82000000000005"/>
    <x v="0"/>
    <d v="2023-09-20T06:10:11"/>
    <x v="4"/>
    <d v="2023-10-03T00:00:00"/>
    <n v="13.742928240739275"/>
    <x v="0"/>
    <x v="9"/>
    <n v="12.742928240739275"/>
    <x v="9"/>
  </r>
  <r>
    <n v="1029"/>
    <s v="1029111"/>
    <d v="2023-09-21T06:10:11"/>
    <s v="type40"/>
    <n v="2391.9299999999998"/>
    <x v="2"/>
    <d v="2023-09-23T06:10:11"/>
    <x v="5"/>
    <d v="2023-10-03T00:00:00"/>
    <n v="11.742928240739275"/>
    <x v="0"/>
    <x v="3"/>
    <n v="9.7429282407392748"/>
    <x v="3"/>
  </r>
  <r>
    <n v="1030"/>
    <s v="1030111"/>
    <d v="2023-09-23T06:10:11"/>
    <s v="type40"/>
    <n v="67.19"/>
    <x v="5"/>
    <d v="2023-09-24T06:10:11"/>
    <x v="4"/>
    <d v="2023-10-03T00:00:00"/>
    <n v="9.7429282407392748"/>
    <x v="0"/>
    <x v="5"/>
    <n v="8.7429282407392748"/>
    <x v="5"/>
  </r>
  <r>
    <n v="1018"/>
    <s v="1018111"/>
    <d v="2023-09-27T06:10:11"/>
    <s v="type40"/>
    <n v="468.76"/>
    <x v="3"/>
    <d v="2023-09-29T06:10:11"/>
    <x v="0"/>
    <d v="2023-10-03T00:00:00"/>
    <n v="5.7429282407392748"/>
    <x v="2"/>
    <x v="13"/>
    <n v="3.7429282407392748"/>
    <x v="13"/>
  </r>
  <r>
    <n v="1030"/>
    <s v="1030111"/>
    <d v="2023-09-21T06:10:11"/>
    <s v="type40"/>
    <n v="-3773.89"/>
    <x v="0"/>
    <d v="2023-09-23T06:10:11"/>
    <x v="4"/>
    <d v="2023-10-03T00:00:00"/>
    <n v="11.742928240739275"/>
    <x v="0"/>
    <x v="3"/>
    <n v="9.7429282407392748"/>
    <x v="3"/>
  </r>
  <r>
    <n v="1011"/>
    <s v="1011111"/>
    <d v="2023-09-21T06:10:11"/>
    <s v="type40"/>
    <n v="-512.01"/>
    <x v="4"/>
    <d v="2023-09-23T06:10:11"/>
    <x v="1"/>
    <d v="2023-10-03T00:00:00"/>
    <n v="11.742928240739275"/>
    <x v="0"/>
    <x v="3"/>
    <n v="9.7429282407392748"/>
    <x v="3"/>
  </r>
  <r>
    <n v="1021"/>
    <s v="1021111"/>
    <d v="2023-09-23T06:10:11"/>
    <s v="type35"/>
    <n v="2419.69"/>
    <x v="3"/>
    <d v="2023-09-25T06:10:11"/>
    <x v="0"/>
    <d v="2023-10-03T00:00:00"/>
    <n v="9.7429282407392748"/>
    <x v="0"/>
    <x v="11"/>
    <n v="7.7429282407392748"/>
    <x v="11"/>
  </r>
  <r>
    <n v="1016"/>
    <s v="1016111"/>
    <d v="2023-09-21T06:10:11"/>
    <s v="type40"/>
    <n v="548.71"/>
    <x v="0"/>
    <d v="2023-09-28T06:10:11"/>
    <x v="2"/>
    <d v="2023-10-03T00:00:00"/>
    <n v="11.742928240739275"/>
    <x v="0"/>
    <x v="8"/>
    <n v="4.7429282407392748"/>
    <x v="8"/>
  </r>
  <r>
    <n v="1010"/>
    <s v="1010111"/>
    <d v="2023-09-23T06:10:11"/>
    <s v="type40"/>
    <n v="440.57"/>
    <x v="4"/>
    <d v="2023-09-30T06:10:11"/>
    <x v="1"/>
    <d v="2023-10-03T00:00:00"/>
    <n v="9.7429282407392748"/>
    <x v="0"/>
    <x v="14"/>
    <n v="2.7429282407392748"/>
    <x v="14"/>
  </r>
  <r>
    <n v="1017"/>
    <s v="1017111"/>
    <d v="2023-09-20T06:10:11"/>
    <s v="type40"/>
    <n v="418.98"/>
    <x v="0"/>
    <d v="2023-09-21T06:10:11"/>
    <x v="2"/>
    <d v="2023-10-03T00:00:00"/>
    <n v="12.742928240739275"/>
    <x v="0"/>
    <x v="1"/>
    <n v="11.742928240739275"/>
    <x v="1"/>
  </r>
  <r>
    <n v="1009"/>
    <s v="1009111"/>
    <d v="2023-09-13T06:10:11"/>
    <s v="type40"/>
    <n v="342.82"/>
    <x v="4"/>
    <d v="2023-09-20T06:10:11"/>
    <x v="1"/>
    <d v="2023-10-03T00:00:00"/>
    <n v="19.742928240739275"/>
    <x v="0"/>
    <x v="9"/>
    <n v="12.742928240739275"/>
    <x v="9"/>
  </r>
  <r>
    <n v="1028"/>
    <s v="1028111"/>
    <d v="2023-09-22T06:10:11"/>
    <s v="type40"/>
    <n v="-367.48"/>
    <x v="2"/>
    <d v="2023-09-24T06:10:11"/>
    <x v="5"/>
    <d v="2023-10-03T00:00:00"/>
    <n v="10.742928240739275"/>
    <x v="0"/>
    <x v="5"/>
    <n v="8.7429282407392748"/>
    <x v="5"/>
  </r>
  <r>
    <n v="1015"/>
    <s v="1015111"/>
    <d v="2023-09-20T06:10:11"/>
    <s v="type38"/>
    <n v="381.88"/>
    <x v="0"/>
    <d v="2023-09-21T06:10:11"/>
    <x v="2"/>
    <d v="2023-10-03T00:00:00"/>
    <n v="12.742928240739275"/>
    <x v="0"/>
    <x v="1"/>
    <n v="11.742928240739275"/>
    <x v="1"/>
  </r>
  <r>
    <n v="1024"/>
    <s v="1024111"/>
    <d v="2023-09-10T06:10:11"/>
    <s v="type40"/>
    <n v="592.29"/>
    <x v="2"/>
    <d v="2023-09-15T06:10:11"/>
    <x v="5"/>
    <d v="2023-10-03T00:00:00"/>
    <n v="22.742928240739275"/>
    <x v="0"/>
    <x v="0"/>
    <n v="17.742928240739275"/>
    <x v="0"/>
  </r>
  <r>
    <n v="1034"/>
    <s v="1034111"/>
    <d v="2023-09-18T06:10:11"/>
    <s v="type25"/>
    <n v="231.33"/>
    <x v="0"/>
    <d v="2023-09-20T06:10:11"/>
    <x v="4"/>
    <d v="2023-10-03T00:00:00"/>
    <n v="14.742928240739275"/>
    <x v="0"/>
    <x v="9"/>
    <n v="12.742928240739275"/>
    <x v="9"/>
  </r>
  <r>
    <n v="1011"/>
    <s v="1011111"/>
    <d v="2023-09-13T06:10:11"/>
    <s v="type7"/>
    <n v="-14631.83"/>
    <x v="4"/>
    <d v="2023-09-20T06:10:11"/>
    <x v="1"/>
    <d v="2023-10-03T00:00:00"/>
    <n v="19.742928240739275"/>
    <x v="0"/>
    <x v="9"/>
    <n v="12.742928240739275"/>
    <x v="9"/>
  </r>
  <r>
    <n v="1026"/>
    <s v="1026111"/>
    <d v="2023-09-21T06:10:11"/>
    <s v="type40"/>
    <n v="658.33"/>
    <x v="4"/>
    <d v="2023-09-22T06:10:11"/>
    <x v="5"/>
    <d v="2023-10-03T00:00:00"/>
    <n v="11.742928240739275"/>
    <x v="0"/>
    <x v="10"/>
    <n v="10.742928240739275"/>
    <x v="10"/>
  </r>
  <r>
    <n v="1024"/>
    <s v="1024111"/>
    <d v="2023-09-16T06:10:11"/>
    <s v="type40"/>
    <n v="-345.66"/>
    <x v="2"/>
    <d v="2023-09-23T06:10:11"/>
    <x v="5"/>
    <d v="2023-10-03T00:00:00"/>
    <n v="16.742928240739275"/>
    <x v="0"/>
    <x v="3"/>
    <n v="9.7429282407392748"/>
    <x v="3"/>
  </r>
  <r>
    <n v="1028"/>
    <s v="1028111"/>
    <d v="2023-09-18T06:10:11"/>
    <s v="type8"/>
    <n v="69.91"/>
    <x v="2"/>
    <d v="2023-09-25T06:10:11"/>
    <x v="5"/>
    <d v="2023-10-03T00:00:00"/>
    <n v="14.742928240739275"/>
    <x v="0"/>
    <x v="11"/>
    <n v="7.7429282407392748"/>
    <x v="11"/>
  </r>
  <r>
    <n v="1035"/>
    <s v="1035111"/>
    <d v="2023-09-21T06:10:11"/>
    <s v="type40"/>
    <n v="1740.12"/>
    <x v="0"/>
    <d v="2023-09-23T06:10:11"/>
    <x v="4"/>
    <d v="2023-10-03T00:00:00"/>
    <n v="11.742928240739275"/>
    <x v="0"/>
    <x v="3"/>
    <n v="9.7429282407392748"/>
    <x v="3"/>
  </r>
  <r>
    <n v="1028"/>
    <s v="1028111"/>
    <d v="2023-09-20T06:10:11"/>
    <s v="type40"/>
    <n v="672.81"/>
    <x v="2"/>
    <d v="2023-09-27T06:10:11"/>
    <x v="5"/>
    <d v="2023-10-03T00:00:00"/>
    <n v="12.742928240739275"/>
    <x v="0"/>
    <x v="12"/>
    <n v="5.7429282407392748"/>
    <x v="12"/>
  </r>
  <r>
    <n v="1024"/>
    <s v="1024111"/>
    <d v="2023-09-21T06:10:11"/>
    <s v="type40"/>
    <n v="456.17"/>
    <x v="2"/>
    <d v="2023-09-28T06:10:11"/>
    <x v="5"/>
    <d v="2023-10-03T00:00:00"/>
    <n v="11.742928240739275"/>
    <x v="0"/>
    <x v="8"/>
    <n v="4.7429282407392748"/>
    <x v="8"/>
  </r>
  <r>
    <n v="1031"/>
    <s v="1031111"/>
    <d v="2023-09-23T06:10:11"/>
    <s v="type40"/>
    <n v="2230.73"/>
    <x v="0"/>
    <d v="2023-09-25T06:10:11"/>
    <x v="4"/>
    <d v="2023-10-03T00:00:00"/>
    <n v="9.7429282407392748"/>
    <x v="0"/>
    <x v="11"/>
    <n v="7.7429282407392748"/>
    <x v="11"/>
  </r>
  <r>
    <n v="1004"/>
    <s v="1004111"/>
    <d v="2023-09-18T06:10:11"/>
    <s v="type40"/>
    <n v="-1383.2"/>
    <x v="5"/>
    <d v="2023-09-19T06:10:11"/>
    <x v="3"/>
    <d v="2023-10-03T00:00:00"/>
    <n v="14.742928240739275"/>
    <x v="0"/>
    <x v="19"/>
    <n v="13.742928240739275"/>
    <x v="19"/>
  </r>
  <r>
    <n v="1026"/>
    <s v="1026111"/>
    <d v="2023-09-16T06:10:11"/>
    <s v="type40"/>
    <n v="408.26"/>
    <x v="2"/>
    <d v="2023-09-17T06:10:11"/>
    <x v="5"/>
    <d v="2023-10-03T00:00:00"/>
    <n v="16.742928240739275"/>
    <x v="0"/>
    <x v="4"/>
    <n v="15.742928240739275"/>
    <x v="4"/>
  </r>
  <r>
    <n v="1015"/>
    <s v="1015111"/>
    <d v="2023-09-22T06:10:11"/>
    <s v="type40"/>
    <n v="-750.58"/>
    <x v="5"/>
    <d v="2023-09-24T06:10:11"/>
    <x v="2"/>
    <d v="2023-10-03T00:00:00"/>
    <n v="10.742928240739275"/>
    <x v="0"/>
    <x v="5"/>
    <n v="8.7429282407392748"/>
    <x v="5"/>
  </r>
  <r>
    <n v="1004"/>
    <s v="1004111"/>
    <d v="2023-09-11T06:10:11"/>
    <s v="type40"/>
    <n v="-6537.03"/>
    <x v="5"/>
    <d v="2023-09-13T06:10:11"/>
    <x v="3"/>
    <d v="2023-10-03T00:00:00"/>
    <n v="21.742928240739275"/>
    <x v="0"/>
    <x v="24"/>
    <n v="19.742928240739275"/>
    <x v="24"/>
  </r>
  <r>
    <n v="1030"/>
    <s v="1030111"/>
    <d v="2023-09-20T06:10:11"/>
    <s v="type40"/>
    <n v="-5575.67"/>
    <x v="0"/>
    <d v="2023-09-25T06:10:11"/>
    <x v="4"/>
    <d v="2023-10-03T00:00:00"/>
    <n v="12.742928240739275"/>
    <x v="0"/>
    <x v="11"/>
    <n v="7.7429282407392748"/>
    <x v="11"/>
  </r>
  <r>
    <n v="1024"/>
    <s v="1024111"/>
    <d v="2023-09-17T06:10:11"/>
    <s v="type38"/>
    <n v="167.43"/>
    <x v="2"/>
    <d v="2023-09-18T06:10:11"/>
    <x v="5"/>
    <d v="2023-10-03T00:00:00"/>
    <n v="15.742928240739275"/>
    <x v="0"/>
    <x v="6"/>
    <n v="14.742928240739275"/>
    <x v="6"/>
  </r>
  <r>
    <n v="1022"/>
    <s v="1022111"/>
    <d v="2023-09-11T06:10:11"/>
    <s v="type40"/>
    <n v="862.07"/>
    <x v="3"/>
    <d v="2023-09-16T06:10:11"/>
    <x v="0"/>
    <d v="2023-10-03T00:00:00"/>
    <n v="21.742928240739275"/>
    <x v="0"/>
    <x v="2"/>
    <n v="16.742928240739275"/>
    <x v="2"/>
  </r>
  <r>
    <n v="1030"/>
    <s v="1030111"/>
    <d v="2023-09-16T06:10:11"/>
    <s v="type40"/>
    <n v="511.96"/>
    <x v="0"/>
    <d v="2023-09-21T06:10:11"/>
    <x v="4"/>
    <d v="2023-10-03T00:00:00"/>
    <n v="16.742928240739275"/>
    <x v="0"/>
    <x v="1"/>
    <n v="11.742928240739275"/>
    <x v="1"/>
  </r>
  <r>
    <n v="1004"/>
    <s v="1004111"/>
    <d v="2023-09-18T06:10:11"/>
    <s v="type40"/>
    <n v="-8510.4500000000007"/>
    <x v="5"/>
    <d v="2023-09-20T06:10:11"/>
    <x v="3"/>
    <d v="2023-10-03T00:00:00"/>
    <n v="14.742928240739275"/>
    <x v="0"/>
    <x v="9"/>
    <n v="12.742928240739275"/>
    <x v="9"/>
  </r>
  <r>
    <n v="1030"/>
    <s v="1030111"/>
    <d v="2023-09-11T06:10:11"/>
    <s v="type40"/>
    <n v="-3456.15"/>
    <x v="0"/>
    <d v="2023-09-16T06:10:11"/>
    <x v="4"/>
    <d v="2023-10-03T00:00:00"/>
    <n v="21.742928240739275"/>
    <x v="0"/>
    <x v="2"/>
    <n v="16.742928240739275"/>
    <x v="2"/>
  </r>
  <r>
    <n v="1014"/>
    <s v="1014111"/>
    <d v="2023-09-10T06:10:11"/>
    <s v="type40"/>
    <n v="322.3"/>
    <x v="0"/>
    <d v="2023-09-12T06:10:11"/>
    <x v="2"/>
    <d v="2023-10-03T00:00:00"/>
    <n v="22.742928240739275"/>
    <x v="0"/>
    <x v="18"/>
    <n v="20.742928240739275"/>
    <x v="18"/>
  </r>
  <r>
    <n v="1000"/>
    <s v="1000111"/>
    <d v="2023-09-15T06:10:11"/>
    <s v="type7"/>
    <n v="-8874.64"/>
    <x v="5"/>
    <d v="2023-09-17T06:10:11"/>
    <x v="3"/>
    <d v="2023-10-03T00:00:00"/>
    <n v="17.742928240739275"/>
    <x v="0"/>
    <x v="4"/>
    <n v="15.742928240739275"/>
    <x v="4"/>
  </r>
  <r>
    <n v="1026"/>
    <s v="1026111"/>
    <d v="2023-09-23T06:10:11"/>
    <s v="type40"/>
    <n v="-746.54"/>
    <x v="4"/>
    <d v="2023-09-24T06:10:11"/>
    <x v="5"/>
    <d v="2023-10-03T00:00:00"/>
    <n v="9.7429282407392748"/>
    <x v="0"/>
    <x v="5"/>
    <n v="8.7429282407392748"/>
    <x v="5"/>
  </r>
  <r>
    <n v="1005"/>
    <s v="1005111"/>
    <d v="2023-09-16T06:10:11"/>
    <s v="type8"/>
    <n v="54.37"/>
    <x v="5"/>
    <d v="2023-09-18T06:10:11"/>
    <x v="3"/>
    <d v="2023-10-03T00:00:00"/>
    <n v="16.742928240739275"/>
    <x v="0"/>
    <x v="6"/>
    <n v="14.742928240739275"/>
    <x v="6"/>
  </r>
  <r>
    <n v="1007"/>
    <s v="1007111"/>
    <d v="2023-09-14T06:10:11"/>
    <s v="type40"/>
    <n v="21507.8"/>
    <x v="5"/>
    <d v="2023-09-19T06:10:11"/>
    <x v="1"/>
    <d v="2023-10-03T00:00:00"/>
    <n v="18.742928240739275"/>
    <x v="0"/>
    <x v="19"/>
    <n v="13.742928240739275"/>
    <x v="19"/>
  </r>
  <r>
    <n v="1029"/>
    <s v="1029111"/>
    <d v="2023-09-16T06:10:11"/>
    <s v="type40"/>
    <n v="3272"/>
    <x v="2"/>
    <d v="2023-09-17T06:10:11"/>
    <x v="5"/>
    <d v="2023-10-03T00:00:00"/>
    <n v="16.742928240739275"/>
    <x v="0"/>
    <x v="4"/>
    <n v="15.742928240739275"/>
    <x v="4"/>
  </r>
  <r>
    <n v="1035"/>
    <s v="1035111"/>
    <d v="2023-09-17T06:10:11"/>
    <s v="type2"/>
    <n v="1785"/>
    <x v="0"/>
    <d v="2023-09-24T06:10:11"/>
    <x v="4"/>
    <d v="2023-10-03T00:00:00"/>
    <n v="15.742928240739275"/>
    <x v="0"/>
    <x v="5"/>
    <n v="8.7429282407392748"/>
    <x v="5"/>
  </r>
  <r>
    <n v="1027"/>
    <s v="1027111"/>
    <d v="2023-09-18T06:10:11"/>
    <s v="type40"/>
    <n v="-431.02"/>
    <x v="2"/>
    <d v="2023-09-19T06:10:11"/>
    <x v="5"/>
    <d v="2023-10-03T00:00:00"/>
    <n v="14.742928240739275"/>
    <x v="0"/>
    <x v="19"/>
    <n v="13.742928240739275"/>
    <x v="19"/>
  </r>
  <r>
    <n v="1015"/>
    <s v="1015111"/>
    <d v="2023-09-17T06:10:11"/>
    <s v="type13"/>
    <n v="50056.639999999999"/>
    <x v="0"/>
    <d v="2023-09-22T06:10:11"/>
    <x v="2"/>
    <d v="2023-10-03T00:00:00"/>
    <n v="15.742928240739275"/>
    <x v="0"/>
    <x v="10"/>
    <n v="10.742928240739275"/>
    <x v="10"/>
  </r>
  <r>
    <n v="1020"/>
    <s v="1020111"/>
    <d v="2023-09-19T06:10:11"/>
    <s v="type40"/>
    <n v="780.74"/>
    <x v="3"/>
    <d v="2023-09-26T06:10:11"/>
    <x v="0"/>
    <d v="2023-10-03T00:00:00"/>
    <n v="13.742928240739275"/>
    <x v="0"/>
    <x v="7"/>
    <n v="6.7429282407392748"/>
    <x v="7"/>
  </r>
  <r>
    <n v="1002"/>
    <s v="1002111"/>
    <d v="2023-09-16T06:10:11"/>
    <s v="type40"/>
    <n v="331"/>
    <x v="5"/>
    <d v="2023-09-21T06:10:11"/>
    <x v="3"/>
    <d v="2023-10-03T00:00:00"/>
    <n v="16.742928240739275"/>
    <x v="0"/>
    <x v="1"/>
    <n v="11.742928240739275"/>
    <x v="1"/>
  </r>
  <r>
    <n v="1026"/>
    <s v="1026111"/>
    <d v="2023-09-12T06:10:11"/>
    <s v="type38"/>
    <n v="269.77"/>
    <x v="2"/>
    <d v="2023-09-13T06:10:11"/>
    <x v="5"/>
    <d v="2023-10-03T00:00:00"/>
    <n v="20.742928240739275"/>
    <x v="0"/>
    <x v="24"/>
    <n v="19.742928240739275"/>
    <x v="24"/>
  </r>
  <r>
    <n v="1013"/>
    <s v="1013111"/>
    <d v="2023-09-10T06:10:11"/>
    <s v="type40"/>
    <n v="409.38"/>
    <x v="0"/>
    <d v="2023-09-17T06:10:11"/>
    <x v="2"/>
    <d v="2023-10-03T00:00:00"/>
    <n v="22.742928240739275"/>
    <x v="0"/>
    <x v="4"/>
    <n v="15.742928240739275"/>
    <x v="4"/>
  </r>
  <r>
    <n v="1026"/>
    <s v="1026111"/>
    <d v="2023-09-12T06:10:11"/>
    <s v="type40"/>
    <n v="339.6"/>
    <x v="2"/>
    <d v="2023-09-14T06:10:11"/>
    <x v="5"/>
    <d v="2023-10-03T00:00:00"/>
    <n v="20.742928240739275"/>
    <x v="0"/>
    <x v="20"/>
    <n v="18.742928240739275"/>
    <x v="20"/>
  </r>
  <r>
    <n v="1013"/>
    <s v="1013111"/>
    <d v="2023-09-19T06:10:11"/>
    <s v="type40"/>
    <n v="-980.17"/>
    <x v="4"/>
    <d v="2023-09-20T06:10:11"/>
    <x v="2"/>
    <d v="2023-10-03T00:00:00"/>
    <n v="13.742928240739275"/>
    <x v="0"/>
    <x v="9"/>
    <n v="12.742928240739275"/>
    <x v="9"/>
  </r>
  <r>
    <n v="1032"/>
    <s v="1032111"/>
    <d v="2023-09-21T06:10:11"/>
    <s v="type40"/>
    <n v="-3781.05"/>
    <x v="5"/>
    <d v="2023-09-26T06:10:11"/>
    <x v="4"/>
    <d v="2023-10-03T00:00:00"/>
    <n v="11.742928240739275"/>
    <x v="0"/>
    <x v="7"/>
    <n v="6.7429282407392748"/>
    <x v="7"/>
  </r>
  <r>
    <n v="1007"/>
    <s v="1007111"/>
    <d v="2023-09-20T06:10:11"/>
    <s v="type7"/>
    <n v="1076.8800000000001"/>
    <x v="4"/>
    <d v="2023-09-21T06:10:11"/>
    <x v="1"/>
    <d v="2023-10-03T00:00:00"/>
    <n v="12.742928240739275"/>
    <x v="0"/>
    <x v="1"/>
    <n v="11.742928240739275"/>
    <x v="1"/>
  </r>
  <r>
    <n v="1016"/>
    <s v="1016111"/>
    <d v="2023-09-23T06:10:11"/>
    <s v="type40"/>
    <n v="-423.95"/>
    <x v="5"/>
    <d v="2023-09-30T06:10:11"/>
    <x v="2"/>
    <d v="2023-10-03T00:00:00"/>
    <n v="9.7429282407392748"/>
    <x v="0"/>
    <x v="14"/>
    <n v="2.7429282407392748"/>
    <x v="14"/>
  </r>
  <r>
    <n v="1019"/>
    <s v="1019111"/>
    <d v="2023-09-26T06:10:11"/>
    <s v="type7"/>
    <n v="-16597.28"/>
    <x v="3"/>
    <d v="2023-09-27T06:10:11"/>
    <x v="0"/>
    <d v="2023-10-03T00:00:00"/>
    <n v="6.7429282407392748"/>
    <x v="1"/>
    <x v="12"/>
    <n v="5.7429282407392748"/>
    <x v="12"/>
  </r>
  <r>
    <n v="1027"/>
    <s v="1027111"/>
    <d v="2023-09-13T06:10:11"/>
    <s v="type40"/>
    <n v="701.28"/>
    <x v="2"/>
    <d v="2023-09-15T06:10:11"/>
    <x v="5"/>
    <d v="2023-10-03T00:00:00"/>
    <n v="19.742928240739275"/>
    <x v="0"/>
    <x v="0"/>
    <n v="17.742928240739275"/>
    <x v="0"/>
  </r>
  <r>
    <n v="1035"/>
    <s v="1035111"/>
    <d v="2023-09-15T06:10:11"/>
    <s v="type13"/>
    <n v="42398.69"/>
    <x v="0"/>
    <d v="2023-09-16T06:10:11"/>
    <x v="4"/>
    <d v="2023-10-03T00:00:00"/>
    <n v="17.742928240739275"/>
    <x v="0"/>
    <x v="2"/>
    <n v="16.742928240739275"/>
    <x v="2"/>
  </r>
  <r>
    <n v="1027"/>
    <s v="1027111"/>
    <d v="2023-09-13T06:10:11"/>
    <s v="type40"/>
    <n v="323.27"/>
    <x v="2"/>
    <d v="2023-09-15T06:10:11"/>
    <x v="5"/>
    <d v="2023-10-03T00:00:00"/>
    <n v="19.742928240739275"/>
    <x v="0"/>
    <x v="0"/>
    <n v="17.742928240739275"/>
    <x v="0"/>
  </r>
  <r>
    <n v="1026"/>
    <s v="1026111"/>
    <d v="2023-09-15T06:10:11"/>
    <s v="type40"/>
    <n v="-21527.08"/>
    <x v="2"/>
    <d v="2023-09-17T06:10:11"/>
    <x v="5"/>
    <d v="2023-10-03T00:00:00"/>
    <n v="17.742928240739275"/>
    <x v="0"/>
    <x v="4"/>
    <n v="15.742928240739275"/>
    <x v="4"/>
  </r>
  <r>
    <n v="1026"/>
    <s v="1026111"/>
    <d v="2023-09-20T06:10:11"/>
    <s v="type40"/>
    <n v="-465.11"/>
    <x v="2"/>
    <d v="2023-09-22T06:10:11"/>
    <x v="5"/>
    <d v="2023-10-03T00:00:00"/>
    <n v="12.742928240739275"/>
    <x v="0"/>
    <x v="10"/>
    <n v="10.742928240739275"/>
    <x v="10"/>
  </r>
  <r>
    <n v="1022"/>
    <s v="1022111"/>
    <d v="2023-09-20T06:10:11"/>
    <s v="type38"/>
    <n v="353.42"/>
    <x v="3"/>
    <d v="2023-09-21T06:10:11"/>
    <x v="0"/>
    <d v="2023-10-03T00:00:00"/>
    <n v="12.742928240739275"/>
    <x v="0"/>
    <x v="1"/>
    <n v="11.742928240739275"/>
    <x v="1"/>
  </r>
  <r>
    <n v="1012"/>
    <s v="1012111"/>
    <d v="2023-09-18T06:10:11"/>
    <s v="type40"/>
    <n v="-311.69"/>
    <x v="5"/>
    <d v="2023-09-25T06:10:11"/>
    <x v="2"/>
    <d v="2023-10-03T00:00:00"/>
    <n v="14.742928240739275"/>
    <x v="0"/>
    <x v="11"/>
    <n v="7.7429282407392748"/>
    <x v="11"/>
  </r>
  <r>
    <n v="1001"/>
    <s v="1001111"/>
    <d v="2023-09-20T06:10:11"/>
    <s v="type40"/>
    <n v="-396.6"/>
    <x v="5"/>
    <d v="2023-09-27T06:10:11"/>
    <x v="3"/>
    <d v="2023-10-03T00:00:00"/>
    <n v="12.742928240739275"/>
    <x v="0"/>
    <x v="12"/>
    <n v="5.7429282407392748"/>
    <x v="12"/>
  </r>
  <r>
    <n v="1012"/>
    <s v="1012111"/>
    <d v="2023-09-21T06:10:11"/>
    <s v="type35"/>
    <n v="924.82"/>
    <x v="5"/>
    <d v="2023-09-28T06:10:11"/>
    <x v="2"/>
    <d v="2023-10-03T00:00:00"/>
    <n v="11.742928240739275"/>
    <x v="0"/>
    <x v="8"/>
    <n v="4.7429282407392748"/>
    <x v="8"/>
  </r>
  <r>
    <n v="1023"/>
    <s v="1023111"/>
    <d v="2023-09-21T06:10:11"/>
    <s v="type33"/>
    <n v="443.67"/>
    <x v="3"/>
    <d v="2023-09-22T06:10:11"/>
    <x v="0"/>
    <d v="2023-10-03T00:00:00"/>
    <n v="11.742928240739275"/>
    <x v="0"/>
    <x v="10"/>
    <n v="10.742928240739275"/>
    <x v="10"/>
  </r>
  <r>
    <n v="1001"/>
    <s v="1001111"/>
    <d v="2023-09-12T06:10:11"/>
    <s v="type10"/>
    <n v="169.61"/>
    <x v="5"/>
    <d v="2023-09-19T06:10:11"/>
    <x v="3"/>
    <d v="2023-10-03T00:00:00"/>
    <n v="20.742928240739275"/>
    <x v="0"/>
    <x v="19"/>
    <n v="13.742928240739275"/>
    <x v="19"/>
  </r>
  <r>
    <n v="1025"/>
    <s v="1025111"/>
    <d v="2023-09-20T06:10:11"/>
    <s v="type40"/>
    <n v="-360.9"/>
    <x v="2"/>
    <d v="2023-09-22T06:10:11"/>
    <x v="5"/>
    <d v="2023-10-03T00:00:00"/>
    <n v="12.742928240739275"/>
    <x v="0"/>
    <x v="10"/>
    <n v="10.742928240739275"/>
    <x v="10"/>
  </r>
  <r>
    <n v="1012"/>
    <s v="1012111"/>
    <d v="2023-09-14T06:10:11"/>
    <s v="type40"/>
    <n v="-4088"/>
    <x v="0"/>
    <d v="2023-09-15T06:10:11"/>
    <x v="2"/>
    <d v="2023-10-03T00:00:00"/>
    <n v="18.742928240739275"/>
    <x v="0"/>
    <x v="0"/>
    <n v="17.742928240739275"/>
    <x v="0"/>
  </r>
  <r>
    <n v="1013"/>
    <s v="1013111"/>
    <d v="2023-09-23T06:10:11"/>
    <s v="type17"/>
    <n v="546.82000000000005"/>
    <x v="0"/>
    <d v="2023-09-24T06:10:11"/>
    <x v="2"/>
    <d v="2023-10-03T00:00:00"/>
    <n v="9.7429282407392748"/>
    <x v="0"/>
    <x v="5"/>
    <n v="8.7429282407392748"/>
    <x v="5"/>
  </r>
  <r>
    <n v="1018"/>
    <s v="1018111"/>
    <d v="2023-09-25T06:10:11"/>
    <s v="type38"/>
    <n v="166.62"/>
    <x v="3"/>
    <d v="2023-09-26T06:10:11"/>
    <x v="0"/>
    <d v="2023-10-03T00:00:00"/>
    <n v="7.7429282407392748"/>
    <x v="1"/>
    <x v="7"/>
    <n v="6.7429282407392748"/>
    <x v="7"/>
  </r>
  <r>
    <n v="1026"/>
    <s v="1026111"/>
    <d v="2023-09-21T06:10:11"/>
    <s v="type40"/>
    <n v="-691.33"/>
    <x v="2"/>
    <d v="2023-09-28T06:10:11"/>
    <x v="5"/>
    <d v="2023-10-03T00:00:00"/>
    <n v="11.742928240739275"/>
    <x v="0"/>
    <x v="8"/>
    <n v="4.7429282407392748"/>
    <x v="8"/>
  </r>
  <r>
    <n v="1026"/>
    <s v="1026111"/>
    <d v="2023-09-16T06:10:11"/>
    <s v="type40"/>
    <n v="-8372"/>
    <x v="2"/>
    <d v="2023-09-17T06:10:11"/>
    <x v="5"/>
    <d v="2023-10-03T00:00:00"/>
    <n v="16.742928240739275"/>
    <x v="0"/>
    <x v="4"/>
    <n v="15.742928240739275"/>
    <x v="4"/>
  </r>
  <r>
    <n v="1001"/>
    <s v="1001111"/>
    <d v="2023-09-21T06:10:11"/>
    <s v="type40"/>
    <n v="-1617.98"/>
    <x v="5"/>
    <d v="2023-09-22T06:10:11"/>
    <x v="3"/>
    <d v="2023-10-03T00:00:00"/>
    <n v="11.742928240739275"/>
    <x v="0"/>
    <x v="10"/>
    <n v="10.742928240739275"/>
    <x v="10"/>
  </r>
  <r>
    <n v="1017"/>
    <s v="1017111"/>
    <d v="2023-09-11T06:10:11"/>
    <s v="type9"/>
    <n v="321.67"/>
    <x v="0"/>
    <d v="2023-09-13T06:10:11"/>
    <x v="2"/>
    <d v="2023-10-03T00:00:00"/>
    <n v="21.742928240739275"/>
    <x v="0"/>
    <x v="24"/>
    <n v="19.742928240739275"/>
    <x v="24"/>
  </r>
  <r>
    <n v="1005"/>
    <s v="1005111"/>
    <d v="2023-09-21T06:10:11"/>
    <s v="type40"/>
    <n v="396.33"/>
    <x v="5"/>
    <d v="2023-09-22T06:10:11"/>
    <x v="3"/>
    <d v="2023-10-03T00:00:00"/>
    <n v="11.742928240739275"/>
    <x v="0"/>
    <x v="10"/>
    <n v="10.742928240739275"/>
    <x v="10"/>
  </r>
  <r>
    <n v="1029"/>
    <s v="1029111"/>
    <d v="2023-09-21T06:10:11"/>
    <s v="type40"/>
    <n v="611.91"/>
    <x v="2"/>
    <d v="2023-09-23T06:10:11"/>
    <x v="5"/>
    <d v="2023-10-03T00:00:00"/>
    <n v="11.742928240739275"/>
    <x v="0"/>
    <x v="3"/>
    <n v="9.7429282407392748"/>
    <x v="3"/>
  </r>
  <r>
    <n v="1029"/>
    <s v="1029111"/>
    <d v="2023-09-20T06:10:11"/>
    <s v="type10"/>
    <n v="28"/>
    <x v="2"/>
    <d v="2023-09-27T06:10:11"/>
    <x v="5"/>
    <d v="2023-10-03T00:00:00"/>
    <n v="12.742928240739275"/>
    <x v="0"/>
    <x v="12"/>
    <n v="5.7429282407392748"/>
    <x v="12"/>
  </r>
  <r>
    <n v="1004"/>
    <s v="1004111"/>
    <d v="2023-09-18T06:10:11"/>
    <s v="type40"/>
    <n v="3033.83"/>
    <x v="2"/>
    <d v="2023-09-19T06:10:11"/>
    <x v="3"/>
    <d v="2023-10-03T00:00:00"/>
    <n v="14.742928240739275"/>
    <x v="0"/>
    <x v="19"/>
    <n v="13.742928240739275"/>
    <x v="19"/>
  </r>
  <r>
    <n v="1000"/>
    <s v="1000111"/>
    <d v="2023-09-15T06:10:11"/>
    <s v="type10"/>
    <n v="129.27000000000001"/>
    <x v="5"/>
    <d v="2023-09-17T06:10:11"/>
    <x v="3"/>
    <d v="2023-10-03T00:00:00"/>
    <n v="17.742928240739275"/>
    <x v="0"/>
    <x v="4"/>
    <n v="15.742928240739275"/>
    <x v="4"/>
  </r>
  <r>
    <n v="1023"/>
    <s v="1023111"/>
    <d v="2023-09-14T06:10:11"/>
    <s v="type40"/>
    <n v="-384.58"/>
    <x v="3"/>
    <d v="2023-09-16T06:10:11"/>
    <x v="0"/>
    <d v="2023-10-03T00:00:00"/>
    <n v="18.742928240739275"/>
    <x v="0"/>
    <x v="2"/>
    <n v="16.742928240739275"/>
    <x v="2"/>
  </r>
  <r>
    <n v="1005"/>
    <s v="1005111"/>
    <d v="2023-09-17T06:10:11"/>
    <s v="type40"/>
    <n v="-516.91"/>
    <x v="5"/>
    <d v="2023-09-19T06:10:11"/>
    <x v="3"/>
    <d v="2023-10-03T00:00:00"/>
    <n v="15.742928240739275"/>
    <x v="0"/>
    <x v="19"/>
    <n v="13.742928240739275"/>
    <x v="19"/>
  </r>
  <r>
    <n v="1026"/>
    <s v="1026111"/>
    <d v="2023-09-19T06:10:11"/>
    <s v="type40"/>
    <n v="14.9"/>
    <x v="2"/>
    <d v="2023-09-20T06:10:11"/>
    <x v="5"/>
    <d v="2023-10-03T00:00:00"/>
    <n v="13.742928240739275"/>
    <x v="0"/>
    <x v="9"/>
    <n v="12.742928240739275"/>
    <x v="9"/>
  </r>
  <r>
    <n v="1007"/>
    <s v="1007111"/>
    <d v="2023-09-16T06:10:11"/>
    <s v="type40"/>
    <n v="-1522.49"/>
    <x v="5"/>
    <d v="2023-09-18T06:10:11"/>
    <x v="1"/>
    <d v="2023-10-03T00:00:00"/>
    <n v="16.742928240739275"/>
    <x v="0"/>
    <x v="6"/>
    <n v="14.742928240739275"/>
    <x v="6"/>
  </r>
  <r>
    <n v="1025"/>
    <s v="1025111"/>
    <d v="2023-09-17T06:10:11"/>
    <s v="type40"/>
    <n v="-655.96"/>
    <x v="4"/>
    <d v="2023-09-19T06:10:11"/>
    <x v="5"/>
    <d v="2023-10-03T00:00:00"/>
    <n v="15.742928240739275"/>
    <x v="0"/>
    <x v="19"/>
    <n v="13.742928240739275"/>
    <x v="19"/>
  </r>
  <r>
    <n v="1030"/>
    <s v="1030111"/>
    <d v="2023-09-17T06:10:11"/>
    <s v="type22"/>
    <n v="692.69"/>
    <x v="0"/>
    <d v="2023-09-19T06:10:11"/>
    <x v="4"/>
    <d v="2023-10-03T00:00:00"/>
    <n v="15.742928240739275"/>
    <x v="0"/>
    <x v="19"/>
    <n v="13.742928240739275"/>
    <x v="19"/>
  </r>
  <r>
    <n v="1006"/>
    <s v="1006111"/>
    <d v="2023-09-18T06:10:11"/>
    <s v="type13"/>
    <n v="30307.27"/>
    <x v="4"/>
    <d v="2023-09-20T06:10:11"/>
    <x v="1"/>
    <d v="2023-10-03T00:00:00"/>
    <n v="14.742928240739275"/>
    <x v="0"/>
    <x v="9"/>
    <n v="12.742928240739275"/>
    <x v="9"/>
  </r>
  <r>
    <n v="1014"/>
    <s v="1014111"/>
    <d v="2023-09-19T06:10:11"/>
    <s v="type40"/>
    <n v="5.48"/>
    <x v="4"/>
    <d v="2023-09-21T06:10:11"/>
    <x v="2"/>
    <d v="2023-10-03T00:00:00"/>
    <n v="13.742928240739275"/>
    <x v="0"/>
    <x v="1"/>
    <n v="11.742928240739275"/>
    <x v="1"/>
  </r>
  <r>
    <n v="1020"/>
    <s v="1020111"/>
    <d v="2023-09-19T06:10:11"/>
    <s v="type40"/>
    <n v="-839.92"/>
    <x v="3"/>
    <d v="2023-09-21T06:10:11"/>
    <x v="0"/>
    <d v="2023-10-03T00:00:00"/>
    <n v="13.742928240739275"/>
    <x v="0"/>
    <x v="1"/>
    <n v="11.742928240739275"/>
    <x v="1"/>
  </r>
  <r>
    <n v="1014"/>
    <s v="1014111"/>
    <d v="2023-09-15T06:10:11"/>
    <s v="type40"/>
    <n v="46.75"/>
    <x v="2"/>
    <d v="2023-09-17T06:10:11"/>
    <x v="2"/>
    <d v="2023-10-03T00:00:00"/>
    <n v="17.742928240739275"/>
    <x v="0"/>
    <x v="4"/>
    <n v="15.742928240739275"/>
    <x v="4"/>
  </r>
  <r>
    <n v="1023"/>
    <s v="1023111"/>
    <d v="2023-09-16T06:10:11"/>
    <s v="type35"/>
    <n v="383.96"/>
    <x v="2"/>
    <d v="2023-09-18T06:10:11"/>
    <x v="0"/>
    <d v="2023-10-03T00:00:00"/>
    <n v="16.742928240739275"/>
    <x v="0"/>
    <x v="6"/>
    <n v="14.742928240739275"/>
    <x v="6"/>
  </r>
  <r>
    <n v="1005"/>
    <s v="1005111"/>
    <d v="2023-09-20T06:10:11"/>
    <s v="type40"/>
    <n v="70"/>
    <x v="5"/>
    <d v="2023-09-22T06:10:11"/>
    <x v="3"/>
    <d v="2023-10-03T00:00:00"/>
    <n v="12.742928240739275"/>
    <x v="0"/>
    <x v="10"/>
    <n v="10.742928240739275"/>
    <x v="10"/>
  </r>
  <r>
    <n v="1018"/>
    <s v="1018111"/>
    <d v="2023-09-18T06:10:11"/>
    <s v="type15"/>
    <n v="-1480.3785"/>
    <x v="4"/>
    <d v="2023-09-20T06:10:11"/>
    <x v="0"/>
    <d v="2023-10-03T00:00:00"/>
    <n v="14.742928240739275"/>
    <x v="0"/>
    <x v="9"/>
    <n v="12.742928240739275"/>
    <x v="9"/>
  </r>
  <r>
    <n v="1032"/>
    <s v="1032111"/>
    <d v="2023-09-22T06:10:11"/>
    <s v="type40"/>
    <n v="-544"/>
    <x v="0"/>
    <d v="2023-09-24T06:10:11"/>
    <x v="4"/>
    <d v="2023-10-03T00:00:00"/>
    <n v="10.742928240739275"/>
    <x v="0"/>
    <x v="5"/>
    <n v="8.7429282407392748"/>
    <x v="5"/>
  </r>
  <r>
    <n v="1017"/>
    <s v="1017111"/>
    <d v="2023-09-20T06:10:11"/>
    <s v="type40"/>
    <n v="12.64"/>
    <x v="2"/>
    <d v="2023-09-22T06:10:11"/>
    <x v="2"/>
    <d v="2023-10-03T00:00:00"/>
    <n v="12.742928240739275"/>
    <x v="0"/>
    <x v="10"/>
    <n v="10.742928240739275"/>
    <x v="10"/>
  </r>
  <r>
    <n v="1001"/>
    <s v="1001111"/>
    <d v="2023-09-13T06:10:11"/>
    <s v="type40"/>
    <n v="-3542.7"/>
    <x v="5"/>
    <d v="2023-09-18T06:10:11"/>
    <x v="3"/>
    <d v="2023-10-03T00:00:00"/>
    <n v="19.742928240739275"/>
    <x v="0"/>
    <x v="6"/>
    <n v="14.742928240739275"/>
    <x v="6"/>
  </r>
  <r>
    <n v="1034"/>
    <s v="1034111"/>
    <d v="2023-09-25T06:10:11"/>
    <s v="type7"/>
    <n v="-10067.91"/>
    <x v="0"/>
    <d v="2023-09-30T06:10:11"/>
    <x v="4"/>
    <d v="2023-10-03T00:00:00"/>
    <n v="7.7429282407392748"/>
    <x v="1"/>
    <x v="14"/>
    <n v="2.7429282407392748"/>
    <x v="14"/>
  </r>
  <r>
    <n v="1012"/>
    <s v="1012111"/>
    <d v="2023-09-18T06:10:11"/>
    <s v="type40"/>
    <n v="-335.7"/>
    <x v="0"/>
    <d v="2023-09-20T06:10:11"/>
    <x v="2"/>
    <d v="2023-10-03T00:00:00"/>
    <n v="14.742928240739275"/>
    <x v="0"/>
    <x v="9"/>
    <n v="12.742928240739275"/>
    <x v="9"/>
  </r>
  <r>
    <n v="1004"/>
    <s v="1004111"/>
    <d v="2023-09-21T06:10:11"/>
    <s v="type40"/>
    <n v="20"/>
    <x v="2"/>
    <d v="2023-09-23T06:10:11"/>
    <x v="3"/>
    <d v="2023-10-03T00:00:00"/>
    <n v="11.742928240739275"/>
    <x v="0"/>
    <x v="3"/>
    <n v="9.7429282407392748"/>
    <x v="3"/>
  </r>
  <r>
    <n v="1014"/>
    <s v="1014111"/>
    <d v="2023-09-22T06:10:11"/>
    <s v="type40"/>
    <n v="10.74"/>
    <x v="5"/>
    <d v="2023-09-27T06:10:11"/>
    <x v="2"/>
    <d v="2023-10-03T00:00:00"/>
    <n v="10.742928240739275"/>
    <x v="0"/>
    <x v="12"/>
    <n v="5.7429282407392748"/>
    <x v="12"/>
  </r>
  <r>
    <n v="1001"/>
    <s v="1001111"/>
    <d v="2023-09-14T06:10:11"/>
    <s v="type11"/>
    <n v="9400"/>
    <x v="5"/>
    <d v="2023-09-19T06:10:11"/>
    <x v="3"/>
    <d v="2023-10-03T00:00:00"/>
    <n v="18.742928240739275"/>
    <x v="0"/>
    <x v="19"/>
    <n v="13.742928240739275"/>
    <x v="19"/>
  </r>
  <r>
    <n v="1006"/>
    <s v="1006111"/>
    <d v="2023-09-11T06:10:11"/>
    <s v="type40"/>
    <n v="15.34"/>
    <x v="6"/>
    <d v="2023-09-13T06:10:11"/>
    <x v="1"/>
    <d v="2023-10-03T00:00:00"/>
    <n v="21.742928240739275"/>
    <x v="0"/>
    <x v="24"/>
    <n v="19.742928240739275"/>
    <x v="24"/>
  </r>
  <r>
    <n v="1024"/>
    <s v="1024111"/>
    <d v="2023-09-20T06:10:11"/>
    <s v="type40"/>
    <n v="-3333.07"/>
    <x v="5"/>
    <d v="2023-09-25T06:10:11"/>
    <x v="5"/>
    <d v="2023-10-03T00:00:00"/>
    <n v="12.742928240739275"/>
    <x v="0"/>
    <x v="11"/>
    <n v="7.7429282407392748"/>
    <x v="11"/>
  </r>
  <r>
    <n v="1032"/>
    <s v="1032111"/>
    <d v="2023-09-18T06:10:11"/>
    <s v="type54"/>
    <n v="-70"/>
    <x v="0"/>
    <d v="2023-09-25T06:10:11"/>
    <x v="4"/>
    <d v="2023-10-03T00:00:00"/>
    <n v="14.742928240739275"/>
    <x v="0"/>
    <x v="11"/>
    <n v="7.7429282407392748"/>
    <x v="11"/>
  </r>
  <r>
    <n v="1019"/>
    <s v="1019111"/>
    <d v="2023-09-24T06:10:11"/>
    <s v="type40"/>
    <n v="506.36"/>
    <x v="3"/>
    <d v="2023-10-01T06:10:11"/>
    <x v="0"/>
    <d v="2023-10-03T00:00:00"/>
    <n v="8.7429282407392748"/>
    <x v="1"/>
    <x v="22"/>
    <n v="1.7429282407392748"/>
    <x v="22"/>
  </r>
  <r>
    <n v="1020"/>
    <s v="1020111"/>
    <d v="2023-09-20T06:10:11"/>
    <s v="type8"/>
    <n v="66.239999999999995"/>
    <x v="3"/>
    <d v="2023-09-27T06:10:11"/>
    <x v="0"/>
    <d v="2023-10-03T00:00:00"/>
    <n v="12.742928240739275"/>
    <x v="0"/>
    <x v="12"/>
    <n v="5.7429282407392748"/>
    <x v="12"/>
  </r>
  <r>
    <n v="1013"/>
    <s v="1013111"/>
    <d v="2023-09-22T06:10:11"/>
    <s v="type54"/>
    <n v="-20.32"/>
    <x v="5"/>
    <d v="2023-09-27T06:10:11"/>
    <x v="2"/>
    <d v="2023-10-03T00:00:00"/>
    <n v="10.742928240739275"/>
    <x v="0"/>
    <x v="12"/>
    <n v="5.7429282407392748"/>
    <x v="12"/>
  </r>
  <r>
    <n v="1028"/>
    <s v="1028111"/>
    <d v="2023-09-18T06:10:11"/>
    <s v="type7"/>
    <n v="-10980.08"/>
    <x v="2"/>
    <d v="2023-09-23T06:10:11"/>
    <x v="5"/>
    <d v="2023-10-03T00:00:00"/>
    <n v="14.742928240739275"/>
    <x v="0"/>
    <x v="3"/>
    <n v="9.7429282407392748"/>
    <x v="3"/>
  </r>
  <r>
    <n v="1032"/>
    <s v="1032111"/>
    <d v="2023-09-26T06:10:11"/>
    <s v="type40"/>
    <n v="1310.1199999999999"/>
    <x v="0"/>
    <d v="2023-10-03T06:10:11"/>
    <x v="4"/>
    <d v="2023-10-03T00:00:00"/>
    <n v="6.7429282407392748"/>
    <x v="1"/>
    <x v="16"/>
    <n v="-0.25707175926072523"/>
    <x v="16"/>
  </r>
  <r>
    <n v="1021"/>
    <s v="1021111"/>
    <d v="2023-09-22T06:10:11"/>
    <s v="type7"/>
    <n v="-1076.8800000000001"/>
    <x v="3"/>
    <d v="2023-09-29T06:10:11"/>
    <x v="0"/>
    <d v="2023-10-03T00:00:00"/>
    <n v="10.742928240739275"/>
    <x v="0"/>
    <x v="13"/>
    <n v="3.7429282407392748"/>
    <x v="13"/>
  </r>
  <r>
    <n v="1012"/>
    <s v="1012111"/>
    <d v="2023-09-14T06:10:11"/>
    <s v="type40"/>
    <n v="-4064.31"/>
    <x v="5"/>
    <d v="2023-09-21T06:10:11"/>
    <x v="2"/>
    <d v="2023-10-03T00:00:00"/>
    <n v="18.742928240739275"/>
    <x v="0"/>
    <x v="1"/>
    <n v="11.742928240739275"/>
    <x v="1"/>
  </r>
  <r>
    <n v="1005"/>
    <s v="1005111"/>
    <d v="2023-09-21T06:10:11"/>
    <s v="type22"/>
    <n v="467.5"/>
    <x v="5"/>
    <d v="2023-09-28T06:10:11"/>
    <x v="3"/>
    <d v="2023-10-03T00:00:00"/>
    <n v="11.742928240739275"/>
    <x v="0"/>
    <x v="8"/>
    <n v="4.7429282407392748"/>
    <x v="8"/>
  </r>
  <r>
    <n v="1002"/>
    <s v="1002111"/>
    <d v="2023-09-15T06:10:11"/>
    <s v="type26"/>
    <n v="128.16999999999999"/>
    <x v="5"/>
    <d v="2023-09-22T06:10:11"/>
    <x v="3"/>
    <d v="2023-10-03T00:00:00"/>
    <n v="17.742928240739275"/>
    <x v="0"/>
    <x v="10"/>
    <n v="10.742928240739275"/>
    <x v="10"/>
  </r>
  <r>
    <n v="1013"/>
    <s v="1013111"/>
    <d v="2023-09-12T06:10:11"/>
    <s v="type40"/>
    <n v="94.97"/>
    <x v="6"/>
    <d v="2023-09-17T06:10:11"/>
    <x v="2"/>
    <d v="2023-10-03T00:00:00"/>
    <n v="20.742928240739275"/>
    <x v="0"/>
    <x v="4"/>
    <n v="15.742928240739275"/>
    <x v="4"/>
  </r>
  <r>
    <n v="1007"/>
    <s v="1007111"/>
    <d v="2023-09-19T06:10:11"/>
    <s v="type13"/>
    <n v="28202.97"/>
    <x v="4"/>
    <d v="2023-09-26T06:10:11"/>
    <x v="1"/>
    <d v="2023-10-03T00:00:00"/>
    <n v="13.742928240739275"/>
    <x v="0"/>
    <x v="7"/>
    <n v="6.7429282407392748"/>
    <x v="7"/>
  </r>
  <r>
    <n v="1020"/>
    <s v="1020111"/>
    <d v="2023-09-16T06:10:11"/>
    <s v="type40"/>
    <n v="27.79"/>
    <x v="5"/>
    <d v="2023-09-17T06:10:11"/>
    <x v="0"/>
    <d v="2023-10-03T00:00:00"/>
    <n v="16.742928240739275"/>
    <x v="0"/>
    <x v="4"/>
    <n v="15.742928240739275"/>
    <x v="4"/>
  </r>
  <r>
    <n v="1017"/>
    <s v="1017111"/>
    <d v="2023-09-18T06:10:11"/>
    <s v="type40"/>
    <n v="3282.71"/>
    <x v="6"/>
    <d v="2023-09-25T06:10:11"/>
    <x v="2"/>
    <d v="2023-10-03T00:00:00"/>
    <n v="14.742928240739275"/>
    <x v="0"/>
    <x v="11"/>
    <n v="7.7429282407392748"/>
    <x v="11"/>
  </r>
  <r>
    <n v="1011"/>
    <s v="1011111"/>
    <d v="2023-09-21T06:10:11"/>
    <s v="type40"/>
    <n v="-427.42"/>
    <x v="4"/>
    <d v="2023-09-28T06:10:11"/>
    <x v="1"/>
    <d v="2023-10-03T00:00:00"/>
    <n v="11.742928240739275"/>
    <x v="0"/>
    <x v="8"/>
    <n v="4.7429282407392748"/>
    <x v="8"/>
  </r>
  <r>
    <n v="1025"/>
    <s v="1025111"/>
    <d v="2023-09-21T06:10:11"/>
    <s v="type48"/>
    <n v="-743.72"/>
    <x v="5"/>
    <d v="2023-09-22T06:10:11"/>
    <x v="5"/>
    <d v="2023-10-03T00:00:00"/>
    <n v="11.742928240739275"/>
    <x v="0"/>
    <x v="10"/>
    <n v="10.742928240739275"/>
    <x v="10"/>
  </r>
  <r>
    <n v="1030"/>
    <s v="1030111"/>
    <d v="2023-09-18T06:10:11"/>
    <s v="type15"/>
    <n v="-5246.1337999999996"/>
    <x v="4"/>
    <d v="2023-09-25T06:10:11"/>
    <x v="4"/>
    <d v="2023-10-03T00:00:00"/>
    <n v="14.742928240739275"/>
    <x v="0"/>
    <x v="11"/>
    <n v="7.7429282407392748"/>
    <x v="11"/>
  </r>
  <r>
    <n v="1009"/>
    <s v="1009111"/>
    <d v="2023-09-16T06:10:11"/>
    <s v="type40"/>
    <n v="9604.85"/>
    <x v="4"/>
    <d v="2023-09-23T06:10:11"/>
    <x v="1"/>
    <d v="2023-10-03T00:00:00"/>
    <n v="16.742928240739275"/>
    <x v="0"/>
    <x v="3"/>
    <n v="9.7429282407392748"/>
    <x v="3"/>
  </r>
  <r>
    <n v="1010"/>
    <s v="1010111"/>
    <d v="2023-09-18T06:10:11"/>
    <s v="type13"/>
    <n v="26026.61"/>
    <x v="5"/>
    <d v="2023-09-19T06:10:11"/>
    <x v="1"/>
    <d v="2023-10-03T00:00:00"/>
    <n v="14.742928240739275"/>
    <x v="0"/>
    <x v="19"/>
    <n v="13.742928240739275"/>
    <x v="19"/>
  </r>
  <r>
    <n v="1030"/>
    <s v="1030111"/>
    <d v="2023-09-20T06:10:11"/>
    <s v="type40"/>
    <n v="-318.94"/>
    <x v="6"/>
    <d v="2023-09-27T06:10:11"/>
    <x v="4"/>
    <d v="2023-10-03T00:00:00"/>
    <n v="12.742928240739275"/>
    <x v="0"/>
    <x v="12"/>
    <n v="5.7429282407392748"/>
    <x v="12"/>
  </r>
  <r>
    <n v="1005"/>
    <s v="1005111"/>
    <d v="2023-09-21T06:10:11"/>
    <s v="type40"/>
    <n v="-377.61"/>
    <x v="2"/>
    <d v="2023-09-26T06:10:11"/>
    <x v="3"/>
    <d v="2023-10-03T00:00:00"/>
    <n v="11.742928240739275"/>
    <x v="0"/>
    <x v="7"/>
    <n v="6.7429282407392748"/>
    <x v="7"/>
  </r>
  <r>
    <n v="1030"/>
    <s v="1030111"/>
    <d v="2023-09-15T06:10:11"/>
    <s v="type40"/>
    <n v="4364.2"/>
    <x v="1"/>
    <d v="2023-09-16T06:10:11"/>
    <x v="4"/>
    <d v="2023-10-03T00:00:00"/>
    <n v="17.742928240739275"/>
    <x v="0"/>
    <x v="2"/>
    <n v="16.742928240739275"/>
    <x v="2"/>
  </r>
  <r>
    <n v="1034"/>
    <s v="1034111"/>
    <d v="2023-09-25T06:10:11"/>
    <s v="type40"/>
    <n v="409.24"/>
    <x v="1"/>
    <d v="2023-09-26T06:10:11"/>
    <x v="4"/>
    <d v="2023-10-03T00:00:00"/>
    <n v="7.7429282407392748"/>
    <x v="1"/>
    <x v="7"/>
    <n v="6.7429282407392748"/>
    <x v="7"/>
  </r>
  <r>
    <n v="1023"/>
    <s v="1023111"/>
    <d v="2023-09-16T06:10:11"/>
    <s v="type40"/>
    <n v="1488.61"/>
    <x v="3"/>
    <d v="2023-09-17T06:10:11"/>
    <x v="0"/>
    <d v="2023-10-03T00:00:00"/>
    <n v="16.742928240739275"/>
    <x v="0"/>
    <x v="4"/>
    <n v="15.742928240739275"/>
    <x v="4"/>
  </r>
  <r>
    <n v="1008"/>
    <s v="1008111"/>
    <d v="2023-09-17T06:10:11"/>
    <s v="type40"/>
    <n v="42"/>
    <x v="4"/>
    <d v="2023-09-18T06:10:11"/>
    <x v="1"/>
    <d v="2023-10-03T00:00:00"/>
    <n v="15.742928240739275"/>
    <x v="0"/>
    <x v="6"/>
    <n v="14.742928240739275"/>
    <x v="6"/>
  </r>
  <r>
    <n v="1027"/>
    <s v="1027111"/>
    <d v="2023-09-23T06:10:11"/>
    <s v="type30"/>
    <n v="244.3"/>
    <x v="4"/>
    <d v="2023-09-24T06:10:11"/>
    <x v="5"/>
    <d v="2023-10-03T00:00:00"/>
    <n v="9.7429282407392748"/>
    <x v="0"/>
    <x v="5"/>
    <n v="8.7429282407392748"/>
    <x v="5"/>
  </r>
  <r>
    <n v="1019"/>
    <s v="1019111"/>
    <d v="2023-09-18T06:10:11"/>
    <s v="type40"/>
    <n v="-435.15"/>
    <x v="3"/>
    <d v="2023-09-19T06:10:11"/>
    <x v="0"/>
    <d v="2023-10-03T00:00:00"/>
    <n v="14.742928240739275"/>
    <x v="0"/>
    <x v="19"/>
    <n v="13.742928240739275"/>
    <x v="19"/>
  </r>
  <r>
    <n v="1022"/>
    <s v="1022111"/>
    <d v="2023-09-20T06:10:11"/>
    <s v="type40"/>
    <n v="170.12"/>
    <x v="4"/>
    <d v="2023-09-22T06:10:11"/>
    <x v="0"/>
    <d v="2023-10-03T00:00:00"/>
    <n v="12.742928240739275"/>
    <x v="0"/>
    <x v="10"/>
    <n v="10.742928240739275"/>
    <x v="10"/>
  </r>
  <r>
    <n v="1015"/>
    <s v="1015111"/>
    <d v="2023-09-21T06:10:11"/>
    <s v="type40"/>
    <n v="25"/>
    <x v="4"/>
    <d v="2023-09-23T06:10:11"/>
    <x v="2"/>
    <d v="2023-10-03T00:00:00"/>
    <n v="11.742928240739275"/>
    <x v="0"/>
    <x v="3"/>
    <n v="9.7429282407392748"/>
    <x v="3"/>
  </r>
  <r>
    <n v="1022"/>
    <s v="1022111"/>
    <d v="2023-09-20T06:10:11"/>
    <s v="type36"/>
    <n v="154.47999999999999"/>
    <x v="3"/>
    <d v="2023-09-21T06:10:11"/>
    <x v="0"/>
    <d v="2023-10-03T00:00:00"/>
    <n v="12.742928240739275"/>
    <x v="0"/>
    <x v="1"/>
    <n v="11.742928240739275"/>
    <x v="1"/>
  </r>
  <r>
    <n v="1025"/>
    <s v="1025111"/>
    <d v="2023-09-20T06:10:11"/>
    <s v="type17"/>
    <n v="1010.27"/>
    <x v="5"/>
    <d v="2023-09-22T06:10:11"/>
    <x v="5"/>
    <d v="2023-10-03T00:00:00"/>
    <n v="12.742928240739275"/>
    <x v="0"/>
    <x v="10"/>
    <n v="10.742928240739275"/>
    <x v="10"/>
  </r>
  <r>
    <n v="1016"/>
    <s v="1016111"/>
    <d v="2023-09-22T06:10:11"/>
    <s v="type40"/>
    <n v="21.97"/>
    <x v="5"/>
    <d v="2023-09-24T06:10:11"/>
    <x v="2"/>
    <d v="2023-10-03T00:00:00"/>
    <n v="10.742928240739275"/>
    <x v="0"/>
    <x v="5"/>
    <n v="8.7429282407392748"/>
    <x v="5"/>
  </r>
  <r>
    <n v="1024"/>
    <s v="1024111"/>
    <d v="2023-09-16T06:10:11"/>
    <s v="type40"/>
    <n v="585.51"/>
    <x v="5"/>
    <d v="2023-09-21T06:10:11"/>
    <x v="5"/>
    <d v="2023-10-03T00:00:00"/>
    <n v="16.742928240739275"/>
    <x v="0"/>
    <x v="1"/>
    <n v="11.742928240739275"/>
    <x v="1"/>
  </r>
  <r>
    <n v="1017"/>
    <s v="1017111"/>
    <d v="2023-09-16T06:10:11"/>
    <s v="type40"/>
    <n v="76.680000000000007"/>
    <x v="6"/>
    <d v="2023-09-23T06:10:11"/>
    <x v="2"/>
    <d v="2023-10-03T00:00:00"/>
    <n v="16.742928240739275"/>
    <x v="0"/>
    <x v="3"/>
    <n v="9.7429282407392748"/>
    <x v="3"/>
  </r>
  <r>
    <n v="1002"/>
    <s v="1002111"/>
    <d v="2023-09-21T06:10:11"/>
    <s v="type40"/>
    <n v="30.79"/>
    <x v="5"/>
    <d v="2023-09-28T06:10:11"/>
    <x v="3"/>
    <d v="2023-10-03T00:00:00"/>
    <n v="11.742928240739275"/>
    <x v="0"/>
    <x v="8"/>
    <n v="4.7429282407392748"/>
    <x v="8"/>
  </r>
  <r>
    <n v="1003"/>
    <s v="1003111"/>
    <d v="2023-09-22T06:10:11"/>
    <s v="type8"/>
    <n v="63.1"/>
    <x v="5"/>
    <d v="2023-09-29T06:10:11"/>
    <x v="3"/>
    <d v="2023-10-03T00:00:00"/>
    <n v="10.742928240739275"/>
    <x v="0"/>
    <x v="13"/>
    <n v="3.7429282407392748"/>
    <x v="13"/>
  </r>
  <r>
    <n v="1034"/>
    <s v="1034111"/>
    <d v="2023-09-21T06:10:11"/>
    <s v="type40"/>
    <n v="10"/>
    <x v="6"/>
    <d v="2023-09-22T06:10:11"/>
    <x v="4"/>
    <d v="2023-10-03T00:00:00"/>
    <n v="11.742928240739275"/>
    <x v="0"/>
    <x v="10"/>
    <n v="10.742928240739275"/>
    <x v="10"/>
  </r>
  <r>
    <n v="1014"/>
    <s v="1014111"/>
    <d v="2023-09-23T06:10:11"/>
    <s v="type35"/>
    <n v="501.83"/>
    <x v="6"/>
    <d v="2023-09-24T06:10:11"/>
    <x v="2"/>
    <d v="2023-10-03T00:00:00"/>
    <n v="9.7429282407392748"/>
    <x v="0"/>
    <x v="5"/>
    <n v="8.7429282407392748"/>
    <x v="5"/>
  </r>
  <r>
    <n v="1025"/>
    <s v="1025111"/>
    <d v="2023-09-20T06:10:11"/>
    <s v="type40"/>
    <n v="0.2"/>
    <x v="5"/>
    <d v="2023-09-21T06:10:11"/>
    <x v="5"/>
    <d v="2023-10-03T00:00:00"/>
    <n v="12.742928240739275"/>
    <x v="0"/>
    <x v="1"/>
    <n v="11.742928240739275"/>
    <x v="1"/>
  </r>
  <r>
    <n v="1021"/>
    <s v="1021111"/>
    <d v="2023-09-16T06:10:11"/>
    <s v="type13"/>
    <n v="25965.279999999999"/>
    <x v="3"/>
    <d v="2023-09-18T06:10:11"/>
    <x v="0"/>
    <d v="2023-10-03T00:00:00"/>
    <n v="16.742928240739275"/>
    <x v="0"/>
    <x v="6"/>
    <n v="14.742928240739275"/>
    <x v="6"/>
  </r>
  <r>
    <n v="1024"/>
    <s v="1024111"/>
    <d v="2023-09-12T06:10:11"/>
    <s v="type17"/>
    <n v="481.61"/>
    <x v="4"/>
    <d v="2023-09-14T06:10:11"/>
    <x v="5"/>
    <d v="2023-10-03T00:00:00"/>
    <n v="20.742928240739275"/>
    <x v="0"/>
    <x v="20"/>
    <n v="18.742928240739275"/>
    <x v="20"/>
  </r>
  <r>
    <n v="1016"/>
    <s v="1016111"/>
    <d v="2023-09-13T06:10:11"/>
    <s v="type40"/>
    <n v="10"/>
    <x v="6"/>
    <d v="2023-09-14T06:10:11"/>
    <x v="2"/>
    <d v="2023-10-03T00:00:00"/>
    <n v="19.742928240739275"/>
    <x v="0"/>
    <x v="20"/>
    <n v="18.742928240739275"/>
    <x v="20"/>
  </r>
  <r>
    <n v="1009"/>
    <s v="1009111"/>
    <d v="2023-09-14T06:10:11"/>
    <s v="type7"/>
    <n v="-2837.86"/>
    <x v="4"/>
    <d v="2023-09-19T06:10:11"/>
    <x v="1"/>
    <d v="2023-10-03T00:00:00"/>
    <n v="18.742928240739275"/>
    <x v="0"/>
    <x v="19"/>
    <n v="13.742928240739275"/>
    <x v="19"/>
  </r>
  <r>
    <n v="1021"/>
    <s v="1021111"/>
    <d v="2023-09-19T06:10:11"/>
    <s v="type13"/>
    <n v="27279"/>
    <x v="3"/>
    <d v="2023-09-21T06:10:11"/>
    <x v="0"/>
    <d v="2023-10-03T00:00:00"/>
    <n v="13.742928240739275"/>
    <x v="0"/>
    <x v="1"/>
    <n v="11.742928240739275"/>
    <x v="1"/>
  </r>
  <r>
    <n v="1008"/>
    <s v="1008111"/>
    <d v="2023-09-18T06:10:11"/>
    <s v="type40"/>
    <n v="208.8"/>
    <x v="4"/>
    <d v="2023-09-23T06:10:11"/>
    <x v="1"/>
    <d v="2023-10-03T00:00:00"/>
    <n v="14.742928240739275"/>
    <x v="0"/>
    <x v="3"/>
    <n v="9.7429282407392748"/>
    <x v="3"/>
  </r>
  <r>
    <n v="1033"/>
    <s v="1033111"/>
    <d v="2023-09-14T06:10:11"/>
    <s v="type40"/>
    <n v="-4094.02"/>
    <x v="1"/>
    <d v="2023-09-16T06:10:11"/>
    <x v="4"/>
    <d v="2023-10-03T00:00:00"/>
    <n v="18.742928240739275"/>
    <x v="0"/>
    <x v="2"/>
    <n v="16.742928240739275"/>
    <x v="2"/>
  </r>
  <r>
    <n v="1024"/>
    <s v="1024111"/>
    <d v="2023-09-14T06:10:11"/>
    <s v="type40"/>
    <n v="50"/>
    <x v="5"/>
    <d v="2023-09-15T06:10:11"/>
    <x v="5"/>
    <d v="2023-10-03T00:00:00"/>
    <n v="18.742928240739275"/>
    <x v="0"/>
    <x v="0"/>
    <n v="17.742928240739275"/>
    <x v="0"/>
  </r>
  <r>
    <n v="1019"/>
    <s v="1019111"/>
    <d v="2023-09-16T06:10:11"/>
    <s v="type40"/>
    <n v="386.51"/>
    <x v="5"/>
    <d v="2023-09-18T06:10:11"/>
    <x v="0"/>
    <d v="2023-10-03T00:00:00"/>
    <n v="16.742928240739275"/>
    <x v="0"/>
    <x v="6"/>
    <n v="14.742928240739275"/>
    <x v="6"/>
  </r>
  <r>
    <n v="1012"/>
    <s v="1012111"/>
    <d v="2023-09-18T06:10:11"/>
    <s v="type7"/>
    <n v="-14036.29"/>
    <x v="5"/>
    <d v="2023-09-20T06:10:11"/>
    <x v="2"/>
    <d v="2023-10-03T00:00:00"/>
    <n v="14.742928240739275"/>
    <x v="0"/>
    <x v="9"/>
    <n v="12.742928240739275"/>
    <x v="9"/>
  </r>
  <r>
    <n v="1022"/>
    <s v="1022111"/>
    <d v="2023-09-23T06:10:11"/>
    <s v="type40"/>
    <n v="705.56"/>
    <x v="3"/>
    <d v="2023-09-25T06:10:11"/>
    <x v="0"/>
    <d v="2023-10-03T00:00:00"/>
    <n v="9.7429282407392748"/>
    <x v="0"/>
    <x v="11"/>
    <n v="7.7429282407392748"/>
    <x v="11"/>
  </r>
  <r>
    <n v="1006"/>
    <s v="1006111"/>
    <d v="2023-09-14T06:10:11"/>
    <s v="type40"/>
    <n v="90.46"/>
    <x v="6"/>
    <d v="2023-09-16T06:10:11"/>
    <x v="1"/>
    <d v="2023-10-03T00:00:00"/>
    <n v="18.742928240739275"/>
    <x v="0"/>
    <x v="2"/>
    <n v="16.742928240739275"/>
    <x v="2"/>
  </r>
  <r>
    <n v="1024"/>
    <s v="1024111"/>
    <d v="2023-09-18T06:10:11"/>
    <s v="type40"/>
    <n v="28.95"/>
    <x v="4"/>
    <d v="2023-09-25T06:10:11"/>
    <x v="5"/>
    <d v="2023-10-03T00:00:00"/>
    <n v="14.742928240739275"/>
    <x v="0"/>
    <x v="11"/>
    <n v="7.7429282407392748"/>
    <x v="11"/>
  </r>
  <r>
    <n v="1007"/>
    <s v="1007111"/>
    <d v="2023-09-21T06:10:11"/>
    <s v="type13"/>
    <n v="27395.25"/>
    <x v="5"/>
    <d v="2023-09-23T06:10:11"/>
    <x v="1"/>
    <d v="2023-10-03T00:00:00"/>
    <n v="11.742928240739275"/>
    <x v="0"/>
    <x v="3"/>
    <n v="9.7429282407392748"/>
    <x v="3"/>
  </r>
  <r>
    <n v="1021"/>
    <s v="1021111"/>
    <d v="2023-09-27T06:10:11"/>
    <s v="type40"/>
    <n v="76.84"/>
    <x v="3"/>
    <d v="2023-09-29T06:10:11"/>
    <x v="0"/>
    <d v="2023-10-03T00:00:00"/>
    <n v="5.7429282407392748"/>
    <x v="2"/>
    <x v="13"/>
    <n v="3.7429282407392748"/>
    <x v="13"/>
  </r>
  <r>
    <n v="1035"/>
    <s v="1035111"/>
    <d v="2023-09-22T06:10:11"/>
    <s v="type40"/>
    <n v="31"/>
    <x v="2"/>
    <d v="2023-09-29T06:10:11"/>
    <x v="4"/>
    <d v="2023-10-03T00:00:00"/>
    <n v="10.742928240739275"/>
    <x v="0"/>
    <x v="13"/>
    <n v="3.7429282407392748"/>
    <x v="13"/>
  </r>
  <r>
    <n v="1032"/>
    <s v="1032111"/>
    <d v="2023-09-10T06:10:11"/>
    <s v="type40"/>
    <n v="60"/>
    <x v="1"/>
    <d v="2023-09-12T06:10:11"/>
    <x v="4"/>
    <d v="2023-10-03T00:00:00"/>
    <n v="22.742928240739275"/>
    <x v="0"/>
    <x v="18"/>
    <n v="20.742928240739275"/>
    <x v="18"/>
  </r>
  <r>
    <n v="1024"/>
    <s v="1024111"/>
    <d v="2023-09-15T06:10:11"/>
    <s v="type35"/>
    <n v="3183.19"/>
    <x v="6"/>
    <d v="2023-09-17T06:10:11"/>
    <x v="5"/>
    <d v="2023-10-03T00:00:00"/>
    <n v="17.742928240739275"/>
    <x v="0"/>
    <x v="4"/>
    <n v="15.742928240739275"/>
    <x v="4"/>
  </r>
  <r>
    <n v="1023"/>
    <s v="1023111"/>
    <d v="2023-09-21T06:10:11"/>
    <s v="type35"/>
    <n v="4618.22"/>
    <x v="6"/>
    <d v="2023-09-26T06:10:11"/>
    <x v="0"/>
    <d v="2023-10-03T00:00:00"/>
    <n v="11.742928240739275"/>
    <x v="0"/>
    <x v="7"/>
    <n v="6.7429282407392748"/>
    <x v="7"/>
  </r>
  <r>
    <n v="1012"/>
    <s v="1012111"/>
    <d v="2023-09-17T06:10:11"/>
    <s v="type38"/>
    <n v="179.05"/>
    <x v="5"/>
    <d v="2023-09-19T06:10:11"/>
    <x v="2"/>
    <d v="2023-10-03T00:00:00"/>
    <n v="15.742928240739275"/>
    <x v="0"/>
    <x v="19"/>
    <n v="13.742928240739275"/>
    <x v="19"/>
  </r>
  <r>
    <n v="1022"/>
    <s v="1022111"/>
    <d v="2023-09-13T06:10:11"/>
    <s v="type40"/>
    <n v="133.13999999999999"/>
    <x v="3"/>
    <d v="2023-09-18T06:10:11"/>
    <x v="0"/>
    <d v="2023-10-03T00:00:00"/>
    <n v="19.742928240739275"/>
    <x v="0"/>
    <x v="6"/>
    <n v="14.742928240739275"/>
    <x v="6"/>
  </r>
  <r>
    <n v="1001"/>
    <s v="1001111"/>
    <d v="2023-09-21T06:10:11"/>
    <s v="type13"/>
    <n v="25562.31"/>
    <x v="5"/>
    <d v="2023-09-23T06:10:11"/>
    <x v="3"/>
    <d v="2023-10-03T00:00:00"/>
    <n v="11.742928240739275"/>
    <x v="0"/>
    <x v="3"/>
    <n v="9.7429282407392748"/>
    <x v="3"/>
  </r>
  <r>
    <n v="1011"/>
    <s v="1011111"/>
    <d v="2023-09-10T06:10:11"/>
    <s v="type40"/>
    <n v="618.14"/>
    <x v="5"/>
    <d v="2023-09-17T06:10:11"/>
    <x v="1"/>
    <d v="2023-10-03T00:00:00"/>
    <n v="22.742928240739275"/>
    <x v="0"/>
    <x v="4"/>
    <n v="15.742928240739275"/>
    <x v="4"/>
  </r>
  <r>
    <n v="1020"/>
    <s v="1020111"/>
    <d v="2023-09-12T06:10:11"/>
    <s v="type27"/>
    <n v="706.84"/>
    <x v="5"/>
    <d v="2023-09-19T06:10:11"/>
    <x v="0"/>
    <d v="2023-10-03T00:00:00"/>
    <n v="20.742928240739275"/>
    <x v="0"/>
    <x v="19"/>
    <n v="13.742928240739275"/>
    <x v="19"/>
  </r>
  <r>
    <n v="1019"/>
    <s v="1019111"/>
    <d v="2023-09-15T06:10:11"/>
    <s v="type22"/>
    <n v="409.45"/>
    <x v="3"/>
    <d v="2023-09-20T06:10:11"/>
    <x v="0"/>
    <d v="2023-10-03T00:00:00"/>
    <n v="17.742928240739275"/>
    <x v="0"/>
    <x v="9"/>
    <n v="12.742928240739275"/>
    <x v="9"/>
  </r>
  <r>
    <n v="1014"/>
    <s v="1014111"/>
    <d v="2023-09-16T06:10:11"/>
    <s v="type40"/>
    <n v="-303.07"/>
    <x v="5"/>
    <d v="2023-09-23T06:10:11"/>
    <x v="2"/>
    <d v="2023-10-03T00:00:00"/>
    <n v="16.742928240739275"/>
    <x v="0"/>
    <x v="3"/>
    <n v="9.7429282407392748"/>
    <x v="3"/>
  </r>
  <r>
    <n v="1024"/>
    <s v="1024111"/>
    <d v="2023-09-20T06:10:11"/>
    <s v="type40"/>
    <n v="647.99"/>
    <x v="5"/>
    <d v="2023-09-21T06:10:11"/>
    <x v="5"/>
    <d v="2023-10-03T00:00:00"/>
    <n v="12.742928240739275"/>
    <x v="0"/>
    <x v="1"/>
    <n v="11.742928240739275"/>
    <x v="1"/>
  </r>
  <r>
    <n v="1007"/>
    <s v="1007111"/>
    <d v="2023-09-22T06:10:11"/>
    <s v="type40"/>
    <n v="-1630.74"/>
    <x v="5"/>
    <d v="2023-09-23T06:10:11"/>
    <x v="1"/>
    <d v="2023-10-03T00:00:00"/>
    <n v="10.742928240739275"/>
    <x v="0"/>
    <x v="3"/>
    <n v="9.7429282407392748"/>
    <x v="3"/>
  </r>
  <r>
    <n v="1029"/>
    <s v="1029111"/>
    <d v="2023-09-13T06:10:11"/>
    <s v="type18"/>
    <n v="263828.95"/>
    <x v="6"/>
    <d v="2023-09-20T06:10:11"/>
    <x v="5"/>
    <d v="2023-10-03T00:00:00"/>
    <n v="19.742928240739275"/>
    <x v="0"/>
    <x v="9"/>
    <n v="12.742928240739275"/>
    <x v="9"/>
  </r>
  <r>
    <n v="1019"/>
    <s v="1019111"/>
    <d v="2023-09-16T06:10:11"/>
    <s v="type7"/>
    <n v="-12174.18"/>
    <x v="5"/>
    <d v="2023-09-17T06:10:11"/>
    <x v="0"/>
    <d v="2023-10-03T00:00:00"/>
    <n v="16.742928240739275"/>
    <x v="0"/>
    <x v="4"/>
    <n v="15.742928240739275"/>
    <x v="4"/>
  </r>
  <r>
    <n v="1007"/>
    <s v="1007111"/>
    <d v="2023-09-23T06:10:11"/>
    <s v="type31"/>
    <n v="630.91"/>
    <x v="4"/>
    <d v="2023-09-30T06:10:11"/>
    <x v="1"/>
    <d v="2023-10-03T00:00:00"/>
    <n v="9.7429282407392748"/>
    <x v="0"/>
    <x v="14"/>
    <n v="2.7429282407392748"/>
    <x v="14"/>
  </r>
  <r>
    <n v="1019"/>
    <s v="1019111"/>
    <d v="2023-09-10T06:10:11"/>
    <s v="type40"/>
    <n v="-379.02"/>
    <x v="2"/>
    <d v="2023-09-17T06:10:11"/>
    <x v="0"/>
    <d v="2023-10-03T00:00:00"/>
    <n v="22.742928240739275"/>
    <x v="0"/>
    <x v="4"/>
    <n v="15.742928240739275"/>
    <x v="4"/>
  </r>
  <r>
    <n v="1012"/>
    <s v="1012111"/>
    <d v="2023-09-21T06:10:11"/>
    <s v="type35"/>
    <n v="2974.65"/>
    <x v="6"/>
    <d v="2023-09-22T06:10:11"/>
    <x v="2"/>
    <d v="2023-10-03T00:00:00"/>
    <n v="11.742928240739275"/>
    <x v="0"/>
    <x v="10"/>
    <n v="10.742928240739275"/>
    <x v="10"/>
  </r>
  <r>
    <n v="1016"/>
    <s v="1016111"/>
    <d v="2023-09-17T06:10:11"/>
    <s v="type23"/>
    <n v="346.4"/>
    <x v="4"/>
    <d v="2023-09-24T06:10:11"/>
    <x v="2"/>
    <d v="2023-10-03T00:00:00"/>
    <n v="15.742928240739275"/>
    <x v="0"/>
    <x v="5"/>
    <n v="8.7429282407392748"/>
    <x v="5"/>
  </r>
  <r>
    <n v="1018"/>
    <s v="1018111"/>
    <d v="2023-09-21T06:10:11"/>
    <s v="type8"/>
    <n v="58.5"/>
    <x v="5"/>
    <d v="2023-09-23T06:10:11"/>
    <x v="0"/>
    <d v="2023-10-03T00:00:00"/>
    <n v="11.742928240739275"/>
    <x v="0"/>
    <x v="3"/>
    <n v="9.7429282407392748"/>
    <x v="3"/>
  </r>
  <r>
    <n v="1030"/>
    <s v="1030111"/>
    <d v="2023-09-22T06:10:11"/>
    <s v="type27"/>
    <n v="714122.31"/>
    <x v="1"/>
    <d v="2023-09-29T06:10:11"/>
    <x v="4"/>
    <d v="2023-10-03T00:00:00"/>
    <n v="10.742928240739275"/>
    <x v="0"/>
    <x v="13"/>
    <n v="3.7429282407392748"/>
    <x v="13"/>
  </r>
  <r>
    <n v="1012"/>
    <s v="1012111"/>
    <d v="2023-09-18T06:10:11"/>
    <s v="type40"/>
    <n v="217.79"/>
    <x v="4"/>
    <d v="2023-09-19T06:10:11"/>
    <x v="2"/>
    <d v="2023-10-03T00:00:00"/>
    <n v="14.742928240739275"/>
    <x v="0"/>
    <x v="19"/>
    <n v="13.742928240739275"/>
    <x v="19"/>
  </r>
  <r>
    <n v="1031"/>
    <s v="1031111"/>
    <d v="2023-09-12T06:10:11"/>
    <s v="type41"/>
    <n v="458.5"/>
    <x v="4"/>
    <d v="2023-09-14T06:10:11"/>
    <x v="4"/>
    <d v="2023-10-03T00:00:00"/>
    <n v="20.742928240739275"/>
    <x v="0"/>
    <x v="20"/>
    <n v="18.742928240739275"/>
    <x v="20"/>
  </r>
  <r>
    <n v="1020"/>
    <s v="1020111"/>
    <d v="2023-09-23T06:10:11"/>
    <s v="type17"/>
    <n v="415.09"/>
    <x v="5"/>
    <d v="2023-09-25T06:10:11"/>
    <x v="0"/>
    <d v="2023-10-03T00:00:00"/>
    <n v="9.7429282407392748"/>
    <x v="0"/>
    <x v="11"/>
    <n v="7.7429282407392748"/>
    <x v="11"/>
  </r>
  <r>
    <n v="1013"/>
    <s v="1013111"/>
    <d v="2023-09-11T06:10:11"/>
    <s v="type40"/>
    <n v="-358.48"/>
    <x v="2"/>
    <d v="2023-09-18T06:10:11"/>
    <x v="2"/>
    <d v="2023-10-03T00:00:00"/>
    <n v="21.742928240739275"/>
    <x v="0"/>
    <x v="6"/>
    <n v="14.742928240739275"/>
    <x v="6"/>
  </r>
  <r>
    <n v="1027"/>
    <s v="1027111"/>
    <d v="2023-09-15T06:10:11"/>
    <s v="type35"/>
    <n v="955.61"/>
    <x v="4"/>
    <d v="2023-09-17T06:10:11"/>
    <x v="5"/>
    <d v="2023-10-03T00:00:00"/>
    <n v="17.742928240739275"/>
    <x v="0"/>
    <x v="4"/>
    <n v="15.742928240739275"/>
    <x v="4"/>
  </r>
  <r>
    <n v="1006"/>
    <s v="1006111"/>
    <d v="2023-09-22T06:10:11"/>
    <s v="type13"/>
    <n v="42171.82"/>
    <x v="6"/>
    <d v="2023-09-23T06:10:11"/>
    <x v="1"/>
    <d v="2023-10-03T00:00:00"/>
    <n v="10.742928240739275"/>
    <x v="0"/>
    <x v="3"/>
    <n v="9.7429282407392748"/>
    <x v="3"/>
  </r>
  <r>
    <n v="1033"/>
    <s v="1033111"/>
    <d v="2023-09-19T06:10:11"/>
    <s v="type42"/>
    <n v="16503.330000000002"/>
    <x v="6"/>
    <d v="2023-09-21T06:10:11"/>
    <x v="4"/>
    <d v="2023-10-03T00:00:00"/>
    <n v="13.742928240739275"/>
    <x v="0"/>
    <x v="1"/>
    <n v="11.742928240739275"/>
    <x v="1"/>
  </r>
  <r>
    <n v="1014"/>
    <s v="1014111"/>
    <d v="2023-09-15T06:10:11"/>
    <s v="type40"/>
    <n v="350.91"/>
    <x v="4"/>
    <d v="2023-09-22T06:10:11"/>
    <x v="2"/>
    <d v="2023-10-03T00:00:00"/>
    <n v="17.742928240739275"/>
    <x v="0"/>
    <x v="10"/>
    <n v="10.742928240739275"/>
    <x v="10"/>
  </r>
  <r>
    <n v="1024"/>
    <s v="1024111"/>
    <d v="2023-09-20T06:10:11"/>
    <s v="type13"/>
    <n v="22332.11"/>
    <x v="4"/>
    <d v="2023-09-27T06:10:11"/>
    <x v="5"/>
    <d v="2023-10-03T00:00:00"/>
    <n v="12.742928240739275"/>
    <x v="0"/>
    <x v="12"/>
    <n v="5.7429282407392748"/>
    <x v="12"/>
  </r>
  <r>
    <n v="1020"/>
    <s v="1020111"/>
    <d v="2023-09-16T06:10:11"/>
    <s v="type48"/>
    <n v="-1140.8599999999999"/>
    <x v="2"/>
    <d v="2023-09-23T06:10:11"/>
    <x v="0"/>
    <d v="2023-10-03T00:00:00"/>
    <n v="16.742928240739275"/>
    <x v="0"/>
    <x v="3"/>
    <n v="9.7429282407392748"/>
    <x v="3"/>
  </r>
  <r>
    <n v="1018"/>
    <s v="1018111"/>
    <d v="2023-09-12T06:10:11"/>
    <s v="type16"/>
    <n v="3227"/>
    <x v="5"/>
    <d v="2023-09-14T06:10:11"/>
    <x v="0"/>
    <d v="2023-10-03T00:00:00"/>
    <n v="20.742928240739275"/>
    <x v="0"/>
    <x v="20"/>
    <n v="18.742928240739275"/>
    <x v="20"/>
  </r>
  <r>
    <n v="1005"/>
    <s v="1005111"/>
    <d v="2023-09-13T06:10:11"/>
    <s v="type40"/>
    <n v="416.23"/>
    <x v="4"/>
    <d v="2023-09-20T06:10:11"/>
    <x v="3"/>
    <d v="2023-10-03T00:00:00"/>
    <n v="19.742928240739275"/>
    <x v="0"/>
    <x v="9"/>
    <n v="12.742928240739275"/>
    <x v="9"/>
  </r>
  <r>
    <n v="1024"/>
    <s v="1024111"/>
    <d v="2023-09-21T06:10:11"/>
    <s v="type13"/>
    <n v="26525.279999999999"/>
    <x v="4"/>
    <d v="2023-09-28T06:10:11"/>
    <x v="5"/>
    <d v="2023-10-03T00:00:00"/>
    <n v="11.742928240739275"/>
    <x v="0"/>
    <x v="8"/>
    <n v="4.7429282407392748"/>
    <x v="8"/>
  </r>
  <r>
    <n v="1013"/>
    <s v="1013111"/>
    <d v="2023-09-20T06:10:11"/>
    <s v="type13"/>
    <n v="32781.199999999997"/>
    <x v="5"/>
    <d v="2023-09-25T06:10:11"/>
    <x v="2"/>
    <d v="2023-10-03T00:00:00"/>
    <n v="12.742928240739275"/>
    <x v="0"/>
    <x v="11"/>
    <n v="7.7429282407392748"/>
    <x v="11"/>
  </r>
  <r>
    <n v="1024"/>
    <s v="1024111"/>
    <d v="2023-09-23T06:10:11"/>
    <s v="type40"/>
    <n v="680.57"/>
    <x v="6"/>
    <d v="2023-09-25T06:10:11"/>
    <x v="5"/>
    <d v="2023-10-03T00:00:00"/>
    <n v="9.7429282407392748"/>
    <x v="0"/>
    <x v="11"/>
    <n v="7.7429282407392748"/>
    <x v="11"/>
  </r>
  <r>
    <n v="1019"/>
    <s v="1019111"/>
    <d v="2023-09-21T06:10:11"/>
    <s v="type13"/>
    <n v="43578.96"/>
    <x v="5"/>
    <d v="2023-09-26T06:10:11"/>
    <x v="0"/>
    <d v="2023-10-03T00:00:00"/>
    <n v="11.742928240739275"/>
    <x v="0"/>
    <x v="7"/>
    <n v="6.7429282407392748"/>
    <x v="7"/>
  </r>
  <r>
    <n v="1028"/>
    <s v="1028111"/>
    <d v="2023-09-14T06:10:11"/>
    <s v="type10"/>
    <n v="24.63"/>
    <x v="6"/>
    <d v="2023-09-16T06:10:11"/>
    <x v="5"/>
    <d v="2023-10-03T00:00:00"/>
    <n v="18.742928240739275"/>
    <x v="0"/>
    <x v="2"/>
    <n v="16.742928240739275"/>
    <x v="2"/>
  </r>
  <r>
    <n v="1034"/>
    <s v="1034111"/>
    <d v="2023-09-19T06:10:11"/>
    <s v="type40"/>
    <n v="-536.4"/>
    <x v="5"/>
    <d v="2023-09-26T06:10:11"/>
    <x v="4"/>
    <d v="2023-10-03T00:00:00"/>
    <n v="13.742928240739275"/>
    <x v="0"/>
    <x v="7"/>
    <n v="6.7429282407392748"/>
    <x v="7"/>
  </r>
  <r>
    <n v="1008"/>
    <s v="1008111"/>
    <d v="2023-09-21T06:10:11"/>
    <s v="type40"/>
    <n v="-5135.8999999999996"/>
    <x v="5"/>
    <d v="2023-09-22T06:10:11"/>
    <x v="1"/>
    <d v="2023-10-03T00:00:00"/>
    <n v="11.742928240739275"/>
    <x v="0"/>
    <x v="10"/>
    <n v="10.742928240739275"/>
    <x v="10"/>
  </r>
  <r>
    <n v="1009"/>
    <s v="1009111"/>
    <d v="2023-09-17T06:10:11"/>
    <s v="type40"/>
    <n v="7.11"/>
    <x v="2"/>
    <d v="2023-09-18T06:10:11"/>
    <x v="1"/>
    <d v="2023-10-03T00:00:00"/>
    <n v="15.742928240739275"/>
    <x v="0"/>
    <x v="6"/>
    <n v="14.742928240739275"/>
    <x v="6"/>
  </r>
  <r>
    <n v="1016"/>
    <s v="1016111"/>
    <d v="2023-09-20T06:10:11"/>
    <s v="type33"/>
    <n v="439.35"/>
    <x v="2"/>
    <d v="2023-09-21T06:10:11"/>
    <x v="2"/>
    <d v="2023-10-03T00:00:00"/>
    <n v="12.742928240739275"/>
    <x v="0"/>
    <x v="1"/>
    <n v="11.742928240739275"/>
    <x v="1"/>
  </r>
  <r>
    <n v="1009"/>
    <s v="1009111"/>
    <d v="2023-09-16T06:10:11"/>
    <s v="type40"/>
    <n v="50"/>
    <x v="2"/>
    <d v="2023-09-17T06:10:11"/>
    <x v="1"/>
    <d v="2023-10-03T00:00:00"/>
    <n v="16.742928240739275"/>
    <x v="0"/>
    <x v="4"/>
    <n v="15.742928240739275"/>
    <x v="4"/>
  </r>
  <r>
    <n v="1032"/>
    <s v="1032111"/>
    <d v="2023-09-10T06:10:11"/>
    <s v="type40"/>
    <n v="256.92"/>
    <x v="3"/>
    <d v="2023-09-11T06:10:11"/>
    <x v="4"/>
    <d v="2023-10-03T00:00:00"/>
    <n v="22.742928240739275"/>
    <x v="0"/>
    <x v="21"/>
    <n v="21.742928240739275"/>
    <x v="21"/>
  </r>
  <r>
    <n v="1025"/>
    <s v="1025111"/>
    <d v="2023-09-11T06:10:11"/>
    <s v="type40"/>
    <n v="184.76"/>
    <x v="3"/>
    <d v="2023-09-12T06:10:11"/>
    <x v="5"/>
    <d v="2023-10-03T00:00:00"/>
    <n v="21.742928240739275"/>
    <x v="0"/>
    <x v="18"/>
    <n v="20.742928240739275"/>
    <x v="18"/>
  </r>
  <r>
    <n v="1032"/>
    <s v="1032111"/>
    <d v="2023-09-23T06:10:11"/>
    <s v="type13"/>
    <n v="42834.75"/>
    <x v="4"/>
    <d v="2023-09-30T06:10:11"/>
    <x v="4"/>
    <d v="2023-10-03T00:00:00"/>
    <n v="9.7429282407392748"/>
    <x v="0"/>
    <x v="14"/>
    <n v="2.7429282407392748"/>
    <x v="14"/>
  </r>
  <r>
    <n v="1021"/>
    <s v="1021111"/>
    <d v="2023-09-15T06:10:11"/>
    <s v="type26"/>
    <n v="143.9"/>
    <x v="6"/>
    <d v="2023-09-17T06:10:11"/>
    <x v="0"/>
    <d v="2023-10-03T00:00:00"/>
    <n v="17.742928240739275"/>
    <x v="0"/>
    <x v="4"/>
    <n v="15.742928240739275"/>
    <x v="4"/>
  </r>
  <r>
    <n v="1034"/>
    <s v="1034111"/>
    <d v="2023-09-13T06:10:11"/>
    <s v="type35"/>
    <n v="2980.32"/>
    <x v="1"/>
    <d v="2023-09-14T06:10:11"/>
    <x v="4"/>
    <d v="2023-10-03T00:00:00"/>
    <n v="19.742928240739275"/>
    <x v="0"/>
    <x v="20"/>
    <n v="18.742928240739275"/>
    <x v="20"/>
  </r>
  <r>
    <n v="1002"/>
    <s v="1002111"/>
    <d v="2023-09-22T06:10:11"/>
    <s v="type40"/>
    <n v="348.03"/>
    <x v="5"/>
    <d v="2023-09-23T06:10:11"/>
    <x v="3"/>
    <d v="2023-10-03T00:00:00"/>
    <n v="10.742928240739275"/>
    <x v="0"/>
    <x v="3"/>
    <n v="9.7429282407392748"/>
    <x v="3"/>
  </r>
  <r>
    <n v="1023"/>
    <s v="1023111"/>
    <d v="2023-09-17T06:10:11"/>
    <s v="type40"/>
    <n v="1887.26"/>
    <x v="6"/>
    <d v="2023-09-22T06:10:11"/>
    <x v="0"/>
    <d v="2023-10-03T00:00:00"/>
    <n v="15.742928240739275"/>
    <x v="0"/>
    <x v="10"/>
    <n v="10.742928240739275"/>
    <x v="10"/>
  </r>
  <r>
    <n v="1009"/>
    <s v="1009111"/>
    <d v="2023-09-18T06:10:11"/>
    <s v="type40"/>
    <n v="19"/>
    <x v="2"/>
    <d v="2023-09-19T06:10:11"/>
    <x v="1"/>
    <d v="2023-10-03T00:00:00"/>
    <n v="14.742928240739275"/>
    <x v="0"/>
    <x v="19"/>
    <n v="13.742928240739275"/>
    <x v="19"/>
  </r>
  <r>
    <n v="1024"/>
    <s v="1024111"/>
    <d v="2023-09-18T06:10:11"/>
    <s v="type35"/>
    <n v="454.47"/>
    <x v="6"/>
    <d v="2023-09-23T06:10:11"/>
    <x v="5"/>
    <d v="2023-10-03T00:00:00"/>
    <n v="14.742928240739275"/>
    <x v="0"/>
    <x v="3"/>
    <n v="9.7429282407392748"/>
    <x v="3"/>
  </r>
  <r>
    <n v="1022"/>
    <s v="1022111"/>
    <d v="2023-09-16T06:10:11"/>
    <s v="type40"/>
    <n v="476.53"/>
    <x v="5"/>
    <d v="2023-09-17T06:10:11"/>
    <x v="0"/>
    <d v="2023-10-03T00:00:00"/>
    <n v="16.742928240739275"/>
    <x v="0"/>
    <x v="4"/>
    <n v="15.742928240739275"/>
    <x v="4"/>
  </r>
  <r>
    <n v="1035"/>
    <s v="1035111"/>
    <d v="2023-09-20T06:10:11"/>
    <s v="type14"/>
    <n v="5595.45"/>
    <x v="2"/>
    <d v="2023-09-22T06:10:11"/>
    <x v="4"/>
    <d v="2023-10-03T00:00:00"/>
    <n v="12.742928240739275"/>
    <x v="0"/>
    <x v="10"/>
    <n v="10.742928240739275"/>
    <x v="10"/>
  </r>
  <r>
    <n v="1000"/>
    <s v="1000111"/>
    <d v="2023-09-17T06:10:11"/>
    <s v="type41"/>
    <n v="379"/>
    <x v="3"/>
    <d v="2023-09-19T06:10:11"/>
    <x v="3"/>
    <d v="2023-10-03T00:00:00"/>
    <n v="15.742928240739275"/>
    <x v="0"/>
    <x v="19"/>
    <n v="13.742928240739275"/>
    <x v="19"/>
  </r>
  <r>
    <n v="1021"/>
    <s v="1021111"/>
    <d v="2023-09-17T06:10:11"/>
    <s v="type8"/>
    <n v="200"/>
    <x v="4"/>
    <d v="2023-09-18T06:10:11"/>
    <x v="0"/>
    <d v="2023-10-03T00:00:00"/>
    <n v="15.742928240739275"/>
    <x v="0"/>
    <x v="6"/>
    <n v="14.742928240739275"/>
    <x v="6"/>
  </r>
  <r>
    <n v="1014"/>
    <s v="1014111"/>
    <d v="2023-09-18T06:10:11"/>
    <s v="type40"/>
    <n v="-926.13"/>
    <x v="4"/>
    <d v="2023-09-19T06:10:11"/>
    <x v="2"/>
    <d v="2023-10-03T00:00:00"/>
    <n v="14.742928240739275"/>
    <x v="0"/>
    <x v="19"/>
    <n v="13.742928240739275"/>
    <x v="19"/>
  </r>
  <r>
    <n v="1030"/>
    <s v="1030111"/>
    <d v="2023-09-19T06:10:11"/>
    <s v="type40"/>
    <n v="-307.98"/>
    <x v="1"/>
    <d v="2023-09-21T06:10:11"/>
    <x v="4"/>
    <d v="2023-10-03T00:00:00"/>
    <n v="13.742928240739275"/>
    <x v="0"/>
    <x v="1"/>
    <n v="11.742928240739275"/>
    <x v="1"/>
  </r>
  <r>
    <n v="1021"/>
    <s v="1021111"/>
    <d v="2023-09-20T06:10:11"/>
    <s v="type49"/>
    <n v="0"/>
    <x v="3"/>
    <d v="2023-09-22T06:10:11"/>
    <x v="0"/>
    <d v="2023-10-03T00:00:00"/>
    <n v="12.742928240739275"/>
    <x v="0"/>
    <x v="10"/>
    <n v="10.742928240739275"/>
    <x v="10"/>
  </r>
  <r>
    <n v="1007"/>
    <s v="1007111"/>
    <d v="2023-09-22T06:10:11"/>
    <s v="type40"/>
    <n v="835.28"/>
    <x v="2"/>
    <d v="2023-09-24T06:10:11"/>
    <x v="1"/>
    <d v="2023-10-03T00:00:00"/>
    <n v="10.742928240739275"/>
    <x v="0"/>
    <x v="5"/>
    <n v="8.7429282407392748"/>
    <x v="5"/>
  </r>
  <r>
    <n v="1030"/>
    <s v="1030111"/>
    <d v="2023-09-11T06:10:11"/>
    <s v="type32"/>
    <n v="5503.44"/>
    <x v="2"/>
    <d v="2023-09-13T06:10:11"/>
    <x v="4"/>
    <d v="2023-10-03T00:00:00"/>
    <n v="21.742928240739275"/>
    <x v="0"/>
    <x v="24"/>
    <n v="19.742928240739275"/>
    <x v="24"/>
  </r>
  <r>
    <n v="1018"/>
    <s v="1018111"/>
    <d v="2023-09-25T06:10:11"/>
    <s v="type40"/>
    <n v="13.72"/>
    <x v="3"/>
    <d v="2023-09-27T06:10:11"/>
    <x v="0"/>
    <d v="2023-10-03T00:00:00"/>
    <n v="7.7429282407392748"/>
    <x v="1"/>
    <x v="12"/>
    <n v="5.7429282407392748"/>
    <x v="12"/>
  </r>
  <r>
    <n v="1033"/>
    <s v="1033111"/>
    <d v="2023-09-20T06:10:11"/>
    <s v="type40"/>
    <n v="635.1"/>
    <x v="5"/>
    <d v="2023-09-21T06:10:11"/>
    <x v="4"/>
    <d v="2023-10-03T00:00:00"/>
    <n v="12.742928240739275"/>
    <x v="0"/>
    <x v="1"/>
    <n v="11.742928240739275"/>
    <x v="1"/>
  </r>
  <r>
    <n v="1026"/>
    <s v="1026111"/>
    <d v="2023-09-19T06:10:11"/>
    <s v="type40"/>
    <n v="8.15"/>
    <x v="4"/>
    <d v="2023-09-20T06:10:11"/>
    <x v="5"/>
    <d v="2023-10-03T00:00:00"/>
    <n v="13.742928240739275"/>
    <x v="0"/>
    <x v="9"/>
    <n v="12.742928240739275"/>
    <x v="9"/>
  </r>
  <r>
    <n v="1024"/>
    <s v="1024111"/>
    <d v="2023-09-24T06:10:11"/>
    <s v="type18"/>
    <n v="307"/>
    <x v="3"/>
    <d v="2023-09-26T06:10:11"/>
    <x v="5"/>
    <d v="2023-10-03T00:00:00"/>
    <n v="8.7429282407392748"/>
    <x v="1"/>
    <x v="7"/>
    <n v="6.7429282407392748"/>
    <x v="7"/>
  </r>
  <r>
    <n v="1010"/>
    <s v="1010111"/>
    <d v="2023-09-13T06:10:11"/>
    <s v="type9"/>
    <n v="100"/>
    <x v="2"/>
    <d v="2023-09-15T06:10:11"/>
    <x v="1"/>
    <d v="2023-10-03T00:00:00"/>
    <n v="19.742928240739275"/>
    <x v="0"/>
    <x v="0"/>
    <n v="17.742928240739275"/>
    <x v="0"/>
  </r>
  <r>
    <n v="1002"/>
    <s v="1002111"/>
    <d v="2023-09-18T06:10:11"/>
    <s v="type40"/>
    <n v="3590.59"/>
    <x v="5"/>
    <d v="2023-09-20T06:10:11"/>
    <x v="3"/>
    <d v="2023-10-03T00:00:00"/>
    <n v="14.742928240739275"/>
    <x v="0"/>
    <x v="9"/>
    <n v="12.742928240739275"/>
    <x v="9"/>
  </r>
  <r>
    <n v="1019"/>
    <s v="1019111"/>
    <d v="2023-09-17T06:10:11"/>
    <s v="type15"/>
    <n v="-1519.98"/>
    <x v="3"/>
    <d v="2023-09-19T06:10:11"/>
    <x v="0"/>
    <d v="2023-10-03T00:00:00"/>
    <n v="15.742928240739275"/>
    <x v="0"/>
    <x v="19"/>
    <n v="13.742928240739275"/>
    <x v="19"/>
  </r>
  <r>
    <n v="1006"/>
    <s v="1006111"/>
    <d v="2023-09-20T06:10:11"/>
    <s v="type40"/>
    <n v="301.73"/>
    <x v="4"/>
    <d v="2023-09-22T06:10:11"/>
    <x v="1"/>
    <d v="2023-10-03T00:00:00"/>
    <n v="12.742928240739275"/>
    <x v="0"/>
    <x v="10"/>
    <n v="10.742928240739275"/>
    <x v="10"/>
  </r>
  <r>
    <n v="1025"/>
    <s v="1025111"/>
    <d v="2023-09-16T06:10:11"/>
    <s v="type40"/>
    <n v="509.2"/>
    <x v="3"/>
    <d v="2023-09-21T06:10:11"/>
    <x v="5"/>
    <d v="2023-10-03T00:00:00"/>
    <n v="16.742928240739275"/>
    <x v="0"/>
    <x v="1"/>
    <n v="11.742928240739275"/>
    <x v="1"/>
  </r>
  <r>
    <n v="1026"/>
    <s v="1026111"/>
    <d v="2023-09-10T06:10:11"/>
    <s v="type40"/>
    <n v="-309.74"/>
    <x v="4"/>
    <d v="2023-09-12T06:10:11"/>
    <x v="5"/>
    <d v="2023-10-03T00:00:00"/>
    <n v="22.742928240739275"/>
    <x v="0"/>
    <x v="18"/>
    <n v="20.742928240739275"/>
    <x v="18"/>
  </r>
  <r>
    <n v="1007"/>
    <s v="1007111"/>
    <d v="2023-09-15T06:10:11"/>
    <s v="type40"/>
    <n v="23"/>
    <x v="2"/>
    <d v="2023-09-20T06:10:11"/>
    <x v="1"/>
    <d v="2023-10-03T00:00:00"/>
    <n v="17.742928240739275"/>
    <x v="0"/>
    <x v="9"/>
    <n v="12.742928240739275"/>
    <x v="9"/>
  </r>
  <r>
    <n v="1035"/>
    <s v="1035111"/>
    <d v="2023-09-14T06:10:11"/>
    <s v="type10"/>
    <n v="30"/>
    <x v="4"/>
    <d v="2023-09-19T06:10:11"/>
    <x v="4"/>
    <d v="2023-10-03T00:00:00"/>
    <n v="18.742928240739275"/>
    <x v="0"/>
    <x v="19"/>
    <n v="13.742928240739275"/>
    <x v="19"/>
  </r>
  <r>
    <n v="1028"/>
    <s v="1028111"/>
    <d v="2023-09-19T06:10:11"/>
    <s v="type40"/>
    <n v="131.94"/>
    <x v="1"/>
    <d v="2023-09-24T06:10:11"/>
    <x v="5"/>
    <d v="2023-10-03T00:00:00"/>
    <n v="13.742928240739275"/>
    <x v="0"/>
    <x v="5"/>
    <n v="8.7429282407392748"/>
    <x v="5"/>
  </r>
  <r>
    <n v="1024"/>
    <s v="1024111"/>
    <d v="2023-09-19T06:10:11"/>
    <s v="type40"/>
    <n v="626.07000000000005"/>
    <x v="5"/>
    <d v="2023-09-21T06:10:11"/>
    <x v="5"/>
    <d v="2023-10-03T00:00:00"/>
    <n v="13.742928240739275"/>
    <x v="0"/>
    <x v="1"/>
    <n v="11.742928240739275"/>
    <x v="1"/>
  </r>
  <r>
    <n v="1019"/>
    <s v="1019111"/>
    <d v="2023-09-20T06:10:11"/>
    <s v="type27"/>
    <n v="3072.28"/>
    <x v="3"/>
    <d v="2023-09-25T06:10:11"/>
    <x v="0"/>
    <d v="2023-10-03T00:00:00"/>
    <n v="12.742928240739275"/>
    <x v="0"/>
    <x v="11"/>
    <n v="7.7429282407392748"/>
    <x v="11"/>
  </r>
  <r>
    <n v="1030"/>
    <s v="1030111"/>
    <d v="2023-09-20T06:10:11"/>
    <s v="type13"/>
    <n v="33647.760000000002"/>
    <x v="2"/>
    <d v="2023-09-27T06:10:11"/>
    <x v="4"/>
    <d v="2023-10-03T00:00:00"/>
    <n v="12.742928240739275"/>
    <x v="0"/>
    <x v="12"/>
    <n v="5.7429282407392748"/>
    <x v="12"/>
  </r>
  <r>
    <n v="1008"/>
    <s v="1008111"/>
    <d v="2023-09-18T06:10:11"/>
    <s v="type40"/>
    <n v="6.32"/>
    <x v="6"/>
    <d v="2023-09-23T06:10:11"/>
    <x v="1"/>
    <d v="2023-10-03T00:00:00"/>
    <n v="14.742928240739275"/>
    <x v="0"/>
    <x v="3"/>
    <n v="9.7429282407392748"/>
    <x v="3"/>
  </r>
  <r>
    <n v="1030"/>
    <s v="1030111"/>
    <d v="2023-09-13T06:10:11"/>
    <s v="type40"/>
    <n v="370.01"/>
    <x v="2"/>
    <d v="2023-09-14T06:10:11"/>
    <x v="4"/>
    <d v="2023-10-03T00:00:00"/>
    <n v="19.742928240739275"/>
    <x v="0"/>
    <x v="20"/>
    <n v="18.742928240739275"/>
    <x v="20"/>
  </r>
  <r>
    <n v="1023"/>
    <s v="1023111"/>
    <d v="2023-09-23T06:10:11"/>
    <s v="type16"/>
    <n v="-2341"/>
    <x v="1"/>
    <d v="2023-09-30T06:10:11"/>
    <x v="0"/>
    <d v="2023-10-03T00:00:00"/>
    <n v="9.7429282407392748"/>
    <x v="0"/>
    <x v="14"/>
    <n v="2.7429282407392748"/>
    <x v="14"/>
  </r>
  <r>
    <n v="1001"/>
    <s v="1001111"/>
    <d v="2023-09-15T06:10:11"/>
    <s v="type13"/>
    <n v="24798.880000000001"/>
    <x v="2"/>
    <d v="2023-09-16T06:10:11"/>
    <x v="3"/>
    <d v="2023-10-03T00:00:00"/>
    <n v="17.742928240739275"/>
    <x v="0"/>
    <x v="2"/>
    <n v="16.742928240739275"/>
    <x v="2"/>
  </r>
  <r>
    <n v="1001"/>
    <s v="1001111"/>
    <d v="2023-09-19T06:10:11"/>
    <s v="type40"/>
    <n v="-972.54"/>
    <x v="2"/>
    <d v="2023-09-21T06:10:11"/>
    <x v="3"/>
    <d v="2023-10-03T00:00:00"/>
    <n v="13.742928240739275"/>
    <x v="0"/>
    <x v="1"/>
    <n v="11.742928240739275"/>
    <x v="1"/>
  </r>
  <r>
    <n v="1016"/>
    <s v="1016111"/>
    <d v="2023-09-21T06:10:11"/>
    <s v="type27"/>
    <n v="714123.91"/>
    <x v="2"/>
    <d v="2023-09-23T06:10:11"/>
    <x v="2"/>
    <d v="2023-10-03T00:00:00"/>
    <n v="11.742928240739275"/>
    <x v="0"/>
    <x v="3"/>
    <n v="9.7429282407392748"/>
    <x v="3"/>
  </r>
  <r>
    <n v="1018"/>
    <s v="1018111"/>
    <d v="2023-09-27T06:10:11"/>
    <s v="type40"/>
    <n v="43.34"/>
    <x v="1"/>
    <d v="2023-10-04T06:10:11"/>
    <x v="0"/>
    <d v="2023-10-03T00:00:00"/>
    <n v="5.7429282407392748"/>
    <x v="2"/>
    <x v="23"/>
    <n v="-1.2570717592607252"/>
    <x v="23"/>
  </r>
  <r>
    <n v="1018"/>
    <s v="1018111"/>
    <d v="2023-09-20T06:10:11"/>
    <s v="type40"/>
    <n v="378.04"/>
    <x v="5"/>
    <d v="2023-09-22T06:10:11"/>
    <x v="0"/>
    <d v="2023-10-03T00:00:00"/>
    <n v="12.742928240739275"/>
    <x v="0"/>
    <x v="10"/>
    <n v="10.742928240739275"/>
    <x v="10"/>
  </r>
  <r>
    <n v="1015"/>
    <s v="1015111"/>
    <d v="2023-09-17T06:10:11"/>
    <s v="type40"/>
    <n v="-1218.95"/>
    <x v="2"/>
    <d v="2023-09-19T06:10:11"/>
    <x v="2"/>
    <d v="2023-10-03T00:00:00"/>
    <n v="15.742928240739275"/>
    <x v="0"/>
    <x v="19"/>
    <n v="13.742928240739275"/>
    <x v="19"/>
  </r>
  <r>
    <n v="1028"/>
    <s v="1028111"/>
    <d v="2023-09-18T06:10:11"/>
    <s v="type13"/>
    <n v="21757.08"/>
    <x v="2"/>
    <d v="2023-09-20T06:10:11"/>
    <x v="5"/>
    <d v="2023-10-03T00:00:00"/>
    <n v="14.742928240739275"/>
    <x v="0"/>
    <x v="9"/>
    <n v="12.742928240739275"/>
    <x v="9"/>
  </r>
  <r>
    <n v="1027"/>
    <s v="1027111"/>
    <d v="2023-09-20T06:10:11"/>
    <s v="type35"/>
    <n v="861.5"/>
    <x v="4"/>
    <d v="2023-09-25T06:10:11"/>
    <x v="5"/>
    <d v="2023-10-03T00:00:00"/>
    <n v="12.742928240739275"/>
    <x v="0"/>
    <x v="11"/>
    <n v="7.7429282407392748"/>
    <x v="11"/>
  </r>
  <r>
    <n v="1012"/>
    <s v="1012111"/>
    <d v="2023-09-13T06:10:11"/>
    <s v="type40"/>
    <n v="-522.87"/>
    <x v="3"/>
    <d v="2023-09-20T06:10:11"/>
    <x v="2"/>
    <d v="2023-10-03T00:00:00"/>
    <n v="19.742928240739275"/>
    <x v="0"/>
    <x v="9"/>
    <n v="12.742928240739275"/>
    <x v="9"/>
  </r>
  <r>
    <n v="1015"/>
    <s v="1015111"/>
    <d v="2023-09-21T06:10:11"/>
    <s v="type40"/>
    <n v="-592.33000000000004"/>
    <x v="6"/>
    <d v="2023-09-28T06:10:11"/>
    <x v="2"/>
    <d v="2023-10-03T00:00:00"/>
    <n v="11.742928240739275"/>
    <x v="0"/>
    <x v="8"/>
    <n v="4.7429282407392748"/>
    <x v="8"/>
  </r>
  <r>
    <n v="1020"/>
    <s v="1020111"/>
    <d v="2023-09-14T06:10:11"/>
    <s v="type32"/>
    <n v="657"/>
    <x v="1"/>
    <d v="2023-09-21T06:10:11"/>
    <x v="0"/>
    <d v="2023-10-03T00:00:00"/>
    <n v="18.742928240739275"/>
    <x v="0"/>
    <x v="1"/>
    <n v="11.742928240739275"/>
    <x v="1"/>
  </r>
  <r>
    <n v="1023"/>
    <s v="1023111"/>
    <d v="2023-09-22T06:10:11"/>
    <s v="type35"/>
    <n v="879.83"/>
    <x v="5"/>
    <d v="2023-09-24T06:10:11"/>
    <x v="0"/>
    <d v="2023-10-03T00:00:00"/>
    <n v="10.742928240739275"/>
    <x v="0"/>
    <x v="5"/>
    <n v="8.7429282407392748"/>
    <x v="5"/>
  </r>
  <r>
    <n v="1000"/>
    <s v="1000111"/>
    <d v="2023-09-23T06:10:11"/>
    <s v="type8"/>
    <n v="100"/>
    <x v="4"/>
    <d v="2023-09-30T06:10:11"/>
    <x v="3"/>
    <d v="2023-10-03T00:00:00"/>
    <n v="9.7429282407392748"/>
    <x v="0"/>
    <x v="14"/>
    <n v="2.7429282407392748"/>
    <x v="14"/>
  </r>
  <r>
    <n v="1034"/>
    <s v="1034111"/>
    <d v="2023-09-20T06:10:11"/>
    <s v="type17"/>
    <n v="328.97"/>
    <x v="4"/>
    <d v="2023-09-27T06:10:11"/>
    <x v="4"/>
    <d v="2023-10-03T00:00:00"/>
    <n v="12.742928240739275"/>
    <x v="0"/>
    <x v="12"/>
    <n v="5.7429282407392748"/>
    <x v="12"/>
  </r>
  <r>
    <n v="1001"/>
    <s v="1001111"/>
    <d v="2023-09-14T06:10:11"/>
    <s v="type40"/>
    <n v="25"/>
    <x v="5"/>
    <d v="2023-09-16T06:10:11"/>
    <x v="3"/>
    <d v="2023-10-03T00:00:00"/>
    <n v="18.742928240739275"/>
    <x v="0"/>
    <x v="2"/>
    <n v="16.742928240739275"/>
    <x v="2"/>
  </r>
  <r>
    <n v="1006"/>
    <s v="1006111"/>
    <d v="2023-09-20T06:10:11"/>
    <s v="type13"/>
    <n v="34509.54"/>
    <x v="2"/>
    <d v="2023-09-22T06:10:11"/>
    <x v="1"/>
    <d v="2023-10-03T00:00:00"/>
    <n v="12.742928240739275"/>
    <x v="0"/>
    <x v="10"/>
    <n v="10.742928240739275"/>
    <x v="10"/>
  </r>
  <r>
    <n v="1027"/>
    <s v="1027111"/>
    <d v="2023-09-23T06:10:11"/>
    <s v="type40"/>
    <n v="40"/>
    <x v="2"/>
    <d v="2023-09-28T06:10:11"/>
    <x v="5"/>
    <d v="2023-10-03T00:00:00"/>
    <n v="9.7429282407392748"/>
    <x v="0"/>
    <x v="8"/>
    <n v="4.7429282407392748"/>
    <x v="8"/>
  </r>
  <r>
    <n v="1014"/>
    <s v="1014111"/>
    <d v="2023-09-15T06:10:11"/>
    <s v="type13"/>
    <n v="25963"/>
    <x v="5"/>
    <d v="2023-09-20T06:10:11"/>
    <x v="2"/>
    <d v="2023-10-03T00:00:00"/>
    <n v="17.742928240739275"/>
    <x v="0"/>
    <x v="9"/>
    <n v="12.742928240739275"/>
    <x v="9"/>
  </r>
  <r>
    <n v="1013"/>
    <s v="1013111"/>
    <d v="2023-09-18T06:10:11"/>
    <s v="type9"/>
    <n v="1066.93"/>
    <x v="3"/>
    <d v="2023-09-19T06:10:11"/>
    <x v="2"/>
    <d v="2023-10-03T00:00:00"/>
    <n v="14.742928240739275"/>
    <x v="0"/>
    <x v="19"/>
    <n v="13.742928240739275"/>
    <x v="19"/>
  </r>
  <r>
    <n v="1001"/>
    <s v="1001111"/>
    <d v="2023-09-19T06:10:11"/>
    <s v="type40"/>
    <n v="20"/>
    <x v="1"/>
    <d v="2023-09-20T06:10:11"/>
    <x v="3"/>
    <d v="2023-10-03T00:00:00"/>
    <n v="13.742928240739275"/>
    <x v="0"/>
    <x v="9"/>
    <n v="12.742928240739275"/>
    <x v="9"/>
  </r>
  <r>
    <n v="1020"/>
    <s v="1020111"/>
    <d v="2023-09-20T06:10:11"/>
    <s v="type22"/>
    <n v="1363.26"/>
    <x v="3"/>
    <d v="2023-09-21T06:10:11"/>
    <x v="0"/>
    <d v="2023-10-03T00:00:00"/>
    <n v="12.742928240739275"/>
    <x v="0"/>
    <x v="1"/>
    <n v="11.742928240739275"/>
    <x v="1"/>
  </r>
  <r>
    <n v="1026"/>
    <s v="1026111"/>
    <d v="2023-09-15T06:10:11"/>
    <s v="type1"/>
    <n v="17"/>
    <x v="2"/>
    <d v="2023-09-22T06:10:11"/>
    <x v="5"/>
    <d v="2023-10-03T00:00:00"/>
    <n v="17.742928240739275"/>
    <x v="0"/>
    <x v="10"/>
    <n v="10.742928240739275"/>
    <x v="10"/>
  </r>
  <r>
    <n v="1009"/>
    <s v="1009111"/>
    <d v="2023-09-18T06:10:11"/>
    <s v="type13"/>
    <n v="23222.49"/>
    <x v="6"/>
    <d v="2023-09-25T06:10:11"/>
    <x v="1"/>
    <d v="2023-10-03T00:00:00"/>
    <n v="14.742928240739275"/>
    <x v="0"/>
    <x v="11"/>
    <n v="7.7429282407392748"/>
    <x v="11"/>
  </r>
  <r>
    <n v="1034"/>
    <s v="1034111"/>
    <d v="2023-09-16T06:10:11"/>
    <s v="type34"/>
    <n v="267.75"/>
    <x v="5"/>
    <d v="2023-09-21T06:10:11"/>
    <x v="4"/>
    <d v="2023-10-03T00:00:00"/>
    <n v="16.742928240739275"/>
    <x v="0"/>
    <x v="1"/>
    <n v="11.742928240739275"/>
    <x v="1"/>
  </r>
  <r>
    <n v="1021"/>
    <s v="1021111"/>
    <d v="2023-09-21T06:10:11"/>
    <s v="type40"/>
    <n v="7644.51"/>
    <x v="6"/>
    <d v="2023-09-28T06:10:11"/>
    <x v="0"/>
    <d v="2023-10-03T00:00:00"/>
    <n v="11.742928240739275"/>
    <x v="0"/>
    <x v="8"/>
    <n v="4.7429282407392748"/>
    <x v="8"/>
  </r>
  <r>
    <n v="1006"/>
    <s v="1006111"/>
    <d v="2023-09-23T06:10:11"/>
    <s v="type40"/>
    <n v="-12245.64"/>
    <x v="3"/>
    <d v="2023-09-24T06:10:11"/>
    <x v="1"/>
    <d v="2023-10-03T00:00:00"/>
    <n v="9.7429282407392748"/>
    <x v="0"/>
    <x v="5"/>
    <n v="8.7429282407392748"/>
    <x v="5"/>
  </r>
  <r>
    <n v="1009"/>
    <s v="1009111"/>
    <d v="2023-09-11T06:10:11"/>
    <s v="type40"/>
    <n v="563.26"/>
    <x v="6"/>
    <d v="2023-09-12T06:10:11"/>
    <x v="1"/>
    <d v="2023-10-03T00:00:00"/>
    <n v="21.742928240739275"/>
    <x v="0"/>
    <x v="18"/>
    <n v="20.742928240739275"/>
    <x v="18"/>
  </r>
  <r>
    <n v="1011"/>
    <s v="1011111"/>
    <d v="2023-09-17T06:10:11"/>
    <s v="type40"/>
    <n v="-394.32"/>
    <x v="2"/>
    <d v="2023-09-24T06:10:11"/>
    <x v="1"/>
    <d v="2023-10-03T00:00:00"/>
    <n v="15.742928240739275"/>
    <x v="0"/>
    <x v="5"/>
    <n v="8.7429282407392748"/>
    <x v="5"/>
  </r>
  <r>
    <n v="1012"/>
    <s v="1012111"/>
    <d v="2023-09-22T06:10:11"/>
    <s v="type7"/>
    <n v="-15454.56"/>
    <x v="2"/>
    <d v="2023-09-23T06:10:11"/>
    <x v="2"/>
    <d v="2023-10-03T00:00:00"/>
    <n v="10.742928240739275"/>
    <x v="0"/>
    <x v="3"/>
    <n v="9.7429282407392748"/>
    <x v="3"/>
  </r>
  <r>
    <n v="1027"/>
    <s v="1027111"/>
    <d v="2023-09-10T06:10:11"/>
    <s v="type7"/>
    <n v="14641.49"/>
    <x v="4"/>
    <d v="2023-09-17T06:10:11"/>
    <x v="5"/>
    <d v="2023-10-03T00:00:00"/>
    <n v="22.742928240739275"/>
    <x v="0"/>
    <x v="4"/>
    <n v="15.742928240739275"/>
    <x v="4"/>
  </r>
  <r>
    <n v="1025"/>
    <s v="1025111"/>
    <d v="2023-09-12T06:10:11"/>
    <s v="type40"/>
    <n v="1808"/>
    <x v="2"/>
    <d v="2023-09-14T06:10:11"/>
    <x v="5"/>
    <d v="2023-10-03T00:00:00"/>
    <n v="20.742928240739275"/>
    <x v="0"/>
    <x v="20"/>
    <n v="18.742928240739275"/>
    <x v="20"/>
  </r>
  <r>
    <n v="1029"/>
    <s v="1029111"/>
    <d v="2023-09-16T06:10:11"/>
    <s v="type13"/>
    <n v="45591.79"/>
    <x v="2"/>
    <d v="2023-09-23T06:10:11"/>
    <x v="5"/>
    <d v="2023-10-03T00:00:00"/>
    <n v="16.742928240739275"/>
    <x v="0"/>
    <x v="3"/>
    <n v="9.7429282407392748"/>
    <x v="3"/>
  </r>
  <r>
    <n v="1031"/>
    <s v="1031111"/>
    <d v="2023-09-18T06:10:11"/>
    <s v="type18"/>
    <n v="400.07"/>
    <x v="5"/>
    <d v="2023-09-25T06:10:11"/>
    <x v="4"/>
    <d v="2023-10-03T00:00:00"/>
    <n v="14.742928240739275"/>
    <x v="0"/>
    <x v="11"/>
    <n v="7.7429282407392748"/>
    <x v="11"/>
  </r>
  <r>
    <n v="1017"/>
    <s v="1017111"/>
    <d v="2023-09-18T06:10:11"/>
    <s v="type40"/>
    <n v="-7026"/>
    <x v="2"/>
    <d v="2023-09-25T06:10:11"/>
    <x v="2"/>
    <d v="2023-10-03T00:00:00"/>
    <n v="14.742928240739275"/>
    <x v="0"/>
    <x v="11"/>
    <n v="7.7429282407392748"/>
    <x v="11"/>
  </r>
  <r>
    <n v="1024"/>
    <s v="1024111"/>
    <d v="2023-09-18T06:10:11"/>
    <s v="type40"/>
    <n v="28.88"/>
    <x v="1"/>
    <d v="2023-09-20T06:10:11"/>
    <x v="5"/>
    <d v="2023-10-03T00:00:00"/>
    <n v="14.742928240739275"/>
    <x v="0"/>
    <x v="9"/>
    <n v="12.742928240739275"/>
    <x v="9"/>
  </r>
  <r>
    <n v="1021"/>
    <s v="1021111"/>
    <d v="2023-09-14T06:10:11"/>
    <s v="type30"/>
    <n v="225.44"/>
    <x v="6"/>
    <d v="2023-09-15T06:10:11"/>
    <x v="0"/>
    <d v="2023-10-03T00:00:00"/>
    <n v="18.742928240739275"/>
    <x v="0"/>
    <x v="0"/>
    <n v="17.742928240739275"/>
    <x v="0"/>
  </r>
  <r>
    <n v="1007"/>
    <s v="1007111"/>
    <d v="2023-09-18T06:10:11"/>
    <s v="type25"/>
    <n v="183.29"/>
    <x v="2"/>
    <d v="2023-09-25T06:10:11"/>
    <x v="1"/>
    <d v="2023-10-03T00:00:00"/>
    <n v="14.742928240739275"/>
    <x v="0"/>
    <x v="11"/>
    <n v="7.7429282407392748"/>
    <x v="11"/>
  </r>
  <r>
    <n v="1001"/>
    <s v="1001111"/>
    <d v="2023-09-11T06:10:11"/>
    <s v="type40"/>
    <n v="1075"/>
    <x v="4"/>
    <d v="2023-09-18T06:10:11"/>
    <x v="3"/>
    <d v="2023-10-03T00:00:00"/>
    <n v="21.742928240739275"/>
    <x v="0"/>
    <x v="6"/>
    <n v="14.742928240739275"/>
    <x v="6"/>
  </r>
  <r>
    <n v="1005"/>
    <s v="1005111"/>
    <d v="2023-09-21T06:10:11"/>
    <s v="type40"/>
    <n v="378.17"/>
    <x v="3"/>
    <d v="2023-09-23T06:10:11"/>
    <x v="3"/>
    <d v="2023-10-03T00:00:00"/>
    <n v="11.742928240739275"/>
    <x v="0"/>
    <x v="3"/>
    <n v="9.7429282407392748"/>
    <x v="3"/>
  </r>
  <r>
    <n v="1001"/>
    <s v="1001111"/>
    <d v="2023-09-18T06:10:11"/>
    <s v="type40"/>
    <n v="-876.77"/>
    <x v="5"/>
    <d v="2023-09-25T06:10:11"/>
    <x v="3"/>
    <d v="2023-10-03T00:00:00"/>
    <n v="14.742928240739275"/>
    <x v="0"/>
    <x v="11"/>
    <n v="7.7429282407392748"/>
    <x v="11"/>
  </r>
  <r>
    <n v="1015"/>
    <s v="1015111"/>
    <d v="2023-09-20T06:10:11"/>
    <s v="type40"/>
    <n v="-1190.8499999999999"/>
    <x v="2"/>
    <d v="2023-09-27T06:10:11"/>
    <x v="2"/>
    <d v="2023-10-03T00:00:00"/>
    <n v="12.742928240739275"/>
    <x v="0"/>
    <x v="12"/>
    <n v="5.7429282407392748"/>
    <x v="12"/>
  </r>
  <r>
    <n v="1017"/>
    <s v="1017111"/>
    <d v="2023-09-18T06:10:11"/>
    <s v="type40"/>
    <n v="-5673"/>
    <x v="6"/>
    <d v="2023-09-20T06:10:11"/>
    <x v="2"/>
    <d v="2023-10-03T00:00:00"/>
    <n v="14.742928240739275"/>
    <x v="0"/>
    <x v="9"/>
    <n v="12.742928240739275"/>
    <x v="9"/>
  </r>
  <r>
    <n v="1027"/>
    <s v="1027111"/>
    <d v="2023-09-24T06:10:11"/>
    <s v="type40"/>
    <n v="-742.4"/>
    <x v="1"/>
    <d v="2023-09-26T06:10:11"/>
    <x v="5"/>
    <d v="2023-10-03T00:00:00"/>
    <n v="8.7429282407392748"/>
    <x v="1"/>
    <x v="7"/>
    <n v="6.7429282407392748"/>
    <x v="7"/>
  </r>
  <r>
    <n v="1001"/>
    <s v="1001111"/>
    <d v="2023-09-21T06:10:11"/>
    <s v="type2"/>
    <n v="1204"/>
    <x v="5"/>
    <d v="2023-09-22T06:10:11"/>
    <x v="3"/>
    <d v="2023-10-03T00:00:00"/>
    <n v="11.742928240739275"/>
    <x v="0"/>
    <x v="10"/>
    <n v="10.742928240739275"/>
    <x v="10"/>
  </r>
  <r>
    <n v="1029"/>
    <s v="1029111"/>
    <d v="2023-09-10T06:10:11"/>
    <s v="type13"/>
    <n v="33821.93"/>
    <x v="2"/>
    <d v="2023-09-11T06:10:11"/>
    <x v="5"/>
    <d v="2023-10-03T00:00:00"/>
    <n v="22.742928240739275"/>
    <x v="0"/>
    <x v="21"/>
    <n v="21.742928240739275"/>
    <x v="21"/>
  </r>
  <r>
    <n v="1018"/>
    <s v="1018111"/>
    <d v="2023-09-21T06:10:11"/>
    <s v="type40"/>
    <n v="-5894.65"/>
    <x v="5"/>
    <d v="2023-09-22T06:10:11"/>
    <x v="0"/>
    <d v="2023-10-03T00:00:00"/>
    <n v="11.742928240739275"/>
    <x v="0"/>
    <x v="10"/>
    <n v="10.742928240739275"/>
    <x v="10"/>
  </r>
  <r>
    <n v="1035"/>
    <s v="1035111"/>
    <d v="2023-09-28T06:10:11"/>
    <s v="type40"/>
    <n v="12.36"/>
    <x v="1"/>
    <d v="2023-09-30T06:10:11"/>
    <x v="4"/>
    <d v="2023-10-03T00:00:00"/>
    <n v="4.7429282407392748"/>
    <x v="2"/>
    <x v="14"/>
    <n v="2.7429282407392748"/>
    <x v="14"/>
  </r>
  <r>
    <n v="1011"/>
    <s v="1011111"/>
    <d v="2023-09-19T06:10:11"/>
    <s v="type13"/>
    <n v="17178.77"/>
    <x v="5"/>
    <d v="2023-09-20T06:10:11"/>
    <x v="1"/>
    <d v="2023-10-03T00:00:00"/>
    <n v="13.742928240739275"/>
    <x v="0"/>
    <x v="9"/>
    <n v="12.742928240739275"/>
    <x v="9"/>
  </r>
  <r>
    <n v="1031"/>
    <s v="1031111"/>
    <d v="2023-09-13T06:10:11"/>
    <s v="type2"/>
    <n v="1208"/>
    <x v="2"/>
    <d v="2023-09-14T06:10:11"/>
    <x v="4"/>
    <d v="2023-10-03T00:00:00"/>
    <n v="19.742928240739275"/>
    <x v="0"/>
    <x v="20"/>
    <n v="18.742928240739275"/>
    <x v="20"/>
  </r>
  <r>
    <n v="1010"/>
    <s v="1010111"/>
    <d v="2023-09-23T06:10:11"/>
    <s v="type13"/>
    <n v="78428.899999999994"/>
    <x v="5"/>
    <d v="2023-09-24T06:10:11"/>
    <x v="1"/>
    <d v="2023-10-03T00:00:00"/>
    <n v="9.7429282407392748"/>
    <x v="0"/>
    <x v="5"/>
    <n v="8.7429282407392748"/>
    <x v="5"/>
  </r>
  <r>
    <n v="1024"/>
    <s v="1024111"/>
    <d v="2023-09-13T06:10:11"/>
    <s v="type40"/>
    <n v="319.83"/>
    <x v="4"/>
    <d v="2023-09-14T06:10:11"/>
    <x v="5"/>
    <d v="2023-10-03T00:00:00"/>
    <n v="19.742928240739275"/>
    <x v="0"/>
    <x v="20"/>
    <n v="18.742928240739275"/>
    <x v="20"/>
  </r>
  <r>
    <n v="1029"/>
    <s v="1029111"/>
    <d v="2023-09-20T06:10:11"/>
    <s v="type13"/>
    <n v="26945.67"/>
    <x v="2"/>
    <d v="2023-09-21T06:10:11"/>
    <x v="5"/>
    <d v="2023-10-03T00:00:00"/>
    <n v="12.742928240739275"/>
    <x v="0"/>
    <x v="1"/>
    <n v="11.742928240739275"/>
    <x v="1"/>
  </r>
  <r>
    <n v="1005"/>
    <s v="1005111"/>
    <d v="2023-09-15T06:10:11"/>
    <s v="type1"/>
    <n v="12.25"/>
    <x v="6"/>
    <d v="2023-09-22T06:10:11"/>
    <x v="3"/>
    <d v="2023-10-03T00:00:00"/>
    <n v="17.742928240739275"/>
    <x v="0"/>
    <x v="10"/>
    <n v="10.742928240739275"/>
    <x v="10"/>
  </r>
  <r>
    <n v="1016"/>
    <s v="1016111"/>
    <d v="2023-09-14T06:10:11"/>
    <s v="type13"/>
    <n v="20524.419999999998"/>
    <x v="3"/>
    <d v="2023-09-16T06:10:11"/>
    <x v="2"/>
    <d v="2023-10-03T00:00:00"/>
    <n v="18.742928240739275"/>
    <x v="0"/>
    <x v="2"/>
    <n v="16.742928240739275"/>
    <x v="2"/>
  </r>
  <r>
    <n v="1010"/>
    <s v="1010111"/>
    <d v="2023-09-16T06:10:11"/>
    <s v="type26"/>
    <n v="2955.18"/>
    <x v="6"/>
    <d v="2023-09-23T06:10:11"/>
    <x v="1"/>
    <d v="2023-10-03T00:00:00"/>
    <n v="16.742928240739275"/>
    <x v="0"/>
    <x v="3"/>
    <n v="9.7429282407392748"/>
    <x v="3"/>
  </r>
  <r>
    <n v="1025"/>
    <s v="1025111"/>
    <d v="2023-09-10T06:10:11"/>
    <s v="type41"/>
    <n v="346.46"/>
    <x v="2"/>
    <d v="2023-09-15T06:10:11"/>
    <x v="5"/>
    <d v="2023-10-03T00:00:00"/>
    <n v="22.742928240739275"/>
    <x v="0"/>
    <x v="0"/>
    <n v="17.742928240739275"/>
    <x v="0"/>
  </r>
  <r>
    <n v="1015"/>
    <s v="1015111"/>
    <d v="2023-09-16T06:10:11"/>
    <s v="type40"/>
    <n v="-4943.09"/>
    <x v="1"/>
    <d v="2023-09-21T06:10:11"/>
    <x v="2"/>
    <d v="2023-10-03T00:00:00"/>
    <n v="16.742928240739275"/>
    <x v="0"/>
    <x v="1"/>
    <n v="11.742928240739275"/>
    <x v="1"/>
  </r>
  <r>
    <n v="1027"/>
    <s v="1027111"/>
    <d v="2023-09-11T06:10:11"/>
    <s v="type40"/>
    <n v="775.24"/>
    <x v="5"/>
    <d v="2023-09-13T06:10:11"/>
    <x v="5"/>
    <d v="2023-10-03T00:00:00"/>
    <n v="21.742928240739275"/>
    <x v="0"/>
    <x v="24"/>
    <n v="19.742928240739275"/>
    <x v="24"/>
  </r>
  <r>
    <n v="1023"/>
    <s v="1023111"/>
    <d v="2023-09-21T06:10:11"/>
    <s v="type40"/>
    <n v="-361.64"/>
    <x v="6"/>
    <d v="2023-09-22T06:10:11"/>
    <x v="0"/>
    <d v="2023-10-03T00:00:00"/>
    <n v="11.742928240739275"/>
    <x v="0"/>
    <x v="10"/>
    <n v="10.742928240739275"/>
    <x v="10"/>
  </r>
  <r>
    <n v="1034"/>
    <s v="1034111"/>
    <d v="2023-09-23T06:10:11"/>
    <s v="type40"/>
    <n v="1436"/>
    <x v="6"/>
    <d v="2023-09-24T06:10:11"/>
    <x v="4"/>
    <d v="2023-10-03T00:00:00"/>
    <n v="9.7429282407392748"/>
    <x v="0"/>
    <x v="5"/>
    <n v="8.7429282407392748"/>
    <x v="5"/>
  </r>
  <r>
    <n v="1008"/>
    <s v="1008111"/>
    <d v="2023-09-18T06:10:11"/>
    <s v="type40"/>
    <n v="-327.10000000000002"/>
    <x v="6"/>
    <d v="2023-09-19T06:10:11"/>
    <x v="1"/>
    <d v="2023-10-03T00:00:00"/>
    <n v="14.742928240739275"/>
    <x v="0"/>
    <x v="19"/>
    <n v="13.742928240739275"/>
    <x v="19"/>
  </r>
  <r>
    <n v="1017"/>
    <s v="1017111"/>
    <d v="2023-09-19T06:10:11"/>
    <s v="type54"/>
    <n v="-0.46"/>
    <x v="3"/>
    <d v="2023-09-24T06:10:11"/>
    <x v="2"/>
    <d v="2023-10-03T00:00:00"/>
    <n v="13.742928240739275"/>
    <x v="0"/>
    <x v="5"/>
    <n v="8.7429282407392748"/>
    <x v="5"/>
  </r>
  <r>
    <n v="1032"/>
    <s v="1032111"/>
    <d v="2023-09-13T06:10:11"/>
    <s v="type40"/>
    <n v="723.64"/>
    <x v="5"/>
    <d v="2023-09-15T06:10:11"/>
    <x v="4"/>
    <d v="2023-10-03T00:00:00"/>
    <n v="19.742928240739275"/>
    <x v="0"/>
    <x v="0"/>
    <n v="17.742928240739275"/>
    <x v="0"/>
  </r>
  <r>
    <n v="1030"/>
    <s v="1030111"/>
    <d v="2023-09-20T06:10:11"/>
    <s v="type24"/>
    <n v="197.78"/>
    <x v="1"/>
    <d v="2023-09-25T06:10:11"/>
    <x v="4"/>
    <d v="2023-10-03T00:00:00"/>
    <n v="12.742928240739275"/>
    <x v="0"/>
    <x v="11"/>
    <n v="7.7429282407392748"/>
    <x v="11"/>
  </r>
  <r>
    <n v="1029"/>
    <s v="1029111"/>
    <d v="2023-09-13T06:10:11"/>
    <s v="type40"/>
    <n v="-1399.46"/>
    <x v="6"/>
    <d v="2023-09-15T06:10:11"/>
    <x v="5"/>
    <d v="2023-10-03T00:00:00"/>
    <n v="19.742928240739275"/>
    <x v="0"/>
    <x v="0"/>
    <n v="17.742928240739275"/>
    <x v="0"/>
  </r>
  <r>
    <n v="1011"/>
    <s v="1011111"/>
    <d v="2023-09-18T06:10:11"/>
    <s v="type40"/>
    <n v="342.07"/>
    <x v="4"/>
    <d v="2023-09-19T06:10:11"/>
    <x v="1"/>
    <d v="2023-10-03T00:00:00"/>
    <n v="14.742928240739275"/>
    <x v="0"/>
    <x v="19"/>
    <n v="13.742928240739275"/>
    <x v="19"/>
  </r>
  <r>
    <n v="1005"/>
    <s v="1005111"/>
    <d v="2023-09-14T06:10:11"/>
    <s v="type35"/>
    <n v="300.89999999999998"/>
    <x v="5"/>
    <d v="2023-09-16T06:10:11"/>
    <x v="3"/>
    <d v="2023-10-03T00:00:00"/>
    <n v="18.742928240739275"/>
    <x v="0"/>
    <x v="2"/>
    <n v="16.742928240739275"/>
    <x v="2"/>
  </r>
  <r>
    <n v="1015"/>
    <s v="1015111"/>
    <d v="2023-09-18T06:10:11"/>
    <s v="type18"/>
    <n v="436.92"/>
    <x v="4"/>
    <d v="2023-09-19T06:10:11"/>
    <x v="2"/>
    <d v="2023-10-03T00:00:00"/>
    <n v="14.742928240739275"/>
    <x v="0"/>
    <x v="19"/>
    <n v="13.742928240739275"/>
    <x v="19"/>
  </r>
  <r>
    <n v="1022"/>
    <s v="1022111"/>
    <d v="2023-09-24T06:10:11"/>
    <s v="type40"/>
    <n v="584.36"/>
    <x v="1"/>
    <d v="2023-10-01T06:10:11"/>
    <x v="0"/>
    <d v="2023-10-03T00:00:00"/>
    <n v="8.7429282407392748"/>
    <x v="1"/>
    <x v="22"/>
    <n v="1.7429282407392748"/>
    <x v="22"/>
  </r>
  <r>
    <n v="1020"/>
    <s v="1020111"/>
    <d v="2023-09-25T06:10:11"/>
    <s v="type40"/>
    <n v="1585.36"/>
    <x v="3"/>
    <d v="2023-10-02T06:10:11"/>
    <x v="0"/>
    <d v="2023-10-03T00:00:00"/>
    <n v="7.7429282407392748"/>
    <x v="1"/>
    <x v="15"/>
    <n v="0.74292824073927477"/>
    <x v="15"/>
  </r>
  <r>
    <n v="1033"/>
    <s v="1033111"/>
    <d v="2023-09-20T06:10:11"/>
    <s v="type40"/>
    <n v="7246.88"/>
    <x v="6"/>
    <d v="2023-09-25T06:10:11"/>
    <x v="4"/>
    <d v="2023-10-03T00:00:00"/>
    <n v="12.742928240739275"/>
    <x v="0"/>
    <x v="11"/>
    <n v="7.7429282407392748"/>
    <x v="11"/>
  </r>
  <r>
    <n v="1010"/>
    <s v="1010111"/>
    <d v="2023-09-27T06:10:11"/>
    <s v="type7"/>
    <n v="-12987.98"/>
    <x v="3"/>
    <d v="2023-10-04T06:10:11"/>
    <x v="1"/>
    <d v="2023-10-03T00:00:00"/>
    <n v="5.7429282407392748"/>
    <x v="2"/>
    <x v="23"/>
    <n v="-1.2570717592607252"/>
    <x v="23"/>
  </r>
  <r>
    <n v="1029"/>
    <s v="1029111"/>
    <d v="2023-09-28T06:10:11"/>
    <s v="type40"/>
    <n v="-407.81"/>
    <x v="3"/>
    <d v="2023-10-05T06:10:11"/>
    <x v="5"/>
    <d v="2023-10-03T00:00:00"/>
    <n v="4.7429282407392748"/>
    <x v="2"/>
    <x v="17"/>
    <n v="-2.2570717592607252"/>
    <x v="17"/>
  </r>
  <r>
    <n v="1008"/>
    <s v="1008111"/>
    <d v="2023-09-22T06:10:11"/>
    <s v="type13"/>
    <n v="21535.08"/>
    <x v="5"/>
    <d v="2023-09-24T06:10:11"/>
    <x v="1"/>
    <d v="2023-10-03T00:00:00"/>
    <n v="10.742928240739275"/>
    <x v="0"/>
    <x v="5"/>
    <n v="8.7429282407392748"/>
    <x v="5"/>
  </r>
  <r>
    <n v="1004"/>
    <s v="1004111"/>
    <d v="2023-09-20T06:10:11"/>
    <s v="type40"/>
    <n v="2857.19"/>
    <x v="4"/>
    <d v="2023-09-21T06:10:11"/>
    <x v="3"/>
    <d v="2023-10-03T00:00:00"/>
    <n v="12.742928240739275"/>
    <x v="0"/>
    <x v="1"/>
    <n v="11.742928240739275"/>
    <x v="1"/>
  </r>
  <r>
    <n v="1018"/>
    <s v="1018111"/>
    <d v="2023-09-20T06:10:11"/>
    <s v="type13"/>
    <n v="47681.57"/>
    <x v="6"/>
    <d v="2023-09-25T06:10:11"/>
    <x v="0"/>
    <d v="2023-10-03T00:00:00"/>
    <n v="12.742928240739275"/>
    <x v="0"/>
    <x v="11"/>
    <n v="7.7429282407392748"/>
    <x v="11"/>
  </r>
  <r>
    <n v="1006"/>
    <s v="1006111"/>
    <d v="2023-09-20T06:10:11"/>
    <s v="type40"/>
    <n v="-406.29"/>
    <x v="4"/>
    <d v="2023-09-22T06:10:11"/>
    <x v="1"/>
    <d v="2023-10-03T00:00:00"/>
    <n v="12.742928240739275"/>
    <x v="0"/>
    <x v="10"/>
    <n v="10.742928240739275"/>
    <x v="10"/>
  </r>
  <r>
    <n v="1000"/>
    <s v="1000111"/>
    <d v="2023-09-21T06:10:11"/>
    <s v="type40"/>
    <n v="1670"/>
    <x v="4"/>
    <d v="2023-09-23T06:10:11"/>
    <x v="3"/>
    <d v="2023-10-03T00:00:00"/>
    <n v="11.742928240739275"/>
    <x v="0"/>
    <x v="3"/>
    <n v="9.7429282407392748"/>
    <x v="3"/>
  </r>
  <r>
    <n v="1001"/>
    <s v="1001111"/>
    <d v="2023-09-11T06:10:11"/>
    <s v="type17"/>
    <n v="311.94"/>
    <x v="2"/>
    <d v="2023-09-16T06:10:11"/>
    <x v="3"/>
    <d v="2023-10-03T00:00:00"/>
    <n v="21.742928240739275"/>
    <x v="0"/>
    <x v="2"/>
    <n v="16.742928240739275"/>
    <x v="2"/>
  </r>
  <r>
    <n v="1001"/>
    <s v="1001111"/>
    <d v="2023-09-21T06:10:11"/>
    <s v="type41"/>
    <n v="525.78"/>
    <x v="4"/>
    <d v="2023-09-26T06:10:11"/>
    <x v="3"/>
    <d v="2023-10-03T00:00:00"/>
    <n v="11.742928240739275"/>
    <x v="0"/>
    <x v="7"/>
    <n v="6.7429282407392748"/>
    <x v="7"/>
  </r>
  <r>
    <n v="1027"/>
    <s v="1027111"/>
    <d v="2023-09-23T06:10:11"/>
    <s v="type11"/>
    <n v="60"/>
    <x v="5"/>
    <d v="2023-09-30T06:10:11"/>
    <x v="5"/>
    <d v="2023-10-03T00:00:00"/>
    <n v="9.7429282407392748"/>
    <x v="0"/>
    <x v="14"/>
    <n v="2.7429282407392748"/>
    <x v="14"/>
  </r>
  <r>
    <n v="1033"/>
    <s v="1033111"/>
    <d v="2023-09-12T06:10:11"/>
    <s v="type40"/>
    <n v="-2278.4499999999998"/>
    <x v="6"/>
    <d v="2023-09-13T06:10:11"/>
    <x v="4"/>
    <d v="2023-10-03T00:00:00"/>
    <n v="20.742928240739275"/>
    <x v="0"/>
    <x v="24"/>
    <n v="19.742928240739275"/>
    <x v="24"/>
  </r>
  <r>
    <n v="1009"/>
    <s v="1009111"/>
    <d v="2023-09-22T06:10:11"/>
    <s v="type40"/>
    <n v="-338.34"/>
    <x v="3"/>
    <d v="2023-09-23T06:10:11"/>
    <x v="1"/>
    <d v="2023-10-03T00:00:00"/>
    <n v="10.742928240739275"/>
    <x v="0"/>
    <x v="3"/>
    <n v="9.7429282407392748"/>
    <x v="3"/>
  </r>
  <r>
    <n v="1000"/>
    <s v="1000111"/>
    <d v="2023-09-17T06:10:11"/>
    <s v="type10"/>
    <n v="40"/>
    <x v="5"/>
    <d v="2023-09-24T06:10:11"/>
    <x v="3"/>
    <d v="2023-10-03T00:00:00"/>
    <n v="15.742928240739275"/>
    <x v="0"/>
    <x v="5"/>
    <n v="8.7429282407392748"/>
    <x v="5"/>
  </r>
  <r>
    <n v="1033"/>
    <s v="1033111"/>
    <d v="2023-09-24T06:10:11"/>
    <s v="type32"/>
    <n v="60393.63"/>
    <x v="3"/>
    <d v="2023-09-25T06:10:11"/>
    <x v="4"/>
    <d v="2023-10-03T00:00:00"/>
    <n v="8.7429282407392748"/>
    <x v="1"/>
    <x v="11"/>
    <n v="7.7429282407392748"/>
    <x v="11"/>
  </r>
  <r>
    <n v="1007"/>
    <s v="1007111"/>
    <d v="2023-09-20T06:10:11"/>
    <s v="type27"/>
    <n v="734.21"/>
    <x v="5"/>
    <d v="2023-09-27T06:10:11"/>
    <x v="1"/>
    <d v="2023-10-03T00:00:00"/>
    <n v="12.742928240739275"/>
    <x v="0"/>
    <x v="12"/>
    <n v="5.7429282407392748"/>
    <x v="12"/>
  </r>
  <r>
    <n v="1015"/>
    <s v="1015111"/>
    <d v="2023-09-14T06:10:11"/>
    <s v="type40"/>
    <n v="529.15"/>
    <x v="4"/>
    <d v="2023-09-21T06:10:11"/>
    <x v="2"/>
    <d v="2023-10-03T00:00:00"/>
    <n v="18.742928240739275"/>
    <x v="0"/>
    <x v="1"/>
    <n v="11.742928240739275"/>
    <x v="1"/>
  </r>
  <r>
    <n v="1016"/>
    <s v="1016111"/>
    <d v="2023-09-14T06:10:11"/>
    <s v="type13"/>
    <n v="17687.259999999998"/>
    <x v="2"/>
    <d v="2023-09-21T06:10:11"/>
    <x v="2"/>
    <d v="2023-10-03T00:00:00"/>
    <n v="18.742928240739275"/>
    <x v="0"/>
    <x v="1"/>
    <n v="11.742928240739275"/>
    <x v="1"/>
  </r>
  <r>
    <n v="1005"/>
    <s v="1005111"/>
    <d v="2023-09-10T06:10:11"/>
    <s v="type40"/>
    <n v="1010.18"/>
    <x v="2"/>
    <d v="2023-09-12T06:10:11"/>
    <x v="3"/>
    <d v="2023-10-03T00:00:00"/>
    <n v="22.742928240739275"/>
    <x v="0"/>
    <x v="18"/>
    <n v="20.742928240739275"/>
    <x v="18"/>
  </r>
  <r>
    <n v="1032"/>
    <s v="1032111"/>
    <d v="2023-09-17T06:10:11"/>
    <s v="type40"/>
    <n v="-305.32"/>
    <x v="4"/>
    <d v="2023-09-24T06:10:11"/>
    <x v="4"/>
    <d v="2023-10-03T00:00:00"/>
    <n v="15.742928240739275"/>
    <x v="0"/>
    <x v="5"/>
    <n v="8.7429282407392748"/>
    <x v="5"/>
  </r>
  <r>
    <n v="1022"/>
    <s v="1022111"/>
    <d v="2023-09-18T06:10:11"/>
    <s v="type40"/>
    <n v="-554.78"/>
    <x v="6"/>
    <d v="2023-09-19T06:10:11"/>
    <x v="0"/>
    <d v="2023-10-03T00:00:00"/>
    <n v="14.742928240739275"/>
    <x v="0"/>
    <x v="19"/>
    <n v="13.742928240739275"/>
    <x v="19"/>
  </r>
  <r>
    <n v="1005"/>
    <s v="1005111"/>
    <d v="2023-09-21T06:10:11"/>
    <s v="type42"/>
    <n v="215"/>
    <x v="5"/>
    <d v="2023-09-22T06:10:11"/>
    <x v="3"/>
    <d v="2023-10-03T00:00:00"/>
    <n v="11.742928240739275"/>
    <x v="0"/>
    <x v="10"/>
    <n v="10.742928240739275"/>
    <x v="10"/>
  </r>
  <r>
    <n v="1027"/>
    <s v="1027111"/>
    <d v="2023-09-14T06:10:11"/>
    <s v="type40"/>
    <n v="1079.7"/>
    <x v="2"/>
    <d v="2023-09-16T06:10:11"/>
    <x v="5"/>
    <d v="2023-10-03T00:00:00"/>
    <n v="18.742928240739275"/>
    <x v="0"/>
    <x v="2"/>
    <n v="16.742928240739275"/>
    <x v="2"/>
  </r>
  <r>
    <n v="1015"/>
    <s v="1015111"/>
    <d v="2023-09-13T06:10:11"/>
    <s v="type11"/>
    <n v="74.760000000000005"/>
    <x v="3"/>
    <d v="2023-09-14T06:10:11"/>
    <x v="2"/>
    <d v="2023-10-03T00:00:00"/>
    <n v="19.742928240739275"/>
    <x v="0"/>
    <x v="20"/>
    <n v="18.742928240739275"/>
    <x v="20"/>
  </r>
  <r>
    <n v="1005"/>
    <s v="1005111"/>
    <d v="2023-09-20T06:10:11"/>
    <s v="type40"/>
    <n v="899.86"/>
    <x v="6"/>
    <d v="2023-09-21T06:10:11"/>
    <x v="3"/>
    <d v="2023-10-03T00:00:00"/>
    <n v="12.742928240739275"/>
    <x v="0"/>
    <x v="1"/>
    <n v="11.742928240739275"/>
    <x v="1"/>
  </r>
  <r>
    <n v="1002"/>
    <s v="1002111"/>
    <d v="2023-09-20T06:10:11"/>
    <s v="type40"/>
    <n v="546.94000000000005"/>
    <x v="4"/>
    <d v="2023-09-21T06:10:11"/>
    <x v="3"/>
    <d v="2023-10-03T00:00:00"/>
    <n v="12.742928240739275"/>
    <x v="0"/>
    <x v="1"/>
    <n v="11.742928240739275"/>
    <x v="1"/>
  </r>
  <r>
    <n v="1010"/>
    <s v="1010111"/>
    <d v="2023-09-15T06:10:11"/>
    <s v="type40"/>
    <n v="2259.6"/>
    <x v="2"/>
    <d v="2023-09-17T06:10:11"/>
    <x v="1"/>
    <d v="2023-10-03T00:00:00"/>
    <n v="17.742928240739275"/>
    <x v="0"/>
    <x v="4"/>
    <n v="15.742928240739275"/>
    <x v="4"/>
  </r>
  <r>
    <n v="1022"/>
    <s v="1022111"/>
    <d v="2023-09-15T06:10:11"/>
    <s v="type26"/>
    <n v="197.31"/>
    <x v="3"/>
    <d v="2023-09-16T06:10:11"/>
    <x v="0"/>
    <d v="2023-10-03T00:00:00"/>
    <n v="17.742928240739275"/>
    <x v="0"/>
    <x v="2"/>
    <n v="16.742928240739275"/>
    <x v="2"/>
  </r>
  <r>
    <n v="1034"/>
    <s v="1034111"/>
    <d v="2023-09-16T06:10:11"/>
    <s v="type15"/>
    <n v="1932.6402"/>
    <x v="1"/>
    <d v="2023-09-17T06:10:11"/>
    <x v="4"/>
    <d v="2023-10-03T00:00:00"/>
    <n v="16.742928240739275"/>
    <x v="0"/>
    <x v="4"/>
    <n v="15.742928240739275"/>
    <x v="4"/>
  </r>
  <r>
    <n v="1032"/>
    <s v="1032111"/>
    <d v="2023-09-16T06:10:11"/>
    <s v="type13"/>
    <n v="30257.99"/>
    <x v="3"/>
    <d v="2023-09-17T06:10:11"/>
    <x v="4"/>
    <d v="2023-10-03T00:00:00"/>
    <n v="16.742928240739275"/>
    <x v="0"/>
    <x v="4"/>
    <n v="15.742928240739275"/>
    <x v="4"/>
  </r>
  <r>
    <n v="1000"/>
    <s v="1000111"/>
    <d v="2023-09-17T06:10:11"/>
    <s v="type40"/>
    <n v="319.39"/>
    <x v="3"/>
    <d v="2023-09-19T06:10:11"/>
    <x v="3"/>
    <d v="2023-10-03T00:00:00"/>
    <n v="15.742928240739275"/>
    <x v="0"/>
    <x v="19"/>
    <n v="13.742928240739275"/>
    <x v="19"/>
  </r>
  <r>
    <n v="1018"/>
    <s v="1018111"/>
    <d v="2023-09-18T06:10:11"/>
    <s v="type40"/>
    <n v="507.38"/>
    <x v="3"/>
    <d v="2023-09-20T06:10:11"/>
    <x v="0"/>
    <d v="2023-10-03T00:00:00"/>
    <n v="14.742928240739275"/>
    <x v="0"/>
    <x v="9"/>
    <n v="12.742928240739275"/>
    <x v="9"/>
  </r>
  <r>
    <n v="1000"/>
    <s v="1000111"/>
    <d v="2023-09-21T06:10:11"/>
    <s v="type13"/>
    <n v="49408.94"/>
    <x v="6"/>
    <d v="2023-09-23T06:10:11"/>
    <x v="3"/>
    <d v="2023-10-03T00:00:00"/>
    <n v="11.742928240739275"/>
    <x v="0"/>
    <x v="3"/>
    <n v="9.7429282407392748"/>
    <x v="3"/>
  </r>
  <r>
    <n v="1025"/>
    <s v="1025111"/>
    <d v="2023-09-23T06:10:11"/>
    <s v="type40"/>
    <n v="-849.71"/>
    <x v="2"/>
    <d v="2023-09-28T06:10:11"/>
    <x v="5"/>
    <d v="2023-10-03T00:00:00"/>
    <n v="9.7429282407392748"/>
    <x v="0"/>
    <x v="8"/>
    <n v="4.7429282407392748"/>
    <x v="8"/>
  </r>
  <r>
    <n v="1024"/>
    <s v="1024111"/>
    <d v="2023-09-20T06:10:11"/>
    <s v="type8"/>
    <n v="75"/>
    <x v="5"/>
    <d v="2023-09-21T06:10:11"/>
    <x v="5"/>
    <d v="2023-10-03T00:00:00"/>
    <n v="12.742928240739275"/>
    <x v="0"/>
    <x v="1"/>
    <n v="11.742928240739275"/>
    <x v="1"/>
  </r>
  <r>
    <n v="1021"/>
    <s v="1021111"/>
    <d v="2023-09-21T06:10:11"/>
    <s v="type7"/>
    <n v="13225.94"/>
    <x v="4"/>
    <d v="2023-09-22T06:10:11"/>
    <x v="0"/>
    <d v="2023-10-03T00:00:00"/>
    <n v="11.742928240739275"/>
    <x v="0"/>
    <x v="10"/>
    <n v="10.742928240739275"/>
    <x v="10"/>
  </r>
  <r>
    <n v="1010"/>
    <s v="1010111"/>
    <d v="2023-09-20T06:10:11"/>
    <s v="type40"/>
    <n v="-8083.65"/>
    <x v="2"/>
    <d v="2023-09-27T06:10:11"/>
    <x v="1"/>
    <d v="2023-10-03T00:00:00"/>
    <n v="12.742928240739275"/>
    <x v="0"/>
    <x v="12"/>
    <n v="5.7429282407392748"/>
    <x v="12"/>
  </r>
  <r>
    <n v="1033"/>
    <s v="1033111"/>
    <d v="2023-09-22T06:10:11"/>
    <s v="type13"/>
    <n v="38442.379999999997"/>
    <x v="5"/>
    <d v="2023-09-23T06:10:11"/>
    <x v="4"/>
    <d v="2023-10-03T00:00:00"/>
    <n v="10.742928240739275"/>
    <x v="0"/>
    <x v="3"/>
    <n v="9.7429282407392748"/>
    <x v="3"/>
  </r>
  <r>
    <n v="1019"/>
    <s v="1019111"/>
    <d v="2023-09-22T06:10:11"/>
    <s v="type40"/>
    <n v="-620.08000000000004"/>
    <x v="1"/>
    <d v="2023-09-24T06:10:11"/>
    <x v="0"/>
    <d v="2023-10-03T00:00:00"/>
    <n v="10.742928240739275"/>
    <x v="0"/>
    <x v="5"/>
    <n v="8.7429282407392748"/>
    <x v="5"/>
  </r>
  <r>
    <n v="1031"/>
    <s v="1031111"/>
    <d v="2023-09-14T06:10:11"/>
    <s v="type4"/>
    <n v="4"/>
    <x v="4"/>
    <d v="2023-09-16T06:10:11"/>
    <x v="4"/>
    <d v="2023-10-03T00:00:00"/>
    <n v="18.742928240739275"/>
    <x v="0"/>
    <x v="2"/>
    <n v="16.742928240739275"/>
    <x v="2"/>
  </r>
  <r>
    <n v="1025"/>
    <s v="1025111"/>
    <d v="2023-09-24T06:10:11"/>
    <s v="type14"/>
    <n v="0.4"/>
    <x v="1"/>
    <d v="2023-09-26T06:10:11"/>
    <x v="5"/>
    <d v="2023-10-03T00:00:00"/>
    <n v="8.7429282407392748"/>
    <x v="1"/>
    <x v="7"/>
    <n v="6.7429282407392748"/>
    <x v="7"/>
  </r>
  <r>
    <n v="1026"/>
    <s v="1026111"/>
    <d v="2023-09-25T06:10:11"/>
    <s v="type40"/>
    <n v="-534.45000000000005"/>
    <x v="1"/>
    <d v="2023-09-27T06:10:11"/>
    <x v="5"/>
    <d v="2023-10-03T00:00:00"/>
    <n v="7.7429282407392748"/>
    <x v="1"/>
    <x v="12"/>
    <n v="5.7429282407392748"/>
    <x v="12"/>
  </r>
  <r>
    <n v="1020"/>
    <s v="1020111"/>
    <d v="2023-09-26T06:10:11"/>
    <s v="type7"/>
    <n v="39158.300000000003"/>
    <x v="3"/>
    <d v="2023-09-28T06:10:11"/>
    <x v="0"/>
    <d v="2023-10-03T00:00:00"/>
    <n v="6.7429282407392748"/>
    <x v="1"/>
    <x v="8"/>
    <n v="4.7429282407392748"/>
    <x v="8"/>
  </r>
  <r>
    <n v="1034"/>
    <s v="1034111"/>
    <d v="2023-09-18T06:10:11"/>
    <s v="type40"/>
    <n v="-2314.85"/>
    <x v="5"/>
    <d v="2023-09-20T06:10:11"/>
    <x v="4"/>
    <d v="2023-10-03T00:00:00"/>
    <n v="14.742928240739275"/>
    <x v="0"/>
    <x v="9"/>
    <n v="12.742928240739275"/>
    <x v="9"/>
  </r>
  <r>
    <n v="1012"/>
    <s v="1012111"/>
    <d v="2023-09-16T06:10:11"/>
    <s v="type13"/>
    <n v="87399.47"/>
    <x v="4"/>
    <d v="2023-09-18T06:10:11"/>
    <x v="2"/>
    <d v="2023-10-03T00:00:00"/>
    <n v="16.742928240739275"/>
    <x v="0"/>
    <x v="6"/>
    <n v="14.742928240739275"/>
    <x v="6"/>
  </r>
  <r>
    <n v="1008"/>
    <s v="1008111"/>
    <d v="2023-09-16T06:10:11"/>
    <s v="type13"/>
    <n v="26347.98"/>
    <x v="3"/>
    <d v="2023-09-18T06:10:11"/>
    <x v="1"/>
    <d v="2023-10-03T00:00:00"/>
    <n v="16.742928240739275"/>
    <x v="0"/>
    <x v="6"/>
    <n v="14.742928240739275"/>
    <x v="6"/>
  </r>
  <r>
    <n v="1025"/>
    <s v="1025111"/>
    <d v="2023-09-14T06:10:11"/>
    <s v="type40"/>
    <n v="-2128.71"/>
    <x v="2"/>
    <d v="2023-09-15T06:10:11"/>
    <x v="5"/>
    <d v="2023-10-03T00:00:00"/>
    <n v="18.742928240739275"/>
    <x v="0"/>
    <x v="0"/>
    <n v="17.742928240739275"/>
    <x v="0"/>
  </r>
  <r>
    <n v="1002"/>
    <s v="1002111"/>
    <d v="2023-09-18T06:10:11"/>
    <s v="type13"/>
    <n v="25091.84"/>
    <x v="2"/>
    <d v="2023-09-19T06:10:11"/>
    <x v="3"/>
    <d v="2023-10-03T00:00:00"/>
    <n v="14.742928240739275"/>
    <x v="0"/>
    <x v="19"/>
    <n v="13.742928240739275"/>
    <x v="19"/>
  </r>
  <r>
    <n v="1029"/>
    <s v="1029111"/>
    <d v="2023-09-18T06:10:11"/>
    <s v="type11"/>
    <n v="100.5"/>
    <x v="1"/>
    <d v="2023-09-20T06:10:11"/>
    <x v="5"/>
    <d v="2023-10-03T00:00:00"/>
    <n v="14.742928240739275"/>
    <x v="0"/>
    <x v="9"/>
    <n v="12.742928240739275"/>
    <x v="9"/>
  </r>
  <r>
    <n v="1006"/>
    <s v="1006111"/>
    <d v="2023-09-20T06:10:11"/>
    <s v="type40"/>
    <n v="368.07"/>
    <x v="5"/>
    <d v="2023-09-22T06:10:11"/>
    <x v="1"/>
    <d v="2023-10-03T00:00:00"/>
    <n v="12.742928240739275"/>
    <x v="0"/>
    <x v="10"/>
    <n v="10.742928240739275"/>
    <x v="10"/>
  </r>
  <r>
    <n v="1014"/>
    <s v="1014111"/>
    <d v="2023-09-21T06:10:11"/>
    <s v="type40"/>
    <n v="6227.94"/>
    <x v="2"/>
    <d v="2023-09-22T06:10:11"/>
    <x v="2"/>
    <d v="2023-10-03T00:00:00"/>
    <n v="11.742928240739275"/>
    <x v="0"/>
    <x v="10"/>
    <n v="10.742928240739275"/>
    <x v="10"/>
  </r>
  <r>
    <n v="1026"/>
    <s v="1026111"/>
    <d v="2023-09-16T06:10:11"/>
    <s v="type40"/>
    <n v="-646.08000000000004"/>
    <x v="4"/>
    <d v="2023-09-18T06:10:11"/>
    <x v="5"/>
    <d v="2023-10-03T00:00:00"/>
    <n v="16.742928240739275"/>
    <x v="0"/>
    <x v="6"/>
    <n v="14.742928240739275"/>
    <x v="6"/>
  </r>
  <r>
    <n v="1004"/>
    <s v="1004111"/>
    <d v="2023-09-20T06:10:11"/>
    <s v="type40"/>
    <n v="-405.41"/>
    <x v="5"/>
    <d v="2023-09-22T06:10:11"/>
    <x v="3"/>
    <d v="2023-10-03T00:00:00"/>
    <n v="12.742928240739275"/>
    <x v="0"/>
    <x v="10"/>
    <n v="10.742928240739275"/>
    <x v="10"/>
  </r>
  <r>
    <n v="1030"/>
    <s v="1030111"/>
    <d v="2023-09-21T06:10:11"/>
    <s v="type29"/>
    <n v="371.7"/>
    <x v="1"/>
    <d v="2023-09-26T06:10:11"/>
    <x v="4"/>
    <d v="2023-10-03T00:00:00"/>
    <n v="11.742928240739275"/>
    <x v="0"/>
    <x v="7"/>
    <n v="6.7429282407392748"/>
    <x v="7"/>
  </r>
  <r>
    <n v="1008"/>
    <s v="1008111"/>
    <d v="2023-09-23T06:10:11"/>
    <s v="type40"/>
    <n v="-2030.88"/>
    <x v="5"/>
    <d v="2023-09-25T06:10:11"/>
    <x v="1"/>
    <d v="2023-10-03T00:00:00"/>
    <n v="9.7429282407392748"/>
    <x v="0"/>
    <x v="11"/>
    <n v="7.7429282407392748"/>
    <x v="11"/>
  </r>
  <r>
    <n v="1009"/>
    <s v="1009111"/>
    <d v="2023-09-22T06:10:11"/>
    <s v="type13"/>
    <n v="27078.78"/>
    <x v="2"/>
    <d v="2023-09-24T06:10:11"/>
    <x v="1"/>
    <d v="2023-10-03T00:00:00"/>
    <n v="10.742928240739275"/>
    <x v="0"/>
    <x v="5"/>
    <n v="8.7429282407392748"/>
    <x v="5"/>
  </r>
  <r>
    <n v="1023"/>
    <s v="1023111"/>
    <d v="2023-09-13T06:10:11"/>
    <s v="type40"/>
    <n v="-5531.2"/>
    <x v="2"/>
    <d v="2023-09-18T06:10:11"/>
    <x v="0"/>
    <d v="2023-10-03T00:00:00"/>
    <n v="19.742928240739275"/>
    <x v="0"/>
    <x v="6"/>
    <n v="14.742928240739275"/>
    <x v="6"/>
  </r>
  <r>
    <n v="1011"/>
    <s v="1011111"/>
    <d v="2023-09-14T06:10:11"/>
    <s v="type24"/>
    <n v="210.61"/>
    <x v="2"/>
    <d v="2023-09-19T06:10:11"/>
    <x v="1"/>
    <d v="2023-10-03T00:00:00"/>
    <n v="18.742928240739275"/>
    <x v="0"/>
    <x v="19"/>
    <n v="13.742928240739275"/>
    <x v="19"/>
  </r>
  <r>
    <n v="1018"/>
    <s v="1018111"/>
    <d v="2023-09-19T06:10:11"/>
    <s v="type35"/>
    <n v="542.47"/>
    <x v="4"/>
    <d v="2023-09-21T06:10:11"/>
    <x v="0"/>
    <d v="2023-10-03T00:00:00"/>
    <n v="13.742928240739275"/>
    <x v="0"/>
    <x v="1"/>
    <n v="11.742928240739275"/>
    <x v="1"/>
  </r>
  <r>
    <n v="1001"/>
    <s v="1001111"/>
    <d v="2023-09-21T06:10:11"/>
    <s v="type13"/>
    <n v="27884.07"/>
    <x v="6"/>
    <d v="2023-09-23T06:10:11"/>
    <x v="3"/>
    <d v="2023-10-03T00:00:00"/>
    <n v="11.742928240739275"/>
    <x v="0"/>
    <x v="3"/>
    <n v="9.7429282407392748"/>
    <x v="3"/>
  </r>
  <r>
    <n v="1018"/>
    <s v="1018111"/>
    <d v="2023-09-16T06:10:11"/>
    <s v="type11"/>
    <n v="100"/>
    <x v="4"/>
    <d v="2023-09-21T06:10:11"/>
    <x v="0"/>
    <d v="2023-10-03T00:00:00"/>
    <n v="16.742928240739275"/>
    <x v="0"/>
    <x v="1"/>
    <n v="11.742928240739275"/>
    <x v="1"/>
  </r>
  <r>
    <n v="1029"/>
    <s v="1029111"/>
    <d v="2023-09-18T06:10:11"/>
    <s v="type40"/>
    <n v="6086.7"/>
    <x v="4"/>
    <d v="2023-09-25T06:10:11"/>
    <x v="5"/>
    <d v="2023-10-03T00:00:00"/>
    <n v="14.742928240739275"/>
    <x v="0"/>
    <x v="11"/>
    <n v="7.7429282407392748"/>
    <x v="11"/>
  </r>
  <r>
    <n v="1014"/>
    <s v="1014111"/>
    <d v="2023-09-20T06:10:11"/>
    <s v="type42"/>
    <n v="635.25"/>
    <x v="4"/>
    <d v="2023-09-27T06:10:11"/>
    <x v="2"/>
    <d v="2023-10-03T00:00:00"/>
    <n v="12.742928240739275"/>
    <x v="0"/>
    <x v="12"/>
    <n v="5.7429282407392748"/>
    <x v="12"/>
  </r>
  <r>
    <n v="1008"/>
    <s v="1008111"/>
    <d v="2023-09-12T06:10:11"/>
    <s v="type20"/>
    <n v="141.5"/>
    <x v="1"/>
    <d v="2023-09-19T06:10:11"/>
    <x v="1"/>
    <d v="2023-10-03T00:00:00"/>
    <n v="20.742928240739275"/>
    <x v="0"/>
    <x v="19"/>
    <n v="13.742928240739275"/>
    <x v="19"/>
  </r>
  <r>
    <n v="1010"/>
    <s v="1010111"/>
    <d v="2023-09-23T06:10:11"/>
    <s v="type42"/>
    <n v="519"/>
    <x v="4"/>
    <d v="2023-09-30T06:10:11"/>
    <x v="1"/>
    <d v="2023-10-03T00:00:00"/>
    <n v="9.7429282407392748"/>
    <x v="0"/>
    <x v="14"/>
    <n v="2.7429282407392748"/>
    <x v="14"/>
  </r>
  <r>
    <n v="1011"/>
    <s v="1011111"/>
    <d v="2023-09-13T06:10:11"/>
    <s v="type26"/>
    <n v="8285.0400000000009"/>
    <x v="3"/>
    <d v="2023-09-20T06:10:11"/>
    <x v="1"/>
    <d v="2023-10-03T00:00:00"/>
    <n v="19.742928240739275"/>
    <x v="0"/>
    <x v="9"/>
    <n v="12.742928240739275"/>
    <x v="9"/>
  </r>
  <r>
    <n v="1024"/>
    <s v="1024111"/>
    <d v="2023-09-14T06:10:11"/>
    <s v="type33"/>
    <n v="513.85"/>
    <x v="3"/>
    <d v="2023-09-21T06:10:11"/>
    <x v="5"/>
    <d v="2023-10-03T00:00:00"/>
    <n v="18.742928240739275"/>
    <x v="0"/>
    <x v="1"/>
    <n v="11.742928240739275"/>
    <x v="1"/>
  </r>
  <r>
    <n v="1004"/>
    <s v="1004111"/>
    <d v="2023-09-14T06:10:11"/>
    <s v="type17"/>
    <n v="1403.02"/>
    <x v="3"/>
    <d v="2023-09-21T06:10:11"/>
    <x v="3"/>
    <d v="2023-10-03T00:00:00"/>
    <n v="18.742928240739275"/>
    <x v="0"/>
    <x v="1"/>
    <n v="11.742928240739275"/>
    <x v="1"/>
  </r>
  <r>
    <n v="1029"/>
    <s v="1029111"/>
    <d v="2023-09-16T06:10:11"/>
    <s v="type40"/>
    <n v="503.77"/>
    <x v="2"/>
    <d v="2023-09-21T06:10:11"/>
    <x v="5"/>
    <d v="2023-10-03T00:00:00"/>
    <n v="16.742928240739275"/>
    <x v="0"/>
    <x v="1"/>
    <n v="11.742928240739275"/>
    <x v="1"/>
  </r>
  <r>
    <n v="1022"/>
    <s v="1022111"/>
    <d v="2023-09-22T06:10:11"/>
    <s v="type13"/>
    <n v="32427.96"/>
    <x v="6"/>
    <d v="2023-09-24T06:10:11"/>
    <x v="0"/>
    <d v="2023-10-03T00:00:00"/>
    <n v="10.742928240739275"/>
    <x v="0"/>
    <x v="5"/>
    <n v="8.7429282407392748"/>
    <x v="5"/>
  </r>
  <r>
    <n v="1020"/>
    <s v="1020111"/>
    <d v="2023-09-12T06:10:11"/>
    <s v="type13"/>
    <n v="18138.849999999999"/>
    <x v="6"/>
    <d v="2023-09-17T06:10:11"/>
    <x v="0"/>
    <d v="2023-10-03T00:00:00"/>
    <n v="20.742928240739275"/>
    <x v="0"/>
    <x v="4"/>
    <n v="15.742928240739275"/>
    <x v="4"/>
  </r>
  <r>
    <n v="1026"/>
    <s v="1026111"/>
    <d v="2023-09-12T06:10:11"/>
    <s v="type40"/>
    <n v="1165.98"/>
    <x v="5"/>
    <d v="2023-09-14T06:10:11"/>
    <x v="5"/>
    <d v="2023-10-03T00:00:00"/>
    <n v="20.742928240739275"/>
    <x v="0"/>
    <x v="20"/>
    <n v="18.742928240739275"/>
    <x v="20"/>
  </r>
  <r>
    <n v="1018"/>
    <s v="1018111"/>
    <d v="2023-09-22T06:10:11"/>
    <s v="type40"/>
    <n v="-4020.87"/>
    <x v="2"/>
    <d v="2023-09-23T06:10:11"/>
    <x v="0"/>
    <d v="2023-10-03T00:00:00"/>
    <n v="10.742928240739275"/>
    <x v="0"/>
    <x v="3"/>
    <n v="9.7429282407392748"/>
    <x v="3"/>
  </r>
  <r>
    <n v="1017"/>
    <s v="1017111"/>
    <d v="2023-09-20T06:10:11"/>
    <s v="type40"/>
    <n v="-661.21"/>
    <x v="4"/>
    <d v="2023-09-21T06:10:11"/>
    <x v="2"/>
    <d v="2023-10-03T00:00:00"/>
    <n v="12.742928240739275"/>
    <x v="0"/>
    <x v="1"/>
    <n v="11.742928240739275"/>
    <x v="1"/>
  </r>
  <r>
    <n v="1031"/>
    <s v="1031111"/>
    <d v="2023-09-21T06:10:11"/>
    <s v="type40"/>
    <n v="-380.64"/>
    <x v="4"/>
    <d v="2023-09-26T06:10:11"/>
    <x v="4"/>
    <d v="2023-10-03T00:00:00"/>
    <n v="11.742928240739275"/>
    <x v="0"/>
    <x v="7"/>
    <n v="6.7429282407392748"/>
    <x v="7"/>
  </r>
  <r>
    <n v="1009"/>
    <s v="1009111"/>
    <d v="2023-09-19T06:10:11"/>
    <s v="type40"/>
    <n v="-1219.48"/>
    <x v="1"/>
    <d v="2023-09-26T06:10:11"/>
    <x v="1"/>
    <d v="2023-10-03T00:00:00"/>
    <n v="13.742928240739275"/>
    <x v="0"/>
    <x v="7"/>
    <n v="6.7429282407392748"/>
    <x v="7"/>
  </r>
  <r>
    <n v="1027"/>
    <s v="1027111"/>
    <d v="2023-09-23T06:10:11"/>
    <s v="type40"/>
    <n v="53.63"/>
    <x v="4"/>
    <d v="2023-09-28T06:10:11"/>
    <x v="5"/>
    <d v="2023-10-03T00:00:00"/>
    <n v="9.7429282407392748"/>
    <x v="0"/>
    <x v="8"/>
    <n v="4.7429282407392748"/>
    <x v="8"/>
  </r>
  <r>
    <n v="1018"/>
    <s v="1018111"/>
    <d v="2023-09-15T06:10:11"/>
    <s v="type40"/>
    <n v="-439.56"/>
    <x v="5"/>
    <d v="2023-09-20T06:10:11"/>
    <x v="0"/>
    <d v="2023-10-03T00:00:00"/>
    <n v="17.742928240739275"/>
    <x v="0"/>
    <x v="9"/>
    <n v="12.742928240739275"/>
    <x v="9"/>
  </r>
  <r>
    <n v="1011"/>
    <s v="1011111"/>
    <d v="2023-09-13T06:10:11"/>
    <s v="type13"/>
    <n v="21285.47"/>
    <x v="6"/>
    <d v="2023-09-18T06:10:11"/>
    <x v="1"/>
    <d v="2023-10-03T00:00:00"/>
    <n v="19.742928240739275"/>
    <x v="0"/>
    <x v="6"/>
    <n v="14.742928240739275"/>
    <x v="6"/>
  </r>
  <r>
    <n v="1009"/>
    <s v="1009111"/>
    <d v="2023-09-21T06:10:11"/>
    <s v="type40"/>
    <n v="3419.4"/>
    <x v="3"/>
    <d v="2023-09-22T06:10:11"/>
    <x v="1"/>
    <d v="2023-10-03T00:00:00"/>
    <n v="11.742928240739275"/>
    <x v="0"/>
    <x v="10"/>
    <n v="10.742928240739275"/>
    <x v="10"/>
  </r>
  <r>
    <n v="1015"/>
    <s v="1015111"/>
    <d v="2023-09-18T06:10:11"/>
    <s v="type40"/>
    <n v="5961.22"/>
    <x v="2"/>
    <d v="2023-09-20T06:10:11"/>
    <x v="2"/>
    <d v="2023-10-03T00:00:00"/>
    <n v="14.742928240739275"/>
    <x v="0"/>
    <x v="9"/>
    <n v="12.742928240739275"/>
    <x v="9"/>
  </r>
  <r>
    <n v="1007"/>
    <s v="1007111"/>
    <d v="2023-09-14T06:10:11"/>
    <s v="type13"/>
    <n v="14399"/>
    <x v="6"/>
    <d v="2023-09-21T06:10:11"/>
    <x v="1"/>
    <d v="2023-10-03T00:00:00"/>
    <n v="18.742928240739275"/>
    <x v="0"/>
    <x v="1"/>
    <n v="11.742928240739275"/>
    <x v="1"/>
  </r>
  <r>
    <n v="1029"/>
    <s v="1029111"/>
    <d v="2023-09-16T06:10:11"/>
    <s v="type40"/>
    <n v="-493.21"/>
    <x v="5"/>
    <d v="2023-09-23T06:10:11"/>
    <x v="5"/>
    <d v="2023-10-03T00:00:00"/>
    <n v="16.742928240739275"/>
    <x v="0"/>
    <x v="3"/>
    <n v="9.7429282407392748"/>
    <x v="3"/>
  </r>
  <r>
    <n v="1033"/>
    <s v="1033111"/>
    <d v="2023-09-17T06:10:11"/>
    <s v="type40"/>
    <n v="723.25"/>
    <x v="4"/>
    <d v="2023-09-18T06:10:11"/>
    <x v="4"/>
    <d v="2023-10-03T00:00:00"/>
    <n v="15.742928240739275"/>
    <x v="0"/>
    <x v="6"/>
    <n v="14.742928240739275"/>
    <x v="6"/>
  </r>
  <r>
    <n v="1025"/>
    <s v="1025111"/>
    <d v="2023-09-26T06:10:11"/>
    <s v="type40"/>
    <n v="-816.69"/>
    <x v="3"/>
    <d v="2023-09-27T06:10:11"/>
    <x v="5"/>
    <d v="2023-10-03T00:00:00"/>
    <n v="6.7429282407392748"/>
    <x v="1"/>
    <x v="12"/>
    <n v="5.7429282407392748"/>
    <x v="12"/>
  </r>
  <r>
    <n v="1030"/>
    <s v="1030111"/>
    <d v="2023-09-16T06:10:11"/>
    <s v="type13"/>
    <n v="12068.93"/>
    <x v="6"/>
    <d v="2023-09-23T06:10:11"/>
    <x v="4"/>
    <d v="2023-10-03T00:00:00"/>
    <n v="16.742928240739275"/>
    <x v="0"/>
    <x v="3"/>
    <n v="9.7429282407392748"/>
    <x v="3"/>
  </r>
  <r>
    <n v="1001"/>
    <s v="1001111"/>
    <d v="2023-09-28T06:10:11"/>
    <s v="type40"/>
    <n v="-3207.97"/>
    <x v="3"/>
    <d v="2023-09-29T06:10:11"/>
    <x v="3"/>
    <d v="2023-10-03T00:00:00"/>
    <n v="4.7429282407392748"/>
    <x v="2"/>
    <x v="13"/>
    <n v="3.7429282407392748"/>
    <x v="13"/>
  </r>
  <r>
    <n v="1009"/>
    <s v="1009111"/>
    <d v="2023-09-16T06:10:11"/>
    <s v="type40"/>
    <n v="-1352.45"/>
    <x v="3"/>
    <d v="2023-09-17T06:10:11"/>
    <x v="1"/>
    <d v="2023-10-03T00:00:00"/>
    <n v="16.742928240739275"/>
    <x v="0"/>
    <x v="4"/>
    <n v="15.742928240739275"/>
    <x v="4"/>
  </r>
  <r>
    <n v="1031"/>
    <s v="1031111"/>
    <d v="2023-09-17T06:10:11"/>
    <s v="type40"/>
    <n v="1366.01"/>
    <x v="3"/>
    <d v="2023-09-18T06:10:11"/>
    <x v="4"/>
    <d v="2023-10-03T00:00:00"/>
    <n v="15.742928240739275"/>
    <x v="0"/>
    <x v="6"/>
    <n v="14.742928240739275"/>
    <x v="6"/>
  </r>
  <r>
    <n v="1019"/>
    <s v="1019111"/>
    <d v="2023-09-17T06:10:11"/>
    <s v="type40"/>
    <n v="-1512.03"/>
    <x v="5"/>
    <d v="2023-09-24T06:10:11"/>
    <x v="0"/>
    <d v="2023-10-03T00:00:00"/>
    <n v="15.742928240739275"/>
    <x v="0"/>
    <x v="5"/>
    <n v="8.7429282407392748"/>
    <x v="5"/>
  </r>
  <r>
    <n v="1024"/>
    <s v="1024111"/>
    <d v="2023-09-18T06:10:11"/>
    <s v="type40"/>
    <n v="-491.46"/>
    <x v="6"/>
    <d v="2023-09-25T06:10:11"/>
    <x v="5"/>
    <d v="2023-10-03T00:00:00"/>
    <n v="14.742928240739275"/>
    <x v="0"/>
    <x v="11"/>
    <n v="7.7429282407392748"/>
    <x v="11"/>
  </r>
  <r>
    <n v="1028"/>
    <s v="1028111"/>
    <d v="2023-09-18T06:10:11"/>
    <s v="type40"/>
    <n v="-7543.95"/>
    <x v="5"/>
    <d v="2023-09-19T06:10:11"/>
    <x v="5"/>
    <d v="2023-10-03T00:00:00"/>
    <n v="14.742928240739275"/>
    <x v="0"/>
    <x v="19"/>
    <n v="13.742928240739275"/>
    <x v="19"/>
  </r>
  <r>
    <n v="1017"/>
    <s v="1017111"/>
    <d v="2023-09-14T06:10:11"/>
    <s v="type10"/>
    <n v="40"/>
    <x v="4"/>
    <d v="2023-09-16T06:10:11"/>
    <x v="2"/>
    <d v="2023-10-03T00:00:00"/>
    <n v="18.742928240739275"/>
    <x v="0"/>
    <x v="2"/>
    <n v="16.742928240739275"/>
    <x v="2"/>
  </r>
  <r>
    <n v="1008"/>
    <s v="1008111"/>
    <d v="2023-09-21T06:10:11"/>
    <s v="type40"/>
    <n v="-370.41"/>
    <x v="5"/>
    <d v="2023-09-23T06:10:11"/>
    <x v="1"/>
    <d v="2023-10-03T00:00:00"/>
    <n v="11.742928240739275"/>
    <x v="0"/>
    <x v="3"/>
    <n v="9.7429282407392748"/>
    <x v="3"/>
  </r>
  <r>
    <n v="1005"/>
    <s v="1005111"/>
    <d v="2023-09-16T06:10:11"/>
    <s v="type8"/>
    <n v="60"/>
    <x v="4"/>
    <d v="2023-09-18T06:10:11"/>
    <x v="3"/>
    <d v="2023-10-03T00:00:00"/>
    <n v="16.742928240739275"/>
    <x v="0"/>
    <x v="6"/>
    <n v="14.742928240739275"/>
    <x v="6"/>
  </r>
  <r>
    <n v="1000"/>
    <s v="1000111"/>
    <d v="2023-09-19T06:10:11"/>
    <s v="type40"/>
    <n v="-519.13"/>
    <x v="4"/>
    <d v="2023-09-24T06:10:11"/>
    <x v="3"/>
    <d v="2023-10-03T00:00:00"/>
    <n v="13.742928240739275"/>
    <x v="0"/>
    <x v="5"/>
    <n v="8.7429282407392748"/>
    <x v="5"/>
  </r>
  <r>
    <n v="1029"/>
    <s v="1029111"/>
    <d v="2023-09-10T06:10:11"/>
    <s v="type40"/>
    <n v="-429.99"/>
    <x v="5"/>
    <d v="2023-09-12T06:10:11"/>
    <x v="5"/>
    <d v="2023-10-03T00:00:00"/>
    <n v="22.742928240739275"/>
    <x v="0"/>
    <x v="18"/>
    <n v="20.742928240739275"/>
    <x v="18"/>
  </r>
  <r>
    <n v="1028"/>
    <s v="1028111"/>
    <d v="2023-09-23T06:10:11"/>
    <s v="type40"/>
    <n v="783.51"/>
    <x v="1"/>
    <d v="2023-09-25T06:10:11"/>
    <x v="5"/>
    <d v="2023-10-03T00:00:00"/>
    <n v="9.7429282407392748"/>
    <x v="0"/>
    <x v="11"/>
    <n v="7.7429282407392748"/>
    <x v="11"/>
  </r>
  <r>
    <n v="1026"/>
    <s v="1026111"/>
    <d v="2023-09-18T06:10:11"/>
    <s v="type38"/>
    <n v="479.89"/>
    <x v="6"/>
    <d v="2023-09-19T06:10:11"/>
    <x v="5"/>
    <d v="2023-10-03T00:00:00"/>
    <n v="14.742928240739275"/>
    <x v="0"/>
    <x v="19"/>
    <n v="13.742928240739275"/>
    <x v="19"/>
  </r>
  <r>
    <n v="1008"/>
    <s v="1008111"/>
    <d v="2023-09-21T06:10:11"/>
    <s v="type40"/>
    <n v="682.24"/>
    <x v="2"/>
    <d v="2023-09-23T06:10:11"/>
    <x v="1"/>
    <d v="2023-10-03T00:00:00"/>
    <n v="11.742928240739275"/>
    <x v="0"/>
    <x v="3"/>
    <n v="9.7429282407392748"/>
    <x v="3"/>
  </r>
  <r>
    <n v="1025"/>
    <s v="1025111"/>
    <d v="2023-09-22T06:10:11"/>
    <s v="type40"/>
    <n v="8099.51"/>
    <x v="6"/>
    <d v="2023-09-23T06:10:11"/>
    <x v="5"/>
    <d v="2023-10-03T00:00:00"/>
    <n v="10.742928240739275"/>
    <x v="0"/>
    <x v="3"/>
    <n v="9.7429282407392748"/>
    <x v="3"/>
  </r>
  <r>
    <n v="1008"/>
    <s v="1008111"/>
    <d v="2023-09-10T06:10:11"/>
    <s v="type40"/>
    <n v="5"/>
    <x v="4"/>
    <d v="2023-09-17T06:10:11"/>
    <x v="1"/>
    <d v="2023-10-03T00:00:00"/>
    <n v="22.742928240739275"/>
    <x v="0"/>
    <x v="4"/>
    <n v="15.742928240739275"/>
    <x v="4"/>
  </r>
  <r>
    <n v="1013"/>
    <s v="1013111"/>
    <d v="2023-09-28T06:10:11"/>
    <s v="type40"/>
    <n v="332.6"/>
    <x v="1"/>
    <d v="2023-09-30T06:10:11"/>
    <x v="2"/>
    <d v="2023-10-03T00:00:00"/>
    <n v="4.7429282407392748"/>
    <x v="2"/>
    <x v="14"/>
    <n v="2.7429282407392748"/>
    <x v="14"/>
  </r>
  <r>
    <n v="1031"/>
    <s v="1031111"/>
    <d v="2023-09-10T06:10:11"/>
    <s v="type40"/>
    <n v="1636.57"/>
    <x v="1"/>
    <d v="2023-09-12T06:10:11"/>
    <x v="4"/>
    <d v="2023-10-03T00:00:00"/>
    <n v="22.742928240739275"/>
    <x v="0"/>
    <x v="18"/>
    <n v="20.742928240739275"/>
    <x v="18"/>
  </r>
  <r>
    <n v="1010"/>
    <s v="1010111"/>
    <d v="2023-09-11T06:10:11"/>
    <s v="type18"/>
    <n v="499253.73"/>
    <x v="3"/>
    <d v="2023-09-13T06:10:11"/>
    <x v="1"/>
    <d v="2023-10-03T00:00:00"/>
    <n v="21.742928240739275"/>
    <x v="0"/>
    <x v="24"/>
    <n v="19.742928240739275"/>
    <x v="24"/>
  </r>
  <r>
    <n v="1023"/>
    <s v="1023111"/>
    <d v="2023-09-16T06:10:11"/>
    <s v="type40"/>
    <n v="350.37"/>
    <x v="2"/>
    <d v="2023-09-18T06:10:11"/>
    <x v="0"/>
    <d v="2023-10-03T00:00:00"/>
    <n v="16.742928240739275"/>
    <x v="0"/>
    <x v="6"/>
    <n v="14.742928240739275"/>
    <x v="6"/>
  </r>
  <r>
    <n v="1002"/>
    <s v="1002111"/>
    <d v="2023-09-13T06:10:11"/>
    <s v="type40"/>
    <n v="530.30999999999995"/>
    <x v="1"/>
    <d v="2023-09-15T06:10:11"/>
    <x v="3"/>
    <d v="2023-10-03T00:00:00"/>
    <n v="19.742928240739275"/>
    <x v="0"/>
    <x v="0"/>
    <n v="17.742928240739275"/>
    <x v="0"/>
  </r>
  <r>
    <n v="1031"/>
    <s v="1031111"/>
    <d v="2023-09-13T06:10:11"/>
    <s v="type40"/>
    <n v="-909.12"/>
    <x v="6"/>
    <d v="2023-09-15T06:10:11"/>
    <x v="4"/>
    <d v="2023-10-03T00:00:00"/>
    <n v="19.742928240739275"/>
    <x v="0"/>
    <x v="0"/>
    <n v="17.742928240739275"/>
    <x v="0"/>
  </r>
  <r>
    <n v="1022"/>
    <s v="1022111"/>
    <d v="2023-09-13T06:10:11"/>
    <s v="type40"/>
    <n v="-16102.22"/>
    <x v="4"/>
    <d v="2023-09-20T06:10:11"/>
    <x v="0"/>
    <d v="2023-10-03T00:00:00"/>
    <n v="19.742928240739275"/>
    <x v="0"/>
    <x v="9"/>
    <n v="12.742928240739275"/>
    <x v="9"/>
  </r>
  <r>
    <n v="1004"/>
    <s v="1004111"/>
    <d v="2023-09-15T06:10:11"/>
    <s v="type40"/>
    <n v="301.77999999999997"/>
    <x v="5"/>
    <d v="2023-09-17T06:10:11"/>
    <x v="3"/>
    <d v="2023-10-03T00:00:00"/>
    <n v="17.742928240739275"/>
    <x v="0"/>
    <x v="4"/>
    <n v="15.742928240739275"/>
    <x v="4"/>
  </r>
  <r>
    <n v="1034"/>
    <s v="1034111"/>
    <d v="2023-09-22T06:10:11"/>
    <s v="type40"/>
    <n v="400.08"/>
    <x v="5"/>
    <d v="2023-09-27T06:10:11"/>
    <x v="4"/>
    <d v="2023-10-03T00:00:00"/>
    <n v="10.742928240739275"/>
    <x v="0"/>
    <x v="12"/>
    <n v="5.7429282407392748"/>
    <x v="12"/>
  </r>
  <r>
    <n v="1001"/>
    <s v="1001111"/>
    <d v="2023-09-15T06:10:11"/>
    <s v="type40"/>
    <n v="357.88"/>
    <x v="1"/>
    <d v="2023-09-17T06:10:11"/>
    <x v="3"/>
    <d v="2023-10-03T00:00:00"/>
    <n v="17.742928240739275"/>
    <x v="0"/>
    <x v="4"/>
    <n v="15.742928240739275"/>
    <x v="4"/>
  </r>
  <r>
    <n v="1019"/>
    <s v="1019111"/>
    <d v="2023-09-16T06:10:11"/>
    <s v="type40"/>
    <n v="16102.2"/>
    <x v="1"/>
    <d v="2023-09-18T06:10:11"/>
    <x v="0"/>
    <d v="2023-10-03T00:00:00"/>
    <n v="16.742928240739275"/>
    <x v="0"/>
    <x v="6"/>
    <n v="14.742928240739275"/>
    <x v="6"/>
  </r>
  <r>
    <n v="1032"/>
    <s v="1032111"/>
    <d v="2023-09-17T06:10:11"/>
    <s v="type40"/>
    <n v="-429.71"/>
    <x v="5"/>
    <d v="2023-09-18T06:10:11"/>
    <x v="4"/>
    <d v="2023-10-03T00:00:00"/>
    <n v="15.742928240739275"/>
    <x v="0"/>
    <x v="6"/>
    <n v="14.742928240739275"/>
    <x v="6"/>
  </r>
  <r>
    <n v="1022"/>
    <s v="1022111"/>
    <d v="2023-09-16T06:10:11"/>
    <s v="type40"/>
    <n v="-24529.26"/>
    <x v="4"/>
    <d v="2023-09-17T06:10:11"/>
    <x v="0"/>
    <d v="2023-10-03T00:00:00"/>
    <n v="16.742928240739275"/>
    <x v="0"/>
    <x v="4"/>
    <n v="15.742928240739275"/>
    <x v="4"/>
  </r>
  <r>
    <n v="1019"/>
    <s v="1019111"/>
    <d v="2023-09-19T06:10:11"/>
    <s v="type40"/>
    <n v="1598.44"/>
    <x v="5"/>
    <d v="2023-09-20T06:10:11"/>
    <x v="0"/>
    <d v="2023-10-03T00:00:00"/>
    <n v="13.742928240739275"/>
    <x v="0"/>
    <x v="9"/>
    <n v="12.742928240739275"/>
    <x v="9"/>
  </r>
  <r>
    <n v="1009"/>
    <s v="1009111"/>
    <d v="2023-09-15T06:10:11"/>
    <s v="type40"/>
    <n v="4175.37"/>
    <x v="5"/>
    <d v="2023-09-17T06:10:11"/>
    <x v="1"/>
    <d v="2023-10-03T00:00:00"/>
    <n v="17.742928240739275"/>
    <x v="0"/>
    <x v="4"/>
    <n v="15.742928240739275"/>
    <x v="4"/>
  </r>
  <r>
    <n v="1018"/>
    <s v="1018111"/>
    <d v="2023-09-19T06:10:11"/>
    <s v="type12"/>
    <n v="30"/>
    <x v="1"/>
    <d v="2023-09-24T06:10:11"/>
    <x v="0"/>
    <d v="2023-10-03T00:00:00"/>
    <n v="13.742928240739275"/>
    <x v="0"/>
    <x v="5"/>
    <n v="8.7429282407392748"/>
    <x v="5"/>
  </r>
  <r>
    <n v="1016"/>
    <s v="1016111"/>
    <d v="2023-09-13T06:10:11"/>
    <s v="type17"/>
    <n v="353.8"/>
    <x v="6"/>
    <d v="2023-09-15T06:10:11"/>
    <x v="2"/>
    <d v="2023-10-03T00:00:00"/>
    <n v="19.742928240739275"/>
    <x v="0"/>
    <x v="0"/>
    <n v="17.742928240739275"/>
    <x v="0"/>
  </r>
  <r>
    <n v="1032"/>
    <s v="1032111"/>
    <d v="2023-09-14T06:10:11"/>
    <s v="type40"/>
    <n v="419.78"/>
    <x v="6"/>
    <d v="2023-09-16T06:10:11"/>
    <x v="4"/>
    <d v="2023-10-03T00:00:00"/>
    <n v="18.742928240739275"/>
    <x v="0"/>
    <x v="2"/>
    <n v="16.742928240739275"/>
    <x v="2"/>
  </r>
  <r>
    <n v="1007"/>
    <s v="1007111"/>
    <d v="2023-09-20T06:10:11"/>
    <s v="type40"/>
    <n v="16936.669999999998"/>
    <x v="5"/>
    <d v="2023-09-22T06:10:11"/>
    <x v="1"/>
    <d v="2023-10-03T00:00:00"/>
    <n v="12.742928240739275"/>
    <x v="0"/>
    <x v="10"/>
    <n v="10.742928240739275"/>
    <x v="10"/>
  </r>
  <r>
    <n v="1010"/>
    <s v="1010111"/>
    <d v="2023-09-13T06:10:11"/>
    <s v="type26"/>
    <n v="106.65"/>
    <x v="5"/>
    <d v="2023-09-15T06:10:11"/>
    <x v="1"/>
    <d v="2023-10-03T00:00:00"/>
    <n v="19.742928240739275"/>
    <x v="0"/>
    <x v="0"/>
    <n v="17.742928240739275"/>
    <x v="0"/>
  </r>
  <r>
    <n v="1029"/>
    <s v="1029111"/>
    <d v="2023-09-22T06:10:11"/>
    <s v="type40"/>
    <n v="1785"/>
    <x v="3"/>
    <d v="2023-09-27T06:10:11"/>
    <x v="5"/>
    <d v="2023-10-03T00:00:00"/>
    <n v="10.742928240739275"/>
    <x v="0"/>
    <x v="12"/>
    <n v="5.7429282407392748"/>
    <x v="12"/>
  </r>
  <r>
    <n v="1003"/>
    <s v="1003111"/>
    <d v="2023-09-23T06:10:11"/>
    <s v="type40"/>
    <n v="24462.47"/>
    <x v="3"/>
    <d v="2023-09-28T06:10:11"/>
    <x v="3"/>
    <d v="2023-10-03T00:00:00"/>
    <n v="9.7429282407392748"/>
    <x v="0"/>
    <x v="8"/>
    <n v="4.7429282407392748"/>
    <x v="8"/>
  </r>
  <r>
    <n v="1028"/>
    <s v="1028111"/>
    <d v="2023-09-18T06:10:11"/>
    <s v="type40"/>
    <n v="-570.65"/>
    <x v="4"/>
    <d v="2023-09-19T06:10:11"/>
    <x v="5"/>
    <d v="2023-10-03T00:00:00"/>
    <n v="14.742928240739275"/>
    <x v="0"/>
    <x v="19"/>
    <n v="13.742928240739275"/>
    <x v="19"/>
  </r>
  <r>
    <n v="1030"/>
    <s v="1030111"/>
    <d v="2023-09-21T06:10:11"/>
    <s v="type41"/>
    <n v="718.16"/>
    <x v="4"/>
    <d v="2023-09-23T06:10:11"/>
    <x v="4"/>
    <d v="2023-10-03T00:00:00"/>
    <n v="11.742928240739275"/>
    <x v="0"/>
    <x v="3"/>
    <n v="9.7429282407392748"/>
    <x v="3"/>
  </r>
  <r>
    <n v="1015"/>
    <s v="1015111"/>
    <d v="2023-09-20T06:10:11"/>
    <s v="type13"/>
    <n v="42035.44"/>
    <x v="2"/>
    <d v="2023-09-25T06:10:11"/>
    <x v="2"/>
    <d v="2023-10-03T00:00:00"/>
    <n v="12.742928240739275"/>
    <x v="0"/>
    <x v="11"/>
    <n v="7.7429282407392748"/>
    <x v="11"/>
  </r>
  <r>
    <n v="1034"/>
    <s v="1034111"/>
    <d v="2023-09-27T06:10:11"/>
    <s v="type40"/>
    <n v="573.07000000000005"/>
    <x v="1"/>
    <d v="2023-10-04T06:10:11"/>
    <x v="4"/>
    <d v="2023-10-03T00:00:00"/>
    <n v="5.7429282407392748"/>
    <x v="2"/>
    <x v="23"/>
    <n v="-1.2570717592607252"/>
    <x v="23"/>
  </r>
  <r>
    <n v="1001"/>
    <s v="1001111"/>
    <d v="2023-09-16T06:10:11"/>
    <s v="type16"/>
    <n v="-1536"/>
    <x v="2"/>
    <d v="2023-09-23T06:10:11"/>
    <x v="3"/>
    <d v="2023-10-03T00:00:00"/>
    <n v="16.742928240739275"/>
    <x v="0"/>
    <x v="3"/>
    <n v="9.7429282407392748"/>
    <x v="3"/>
  </r>
  <r>
    <n v="1002"/>
    <s v="1002111"/>
    <d v="2023-09-21T06:10:11"/>
    <s v="type40"/>
    <n v="36.36"/>
    <x v="2"/>
    <d v="2023-09-23T06:10:11"/>
    <x v="3"/>
    <d v="2023-10-03T00:00:00"/>
    <n v="11.742928240739275"/>
    <x v="0"/>
    <x v="3"/>
    <n v="9.7429282407392748"/>
    <x v="3"/>
  </r>
  <r>
    <n v="1008"/>
    <s v="1008111"/>
    <d v="2023-09-17T06:10:11"/>
    <s v="type13"/>
    <n v="25492.45"/>
    <x v="1"/>
    <d v="2023-09-24T06:10:11"/>
    <x v="1"/>
    <d v="2023-10-03T00:00:00"/>
    <n v="15.742928240739275"/>
    <x v="0"/>
    <x v="5"/>
    <n v="8.7429282407392748"/>
    <x v="5"/>
  </r>
  <r>
    <n v="1018"/>
    <s v="1018111"/>
    <d v="2023-09-13T06:10:11"/>
    <s v="type26"/>
    <n v="149.85"/>
    <x v="2"/>
    <d v="2023-09-15T06:10:11"/>
    <x v="0"/>
    <d v="2023-10-03T00:00:00"/>
    <n v="19.742928240739275"/>
    <x v="0"/>
    <x v="0"/>
    <n v="17.742928240739275"/>
    <x v="0"/>
  </r>
  <r>
    <n v="1008"/>
    <s v="1008111"/>
    <d v="2023-09-20T06:10:11"/>
    <s v="type40"/>
    <n v="14.78"/>
    <x v="2"/>
    <d v="2023-09-25T06:10:11"/>
    <x v="1"/>
    <d v="2023-10-03T00:00:00"/>
    <n v="12.742928240739275"/>
    <x v="0"/>
    <x v="11"/>
    <n v="7.7429282407392748"/>
    <x v="11"/>
  </r>
  <r>
    <n v="1019"/>
    <s v="1019111"/>
    <d v="2023-09-15T06:10:11"/>
    <s v="type54"/>
    <n v="2000"/>
    <x v="5"/>
    <d v="2023-09-20T06:10:11"/>
    <x v="0"/>
    <d v="2023-10-03T00:00:00"/>
    <n v="17.742928240739275"/>
    <x v="0"/>
    <x v="9"/>
    <n v="12.742928240739275"/>
    <x v="9"/>
  </r>
  <r>
    <n v="1020"/>
    <s v="1020111"/>
    <d v="2023-09-18T06:10:11"/>
    <s v="type40"/>
    <n v="40"/>
    <x v="4"/>
    <d v="2023-09-23T06:10:11"/>
    <x v="0"/>
    <d v="2023-10-03T00:00:00"/>
    <n v="14.742928240739275"/>
    <x v="0"/>
    <x v="3"/>
    <n v="9.7429282407392748"/>
    <x v="3"/>
  </r>
  <r>
    <n v="1012"/>
    <s v="1012111"/>
    <d v="2023-09-22T06:10:11"/>
    <s v="type10"/>
    <n v="171.37"/>
    <x v="2"/>
    <d v="2023-09-29T06:10:11"/>
    <x v="2"/>
    <d v="2023-10-03T00:00:00"/>
    <n v="10.742928240739275"/>
    <x v="0"/>
    <x v="13"/>
    <n v="3.7429282407392748"/>
    <x v="13"/>
  </r>
  <r>
    <n v="1024"/>
    <s v="1024111"/>
    <d v="2023-09-21T06:10:11"/>
    <s v="type40"/>
    <n v="30"/>
    <x v="4"/>
    <d v="2023-09-28T06:10:11"/>
    <x v="5"/>
    <d v="2023-10-03T00:00:00"/>
    <n v="11.742928240739275"/>
    <x v="0"/>
    <x v="8"/>
    <n v="4.7429282407392748"/>
    <x v="8"/>
  </r>
  <r>
    <n v="1015"/>
    <s v="1015111"/>
    <d v="2023-09-21T06:10:11"/>
    <s v="type40"/>
    <n v="-691.04"/>
    <x v="3"/>
    <d v="2023-09-28T06:10:11"/>
    <x v="2"/>
    <d v="2023-10-03T00:00:00"/>
    <n v="11.742928240739275"/>
    <x v="0"/>
    <x v="8"/>
    <n v="4.7429282407392748"/>
    <x v="8"/>
  </r>
  <r>
    <n v="1023"/>
    <s v="1023111"/>
    <d v="2023-09-22T06:10:11"/>
    <s v="type7"/>
    <n v="-13226.63"/>
    <x v="1"/>
    <d v="2023-09-29T06:10:11"/>
    <x v="0"/>
    <d v="2023-10-03T00:00:00"/>
    <n v="10.742928240739275"/>
    <x v="0"/>
    <x v="13"/>
    <n v="3.7429282407392748"/>
    <x v="13"/>
  </r>
  <r>
    <n v="1031"/>
    <s v="1031111"/>
    <d v="2023-09-16T06:10:11"/>
    <s v="type8"/>
    <n v="61.49"/>
    <x v="5"/>
    <d v="2023-09-21T06:10:11"/>
    <x v="4"/>
    <d v="2023-10-03T00:00:00"/>
    <n v="16.742928240739275"/>
    <x v="0"/>
    <x v="1"/>
    <n v="11.742928240739275"/>
    <x v="1"/>
  </r>
  <r>
    <n v="1033"/>
    <s v="1033111"/>
    <d v="2023-09-15T06:10:11"/>
    <s v="type40"/>
    <n v="-3271.11"/>
    <x v="2"/>
    <d v="2023-09-16T06:10:11"/>
    <x v="4"/>
    <d v="2023-10-03T00:00:00"/>
    <n v="17.742928240739275"/>
    <x v="0"/>
    <x v="2"/>
    <n v="16.742928240739275"/>
    <x v="2"/>
  </r>
  <r>
    <n v="1020"/>
    <s v="1020111"/>
    <d v="2023-09-20T06:10:11"/>
    <s v="type13"/>
    <n v="16755.689999999999"/>
    <x v="2"/>
    <d v="2023-09-22T06:10:11"/>
    <x v="0"/>
    <d v="2023-10-03T00:00:00"/>
    <n v="12.742928240739275"/>
    <x v="0"/>
    <x v="10"/>
    <n v="10.742928240739275"/>
    <x v="10"/>
  </r>
  <r>
    <n v="1009"/>
    <s v="1009111"/>
    <d v="2023-09-16T06:10:11"/>
    <s v="type40"/>
    <n v="-670.85"/>
    <x v="6"/>
    <d v="2023-09-18T06:10:11"/>
    <x v="1"/>
    <d v="2023-10-03T00:00:00"/>
    <n v="16.742928240739275"/>
    <x v="0"/>
    <x v="6"/>
    <n v="14.742928240739275"/>
    <x v="6"/>
  </r>
  <r>
    <n v="1029"/>
    <s v="1029111"/>
    <d v="2023-09-18T06:10:11"/>
    <s v="type40"/>
    <n v="4835.84"/>
    <x v="2"/>
    <d v="2023-09-20T06:10:11"/>
    <x v="5"/>
    <d v="2023-10-03T00:00:00"/>
    <n v="14.742928240739275"/>
    <x v="0"/>
    <x v="9"/>
    <n v="12.742928240739275"/>
    <x v="9"/>
  </r>
  <r>
    <n v="1032"/>
    <s v="1032111"/>
    <d v="2023-09-22T06:10:11"/>
    <s v="type13"/>
    <n v="55235.040000000001"/>
    <x v="5"/>
    <d v="2023-09-27T06:10:11"/>
    <x v="4"/>
    <d v="2023-10-03T00:00:00"/>
    <n v="10.742928240739275"/>
    <x v="0"/>
    <x v="12"/>
    <n v="5.7429282407392748"/>
    <x v="12"/>
  </r>
  <r>
    <n v="1000"/>
    <s v="1000111"/>
    <d v="2023-09-15T06:10:11"/>
    <s v="type42"/>
    <n v="230.3"/>
    <x v="2"/>
    <d v="2023-09-22T06:10:11"/>
    <x v="3"/>
    <d v="2023-10-03T00:00:00"/>
    <n v="17.742928240739275"/>
    <x v="0"/>
    <x v="10"/>
    <n v="10.742928240739275"/>
    <x v="10"/>
  </r>
  <r>
    <n v="1017"/>
    <s v="1017111"/>
    <d v="2023-09-17T06:10:11"/>
    <s v="type22"/>
    <n v="1652.24"/>
    <x v="5"/>
    <d v="2023-09-24T06:10:11"/>
    <x v="2"/>
    <d v="2023-10-03T00:00:00"/>
    <n v="15.742928240739275"/>
    <x v="0"/>
    <x v="5"/>
    <n v="8.7429282407392748"/>
    <x v="5"/>
  </r>
  <r>
    <n v="1011"/>
    <s v="1011111"/>
    <d v="2023-09-19T06:10:11"/>
    <s v="type40"/>
    <n v="-1579.04"/>
    <x v="6"/>
    <d v="2023-09-21T06:10:11"/>
    <x v="1"/>
    <d v="2023-10-03T00:00:00"/>
    <n v="13.742928240739275"/>
    <x v="0"/>
    <x v="1"/>
    <n v="11.742928240739275"/>
    <x v="1"/>
  </r>
  <r>
    <n v="1007"/>
    <s v="1007111"/>
    <d v="2023-09-17T06:10:11"/>
    <s v="type40"/>
    <n v="1446.93"/>
    <x v="2"/>
    <d v="2023-09-24T06:10:11"/>
    <x v="1"/>
    <d v="2023-10-03T00:00:00"/>
    <n v="15.742928240739275"/>
    <x v="0"/>
    <x v="5"/>
    <n v="8.7429282407392748"/>
    <x v="5"/>
  </r>
  <r>
    <n v="1026"/>
    <s v="1026111"/>
    <d v="2023-09-18T06:10:11"/>
    <s v="type35"/>
    <n v="547.02"/>
    <x v="5"/>
    <d v="2023-09-25T06:10:11"/>
    <x v="5"/>
    <d v="2023-10-03T00:00:00"/>
    <n v="14.742928240739275"/>
    <x v="0"/>
    <x v="11"/>
    <n v="7.7429282407392748"/>
    <x v="11"/>
  </r>
  <r>
    <n v="1019"/>
    <s v="1019111"/>
    <d v="2023-09-22T06:10:11"/>
    <s v="type8"/>
    <n v="52.73"/>
    <x v="5"/>
    <d v="2023-09-29T06:10:11"/>
    <x v="0"/>
    <d v="2023-10-03T00:00:00"/>
    <n v="10.742928240739275"/>
    <x v="0"/>
    <x v="13"/>
    <n v="3.7429282407392748"/>
    <x v="13"/>
  </r>
  <r>
    <n v="1031"/>
    <s v="1031111"/>
    <d v="2023-09-14T06:10:11"/>
    <s v="type40"/>
    <n v="379.04"/>
    <x v="4"/>
    <d v="2023-09-21T06:10:11"/>
    <x v="4"/>
    <d v="2023-10-03T00:00:00"/>
    <n v="18.742928240739275"/>
    <x v="0"/>
    <x v="1"/>
    <n v="11.742928240739275"/>
    <x v="1"/>
  </r>
  <r>
    <n v="1016"/>
    <s v="1016111"/>
    <d v="2023-09-15T06:10:11"/>
    <s v="type36"/>
    <n v="246.54"/>
    <x v="3"/>
    <d v="2023-09-16T06:10:11"/>
    <x v="2"/>
    <d v="2023-10-03T00:00:00"/>
    <n v="17.742928240739275"/>
    <x v="0"/>
    <x v="2"/>
    <n v="16.742928240739275"/>
    <x v="2"/>
  </r>
  <r>
    <n v="1026"/>
    <s v="1026111"/>
    <d v="2023-09-15T06:10:11"/>
    <s v="type29"/>
    <n v="306.60000000000002"/>
    <x v="1"/>
    <d v="2023-09-16T06:10:11"/>
    <x v="5"/>
    <d v="2023-10-03T00:00:00"/>
    <n v="17.742928240739275"/>
    <x v="0"/>
    <x v="2"/>
    <n v="16.742928240739275"/>
    <x v="2"/>
  </r>
  <r>
    <n v="1028"/>
    <s v="1028111"/>
    <d v="2023-09-21T06:10:11"/>
    <s v="type7"/>
    <n v="1375.46"/>
    <x v="4"/>
    <d v="2023-09-28T06:10:11"/>
    <x v="5"/>
    <d v="2023-10-03T00:00:00"/>
    <n v="11.742928240739275"/>
    <x v="0"/>
    <x v="8"/>
    <n v="4.7429282407392748"/>
    <x v="8"/>
  </r>
  <r>
    <n v="1019"/>
    <s v="1019111"/>
    <d v="2023-09-18T06:10:11"/>
    <s v="type40"/>
    <n v="-1067.69"/>
    <x v="4"/>
    <d v="2023-09-19T06:10:11"/>
    <x v="0"/>
    <d v="2023-10-03T00:00:00"/>
    <n v="14.742928240739275"/>
    <x v="0"/>
    <x v="19"/>
    <n v="13.742928240739275"/>
    <x v="19"/>
  </r>
  <r>
    <n v="1013"/>
    <s v="1013111"/>
    <d v="2023-09-17T06:10:11"/>
    <s v="type40"/>
    <n v="-600.03"/>
    <x v="3"/>
    <d v="2023-09-18T06:10:11"/>
    <x v="2"/>
    <d v="2023-10-03T00:00:00"/>
    <n v="15.742928240739275"/>
    <x v="0"/>
    <x v="6"/>
    <n v="14.742928240739275"/>
    <x v="6"/>
  </r>
  <r>
    <n v="1020"/>
    <s v="1020111"/>
    <d v="2023-09-18T06:10:11"/>
    <s v="type40"/>
    <n v="306.27999999999997"/>
    <x v="3"/>
    <d v="2023-09-19T06:10:11"/>
    <x v="0"/>
    <d v="2023-10-03T00:00:00"/>
    <n v="14.742928240739275"/>
    <x v="0"/>
    <x v="19"/>
    <n v="13.742928240739275"/>
    <x v="19"/>
  </r>
  <r>
    <n v="1032"/>
    <s v="1032111"/>
    <d v="2023-09-20T06:10:11"/>
    <s v="type40"/>
    <n v="-404.36"/>
    <x v="6"/>
    <d v="2023-09-22T06:10:11"/>
    <x v="4"/>
    <d v="2023-10-03T00:00:00"/>
    <n v="12.742928240739275"/>
    <x v="0"/>
    <x v="10"/>
    <n v="10.742928240739275"/>
    <x v="10"/>
  </r>
  <r>
    <n v="1013"/>
    <s v="1013111"/>
    <d v="2023-09-13T06:10:11"/>
    <s v="type40"/>
    <n v="790.45"/>
    <x v="4"/>
    <d v="2023-09-14T06:10:11"/>
    <x v="2"/>
    <d v="2023-10-03T00:00:00"/>
    <n v="19.742928240739275"/>
    <x v="0"/>
    <x v="20"/>
    <n v="18.742928240739275"/>
    <x v="20"/>
  </r>
  <r>
    <n v="1008"/>
    <s v="1008111"/>
    <d v="2023-09-20T06:10:11"/>
    <s v="type52"/>
    <n v="64.260000000000005"/>
    <x v="6"/>
    <d v="2023-09-22T06:10:11"/>
    <x v="1"/>
    <d v="2023-10-03T00:00:00"/>
    <n v="12.742928240739275"/>
    <x v="0"/>
    <x v="10"/>
    <n v="10.742928240739275"/>
    <x v="10"/>
  </r>
  <r>
    <n v="1030"/>
    <s v="1030111"/>
    <d v="2023-09-23T06:10:11"/>
    <s v="type13"/>
    <n v="20544.419999999998"/>
    <x v="2"/>
    <d v="2023-09-24T06:10:11"/>
    <x v="4"/>
    <d v="2023-10-03T00:00:00"/>
    <n v="9.7429282407392748"/>
    <x v="0"/>
    <x v="5"/>
    <n v="8.7429282407392748"/>
    <x v="5"/>
  </r>
  <r>
    <n v="1002"/>
    <s v="1002111"/>
    <d v="2023-09-21T06:10:11"/>
    <s v="type8"/>
    <n v="64.95"/>
    <x v="6"/>
    <d v="2023-09-23T06:10:11"/>
    <x v="3"/>
    <d v="2023-10-03T00:00:00"/>
    <n v="11.742928240739275"/>
    <x v="0"/>
    <x v="3"/>
    <n v="9.7429282407392748"/>
    <x v="3"/>
  </r>
  <r>
    <n v="1014"/>
    <s v="1014111"/>
    <d v="2023-09-21T06:10:11"/>
    <s v="type13"/>
    <n v="26989.24"/>
    <x v="3"/>
    <d v="2023-09-23T06:10:11"/>
    <x v="2"/>
    <d v="2023-10-03T00:00:00"/>
    <n v="11.742928240739275"/>
    <x v="0"/>
    <x v="3"/>
    <n v="9.7429282407392748"/>
    <x v="3"/>
  </r>
  <r>
    <n v="1010"/>
    <s v="1010111"/>
    <d v="2023-09-10T06:10:11"/>
    <s v="type40"/>
    <n v="554.17999999999995"/>
    <x v="5"/>
    <d v="2023-09-11T06:10:11"/>
    <x v="1"/>
    <d v="2023-10-03T00:00:00"/>
    <n v="22.742928240739275"/>
    <x v="0"/>
    <x v="21"/>
    <n v="21.742928240739275"/>
    <x v="21"/>
  </r>
  <r>
    <n v="1012"/>
    <s v="1012111"/>
    <d v="2023-09-13T06:10:11"/>
    <s v="type35"/>
    <n v="315.82"/>
    <x v="5"/>
    <d v="2023-09-14T06:10:11"/>
    <x v="2"/>
    <d v="2023-10-03T00:00:00"/>
    <n v="19.742928240739275"/>
    <x v="0"/>
    <x v="20"/>
    <n v="18.742928240739275"/>
    <x v="20"/>
  </r>
  <r>
    <n v="1015"/>
    <s v="1015111"/>
    <d v="2023-09-23T06:10:11"/>
    <s v="type40"/>
    <n v="-549.4"/>
    <x v="2"/>
    <d v="2023-09-25T06:10:11"/>
    <x v="2"/>
    <d v="2023-10-03T00:00:00"/>
    <n v="9.7429282407392748"/>
    <x v="0"/>
    <x v="11"/>
    <n v="7.7429282407392748"/>
    <x v="11"/>
  </r>
  <r>
    <n v="1022"/>
    <s v="1022111"/>
    <d v="2023-09-16T06:10:11"/>
    <s v="type13"/>
    <n v="22227.96"/>
    <x v="2"/>
    <d v="2023-09-18T06:10:11"/>
    <x v="0"/>
    <d v="2023-10-03T00:00:00"/>
    <n v="16.742928240739275"/>
    <x v="0"/>
    <x v="6"/>
    <n v="14.742928240739275"/>
    <x v="6"/>
  </r>
  <r>
    <n v="1002"/>
    <s v="1002111"/>
    <d v="2023-09-14T06:10:11"/>
    <s v="type40"/>
    <n v="1561.95"/>
    <x v="4"/>
    <d v="2023-09-15T06:10:11"/>
    <x v="3"/>
    <d v="2023-10-03T00:00:00"/>
    <n v="18.742928240739275"/>
    <x v="0"/>
    <x v="0"/>
    <n v="17.742928240739275"/>
    <x v="0"/>
  </r>
  <r>
    <n v="1003"/>
    <s v="1003111"/>
    <d v="2023-09-16T06:10:11"/>
    <s v="type13"/>
    <n v="22126.53"/>
    <x v="4"/>
    <d v="2023-09-18T06:10:11"/>
    <x v="3"/>
    <d v="2023-10-03T00:00:00"/>
    <n v="16.742928240739275"/>
    <x v="0"/>
    <x v="6"/>
    <n v="14.742928240739275"/>
    <x v="6"/>
  </r>
  <r>
    <n v="1003"/>
    <s v="1003111"/>
    <d v="2023-09-17T06:10:11"/>
    <s v="type40"/>
    <n v="746.13"/>
    <x v="2"/>
    <d v="2023-09-19T06:10:11"/>
    <x v="3"/>
    <d v="2023-10-03T00:00:00"/>
    <n v="15.742928240739275"/>
    <x v="0"/>
    <x v="19"/>
    <n v="13.742928240739275"/>
    <x v="19"/>
  </r>
  <r>
    <n v="1014"/>
    <s v="1014111"/>
    <d v="2023-09-21T06:10:11"/>
    <s v="type40"/>
    <n v="-592.87"/>
    <x v="4"/>
    <d v="2023-09-23T06:10:11"/>
    <x v="2"/>
    <d v="2023-10-03T00:00:00"/>
    <n v="11.742928240739275"/>
    <x v="0"/>
    <x v="3"/>
    <n v="9.7429282407392748"/>
    <x v="3"/>
  </r>
  <r>
    <n v="1011"/>
    <s v="1011111"/>
    <d v="2023-09-15T06:10:11"/>
    <s v="type40"/>
    <n v="311.95999999999998"/>
    <x v="5"/>
    <d v="2023-09-16T06:10:11"/>
    <x v="1"/>
    <d v="2023-10-03T00:00:00"/>
    <n v="17.742928240739275"/>
    <x v="0"/>
    <x v="2"/>
    <n v="16.742928240739275"/>
    <x v="2"/>
  </r>
  <r>
    <n v="1028"/>
    <s v="1028111"/>
    <d v="2023-09-17T06:10:11"/>
    <s v="type54"/>
    <n v="300.02"/>
    <x v="4"/>
    <d v="2023-09-19T06:10:11"/>
    <x v="5"/>
    <d v="2023-10-03T00:00:00"/>
    <n v="15.742928240739275"/>
    <x v="0"/>
    <x v="19"/>
    <n v="13.742928240739275"/>
    <x v="19"/>
  </r>
  <r>
    <n v="1034"/>
    <s v="1034111"/>
    <d v="2023-09-18T06:10:11"/>
    <s v="type35"/>
    <n v="430.4"/>
    <x v="1"/>
    <d v="2023-09-20T06:10:11"/>
    <x v="4"/>
    <d v="2023-10-03T00:00:00"/>
    <n v="14.742928240739275"/>
    <x v="0"/>
    <x v="9"/>
    <n v="12.742928240739275"/>
    <x v="9"/>
  </r>
  <r>
    <n v="1005"/>
    <s v="1005111"/>
    <d v="2023-09-19T06:10:11"/>
    <s v="type8"/>
    <n v="60"/>
    <x v="3"/>
    <d v="2023-09-21T06:10:11"/>
    <x v="3"/>
    <d v="2023-10-03T00:00:00"/>
    <n v="13.742928240739275"/>
    <x v="0"/>
    <x v="1"/>
    <n v="11.742928240739275"/>
    <x v="1"/>
  </r>
  <r>
    <n v="1024"/>
    <s v="1024111"/>
    <d v="2023-09-18T06:10:11"/>
    <s v="type13"/>
    <n v="16542.48"/>
    <x v="4"/>
    <d v="2023-09-20T06:10:11"/>
    <x v="5"/>
    <d v="2023-10-03T00:00:00"/>
    <n v="14.742928240739275"/>
    <x v="0"/>
    <x v="9"/>
    <n v="12.742928240739275"/>
    <x v="9"/>
  </r>
  <r>
    <n v="1007"/>
    <s v="1007111"/>
    <d v="2023-09-15T06:10:11"/>
    <s v="type40"/>
    <n v="10"/>
    <x v="5"/>
    <d v="2023-09-17T06:10:11"/>
    <x v="1"/>
    <d v="2023-10-03T00:00:00"/>
    <n v="17.742928240739275"/>
    <x v="0"/>
    <x v="4"/>
    <n v="15.742928240739275"/>
    <x v="4"/>
  </r>
  <r>
    <n v="1008"/>
    <s v="1008111"/>
    <d v="2023-09-18T06:10:11"/>
    <s v="type40"/>
    <n v="101.82"/>
    <x v="5"/>
    <d v="2023-09-20T06:10:11"/>
    <x v="1"/>
    <d v="2023-10-03T00:00:00"/>
    <n v="14.742928240739275"/>
    <x v="0"/>
    <x v="9"/>
    <n v="12.742928240739275"/>
    <x v="9"/>
  </r>
  <r>
    <n v="1022"/>
    <s v="1022111"/>
    <d v="2023-09-18T06:10:11"/>
    <s v="type38"/>
    <n v="156.47999999999999"/>
    <x v="6"/>
    <d v="2023-09-25T06:10:11"/>
    <x v="0"/>
    <d v="2023-10-03T00:00:00"/>
    <n v="14.742928240739275"/>
    <x v="0"/>
    <x v="11"/>
    <n v="7.7429282407392748"/>
    <x v="11"/>
  </r>
  <r>
    <n v="1012"/>
    <s v="1012111"/>
    <d v="2023-09-20T06:10:11"/>
    <s v="type40"/>
    <n v="-699.37"/>
    <x v="6"/>
    <d v="2023-09-27T06:10:11"/>
    <x v="2"/>
    <d v="2023-10-03T00:00:00"/>
    <n v="12.742928240739275"/>
    <x v="0"/>
    <x v="12"/>
    <n v="5.7429282407392748"/>
    <x v="12"/>
  </r>
  <r>
    <n v="1012"/>
    <s v="1012111"/>
    <d v="2023-09-20T06:10:11"/>
    <s v="type13"/>
    <n v="18798.29"/>
    <x v="4"/>
    <d v="2023-09-22T06:10:11"/>
    <x v="2"/>
    <d v="2023-10-03T00:00:00"/>
    <n v="12.742928240739275"/>
    <x v="0"/>
    <x v="10"/>
    <n v="10.742928240739275"/>
    <x v="10"/>
  </r>
  <r>
    <n v="1026"/>
    <s v="1026111"/>
    <d v="2023-09-22T06:10:11"/>
    <s v="type40"/>
    <n v="10.97"/>
    <x v="2"/>
    <d v="2023-09-27T06:10:11"/>
    <x v="5"/>
    <d v="2023-10-03T00:00:00"/>
    <n v="10.742928240739275"/>
    <x v="0"/>
    <x v="12"/>
    <n v="5.7429282407392748"/>
    <x v="12"/>
  </r>
  <r>
    <n v="1002"/>
    <s v="1002111"/>
    <d v="2023-09-11T06:10:11"/>
    <s v="type40"/>
    <n v="4241.4799999999996"/>
    <x v="6"/>
    <d v="2023-09-18T06:10:11"/>
    <x v="3"/>
    <d v="2023-10-03T00:00:00"/>
    <n v="21.742928240739275"/>
    <x v="0"/>
    <x v="6"/>
    <n v="14.742928240739275"/>
    <x v="6"/>
  </r>
  <r>
    <n v="1013"/>
    <s v="1013111"/>
    <d v="2023-09-26T06:10:11"/>
    <s v="type40"/>
    <n v="-762.17"/>
    <x v="1"/>
    <d v="2023-10-01T06:10:11"/>
    <x v="2"/>
    <d v="2023-10-03T00:00:00"/>
    <n v="6.7429282407392748"/>
    <x v="1"/>
    <x v="22"/>
    <n v="1.7429282407392748"/>
    <x v="22"/>
  </r>
  <r>
    <n v="1034"/>
    <s v="1034111"/>
    <d v="2023-09-18T06:10:11"/>
    <s v="type40"/>
    <n v="421.25"/>
    <x v="2"/>
    <d v="2023-09-25T06:10:11"/>
    <x v="4"/>
    <d v="2023-10-03T00:00:00"/>
    <n v="14.742928240739275"/>
    <x v="0"/>
    <x v="11"/>
    <n v="7.7429282407392748"/>
    <x v="11"/>
  </r>
  <r>
    <n v="1000"/>
    <s v="1000111"/>
    <d v="2023-09-20T06:10:11"/>
    <s v="type13"/>
    <n v="12868"/>
    <x v="4"/>
    <d v="2023-09-25T06:10:11"/>
    <x v="3"/>
    <d v="2023-10-03T00:00:00"/>
    <n v="12.742928240739275"/>
    <x v="0"/>
    <x v="11"/>
    <n v="7.7429282407392748"/>
    <x v="11"/>
  </r>
  <r>
    <n v="1026"/>
    <s v="1026111"/>
    <d v="2023-09-19T06:10:11"/>
    <s v="type40"/>
    <n v="2592.0700000000002"/>
    <x v="2"/>
    <d v="2023-09-26T06:10:11"/>
    <x v="5"/>
    <d v="2023-10-03T00:00:00"/>
    <n v="13.742928240739275"/>
    <x v="0"/>
    <x v="7"/>
    <n v="6.7429282407392748"/>
    <x v="7"/>
  </r>
  <r>
    <n v="1035"/>
    <s v="1035111"/>
    <d v="2023-09-20T06:10:11"/>
    <s v="type40"/>
    <n v="990.94"/>
    <x v="2"/>
    <d v="2023-09-21T06:10:11"/>
    <x v="4"/>
    <d v="2023-10-03T00:00:00"/>
    <n v="12.742928240739275"/>
    <x v="0"/>
    <x v="1"/>
    <n v="11.742928240739275"/>
    <x v="1"/>
  </r>
  <r>
    <n v="1020"/>
    <s v="1020111"/>
    <d v="2023-09-20T06:10:11"/>
    <s v="type40"/>
    <n v="354.87"/>
    <x v="6"/>
    <d v="2023-09-21T06:10:11"/>
    <x v="0"/>
    <d v="2023-10-03T00:00:00"/>
    <n v="12.742928240739275"/>
    <x v="0"/>
    <x v="1"/>
    <n v="11.742928240739275"/>
    <x v="1"/>
  </r>
  <r>
    <n v="1009"/>
    <s v="1009111"/>
    <d v="2023-09-13T06:10:11"/>
    <s v="type13"/>
    <n v="12793.68"/>
    <x v="1"/>
    <d v="2023-09-18T06:10:11"/>
    <x v="1"/>
    <d v="2023-10-03T00:00:00"/>
    <n v="19.742928240739275"/>
    <x v="0"/>
    <x v="6"/>
    <n v="14.742928240739275"/>
    <x v="6"/>
  </r>
  <r>
    <n v="1031"/>
    <s v="1031111"/>
    <d v="2023-09-20T06:10:11"/>
    <s v="type40"/>
    <n v="-545.95000000000005"/>
    <x v="6"/>
    <d v="2023-09-21T06:10:11"/>
    <x v="4"/>
    <d v="2023-10-03T00:00:00"/>
    <n v="12.742928240739275"/>
    <x v="0"/>
    <x v="1"/>
    <n v="11.742928240739275"/>
    <x v="1"/>
  </r>
  <r>
    <n v="1015"/>
    <s v="1015111"/>
    <d v="2023-09-21T06:10:11"/>
    <s v="type40"/>
    <n v="755.14"/>
    <x v="2"/>
    <d v="2023-09-22T06:10:11"/>
    <x v="2"/>
    <d v="2023-10-03T00:00:00"/>
    <n v="11.742928240739275"/>
    <x v="0"/>
    <x v="10"/>
    <n v="10.742928240739275"/>
    <x v="10"/>
  </r>
  <r>
    <n v="1007"/>
    <s v="1007111"/>
    <d v="2023-09-21T06:10:11"/>
    <s v="type40"/>
    <n v="-426.42"/>
    <x v="6"/>
    <d v="2023-09-22T06:10:11"/>
    <x v="1"/>
    <d v="2023-10-03T00:00:00"/>
    <n v="11.742928240739275"/>
    <x v="0"/>
    <x v="10"/>
    <n v="10.742928240739275"/>
    <x v="10"/>
  </r>
  <r>
    <n v="1008"/>
    <s v="1008111"/>
    <d v="2023-09-15T06:10:11"/>
    <s v="type13"/>
    <n v="19061.79"/>
    <x v="3"/>
    <d v="2023-09-22T06:10:11"/>
    <x v="1"/>
    <d v="2023-10-03T00:00:00"/>
    <n v="17.742928240739275"/>
    <x v="0"/>
    <x v="10"/>
    <n v="10.742928240739275"/>
    <x v="10"/>
  </r>
  <r>
    <n v="1001"/>
    <s v="1001111"/>
    <d v="2023-09-15T06:10:11"/>
    <s v="type13"/>
    <n v="30494.05"/>
    <x v="1"/>
    <d v="2023-09-22T06:10:11"/>
    <x v="3"/>
    <d v="2023-10-03T00:00:00"/>
    <n v="17.742928240739275"/>
    <x v="0"/>
    <x v="10"/>
    <n v="10.742928240739275"/>
    <x v="10"/>
  </r>
  <r>
    <n v="1009"/>
    <s v="1009111"/>
    <d v="2023-09-16T06:10:11"/>
    <s v="type15"/>
    <n v="1166.5999999999999"/>
    <x v="6"/>
    <d v="2023-09-18T06:10:11"/>
    <x v="1"/>
    <d v="2023-10-03T00:00:00"/>
    <n v="16.742928240739275"/>
    <x v="0"/>
    <x v="6"/>
    <n v="14.742928240739275"/>
    <x v="6"/>
  </r>
  <r>
    <n v="1021"/>
    <s v="1021111"/>
    <d v="2023-09-16T06:10:11"/>
    <s v="type13"/>
    <n v="84866.05"/>
    <x v="1"/>
    <d v="2023-09-23T06:10:11"/>
    <x v="0"/>
    <d v="2023-10-03T00:00:00"/>
    <n v="16.742928240739275"/>
    <x v="0"/>
    <x v="3"/>
    <n v="9.7429282407392748"/>
    <x v="3"/>
  </r>
  <r>
    <n v="1015"/>
    <s v="1015111"/>
    <d v="2023-09-17T06:10:11"/>
    <s v="type40"/>
    <n v="424.94"/>
    <x v="1"/>
    <d v="2023-09-24T06:10:11"/>
    <x v="2"/>
    <d v="2023-10-03T00:00:00"/>
    <n v="15.742928240739275"/>
    <x v="0"/>
    <x v="5"/>
    <n v="8.7429282407392748"/>
    <x v="5"/>
  </r>
  <r>
    <n v="1023"/>
    <s v="1023111"/>
    <d v="2023-09-18T06:10:11"/>
    <s v="type40"/>
    <n v="377.8"/>
    <x v="1"/>
    <d v="2023-09-25T06:10:11"/>
    <x v="0"/>
    <d v="2023-10-03T00:00:00"/>
    <n v="14.742928240739275"/>
    <x v="0"/>
    <x v="11"/>
    <n v="7.7429282407392748"/>
    <x v="11"/>
  </r>
  <r>
    <n v="1003"/>
    <s v="1003111"/>
    <d v="2023-09-18T06:10:11"/>
    <s v="type40"/>
    <n v="307.77999999999997"/>
    <x v="6"/>
    <d v="2023-09-20T06:10:11"/>
    <x v="3"/>
    <d v="2023-10-03T00:00:00"/>
    <n v="14.742928240739275"/>
    <x v="0"/>
    <x v="9"/>
    <n v="12.742928240739275"/>
    <x v="9"/>
  </r>
  <r>
    <n v="1033"/>
    <s v="1033111"/>
    <d v="2023-09-19T06:10:11"/>
    <s v="type40"/>
    <n v="-447"/>
    <x v="3"/>
    <d v="2023-09-26T06:10:11"/>
    <x v="4"/>
    <d v="2023-10-03T00:00:00"/>
    <n v="13.742928240739275"/>
    <x v="0"/>
    <x v="7"/>
    <n v="6.7429282407392748"/>
    <x v="7"/>
  </r>
  <r>
    <n v="1029"/>
    <s v="1029111"/>
    <d v="2023-09-11T06:10:11"/>
    <s v="type13"/>
    <n v="24432.93"/>
    <x v="4"/>
    <d v="2023-09-16T06:10:11"/>
    <x v="5"/>
    <d v="2023-10-03T00:00:00"/>
    <n v="21.742928240739275"/>
    <x v="0"/>
    <x v="2"/>
    <n v="16.742928240739275"/>
    <x v="2"/>
  </r>
  <r>
    <n v="1010"/>
    <s v="1010111"/>
    <d v="2023-09-20T06:10:11"/>
    <s v="type13"/>
    <n v="15762"/>
    <x v="5"/>
    <d v="2023-09-25T06:10:11"/>
    <x v="1"/>
    <d v="2023-10-03T00:00:00"/>
    <n v="12.742928240739275"/>
    <x v="0"/>
    <x v="11"/>
    <n v="7.7429282407392748"/>
    <x v="11"/>
  </r>
  <r>
    <n v="1020"/>
    <s v="1020111"/>
    <d v="2023-09-21T06:10:11"/>
    <s v="type42"/>
    <n v="226"/>
    <x v="1"/>
    <d v="2023-09-28T06:10:11"/>
    <x v="0"/>
    <d v="2023-10-03T00:00:00"/>
    <n v="11.742928240739275"/>
    <x v="0"/>
    <x v="8"/>
    <n v="4.7429282407392748"/>
    <x v="8"/>
  </r>
  <r>
    <n v="1008"/>
    <s v="1008111"/>
    <d v="2023-09-14T06:10:11"/>
    <s v="type13"/>
    <n v="51724.56"/>
    <x v="4"/>
    <d v="2023-09-19T06:10:11"/>
    <x v="1"/>
    <d v="2023-10-03T00:00:00"/>
    <n v="18.742928240739275"/>
    <x v="0"/>
    <x v="19"/>
    <n v="13.742928240739275"/>
    <x v="19"/>
  </r>
  <r>
    <n v="1000"/>
    <s v="1000111"/>
    <d v="2023-09-21T06:10:11"/>
    <s v="type40"/>
    <n v="901.78"/>
    <x v="5"/>
    <d v="2023-09-28T06:10:11"/>
    <x v="3"/>
    <d v="2023-10-03T00:00:00"/>
    <n v="11.742928240739275"/>
    <x v="0"/>
    <x v="8"/>
    <n v="4.7429282407392748"/>
    <x v="8"/>
  </r>
  <r>
    <n v="1012"/>
    <s v="1012111"/>
    <d v="2023-09-15T06:10:11"/>
    <s v="type7"/>
    <n v="1186.81"/>
    <x v="4"/>
    <d v="2023-09-22T06:10:11"/>
    <x v="2"/>
    <d v="2023-10-03T00:00:00"/>
    <n v="17.742928240739275"/>
    <x v="0"/>
    <x v="10"/>
    <n v="10.742928240739275"/>
    <x v="10"/>
  </r>
  <r>
    <n v="1033"/>
    <s v="1033111"/>
    <d v="2023-09-16T06:10:11"/>
    <s v="type40"/>
    <n v="-350.56"/>
    <x v="5"/>
    <d v="2023-09-17T06:10:11"/>
    <x v="4"/>
    <d v="2023-10-03T00:00:00"/>
    <n v="16.742928240739275"/>
    <x v="0"/>
    <x v="4"/>
    <n v="15.742928240739275"/>
    <x v="4"/>
  </r>
  <r>
    <n v="1000"/>
    <s v="1000111"/>
    <d v="2023-09-19T06:10:11"/>
    <s v="type40"/>
    <n v="-702.19"/>
    <x v="2"/>
    <d v="2023-09-21T06:10:11"/>
    <x v="3"/>
    <d v="2023-10-03T00:00:00"/>
    <n v="13.742928240739275"/>
    <x v="0"/>
    <x v="1"/>
    <n v="11.742928240739275"/>
    <x v="1"/>
  </r>
  <r>
    <n v="1034"/>
    <s v="1034111"/>
    <d v="2023-09-21T06:10:11"/>
    <s v="type40"/>
    <n v="-469.84"/>
    <x v="5"/>
    <d v="2023-09-22T06:10:11"/>
    <x v="4"/>
    <d v="2023-10-03T00:00:00"/>
    <n v="11.742928240739275"/>
    <x v="0"/>
    <x v="10"/>
    <n v="10.742928240739275"/>
    <x v="10"/>
  </r>
  <r>
    <n v="1022"/>
    <s v="1022111"/>
    <d v="2023-09-27T06:10:11"/>
    <s v="type19"/>
    <n v="433.27"/>
    <x v="1"/>
    <d v="2023-09-28T06:10:11"/>
    <x v="0"/>
    <d v="2023-10-03T00:00:00"/>
    <n v="5.7429282407392748"/>
    <x v="2"/>
    <x v="8"/>
    <n v="4.7429282407392748"/>
    <x v="8"/>
  </r>
  <r>
    <n v="1003"/>
    <s v="1003111"/>
    <d v="2023-09-10T06:10:11"/>
    <s v="type40"/>
    <n v="540.44000000000005"/>
    <x v="2"/>
    <d v="2023-09-15T06:10:11"/>
    <x v="3"/>
    <d v="2023-10-03T00:00:00"/>
    <n v="22.742928240739275"/>
    <x v="0"/>
    <x v="0"/>
    <n v="17.742928240739275"/>
    <x v="0"/>
  </r>
  <r>
    <n v="1025"/>
    <s v="1025111"/>
    <d v="2023-09-16T06:10:11"/>
    <s v="type46"/>
    <n v="88.42"/>
    <x v="3"/>
    <d v="2023-09-17T06:10:11"/>
    <x v="5"/>
    <d v="2023-10-03T00:00:00"/>
    <n v="16.742928240739275"/>
    <x v="0"/>
    <x v="4"/>
    <n v="15.742928240739275"/>
    <x v="4"/>
  </r>
  <r>
    <n v="1027"/>
    <s v="1027111"/>
    <d v="2023-09-16T06:10:11"/>
    <s v="type40"/>
    <n v="520.85"/>
    <x v="4"/>
    <d v="2023-09-23T06:10:11"/>
    <x v="5"/>
    <d v="2023-10-03T00:00:00"/>
    <n v="16.742928240739275"/>
    <x v="0"/>
    <x v="3"/>
    <n v="9.7429282407392748"/>
    <x v="3"/>
  </r>
  <r>
    <n v="1007"/>
    <s v="1007111"/>
    <d v="2023-09-20T06:10:11"/>
    <s v="type40"/>
    <n v="1507.85"/>
    <x v="6"/>
    <d v="2023-09-22T06:10:11"/>
    <x v="1"/>
    <d v="2023-10-03T00:00:00"/>
    <n v="12.742928240739275"/>
    <x v="0"/>
    <x v="10"/>
    <n v="10.742928240739275"/>
    <x v="10"/>
  </r>
  <r>
    <n v="1034"/>
    <s v="1034111"/>
    <d v="2023-09-18T06:10:11"/>
    <s v="type13"/>
    <n v="24470.9"/>
    <x v="5"/>
    <d v="2023-09-19T06:10:11"/>
    <x v="4"/>
    <d v="2023-10-03T00:00:00"/>
    <n v="14.742928240739275"/>
    <x v="0"/>
    <x v="19"/>
    <n v="13.742928240739275"/>
    <x v="19"/>
  </r>
  <r>
    <n v="1010"/>
    <s v="1010111"/>
    <d v="2023-09-19T06:10:11"/>
    <s v="type52"/>
    <n v="353.07"/>
    <x v="1"/>
    <d v="2023-09-20T06:10:11"/>
    <x v="1"/>
    <d v="2023-10-03T00:00:00"/>
    <n v="13.742928240739275"/>
    <x v="0"/>
    <x v="9"/>
    <n v="12.742928240739275"/>
    <x v="9"/>
  </r>
  <r>
    <n v="1024"/>
    <s v="1024111"/>
    <d v="2023-09-18T06:10:11"/>
    <s v="type13"/>
    <n v="24991.93"/>
    <x v="5"/>
    <d v="2023-09-19T06:10:11"/>
    <x v="5"/>
    <d v="2023-10-03T00:00:00"/>
    <n v="14.742928240739275"/>
    <x v="0"/>
    <x v="19"/>
    <n v="13.742928240739275"/>
    <x v="19"/>
  </r>
  <r>
    <n v="1030"/>
    <s v="1030111"/>
    <d v="2023-09-23T06:10:11"/>
    <s v="type13"/>
    <n v="21616.55"/>
    <x v="5"/>
    <d v="2023-09-25T06:10:11"/>
    <x v="4"/>
    <d v="2023-10-03T00:00:00"/>
    <n v="9.7429282407392748"/>
    <x v="0"/>
    <x v="11"/>
    <n v="7.7429282407392748"/>
    <x v="11"/>
  </r>
  <r>
    <n v="1028"/>
    <s v="1028111"/>
    <d v="2023-09-21T06:10:11"/>
    <s v="type13"/>
    <n v="40307.83"/>
    <x v="3"/>
    <d v="2023-09-22T06:10:11"/>
    <x v="5"/>
    <d v="2023-10-03T00:00:00"/>
    <n v="11.742928240739275"/>
    <x v="0"/>
    <x v="10"/>
    <n v="10.742928240739275"/>
    <x v="10"/>
  </r>
  <r>
    <n v="1008"/>
    <s v="1008111"/>
    <d v="2023-09-21T06:10:11"/>
    <s v="type40"/>
    <n v="462.04"/>
    <x v="1"/>
    <d v="2023-09-22T06:10:11"/>
    <x v="1"/>
    <d v="2023-10-03T00:00:00"/>
    <n v="11.742928240739275"/>
    <x v="0"/>
    <x v="10"/>
    <n v="10.742928240739275"/>
    <x v="10"/>
  </r>
  <r>
    <n v="1005"/>
    <s v="1005111"/>
    <d v="2023-09-21T06:10:11"/>
    <s v="type40"/>
    <n v="648.08000000000004"/>
    <x v="6"/>
    <d v="2023-09-23T06:10:11"/>
    <x v="3"/>
    <d v="2023-10-03T00:00:00"/>
    <n v="11.742928240739275"/>
    <x v="0"/>
    <x v="3"/>
    <n v="9.7429282407392748"/>
    <x v="3"/>
  </r>
  <r>
    <n v="1013"/>
    <s v="1013111"/>
    <d v="2023-09-13T06:10:11"/>
    <s v="type40"/>
    <n v="1970.09"/>
    <x v="5"/>
    <d v="2023-09-15T06:10:11"/>
    <x v="2"/>
    <d v="2023-10-03T00:00:00"/>
    <n v="19.742928240739275"/>
    <x v="0"/>
    <x v="0"/>
    <n v="17.742928240739275"/>
    <x v="0"/>
  </r>
  <r>
    <n v="1000"/>
    <s v="1000111"/>
    <d v="2023-09-18T06:10:11"/>
    <s v="type20"/>
    <n v="9415"/>
    <x v="4"/>
    <d v="2023-09-25T06:10:11"/>
    <x v="3"/>
    <d v="2023-10-03T00:00:00"/>
    <n v="14.742928240739275"/>
    <x v="0"/>
    <x v="11"/>
    <n v="7.7429282407392748"/>
    <x v="11"/>
  </r>
  <r>
    <n v="1001"/>
    <s v="1001111"/>
    <d v="2023-09-25T06:10:11"/>
    <s v="type46"/>
    <n v="205.6"/>
    <x v="3"/>
    <d v="2023-09-26T06:10:11"/>
    <x v="3"/>
    <d v="2023-10-03T00:00:00"/>
    <n v="7.7429282407392748"/>
    <x v="1"/>
    <x v="7"/>
    <n v="6.7429282407392748"/>
    <x v="7"/>
  </r>
  <r>
    <n v="1000"/>
    <s v="1000111"/>
    <d v="2023-09-26T06:10:11"/>
    <s v="type40"/>
    <n v="7379.17"/>
    <x v="1"/>
    <d v="2023-09-27T06:10:11"/>
    <x v="3"/>
    <d v="2023-10-03T00:00:00"/>
    <n v="6.7429282407392748"/>
    <x v="1"/>
    <x v="12"/>
    <n v="5.7429282407392748"/>
    <x v="12"/>
  </r>
  <r>
    <n v="1002"/>
    <s v="1002111"/>
    <d v="2023-09-27T06:10:11"/>
    <s v="type40"/>
    <n v="-1439.02"/>
    <x v="3"/>
    <d v="2023-09-28T06:10:11"/>
    <x v="3"/>
    <d v="2023-10-03T00:00:00"/>
    <n v="5.7429282407392748"/>
    <x v="2"/>
    <x v="8"/>
    <n v="4.7429282407392748"/>
    <x v="8"/>
  </r>
  <r>
    <n v="1001"/>
    <s v="1001111"/>
    <d v="2023-09-20T06:10:11"/>
    <s v="type40"/>
    <n v="-341.56"/>
    <x v="5"/>
    <d v="2023-09-22T06:10:11"/>
    <x v="3"/>
    <d v="2023-10-03T00:00:00"/>
    <n v="12.742928240739275"/>
    <x v="0"/>
    <x v="10"/>
    <n v="10.742928240739275"/>
    <x v="10"/>
  </r>
  <r>
    <n v="1023"/>
    <s v="1023111"/>
    <d v="2023-09-11T06:10:11"/>
    <s v="type7"/>
    <n v="-1317.19"/>
    <x v="2"/>
    <d v="2023-09-16T06:10:11"/>
    <x v="0"/>
    <d v="2023-10-03T00:00:00"/>
    <n v="21.742928240739275"/>
    <x v="0"/>
    <x v="2"/>
    <n v="16.742928240739275"/>
    <x v="2"/>
  </r>
  <r>
    <n v="1008"/>
    <s v="1008111"/>
    <d v="2023-09-11T06:10:11"/>
    <s v="type40"/>
    <n v="1314.74"/>
    <x v="3"/>
    <d v="2023-09-13T06:10:11"/>
    <x v="1"/>
    <d v="2023-10-03T00:00:00"/>
    <n v="21.742928240739275"/>
    <x v="0"/>
    <x v="24"/>
    <n v="19.742928240739275"/>
    <x v="24"/>
  </r>
  <r>
    <n v="1030"/>
    <s v="1030111"/>
    <d v="2023-09-21T06:10:11"/>
    <s v="type40"/>
    <n v="399.41"/>
    <x v="5"/>
    <d v="2023-09-23T06:10:11"/>
    <x v="4"/>
    <d v="2023-10-03T00:00:00"/>
    <n v="11.742928240739275"/>
    <x v="0"/>
    <x v="3"/>
    <n v="9.7429282407392748"/>
    <x v="3"/>
  </r>
  <r>
    <n v="1034"/>
    <s v="1034111"/>
    <d v="2023-09-12T06:10:11"/>
    <s v="type40"/>
    <n v="50"/>
    <x v="6"/>
    <d v="2023-09-17T06:10:11"/>
    <x v="4"/>
    <d v="2023-10-03T00:00:00"/>
    <n v="20.742928240739275"/>
    <x v="0"/>
    <x v="4"/>
    <n v="15.742928240739275"/>
    <x v="4"/>
  </r>
  <r>
    <n v="1000"/>
    <s v="1000111"/>
    <d v="2023-09-14T06:10:11"/>
    <s v="type40"/>
    <n v="389.14"/>
    <x v="6"/>
    <d v="2023-09-19T06:10:11"/>
    <x v="3"/>
    <d v="2023-10-03T00:00:00"/>
    <n v="18.742928240739275"/>
    <x v="0"/>
    <x v="19"/>
    <n v="13.742928240739275"/>
    <x v="19"/>
  </r>
  <r>
    <n v="1012"/>
    <s v="1012111"/>
    <d v="2023-09-17T06:10:11"/>
    <s v="type40"/>
    <n v="3088.68"/>
    <x v="6"/>
    <d v="2023-09-24T06:10:11"/>
    <x v="2"/>
    <d v="2023-10-03T00:00:00"/>
    <n v="15.742928240739275"/>
    <x v="0"/>
    <x v="5"/>
    <n v="8.7429282407392748"/>
    <x v="5"/>
  </r>
  <r>
    <n v="1032"/>
    <s v="1032111"/>
    <d v="2023-09-18T06:10:11"/>
    <s v="type40"/>
    <n v="-910.22"/>
    <x v="2"/>
    <d v="2023-09-25T06:10:11"/>
    <x v="4"/>
    <d v="2023-10-03T00:00:00"/>
    <n v="14.742928240739275"/>
    <x v="0"/>
    <x v="11"/>
    <n v="7.7429282407392748"/>
    <x v="11"/>
  </r>
  <r>
    <n v="1004"/>
    <s v="1004111"/>
    <d v="2023-09-17T06:10:11"/>
    <s v="type40"/>
    <n v="-975.03"/>
    <x v="2"/>
    <d v="2023-09-18T06:10:11"/>
    <x v="3"/>
    <d v="2023-10-03T00:00:00"/>
    <n v="15.742928240739275"/>
    <x v="0"/>
    <x v="6"/>
    <n v="14.742928240739275"/>
    <x v="6"/>
  </r>
  <r>
    <n v="1001"/>
    <s v="1001111"/>
    <d v="2023-09-17T06:10:11"/>
    <s v="type40"/>
    <n v="477.63"/>
    <x v="5"/>
    <d v="2023-09-24T06:10:11"/>
    <x v="3"/>
    <d v="2023-10-03T00:00:00"/>
    <n v="15.742928240739275"/>
    <x v="0"/>
    <x v="5"/>
    <n v="8.7429282407392748"/>
    <x v="5"/>
  </r>
  <r>
    <n v="1007"/>
    <s v="1007111"/>
    <d v="2023-09-19T06:10:11"/>
    <s v="type40"/>
    <n v="503.38"/>
    <x v="5"/>
    <d v="2023-09-26T06:10:11"/>
    <x v="1"/>
    <d v="2023-10-03T00:00:00"/>
    <n v="13.742928240739275"/>
    <x v="0"/>
    <x v="7"/>
    <n v="6.7429282407392748"/>
    <x v="7"/>
  </r>
  <r>
    <n v="1022"/>
    <s v="1022111"/>
    <d v="2023-09-20T06:10:11"/>
    <s v="type40"/>
    <n v="961.75"/>
    <x v="6"/>
    <d v="2023-09-27T06:10:11"/>
    <x v="0"/>
    <d v="2023-10-03T00:00:00"/>
    <n v="12.742928240739275"/>
    <x v="0"/>
    <x v="12"/>
    <n v="5.7429282407392748"/>
    <x v="12"/>
  </r>
  <r>
    <n v="1023"/>
    <s v="1023111"/>
    <d v="2023-09-20T06:10:11"/>
    <s v="type21"/>
    <n v="372.29"/>
    <x v="5"/>
    <d v="2023-09-27T06:10:11"/>
    <x v="0"/>
    <d v="2023-10-03T00:00:00"/>
    <n v="12.742928240739275"/>
    <x v="0"/>
    <x v="12"/>
    <n v="5.7429282407392748"/>
    <x v="12"/>
  </r>
  <r>
    <n v="1023"/>
    <s v="1023111"/>
    <d v="2023-09-12T06:10:11"/>
    <s v="type8"/>
    <n v="65.27"/>
    <x v="5"/>
    <d v="2023-09-19T06:10:11"/>
    <x v="0"/>
    <d v="2023-10-03T00:00:00"/>
    <n v="20.742928240739275"/>
    <x v="0"/>
    <x v="19"/>
    <n v="13.742928240739275"/>
    <x v="19"/>
  </r>
  <r>
    <n v="1004"/>
    <s v="1004111"/>
    <d v="2023-09-18T06:10:11"/>
    <s v="type19"/>
    <n v="494.37"/>
    <x v="3"/>
    <d v="2023-09-20T06:10:11"/>
    <x v="3"/>
    <d v="2023-10-03T00:00:00"/>
    <n v="14.742928240739275"/>
    <x v="0"/>
    <x v="9"/>
    <n v="12.742928240739275"/>
    <x v="9"/>
  </r>
  <r>
    <n v="1027"/>
    <s v="1027111"/>
    <d v="2023-09-21T06:10:11"/>
    <s v="type13"/>
    <n v="22921.83"/>
    <x v="6"/>
    <d v="2023-09-28T06:10:11"/>
    <x v="5"/>
    <d v="2023-10-03T00:00:00"/>
    <n v="11.742928240739275"/>
    <x v="0"/>
    <x v="8"/>
    <n v="4.7429282407392748"/>
    <x v="8"/>
  </r>
  <r>
    <n v="1013"/>
    <s v="1013111"/>
    <d v="2023-09-10T06:10:11"/>
    <s v="type40"/>
    <n v="30"/>
    <x v="6"/>
    <d v="2023-09-11T06:10:11"/>
    <x v="2"/>
    <d v="2023-10-03T00:00:00"/>
    <n v="22.742928240739275"/>
    <x v="0"/>
    <x v="21"/>
    <n v="21.742928240739275"/>
    <x v="21"/>
  </r>
  <r>
    <n v="1032"/>
    <s v="1032111"/>
    <d v="2023-09-11T06:10:11"/>
    <s v="type7"/>
    <n v="-1374.46"/>
    <x v="6"/>
    <d v="2023-09-12T06:10:11"/>
    <x v="4"/>
    <d v="2023-10-03T00:00:00"/>
    <n v="21.742928240739275"/>
    <x v="0"/>
    <x v="18"/>
    <n v="20.742928240739275"/>
    <x v="18"/>
  </r>
  <r>
    <n v="1034"/>
    <s v="1034111"/>
    <d v="2023-09-15T06:10:11"/>
    <s v="type40"/>
    <n v="-1175.52"/>
    <x v="6"/>
    <d v="2023-09-17T06:10:11"/>
    <x v="4"/>
    <d v="2023-10-03T00:00:00"/>
    <n v="17.742928240739275"/>
    <x v="0"/>
    <x v="4"/>
    <n v="15.742928240739275"/>
    <x v="4"/>
  </r>
  <r>
    <n v="1012"/>
    <s v="1012111"/>
    <d v="2023-09-21T06:10:11"/>
    <s v="type40"/>
    <n v="-718.9"/>
    <x v="3"/>
    <d v="2023-09-23T06:10:11"/>
    <x v="2"/>
    <d v="2023-10-03T00:00:00"/>
    <n v="11.742928240739275"/>
    <x v="0"/>
    <x v="3"/>
    <n v="9.7429282407392748"/>
    <x v="3"/>
  </r>
  <r>
    <n v="1005"/>
    <s v="1005111"/>
    <d v="2023-09-22T06:10:11"/>
    <s v="type40"/>
    <n v="-401.02"/>
    <x v="1"/>
    <d v="2023-09-24T06:10:11"/>
    <x v="3"/>
    <d v="2023-10-03T00:00:00"/>
    <n v="10.742928240739275"/>
    <x v="0"/>
    <x v="5"/>
    <n v="8.7429282407392748"/>
    <x v="5"/>
  </r>
  <r>
    <n v="1023"/>
    <s v="1023111"/>
    <d v="2023-09-18T06:10:11"/>
    <s v="type7"/>
    <n v="-1462.28"/>
    <x v="2"/>
    <d v="2023-09-19T06:10:11"/>
    <x v="0"/>
    <d v="2023-10-03T00:00:00"/>
    <n v="14.742928240739275"/>
    <x v="0"/>
    <x v="19"/>
    <n v="13.742928240739275"/>
    <x v="19"/>
  </r>
  <r>
    <n v="1028"/>
    <s v="1028111"/>
    <d v="2023-09-13T06:10:11"/>
    <s v="type13"/>
    <n v="21634.63"/>
    <x v="5"/>
    <d v="2023-09-14T06:10:11"/>
    <x v="5"/>
    <d v="2023-10-03T00:00:00"/>
    <n v="19.742928240739275"/>
    <x v="0"/>
    <x v="20"/>
    <n v="18.742928240739275"/>
    <x v="20"/>
  </r>
  <r>
    <n v="1017"/>
    <s v="1017111"/>
    <d v="2023-09-17T06:10:11"/>
    <s v="type13"/>
    <n v="26699.119999999999"/>
    <x v="6"/>
    <d v="2023-09-19T06:10:11"/>
    <x v="2"/>
    <d v="2023-10-03T00:00:00"/>
    <n v="15.742928240739275"/>
    <x v="0"/>
    <x v="19"/>
    <n v="13.742928240739275"/>
    <x v="19"/>
  </r>
  <r>
    <n v="1007"/>
    <s v="1007111"/>
    <d v="2023-09-23T06:10:11"/>
    <s v="type40"/>
    <n v="96.53"/>
    <x v="6"/>
    <d v="2023-09-25T06:10:11"/>
    <x v="1"/>
    <d v="2023-10-03T00:00:00"/>
    <n v="9.7429282407392748"/>
    <x v="0"/>
    <x v="11"/>
    <n v="7.7429282407392748"/>
    <x v="11"/>
  </r>
  <r>
    <n v="1023"/>
    <s v="1023111"/>
    <d v="2023-09-19T06:10:11"/>
    <s v="type42"/>
    <n v="267.27"/>
    <x v="4"/>
    <d v="2023-09-20T06:10:11"/>
    <x v="0"/>
    <d v="2023-10-03T00:00:00"/>
    <n v="13.742928240739275"/>
    <x v="0"/>
    <x v="9"/>
    <n v="12.742928240739275"/>
    <x v="9"/>
  </r>
  <r>
    <n v="1030"/>
    <s v="1030111"/>
    <d v="2023-09-22T06:10:11"/>
    <s v="type40"/>
    <n v="440.81"/>
    <x v="4"/>
    <d v="2023-09-23T06:10:11"/>
    <x v="4"/>
    <d v="2023-10-03T00:00:00"/>
    <n v="10.742928240739275"/>
    <x v="0"/>
    <x v="3"/>
    <n v="9.7429282407392748"/>
    <x v="3"/>
  </r>
  <r>
    <n v="1007"/>
    <s v="1007111"/>
    <d v="2023-09-16T06:10:11"/>
    <s v="type40"/>
    <n v="4.25"/>
    <x v="3"/>
    <d v="2023-09-21T06:10:11"/>
    <x v="1"/>
    <d v="2023-10-03T00:00:00"/>
    <n v="16.742928240739275"/>
    <x v="0"/>
    <x v="1"/>
    <n v="11.742928240739275"/>
    <x v="1"/>
  </r>
  <r>
    <n v="1018"/>
    <s v="1018111"/>
    <d v="2023-09-17T06:10:11"/>
    <s v="type40"/>
    <n v="51.57"/>
    <x v="3"/>
    <d v="2023-09-22T06:10:11"/>
    <x v="0"/>
    <d v="2023-10-03T00:00:00"/>
    <n v="15.742928240739275"/>
    <x v="0"/>
    <x v="10"/>
    <n v="10.742928240739275"/>
    <x v="10"/>
  </r>
  <r>
    <n v="1029"/>
    <s v="1029111"/>
    <d v="2023-09-18T06:10:11"/>
    <s v="type40"/>
    <n v="14140.95"/>
    <x v="1"/>
    <d v="2023-09-23T06:10:11"/>
    <x v="5"/>
    <d v="2023-10-03T00:00:00"/>
    <n v="14.742928240739275"/>
    <x v="0"/>
    <x v="3"/>
    <n v="9.7429282407392748"/>
    <x v="3"/>
  </r>
  <r>
    <n v="1026"/>
    <s v="1026111"/>
    <d v="2023-09-19T06:10:11"/>
    <s v="type13"/>
    <n v="23162.85"/>
    <x v="6"/>
    <d v="2023-09-24T06:10:11"/>
    <x v="5"/>
    <d v="2023-10-03T00:00:00"/>
    <n v="13.742928240739275"/>
    <x v="0"/>
    <x v="5"/>
    <n v="8.7429282407392748"/>
    <x v="5"/>
  </r>
  <r>
    <n v="1011"/>
    <s v="1011111"/>
    <d v="2023-09-19T06:10:11"/>
    <s v="type40"/>
    <n v="-357.69"/>
    <x v="1"/>
    <d v="2023-09-26T06:10:11"/>
    <x v="1"/>
    <d v="2023-10-03T00:00:00"/>
    <n v="13.742928240739275"/>
    <x v="0"/>
    <x v="7"/>
    <n v="6.7429282407392748"/>
    <x v="7"/>
  </r>
  <r>
    <n v="1027"/>
    <s v="1027111"/>
    <d v="2023-09-23T06:10:11"/>
    <s v="type40"/>
    <n v="-687.75"/>
    <x v="6"/>
    <d v="2023-09-30T06:10:11"/>
    <x v="5"/>
    <d v="2023-10-03T00:00:00"/>
    <n v="9.7429282407392748"/>
    <x v="0"/>
    <x v="14"/>
    <n v="2.7429282407392748"/>
    <x v="14"/>
  </r>
  <r>
    <n v="1003"/>
    <s v="1003111"/>
    <d v="2023-09-21T06:10:11"/>
    <s v="type40"/>
    <n v="-741.95"/>
    <x v="2"/>
    <d v="2023-09-22T06:10:11"/>
    <x v="3"/>
    <d v="2023-10-03T00:00:00"/>
    <n v="11.742928240739275"/>
    <x v="0"/>
    <x v="10"/>
    <n v="10.742928240739275"/>
    <x v="10"/>
  </r>
  <r>
    <n v="1005"/>
    <s v="1005111"/>
    <d v="2023-09-16T06:10:11"/>
    <s v="type40"/>
    <n v="-383.34"/>
    <x v="5"/>
    <d v="2023-09-17T06:10:11"/>
    <x v="3"/>
    <d v="2023-10-03T00:00:00"/>
    <n v="16.742928240739275"/>
    <x v="0"/>
    <x v="4"/>
    <n v="15.742928240739275"/>
    <x v="4"/>
  </r>
  <r>
    <n v="1014"/>
    <s v="1014111"/>
    <d v="2023-09-21T06:10:11"/>
    <s v="type40"/>
    <n v="-1823.24"/>
    <x v="3"/>
    <d v="2023-09-28T06:10:11"/>
    <x v="2"/>
    <d v="2023-10-03T00:00:00"/>
    <n v="11.742928240739275"/>
    <x v="0"/>
    <x v="8"/>
    <n v="4.7429282407392748"/>
    <x v="8"/>
  </r>
  <r>
    <n v="1011"/>
    <s v="1011111"/>
    <d v="2023-09-22T06:10:11"/>
    <s v="type40"/>
    <n v="-3471.57"/>
    <x v="3"/>
    <d v="2023-09-29T06:10:11"/>
    <x v="1"/>
    <d v="2023-10-03T00:00:00"/>
    <n v="10.742928240739275"/>
    <x v="0"/>
    <x v="13"/>
    <n v="3.7429282407392748"/>
    <x v="13"/>
  </r>
  <r>
    <n v="1008"/>
    <s v="1008111"/>
    <d v="2023-09-23T06:10:11"/>
    <s v="type40"/>
    <n v="-394.4"/>
    <x v="3"/>
    <d v="2023-09-30T06:10:11"/>
    <x v="1"/>
    <d v="2023-10-03T00:00:00"/>
    <n v="9.7429282407392748"/>
    <x v="0"/>
    <x v="14"/>
    <n v="2.7429282407392748"/>
    <x v="14"/>
  </r>
  <r>
    <n v="1003"/>
    <s v="1003111"/>
    <d v="2023-09-11T06:10:11"/>
    <s v="type7"/>
    <n v="1257.94"/>
    <x v="2"/>
    <d v="2023-09-13T06:10:11"/>
    <x v="3"/>
    <d v="2023-10-03T00:00:00"/>
    <n v="21.742928240739275"/>
    <x v="0"/>
    <x v="24"/>
    <n v="19.742928240739275"/>
    <x v="24"/>
  </r>
  <r>
    <n v="1009"/>
    <s v="1009111"/>
    <d v="2023-09-14T06:10:11"/>
    <s v="type7"/>
    <n v="1462.28"/>
    <x v="2"/>
    <d v="2023-09-16T06:10:11"/>
    <x v="1"/>
    <d v="2023-10-03T00:00:00"/>
    <n v="18.742928240739275"/>
    <x v="0"/>
    <x v="2"/>
    <n v="16.742928240739275"/>
    <x v="2"/>
  </r>
  <r>
    <n v="1012"/>
    <s v="1012111"/>
    <d v="2023-09-26T06:10:11"/>
    <s v="type40"/>
    <n v="6848.69"/>
    <x v="1"/>
    <d v="2023-10-03T06:10:11"/>
    <x v="2"/>
    <d v="2023-10-03T00:00:00"/>
    <n v="6.7429282407392748"/>
    <x v="1"/>
    <x v="16"/>
    <n v="-0.25707175926072523"/>
    <x v="16"/>
  </r>
  <r>
    <n v="1003"/>
    <s v="1003111"/>
    <d v="2023-09-11T06:10:11"/>
    <s v="type40"/>
    <n v="-307.97000000000003"/>
    <x v="6"/>
    <d v="2023-09-18T06:10:11"/>
    <x v="3"/>
    <d v="2023-10-03T00:00:00"/>
    <n v="21.742928240739275"/>
    <x v="0"/>
    <x v="6"/>
    <n v="14.742928240739275"/>
    <x v="6"/>
  </r>
  <r>
    <n v="1020"/>
    <s v="1020111"/>
    <d v="2023-09-19T06:10:11"/>
    <s v="type40"/>
    <n v="-467.35"/>
    <x v="2"/>
    <d v="2023-09-21T06:10:11"/>
    <x v="0"/>
    <d v="2023-10-03T00:00:00"/>
    <n v="13.742928240739275"/>
    <x v="0"/>
    <x v="1"/>
    <n v="11.742928240739275"/>
    <x v="1"/>
  </r>
  <r>
    <n v="1033"/>
    <s v="1033111"/>
    <d v="2023-09-16T06:10:11"/>
    <s v="type13"/>
    <n v="50374.76"/>
    <x v="5"/>
    <d v="2023-09-18T06:10:11"/>
    <x v="4"/>
    <d v="2023-10-03T00:00:00"/>
    <n v="16.742928240739275"/>
    <x v="0"/>
    <x v="6"/>
    <n v="14.742928240739275"/>
    <x v="6"/>
  </r>
  <r>
    <n v="1005"/>
    <s v="1005111"/>
    <d v="2023-09-14T06:10:11"/>
    <s v="type40"/>
    <n v="9.02"/>
    <x v="6"/>
    <d v="2023-09-21T06:10:11"/>
    <x v="3"/>
    <d v="2023-10-03T00:00:00"/>
    <n v="18.742928240739275"/>
    <x v="0"/>
    <x v="1"/>
    <n v="11.742928240739275"/>
    <x v="1"/>
  </r>
  <r>
    <n v="1012"/>
    <s v="1012111"/>
    <d v="2023-09-12T06:10:11"/>
    <s v="type40"/>
    <n v="-856.01"/>
    <x v="3"/>
    <d v="2023-09-19T06:10:11"/>
    <x v="2"/>
    <d v="2023-10-03T00:00:00"/>
    <n v="20.742928240739275"/>
    <x v="0"/>
    <x v="19"/>
    <n v="13.742928240739275"/>
    <x v="19"/>
  </r>
  <r>
    <n v="1007"/>
    <s v="1007111"/>
    <d v="2023-09-13T06:10:11"/>
    <s v="type40"/>
    <n v="-817.62"/>
    <x v="1"/>
    <d v="2023-09-20T06:10:11"/>
    <x v="1"/>
    <d v="2023-10-03T00:00:00"/>
    <n v="19.742928240739275"/>
    <x v="0"/>
    <x v="9"/>
    <n v="12.742928240739275"/>
    <x v="9"/>
  </r>
  <r>
    <n v="1027"/>
    <s v="1027111"/>
    <d v="2023-09-13T06:10:11"/>
    <s v="type40"/>
    <n v="9229.68"/>
    <x v="3"/>
    <d v="2023-09-20T06:10:11"/>
    <x v="5"/>
    <d v="2023-10-03T00:00:00"/>
    <n v="19.742928240739275"/>
    <x v="0"/>
    <x v="9"/>
    <n v="12.742928240739275"/>
    <x v="9"/>
  </r>
  <r>
    <n v="1016"/>
    <s v="1016111"/>
    <d v="2023-09-20T06:10:11"/>
    <s v="type13"/>
    <n v="16692"/>
    <x v="2"/>
    <d v="2023-09-22T06:10:11"/>
    <x v="2"/>
    <d v="2023-10-03T00:00:00"/>
    <n v="12.742928240739275"/>
    <x v="0"/>
    <x v="10"/>
    <n v="10.742928240739275"/>
    <x v="10"/>
  </r>
  <r>
    <n v="1018"/>
    <s v="1018111"/>
    <d v="2023-09-23T06:10:11"/>
    <s v="type40"/>
    <n v="-415.71"/>
    <x v="4"/>
    <d v="2023-09-24T06:10:11"/>
    <x v="0"/>
    <d v="2023-10-03T00:00:00"/>
    <n v="9.7429282407392748"/>
    <x v="0"/>
    <x v="5"/>
    <n v="8.7429282407392748"/>
    <x v="5"/>
  </r>
  <r>
    <n v="1011"/>
    <s v="1011111"/>
    <d v="2023-09-15T06:10:11"/>
    <s v="type40"/>
    <n v="-323.44"/>
    <x v="1"/>
    <d v="2023-09-16T06:10:11"/>
    <x v="1"/>
    <d v="2023-10-03T00:00:00"/>
    <n v="17.742928240739275"/>
    <x v="0"/>
    <x v="2"/>
    <n v="16.742928240739275"/>
    <x v="2"/>
  </r>
  <r>
    <n v="1030"/>
    <s v="1030111"/>
    <d v="2023-09-18T06:10:11"/>
    <s v="type40"/>
    <n v="-750.18"/>
    <x v="5"/>
    <d v="2023-09-20T06:10:11"/>
    <x v="4"/>
    <d v="2023-10-03T00:00:00"/>
    <n v="14.742928240739275"/>
    <x v="0"/>
    <x v="9"/>
    <n v="12.742928240739275"/>
    <x v="9"/>
  </r>
  <r>
    <n v="1005"/>
    <s v="1005111"/>
    <d v="2023-09-16T06:10:11"/>
    <s v="type40"/>
    <n v="1207.68"/>
    <x v="1"/>
    <d v="2023-09-17T06:10:11"/>
    <x v="3"/>
    <d v="2023-10-03T00:00:00"/>
    <n v="16.742928240739275"/>
    <x v="0"/>
    <x v="4"/>
    <n v="15.742928240739275"/>
    <x v="4"/>
  </r>
  <r>
    <n v="1014"/>
    <s v="1014111"/>
    <d v="2023-09-11T06:10:11"/>
    <s v="type13"/>
    <n v="25113"/>
    <x v="4"/>
    <d v="2023-09-12T06:10:11"/>
    <x v="2"/>
    <d v="2023-10-03T00:00:00"/>
    <n v="21.742928240739275"/>
    <x v="0"/>
    <x v="18"/>
    <n v="20.742928240739275"/>
    <x v="18"/>
  </r>
  <r>
    <n v="1028"/>
    <s v="1028111"/>
    <d v="2023-09-17T06:10:11"/>
    <s v="type40"/>
    <n v="-2735.92"/>
    <x v="1"/>
    <d v="2023-09-18T06:10:11"/>
    <x v="5"/>
    <d v="2023-10-03T00:00:00"/>
    <n v="15.742928240739275"/>
    <x v="0"/>
    <x v="6"/>
    <n v="14.742928240739275"/>
    <x v="6"/>
  </r>
  <r>
    <n v="1006"/>
    <s v="1006111"/>
    <d v="2023-09-21T06:10:11"/>
    <s v="type40"/>
    <n v="-654.74"/>
    <x v="2"/>
    <d v="2023-09-23T06:10:11"/>
    <x v="1"/>
    <d v="2023-10-03T00:00:00"/>
    <n v="11.742928240739275"/>
    <x v="0"/>
    <x v="3"/>
    <n v="9.7429282407392748"/>
    <x v="3"/>
  </r>
  <r>
    <n v="1015"/>
    <s v="1015111"/>
    <d v="2023-09-18T06:10:11"/>
    <s v="type40"/>
    <n v="-15418.95"/>
    <x v="1"/>
    <d v="2023-09-19T06:10:11"/>
    <x v="2"/>
    <d v="2023-10-03T00:00:00"/>
    <n v="14.742928240739275"/>
    <x v="0"/>
    <x v="19"/>
    <n v="13.742928240739275"/>
    <x v="19"/>
  </r>
  <r>
    <n v="1034"/>
    <s v="1034111"/>
    <d v="2023-09-12T06:10:11"/>
    <s v="type32"/>
    <n v="16011.39"/>
    <x v="4"/>
    <d v="2023-09-14T06:10:11"/>
    <x v="4"/>
    <d v="2023-10-03T00:00:00"/>
    <n v="20.742928240739275"/>
    <x v="0"/>
    <x v="20"/>
    <n v="18.742928240739275"/>
    <x v="20"/>
  </r>
  <r>
    <n v="1024"/>
    <s v="1024111"/>
    <d v="2023-09-18T06:10:11"/>
    <s v="type10"/>
    <n v="35"/>
    <x v="6"/>
    <d v="2023-09-19T06:10:11"/>
    <x v="5"/>
    <d v="2023-10-03T00:00:00"/>
    <n v="14.742928240739275"/>
    <x v="0"/>
    <x v="19"/>
    <n v="13.742928240739275"/>
    <x v="19"/>
  </r>
  <r>
    <n v="1025"/>
    <s v="1025111"/>
    <d v="2023-09-19T06:10:11"/>
    <s v="type40"/>
    <n v="418.65"/>
    <x v="6"/>
    <d v="2023-09-20T06:10:11"/>
    <x v="5"/>
    <d v="2023-10-03T00:00:00"/>
    <n v="13.742928240739275"/>
    <x v="0"/>
    <x v="9"/>
    <n v="12.742928240739275"/>
    <x v="9"/>
  </r>
  <r>
    <n v="1006"/>
    <s v="1006111"/>
    <d v="2023-09-22T06:10:11"/>
    <s v="type40"/>
    <n v="-351.86"/>
    <x v="2"/>
    <d v="2023-09-24T06:10:11"/>
    <x v="1"/>
    <d v="2023-10-03T00:00:00"/>
    <n v="10.742928240739275"/>
    <x v="0"/>
    <x v="5"/>
    <n v="8.7429282407392748"/>
    <x v="5"/>
  </r>
  <r>
    <n v="1003"/>
    <s v="1003111"/>
    <d v="2023-09-23T06:10:11"/>
    <s v="type40"/>
    <n v="315.10000000000002"/>
    <x v="6"/>
    <d v="2023-09-24T06:10:11"/>
    <x v="3"/>
    <d v="2023-10-03T00:00:00"/>
    <n v="9.7429282407392748"/>
    <x v="0"/>
    <x v="5"/>
    <n v="8.7429282407392748"/>
    <x v="5"/>
  </r>
  <r>
    <n v="1002"/>
    <s v="1002111"/>
    <d v="2023-09-20T06:10:11"/>
    <s v="type40"/>
    <n v="949.86"/>
    <x v="5"/>
    <d v="2023-09-22T06:10:11"/>
    <x v="3"/>
    <d v="2023-10-03T00:00:00"/>
    <n v="12.742928240739275"/>
    <x v="0"/>
    <x v="10"/>
    <n v="10.742928240739275"/>
    <x v="10"/>
  </r>
  <r>
    <n v="1023"/>
    <s v="1023111"/>
    <d v="2023-09-23T06:10:11"/>
    <s v="type40"/>
    <n v="511.22"/>
    <x v="1"/>
    <d v="2023-09-24T06:10:11"/>
    <x v="0"/>
    <d v="2023-10-03T00:00:00"/>
    <n v="9.7429282407392748"/>
    <x v="0"/>
    <x v="5"/>
    <n v="8.7429282407392748"/>
    <x v="5"/>
  </r>
  <r>
    <n v="1026"/>
    <s v="1026111"/>
    <d v="2023-09-24T06:10:11"/>
    <s v="type40"/>
    <n v="-304.72000000000003"/>
    <x v="3"/>
    <d v="2023-09-25T06:10:11"/>
    <x v="5"/>
    <d v="2023-10-03T00:00:00"/>
    <n v="8.7429282407392748"/>
    <x v="1"/>
    <x v="11"/>
    <n v="7.7429282407392748"/>
    <x v="11"/>
  </r>
  <r>
    <n v="1003"/>
    <s v="1003111"/>
    <d v="2023-09-25T06:10:11"/>
    <s v="type40"/>
    <n v="820.99"/>
    <x v="1"/>
    <d v="2023-09-26T06:10:11"/>
    <x v="3"/>
    <d v="2023-10-03T00:00:00"/>
    <n v="7.7429282407392748"/>
    <x v="1"/>
    <x v="7"/>
    <n v="6.7429282407392748"/>
    <x v="7"/>
  </r>
  <r>
    <n v="1035"/>
    <s v="1035111"/>
    <d v="2023-09-26T06:10:11"/>
    <s v="type54"/>
    <n v="9.01"/>
    <x v="1"/>
    <d v="2023-09-28T06:10:11"/>
    <x v="4"/>
    <d v="2023-10-03T00:00:00"/>
    <n v="6.7429282407392748"/>
    <x v="1"/>
    <x v="8"/>
    <n v="4.7429282407392748"/>
    <x v="8"/>
  </r>
  <r>
    <n v="1023"/>
    <s v="1023111"/>
    <d v="2023-09-13T06:10:11"/>
    <s v="type13"/>
    <n v="16724.98"/>
    <x v="4"/>
    <d v="2023-09-15T06:10:11"/>
    <x v="0"/>
    <d v="2023-10-03T00:00:00"/>
    <n v="19.742928240739275"/>
    <x v="0"/>
    <x v="0"/>
    <n v="17.742928240739275"/>
    <x v="0"/>
  </r>
  <r>
    <n v="1007"/>
    <s v="1007111"/>
    <d v="2023-09-20T06:10:11"/>
    <s v="type40"/>
    <n v="580.46"/>
    <x v="2"/>
    <d v="2023-09-27T06:10:11"/>
    <x v="1"/>
    <d v="2023-10-03T00:00:00"/>
    <n v="12.742928240739275"/>
    <x v="0"/>
    <x v="12"/>
    <n v="5.7429282407392748"/>
    <x v="12"/>
  </r>
  <r>
    <n v="1014"/>
    <s v="1014111"/>
    <d v="2023-09-10T06:10:11"/>
    <s v="type40"/>
    <n v="131"/>
    <x v="6"/>
    <d v="2023-09-12T06:10:11"/>
    <x v="2"/>
    <d v="2023-10-03T00:00:00"/>
    <n v="22.742928240739275"/>
    <x v="0"/>
    <x v="18"/>
    <n v="20.742928240739275"/>
    <x v="18"/>
  </r>
  <r>
    <n v="1022"/>
    <s v="1022111"/>
    <d v="2023-09-22T06:10:11"/>
    <s v="type40"/>
    <n v="356.79"/>
    <x v="5"/>
    <d v="2023-09-24T06:10:11"/>
    <x v="0"/>
    <d v="2023-10-03T00:00:00"/>
    <n v="10.742928240739275"/>
    <x v="0"/>
    <x v="5"/>
    <n v="8.7429282407392748"/>
    <x v="5"/>
  </r>
  <r>
    <n v="1024"/>
    <s v="1024111"/>
    <d v="2023-09-12T06:10:11"/>
    <s v="type40"/>
    <n v="-312.3"/>
    <x v="6"/>
    <d v="2023-09-14T06:10:11"/>
    <x v="5"/>
    <d v="2023-10-03T00:00:00"/>
    <n v="20.742928240739275"/>
    <x v="0"/>
    <x v="20"/>
    <n v="18.742928240739275"/>
    <x v="20"/>
  </r>
  <r>
    <n v="1017"/>
    <s v="1017111"/>
    <d v="2023-09-18T06:10:11"/>
    <s v="type40"/>
    <n v="407.67"/>
    <x v="1"/>
    <d v="2023-09-20T06:10:11"/>
    <x v="2"/>
    <d v="2023-10-03T00:00:00"/>
    <n v="14.742928240739275"/>
    <x v="0"/>
    <x v="9"/>
    <n v="12.742928240739275"/>
    <x v="9"/>
  </r>
  <r>
    <n v="1019"/>
    <s v="1019111"/>
    <d v="2023-09-13T06:10:11"/>
    <s v="type40"/>
    <n v="10"/>
    <x v="5"/>
    <d v="2023-09-18T06:10:11"/>
    <x v="0"/>
    <d v="2023-10-03T00:00:00"/>
    <n v="19.742928240739275"/>
    <x v="0"/>
    <x v="6"/>
    <n v="14.742928240739275"/>
    <x v="6"/>
  </r>
  <r>
    <n v="1011"/>
    <s v="1011111"/>
    <d v="2023-09-20T06:10:11"/>
    <s v="type40"/>
    <n v="-423.99"/>
    <x v="1"/>
    <d v="2023-09-22T06:10:11"/>
    <x v="1"/>
    <d v="2023-10-03T00:00:00"/>
    <n v="12.742928240739275"/>
    <x v="0"/>
    <x v="10"/>
    <n v="10.742928240739275"/>
    <x v="10"/>
  </r>
  <r>
    <n v="1008"/>
    <s v="1008111"/>
    <d v="2023-09-14T06:10:11"/>
    <s v="type13"/>
    <n v="20188.849999999999"/>
    <x v="6"/>
    <d v="2023-09-16T06:10:11"/>
    <x v="1"/>
    <d v="2023-10-03T00:00:00"/>
    <n v="18.742928240739275"/>
    <x v="0"/>
    <x v="2"/>
    <n v="16.742928240739275"/>
    <x v="2"/>
  </r>
  <r>
    <n v="1002"/>
    <s v="1002111"/>
    <d v="2023-09-18T06:10:11"/>
    <s v="type13"/>
    <n v="51224.56"/>
    <x v="6"/>
    <d v="2023-09-23T06:10:11"/>
    <x v="3"/>
    <d v="2023-10-03T00:00:00"/>
    <n v="14.742928240739275"/>
    <x v="0"/>
    <x v="3"/>
    <n v="9.7429282407392748"/>
    <x v="3"/>
  </r>
  <r>
    <n v="1018"/>
    <s v="1018111"/>
    <d v="2023-09-21T06:10:11"/>
    <s v="type40"/>
    <n v="590.89"/>
    <x v="3"/>
    <d v="2023-09-23T06:10:11"/>
    <x v="0"/>
    <d v="2023-10-03T00:00:00"/>
    <n v="11.742928240739275"/>
    <x v="0"/>
    <x v="3"/>
    <n v="9.7429282407392748"/>
    <x v="3"/>
  </r>
  <r>
    <n v="1005"/>
    <s v="1005111"/>
    <d v="2023-09-10T06:10:11"/>
    <s v="type40"/>
    <n v="-704.09"/>
    <x v="2"/>
    <d v="2023-09-17T06:10:11"/>
    <x v="3"/>
    <d v="2023-10-03T00:00:00"/>
    <n v="22.742928240739275"/>
    <x v="0"/>
    <x v="4"/>
    <n v="15.742928240739275"/>
    <x v="4"/>
  </r>
  <r>
    <n v="1004"/>
    <s v="1004111"/>
    <d v="2023-09-23T06:10:11"/>
    <s v="type40"/>
    <n v="-307.33999999999997"/>
    <x v="1"/>
    <d v="2023-09-25T06:10:11"/>
    <x v="3"/>
    <d v="2023-10-03T00:00:00"/>
    <n v="9.7429282407392748"/>
    <x v="0"/>
    <x v="11"/>
    <n v="7.7429282407392748"/>
    <x v="11"/>
  </r>
  <r>
    <n v="1023"/>
    <s v="1023111"/>
    <d v="2023-09-24T06:10:11"/>
    <s v="type40"/>
    <n v="7066.06"/>
    <x v="3"/>
    <d v="2023-09-26T06:10:11"/>
    <x v="0"/>
    <d v="2023-10-03T00:00:00"/>
    <n v="8.7429282407392748"/>
    <x v="1"/>
    <x v="7"/>
    <n v="6.7429282407392748"/>
    <x v="7"/>
  </r>
  <r>
    <n v="1000"/>
    <s v="1000111"/>
    <d v="2023-09-14T06:10:11"/>
    <s v="type13"/>
    <n v="35114.19"/>
    <x v="2"/>
    <d v="2023-09-15T06:10:11"/>
    <x v="3"/>
    <d v="2023-10-03T00:00:00"/>
    <n v="18.742928240739275"/>
    <x v="0"/>
    <x v="0"/>
    <n v="17.742928240739275"/>
    <x v="0"/>
  </r>
  <r>
    <n v="1016"/>
    <s v="1016111"/>
    <d v="2023-09-26T06:10:11"/>
    <s v="type40"/>
    <n v="462.22"/>
    <x v="3"/>
    <d v="2023-09-28T06:10:11"/>
    <x v="2"/>
    <d v="2023-10-03T00:00:00"/>
    <n v="6.7429282407392748"/>
    <x v="1"/>
    <x v="8"/>
    <n v="4.7429282407392748"/>
    <x v="8"/>
  </r>
  <r>
    <n v="1007"/>
    <s v="1007111"/>
    <d v="2023-09-14T06:10:11"/>
    <s v="type13"/>
    <n v="12633.5"/>
    <x v="4"/>
    <d v="2023-09-16T06:10:11"/>
    <x v="1"/>
    <d v="2023-10-03T00:00:00"/>
    <n v="18.742928240739275"/>
    <x v="0"/>
    <x v="2"/>
    <n v="16.742928240739275"/>
    <x v="2"/>
  </r>
  <r>
    <n v="1016"/>
    <s v="1016111"/>
    <d v="2023-09-14T06:10:11"/>
    <s v="type22"/>
    <n v="584.08000000000004"/>
    <x v="5"/>
    <d v="2023-09-21T06:10:11"/>
    <x v="2"/>
    <d v="2023-10-03T00:00:00"/>
    <n v="18.742928240739275"/>
    <x v="0"/>
    <x v="1"/>
    <n v="11.742928240739275"/>
    <x v="1"/>
  </r>
  <r>
    <n v="1011"/>
    <s v="1011111"/>
    <d v="2023-09-16T06:10:11"/>
    <s v="type40"/>
    <n v="-419.54"/>
    <x v="4"/>
    <d v="2023-09-21T06:10:11"/>
    <x v="1"/>
    <d v="2023-10-03T00:00:00"/>
    <n v="16.742928240739275"/>
    <x v="0"/>
    <x v="1"/>
    <n v="11.742928240739275"/>
    <x v="1"/>
  </r>
  <r>
    <n v="1032"/>
    <s v="1032111"/>
    <d v="2023-09-11T06:10:11"/>
    <s v="type40"/>
    <n v="2.4900000000000002"/>
    <x v="1"/>
    <d v="2023-09-13T06:10:11"/>
    <x v="4"/>
    <d v="2023-10-03T00:00:00"/>
    <n v="21.742928240739275"/>
    <x v="0"/>
    <x v="24"/>
    <n v="19.742928240739275"/>
    <x v="24"/>
  </r>
  <r>
    <n v="1017"/>
    <s v="1017111"/>
    <d v="2023-09-20T06:10:11"/>
    <s v="type25"/>
    <n v="212.88"/>
    <x v="6"/>
    <d v="2023-09-25T06:10:11"/>
    <x v="2"/>
    <d v="2023-10-03T00:00:00"/>
    <n v="12.742928240739275"/>
    <x v="0"/>
    <x v="11"/>
    <n v="7.7429282407392748"/>
    <x v="11"/>
  </r>
  <r>
    <n v="1035"/>
    <s v="1035111"/>
    <d v="2023-09-21T06:10:11"/>
    <s v="type13"/>
    <n v="20610.47"/>
    <x v="2"/>
    <d v="2023-09-22T06:10:11"/>
    <x v="4"/>
    <d v="2023-10-03T00:00:00"/>
    <n v="11.742928240739275"/>
    <x v="0"/>
    <x v="10"/>
    <n v="10.742928240739275"/>
    <x v="10"/>
  </r>
  <r>
    <n v="1010"/>
    <s v="1010111"/>
    <d v="2023-09-18T06:10:11"/>
    <s v="type19"/>
    <n v="306.33"/>
    <x v="4"/>
    <d v="2023-09-23T06:10:11"/>
    <x v="1"/>
    <d v="2023-10-03T00:00:00"/>
    <n v="14.742928240739275"/>
    <x v="0"/>
    <x v="3"/>
    <n v="9.7429282407392748"/>
    <x v="3"/>
  </r>
  <r>
    <n v="1027"/>
    <s v="1027111"/>
    <d v="2023-09-19T06:10:11"/>
    <s v="type40"/>
    <n v="20"/>
    <x v="2"/>
    <d v="2023-09-21T06:10:11"/>
    <x v="5"/>
    <d v="2023-10-03T00:00:00"/>
    <n v="13.742928240739275"/>
    <x v="0"/>
    <x v="1"/>
    <n v="11.742928240739275"/>
    <x v="1"/>
  </r>
  <r>
    <n v="1017"/>
    <s v="1017111"/>
    <d v="2023-09-21T06:10:11"/>
    <s v="type40"/>
    <n v="64"/>
    <x v="6"/>
    <d v="2023-09-26T06:10:11"/>
    <x v="2"/>
    <d v="2023-10-03T00:00:00"/>
    <n v="11.742928240739275"/>
    <x v="0"/>
    <x v="7"/>
    <n v="6.7429282407392748"/>
    <x v="7"/>
  </r>
  <r>
    <n v="1013"/>
    <s v="1013111"/>
    <d v="2023-09-15T06:10:11"/>
    <s v="type40"/>
    <n v="-415.89"/>
    <x v="5"/>
    <d v="2023-09-16T06:10:11"/>
    <x v="2"/>
    <d v="2023-10-03T00:00:00"/>
    <n v="17.742928240739275"/>
    <x v="0"/>
    <x v="2"/>
    <n v="16.742928240739275"/>
    <x v="2"/>
  </r>
  <r>
    <n v="1021"/>
    <s v="1021111"/>
    <d v="2023-09-15T06:10:11"/>
    <s v="type40"/>
    <n v="-6459.62"/>
    <x v="3"/>
    <d v="2023-09-20T06:10:11"/>
    <x v="0"/>
    <d v="2023-10-03T00:00:00"/>
    <n v="17.742928240739275"/>
    <x v="0"/>
    <x v="9"/>
    <n v="12.742928240739275"/>
    <x v="9"/>
  </r>
  <r>
    <n v="1032"/>
    <s v="1032111"/>
    <d v="2023-09-19T06:10:11"/>
    <s v="type40"/>
    <n v="680.58"/>
    <x v="4"/>
    <d v="2023-09-24T06:10:11"/>
    <x v="4"/>
    <d v="2023-10-03T00:00:00"/>
    <n v="13.742928240739275"/>
    <x v="0"/>
    <x v="5"/>
    <n v="8.7429282407392748"/>
    <x v="5"/>
  </r>
  <r>
    <n v="1013"/>
    <s v="1013111"/>
    <d v="2023-09-20T06:10:11"/>
    <s v="type40"/>
    <n v="-722.63"/>
    <x v="2"/>
    <d v="2023-09-22T06:10:11"/>
    <x v="2"/>
    <d v="2023-10-03T00:00:00"/>
    <n v="12.742928240739275"/>
    <x v="0"/>
    <x v="10"/>
    <n v="10.742928240739275"/>
    <x v="10"/>
  </r>
  <r>
    <n v="1014"/>
    <s v="1014111"/>
    <d v="2023-09-14T06:10:11"/>
    <s v="type40"/>
    <n v="7.58"/>
    <x v="6"/>
    <d v="2023-09-15T06:10:11"/>
    <x v="2"/>
    <d v="2023-10-03T00:00:00"/>
    <n v="18.742928240739275"/>
    <x v="0"/>
    <x v="0"/>
    <n v="17.742928240739275"/>
    <x v="0"/>
  </r>
  <r>
    <n v="1025"/>
    <s v="1025111"/>
    <d v="2023-09-18T06:10:11"/>
    <s v="type40"/>
    <n v="-3466.88"/>
    <x v="1"/>
    <d v="2023-09-25T06:10:11"/>
    <x v="5"/>
    <d v="2023-10-03T00:00:00"/>
    <n v="14.742928240739275"/>
    <x v="0"/>
    <x v="11"/>
    <n v="7.7429282407392748"/>
    <x v="11"/>
  </r>
  <r>
    <n v="1034"/>
    <s v="1034111"/>
    <d v="2023-09-22T06:10:11"/>
    <s v="type40"/>
    <n v="-715.64"/>
    <x v="4"/>
    <d v="2023-09-27T06:10:11"/>
    <x v="4"/>
    <d v="2023-10-03T00:00:00"/>
    <n v="10.742928240739275"/>
    <x v="0"/>
    <x v="12"/>
    <n v="5.7429282407392748"/>
    <x v="12"/>
  </r>
  <r>
    <n v="1010"/>
    <s v="1010111"/>
    <d v="2023-09-19T06:10:11"/>
    <s v="type40"/>
    <n v="-15655.14"/>
    <x v="3"/>
    <d v="2023-09-26T06:10:11"/>
    <x v="1"/>
    <d v="2023-10-03T00:00:00"/>
    <n v="13.742928240739275"/>
    <x v="0"/>
    <x v="7"/>
    <n v="6.7429282407392748"/>
    <x v="7"/>
  </r>
  <r>
    <n v="1025"/>
    <s v="1025111"/>
    <d v="2023-09-20T06:10:11"/>
    <s v="type40"/>
    <n v="1656.52"/>
    <x v="3"/>
    <d v="2023-09-27T06:10:11"/>
    <x v="5"/>
    <d v="2023-10-03T00:00:00"/>
    <n v="12.742928240739275"/>
    <x v="0"/>
    <x v="12"/>
    <n v="5.7429282407392748"/>
    <x v="12"/>
  </r>
  <r>
    <n v="1005"/>
    <s v="1005111"/>
    <d v="2023-09-18T06:10:11"/>
    <s v="type13"/>
    <n v="19624.849999999999"/>
    <x v="6"/>
    <d v="2023-09-20T06:10:11"/>
    <x v="3"/>
    <d v="2023-10-03T00:00:00"/>
    <n v="14.742928240739275"/>
    <x v="0"/>
    <x v="9"/>
    <n v="12.742928240739275"/>
    <x v="9"/>
  </r>
  <r>
    <n v="1023"/>
    <s v="1023111"/>
    <d v="2023-09-21T06:10:11"/>
    <s v="type40"/>
    <n v="-711.64"/>
    <x v="4"/>
    <d v="2023-09-26T06:10:11"/>
    <x v="0"/>
    <d v="2023-10-03T00:00:00"/>
    <n v="11.742928240739275"/>
    <x v="0"/>
    <x v="7"/>
    <n v="6.7429282407392748"/>
    <x v="7"/>
  </r>
  <r>
    <n v="1035"/>
    <s v="1035111"/>
    <d v="2023-09-16T06:10:11"/>
    <s v="type40"/>
    <n v="1049.74"/>
    <x v="6"/>
    <d v="2023-09-18T06:10:11"/>
    <x v="4"/>
    <d v="2023-10-03T00:00:00"/>
    <n v="16.742928240739275"/>
    <x v="0"/>
    <x v="6"/>
    <n v="14.742928240739275"/>
    <x v="6"/>
  </r>
  <r>
    <n v="1000"/>
    <s v="1000111"/>
    <d v="2023-09-22T06:10:11"/>
    <s v="type40"/>
    <n v="-361.11"/>
    <x v="3"/>
    <d v="2023-09-29T06:10:11"/>
    <x v="3"/>
    <d v="2023-10-03T00:00:00"/>
    <n v="10.742928240739275"/>
    <x v="0"/>
    <x v="13"/>
    <n v="3.7429282407392748"/>
    <x v="13"/>
  </r>
  <r>
    <n v="1027"/>
    <s v="1027111"/>
    <d v="2023-09-23T06:10:11"/>
    <s v="type40"/>
    <n v="306.47000000000003"/>
    <x v="3"/>
    <d v="2023-09-30T06:10:11"/>
    <x v="5"/>
    <d v="2023-10-03T00:00:00"/>
    <n v="9.7429282407392748"/>
    <x v="0"/>
    <x v="14"/>
    <n v="2.7429282407392748"/>
    <x v="14"/>
  </r>
  <r>
    <n v="1010"/>
    <s v="1010111"/>
    <d v="2023-09-20T06:10:11"/>
    <s v="type40"/>
    <n v="-397.39"/>
    <x v="6"/>
    <d v="2023-09-22T06:10:11"/>
    <x v="1"/>
    <d v="2023-10-03T00:00:00"/>
    <n v="12.742928240739275"/>
    <x v="0"/>
    <x v="10"/>
    <n v="10.742928240739275"/>
    <x v="10"/>
  </r>
  <r>
    <n v="1014"/>
    <s v="1014111"/>
    <d v="2023-09-21T06:10:11"/>
    <s v="type40"/>
    <n v="779.06"/>
    <x v="2"/>
    <d v="2023-09-23T06:10:11"/>
    <x v="2"/>
    <d v="2023-10-03T00:00:00"/>
    <n v="11.742928240739275"/>
    <x v="0"/>
    <x v="3"/>
    <n v="9.7429282407392748"/>
    <x v="3"/>
  </r>
  <r>
    <n v="1014"/>
    <s v="1014111"/>
    <d v="2023-09-17T06:10:11"/>
    <s v="type23"/>
    <n v="364.67"/>
    <x v="2"/>
    <d v="2023-09-22T06:10:11"/>
    <x v="2"/>
    <d v="2023-10-03T00:00:00"/>
    <n v="15.742928240739275"/>
    <x v="0"/>
    <x v="10"/>
    <n v="10.742928240739275"/>
    <x v="10"/>
  </r>
  <r>
    <n v="1022"/>
    <s v="1022111"/>
    <d v="2023-09-14T06:10:11"/>
    <s v="type40"/>
    <n v="359.46"/>
    <x v="6"/>
    <d v="2023-09-21T06:10:11"/>
    <x v="0"/>
    <d v="2023-10-03T00:00:00"/>
    <n v="18.742928240739275"/>
    <x v="0"/>
    <x v="1"/>
    <n v="11.742928240739275"/>
    <x v="1"/>
  </r>
  <r>
    <n v="1014"/>
    <s v="1014111"/>
    <d v="2023-09-28T06:10:11"/>
    <s v="type40"/>
    <n v="-459.45"/>
    <x v="3"/>
    <d v="2023-10-05T06:10:11"/>
    <x v="2"/>
    <d v="2023-10-03T00:00:00"/>
    <n v="4.7429282407392748"/>
    <x v="2"/>
    <x v="17"/>
    <n v="-2.2570717592607252"/>
    <x v="17"/>
  </r>
  <r>
    <n v="1001"/>
    <s v="1001111"/>
    <d v="2023-09-16T06:10:11"/>
    <s v="type13"/>
    <n v="21002.32"/>
    <x v="1"/>
    <d v="2023-09-23T06:10:11"/>
    <x v="3"/>
    <d v="2023-10-03T00:00:00"/>
    <n v="16.742928240739275"/>
    <x v="0"/>
    <x v="3"/>
    <n v="9.7429282407392748"/>
    <x v="3"/>
  </r>
  <r>
    <n v="1017"/>
    <s v="1017111"/>
    <d v="2023-09-17T06:10:11"/>
    <s v="type13"/>
    <n v="14264.36"/>
    <x v="3"/>
    <d v="2023-09-24T06:10:11"/>
    <x v="2"/>
    <d v="2023-10-03T00:00:00"/>
    <n v="15.742928240739275"/>
    <x v="0"/>
    <x v="5"/>
    <n v="8.7429282407392748"/>
    <x v="5"/>
  </r>
  <r>
    <n v="1017"/>
    <s v="1017111"/>
    <d v="2023-09-22T06:10:11"/>
    <s v="type40"/>
    <n v="-6678.98"/>
    <x v="4"/>
    <d v="2023-09-29T06:10:11"/>
    <x v="2"/>
    <d v="2023-10-03T00:00:00"/>
    <n v="10.742928240739275"/>
    <x v="0"/>
    <x v="13"/>
    <n v="3.7429282407392748"/>
    <x v="13"/>
  </r>
  <r>
    <n v="1020"/>
    <s v="1020111"/>
    <d v="2023-09-18T06:10:11"/>
    <s v="type40"/>
    <n v="-647.55999999999995"/>
    <x v="3"/>
    <d v="2023-09-19T06:10:11"/>
    <x v="0"/>
    <d v="2023-10-03T00:00:00"/>
    <n v="14.742928240739275"/>
    <x v="0"/>
    <x v="19"/>
    <n v="13.742928240739275"/>
    <x v="19"/>
  </r>
  <r>
    <n v="1004"/>
    <s v="1004111"/>
    <d v="2023-09-19T06:10:11"/>
    <s v="type40"/>
    <n v="-407.64"/>
    <x v="1"/>
    <d v="2023-09-20T06:10:11"/>
    <x v="3"/>
    <d v="2023-10-03T00:00:00"/>
    <n v="13.742928240739275"/>
    <x v="0"/>
    <x v="9"/>
    <n v="12.742928240739275"/>
    <x v="9"/>
  </r>
  <r>
    <n v="1002"/>
    <s v="1002111"/>
    <d v="2023-09-16T06:10:11"/>
    <s v="type40"/>
    <n v="-836.11"/>
    <x v="5"/>
    <d v="2023-09-17T06:10:11"/>
    <x v="3"/>
    <d v="2023-10-03T00:00:00"/>
    <n v="16.742928240739275"/>
    <x v="0"/>
    <x v="4"/>
    <n v="15.742928240739275"/>
    <x v="4"/>
  </r>
  <r>
    <n v="1019"/>
    <s v="1019111"/>
    <d v="2023-09-20T06:10:11"/>
    <s v="type17"/>
    <n v="502.84"/>
    <x v="3"/>
    <d v="2023-09-21T06:10:11"/>
    <x v="0"/>
    <d v="2023-10-03T00:00:00"/>
    <n v="12.742928240739275"/>
    <x v="0"/>
    <x v="1"/>
    <n v="11.742928240739275"/>
    <x v="1"/>
  </r>
  <r>
    <n v="1025"/>
    <s v="1025111"/>
    <d v="2023-09-21T06:10:11"/>
    <s v="type40"/>
    <n v="-27152.27"/>
    <x v="1"/>
    <d v="2023-09-22T06:10:11"/>
    <x v="5"/>
    <d v="2023-10-03T00:00:00"/>
    <n v="11.742928240739275"/>
    <x v="0"/>
    <x v="10"/>
    <n v="10.742928240739275"/>
    <x v="10"/>
  </r>
  <r>
    <n v="1020"/>
    <s v="1020111"/>
    <d v="2023-09-23T06:10:11"/>
    <s v="type40"/>
    <n v="7.11"/>
    <x v="4"/>
    <d v="2023-09-24T06:10:11"/>
    <x v="0"/>
    <d v="2023-10-03T00:00:00"/>
    <n v="9.7429282407392748"/>
    <x v="0"/>
    <x v="5"/>
    <n v="8.7429282407392748"/>
    <x v="5"/>
  </r>
  <r>
    <n v="1022"/>
    <s v="1022111"/>
    <d v="2023-09-19T06:10:11"/>
    <s v="type13"/>
    <n v="16284.71"/>
    <x v="2"/>
    <d v="2023-09-26T06:10:11"/>
    <x v="0"/>
    <d v="2023-10-03T00:00:00"/>
    <n v="13.742928240739275"/>
    <x v="0"/>
    <x v="7"/>
    <n v="6.7429282407392748"/>
    <x v="7"/>
  </r>
  <r>
    <n v="1013"/>
    <s v="1013111"/>
    <d v="2023-09-23T06:10:11"/>
    <s v="type40"/>
    <n v="-4356.5200000000004"/>
    <x v="3"/>
    <d v="2023-09-24T06:10:11"/>
    <x v="2"/>
    <d v="2023-10-03T00:00:00"/>
    <n v="9.7429282407392748"/>
    <x v="0"/>
    <x v="5"/>
    <n v="8.7429282407392748"/>
    <x v="5"/>
  </r>
  <r>
    <n v="1027"/>
    <s v="1027111"/>
    <d v="2023-09-20T06:10:11"/>
    <s v="type13"/>
    <n v="17733.02"/>
    <x v="2"/>
    <d v="2023-09-27T06:10:11"/>
    <x v="5"/>
    <d v="2023-10-03T00:00:00"/>
    <n v="12.742928240739275"/>
    <x v="0"/>
    <x v="12"/>
    <n v="5.7429282407392748"/>
    <x v="12"/>
  </r>
  <r>
    <n v="1018"/>
    <s v="1018111"/>
    <d v="2023-09-18T06:10:11"/>
    <s v="type40"/>
    <n v="-317.18"/>
    <x v="6"/>
    <d v="2023-09-25T06:10:11"/>
    <x v="0"/>
    <d v="2023-10-03T00:00:00"/>
    <n v="14.742928240739275"/>
    <x v="0"/>
    <x v="11"/>
    <n v="7.7429282407392748"/>
    <x v="11"/>
  </r>
  <r>
    <n v="1035"/>
    <s v="1035111"/>
    <d v="2023-09-20T06:10:11"/>
    <s v="type40"/>
    <n v="375.37"/>
    <x v="5"/>
    <d v="2023-09-21T06:10:11"/>
    <x v="4"/>
    <d v="2023-10-03T00:00:00"/>
    <n v="12.742928240739275"/>
    <x v="0"/>
    <x v="1"/>
    <n v="11.742928240739275"/>
    <x v="1"/>
  </r>
  <r>
    <n v="1008"/>
    <s v="1008111"/>
    <d v="2023-09-21T06:10:11"/>
    <s v="type54"/>
    <n v="-1027.94"/>
    <x v="6"/>
    <d v="2023-09-22T06:10:11"/>
    <x v="1"/>
    <d v="2023-10-03T00:00:00"/>
    <n v="11.742928240739275"/>
    <x v="0"/>
    <x v="10"/>
    <n v="10.742928240739275"/>
    <x v="10"/>
  </r>
  <r>
    <n v="1016"/>
    <s v="1016111"/>
    <d v="2023-09-22T06:10:11"/>
    <s v="type40"/>
    <n v="1204.68"/>
    <x v="6"/>
    <d v="2023-09-23T06:10:11"/>
    <x v="2"/>
    <d v="2023-10-03T00:00:00"/>
    <n v="10.742928240739275"/>
    <x v="0"/>
    <x v="3"/>
    <n v="9.7429282407392748"/>
    <x v="3"/>
  </r>
  <r>
    <n v="1033"/>
    <s v="1033111"/>
    <d v="2023-09-19T06:10:11"/>
    <s v="type13"/>
    <n v="12803.54"/>
    <x v="6"/>
    <d v="2023-09-20T06:10:11"/>
    <x v="4"/>
    <d v="2023-10-03T00:00:00"/>
    <n v="13.742928240739275"/>
    <x v="0"/>
    <x v="9"/>
    <n v="12.742928240739275"/>
    <x v="9"/>
  </r>
  <r>
    <n v="1005"/>
    <s v="1005111"/>
    <d v="2023-09-12T06:10:11"/>
    <s v="type40"/>
    <n v="-2126.13"/>
    <x v="3"/>
    <d v="2023-09-13T06:10:11"/>
    <x v="3"/>
    <d v="2023-10-03T00:00:00"/>
    <n v="20.742928240739275"/>
    <x v="0"/>
    <x v="24"/>
    <n v="19.742928240739275"/>
    <x v="24"/>
  </r>
  <r>
    <n v="1032"/>
    <s v="1032111"/>
    <d v="2023-09-11T06:10:11"/>
    <s v="type40"/>
    <n v="542"/>
    <x v="5"/>
    <d v="2023-09-12T06:10:11"/>
    <x v="4"/>
    <d v="2023-10-03T00:00:00"/>
    <n v="21.742928240739275"/>
    <x v="0"/>
    <x v="18"/>
    <n v="20.742928240739275"/>
    <x v="18"/>
  </r>
  <r>
    <n v="1003"/>
    <s v="1003111"/>
    <d v="2023-09-13T06:10:11"/>
    <s v="type40"/>
    <n v="309.31"/>
    <x v="1"/>
    <d v="2023-09-14T06:10:11"/>
    <x v="3"/>
    <d v="2023-10-03T00:00:00"/>
    <n v="19.742928240739275"/>
    <x v="0"/>
    <x v="20"/>
    <n v="18.742928240739275"/>
    <x v="20"/>
  </r>
  <r>
    <n v="1008"/>
    <s v="1008111"/>
    <d v="2023-09-20T06:10:11"/>
    <s v="type40"/>
    <n v="-696.67"/>
    <x v="4"/>
    <d v="2023-09-21T06:10:11"/>
    <x v="1"/>
    <d v="2023-10-03T00:00:00"/>
    <n v="12.742928240739275"/>
    <x v="0"/>
    <x v="1"/>
    <n v="11.742928240739275"/>
    <x v="1"/>
  </r>
  <r>
    <n v="1031"/>
    <s v="1031111"/>
    <d v="2023-09-14T06:10:11"/>
    <s v="type40"/>
    <n v="3570.76"/>
    <x v="1"/>
    <d v="2023-09-16T06:10:11"/>
    <x v="4"/>
    <d v="2023-10-03T00:00:00"/>
    <n v="18.742928240739275"/>
    <x v="0"/>
    <x v="2"/>
    <n v="16.742928240739275"/>
    <x v="2"/>
  </r>
  <r>
    <n v="1015"/>
    <s v="1015111"/>
    <d v="2023-09-11T06:10:11"/>
    <s v="type40"/>
    <n v="6"/>
    <x v="6"/>
    <d v="2023-09-13T06:10:11"/>
    <x v="2"/>
    <d v="2023-10-03T00:00:00"/>
    <n v="21.742928240739275"/>
    <x v="0"/>
    <x v="24"/>
    <n v="19.742928240739275"/>
    <x v="24"/>
  </r>
  <r>
    <n v="1013"/>
    <s v="1013111"/>
    <d v="2023-09-13T06:10:11"/>
    <s v="type40"/>
    <n v="-349.62"/>
    <x v="5"/>
    <d v="2023-09-14T06:10:11"/>
    <x v="2"/>
    <d v="2023-10-03T00:00:00"/>
    <n v="19.742928240739275"/>
    <x v="0"/>
    <x v="20"/>
    <n v="18.742928240739275"/>
    <x v="20"/>
  </r>
  <r>
    <n v="1009"/>
    <s v="1009111"/>
    <d v="2023-09-14T06:10:11"/>
    <s v="type18"/>
    <n v="376.74"/>
    <x v="5"/>
    <d v="2023-09-16T06:10:11"/>
    <x v="1"/>
    <d v="2023-10-03T00:00:00"/>
    <n v="18.742928240739275"/>
    <x v="0"/>
    <x v="2"/>
    <n v="16.742928240739275"/>
    <x v="2"/>
  </r>
  <r>
    <n v="1005"/>
    <s v="1005111"/>
    <d v="2023-09-16T06:10:11"/>
    <s v="type40"/>
    <n v="410.03"/>
    <x v="3"/>
    <d v="2023-09-18T06:10:11"/>
    <x v="3"/>
    <d v="2023-10-03T00:00:00"/>
    <n v="16.742928240739275"/>
    <x v="0"/>
    <x v="6"/>
    <n v="14.742928240739275"/>
    <x v="6"/>
  </r>
  <r>
    <n v="1016"/>
    <s v="1016111"/>
    <d v="2023-09-12T06:10:11"/>
    <s v="type40"/>
    <n v="-364.16"/>
    <x v="6"/>
    <d v="2023-09-14T06:10:11"/>
    <x v="2"/>
    <d v="2023-10-03T00:00:00"/>
    <n v="20.742928240739275"/>
    <x v="0"/>
    <x v="20"/>
    <n v="18.742928240739275"/>
    <x v="20"/>
  </r>
  <r>
    <n v="1033"/>
    <s v="1033111"/>
    <d v="2023-09-21T06:10:11"/>
    <s v="type13"/>
    <n v="23106.09"/>
    <x v="2"/>
    <d v="2023-09-28T06:10:11"/>
    <x v="4"/>
    <d v="2023-10-03T00:00:00"/>
    <n v="11.742928240739275"/>
    <x v="0"/>
    <x v="8"/>
    <n v="4.7429282407392748"/>
    <x v="8"/>
  </r>
  <r>
    <n v="1004"/>
    <s v="1004111"/>
    <d v="2023-09-18T06:10:11"/>
    <s v="type40"/>
    <n v="-1455.53"/>
    <x v="3"/>
    <d v="2023-09-20T06:10:11"/>
    <x v="3"/>
    <d v="2023-10-03T00:00:00"/>
    <n v="14.742928240739275"/>
    <x v="0"/>
    <x v="9"/>
    <n v="12.742928240739275"/>
    <x v="9"/>
  </r>
  <r>
    <n v="1011"/>
    <s v="1011111"/>
    <d v="2023-09-19T06:10:11"/>
    <s v="type13"/>
    <n v="29484.69"/>
    <x v="3"/>
    <d v="2023-09-21T06:10:11"/>
    <x v="1"/>
    <d v="2023-10-03T00:00:00"/>
    <n v="13.742928240739275"/>
    <x v="0"/>
    <x v="1"/>
    <n v="11.742928240739275"/>
    <x v="1"/>
  </r>
  <r>
    <n v="1016"/>
    <s v="1016111"/>
    <d v="2023-09-20T06:10:11"/>
    <s v="type40"/>
    <n v="348.98"/>
    <x v="1"/>
    <d v="2023-09-22T06:10:11"/>
    <x v="2"/>
    <d v="2023-10-03T00:00:00"/>
    <n v="12.742928240739275"/>
    <x v="0"/>
    <x v="10"/>
    <n v="10.742928240739275"/>
    <x v="10"/>
  </r>
  <r>
    <n v="1032"/>
    <s v="1032111"/>
    <d v="2023-09-20T06:10:11"/>
    <s v="type41"/>
    <n v="2166.3200000000002"/>
    <x v="1"/>
    <d v="2023-09-22T06:10:11"/>
    <x v="4"/>
    <d v="2023-10-03T00:00:00"/>
    <n v="12.742928240739275"/>
    <x v="0"/>
    <x v="10"/>
    <n v="10.742928240739275"/>
    <x v="10"/>
  </r>
  <r>
    <n v="1033"/>
    <s v="1033111"/>
    <d v="2023-09-18T06:10:11"/>
    <s v="type46"/>
    <n v="1.99"/>
    <x v="4"/>
    <d v="2023-09-20T06:10:11"/>
    <x v="4"/>
    <d v="2023-10-03T00:00:00"/>
    <n v="14.742928240739275"/>
    <x v="0"/>
    <x v="9"/>
    <n v="12.742928240739275"/>
    <x v="9"/>
  </r>
  <r>
    <n v="1009"/>
    <s v="1009111"/>
    <d v="2023-09-18T06:10:11"/>
    <s v="type40"/>
    <n v="1008.83"/>
    <x v="2"/>
    <d v="2023-09-25T06:10:11"/>
    <x v="1"/>
    <d v="2023-10-03T00:00:00"/>
    <n v="14.742928240739275"/>
    <x v="0"/>
    <x v="11"/>
    <n v="7.7429282407392748"/>
    <x v="11"/>
  </r>
  <r>
    <n v="1000"/>
    <s v="1000111"/>
    <d v="2023-09-16T06:10:11"/>
    <s v="type7"/>
    <n v="-1521.01"/>
    <x v="5"/>
    <d v="2023-09-18T06:10:11"/>
    <x v="3"/>
    <d v="2023-10-03T00:00:00"/>
    <n v="16.742928240739275"/>
    <x v="0"/>
    <x v="6"/>
    <n v="14.742928240739275"/>
    <x v="6"/>
  </r>
  <r>
    <n v="1001"/>
    <s v="1001111"/>
    <d v="2023-09-16T06:10:11"/>
    <s v="type40"/>
    <n v="-355.78"/>
    <x v="6"/>
    <d v="2023-09-23T06:10:11"/>
    <x v="3"/>
    <d v="2023-10-03T00:00:00"/>
    <n v="16.742928240739275"/>
    <x v="0"/>
    <x v="3"/>
    <n v="9.7429282407392748"/>
    <x v="3"/>
  </r>
  <r>
    <n v="1001"/>
    <s v="1001111"/>
    <d v="2023-09-24T06:10:11"/>
    <s v="type40"/>
    <n v="-10382.959999999999"/>
    <x v="1"/>
    <d v="2023-09-26T06:10:11"/>
    <x v="3"/>
    <d v="2023-10-03T00:00:00"/>
    <n v="8.7429282407392748"/>
    <x v="1"/>
    <x v="7"/>
    <n v="6.7429282407392748"/>
    <x v="7"/>
  </r>
  <r>
    <n v="1006"/>
    <s v="1006111"/>
    <d v="2023-09-25T06:10:11"/>
    <s v="type40"/>
    <n v="365.1"/>
    <x v="3"/>
    <d v="2023-09-27T06:10:11"/>
    <x v="1"/>
    <d v="2023-10-03T00:00:00"/>
    <n v="7.7429282407392748"/>
    <x v="1"/>
    <x v="12"/>
    <n v="5.7429282407392748"/>
    <x v="12"/>
  </r>
  <r>
    <n v="1019"/>
    <s v="1019111"/>
    <d v="2023-09-17T06:10:11"/>
    <s v="type40"/>
    <n v="341.22"/>
    <x v="6"/>
    <d v="2023-09-24T06:10:11"/>
    <x v="0"/>
    <d v="2023-10-03T00:00:00"/>
    <n v="15.742928240739275"/>
    <x v="0"/>
    <x v="5"/>
    <n v="8.7429282407392748"/>
    <x v="5"/>
  </r>
  <r>
    <n v="1023"/>
    <s v="1023111"/>
    <d v="2023-09-27T06:10:11"/>
    <s v="type22"/>
    <n v="2406.5500000000002"/>
    <x v="3"/>
    <d v="2023-09-29T06:10:11"/>
    <x v="0"/>
    <d v="2023-10-03T00:00:00"/>
    <n v="5.7429282407392748"/>
    <x v="2"/>
    <x v="13"/>
    <n v="3.7429282407392748"/>
    <x v="13"/>
  </r>
  <r>
    <n v="1030"/>
    <s v="1030111"/>
    <d v="2023-09-16T06:10:11"/>
    <s v="type7"/>
    <n v="-1696.39"/>
    <x v="5"/>
    <d v="2023-09-18T06:10:11"/>
    <x v="4"/>
    <d v="2023-10-03T00:00:00"/>
    <n v="16.742928240739275"/>
    <x v="0"/>
    <x v="6"/>
    <n v="14.742928240739275"/>
    <x v="6"/>
  </r>
  <r>
    <n v="1007"/>
    <s v="1007111"/>
    <d v="2023-09-12T06:10:11"/>
    <s v="type40"/>
    <n v="5955.63"/>
    <x v="2"/>
    <d v="2023-09-13T06:10:11"/>
    <x v="1"/>
    <d v="2023-10-03T00:00:00"/>
    <n v="20.742928240739275"/>
    <x v="0"/>
    <x v="24"/>
    <n v="19.742928240739275"/>
    <x v="24"/>
  </r>
  <r>
    <n v="1023"/>
    <s v="1023111"/>
    <d v="2023-09-19T06:10:11"/>
    <s v="type40"/>
    <n v="-1324.73"/>
    <x v="5"/>
    <d v="2023-09-21T06:10:11"/>
    <x v="0"/>
    <d v="2023-10-03T00:00:00"/>
    <n v="13.742928240739275"/>
    <x v="0"/>
    <x v="1"/>
    <n v="11.742928240739275"/>
    <x v="1"/>
  </r>
  <r>
    <n v="1003"/>
    <s v="1003111"/>
    <d v="2023-09-16T06:10:11"/>
    <s v="type40"/>
    <n v="525.89"/>
    <x v="5"/>
    <d v="2023-09-18T06:10:11"/>
    <x v="3"/>
    <d v="2023-10-03T00:00:00"/>
    <n v="16.742928240739275"/>
    <x v="0"/>
    <x v="6"/>
    <n v="14.742928240739275"/>
    <x v="6"/>
  </r>
  <r>
    <n v="1029"/>
    <s v="1029111"/>
    <d v="2023-09-21T06:10:11"/>
    <s v="type42"/>
    <n v="230"/>
    <x v="4"/>
    <d v="2023-09-23T06:10:11"/>
    <x v="5"/>
    <d v="2023-10-03T00:00:00"/>
    <n v="11.742928240739275"/>
    <x v="0"/>
    <x v="3"/>
    <n v="9.7429282407392748"/>
    <x v="3"/>
  </r>
  <r>
    <n v="1018"/>
    <s v="1018111"/>
    <d v="2023-09-18T06:10:11"/>
    <s v="type40"/>
    <n v="1394.99"/>
    <x v="6"/>
    <d v="2023-09-25T06:10:11"/>
    <x v="0"/>
    <d v="2023-10-03T00:00:00"/>
    <n v="14.742928240739275"/>
    <x v="0"/>
    <x v="11"/>
    <n v="7.7429282407392748"/>
    <x v="11"/>
  </r>
  <r>
    <n v="1022"/>
    <s v="1022111"/>
    <d v="2023-09-15T06:10:11"/>
    <s v="type40"/>
    <n v="-564.96"/>
    <x v="2"/>
    <d v="2023-09-17T06:10:11"/>
    <x v="0"/>
    <d v="2023-10-03T00:00:00"/>
    <n v="17.742928240739275"/>
    <x v="0"/>
    <x v="4"/>
    <n v="15.742928240739275"/>
    <x v="4"/>
  </r>
  <r>
    <n v="1020"/>
    <s v="1020111"/>
    <d v="2023-09-20T06:10:11"/>
    <s v="type13"/>
    <n v="25055.200000000001"/>
    <x v="1"/>
    <d v="2023-09-25T06:10:11"/>
    <x v="0"/>
    <d v="2023-10-03T00:00:00"/>
    <n v="12.742928240739275"/>
    <x v="0"/>
    <x v="11"/>
    <n v="7.7429282407392748"/>
    <x v="11"/>
  </r>
  <r>
    <n v="1022"/>
    <s v="1022111"/>
    <d v="2023-09-21T06:10:11"/>
    <s v="type40"/>
    <n v="-313.7"/>
    <x v="1"/>
    <d v="2023-09-26T06:10:11"/>
    <x v="0"/>
    <d v="2023-10-03T00:00:00"/>
    <n v="11.742928240739275"/>
    <x v="0"/>
    <x v="7"/>
    <n v="6.7429282407392748"/>
    <x v="7"/>
  </r>
  <r>
    <n v="1026"/>
    <s v="1026111"/>
    <d v="2023-09-21T06:10:11"/>
    <s v="type7"/>
    <n v="-1194.56"/>
    <x v="3"/>
    <d v="2023-09-26T06:10:11"/>
    <x v="5"/>
    <d v="2023-10-03T00:00:00"/>
    <n v="11.742928240739275"/>
    <x v="0"/>
    <x v="7"/>
    <n v="6.7429282407392748"/>
    <x v="7"/>
  </r>
  <r>
    <n v="1030"/>
    <s v="1030111"/>
    <d v="2023-09-21T06:10:11"/>
    <s v="type40"/>
    <n v="447.92"/>
    <x v="5"/>
    <d v="2023-09-26T06:10:11"/>
    <x v="4"/>
    <d v="2023-10-03T00:00:00"/>
    <n v="11.742928240739275"/>
    <x v="0"/>
    <x v="7"/>
    <n v="6.7429282407392748"/>
    <x v="7"/>
  </r>
  <r>
    <n v="1001"/>
    <s v="1001111"/>
    <d v="2023-09-22T06:10:11"/>
    <s v="type40"/>
    <n v="686.99"/>
    <x v="6"/>
    <d v="2023-09-29T06:10:11"/>
    <x v="3"/>
    <d v="2023-10-03T00:00:00"/>
    <n v="10.742928240739275"/>
    <x v="0"/>
    <x v="13"/>
    <n v="3.7429282407392748"/>
    <x v="13"/>
  </r>
  <r>
    <n v="1006"/>
    <s v="1006111"/>
    <d v="2023-09-15T06:10:11"/>
    <s v="type40"/>
    <n v="-2107.62"/>
    <x v="6"/>
    <d v="2023-09-16T06:10:11"/>
    <x v="1"/>
    <d v="2023-10-03T00:00:00"/>
    <n v="17.742928240739275"/>
    <x v="0"/>
    <x v="2"/>
    <n v="16.742928240739275"/>
    <x v="2"/>
  </r>
  <r>
    <n v="1002"/>
    <s v="1002111"/>
    <d v="2023-09-21T06:10:11"/>
    <s v="type40"/>
    <n v="4458.1000000000004"/>
    <x v="5"/>
    <d v="2023-09-28T06:10:11"/>
    <x v="3"/>
    <d v="2023-10-03T00:00:00"/>
    <n v="11.742928240739275"/>
    <x v="0"/>
    <x v="8"/>
    <n v="4.7429282407392748"/>
    <x v="8"/>
  </r>
  <r>
    <n v="1032"/>
    <s v="1032111"/>
    <d v="2023-09-20T06:10:11"/>
    <s v="type40"/>
    <n v="-1127.02"/>
    <x v="6"/>
    <d v="2023-09-21T06:10:11"/>
    <x v="4"/>
    <d v="2023-10-03T00:00:00"/>
    <n v="12.742928240739275"/>
    <x v="0"/>
    <x v="1"/>
    <n v="11.742928240739275"/>
    <x v="1"/>
  </r>
  <r>
    <n v="1009"/>
    <s v="1009111"/>
    <d v="2023-09-23T06:10:11"/>
    <s v="type13"/>
    <n v="25348.66"/>
    <x v="5"/>
    <d v="2023-09-30T06:10:11"/>
    <x v="1"/>
    <d v="2023-10-03T00:00:00"/>
    <n v="9.7429282407392748"/>
    <x v="0"/>
    <x v="14"/>
    <n v="2.7429282407392748"/>
    <x v="14"/>
  </r>
  <r>
    <n v="1035"/>
    <s v="1035111"/>
    <d v="2023-09-21T06:10:11"/>
    <s v="type40"/>
    <n v="-500.12"/>
    <x v="2"/>
    <d v="2023-09-23T06:10:11"/>
    <x v="4"/>
    <d v="2023-10-03T00:00:00"/>
    <n v="11.742928240739275"/>
    <x v="0"/>
    <x v="3"/>
    <n v="9.7429282407392748"/>
    <x v="3"/>
  </r>
  <r>
    <n v="1023"/>
    <s v="1023111"/>
    <d v="2023-09-15T06:10:11"/>
    <s v="type40"/>
    <n v="443.98"/>
    <x v="5"/>
    <d v="2023-09-16T06:10:11"/>
    <x v="0"/>
    <d v="2023-10-03T00:00:00"/>
    <n v="17.742928240739275"/>
    <x v="0"/>
    <x v="2"/>
    <n v="16.742928240739275"/>
    <x v="2"/>
  </r>
  <r>
    <n v="1004"/>
    <s v="1004111"/>
    <d v="2023-09-17T06:10:11"/>
    <s v="type40"/>
    <n v="-434.21"/>
    <x v="6"/>
    <d v="2023-09-19T06:10:11"/>
    <x v="3"/>
    <d v="2023-10-03T00:00:00"/>
    <n v="15.742928240739275"/>
    <x v="0"/>
    <x v="19"/>
    <n v="13.742928240739275"/>
    <x v="19"/>
  </r>
  <r>
    <n v="1005"/>
    <s v="1005111"/>
    <d v="2023-09-12T06:10:11"/>
    <s v="type40"/>
    <n v="-741.48"/>
    <x v="1"/>
    <d v="2023-09-19T06:10:11"/>
    <x v="3"/>
    <d v="2023-10-03T00:00:00"/>
    <n v="20.742928240739275"/>
    <x v="0"/>
    <x v="19"/>
    <n v="13.742928240739275"/>
    <x v="19"/>
  </r>
  <r>
    <n v="1001"/>
    <s v="1001111"/>
    <d v="2023-09-19T06:10:11"/>
    <s v="type28"/>
    <n v="175.6"/>
    <x v="5"/>
    <d v="2023-09-21T06:10:11"/>
    <x v="3"/>
    <d v="2023-10-03T00:00:00"/>
    <n v="13.742928240739275"/>
    <x v="0"/>
    <x v="1"/>
    <n v="11.742928240739275"/>
    <x v="1"/>
  </r>
  <r>
    <n v="1008"/>
    <s v="1008111"/>
    <d v="2023-09-21T06:10:11"/>
    <s v="type54"/>
    <n v="-653.67999999999995"/>
    <x v="4"/>
    <d v="2023-09-23T06:10:11"/>
    <x v="1"/>
    <d v="2023-10-03T00:00:00"/>
    <n v="11.742928240739275"/>
    <x v="0"/>
    <x v="3"/>
    <n v="9.7429282407392748"/>
    <x v="3"/>
  </r>
  <r>
    <n v="1026"/>
    <s v="1026111"/>
    <d v="2023-09-18T06:10:11"/>
    <s v="type40"/>
    <n v="2311.09"/>
    <x v="6"/>
    <d v="2023-09-20T06:10:11"/>
    <x v="5"/>
    <d v="2023-10-03T00:00:00"/>
    <n v="14.742928240739275"/>
    <x v="0"/>
    <x v="9"/>
    <n v="12.742928240739275"/>
    <x v="9"/>
  </r>
  <r>
    <n v="1032"/>
    <s v="1032111"/>
    <d v="2023-09-10T06:10:11"/>
    <s v="type13"/>
    <n v="29089"/>
    <x v="4"/>
    <d v="2023-09-15T06:10:11"/>
    <x v="4"/>
    <d v="2023-10-03T00:00:00"/>
    <n v="22.742928240739275"/>
    <x v="0"/>
    <x v="0"/>
    <n v="17.742928240739275"/>
    <x v="0"/>
  </r>
  <r>
    <n v="1034"/>
    <s v="1034111"/>
    <d v="2023-09-16T06:10:11"/>
    <s v="type40"/>
    <n v="540.04999999999995"/>
    <x v="5"/>
    <d v="2023-09-18T06:10:11"/>
    <x v="4"/>
    <d v="2023-10-03T00:00:00"/>
    <n v="16.742928240739275"/>
    <x v="0"/>
    <x v="6"/>
    <n v="14.742928240739275"/>
    <x v="6"/>
  </r>
  <r>
    <n v="1001"/>
    <s v="1001111"/>
    <d v="2023-09-19T06:10:11"/>
    <s v="type13"/>
    <n v="44089.47"/>
    <x v="5"/>
    <d v="2023-09-21T06:10:11"/>
    <x v="3"/>
    <d v="2023-10-03T00:00:00"/>
    <n v="13.742928240739275"/>
    <x v="0"/>
    <x v="1"/>
    <n v="11.742928240739275"/>
    <x v="1"/>
  </r>
  <r>
    <n v="1019"/>
    <s v="1019111"/>
    <d v="2023-09-15T06:10:11"/>
    <s v="type13"/>
    <n v="15262"/>
    <x v="4"/>
    <d v="2023-09-20T06:10:11"/>
    <x v="0"/>
    <d v="2023-10-03T00:00:00"/>
    <n v="17.742928240739275"/>
    <x v="0"/>
    <x v="9"/>
    <n v="12.742928240739275"/>
    <x v="9"/>
  </r>
  <r>
    <n v="1012"/>
    <s v="1012111"/>
    <d v="2023-09-18T06:10:11"/>
    <s v="type40"/>
    <n v="-540.36"/>
    <x v="2"/>
    <d v="2023-09-23T06:10:11"/>
    <x v="2"/>
    <d v="2023-10-03T00:00:00"/>
    <n v="14.742928240739275"/>
    <x v="0"/>
    <x v="3"/>
    <n v="9.7429282407392748"/>
    <x v="3"/>
  </r>
  <r>
    <n v="1010"/>
    <s v="1010111"/>
    <d v="2023-09-17T06:10:11"/>
    <s v="type40"/>
    <n v="2087.7399999999998"/>
    <x v="3"/>
    <d v="2023-09-24T06:10:11"/>
    <x v="1"/>
    <d v="2023-10-03T00:00:00"/>
    <n v="15.742928240739275"/>
    <x v="0"/>
    <x v="5"/>
    <n v="8.7429282407392748"/>
    <x v="5"/>
  </r>
  <r>
    <n v="1009"/>
    <s v="1009111"/>
    <d v="2023-09-20T06:10:11"/>
    <s v="type40"/>
    <n v="-686.38"/>
    <x v="6"/>
    <d v="2023-09-22T06:10:11"/>
    <x v="1"/>
    <d v="2023-10-03T00:00:00"/>
    <n v="12.742928240739275"/>
    <x v="0"/>
    <x v="10"/>
    <n v="10.742928240739275"/>
    <x v="10"/>
  </r>
  <r>
    <n v="1004"/>
    <s v="1004111"/>
    <d v="2023-09-23T06:10:11"/>
    <s v="type6"/>
    <n v="67"/>
    <x v="5"/>
    <d v="2023-09-25T06:10:11"/>
    <x v="3"/>
    <d v="2023-10-03T00:00:00"/>
    <n v="9.7429282407392748"/>
    <x v="0"/>
    <x v="11"/>
    <n v="7.7429282407392748"/>
    <x v="11"/>
  </r>
  <r>
    <n v="1017"/>
    <s v="1017111"/>
    <d v="2023-09-21T06:10:11"/>
    <s v="type40"/>
    <n v="-475.65"/>
    <x v="6"/>
    <d v="2023-09-28T06:10:11"/>
    <x v="2"/>
    <d v="2023-10-03T00:00:00"/>
    <n v="11.742928240739275"/>
    <x v="0"/>
    <x v="8"/>
    <n v="4.7429282407392748"/>
    <x v="8"/>
  </r>
  <r>
    <n v="1001"/>
    <s v="1001111"/>
    <d v="2023-09-10T06:10:11"/>
    <s v="type13"/>
    <n v="27938.36"/>
    <x v="5"/>
    <d v="2023-09-15T06:10:11"/>
    <x v="3"/>
    <d v="2023-10-03T00:00:00"/>
    <n v="22.742928240739275"/>
    <x v="0"/>
    <x v="0"/>
    <n v="17.742928240739275"/>
    <x v="0"/>
  </r>
  <r>
    <n v="1001"/>
    <s v="1001111"/>
    <d v="2023-09-20T06:10:11"/>
    <s v="type40"/>
    <n v="-382.16"/>
    <x v="3"/>
    <d v="2023-09-21T06:10:11"/>
    <x v="3"/>
    <d v="2023-10-03T00:00:00"/>
    <n v="12.742928240739275"/>
    <x v="0"/>
    <x v="1"/>
    <n v="11.742928240739275"/>
    <x v="1"/>
  </r>
  <r>
    <n v="1035"/>
    <s v="1035111"/>
    <d v="2023-09-21T06:10:11"/>
    <s v="type40"/>
    <n v="-503.21"/>
    <x v="3"/>
    <d v="2023-09-22T06:10:11"/>
    <x v="4"/>
    <d v="2023-10-03T00:00:00"/>
    <n v="11.742928240739275"/>
    <x v="0"/>
    <x v="10"/>
    <n v="10.742928240739275"/>
    <x v="10"/>
  </r>
  <r>
    <n v="1023"/>
    <s v="1023111"/>
    <d v="2023-09-18T06:10:11"/>
    <s v="type40"/>
    <n v="-632.11"/>
    <x v="4"/>
    <d v="2023-09-25T06:10:11"/>
    <x v="0"/>
    <d v="2023-10-03T00:00:00"/>
    <n v="14.742928240739275"/>
    <x v="0"/>
    <x v="11"/>
    <n v="7.7429282407392748"/>
    <x v="11"/>
  </r>
  <r>
    <n v="1017"/>
    <s v="1017111"/>
    <d v="2023-09-22T06:10:11"/>
    <s v="type40"/>
    <n v="876.47"/>
    <x v="1"/>
    <d v="2023-09-23T06:10:11"/>
    <x v="2"/>
    <d v="2023-10-03T00:00:00"/>
    <n v="10.742928240739275"/>
    <x v="0"/>
    <x v="3"/>
    <n v="9.7429282407392748"/>
    <x v="3"/>
  </r>
  <r>
    <n v="1026"/>
    <s v="1026111"/>
    <d v="2023-09-21T06:10:11"/>
    <s v="type26"/>
    <n v="266.94"/>
    <x v="6"/>
    <d v="2023-09-28T06:10:11"/>
    <x v="5"/>
    <d v="2023-10-03T00:00:00"/>
    <n v="11.742928240739275"/>
    <x v="0"/>
    <x v="8"/>
    <n v="4.7429282407392748"/>
    <x v="8"/>
  </r>
  <r>
    <n v="1032"/>
    <s v="1032111"/>
    <d v="2023-09-21T06:10:11"/>
    <s v="type40"/>
    <n v="-696.65"/>
    <x v="2"/>
    <d v="2023-09-26T06:10:11"/>
    <x v="4"/>
    <d v="2023-10-03T00:00:00"/>
    <n v="11.742928240739275"/>
    <x v="0"/>
    <x v="7"/>
    <n v="6.7429282407392748"/>
    <x v="7"/>
  </r>
  <r>
    <n v="1010"/>
    <s v="1010111"/>
    <d v="2023-09-15T06:10:11"/>
    <s v="type5"/>
    <n v="572.42999999999995"/>
    <x v="5"/>
    <d v="2023-09-20T06:10:11"/>
    <x v="1"/>
    <d v="2023-10-03T00:00:00"/>
    <n v="17.742928240739275"/>
    <x v="0"/>
    <x v="9"/>
    <n v="12.742928240739275"/>
    <x v="9"/>
  </r>
  <r>
    <n v="1018"/>
    <s v="1018111"/>
    <d v="2023-09-21T06:10:11"/>
    <s v="type40"/>
    <n v="-704.24"/>
    <x v="6"/>
    <d v="2023-09-22T06:10:11"/>
    <x v="0"/>
    <d v="2023-10-03T00:00:00"/>
    <n v="11.742928240739275"/>
    <x v="0"/>
    <x v="10"/>
    <n v="10.742928240739275"/>
    <x v="10"/>
  </r>
  <r>
    <n v="1024"/>
    <s v="1024111"/>
    <d v="2023-09-14T06:10:11"/>
    <s v="type40"/>
    <n v="304.87"/>
    <x v="6"/>
    <d v="2023-09-16T06:10:11"/>
    <x v="5"/>
    <d v="2023-10-03T00:00:00"/>
    <n v="18.742928240739275"/>
    <x v="0"/>
    <x v="2"/>
    <n v="16.742928240739275"/>
    <x v="2"/>
  </r>
  <r>
    <n v="1022"/>
    <s v="1022111"/>
    <d v="2023-09-28T06:10:11"/>
    <s v="type40"/>
    <n v="-707.5"/>
    <x v="1"/>
    <d v="2023-09-29T06:10:11"/>
    <x v="0"/>
    <d v="2023-10-03T00:00:00"/>
    <n v="4.7429282407392748"/>
    <x v="2"/>
    <x v="13"/>
    <n v="3.7429282407392748"/>
    <x v="13"/>
  </r>
  <r>
    <n v="1014"/>
    <s v="1014111"/>
    <d v="2023-09-16T06:10:11"/>
    <s v="type40"/>
    <n v="484.08"/>
    <x v="3"/>
    <d v="2023-09-17T06:10:11"/>
    <x v="2"/>
    <d v="2023-10-03T00:00:00"/>
    <n v="16.742928240739275"/>
    <x v="0"/>
    <x v="4"/>
    <n v="15.742928240739275"/>
    <x v="4"/>
  </r>
  <r>
    <n v="1006"/>
    <s v="1006111"/>
    <d v="2023-09-20T06:10:11"/>
    <s v="type40"/>
    <n v="909.34"/>
    <x v="4"/>
    <d v="2023-09-27T06:10:11"/>
    <x v="1"/>
    <d v="2023-10-03T00:00:00"/>
    <n v="12.742928240739275"/>
    <x v="0"/>
    <x v="12"/>
    <n v="5.7429282407392748"/>
    <x v="12"/>
  </r>
  <r>
    <n v="1017"/>
    <s v="1017111"/>
    <d v="2023-09-18T06:10:11"/>
    <s v="type40"/>
    <n v="635.19000000000005"/>
    <x v="3"/>
    <d v="2023-09-19T06:10:11"/>
    <x v="2"/>
    <d v="2023-10-03T00:00:00"/>
    <n v="14.742928240739275"/>
    <x v="0"/>
    <x v="19"/>
    <n v="13.742928240739275"/>
    <x v="19"/>
  </r>
  <r>
    <n v="1032"/>
    <s v="1032111"/>
    <d v="2023-09-21T06:10:11"/>
    <s v="type40"/>
    <n v="-1038.04"/>
    <x v="4"/>
    <d v="2023-09-22T06:10:11"/>
    <x v="4"/>
    <d v="2023-10-03T00:00:00"/>
    <n v="11.742928240739275"/>
    <x v="0"/>
    <x v="10"/>
    <n v="10.742928240739275"/>
    <x v="10"/>
  </r>
  <r>
    <n v="1009"/>
    <s v="1009111"/>
    <d v="2023-09-19T06:10:11"/>
    <s v="type40"/>
    <n v="374.33"/>
    <x v="1"/>
    <d v="2023-09-21T06:10:11"/>
    <x v="1"/>
    <d v="2023-10-03T00:00:00"/>
    <n v="13.742928240739275"/>
    <x v="0"/>
    <x v="1"/>
    <n v="11.742928240739275"/>
    <x v="1"/>
  </r>
  <r>
    <n v="1019"/>
    <s v="1019111"/>
    <d v="2023-09-21T06:10:11"/>
    <s v="type40"/>
    <n v="475.09"/>
    <x v="4"/>
    <d v="2023-09-26T06:10:11"/>
    <x v="0"/>
    <d v="2023-10-03T00:00:00"/>
    <n v="11.742928240739275"/>
    <x v="0"/>
    <x v="7"/>
    <n v="6.7429282407392748"/>
    <x v="7"/>
  </r>
  <r>
    <n v="1027"/>
    <s v="1027111"/>
    <d v="2023-09-10T06:10:11"/>
    <s v="type40"/>
    <n v="-502.61"/>
    <x v="4"/>
    <d v="2023-09-17T06:10:11"/>
    <x v="5"/>
    <d v="2023-10-03T00:00:00"/>
    <n v="22.742928240739275"/>
    <x v="0"/>
    <x v="4"/>
    <n v="15.742928240739275"/>
    <x v="4"/>
  </r>
  <r>
    <n v="1020"/>
    <s v="1020111"/>
    <d v="2023-09-22T06:10:11"/>
    <s v="type40"/>
    <n v="691.05"/>
    <x v="2"/>
    <d v="2023-09-27T06:10:11"/>
    <x v="0"/>
    <d v="2023-10-03T00:00:00"/>
    <n v="10.742928240739275"/>
    <x v="0"/>
    <x v="12"/>
    <n v="5.7429282407392748"/>
    <x v="12"/>
  </r>
  <r>
    <n v="1007"/>
    <s v="1007111"/>
    <d v="2023-09-16T06:10:11"/>
    <s v="type13"/>
    <n v="21343.35"/>
    <x v="5"/>
    <d v="2023-09-23T06:10:11"/>
    <x v="1"/>
    <d v="2023-10-03T00:00:00"/>
    <n v="16.742928240739275"/>
    <x v="0"/>
    <x v="3"/>
    <n v="9.7429282407392748"/>
    <x v="3"/>
  </r>
  <r>
    <n v="1022"/>
    <s v="1022111"/>
    <d v="2023-09-22T06:10:11"/>
    <s v="type40"/>
    <n v="-941.66"/>
    <x v="3"/>
    <d v="2023-09-24T06:10:11"/>
    <x v="0"/>
    <d v="2023-10-03T00:00:00"/>
    <n v="10.742928240739275"/>
    <x v="0"/>
    <x v="5"/>
    <n v="8.7429282407392748"/>
    <x v="5"/>
  </r>
  <r>
    <n v="1019"/>
    <s v="1019111"/>
    <d v="2023-09-23T06:10:11"/>
    <s v="type40"/>
    <n v="1163.6500000000001"/>
    <x v="1"/>
    <d v="2023-09-25T06:10:11"/>
    <x v="0"/>
    <d v="2023-10-03T00:00:00"/>
    <n v="9.7429282407392748"/>
    <x v="0"/>
    <x v="11"/>
    <n v="7.7429282407392748"/>
    <x v="11"/>
  </r>
  <r>
    <n v="1003"/>
    <s v="1003111"/>
    <d v="2023-09-24T06:10:11"/>
    <s v="type40"/>
    <n v="-907.24"/>
    <x v="3"/>
    <d v="2023-09-26T06:10:11"/>
    <x v="3"/>
    <d v="2023-10-03T00:00:00"/>
    <n v="8.7429282407392748"/>
    <x v="1"/>
    <x v="7"/>
    <n v="6.7429282407392748"/>
    <x v="7"/>
  </r>
  <r>
    <n v="1016"/>
    <s v="1016111"/>
    <d v="2023-09-17T06:10:11"/>
    <s v="type13"/>
    <n v="26246.14"/>
    <x v="5"/>
    <d v="2023-09-24T06:10:11"/>
    <x v="2"/>
    <d v="2023-10-03T00:00:00"/>
    <n v="15.742928240739275"/>
    <x v="0"/>
    <x v="5"/>
    <n v="8.7429282407392748"/>
    <x v="5"/>
  </r>
  <r>
    <n v="1004"/>
    <s v="1004111"/>
    <d v="2023-09-26T06:10:11"/>
    <s v="type40"/>
    <n v="750.49"/>
    <x v="1"/>
    <d v="2023-09-28T06:10:11"/>
    <x v="3"/>
    <d v="2023-10-03T00:00:00"/>
    <n v="6.7429282407392748"/>
    <x v="1"/>
    <x v="8"/>
    <n v="4.7429282407392748"/>
    <x v="8"/>
  </r>
  <r>
    <n v="1010"/>
    <s v="1010111"/>
    <d v="2023-09-27T06:10:11"/>
    <s v="type40"/>
    <n v="20.16"/>
    <x v="1"/>
    <d v="2023-09-29T06:10:11"/>
    <x v="1"/>
    <d v="2023-10-03T00:00:00"/>
    <n v="5.7429282407392748"/>
    <x v="2"/>
    <x v="13"/>
    <n v="3.7429282407392748"/>
    <x v="13"/>
  </r>
  <r>
    <n v="1026"/>
    <s v="1026111"/>
    <d v="2023-09-14T06:10:11"/>
    <s v="type40"/>
    <n v="-666.29"/>
    <x v="2"/>
    <d v="2023-09-21T06:10:11"/>
    <x v="5"/>
    <d v="2023-10-03T00:00:00"/>
    <n v="18.742928240739275"/>
    <x v="0"/>
    <x v="1"/>
    <n v="11.742928240739275"/>
    <x v="1"/>
  </r>
  <r>
    <n v="1033"/>
    <s v="1033111"/>
    <d v="2023-09-15T06:10:11"/>
    <s v="type40"/>
    <n v="366.97"/>
    <x v="6"/>
    <d v="2023-09-17T06:10:11"/>
    <x v="4"/>
    <d v="2023-10-03T00:00:00"/>
    <n v="17.742928240739275"/>
    <x v="0"/>
    <x v="4"/>
    <n v="15.742928240739275"/>
    <x v="4"/>
  </r>
  <r>
    <n v="1006"/>
    <s v="1006111"/>
    <d v="2023-09-12T06:10:11"/>
    <s v="type38"/>
    <n v="221.91"/>
    <x v="4"/>
    <d v="2023-09-19T06:10:11"/>
    <x v="1"/>
    <d v="2023-10-03T00:00:00"/>
    <n v="20.742928240739275"/>
    <x v="0"/>
    <x v="19"/>
    <n v="13.742928240739275"/>
    <x v="19"/>
  </r>
  <r>
    <n v="1003"/>
    <s v="1003111"/>
    <d v="2023-09-18T06:10:11"/>
    <s v="type40"/>
    <n v="-387.32"/>
    <x v="6"/>
    <d v="2023-09-20T06:10:11"/>
    <x v="3"/>
    <d v="2023-10-03T00:00:00"/>
    <n v="14.742928240739275"/>
    <x v="0"/>
    <x v="9"/>
    <n v="12.742928240739275"/>
    <x v="9"/>
  </r>
  <r>
    <n v="1002"/>
    <s v="1002111"/>
    <d v="2023-09-13T06:10:11"/>
    <s v="type40"/>
    <n v="17.829999999999998"/>
    <x v="1"/>
    <d v="2023-09-15T06:10:11"/>
    <x v="3"/>
    <d v="2023-10-03T00:00:00"/>
    <n v="19.742928240739275"/>
    <x v="0"/>
    <x v="0"/>
    <n v="17.742928240739275"/>
    <x v="0"/>
  </r>
  <r>
    <n v="1024"/>
    <s v="1024111"/>
    <d v="2023-09-20T06:10:11"/>
    <s v="type40"/>
    <n v="-4257.59"/>
    <x v="2"/>
    <d v="2023-09-21T06:10:11"/>
    <x v="5"/>
    <d v="2023-10-03T00:00:00"/>
    <n v="12.742928240739275"/>
    <x v="0"/>
    <x v="1"/>
    <n v="11.742928240739275"/>
    <x v="1"/>
  </r>
  <r>
    <n v="1031"/>
    <s v="1031111"/>
    <d v="2023-09-18T06:10:11"/>
    <s v="type40"/>
    <n v="-1004.3"/>
    <x v="6"/>
    <d v="2023-09-20T06:10:11"/>
    <x v="4"/>
    <d v="2023-10-03T00:00:00"/>
    <n v="14.742928240739275"/>
    <x v="0"/>
    <x v="9"/>
    <n v="12.742928240739275"/>
    <x v="9"/>
  </r>
  <r>
    <n v="1029"/>
    <s v="1029111"/>
    <d v="2023-09-15T06:10:11"/>
    <s v="type38"/>
    <n v="309.06"/>
    <x v="4"/>
    <d v="2023-09-22T06:10:11"/>
    <x v="5"/>
    <d v="2023-10-03T00:00:00"/>
    <n v="17.742928240739275"/>
    <x v="0"/>
    <x v="10"/>
    <n v="10.742928240739275"/>
    <x v="10"/>
  </r>
  <r>
    <n v="1030"/>
    <s v="1030111"/>
    <d v="2023-09-15T06:10:11"/>
    <s v="type13"/>
    <n v="21035.93"/>
    <x v="1"/>
    <d v="2023-09-17T06:10:11"/>
    <x v="4"/>
    <d v="2023-10-03T00:00:00"/>
    <n v="17.742928240739275"/>
    <x v="0"/>
    <x v="4"/>
    <n v="15.742928240739275"/>
    <x v="4"/>
  </r>
  <r>
    <n v="1031"/>
    <s v="1031111"/>
    <d v="2023-09-16T06:10:11"/>
    <s v="type40"/>
    <n v="-387.77"/>
    <x v="4"/>
    <d v="2023-09-23T06:10:11"/>
    <x v="4"/>
    <d v="2023-10-03T00:00:00"/>
    <n v="16.742928240739275"/>
    <x v="0"/>
    <x v="3"/>
    <n v="9.7429282407392748"/>
    <x v="3"/>
  </r>
  <r>
    <n v="1035"/>
    <s v="1035111"/>
    <d v="2023-09-17T06:10:11"/>
    <s v="type2"/>
    <n v="1796"/>
    <x v="5"/>
    <d v="2023-09-18T06:10:11"/>
    <x v="4"/>
    <d v="2023-10-03T00:00:00"/>
    <n v="15.742928240739275"/>
    <x v="0"/>
    <x v="6"/>
    <n v="14.742928240739275"/>
    <x v="6"/>
  </r>
  <r>
    <n v="1024"/>
    <s v="1024111"/>
    <d v="2023-09-16T06:10:11"/>
    <s v="type40"/>
    <n v="370.05"/>
    <x v="4"/>
    <d v="2023-09-17T06:10:11"/>
    <x v="5"/>
    <d v="2023-10-03T00:00:00"/>
    <n v="16.742928240739275"/>
    <x v="0"/>
    <x v="4"/>
    <n v="15.742928240739275"/>
    <x v="4"/>
  </r>
  <r>
    <n v="1003"/>
    <s v="1003111"/>
    <d v="2023-09-17T06:10:11"/>
    <s v="type13"/>
    <n v="23574.63"/>
    <x v="3"/>
    <d v="2023-09-22T06:10:11"/>
    <x v="3"/>
    <d v="2023-10-03T00:00:00"/>
    <n v="15.742928240739275"/>
    <x v="0"/>
    <x v="10"/>
    <n v="10.742928240739275"/>
    <x v="10"/>
  </r>
  <r>
    <n v="1002"/>
    <s v="1002111"/>
    <d v="2023-09-17T06:10:11"/>
    <s v="type40"/>
    <n v="1025.1300000000001"/>
    <x v="4"/>
    <d v="2023-09-19T06:10:11"/>
    <x v="3"/>
    <d v="2023-10-03T00:00:00"/>
    <n v="15.742928240739275"/>
    <x v="0"/>
    <x v="19"/>
    <n v="13.742928240739275"/>
    <x v="19"/>
  </r>
  <r>
    <n v="1016"/>
    <s v="1016111"/>
    <d v="2023-09-21T06:10:11"/>
    <s v="type13"/>
    <n v="15307.42"/>
    <x v="6"/>
    <d v="2023-09-28T06:10:11"/>
    <x v="2"/>
    <d v="2023-10-03T00:00:00"/>
    <n v="11.742928240739275"/>
    <x v="0"/>
    <x v="8"/>
    <n v="4.7429282407392748"/>
    <x v="8"/>
  </r>
  <r>
    <n v="1026"/>
    <s v="1026111"/>
    <d v="2023-09-18T06:10:11"/>
    <s v="type40"/>
    <n v="-1353.38"/>
    <x v="4"/>
    <d v="2023-09-23T06:10:11"/>
    <x v="5"/>
    <d v="2023-10-03T00:00:00"/>
    <n v="14.742928240739275"/>
    <x v="0"/>
    <x v="3"/>
    <n v="9.7429282407392748"/>
    <x v="3"/>
  </r>
  <r>
    <n v="1027"/>
    <s v="1027111"/>
    <d v="2023-09-14T06:10:11"/>
    <s v="type40"/>
    <n v="-503.59"/>
    <x v="6"/>
    <d v="2023-09-21T06:10:11"/>
    <x v="5"/>
    <d v="2023-10-03T00:00:00"/>
    <n v="18.742928240739275"/>
    <x v="0"/>
    <x v="1"/>
    <n v="11.742928240739275"/>
    <x v="1"/>
  </r>
  <r>
    <n v="1019"/>
    <s v="1019111"/>
    <d v="2023-09-21T06:10:11"/>
    <s v="type40"/>
    <n v="-5434.58"/>
    <x v="2"/>
    <d v="2023-09-22T06:10:11"/>
    <x v="0"/>
    <d v="2023-10-03T00:00:00"/>
    <n v="11.742928240739275"/>
    <x v="0"/>
    <x v="10"/>
    <n v="10.742928240739275"/>
    <x v="10"/>
  </r>
  <r>
    <n v="1003"/>
    <s v="1003111"/>
    <d v="2023-09-15T06:10:11"/>
    <s v="type13"/>
    <n v="29008.97"/>
    <x v="6"/>
    <d v="2023-09-16T06:10:11"/>
    <x v="3"/>
    <d v="2023-10-03T00:00:00"/>
    <n v="17.742928240739275"/>
    <x v="0"/>
    <x v="2"/>
    <n v="16.742928240739275"/>
    <x v="2"/>
  </r>
  <r>
    <n v="1031"/>
    <s v="1031111"/>
    <d v="2023-09-18T06:10:11"/>
    <s v="type40"/>
    <n v="-558.64"/>
    <x v="5"/>
    <d v="2023-09-19T06:10:11"/>
    <x v="4"/>
    <d v="2023-10-03T00:00:00"/>
    <n v="14.742928240739275"/>
    <x v="0"/>
    <x v="19"/>
    <n v="13.742928240739275"/>
    <x v="19"/>
  </r>
  <r>
    <n v="1017"/>
    <s v="1017111"/>
    <d v="2023-09-22T06:10:11"/>
    <s v="type40"/>
    <n v="-2523.94"/>
    <x v="4"/>
    <d v="2023-09-27T06:10:11"/>
    <x v="2"/>
    <d v="2023-10-03T00:00:00"/>
    <n v="10.742928240739275"/>
    <x v="0"/>
    <x v="12"/>
    <n v="5.7429282407392748"/>
    <x v="12"/>
  </r>
  <r>
    <n v="1016"/>
    <s v="1016111"/>
    <d v="2023-09-22T06:10:11"/>
    <s v="type13"/>
    <n v="45166.85"/>
    <x v="4"/>
    <d v="2023-09-27T06:10:11"/>
    <x v="2"/>
    <d v="2023-10-03T00:00:00"/>
    <n v="10.742928240739275"/>
    <x v="0"/>
    <x v="12"/>
    <n v="5.7429282407392748"/>
    <x v="12"/>
  </r>
  <r>
    <n v="1017"/>
    <s v="1017111"/>
    <d v="2023-09-24T06:10:11"/>
    <s v="type40"/>
    <n v="323.43"/>
    <x v="1"/>
    <d v="2023-10-01T06:10:11"/>
    <x v="2"/>
    <d v="2023-10-03T00:00:00"/>
    <n v="8.7429282407392748"/>
    <x v="1"/>
    <x v="22"/>
    <n v="1.7429282407392748"/>
    <x v="22"/>
  </r>
  <r>
    <n v="1013"/>
    <s v="1013111"/>
    <d v="2023-09-21T06:10:11"/>
    <s v="type17"/>
    <n v="363.35"/>
    <x v="2"/>
    <d v="2023-09-22T06:10:11"/>
    <x v="2"/>
    <d v="2023-10-03T00:00:00"/>
    <n v="11.742928240739275"/>
    <x v="0"/>
    <x v="10"/>
    <n v="10.742928240739275"/>
    <x v="10"/>
  </r>
  <r>
    <n v="1000"/>
    <s v="1000111"/>
    <d v="2023-09-26T06:10:11"/>
    <s v="type40"/>
    <n v="-384.93"/>
    <x v="1"/>
    <d v="2023-10-03T06:10:11"/>
    <x v="3"/>
    <d v="2023-10-03T00:00:00"/>
    <n v="6.7429282407392748"/>
    <x v="1"/>
    <x v="16"/>
    <n v="-0.25707175926072523"/>
    <x v="16"/>
  </r>
  <r>
    <n v="1019"/>
    <s v="1019111"/>
    <d v="2023-09-21T06:10:11"/>
    <s v="type40"/>
    <n v="354.53"/>
    <x v="2"/>
    <d v="2023-09-23T06:10:11"/>
    <x v="0"/>
    <d v="2023-10-03T00:00:00"/>
    <n v="11.742928240739275"/>
    <x v="0"/>
    <x v="3"/>
    <n v="9.7429282407392748"/>
    <x v="3"/>
  </r>
  <r>
    <n v="1023"/>
    <s v="1023111"/>
    <d v="2023-09-13T06:10:11"/>
    <s v="type4"/>
    <n v="2"/>
    <x v="4"/>
    <d v="2023-09-20T06:10:11"/>
    <x v="0"/>
    <d v="2023-10-03T00:00:00"/>
    <n v="19.742928240739275"/>
    <x v="0"/>
    <x v="9"/>
    <n v="12.742928240739275"/>
    <x v="9"/>
  </r>
  <r>
    <n v="1007"/>
    <s v="1007111"/>
    <d v="2023-09-16T06:10:11"/>
    <s v="type9"/>
    <n v="6625"/>
    <x v="3"/>
    <d v="2023-09-23T06:10:11"/>
    <x v="1"/>
    <d v="2023-10-03T00:00:00"/>
    <n v="16.742928240739275"/>
    <x v="0"/>
    <x v="3"/>
    <n v="9.7429282407392748"/>
    <x v="3"/>
  </r>
  <r>
    <n v="1034"/>
    <s v="1034111"/>
    <d v="2023-09-17T06:10:11"/>
    <s v="type40"/>
    <n v="-358.47"/>
    <x v="1"/>
    <d v="2023-09-24T06:10:11"/>
    <x v="4"/>
    <d v="2023-10-03T00:00:00"/>
    <n v="15.742928240739275"/>
    <x v="0"/>
    <x v="5"/>
    <n v="8.7429282407392748"/>
    <x v="5"/>
  </r>
  <r>
    <n v="1026"/>
    <s v="1026111"/>
    <d v="2023-09-21T06:10:11"/>
    <s v="type40"/>
    <n v="-1812.55"/>
    <x v="5"/>
    <d v="2023-09-23T06:10:11"/>
    <x v="5"/>
    <d v="2023-10-03T00:00:00"/>
    <n v="11.742928240739275"/>
    <x v="0"/>
    <x v="3"/>
    <n v="9.7429282407392748"/>
    <x v="3"/>
  </r>
  <r>
    <n v="1029"/>
    <s v="1029111"/>
    <d v="2023-09-13T06:10:11"/>
    <s v="type40"/>
    <n v="-941.25"/>
    <x v="5"/>
    <d v="2023-09-15T06:10:11"/>
    <x v="5"/>
    <d v="2023-10-03T00:00:00"/>
    <n v="19.742928240739275"/>
    <x v="0"/>
    <x v="0"/>
    <n v="17.742928240739275"/>
    <x v="0"/>
  </r>
  <r>
    <n v="1001"/>
    <s v="1001111"/>
    <d v="2023-09-19T06:10:11"/>
    <s v="type35"/>
    <n v="1262.02"/>
    <x v="1"/>
    <d v="2023-09-26T06:10:11"/>
    <x v="3"/>
    <d v="2023-10-03T00:00:00"/>
    <n v="13.742928240739275"/>
    <x v="0"/>
    <x v="7"/>
    <n v="6.7429282407392748"/>
    <x v="7"/>
  </r>
  <r>
    <n v="1024"/>
    <s v="1024111"/>
    <d v="2023-09-20T06:10:11"/>
    <s v="type40"/>
    <n v="345.5"/>
    <x v="3"/>
    <d v="2023-09-27T06:10:11"/>
    <x v="5"/>
    <d v="2023-10-03T00:00:00"/>
    <n v="12.742928240739275"/>
    <x v="0"/>
    <x v="12"/>
    <n v="5.7429282407392748"/>
    <x v="12"/>
  </r>
  <r>
    <n v="1013"/>
    <s v="1013111"/>
    <d v="2023-09-20T06:10:11"/>
    <s v="type7"/>
    <n v="-1527.83"/>
    <x v="3"/>
    <d v="2023-09-27T06:10:11"/>
    <x v="2"/>
    <d v="2023-10-03T00:00:00"/>
    <n v="12.742928240739275"/>
    <x v="0"/>
    <x v="12"/>
    <n v="5.7429282407392748"/>
    <x v="12"/>
  </r>
  <r>
    <n v="1017"/>
    <s v="1017111"/>
    <d v="2023-09-21T06:10:11"/>
    <s v="type40"/>
    <n v="334.26"/>
    <x v="3"/>
    <d v="2023-09-28T06:10:11"/>
    <x v="2"/>
    <d v="2023-10-03T00:00:00"/>
    <n v="11.742928240739275"/>
    <x v="0"/>
    <x v="8"/>
    <n v="4.7429282407392748"/>
    <x v="8"/>
  </r>
  <r>
    <n v="1028"/>
    <s v="1028111"/>
    <d v="2023-09-21T06:10:11"/>
    <s v="type40"/>
    <n v="491.03"/>
    <x v="1"/>
    <d v="2023-09-28T06:10:11"/>
    <x v="5"/>
    <d v="2023-10-03T00:00:00"/>
    <n v="11.742928240739275"/>
    <x v="0"/>
    <x v="8"/>
    <n v="4.7429282407392748"/>
    <x v="8"/>
  </r>
  <r>
    <n v="1001"/>
    <s v="1001111"/>
    <d v="2023-09-22T06:10:11"/>
    <s v="type40"/>
    <n v="-456.5"/>
    <x v="2"/>
    <d v="2023-09-24T06:10:11"/>
    <x v="3"/>
    <d v="2023-10-03T00:00:00"/>
    <n v="10.742928240739275"/>
    <x v="0"/>
    <x v="5"/>
    <n v="8.7429282407392748"/>
    <x v="5"/>
  </r>
  <r>
    <n v="1026"/>
    <s v="1026111"/>
    <d v="2023-09-17T06:10:11"/>
    <s v="type40"/>
    <n v="529.05999999999995"/>
    <x v="5"/>
    <d v="2023-09-19T06:10:11"/>
    <x v="5"/>
    <d v="2023-10-03T00:00:00"/>
    <n v="15.742928240739275"/>
    <x v="0"/>
    <x v="19"/>
    <n v="13.742928240739275"/>
    <x v="19"/>
  </r>
  <r>
    <n v="1003"/>
    <s v="1003111"/>
    <d v="2023-09-24T06:10:11"/>
    <s v="type40"/>
    <n v="-302.82"/>
    <x v="1"/>
    <d v="2023-09-25T06:10:11"/>
    <x v="3"/>
    <d v="2023-10-03T00:00:00"/>
    <n v="8.7429282407392748"/>
    <x v="1"/>
    <x v="11"/>
    <n v="7.7429282407392748"/>
    <x v="11"/>
  </r>
  <r>
    <n v="1027"/>
    <s v="1027111"/>
    <d v="2023-09-10T06:10:11"/>
    <s v="type40"/>
    <n v="-396.51"/>
    <x v="2"/>
    <d v="2023-09-12T06:10:11"/>
    <x v="5"/>
    <d v="2023-10-03T00:00:00"/>
    <n v="22.742928240739275"/>
    <x v="0"/>
    <x v="18"/>
    <n v="20.742928240739275"/>
    <x v="18"/>
  </r>
  <r>
    <n v="1010"/>
    <s v="1010111"/>
    <d v="2023-09-17T06:10:11"/>
    <s v="type40"/>
    <n v="25.13"/>
    <x v="5"/>
    <d v="2023-09-22T06:10:11"/>
    <x v="1"/>
    <d v="2023-10-03T00:00:00"/>
    <n v="15.742928240739275"/>
    <x v="0"/>
    <x v="10"/>
    <n v="10.742928240739275"/>
    <x v="10"/>
  </r>
  <r>
    <n v="1000"/>
    <s v="1000111"/>
    <d v="2023-09-20T06:10:11"/>
    <s v="type10"/>
    <n v="55"/>
    <x v="5"/>
    <d v="2023-09-25T06:10:11"/>
    <x v="3"/>
    <d v="2023-10-03T00:00:00"/>
    <n v="12.742928240739275"/>
    <x v="0"/>
    <x v="11"/>
    <n v="7.7429282407392748"/>
    <x v="11"/>
  </r>
  <r>
    <n v="1004"/>
    <s v="1004111"/>
    <d v="2023-09-28T06:10:11"/>
    <s v="type40"/>
    <n v="-450.46"/>
    <x v="3"/>
    <d v="2023-09-29T06:10:11"/>
    <x v="3"/>
    <d v="2023-10-03T00:00:00"/>
    <n v="4.7429282407392748"/>
    <x v="2"/>
    <x v="13"/>
    <n v="3.7429282407392748"/>
    <x v="13"/>
  </r>
  <r>
    <n v="1008"/>
    <s v="1008111"/>
    <d v="2023-09-10T06:10:11"/>
    <s v="type40"/>
    <n v="977.44"/>
    <x v="3"/>
    <d v="2023-09-11T06:10:11"/>
    <x v="1"/>
    <d v="2023-10-03T00:00:00"/>
    <n v="22.742928240739275"/>
    <x v="0"/>
    <x v="21"/>
    <n v="21.742928240739275"/>
    <x v="21"/>
  </r>
  <r>
    <n v="1003"/>
    <s v="1003111"/>
    <d v="2023-09-18T06:10:11"/>
    <s v="type13"/>
    <n v="27124"/>
    <x v="4"/>
    <d v="2023-09-19T06:10:11"/>
    <x v="3"/>
    <d v="2023-10-03T00:00:00"/>
    <n v="14.742928240739275"/>
    <x v="0"/>
    <x v="19"/>
    <n v="13.742928240739275"/>
    <x v="19"/>
  </r>
  <r>
    <n v="1035"/>
    <s v="1035111"/>
    <d v="2023-09-19T06:10:11"/>
    <s v="type40"/>
    <n v="1107.4100000000001"/>
    <x v="4"/>
    <d v="2023-09-20T06:10:11"/>
    <x v="4"/>
    <d v="2023-10-03T00:00:00"/>
    <n v="13.742928240739275"/>
    <x v="0"/>
    <x v="9"/>
    <n v="12.742928240739275"/>
    <x v="9"/>
  </r>
  <r>
    <n v="1019"/>
    <s v="1019111"/>
    <d v="2023-09-23T06:10:11"/>
    <s v="type22"/>
    <n v="1049.4100000000001"/>
    <x v="5"/>
    <d v="2023-09-28T06:10:11"/>
    <x v="0"/>
    <d v="2023-10-03T00:00:00"/>
    <n v="9.7429282407392748"/>
    <x v="0"/>
    <x v="8"/>
    <n v="4.7429282407392748"/>
    <x v="8"/>
  </r>
  <r>
    <n v="1032"/>
    <s v="1032111"/>
    <d v="2023-09-20T06:10:11"/>
    <s v="type40"/>
    <n v="-306.45"/>
    <x v="4"/>
    <d v="2023-09-21T06:10:11"/>
    <x v="4"/>
    <d v="2023-10-03T00:00:00"/>
    <n v="12.742928240739275"/>
    <x v="0"/>
    <x v="1"/>
    <n v="11.742928240739275"/>
    <x v="1"/>
  </r>
  <r>
    <n v="1004"/>
    <s v="1004111"/>
    <d v="2023-09-16T06:10:11"/>
    <s v="type40"/>
    <n v="1227.1300000000001"/>
    <x v="4"/>
    <d v="2023-09-18T06:10:11"/>
    <x v="3"/>
    <d v="2023-10-03T00:00:00"/>
    <n v="16.742928240739275"/>
    <x v="0"/>
    <x v="6"/>
    <n v="14.742928240739275"/>
    <x v="6"/>
  </r>
  <r>
    <n v="1020"/>
    <s v="1020111"/>
    <d v="2023-09-18T06:10:11"/>
    <s v="type40"/>
    <n v="-543.29"/>
    <x v="6"/>
    <d v="2023-09-19T06:10:11"/>
    <x v="0"/>
    <d v="2023-10-03T00:00:00"/>
    <n v="14.742928240739275"/>
    <x v="0"/>
    <x v="19"/>
    <n v="13.742928240739275"/>
    <x v="19"/>
  </r>
  <r>
    <n v="1013"/>
    <s v="1013111"/>
    <d v="2023-09-15T06:10:11"/>
    <s v="type40"/>
    <n v="-424.12"/>
    <x v="1"/>
    <d v="2023-09-16T06:10:11"/>
    <x v="2"/>
    <d v="2023-10-03T00:00:00"/>
    <n v="17.742928240739275"/>
    <x v="0"/>
    <x v="2"/>
    <n v="16.742928240739275"/>
    <x v="2"/>
  </r>
  <r>
    <n v="1018"/>
    <s v="1018111"/>
    <d v="2023-09-11T06:10:11"/>
    <s v="type7"/>
    <n v="1210.55"/>
    <x v="2"/>
    <d v="2023-09-13T06:10:11"/>
    <x v="0"/>
    <d v="2023-10-03T00:00:00"/>
    <n v="21.742928240739275"/>
    <x v="0"/>
    <x v="24"/>
    <n v="19.742928240739275"/>
    <x v="24"/>
  </r>
  <r>
    <n v="1001"/>
    <s v="1001111"/>
    <d v="2023-09-16T06:10:11"/>
    <s v="type40"/>
    <n v="-1238.5899999999999"/>
    <x v="3"/>
    <d v="2023-09-17T06:10:11"/>
    <x v="3"/>
    <d v="2023-10-03T00:00:00"/>
    <n v="16.742928240739275"/>
    <x v="0"/>
    <x v="4"/>
    <n v="15.742928240739275"/>
    <x v="4"/>
  </r>
  <r>
    <n v="1018"/>
    <s v="1018111"/>
    <d v="2023-09-16T06:10:11"/>
    <s v="type40"/>
    <n v="3"/>
    <x v="4"/>
    <d v="2023-09-21T06:10:11"/>
    <x v="0"/>
    <d v="2023-10-03T00:00:00"/>
    <n v="16.742928240739275"/>
    <x v="0"/>
    <x v="1"/>
    <n v="11.742928240739275"/>
    <x v="1"/>
  </r>
  <r>
    <n v="1027"/>
    <s v="1027111"/>
    <d v="2023-09-17T06:10:11"/>
    <s v="type40"/>
    <n v="339.31"/>
    <x v="1"/>
    <d v="2023-09-18T06:10:11"/>
    <x v="5"/>
    <d v="2023-10-03T00:00:00"/>
    <n v="15.742928240739275"/>
    <x v="0"/>
    <x v="6"/>
    <n v="14.742928240739275"/>
    <x v="6"/>
  </r>
  <r>
    <n v="1006"/>
    <s v="1006111"/>
    <d v="2023-09-19T06:10:11"/>
    <s v="type13"/>
    <n v="19399.14"/>
    <x v="4"/>
    <d v="2023-09-26T06:10:11"/>
    <x v="1"/>
    <d v="2023-10-03T00:00:00"/>
    <n v="13.742928240739275"/>
    <x v="0"/>
    <x v="7"/>
    <n v="6.7429282407392748"/>
    <x v="7"/>
  </r>
  <r>
    <n v="1032"/>
    <s v="1032111"/>
    <d v="2023-09-20T06:10:11"/>
    <s v="type13"/>
    <n v="19399.61"/>
    <x v="6"/>
    <d v="2023-09-21T06:10:11"/>
    <x v="4"/>
    <d v="2023-10-03T00:00:00"/>
    <n v="12.742928240739275"/>
    <x v="0"/>
    <x v="1"/>
    <n v="11.742928240739275"/>
    <x v="1"/>
  </r>
  <r>
    <n v="1034"/>
    <s v="1034111"/>
    <d v="2023-09-21T06:10:11"/>
    <s v="type13"/>
    <n v="37300.949999999997"/>
    <x v="4"/>
    <d v="2023-09-22T06:10:11"/>
    <x v="4"/>
    <d v="2023-10-03T00:00:00"/>
    <n v="11.742928240739275"/>
    <x v="0"/>
    <x v="10"/>
    <n v="10.742928240739275"/>
    <x v="10"/>
  </r>
  <r>
    <n v="1005"/>
    <s v="1005111"/>
    <d v="2023-09-14T06:10:11"/>
    <s v="type40"/>
    <n v="7885.71"/>
    <x v="5"/>
    <d v="2023-09-21T06:10:11"/>
    <x v="3"/>
    <d v="2023-10-03T00:00:00"/>
    <n v="18.742928240739275"/>
    <x v="0"/>
    <x v="1"/>
    <n v="11.742928240739275"/>
    <x v="1"/>
  </r>
  <r>
    <n v="1018"/>
    <s v="1018111"/>
    <d v="2023-09-16T06:10:11"/>
    <s v="type40"/>
    <n v="-447.15"/>
    <x v="2"/>
    <d v="2023-09-21T06:10:11"/>
    <x v="0"/>
    <d v="2023-10-03T00:00:00"/>
    <n v="16.742928240739275"/>
    <x v="0"/>
    <x v="1"/>
    <n v="11.742928240739275"/>
    <x v="1"/>
  </r>
  <r>
    <n v="1022"/>
    <s v="1022111"/>
    <d v="2023-09-21T06:10:11"/>
    <s v="type13"/>
    <n v="15814"/>
    <x v="3"/>
    <d v="2023-09-23T06:10:11"/>
    <x v="0"/>
    <d v="2023-10-03T00:00:00"/>
    <n v="11.742928240739275"/>
    <x v="0"/>
    <x v="3"/>
    <n v="9.7429282407392748"/>
    <x v="3"/>
  </r>
  <r>
    <n v="1019"/>
    <s v="1019111"/>
    <d v="2023-09-15T06:10:11"/>
    <s v="type40"/>
    <n v="-1337.05"/>
    <x v="5"/>
    <d v="2023-09-22T06:10:11"/>
    <x v="0"/>
    <d v="2023-10-03T00:00:00"/>
    <n v="17.742928240739275"/>
    <x v="0"/>
    <x v="10"/>
    <n v="10.742928240739275"/>
    <x v="10"/>
  </r>
  <r>
    <n v="1031"/>
    <s v="1031111"/>
    <d v="2023-09-13T06:10:11"/>
    <s v="type40"/>
    <n v="11155.34"/>
    <x v="4"/>
    <d v="2023-09-14T06:10:11"/>
    <x v="4"/>
    <d v="2023-10-03T00:00:00"/>
    <n v="19.742928240739275"/>
    <x v="0"/>
    <x v="20"/>
    <n v="18.742928240739275"/>
    <x v="20"/>
  </r>
  <r>
    <n v="1011"/>
    <s v="1011111"/>
    <d v="2023-09-23T06:10:11"/>
    <s v="type13"/>
    <n v="20532.310000000001"/>
    <x v="1"/>
    <d v="2023-09-25T06:10:11"/>
    <x v="1"/>
    <d v="2023-10-03T00:00:00"/>
    <n v="9.7429282407392748"/>
    <x v="0"/>
    <x v="11"/>
    <n v="7.7429282407392748"/>
    <x v="11"/>
  </r>
  <r>
    <n v="1004"/>
    <s v="1004111"/>
    <d v="2023-09-24T06:10:11"/>
    <s v="type13"/>
    <n v="28293.279999999999"/>
    <x v="3"/>
    <d v="2023-09-26T06:10:11"/>
    <x v="3"/>
    <d v="2023-10-03T00:00:00"/>
    <n v="8.7429282407392748"/>
    <x v="1"/>
    <x v="7"/>
    <n v="6.7429282407392748"/>
    <x v="7"/>
  </r>
  <r>
    <n v="1030"/>
    <s v="1030111"/>
    <d v="2023-09-16T06:10:11"/>
    <s v="type40"/>
    <n v="1234.3699999999999"/>
    <x v="5"/>
    <d v="2023-09-23T06:10:11"/>
    <x v="4"/>
    <d v="2023-10-03T00:00:00"/>
    <n v="16.742928240739275"/>
    <x v="0"/>
    <x v="3"/>
    <n v="9.7429282407392748"/>
    <x v="3"/>
  </r>
  <r>
    <n v="1011"/>
    <s v="1011111"/>
    <d v="2023-09-18T06:10:11"/>
    <s v="type40"/>
    <n v="5"/>
    <x v="2"/>
    <d v="2023-09-23T06:10:11"/>
    <x v="1"/>
    <d v="2023-10-03T00:00:00"/>
    <n v="14.742928240739275"/>
    <x v="0"/>
    <x v="3"/>
    <n v="9.7429282407392748"/>
    <x v="3"/>
  </r>
  <r>
    <n v="1020"/>
    <s v="1020111"/>
    <d v="2023-09-16T06:10:11"/>
    <s v="type40"/>
    <n v="-360.83"/>
    <x v="5"/>
    <d v="2023-09-17T06:10:11"/>
    <x v="0"/>
    <d v="2023-10-03T00:00:00"/>
    <n v="16.742928240739275"/>
    <x v="0"/>
    <x v="4"/>
    <n v="15.742928240739275"/>
    <x v="4"/>
  </r>
  <r>
    <n v="1009"/>
    <s v="1009111"/>
    <d v="2023-09-28T06:10:11"/>
    <s v="type40"/>
    <n v="-1015.69"/>
    <x v="3"/>
    <d v="2023-09-30T06:10:11"/>
    <x v="1"/>
    <d v="2023-10-03T00:00:00"/>
    <n v="4.7429282407392748"/>
    <x v="2"/>
    <x v="14"/>
    <n v="2.7429282407392748"/>
    <x v="14"/>
  </r>
  <r>
    <n v="1035"/>
    <s v="1035111"/>
    <d v="2023-09-22T06:10:11"/>
    <s v="type13"/>
    <n v="20526.48"/>
    <x v="6"/>
    <d v="2023-09-23T06:10:11"/>
    <x v="4"/>
    <d v="2023-10-03T00:00:00"/>
    <n v="10.742928240739275"/>
    <x v="0"/>
    <x v="3"/>
    <n v="9.7429282407392748"/>
    <x v="3"/>
  </r>
  <r>
    <n v="1015"/>
    <s v="1015111"/>
    <d v="2023-09-17T06:10:11"/>
    <s v="type40"/>
    <n v="-3789.09"/>
    <x v="5"/>
    <d v="2023-09-19T06:10:11"/>
    <x v="2"/>
    <d v="2023-10-03T00:00:00"/>
    <n v="15.742928240739275"/>
    <x v="0"/>
    <x v="19"/>
    <n v="13.742928240739275"/>
    <x v="19"/>
  </r>
  <r>
    <n v="1032"/>
    <s v="1032111"/>
    <d v="2023-09-18T06:10:11"/>
    <s v="type40"/>
    <n v="-514.76"/>
    <x v="3"/>
    <d v="2023-09-20T06:10:11"/>
    <x v="4"/>
    <d v="2023-10-03T00:00:00"/>
    <n v="14.742928240739275"/>
    <x v="0"/>
    <x v="9"/>
    <n v="12.742928240739275"/>
    <x v="9"/>
  </r>
  <r>
    <n v="1004"/>
    <s v="1004111"/>
    <d v="2023-09-20T06:10:11"/>
    <s v="type28"/>
    <n v="1181.07"/>
    <x v="2"/>
    <d v="2023-09-27T06:10:11"/>
    <x v="3"/>
    <d v="2023-10-03T00:00:00"/>
    <n v="12.742928240739275"/>
    <x v="0"/>
    <x v="12"/>
    <n v="5.7429282407392748"/>
    <x v="12"/>
  </r>
  <r>
    <n v="1035"/>
    <s v="1035111"/>
    <d v="2023-09-16T06:10:11"/>
    <s v="type40"/>
    <n v="-1259.8699999999999"/>
    <x v="5"/>
    <d v="2023-09-23T06:10:11"/>
    <x v="4"/>
    <d v="2023-10-03T00:00:00"/>
    <n v="16.742928240739275"/>
    <x v="0"/>
    <x v="3"/>
    <n v="9.7429282407392748"/>
    <x v="3"/>
  </r>
  <r>
    <n v="1017"/>
    <s v="1017111"/>
    <d v="2023-09-23T06:10:11"/>
    <s v="type13"/>
    <n v="16955.73"/>
    <x v="6"/>
    <d v="2023-09-24T06:10:11"/>
    <x v="2"/>
    <d v="2023-10-03T00:00:00"/>
    <n v="9.7429282407392748"/>
    <x v="0"/>
    <x v="5"/>
    <n v="8.7429282407392748"/>
    <x v="5"/>
  </r>
  <r>
    <n v="1032"/>
    <s v="1032111"/>
    <d v="2023-09-20T06:10:11"/>
    <s v="type40"/>
    <n v="-694.68"/>
    <x v="5"/>
    <d v="2023-09-21T06:10:11"/>
    <x v="4"/>
    <d v="2023-10-03T00:00:00"/>
    <n v="12.742928240739275"/>
    <x v="0"/>
    <x v="1"/>
    <n v="11.742928240739275"/>
    <x v="1"/>
  </r>
  <r>
    <n v="1027"/>
    <s v="1027111"/>
    <d v="2023-09-21T06:10:11"/>
    <s v="type40"/>
    <n v="-597.29"/>
    <x v="1"/>
    <d v="2023-09-26T06:10:11"/>
    <x v="5"/>
    <d v="2023-10-03T00:00:00"/>
    <n v="11.742928240739275"/>
    <x v="0"/>
    <x v="7"/>
    <n v="6.7429282407392748"/>
    <x v="7"/>
  </r>
  <r>
    <n v="1033"/>
    <s v="1033111"/>
    <d v="2023-09-22T06:10:11"/>
    <s v="type40"/>
    <n v="-4969.17"/>
    <x v="4"/>
    <d v="2023-09-23T06:10:11"/>
    <x v="4"/>
    <d v="2023-10-03T00:00:00"/>
    <n v="10.742928240739275"/>
    <x v="0"/>
    <x v="3"/>
    <n v="9.7429282407392748"/>
    <x v="3"/>
  </r>
  <r>
    <n v="1034"/>
    <s v="1034111"/>
    <d v="2023-09-23T06:10:11"/>
    <s v="type40"/>
    <n v="-785.66"/>
    <x v="4"/>
    <d v="2023-09-24T06:10:11"/>
    <x v="4"/>
    <d v="2023-10-03T00:00:00"/>
    <n v="9.7429282407392748"/>
    <x v="0"/>
    <x v="5"/>
    <n v="8.7429282407392748"/>
    <x v="5"/>
  </r>
  <r>
    <n v="1007"/>
    <s v="1007111"/>
    <d v="2023-09-23T06:10:11"/>
    <s v="type40"/>
    <n v="1131.19"/>
    <x v="4"/>
    <d v="2023-09-25T06:10:11"/>
    <x v="1"/>
    <d v="2023-10-03T00:00:00"/>
    <n v="9.7429282407392748"/>
    <x v="0"/>
    <x v="11"/>
    <n v="7.7429282407392748"/>
    <x v="11"/>
  </r>
  <r>
    <n v="1008"/>
    <s v="1008111"/>
    <d v="2023-09-10T06:10:11"/>
    <s v="type40"/>
    <n v="-476.12"/>
    <x v="4"/>
    <d v="2023-09-12T06:10:11"/>
    <x v="1"/>
    <d v="2023-10-03T00:00:00"/>
    <n v="22.742928240739275"/>
    <x v="0"/>
    <x v="18"/>
    <n v="20.742928240739275"/>
    <x v="18"/>
  </r>
  <r>
    <n v="1026"/>
    <s v="1026111"/>
    <d v="2023-09-13T06:10:11"/>
    <s v="type40"/>
    <n v="628.04"/>
    <x v="4"/>
    <d v="2023-09-15T06:10:11"/>
    <x v="5"/>
    <d v="2023-10-03T00:00:00"/>
    <n v="19.742928240739275"/>
    <x v="0"/>
    <x v="0"/>
    <n v="17.742928240739275"/>
    <x v="0"/>
  </r>
  <r>
    <n v="1030"/>
    <s v="1030111"/>
    <d v="2023-09-21T06:10:11"/>
    <s v="type47"/>
    <n v="2"/>
    <x v="2"/>
    <d v="2023-09-28T06:10:11"/>
    <x v="4"/>
    <d v="2023-10-03T00:00:00"/>
    <n v="11.742928240739275"/>
    <x v="0"/>
    <x v="8"/>
    <n v="4.7429282407392748"/>
    <x v="8"/>
  </r>
  <r>
    <n v="1003"/>
    <s v="1003111"/>
    <d v="2023-09-10T06:10:11"/>
    <s v="type38"/>
    <n v="166.6"/>
    <x v="5"/>
    <d v="2023-09-12T06:10:11"/>
    <x v="3"/>
    <d v="2023-10-03T00:00:00"/>
    <n v="22.742928240739275"/>
    <x v="0"/>
    <x v="18"/>
    <n v="20.742928240739275"/>
    <x v="18"/>
  </r>
  <r>
    <n v="1031"/>
    <s v="1031111"/>
    <d v="2023-09-10T06:10:11"/>
    <s v="type40"/>
    <n v="-465.68"/>
    <x v="2"/>
    <d v="2023-09-11T06:10:11"/>
    <x v="4"/>
    <d v="2023-10-03T00:00:00"/>
    <n v="22.742928240739275"/>
    <x v="0"/>
    <x v="21"/>
    <n v="21.742928240739275"/>
    <x v="21"/>
  </r>
  <r>
    <n v="1024"/>
    <s v="1024111"/>
    <d v="2023-09-10T06:10:11"/>
    <s v="type40"/>
    <n v="30"/>
    <x v="1"/>
    <d v="2023-09-17T06:10:11"/>
    <x v="5"/>
    <d v="2023-10-03T00:00:00"/>
    <n v="22.742928240739275"/>
    <x v="0"/>
    <x v="4"/>
    <n v="15.742928240739275"/>
    <x v="4"/>
  </r>
  <r>
    <n v="1012"/>
    <s v="1012111"/>
    <d v="2023-09-11T06:10:11"/>
    <s v="type38"/>
    <n v="249"/>
    <x v="3"/>
    <d v="2023-09-18T06:10:11"/>
    <x v="2"/>
    <d v="2023-10-03T00:00:00"/>
    <n v="21.742928240739275"/>
    <x v="0"/>
    <x v="6"/>
    <n v="14.742928240739275"/>
    <x v="6"/>
  </r>
  <r>
    <n v="1009"/>
    <s v="1009111"/>
    <d v="2023-09-13T06:10:11"/>
    <s v="type15"/>
    <n v="-4512"/>
    <x v="5"/>
    <d v="2023-09-15T06:10:11"/>
    <x v="1"/>
    <d v="2023-10-03T00:00:00"/>
    <n v="19.742928240739275"/>
    <x v="0"/>
    <x v="0"/>
    <n v="17.742928240739275"/>
    <x v="0"/>
  </r>
  <r>
    <n v="1014"/>
    <s v="1014111"/>
    <d v="2023-09-14T06:10:11"/>
    <s v="type40"/>
    <n v="-8354"/>
    <x v="5"/>
    <d v="2023-09-16T06:10:11"/>
    <x v="2"/>
    <d v="2023-10-03T00:00:00"/>
    <n v="18.742928240739275"/>
    <x v="0"/>
    <x v="2"/>
    <n v="16.742928240739275"/>
    <x v="2"/>
  </r>
  <r>
    <n v="1020"/>
    <s v="1020111"/>
    <d v="2023-09-13T06:10:11"/>
    <s v="type40"/>
    <n v="352.31"/>
    <x v="1"/>
    <d v="2023-09-20T06:10:11"/>
    <x v="0"/>
    <d v="2023-10-03T00:00:00"/>
    <n v="19.742928240739275"/>
    <x v="0"/>
    <x v="9"/>
    <n v="12.742928240739275"/>
    <x v="9"/>
  </r>
  <r>
    <n v="1009"/>
    <s v="1009111"/>
    <d v="2023-09-18T06:10:11"/>
    <s v="type40"/>
    <n v="-1256.94"/>
    <x v="6"/>
    <d v="2023-09-20T06:10:11"/>
    <x v="1"/>
    <d v="2023-10-03T00:00:00"/>
    <n v="14.742928240739275"/>
    <x v="0"/>
    <x v="9"/>
    <n v="12.742928240739275"/>
    <x v="9"/>
  </r>
  <r>
    <n v="1023"/>
    <s v="1023111"/>
    <d v="2023-09-14T06:10:11"/>
    <s v="type40"/>
    <n v="-926.77"/>
    <x v="3"/>
    <d v="2023-09-21T06:10:11"/>
    <x v="0"/>
    <d v="2023-10-03T00:00:00"/>
    <n v="18.742928240739275"/>
    <x v="0"/>
    <x v="1"/>
    <n v="11.742928240739275"/>
    <x v="1"/>
  </r>
  <r>
    <n v="1026"/>
    <s v="1026111"/>
    <d v="2023-09-15T06:10:11"/>
    <s v="type10"/>
    <n v="39.46"/>
    <x v="3"/>
    <d v="2023-09-22T06:10:11"/>
    <x v="5"/>
    <d v="2023-10-03T00:00:00"/>
    <n v="17.742928240739275"/>
    <x v="0"/>
    <x v="10"/>
    <n v="10.742928240739275"/>
    <x v="10"/>
  </r>
  <r>
    <n v="1031"/>
    <s v="1031111"/>
    <d v="2023-09-13T06:10:11"/>
    <s v="type40"/>
    <n v="565.38"/>
    <x v="2"/>
    <d v="2023-09-14T06:10:11"/>
    <x v="4"/>
    <d v="2023-10-03T00:00:00"/>
    <n v="19.742928240739275"/>
    <x v="0"/>
    <x v="20"/>
    <n v="18.742928240739275"/>
    <x v="20"/>
  </r>
  <r>
    <n v="1029"/>
    <s v="1029111"/>
    <d v="2023-09-23T06:10:11"/>
    <s v="type13"/>
    <n v="33265.480000000003"/>
    <x v="5"/>
    <d v="2023-09-28T06:10:11"/>
    <x v="5"/>
    <d v="2023-10-03T00:00:00"/>
    <n v="9.7429282407392748"/>
    <x v="0"/>
    <x v="8"/>
    <n v="4.7429282407392748"/>
    <x v="8"/>
  </r>
  <r>
    <n v="1007"/>
    <s v="1007111"/>
    <d v="2023-09-15T06:10:11"/>
    <s v="type13"/>
    <n v="32014.639999999999"/>
    <x v="5"/>
    <d v="2023-09-20T06:10:11"/>
    <x v="1"/>
    <d v="2023-10-03T00:00:00"/>
    <n v="17.742928240739275"/>
    <x v="0"/>
    <x v="9"/>
    <n v="12.742928240739275"/>
    <x v="9"/>
  </r>
  <r>
    <n v="1023"/>
    <s v="1023111"/>
    <d v="2023-09-21T06:10:11"/>
    <s v="type40"/>
    <n v="-421.6"/>
    <x v="2"/>
    <d v="2023-09-23T06:10:11"/>
    <x v="0"/>
    <d v="2023-10-03T00:00:00"/>
    <n v="11.742928240739275"/>
    <x v="0"/>
    <x v="3"/>
    <n v="9.7429282407392748"/>
    <x v="3"/>
  </r>
  <r>
    <n v="1017"/>
    <s v="1017111"/>
    <d v="2023-09-18T06:10:11"/>
    <s v="type13"/>
    <n v="35282.83"/>
    <x v="6"/>
    <d v="2023-09-20T06:10:11"/>
    <x v="2"/>
    <d v="2023-10-03T00:00:00"/>
    <n v="14.742928240739275"/>
    <x v="0"/>
    <x v="9"/>
    <n v="12.742928240739275"/>
    <x v="9"/>
  </r>
  <r>
    <n v="1010"/>
    <s v="1010111"/>
    <d v="2023-09-17T06:10:11"/>
    <s v="type40"/>
    <n v="-393.59"/>
    <x v="5"/>
    <d v="2023-09-24T06:10:11"/>
    <x v="1"/>
    <d v="2023-10-03T00:00:00"/>
    <n v="15.742928240739275"/>
    <x v="0"/>
    <x v="5"/>
    <n v="8.7429282407392748"/>
    <x v="5"/>
  </r>
  <r>
    <n v="1003"/>
    <s v="1003111"/>
    <d v="2023-09-19T06:10:11"/>
    <s v="type13"/>
    <n v="35927.99"/>
    <x v="1"/>
    <d v="2023-09-26T06:10:11"/>
    <x v="3"/>
    <d v="2023-10-03T00:00:00"/>
    <n v="13.742928240739275"/>
    <x v="0"/>
    <x v="7"/>
    <n v="6.7429282407392748"/>
    <x v="7"/>
  </r>
  <r>
    <n v="1006"/>
    <s v="1006111"/>
    <d v="2023-09-14T06:10:11"/>
    <s v="type40"/>
    <n v="498.56"/>
    <x v="4"/>
    <d v="2023-09-16T06:10:11"/>
    <x v="1"/>
    <d v="2023-10-03T00:00:00"/>
    <n v="18.742928240739275"/>
    <x v="0"/>
    <x v="2"/>
    <n v="16.742928240739275"/>
    <x v="2"/>
  </r>
  <r>
    <n v="1024"/>
    <s v="1024111"/>
    <d v="2023-09-20T06:10:11"/>
    <s v="type40"/>
    <n v="-998.87"/>
    <x v="1"/>
    <d v="2023-09-27T06:10:11"/>
    <x v="5"/>
    <d v="2023-10-03T00:00:00"/>
    <n v="12.742928240739275"/>
    <x v="0"/>
    <x v="12"/>
    <n v="5.7429282407392748"/>
    <x v="12"/>
  </r>
  <r>
    <n v="1032"/>
    <s v="1032111"/>
    <d v="2023-09-21T06:10:11"/>
    <s v="type40"/>
    <n v="550.96"/>
    <x v="3"/>
    <d v="2023-09-28T06:10:11"/>
    <x v="4"/>
    <d v="2023-10-03T00:00:00"/>
    <n v="11.742928240739275"/>
    <x v="0"/>
    <x v="8"/>
    <n v="4.7429282407392748"/>
    <x v="8"/>
  </r>
  <r>
    <n v="1021"/>
    <s v="1021111"/>
    <d v="2023-09-22T06:10:11"/>
    <s v="type40"/>
    <n v="-807.06"/>
    <x v="6"/>
    <d v="2023-09-24T06:10:11"/>
    <x v="0"/>
    <d v="2023-10-03T00:00:00"/>
    <n v="10.742928240739275"/>
    <x v="0"/>
    <x v="5"/>
    <n v="8.7429282407392748"/>
    <x v="5"/>
  </r>
  <r>
    <n v="1017"/>
    <s v="1017111"/>
    <d v="2023-09-13T06:10:11"/>
    <s v="type40"/>
    <n v="10.99"/>
    <x v="6"/>
    <d v="2023-09-18T06:10:11"/>
    <x v="2"/>
    <d v="2023-10-03T00:00:00"/>
    <n v="19.742928240739275"/>
    <x v="0"/>
    <x v="6"/>
    <n v="14.742928240739275"/>
    <x v="6"/>
  </r>
  <r>
    <n v="1006"/>
    <s v="1006111"/>
    <d v="2023-09-21T06:10:11"/>
    <s v="type40"/>
    <n v="1065.53"/>
    <x v="2"/>
    <d v="2023-09-23T06:10:11"/>
    <x v="1"/>
    <d v="2023-10-03T00:00:00"/>
    <n v="11.742928240739275"/>
    <x v="0"/>
    <x v="3"/>
    <n v="9.7429282407392748"/>
    <x v="3"/>
  </r>
  <r>
    <n v="1020"/>
    <s v="1020111"/>
    <d v="2023-09-24T06:10:11"/>
    <s v="type41"/>
    <n v="298.86"/>
    <x v="1"/>
    <d v="2023-09-25T06:10:11"/>
    <x v="0"/>
    <d v="2023-10-03T00:00:00"/>
    <n v="8.7429282407392748"/>
    <x v="1"/>
    <x v="11"/>
    <n v="7.7429282407392748"/>
    <x v="11"/>
  </r>
  <r>
    <n v="1032"/>
    <s v="1032111"/>
    <d v="2023-09-25T06:10:11"/>
    <s v="type40"/>
    <n v="1412.09"/>
    <x v="1"/>
    <d v="2023-09-26T06:10:11"/>
    <x v="4"/>
    <d v="2023-10-03T00:00:00"/>
    <n v="7.7429282407392748"/>
    <x v="1"/>
    <x v="7"/>
    <n v="6.7429282407392748"/>
    <x v="7"/>
  </r>
  <r>
    <n v="1026"/>
    <s v="1026111"/>
    <d v="2023-09-22T06:10:11"/>
    <s v="type40"/>
    <n v="-816.03"/>
    <x v="2"/>
    <d v="2023-09-24T06:10:11"/>
    <x v="5"/>
    <d v="2023-10-03T00:00:00"/>
    <n v="10.742928240739275"/>
    <x v="0"/>
    <x v="5"/>
    <n v="8.7429282407392748"/>
    <x v="5"/>
  </r>
  <r>
    <n v="1031"/>
    <s v="1031111"/>
    <d v="2023-09-15T06:10:11"/>
    <s v="type17"/>
    <n v="1138.33"/>
    <x v="6"/>
    <d v="2023-09-20T06:10:11"/>
    <x v="4"/>
    <d v="2023-10-03T00:00:00"/>
    <n v="17.742928240739275"/>
    <x v="0"/>
    <x v="9"/>
    <n v="12.742928240739275"/>
    <x v="9"/>
  </r>
  <r>
    <n v="1009"/>
    <s v="1009111"/>
    <d v="2023-09-14T06:10:11"/>
    <s v="type40"/>
    <n v="3090.9"/>
    <x v="4"/>
    <d v="2023-09-16T06:10:11"/>
    <x v="1"/>
    <d v="2023-10-03T00:00:00"/>
    <n v="18.742928240739275"/>
    <x v="0"/>
    <x v="2"/>
    <n v="16.742928240739275"/>
    <x v="2"/>
  </r>
  <r>
    <n v="1018"/>
    <s v="1018111"/>
    <d v="2023-09-16T06:10:11"/>
    <s v="type54"/>
    <n v="-203.91"/>
    <x v="1"/>
    <d v="2023-09-17T06:10:11"/>
    <x v="0"/>
    <d v="2023-10-03T00:00:00"/>
    <n v="16.742928240739275"/>
    <x v="0"/>
    <x v="4"/>
    <n v="15.742928240739275"/>
    <x v="4"/>
  </r>
  <r>
    <n v="1012"/>
    <s v="1012111"/>
    <d v="2023-09-17T06:10:11"/>
    <s v="type13"/>
    <n v="19240.849999999999"/>
    <x v="1"/>
    <d v="2023-09-18T06:10:11"/>
    <x v="2"/>
    <d v="2023-10-03T00:00:00"/>
    <n v="15.742928240739275"/>
    <x v="0"/>
    <x v="6"/>
    <n v="14.742928240739275"/>
    <x v="6"/>
  </r>
  <r>
    <n v="1031"/>
    <s v="1031111"/>
    <d v="2023-09-18T06:10:11"/>
    <s v="type13"/>
    <n v="16313.32"/>
    <x v="3"/>
    <d v="2023-09-19T06:10:11"/>
    <x v="4"/>
    <d v="2023-10-03T00:00:00"/>
    <n v="14.742928240739275"/>
    <x v="0"/>
    <x v="19"/>
    <n v="13.742928240739275"/>
    <x v="19"/>
  </r>
  <r>
    <n v="1017"/>
    <s v="1017111"/>
    <d v="2023-09-15T06:10:11"/>
    <s v="type40"/>
    <n v="6854.09"/>
    <x v="4"/>
    <d v="2023-09-17T06:10:11"/>
    <x v="2"/>
    <d v="2023-10-03T00:00:00"/>
    <n v="17.742928240739275"/>
    <x v="0"/>
    <x v="4"/>
    <n v="15.742928240739275"/>
    <x v="4"/>
  </r>
  <r>
    <n v="1022"/>
    <s v="1022111"/>
    <d v="2023-09-18T06:10:11"/>
    <s v="type13"/>
    <n v="20748.849999999999"/>
    <x v="6"/>
    <d v="2023-09-25T06:10:11"/>
    <x v="0"/>
    <d v="2023-10-03T00:00:00"/>
    <n v="14.742928240739275"/>
    <x v="0"/>
    <x v="11"/>
    <n v="7.7429282407392748"/>
    <x v="11"/>
  </r>
  <r>
    <n v="1019"/>
    <s v="1019111"/>
    <d v="2023-09-20T06:10:11"/>
    <s v="type13"/>
    <n v="12170"/>
    <x v="3"/>
    <d v="2023-09-21T06:10:11"/>
    <x v="0"/>
    <d v="2023-10-03T00:00:00"/>
    <n v="12.742928240739275"/>
    <x v="0"/>
    <x v="1"/>
    <n v="11.742928240739275"/>
    <x v="1"/>
  </r>
  <r>
    <n v="1034"/>
    <s v="1034111"/>
    <d v="2023-09-19T06:10:11"/>
    <s v="type40"/>
    <n v="-3199.68"/>
    <x v="5"/>
    <d v="2023-09-26T06:10:11"/>
    <x v="4"/>
    <d v="2023-10-03T00:00:00"/>
    <n v="13.742928240739275"/>
    <x v="0"/>
    <x v="7"/>
    <n v="6.7429282407392748"/>
    <x v="7"/>
  </r>
  <r>
    <n v="1031"/>
    <s v="1031111"/>
    <d v="2023-09-16T06:10:11"/>
    <s v="type40"/>
    <n v="-5376.86"/>
    <x v="4"/>
    <d v="2023-09-18T06:10:11"/>
    <x v="4"/>
    <d v="2023-10-03T00:00:00"/>
    <n v="16.742928240739275"/>
    <x v="0"/>
    <x v="6"/>
    <n v="14.742928240739275"/>
    <x v="6"/>
  </r>
  <r>
    <n v="1024"/>
    <s v="1024111"/>
    <d v="2023-09-18T06:10:11"/>
    <s v="type40"/>
    <n v="321.99"/>
    <x v="4"/>
    <d v="2023-09-20T06:10:11"/>
    <x v="5"/>
    <d v="2023-10-03T00:00:00"/>
    <n v="14.742928240739275"/>
    <x v="0"/>
    <x v="9"/>
    <n v="12.742928240739275"/>
    <x v="9"/>
  </r>
  <r>
    <n v="1013"/>
    <s v="1013111"/>
    <d v="2023-09-20T06:10:11"/>
    <s v="type40"/>
    <n v="-542.41"/>
    <x v="5"/>
    <d v="2023-09-27T06:10:11"/>
    <x v="2"/>
    <d v="2023-10-03T00:00:00"/>
    <n v="12.742928240739275"/>
    <x v="0"/>
    <x v="12"/>
    <n v="5.7429282407392748"/>
    <x v="12"/>
  </r>
  <r>
    <n v="1024"/>
    <s v="1024111"/>
    <d v="2023-09-23T06:10:11"/>
    <s v="type40"/>
    <n v="-567.58000000000004"/>
    <x v="2"/>
    <d v="2023-09-25T06:10:11"/>
    <x v="5"/>
    <d v="2023-10-03T00:00:00"/>
    <n v="9.7429282407392748"/>
    <x v="0"/>
    <x v="11"/>
    <n v="7.7429282407392748"/>
    <x v="11"/>
  </r>
  <r>
    <n v="1013"/>
    <s v="1013111"/>
    <d v="2023-09-20T06:10:11"/>
    <s v="type40"/>
    <n v="1535.81"/>
    <x v="5"/>
    <d v="2023-09-27T06:10:11"/>
    <x v="2"/>
    <d v="2023-10-03T00:00:00"/>
    <n v="12.742928240739275"/>
    <x v="0"/>
    <x v="12"/>
    <n v="5.7429282407392748"/>
    <x v="12"/>
  </r>
  <r>
    <n v="1019"/>
    <s v="1019111"/>
    <d v="2023-09-21T06:10:11"/>
    <s v="type13"/>
    <n v="13107"/>
    <x v="6"/>
    <d v="2023-09-28T06:10:11"/>
    <x v="0"/>
    <d v="2023-10-03T00:00:00"/>
    <n v="11.742928240739275"/>
    <x v="0"/>
    <x v="8"/>
    <n v="4.7429282407392748"/>
    <x v="8"/>
  </r>
  <r>
    <n v="1031"/>
    <s v="1031111"/>
    <d v="2023-09-20T06:10:11"/>
    <s v="type7"/>
    <n v="-2284.96"/>
    <x v="4"/>
    <d v="2023-09-25T06:10:11"/>
    <x v="4"/>
    <d v="2023-10-03T00:00:00"/>
    <n v="12.742928240739275"/>
    <x v="0"/>
    <x v="11"/>
    <n v="7.7429282407392748"/>
    <x v="11"/>
  </r>
  <r>
    <n v="1035"/>
    <s v="1035111"/>
    <d v="2023-09-20T06:10:11"/>
    <s v="type13"/>
    <n v="25043.72"/>
    <x v="6"/>
    <d v="2023-09-21T06:10:11"/>
    <x v="4"/>
    <d v="2023-10-03T00:00:00"/>
    <n v="12.742928240739275"/>
    <x v="0"/>
    <x v="1"/>
    <n v="11.742928240739275"/>
    <x v="1"/>
  </r>
  <r>
    <n v="1019"/>
    <s v="1019111"/>
    <d v="2023-09-28T06:10:11"/>
    <s v="type40"/>
    <n v="4.7300000000000004"/>
    <x v="3"/>
    <d v="2023-09-30T06:10:11"/>
    <x v="0"/>
    <d v="2023-10-03T00:00:00"/>
    <n v="4.7429282407392748"/>
    <x v="2"/>
    <x v="14"/>
    <n v="2.7429282407392748"/>
    <x v="14"/>
  </r>
  <r>
    <n v="1014"/>
    <s v="1014111"/>
    <d v="2023-09-21T06:10:11"/>
    <s v="type40"/>
    <n v="-1203.5999999999999"/>
    <x v="4"/>
    <d v="2023-09-28T06:10:11"/>
    <x v="2"/>
    <d v="2023-10-03T00:00:00"/>
    <n v="11.742928240739275"/>
    <x v="0"/>
    <x v="8"/>
    <n v="4.7429282407392748"/>
    <x v="8"/>
  </r>
  <r>
    <n v="1000"/>
    <s v="1000111"/>
    <d v="2023-09-21T06:10:11"/>
    <s v="type16"/>
    <n v="4094"/>
    <x v="6"/>
    <d v="2023-09-22T06:10:11"/>
    <x v="3"/>
    <d v="2023-10-03T00:00:00"/>
    <n v="11.742928240739275"/>
    <x v="0"/>
    <x v="10"/>
    <n v="10.742928240739275"/>
    <x v="10"/>
  </r>
  <r>
    <n v="1035"/>
    <s v="1035111"/>
    <d v="2023-09-22T06:10:11"/>
    <s v="type13"/>
    <n v="34808.980000000003"/>
    <x v="6"/>
    <d v="2023-09-23T06:10:11"/>
    <x v="4"/>
    <d v="2023-10-03T00:00:00"/>
    <n v="10.742928240739275"/>
    <x v="0"/>
    <x v="3"/>
    <n v="9.7429282407392748"/>
    <x v="3"/>
  </r>
  <r>
    <n v="1004"/>
    <s v="1004111"/>
    <d v="2023-09-13T06:10:11"/>
    <s v="type40"/>
    <n v="-366.11"/>
    <x v="3"/>
    <d v="2023-09-15T06:10:11"/>
    <x v="3"/>
    <d v="2023-10-03T00:00:00"/>
    <n v="19.742928240739275"/>
    <x v="0"/>
    <x v="0"/>
    <n v="17.742928240739275"/>
    <x v="0"/>
  </r>
  <r>
    <n v="1018"/>
    <s v="1018111"/>
    <d v="2023-09-21T06:10:11"/>
    <s v="type40"/>
    <n v="-533.95000000000005"/>
    <x v="5"/>
    <d v="2023-09-28T06:10:11"/>
    <x v="0"/>
    <d v="2023-10-03T00:00:00"/>
    <n v="11.742928240739275"/>
    <x v="0"/>
    <x v="8"/>
    <n v="4.7429282407392748"/>
    <x v="8"/>
  </r>
  <r>
    <n v="1020"/>
    <s v="1020111"/>
    <d v="2023-09-23T06:10:11"/>
    <s v="type40"/>
    <n v="1091.03"/>
    <x v="5"/>
    <d v="2023-09-30T06:10:11"/>
    <x v="0"/>
    <d v="2023-10-03T00:00:00"/>
    <n v="9.7429282407392748"/>
    <x v="0"/>
    <x v="14"/>
    <n v="2.7429282407392748"/>
    <x v="14"/>
  </r>
  <r>
    <n v="1022"/>
    <s v="1022111"/>
    <d v="2023-09-14T06:10:11"/>
    <s v="type10"/>
    <n v="25"/>
    <x v="1"/>
    <d v="2023-09-16T06:10:11"/>
    <x v="0"/>
    <d v="2023-10-03T00:00:00"/>
    <n v="18.742928240739275"/>
    <x v="0"/>
    <x v="2"/>
    <n v="16.742928240739275"/>
    <x v="2"/>
  </r>
  <r>
    <n v="1025"/>
    <s v="1025111"/>
    <d v="2023-09-17T06:10:11"/>
    <s v="type40"/>
    <n v="-1161.02"/>
    <x v="4"/>
    <d v="2023-09-24T06:10:11"/>
    <x v="5"/>
    <d v="2023-10-03T00:00:00"/>
    <n v="15.742928240739275"/>
    <x v="0"/>
    <x v="5"/>
    <n v="8.7429282407392748"/>
    <x v="5"/>
  </r>
  <r>
    <n v="1002"/>
    <s v="1002111"/>
    <d v="2023-09-18T06:10:11"/>
    <s v="type40"/>
    <n v="364.29"/>
    <x v="5"/>
    <d v="2023-09-20T06:10:11"/>
    <x v="3"/>
    <d v="2023-10-03T00:00:00"/>
    <n v="14.742928240739275"/>
    <x v="0"/>
    <x v="9"/>
    <n v="12.742928240739275"/>
    <x v="9"/>
  </r>
  <r>
    <n v="1001"/>
    <s v="1001111"/>
    <d v="2023-09-17T06:10:11"/>
    <s v="type40"/>
    <n v="-1116.94"/>
    <x v="2"/>
    <d v="2023-09-19T06:10:11"/>
    <x v="3"/>
    <d v="2023-10-03T00:00:00"/>
    <n v="15.742928240739275"/>
    <x v="0"/>
    <x v="19"/>
    <n v="13.742928240739275"/>
    <x v="19"/>
  </r>
  <r>
    <n v="1011"/>
    <s v="1011111"/>
    <d v="2023-09-18T06:10:11"/>
    <s v="type40"/>
    <n v="-1000.11"/>
    <x v="5"/>
    <d v="2023-09-20T06:10:11"/>
    <x v="1"/>
    <d v="2023-10-03T00:00:00"/>
    <n v="14.742928240739275"/>
    <x v="0"/>
    <x v="9"/>
    <n v="12.742928240739275"/>
    <x v="9"/>
  </r>
  <r>
    <n v="1028"/>
    <s v="1028111"/>
    <d v="2023-09-18T06:10:11"/>
    <s v="type40"/>
    <n v="537.13"/>
    <x v="2"/>
    <d v="2023-09-20T06:10:11"/>
    <x v="5"/>
    <d v="2023-10-03T00:00:00"/>
    <n v="14.742928240739275"/>
    <x v="0"/>
    <x v="9"/>
    <n v="12.742928240739275"/>
    <x v="9"/>
  </r>
  <r>
    <n v="1007"/>
    <s v="1007111"/>
    <d v="2023-09-16T06:10:11"/>
    <s v="type40"/>
    <n v="305.04000000000002"/>
    <x v="4"/>
    <d v="2023-09-18T06:10:11"/>
    <x v="1"/>
    <d v="2023-10-03T00:00:00"/>
    <n v="16.742928240739275"/>
    <x v="0"/>
    <x v="6"/>
    <n v="14.742928240739275"/>
    <x v="6"/>
  </r>
  <r>
    <n v="1025"/>
    <s v="1025111"/>
    <d v="2023-09-18T06:10:11"/>
    <s v="type40"/>
    <n v="-958.69"/>
    <x v="1"/>
    <d v="2023-09-20T06:10:11"/>
    <x v="5"/>
    <d v="2023-10-03T00:00:00"/>
    <n v="14.742928240739275"/>
    <x v="0"/>
    <x v="9"/>
    <n v="12.742928240739275"/>
    <x v="9"/>
  </r>
  <r>
    <n v="1008"/>
    <s v="1008111"/>
    <d v="2023-09-19T06:10:11"/>
    <s v="type13"/>
    <n v="23262.49"/>
    <x v="3"/>
    <d v="2023-09-21T06:10:11"/>
    <x v="1"/>
    <d v="2023-10-03T00:00:00"/>
    <n v="13.742928240739275"/>
    <x v="0"/>
    <x v="1"/>
    <n v="11.742928240739275"/>
    <x v="1"/>
  </r>
  <r>
    <n v="1021"/>
    <s v="1021111"/>
    <d v="2023-09-21T06:10:11"/>
    <s v="type40"/>
    <n v="-431.97"/>
    <x v="5"/>
    <d v="2023-09-26T06:10:11"/>
    <x v="0"/>
    <d v="2023-10-03T00:00:00"/>
    <n v="11.742928240739275"/>
    <x v="0"/>
    <x v="7"/>
    <n v="6.7429282407392748"/>
    <x v="7"/>
  </r>
  <r>
    <n v="1011"/>
    <s v="1011111"/>
    <d v="2023-09-16T06:10:11"/>
    <s v="type32"/>
    <n v="480388.4"/>
    <x v="4"/>
    <d v="2023-09-18T06:10:11"/>
    <x v="1"/>
    <d v="2023-10-03T00:00:00"/>
    <n v="16.742928240739275"/>
    <x v="0"/>
    <x v="6"/>
    <n v="14.742928240739275"/>
    <x v="6"/>
  </r>
  <r>
    <n v="1014"/>
    <s v="1014111"/>
    <d v="2023-09-21T06:10:11"/>
    <s v="type40"/>
    <n v="-1152.4100000000001"/>
    <x v="3"/>
    <d v="2023-09-26T06:10:11"/>
    <x v="2"/>
    <d v="2023-10-03T00:00:00"/>
    <n v="11.742928240739275"/>
    <x v="0"/>
    <x v="7"/>
    <n v="6.7429282407392748"/>
    <x v="7"/>
  </r>
  <r>
    <n v="1002"/>
    <s v="1002111"/>
    <d v="2023-09-18T06:10:11"/>
    <s v="type40"/>
    <n v="603.83000000000004"/>
    <x v="4"/>
    <d v="2023-09-20T06:10:11"/>
    <x v="3"/>
    <d v="2023-10-03T00:00:00"/>
    <n v="14.742928240739275"/>
    <x v="0"/>
    <x v="9"/>
    <n v="12.742928240739275"/>
    <x v="9"/>
  </r>
  <r>
    <n v="1004"/>
    <s v="1004111"/>
    <d v="2023-09-10T06:10:11"/>
    <s v="type26"/>
    <n v="409.84"/>
    <x v="2"/>
    <d v="2023-09-17T06:10:11"/>
    <x v="3"/>
    <d v="2023-10-03T00:00:00"/>
    <n v="22.742928240739275"/>
    <x v="0"/>
    <x v="4"/>
    <n v="15.742928240739275"/>
    <x v="4"/>
  </r>
  <r>
    <n v="1013"/>
    <s v="1013111"/>
    <d v="2023-09-23T06:10:11"/>
    <s v="type13"/>
    <n v="18521.849999999999"/>
    <x v="1"/>
    <d v="2023-09-28T06:10:11"/>
    <x v="2"/>
    <d v="2023-10-03T00:00:00"/>
    <n v="9.7429282407392748"/>
    <x v="0"/>
    <x v="8"/>
    <n v="4.7429282407392748"/>
    <x v="8"/>
  </r>
  <r>
    <n v="1032"/>
    <s v="1032111"/>
    <d v="2023-09-11T06:10:11"/>
    <s v="type4"/>
    <n v="6"/>
    <x v="2"/>
    <d v="2023-09-18T06:10:11"/>
    <x v="4"/>
    <d v="2023-10-03T00:00:00"/>
    <n v="21.742928240739275"/>
    <x v="0"/>
    <x v="6"/>
    <n v="14.742928240739275"/>
    <x v="6"/>
  </r>
  <r>
    <n v="1021"/>
    <s v="1021111"/>
    <d v="2023-09-11T06:10:11"/>
    <s v="type40"/>
    <n v="-476.23"/>
    <x v="6"/>
    <d v="2023-09-12T06:10:11"/>
    <x v="0"/>
    <d v="2023-10-03T00:00:00"/>
    <n v="21.742928240739275"/>
    <x v="0"/>
    <x v="18"/>
    <n v="20.742928240739275"/>
    <x v="18"/>
  </r>
  <r>
    <n v="1012"/>
    <s v="1012111"/>
    <d v="2023-09-18T06:10:11"/>
    <s v="type40"/>
    <n v="436.4"/>
    <x v="4"/>
    <d v="2023-09-23T06:10:11"/>
    <x v="2"/>
    <d v="2023-10-03T00:00:00"/>
    <n v="14.742928240739275"/>
    <x v="0"/>
    <x v="3"/>
    <n v="9.7429282407392748"/>
    <x v="3"/>
  </r>
  <r>
    <n v="1014"/>
    <s v="1014111"/>
    <d v="2023-09-27T06:10:11"/>
    <s v="type13"/>
    <n v="22873.94"/>
    <x v="1"/>
    <d v="2023-10-04T06:10:11"/>
    <x v="2"/>
    <d v="2023-10-03T00:00:00"/>
    <n v="5.7429282407392748"/>
    <x v="2"/>
    <x v="23"/>
    <n v="-1.2570717592607252"/>
    <x v="23"/>
  </r>
  <r>
    <n v="1006"/>
    <s v="1006111"/>
    <d v="2023-09-17T06:10:11"/>
    <s v="type40"/>
    <n v="-486.01"/>
    <x v="6"/>
    <d v="2023-09-19T06:10:11"/>
    <x v="1"/>
    <d v="2023-10-03T00:00:00"/>
    <n v="15.742928240739275"/>
    <x v="0"/>
    <x v="19"/>
    <n v="13.742928240739275"/>
    <x v="19"/>
  </r>
  <r>
    <n v="1026"/>
    <s v="1026111"/>
    <d v="2023-09-18T06:10:11"/>
    <s v="type40"/>
    <n v="-408.13"/>
    <x v="6"/>
    <d v="2023-09-20T06:10:11"/>
    <x v="5"/>
    <d v="2023-10-03T00:00:00"/>
    <n v="14.742928240739275"/>
    <x v="0"/>
    <x v="9"/>
    <n v="12.742928240739275"/>
    <x v="9"/>
  </r>
  <r>
    <n v="1007"/>
    <s v="1007111"/>
    <d v="2023-09-22T06:10:11"/>
    <s v="type40"/>
    <n v="-330.81"/>
    <x v="6"/>
    <d v="2023-09-24T06:10:11"/>
    <x v="1"/>
    <d v="2023-10-03T00:00:00"/>
    <n v="10.742928240739275"/>
    <x v="0"/>
    <x v="5"/>
    <n v="8.7429282407392748"/>
    <x v="5"/>
  </r>
  <r>
    <n v="1019"/>
    <s v="1019111"/>
    <d v="2023-09-16T06:10:11"/>
    <s v="type40"/>
    <n v="551.69000000000005"/>
    <x v="2"/>
    <d v="2023-09-23T06:10:11"/>
    <x v="0"/>
    <d v="2023-10-03T00:00:00"/>
    <n v="16.742928240739275"/>
    <x v="0"/>
    <x v="3"/>
    <n v="9.7429282407392748"/>
    <x v="3"/>
  </r>
  <r>
    <n v="1016"/>
    <s v="1016111"/>
    <d v="2023-09-16T06:10:11"/>
    <s v="type15"/>
    <n v="1137.1500000000001"/>
    <x v="6"/>
    <d v="2023-09-18T06:10:11"/>
    <x v="2"/>
    <d v="2023-10-03T00:00:00"/>
    <n v="16.742928240739275"/>
    <x v="0"/>
    <x v="6"/>
    <n v="14.742928240739275"/>
    <x v="6"/>
  </r>
  <r>
    <n v="1008"/>
    <s v="1008111"/>
    <d v="2023-09-22T06:10:11"/>
    <s v="type40"/>
    <n v="318.20999999999998"/>
    <x v="2"/>
    <d v="2023-09-23T06:10:11"/>
    <x v="1"/>
    <d v="2023-10-03T00:00:00"/>
    <n v="10.742928240739275"/>
    <x v="0"/>
    <x v="3"/>
    <n v="9.7429282407392748"/>
    <x v="3"/>
  </r>
  <r>
    <n v="1010"/>
    <s v="1010111"/>
    <d v="2023-09-20T06:10:11"/>
    <s v="type13"/>
    <n v="18709.490000000002"/>
    <x v="3"/>
    <d v="2023-09-27T06:10:11"/>
    <x v="1"/>
    <d v="2023-10-03T00:00:00"/>
    <n v="12.742928240739275"/>
    <x v="0"/>
    <x v="12"/>
    <n v="5.7429282407392748"/>
    <x v="12"/>
  </r>
  <r>
    <n v="1031"/>
    <s v="1031111"/>
    <d v="2023-09-20T06:10:11"/>
    <s v="type40"/>
    <n v="-907.71"/>
    <x v="1"/>
    <d v="2023-09-27T06:10:11"/>
    <x v="4"/>
    <d v="2023-10-03T00:00:00"/>
    <n v="12.742928240739275"/>
    <x v="0"/>
    <x v="12"/>
    <n v="5.7429282407392748"/>
    <x v="12"/>
  </r>
  <r>
    <n v="1020"/>
    <s v="1020111"/>
    <d v="2023-09-20T06:10:11"/>
    <s v="type40"/>
    <n v="-1830.92"/>
    <x v="4"/>
    <d v="2023-09-25T06:10:11"/>
    <x v="0"/>
    <d v="2023-10-03T00:00:00"/>
    <n v="12.742928240739275"/>
    <x v="0"/>
    <x v="11"/>
    <n v="7.7429282407392748"/>
    <x v="11"/>
  </r>
  <r>
    <n v="1009"/>
    <s v="1009111"/>
    <d v="2023-09-21T06:10:11"/>
    <s v="type40"/>
    <n v="606.30999999999995"/>
    <x v="3"/>
    <d v="2023-09-28T06:10:11"/>
    <x v="1"/>
    <d v="2023-10-03T00:00:00"/>
    <n v="11.742928240739275"/>
    <x v="0"/>
    <x v="8"/>
    <n v="4.7429282407392748"/>
    <x v="8"/>
  </r>
  <r>
    <n v="1014"/>
    <s v="1014111"/>
    <d v="2023-09-11T06:10:11"/>
    <s v="type40"/>
    <n v="-862.82"/>
    <x v="6"/>
    <d v="2023-09-18T06:10:11"/>
    <x v="2"/>
    <d v="2023-10-03T00:00:00"/>
    <n v="21.742928240739275"/>
    <x v="0"/>
    <x v="6"/>
    <n v="14.742928240739275"/>
    <x v="6"/>
  </r>
  <r>
    <n v="1019"/>
    <s v="1019111"/>
    <d v="2023-09-23T06:10:11"/>
    <s v="type40"/>
    <n v="-342.07"/>
    <x v="3"/>
    <d v="2023-09-30T06:10:11"/>
    <x v="0"/>
    <d v="2023-10-03T00:00:00"/>
    <n v="9.7429282407392748"/>
    <x v="0"/>
    <x v="14"/>
    <n v="2.7429282407392748"/>
    <x v="14"/>
  </r>
  <r>
    <n v="1015"/>
    <s v="1015111"/>
    <d v="2023-09-23T06:10:11"/>
    <s v="type40"/>
    <n v="-8527.8700000000008"/>
    <x v="2"/>
    <d v="2023-09-25T06:10:11"/>
    <x v="2"/>
    <d v="2023-10-03T00:00:00"/>
    <n v="9.7429282407392748"/>
    <x v="0"/>
    <x v="11"/>
    <n v="7.7429282407392748"/>
    <x v="11"/>
  </r>
  <r>
    <n v="1004"/>
    <s v="1004111"/>
    <d v="2023-09-25T06:10:11"/>
    <s v="type40"/>
    <n v="-851.93"/>
    <x v="1"/>
    <d v="2023-10-02T06:10:11"/>
    <x v="3"/>
    <d v="2023-10-03T00:00:00"/>
    <n v="7.7429282407392748"/>
    <x v="1"/>
    <x v="15"/>
    <n v="0.74292824073927477"/>
    <x v="15"/>
  </r>
  <r>
    <n v="1003"/>
    <s v="1003111"/>
    <d v="2023-09-12T06:10:11"/>
    <s v="type40"/>
    <n v="-352.02"/>
    <x v="5"/>
    <d v="2023-09-17T06:10:11"/>
    <x v="3"/>
    <d v="2023-10-03T00:00:00"/>
    <n v="20.742928240739275"/>
    <x v="0"/>
    <x v="4"/>
    <n v="15.742928240739275"/>
    <x v="4"/>
  </r>
  <r>
    <n v="1018"/>
    <s v="1018111"/>
    <d v="2023-09-16T06:10:11"/>
    <s v="type13"/>
    <n v="32909.9"/>
    <x v="6"/>
    <d v="2023-09-17T06:10:11"/>
    <x v="0"/>
    <d v="2023-10-03T00:00:00"/>
    <n v="16.742928240739275"/>
    <x v="0"/>
    <x v="4"/>
    <n v="15.742928240739275"/>
    <x v="4"/>
  </r>
  <r>
    <n v="1030"/>
    <s v="1030111"/>
    <d v="2023-09-14T06:10:11"/>
    <s v="type13"/>
    <n v="28935.919999999998"/>
    <x v="4"/>
    <d v="2023-09-21T06:10:11"/>
    <x v="4"/>
    <d v="2023-10-03T00:00:00"/>
    <n v="18.742928240739275"/>
    <x v="0"/>
    <x v="1"/>
    <n v="11.742928240739275"/>
    <x v="1"/>
  </r>
  <r>
    <n v="1028"/>
    <s v="1028111"/>
    <d v="2023-09-14T06:10:11"/>
    <s v="type40"/>
    <n v="999.37"/>
    <x v="4"/>
    <d v="2023-09-15T06:10:11"/>
    <x v="5"/>
    <d v="2023-10-03T00:00:00"/>
    <n v="18.742928240739275"/>
    <x v="0"/>
    <x v="0"/>
    <n v="17.742928240739275"/>
    <x v="0"/>
  </r>
  <r>
    <n v="1000"/>
    <s v="1000111"/>
    <d v="2023-09-19T06:10:11"/>
    <s v="type40"/>
    <n v="-730.84"/>
    <x v="5"/>
    <d v="2023-09-26T06:10:11"/>
    <x v="3"/>
    <d v="2023-10-03T00:00:00"/>
    <n v="13.742928240739275"/>
    <x v="0"/>
    <x v="7"/>
    <n v="6.7429282407392748"/>
    <x v="7"/>
  </r>
  <r>
    <n v="1008"/>
    <s v="1008111"/>
    <d v="2023-09-12T06:10:11"/>
    <s v="type40"/>
    <n v="-1105.8699999999999"/>
    <x v="1"/>
    <d v="2023-09-13T06:10:11"/>
    <x v="1"/>
    <d v="2023-10-03T00:00:00"/>
    <n v="20.742928240739275"/>
    <x v="0"/>
    <x v="24"/>
    <n v="19.742928240739275"/>
    <x v="24"/>
  </r>
  <r>
    <n v="1018"/>
    <s v="1018111"/>
    <d v="2023-09-13T06:10:11"/>
    <s v="type40"/>
    <n v="-450.67"/>
    <x v="1"/>
    <d v="2023-09-14T06:10:11"/>
    <x v="0"/>
    <d v="2023-10-03T00:00:00"/>
    <n v="19.742928240739275"/>
    <x v="0"/>
    <x v="20"/>
    <n v="18.742928240739275"/>
    <x v="20"/>
  </r>
  <r>
    <n v="1027"/>
    <s v="1027111"/>
    <d v="2023-09-18T06:10:11"/>
    <s v="type48"/>
    <n v="-1031.06"/>
    <x v="5"/>
    <d v="2023-09-19T06:10:11"/>
    <x v="5"/>
    <d v="2023-10-03T00:00:00"/>
    <n v="14.742928240739275"/>
    <x v="0"/>
    <x v="19"/>
    <n v="13.742928240739275"/>
    <x v="19"/>
  </r>
  <r>
    <n v="1020"/>
    <s v="1020111"/>
    <d v="2023-09-14T06:10:11"/>
    <s v="type40"/>
    <n v="-1663.61"/>
    <x v="1"/>
    <d v="2023-09-15T06:10:11"/>
    <x v="0"/>
    <d v="2023-10-03T00:00:00"/>
    <n v="18.742928240739275"/>
    <x v="0"/>
    <x v="0"/>
    <n v="17.742928240739275"/>
    <x v="0"/>
  </r>
  <r>
    <n v="1008"/>
    <s v="1008111"/>
    <d v="2023-09-15T06:10:11"/>
    <s v="type40"/>
    <n v="7849.73"/>
    <x v="5"/>
    <d v="2023-09-17T06:10:11"/>
    <x v="1"/>
    <d v="2023-10-03T00:00:00"/>
    <n v="17.742928240739275"/>
    <x v="0"/>
    <x v="4"/>
    <n v="15.742928240739275"/>
    <x v="4"/>
  </r>
  <r>
    <n v="1011"/>
    <s v="1011111"/>
    <d v="2023-09-18T06:10:11"/>
    <s v="type38"/>
    <n v="234.05"/>
    <x v="6"/>
    <d v="2023-09-19T06:10:11"/>
    <x v="1"/>
    <d v="2023-10-03T00:00:00"/>
    <n v="14.742928240739275"/>
    <x v="0"/>
    <x v="19"/>
    <n v="13.742928240739275"/>
    <x v="19"/>
  </r>
  <r>
    <n v="1008"/>
    <s v="1008111"/>
    <d v="2023-09-15T06:10:11"/>
    <s v="type40"/>
    <n v="-2087.62"/>
    <x v="3"/>
    <d v="2023-09-16T06:10:11"/>
    <x v="1"/>
    <d v="2023-10-03T00:00:00"/>
    <n v="17.742928240739275"/>
    <x v="0"/>
    <x v="2"/>
    <n v="16.742928240739275"/>
    <x v="2"/>
  </r>
  <r>
    <n v="1016"/>
    <s v="1016111"/>
    <d v="2023-09-19T06:10:11"/>
    <s v="type40"/>
    <n v="-340.69"/>
    <x v="5"/>
    <d v="2023-09-21T06:10:11"/>
    <x v="2"/>
    <d v="2023-10-03T00:00:00"/>
    <n v="13.742928240739275"/>
    <x v="0"/>
    <x v="1"/>
    <n v="11.742928240739275"/>
    <x v="1"/>
  </r>
  <r>
    <n v="1008"/>
    <s v="1008111"/>
    <d v="2023-09-11T06:10:11"/>
    <s v="type13"/>
    <n v="30894.45"/>
    <x v="5"/>
    <d v="2023-09-16T06:10:11"/>
    <x v="1"/>
    <d v="2023-10-03T00:00:00"/>
    <n v="21.742928240739275"/>
    <x v="0"/>
    <x v="2"/>
    <n v="16.742928240739275"/>
    <x v="2"/>
  </r>
  <r>
    <n v="1017"/>
    <s v="1017111"/>
    <d v="2023-09-17T06:10:11"/>
    <s v="type40"/>
    <n v="-1836.58"/>
    <x v="3"/>
    <d v="2023-09-18T06:10:11"/>
    <x v="2"/>
    <d v="2023-10-03T00:00:00"/>
    <n v="15.742928240739275"/>
    <x v="0"/>
    <x v="6"/>
    <n v="14.742928240739275"/>
    <x v="6"/>
  </r>
  <r>
    <n v="1023"/>
    <s v="1023111"/>
    <d v="2023-09-18T06:10:11"/>
    <s v="type40"/>
    <n v="-368.56"/>
    <x v="1"/>
    <d v="2023-09-19T06:10:11"/>
    <x v="0"/>
    <d v="2023-10-03T00:00:00"/>
    <n v="14.742928240739275"/>
    <x v="0"/>
    <x v="19"/>
    <n v="13.742928240739275"/>
    <x v="19"/>
  </r>
  <r>
    <n v="1008"/>
    <s v="1008111"/>
    <d v="2023-09-18T06:10:11"/>
    <s v="type40"/>
    <n v="-540.87"/>
    <x v="3"/>
    <d v="2023-09-19T06:10:11"/>
    <x v="1"/>
    <d v="2023-10-03T00:00:00"/>
    <n v="14.742928240739275"/>
    <x v="0"/>
    <x v="19"/>
    <n v="13.742928240739275"/>
    <x v="19"/>
  </r>
  <r>
    <n v="1003"/>
    <s v="1003111"/>
    <d v="2023-09-12T06:10:11"/>
    <s v="type40"/>
    <n v="-3335.34"/>
    <x v="5"/>
    <d v="2023-09-19T06:10:11"/>
    <x v="3"/>
    <d v="2023-10-03T00:00:00"/>
    <n v="20.742928240739275"/>
    <x v="0"/>
    <x v="19"/>
    <n v="13.742928240739275"/>
    <x v="19"/>
  </r>
  <r>
    <n v="1004"/>
    <s v="1004111"/>
    <d v="2023-09-12T06:10:11"/>
    <s v="type7"/>
    <n v="1860.42"/>
    <x v="6"/>
    <d v="2023-09-14T06:10:11"/>
    <x v="3"/>
    <d v="2023-10-03T00:00:00"/>
    <n v="20.742928240739275"/>
    <x v="0"/>
    <x v="20"/>
    <n v="18.742928240739275"/>
    <x v="20"/>
  </r>
  <r>
    <n v="1004"/>
    <s v="1004111"/>
    <d v="2023-09-13T06:10:11"/>
    <s v="type40"/>
    <n v="2892"/>
    <x v="2"/>
    <d v="2023-09-15T06:10:11"/>
    <x v="3"/>
    <d v="2023-10-03T00:00:00"/>
    <n v="19.742928240739275"/>
    <x v="0"/>
    <x v="0"/>
    <n v="17.742928240739275"/>
    <x v="0"/>
  </r>
  <r>
    <n v="1035"/>
    <s v="1035111"/>
    <d v="2023-09-16T06:10:11"/>
    <s v="type40"/>
    <n v="854.49"/>
    <x v="2"/>
    <d v="2023-09-18T06:10:11"/>
    <x v="4"/>
    <d v="2023-10-03T00:00:00"/>
    <n v="16.742928240739275"/>
    <x v="0"/>
    <x v="6"/>
    <n v="14.742928240739275"/>
    <x v="6"/>
  </r>
  <r>
    <n v="1006"/>
    <s v="1006111"/>
    <d v="2023-09-21T06:10:11"/>
    <s v="type40"/>
    <n v="-407.52"/>
    <x v="3"/>
    <d v="2023-09-23T06:10:11"/>
    <x v="1"/>
    <d v="2023-10-03T00:00:00"/>
    <n v="11.742928240739275"/>
    <x v="0"/>
    <x v="3"/>
    <n v="9.7429282407392748"/>
    <x v="3"/>
  </r>
  <r>
    <n v="1021"/>
    <s v="1021111"/>
    <d v="2023-09-22T06:10:11"/>
    <s v="type40"/>
    <n v="-1176.8699999999999"/>
    <x v="1"/>
    <d v="2023-09-24T06:10:11"/>
    <x v="0"/>
    <d v="2023-10-03T00:00:00"/>
    <n v="10.742928240739275"/>
    <x v="0"/>
    <x v="5"/>
    <n v="8.7429282407392748"/>
    <x v="5"/>
  </r>
  <r>
    <n v="1022"/>
    <s v="1022111"/>
    <d v="2023-09-23T06:10:11"/>
    <s v="type40"/>
    <n v="-304.52999999999997"/>
    <x v="3"/>
    <d v="2023-09-25T06:10:11"/>
    <x v="0"/>
    <d v="2023-10-03T00:00:00"/>
    <n v="9.7429282407392748"/>
    <x v="0"/>
    <x v="11"/>
    <n v="7.7429282407392748"/>
    <x v="11"/>
  </r>
  <r>
    <n v="1021"/>
    <s v="1021111"/>
    <d v="2023-09-24T06:10:11"/>
    <s v="type40"/>
    <n v="456.89"/>
    <x v="1"/>
    <d v="2023-09-26T06:10:11"/>
    <x v="0"/>
    <d v="2023-10-03T00:00:00"/>
    <n v="8.7429282407392748"/>
    <x v="1"/>
    <x v="7"/>
    <n v="6.7429282407392748"/>
    <x v="7"/>
  </r>
  <r>
    <n v="1032"/>
    <s v="1032111"/>
    <d v="2023-09-25T06:10:11"/>
    <s v="type40"/>
    <n v="-1647.95"/>
    <x v="1"/>
    <d v="2023-09-27T06:10:11"/>
    <x v="4"/>
    <d v="2023-10-03T00:00:00"/>
    <n v="7.7429282407392748"/>
    <x v="1"/>
    <x v="12"/>
    <n v="5.7429282407392748"/>
    <x v="12"/>
  </r>
  <r>
    <n v="1014"/>
    <s v="1014111"/>
    <d v="2023-09-17T06:10:11"/>
    <s v="type13"/>
    <n v="25653.66"/>
    <x v="2"/>
    <d v="2023-09-24T06:10:11"/>
    <x v="2"/>
    <d v="2023-10-03T00:00:00"/>
    <n v="15.742928240739275"/>
    <x v="0"/>
    <x v="5"/>
    <n v="8.7429282407392748"/>
    <x v="5"/>
  </r>
  <r>
    <n v="1034"/>
    <s v="1034111"/>
    <d v="2023-09-14T06:10:11"/>
    <s v="type40"/>
    <n v="-732.68"/>
    <x v="5"/>
    <d v="2023-09-21T06:10:11"/>
    <x v="4"/>
    <d v="2023-10-03T00:00:00"/>
    <n v="18.742928240739275"/>
    <x v="0"/>
    <x v="1"/>
    <n v="11.742928240739275"/>
    <x v="1"/>
  </r>
  <r>
    <n v="1026"/>
    <s v="1026111"/>
    <d v="2023-09-16T06:10:11"/>
    <s v="type40"/>
    <n v="5449.33"/>
    <x v="4"/>
    <d v="2023-09-18T06:10:11"/>
    <x v="5"/>
    <d v="2023-10-03T00:00:00"/>
    <n v="16.742928240739275"/>
    <x v="0"/>
    <x v="6"/>
    <n v="14.742928240739275"/>
    <x v="6"/>
  </r>
  <r>
    <n v="1025"/>
    <s v="1025111"/>
    <d v="2023-09-18T06:10:11"/>
    <s v="type40"/>
    <n v="564.35"/>
    <x v="5"/>
    <d v="2023-09-25T06:10:11"/>
    <x v="5"/>
    <d v="2023-10-03T00:00:00"/>
    <n v="14.742928240739275"/>
    <x v="0"/>
    <x v="11"/>
    <n v="7.7429282407392748"/>
    <x v="11"/>
  </r>
  <r>
    <n v="1028"/>
    <s v="1028111"/>
    <d v="2023-09-15T06:10:11"/>
    <s v="type40"/>
    <n v="-694.93"/>
    <x v="6"/>
    <d v="2023-09-17T06:10:11"/>
    <x v="5"/>
    <d v="2023-10-03T00:00:00"/>
    <n v="17.742928240739275"/>
    <x v="0"/>
    <x v="4"/>
    <n v="15.742928240739275"/>
    <x v="4"/>
  </r>
  <r>
    <n v="1005"/>
    <s v="1005111"/>
    <d v="2023-09-18T06:10:11"/>
    <s v="type40"/>
    <n v="2501.08"/>
    <x v="3"/>
    <d v="2023-09-20T06:10:11"/>
    <x v="3"/>
    <d v="2023-10-03T00:00:00"/>
    <n v="14.742928240739275"/>
    <x v="0"/>
    <x v="9"/>
    <n v="12.742928240739275"/>
    <x v="9"/>
  </r>
  <r>
    <n v="1022"/>
    <s v="1022111"/>
    <d v="2023-09-22T06:10:11"/>
    <s v="type40"/>
    <n v="-1066.3900000000001"/>
    <x v="6"/>
    <d v="2023-09-29T06:10:11"/>
    <x v="0"/>
    <d v="2023-10-03T00:00:00"/>
    <n v="10.742928240739275"/>
    <x v="0"/>
    <x v="13"/>
    <n v="3.7429282407392748"/>
    <x v="13"/>
  </r>
  <r>
    <n v="1006"/>
    <s v="1006111"/>
    <d v="2023-09-14T06:10:11"/>
    <s v="type40"/>
    <n v="476.95"/>
    <x v="2"/>
    <d v="2023-09-15T06:10:11"/>
    <x v="1"/>
    <d v="2023-10-03T00:00:00"/>
    <n v="18.742928240739275"/>
    <x v="0"/>
    <x v="0"/>
    <n v="17.742928240739275"/>
    <x v="0"/>
  </r>
  <r>
    <n v="1023"/>
    <s v="1023111"/>
    <d v="2023-09-20T06:10:11"/>
    <s v="type40"/>
    <n v="16.579999999999998"/>
    <x v="6"/>
    <d v="2023-09-27T06:10:11"/>
    <x v="0"/>
    <d v="2023-10-03T00:00:00"/>
    <n v="12.742928240739275"/>
    <x v="0"/>
    <x v="12"/>
    <n v="5.7429282407392748"/>
    <x v="12"/>
  </r>
  <r>
    <n v="1034"/>
    <s v="1034111"/>
    <d v="2023-09-20T06:10:11"/>
    <s v="type7"/>
    <n v="-1393.72"/>
    <x v="1"/>
    <d v="2023-09-22T06:10:11"/>
    <x v="4"/>
    <d v="2023-10-03T00:00:00"/>
    <n v="12.742928240739275"/>
    <x v="0"/>
    <x v="10"/>
    <n v="10.742928240739275"/>
    <x v="10"/>
  </r>
  <r>
    <n v="1022"/>
    <s v="1022111"/>
    <d v="2023-09-21T06:10:11"/>
    <s v="type40"/>
    <n v="947.09"/>
    <x v="5"/>
    <d v="2023-09-22T06:10:11"/>
    <x v="0"/>
    <d v="2023-10-03T00:00:00"/>
    <n v="11.742928240739275"/>
    <x v="0"/>
    <x v="10"/>
    <n v="10.742928240739275"/>
    <x v="10"/>
  </r>
  <r>
    <n v="1027"/>
    <s v="1027111"/>
    <d v="2023-09-21T06:10:11"/>
    <s v="type40"/>
    <n v="324.20999999999998"/>
    <x v="5"/>
    <d v="2023-09-22T06:10:11"/>
    <x v="5"/>
    <d v="2023-10-03T00:00:00"/>
    <n v="11.742928240739275"/>
    <x v="0"/>
    <x v="10"/>
    <n v="10.742928240739275"/>
    <x v="10"/>
  </r>
  <r>
    <n v="1022"/>
    <s v="1022111"/>
    <d v="2023-09-22T06:10:11"/>
    <s v="type40"/>
    <n v="1217.94"/>
    <x v="3"/>
    <d v="2023-09-24T06:10:11"/>
    <x v="0"/>
    <d v="2023-10-03T00:00:00"/>
    <n v="10.742928240739275"/>
    <x v="0"/>
    <x v="5"/>
    <n v="8.7429282407392748"/>
    <x v="5"/>
  </r>
  <r>
    <n v="1003"/>
    <s v="1003111"/>
    <d v="2023-09-23T06:10:11"/>
    <s v="type40"/>
    <n v="-447.11"/>
    <x v="5"/>
    <d v="2023-09-25T06:10:11"/>
    <x v="3"/>
    <d v="2023-10-03T00:00:00"/>
    <n v="9.7429282407392748"/>
    <x v="0"/>
    <x v="11"/>
    <n v="7.7429282407392748"/>
    <x v="11"/>
  </r>
  <r>
    <n v="1002"/>
    <s v="1002111"/>
    <d v="2023-09-12T06:10:11"/>
    <s v="type40"/>
    <n v="-1341.11"/>
    <x v="5"/>
    <d v="2023-09-17T06:10:11"/>
    <x v="3"/>
    <d v="2023-10-03T00:00:00"/>
    <n v="20.742928240739275"/>
    <x v="0"/>
    <x v="4"/>
    <n v="15.742928240739275"/>
    <x v="4"/>
  </r>
  <r>
    <n v="1021"/>
    <s v="1021111"/>
    <d v="2023-09-14T06:10:11"/>
    <s v="type41"/>
    <n v="590.98"/>
    <x v="2"/>
    <d v="2023-09-15T06:10:11"/>
    <x v="0"/>
    <d v="2023-10-03T00:00:00"/>
    <n v="18.742928240739275"/>
    <x v="0"/>
    <x v="0"/>
    <n v="17.742928240739275"/>
    <x v="0"/>
  </r>
  <r>
    <n v="1005"/>
    <s v="1005111"/>
    <d v="2023-09-26T06:10:11"/>
    <s v="type40"/>
    <n v="-405.15"/>
    <x v="1"/>
    <d v="2023-10-01T06:10:11"/>
    <x v="3"/>
    <d v="2023-10-03T00:00:00"/>
    <n v="6.7429282407392748"/>
    <x v="1"/>
    <x v="22"/>
    <n v="1.7429282407392748"/>
    <x v="22"/>
  </r>
  <r>
    <n v="1010"/>
    <s v="1010111"/>
    <d v="2023-09-11T06:10:11"/>
    <s v="type40"/>
    <n v="674.5"/>
    <x v="6"/>
    <d v="2023-09-12T06:10:11"/>
    <x v="1"/>
    <d v="2023-10-03T00:00:00"/>
    <n v="21.742928240739275"/>
    <x v="0"/>
    <x v="18"/>
    <n v="20.742928240739275"/>
    <x v="18"/>
  </r>
  <r>
    <n v="1016"/>
    <s v="1016111"/>
    <d v="2023-09-17T06:10:11"/>
    <s v="type40"/>
    <n v="13.81"/>
    <x v="5"/>
    <d v="2023-09-24T06:10:11"/>
    <x v="2"/>
    <d v="2023-10-03T00:00:00"/>
    <n v="15.742928240739275"/>
    <x v="0"/>
    <x v="5"/>
    <n v="8.7429282407392748"/>
    <x v="5"/>
  </r>
  <r>
    <n v="1029"/>
    <s v="1029111"/>
    <d v="2023-09-15T06:10:11"/>
    <s v="type52"/>
    <n v="116.53"/>
    <x v="2"/>
    <d v="2023-09-16T06:10:11"/>
    <x v="5"/>
    <d v="2023-10-03T00:00:00"/>
    <n v="17.742928240739275"/>
    <x v="0"/>
    <x v="2"/>
    <n v="16.742928240739275"/>
    <x v="2"/>
  </r>
  <r>
    <n v="1021"/>
    <s v="1021111"/>
    <d v="2023-09-15T06:10:11"/>
    <s v="type40"/>
    <n v="61.61"/>
    <x v="2"/>
    <d v="2023-09-16T06:10:11"/>
    <x v="0"/>
    <d v="2023-10-03T00:00:00"/>
    <n v="17.742928240739275"/>
    <x v="0"/>
    <x v="2"/>
    <n v="16.742928240739275"/>
    <x v="2"/>
  </r>
  <r>
    <n v="1003"/>
    <s v="1003111"/>
    <d v="2023-09-18T06:10:11"/>
    <s v="type40"/>
    <n v="1365.8"/>
    <x v="4"/>
    <d v="2023-09-20T06:10:11"/>
    <x v="3"/>
    <d v="2023-10-03T00:00:00"/>
    <n v="14.742928240739275"/>
    <x v="0"/>
    <x v="9"/>
    <n v="12.742928240739275"/>
    <x v="9"/>
  </r>
  <r>
    <n v="1004"/>
    <s v="1004111"/>
    <d v="2023-09-13T06:10:11"/>
    <s v="type7"/>
    <n v="1393.72"/>
    <x v="3"/>
    <d v="2023-09-18T06:10:11"/>
    <x v="3"/>
    <d v="2023-10-03T00:00:00"/>
    <n v="19.742928240739275"/>
    <x v="0"/>
    <x v="6"/>
    <n v="14.742928240739275"/>
    <x v="6"/>
  </r>
  <r>
    <n v="1028"/>
    <s v="1028111"/>
    <d v="2023-09-13T06:10:11"/>
    <s v="type7"/>
    <n v="1696.39"/>
    <x v="3"/>
    <d v="2023-09-18T06:10:11"/>
    <x v="5"/>
    <d v="2023-10-03T00:00:00"/>
    <n v="19.742928240739275"/>
    <x v="0"/>
    <x v="6"/>
    <n v="14.742928240739275"/>
    <x v="6"/>
  </r>
  <r>
    <n v="1029"/>
    <s v="1029111"/>
    <d v="2023-09-14T06:10:11"/>
    <s v="type40"/>
    <n v="-1225.97"/>
    <x v="3"/>
    <d v="2023-09-19T06:10:11"/>
    <x v="5"/>
    <d v="2023-10-03T00:00:00"/>
    <n v="18.742928240739275"/>
    <x v="0"/>
    <x v="19"/>
    <n v="13.742928240739275"/>
    <x v="19"/>
  </r>
  <r>
    <n v="1012"/>
    <s v="1012111"/>
    <d v="2023-09-14T06:10:11"/>
    <s v="type2"/>
    <n v="1087"/>
    <x v="1"/>
    <d v="2023-09-21T06:10:11"/>
    <x v="2"/>
    <d v="2023-10-03T00:00:00"/>
    <n v="18.742928240739275"/>
    <x v="0"/>
    <x v="1"/>
    <n v="11.742928240739275"/>
    <x v="1"/>
  </r>
  <r>
    <n v="1028"/>
    <s v="1028111"/>
    <d v="2023-09-20T06:10:11"/>
    <s v="type7"/>
    <n v="-1200.6500000000001"/>
    <x v="5"/>
    <d v="2023-09-27T06:10:11"/>
    <x v="5"/>
    <d v="2023-10-03T00:00:00"/>
    <n v="12.742928240739275"/>
    <x v="0"/>
    <x v="12"/>
    <n v="5.7429282407392748"/>
    <x v="12"/>
  </r>
  <r>
    <n v="1002"/>
    <s v="1002111"/>
    <d v="2023-09-19T06:10:11"/>
    <s v="type13"/>
    <n v="66220.55"/>
    <x v="4"/>
    <d v="2023-09-21T06:10:11"/>
    <x v="3"/>
    <d v="2023-10-03T00:00:00"/>
    <n v="13.742928240739275"/>
    <x v="0"/>
    <x v="1"/>
    <n v="11.742928240739275"/>
    <x v="1"/>
  </r>
  <r>
    <n v="1016"/>
    <s v="1016111"/>
    <d v="2023-09-15T06:10:11"/>
    <s v="type40"/>
    <n v="456.42"/>
    <x v="4"/>
    <d v="2023-09-20T06:10:11"/>
    <x v="2"/>
    <d v="2023-10-03T00:00:00"/>
    <n v="17.742928240739275"/>
    <x v="0"/>
    <x v="9"/>
    <n v="12.742928240739275"/>
    <x v="9"/>
  </r>
  <r>
    <n v="1035"/>
    <s v="1035111"/>
    <d v="2023-09-16T06:10:11"/>
    <s v="type40"/>
    <n v="639.4"/>
    <x v="4"/>
    <d v="2023-09-21T06:10:11"/>
    <x v="4"/>
    <d v="2023-10-03T00:00:00"/>
    <n v="16.742928240739275"/>
    <x v="0"/>
    <x v="1"/>
    <n v="11.742928240739275"/>
    <x v="1"/>
  </r>
  <r>
    <n v="1000"/>
    <s v="1000111"/>
    <d v="2023-09-19T06:10:11"/>
    <s v="type13"/>
    <n v="25281.4"/>
    <x v="4"/>
    <d v="2023-09-26T06:10:11"/>
    <x v="3"/>
    <d v="2023-10-03T00:00:00"/>
    <n v="13.742928240739275"/>
    <x v="0"/>
    <x v="7"/>
    <n v="6.7429282407392748"/>
    <x v="7"/>
  </r>
  <r>
    <n v="1000"/>
    <s v="1000111"/>
    <d v="2023-09-21T06:10:11"/>
    <s v="type40"/>
    <n v="563.39"/>
    <x v="4"/>
    <d v="2023-09-28T06:10:11"/>
    <x v="3"/>
    <d v="2023-10-03T00:00:00"/>
    <n v="11.742928240739275"/>
    <x v="0"/>
    <x v="8"/>
    <n v="4.7429282407392748"/>
    <x v="8"/>
  </r>
  <r>
    <n v="1007"/>
    <s v="1007111"/>
    <d v="2023-09-18T06:10:11"/>
    <s v="type50"/>
    <n v="0"/>
    <x v="2"/>
    <d v="2023-09-19T06:10:11"/>
    <x v="1"/>
    <d v="2023-10-03T00:00:00"/>
    <n v="14.742928240739275"/>
    <x v="0"/>
    <x v="19"/>
    <n v="13.742928240739275"/>
    <x v="19"/>
  </r>
  <r>
    <n v="1009"/>
    <s v="1009111"/>
    <d v="2023-09-13T06:10:11"/>
    <s v="type38"/>
    <n v="182.5"/>
    <x v="5"/>
    <d v="2023-09-20T06:10:11"/>
    <x v="1"/>
    <d v="2023-10-03T00:00:00"/>
    <n v="19.742928240739275"/>
    <x v="0"/>
    <x v="9"/>
    <n v="12.742928240739275"/>
    <x v="9"/>
  </r>
  <r>
    <n v="1032"/>
    <s v="1032111"/>
    <d v="2023-09-20T06:10:11"/>
    <s v="type40"/>
    <n v="6888.75"/>
    <x v="1"/>
    <d v="2023-09-27T06:10:11"/>
    <x v="4"/>
    <d v="2023-10-03T00:00:00"/>
    <n v="12.742928240739275"/>
    <x v="0"/>
    <x v="12"/>
    <n v="5.7429282407392748"/>
    <x v="12"/>
  </r>
  <r>
    <n v="1000"/>
    <s v="1000111"/>
    <d v="2023-09-20T06:10:11"/>
    <s v="type40"/>
    <n v="-481.03"/>
    <x v="3"/>
    <d v="2023-09-27T06:10:11"/>
    <x v="3"/>
    <d v="2023-10-03T00:00:00"/>
    <n v="12.742928240739275"/>
    <x v="0"/>
    <x v="12"/>
    <n v="5.7429282407392748"/>
    <x v="12"/>
  </r>
  <r>
    <n v="1003"/>
    <s v="1003111"/>
    <d v="2023-09-14T06:10:11"/>
    <s v="type40"/>
    <n v="1763.41"/>
    <x v="6"/>
    <d v="2023-09-15T06:10:11"/>
    <x v="3"/>
    <d v="2023-10-03T00:00:00"/>
    <n v="18.742928240739275"/>
    <x v="0"/>
    <x v="0"/>
    <n v="17.742928240739275"/>
    <x v="0"/>
  </r>
  <r>
    <n v="1027"/>
    <s v="1027111"/>
    <d v="2023-09-20T06:10:11"/>
    <s v="type40"/>
    <n v="391.7"/>
    <x v="6"/>
    <d v="2023-09-22T06:10:11"/>
    <x v="5"/>
    <d v="2023-10-03T00:00:00"/>
    <n v="12.742928240739275"/>
    <x v="0"/>
    <x v="10"/>
    <n v="10.742928240739275"/>
    <x v="10"/>
  </r>
  <r>
    <n v="1004"/>
    <s v="1004111"/>
    <d v="2023-09-23T06:10:11"/>
    <s v="type40"/>
    <n v="-312.99"/>
    <x v="4"/>
    <d v="2023-09-24T06:10:11"/>
    <x v="3"/>
    <d v="2023-10-03T00:00:00"/>
    <n v="9.7429282407392748"/>
    <x v="0"/>
    <x v="5"/>
    <n v="8.7429282407392748"/>
    <x v="5"/>
  </r>
  <r>
    <n v="1001"/>
    <s v="1001111"/>
    <d v="2023-09-23T06:10:11"/>
    <s v="type13"/>
    <n v="17160"/>
    <x v="3"/>
    <d v="2023-09-30T06:10:11"/>
    <x v="3"/>
    <d v="2023-10-03T00:00:00"/>
    <n v="9.7429282407392748"/>
    <x v="0"/>
    <x v="14"/>
    <n v="2.7429282407392748"/>
    <x v="14"/>
  </r>
  <r>
    <n v="1007"/>
    <s v="1007111"/>
    <d v="2023-09-24T06:10:11"/>
    <s v="type13"/>
    <n v="12929.98"/>
    <x v="1"/>
    <d v="2023-10-01T06:10:11"/>
    <x v="1"/>
    <d v="2023-10-03T00:00:00"/>
    <n v="8.7429282407392748"/>
    <x v="1"/>
    <x v="22"/>
    <n v="1.7429282407392748"/>
    <x v="22"/>
  </r>
  <r>
    <n v="1024"/>
    <s v="1024111"/>
    <d v="2023-09-20T06:10:11"/>
    <s v="type7"/>
    <n v="-7468.73"/>
    <x v="6"/>
    <d v="2023-09-22T06:10:11"/>
    <x v="5"/>
    <d v="2023-10-03T00:00:00"/>
    <n v="12.742928240739275"/>
    <x v="0"/>
    <x v="10"/>
    <n v="10.742928240739275"/>
    <x v="10"/>
  </r>
  <r>
    <n v="1019"/>
    <s v="1019111"/>
    <d v="2023-09-20T06:10:11"/>
    <s v="type13"/>
    <n v="30735"/>
    <x v="6"/>
    <d v="2023-09-22T06:10:11"/>
    <x v="0"/>
    <d v="2023-10-03T00:00:00"/>
    <n v="12.742928240739275"/>
    <x v="0"/>
    <x v="10"/>
    <n v="10.742928240739275"/>
    <x v="10"/>
  </r>
  <r>
    <n v="1029"/>
    <s v="1029111"/>
    <d v="2023-09-21T06:10:11"/>
    <s v="type40"/>
    <n v="485.83"/>
    <x v="6"/>
    <d v="2023-09-26T06:10:11"/>
    <x v="5"/>
    <d v="2023-10-03T00:00:00"/>
    <n v="11.742928240739275"/>
    <x v="0"/>
    <x v="7"/>
    <n v="6.7429282407392748"/>
    <x v="7"/>
  </r>
  <r>
    <n v="1035"/>
    <s v="1035111"/>
    <d v="2023-09-21T06:10:11"/>
    <s v="type13"/>
    <n v="25797.58"/>
    <x v="2"/>
    <d v="2023-09-22T06:10:11"/>
    <x v="4"/>
    <d v="2023-10-03T00:00:00"/>
    <n v="11.742928240739275"/>
    <x v="0"/>
    <x v="10"/>
    <n v="10.742928240739275"/>
    <x v="10"/>
  </r>
  <r>
    <n v="1000"/>
    <s v="1000111"/>
    <d v="2023-09-15T06:10:11"/>
    <s v="type13"/>
    <n v="28232.89"/>
    <x v="5"/>
    <d v="2023-09-16T06:10:11"/>
    <x v="3"/>
    <d v="2023-10-03T00:00:00"/>
    <n v="17.742928240739275"/>
    <x v="0"/>
    <x v="2"/>
    <n v="16.742928240739275"/>
    <x v="2"/>
  </r>
  <r>
    <n v="1033"/>
    <s v="1033111"/>
    <d v="2023-09-21T06:10:11"/>
    <s v="type26"/>
    <n v="149.85"/>
    <x v="2"/>
    <d v="2023-09-23T06:10:11"/>
    <x v="4"/>
    <d v="2023-10-03T00:00:00"/>
    <n v="11.742928240739275"/>
    <x v="0"/>
    <x v="3"/>
    <n v="9.7429282407392748"/>
    <x v="3"/>
  </r>
  <r>
    <n v="1003"/>
    <s v="1003111"/>
    <d v="2023-09-23T06:10:11"/>
    <s v="type40"/>
    <n v="-2054.62"/>
    <x v="2"/>
    <d v="2023-09-25T06:10:11"/>
    <x v="3"/>
    <d v="2023-10-03T00:00:00"/>
    <n v="9.7429282407392748"/>
    <x v="0"/>
    <x v="11"/>
    <n v="7.7429282407392748"/>
    <x v="11"/>
  </r>
  <r>
    <n v="1015"/>
    <s v="1015111"/>
    <d v="2023-09-18T06:10:11"/>
    <s v="type40"/>
    <n v="-1462.03"/>
    <x v="1"/>
    <d v="2023-09-19T06:10:11"/>
    <x v="2"/>
    <d v="2023-10-03T00:00:00"/>
    <n v="14.742928240739275"/>
    <x v="0"/>
    <x v="19"/>
    <n v="13.742928240739275"/>
    <x v="19"/>
  </r>
  <r>
    <n v="1007"/>
    <s v="1007111"/>
    <d v="2023-09-20T06:10:11"/>
    <s v="type18"/>
    <n v="985.32"/>
    <x v="5"/>
    <d v="2023-09-21T06:10:11"/>
    <x v="1"/>
    <d v="2023-10-03T00:00:00"/>
    <n v="12.742928240739275"/>
    <x v="0"/>
    <x v="1"/>
    <n v="11.742928240739275"/>
    <x v="1"/>
  </r>
  <r>
    <n v="1016"/>
    <s v="1016111"/>
    <d v="2023-09-20T06:10:11"/>
    <s v="type40"/>
    <n v="-3319.42"/>
    <x v="1"/>
    <d v="2023-09-21T06:10:11"/>
    <x v="2"/>
    <d v="2023-10-03T00:00:00"/>
    <n v="12.742928240739275"/>
    <x v="0"/>
    <x v="1"/>
    <n v="11.742928240739275"/>
    <x v="1"/>
  </r>
  <r>
    <n v="1027"/>
    <s v="1027111"/>
    <d v="2023-09-20T06:10:11"/>
    <s v="type40"/>
    <n v="-763.95"/>
    <x v="1"/>
    <d v="2023-09-21T06:10:11"/>
    <x v="5"/>
    <d v="2023-10-03T00:00:00"/>
    <n v="12.742928240739275"/>
    <x v="0"/>
    <x v="1"/>
    <n v="11.742928240739275"/>
    <x v="1"/>
  </r>
  <r>
    <n v="1029"/>
    <s v="1029111"/>
    <d v="2023-09-21T06:10:11"/>
    <s v="type40"/>
    <n v="-898.13"/>
    <x v="2"/>
    <d v="2023-09-23T06:10:11"/>
    <x v="5"/>
    <d v="2023-10-03T00:00:00"/>
    <n v="11.742928240739275"/>
    <x v="0"/>
    <x v="3"/>
    <n v="9.7429282407392748"/>
    <x v="3"/>
  </r>
  <r>
    <n v="1000"/>
    <s v="1000111"/>
    <d v="2023-09-15T06:10:11"/>
    <s v="type40"/>
    <n v="-1382.65"/>
    <x v="6"/>
    <d v="2023-09-22T06:10:11"/>
    <x v="3"/>
    <d v="2023-10-03T00:00:00"/>
    <n v="17.742928240739275"/>
    <x v="0"/>
    <x v="10"/>
    <n v="10.742928240739275"/>
    <x v="10"/>
  </r>
  <r>
    <n v="1018"/>
    <s v="1018111"/>
    <d v="2023-09-14T06:10:11"/>
    <s v="type40"/>
    <n v="474.1"/>
    <x v="4"/>
    <d v="2023-09-15T06:10:11"/>
    <x v="0"/>
    <d v="2023-10-03T00:00:00"/>
    <n v="18.742928240739275"/>
    <x v="0"/>
    <x v="0"/>
    <n v="17.742928240739275"/>
    <x v="0"/>
  </r>
  <r>
    <n v="1015"/>
    <s v="1015111"/>
    <d v="2023-09-21T06:10:11"/>
    <s v="type40"/>
    <n v="6944.05"/>
    <x v="5"/>
    <d v="2023-09-22T06:10:11"/>
    <x v="2"/>
    <d v="2023-10-03T00:00:00"/>
    <n v="11.742928240739275"/>
    <x v="0"/>
    <x v="10"/>
    <n v="10.742928240739275"/>
    <x v="10"/>
  </r>
  <r>
    <n v="1008"/>
    <s v="1008111"/>
    <d v="2023-09-24T06:10:11"/>
    <s v="type40"/>
    <n v="492.39"/>
    <x v="3"/>
    <d v="2023-09-25T06:10:11"/>
    <x v="1"/>
    <d v="2023-10-03T00:00:00"/>
    <n v="8.7429282407392748"/>
    <x v="1"/>
    <x v="11"/>
    <n v="7.7429282407392748"/>
    <x v="11"/>
  </r>
  <r>
    <n v="1015"/>
    <s v="1015111"/>
    <d v="2023-09-17T06:10:11"/>
    <s v="type13"/>
    <n v="25856.31"/>
    <x v="6"/>
    <d v="2023-09-24T06:10:11"/>
    <x v="2"/>
    <d v="2023-10-03T00:00:00"/>
    <n v="15.742928240739275"/>
    <x v="0"/>
    <x v="5"/>
    <n v="8.7429282407392748"/>
    <x v="5"/>
  </r>
  <r>
    <n v="1008"/>
    <s v="1008111"/>
    <d v="2023-09-19T06:10:11"/>
    <s v="type13"/>
    <n v="28078.52"/>
    <x v="6"/>
    <d v="2023-09-26T06:10:11"/>
    <x v="1"/>
    <d v="2023-10-03T00:00:00"/>
    <n v="13.742928240739275"/>
    <x v="0"/>
    <x v="7"/>
    <n v="6.7429282407392748"/>
    <x v="7"/>
  </r>
  <r>
    <n v="1003"/>
    <s v="1003111"/>
    <d v="2023-09-27T06:10:11"/>
    <s v="type13"/>
    <n v="16853"/>
    <x v="3"/>
    <d v="2023-09-28T06:10:11"/>
    <x v="3"/>
    <d v="2023-10-03T00:00:00"/>
    <n v="5.7429282407392748"/>
    <x v="2"/>
    <x v="8"/>
    <n v="4.7429282407392748"/>
    <x v="8"/>
  </r>
  <r>
    <n v="1030"/>
    <s v="1030111"/>
    <d v="2023-09-11T06:10:11"/>
    <s v="type40"/>
    <n v="38.909999999999997"/>
    <x v="2"/>
    <d v="2023-09-16T06:10:11"/>
    <x v="4"/>
    <d v="2023-10-03T00:00:00"/>
    <n v="21.742928240739275"/>
    <x v="0"/>
    <x v="2"/>
    <n v="16.742928240739275"/>
    <x v="2"/>
  </r>
  <r>
    <n v="1001"/>
    <s v="1001111"/>
    <d v="2023-09-16T06:10:11"/>
    <s v="type40"/>
    <n v="347.74"/>
    <x v="5"/>
    <d v="2023-09-17T06:10:11"/>
    <x v="3"/>
    <d v="2023-10-03T00:00:00"/>
    <n v="16.742928240739275"/>
    <x v="0"/>
    <x v="4"/>
    <n v="15.742928240739275"/>
    <x v="4"/>
  </r>
  <r>
    <n v="1018"/>
    <s v="1018111"/>
    <d v="2023-09-21T06:10:11"/>
    <s v="type13"/>
    <n v="31102.99"/>
    <x v="2"/>
    <d v="2023-09-22T06:10:11"/>
    <x v="0"/>
    <d v="2023-10-03T00:00:00"/>
    <n v="11.742928240739275"/>
    <x v="0"/>
    <x v="10"/>
    <n v="10.742928240739275"/>
    <x v="10"/>
  </r>
  <r>
    <n v="1002"/>
    <s v="1002111"/>
    <d v="2023-09-12T06:10:11"/>
    <s v="type40"/>
    <n v="-1430.91"/>
    <x v="1"/>
    <d v="2023-09-14T06:10:11"/>
    <x v="3"/>
    <d v="2023-10-03T00:00:00"/>
    <n v="20.742928240739275"/>
    <x v="0"/>
    <x v="20"/>
    <n v="18.742928240739275"/>
    <x v="20"/>
  </r>
  <r>
    <n v="1007"/>
    <s v="1007111"/>
    <d v="2023-09-13T06:10:11"/>
    <s v="type40"/>
    <n v="710.02"/>
    <x v="3"/>
    <d v="2023-09-15T06:10:11"/>
    <x v="1"/>
    <d v="2023-10-03T00:00:00"/>
    <n v="19.742928240739275"/>
    <x v="0"/>
    <x v="0"/>
    <n v="17.742928240739275"/>
    <x v="0"/>
  </r>
  <r>
    <n v="1034"/>
    <s v="1034111"/>
    <d v="2023-09-20T06:10:11"/>
    <s v="type40"/>
    <n v="11.28"/>
    <x v="4"/>
    <d v="2023-09-22T06:10:11"/>
    <x v="4"/>
    <d v="2023-10-03T00:00:00"/>
    <n v="12.742928240739275"/>
    <x v="0"/>
    <x v="10"/>
    <n v="10.742928240739275"/>
    <x v="10"/>
  </r>
  <r>
    <n v="1035"/>
    <s v="1035111"/>
    <d v="2023-09-15T06:10:11"/>
    <s v="type33"/>
    <n v="339.07"/>
    <x v="2"/>
    <d v="2023-09-17T06:10:11"/>
    <x v="4"/>
    <d v="2023-10-03T00:00:00"/>
    <n v="17.742928240739275"/>
    <x v="0"/>
    <x v="4"/>
    <n v="15.742928240739275"/>
    <x v="4"/>
  </r>
  <r>
    <n v="1008"/>
    <s v="1008111"/>
    <d v="2023-09-20T06:10:11"/>
    <s v="type40"/>
    <n v="-435.33"/>
    <x v="6"/>
    <d v="2023-09-27T06:10:11"/>
    <x v="1"/>
    <d v="2023-10-03T00:00:00"/>
    <n v="12.742928240739275"/>
    <x v="0"/>
    <x v="12"/>
    <n v="5.7429282407392748"/>
    <x v="12"/>
  </r>
  <r>
    <n v="1035"/>
    <s v="1035111"/>
    <d v="2023-09-21T06:10:11"/>
    <s v="type40"/>
    <n v="470.52"/>
    <x v="6"/>
    <d v="2023-09-28T06:10:11"/>
    <x v="4"/>
    <d v="2023-10-03T00:00:00"/>
    <n v="11.742928240739275"/>
    <x v="0"/>
    <x v="8"/>
    <n v="4.7429282407392748"/>
    <x v="8"/>
  </r>
  <r>
    <n v="1025"/>
    <s v="1025111"/>
    <d v="2023-09-17T06:10:11"/>
    <s v="type40"/>
    <n v="8"/>
    <x v="5"/>
    <d v="2023-09-18T06:10:11"/>
    <x v="5"/>
    <d v="2023-10-03T00:00:00"/>
    <n v="15.742928240739275"/>
    <x v="0"/>
    <x v="6"/>
    <n v="14.742928240739275"/>
    <x v="6"/>
  </r>
  <r>
    <n v="1005"/>
    <s v="1005111"/>
    <d v="2023-09-16T06:10:11"/>
    <s v="type13"/>
    <n v="27012.17"/>
    <x v="3"/>
    <d v="2023-09-18T06:10:11"/>
    <x v="3"/>
    <d v="2023-10-03T00:00:00"/>
    <n v="16.742928240739275"/>
    <x v="0"/>
    <x v="6"/>
    <n v="14.742928240739275"/>
    <x v="6"/>
  </r>
  <r>
    <n v="1023"/>
    <s v="1023111"/>
    <d v="2023-09-20T06:10:11"/>
    <s v="type13"/>
    <n v="20447.47"/>
    <x v="5"/>
    <d v="2023-09-21T06:10:11"/>
    <x v="0"/>
    <d v="2023-10-03T00:00:00"/>
    <n v="12.742928240739275"/>
    <x v="0"/>
    <x v="1"/>
    <n v="11.742928240739275"/>
    <x v="1"/>
  </r>
  <r>
    <n v="1005"/>
    <s v="1005111"/>
    <d v="2023-09-20T06:10:11"/>
    <s v="type13"/>
    <n v="25125.48"/>
    <x v="5"/>
    <d v="2023-09-21T06:10:11"/>
    <x v="3"/>
    <d v="2023-10-03T00:00:00"/>
    <n v="12.742928240739275"/>
    <x v="0"/>
    <x v="1"/>
    <n v="11.742928240739275"/>
    <x v="1"/>
  </r>
  <r>
    <n v="1018"/>
    <s v="1018111"/>
    <d v="2023-09-18T06:10:11"/>
    <s v="type26"/>
    <n v="1784.65"/>
    <x v="6"/>
    <d v="2023-09-19T06:10:11"/>
    <x v="0"/>
    <d v="2023-10-03T00:00:00"/>
    <n v="14.742928240739275"/>
    <x v="0"/>
    <x v="19"/>
    <n v="13.742928240739275"/>
    <x v="19"/>
  </r>
  <r>
    <n v="1017"/>
    <s v="1017111"/>
    <d v="2023-09-21T06:10:11"/>
    <s v="type46"/>
    <n v="543.97"/>
    <x v="6"/>
    <d v="2023-09-22T06:10:11"/>
    <x v="2"/>
    <d v="2023-10-03T00:00:00"/>
    <n v="11.742928240739275"/>
    <x v="0"/>
    <x v="10"/>
    <n v="10.742928240739275"/>
    <x v="10"/>
  </r>
  <r>
    <n v="1011"/>
    <s v="1011111"/>
    <d v="2023-09-18T06:10:11"/>
    <s v="type40"/>
    <n v="5"/>
    <x v="2"/>
    <d v="2023-09-20T06:10:11"/>
    <x v="1"/>
    <d v="2023-10-03T00:00:00"/>
    <n v="14.742928240739275"/>
    <x v="0"/>
    <x v="9"/>
    <n v="12.742928240739275"/>
    <x v="9"/>
  </r>
  <r>
    <n v="1015"/>
    <s v="1015111"/>
    <d v="2023-09-20T06:10:11"/>
    <s v="type13"/>
    <n v="14878.43"/>
    <x v="3"/>
    <d v="2023-09-22T06:10:11"/>
    <x v="2"/>
    <d v="2023-10-03T00:00:00"/>
    <n v="12.742928240739275"/>
    <x v="0"/>
    <x v="10"/>
    <n v="10.742928240739275"/>
    <x v="10"/>
  </r>
  <r>
    <n v="1022"/>
    <s v="1022111"/>
    <d v="2023-09-17T06:10:11"/>
    <s v="type40"/>
    <n v="24.02"/>
    <x v="2"/>
    <d v="2023-09-22T06:10:11"/>
    <x v="0"/>
    <d v="2023-10-03T00:00:00"/>
    <n v="15.742928240739275"/>
    <x v="0"/>
    <x v="10"/>
    <n v="10.742928240739275"/>
    <x v="10"/>
  </r>
  <r>
    <n v="1012"/>
    <s v="1012111"/>
    <d v="2023-09-21T06:10:11"/>
    <s v="type8"/>
    <n v="70"/>
    <x v="3"/>
    <d v="2023-09-23T06:10:11"/>
    <x v="2"/>
    <d v="2023-10-03T00:00:00"/>
    <n v="11.742928240739275"/>
    <x v="0"/>
    <x v="3"/>
    <n v="9.7429282407392748"/>
    <x v="3"/>
  </r>
  <r>
    <n v="1022"/>
    <s v="1022111"/>
    <d v="2023-09-21T06:10:11"/>
    <s v="type38"/>
    <n v="160.52000000000001"/>
    <x v="2"/>
    <d v="2023-09-28T06:10:11"/>
    <x v="0"/>
    <d v="2023-10-03T00:00:00"/>
    <n v="11.742928240739275"/>
    <x v="0"/>
    <x v="8"/>
    <n v="4.7429282407392748"/>
    <x v="8"/>
  </r>
  <r>
    <n v="1014"/>
    <s v="1014111"/>
    <d v="2023-09-10T06:10:11"/>
    <s v="type8"/>
    <n v="65"/>
    <x v="2"/>
    <d v="2023-09-17T06:10:11"/>
    <x v="2"/>
    <d v="2023-10-03T00:00:00"/>
    <n v="22.742928240739275"/>
    <x v="0"/>
    <x v="4"/>
    <n v="15.742928240739275"/>
    <x v="4"/>
  </r>
  <r>
    <n v="1030"/>
    <s v="1030111"/>
    <d v="2023-09-23T06:10:11"/>
    <s v="type40"/>
    <n v="-401.08"/>
    <x v="3"/>
    <d v="2023-09-25T06:10:11"/>
    <x v="4"/>
    <d v="2023-10-03T00:00:00"/>
    <n v="9.7429282407392748"/>
    <x v="0"/>
    <x v="11"/>
    <n v="7.7429282407392748"/>
    <x v="11"/>
  </r>
  <r>
    <n v="1027"/>
    <s v="1027111"/>
    <d v="2023-09-17T06:10:11"/>
    <s v="type40"/>
    <n v="-550.83000000000004"/>
    <x v="4"/>
    <d v="2023-09-22T06:10:11"/>
    <x v="5"/>
    <d v="2023-10-03T00:00:00"/>
    <n v="15.742928240739275"/>
    <x v="0"/>
    <x v="10"/>
    <n v="10.742928240739275"/>
    <x v="10"/>
  </r>
  <r>
    <n v="1016"/>
    <s v="1016111"/>
    <d v="2023-09-25T06:10:11"/>
    <s v="type40"/>
    <n v="522.48"/>
    <x v="1"/>
    <d v="2023-09-30T06:10:11"/>
    <x v="2"/>
    <d v="2023-10-03T00:00:00"/>
    <n v="7.7429282407392748"/>
    <x v="1"/>
    <x v="14"/>
    <n v="2.7429282407392748"/>
    <x v="14"/>
  </r>
  <r>
    <n v="1016"/>
    <s v="1016111"/>
    <d v="2023-09-22T06:10:11"/>
    <s v="type44"/>
    <n v="737.53"/>
    <x v="6"/>
    <d v="2023-09-23T06:10:11"/>
    <x v="2"/>
    <d v="2023-10-03T00:00:00"/>
    <n v="10.742928240739275"/>
    <x v="0"/>
    <x v="3"/>
    <n v="9.7429282407392748"/>
    <x v="3"/>
  </r>
  <r>
    <n v="1027"/>
    <s v="1027111"/>
    <d v="2023-09-27T06:10:11"/>
    <s v="type40"/>
    <n v="-1516.38"/>
    <x v="1"/>
    <d v="2023-10-02T06:10:11"/>
    <x v="5"/>
    <d v="2023-10-03T00:00:00"/>
    <n v="5.7429282407392748"/>
    <x v="2"/>
    <x v="15"/>
    <n v="0.74292824073927477"/>
    <x v="15"/>
  </r>
  <r>
    <n v="1018"/>
    <s v="1018111"/>
    <d v="2023-09-15T06:10:11"/>
    <s v="type40"/>
    <n v="729.65"/>
    <x v="4"/>
    <d v="2023-09-20T06:10:11"/>
    <x v="0"/>
    <d v="2023-10-03T00:00:00"/>
    <n v="17.742928240739275"/>
    <x v="0"/>
    <x v="9"/>
    <n v="12.742928240739275"/>
    <x v="9"/>
  </r>
  <r>
    <n v="1014"/>
    <s v="1014111"/>
    <d v="2023-09-16T06:10:11"/>
    <s v="type40"/>
    <n v="1367.16"/>
    <x v="3"/>
    <d v="2023-09-21T06:10:11"/>
    <x v="2"/>
    <d v="2023-10-03T00:00:00"/>
    <n v="16.742928240739275"/>
    <x v="0"/>
    <x v="1"/>
    <n v="11.742928240739275"/>
    <x v="1"/>
  </r>
  <r>
    <n v="1030"/>
    <s v="1030111"/>
    <d v="2023-09-21T06:10:11"/>
    <s v="type40"/>
    <n v="507.75"/>
    <x v="5"/>
    <d v="2023-09-23T06:10:11"/>
    <x v="4"/>
    <d v="2023-10-03T00:00:00"/>
    <n v="11.742928240739275"/>
    <x v="0"/>
    <x v="3"/>
    <n v="9.7429282407392748"/>
    <x v="3"/>
  </r>
  <r>
    <n v="1017"/>
    <s v="1017111"/>
    <d v="2023-09-20T06:10:11"/>
    <s v="type40"/>
    <n v="-702.43"/>
    <x v="5"/>
    <d v="2023-09-27T06:10:11"/>
    <x v="2"/>
    <d v="2023-10-03T00:00:00"/>
    <n v="12.742928240739275"/>
    <x v="0"/>
    <x v="12"/>
    <n v="5.7429282407392748"/>
    <x v="12"/>
  </r>
  <r>
    <n v="1029"/>
    <s v="1029111"/>
    <d v="2023-09-17T06:10:11"/>
    <s v="type40"/>
    <n v="643.70000000000005"/>
    <x v="4"/>
    <d v="2023-09-22T06:10:11"/>
    <x v="5"/>
    <d v="2023-10-03T00:00:00"/>
    <n v="15.742928240739275"/>
    <x v="0"/>
    <x v="10"/>
    <n v="10.742928240739275"/>
    <x v="10"/>
  </r>
  <r>
    <n v="1013"/>
    <s v="1013111"/>
    <d v="2023-09-20T06:10:11"/>
    <s v="type13"/>
    <n v="26969.66"/>
    <x v="4"/>
    <d v="2023-09-27T06:10:11"/>
    <x v="2"/>
    <d v="2023-10-03T00:00:00"/>
    <n v="12.742928240739275"/>
    <x v="0"/>
    <x v="12"/>
    <n v="5.7429282407392748"/>
    <x v="12"/>
  </r>
  <r>
    <n v="1024"/>
    <s v="1024111"/>
    <d v="2023-09-11T06:10:11"/>
    <s v="type40"/>
    <n v="-22"/>
    <x v="2"/>
    <d v="2023-09-18T06:10:11"/>
    <x v="5"/>
    <d v="2023-10-03T00:00:00"/>
    <n v="21.742928240739275"/>
    <x v="0"/>
    <x v="6"/>
    <n v="14.742928240739275"/>
    <x v="6"/>
  </r>
  <r>
    <n v="1020"/>
    <s v="1020111"/>
    <d v="2023-09-22T06:10:11"/>
    <s v="type40"/>
    <n v="616.76"/>
    <x v="4"/>
    <d v="2023-09-29T06:10:11"/>
    <x v="0"/>
    <d v="2023-10-03T00:00:00"/>
    <n v="10.742928240739275"/>
    <x v="0"/>
    <x v="13"/>
    <n v="3.7429282407392748"/>
    <x v="13"/>
  </r>
  <r>
    <n v="1001"/>
    <s v="1001111"/>
    <d v="2023-09-21T06:10:11"/>
    <s v="type32"/>
    <n v="657"/>
    <x v="5"/>
    <d v="2023-09-28T06:10:11"/>
    <x v="3"/>
    <d v="2023-10-03T00:00:00"/>
    <n v="11.742928240739275"/>
    <x v="0"/>
    <x v="8"/>
    <n v="4.7429282407392748"/>
    <x v="8"/>
  </r>
  <r>
    <n v="1015"/>
    <s v="1015111"/>
    <d v="2023-09-10T06:10:11"/>
    <s v="type40"/>
    <n v="-449.03"/>
    <x v="6"/>
    <d v="2023-09-12T06:10:11"/>
    <x v="2"/>
    <d v="2023-10-03T00:00:00"/>
    <n v="22.742928240739275"/>
    <x v="0"/>
    <x v="18"/>
    <n v="20.742928240739275"/>
    <x v="18"/>
  </r>
  <r>
    <n v="1012"/>
    <s v="1012111"/>
    <d v="2023-09-22T06:10:11"/>
    <s v="type13"/>
    <n v="16105"/>
    <x v="1"/>
    <d v="2023-09-29T06:10:11"/>
    <x v="2"/>
    <d v="2023-10-03T00:00:00"/>
    <n v="10.742928240739275"/>
    <x v="0"/>
    <x v="13"/>
    <n v="3.7429282407392748"/>
    <x v="13"/>
  </r>
  <r>
    <n v="1017"/>
    <s v="1017111"/>
    <d v="2023-09-23T06:10:11"/>
    <s v="type40"/>
    <n v="615.37"/>
    <x v="3"/>
    <d v="2023-09-30T06:10:11"/>
    <x v="2"/>
    <d v="2023-10-03T00:00:00"/>
    <n v="9.7429282407392748"/>
    <x v="0"/>
    <x v="14"/>
    <n v="2.7429282407392748"/>
    <x v="14"/>
  </r>
  <r>
    <n v="1012"/>
    <s v="1012111"/>
    <d v="2023-09-24T06:10:11"/>
    <s v="type40"/>
    <n v="390.13"/>
    <x v="3"/>
    <d v="2023-10-01T06:10:11"/>
    <x v="2"/>
    <d v="2023-10-03T00:00:00"/>
    <n v="8.7429282407392748"/>
    <x v="1"/>
    <x v="22"/>
    <n v="1.7429282407392748"/>
    <x v="22"/>
  </r>
  <r>
    <n v="1031"/>
    <s v="1031111"/>
    <d v="2023-09-25T06:10:11"/>
    <s v="type42"/>
    <n v="201"/>
    <x v="1"/>
    <d v="2023-10-02T06:10:11"/>
    <x v="4"/>
    <d v="2023-10-03T00:00:00"/>
    <n v="7.7429282407392748"/>
    <x v="1"/>
    <x v="15"/>
    <n v="0.74292824073927477"/>
    <x v="15"/>
  </r>
  <r>
    <n v="1023"/>
    <s v="1023111"/>
    <d v="2023-09-26T06:10:11"/>
    <s v="type13"/>
    <n v="30569.45"/>
    <x v="1"/>
    <d v="2023-10-03T06:10:11"/>
    <x v="0"/>
    <d v="2023-10-03T00:00:00"/>
    <n v="6.7429282407392748"/>
    <x v="1"/>
    <x v="16"/>
    <n v="-0.25707175926072523"/>
    <x v="16"/>
  </r>
  <r>
    <n v="1004"/>
    <s v="1004111"/>
    <d v="2023-09-27T06:10:11"/>
    <s v="type40"/>
    <n v="-656.46"/>
    <x v="1"/>
    <d v="2023-10-04T06:10:11"/>
    <x v="3"/>
    <d v="2023-10-03T00:00:00"/>
    <n v="5.7429282407392748"/>
    <x v="2"/>
    <x v="23"/>
    <n v="-1.2570717592607252"/>
    <x v="23"/>
  </r>
  <r>
    <n v="1003"/>
    <s v="1003111"/>
    <d v="2023-09-28T06:10:11"/>
    <s v="type40"/>
    <n v="-761.71"/>
    <x v="1"/>
    <d v="2023-10-05T06:10:11"/>
    <x v="3"/>
    <d v="2023-10-03T00:00:00"/>
    <n v="4.7429282407392748"/>
    <x v="2"/>
    <x v="17"/>
    <n v="-2.2570717592607252"/>
    <x v="17"/>
  </r>
  <r>
    <n v="1032"/>
    <s v="1032111"/>
    <d v="2023-09-12T06:10:11"/>
    <s v="type40"/>
    <n v="2"/>
    <x v="2"/>
    <d v="2023-09-19T06:10:11"/>
    <x v="4"/>
    <d v="2023-10-03T00:00:00"/>
    <n v="20.742928240739275"/>
    <x v="0"/>
    <x v="19"/>
    <n v="13.742928240739275"/>
    <x v="19"/>
  </r>
  <r>
    <n v="1015"/>
    <s v="1015111"/>
    <d v="2023-09-11T06:10:11"/>
    <s v="type40"/>
    <n v="1432.5"/>
    <x v="3"/>
    <d v="2023-09-18T06:10:11"/>
    <x v="2"/>
    <d v="2023-10-03T00:00:00"/>
    <n v="21.742928240739275"/>
    <x v="0"/>
    <x v="6"/>
    <n v="14.742928240739275"/>
    <x v="6"/>
  </r>
  <r>
    <n v="1028"/>
    <s v="1028111"/>
    <d v="2023-09-12T06:10:11"/>
    <s v="type40"/>
    <n v="782.54"/>
    <x v="1"/>
    <d v="2023-09-19T06:10:11"/>
    <x v="5"/>
    <d v="2023-10-03T00:00:00"/>
    <n v="20.742928240739275"/>
    <x v="0"/>
    <x v="19"/>
    <n v="13.742928240739275"/>
    <x v="19"/>
  </r>
  <r>
    <n v="1019"/>
    <s v="1019111"/>
    <d v="2023-09-13T06:10:11"/>
    <s v="type40"/>
    <n v="-444.48"/>
    <x v="3"/>
    <d v="2023-09-20T06:10:11"/>
    <x v="0"/>
    <d v="2023-10-03T00:00:00"/>
    <n v="19.742928240739275"/>
    <x v="0"/>
    <x v="9"/>
    <n v="12.742928240739275"/>
    <x v="9"/>
  </r>
  <r>
    <n v="1004"/>
    <s v="1004111"/>
    <d v="2023-09-21T06:10:11"/>
    <s v="type38"/>
    <n v="430.45"/>
    <x v="5"/>
    <d v="2023-09-22T06:10:11"/>
    <x v="3"/>
    <d v="2023-10-03T00:00:00"/>
    <n v="11.742928240739275"/>
    <x v="0"/>
    <x v="10"/>
    <n v="10.742928240739275"/>
    <x v="10"/>
  </r>
  <r>
    <n v="1017"/>
    <s v="1017111"/>
    <d v="2023-09-16T06:10:11"/>
    <s v="type40"/>
    <n v="591.22"/>
    <x v="6"/>
    <d v="2023-09-18T06:10:11"/>
    <x v="2"/>
    <d v="2023-10-03T00:00:00"/>
    <n v="16.742928240739275"/>
    <x v="0"/>
    <x v="6"/>
    <n v="14.742928240739275"/>
    <x v="6"/>
  </r>
  <r>
    <n v="1020"/>
    <s v="1020111"/>
    <d v="2023-09-21T06:10:11"/>
    <s v="type38"/>
    <n v="190.6"/>
    <x v="2"/>
    <d v="2023-09-23T06:10:11"/>
    <x v="0"/>
    <d v="2023-10-03T00:00:00"/>
    <n v="11.742928240739275"/>
    <x v="0"/>
    <x v="3"/>
    <n v="9.7429282407392748"/>
    <x v="3"/>
  </r>
  <r>
    <n v="1034"/>
    <s v="1034111"/>
    <d v="2023-09-21T06:10:11"/>
    <s v="type40"/>
    <n v="-1251.49"/>
    <x v="6"/>
    <d v="2023-09-26T06:10:11"/>
    <x v="4"/>
    <d v="2023-10-03T00:00:00"/>
    <n v="11.742928240739275"/>
    <x v="0"/>
    <x v="7"/>
    <n v="6.7429282407392748"/>
    <x v="7"/>
  </r>
  <r>
    <n v="1003"/>
    <s v="1003111"/>
    <d v="2023-09-15T06:10:11"/>
    <s v="type13"/>
    <n v="29743.19"/>
    <x v="3"/>
    <d v="2023-09-16T06:10:11"/>
    <x v="3"/>
    <d v="2023-10-03T00:00:00"/>
    <n v="17.742928240739275"/>
    <x v="0"/>
    <x v="2"/>
    <n v="16.742928240739275"/>
    <x v="2"/>
  </r>
  <r>
    <n v="1026"/>
    <s v="1026111"/>
    <d v="2023-09-16T06:10:11"/>
    <s v="type40"/>
    <n v="10"/>
    <x v="4"/>
    <d v="2023-09-18T06:10:11"/>
    <x v="5"/>
    <d v="2023-10-03T00:00:00"/>
    <n v="16.742928240739275"/>
    <x v="0"/>
    <x v="6"/>
    <n v="14.742928240739275"/>
    <x v="6"/>
  </r>
  <r>
    <n v="1004"/>
    <s v="1004111"/>
    <d v="2023-09-18T06:10:11"/>
    <s v="type40"/>
    <n v="381.96"/>
    <x v="4"/>
    <d v="2023-09-23T06:10:11"/>
    <x v="3"/>
    <d v="2023-10-03T00:00:00"/>
    <n v="14.742928240739275"/>
    <x v="0"/>
    <x v="3"/>
    <n v="9.7429282407392748"/>
    <x v="3"/>
  </r>
  <r>
    <n v="1025"/>
    <s v="1025111"/>
    <d v="2023-09-13T06:10:11"/>
    <s v="type38"/>
    <n v="157.21"/>
    <x v="5"/>
    <d v="2023-09-14T06:10:11"/>
    <x v="5"/>
    <d v="2023-10-03T00:00:00"/>
    <n v="19.742928240739275"/>
    <x v="0"/>
    <x v="20"/>
    <n v="18.742928240739275"/>
    <x v="20"/>
  </r>
  <r>
    <n v="1002"/>
    <s v="1002111"/>
    <d v="2023-09-18T06:10:11"/>
    <s v="type40"/>
    <n v="-361.39"/>
    <x v="1"/>
    <d v="2023-09-19T06:10:11"/>
    <x v="3"/>
    <d v="2023-10-03T00:00:00"/>
    <n v="14.742928240739275"/>
    <x v="0"/>
    <x v="19"/>
    <n v="13.742928240739275"/>
    <x v="19"/>
  </r>
  <r>
    <n v="1019"/>
    <s v="1019111"/>
    <d v="2023-09-23T06:10:11"/>
    <s v="type16"/>
    <n v="-1576"/>
    <x v="6"/>
    <d v="2023-09-28T06:10:11"/>
    <x v="0"/>
    <d v="2023-10-03T00:00:00"/>
    <n v="9.7429282407392748"/>
    <x v="0"/>
    <x v="8"/>
    <n v="4.7429282407392748"/>
    <x v="8"/>
  </r>
  <r>
    <n v="1026"/>
    <s v="1026111"/>
    <d v="2023-09-18T06:10:11"/>
    <s v="type40"/>
    <n v="22.5"/>
    <x v="4"/>
    <d v="2023-09-25T06:10:11"/>
    <x v="5"/>
    <d v="2023-10-03T00:00:00"/>
    <n v="14.742928240739275"/>
    <x v="0"/>
    <x v="11"/>
    <n v="7.7429282407392748"/>
    <x v="11"/>
  </r>
  <r>
    <n v="1005"/>
    <s v="1005111"/>
    <d v="2023-09-20T06:10:11"/>
    <s v="type13"/>
    <n v="20481.849999999999"/>
    <x v="1"/>
    <d v="2023-09-21T06:10:11"/>
    <x v="3"/>
    <d v="2023-10-03T00:00:00"/>
    <n v="12.742928240739275"/>
    <x v="0"/>
    <x v="1"/>
    <n v="11.742928240739275"/>
    <x v="1"/>
  </r>
  <r>
    <n v="1015"/>
    <s v="1015111"/>
    <d v="2023-09-19T06:10:11"/>
    <s v="type13"/>
    <n v="25455.58"/>
    <x v="6"/>
    <d v="2023-09-26T06:10:11"/>
    <x v="2"/>
    <d v="2023-10-03T00:00:00"/>
    <n v="13.742928240739275"/>
    <x v="0"/>
    <x v="7"/>
    <n v="6.7429282407392748"/>
    <x v="7"/>
  </r>
  <r>
    <n v="1019"/>
    <s v="1019111"/>
    <d v="2023-09-11T06:10:11"/>
    <s v="type40"/>
    <n v="10.71"/>
    <x v="2"/>
    <d v="2023-09-13T06:10:11"/>
    <x v="0"/>
    <d v="2023-10-03T00:00:00"/>
    <n v="21.742928240739275"/>
    <x v="0"/>
    <x v="24"/>
    <n v="19.742928240739275"/>
    <x v="24"/>
  </r>
  <r>
    <n v="1022"/>
    <s v="1022111"/>
    <d v="2023-09-21T06:10:11"/>
    <s v="type13"/>
    <n v="16200.5"/>
    <x v="3"/>
    <d v="2023-09-22T06:10:11"/>
    <x v="0"/>
    <d v="2023-10-03T00:00:00"/>
    <n v="11.742928240739275"/>
    <x v="0"/>
    <x v="10"/>
    <n v="10.742928240739275"/>
    <x v="10"/>
  </r>
  <r>
    <n v="1018"/>
    <s v="1018111"/>
    <d v="2023-09-22T06:10:11"/>
    <s v="type13"/>
    <n v="20258.349999999999"/>
    <x v="6"/>
    <d v="2023-09-29T06:10:11"/>
    <x v="0"/>
    <d v="2023-10-03T00:00:00"/>
    <n v="10.742928240739275"/>
    <x v="0"/>
    <x v="13"/>
    <n v="3.7429282407392748"/>
    <x v="13"/>
  </r>
  <r>
    <n v="1034"/>
    <s v="1034111"/>
    <d v="2023-09-10T06:10:11"/>
    <s v="type40"/>
    <n v="322.31"/>
    <x v="6"/>
    <d v="2023-09-11T06:10:11"/>
    <x v="4"/>
    <d v="2023-10-03T00:00:00"/>
    <n v="22.742928240739275"/>
    <x v="0"/>
    <x v="21"/>
    <n v="21.742928240739275"/>
    <x v="21"/>
  </r>
  <r>
    <n v="1005"/>
    <s v="1005111"/>
    <d v="2023-09-24T06:10:11"/>
    <s v="type40"/>
    <n v="5038.7700000000004"/>
    <x v="3"/>
    <d v="2023-09-25T06:10:11"/>
    <x v="3"/>
    <d v="2023-10-03T00:00:00"/>
    <n v="8.7429282407392748"/>
    <x v="1"/>
    <x v="11"/>
    <n v="7.7429282407392748"/>
    <x v="11"/>
  </r>
  <r>
    <n v="1005"/>
    <s v="1005111"/>
    <d v="2023-09-13T06:10:11"/>
    <s v="type40"/>
    <n v="407.07"/>
    <x v="5"/>
    <d v="2023-09-15T06:10:11"/>
    <x v="3"/>
    <d v="2023-10-03T00:00:00"/>
    <n v="19.742928240739275"/>
    <x v="0"/>
    <x v="0"/>
    <n v="17.742928240739275"/>
    <x v="0"/>
  </r>
  <r>
    <n v="1023"/>
    <s v="1023111"/>
    <d v="2023-09-18T06:10:11"/>
    <s v="type52"/>
    <n v="59.5"/>
    <x v="4"/>
    <d v="2023-09-25T06:10:11"/>
    <x v="0"/>
    <d v="2023-10-03T00:00:00"/>
    <n v="14.742928240739275"/>
    <x v="0"/>
    <x v="11"/>
    <n v="7.7429282407392748"/>
    <x v="11"/>
  </r>
  <r>
    <n v="1003"/>
    <s v="1003111"/>
    <d v="2023-09-11T06:10:11"/>
    <s v="type40"/>
    <n v="50.56"/>
    <x v="6"/>
    <d v="2023-09-12T06:10:11"/>
    <x v="3"/>
    <d v="2023-10-03T00:00:00"/>
    <n v="21.742928240739275"/>
    <x v="0"/>
    <x v="18"/>
    <n v="20.742928240739275"/>
    <x v="18"/>
  </r>
  <r>
    <n v="1020"/>
    <s v="1020111"/>
    <d v="2023-09-14T06:10:11"/>
    <s v="type42"/>
    <n v="203.67"/>
    <x v="5"/>
    <d v="2023-09-16T06:10:11"/>
    <x v="0"/>
    <d v="2023-10-03T00:00:00"/>
    <n v="18.742928240739275"/>
    <x v="0"/>
    <x v="2"/>
    <n v="16.742928240739275"/>
    <x v="2"/>
  </r>
  <r>
    <n v="1031"/>
    <s v="1031111"/>
    <d v="2023-09-16T06:10:11"/>
    <s v="type40"/>
    <n v="944.26"/>
    <x v="3"/>
    <d v="2023-09-18T06:10:11"/>
    <x v="4"/>
    <d v="2023-10-03T00:00:00"/>
    <n v="16.742928240739275"/>
    <x v="0"/>
    <x v="6"/>
    <n v="14.742928240739275"/>
    <x v="6"/>
  </r>
  <r>
    <n v="1013"/>
    <s v="1013111"/>
    <d v="2023-09-20T06:10:11"/>
    <s v="type15"/>
    <n v="1053.55"/>
    <x v="5"/>
    <d v="2023-09-25T06:10:11"/>
    <x v="2"/>
    <d v="2023-10-03T00:00:00"/>
    <n v="12.742928240739275"/>
    <x v="0"/>
    <x v="11"/>
    <n v="7.7429282407392748"/>
    <x v="11"/>
  </r>
  <r>
    <n v="1033"/>
    <s v="1033111"/>
    <d v="2023-09-13T06:10:11"/>
    <s v="type13"/>
    <n v="22115.7"/>
    <x v="6"/>
    <d v="2023-09-14T06:10:11"/>
    <x v="4"/>
    <d v="2023-10-03T00:00:00"/>
    <n v="19.742928240739275"/>
    <x v="0"/>
    <x v="20"/>
    <n v="18.742928240739275"/>
    <x v="20"/>
  </r>
  <r>
    <n v="1014"/>
    <s v="1014111"/>
    <d v="2023-09-19T06:10:11"/>
    <s v="type13"/>
    <n v="26225.19"/>
    <x v="6"/>
    <d v="2023-09-20T06:10:11"/>
    <x v="2"/>
    <d v="2023-10-03T00:00:00"/>
    <n v="13.742928240739275"/>
    <x v="0"/>
    <x v="9"/>
    <n v="12.742928240739275"/>
    <x v="9"/>
  </r>
  <r>
    <n v="1031"/>
    <s v="1031111"/>
    <d v="2023-09-12T06:10:11"/>
    <s v="type42"/>
    <n v="230"/>
    <x v="2"/>
    <d v="2023-09-14T06:10:11"/>
    <x v="4"/>
    <d v="2023-10-03T00:00:00"/>
    <n v="20.742928240739275"/>
    <x v="0"/>
    <x v="20"/>
    <n v="18.742928240739275"/>
    <x v="20"/>
  </r>
  <r>
    <n v="1029"/>
    <s v="1029111"/>
    <d v="2023-09-20T06:10:11"/>
    <s v="type40"/>
    <n v="1"/>
    <x v="2"/>
    <d v="2023-09-27T06:10:11"/>
    <x v="5"/>
    <d v="2023-10-03T00:00:00"/>
    <n v="12.742928240739275"/>
    <x v="0"/>
    <x v="12"/>
    <n v="5.7429282407392748"/>
    <x v="12"/>
  </r>
  <r>
    <n v="1020"/>
    <s v="1020111"/>
    <d v="2023-09-18T06:10:11"/>
    <s v="type13"/>
    <n v="19541.38"/>
    <x v="5"/>
    <d v="2023-09-19T06:10:11"/>
    <x v="0"/>
    <d v="2023-10-03T00:00:00"/>
    <n v="14.742928240739275"/>
    <x v="0"/>
    <x v="19"/>
    <n v="13.742928240739275"/>
    <x v="19"/>
  </r>
  <r>
    <n v="1016"/>
    <s v="1016111"/>
    <d v="2023-09-23T06:10:11"/>
    <s v="type13"/>
    <n v="25576.78"/>
    <x v="2"/>
    <d v="2023-09-30T06:10:11"/>
    <x v="2"/>
    <d v="2023-10-03T00:00:00"/>
    <n v="9.7429282407392748"/>
    <x v="0"/>
    <x v="14"/>
    <n v="2.7429282407392748"/>
    <x v="14"/>
  </r>
  <r>
    <n v="1002"/>
    <s v="1002111"/>
    <d v="2023-09-18T06:10:11"/>
    <s v="type40"/>
    <n v="409.27"/>
    <x v="4"/>
    <d v="2023-09-19T06:10:11"/>
    <x v="3"/>
    <d v="2023-10-03T00:00:00"/>
    <n v="14.742928240739275"/>
    <x v="0"/>
    <x v="19"/>
    <n v="13.742928240739275"/>
    <x v="19"/>
  </r>
  <r>
    <n v="1007"/>
    <s v="1007111"/>
    <d v="2023-09-21T06:10:11"/>
    <s v="type40"/>
    <n v="0.26"/>
    <x v="6"/>
    <d v="2023-09-23T06:10:11"/>
    <x v="1"/>
    <d v="2023-10-03T00:00:00"/>
    <n v="11.742928240739275"/>
    <x v="0"/>
    <x v="3"/>
    <n v="9.7429282407392748"/>
    <x v="3"/>
  </r>
  <r>
    <n v="1031"/>
    <s v="1031111"/>
    <d v="2023-09-10T06:10:11"/>
    <s v="type13"/>
    <n v="14319.7"/>
    <x v="5"/>
    <d v="2023-09-11T06:10:11"/>
    <x v="4"/>
    <d v="2023-10-03T00:00:00"/>
    <n v="22.742928240739275"/>
    <x v="0"/>
    <x v="21"/>
    <n v="21.742928240739275"/>
    <x v="21"/>
  </r>
  <r>
    <n v="1019"/>
    <s v="1019111"/>
    <d v="2023-09-24T06:10:11"/>
    <s v="type13"/>
    <n v="25077.62"/>
    <x v="1"/>
    <d v="2023-09-26T06:10:11"/>
    <x v="0"/>
    <d v="2023-10-03T00:00:00"/>
    <n v="8.7429282407392748"/>
    <x v="1"/>
    <x v="7"/>
    <n v="6.7429282407392748"/>
    <x v="7"/>
  </r>
  <r>
    <n v="1018"/>
    <s v="1018111"/>
    <d v="2023-09-16T06:10:11"/>
    <s v="type7"/>
    <n v="-1245.3"/>
    <x v="2"/>
    <d v="2023-09-23T06:10:11"/>
    <x v="0"/>
    <d v="2023-10-03T00:00:00"/>
    <n v="16.742928240739275"/>
    <x v="0"/>
    <x v="3"/>
    <n v="9.7429282407392748"/>
    <x v="3"/>
  </r>
  <r>
    <n v="1017"/>
    <s v="1017111"/>
    <d v="2023-09-12T06:10:11"/>
    <s v="type7"/>
    <n v="1246.3"/>
    <x v="2"/>
    <d v="2023-09-13T06:10:11"/>
    <x v="2"/>
    <d v="2023-10-03T00:00:00"/>
    <n v="20.742928240739275"/>
    <x v="0"/>
    <x v="24"/>
    <n v="19.742928240739275"/>
    <x v="24"/>
  </r>
  <r>
    <n v="1001"/>
    <s v="1001111"/>
    <d v="2023-09-16T06:10:11"/>
    <s v="type13"/>
    <n v="19061.740000000002"/>
    <x v="5"/>
    <d v="2023-09-17T06:10:11"/>
    <x v="3"/>
    <d v="2023-10-03T00:00:00"/>
    <n v="16.742928240739275"/>
    <x v="0"/>
    <x v="4"/>
    <n v="15.742928240739275"/>
    <x v="4"/>
  </r>
  <r>
    <n v="1009"/>
    <s v="1009111"/>
    <d v="2023-09-20T06:10:11"/>
    <s v="type40"/>
    <n v="526.67999999999995"/>
    <x v="2"/>
    <d v="2023-09-22T06:10:11"/>
    <x v="1"/>
    <d v="2023-10-03T00:00:00"/>
    <n v="12.742928240739275"/>
    <x v="0"/>
    <x v="10"/>
    <n v="10.742928240739275"/>
    <x v="10"/>
  </r>
  <r>
    <n v="1003"/>
    <s v="1003111"/>
    <d v="2023-09-10T06:10:11"/>
    <s v="type13"/>
    <n v="46179.7"/>
    <x v="1"/>
    <d v="2023-09-12T06:10:11"/>
    <x v="3"/>
    <d v="2023-10-03T00:00:00"/>
    <n v="22.742928240739275"/>
    <x v="0"/>
    <x v="18"/>
    <n v="20.742928240739275"/>
    <x v="18"/>
  </r>
  <r>
    <n v="1018"/>
    <s v="1018111"/>
    <d v="2023-09-11T06:10:11"/>
    <s v="type13"/>
    <n v="26436"/>
    <x v="1"/>
    <d v="2023-09-13T06:10:11"/>
    <x v="0"/>
    <d v="2023-10-03T00:00:00"/>
    <n v="21.742928240739275"/>
    <x v="0"/>
    <x v="24"/>
    <n v="19.742928240739275"/>
    <x v="24"/>
  </r>
  <r>
    <n v="1007"/>
    <s v="1007111"/>
    <d v="2023-09-12T06:10:11"/>
    <s v="type40"/>
    <n v="378.9"/>
    <x v="1"/>
    <d v="2023-09-14T06:10:11"/>
    <x v="1"/>
    <d v="2023-10-03T00:00:00"/>
    <n v="20.742928240739275"/>
    <x v="0"/>
    <x v="20"/>
    <n v="18.742928240739275"/>
    <x v="20"/>
  </r>
  <r>
    <n v="1017"/>
    <s v="1017111"/>
    <d v="2023-09-14T06:10:11"/>
    <s v="type40"/>
    <n v="11.6"/>
    <x v="4"/>
    <d v="2023-09-16T06:10:11"/>
    <x v="2"/>
    <d v="2023-10-03T00:00:00"/>
    <n v="18.742928240739275"/>
    <x v="0"/>
    <x v="2"/>
    <n v="16.742928240739275"/>
    <x v="2"/>
  </r>
  <r>
    <n v="1021"/>
    <s v="1021111"/>
    <d v="2023-09-10T06:10:11"/>
    <s v="type40"/>
    <n v="2.66"/>
    <x v="6"/>
    <d v="2023-09-15T06:10:11"/>
    <x v="0"/>
    <d v="2023-10-03T00:00:00"/>
    <n v="22.742928240739275"/>
    <x v="0"/>
    <x v="0"/>
    <n v="17.742928240739275"/>
    <x v="0"/>
  </r>
  <r>
    <n v="1022"/>
    <s v="1022111"/>
    <d v="2023-09-18T06:10:11"/>
    <s v="type1"/>
    <n v="30"/>
    <x v="5"/>
    <d v="2023-09-19T06:10:11"/>
    <x v="0"/>
    <d v="2023-10-03T00:00:00"/>
    <n v="14.742928240739275"/>
    <x v="0"/>
    <x v="19"/>
    <n v="13.742928240739275"/>
    <x v="19"/>
  </r>
  <r>
    <n v="1028"/>
    <s v="1028111"/>
    <d v="2023-09-14T06:10:11"/>
    <s v="type2"/>
    <n v="1808"/>
    <x v="3"/>
    <d v="2023-09-19T06:10:11"/>
    <x v="5"/>
    <d v="2023-10-03T00:00:00"/>
    <n v="18.742928240739275"/>
    <x v="0"/>
    <x v="19"/>
    <n v="13.742928240739275"/>
    <x v="19"/>
  </r>
  <r>
    <n v="1019"/>
    <s v="1019111"/>
    <d v="2023-09-14T06:10:11"/>
    <s v="type40"/>
    <n v="395.77"/>
    <x v="6"/>
    <d v="2023-09-21T06:10:11"/>
    <x v="0"/>
    <d v="2023-10-03T00:00:00"/>
    <n v="18.742928240739275"/>
    <x v="0"/>
    <x v="1"/>
    <n v="11.742928240739275"/>
    <x v="1"/>
  </r>
  <r>
    <n v="1018"/>
    <s v="1018111"/>
    <d v="2023-09-23T06:10:11"/>
    <s v="type40"/>
    <n v="9875.8799999999992"/>
    <x v="5"/>
    <d v="2023-09-25T06:10:11"/>
    <x v="0"/>
    <d v="2023-10-03T00:00:00"/>
    <n v="9.7429282407392748"/>
    <x v="0"/>
    <x v="11"/>
    <n v="7.7429282407392748"/>
    <x v="11"/>
  </r>
  <r>
    <n v="1023"/>
    <s v="1023111"/>
    <d v="2023-09-14T06:10:11"/>
    <s v="type40"/>
    <n v="-331.9"/>
    <x v="5"/>
    <d v="2023-09-19T06:10:11"/>
    <x v="0"/>
    <d v="2023-10-03T00:00:00"/>
    <n v="18.742928240739275"/>
    <x v="0"/>
    <x v="19"/>
    <n v="13.742928240739275"/>
    <x v="19"/>
  </r>
  <r>
    <n v="1022"/>
    <s v="1022111"/>
    <d v="2023-09-18T06:10:11"/>
    <s v="type40"/>
    <n v="10446.049999999999"/>
    <x v="5"/>
    <d v="2023-09-25T06:10:11"/>
    <x v="0"/>
    <d v="2023-10-03T00:00:00"/>
    <n v="14.742928240739275"/>
    <x v="0"/>
    <x v="11"/>
    <n v="7.7429282407392748"/>
    <x v="11"/>
  </r>
  <r>
    <n v="1001"/>
    <s v="1001111"/>
    <d v="2023-09-21T06:10:11"/>
    <s v="type40"/>
    <n v="371.83"/>
    <x v="2"/>
    <d v="2023-09-23T06:10:11"/>
    <x v="3"/>
    <d v="2023-10-03T00:00:00"/>
    <n v="11.742928240739275"/>
    <x v="0"/>
    <x v="3"/>
    <n v="9.7429282407392748"/>
    <x v="3"/>
  </r>
  <r>
    <n v="1024"/>
    <s v="1024111"/>
    <d v="2023-09-18T06:10:11"/>
    <s v="type40"/>
    <n v="321.8"/>
    <x v="1"/>
    <d v="2023-09-25T06:10:11"/>
    <x v="5"/>
    <d v="2023-10-03T00:00:00"/>
    <n v="14.742928240739275"/>
    <x v="0"/>
    <x v="11"/>
    <n v="7.7429282407392748"/>
    <x v="11"/>
  </r>
  <r>
    <n v="1026"/>
    <s v="1026111"/>
    <d v="2023-09-17T06:10:11"/>
    <s v="type24"/>
    <n v="450.33"/>
    <x v="6"/>
    <d v="2023-09-24T06:10:11"/>
    <x v="5"/>
    <d v="2023-10-03T00:00:00"/>
    <n v="15.742928240739275"/>
    <x v="0"/>
    <x v="5"/>
    <n v="8.7429282407392748"/>
    <x v="5"/>
  </r>
  <r>
    <n v="1026"/>
    <s v="1026111"/>
    <d v="2023-09-22T06:10:11"/>
    <s v="type40"/>
    <n v="3819.8"/>
    <x v="2"/>
    <d v="2023-09-24T06:10:11"/>
    <x v="5"/>
    <d v="2023-10-03T00:00:00"/>
    <n v="10.742928240739275"/>
    <x v="0"/>
    <x v="5"/>
    <n v="8.7429282407392748"/>
    <x v="5"/>
  </r>
  <r>
    <n v="1030"/>
    <s v="1030111"/>
    <d v="2023-09-13T06:10:11"/>
    <s v="type40"/>
    <n v="8953.85"/>
    <x v="2"/>
    <d v="2023-09-20T06:10:11"/>
    <x v="4"/>
    <d v="2023-10-03T00:00:00"/>
    <n v="19.742928240739275"/>
    <x v="0"/>
    <x v="9"/>
    <n v="12.742928240739275"/>
    <x v="9"/>
  </r>
  <r>
    <n v="1017"/>
    <s v="1017111"/>
    <d v="2023-09-20T06:10:11"/>
    <s v="type13"/>
    <n v="15985"/>
    <x v="3"/>
    <d v="2023-09-27T06:10:11"/>
    <x v="2"/>
    <d v="2023-10-03T00:00:00"/>
    <n v="12.742928240739275"/>
    <x v="0"/>
    <x v="12"/>
    <n v="5.7429282407392748"/>
    <x v="12"/>
  </r>
  <r>
    <n v="1021"/>
    <s v="1021111"/>
    <d v="2023-09-18T06:10:11"/>
    <s v="type8"/>
    <n v="59.86"/>
    <x v="6"/>
    <d v="2023-09-25T06:10:11"/>
    <x v="0"/>
    <d v="2023-10-03T00:00:00"/>
    <n v="14.742928240739275"/>
    <x v="0"/>
    <x v="11"/>
    <n v="7.7429282407392748"/>
    <x v="11"/>
  </r>
  <r>
    <n v="1012"/>
    <s v="1012111"/>
    <d v="2023-09-14T06:10:11"/>
    <s v="type40"/>
    <n v="6703.27"/>
    <x v="2"/>
    <d v="2023-09-21T06:10:11"/>
    <x v="2"/>
    <d v="2023-10-03T00:00:00"/>
    <n v="18.742928240739275"/>
    <x v="0"/>
    <x v="1"/>
    <n v="11.742928240739275"/>
    <x v="1"/>
  </r>
  <r>
    <n v="1028"/>
    <s v="1028111"/>
    <d v="2023-09-20T06:10:11"/>
    <s v="type38"/>
    <n v="168.66"/>
    <x v="4"/>
    <d v="2023-09-22T06:10:11"/>
    <x v="5"/>
    <d v="2023-10-03T00:00:00"/>
    <n v="12.742928240739275"/>
    <x v="0"/>
    <x v="10"/>
    <n v="10.742928240739275"/>
    <x v="10"/>
  </r>
  <r>
    <n v="1017"/>
    <s v="1017111"/>
    <d v="2023-09-21T06:10:11"/>
    <s v="type40"/>
    <n v="60.08"/>
    <x v="4"/>
    <d v="2023-09-23T06:10:11"/>
    <x v="2"/>
    <d v="2023-10-03T00:00:00"/>
    <n v="11.742928240739275"/>
    <x v="0"/>
    <x v="3"/>
    <n v="9.7429282407392748"/>
    <x v="3"/>
  </r>
  <r>
    <n v="1012"/>
    <s v="1012111"/>
    <d v="2023-09-19T06:10:11"/>
    <s v="type44"/>
    <n v="313.5"/>
    <x v="6"/>
    <d v="2023-09-26T06:10:11"/>
    <x v="2"/>
    <d v="2023-10-03T00:00:00"/>
    <n v="13.742928240739275"/>
    <x v="0"/>
    <x v="7"/>
    <n v="6.7429282407392748"/>
    <x v="7"/>
  </r>
  <r>
    <n v="1018"/>
    <s v="1018111"/>
    <d v="2023-09-20T06:10:11"/>
    <s v="type40"/>
    <n v="5089.9799999999996"/>
    <x v="5"/>
    <d v="2023-09-27T06:10:11"/>
    <x v="0"/>
    <d v="2023-10-03T00:00:00"/>
    <n v="12.742928240739275"/>
    <x v="0"/>
    <x v="12"/>
    <n v="5.7429282407392748"/>
    <x v="12"/>
  </r>
  <r>
    <n v="1020"/>
    <s v="1020111"/>
    <d v="2023-09-26T06:10:11"/>
    <s v="type40"/>
    <n v="-1263.69"/>
    <x v="1"/>
    <d v="2023-10-03T06:10:11"/>
    <x v="0"/>
    <d v="2023-10-03T00:00:00"/>
    <n v="6.7429282407392748"/>
    <x v="1"/>
    <x v="16"/>
    <n v="-0.25707175926072523"/>
    <x v="16"/>
  </r>
  <r>
    <n v="1013"/>
    <s v="1013111"/>
    <d v="2023-09-20T06:10:11"/>
    <s v="type40"/>
    <n v="1539.35"/>
    <x v="5"/>
    <d v="2023-09-27T06:10:11"/>
    <x v="2"/>
    <d v="2023-10-03T00:00:00"/>
    <n v="12.742928240739275"/>
    <x v="0"/>
    <x v="12"/>
    <n v="5.7429282407392748"/>
    <x v="12"/>
  </r>
  <r>
    <n v="1008"/>
    <s v="1008111"/>
    <d v="2023-09-18T06:10:11"/>
    <s v="type40"/>
    <n v="64.78"/>
    <x v="6"/>
    <d v="2023-09-19T06:10:11"/>
    <x v="1"/>
    <d v="2023-10-03T00:00:00"/>
    <n v="14.742928240739275"/>
    <x v="0"/>
    <x v="19"/>
    <n v="13.742928240739275"/>
    <x v="19"/>
  </r>
  <r>
    <n v="1011"/>
    <s v="1011111"/>
    <d v="2023-09-16T06:10:11"/>
    <s v="type40"/>
    <n v="-538.22"/>
    <x v="1"/>
    <d v="2023-09-23T06:10:11"/>
    <x v="1"/>
    <d v="2023-10-03T00:00:00"/>
    <n v="16.742928240739275"/>
    <x v="0"/>
    <x v="3"/>
    <n v="9.7429282407392748"/>
    <x v="3"/>
  </r>
  <r>
    <n v="1010"/>
    <s v="1010111"/>
    <d v="2023-09-21T06:10:11"/>
    <s v="type40"/>
    <n v="4706.82"/>
    <x v="5"/>
    <d v="2023-09-28T06:10:11"/>
    <x v="1"/>
    <d v="2023-10-03T00:00:00"/>
    <n v="11.742928240739275"/>
    <x v="0"/>
    <x v="8"/>
    <n v="4.7429282407392748"/>
    <x v="8"/>
  </r>
  <r>
    <n v="1014"/>
    <s v="1014111"/>
    <d v="2023-09-18T06:10:11"/>
    <s v="type42"/>
    <n v="203"/>
    <x v="1"/>
    <d v="2023-09-25T06:10:11"/>
    <x v="2"/>
    <d v="2023-10-03T00:00:00"/>
    <n v="14.742928240739275"/>
    <x v="0"/>
    <x v="11"/>
    <n v="7.7429282407392748"/>
    <x v="11"/>
  </r>
  <r>
    <n v="1001"/>
    <s v="1001111"/>
    <d v="2023-09-18T06:10:11"/>
    <s v="type40"/>
    <n v="1096.03"/>
    <x v="2"/>
    <d v="2023-09-19T06:10:11"/>
    <x v="3"/>
    <d v="2023-10-03T00:00:00"/>
    <n v="14.742928240739275"/>
    <x v="0"/>
    <x v="19"/>
    <n v="13.742928240739275"/>
    <x v="19"/>
  </r>
  <r>
    <n v="1033"/>
    <s v="1033111"/>
    <d v="2023-09-19T06:10:11"/>
    <s v="type13"/>
    <n v="40100.51"/>
    <x v="1"/>
    <d v="2023-09-20T06:10:11"/>
    <x v="4"/>
    <d v="2023-10-03T00:00:00"/>
    <n v="13.742928240739275"/>
    <x v="0"/>
    <x v="9"/>
    <n v="12.742928240739275"/>
    <x v="9"/>
  </r>
  <r>
    <n v="1017"/>
    <s v="1017111"/>
    <d v="2023-09-22T06:10:11"/>
    <s v="type13"/>
    <n v="27784.15"/>
    <x v="6"/>
    <d v="2023-09-23T06:10:11"/>
    <x v="2"/>
    <d v="2023-10-03T00:00:00"/>
    <n v="10.742928240739275"/>
    <x v="0"/>
    <x v="3"/>
    <n v="9.7429282407392748"/>
    <x v="3"/>
  </r>
  <r>
    <n v="1032"/>
    <s v="1032111"/>
    <d v="2023-09-20T06:10:11"/>
    <s v="type40"/>
    <n v="-1270.48"/>
    <x v="3"/>
    <d v="2023-09-21T06:10:11"/>
    <x v="4"/>
    <d v="2023-10-03T00:00:00"/>
    <n v="12.742928240739275"/>
    <x v="0"/>
    <x v="1"/>
    <n v="11.742928240739275"/>
    <x v="1"/>
  </r>
  <r>
    <n v="1005"/>
    <s v="1005111"/>
    <d v="2023-09-21T06:10:11"/>
    <s v="type40"/>
    <n v="23.01"/>
    <x v="1"/>
    <d v="2023-09-22T06:10:11"/>
    <x v="3"/>
    <d v="2023-10-03T00:00:00"/>
    <n v="11.742928240739275"/>
    <x v="0"/>
    <x v="10"/>
    <n v="10.742928240739275"/>
    <x v="10"/>
  </r>
  <r>
    <n v="1000"/>
    <s v="1000111"/>
    <d v="2023-09-15T06:10:11"/>
    <s v="type38"/>
    <n v="276.56"/>
    <x v="6"/>
    <d v="2023-09-17T06:10:11"/>
    <x v="3"/>
    <d v="2023-10-03T00:00:00"/>
    <n v="17.742928240739275"/>
    <x v="0"/>
    <x v="4"/>
    <n v="15.742928240739275"/>
    <x v="4"/>
  </r>
  <r>
    <n v="1015"/>
    <s v="1015111"/>
    <d v="2023-09-16T06:10:11"/>
    <s v="type38"/>
    <n v="241.73"/>
    <x v="6"/>
    <d v="2023-09-18T06:10:11"/>
    <x v="2"/>
    <d v="2023-10-03T00:00:00"/>
    <n v="16.742928240739275"/>
    <x v="0"/>
    <x v="6"/>
    <n v="14.742928240739275"/>
    <x v="6"/>
  </r>
  <r>
    <n v="1014"/>
    <s v="1014111"/>
    <d v="2023-09-11T06:10:11"/>
    <s v="type13"/>
    <n v="26568.83"/>
    <x v="4"/>
    <d v="2023-09-18T06:10:11"/>
    <x v="2"/>
    <d v="2023-10-03T00:00:00"/>
    <n v="21.742928240739275"/>
    <x v="0"/>
    <x v="6"/>
    <n v="14.742928240739275"/>
    <x v="6"/>
  </r>
  <r>
    <n v="1014"/>
    <s v="1014111"/>
    <d v="2023-09-12T06:10:11"/>
    <s v="type40"/>
    <n v="1"/>
    <x v="5"/>
    <d v="2023-09-19T06:10:11"/>
    <x v="2"/>
    <d v="2023-10-03T00:00:00"/>
    <n v="20.742928240739275"/>
    <x v="0"/>
    <x v="19"/>
    <n v="13.742928240739275"/>
    <x v="19"/>
  </r>
  <r>
    <n v="1023"/>
    <s v="1023111"/>
    <d v="2023-09-10T06:10:11"/>
    <s v="type40"/>
    <n v="-451.02"/>
    <x v="2"/>
    <d v="2023-09-12T06:10:11"/>
    <x v="0"/>
    <d v="2023-10-03T00:00:00"/>
    <n v="22.742928240739275"/>
    <x v="0"/>
    <x v="18"/>
    <n v="20.742928240739275"/>
    <x v="18"/>
  </r>
  <r>
    <n v="1030"/>
    <s v="1030111"/>
    <d v="2023-09-13T06:10:11"/>
    <s v="type40"/>
    <n v="1158.45"/>
    <x v="5"/>
    <d v="2023-09-14T06:10:11"/>
    <x v="4"/>
    <d v="2023-10-03T00:00:00"/>
    <n v="19.742928240739275"/>
    <x v="0"/>
    <x v="20"/>
    <n v="18.742928240739275"/>
    <x v="20"/>
  </r>
  <r>
    <n v="1013"/>
    <s v="1013111"/>
    <d v="2023-09-27T06:10:11"/>
    <s v="type40"/>
    <n v="-3849.12"/>
    <x v="1"/>
    <d v="2023-09-28T06:10:11"/>
    <x v="2"/>
    <d v="2023-10-03T00:00:00"/>
    <n v="5.7429282407392748"/>
    <x v="2"/>
    <x v="8"/>
    <n v="4.7429282407392748"/>
    <x v="8"/>
  </r>
  <r>
    <n v="1024"/>
    <s v="1024111"/>
    <d v="2023-09-28T06:10:11"/>
    <s v="type40"/>
    <n v="533.96"/>
    <x v="1"/>
    <d v="2023-09-29T06:10:11"/>
    <x v="5"/>
    <d v="2023-10-03T00:00:00"/>
    <n v="4.7429282407392748"/>
    <x v="2"/>
    <x v="13"/>
    <n v="3.7429282407392748"/>
    <x v="13"/>
  </r>
  <r>
    <n v="1004"/>
    <s v="1004111"/>
    <d v="2023-09-12T06:10:11"/>
    <s v="type40"/>
    <n v="80.8"/>
    <x v="4"/>
    <d v="2023-09-19T06:10:11"/>
    <x v="3"/>
    <d v="2023-10-03T00:00:00"/>
    <n v="20.742928240739275"/>
    <x v="0"/>
    <x v="19"/>
    <n v="13.742928240739275"/>
    <x v="19"/>
  </r>
  <r>
    <n v="1032"/>
    <s v="1032111"/>
    <d v="2023-09-16T06:10:11"/>
    <s v="type40"/>
    <n v="20.170000000000002"/>
    <x v="6"/>
    <d v="2023-09-18T06:10:11"/>
    <x v="4"/>
    <d v="2023-10-03T00:00:00"/>
    <n v="16.742928240739275"/>
    <x v="0"/>
    <x v="6"/>
    <n v="14.742928240739275"/>
    <x v="6"/>
  </r>
  <r>
    <n v="1023"/>
    <s v="1023111"/>
    <d v="2023-09-12T06:10:11"/>
    <s v="type40"/>
    <n v="-10370.16"/>
    <x v="2"/>
    <d v="2023-09-14T06:10:11"/>
    <x v="0"/>
    <d v="2023-10-03T00:00:00"/>
    <n v="20.742928240739275"/>
    <x v="0"/>
    <x v="20"/>
    <n v="18.742928240739275"/>
    <x v="20"/>
  </r>
  <r>
    <n v="1022"/>
    <s v="1022111"/>
    <d v="2023-09-13T06:10:11"/>
    <s v="type40"/>
    <n v="-347.38"/>
    <x v="3"/>
    <d v="2023-09-14T06:10:11"/>
    <x v="0"/>
    <d v="2023-10-03T00:00:00"/>
    <n v="19.742928240739275"/>
    <x v="0"/>
    <x v="20"/>
    <n v="18.742928240739275"/>
    <x v="20"/>
  </r>
  <r>
    <n v="1000"/>
    <s v="1000111"/>
    <d v="2023-09-22T06:10:11"/>
    <s v="type40"/>
    <n v="29.15"/>
    <x v="4"/>
    <d v="2023-09-29T06:10:11"/>
    <x v="3"/>
    <d v="2023-10-03T00:00:00"/>
    <n v="10.742928240739275"/>
    <x v="0"/>
    <x v="13"/>
    <n v="3.7429282407392748"/>
    <x v="13"/>
  </r>
  <r>
    <n v="1007"/>
    <s v="1007111"/>
    <d v="2023-09-20T06:10:11"/>
    <s v="type13"/>
    <n v="25454.89"/>
    <x v="4"/>
    <d v="2023-09-21T06:10:11"/>
    <x v="1"/>
    <d v="2023-10-03T00:00:00"/>
    <n v="12.742928240739275"/>
    <x v="0"/>
    <x v="1"/>
    <n v="11.742928240739275"/>
    <x v="1"/>
  </r>
  <r>
    <n v="1034"/>
    <s v="1034111"/>
    <d v="2023-09-22T06:10:11"/>
    <s v="type40"/>
    <n v="12.62"/>
    <x v="4"/>
    <d v="2023-09-23T06:10:11"/>
    <x v="4"/>
    <d v="2023-10-03T00:00:00"/>
    <n v="10.742928240739275"/>
    <x v="0"/>
    <x v="3"/>
    <n v="9.7429282407392748"/>
    <x v="3"/>
  </r>
  <r>
    <n v="1005"/>
    <s v="1005111"/>
    <d v="2023-09-23T06:10:11"/>
    <s v="type13"/>
    <n v="30233.06"/>
    <x v="4"/>
    <d v="2023-09-24T06:10:11"/>
    <x v="3"/>
    <d v="2023-10-03T00:00:00"/>
    <n v="9.7429282407392748"/>
    <x v="0"/>
    <x v="5"/>
    <n v="8.7429282407392748"/>
    <x v="5"/>
  </r>
  <r>
    <n v="1007"/>
    <s v="1007111"/>
    <d v="2023-09-16T06:10:11"/>
    <s v="type40"/>
    <n v="-327.66000000000003"/>
    <x v="2"/>
    <d v="2023-09-21T06:10:11"/>
    <x v="1"/>
    <d v="2023-10-03T00:00:00"/>
    <n v="16.742928240739275"/>
    <x v="0"/>
    <x v="1"/>
    <n v="11.742928240739275"/>
    <x v="1"/>
  </r>
  <r>
    <n v="1018"/>
    <s v="1018111"/>
    <d v="2023-09-15T06:10:11"/>
    <s v="type40"/>
    <n v="-458.58"/>
    <x v="5"/>
    <d v="2023-09-16T06:10:11"/>
    <x v="0"/>
    <d v="2023-10-03T00:00:00"/>
    <n v="17.742928240739275"/>
    <x v="0"/>
    <x v="2"/>
    <n v="16.742928240739275"/>
    <x v="2"/>
  </r>
  <r>
    <n v="1017"/>
    <s v="1017111"/>
    <d v="2023-09-14T06:10:11"/>
    <s v="type13"/>
    <n v="24432.880000000001"/>
    <x v="4"/>
    <d v="2023-09-15T06:10:11"/>
    <x v="2"/>
    <d v="2023-10-03T00:00:00"/>
    <n v="18.742928240739275"/>
    <x v="0"/>
    <x v="0"/>
    <n v="17.742928240739275"/>
    <x v="0"/>
  </r>
  <r>
    <n v="1032"/>
    <s v="1032111"/>
    <d v="2023-09-18T06:10:11"/>
    <s v="type40"/>
    <n v="19.649999999999999"/>
    <x v="6"/>
    <d v="2023-09-20T06:10:11"/>
    <x v="4"/>
    <d v="2023-10-03T00:00:00"/>
    <n v="14.742928240739275"/>
    <x v="0"/>
    <x v="9"/>
    <n v="12.742928240739275"/>
    <x v="9"/>
  </r>
  <r>
    <n v="1010"/>
    <s v="1010111"/>
    <d v="2023-09-23T06:10:11"/>
    <s v="type40"/>
    <n v="-406.07"/>
    <x v="6"/>
    <d v="2023-09-25T06:10:11"/>
    <x v="1"/>
    <d v="2023-10-03T00:00:00"/>
    <n v="9.7429282407392748"/>
    <x v="0"/>
    <x v="11"/>
    <n v="7.7429282407392748"/>
    <x v="11"/>
  </r>
  <r>
    <n v="1031"/>
    <s v="1031111"/>
    <d v="2023-09-16T06:10:11"/>
    <s v="type38"/>
    <n v="259.11"/>
    <x v="4"/>
    <d v="2023-09-17T06:10:11"/>
    <x v="4"/>
    <d v="2023-10-03T00:00:00"/>
    <n v="16.742928240739275"/>
    <x v="0"/>
    <x v="4"/>
    <n v="15.742928240739275"/>
    <x v="4"/>
  </r>
  <r>
    <n v="1013"/>
    <s v="1013111"/>
    <d v="2023-09-19T06:10:11"/>
    <s v="type40"/>
    <n v="-28617.83"/>
    <x v="1"/>
    <d v="2023-09-21T06:10:11"/>
    <x v="2"/>
    <d v="2023-10-03T00:00:00"/>
    <n v="13.742928240739275"/>
    <x v="0"/>
    <x v="1"/>
    <n v="11.742928240739275"/>
    <x v="1"/>
  </r>
  <r>
    <n v="1006"/>
    <s v="1006111"/>
    <d v="2023-09-16T06:10:11"/>
    <s v="type38"/>
    <n v="151.83000000000001"/>
    <x v="4"/>
    <d v="2023-09-17T06:10:11"/>
    <x v="1"/>
    <d v="2023-10-03T00:00:00"/>
    <n v="16.742928240739275"/>
    <x v="0"/>
    <x v="4"/>
    <n v="15.742928240739275"/>
    <x v="4"/>
  </r>
  <r>
    <n v="1031"/>
    <s v="1031111"/>
    <d v="2023-09-15T06:10:11"/>
    <s v="type40"/>
    <n v="725.26"/>
    <x v="5"/>
    <d v="2023-09-16T06:10:11"/>
    <x v="4"/>
    <d v="2023-10-03T00:00:00"/>
    <n v="17.742928240739275"/>
    <x v="0"/>
    <x v="2"/>
    <n v="16.742928240739275"/>
    <x v="2"/>
  </r>
  <r>
    <n v="1013"/>
    <s v="1013111"/>
    <d v="2023-09-20T06:10:11"/>
    <s v="type40"/>
    <n v="-303"/>
    <x v="2"/>
    <d v="2023-09-25T06:10:11"/>
    <x v="2"/>
    <d v="2023-10-03T00:00:00"/>
    <n v="12.742928240739275"/>
    <x v="0"/>
    <x v="11"/>
    <n v="7.7429282407392748"/>
    <x v="11"/>
  </r>
  <r>
    <n v="1024"/>
    <s v="1024111"/>
    <d v="2023-09-17T06:10:11"/>
    <s v="type13"/>
    <n v="20645.099999999999"/>
    <x v="4"/>
    <d v="2023-09-18T06:10:11"/>
    <x v="5"/>
    <d v="2023-10-03T00:00:00"/>
    <n v="15.742928240739275"/>
    <x v="0"/>
    <x v="6"/>
    <n v="14.742928240739275"/>
    <x v="6"/>
  </r>
  <r>
    <n v="1012"/>
    <s v="1012111"/>
    <d v="2023-09-18T06:10:11"/>
    <s v="type40"/>
    <n v="12.5"/>
    <x v="6"/>
    <d v="2023-09-23T06:10:11"/>
    <x v="2"/>
    <d v="2023-10-03T00:00:00"/>
    <n v="14.742928240739275"/>
    <x v="0"/>
    <x v="3"/>
    <n v="9.7429282407392748"/>
    <x v="3"/>
  </r>
  <r>
    <n v="1008"/>
    <s v="1008111"/>
    <d v="2023-09-23T06:10:11"/>
    <s v="type40"/>
    <n v="669.08"/>
    <x v="1"/>
    <d v="2023-09-25T06:10:11"/>
    <x v="1"/>
    <d v="2023-10-03T00:00:00"/>
    <n v="9.7429282407392748"/>
    <x v="0"/>
    <x v="11"/>
    <n v="7.7429282407392748"/>
    <x v="11"/>
  </r>
  <r>
    <n v="1032"/>
    <s v="1032111"/>
    <d v="2023-09-24T06:10:11"/>
    <s v="type40"/>
    <n v="845.15"/>
    <x v="3"/>
    <d v="2023-09-26T06:10:11"/>
    <x v="4"/>
    <d v="2023-10-03T00:00:00"/>
    <n v="8.7429282407392748"/>
    <x v="1"/>
    <x v="7"/>
    <n v="6.7429282407392748"/>
    <x v="7"/>
  </r>
  <r>
    <n v="1000"/>
    <s v="1000111"/>
    <d v="2023-09-17T06:10:11"/>
    <s v="type7"/>
    <n v="-2041.52"/>
    <x v="2"/>
    <d v="2023-09-24T06:10:11"/>
    <x v="3"/>
    <d v="2023-10-03T00:00:00"/>
    <n v="15.742928240739275"/>
    <x v="0"/>
    <x v="5"/>
    <n v="8.7429282407392748"/>
    <x v="5"/>
  </r>
  <r>
    <n v="1025"/>
    <s v="1025111"/>
    <d v="2023-09-21T06:10:11"/>
    <s v="type13"/>
    <n v="30128.07"/>
    <x v="4"/>
    <d v="2023-09-23T06:10:11"/>
    <x v="5"/>
    <d v="2023-10-03T00:00:00"/>
    <n v="11.742928240739275"/>
    <x v="0"/>
    <x v="3"/>
    <n v="9.7429282407392748"/>
    <x v="3"/>
  </r>
  <r>
    <n v="1021"/>
    <s v="1021111"/>
    <d v="2023-09-18T06:10:11"/>
    <s v="type26"/>
    <n v="215.45"/>
    <x v="6"/>
    <d v="2023-09-23T06:10:11"/>
    <x v="0"/>
    <d v="2023-10-03T00:00:00"/>
    <n v="14.742928240739275"/>
    <x v="0"/>
    <x v="3"/>
    <n v="9.7429282407392748"/>
    <x v="3"/>
  </r>
  <r>
    <n v="1024"/>
    <s v="1024111"/>
    <d v="2023-09-22T06:10:11"/>
    <s v="type26"/>
    <n v="625.91"/>
    <x v="4"/>
    <d v="2023-09-24T06:10:11"/>
    <x v="5"/>
    <d v="2023-10-03T00:00:00"/>
    <n v="10.742928240739275"/>
    <x v="0"/>
    <x v="5"/>
    <n v="8.7429282407392748"/>
    <x v="5"/>
  </r>
  <r>
    <n v="1025"/>
    <s v="1025111"/>
    <d v="2023-09-20T06:10:11"/>
    <s v="type33"/>
    <n v="311.91000000000003"/>
    <x v="6"/>
    <d v="2023-09-27T06:10:11"/>
    <x v="5"/>
    <d v="2023-10-03T00:00:00"/>
    <n v="12.742928240739275"/>
    <x v="0"/>
    <x v="12"/>
    <n v="5.7429282407392748"/>
    <x v="12"/>
  </r>
  <r>
    <n v="1004"/>
    <s v="1004111"/>
    <d v="2023-09-23T06:10:11"/>
    <s v="type38"/>
    <n v="169.06"/>
    <x v="4"/>
    <d v="2023-09-25T06:10:11"/>
    <x v="3"/>
    <d v="2023-10-03T00:00:00"/>
    <n v="9.7429282407392748"/>
    <x v="0"/>
    <x v="11"/>
    <n v="7.7429282407392748"/>
    <x v="11"/>
  </r>
  <r>
    <n v="1019"/>
    <s v="1019111"/>
    <d v="2023-09-19T06:10:11"/>
    <s v="type40"/>
    <n v="-452.61"/>
    <x v="2"/>
    <d v="2023-09-26T06:10:11"/>
    <x v="0"/>
    <d v="2023-10-03T00:00:00"/>
    <n v="13.742928240739275"/>
    <x v="0"/>
    <x v="7"/>
    <n v="6.7429282407392748"/>
    <x v="7"/>
  </r>
  <r>
    <n v="1021"/>
    <s v="1021111"/>
    <d v="2023-09-18T06:10:11"/>
    <s v="type40"/>
    <n v="1173.31"/>
    <x v="3"/>
    <d v="2023-09-23T06:10:11"/>
    <x v="0"/>
    <d v="2023-10-03T00:00:00"/>
    <n v="14.742928240739275"/>
    <x v="0"/>
    <x v="3"/>
    <n v="9.7429282407392748"/>
    <x v="3"/>
  </r>
  <r>
    <n v="1009"/>
    <s v="1009111"/>
    <d v="2023-09-19T06:10:11"/>
    <s v="type40"/>
    <n v="-403.54"/>
    <x v="1"/>
    <d v="2023-09-24T06:10:11"/>
    <x v="1"/>
    <d v="2023-10-03T00:00:00"/>
    <n v="13.742928240739275"/>
    <x v="0"/>
    <x v="5"/>
    <n v="8.7429282407392748"/>
    <x v="5"/>
  </r>
  <r>
    <n v="1007"/>
    <s v="1007111"/>
    <d v="2023-09-20T06:10:11"/>
    <s v="type40"/>
    <n v="-478.45"/>
    <x v="1"/>
    <d v="2023-09-25T06:10:11"/>
    <x v="1"/>
    <d v="2023-10-03T00:00:00"/>
    <n v="12.742928240739275"/>
    <x v="0"/>
    <x v="11"/>
    <n v="7.7429282407392748"/>
    <x v="11"/>
  </r>
  <r>
    <n v="1015"/>
    <s v="1015111"/>
    <d v="2023-09-20T06:10:11"/>
    <s v="type40"/>
    <n v="7012.17"/>
    <x v="3"/>
    <d v="2023-09-25T06:10:11"/>
    <x v="2"/>
    <d v="2023-10-03T00:00:00"/>
    <n v="12.742928240739275"/>
    <x v="0"/>
    <x v="11"/>
    <n v="7.7429282407392748"/>
    <x v="11"/>
  </r>
  <r>
    <n v="1033"/>
    <s v="1033111"/>
    <d v="2023-09-20T06:10:11"/>
    <s v="type40"/>
    <n v="-1806.82"/>
    <x v="2"/>
    <d v="2023-09-27T06:10:11"/>
    <x v="4"/>
    <d v="2023-10-03T00:00:00"/>
    <n v="12.742928240739275"/>
    <x v="0"/>
    <x v="12"/>
    <n v="5.7429282407392748"/>
    <x v="12"/>
  </r>
  <r>
    <n v="1022"/>
    <s v="1022111"/>
    <d v="2023-09-21T06:10:11"/>
    <s v="type40"/>
    <n v="-711.46"/>
    <x v="1"/>
    <d v="2023-09-26T06:10:11"/>
    <x v="0"/>
    <d v="2023-10-03T00:00:00"/>
    <n v="11.742928240739275"/>
    <x v="0"/>
    <x v="7"/>
    <n v="6.7429282407392748"/>
    <x v="7"/>
  </r>
  <r>
    <n v="1004"/>
    <s v="1004111"/>
    <d v="2023-09-14T06:10:11"/>
    <s v="type40"/>
    <n v="-1101.99"/>
    <x v="2"/>
    <d v="2023-09-15T06:10:11"/>
    <x v="3"/>
    <d v="2023-10-03T00:00:00"/>
    <n v="18.742928240739275"/>
    <x v="0"/>
    <x v="0"/>
    <n v="17.742928240739275"/>
    <x v="0"/>
  </r>
  <r>
    <n v="1022"/>
    <s v="1022111"/>
    <d v="2023-09-23T06:10:11"/>
    <s v="type40"/>
    <n v="1506.97"/>
    <x v="3"/>
    <d v="2023-09-30T06:10:11"/>
    <x v="0"/>
    <d v="2023-10-03T00:00:00"/>
    <n v="9.7429282407392748"/>
    <x v="0"/>
    <x v="14"/>
    <n v="2.7429282407392748"/>
    <x v="14"/>
  </r>
  <r>
    <n v="1019"/>
    <s v="1019111"/>
    <d v="2023-09-18T06:10:11"/>
    <s v="type13"/>
    <n v="33817.93"/>
    <x v="6"/>
    <d v="2023-09-19T06:10:11"/>
    <x v="0"/>
    <d v="2023-10-03T00:00:00"/>
    <n v="14.742928240739275"/>
    <x v="0"/>
    <x v="19"/>
    <n v="13.742928240739275"/>
    <x v="19"/>
  </r>
  <r>
    <n v="1030"/>
    <s v="1030111"/>
    <d v="2023-09-18T06:10:11"/>
    <s v="type13"/>
    <n v="24748.720000000001"/>
    <x v="4"/>
    <d v="2023-09-23T06:10:11"/>
    <x v="4"/>
    <d v="2023-10-03T00:00:00"/>
    <n v="14.742928240739275"/>
    <x v="0"/>
    <x v="3"/>
    <n v="9.7429282407392748"/>
    <x v="3"/>
  </r>
  <r>
    <n v="1019"/>
    <s v="1019111"/>
    <d v="2023-09-18T06:10:11"/>
    <s v="type40"/>
    <n v="-590.22"/>
    <x v="2"/>
    <d v="2023-09-20T06:10:11"/>
    <x v="0"/>
    <d v="2023-10-03T00:00:00"/>
    <n v="14.742928240739275"/>
    <x v="0"/>
    <x v="9"/>
    <n v="12.742928240739275"/>
    <x v="9"/>
  </r>
  <r>
    <n v="1026"/>
    <s v="1026111"/>
    <d v="2023-09-23T06:10:11"/>
    <s v="type30"/>
    <n v="211.59"/>
    <x v="4"/>
    <d v="2023-09-28T06:10:11"/>
    <x v="5"/>
    <d v="2023-10-03T00:00:00"/>
    <n v="9.7429282407392748"/>
    <x v="0"/>
    <x v="8"/>
    <n v="4.7429282407392748"/>
    <x v="8"/>
  </r>
  <r>
    <n v="1011"/>
    <s v="1011111"/>
    <d v="2023-09-20T06:10:11"/>
    <s v="type40"/>
    <n v="-507.7"/>
    <x v="2"/>
    <d v="2023-09-22T06:10:11"/>
    <x v="1"/>
    <d v="2023-10-03T00:00:00"/>
    <n v="12.742928240739275"/>
    <x v="0"/>
    <x v="10"/>
    <n v="10.742928240739275"/>
    <x v="10"/>
  </r>
  <r>
    <n v="1007"/>
    <s v="1007111"/>
    <d v="2023-09-16T06:10:11"/>
    <s v="type40"/>
    <n v="10"/>
    <x v="5"/>
    <d v="2023-09-17T06:10:11"/>
    <x v="1"/>
    <d v="2023-10-03T00:00:00"/>
    <n v="16.742928240739275"/>
    <x v="0"/>
    <x v="4"/>
    <n v="15.742928240739275"/>
    <x v="4"/>
  </r>
  <r>
    <n v="1027"/>
    <s v="1027111"/>
    <d v="2023-09-20T06:10:11"/>
    <s v="type38"/>
    <n v="236.32"/>
    <x v="6"/>
    <d v="2023-09-21T06:10:11"/>
    <x v="5"/>
    <d v="2023-10-03T00:00:00"/>
    <n v="12.742928240739275"/>
    <x v="0"/>
    <x v="1"/>
    <n v="11.742928240739275"/>
    <x v="1"/>
  </r>
  <r>
    <n v="1004"/>
    <s v="1004111"/>
    <d v="2023-09-12T06:10:11"/>
    <s v="type40"/>
    <n v="-570.92999999999995"/>
    <x v="3"/>
    <d v="2023-09-19T06:10:11"/>
    <x v="3"/>
    <d v="2023-10-03T00:00:00"/>
    <n v="20.742928240739275"/>
    <x v="0"/>
    <x v="19"/>
    <n v="13.742928240739275"/>
    <x v="19"/>
  </r>
  <r>
    <n v="1015"/>
    <s v="1015111"/>
    <d v="2023-09-20T06:10:11"/>
    <s v="type40"/>
    <n v="-347.89"/>
    <x v="5"/>
    <d v="2023-09-22T06:10:11"/>
    <x v="2"/>
    <d v="2023-10-03T00:00:00"/>
    <n v="12.742928240739275"/>
    <x v="0"/>
    <x v="10"/>
    <n v="10.742928240739275"/>
    <x v="10"/>
  </r>
  <r>
    <n v="1009"/>
    <s v="1009111"/>
    <d v="2023-09-13T06:10:11"/>
    <s v="type40"/>
    <n v="-1273.5"/>
    <x v="3"/>
    <d v="2023-09-20T06:10:11"/>
    <x v="1"/>
    <d v="2023-10-03T00:00:00"/>
    <n v="19.742928240739275"/>
    <x v="0"/>
    <x v="9"/>
    <n v="12.742928240739275"/>
    <x v="9"/>
  </r>
  <r>
    <n v="1021"/>
    <s v="1021111"/>
    <d v="2023-09-21T06:10:11"/>
    <s v="type40"/>
    <n v="-506.94"/>
    <x v="5"/>
    <d v="2023-09-23T06:10:11"/>
    <x v="0"/>
    <d v="2023-10-03T00:00:00"/>
    <n v="11.742928240739275"/>
    <x v="0"/>
    <x v="3"/>
    <n v="9.7429282407392748"/>
    <x v="3"/>
  </r>
  <r>
    <n v="1014"/>
    <s v="1014111"/>
    <d v="2023-09-13T06:10:11"/>
    <s v="type40"/>
    <n v="-472.84"/>
    <x v="2"/>
    <d v="2023-09-20T06:10:11"/>
    <x v="2"/>
    <d v="2023-10-03T00:00:00"/>
    <n v="19.742928240739275"/>
    <x v="0"/>
    <x v="9"/>
    <n v="12.742928240739275"/>
    <x v="9"/>
  </r>
  <r>
    <n v="1033"/>
    <s v="1033111"/>
    <d v="2023-09-15T06:10:11"/>
    <s v="type40"/>
    <n v="336.45"/>
    <x v="1"/>
    <d v="2023-09-22T06:10:11"/>
    <x v="4"/>
    <d v="2023-10-03T00:00:00"/>
    <n v="17.742928240739275"/>
    <x v="0"/>
    <x v="10"/>
    <n v="10.742928240739275"/>
    <x v="10"/>
  </r>
  <r>
    <n v="1032"/>
    <s v="1032111"/>
    <d v="2023-09-15T06:10:11"/>
    <s v="type40"/>
    <n v="313.55"/>
    <x v="1"/>
    <d v="2023-09-22T06:10:11"/>
    <x v="4"/>
    <d v="2023-10-03T00:00:00"/>
    <n v="17.742928240739275"/>
    <x v="0"/>
    <x v="10"/>
    <n v="10.742928240739275"/>
    <x v="10"/>
  </r>
  <r>
    <n v="1006"/>
    <s v="1006111"/>
    <d v="2023-09-14T06:10:11"/>
    <s v="type40"/>
    <n v="-359.24"/>
    <x v="4"/>
    <d v="2023-09-21T06:10:11"/>
    <x v="1"/>
    <d v="2023-10-03T00:00:00"/>
    <n v="18.742928240739275"/>
    <x v="0"/>
    <x v="1"/>
    <n v="11.742928240739275"/>
    <x v="1"/>
  </r>
  <r>
    <n v="1025"/>
    <s v="1025111"/>
    <d v="2023-09-15T06:10:11"/>
    <s v="type13"/>
    <n v="18733.13"/>
    <x v="4"/>
    <d v="2023-09-16T06:10:11"/>
    <x v="5"/>
    <d v="2023-10-03T00:00:00"/>
    <n v="17.742928240739275"/>
    <x v="0"/>
    <x v="2"/>
    <n v="16.742928240739275"/>
    <x v="2"/>
  </r>
  <r>
    <n v="1027"/>
    <s v="1027111"/>
    <d v="2023-09-17T06:10:11"/>
    <s v="type7"/>
    <n v="-1860.42"/>
    <x v="3"/>
    <d v="2023-09-24T06:10:11"/>
    <x v="5"/>
    <d v="2023-10-03T00:00:00"/>
    <n v="15.742928240739275"/>
    <x v="0"/>
    <x v="5"/>
    <n v="8.7429282407392748"/>
    <x v="5"/>
  </r>
  <r>
    <n v="1018"/>
    <s v="1018111"/>
    <d v="2023-09-11T06:10:11"/>
    <s v="type40"/>
    <n v="2323.91"/>
    <x v="4"/>
    <d v="2023-09-16T06:10:11"/>
    <x v="0"/>
    <d v="2023-10-03T00:00:00"/>
    <n v="21.742928240739275"/>
    <x v="0"/>
    <x v="2"/>
    <n v="16.742928240739275"/>
    <x v="2"/>
  </r>
  <r>
    <n v="1000"/>
    <s v="1000111"/>
    <d v="2023-09-19T06:10:11"/>
    <s v="type40"/>
    <n v="2080.06"/>
    <x v="4"/>
    <d v="2023-09-24T06:10:11"/>
    <x v="3"/>
    <d v="2023-10-03T00:00:00"/>
    <n v="13.742928240739275"/>
    <x v="0"/>
    <x v="5"/>
    <n v="8.7429282407392748"/>
    <x v="5"/>
  </r>
  <r>
    <n v="1001"/>
    <s v="1001111"/>
    <d v="2023-09-19T06:10:11"/>
    <s v="type40"/>
    <n v="2783.72"/>
    <x v="3"/>
    <d v="2023-09-20T06:10:11"/>
    <x v="3"/>
    <d v="2023-10-03T00:00:00"/>
    <n v="13.742928240739275"/>
    <x v="0"/>
    <x v="9"/>
    <n v="12.742928240739275"/>
    <x v="9"/>
  </r>
  <r>
    <n v="1010"/>
    <s v="1010111"/>
    <d v="2023-09-13T06:10:11"/>
    <s v="type7"/>
    <n v="-2006.04"/>
    <x v="2"/>
    <d v="2023-09-20T06:10:11"/>
    <x v="1"/>
    <d v="2023-10-03T00:00:00"/>
    <n v="19.742928240739275"/>
    <x v="0"/>
    <x v="9"/>
    <n v="12.742928240739275"/>
    <x v="9"/>
  </r>
  <r>
    <n v="1004"/>
    <s v="1004111"/>
    <d v="2023-09-20T06:10:11"/>
    <s v="type40"/>
    <n v="648.37"/>
    <x v="1"/>
    <d v="2023-09-21T06:10:11"/>
    <x v="3"/>
    <d v="2023-10-03T00:00:00"/>
    <n v="12.742928240739275"/>
    <x v="0"/>
    <x v="1"/>
    <n v="11.742928240739275"/>
    <x v="1"/>
  </r>
  <r>
    <n v="1020"/>
    <s v="1020111"/>
    <d v="2023-09-14T06:10:11"/>
    <s v="type40"/>
    <n v="1247.8"/>
    <x v="2"/>
    <d v="2023-09-21T06:10:11"/>
    <x v="0"/>
    <d v="2023-10-03T00:00:00"/>
    <n v="18.742928240739275"/>
    <x v="0"/>
    <x v="1"/>
    <n v="11.742928240739275"/>
    <x v="1"/>
  </r>
  <r>
    <n v="1000"/>
    <s v="1000111"/>
    <d v="2023-09-15T06:10:11"/>
    <s v="type40"/>
    <n v="-16791.68"/>
    <x v="2"/>
    <d v="2023-09-22T06:10:11"/>
    <x v="3"/>
    <d v="2023-10-03T00:00:00"/>
    <n v="17.742928240739275"/>
    <x v="0"/>
    <x v="10"/>
    <n v="10.742928240739275"/>
    <x v="10"/>
  </r>
  <r>
    <n v="1031"/>
    <s v="1031111"/>
    <d v="2023-09-22T06:10:11"/>
    <s v="type40"/>
    <n v="308.44"/>
    <x v="3"/>
    <d v="2023-09-23T06:10:11"/>
    <x v="4"/>
    <d v="2023-10-03T00:00:00"/>
    <n v="10.742928240739275"/>
    <x v="0"/>
    <x v="3"/>
    <n v="9.7429282407392748"/>
    <x v="3"/>
  </r>
  <r>
    <n v="1022"/>
    <s v="1022111"/>
    <d v="2023-09-23T06:10:11"/>
    <s v="type13"/>
    <n v="28951.919999999998"/>
    <x v="1"/>
    <d v="2023-09-24T06:10:11"/>
    <x v="0"/>
    <d v="2023-10-03T00:00:00"/>
    <n v="9.7429282407392748"/>
    <x v="0"/>
    <x v="5"/>
    <n v="8.7429282407392748"/>
    <x v="5"/>
  </r>
  <r>
    <n v="1017"/>
    <s v="1017111"/>
    <d v="2023-09-24T06:10:11"/>
    <s v="type42"/>
    <n v="205"/>
    <x v="1"/>
    <d v="2023-09-25T06:10:11"/>
    <x v="2"/>
    <d v="2023-10-03T00:00:00"/>
    <n v="8.7429282407392748"/>
    <x v="1"/>
    <x v="11"/>
    <n v="7.7429282407392748"/>
    <x v="11"/>
  </r>
  <r>
    <n v="1029"/>
    <s v="1029111"/>
    <d v="2023-09-21T06:10:11"/>
    <s v="type38"/>
    <n v="155.68"/>
    <x v="6"/>
    <d v="2023-09-22T06:10:11"/>
    <x v="5"/>
    <d v="2023-10-03T00:00:00"/>
    <n v="11.742928240739275"/>
    <x v="0"/>
    <x v="10"/>
    <n v="10.742928240739275"/>
    <x v="10"/>
  </r>
  <r>
    <n v="1020"/>
    <s v="1020111"/>
    <d v="2023-09-26T06:10:11"/>
    <s v="type38"/>
    <n v="155.4"/>
    <x v="1"/>
    <d v="2023-09-27T06:10:11"/>
    <x v="0"/>
    <d v="2023-10-03T00:00:00"/>
    <n v="6.7429282407392748"/>
    <x v="1"/>
    <x v="12"/>
    <n v="5.7429282407392748"/>
    <x v="12"/>
  </r>
  <r>
    <n v="1025"/>
    <s v="1025111"/>
    <d v="2023-09-17T06:10:11"/>
    <s v="type40"/>
    <n v="432.7"/>
    <x v="2"/>
    <d v="2023-09-18T06:10:11"/>
    <x v="5"/>
    <d v="2023-10-03T00:00:00"/>
    <n v="15.742928240739275"/>
    <x v="0"/>
    <x v="6"/>
    <n v="14.742928240739275"/>
    <x v="6"/>
  </r>
  <r>
    <n v="1009"/>
    <s v="1009111"/>
    <d v="2023-09-16T06:10:11"/>
    <s v="type40"/>
    <n v="639.59"/>
    <x v="5"/>
    <d v="2023-09-18T06:10:11"/>
    <x v="1"/>
    <d v="2023-10-03T00:00:00"/>
    <n v="16.742928240739275"/>
    <x v="0"/>
    <x v="6"/>
    <n v="14.742928240739275"/>
    <x v="6"/>
  </r>
  <r>
    <n v="1029"/>
    <s v="1029111"/>
    <d v="2023-09-17T06:10:11"/>
    <s v="type13"/>
    <n v="23508.39"/>
    <x v="6"/>
    <d v="2023-09-19T06:10:11"/>
    <x v="5"/>
    <d v="2023-10-03T00:00:00"/>
    <n v="15.742928240739275"/>
    <x v="0"/>
    <x v="19"/>
    <n v="13.742928240739275"/>
    <x v="19"/>
  </r>
  <r>
    <n v="1021"/>
    <s v="1021111"/>
    <d v="2023-09-17T06:10:11"/>
    <s v="type13"/>
    <n v="25795.68"/>
    <x v="1"/>
    <d v="2023-09-18T06:10:11"/>
    <x v="0"/>
    <d v="2023-10-03T00:00:00"/>
    <n v="15.742928240739275"/>
    <x v="0"/>
    <x v="6"/>
    <n v="14.742928240739275"/>
    <x v="6"/>
  </r>
  <r>
    <n v="1029"/>
    <s v="1029111"/>
    <d v="2023-09-18T06:10:11"/>
    <s v="type7"/>
    <n v="-1735.7"/>
    <x v="3"/>
    <d v="2023-09-19T06:10:11"/>
    <x v="5"/>
    <d v="2023-10-03T00:00:00"/>
    <n v="14.742928240739275"/>
    <x v="0"/>
    <x v="19"/>
    <n v="13.742928240739275"/>
    <x v="19"/>
  </r>
  <r>
    <n v="1027"/>
    <s v="1027111"/>
    <d v="2023-09-19T06:10:11"/>
    <s v="type38"/>
    <n v="173.99"/>
    <x v="6"/>
    <d v="2023-09-21T06:10:11"/>
    <x v="5"/>
    <d v="2023-10-03T00:00:00"/>
    <n v="13.742928240739275"/>
    <x v="0"/>
    <x v="1"/>
    <n v="11.742928240739275"/>
    <x v="1"/>
  </r>
  <r>
    <n v="1027"/>
    <s v="1027111"/>
    <d v="2023-09-19T06:10:11"/>
    <s v="type40"/>
    <n v="-2370.66"/>
    <x v="1"/>
    <d v="2023-09-21T06:10:11"/>
    <x v="5"/>
    <d v="2023-10-03T00:00:00"/>
    <n v="13.742928240739275"/>
    <x v="0"/>
    <x v="1"/>
    <n v="11.742928240739275"/>
    <x v="1"/>
  </r>
  <r>
    <n v="1005"/>
    <s v="1005111"/>
    <d v="2023-09-20T06:10:11"/>
    <s v="type38"/>
    <n v="188.76"/>
    <x v="3"/>
    <d v="2023-09-22T06:10:11"/>
    <x v="3"/>
    <d v="2023-10-03T00:00:00"/>
    <n v="12.742928240739275"/>
    <x v="0"/>
    <x v="10"/>
    <n v="10.742928240739275"/>
    <x v="10"/>
  </r>
  <r>
    <n v="1006"/>
    <s v="1006111"/>
    <d v="2023-09-17T06:10:11"/>
    <s v="type40"/>
    <n v="6328.9"/>
    <x v="4"/>
    <d v="2023-09-24T06:10:11"/>
    <x v="1"/>
    <d v="2023-10-03T00:00:00"/>
    <n v="15.742928240739275"/>
    <x v="0"/>
    <x v="5"/>
    <n v="8.7429282407392748"/>
    <x v="5"/>
  </r>
  <r>
    <n v="1005"/>
    <s v="1005111"/>
    <d v="2023-09-10T06:10:11"/>
    <s v="type40"/>
    <n v="-440.65"/>
    <x v="2"/>
    <d v="2023-09-12T06:10:11"/>
    <x v="3"/>
    <d v="2023-10-03T00:00:00"/>
    <n v="22.742928240739275"/>
    <x v="0"/>
    <x v="18"/>
    <n v="20.742928240739275"/>
    <x v="18"/>
  </r>
  <r>
    <n v="1027"/>
    <s v="1027111"/>
    <d v="2023-09-21T06:10:11"/>
    <s v="type38"/>
    <n v="163.07"/>
    <x v="3"/>
    <d v="2023-09-23T06:10:11"/>
    <x v="5"/>
    <d v="2023-10-03T00:00:00"/>
    <n v="11.742928240739275"/>
    <x v="0"/>
    <x v="3"/>
    <n v="9.7429282407392748"/>
    <x v="3"/>
  </r>
  <r>
    <n v="1025"/>
    <s v="1025111"/>
    <d v="2023-09-13T06:10:11"/>
    <s v="type11"/>
    <n v="115"/>
    <x v="2"/>
    <d v="2023-09-15T06:10:11"/>
    <x v="5"/>
    <d v="2023-10-03T00:00:00"/>
    <n v="19.742928240739275"/>
    <x v="0"/>
    <x v="0"/>
    <n v="17.742928240739275"/>
    <x v="0"/>
  </r>
  <r>
    <n v="1018"/>
    <s v="1018111"/>
    <d v="2023-09-17T06:10:11"/>
    <s v="type40"/>
    <n v="-1761.77"/>
    <x v="5"/>
    <d v="2023-09-19T06:10:11"/>
    <x v="0"/>
    <d v="2023-10-03T00:00:00"/>
    <n v="15.742928240739275"/>
    <x v="0"/>
    <x v="19"/>
    <n v="13.742928240739275"/>
    <x v="19"/>
  </r>
  <r>
    <n v="1027"/>
    <s v="1027111"/>
    <d v="2023-09-24T06:10:11"/>
    <s v="type38"/>
    <n v="205.48"/>
    <x v="1"/>
    <d v="2023-09-26T06:10:11"/>
    <x v="5"/>
    <d v="2023-10-03T00:00:00"/>
    <n v="8.7429282407392748"/>
    <x v="1"/>
    <x v="7"/>
    <n v="6.7429282407392748"/>
    <x v="7"/>
  </r>
  <r>
    <n v="1033"/>
    <s v="1033111"/>
    <d v="2023-09-20T06:10:11"/>
    <s v="type38"/>
    <n v="333.38"/>
    <x v="6"/>
    <d v="2023-09-22T06:10:11"/>
    <x v="4"/>
    <d v="2023-10-03T00:00:00"/>
    <n v="12.742928240739275"/>
    <x v="0"/>
    <x v="10"/>
    <n v="10.742928240739275"/>
    <x v="10"/>
  </r>
  <r>
    <n v="1014"/>
    <s v="1014111"/>
    <d v="2023-09-19T06:10:11"/>
    <s v="type21"/>
    <n v="359.1"/>
    <x v="5"/>
    <d v="2023-09-21T06:10:11"/>
    <x v="2"/>
    <d v="2023-10-03T00:00:00"/>
    <n v="13.742928240739275"/>
    <x v="0"/>
    <x v="1"/>
    <n v="11.742928240739275"/>
    <x v="1"/>
  </r>
  <r>
    <n v="1024"/>
    <s v="1024111"/>
    <d v="2023-09-27T06:10:11"/>
    <s v="type40"/>
    <n v="699"/>
    <x v="3"/>
    <d v="2023-09-29T06:10:11"/>
    <x v="5"/>
    <d v="2023-10-03T00:00:00"/>
    <n v="5.7429282407392748"/>
    <x v="2"/>
    <x v="13"/>
    <n v="3.7429282407392748"/>
    <x v="13"/>
  </r>
  <r>
    <n v="1019"/>
    <s v="1019111"/>
    <d v="2023-09-28T06:10:11"/>
    <s v="type40"/>
    <n v="5714"/>
    <x v="1"/>
    <d v="2023-09-30T06:10:11"/>
    <x v="0"/>
    <d v="2023-10-03T00:00:00"/>
    <n v="4.7429282407392748"/>
    <x v="2"/>
    <x v="14"/>
    <n v="2.7429282407392748"/>
    <x v="14"/>
  </r>
  <r>
    <n v="1024"/>
    <s v="1024111"/>
    <d v="2023-09-14T06:10:11"/>
    <s v="type40"/>
    <n v="-2025.89"/>
    <x v="2"/>
    <d v="2023-09-16T06:10:11"/>
    <x v="5"/>
    <d v="2023-10-03T00:00:00"/>
    <n v="18.742928240739275"/>
    <x v="0"/>
    <x v="2"/>
    <n v="16.742928240739275"/>
    <x v="2"/>
  </r>
  <r>
    <n v="1017"/>
    <s v="1017111"/>
    <d v="2023-09-20T06:10:11"/>
    <s v="type40"/>
    <n v="-1296.1199999999999"/>
    <x v="2"/>
    <d v="2023-09-25T06:10:11"/>
    <x v="2"/>
    <d v="2023-10-03T00:00:00"/>
    <n v="12.742928240739275"/>
    <x v="0"/>
    <x v="11"/>
    <n v="7.7429282407392748"/>
    <x v="11"/>
  </r>
  <r>
    <n v="1034"/>
    <s v="1034111"/>
    <d v="2023-09-16T06:10:11"/>
    <s v="type13"/>
    <n v="32439.279999999999"/>
    <x v="6"/>
    <d v="2023-09-21T06:10:11"/>
    <x v="4"/>
    <d v="2023-10-03T00:00:00"/>
    <n v="16.742928240739275"/>
    <x v="0"/>
    <x v="1"/>
    <n v="11.742928240739275"/>
    <x v="1"/>
  </r>
  <r>
    <n v="1022"/>
    <s v="1022111"/>
    <d v="2023-09-13T06:10:11"/>
    <s v="type40"/>
    <n v="1855.41"/>
    <x v="1"/>
    <d v="2023-09-15T06:10:11"/>
    <x v="0"/>
    <d v="2023-10-03T00:00:00"/>
    <n v="19.742928240739275"/>
    <x v="0"/>
    <x v="0"/>
    <n v="17.742928240739275"/>
    <x v="0"/>
  </r>
  <r>
    <n v="1010"/>
    <s v="1010111"/>
    <d v="2023-09-13T06:10:11"/>
    <s v="type40"/>
    <n v="-1511.31"/>
    <x v="3"/>
    <d v="2023-09-15T06:10:11"/>
    <x v="1"/>
    <d v="2023-10-03T00:00:00"/>
    <n v="19.742928240739275"/>
    <x v="0"/>
    <x v="0"/>
    <n v="17.742928240739275"/>
    <x v="0"/>
  </r>
  <r>
    <n v="1005"/>
    <s v="1005111"/>
    <d v="2023-09-19T06:10:11"/>
    <s v="type8"/>
    <n v="70"/>
    <x v="4"/>
    <d v="2023-09-20T06:10:11"/>
    <x v="3"/>
    <d v="2023-10-03T00:00:00"/>
    <n v="13.742928240739275"/>
    <x v="0"/>
    <x v="9"/>
    <n v="12.742928240739275"/>
    <x v="9"/>
  </r>
  <r>
    <n v="1021"/>
    <s v="1021111"/>
    <d v="2023-09-22T06:10:11"/>
    <s v="type40"/>
    <n v="-1115.8699999999999"/>
    <x v="4"/>
    <d v="2023-09-23T06:10:11"/>
    <x v="0"/>
    <d v="2023-10-03T00:00:00"/>
    <n v="10.742928240739275"/>
    <x v="0"/>
    <x v="3"/>
    <n v="9.7429282407392748"/>
    <x v="3"/>
  </r>
  <r>
    <n v="1017"/>
    <s v="1017111"/>
    <d v="2023-09-18T06:10:11"/>
    <s v="type32"/>
    <n v="34908.6"/>
    <x v="6"/>
    <d v="2023-09-25T06:10:11"/>
    <x v="2"/>
    <d v="2023-10-03T00:00:00"/>
    <n v="14.742928240739275"/>
    <x v="0"/>
    <x v="11"/>
    <n v="7.7429282407392748"/>
    <x v="11"/>
  </r>
  <r>
    <n v="1010"/>
    <s v="1010111"/>
    <d v="2023-09-21T06:10:11"/>
    <s v="type40"/>
    <n v="33.049999999999997"/>
    <x v="5"/>
    <d v="2023-09-26T06:10:11"/>
    <x v="1"/>
    <d v="2023-10-03T00:00:00"/>
    <n v="11.742928240739275"/>
    <x v="0"/>
    <x v="7"/>
    <n v="6.7429282407392748"/>
    <x v="7"/>
  </r>
  <r>
    <n v="1021"/>
    <s v="1021111"/>
    <d v="2023-09-23T06:10:11"/>
    <s v="type40"/>
    <n v="-406.13"/>
    <x v="4"/>
    <d v="2023-09-24T06:10:11"/>
    <x v="0"/>
    <d v="2023-10-03T00:00:00"/>
    <n v="9.7429282407392748"/>
    <x v="0"/>
    <x v="5"/>
    <n v="8.7429282407392748"/>
    <x v="5"/>
  </r>
  <r>
    <n v="1018"/>
    <s v="1018111"/>
    <d v="2023-09-22T06:10:11"/>
    <s v="type40"/>
    <n v="329.54"/>
    <x v="2"/>
    <d v="2023-09-27T06:10:11"/>
    <x v="0"/>
    <d v="2023-10-03T00:00:00"/>
    <n v="10.742928240739275"/>
    <x v="0"/>
    <x v="12"/>
    <n v="5.7429282407392748"/>
    <x v="12"/>
  </r>
  <r>
    <n v="1006"/>
    <s v="1006111"/>
    <d v="2023-09-11T06:10:11"/>
    <s v="type40"/>
    <n v="-489.53"/>
    <x v="5"/>
    <d v="2023-09-16T06:10:11"/>
    <x v="1"/>
    <d v="2023-10-03T00:00:00"/>
    <n v="21.742928240739275"/>
    <x v="0"/>
    <x v="2"/>
    <n v="16.742928240739275"/>
    <x v="2"/>
  </r>
  <r>
    <n v="1020"/>
    <s v="1020111"/>
    <d v="2023-09-11T06:10:11"/>
    <s v="type40"/>
    <n v="7713.21"/>
    <x v="4"/>
    <d v="2023-09-12T06:10:11"/>
    <x v="0"/>
    <d v="2023-10-03T00:00:00"/>
    <n v="21.742928240739275"/>
    <x v="0"/>
    <x v="18"/>
    <n v="20.742928240739275"/>
    <x v="18"/>
  </r>
  <r>
    <n v="1005"/>
    <s v="1005111"/>
    <d v="2023-09-19T06:10:11"/>
    <s v="type29"/>
    <n v="312.24"/>
    <x v="2"/>
    <d v="2023-09-26T06:10:11"/>
    <x v="3"/>
    <d v="2023-10-03T00:00:00"/>
    <n v="13.742928240739275"/>
    <x v="0"/>
    <x v="7"/>
    <n v="6.7429282407392748"/>
    <x v="7"/>
  </r>
  <r>
    <n v="1012"/>
    <s v="1012111"/>
    <d v="2023-09-15T06:10:11"/>
    <s v="type40"/>
    <n v="-442.82"/>
    <x v="5"/>
    <d v="2023-09-22T06:10:11"/>
    <x v="2"/>
    <d v="2023-10-03T00:00:00"/>
    <n v="17.742928240739275"/>
    <x v="0"/>
    <x v="10"/>
    <n v="10.742928240739275"/>
    <x v="10"/>
  </r>
  <r>
    <n v="1016"/>
    <s v="1016111"/>
    <d v="2023-09-17T06:10:11"/>
    <s v="type40"/>
    <n v="-409.12"/>
    <x v="5"/>
    <d v="2023-09-24T06:10:11"/>
    <x v="2"/>
    <d v="2023-10-03T00:00:00"/>
    <n v="15.742928240739275"/>
    <x v="0"/>
    <x v="5"/>
    <n v="8.7429282407392748"/>
    <x v="5"/>
  </r>
  <r>
    <n v="1011"/>
    <s v="1011111"/>
    <d v="2023-09-18T06:10:11"/>
    <s v="type40"/>
    <n v="428.19"/>
    <x v="5"/>
    <d v="2023-09-25T06:10:11"/>
    <x v="1"/>
    <d v="2023-10-03T00:00:00"/>
    <n v="14.742928240739275"/>
    <x v="0"/>
    <x v="11"/>
    <n v="7.7429282407392748"/>
    <x v="11"/>
  </r>
  <r>
    <n v="1026"/>
    <s v="1026111"/>
    <d v="2023-09-21T06:10:11"/>
    <s v="type40"/>
    <n v="-483.5"/>
    <x v="1"/>
    <d v="2023-09-26T06:10:11"/>
    <x v="5"/>
    <d v="2023-10-03T00:00:00"/>
    <n v="11.742928240739275"/>
    <x v="0"/>
    <x v="7"/>
    <n v="6.7429282407392748"/>
    <x v="7"/>
  </r>
  <r>
    <n v="1001"/>
    <s v="1001111"/>
    <d v="2023-09-19T06:10:11"/>
    <s v="type40"/>
    <n v="1797.6"/>
    <x v="5"/>
    <d v="2023-09-26T06:10:11"/>
    <x v="3"/>
    <d v="2023-10-03T00:00:00"/>
    <n v="13.742928240739275"/>
    <x v="0"/>
    <x v="7"/>
    <n v="6.7429282407392748"/>
    <x v="7"/>
  </r>
  <r>
    <n v="1026"/>
    <s v="1026111"/>
    <d v="2023-09-20T06:10:11"/>
    <s v="type13"/>
    <n v="20521.849999999999"/>
    <x v="6"/>
    <d v="2023-09-27T06:10:11"/>
    <x v="5"/>
    <d v="2023-10-03T00:00:00"/>
    <n v="12.742928240739275"/>
    <x v="0"/>
    <x v="12"/>
    <n v="5.7429282407392748"/>
    <x v="12"/>
  </r>
  <r>
    <n v="1022"/>
    <s v="1022111"/>
    <d v="2023-09-16T06:10:11"/>
    <s v="type40"/>
    <n v="-2548.94"/>
    <x v="5"/>
    <d v="2023-09-17T06:10:11"/>
    <x v="0"/>
    <d v="2023-10-03T00:00:00"/>
    <n v="16.742928240739275"/>
    <x v="0"/>
    <x v="4"/>
    <n v="15.742928240739275"/>
    <x v="4"/>
  </r>
  <r>
    <n v="1007"/>
    <s v="1007111"/>
    <d v="2023-09-14T06:10:11"/>
    <s v="type40"/>
    <n v="7"/>
    <x v="2"/>
    <d v="2023-09-15T06:10:11"/>
    <x v="1"/>
    <d v="2023-10-03T00:00:00"/>
    <n v="18.742928240739275"/>
    <x v="0"/>
    <x v="0"/>
    <n v="17.742928240739275"/>
    <x v="0"/>
  </r>
  <r>
    <n v="1016"/>
    <s v="1016111"/>
    <d v="2023-09-21T06:10:11"/>
    <s v="type40"/>
    <n v="125.52"/>
    <x v="5"/>
    <d v="2023-09-22T06:10:11"/>
    <x v="2"/>
    <d v="2023-10-03T00:00:00"/>
    <n v="11.742928240739275"/>
    <x v="0"/>
    <x v="10"/>
    <n v="10.742928240739275"/>
    <x v="10"/>
  </r>
  <r>
    <n v="1008"/>
    <s v="1008111"/>
    <d v="2023-09-26T06:10:11"/>
    <s v="type40"/>
    <n v="92.8"/>
    <x v="3"/>
    <d v="2023-10-03T06:10:11"/>
    <x v="1"/>
    <d v="2023-10-03T00:00:00"/>
    <n v="6.7429282407392748"/>
    <x v="1"/>
    <x v="16"/>
    <n v="-0.25707175926072523"/>
    <x v="16"/>
  </r>
  <r>
    <n v="1004"/>
    <s v="1004111"/>
    <d v="2023-09-22T06:10:11"/>
    <s v="type40"/>
    <n v="2181.2199999999998"/>
    <x v="5"/>
    <d v="2023-09-23T06:10:11"/>
    <x v="3"/>
    <d v="2023-10-03T00:00:00"/>
    <n v="10.742928240739275"/>
    <x v="0"/>
    <x v="3"/>
    <n v="9.7429282407392748"/>
    <x v="3"/>
  </r>
  <r>
    <n v="1005"/>
    <s v="1005111"/>
    <d v="2023-09-28T06:10:11"/>
    <s v="type40"/>
    <n v="-5624.93"/>
    <x v="3"/>
    <d v="2023-10-05T06:10:11"/>
    <x v="3"/>
    <d v="2023-10-03T00:00:00"/>
    <n v="4.7429282407392748"/>
    <x v="2"/>
    <x v="17"/>
    <n v="-2.2570717592607252"/>
    <x v="17"/>
  </r>
  <r>
    <n v="1007"/>
    <s v="1007111"/>
    <d v="2023-09-16T06:10:11"/>
    <s v="type40"/>
    <n v="437.07"/>
    <x v="3"/>
    <d v="2023-09-23T06:10:11"/>
    <x v="1"/>
    <d v="2023-10-03T00:00:00"/>
    <n v="16.742928240739275"/>
    <x v="0"/>
    <x v="3"/>
    <n v="9.7429282407392748"/>
    <x v="3"/>
  </r>
  <r>
    <n v="1014"/>
    <s v="1014111"/>
    <d v="2023-09-17T06:10:11"/>
    <s v="type40"/>
    <n v="-704.02"/>
    <x v="1"/>
    <d v="2023-09-24T06:10:11"/>
    <x v="2"/>
    <d v="2023-10-03T00:00:00"/>
    <n v="15.742928240739275"/>
    <x v="0"/>
    <x v="5"/>
    <n v="8.7429282407392748"/>
    <x v="5"/>
  </r>
  <r>
    <n v="1034"/>
    <s v="1034111"/>
    <d v="2023-09-12T06:10:11"/>
    <s v="type40"/>
    <n v="431.07"/>
    <x v="5"/>
    <d v="2023-09-14T06:10:11"/>
    <x v="4"/>
    <d v="2023-10-03T00:00:00"/>
    <n v="20.742928240739275"/>
    <x v="0"/>
    <x v="20"/>
    <n v="18.742928240739275"/>
    <x v="20"/>
  </r>
  <r>
    <n v="1002"/>
    <s v="1002111"/>
    <d v="2023-09-16T06:10:11"/>
    <s v="type7"/>
    <n v="1985.51"/>
    <x v="5"/>
    <d v="2023-09-18T06:10:11"/>
    <x v="3"/>
    <d v="2023-10-03T00:00:00"/>
    <n v="16.742928240739275"/>
    <x v="0"/>
    <x v="6"/>
    <n v="14.742928240739275"/>
    <x v="6"/>
  </r>
  <r>
    <n v="1010"/>
    <s v="1010111"/>
    <d v="2023-09-18T06:10:11"/>
    <s v="type40"/>
    <n v="2933.27"/>
    <x v="4"/>
    <d v="2023-09-20T06:10:11"/>
    <x v="1"/>
    <d v="2023-10-03T00:00:00"/>
    <n v="14.742928240739275"/>
    <x v="0"/>
    <x v="9"/>
    <n v="12.742928240739275"/>
    <x v="9"/>
  </r>
  <r>
    <n v="1004"/>
    <s v="1004111"/>
    <d v="2023-09-22T06:10:11"/>
    <s v="type13"/>
    <n v="25576.26"/>
    <x v="6"/>
    <d v="2023-09-29T06:10:11"/>
    <x v="3"/>
    <d v="2023-10-03T00:00:00"/>
    <n v="10.742928240739275"/>
    <x v="0"/>
    <x v="13"/>
    <n v="3.7429282407392748"/>
    <x v="13"/>
  </r>
  <r>
    <n v="1029"/>
    <s v="1029111"/>
    <d v="2023-09-17T06:10:11"/>
    <s v="type40"/>
    <n v="-910.17"/>
    <x v="2"/>
    <d v="2023-09-18T06:10:11"/>
    <x v="5"/>
    <d v="2023-10-03T00:00:00"/>
    <n v="15.742928240739275"/>
    <x v="0"/>
    <x v="6"/>
    <n v="14.742928240739275"/>
    <x v="6"/>
  </r>
  <r>
    <n v="1021"/>
    <s v="1021111"/>
    <d v="2023-09-17T06:10:11"/>
    <s v="type40"/>
    <n v="-1072.2"/>
    <x v="5"/>
    <d v="2023-09-19T06:10:11"/>
    <x v="0"/>
    <d v="2023-10-03T00:00:00"/>
    <n v="15.742928240739275"/>
    <x v="0"/>
    <x v="19"/>
    <n v="13.742928240739275"/>
    <x v="19"/>
  </r>
  <r>
    <n v="1023"/>
    <s v="1023111"/>
    <d v="2023-09-19T06:10:11"/>
    <s v="type10"/>
    <n v="101.44"/>
    <x v="2"/>
    <d v="2023-09-20T06:10:11"/>
    <x v="0"/>
    <d v="2023-10-03T00:00:00"/>
    <n v="13.742928240739275"/>
    <x v="0"/>
    <x v="9"/>
    <n v="12.742928240739275"/>
    <x v="9"/>
  </r>
  <r>
    <n v="1021"/>
    <s v="1021111"/>
    <d v="2023-09-22T06:10:11"/>
    <s v="type40"/>
    <n v="1253.55"/>
    <x v="1"/>
    <d v="2023-09-29T06:10:11"/>
    <x v="0"/>
    <d v="2023-10-03T00:00:00"/>
    <n v="10.742928240739275"/>
    <x v="0"/>
    <x v="13"/>
    <n v="3.7429282407392748"/>
    <x v="13"/>
  </r>
  <r>
    <n v="1025"/>
    <s v="1025111"/>
    <d v="2023-09-23T06:10:11"/>
    <s v="type40"/>
    <n v="-933.31"/>
    <x v="1"/>
    <d v="2023-09-24T06:10:11"/>
    <x v="5"/>
    <d v="2023-10-03T00:00:00"/>
    <n v="9.7429282407392748"/>
    <x v="0"/>
    <x v="5"/>
    <n v="8.7429282407392748"/>
    <x v="5"/>
  </r>
  <r>
    <n v="1023"/>
    <s v="1023111"/>
    <d v="2023-09-24T06:10:11"/>
    <s v="type40"/>
    <n v="-537.05999999999995"/>
    <x v="1"/>
    <d v="2023-09-25T06:10:11"/>
    <x v="0"/>
    <d v="2023-10-03T00:00:00"/>
    <n v="8.7429282407392748"/>
    <x v="1"/>
    <x v="11"/>
    <n v="7.7429282407392748"/>
    <x v="11"/>
  </r>
  <r>
    <n v="1018"/>
    <s v="1018111"/>
    <d v="2023-09-25T06:10:11"/>
    <s v="type7"/>
    <n v="7297.89"/>
    <x v="1"/>
    <d v="2023-09-26T06:10:11"/>
    <x v="0"/>
    <d v="2023-10-03T00:00:00"/>
    <n v="7.7429282407392748"/>
    <x v="1"/>
    <x v="7"/>
    <n v="6.7429282407392748"/>
    <x v="7"/>
  </r>
  <r>
    <n v="1030"/>
    <s v="1030111"/>
    <d v="2023-09-20T06:10:11"/>
    <s v="type40"/>
    <n v="578.05999999999995"/>
    <x v="2"/>
    <d v="2023-09-21T06:10:11"/>
    <x v="4"/>
    <d v="2023-10-03T00:00:00"/>
    <n v="12.742928240739275"/>
    <x v="0"/>
    <x v="1"/>
    <n v="11.742928240739275"/>
    <x v="1"/>
  </r>
  <r>
    <n v="1025"/>
    <s v="1025111"/>
    <d v="2023-09-17T06:10:11"/>
    <s v="type29"/>
    <n v="697.21"/>
    <x v="6"/>
    <d v="2023-09-24T06:10:11"/>
    <x v="5"/>
    <d v="2023-10-03T00:00:00"/>
    <n v="15.742928240739275"/>
    <x v="0"/>
    <x v="5"/>
    <n v="8.7429282407392748"/>
    <x v="5"/>
  </r>
  <r>
    <n v="1011"/>
    <s v="1011111"/>
    <d v="2023-09-28T06:10:11"/>
    <s v="type40"/>
    <n v="2584.0300000000002"/>
    <x v="1"/>
    <d v="2023-09-29T06:10:11"/>
    <x v="1"/>
    <d v="2023-10-03T00:00:00"/>
    <n v="4.7429282407392748"/>
    <x v="2"/>
    <x v="13"/>
    <n v="3.7429282407392748"/>
    <x v="13"/>
  </r>
  <r>
    <n v="1007"/>
    <s v="1007111"/>
    <d v="2023-09-20T06:10:11"/>
    <s v="type41"/>
    <n v="926.1"/>
    <x v="2"/>
    <d v="2023-09-22T06:10:11"/>
    <x v="1"/>
    <d v="2023-10-03T00:00:00"/>
    <n v="12.742928240739275"/>
    <x v="0"/>
    <x v="10"/>
    <n v="10.742928240739275"/>
    <x v="10"/>
  </r>
  <r>
    <n v="1027"/>
    <s v="1027111"/>
    <d v="2023-09-18T06:10:11"/>
    <s v="type34"/>
    <n v="255.86"/>
    <x v="6"/>
    <d v="2023-09-25T06:10:11"/>
    <x v="5"/>
    <d v="2023-10-03T00:00:00"/>
    <n v="14.742928240739275"/>
    <x v="0"/>
    <x v="11"/>
    <n v="7.7429282407392748"/>
    <x v="11"/>
  </r>
  <r>
    <n v="1013"/>
    <s v="1013111"/>
    <d v="2023-09-19T06:10:11"/>
    <s v="type40"/>
    <n v="578.78"/>
    <x v="5"/>
    <d v="2023-09-26T06:10:11"/>
    <x v="2"/>
    <d v="2023-10-03T00:00:00"/>
    <n v="13.742928240739275"/>
    <x v="0"/>
    <x v="7"/>
    <n v="6.7429282407392748"/>
    <x v="7"/>
  </r>
  <r>
    <n v="1002"/>
    <s v="1002111"/>
    <d v="2023-09-11T06:10:11"/>
    <s v="type40"/>
    <n v="808.86"/>
    <x v="2"/>
    <d v="2023-09-16T06:10:11"/>
    <x v="3"/>
    <d v="2023-10-03T00:00:00"/>
    <n v="21.742928240739275"/>
    <x v="0"/>
    <x v="2"/>
    <n v="16.742928240739275"/>
    <x v="2"/>
  </r>
  <r>
    <n v="1033"/>
    <s v="1033111"/>
    <d v="2023-09-13T06:10:11"/>
    <s v="type40"/>
    <n v="1"/>
    <x v="3"/>
    <d v="2023-09-14T06:10:11"/>
    <x v="4"/>
    <d v="2023-10-03T00:00:00"/>
    <n v="19.742928240739275"/>
    <x v="0"/>
    <x v="20"/>
    <n v="18.742928240739275"/>
    <x v="20"/>
  </r>
  <r>
    <n v="1014"/>
    <s v="1014111"/>
    <d v="2023-09-19T06:10:11"/>
    <s v="type40"/>
    <n v="1050.56"/>
    <x v="6"/>
    <d v="2023-09-20T06:10:11"/>
    <x v="2"/>
    <d v="2023-10-03T00:00:00"/>
    <n v="13.742928240739275"/>
    <x v="0"/>
    <x v="9"/>
    <n v="12.742928240739275"/>
    <x v="9"/>
  </r>
  <r>
    <n v="1015"/>
    <s v="1015111"/>
    <d v="2023-09-14T06:10:11"/>
    <s v="type40"/>
    <n v="432.47"/>
    <x v="3"/>
    <d v="2023-09-15T06:10:11"/>
    <x v="2"/>
    <d v="2023-10-03T00:00:00"/>
    <n v="18.742928240739275"/>
    <x v="0"/>
    <x v="0"/>
    <n v="17.742928240739275"/>
    <x v="0"/>
  </r>
  <r>
    <n v="1010"/>
    <s v="1010111"/>
    <d v="2023-09-20T06:10:11"/>
    <s v="type40"/>
    <n v="5407.75"/>
    <x v="4"/>
    <d v="2023-09-22T06:10:11"/>
    <x v="1"/>
    <d v="2023-10-03T00:00:00"/>
    <n v="12.742928240739275"/>
    <x v="0"/>
    <x v="10"/>
    <n v="10.742928240739275"/>
    <x v="10"/>
  </r>
  <r>
    <n v="1018"/>
    <s v="1018111"/>
    <d v="2023-09-15T06:10:11"/>
    <s v="type13"/>
    <n v="59481.27"/>
    <x v="1"/>
    <d v="2023-09-16T06:10:11"/>
    <x v="0"/>
    <d v="2023-10-03T00:00:00"/>
    <n v="17.742928240739275"/>
    <x v="0"/>
    <x v="2"/>
    <n v="16.742928240739275"/>
    <x v="2"/>
  </r>
  <r>
    <n v="1022"/>
    <s v="1022111"/>
    <d v="2023-09-16T06:10:11"/>
    <s v="type13"/>
    <n v="28343.74"/>
    <x v="1"/>
    <d v="2023-09-17T06:10:11"/>
    <x v="0"/>
    <d v="2023-10-03T00:00:00"/>
    <n v="16.742928240739275"/>
    <x v="0"/>
    <x v="4"/>
    <n v="15.742928240739275"/>
    <x v="4"/>
  </r>
  <r>
    <n v="1010"/>
    <s v="1010111"/>
    <d v="2023-09-16T06:10:11"/>
    <s v="type40"/>
    <n v="121.81"/>
    <x v="1"/>
    <d v="2023-09-17T06:10:11"/>
    <x v="1"/>
    <d v="2023-10-03T00:00:00"/>
    <n v="16.742928240739275"/>
    <x v="0"/>
    <x v="4"/>
    <n v="15.742928240739275"/>
    <x v="4"/>
  </r>
  <r>
    <n v="1027"/>
    <s v="1027111"/>
    <d v="2023-09-17T06:10:11"/>
    <s v="type40"/>
    <n v="-20092.599999999999"/>
    <x v="3"/>
    <d v="2023-09-18T06:10:11"/>
    <x v="5"/>
    <d v="2023-10-03T00:00:00"/>
    <n v="15.742928240739275"/>
    <x v="0"/>
    <x v="6"/>
    <n v="14.742928240739275"/>
    <x v="6"/>
  </r>
  <r>
    <n v="1012"/>
    <s v="1012111"/>
    <d v="2023-09-18T06:10:11"/>
    <s v="type42"/>
    <n v="298.05"/>
    <x v="3"/>
    <d v="2023-09-20T06:10:11"/>
    <x v="2"/>
    <d v="2023-10-03T00:00:00"/>
    <n v="14.742928240739275"/>
    <x v="0"/>
    <x v="9"/>
    <n v="12.742928240739275"/>
    <x v="9"/>
  </r>
  <r>
    <n v="1014"/>
    <s v="1014111"/>
    <d v="2023-09-18T06:10:11"/>
    <s v="type40"/>
    <n v="50"/>
    <x v="3"/>
    <d v="2023-09-20T06:10:11"/>
    <x v="2"/>
    <d v="2023-10-03T00:00:00"/>
    <n v="14.742928240739275"/>
    <x v="0"/>
    <x v="9"/>
    <n v="12.742928240739275"/>
    <x v="9"/>
  </r>
  <r>
    <n v="1027"/>
    <s v="1027111"/>
    <d v="2023-09-20T06:10:11"/>
    <s v="type40"/>
    <n v="-654.48"/>
    <x v="5"/>
    <d v="2023-09-27T06:10:11"/>
    <x v="5"/>
    <d v="2023-10-03T00:00:00"/>
    <n v="12.742928240739275"/>
    <x v="0"/>
    <x v="12"/>
    <n v="5.7429282407392748"/>
    <x v="12"/>
  </r>
  <r>
    <n v="1008"/>
    <s v="1008111"/>
    <d v="2023-09-21T06:10:11"/>
    <s v="type13"/>
    <n v="34805.910000000003"/>
    <x v="6"/>
    <d v="2023-09-22T06:10:11"/>
    <x v="1"/>
    <d v="2023-10-03T00:00:00"/>
    <n v="11.742928240739275"/>
    <x v="0"/>
    <x v="10"/>
    <n v="10.742928240739275"/>
    <x v="10"/>
  </r>
  <r>
    <n v="1010"/>
    <s v="1010111"/>
    <d v="2023-09-21T06:10:11"/>
    <s v="type13"/>
    <n v="22011.31"/>
    <x v="6"/>
    <d v="2023-09-22T06:10:11"/>
    <x v="1"/>
    <d v="2023-10-03T00:00:00"/>
    <n v="11.742928240739275"/>
    <x v="0"/>
    <x v="10"/>
    <n v="10.742928240739275"/>
    <x v="10"/>
  </r>
  <r>
    <n v="1022"/>
    <s v="1022111"/>
    <d v="2023-09-15T06:10:11"/>
    <s v="type40"/>
    <n v="-638.36"/>
    <x v="2"/>
    <d v="2023-09-22T06:10:11"/>
    <x v="0"/>
    <d v="2023-10-03T00:00:00"/>
    <n v="17.742928240739275"/>
    <x v="0"/>
    <x v="10"/>
    <n v="10.742928240739275"/>
    <x v="10"/>
  </r>
  <r>
    <n v="1021"/>
    <s v="1021111"/>
    <d v="2023-09-15T06:10:11"/>
    <s v="type40"/>
    <n v="388.28"/>
    <x v="2"/>
    <d v="2023-09-22T06:10:11"/>
    <x v="0"/>
    <d v="2023-10-03T00:00:00"/>
    <n v="17.742928240739275"/>
    <x v="0"/>
    <x v="10"/>
    <n v="10.742928240739275"/>
    <x v="10"/>
  </r>
  <r>
    <n v="1014"/>
    <s v="1014111"/>
    <d v="2023-09-16T06:10:11"/>
    <s v="type40"/>
    <n v="-321.83999999999997"/>
    <x v="2"/>
    <d v="2023-09-23T06:10:11"/>
    <x v="2"/>
    <d v="2023-10-03T00:00:00"/>
    <n v="16.742928240739275"/>
    <x v="0"/>
    <x v="3"/>
    <n v="9.7429282407392748"/>
    <x v="3"/>
  </r>
  <r>
    <n v="1001"/>
    <s v="1001111"/>
    <d v="2023-09-16T06:10:11"/>
    <s v="type40"/>
    <n v="1827.56"/>
    <x v="2"/>
    <d v="2023-09-23T06:10:11"/>
    <x v="3"/>
    <d v="2023-10-03T00:00:00"/>
    <n v="16.742928240739275"/>
    <x v="0"/>
    <x v="3"/>
    <n v="9.7429282407392748"/>
    <x v="3"/>
  </r>
  <r>
    <n v="1005"/>
    <s v="1005111"/>
    <d v="2023-09-18T06:10:11"/>
    <s v="type7"/>
    <n v="-1880.96"/>
    <x v="2"/>
    <d v="2023-09-25T06:10:11"/>
    <x v="3"/>
    <d v="2023-10-03T00:00:00"/>
    <n v="14.742928240739275"/>
    <x v="0"/>
    <x v="11"/>
    <n v="7.7429282407392748"/>
    <x v="11"/>
  </r>
  <r>
    <n v="1032"/>
    <s v="1032111"/>
    <d v="2023-09-16T06:10:11"/>
    <s v="type40"/>
    <n v="3"/>
    <x v="6"/>
    <d v="2023-09-18T06:10:11"/>
    <x v="4"/>
    <d v="2023-10-03T00:00:00"/>
    <n v="16.742928240739275"/>
    <x v="0"/>
    <x v="6"/>
    <n v="14.742928240739275"/>
    <x v="6"/>
  </r>
  <r>
    <n v="1009"/>
    <s v="1009111"/>
    <d v="2023-09-22T06:10:11"/>
    <s v="type40"/>
    <n v="372.3"/>
    <x v="4"/>
    <d v="2023-09-24T06:10:11"/>
    <x v="1"/>
    <d v="2023-10-03T00:00:00"/>
    <n v="10.742928240739275"/>
    <x v="0"/>
    <x v="5"/>
    <n v="8.7429282407392748"/>
    <x v="5"/>
  </r>
  <r>
    <n v="1023"/>
    <s v="1023111"/>
    <d v="2023-09-17T06:10:11"/>
    <s v="type40"/>
    <n v="367.33"/>
    <x v="6"/>
    <d v="2023-09-19T06:10:11"/>
    <x v="0"/>
    <d v="2023-10-03T00:00:00"/>
    <n v="15.742928240739275"/>
    <x v="0"/>
    <x v="19"/>
    <n v="13.742928240739275"/>
    <x v="19"/>
  </r>
  <r>
    <n v="1022"/>
    <s v="1022111"/>
    <d v="2023-09-19T06:10:11"/>
    <s v="type14"/>
    <n v="6.65"/>
    <x v="2"/>
    <d v="2023-09-26T06:10:11"/>
    <x v="0"/>
    <d v="2023-10-03T00:00:00"/>
    <n v="13.742928240739275"/>
    <x v="0"/>
    <x v="7"/>
    <n v="6.7429282407392748"/>
    <x v="7"/>
  </r>
  <r>
    <n v="1020"/>
    <s v="1020111"/>
    <d v="2023-09-18T06:10:11"/>
    <s v="type40"/>
    <n v="5157.3900000000003"/>
    <x v="4"/>
    <d v="2023-09-20T06:10:11"/>
    <x v="0"/>
    <d v="2023-10-03T00:00:00"/>
    <n v="14.742928240739275"/>
    <x v="0"/>
    <x v="9"/>
    <n v="12.742928240739275"/>
    <x v="9"/>
  </r>
  <r>
    <n v="1031"/>
    <s v="1031111"/>
    <d v="2023-09-22T06:10:11"/>
    <s v="type40"/>
    <n v="-1051.75"/>
    <x v="2"/>
    <d v="2023-09-29T06:10:11"/>
    <x v="4"/>
    <d v="2023-10-03T00:00:00"/>
    <n v="10.742928240739275"/>
    <x v="0"/>
    <x v="13"/>
    <n v="3.7429282407392748"/>
    <x v="13"/>
  </r>
  <r>
    <n v="1030"/>
    <s v="1030111"/>
    <d v="2023-09-17T06:10:11"/>
    <s v="type38"/>
    <n v="230.07"/>
    <x v="2"/>
    <d v="2023-09-18T06:10:11"/>
    <x v="4"/>
    <d v="2023-10-03T00:00:00"/>
    <n v="15.742928240739275"/>
    <x v="0"/>
    <x v="6"/>
    <n v="14.742928240739275"/>
    <x v="6"/>
  </r>
  <r>
    <n v="1023"/>
    <s v="1023111"/>
    <d v="2023-09-16T06:10:11"/>
    <s v="type40"/>
    <n v="2867.86"/>
    <x v="5"/>
    <d v="2023-09-17T06:10:11"/>
    <x v="0"/>
    <d v="2023-10-03T00:00:00"/>
    <n v="16.742928240739275"/>
    <x v="0"/>
    <x v="4"/>
    <n v="15.742928240739275"/>
    <x v="4"/>
  </r>
  <r>
    <n v="1028"/>
    <s v="1028111"/>
    <d v="2023-09-20T06:10:11"/>
    <s v="type40"/>
    <n v="-341.32"/>
    <x v="4"/>
    <d v="2023-09-25T06:10:11"/>
    <x v="5"/>
    <d v="2023-10-03T00:00:00"/>
    <n v="12.742928240739275"/>
    <x v="0"/>
    <x v="11"/>
    <n v="7.7429282407392748"/>
    <x v="11"/>
  </r>
  <r>
    <n v="1023"/>
    <s v="1023111"/>
    <d v="2023-09-20T06:10:11"/>
    <s v="type13"/>
    <n v="26511.38"/>
    <x v="3"/>
    <d v="2023-09-22T06:10:11"/>
    <x v="0"/>
    <d v="2023-10-03T00:00:00"/>
    <n v="12.742928240739275"/>
    <x v="0"/>
    <x v="10"/>
    <n v="10.742928240739275"/>
    <x v="10"/>
  </r>
  <r>
    <n v="1005"/>
    <s v="1005111"/>
    <d v="2023-09-18T06:10:11"/>
    <s v="type40"/>
    <n v="-604.29"/>
    <x v="6"/>
    <d v="2023-09-20T06:10:11"/>
    <x v="3"/>
    <d v="2023-10-03T00:00:00"/>
    <n v="14.742928240739275"/>
    <x v="0"/>
    <x v="9"/>
    <n v="12.742928240739275"/>
    <x v="9"/>
  </r>
  <r>
    <n v="1028"/>
    <s v="1028111"/>
    <d v="2023-09-23T06:10:11"/>
    <s v="type40"/>
    <n v="1637.44"/>
    <x v="6"/>
    <d v="2023-09-25T06:10:11"/>
    <x v="5"/>
    <d v="2023-10-03T00:00:00"/>
    <n v="9.7429282407392748"/>
    <x v="0"/>
    <x v="11"/>
    <n v="7.7429282407392748"/>
    <x v="11"/>
  </r>
  <r>
    <n v="1015"/>
    <s v="1015111"/>
    <d v="2023-09-14T06:10:11"/>
    <s v="type40"/>
    <n v="-6656.54"/>
    <x v="4"/>
    <d v="2023-09-21T06:10:11"/>
    <x v="2"/>
    <d v="2023-10-03T00:00:00"/>
    <n v="18.742928240739275"/>
    <x v="0"/>
    <x v="1"/>
    <n v="11.742928240739275"/>
    <x v="1"/>
  </r>
  <r>
    <n v="1011"/>
    <s v="1011111"/>
    <d v="2023-09-22T06:10:11"/>
    <s v="type40"/>
    <n v="-16102.21"/>
    <x v="3"/>
    <d v="2023-09-27T06:10:11"/>
    <x v="1"/>
    <d v="2023-10-03T00:00:00"/>
    <n v="10.742928240739275"/>
    <x v="0"/>
    <x v="12"/>
    <n v="5.7429282407392748"/>
    <x v="12"/>
  </r>
  <r>
    <n v="1006"/>
    <s v="1006111"/>
    <d v="2023-09-15T06:10:11"/>
    <s v="type18"/>
    <n v="316.52999999999997"/>
    <x v="4"/>
    <d v="2023-09-22T06:10:11"/>
    <x v="1"/>
    <d v="2023-10-03T00:00:00"/>
    <n v="17.742928240739275"/>
    <x v="0"/>
    <x v="10"/>
    <n v="10.742928240739275"/>
    <x v="10"/>
  </r>
  <r>
    <n v="1015"/>
    <s v="1015111"/>
    <d v="2023-09-20T06:10:11"/>
    <s v="type40"/>
    <n v="4064.73"/>
    <x v="4"/>
    <d v="2023-09-27T06:10:11"/>
    <x v="2"/>
    <d v="2023-10-03T00:00:00"/>
    <n v="12.742928240739275"/>
    <x v="0"/>
    <x v="12"/>
    <n v="5.7429282407392748"/>
    <x v="12"/>
  </r>
  <r>
    <n v="1005"/>
    <s v="1005111"/>
    <d v="2023-09-17T06:10:11"/>
    <s v="type40"/>
    <n v="383.91"/>
    <x v="5"/>
    <d v="2023-09-19T06:10:11"/>
    <x v="3"/>
    <d v="2023-10-03T00:00:00"/>
    <n v="15.742928240739275"/>
    <x v="0"/>
    <x v="19"/>
    <n v="13.742928240739275"/>
    <x v="19"/>
  </r>
  <r>
    <n v="1014"/>
    <s v="1014111"/>
    <d v="2023-09-20T06:10:11"/>
    <s v="type40"/>
    <n v="-473.34"/>
    <x v="5"/>
    <d v="2023-09-22T06:10:11"/>
    <x v="2"/>
    <d v="2023-10-03T00:00:00"/>
    <n v="12.742928240739275"/>
    <x v="0"/>
    <x v="10"/>
    <n v="10.742928240739275"/>
    <x v="10"/>
  </r>
  <r>
    <n v="1014"/>
    <s v="1014111"/>
    <d v="2023-09-16T06:10:11"/>
    <s v="type40"/>
    <n v="712.51"/>
    <x v="6"/>
    <d v="2023-09-18T06:10:11"/>
    <x v="2"/>
    <d v="2023-10-03T00:00:00"/>
    <n v="16.742928240739275"/>
    <x v="0"/>
    <x v="6"/>
    <n v="14.742928240739275"/>
    <x v="6"/>
  </r>
  <r>
    <n v="1010"/>
    <s v="1010111"/>
    <d v="2023-09-28T06:10:11"/>
    <s v="type40"/>
    <n v="-1065.93"/>
    <x v="3"/>
    <d v="2023-10-03T06:10:11"/>
    <x v="1"/>
    <d v="2023-10-03T00:00:00"/>
    <n v="4.7429282407392748"/>
    <x v="2"/>
    <x v="16"/>
    <n v="-0.25707175926072523"/>
    <x v="16"/>
  </r>
  <r>
    <n v="1028"/>
    <s v="1028111"/>
    <d v="2023-09-18T06:10:11"/>
    <s v="type38"/>
    <n v="225.5"/>
    <x v="2"/>
    <d v="2023-09-19T06:10:11"/>
    <x v="5"/>
    <d v="2023-10-03T00:00:00"/>
    <n v="14.742928240739275"/>
    <x v="0"/>
    <x v="19"/>
    <n v="13.742928240739275"/>
    <x v="19"/>
  </r>
  <r>
    <n v="1029"/>
    <s v="1029111"/>
    <d v="2023-09-21T06:10:11"/>
    <s v="type38"/>
    <n v="234.04"/>
    <x v="2"/>
    <d v="2023-09-22T06:10:11"/>
    <x v="5"/>
    <d v="2023-10-03T00:00:00"/>
    <n v="11.742928240739275"/>
    <x v="0"/>
    <x v="10"/>
    <n v="10.742928240739275"/>
    <x v="10"/>
  </r>
  <r>
    <n v="1007"/>
    <s v="1007111"/>
    <d v="2023-09-12T06:10:11"/>
    <s v="type40"/>
    <n v="936.17"/>
    <x v="3"/>
    <d v="2023-09-19T06:10:11"/>
    <x v="1"/>
    <d v="2023-10-03T00:00:00"/>
    <n v="20.742928240739275"/>
    <x v="0"/>
    <x v="19"/>
    <n v="13.742928240739275"/>
    <x v="19"/>
  </r>
  <r>
    <n v="1035"/>
    <s v="1035111"/>
    <d v="2023-09-13T06:10:11"/>
    <s v="type46"/>
    <n v="4.4800000000000004"/>
    <x v="3"/>
    <d v="2023-09-20T06:10:11"/>
    <x v="4"/>
    <d v="2023-10-03T00:00:00"/>
    <n v="19.742928240739275"/>
    <x v="0"/>
    <x v="9"/>
    <n v="12.742928240739275"/>
    <x v="9"/>
  </r>
  <r>
    <n v="1016"/>
    <s v="1016111"/>
    <d v="2023-09-13T06:10:11"/>
    <s v="type35"/>
    <n v="706.14"/>
    <x v="1"/>
    <d v="2023-09-20T06:10:11"/>
    <x v="2"/>
    <d v="2023-10-03T00:00:00"/>
    <n v="19.742928240739275"/>
    <x v="0"/>
    <x v="9"/>
    <n v="12.742928240739275"/>
    <x v="9"/>
  </r>
  <r>
    <n v="1019"/>
    <s v="1019111"/>
    <d v="2023-09-18T06:10:11"/>
    <s v="type40"/>
    <n v="-2002.51"/>
    <x v="4"/>
    <d v="2023-09-19T06:10:11"/>
    <x v="0"/>
    <d v="2023-10-03T00:00:00"/>
    <n v="14.742928240739275"/>
    <x v="0"/>
    <x v="19"/>
    <n v="13.742928240739275"/>
    <x v="19"/>
  </r>
  <r>
    <n v="1029"/>
    <s v="1029111"/>
    <d v="2023-09-14T06:10:11"/>
    <s v="type54"/>
    <n v="-35"/>
    <x v="3"/>
    <d v="2023-09-21T06:10:11"/>
    <x v="5"/>
    <d v="2023-10-03T00:00:00"/>
    <n v="18.742928240739275"/>
    <x v="0"/>
    <x v="1"/>
    <n v="11.742928240739275"/>
    <x v="1"/>
  </r>
  <r>
    <n v="1014"/>
    <s v="1014111"/>
    <d v="2023-09-21T06:10:11"/>
    <s v="type40"/>
    <n v="12192.9"/>
    <x v="6"/>
    <d v="2023-09-26T06:10:11"/>
    <x v="2"/>
    <d v="2023-10-03T00:00:00"/>
    <n v="11.742928240739275"/>
    <x v="0"/>
    <x v="7"/>
    <n v="6.7429282407392748"/>
    <x v="7"/>
  </r>
  <r>
    <n v="1015"/>
    <s v="1015111"/>
    <d v="2023-09-22T06:10:11"/>
    <s v="type40"/>
    <n v="5643.1"/>
    <x v="5"/>
    <d v="2023-09-24T06:10:11"/>
    <x v="2"/>
    <d v="2023-10-03T00:00:00"/>
    <n v="10.742928240739275"/>
    <x v="0"/>
    <x v="5"/>
    <n v="8.7429282407392748"/>
    <x v="5"/>
  </r>
  <r>
    <n v="1022"/>
    <s v="1022111"/>
    <d v="2023-09-23T06:10:11"/>
    <s v="type38"/>
    <n v="359.47"/>
    <x v="2"/>
    <d v="2023-09-24T06:10:11"/>
    <x v="0"/>
    <d v="2023-10-03T00:00:00"/>
    <n v="9.7429282407392748"/>
    <x v="0"/>
    <x v="5"/>
    <n v="8.7429282407392748"/>
    <x v="5"/>
  </r>
  <r>
    <n v="1009"/>
    <s v="1009111"/>
    <d v="2023-09-16T06:10:11"/>
    <s v="type42"/>
    <n v="203"/>
    <x v="1"/>
    <d v="2023-09-23T06:10:11"/>
    <x v="1"/>
    <d v="2023-10-03T00:00:00"/>
    <n v="16.742928240739275"/>
    <x v="0"/>
    <x v="3"/>
    <n v="9.7429282407392748"/>
    <x v="3"/>
  </r>
  <r>
    <n v="1029"/>
    <s v="1029111"/>
    <d v="2023-09-16T06:10:11"/>
    <s v="type40"/>
    <n v="6139.84"/>
    <x v="6"/>
    <d v="2023-09-23T06:10:11"/>
    <x v="5"/>
    <d v="2023-10-03T00:00:00"/>
    <n v="16.742928240739275"/>
    <x v="0"/>
    <x v="3"/>
    <n v="9.7429282407392748"/>
    <x v="3"/>
  </r>
  <r>
    <n v="1033"/>
    <s v="1033111"/>
    <d v="2023-09-18T06:10:11"/>
    <s v="type40"/>
    <n v="1403.59"/>
    <x v="3"/>
    <d v="2023-09-25T06:10:11"/>
    <x v="4"/>
    <d v="2023-10-03T00:00:00"/>
    <n v="14.742928240739275"/>
    <x v="0"/>
    <x v="11"/>
    <n v="7.7429282407392748"/>
    <x v="11"/>
  </r>
  <r>
    <n v="1027"/>
    <s v="1027111"/>
    <d v="2023-09-18T06:10:11"/>
    <s v="type9"/>
    <n v="446.56"/>
    <x v="3"/>
    <d v="2023-09-25T06:10:11"/>
    <x v="5"/>
    <d v="2023-10-03T00:00:00"/>
    <n v="14.742928240739275"/>
    <x v="0"/>
    <x v="11"/>
    <n v="7.7429282407392748"/>
    <x v="11"/>
  </r>
  <r>
    <n v="1026"/>
    <s v="1026111"/>
    <d v="2023-09-21T06:10:11"/>
    <s v="type40"/>
    <n v="408.73"/>
    <x v="6"/>
    <d v="2023-09-23T06:10:11"/>
    <x v="5"/>
    <d v="2023-10-03T00:00:00"/>
    <n v="11.742928240739275"/>
    <x v="0"/>
    <x v="3"/>
    <n v="9.7429282407392748"/>
    <x v="3"/>
  </r>
  <r>
    <n v="1032"/>
    <s v="1032111"/>
    <d v="2023-09-18T06:10:11"/>
    <s v="type40"/>
    <n v="4590.91"/>
    <x v="4"/>
    <d v="2023-09-20T06:10:11"/>
    <x v="4"/>
    <d v="2023-10-03T00:00:00"/>
    <n v="14.742928240739275"/>
    <x v="0"/>
    <x v="9"/>
    <n v="12.742928240739275"/>
    <x v="9"/>
  </r>
  <r>
    <n v="1031"/>
    <s v="1031111"/>
    <d v="2023-09-23T06:10:11"/>
    <s v="type40"/>
    <n v="-5796.69"/>
    <x v="6"/>
    <d v="2023-09-25T06:10:11"/>
    <x v="4"/>
    <d v="2023-10-03T00:00:00"/>
    <n v="9.7429282407392748"/>
    <x v="0"/>
    <x v="11"/>
    <n v="7.7429282407392748"/>
    <x v="11"/>
  </r>
  <r>
    <n v="1022"/>
    <s v="1022111"/>
    <d v="2023-09-14T06:10:11"/>
    <s v="type40"/>
    <n v="10"/>
    <x v="6"/>
    <d v="2023-09-16T06:10:11"/>
    <x v="0"/>
    <d v="2023-10-03T00:00:00"/>
    <n v="18.742928240739275"/>
    <x v="0"/>
    <x v="2"/>
    <n v="16.742928240739275"/>
    <x v="2"/>
  </r>
  <r>
    <n v="1006"/>
    <s v="1006111"/>
    <d v="2023-09-21T06:10:11"/>
    <s v="type40"/>
    <n v="-458.7"/>
    <x v="3"/>
    <d v="2023-09-22T06:10:11"/>
    <x v="1"/>
    <d v="2023-10-03T00:00:00"/>
    <n v="11.742928240739275"/>
    <x v="0"/>
    <x v="10"/>
    <n v="10.742928240739275"/>
    <x v="10"/>
  </r>
  <r>
    <n v="1003"/>
    <s v="1003111"/>
    <d v="2023-09-10T06:10:11"/>
    <s v="type13"/>
    <n v="30904.52"/>
    <x v="2"/>
    <d v="2023-09-11T06:10:11"/>
    <x v="3"/>
    <d v="2023-10-03T00:00:00"/>
    <n v="22.742928240739275"/>
    <x v="0"/>
    <x v="21"/>
    <n v="21.742928240739275"/>
    <x v="21"/>
  </r>
  <r>
    <n v="1030"/>
    <s v="1030111"/>
    <d v="2023-09-23T06:10:11"/>
    <s v="type40"/>
    <n v="-442.24"/>
    <x v="1"/>
    <d v="2023-09-24T06:10:11"/>
    <x v="4"/>
    <d v="2023-10-03T00:00:00"/>
    <n v="9.7429282407392748"/>
    <x v="0"/>
    <x v="5"/>
    <n v="8.7429282407392748"/>
    <x v="5"/>
  </r>
  <r>
    <n v="1023"/>
    <s v="1023111"/>
    <d v="2023-09-24T06:10:11"/>
    <s v="type40"/>
    <n v="336.82"/>
    <x v="1"/>
    <d v="2023-09-25T06:10:11"/>
    <x v="0"/>
    <d v="2023-10-03T00:00:00"/>
    <n v="8.7429282407392748"/>
    <x v="1"/>
    <x v="11"/>
    <n v="7.7429282407392748"/>
    <x v="11"/>
  </r>
  <r>
    <n v="1018"/>
    <s v="1018111"/>
    <d v="2023-09-21T06:10:11"/>
    <s v="type40"/>
    <n v="4590.92"/>
    <x v="4"/>
    <d v="2023-09-23T06:10:11"/>
    <x v="0"/>
    <d v="2023-10-03T00:00:00"/>
    <n v="11.742928240739275"/>
    <x v="0"/>
    <x v="3"/>
    <n v="9.7429282407392748"/>
    <x v="3"/>
  </r>
  <r>
    <n v="1017"/>
    <s v="1017111"/>
    <d v="2023-09-26T06:10:11"/>
    <s v="type40"/>
    <n v="556.78"/>
    <x v="1"/>
    <d v="2023-09-27T06:10:11"/>
    <x v="2"/>
    <d v="2023-10-03T00:00:00"/>
    <n v="6.7429282407392748"/>
    <x v="1"/>
    <x v="12"/>
    <n v="5.7429282407392748"/>
    <x v="12"/>
  </r>
  <r>
    <n v="1012"/>
    <s v="1012111"/>
    <d v="2023-09-11T06:10:11"/>
    <s v="type13"/>
    <n v="25089.5"/>
    <x v="2"/>
    <d v="2023-09-13T06:10:11"/>
    <x v="2"/>
    <d v="2023-10-03T00:00:00"/>
    <n v="21.742928240739275"/>
    <x v="0"/>
    <x v="24"/>
    <n v="19.742928240739275"/>
    <x v="24"/>
  </r>
  <r>
    <n v="1012"/>
    <s v="1012111"/>
    <d v="2023-09-11T06:10:11"/>
    <s v="type40"/>
    <n v="-563.01"/>
    <x v="4"/>
    <d v="2023-09-13T06:10:11"/>
    <x v="2"/>
    <d v="2023-10-03T00:00:00"/>
    <n v="21.742928240739275"/>
    <x v="0"/>
    <x v="24"/>
    <n v="19.742928240739275"/>
    <x v="24"/>
  </r>
  <r>
    <n v="1003"/>
    <s v="1003111"/>
    <d v="2023-09-16T06:10:11"/>
    <s v="type35"/>
    <n v="944.25"/>
    <x v="1"/>
    <d v="2023-09-17T06:10:11"/>
    <x v="3"/>
    <d v="2023-10-03T00:00:00"/>
    <n v="16.742928240739275"/>
    <x v="0"/>
    <x v="4"/>
    <n v="15.742928240739275"/>
    <x v="4"/>
  </r>
  <r>
    <n v="1008"/>
    <s v="1008111"/>
    <d v="2023-09-20T06:10:11"/>
    <s v="type40"/>
    <n v="2819.23"/>
    <x v="4"/>
    <d v="2023-09-22T06:10:11"/>
    <x v="1"/>
    <d v="2023-10-03T00:00:00"/>
    <n v="12.742928240739275"/>
    <x v="0"/>
    <x v="10"/>
    <n v="10.742928240739275"/>
    <x v="10"/>
  </r>
  <r>
    <n v="1026"/>
    <s v="1026111"/>
    <d v="2023-09-16T06:10:11"/>
    <s v="type40"/>
    <n v="-360.71"/>
    <x v="6"/>
    <d v="2023-09-21T06:10:11"/>
    <x v="5"/>
    <d v="2023-10-03T00:00:00"/>
    <n v="16.742928240739275"/>
    <x v="0"/>
    <x v="1"/>
    <n v="11.742928240739275"/>
    <x v="1"/>
  </r>
  <r>
    <n v="1029"/>
    <s v="1029111"/>
    <d v="2023-09-18T06:10:11"/>
    <s v="type35"/>
    <n v="2462.39"/>
    <x v="1"/>
    <d v="2023-09-19T06:10:11"/>
    <x v="5"/>
    <d v="2023-10-03T00:00:00"/>
    <n v="14.742928240739275"/>
    <x v="0"/>
    <x v="19"/>
    <n v="13.742928240739275"/>
    <x v="19"/>
  </r>
  <r>
    <n v="1027"/>
    <s v="1027111"/>
    <d v="2023-09-23T06:10:11"/>
    <s v="type40"/>
    <n v="-412.59"/>
    <x v="5"/>
    <d v="2023-09-28T06:10:11"/>
    <x v="5"/>
    <d v="2023-10-03T00:00:00"/>
    <n v="9.7429282407392748"/>
    <x v="0"/>
    <x v="8"/>
    <n v="4.7429282407392748"/>
    <x v="8"/>
  </r>
  <r>
    <n v="1026"/>
    <s v="1026111"/>
    <d v="2023-09-20T06:10:11"/>
    <s v="type40"/>
    <n v="339.81"/>
    <x v="3"/>
    <d v="2023-09-21T06:10:11"/>
    <x v="5"/>
    <d v="2023-10-03T00:00:00"/>
    <n v="12.742928240739275"/>
    <x v="0"/>
    <x v="1"/>
    <n v="11.742928240739275"/>
    <x v="1"/>
  </r>
  <r>
    <n v="1020"/>
    <s v="1020111"/>
    <d v="2023-09-20T06:10:11"/>
    <s v="type40"/>
    <n v="687.39"/>
    <x v="3"/>
    <d v="2023-09-21T06:10:11"/>
    <x v="0"/>
    <d v="2023-10-03T00:00:00"/>
    <n v="12.742928240739275"/>
    <x v="0"/>
    <x v="1"/>
    <n v="11.742928240739275"/>
    <x v="1"/>
  </r>
  <r>
    <n v="1030"/>
    <s v="1030111"/>
    <d v="2023-09-21T06:10:11"/>
    <s v="type40"/>
    <n v="991.27"/>
    <x v="1"/>
    <d v="2023-09-22T06:10:11"/>
    <x v="4"/>
    <d v="2023-10-03T00:00:00"/>
    <n v="11.742928240739275"/>
    <x v="0"/>
    <x v="10"/>
    <n v="10.742928240739275"/>
    <x v="10"/>
  </r>
  <r>
    <n v="1008"/>
    <s v="1008111"/>
    <d v="2023-09-18T06:10:11"/>
    <s v="type40"/>
    <n v="411.77"/>
    <x v="6"/>
    <d v="2023-09-23T06:10:11"/>
    <x v="1"/>
    <d v="2023-10-03T00:00:00"/>
    <n v="14.742928240739275"/>
    <x v="0"/>
    <x v="3"/>
    <n v="9.7429282407392748"/>
    <x v="3"/>
  </r>
  <r>
    <n v="1018"/>
    <s v="1018111"/>
    <d v="2023-09-20T06:10:11"/>
    <s v="type7"/>
    <n v="-1630.63"/>
    <x v="6"/>
    <d v="2023-09-27T06:10:11"/>
    <x v="0"/>
    <d v="2023-10-03T00:00:00"/>
    <n v="12.742928240739275"/>
    <x v="0"/>
    <x v="12"/>
    <n v="5.7429282407392748"/>
    <x v="12"/>
  </r>
  <r>
    <n v="1024"/>
    <s v="1024111"/>
    <d v="2023-09-14T06:10:11"/>
    <s v="type40"/>
    <n v="-550.24"/>
    <x v="2"/>
    <d v="2023-09-16T06:10:11"/>
    <x v="5"/>
    <d v="2023-10-03T00:00:00"/>
    <n v="18.742928240739275"/>
    <x v="0"/>
    <x v="2"/>
    <n v="16.742928240739275"/>
    <x v="2"/>
  </r>
  <r>
    <n v="1015"/>
    <s v="1015111"/>
    <d v="2023-09-23T06:10:11"/>
    <s v="type40"/>
    <n v="-351.36"/>
    <x v="6"/>
    <d v="2023-09-24T06:10:11"/>
    <x v="2"/>
    <d v="2023-10-03T00:00:00"/>
    <n v="9.7429282407392748"/>
    <x v="0"/>
    <x v="5"/>
    <n v="8.7429282407392748"/>
    <x v="5"/>
  </r>
  <r>
    <n v="1011"/>
    <s v="1011111"/>
    <d v="2023-09-25T06:10:11"/>
    <s v="type40"/>
    <n v="-552.33000000000004"/>
    <x v="3"/>
    <d v="2023-09-27T06:10:11"/>
    <x v="1"/>
    <d v="2023-10-03T00:00:00"/>
    <n v="7.7429282407392748"/>
    <x v="1"/>
    <x v="12"/>
    <n v="5.7429282407392748"/>
    <x v="12"/>
  </r>
  <r>
    <n v="1035"/>
    <s v="1035111"/>
    <d v="2023-09-23T06:10:11"/>
    <s v="type1"/>
    <n v="12"/>
    <x v="5"/>
    <d v="2023-09-28T06:10:11"/>
    <x v="4"/>
    <d v="2023-10-03T00:00:00"/>
    <n v="9.7429282407392748"/>
    <x v="0"/>
    <x v="8"/>
    <n v="4.7429282407392748"/>
    <x v="8"/>
  </r>
  <r>
    <n v="1014"/>
    <s v="1014111"/>
    <d v="2023-09-15T06:10:11"/>
    <s v="type35"/>
    <n v="441.23"/>
    <x v="2"/>
    <d v="2023-09-17T06:10:11"/>
    <x v="2"/>
    <d v="2023-10-03T00:00:00"/>
    <n v="17.742928240739275"/>
    <x v="0"/>
    <x v="4"/>
    <n v="15.742928240739275"/>
    <x v="4"/>
  </r>
  <r>
    <n v="1033"/>
    <s v="1033111"/>
    <d v="2023-09-28T06:10:11"/>
    <s v="type40"/>
    <n v="702.7"/>
    <x v="3"/>
    <d v="2023-09-30T06:10:11"/>
    <x v="4"/>
    <d v="2023-10-03T00:00:00"/>
    <n v="4.7429282407392748"/>
    <x v="2"/>
    <x v="14"/>
    <n v="2.7429282407392748"/>
    <x v="14"/>
  </r>
  <r>
    <n v="1014"/>
    <s v="1014111"/>
    <d v="2023-09-10T06:10:11"/>
    <s v="type40"/>
    <n v="111.27"/>
    <x v="6"/>
    <d v="2023-09-11T06:10:11"/>
    <x v="2"/>
    <d v="2023-10-03T00:00:00"/>
    <n v="22.742928240739275"/>
    <x v="0"/>
    <x v="21"/>
    <n v="21.742928240739275"/>
    <x v="21"/>
  </r>
  <r>
    <n v="1027"/>
    <s v="1027111"/>
    <d v="2023-09-19T06:10:11"/>
    <s v="type40"/>
    <n v="-2691.55"/>
    <x v="5"/>
    <d v="2023-09-24T06:10:11"/>
    <x v="5"/>
    <d v="2023-10-03T00:00:00"/>
    <n v="13.742928240739275"/>
    <x v="0"/>
    <x v="5"/>
    <n v="8.7429282407392748"/>
    <x v="5"/>
  </r>
  <r>
    <n v="1021"/>
    <s v="1021111"/>
    <d v="2023-09-20T06:10:11"/>
    <s v="type40"/>
    <n v="2311.1"/>
    <x v="5"/>
    <d v="2023-09-27T06:10:11"/>
    <x v="0"/>
    <d v="2023-10-03T00:00:00"/>
    <n v="12.742928240739275"/>
    <x v="0"/>
    <x v="12"/>
    <n v="5.7429282407392748"/>
    <x v="12"/>
  </r>
  <r>
    <n v="1006"/>
    <s v="1006111"/>
    <d v="2023-09-13T06:10:11"/>
    <s v="type40"/>
    <n v="2838.31"/>
    <x v="3"/>
    <d v="2023-09-15T06:10:11"/>
    <x v="1"/>
    <d v="2023-10-03T00:00:00"/>
    <n v="19.742928240739275"/>
    <x v="0"/>
    <x v="0"/>
    <n v="17.742928240739275"/>
    <x v="0"/>
  </r>
  <r>
    <n v="1007"/>
    <s v="1007111"/>
    <d v="2023-09-19T06:10:11"/>
    <s v="type13"/>
    <n v="24778.66"/>
    <x v="2"/>
    <d v="2023-09-21T06:10:11"/>
    <x v="1"/>
    <d v="2023-10-03T00:00:00"/>
    <n v="13.742928240739275"/>
    <x v="0"/>
    <x v="1"/>
    <n v="11.742928240739275"/>
    <x v="1"/>
  </r>
  <r>
    <n v="1003"/>
    <s v="1003111"/>
    <d v="2023-09-14T06:10:11"/>
    <s v="type40"/>
    <n v="-499.3"/>
    <x v="1"/>
    <d v="2023-09-16T06:10:11"/>
    <x v="3"/>
    <d v="2023-10-03T00:00:00"/>
    <n v="18.742928240739275"/>
    <x v="0"/>
    <x v="2"/>
    <n v="16.742928240739275"/>
    <x v="2"/>
  </r>
  <r>
    <n v="1009"/>
    <s v="1009111"/>
    <d v="2023-09-21T06:10:11"/>
    <s v="type40"/>
    <n v="-404.57"/>
    <x v="5"/>
    <d v="2023-09-28T06:10:11"/>
    <x v="1"/>
    <d v="2023-10-03T00:00:00"/>
    <n v="11.742928240739275"/>
    <x v="0"/>
    <x v="8"/>
    <n v="4.7429282407392748"/>
    <x v="8"/>
  </r>
  <r>
    <n v="1025"/>
    <s v="1025111"/>
    <d v="2023-09-20T06:10:11"/>
    <s v="type40"/>
    <n v="-359.71"/>
    <x v="4"/>
    <d v="2023-09-25T06:10:11"/>
    <x v="5"/>
    <d v="2023-10-03T00:00:00"/>
    <n v="12.742928240739275"/>
    <x v="0"/>
    <x v="11"/>
    <n v="7.7429282407392748"/>
    <x v="11"/>
  </r>
  <r>
    <n v="1024"/>
    <s v="1024111"/>
    <d v="2023-09-15T06:10:11"/>
    <s v="type8"/>
    <n v="60"/>
    <x v="1"/>
    <d v="2023-09-17T06:10:11"/>
    <x v="5"/>
    <d v="2023-10-03T00:00:00"/>
    <n v="17.742928240739275"/>
    <x v="0"/>
    <x v="4"/>
    <n v="15.742928240739275"/>
    <x v="4"/>
  </r>
  <r>
    <n v="1026"/>
    <s v="1026111"/>
    <d v="2023-09-21T06:10:11"/>
    <s v="type7"/>
    <n v="1304"/>
    <x v="2"/>
    <d v="2023-09-23T06:10:11"/>
    <x v="5"/>
    <d v="2023-10-03T00:00:00"/>
    <n v="11.742928240739275"/>
    <x v="0"/>
    <x v="3"/>
    <n v="9.7429282407392748"/>
    <x v="3"/>
  </r>
  <r>
    <n v="1035"/>
    <s v="1035111"/>
    <d v="2023-09-15T06:10:11"/>
    <s v="type40"/>
    <n v="-334.8"/>
    <x v="6"/>
    <d v="2023-09-16T06:10:11"/>
    <x v="4"/>
    <d v="2023-10-03T00:00:00"/>
    <n v="17.742928240739275"/>
    <x v="0"/>
    <x v="2"/>
    <n v="16.742928240739275"/>
    <x v="2"/>
  </r>
  <r>
    <n v="1031"/>
    <s v="1031111"/>
    <d v="2023-09-21T06:10:11"/>
    <s v="type40"/>
    <n v="-536.70000000000005"/>
    <x v="4"/>
    <d v="2023-09-28T06:10:11"/>
    <x v="4"/>
    <d v="2023-10-03T00:00:00"/>
    <n v="11.742928240739275"/>
    <x v="0"/>
    <x v="8"/>
    <n v="4.7429282407392748"/>
    <x v="8"/>
  </r>
  <r>
    <n v="1014"/>
    <s v="1014111"/>
    <d v="2023-09-21T06:10:11"/>
    <s v="type40"/>
    <n v="1034.43"/>
    <x v="5"/>
    <d v="2023-09-28T06:10:11"/>
    <x v="2"/>
    <d v="2023-10-03T00:00:00"/>
    <n v="11.742928240739275"/>
    <x v="0"/>
    <x v="8"/>
    <n v="4.7429282407392748"/>
    <x v="8"/>
  </r>
  <r>
    <n v="1017"/>
    <s v="1017111"/>
    <d v="2023-09-18T06:10:11"/>
    <s v="type40"/>
    <n v="912.31"/>
    <x v="1"/>
    <d v="2023-09-20T06:10:11"/>
    <x v="2"/>
    <d v="2023-10-03T00:00:00"/>
    <n v="14.742928240739275"/>
    <x v="0"/>
    <x v="9"/>
    <n v="12.742928240739275"/>
    <x v="9"/>
  </r>
  <r>
    <n v="1023"/>
    <s v="1023111"/>
    <d v="2023-09-19T06:10:11"/>
    <s v="type40"/>
    <n v="-1930.41"/>
    <x v="1"/>
    <d v="2023-09-21T06:10:11"/>
    <x v="0"/>
    <d v="2023-10-03T00:00:00"/>
    <n v="13.742928240739275"/>
    <x v="0"/>
    <x v="1"/>
    <n v="11.742928240739275"/>
    <x v="1"/>
  </r>
  <r>
    <n v="1007"/>
    <s v="1007111"/>
    <d v="2023-09-23T06:10:11"/>
    <s v="type40"/>
    <n v="2160.16"/>
    <x v="4"/>
    <d v="2023-09-30T06:10:11"/>
    <x v="1"/>
    <d v="2023-10-03T00:00:00"/>
    <n v="9.7429282407392748"/>
    <x v="0"/>
    <x v="14"/>
    <n v="2.7429282407392748"/>
    <x v="14"/>
  </r>
  <r>
    <n v="1030"/>
    <s v="1030111"/>
    <d v="2023-09-20T06:10:11"/>
    <s v="type40"/>
    <n v="12294.03"/>
    <x v="3"/>
    <d v="2023-09-25T06:10:11"/>
    <x v="4"/>
    <d v="2023-10-03T00:00:00"/>
    <n v="12.742928240739275"/>
    <x v="0"/>
    <x v="11"/>
    <n v="7.7429282407392748"/>
    <x v="11"/>
  </r>
  <r>
    <n v="1026"/>
    <s v="1026111"/>
    <d v="2023-09-18T06:10:11"/>
    <s v="type40"/>
    <n v="-421.1"/>
    <x v="5"/>
    <d v="2023-09-19T06:10:11"/>
    <x v="5"/>
    <d v="2023-10-03T00:00:00"/>
    <n v="14.742928240739275"/>
    <x v="0"/>
    <x v="19"/>
    <n v="13.742928240739275"/>
    <x v="19"/>
  </r>
  <r>
    <n v="1017"/>
    <s v="1017111"/>
    <d v="2023-09-16T06:10:11"/>
    <s v="type40"/>
    <n v="-441.82"/>
    <x v="6"/>
    <d v="2023-09-18T06:10:11"/>
    <x v="2"/>
    <d v="2023-10-03T00:00:00"/>
    <n v="16.742928240739275"/>
    <x v="0"/>
    <x v="6"/>
    <n v="14.742928240739275"/>
    <x v="6"/>
  </r>
  <r>
    <n v="1026"/>
    <s v="1026111"/>
    <d v="2023-09-21T06:10:11"/>
    <s v="type40"/>
    <n v="526.27"/>
    <x v="4"/>
    <d v="2023-09-22T06:10:11"/>
    <x v="5"/>
    <d v="2023-10-03T00:00:00"/>
    <n v="11.742928240739275"/>
    <x v="0"/>
    <x v="10"/>
    <n v="10.742928240739275"/>
    <x v="10"/>
  </r>
  <r>
    <n v="1017"/>
    <s v="1017111"/>
    <d v="2023-09-17T06:10:11"/>
    <s v="type7"/>
    <n v="1625.37"/>
    <x v="6"/>
    <d v="2023-09-19T06:10:11"/>
    <x v="2"/>
    <d v="2023-10-03T00:00:00"/>
    <n v="15.742928240739275"/>
    <x v="0"/>
    <x v="19"/>
    <n v="13.742928240739275"/>
    <x v="19"/>
  </r>
  <r>
    <n v="1025"/>
    <s v="1025111"/>
    <d v="2023-09-18T06:10:11"/>
    <s v="type40"/>
    <n v="-306.14"/>
    <x v="4"/>
    <d v="2023-09-19T06:10:11"/>
    <x v="5"/>
    <d v="2023-10-03T00:00:00"/>
    <n v="14.742928240739275"/>
    <x v="0"/>
    <x v="19"/>
    <n v="13.742928240739275"/>
    <x v="19"/>
  </r>
  <r>
    <n v="1027"/>
    <s v="1027111"/>
    <d v="2023-09-18T06:10:11"/>
    <s v="type40"/>
    <n v="-1998.43"/>
    <x v="6"/>
    <d v="2023-09-20T06:10:11"/>
    <x v="5"/>
    <d v="2023-10-03T00:00:00"/>
    <n v="14.742928240739275"/>
    <x v="0"/>
    <x v="9"/>
    <n v="12.742928240739275"/>
    <x v="9"/>
  </r>
  <r>
    <n v="1009"/>
    <s v="1009111"/>
    <d v="2023-09-19T06:10:11"/>
    <s v="type40"/>
    <n v="407.94"/>
    <x v="4"/>
    <d v="2023-09-20T06:10:11"/>
    <x v="1"/>
    <d v="2023-10-03T00:00:00"/>
    <n v="13.742928240739275"/>
    <x v="0"/>
    <x v="9"/>
    <n v="12.742928240739275"/>
    <x v="9"/>
  </r>
  <r>
    <n v="1020"/>
    <s v="1020111"/>
    <d v="2023-09-27T06:10:11"/>
    <s v="type40"/>
    <n v="-1592.43"/>
    <x v="3"/>
    <d v="2023-10-04T06:10:11"/>
    <x v="0"/>
    <d v="2023-10-03T00:00:00"/>
    <n v="5.7429282407392748"/>
    <x v="2"/>
    <x v="23"/>
    <n v="-1.2570717592607252"/>
    <x v="23"/>
  </r>
  <r>
    <n v="1015"/>
    <s v="1015111"/>
    <d v="2023-09-10T06:10:11"/>
    <s v="type40"/>
    <n v="1032.2"/>
    <x v="5"/>
    <d v="2023-09-12T06:10:11"/>
    <x v="2"/>
    <d v="2023-10-03T00:00:00"/>
    <n v="22.742928240739275"/>
    <x v="0"/>
    <x v="18"/>
    <n v="20.742928240739275"/>
    <x v="18"/>
  </r>
  <r>
    <n v="1026"/>
    <s v="1026111"/>
    <d v="2023-09-21T06:10:11"/>
    <s v="type40"/>
    <n v="754.2"/>
    <x v="4"/>
    <d v="2023-09-22T06:10:11"/>
    <x v="5"/>
    <d v="2023-10-03T00:00:00"/>
    <n v="11.742928240739275"/>
    <x v="0"/>
    <x v="10"/>
    <n v="10.742928240739275"/>
    <x v="10"/>
  </r>
  <r>
    <n v="1022"/>
    <s v="1022111"/>
    <d v="2023-09-23T06:10:11"/>
    <s v="type40"/>
    <n v="-738.48"/>
    <x v="2"/>
    <d v="2023-09-25T06:10:11"/>
    <x v="0"/>
    <d v="2023-10-03T00:00:00"/>
    <n v="9.7429282407392748"/>
    <x v="0"/>
    <x v="11"/>
    <n v="7.7429282407392748"/>
    <x v="11"/>
  </r>
  <r>
    <n v="1032"/>
    <s v="1032111"/>
    <d v="2023-09-18T06:10:11"/>
    <s v="type40"/>
    <n v="1379.17"/>
    <x v="3"/>
    <d v="2023-09-25T06:10:11"/>
    <x v="4"/>
    <d v="2023-10-03T00:00:00"/>
    <n v="14.742928240739275"/>
    <x v="0"/>
    <x v="11"/>
    <n v="7.7429282407392748"/>
    <x v="11"/>
  </r>
  <r>
    <n v="1000"/>
    <s v="1000111"/>
    <d v="2023-09-16T06:10:11"/>
    <s v="type13"/>
    <n v="15229.86"/>
    <x v="4"/>
    <d v="2023-09-18T06:10:11"/>
    <x v="3"/>
    <d v="2023-10-03T00:00:00"/>
    <n v="16.742928240739275"/>
    <x v="0"/>
    <x v="6"/>
    <n v="14.742928240739275"/>
    <x v="6"/>
  </r>
  <r>
    <n v="1006"/>
    <s v="1006111"/>
    <d v="2023-09-10T06:10:11"/>
    <s v="type40"/>
    <n v="3"/>
    <x v="6"/>
    <d v="2023-09-17T06:10:11"/>
    <x v="1"/>
    <d v="2023-10-03T00:00:00"/>
    <n v="22.742928240739275"/>
    <x v="0"/>
    <x v="4"/>
    <n v="15.742928240739275"/>
    <x v="4"/>
  </r>
  <r>
    <n v="1012"/>
    <s v="1012111"/>
    <d v="2023-09-20T06:10:11"/>
    <s v="type40"/>
    <n v="-2258.73"/>
    <x v="1"/>
    <d v="2023-09-27T06:10:11"/>
    <x v="2"/>
    <d v="2023-10-03T00:00:00"/>
    <n v="12.742928240739275"/>
    <x v="0"/>
    <x v="12"/>
    <n v="5.7429282407392748"/>
    <x v="12"/>
  </r>
  <r>
    <n v="1030"/>
    <s v="1030111"/>
    <d v="2023-09-20T06:10:11"/>
    <s v="type40"/>
    <n v="34.74"/>
    <x v="1"/>
    <d v="2023-09-27T06:10:11"/>
    <x v="4"/>
    <d v="2023-10-03T00:00:00"/>
    <n v="12.742928240739275"/>
    <x v="0"/>
    <x v="12"/>
    <n v="5.7429282407392748"/>
    <x v="12"/>
  </r>
  <r>
    <n v="1015"/>
    <s v="1015111"/>
    <d v="2023-09-21T06:10:11"/>
    <s v="type42"/>
    <n v="195"/>
    <x v="3"/>
    <d v="2023-09-28T06:10:11"/>
    <x v="2"/>
    <d v="2023-10-03T00:00:00"/>
    <n v="11.742928240739275"/>
    <x v="0"/>
    <x v="8"/>
    <n v="4.7429282407392748"/>
    <x v="8"/>
  </r>
  <r>
    <n v="1005"/>
    <s v="1005111"/>
    <d v="2023-09-13T06:10:11"/>
    <s v="type40"/>
    <n v="7798.85"/>
    <x v="5"/>
    <d v="2023-09-15T06:10:11"/>
    <x v="3"/>
    <d v="2023-10-03T00:00:00"/>
    <n v="19.742928240739275"/>
    <x v="0"/>
    <x v="0"/>
    <n v="17.742928240739275"/>
    <x v="0"/>
  </r>
  <r>
    <n v="1015"/>
    <s v="1015111"/>
    <d v="2023-09-14T06:10:11"/>
    <s v="type40"/>
    <n v="-19967.53"/>
    <x v="6"/>
    <d v="2023-09-21T06:10:11"/>
    <x v="2"/>
    <d v="2023-10-03T00:00:00"/>
    <n v="18.742928240739275"/>
    <x v="0"/>
    <x v="1"/>
    <n v="11.742928240739275"/>
    <x v="1"/>
  </r>
  <r>
    <n v="1006"/>
    <s v="1006111"/>
    <d v="2023-09-15T06:10:11"/>
    <s v="type13"/>
    <n v="18938.75"/>
    <x v="5"/>
    <d v="2023-09-17T06:10:11"/>
    <x v="1"/>
    <d v="2023-10-03T00:00:00"/>
    <n v="17.742928240739275"/>
    <x v="0"/>
    <x v="4"/>
    <n v="15.742928240739275"/>
    <x v="4"/>
  </r>
  <r>
    <n v="1032"/>
    <s v="1032111"/>
    <d v="2023-09-17T06:10:11"/>
    <s v="type7"/>
    <n v="1252.6500000000001"/>
    <x v="2"/>
    <d v="2023-09-22T06:10:11"/>
    <x v="4"/>
    <d v="2023-10-03T00:00:00"/>
    <n v="15.742928240739275"/>
    <x v="0"/>
    <x v="10"/>
    <n v="10.742928240739275"/>
    <x v="10"/>
  </r>
  <r>
    <n v="1025"/>
    <s v="1025111"/>
    <d v="2023-09-25T06:10:11"/>
    <s v="type40"/>
    <n v="31.62"/>
    <x v="1"/>
    <d v="2023-10-02T06:10:11"/>
    <x v="5"/>
    <d v="2023-10-03T00:00:00"/>
    <n v="7.7429282407392748"/>
    <x v="1"/>
    <x v="15"/>
    <n v="0.74292824073927477"/>
    <x v="15"/>
  </r>
  <r>
    <n v="1001"/>
    <s v="1001111"/>
    <d v="2023-09-18T06:10:11"/>
    <s v="type40"/>
    <n v="1712.24"/>
    <x v="6"/>
    <d v="2023-09-25T06:10:11"/>
    <x v="3"/>
    <d v="2023-10-03T00:00:00"/>
    <n v="14.742928240739275"/>
    <x v="0"/>
    <x v="11"/>
    <n v="7.7429282407392748"/>
    <x v="11"/>
  </r>
  <r>
    <n v="1030"/>
    <s v="1030111"/>
    <d v="2023-09-27T06:10:11"/>
    <s v="type40"/>
    <n v="-732.73"/>
    <x v="1"/>
    <d v="2023-10-04T06:10:11"/>
    <x v="4"/>
    <d v="2023-10-03T00:00:00"/>
    <n v="5.7429282407392748"/>
    <x v="2"/>
    <x v="23"/>
    <n v="-1.2570717592607252"/>
    <x v="23"/>
  </r>
  <r>
    <n v="1019"/>
    <s v="1019111"/>
    <d v="2023-09-28T06:10:11"/>
    <s v="type40"/>
    <n v="45"/>
    <x v="1"/>
    <d v="2023-10-05T06:10:11"/>
    <x v="0"/>
    <d v="2023-10-03T00:00:00"/>
    <n v="4.7429282407392748"/>
    <x v="2"/>
    <x v="17"/>
    <n v="-2.2570717592607252"/>
    <x v="17"/>
  </r>
  <r>
    <n v="1004"/>
    <s v="1004111"/>
    <d v="2023-09-18T06:10:11"/>
    <s v="type8"/>
    <n v="80"/>
    <x v="6"/>
    <d v="2023-09-19T06:10:11"/>
    <x v="3"/>
    <d v="2023-10-03T00:00:00"/>
    <n v="14.742928240739275"/>
    <x v="0"/>
    <x v="19"/>
    <n v="13.742928240739275"/>
    <x v="19"/>
  </r>
  <r>
    <n v="1001"/>
    <s v="1001111"/>
    <d v="2023-09-19T06:10:11"/>
    <s v="type40"/>
    <n v="-1267.5"/>
    <x v="6"/>
    <d v="2023-09-20T06:10:11"/>
    <x v="3"/>
    <d v="2023-10-03T00:00:00"/>
    <n v="13.742928240739275"/>
    <x v="0"/>
    <x v="9"/>
    <n v="12.742928240739275"/>
    <x v="9"/>
  </r>
  <r>
    <n v="1035"/>
    <s v="1035111"/>
    <d v="2023-09-18T06:10:11"/>
    <s v="type40"/>
    <n v="1289.4000000000001"/>
    <x v="5"/>
    <d v="2023-09-19T06:10:11"/>
    <x v="4"/>
    <d v="2023-10-03T00:00:00"/>
    <n v="14.742928240739275"/>
    <x v="0"/>
    <x v="19"/>
    <n v="13.742928240739275"/>
    <x v="19"/>
  </r>
  <r>
    <n v="1001"/>
    <s v="1001111"/>
    <d v="2023-09-20T06:10:11"/>
    <s v="type40"/>
    <n v="-359.2"/>
    <x v="6"/>
    <d v="2023-09-21T06:10:11"/>
    <x v="3"/>
    <d v="2023-10-03T00:00:00"/>
    <n v="12.742928240739275"/>
    <x v="0"/>
    <x v="1"/>
    <n v="11.742928240739275"/>
    <x v="1"/>
  </r>
  <r>
    <n v="1000"/>
    <s v="1000111"/>
    <d v="2023-09-13T06:10:11"/>
    <s v="type40"/>
    <n v="154.41"/>
    <x v="3"/>
    <d v="2023-09-14T06:10:11"/>
    <x v="3"/>
    <d v="2023-10-03T00:00:00"/>
    <n v="19.742928240739275"/>
    <x v="0"/>
    <x v="20"/>
    <n v="18.742928240739275"/>
    <x v="20"/>
  </r>
  <r>
    <n v="1024"/>
    <s v="1024111"/>
    <d v="2023-09-20T06:10:11"/>
    <s v="type40"/>
    <n v="-393.14"/>
    <x v="2"/>
    <d v="2023-09-27T06:10:11"/>
    <x v="5"/>
    <d v="2023-10-03T00:00:00"/>
    <n v="12.742928240739275"/>
    <x v="0"/>
    <x v="12"/>
    <n v="5.7429282407392748"/>
    <x v="12"/>
  </r>
  <r>
    <n v="1015"/>
    <s v="1015111"/>
    <d v="2023-09-10T06:10:11"/>
    <s v="type38"/>
    <n v="150.16999999999999"/>
    <x v="2"/>
    <d v="2023-09-17T06:10:11"/>
    <x v="2"/>
    <d v="2023-10-03T00:00:00"/>
    <n v="22.742928240739275"/>
    <x v="0"/>
    <x v="4"/>
    <n v="15.742928240739275"/>
    <x v="4"/>
  </r>
  <r>
    <n v="1026"/>
    <s v="1026111"/>
    <d v="2023-09-13T06:10:11"/>
    <s v="type38"/>
    <n v="279.26"/>
    <x v="2"/>
    <d v="2023-09-20T06:10:11"/>
    <x v="5"/>
    <d v="2023-10-03T00:00:00"/>
    <n v="19.742928240739275"/>
    <x v="0"/>
    <x v="9"/>
    <n v="12.742928240739275"/>
    <x v="9"/>
  </r>
  <r>
    <n v="1016"/>
    <s v="1016111"/>
    <d v="2023-09-20T06:10:11"/>
    <s v="type40"/>
    <n v="886.68"/>
    <x v="2"/>
    <d v="2023-09-21T06:10:11"/>
    <x v="2"/>
    <d v="2023-10-03T00:00:00"/>
    <n v="12.742928240739275"/>
    <x v="0"/>
    <x v="1"/>
    <n v="11.742928240739275"/>
    <x v="1"/>
  </r>
  <r>
    <n v="1011"/>
    <s v="1011111"/>
    <d v="2023-09-16T06:10:11"/>
    <s v="type40"/>
    <n v="10"/>
    <x v="1"/>
    <d v="2023-09-17T06:10:11"/>
    <x v="1"/>
    <d v="2023-10-03T00:00:00"/>
    <n v="16.742928240739275"/>
    <x v="0"/>
    <x v="4"/>
    <n v="15.742928240739275"/>
    <x v="4"/>
  </r>
  <r>
    <n v="1001"/>
    <s v="1001111"/>
    <d v="2023-09-16T06:10:11"/>
    <s v="type14"/>
    <n v="0.83"/>
    <x v="1"/>
    <d v="2023-09-17T06:10:11"/>
    <x v="3"/>
    <d v="2023-10-03T00:00:00"/>
    <n v="16.742928240739275"/>
    <x v="0"/>
    <x v="4"/>
    <n v="15.742928240739275"/>
    <x v="4"/>
  </r>
  <r>
    <n v="1005"/>
    <s v="1005111"/>
    <d v="2023-09-23T06:10:11"/>
    <s v="type40"/>
    <n v="-389.95"/>
    <x v="5"/>
    <d v="2023-09-24T06:10:11"/>
    <x v="3"/>
    <d v="2023-10-03T00:00:00"/>
    <n v="9.7429282407392748"/>
    <x v="0"/>
    <x v="5"/>
    <n v="8.7429282407392748"/>
    <x v="5"/>
  </r>
  <r>
    <n v="1004"/>
    <s v="1004111"/>
    <d v="2023-09-22T06:10:11"/>
    <s v="type52"/>
    <n v="141.82"/>
    <x v="2"/>
    <d v="2023-09-23T06:10:11"/>
    <x v="3"/>
    <d v="2023-10-03T00:00:00"/>
    <n v="10.742928240739275"/>
    <x v="0"/>
    <x v="3"/>
    <n v="9.7429282407392748"/>
    <x v="3"/>
  </r>
  <r>
    <n v="1000"/>
    <s v="1000111"/>
    <d v="2023-09-18T06:10:11"/>
    <s v="type40"/>
    <n v="-475.11"/>
    <x v="4"/>
    <d v="2023-09-20T06:10:11"/>
    <x v="3"/>
    <d v="2023-10-03T00:00:00"/>
    <n v="14.742928240739275"/>
    <x v="0"/>
    <x v="9"/>
    <n v="12.742928240739275"/>
    <x v="9"/>
  </r>
  <r>
    <n v="1031"/>
    <s v="1031111"/>
    <d v="2023-09-11T06:10:11"/>
    <s v="type40"/>
    <n v="1712.74"/>
    <x v="6"/>
    <d v="2023-09-13T06:10:11"/>
    <x v="4"/>
    <d v="2023-10-03T00:00:00"/>
    <n v="21.742928240739275"/>
    <x v="0"/>
    <x v="24"/>
    <n v="19.742928240739275"/>
    <x v="24"/>
  </r>
  <r>
    <n v="1009"/>
    <s v="1009111"/>
    <d v="2023-09-20T06:10:11"/>
    <s v="type48"/>
    <n v="1125.32"/>
    <x v="3"/>
    <d v="2023-09-21T06:10:11"/>
    <x v="1"/>
    <d v="2023-10-03T00:00:00"/>
    <n v="12.742928240739275"/>
    <x v="0"/>
    <x v="1"/>
    <n v="11.742928240739275"/>
    <x v="1"/>
  </r>
  <r>
    <n v="1022"/>
    <s v="1022111"/>
    <d v="2023-09-18T06:10:11"/>
    <s v="type13"/>
    <n v="26076.51"/>
    <x v="5"/>
    <d v="2023-09-19T06:10:11"/>
    <x v="0"/>
    <d v="2023-10-03T00:00:00"/>
    <n v="14.742928240739275"/>
    <x v="0"/>
    <x v="19"/>
    <n v="13.742928240739275"/>
    <x v="19"/>
  </r>
  <r>
    <n v="1019"/>
    <s v="1019111"/>
    <d v="2023-09-16T06:10:11"/>
    <s v="type13"/>
    <n v="29827.5"/>
    <x v="2"/>
    <d v="2023-09-18T06:10:11"/>
    <x v="0"/>
    <d v="2023-10-03T00:00:00"/>
    <n v="16.742928240739275"/>
    <x v="0"/>
    <x v="6"/>
    <n v="14.742928240739275"/>
    <x v="6"/>
  </r>
  <r>
    <n v="1013"/>
    <s v="1013111"/>
    <d v="2023-09-11T06:10:11"/>
    <s v="type40"/>
    <n v="-416.05"/>
    <x v="2"/>
    <d v="2023-09-13T06:10:11"/>
    <x v="2"/>
    <d v="2023-10-03T00:00:00"/>
    <n v="21.742928240739275"/>
    <x v="0"/>
    <x v="24"/>
    <n v="19.742928240739275"/>
    <x v="24"/>
  </r>
  <r>
    <n v="1031"/>
    <s v="1031111"/>
    <d v="2023-09-22T06:10:11"/>
    <s v="type33"/>
    <n v="417.08"/>
    <x v="3"/>
    <d v="2023-09-24T06:10:11"/>
    <x v="4"/>
    <d v="2023-10-03T00:00:00"/>
    <n v="10.742928240739275"/>
    <x v="0"/>
    <x v="5"/>
    <n v="8.7429282407392748"/>
    <x v="5"/>
  </r>
  <r>
    <n v="1028"/>
    <s v="1028111"/>
    <d v="2023-09-14T06:10:11"/>
    <s v="type40"/>
    <n v="910.87"/>
    <x v="2"/>
    <d v="2023-09-19T06:10:11"/>
    <x v="5"/>
    <d v="2023-10-03T00:00:00"/>
    <n v="18.742928240739275"/>
    <x v="0"/>
    <x v="19"/>
    <n v="13.742928240739275"/>
    <x v="19"/>
  </r>
  <r>
    <n v="1025"/>
    <s v="1025111"/>
    <d v="2023-09-24T06:10:11"/>
    <s v="type24"/>
    <n v="491.3"/>
    <x v="3"/>
    <d v="2023-09-26T06:10:11"/>
    <x v="5"/>
    <d v="2023-10-03T00:00:00"/>
    <n v="8.7429282407392748"/>
    <x v="1"/>
    <x v="7"/>
    <n v="6.7429282407392748"/>
    <x v="7"/>
  </r>
  <r>
    <n v="1027"/>
    <s v="1027111"/>
    <d v="2023-09-25T06:10:11"/>
    <s v="type40"/>
    <n v="10"/>
    <x v="1"/>
    <d v="2023-09-27T06:10:11"/>
    <x v="5"/>
    <d v="2023-10-03T00:00:00"/>
    <n v="7.7429282407392748"/>
    <x v="1"/>
    <x v="12"/>
    <n v="5.7429282407392748"/>
    <x v="12"/>
  </r>
  <r>
    <n v="1003"/>
    <s v="1003111"/>
    <d v="2023-09-14T06:10:11"/>
    <s v="type40"/>
    <n v="1563.81"/>
    <x v="2"/>
    <d v="2023-09-19T06:10:11"/>
    <x v="3"/>
    <d v="2023-10-03T00:00:00"/>
    <n v="18.742928240739275"/>
    <x v="0"/>
    <x v="19"/>
    <n v="13.742928240739275"/>
    <x v="19"/>
  </r>
  <r>
    <n v="1003"/>
    <s v="1003111"/>
    <d v="2023-09-19T06:10:11"/>
    <s v="type10"/>
    <n v="65.88"/>
    <x v="2"/>
    <d v="2023-09-26T06:10:11"/>
    <x v="3"/>
    <d v="2023-10-03T00:00:00"/>
    <n v="13.742928240739275"/>
    <x v="0"/>
    <x v="7"/>
    <n v="6.7429282407392748"/>
    <x v="7"/>
  </r>
  <r>
    <n v="1033"/>
    <s v="1033111"/>
    <d v="2023-09-21T06:10:11"/>
    <s v="type38"/>
    <n v="417.1"/>
    <x v="5"/>
    <d v="2023-09-22T06:10:11"/>
    <x v="4"/>
    <d v="2023-10-03T00:00:00"/>
    <n v="11.742928240739275"/>
    <x v="0"/>
    <x v="10"/>
    <n v="10.742928240739275"/>
    <x v="10"/>
  </r>
  <r>
    <n v="1015"/>
    <s v="1015111"/>
    <d v="2023-09-16T06:10:11"/>
    <s v="type40"/>
    <n v="20.96"/>
    <x v="3"/>
    <d v="2023-09-18T06:10:11"/>
    <x v="2"/>
    <d v="2023-10-03T00:00:00"/>
    <n v="16.742928240739275"/>
    <x v="0"/>
    <x v="6"/>
    <n v="14.742928240739275"/>
    <x v="6"/>
  </r>
  <r>
    <n v="1003"/>
    <s v="1003111"/>
    <d v="2023-09-17T06:10:11"/>
    <s v="type40"/>
    <n v="1485.21"/>
    <x v="3"/>
    <d v="2023-09-19T06:10:11"/>
    <x v="3"/>
    <d v="2023-10-03T00:00:00"/>
    <n v="15.742928240739275"/>
    <x v="0"/>
    <x v="19"/>
    <n v="13.742928240739275"/>
    <x v="19"/>
  </r>
  <r>
    <n v="1021"/>
    <s v="1021111"/>
    <d v="2023-09-22T06:10:11"/>
    <s v="type40"/>
    <n v="-502.8"/>
    <x v="4"/>
    <d v="2023-09-24T06:10:11"/>
    <x v="0"/>
    <d v="2023-10-03T00:00:00"/>
    <n v="10.742928240739275"/>
    <x v="0"/>
    <x v="5"/>
    <n v="8.7429282407392748"/>
    <x v="5"/>
  </r>
  <r>
    <n v="1020"/>
    <s v="1020111"/>
    <d v="2023-09-14T06:10:11"/>
    <s v="type13"/>
    <n v="20191.36"/>
    <x v="4"/>
    <d v="2023-09-21T06:10:11"/>
    <x v="0"/>
    <d v="2023-10-03T00:00:00"/>
    <n v="18.742928240739275"/>
    <x v="0"/>
    <x v="1"/>
    <n v="11.742928240739275"/>
    <x v="1"/>
  </r>
  <r>
    <n v="1006"/>
    <s v="1006111"/>
    <d v="2023-09-19T06:10:11"/>
    <s v="type13"/>
    <n v="26877.09"/>
    <x v="3"/>
    <d v="2023-09-21T06:10:11"/>
    <x v="1"/>
    <d v="2023-10-03T00:00:00"/>
    <n v="13.742928240739275"/>
    <x v="0"/>
    <x v="1"/>
    <n v="11.742928240739275"/>
    <x v="1"/>
  </r>
  <r>
    <n v="1034"/>
    <s v="1034111"/>
    <d v="2023-09-20T06:10:11"/>
    <s v="type31"/>
    <n v="303.64"/>
    <x v="3"/>
    <d v="2023-09-22T06:10:11"/>
    <x v="4"/>
    <d v="2023-10-03T00:00:00"/>
    <n v="12.742928240739275"/>
    <x v="0"/>
    <x v="10"/>
    <n v="10.742928240739275"/>
    <x v="10"/>
  </r>
  <r>
    <n v="1024"/>
    <s v="1024111"/>
    <d v="2023-09-20T06:10:11"/>
    <s v="type40"/>
    <n v="9.84"/>
    <x v="3"/>
    <d v="2023-09-22T06:10:11"/>
    <x v="5"/>
    <d v="2023-10-03T00:00:00"/>
    <n v="12.742928240739275"/>
    <x v="0"/>
    <x v="10"/>
    <n v="10.742928240739275"/>
    <x v="10"/>
  </r>
  <r>
    <n v="1010"/>
    <s v="1010111"/>
    <d v="2023-09-12T06:10:11"/>
    <s v="type13"/>
    <n v="18728.32"/>
    <x v="6"/>
    <d v="2023-09-14T06:10:11"/>
    <x v="1"/>
    <d v="2023-10-03T00:00:00"/>
    <n v="20.742928240739275"/>
    <x v="0"/>
    <x v="20"/>
    <n v="18.742928240739275"/>
    <x v="20"/>
  </r>
  <r>
    <n v="1029"/>
    <s v="1029111"/>
    <d v="2023-09-18T06:10:11"/>
    <s v="type40"/>
    <n v="701.69"/>
    <x v="2"/>
    <d v="2023-09-25T06:10:11"/>
    <x v="5"/>
    <d v="2023-10-03T00:00:00"/>
    <n v="14.742928240739275"/>
    <x v="0"/>
    <x v="11"/>
    <n v="7.7429282407392748"/>
    <x v="11"/>
  </r>
  <r>
    <n v="1026"/>
    <s v="1026111"/>
    <d v="2023-09-22T06:10:11"/>
    <s v="type26"/>
    <n v="239.76"/>
    <x v="3"/>
    <d v="2023-09-24T06:10:11"/>
    <x v="5"/>
    <d v="2023-10-03T00:00:00"/>
    <n v="10.742928240739275"/>
    <x v="0"/>
    <x v="5"/>
    <n v="8.7429282407392748"/>
    <x v="5"/>
  </r>
  <r>
    <n v="1024"/>
    <s v="1024111"/>
    <d v="2023-09-23T06:10:11"/>
    <s v="type8"/>
    <n v="51.58"/>
    <x v="1"/>
    <d v="2023-09-25T06:10:11"/>
    <x v="5"/>
    <d v="2023-10-03T00:00:00"/>
    <n v="9.7429282407392748"/>
    <x v="0"/>
    <x v="11"/>
    <n v="7.7429282407392748"/>
    <x v="11"/>
  </r>
  <r>
    <n v="1029"/>
    <s v="1029111"/>
    <d v="2023-09-24T06:10:11"/>
    <s v="type40"/>
    <n v="9.74"/>
    <x v="1"/>
    <d v="2023-09-26T06:10:11"/>
    <x v="5"/>
    <d v="2023-10-03T00:00:00"/>
    <n v="8.7429282407392748"/>
    <x v="1"/>
    <x v="7"/>
    <n v="6.7429282407392748"/>
    <x v="7"/>
  </r>
  <r>
    <n v="1001"/>
    <s v="1001111"/>
    <d v="2023-09-25T06:10:11"/>
    <s v="type22"/>
    <n v="547.14"/>
    <x v="1"/>
    <d v="2023-09-27T06:10:11"/>
    <x v="3"/>
    <d v="2023-10-03T00:00:00"/>
    <n v="7.7429282407392748"/>
    <x v="1"/>
    <x v="12"/>
    <n v="5.7429282407392748"/>
    <x v="12"/>
  </r>
  <r>
    <n v="1029"/>
    <s v="1029111"/>
    <d v="2023-09-13T06:10:11"/>
    <s v="type10"/>
    <n v="64.5"/>
    <x v="2"/>
    <d v="2023-09-14T06:10:11"/>
    <x v="5"/>
    <d v="2023-10-03T00:00:00"/>
    <n v="19.742928240739275"/>
    <x v="0"/>
    <x v="20"/>
    <n v="18.742928240739275"/>
    <x v="20"/>
  </r>
  <r>
    <n v="1015"/>
    <s v="1015111"/>
    <d v="2023-09-27T06:10:11"/>
    <s v="type35"/>
    <n v="619.75"/>
    <x v="1"/>
    <d v="2023-10-02T06:10:11"/>
    <x v="2"/>
    <d v="2023-10-03T00:00:00"/>
    <n v="5.7429282407392748"/>
    <x v="2"/>
    <x v="15"/>
    <n v="0.74292824073927477"/>
    <x v="15"/>
  </r>
  <r>
    <n v="1027"/>
    <s v="1027111"/>
    <d v="2023-09-28T06:10:11"/>
    <s v="type27"/>
    <n v="771.29"/>
    <x v="3"/>
    <d v="2023-10-03T06:10:11"/>
    <x v="5"/>
    <d v="2023-10-03T00:00:00"/>
    <n v="4.7429282407392748"/>
    <x v="2"/>
    <x v="16"/>
    <n v="-0.25707175926072523"/>
    <x v="16"/>
  </r>
  <r>
    <n v="1031"/>
    <s v="1031111"/>
    <d v="2023-09-13T06:10:11"/>
    <s v="type40"/>
    <n v="-1485.02"/>
    <x v="6"/>
    <d v="2023-09-15T06:10:11"/>
    <x v="4"/>
    <d v="2023-10-03T00:00:00"/>
    <n v="19.742928240739275"/>
    <x v="0"/>
    <x v="0"/>
    <n v="17.742928240739275"/>
    <x v="0"/>
  </r>
  <r>
    <n v="1011"/>
    <s v="1011111"/>
    <d v="2023-09-16T06:10:11"/>
    <s v="type35"/>
    <n v="779.75"/>
    <x v="2"/>
    <d v="2023-09-18T06:10:11"/>
    <x v="1"/>
    <d v="2023-10-03T00:00:00"/>
    <n v="16.742928240739275"/>
    <x v="0"/>
    <x v="6"/>
    <n v="14.742928240739275"/>
    <x v="6"/>
  </r>
  <r>
    <n v="1020"/>
    <s v="1020111"/>
    <d v="2023-09-12T06:10:11"/>
    <s v="type40"/>
    <n v="13.63"/>
    <x v="3"/>
    <d v="2023-09-17T06:10:11"/>
    <x v="0"/>
    <d v="2023-10-03T00:00:00"/>
    <n v="20.742928240739275"/>
    <x v="0"/>
    <x v="4"/>
    <n v="15.742928240739275"/>
    <x v="4"/>
  </r>
  <r>
    <n v="1001"/>
    <s v="1001111"/>
    <d v="2023-09-13T06:10:11"/>
    <s v="type40"/>
    <n v="-1540.61"/>
    <x v="3"/>
    <d v="2023-09-18T06:10:11"/>
    <x v="3"/>
    <d v="2023-10-03T00:00:00"/>
    <n v="19.742928240739275"/>
    <x v="0"/>
    <x v="6"/>
    <n v="14.742928240739275"/>
    <x v="6"/>
  </r>
  <r>
    <n v="1021"/>
    <s v="1021111"/>
    <d v="2023-09-20T06:10:11"/>
    <s v="type7"/>
    <n v="1483.99"/>
    <x v="5"/>
    <d v="2023-09-22T06:10:11"/>
    <x v="0"/>
    <d v="2023-10-03T00:00:00"/>
    <n v="12.742928240739275"/>
    <x v="0"/>
    <x v="10"/>
    <n v="10.742928240739275"/>
    <x v="10"/>
  </r>
  <r>
    <n v="1020"/>
    <s v="1020111"/>
    <d v="2023-09-16T06:10:11"/>
    <s v="type40"/>
    <n v="-1204.0899999999999"/>
    <x v="4"/>
    <d v="2023-09-23T06:10:11"/>
    <x v="0"/>
    <d v="2023-10-03T00:00:00"/>
    <n v="16.742928240739275"/>
    <x v="0"/>
    <x v="3"/>
    <n v="9.7429282407392748"/>
    <x v="3"/>
  </r>
  <r>
    <n v="1028"/>
    <s v="1028111"/>
    <d v="2023-09-16T06:10:11"/>
    <s v="type40"/>
    <n v="-1007.99"/>
    <x v="6"/>
    <d v="2023-09-18T06:10:11"/>
    <x v="5"/>
    <d v="2023-10-03T00:00:00"/>
    <n v="16.742928240739275"/>
    <x v="0"/>
    <x v="6"/>
    <n v="14.742928240739275"/>
    <x v="6"/>
  </r>
  <r>
    <n v="1003"/>
    <s v="1003111"/>
    <d v="2023-09-21T06:10:11"/>
    <s v="type40"/>
    <n v="-560.37"/>
    <x v="5"/>
    <d v="2023-09-28T06:10:11"/>
    <x v="3"/>
    <d v="2023-10-03T00:00:00"/>
    <n v="11.742928240739275"/>
    <x v="0"/>
    <x v="8"/>
    <n v="4.7429282407392748"/>
    <x v="8"/>
  </r>
  <r>
    <n v="1024"/>
    <s v="1024111"/>
    <d v="2023-09-15T06:10:11"/>
    <s v="type13"/>
    <n v="25312.98"/>
    <x v="1"/>
    <d v="2023-09-22T06:10:11"/>
    <x v="5"/>
    <d v="2023-10-03T00:00:00"/>
    <n v="17.742928240739275"/>
    <x v="0"/>
    <x v="10"/>
    <n v="10.742928240739275"/>
    <x v="10"/>
  </r>
  <r>
    <n v="1028"/>
    <s v="1028111"/>
    <d v="2023-09-16T06:10:11"/>
    <s v="type22"/>
    <n v="1149.7"/>
    <x v="3"/>
    <d v="2023-09-23T06:10:11"/>
    <x v="5"/>
    <d v="2023-10-03T00:00:00"/>
    <n v="16.742928240739275"/>
    <x v="0"/>
    <x v="3"/>
    <n v="9.7429282407392748"/>
    <x v="3"/>
  </r>
  <r>
    <n v="1018"/>
    <s v="1018111"/>
    <d v="2023-09-16T06:10:11"/>
    <s v="type40"/>
    <n v="8.7799999999999994"/>
    <x v="1"/>
    <d v="2023-09-23T06:10:11"/>
    <x v="0"/>
    <d v="2023-10-03T00:00:00"/>
    <n v="16.742928240739275"/>
    <x v="0"/>
    <x v="3"/>
    <n v="9.7429282407392748"/>
    <x v="3"/>
  </r>
  <r>
    <n v="1004"/>
    <s v="1004111"/>
    <d v="2023-09-18T06:10:11"/>
    <s v="type40"/>
    <n v="-2598"/>
    <x v="6"/>
    <d v="2023-09-25T06:10:11"/>
    <x v="3"/>
    <d v="2023-10-03T00:00:00"/>
    <n v="14.742928240739275"/>
    <x v="0"/>
    <x v="11"/>
    <n v="7.7429282407392748"/>
    <x v="11"/>
  </r>
  <r>
    <n v="1019"/>
    <s v="1019111"/>
    <d v="2023-09-23T06:10:11"/>
    <s v="type5"/>
    <n v="645"/>
    <x v="6"/>
    <d v="2023-09-30T06:10:11"/>
    <x v="0"/>
    <d v="2023-10-03T00:00:00"/>
    <n v="9.7429282407392748"/>
    <x v="0"/>
    <x v="14"/>
    <n v="2.7429282407392748"/>
    <x v="14"/>
  </r>
  <r>
    <n v="1006"/>
    <s v="1006111"/>
    <d v="2023-09-18T06:10:11"/>
    <s v="type9"/>
    <n v="50.85"/>
    <x v="3"/>
    <d v="2023-09-25T06:10:11"/>
    <x v="1"/>
    <d v="2023-10-03T00:00:00"/>
    <n v="14.742928240739275"/>
    <x v="0"/>
    <x v="11"/>
    <n v="7.7429282407392748"/>
    <x v="11"/>
  </r>
  <r>
    <n v="1000"/>
    <s v="1000111"/>
    <d v="2023-09-11T06:10:11"/>
    <s v="type7"/>
    <n v="-1340.8"/>
    <x v="6"/>
    <d v="2023-09-12T06:10:11"/>
    <x v="3"/>
    <d v="2023-10-03T00:00:00"/>
    <n v="21.742928240739275"/>
    <x v="0"/>
    <x v="18"/>
    <n v="20.742928240739275"/>
    <x v="18"/>
  </r>
  <r>
    <n v="1013"/>
    <s v="1013111"/>
    <d v="2023-09-18T06:10:11"/>
    <s v="type40"/>
    <n v="-607.73"/>
    <x v="4"/>
    <d v="2023-09-20T06:10:11"/>
    <x v="2"/>
    <d v="2023-10-03T00:00:00"/>
    <n v="14.742928240739275"/>
    <x v="0"/>
    <x v="9"/>
    <n v="12.742928240739275"/>
    <x v="9"/>
  </r>
  <r>
    <n v="1011"/>
    <s v="1011111"/>
    <d v="2023-09-16T06:10:11"/>
    <s v="type40"/>
    <n v="585.23"/>
    <x v="5"/>
    <d v="2023-09-17T06:10:11"/>
    <x v="1"/>
    <d v="2023-10-03T00:00:00"/>
    <n v="16.742928240739275"/>
    <x v="0"/>
    <x v="4"/>
    <n v="15.742928240739275"/>
    <x v="4"/>
  </r>
  <r>
    <n v="1013"/>
    <s v="1013111"/>
    <d v="2023-09-20T06:10:11"/>
    <s v="type13"/>
    <n v="30624.39"/>
    <x v="4"/>
    <d v="2023-09-22T06:10:11"/>
    <x v="2"/>
    <d v="2023-10-03T00:00:00"/>
    <n v="12.742928240739275"/>
    <x v="0"/>
    <x v="10"/>
    <n v="10.742928240739275"/>
    <x v="10"/>
  </r>
  <r>
    <n v="1014"/>
    <s v="1014111"/>
    <d v="2023-09-18T06:10:11"/>
    <s v="type40"/>
    <n v="977.81"/>
    <x v="5"/>
    <d v="2023-09-19T06:10:11"/>
    <x v="2"/>
    <d v="2023-10-03T00:00:00"/>
    <n v="14.742928240739275"/>
    <x v="0"/>
    <x v="19"/>
    <n v="13.742928240739275"/>
    <x v="19"/>
  </r>
  <r>
    <n v="1033"/>
    <s v="1033111"/>
    <d v="2023-09-22T06:10:11"/>
    <s v="type41"/>
    <n v="260.74"/>
    <x v="1"/>
    <d v="2023-09-29T06:10:11"/>
    <x v="4"/>
    <d v="2023-10-03T00:00:00"/>
    <n v="10.742928240739275"/>
    <x v="0"/>
    <x v="13"/>
    <n v="3.7429282407392748"/>
    <x v="13"/>
  </r>
  <r>
    <n v="1026"/>
    <s v="1026111"/>
    <d v="2023-09-23T06:10:11"/>
    <s v="type38"/>
    <n v="151.29"/>
    <x v="3"/>
    <d v="2023-09-30T06:10:11"/>
    <x v="5"/>
    <d v="2023-10-03T00:00:00"/>
    <n v="9.7429282407392748"/>
    <x v="0"/>
    <x v="14"/>
    <n v="2.7429282407392748"/>
    <x v="14"/>
  </r>
  <r>
    <n v="1030"/>
    <s v="1030111"/>
    <d v="2023-09-21T06:10:11"/>
    <s v="type7"/>
    <n v="1730.68"/>
    <x v="5"/>
    <d v="2023-09-22T06:10:11"/>
    <x v="4"/>
    <d v="2023-10-03T00:00:00"/>
    <n v="11.742928240739275"/>
    <x v="0"/>
    <x v="10"/>
    <n v="10.742928240739275"/>
    <x v="10"/>
  </r>
  <r>
    <n v="1034"/>
    <s v="1034111"/>
    <d v="2023-09-25T06:10:11"/>
    <s v="type40"/>
    <n v="21.45"/>
    <x v="3"/>
    <d v="2023-10-02T06:10:11"/>
    <x v="4"/>
    <d v="2023-10-03T00:00:00"/>
    <n v="7.7429282407392748"/>
    <x v="1"/>
    <x v="15"/>
    <n v="0.74292824073927477"/>
    <x v="15"/>
  </r>
  <r>
    <n v="1034"/>
    <s v="1034111"/>
    <d v="2023-09-21T06:10:11"/>
    <s v="type40"/>
    <n v="-361.27"/>
    <x v="2"/>
    <d v="2023-09-23T06:10:11"/>
    <x v="4"/>
    <d v="2023-10-03T00:00:00"/>
    <n v="11.742928240739275"/>
    <x v="0"/>
    <x v="3"/>
    <n v="9.7429282407392748"/>
    <x v="3"/>
  </r>
  <r>
    <n v="1026"/>
    <s v="1026111"/>
    <d v="2023-09-20T06:10:11"/>
    <s v="type13"/>
    <n v="27654.48"/>
    <x v="4"/>
    <d v="2023-09-22T06:10:11"/>
    <x v="5"/>
    <d v="2023-10-03T00:00:00"/>
    <n v="12.742928240739275"/>
    <x v="0"/>
    <x v="10"/>
    <n v="10.742928240739275"/>
    <x v="10"/>
  </r>
  <r>
    <n v="1032"/>
    <s v="1032111"/>
    <d v="2023-09-16T06:10:11"/>
    <s v="type13"/>
    <n v="26049.75"/>
    <x v="5"/>
    <d v="2023-09-17T06:10:11"/>
    <x v="4"/>
    <d v="2023-10-03T00:00:00"/>
    <n v="16.742928240739275"/>
    <x v="0"/>
    <x v="4"/>
    <n v="15.742928240739275"/>
    <x v="4"/>
  </r>
  <r>
    <n v="1010"/>
    <s v="1010111"/>
    <d v="2023-09-17T06:10:11"/>
    <s v="type40"/>
    <n v="-749.25"/>
    <x v="5"/>
    <d v="2023-09-19T06:10:11"/>
    <x v="1"/>
    <d v="2023-10-03T00:00:00"/>
    <n v="15.742928240739275"/>
    <x v="0"/>
    <x v="19"/>
    <n v="13.742928240739275"/>
    <x v="19"/>
  </r>
  <r>
    <n v="1028"/>
    <s v="1028111"/>
    <d v="2023-09-18T06:10:11"/>
    <s v="type2"/>
    <n v="1122"/>
    <x v="5"/>
    <d v="2023-09-20T06:10:11"/>
    <x v="5"/>
    <d v="2023-10-03T00:00:00"/>
    <n v="14.742928240739275"/>
    <x v="0"/>
    <x v="9"/>
    <n v="12.742928240739275"/>
    <x v="9"/>
  </r>
  <r>
    <n v="1025"/>
    <s v="1025111"/>
    <d v="2023-09-18T06:10:11"/>
    <s v="type40"/>
    <n v="-328.13"/>
    <x v="6"/>
    <d v="2023-09-19T06:10:11"/>
    <x v="5"/>
    <d v="2023-10-03T00:00:00"/>
    <n v="14.742928240739275"/>
    <x v="0"/>
    <x v="19"/>
    <n v="13.742928240739275"/>
    <x v="19"/>
  </r>
  <r>
    <n v="1023"/>
    <s v="1023111"/>
    <d v="2023-09-18T06:10:11"/>
    <s v="type38"/>
    <n v="157.75"/>
    <x v="1"/>
    <d v="2023-09-19T06:10:11"/>
    <x v="0"/>
    <d v="2023-10-03T00:00:00"/>
    <n v="14.742928240739275"/>
    <x v="0"/>
    <x v="19"/>
    <n v="13.742928240739275"/>
    <x v="19"/>
  </r>
  <r>
    <n v="1011"/>
    <s v="1011111"/>
    <d v="2023-09-19T06:10:11"/>
    <s v="type38"/>
    <n v="159.13"/>
    <x v="1"/>
    <d v="2023-09-20T06:10:11"/>
    <x v="1"/>
    <d v="2023-10-03T00:00:00"/>
    <n v="13.742928240739275"/>
    <x v="0"/>
    <x v="9"/>
    <n v="12.742928240739275"/>
    <x v="9"/>
  </r>
  <r>
    <n v="1023"/>
    <s v="1023111"/>
    <d v="2023-09-18T06:10:11"/>
    <s v="type13"/>
    <n v="18645.75"/>
    <x v="5"/>
    <d v="2023-09-20T06:10:11"/>
    <x v="0"/>
    <d v="2023-10-03T00:00:00"/>
    <n v="14.742928240739275"/>
    <x v="0"/>
    <x v="9"/>
    <n v="12.742928240739275"/>
    <x v="9"/>
  </r>
  <r>
    <n v="1016"/>
    <s v="1016111"/>
    <d v="2023-09-20T06:10:11"/>
    <s v="type40"/>
    <n v="-2995.66"/>
    <x v="5"/>
    <d v="2023-09-22T06:10:11"/>
    <x v="2"/>
    <d v="2023-10-03T00:00:00"/>
    <n v="12.742928240739275"/>
    <x v="0"/>
    <x v="10"/>
    <n v="10.742928240739275"/>
    <x v="10"/>
  </r>
  <r>
    <n v="1011"/>
    <s v="1011111"/>
    <d v="2023-09-23T06:10:11"/>
    <s v="type40"/>
    <n v="308.85000000000002"/>
    <x v="5"/>
    <d v="2023-09-25T06:10:11"/>
    <x v="1"/>
    <d v="2023-10-03T00:00:00"/>
    <n v="9.7429282407392748"/>
    <x v="0"/>
    <x v="11"/>
    <n v="7.7429282407392748"/>
    <x v="11"/>
  </r>
  <r>
    <n v="1014"/>
    <s v="1014111"/>
    <d v="2023-09-18T06:10:11"/>
    <s v="type40"/>
    <n v="535.53"/>
    <x v="2"/>
    <d v="2023-09-23T06:10:11"/>
    <x v="2"/>
    <d v="2023-10-03T00:00:00"/>
    <n v="14.742928240739275"/>
    <x v="0"/>
    <x v="3"/>
    <n v="9.7429282407392748"/>
    <x v="3"/>
  </r>
  <r>
    <n v="1012"/>
    <s v="1012111"/>
    <d v="2023-09-21T06:10:11"/>
    <s v="type40"/>
    <n v="4788.04"/>
    <x v="6"/>
    <d v="2023-09-23T06:10:11"/>
    <x v="2"/>
    <d v="2023-10-03T00:00:00"/>
    <n v="11.742928240739275"/>
    <x v="0"/>
    <x v="3"/>
    <n v="9.7429282407392748"/>
    <x v="3"/>
  </r>
  <r>
    <n v="1027"/>
    <s v="1027111"/>
    <d v="2023-09-23T06:10:11"/>
    <s v="type13"/>
    <n v="26414.09"/>
    <x v="1"/>
    <d v="2023-09-24T06:10:11"/>
    <x v="5"/>
    <d v="2023-10-03T00:00:00"/>
    <n v="9.7429282407392748"/>
    <x v="0"/>
    <x v="5"/>
    <n v="8.7429282407392748"/>
    <x v="5"/>
  </r>
  <r>
    <n v="1019"/>
    <s v="1019111"/>
    <d v="2023-09-12T06:10:11"/>
    <s v="type13"/>
    <n v="28769.5"/>
    <x v="5"/>
    <d v="2023-09-19T06:10:11"/>
    <x v="0"/>
    <d v="2023-10-03T00:00:00"/>
    <n v="20.742928240739275"/>
    <x v="0"/>
    <x v="19"/>
    <n v="13.742928240739275"/>
    <x v="19"/>
  </r>
  <r>
    <n v="1000"/>
    <s v="1000111"/>
    <d v="2023-09-13T06:10:11"/>
    <s v="type40"/>
    <n v="-800.88"/>
    <x v="5"/>
    <d v="2023-09-20T06:10:11"/>
    <x v="3"/>
    <d v="2023-10-03T00:00:00"/>
    <n v="19.742928240739275"/>
    <x v="0"/>
    <x v="9"/>
    <n v="12.742928240739275"/>
    <x v="9"/>
  </r>
  <r>
    <n v="1009"/>
    <s v="1009111"/>
    <d v="2023-09-26T06:10:11"/>
    <s v="type38"/>
    <n v="346.2"/>
    <x v="1"/>
    <d v="2023-09-27T06:10:11"/>
    <x v="1"/>
    <d v="2023-10-03T00:00:00"/>
    <n v="6.7429282407392748"/>
    <x v="1"/>
    <x v="12"/>
    <n v="5.7429282407392748"/>
    <x v="12"/>
  </r>
  <r>
    <n v="1008"/>
    <s v="1008111"/>
    <d v="2023-09-27T06:10:11"/>
    <s v="type38"/>
    <n v="282.14"/>
    <x v="3"/>
    <d v="2023-09-28T06:10:11"/>
    <x v="1"/>
    <d v="2023-10-03T00:00:00"/>
    <n v="5.7429282407392748"/>
    <x v="2"/>
    <x v="8"/>
    <n v="4.7429282407392748"/>
    <x v="8"/>
  </r>
  <r>
    <n v="1010"/>
    <s v="1010111"/>
    <d v="2023-09-18T06:10:11"/>
    <s v="type13"/>
    <n v="20806.43"/>
    <x v="5"/>
    <d v="2023-09-19T06:10:11"/>
    <x v="1"/>
    <d v="2023-10-03T00:00:00"/>
    <n v="14.742928240739275"/>
    <x v="0"/>
    <x v="19"/>
    <n v="13.742928240739275"/>
    <x v="19"/>
  </r>
  <r>
    <n v="1001"/>
    <s v="1001111"/>
    <d v="2023-09-10T06:10:11"/>
    <s v="type38"/>
    <n v="277.88"/>
    <x v="1"/>
    <d v="2023-09-12T06:10:11"/>
    <x v="3"/>
    <d v="2023-10-03T00:00:00"/>
    <n v="22.742928240739275"/>
    <x v="0"/>
    <x v="18"/>
    <n v="20.742928240739275"/>
    <x v="18"/>
  </r>
  <r>
    <n v="1013"/>
    <s v="1013111"/>
    <d v="2023-09-22T06:10:11"/>
    <s v="type43"/>
    <n v="522.22"/>
    <x v="4"/>
    <d v="2023-09-24T06:10:11"/>
    <x v="2"/>
    <d v="2023-10-03T00:00:00"/>
    <n v="10.742928240739275"/>
    <x v="0"/>
    <x v="5"/>
    <n v="8.7429282407392748"/>
    <x v="5"/>
  </r>
  <r>
    <n v="1011"/>
    <s v="1011111"/>
    <d v="2023-09-22T06:10:11"/>
    <s v="type13"/>
    <n v="21306.720000000001"/>
    <x v="4"/>
    <d v="2023-09-24T06:10:11"/>
    <x v="1"/>
    <d v="2023-10-03T00:00:00"/>
    <n v="10.742928240739275"/>
    <x v="0"/>
    <x v="5"/>
    <n v="8.7429282407392748"/>
    <x v="5"/>
  </r>
  <r>
    <n v="1007"/>
    <s v="1007111"/>
    <d v="2023-09-13T06:10:11"/>
    <s v="type38"/>
    <n v="333.43"/>
    <x v="1"/>
    <d v="2023-09-15T06:10:11"/>
    <x v="1"/>
    <d v="2023-10-03T00:00:00"/>
    <n v="19.742928240739275"/>
    <x v="0"/>
    <x v="0"/>
    <n v="17.742928240739275"/>
    <x v="0"/>
  </r>
  <r>
    <n v="1020"/>
    <s v="1020111"/>
    <d v="2023-09-13T06:10:11"/>
    <s v="type38"/>
    <n v="194.05"/>
    <x v="3"/>
    <d v="2023-09-15T06:10:11"/>
    <x v="0"/>
    <d v="2023-10-03T00:00:00"/>
    <n v="19.742928240739275"/>
    <x v="0"/>
    <x v="0"/>
    <n v="17.742928240739275"/>
    <x v="0"/>
  </r>
  <r>
    <n v="1021"/>
    <s v="1021111"/>
    <d v="2023-09-14T06:10:11"/>
    <s v="type54"/>
    <n v="-99.01"/>
    <x v="3"/>
    <d v="2023-09-16T06:10:11"/>
    <x v="0"/>
    <d v="2023-10-03T00:00:00"/>
    <n v="18.742928240739275"/>
    <x v="0"/>
    <x v="2"/>
    <n v="16.742928240739275"/>
    <x v="2"/>
  </r>
  <r>
    <n v="1020"/>
    <s v="1020111"/>
    <d v="2023-09-14T06:10:11"/>
    <s v="type13"/>
    <n v="26948.35"/>
    <x v="3"/>
    <d v="2023-09-16T06:10:11"/>
    <x v="0"/>
    <d v="2023-10-03T00:00:00"/>
    <n v="18.742928240739275"/>
    <x v="0"/>
    <x v="2"/>
    <n v="16.742928240739275"/>
    <x v="2"/>
  </r>
  <r>
    <n v="1013"/>
    <s v="1013111"/>
    <d v="2023-09-19T06:10:11"/>
    <s v="type40"/>
    <n v="425.15"/>
    <x v="6"/>
    <d v="2023-09-21T06:10:11"/>
    <x v="2"/>
    <d v="2023-10-03T00:00:00"/>
    <n v="13.742928240739275"/>
    <x v="0"/>
    <x v="1"/>
    <n v="11.742928240739275"/>
    <x v="1"/>
  </r>
  <r>
    <n v="1028"/>
    <s v="1028111"/>
    <d v="2023-09-19T06:10:11"/>
    <s v="type40"/>
    <n v="49.5"/>
    <x v="2"/>
    <d v="2023-09-24T06:10:11"/>
    <x v="5"/>
    <d v="2023-10-03T00:00:00"/>
    <n v="13.742928240739275"/>
    <x v="0"/>
    <x v="5"/>
    <n v="8.7429282407392748"/>
    <x v="5"/>
  </r>
  <r>
    <n v="1028"/>
    <s v="1028111"/>
    <d v="2023-09-13T06:10:11"/>
    <s v="type7"/>
    <n v="1340.8"/>
    <x v="6"/>
    <d v="2023-09-18T06:10:11"/>
    <x v="5"/>
    <d v="2023-10-03T00:00:00"/>
    <n v="19.742928240739275"/>
    <x v="0"/>
    <x v="6"/>
    <n v="14.742928240739275"/>
    <x v="6"/>
  </r>
  <r>
    <n v="1001"/>
    <s v="1001111"/>
    <d v="2023-09-13T06:10:11"/>
    <s v="type40"/>
    <n v="-1098.9100000000001"/>
    <x v="6"/>
    <d v="2023-09-18T06:10:11"/>
    <x v="3"/>
    <d v="2023-10-03T00:00:00"/>
    <n v="19.742928240739275"/>
    <x v="0"/>
    <x v="6"/>
    <n v="14.742928240739275"/>
    <x v="6"/>
  </r>
  <r>
    <n v="1013"/>
    <s v="1013111"/>
    <d v="2023-09-17T06:10:11"/>
    <s v="type38"/>
    <n v="213.99"/>
    <x v="1"/>
    <d v="2023-09-19T06:10:11"/>
    <x v="2"/>
    <d v="2023-10-03T00:00:00"/>
    <n v="15.742928240739275"/>
    <x v="0"/>
    <x v="19"/>
    <n v="13.742928240739275"/>
    <x v="19"/>
  </r>
  <r>
    <n v="1001"/>
    <s v="1001111"/>
    <d v="2023-09-14T06:10:11"/>
    <s v="type40"/>
    <n v="-343.63"/>
    <x v="6"/>
    <d v="2023-09-19T06:10:11"/>
    <x v="3"/>
    <d v="2023-10-03T00:00:00"/>
    <n v="18.742928240739275"/>
    <x v="0"/>
    <x v="19"/>
    <n v="13.742928240739275"/>
    <x v="19"/>
  </r>
  <r>
    <n v="1029"/>
    <s v="1029111"/>
    <d v="2023-09-13T06:10:11"/>
    <s v="type40"/>
    <n v="-823.5"/>
    <x v="2"/>
    <d v="2023-09-20T06:10:11"/>
    <x v="5"/>
    <d v="2023-10-03T00:00:00"/>
    <n v="19.742928240739275"/>
    <x v="0"/>
    <x v="9"/>
    <n v="12.742928240739275"/>
    <x v="9"/>
  </r>
  <r>
    <n v="1020"/>
    <s v="1020111"/>
    <d v="2023-09-19T06:10:11"/>
    <s v="type27"/>
    <n v="791.03"/>
    <x v="1"/>
    <d v="2023-09-21T06:10:11"/>
    <x v="0"/>
    <d v="2023-10-03T00:00:00"/>
    <n v="13.742928240739275"/>
    <x v="0"/>
    <x v="1"/>
    <n v="11.742928240739275"/>
    <x v="1"/>
  </r>
  <r>
    <n v="1027"/>
    <s v="1027111"/>
    <d v="2023-09-20T06:10:11"/>
    <s v="type13"/>
    <n v="14932.74"/>
    <x v="5"/>
    <d v="2023-09-21T06:10:11"/>
    <x v="5"/>
    <d v="2023-10-03T00:00:00"/>
    <n v="12.742928240739275"/>
    <x v="0"/>
    <x v="1"/>
    <n v="11.742928240739275"/>
    <x v="1"/>
  </r>
  <r>
    <n v="1021"/>
    <s v="1021111"/>
    <d v="2023-09-20T06:10:11"/>
    <s v="type40"/>
    <n v="26.83"/>
    <x v="3"/>
    <d v="2023-09-22T06:10:11"/>
    <x v="0"/>
    <d v="2023-10-03T00:00:00"/>
    <n v="12.742928240739275"/>
    <x v="0"/>
    <x v="10"/>
    <n v="10.742928240739275"/>
    <x v="10"/>
  </r>
  <r>
    <n v="1028"/>
    <s v="1028111"/>
    <d v="2023-09-21T06:10:11"/>
    <s v="type40"/>
    <n v="19.16"/>
    <x v="3"/>
    <d v="2023-09-23T06:10:11"/>
    <x v="5"/>
    <d v="2023-10-03T00:00:00"/>
    <n v="11.742928240739275"/>
    <x v="0"/>
    <x v="3"/>
    <n v="9.7429282407392748"/>
    <x v="3"/>
  </r>
  <r>
    <n v="1005"/>
    <s v="1005111"/>
    <d v="2023-09-17T06:10:11"/>
    <s v="type40"/>
    <n v="-1316.69"/>
    <x v="5"/>
    <d v="2023-09-18T06:10:11"/>
    <x v="3"/>
    <d v="2023-10-03T00:00:00"/>
    <n v="15.742928240739275"/>
    <x v="0"/>
    <x v="6"/>
    <n v="14.742928240739275"/>
    <x v="6"/>
  </r>
  <r>
    <n v="1005"/>
    <s v="1005111"/>
    <d v="2023-09-18T06:10:11"/>
    <s v="type40"/>
    <n v="376.91"/>
    <x v="4"/>
    <d v="2023-09-25T06:10:11"/>
    <x v="3"/>
    <d v="2023-10-03T00:00:00"/>
    <n v="14.742928240739275"/>
    <x v="0"/>
    <x v="11"/>
    <n v="7.7429282407392748"/>
    <x v="11"/>
  </r>
  <r>
    <n v="1016"/>
    <s v="1016111"/>
    <d v="2023-09-20T06:10:11"/>
    <s v="type40"/>
    <n v="-426.51"/>
    <x v="6"/>
    <d v="2023-09-27T06:10:11"/>
    <x v="2"/>
    <d v="2023-10-03T00:00:00"/>
    <n v="12.742928240739275"/>
    <x v="0"/>
    <x v="12"/>
    <n v="5.7429282407392748"/>
    <x v="12"/>
  </r>
  <r>
    <n v="1029"/>
    <s v="1029111"/>
    <d v="2023-09-24T06:10:11"/>
    <s v="type40"/>
    <n v="-389.63"/>
    <x v="1"/>
    <d v="2023-09-29T06:10:11"/>
    <x v="5"/>
    <d v="2023-10-03T00:00:00"/>
    <n v="8.7429282407392748"/>
    <x v="1"/>
    <x v="13"/>
    <n v="3.7429282407392748"/>
    <x v="13"/>
  </r>
  <r>
    <n v="1033"/>
    <s v="1033111"/>
    <d v="2023-09-20T06:10:11"/>
    <s v="type13"/>
    <n v="28024.52"/>
    <x v="5"/>
    <d v="2023-09-22T06:10:11"/>
    <x v="4"/>
    <d v="2023-10-03T00:00:00"/>
    <n v="12.742928240739275"/>
    <x v="0"/>
    <x v="10"/>
    <n v="10.742928240739275"/>
    <x v="10"/>
  </r>
  <r>
    <n v="1035"/>
    <s v="1035111"/>
    <d v="2023-09-23T06:10:11"/>
    <s v="type40"/>
    <n v="411.99"/>
    <x v="4"/>
    <d v="2023-09-30T06:10:11"/>
    <x v="4"/>
    <d v="2023-10-03T00:00:00"/>
    <n v="9.7429282407392748"/>
    <x v="0"/>
    <x v="14"/>
    <n v="2.7429282407392748"/>
    <x v="14"/>
  </r>
  <r>
    <n v="1007"/>
    <s v="1007111"/>
    <d v="2023-09-16T06:10:11"/>
    <s v="type40"/>
    <n v="-1060.1600000000001"/>
    <x v="6"/>
    <d v="2023-09-17T06:10:11"/>
    <x v="1"/>
    <d v="2023-10-03T00:00:00"/>
    <n v="16.742928240739275"/>
    <x v="0"/>
    <x v="4"/>
    <n v="15.742928240739275"/>
    <x v="4"/>
  </r>
  <r>
    <n v="1021"/>
    <s v="1021111"/>
    <d v="2023-09-28T06:10:11"/>
    <s v="type40"/>
    <n v="11.4"/>
    <x v="1"/>
    <d v="2023-10-03T06:10:11"/>
    <x v="0"/>
    <d v="2023-10-03T00:00:00"/>
    <n v="4.7429282407392748"/>
    <x v="2"/>
    <x v="16"/>
    <n v="-0.25707175926072523"/>
    <x v="16"/>
  </r>
  <r>
    <n v="1033"/>
    <s v="1033111"/>
    <d v="2023-09-16T06:10:11"/>
    <s v="type40"/>
    <n v="-433.5"/>
    <x v="1"/>
    <d v="2023-09-21T06:10:11"/>
    <x v="4"/>
    <d v="2023-10-03T00:00:00"/>
    <n v="16.742928240739275"/>
    <x v="0"/>
    <x v="1"/>
    <n v="11.742928240739275"/>
    <x v="1"/>
  </r>
  <r>
    <n v="1007"/>
    <s v="1007111"/>
    <d v="2023-09-14T06:10:11"/>
    <s v="type40"/>
    <n v="-2270.44"/>
    <x v="2"/>
    <d v="2023-09-21T06:10:11"/>
    <x v="1"/>
    <d v="2023-10-03T00:00:00"/>
    <n v="18.742928240739275"/>
    <x v="0"/>
    <x v="1"/>
    <n v="11.742928240739275"/>
    <x v="1"/>
  </r>
  <r>
    <n v="1024"/>
    <s v="1024111"/>
    <d v="2023-09-20T06:10:11"/>
    <s v="type40"/>
    <n v="429.91"/>
    <x v="6"/>
    <d v="2023-09-21T06:10:11"/>
    <x v="5"/>
    <d v="2023-10-03T00:00:00"/>
    <n v="12.742928240739275"/>
    <x v="0"/>
    <x v="1"/>
    <n v="11.742928240739275"/>
    <x v="1"/>
  </r>
  <r>
    <n v="1029"/>
    <s v="1029111"/>
    <d v="2023-09-21T06:10:11"/>
    <s v="type38"/>
    <n v="154.61000000000001"/>
    <x v="6"/>
    <d v="2023-09-22T06:10:11"/>
    <x v="5"/>
    <d v="2023-10-03T00:00:00"/>
    <n v="11.742928240739275"/>
    <x v="0"/>
    <x v="10"/>
    <n v="10.742928240739275"/>
    <x v="10"/>
  </r>
  <r>
    <n v="1034"/>
    <s v="1034111"/>
    <d v="2023-09-19T06:10:11"/>
    <s v="type13"/>
    <n v="30739.56"/>
    <x v="3"/>
    <d v="2023-09-26T06:10:11"/>
    <x v="4"/>
    <d v="2023-10-03T00:00:00"/>
    <n v="13.742928240739275"/>
    <x v="0"/>
    <x v="7"/>
    <n v="6.7429282407392748"/>
    <x v="7"/>
  </r>
  <r>
    <n v="1003"/>
    <s v="1003111"/>
    <d v="2023-09-17T06:10:11"/>
    <s v="type40"/>
    <n v="-678.98"/>
    <x v="4"/>
    <d v="2023-09-18T06:10:11"/>
    <x v="3"/>
    <d v="2023-10-03T00:00:00"/>
    <n v="15.742928240739275"/>
    <x v="0"/>
    <x v="6"/>
    <n v="14.742928240739275"/>
    <x v="6"/>
  </r>
  <r>
    <n v="1013"/>
    <s v="1013111"/>
    <d v="2023-09-14T06:10:11"/>
    <s v="type40"/>
    <n v="-499.71"/>
    <x v="6"/>
    <d v="2023-09-16T06:10:11"/>
    <x v="2"/>
    <d v="2023-10-03T00:00:00"/>
    <n v="18.742928240739275"/>
    <x v="0"/>
    <x v="2"/>
    <n v="16.742928240739275"/>
    <x v="2"/>
  </r>
  <r>
    <n v="1016"/>
    <s v="1016111"/>
    <d v="2023-09-17T06:10:11"/>
    <s v="type40"/>
    <n v="4442.04"/>
    <x v="2"/>
    <d v="2023-09-24T06:10:11"/>
    <x v="2"/>
    <d v="2023-10-03T00:00:00"/>
    <n v="15.742928240739275"/>
    <x v="0"/>
    <x v="5"/>
    <n v="8.7429282407392748"/>
    <x v="5"/>
  </r>
  <r>
    <n v="1014"/>
    <s v="1014111"/>
    <d v="2023-09-21T06:10:11"/>
    <s v="type40"/>
    <n v="754.28"/>
    <x v="5"/>
    <d v="2023-09-23T06:10:11"/>
    <x v="2"/>
    <d v="2023-10-03T00:00:00"/>
    <n v="11.742928240739275"/>
    <x v="0"/>
    <x v="3"/>
    <n v="9.7429282407392748"/>
    <x v="3"/>
  </r>
  <r>
    <n v="1014"/>
    <s v="1014111"/>
    <d v="2023-09-21T06:10:11"/>
    <s v="type38"/>
    <n v="370.73"/>
    <x v="4"/>
    <d v="2023-09-22T06:10:11"/>
    <x v="2"/>
    <d v="2023-10-03T00:00:00"/>
    <n v="11.742928240739275"/>
    <x v="0"/>
    <x v="10"/>
    <n v="10.742928240739275"/>
    <x v="10"/>
  </r>
  <r>
    <n v="1004"/>
    <s v="1004111"/>
    <d v="2023-09-21T06:10:11"/>
    <s v="type13"/>
    <n v="30185.32"/>
    <x v="4"/>
    <d v="2023-09-22T06:10:11"/>
    <x v="3"/>
    <d v="2023-10-03T00:00:00"/>
    <n v="11.742928240739275"/>
    <x v="0"/>
    <x v="10"/>
    <n v="10.742928240739275"/>
    <x v="10"/>
  </r>
  <r>
    <n v="1033"/>
    <s v="1033111"/>
    <d v="2023-09-17T06:10:11"/>
    <s v="type13"/>
    <n v="14852.38"/>
    <x v="6"/>
    <d v="2023-09-19T06:10:11"/>
    <x v="4"/>
    <d v="2023-10-03T00:00:00"/>
    <n v="15.742928240739275"/>
    <x v="0"/>
    <x v="19"/>
    <n v="13.742928240739275"/>
    <x v="19"/>
  </r>
  <r>
    <n v="1013"/>
    <s v="1013111"/>
    <d v="2023-09-25T06:10:11"/>
    <s v="type38"/>
    <n v="155.63"/>
    <x v="1"/>
    <d v="2023-10-02T06:10:11"/>
    <x v="2"/>
    <d v="2023-10-03T00:00:00"/>
    <n v="7.7429282407392748"/>
    <x v="1"/>
    <x v="15"/>
    <n v="0.74292824073927477"/>
    <x v="15"/>
  </r>
  <r>
    <n v="1028"/>
    <s v="1028111"/>
    <d v="2023-09-20T06:10:11"/>
    <s v="type40"/>
    <n v="-741.95"/>
    <x v="2"/>
    <d v="2023-09-22T06:10:11"/>
    <x v="5"/>
    <d v="2023-10-03T00:00:00"/>
    <n v="12.742928240739275"/>
    <x v="0"/>
    <x v="10"/>
    <n v="10.742928240739275"/>
    <x v="10"/>
  </r>
  <r>
    <n v="1020"/>
    <s v="1020111"/>
    <d v="2023-09-27T06:10:11"/>
    <s v="type38"/>
    <n v="215.84"/>
    <x v="3"/>
    <d v="2023-10-04T06:10:11"/>
    <x v="0"/>
    <d v="2023-10-03T00:00:00"/>
    <n v="5.7429282407392748"/>
    <x v="2"/>
    <x v="23"/>
    <n v="-1.2570717592607252"/>
    <x v="23"/>
  </r>
  <r>
    <n v="1011"/>
    <s v="1011111"/>
    <d v="2023-09-28T06:10:11"/>
    <s v="type38"/>
    <n v="167.55"/>
    <x v="1"/>
    <d v="2023-10-05T06:10:11"/>
    <x v="1"/>
    <d v="2023-10-03T00:00:00"/>
    <n v="4.7429282407392748"/>
    <x v="2"/>
    <x v="17"/>
    <n v="-2.2570717592607252"/>
    <x v="17"/>
  </r>
  <r>
    <n v="1009"/>
    <s v="1009111"/>
    <d v="2023-09-10T06:10:11"/>
    <s v="type10"/>
    <n v="30"/>
    <x v="2"/>
    <d v="2023-09-12T06:10:11"/>
    <x v="1"/>
    <d v="2023-10-03T00:00:00"/>
    <n v="22.742928240739275"/>
    <x v="0"/>
    <x v="18"/>
    <n v="20.742928240739275"/>
    <x v="18"/>
  </r>
  <r>
    <n v="1024"/>
    <s v="1024111"/>
    <d v="2023-09-12T06:10:11"/>
    <s v="type5"/>
    <n v="1220"/>
    <x v="2"/>
    <d v="2023-09-14T06:10:11"/>
    <x v="5"/>
    <d v="2023-10-03T00:00:00"/>
    <n v="20.742928240739275"/>
    <x v="0"/>
    <x v="20"/>
    <n v="18.742928240739275"/>
    <x v="20"/>
  </r>
  <r>
    <n v="1018"/>
    <s v="1018111"/>
    <d v="2023-09-17T06:10:11"/>
    <s v="type40"/>
    <n v="406.73"/>
    <x v="2"/>
    <d v="2023-09-22T06:10:11"/>
    <x v="0"/>
    <d v="2023-10-03T00:00:00"/>
    <n v="15.742928240739275"/>
    <x v="0"/>
    <x v="10"/>
    <n v="10.742928240739275"/>
    <x v="10"/>
  </r>
  <r>
    <n v="1002"/>
    <s v="1002111"/>
    <d v="2023-09-23T06:10:11"/>
    <s v="type40"/>
    <n v="380"/>
    <x v="5"/>
    <d v="2023-09-30T06:10:11"/>
    <x v="3"/>
    <d v="2023-10-03T00:00:00"/>
    <n v="9.7429282407392748"/>
    <x v="0"/>
    <x v="14"/>
    <n v="2.7429282407392748"/>
    <x v="14"/>
  </r>
  <r>
    <n v="1024"/>
    <s v="1024111"/>
    <d v="2023-09-10T06:10:11"/>
    <s v="type36"/>
    <n v="215.24"/>
    <x v="5"/>
    <d v="2023-09-17T06:10:11"/>
    <x v="5"/>
    <d v="2023-10-03T00:00:00"/>
    <n v="22.742928240739275"/>
    <x v="0"/>
    <x v="4"/>
    <n v="15.742928240739275"/>
    <x v="4"/>
  </r>
  <r>
    <n v="1005"/>
    <s v="1005111"/>
    <d v="2023-09-15T06:10:11"/>
    <s v="type40"/>
    <n v="-381.95"/>
    <x v="5"/>
    <d v="2023-09-16T06:10:11"/>
    <x v="3"/>
    <d v="2023-10-03T00:00:00"/>
    <n v="17.742928240739275"/>
    <x v="0"/>
    <x v="2"/>
    <n v="16.742928240739275"/>
    <x v="2"/>
  </r>
  <r>
    <n v="1016"/>
    <s v="1016111"/>
    <d v="2023-09-18T06:10:11"/>
    <s v="type40"/>
    <n v="-1865.99"/>
    <x v="4"/>
    <d v="2023-09-23T06:10:11"/>
    <x v="2"/>
    <d v="2023-10-03T00:00:00"/>
    <n v="14.742928240739275"/>
    <x v="0"/>
    <x v="3"/>
    <n v="9.7429282407392748"/>
    <x v="3"/>
  </r>
  <r>
    <n v="1000"/>
    <s v="1000111"/>
    <d v="2023-09-15T06:10:11"/>
    <s v="type40"/>
    <n v="9.6300000000000008"/>
    <x v="3"/>
    <d v="2023-09-16T06:10:11"/>
    <x v="3"/>
    <d v="2023-10-03T00:00:00"/>
    <n v="17.742928240739275"/>
    <x v="0"/>
    <x v="2"/>
    <n v="16.742928240739275"/>
    <x v="2"/>
  </r>
  <r>
    <n v="1004"/>
    <s v="1004111"/>
    <d v="2023-09-15T06:10:11"/>
    <s v="type40"/>
    <n v="-1254.56"/>
    <x v="3"/>
    <d v="2023-09-16T06:10:11"/>
    <x v="3"/>
    <d v="2023-10-03T00:00:00"/>
    <n v="17.742928240739275"/>
    <x v="0"/>
    <x v="2"/>
    <n v="16.742928240739275"/>
    <x v="2"/>
  </r>
  <r>
    <n v="1017"/>
    <s v="1017111"/>
    <d v="2023-09-19T06:10:11"/>
    <s v="type38"/>
    <n v="513.03"/>
    <x v="4"/>
    <d v="2023-09-26T06:10:11"/>
    <x v="2"/>
    <d v="2023-10-03T00:00:00"/>
    <n v="13.742928240739275"/>
    <x v="0"/>
    <x v="7"/>
    <n v="6.7429282407392748"/>
    <x v="7"/>
  </r>
  <r>
    <n v="1013"/>
    <s v="1013111"/>
    <d v="2023-09-22T06:10:11"/>
    <s v="type13"/>
    <n v="40902.76"/>
    <x v="4"/>
    <d v="2023-09-23T06:10:11"/>
    <x v="2"/>
    <d v="2023-10-03T00:00:00"/>
    <n v="10.742928240739275"/>
    <x v="0"/>
    <x v="3"/>
    <n v="9.7429282407392748"/>
    <x v="3"/>
  </r>
  <r>
    <n v="1000"/>
    <s v="1000111"/>
    <d v="2023-09-18T06:10:11"/>
    <s v="type2"/>
    <n v="1075"/>
    <x v="4"/>
    <d v="2023-09-20T06:10:11"/>
    <x v="3"/>
    <d v="2023-10-03T00:00:00"/>
    <n v="14.742928240739275"/>
    <x v="0"/>
    <x v="9"/>
    <n v="12.742928240739275"/>
    <x v="9"/>
  </r>
  <r>
    <n v="1022"/>
    <s v="1022111"/>
    <d v="2023-09-18T06:10:11"/>
    <s v="type38"/>
    <n v="254.58"/>
    <x v="1"/>
    <d v="2023-09-19T06:10:11"/>
    <x v="0"/>
    <d v="2023-10-03T00:00:00"/>
    <n v="14.742928240739275"/>
    <x v="0"/>
    <x v="19"/>
    <n v="13.742928240739275"/>
    <x v="19"/>
  </r>
  <r>
    <n v="1019"/>
    <s v="1019111"/>
    <d v="2023-09-20T06:10:11"/>
    <s v="type40"/>
    <n v="300.98"/>
    <x v="6"/>
    <d v="2023-09-22T06:10:11"/>
    <x v="0"/>
    <d v="2023-10-03T00:00:00"/>
    <n v="12.742928240739275"/>
    <x v="0"/>
    <x v="10"/>
    <n v="10.742928240739275"/>
    <x v="10"/>
  </r>
  <r>
    <n v="1034"/>
    <s v="1034111"/>
    <d v="2023-09-19T06:10:11"/>
    <s v="type13"/>
    <n v="25087.55"/>
    <x v="1"/>
    <d v="2023-09-20T06:10:11"/>
    <x v="4"/>
    <d v="2023-10-03T00:00:00"/>
    <n v="13.742928240739275"/>
    <x v="0"/>
    <x v="9"/>
    <n v="12.742928240739275"/>
    <x v="9"/>
  </r>
  <r>
    <n v="1026"/>
    <s v="1026111"/>
    <d v="2023-09-20T06:10:11"/>
    <s v="type40"/>
    <n v="4152.07"/>
    <x v="5"/>
    <d v="2023-09-21T06:10:11"/>
    <x v="5"/>
    <d v="2023-10-03T00:00:00"/>
    <n v="12.742928240739275"/>
    <x v="0"/>
    <x v="1"/>
    <n v="11.742928240739275"/>
    <x v="1"/>
  </r>
  <r>
    <n v="1032"/>
    <s v="1032111"/>
    <d v="2023-09-20T06:10:11"/>
    <s v="type40"/>
    <n v="772.63"/>
    <x v="6"/>
    <d v="2023-09-22T06:10:11"/>
    <x v="4"/>
    <d v="2023-10-03T00:00:00"/>
    <n v="12.742928240739275"/>
    <x v="0"/>
    <x v="10"/>
    <n v="10.742928240739275"/>
    <x v="10"/>
  </r>
  <r>
    <n v="1026"/>
    <s v="1026111"/>
    <d v="2023-09-22T06:10:11"/>
    <s v="type40"/>
    <n v="2814.81"/>
    <x v="6"/>
    <d v="2023-09-24T06:10:11"/>
    <x v="5"/>
    <d v="2023-10-03T00:00:00"/>
    <n v="10.742928240739275"/>
    <x v="0"/>
    <x v="5"/>
    <n v="8.7429282407392748"/>
    <x v="5"/>
  </r>
  <r>
    <n v="1022"/>
    <s v="1022111"/>
    <d v="2023-09-14T06:10:11"/>
    <s v="type33"/>
    <n v="323.27999999999997"/>
    <x v="4"/>
    <d v="2023-09-16T06:10:11"/>
    <x v="0"/>
    <d v="2023-10-03T00:00:00"/>
    <n v="18.742928240739275"/>
    <x v="0"/>
    <x v="2"/>
    <n v="16.742928240739275"/>
    <x v="2"/>
  </r>
  <r>
    <n v="1007"/>
    <s v="1007111"/>
    <d v="2023-09-23T06:10:11"/>
    <s v="type13"/>
    <n v="28281.73"/>
    <x v="4"/>
    <d v="2023-09-30T06:10:11"/>
    <x v="1"/>
    <d v="2023-10-03T00:00:00"/>
    <n v="9.7429282407392748"/>
    <x v="0"/>
    <x v="14"/>
    <n v="2.7429282407392748"/>
    <x v="14"/>
  </r>
  <r>
    <n v="1018"/>
    <s v="1018111"/>
    <d v="2023-09-18T06:10:11"/>
    <s v="type40"/>
    <n v="-838.49"/>
    <x v="4"/>
    <d v="2023-09-25T06:10:11"/>
    <x v="0"/>
    <d v="2023-10-03T00:00:00"/>
    <n v="14.742928240739275"/>
    <x v="0"/>
    <x v="11"/>
    <n v="7.7429282407392748"/>
    <x v="11"/>
  </r>
  <r>
    <n v="1029"/>
    <s v="1029111"/>
    <d v="2023-09-11T06:10:11"/>
    <s v="type40"/>
    <n v="6355.71"/>
    <x v="5"/>
    <d v="2023-09-12T06:10:11"/>
    <x v="5"/>
    <d v="2023-10-03T00:00:00"/>
    <n v="21.742928240739275"/>
    <x v="0"/>
    <x v="18"/>
    <n v="20.742928240739275"/>
    <x v="18"/>
  </r>
  <r>
    <n v="1018"/>
    <s v="1018111"/>
    <d v="2023-09-21T06:10:11"/>
    <s v="type2"/>
    <n v="1293"/>
    <x v="4"/>
    <d v="2023-09-28T06:10:11"/>
    <x v="0"/>
    <d v="2023-10-03T00:00:00"/>
    <n v="11.742928240739275"/>
    <x v="0"/>
    <x v="8"/>
    <n v="4.7429282407392748"/>
    <x v="8"/>
  </r>
  <r>
    <n v="1012"/>
    <s v="1012111"/>
    <d v="2023-09-21T06:10:11"/>
    <s v="type40"/>
    <n v="3093.21"/>
    <x v="2"/>
    <d v="2023-09-26T06:10:11"/>
    <x v="2"/>
    <d v="2023-10-03T00:00:00"/>
    <n v="11.742928240739275"/>
    <x v="0"/>
    <x v="7"/>
    <n v="6.7429282407392748"/>
    <x v="7"/>
  </r>
  <r>
    <n v="1011"/>
    <s v="1011111"/>
    <d v="2023-09-19T06:10:11"/>
    <s v="type40"/>
    <n v="11206.42"/>
    <x v="2"/>
    <d v="2023-09-26T06:10:11"/>
    <x v="1"/>
    <d v="2023-10-03T00:00:00"/>
    <n v="13.742928240739275"/>
    <x v="0"/>
    <x v="7"/>
    <n v="6.7429282407392748"/>
    <x v="7"/>
  </r>
  <r>
    <n v="1007"/>
    <s v="1007111"/>
    <d v="2023-09-28T06:10:11"/>
    <s v="type40"/>
    <n v="17.38"/>
    <x v="3"/>
    <d v="2023-09-30T06:10:11"/>
    <x v="1"/>
    <d v="2023-10-03T00:00:00"/>
    <n v="4.7429282407392748"/>
    <x v="2"/>
    <x v="14"/>
    <n v="2.7429282407392748"/>
    <x v="14"/>
  </r>
  <r>
    <n v="1014"/>
    <s v="1014111"/>
    <d v="2023-09-16T06:10:11"/>
    <s v="type13"/>
    <n v="14434.96"/>
    <x v="3"/>
    <d v="2023-09-18T06:10:11"/>
    <x v="2"/>
    <d v="2023-10-03T00:00:00"/>
    <n v="16.742928240739275"/>
    <x v="0"/>
    <x v="6"/>
    <n v="14.742928240739275"/>
    <x v="6"/>
  </r>
  <r>
    <n v="1012"/>
    <s v="1012111"/>
    <d v="2023-09-11T06:10:11"/>
    <s v="type40"/>
    <n v="1143.3800000000001"/>
    <x v="6"/>
    <d v="2023-09-18T06:10:11"/>
    <x v="2"/>
    <d v="2023-10-03T00:00:00"/>
    <n v="21.742928240739275"/>
    <x v="0"/>
    <x v="6"/>
    <n v="14.742928240739275"/>
    <x v="6"/>
  </r>
  <r>
    <n v="1021"/>
    <s v="1021111"/>
    <d v="2023-09-13T06:10:11"/>
    <s v="type40"/>
    <n v="6827.1"/>
    <x v="5"/>
    <d v="2023-09-18T06:10:11"/>
    <x v="0"/>
    <d v="2023-10-03T00:00:00"/>
    <n v="19.742928240739275"/>
    <x v="0"/>
    <x v="6"/>
    <n v="14.742928240739275"/>
    <x v="6"/>
  </r>
  <r>
    <n v="1015"/>
    <s v="1015111"/>
    <d v="2023-09-22T06:10:11"/>
    <s v="type40"/>
    <n v="-846.18"/>
    <x v="4"/>
    <d v="2023-09-23T06:10:11"/>
    <x v="2"/>
    <d v="2023-10-03T00:00:00"/>
    <n v="10.742928240739275"/>
    <x v="0"/>
    <x v="3"/>
    <n v="9.7429282407392748"/>
    <x v="3"/>
  </r>
  <r>
    <n v="1020"/>
    <s v="1020111"/>
    <d v="2023-09-12T06:10:11"/>
    <s v="type10"/>
    <n v="43.6"/>
    <x v="6"/>
    <d v="2023-09-19T06:10:11"/>
    <x v="0"/>
    <d v="2023-10-03T00:00:00"/>
    <n v="20.742928240739275"/>
    <x v="0"/>
    <x v="19"/>
    <n v="13.742928240739275"/>
    <x v="19"/>
  </r>
  <r>
    <n v="1015"/>
    <s v="1015111"/>
    <d v="2023-09-13T06:10:11"/>
    <s v="type38"/>
    <n v="491.12"/>
    <x v="6"/>
    <d v="2023-09-20T06:10:11"/>
    <x v="2"/>
    <d v="2023-10-03T00:00:00"/>
    <n v="19.742928240739275"/>
    <x v="0"/>
    <x v="9"/>
    <n v="12.742928240739275"/>
    <x v="9"/>
  </r>
  <r>
    <n v="1001"/>
    <s v="1001111"/>
    <d v="2023-09-20T06:10:11"/>
    <s v="type38"/>
    <n v="166.23"/>
    <x v="3"/>
    <d v="2023-09-22T06:10:11"/>
    <x v="3"/>
    <d v="2023-10-03T00:00:00"/>
    <n v="12.742928240739275"/>
    <x v="0"/>
    <x v="10"/>
    <n v="10.742928240739275"/>
    <x v="10"/>
  </r>
  <r>
    <n v="1018"/>
    <s v="1018111"/>
    <d v="2023-09-18T06:10:11"/>
    <s v="type40"/>
    <n v="736.88"/>
    <x v="2"/>
    <d v="2023-09-20T06:10:11"/>
    <x v="0"/>
    <d v="2023-10-03T00:00:00"/>
    <n v="14.742928240739275"/>
    <x v="0"/>
    <x v="9"/>
    <n v="12.742928240739275"/>
    <x v="9"/>
  </r>
  <r>
    <n v="1023"/>
    <s v="1023111"/>
    <d v="2023-09-21T06:10:11"/>
    <s v="type38"/>
    <n v="183.74"/>
    <x v="1"/>
    <d v="2023-09-23T06:10:11"/>
    <x v="0"/>
    <d v="2023-10-03T00:00:00"/>
    <n v="11.742928240739275"/>
    <x v="0"/>
    <x v="3"/>
    <n v="9.7429282407392748"/>
    <x v="3"/>
  </r>
  <r>
    <n v="1017"/>
    <s v="1017111"/>
    <d v="2023-09-22T06:10:11"/>
    <s v="type38"/>
    <n v="189.1"/>
    <x v="3"/>
    <d v="2023-09-24T06:10:11"/>
    <x v="2"/>
    <d v="2023-10-03T00:00:00"/>
    <n v="10.742928240739275"/>
    <x v="0"/>
    <x v="5"/>
    <n v="8.7429282407392748"/>
    <x v="5"/>
  </r>
  <r>
    <n v="1019"/>
    <s v="1019111"/>
    <d v="2023-09-20T06:10:11"/>
    <s v="type40"/>
    <n v="2764"/>
    <x v="4"/>
    <d v="2023-09-21T06:10:11"/>
    <x v="0"/>
    <d v="2023-10-03T00:00:00"/>
    <n v="12.742928240739275"/>
    <x v="0"/>
    <x v="1"/>
    <n v="11.742928240739275"/>
    <x v="1"/>
  </r>
  <r>
    <n v="1004"/>
    <s v="1004111"/>
    <d v="2023-09-21T06:10:11"/>
    <s v="type13"/>
    <n v="40530.92"/>
    <x v="4"/>
    <d v="2023-09-23T06:10:11"/>
    <x v="3"/>
    <d v="2023-10-03T00:00:00"/>
    <n v="11.742928240739275"/>
    <x v="0"/>
    <x v="3"/>
    <n v="9.7429282407392748"/>
    <x v="3"/>
  </r>
  <r>
    <n v="1009"/>
    <s v="1009111"/>
    <d v="2023-09-25T06:10:11"/>
    <s v="type38"/>
    <n v="171.5"/>
    <x v="1"/>
    <d v="2023-09-27T06:10:11"/>
    <x v="1"/>
    <d v="2023-10-03T00:00:00"/>
    <n v="7.7429282407392748"/>
    <x v="1"/>
    <x v="12"/>
    <n v="5.7429282407392748"/>
    <x v="12"/>
  </r>
  <r>
    <n v="1022"/>
    <s v="1022111"/>
    <d v="2023-09-19T06:10:11"/>
    <s v="type13"/>
    <n v="27822.5"/>
    <x v="4"/>
    <d v="2023-09-21T06:10:11"/>
    <x v="0"/>
    <d v="2023-10-03T00:00:00"/>
    <n v="13.742928240739275"/>
    <x v="0"/>
    <x v="1"/>
    <n v="11.742928240739275"/>
    <x v="1"/>
  </r>
  <r>
    <n v="1009"/>
    <s v="1009111"/>
    <d v="2023-09-20T06:10:11"/>
    <s v="type48"/>
    <n v="-507.26"/>
    <x v="2"/>
    <d v="2023-09-22T06:10:11"/>
    <x v="1"/>
    <d v="2023-10-03T00:00:00"/>
    <n v="12.742928240739275"/>
    <x v="0"/>
    <x v="10"/>
    <n v="10.742928240739275"/>
    <x v="10"/>
  </r>
  <r>
    <n v="1022"/>
    <s v="1022111"/>
    <d v="2023-09-15T06:10:11"/>
    <s v="type13"/>
    <n v="25650.47"/>
    <x v="6"/>
    <d v="2023-09-16T06:10:11"/>
    <x v="0"/>
    <d v="2023-10-03T00:00:00"/>
    <n v="17.742928240739275"/>
    <x v="0"/>
    <x v="2"/>
    <n v="16.742928240739275"/>
    <x v="2"/>
  </r>
  <r>
    <n v="1014"/>
    <s v="1014111"/>
    <d v="2023-09-22T06:10:11"/>
    <s v="type11"/>
    <n v="100"/>
    <x v="5"/>
    <d v="2023-09-29T06:10:11"/>
    <x v="2"/>
    <d v="2023-10-03T00:00:00"/>
    <n v="10.742928240739275"/>
    <x v="0"/>
    <x v="13"/>
    <n v="3.7429282407392748"/>
    <x v="13"/>
  </r>
  <r>
    <n v="1004"/>
    <s v="1004111"/>
    <d v="2023-09-23T06:10:11"/>
    <s v="type48"/>
    <n v="-537.26"/>
    <x v="2"/>
    <d v="2023-09-28T06:10:11"/>
    <x v="3"/>
    <d v="2023-10-03T00:00:00"/>
    <n v="9.7429282407392748"/>
    <x v="0"/>
    <x v="8"/>
    <n v="4.7429282407392748"/>
    <x v="8"/>
  </r>
  <r>
    <n v="1035"/>
    <s v="1035111"/>
    <d v="2023-09-21T06:10:11"/>
    <s v="type13"/>
    <n v="45944.42"/>
    <x v="2"/>
    <d v="2023-09-28T06:10:11"/>
    <x v="4"/>
    <d v="2023-10-03T00:00:00"/>
    <n v="11.742928240739275"/>
    <x v="0"/>
    <x v="8"/>
    <n v="4.7429282407392748"/>
    <x v="8"/>
  </r>
  <r>
    <n v="1011"/>
    <s v="1011111"/>
    <d v="2023-09-13T06:10:11"/>
    <s v="type13"/>
    <n v="29878.16"/>
    <x v="1"/>
    <d v="2023-09-18T06:10:11"/>
    <x v="1"/>
    <d v="2023-10-03T00:00:00"/>
    <n v="19.742928240739275"/>
    <x v="0"/>
    <x v="6"/>
    <n v="14.742928240739275"/>
    <x v="6"/>
  </r>
  <r>
    <n v="1020"/>
    <s v="1020111"/>
    <d v="2023-09-13T06:10:11"/>
    <s v="type13"/>
    <n v="51106.87"/>
    <x v="1"/>
    <d v="2023-09-18T06:10:11"/>
    <x v="0"/>
    <d v="2023-10-03T00:00:00"/>
    <n v="19.742928240739275"/>
    <x v="0"/>
    <x v="6"/>
    <n v="14.742928240739275"/>
    <x v="6"/>
  </r>
  <r>
    <n v="1029"/>
    <s v="1029111"/>
    <d v="2023-09-14T06:10:11"/>
    <s v="type40"/>
    <n v="617.46"/>
    <x v="1"/>
    <d v="2023-09-19T06:10:11"/>
    <x v="5"/>
    <d v="2023-10-03T00:00:00"/>
    <n v="18.742928240739275"/>
    <x v="0"/>
    <x v="19"/>
    <n v="13.742928240739275"/>
    <x v="19"/>
  </r>
  <r>
    <n v="1015"/>
    <s v="1015111"/>
    <d v="2023-09-22T06:10:11"/>
    <s v="type2"/>
    <n v="1247"/>
    <x v="4"/>
    <d v="2023-09-24T06:10:11"/>
    <x v="2"/>
    <d v="2023-10-03T00:00:00"/>
    <n v="10.742928240739275"/>
    <x v="0"/>
    <x v="5"/>
    <n v="8.7429282407392748"/>
    <x v="5"/>
  </r>
  <r>
    <n v="1009"/>
    <s v="1009111"/>
    <d v="2023-09-15T06:10:11"/>
    <s v="type40"/>
    <n v="28.34"/>
    <x v="3"/>
    <d v="2023-09-20T06:10:11"/>
    <x v="1"/>
    <d v="2023-10-03T00:00:00"/>
    <n v="17.742928240739275"/>
    <x v="0"/>
    <x v="9"/>
    <n v="12.742928240739275"/>
    <x v="9"/>
  </r>
  <r>
    <n v="1020"/>
    <s v="1020111"/>
    <d v="2023-09-16T06:10:11"/>
    <s v="type40"/>
    <n v="-5179.97"/>
    <x v="4"/>
    <d v="2023-09-18T06:10:11"/>
    <x v="0"/>
    <d v="2023-10-03T00:00:00"/>
    <n v="16.742928240739275"/>
    <x v="0"/>
    <x v="6"/>
    <n v="14.742928240739275"/>
    <x v="6"/>
  </r>
  <r>
    <n v="1024"/>
    <s v="1024111"/>
    <d v="2023-09-17T06:10:11"/>
    <s v="type40"/>
    <n v="3746.85"/>
    <x v="5"/>
    <d v="2023-09-24T06:10:11"/>
    <x v="5"/>
    <d v="2023-10-03T00:00:00"/>
    <n v="15.742928240739275"/>
    <x v="0"/>
    <x v="5"/>
    <n v="8.7429282407392748"/>
    <x v="5"/>
  </r>
  <r>
    <n v="1016"/>
    <s v="1016111"/>
    <d v="2023-09-16T06:10:11"/>
    <s v="type40"/>
    <n v="-763"/>
    <x v="6"/>
    <d v="2023-09-17T06:10:11"/>
    <x v="2"/>
    <d v="2023-10-03T00:00:00"/>
    <n v="16.742928240739275"/>
    <x v="0"/>
    <x v="4"/>
    <n v="15.742928240739275"/>
    <x v="4"/>
  </r>
  <r>
    <n v="1015"/>
    <s v="1015111"/>
    <d v="2023-09-17T06:10:11"/>
    <s v="type13"/>
    <n v="27491.27"/>
    <x v="1"/>
    <d v="2023-09-22T06:10:11"/>
    <x v="2"/>
    <d v="2023-10-03T00:00:00"/>
    <n v="15.742928240739275"/>
    <x v="0"/>
    <x v="10"/>
    <n v="10.742928240739275"/>
    <x v="10"/>
  </r>
  <r>
    <n v="1007"/>
    <s v="1007111"/>
    <d v="2023-09-18T06:10:11"/>
    <s v="type40"/>
    <n v="1774.94"/>
    <x v="3"/>
    <d v="2023-09-25T06:10:11"/>
    <x v="1"/>
    <d v="2023-10-03T00:00:00"/>
    <n v="14.742928240739275"/>
    <x v="0"/>
    <x v="11"/>
    <n v="7.7429282407392748"/>
    <x v="11"/>
  </r>
  <r>
    <n v="1019"/>
    <s v="1019111"/>
    <d v="2023-09-21T06:10:11"/>
    <s v="type13"/>
    <n v="28888.02"/>
    <x v="6"/>
    <d v="2023-09-22T06:10:11"/>
    <x v="0"/>
    <d v="2023-10-03T00:00:00"/>
    <n v="11.742928240739275"/>
    <x v="0"/>
    <x v="10"/>
    <n v="10.742928240739275"/>
    <x v="10"/>
  </r>
  <r>
    <n v="1004"/>
    <s v="1004111"/>
    <d v="2023-09-19T06:10:11"/>
    <s v="type11"/>
    <n v="80"/>
    <x v="1"/>
    <d v="2023-09-26T06:10:11"/>
    <x v="3"/>
    <d v="2023-10-03T00:00:00"/>
    <n v="13.742928240739275"/>
    <x v="0"/>
    <x v="7"/>
    <n v="6.7429282407392748"/>
    <x v="7"/>
  </r>
  <r>
    <n v="1015"/>
    <s v="1015111"/>
    <d v="2023-09-17T06:10:11"/>
    <s v="type38"/>
    <n v="152.37"/>
    <x v="6"/>
    <d v="2023-09-19T06:10:11"/>
    <x v="2"/>
    <d v="2023-10-03T00:00:00"/>
    <n v="15.742928240739275"/>
    <x v="0"/>
    <x v="19"/>
    <n v="13.742928240739275"/>
    <x v="19"/>
  </r>
  <r>
    <n v="1029"/>
    <s v="1029111"/>
    <d v="2023-09-23T06:10:11"/>
    <s v="type40"/>
    <n v="-542.92999999999995"/>
    <x v="2"/>
    <d v="2023-09-24T06:10:11"/>
    <x v="5"/>
    <d v="2023-10-03T00:00:00"/>
    <n v="9.7429282407392748"/>
    <x v="0"/>
    <x v="5"/>
    <n v="8.7429282407392748"/>
    <x v="5"/>
  </r>
  <r>
    <n v="1025"/>
    <s v="1025111"/>
    <d v="2023-09-21T06:10:11"/>
    <s v="type13"/>
    <n v="24986.49"/>
    <x v="1"/>
    <d v="2023-09-28T06:10:11"/>
    <x v="5"/>
    <d v="2023-10-03T00:00:00"/>
    <n v="11.742928240739275"/>
    <x v="0"/>
    <x v="8"/>
    <n v="4.7429282407392748"/>
    <x v="8"/>
  </r>
  <r>
    <n v="1024"/>
    <s v="1024111"/>
    <d v="2023-09-21T06:10:11"/>
    <s v="type40"/>
    <n v="100"/>
    <x v="3"/>
    <d v="2023-09-28T06:10:11"/>
    <x v="5"/>
    <d v="2023-10-03T00:00:00"/>
    <n v="11.742928240739275"/>
    <x v="0"/>
    <x v="8"/>
    <n v="4.7429282407392748"/>
    <x v="8"/>
  </r>
  <r>
    <n v="1010"/>
    <s v="1010111"/>
    <d v="2023-09-19T06:10:11"/>
    <s v="type38"/>
    <n v="197.76"/>
    <x v="6"/>
    <d v="2023-09-21T06:10:11"/>
    <x v="1"/>
    <d v="2023-10-03T00:00:00"/>
    <n v="13.742928240739275"/>
    <x v="0"/>
    <x v="1"/>
    <n v="11.742928240739275"/>
    <x v="1"/>
  </r>
  <r>
    <n v="1004"/>
    <s v="1004111"/>
    <d v="2023-09-18T06:10:11"/>
    <s v="type28"/>
    <n v="852.4"/>
    <x v="2"/>
    <d v="2023-09-19T06:10:11"/>
    <x v="3"/>
    <d v="2023-10-03T00:00:00"/>
    <n v="14.742928240739275"/>
    <x v="0"/>
    <x v="19"/>
    <n v="13.742928240739275"/>
    <x v="19"/>
  </r>
  <r>
    <n v="1021"/>
    <s v="1021111"/>
    <d v="2023-09-10T06:10:11"/>
    <s v="type40"/>
    <n v="1071.92"/>
    <x v="6"/>
    <d v="2023-09-12T06:10:11"/>
    <x v="0"/>
    <d v="2023-10-03T00:00:00"/>
    <n v="22.742928240739275"/>
    <x v="0"/>
    <x v="18"/>
    <n v="20.742928240739275"/>
    <x v="18"/>
  </r>
  <r>
    <n v="1019"/>
    <s v="1019111"/>
    <d v="2023-09-18T06:10:11"/>
    <s v="type40"/>
    <n v="9009.35"/>
    <x v="4"/>
    <d v="2023-09-25T06:10:11"/>
    <x v="0"/>
    <d v="2023-10-03T00:00:00"/>
    <n v="14.742928240739275"/>
    <x v="0"/>
    <x v="11"/>
    <n v="7.7429282407392748"/>
    <x v="11"/>
  </r>
  <r>
    <n v="1024"/>
    <s v="1024111"/>
    <d v="2023-09-19T06:10:11"/>
    <s v="type40"/>
    <n v="-727.6"/>
    <x v="4"/>
    <d v="2023-09-20T06:10:11"/>
    <x v="5"/>
    <d v="2023-10-03T00:00:00"/>
    <n v="13.742928240739275"/>
    <x v="0"/>
    <x v="9"/>
    <n v="12.742928240739275"/>
    <x v="9"/>
  </r>
  <r>
    <n v="1003"/>
    <s v="1003111"/>
    <d v="2023-09-18T06:10:11"/>
    <s v="type13"/>
    <n v="30677.279999999999"/>
    <x v="4"/>
    <d v="2023-09-20T06:10:11"/>
    <x v="3"/>
    <d v="2023-10-03T00:00:00"/>
    <n v="14.742928240739275"/>
    <x v="0"/>
    <x v="9"/>
    <n v="12.742928240739275"/>
    <x v="9"/>
  </r>
  <r>
    <n v="1008"/>
    <s v="1008111"/>
    <d v="2023-09-10T06:10:11"/>
    <s v="type54"/>
    <n v="7416.84"/>
    <x v="2"/>
    <d v="2023-09-12T06:10:11"/>
    <x v="1"/>
    <d v="2023-10-03T00:00:00"/>
    <n v="22.742928240739275"/>
    <x v="0"/>
    <x v="18"/>
    <n v="20.742928240739275"/>
    <x v="18"/>
  </r>
  <r>
    <n v="1032"/>
    <s v="1032111"/>
    <d v="2023-09-16T06:10:11"/>
    <s v="type5"/>
    <n v="584.45000000000005"/>
    <x v="2"/>
    <d v="2023-09-18T06:10:11"/>
    <x v="4"/>
    <d v="2023-10-03T00:00:00"/>
    <n v="16.742928240739275"/>
    <x v="0"/>
    <x v="6"/>
    <n v="14.742928240739275"/>
    <x v="6"/>
  </r>
  <r>
    <n v="1023"/>
    <s v="1023111"/>
    <d v="2023-09-15T06:10:11"/>
    <s v="type40"/>
    <n v="4850.01"/>
    <x v="6"/>
    <d v="2023-09-20T06:10:11"/>
    <x v="0"/>
    <d v="2023-10-03T00:00:00"/>
    <n v="17.742928240739275"/>
    <x v="0"/>
    <x v="9"/>
    <n v="12.742928240739275"/>
    <x v="9"/>
  </r>
  <r>
    <n v="1035"/>
    <s v="1035111"/>
    <d v="2023-09-21T06:10:11"/>
    <s v="type40"/>
    <n v="-988.49"/>
    <x v="6"/>
    <d v="2023-09-28T06:10:11"/>
    <x v="4"/>
    <d v="2023-10-03T00:00:00"/>
    <n v="11.742928240739275"/>
    <x v="0"/>
    <x v="8"/>
    <n v="4.7429282407392748"/>
    <x v="8"/>
  </r>
  <r>
    <n v="1016"/>
    <s v="1016111"/>
    <d v="2023-09-21T06:10:11"/>
    <s v="type40"/>
    <n v="3461.74"/>
    <x v="5"/>
    <d v="2023-09-22T06:10:11"/>
    <x v="2"/>
    <d v="2023-10-03T00:00:00"/>
    <n v="11.742928240739275"/>
    <x v="0"/>
    <x v="10"/>
    <n v="10.742928240739275"/>
    <x v="10"/>
  </r>
  <r>
    <n v="1025"/>
    <s v="1025111"/>
    <d v="2023-09-20T06:10:11"/>
    <s v="type13"/>
    <n v="19511.82"/>
    <x v="6"/>
    <d v="2023-09-21T06:10:11"/>
    <x v="5"/>
    <d v="2023-10-03T00:00:00"/>
    <n v="12.742928240739275"/>
    <x v="0"/>
    <x v="1"/>
    <n v="11.742928240739275"/>
    <x v="1"/>
  </r>
  <r>
    <n v="1016"/>
    <s v="1016111"/>
    <d v="2023-09-20T06:10:11"/>
    <s v="type13"/>
    <n v="25730.66"/>
    <x v="1"/>
    <d v="2023-09-21T06:10:11"/>
    <x v="2"/>
    <d v="2023-10-03T00:00:00"/>
    <n v="12.742928240739275"/>
    <x v="0"/>
    <x v="1"/>
    <n v="11.742928240739275"/>
    <x v="1"/>
  </r>
  <r>
    <n v="1011"/>
    <s v="1011111"/>
    <d v="2023-09-20T06:10:11"/>
    <s v="type15"/>
    <n v="-1045"/>
    <x v="3"/>
    <d v="2023-09-21T06:10:11"/>
    <x v="1"/>
    <d v="2023-10-03T00:00:00"/>
    <n v="12.742928240739275"/>
    <x v="0"/>
    <x v="1"/>
    <n v="11.742928240739275"/>
    <x v="1"/>
  </r>
  <r>
    <n v="1032"/>
    <s v="1032111"/>
    <d v="2023-09-15T06:10:11"/>
    <s v="type13"/>
    <n v="27850.29"/>
    <x v="6"/>
    <d v="2023-09-17T06:10:11"/>
    <x v="4"/>
    <d v="2023-10-03T00:00:00"/>
    <n v="17.742928240739275"/>
    <x v="0"/>
    <x v="4"/>
    <n v="15.742928240739275"/>
    <x v="4"/>
  </r>
  <r>
    <n v="1018"/>
    <s v="1018111"/>
    <d v="2023-09-17T06:10:11"/>
    <s v="type42"/>
    <n v="189"/>
    <x v="6"/>
    <d v="2023-09-19T06:10:11"/>
    <x v="0"/>
    <d v="2023-10-03T00:00:00"/>
    <n v="15.742928240739275"/>
    <x v="0"/>
    <x v="19"/>
    <n v="13.742928240739275"/>
    <x v="19"/>
  </r>
  <r>
    <n v="1031"/>
    <s v="1031111"/>
    <d v="2023-09-22T06:10:11"/>
    <s v="type40"/>
    <n v="36.020000000000003"/>
    <x v="1"/>
    <d v="2023-09-23T06:10:11"/>
    <x v="4"/>
    <d v="2023-10-03T00:00:00"/>
    <n v="10.742928240739275"/>
    <x v="0"/>
    <x v="3"/>
    <n v="9.7429282407392748"/>
    <x v="3"/>
  </r>
  <r>
    <n v="1011"/>
    <s v="1011111"/>
    <d v="2023-09-17T06:10:11"/>
    <s v="type40"/>
    <n v="2422.75"/>
    <x v="5"/>
    <d v="2023-09-18T06:10:11"/>
    <x v="1"/>
    <d v="2023-10-03T00:00:00"/>
    <n v="15.742928240739275"/>
    <x v="0"/>
    <x v="6"/>
    <n v="14.742928240739275"/>
    <x v="6"/>
  </r>
  <r>
    <n v="1014"/>
    <s v="1014111"/>
    <d v="2023-09-20T06:10:11"/>
    <s v="type54"/>
    <n v="223.55"/>
    <x v="4"/>
    <d v="2023-09-22T06:10:11"/>
    <x v="2"/>
    <d v="2023-10-03T00:00:00"/>
    <n v="12.742928240739275"/>
    <x v="0"/>
    <x v="10"/>
    <n v="10.742928240739275"/>
    <x v="10"/>
  </r>
  <r>
    <n v="1024"/>
    <s v="1024111"/>
    <d v="2023-09-20T06:10:11"/>
    <s v="type41"/>
    <n v="1505.31"/>
    <x v="5"/>
    <d v="2023-09-21T06:10:11"/>
    <x v="5"/>
    <d v="2023-10-03T00:00:00"/>
    <n v="12.742928240739275"/>
    <x v="0"/>
    <x v="1"/>
    <n v="11.742928240739275"/>
    <x v="1"/>
  </r>
  <r>
    <n v="1021"/>
    <s v="1021111"/>
    <d v="2023-09-21T06:10:11"/>
    <s v="type40"/>
    <n v="1536.72"/>
    <x v="4"/>
    <d v="2023-09-26T06:10:11"/>
    <x v="0"/>
    <d v="2023-10-03T00:00:00"/>
    <n v="11.742928240739275"/>
    <x v="0"/>
    <x v="7"/>
    <n v="6.7429282407392748"/>
    <x v="7"/>
  </r>
  <r>
    <n v="1008"/>
    <s v="1008111"/>
    <d v="2023-09-11T06:10:11"/>
    <s v="type22"/>
    <n v="721.4"/>
    <x v="5"/>
    <d v="2023-09-13T06:10:11"/>
    <x v="1"/>
    <d v="2023-10-03T00:00:00"/>
    <n v="21.742928240739275"/>
    <x v="0"/>
    <x v="24"/>
    <n v="19.742928240739275"/>
    <x v="24"/>
  </r>
  <r>
    <n v="1020"/>
    <s v="1020111"/>
    <d v="2023-09-16T06:10:11"/>
    <s v="type40"/>
    <n v="4269.4399999999996"/>
    <x v="4"/>
    <d v="2023-09-21T06:10:11"/>
    <x v="0"/>
    <d v="2023-10-03T00:00:00"/>
    <n v="16.742928240739275"/>
    <x v="0"/>
    <x v="1"/>
    <n v="11.742928240739275"/>
    <x v="1"/>
  </r>
  <r>
    <n v="1021"/>
    <s v="1021111"/>
    <d v="2023-09-10T06:10:11"/>
    <s v="type25"/>
    <n v="192.38"/>
    <x v="1"/>
    <d v="2023-09-11T06:10:11"/>
    <x v="0"/>
    <d v="2023-10-03T00:00:00"/>
    <n v="22.742928240739275"/>
    <x v="0"/>
    <x v="21"/>
    <n v="21.742928240739275"/>
    <x v="21"/>
  </r>
  <r>
    <n v="1031"/>
    <s v="1031111"/>
    <d v="2023-09-18T06:10:11"/>
    <s v="type40"/>
    <n v="4229.25"/>
    <x v="4"/>
    <d v="2023-09-25T06:10:11"/>
    <x v="4"/>
    <d v="2023-10-03T00:00:00"/>
    <n v="14.742928240739275"/>
    <x v="0"/>
    <x v="11"/>
    <n v="7.7429282407392748"/>
    <x v="11"/>
  </r>
  <r>
    <n v="1006"/>
    <s v="1006111"/>
    <d v="2023-09-19T06:10:11"/>
    <s v="type38"/>
    <n v="455.54"/>
    <x v="2"/>
    <d v="2023-09-21T06:10:11"/>
    <x v="1"/>
    <d v="2023-10-03T00:00:00"/>
    <n v="13.742928240739275"/>
    <x v="0"/>
    <x v="1"/>
    <n v="11.742928240739275"/>
    <x v="1"/>
  </r>
  <r>
    <n v="1021"/>
    <s v="1021111"/>
    <d v="2023-09-13T06:10:11"/>
    <s v="type13"/>
    <n v="25096.14"/>
    <x v="1"/>
    <d v="2023-09-14T06:10:11"/>
    <x v="0"/>
    <d v="2023-10-03T00:00:00"/>
    <n v="19.742928240739275"/>
    <x v="0"/>
    <x v="20"/>
    <n v="18.742928240739275"/>
    <x v="20"/>
  </r>
  <r>
    <n v="1011"/>
    <s v="1011111"/>
    <d v="2023-09-13T06:10:11"/>
    <s v="type40"/>
    <n v="40"/>
    <x v="3"/>
    <d v="2023-09-14T06:10:11"/>
    <x v="1"/>
    <d v="2023-10-03T00:00:00"/>
    <n v="19.742928240739275"/>
    <x v="0"/>
    <x v="20"/>
    <n v="18.742928240739275"/>
    <x v="20"/>
  </r>
  <r>
    <n v="1022"/>
    <s v="1022111"/>
    <d v="2023-09-12T06:10:11"/>
    <s v="type40"/>
    <n v="-1899.3"/>
    <x v="5"/>
    <d v="2023-09-14T06:10:11"/>
    <x v="0"/>
    <d v="2023-10-03T00:00:00"/>
    <n v="20.742928240739275"/>
    <x v="0"/>
    <x v="20"/>
    <n v="18.742928240739275"/>
    <x v="20"/>
  </r>
  <r>
    <n v="1027"/>
    <s v="1027111"/>
    <d v="2023-09-14T06:10:11"/>
    <s v="type40"/>
    <n v="568.84"/>
    <x v="1"/>
    <d v="2023-09-16T06:10:11"/>
    <x v="5"/>
    <d v="2023-10-03T00:00:00"/>
    <n v="18.742928240739275"/>
    <x v="0"/>
    <x v="2"/>
    <n v="16.742928240739275"/>
    <x v="2"/>
  </r>
  <r>
    <n v="1013"/>
    <s v="1013111"/>
    <d v="2023-09-15T06:10:11"/>
    <s v="type40"/>
    <n v="856.67"/>
    <x v="3"/>
    <d v="2023-09-17T06:10:11"/>
    <x v="2"/>
    <d v="2023-10-03T00:00:00"/>
    <n v="17.742928240739275"/>
    <x v="0"/>
    <x v="4"/>
    <n v="15.742928240739275"/>
    <x v="4"/>
  </r>
  <r>
    <n v="1017"/>
    <s v="1017111"/>
    <d v="2023-09-15T06:10:11"/>
    <s v="type40"/>
    <n v="-827.14"/>
    <x v="1"/>
    <d v="2023-09-17T06:10:11"/>
    <x v="2"/>
    <d v="2023-10-03T00:00:00"/>
    <n v="17.742928240739275"/>
    <x v="0"/>
    <x v="4"/>
    <n v="15.742928240739275"/>
    <x v="4"/>
  </r>
  <r>
    <n v="1020"/>
    <s v="1020111"/>
    <d v="2023-09-16T06:10:11"/>
    <s v="type40"/>
    <n v="-2695.5"/>
    <x v="1"/>
    <d v="2023-09-18T06:10:11"/>
    <x v="0"/>
    <d v="2023-10-03T00:00:00"/>
    <n v="16.742928240739275"/>
    <x v="0"/>
    <x v="6"/>
    <n v="14.742928240739275"/>
    <x v="6"/>
  </r>
  <r>
    <n v="1032"/>
    <s v="1032111"/>
    <d v="2023-09-18T06:10:11"/>
    <s v="type26"/>
    <n v="120.12"/>
    <x v="6"/>
    <d v="2023-09-23T06:10:11"/>
    <x v="4"/>
    <d v="2023-10-03T00:00:00"/>
    <n v="14.742928240739275"/>
    <x v="0"/>
    <x v="3"/>
    <n v="9.7429282407392748"/>
    <x v="3"/>
  </r>
  <r>
    <n v="1035"/>
    <s v="1035111"/>
    <d v="2023-09-21T06:10:11"/>
    <s v="type42"/>
    <n v="227.61"/>
    <x v="6"/>
    <d v="2023-09-26T06:10:11"/>
    <x v="4"/>
    <d v="2023-10-03T00:00:00"/>
    <n v="11.742928240739275"/>
    <x v="0"/>
    <x v="7"/>
    <n v="6.7429282407392748"/>
    <x v="7"/>
  </r>
  <r>
    <n v="1011"/>
    <s v="1011111"/>
    <d v="2023-09-22T06:10:11"/>
    <s v="type25"/>
    <n v="449.71"/>
    <x v="6"/>
    <d v="2023-09-27T06:10:11"/>
    <x v="1"/>
    <d v="2023-10-03T00:00:00"/>
    <n v="10.742928240739275"/>
    <x v="0"/>
    <x v="12"/>
    <n v="5.7429282407392748"/>
    <x v="12"/>
  </r>
  <r>
    <n v="1015"/>
    <s v="1015111"/>
    <d v="2023-09-18T06:10:11"/>
    <s v="type40"/>
    <n v="620.70000000000005"/>
    <x v="1"/>
    <d v="2023-09-20T06:10:11"/>
    <x v="2"/>
    <d v="2023-10-03T00:00:00"/>
    <n v="14.742928240739275"/>
    <x v="0"/>
    <x v="9"/>
    <n v="12.742928240739275"/>
    <x v="9"/>
  </r>
  <r>
    <n v="1028"/>
    <s v="1028111"/>
    <d v="2023-09-20T06:10:11"/>
    <s v="type40"/>
    <n v="-1316.59"/>
    <x v="4"/>
    <d v="2023-09-21T06:10:11"/>
    <x v="5"/>
    <d v="2023-10-03T00:00:00"/>
    <n v="12.742928240739275"/>
    <x v="0"/>
    <x v="1"/>
    <n v="11.742928240739275"/>
    <x v="1"/>
  </r>
  <r>
    <n v="1005"/>
    <s v="1005111"/>
    <d v="2023-09-20T06:10:11"/>
    <s v="type40"/>
    <n v="-639.75"/>
    <x v="1"/>
    <d v="2023-09-22T06:10:11"/>
    <x v="3"/>
    <d v="2023-10-03T00:00:00"/>
    <n v="12.742928240739275"/>
    <x v="0"/>
    <x v="10"/>
    <n v="10.742928240739275"/>
    <x v="10"/>
  </r>
  <r>
    <n v="1035"/>
    <s v="1035111"/>
    <d v="2023-09-21T06:10:11"/>
    <s v="type38"/>
    <n v="151.81"/>
    <x v="2"/>
    <d v="2023-09-26T06:10:11"/>
    <x v="4"/>
    <d v="2023-10-03T00:00:00"/>
    <n v="11.742928240739275"/>
    <x v="0"/>
    <x v="7"/>
    <n v="6.7429282407392748"/>
    <x v="7"/>
  </r>
  <r>
    <n v="1019"/>
    <s v="1019111"/>
    <d v="2023-09-22T06:10:11"/>
    <s v="type42"/>
    <n v="195.49"/>
    <x v="2"/>
    <d v="2023-09-29T06:10:11"/>
    <x v="0"/>
    <d v="2023-10-03T00:00:00"/>
    <n v="10.742928240739275"/>
    <x v="0"/>
    <x v="13"/>
    <n v="3.7429282407392748"/>
    <x v="13"/>
  </r>
  <r>
    <n v="1031"/>
    <s v="1031111"/>
    <d v="2023-09-21T06:10:11"/>
    <s v="type40"/>
    <n v="40"/>
    <x v="1"/>
    <d v="2023-09-23T06:10:11"/>
    <x v="4"/>
    <d v="2023-10-03T00:00:00"/>
    <n v="11.742928240739275"/>
    <x v="0"/>
    <x v="3"/>
    <n v="9.7429282407392748"/>
    <x v="3"/>
  </r>
  <r>
    <n v="1017"/>
    <s v="1017111"/>
    <d v="2023-09-13T06:10:11"/>
    <s v="type27"/>
    <n v="862.56"/>
    <x v="2"/>
    <d v="2023-09-14T06:10:11"/>
    <x v="2"/>
    <d v="2023-10-03T00:00:00"/>
    <n v="19.742928240739275"/>
    <x v="0"/>
    <x v="20"/>
    <n v="18.742928240739275"/>
    <x v="20"/>
  </r>
  <r>
    <n v="1022"/>
    <s v="1022111"/>
    <d v="2023-09-23T06:10:11"/>
    <s v="type24"/>
    <n v="711.06"/>
    <x v="6"/>
    <d v="2023-09-28T06:10:11"/>
    <x v="0"/>
    <d v="2023-10-03T00:00:00"/>
    <n v="9.7429282407392748"/>
    <x v="0"/>
    <x v="8"/>
    <n v="4.7429282407392748"/>
    <x v="8"/>
  </r>
  <r>
    <n v="1011"/>
    <s v="1011111"/>
    <d v="2023-09-14T06:10:11"/>
    <s v="type48"/>
    <n v="-528.37"/>
    <x v="5"/>
    <d v="2023-09-16T06:10:11"/>
    <x v="1"/>
    <d v="2023-10-03T00:00:00"/>
    <n v="18.742928240739275"/>
    <x v="0"/>
    <x v="2"/>
    <n v="16.742928240739275"/>
    <x v="2"/>
  </r>
  <r>
    <n v="1016"/>
    <s v="1016111"/>
    <d v="2023-09-25T06:10:11"/>
    <s v="type40"/>
    <n v="527.72"/>
    <x v="3"/>
    <d v="2023-09-27T06:10:11"/>
    <x v="2"/>
    <d v="2023-10-03T00:00:00"/>
    <n v="7.7429282407392748"/>
    <x v="1"/>
    <x v="12"/>
    <n v="5.7429282407392748"/>
    <x v="12"/>
  </r>
  <r>
    <n v="1031"/>
    <s v="1031111"/>
    <d v="2023-09-16T06:10:11"/>
    <s v="type40"/>
    <n v="347.74"/>
    <x v="4"/>
    <d v="2023-09-17T06:10:11"/>
    <x v="4"/>
    <d v="2023-10-03T00:00:00"/>
    <n v="16.742928240739275"/>
    <x v="0"/>
    <x v="4"/>
    <n v="15.742928240739275"/>
    <x v="4"/>
  </r>
  <r>
    <n v="1014"/>
    <s v="1014111"/>
    <d v="2023-09-18T06:10:11"/>
    <s v="type40"/>
    <n v="24.74"/>
    <x v="4"/>
    <d v="2023-09-19T06:10:11"/>
    <x v="2"/>
    <d v="2023-10-03T00:00:00"/>
    <n v="14.742928240739275"/>
    <x v="0"/>
    <x v="19"/>
    <n v="13.742928240739275"/>
    <x v="19"/>
  </r>
  <r>
    <n v="1015"/>
    <s v="1015111"/>
    <d v="2023-09-28T06:10:11"/>
    <s v="type40"/>
    <n v="-1174.1199999999999"/>
    <x v="1"/>
    <d v="2023-09-30T06:10:11"/>
    <x v="2"/>
    <d v="2023-10-03T00:00:00"/>
    <n v="4.7429282407392748"/>
    <x v="2"/>
    <x v="14"/>
    <n v="2.7429282407392748"/>
    <x v="14"/>
  </r>
  <r>
    <n v="1025"/>
    <s v="1025111"/>
    <d v="2023-09-10T06:10:11"/>
    <s v="type40"/>
    <n v="-378.45"/>
    <x v="6"/>
    <d v="2023-09-17T06:10:11"/>
    <x v="5"/>
    <d v="2023-10-03T00:00:00"/>
    <n v="22.742928240739275"/>
    <x v="0"/>
    <x v="4"/>
    <n v="15.742928240739275"/>
    <x v="4"/>
  </r>
  <r>
    <n v="1008"/>
    <s v="1008111"/>
    <d v="2023-09-20T06:10:11"/>
    <s v="type40"/>
    <n v="367.9"/>
    <x v="4"/>
    <d v="2023-09-22T06:10:11"/>
    <x v="1"/>
    <d v="2023-10-03T00:00:00"/>
    <n v="12.742928240739275"/>
    <x v="0"/>
    <x v="10"/>
    <n v="10.742928240739275"/>
    <x v="10"/>
  </r>
  <r>
    <n v="1013"/>
    <s v="1013111"/>
    <d v="2023-09-18T06:10:11"/>
    <s v="type40"/>
    <n v="-715.6"/>
    <x v="1"/>
    <d v="2023-09-23T06:10:11"/>
    <x v="2"/>
    <d v="2023-10-03T00:00:00"/>
    <n v="14.742928240739275"/>
    <x v="0"/>
    <x v="3"/>
    <n v="9.7429282407392748"/>
    <x v="3"/>
  </r>
  <r>
    <n v="1016"/>
    <s v="1016111"/>
    <d v="2023-09-16T06:10:11"/>
    <s v="type30"/>
    <n v="266.57"/>
    <x v="5"/>
    <d v="2023-09-18T06:10:11"/>
    <x v="2"/>
    <d v="2023-10-03T00:00:00"/>
    <n v="16.742928240739275"/>
    <x v="0"/>
    <x v="6"/>
    <n v="14.742928240739275"/>
    <x v="6"/>
  </r>
  <r>
    <n v="1032"/>
    <s v="1032111"/>
    <d v="2023-09-18T06:10:11"/>
    <s v="type40"/>
    <n v="13.53"/>
    <x v="4"/>
    <d v="2023-09-20T06:10:11"/>
    <x v="4"/>
    <d v="2023-10-03T00:00:00"/>
    <n v="14.742928240739275"/>
    <x v="0"/>
    <x v="9"/>
    <n v="12.742928240739275"/>
    <x v="9"/>
  </r>
  <r>
    <n v="1009"/>
    <s v="1009111"/>
    <d v="2023-09-17T06:10:11"/>
    <s v="type15"/>
    <n v="1002.25"/>
    <x v="5"/>
    <d v="2023-09-24T06:10:11"/>
    <x v="1"/>
    <d v="2023-10-03T00:00:00"/>
    <n v="15.742928240739275"/>
    <x v="0"/>
    <x v="5"/>
    <n v="8.7429282407392748"/>
    <x v="5"/>
  </r>
  <r>
    <n v="1018"/>
    <s v="1018111"/>
    <d v="2023-09-20T06:10:11"/>
    <s v="type40"/>
    <n v="3.89"/>
    <x v="5"/>
    <d v="2023-09-21T06:10:11"/>
    <x v="0"/>
    <d v="2023-10-03T00:00:00"/>
    <n v="12.742928240739275"/>
    <x v="0"/>
    <x v="1"/>
    <n v="11.742928240739275"/>
    <x v="1"/>
  </r>
  <r>
    <n v="1033"/>
    <s v="1033111"/>
    <d v="2023-09-21T06:10:11"/>
    <s v="type46"/>
    <n v="263.88"/>
    <x v="5"/>
    <d v="2023-09-22T06:10:11"/>
    <x v="4"/>
    <d v="2023-10-03T00:00:00"/>
    <n v="11.742928240739275"/>
    <x v="0"/>
    <x v="10"/>
    <n v="10.742928240739275"/>
    <x v="10"/>
  </r>
  <r>
    <n v="1015"/>
    <s v="1015111"/>
    <d v="2023-09-12T06:10:11"/>
    <s v="type40"/>
    <n v="878.85"/>
    <x v="6"/>
    <d v="2023-09-19T06:10:11"/>
    <x v="2"/>
    <d v="2023-10-03T00:00:00"/>
    <n v="20.742928240739275"/>
    <x v="0"/>
    <x v="19"/>
    <n v="13.742928240739275"/>
    <x v="19"/>
  </r>
  <r>
    <n v="1022"/>
    <s v="1022111"/>
    <d v="2023-09-21T06:10:11"/>
    <s v="type40"/>
    <n v="-412.77"/>
    <x v="4"/>
    <d v="2023-09-26T06:10:11"/>
    <x v="0"/>
    <d v="2023-10-03T00:00:00"/>
    <n v="11.742928240739275"/>
    <x v="0"/>
    <x v="7"/>
    <n v="6.7429282407392748"/>
    <x v="7"/>
  </r>
  <r>
    <n v="1028"/>
    <s v="1028111"/>
    <d v="2023-09-18T06:10:11"/>
    <s v="type40"/>
    <n v="-362.82"/>
    <x v="4"/>
    <d v="2023-09-23T06:10:11"/>
    <x v="5"/>
    <d v="2023-10-03T00:00:00"/>
    <n v="14.742928240739275"/>
    <x v="0"/>
    <x v="3"/>
    <n v="9.7429282407392748"/>
    <x v="3"/>
  </r>
  <r>
    <n v="1008"/>
    <s v="1008111"/>
    <d v="2023-09-24T06:10:11"/>
    <s v="type40"/>
    <n v="-1961.81"/>
    <x v="3"/>
    <d v="2023-10-01T06:10:11"/>
    <x v="1"/>
    <d v="2023-10-03T00:00:00"/>
    <n v="8.7429282407392748"/>
    <x v="1"/>
    <x v="22"/>
    <n v="1.7429282407392748"/>
    <x v="22"/>
  </r>
  <r>
    <n v="1027"/>
    <s v="1027111"/>
    <d v="2023-09-25T06:10:11"/>
    <s v="type40"/>
    <n v="310.83"/>
    <x v="3"/>
    <d v="2023-10-02T06:10:11"/>
    <x v="5"/>
    <d v="2023-10-03T00:00:00"/>
    <n v="7.7429282407392748"/>
    <x v="1"/>
    <x v="15"/>
    <n v="0.74292824073927477"/>
    <x v="15"/>
  </r>
  <r>
    <n v="1028"/>
    <s v="1028111"/>
    <d v="2023-09-26T06:10:11"/>
    <s v="type40"/>
    <n v="8943.2999999999993"/>
    <x v="3"/>
    <d v="2023-10-03T06:10:11"/>
    <x v="5"/>
    <d v="2023-10-03T00:00:00"/>
    <n v="6.7429282407392748"/>
    <x v="1"/>
    <x v="16"/>
    <n v="-0.25707175926072523"/>
    <x v="16"/>
  </r>
  <r>
    <n v="1017"/>
    <s v="1017111"/>
    <d v="2023-09-27T06:10:11"/>
    <s v="type40"/>
    <n v="2631.47"/>
    <x v="3"/>
    <d v="2023-10-04T06:10:11"/>
    <x v="2"/>
    <d v="2023-10-03T00:00:00"/>
    <n v="5.7429282407392748"/>
    <x v="2"/>
    <x v="23"/>
    <n v="-1.2570717592607252"/>
    <x v="23"/>
  </r>
  <r>
    <n v="1014"/>
    <s v="1014111"/>
    <d v="2023-09-15T06:10:11"/>
    <s v="type40"/>
    <n v="1116.99"/>
    <x v="6"/>
    <d v="2023-09-22T06:10:11"/>
    <x v="2"/>
    <d v="2023-10-03T00:00:00"/>
    <n v="17.742928240739275"/>
    <x v="0"/>
    <x v="10"/>
    <n v="10.742928240739275"/>
    <x v="10"/>
  </r>
  <r>
    <n v="1022"/>
    <s v="1022111"/>
    <d v="2023-09-10T06:10:11"/>
    <s v="type40"/>
    <n v="-791.04"/>
    <x v="3"/>
    <d v="2023-09-17T06:10:11"/>
    <x v="0"/>
    <d v="2023-10-03T00:00:00"/>
    <n v="22.742928240739275"/>
    <x v="0"/>
    <x v="4"/>
    <n v="15.742928240739275"/>
    <x v="4"/>
  </r>
  <r>
    <n v="1026"/>
    <s v="1026111"/>
    <d v="2023-09-20T06:10:11"/>
    <s v="type40"/>
    <n v="466.81"/>
    <x v="4"/>
    <d v="2023-09-27T06:10:11"/>
    <x v="5"/>
    <d v="2023-10-03T00:00:00"/>
    <n v="12.742928240739275"/>
    <x v="0"/>
    <x v="12"/>
    <n v="5.7429282407392748"/>
    <x v="12"/>
  </r>
  <r>
    <n v="1006"/>
    <s v="1006111"/>
    <d v="2023-09-20T06:10:11"/>
    <s v="type40"/>
    <n v="-437.48"/>
    <x v="5"/>
    <d v="2023-09-21T06:10:11"/>
    <x v="1"/>
    <d v="2023-10-03T00:00:00"/>
    <n v="12.742928240739275"/>
    <x v="0"/>
    <x v="1"/>
    <n v="11.742928240739275"/>
    <x v="1"/>
  </r>
  <r>
    <n v="1035"/>
    <s v="1035111"/>
    <d v="2023-09-16T06:10:11"/>
    <s v="type10"/>
    <n v="340"/>
    <x v="2"/>
    <d v="2023-09-17T06:10:11"/>
    <x v="4"/>
    <d v="2023-10-03T00:00:00"/>
    <n v="16.742928240739275"/>
    <x v="0"/>
    <x v="4"/>
    <n v="15.742928240739275"/>
    <x v="4"/>
  </r>
  <r>
    <n v="1006"/>
    <s v="1006111"/>
    <d v="2023-09-18T06:10:11"/>
    <s v="type36"/>
    <n v="436.28"/>
    <x v="5"/>
    <d v="2023-09-20T06:10:11"/>
    <x v="1"/>
    <d v="2023-10-03T00:00:00"/>
    <n v="14.742928240739275"/>
    <x v="0"/>
    <x v="9"/>
    <n v="12.742928240739275"/>
    <x v="9"/>
  </r>
  <r>
    <n v="1006"/>
    <s v="1006111"/>
    <d v="2023-09-20T06:10:11"/>
    <s v="type40"/>
    <n v="333.03"/>
    <x v="2"/>
    <d v="2023-09-21T06:10:11"/>
    <x v="1"/>
    <d v="2023-10-03T00:00:00"/>
    <n v="12.742928240739275"/>
    <x v="0"/>
    <x v="1"/>
    <n v="11.742928240739275"/>
    <x v="1"/>
  </r>
  <r>
    <n v="1033"/>
    <s v="1033111"/>
    <d v="2023-09-14T06:10:11"/>
    <s v="type40"/>
    <n v="3855.97"/>
    <x v="1"/>
    <d v="2023-09-21T06:10:11"/>
    <x v="4"/>
    <d v="2023-10-03T00:00:00"/>
    <n v="18.742928240739275"/>
    <x v="0"/>
    <x v="1"/>
    <n v="11.742928240739275"/>
    <x v="1"/>
  </r>
  <r>
    <n v="1002"/>
    <s v="1002111"/>
    <d v="2023-09-19T06:10:11"/>
    <s v="type40"/>
    <n v="307.73"/>
    <x v="5"/>
    <d v="2023-09-24T06:10:11"/>
    <x v="3"/>
    <d v="2023-10-03T00:00:00"/>
    <n v="13.742928240739275"/>
    <x v="0"/>
    <x v="5"/>
    <n v="8.7429282407392748"/>
    <x v="5"/>
  </r>
  <r>
    <n v="1002"/>
    <s v="1002111"/>
    <d v="2023-09-22T06:10:11"/>
    <s v="type19"/>
    <n v="352.29"/>
    <x v="5"/>
    <d v="2023-09-27T06:10:11"/>
    <x v="3"/>
    <d v="2023-10-03T00:00:00"/>
    <n v="10.742928240739275"/>
    <x v="0"/>
    <x v="12"/>
    <n v="5.7429282407392748"/>
    <x v="12"/>
  </r>
  <r>
    <n v="1023"/>
    <s v="1023111"/>
    <d v="2023-09-16T06:10:11"/>
    <s v="type40"/>
    <n v="4442.0200000000004"/>
    <x v="6"/>
    <d v="2023-09-23T06:10:11"/>
    <x v="0"/>
    <d v="2023-10-03T00:00:00"/>
    <n v="16.742928240739275"/>
    <x v="0"/>
    <x v="3"/>
    <n v="9.7429282407392748"/>
    <x v="3"/>
  </r>
  <r>
    <n v="1031"/>
    <s v="1031111"/>
    <d v="2023-09-13T06:10:11"/>
    <s v="type26"/>
    <n v="1288451.2"/>
    <x v="5"/>
    <d v="2023-09-20T06:10:11"/>
    <x v="4"/>
    <d v="2023-10-03T00:00:00"/>
    <n v="19.742928240739275"/>
    <x v="0"/>
    <x v="9"/>
    <n v="12.742928240739275"/>
    <x v="9"/>
  </r>
  <r>
    <n v="1031"/>
    <s v="1031111"/>
    <d v="2023-09-17T06:10:11"/>
    <s v="type40"/>
    <n v="605.59"/>
    <x v="1"/>
    <d v="2023-09-24T06:10:11"/>
    <x v="4"/>
    <d v="2023-10-03T00:00:00"/>
    <n v="15.742928240739275"/>
    <x v="0"/>
    <x v="5"/>
    <n v="8.7429282407392748"/>
    <x v="5"/>
  </r>
  <r>
    <n v="1035"/>
    <s v="1035111"/>
    <d v="2023-09-16T06:10:11"/>
    <s v="type13"/>
    <n v="69328"/>
    <x v="2"/>
    <d v="2023-09-18T06:10:11"/>
    <x v="4"/>
    <d v="2023-10-03T00:00:00"/>
    <n v="16.742928240739275"/>
    <x v="0"/>
    <x v="6"/>
    <n v="14.742928240739275"/>
    <x v="6"/>
  </r>
  <r>
    <n v="1001"/>
    <s v="1001111"/>
    <d v="2023-09-21T06:10:11"/>
    <s v="type40"/>
    <n v="31.49"/>
    <x v="4"/>
    <d v="2023-09-28T06:10:11"/>
    <x v="3"/>
    <d v="2023-10-03T00:00:00"/>
    <n v="11.742928240739275"/>
    <x v="0"/>
    <x v="8"/>
    <n v="4.7429282407392748"/>
    <x v="8"/>
  </r>
  <r>
    <n v="1014"/>
    <s v="1014111"/>
    <d v="2023-09-19T06:10:11"/>
    <s v="type40"/>
    <n v="-1467.9"/>
    <x v="3"/>
    <d v="2023-09-20T06:10:11"/>
    <x v="2"/>
    <d v="2023-10-03T00:00:00"/>
    <n v="13.742928240739275"/>
    <x v="0"/>
    <x v="9"/>
    <n v="12.742928240739275"/>
    <x v="9"/>
  </r>
  <r>
    <n v="1006"/>
    <s v="1006111"/>
    <d v="2023-09-13T06:10:11"/>
    <s v="type42"/>
    <n v="440"/>
    <x v="4"/>
    <d v="2023-09-20T06:10:11"/>
    <x v="1"/>
    <d v="2023-10-03T00:00:00"/>
    <n v="19.742928240739275"/>
    <x v="0"/>
    <x v="9"/>
    <n v="12.742928240739275"/>
    <x v="9"/>
  </r>
  <r>
    <n v="1016"/>
    <s v="1016111"/>
    <d v="2023-09-20T06:10:11"/>
    <s v="type40"/>
    <n v="1462.88"/>
    <x v="5"/>
    <d v="2023-09-21T06:10:11"/>
    <x v="2"/>
    <d v="2023-10-03T00:00:00"/>
    <n v="12.742928240739275"/>
    <x v="0"/>
    <x v="1"/>
    <n v="11.742928240739275"/>
    <x v="1"/>
  </r>
  <r>
    <n v="1016"/>
    <s v="1016111"/>
    <d v="2023-09-15T06:10:11"/>
    <s v="type24"/>
    <n v="169.9"/>
    <x v="5"/>
    <d v="2023-09-17T06:10:11"/>
    <x v="2"/>
    <d v="2023-10-03T00:00:00"/>
    <n v="17.742928240739275"/>
    <x v="0"/>
    <x v="4"/>
    <n v="15.742928240739275"/>
    <x v="4"/>
  </r>
  <r>
    <n v="1022"/>
    <s v="1022111"/>
    <d v="2023-09-21T06:10:11"/>
    <s v="type40"/>
    <n v="-1992.57"/>
    <x v="3"/>
    <d v="2023-09-22T06:10:11"/>
    <x v="0"/>
    <d v="2023-10-03T00:00:00"/>
    <n v="11.742928240739275"/>
    <x v="0"/>
    <x v="10"/>
    <n v="10.742928240739275"/>
    <x v="10"/>
  </r>
  <r>
    <n v="1013"/>
    <s v="1013111"/>
    <d v="2023-09-17T06:10:11"/>
    <s v="type40"/>
    <n v="2489.7600000000002"/>
    <x v="4"/>
    <d v="2023-09-18T06:10:11"/>
    <x v="2"/>
    <d v="2023-10-03T00:00:00"/>
    <n v="15.742928240739275"/>
    <x v="0"/>
    <x v="6"/>
    <n v="14.742928240739275"/>
    <x v="6"/>
  </r>
  <r>
    <n v="1022"/>
    <s v="1022111"/>
    <d v="2023-09-23T06:10:11"/>
    <s v="type40"/>
    <n v="582.29"/>
    <x v="3"/>
    <d v="2023-09-24T06:10:11"/>
    <x v="0"/>
    <d v="2023-10-03T00:00:00"/>
    <n v="9.7429282407392748"/>
    <x v="0"/>
    <x v="5"/>
    <n v="8.7429282407392748"/>
    <x v="5"/>
  </r>
  <r>
    <n v="1016"/>
    <s v="1016111"/>
    <d v="2023-09-24T06:10:11"/>
    <s v="type40"/>
    <n v="358.5"/>
    <x v="3"/>
    <d v="2023-09-25T06:10:11"/>
    <x v="2"/>
    <d v="2023-10-03T00:00:00"/>
    <n v="8.7429282407392748"/>
    <x v="1"/>
    <x v="11"/>
    <n v="7.7429282407392748"/>
    <x v="11"/>
  </r>
  <r>
    <n v="1005"/>
    <s v="1005111"/>
    <d v="2023-09-19T06:10:11"/>
    <s v="type30"/>
    <n v="1258259.92"/>
    <x v="2"/>
    <d v="2023-09-21T06:10:11"/>
    <x v="3"/>
    <d v="2023-10-03T00:00:00"/>
    <n v="13.742928240739275"/>
    <x v="0"/>
    <x v="1"/>
    <n v="11.742928240739275"/>
    <x v="1"/>
  </r>
  <r>
    <n v="1020"/>
    <s v="1020111"/>
    <d v="2023-09-26T06:10:11"/>
    <s v="type40"/>
    <n v="-436.3"/>
    <x v="1"/>
    <d v="2023-09-27T06:10:11"/>
    <x v="0"/>
    <d v="2023-10-03T00:00:00"/>
    <n v="6.7429282407392748"/>
    <x v="1"/>
    <x v="12"/>
    <n v="5.7429282407392748"/>
    <x v="12"/>
  </r>
  <r>
    <n v="1022"/>
    <s v="1022111"/>
    <d v="2023-09-23T06:10:11"/>
    <s v="type40"/>
    <n v="867.12"/>
    <x v="6"/>
    <d v="2023-09-24T06:10:11"/>
    <x v="0"/>
    <d v="2023-10-03T00:00:00"/>
    <n v="9.7429282407392748"/>
    <x v="0"/>
    <x v="5"/>
    <n v="8.7429282407392748"/>
    <x v="5"/>
  </r>
  <r>
    <n v="1012"/>
    <s v="1012111"/>
    <d v="2023-09-28T06:10:11"/>
    <s v="type40"/>
    <n v="-305.76"/>
    <x v="1"/>
    <d v="2023-09-29T06:10:11"/>
    <x v="2"/>
    <d v="2023-10-03T00:00:00"/>
    <n v="4.7429282407392748"/>
    <x v="2"/>
    <x v="13"/>
    <n v="3.7429282407392748"/>
    <x v="13"/>
  </r>
  <r>
    <n v="1032"/>
    <s v="1032111"/>
    <d v="2023-09-16T06:10:11"/>
    <s v="type13"/>
    <n v="21215.33"/>
    <x v="5"/>
    <d v="2023-09-18T06:10:11"/>
    <x v="4"/>
    <d v="2023-10-03T00:00:00"/>
    <n v="16.742928240739275"/>
    <x v="0"/>
    <x v="6"/>
    <n v="14.742928240739275"/>
    <x v="6"/>
  </r>
  <r>
    <n v="1001"/>
    <s v="1001111"/>
    <d v="2023-09-19T06:10:11"/>
    <s v="type11"/>
    <n v="290"/>
    <x v="5"/>
    <d v="2023-09-21T06:10:11"/>
    <x v="3"/>
    <d v="2023-10-03T00:00:00"/>
    <n v="13.742928240739275"/>
    <x v="0"/>
    <x v="1"/>
    <n v="11.742928240739275"/>
    <x v="1"/>
  </r>
  <r>
    <n v="1027"/>
    <s v="1027111"/>
    <d v="2023-09-18T06:10:11"/>
    <s v="type26"/>
    <n v="109.89"/>
    <x v="4"/>
    <d v="2023-09-20T06:10:11"/>
    <x v="5"/>
    <d v="2023-10-03T00:00:00"/>
    <n v="14.742928240739275"/>
    <x v="0"/>
    <x v="9"/>
    <n v="12.742928240739275"/>
    <x v="9"/>
  </r>
  <r>
    <n v="1001"/>
    <s v="1001111"/>
    <d v="2023-09-18T06:10:11"/>
    <s v="type40"/>
    <n v="20"/>
    <x v="1"/>
    <d v="2023-09-19T06:10:11"/>
    <x v="3"/>
    <d v="2023-10-03T00:00:00"/>
    <n v="14.742928240739275"/>
    <x v="0"/>
    <x v="19"/>
    <n v="13.742928240739275"/>
    <x v="19"/>
  </r>
  <r>
    <n v="1006"/>
    <s v="1006111"/>
    <d v="2023-09-21T06:10:11"/>
    <s v="type13"/>
    <n v="26027.21"/>
    <x v="5"/>
    <d v="2023-09-26T06:10:11"/>
    <x v="1"/>
    <d v="2023-10-03T00:00:00"/>
    <n v="11.742928240739275"/>
    <x v="0"/>
    <x v="7"/>
    <n v="6.7429282407392748"/>
    <x v="7"/>
  </r>
  <r>
    <n v="1011"/>
    <s v="1011111"/>
    <d v="2023-09-20T06:10:11"/>
    <s v="type34"/>
    <n v="104.82"/>
    <x v="3"/>
    <d v="2023-09-22T06:10:11"/>
    <x v="1"/>
    <d v="2023-10-03T00:00:00"/>
    <n v="12.742928240739275"/>
    <x v="0"/>
    <x v="10"/>
    <n v="10.742928240739275"/>
    <x v="10"/>
  </r>
  <r>
    <n v="1001"/>
    <s v="1001111"/>
    <d v="2023-09-18T06:10:11"/>
    <s v="type10"/>
    <n v="22.01"/>
    <x v="4"/>
    <d v="2023-09-20T06:10:11"/>
    <x v="3"/>
    <d v="2023-10-03T00:00:00"/>
    <n v="14.742928240739275"/>
    <x v="0"/>
    <x v="9"/>
    <n v="12.742928240739275"/>
    <x v="9"/>
  </r>
  <r>
    <n v="1029"/>
    <s v="1029111"/>
    <d v="2023-09-18T06:10:11"/>
    <s v="type40"/>
    <n v="3300.75"/>
    <x v="6"/>
    <d v="2023-09-19T06:10:11"/>
    <x v="5"/>
    <d v="2023-10-03T00:00:00"/>
    <n v="14.742928240739275"/>
    <x v="0"/>
    <x v="19"/>
    <n v="13.742928240739275"/>
    <x v="19"/>
  </r>
  <r>
    <n v="1005"/>
    <s v="1005111"/>
    <d v="2023-09-23T06:10:11"/>
    <s v="type35"/>
    <n v="1111.6600000000001"/>
    <x v="5"/>
    <d v="2023-09-30T06:10:11"/>
    <x v="3"/>
    <d v="2023-10-03T00:00:00"/>
    <n v="9.7429282407392748"/>
    <x v="0"/>
    <x v="14"/>
    <n v="2.7429282407392748"/>
    <x v="14"/>
  </r>
  <r>
    <n v="1020"/>
    <s v="1020111"/>
    <d v="2023-09-22T06:10:11"/>
    <s v="type40"/>
    <n v="712.14"/>
    <x v="3"/>
    <d v="2023-09-24T06:10:11"/>
    <x v="0"/>
    <d v="2023-10-03T00:00:00"/>
    <n v="10.742928240739275"/>
    <x v="0"/>
    <x v="5"/>
    <n v="8.7429282407392748"/>
    <x v="5"/>
  </r>
  <r>
    <n v="1027"/>
    <s v="1027111"/>
    <d v="2023-09-13T06:10:11"/>
    <s v="type42"/>
    <n v="171.68"/>
    <x v="6"/>
    <d v="2023-09-15T06:10:11"/>
    <x v="5"/>
    <d v="2023-10-03T00:00:00"/>
    <n v="19.742928240739275"/>
    <x v="0"/>
    <x v="0"/>
    <n v="17.742928240739275"/>
    <x v="0"/>
  </r>
  <r>
    <n v="1012"/>
    <s v="1012111"/>
    <d v="2023-09-24T06:10:11"/>
    <s v="type40"/>
    <n v="4819.82"/>
    <x v="3"/>
    <d v="2023-09-26T06:10:11"/>
    <x v="2"/>
    <d v="2023-10-03T00:00:00"/>
    <n v="8.7429282407392748"/>
    <x v="1"/>
    <x v="7"/>
    <n v="6.7429282407392748"/>
    <x v="7"/>
  </r>
  <r>
    <n v="1020"/>
    <s v="1020111"/>
    <d v="2023-09-25T06:10:11"/>
    <s v="type40"/>
    <n v="429.91"/>
    <x v="1"/>
    <d v="2023-09-27T06:10:11"/>
    <x v="0"/>
    <d v="2023-10-03T00:00:00"/>
    <n v="7.7429282407392748"/>
    <x v="1"/>
    <x v="12"/>
    <n v="5.7429282407392748"/>
    <x v="12"/>
  </r>
  <r>
    <n v="1031"/>
    <s v="1031111"/>
    <d v="2023-09-20T06:10:11"/>
    <s v="type40"/>
    <n v="1.89"/>
    <x v="4"/>
    <d v="2023-09-22T06:10:11"/>
    <x v="4"/>
    <d v="2023-10-03T00:00:00"/>
    <n v="12.742928240739275"/>
    <x v="0"/>
    <x v="10"/>
    <n v="10.742928240739275"/>
    <x v="10"/>
  </r>
  <r>
    <n v="1018"/>
    <s v="1018111"/>
    <d v="2023-09-18T06:10:11"/>
    <s v="type40"/>
    <n v="26.49"/>
    <x v="5"/>
    <d v="2023-09-25T06:10:11"/>
    <x v="0"/>
    <d v="2023-10-03T00:00:00"/>
    <n v="14.742928240739275"/>
    <x v="0"/>
    <x v="11"/>
    <n v="7.7429282407392748"/>
    <x v="11"/>
  </r>
  <r>
    <n v="1023"/>
    <s v="1023111"/>
    <d v="2023-09-28T06:10:11"/>
    <s v="type40"/>
    <n v="378.31"/>
    <x v="3"/>
    <d v="2023-09-30T06:10:11"/>
    <x v="0"/>
    <d v="2023-10-03T00:00:00"/>
    <n v="4.7429282407392748"/>
    <x v="2"/>
    <x v="14"/>
    <n v="2.7429282407392748"/>
    <x v="14"/>
  </r>
  <r>
    <n v="1033"/>
    <s v="1033111"/>
    <d v="2023-09-21T06:10:11"/>
    <s v="type35"/>
    <n v="1618.89"/>
    <x v="2"/>
    <d v="2023-09-23T06:10:11"/>
    <x v="4"/>
    <d v="2023-10-03T00:00:00"/>
    <n v="11.742928240739275"/>
    <x v="0"/>
    <x v="3"/>
    <n v="9.7429282407392748"/>
    <x v="3"/>
  </r>
  <r>
    <n v="1025"/>
    <s v="1025111"/>
    <d v="2023-09-21T06:10:11"/>
    <s v="type40"/>
    <n v="11.4"/>
    <x v="5"/>
    <d v="2023-09-28T06:10:11"/>
    <x v="5"/>
    <d v="2023-10-03T00:00:00"/>
    <n v="11.742928240739275"/>
    <x v="0"/>
    <x v="8"/>
    <n v="4.7429282407392748"/>
    <x v="8"/>
  </r>
  <r>
    <n v="1012"/>
    <s v="1012111"/>
    <d v="2023-09-20T06:10:11"/>
    <s v="type48"/>
    <n v="560.5"/>
    <x v="2"/>
    <d v="2023-09-27T06:10:11"/>
    <x v="2"/>
    <d v="2023-10-03T00:00:00"/>
    <n v="12.742928240739275"/>
    <x v="0"/>
    <x v="12"/>
    <n v="5.7429282407392748"/>
    <x v="12"/>
  </r>
  <r>
    <n v="1002"/>
    <s v="1002111"/>
    <d v="2023-09-13T06:10:11"/>
    <s v="type40"/>
    <n v="-303.75"/>
    <x v="3"/>
    <d v="2023-09-15T06:10:11"/>
    <x v="3"/>
    <d v="2023-10-03T00:00:00"/>
    <n v="19.742928240739275"/>
    <x v="0"/>
    <x v="0"/>
    <n v="17.742928240739275"/>
    <x v="0"/>
  </r>
  <r>
    <n v="1024"/>
    <s v="1024111"/>
    <d v="2023-09-13T06:10:11"/>
    <s v="type40"/>
    <n v="-958.54"/>
    <x v="1"/>
    <d v="2023-09-15T06:10:11"/>
    <x v="5"/>
    <d v="2023-10-03T00:00:00"/>
    <n v="19.742928240739275"/>
    <x v="0"/>
    <x v="0"/>
    <n v="17.742928240739275"/>
    <x v="0"/>
  </r>
  <r>
    <n v="1007"/>
    <s v="1007111"/>
    <d v="2023-09-21T06:10:11"/>
    <s v="type40"/>
    <n v="-351.38"/>
    <x v="4"/>
    <d v="2023-09-28T06:10:11"/>
    <x v="1"/>
    <d v="2023-10-03T00:00:00"/>
    <n v="11.742928240739275"/>
    <x v="0"/>
    <x v="8"/>
    <n v="4.7429282407392748"/>
    <x v="8"/>
  </r>
  <r>
    <n v="1000"/>
    <s v="1000111"/>
    <d v="2023-09-16T06:10:11"/>
    <s v="type40"/>
    <n v="-9151.66"/>
    <x v="6"/>
    <d v="2023-09-18T06:10:11"/>
    <x v="3"/>
    <d v="2023-10-03T00:00:00"/>
    <n v="16.742928240739275"/>
    <x v="0"/>
    <x v="6"/>
    <n v="14.742928240739275"/>
    <x v="6"/>
  </r>
  <r>
    <n v="1001"/>
    <s v="1001111"/>
    <d v="2023-09-10T06:10:11"/>
    <s v="type23"/>
    <n v="303.41000000000003"/>
    <x v="5"/>
    <d v="2023-09-17T06:10:11"/>
    <x v="3"/>
    <d v="2023-10-03T00:00:00"/>
    <n v="22.742928240739275"/>
    <x v="0"/>
    <x v="4"/>
    <n v="15.742928240739275"/>
    <x v="4"/>
  </r>
  <r>
    <n v="1011"/>
    <s v="1011111"/>
    <d v="2023-09-15T06:10:11"/>
    <s v="type38"/>
    <n v="358.71"/>
    <x v="4"/>
    <d v="2023-09-22T06:10:11"/>
    <x v="1"/>
    <d v="2023-10-03T00:00:00"/>
    <n v="17.742928240739275"/>
    <x v="0"/>
    <x v="10"/>
    <n v="10.742928240739275"/>
    <x v="10"/>
  </r>
  <r>
    <n v="1001"/>
    <s v="1001111"/>
    <d v="2023-09-16T06:10:11"/>
    <s v="type40"/>
    <n v="2214.9699999999998"/>
    <x v="6"/>
    <d v="2023-09-21T06:10:11"/>
    <x v="3"/>
    <d v="2023-10-03T00:00:00"/>
    <n v="16.742928240739275"/>
    <x v="0"/>
    <x v="1"/>
    <n v="11.742928240739275"/>
    <x v="1"/>
  </r>
  <r>
    <n v="1016"/>
    <s v="1016111"/>
    <d v="2023-09-23T06:10:11"/>
    <s v="type26"/>
    <n v="3303.49"/>
    <x v="2"/>
    <d v="2023-09-30T06:10:11"/>
    <x v="2"/>
    <d v="2023-10-03T00:00:00"/>
    <n v="9.7429282407392748"/>
    <x v="0"/>
    <x v="14"/>
    <n v="2.7429282407392748"/>
    <x v="14"/>
  </r>
  <r>
    <n v="1021"/>
    <s v="1021111"/>
    <d v="2023-09-17T06:10:11"/>
    <s v="type13"/>
    <n v="27620.560000000001"/>
    <x v="5"/>
    <d v="2023-09-24T06:10:11"/>
    <x v="0"/>
    <d v="2023-10-03T00:00:00"/>
    <n v="15.742928240739275"/>
    <x v="0"/>
    <x v="5"/>
    <n v="8.7429282407392748"/>
    <x v="5"/>
  </r>
  <r>
    <n v="1000"/>
    <s v="1000111"/>
    <d v="2023-09-23T06:10:11"/>
    <s v="type40"/>
    <n v="333.21"/>
    <x v="6"/>
    <d v="2023-09-30T06:10:11"/>
    <x v="3"/>
    <d v="2023-10-03T00:00:00"/>
    <n v="9.7429282407392748"/>
    <x v="0"/>
    <x v="14"/>
    <n v="2.7429282407392748"/>
    <x v="14"/>
  </r>
  <r>
    <n v="1028"/>
    <s v="1028111"/>
    <d v="2023-09-19T06:10:11"/>
    <s v="type19"/>
    <n v="306.14999999999998"/>
    <x v="5"/>
    <d v="2023-09-20T06:10:11"/>
    <x v="5"/>
    <d v="2023-10-03T00:00:00"/>
    <n v="13.742928240739275"/>
    <x v="0"/>
    <x v="9"/>
    <n v="12.742928240739275"/>
    <x v="9"/>
  </r>
  <r>
    <n v="1022"/>
    <s v="1022111"/>
    <d v="2023-09-20T06:10:11"/>
    <s v="type17"/>
    <n v="1771.9"/>
    <x v="5"/>
    <d v="2023-09-22T06:10:11"/>
    <x v="0"/>
    <d v="2023-10-03T00:00:00"/>
    <n v="12.742928240739275"/>
    <x v="0"/>
    <x v="10"/>
    <n v="10.742928240739275"/>
    <x v="10"/>
  </r>
  <r>
    <n v="1029"/>
    <s v="1029111"/>
    <d v="2023-09-10T06:10:11"/>
    <s v="type54"/>
    <n v="-0.02"/>
    <x v="2"/>
    <d v="2023-09-11T06:10:11"/>
    <x v="5"/>
    <d v="2023-10-03T00:00:00"/>
    <n v="22.742928240739275"/>
    <x v="0"/>
    <x v="21"/>
    <n v="21.742928240739275"/>
    <x v="21"/>
  </r>
  <r>
    <n v="1025"/>
    <s v="1025111"/>
    <d v="2023-09-16T06:10:11"/>
    <s v="type40"/>
    <n v="-577.08000000000004"/>
    <x v="4"/>
    <d v="2023-09-23T06:10:11"/>
    <x v="5"/>
    <d v="2023-10-03T00:00:00"/>
    <n v="16.742928240739275"/>
    <x v="0"/>
    <x v="3"/>
    <n v="9.7429282407392748"/>
    <x v="3"/>
  </r>
  <r>
    <n v="1032"/>
    <s v="1032111"/>
    <d v="2023-09-21T06:10:11"/>
    <s v="type40"/>
    <n v="-6702.61"/>
    <x v="3"/>
    <d v="2023-09-26T06:10:11"/>
    <x v="4"/>
    <d v="2023-10-03T00:00:00"/>
    <n v="11.742928240739275"/>
    <x v="0"/>
    <x v="7"/>
    <n v="6.7429282407392748"/>
    <x v="7"/>
  </r>
  <r>
    <n v="1003"/>
    <s v="1003111"/>
    <d v="2023-09-21T06:10:11"/>
    <s v="type40"/>
    <n v="-2412.5"/>
    <x v="3"/>
    <d v="2023-09-28T06:10:11"/>
    <x v="3"/>
    <d v="2023-10-03T00:00:00"/>
    <n v="11.742928240739275"/>
    <x v="0"/>
    <x v="8"/>
    <n v="4.7429282407392748"/>
    <x v="8"/>
  </r>
  <r>
    <n v="1033"/>
    <s v="1033111"/>
    <d v="2023-09-22T06:10:11"/>
    <s v="type40"/>
    <n v="-460.53"/>
    <x v="1"/>
    <d v="2023-09-29T06:10:11"/>
    <x v="4"/>
    <d v="2023-10-03T00:00:00"/>
    <n v="10.742928240739275"/>
    <x v="0"/>
    <x v="13"/>
    <n v="3.7429282407392748"/>
    <x v="13"/>
  </r>
  <r>
    <n v="1011"/>
    <s v="1011111"/>
    <d v="2023-09-23T06:10:11"/>
    <s v="type40"/>
    <n v="-4787.13"/>
    <x v="3"/>
    <d v="2023-09-30T06:10:11"/>
    <x v="1"/>
    <d v="2023-10-03T00:00:00"/>
    <n v="9.7429282407392748"/>
    <x v="0"/>
    <x v="14"/>
    <n v="2.7429282407392748"/>
    <x v="14"/>
  </r>
  <r>
    <n v="1017"/>
    <s v="1017111"/>
    <d v="2023-09-21T06:10:11"/>
    <s v="type40"/>
    <n v="30"/>
    <x v="5"/>
    <d v="2023-09-23T06:10:11"/>
    <x v="2"/>
    <d v="2023-10-03T00:00:00"/>
    <n v="11.742928240739275"/>
    <x v="0"/>
    <x v="3"/>
    <n v="9.7429282407392748"/>
    <x v="3"/>
  </r>
  <r>
    <n v="1006"/>
    <s v="1006111"/>
    <d v="2023-09-22T06:10:11"/>
    <s v="type13"/>
    <n v="22756.03"/>
    <x v="5"/>
    <d v="2023-09-27T06:10:11"/>
    <x v="1"/>
    <d v="2023-10-03T00:00:00"/>
    <n v="10.742928240739275"/>
    <x v="0"/>
    <x v="12"/>
    <n v="5.7429282407392748"/>
    <x v="12"/>
  </r>
  <r>
    <n v="1021"/>
    <s v="1021111"/>
    <d v="2023-09-18T06:10:11"/>
    <s v="type40"/>
    <n v="27.16"/>
    <x v="4"/>
    <d v="2023-09-25T06:10:11"/>
    <x v="0"/>
    <d v="2023-10-03T00:00:00"/>
    <n v="14.742928240739275"/>
    <x v="0"/>
    <x v="11"/>
    <n v="7.7429282407392748"/>
    <x v="11"/>
  </r>
  <r>
    <n v="1009"/>
    <s v="1009111"/>
    <d v="2023-09-27T06:10:11"/>
    <s v="type40"/>
    <n v="-6025.84"/>
    <x v="1"/>
    <d v="2023-10-04T06:10:11"/>
    <x v="1"/>
    <d v="2023-10-03T00:00:00"/>
    <n v="5.7429282407392748"/>
    <x v="2"/>
    <x v="23"/>
    <n v="-1.2570717592607252"/>
    <x v="23"/>
  </r>
  <r>
    <n v="1020"/>
    <s v="1020111"/>
    <d v="2023-09-14T06:10:11"/>
    <s v="type40"/>
    <n v="922.42"/>
    <x v="2"/>
    <d v="2023-09-16T06:10:11"/>
    <x v="0"/>
    <d v="2023-10-03T00:00:00"/>
    <n v="18.742928240739275"/>
    <x v="0"/>
    <x v="2"/>
    <n v="16.742928240739275"/>
    <x v="2"/>
  </r>
  <r>
    <n v="1001"/>
    <s v="1001111"/>
    <d v="2023-09-23T06:10:11"/>
    <s v="type42"/>
    <n v="197.91"/>
    <x v="5"/>
    <d v="2023-09-30T06:10:11"/>
    <x v="3"/>
    <d v="2023-10-03T00:00:00"/>
    <n v="9.7429282407392748"/>
    <x v="0"/>
    <x v="14"/>
    <n v="2.7429282407392748"/>
    <x v="14"/>
  </r>
  <r>
    <n v="1021"/>
    <s v="1021111"/>
    <d v="2023-09-16T06:10:11"/>
    <s v="type33"/>
    <n v="552.59"/>
    <x v="2"/>
    <d v="2023-09-18T06:10:11"/>
    <x v="0"/>
    <d v="2023-10-03T00:00:00"/>
    <n v="16.742928240739275"/>
    <x v="0"/>
    <x v="6"/>
    <n v="14.742928240739275"/>
    <x v="6"/>
  </r>
  <r>
    <n v="1018"/>
    <s v="1018111"/>
    <d v="2023-09-20T06:10:11"/>
    <s v="type40"/>
    <n v="20"/>
    <x v="4"/>
    <d v="2023-09-21T06:10:11"/>
    <x v="0"/>
    <d v="2023-10-03T00:00:00"/>
    <n v="12.742928240739275"/>
    <x v="0"/>
    <x v="1"/>
    <n v="11.742928240739275"/>
    <x v="1"/>
  </r>
  <r>
    <n v="1006"/>
    <s v="1006111"/>
    <d v="2023-09-21T06:10:11"/>
    <s v="type40"/>
    <n v="361.86"/>
    <x v="4"/>
    <d v="2023-09-22T06:10:11"/>
    <x v="1"/>
    <d v="2023-10-03T00:00:00"/>
    <n v="11.742928240739275"/>
    <x v="0"/>
    <x v="10"/>
    <n v="10.742928240739275"/>
    <x v="10"/>
  </r>
  <r>
    <n v="1009"/>
    <s v="1009111"/>
    <d v="2023-09-18T06:10:11"/>
    <s v="type40"/>
    <n v="2"/>
    <x v="2"/>
    <d v="2023-09-20T06:10:11"/>
    <x v="1"/>
    <d v="2023-10-03T00:00:00"/>
    <n v="14.742928240739275"/>
    <x v="0"/>
    <x v="9"/>
    <n v="12.742928240739275"/>
    <x v="9"/>
  </r>
  <r>
    <n v="1020"/>
    <s v="1020111"/>
    <d v="2023-09-10T06:10:11"/>
    <s v="type40"/>
    <n v="-810.34"/>
    <x v="6"/>
    <d v="2023-09-11T06:10:11"/>
    <x v="0"/>
    <d v="2023-10-03T00:00:00"/>
    <n v="22.742928240739275"/>
    <x v="0"/>
    <x v="21"/>
    <n v="21.742928240739275"/>
    <x v="21"/>
  </r>
  <r>
    <n v="1025"/>
    <s v="1025111"/>
    <d v="2023-09-19T06:10:11"/>
    <s v="type8"/>
    <n v="166.06"/>
    <x v="2"/>
    <d v="2023-09-21T06:10:11"/>
    <x v="5"/>
    <d v="2023-10-03T00:00:00"/>
    <n v="13.742928240739275"/>
    <x v="0"/>
    <x v="1"/>
    <n v="11.742928240739275"/>
    <x v="1"/>
  </r>
  <r>
    <n v="1002"/>
    <s v="1002111"/>
    <d v="2023-09-21T06:10:11"/>
    <s v="type40"/>
    <n v="-849.4"/>
    <x v="4"/>
    <d v="2023-09-22T06:10:11"/>
    <x v="3"/>
    <d v="2023-10-03T00:00:00"/>
    <n v="11.742928240739275"/>
    <x v="0"/>
    <x v="10"/>
    <n v="10.742928240739275"/>
    <x v="10"/>
  </r>
  <r>
    <n v="1025"/>
    <s v="1025111"/>
    <d v="2023-09-14T06:10:11"/>
    <s v="type13"/>
    <n v="18615.849999999999"/>
    <x v="5"/>
    <d v="2023-09-21T06:10:11"/>
    <x v="5"/>
    <d v="2023-10-03T00:00:00"/>
    <n v="18.742928240739275"/>
    <x v="0"/>
    <x v="1"/>
    <n v="11.742928240739275"/>
    <x v="1"/>
  </r>
  <r>
    <n v="1023"/>
    <s v="1023111"/>
    <d v="2023-09-21T06:10:11"/>
    <s v="type40"/>
    <n v="51.06"/>
    <x v="5"/>
    <d v="2023-09-22T06:10:11"/>
    <x v="0"/>
    <d v="2023-10-03T00:00:00"/>
    <n v="11.742928240739275"/>
    <x v="0"/>
    <x v="10"/>
    <n v="10.742928240739275"/>
    <x v="10"/>
  </r>
  <r>
    <n v="1004"/>
    <s v="1004111"/>
    <d v="2023-09-13T06:10:11"/>
    <s v="type40"/>
    <n v="-704.77"/>
    <x v="6"/>
    <d v="2023-09-14T06:10:11"/>
    <x v="3"/>
    <d v="2023-10-03T00:00:00"/>
    <n v="19.742928240739275"/>
    <x v="0"/>
    <x v="20"/>
    <n v="18.742928240739275"/>
    <x v="20"/>
  </r>
  <r>
    <n v="1025"/>
    <s v="1025111"/>
    <d v="2023-09-20T06:10:11"/>
    <s v="type40"/>
    <n v="17.739999999999998"/>
    <x v="2"/>
    <d v="2023-09-22T06:10:11"/>
    <x v="5"/>
    <d v="2023-10-03T00:00:00"/>
    <n v="12.742928240739275"/>
    <x v="0"/>
    <x v="10"/>
    <n v="10.742928240739275"/>
    <x v="10"/>
  </r>
  <r>
    <n v="1016"/>
    <s v="1016111"/>
    <d v="2023-09-19T06:10:11"/>
    <s v="type13"/>
    <n v="12276"/>
    <x v="5"/>
    <d v="2023-09-20T06:10:11"/>
    <x v="2"/>
    <d v="2023-10-03T00:00:00"/>
    <n v="13.742928240739275"/>
    <x v="0"/>
    <x v="9"/>
    <n v="12.742928240739275"/>
    <x v="9"/>
  </r>
  <r>
    <n v="1004"/>
    <s v="1004111"/>
    <d v="2023-09-26T06:10:11"/>
    <s v="type40"/>
    <n v="303.5"/>
    <x v="1"/>
    <d v="2023-09-27T06:10:11"/>
    <x v="3"/>
    <d v="2023-10-03T00:00:00"/>
    <n v="6.7429282407392748"/>
    <x v="1"/>
    <x v="12"/>
    <n v="5.7429282407392748"/>
    <x v="12"/>
  </r>
  <r>
    <n v="1024"/>
    <s v="1024111"/>
    <d v="2023-09-23T06:10:11"/>
    <s v="type40"/>
    <n v="4715.76"/>
    <x v="4"/>
    <d v="2023-09-24T06:10:11"/>
    <x v="5"/>
    <d v="2023-10-03T00:00:00"/>
    <n v="9.7429282407392748"/>
    <x v="0"/>
    <x v="5"/>
    <n v="8.7429282407392748"/>
    <x v="5"/>
  </r>
  <r>
    <n v="1007"/>
    <s v="1007111"/>
    <d v="2023-09-21T06:10:11"/>
    <s v="type7"/>
    <n v="1374.67"/>
    <x v="5"/>
    <d v="2023-09-23T06:10:11"/>
    <x v="1"/>
    <d v="2023-10-03T00:00:00"/>
    <n v="11.742928240739275"/>
    <x v="0"/>
    <x v="3"/>
    <n v="9.7429282407392748"/>
    <x v="3"/>
  </r>
  <r>
    <n v="1030"/>
    <s v="1030111"/>
    <d v="2023-09-15T06:10:11"/>
    <s v="type42"/>
    <n v="200.56"/>
    <x v="6"/>
    <d v="2023-09-16T06:10:11"/>
    <x v="4"/>
    <d v="2023-10-03T00:00:00"/>
    <n v="17.742928240739275"/>
    <x v="0"/>
    <x v="2"/>
    <n v="16.742928240739275"/>
    <x v="2"/>
  </r>
  <r>
    <n v="1024"/>
    <s v="1024111"/>
    <d v="2023-09-12T06:10:11"/>
    <s v="type31"/>
    <n v="1200282.17"/>
    <x v="4"/>
    <d v="2023-09-14T06:10:11"/>
    <x v="5"/>
    <d v="2023-10-03T00:00:00"/>
    <n v="20.742928240739275"/>
    <x v="0"/>
    <x v="20"/>
    <n v="18.742928240739275"/>
    <x v="20"/>
  </r>
  <r>
    <n v="1017"/>
    <s v="1017111"/>
    <d v="2023-09-18T06:10:11"/>
    <s v="type40"/>
    <n v="3017.33"/>
    <x v="5"/>
    <d v="2023-09-23T06:10:11"/>
    <x v="2"/>
    <d v="2023-10-03T00:00:00"/>
    <n v="14.742928240739275"/>
    <x v="0"/>
    <x v="3"/>
    <n v="9.7429282407392748"/>
    <x v="3"/>
  </r>
  <r>
    <n v="1015"/>
    <s v="1015111"/>
    <d v="2023-09-13T06:10:11"/>
    <s v="type7"/>
    <n v="2006.04"/>
    <x v="1"/>
    <d v="2023-09-14T06:10:11"/>
    <x v="2"/>
    <d v="2023-10-03T00:00:00"/>
    <n v="19.742928240739275"/>
    <x v="0"/>
    <x v="20"/>
    <n v="18.742928240739275"/>
    <x v="20"/>
  </r>
  <r>
    <n v="1030"/>
    <s v="1030111"/>
    <d v="2023-09-13T06:10:11"/>
    <s v="type40"/>
    <n v="310.57"/>
    <x v="1"/>
    <d v="2023-09-14T06:10:11"/>
    <x v="4"/>
    <d v="2023-10-03T00:00:00"/>
    <n v="19.742928240739275"/>
    <x v="0"/>
    <x v="20"/>
    <n v="18.742928240739275"/>
    <x v="20"/>
  </r>
  <r>
    <n v="1000"/>
    <s v="1000111"/>
    <d v="2023-09-22T06:10:11"/>
    <s v="type40"/>
    <n v="-352.63"/>
    <x v="2"/>
    <d v="2023-09-24T06:10:11"/>
    <x v="3"/>
    <d v="2023-10-03T00:00:00"/>
    <n v="10.742928240739275"/>
    <x v="0"/>
    <x v="5"/>
    <n v="8.7429282407392748"/>
    <x v="5"/>
  </r>
  <r>
    <n v="1013"/>
    <s v="1013111"/>
    <d v="2023-09-14T06:10:11"/>
    <s v="type40"/>
    <n v="-350.15"/>
    <x v="1"/>
    <d v="2023-09-15T06:10:11"/>
    <x v="2"/>
    <d v="2023-10-03T00:00:00"/>
    <n v="18.742928240739275"/>
    <x v="0"/>
    <x v="0"/>
    <n v="17.742928240739275"/>
    <x v="0"/>
  </r>
  <r>
    <n v="1008"/>
    <s v="1008111"/>
    <d v="2023-09-20T06:10:11"/>
    <s v="type33"/>
    <n v="367.71"/>
    <x v="6"/>
    <d v="2023-09-22T06:10:11"/>
    <x v="1"/>
    <d v="2023-10-03T00:00:00"/>
    <n v="12.742928240739275"/>
    <x v="0"/>
    <x v="10"/>
    <n v="10.742928240739275"/>
    <x v="10"/>
  </r>
  <r>
    <n v="1028"/>
    <s v="1028111"/>
    <d v="2023-09-15T06:10:11"/>
    <s v="type40"/>
    <n v="1311.95"/>
    <x v="1"/>
    <d v="2023-09-16T06:10:11"/>
    <x v="5"/>
    <d v="2023-10-03T00:00:00"/>
    <n v="17.742928240739275"/>
    <x v="0"/>
    <x v="2"/>
    <n v="16.742928240739275"/>
    <x v="2"/>
  </r>
  <r>
    <n v="1027"/>
    <s v="1027111"/>
    <d v="2023-09-22T06:10:11"/>
    <s v="type40"/>
    <n v="492.56"/>
    <x v="5"/>
    <d v="2023-09-29T06:10:11"/>
    <x v="5"/>
    <d v="2023-10-03T00:00:00"/>
    <n v="10.742928240739275"/>
    <x v="0"/>
    <x v="13"/>
    <n v="3.7429282407392748"/>
    <x v="13"/>
  </r>
  <r>
    <n v="1015"/>
    <s v="1015111"/>
    <d v="2023-09-16T06:10:11"/>
    <s v="type40"/>
    <n v="319.51"/>
    <x v="1"/>
    <d v="2023-09-17T06:10:11"/>
    <x v="2"/>
    <d v="2023-10-03T00:00:00"/>
    <n v="16.742928240739275"/>
    <x v="0"/>
    <x v="4"/>
    <n v="15.742928240739275"/>
    <x v="4"/>
  </r>
  <r>
    <n v="1028"/>
    <s v="1028111"/>
    <d v="2023-09-15T06:10:11"/>
    <s v="type40"/>
    <n v="336.19"/>
    <x v="5"/>
    <d v="2023-09-22T06:10:11"/>
    <x v="5"/>
    <d v="2023-10-03T00:00:00"/>
    <n v="17.742928240739275"/>
    <x v="0"/>
    <x v="10"/>
    <n v="10.742928240739275"/>
    <x v="10"/>
  </r>
  <r>
    <n v="1003"/>
    <s v="1003111"/>
    <d v="2023-09-18T06:10:11"/>
    <s v="type40"/>
    <n v="-665.26"/>
    <x v="3"/>
    <d v="2023-09-20T06:10:11"/>
    <x v="3"/>
    <d v="2023-10-03T00:00:00"/>
    <n v="14.742928240739275"/>
    <x v="0"/>
    <x v="9"/>
    <n v="12.742928240739275"/>
    <x v="9"/>
  </r>
  <r>
    <n v="1023"/>
    <s v="1023111"/>
    <d v="2023-09-18T06:10:11"/>
    <s v="type40"/>
    <n v="-374.59"/>
    <x v="3"/>
    <d v="2023-09-20T06:10:11"/>
    <x v="0"/>
    <d v="2023-10-03T00:00:00"/>
    <n v="14.742928240739275"/>
    <x v="0"/>
    <x v="9"/>
    <n v="12.742928240739275"/>
    <x v="9"/>
  </r>
  <r>
    <n v="1028"/>
    <s v="1028111"/>
    <d v="2023-09-19T06:10:11"/>
    <s v="type40"/>
    <n v="320.68"/>
    <x v="3"/>
    <d v="2023-09-21T06:10:11"/>
    <x v="5"/>
    <d v="2023-10-03T00:00:00"/>
    <n v="13.742928240739275"/>
    <x v="0"/>
    <x v="1"/>
    <n v="11.742928240739275"/>
    <x v="1"/>
  </r>
  <r>
    <n v="1023"/>
    <s v="1023111"/>
    <d v="2023-09-14T06:10:11"/>
    <s v="type27"/>
    <n v="1124.76"/>
    <x v="4"/>
    <d v="2023-09-16T06:10:11"/>
    <x v="0"/>
    <d v="2023-10-03T00:00:00"/>
    <n v="18.742928240739275"/>
    <x v="0"/>
    <x v="2"/>
    <n v="16.742928240739275"/>
    <x v="2"/>
  </r>
  <r>
    <n v="1015"/>
    <s v="1015111"/>
    <d v="2023-09-15T06:10:11"/>
    <s v="type40"/>
    <n v="987.99"/>
    <x v="4"/>
    <d v="2023-09-20T06:10:11"/>
    <x v="2"/>
    <d v="2023-10-03T00:00:00"/>
    <n v="17.742928240739275"/>
    <x v="0"/>
    <x v="9"/>
    <n v="12.742928240739275"/>
    <x v="9"/>
  </r>
  <r>
    <n v="1033"/>
    <s v="1033111"/>
    <d v="2023-09-21T06:10:11"/>
    <s v="type40"/>
    <n v="-528.61"/>
    <x v="1"/>
    <d v="2023-09-23T06:10:11"/>
    <x v="4"/>
    <d v="2023-10-03T00:00:00"/>
    <n v="11.742928240739275"/>
    <x v="0"/>
    <x v="3"/>
    <n v="9.7429282407392748"/>
    <x v="3"/>
  </r>
  <r>
    <n v="1014"/>
    <s v="1014111"/>
    <d v="2023-09-17T06:10:11"/>
    <s v="type40"/>
    <n v="2958.17"/>
    <x v="4"/>
    <d v="2023-09-24T06:10:11"/>
    <x v="2"/>
    <d v="2023-10-03T00:00:00"/>
    <n v="15.742928240739275"/>
    <x v="0"/>
    <x v="5"/>
    <n v="8.7429282407392748"/>
    <x v="5"/>
  </r>
  <r>
    <n v="1012"/>
    <s v="1012111"/>
    <d v="2023-09-22T06:10:11"/>
    <s v="type40"/>
    <n v="-7499.93"/>
    <x v="3"/>
    <d v="2023-09-24T06:10:11"/>
    <x v="2"/>
    <d v="2023-10-03T00:00:00"/>
    <n v="10.742928240739275"/>
    <x v="0"/>
    <x v="5"/>
    <n v="8.7429282407392748"/>
    <x v="5"/>
  </r>
  <r>
    <n v="1012"/>
    <s v="1012111"/>
    <d v="2023-09-20T06:10:11"/>
    <s v="type19"/>
    <n v="305.27999999999997"/>
    <x v="4"/>
    <d v="2023-09-27T06:10:11"/>
    <x v="2"/>
    <d v="2023-10-03T00:00:00"/>
    <n v="12.742928240739275"/>
    <x v="0"/>
    <x v="12"/>
    <n v="5.7429282407392748"/>
    <x v="12"/>
  </r>
  <r>
    <n v="1032"/>
    <s v="1032111"/>
    <d v="2023-09-16T06:10:11"/>
    <s v="type40"/>
    <n v="990.24"/>
    <x v="5"/>
    <d v="2023-09-17T06:10:11"/>
    <x v="4"/>
    <d v="2023-10-03T00:00:00"/>
    <n v="16.742928240739275"/>
    <x v="0"/>
    <x v="4"/>
    <n v="15.742928240739275"/>
    <x v="4"/>
  </r>
  <r>
    <n v="1003"/>
    <s v="1003111"/>
    <d v="2023-09-20T06:10:11"/>
    <s v="type40"/>
    <n v="4224.13"/>
    <x v="5"/>
    <d v="2023-09-22T06:10:11"/>
    <x v="3"/>
    <d v="2023-10-03T00:00:00"/>
    <n v="12.742928240739275"/>
    <x v="0"/>
    <x v="10"/>
    <n v="10.742928240739275"/>
    <x v="10"/>
  </r>
  <r>
    <n v="1002"/>
    <s v="1002111"/>
    <d v="2023-09-23T06:10:11"/>
    <s v="type17"/>
    <n v="740.44"/>
    <x v="2"/>
    <d v="2023-09-25T06:10:11"/>
    <x v="3"/>
    <d v="2023-10-03T00:00:00"/>
    <n v="9.7429282407392748"/>
    <x v="0"/>
    <x v="11"/>
    <n v="7.7429282407392748"/>
    <x v="11"/>
  </r>
  <r>
    <n v="1025"/>
    <s v="1025111"/>
    <d v="2023-09-21T06:10:11"/>
    <s v="type40"/>
    <n v="421.79"/>
    <x v="5"/>
    <d v="2023-09-23T06:10:11"/>
    <x v="5"/>
    <d v="2023-10-03T00:00:00"/>
    <n v="11.742928240739275"/>
    <x v="0"/>
    <x v="3"/>
    <n v="9.7429282407392748"/>
    <x v="3"/>
  </r>
  <r>
    <n v="1012"/>
    <s v="1012111"/>
    <d v="2023-09-22T06:10:11"/>
    <s v="type13"/>
    <n v="74338.59"/>
    <x v="4"/>
    <d v="2023-09-29T06:10:11"/>
    <x v="2"/>
    <d v="2023-10-03T00:00:00"/>
    <n v="10.742928240739275"/>
    <x v="0"/>
    <x v="13"/>
    <n v="3.7429282407392748"/>
    <x v="13"/>
  </r>
  <r>
    <n v="1012"/>
    <s v="1012111"/>
    <d v="2023-09-16T06:10:11"/>
    <s v="type30"/>
    <n v="189.72"/>
    <x v="6"/>
    <d v="2023-09-18T06:10:11"/>
    <x v="2"/>
    <d v="2023-10-03T00:00:00"/>
    <n v="16.742928240739275"/>
    <x v="0"/>
    <x v="6"/>
    <n v="14.742928240739275"/>
    <x v="6"/>
  </r>
  <r>
    <n v="1030"/>
    <s v="1030111"/>
    <d v="2023-09-19T06:10:11"/>
    <s v="type35"/>
    <n v="642.20000000000005"/>
    <x v="6"/>
    <d v="2023-09-21T06:10:11"/>
    <x v="4"/>
    <d v="2023-10-03T00:00:00"/>
    <n v="13.742928240739275"/>
    <x v="0"/>
    <x v="1"/>
    <n v="11.742928240739275"/>
    <x v="1"/>
  </r>
  <r>
    <n v="1028"/>
    <s v="1028111"/>
    <d v="2023-09-13T06:10:11"/>
    <s v="type40"/>
    <n v="-783.93"/>
    <x v="6"/>
    <d v="2023-09-20T06:10:11"/>
    <x v="5"/>
    <d v="2023-10-03T00:00:00"/>
    <n v="19.742928240739275"/>
    <x v="0"/>
    <x v="9"/>
    <n v="12.742928240739275"/>
    <x v="9"/>
  </r>
  <r>
    <n v="1028"/>
    <s v="1028111"/>
    <d v="2023-09-18T06:10:11"/>
    <s v="type13"/>
    <n v="27254.73"/>
    <x v="2"/>
    <d v="2023-09-23T06:10:11"/>
    <x v="5"/>
    <d v="2023-10-03T00:00:00"/>
    <n v="14.742928240739275"/>
    <x v="0"/>
    <x v="3"/>
    <n v="9.7429282407392748"/>
    <x v="3"/>
  </r>
  <r>
    <n v="1034"/>
    <s v="1034111"/>
    <d v="2023-09-23T06:10:11"/>
    <s v="type40"/>
    <n v="-4968.67"/>
    <x v="5"/>
    <d v="2023-09-28T06:10:11"/>
    <x v="4"/>
    <d v="2023-10-03T00:00:00"/>
    <n v="9.7429282407392748"/>
    <x v="0"/>
    <x v="8"/>
    <n v="4.7429282407392748"/>
    <x v="8"/>
  </r>
  <r>
    <n v="1012"/>
    <s v="1012111"/>
    <d v="2023-09-18T06:10:11"/>
    <s v="type13"/>
    <n v="23358.35"/>
    <x v="2"/>
    <d v="2023-09-23T06:10:11"/>
    <x v="2"/>
    <d v="2023-10-03T00:00:00"/>
    <n v="14.742928240739275"/>
    <x v="0"/>
    <x v="3"/>
    <n v="9.7429282407392748"/>
    <x v="3"/>
  </r>
  <r>
    <n v="1022"/>
    <s v="1022111"/>
    <d v="2023-09-17T06:10:11"/>
    <s v="type40"/>
    <n v="2891.42"/>
    <x v="5"/>
    <d v="2023-09-24T06:10:11"/>
    <x v="0"/>
    <d v="2023-10-03T00:00:00"/>
    <n v="15.742928240739275"/>
    <x v="0"/>
    <x v="5"/>
    <n v="8.7429282407392748"/>
    <x v="5"/>
  </r>
  <r>
    <n v="1024"/>
    <s v="1024111"/>
    <d v="2023-09-21T06:10:11"/>
    <s v="type40"/>
    <n v="876.96"/>
    <x v="3"/>
    <d v="2023-09-26T06:10:11"/>
    <x v="5"/>
    <d v="2023-10-03T00:00:00"/>
    <n v="11.742928240739275"/>
    <x v="0"/>
    <x v="7"/>
    <n v="6.7429282407392748"/>
    <x v="7"/>
  </r>
  <r>
    <n v="1003"/>
    <s v="1003111"/>
    <d v="2023-09-13T06:10:11"/>
    <s v="type48"/>
    <n v="561.1"/>
    <x v="4"/>
    <d v="2023-09-14T06:10:11"/>
    <x v="3"/>
    <d v="2023-10-03T00:00:00"/>
    <n v="19.742928240739275"/>
    <x v="0"/>
    <x v="20"/>
    <n v="18.742928240739275"/>
    <x v="20"/>
  </r>
  <r>
    <n v="1001"/>
    <s v="1001111"/>
    <d v="2023-09-22T06:10:11"/>
    <s v="type40"/>
    <n v="1257.05"/>
    <x v="1"/>
    <d v="2023-09-27T06:10:11"/>
    <x v="3"/>
    <d v="2023-10-03T00:00:00"/>
    <n v="10.742928240739275"/>
    <x v="0"/>
    <x v="12"/>
    <n v="5.7429282407392748"/>
    <x v="12"/>
  </r>
  <r>
    <n v="1031"/>
    <s v="1031111"/>
    <d v="2023-09-23T06:10:11"/>
    <s v="type40"/>
    <n v="643.66999999999996"/>
    <x v="1"/>
    <d v="2023-09-28T06:10:11"/>
    <x v="4"/>
    <d v="2023-10-03T00:00:00"/>
    <n v="9.7429282407392748"/>
    <x v="0"/>
    <x v="8"/>
    <n v="4.7429282407392748"/>
    <x v="8"/>
  </r>
  <r>
    <n v="1017"/>
    <s v="1017111"/>
    <d v="2023-09-24T06:10:11"/>
    <s v="type1"/>
    <n v="12"/>
    <x v="1"/>
    <d v="2023-09-29T06:10:11"/>
    <x v="2"/>
    <d v="2023-10-03T00:00:00"/>
    <n v="8.7429282407392748"/>
    <x v="1"/>
    <x v="13"/>
    <n v="3.7429282407392748"/>
    <x v="13"/>
  </r>
  <r>
    <n v="1020"/>
    <s v="1020111"/>
    <d v="2023-09-25T06:10:11"/>
    <s v="type40"/>
    <n v="343.19"/>
    <x v="3"/>
    <d v="2023-09-30T06:10:11"/>
    <x v="0"/>
    <d v="2023-10-03T00:00:00"/>
    <n v="7.7429282407392748"/>
    <x v="1"/>
    <x v="14"/>
    <n v="2.7429282407392748"/>
    <x v="14"/>
  </r>
  <r>
    <n v="1033"/>
    <s v="1033111"/>
    <d v="2023-09-14T06:10:11"/>
    <s v="type40"/>
    <n v="449.28"/>
    <x v="6"/>
    <d v="2023-09-21T06:10:11"/>
    <x v="4"/>
    <d v="2023-10-03T00:00:00"/>
    <n v="18.742928240739275"/>
    <x v="0"/>
    <x v="1"/>
    <n v="11.742928240739275"/>
    <x v="1"/>
  </r>
  <r>
    <n v="1022"/>
    <s v="1022111"/>
    <d v="2023-09-14T06:10:11"/>
    <s v="type40"/>
    <n v="1"/>
    <x v="6"/>
    <d v="2023-09-21T06:10:11"/>
    <x v="0"/>
    <d v="2023-10-03T00:00:00"/>
    <n v="18.742928240739275"/>
    <x v="0"/>
    <x v="1"/>
    <n v="11.742928240739275"/>
    <x v="1"/>
  </r>
  <r>
    <n v="1034"/>
    <s v="1034111"/>
    <d v="2023-09-18T06:10:11"/>
    <s v="type40"/>
    <n v="-1075.97"/>
    <x v="5"/>
    <d v="2023-09-25T06:10:11"/>
    <x v="4"/>
    <d v="2023-10-03T00:00:00"/>
    <n v="14.742928240739275"/>
    <x v="0"/>
    <x v="11"/>
    <n v="7.7429282407392748"/>
    <x v="11"/>
  </r>
  <r>
    <n v="1025"/>
    <s v="1025111"/>
    <d v="2023-09-15T06:10:11"/>
    <s v="type40"/>
    <n v="-11405.07"/>
    <x v="6"/>
    <d v="2023-09-22T06:10:11"/>
    <x v="5"/>
    <d v="2023-10-03T00:00:00"/>
    <n v="17.742928240739275"/>
    <x v="0"/>
    <x v="10"/>
    <n v="10.742928240739275"/>
    <x v="10"/>
  </r>
  <r>
    <n v="1013"/>
    <s v="1013111"/>
    <d v="2023-09-11T06:10:11"/>
    <s v="type40"/>
    <n v="466.78"/>
    <x v="1"/>
    <d v="2023-09-18T06:10:11"/>
    <x v="2"/>
    <d v="2023-10-03T00:00:00"/>
    <n v="21.742928240739275"/>
    <x v="0"/>
    <x v="6"/>
    <n v="14.742928240739275"/>
    <x v="6"/>
  </r>
  <r>
    <n v="1015"/>
    <s v="1015111"/>
    <d v="2023-09-12T06:10:11"/>
    <s v="type40"/>
    <n v="17.59"/>
    <x v="3"/>
    <d v="2023-09-19T06:10:11"/>
    <x v="2"/>
    <d v="2023-10-03T00:00:00"/>
    <n v="20.742928240739275"/>
    <x v="0"/>
    <x v="19"/>
    <n v="13.742928240739275"/>
    <x v="19"/>
  </r>
  <r>
    <n v="1014"/>
    <s v="1014111"/>
    <d v="2023-09-20T06:10:11"/>
    <s v="type40"/>
    <n v="1793.84"/>
    <x v="2"/>
    <d v="2023-09-27T06:10:11"/>
    <x v="2"/>
    <d v="2023-10-03T00:00:00"/>
    <n v="12.742928240739275"/>
    <x v="0"/>
    <x v="12"/>
    <n v="5.7429282407392748"/>
    <x v="12"/>
  </r>
  <r>
    <n v="1020"/>
    <s v="1020111"/>
    <d v="2023-09-10T06:10:11"/>
    <s v="type26"/>
    <n v="256.89999999999998"/>
    <x v="2"/>
    <d v="2023-09-17T06:10:11"/>
    <x v="0"/>
    <d v="2023-10-03T00:00:00"/>
    <n v="22.742928240739275"/>
    <x v="0"/>
    <x v="4"/>
    <n v="15.742928240739275"/>
    <x v="4"/>
  </r>
  <r>
    <n v="1006"/>
    <s v="1006111"/>
    <d v="2023-09-15T06:10:11"/>
    <s v="type35"/>
    <n v="547.44000000000005"/>
    <x v="6"/>
    <d v="2023-09-22T06:10:11"/>
    <x v="1"/>
    <d v="2023-10-03T00:00:00"/>
    <n v="17.742928240739275"/>
    <x v="0"/>
    <x v="10"/>
    <n v="10.742928240739275"/>
    <x v="10"/>
  </r>
  <r>
    <n v="1027"/>
    <s v="1027111"/>
    <d v="2023-09-17T06:10:11"/>
    <s v="type40"/>
    <n v="10"/>
    <x v="2"/>
    <d v="2023-09-18T06:10:11"/>
    <x v="5"/>
    <d v="2023-10-03T00:00:00"/>
    <n v="15.742928240739275"/>
    <x v="0"/>
    <x v="6"/>
    <n v="14.742928240739275"/>
    <x v="6"/>
  </r>
  <r>
    <n v="1003"/>
    <s v="1003111"/>
    <d v="2023-09-15T06:10:11"/>
    <s v="type40"/>
    <n v="776.71"/>
    <x v="1"/>
    <d v="2023-09-22T06:10:11"/>
    <x v="3"/>
    <d v="2023-10-03T00:00:00"/>
    <n v="17.742928240739275"/>
    <x v="0"/>
    <x v="10"/>
    <n v="10.742928240739275"/>
    <x v="10"/>
  </r>
  <r>
    <n v="1025"/>
    <s v="1025111"/>
    <d v="2023-09-16T06:10:11"/>
    <s v="type40"/>
    <n v="545.65"/>
    <x v="2"/>
    <d v="2023-09-18T06:10:11"/>
    <x v="5"/>
    <d v="2023-10-03T00:00:00"/>
    <n v="16.742928240739275"/>
    <x v="0"/>
    <x v="6"/>
    <n v="14.742928240739275"/>
    <x v="6"/>
  </r>
  <r>
    <n v="1002"/>
    <s v="1002111"/>
    <d v="2023-09-20T06:10:11"/>
    <s v="type13"/>
    <n v="30057.78"/>
    <x v="5"/>
    <d v="2023-09-21T06:10:11"/>
    <x v="3"/>
    <d v="2023-10-03T00:00:00"/>
    <n v="12.742928240739275"/>
    <x v="0"/>
    <x v="1"/>
    <n v="11.742928240739275"/>
    <x v="1"/>
  </r>
  <r>
    <n v="1007"/>
    <s v="1007111"/>
    <d v="2023-09-16T06:10:11"/>
    <s v="type40"/>
    <n v="736.37"/>
    <x v="1"/>
    <d v="2023-09-23T06:10:11"/>
    <x v="1"/>
    <d v="2023-10-03T00:00:00"/>
    <n v="16.742928240739275"/>
    <x v="0"/>
    <x v="3"/>
    <n v="9.7429282407392748"/>
    <x v="3"/>
  </r>
  <r>
    <n v="1026"/>
    <s v="1026111"/>
    <d v="2023-09-11T06:10:11"/>
    <s v="type13"/>
    <n v="22564.23"/>
    <x v="5"/>
    <d v="2023-09-12T06:10:11"/>
    <x v="5"/>
    <d v="2023-10-03T00:00:00"/>
    <n v="21.742928240739275"/>
    <x v="0"/>
    <x v="18"/>
    <n v="20.742928240739275"/>
    <x v="18"/>
  </r>
  <r>
    <n v="1018"/>
    <s v="1018111"/>
    <d v="2023-09-16T06:10:11"/>
    <s v="type40"/>
    <n v="90"/>
    <x v="4"/>
    <d v="2023-09-18T06:10:11"/>
    <x v="0"/>
    <d v="2023-10-03T00:00:00"/>
    <n v="16.742928240739275"/>
    <x v="0"/>
    <x v="6"/>
    <n v="14.742928240739275"/>
    <x v="6"/>
  </r>
  <r>
    <n v="1029"/>
    <s v="1029111"/>
    <d v="2023-09-16T06:10:11"/>
    <s v="type40"/>
    <n v="-3928.11"/>
    <x v="6"/>
    <d v="2023-09-23T06:10:11"/>
    <x v="5"/>
    <d v="2023-10-03T00:00:00"/>
    <n v="16.742928240739275"/>
    <x v="0"/>
    <x v="3"/>
    <n v="9.7429282407392748"/>
    <x v="3"/>
  </r>
  <r>
    <n v="1003"/>
    <s v="1003111"/>
    <d v="2023-09-18T06:10:11"/>
    <s v="type40"/>
    <n v="934.68"/>
    <x v="4"/>
    <d v="2023-09-20T06:10:11"/>
    <x v="3"/>
    <d v="2023-10-03T00:00:00"/>
    <n v="14.742928240739275"/>
    <x v="0"/>
    <x v="9"/>
    <n v="12.742928240739275"/>
    <x v="9"/>
  </r>
  <r>
    <n v="1000"/>
    <s v="1000111"/>
    <d v="2023-09-20T06:10:11"/>
    <s v="type40"/>
    <n v="327.45"/>
    <x v="3"/>
    <d v="2023-09-27T06:10:11"/>
    <x v="3"/>
    <d v="2023-10-03T00:00:00"/>
    <n v="12.742928240739275"/>
    <x v="0"/>
    <x v="12"/>
    <n v="5.7429282407392748"/>
    <x v="12"/>
  </r>
  <r>
    <n v="1029"/>
    <s v="1029111"/>
    <d v="2023-09-15T06:10:11"/>
    <s v="type38"/>
    <n v="226.5"/>
    <x v="5"/>
    <d v="2023-09-16T06:10:11"/>
    <x v="5"/>
    <d v="2023-10-03T00:00:00"/>
    <n v="17.742928240739275"/>
    <x v="0"/>
    <x v="2"/>
    <n v="16.742928240739275"/>
    <x v="2"/>
  </r>
  <r>
    <n v="1026"/>
    <s v="1026111"/>
    <d v="2023-09-21T06:10:11"/>
    <s v="type40"/>
    <n v="5494.09"/>
    <x v="1"/>
    <d v="2023-09-28T06:10:11"/>
    <x v="5"/>
    <d v="2023-10-03T00:00:00"/>
    <n v="11.742928240739275"/>
    <x v="0"/>
    <x v="8"/>
    <n v="4.7429282407392748"/>
    <x v="8"/>
  </r>
  <r>
    <n v="1015"/>
    <s v="1015111"/>
    <d v="2023-09-19T06:10:11"/>
    <s v="type40"/>
    <n v="-352.64"/>
    <x v="4"/>
    <d v="2023-09-21T06:10:11"/>
    <x v="2"/>
    <d v="2023-10-03T00:00:00"/>
    <n v="13.742928240739275"/>
    <x v="0"/>
    <x v="1"/>
    <n v="11.742928240739275"/>
    <x v="1"/>
  </r>
  <r>
    <n v="1016"/>
    <s v="1016111"/>
    <d v="2023-09-21T06:10:11"/>
    <s v="type40"/>
    <n v="-3084.46"/>
    <x v="5"/>
    <d v="2023-09-23T06:10:11"/>
    <x v="2"/>
    <d v="2023-10-03T00:00:00"/>
    <n v="11.742928240739275"/>
    <x v="0"/>
    <x v="3"/>
    <n v="9.7429282407392748"/>
    <x v="3"/>
  </r>
  <r>
    <n v="1028"/>
    <s v="1028111"/>
    <d v="2023-09-22T06:10:11"/>
    <s v="type40"/>
    <n v="455.99"/>
    <x v="5"/>
    <d v="2023-09-24T06:10:11"/>
    <x v="5"/>
    <d v="2023-10-03T00:00:00"/>
    <n v="10.742928240739275"/>
    <x v="0"/>
    <x v="5"/>
    <n v="8.7429282407392748"/>
    <x v="5"/>
  </r>
  <r>
    <n v="1033"/>
    <s v="1033111"/>
    <d v="2023-09-19T06:10:11"/>
    <s v="type13"/>
    <n v="35663.980000000003"/>
    <x v="2"/>
    <d v="2023-09-21T06:10:11"/>
    <x v="4"/>
    <d v="2023-10-03T00:00:00"/>
    <n v="13.742928240739275"/>
    <x v="0"/>
    <x v="1"/>
    <n v="11.742928240739275"/>
    <x v="1"/>
  </r>
  <r>
    <n v="1029"/>
    <s v="1029111"/>
    <d v="2023-09-25T06:10:11"/>
    <s v="type40"/>
    <n v="526.01"/>
    <x v="3"/>
    <d v="2023-09-26T06:10:11"/>
    <x v="5"/>
    <d v="2023-10-03T00:00:00"/>
    <n v="7.7429282407392748"/>
    <x v="1"/>
    <x v="7"/>
    <n v="6.7429282407392748"/>
    <x v="7"/>
  </r>
  <r>
    <n v="1009"/>
    <s v="1009111"/>
    <d v="2023-09-12T06:10:11"/>
    <s v="type20"/>
    <n v="240"/>
    <x v="4"/>
    <d v="2023-09-17T06:10:11"/>
    <x v="1"/>
    <d v="2023-10-03T00:00:00"/>
    <n v="20.742928240739275"/>
    <x v="0"/>
    <x v="4"/>
    <n v="15.742928240739275"/>
    <x v="4"/>
  </r>
  <r>
    <n v="1011"/>
    <s v="1011111"/>
    <d v="2023-09-20T06:10:11"/>
    <s v="type13"/>
    <n v="28359.59"/>
    <x v="2"/>
    <d v="2023-09-22T06:10:11"/>
    <x v="1"/>
    <d v="2023-10-03T00:00:00"/>
    <n v="12.742928240739275"/>
    <x v="0"/>
    <x v="10"/>
    <n v="10.742928240739275"/>
    <x v="10"/>
  </r>
  <r>
    <n v="1002"/>
    <s v="1002111"/>
    <d v="2023-09-13T06:10:11"/>
    <s v="type40"/>
    <n v="20"/>
    <x v="4"/>
    <d v="2023-09-18T06:10:11"/>
    <x v="3"/>
    <d v="2023-10-03T00:00:00"/>
    <n v="19.742928240739275"/>
    <x v="0"/>
    <x v="6"/>
    <n v="14.742928240739275"/>
    <x v="6"/>
  </r>
  <r>
    <n v="1035"/>
    <s v="1035111"/>
    <d v="2023-09-16T06:10:11"/>
    <s v="type10"/>
    <n v="-30"/>
    <x v="4"/>
    <d v="2023-09-23T06:10:11"/>
    <x v="4"/>
    <d v="2023-10-03T00:00:00"/>
    <n v="16.742928240739275"/>
    <x v="0"/>
    <x v="3"/>
    <n v="9.7429282407392748"/>
    <x v="3"/>
  </r>
  <r>
    <n v="1001"/>
    <s v="1001111"/>
    <d v="2023-09-11T06:10:11"/>
    <s v="type40"/>
    <n v="840.38"/>
    <x v="2"/>
    <d v="2023-09-13T06:10:11"/>
    <x v="3"/>
    <d v="2023-10-03T00:00:00"/>
    <n v="21.742928240739275"/>
    <x v="0"/>
    <x v="24"/>
    <n v="19.742928240739275"/>
    <x v="24"/>
  </r>
  <r>
    <n v="1025"/>
    <s v="1025111"/>
    <d v="2023-09-20T06:10:11"/>
    <s v="type17"/>
    <n v="1163.69"/>
    <x v="4"/>
    <d v="2023-09-27T06:10:11"/>
    <x v="5"/>
    <d v="2023-10-03T00:00:00"/>
    <n v="12.742928240739275"/>
    <x v="0"/>
    <x v="12"/>
    <n v="5.7429282407392748"/>
    <x v="12"/>
  </r>
  <r>
    <n v="1009"/>
    <s v="1009111"/>
    <d v="2023-09-16T06:10:11"/>
    <s v="type40"/>
    <n v="-1414.28"/>
    <x v="6"/>
    <d v="2023-09-17T06:10:11"/>
    <x v="1"/>
    <d v="2023-10-03T00:00:00"/>
    <n v="16.742928240739275"/>
    <x v="0"/>
    <x v="4"/>
    <n v="15.742928240739275"/>
    <x v="4"/>
  </r>
  <r>
    <n v="1016"/>
    <s v="1016111"/>
    <d v="2023-09-17T06:10:11"/>
    <s v="type40"/>
    <n v="-400.82"/>
    <x v="6"/>
    <d v="2023-09-18T06:10:11"/>
    <x v="2"/>
    <d v="2023-10-03T00:00:00"/>
    <n v="15.742928240739275"/>
    <x v="0"/>
    <x v="6"/>
    <n v="14.742928240739275"/>
    <x v="6"/>
  </r>
  <r>
    <n v="1032"/>
    <s v="1032111"/>
    <d v="2023-09-20T06:10:11"/>
    <s v="type18"/>
    <n v="609.96"/>
    <x v="6"/>
    <d v="2023-09-21T06:10:11"/>
    <x v="4"/>
    <d v="2023-10-03T00:00:00"/>
    <n v="12.742928240739275"/>
    <x v="0"/>
    <x v="1"/>
    <n v="11.742928240739275"/>
    <x v="1"/>
  </r>
  <r>
    <n v="1012"/>
    <s v="1012111"/>
    <d v="2023-09-20T06:10:11"/>
    <s v="type40"/>
    <n v="-475.65"/>
    <x v="1"/>
    <d v="2023-09-21T06:10:11"/>
    <x v="2"/>
    <d v="2023-10-03T00:00:00"/>
    <n v="12.742928240739275"/>
    <x v="0"/>
    <x v="1"/>
    <n v="11.742928240739275"/>
    <x v="1"/>
  </r>
  <r>
    <n v="1035"/>
    <s v="1035111"/>
    <d v="2023-09-21T06:10:11"/>
    <s v="type40"/>
    <n v="-1400.02"/>
    <x v="1"/>
    <d v="2023-09-22T06:10:11"/>
    <x v="4"/>
    <d v="2023-10-03T00:00:00"/>
    <n v="11.742928240739275"/>
    <x v="0"/>
    <x v="10"/>
    <n v="10.742928240739275"/>
    <x v="10"/>
  </r>
  <r>
    <n v="1034"/>
    <s v="1034111"/>
    <d v="2023-09-21T06:10:11"/>
    <s v="type40"/>
    <n v="877.57"/>
    <x v="3"/>
    <d v="2023-09-22T06:10:11"/>
    <x v="4"/>
    <d v="2023-10-03T00:00:00"/>
    <n v="11.742928240739275"/>
    <x v="0"/>
    <x v="10"/>
    <n v="10.742928240739275"/>
    <x v="10"/>
  </r>
  <r>
    <n v="1018"/>
    <s v="1018111"/>
    <d v="2023-09-17T06:10:11"/>
    <s v="type40"/>
    <n v="25.56"/>
    <x v="4"/>
    <d v="2023-09-24T06:10:11"/>
    <x v="0"/>
    <d v="2023-10-03T00:00:00"/>
    <n v="15.742928240739275"/>
    <x v="0"/>
    <x v="5"/>
    <n v="8.7429282407392748"/>
    <x v="5"/>
  </r>
  <r>
    <n v="1009"/>
    <s v="1009111"/>
    <d v="2023-09-12T06:10:11"/>
    <s v="type42"/>
    <n v="414"/>
    <x v="5"/>
    <d v="2023-09-17T06:10:11"/>
    <x v="1"/>
    <d v="2023-10-03T00:00:00"/>
    <n v="20.742928240739275"/>
    <x v="0"/>
    <x v="4"/>
    <n v="15.742928240739275"/>
    <x v="4"/>
  </r>
  <r>
    <n v="1023"/>
    <s v="1023111"/>
    <d v="2023-09-24T06:10:11"/>
    <s v="type40"/>
    <n v="-1152.8599999999999"/>
    <x v="3"/>
    <d v="2023-09-26T06:10:11"/>
    <x v="0"/>
    <d v="2023-10-03T00:00:00"/>
    <n v="8.7429282407392748"/>
    <x v="1"/>
    <x v="7"/>
    <n v="6.7429282407392748"/>
    <x v="7"/>
  </r>
  <r>
    <n v="1004"/>
    <s v="1004111"/>
    <d v="2023-09-14T06:10:11"/>
    <s v="type40"/>
    <n v="1373.92"/>
    <x v="5"/>
    <d v="2023-09-19T06:10:11"/>
    <x v="3"/>
    <d v="2023-10-03T00:00:00"/>
    <n v="18.742928240739275"/>
    <x v="0"/>
    <x v="19"/>
    <n v="13.742928240739275"/>
    <x v="19"/>
  </r>
  <r>
    <n v="1026"/>
    <s v="1026111"/>
    <d v="2023-09-26T06:10:11"/>
    <s v="type40"/>
    <n v="3919.97"/>
    <x v="3"/>
    <d v="2023-09-28T06:10:11"/>
    <x v="5"/>
    <d v="2023-10-03T00:00:00"/>
    <n v="6.7429282407392748"/>
    <x v="1"/>
    <x v="8"/>
    <n v="4.7429282407392748"/>
    <x v="8"/>
  </r>
  <r>
    <n v="1020"/>
    <s v="1020111"/>
    <d v="2023-09-27T06:10:11"/>
    <s v="type40"/>
    <n v="2572.79"/>
    <x v="3"/>
    <d v="2023-09-29T06:10:11"/>
    <x v="0"/>
    <d v="2023-10-03T00:00:00"/>
    <n v="5.7429282407392748"/>
    <x v="2"/>
    <x v="13"/>
    <n v="3.7429282407392748"/>
    <x v="13"/>
  </r>
  <r>
    <n v="1000"/>
    <s v="1000111"/>
    <d v="2023-09-21T06:10:11"/>
    <s v="type12"/>
    <n v="100"/>
    <x v="4"/>
    <d v="2023-09-22T06:10:11"/>
    <x v="3"/>
    <d v="2023-10-03T00:00:00"/>
    <n v="11.742928240739275"/>
    <x v="0"/>
    <x v="10"/>
    <n v="10.742928240739275"/>
    <x v="10"/>
  </r>
  <r>
    <n v="1033"/>
    <s v="1033111"/>
    <d v="2023-09-15T06:10:11"/>
    <s v="type40"/>
    <n v="-1657.9"/>
    <x v="2"/>
    <d v="2023-09-20T06:10:11"/>
    <x v="4"/>
    <d v="2023-10-03T00:00:00"/>
    <n v="17.742928240739275"/>
    <x v="0"/>
    <x v="9"/>
    <n v="12.742928240739275"/>
    <x v="9"/>
  </r>
  <r>
    <n v="1004"/>
    <s v="1004111"/>
    <d v="2023-09-21T06:10:11"/>
    <s v="type40"/>
    <n v="-678.5"/>
    <x v="6"/>
    <d v="2023-09-22T06:10:11"/>
    <x v="3"/>
    <d v="2023-10-03T00:00:00"/>
    <n v="11.742928240739275"/>
    <x v="0"/>
    <x v="10"/>
    <n v="10.742928240739275"/>
    <x v="10"/>
  </r>
  <r>
    <n v="1010"/>
    <s v="1010111"/>
    <d v="2023-09-11T06:10:11"/>
    <s v="type40"/>
    <n v="5522.15"/>
    <x v="6"/>
    <d v="2023-09-13T06:10:11"/>
    <x v="1"/>
    <d v="2023-10-03T00:00:00"/>
    <n v="21.742928240739275"/>
    <x v="0"/>
    <x v="24"/>
    <n v="19.742928240739275"/>
    <x v="24"/>
  </r>
  <r>
    <n v="1006"/>
    <s v="1006111"/>
    <d v="2023-09-17T06:10:11"/>
    <s v="type42"/>
    <n v="262.60000000000002"/>
    <x v="6"/>
    <d v="2023-09-19T06:10:11"/>
    <x v="1"/>
    <d v="2023-10-03T00:00:00"/>
    <n v="15.742928240739275"/>
    <x v="0"/>
    <x v="19"/>
    <n v="13.742928240739275"/>
    <x v="19"/>
  </r>
  <r>
    <n v="1030"/>
    <s v="1030111"/>
    <d v="2023-09-17T06:10:11"/>
    <s v="type40"/>
    <n v="-3057.58"/>
    <x v="2"/>
    <d v="2023-09-22T06:10:11"/>
    <x v="4"/>
    <d v="2023-10-03T00:00:00"/>
    <n v="15.742928240739275"/>
    <x v="0"/>
    <x v="10"/>
    <n v="10.742928240739275"/>
    <x v="10"/>
  </r>
  <r>
    <n v="1033"/>
    <s v="1033111"/>
    <d v="2023-09-23T06:10:11"/>
    <s v="type13"/>
    <n v="21717.48"/>
    <x v="4"/>
    <d v="2023-09-24T06:10:11"/>
    <x v="4"/>
    <d v="2023-10-03T00:00:00"/>
    <n v="9.7429282407392748"/>
    <x v="0"/>
    <x v="5"/>
    <n v="8.7429282407392748"/>
    <x v="5"/>
  </r>
  <r>
    <n v="1034"/>
    <s v="1034111"/>
    <d v="2023-09-18T06:10:11"/>
    <s v="type40"/>
    <n v="1700.31"/>
    <x v="2"/>
    <d v="2023-09-25T06:10:11"/>
    <x v="4"/>
    <d v="2023-10-03T00:00:00"/>
    <n v="14.742928240739275"/>
    <x v="0"/>
    <x v="11"/>
    <n v="7.7429282407392748"/>
    <x v="11"/>
  </r>
  <r>
    <n v="1017"/>
    <s v="1017111"/>
    <d v="2023-09-15T06:10:11"/>
    <s v="type40"/>
    <n v="-387.72"/>
    <x v="3"/>
    <d v="2023-09-17T06:10:11"/>
    <x v="2"/>
    <d v="2023-10-03T00:00:00"/>
    <n v="17.742928240739275"/>
    <x v="0"/>
    <x v="4"/>
    <n v="15.742928240739275"/>
    <x v="4"/>
  </r>
  <r>
    <n v="1021"/>
    <s v="1021111"/>
    <d v="2023-09-15T06:10:11"/>
    <s v="type40"/>
    <n v="-661.85"/>
    <x v="3"/>
    <d v="2023-09-17T06:10:11"/>
    <x v="0"/>
    <d v="2023-10-03T00:00:00"/>
    <n v="17.742928240739275"/>
    <x v="0"/>
    <x v="4"/>
    <n v="15.742928240739275"/>
    <x v="4"/>
  </r>
  <r>
    <n v="1009"/>
    <s v="1009111"/>
    <d v="2023-09-12T06:10:11"/>
    <s v="type13"/>
    <n v="34083.46"/>
    <x v="4"/>
    <d v="2023-09-13T06:10:11"/>
    <x v="1"/>
    <d v="2023-10-03T00:00:00"/>
    <n v="20.742928240739275"/>
    <x v="0"/>
    <x v="24"/>
    <n v="19.742928240739275"/>
    <x v="24"/>
  </r>
  <r>
    <n v="1026"/>
    <s v="1026111"/>
    <d v="2023-09-18T06:10:11"/>
    <s v="type40"/>
    <n v="-484.28"/>
    <x v="6"/>
    <d v="2023-09-20T06:10:11"/>
    <x v="5"/>
    <d v="2023-10-03T00:00:00"/>
    <n v="14.742928240739275"/>
    <x v="0"/>
    <x v="9"/>
    <n v="12.742928240739275"/>
    <x v="9"/>
  </r>
  <r>
    <n v="1008"/>
    <s v="1008111"/>
    <d v="2023-09-17T06:10:11"/>
    <s v="type40"/>
    <n v="5434.53"/>
    <x v="3"/>
    <d v="2023-09-19T06:10:11"/>
    <x v="1"/>
    <d v="2023-10-03T00:00:00"/>
    <n v="15.742928240739275"/>
    <x v="0"/>
    <x v="19"/>
    <n v="13.742928240739275"/>
    <x v="19"/>
  </r>
  <r>
    <n v="1031"/>
    <s v="1031111"/>
    <d v="2023-09-18T06:10:11"/>
    <s v="type40"/>
    <n v="589.79"/>
    <x v="3"/>
    <d v="2023-09-20T06:10:11"/>
    <x v="4"/>
    <d v="2023-10-03T00:00:00"/>
    <n v="14.742928240739275"/>
    <x v="0"/>
    <x v="9"/>
    <n v="12.742928240739275"/>
    <x v="9"/>
  </r>
  <r>
    <n v="1008"/>
    <s v="1008111"/>
    <d v="2023-09-13T06:10:11"/>
    <s v="type40"/>
    <n v="457.32"/>
    <x v="4"/>
    <d v="2023-09-14T06:10:11"/>
    <x v="1"/>
    <d v="2023-10-03T00:00:00"/>
    <n v="19.742928240739275"/>
    <x v="0"/>
    <x v="20"/>
    <n v="18.742928240739275"/>
    <x v="20"/>
  </r>
  <r>
    <n v="1021"/>
    <s v="1021111"/>
    <d v="2023-09-15T06:10:11"/>
    <s v="type19"/>
    <n v="311.02"/>
    <x v="5"/>
    <d v="2023-09-22T06:10:11"/>
    <x v="0"/>
    <d v="2023-10-03T00:00:00"/>
    <n v="17.742928240739275"/>
    <x v="0"/>
    <x v="10"/>
    <n v="10.742928240739275"/>
    <x v="10"/>
  </r>
  <r>
    <n v="1030"/>
    <s v="1030111"/>
    <d v="2023-09-20T06:10:11"/>
    <s v="type40"/>
    <n v="6135.15"/>
    <x v="2"/>
    <d v="2023-09-27T06:10:11"/>
    <x v="4"/>
    <d v="2023-10-03T00:00:00"/>
    <n v="12.742928240739275"/>
    <x v="0"/>
    <x v="12"/>
    <n v="5.7429282407392748"/>
    <x v="12"/>
  </r>
  <r>
    <n v="1014"/>
    <s v="1014111"/>
    <d v="2023-09-18T06:10:11"/>
    <s v="type40"/>
    <n v="-478.39"/>
    <x v="5"/>
    <d v="2023-09-25T06:10:11"/>
    <x v="2"/>
    <d v="2023-10-03T00:00:00"/>
    <n v="14.742928240739275"/>
    <x v="0"/>
    <x v="11"/>
    <n v="7.7429282407392748"/>
    <x v="11"/>
  </r>
  <r>
    <n v="1008"/>
    <s v="1008111"/>
    <d v="2023-09-20T06:10:11"/>
    <s v="type40"/>
    <n v="-1381.92"/>
    <x v="5"/>
    <d v="2023-09-27T06:10:11"/>
    <x v="1"/>
    <d v="2023-10-03T00:00:00"/>
    <n v="12.742928240739275"/>
    <x v="0"/>
    <x v="12"/>
    <n v="5.7429282407392748"/>
    <x v="12"/>
  </r>
  <r>
    <n v="1011"/>
    <s v="1011111"/>
    <d v="2023-09-21T06:10:11"/>
    <s v="type10"/>
    <n v="61.2"/>
    <x v="5"/>
    <d v="2023-09-28T06:10:11"/>
    <x v="1"/>
    <d v="2023-10-03T00:00:00"/>
    <n v="11.742928240739275"/>
    <x v="0"/>
    <x v="8"/>
    <n v="4.7429282407392748"/>
    <x v="8"/>
  </r>
  <r>
    <n v="1010"/>
    <s v="1010111"/>
    <d v="2023-09-22T06:10:11"/>
    <s v="type13"/>
    <n v="25572.39"/>
    <x v="2"/>
    <d v="2023-09-29T06:10:11"/>
    <x v="1"/>
    <d v="2023-10-03T00:00:00"/>
    <n v="10.742928240739275"/>
    <x v="0"/>
    <x v="13"/>
    <n v="3.7429282407392748"/>
    <x v="13"/>
  </r>
  <r>
    <n v="1035"/>
    <s v="1035111"/>
    <d v="2023-09-23T06:10:11"/>
    <s v="type40"/>
    <n v="1494.83"/>
    <x v="1"/>
    <d v="2023-09-28T06:10:11"/>
    <x v="4"/>
    <d v="2023-10-03T00:00:00"/>
    <n v="9.7429282407392748"/>
    <x v="0"/>
    <x v="8"/>
    <n v="4.7429282407392748"/>
    <x v="8"/>
  </r>
  <r>
    <n v="1023"/>
    <s v="1023111"/>
    <d v="2023-09-24T06:10:11"/>
    <s v="type40"/>
    <n v="-564.99"/>
    <x v="3"/>
    <d v="2023-09-29T06:10:11"/>
    <x v="0"/>
    <d v="2023-10-03T00:00:00"/>
    <n v="8.7429282407392748"/>
    <x v="1"/>
    <x v="13"/>
    <n v="3.7429282407392748"/>
    <x v="13"/>
  </r>
  <r>
    <n v="1035"/>
    <s v="1035111"/>
    <d v="2023-09-19T06:10:11"/>
    <s v="type13"/>
    <n v="27241.11"/>
    <x v="2"/>
    <d v="2023-09-26T06:10:11"/>
    <x v="4"/>
    <d v="2023-10-03T00:00:00"/>
    <n v="13.742928240739275"/>
    <x v="0"/>
    <x v="7"/>
    <n v="6.7429282407392748"/>
    <x v="7"/>
  </r>
  <r>
    <n v="1028"/>
    <s v="1028111"/>
    <d v="2023-09-22T06:10:11"/>
    <s v="type40"/>
    <n v="2918.5"/>
    <x v="5"/>
    <d v="2023-09-24T06:10:11"/>
    <x v="5"/>
    <d v="2023-10-03T00:00:00"/>
    <n v="10.742928240739275"/>
    <x v="0"/>
    <x v="5"/>
    <n v="8.7429282407392748"/>
    <x v="5"/>
  </r>
  <r>
    <n v="1022"/>
    <s v="1022111"/>
    <d v="2023-09-18T06:10:11"/>
    <s v="type9"/>
    <n v="80.3"/>
    <x v="5"/>
    <d v="2023-09-20T06:10:11"/>
    <x v="0"/>
    <d v="2023-10-03T00:00:00"/>
    <n v="14.742928240739275"/>
    <x v="0"/>
    <x v="9"/>
    <n v="12.742928240739275"/>
    <x v="9"/>
  </r>
  <r>
    <n v="1032"/>
    <s v="1032111"/>
    <d v="2023-09-28T06:10:11"/>
    <s v="type40"/>
    <n v="608.94000000000005"/>
    <x v="3"/>
    <d v="2023-10-05T06:10:11"/>
    <x v="4"/>
    <d v="2023-10-03T00:00:00"/>
    <n v="4.7429282407392748"/>
    <x v="2"/>
    <x v="17"/>
    <n v="-2.2570717592607252"/>
    <x v="17"/>
  </r>
  <r>
    <n v="1008"/>
    <s v="1008111"/>
    <d v="2023-09-16T06:10:11"/>
    <s v="type40"/>
    <n v="-3819.71"/>
    <x v="3"/>
    <d v="2023-09-23T06:10:11"/>
    <x v="1"/>
    <d v="2023-10-03T00:00:00"/>
    <n v="16.742928240739275"/>
    <x v="0"/>
    <x v="3"/>
    <n v="9.7429282407392748"/>
    <x v="3"/>
  </r>
  <r>
    <n v="1008"/>
    <s v="1008111"/>
    <d v="2023-09-17T06:10:11"/>
    <s v="type13"/>
    <n v="28693.7"/>
    <x v="1"/>
    <d v="2023-09-24T06:10:11"/>
    <x v="1"/>
    <d v="2023-10-03T00:00:00"/>
    <n v="15.742928240739275"/>
    <x v="0"/>
    <x v="5"/>
    <n v="8.7429282407392748"/>
    <x v="5"/>
  </r>
  <r>
    <n v="1025"/>
    <s v="1025111"/>
    <d v="2023-09-20T06:10:11"/>
    <s v="type8"/>
    <n v="55"/>
    <x v="6"/>
    <d v="2023-09-22T06:10:11"/>
    <x v="5"/>
    <d v="2023-10-03T00:00:00"/>
    <n v="12.742928240739275"/>
    <x v="0"/>
    <x v="10"/>
    <n v="10.742928240739275"/>
    <x v="10"/>
  </r>
  <r>
    <n v="1026"/>
    <s v="1026111"/>
    <d v="2023-09-20T06:10:11"/>
    <s v="type40"/>
    <n v="318.87"/>
    <x v="5"/>
    <d v="2023-09-25T06:10:11"/>
    <x v="5"/>
    <d v="2023-10-03T00:00:00"/>
    <n v="12.742928240739275"/>
    <x v="0"/>
    <x v="11"/>
    <n v="7.7429282407392748"/>
    <x v="11"/>
  </r>
  <r>
    <n v="1032"/>
    <s v="1032111"/>
    <d v="2023-09-16T06:10:11"/>
    <s v="type40"/>
    <n v="-1608.41"/>
    <x v="2"/>
    <d v="2023-09-18T06:10:11"/>
    <x v="4"/>
    <d v="2023-10-03T00:00:00"/>
    <n v="16.742928240739275"/>
    <x v="0"/>
    <x v="6"/>
    <n v="14.742928240739275"/>
    <x v="6"/>
  </r>
  <r>
    <n v="1010"/>
    <s v="1010111"/>
    <d v="2023-09-15T06:10:11"/>
    <s v="type7"/>
    <n v="-8131.18"/>
    <x v="4"/>
    <d v="2023-09-16T06:10:11"/>
    <x v="1"/>
    <d v="2023-10-03T00:00:00"/>
    <n v="17.742928240739275"/>
    <x v="0"/>
    <x v="2"/>
    <n v="16.742928240739275"/>
    <x v="2"/>
  </r>
  <r>
    <n v="1017"/>
    <s v="1017111"/>
    <d v="2023-09-15T06:10:11"/>
    <s v="type40"/>
    <n v="-780.45"/>
    <x v="4"/>
    <d v="2023-09-16T06:10:11"/>
    <x v="2"/>
    <d v="2023-10-03T00:00:00"/>
    <n v="17.742928240739275"/>
    <x v="0"/>
    <x v="2"/>
    <n v="16.742928240739275"/>
    <x v="2"/>
  </r>
  <r>
    <n v="1000"/>
    <s v="1000111"/>
    <d v="2023-09-21T06:10:11"/>
    <s v="type40"/>
    <n v="-330.15"/>
    <x v="3"/>
    <d v="2023-09-28T06:10:11"/>
    <x v="3"/>
    <d v="2023-10-03T00:00:00"/>
    <n v="11.742928240739275"/>
    <x v="0"/>
    <x v="8"/>
    <n v="4.7429282407392748"/>
    <x v="8"/>
  </r>
  <r>
    <n v="1015"/>
    <s v="1015111"/>
    <d v="2023-09-21T06:10:11"/>
    <s v="type40"/>
    <n v="-1215.0899999999999"/>
    <x v="3"/>
    <d v="2023-09-28T06:10:11"/>
    <x v="2"/>
    <d v="2023-10-03T00:00:00"/>
    <n v="11.742928240739275"/>
    <x v="0"/>
    <x v="8"/>
    <n v="4.7429282407392748"/>
    <x v="8"/>
  </r>
  <r>
    <n v="1003"/>
    <s v="1003111"/>
    <d v="2023-09-16T06:10:11"/>
    <s v="type40"/>
    <n v="6667.95"/>
    <x v="4"/>
    <d v="2023-09-18T06:10:11"/>
    <x v="3"/>
    <d v="2023-10-03T00:00:00"/>
    <n v="16.742928240739275"/>
    <x v="0"/>
    <x v="6"/>
    <n v="14.742928240739275"/>
    <x v="6"/>
  </r>
  <r>
    <n v="1004"/>
    <s v="1004111"/>
    <d v="2023-09-22T06:10:11"/>
    <s v="type24"/>
    <n v="202.37"/>
    <x v="6"/>
    <d v="2023-09-27T06:10:11"/>
    <x v="3"/>
    <d v="2023-10-03T00:00:00"/>
    <n v="10.742928240739275"/>
    <x v="0"/>
    <x v="12"/>
    <n v="5.7429282407392748"/>
    <x v="12"/>
  </r>
  <r>
    <n v="1010"/>
    <s v="1010111"/>
    <d v="2023-09-18T06:10:11"/>
    <s v="type13"/>
    <n v="26144.83"/>
    <x v="2"/>
    <d v="2023-09-20T06:10:11"/>
    <x v="1"/>
    <d v="2023-10-03T00:00:00"/>
    <n v="14.742928240739275"/>
    <x v="0"/>
    <x v="9"/>
    <n v="12.742928240739275"/>
    <x v="9"/>
  </r>
  <r>
    <n v="1028"/>
    <s v="1028111"/>
    <d v="2023-09-25T06:10:11"/>
    <s v="type40"/>
    <n v="-488.79"/>
    <x v="1"/>
    <d v="2023-10-02T06:10:11"/>
    <x v="5"/>
    <d v="2023-10-03T00:00:00"/>
    <n v="7.7429282407392748"/>
    <x v="1"/>
    <x v="15"/>
    <n v="0.74292824073927477"/>
    <x v="15"/>
  </r>
  <r>
    <n v="1024"/>
    <s v="1024111"/>
    <d v="2023-09-18T06:10:11"/>
    <s v="type7"/>
    <n v="1488.16"/>
    <x v="2"/>
    <d v="2023-09-20T06:10:11"/>
    <x v="5"/>
    <d v="2023-10-03T00:00:00"/>
    <n v="14.742928240739275"/>
    <x v="0"/>
    <x v="9"/>
    <n v="12.742928240739275"/>
    <x v="9"/>
  </r>
  <r>
    <n v="1013"/>
    <s v="1013111"/>
    <d v="2023-09-19T06:10:11"/>
    <s v="type13"/>
    <n v="30383.32"/>
    <x v="5"/>
    <d v="2023-09-26T06:10:11"/>
    <x v="2"/>
    <d v="2023-10-03T00:00:00"/>
    <n v="13.742928240739275"/>
    <x v="0"/>
    <x v="7"/>
    <n v="6.7429282407392748"/>
    <x v="7"/>
  </r>
  <r>
    <n v="1020"/>
    <s v="1020111"/>
    <d v="2023-09-20T06:10:11"/>
    <s v="type13"/>
    <n v="13966.65"/>
    <x v="5"/>
    <d v="2023-09-21T06:10:11"/>
    <x v="0"/>
    <d v="2023-10-03T00:00:00"/>
    <n v="12.742928240739275"/>
    <x v="0"/>
    <x v="1"/>
    <n v="11.742928240739275"/>
    <x v="1"/>
  </r>
  <r>
    <n v="1027"/>
    <s v="1027111"/>
    <d v="2023-09-22T06:10:11"/>
    <s v="type13"/>
    <n v="15887.76"/>
    <x v="5"/>
    <d v="2023-09-23T06:10:11"/>
    <x v="5"/>
    <d v="2023-10-03T00:00:00"/>
    <n v="10.742928240739275"/>
    <x v="0"/>
    <x v="3"/>
    <n v="9.7429282407392748"/>
    <x v="3"/>
  </r>
  <r>
    <n v="1009"/>
    <s v="1009111"/>
    <d v="2023-09-19T06:10:11"/>
    <s v="type40"/>
    <n v="2977.03"/>
    <x v="6"/>
    <d v="2023-09-26T06:10:11"/>
    <x v="1"/>
    <d v="2023-10-03T00:00:00"/>
    <n v="13.742928240739275"/>
    <x v="0"/>
    <x v="7"/>
    <n v="6.7429282407392748"/>
    <x v="7"/>
  </r>
  <r>
    <n v="1015"/>
    <s v="1015111"/>
    <d v="2023-09-12T06:10:11"/>
    <s v="type40"/>
    <n v="1123.8399999999999"/>
    <x v="1"/>
    <d v="2023-09-13T06:10:11"/>
    <x v="2"/>
    <d v="2023-10-03T00:00:00"/>
    <n v="20.742928240739275"/>
    <x v="0"/>
    <x v="24"/>
    <n v="19.742928240739275"/>
    <x v="24"/>
  </r>
  <r>
    <n v="1019"/>
    <s v="1019111"/>
    <d v="2023-09-13T06:10:11"/>
    <s v="type40"/>
    <n v="319.69"/>
    <x v="3"/>
    <d v="2023-09-14T06:10:11"/>
    <x v="0"/>
    <d v="2023-10-03T00:00:00"/>
    <n v="19.742928240739275"/>
    <x v="0"/>
    <x v="20"/>
    <n v="18.742928240739275"/>
    <x v="20"/>
  </r>
  <r>
    <n v="1020"/>
    <s v="1020111"/>
    <d v="2023-09-15T06:10:11"/>
    <s v="type13"/>
    <n v="15769.74"/>
    <x v="5"/>
    <d v="2023-09-17T06:10:11"/>
    <x v="0"/>
    <d v="2023-10-03T00:00:00"/>
    <n v="17.742928240739275"/>
    <x v="0"/>
    <x v="4"/>
    <n v="15.742928240739275"/>
    <x v="4"/>
  </r>
  <r>
    <n v="1025"/>
    <s v="1025111"/>
    <d v="2023-09-14T06:10:11"/>
    <s v="type40"/>
    <n v="-1145.3900000000001"/>
    <x v="1"/>
    <d v="2023-09-15T06:10:11"/>
    <x v="5"/>
    <d v="2023-10-03T00:00:00"/>
    <n v="18.742928240739275"/>
    <x v="0"/>
    <x v="0"/>
    <n v="17.742928240739275"/>
    <x v="0"/>
  </r>
  <r>
    <n v="1019"/>
    <s v="1019111"/>
    <d v="2023-09-20T06:10:11"/>
    <s v="type26"/>
    <n v="219.19"/>
    <x v="2"/>
    <d v="2023-09-22T06:10:11"/>
    <x v="0"/>
    <d v="2023-10-03T00:00:00"/>
    <n v="12.742928240739275"/>
    <x v="0"/>
    <x v="10"/>
    <n v="10.742928240739275"/>
    <x v="10"/>
  </r>
  <r>
    <n v="1034"/>
    <s v="1034111"/>
    <d v="2023-09-15T06:10:11"/>
    <s v="type40"/>
    <n v="-5748.01"/>
    <x v="3"/>
    <d v="2023-09-16T06:10:11"/>
    <x v="4"/>
    <d v="2023-10-03T00:00:00"/>
    <n v="17.742928240739275"/>
    <x v="0"/>
    <x v="2"/>
    <n v="16.742928240739275"/>
    <x v="2"/>
  </r>
  <r>
    <n v="1034"/>
    <s v="1034111"/>
    <d v="2023-09-22T06:10:11"/>
    <s v="type13"/>
    <n v="13449.86"/>
    <x v="5"/>
    <d v="2023-09-27T06:10:11"/>
    <x v="4"/>
    <d v="2023-10-03T00:00:00"/>
    <n v="10.742928240739275"/>
    <x v="0"/>
    <x v="12"/>
    <n v="5.7429282407392748"/>
    <x v="12"/>
  </r>
  <r>
    <n v="1018"/>
    <s v="1018111"/>
    <d v="2023-09-16T06:10:11"/>
    <s v="type40"/>
    <n v="1532.53"/>
    <x v="3"/>
    <d v="2023-09-17T06:10:11"/>
    <x v="0"/>
    <d v="2023-10-03T00:00:00"/>
    <n v="16.742928240739275"/>
    <x v="0"/>
    <x v="4"/>
    <n v="15.742928240739275"/>
    <x v="4"/>
  </r>
  <r>
    <n v="1026"/>
    <s v="1026111"/>
    <d v="2023-09-16T06:10:11"/>
    <s v="type40"/>
    <n v="-523"/>
    <x v="3"/>
    <d v="2023-09-17T06:10:11"/>
    <x v="5"/>
    <d v="2023-10-03T00:00:00"/>
    <n v="16.742928240739275"/>
    <x v="0"/>
    <x v="4"/>
    <n v="15.742928240739275"/>
    <x v="4"/>
  </r>
  <r>
    <n v="1021"/>
    <s v="1021111"/>
    <d v="2023-09-22T06:10:11"/>
    <s v="type40"/>
    <n v="412.22"/>
    <x v="2"/>
    <d v="2023-09-24T06:10:11"/>
    <x v="0"/>
    <d v="2023-10-03T00:00:00"/>
    <n v="10.742928240739275"/>
    <x v="0"/>
    <x v="5"/>
    <n v="8.7429282407392748"/>
    <x v="5"/>
  </r>
  <r>
    <n v="1022"/>
    <s v="1022111"/>
    <d v="2023-09-16T06:10:11"/>
    <s v="type13"/>
    <n v="14411.64"/>
    <x v="5"/>
    <d v="2023-09-21T06:10:11"/>
    <x v="0"/>
    <d v="2023-10-03T00:00:00"/>
    <n v="16.742928240739275"/>
    <x v="0"/>
    <x v="1"/>
    <n v="11.742928240739275"/>
    <x v="1"/>
  </r>
  <r>
    <n v="1006"/>
    <s v="1006111"/>
    <d v="2023-09-10T06:10:11"/>
    <s v="type18"/>
    <n v="405.79"/>
    <x v="6"/>
    <d v="2023-09-17T06:10:11"/>
    <x v="1"/>
    <d v="2023-10-03T00:00:00"/>
    <n v="22.742928240739275"/>
    <x v="0"/>
    <x v="4"/>
    <n v="15.742928240739275"/>
    <x v="4"/>
  </r>
  <r>
    <n v="1034"/>
    <s v="1034111"/>
    <d v="2023-09-19T06:10:11"/>
    <s v="type13"/>
    <n v="27020.45"/>
    <x v="2"/>
    <d v="2023-09-24T06:10:11"/>
    <x v="4"/>
    <d v="2023-10-03T00:00:00"/>
    <n v="13.742928240739275"/>
    <x v="0"/>
    <x v="5"/>
    <n v="8.7429282407392748"/>
    <x v="5"/>
  </r>
  <r>
    <n v="1022"/>
    <s v="1022111"/>
    <d v="2023-09-14T06:10:11"/>
    <s v="type40"/>
    <n v="331.25"/>
    <x v="2"/>
    <d v="2023-09-21T06:10:11"/>
    <x v="0"/>
    <d v="2023-10-03T00:00:00"/>
    <n v="18.742928240739275"/>
    <x v="0"/>
    <x v="1"/>
    <n v="11.742928240739275"/>
    <x v="1"/>
  </r>
  <r>
    <n v="1015"/>
    <s v="1015111"/>
    <d v="2023-09-20T06:10:11"/>
    <s v="type40"/>
    <n v="1055.04"/>
    <x v="3"/>
    <d v="2023-09-21T06:10:11"/>
    <x v="2"/>
    <d v="2023-10-03T00:00:00"/>
    <n v="12.742928240739275"/>
    <x v="0"/>
    <x v="1"/>
    <n v="11.742928240739275"/>
    <x v="1"/>
  </r>
  <r>
    <n v="1019"/>
    <s v="1019111"/>
    <d v="2023-09-21T06:10:11"/>
    <s v="type40"/>
    <n v="1392.21"/>
    <x v="1"/>
    <d v="2023-09-22T06:10:11"/>
    <x v="0"/>
    <d v="2023-10-03T00:00:00"/>
    <n v="11.742928240739275"/>
    <x v="0"/>
    <x v="10"/>
    <n v="10.742928240739275"/>
    <x v="10"/>
  </r>
  <r>
    <n v="1034"/>
    <s v="1034111"/>
    <d v="2023-09-11T06:10:11"/>
    <s v="type42"/>
    <n v="201.77"/>
    <x v="6"/>
    <d v="2023-09-12T06:10:11"/>
    <x v="4"/>
    <d v="2023-10-03T00:00:00"/>
    <n v="21.742928240739275"/>
    <x v="0"/>
    <x v="18"/>
    <n v="20.742928240739275"/>
    <x v="18"/>
  </r>
  <r>
    <n v="1033"/>
    <s v="1033111"/>
    <d v="2023-09-23T06:10:11"/>
    <s v="type40"/>
    <n v="820.91"/>
    <x v="4"/>
    <d v="2023-09-25T06:10:11"/>
    <x v="4"/>
    <d v="2023-10-03T00:00:00"/>
    <n v="9.7429282407392748"/>
    <x v="0"/>
    <x v="11"/>
    <n v="7.7429282407392748"/>
    <x v="11"/>
  </r>
  <r>
    <n v="1001"/>
    <s v="1001111"/>
    <d v="2023-09-22T06:10:11"/>
    <s v="type13"/>
    <n v="38873.31"/>
    <x v="5"/>
    <d v="2023-09-27T06:10:11"/>
    <x v="3"/>
    <d v="2023-10-03T00:00:00"/>
    <n v="10.742928240739275"/>
    <x v="0"/>
    <x v="12"/>
    <n v="5.7429282407392748"/>
    <x v="12"/>
  </r>
  <r>
    <n v="1001"/>
    <s v="1001111"/>
    <d v="2023-09-24T06:10:11"/>
    <s v="type40"/>
    <n v="458.77"/>
    <x v="1"/>
    <d v="2023-09-26T06:10:11"/>
    <x v="3"/>
    <d v="2023-10-03T00:00:00"/>
    <n v="8.7429282407392748"/>
    <x v="1"/>
    <x v="7"/>
    <n v="6.7429282407392748"/>
    <x v="7"/>
  </r>
  <r>
    <n v="1008"/>
    <s v="1008111"/>
    <d v="2023-09-17T06:10:11"/>
    <s v="type40"/>
    <n v="3347.62"/>
    <x v="4"/>
    <d v="2023-09-22T06:10:11"/>
    <x v="1"/>
    <d v="2023-10-03T00:00:00"/>
    <n v="15.742928240739275"/>
    <x v="0"/>
    <x v="10"/>
    <n v="10.742928240739275"/>
    <x v="10"/>
  </r>
  <r>
    <n v="1019"/>
    <s v="1019111"/>
    <d v="2023-09-18T06:10:11"/>
    <s v="type13"/>
    <n v="24569.87"/>
    <x v="6"/>
    <d v="2023-09-19T06:10:11"/>
    <x v="0"/>
    <d v="2023-10-03T00:00:00"/>
    <n v="14.742928240739275"/>
    <x v="0"/>
    <x v="19"/>
    <n v="13.742928240739275"/>
    <x v="19"/>
  </r>
  <r>
    <n v="1019"/>
    <s v="1019111"/>
    <d v="2023-09-18T06:10:11"/>
    <s v="type40"/>
    <n v="11523.87"/>
    <x v="4"/>
    <d v="2023-09-23T06:10:11"/>
    <x v="0"/>
    <d v="2023-10-03T00:00:00"/>
    <n v="14.742928240739275"/>
    <x v="0"/>
    <x v="3"/>
    <n v="9.7429282407392748"/>
    <x v="3"/>
  </r>
  <r>
    <n v="1035"/>
    <s v="1035111"/>
    <d v="2023-09-18T06:10:11"/>
    <s v="type13"/>
    <n v="28196.68"/>
    <x v="6"/>
    <d v="2023-09-20T06:10:11"/>
    <x v="4"/>
    <d v="2023-10-03T00:00:00"/>
    <n v="14.742928240739275"/>
    <x v="0"/>
    <x v="9"/>
    <n v="12.742928240739275"/>
    <x v="9"/>
  </r>
  <r>
    <n v="1000"/>
    <s v="1000111"/>
    <d v="2023-09-16T06:10:11"/>
    <s v="type13"/>
    <n v="27516.23"/>
    <x v="3"/>
    <d v="2023-09-18T06:10:11"/>
    <x v="3"/>
    <d v="2023-10-03T00:00:00"/>
    <n v="16.742928240739275"/>
    <x v="0"/>
    <x v="6"/>
    <n v="14.742928240739275"/>
    <x v="6"/>
  </r>
  <r>
    <n v="1011"/>
    <s v="1011111"/>
    <d v="2023-09-17T06:10:11"/>
    <s v="type40"/>
    <n v="485.47"/>
    <x v="1"/>
    <d v="2023-09-19T06:10:11"/>
    <x v="1"/>
    <d v="2023-10-03T00:00:00"/>
    <n v="15.742928240739275"/>
    <x v="0"/>
    <x v="19"/>
    <n v="13.742928240739275"/>
    <x v="19"/>
  </r>
  <r>
    <n v="1011"/>
    <s v="1011111"/>
    <d v="2023-09-18T06:10:11"/>
    <s v="type13"/>
    <n v="15031.86"/>
    <x v="5"/>
    <d v="2023-09-25T06:10:11"/>
    <x v="1"/>
    <d v="2023-10-03T00:00:00"/>
    <n v="14.742928240739275"/>
    <x v="0"/>
    <x v="11"/>
    <n v="7.7429282407392748"/>
    <x v="11"/>
  </r>
  <r>
    <n v="1022"/>
    <s v="1022111"/>
    <d v="2023-09-20T06:10:11"/>
    <s v="type40"/>
    <n v="1158.8"/>
    <x v="4"/>
    <d v="2023-09-27T06:10:11"/>
    <x v="0"/>
    <d v="2023-10-03T00:00:00"/>
    <n v="12.742928240739275"/>
    <x v="0"/>
    <x v="12"/>
    <n v="5.7429282407392748"/>
    <x v="12"/>
  </r>
  <r>
    <n v="1010"/>
    <s v="1010111"/>
    <d v="2023-09-14T06:10:11"/>
    <s v="type36"/>
    <n v="413.5"/>
    <x v="6"/>
    <d v="2023-09-19T06:10:11"/>
    <x v="1"/>
    <d v="2023-10-03T00:00:00"/>
    <n v="18.742928240739275"/>
    <x v="0"/>
    <x v="19"/>
    <n v="13.742928240739275"/>
    <x v="19"/>
  </r>
  <r>
    <n v="1013"/>
    <s v="1013111"/>
    <d v="2023-09-15T06:10:11"/>
    <s v="type40"/>
    <n v="379.09"/>
    <x v="2"/>
    <d v="2023-09-22T06:10:11"/>
    <x v="2"/>
    <d v="2023-10-03T00:00:00"/>
    <n v="17.742928240739275"/>
    <x v="0"/>
    <x v="10"/>
    <n v="10.742928240739275"/>
    <x v="10"/>
  </r>
  <r>
    <n v="1024"/>
    <s v="1024111"/>
    <d v="2023-09-20T06:10:11"/>
    <s v="type13"/>
    <n v="24107.35"/>
    <x v="1"/>
    <d v="2023-09-22T06:10:11"/>
    <x v="5"/>
    <d v="2023-10-03T00:00:00"/>
    <n v="12.742928240739275"/>
    <x v="0"/>
    <x v="10"/>
    <n v="10.742928240739275"/>
    <x v="10"/>
  </r>
  <r>
    <n v="1031"/>
    <s v="1031111"/>
    <d v="2023-09-21T06:10:11"/>
    <s v="type13"/>
    <n v="19364.12"/>
    <x v="3"/>
    <d v="2023-09-23T06:10:11"/>
    <x v="4"/>
    <d v="2023-10-03T00:00:00"/>
    <n v="11.742928240739275"/>
    <x v="0"/>
    <x v="3"/>
    <n v="9.7429282407392748"/>
    <x v="3"/>
  </r>
  <r>
    <n v="1021"/>
    <s v="1021111"/>
    <d v="2023-09-20T06:10:11"/>
    <s v="type40"/>
    <n v="10.89"/>
    <x v="5"/>
    <d v="2023-09-27T06:10:11"/>
    <x v="0"/>
    <d v="2023-10-03T00:00:00"/>
    <n v="12.742928240739275"/>
    <x v="0"/>
    <x v="12"/>
    <n v="5.7429282407392748"/>
    <x v="12"/>
  </r>
  <r>
    <n v="1002"/>
    <s v="1002111"/>
    <d v="2023-09-22T06:10:11"/>
    <s v="type13"/>
    <n v="15375.24"/>
    <x v="1"/>
    <d v="2023-09-24T06:10:11"/>
    <x v="3"/>
    <d v="2023-10-03T00:00:00"/>
    <n v="10.742928240739275"/>
    <x v="0"/>
    <x v="5"/>
    <n v="8.7429282407392748"/>
    <x v="5"/>
  </r>
  <r>
    <n v="1004"/>
    <s v="1004111"/>
    <d v="2023-09-14T06:10:11"/>
    <s v="type13"/>
    <n v="38051.589999999997"/>
    <x v="4"/>
    <d v="2023-09-21T06:10:11"/>
    <x v="3"/>
    <d v="2023-10-03T00:00:00"/>
    <n v="18.742928240739275"/>
    <x v="0"/>
    <x v="1"/>
    <n v="11.742928240739275"/>
    <x v="1"/>
  </r>
  <r>
    <n v="1007"/>
    <s v="1007111"/>
    <d v="2023-09-18T06:10:11"/>
    <s v="type13"/>
    <n v="25161.919999999998"/>
    <x v="4"/>
    <d v="2023-09-19T06:10:11"/>
    <x v="1"/>
    <d v="2023-10-03T00:00:00"/>
    <n v="14.742928240739275"/>
    <x v="0"/>
    <x v="19"/>
    <n v="13.742928240739275"/>
    <x v="19"/>
  </r>
  <r>
    <n v="1019"/>
    <s v="1019111"/>
    <d v="2023-09-25T06:10:11"/>
    <s v="type40"/>
    <n v="315.93"/>
    <x v="1"/>
    <d v="2023-09-27T06:10:11"/>
    <x v="0"/>
    <d v="2023-10-03T00:00:00"/>
    <n v="7.7429282407392748"/>
    <x v="1"/>
    <x v="12"/>
    <n v="5.7429282407392748"/>
    <x v="12"/>
  </r>
  <r>
    <n v="1005"/>
    <s v="1005111"/>
    <d v="2023-09-26T06:10:11"/>
    <s v="type7"/>
    <n v="-1304"/>
    <x v="3"/>
    <d v="2023-10-01T06:10:11"/>
    <x v="3"/>
    <d v="2023-10-03T00:00:00"/>
    <n v="6.7429282407392748"/>
    <x v="1"/>
    <x v="22"/>
    <n v="1.7429282407392748"/>
    <x v="22"/>
  </r>
  <r>
    <n v="1006"/>
    <s v="1006111"/>
    <d v="2023-09-16T06:10:11"/>
    <s v="type38"/>
    <n v="159.41"/>
    <x v="2"/>
    <d v="2023-09-17T06:10:11"/>
    <x v="1"/>
    <d v="2023-10-03T00:00:00"/>
    <n v="16.742928240739275"/>
    <x v="0"/>
    <x v="4"/>
    <n v="15.742928240739275"/>
    <x v="4"/>
  </r>
  <r>
    <n v="1034"/>
    <s v="1034111"/>
    <d v="2023-09-28T06:10:11"/>
    <s v="type40"/>
    <n v="-585.91999999999996"/>
    <x v="1"/>
    <d v="2023-10-03T06:10:11"/>
    <x v="4"/>
    <d v="2023-10-03T00:00:00"/>
    <n v="4.7429282407392748"/>
    <x v="2"/>
    <x v="16"/>
    <n v="-0.25707175926072523"/>
    <x v="16"/>
  </r>
  <r>
    <n v="1026"/>
    <s v="1026111"/>
    <d v="2023-09-10T06:10:11"/>
    <s v="type40"/>
    <n v="3586.58"/>
    <x v="1"/>
    <d v="2023-09-15T06:10:11"/>
    <x v="5"/>
    <d v="2023-10-03T00:00:00"/>
    <n v="22.742928240739275"/>
    <x v="0"/>
    <x v="0"/>
    <n v="17.742928240739275"/>
    <x v="0"/>
  </r>
  <r>
    <n v="1000"/>
    <s v="1000111"/>
    <d v="2023-09-21T06:10:11"/>
    <s v="type38"/>
    <n v="180.86"/>
    <x v="2"/>
    <d v="2023-09-23T06:10:11"/>
    <x v="3"/>
    <d v="2023-10-03T00:00:00"/>
    <n v="11.742928240739275"/>
    <x v="0"/>
    <x v="3"/>
    <n v="9.7429282407392748"/>
    <x v="3"/>
  </r>
  <r>
    <n v="1002"/>
    <s v="1002111"/>
    <d v="2023-09-12T06:10:11"/>
    <s v="type7"/>
    <n v="-1483.99"/>
    <x v="3"/>
    <d v="2023-09-17T06:10:11"/>
    <x v="3"/>
    <d v="2023-10-03T00:00:00"/>
    <n v="20.742928240739275"/>
    <x v="0"/>
    <x v="4"/>
    <n v="15.742928240739275"/>
    <x v="4"/>
  </r>
  <r>
    <n v="1005"/>
    <s v="1005111"/>
    <d v="2023-09-14T06:10:11"/>
    <s v="type40"/>
    <n v="366.97"/>
    <x v="6"/>
    <d v="2023-09-19T06:10:11"/>
    <x v="3"/>
    <d v="2023-10-03T00:00:00"/>
    <n v="18.742928240739275"/>
    <x v="0"/>
    <x v="19"/>
    <n v="13.742928240739275"/>
    <x v="19"/>
  </r>
  <r>
    <n v="1029"/>
    <s v="1029111"/>
    <d v="2023-09-15T06:10:11"/>
    <s v="type36"/>
    <n v="295.87"/>
    <x v="6"/>
    <d v="2023-09-22T06:10:11"/>
    <x v="5"/>
    <d v="2023-10-03T00:00:00"/>
    <n v="17.742928240739275"/>
    <x v="0"/>
    <x v="10"/>
    <n v="10.742928240739275"/>
    <x v="10"/>
  </r>
  <r>
    <n v="1023"/>
    <s v="1023111"/>
    <d v="2023-09-15T06:10:11"/>
    <s v="type42"/>
    <n v="315.36"/>
    <x v="6"/>
    <d v="2023-09-22T06:10:11"/>
    <x v="0"/>
    <d v="2023-10-03T00:00:00"/>
    <n v="17.742928240739275"/>
    <x v="0"/>
    <x v="10"/>
    <n v="10.742928240739275"/>
    <x v="10"/>
  </r>
  <r>
    <n v="1010"/>
    <s v="1010111"/>
    <d v="2023-09-14T06:10:11"/>
    <s v="type40"/>
    <n v="532.32000000000005"/>
    <x v="3"/>
    <d v="2023-09-21T06:10:11"/>
    <x v="1"/>
    <d v="2023-10-03T00:00:00"/>
    <n v="18.742928240739275"/>
    <x v="0"/>
    <x v="1"/>
    <n v="11.742928240739275"/>
    <x v="1"/>
  </r>
  <r>
    <n v="1005"/>
    <s v="1005111"/>
    <d v="2023-09-21T06:10:11"/>
    <s v="type38"/>
    <n v="239.07"/>
    <x v="2"/>
    <d v="2023-09-23T06:10:11"/>
    <x v="3"/>
    <d v="2023-10-03T00:00:00"/>
    <n v="11.742928240739275"/>
    <x v="0"/>
    <x v="3"/>
    <n v="9.7429282407392748"/>
    <x v="3"/>
  </r>
  <r>
    <n v="1030"/>
    <s v="1030111"/>
    <d v="2023-09-11T06:10:11"/>
    <s v="type40"/>
    <n v="359.93"/>
    <x v="2"/>
    <d v="2023-09-13T06:10:11"/>
    <x v="4"/>
    <d v="2023-10-03T00:00:00"/>
    <n v="21.742928240739275"/>
    <x v="0"/>
    <x v="24"/>
    <n v="19.742928240739275"/>
    <x v="24"/>
  </r>
  <r>
    <n v="1011"/>
    <s v="1011111"/>
    <d v="2023-09-16T06:10:11"/>
    <s v="type13"/>
    <n v="26361.85"/>
    <x v="2"/>
    <d v="2023-09-18T06:10:11"/>
    <x v="1"/>
    <d v="2023-10-03T00:00:00"/>
    <n v="16.742928240739275"/>
    <x v="0"/>
    <x v="6"/>
    <n v="14.742928240739275"/>
    <x v="6"/>
  </r>
  <r>
    <n v="1016"/>
    <s v="1016111"/>
    <d v="2023-09-19T06:10:11"/>
    <s v="type13"/>
    <n v="27351.5"/>
    <x v="2"/>
    <d v="2023-09-24T06:10:11"/>
    <x v="2"/>
    <d v="2023-10-03T00:00:00"/>
    <n v="13.742928240739275"/>
    <x v="0"/>
    <x v="5"/>
    <n v="8.7429282407392748"/>
    <x v="5"/>
  </r>
  <r>
    <n v="1012"/>
    <s v="1012111"/>
    <d v="2023-09-19T06:10:11"/>
    <s v="type33"/>
    <n v="405.25"/>
    <x v="4"/>
    <d v="2023-09-20T06:10:11"/>
    <x v="2"/>
    <d v="2023-10-03T00:00:00"/>
    <n v="13.742928240739275"/>
    <x v="0"/>
    <x v="9"/>
    <n v="12.742928240739275"/>
    <x v="9"/>
  </r>
  <r>
    <n v="1029"/>
    <s v="1029111"/>
    <d v="2023-09-18T06:10:11"/>
    <s v="type40"/>
    <n v="-961.48"/>
    <x v="1"/>
    <d v="2023-09-25T06:10:11"/>
    <x v="5"/>
    <d v="2023-10-03T00:00:00"/>
    <n v="14.742928240739275"/>
    <x v="0"/>
    <x v="11"/>
    <n v="7.7429282407392748"/>
    <x v="11"/>
  </r>
  <r>
    <n v="1000"/>
    <s v="1000111"/>
    <d v="2023-09-23T06:10:11"/>
    <s v="type40"/>
    <n v="2070.73"/>
    <x v="2"/>
    <d v="2023-09-30T06:10:11"/>
    <x v="3"/>
    <d v="2023-10-03T00:00:00"/>
    <n v="9.7429282407392748"/>
    <x v="0"/>
    <x v="14"/>
    <n v="2.7429282407392748"/>
    <x v="14"/>
  </r>
  <r>
    <n v="1005"/>
    <s v="1005111"/>
    <d v="2023-09-12T06:10:11"/>
    <s v="type40"/>
    <n v="1940.95"/>
    <x v="2"/>
    <d v="2023-09-13T06:10:11"/>
    <x v="3"/>
    <d v="2023-10-03T00:00:00"/>
    <n v="20.742928240739275"/>
    <x v="0"/>
    <x v="24"/>
    <n v="19.742928240739275"/>
    <x v="24"/>
  </r>
  <r>
    <n v="1000"/>
    <s v="1000111"/>
    <d v="2023-09-18T06:10:11"/>
    <s v="type40"/>
    <n v="30"/>
    <x v="6"/>
    <d v="2023-09-25T06:10:11"/>
    <x v="3"/>
    <d v="2023-10-03T00:00:00"/>
    <n v="14.742928240739275"/>
    <x v="0"/>
    <x v="11"/>
    <n v="7.7429282407392748"/>
    <x v="11"/>
  </r>
  <r>
    <n v="1031"/>
    <s v="1031111"/>
    <d v="2023-09-20T06:10:11"/>
    <s v="type7"/>
    <n v="15559.8"/>
    <x v="3"/>
    <d v="2023-09-27T06:10:11"/>
    <x v="4"/>
    <d v="2023-10-03T00:00:00"/>
    <n v="12.742928240739275"/>
    <x v="0"/>
    <x v="12"/>
    <n v="5.7429282407392748"/>
    <x v="12"/>
  </r>
  <r>
    <n v="1001"/>
    <s v="1001111"/>
    <d v="2023-09-16T06:10:11"/>
    <s v="type40"/>
    <n v="9495.77"/>
    <x v="4"/>
    <d v="2023-09-17T06:10:11"/>
    <x v="3"/>
    <d v="2023-10-03T00:00:00"/>
    <n v="16.742928240739275"/>
    <x v="0"/>
    <x v="4"/>
    <n v="15.742928240739275"/>
    <x v="4"/>
  </r>
  <r>
    <n v="1024"/>
    <s v="1024111"/>
    <d v="2023-09-18T06:10:11"/>
    <s v="type13"/>
    <n v="31137.97"/>
    <x v="4"/>
    <d v="2023-09-19T06:10:11"/>
    <x v="5"/>
    <d v="2023-10-03T00:00:00"/>
    <n v="14.742928240739275"/>
    <x v="0"/>
    <x v="19"/>
    <n v="13.742928240739275"/>
    <x v="19"/>
  </r>
  <r>
    <n v="1003"/>
    <s v="1003111"/>
    <d v="2023-09-20T06:10:11"/>
    <s v="type7"/>
    <n v="9296.34"/>
    <x v="2"/>
    <d v="2023-09-22T06:10:11"/>
    <x v="3"/>
    <d v="2023-10-03T00:00:00"/>
    <n v="12.742928240739275"/>
    <x v="0"/>
    <x v="10"/>
    <n v="10.742928240739275"/>
    <x v="10"/>
  </r>
  <r>
    <n v="1031"/>
    <s v="1031111"/>
    <d v="2023-09-23T06:10:11"/>
    <s v="type40"/>
    <n v="-494.97"/>
    <x v="3"/>
    <d v="2023-09-30T06:10:11"/>
    <x v="4"/>
    <d v="2023-10-03T00:00:00"/>
    <n v="9.7429282407392748"/>
    <x v="0"/>
    <x v="14"/>
    <n v="2.7429282407392748"/>
    <x v="14"/>
  </r>
  <r>
    <n v="1019"/>
    <s v="1019111"/>
    <d v="2023-09-24T06:10:11"/>
    <s v="type40"/>
    <n v="392.45"/>
    <x v="1"/>
    <d v="2023-10-01T06:10:11"/>
    <x v="0"/>
    <d v="2023-10-03T00:00:00"/>
    <n v="8.7429282407392748"/>
    <x v="1"/>
    <x v="22"/>
    <n v="1.7429282407392748"/>
    <x v="22"/>
  </r>
  <r>
    <n v="1021"/>
    <s v="1021111"/>
    <d v="2023-09-20T06:10:11"/>
    <s v="type13"/>
    <n v="27031.16"/>
    <x v="4"/>
    <d v="2023-09-22T06:10:11"/>
    <x v="0"/>
    <d v="2023-10-03T00:00:00"/>
    <n v="12.742928240739275"/>
    <x v="0"/>
    <x v="10"/>
    <n v="10.742928240739275"/>
    <x v="10"/>
  </r>
  <r>
    <n v="1015"/>
    <s v="1015111"/>
    <d v="2023-09-26T06:10:11"/>
    <s v="type10"/>
    <n v="228.51"/>
    <x v="3"/>
    <d v="2023-10-03T06:10:11"/>
    <x v="2"/>
    <d v="2023-10-03T00:00:00"/>
    <n v="6.7429282407392748"/>
    <x v="1"/>
    <x v="16"/>
    <n v="-0.25707175926072523"/>
    <x v="16"/>
  </r>
  <r>
    <n v="1004"/>
    <s v="1004111"/>
    <d v="2023-09-21T06:10:11"/>
    <s v="type23"/>
    <n v="714.65"/>
    <x v="6"/>
    <d v="2023-09-28T06:10:11"/>
    <x v="3"/>
    <d v="2023-10-03T00:00:00"/>
    <n v="11.742928240739275"/>
    <x v="0"/>
    <x v="8"/>
    <n v="4.7429282407392748"/>
    <x v="8"/>
  </r>
  <r>
    <n v="1011"/>
    <s v="1011111"/>
    <d v="2023-09-18T06:10:11"/>
    <s v="type40"/>
    <n v="-1382.8"/>
    <x v="5"/>
    <d v="2023-09-20T06:10:11"/>
    <x v="1"/>
    <d v="2023-10-03T00:00:00"/>
    <n v="14.742928240739275"/>
    <x v="0"/>
    <x v="9"/>
    <n v="12.742928240739275"/>
    <x v="9"/>
  </r>
  <r>
    <n v="1002"/>
    <s v="1002111"/>
    <d v="2023-09-21T06:10:11"/>
    <s v="type40"/>
    <n v="-410.46"/>
    <x v="6"/>
    <d v="2023-09-28T06:10:11"/>
    <x v="3"/>
    <d v="2023-10-03T00:00:00"/>
    <n v="11.742928240739275"/>
    <x v="0"/>
    <x v="8"/>
    <n v="4.7429282407392748"/>
    <x v="8"/>
  </r>
  <r>
    <n v="1016"/>
    <s v="1016111"/>
    <d v="2023-09-23T06:10:11"/>
    <s v="type13"/>
    <n v="26398.97"/>
    <x v="2"/>
    <d v="2023-09-25T06:10:11"/>
    <x v="2"/>
    <d v="2023-10-03T00:00:00"/>
    <n v="9.7429282407392748"/>
    <x v="0"/>
    <x v="11"/>
    <n v="7.7429282407392748"/>
    <x v="11"/>
  </r>
  <r>
    <n v="1003"/>
    <s v="1003111"/>
    <d v="2023-09-13T06:10:11"/>
    <s v="type40"/>
    <n v="452.56"/>
    <x v="4"/>
    <d v="2023-09-15T06:10:11"/>
    <x v="3"/>
    <d v="2023-10-03T00:00:00"/>
    <n v="19.742928240739275"/>
    <x v="0"/>
    <x v="0"/>
    <n v="17.742928240739275"/>
    <x v="0"/>
  </r>
  <r>
    <n v="1034"/>
    <s v="1034111"/>
    <d v="2023-09-18T06:10:11"/>
    <s v="type13"/>
    <n v="35446.379999999997"/>
    <x v="2"/>
    <d v="2023-09-20T06:10:11"/>
    <x v="4"/>
    <d v="2023-10-03T00:00:00"/>
    <n v="14.742928240739275"/>
    <x v="0"/>
    <x v="9"/>
    <n v="12.742928240739275"/>
    <x v="9"/>
  </r>
  <r>
    <n v="1008"/>
    <s v="1008111"/>
    <d v="2023-09-17T06:10:11"/>
    <s v="type40"/>
    <n v="899.62"/>
    <x v="4"/>
    <d v="2023-09-24T06:10:11"/>
    <x v="1"/>
    <d v="2023-10-03T00:00:00"/>
    <n v="15.742928240739275"/>
    <x v="0"/>
    <x v="5"/>
    <n v="8.7429282407392748"/>
    <x v="5"/>
  </r>
  <r>
    <n v="1005"/>
    <s v="1005111"/>
    <d v="2023-09-16T06:10:11"/>
    <s v="type13"/>
    <n v="23669.67"/>
    <x v="6"/>
    <d v="2023-09-17T06:10:11"/>
    <x v="3"/>
    <d v="2023-10-03T00:00:00"/>
    <n v="16.742928240739275"/>
    <x v="0"/>
    <x v="4"/>
    <n v="15.742928240739275"/>
    <x v="4"/>
  </r>
  <r>
    <n v="1010"/>
    <s v="1010111"/>
    <d v="2023-09-21T06:10:11"/>
    <s v="type23"/>
    <n v="696.95"/>
    <x v="5"/>
    <d v="2023-09-23T06:10:11"/>
    <x v="1"/>
    <d v="2023-10-03T00:00:00"/>
    <n v="11.742928240739275"/>
    <x v="0"/>
    <x v="3"/>
    <n v="9.7429282407392748"/>
    <x v="3"/>
  </r>
  <r>
    <n v="1033"/>
    <s v="1033111"/>
    <d v="2023-09-19T06:10:11"/>
    <s v="type26"/>
    <n v="116.7"/>
    <x v="2"/>
    <d v="2023-09-26T06:10:11"/>
    <x v="4"/>
    <d v="2023-10-03T00:00:00"/>
    <n v="13.742928240739275"/>
    <x v="0"/>
    <x v="7"/>
    <n v="6.7429282407392748"/>
    <x v="7"/>
  </r>
  <r>
    <n v="1019"/>
    <s v="1019111"/>
    <d v="2023-09-17T06:10:11"/>
    <s v="type40"/>
    <n v="10"/>
    <x v="6"/>
    <d v="2023-09-18T06:10:11"/>
    <x v="0"/>
    <d v="2023-10-03T00:00:00"/>
    <n v="15.742928240739275"/>
    <x v="0"/>
    <x v="6"/>
    <n v="14.742928240739275"/>
    <x v="6"/>
  </r>
  <r>
    <n v="1012"/>
    <s v="1012111"/>
    <d v="2023-09-21T06:10:11"/>
    <s v="type40"/>
    <n v="-504.66"/>
    <x v="4"/>
    <d v="2023-09-28T06:10:11"/>
    <x v="2"/>
    <d v="2023-10-03T00:00:00"/>
    <n v="11.742928240739275"/>
    <x v="0"/>
    <x v="8"/>
    <n v="4.7429282407392748"/>
    <x v="8"/>
  </r>
  <r>
    <n v="1014"/>
    <s v="1014111"/>
    <d v="2023-09-23T06:10:11"/>
    <s v="type13"/>
    <n v="26437.82"/>
    <x v="2"/>
    <d v="2023-09-24T06:10:11"/>
    <x v="2"/>
    <d v="2023-10-03T00:00:00"/>
    <n v="9.7429282407392748"/>
    <x v="0"/>
    <x v="5"/>
    <n v="8.7429282407392748"/>
    <x v="5"/>
  </r>
  <r>
    <n v="1019"/>
    <s v="1019111"/>
    <d v="2023-09-18T06:10:11"/>
    <s v="type40"/>
    <n v="365.22"/>
    <x v="5"/>
    <d v="2023-09-20T06:10:11"/>
    <x v="0"/>
    <d v="2023-10-03T00:00:00"/>
    <n v="14.742928240739275"/>
    <x v="0"/>
    <x v="9"/>
    <n v="12.742928240739275"/>
    <x v="9"/>
  </r>
  <r>
    <n v="1013"/>
    <s v="1013111"/>
    <d v="2023-09-25T06:10:11"/>
    <s v="type13"/>
    <n v="36319.19"/>
    <x v="3"/>
    <d v="2023-09-26T06:10:11"/>
    <x v="2"/>
    <d v="2023-10-03T00:00:00"/>
    <n v="7.7429282407392748"/>
    <x v="1"/>
    <x v="7"/>
    <n v="6.7429282407392748"/>
    <x v="7"/>
  </r>
  <r>
    <n v="1033"/>
    <s v="1033111"/>
    <d v="2023-09-17T06:10:11"/>
    <s v="type13"/>
    <n v="21569.56"/>
    <x v="2"/>
    <d v="2023-09-18T06:10:11"/>
    <x v="4"/>
    <d v="2023-10-03T00:00:00"/>
    <n v="15.742928240739275"/>
    <x v="0"/>
    <x v="6"/>
    <n v="14.742928240739275"/>
    <x v="6"/>
  </r>
  <r>
    <n v="1009"/>
    <s v="1009111"/>
    <d v="2023-09-22T06:10:11"/>
    <s v="type40"/>
    <n v="374.53"/>
    <x v="5"/>
    <d v="2023-09-24T06:10:11"/>
    <x v="1"/>
    <d v="2023-10-03T00:00:00"/>
    <n v="10.742928240739275"/>
    <x v="0"/>
    <x v="5"/>
    <n v="8.7429282407392748"/>
    <x v="5"/>
  </r>
  <r>
    <n v="1022"/>
    <s v="1022111"/>
    <d v="2023-09-19T06:10:11"/>
    <s v="type40"/>
    <n v="-2148.19"/>
    <x v="2"/>
    <d v="2023-09-26T06:10:11"/>
    <x v="0"/>
    <d v="2023-10-03T00:00:00"/>
    <n v="13.742928240739275"/>
    <x v="0"/>
    <x v="7"/>
    <n v="6.7429282407392748"/>
    <x v="7"/>
  </r>
  <r>
    <n v="1015"/>
    <s v="1015111"/>
    <d v="2023-09-11T06:10:11"/>
    <s v="type33"/>
    <n v="345.64"/>
    <x v="2"/>
    <d v="2023-09-12T06:10:11"/>
    <x v="2"/>
    <d v="2023-10-03T00:00:00"/>
    <n v="21.742928240739275"/>
    <x v="0"/>
    <x v="18"/>
    <n v="20.742928240739275"/>
    <x v="18"/>
  </r>
  <r>
    <n v="1007"/>
    <s v="1007111"/>
    <d v="2023-09-12T06:10:11"/>
    <s v="type40"/>
    <n v="-7606.47"/>
    <x v="1"/>
    <d v="2023-09-14T06:10:11"/>
    <x v="1"/>
    <d v="2023-10-03T00:00:00"/>
    <n v="20.742928240739275"/>
    <x v="0"/>
    <x v="20"/>
    <n v="18.742928240739275"/>
    <x v="20"/>
  </r>
  <r>
    <n v="1014"/>
    <s v="1014111"/>
    <d v="2023-09-13T06:10:11"/>
    <s v="type38"/>
    <n v="219.77"/>
    <x v="3"/>
    <d v="2023-09-15T06:10:11"/>
    <x v="2"/>
    <d v="2023-10-03T00:00:00"/>
    <n v="19.742928240739275"/>
    <x v="0"/>
    <x v="0"/>
    <n v="17.742928240739275"/>
    <x v="0"/>
  </r>
  <r>
    <n v="1018"/>
    <s v="1018111"/>
    <d v="2023-09-13T06:10:11"/>
    <s v="type38"/>
    <n v="261.98"/>
    <x v="3"/>
    <d v="2023-09-15T06:10:11"/>
    <x v="0"/>
    <d v="2023-10-03T00:00:00"/>
    <n v="19.742928240739275"/>
    <x v="0"/>
    <x v="0"/>
    <n v="17.742928240739275"/>
    <x v="0"/>
  </r>
  <r>
    <n v="1022"/>
    <s v="1022111"/>
    <d v="2023-09-18T06:10:11"/>
    <s v="type42"/>
    <n v="259.76"/>
    <x v="6"/>
    <d v="2023-09-19T06:10:11"/>
    <x v="0"/>
    <d v="2023-10-03T00:00:00"/>
    <n v="14.742928240739275"/>
    <x v="0"/>
    <x v="19"/>
    <n v="13.742928240739275"/>
    <x v="19"/>
  </r>
  <r>
    <n v="1018"/>
    <s v="1018111"/>
    <d v="2023-09-13T06:10:11"/>
    <s v="type45"/>
    <n v="249.87"/>
    <x v="2"/>
    <d v="2023-09-14T06:10:11"/>
    <x v="0"/>
    <d v="2023-10-03T00:00:00"/>
    <n v="19.742928240739275"/>
    <x v="0"/>
    <x v="20"/>
    <n v="18.742928240739275"/>
    <x v="20"/>
  </r>
  <r>
    <n v="1024"/>
    <s v="1024111"/>
    <d v="2023-09-14T06:10:11"/>
    <s v="type40"/>
    <n v="1417.85"/>
    <x v="2"/>
    <d v="2023-09-15T06:10:11"/>
    <x v="5"/>
    <d v="2023-10-03T00:00:00"/>
    <n v="18.742928240739275"/>
    <x v="0"/>
    <x v="0"/>
    <n v="17.742928240739275"/>
    <x v="0"/>
  </r>
  <r>
    <n v="1031"/>
    <s v="1031111"/>
    <d v="2023-09-15T06:10:11"/>
    <s v="type17"/>
    <n v="977.79"/>
    <x v="3"/>
    <d v="2023-09-17T06:10:11"/>
    <x v="4"/>
    <d v="2023-10-03T00:00:00"/>
    <n v="17.742928240739275"/>
    <x v="0"/>
    <x v="4"/>
    <n v="15.742928240739275"/>
    <x v="4"/>
  </r>
  <r>
    <n v="1026"/>
    <s v="1026111"/>
    <d v="2023-09-16T06:10:11"/>
    <s v="type13"/>
    <n v="22961.35"/>
    <x v="1"/>
    <d v="2023-09-18T06:10:11"/>
    <x v="5"/>
    <d v="2023-10-03T00:00:00"/>
    <n v="16.742928240739275"/>
    <x v="0"/>
    <x v="6"/>
    <n v="14.742928240739275"/>
    <x v="6"/>
  </r>
  <r>
    <n v="1013"/>
    <s v="1013111"/>
    <d v="2023-09-16T06:10:11"/>
    <s v="type13"/>
    <n v="19596.78"/>
    <x v="1"/>
    <d v="2023-09-18T06:10:11"/>
    <x v="2"/>
    <d v="2023-10-03T00:00:00"/>
    <n v="16.742928240739275"/>
    <x v="0"/>
    <x v="6"/>
    <n v="14.742928240739275"/>
    <x v="6"/>
  </r>
  <r>
    <n v="1011"/>
    <s v="1011111"/>
    <d v="2023-09-15T06:10:11"/>
    <s v="type25"/>
    <n v="214.72"/>
    <x v="6"/>
    <d v="2023-09-17T06:10:11"/>
    <x v="1"/>
    <d v="2023-10-03T00:00:00"/>
    <n v="17.742928240739275"/>
    <x v="0"/>
    <x v="4"/>
    <n v="15.742928240739275"/>
    <x v="4"/>
  </r>
  <r>
    <n v="1027"/>
    <s v="1027111"/>
    <d v="2023-09-18T06:10:11"/>
    <s v="type13"/>
    <n v="16606.5"/>
    <x v="1"/>
    <d v="2023-09-20T06:10:11"/>
    <x v="5"/>
    <d v="2023-10-03T00:00:00"/>
    <n v="14.742928240739275"/>
    <x v="0"/>
    <x v="9"/>
    <n v="12.742928240739275"/>
    <x v="9"/>
  </r>
  <r>
    <n v="1024"/>
    <s v="1024111"/>
    <d v="2023-09-18T06:10:11"/>
    <s v="type13"/>
    <n v="13466.36"/>
    <x v="1"/>
    <d v="2023-09-20T06:10:11"/>
    <x v="5"/>
    <d v="2023-10-03T00:00:00"/>
    <n v="14.742928240739275"/>
    <x v="0"/>
    <x v="9"/>
    <n v="12.742928240739275"/>
    <x v="9"/>
  </r>
  <r>
    <n v="1027"/>
    <s v="1027111"/>
    <d v="2023-09-17T06:10:11"/>
    <s v="type40"/>
    <n v="3563.79"/>
    <x v="2"/>
    <d v="2023-09-18T06:10:11"/>
    <x v="5"/>
    <d v="2023-10-03T00:00:00"/>
    <n v="15.742928240739275"/>
    <x v="0"/>
    <x v="6"/>
    <n v="14.742928240739275"/>
    <x v="6"/>
  </r>
  <r>
    <n v="1032"/>
    <s v="1032111"/>
    <d v="2023-09-18T06:10:11"/>
    <s v="type40"/>
    <n v="48.01"/>
    <x v="6"/>
    <d v="2023-09-20T06:10:11"/>
    <x v="4"/>
    <d v="2023-10-03T00:00:00"/>
    <n v="14.742928240739275"/>
    <x v="0"/>
    <x v="9"/>
    <n v="12.742928240739275"/>
    <x v="9"/>
  </r>
  <r>
    <n v="1031"/>
    <s v="1031111"/>
    <d v="2023-09-21T06:10:11"/>
    <s v="type40"/>
    <n v="-354.11"/>
    <x v="6"/>
    <d v="2023-09-23T06:10:11"/>
    <x v="4"/>
    <d v="2023-10-03T00:00:00"/>
    <n v="11.742928240739275"/>
    <x v="0"/>
    <x v="3"/>
    <n v="9.7429282407392748"/>
    <x v="3"/>
  </r>
  <r>
    <n v="1012"/>
    <s v="1012111"/>
    <d v="2023-09-18T06:10:11"/>
    <s v="type40"/>
    <n v="-695.41"/>
    <x v="2"/>
    <d v="2023-09-19T06:10:11"/>
    <x v="2"/>
    <d v="2023-10-03T00:00:00"/>
    <n v="14.742928240739275"/>
    <x v="0"/>
    <x v="19"/>
    <n v="13.742928240739275"/>
    <x v="19"/>
  </r>
  <r>
    <n v="1025"/>
    <s v="1025111"/>
    <d v="2023-09-16T06:10:11"/>
    <s v="type40"/>
    <n v="-448.73"/>
    <x v="5"/>
    <d v="2023-09-21T06:10:11"/>
    <x v="5"/>
    <d v="2023-10-03T00:00:00"/>
    <n v="16.742928240739275"/>
    <x v="0"/>
    <x v="1"/>
    <n v="11.742928240739275"/>
    <x v="1"/>
  </r>
  <r>
    <n v="1019"/>
    <s v="1019111"/>
    <d v="2023-09-20T06:10:11"/>
    <s v="type26"/>
    <n v="129.69999999999999"/>
    <x v="6"/>
    <d v="2023-09-27T06:10:11"/>
    <x v="0"/>
    <d v="2023-10-03T00:00:00"/>
    <n v="12.742928240739275"/>
    <x v="0"/>
    <x v="12"/>
    <n v="5.7429282407392748"/>
    <x v="12"/>
  </r>
  <r>
    <n v="1024"/>
    <s v="1024111"/>
    <d v="2023-09-17T06:10:11"/>
    <s v="type27"/>
    <n v="1672469.01"/>
    <x v="2"/>
    <d v="2023-09-19T06:10:11"/>
    <x v="5"/>
    <d v="2023-10-03T00:00:00"/>
    <n v="15.742928240739275"/>
    <x v="0"/>
    <x v="19"/>
    <n v="13.742928240739275"/>
    <x v="19"/>
  </r>
  <r>
    <n v="1011"/>
    <s v="1011111"/>
    <d v="2023-09-20T06:10:11"/>
    <s v="type10"/>
    <n v="51.69"/>
    <x v="5"/>
    <d v="2023-09-27T06:10:11"/>
    <x v="1"/>
    <d v="2023-10-03T00:00:00"/>
    <n v="12.742928240739275"/>
    <x v="0"/>
    <x v="12"/>
    <n v="5.7429282407392748"/>
    <x v="12"/>
  </r>
  <r>
    <n v="1034"/>
    <s v="1034111"/>
    <d v="2023-09-21T06:10:11"/>
    <s v="type40"/>
    <n v="-893.15"/>
    <x v="4"/>
    <d v="2023-09-22T06:10:11"/>
    <x v="4"/>
    <d v="2023-10-03T00:00:00"/>
    <n v="11.742928240739275"/>
    <x v="0"/>
    <x v="10"/>
    <n v="10.742928240739275"/>
    <x v="10"/>
  </r>
  <r>
    <n v="1023"/>
    <s v="1023111"/>
    <d v="2023-09-11T06:10:11"/>
    <s v="type40"/>
    <n v="25"/>
    <x v="6"/>
    <d v="2023-09-18T06:10:11"/>
    <x v="0"/>
    <d v="2023-10-03T00:00:00"/>
    <n v="21.742928240739275"/>
    <x v="0"/>
    <x v="6"/>
    <n v="14.742928240739275"/>
    <x v="6"/>
  </r>
  <r>
    <n v="1002"/>
    <s v="1002111"/>
    <d v="2023-09-27T06:10:11"/>
    <s v="type40"/>
    <n v="-462.3"/>
    <x v="3"/>
    <d v="2023-10-02T06:10:11"/>
    <x v="3"/>
    <d v="2023-10-03T00:00:00"/>
    <n v="5.7429282407392748"/>
    <x v="2"/>
    <x v="15"/>
    <n v="0.74292824073927477"/>
    <x v="15"/>
  </r>
  <r>
    <n v="1005"/>
    <s v="1005111"/>
    <d v="2023-09-16T06:10:11"/>
    <s v="type8"/>
    <n v="60"/>
    <x v="6"/>
    <d v="2023-09-17T06:10:11"/>
    <x v="3"/>
    <d v="2023-10-03T00:00:00"/>
    <n v="16.742928240739275"/>
    <x v="0"/>
    <x v="4"/>
    <n v="15.742928240739275"/>
    <x v="4"/>
  </r>
  <r>
    <n v="1011"/>
    <s v="1011111"/>
    <d v="2023-09-23T06:10:11"/>
    <s v="type40"/>
    <n v="19.04"/>
    <x v="5"/>
    <d v="2023-09-30T06:10:11"/>
    <x v="1"/>
    <d v="2023-10-03T00:00:00"/>
    <n v="9.7429282407392748"/>
    <x v="0"/>
    <x v="14"/>
    <n v="2.7429282407392748"/>
    <x v="14"/>
  </r>
  <r>
    <n v="1010"/>
    <s v="1010111"/>
    <d v="2023-09-22T06:10:11"/>
    <s v="type40"/>
    <n v="-348.82"/>
    <x v="2"/>
    <d v="2023-09-24T06:10:11"/>
    <x v="1"/>
    <d v="2023-10-03T00:00:00"/>
    <n v="10.742928240739275"/>
    <x v="0"/>
    <x v="5"/>
    <n v="8.7429282407392748"/>
    <x v="5"/>
  </r>
  <r>
    <n v="1001"/>
    <s v="1001111"/>
    <d v="2023-09-14T06:10:11"/>
    <s v="type42"/>
    <n v="208.18"/>
    <x v="5"/>
    <d v="2023-09-21T06:10:11"/>
    <x v="3"/>
    <d v="2023-10-03T00:00:00"/>
    <n v="18.742928240739275"/>
    <x v="0"/>
    <x v="1"/>
    <n v="11.742928240739275"/>
    <x v="1"/>
  </r>
  <r>
    <n v="1032"/>
    <s v="1032111"/>
    <d v="2023-09-12T06:10:11"/>
    <s v="type40"/>
    <n v="-1685.92"/>
    <x v="4"/>
    <d v="2023-09-14T06:10:11"/>
    <x v="4"/>
    <d v="2023-10-03T00:00:00"/>
    <n v="20.742928240739275"/>
    <x v="0"/>
    <x v="20"/>
    <n v="18.742928240739275"/>
    <x v="20"/>
  </r>
  <r>
    <n v="1022"/>
    <s v="1022111"/>
    <d v="2023-09-19T06:10:11"/>
    <s v="type26"/>
    <n v="139.86000000000001"/>
    <x v="3"/>
    <d v="2023-09-24T06:10:11"/>
    <x v="0"/>
    <d v="2023-10-03T00:00:00"/>
    <n v="13.742928240739275"/>
    <x v="0"/>
    <x v="5"/>
    <n v="8.7429282407392748"/>
    <x v="5"/>
  </r>
  <r>
    <n v="1011"/>
    <s v="1011111"/>
    <d v="2023-09-20T06:10:11"/>
    <s v="type40"/>
    <n v="1"/>
    <x v="1"/>
    <d v="2023-09-27T06:10:11"/>
    <x v="1"/>
    <d v="2023-10-03T00:00:00"/>
    <n v="12.742928240739275"/>
    <x v="0"/>
    <x v="12"/>
    <n v="5.7429282407392748"/>
    <x v="12"/>
  </r>
  <r>
    <n v="1005"/>
    <s v="1005111"/>
    <d v="2023-09-13T06:10:11"/>
    <s v="type40"/>
    <n v="1164.32"/>
    <x v="2"/>
    <d v="2023-09-18T06:10:11"/>
    <x v="3"/>
    <d v="2023-10-03T00:00:00"/>
    <n v="19.742928240739275"/>
    <x v="0"/>
    <x v="6"/>
    <n v="14.742928240739275"/>
    <x v="6"/>
  </r>
  <r>
    <n v="1026"/>
    <s v="1026111"/>
    <d v="2023-09-14T06:10:11"/>
    <s v="type40"/>
    <n v="10.27"/>
    <x v="5"/>
    <d v="2023-09-21T06:10:11"/>
    <x v="5"/>
    <d v="2023-10-03T00:00:00"/>
    <n v="18.742928240739275"/>
    <x v="0"/>
    <x v="1"/>
    <n v="11.742928240739275"/>
    <x v="1"/>
  </r>
  <r>
    <n v="1018"/>
    <s v="1018111"/>
    <d v="2023-09-21T06:10:11"/>
    <s v="type40"/>
    <n v="-957.66"/>
    <x v="3"/>
    <d v="2023-09-28T06:10:11"/>
    <x v="0"/>
    <d v="2023-10-03T00:00:00"/>
    <n v="11.742928240739275"/>
    <x v="0"/>
    <x v="8"/>
    <n v="4.7429282407392748"/>
    <x v="8"/>
  </r>
  <r>
    <n v="1022"/>
    <s v="1022111"/>
    <d v="2023-09-22T06:10:11"/>
    <s v="type40"/>
    <n v="308.36"/>
    <x v="3"/>
    <d v="2023-09-29T06:10:11"/>
    <x v="0"/>
    <d v="2023-10-03T00:00:00"/>
    <n v="10.742928240739275"/>
    <x v="0"/>
    <x v="13"/>
    <n v="3.7429282407392748"/>
    <x v="13"/>
  </r>
  <r>
    <n v="1001"/>
    <s v="1001111"/>
    <d v="2023-09-23T06:10:11"/>
    <s v="type40"/>
    <n v="408.36"/>
    <x v="1"/>
    <d v="2023-09-30T06:10:11"/>
    <x v="3"/>
    <d v="2023-10-03T00:00:00"/>
    <n v="9.7429282407392748"/>
    <x v="0"/>
    <x v="14"/>
    <n v="2.7429282407392748"/>
    <x v="14"/>
  </r>
  <r>
    <n v="1020"/>
    <s v="1020111"/>
    <d v="2023-09-19T06:10:11"/>
    <s v="type23"/>
    <n v="322.27999999999997"/>
    <x v="6"/>
    <d v="2023-09-20T06:10:11"/>
    <x v="0"/>
    <d v="2023-10-03T00:00:00"/>
    <n v="13.742928240739275"/>
    <x v="0"/>
    <x v="9"/>
    <n v="12.742928240739275"/>
    <x v="9"/>
  </r>
  <r>
    <n v="1024"/>
    <s v="1024111"/>
    <d v="2023-09-25T06:10:11"/>
    <s v="type40"/>
    <n v="916.06"/>
    <x v="3"/>
    <d v="2023-10-02T06:10:11"/>
    <x v="5"/>
    <d v="2023-10-03T00:00:00"/>
    <n v="7.7429282407392748"/>
    <x v="1"/>
    <x v="15"/>
    <n v="0.74292824073927477"/>
    <x v="15"/>
  </r>
  <r>
    <n v="1006"/>
    <s v="1006111"/>
    <d v="2023-09-26T06:10:11"/>
    <s v="type7"/>
    <n v="-15570.84"/>
    <x v="1"/>
    <d v="2023-10-03T06:10:11"/>
    <x v="1"/>
    <d v="2023-10-03T00:00:00"/>
    <n v="6.7429282407392748"/>
    <x v="1"/>
    <x v="16"/>
    <n v="-0.25707175926072523"/>
    <x v="16"/>
  </r>
  <r>
    <n v="1023"/>
    <s v="1023111"/>
    <d v="2023-09-27T06:10:11"/>
    <s v="type40"/>
    <n v="-394.3"/>
    <x v="1"/>
    <d v="2023-10-04T06:10:11"/>
    <x v="0"/>
    <d v="2023-10-03T00:00:00"/>
    <n v="5.7429282407392748"/>
    <x v="2"/>
    <x v="23"/>
    <n v="-1.2570717592607252"/>
    <x v="23"/>
  </r>
  <r>
    <n v="1008"/>
    <s v="1008111"/>
    <d v="2023-09-20T06:10:11"/>
    <s v="type40"/>
    <n v="20"/>
    <x v="6"/>
    <d v="2023-09-21T06:10:11"/>
    <x v="1"/>
    <d v="2023-10-03T00:00:00"/>
    <n v="12.742928240739275"/>
    <x v="0"/>
    <x v="1"/>
    <n v="11.742928240739275"/>
    <x v="1"/>
  </r>
  <r>
    <n v="1005"/>
    <s v="1005111"/>
    <d v="2023-09-15T06:10:11"/>
    <s v="type40"/>
    <n v="-873.65"/>
    <x v="2"/>
    <d v="2023-09-22T06:10:11"/>
    <x v="3"/>
    <d v="2023-10-03T00:00:00"/>
    <n v="17.742928240739275"/>
    <x v="0"/>
    <x v="10"/>
    <n v="10.742928240739275"/>
    <x v="10"/>
  </r>
  <r>
    <n v="1009"/>
    <s v="1009111"/>
    <d v="2023-09-21T06:10:11"/>
    <s v="type13"/>
    <n v="14477.5"/>
    <x v="6"/>
    <d v="2023-09-22T06:10:11"/>
    <x v="1"/>
    <d v="2023-10-03T00:00:00"/>
    <n v="11.742928240739275"/>
    <x v="0"/>
    <x v="10"/>
    <n v="10.742928240739275"/>
    <x v="10"/>
  </r>
  <r>
    <n v="1003"/>
    <s v="1003111"/>
    <d v="2023-09-13T06:10:11"/>
    <s v="type40"/>
    <n v="401.83"/>
    <x v="6"/>
    <d v="2023-09-18T06:10:11"/>
    <x v="3"/>
    <d v="2023-10-03T00:00:00"/>
    <n v="19.742928240739275"/>
    <x v="0"/>
    <x v="6"/>
    <n v="14.742928240739275"/>
    <x v="6"/>
  </r>
  <r>
    <n v="1028"/>
    <s v="1028111"/>
    <d v="2023-09-16T06:10:11"/>
    <s v="type13"/>
    <n v="68470.490000000005"/>
    <x v="2"/>
    <d v="2023-09-23T06:10:11"/>
    <x v="5"/>
    <d v="2023-10-03T00:00:00"/>
    <n v="16.742928240739275"/>
    <x v="0"/>
    <x v="3"/>
    <n v="9.7429282407392748"/>
    <x v="3"/>
  </r>
  <r>
    <n v="1031"/>
    <s v="1031111"/>
    <d v="2023-09-16T06:10:11"/>
    <s v="type40"/>
    <n v="498.02"/>
    <x v="6"/>
    <d v="2023-09-21T06:10:11"/>
    <x v="4"/>
    <d v="2023-10-03T00:00:00"/>
    <n v="16.742928240739275"/>
    <x v="0"/>
    <x v="1"/>
    <n v="11.742928240739275"/>
    <x v="1"/>
  </r>
  <r>
    <n v="1025"/>
    <s v="1025111"/>
    <d v="2023-09-18T06:10:11"/>
    <s v="type13"/>
    <n v="32217.77"/>
    <x v="4"/>
    <d v="2023-09-20T06:10:11"/>
    <x v="5"/>
    <d v="2023-10-03T00:00:00"/>
    <n v="14.742928240739275"/>
    <x v="0"/>
    <x v="9"/>
    <n v="12.742928240739275"/>
    <x v="9"/>
  </r>
  <r>
    <n v="1013"/>
    <s v="1013111"/>
    <d v="2023-09-14T06:10:11"/>
    <s v="type38"/>
    <n v="361.79"/>
    <x v="3"/>
    <d v="2023-09-21T06:10:11"/>
    <x v="2"/>
    <d v="2023-10-03T00:00:00"/>
    <n v="18.742928240739275"/>
    <x v="0"/>
    <x v="1"/>
    <n v="11.742928240739275"/>
    <x v="1"/>
  </r>
  <r>
    <n v="1014"/>
    <s v="1014111"/>
    <d v="2023-09-15T06:10:11"/>
    <s v="type38"/>
    <n v="264.64999999999998"/>
    <x v="1"/>
    <d v="2023-09-16T06:10:11"/>
    <x v="2"/>
    <d v="2023-10-03T00:00:00"/>
    <n v="17.742928240739275"/>
    <x v="0"/>
    <x v="2"/>
    <n v="16.742928240739275"/>
    <x v="2"/>
  </r>
  <r>
    <n v="1027"/>
    <s v="1027111"/>
    <d v="2023-09-18T06:10:11"/>
    <s v="type13"/>
    <n v="25996.39"/>
    <x v="6"/>
    <d v="2023-09-25T06:10:11"/>
    <x v="5"/>
    <d v="2023-10-03T00:00:00"/>
    <n v="14.742928240739275"/>
    <x v="0"/>
    <x v="11"/>
    <n v="7.7429282407392748"/>
    <x v="11"/>
  </r>
  <r>
    <n v="1004"/>
    <s v="1004111"/>
    <d v="2023-09-21T06:10:11"/>
    <s v="type40"/>
    <n v="2257.58"/>
    <x v="6"/>
    <d v="2023-09-22T06:10:11"/>
    <x v="3"/>
    <d v="2023-10-03T00:00:00"/>
    <n v="11.742928240739275"/>
    <x v="0"/>
    <x v="10"/>
    <n v="10.742928240739275"/>
    <x v="10"/>
  </r>
  <r>
    <n v="1011"/>
    <s v="1011111"/>
    <d v="2023-09-16T06:10:11"/>
    <s v="type40"/>
    <n v="-562.29999999999995"/>
    <x v="5"/>
    <d v="2023-09-17T06:10:11"/>
    <x v="1"/>
    <d v="2023-10-03T00:00:00"/>
    <n v="16.742928240739275"/>
    <x v="0"/>
    <x v="4"/>
    <n v="15.742928240739275"/>
    <x v="4"/>
  </r>
  <r>
    <n v="1001"/>
    <s v="1001111"/>
    <d v="2023-09-21T06:10:11"/>
    <s v="type7"/>
    <n v="8703.5499999999993"/>
    <x v="5"/>
    <d v="2023-09-22T06:10:11"/>
    <x v="3"/>
    <d v="2023-10-03T00:00:00"/>
    <n v="11.742928240739275"/>
    <x v="0"/>
    <x v="10"/>
    <n v="10.742928240739275"/>
    <x v="10"/>
  </r>
  <r>
    <n v="1027"/>
    <s v="1027111"/>
    <d v="2023-09-22T06:10:11"/>
    <s v="type40"/>
    <n v="-1166.28"/>
    <x v="5"/>
    <d v="2023-09-23T06:10:11"/>
    <x v="5"/>
    <d v="2023-10-03T00:00:00"/>
    <n v="10.742928240739275"/>
    <x v="0"/>
    <x v="3"/>
    <n v="9.7429282407392748"/>
    <x v="3"/>
  </r>
  <r>
    <n v="1009"/>
    <s v="1009111"/>
    <d v="2023-09-19T06:10:11"/>
    <s v="type40"/>
    <n v="40"/>
    <x v="5"/>
    <d v="2023-09-21T06:10:11"/>
    <x v="1"/>
    <d v="2023-10-03T00:00:00"/>
    <n v="13.742928240739275"/>
    <x v="0"/>
    <x v="1"/>
    <n v="11.742928240739275"/>
    <x v="1"/>
  </r>
  <r>
    <n v="1000"/>
    <s v="1000111"/>
    <d v="2023-09-19T06:10:11"/>
    <s v="type38"/>
    <n v="182.88"/>
    <x v="1"/>
    <d v="2023-09-20T06:10:11"/>
    <x v="3"/>
    <d v="2023-10-03T00:00:00"/>
    <n v="13.742928240739275"/>
    <x v="0"/>
    <x v="9"/>
    <n v="12.742928240739275"/>
    <x v="9"/>
  </r>
  <r>
    <n v="1025"/>
    <s v="1025111"/>
    <d v="2023-09-20T06:10:11"/>
    <s v="type40"/>
    <n v="-493.25"/>
    <x v="1"/>
    <d v="2023-09-21T06:10:11"/>
    <x v="5"/>
    <d v="2023-10-03T00:00:00"/>
    <n v="12.742928240739275"/>
    <x v="0"/>
    <x v="1"/>
    <n v="11.742928240739275"/>
    <x v="1"/>
  </r>
  <r>
    <n v="1034"/>
    <s v="1034111"/>
    <d v="2023-09-19T06:10:11"/>
    <s v="type13"/>
    <n v="32957.9"/>
    <x v="2"/>
    <d v="2023-09-26T06:10:11"/>
    <x v="4"/>
    <d v="2023-10-03T00:00:00"/>
    <n v="13.742928240739275"/>
    <x v="0"/>
    <x v="7"/>
    <n v="6.7429282407392748"/>
    <x v="7"/>
  </r>
  <r>
    <n v="1014"/>
    <s v="1014111"/>
    <d v="2023-09-11T06:10:11"/>
    <s v="type7"/>
    <n v="-1339.83"/>
    <x v="6"/>
    <d v="2023-09-12T06:10:11"/>
    <x v="2"/>
    <d v="2023-10-03T00:00:00"/>
    <n v="21.742928240739275"/>
    <x v="0"/>
    <x v="18"/>
    <n v="20.742928240739275"/>
    <x v="18"/>
  </r>
  <r>
    <n v="1006"/>
    <s v="1006111"/>
    <d v="2023-09-21T06:10:11"/>
    <s v="type13"/>
    <n v="27829.279999999999"/>
    <x v="3"/>
    <d v="2023-09-22T06:10:11"/>
    <x v="1"/>
    <d v="2023-10-03T00:00:00"/>
    <n v="11.742928240739275"/>
    <x v="0"/>
    <x v="10"/>
    <n v="10.742928240739275"/>
    <x v="10"/>
  </r>
  <r>
    <n v="1018"/>
    <s v="1018111"/>
    <d v="2023-09-20T06:10:11"/>
    <s v="type13"/>
    <n v="21605.99"/>
    <x v="2"/>
    <d v="2023-09-27T06:10:11"/>
    <x v="0"/>
    <d v="2023-10-03T00:00:00"/>
    <n v="12.742928240739275"/>
    <x v="0"/>
    <x v="12"/>
    <n v="5.7429282407392748"/>
    <x v="12"/>
  </r>
  <r>
    <n v="1016"/>
    <s v="1016111"/>
    <d v="2023-09-19T06:10:11"/>
    <s v="type13"/>
    <n v="25736.880000000001"/>
    <x v="4"/>
    <d v="2023-09-21T06:10:11"/>
    <x v="2"/>
    <d v="2023-10-03T00:00:00"/>
    <n v="13.742928240739275"/>
    <x v="0"/>
    <x v="1"/>
    <n v="11.742928240739275"/>
    <x v="1"/>
  </r>
  <r>
    <n v="1026"/>
    <s v="1026111"/>
    <d v="2023-09-24T06:10:11"/>
    <s v="type13"/>
    <n v="40924.76"/>
    <x v="1"/>
    <d v="2023-09-25T06:10:11"/>
    <x v="5"/>
    <d v="2023-10-03T00:00:00"/>
    <n v="8.7429282407392748"/>
    <x v="1"/>
    <x v="11"/>
    <n v="7.7429282407392748"/>
    <x v="11"/>
  </r>
  <r>
    <n v="1033"/>
    <s v="1033111"/>
    <d v="2023-09-25T06:10:11"/>
    <s v="type38"/>
    <n v="206.43"/>
    <x v="1"/>
    <d v="2023-09-26T06:10:11"/>
    <x v="4"/>
    <d v="2023-10-03T00:00:00"/>
    <n v="7.7429282407392748"/>
    <x v="1"/>
    <x v="7"/>
    <n v="6.7429282407392748"/>
    <x v="7"/>
  </r>
  <r>
    <n v="1024"/>
    <s v="1024111"/>
    <d v="2023-09-20T06:10:11"/>
    <s v="type40"/>
    <n v="-512.44000000000005"/>
    <x v="5"/>
    <d v="2023-09-22T06:10:11"/>
    <x v="5"/>
    <d v="2023-10-03T00:00:00"/>
    <n v="12.742928240739275"/>
    <x v="0"/>
    <x v="10"/>
    <n v="10.742928240739275"/>
    <x v="10"/>
  </r>
  <r>
    <n v="1029"/>
    <s v="1029111"/>
    <d v="2023-09-27T06:10:11"/>
    <s v="type38"/>
    <n v="391.88"/>
    <x v="1"/>
    <d v="2023-09-28T06:10:11"/>
    <x v="5"/>
    <d v="2023-10-03T00:00:00"/>
    <n v="5.7429282407392748"/>
    <x v="2"/>
    <x v="8"/>
    <n v="4.7429282407392748"/>
    <x v="8"/>
  </r>
  <r>
    <n v="1028"/>
    <s v="1028111"/>
    <d v="2023-09-28T06:10:11"/>
    <s v="type13"/>
    <n v="43776.27"/>
    <x v="1"/>
    <d v="2023-09-30T06:10:11"/>
    <x v="5"/>
    <d v="2023-10-03T00:00:00"/>
    <n v="4.7429282407392748"/>
    <x v="2"/>
    <x v="14"/>
    <n v="2.7429282407392748"/>
    <x v="14"/>
  </r>
  <r>
    <n v="1033"/>
    <s v="1033111"/>
    <d v="2023-09-18T06:10:11"/>
    <s v="type40"/>
    <n v="-359.07"/>
    <x v="2"/>
    <d v="2023-09-19T06:10:11"/>
    <x v="4"/>
    <d v="2023-10-03T00:00:00"/>
    <n v="14.742928240739275"/>
    <x v="0"/>
    <x v="19"/>
    <n v="13.742928240739275"/>
    <x v="19"/>
  </r>
  <r>
    <n v="1033"/>
    <s v="1033111"/>
    <d v="2023-09-13T06:10:11"/>
    <s v="type40"/>
    <n v="-704.52"/>
    <x v="6"/>
    <d v="2023-09-14T06:10:11"/>
    <x v="4"/>
    <d v="2023-10-03T00:00:00"/>
    <n v="19.742928240739275"/>
    <x v="0"/>
    <x v="20"/>
    <n v="18.742928240739275"/>
    <x v="20"/>
  </r>
  <r>
    <n v="1018"/>
    <s v="1018111"/>
    <d v="2023-09-18T06:10:11"/>
    <s v="type38"/>
    <n v="155.47999999999999"/>
    <x v="3"/>
    <d v="2023-09-20T06:10:11"/>
    <x v="0"/>
    <d v="2023-10-03T00:00:00"/>
    <n v="14.742928240739275"/>
    <x v="0"/>
    <x v="9"/>
    <n v="12.742928240739275"/>
    <x v="9"/>
  </r>
  <r>
    <n v="1035"/>
    <s v="1035111"/>
    <d v="2023-09-13T06:10:11"/>
    <s v="type40"/>
    <n v="-368.03"/>
    <x v="4"/>
    <d v="2023-09-20T06:10:11"/>
    <x v="4"/>
    <d v="2023-10-03T00:00:00"/>
    <n v="19.742928240739275"/>
    <x v="0"/>
    <x v="9"/>
    <n v="12.742928240739275"/>
    <x v="9"/>
  </r>
  <r>
    <n v="1007"/>
    <s v="1007111"/>
    <d v="2023-09-14T06:10:11"/>
    <s v="type40"/>
    <n v="-369.66"/>
    <x v="6"/>
    <d v="2023-09-15T06:10:11"/>
    <x v="1"/>
    <d v="2023-10-03T00:00:00"/>
    <n v="18.742928240739275"/>
    <x v="0"/>
    <x v="0"/>
    <n v="17.742928240739275"/>
    <x v="0"/>
  </r>
  <r>
    <n v="1009"/>
    <s v="1009111"/>
    <d v="2023-09-20T06:10:11"/>
    <s v="type40"/>
    <n v="406.41"/>
    <x v="1"/>
    <d v="2023-09-22T06:10:11"/>
    <x v="1"/>
    <d v="2023-10-03T00:00:00"/>
    <n v="12.742928240739275"/>
    <x v="0"/>
    <x v="10"/>
    <n v="10.742928240739275"/>
    <x v="10"/>
  </r>
  <r>
    <n v="1027"/>
    <s v="1027111"/>
    <d v="2023-09-21T06:10:11"/>
    <s v="type40"/>
    <n v="-421.45"/>
    <x v="5"/>
    <d v="2023-09-23T06:10:11"/>
    <x v="5"/>
    <d v="2023-10-03T00:00:00"/>
    <n v="11.742928240739275"/>
    <x v="0"/>
    <x v="3"/>
    <n v="9.7429282407392748"/>
    <x v="3"/>
  </r>
  <r>
    <n v="1000"/>
    <s v="1000111"/>
    <d v="2023-09-14T06:10:11"/>
    <s v="type13"/>
    <n v="28621.06"/>
    <x v="4"/>
    <d v="2023-09-21T06:10:11"/>
    <x v="3"/>
    <d v="2023-10-03T00:00:00"/>
    <n v="18.742928240739275"/>
    <x v="0"/>
    <x v="1"/>
    <n v="11.742928240739275"/>
    <x v="1"/>
  </r>
  <r>
    <n v="1002"/>
    <s v="1002111"/>
    <d v="2023-09-21T06:10:11"/>
    <s v="type38"/>
    <n v="226.05"/>
    <x v="1"/>
    <d v="2023-09-23T06:10:11"/>
    <x v="3"/>
    <d v="2023-10-03T00:00:00"/>
    <n v="11.742928240739275"/>
    <x v="0"/>
    <x v="3"/>
    <n v="9.7429282407392748"/>
    <x v="3"/>
  </r>
  <r>
    <n v="1016"/>
    <s v="1016111"/>
    <d v="2023-09-15T06:10:11"/>
    <s v="type13"/>
    <n v="27252.5"/>
    <x v="4"/>
    <d v="2023-09-16T06:10:11"/>
    <x v="2"/>
    <d v="2023-10-03T00:00:00"/>
    <n v="17.742928240739275"/>
    <x v="0"/>
    <x v="2"/>
    <n v="16.742928240739275"/>
    <x v="2"/>
  </r>
  <r>
    <n v="1004"/>
    <s v="1004111"/>
    <d v="2023-09-13T06:10:11"/>
    <s v="type10"/>
    <n v="107.83"/>
    <x v="5"/>
    <d v="2023-09-15T06:10:11"/>
    <x v="3"/>
    <d v="2023-10-03T00:00:00"/>
    <n v="19.742928240739275"/>
    <x v="0"/>
    <x v="0"/>
    <n v="17.742928240739275"/>
    <x v="0"/>
  </r>
  <r>
    <n v="1010"/>
    <s v="1010111"/>
    <d v="2023-09-24T06:10:11"/>
    <s v="type13"/>
    <n v="21802.35"/>
    <x v="1"/>
    <d v="2023-09-26T06:10:11"/>
    <x v="1"/>
    <d v="2023-10-03T00:00:00"/>
    <n v="8.7429282407392748"/>
    <x v="1"/>
    <x v="7"/>
    <n v="6.7429282407392748"/>
    <x v="7"/>
  </r>
  <r>
    <n v="1016"/>
    <s v="1016111"/>
    <d v="2023-09-25T06:10:11"/>
    <s v="type13"/>
    <n v="19400.84"/>
    <x v="3"/>
    <d v="2023-09-27T06:10:11"/>
    <x v="2"/>
    <d v="2023-10-03T00:00:00"/>
    <n v="7.7429282407392748"/>
    <x v="1"/>
    <x v="12"/>
    <n v="5.7429282407392748"/>
    <x v="12"/>
  </r>
  <r>
    <n v="1006"/>
    <s v="1006111"/>
    <d v="2023-09-14T06:10:11"/>
    <s v="type40"/>
    <n v="-488.46"/>
    <x v="5"/>
    <d v="2023-09-19T06:10:11"/>
    <x v="1"/>
    <d v="2023-10-03T00:00:00"/>
    <n v="18.742928240739275"/>
    <x v="0"/>
    <x v="19"/>
    <n v="13.742928240739275"/>
    <x v="19"/>
  </r>
  <r>
    <n v="1020"/>
    <s v="1020111"/>
    <d v="2023-09-27T06:10:11"/>
    <s v="type13"/>
    <n v="15718.9"/>
    <x v="1"/>
    <d v="2023-09-29T06:10:11"/>
    <x v="0"/>
    <d v="2023-10-03T00:00:00"/>
    <n v="5.7429282407392748"/>
    <x v="2"/>
    <x v="13"/>
    <n v="3.7429282407392748"/>
    <x v="13"/>
  </r>
  <r>
    <n v="1028"/>
    <s v="1028111"/>
    <d v="2023-09-21T06:10:11"/>
    <s v="type13"/>
    <n v="34993.760000000002"/>
    <x v="5"/>
    <d v="2023-09-26T06:10:11"/>
    <x v="5"/>
    <d v="2023-10-03T00:00:00"/>
    <n v="11.742928240739275"/>
    <x v="0"/>
    <x v="7"/>
    <n v="6.7429282407392748"/>
    <x v="7"/>
  </r>
  <r>
    <n v="1011"/>
    <s v="1011111"/>
    <d v="2023-09-19T06:10:11"/>
    <s v="type13"/>
    <n v="27850.61"/>
    <x v="6"/>
    <d v="2023-09-21T06:10:11"/>
    <x v="1"/>
    <d v="2023-10-03T00:00:00"/>
    <n v="13.742928240739275"/>
    <x v="0"/>
    <x v="1"/>
    <n v="11.742928240739275"/>
    <x v="1"/>
  </r>
  <r>
    <n v="1033"/>
    <s v="1033111"/>
    <d v="2023-09-18T06:10:11"/>
    <s v="type17"/>
    <n v="411.56"/>
    <x v="2"/>
    <d v="2023-09-19T06:10:11"/>
    <x v="4"/>
    <d v="2023-10-03T00:00:00"/>
    <n v="14.742928240739275"/>
    <x v="0"/>
    <x v="19"/>
    <n v="13.742928240739275"/>
    <x v="19"/>
  </r>
  <r>
    <n v="1035"/>
    <s v="1035111"/>
    <d v="2023-09-22T06:10:11"/>
    <s v="type40"/>
    <n v="714.35"/>
    <x v="5"/>
    <d v="2023-09-27T06:10:11"/>
    <x v="4"/>
    <d v="2023-10-03T00:00:00"/>
    <n v="10.742928240739275"/>
    <x v="0"/>
    <x v="12"/>
    <n v="5.7429282407392748"/>
    <x v="12"/>
  </r>
  <r>
    <n v="1009"/>
    <s v="1009111"/>
    <d v="2023-09-23T06:10:11"/>
    <s v="type28"/>
    <n v="311.62"/>
    <x v="5"/>
    <d v="2023-09-30T06:10:11"/>
    <x v="1"/>
    <d v="2023-10-03T00:00:00"/>
    <n v="9.7429282407392748"/>
    <x v="0"/>
    <x v="14"/>
    <n v="2.7429282407392748"/>
    <x v="14"/>
  </r>
  <r>
    <n v="1011"/>
    <s v="1011111"/>
    <d v="2023-09-13T06:10:11"/>
    <s v="type40"/>
    <n v="-490.61"/>
    <x v="1"/>
    <d v="2023-09-18T06:10:11"/>
    <x v="1"/>
    <d v="2023-10-03T00:00:00"/>
    <n v="19.742928240739275"/>
    <x v="0"/>
    <x v="6"/>
    <n v="14.742928240739275"/>
    <x v="6"/>
  </r>
  <r>
    <n v="1032"/>
    <s v="1032111"/>
    <d v="2023-09-22T06:10:11"/>
    <s v="type13"/>
    <n v="25178.46"/>
    <x v="2"/>
    <d v="2023-09-23T06:10:11"/>
    <x v="4"/>
    <d v="2023-10-03T00:00:00"/>
    <n v="10.742928240739275"/>
    <x v="0"/>
    <x v="3"/>
    <n v="9.7429282407392748"/>
    <x v="3"/>
  </r>
  <r>
    <n v="1004"/>
    <s v="1004111"/>
    <d v="2023-09-18T06:10:11"/>
    <s v="type40"/>
    <n v="453.79"/>
    <x v="2"/>
    <d v="2023-09-19T06:10:11"/>
    <x v="3"/>
    <d v="2023-10-03T00:00:00"/>
    <n v="14.742928240739275"/>
    <x v="0"/>
    <x v="19"/>
    <n v="13.742928240739275"/>
    <x v="19"/>
  </r>
  <r>
    <n v="1002"/>
    <s v="1002111"/>
    <d v="2023-09-15T06:10:11"/>
    <s v="type40"/>
    <n v="28"/>
    <x v="1"/>
    <d v="2023-09-20T06:10:11"/>
    <x v="3"/>
    <d v="2023-10-03T00:00:00"/>
    <n v="17.742928240739275"/>
    <x v="0"/>
    <x v="9"/>
    <n v="12.742928240739275"/>
    <x v="9"/>
  </r>
  <r>
    <n v="1033"/>
    <s v="1033111"/>
    <d v="2023-09-20T06:10:11"/>
    <s v="type40"/>
    <n v="919.04"/>
    <x v="6"/>
    <d v="2023-09-22T06:10:11"/>
    <x v="4"/>
    <d v="2023-10-03T00:00:00"/>
    <n v="12.742928240739275"/>
    <x v="0"/>
    <x v="10"/>
    <n v="10.742928240739275"/>
    <x v="10"/>
  </r>
  <r>
    <n v="1028"/>
    <s v="1028111"/>
    <d v="2023-09-16T06:10:11"/>
    <s v="type40"/>
    <n v="1010.84"/>
    <x v="3"/>
    <d v="2023-09-21T06:10:11"/>
    <x v="5"/>
    <d v="2023-10-03T00:00:00"/>
    <n v="16.742928240739275"/>
    <x v="0"/>
    <x v="1"/>
    <n v="11.742928240739275"/>
    <x v="1"/>
  </r>
  <r>
    <n v="1014"/>
    <s v="1014111"/>
    <d v="2023-09-16T06:10:11"/>
    <s v="type40"/>
    <n v="-495.65"/>
    <x v="1"/>
    <d v="2023-09-21T06:10:11"/>
    <x v="2"/>
    <d v="2023-10-03T00:00:00"/>
    <n v="16.742928240739275"/>
    <x v="0"/>
    <x v="1"/>
    <n v="11.742928240739275"/>
    <x v="1"/>
  </r>
  <r>
    <n v="1020"/>
    <s v="1020111"/>
    <d v="2023-09-17T06:10:11"/>
    <s v="type40"/>
    <n v="-467.31"/>
    <x v="3"/>
    <d v="2023-09-22T06:10:11"/>
    <x v="0"/>
    <d v="2023-10-03T00:00:00"/>
    <n v="15.742928240739275"/>
    <x v="0"/>
    <x v="10"/>
    <n v="10.742928240739275"/>
    <x v="10"/>
  </r>
  <r>
    <n v="1029"/>
    <s v="1029111"/>
    <d v="2023-09-18T06:10:11"/>
    <s v="type17"/>
    <n v="342.43"/>
    <x v="5"/>
    <d v="2023-09-25T06:10:11"/>
    <x v="5"/>
    <d v="2023-10-03T00:00:00"/>
    <n v="14.742928240739275"/>
    <x v="0"/>
    <x v="11"/>
    <n v="7.7429282407392748"/>
    <x v="11"/>
  </r>
  <r>
    <n v="1006"/>
    <s v="1006111"/>
    <d v="2023-09-18T06:10:11"/>
    <s v="type40"/>
    <n v="661.72"/>
    <x v="1"/>
    <d v="2023-09-25T06:10:11"/>
    <x v="1"/>
    <d v="2023-10-03T00:00:00"/>
    <n v="14.742928240739275"/>
    <x v="0"/>
    <x v="11"/>
    <n v="7.7429282407392748"/>
    <x v="11"/>
  </r>
  <r>
    <n v="1016"/>
    <s v="1016111"/>
    <d v="2023-09-21T06:10:11"/>
    <s v="type40"/>
    <n v="-507.31"/>
    <x v="2"/>
    <d v="2023-09-22T06:10:11"/>
    <x v="2"/>
    <d v="2023-10-03T00:00:00"/>
    <n v="11.742928240739275"/>
    <x v="0"/>
    <x v="10"/>
    <n v="10.742928240739275"/>
    <x v="10"/>
  </r>
  <r>
    <n v="1008"/>
    <s v="1008111"/>
    <d v="2023-09-21T06:10:11"/>
    <s v="type40"/>
    <n v="197.98"/>
    <x v="4"/>
    <d v="2023-09-22T06:10:11"/>
    <x v="1"/>
    <d v="2023-10-03T00:00:00"/>
    <n v="11.742928240739275"/>
    <x v="0"/>
    <x v="10"/>
    <n v="10.742928240739275"/>
    <x v="10"/>
  </r>
  <r>
    <n v="1011"/>
    <s v="1011111"/>
    <d v="2023-09-20T06:10:11"/>
    <s v="type40"/>
    <n v="-382.07"/>
    <x v="5"/>
    <d v="2023-09-27T06:10:11"/>
    <x v="1"/>
    <d v="2023-10-03T00:00:00"/>
    <n v="12.742928240739275"/>
    <x v="0"/>
    <x v="12"/>
    <n v="5.7429282407392748"/>
    <x v="12"/>
  </r>
  <r>
    <n v="1021"/>
    <s v="1021111"/>
    <d v="2023-09-20T06:10:11"/>
    <s v="type40"/>
    <n v="1040.3499999999999"/>
    <x v="6"/>
    <d v="2023-09-25T06:10:11"/>
    <x v="0"/>
    <d v="2023-10-03T00:00:00"/>
    <n v="12.742928240739275"/>
    <x v="0"/>
    <x v="11"/>
    <n v="7.7429282407392748"/>
    <x v="11"/>
  </r>
  <r>
    <n v="1003"/>
    <s v="1003111"/>
    <d v="2023-09-21T06:10:11"/>
    <s v="type13"/>
    <n v="27119.54"/>
    <x v="4"/>
    <d v="2023-09-23T06:10:11"/>
    <x v="3"/>
    <d v="2023-10-03T00:00:00"/>
    <n v="11.742928240739275"/>
    <x v="0"/>
    <x v="3"/>
    <n v="9.7429282407392748"/>
    <x v="3"/>
  </r>
  <r>
    <n v="1007"/>
    <s v="1007111"/>
    <d v="2023-09-22T06:10:11"/>
    <s v="type13"/>
    <n v="28689.040000000001"/>
    <x v="1"/>
    <d v="2023-09-29T06:10:11"/>
    <x v="1"/>
    <d v="2023-10-03T00:00:00"/>
    <n v="10.742928240739275"/>
    <x v="0"/>
    <x v="13"/>
    <n v="3.7429282407392748"/>
    <x v="13"/>
  </r>
  <r>
    <n v="1020"/>
    <s v="1020111"/>
    <d v="2023-09-23T06:10:11"/>
    <s v="type1"/>
    <n v="20"/>
    <x v="3"/>
    <d v="2023-09-30T06:10:11"/>
    <x v="0"/>
    <d v="2023-10-03T00:00:00"/>
    <n v="9.7429282407392748"/>
    <x v="0"/>
    <x v="14"/>
    <n v="2.7429282407392748"/>
    <x v="14"/>
  </r>
  <r>
    <n v="1033"/>
    <s v="1033111"/>
    <d v="2023-09-22T06:10:11"/>
    <s v="type40"/>
    <n v="323.95999999999998"/>
    <x v="2"/>
    <d v="2023-09-23T06:10:11"/>
    <x v="4"/>
    <d v="2023-10-03T00:00:00"/>
    <n v="10.742928240739275"/>
    <x v="0"/>
    <x v="3"/>
    <n v="9.7429282407392748"/>
    <x v="3"/>
  </r>
  <r>
    <n v="1026"/>
    <s v="1026111"/>
    <d v="2023-09-22T06:10:11"/>
    <s v="type13"/>
    <n v="20316.77"/>
    <x v="6"/>
    <d v="2023-09-27T06:10:11"/>
    <x v="5"/>
    <d v="2023-10-03T00:00:00"/>
    <n v="10.742928240739275"/>
    <x v="0"/>
    <x v="12"/>
    <n v="5.7429282407392748"/>
    <x v="12"/>
  </r>
  <r>
    <n v="1012"/>
    <s v="1012111"/>
    <d v="2023-09-26T06:10:11"/>
    <s v="type13"/>
    <n v="40806.76"/>
    <x v="1"/>
    <d v="2023-10-03T06:10:11"/>
    <x v="2"/>
    <d v="2023-10-03T00:00:00"/>
    <n v="6.7429282407392748"/>
    <x v="1"/>
    <x v="16"/>
    <n v="-0.25707175926072523"/>
    <x v="16"/>
  </r>
  <r>
    <n v="1032"/>
    <s v="1032111"/>
    <d v="2023-09-27T06:10:11"/>
    <s v="type40"/>
    <n v="350.99"/>
    <x v="3"/>
    <d v="2023-10-04T06:10:11"/>
    <x v="4"/>
    <d v="2023-10-03T00:00:00"/>
    <n v="5.7429282407392748"/>
    <x v="2"/>
    <x v="23"/>
    <n v="-1.2570717592607252"/>
    <x v="23"/>
  </r>
  <r>
    <n v="1031"/>
    <s v="1031111"/>
    <d v="2023-09-21T06:10:11"/>
    <s v="type40"/>
    <n v="-3639.35"/>
    <x v="5"/>
    <d v="2023-09-22T06:10:11"/>
    <x v="4"/>
    <d v="2023-10-03T00:00:00"/>
    <n v="11.742928240739275"/>
    <x v="0"/>
    <x v="10"/>
    <n v="10.742928240739275"/>
    <x v="10"/>
  </r>
  <r>
    <n v="1019"/>
    <s v="1019111"/>
    <d v="2023-09-16T06:10:11"/>
    <s v="type40"/>
    <n v="487.83"/>
    <x v="1"/>
    <d v="2023-09-23T06:10:11"/>
    <x v="0"/>
    <d v="2023-10-03T00:00:00"/>
    <n v="16.742928240739275"/>
    <x v="0"/>
    <x v="3"/>
    <n v="9.7429282407392748"/>
    <x v="3"/>
  </r>
  <r>
    <n v="1019"/>
    <s v="1019111"/>
    <d v="2023-09-11T06:10:11"/>
    <s v="type40"/>
    <n v="-575.84"/>
    <x v="5"/>
    <d v="2023-09-12T06:10:11"/>
    <x v="0"/>
    <d v="2023-10-03T00:00:00"/>
    <n v="21.742928240739275"/>
    <x v="0"/>
    <x v="18"/>
    <n v="20.742928240739275"/>
    <x v="18"/>
  </r>
  <r>
    <n v="1022"/>
    <s v="1022111"/>
    <d v="2023-09-20T06:10:11"/>
    <s v="type40"/>
    <n v="5157.41"/>
    <x v="2"/>
    <d v="2023-09-22T06:10:11"/>
    <x v="0"/>
    <d v="2023-10-03T00:00:00"/>
    <n v="12.742928240739275"/>
    <x v="0"/>
    <x v="10"/>
    <n v="10.742928240739275"/>
    <x v="10"/>
  </r>
  <r>
    <n v="1030"/>
    <s v="1030111"/>
    <d v="2023-09-18T06:10:11"/>
    <s v="type2"/>
    <n v="1436"/>
    <x v="1"/>
    <d v="2023-09-25T06:10:11"/>
    <x v="4"/>
    <d v="2023-10-03T00:00:00"/>
    <n v="14.742928240739275"/>
    <x v="0"/>
    <x v="11"/>
    <n v="7.7429282407392748"/>
    <x v="11"/>
  </r>
  <r>
    <n v="1027"/>
    <s v="1027111"/>
    <d v="2023-09-22T06:10:11"/>
    <s v="type13"/>
    <n v="26146.240000000002"/>
    <x v="4"/>
    <d v="2023-09-24T06:10:11"/>
    <x v="5"/>
    <d v="2023-10-03T00:00:00"/>
    <n v="10.742928240739275"/>
    <x v="0"/>
    <x v="5"/>
    <n v="8.7429282407392748"/>
    <x v="5"/>
  </r>
  <r>
    <n v="1008"/>
    <s v="1008111"/>
    <d v="2023-09-23T06:10:11"/>
    <s v="type13"/>
    <n v="33919.31"/>
    <x v="6"/>
    <d v="2023-09-28T06:10:11"/>
    <x v="1"/>
    <d v="2023-10-03T00:00:00"/>
    <n v="9.7429282407392748"/>
    <x v="0"/>
    <x v="8"/>
    <n v="4.7429282407392748"/>
    <x v="8"/>
  </r>
  <r>
    <n v="1025"/>
    <s v="1025111"/>
    <d v="2023-09-14T06:10:11"/>
    <s v="type17"/>
    <n v="314.23"/>
    <x v="5"/>
    <d v="2023-09-16T06:10:11"/>
    <x v="5"/>
    <d v="2023-10-03T00:00:00"/>
    <n v="18.742928240739275"/>
    <x v="0"/>
    <x v="2"/>
    <n v="16.742928240739275"/>
    <x v="2"/>
  </r>
  <r>
    <n v="1006"/>
    <s v="1006111"/>
    <d v="2023-09-15T06:10:11"/>
    <s v="type38"/>
    <n v="427.71"/>
    <x v="5"/>
    <d v="2023-09-17T06:10:11"/>
    <x v="1"/>
    <d v="2023-10-03T00:00:00"/>
    <n v="17.742928240739275"/>
    <x v="0"/>
    <x v="4"/>
    <n v="15.742928240739275"/>
    <x v="4"/>
  </r>
  <r>
    <n v="1026"/>
    <s v="1026111"/>
    <d v="2023-09-21T06:10:11"/>
    <s v="type40"/>
    <n v="-370.6"/>
    <x v="1"/>
    <d v="2023-09-22T06:10:11"/>
    <x v="5"/>
    <d v="2023-10-03T00:00:00"/>
    <n v="11.742928240739275"/>
    <x v="0"/>
    <x v="10"/>
    <n v="10.742928240739275"/>
    <x v="10"/>
  </r>
  <r>
    <n v="1009"/>
    <s v="1009111"/>
    <d v="2023-09-17T06:10:11"/>
    <s v="type40"/>
    <n v="328.75"/>
    <x v="4"/>
    <d v="2023-09-24T06:10:11"/>
    <x v="1"/>
    <d v="2023-10-03T00:00:00"/>
    <n v="15.742928240739275"/>
    <x v="0"/>
    <x v="5"/>
    <n v="8.7429282407392748"/>
    <x v="5"/>
  </r>
  <r>
    <n v="1006"/>
    <s v="1006111"/>
    <d v="2023-09-21T06:10:11"/>
    <s v="type13"/>
    <n v="30103.85"/>
    <x v="5"/>
    <d v="2023-09-23T06:10:11"/>
    <x v="1"/>
    <d v="2023-10-03T00:00:00"/>
    <n v="11.742928240739275"/>
    <x v="0"/>
    <x v="3"/>
    <n v="9.7429282407392748"/>
    <x v="3"/>
  </r>
  <r>
    <n v="1023"/>
    <s v="1023111"/>
    <d v="2023-09-13T06:10:11"/>
    <s v="type40"/>
    <n v="-410.26"/>
    <x v="6"/>
    <d v="2023-09-20T06:10:11"/>
    <x v="0"/>
    <d v="2023-10-03T00:00:00"/>
    <n v="19.742928240739275"/>
    <x v="0"/>
    <x v="9"/>
    <n v="12.742928240739275"/>
    <x v="9"/>
  </r>
  <r>
    <n v="1011"/>
    <s v="1011111"/>
    <d v="2023-09-25T06:10:11"/>
    <s v="type40"/>
    <n v="408.05"/>
    <x v="1"/>
    <d v="2023-09-26T06:10:11"/>
    <x v="1"/>
    <d v="2023-10-03T00:00:00"/>
    <n v="7.7429282407392748"/>
    <x v="1"/>
    <x v="7"/>
    <n v="6.7429282407392748"/>
    <x v="7"/>
  </r>
  <r>
    <n v="1021"/>
    <s v="1021111"/>
    <d v="2023-09-23T06:10:11"/>
    <s v="type38"/>
    <n v="526.32000000000005"/>
    <x v="2"/>
    <d v="2023-09-25T06:10:11"/>
    <x v="0"/>
    <d v="2023-10-03T00:00:00"/>
    <n v="9.7429282407392748"/>
    <x v="0"/>
    <x v="11"/>
    <n v="7.7429282407392748"/>
    <x v="11"/>
  </r>
  <r>
    <n v="1015"/>
    <s v="1015111"/>
    <d v="2023-09-27T06:10:11"/>
    <s v="type40"/>
    <n v="-1327.82"/>
    <x v="1"/>
    <d v="2023-09-28T06:10:11"/>
    <x v="2"/>
    <d v="2023-10-03T00:00:00"/>
    <n v="5.7429282407392748"/>
    <x v="2"/>
    <x v="8"/>
    <n v="4.7429282407392748"/>
    <x v="8"/>
  </r>
  <r>
    <n v="1025"/>
    <s v="1025111"/>
    <d v="2023-09-20T06:10:11"/>
    <s v="type40"/>
    <n v="40"/>
    <x v="4"/>
    <d v="2023-09-27T06:10:11"/>
    <x v="5"/>
    <d v="2023-10-03T00:00:00"/>
    <n v="12.742928240739275"/>
    <x v="0"/>
    <x v="12"/>
    <n v="5.7429282407392748"/>
    <x v="12"/>
  </r>
  <r>
    <n v="1009"/>
    <s v="1009111"/>
    <d v="2023-09-18T06:10:11"/>
    <s v="type17"/>
    <n v="500.94"/>
    <x v="5"/>
    <d v="2023-09-23T06:10:11"/>
    <x v="1"/>
    <d v="2023-10-03T00:00:00"/>
    <n v="14.742928240739275"/>
    <x v="0"/>
    <x v="3"/>
    <n v="9.7429282407392748"/>
    <x v="3"/>
  </r>
  <r>
    <n v="1025"/>
    <s v="1025111"/>
    <d v="2023-09-11T06:10:11"/>
    <s v="type26"/>
    <n v="170.67"/>
    <x v="3"/>
    <d v="2023-09-12T06:10:11"/>
    <x v="5"/>
    <d v="2023-10-03T00:00:00"/>
    <n v="21.742928240739275"/>
    <x v="0"/>
    <x v="18"/>
    <n v="20.742928240739275"/>
    <x v="18"/>
  </r>
  <r>
    <n v="1031"/>
    <s v="1031111"/>
    <d v="2023-09-12T06:10:11"/>
    <s v="type40"/>
    <n v="-4473.3100000000004"/>
    <x v="1"/>
    <d v="2023-09-13T06:10:11"/>
    <x v="4"/>
    <d v="2023-10-03T00:00:00"/>
    <n v="20.742928240739275"/>
    <x v="0"/>
    <x v="24"/>
    <n v="19.742928240739275"/>
    <x v="24"/>
  </r>
  <r>
    <n v="1000"/>
    <s v="1000111"/>
    <d v="2023-09-13T06:10:11"/>
    <s v="type40"/>
    <n v="-689.11"/>
    <x v="3"/>
    <d v="2023-09-14T06:10:11"/>
    <x v="3"/>
    <d v="2023-10-03T00:00:00"/>
    <n v="19.742928240739275"/>
    <x v="0"/>
    <x v="20"/>
    <n v="18.742928240739275"/>
    <x v="20"/>
  </r>
  <r>
    <n v="1034"/>
    <s v="1034111"/>
    <d v="2023-09-10T06:10:11"/>
    <s v="type38"/>
    <n v="158.69999999999999"/>
    <x v="2"/>
    <d v="2023-09-12T06:10:11"/>
    <x v="4"/>
    <d v="2023-10-03T00:00:00"/>
    <n v="22.742928240739275"/>
    <x v="0"/>
    <x v="18"/>
    <n v="20.742928240739275"/>
    <x v="18"/>
  </r>
  <r>
    <n v="1008"/>
    <s v="1008111"/>
    <d v="2023-09-14T06:10:11"/>
    <s v="type40"/>
    <n v="-378.68"/>
    <x v="1"/>
    <d v="2023-09-15T06:10:11"/>
    <x v="1"/>
    <d v="2023-10-03T00:00:00"/>
    <n v="18.742928240739275"/>
    <x v="0"/>
    <x v="0"/>
    <n v="17.742928240739275"/>
    <x v="0"/>
  </r>
  <r>
    <n v="1020"/>
    <s v="1020111"/>
    <d v="2023-09-14T06:10:11"/>
    <s v="type13"/>
    <n v="26758.46"/>
    <x v="1"/>
    <d v="2023-09-15T06:10:11"/>
    <x v="0"/>
    <d v="2023-10-03T00:00:00"/>
    <n v="18.742928240739275"/>
    <x v="0"/>
    <x v="0"/>
    <n v="17.742928240739275"/>
    <x v="0"/>
  </r>
  <r>
    <n v="1011"/>
    <s v="1011111"/>
    <d v="2023-09-14T06:10:11"/>
    <s v="type40"/>
    <n v="3277.67"/>
    <x v="5"/>
    <d v="2023-09-15T06:10:11"/>
    <x v="1"/>
    <d v="2023-10-03T00:00:00"/>
    <n v="18.742928240739275"/>
    <x v="0"/>
    <x v="0"/>
    <n v="17.742928240739275"/>
    <x v="0"/>
  </r>
  <r>
    <n v="1002"/>
    <s v="1002111"/>
    <d v="2023-09-17T06:10:11"/>
    <s v="type13"/>
    <n v="35912.769999999997"/>
    <x v="6"/>
    <d v="2023-09-18T06:10:11"/>
    <x v="3"/>
    <d v="2023-10-03T00:00:00"/>
    <n v="15.742928240739275"/>
    <x v="0"/>
    <x v="6"/>
    <n v="14.742928240739275"/>
    <x v="6"/>
  </r>
  <r>
    <n v="1025"/>
    <s v="1025111"/>
    <d v="2023-09-20T06:10:11"/>
    <s v="type13"/>
    <n v="22178.639999999999"/>
    <x v="4"/>
    <d v="2023-09-27T06:10:11"/>
    <x v="5"/>
    <d v="2023-10-03T00:00:00"/>
    <n v="12.742928240739275"/>
    <x v="0"/>
    <x v="12"/>
    <n v="5.7429282407392748"/>
    <x v="12"/>
  </r>
  <r>
    <n v="1027"/>
    <s v="1027111"/>
    <d v="2023-09-18T06:10:11"/>
    <s v="type13"/>
    <n v="32034.74"/>
    <x v="2"/>
    <d v="2023-09-25T06:10:11"/>
    <x v="5"/>
    <d v="2023-10-03T00:00:00"/>
    <n v="14.742928240739275"/>
    <x v="0"/>
    <x v="11"/>
    <n v="7.7429282407392748"/>
    <x v="11"/>
  </r>
  <r>
    <n v="1017"/>
    <s v="1017111"/>
    <d v="2023-09-17T06:10:11"/>
    <s v="type40"/>
    <n v="-308.08999999999997"/>
    <x v="3"/>
    <d v="2023-09-19T06:10:11"/>
    <x v="2"/>
    <d v="2023-10-03T00:00:00"/>
    <n v="15.742928240739275"/>
    <x v="0"/>
    <x v="19"/>
    <n v="13.742928240739275"/>
    <x v="19"/>
  </r>
  <r>
    <n v="1029"/>
    <s v="1029111"/>
    <d v="2023-09-21T06:10:11"/>
    <s v="type13"/>
    <n v="20553.830000000002"/>
    <x v="4"/>
    <d v="2023-09-22T06:10:11"/>
    <x v="5"/>
    <d v="2023-10-03T00:00:00"/>
    <n v="11.742928240739275"/>
    <x v="0"/>
    <x v="10"/>
    <n v="10.742928240739275"/>
    <x v="10"/>
  </r>
  <r>
    <n v="1023"/>
    <s v="1023111"/>
    <d v="2023-09-18T06:10:11"/>
    <s v="type40"/>
    <n v="-498.1"/>
    <x v="1"/>
    <d v="2023-09-20T06:10:11"/>
    <x v="0"/>
    <d v="2023-10-03T00:00:00"/>
    <n v="14.742928240739275"/>
    <x v="0"/>
    <x v="9"/>
    <n v="12.742928240739275"/>
    <x v="9"/>
  </r>
  <r>
    <n v="1030"/>
    <s v="1030111"/>
    <d v="2023-09-11T06:10:11"/>
    <s v="type13"/>
    <n v="13968.35"/>
    <x v="4"/>
    <d v="2023-09-12T06:10:11"/>
    <x v="4"/>
    <d v="2023-10-03T00:00:00"/>
    <n v="21.742928240739275"/>
    <x v="0"/>
    <x v="18"/>
    <n v="20.742928240739275"/>
    <x v="18"/>
  </r>
  <r>
    <n v="1028"/>
    <s v="1028111"/>
    <d v="2023-09-20T06:10:11"/>
    <s v="type40"/>
    <n v="413.17"/>
    <x v="3"/>
    <d v="2023-09-22T06:10:11"/>
    <x v="5"/>
    <d v="2023-10-03T00:00:00"/>
    <n v="12.742928240739275"/>
    <x v="0"/>
    <x v="10"/>
    <n v="10.742928240739275"/>
    <x v="10"/>
  </r>
  <r>
    <n v="1024"/>
    <s v="1024111"/>
    <d v="2023-09-16T06:10:11"/>
    <s v="type13"/>
    <n v="28201.01"/>
    <x v="5"/>
    <d v="2023-09-17T06:10:11"/>
    <x v="5"/>
    <d v="2023-10-03T00:00:00"/>
    <n v="16.742928240739275"/>
    <x v="0"/>
    <x v="4"/>
    <n v="15.742928240739275"/>
    <x v="4"/>
  </r>
  <r>
    <n v="1034"/>
    <s v="1034111"/>
    <d v="2023-09-21T06:10:11"/>
    <s v="type40"/>
    <n v="-305.27999999999997"/>
    <x v="1"/>
    <d v="2023-09-23T06:10:11"/>
    <x v="4"/>
    <d v="2023-10-03T00:00:00"/>
    <n v="11.742928240739275"/>
    <x v="0"/>
    <x v="3"/>
    <n v="9.7429282407392748"/>
    <x v="3"/>
  </r>
  <r>
    <n v="1034"/>
    <s v="1034111"/>
    <d v="2023-09-19T06:10:11"/>
    <s v="type13"/>
    <n v="28870.41"/>
    <x v="2"/>
    <d v="2023-09-26T06:10:11"/>
    <x v="4"/>
    <d v="2023-10-03T00:00:00"/>
    <n v="13.742928240739275"/>
    <x v="0"/>
    <x v="7"/>
    <n v="6.7429282407392748"/>
    <x v="7"/>
  </r>
  <r>
    <n v="1027"/>
    <s v="1027111"/>
    <d v="2023-09-22T06:10:11"/>
    <s v="type40"/>
    <n v="1311.66"/>
    <x v="1"/>
    <d v="2023-09-24T06:10:11"/>
    <x v="5"/>
    <d v="2023-10-03T00:00:00"/>
    <n v="10.742928240739275"/>
    <x v="0"/>
    <x v="5"/>
    <n v="8.7429282407392748"/>
    <x v="5"/>
  </r>
  <r>
    <n v="1028"/>
    <s v="1028111"/>
    <d v="2023-09-23T06:10:11"/>
    <s v="type53"/>
    <n v="314"/>
    <x v="1"/>
    <d v="2023-09-25T06:10:11"/>
    <x v="5"/>
    <d v="2023-10-03T00:00:00"/>
    <n v="9.7429282407392748"/>
    <x v="0"/>
    <x v="11"/>
    <n v="7.7429282407392748"/>
    <x v="11"/>
  </r>
  <r>
    <n v="1027"/>
    <s v="1027111"/>
    <d v="2023-09-15T06:10:11"/>
    <s v="type13"/>
    <n v="13468.44"/>
    <x v="4"/>
    <d v="2023-09-17T06:10:11"/>
    <x v="5"/>
    <d v="2023-10-03T00:00:00"/>
    <n v="17.742928240739275"/>
    <x v="0"/>
    <x v="4"/>
    <n v="15.742928240739275"/>
    <x v="4"/>
  </r>
  <r>
    <n v="1015"/>
    <s v="1015111"/>
    <d v="2023-09-23T06:10:11"/>
    <s v="type40"/>
    <n v="4456.5"/>
    <x v="2"/>
    <d v="2023-09-30T06:10:11"/>
    <x v="2"/>
    <d v="2023-10-03T00:00:00"/>
    <n v="9.7429282407392748"/>
    <x v="0"/>
    <x v="14"/>
    <n v="2.7429282407392748"/>
    <x v="14"/>
  </r>
  <r>
    <n v="1030"/>
    <s v="1030111"/>
    <d v="2023-09-21T06:10:11"/>
    <s v="type13"/>
    <n v="22483.599999999999"/>
    <x v="4"/>
    <d v="2023-09-23T06:10:11"/>
    <x v="4"/>
    <d v="2023-10-03T00:00:00"/>
    <n v="11.742928240739275"/>
    <x v="0"/>
    <x v="3"/>
    <n v="9.7429282407392748"/>
    <x v="3"/>
  </r>
  <r>
    <n v="1017"/>
    <s v="1017111"/>
    <d v="2023-09-27T06:10:11"/>
    <s v="type40"/>
    <n v="-340.01"/>
    <x v="3"/>
    <d v="2023-09-29T06:10:11"/>
    <x v="2"/>
    <d v="2023-10-03T00:00:00"/>
    <n v="5.7429282407392748"/>
    <x v="2"/>
    <x v="13"/>
    <n v="3.7429282407392748"/>
    <x v="13"/>
  </r>
  <r>
    <n v="1034"/>
    <s v="1034111"/>
    <d v="2023-09-20T06:10:11"/>
    <s v="type40"/>
    <n v="-1313.76"/>
    <x v="2"/>
    <d v="2023-09-21T06:10:11"/>
    <x v="4"/>
    <d v="2023-10-03T00:00:00"/>
    <n v="12.742928240739275"/>
    <x v="0"/>
    <x v="1"/>
    <n v="11.742928240739275"/>
    <x v="1"/>
  </r>
  <r>
    <n v="1027"/>
    <s v="1027111"/>
    <d v="2023-09-16T06:10:11"/>
    <s v="type26"/>
    <n v="2142.75"/>
    <x v="1"/>
    <d v="2023-09-18T06:10:11"/>
    <x v="5"/>
    <d v="2023-10-03T00:00:00"/>
    <n v="16.742928240739275"/>
    <x v="0"/>
    <x v="6"/>
    <n v="14.742928240739275"/>
    <x v="6"/>
  </r>
  <r>
    <n v="1018"/>
    <s v="1018111"/>
    <d v="2023-09-13T06:10:11"/>
    <s v="type40"/>
    <n v="-790.27"/>
    <x v="6"/>
    <d v="2023-09-15T06:10:11"/>
    <x v="0"/>
    <d v="2023-10-03T00:00:00"/>
    <n v="19.742928240739275"/>
    <x v="0"/>
    <x v="0"/>
    <n v="17.742928240739275"/>
    <x v="0"/>
  </r>
  <r>
    <n v="1011"/>
    <s v="1011111"/>
    <d v="2023-09-22T06:10:11"/>
    <s v="type40"/>
    <n v="-1114.95"/>
    <x v="2"/>
    <d v="2023-09-23T06:10:11"/>
    <x v="1"/>
    <d v="2023-10-03T00:00:00"/>
    <n v="10.742928240739275"/>
    <x v="0"/>
    <x v="3"/>
    <n v="9.7429282407392748"/>
    <x v="3"/>
  </r>
  <r>
    <n v="1019"/>
    <s v="1019111"/>
    <d v="2023-09-18T06:10:11"/>
    <s v="type10"/>
    <n v="25.99"/>
    <x v="6"/>
    <d v="2023-09-23T06:10:11"/>
    <x v="0"/>
    <d v="2023-10-03T00:00:00"/>
    <n v="14.742928240739275"/>
    <x v="0"/>
    <x v="3"/>
    <n v="9.7429282407392748"/>
    <x v="3"/>
  </r>
  <r>
    <n v="1013"/>
    <s v="1013111"/>
    <d v="2023-09-14T06:10:11"/>
    <s v="type40"/>
    <n v="977.43"/>
    <x v="2"/>
    <d v="2023-09-15T06:10:11"/>
    <x v="2"/>
    <d v="2023-10-03T00:00:00"/>
    <n v="18.742928240739275"/>
    <x v="0"/>
    <x v="0"/>
    <n v="17.742928240739275"/>
    <x v="0"/>
  </r>
  <r>
    <n v="1017"/>
    <s v="1017111"/>
    <d v="2023-09-20T06:10:11"/>
    <s v="type40"/>
    <n v="7.48"/>
    <x v="3"/>
    <d v="2023-09-25T06:10:11"/>
    <x v="2"/>
    <d v="2023-10-03T00:00:00"/>
    <n v="12.742928240739275"/>
    <x v="0"/>
    <x v="11"/>
    <n v="7.7429282407392748"/>
    <x v="11"/>
  </r>
  <r>
    <n v="1001"/>
    <s v="1001111"/>
    <d v="2023-09-20T06:10:11"/>
    <s v="type40"/>
    <n v="-549.45000000000005"/>
    <x v="3"/>
    <d v="2023-09-25T06:10:11"/>
    <x v="3"/>
    <d v="2023-10-03T00:00:00"/>
    <n v="12.742928240739275"/>
    <x v="0"/>
    <x v="11"/>
    <n v="7.7429282407392748"/>
    <x v="11"/>
  </r>
  <r>
    <n v="1028"/>
    <s v="1028111"/>
    <d v="2023-09-20T06:10:11"/>
    <s v="type40"/>
    <n v="530.82000000000005"/>
    <x v="6"/>
    <d v="2023-09-25T06:10:11"/>
    <x v="5"/>
    <d v="2023-10-03T00:00:00"/>
    <n v="12.742928240739275"/>
    <x v="0"/>
    <x v="11"/>
    <n v="7.7429282407392748"/>
    <x v="11"/>
  </r>
  <r>
    <n v="1022"/>
    <s v="1022111"/>
    <d v="2023-09-21T06:10:11"/>
    <s v="type17"/>
    <n v="627.46"/>
    <x v="1"/>
    <d v="2023-09-26T06:10:11"/>
    <x v="0"/>
    <d v="2023-10-03T00:00:00"/>
    <n v="11.742928240739275"/>
    <x v="0"/>
    <x v="7"/>
    <n v="6.7429282407392748"/>
    <x v="7"/>
  </r>
  <r>
    <n v="1004"/>
    <s v="1004111"/>
    <d v="2023-09-23T06:10:11"/>
    <s v="type40"/>
    <n v="504.21"/>
    <x v="6"/>
    <d v="2023-09-30T06:10:11"/>
    <x v="3"/>
    <d v="2023-10-03T00:00:00"/>
    <n v="9.7429282407392748"/>
    <x v="0"/>
    <x v="14"/>
    <n v="2.7429282407392748"/>
    <x v="14"/>
  </r>
  <r>
    <n v="1022"/>
    <s v="1022111"/>
    <d v="2023-09-16T06:10:11"/>
    <s v="type40"/>
    <n v="978.46"/>
    <x v="6"/>
    <d v="2023-09-23T06:10:11"/>
    <x v="0"/>
    <d v="2023-10-03T00:00:00"/>
    <n v="16.742928240739275"/>
    <x v="0"/>
    <x v="3"/>
    <n v="9.7429282407392748"/>
    <x v="3"/>
  </r>
  <r>
    <n v="1017"/>
    <s v="1017111"/>
    <d v="2023-09-24T06:10:11"/>
    <s v="type40"/>
    <n v="602.85"/>
    <x v="1"/>
    <d v="2023-10-01T06:10:11"/>
    <x v="2"/>
    <d v="2023-10-03T00:00:00"/>
    <n v="8.7429282407392748"/>
    <x v="1"/>
    <x v="22"/>
    <n v="1.7429282407392748"/>
    <x v="22"/>
  </r>
  <r>
    <n v="1035"/>
    <s v="1035111"/>
    <d v="2023-09-16T06:10:11"/>
    <s v="type30"/>
    <n v="157.68"/>
    <x v="2"/>
    <d v="2023-09-18T06:10:11"/>
    <x v="4"/>
    <d v="2023-10-03T00:00:00"/>
    <n v="16.742928240739275"/>
    <x v="0"/>
    <x v="6"/>
    <n v="14.742928240739275"/>
    <x v="6"/>
  </r>
  <r>
    <n v="1001"/>
    <s v="1001111"/>
    <d v="2023-09-26T06:10:11"/>
    <s v="type36"/>
    <n v="276.72000000000003"/>
    <x v="1"/>
    <d v="2023-10-03T06:10:11"/>
    <x v="3"/>
    <d v="2023-10-03T00:00:00"/>
    <n v="6.7429282407392748"/>
    <x v="1"/>
    <x v="16"/>
    <n v="-0.25707175926072523"/>
    <x v="16"/>
  </r>
  <r>
    <n v="1002"/>
    <s v="1002111"/>
    <d v="2023-09-27T06:10:11"/>
    <s v="type40"/>
    <n v="1734.7"/>
    <x v="1"/>
    <d v="2023-10-04T06:10:11"/>
    <x v="3"/>
    <d v="2023-10-03T00:00:00"/>
    <n v="5.7429282407392748"/>
    <x v="2"/>
    <x v="23"/>
    <n v="-1.2570717592607252"/>
    <x v="23"/>
  </r>
  <r>
    <n v="1012"/>
    <s v="1012111"/>
    <d v="2023-09-21T06:10:11"/>
    <s v="type13"/>
    <n v="14524.76"/>
    <x v="4"/>
    <d v="2023-09-23T06:10:11"/>
    <x v="2"/>
    <d v="2023-10-03T00:00:00"/>
    <n v="11.742928240739275"/>
    <x v="0"/>
    <x v="3"/>
    <n v="9.7429282407392748"/>
    <x v="3"/>
  </r>
  <r>
    <n v="1011"/>
    <s v="1011111"/>
    <d v="2023-09-18T06:10:11"/>
    <s v="type40"/>
    <n v="-10455.23"/>
    <x v="6"/>
    <d v="2023-09-25T06:10:11"/>
    <x v="1"/>
    <d v="2023-10-03T00:00:00"/>
    <n v="14.742928240739275"/>
    <x v="0"/>
    <x v="11"/>
    <n v="7.7429282407392748"/>
    <x v="11"/>
  </r>
  <r>
    <n v="1022"/>
    <s v="1022111"/>
    <d v="2023-09-18T06:10:11"/>
    <s v="type40"/>
    <n v="6415.32"/>
    <x v="5"/>
    <d v="2023-09-20T06:10:11"/>
    <x v="0"/>
    <d v="2023-10-03T00:00:00"/>
    <n v="14.742928240739275"/>
    <x v="0"/>
    <x v="9"/>
    <n v="12.742928240739275"/>
    <x v="9"/>
  </r>
  <r>
    <n v="1008"/>
    <s v="1008111"/>
    <d v="2023-09-20T06:10:11"/>
    <s v="type40"/>
    <n v="1069.49"/>
    <x v="6"/>
    <d v="2023-09-27T06:10:11"/>
    <x v="1"/>
    <d v="2023-10-03T00:00:00"/>
    <n v="12.742928240739275"/>
    <x v="0"/>
    <x v="12"/>
    <n v="5.7429282407392748"/>
    <x v="12"/>
  </r>
  <r>
    <n v="1014"/>
    <s v="1014111"/>
    <d v="2023-09-13T06:10:11"/>
    <s v="type40"/>
    <n v="-2710.29"/>
    <x v="5"/>
    <d v="2023-09-20T06:10:11"/>
    <x v="2"/>
    <d v="2023-10-03T00:00:00"/>
    <n v="19.742928240739275"/>
    <x v="0"/>
    <x v="9"/>
    <n v="12.742928240739275"/>
    <x v="9"/>
  </r>
  <r>
    <n v="1011"/>
    <s v="1011111"/>
    <d v="2023-09-17T06:10:11"/>
    <s v="type40"/>
    <n v="1241.3800000000001"/>
    <x v="2"/>
    <d v="2023-09-19T06:10:11"/>
    <x v="1"/>
    <d v="2023-10-03T00:00:00"/>
    <n v="15.742928240739275"/>
    <x v="0"/>
    <x v="19"/>
    <n v="13.742928240739275"/>
    <x v="19"/>
  </r>
  <r>
    <n v="1011"/>
    <s v="1011111"/>
    <d v="2023-09-14T06:10:11"/>
    <s v="type40"/>
    <n v="505.71"/>
    <x v="3"/>
    <d v="2023-09-21T06:10:11"/>
    <x v="1"/>
    <d v="2023-10-03T00:00:00"/>
    <n v="18.742928240739275"/>
    <x v="0"/>
    <x v="1"/>
    <n v="11.742928240739275"/>
    <x v="1"/>
  </r>
  <r>
    <n v="1019"/>
    <s v="1019111"/>
    <d v="2023-09-18T06:10:11"/>
    <s v="type40"/>
    <n v="5407.02"/>
    <x v="2"/>
    <d v="2023-09-20T06:10:11"/>
    <x v="0"/>
    <d v="2023-10-03T00:00:00"/>
    <n v="14.742928240739275"/>
    <x v="0"/>
    <x v="9"/>
    <n v="12.742928240739275"/>
    <x v="9"/>
  </r>
  <r>
    <n v="1014"/>
    <s v="1014111"/>
    <d v="2023-09-15T06:10:11"/>
    <s v="type40"/>
    <n v="464.92"/>
    <x v="1"/>
    <d v="2023-09-22T06:10:11"/>
    <x v="2"/>
    <d v="2023-10-03T00:00:00"/>
    <n v="17.742928240739275"/>
    <x v="0"/>
    <x v="10"/>
    <n v="10.742928240739275"/>
    <x v="10"/>
  </r>
  <r>
    <n v="1004"/>
    <s v="1004111"/>
    <d v="2023-09-10T06:10:11"/>
    <s v="type13"/>
    <n v="33181.440000000002"/>
    <x v="6"/>
    <d v="2023-09-11T06:10:11"/>
    <x v="3"/>
    <d v="2023-10-03T00:00:00"/>
    <n v="22.742928240739275"/>
    <x v="0"/>
    <x v="21"/>
    <n v="21.742928240739275"/>
    <x v="21"/>
  </r>
  <r>
    <n v="1008"/>
    <s v="1008111"/>
    <d v="2023-09-16T06:10:11"/>
    <s v="type40"/>
    <n v="309.33999999999997"/>
    <x v="3"/>
    <d v="2023-09-23T06:10:11"/>
    <x v="1"/>
    <d v="2023-10-03T00:00:00"/>
    <n v="16.742928240739275"/>
    <x v="0"/>
    <x v="3"/>
    <n v="9.7429282407392748"/>
    <x v="3"/>
  </r>
  <r>
    <n v="1012"/>
    <s v="1012111"/>
    <d v="2023-09-13T06:10:11"/>
    <s v="type13"/>
    <n v="29017.06"/>
    <x v="6"/>
    <d v="2023-09-14T06:10:11"/>
    <x v="2"/>
    <d v="2023-10-03T00:00:00"/>
    <n v="19.742928240739275"/>
    <x v="0"/>
    <x v="20"/>
    <n v="18.742928240739275"/>
    <x v="20"/>
  </r>
  <r>
    <n v="1032"/>
    <s v="1032111"/>
    <d v="2023-09-17T06:10:11"/>
    <s v="type38"/>
    <n v="190.92"/>
    <x v="2"/>
    <d v="2023-09-19T06:10:11"/>
    <x v="4"/>
    <d v="2023-10-03T00:00:00"/>
    <n v="15.742928240739275"/>
    <x v="0"/>
    <x v="19"/>
    <n v="13.742928240739275"/>
    <x v="19"/>
  </r>
  <r>
    <n v="1027"/>
    <s v="1027111"/>
    <d v="2023-09-18T06:10:11"/>
    <s v="type40"/>
    <n v="1866.77"/>
    <x v="3"/>
    <d v="2023-09-25T06:10:11"/>
    <x v="5"/>
    <d v="2023-10-03T00:00:00"/>
    <n v="14.742928240739275"/>
    <x v="0"/>
    <x v="11"/>
    <n v="7.7429282407392748"/>
    <x v="11"/>
  </r>
  <r>
    <n v="1004"/>
    <s v="1004111"/>
    <d v="2023-09-23T06:10:11"/>
    <s v="type13"/>
    <n v="21385.31"/>
    <x v="4"/>
    <d v="2023-09-25T06:10:11"/>
    <x v="3"/>
    <d v="2023-10-03T00:00:00"/>
    <n v="9.7429282407392748"/>
    <x v="0"/>
    <x v="11"/>
    <n v="7.7429282407392748"/>
    <x v="11"/>
  </r>
  <r>
    <n v="1034"/>
    <s v="1034111"/>
    <d v="2023-09-19T06:10:11"/>
    <s v="type40"/>
    <n v="-601.79999999999995"/>
    <x v="1"/>
    <d v="2023-09-20T06:10:11"/>
    <x v="4"/>
    <d v="2023-10-03T00:00:00"/>
    <n v="13.742928240739275"/>
    <x v="0"/>
    <x v="9"/>
    <n v="12.742928240739275"/>
    <x v="9"/>
  </r>
  <r>
    <n v="1002"/>
    <s v="1002111"/>
    <d v="2023-09-20T06:10:11"/>
    <s v="type40"/>
    <n v="1056.45"/>
    <x v="1"/>
    <d v="2023-09-21T06:10:11"/>
    <x v="3"/>
    <d v="2023-10-03T00:00:00"/>
    <n v="12.742928240739275"/>
    <x v="0"/>
    <x v="1"/>
    <n v="11.742928240739275"/>
    <x v="1"/>
  </r>
  <r>
    <n v="1020"/>
    <s v="1020111"/>
    <d v="2023-09-11T06:10:11"/>
    <s v="type13"/>
    <n v="15486.3"/>
    <x v="4"/>
    <d v="2023-09-13T06:10:11"/>
    <x v="0"/>
    <d v="2023-10-03T00:00:00"/>
    <n v="21.742928240739275"/>
    <x v="0"/>
    <x v="24"/>
    <n v="19.742928240739275"/>
    <x v="24"/>
  </r>
  <r>
    <n v="1010"/>
    <s v="1010111"/>
    <d v="2023-09-21T06:10:11"/>
    <s v="type40"/>
    <n v="1261.51"/>
    <x v="3"/>
    <d v="2023-09-22T06:10:11"/>
    <x v="1"/>
    <d v="2023-10-03T00:00:00"/>
    <n v="11.742928240739275"/>
    <x v="0"/>
    <x v="10"/>
    <n v="10.742928240739275"/>
    <x v="10"/>
  </r>
  <r>
    <n v="1031"/>
    <s v="1031111"/>
    <d v="2023-09-13T06:10:11"/>
    <s v="type13"/>
    <n v="13821.35"/>
    <x v="4"/>
    <d v="2023-09-15T06:10:11"/>
    <x v="4"/>
    <d v="2023-10-03T00:00:00"/>
    <n v="19.742928240739275"/>
    <x v="0"/>
    <x v="0"/>
    <n v="17.742928240739275"/>
    <x v="0"/>
  </r>
  <r>
    <n v="1029"/>
    <s v="1029111"/>
    <d v="2023-09-18T06:10:11"/>
    <s v="type13"/>
    <n v="30187.58"/>
    <x v="5"/>
    <d v="2023-09-25T06:10:11"/>
    <x v="5"/>
    <d v="2023-10-03T00:00:00"/>
    <n v="14.742928240739275"/>
    <x v="0"/>
    <x v="11"/>
    <n v="7.7429282407392748"/>
    <x v="11"/>
  </r>
  <r>
    <n v="1004"/>
    <s v="1004111"/>
    <d v="2023-09-15T06:10:11"/>
    <s v="type40"/>
    <n v="36.26"/>
    <x v="6"/>
    <d v="2023-09-16T06:10:11"/>
    <x v="3"/>
    <d v="2023-10-03T00:00:00"/>
    <n v="17.742928240739275"/>
    <x v="0"/>
    <x v="2"/>
    <n v="16.742928240739275"/>
    <x v="2"/>
  </r>
  <r>
    <n v="1020"/>
    <s v="1020111"/>
    <d v="2023-09-21T06:10:11"/>
    <s v="type40"/>
    <n v="5606.32"/>
    <x v="2"/>
    <d v="2023-09-26T06:10:11"/>
    <x v="0"/>
    <d v="2023-10-03T00:00:00"/>
    <n v="11.742928240739275"/>
    <x v="0"/>
    <x v="7"/>
    <n v="6.7429282407392748"/>
    <x v="7"/>
  </r>
  <r>
    <n v="1014"/>
    <s v="1014111"/>
    <d v="2023-09-23T06:10:11"/>
    <s v="type40"/>
    <n v="30"/>
    <x v="2"/>
    <d v="2023-09-28T06:10:11"/>
    <x v="2"/>
    <d v="2023-10-03T00:00:00"/>
    <n v="9.7429282407392748"/>
    <x v="0"/>
    <x v="8"/>
    <n v="4.7429282407392748"/>
    <x v="8"/>
  </r>
  <r>
    <n v="1017"/>
    <s v="1017111"/>
    <d v="2023-09-18T06:10:11"/>
    <s v="type13"/>
    <n v="27235.21"/>
    <x v="5"/>
    <d v="2023-09-19T06:10:11"/>
    <x v="2"/>
    <d v="2023-10-03T00:00:00"/>
    <n v="14.742928240739275"/>
    <x v="0"/>
    <x v="19"/>
    <n v="13.742928240739275"/>
    <x v="19"/>
  </r>
  <r>
    <n v="1034"/>
    <s v="1034111"/>
    <d v="2023-09-16T06:10:11"/>
    <s v="type26"/>
    <n v="109.89"/>
    <x v="6"/>
    <d v="2023-09-17T06:10:11"/>
    <x v="4"/>
    <d v="2023-10-03T00:00:00"/>
    <n v="16.742928240739275"/>
    <x v="0"/>
    <x v="4"/>
    <n v="15.742928240739275"/>
    <x v="4"/>
  </r>
  <r>
    <n v="1015"/>
    <s v="1015111"/>
    <d v="2023-09-28T06:10:11"/>
    <s v="type35"/>
    <n v="434.38"/>
    <x v="3"/>
    <d v="2023-09-29T06:10:11"/>
    <x v="2"/>
    <d v="2023-10-03T00:00:00"/>
    <n v="4.7429282407392748"/>
    <x v="2"/>
    <x v="13"/>
    <n v="3.7429282407392748"/>
    <x v="13"/>
  </r>
  <r>
    <n v="1033"/>
    <s v="1033111"/>
    <d v="2023-09-14T06:10:11"/>
    <s v="type13"/>
    <n v="17674.13"/>
    <x v="4"/>
    <d v="2023-09-19T06:10:11"/>
    <x v="4"/>
    <d v="2023-10-03T00:00:00"/>
    <n v="18.742928240739275"/>
    <x v="0"/>
    <x v="19"/>
    <n v="13.742928240739275"/>
    <x v="19"/>
  </r>
  <r>
    <n v="1012"/>
    <s v="1012111"/>
    <d v="2023-09-15T06:10:11"/>
    <s v="type40"/>
    <n v="5326.65"/>
    <x v="5"/>
    <d v="2023-09-16T06:10:11"/>
    <x v="2"/>
    <d v="2023-10-03T00:00:00"/>
    <n v="17.742928240739275"/>
    <x v="0"/>
    <x v="2"/>
    <n v="16.742928240739275"/>
    <x v="2"/>
  </r>
  <r>
    <n v="1012"/>
    <s v="1012111"/>
    <d v="2023-09-18T06:10:11"/>
    <s v="type40"/>
    <n v="3725.84"/>
    <x v="3"/>
    <d v="2023-09-19T06:10:11"/>
    <x v="2"/>
    <d v="2023-10-03T00:00:00"/>
    <n v="14.742928240739275"/>
    <x v="0"/>
    <x v="19"/>
    <n v="13.742928240739275"/>
    <x v="19"/>
  </r>
  <r>
    <n v="1000"/>
    <s v="1000111"/>
    <d v="2023-09-18T06:10:11"/>
    <s v="type40"/>
    <n v="-3301.08"/>
    <x v="6"/>
    <d v="2023-09-20T06:10:11"/>
    <x v="3"/>
    <d v="2023-10-03T00:00:00"/>
    <n v="14.742928240739275"/>
    <x v="0"/>
    <x v="9"/>
    <n v="12.742928240739275"/>
    <x v="9"/>
  </r>
  <r>
    <n v="1013"/>
    <s v="1013111"/>
    <d v="2023-09-19T06:10:11"/>
    <s v="type40"/>
    <n v="30"/>
    <x v="1"/>
    <d v="2023-09-20T06:10:11"/>
    <x v="2"/>
    <d v="2023-10-03T00:00:00"/>
    <n v="13.742928240739275"/>
    <x v="0"/>
    <x v="9"/>
    <n v="12.742928240739275"/>
    <x v="9"/>
  </r>
  <r>
    <n v="1000"/>
    <s v="1000111"/>
    <d v="2023-09-10T06:10:11"/>
    <s v="type7"/>
    <n v="-1057.8599999999999"/>
    <x v="2"/>
    <d v="2023-09-17T06:10:11"/>
    <x v="3"/>
    <d v="2023-10-03T00:00:00"/>
    <n v="22.742928240739275"/>
    <x v="0"/>
    <x v="4"/>
    <n v="15.742928240739275"/>
    <x v="4"/>
  </r>
  <r>
    <n v="1009"/>
    <s v="1009111"/>
    <d v="2023-09-20T06:10:11"/>
    <s v="type40"/>
    <n v="1985.08"/>
    <x v="1"/>
    <d v="2023-09-22T06:10:11"/>
    <x v="1"/>
    <d v="2023-10-03T00:00:00"/>
    <n v="12.742928240739275"/>
    <x v="0"/>
    <x v="10"/>
    <n v="10.742928240739275"/>
    <x v="10"/>
  </r>
  <r>
    <n v="1027"/>
    <s v="1027111"/>
    <d v="2023-09-21T06:10:11"/>
    <s v="type40"/>
    <n v="3210.93"/>
    <x v="1"/>
    <d v="2023-09-23T06:10:11"/>
    <x v="5"/>
    <d v="2023-10-03T00:00:00"/>
    <n v="11.742928240739275"/>
    <x v="0"/>
    <x v="3"/>
    <n v="9.7429282407392748"/>
    <x v="3"/>
  </r>
  <r>
    <n v="1009"/>
    <s v="1009111"/>
    <d v="2023-09-21T06:10:11"/>
    <s v="type7"/>
    <n v="-1286.8800000000001"/>
    <x v="1"/>
    <d v="2023-09-23T06:10:11"/>
    <x v="1"/>
    <d v="2023-10-03T00:00:00"/>
    <n v="11.742928240739275"/>
    <x v="0"/>
    <x v="3"/>
    <n v="9.7429282407392748"/>
    <x v="3"/>
  </r>
  <r>
    <n v="1012"/>
    <s v="1012111"/>
    <d v="2023-09-22T06:10:11"/>
    <s v="type40"/>
    <n v="6701.28"/>
    <x v="1"/>
    <d v="2023-09-24T06:10:11"/>
    <x v="2"/>
    <d v="2023-10-03T00:00:00"/>
    <n v="10.742928240739275"/>
    <x v="0"/>
    <x v="5"/>
    <n v="8.7429282407392748"/>
    <x v="5"/>
  </r>
  <r>
    <n v="1020"/>
    <s v="1020111"/>
    <d v="2023-09-23T06:10:11"/>
    <s v="type40"/>
    <n v="1078.49"/>
    <x v="3"/>
    <d v="2023-09-25T06:10:11"/>
    <x v="0"/>
    <d v="2023-10-03T00:00:00"/>
    <n v="9.7429282407392748"/>
    <x v="0"/>
    <x v="11"/>
    <n v="7.7429282407392748"/>
    <x v="11"/>
  </r>
  <r>
    <n v="1023"/>
    <s v="1023111"/>
    <d v="2023-09-21T06:10:11"/>
    <s v="type40"/>
    <n v="378.13"/>
    <x v="6"/>
    <d v="2023-09-23T06:10:11"/>
    <x v="0"/>
    <d v="2023-10-03T00:00:00"/>
    <n v="11.742928240739275"/>
    <x v="0"/>
    <x v="3"/>
    <n v="9.7429282407392748"/>
    <x v="3"/>
  </r>
  <r>
    <n v="1004"/>
    <s v="1004111"/>
    <d v="2023-09-21T06:10:11"/>
    <s v="type40"/>
    <n v="350.88"/>
    <x v="2"/>
    <d v="2023-09-22T06:10:11"/>
    <x v="3"/>
    <d v="2023-10-03T00:00:00"/>
    <n v="11.742928240739275"/>
    <x v="0"/>
    <x v="10"/>
    <n v="10.742928240739275"/>
    <x v="10"/>
  </r>
  <r>
    <n v="1018"/>
    <s v="1018111"/>
    <d v="2023-09-15T06:10:11"/>
    <s v="type40"/>
    <n v="-1717.91"/>
    <x v="4"/>
    <d v="2023-09-22T06:10:11"/>
    <x v="0"/>
    <d v="2023-10-03T00:00:00"/>
    <n v="17.742928240739275"/>
    <x v="0"/>
    <x v="10"/>
    <n v="10.742928240739275"/>
    <x v="10"/>
  </r>
  <r>
    <n v="1023"/>
    <s v="1023111"/>
    <d v="2023-09-16T06:10:11"/>
    <s v="type13"/>
    <n v="30144.38"/>
    <x v="6"/>
    <d v="2023-09-18T06:10:11"/>
    <x v="0"/>
    <d v="2023-10-03T00:00:00"/>
    <n v="16.742928240739275"/>
    <x v="0"/>
    <x v="6"/>
    <n v="14.742928240739275"/>
    <x v="6"/>
  </r>
  <r>
    <n v="1006"/>
    <s v="1006111"/>
    <d v="2023-09-16T06:10:11"/>
    <s v="type40"/>
    <n v="5930.14"/>
    <x v="4"/>
    <d v="2023-09-23T06:10:11"/>
    <x v="1"/>
    <d v="2023-10-03T00:00:00"/>
    <n v="16.742928240739275"/>
    <x v="0"/>
    <x v="3"/>
    <n v="9.7429282407392748"/>
    <x v="3"/>
  </r>
  <r>
    <n v="1013"/>
    <s v="1013111"/>
    <d v="2023-09-16T06:10:11"/>
    <s v="type40"/>
    <n v="-405.2"/>
    <x v="2"/>
    <d v="2023-09-17T06:10:11"/>
    <x v="2"/>
    <d v="2023-10-03T00:00:00"/>
    <n v="16.742928240739275"/>
    <x v="0"/>
    <x v="4"/>
    <n v="15.742928240739275"/>
    <x v="4"/>
  </r>
  <r>
    <n v="1012"/>
    <s v="1012111"/>
    <d v="2023-09-11T06:10:11"/>
    <s v="type26"/>
    <n v="270.81"/>
    <x v="1"/>
    <d v="2023-09-13T06:10:11"/>
    <x v="2"/>
    <d v="2023-10-03T00:00:00"/>
    <n v="21.742928240739275"/>
    <x v="0"/>
    <x v="24"/>
    <n v="19.742928240739275"/>
    <x v="24"/>
  </r>
  <r>
    <n v="1018"/>
    <s v="1018111"/>
    <d v="2023-09-21T06:10:11"/>
    <s v="type40"/>
    <n v="2243.0300000000002"/>
    <x v="2"/>
    <d v="2023-09-23T06:10:11"/>
    <x v="0"/>
    <d v="2023-10-03T00:00:00"/>
    <n v="11.742928240739275"/>
    <x v="0"/>
    <x v="3"/>
    <n v="9.7429282407392748"/>
    <x v="3"/>
  </r>
  <r>
    <n v="1010"/>
    <s v="1010111"/>
    <d v="2023-09-13T06:10:11"/>
    <s v="type10"/>
    <n v="30"/>
    <x v="1"/>
    <d v="2023-09-15T06:10:11"/>
    <x v="1"/>
    <d v="2023-10-03T00:00:00"/>
    <n v="19.742928240739275"/>
    <x v="0"/>
    <x v="0"/>
    <n v="17.742928240739275"/>
    <x v="0"/>
  </r>
  <r>
    <n v="1028"/>
    <s v="1028111"/>
    <d v="2023-09-18T06:10:11"/>
    <s v="type13"/>
    <n v="33335.279999999999"/>
    <x v="6"/>
    <d v="2023-09-20T06:10:11"/>
    <x v="5"/>
    <d v="2023-10-03T00:00:00"/>
    <n v="14.742928240739275"/>
    <x v="0"/>
    <x v="9"/>
    <n v="12.742928240739275"/>
    <x v="9"/>
  </r>
  <r>
    <n v="1031"/>
    <s v="1031111"/>
    <d v="2023-09-14T06:10:11"/>
    <s v="type40"/>
    <n v="43.99"/>
    <x v="3"/>
    <d v="2023-09-16T06:10:11"/>
    <x v="4"/>
    <d v="2023-10-03T00:00:00"/>
    <n v="18.742928240739275"/>
    <x v="0"/>
    <x v="2"/>
    <n v="16.742928240739275"/>
    <x v="2"/>
  </r>
  <r>
    <n v="1027"/>
    <s v="1027111"/>
    <d v="2023-09-14T06:10:11"/>
    <s v="type40"/>
    <n v="-456.84"/>
    <x v="3"/>
    <d v="2023-09-16T06:10:11"/>
    <x v="5"/>
    <d v="2023-10-03T00:00:00"/>
    <n v="18.742928240739275"/>
    <x v="0"/>
    <x v="2"/>
    <n v="16.742928240739275"/>
    <x v="2"/>
  </r>
  <r>
    <n v="1017"/>
    <s v="1017111"/>
    <d v="2023-09-15T06:10:11"/>
    <s v="type40"/>
    <n v="-590.92999999999995"/>
    <x v="1"/>
    <d v="2023-09-17T06:10:11"/>
    <x v="2"/>
    <d v="2023-10-03T00:00:00"/>
    <n v="17.742928240739275"/>
    <x v="0"/>
    <x v="4"/>
    <n v="15.742928240739275"/>
    <x v="4"/>
  </r>
  <r>
    <n v="1032"/>
    <s v="1032111"/>
    <d v="2023-09-15T06:10:11"/>
    <s v="type40"/>
    <n v="-411.8"/>
    <x v="3"/>
    <d v="2023-09-17T06:10:11"/>
    <x v="4"/>
    <d v="2023-10-03T00:00:00"/>
    <n v="17.742928240739275"/>
    <x v="0"/>
    <x v="4"/>
    <n v="15.742928240739275"/>
    <x v="4"/>
  </r>
  <r>
    <n v="1012"/>
    <s v="1012111"/>
    <d v="2023-09-12T06:10:11"/>
    <s v="type40"/>
    <n v="-305.48"/>
    <x v="6"/>
    <d v="2023-09-19T06:10:11"/>
    <x v="2"/>
    <d v="2023-10-03T00:00:00"/>
    <n v="20.742928240739275"/>
    <x v="0"/>
    <x v="19"/>
    <n v="13.742928240739275"/>
    <x v="19"/>
  </r>
  <r>
    <n v="1033"/>
    <s v="1033111"/>
    <d v="2023-09-14T06:10:11"/>
    <s v="type13"/>
    <n v="20961.48"/>
    <x v="6"/>
    <d v="2023-09-21T06:10:11"/>
    <x v="4"/>
    <d v="2023-10-03T00:00:00"/>
    <n v="18.742928240739275"/>
    <x v="0"/>
    <x v="1"/>
    <n v="11.742928240739275"/>
    <x v="1"/>
  </r>
  <r>
    <n v="1001"/>
    <s v="1001111"/>
    <d v="2023-09-13T06:10:11"/>
    <s v="type40"/>
    <n v="-361.75"/>
    <x v="2"/>
    <d v="2023-09-15T06:10:11"/>
    <x v="3"/>
    <d v="2023-10-03T00:00:00"/>
    <n v="19.742928240739275"/>
    <x v="0"/>
    <x v="0"/>
    <n v="17.742928240739275"/>
    <x v="0"/>
  </r>
  <r>
    <n v="1002"/>
    <s v="1002111"/>
    <d v="2023-09-18T06:10:11"/>
    <s v="type40"/>
    <n v="-356.41"/>
    <x v="3"/>
    <d v="2023-09-23T06:10:11"/>
    <x v="3"/>
    <d v="2023-10-03T00:00:00"/>
    <n v="14.742928240739275"/>
    <x v="0"/>
    <x v="3"/>
    <n v="9.7429282407392748"/>
    <x v="3"/>
  </r>
  <r>
    <n v="1005"/>
    <s v="1005111"/>
    <d v="2023-09-16T06:10:11"/>
    <s v="type40"/>
    <n v="3218.18"/>
    <x v="4"/>
    <d v="2023-09-23T06:10:11"/>
    <x v="3"/>
    <d v="2023-10-03T00:00:00"/>
    <n v="16.742928240739275"/>
    <x v="0"/>
    <x v="3"/>
    <n v="9.7429282407392748"/>
    <x v="3"/>
  </r>
  <r>
    <n v="1007"/>
    <s v="1007111"/>
    <d v="2023-09-19T06:10:11"/>
    <s v="type40"/>
    <n v="4409.37"/>
    <x v="1"/>
    <d v="2023-09-24T06:10:11"/>
    <x v="1"/>
    <d v="2023-10-03T00:00:00"/>
    <n v="13.742928240739275"/>
    <x v="0"/>
    <x v="5"/>
    <n v="8.7429282407392748"/>
    <x v="5"/>
  </r>
  <r>
    <n v="1015"/>
    <s v="1015111"/>
    <d v="2023-09-20T06:10:11"/>
    <s v="type40"/>
    <n v="-6534.33"/>
    <x v="4"/>
    <d v="2023-09-22T06:10:11"/>
    <x v="2"/>
    <d v="2023-10-03T00:00:00"/>
    <n v="12.742928240739275"/>
    <x v="0"/>
    <x v="10"/>
    <n v="10.742928240739275"/>
    <x v="10"/>
  </r>
  <r>
    <n v="1029"/>
    <s v="1029111"/>
    <d v="2023-09-20T06:10:11"/>
    <s v="type26"/>
    <n v="123.23"/>
    <x v="3"/>
    <d v="2023-09-25T06:10:11"/>
    <x v="5"/>
    <d v="2023-10-03T00:00:00"/>
    <n v="12.742928240739275"/>
    <x v="0"/>
    <x v="11"/>
    <n v="7.7429282407392748"/>
    <x v="11"/>
  </r>
  <r>
    <n v="1027"/>
    <s v="1027111"/>
    <d v="2023-09-14T06:10:11"/>
    <s v="type40"/>
    <n v="-2014.11"/>
    <x v="2"/>
    <d v="2023-09-16T06:10:11"/>
    <x v="5"/>
    <d v="2023-10-03T00:00:00"/>
    <n v="18.742928240739275"/>
    <x v="0"/>
    <x v="2"/>
    <n v="16.742928240739275"/>
    <x v="2"/>
  </r>
  <r>
    <n v="1013"/>
    <s v="1013111"/>
    <d v="2023-09-16T06:10:11"/>
    <s v="type40"/>
    <n v="1246.79"/>
    <x v="5"/>
    <d v="2023-09-17T06:10:11"/>
    <x v="2"/>
    <d v="2023-10-03T00:00:00"/>
    <n v="16.742928240739275"/>
    <x v="0"/>
    <x v="4"/>
    <n v="15.742928240739275"/>
    <x v="4"/>
  </r>
  <r>
    <n v="1002"/>
    <s v="1002111"/>
    <d v="2023-09-22T06:10:11"/>
    <s v="type13"/>
    <n v="26049.75"/>
    <x v="3"/>
    <d v="2023-09-29T06:10:11"/>
    <x v="3"/>
    <d v="2023-10-03T00:00:00"/>
    <n v="10.742928240739275"/>
    <x v="0"/>
    <x v="13"/>
    <n v="3.7429282407392748"/>
    <x v="13"/>
  </r>
  <r>
    <n v="1027"/>
    <s v="1027111"/>
    <d v="2023-09-23T06:10:11"/>
    <s v="type40"/>
    <n v="-2280.9699999999998"/>
    <x v="3"/>
    <d v="2023-09-30T06:10:11"/>
    <x v="5"/>
    <d v="2023-10-03T00:00:00"/>
    <n v="9.7429282407392748"/>
    <x v="0"/>
    <x v="14"/>
    <n v="2.7429282407392748"/>
    <x v="14"/>
  </r>
  <r>
    <n v="1032"/>
    <s v="1032111"/>
    <d v="2023-09-17T06:10:11"/>
    <s v="type40"/>
    <n v="352.87"/>
    <x v="5"/>
    <d v="2023-09-18T06:10:11"/>
    <x v="4"/>
    <d v="2023-10-03T00:00:00"/>
    <n v="15.742928240739275"/>
    <x v="0"/>
    <x v="6"/>
    <n v="14.742928240739275"/>
    <x v="6"/>
  </r>
  <r>
    <n v="1003"/>
    <s v="1003111"/>
    <d v="2023-09-16T06:10:11"/>
    <s v="type13"/>
    <n v="25725.07"/>
    <x v="6"/>
    <d v="2023-09-23T06:10:11"/>
    <x v="3"/>
    <d v="2023-10-03T00:00:00"/>
    <n v="16.742928240739275"/>
    <x v="0"/>
    <x v="3"/>
    <n v="9.7429282407392748"/>
    <x v="3"/>
  </r>
  <r>
    <n v="1012"/>
    <s v="1012111"/>
    <d v="2023-09-26T06:10:11"/>
    <s v="type26"/>
    <n v="294.02999999999997"/>
    <x v="1"/>
    <d v="2023-10-03T06:10:11"/>
    <x v="2"/>
    <d v="2023-10-03T00:00:00"/>
    <n v="6.7429282407392748"/>
    <x v="1"/>
    <x v="16"/>
    <n v="-0.25707175926072523"/>
    <x v="16"/>
  </r>
  <r>
    <n v="1019"/>
    <s v="1019111"/>
    <d v="2023-09-27T06:10:11"/>
    <s v="type40"/>
    <n v="5410.95"/>
    <x v="1"/>
    <d v="2023-10-04T06:10:11"/>
    <x v="0"/>
    <d v="2023-10-03T00:00:00"/>
    <n v="5.7429282407392748"/>
    <x v="2"/>
    <x v="23"/>
    <n v="-1.2570717592607252"/>
    <x v="23"/>
  </r>
  <r>
    <n v="1028"/>
    <s v="1028111"/>
    <d v="2023-09-28T06:10:11"/>
    <s v="type40"/>
    <n v="1014.35"/>
    <x v="1"/>
    <d v="2023-10-05T06:10:11"/>
    <x v="5"/>
    <d v="2023-10-03T00:00:00"/>
    <n v="4.7429282407392748"/>
    <x v="2"/>
    <x v="17"/>
    <n v="-2.2570717592607252"/>
    <x v="17"/>
  </r>
  <r>
    <n v="1007"/>
    <s v="1007111"/>
    <d v="2023-09-22T06:10:11"/>
    <s v="type40"/>
    <n v="334.64"/>
    <x v="4"/>
    <d v="2023-09-24T06:10:11"/>
    <x v="1"/>
    <d v="2023-10-03T00:00:00"/>
    <n v="10.742928240739275"/>
    <x v="0"/>
    <x v="5"/>
    <n v="8.7429282407392748"/>
    <x v="5"/>
  </r>
  <r>
    <n v="1007"/>
    <s v="1007111"/>
    <d v="2023-09-21T06:10:11"/>
    <s v="type40"/>
    <n v="31468.65"/>
    <x v="5"/>
    <d v="2023-09-23T06:10:11"/>
    <x v="1"/>
    <d v="2023-10-03T00:00:00"/>
    <n v="11.742928240739275"/>
    <x v="0"/>
    <x v="3"/>
    <n v="9.7429282407392748"/>
    <x v="3"/>
  </r>
  <r>
    <n v="1032"/>
    <s v="1032111"/>
    <d v="2023-09-23T06:10:11"/>
    <s v="type40"/>
    <n v="361.12"/>
    <x v="4"/>
    <d v="2023-09-25T06:10:11"/>
    <x v="4"/>
    <d v="2023-10-03T00:00:00"/>
    <n v="9.7429282407392748"/>
    <x v="0"/>
    <x v="11"/>
    <n v="7.7429282407392748"/>
    <x v="11"/>
  </r>
  <r>
    <n v="1032"/>
    <s v="1032111"/>
    <d v="2023-09-18T06:10:11"/>
    <s v="type40"/>
    <n v="442.15"/>
    <x v="3"/>
    <d v="2023-09-25T06:10:11"/>
    <x v="4"/>
    <d v="2023-10-03T00:00:00"/>
    <n v="14.742928240739275"/>
    <x v="0"/>
    <x v="11"/>
    <n v="7.7429282407392748"/>
    <x v="11"/>
  </r>
  <r>
    <n v="1018"/>
    <s v="1018111"/>
    <d v="2023-09-14T06:10:11"/>
    <s v="type40"/>
    <n v="-525.95000000000005"/>
    <x v="2"/>
    <d v="2023-09-16T06:10:11"/>
    <x v="0"/>
    <d v="2023-10-03T00:00:00"/>
    <n v="18.742928240739275"/>
    <x v="0"/>
    <x v="2"/>
    <n v="16.742928240739275"/>
    <x v="2"/>
  </r>
  <r>
    <n v="1002"/>
    <s v="1002111"/>
    <d v="2023-09-18T06:10:11"/>
    <s v="type40"/>
    <n v="-5829.15"/>
    <x v="5"/>
    <d v="2023-09-25T06:10:11"/>
    <x v="3"/>
    <d v="2023-10-03T00:00:00"/>
    <n v="14.742928240739275"/>
    <x v="0"/>
    <x v="11"/>
    <n v="7.7429282407392748"/>
    <x v="11"/>
  </r>
  <r>
    <n v="1006"/>
    <s v="1006111"/>
    <d v="2023-09-15T06:10:11"/>
    <s v="type18"/>
    <n v="319.77"/>
    <x v="4"/>
    <d v="2023-09-20T06:10:11"/>
    <x v="1"/>
    <d v="2023-10-03T00:00:00"/>
    <n v="17.742928240739275"/>
    <x v="0"/>
    <x v="9"/>
    <n v="12.742928240739275"/>
    <x v="9"/>
  </r>
  <r>
    <n v="1017"/>
    <s v="1017111"/>
    <d v="2023-09-21T06:10:11"/>
    <s v="type40"/>
    <n v="521.42999999999995"/>
    <x v="1"/>
    <d v="2023-09-28T06:10:11"/>
    <x v="2"/>
    <d v="2023-10-03T00:00:00"/>
    <n v="11.742928240739275"/>
    <x v="0"/>
    <x v="8"/>
    <n v="4.7429282407392748"/>
    <x v="8"/>
  </r>
  <r>
    <n v="1005"/>
    <s v="1005111"/>
    <d v="2023-09-21T06:10:11"/>
    <s v="type40"/>
    <n v="1952.28"/>
    <x v="1"/>
    <d v="2023-09-28T06:10:11"/>
    <x v="3"/>
    <d v="2023-10-03T00:00:00"/>
    <n v="11.742928240739275"/>
    <x v="0"/>
    <x v="8"/>
    <n v="4.7429282407392748"/>
    <x v="8"/>
  </r>
  <r>
    <n v="1025"/>
    <s v="1025111"/>
    <d v="2023-09-22T06:10:11"/>
    <s v="type40"/>
    <n v="8280.42"/>
    <x v="1"/>
    <d v="2023-09-29T06:10:11"/>
    <x v="5"/>
    <d v="2023-10-03T00:00:00"/>
    <n v="10.742928240739275"/>
    <x v="0"/>
    <x v="13"/>
    <n v="3.7429282407392748"/>
    <x v="13"/>
  </r>
  <r>
    <n v="1002"/>
    <s v="1002111"/>
    <d v="2023-09-12T06:10:11"/>
    <s v="type13"/>
    <n v="13467.35"/>
    <x v="6"/>
    <d v="2023-09-14T06:10:11"/>
    <x v="3"/>
    <d v="2023-10-03T00:00:00"/>
    <n v="20.742928240739275"/>
    <x v="0"/>
    <x v="20"/>
    <n v="18.742928240739275"/>
    <x v="20"/>
  </r>
  <r>
    <n v="1015"/>
    <s v="1015111"/>
    <d v="2023-09-18T06:10:11"/>
    <s v="type40"/>
    <n v="-682.64"/>
    <x v="4"/>
    <d v="2023-09-23T06:10:11"/>
    <x v="2"/>
    <d v="2023-10-03T00:00:00"/>
    <n v="14.742928240739275"/>
    <x v="0"/>
    <x v="3"/>
    <n v="9.7429282407392748"/>
    <x v="3"/>
  </r>
  <r>
    <n v="1033"/>
    <s v="1033111"/>
    <d v="2023-09-21T06:10:11"/>
    <s v="type13"/>
    <n v="33270.49"/>
    <x v="4"/>
    <d v="2023-09-28T06:10:11"/>
    <x v="4"/>
    <d v="2023-10-03T00:00:00"/>
    <n v="11.742928240739275"/>
    <x v="0"/>
    <x v="8"/>
    <n v="4.7429282407392748"/>
    <x v="8"/>
  </r>
  <r>
    <n v="1030"/>
    <s v="1030111"/>
    <d v="2023-09-20T06:10:11"/>
    <s v="type40"/>
    <n v="10.48"/>
    <x v="5"/>
    <d v="2023-09-27T06:10:11"/>
    <x v="4"/>
    <d v="2023-10-03T00:00:00"/>
    <n v="12.742928240739275"/>
    <x v="0"/>
    <x v="12"/>
    <n v="5.7429282407392748"/>
    <x v="12"/>
  </r>
  <r>
    <n v="1011"/>
    <s v="1011111"/>
    <d v="2023-09-23T06:10:11"/>
    <s v="type40"/>
    <n v="-974.75"/>
    <x v="5"/>
    <d v="2023-09-30T06:10:11"/>
    <x v="1"/>
    <d v="2023-10-03T00:00:00"/>
    <n v="9.7429282407392748"/>
    <x v="0"/>
    <x v="14"/>
    <n v="2.7429282407392748"/>
    <x v="14"/>
  </r>
  <r>
    <n v="1032"/>
    <s v="1032111"/>
    <d v="2023-09-18T06:10:11"/>
    <s v="type40"/>
    <n v="-1338.37"/>
    <x v="2"/>
    <d v="2023-09-23T06:10:11"/>
    <x v="4"/>
    <d v="2023-10-03T00:00:00"/>
    <n v="14.742928240739275"/>
    <x v="0"/>
    <x v="3"/>
    <n v="9.7429282407392748"/>
    <x v="3"/>
  </r>
  <r>
    <n v="1011"/>
    <s v="1011111"/>
    <d v="2023-09-16T06:10:11"/>
    <s v="type13"/>
    <n v="14480.08"/>
    <x v="6"/>
    <d v="2023-09-23T06:10:11"/>
    <x v="1"/>
    <d v="2023-10-03T00:00:00"/>
    <n v="16.742928240739275"/>
    <x v="0"/>
    <x v="3"/>
    <n v="9.7429282407392748"/>
    <x v="3"/>
  </r>
  <r>
    <n v="1008"/>
    <s v="1008111"/>
    <d v="2023-09-18T06:10:11"/>
    <s v="type8"/>
    <n v="60"/>
    <x v="5"/>
    <d v="2023-09-20T06:10:11"/>
    <x v="1"/>
    <d v="2023-10-03T00:00:00"/>
    <n v="14.742928240739275"/>
    <x v="0"/>
    <x v="9"/>
    <n v="12.742928240739275"/>
    <x v="9"/>
  </r>
  <r>
    <n v="1030"/>
    <s v="1030111"/>
    <d v="2023-09-20T06:10:11"/>
    <s v="type40"/>
    <n v="-443.17"/>
    <x v="5"/>
    <d v="2023-09-22T06:10:11"/>
    <x v="4"/>
    <d v="2023-10-03T00:00:00"/>
    <n v="12.742928240739275"/>
    <x v="0"/>
    <x v="10"/>
    <n v="10.742928240739275"/>
    <x v="10"/>
  </r>
  <r>
    <n v="1031"/>
    <s v="1031111"/>
    <d v="2023-09-17T06:10:11"/>
    <s v="type13"/>
    <n v="14761.61"/>
    <x v="6"/>
    <d v="2023-09-24T06:10:11"/>
    <x v="4"/>
    <d v="2023-10-03T00:00:00"/>
    <n v="15.742928240739275"/>
    <x v="0"/>
    <x v="5"/>
    <n v="8.7429282407392748"/>
    <x v="5"/>
  </r>
  <r>
    <n v="1035"/>
    <s v="1035111"/>
    <d v="2023-09-13T06:10:11"/>
    <s v="type17"/>
    <n v="305.8"/>
    <x v="3"/>
    <d v="2023-09-14T06:10:11"/>
    <x v="4"/>
    <d v="2023-10-03T00:00:00"/>
    <n v="19.742928240739275"/>
    <x v="0"/>
    <x v="20"/>
    <n v="18.742928240739275"/>
    <x v="20"/>
  </r>
  <r>
    <n v="1022"/>
    <s v="1022111"/>
    <d v="2023-09-22T06:10:11"/>
    <s v="type13"/>
    <n v="13995"/>
    <x v="5"/>
    <d v="2023-09-27T06:10:11"/>
    <x v="0"/>
    <d v="2023-10-03T00:00:00"/>
    <n v="10.742928240739275"/>
    <x v="0"/>
    <x v="12"/>
    <n v="5.7429282407392748"/>
    <x v="12"/>
  </r>
  <r>
    <n v="1018"/>
    <s v="1018111"/>
    <d v="2023-09-14T06:10:11"/>
    <s v="type10"/>
    <n v="100.57"/>
    <x v="3"/>
    <d v="2023-09-15T06:10:11"/>
    <x v="0"/>
    <d v="2023-10-03T00:00:00"/>
    <n v="18.742928240739275"/>
    <x v="0"/>
    <x v="0"/>
    <n v="17.742928240739275"/>
    <x v="0"/>
  </r>
  <r>
    <n v="1031"/>
    <s v="1031111"/>
    <d v="2023-09-15T06:10:11"/>
    <s v="type35"/>
    <n v="479.82"/>
    <x v="1"/>
    <d v="2023-09-16T06:10:11"/>
    <x v="4"/>
    <d v="2023-10-03T00:00:00"/>
    <n v="17.742928240739275"/>
    <x v="0"/>
    <x v="2"/>
    <n v="16.742928240739275"/>
    <x v="2"/>
  </r>
  <r>
    <n v="1004"/>
    <s v="1004111"/>
    <d v="2023-09-18T06:10:11"/>
    <s v="type13"/>
    <n v="20024.32"/>
    <x v="6"/>
    <d v="2023-09-25T06:10:11"/>
    <x v="3"/>
    <d v="2023-10-03T00:00:00"/>
    <n v="14.742928240739275"/>
    <x v="0"/>
    <x v="11"/>
    <n v="7.7429282407392748"/>
    <x v="11"/>
  </r>
  <r>
    <n v="1004"/>
    <s v="1004111"/>
    <d v="2023-09-16T06:10:11"/>
    <s v="type18"/>
    <n v="809.3"/>
    <x v="3"/>
    <d v="2023-09-17T06:10:11"/>
    <x v="3"/>
    <d v="2023-10-03T00:00:00"/>
    <n v="16.742928240739275"/>
    <x v="0"/>
    <x v="4"/>
    <n v="15.742928240739275"/>
    <x v="4"/>
  </r>
  <r>
    <n v="1029"/>
    <s v="1029111"/>
    <d v="2023-09-15T06:10:11"/>
    <s v="type40"/>
    <n v="498.75"/>
    <x v="5"/>
    <d v="2023-09-22T06:10:11"/>
    <x v="5"/>
    <d v="2023-10-03T00:00:00"/>
    <n v="17.742928240739275"/>
    <x v="0"/>
    <x v="10"/>
    <n v="10.742928240739275"/>
    <x v="10"/>
  </r>
  <r>
    <n v="1030"/>
    <s v="1030111"/>
    <d v="2023-09-17T06:10:11"/>
    <s v="type40"/>
    <n v="24.97"/>
    <x v="1"/>
    <d v="2023-09-18T06:10:11"/>
    <x v="4"/>
    <d v="2023-10-03T00:00:00"/>
    <n v="15.742928240739275"/>
    <x v="0"/>
    <x v="6"/>
    <n v="14.742928240739275"/>
    <x v="6"/>
  </r>
  <r>
    <n v="1004"/>
    <s v="1004111"/>
    <d v="2023-09-10T06:10:11"/>
    <s v="type2"/>
    <n v="1171"/>
    <x v="4"/>
    <d v="2023-09-17T06:10:11"/>
    <x v="3"/>
    <d v="2023-10-03T00:00:00"/>
    <n v="22.742928240739275"/>
    <x v="0"/>
    <x v="4"/>
    <n v="15.742928240739275"/>
    <x v="4"/>
  </r>
  <r>
    <n v="1007"/>
    <s v="1007111"/>
    <d v="2023-09-19T06:10:11"/>
    <s v="type40"/>
    <n v="5870.95"/>
    <x v="2"/>
    <d v="2023-09-24T06:10:11"/>
    <x v="1"/>
    <d v="2023-10-03T00:00:00"/>
    <n v="13.742928240739275"/>
    <x v="0"/>
    <x v="5"/>
    <n v="8.7429282407392748"/>
    <x v="5"/>
  </r>
  <r>
    <n v="1027"/>
    <s v="1027111"/>
    <d v="2023-09-19T06:10:11"/>
    <s v="type32"/>
    <n v="3648.52"/>
    <x v="1"/>
    <d v="2023-09-21T06:10:11"/>
    <x v="5"/>
    <d v="2023-10-03T00:00:00"/>
    <n v="13.742928240739275"/>
    <x v="0"/>
    <x v="1"/>
    <n v="11.742928240739275"/>
    <x v="1"/>
  </r>
  <r>
    <n v="1014"/>
    <s v="1014111"/>
    <d v="2023-09-21T06:10:11"/>
    <s v="type40"/>
    <n v="6446.03"/>
    <x v="6"/>
    <d v="2023-09-28T06:10:11"/>
    <x v="2"/>
    <d v="2023-10-03T00:00:00"/>
    <n v="11.742928240739275"/>
    <x v="0"/>
    <x v="8"/>
    <n v="4.7429282407392748"/>
    <x v="8"/>
  </r>
  <r>
    <n v="1000"/>
    <s v="1000111"/>
    <d v="2023-09-20T06:10:11"/>
    <s v="type40"/>
    <n v="598.92999999999995"/>
    <x v="2"/>
    <d v="2023-09-25T06:10:11"/>
    <x v="3"/>
    <d v="2023-10-03T00:00:00"/>
    <n v="12.742928240739275"/>
    <x v="0"/>
    <x v="11"/>
    <n v="7.7429282407392748"/>
    <x v="11"/>
  </r>
  <r>
    <n v="1031"/>
    <s v="1031111"/>
    <d v="2023-09-21T06:10:11"/>
    <s v="type40"/>
    <n v="472.17"/>
    <x v="3"/>
    <d v="2023-09-23T06:10:11"/>
    <x v="4"/>
    <d v="2023-10-03T00:00:00"/>
    <n v="11.742928240739275"/>
    <x v="0"/>
    <x v="3"/>
    <n v="9.7429282407392748"/>
    <x v="3"/>
  </r>
  <r>
    <n v="1014"/>
    <s v="1014111"/>
    <d v="2023-09-13T06:10:11"/>
    <s v="type40"/>
    <n v="-711"/>
    <x v="4"/>
    <d v="2023-09-20T06:10:11"/>
    <x v="2"/>
    <d v="2023-10-03T00:00:00"/>
    <n v="19.742928240739275"/>
    <x v="0"/>
    <x v="9"/>
    <n v="12.742928240739275"/>
    <x v="9"/>
  </r>
  <r>
    <n v="1035"/>
    <s v="1035111"/>
    <d v="2023-09-22T06:10:11"/>
    <s v="type40"/>
    <n v="19.64"/>
    <x v="1"/>
    <d v="2023-09-24T06:10:11"/>
    <x v="4"/>
    <d v="2023-10-03T00:00:00"/>
    <n v="10.742928240739275"/>
    <x v="0"/>
    <x v="5"/>
    <n v="8.7429282407392748"/>
    <x v="5"/>
  </r>
  <r>
    <n v="1011"/>
    <s v="1011111"/>
    <d v="2023-09-23T06:10:11"/>
    <s v="type40"/>
    <n v="143.88999999999999"/>
    <x v="1"/>
    <d v="2023-09-25T06:10:11"/>
    <x v="1"/>
    <d v="2023-10-03T00:00:00"/>
    <n v="9.7429282407392748"/>
    <x v="0"/>
    <x v="11"/>
    <n v="7.7429282407392748"/>
    <x v="11"/>
  </r>
  <r>
    <n v="1017"/>
    <s v="1017111"/>
    <d v="2023-09-22T06:10:11"/>
    <s v="type41"/>
    <n v="284.72000000000003"/>
    <x v="5"/>
    <d v="2023-09-29T06:10:11"/>
    <x v="2"/>
    <d v="2023-10-03T00:00:00"/>
    <n v="10.742928240739275"/>
    <x v="0"/>
    <x v="13"/>
    <n v="3.7429282407392748"/>
    <x v="13"/>
  </r>
  <r>
    <n v="1033"/>
    <s v="1033111"/>
    <d v="2023-09-14T06:10:11"/>
    <s v="type40"/>
    <n v="2982.28"/>
    <x v="6"/>
    <d v="2023-09-15T06:10:11"/>
    <x v="4"/>
    <d v="2023-10-03T00:00:00"/>
    <n v="18.742928240739275"/>
    <x v="0"/>
    <x v="0"/>
    <n v="17.742928240739275"/>
    <x v="0"/>
  </r>
  <r>
    <n v="1004"/>
    <s v="1004111"/>
    <d v="2023-09-20T06:10:11"/>
    <s v="type40"/>
    <n v="441.23"/>
    <x v="2"/>
    <d v="2023-09-25T06:10:11"/>
    <x v="3"/>
    <d v="2023-10-03T00:00:00"/>
    <n v="12.742928240739275"/>
    <x v="0"/>
    <x v="11"/>
    <n v="7.7429282407392748"/>
    <x v="11"/>
  </r>
  <r>
    <n v="1012"/>
    <s v="1012111"/>
    <d v="2023-09-13T06:10:11"/>
    <s v="type40"/>
    <n v="-682.74"/>
    <x v="5"/>
    <d v="2023-09-14T06:10:11"/>
    <x v="2"/>
    <d v="2023-10-03T00:00:00"/>
    <n v="19.742928240739275"/>
    <x v="0"/>
    <x v="20"/>
    <n v="18.742928240739275"/>
    <x v="20"/>
  </r>
  <r>
    <n v="1023"/>
    <s v="1023111"/>
    <d v="2023-09-28T06:10:11"/>
    <s v="type30"/>
    <n v="157.68"/>
    <x v="1"/>
    <d v="2023-09-30T06:10:11"/>
    <x v="0"/>
    <d v="2023-10-03T00:00:00"/>
    <n v="4.7429282407392748"/>
    <x v="2"/>
    <x v="14"/>
    <n v="2.7429282407392748"/>
    <x v="14"/>
  </r>
  <r>
    <n v="1034"/>
    <s v="1034111"/>
    <d v="2023-09-20T06:10:11"/>
    <s v="type40"/>
    <n v="700.86"/>
    <x v="6"/>
    <d v="2023-09-22T06:10:11"/>
    <x v="4"/>
    <d v="2023-10-03T00:00:00"/>
    <n v="12.742928240739275"/>
    <x v="0"/>
    <x v="10"/>
    <n v="10.742928240739275"/>
    <x v="10"/>
  </r>
  <r>
    <n v="1018"/>
    <s v="1018111"/>
    <d v="2023-09-18T06:10:11"/>
    <s v="type40"/>
    <n v="356.54"/>
    <x v="5"/>
    <d v="2023-09-19T06:10:11"/>
    <x v="0"/>
    <d v="2023-10-03T00:00:00"/>
    <n v="14.742928240739275"/>
    <x v="0"/>
    <x v="19"/>
    <n v="13.742928240739275"/>
    <x v="19"/>
  </r>
  <r>
    <n v="1007"/>
    <s v="1007111"/>
    <d v="2023-09-17T06:10:11"/>
    <s v="type40"/>
    <n v="10663.12"/>
    <x v="4"/>
    <d v="2023-09-18T06:10:11"/>
    <x v="1"/>
    <d v="2023-10-03T00:00:00"/>
    <n v="15.742928240739275"/>
    <x v="0"/>
    <x v="6"/>
    <n v="14.742928240739275"/>
    <x v="6"/>
  </r>
  <r>
    <n v="1012"/>
    <s v="1012111"/>
    <d v="2023-09-18T06:10:11"/>
    <s v="type40"/>
    <n v="-389.76"/>
    <x v="3"/>
    <d v="2023-09-20T06:10:11"/>
    <x v="2"/>
    <d v="2023-10-03T00:00:00"/>
    <n v="14.742928240739275"/>
    <x v="0"/>
    <x v="9"/>
    <n v="12.742928240739275"/>
    <x v="9"/>
  </r>
  <r>
    <n v="1024"/>
    <s v="1024111"/>
    <d v="2023-09-21T06:10:11"/>
    <s v="type40"/>
    <n v="1151.4000000000001"/>
    <x v="6"/>
    <d v="2023-09-23T06:10:11"/>
    <x v="5"/>
    <d v="2023-10-03T00:00:00"/>
    <n v="11.742928240739275"/>
    <x v="0"/>
    <x v="3"/>
    <n v="9.7429282407392748"/>
    <x v="3"/>
  </r>
  <r>
    <n v="1013"/>
    <s v="1013111"/>
    <d v="2023-09-18T06:10:11"/>
    <s v="type9"/>
    <n v="95.82"/>
    <x v="4"/>
    <d v="2023-09-19T06:10:11"/>
    <x v="2"/>
    <d v="2023-10-03T00:00:00"/>
    <n v="14.742928240739275"/>
    <x v="0"/>
    <x v="19"/>
    <n v="13.742928240739275"/>
    <x v="19"/>
  </r>
  <r>
    <n v="1031"/>
    <s v="1031111"/>
    <d v="2023-09-22T06:10:11"/>
    <s v="type32"/>
    <n v="496529.94"/>
    <x v="5"/>
    <d v="2023-09-23T06:10:11"/>
    <x v="4"/>
    <d v="2023-10-03T00:00:00"/>
    <n v="10.742928240739275"/>
    <x v="0"/>
    <x v="3"/>
    <n v="9.7429282407392748"/>
    <x v="3"/>
  </r>
  <r>
    <n v="1024"/>
    <s v="1024111"/>
    <d v="2023-09-16T06:10:11"/>
    <s v="type41"/>
    <n v="250.9"/>
    <x v="4"/>
    <d v="2023-09-18T06:10:11"/>
    <x v="5"/>
    <d v="2023-10-03T00:00:00"/>
    <n v="16.742928240739275"/>
    <x v="0"/>
    <x v="6"/>
    <n v="14.742928240739275"/>
    <x v="6"/>
  </r>
  <r>
    <n v="1020"/>
    <s v="1020111"/>
    <d v="2023-09-18T06:10:11"/>
    <s v="type40"/>
    <n v="467.56"/>
    <x v="5"/>
    <d v="2023-09-20T06:10:11"/>
    <x v="0"/>
    <d v="2023-10-03T00:00:00"/>
    <n v="14.742928240739275"/>
    <x v="0"/>
    <x v="9"/>
    <n v="12.742928240739275"/>
    <x v="9"/>
  </r>
  <r>
    <n v="1000"/>
    <s v="1000111"/>
    <d v="2023-09-22T06:10:11"/>
    <s v="type40"/>
    <n v="-450.81"/>
    <x v="1"/>
    <d v="2023-09-27T06:10:11"/>
    <x v="3"/>
    <d v="2023-10-03T00:00:00"/>
    <n v="10.742928240739275"/>
    <x v="0"/>
    <x v="12"/>
    <n v="5.7429282407392748"/>
    <x v="12"/>
  </r>
  <r>
    <n v="1027"/>
    <s v="1027111"/>
    <d v="2023-09-13T06:10:11"/>
    <s v="type40"/>
    <n v="6.11"/>
    <x v="2"/>
    <d v="2023-09-14T06:10:11"/>
    <x v="5"/>
    <d v="2023-10-03T00:00:00"/>
    <n v="19.742928240739275"/>
    <x v="0"/>
    <x v="20"/>
    <n v="18.742928240739275"/>
    <x v="20"/>
  </r>
  <r>
    <n v="1034"/>
    <s v="1034111"/>
    <d v="2023-09-20T06:10:11"/>
    <s v="type35"/>
    <n v="999.56"/>
    <x v="5"/>
    <d v="2023-09-22T06:10:11"/>
    <x v="4"/>
    <d v="2023-10-03T00:00:00"/>
    <n v="12.742928240739275"/>
    <x v="0"/>
    <x v="10"/>
    <n v="10.742928240739275"/>
    <x v="10"/>
  </r>
  <r>
    <n v="1028"/>
    <s v="1028111"/>
    <d v="2023-09-23T06:10:11"/>
    <s v="type40"/>
    <n v="357.27"/>
    <x v="4"/>
    <d v="2023-09-25T06:10:11"/>
    <x v="5"/>
    <d v="2023-10-03T00:00:00"/>
    <n v="9.7429282407392748"/>
    <x v="0"/>
    <x v="11"/>
    <n v="7.7429282407392748"/>
    <x v="11"/>
  </r>
  <r>
    <n v="1017"/>
    <s v="1017111"/>
    <d v="2023-09-20T06:10:11"/>
    <s v="type40"/>
    <n v="757.21"/>
    <x v="6"/>
    <d v="2023-09-27T06:10:11"/>
    <x v="2"/>
    <d v="2023-10-03T00:00:00"/>
    <n v="12.742928240739275"/>
    <x v="0"/>
    <x v="12"/>
    <n v="5.7429282407392748"/>
    <x v="12"/>
  </r>
  <r>
    <n v="1027"/>
    <s v="1027111"/>
    <d v="2023-09-27T06:10:11"/>
    <s v="type30"/>
    <n v="436965.6"/>
    <x v="1"/>
    <d v="2023-10-02T06:10:11"/>
    <x v="5"/>
    <d v="2023-10-03T00:00:00"/>
    <n v="5.7429282407392748"/>
    <x v="2"/>
    <x v="15"/>
    <n v="0.74292824073927477"/>
    <x v="15"/>
  </r>
  <r>
    <n v="1005"/>
    <s v="1005111"/>
    <d v="2023-09-13T06:10:11"/>
    <s v="type40"/>
    <n v="-3212.41"/>
    <x v="4"/>
    <d v="2023-09-15T06:10:11"/>
    <x v="3"/>
    <d v="2023-10-03T00:00:00"/>
    <n v="19.742928240739275"/>
    <x v="0"/>
    <x v="0"/>
    <n v="17.742928240739275"/>
    <x v="0"/>
  </r>
  <r>
    <n v="1008"/>
    <s v="1008111"/>
    <d v="2023-09-10T06:10:11"/>
    <s v="type40"/>
    <n v="2567.5700000000002"/>
    <x v="1"/>
    <d v="2023-09-15T06:10:11"/>
    <x v="1"/>
    <d v="2023-10-03T00:00:00"/>
    <n v="22.742928240739275"/>
    <x v="0"/>
    <x v="0"/>
    <n v="17.742928240739275"/>
    <x v="0"/>
  </r>
  <r>
    <n v="1014"/>
    <s v="1014111"/>
    <d v="2023-09-11T06:10:11"/>
    <s v="type17"/>
    <n v="604.08000000000004"/>
    <x v="1"/>
    <d v="2023-09-18T06:10:11"/>
    <x v="2"/>
    <d v="2023-10-03T00:00:00"/>
    <n v="21.742928240739275"/>
    <x v="0"/>
    <x v="6"/>
    <n v="14.742928240739275"/>
    <x v="6"/>
  </r>
  <r>
    <n v="1000"/>
    <s v="1000111"/>
    <d v="2023-09-12T06:10:11"/>
    <s v="type33"/>
    <n v="352.23"/>
    <x v="3"/>
    <d v="2023-09-19T06:10:11"/>
    <x v="3"/>
    <d v="2023-10-03T00:00:00"/>
    <n v="20.742928240739275"/>
    <x v="0"/>
    <x v="19"/>
    <n v="13.742928240739275"/>
    <x v="19"/>
  </r>
  <r>
    <n v="1001"/>
    <s v="1001111"/>
    <d v="2023-09-23T06:10:11"/>
    <s v="type42"/>
    <n v="247.47"/>
    <x v="6"/>
    <d v="2023-09-30T06:10:11"/>
    <x v="3"/>
    <d v="2023-10-03T00:00:00"/>
    <n v="9.7429282407392748"/>
    <x v="0"/>
    <x v="14"/>
    <n v="2.7429282407392748"/>
    <x v="14"/>
  </r>
  <r>
    <n v="1028"/>
    <s v="1028111"/>
    <d v="2023-09-15T06:10:11"/>
    <s v="type13"/>
    <n v="31775.759999999998"/>
    <x v="4"/>
    <d v="2023-09-20T06:10:11"/>
    <x v="5"/>
    <d v="2023-10-03T00:00:00"/>
    <n v="17.742928240739275"/>
    <x v="0"/>
    <x v="9"/>
    <n v="12.742928240739275"/>
    <x v="9"/>
  </r>
  <r>
    <n v="1003"/>
    <s v="1003111"/>
    <d v="2023-09-21T06:10:11"/>
    <s v="type40"/>
    <n v="3093.72"/>
    <x v="6"/>
    <d v="2023-09-22T06:10:11"/>
    <x v="3"/>
    <d v="2023-10-03T00:00:00"/>
    <n v="11.742928240739275"/>
    <x v="0"/>
    <x v="10"/>
    <n v="10.742928240739275"/>
    <x v="10"/>
  </r>
  <r>
    <n v="1011"/>
    <s v="1011111"/>
    <d v="2023-09-17T06:10:11"/>
    <s v="type40"/>
    <n v="447.78"/>
    <x v="6"/>
    <d v="2023-09-22T06:10:11"/>
    <x v="1"/>
    <d v="2023-10-03T00:00:00"/>
    <n v="15.742928240739275"/>
    <x v="0"/>
    <x v="10"/>
    <n v="10.742928240739275"/>
    <x v="10"/>
  </r>
  <r>
    <n v="1018"/>
    <s v="1018111"/>
    <d v="2023-09-18T06:10:11"/>
    <s v="type13"/>
    <n v="31659.24"/>
    <x v="6"/>
    <d v="2023-09-23T06:10:11"/>
    <x v="0"/>
    <d v="2023-10-03T00:00:00"/>
    <n v="14.742928240739275"/>
    <x v="0"/>
    <x v="3"/>
    <n v="9.7429282407392748"/>
    <x v="3"/>
  </r>
  <r>
    <n v="1000"/>
    <s v="1000111"/>
    <d v="2023-09-20T06:10:11"/>
    <s v="type13"/>
    <n v="21521.93"/>
    <x v="6"/>
    <d v="2023-09-27T06:10:11"/>
    <x v="3"/>
    <d v="2023-10-03T00:00:00"/>
    <n v="12.742928240739275"/>
    <x v="0"/>
    <x v="12"/>
    <n v="5.7429282407392748"/>
    <x v="12"/>
  </r>
  <r>
    <n v="1034"/>
    <s v="1034111"/>
    <d v="2023-09-16T06:10:11"/>
    <s v="type33"/>
    <n v="524.52"/>
    <x v="1"/>
    <d v="2023-09-23T06:10:11"/>
    <x v="4"/>
    <d v="2023-10-03T00:00:00"/>
    <n v="16.742928240739275"/>
    <x v="0"/>
    <x v="3"/>
    <n v="9.7429282407392748"/>
    <x v="3"/>
  </r>
  <r>
    <n v="1004"/>
    <s v="1004111"/>
    <d v="2023-09-14T06:10:11"/>
    <s v="type40"/>
    <n v="-417.87"/>
    <x v="6"/>
    <d v="2023-09-21T06:10:11"/>
    <x v="3"/>
    <d v="2023-10-03T00:00:00"/>
    <n v="18.742928240739275"/>
    <x v="0"/>
    <x v="1"/>
    <n v="11.742928240739275"/>
    <x v="1"/>
  </r>
  <r>
    <n v="1032"/>
    <s v="1032111"/>
    <d v="2023-09-16T06:10:11"/>
    <s v="type13"/>
    <n v="35993.760000000002"/>
    <x v="4"/>
    <d v="2023-09-21T06:10:11"/>
    <x v="4"/>
    <d v="2023-10-03T00:00:00"/>
    <n v="16.742928240739275"/>
    <x v="0"/>
    <x v="1"/>
    <n v="11.742928240739275"/>
    <x v="1"/>
  </r>
  <r>
    <n v="1011"/>
    <s v="1011111"/>
    <d v="2023-09-18T06:10:11"/>
    <s v="type40"/>
    <n v="768.15"/>
    <x v="4"/>
    <d v="2023-09-23T06:10:11"/>
    <x v="1"/>
    <d v="2023-10-03T00:00:00"/>
    <n v="14.742928240739275"/>
    <x v="0"/>
    <x v="3"/>
    <n v="9.7429282407392748"/>
    <x v="3"/>
  </r>
  <r>
    <n v="1012"/>
    <s v="1012111"/>
    <d v="2023-09-20T06:10:11"/>
    <s v="type26"/>
    <n v="311.73"/>
    <x v="4"/>
    <d v="2023-09-27T06:10:11"/>
    <x v="2"/>
    <d v="2023-10-03T00:00:00"/>
    <n v="12.742928240739275"/>
    <x v="0"/>
    <x v="12"/>
    <n v="5.7429282407392748"/>
    <x v="12"/>
  </r>
  <r>
    <n v="1028"/>
    <s v="1028111"/>
    <d v="2023-09-19T06:10:11"/>
    <s v="type40"/>
    <n v="4593.3100000000004"/>
    <x v="1"/>
    <d v="2023-09-26T06:10:11"/>
    <x v="5"/>
    <d v="2023-10-03T00:00:00"/>
    <n v="13.742928240739275"/>
    <x v="0"/>
    <x v="7"/>
    <n v="6.7429282407392748"/>
    <x v="7"/>
  </r>
  <r>
    <n v="1025"/>
    <s v="1025111"/>
    <d v="2023-09-21T06:10:11"/>
    <s v="type13"/>
    <n v="37753.17"/>
    <x v="5"/>
    <d v="2023-09-23T06:10:11"/>
    <x v="5"/>
    <d v="2023-10-03T00:00:00"/>
    <n v="11.742928240739275"/>
    <x v="0"/>
    <x v="3"/>
    <n v="9.7429282407392748"/>
    <x v="3"/>
  </r>
  <r>
    <n v="1029"/>
    <s v="1029111"/>
    <d v="2023-09-16T06:10:11"/>
    <s v="type38"/>
    <n v="191.6"/>
    <x v="4"/>
    <d v="2023-09-18T06:10:11"/>
    <x v="5"/>
    <d v="2023-10-03T00:00:00"/>
    <n v="16.742928240739275"/>
    <x v="0"/>
    <x v="6"/>
    <n v="14.742928240739275"/>
    <x v="6"/>
  </r>
  <r>
    <n v="1029"/>
    <s v="1029111"/>
    <d v="2023-09-16T06:10:11"/>
    <s v="type41"/>
    <n v="493.92"/>
    <x v="2"/>
    <d v="2023-09-17T06:10:11"/>
    <x v="5"/>
    <d v="2023-10-03T00:00:00"/>
    <n v="16.742928240739275"/>
    <x v="0"/>
    <x v="4"/>
    <n v="15.742928240739275"/>
    <x v="4"/>
  </r>
  <r>
    <n v="1012"/>
    <s v="1012111"/>
    <d v="2023-09-21T06:10:11"/>
    <s v="type40"/>
    <n v="-600.35"/>
    <x v="1"/>
    <d v="2023-09-28T06:10:11"/>
    <x v="2"/>
    <d v="2023-10-03T00:00:00"/>
    <n v="11.742928240739275"/>
    <x v="0"/>
    <x v="8"/>
    <n v="4.7429282407392748"/>
    <x v="8"/>
  </r>
  <r>
    <n v="1027"/>
    <s v="1027111"/>
    <d v="2023-09-22T06:10:11"/>
    <s v="type40"/>
    <n v="0.5"/>
    <x v="3"/>
    <d v="2023-09-23T06:10:11"/>
    <x v="5"/>
    <d v="2023-10-03T00:00:00"/>
    <n v="10.742928240739275"/>
    <x v="0"/>
    <x v="3"/>
    <n v="9.7429282407392748"/>
    <x v="3"/>
  </r>
  <r>
    <n v="1021"/>
    <s v="1021111"/>
    <d v="2023-09-16T06:10:11"/>
    <s v="type40"/>
    <n v="-395.12"/>
    <x v="2"/>
    <d v="2023-09-17T06:10:11"/>
    <x v="0"/>
    <d v="2023-10-03T00:00:00"/>
    <n v="16.742928240739275"/>
    <x v="0"/>
    <x v="4"/>
    <n v="15.742928240739275"/>
    <x v="4"/>
  </r>
  <r>
    <n v="1025"/>
    <s v="1025111"/>
    <d v="2023-09-17T06:10:11"/>
    <s v="type22"/>
    <n v="661.58"/>
    <x v="2"/>
    <d v="2023-09-18T06:10:11"/>
    <x v="5"/>
    <d v="2023-10-03T00:00:00"/>
    <n v="15.742928240739275"/>
    <x v="0"/>
    <x v="6"/>
    <n v="14.742928240739275"/>
    <x v="6"/>
  </r>
  <r>
    <n v="1004"/>
    <s v="1004111"/>
    <d v="2023-09-15T06:10:11"/>
    <s v="type40"/>
    <n v="1869.64"/>
    <x v="6"/>
    <d v="2023-09-16T06:10:11"/>
    <x v="3"/>
    <d v="2023-10-03T00:00:00"/>
    <n v="17.742928240739275"/>
    <x v="0"/>
    <x v="2"/>
    <n v="16.742928240739275"/>
    <x v="2"/>
  </r>
  <r>
    <n v="1032"/>
    <s v="1032111"/>
    <d v="2023-09-18T06:10:11"/>
    <s v="type40"/>
    <n v="766.47"/>
    <x v="6"/>
    <d v="2023-09-20T06:10:11"/>
    <x v="4"/>
    <d v="2023-10-03T00:00:00"/>
    <n v="14.742928240739275"/>
    <x v="0"/>
    <x v="9"/>
    <n v="12.742928240739275"/>
    <x v="9"/>
  </r>
  <r>
    <n v="1025"/>
    <s v="1025111"/>
    <d v="2023-09-27T06:10:11"/>
    <s v="type8"/>
    <n v="55.02"/>
    <x v="3"/>
    <d v="2023-09-28T06:10:11"/>
    <x v="5"/>
    <d v="2023-10-03T00:00:00"/>
    <n v="5.7429282407392748"/>
    <x v="2"/>
    <x v="8"/>
    <n v="4.7429282407392748"/>
    <x v="8"/>
  </r>
  <r>
    <n v="1034"/>
    <s v="1034111"/>
    <d v="2023-09-13T06:10:11"/>
    <s v="type25"/>
    <n v="150.24"/>
    <x v="5"/>
    <d v="2023-09-20T06:10:11"/>
    <x v="4"/>
    <d v="2023-10-03T00:00:00"/>
    <n v="19.742928240739275"/>
    <x v="0"/>
    <x v="9"/>
    <n v="12.742928240739275"/>
    <x v="9"/>
  </r>
  <r>
    <n v="1009"/>
    <s v="1009111"/>
    <d v="2023-09-12T06:10:11"/>
    <s v="type26"/>
    <n v="188.66"/>
    <x v="6"/>
    <d v="2023-09-14T06:10:11"/>
    <x v="1"/>
    <d v="2023-10-03T00:00:00"/>
    <n v="20.742928240739275"/>
    <x v="0"/>
    <x v="20"/>
    <n v="18.742928240739275"/>
    <x v="20"/>
  </r>
  <r>
    <n v="1022"/>
    <s v="1022111"/>
    <d v="2023-09-13T06:10:11"/>
    <s v="type38"/>
    <n v="183.02"/>
    <x v="6"/>
    <d v="2023-09-15T06:10:11"/>
    <x v="0"/>
    <d v="2023-10-03T00:00:00"/>
    <n v="19.742928240739275"/>
    <x v="0"/>
    <x v="0"/>
    <n v="17.742928240739275"/>
    <x v="0"/>
  </r>
  <r>
    <n v="1030"/>
    <s v="1030111"/>
    <d v="2023-09-18T06:10:11"/>
    <s v="type40"/>
    <n v="4434.12"/>
    <x v="2"/>
    <d v="2023-09-19T06:10:11"/>
    <x v="4"/>
    <d v="2023-10-03T00:00:00"/>
    <n v="14.742928240739275"/>
    <x v="0"/>
    <x v="19"/>
    <n v="13.742928240739275"/>
    <x v="19"/>
  </r>
  <r>
    <n v="1010"/>
    <s v="1010111"/>
    <d v="2023-09-16T06:10:11"/>
    <s v="type40"/>
    <n v="5"/>
    <x v="5"/>
    <d v="2023-09-23T06:10:11"/>
    <x v="1"/>
    <d v="2023-10-03T00:00:00"/>
    <n v="16.742928240739275"/>
    <x v="0"/>
    <x v="3"/>
    <n v="9.7429282407392748"/>
    <x v="3"/>
  </r>
  <r>
    <n v="1019"/>
    <s v="1019111"/>
    <d v="2023-09-20T06:10:11"/>
    <s v="type2"/>
    <n v="1042"/>
    <x v="5"/>
    <d v="2023-09-27T06:10:11"/>
    <x v="0"/>
    <d v="2023-10-03T00:00:00"/>
    <n v="12.742928240739275"/>
    <x v="0"/>
    <x v="12"/>
    <n v="5.7429282407392748"/>
    <x v="12"/>
  </r>
  <r>
    <n v="1002"/>
    <s v="1002111"/>
    <d v="2023-09-13T06:10:11"/>
    <s v="type38"/>
    <n v="201.82"/>
    <x v="6"/>
    <d v="2023-09-18T06:10:11"/>
    <x v="3"/>
    <d v="2023-10-03T00:00:00"/>
    <n v="19.742928240739275"/>
    <x v="0"/>
    <x v="6"/>
    <n v="14.742928240739275"/>
    <x v="6"/>
  </r>
  <r>
    <n v="1009"/>
    <s v="1009111"/>
    <d v="2023-09-20T06:10:11"/>
    <s v="type18"/>
    <n v="624.27"/>
    <x v="1"/>
    <d v="2023-09-21T06:10:11"/>
    <x v="1"/>
    <d v="2023-10-03T00:00:00"/>
    <n v="12.742928240739275"/>
    <x v="0"/>
    <x v="1"/>
    <n v="11.742928240739275"/>
    <x v="1"/>
  </r>
  <r>
    <n v="1013"/>
    <s v="1013111"/>
    <d v="2023-09-17T06:10:11"/>
    <s v="type13"/>
    <n v="25288.78"/>
    <x v="6"/>
    <d v="2023-09-22T06:10:11"/>
    <x v="2"/>
    <d v="2023-10-03T00:00:00"/>
    <n v="15.742928240739275"/>
    <x v="0"/>
    <x v="10"/>
    <n v="10.742928240739275"/>
    <x v="10"/>
  </r>
  <r>
    <n v="1002"/>
    <s v="1002111"/>
    <d v="2023-09-21T06:10:11"/>
    <s v="type38"/>
    <n v="229.85"/>
    <x v="4"/>
    <d v="2023-09-26T06:10:11"/>
    <x v="3"/>
    <d v="2023-10-03T00:00:00"/>
    <n v="11.742928240739275"/>
    <x v="0"/>
    <x v="7"/>
    <n v="6.7429282407392748"/>
    <x v="7"/>
  </r>
  <r>
    <n v="1007"/>
    <s v="1007111"/>
    <d v="2023-09-21T06:10:11"/>
    <s v="type40"/>
    <n v="721.57"/>
    <x v="5"/>
    <d v="2023-09-22T06:10:11"/>
    <x v="1"/>
    <d v="2023-10-03T00:00:00"/>
    <n v="11.742928240739275"/>
    <x v="0"/>
    <x v="10"/>
    <n v="10.742928240739275"/>
    <x v="10"/>
  </r>
  <r>
    <n v="1020"/>
    <s v="1020111"/>
    <d v="2023-09-23T06:10:11"/>
    <s v="type35"/>
    <n v="528.63"/>
    <x v="1"/>
    <d v="2023-09-24T06:10:11"/>
    <x v="0"/>
    <d v="2023-10-03T00:00:00"/>
    <n v="9.7429282407392748"/>
    <x v="0"/>
    <x v="5"/>
    <n v="8.7429282407392748"/>
    <x v="5"/>
  </r>
  <r>
    <n v="1013"/>
    <s v="1013111"/>
    <d v="2023-09-22T06:10:11"/>
    <s v="type40"/>
    <n v="-1016.61"/>
    <x v="5"/>
    <d v="2023-09-23T06:10:11"/>
    <x v="2"/>
    <d v="2023-10-03T00:00:00"/>
    <n v="10.742928240739275"/>
    <x v="0"/>
    <x v="3"/>
    <n v="9.7429282407392748"/>
    <x v="3"/>
  </r>
  <r>
    <n v="1001"/>
    <s v="1001111"/>
    <d v="2023-09-25T06:10:11"/>
    <s v="type40"/>
    <n v="5.13"/>
    <x v="1"/>
    <d v="2023-09-27T06:10:11"/>
    <x v="3"/>
    <d v="2023-10-03T00:00:00"/>
    <n v="7.7429282407392748"/>
    <x v="1"/>
    <x v="12"/>
    <n v="5.7429282407392748"/>
    <x v="12"/>
  </r>
  <r>
    <n v="1006"/>
    <s v="1006111"/>
    <d v="2023-09-26T06:10:11"/>
    <s v="type41"/>
    <n v="430.58"/>
    <x v="3"/>
    <d v="2023-09-28T06:10:11"/>
    <x v="1"/>
    <d v="2023-10-03T00:00:00"/>
    <n v="6.7429282407392748"/>
    <x v="1"/>
    <x v="8"/>
    <n v="4.7429282407392748"/>
    <x v="8"/>
  </r>
  <r>
    <n v="1010"/>
    <s v="1010111"/>
    <d v="2023-09-19T06:10:11"/>
    <s v="type40"/>
    <n v="-356.08"/>
    <x v="2"/>
    <d v="2023-09-21T06:10:11"/>
    <x v="1"/>
    <d v="2023-10-03T00:00:00"/>
    <n v="13.742928240739275"/>
    <x v="0"/>
    <x v="1"/>
    <n v="11.742928240739275"/>
    <x v="1"/>
  </r>
  <r>
    <n v="1000"/>
    <s v="1000111"/>
    <d v="2023-09-20T06:10:11"/>
    <s v="type40"/>
    <n v="313"/>
    <x v="6"/>
    <d v="2023-09-27T06:10:11"/>
    <x v="3"/>
    <d v="2023-10-03T00:00:00"/>
    <n v="12.742928240739275"/>
    <x v="0"/>
    <x v="12"/>
    <n v="5.7429282407392748"/>
    <x v="12"/>
  </r>
  <r>
    <n v="1024"/>
    <s v="1024111"/>
    <d v="2023-09-22T06:10:11"/>
    <s v="type15"/>
    <n v="1419.4"/>
    <x v="2"/>
    <d v="2023-09-27T06:10:11"/>
    <x v="5"/>
    <d v="2023-10-03T00:00:00"/>
    <n v="10.742928240739275"/>
    <x v="0"/>
    <x v="12"/>
    <n v="5.7429282407392748"/>
    <x v="12"/>
  </r>
  <r>
    <n v="1002"/>
    <s v="1002111"/>
    <d v="2023-09-16T06:10:11"/>
    <s v="type40"/>
    <n v="-2560.54"/>
    <x v="6"/>
    <d v="2023-09-23T06:10:11"/>
    <x v="3"/>
    <d v="2023-10-03T00:00:00"/>
    <n v="16.742928240739275"/>
    <x v="0"/>
    <x v="3"/>
    <n v="9.7429282407392748"/>
    <x v="3"/>
  </r>
  <r>
    <n v="1005"/>
    <s v="1005111"/>
    <d v="2023-09-12T06:10:11"/>
    <s v="type40"/>
    <n v="-1936.17"/>
    <x v="3"/>
    <d v="2023-09-14T06:10:11"/>
    <x v="3"/>
    <d v="2023-10-03T00:00:00"/>
    <n v="20.742928240739275"/>
    <x v="0"/>
    <x v="20"/>
    <n v="18.742928240739275"/>
    <x v="20"/>
  </r>
  <r>
    <n v="1021"/>
    <s v="1021111"/>
    <d v="2023-09-10T06:10:11"/>
    <s v="type40"/>
    <n v="2399.37"/>
    <x v="5"/>
    <d v="2023-09-12T06:10:11"/>
    <x v="0"/>
    <d v="2023-10-03T00:00:00"/>
    <n v="22.742928240739275"/>
    <x v="0"/>
    <x v="18"/>
    <n v="20.742928240739275"/>
    <x v="18"/>
  </r>
  <r>
    <n v="1015"/>
    <s v="1015111"/>
    <d v="2023-09-13T06:10:11"/>
    <s v="type27"/>
    <n v="1477.05"/>
    <x v="1"/>
    <d v="2023-09-15T06:10:11"/>
    <x v="2"/>
    <d v="2023-10-03T00:00:00"/>
    <n v="19.742928240739275"/>
    <x v="0"/>
    <x v="0"/>
    <n v="17.742928240739275"/>
    <x v="0"/>
  </r>
  <r>
    <n v="1017"/>
    <s v="1017111"/>
    <d v="2023-09-14T06:10:11"/>
    <s v="type30"/>
    <n v="157.68"/>
    <x v="3"/>
    <d v="2023-09-16T06:10:11"/>
    <x v="2"/>
    <d v="2023-10-03T00:00:00"/>
    <n v="18.742928240739275"/>
    <x v="0"/>
    <x v="2"/>
    <n v="16.742928240739275"/>
    <x v="2"/>
  </r>
  <r>
    <n v="1026"/>
    <s v="1026111"/>
    <d v="2023-09-14T06:10:11"/>
    <s v="type42"/>
    <n v="257.22000000000003"/>
    <x v="1"/>
    <d v="2023-09-16T06:10:11"/>
    <x v="5"/>
    <d v="2023-10-03T00:00:00"/>
    <n v="18.742928240739275"/>
    <x v="0"/>
    <x v="2"/>
    <n v="16.742928240739275"/>
    <x v="2"/>
  </r>
  <r>
    <n v="1000"/>
    <s v="1000111"/>
    <d v="2023-09-17T06:10:11"/>
    <s v="type26"/>
    <n v="139.86000000000001"/>
    <x v="4"/>
    <d v="2023-09-24T06:10:11"/>
    <x v="3"/>
    <d v="2023-10-03T00:00:00"/>
    <n v="15.742928240739275"/>
    <x v="0"/>
    <x v="5"/>
    <n v="8.7429282407392748"/>
    <x v="5"/>
  </r>
  <r>
    <n v="1030"/>
    <s v="1030111"/>
    <d v="2023-09-15T06:10:11"/>
    <s v="type32"/>
    <n v="1804.56"/>
    <x v="1"/>
    <d v="2023-09-17T06:10:11"/>
    <x v="4"/>
    <d v="2023-10-03T00:00:00"/>
    <n v="17.742928240739275"/>
    <x v="0"/>
    <x v="4"/>
    <n v="15.742928240739275"/>
    <x v="4"/>
  </r>
  <r>
    <n v="1033"/>
    <s v="1033111"/>
    <d v="2023-09-20T06:10:11"/>
    <s v="type40"/>
    <n v="380.25"/>
    <x v="4"/>
    <d v="2023-09-27T06:10:11"/>
    <x v="4"/>
    <d v="2023-10-03T00:00:00"/>
    <n v="12.742928240739275"/>
    <x v="0"/>
    <x v="12"/>
    <n v="5.7429282407392748"/>
    <x v="12"/>
  </r>
  <r>
    <n v="1022"/>
    <s v="1022111"/>
    <d v="2023-09-16T06:10:11"/>
    <s v="type27"/>
    <n v="65770.5"/>
    <x v="2"/>
    <d v="2023-09-23T06:10:11"/>
    <x v="0"/>
    <d v="2023-10-03T00:00:00"/>
    <n v="16.742928240739275"/>
    <x v="0"/>
    <x v="3"/>
    <n v="9.7429282407392748"/>
    <x v="3"/>
  </r>
  <r>
    <n v="1028"/>
    <s v="1028111"/>
    <d v="2023-09-19T06:10:11"/>
    <s v="type40"/>
    <n v="-3283"/>
    <x v="6"/>
    <d v="2023-09-26T06:10:11"/>
    <x v="5"/>
    <d v="2023-10-03T00:00:00"/>
    <n v="13.742928240739275"/>
    <x v="0"/>
    <x v="7"/>
    <n v="6.7429282407392748"/>
    <x v="7"/>
  </r>
  <r>
    <n v="1034"/>
    <s v="1034111"/>
    <d v="2023-09-19T06:10:11"/>
    <s v="type40"/>
    <n v="-449.8"/>
    <x v="4"/>
    <d v="2023-09-26T06:10:11"/>
    <x v="4"/>
    <d v="2023-10-03T00:00:00"/>
    <n v="13.742928240739275"/>
    <x v="0"/>
    <x v="7"/>
    <n v="6.7429282407392748"/>
    <x v="7"/>
  </r>
  <r>
    <n v="1028"/>
    <s v="1028111"/>
    <d v="2023-09-11T06:10:11"/>
    <s v="type40"/>
    <n v="-24285.81"/>
    <x v="6"/>
    <d v="2023-09-12T06:10:11"/>
    <x v="5"/>
    <d v="2023-10-03T00:00:00"/>
    <n v="21.742928240739275"/>
    <x v="0"/>
    <x v="18"/>
    <n v="20.742928240739275"/>
    <x v="18"/>
  </r>
  <r>
    <n v="1007"/>
    <s v="1007111"/>
    <d v="2023-09-17T06:10:11"/>
    <s v="type35"/>
    <n v="2545.52"/>
    <x v="2"/>
    <d v="2023-09-24T06:10:11"/>
    <x v="1"/>
    <d v="2023-10-03T00:00:00"/>
    <n v="15.742928240739275"/>
    <x v="0"/>
    <x v="5"/>
    <n v="8.7429282407392748"/>
    <x v="5"/>
  </r>
  <r>
    <n v="1025"/>
    <s v="1025111"/>
    <d v="2023-09-19T06:10:11"/>
    <s v="type33"/>
    <n v="395.56"/>
    <x v="6"/>
    <d v="2023-09-24T06:10:11"/>
    <x v="5"/>
    <d v="2023-10-03T00:00:00"/>
    <n v="13.742928240739275"/>
    <x v="0"/>
    <x v="5"/>
    <n v="8.7429282407392748"/>
    <x v="5"/>
  </r>
  <r>
    <n v="1000"/>
    <s v="1000111"/>
    <d v="2023-09-20T06:10:11"/>
    <s v="type10"/>
    <n v="200"/>
    <x v="1"/>
    <d v="2023-09-25T06:10:11"/>
    <x v="3"/>
    <d v="2023-10-03T00:00:00"/>
    <n v="12.742928240739275"/>
    <x v="0"/>
    <x v="11"/>
    <n v="7.7429282407392748"/>
    <x v="11"/>
  </r>
  <r>
    <n v="1027"/>
    <s v="1027111"/>
    <d v="2023-09-21T06:10:11"/>
    <s v="type40"/>
    <n v="953.53"/>
    <x v="3"/>
    <d v="2023-09-26T06:10:11"/>
    <x v="5"/>
    <d v="2023-10-03T00:00:00"/>
    <n v="11.742928240739275"/>
    <x v="0"/>
    <x v="7"/>
    <n v="6.7429282407392748"/>
    <x v="7"/>
  </r>
  <r>
    <n v="1013"/>
    <s v="1013111"/>
    <d v="2023-09-21T06:10:11"/>
    <s v="type40"/>
    <n v="-902.79"/>
    <x v="2"/>
    <d v="2023-09-28T06:10:11"/>
    <x v="2"/>
    <d v="2023-10-03T00:00:00"/>
    <n v="11.742928240739275"/>
    <x v="0"/>
    <x v="8"/>
    <n v="4.7429282407392748"/>
    <x v="8"/>
  </r>
  <r>
    <n v="1021"/>
    <s v="1021111"/>
    <d v="2023-09-12T06:10:11"/>
    <s v="type40"/>
    <n v="-2035.06"/>
    <x v="6"/>
    <d v="2023-09-19T06:10:11"/>
    <x v="0"/>
    <d v="2023-10-03T00:00:00"/>
    <n v="20.742928240739275"/>
    <x v="0"/>
    <x v="19"/>
    <n v="13.742928240739275"/>
    <x v="19"/>
  </r>
  <r>
    <n v="1033"/>
    <s v="1033111"/>
    <d v="2023-09-23T06:10:11"/>
    <s v="type17"/>
    <n v="796.94"/>
    <x v="1"/>
    <d v="2023-09-28T06:10:11"/>
    <x v="4"/>
    <d v="2023-10-03T00:00:00"/>
    <n v="9.7429282407392748"/>
    <x v="0"/>
    <x v="8"/>
    <n v="4.7429282407392748"/>
    <x v="8"/>
  </r>
  <r>
    <n v="1009"/>
    <s v="1009111"/>
    <d v="2023-09-12T06:10:11"/>
    <s v="type40"/>
    <n v="-333.51"/>
    <x v="5"/>
    <d v="2023-09-14T06:10:11"/>
    <x v="1"/>
    <d v="2023-10-03T00:00:00"/>
    <n v="20.742928240739275"/>
    <x v="0"/>
    <x v="20"/>
    <n v="18.742928240739275"/>
    <x v="20"/>
  </r>
  <r>
    <n v="1018"/>
    <s v="1018111"/>
    <d v="2023-09-21T06:10:11"/>
    <s v="type7"/>
    <n v="-1449.69"/>
    <x v="5"/>
    <d v="2023-09-23T06:10:11"/>
    <x v="0"/>
    <d v="2023-10-03T00:00:00"/>
    <n v="11.742928240739275"/>
    <x v="0"/>
    <x v="3"/>
    <n v="9.7429282407392748"/>
    <x v="3"/>
  </r>
  <r>
    <n v="1015"/>
    <s v="1015111"/>
    <d v="2023-09-26T06:10:11"/>
    <s v="type19"/>
    <n v="493.53"/>
    <x v="3"/>
    <d v="2023-10-01T06:10:11"/>
    <x v="2"/>
    <d v="2023-10-03T00:00:00"/>
    <n v="6.7429282407392748"/>
    <x v="1"/>
    <x v="22"/>
    <n v="1.7429282407392748"/>
    <x v="22"/>
  </r>
  <r>
    <n v="1010"/>
    <s v="1010111"/>
    <d v="2023-09-19T06:10:11"/>
    <s v="type40"/>
    <n v="1014.03"/>
    <x v="2"/>
    <d v="2023-09-20T06:10:11"/>
    <x v="1"/>
    <d v="2023-10-03T00:00:00"/>
    <n v="13.742928240739275"/>
    <x v="0"/>
    <x v="9"/>
    <n v="12.742928240739275"/>
    <x v="9"/>
  </r>
  <r>
    <n v="1027"/>
    <s v="1027111"/>
    <d v="2023-09-28T06:10:11"/>
    <s v="type36"/>
    <n v="236.6"/>
    <x v="1"/>
    <d v="2023-10-05T06:10:11"/>
    <x v="5"/>
    <d v="2023-10-03T00:00:00"/>
    <n v="4.7429282407392748"/>
    <x v="2"/>
    <x v="17"/>
    <n v="-2.2570717592607252"/>
    <x v="17"/>
  </r>
  <r>
    <n v="1020"/>
    <s v="1020111"/>
    <d v="2023-09-16T06:10:11"/>
    <s v="type28"/>
    <n v="311.79000000000002"/>
    <x v="1"/>
    <d v="2023-09-23T06:10:11"/>
    <x v="0"/>
    <d v="2023-10-03T00:00:00"/>
    <n v="16.742928240739275"/>
    <x v="0"/>
    <x v="3"/>
    <n v="9.7429282407392748"/>
    <x v="3"/>
  </r>
  <r>
    <n v="1001"/>
    <s v="1001111"/>
    <d v="2023-09-17T06:10:11"/>
    <s v="type40"/>
    <n v="345.24"/>
    <x v="3"/>
    <d v="2023-09-24T06:10:11"/>
    <x v="3"/>
    <d v="2023-10-03T00:00:00"/>
    <n v="15.742928240739275"/>
    <x v="0"/>
    <x v="5"/>
    <n v="8.7429282407392748"/>
    <x v="5"/>
  </r>
  <r>
    <n v="1021"/>
    <s v="1021111"/>
    <d v="2023-09-18T06:10:11"/>
    <s v="type40"/>
    <n v="488.91"/>
    <x v="3"/>
    <d v="2023-09-25T06:10:11"/>
    <x v="0"/>
    <d v="2023-10-03T00:00:00"/>
    <n v="14.742928240739275"/>
    <x v="0"/>
    <x v="11"/>
    <n v="7.7429282407392748"/>
    <x v="11"/>
  </r>
  <r>
    <n v="1001"/>
    <s v="1001111"/>
    <d v="2023-09-18T06:10:11"/>
    <s v="type40"/>
    <n v="1190.2"/>
    <x v="1"/>
    <d v="2023-09-25T06:10:11"/>
    <x v="3"/>
    <d v="2023-10-03T00:00:00"/>
    <n v="14.742928240739275"/>
    <x v="0"/>
    <x v="11"/>
    <n v="7.7429282407392748"/>
    <x v="11"/>
  </r>
  <r>
    <n v="1031"/>
    <s v="1031111"/>
    <d v="2023-09-16T06:10:11"/>
    <s v="type40"/>
    <n v="-668.65"/>
    <x v="6"/>
    <d v="2023-09-23T06:10:11"/>
    <x v="4"/>
    <d v="2023-10-03T00:00:00"/>
    <n v="16.742928240739275"/>
    <x v="0"/>
    <x v="3"/>
    <n v="9.7429282407392748"/>
    <x v="3"/>
  </r>
  <r>
    <n v="1000"/>
    <s v="1000111"/>
    <d v="2023-09-22T06:10:11"/>
    <s v="type40"/>
    <n v="505.12"/>
    <x v="5"/>
    <d v="2023-09-27T06:10:11"/>
    <x v="3"/>
    <d v="2023-10-03T00:00:00"/>
    <n v="10.742928240739275"/>
    <x v="0"/>
    <x v="12"/>
    <n v="5.7429282407392748"/>
    <x v="12"/>
  </r>
  <r>
    <n v="1001"/>
    <s v="1001111"/>
    <d v="2023-09-15T06:10:11"/>
    <s v="type40"/>
    <n v="-950.79"/>
    <x v="4"/>
    <d v="2023-09-16T06:10:11"/>
    <x v="3"/>
    <d v="2023-10-03T00:00:00"/>
    <n v="17.742928240739275"/>
    <x v="0"/>
    <x v="2"/>
    <n v="16.742928240739275"/>
    <x v="2"/>
  </r>
  <r>
    <n v="1030"/>
    <s v="1030111"/>
    <d v="2023-09-20T06:10:11"/>
    <s v="type35"/>
    <n v="2780.92"/>
    <x v="4"/>
    <d v="2023-09-21T06:10:11"/>
    <x v="4"/>
    <d v="2023-10-03T00:00:00"/>
    <n v="12.742928240739275"/>
    <x v="0"/>
    <x v="1"/>
    <n v="11.742928240739275"/>
    <x v="1"/>
  </r>
  <r>
    <n v="1016"/>
    <s v="1016111"/>
    <d v="2023-09-22T06:10:11"/>
    <s v="type40"/>
    <n v="50.57"/>
    <x v="4"/>
    <d v="2023-09-23T06:10:11"/>
    <x v="2"/>
    <d v="2023-10-03T00:00:00"/>
    <n v="10.742928240739275"/>
    <x v="0"/>
    <x v="3"/>
    <n v="9.7429282407392748"/>
    <x v="3"/>
  </r>
  <r>
    <n v="1006"/>
    <s v="1006111"/>
    <d v="2023-09-21T06:10:11"/>
    <s v="type7"/>
    <n v="-1732.94"/>
    <x v="2"/>
    <d v="2023-09-22T06:10:11"/>
    <x v="1"/>
    <d v="2023-10-03T00:00:00"/>
    <n v="11.742928240739275"/>
    <x v="0"/>
    <x v="10"/>
    <n v="10.742928240739275"/>
    <x v="10"/>
  </r>
  <r>
    <n v="1022"/>
    <s v="1022111"/>
    <d v="2023-09-20T06:10:11"/>
    <s v="type40"/>
    <n v="-617.61"/>
    <x v="4"/>
    <d v="2023-09-21T06:10:11"/>
    <x v="0"/>
    <d v="2023-10-03T00:00:00"/>
    <n v="12.742928240739275"/>
    <x v="0"/>
    <x v="1"/>
    <n v="11.742928240739275"/>
    <x v="1"/>
  </r>
  <r>
    <n v="1027"/>
    <s v="1027111"/>
    <d v="2023-09-19T06:10:11"/>
    <s v="type40"/>
    <n v="-3289.92"/>
    <x v="6"/>
    <d v="2023-09-20T06:10:11"/>
    <x v="5"/>
    <d v="2023-10-03T00:00:00"/>
    <n v="13.742928240739275"/>
    <x v="0"/>
    <x v="9"/>
    <n v="12.742928240739275"/>
    <x v="9"/>
  </r>
  <r>
    <n v="1035"/>
    <s v="1035111"/>
    <d v="2023-09-18T06:10:11"/>
    <s v="type40"/>
    <n v="486.48"/>
    <x v="5"/>
    <d v="2023-09-23T06:10:11"/>
    <x v="4"/>
    <d v="2023-10-03T00:00:00"/>
    <n v="14.742928240739275"/>
    <x v="0"/>
    <x v="3"/>
    <n v="9.7429282407392748"/>
    <x v="3"/>
  </r>
  <r>
    <n v="1002"/>
    <s v="1002111"/>
    <d v="2023-09-20T06:10:11"/>
    <s v="type40"/>
    <n v="-1071.5899999999999"/>
    <x v="6"/>
    <d v="2023-09-21T06:10:11"/>
    <x v="3"/>
    <d v="2023-10-03T00:00:00"/>
    <n v="12.742928240739275"/>
    <x v="0"/>
    <x v="1"/>
    <n v="11.742928240739275"/>
    <x v="1"/>
  </r>
  <r>
    <n v="1011"/>
    <s v="1011111"/>
    <d v="2023-09-27T06:10:11"/>
    <s v="type40"/>
    <n v="707.41"/>
    <x v="1"/>
    <d v="2023-10-04T06:10:11"/>
    <x v="1"/>
    <d v="2023-10-03T00:00:00"/>
    <n v="5.7429282407392748"/>
    <x v="2"/>
    <x v="23"/>
    <n v="-1.2570717592607252"/>
    <x v="23"/>
  </r>
  <r>
    <n v="1024"/>
    <s v="1024111"/>
    <d v="2023-09-11T06:10:11"/>
    <s v="type15"/>
    <n v="-8378.0499999999993"/>
    <x v="5"/>
    <d v="2023-09-12T06:10:11"/>
    <x v="5"/>
    <d v="2023-10-03T00:00:00"/>
    <n v="21.742928240739275"/>
    <x v="0"/>
    <x v="18"/>
    <n v="20.742928240739275"/>
    <x v="18"/>
  </r>
  <r>
    <n v="1001"/>
    <s v="1001111"/>
    <d v="2023-09-22T06:10:11"/>
    <s v="type40"/>
    <n v="-787.72"/>
    <x v="6"/>
    <d v="2023-09-23T06:10:11"/>
    <x v="3"/>
    <d v="2023-10-03T00:00:00"/>
    <n v="10.742928240739275"/>
    <x v="0"/>
    <x v="3"/>
    <n v="9.7429282407392748"/>
    <x v="3"/>
  </r>
  <r>
    <n v="1023"/>
    <s v="1023111"/>
    <d v="2023-09-15T06:10:11"/>
    <s v="type40"/>
    <n v="-1805.33"/>
    <x v="6"/>
    <d v="2023-09-17T06:10:11"/>
    <x v="0"/>
    <d v="2023-10-03T00:00:00"/>
    <n v="17.742928240739275"/>
    <x v="0"/>
    <x v="4"/>
    <n v="15.742928240739275"/>
    <x v="4"/>
  </r>
  <r>
    <n v="1024"/>
    <s v="1024111"/>
    <d v="2023-09-21T06:10:11"/>
    <s v="type40"/>
    <n v="2369.4299999999998"/>
    <x v="4"/>
    <d v="2023-09-22T06:10:11"/>
    <x v="5"/>
    <d v="2023-10-03T00:00:00"/>
    <n v="11.742928240739275"/>
    <x v="0"/>
    <x v="10"/>
    <n v="10.742928240739275"/>
    <x v="10"/>
  </r>
  <r>
    <n v="1021"/>
    <s v="1021111"/>
    <d v="2023-09-12T06:10:11"/>
    <s v="type40"/>
    <n v="2453.7399999999998"/>
    <x v="2"/>
    <d v="2023-09-14T06:10:11"/>
    <x v="0"/>
    <d v="2023-10-03T00:00:00"/>
    <n v="20.742928240739275"/>
    <x v="0"/>
    <x v="20"/>
    <n v="18.742928240739275"/>
    <x v="20"/>
  </r>
  <r>
    <n v="1024"/>
    <s v="1024111"/>
    <d v="2023-09-13T06:10:11"/>
    <s v="type29"/>
    <n v="648955.57999999996"/>
    <x v="1"/>
    <d v="2023-09-14T06:10:11"/>
    <x v="5"/>
    <d v="2023-10-03T00:00:00"/>
    <n v="19.742928240739275"/>
    <x v="0"/>
    <x v="20"/>
    <n v="18.742928240739275"/>
    <x v="20"/>
  </r>
  <r>
    <n v="1006"/>
    <s v="1006111"/>
    <d v="2023-09-21T06:10:11"/>
    <s v="type40"/>
    <n v="-472.45"/>
    <x v="4"/>
    <d v="2023-09-22T06:10:11"/>
    <x v="1"/>
    <d v="2023-10-03T00:00:00"/>
    <n v="11.742928240739275"/>
    <x v="0"/>
    <x v="10"/>
    <n v="10.742928240739275"/>
    <x v="10"/>
  </r>
  <r>
    <n v="1020"/>
    <s v="1020111"/>
    <d v="2023-09-14T06:10:11"/>
    <s v="type40"/>
    <n v="20"/>
    <x v="1"/>
    <d v="2023-09-15T06:10:11"/>
    <x v="0"/>
    <d v="2023-10-03T00:00:00"/>
    <n v="18.742928240739275"/>
    <x v="0"/>
    <x v="0"/>
    <n v="17.742928240739275"/>
    <x v="0"/>
  </r>
  <r>
    <n v="1002"/>
    <s v="1002111"/>
    <d v="2023-09-13T06:10:11"/>
    <s v="type7"/>
    <n v="-1598.83"/>
    <x v="5"/>
    <d v="2023-09-14T06:10:11"/>
    <x v="3"/>
    <d v="2023-10-03T00:00:00"/>
    <n v="19.742928240739275"/>
    <x v="0"/>
    <x v="20"/>
    <n v="18.742928240739275"/>
    <x v="20"/>
  </r>
  <r>
    <n v="1020"/>
    <s v="1020111"/>
    <d v="2023-09-23T06:10:11"/>
    <s v="type40"/>
    <n v="-34693.279999999999"/>
    <x v="4"/>
    <d v="2023-09-25T06:10:11"/>
    <x v="0"/>
    <d v="2023-10-03T00:00:00"/>
    <n v="9.7429282407392748"/>
    <x v="0"/>
    <x v="11"/>
    <n v="7.7429282407392748"/>
    <x v="11"/>
  </r>
  <r>
    <n v="1023"/>
    <s v="1023111"/>
    <d v="2023-09-22T06:10:11"/>
    <s v="type13"/>
    <n v="28588.39"/>
    <x v="5"/>
    <d v="2023-09-24T06:10:11"/>
    <x v="0"/>
    <d v="2023-10-03T00:00:00"/>
    <n v="10.742928240739275"/>
    <x v="0"/>
    <x v="5"/>
    <n v="8.7429282407392748"/>
    <x v="5"/>
  </r>
  <r>
    <n v="1007"/>
    <s v="1007111"/>
    <d v="2023-09-15T06:10:11"/>
    <s v="type40"/>
    <n v="788.1"/>
    <x v="2"/>
    <d v="2023-09-17T06:10:11"/>
    <x v="1"/>
    <d v="2023-10-03T00:00:00"/>
    <n v="17.742928240739275"/>
    <x v="0"/>
    <x v="4"/>
    <n v="15.742928240739275"/>
    <x v="4"/>
  </r>
  <r>
    <n v="1005"/>
    <s v="1005111"/>
    <d v="2023-09-13T06:10:11"/>
    <s v="type40"/>
    <n v="-574.41999999999996"/>
    <x v="4"/>
    <d v="2023-09-15T06:10:11"/>
    <x v="3"/>
    <d v="2023-10-03T00:00:00"/>
    <n v="19.742928240739275"/>
    <x v="0"/>
    <x v="0"/>
    <n v="17.742928240739275"/>
    <x v="0"/>
  </r>
  <r>
    <n v="1026"/>
    <s v="1026111"/>
    <d v="2023-09-17T06:10:11"/>
    <s v="type40"/>
    <n v="-1338.38"/>
    <x v="6"/>
    <d v="2023-09-22T06:10:11"/>
    <x v="5"/>
    <d v="2023-10-03T00:00:00"/>
    <n v="15.742928240739275"/>
    <x v="0"/>
    <x v="10"/>
    <n v="10.742928240739275"/>
    <x v="10"/>
  </r>
  <r>
    <n v="1034"/>
    <s v="1034111"/>
    <d v="2023-09-18T06:10:11"/>
    <s v="type8"/>
    <n v="68.92"/>
    <x v="3"/>
    <d v="2023-09-19T06:10:11"/>
    <x v="4"/>
    <d v="2023-10-03T00:00:00"/>
    <n v="14.742928240739275"/>
    <x v="0"/>
    <x v="19"/>
    <n v="13.742928240739275"/>
    <x v="19"/>
  </r>
  <r>
    <n v="1005"/>
    <s v="1005111"/>
    <d v="2023-09-18T06:10:11"/>
    <s v="type40"/>
    <n v="3021.02"/>
    <x v="5"/>
    <d v="2023-09-20T06:10:11"/>
    <x v="3"/>
    <d v="2023-10-03T00:00:00"/>
    <n v="14.742928240739275"/>
    <x v="0"/>
    <x v="9"/>
    <n v="12.742928240739275"/>
    <x v="9"/>
  </r>
  <r>
    <n v="1014"/>
    <s v="1014111"/>
    <d v="2023-09-17T06:10:11"/>
    <s v="type13"/>
    <n v="26434.68"/>
    <x v="2"/>
    <d v="2023-09-19T06:10:11"/>
    <x v="2"/>
    <d v="2023-10-03T00:00:00"/>
    <n v="15.742928240739275"/>
    <x v="0"/>
    <x v="19"/>
    <n v="13.742928240739275"/>
    <x v="19"/>
  </r>
  <r>
    <n v="1007"/>
    <s v="1007111"/>
    <d v="2023-09-20T06:10:11"/>
    <s v="type18"/>
    <n v="328.44"/>
    <x v="3"/>
    <d v="2023-09-21T06:10:11"/>
    <x v="1"/>
    <d v="2023-10-03T00:00:00"/>
    <n v="12.742928240739275"/>
    <x v="0"/>
    <x v="1"/>
    <n v="11.742928240739275"/>
    <x v="1"/>
  </r>
  <r>
    <n v="1029"/>
    <s v="1029111"/>
    <d v="2023-09-21T06:10:11"/>
    <s v="type30"/>
    <n v="877.99"/>
    <x v="3"/>
    <d v="2023-09-22T06:10:11"/>
    <x v="5"/>
    <d v="2023-10-03T00:00:00"/>
    <n v="11.742928240739275"/>
    <x v="0"/>
    <x v="10"/>
    <n v="10.742928240739275"/>
    <x v="10"/>
  </r>
  <r>
    <n v="1001"/>
    <s v="1001111"/>
    <d v="2023-09-20T06:10:11"/>
    <s v="type40"/>
    <n v="318.27999999999997"/>
    <x v="5"/>
    <d v="2023-09-22T06:10:11"/>
    <x v="3"/>
    <d v="2023-10-03T00:00:00"/>
    <n v="12.742928240739275"/>
    <x v="0"/>
    <x v="10"/>
    <n v="10.742928240739275"/>
    <x v="10"/>
  </r>
  <r>
    <n v="1034"/>
    <s v="1034111"/>
    <d v="2023-09-22T06:10:11"/>
    <s v="type40"/>
    <n v="4.1100000000000003"/>
    <x v="3"/>
    <d v="2023-09-24T06:10:11"/>
    <x v="4"/>
    <d v="2023-10-03T00:00:00"/>
    <n v="10.742928240739275"/>
    <x v="0"/>
    <x v="5"/>
    <n v="8.7429282407392748"/>
    <x v="5"/>
  </r>
  <r>
    <n v="1003"/>
    <s v="1003111"/>
    <d v="2023-09-21T06:10:11"/>
    <s v="type40"/>
    <n v="20"/>
    <x v="5"/>
    <d v="2023-09-23T06:10:11"/>
    <x v="3"/>
    <d v="2023-10-03T00:00:00"/>
    <n v="11.742928240739275"/>
    <x v="0"/>
    <x v="3"/>
    <n v="9.7429282407392748"/>
    <x v="3"/>
  </r>
  <r>
    <n v="1020"/>
    <s v="1020111"/>
    <d v="2023-09-24T06:10:11"/>
    <s v="type4"/>
    <n v="6"/>
    <x v="3"/>
    <d v="2023-09-26T06:10:11"/>
    <x v="0"/>
    <d v="2023-10-03T00:00:00"/>
    <n v="8.7429282407392748"/>
    <x v="1"/>
    <x v="7"/>
    <n v="6.7429282407392748"/>
    <x v="7"/>
  </r>
  <r>
    <n v="1022"/>
    <s v="1022111"/>
    <d v="2023-09-25T06:10:11"/>
    <s v="type40"/>
    <n v="-3566.6"/>
    <x v="1"/>
    <d v="2023-09-27T06:10:11"/>
    <x v="0"/>
    <d v="2023-10-03T00:00:00"/>
    <n v="7.7429282407392748"/>
    <x v="1"/>
    <x v="12"/>
    <n v="5.7429282407392748"/>
    <x v="12"/>
  </r>
  <r>
    <n v="1015"/>
    <s v="1015111"/>
    <d v="2023-09-18T06:10:11"/>
    <s v="type40"/>
    <n v="-1954.31"/>
    <x v="2"/>
    <d v="2023-09-20T06:10:11"/>
    <x v="2"/>
    <d v="2023-10-03T00:00:00"/>
    <n v="14.742928240739275"/>
    <x v="0"/>
    <x v="9"/>
    <n v="12.742928240739275"/>
    <x v="9"/>
  </r>
  <r>
    <n v="1033"/>
    <s v="1033111"/>
    <d v="2023-09-27T06:10:11"/>
    <s v="type26"/>
    <n v="4163.93"/>
    <x v="3"/>
    <d v="2023-09-29T06:10:11"/>
    <x v="4"/>
    <d v="2023-10-03T00:00:00"/>
    <n v="5.7429282407392748"/>
    <x v="2"/>
    <x v="13"/>
    <n v="3.7429282407392748"/>
    <x v="13"/>
  </r>
  <r>
    <n v="1001"/>
    <s v="1001111"/>
    <d v="2023-09-21T06:10:11"/>
    <s v="type40"/>
    <n v="392.12"/>
    <x v="6"/>
    <d v="2023-09-26T06:10:11"/>
    <x v="3"/>
    <d v="2023-10-03T00:00:00"/>
    <n v="11.742928240739275"/>
    <x v="0"/>
    <x v="7"/>
    <n v="6.7429282407392748"/>
    <x v="7"/>
  </r>
  <r>
    <n v="1018"/>
    <s v="1018111"/>
    <d v="2023-09-16T06:10:11"/>
    <s v="type40"/>
    <n v="-383.52"/>
    <x v="2"/>
    <d v="2023-09-23T06:10:11"/>
    <x v="0"/>
    <d v="2023-10-03T00:00:00"/>
    <n v="16.742928240739275"/>
    <x v="0"/>
    <x v="3"/>
    <n v="9.7429282407392748"/>
    <x v="3"/>
  </r>
  <r>
    <n v="1017"/>
    <s v="1017111"/>
    <d v="2023-09-17T06:10:11"/>
    <s v="type13"/>
    <n v="31458.59"/>
    <x v="1"/>
    <d v="2023-09-19T06:10:11"/>
    <x v="2"/>
    <d v="2023-10-03T00:00:00"/>
    <n v="15.742928240739275"/>
    <x v="0"/>
    <x v="19"/>
    <n v="13.742928240739275"/>
    <x v="19"/>
  </r>
  <r>
    <n v="1025"/>
    <s v="1025111"/>
    <d v="2023-09-18T06:10:11"/>
    <s v="type22"/>
    <n v="549.66"/>
    <x v="6"/>
    <d v="2023-09-25T06:10:11"/>
    <x v="5"/>
    <d v="2023-10-03T00:00:00"/>
    <n v="14.742928240739275"/>
    <x v="0"/>
    <x v="11"/>
    <n v="7.7429282407392748"/>
    <x v="11"/>
  </r>
  <r>
    <n v="1021"/>
    <s v="1021111"/>
    <d v="2023-09-23T06:10:11"/>
    <s v="type2"/>
    <n v="1132"/>
    <x v="5"/>
    <d v="2023-09-25T06:10:11"/>
    <x v="0"/>
    <d v="2023-10-03T00:00:00"/>
    <n v="9.7429282407392748"/>
    <x v="0"/>
    <x v="11"/>
    <n v="7.7429282407392748"/>
    <x v="11"/>
  </r>
  <r>
    <n v="1030"/>
    <s v="1030111"/>
    <d v="2023-09-20T06:10:11"/>
    <s v="type40"/>
    <n v="-1110.01"/>
    <x v="2"/>
    <d v="2023-09-27T06:10:11"/>
    <x v="4"/>
    <d v="2023-10-03T00:00:00"/>
    <n v="12.742928240739275"/>
    <x v="0"/>
    <x v="12"/>
    <n v="5.7429282407392748"/>
    <x v="12"/>
  </r>
  <r>
    <n v="1030"/>
    <s v="1030111"/>
    <d v="2023-09-20T06:10:11"/>
    <s v="type54"/>
    <n v="-236.73"/>
    <x v="3"/>
    <d v="2023-09-22T06:10:11"/>
    <x v="4"/>
    <d v="2023-10-03T00:00:00"/>
    <n v="12.742928240739275"/>
    <x v="0"/>
    <x v="10"/>
    <n v="10.742928240739275"/>
    <x v="10"/>
  </r>
  <r>
    <n v="1018"/>
    <s v="1018111"/>
    <d v="2023-09-19T06:10:11"/>
    <s v="type40"/>
    <n v="-344.78"/>
    <x v="4"/>
    <d v="2023-09-21T06:10:11"/>
    <x v="0"/>
    <d v="2023-10-03T00:00:00"/>
    <n v="13.742928240739275"/>
    <x v="0"/>
    <x v="1"/>
    <n v="11.742928240739275"/>
    <x v="1"/>
  </r>
  <r>
    <n v="1022"/>
    <s v="1022111"/>
    <d v="2023-09-16T06:10:11"/>
    <s v="type23"/>
    <n v="697.21"/>
    <x v="5"/>
    <d v="2023-09-21T06:10:11"/>
    <x v="0"/>
    <d v="2023-10-03T00:00:00"/>
    <n v="16.742928240739275"/>
    <x v="0"/>
    <x v="1"/>
    <n v="11.742928240739275"/>
    <x v="1"/>
  </r>
  <r>
    <n v="1021"/>
    <s v="1021111"/>
    <d v="2023-09-11T06:10:11"/>
    <s v="type27"/>
    <n v="2792.18"/>
    <x v="2"/>
    <d v="2023-09-18T06:10:11"/>
    <x v="0"/>
    <d v="2023-10-03T00:00:00"/>
    <n v="21.742928240739275"/>
    <x v="0"/>
    <x v="6"/>
    <n v="14.742928240739275"/>
    <x v="6"/>
  </r>
  <r>
    <n v="1019"/>
    <s v="1019111"/>
    <d v="2023-09-20T06:10:11"/>
    <s v="type40"/>
    <n v="586.80999999999995"/>
    <x v="4"/>
    <d v="2023-09-22T06:10:11"/>
    <x v="0"/>
    <d v="2023-10-03T00:00:00"/>
    <n v="12.742928240739275"/>
    <x v="0"/>
    <x v="10"/>
    <n v="10.742928240739275"/>
    <x v="10"/>
  </r>
  <r>
    <n v="1020"/>
    <s v="1020111"/>
    <d v="2023-09-23T06:10:11"/>
    <s v="type40"/>
    <n v="610.82000000000005"/>
    <x v="3"/>
    <d v="2023-09-25T06:10:11"/>
    <x v="0"/>
    <d v="2023-10-03T00:00:00"/>
    <n v="9.7429282407392748"/>
    <x v="0"/>
    <x v="11"/>
    <n v="7.7429282407392748"/>
    <x v="11"/>
  </r>
  <r>
    <n v="1000"/>
    <s v="1000111"/>
    <d v="2023-09-24T06:10:11"/>
    <s v="type40"/>
    <n v="1111.3399999999999"/>
    <x v="3"/>
    <d v="2023-09-26T06:10:11"/>
    <x v="3"/>
    <d v="2023-10-03T00:00:00"/>
    <n v="8.7429282407392748"/>
    <x v="1"/>
    <x v="7"/>
    <n v="6.7429282407392748"/>
    <x v="7"/>
  </r>
  <r>
    <n v="1033"/>
    <s v="1033111"/>
    <d v="2023-09-14T06:10:11"/>
    <s v="type32"/>
    <n v="1261.44"/>
    <x v="2"/>
    <d v="2023-09-15T06:10:11"/>
    <x v="4"/>
    <d v="2023-10-03T00:00:00"/>
    <n v="18.742928240739275"/>
    <x v="0"/>
    <x v="0"/>
    <n v="17.742928240739275"/>
    <x v="0"/>
  </r>
  <r>
    <n v="1010"/>
    <s v="1010111"/>
    <d v="2023-09-26T06:10:11"/>
    <s v="type40"/>
    <n v="-908.23"/>
    <x v="3"/>
    <d v="2023-09-28T06:10:11"/>
    <x v="1"/>
    <d v="2023-10-03T00:00:00"/>
    <n v="6.7429282407392748"/>
    <x v="1"/>
    <x v="8"/>
    <n v="4.7429282407392748"/>
    <x v="8"/>
  </r>
  <r>
    <n v="1010"/>
    <s v="1010111"/>
    <d v="2023-09-16T06:10:11"/>
    <s v="type5"/>
    <n v="612"/>
    <x v="2"/>
    <d v="2023-09-17T06:10:11"/>
    <x v="1"/>
    <d v="2023-10-03T00:00:00"/>
    <n v="16.742928240739275"/>
    <x v="0"/>
    <x v="4"/>
    <n v="15.742928240739275"/>
    <x v="4"/>
  </r>
  <r>
    <n v="1011"/>
    <s v="1011111"/>
    <d v="2023-09-18T06:10:11"/>
    <s v="type40"/>
    <n v="690.26"/>
    <x v="2"/>
    <d v="2023-09-19T06:10:11"/>
    <x v="1"/>
    <d v="2023-10-03T00:00:00"/>
    <n v="14.742928240739275"/>
    <x v="0"/>
    <x v="19"/>
    <n v="13.742928240739275"/>
    <x v="19"/>
  </r>
  <r>
    <n v="1032"/>
    <s v="1032111"/>
    <d v="2023-09-18T06:10:11"/>
    <s v="type41"/>
    <n v="631.17999999999995"/>
    <x v="5"/>
    <d v="2023-09-23T06:10:11"/>
    <x v="4"/>
    <d v="2023-10-03T00:00:00"/>
    <n v="14.742928240739275"/>
    <x v="0"/>
    <x v="3"/>
    <n v="9.7429282407392748"/>
    <x v="3"/>
  </r>
  <r>
    <n v="1018"/>
    <s v="1018111"/>
    <d v="2023-09-11T06:10:11"/>
    <s v="type40"/>
    <n v="-987.52"/>
    <x v="1"/>
    <d v="2023-09-16T06:10:11"/>
    <x v="0"/>
    <d v="2023-10-03T00:00:00"/>
    <n v="21.742928240739275"/>
    <x v="0"/>
    <x v="2"/>
    <n v="16.742928240739275"/>
    <x v="2"/>
  </r>
  <r>
    <n v="1013"/>
    <s v="1013111"/>
    <d v="2023-09-12T06:10:11"/>
    <s v="type40"/>
    <n v="338.58"/>
    <x v="3"/>
    <d v="2023-09-17T06:10:11"/>
    <x v="2"/>
    <d v="2023-10-03T00:00:00"/>
    <n v="20.742928240739275"/>
    <x v="0"/>
    <x v="4"/>
    <n v="15.742928240739275"/>
    <x v="4"/>
  </r>
  <r>
    <n v="1001"/>
    <s v="1001111"/>
    <d v="2023-09-13T06:10:11"/>
    <s v="type26"/>
    <n v="132.99"/>
    <x v="1"/>
    <d v="2023-09-18T06:10:11"/>
    <x v="3"/>
    <d v="2023-10-03T00:00:00"/>
    <n v="19.742928240739275"/>
    <x v="0"/>
    <x v="6"/>
    <n v="14.742928240739275"/>
    <x v="6"/>
  </r>
  <r>
    <n v="1003"/>
    <s v="1003111"/>
    <d v="2023-09-21T06:10:11"/>
    <s v="type38"/>
    <n v="203.58"/>
    <x v="4"/>
    <d v="2023-09-26T06:10:11"/>
    <x v="3"/>
    <d v="2023-10-03T00:00:00"/>
    <n v="11.742928240739275"/>
    <x v="0"/>
    <x v="7"/>
    <n v="6.7429282407392748"/>
    <x v="7"/>
  </r>
  <r>
    <n v="1008"/>
    <s v="1008111"/>
    <d v="2023-09-19T06:10:11"/>
    <s v="type40"/>
    <n v="-378.73"/>
    <x v="6"/>
    <d v="2023-09-26T06:10:11"/>
    <x v="1"/>
    <d v="2023-10-03T00:00:00"/>
    <n v="13.742928240739275"/>
    <x v="0"/>
    <x v="7"/>
    <n v="6.7429282407392748"/>
    <x v="7"/>
  </r>
  <r>
    <n v="1032"/>
    <s v="1032111"/>
    <d v="2023-09-11T06:10:11"/>
    <s v="type40"/>
    <n v="-352.72"/>
    <x v="6"/>
    <d v="2023-09-12T06:10:11"/>
    <x v="4"/>
    <d v="2023-10-03T00:00:00"/>
    <n v="21.742928240739275"/>
    <x v="0"/>
    <x v="18"/>
    <n v="20.742928240739275"/>
    <x v="18"/>
  </r>
  <r>
    <n v="1029"/>
    <s v="1029111"/>
    <d v="2023-09-12T06:10:11"/>
    <s v="type40"/>
    <n v="-50"/>
    <x v="6"/>
    <d v="2023-09-13T06:10:11"/>
    <x v="5"/>
    <d v="2023-10-03T00:00:00"/>
    <n v="20.742928240739275"/>
    <x v="0"/>
    <x v="24"/>
    <n v="19.742928240739275"/>
    <x v="24"/>
  </r>
  <r>
    <n v="1027"/>
    <s v="1027111"/>
    <d v="2023-09-14T06:10:11"/>
    <s v="type29"/>
    <n v="357.23"/>
    <x v="6"/>
    <d v="2023-09-15T06:10:11"/>
    <x v="5"/>
    <d v="2023-10-03T00:00:00"/>
    <n v="18.742928240739275"/>
    <x v="0"/>
    <x v="0"/>
    <n v="17.742928240739275"/>
    <x v="0"/>
  </r>
  <r>
    <n v="1024"/>
    <s v="1024111"/>
    <d v="2023-09-21T06:10:11"/>
    <s v="type40"/>
    <n v="-869.53"/>
    <x v="4"/>
    <d v="2023-09-28T06:10:11"/>
    <x v="5"/>
    <d v="2023-10-03T00:00:00"/>
    <n v="11.742928240739275"/>
    <x v="0"/>
    <x v="8"/>
    <n v="4.7429282407392748"/>
    <x v="8"/>
  </r>
  <r>
    <n v="1012"/>
    <s v="1012111"/>
    <d v="2023-09-16T06:10:11"/>
    <s v="type40"/>
    <n v="10"/>
    <x v="1"/>
    <d v="2023-09-23T06:10:11"/>
    <x v="2"/>
    <d v="2023-10-03T00:00:00"/>
    <n v="16.742928240739275"/>
    <x v="0"/>
    <x v="3"/>
    <n v="9.7429282407392748"/>
    <x v="3"/>
  </r>
  <r>
    <n v="1034"/>
    <s v="1034111"/>
    <d v="2023-09-20T06:10:11"/>
    <s v="type17"/>
    <n v="317.62"/>
    <x v="5"/>
    <d v="2023-09-27T06:10:11"/>
    <x v="4"/>
    <d v="2023-10-03T00:00:00"/>
    <n v="12.742928240739275"/>
    <x v="0"/>
    <x v="12"/>
    <n v="5.7429282407392748"/>
    <x v="12"/>
  </r>
  <r>
    <n v="1012"/>
    <s v="1012111"/>
    <d v="2023-09-21T06:10:11"/>
    <s v="type13"/>
    <n v="26584.84"/>
    <x v="6"/>
    <d v="2023-09-23T06:10:11"/>
    <x v="2"/>
    <d v="2023-10-03T00:00:00"/>
    <n v="11.742928240739275"/>
    <x v="0"/>
    <x v="3"/>
    <n v="9.7429282407392748"/>
    <x v="3"/>
  </r>
  <r>
    <n v="1034"/>
    <s v="1034111"/>
    <d v="2023-09-22T06:10:11"/>
    <s v="type40"/>
    <n v="-3442.18"/>
    <x v="4"/>
    <d v="2023-09-29T06:10:11"/>
    <x v="4"/>
    <d v="2023-10-03T00:00:00"/>
    <n v="10.742928240739275"/>
    <x v="0"/>
    <x v="13"/>
    <n v="3.7429282407392748"/>
    <x v="13"/>
  </r>
  <r>
    <n v="1011"/>
    <s v="1011111"/>
    <d v="2023-09-20T06:10:11"/>
    <s v="type13"/>
    <n v="28663.07"/>
    <x v="5"/>
    <d v="2023-09-27T06:10:11"/>
    <x v="1"/>
    <d v="2023-10-03T00:00:00"/>
    <n v="12.742928240739275"/>
    <x v="0"/>
    <x v="12"/>
    <n v="5.7429282407392748"/>
    <x v="12"/>
  </r>
  <r>
    <n v="1015"/>
    <s v="1015111"/>
    <d v="2023-09-19T06:10:11"/>
    <s v="type40"/>
    <n v="-444.38"/>
    <x v="2"/>
    <d v="2023-09-20T06:10:11"/>
    <x v="2"/>
    <d v="2023-10-03T00:00:00"/>
    <n v="13.742928240739275"/>
    <x v="0"/>
    <x v="9"/>
    <n v="12.742928240739275"/>
    <x v="9"/>
  </r>
  <r>
    <n v="1021"/>
    <s v="1021111"/>
    <d v="2023-09-20T06:10:11"/>
    <s v="type26"/>
    <n v="155.97"/>
    <x v="1"/>
    <d v="2023-09-27T06:10:11"/>
    <x v="0"/>
    <d v="2023-10-03T00:00:00"/>
    <n v="12.742928240739275"/>
    <x v="0"/>
    <x v="12"/>
    <n v="5.7429282407392748"/>
    <x v="12"/>
  </r>
  <r>
    <n v="1033"/>
    <s v="1033111"/>
    <d v="2023-09-21T06:10:11"/>
    <s v="type40"/>
    <n v="-985.12"/>
    <x v="6"/>
    <d v="2023-09-23T06:10:11"/>
    <x v="4"/>
    <d v="2023-10-03T00:00:00"/>
    <n v="11.742928240739275"/>
    <x v="0"/>
    <x v="3"/>
    <n v="9.7429282407392748"/>
    <x v="3"/>
  </r>
  <r>
    <n v="1011"/>
    <s v="1011111"/>
    <d v="2023-09-23T06:10:11"/>
    <s v="type32"/>
    <n v="1911.87"/>
    <x v="6"/>
    <d v="2023-09-25T06:10:11"/>
    <x v="1"/>
    <d v="2023-10-03T00:00:00"/>
    <n v="9.7429282407392748"/>
    <x v="0"/>
    <x v="11"/>
    <n v="7.7429282407392748"/>
    <x v="11"/>
  </r>
  <r>
    <n v="1032"/>
    <s v="1032111"/>
    <d v="2023-09-22T06:10:11"/>
    <s v="type32"/>
    <n v="748.98"/>
    <x v="3"/>
    <d v="2023-09-29T06:10:11"/>
    <x v="4"/>
    <d v="2023-10-03T00:00:00"/>
    <n v="10.742928240739275"/>
    <x v="0"/>
    <x v="13"/>
    <n v="3.7429282407392748"/>
    <x v="13"/>
  </r>
  <r>
    <n v="1004"/>
    <s v="1004111"/>
    <d v="2023-09-21T06:10:11"/>
    <s v="type40"/>
    <n v="2725.21"/>
    <x v="2"/>
    <d v="2023-09-23T06:10:11"/>
    <x v="3"/>
    <d v="2023-10-03T00:00:00"/>
    <n v="11.742928240739275"/>
    <x v="0"/>
    <x v="3"/>
    <n v="9.7429282407392748"/>
    <x v="3"/>
  </r>
  <r>
    <n v="1033"/>
    <s v="1033111"/>
    <d v="2023-09-21T06:10:11"/>
    <s v="type13"/>
    <n v="22822.06"/>
    <x v="5"/>
    <d v="2023-09-28T06:10:11"/>
    <x v="4"/>
    <d v="2023-10-03T00:00:00"/>
    <n v="11.742928240739275"/>
    <x v="0"/>
    <x v="8"/>
    <n v="4.7429282407392748"/>
    <x v="8"/>
  </r>
  <r>
    <n v="1021"/>
    <s v="1021111"/>
    <d v="2023-09-21T06:10:11"/>
    <s v="type40"/>
    <n v="346.88"/>
    <x v="4"/>
    <d v="2023-09-22T06:10:11"/>
    <x v="0"/>
    <d v="2023-10-03T00:00:00"/>
    <n v="11.742928240739275"/>
    <x v="0"/>
    <x v="10"/>
    <n v="10.742928240739275"/>
    <x v="10"/>
  </r>
  <r>
    <n v="1001"/>
    <s v="1001111"/>
    <d v="2023-09-11T06:10:11"/>
    <s v="type13"/>
    <n v="21120.77"/>
    <x v="5"/>
    <d v="2023-09-12T06:10:11"/>
    <x v="3"/>
    <d v="2023-10-03T00:00:00"/>
    <n v="21.742928240739275"/>
    <x v="0"/>
    <x v="18"/>
    <n v="20.742928240739275"/>
    <x v="18"/>
  </r>
  <r>
    <n v="1004"/>
    <s v="1004111"/>
    <d v="2023-09-10T06:10:11"/>
    <s v="type40"/>
    <n v="932.91"/>
    <x v="5"/>
    <d v="2023-09-11T06:10:11"/>
    <x v="3"/>
    <d v="2023-10-03T00:00:00"/>
    <n v="22.742928240739275"/>
    <x v="0"/>
    <x v="21"/>
    <n v="21.742928240739275"/>
    <x v="21"/>
  </r>
  <r>
    <n v="1011"/>
    <s v="1011111"/>
    <d v="2023-09-28T06:10:11"/>
    <s v="type13"/>
    <n v="23353.99"/>
    <x v="1"/>
    <d v="2023-09-29T06:10:11"/>
    <x v="1"/>
    <d v="2023-10-03T00:00:00"/>
    <n v="4.7429282407392748"/>
    <x v="2"/>
    <x v="13"/>
    <n v="3.7429282407392748"/>
    <x v="13"/>
  </r>
  <r>
    <n v="1030"/>
    <s v="1030111"/>
    <d v="2023-09-12T06:10:11"/>
    <s v="type40"/>
    <n v="-773.63"/>
    <x v="6"/>
    <d v="2023-09-19T06:10:11"/>
    <x v="4"/>
    <d v="2023-10-03T00:00:00"/>
    <n v="20.742928240739275"/>
    <x v="0"/>
    <x v="19"/>
    <n v="13.742928240739275"/>
    <x v="19"/>
  </r>
  <r>
    <n v="1015"/>
    <s v="1015111"/>
    <d v="2023-09-15T06:10:11"/>
    <s v="type40"/>
    <n v="-316.55"/>
    <x v="6"/>
    <d v="2023-09-22T06:10:11"/>
    <x v="2"/>
    <d v="2023-10-03T00:00:00"/>
    <n v="17.742928240739275"/>
    <x v="0"/>
    <x v="10"/>
    <n v="10.742928240739275"/>
    <x v="10"/>
  </r>
  <r>
    <n v="1031"/>
    <s v="1031111"/>
    <d v="2023-09-18T06:10:11"/>
    <s v="type40"/>
    <n v="-564.01"/>
    <x v="3"/>
    <d v="2023-09-19T06:10:11"/>
    <x v="4"/>
    <d v="2023-10-03T00:00:00"/>
    <n v="14.742928240739275"/>
    <x v="0"/>
    <x v="19"/>
    <n v="13.742928240739275"/>
    <x v="19"/>
  </r>
  <r>
    <n v="1006"/>
    <s v="1006111"/>
    <d v="2023-09-21T06:10:11"/>
    <s v="type40"/>
    <n v="-473.94"/>
    <x v="6"/>
    <d v="2023-09-28T06:10:11"/>
    <x v="1"/>
    <d v="2023-10-03T00:00:00"/>
    <n v="11.742928240739275"/>
    <x v="0"/>
    <x v="8"/>
    <n v="4.7429282407392748"/>
    <x v="8"/>
  </r>
  <r>
    <n v="1015"/>
    <s v="1015111"/>
    <d v="2023-09-13T06:10:11"/>
    <s v="type40"/>
    <n v="-508.08"/>
    <x v="4"/>
    <d v="2023-09-14T06:10:11"/>
    <x v="2"/>
    <d v="2023-10-03T00:00:00"/>
    <n v="19.742928240739275"/>
    <x v="0"/>
    <x v="20"/>
    <n v="18.742928240739275"/>
    <x v="20"/>
  </r>
  <r>
    <n v="1005"/>
    <s v="1005111"/>
    <d v="2023-09-22T06:10:11"/>
    <s v="type40"/>
    <n v="-1078.74"/>
    <x v="5"/>
    <d v="2023-09-23T06:10:11"/>
    <x v="3"/>
    <d v="2023-10-03T00:00:00"/>
    <n v="10.742928240739275"/>
    <x v="0"/>
    <x v="3"/>
    <n v="9.7429282407392748"/>
    <x v="3"/>
  </r>
  <r>
    <n v="1002"/>
    <s v="1002111"/>
    <d v="2023-09-20T06:10:11"/>
    <s v="type13"/>
    <n v="22020.39"/>
    <x v="1"/>
    <d v="2023-09-21T06:10:11"/>
    <x v="3"/>
    <d v="2023-10-03T00:00:00"/>
    <n v="12.742928240739275"/>
    <x v="0"/>
    <x v="1"/>
    <n v="11.742928240739275"/>
    <x v="1"/>
  </r>
  <r>
    <n v="1009"/>
    <s v="1009111"/>
    <d v="2023-09-21T06:10:11"/>
    <s v="type40"/>
    <n v="50.01"/>
    <x v="3"/>
    <d v="2023-09-22T06:10:11"/>
    <x v="1"/>
    <d v="2023-10-03T00:00:00"/>
    <n v="11.742928240739275"/>
    <x v="0"/>
    <x v="10"/>
    <n v="10.742928240739275"/>
    <x v="10"/>
  </r>
  <r>
    <n v="1017"/>
    <s v="1017111"/>
    <d v="2023-09-15T06:10:11"/>
    <s v="type40"/>
    <n v="2101.5100000000002"/>
    <x v="5"/>
    <d v="2023-09-17T06:10:11"/>
    <x v="2"/>
    <d v="2023-10-03T00:00:00"/>
    <n v="17.742928240739275"/>
    <x v="0"/>
    <x v="4"/>
    <n v="15.742928240739275"/>
    <x v="4"/>
  </r>
  <r>
    <n v="1027"/>
    <s v="1027111"/>
    <d v="2023-09-21T06:10:11"/>
    <s v="type40"/>
    <n v="-423.09"/>
    <x v="5"/>
    <d v="2023-09-23T06:10:11"/>
    <x v="5"/>
    <d v="2023-10-03T00:00:00"/>
    <n v="11.742928240739275"/>
    <x v="0"/>
    <x v="3"/>
    <n v="9.7429282407392748"/>
    <x v="3"/>
  </r>
  <r>
    <n v="1000"/>
    <s v="1000111"/>
    <d v="2023-09-17T06:10:11"/>
    <s v="type40"/>
    <n v="403.35"/>
    <x v="5"/>
    <d v="2023-09-19T06:10:11"/>
    <x v="3"/>
    <d v="2023-10-03T00:00:00"/>
    <n v="15.742928240739275"/>
    <x v="0"/>
    <x v="19"/>
    <n v="13.742928240739275"/>
    <x v="19"/>
  </r>
  <r>
    <n v="1015"/>
    <s v="1015111"/>
    <d v="2023-09-24T06:10:11"/>
    <s v="type48"/>
    <n v="554.51"/>
    <x v="3"/>
    <d v="2023-09-25T06:10:11"/>
    <x v="2"/>
    <d v="2023-10-03T00:00:00"/>
    <n v="8.7429282407392748"/>
    <x v="1"/>
    <x v="11"/>
    <n v="7.7429282407392748"/>
    <x v="11"/>
  </r>
  <r>
    <n v="1005"/>
    <s v="1005111"/>
    <d v="2023-09-25T06:10:11"/>
    <s v="type27"/>
    <n v="1210.42"/>
    <x v="3"/>
    <d v="2023-09-26T06:10:11"/>
    <x v="3"/>
    <d v="2023-10-03T00:00:00"/>
    <n v="7.7429282407392748"/>
    <x v="1"/>
    <x v="7"/>
    <n v="6.7429282407392748"/>
    <x v="7"/>
  </r>
  <r>
    <n v="1006"/>
    <s v="1006111"/>
    <d v="2023-09-26T06:10:11"/>
    <s v="type40"/>
    <n v="-500.99"/>
    <x v="1"/>
    <d v="2023-09-27T06:10:11"/>
    <x v="1"/>
    <d v="2023-10-03T00:00:00"/>
    <n v="6.7429282407392748"/>
    <x v="1"/>
    <x v="12"/>
    <n v="5.7429282407392748"/>
    <x v="12"/>
  </r>
  <r>
    <n v="1010"/>
    <s v="1010111"/>
    <d v="2023-09-17T06:10:11"/>
    <s v="type40"/>
    <n v="-390.2"/>
    <x v="6"/>
    <d v="2023-09-18T06:10:11"/>
    <x v="1"/>
    <d v="2023-10-03T00:00:00"/>
    <n v="15.742928240739275"/>
    <x v="0"/>
    <x v="6"/>
    <n v="14.742928240739275"/>
    <x v="6"/>
  </r>
  <r>
    <n v="1013"/>
    <s v="1013111"/>
    <d v="2023-09-28T06:10:11"/>
    <s v="type22"/>
    <n v="491.9"/>
    <x v="1"/>
    <d v="2023-09-29T06:10:11"/>
    <x v="2"/>
    <d v="2023-10-03T00:00:00"/>
    <n v="4.7429282407392748"/>
    <x v="2"/>
    <x v="13"/>
    <n v="3.7429282407392748"/>
    <x v="13"/>
  </r>
  <r>
    <n v="1021"/>
    <s v="1021111"/>
    <d v="2023-09-16T06:10:11"/>
    <s v="type40"/>
    <n v="12"/>
    <x v="2"/>
    <d v="2023-09-23T06:10:11"/>
    <x v="0"/>
    <d v="2023-10-03T00:00:00"/>
    <n v="16.742928240739275"/>
    <x v="0"/>
    <x v="3"/>
    <n v="9.7429282407392748"/>
    <x v="3"/>
  </r>
  <r>
    <n v="1001"/>
    <s v="1001111"/>
    <d v="2023-09-11T06:10:11"/>
    <s v="type7"/>
    <n v="-1922.05"/>
    <x v="1"/>
    <d v="2023-09-13T06:10:11"/>
    <x v="3"/>
    <d v="2023-10-03T00:00:00"/>
    <n v="21.742928240739275"/>
    <x v="0"/>
    <x v="24"/>
    <n v="19.742928240739275"/>
    <x v="24"/>
  </r>
  <r>
    <n v="1007"/>
    <s v="1007111"/>
    <d v="2023-09-18T06:10:11"/>
    <s v="type40"/>
    <n v="717.04"/>
    <x v="4"/>
    <d v="2023-09-19T06:10:11"/>
    <x v="1"/>
    <d v="2023-10-03T00:00:00"/>
    <n v="14.742928240739275"/>
    <x v="0"/>
    <x v="19"/>
    <n v="13.742928240739275"/>
    <x v="19"/>
  </r>
  <r>
    <n v="1024"/>
    <s v="1024111"/>
    <d v="2023-09-20T06:10:11"/>
    <s v="type40"/>
    <n v="-504.88"/>
    <x v="4"/>
    <d v="2023-09-22T06:10:11"/>
    <x v="5"/>
    <d v="2023-10-03T00:00:00"/>
    <n v="12.742928240739275"/>
    <x v="0"/>
    <x v="10"/>
    <n v="10.742928240739275"/>
    <x v="10"/>
  </r>
  <r>
    <n v="1017"/>
    <s v="1017111"/>
    <d v="2023-09-13T06:10:11"/>
    <s v="type13"/>
    <n v="12075"/>
    <x v="3"/>
    <d v="2023-09-15T06:10:11"/>
    <x v="2"/>
    <d v="2023-10-03T00:00:00"/>
    <n v="19.742928240739275"/>
    <x v="0"/>
    <x v="0"/>
    <n v="17.742928240739275"/>
    <x v="0"/>
  </r>
  <r>
    <n v="1031"/>
    <s v="1031111"/>
    <d v="2023-09-17T06:10:11"/>
    <s v="type40"/>
    <n v="-1832.53"/>
    <x v="2"/>
    <d v="2023-09-24T06:10:11"/>
    <x v="4"/>
    <d v="2023-10-03T00:00:00"/>
    <n v="15.742928240739275"/>
    <x v="0"/>
    <x v="5"/>
    <n v="8.7429282407392748"/>
    <x v="5"/>
  </r>
  <r>
    <n v="1025"/>
    <s v="1025111"/>
    <d v="2023-09-22T06:10:11"/>
    <s v="type40"/>
    <n v="-353.35"/>
    <x v="5"/>
    <d v="2023-09-24T06:10:11"/>
    <x v="5"/>
    <d v="2023-10-03T00:00:00"/>
    <n v="10.742928240739275"/>
    <x v="0"/>
    <x v="5"/>
    <n v="8.7429282407392748"/>
    <x v="5"/>
  </r>
  <r>
    <n v="1021"/>
    <s v="1021111"/>
    <d v="2023-09-15T06:10:11"/>
    <s v="type22"/>
    <n v="605.83000000000004"/>
    <x v="1"/>
    <d v="2023-09-17T06:10:11"/>
    <x v="0"/>
    <d v="2023-10-03T00:00:00"/>
    <n v="17.742928240739275"/>
    <x v="0"/>
    <x v="4"/>
    <n v="15.742928240739275"/>
    <x v="4"/>
  </r>
  <r>
    <n v="1031"/>
    <s v="1031111"/>
    <d v="2023-09-18T06:10:11"/>
    <s v="type40"/>
    <n v="846.24"/>
    <x v="6"/>
    <d v="2023-09-19T06:10:11"/>
    <x v="4"/>
    <d v="2023-10-03T00:00:00"/>
    <n v="14.742928240739275"/>
    <x v="0"/>
    <x v="19"/>
    <n v="13.742928240739275"/>
    <x v="19"/>
  </r>
  <r>
    <n v="1033"/>
    <s v="1033111"/>
    <d v="2023-09-23T06:10:11"/>
    <s v="type40"/>
    <n v="-3156.32"/>
    <x v="4"/>
    <d v="2023-09-25T06:10:11"/>
    <x v="4"/>
    <d v="2023-10-03T00:00:00"/>
    <n v="9.7429282407392748"/>
    <x v="0"/>
    <x v="11"/>
    <n v="7.7429282407392748"/>
    <x v="11"/>
  </r>
  <r>
    <n v="1001"/>
    <s v="1001111"/>
    <d v="2023-09-19T06:10:11"/>
    <s v="type40"/>
    <n v="638.58000000000004"/>
    <x v="2"/>
    <d v="2023-09-26T06:10:11"/>
    <x v="3"/>
    <d v="2023-10-03T00:00:00"/>
    <n v="13.742928240739275"/>
    <x v="0"/>
    <x v="7"/>
    <n v="6.7429282407392748"/>
    <x v="7"/>
  </r>
  <r>
    <n v="1007"/>
    <s v="1007111"/>
    <d v="2023-09-17T06:10:11"/>
    <s v="type40"/>
    <n v="-881.06"/>
    <x v="1"/>
    <d v="2023-09-19T06:10:11"/>
    <x v="1"/>
    <d v="2023-10-03T00:00:00"/>
    <n v="15.742928240739275"/>
    <x v="0"/>
    <x v="19"/>
    <n v="13.742928240739275"/>
    <x v="19"/>
  </r>
  <r>
    <n v="1014"/>
    <s v="1014111"/>
    <d v="2023-09-13T06:10:11"/>
    <s v="type40"/>
    <n v="1306.0899999999999"/>
    <x v="6"/>
    <d v="2023-09-15T06:10:11"/>
    <x v="2"/>
    <d v="2023-10-03T00:00:00"/>
    <n v="19.742928240739275"/>
    <x v="0"/>
    <x v="0"/>
    <n v="17.742928240739275"/>
    <x v="0"/>
  </r>
  <r>
    <n v="1026"/>
    <s v="1026111"/>
    <d v="2023-09-20T06:10:11"/>
    <s v="type41"/>
    <n v="427.5"/>
    <x v="2"/>
    <d v="2023-09-27T06:10:11"/>
    <x v="5"/>
    <d v="2023-10-03T00:00:00"/>
    <n v="12.742928240739275"/>
    <x v="0"/>
    <x v="12"/>
    <n v="5.7429282407392748"/>
    <x v="12"/>
  </r>
  <r>
    <n v="1025"/>
    <s v="1025111"/>
    <d v="2023-09-12T06:10:11"/>
    <s v="type40"/>
    <n v="34.840000000000003"/>
    <x v="2"/>
    <d v="2023-09-14T06:10:11"/>
    <x v="5"/>
    <d v="2023-10-03T00:00:00"/>
    <n v="20.742928240739275"/>
    <x v="0"/>
    <x v="20"/>
    <n v="18.742928240739275"/>
    <x v="20"/>
  </r>
  <r>
    <n v="1029"/>
    <s v="1029111"/>
    <d v="2023-09-15T06:10:11"/>
    <s v="type13"/>
    <n v="31432.77"/>
    <x v="2"/>
    <d v="2023-09-17T06:10:11"/>
    <x v="5"/>
    <d v="2023-10-03T00:00:00"/>
    <n v="17.742928240739275"/>
    <x v="0"/>
    <x v="4"/>
    <n v="15.742928240739275"/>
    <x v="4"/>
  </r>
  <r>
    <n v="1021"/>
    <s v="1021111"/>
    <d v="2023-09-17T06:10:11"/>
    <s v="type40"/>
    <n v="499.14"/>
    <x v="4"/>
    <d v="2023-09-19T06:10:11"/>
    <x v="0"/>
    <d v="2023-10-03T00:00:00"/>
    <n v="15.742928240739275"/>
    <x v="0"/>
    <x v="19"/>
    <n v="13.742928240739275"/>
    <x v="19"/>
  </r>
  <r>
    <n v="1029"/>
    <s v="1029111"/>
    <d v="2023-09-16T06:10:11"/>
    <s v="type40"/>
    <n v="702.74"/>
    <x v="6"/>
    <d v="2023-09-18T06:10:11"/>
    <x v="5"/>
    <d v="2023-10-03T00:00:00"/>
    <n v="16.742928240739275"/>
    <x v="0"/>
    <x v="6"/>
    <n v="14.742928240739275"/>
    <x v="6"/>
  </r>
  <r>
    <n v="1014"/>
    <s v="1014111"/>
    <d v="2023-09-13T06:10:11"/>
    <s v="type38"/>
    <n v="160.26"/>
    <x v="5"/>
    <d v="2023-09-20T06:10:11"/>
    <x v="2"/>
    <d v="2023-10-03T00:00:00"/>
    <n v="19.742928240739275"/>
    <x v="0"/>
    <x v="9"/>
    <n v="12.742928240739275"/>
    <x v="9"/>
  </r>
  <r>
    <n v="1030"/>
    <s v="1030111"/>
    <d v="2023-09-19T06:10:11"/>
    <s v="type40"/>
    <n v="-726.36"/>
    <x v="2"/>
    <d v="2023-09-21T06:10:11"/>
    <x v="4"/>
    <d v="2023-10-03T00:00:00"/>
    <n v="13.742928240739275"/>
    <x v="0"/>
    <x v="1"/>
    <n v="11.742928240739275"/>
    <x v="1"/>
  </r>
  <r>
    <n v="1002"/>
    <s v="1002111"/>
    <d v="2023-09-21T06:10:11"/>
    <s v="type40"/>
    <n v="10"/>
    <x v="2"/>
    <d v="2023-09-23T06:10:11"/>
    <x v="3"/>
    <d v="2023-10-03T00:00:00"/>
    <n v="11.742928240739275"/>
    <x v="0"/>
    <x v="3"/>
    <n v="9.7429282407392748"/>
    <x v="3"/>
  </r>
  <r>
    <n v="1027"/>
    <s v="1027111"/>
    <d v="2023-09-24T06:10:11"/>
    <s v="type40"/>
    <n v="-2736.11"/>
    <x v="3"/>
    <d v="2023-09-26T06:10:11"/>
    <x v="5"/>
    <d v="2023-10-03T00:00:00"/>
    <n v="8.7429282407392748"/>
    <x v="1"/>
    <x v="7"/>
    <n v="6.7429282407392748"/>
    <x v="7"/>
  </r>
  <r>
    <n v="1035"/>
    <s v="1035111"/>
    <d v="2023-09-18T06:10:11"/>
    <s v="type1"/>
    <n v="12"/>
    <x v="4"/>
    <d v="2023-09-20T06:10:11"/>
    <x v="4"/>
    <d v="2023-10-03T00:00:00"/>
    <n v="14.742928240739275"/>
    <x v="0"/>
    <x v="9"/>
    <n v="12.742928240739275"/>
    <x v="9"/>
  </r>
  <r>
    <n v="1013"/>
    <s v="1013111"/>
    <d v="2023-09-19T06:10:11"/>
    <s v="type40"/>
    <n v="318.54000000000002"/>
    <x v="6"/>
    <d v="2023-09-21T06:10:11"/>
    <x v="2"/>
    <d v="2023-10-03T00:00:00"/>
    <n v="13.742928240739275"/>
    <x v="0"/>
    <x v="1"/>
    <n v="11.742928240739275"/>
    <x v="1"/>
  </r>
  <r>
    <n v="1032"/>
    <s v="1032111"/>
    <d v="2023-09-27T06:10:11"/>
    <s v="type15"/>
    <n v="1786"/>
    <x v="3"/>
    <d v="2023-10-02T06:10:11"/>
    <x v="4"/>
    <d v="2023-10-03T00:00:00"/>
    <n v="5.7429282407392748"/>
    <x v="2"/>
    <x v="15"/>
    <n v="0.74292824073927477"/>
    <x v="15"/>
  </r>
  <r>
    <n v="1016"/>
    <s v="1016111"/>
    <d v="2023-09-18T06:10:11"/>
    <s v="type40"/>
    <n v="417.15"/>
    <x v="6"/>
    <d v="2023-09-25T06:10:11"/>
    <x v="2"/>
    <d v="2023-10-03T00:00:00"/>
    <n v="14.742928240739275"/>
    <x v="0"/>
    <x v="11"/>
    <n v="7.7429282407392748"/>
    <x v="11"/>
  </r>
  <r>
    <n v="1006"/>
    <s v="1006111"/>
    <d v="2023-09-16T06:10:11"/>
    <s v="type13"/>
    <n v="31448.51"/>
    <x v="1"/>
    <d v="2023-09-21T06:10:11"/>
    <x v="1"/>
    <d v="2023-10-03T00:00:00"/>
    <n v="16.742928240739275"/>
    <x v="0"/>
    <x v="1"/>
    <n v="11.742928240739275"/>
    <x v="1"/>
  </r>
  <r>
    <n v="1004"/>
    <s v="1004111"/>
    <d v="2023-09-21T06:10:11"/>
    <s v="type13"/>
    <n v="28575.78"/>
    <x v="4"/>
    <d v="2023-09-26T06:10:11"/>
    <x v="3"/>
    <d v="2023-10-03T00:00:00"/>
    <n v="11.742928240739275"/>
    <x v="0"/>
    <x v="7"/>
    <n v="6.7429282407392748"/>
    <x v="7"/>
  </r>
  <r>
    <n v="1033"/>
    <s v="1033111"/>
    <d v="2023-09-23T06:10:11"/>
    <s v="type40"/>
    <n v="4887.3"/>
    <x v="2"/>
    <d v="2023-09-25T06:10:11"/>
    <x v="4"/>
    <d v="2023-10-03T00:00:00"/>
    <n v="9.7429282407392748"/>
    <x v="0"/>
    <x v="11"/>
    <n v="7.7429282407392748"/>
    <x v="11"/>
  </r>
  <r>
    <n v="1003"/>
    <s v="1003111"/>
    <d v="2023-09-13T06:10:11"/>
    <s v="type13"/>
    <n v="13570"/>
    <x v="2"/>
    <d v="2023-09-20T06:10:11"/>
    <x v="3"/>
    <d v="2023-10-03T00:00:00"/>
    <n v="19.742928240739275"/>
    <x v="0"/>
    <x v="9"/>
    <n v="12.742928240739275"/>
    <x v="9"/>
  </r>
  <r>
    <n v="1000"/>
    <s v="1000111"/>
    <d v="2023-09-22T06:10:11"/>
    <s v="type13"/>
    <n v="25693.05"/>
    <x v="0"/>
    <d v="2023-09-23T06:10:11"/>
    <x v="3"/>
    <d v="2023-10-03T00:00:00"/>
    <n v="10.742928240739275"/>
    <x v="0"/>
    <x v="3"/>
    <n v="9.7429282407392748"/>
    <x v="3"/>
  </r>
  <r>
    <n v="1002"/>
    <s v="1002111"/>
    <d v="2023-09-19T06:10:11"/>
    <s v="type40"/>
    <n v="5009.8500000000004"/>
    <x v="2"/>
    <d v="2023-09-20T06:10:11"/>
    <x v="3"/>
    <d v="2023-10-03T00:00:00"/>
    <n v="13.742928240739275"/>
    <x v="0"/>
    <x v="9"/>
    <n v="12.742928240739275"/>
    <x v="9"/>
  </r>
  <r>
    <n v="1016"/>
    <s v="1016111"/>
    <d v="2023-09-18T06:10:11"/>
    <s v="type40"/>
    <n v="-5136.3599999999997"/>
    <x v="6"/>
    <d v="2023-09-25T06:10:11"/>
    <x v="2"/>
    <d v="2023-10-03T00:00:00"/>
    <n v="14.742928240739275"/>
    <x v="0"/>
    <x v="11"/>
    <n v="7.7429282407392748"/>
    <x v="11"/>
  </r>
  <r>
    <n v="1010"/>
    <s v="1010111"/>
    <d v="2023-09-11T06:10:11"/>
    <s v="type40"/>
    <n v="1227.8399999999999"/>
    <x v="4"/>
    <d v="2023-09-18T06:10:11"/>
    <x v="1"/>
    <d v="2023-10-03T00:00:00"/>
    <n v="21.742928240739275"/>
    <x v="0"/>
    <x v="6"/>
    <n v="14.742928240739275"/>
    <x v="6"/>
  </r>
  <r>
    <n v="1034"/>
    <s v="1034111"/>
    <d v="2023-09-15T06:10:11"/>
    <s v="type40"/>
    <n v="515.66"/>
    <x v="0"/>
    <d v="2023-09-16T06:10:11"/>
    <x v="4"/>
    <d v="2023-10-03T00:00:00"/>
    <n v="17.742928240739275"/>
    <x v="0"/>
    <x v="2"/>
    <n v="16.742928240739275"/>
    <x v="2"/>
  </r>
  <r>
    <n v="1014"/>
    <s v="1014111"/>
    <d v="2023-09-22T06:10:11"/>
    <s v="type8"/>
    <n v="62.75"/>
    <x v="1"/>
    <d v="2023-09-29T06:10:11"/>
    <x v="2"/>
    <d v="2023-10-03T00:00:00"/>
    <n v="10.742928240739275"/>
    <x v="0"/>
    <x v="13"/>
    <n v="3.7429282407392748"/>
    <x v="13"/>
  </r>
  <r>
    <n v="1002"/>
    <s v="1002111"/>
    <d v="2023-09-13T06:10:11"/>
    <s v="type40"/>
    <n v="-2080.44"/>
    <x v="4"/>
    <d v="2023-09-20T06:10:11"/>
    <x v="3"/>
    <d v="2023-10-03T00:00:00"/>
    <n v="19.742928240739275"/>
    <x v="0"/>
    <x v="9"/>
    <n v="12.742928240739275"/>
    <x v="9"/>
  </r>
  <r>
    <n v="1013"/>
    <s v="1013111"/>
    <d v="2023-09-21T06:10:11"/>
    <s v="type40"/>
    <n v="-515.27"/>
    <x v="0"/>
    <d v="2023-09-22T06:10:11"/>
    <x v="2"/>
    <d v="2023-10-03T00:00:00"/>
    <n v="11.742928240739275"/>
    <x v="0"/>
    <x v="10"/>
    <n v="10.742928240739275"/>
    <x v="10"/>
  </r>
  <r>
    <n v="1017"/>
    <s v="1017111"/>
    <d v="2023-09-20T06:10:11"/>
    <s v="type40"/>
    <n v="-543.62"/>
    <x v="6"/>
    <d v="2023-09-27T06:10:11"/>
    <x v="2"/>
    <d v="2023-10-03T00:00:00"/>
    <n v="12.742928240739275"/>
    <x v="0"/>
    <x v="12"/>
    <n v="5.7429282407392748"/>
    <x v="12"/>
  </r>
  <r>
    <n v="1024"/>
    <s v="1024111"/>
    <d v="2023-09-21T06:10:11"/>
    <s v="type26"/>
    <n v="263.12"/>
    <x v="2"/>
    <d v="2023-09-22T06:10:11"/>
    <x v="5"/>
    <d v="2023-10-03T00:00:00"/>
    <n v="11.742928240739275"/>
    <x v="0"/>
    <x v="10"/>
    <n v="10.742928240739275"/>
    <x v="10"/>
  </r>
  <r>
    <n v="1019"/>
    <s v="1019111"/>
    <d v="2023-09-18T06:10:11"/>
    <s v="type41"/>
    <n v="336.43"/>
    <x v="2"/>
    <d v="2023-09-20T06:10:11"/>
    <x v="0"/>
    <d v="2023-10-03T00:00:00"/>
    <n v="14.742928240739275"/>
    <x v="0"/>
    <x v="9"/>
    <n v="12.742928240739275"/>
    <x v="9"/>
  </r>
  <r>
    <n v="1004"/>
    <s v="1004111"/>
    <d v="2023-09-28T06:10:11"/>
    <s v="type40"/>
    <n v="685.74"/>
    <x v="3"/>
    <d v="2023-10-05T06:10:11"/>
    <x v="3"/>
    <d v="2023-10-03T00:00:00"/>
    <n v="4.7429282407392748"/>
    <x v="2"/>
    <x v="17"/>
    <n v="-2.2570717592607252"/>
    <x v="17"/>
  </r>
  <r>
    <n v="1026"/>
    <s v="1026111"/>
    <d v="2023-09-22T06:10:11"/>
    <s v="type40"/>
    <n v="-3483.08"/>
    <x v="2"/>
    <d v="2023-09-24T06:10:11"/>
    <x v="5"/>
    <d v="2023-10-03T00:00:00"/>
    <n v="10.742928240739275"/>
    <x v="0"/>
    <x v="5"/>
    <n v="8.7429282407392748"/>
    <x v="5"/>
  </r>
  <r>
    <n v="1000"/>
    <s v="1000111"/>
    <d v="2023-09-23T06:10:11"/>
    <s v="type15"/>
    <n v="-1410"/>
    <x v="6"/>
    <d v="2023-09-30T06:10:11"/>
    <x v="3"/>
    <d v="2023-10-03T00:00:00"/>
    <n v="9.7429282407392748"/>
    <x v="0"/>
    <x v="14"/>
    <n v="2.7429282407392748"/>
    <x v="14"/>
  </r>
  <r>
    <n v="1029"/>
    <s v="1029111"/>
    <d v="2023-09-16T06:10:11"/>
    <s v="type40"/>
    <n v="-969.96"/>
    <x v="4"/>
    <d v="2023-09-23T06:10:11"/>
    <x v="5"/>
    <d v="2023-10-03T00:00:00"/>
    <n v="16.742928240739275"/>
    <x v="0"/>
    <x v="3"/>
    <n v="9.7429282407392748"/>
    <x v="3"/>
  </r>
  <r>
    <n v="1023"/>
    <s v="1023111"/>
    <d v="2023-09-13T06:10:11"/>
    <s v="type40"/>
    <n v="353.16"/>
    <x v="1"/>
    <d v="2023-09-20T06:10:11"/>
    <x v="0"/>
    <d v="2023-10-03T00:00:00"/>
    <n v="19.742928240739275"/>
    <x v="0"/>
    <x v="9"/>
    <n v="12.742928240739275"/>
    <x v="9"/>
  </r>
  <r>
    <n v="1003"/>
    <s v="1003111"/>
    <d v="2023-09-21T06:10:11"/>
    <s v="type40"/>
    <n v="388.23"/>
    <x v="4"/>
    <d v="2023-09-22T06:10:11"/>
    <x v="3"/>
    <d v="2023-10-03T00:00:00"/>
    <n v="11.742928240739275"/>
    <x v="0"/>
    <x v="10"/>
    <n v="10.742928240739275"/>
    <x v="10"/>
  </r>
  <r>
    <n v="1010"/>
    <s v="1010111"/>
    <d v="2023-09-14T06:10:11"/>
    <s v="type40"/>
    <n v="2750.38"/>
    <x v="1"/>
    <d v="2023-09-21T06:10:11"/>
    <x v="1"/>
    <d v="2023-10-03T00:00:00"/>
    <n v="18.742928240739275"/>
    <x v="0"/>
    <x v="1"/>
    <n v="11.742928240739275"/>
    <x v="1"/>
  </r>
  <r>
    <n v="1025"/>
    <s v="1025111"/>
    <d v="2023-09-14T06:10:11"/>
    <s v="type7"/>
    <n v="10427.52"/>
    <x v="3"/>
    <d v="2023-09-21T06:10:11"/>
    <x v="5"/>
    <d v="2023-10-03T00:00:00"/>
    <n v="18.742928240739275"/>
    <x v="0"/>
    <x v="1"/>
    <n v="11.742928240739275"/>
    <x v="1"/>
  </r>
  <r>
    <n v="1022"/>
    <s v="1022111"/>
    <d v="2023-09-20T06:10:11"/>
    <s v="type40"/>
    <n v="-414.69"/>
    <x v="4"/>
    <d v="2023-09-21T06:10:11"/>
    <x v="0"/>
    <d v="2023-10-03T00:00:00"/>
    <n v="12.742928240739275"/>
    <x v="0"/>
    <x v="1"/>
    <n v="11.742928240739275"/>
    <x v="1"/>
  </r>
  <r>
    <n v="1011"/>
    <s v="1011111"/>
    <d v="2023-09-21T06:10:11"/>
    <s v="type40"/>
    <n v="4.53"/>
    <x v="4"/>
    <d v="2023-09-23T06:10:11"/>
    <x v="1"/>
    <d v="2023-10-03T00:00:00"/>
    <n v="11.742928240739275"/>
    <x v="0"/>
    <x v="3"/>
    <n v="9.7429282407392748"/>
    <x v="3"/>
  </r>
  <r>
    <n v="1029"/>
    <s v="1029111"/>
    <d v="2023-09-10T06:10:11"/>
    <s v="type40"/>
    <n v="-455.38"/>
    <x v="4"/>
    <d v="2023-09-12T06:10:11"/>
    <x v="5"/>
    <d v="2023-10-03T00:00:00"/>
    <n v="22.742928240739275"/>
    <x v="0"/>
    <x v="18"/>
    <n v="20.742928240739275"/>
    <x v="18"/>
  </r>
  <r>
    <n v="1009"/>
    <s v="1009111"/>
    <d v="2023-09-15T06:10:11"/>
    <s v="type7"/>
    <n v="-1155.57"/>
    <x v="6"/>
    <d v="2023-09-16T06:10:11"/>
    <x v="1"/>
    <d v="2023-10-03T00:00:00"/>
    <n v="17.742928240739275"/>
    <x v="0"/>
    <x v="2"/>
    <n v="16.742928240739275"/>
    <x v="2"/>
  </r>
  <r>
    <n v="1026"/>
    <s v="1026111"/>
    <d v="2023-09-14T06:10:11"/>
    <s v="type40"/>
    <n v="1279.52"/>
    <x v="2"/>
    <d v="2023-09-19T06:10:11"/>
    <x v="5"/>
    <d v="2023-10-03T00:00:00"/>
    <n v="18.742928240739275"/>
    <x v="0"/>
    <x v="19"/>
    <n v="13.742928240739275"/>
    <x v="19"/>
  </r>
  <r>
    <n v="1001"/>
    <s v="1001111"/>
    <d v="2023-09-27T06:10:11"/>
    <s v="type13"/>
    <n v="55841.97"/>
    <x v="0"/>
    <d v="2023-09-28T06:10:11"/>
    <x v="3"/>
    <d v="2023-10-03T00:00:00"/>
    <n v="5.7429282407392748"/>
    <x v="2"/>
    <x v="8"/>
    <n v="4.7429282407392748"/>
    <x v="8"/>
  </r>
  <r>
    <n v="1018"/>
    <s v="1018111"/>
    <d v="2023-09-18T06:10:11"/>
    <s v="type13"/>
    <n v="24991.86"/>
    <x v="1"/>
    <d v="2023-09-19T06:10:11"/>
    <x v="0"/>
    <d v="2023-10-03T00:00:00"/>
    <n v="14.742928240739275"/>
    <x v="0"/>
    <x v="19"/>
    <n v="13.742928240739275"/>
    <x v="19"/>
  </r>
  <r>
    <n v="1020"/>
    <s v="1020111"/>
    <d v="2023-09-20T06:10:11"/>
    <s v="type54"/>
    <n v="0.1"/>
    <x v="6"/>
    <d v="2023-09-21T06:10:11"/>
    <x v="0"/>
    <d v="2023-10-03T00:00:00"/>
    <n v="12.742928240739275"/>
    <x v="0"/>
    <x v="1"/>
    <n v="11.742928240739275"/>
    <x v="1"/>
  </r>
  <r>
    <n v="1027"/>
    <s v="1027111"/>
    <d v="2023-09-20T06:10:11"/>
    <s v="type42"/>
    <n v="164.8"/>
    <x v="1"/>
    <d v="2023-09-21T06:10:11"/>
    <x v="5"/>
    <d v="2023-10-03T00:00:00"/>
    <n v="12.742928240739275"/>
    <x v="0"/>
    <x v="1"/>
    <n v="11.742928240739275"/>
    <x v="1"/>
  </r>
  <r>
    <n v="1027"/>
    <s v="1027111"/>
    <d v="2023-09-23T06:10:11"/>
    <s v="type40"/>
    <n v="967.44"/>
    <x v="6"/>
    <d v="2023-09-25T06:10:11"/>
    <x v="5"/>
    <d v="2023-10-03T00:00:00"/>
    <n v="9.7429282407392748"/>
    <x v="0"/>
    <x v="11"/>
    <n v="7.7429282407392748"/>
    <x v="11"/>
  </r>
  <r>
    <n v="1009"/>
    <s v="1009111"/>
    <d v="2023-09-21T06:10:11"/>
    <s v="type10"/>
    <n v="42.06"/>
    <x v="1"/>
    <d v="2023-09-22T06:10:11"/>
    <x v="1"/>
    <d v="2023-10-03T00:00:00"/>
    <n v="11.742928240739275"/>
    <x v="0"/>
    <x v="10"/>
    <n v="10.742928240739275"/>
    <x v="10"/>
  </r>
  <r>
    <n v="1034"/>
    <s v="1034111"/>
    <d v="2023-09-10T06:10:11"/>
    <s v="type7"/>
    <n v="-8962.7900000000009"/>
    <x v="6"/>
    <d v="2023-09-15T06:10:11"/>
    <x v="4"/>
    <d v="2023-10-03T00:00:00"/>
    <n v="22.742928240739275"/>
    <x v="0"/>
    <x v="0"/>
    <n v="17.742928240739275"/>
    <x v="0"/>
  </r>
  <r>
    <n v="1000"/>
    <s v="1000111"/>
    <d v="2023-09-28T06:10:11"/>
    <s v="type40"/>
    <n v="479.53"/>
    <x v="0"/>
    <d v="2023-09-29T06:10:11"/>
    <x v="3"/>
    <d v="2023-10-03T00:00:00"/>
    <n v="4.7429282407392748"/>
    <x v="2"/>
    <x v="13"/>
    <n v="3.7429282407392748"/>
    <x v="13"/>
  </r>
  <r>
    <n v="1009"/>
    <s v="1009111"/>
    <d v="2023-09-14T06:10:11"/>
    <s v="type32"/>
    <n v="1918.44"/>
    <x v="4"/>
    <d v="2023-09-16T06:10:11"/>
    <x v="1"/>
    <d v="2023-10-03T00:00:00"/>
    <n v="18.742928240739275"/>
    <x v="0"/>
    <x v="2"/>
    <n v="16.742928240739275"/>
    <x v="2"/>
  </r>
  <r>
    <n v="1011"/>
    <s v="1011111"/>
    <d v="2023-09-24T06:10:11"/>
    <s v="type40"/>
    <n v="5241.4799999999996"/>
    <x v="1"/>
    <d v="2023-09-25T06:10:11"/>
    <x v="1"/>
    <d v="2023-10-03T00:00:00"/>
    <n v="8.7429282407392748"/>
    <x v="1"/>
    <x v="11"/>
    <n v="7.7429282407392748"/>
    <x v="11"/>
  </r>
  <r>
    <n v="1031"/>
    <s v="1031111"/>
    <d v="2023-09-14T06:10:11"/>
    <s v="type23"/>
    <n v="318.68"/>
    <x v="6"/>
    <d v="2023-09-19T06:10:11"/>
    <x v="4"/>
    <d v="2023-10-03T00:00:00"/>
    <n v="18.742928240739275"/>
    <x v="0"/>
    <x v="19"/>
    <n v="13.742928240739275"/>
    <x v="19"/>
  </r>
  <r>
    <n v="1031"/>
    <s v="1031111"/>
    <d v="2023-09-18T06:10:11"/>
    <s v="type34"/>
    <n v="113.26"/>
    <x v="4"/>
    <d v="2023-09-20T06:10:11"/>
    <x v="4"/>
    <d v="2023-10-03T00:00:00"/>
    <n v="14.742928240739275"/>
    <x v="0"/>
    <x v="9"/>
    <n v="12.742928240739275"/>
    <x v="9"/>
  </r>
  <r>
    <n v="1020"/>
    <s v="1020111"/>
    <d v="2023-09-20T06:10:11"/>
    <s v="type40"/>
    <n v="1139.68"/>
    <x v="4"/>
    <d v="2023-09-22T06:10:11"/>
    <x v="0"/>
    <d v="2023-10-03T00:00:00"/>
    <n v="12.742928240739275"/>
    <x v="0"/>
    <x v="10"/>
    <n v="10.742928240739275"/>
    <x v="10"/>
  </r>
  <r>
    <n v="1026"/>
    <s v="1026111"/>
    <d v="2023-09-28T06:10:11"/>
    <s v="type40"/>
    <n v="1600.45"/>
    <x v="3"/>
    <d v="2023-09-30T06:10:11"/>
    <x v="5"/>
    <d v="2023-10-03T00:00:00"/>
    <n v="4.7429282407392748"/>
    <x v="2"/>
    <x v="14"/>
    <n v="2.7429282407392748"/>
    <x v="14"/>
  </r>
  <r>
    <n v="1024"/>
    <s v="1024111"/>
    <d v="2023-09-16T06:10:11"/>
    <s v="type32"/>
    <n v="562.83000000000004"/>
    <x v="2"/>
    <d v="2023-09-21T06:10:11"/>
    <x v="5"/>
    <d v="2023-10-03T00:00:00"/>
    <n v="16.742928240739275"/>
    <x v="0"/>
    <x v="1"/>
    <n v="11.742928240739275"/>
    <x v="1"/>
  </r>
  <r>
    <n v="1016"/>
    <s v="1016111"/>
    <d v="2023-09-20T06:10:11"/>
    <s v="type13"/>
    <n v="23176.81"/>
    <x v="4"/>
    <d v="2023-09-22T06:10:11"/>
    <x v="2"/>
    <d v="2023-10-03T00:00:00"/>
    <n v="12.742928240739275"/>
    <x v="0"/>
    <x v="10"/>
    <n v="10.742928240739275"/>
    <x v="10"/>
  </r>
  <r>
    <n v="1022"/>
    <s v="1022111"/>
    <d v="2023-09-16T06:10:11"/>
    <s v="type40"/>
    <n v="46.69"/>
    <x v="4"/>
    <d v="2023-09-21T06:10:11"/>
    <x v="0"/>
    <d v="2023-10-03T00:00:00"/>
    <n v="16.742928240739275"/>
    <x v="0"/>
    <x v="1"/>
    <n v="11.742928240739275"/>
    <x v="1"/>
  </r>
  <r>
    <n v="1003"/>
    <s v="1003111"/>
    <d v="2023-09-18T06:10:11"/>
    <s v="type13"/>
    <n v="25932.3"/>
    <x v="3"/>
    <d v="2023-09-20T06:10:11"/>
    <x v="3"/>
    <d v="2023-10-03T00:00:00"/>
    <n v="14.742928240739275"/>
    <x v="0"/>
    <x v="9"/>
    <n v="12.742928240739275"/>
    <x v="9"/>
  </r>
  <r>
    <n v="1029"/>
    <s v="1029111"/>
    <d v="2023-09-21T06:10:11"/>
    <s v="type40"/>
    <n v="-1050.3"/>
    <x v="2"/>
    <d v="2023-09-28T06:10:11"/>
    <x v="5"/>
    <d v="2023-10-03T00:00:00"/>
    <n v="11.742928240739275"/>
    <x v="0"/>
    <x v="8"/>
    <n v="4.7429282407392748"/>
    <x v="8"/>
  </r>
  <r>
    <n v="1026"/>
    <s v="1026111"/>
    <d v="2023-09-16T06:10:11"/>
    <s v="type40"/>
    <n v="-2637.78"/>
    <x v="2"/>
    <d v="2023-09-23T06:10:11"/>
    <x v="5"/>
    <d v="2023-10-03T00:00:00"/>
    <n v="16.742928240739275"/>
    <x v="0"/>
    <x v="3"/>
    <n v="9.7429282407392748"/>
    <x v="3"/>
  </r>
  <r>
    <n v="1003"/>
    <s v="1003111"/>
    <d v="2023-09-17T06:10:11"/>
    <s v="type13"/>
    <n v="20487.259999999998"/>
    <x v="4"/>
    <d v="2023-09-22T06:10:11"/>
    <x v="3"/>
    <d v="2023-10-03T00:00:00"/>
    <n v="15.742928240739275"/>
    <x v="0"/>
    <x v="10"/>
    <n v="10.742928240739275"/>
    <x v="10"/>
  </r>
  <r>
    <n v="1021"/>
    <s v="1021111"/>
    <d v="2023-09-21T06:10:11"/>
    <s v="type40"/>
    <n v="-510.48"/>
    <x v="1"/>
    <d v="2023-09-23T06:10:11"/>
    <x v="0"/>
    <d v="2023-10-03T00:00:00"/>
    <n v="11.742928240739275"/>
    <x v="0"/>
    <x v="3"/>
    <n v="9.7429282407392748"/>
    <x v="3"/>
  </r>
  <r>
    <n v="1030"/>
    <s v="1030111"/>
    <d v="2023-09-21T06:10:11"/>
    <s v="type13"/>
    <n v="29427.37"/>
    <x v="1"/>
    <d v="2023-09-23T06:10:11"/>
    <x v="4"/>
    <d v="2023-10-03T00:00:00"/>
    <n v="11.742928240739275"/>
    <x v="0"/>
    <x v="3"/>
    <n v="9.7429282407392748"/>
    <x v="3"/>
  </r>
  <r>
    <n v="1019"/>
    <s v="1019111"/>
    <d v="2023-09-22T06:10:11"/>
    <s v="type13"/>
    <n v="23513.23"/>
    <x v="3"/>
    <d v="2023-09-24T06:10:11"/>
    <x v="0"/>
    <d v="2023-10-03T00:00:00"/>
    <n v="10.742928240739275"/>
    <x v="0"/>
    <x v="5"/>
    <n v="8.7429282407392748"/>
    <x v="5"/>
  </r>
  <r>
    <n v="1028"/>
    <s v="1028111"/>
    <d v="2023-09-23T06:10:11"/>
    <s v="type13"/>
    <n v="27907.759999999998"/>
    <x v="3"/>
    <d v="2023-09-25T06:10:11"/>
    <x v="5"/>
    <d v="2023-10-03T00:00:00"/>
    <n v="9.7429282407392748"/>
    <x v="0"/>
    <x v="11"/>
    <n v="7.7429282407392748"/>
    <x v="11"/>
  </r>
  <r>
    <n v="1032"/>
    <s v="1032111"/>
    <d v="2023-09-24T06:10:11"/>
    <s v="type13"/>
    <n v="37174.46"/>
    <x v="3"/>
    <d v="2023-09-26T06:10:11"/>
    <x v="4"/>
    <d v="2023-10-03T00:00:00"/>
    <n v="8.7429282407392748"/>
    <x v="1"/>
    <x v="7"/>
    <n v="6.7429282407392748"/>
    <x v="7"/>
  </r>
  <r>
    <n v="1023"/>
    <s v="1023111"/>
    <d v="2023-09-18T06:10:11"/>
    <s v="type40"/>
    <n v="-845.87"/>
    <x v="2"/>
    <d v="2023-09-25T06:10:11"/>
    <x v="0"/>
    <d v="2023-10-03T00:00:00"/>
    <n v="14.742928240739275"/>
    <x v="0"/>
    <x v="11"/>
    <n v="7.7429282407392748"/>
    <x v="11"/>
  </r>
  <r>
    <n v="1020"/>
    <s v="1020111"/>
    <d v="2023-09-18T06:10:11"/>
    <s v="type40"/>
    <n v="-2753.51"/>
    <x v="4"/>
    <d v="2023-09-25T06:10:11"/>
    <x v="0"/>
    <d v="2023-10-03T00:00:00"/>
    <n v="14.742928240739275"/>
    <x v="0"/>
    <x v="11"/>
    <n v="7.7429282407392748"/>
    <x v="11"/>
  </r>
  <r>
    <n v="1003"/>
    <s v="1003111"/>
    <d v="2023-09-27T06:10:11"/>
    <s v="type40"/>
    <n v="-521.65"/>
    <x v="0"/>
    <d v="2023-10-02T06:10:11"/>
    <x v="3"/>
    <d v="2023-10-03T00:00:00"/>
    <n v="5.7429282407392748"/>
    <x v="2"/>
    <x v="15"/>
    <n v="0.74292824073927477"/>
    <x v="15"/>
  </r>
  <r>
    <n v="1029"/>
    <s v="1029111"/>
    <d v="2023-09-16T06:10:11"/>
    <s v="type40"/>
    <n v="-351.56"/>
    <x v="6"/>
    <d v="2023-09-23T06:10:11"/>
    <x v="5"/>
    <d v="2023-10-03T00:00:00"/>
    <n v="16.742928240739275"/>
    <x v="0"/>
    <x v="3"/>
    <n v="9.7429282407392748"/>
    <x v="3"/>
  </r>
  <r>
    <n v="1027"/>
    <s v="1027111"/>
    <d v="2023-09-10T06:10:11"/>
    <s v="type13"/>
    <n v="26974.57"/>
    <x v="1"/>
    <d v="2023-09-12T06:10:11"/>
    <x v="5"/>
    <d v="2023-10-03T00:00:00"/>
    <n v="22.742928240739275"/>
    <x v="0"/>
    <x v="18"/>
    <n v="20.742928240739275"/>
    <x v="18"/>
  </r>
  <r>
    <n v="1019"/>
    <s v="1019111"/>
    <d v="2023-09-21T06:10:11"/>
    <s v="type40"/>
    <n v="-305.95999999999998"/>
    <x v="2"/>
    <d v="2023-09-22T06:10:11"/>
    <x v="0"/>
    <d v="2023-10-03T00:00:00"/>
    <n v="11.742928240739275"/>
    <x v="0"/>
    <x v="10"/>
    <n v="10.742928240739275"/>
    <x v="10"/>
  </r>
  <r>
    <n v="1030"/>
    <s v="1030111"/>
    <d v="2023-09-12T06:10:11"/>
    <s v="type40"/>
    <n v="5775.83"/>
    <x v="1"/>
    <d v="2023-09-14T06:10:11"/>
    <x v="4"/>
    <d v="2023-10-03T00:00:00"/>
    <n v="20.742928240739275"/>
    <x v="0"/>
    <x v="20"/>
    <n v="18.742928240739275"/>
    <x v="20"/>
  </r>
  <r>
    <n v="1014"/>
    <s v="1014111"/>
    <d v="2023-09-13T06:10:11"/>
    <s v="type40"/>
    <n v="3692.98"/>
    <x v="3"/>
    <d v="2023-09-15T06:10:11"/>
    <x v="2"/>
    <d v="2023-10-03T00:00:00"/>
    <n v="19.742928240739275"/>
    <x v="0"/>
    <x v="0"/>
    <n v="17.742928240739275"/>
    <x v="0"/>
  </r>
  <r>
    <n v="1032"/>
    <s v="1032111"/>
    <d v="2023-09-18T06:10:11"/>
    <s v="type13"/>
    <n v="25607.39"/>
    <x v="6"/>
    <d v="2023-09-19T06:10:11"/>
    <x v="4"/>
    <d v="2023-10-03T00:00:00"/>
    <n v="14.742928240739275"/>
    <x v="0"/>
    <x v="19"/>
    <n v="13.742928240739275"/>
    <x v="19"/>
  </r>
  <r>
    <n v="1027"/>
    <s v="1027111"/>
    <d v="2023-09-14T06:10:11"/>
    <s v="type40"/>
    <n v="-317.26"/>
    <x v="3"/>
    <d v="2023-09-19T06:10:11"/>
    <x v="5"/>
    <d v="2023-10-03T00:00:00"/>
    <n v="18.742928240739275"/>
    <x v="0"/>
    <x v="19"/>
    <n v="13.742928240739275"/>
    <x v="19"/>
  </r>
  <r>
    <n v="1021"/>
    <s v="1021111"/>
    <d v="2023-09-20T06:10:11"/>
    <s v="type18"/>
    <n v="518643.8"/>
    <x v="4"/>
    <d v="2023-09-27T06:10:11"/>
    <x v="0"/>
    <d v="2023-10-03T00:00:00"/>
    <n v="12.742928240739275"/>
    <x v="0"/>
    <x v="12"/>
    <n v="5.7429282407392748"/>
    <x v="12"/>
  </r>
  <r>
    <n v="1024"/>
    <s v="1024111"/>
    <d v="2023-09-14T06:10:11"/>
    <s v="type13"/>
    <n v="13908.5"/>
    <x v="2"/>
    <d v="2023-09-15T06:10:11"/>
    <x v="5"/>
    <d v="2023-10-03T00:00:00"/>
    <n v="18.742928240739275"/>
    <x v="0"/>
    <x v="0"/>
    <n v="17.742928240739275"/>
    <x v="0"/>
  </r>
  <r>
    <n v="1015"/>
    <s v="1015111"/>
    <d v="2023-09-28T06:10:11"/>
    <s v="type40"/>
    <n v="-24285.61"/>
    <x v="0"/>
    <d v="2023-10-05T06:10:11"/>
    <x v="2"/>
    <d v="2023-10-03T00:00:00"/>
    <n v="4.7429282407392748"/>
    <x v="2"/>
    <x v="17"/>
    <n v="-2.2570717592607252"/>
    <x v="17"/>
  </r>
  <r>
    <n v="1021"/>
    <s v="1021111"/>
    <d v="2023-09-11T06:10:11"/>
    <s v="type30"/>
    <n v="271.77"/>
    <x v="6"/>
    <d v="2023-09-12T06:10:11"/>
    <x v="0"/>
    <d v="2023-10-03T00:00:00"/>
    <n v="21.742928240739275"/>
    <x v="0"/>
    <x v="18"/>
    <n v="20.742928240739275"/>
    <x v="18"/>
  </r>
  <r>
    <n v="1029"/>
    <s v="1029111"/>
    <d v="2023-09-28T06:10:11"/>
    <s v="type40"/>
    <n v="-3461.02"/>
    <x v="0"/>
    <d v="2023-09-29T06:10:11"/>
    <x v="5"/>
    <d v="2023-10-03T00:00:00"/>
    <n v="4.7429282407392748"/>
    <x v="2"/>
    <x v="13"/>
    <n v="3.7429282407392748"/>
    <x v="13"/>
  </r>
  <r>
    <n v="1024"/>
    <s v="1024111"/>
    <d v="2023-09-17T06:10:11"/>
    <s v="type13"/>
    <n v="13397.71"/>
    <x v="2"/>
    <d v="2023-09-19T06:10:11"/>
    <x v="5"/>
    <d v="2023-10-03T00:00:00"/>
    <n v="15.742928240739275"/>
    <x v="0"/>
    <x v="19"/>
    <n v="13.742928240739275"/>
    <x v="19"/>
  </r>
  <r>
    <n v="1018"/>
    <s v="1018111"/>
    <d v="2023-09-23T06:10:11"/>
    <s v="type13"/>
    <n v="40940.75"/>
    <x v="4"/>
    <d v="2023-09-24T06:10:11"/>
    <x v="0"/>
    <d v="2023-10-03T00:00:00"/>
    <n v="9.7429282407392748"/>
    <x v="0"/>
    <x v="5"/>
    <n v="8.7429282407392748"/>
    <x v="5"/>
  </r>
  <r>
    <n v="1025"/>
    <s v="1025111"/>
    <d v="2023-09-13T06:10:11"/>
    <s v="type40"/>
    <n v="5.35"/>
    <x v="2"/>
    <d v="2023-09-15T06:10:11"/>
    <x v="5"/>
    <d v="2023-10-03T00:00:00"/>
    <n v="19.742928240739275"/>
    <x v="0"/>
    <x v="0"/>
    <n v="17.742928240739275"/>
    <x v="0"/>
  </r>
  <r>
    <n v="1002"/>
    <s v="1002111"/>
    <d v="2023-09-10T06:10:11"/>
    <s v="type33"/>
    <n v="781.35"/>
    <x v="4"/>
    <d v="2023-09-12T06:10:11"/>
    <x v="3"/>
    <d v="2023-10-03T00:00:00"/>
    <n v="22.742928240739275"/>
    <x v="0"/>
    <x v="18"/>
    <n v="20.742928240739275"/>
    <x v="18"/>
  </r>
  <r>
    <n v="1034"/>
    <s v="1034111"/>
    <d v="2023-09-22T06:10:11"/>
    <s v="type13"/>
    <n v="39836.400000000001"/>
    <x v="2"/>
    <d v="2023-09-24T06:10:11"/>
    <x v="4"/>
    <d v="2023-10-03T00:00:00"/>
    <n v="10.742928240739275"/>
    <x v="0"/>
    <x v="5"/>
    <n v="8.7429282407392748"/>
    <x v="5"/>
  </r>
  <r>
    <n v="1025"/>
    <s v="1025111"/>
    <d v="2023-09-28T06:10:11"/>
    <s v="type40"/>
    <n v="-663.26"/>
    <x v="0"/>
    <d v="2023-10-05T06:10:11"/>
    <x v="5"/>
    <d v="2023-10-03T00:00:00"/>
    <n v="4.7429282407392748"/>
    <x v="2"/>
    <x v="17"/>
    <n v="-2.2570717592607252"/>
    <x v="17"/>
  </r>
  <r>
    <n v="1035"/>
    <s v="1035111"/>
    <d v="2023-09-21T06:10:11"/>
    <s v="type40"/>
    <n v="-634.08000000000004"/>
    <x v="1"/>
    <d v="2023-09-28T06:10:11"/>
    <x v="4"/>
    <d v="2023-10-03T00:00:00"/>
    <n v="11.742928240739275"/>
    <x v="0"/>
    <x v="8"/>
    <n v="4.7429282407392748"/>
    <x v="8"/>
  </r>
  <r>
    <n v="1003"/>
    <s v="1003111"/>
    <d v="2023-09-28T06:10:11"/>
    <s v="type40"/>
    <n v="312.32"/>
    <x v="0"/>
    <d v="2023-09-29T06:10:11"/>
    <x v="3"/>
    <d v="2023-10-03T00:00:00"/>
    <n v="4.7429282407392748"/>
    <x v="2"/>
    <x v="13"/>
    <n v="3.7429282407392748"/>
    <x v="13"/>
  </r>
  <r>
    <n v="1029"/>
    <s v="1029111"/>
    <d v="2023-09-17T06:10:11"/>
    <s v="type13"/>
    <n v="60335.22"/>
    <x v="2"/>
    <d v="2023-09-19T06:10:11"/>
    <x v="5"/>
    <d v="2023-10-03T00:00:00"/>
    <n v="15.742928240739275"/>
    <x v="0"/>
    <x v="19"/>
    <n v="13.742928240739275"/>
    <x v="19"/>
  </r>
  <r>
    <n v="1002"/>
    <s v="1002111"/>
    <d v="2023-09-28T06:10:11"/>
    <s v="type40"/>
    <n v="45"/>
    <x v="0"/>
    <d v="2023-09-30T06:10:11"/>
    <x v="3"/>
    <d v="2023-10-03T00:00:00"/>
    <n v="4.7429282407392748"/>
    <x v="2"/>
    <x v="14"/>
    <n v="2.7429282407392748"/>
    <x v="14"/>
  </r>
  <r>
    <n v="1028"/>
    <s v="1028111"/>
    <d v="2023-09-24T06:10:11"/>
    <s v="type13"/>
    <n v="26604.61"/>
    <x v="1"/>
    <d v="2023-10-01T06:10:11"/>
    <x v="5"/>
    <d v="2023-10-03T00:00:00"/>
    <n v="8.7429282407392748"/>
    <x v="1"/>
    <x v="22"/>
    <n v="1.7429282407392748"/>
    <x v="22"/>
  </r>
  <r>
    <n v="1001"/>
    <s v="1001111"/>
    <d v="2023-09-25T06:10:11"/>
    <s v="type40"/>
    <n v="-658.34"/>
    <x v="3"/>
    <d v="2023-10-02T06:10:11"/>
    <x v="3"/>
    <d v="2023-10-03T00:00:00"/>
    <n v="7.7429282407392748"/>
    <x v="1"/>
    <x v="15"/>
    <n v="0.74292824073927477"/>
    <x v="15"/>
  </r>
  <r>
    <n v="1027"/>
    <s v="1027111"/>
    <d v="2023-09-13T06:10:11"/>
    <s v="type40"/>
    <n v="307.86"/>
    <x v="2"/>
    <d v="2023-09-20T06:10:11"/>
    <x v="5"/>
    <d v="2023-10-03T00:00:00"/>
    <n v="19.742928240739275"/>
    <x v="0"/>
    <x v="9"/>
    <n v="12.742928240739275"/>
    <x v="9"/>
  </r>
  <r>
    <n v="1001"/>
    <s v="1001111"/>
    <d v="2023-09-27T06:10:11"/>
    <s v="type13"/>
    <n v="21228.45"/>
    <x v="3"/>
    <d v="2023-10-04T06:10:11"/>
    <x v="3"/>
    <d v="2023-10-03T00:00:00"/>
    <n v="5.7429282407392748"/>
    <x v="2"/>
    <x v="23"/>
    <n v="-1.2570717592607252"/>
    <x v="23"/>
  </r>
  <r>
    <n v="1013"/>
    <s v="1013111"/>
    <d v="2023-09-14T06:10:11"/>
    <s v="type40"/>
    <n v="65"/>
    <x v="6"/>
    <d v="2023-09-16T06:10:11"/>
    <x v="2"/>
    <d v="2023-10-03T00:00:00"/>
    <n v="18.742928240739275"/>
    <x v="0"/>
    <x v="2"/>
    <n v="16.742928240739275"/>
    <x v="2"/>
  </r>
  <r>
    <n v="1004"/>
    <s v="1004111"/>
    <d v="2023-09-11T06:10:11"/>
    <s v="type43"/>
    <n v="208.71"/>
    <x v="4"/>
    <d v="2023-09-13T06:10:11"/>
    <x v="3"/>
    <d v="2023-10-03T00:00:00"/>
    <n v="21.742928240739275"/>
    <x v="0"/>
    <x v="24"/>
    <n v="19.742928240739275"/>
    <x v="24"/>
  </r>
  <r>
    <n v="1003"/>
    <s v="1003111"/>
    <d v="2023-09-17T06:10:11"/>
    <s v="type13"/>
    <n v="25067.89"/>
    <x v="1"/>
    <d v="2023-09-24T06:10:11"/>
    <x v="3"/>
    <d v="2023-10-03T00:00:00"/>
    <n v="15.742928240739275"/>
    <x v="0"/>
    <x v="5"/>
    <n v="8.7429282407392748"/>
    <x v="5"/>
  </r>
  <r>
    <n v="1031"/>
    <s v="1031111"/>
    <d v="2023-09-19T06:10:11"/>
    <s v="type16"/>
    <n v="2172"/>
    <x v="4"/>
    <d v="2023-09-21T06:10:11"/>
    <x v="4"/>
    <d v="2023-10-03T00:00:00"/>
    <n v="13.742928240739275"/>
    <x v="0"/>
    <x v="1"/>
    <n v="11.742928240739275"/>
    <x v="1"/>
  </r>
  <r>
    <n v="1017"/>
    <s v="1017111"/>
    <d v="2023-09-22T06:10:11"/>
    <s v="type40"/>
    <n v="622.08000000000004"/>
    <x v="6"/>
    <d v="2023-09-29T06:10:11"/>
    <x v="2"/>
    <d v="2023-10-03T00:00:00"/>
    <n v="10.742928240739275"/>
    <x v="0"/>
    <x v="13"/>
    <n v="3.7429282407392748"/>
    <x v="13"/>
  </r>
  <r>
    <n v="1004"/>
    <s v="1004111"/>
    <d v="2023-09-16T06:10:11"/>
    <s v="type40"/>
    <n v="-2701.45"/>
    <x v="2"/>
    <d v="2023-09-23T06:10:11"/>
    <x v="3"/>
    <d v="2023-10-03T00:00:00"/>
    <n v="16.742928240739275"/>
    <x v="0"/>
    <x v="3"/>
    <n v="9.7429282407392748"/>
    <x v="3"/>
  </r>
  <r>
    <n v="1014"/>
    <s v="1014111"/>
    <d v="2023-09-20T06:10:11"/>
    <s v="type13"/>
    <n v="25008.48"/>
    <x v="3"/>
    <d v="2023-09-21T06:10:11"/>
    <x v="2"/>
    <d v="2023-10-03T00:00:00"/>
    <n v="12.742928240739275"/>
    <x v="0"/>
    <x v="1"/>
    <n v="11.742928240739275"/>
    <x v="1"/>
  </r>
  <r>
    <n v="1007"/>
    <s v="1007111"/>
    <d v="2023-09-23T06:10:11"/>
    <s v="type40"/>
    <n v="1240.55"/>
    <x v="4"/>
    <d v="2023-09-28T06:10:11"/>
    <x v="1"/>
    <d v="2023-10-03T00:00:00"/>
    <n v="9.7429282407392748"/>
    <x v="0"/>
    <x v="8"/>
    <n v="4.7429282407392748"/>
    <x v="8"/>
  </r>
  <r>
    <n v="1020"/>
    <s v="1020111"/>
    <d v="2023-09-21T06:10:11"/>
    <s v="type13"/>
    <n v="57800.02"/>
    <x v="3"/>
    <d v="2023-09-22T06:10:11"/>
    <x v="0"/>
    <d v="2023-10-03T00:00:00"/>
    <n v="11.742928240739275"/>
    <x v="0"/>
    <x v="10"/>
    <n v="10.742928240739275"/>
    <x v="10"/>
  </r>
  <r>
    <n v="1013"/>
    <s v="1013111"/>
    <d v="2023-09-17T06:10:11"/>
    <s v="type40"/>
    <n v="69.14"/>
    <x v="6"/>
    <d v="2023-09-19T06:10:11"/>
    <x v="2"/>
    <d v="2023-10-03T00:00:00"/>
    <n v="15.742928240739275"/>
    <x v="0"/>
    <x v="19"/>
    <n v="13.742928240739275"/>
    <x v="19"/>
  </r>
  <r>
    <n v="1003"/>
    <s v="1003111"/>
    <d v="2023-09-22T06:10:11"/>
    <s v="type7"/>
    <n v="-1488.16"/>
    <x v="3"/>
    <d v="2023-09-23T06:10:11"/>
    <x v="3"/>
    <d v="2023-10-03T00:00:00"/>
    <n v="10.742928240739275"/>
    <x v="0"/>
    <x v="3"/>
    <n v="9.7429282407392748"/>
    <x v="3"/>
  </r>
  <r>
    <n v="1025"/>
    <s v="1025111"/>
    <d v="2023-09-23T06:10:11"/>
    <s v="type13"/>
    <n v="27753.07"/>
    <x v="3"/>
    <d v="2023-09-24T06:10:11"/>
    <x v="5"/>
    <d v="2023-10-03T00:00:00"/>
    <n v="9.7429282407392748"/>
    <x v="0"/>
    <x v="5"/>
    <n v="8.7429282407392748"/>
    <x v="5"/>
  </r>
  <r>
    <n v="1018"/>
    <s v="1018111"/>
    <d v="2023-09-14T06:10:11"/>
    <s v="type40"/>
    <n v="-4561.9799999999996"/>
    <x v="4"/>
    <d v="2023-09-19T06:10:11"/>
    <x v="0"/>
    <d v="2023-10-03T00:00:00"/>
    <n v="18.742928240739275"/>
    <x v="0"/>
    <x v="19"/>
    <n v="13.742928240739275"/>
    <x v="19"/>
  </r>
  <r>
    <n v="1032"/>
    <s v="1032111"/>
    <d v="2023-09-25T06:10:11"/>
    <s v="type40"/>
    <n v="-1036.6300000000001"/>
    <x v="1"/>
    <d v="2023-09-26T06:10:11"/>
    <x v="4"/>
    <d v="2023-10-03T00:00:00"/>
    <n v="7.7429282407392748"/>
    <x v="1"/>
    <x v="7"/>
    <n v="6.7429282407392748"/>
    <x v="7"/>
  </r>
  <r>
    <n v="1021"/>
    <s v="1021111"/>
    <d v="2023-09-15T06:10:11"/>
    <s v="type40"/>
    <n v="-320.83"/>
    <x v="4"/>
    <d v="2023-09-20T06:10:11"/>
    <x v="0"/>
    <d v="2023-10-03T00:00:00"/>
    <n v="17.742928240739275"/>
    <x v="0"/>
    <x v="9"/>
    <n v="12.742928240739275"/>
    <x v="9"/>
  </r>
  <r>
    <n v="1035"/>
    <s v="1035111"/>
    <d v="2023-09-27T06:10:11"/>
    <s v="type38"/>
    <n v="276.48"/>
    <x v="0"/>
    <d v="2023-10-02T06:10:11"/>
    <x v="4"/>
    <d v="2023-10-03T00:00:00"/>
    <n v="5.7429282407392748"/>
    <x v="2"/>
    <x v="15"/>
    <n v="0.74292824073927477"/>
    <x v="15"/>
  </r>
  <r>
    <n v="1013"/>
    <s v="1013111"/>
    <d v="2023-09-22T06:10:11"/>
    <s v="type40"/>
    <n v="-497.78"/>
    <x v="6"/>
    <d v="2023-09-29T06:10:11"/>
    <x v="2"/>
    <d v="2023-10-03T00:00:00"/>
    <n v="10.742928240739275"/>
    <x v="0"/>
    <x v="13"/>
    <n v="3.7429282407392748"/>
    <x v="13"/>
  </r>
  <r>
    <n v="1010"/>
    <s v="1010111"/>
    <d v="2023-09-10T06:10:11"/>
    <s v="type40"/>
    <n v="-3957.33"/>
    <x v="3"/>
    <d v="2023-09-11T06:10:11"/>
    <x v="1"/>
    <d v="2023-10-03T00:00:00"/>
    <n v="22.742928240739275"/>
    <x v="0"/>
    <x v="21"/>
    <n v="21.742928240739275"/>
    <x v="21"/>
  </r>
  <r>
    <n v="1014"/>
    <s v="1014111"/>
    <d v="2023-09-16T06:10:11"/>
    <s v="type40"/>
    <n v="-2229.15"/>
    <x v="6"/>
    <d v="2023-09-18T06:10:11"/>
    <x v="2"/>
    <d v="2023-10-03T00:00:00"/>
    <n v="16.742928240739275"/>
    <x v="0"/>
    <x v="6"/>
    <n v="14.742928240739275"/>
    <x v="6"/>
  </r>
  <r>
    <n v="1011"/>
    <s v="1011111"/>
    <d v="2023-09-12T06:10:11"/>
    <s v="type40"/>
    <n v="-681.71"/>
    <x v="1"/>
    <d v="2023-09-13T06:10:11"/>
    <x v="1"/>
    <d v="2023-10-03T00:00:00"/>
    <n v="20.742928240739275"/>
    <x v="0"/>
    <x v="24"/>
    <n v="19.742928240739275"/>
    <x v="24"/>
  </r>
  <r>
    <n v="1016"/>
    <s v="1016111"/>
    <d v="2023-09-27T06:10:11"/>
    <s v="type26"/>
    <n v="927.24"/>
    <x v="6"/>
    <d v="2023-10-04T06:10:11"/>
    <x v="2"/>
    <d v="2023-10-03T00:00:00"/>
    <n v="5.7429282407392748"/>
    <x v="2"/>
    <x v="23"/>
    <n v="-1.2570717592607252"/>
    <x v="23"/>
  </r>
  <r>
    <n v="1031"/>
    <s v="1031111"/>
    <d v="2023-09-18T06:10:11"/>
    <s v="type15"/>
    <n v="-2406.4"/>
    <x v="4"/>
    <d v="2023-09-23T06:10:11"/>
    <x v="4"/>
    <d v="2023-10-03T00:00:00"/>
    <n v="14.742928240739275"/>
    <x v="0"/>
    <x v="3"/>
    <n v="9.7429282407392748"/>
    <x v="3"/>
  </r>
  <r>
    <n v="1017"/>
    <s v="1017111"/>
    <d v="2023-09-28T06:10:11"/>
    <s v="type40"/>
    <n v="-658.46"/>
    <x v="6"/>
    <d v="2023-10-03T06:10:11"/>
    <x v="2"/>
    <d v="2023-10-03T00:00:00"/>
    <n v="4.7429282407392748"/>
    <x v="2"/>
    <x v="16"/>
    <n v="-0.25707175926072523"/>
    <x v="16"/>
  </r>
  <r>
    <n v="1002"/>
    <s v="1002111"/>
    <d v="2023-09-14T06:10:11"/>
    <s v="type13"/>
    <n v="28805.4"/>
    <x v="1"/>
    <d v="2023-09-15T06:10:11"/>
    <x v="3"/>
    <d v="2023-10-03T00:00:00"/>
    <n v="18.742928240739275"/>
    <x v="0"/>
    <x v="0"/>
    <n v="17.742928240739275"/>
    <x v="0"/>
  </r>
  <r>
    <n v="1032"/>
    <s v="1032111"/>
    <d v="2023-09-15T06:10:11"/>
    <s v="type40"/>
    <n v="353.32"/>
    <x v="1"/>
    <d v="2023-09-17T06:10:11"/>
    <x v="4"/>
    <d v="2023-10-03T00:00:00"/>
    <n v="17.742928240739275"/>
    <x v="0"/>
    <x v="4"/>
    <n v="15.742928240739275"/>
    <x v="4"/>
  </r>
  <r>
    <n v="1024"/>
    <s v="1024111"/>
    <d v="2023-09-15T06:10:11"/>
    <s v="type13"/>
    <n v="26424.07"/>
    <x v="3"/>
    <d v="2023-09-17T06:10:11"/>
    <x v="5"/>
    <d v="2023-10-03T00:00:00"/>
    <n v="17.742928240739275"/>
    <x v="0"/>
    <x v="4"/>
    <n v="15.742928240739275"/>
    <x v="4"/>
  </r>
  <r>
    <n v="1016"/>
    <s v="1016111"/>
    <d v="2023-09-20T06:10:11"/>
    <s v="type40"/>
    <n v="694.4"/>
    <x v="2"/>
    <d v="2023-09-21T06:10:11"/>
    <x v="2"/>
    <d v="2023-10-03T00:00:00"/>
    <n v="12.742928240739275"/>
    <x v="0"/>
    <x v="1"/>
    <n v="11.742928240739275"/>
    <x v="1"/>
  </r>
  <r>
    <n v="1011"/>
    <s v="1011111"/>
    <d v="2023-09-16T06:10:11"/>
    <s v="type13"/>
    <n v="36152.269999999997"/>
    <x v="3"/>
    <d v="2023-09-18T06:10:11"/>
    <x v="1"/>
    <d v="2023-10-03T00:00:00"/>
    <n v="16.742928240739275"/>
    <x v="0"/>
    <x v="6"/>
    <n v="14.742928240739275"/>
    <x v="6"/>
  </r>
  <r>
    <n v="1001"/>
    <s v="1001111"/>
    <d v="2023-09-21T06:10:11"/>
    <s v="type8"/>
    <n v="118"/>
    <x v="4"/>
    <d v="2023-09-28T06:10:11"/>
    <x v="3"/>
    <d v="2023-10-03T00:00:00"/>
    <n v="11.742928240739275"/>
    <x v="0"/>
    <x v="8"/>
    <n v="4.7429282407392748"/>
    <x v="8"/>
  </r>
  <r>
    <n v="1023"/>
    <s v="1023111"/>
    <d v="2023-09-16T06:10:11"/>
    <s v="type33"/>
    <n v="388.26"/>
    <x v="2"/>
    <d v="2023-09-17T06:10:11"/>
    <x v="0"/>
    <d v="2023-10-03T00:00:00"/>
    <n v="16.742928240739275"/>
    <x v="0"/>
    <x v="4"/>
    <n v="15.742928240739275"/>
    <x v="4"/>
  </r>
  <r>
    <n v="1026"/>
    <s v="1026111"/>
    <d v="2023-09-20T06:10:11"/>
    <s v="type40"/>
    <n v="-5376.3"/>
    <x v="2"/>
    <d v="2023-09-21T06:10:11"/>
    <x v="5"/>
    <d v="2023-10-03T00:00:00"/>
    <n v="12.742928240739275"/>
    <x v="0"/>
    <x v="1"/>
    <n v="11.742928240739275"/>
    <x v="1"/>
  </r>
  <r>
    <n v="1025"/>
    <s v="1025111"/>
    <d v="2023-09-28T06:10:11"/>
    <s v="type35"/>
    <n v="1280.92"/>
    <x v="6"/>
    <d v="2023-10-05T06:10:11"/>
    <x v="5"/>
    <d v="2023-10-03T00:00:00"/>
    <n v="4.7429282407392748"/>
    <x v="2"/>
    <x v="17"/>
    <n v="-2.2570717592607252"/>
    <x v="17"/>
  </r>
  <r>
    <n v="1027"/>
    <s v="1027111"/>
    <d v="2023-09-21T06:10:11"/>
    <s v="type13"/>
    <n v="27443.21"/>
    <x v="2"/>
    <d v="2023-09-23T06:10:11"/>
    <x v="5"/>
    <d v="2023-10-03T00:00:00"/>
    <n v="11.742928240739275"/>
    <x v="0"/>
    <x v="3"/>
    <n v="9.7429282407392748"/>
    <x v="3"/>
  </r>
  <r>
    <n v="1018"/>
    <s v="1018111"/>
    <d v="2023-09-27T06:10:11"/>
    <s v="type32"/>
    <n v="476579.04"/>
    <x v="6"/>
    <d v="2023-10-02T06:10:11"/>
    <x v="0"/>
    <d v="2023-10-03T00:00:00"/>
    <n v="5.7429282407392748"/>
    <x v="2"/>
    <x v="15"/>
    <n v="0.74292824073927477"/>
    <x v="15"/>
  </r>
  <r>
    <n v="1013"/>
    <s v="1013111"/>
    <d v="2023-09-23T06:10:11"/>
    <s v="type40"/>
    <n v="-515.79"/>
    <x v="4"/>
    <d v="2023-09-30T06:10:11"/>
    <x v="2"/>
    <d v="2023-10-03T00:00:00"/>
    <n v="9.7429282407392748"/>
    <x v="0"/>
    <x v="14"/>
    <n v="2.7429282407392748"/>
    <x v="14"/>
  </r>
  <r>
    <n v="1006"/>
    <s v="1006111"/>
    <d v="2023-09-19T06:10:11"/>
    <s v="type8"/>
    <n v="54.29"/>
    <x v="4"/>
    <d v="2023-09-21T06:10:11"/>
    <x v="1"/>
    <d v="2023-10-03T00:00:00"/>
    <n v="13.742928240739275"/>
    <x v="0"/>
    <x v="1"/>
    <n v="11.742928240739275"/>
    <x v="1"/>
  </r>
  <r>
    <n v="1015"/>
    <s v="1015111"/>
    <d v="2023-09-23T06:10:11"/>
    <s v="type8"/>
    <n v="291.49"/>
    <x v="2"/>
    <d v="2023-09-25T06:10:11"/>
    <x v="2"/>
    <d v="2023-10-03T00:00:00"/>
    <n v="9.7429282407392748"/>
    <x v="0"/>
    <x v="11"/>
    <n v="7.7429282407392748"/>
    <x v="11"/>
  </r>
  <r>
    <n v="1026"/>
    <s v="1026111"/>
    <d v="2023-09-23T06:10:11"/>
    <s v="type40"/>
    <n v="-456.76"/>
    <x v="3"/>
    <d v="2023-09-25T06:10:11"/>
    <x v="5"/>
    <d v="2023-10-03T00:00:00"/>
    <n v="9.7429282407392748"/>
    <x v="0"/>
    <x v="11"/>
    <n v="7.7429282407392748"/>
    <x v="11"/>
  </r>
  <r>
    <n v="1021"/>
    <s v="1021111"/>
    <d v="2023-09-10T06:10:11"/>
    <s v="type40"/>
    <n v="-1561.03"/>
    <x v="2"/>
    <d v="2023-09-12T06:10:11"/>
    <x v="0"/>
    <d v="2023-10-03T00:00:00"/>
    <n v="22.742928240739275"/>
    <x v="0"/>
    <x v="18"/>
    <n v="20.742928240739275"/>
    <x v="18"/>
  </r>
  <r>
    <n v="1029"/>
    <s v="1029111"/>
    <d v="2023-09-27T06:10:11"/>
    <s v="type40"/>
    <n v="1247"/>
    <x v="6"/>
    <d v="2023-09-28T06:10:11"/>
    <x v="5"/>
    <d v="2023-10-03T00:00:00"/>
    <n v="5.7429282407392748"/>
    <x v="2"/>
    <x v="8"/>
    <n v="4.7429282407392748"/>
    <x v="8"/>
  </r>
  <r>
    <n v="1032"/>
    <s v="1032111"/>
    <d v="2023-09-27T06:10:11"/>
    <s v="type48"/>
    <n v="-603.13"/>
    <x v="5"/>
    <d v="2023-10-04T06:10:11"/>
    <x v="4"/>
    <d v="2023-10-03T00:00:00"/>
    <n v="5.7429282407392748"/>
    <x v="2"/>
    <x v="23"/>
    <n v="-1.2570717592607252"/>
    <x v="23"/>
  </r>
  <r>
    <n v="1001"/>
    <s v="1001111"/>
    <d v="2023-09-21T06:10:11"/>
    <s v="type40"/>
    <n v="1162.33"/>
    <x v="4"/>
    <d v="2023-09-23T06:10:11"/>
    <x v="3"/>
    <d v="2023-10-03T00:00:00"/>
    <n v="11.742928240739275"/>
    <x v="0"/>
    <x v="3"/>
    <n v="9.7429282407392748"/>
    <x v="3"/>
  </r>
  <r>
    <n v="1021"/>
    <s v="1021111"/>
    <d v="2023-09-27T06:10:11"/>
    <s v="type40"/>
    <n v="-22206.25"/>
    <x v="6"/>
    <d v="2023-10-04T06:10:11"/>
    <x v="0"/>
    <d v="2023-10-03T00:00:00"/>
    <n v="5.7429282407392748"/>
    <x v="2"/>
    <x v="23"/>
    <n v="-1.2570717592607252"/>
    <x v="23"/>
  </r>
  <r>
    <n v="1021"/>
    <s v="1021111"/>
    <d v="2023-09-16T06:10:11"/>
    <s v="type10"/>
    <n v="66.819999999999993"/>
    <x v="1"/>
    <d v="2023-09-18T06:10:11"/>
    <x v="0"/>
    <d v="2023-10-03T00:00:00"/>
    <n v="16.742928240739275"/>
    <x v="0"/>
    <x v="6"/>
    <n v="14.742928240739275"/>
    <x v="6"/>
  </r>
  <r>
    <n v="1030"/>
    <s v="1030111"/>
    <d v="2023-09-28T06:10:11"/>
    <s v="type5"/>
    <n v="753.97"/>
    <x v="5"/>
    <d v="2023-09-29T06:10:11"/>
    <x v="4"/>
    <d v="2023-10-03T00:00:00"/>
    <n v="4.7429282407392748"/>
    <x v="2"/>
    <x v="13"/>
    <n v="3.7429282407392748"/>
    <x v="13"/>
  </r>
  <r>
    <n v="1012"/>
    <s v="1012111"/>
    <d v="2023-09-27T06:10:11"/>
    <s v="type40"/>
    <n v="30.69"/>
    <x v="5"/>
    <d v="2023-10-02T06:10:11"/>
    <x v="2"/>
    <d v="2023-10-03T00:00:00"/>
    <n v="5.7429282407392748"/>
    <x v="2"/>
    <x v="15"/>
    <n v="0.74292824073927477"/>
    <x v="15"/>
  </r>
  <r>
    <n v="1022"/>
    <s v="1022111"/>
    <d v="2023-09-18T06:10:11"/>
    <s v="type13"/>
    <n v="31555.45"/>
    <x v="3"/>
    <d v="2023-09-23T06:10:11"/>
    <x v="0"/>
    <d v="2023-10-03T00:00:00"/>
    <n v="14.742928240739275"/>
    <x v="0"/>
    <x v="3"/>
    <n v="9.7429282407392748"/>
    <x v="3"/>
  </r>
  <r>
    <n v="1034"/>
    <s v="1034111"/>
    <d v="2023-09-14T06:10:11"/>
    <s v="type26"/>
    <n v="644.96"/>
    <x v="2"/>
    <d v="2023-09-16T06:10:11"/>
    <x v="4"/>
    <d v="2023-10-03T00:00:00"/>
    <n v="18.742928240739275"/>
    <x v="0"/>
    <x v="2"/>
    <n v="16.742928240739275"/>
    <x v="2"/>
  </r>
  <r>
    <n v="1005"/>
    <s v="1005111"/>
    <d v="2023-09-27T06:10:11"/>
    <s v="type29"/>
    <n v="467.81"/>
    <x v="5"/>
    <d v="2023-10-04T06:10:11"/>
    <x v="3"/>
    <d v="2023-10-03T00:00:00"/>
    <n v="5.7429282407392748"/>
    <x v="2"/>
    <x v="23"/>
    <n v="-1.2570717592607252"/>
    <x v="23"/>
  </r>
  <r>
    <n v="1009"/>
    <s v="1009111"/>
    <d v="2023-09-27T06:10:11"/>
    <s v="type40"/>
    <n v="111.87"/>
    <x v="6"/>
    <d v="2023-10-04T06:10:11"/>
    <x v="1"/>
    <d v="2023-10-03T00:00:00"/>
    <n v="5.7429282407392748"/>
    <x v="2"/>
    <x v="23"/>
    <n v="-1.2570717592607252"/>
    <x v="23"/>
  </r>
  <r>
    <n v="1028"/>
    <s v="1028111"/>
    <d v="2023-09-21T06:10:11"/>
    <s v="type13"/>
    <n v="26444.17"/>
    <x v="3"/>
    <d v="2023-09-26T06:10:11"/>
    <x v="5"/>
    <d v="2023-10-03T00:00:00"/>
    <n v="11.742928240739275"/>
    <x v="0"/>
    <x v="7"/>
    <n v="6.7429282407392748"/>
    <x v="7"/>
  </r>
  <r>
    <n v="1026"/>
    <s v="1026111"/>
    <d v="2023-09-21T06:10:11"/>
    <s v="type13"/>
    <n v="25829.94"/>
    <x v="1"/>
    <d v="2023-09-26T06:10:11"/>
    <x v="5"/>
    <d v="2023-10-03T00:00:00"/>
    <n v="11.742928240739275"/>
    <x v="0"/>
    <x v="7"/>
    <n v="6.7429282407392748"/>
    <x v="7"/>
  </r>
  <r>
    <n v="1023"/>
    <s v="1023111"/>
    <d v="2023-09-27T06:10:11"/>
    <s v="type40"/>
    <n v="2340.36"/>
    <x v="0"/>
    <d v="2023-09-28T06:10:11"/>
    <x v="0"/>
    <d v="2023-10-03T00:00:00"/>
    <n v="5.7429282407392748"/>
    <x v="2"/>
    <x v="8"/>
    <n v="4.7429282407392748"/>
    <x v="8"/>
  </r>
  <r>
    <n v="1009"/>
    <s v="1009111"/>
    <d v="2023-09-27T06:10:11"/>
    <s v="type40"/>
    <n v="-319.26"/>
    <x v="0"/>
    <d v="2023-09-28T06:10:11"/>
    <x v="1"/>
    <d v="2023-10-03T00:00:00"/>
    <n v="5.7429282407392748"/>
    <x v="2"/>
    <x v="8"/>
    <n v="4.7429282407392748"/>
    <x v="8"/>
  </r>
  <r>
    <n v="1011"/>
    <s v="1011111"/>
    <d v="2023-09-24T06:10:11"/>
    <s v="type13"/>
    <n v="26858.3"/>
    <x v="1"/>
    <d v="2023-10-01T06:10:11"/>
    <x v="1"/>
    <d v="2023-10-03T00:00:00"/>
    <n v="8.7429282407392748"/>
    <x v="1"/>
    <x v="22"/>
    <n v="1.7429282407392748"/>
    <x v="22"/>
  </r>
  <r>
    <n v="1032"/>
    <s v="1032111"/>
    <d v="2023-09-18T06:10:11"/>
    <s v="type40"/>
    <n v="-1611.32"/>
    <x v="2"/>
    <d v="2023-09-23T06:10:11"/>
    <x v="4"/>
    <d v="2023-10-03T00:00:00"/>
    <n v="14.742928240739275"/>
    <x v="0"/>
    <x v="3"/>
    <n v="9.7429282407392748"/>
    <x v="3"/>
  </r>
  <r>
    <n v="1006"/>
    <s v="1006111"/>
    <d v="2023-09-19T06:10:11"/>
    <s v="type40"/>
    <n v="5562.27"/>
    <x v="2"/>
    <d v="2023-09-24T06:10:11"/>
    <x v="1"/>
    <d v="2023-10-03T00:00:00"/>
    <n v="13.742928240739275"/>
    <x v="0"/>
    <x v="5"/>
    <n v="8.7429282407392748"/>
    <x v="5"/>
  </r>
  <r>
    <n v="1020"/>
    <s v="1020111"/>
    <d v="2023-09-28T06:10:11"/>
    <s v="type40"/>
    <n v="5822"/>
    <x v="5"/>
    <d v="2023-09-30T06:10:11"/>
    <x v="0"/>
    <d v="2023-10-03T00:00:00"/>
    <n v="4.7429282407392748"/>
    <x v="2"/>
    <x v="14"/>
    <n v="2.7429282407392748"/>
    <x v="14"/>
  </r>
  <r>
    <n v="1029"/>
    <s v="1029111"/>
    <d v="2023-09-28T06:10:11"/>
    <s v="type26"/>
    <n v="149.85"/>
    <x v="3"/>
    <d v="2023-10-05T06:10:11"/>
    <x v="5"/>
    <d v="2023-10-03T00:00:00"/>
    <n v="4.7429282407392748"/>
    <x v="2"/>
    <x v="17"/>
    <n v="-2.2570717592607252"/>
    <x v="17"/>
  </r>
  <r>
    <n v="1013"/>
    <s v="1013111"/>
    <d v="2023-09-10T06:10:11"/>
    <s v="type38"/>
    <n v="154.41999999999999"/>
    <x v="1"/>
    <d v="2023-09-17T06:10:11"/>
    <x v="2"/>
    <d v="2023-10-03T00:00:00"/>
    <n v="22.742928240739275"/>
    <x v="0"/>
    <x v="4"/>
    <n v="15.742928240739275"/>
    <x v="4"/>
  </r>
  <r>
    <n v="1030"/>
    <s v="1030111"/>
    <d v="2023-09-28T06:10:11"/>
    <s v="type40"/>
    <n v="-478.13"/>
    <x v="5"/>
    <d v="2023-09-30T06:10:11"/>
    <x v="4"/>
    <d v="2023-10-03T00:00:00"/>
    <n v="4.7429282407392748"/>
    <x v="2"/>
    <x v="14"/>
    <n v="2.7429282407392748"/>
    <x v="14"/>
  </r>
  <r>
    <n v="1013"/>
    <s v="1013111"/>
    <d v="2023-09-13T06:10:11"/>
    <s v="type40"/>
    <n v="460.26"/>
    <x v="4"/>
    <d v="2023-09-15T06:10:11"/>
    <x v="2"/>
    <d v="2023-10-03T00:00:00"/>
    <n v="19.742928240739275"/>
    <x v="0"/>
    <x v="0"/>
    <n v="17.742928240739275"/>
    <x v="0"/>
  </r>
  <r>
    <n v="1024"/>
    <s v="1024111"/>
    <d v="2023-09-27T06:10:11"/>
    <s v="type40"/>
    <n v="-436.07"/>
    <x v="0"/>
    <d v="2023-09-28T06:10:11"/>
    <x v="5"/>
    <d v="2023-10-03T00:00:00"/>
    <n v="5.7429282407392748"/>
    <x v="2"/>
    <x v="8"/>
    <n v="4.7429282407392748"/>
    <x v="8"/>
  </r>
  <r>
    <n v="1020"/>
    <s v="1020111"/>
    <d v="2023-09-13T06:10:11"/>
    <s v="type40"/>
    <n v="-3795.75"/>
    <x v="3"/>
    <d v="2023-09-20T06:10:11"/>
    <x v="0"/>
    <d v="2023-10-03T00:00:00"/>
    <n v="19.742928240739275"/>
    <x v="0"/>
    <x v="9"/>
    <n v="12.742928240739275"/>
    <x v="9"/>
  </r>
  <r>
    <n v="1028"/>
    <s v="1028111"/>
    <d v="2023-09-23T06:10:11"/>
    <s v="type13"/>
    <n v="19385"/>
    <x v="2"/>
    <d v="2023-09-30T06:10:11"/>
    <x v="5"/>
    <d v="2023-10-03T00:00:00"/>
    <n v="9.7429282407392748"/>
    <x v="0"/>
    <x v="14"/>
    <n v="2.7429282407392748"/>
    <x v="14"/>
  </r>
  <r>
    <n v="1017"/>
    <s v="1017111"/>
    <d v="2023-09-14T06:10:11"/>
    <s v="type40"/>
    <n v="-4291.8100000000004"/>
    <x v="1"/>
    <d v="2023-09-21T06:10:11"/>
    <x v="2"/>
    <d v="2023-10-03T00:00:00"/>
    <n v="18.742928240739275"/>
    <x v="0"/>
    <x v="1"/>
    <n v="11.742928240739275"/>
    <x v="1"/>
  </r>
  <r>
    <n v="1013"/>
    <s v="1013111"/>
    <d v="2023-09-18T06:10:11"/>
    <s v="type18"/>
    <n v="411.13"/>
    <x v="2"/>
    <d v="2023-09-25T06:10:11"/>
    <x v="2"/>
    <d v="2023-10-03T00:00:00"/>
    <n v="14.742928240739275"/>
    <x v="0"/>
    <x v="11"/>
    <n v="7.7429282407392748"/>
    <x v="11"/>
  </r>
  <r>
    <n v="1004"/>
    <s v="1004111"/>
    <d v="2023-09-28T06:10:11"/>
    <s v="type22"/>
    <n v="426.34"/>
    <x v="5"/>
    <d v="2023-09-29T06:10:11"/>
    <x v="3"/>
    <d v="2023-10-03T00:00:00"/>
    <n v="4.7429282407392748"/>
    <x v="2"/>
    <x v="13"/>
    <n v="3.7429282407392748"/>
    <x v="13"/>
  </r>
  <r>
    <n v="1000"/>
    <s v="1000111"/>
    <d v="2023-09-16T06:10:11"/>
    <s v="type40"/>
    <n v="488.18"/>
    <x v="1"/>
    <d v="2023-09-23T06:10:11"/>
    <x v="3"/>
    <d v="2023-10-03T00:00:00"/>
    <n v="16.742928240739275"/>
    <x v="0"/>
    <x v="3"/>
    <n v="9.7429282407392748"/>
    <x v="3"/>
  </r>
  <r>
    <n v="1010"/>
    <s v="1010111"/>
    <d v="2023-09-16T06:10:11"/>
    <s v="type40"/>
    <n v="-1155.33"/>
    <x v="1"/>
    <d v="2023-09-23T06:10:11"/>
    <x v="1"/>
    <d v="2023-10-03T00:00:00"/>
    <n v="16.742928240739275"/>
    <x v="0"/>
    <x v="3"/>
    <n v="9.7429282407392748"/>
    <x v="3"/>
  </r>
  <r>
    <n v="1028"/>
    <s v="1028111"/>
    <d v="2023-09-17T06:10:11"/>
    <s v="type40"/>
    <n v="1271.07"/>
    <x v="1"/>
    <d v="2023-09-24T06:10:11"/>
    <x v="5"/>
    <d v="2023-10-03T00:00:00"/>
    <n v="15.742928240739275"/>
    <x v="0"/>
    <x v="5"/>
    <n v="8.7429282407392748"/>
    <x v="5"/>
  </r>
  <r>
    <n v="1025"/>
    <s v="1025111"/>
    <d v="2023-09-14T06:10:11"/>
    <s v="type48"/>
    <n v="837.2"/>
    <x v="4"/>
    <d v="2023-09-19T06:10:11"/>
    <x v="5"/>
    <d v="2023-10-03T00:00:00"/>
    <n v="18.742928240739275"/>
    <x v="0"/>
    <x v="19"/>
    <n v="13.742928240739275"/>
    <x v="19"/>
  </r>
  <r>
    <n v="1034"/>
    <s v="1034111"/>
    <d v="2023-09-18T06:10:11"/>
    <s v="type40"/>
    <n v="-5317.83"/>
    <x v="3"/>
    <d v="2023-09-19T06:10:11"/>
    <x v="4"/>
    <d v="2023-10-03T00:00:00"/>
    <n v="14.742928240739275"/>
    <x v="0"/>
    <x v="19"/>
    <n v="13.742928240739275"/>
    <x v="19"/>
  </r>
  <r>
    <n v="1012"/>
    <s v="1012111"/>
    <d v="2023-09-18T06:10:11"/>
    <s v="type40"/>
    <n v="-330.33"/>
    <x v="4"/>
    <d v="2023-09-25T06:10:11"/>
    <x v="2"/>
    <d v="2023-10-03T00:00:00"/>
    <n v="14.742928240739275"/>
    <x v="0"/>
    <x v="11"/>
    <n v="7.7429282407392748"/>
    <x v="11"/>
  </r>
  <r>
    <n v="1011"/>
    <s v="1011111"/>
    <d v="2023-09-20T06:10:11"/>
    <s v="type40"/>
    <n v="-4254.57"/>
    <x v="3"/>
    <d v="2023-09-21T06:10:11"/>
    <x v="1"/>
    <d v="2023-10-03T00:00:00"/>
    <n v="12.742928240739275"/>
    <x v="0"/>
    <x v="1"/>
    <n v="11.742928240739275"/>
    <x v="1"/>
  </r>
  <r>
    <n v="1005"/>
    <s v="1005111"/>
    <d v="2023-09-20T06:10:11"/>
    <s v="type13"/>
    <n v="30046.67"/>
    <x v="3"/>
    <d v="2023-09-21T06:10:11"/>
    <x v="3"/>
    <d v="2023-10-03T00:00:00"/>
    <n v="12.742928240739275"/>
    <x v="0"/>
    <x v="1"/>
    <n v="11.742928240739275"/>
    <x v="1"/>
  </r>
  <r>
    <n v="1022"/>
    <s v="1022111"/>
    <d v="2023-09-28T06:10:11"/>
    <s v="type40"/>
    <n v="435.53"/>
    <x v="5"/>
    <d v="2023-10-05T06:10:11"/>
    <x v="0"/>
    <d v="2023-10-03T00:00:00"/>
    <n v="4.7429282407392748"/>
    <x v="2"/>
    <x v="17"/>
    <n v="-2.2570717592607252"/>
    <x v="17"/>
  </r>
  <r>
    <n v="1022"/>
    <s v="1022111"/>
    <d v="2023-09-21T06:10:11"/>
    <s v="type38"/>
    <n v="177.1"/>
    <x v="1"/>
    <d v="2023-09-22T06:10:11"/>
    <x v="0"/>
    <d v="2023-10-03T00:00:00"/>
    <n v="11.742928240739275"/>
    <x v="0"/>
    <x v="10"/>
    <n v="10.742928240739275"/>
    <x v="10"/>
  </r>
  <r>
    <n v="1033"/>
    <s v="1033111"/>
    <d v="2023-09-22T06:10:11"/>
    <s v="type40"/>
    <n v="24"/>
    <x v="1"/>
    <d v="2023-09-23T06:10:11"/>
    <x v="4"/>
    <d v="2023-10-03T00:00:00"/>
    <n v="10.742928240739275"/>
    <x v="0"/>
    <x v="3"/>
    <n v="9.7429282407392748"/>
    <x v="3"/>
  </r>
  <r>
    <n v="1026"/>
    <s v="1026111"/>
    <d v="2023-09-23T06:10:11"/>
    <s v="type13"/>
    <n v="30830.75"/>
    <x v="1"/>
    <d v="2023-09-24T06:10:11"/>
    <x v="5"/>
    <d v="2023-10-03T00:00:00"/>
    <n v="9.7429282407392748"/>
    <x v="0"/>
    <x v="5"/>
    <n v="8.7429282407392748"/>
    <x v="5"/>
  </r>
  <r>
    <n v="1021"/>
    <s v="1021111"/>
    <d v="2023-09-20T06:10:11"/>
    <s v="type40"/>
    <n v="-3870.46"/>
    <x v="2"/>
    <d v="2023-09-27T06:10:11"/>
    <x v="0"/>
    <d v="2023-10-03T00:00:00"/>
    <n v="12.742928240739275"/>
    <x v="0"/>
    <x v="12"/>
    <n v="5.7429282407392748"/>
    <x v="12"/>
  </r>
  <r>
    <n v="1022"/>
    <s v="1022111"/>
    <d v="2023-09-27T06:10:11"/>
    <s v="type7"/>
    <n v="-1694.76"/>
    <x v="5"/>
    <d v="2023-10-04T06:10:11"/>
    <x v="0"/>
    <d v="2023-10-03T00:00:00"/>
    <n v="5.7429282407392748"/>
    <x v="2"/>
    <x v="23"/>
    <n v="-1.2570717592607252"/>
    <x v="23"/>
  </r>
  <r>
    <n v="1022"/>
    <s v="1022111"/>
    <d v="2023-09-27T06:10:11"/>
    <s v="type13"/>
    <n v="60759.86"/>
    <x v="5"/>
    <d v="2023-09-29T06:10:11"/>
    <x v="0"/>
    <d v="2023-10-03T00:00:00"/>
    <n v="5.7429282407392748"/>
    <x v="2"/>
    <x v="13"/>
    <n v="3.7429282407392748"/>
    <x v="13"/>
  </r>
  <r>
    <n v="1027"/>
    <s v="1027111"/>
    <d v="2023-09-27T06:10:11"/>
    <s v="type13"/>
    <n v="25085.57"/>
    <x v="1"/>
    <d v="2023-09-28T06:10:11"/>
    <x v="5"/>
    <d v="2023-10-03T00:00:00"/>
    <n v="5.7429282407392748"/>
    <x v="2"/>
    <x v="8"/>
    <n v="4.7429282407392748"/>
    <x v="8"/>
  </r>
  <r>
    <n v="1026"/>
    <s v="1026111"/>
    <d v="2023-09-27T06:10:11"/>
    <s v="type40"/>
    <n v="32.94"/>
    <x v="5"/>
    <d v="2023-10-02T06:10:11"/>
    <x v="5"/>
    <d v="2023-10-03T00:00:00"/>
    <n v="5.7429282407392748"/>
    <x v="2"/>
    <x v="15"/>
    <n v="0.74292824073927477"/>
    <x v="15"/>
  </r>
  <r>
    <n v="1025"/>
    <s v="1025111"/>
    <d v="2023-09-21T06:10:11"/>
    <s v="type7"/>
    <n v="2031.94"/>
    <x v="2"/>
    <d v="2023-09-28T06:10:11"/>
    <x v="5"/>
    <d v="2023-10-03T00:00:00"/>
    <n v="11.742928240739275"/>
    <x v="0"/>
    <x v="8"/>
    <n v="4.7429282407392748"/>
    <x v="8"/>
  </r>
  <r>
    <n v="1003"/>
    <s v="1003111"/>
    <d v="2023-09-27T06:10:11"/>
    <s v="type35"/>
    <n v="542.29999999999995"/>
    <x v="0"/>
    <d v="2023-09-29T06:10:11"/>
    <x v="3"/>
    <d v="2023-10-03T00:00:00"/>
    <n v="5.7429282407392748"/>
    <x v="2"/>
    <x v="13"/>
    <n v="3.7429282407392748"/>
    <x v="13"/>
  </r>
  <r>
    <n v="1027"/>
    <s v="1027111"/>
    <d v="2023-09-18T06:10:11"/>
    <s v="type13"/>
    <n v="26406.639999999999"/>
    <x v="1"/>
    <d v="2023-09-19T06:10:11"/>
    <x v="5"/>
    <d v="2023-10-03T00:00:00"/>
    <n v="14.742928240739275"/>
    <x v="0"/>
    <x v="19"/>
    <n v="13.742928240739275"/>
    <x v="19"/>
  </r>
  <r>
    <n v="1015"/>
    <s v="1015111"/>
    <d v="2023-09-18T06:10:11"/>
    <s v="type13"/>
    <n v="27739.5"/>
    <x v="3"/>
    <d v="2023-09-19T06:10:11"/>
    <x v="2"/>
    <d v="2023-10-03T00:00:00"/>
    <n v="14.742928240739275"/>
    <x v="0"/>
    <x v="19"/>
    <n v="13.742928240739275"/>
    <x v="19"/>
  </r>
  <r>
    <n v="1033"/>
    <s v="1033111"/>
    <d v="2023-09-19T06:10:11"/>
    <s v="type51"/>
    <n v="9025"/>
    <x v="1"/>
    <d v="2023-09-20T06:10:11"/>
    <x v="4"/>
    <d v="2023-10-03T00:00:00"/>
    <n v="13.742928240739275"/>
    <x v="0"/>
    <x v="9"/>
    <n v="12.742928240739275"/>
    <x v="9"/>
  </r>
  <r>
    <n v="1031"/>
    <s v="1031111"/>
    <d v="2023-09-20T06:10:11"/>
    <s v="type7"/>
    <n v="1217.24"/>
    <x v="3"/>
    <d v="2023-09-22T06:10:11"/>
    <x v="4"/>
    <d v="2023-10-03T00:00:00"/>
    <n v="12.742928240739275"/>
    <x v="0"/>
    <x v="10"/>
    <n v="10.742928240739275"/>
    <x v="10"/>
  </r>
  <r>
    <n v="1011"/>
    <s v="1011111"/>
    <d v="2023-09-20T06:10:11"/>
    <s v="type11"/>
    <n v="7800"/>
    <x v="1"/>
    <d v="2023-09-22T06:10:11"/>
    <x v="1"/>
    <d v="2023-10-03T00:00:00"/>
    <n v="12.742928240739275"/>
    <x v="0"/>
    <x v="10"/>
    <n v="10.742928240739275"/>
    <x v="10"/>
  </r>
  <r>
    <n v="1024"/>
    <s v="1024111"/>
    <d v="2023-09-16T06:10:11"/>
    <s v="type13"/>
    <n v="40601.69"/>
    <x v="2"/>
    <d v="2023-09-17T06:10:11"/>
    <x v="5"/>
    <d v="2023-10-03T00:00:00"/>
    <n v="16.742928240739275"/>
    <x v="0"/>
    <x v="4"/>
    <n v="15.742928240739275"/>
    <x v="4"/>
  </r>
  <r>
    <n v="1029"/>
    <s v="1029111"/>
    <d v="2023-09-10T06:10:11"/>
    <s v="type40"/>
    <n v="346.12"/>
    <x v="2"/>
    <d v="2023-09-11T06:10:11"/>
    <x v="5"/>
    <d v="2023-10-03T00:00:00"/>
    <n v="22.742928240739275"/>
    <x v="0"/>
    <x v="21"/>
    <n v="21.742928240739275"/>
    <x v="21"/>
  </r>
  <r>
    <n v="1024"/>
    <s v="1024111"/>
    <d v="2023-09-27T06:10:11"/>
    <s v="type13"/>
    <n v="23705.45"/>
    <x v="5"/>
    <d v="2023-10-04T06:10:11"/>
    <x v="5"/>
    <d v="2023-10-03T00:00:00"/>
    <n v="5.7429282407392748"/>
    <x v="2"/>
    <x v="23"/>
    <n v="-1.2570717592607252"/>
    <x v="23"/>
  </r>
  <r>
    <n v="1020"/>
    <s v="1020111"/>
    <d v="2023-09-23T06:10:11"/>
    <s v="type40"/>
    <n v="-572.38"/>
    <x v="3"/>
    <d v="2023-09-25T06:10:11"/>
    <x v="0"/>
    <d v="2023-10-03T00:00:00"/>
    <n v="9.7429282407392748"/>
    <x v="0"/>
    <x v="11"/>
    <n v="7.7429282407392748"/>
    <x v="11"/>
  </r>
  <r>
    <n v="1026"/>
    <s v="1026111"/>
    <d v="2023-09-28T06:10:11"/>
    <s v="type40"/>
    <n v="-2288.3200000000002"/>
    <x v="2"/>
    <d v="2023-10-05T06:10:11"/>
    <x v="5"/>
    <d v="2023-10-03T00:00:00"/>
    <n v="4.7429282407392748"/>
    <x v="2"/>
    <x v="17"/>
    <n v="-2.2570717592607252"/>
    <x v="17"/>
  </r>
  <r>
    <n v="1004"/>
    <s v="1004111"/>
    <d v="2023-09-27T06:10:11"/>
    <s v="type40"/>
    <n v="-391.27"/>
    <x v="5"/>
    <d v="2023-09-29T06:10:11"/>
    <x v="3"/>
    <d v="2023-10-03T00:00:00"/>
    <n v="5.7429282407392748"/>
    <x v="2"/>
    <x v="13"/>
    <n v="3.7429282407392748"/>
    <x v="13"/>
  </r>
  <r>
    <n v="1032"/>
    <s v="1032111"/>
    <d v="2023-09-28T06:10:11"/>
    <s v="type13"/>
    <n v="32815.51"/>
    <x v="0"/>
    <d v="2023-10-05T06:10:11"/>
    <x v="4"/>
    <d v="2023-10-03T00:00:00"/>
    <n v="4.7429282407392748"/>
    <x v="2"/>
    <x v="17"/>
    <n v="-2.2570717592607252"/>
    <x v="17"/>
  </r>
  <r>
    <n v="1005"/>
    <s v="1005111"/>
    <d v="2023-09-12T06:10:11"/>
    <s v="type40"/>
    <n v="-1779.42"/>
    <x v="4"/>
    <d v="2023-09-19T06:10:11"/>
    <x v="3"/>
    <d v="2023-10-03T00:00:00"/>
    <n v="20.742928240739275"/>
    <x v="0"/>
    <x v="19"/>
    <n v="13.742928240739275"/>
    <x v="19"/>
  </r>
  <r>
    <n v="1029"/>
    <s v="1029111"/>
    <d v="2023-09-28T06:10:11"/>
    <s v="type40"/>
    <n v="-9441.18"/>
    <x v="3"/>
    <d v="2023-09-30T06:10:11"/>
    <x v="5"/>
    <d v="2023-10-03T00:00:00"/>
    <n v="4.7429282407392748"/>
    <x v="2"/>
    <x v="14"/>
    <n v="2.7429282407392748"/>
    <x v="14"/>
  </r>
  <r>
    <n v="1029"/>
    <s v="1029111"/>
    <d v="2023-09-10T06:10:11"/>
    <s v="type40"/>
    <n v="-850.13"/>
    <x v="3"/>
    <d v="2023-09-12T06:10:11"/>
    <x v="5"/>
    <d v="2023-10-03T00:00:00"/>
    <n v="22.742928240739275"/>
    <x v="0"/>
    <x v="18"/>
    <n v="20.742928240739275"/>
    <x v="18"/>
  </r>
  <r>
    <n v="1029"/>
    <s v="1029111"/>
    <d v="2023-09-28T06:10:11"/>
    <s v="type40"/>
    <n v="3776.87"/>
    <x v="0"/>
    <d v="2023-09-30T06:10:11"/>
    <x v="5"/>
    <d v="2023-10-03T00:00:00"/>
    <n v="4.7429282407392748"/>
    <x v="2"/>
    <x v="14"/>
    <n v="2.7429282407392748"/>
    <x v="14"/>
  </r>
  <r>
    <n v="1010"/>
    <s v="1010111"/>
    <d v="2023-09-28T06:10:11"/>
    <s v="type38"/>
    <n v="183.2"/>
    <x v="5"/>
    <d v="2023-09-29T06:10:11"/>
    <x v="1"/>
    <d v="2023-10-03T00:00:00"/>
    <n v="4.7429282407392748"/>
    <x v="2"/>
    <x v="13"/>
    <n v="3.7429282407392748"/>
    <x v="13"/>
  </r>
  <r>
    <n v="1004"/>
    <s v="1004111"/>
    <d v="2023-09-27T06:10:11"/>
    <s v="type40"/>
    <n v="-727.07"/>
    <x v="0"/>
    <d v="2023-10-04T06:10:11"/>
    <x v="3"/>
    <d v="2023-10-03T00:00:00"/>
    <n v="5.7429282407392748"/>
    <x v="2"/>
    <x v="23"/>
    <n v="-1.2570717592607252"/>
    <x v="23"/>
  </r>
  <r>
    <n v="1003"/>
    <s v="1003111"/>
    <d v="2023-09-13T06:10:11"/>
    <s v="type40"/>
    <n v="-306.61"/>
    <x v="4"/>
    <d v="2023-09-20T06:10:11"/>
    <x v="3"/>
    <d v="2023-10-03T00:00:00"/>
    <n v="19.742928240739275"/>
    <x v="0"/>
    <x v="9"/>
    <n v="12.742928240739275"/>
    <x v="9"/>
  </r>
  <r>
    <n v="1001"/>
    <s v="1001111"/>
    <d v="2023-09-15T06:10:11"/>
    <s v="type13"/>
    <n v="25901.85"/>
    <x v="4"/>
    <d v="2023-09-16T06:10:11"/>
    <x v="3"/>
    <d v="2023-10-03T00:00:00"/>
    <n v="17.742928240739275"/>
    <x v="0"/>
    <x v="2"/>
    <n v="16.742928240739275"/>
    <x v="2"/>
  </r>
  <r>
    <n v="1017"/>
    <s v="1017111"/>
    <d v="2023-09-28T06:10:11"/>
    <s v="type13"/>
    <n v="29306.51"/>
    <x v="5"/>
    <d v="2023-09-30T06:10:11"/>
    <x v="2"/>
    <d v="2023-10-03T00:00:00"/>
    <n v="4.7429282407392748"/>
    <x v="2"/>
    <x v="14"/>
    <n v="2.7429282407392748"/>
    <x v="14"/>
  </r>
  <r>
    <n v="1020"/>
    <s v="1020111"/>
    <d v="2023-09-15T06:10:11"/>
    <s v="type40"/>
    <n v="363.66"/>
    <x v="4"/>
    <d v="2023-09-16T06:10:11"/>
    <x v="0"/>
    <d v="2023-10-03T00:00:00"/>
    <n v="17.742928240739275"/>
    <x v="0"/>
    <x v="2"/>
    <n v="16.742928240739275"/>
    <x v="2"/>
  </r>
  <r>
    <n v="1029"/>
    <s v="1029111"/>
    <d v="2023-09-27T06:10:11"/>
    <s v="type21"/>
    <n v="372.12"/>
    <x v="5"/>
    <d v="2023-10-02T06:10:11"/>
    <x v="5"/>
    <d v="2023-10-03T00:00:00"/>
    <n v="5.7429282407392748"/>
    <x v="2"/>
    <x v="15"/>
    <n v="0.74292824073927477"/>
    <x v="15"/>
  </r>
  <r>
    <n v="1028"/>
    <s v="1028111"/>
    <d v="2023-09-27T06:10:11"/>
    <s v="type38"/>
    <n v="332.62"/>
    <x v="0"/>
    <d v="2023-09-28T06:10:11"/>
    <x v="5"/>
    <d v="2023-10-03T00:00:00"/>
    <n v="5.7429282407392748"/>
    <x v="2"/>
    <x v="8"/>
    <n v="4.7429282407392748"/>
    <x v="8"/>
  </r>
  <r>
    <n v="1009"/>
    <s v="1009111"/>
    <d v="2023-09-16T06:10:11"/>
    <s v="type13"/>
    <n v="34613.910000000003"/>
    <x v="1"/>
    <d v="2023-09-21T06:10:11"/>
    <x v="1"/>
    <d v="2023-10-03T00:00:00"/>
    <n v="16.742928240739275"/>
    <x v="0"/>
    <x v="1"/>
    <n v="11.742928240739275"/>
    <x v="1"/>
  </r>
  <r>
    <n v="1009"/>
    <s v="1009111"/>
    <d v="2023-09-17T06:10:11"/>
    <s v="type13"/>
    <n v="25268.38"/>
    <x v="1"/>
    <d v="2023-09-22T06:10:11"/>
    <x v="1"/>
    <d v="2023-10-03T00:00:00"/>
    <n v="15.742928240739275"/>
    <x v="0"/>
    <x v="10"/>
    <n v="10.742928240739275"/>
    <x v="10"/>
  </r>
  <r>
    <n v="1018"/>
    <s v="1018111"/>
    <d v="2023-09-27T06:10:11"/>
    <s v="type7"/>
    <n v="1521.01"/>
    <x v="0"/>
    <d v="2023-10-02T06:10:11"/>
    <x v="0"/>
    <d v="2023-10-03T00:00:00"/>
    <n v="5.7429282407392748"/>
    <x v="2"/>
    <x v="15"/>
    <n v="0.74292824073927477"/>
    <x v="15"/>
  </r>
  <r>
    <n v="1020"/>
    <s v="1020111"/>
    <d v="2023-09-27T06:10:11"/>
    <s v="type40"/>
    <n v="377.4"/>
    <x v="5"/>
    <d v="2023-09-29T06:10:11"/>
    <x v="0"/>
    <d v="2023-10-03T00:00:00"/>
    <n v="5.7429282407392748"/>
    <x v="2"/>
    <x v="13"/>
    <n v="3.7429282407392748"/>
    <x v="13"/>
  </r>
  <r>
    <n v="1024"/>
    <s v="1024111"/>
    <d v="2023-09-27T06:10:11"/>
    <s v="type40"/>
    <n v="9422.15"/>
    <x v="0"/>
    <d v="2023-10-02T06:10:11"/>
    <x v="5"/>
    <d v="2023-10-03T00:00:00"/>
    <n v="5.7429282407392748"/>
    <x v="2"/>
    <x v="15"/>
    <n v="0.74292824073927477"/>
    <x v="15"/>
  </r>
  <r>
    <n v="1007"/>
    <s v="1007111"/>
    <d v="2023-09-28T06:10:11"/>
    <s v="type40"/>
    <n v="-1852.92"/>
    <x v="5"/>
    <d v="2023-10-03T06:10:11"/>
    <x v="1"/>
    <d v="2023-10-03T00:00:00"/>
    <n v="4.7429282407392748"/>
    <x v="2"/>
    <x v="16"/>
    <n v="-0.25707175926072523"/>
    <x v="16"/>
  </r>
  <r>
    <n v="1018"/>
    <s v="1018111"/>
    <d v="2023-09-27T06:10:11"/>
    <s v="type40"/>
    <n v="665.36"/>
    <x v="0"/>
    <d v="2023-09-28T06:10:11"/>
    <x v="0"/>
    <d v="2023-10-03T00:00:00"/>
    <n v="5.7429282407392748"/>
    <x v="2"/>
    <x v="8"/>
    <n v="4.7429282407392748"/>
    <x v="8"/>
  </r>
  <r>
    <n v="1007"/>
    <s v="1007111"/>
    <d v="2023-09-27T06:10:11"/>
    <s v="type40"/>
    <n v="506.57"/>
    <x v="5"/>
    <d v="2023-09-28T06:10:11"/>
    <x v="1"/>
    <d v="2023-10-03T00:00:00"/>
    <n v="5.7429282407392748"/>
    <x v="2"/>
    <x v="8"/>
    <n v="4.7429282407392748"/>
    <x v="8"/>
  </r>
  <r>
    <n v="1021"/>
    <s v="1021111"/>
    <d v="2023-09-21T06:10:11"/>
    <s v="type40"/>
    <n v="-1217.83"/>
    <x v="3"/>
    <d v="2023-09-26T06:10:11"/>
    <x v="0"/>
    <d v="2023-10-03T00:00:00"/>
    <n v="11.742928240739275"/>
    <x v="0"/>
    <x v="7"/>
    <n v="6.7429282407392748"/>
    <x v="7"/>
  </r>
  <r>
    <n v="1011"/>
    <s v="1011111"/>
    <d v="2023-09-28T06:10:11"/>
    <s v="type49"/>
    <n v="0"/>
    <x v="5"/>
    <d v="2023-09-29T06:10:11"/>
    <x v="1"/>
    <d v="2023-10-03T00:00:00"/>
    <n v="4.7429282407392748"/>
    <x v="2"/>
    <x v="13"/>
    <n v="3.7429282407392748"/>
    <x v="13"/>
  </r>
  <r>
    <n v="1008"/>
    <s v="1008111"/>
    <d v="2023-09-27T06:10:11"/>
    <s v="type40"/>
    <n v="1580.82"/>
    <x v="0"/>
    <d v="2023-09-29T06:10:11"/>
    <x v="1"/>
    <d v="2023-10-03T00:00:00"/>
    <n v="5.7429282407392748"/>
    <x v="2"/>
    <x v="13"/>
    <n v="3.7429282407392748"/>
    <x v="13"/>
  </r>
  <r>
    <n v="1003"/>
    <s v="1003111"/>
    <d v="2023-09-24T06:10:11"/>
    <s v="type40"/>
    <n v="-9822.4699999999993"/>
    <x v="3"/>
    <d v="2023-10-01T06:10:11"/>
    <x v="3"/>
    <d v="2023-10-03T00:00:00"/>
    <n v="8.7429282407392748"/>
    <x v="1"/>
    <x v="22"/>
    <n v="1.7429282407392748"/>
    <x v="22"/>
  </r>
  <r>
    <n v="1029"/>
    <s v="1029111"/>
    <d v="2023-09-27T06:10:11"/>
    <s v="type40"/>
    <n v="371"/>
    <x v="0"/>
    <d v="2023-10-02T06:10:11"/>
    <x v="5"/>
    <d v="2023-10-03T00:00:00"/>
    <n v="5.7429282407392748"/>
    <x v="2"/>
    <x v="15"/>
    <n v="0.74292824073927477"/>
    <x v="15"/>
  </r>
  <r>
    <n v="1025"/>
    <s v="1025111"/>
    <d v="2023-09-27T06:10:11"/>
    <s v="type15"/>
    <n v="-2579.36"/>
    <x v="0"/>
    <d v="2023-09-28T06:10:11"/>
    <x v="5"/>
    <d v="2023-10-03T00:00:00"/>
    <n v="5.7429282407392748"/>
    <x v="2"/>
    <x v="8"/>
    <n v="4.7429282407392748"/>
    <x v="8"/>
  </r>
  <r>
    <n v="1022"/>
    <s v="1022111"/>
    <d v="2023-09-28T06:10:11"/>
    <s v="type7"/>
    <n v="-5358.66"/>
    <x v="0"/>
    <d v="2023-09-29T06:10:11"/>
    <x v="0"/>
    <d v="2023-10-03T00:00:00"/>
    <n v="4.7429282407392748"/>
    <x v="2"/>
    <x v="13"/>
    <n v="3.7429282407392748"/>
    <x v="13"/>
  </r>
  <r>
    <n v="1012"/>
    <s v="1012111"/>
    <d v="2023-09-28T06:10:11"/>
    <s v="type52"/>
    <n v="522.72"/>
    <x v="5"/>
    <d v="2023-10-05T06:10:11"/>
    <x v="2"/>
    <d v="2023-10-03T00:00:00"/>
    <n v="4.7429282407392748"/>
    <x v="2"/>
    <x v="17"/>
    <n v="-2.2570717592607252"/>
    <x v="17"/>
  </r>
  <r>
    <n v="1004"/>
    <s v="1004111"/>
    <d v="2023-09-28T06:10:11"/>
    <s v="type41"/>
    <n v="306.66000000000003"/>
    <x v="0"/>
    <d v="2023-10-05T06:10:11"/>
    <x v="3"/>
    <d v="2023-10-03T00:00:00"/>
    <n v="4.7429282407392748"/>
    <x v="2"/>
    <x v="17"/>
    <n v="-2.2570717592607252"/>
    <x v="17"/>
  </r>
  <r>
    <n v="1003"/>
    <s v="1003111"/>
    <d v="2023-09-17T06:10:11"/>
    <s v="type40"/>
    <n v="-10196.14"/>
    <x v="1"/>
    <d v="2023-09-24T06:10:11"/>
    <x v="3"/>
    <d v="2023-10-03T00:00:00"/>
    <n v="15.742928240739275"/>
    <x v="0"/>
    <x v="5"/>
    <n v="8.7429282407392748"/>
    <x v="5"/>
  </r>
  <r>
    <n v="1029"/>
    <s v="1029111"/>
    <d v="2023-09-27T06:10:11"/>
    <s v="type40"/>
    <n v="-317.47000000000003"/>
    <x v="0"/>
    <d v="2023-09-29T06:10:11"/>
    <x v="5"/>
    <d v="2023-10-03T00:00:00"/>
    <n v="5.7429282407392748"/>
    <x v="2"/>
    <x v="13"/>
    <n v="3.7429282407392748"/>
    <x v="13"/>
  </r>
  <r>
    <n v="1035"/>
    <s v="1035111"/>
    <d v="2023-09-28T06:10:11"/>
    <s v="type40"/>
    <n v="1"/>
    <x v="5"/>
    <d v="2023-09-29T06:10:11"/>
    <x v="4"/>
    <d v="2023-10-03T00:00:00"/>
    <n v="4.7429282407392748"/>
    <x v="2"/>
    <x v="13"/>
    <n v="3.7429282407392748"/>
    <x v="13"/>
  </r>
  <r>
    <n v="1025"/>
    <s v="1025111"/>
    <d v="2023-09-19T06:10:11"/>
    <s v="type13"/>
    <n v="27040.3"/>
    <x v="3"/>
    <d v="2023-09-26T06:10:11"/>
    <x v="5"/>
    <d v="2023-10-03T00:00:00"/>
    <n v="13.742928240739275"/>
    <x v="0"/>
    <x v="7"/>
    <n v="6.7429282407392748"/>
    <x v="7"/>
  </r>
  <r>
    <n v="1021"/>
    <s v="1021111"/>
    <d v="2023-09-28T06:10:11"/>
    <s v="type38"/>
    <n v="307.7"/>
    <x v="5"/>
    <d v="2023-10-05T06:10:11"/>
    <x v="0"/>
    <d v="2023-10-03T00:00:00"/>
    <n v="4.7429282407392748"/>
    <x v="2"/>
    <x v="17"/>
    <n v="-2.2570717592607252"/>
    <x v="17"/>
  </r>
  <r>
    <n v="1011"/>
    <s v="1011111"/>
    <d v="2023-09-27T06:10:11"/>
    <s v="type40"/>
    <n v="-1494.82"/>
    <x v="0"/>
    <d v="2023-09-28T06:10:11"/>
    <x v="1"/>
    <d v="2023-10-03T00:00:00"/>
    <n v="5.7429282407392748"/>
    <x v="2"/>
    <x v="8"/>
    <n v="4.7429282407392748"/>
    <x v="8"/>
  </r>
  <r>
    <n v="1007"/>
    <s v="1007111"/>
    <d v="2023-09-18T06:10:11"/>
    <s v="type40"/>
    <n v="1446.23"/>
    <x v="4"/>
    <d v="2023-09-19T06:10:11"/>
    <x v="1"/>
    <d v="2023-10-03T00:00:00"/>
    <n v="14.742928240739275"/>
    <x v="0"/>
    <x v="19"/>
    <n v="13.742928240739275"/>
    <x v="19"/>
  </r>
  <r>
    <n v="1006"/>
    <s v="1006111"/>
    <d v="2023-09-15T06:10:11"/>
    <s v="type13"/>
    <n v="26731.33"/>
    <x v="4"/>
    <d v="2023-09-17T06:10:11"/>
    <x v="1"/>
    <d v="2023-10-03T00:00:00"/>
    <n v="17.742928240739275"/>
    <x v="0"/>
    <x v="4"/>
    <n v="15.742928240739275"/>
    <x v="4"/>
  </r>
  <r>
    <n v="1026"/>
    <s v="1026111"/>
    <d v="2023-09-17T06:10:11"/>
    <s v="type40"/>
    <n v="-434.04"/>
    <x v="4"/>
    <d v="2023-09-19T06:10:11"/>
    <x v="5"/>
    <d v="2023-10-03T00:00:00"/>
    <n v="15.742928240739275"/>
    <x v="0"/>
    <x v="19"/>
    <n v="13.742928240739275"/>
    <x v="19"/>
  </r>
  <r>
    <n v="1031"/>
    <s v="1031111"/>
    <d v="2023-09-28T06:10:11"/>
    <s v="type40"/>
    <n v="-394.11"/>
    <x v="0"/>
    <d v="2023-09-29T06:10:11"/>
    <x v="4"/>
    <d v="2023-10-03T00:00:00"/>
    <n v="4.7429282407392748"/>
    <x v="2"/>
    <x v="13"/>
    <n v="3.7429282407392748"/>
    <x v="13"/>
  </r>
  <r>
    <n v="1017"/>
    <s v="1017111"/>
    <d v="2023-09-27T06:10:11"/>
    <s v="type40"/>
    <n v="1992.24"/>
    <x v="0"/>
    <d v="2023-09-29T06:10:11"/>
    <x v="2"/>
    <d v="2023-10-03T00:00:00"/>
    <n v="5.7429282407392748"/>
    <x v="2"/>
    <x v="13"/>
    <n v="3.7429282407392748"/>
    <x v="13"/>
  </r>
  <r>
    <n v="1016"/>
    <s v="1016111"/>
    <d v="2023-09-25T06:10:11"/>
    <s v="type13"/>
    <n v="27674.91"/>
    <x v="3"/>
    <d v="2023-09-26T06:10:11"/>
    <x v="2"/>
    <d v="2023-10-03T00:00:00"/>
    <n v="7.7429282407392748"/>
    <x v="1"/>
    <x v="7"/>
    <n v="6.7429282407392748"/>
    <x v="7"/>
  </r>
  <r>
    <n v="1031"/>
    <s v="1031111"/>
    <d v="2023-09-21T06:10:11"/>
    <s v="type40"/>
    <n v="-425.81"/>
    <x v="4"/>
    <d v="2023-09-26T06:10:11"/>
    <x v="4"/>
    <d v="2023-10-03T00:00:00"/>
    <n v="11.742928240739275"/>
    <x v="0"/>
    <x v="7"/>
    <n v="6.7429282407392748"/>
    <x v="7"/>
  </r>
  <r>
    <n v="1031"/>
    <s v="1031111"/>
    <d v="2023-09-22T06:10:11"/>
    <s v="type40"/>
    <n v="355.89"/>
    <x v="4"/>
    <d v="2023-09-27T06:10:11"/>
    <x v="4"/>
    <d v="2023-10-03T00:00:00"/>
    <n v="10.742928240739275"/>
    <x v="0"/>
    <x v="12"/>
    <n v="5.7429282407392748"/>
    <x v="12"/>
  </r>
  <r>
    <n v="1027"/>
    <s v="1027111"/>
    <d v="2023-09-27T06:10:11"/>
    <s v="type40"/>
    <n v="3009.54"/>
    <x v="0"/>
    <d v="2023-10-02T06:10:11"/>
    <x v="5"/>
    <d v="2023-10-03T00:00:00"/>
    <n v="5.7429282407392748"/>
    <x v="2"/>
    <x v="15"/>
    <n v="0.74292824073927477"/>
    <x v="15"/>
  </r>
  <r>
    <n v="1027"/>
    <s v="1027111"/>
    <d v="2023-09-27T06:10:11"/>
    <s v="type13"/>
    <n v="21929.119999999999"/>
    <x v="0"/>
    <d v="2023-10-02T06:10:11"/>
    <x v="5"/>
    <d v="2023-10-03T00:00:00"/>
    <n v="5.7429282407392748"/>
    <x v="2"/>
    <x v="15"/>
    <n v="0.74292824073927477"/>
    <x v="15"/>
  </r>
  <r>
    <n v="1006"/>
    <s v="1006111"/>
    <d v="2023-09-11T06:10:11"/>
    <s v="type13"/>
    <n v="29047.93"/>
    <x v="3"/>
    <d v="2023-09-12T06:10:11"/>
    <x v="1"/>
    <d v="2023-10-03T00:00:00"/>
    <n v="21.742928240739275"/>
    <x v="0"/>
    <x v="18"/>
    <n v="20.742928240739275"/>
    <x v="18"/>
  </r>
  <r>
    <n v="1008"/>
    <s v="1008111"/>
    <d v="2023-09-27T06:10:11"/>
    <s v="type40"/>
    <n v="-526.04"/>
    <x v="0"/>
    <d v="2023-09-28T06:10:11"/>
    <x v="1"/>
    <d v="2023-10-03T00:00:00"/>
    <n v="5.7429282407392748"/>
    <x v="2"/>
    <x v="8"/>
    <n v="4.7429282407392748"/>
    <x v="8"/>
  </r>
  <r>
    <n v="1002"/>
    <s v="1002111"/>
    <d v="2023-09-28T06:10:11"/>
    <s v="type40"/>
    <n v="910.42"/>
    <x v="0"/>
    <d v="2023-09-30T06:10:11"/>
    <x v="3"/>
    <d v="2023-10-03T00:00:00"/>
    <n v="4.7429282407392748"/>
    <x v="2"/>
    <x v="14"/>
    <n v="2.7429282407392748"/>
    <x v="14"/>
  </r>
  <r>
    <n v="1013"/>
    <s v="1013111"/>
    <d v="2023-09-13T06:10:11"/>
    <s v="type13"/>
    <n v="26710"/>
    <x v="3"/>
    <d v="2023-09-14T06:10:11"/>
    <x v="2"/>
    <d v="2023-10-03T00:00:00"/>
    <n v="19.742928240739275"/>
    <x v="0"/>
    <x v="20"/>
    <n v="18.742928240739275"/>
    <x v="20"/>
  </r>
  <r>
    <n v="1024"/>
    <s v="1024111"/>
    <d v="2023-09-14T06:10:11"/>
    <s v="type7"/>
    <n v="-1286.3900000000001"/>
    <x v="3"/>
    <d v="2023-09-15T06:10:11"/>
    <x v="5"/>
    <d v="2023-10-03T00:00:00"/>
    <n v="18.742928240739275"/>
    <x v="0"/>
    <x v="0"/>
    <n v="17.742928240739275"/>
    <x v="0"/>
  </r>
  <r>
    <n v="1017"/>
    <s v="1017111"/>
    <d v="2023-09-14T06:10:11"/>
    <s v="type13"/>
    <n v="26621.17"/>
    <x v="1"/>
    <d v="2023-09-15T06:10:11"/>
    <x v="2"/>
    <d v="2023-10-03T00:00:00"/>
    <n v="18.742928240739275"/>
    <x v="0"/>
    <x v="0"/>
    <n v="17.742928240739275"/>
    <x v="0"/>
  </r>
  <r>
    <n v="1014"/>
    <s v="1014111"/>
    <d v="2023-09-28T06:10:11"/>
    <s v="type40"/>
    <n v="545.87"/>
    <x v="0"/>
    <d v="2023-10-05T06:10:11"/>
    <x v="2"/>
    <d v="2023-10-03T00:00:00"/>
    <n v="4.7429282407392748"/>
    <x v="2"/>
    <x v="17"/>
    <n v="-2.2570717592607252"/>
    <x v="17"/>
  </r>
  <r>
    <n v="1032"/>
    <s v="1032111"/>
    <d v="2023-09-15T06:10:11"/>
    <s v="type22"/>
    <n v="620.84"/>
    <x v="3"/>
    <d v="2023-09-16T06:10:11"/>
    <x v="4"/>
    <d v="2023-10-03T00:00:00"/>
    <n v="17.742928240739275"/>
    <x v="0"/>
    <x v="2"/>
    <n v="16.742928240739275"/>
    <x v="2"/>
  </r>
  <r>
    <n v="1031"/>
    <s v="1031111"/>
    <d v="2023-09-27T06:10:11"/>
    <s v="type40"/>
    <n v="-973.16"/>
    <x v="0"/>
    <d v="2023-09-28T06:10:11"/>
    <x v="4"/>
    <d v="2023-10-03T00:00:00"/>
    <n v="5.7429282407392748"/>
    <x v="2"/>
    <x v="8"/>
    <n v="4.7429282407392748"/>
    <x v="8"/>
  </r>
  <r>
    <n v="1012"/>
    <s v="1012111"/>
    <d v="2023-09-16T06:10:11"/>
    <s v="type40"/>
    <n v="-648.82000000000005"/>
    <x v="3"/>
    <d v="2023-09-17T06:10:11"/>
    <x v="2"/>
    <d v="2023-10-03T00:00:00"/>
    <n v="16.742928240739275"/>
    <x v="0"/>
    <x v="4"/>
    <n v="15.742928240739275"/>
    <x v="4"/>
  </r>
  <r>
    <n v="1032"/>
    <s v="1032111"/>
    <d v="2023-09-17T06:10:11"/>
    <s v="type40"/>
    <n v="-1653"/>
    <x v="1"/>
    <d v="2023-09-18T06:10:11"/>
    <x v="4"/>
    <d v="2023-10-03T00:00:00"/>
    <n v="15.742928240739275"/>
    <x v="0"/>
    <x v="6"/>
    <n v="14.742928240739275"/>
    <x v="6"/>
  </r>
  <r>
    <n v="1020"/>
    <s v="1020111"/>
    <d v="2023-09-18T06:10:11"/>
    <s v="type35"/>
    <n v="334.42"/>
    <x v="1"/>
    <d v="2023-09-19T06:10:11"/>
    <x v="0"/>
    <d v="2023-10-03T00:00:00"/>
    <n v="14.742928240739275"/>
    <x v="0"/>
    <x v="19"/>
    <n v="13.742928240739275"/>
    <x v="19"/>
  </r>
  <r>
    <n v="1002"/>
    <s v="1002111"/>
    <d v="2023-09-27T06:10:11"/>
    <s v="type40"/>
    <n v="-10492.36"/>
    <x v="6"/>
    <d v="2023-10-02T06:10:11"/>
    <x v="3"/>
    <d v="2023-10-03T00:00:00"/>
    <n v="5.7429282407392748"/>
    <x v="2"/>
    <x v="15"/>
    <n v="0.74292824073927477"/>
    <x v="15"/>
  </r>
  <r>
    <n v="1019"/>
    <s v="1019111"/>
    <d v="2023-09-27T06:10:11"/>
    <s v="type40"/>
    <n v="2361.91"/>
    <x v="5"/>
    <d v="2023-10-02T06:10:11"/>
    <x v="0"/>
    <d v="2023-10-03T00:00:00"/>
    <n v="5.7429282407392748"/>
    <x v="2"/>
    <x v="15"/>
    <n v="0.74292824073927477"/>
    <x v="15"/>
  </r>
  <r>
    <n v="1030"/>
    <s v="1030111"/>
    <d v="2023-09-28T06:10:11"/>
    <s v="type40"/>
    <n v="-2750.29"/>
    <x v="0"/>
    <d v="2023-09-29T06:10:11"/>
    <x v="4"/>
    <d v="2023-10-03T00:00:00"/>
    <n v="4.7429282407392748"/>
    <x v="2"/>
    <x v="13"/>
    <n v="3.7429282407392748"/>
    <x v="13"/>
  </r>
  <r>
    <n v="1027"/>
    <s v="1027111"/>
    <d v="2023-09-27T06:10:11"/>
    <s v="type40"/>
    <n v="363.09"/>
    <x v="5"/>
    <d v="2023-10-02T06:10:11"/>
    <x v="5"/>
    <d v="2023-10-03T00:00:00"/>
    <n v="5.7429282407392748"/>
    <x v="2"/>
    <x v="15"/>
    <n v="0.74292824073927477"/>
    <x v="15"/>
  </r>
  <r>
    <n v="1033"/>
    <s v="1033111"/>
    <d v="2023-09-28T06:10:11"/>
    <s v="type13"/>
    <n v="26117.78"/>
    <x v="6"/>
    <d v="2023-09-30T06:10:11"/>
    <x v="4"/>
    <d v="2023-10-03T00:00:00"/>
    <n v="4.7429282407392748"/>
    <x v="2"/>
    <x v="14"/>
    <n v="2.7429282407392748"/>
    <x v="14"/>
  </r>
  <r>
    <n v="1015"/>
    <s v="1015111"/>
    <d v="2023-09-21T06:10:11"/>
    <s v="type21"/>
    <n v="369.54"/>
    <x v="3"/>
    <d v="2023-09-23T06:10:11"/>
    <x v="2"/>
    <d v="2023-10-03T00:00:00"/>
    <n v="11.742928240739275"/>
    <x v="0"/>
    <x v="3"/>
    <n v="9.7429282407392748"/>
    <x v="3"/>
  </r>
  <r>
    <n v="1016"/>
    <s v="1016111"/>
    <d v="2023-09-22T06:10:11"/>
    <s v="type40"/>
    <n v="2256.3200000000002"/>
    <x v="1"/>
    <d v="2023-09-24T06:10:11"/>
    <x v="2"/>
    <d v="2023-10-03T00:00:00"/>
    <n v="10.742928240739275"/>
    <x v="0"/>
    <x v="5"/>
    <n v="8.7429282407392748"/>
    <x v="5"/>
  </r>
  <r>
    <n v="1001"/>
    <s v="1001111"/>
    <d v="2023-09-28T06:10:11"/>
    <s v="type13"/>
    <n v="32702.92"/>
    <x v="0"/>
    <d v="2023-10-05T06:10:11"/>
    <x v="3"/>
    <d v="2023-10-03T00:00:00"/>
    <n v="4.7429282407392748"/>
    <x v="2"/>
    <x v="17"/>
    <n v="-2.2570717592607252"/>
    <x v="17"/>
  </r>
  <r>
    <n v="1019"/>
    <s v="1019111"/>
    <d v="2023-09-28T06:10:11"/>
    <s v="type40"/>
    <n v="653.95000000000005"/>
    <x v="5"/>
    <d v="2023-09-30T06:10:11"/>
    <x v="0"/>
    <d v="2023-10-03T00:00:00"/>
    <n v="4.7429282407392748"/>
    <x v="2"/>
    <x v="14"/>
    <n v="2.7429282407392748"/>
    <x v="14"/>
  </r>
  <r>
    <n v="1018"/>
    <s v="1018111"/>
    <d v="2023-09-27T06:10:11"/>
    <s v="type40"/>
    <n v="-327.10000000000002"/>
    <x v="6"/>
    <d v="2023-09-28T06:10:11"/>
    <x v="0"/>
    <d v="2023-10-03T00:00:00"/>
    <n v="5.7429282407392748"/>
    <x v="2"/>
    <x v="8"/>
    <n v="4.7429282407392748"/>
    <x v="8"/>
  </r>
  <r>
    <n v="1015"/>
    <s v="1015111"/>
    <d v="2023-09-26T06:10:11"/>
    <s v="type40"/>
    <n v="407.88"/>
    <x v="1"/>
    <d v="2023-09-28T06:10:11"/>
    <x v="2"/>
    <d v="2023-10-03T00:00:00"/>
    <n v="6.7429282407392748"/>
    <x v="1"/>
    <x v="8"/>
    <n v="4.7429282407392748"/>
    <x v="8"/>
  </r>
  <r>
    <n v="1024"/>
    <s v="1024111"/>
    <d v="2023-09-13T06:10:11"/>
    <s v="type40"/>
    <n v="563.41"/>
    <x v="4"/>
    <d v="2023-09-18T06:10:11"/>
    <x v="5"/>
    <d v="2023-10-03T00:00:00"/>
    <n v="19.742928240739275"/>
    <x v="0"/>
    <x v="6"/>
    <n v="14.742928240739275"/>
    <x v="6"/>
  </r>
  <r>
    <n v="1012"/>
    <s v="1012111"/>
    <d v="2023-09-28T06:10:11"/>
    <s v="type13"/>
    <n v="31069.23"/>
    <x v="3"/>
    <d v="2023-09-30T06:10:11"/>
    <x v="2"/>
    <d v="2023-10-03T00:00:00"/>
    <n v="4.7429282407392748"/>
    <x v="2"/>
    <x v="14"/>
    <n v="2.7429282407392748"/>
    <x v="14"/>
  </r>
  <r>
    <n v="1034"/>
    <s v="1034111"/>
    <d v="2023-09-28T06:10:11"/>
    <s v="type40"/>
    <n v="-333.49"/>
    <x v="6"/>
    <d v="2023-10-03T06:10:11"/>
    <x v="4"/>
    <d v="2023-10-03T00:00:00"/>
    <n v="4.7429282407392748"/>
    <x v="2"/>
    <x v="16"/>
    <n v="-0.25707175926072523"/>
    <x v="16"/>
  </r>
  <r>
    <n v="1012"/>
    <s v="1012111"/>
    <d v="2023-09-20T06:10:11"/>
    <s v="type17"/>
    <n v="309.75"/>
    <x v="4"/>
    <d v="2023-09-27T06:10:11"/>
    <x v="2"/>
    <d v="2023-10-03T00:00:00"/>
    <n v="12.742928240739275"/>
    <x v="0"/>
    <x v="12"/>
    <n v="5.7429282407392748"/>
    <x v="12"/>
  </r>
  <r>
    <n v="1028"/>
    <s v="1028111"/>
    <d v="2023-09-27T06:10:11"/>
    <s v="type40"/>
    <n v="18"/>
    <x v="0"/>
    <d v="2023-10-04T06:10:11"/>
    <x v="5"/>
    <d v="2023-10-03T00:00:00"/>
    <n v="5.7429282407392748"/>
    <x v="2"/>
    <x v="23"/>
    <n v="-1.2570717592607252"/>
    <x v="23"/>
  </r>
  <r>
    <n v="1032"/>
    <s v="1032111"/>
    <d v="2023-09-28T06:10:11"/>
    <s v="type38"/>
    <n v="201.49"/>
    <x v="6"/>
    <d v="2023-10-05T06:10:11"/>
    <x v="4"/>
    <d v="2023-10-03T00:00:00"/>
    <n v="4.7429282407392748"/>
    <x v="2"/>
    <x v="17"/>
    <n v="-2.2570717592607252"/>
    <x v="17"/>
  </r>
  <r>
    <n v="1014"/>
    <s v="1014111"/>
    <d v="2023-09-19T06:10:11"/>
    <s v="type40"/>
    <n v="-2177.5300000000002"/>
    <x v="1"/>
    <d v="2023-09-21T06:10:11"/>
    <x v="2"/>
    <d v="2023-10-03T00:00:00"/>
    <n v="13.742928240739275"/>
    <x v="0"/>
    <x v="1"/>
    <n v="11.742928240739275"/>
    <x v="1"/>
  </r>
  <r>
    <n v="1016"/>
    <s v="1016111"/>
    <d v="2023-09-16T06:10:11"/>
    <s v="type13"/>
    <n v="15216.01"/>
    <x v="4"/>
    <d v="2023-09-23T06:10:11"/>
    <x v="2"/>
    <d v="2023-10-03T00:00:00"/>
    <n v="16.742928240739275"/>
    <x v="0"/>
    <x v="3"/>
    <n v="9.7429282407392748"/>
    <x v="3"/>
  </r>
  <r>
    <n v="1013"/>
    <s v="1013111"/>
    <d v="2023-09-18T06:10:11"/>
    <s v="type13"/>
    <n v="31439.1"/>
    <x v="4"/>
    <d v="2023-09-25T06:10:11"/>
    <x v="2"/>
    <d v="2023-10-03T00:00:00"/>
    <n v="14.742928240739275"/>
    <x v="0"/>
    <x v="11"/>
    <n v="7.7429282407392748"/>
    <x v="11"/>
  </r>
  <r>
    <n v="1004"/>
    <s v="1004111"/>
    <d v="2023-09-21T06:10:11"/>
    <s v="type13"/>
    <n v="25899"/>
    <x v="1"/>
    <d v="2023-09-23T06:10:11"/>
    <x v="3"/>
    <d v="2023-10-03T00:00:00"/>
    <n v="11.742928240739275"/>
    <x v="0"/>
    <x v="3"/>
    <n v="9.7429282407392748"/>
    <x v="3"/>
  </r>
  <r>
    <n v="1031"/>
    <s v="1031111"/>
    <d v="2023-09-18T06:10:11"/>
    <s v="type40"/>
    <n v="460.88"/>
    <x v="4"/>
    <d v="2023-09-19T06:10:11"/>
    <x v="4"/>
    <d v="2023-10-03T00:00:00"/>
    <n v="14.742928240739275"/>
    <x v="0"/>
    <x v="19"/>
    <n v="13.742928240739275"/>
    <x v="19"/>
  </r>
  <r>
    <n v="1001"/>
    <s v="1001111"/>
    <d v="2023-09-27T06:10:11"/>
    <s v="type40"/>
    <n v="1042.49"/>
    <x v="5"/>
    <d v="2023-10-04T06:10:11"/>
    <x v="3"/>
    <d v="2023-10-03T00:00:00"/>
    <n v="5.7429282407392748"/>
    <x v="2"/>
    <x v="23"/>
    <n v="-1.2570717592607252"/>
    <x v="23"/>
  </r>
  <r>
    <n v="1012"/>
    <s v="1012111"/>
    <d v="2023-09-23T06:10:11"/>
    <s v="type40"/>
    <n v="338.87"/>
    <x v="1"/>
    <d v="2023-09-28T06:10:11"/>
    <x v="2"/>
    <d v="2023-10-03T00:00:00"/>
    <n v="9.7429282407392748"/>
    <x v="0"/>
    <x v="8"/>
    <n v="4.7429282407392748"/>
    <x v="8"/>
  </r>
  <r>
    <n v="1008"/>
    <s v="1008111"/>
    <d v="2023-09-24T06:10:11"/>
    <s v="type7"/>
    <n v="1266.3900000000001"/>
    <x v="3"/>
    <d v="2023-09-29T06:10:11"/>
    <x v="1"/>
    <d v="2023-10-03T00:00:00"/>
    <n v="8.7429282407392748"/>
    <x v="1"/>
    <x v="13"/>
    <n v="3.7429282407392748"/>
    <x v="13"/>
  </r>
  <r>
    <n v="1015"/>
    <s v="1015111"/>
    <d v="2023-09-28T06:10:11"/>
    <s v="type40"/>
    <n v="570.94000000000005"/>
    <x v="0"/>
    <d v="2023-09-30T06:10:11"/>
    <x v="2"/>
    <d v="2023-10-03T00:00:00"/>
    <n v="4.7429282407392748"/>
    <x v="2"/>
    <x v="14"/>
    <n v="2.7429282407392748"/>
    <x v="14"/>
  </r>
  <r>
    <n v="1032"/>
    <s v="1032111"/>
    <d v="2023-09-26T06:10:11"/>
    <s v="type17"/>
    <n v="499.79"/>
    <x v="1"/>
    <d v="2023-10-01T06:10:11"/>
    <x v="4"/>
    <d v="2023-10-03T00:00:00"/>
    <n v="6.7429282407392748"/>
    <x v="1"/>
    <x v="22"/>
    <n v="1.7429282407392748"/>
    <x v="22"/>
  </r>
  <r>
    <n v="1005"/>
    <s v="1005111"/>
    <d v="2023-09-27T06:10:11"/>
    <s v="type26"/>
    <n v="585.27"/>
    <x v="3"/>
    <d v="2023-10-02T06:10:11"/>
    <x v="3"/>
    <d v="2023-10-03T00:00:00"/>
    <n v="5.7429282407392748"/>
    <x v="2"/>
    <x v="15"/>
    <n v="0.74292824073927477"/>
    <x v="15"/>
  </r>
  <r>
    <n v="1015"/>
    <s v="1015111"/>
    <d v="2023-09-28T06:10:11"/>
    <s v="type17"/>
    <n v="673.37"/>
    <x v="1"/>
    <d v="2023-10-03T06:10:11"/>
    <x v="2"/>
    <d v="2023-10-03T00:00:00"/>
    <n v="4.7429282407392748"/>
    <x v="2"/>
    <x v="16"/>
    <n v="-0.25707175926072523"/>
    <x v="16"/>
  </r>
  <r>
    <n v="1004"/>
    <s v="1004111"/>
    <d v="2023-09-10T06:10:11"/>
    <s v="type2"/>
    <n v="1071"/>
    <x v="1"/>
    <d v="2023-09-15T06:10:11"/>
    <x v="3"/>
    <d v="2023-10-03T00:00:00"/>
    <n v="22.742928240739275"/>
    <x v="0"/>
    <x v="0"/>
    <n v="17.742928240739275"/>
    <x v="0"/>
  </r>
  <r>
    <n v="1000"/>
    <s v="1000111"/>
    <d v="2023-09-12T06:10:11"/>
    <s v="type7"/>
    <n v="1155.57"/>
    <x v="4"/>
    <d v="2023-09-13T06:10:11"/>
    <x v="3"/>
    <d v="2023-10-03T00:00:00"/>
    <n v="20.742928240739275"/>
    <x v="0"/>
    <x v="24"/>
    <n v="19.742928240739275"/>
    <x v="24"/>
  </r>
  <r>
    <n v="1022"/>
    <s v="1022111"/>
    <d v="2023-09-27T06:10:11"/>
    <s v="type40"/>
    <n v="4471.76"/>
    <x v="6"/>
    <d v="2023-09-28T06:10:11"/>
    <x v="0"/>
    <d v="2023-10-03T00:00:00"/>
    <n v="5.7429282407392748"/>
    <x v="2"/>
    <x v="8"/>
    <n v="4.7429282407392748"/>
    <x v="8"/>
  </r>
  <r>
    <n v="1026"/>
    <s v="1026111"/>
    <d v="2023-09-13T06:10:11"/>
    <s v="type10"/>
    <n v="86"/>
    <x v="1"/>
    <d v="2023-09-20T06:10:11"/>
    <x v="5"/>
    <d v="2023-10-03T00:00:00"/>
    <n v="19.742928240739275"/>
    <x v="0"/>
    <x v="9"/>
    <n v="12.742928240739275"/>
    <x v="9"/>
  </r>
  <r>
    <n v="1016"/>
    <s v="1016111"/>
    <d v="2023-09-13T06:10:11"/>
    <s v="type40"/>
    <n v="10"/>
    <x v="1"/>
    <d v="2023-09-20T06:10:11"/>
    <x v="2"/>
    <d v="2023-10-03T00:00:00"/>
    <n v="19.742928240739275"/>
    <x v="0"/>
    <x v="9"/>
    <n v="12.742928240739275"/>
    <x v="9"/>
  </r>
  <r>
    <n v="1012"/>
    <s v="1012111"/>
    <d v="2023-09-14T06:10:11"/>
    <s v="type13"/>
    <n v="29989.82"/>
    <x v="1"/>
    <d v="2023-09-21T06:10:11"/>
    <x v="2"/>
    <d v="2023-10-03T00:00:00"/>
    <n v="18.742928240739275"/>
    <x v="0"/>
    <x v="1"/>
    <n v="11.742928240739275"/>
    <x v="1"/>
  </r>
  <r>
    <n v="1016"/>
    <s v="1016111"/>
    <d v="2023-09-27T06:10:11"/>
    <s v="type8"/>
    <n v="54.95"/>
    <x v="6"/>
    <d v="2023-09-29T06:10:11"/>
    <x v="2"/>
    <d v="2023-10-03T00:00:00"/>
    <n v="5.7429282407392748"/>
    <x v="2"/>
    <x v="13"/>
    <n v="3.7429282407392748"/>
    <x v="13"/>
  </r>
  <r>
    <n v="1031"/>
    <s v="1031111"/>
    <d v="2023-09-14T06:10:11"/>
    <s v="type40"/>
    <n v="1364.72"/>
    <x v="4"/>
    <d v="2023-09-15T06:10:11"/>
    <x v="4"/>
    <d v="2023-10-03T00:00:00"/>
    <n v="18.742928240739275"/>
    <x v="0"/>
    <x v="0"/>
    <n v="17.742928240739275"/>
    <x v="0"/>
  </r>
  <r>
    <n v="1019"/>
    <s v="1019111"/>
    <d v="2023-09-28T06:10:11"/>
    <s v="type40"/>
    <n v="4785"/>
    <x v="5"/>
    <d v="2023-09-29T06:10:11"/>
    <x v="0"/>
    <d v="2023-10-03T00:00:00"/>
    <n v="4.7429282407392748"/>
    <x v="2"/>
    <x v="13"/>
    <n v="3.7429282407392748"/>
    <x v="13"/>
  </r>
  <r>
    <n v="1033"/>
    <s v="1033111"/>
    <d v="2023-09-28T06:10:11"/>
    <s v="type35"/>
    <n v="607.04999999999995"/>
    <x v="6"/>
    <d v="2023-09-30T06:10:11"/>
    <x v="4"/>
    <d v="2023-10-03T00:00:00"/>
    <n v="4.7429282407392748"/>
    <x v="2"/>
    <x v="14"/>
    <n v="2.7429282407392748"/>
    <x v="14"/>
  </r>
  <r>
    <n v="1008"/>
    <s v="1008111"/>
    <d v="2023-09-16T06:10:11"/>
    <s v="type13"/>
    <n v="25520.47"/>
    <x v="3"/>
    <d v="2023-09-23T06:10:11"/>
    <x v="1"/>
    <d v="2023-10-03T00:00:00"/>
    <n v="16.742928240739275"/>
    <x v="0"/>
    <x v="3"/>
    <n v="9.7429282407392748"/>
    <x v="3"/>
  </r>
  <r>
    <n v="1020"/>
    <s v="1020111"/>
    <d v="2023-09-17T06:10:11"/>
    <s v="type13"/>
    <n v="25382"/>
    <x v="1"/>
    <d v="2023-09-24T06:10:11"/>
    <x v="0"/>
    <d v="2023-10-03T00:00:00"/>
    <n v="15.742928240739275"/>
    <x v="0"/>
    <x v="5"/>
    <n v="8.7429282407392748"/>
    <x v="5"/>
  </r>
  <r>
    <n v="1026"/>
    <s v="1026111"/>
    <d v="2023-09-18T06:10:11"/>
    <s v="type40"/>
    <n v="-2306.65"/>
    <x v="1"/>
    <d v="2023-09-25T06:10:11"/>
    <x v="5"/>
    <d v="2023-10-03T00:00:00"/>
    <n v="14.742928240739275"/>
    <x v="0"/>
    <x v="11"/>
    <n v="7.7429282407392748"/>
    <x v="11"/>
  </r>
  <r>
    <n v="1023"/>
    <s v="1023111"/>
    <d v="2023-09-18T06:10:11"/>
    <s v="type13"/>
    <n v="26614.28"/>
    <x v="1"/>
    <d v="2023-09-25T06:10:11"/>
    <x v="0"/>
    <d v="2023-10-03T00:00:00"/>
    <n v="14.742928240739275"/>
    <x v="0"/>
    <x v="11"/>
    <n v="7.7429282407392748"/>
    <x v="11"/>
  </r>
  <r>
    <n v="1021"/>
    <s v="1021111"/>
    <d v="2023-09-27T06:10:11"/>
    <s v="type2"/>
    <n v="1616"/>
    <x v="0"/>
    <d v="2023-10-02T06:10:11"/>
    <x v="0"/>
    <d v="2023-10-03T00:00:00"/>
    <n v="5.7429282407392748"/>
    <x v="2"/>
    <x v="15"/>
    <n v="0.74292824073927477"/>
    <x v="15"/>
  </r>
  <r>
    <n v="1015"/>
    <s v="1015111"/>
    <d v="2023-09-20T06:10:11"/>
    <s v="type27"/>
    <n v="802.32"/>
    <x v="3"/>
    <d v="2023-09-27T06:10:11"/>
    <x v="2"/>
    <d v="2023-10-03T00:00:00"/>
    <n v="12.742928240739275"/>
    <x v="0"/>
    <x v="12"/>
    <n v="5.7429282407392748"/>
    <x v="12"/>
  </r>
  <r>
    <n v="1033"/>
    <s v="1033111"/>
    <d v="2023-09-20T06:10:11"/>
    <s v="type13"/>
    <n v="16186.85"/>
    <x v="1"/>
    <d v="2023-09-27T06:10:11"/>
    <x v="4"/>
    <d v="2023-10-03T00:00:00"/>
    <n v="12.742928240739275"/>
    <x v="0"/>
    <x v="12"/>
    <n v="5.7429282407392748"/>
    <x v="12"/>
  </r>
  <r>
    <n v="1028"/>
    <s v="1028111"/>
    <d v="2023-09-21T06:10:11"/>
    <s v="type13"/>
    <n v="18610.650000000001"/>
    <x v="3"/>
    <d v="2023-09-28T06:10:11"/>
    <x v="5"/>
    <d v="2023-10-03T00:00:00"/>
    <n v="11.742928240739275"/>
    <x v="0"/>
    <x v="8"/>
    <n v="4.7429282407392748"/>
    <x v="8"/>
  </r>
  <r>
    <n v="1033"/>
    <s v="1033111"/>
    <d v="2023-09-15T06:10:11"/>
    <s v="type40"/>
    <n v="516.23"/>
    <x v="4"/>
    <d v="2023-09-16T06:10:11"/>
    <x v="4"/>
    <d v="2023-10-03T00:00:00"/>
    <n v="17.742928240739275"/>
    <x v="0"/>
    <x v="2"/>
    <n v="16.742928240739275"/>
    <x v="2"/>
  </r>
  <r>
    <n v="1020"/>
    <s v="1020111"/>
    <d v="2023-09-27T06:10:11"/>
    <s v="type40"/>
    <n v="-580.04999999999995"/>
    <x v="5"/>
    <d v="2023-09-28T06:10:11"/>
    <x v="0"/>
    <d v="2023-10-03T00:00:00"/>
    <n v="5.7429282407392748"/>
    <x v="2"/>
    <x v="8"/>
    <n v="4.7429282407392748"/>
    <x v="8"/>
  </r>
  <r>
    <n v="1019"/>
    <s v="1019111"/>
    <d v="2023-09-28T06:10:11"/>
    <s v="type36"/>
    <n v="1461.09"/>
    <x v="0"/>
    <d v="2023-09-29T06:10:11"/>
    <x v="0"/>
    <d v="2023-10-03T00:00:00"/>
    <n v="4.7429282407392748"/>
    <x v="2"/>
    <x v="13"/>
    <n v="3.7429282407392748"/>
    <x v="13"/>
  </r>
  <r>
    <n v="1002"/>
    <s v="1002111"/>
    <d v="2023-09-28T06:10:11"/>
    <s v="type42"/>
    <n v="217.87"/>
    <x v="6"/>
    <d v="2023-09-30T06:10:11"/>
    <x v="3"/>
    <d v="2023-10-03T00:00:00"/>
    <n v="4.7429282407392748"/>
    <x v="2"/>
    <x v="14"/>
    <n v="2.7429282407392748"/>
    <x v="14"/>
  </r>
  <r>
    <n v="1010"/>
    <s v="1010111"/>
    <d v="2023-09-25T06:10:11"/>
    <s v="type13"/>
    <n v="15267.35"/>
    <x v="1"/>
    <d v="2023-09-26T06:10:11"/>
    <x v="1"/>
    <d v="2023-10-03T00:00:00"/>
    <n v="7.7429282407392748"/>
    <x v="1"/>
    <x v="7"/>
    <n v="6.7429282407392748"/>
    <x v="7"/>
  </r>
  <r>
    <n v="1012"/>
    <s v="1012111"/>
    <d v="2023-09-26T06:10:11"/>
    <s v="type13"/>
    <n v="18898"/>
    <x v="3"/>
    <d v="2023-09-27T06:10:11"/>
    <x v="2"/>
    <d v="2023-10-03T00:00:00"/>
    <n v="6.7429282407392748"/>
    <x v="1"/>
    <x v="12"/>
    <n v="5.7429282407392748"/>
    <x v="12"/>
  </r>
  <r>
    <n v="1033"/>
    <s v="1033111"/>
    <d v="2023-09-27T06:10:11"/>
    <s v="type29"/>
    <n v="699.41"/>
    <x v="6"/>
    <d v="2023-09-28T06:10:11"/>
    <x v="4"/>
    <d v="2023-10-03T00:00:00"/>
    <n v="5.7429282407392748"/>
    <x v="2"/>
    <x v="8"/>
    <n v="4.7429282407392748"/>
    <x v="8"/>
  </r>
  <r>
    <n v="1033"/>
    <s v="1033111"/>
    <d v="2023-09-28T06:10:11"/>
    <s v="type40"/>
    <n v="-370.11"/>
    <x v="0"/>
    <d v="2023-10-05T06:10:11"/>
    <x v="4"/>
    <d v="2023-10-03T00:00:00"/>
    <n v="4.7429282407392748"/>
    <x v="2"/>
    <x v="17"/>
    <n v="-2.2570717592607252"/>
    <x v="17"/>
  </r>
  <r>
    <n v="1012"/>
    <s v="1012111"/>
    <d v="2023-09-27T06:10:11"/>
    <s v="type40"/>
    <n v="6336.52"/>
    <x v="5"/>
    <d v="2023-09-28T06:10:11"/>
    <x v="2"/>
    <d v="2023-10-03T00:00:00"/>
    <n v="5.7429282407392748"/>
    <x v="2"/>
    <x v="8"/>
    <n v="4.7429282407392748"/>
    <x v="8"/>
  </r>
  <r>
    <n v="1003"/>
    <s v="1003111"/>
    <d v="2023-09-28T06:10:11"/>
    <s v="type40"/>
    <n v="-536.98"/>
    <x v="0"/>
    <d v="2023-09-30T06:10:11"/>
    <x v="3"/>
    <d v="2023-10-03T00:00:00"/>
    <n v="4.7429282407392748"/>
    <x v="2"/>
    <x v="14"/>
    <n v="2.7429282407392748"/>
    <x v="14"/>
  </r>
  <r>
    <n v="1030"/>
    <s v="1030111"/>
    <d v="2023-09-18T06:10:11"/>
    <s v="type13"/>
    <n v="14324.92"/>
    <x v="3"/>
    <d v="2023-09-19T06:10:11"/>
    <x v="4"/>
    <d v="2023-10-03T00:00:00"/>
    <n v="14.742928240739275"/>
    <x v="0"/>
    <x v="19"/>
    <n v="13.742928240739275"/>
    <x v="19"/>
  </r>
  <r>
    <n v="1019"/>
    <s v="1019111"/>
    <d v="2023-09-18T06:10:11"/>
    <s v="type13"/>
    <n v="14396.85"/>
    <x v="3"/>
    <d v="2023-09-19T06:10:11"/>
    <x v="0"/>
    <d v="2023-10-03T00:00:00"/>
    <n v="14.742928240739275"/>
    <x v="0"/>
    <x v="19"/>
    <n v="13.742928240739275"/>
    <x v="19"/>
  </r>
  <r>
    <n v="1023"/>
    <s v="1023111"/>
    <d v="2023-09-19T06:10:11"/>
    <s v="type13"/>
    <n v="14595.25"/>
    <x v="1"/>
    <d v="2023-09-20T06:10:11"/>
    <x v="0"/>
    <d v="2023-10-03T00:00:00"/>
    <n v="13.742928240739275"/>
    <x v="0"/>
    <x v="9"/>
    <n v="12.742928240739275"/>
    <x v="9"/>
  </r>
  <r>
    <n v="1008"/>
    <s v="1008111"/>
    <d v="2023-09-20T06:10:11"/>
    <s v="type13"/>
    <n v="18085.02"/>
    <x v="3"/>
    <d v="2023-09-21T06:10:11"/>
    <x v="1"/>
    <d v="2023-10-03T00:00:00"/>
    <n v="12.742928240739275"/>
    <x v="0"/>
    <x v="1"/>
    <n v="11.742928240739275"/>
    <x v="1"/>
  </r>
  <r>
    <n v="1027"/>
    <s v="1027111"/>
    <d v="2023-09-20T06:10:11"/>
    <s v="type13"/>
    <n v="13068"/>
    <x v="3"/>
    <d v="2023-09-21T06:10:11"/>
    <x v="5"/>
    <d v="2023-10-03T00:00:00"/>
    <n v="12.742928240739275"/>
    <x v="0"/>
    <x v="1"/>
    <n v="11.742928240739275"/>
    <x v="1"/>
  </r>
  <r>
    <n v="1034"/>
    <s v="1034111"/>
    <d v="2023-09-21T06:10:11"/>
    <s v="type13"/>
    <n v="20329.38"/>
    <x v="1"/>
    <d v="2023-09-22T06:10:11"/>
    <x v="4"/>
    <d v="2023-10-03T00:00:00"/>
    <n v="11.742928240739275"/>
    <x v="0"/>
    <x v="10"/>
    <n v="10.742928240739275"/>
    <x v="10"/>
  </r>
  <r>
    <n v="1034"/>
    <s v="1034111"/>
    <d v="2023-09-16T06:10:11"/>
    <s v="type40"/>
    <n v="3969.57"/>
    <x v="4"/>
    <d v="2023-09-17T06:10:11"/>
    <x v="4"/>
    <d v="2023-10-03T00:00:00"/>
    <n v="16.742928240739275"/>
    <x v="0"/>
    <x v="4"/>
    <n v="15.742928240739275"/>
    <x v="4"/>
  </r>
  <r>
    <n v="1014"/>
    <s v="1014111"/>
    <d v="2023-09-28T06:10:11"/>
    <s v="type40"/>
    <n v="648.66"/>
    <x v="5"/>
    <d v="2023-09-29T06:10:11"/>
    <x v="2"/>
    <d v="2023-10-03T00:00:00"/>
    <n v="4.7429282407392748"/>
    <x v="2"/>
    <x v="13"/>
    <n v="3.7429282407392748"/>
    <x v="13"/>
  </r>
  <r>
    <n v="1000"/>
    <s v="1000111"/>
    <d v="2023-09-16T06:10:11"/>
    <s v="type40"/>
    <n v="-997.75"/>
    <x v="4"/>
    <d v="2023-09-17T06:10:11"/>
    <x v="3"/>
    <d v="2023-10-03T00:00:00"/>
    <n v="16.742928240739275"/>
    <x v="0"/>
    <x v="4"/>
    <n v="15.742928240739275"/>
    <x v="4"/>
  </r>
  <r>
    <n v="1013"/>
    <s v="1013111"/>
    <d v="2023-09-28T06:10:11"/>
    <s v="type33"/>
    <n v="1085.98"/>
    <x v="0"/>
    <d v="2023-10-05T06:10:11"/>
    <x v="2"/>
    <d v="2023-10-03T00:00:00"/>
    <n v="4.7429282407392748"/>
    <x v="2"/>
    <x v="17"/>
    <n v="-2.2570717592607252"/>
    <x v="17"/>
  </r>
  <r>
    <n v="1006"/>
    <s v="1006111"/>
    <d v="2023-09-28T06:10:11"/>
    <s v="type40"/>
    <n v="-328.11"/>
    <x v="0"/>
    <d v="2023-09-30T06:10:11"/>
    <x v="1"/>
    <d v="2023-10-03T00:00:00"/>
    <n v="4.7429282407392748"/>
    <x v="2"/>
    <x v="14"/>
    <n v="2.7429282407392748"/>
    <x v="14"/>
  </r>
  <r>
    <n v="1032"/>
    <s v="1032111"/>
    <d v="2023-09-26T06:10:11"/>
    <s v="type13"/>
    <n v="13770.89"/>
    <x v="1"/>
    <d v="2023-09-28T06:10:11"/>
    <x v="4"/>
    <d v="2023-10-03T00:00:00"/>
    <n v="6.7429282407392748"/>
    <x v="1"/>
    <x v="8"/>
    <n v="4.7429282407392748"/>
    <x v="8"/>
  </r>
  <r>
    <n v="1030"/>
    <s v="1030111"/>
    <d v="2023-09-27T06:10:11"/>
    <s v="type13"/>
    <n v="12355"/>
    <x v="3"/>
    <d v="2023-09-29T06:10:11"/>
    <x v="4"/>
    <d v="2023-10-03T00:00:00"/>
    <n v="5.7429282407392748"/>
    <x v="2"/>
    <x v="13"/>
    <n v="3.7429282407392748"/>
    <x v="13"/>
  </r>
  <r>
    <n v="1025"/>
    <s v="1025111"/>
    <d v="2023-09-28T06:10:11"/>
    <s v="type13"/>
    <n v="78417.740000000005"/>
    <x v="6"/>
    <d v="2023-10-03T06:10:11"/>
    <x v="5"/>
    <d v="2023-10-03T00:00:00"/>
    <n v="4.7429282407392748"/>
    <x v="2"/>
    <x v="16"/>
    <n v="-0.25707175926072523"/>
    <x v="16"/>
  </r>
  <r>
    <n v="1001"/>
    <s v="1001111"/>
    <d v="2023-09-10T06:10:11"/>
    <s v="type13"/>
    <n v="19606.22"/>
    <x v="1"/>
    <d v="2023-09-12T06:10:11"/>
    <x v="3"/>
    <d v="2023-10-03T00:00:00"/>
    <n v="22.742928240739275"/>
    <x v="0"/>
    <x v="18"/>
    <n v="20.742928240739275"/>
    <x v="18"/>
  </r>
  <r>
    <n v="1000"/>
    <s v="1000111"/>
    <d v="2023-09-17T06:10:11"/>
    <s v="type42"/>
    <n v="204"/>
    <x v="4"/>
    <d v="2023-09-18T06:10:11"/>
    <x v="3"/>
    <d v="2023-10-03T00:00:00"/>
    <n v="15.742928240739275"/>
    <x v="0"/>
    <x v="6"/>
    <n v="14.742928240739275"/>
    <x v="6"/>
  </r>
  <r>
    <n v="1023"/>
    <s v="1023111"/>
    <d v="2023-09-28T06:10:11"/>
    <s v="type35"/>
    <n v="1104.1500000000001"/>
    <x v="6"/>
    <d v="2023-09-30T06:10:11"/>
    <x v="0"/>
    <d v="2023-10-03T00:00:00"/>
    <n v="4.7429282407392748"/>
    <x v="2"/>
    <x v="14"/>
    <n v="2.7429282407392748"/>
    <x v="14"/>
  </r>
  <r>
    <n v="1026"/>
    <s v="1026111"/>
    <d v="2023-09-13T06:10:11"/>
    <s v="type13"/>
    <n v="15930.76"/>
    <x v="3"/>
    <d v="2023-09-15T06:10:11"/>
    <x v="5"/>
    <d v="2023-10-03T00:00:00"/>
    <n v="19.742928240739275"/>
    <x v="0"/>
    <x v="0"/>
    <n v="17.742928240739275"/>
    <x v="0"/>
  </r>
  <r>
    <n v="1018"/>
    <s v="1018111"/>
    <d v="2023-09-21T06:10:11"/>
    <s v="type7"/>
    <n v="-1139.94"/>
    <x v="4"/>
    <d v="2023-09-22T06:10:11"/>
    <x v="0"/>
    <d v="2023-10-03T00:00:00"/>
    <n v="11.742928240739275"/>
    <x v="0"/>
    <x v="10"/>
    <n v="10.742928240739275"/>
    <x v="10"/>
  </r>
  <r>
    <n v="1034"/>
    <s v="1034111"/>
    <d v="2023-09-18T06:10:11"/>
    <s v="type9"/>
    <n v="70.59"/>
    <x v="4"/>
    <d v="2023-09-23T06:10:11"/>
    <x v="4"/>
    <d v="2023-10-03T00:00:00"/>
    <n v="14.742928240739275"/>
    <x v="0"/>
    <x v="3"/>
    <n v="9.7429282407392748"/>
    <x v="3"/>
  </r>
  <r>
    <n v="1019"/>
    <s v="1019111"/>
    <d v="2023-09-14T06:10:11"/>
    <s v="type13"/>
    <n v="12469"/>
    <x v="3"/>
    <d v="2023-09-16T06:10:11"/>
    <x v="0"/>
    <d v="2023-10-03T00:00:00"/>
    <n v="18.742928240739275"/>
    <x v="0"/>
    <x v="2"/>
    <n v="16.742928240739275"/>
    <x v="2"/>
  </r>
  <r>
    <n v="1030"/>
    <s v="1030111"/>
    <d v="2023-09-20T06:10:11"/>
    <s v="type13"/>
    <n v="24762.21"/>
    <x v="4"/>
    <d v="2023-09-25T06:10:11"/>
    <x v="4"/>
    <d v="2023-10-03T00:00:00"/>
    <n v="12.742928240739275"/>
    <x v="0"/>
    <x v="11"/>
    <n v="7.7429282407392748"/>
    <x v="11"/>
  </r>
  <r>
    <n v="1016"/>
    <s v="1016111"/>
    <d v="2023-09-15T06:10:11"/>
    <s v="type13"/>
    <n v="21518.2"/>
    <x v="3"/>
    <d v="2023-09-17T06:10:11"/>
    <x v="2"/>
    <d v="2023-10-03T00:00:00"/>
    <n v="17.742928240739275"/>
    <x v="0"/>
    <x v="4"/>
    <n v="15.742928240739275"/>
    <x v="4"/>
  </r>
  <r>
    <n v="1033"/>
    <s v="1033111"/>
    <d v="2023-09-13T06:10:11"/>
    <s v="type13"/>
    <n v="27422.2"/>
    <x v="4"/>
    <d v="2023-09-20T06:10:11"/>
    <x v="4"/>
    <d v="2023-10-03T00:00:00"/>
    <n v="19.742928240739275"/>
    <x v="0"/>
    <x v="9"/>
    <n v="12.742928240739275"/>
    <x v="9"/>
  </r>
  <r>
    <n v="1022"/>
    <s v="1022111"/>
    <d v="2023-09-14T06:10:11"/>
    <s v="type8"/>
    <n v="56"/>
    <x v="4"/>
    <d v="2023-09-21T06:10:11"/>
    <x v="0"/>
    <d v="2023-10-03T00:00:00"/>
    <n v="18.742928240739275"/>
    <x v="0"/>
    <x v="1"/>
    <n v="11.742928240739275"/>
    <x v="1"/>
  </r>
  <r>
    <n v="1007"/>
    <s v="1007111"/>
    <d v="2023-09-17T06:10:11"/>
    <s v="type13"/>
    <n v="15458.93"/>
    <x v="3"/>
    <d v="2023-09-19T06:10:11"/>
    <x v="1"/>
    <d v="2023-10-03T00:00:00"/>
    <n v="15.742928240739275"/>
    <x v="0"/>
    <x v="19"/>
    <n v="13.742928240739275"/>
    <x v="19"/>
  </r>
  <r>
    <n v="1032"/>
    <s v="1032111"/>
    <d v="2023-09-28T06:10:11"/>
    <s v="type40"/>
    <n v="1884.56"/>
    <x v="5"/>
    <d v="2023-09-30T06:10:11"/>
    <x v="4"/>
    <d v="2023-10-03T00:00:00"/>
    <n v="4.7429282407392748"/>
    <x v="2"/>
    <x v="14"/>
    <n v="2.7429282407392748"/>
    <x v="14"/>
  </r>
  <r>
    <n v="1033"/>
    <s v="1033111"/>
    <d v="2023-09-18T06:10:11"/>
    <s v="type13"/>
    <n v="12329"/>
    <x v="3"/>
    <d v="2023-09-20T06:10:11"/>
    <x v="4"/>
    <d v="2023-10-03T00:00:00"/>
    <n v="14.742928240739275"/>
    <x v="0"/>
    <x v="9"/>
    <n v="12.742928240739275"/>
    <x v="9"/>
  </r>
  <r>
    <n v="1021"/>
    <s v="1021111"/>
    <d v="2023-09-19T06:10:11"/>
    <s v="type13"/>
    <n v="22584.7"/>
    <x v="3"/>
    <d v="2023-09-21T06:10:11"/>
    <x v="0"/>
    <d v="2023-10-03T00:00:00"/>
    <n v="13.742928240739275"/>
    <x v="0"/>
    <x v="1"/>
    <n v="11.742928240739275"/>
    <x v="1"/>
  </r>
  <r>
    <n v="1001"/>
    <s v="1001111"/>
    <d v="2023-09-20T06:10:11"/>
    <s v="type13"/>
    <n v="24114.95"/>
    <x v="3"/>
    <d v="2023-09-22T06:10:11"/>
    <x v="3"/>
    <d v="2023-10-03T00:00:00"/>
    <n v="12.742928240739275"/>
    <x v="0"/>
    <x v="10"/>
    <n v="10.742928240739275"/>
    <x v="10"/>
  </r>
  <r>
    <n v="1005"/>
    <s v="1005111"/>
    <d v="2023-09-27T06:10:11"/>
    <s v="type40"/>
    <n v="410.99"/>
    <x v="5"/>
    <d v="2023-10-02T06:10:11"/>
    <x v="3"/>
    <d v="2023-10-03T00:00:00"/>
    <n v="5.7429282407392748"/>
    <x v="2"/>
    <x v="15"/>
    <n v="0.74292824073927477"/>
    <x v="15"/>
  </r>
  <r>
    <n v="1010"/>
    <s v="1010111"/>
    <d v="2023-09-21T06:10:11"/>
    <s v="type13"/>
    <n v="16458.349999999999"/>
    <x v="1"/>
    <d v="2023-09-26T06:10:11"/>
    <x v="1"/>
    <d v="2023-10-03T00:00:00"/>
    <n v="11.742928240739275"/>
    <x v="0"/>
    <x v="7"/>
    <n v="6.7429282407392748"/>
    <x v="7"/>
  </r>
  <r>
    <n v="1029"/>
    <s v="1029111"/>
    <d v="2023-09-21T06:10:11"/>
    <s v="type13"/>
    <n v="14941.67"/>
    <x v="3"/>
    <d v="2023-09-26T06:10:11"/>
    <x v="5"/>
    <d v="2023-10-03T00:00:00"/>
    <n v="11.742928240739275"/>
    <x v="0"/>
    <x v="7"/>
    <n v="6.7429282407392748"/>
    <x v="7"/>
  </r>
  <r>
    <n v="1006"/>
    <s v="1006111"/>
    <d v="2023-09-22T06:10:11"/>
    <s v="type13"/>
    <n v="18298.189999999999"/>
    <x v="1"/>
    <d v="2023-09-27T06:10:11"/>
    <x v="1"/>
    <d v="2023-10-03T00:00:00"/>
    <n v="10.742928240739275"/>
    <x v="0"/>
    <x v="12"/>
    <n v="5.7429282407392748"/>
    <x v="12"/>
  </r>
  <r>
    <n v="1000"/>
    <s v="1000111"/>
    <d v="2023-09-23T06:10:11"/>
    <s v="type13"/>
    <n v="13034"/>
    <x v="1"/>
    <d v="2023-09-28T06:10:11"/>
    <x v="3"/>
    <d v="2023-10-03T00:00:00"/>
    <n v="9.7429282407392748"/>
    <x v="0"/>
    <x v="8"/>
    <n v="4.7429282407392748"/>
    <x v="8"/>
  </r>
  <r>
    <n v="1005"/>
    <s v="1005111"/>
    <d v="2023-09-18T06:10:11"/>
    <s v="type26"/>
    <n v="113.75"/>
    <x v="4"/>
    <d v="2023-09-25T06:10:11"/>
    <x v="3"/>
    <d v="2023-10-03T00:00:00"/>
    <n v="14.742928240739275"/>
    <x v="0"/>
    <x v="11"/>
    <n v="7.7429282407392748"/>
    <x v="11"/>
  </r>
  <r>
    <n v="1015"/>
    <s v="1015111"/>
    <d v="2023-09-27T06:10:11"/>
    <s v="type40"/>
    <n v="-302.39999999999998"/>
    <x v="0"/>
    <d v="2023-10-04T06:10:11"/>
    <x v="2"/>
    <d v="2023-10-03T00:00:00"/>
    <n v="5.7429282407392748"/>
    <x v="2"/>
    <x v="23"/>
    <n v="-1.2570717592607252"/>
    <x v="23"/>
  </r>
  <r>
    <n v="1014"/>
    <s v="1014111"/>
    <d v="2023-09-28T06:10:11"/>
    <s v="type40"/>
    <n v="-329.52"/>
    <x v="5"/>
    <d v="2023-10-05T06:10:11"/>
    <x v="2"/>
    <d v="2023-10-03T00:00:00"/>
    <n v="4.7429282407392748"/>
    <x v="2"/>
    <x v="17"/>
    <n v="-2.2570717592607252"/>
    <x v="17"/>
  </r>
  <r>
    <n v="1004"/>
    <s v="1004111"/>
    <d v="2023-09-28T06:10:11"/>
    <s v="type40"/>
    <n v="-1071.74"/>
    <x v="5"/>
    <d v="2023-09-29T06:10:11"/>
    <x v="3"/>
    <d v="2023-10-03T00:00:00"/>
    <n v="4.7429282407392748"/>
    <x v="2"/>
    <x v="13"/>
    <n v="3.7429282407392748"/>
    <x v="13"/>
  </r>
  <r>
    <n v="1026"/>
    <s v="1026111"/>
    <d v="2023-09-28T06:10:11"/>
    <s v="type40"/>
    <n v="51.38"/>
    <x v="0"/>
    <d v="2023-10-03T06:10:11"/>
    <x v="5"/>
    <d v="2023-10-03T00:00:00"/>
    <n v="4.7429282407392748"/>
    <x v="2"/>
    <x v="16"/>
    <n v="-0.25707175926072523"/>
    <x v="16"/>
  </r>
  <r>
    <n v="1013"/>
    <s v="1013111"/>
    <d v="2023-09-28T06:10:11"/>
    <s v="type40"/>
    <n v="1636.97"/>
    <x v="6"/>
    <d v="2023-10-05T06:10:11"/>
    <x v="2"/>
    <d v="2023-10-03T00:00:00"/>
    <n v="4.7429282407392748"/>
    <x v="2"/>
    <x v="17"/>
    <n v="-2.2570717592607252"/>
    <x v="17"/>
  </r>
  <r>
    <n v="1017"/>
    <s v="1017111"/>
    <d v="2023-09-28T06:10:11"/>
    <s v="type40"/>
    <n v="410.85"/>
    <x v="6"/>
    <d v="2023-09-29T06:10:11"/>
    <x v="2"/>
    <d v="2023-10-03T00:00:00"/>
    <n v="4.7429282407392748"/>
    <x v="2"/>
    <x v="13"/>
    <n v="3.7429282407392748"/>
    <x v="13"/>
  </r>
  <r>
    <n v="1011"/>
    <s v="1011111"/>
    <d v="2023-09-28T06:10:11"/>
    <s v="type7"/>
    <n v="1319.83"/>
    <x v="6"/>
    <d v="2023-09-30T06:10:11"/>
    <x v="1"/>
    <d v="2023-10-03T00:00:00"/>
    <n v="4.7429282407392748"/>
    <x v="2"/>
    <x v="14"/>
    <n v="2.7429282407392748"/>
    <x v="14"/>
  </r>
  <r>
    <n v="1032"/>
    <s v="1032111"/>
    <d v="2023-09-27T06:10:11"/>
    <s v="type27"/>
    <n v="919.27"/>
    <x v="5"/>
    <d v="2023-09-28T06:10:11"/>
    <x v="4"/>
    <d v="2023-10-03T00:00:00"/>
    <n v="5.7429282407392748"/>
    <x v="2"/>
    <x v="8"/>
    <n v="4.7429282407392748"/>
    <x v="8"/>
  </r>
  <r>
    <n v="1030"/>
    <s v="1030111"/>
    <d v="2023-09-28T06:10:11"/>
    <s v="type40"/>
    <n v="-335.08"/>
    <x v="0"/>
    <d v="2023-09-29T06:10:11"/>
    <x v="4"/>
    <d v="2023-10-03T00:00:00"/>
    <n v="4.7429282407392748"/>
    <x v="2"/>
    <x v="13"/>
    <n v="3.7429282407392748"/>
    <x v="13"/>
  </r>
  <r>
    <n v="1013"/>
    <s v="1013111"/>
    <d v="2023-09-18T06:10:11"/>
    <s v="type40"/>
    <n v="5057.8599999999997"/>
    <x v="4"/>
    <d v="2023-09-19T06:10:11"/>
    <x v="2"/>
    <d v="2023-10-03T00:00:00"/>
    <n v="14.742928240739275"/>
    <x v="0"/>
    <x v="19"/>
    <n v="13.742928240739275"/>
    <x v="19"/>
  </r>
  <r>
    <n v="1012"/>
    <s v="1012111"/>
    <d v="2023-09-20T06:10:11"/>
    <s v="type40"/>
    <n v="4899.13"/>
    <x v="1"/>
    <d v="2023-09-27T06:10:11"/>
    <x v="2"/>
    <d v="2023-10-03T00:00:00"/>
    <n v="12.742928240739275"/>
    <x v="0"/>
    <x v="12"/>
    <n v="5.7429282407392748"/>
    <x v="12"/>
  </r>
  <r>
    <n v="1001"/>
    <s v="1001111"/>
    <d v="2023-09-27T06:10:11"/>
    <s v="type26"/>
    <n v="119.88"/>
    <x v="5"/>
    <d v="2023-10-02T06:10:11"/>
    <x v="3"/>
    <d v="2023-10-03T00:00:00"/>
    <n v="5.7429282407392748"/>
    <x v="2"/>
    <x v="15"/>
    <n v="0.74292824073927477"/>
    <x v="15"/>
  </r>
  <r>
    <n v="1005"/>
    <s v="1005111"/>
    <d v="2023-09-28T06:10:11"/>
    <s v="type13"/>
    <n v="20382.830000000002"/>
    <x v="6"/>
    <d v="2023-09-29T06:10:11"/>
    <x v="3"/>
    <d v="2023-10-03T00:00:00"/>
    <n v="4.7429282407392748"/>
    <x v="2"/>
    <x v="13"/>
    <n v="3.7429282407392748"/>
    <x v="13"/>
  </r>
  <r>
    <n v="1004"/>
    <s v="1004111"/>
    <d v="2023-09-19T06:10:11"/>
    <s v="type13"/>
    <n v="25234.81"/>
    <x v="4"/>
    <d v="2023-09-20T06:10:11"/>
    <x v="3"/>
    <d v="2023-10-03T00:00:00"/>
    <n v="13.742928240739275"/>
    <x v="0"/>
    <x v="9"/>
    <n v="12.742928240739275"/>
    <x v="9"/>
  </r>
  <r>
    <n v="1015"/>
    <s v="1015111"/>
    <d v="2023-09-20T06:10:11"/>
    <s v="type13"/>
    <n v="12391"/>
    <x v="4"/>
    <d v="2023-09-22T06:10:11"/>
    <x v="2"/>
    <d v="2023-10-03T00:00:00"/>
    <n v="12.742928240739275"/>
    <x v="0"/>
    <x v="10"/>
    <n v="10.742928240739275"/>
    <x v="10"/>
  </r>
  <r>
    <n v="1001"/>
    <s v="1001111"/>
    <d v="2023-09-24T06:10:11"/>
    <s v="type40"/>
    <n v="3685.71"/>
    <x v="3"/>
    <d v="2023-10-01T06:10:11"/>
    <x v="3"/>
    <d v="2023-10-03T00:00:00"/>
    <n v="8.7429282407392748"/>
    <x v="1"/>
    <x v="22"/>
    <n v="1.7429282407392748"/>
    <x v="22"/>
  </r>
  <r>
    <n v="1023"/>
    <s v="1023111"/>
    <d v="2023-09-28T06:10:11"/>
    <s v="type25"/>
    <n v="281.14999999999998"/>
    <x v="5"/>
    <d v="2023-09-30T06:10:11"/>
    <x v="0"/>
    <d v="2023-10-03T00:00:00"/>
    <n v="4.7429282407392748"/>
    <x v="2"/>
    <x v="14"/>
    <n v="2.7429282407392748"/>
    <x v="14"/>
  </r>
  <r>
    <n v="1003"/>
    <s v="1003111"/>
    <d v="2023-09-26T06:10:11"/>
    <s v="type40"/>
    <n v="1996.79"/>
    <x v="3"/>
    <d v="2023-10-03T06:10:11"/>
    <x v="3"/>
    <d v="2023-10-03T00:00:00"/>
    <n v="6.7429282407392748"/>
    <x v="1"/>
    <x v="16"/>
    <n v="-0.25707175926072523"/>
    <x v="16"/>
  </r>
  <r>
    <n v="1000"/>
    <s v="1000111"/>
    <d v="2023-09-27T06:10:11"/>
    <s v="type13"/>
    <n v="15510.69"/>
    <x v="6"/>
    <d v="2023-09-28T06:10:11"/>
    <x v="3"/>
    <d v="2023-10-03T00:00:00"/>
    <n v="5.7429282407392748"/>
    <x v="2"/>
    <x v="8"/>
    <n v="4.7429282407392748"/>
    <x v="8"/>
  </r>
  <r>
    <n v="1000"/>
    <s v="1000111"/>
    <d v="2023-09-28T06:10:11"/>
    <s v="type13"/>
    <n v="20538.689999999999"/>
    <x v="0"/>
    <d v="2023-09-29T06:10:11"/>
    <x v="3"/>
    <d v="2023-10-03T00:00:00"/>
    <n v="4.7429282407392748"/>
    <x v="2"/>
    <x v="13"/>
    <n v="3.7429282407392748"/>
    <x v="13"/>
  </r>
  <r>
    <n v="1019"/>
    <s v="1019111"/>
    <d v="2023-09-10T06:10:11"/>
    <s v="type26"/>
    <n v="259.25"/>
    <x v="1"/>
    <d v="2023-09-17T06:10:11"/>
    <x v="0"/>
    <d v="2023-10-03T00:00:00"/>
    <n v="22.742928240739275"/>
    <x v="0"/>
    <x v="4"/>
    <n v="15.742928240739275"/>
    <x v="4"/>
  </r>
  <r>
    <n v="1006"/>
    <s v="1006111"/>
    <d v="2023-09-28T06:10:11"/>
    <s v="type40"/>
    <n v="-4194.97"/>
    <x v="0"/>
    <d v="2023-09-30T06:10:11"/>
    <x v="1"/>
    <d v="2023-10-03T00:00:00"/>
    <n v="4.7429282407392748"/>
    <x v="2"/>
    <x v="14"/>
    <n v="2.7429282407392748"/>
    <x v="14"/>
  </r>
  <r>
    <n v="1006"/>
    <s v="1006111"/>
    <d v="2023-09-12T06:10:11"/>
    <s v="type35"/>
    <n v="2442.5700000000002"/>
    <x v="1"/>
    <d v="2023-09-13T06:10:11"/>
    <x v="1"/>
    <d v="2023-10-03T00:00:00"/>
    <n v="20.742928240739275"/>
    <x v="0"/>
    <x v="24"/>
    <n v="19.742928240739275"/>
    <x v="24"/>
  </r>
  <r>
    <n v="1004"/>
    <s v="1004111"/>
    <d v="2023-09-13T06:10:11"/>
    <s v="type36"/>
    <n v="356.44"/>
    <x v="3"/>
    <d v="2023-09-14T06:10:11"/>
    <x v="3"/>
    <d v="2023-10-03T00:00:00"/>
    <n v="19.742928240739275"/>
    <x v="0"/>
    <x v="20"/>
    <n v="18.742928240739275"/>
    <x v="20"/>
  </r>
  <r>
    <n v="1015"/>
    <s v="1015111"/>
    <d v="2023-09-28T06:10:11"/>
    <s v="type40"/>
    <n v="2081.64"/>
    <x v="0"/>
    <d v="2023-10-05T06:10:11"/>
    <x v="2"/>
    <d v="2023-10-03T00:00:00"/>
    <n v="4.7429282407392748"/>
    <x v="2"/>
    <x v="17"/>
    <n v="-2.2570717592607252"/>
    <x v="17"/>
  </r>
  <r>
    <n v="1023"/>
    <s v="1023111"/>
    <d v="2023-09-27T06:10:11"/>
    <s v="type7"/>
    <n v="1665.51"/>
    <x v="0"/>
    <d v="2023-09-28T06:10:11"/>
    <x v="0"/>
    <d v="2023-10-03T00:00:00"/>
    <n v="5.7429282407392748"/>
    <x v="2"/>
    <x v="8"/>
    <n v="4.7429282407392748"/>
    <x v="8"/>
  </r>
  <r>
    <n v="1009"/>
    <s v="1009111"/>
    <d v="2023-09-28T06:10:11"/>
    <s v="type13"/>
    <n v="19731.23"/>
    <x v="6"/>
    <d v="2023-09-30T06:10:11"/>
    <x v="1"/>
    <d v="2023-10-03T00:00:00"/>
    <n v="4.7429282407392748"/>
    <x v="2"/>
    <x v="14"/>
    <n v="2.7429282407392748"/>
    <x v="14"/>
  </r>
  <r>
    <n v="1018"/>
    <s v="1018111"/>
    <d v="2023-09-15T06:10:11"/>
    <s v="type40"/>
    <n v="396.38"/>
    <x v="4"/>
    <d v="2023-09-17T06:10:11"/>
    <x v="0"/>
    <d v="2023-10-03T00:00:00"/>
    <n v="17.742928240739275"/>
    <x v="0"/>
    <x v="4"/>
    <n v="15.742928240739275"/>
    <x v="4"/>
  </r>
  <r>
    <n v="1035"/>
    <s v="1035111"/>
    <d v="2023-09-15T06:10:11"/>
    <s v="type40"/>
    <n v="7494.79"/>
    <x v="1"/>
    <d v="2023-09-16T06:10:11"/>
    <x v="4"/>
    <d v="2023-10-03T00:00:00"/>
    <n v="17.742928240739275"/>
    <x v="0"/>
    <x v="2"/>
    <n v="16.742928240739275"/>
    <x v="2"/>
  </r>
  <r>
    <n v="1035"/>
    <s v="1035111"/>
    <d v="2023-09-16T06:10:11"/>
    <s v="type40"/>
    <n v="7728.23"/>
    <x v="1"/>
    <d v="2023-09-17T06:10:11"/>
    <x v="4"/>
    <d v="2023-10-03T00:00:00"/>
    <n v="16.742928240739275"/>
    <x v="0"/>
    <x v="4"/>
    <n v="15.742928240739275"/>
    <x v="4"/>
  </r>
  <r>
    <n v="1031"/>
    <s v="1031111"/>
    <d v="2023-09-16T06:10:11"/>
    <s v="type40"/>
    <n v="1419.59"/>
    <x v="3"/>
    <d v="2023-09-17T06:10:11"/>
    <x v="4"/>
    <d v="2023-10-03T00:00:00"/>
    <n v="16.742928240739275"/>
    <x v="0"/>
    <x v="4"/>
    <n v="15.742928240739275"/>
    <x v="4"/>
  </r>
  <r>
    <n v="1008"/>
    <s v="1008111"/>
    <d v="2023-09-28T06:10:11"/>
    <s v="type40"/>
    <n v="-1732.76"/>
    <x v="0"/>
    <d v="2023-09-30T06:10:11"/>
    <x v="1"/>
    <d v="2023-10-03T00:00:00"/>
    <n v="4.7429282407392748"/>
    <x v="2"/>
    <x v="14"/>
    <n v="2.7429282407392748"/>
    <x v="14"/>
  </r>
  <r>
    <n v="1006"/>
    <s v="1006111"/>
    <d v="2023-09-28T06:10:11"/>
    <s v="type13"/>
    <n v="35324.53"/>
    <x v="5"/>
    <d v="2023-09-29T06:10:11"/>
    <x v="1"/>
    <d v="2023-10-03T00:00:00"/>
    <n v="4.7429282407392748"/>
    <x v="2"/>
    <x v="13"/>
    <n v="3.7429282407392748"/>
    <x v="13"/>
  </r>
  <r>
    <n v="1013"/>
    <s v="1013111"/>
    <d v="2023-09-27T06:10:11"/>
    <s v="type40"/>
    <n v="-1925.47"/>
    <x v="0"/>
    <d v="2023-09-28T06:10:11"/>
    <x v="2"/>
    <d v="2023-10-03T00:00:00"/>
    <n v="5.7429282407392748"/>
    <x v="2"/>
    <x v="8"/>
    <n v="4.7429282407392748"/>
    <x v="8"/>
  </r>
  <r>
    <n v="1025"/>
    <s v="1025111"/>
    <d v="2023-09-19T06:10:11"/>
    <s v="type40"/>
    <n v="2988.57"/>
    <x v="1"/>
    <d v="2023-09-20T06:10:11"/>
    <x v="5"/>
    <d v="2023-10-03T00:00:00"/>
    <n v="13.742928240739275"/>
    <x v="0"/>
    <x v="9"/>
    <n v="12.742928240739275"/>
    <x v="9"/>
  </r>
  <r>
    <n v="1011"/>
    <s v="1011111"/>
    <d v="2023-09-20T06:10:11"/>
    <s v="type40"/>
    <n v="-1163.94"/>
    <x v="3"/>
    <d v="2023-09-21T06:10:11"/>
    <x v="1"/>
    <d v="2023-10-03T00:00:00"/>
    <n v="12.742928240739275"/>
    <x v="0"/>
    <x v="1"/>
    <n v="11.742928240739275"/>
    <x v="1"/>
  </r>
  <r>
    <n v="1020"/>
    <s v="1020111"/>
    <d v="2023-09-20T06:10:11"/>
    <s v="type40"/>
    <n v="-343.2"/>
    <x v="1"/>
    <d v="2023-09-21T06:10:11"/>
    <x v="0"/>
    <d v="2023-10-03T00:00:00"/>
    <n v="12.742928240739275"/>
    <x v="0"/>
    <x v="1"/>
    <n v="11.742928240739275"/>
    <x v="1"/>
  </r>
  <r>
    <n v="1025"/>
    <s v="1025111"/>
    <d v="2023-09-21T06:10:11"/>
    <s v="type40"/>
    <n v="524.6"/>
    <x v="1"/>
    <d v="2023-09-22T06:10:11"/>
    <x v="5"/>
    <d v="2023-10-03T00:00:00"/>
    <n v="11.742928240739275"/>
    <x v="0"/>
    <x v="10"/>
    <n v="10.742928240739275"/>
    <x v="10"/>
  </r>
  <r>
    <n v="1006"/>
    <s v="1006111"/>
    <d v="2023-09-21T06:10:11"/>
    <s v="type40"/>
    <n v="-509.49"/>
    <x v="1"/>
    <d v="2023-09-22T06:10:11"/>
    <x v="1"/>
    <d v="2023-10-03T00:00:00"/>
    <n v="11.742928240739275"/>
    <x v="0"/>
    <x v="10"/>
    <n v="10.742928240739275"/>
    <x v="10"/>
  </r>
  <r>
    <n v="1004"/>
    <s v="1004111"/>
    <d v="2023-09-27T06:10:11"/>
    <s v="type26"/>
    <n v="208.13"/>
    <x v="5"/>
    <d v="2023-09-28T06:10:11"/>
    <x v="3"/>
    <d v="2023-10-03T00:00:00"/>
    <n v="5.7429282407392748"/>
    <x v="2"/>
    <x v="8"/>
    <n v="4.7429282407392748"/>
    <x v="8"/>
  </r>
  <r>
    <n v="1031"/>
    <s v="1031111"/>
    <d v="2023-09-23T06:10:11"/>
    <s v="type40"/>
    <n v="341.96"/>
    <x v="3"/>
    <d v="2023-09-25T06:10:11"/>
    <x v="4"/>
    <d v="2023-10-03T00:00:00"/>
    <n v="9.7429282407392748"/>
    <x v="0"/>
    <x v="11"/>
    <n v="7.7429282407392748"/>
    <x v="11"/>
  </r>
  <r>
    <n v="1008"/>
    <s v="1008111"/>
    <d v="2023-09-27T06:10:11"/>
    <s v="type20"/>
    <n v="7121"/>
    <x v="6"/>
    <d v="2023-10-04T06:10:11"/>
    <x v="1"/>
    <d v="2023-10-03T00:00:00"/>
    <n v="5.7429282407392748"/>
    <x v="2"/>
    <x v="23"/>
    <n v="-1.2570717592607252"/>
    <x v="23"/>
  </r>
  <r>
    <n v="1011"/>
    <s v="1011111"/>
    <d v="2023-09-27T06:10:11"/>
    <s v="type13"/>
    <n v="24300.3"/>
    <x v="5"/>
    <d v="2023-10-04T06:10:11"/>
    <x v="1"/>
    <d v="2023-10-03T00:00:00"/>
    <n v="5.7429282407392748"/>
    <x v="2"/>
    <x v="23"/>
    <n v="-1.2570717592607252"/>
    <x v="23"/>
  </r>
  <r>
    <n v="1030"/>
    <s v="1030111"/>
    <d v="2023-09-28T06:10:11"/>
    <s v="type40"/>
    <n v="391.79"/>
    <x v="6"/>
    <d v="2023-09-30T06:10:11"/>
    <x v="4"/>
    <d v="2023-10-03T00:00:00"/>
    <n v="4.7429282407392748"/>
    <x v="2"/>
    <x v="14"/>
    <n v="2.7429282407392748"/>
    <x v="14"/>
  </r>
  <r>
    <n v="1029"/>
    <s v="1029111"/>
    <d v="2023-09-27T06:10:11"/>
    <s v="type40"/>
    <n v="363.75"/>
    <x v="1"/>
    <d v="2023-09-29T06:10:11"/>
    <x v="5"/>
    <d v="2023-10-03T00:00:00"/>
    <n v="5.7429282407392748"/>
    <x v="2"/>
    <x v="13"/>
    <n v="3.7429282407392748"/>
    <x v="13"/>
  </r>
  <r>
    <n v="1029"/>
    <s v="1029111"/>
    <d v="2023-09-27T06:10:11"/>
    <s v="type40"/>
    <n v="-457.18"/>
    <x v="5"/>
    <d v="2023-10-02T06:10:11"/>
    <x v="5"/>
    <d v="2023-10-03T00:00:00"/>
    <n v="5.7429282407392748"/>
    <x v="2"/>
    <x v="15"/>
    <n v="0.74292824073927477"/>
    <x v="15"/>
  </r>
  <r>
    <n v="1024"/>
    <s v="1024111"/>
    <d v="2023-09-27T06:10:11"/>
    <s v="type40"/>
    <n v="-454.7"/>
    <x v="5"/>
    <d v="2023-09-28T06:10:11"/>
    <x v="5"/>
    <d v="2023-10-03T00:00:00"/>
    <n v="5.7429282407392748"/>
    <x v="2"/>
    <x v="8"/>
    <n v="4.7429282407392748"/>
    <x v="8"/>
  </r>
  <r>
    <n v="1002"/>
    <s v="1002111"/>
    <d v="2023-09-27T06:10:11"/>
    <s v="type15"/>
    <n v="-1091.55"/>
    <x v="0"/>
    <d v="2023-09-29T06:10:11"/>
    <x v="3"/>
    <d v="2023-10-03T00:00:00"/>
    <n v="5.7429282407392748"/>
    <x v="2"/>
    <x v="13"/>
    <n v="3.7429282407392748"/>
    <x v="13"/>
  </r>
  <r>
    <n v="1015"/>
    <s v="1015111"/>
    <d v="2023-09-18T06:10:11"/>
    <s v="type40"/>
    <n v="-2265.7800000000002"/>
    <x v="3"/>
    <d v="2023-09-20T06:10:11"/>
    <x v="2"/>
    <d v="2023-10-03T00:00:00"/>
    <n v="14.742928240739275"/>
    <x v="0"/>
    <x v="9"/>
    <n v="12.742928240739275"/>
    <x v="9"/>
  </r>
  <r>
    <n v="1015"/>
    <s v="1015111"/>
    <d v="2023-09-18T06:10:11"/>
    <s v="type13"/>
    <n v="40175.4"/>
    <x v="4"/>
    <d v="2023-09-20T06:10:11"/>
    <x v="2"/>
    <d v="2023-10-03T00:00:00"/>
    <n v="14.742928240739275"/>
    <x v="0"/>
    <x v="9"/>
    <n v="12.742928240739275"/>
    <x v="9"/>
  </r>
  <r>
    <n v="1027"/>
    <s v="1027111"/>
    <d v="2023-09-19T06:10:11"/>
    <s v="type40"/>
    <n v="2245.8000000000002"/>
    <x v="3"/>
    <d v="2023-09-21T06:10:11"/>
    <x v="5"/>
    <d v="2023-10-03T00:00:00"/>
    <n v="13.742928240739275"/>
    <x v="0"/>
    <x v="1"/>
    <n v="11.742928240739275"/>
    <x v="1"/>
  </r>
  <r>
    <n v="1034"/>
    <s v="1034111"/>
    <d v="2023-09-28T06:10:11"/>
    <s v="type40"/>
    <n v="-2212.64"/>
    <x v="5"/>
    <d v="2023-09-30T06:10:11"/>
    <x v="4"/>
    <d v="2023-10-03T00:00:00"/>
    <n v="4.7429282407392748"/>
    <x v="2"/>
    <x v="14"/>
    <n v="2.7429282407392748"/>
    <x v="14"/>
  </r>
  <r>
    <n v="1009"/>
    <s v="1009111"/>
    <d v="2023-09-28T06:10:11"/>
    <s v="type40"/>
    <n v="3881.75"/>
    <x v="6"/>
    <d v="2023-09-30T06:10:11"/>
    <x v="1"/>
    <d v="2023-10-03T00:00:00"/>
    <n v="4.7429282407392748"/>
    <x v="2"/>
    <x v="14"/>
    <n v="2.7429282407392748"/>
    <x v="14"/>
  </r>
  <r>
    <n v="1019"/>
    <s v="1019111"/>
    <d v="2023-09-28T06:10:11"/>
    <s v="type40"/>
    <n v="395.83"/>
    <x v="6"/>
    <d v="2023-09-29T06:10:11"/>
    <x v="0"/>
    <d v="2023-10-03T00:00:00"/>
    <n v="4.7429282407392748"/>
    <x v="2"/>
    <x v="13"/>
    <n v="3.7429282407392748"/>
    <x v="13"/>
  </r>
  <r>
    <n v="1016"/>
    <s v="1016111"/>
    <d v="2023-09-20T06:10:11"/>
    <s v="type40"/>
    <n v="-326.43"/>
    <x v="4"/>
    <d v="2023-09-22T06:10:11"/>
    <x v="2"/>
    <d v="2023-10-03T00:00:00"/>
    <n v="12.742928240739275"/>
    <x v="0"/>
    <x v="10"/>
    <n v="10.742928240739275"/>
    <x v="10"/>
  </r>
  <r>
    <n v="1034"/>
    <s v="1034111"/>
    <d v="2023-09-27T06:10:11"/>
    <s v="type40"/>
    <n v="104.34"/>
    <x v="0"/>
    <d v="2023-09-29T06:10:11"/>
    <x v="4"/>
    <d v="2023-10-03T00:00:00"/>
    <n v="5.7429282407392748"/>
    <x v="2"/>
    <x v="13"/>
    <n v="3.7429282407392748"/>
    <x v="13"/>
  </r>
  <r>
    <n v="1021"/>
    <s v="1021111"/>
    <d v="2023-09-28T06:10:11"/>
    <s v="type40"/>
    <n v="760.36"/>
    <x v="5"/>
    <d v="2023-09-30T06:10:11"/>
    <x v="0"/>
    <d v="2023-10-03T00:00:00"/>
    <n v="4.7429282407392748"/>
    <x v="2"/>
    <x v="14"/>
    <n v="2.7429282407392748"/>
    <x v="14"/>
  </r>
  <r>
    <n v="1014"/>
    <s v="1014111"/>
    <d v="2023-09-24T06:10:11"/>
    <s v="type2"/>
    <n v="1130"/>
    <x v="3"/>
    <d v="2023-09-26T06:10:11"/>
    <x v="2"/>
    <d v="2023-10-03T00:00:00"/>
    <n v="8.7429282407392748"/>
    <x v="1"/>
    <x v="7"/>
    <n v="6.7429282407392748"/>
    <x v="7"/>
  </r>
  <r>
    <n v="1012"/>
    <s v="1012111"/>
    <d v="2023-09-27T06:10:11"/>
    <s v="type26"/>
    <n v="328.54"/>
    <x v="6"/>
    <d v="2023-10-04T06:10:11"/>
    <x v="2"/>
    <d v="2023-10-03T00:00:00"/>
    <n v="5.7429282407392748"/>
    <x v="2"/>
    <x v="23"/>
    <n v="-1.2570717592607252"/>
    <x v="23"/>
  </r>
  <r>
    <n v="1008"/>
    <s v="1008111"/>
    <d v="2023-09-21T06:10:11"/>
    <s v="type40"/>
    <n v="4100"/>
    <x v="4"/>
    <d v="2023-09-28T06:10:11"/>
    <x v="1"/>
    <d v="2023-10-03T00:00:00"/>
    <n v="11.742928240739275"/>
    <x v="0"/>
    <x v="8"/>
    <n v="4.7429282407392748"/>
    <x v="8"/>
  </r>
  <r>
    <n v="1002"/>
    <s v="1002111"/>
    <d v="2023-09-27T06:10:11"/>
    <s v="type40"/>
    <n v="-10879.61"/>
    <x v="3"/>
    <d v="2023-10-02T06:10:11"/>
    <x v="3"/>
    <d v="2023-10-03T00:00:00"/>
    <n v="5.7429282407392748"/>
    <x v="2"/>
    <x v="15"/>
    <n v="0.74292824073927477"/>
    <x v="15"/>
  </r>
  <r>
    <n v="1016"/>
    <s v="1016111"/>
    <d v="2023-09-28T06:10:11"/>
    <s v="type40"/>
    <n v="423.1"/>
    <x v="3"/>
    <d v="2023-10-03T06:10:11"/>
    <x v="2"/>
    <d v="2023-10-03T00:00:00"/>
    <n v="4.7429282407392748"/>
    <x v="2"/>
    <x v="16"/>
    <n v="-0.25707175926072523"/>
    <x v="16"/>
  </r>
  <r>
    <n v="1011"/>
    <s v="1011111"/>
    <d v="2023-09-21T06:10:11"/>
    <s v="type38"/>
    <n v="249.93"/>
    <x v="4"/>
    <d v="2023-09-28T06:10:11"/>
    <x v="1"/>
    <d v="2023-10-03T00:00:00"/>
    <n v="11.742928240739275"/>
    <x v="0"/>
    <x v="8"/>
    <n v="4.7429282407392748"/>
    <x v="8"/>
  </r>
  <r>
    <n v="1035"/>
    <s v="1035111"/>
    <d v="2023-09-11T06:10:11"/>
    <s v="type7"/>
    <n v="-8703.5499999999993"/>
    <x v="3"/>
    <d v="2023-09-16T06:10:11"/>
    <x v="4"/>
    <d v="2023-10-03T00:00:00"/>
    <n v="21.742928240739275"/>
    <x v="0"/>
    <x v="2"/>
    <n v="16.742928240739275"/>
    <x v="2"/>
  </r>
  <r>
    <n v="1010"/>
    <s v="1010111"/>
    <d v="2023-09-12T06:10:11"/>
    <s v="type17"/>
    <n v="405.26"/>
    <x v="3"/>
    <d v="2023-09-17T06:10:11"/>
    <x v="1"/>
    <d v="2023-10-03T00:00:00"/>
    <n v="20.742928240739275"/>
    <x v="0"/>
    <x v="4"/>
    <n v="15.742928240739275"/>
    <x v="4"/>
  </r>
  <r>
    <n v="1006"/>
    <s v="1006111"/>
    <d v="2023-09-14T06:10:11"/>
    <s v="type40"/>
    <n v="3507.09"/>
    <x v="4"/>
    <d v="2023-09-21T06:10:11"/>
    <x v="1"/>
    <d v="2023-10-03T00:00:00"/>
    <n v="18.742928240739275"/>
    <x v="0"/>
    <x v="1"/>
    <n v="11.742928240739275"/>
    <x v="1"/>
  </r>
  <r>
    <n v="1007"/>
    <s v="1007111"/>
    <d v="2023-09-27T06:10:11"/>
    <s v="type40"/>
    <n v="29.03"/>
    <x v="0"/>
    <d v="2023-09-29T06:10:11"/>
    <x v="1"/>
    <d v="2023-10-03T00:00:00"/>
    <n v="5.7429282407392748"/>
    <x v="2"/>
    <x v="13"/>
    <n v="3.7429282407392748"/>
    <x v="13"/>
  </r>
  <r>
    <n v="1035"/>
    <s v="1035111"/>
    <d v="2023-09-27T06:10:11"/>
    <s v="type40"/>
    <n v="3701.48"/>
    <x v="5"/>
    <d v="2023-09-28T06:10:11"/>
    <x v="4"/>
    <d v="2023-10-03T00:00:00"/>
    <n v="5.7429282407392748"/>
    <x v="2"/>
    <x v="8"/>
    <n v="4.7429282407392748"/>
    <x v="8"/>
  </r>
  <r>
    <n v="1035"/>
    <s v="1035111"/>
    <d v="2023-09-28T06:10:11"/>
    <s v="type40"/>
    <n v="-3468.55"/>
    <x v="5"/>
    <d v="2023-10-03T06:10:11"/>
    <x v="4"/>
    <d v="2023-10-03T00:00:00"/>
    <n v="4.7429282407392748"/>
    <x v="2"/>
    <x v="16"/>
    <n v="-0.25707175926072523"/>
    <x v="16"/>
  </r>
  <r>
    <n v="1007"/>
    <s v="1007111"/>
    <d v="2023-09-27T06:10:11"/>
    <s v="type40"/>
    <n v="660.5"/>
    <x v="0"/>
    <d v="2023-09-29T06:10:11"/>
    <x v="1"/>
    <d v="2023-10-03T00:00:00"/>
    <n v="5.7429282407392748"/>
    <x v="2"/>
    <x v="13"/>
    <n v="3.7429282407392748"/>
    <x v="13"/>
  </r>
  <r>
    <n v="1017"/>
    <s v="1017111"/>
    <d v="2023-09-15T06:10:11"/>
    <s v="type9"/>
    <n v="257.79000000000002"/>
    <x v="3"/>
    <d v="2023-09-22T06:10:11"/>
    <x v="2"/>
    <d v="2023-10-03T00:00:00"/>
    <n v="17.742928240739275"/>
    <x v="0"/>
    <x v="10"/>
    <n v="10.742928240739275"/>
    <x v="10"/>
  </r>
  <r>
    <n v="1008"/>
    <s v="1008111"/>
    <d v="2023-09-28T06:10:11"/>
    <s v="type40"/>
    <n v="818.21"/>
    <x v="5"/>
    <d v="2023-09-30T06:10:11"/>
    <x v="1"/>
    <d v="2023-10-03T00:00:00"/>
    <n v="4.7429282407392748"/>
    <x v="2"/>
    <x v="14"/>
    <n v="2.7429282407392748"/>
    <x v="14"/>
  </r>
  <r>
    <n v="1014"/>
    <s v="1014111"/>
    <d v="2023-09-28T06:10:11"/>
    <s v="type40"/>
    <n v="-1937.94"/>
    <x v="0"/>
    <d v="2023-10-05T06:10:11"/>
    <x v="2"/>
    <d v="2023-10-03T00:00:00"/>
    <n v="4.7429282407392748"/>
    <x v="2"/>
    <x v="17"/>
    <n v="-2.2570717592607252"/>
    <x v="17"/>
  </r>
  <r>
    <n v="1006"/>
    <s v="1006111"/>
    <d v="2023-09-17T06:10:11"/>
    <s v="type24"/>
    <n v="231.71"/>
    <x v="4"/>
    <d v="2023-09-24T06:10:11"/>
    <x v="1"/>
    <d v="2023-10-03T00:00:00"/>
    <n v="15.742928240739275"/>
    <x v="0"/>
    <x v="5"/>
    <n v="8.7429282407392748"/>
    <x v="5"/>
  </r>
  <r>
    <n v="1008"/>
    <s v="1008111"/>
    <d v="2023-09-16T06:10:11"/>
    <s v="type41"/>
    <n v="376.75"/>
    <x v="4"/>
    <d v="2023-09-17T06:10:11"/>
    <x v="1"/>
    <d v="2023-10-03T00:00:00"/>
    <n v="16.742928240739275"/>
    <x v="0"/>
    <x v="4"/>
    <n v="15.742928240739275"/>
    <x v="4"/>
  </r>
  <r>
    <n v="1012"/>
    <s v="1012111"/>
    <d v="2023-09-18T06:10:11"/>
    <s v="type25"/>
    <n v="151.33000000000001"/>
    <x v="3"/>
    <d v="2023-09-25T06:10:11"/>
    <x v="2"/>
    <d v="2023-10-03T00:00:00"/>
    <n v="14.742928240739275"/>
    <x v="0"/>
    <x v="11"/>
    <n v="7.7429282407392748"/>
    <x v="11"/>
  </r>
  <r>
    <n v="1035"/>
    <s v="1035111"/>
    <d v="2023-09-28T06:10:11"/>
    <s v="type40"/>
    <n v="-857.03"/>
    <x v="0"/>
    <d v="2023-10-05T06:10:11"/>
    <x v="4"/>
    <d v="2023-10-03T00:00:00"/>
    <n v="4.7429282407392748"/>
    <x v="2"/>
    <x v="17"/>
    <n v="-2.2570717592607252"/>
    <x v="17"/>
  </r>
  <r>
    <n v="1023"/>
    <s v="1023111"/>
    <d v="2023-09-27T06:10:11"/>
    <s v="type40"/>
    <n v="-8136.77"/>
    <x v="2"/>
    <d v="2023-09-28T06:10:11"/>
    <x v="0"/>
    <d v="2023-10-03T00:00:00"/>
    <n v="5.7429282407392748"/>
    <x v="2"/>
    <x v="8"/>
    <n v="4.7429282407392748"/>
    <x v="8"/>
  </r>
  <r>
    <n v="1014"/>
    <s v="1014111"/>
    <d v="2023-09-28T06:10:11"/>
    <s v="type24"/>
    <n v="285.74"/>
    <x v="6"/>
    <d v="2023-09-29T06:10:11"/>
    <x v="2"/>
    <d v="2023-10-03T00:00:00"/>
    <n v="4.7429282407392748"/>
    <x v="2"/>
    <x v="13"/>
    <n v="3.7429282407392748"/>
    <x v="13"/>
  </r>
  <r>
    <n v="1010"/>
    <s v="1010111"/>
    <d v="2023-09-21T06:10:11"/>
    <s v="type40"/>
    <n v="-783.32"/>
    <x v="1"/>
    <d v="2023-09-28T06:10:11"/>
    <x v="1"/>
    <d v="2023-10-03T00:00:00"/>
    <n v="11.742928240739275"/>
    <x v="0"/>
    <x v="8"/>
    <n v="4.7429282407392748"/>
    <x v="8"/>
  </r>
  <r>
    <n v="1002"/>
    <s v="1002111"/>
    <d v="2023-09-27T06:10:11"/>
    <s v="type40"/>
    <n v="10.51"/>
    <x v="5"/>
    <d v="2023-10-04T06:10:11"/>
    <x v="3"/>
    <d v="2023-10-03T00:00:00"/>
    <n v="5.7429282407392748"/>
    <x v="2"/>
    <x v="23"/>
    <n v="-1.2570717592607252"/>
    <x v="23"/>
  </r>
  <r>
    <n v="1030"/>
    <s v="1030111"/>
    <d v="2023-09-27T06:10:11"/>
    <s v="type40"/>
    <n v="10.55"/>
    <x v="5"/>
    <d v="2023-09-29T06:10:11"/>
    <x v="4"/>
    <d v="2023-10-03T00:00:00"/>
    <n v="5.7429282407392748"/>
    <x v="2"/>
    <x v="13"/>
    <n v="3.7429282407392748"/>
    <x v="13"/>
  </r>
  <r>
    <n v="1018"/>
    <s v="1018111"/>
    <d v="2023-09-27T06:10:11"/>
    <s v="type40"/>
    <n v="10"/>
    <x v="6"/>
    <d v="2023-09-28T06:10:11"/>
    <x v="0"/>
    <d v="2023-10-03T00:00:00"/>
    <n v="5.7429282407392748"/>
    <x v="2"/>
    <x v="8"/>
    <n v="4.7429282407392748"/>
    <x v="8"/>
  </r>
  <r>
    <n v="1028"/>
    <s v="1028111"/>
    <d v="2023-09-27T06:10:11"/>
    <s v="type40"/>
    <n v="64.040000000000006"/>
    <x v="5"/>
    <d v="2023-10-04T06:10:11"/>
    <x v="5"/>
    <d v="2023-10-03T00:00:00"/>
    <n v="5.7429282407392748"/>
    <x v="2"/>
    <x v="23"/>
    <n v="-1.2570717592607252"/>
    <x v="23"/>
  </r>
  <r>
    <n v="1012"/>
    <s v="1012111"/>
    <d v="2023-09-12T06:10:11"/>
    <s v="type13"/>
    <n v="23597.73"/>
    <x v="4"/>
    <d v="2023-09-13T06:10:11"/>
    <x v="2"/>
    <d v="2023-10-03T00:00:00"/>
    <n v="20.742928240739275"/>
    <x v="0"/>
    <x v="24"/>
    <n v="19.742928240739275"/>
    <x v="24"/>
  </r>
  <r>
    <n v="1021"/>
    <s v="1021111"/>
    <d v="2023-09-26T06:10:11"/>
    <s v="type40"/>
    <n v="39.270000000000003"/>
    <x v="3"/>
    <d v="2023-10-03T06:10:11"/>
    <x v="0"/>
    <d v="2023-10-03T00:00:00"/>
    <n v="6.7429282407392748"/>
    <x v="1"/>
    <x v="16"/>
    <n v="-0.25707175926072523"/>
    <x v="16"/>
  </r>
  <r>
    <n v="1000"/>
    <s v="1000111"/>
    <d v="2023-09-15T06:10:11"/>
    <s v="type40"/>
    <n v="-615"/>
    <x v="4"/>
    <d v="2023-09-16T06:10:11"/>
    <x v="3"/>
    <d v="2023-10-03T00:00:00"/>
    <n v="17.742928240739275"/>
    <x v="0"/>
    <x v="2"/>
    <n v="16.742928240739275"/>
    <x v="2"/>
  </r>
  <r>
    <n v="1029"/>
    <s v="1029111"/>
    <d v="2023-09-27T06:10:11"/>
    <s v="type40"/>
    <n v="696.76"/>
    <x v="2"/>
    <d v="2023-10-02T06:10:11"/>
    <x v="5"/>
    <d v="2023-10-03T00:00:00"/>
    <n v="5.7429282407392748"/>
    <x v="2"/>
    <x v="15"/>
    <n v="0.74292824073927477"/>
    <x v="15"/>
  </r>
  <r>
    <n v="1020"/>
    <s v="1020111"/>
    <d v="2023-09-19T06:10:11"/>
    <s v="type13"/>
    <n v="24722.11"/>
    <x v="4"/>
    <d v="2023-09-20T06:10:11"/>
    <x v="0"/>
    <d v="2023-10-03T00:00:00"/>
    <n v="13.742928240739275"/>
    <x v="0"/>
    <x v="9"/>
    <n v="12.742928240739275"/>
    <x v="9"/>
  </r>
  <r>
    <n v="1030"/>
    <s v="1030111"/>
    <d v="2023-09-17T06:10:11"/>
    <s v="type40"/>
    <n v="1168.78"/>
    <x v="3"/>
    <d v="2023-09-18T06:10:11"/>
    <x v="4"/>
    <d v="2023-10-03T00:00:00"/>
    <n v="15.742928240739275"/>
    <x v="0"/>
    <x v="6"/>
    <n v="14.742928240739275"/>
    <x v="6"/>
  </r>
  <r>
    <n v="1023"/>
    <s v="1023111"/>
    <d v="2023-09-28T06:10:11"/>
    <s v="type19"/>
    <n v="423.8"/>
    <x v="2"/>
    <d v="2023-09-30T06:10:11"/>
    <x v="0"/>
    <d v="2023-10-03T00:00:00"/>
    <n v="4.7429282407392748"/>
    <x v="2"/>
    <x v="14"/>
    <n v="2.7429282407392748"/>
    <x v="14"/>
  </r>
  <r>
    <n v="1031"/>
    <s v="1031111"/>
    <d v="2023-09-28T06:10:11"/>
    <s v="type40"/>
    <n v="10044.27"/>
    <x v="2"/>
    <d v="2023-09-29T06:10:11"/>
    <x v="4"/>
    <d v="2023-10-03T00:00:00"/>
    <n v="4.7429282407392748"/>
    <x v="2"/>
    <x v="13"/>
    <n v="3.7429282407392748"/>
    <x v="13"/>
  </r>
  <r>
    <n v="1032"/>
    <s v="1032111"/>
    <d v="2023-09-28T06:10:11"/>
    <s v="type40"/>
    <n v="2764.78"/>
    <x v="5"/>
    <d v="2023-09-29T06:10:11"/>
    <x v="4"/>
    <d v="2023-10-03T00:00:00"/>
    <n v="4.7429282407392748"/>
    <x v="2"/>
    <x v="13"/>
    <n v="3.7429282407392748"/>
    <x v="13"/>
  </r>
  <r>
    <n v="1034"/>
    <s v="1034111"/>
    <d v="2023-09-27T06:10:11"/>
    <s v="type40"/>
    <n v="313.83"/>
    <x v="5"/>
    <d v="2023-10-02T06:10:11"/>
    <x v="4"/>
    <d v="2023-10-03T00:00:00"/>
    <n v="5.7429282407392748"/>
    <x v="2"/>
    <x v="15"/>
    <n v="0.74292824073927477"/>
    <x v="15"/>
  </r>
  <r>
    <n v="1005"/>
    <s v="1005111"/>
    <d v="2023-09-20T06:10:11"/>
    <s v="type40"/>
    <n v="-537.41"/>
    <x v="3"/>
    <d v="2023-09-21T06:10:11"/>
    <x v="3"/>
    <d v="2023-10-03T00:00:00"/>
    <n v="12.742928240739275"/>
    <x v="0"/>
    <x v="1"/>
    <n v="11.742928240739275"/>
    <x v="1"/>
  </r>
  <r>
    <n v="1015"/>
    <s v="1015111"/>
    <d v="2023-09-26T06:10:11"/>
    <s v="type40"/>
    <n v="-2001.33"/>
    <x v="6"/>
    <d v="2023-10-01T06:10:11"/>
    <x v="2"/>
    <d v="2023-10-03T00:00:00"/>
    <n v="6.7429282407392748"/>
    <x v="1"/>
    <x v="22"/>
    <n v="1.7429282407392748"/>
    <x v="22"/>
  </r>
  <r>
    <n v="1008"/>
    <s v="1008111"/>
    <d v="2023-09-28T06:10:11"/>
    <s v="type27"/>
    <n v="956271.56"/>
    <x v="5"/>
    <d v="2023-10-05T06:10:11"/>
    <x v="1"/>
    <d v="2023-10-03T00:00:00"/>
    <n v="4.7429282407392748"/>
    <x v="2"/>
    <x v="17"/>
    <n v="-2.2570717592607252"/>
    <x v="17"/>
  </r>
  <r>
    <n v="1024"/>
    <s v="1024111"/>
    <d v="2023-09-27T06:10:11"/>
    <s v="type52"/>
    <n v="266.64"/>
    <x v="2"/>
    <d v="2023-09-29T06:10:11"/>
    <x v="5"/>
    <d v="2023-10-03T00:00:00"/>
    <n v="5.7429282407392748"/>
    <x v="2"/>
    <x v="13"/>
    <n v="3.7429282407392748"/>
    <x v="13"/>
  </r>
  <r>
    <n v="1023"/>
    <s v="1023111"/>
    <d v="2023-09-21T06:10:11"/>
    <s v="type40"/>
    <n v="-695.43"/>
    <x v="4"/>
    <d v="2023-09-22T06:10:11"/>
    <x v="0"/>
    <d v="2023-10-03T00:00:00"/>
    <n v="11.742928240739275"/>
    <x v="0"/>
    <x v="10"/>
    <n v="10.742928240739275"/>
    <x v="10"/>
  </r>
  <r>
    <n v="1029"/>
    <s v="1029111"/>
    <d v="2023-09-23T06:10:11"/>
    <s v="type9"/>
    <n v="3025"/>
    <x v="4"/>
    <d v="2023-09-24T06:10:11"/>
    <x v="5"/>
    <d v="2023-10-03T00:00:00"/>
    <n v="9.7429282407392748"/>
    <x v="0"/>
    <x v="5"/>
    <n v="8.7429282407392748"/>
    <x v="5"/>
  </r>
  <r>
    <n v="1032"/>
    <s v="1032111"/>
    <d v="2023-09-27T06:10:11"/>
    <s v="type36"/>
    <n v="196.15"/>
    <x v="2"/>
    <d v="2023-10-02T06:10:11"/>
    <x v="4"/>
    <d v="2023-10-03T00:00:00"/>
    <n v="5.7429282407392748"/>
    <x v="2"/>
    <x v="15"/>
    <n v="0.74292824073927477"/>
    <x v="15"/>
  </r>
  <r>
    <n v="1013"/>
    <s v="1013111"/>
    <d v="2023-09-26T06:10:11"/>
    <s v="type40"/>
    <n v="-802.12"/>
    <x v="6"/>
    <d v="2023-10-03T06:10:11"/>
    <x v="2"/>
    <d v="2023-10-03T00:00:00"/>
    <n v="6.7429282407392748"/>
    <x v="1"/>
    <x v="16"/>
    <n v="-0.25707175926072523"/>
    <x v="16"/>
  </r>
  <r>
    <n v="1011"/>
    <s v="1011111"/>
    <d v="2023-09-27T06:10:11"/>
    <s v="type13"/>
    <n v="32323.93"/>
    <x v="1"/>
    <d v="2023-09-28T06:10:11"/>
    <x v="1"/>
    <d v="2023-10-03T00:00:00"/>
    <n v="5.7429282407392748"/>
    <x v="2"/>
    <x v="8"/>
    <n v="4.7429282407392748"/>
    <x v="8"/>
  </r>
  <r>
    <n v="1027"/>
    <s v="1027111"/>
    <d v="2023-09-27T06:10:11"/>
    <s v="type40"/>
    <n v="-318.92"/>
    <x v="5"/>
    <d v="2023-09-28T06:10:11"/>
    <x v="5"/>
    <d v="2023-10-03T00:00:00"/>
    <n v="5.7429282407392748"/>
    <x v="2"/>
    <x v="8"/>
    <n v="4.7429282407392748"/>
    <x v="8"/>
  </r>
  <r>
    <n v="1005"/>
    <s v="1005111"/>
    <d v="2023-09-10T06:10:11"/>
    <s v="type40"/>
    <n v="-575.67999999999995"/>
    <x v="3"/>
    <d v="2023-09-11T06:10:11"/>
    <x v="3"/>
    <d v="2023-10-03T00:00:00"/>
    <n v="22.742928240739275"/>
    <x v="0"/>
    <x v="21"/>
    <n v="21.742928240739275"/>
    <x v="21"/>
  </r>
  <r>
    <n v="1011"/>
    <s v="1011111"/>
    <d v="2023-09-11T06:10:11"/>
    <s v="type26"/>
    <n v="147.76"/>
    <x v="1"/>
    <d v="2023-09-13T06:10:11"/>
    <x v="1"/>
    <d v="2023-10-03T00:00:00"/>
    <n v="21.742928240739275"/>
    <x v="0"/>
    <x v="24"/>
    <n v="19.742928240739275"/>
    <x v="24"/>
  </r>
  <r>
    <n v="1030"/>
    <s v="1030111"/>
    <d v="2023-09-12T06:10:11"/>
    <s v="type26"/>
    <n v="103.84"/>
    <x v="3"/>
    <d v="2023-09-14T06:10:11"/>
    <x v="4"/>
    <d v="2023-10-03T00:00:00"/>
    <n v="20.742928240739275"/>
    <x v="0"/>
    <x v="20"/>
    <n v="18.742928240739275"/>
    <x v="20"/>
  </r>
  <r>
    <n v="1024"/>
    <s v="1024111"/>
    <d v="2023-09-18T06:10:11"/>
    <s v="type17"/>
    <n v="371.17"/>
    <x v="4"/>
    <d v="2023-09-23T06:10:11"/>
    <x v="5"/>
    <d v="2023-10-03T00:00:00"/>
    <n v="14.742928240739275"/>
    <x v="0"/>
    <x v="3"/>
    <n v="9.7429282407392748"/>
    <x v="3"/>
  </r>
  <r>
    <n v="1022"/>
    <s v="1022111"/>
    <d v="2023-09-28T06:10:11"/>
    <s v="type13"/>
    <n v="21975.17"/>
    <x v="5"/>
    <d v="2023-10-05T06:10:11"/>
    <x v="0"/>
    <d v="2023-10-03T00:00:00"/>
    <n v="4.7429282407392748"/>
    <x v="2"/>
    <x v="17"/>
    <n v="-2.2570717592607252"/>
    <x v="17"/>
  </r>
  <r>
    <n v="1015"/>
    <s v="1015111"/>
    <d v="2023-09-27T06:10:11"/>
    <s v="type40"/>
    <n v="586.47"/>
    <x v="5"/>
    <d v="2023-09-28T06:10:11"/>
    <x v="2"/>
    <d v="2023-10-03T00:00:00"/>
    <n v="5.7429282407392748"/>
    <x v="2"/>
    <x v="8"/>
    <n v="4.7429282407392748"/>
    <x v="8"/>
  </r>
  <r>
    <n v="1014"/>
    <s v="1014111"/>
    <d v="2023-09-14T06:10:11"/>
    <s v="type40"/>
    <n v="710.1"/>
    <x v="3"/>
    <d v="2023-09-16T06:10:11"/>
    <x v="2"/>
    <d v="2023-10-03T00:00:00"/>
    <n v="18.742928240739275"/>
    <x v="0"/>
    <x v="2"/>
    <n v="16.742928240739275"/>
    <x v="2"/>
  </r>
  <r>
    <n v="1030"/>
    <s v="1030111"/>
    <d v="2023-09-18T06:10:11"/>
    <s v="type40"/>
    <n v="-773.14"/>
    <x v="4"/>
    <d v="2023-09-25T06:10:11"/>
    <x v="4"/>
    <d v="2023-10-03T00:00:00"/>
    <n v="14.742928240739275"/>
    <x v="0"/>
    <x v="11"/>
    <n v="7.7429282407392748"/>
    <x v="11"/>
  </r>
  <r>
    <n v="1027"/>
    <s v="1027111"/>
    <d v="2023-09-15T06:10:11"/>
    <s v="type40"/>
    <n v="-1143.19"/>
    <x v="1"/>
    <d v="2023-09-17T06:10:11"/>
    <x v="5"/>
    <d v="2023-10-03T00:00:00"/>
    <n v="17.742928240739275"/>
    <x v="0"/>
    <x v="4"/>
    <n v="15.742928240739275"/>
    <x v="4"/>
  </r>
  <r>
    <n v="1014"/>
    <s v="1014111"/>
    <d v="2023-09-20T06:10:11"/>
    <s v="type13"/>
    <n v="23222.53"/>
    <x v="4"/>
    <d v="2023-09-27T06:10:11"/>
    <x v="2"/>
    <d v="2023-10-03T00:00:00"/>
    <n v="12.742928240739275"/>
    <x v="0"/>
    <x v="12"/>
    <n v="5.7429282407392748"/>
    <x v="12"/>
  </r>
  <r>
    <n v="1023"/>
    <s v="1023111"/>
    <d v="2023-09-16T06:10:11"/>
    <s v="type40"/>
    <n v="-482.74"/>
    <x v="3"/>
    <d v="2023-09-18T06:10:11"/>
    <x v="0"/>
    <d v="2023-10-03T00:00:00"/>
    <n v="16.742928240739275"/>
    <x v="0"/>
    <x v="6"/>
    <n v="14.742928240739275"/>
    <x v="6"/>
  </r>
  <r>
    <n v="1008"/>
    <s v="1008111"/>
    <d v="2023-09-17T06:10:11"/>
    <s v="type40"/>
    <n v="672"/>
    <x v="1"/>
    <d v="2023-09-19T06:10:11"/>
    <x v="1"/>
    <d v="2023-10-03T00:00:00"/>
    <n v="15.742928240739275"/>
    <x v="0"/>
    <x v="19"/>
    <n v="13.742928240739275"/>
    <x v="19"/>
  </r>
  <r>
    <n v="1032"/>
    <s v="1032111"/>
    <d v="2023-09-18T06:10:11"/>
    <s v="type22"/>
    <n v="455.27"/>
    <x v="1"/>
    <d v="2023-09-20T06:10:11"/>
    <x v="4"/>
    <d v="2023-10-03T00:00:00"/>
    <n v="14.742928240739275"/>
    <x v="0"/>
    <x v="9"/>
    <n v="12.742928240739275"/>
    <x v="9"/>
  </r>
  <r>
    <n v="1024"/>
    <s v="1024111"/>
    <d v="2023-09-12T06:10:11"/>
    <s v="type13"/>
    <n v="28108"/>
    <x v="4"/>
    <d v="2023-09-19T06:10:11"/>
    <x v="5"/>
    <d v="2023-10-03T00:00:00"/>
    <n v="20.742928240739275"/>
    <x v="0"/>
    <x v="19"/>
    <n v="13.742928240739275"/>
    <x v="19"/>
  </r>
  <r>
    <n v="1029"/>
    <s v="1029111"/>
    <d v="2023-09-19T06:10:11"/>
    <s v="type40"/>
    <n v="-541.65"/>
    <x v="1"/>
    <d v="2023-09-21T06:10:11"/>
    <x v="5"/>
    <d v="2023-10-03T00:00:00"/>
    <n v="13.742928240739275"/>
    <x v="0"/>
    <x v="1"/>
    <n v="11.742928240739275"/>
    <x v="1"/>
  </r>
  <r>
    <n v="1014"/>
    <s v="1014111"/>
    <d v="2023-09-21T06:10:11"/>
    <s v="type40"/>
    <n v="386.22"/>
    <x v="4"/>
    <d v="2023-09-28T06:10:11"/>
    <x v="2"/>
    <d v="2023-10-03T00:00:00"/>
    <n v="11.742928240739275"/>
    <x v="0"/>
    <x v="8"/>
    <n v="4.7429282407392748"/>
    <x v="8"/>
  </r>
  <r>
    <n v="1020"/>
    <s v="1020111"/>
    <d v="2023-09-20T06:10:11"/>
    <s v="type40"/>
    <n v="523.78"/>
    <x v="3"/>
    <d v="2023-09-22T06:10:11"/>
    <x v="0"/>
    <d v="2023-10-03T00:00:00"/>
    <n v="12.742928240739275"/>
    <x v="0"/>
    <x v="10"/>
    <n v="10.742928240739275"/>
    <x v="10"/>
  </r>
  <r>
    <n v="1023"/>
    <s v="1023111"/>
    <d v="2023-09-21T06:10:11"/>
    <s v="type40"/>
    <n v="495.62"/>
    <x v="3"/>
    <d v="2023-09-23T06:10:11"/>
    <x v="0"/>
    <d v="2023-10-03T00:00:00"/>
    <n v="11.742928240739275"/>
    <x v="0"/>
    <x v="3"/>
    <n v="9.7429282407392748"/>
    <x v="3"/>
  </r>
  <r>
    <n v="1003"/>
    <s v="1003111"/>
    <d v="2023-09-27T06:10:11"/>
    <s v="type50"/>
    <n v="0"/>
    <x v="5"/>
    <d v="2023-10-04T06:10:11"/>
    <x v="3"/>
    <d v="2023-10-03T00:00:00"/>
    <n v="5.7429282407392748"/>
    <x v="2"/>
    <x v="23"/>
    <n v="-1.2570717592607252"/>
    <x v="23"/>
  </r>
  <r>
    <n v="1018"/>
    <s v="1018111"/>
    <d v="2023-09-28T06:10:11"/>
    <s v="type5"/>
    <n v="4149.3999999999996"/>
    <x v="5"/>
    <d v="2023-09-30T06:10:11"/>
    <x v="0"/>
    <d v="2023-10-03T00:00:00"/>
    <n v="4.7429282407392748"/>
    <x v="2"/>
    <x v="14"/>
    <n v="2.7429282407392748"/>
    <x v="14"/>
  </r>
  <r>
    <n v="1002"/>
    <s v="1002111"/>
    <d v="2023-09-25T06:10:11"/>
    <s v="type13"/>
    <n v="50431.99"/>
    <x v="5"/>
    <d v="2023-09-26T06:10:11"/>
    <x v="3"/>
    <d v="2023-10-03T00:00:00"/>
    <n v="7.7429282407392748"/>
    <x v="1"/>
    <x v="7"/>
    <n v="6.7429282407392748"/>
    <x v="7"/>
  </r>
  <r>
    <n v="1006"/>
    <s v="1006111"/>
    <d v="2023-09-27T06:10:11"/>
    <s v="type19"/>
    <n v="642.48"/>
    <x v="2"/>
    <d v="2023-10-02T06:10:11"/>
    <x v="1"/>
    <d v="2023-10-03T00:00:00"/>
    <n v="5.7429282407392748"/>
    <x v="2"/>
    <x v="15"/>
    <n v="0.74292824073927477"/>
    <x v="15"/>
  </r>
  <r>
    <n v="1003"/>
    <s v="1003111"/>
    <d v="2023-09-26T06:10:11"/>
    <s v="type13"/>
    <n v="15699.13"/>
    <x v="5"/>
    <d v="2023-09-28T06:10:11"/>
    <x v="3"/>
    <d v="2023-10-03T00:00:00"/>
    <n v="6.7429282407392748"/>
    <x v="1"/>
    <x v="8"/>
    <n v="4.7429282407392748"/>
    <x v="8"/>
  </r>
  <r>
    <n v="1011"/>
    <s v="1011111"/>
    <d v="2023-09-15T06:10:11"/>
    <s v="type33"/>
    <n v="600.44000000000005"/>
    <x v="4"/>
    <d v="2023-09-22T06:10:11"/>
    <x v="1"/>
    <d v="2023-10-03T00:00:00"/>
    <n v="17.742928240739275"/>
    <x v="0"/>
    <x v="10"/>
    <n v="10.742928240739275"/>
    <x v="10"/>
  </r>
  <r>
    <n v="1002"/>
    <s v="1002111"/>
    <d v="2023-09-24T06:10:11"/>
    <s v="type26"/>
    <n v="361.33"/>
    <x v="5"/>
    <d v="2023-09-29T06:10:11"/>
    <x v="3"/>
    <d v="2023-10-03T00:00:00"/>
    <n v="8.7429282407392748"/>
    <x v="1"/>
    <x v="13"/>
    <n v="3.7429282407392748"/>
    <x v="13"/>
  </r>
  <r>
    <n v="1024"/>
    <s v="1024111"/>
    <d v="2023-09-17T06:10:11"/>
    <s v="type13"/>
    <n v="55300.63"/>
    <x v="4"/>
    <d v="2023-09-18T06:10:11"/>
    <x v="5"/>
    <d v="2023-10-03T00:00:00"/>
    <n v="15.742928240739275"/>
    <x v="0"/>
    <x v="6"/>
    <n v="14.742928240739275"/>
    <x v="6"/>
  </r>
  <r>
    <n v="1008"/>
    <s v="1008111"/>
    <d v="2023-09-27T06:10:11"/>
    <s v="type40"/>
    <n v="-3305.4"/>
    <x v="4"/>
    <d v="2023-09-29T06:10:11"/>
    <x v="1"/>
    <d v="2023-10-03T00:00:00"/>
    <n v="5.7429282407392748"/>
    <x v="2"/>
    <x v="13"/>
    <n v="3.7429282407392748"/>
    <x v="13"/>
  </r>
  <r>
    <n v="1016"/>
    <s v="1016111"/>
    <d v="2023-09-24T06:10:11"/>
    <s v="type35"/>
    <n v="323.11"/>
    <x v="6"/>
    <d v="2023-09-26T06:10:11"/>
    <x v="2"/>
    <d v="2023-10-03T00:00:00"/>
    <n v="8.7429282407392748"/>
    <x v="1"/>
    <x v="7"/>
    <n v="6.7429282407392748"/>
    <x v="7"/>
  </r>
  <r>
    <n v="1003"/>
    <s v="1003111"/>
    <d v="2023-09-24T06:10:11"/>
    <s v="type40"/>
    <n v="-513.30999999999995"/>
    <x v="5"/>
    <d v="2023-10-01T06:10:11"/>
    <x v="3"/>
    <d v="2023-10-03T00:00:00"/>
    <n v="8.7429282407392748"/>
    <x v="1"/>
    <x v="22"/>
    <n v="1.7429282407392748"/>
    <x v="22"/>
  </r>
  <r>
    <n v="1017"/>
    <s v="1017111"/>
    <d v="2023-09-26T06:10:11"/>
    <s v="type40"/>
    <n v="-958.22"/>
    <x v="6"/>
    <d v="2023-09-28T06:10:11"/>
    <x v="2"/>
    <d v="2023-10-03T00:00:00"/>
    <n v="6.7429282407392748"/>
    <x v="1"/>
    <x v="8"/>
    <n v="4.7429282407392748"/>
    <x v="8"/>
  </r>
  <r>
    <n v="1032"/>
    <s v="1032111"/>
    <d v="2023-09-19T06:10:11"/>
    <s v="type40"/>
    <n v="-390.68"/>
    <x v="1"/>
    <d v="2023-09-24T06:10:11"/>
    <x v="4"/>
    <d v="2023-10-03T00:00:00"/>
    <n v="13.742928240739275"/>
    <x v="0"/>
    <x v="5"/>
    <n v="8.7429282407392748"/>
    <x v="5"/>
  </r>
  <r>
    <n v="1017"/>
    <s v="1017111"/>
    <d v="2023-09-26T06:10:11"/>
    <s v="type40"/>
    <n v="-303.20999999999998"/>
    <x v="6"/>
    <d v="2023-10-03T06:10:11"/>
    <x v="2"/>
    <d v="2023-10-03T00:00:00"/>
    <n v="6.7429282407392748"/>
    <x v="1"/>
    <x v="16"/>
    <n v="-0.25707175926072523"/>
    <x v="16"/>
  </r>
  <r>
    <n v="1000"/>
    <s v="1000111"/>
    <d v="2023-09-25T06:10:11"/>
    <s v="type40"/>
    <n v="-381.5"/>
    <x v="5"/>
    <d v="2023-10-02T06:10:11"/>
    <x v="3"/>
    <d v="2023-10-03T00:00:00"/>
    <n v="7.7429282407392748"/>
    <x v="1"/>
    <x v="15"/>
    <n v="0.74292824073927477"/>
    <x v="15"/>
  </r>
  <r>
    <n v="1009"/>
    <s v="1009111"/>
    <d v="2023-09-28T06:10:11"/>
    <s v="type40"/>
    <n v="4187.68"/>
    <x v="4"/>
    <d v="2023-09-30T06:10:11"/>
    <x v="1"/>
    <d v="2023-10-03T00:00:00"/>
    <n v="4.7429282407392748"/>
    <x v="2"/>
    <x v="14"/>
    <n v="2.7429282407392748"/>
    <x v="14"/>
  </r>
  <r>
    <n v="1005"/>
    <s v="1005111"/>
    <d v="2023-09-26T06:10:11"/>
    <s v="type40"/>
    <n v="-437.75"/>
    <x v="5"/>
    <d v="2023-10-01T06:10:11"/>
    <x v="3"/>
    <d v="2023-10-03T00:00:00"/>
    <n v="6.7429282407392748"/>
    <x v="1"/>
    <x v="22"/>
    <n v="1.7429282407392748"/>
    <x v="22"/>
  </r>
  <r>
    <n v="1014"/>
    <s v="1014111"/>
    <d v="2023-09-22T06:10:11"/>
    <s v="type2"/>
    <n v="1514"/>
    <x v="3"/>
    <d v="2023-09-29T06:10:11"/>
    <x v="2"/>
    <d v="2023-10-03T00:00:00"/>
    <n v="10.742928240739275"/>
    <x v="0"/>
    <x v="13"/>
    <n v="3.7429282407392748"/>
    <x v="13"/>
  </r>
  <r>
    <n v="1002"/>
    <s v="1002111"/>
    <d v="2023-09-23T06:10:11"/>
    <s v="type40"/>
    <n v="49.99"/>
    <x v="3"/>
    <d v="2023-09-30T06:10:11"/>
    <x v="3"/>
    <d v="2023-10-03T00:00:00"/>
    <n v="9.7429282407392748"/>
    <x v="0"/>
    <x v="14"/>
    <n v="2.7429282407392748"/>
    <x v="14"/>
  </r>
  <r>
    <n v="1006"/>
    <s v="1006111"/>
    <d v="2023-09-24T06:10:11"/>
    <s v="type40"/>
    <n v="569.94000000000005"/>
    <x v="5"/>
    <d v="2023-10-01T06:10:11"/>
    <x v="1"/>
    <d v="2023-10-03T00:00:00"/>
    <n v="8.7429282407392748"/>
    <x v="1"/>
    <x v="22"/>
    <n v="1.7429282407392748"/>
    <x v="22"/>
  </r>
  <r>
    <n v="1026"/>
    <s v="1026111"/>
    <d v="2023-09-26T06:10:11"/>
    <s v="type51"/>
    <n v="8525"/>
    <x v="6"/>
    <d v="2023-09-28T06:10:11"/>
    <x v="5"/>
    <d v="2023-10-03T00:00:00"/>
    <n v="6.7429282407392748"/>
    <x v="1"/>
    <x v="8"/>
    <n v="4.7429282407392748"/>
    <x v="8"/>
  </r>
  <r>
    <n v="1030"/>
    <s v="1030111"/>
    <d v="2023-09-26T06:10:11"/>
    <s v="type40"/>
    <n v="-1512.45"/>
    <x v="3"/>
    <d v="2023-10-03T06:10:11"/>
    <x v="4"/>
    <d v="2023-10-03T00:00:00"/>
    <n v="6.7429282407392748"/>
    <x v="1"/>
    <x v="16"/>
    <n v="-0.25707175926072523"/>
    <x v="16"/>
  </r>
  <r>
    <n v="1025"/>
    <s v="1025111"/>
    <d v="2023-09-27T06:10:11"/>
    <s v="type18"/>
    <n v="405.79"/>
    <x v="3"/>
    <d v="2023-10-04T06:10:11"/>
    <x v="5"/>
    <d v="2023-10-03T00:00:00"/>
    <n v="5.7429282407392748"/>
    <x v="2"/>
    <x v="23"/>
    <n v="-1.2570717592607252"/>
    <x v="23"/>
  </r>
  <r>
    <n v="1004"/>
    <s v="1004111"/>
    <d v="2023-09-28T06:10:11"/>
    <s v="type40"/>
    <n v="726.26"/>
    <x v="3"/>
    <d v="2023-10-05T06:10:11"/>
    <x v="3"/>
    <d v="2023-10-03T00:00:00"/>
    <n v="4.7429282407392748"/>
    <x v="2"/>
    <x v="17"/>
    <n v="-2.2570717592607252"/>
    <x v="17"/>
  </r>
  <r>
    <n v="1013"/>
    <s v="1013111"/>
    <d v="2023-09-10T06:10:11"/>
    <s v="type25"/>
    <n v="207.56"/>
    <x v="1"/>
    <d v="2023-09-17T06:10:11"/>
    <x v="2"/>
    <d v="2023-10-03T00:00:00"/>
    <n v="22.742928240739275"/>
    <x v="0"/>
    <x v="4"/>
    <n v="15.742928240739275"/>
    <x v="4"/>
  </r>
  <r>
    <n v="1003"/>
    <s v="1003111"/>
    <d v="2023-09-25T06:10:11"/>
    <s v="type40"/>
    <n v="3754.29"/>
    <x v="5"/>
    <d v="2023-10-02T06:10:11"/>
    <x v="3"/>
    <d v="2023-10-03T00:00:00"/>
    <n v="7.7429282407392748"/>
    <x v="1"/>
    <x v="15"/>
    <n v="0.74292824073927477"/>
    <x v="15"/>
  </r>
  <r>
    <n v="1019"/>
    <s v="1019111"/>
    <d v="2023-09-12T06:10:11"/>
    <s v="type35"/>
    <n v="370.56"/>
    <x v="1"/>
    <d v="2023-09-19T06:10:11"/>
    <x v="0"/>
    <d v="2023-10-03T00:00:00"/>
    <n v="20.742928240739275"/>
    <x v="0"/>
    <x v="19"/>
    <n v="13.742928240739275"/>
    <x v="19"/>
  </r>
  <r>
    <n v="1018"/>
    <s v="1018111"/>
    <d v="2023-09-13T06:10:11"/>
    <s v="type40"/>
    <n v="1220.8"/>
    <x v="3"/>
    <d v="2023-09-20T06:10:11"/>
    <x v="0"/>
    <d v="2023-10-03T00:00:00"/>
    <n v="19.742928240739275"/>
    <x v="0"/>
    <x v="9"/>
    <n v="12.742928240739275"/>
    <x v="9"/>
  </r>
  <r>
    <n v="1019"/>
    <s v="1019111"/>
    <d v="2023-09-13T06:10:11"/>
    <s v="type40"/>
    <n v="-522.12"/>
    <x v="1"/>
    <d v="2023-09-20T06:10:11"/>
    <x v="0"/>
    <d v="2023-10-03T00:00:00"/>
    <n v="19.742928240739275"/>
    <x v="0"/>
    <x v="9"/>
    <n v="12.742928240739275"/>
    <x v="9"/>
  </r>
  <r>
    <n v="1035"/>
    <s v="1035111"/>
    <d v="2023-09-24T06:10:11"/>
    <s v="type40"/>
    <n v="6485"/>
    <x v="5"/>
    <d v="2023-09-26T06:10:11"/>
    <x v="4"/>
    <d v="2023-10-03T00:00:00"/>
    <n v="8.7429282407392748"/>
    <x v="1"/>
    <x v="7"/>
    <n v="6.7429282407392748"/>
    <x v="7"/>
  </r>
  <r>
    <n v="1031"/>
    <s v="1031111"/>
    <d v="2023-09-24T06:10:11"/>
    <s v="type40"/>
    <n v="1618.53"/>
    <x v="6"/>
    <d v="2023-09-26T06:10:11"/>
    <x v="4"/>
    <d v="2023-10-03T00:00:00"/>
    <n v="8.7429282407392748"/>
    <x v="1"/>
    <x v="7"/>
    <n v="6.7429282407392748"/>
    <x v="7"/>
  </r>
  <r>
    <n v="1006"/>
    <s v="1006111"/>
    <d v="2023-09-24T06:10:11"/>
    <s v="type40"/>
    <n v="-7992.91"/>
    <x v="6"/>
    <d v="2023-09-25T06:10:11"/>
    <x v="1"/>
    <d v="2023-10-03T00:00:00"/>
    <n v="8.7429282407392748"/>
    <x v="1"/>
    <x v="11"/>
    <n v="7.7429282407392748"/>
    <x v="11"/>
  </r>
  <r>
    <n v="1002"/>
    <s v="1002111"/>
    <d v="2023-09-24T06:10:11"/>
    <s v="type42"/>
    <n v="205"/>
    <x v="5"/>
    <d v="2023-09-29T06:10:11"/>
    <x v="3"/>
    <d v="2023-10-03T00:00:00"/>
    <n v="8.7429282407392748"/>
    <x v="1"/>
    <x v="13"/>
    <n v="3.7429282407392748"/>
    <x v="13"/>
  </r>
  <r>
    <n v="1027"/>
    <s v="1027111"/>
    <d v="2023-09-16T06:10:11"/>
    <s v="type40"/>
    <n v="-5427.62"/>
    <x v="1"/>
    <d v="2023-09-17T06:10:11"/>
    <x v="5"/>
    <d v="2023-10-03T00:00:00"/>
    <n v="16.742928240739275"/>
    <x v="0"/>
    <x v="4"/>
    <n v="15.742928240739275"/>
    <x v="4"/>
  </r>
  <r>
    <n v="1013"/>
    <s v="1013111"/>
    <d v="2023-09-16T06:10:11"/>
    <s v="type40"/>
    <n v="4185.7"/>
    <x v="1"/>
    <d v="2023-09-17T06:10:11"/>
    <x v="2"/>
    <d v="2023-10-03T00:00:00"/>
    <n v="16.742928240739275"/>
    <x v="0"/>
    <x v="4"/>
    <n v="15.742928240739275"/>
    <x v="4"/>
  </r>
  <r>
    <n v="1010"/>
    <s v="1010111"/>
    <d v="2023-09-27T06:10:11"/>
    <s v="type22"/>
    <n v="631.62"/>
    <x v="4"/>
    <d v="2023-09-28T06:10:11"/>
    <x v="1"/>
    <d v="2023-10-03T00:00:00"/>
    <n v="5.7429282407392748"/>
    <x v="2"/>
    <x v="8"/>
    <n v="4.7429282407392748"/>
    <x v="8"/>
  </r>
  <r>
    <n v="1003"/>
    <s v="1003111"/>
    <d v="2023-09-18T06:10:11"/>
    <s v="type9"/>
    <n v="90"/>
    <x v="1"/>
    <d v="2023-09-19T06:10:11"/>
    <x v="3"/>
    <d v="2023-10-03T00:00:00"/>
    <n v="14.742928240739275"/>
    <x v="0"/>
    <x v="19"/>
    <n v="13.742928240739275"/>
    <x v="19"/>
  </r>
  <r>
    <n v="1000"/>
    <s v="1000111"/>
    <d v="2023-09-28T06:10:11"/>
    <s v="type40"/>
    <n v="1746.65"/>
    <x v="2"/>
    <d v="2023-10-03T06:10:11"/>
    <x v="3"/>
    <d v="2023-10-03T00:00:00"/>
    <n v="4.7429282407392748"/>
    <x v="2"/>
    <x v="16"/>
    <n v="-0.25707175926072523"/>
    <x v="16"/>
  </r>
  <r>
    <n v="1027"/>
    <s v="1027111"/>
    <d v="2023-09-19T06:10:11"/>
    <s v="type13"/>
    <n v="33595.9"/>
    <x v="1"/>
    <d v="2023-09-20T06:10:11"/>
    <x v="5"/>
    <d v="2023-10-03T00:00:00"/>
    <n v="13.742928240739275"/>
    <x v="0"/>
    <x v="9"/>
    <n v="12.742928240739275"/>
    <x v="9"/>
  </r>
  <r>
    <n v="1007"/>
    <s v="1007111"/>
    <d v="2023-09-27T06:10:11"/>
    <s v="type40"/>
    <n v="19.45"/>
    <x v="4"/>
    <d v="2023-10-04T06:10:11"/>
    <x v="1"/>
    <d v="2023-10-03T00:00:00"/>
    <n v="5.7429282407392748"/>
    <x v="2"/>
    <x v="23"/>
    <n v="-1.2570717592607252"/>
    <x v="23"/>
  </r>
  <r>
    <n v="1000"/>
    <s v="1000111"/>
    <d v="2023-09-20T06:10:11"/>
    <s v="type40"/>
    <n v="-1124.8"/>
    <x v="1"/>
    <d v="2023-09-21T06:10:11"/>
    <x v="3"/>
    <d v="2023-10-03T00:00:00"/>
    <n v="12.742928240739275"/>
    <x v="0"/>
    <x v="1"/>
    <n v="11.742928240739275"/>
    <x v="1"/>
  </r>
  <r>
    <n v="1035"/>
    <s v="1035111"/>
    <d v="2023-09-27T06:10:11"/>
    <s v="type13"/>
    <n v="16246.45"/>
    <x v="2"/>
    <d v="2023-10-04T06:10:11"/>
    <x v="4"/>
    <d v="2023-10-03T00:00:00"/>
    <n v="5.7429282407392748"/>
    <x v="2"/>
    <x v="23"/>
    <n v="-1.2570717592607252"/>
    <x v="23"/>
  </r>
  <r>
    <n v="1020"/>
    <s v="1020111"/>
    <d v="2023-09-24T06:10:11"/>
    <s v="type13"/>
    <n v="50589.89"/>
    <x v="5"/>
    <d v="2023-09-25T06:10:11"/>
    <x v="0"/>
    <d v="2023-10-03T00:00:00"/>
    <n v="8.7429282407392748"/>
    <x v="1"/>
    <x v="11"/>
    <n v="7.7429282407392748"/>
    <x v="11"/>
  </r>
  <r>
    <n v="1003"/>
    <s v="1003111"/>
    <d v="2023-09-27T06:10:11"/>
    <s v="type7"/>
    <n v="-9311.34"/>
    <x v="2"/>
    <d v="2023-10-04T06:10:11"/>
    <x v="3"/>
    <d v="2023-10-03T00:00:00"/>
    <n v="5.7429282407392748"/>
    <x v="2"/>
    <x v="23"/>
    <n v="-1.2570717592607252"/>
    <x v="23"/>
  </r>
  <r>
    <n v="1034"/>
    <s v="1034111"/>
    <d v="2023-09-23T06:10:11"/>
    <s v="type40"/>
    <n v="355.41"/>
    <x v="1"/>
    <d v="2023-09-24T06:10:11"/>
    <x v="4"/>
    <d v="2023-10-03T00:00:00"/>
    <n v="9.7429282407392748"/>
    <x v="0"/>
    <x v="5"/>
    <n v="8.7429282407392748"/>
    <x v="5"/>
  </r>
  <r>
    <n v="1006"/>
    <s v="1006111"/>
    <d v="2023-09-26T06:10:11"/>
    <s v="type40"/>
    <n v="302.26"/>
    <x v="6"/>
    <d v="2023-10-03T06:10:11"/>
    <x v="1"/>
    <d v="2023-10-03T00:00:00"/>
    <n v="6.7429282407392748"/>
    <x v="1"/>
    <x v="16"/>
    <n v="-0.25707175926072523"/>
    <x v="16"/>
  </r>
  <r>
    <n v="1035"/>
    <s v="1035111"/>
    <d v="2023-09-25T06:10:11"/>
    <s v="type13"/>
    <n v="20881.63"/>
    <x v="3"/>
    <d v="2023-09-26T06:10:11"/>
    <x v="4"/>
    <d v="2023-10-03T00:00:00"/>
    <n v="7.7429282407392748"/>
    <x v="1"/>
    <x v="7"/>
    <n v="6.7429282407392748"/>
    <x v="7"/>
  </r>
  <r>
    <n v="1025"/>
    <s v="1025111"/>
    <d v="2023-09-26T06:10:11"/>
    <s v="type40"/>
    <n v="28.62"/>
    <x v="1"/>
    <d v="2023-09-27T06:10:11"/>
    <x v="5"/>
    <d v="2023-10-03T00:00:00"/>
    <n v="6.7429282407392748"/>
    <x v="1"/>
    <x v="12"/>
    <n v="5.7429282407392748"/>
    <x v="12"/>
  </r>
  <r>
    <n v="1004"/>
    <s v="1004111"/>
    <d v="2023-09-24T06:10:11"/>
    <s v="type26"/>
    <n v="356.24"/>
    <x v="5"/>
    <d v="2023-09-25T06:10:11"/>
    <x v="3"/>
    <d v="2023-10-03T00:00:00"/>
    <n v="8.7429282407392748"/>
    <x v="1"/>
    <x v="11"/>
    <n v="7.7429282407392748"/>
    <x v="11"/>
  </r>
  <r>
    <n v="1023"/>
    <s v="1023111"/>
    <d v="2023-09-24T06:10:11"/>
    <s v="type40"/>
    <n v="336.13"/>
    <x v="6"/>
    <d v="2023-09-26T06:10:11"/>
    <x v="0"/>
    <d v="2023-10-03T00:00:00"/>
    <n v="8.7429282407392748"/>
    <x v="1"/>
    <x v="7"/>
    <n v="6.7429282407392748"/>
    <x v="7"/>
  </r>
  <r>
    <n v="1030"/>
    <s v="1030111"/>
    <d v="2023-09-16T06:10:11"/>
    <s v="type40"/>
    <n v="377.43"/>
    <x v="1"/>
    <d v="2023-09-18T06:10:11"/>
    <x v="4"/>
    <d v="2023-10-03T00:00:00"/>
    <n v="16.742928240739275"/>
    <x v="0"/>
    <x v="6"/>
    <n v="14.742928240739275"/>
    <x v="6"/>
  </r>
  <r>
    <n v="1028"/>
    <s v="1028111"/>
    <d v="2023-09-17T06:10:11"/>
    <s v="type40"/>
    <n v="-854.24"/>
    <x v="3"/>
    <d v="2023-09-19T06:10:11"/>
    <x v="5"/>
    <d v="2023-10-03T00:00:00"/>
    <n v="15.742928240739275"/>
    <x v="0"/>
    <x v="19"/>
    <n v="13.742928240739275"/>
    <x v="19"/>
  </r>
  <r>
    <n v="1005"/>
    <s v="1005111"/>
    <d v="2023-09-25T06:10:11"/>
    <s v="type33"/>
    <n v="304.64"/>
    <x v="5"/>
    <d v="2023-09-26T06:10:11"/>
    <x v="3"/>
    <d v="2023-10-03T00:00:00"/>
    <n v="7.7429282407392748"/>
    <x v="1"/>
    <x v="7"/>
    <n v="6.7429282407392748"/>
    <x v="7"/>
  </r>
  <r>
    <n v="1031"/>
    <s v="1031111"/>
    <d v="2023-09-26T06:10:11"/>
    <s v="type40"/>
    <n v="-7831.68"/>
    <x v="6"/>
    <d v="2023-09-28T06:10:11"/>
    <x v="4"/>
    <d v="2023-10-03T00:00:00"/>
    <n v="6.7429282407392748"/>
    <x v="1"/>
    <x v="8"/>
    <n v="4.7429282407392748"/>
    <x v="8"/>
  </r>
  <r>
    <n v="1010"/>
    <s v="1010111"/>
    <d v="2023-09-28T06:10:11"/>
    <s v="type40"/>
    <n v="-2207.66"/>
    <x v="4"/>
    <d v="2023-09-29T06:10:11"/>
    <x v="1"/>
    <d v="2023-10-03T00:00:00"/>
    <n v="4.7429282407392748"/>
    <x v="2"/>
    <x v="13"/>
    <n v="3.7429282407392748"/>
    <x v="13"/>
  </r>
  <r>
    <n v="1014"/>
    <s v="1014111"/>
    <d v="2023-09-20T06:10:11"/>
    <s v="type40"/>
    <n v="1702.01"/>
    <x v="1"/>
    <d v="2023-09-22T06:10:11"/>
    <x v="2"/>
    <d v="2023-10-03T00:00:00"/>
    <n v="12.742928240739275"/>
    <x v="0"/>
    <x v="10"/>
    <n v="10.742928240739275"/>
    <x v="10"/>
  </r>
  <r>
    <n v="1019"/>
    <s v="1019111"/>
    <d v="2023-09-28T06:10:11"/>
    <s v="type13"/>
    <n v="13087"/>
    <x v="2"/>
    <d v="2023-09-29T06:10:11"/>
    <x v="0"/>
    <d v="2023-10-03T00:00:00"/>
    <n v="4.7429282407392748"/>
    <x v="2"/>
    <x v="13"/>
    <n v="3.7429282407392748"/>
    <x v="13"/>
  </r>
  <r>
    <n v="1004"/>
    <s v="1004111"/>
    <d v="2023-09-21T06:10:11"/>
    <s v="type10"/>
    <n v="378.08"/>
    <x v="1"/>
    <d v="2023-09-23T06:10:11"/>
    <x v="3"/>
    <d v="2023-10-03T00:00:00"/>
    <n v="11.742928240739275"/>
    <x v="0"/>
    <x v="3"/>
    <n v="9.7429282407392748"/>
    <x v="3"/>
  </r>
  <r>
    <n v="1025"/>
    <s v="1025111"/>
    <d v="2023-09-21T06:10:11"/>
    <s v="type13"/>
    <n v="54585.31"/>
    <x v="1"/>
    <d v="2023-09-23T06:10:11"/>
    <x v="5"/>
    <d v="2023-10-03T00:00:00"/>
    <n v="11.742928240739275"/>
    <x v="0"/>
    <x v="3"/>
    <n v="9.7429282407392748"/>
    <x v="3"/>
  </r>
  <r>
    <n v="1018"/>
    <s v="1018111"/>
    <d v="2023-09-22T06:10:11"/>
    <s v="type38"/>
    <n v="338.14"/>
    <x v="3"/>
    <d v="2023-09-24T06:10:11"/>
    <x v="0"/>
    <d v="2023-10-03T00:00:00"/>
    <n v="10.742928240739275"/>
    <x v="0"/>
    <x v="5"/>
    <n v="8.7429282407392748"/>
    <x v="5"/>
  </r>
  <r>
    <n v="1019"/>
    <s v="1019111"/>
    <d v="2023-09-28T06:10:11"/>
    <s v="type13"/>
    <n v="18497.349999999999"/>
    <x v="2"/>
    <d v="2023-10-05T06:10:11"/>
    <x v="0"/>
    <d v="2023-10-03T00:00:00"/>
    <n v="4.7429282407392748"/>
    <x v="2"/>
    <x v="17"/>
    <n v="-2.2570717592607252"/>
    <x v="17"/>
  </r>
  <r>
    <n v="1002"/>
    <s v="1002111"/>
    <d v="2023-09-24T06:10:11"/>
    <s v="type13"/>
    <n v="33278.74"/>
    <x v="3"/>
    <d v="2023-09-26T06:10:11"/>
    <x v="3"/>
    <d v="2023-10-03T00:00:00"/>
    <n v="8.7429282407392748"/>
    <x v="1"/>
    <x v="7"/>
    <n v="6.7429282407392748"/>
    <x v="7"/>
  </r>
  <r>
    <n v="1000"/>
    <s v="1000111"/>
    <d v="2023-09-25T06:10:11"/>
    <s v="type40"/>
    <n v="643.66"/>
    <x v="5"/>
    <d v="2023-10-02T06:10:11"/>
    <x v="3"/>
    <d v="2023-10-03T00:00:00"/>
    <n v="7.7429282407392748"/>
    <x v="1"/>
    <x v="15"/>
    <n v="0.74292824073927477"/>
    <x v="15"/>
  </r>
  <r>
    <n v="1001"/>
    <s v="1001111"/>
    <d v="2023-09-26T06:10:11"/>
    <s v="type38"/>
    <n v="258.83999999999997"/>
    <x v="1"/>
    <d v="2023-09-28T06:10:11"/>
    <x v="3"/>
    <d v="2023-10-03T00:00:00"/>
    <n v="6.7429282407392748"/>
    <x v="1"/>
    <x v="8"/>
    <n v="4.7429282407392748"/>
    <x v="8"/>
  </r>
  <r>
    <n v="1005"/>
    <s v="1005111"/>
    <d v="2023-09-24T06:10:11"/>
    <s v="type10"/>
    <n v="57.12"/>
    <x v="5"/>
    <d v="2023-09-25T06:10:11"/>
    <x v="3"/>
    <d v="2023-10-03T00:00:00"/>
    <n v="8.7429282407392748"/>
    <x v="1"/>
    <x v="11"/>
    <n v="7.7429282407392748"/>
    <x v="11"/>
  </r>
  <r>
    <n v="1001"/>
    <s v="1001111"/>
    <d v="2023-09-24T06:10:11"/>
    <s v="type40"/>
    <n v="7.3"/>
    <x v="5"/>
    <d v="2023-09-25T06:10:11"/>
    <x v="3"/>
    <d v="2023-10-03T00:00:00"/>
    <n v="8.7429282407392748"/>
    <x v="1"/>
    <x v="11"/>
    <n v="7.7429282407392748"/>
    <x v="11"/>
  </r>
  <r>
    <n v="1016"/>
    <s v="1016111"/>
    <d v="2023-09-28T06:10:11"/>
    <s v="type24"/>
    <n v="938.86"/>
    <x v="2"/>
    <d v="2023-10-05T06:10:11"/>
    <x v="2"/>
    <d v="2023-10-03T00:00:00"/>
    <n v="4.7429282407392748"/>
    <x v="2"/>
    <x v="17"/>
    <n v="-2.2570717592607252"/>
    <x v="17"/>
  </r>
  <r>
    <n v="1005"/>
    <s v="1005111"/>
    <d v="2023-09-11T06:10:11"/>
    <s v="type38"/>
    <n v="218.03"/>
    <x v="3"/>
    <d v="2023-09-13T06:10:11"/>
    <x v="3"/>
    <d v="2023-10-03T00:00:00"/>
    <n v="21.742928240739275"/>
    <x v="0"/>
    <x v="24"/>
    <n v="19.742928240739275"/>
    <x v="24"/>
  </r>
  <r>
    <n v="1017"/>
    <s v="1017111"/>
    <d v="2023-09-26T06:10:11"/>
    <s v="type40"/>
    <n v="-12901.99"/>
    <x v="6"/>
    <d v="2023-10-03T06:10:11"/>
    <x v="2"/>
    <d v="2023-10-03T00:00:00"/>
    <n v="6.7429282407392748"/>
    <x v="1"/>
    <x v="16"/>
    <n v="-0.25707175926072523"/>
    <x v="16"/>
  </r>
  <r>
    <n v="1025"/>
    <s v="1025111"/>
    <d v="2023-09-25T06:10:11"/>
    <s v="type13"/>
    <n v="28540"/>
    <x v="6"/>
    <d v="2023-09-30T06:10:11"/>
    <x v="5"/>
    <d v="2023-10-03T00:00:00"/>
    <n v="7.7429282407392748"/>
    <x v="1"/>
    <x v="14"/>
    <n v="2.7429282407392748"/>
    <x v="14"/>
  </r>
  <r>
    <n v="1012"/>
    <s v="1012111"/>
    <d v="2023-09-25T06:10:11"/>
    <s v="type40"/>
    <n v="-391.16"/>
    <x v="6"/>
    <d v="2023-09-30T06:10:11"/>
    <x v="2"/>
    <d v="2023-10-03T00:00:00"/>
    <n v="7.7429282407392748"/>
    <x v="1"/>
    <x v="14"/>
    <n v="2.7429282407392748"/>
    <x v="14"/>
  </r>
  <r>
    <n v="1029"/>
    <s v="1029111"/>
    <d v="2023-09-26T06:10:11"/>
    <s v="type13"/>
    <n v="25537.74"/>
    <x v="5"/>
    <d v="2023-09-28T06:10:11"/>
    <x v="5"/>
    <d v="2023-10-03T00:00:00"/>
    <n v="6.7429282407392748"/>
    <x v="1"/>
    <x v="8"/>
    <n v="4.7429282407392748"/>
    <x v="8"/>
  </r>
  <r>
    <n v="1012"/>
    <s v="1012111"/>
    <d v="2023-09-14T06:10:11"/>
    <s v="type38"/>
    <n v="185.98"/>
    <x v="1"/>
    <d v="2023-09-19T06:10:11"/>
    <x v="2"/>
    <d v="2023-10-03T00:00:00"/>
    <n v="18.742928240739275"/>
    <x v="0"/>
    <x v="19"/>
    <n v="13.742928240739275"/>
    <x v="19"/>
  </r>
  <r>
    <n v="1031"/>
    <s v="1031111"/>
    <d v="2023-09-15T06:10:11"/>
    <s v="type38"/>
    <n v="216.78"/>
    <x v="3"/>
    <d v="2023-09-20T06:10:11"/>
    <x v="4"/>
    <d v="2023-10-03T00:00:00"/>
    <n v="17.742928240739275"/>
    <x v="0"/>
    <x v="9"/>
    <n v="12.742928240739275"/>
    <x v="9"/>
  </r>
  <r>
    <n v="1011"/>
    <s v="1011111"/>
    <d v="2023-09-27T06:10:11"/>
    <s v="type40"/>
    <n v="-683.26"/>
    <x v="4"/>
    <d v="2023-09-29T06:10:11"/>
    <x v="1"/>
    <d v="2023-10-03T00:00:00"/>
    <n v="5.7429282407392748"/>
    <x v="2"/>
    <x v="13"/>
    <n v="3.7429282407392748"/>
    <x v="13"/>
  </r>
  <r>
    <n v="1030"/>
    <s v="1030111"/>
    <d v="2023-09-16T06:10:11"/>
    <s v="type40"/>
    <n v="14.87"/>
    <x v="3"/>
    <d v="2023-09-21T06:10:11"/>
    <x v="4"/>
    <d v="2023-10-03T00:00:00"/>
    <n v="16.742928240739275"/>
    <x v="0"/>
    <x v="1"/>
    <n v="11.742928240739275"/>
    <x v="1"/>
  </r>
  <r>
    <n v="1004"/>
    <s v="1004111"/>
    <d v="2023-09-26T06:10:11"/>
    <s v="type40"/>
    <n v="5618.11"/>
    <x v="5"/>
    <d v="2023-09-28T06:10:11"/>
    <x v="3"/>
    <d v="2023-10-03T00:00:00"/>
    <n v="6.7429282407392748"/>
    <x v="1"/>
    <x v="8"/>
    <n v="4.7429282407392748"/>
    <x v="8"/>
  </r>
  <r>
    <n v="1033"/>
    <s v="1033111"/>
    <d v="2023-09-26T06:10:11"/>
    <s v="type40"/>
    <n v="-1634.24"/>
    <x v="6"/>
    <d v="2023-10-01T06:10:11"/>
    <x v="4"/>
    <d v="2023-10-03T00:00:00"/>
    <n v="6.7429282407392748"/>
    <x v="1"/>
    <x v="22"/>
    <n v="1.7429282407392748"/>
    <x v="22"/>
  </r>
  <r>
    <n v="1022"/>
    <s v="1022111"/>
    <d v="2023-09-18T06:10:11"/>
    <s v="type13"/>
    <n v="62067.57"/>
    <x v="1"/>
    <d v="2023-09-23T06:10:11"/>
    <x v="0"/>
    <d v="2023-10-03T00:00:00"/>
    <n v="14.742928240739275"/>
    <x v="0"/>
    <x v="3"/>
    <n v="9.7429282407392748"/>
    <x v="3"/>
  </r>
  <r>
    <n v="1033"/>
    <s v="1033111"/>
    <d v="2023-09-28T06:10:11"/>
    <s v="type40"/>
    <n v="-478.86"/>
    <x v="2"/>
    <d v="2023-09-29T06:10:11"/>
    <x v="4"/>
    <d v="2023-10-03T00:00:00"/>
    <n v="4.7429282407392748"/>
    <x v="2"/>
    <x v="13"/>
    <n v="3.7429282407392748"/>
    <x v="13"/>
  </r>
  <r>
    <n v="1011"/>
    <s v="1011111"/>
    <d v="2023-09-27T06:10:11"/>
    <s v="type40"/>
    <n v="956.75"/>
    <x v="2"/>
    <d v="2023-10-04T06:10:11"/>
    <x v="1"/>
    <d v="2023-10-03T00:00:00"/>
    <n v="5.7429282407392748"/>
    <x v="2"/>
    <x v="23"/>
    <n v="-1.2570717592607252"/>
    <x v="23"/>
  </r>
  <r>
    <n v="1003"/>
    <s v="1003111"/>
    <d v="2023-09-24T06:10:11"/>
    <s v="type40"/>
    <n v="9.6300000000000008"/>
    <x v="6"/>
    <d v="2023-10-01T06:10:11"/>
    <x v="3"/>
    <d v="2023-10-03T00:00:00"/>
    <n v="8.7429282407392748"/>
    <x v="1"/>
    <x v="22"/>
    <n v="1.7429282407392748"/>
    <x v="22"/>
  </r>
  <r>
    <n v="1008"/>
    <s v="1008111"/>
    <d v="2023-09-27T06:10:11"/>
    <s v="type40"/>
    <n v="-325.45999999999998"/>
    <x v="4"/>
    <d v="2023-10-04T06:10:11"/>
    <x v="1"/>
    <d v="2023-10-03T00:00:00"/>
    <n v="5.7429282407392748"/>
    <x v="2"/>
    <x v="23"/>
    <n v="-1.2570717592607252"/>
    <x v="23"/>
  </r>
  <r>
    <n v="1015"/>
    <s v="1015111"/>
    <d v="2023-09-21T06:10:11"/>
    <s v="type19"/>
    <n v="-361.1"/>
    <x v="3"/>
    <d v="2023-09-28T06:10:11"/>
    <x v="2"/>
    <d v="2023-10-03T00:00:00"/>
    <n v="11.742928240739275"/>
    <x v="0"/>
    <x v="8"/>
    <n v="4.7429282407392748"/>
    <x v="8"/>
  </r>
  <r>
    <n v="1030"/>
    <s v="1030111"/>
    <d v="2023-09-21T06:10:11"/>
    <s v="type40"/>
    <n v="-962.94"/>
    <x v="1"/>
    <d v="2023-09-28T06:10:11"/>
    <x v="4"/>
    <d v="2023-10-03T00:00:00"/>
    <n v="11.742928240739275"/>
    <x v="0"/>
    <x v="8"/>
    <n v="4.7429282407392748"/>
    <x v="8"/>
  </r>
  <r>
    <n v="1015"/>
    <s v="1015111"/>
    <d v="2023-09-28T06:10:11"/>
    <s v="type54"/>
    <n v="-60"/>
    <x v="4"/>
    <d v="2023-10-05T06:10:11"/>
    <x v="2"/>
    <d v="2023-10-03T00:00:00"/>
    <n v="4.7429282407392748"/>
    <x v="2"/>
    <x v="17"/>
    <n v="-2.2570717592607252"/>
    <x v="17"/>
  </r>
  <r>
    <n v="1011"/>
    <s v="1011111"/>
    <d v="2023-09-27T06:10:11"/>
    <s v="type41"/>
    <n v="968.98"/>
    <x v="2"/>
    <d v="2023-09-29T06:10:11"/>
    <x v="1"/>
    <d v="2023-10-03T00:00:00"/>
    <n v="5.7429282407392748"/>
    <x v="2"/>
    <x v="13"/>
    <n v="3.7429282407392748"/>
    <x v="13"/>
  </r>
  <r>
    <n v="1008"/>
    <s v="1008111"/>
    <d v="2023-09-25T06:10:11"/>
    <s v="type10"/>
    <n v="41"/>
    <x v="6"/>
    <d v="2023-09-26T06:10:11"/>
    <x v="1"/>
    <d v="2023-10-03T00:00:00"/>
    <n v="7.7429282407392748"/>
    <x v="1"/>
    <x v="7"/>
    <n v="6.7429282407392748"/>
    <x v="7"/>
  </r>
  <r>
    <n v="1029"/>
    <s v="1029111"/>
    <d v="2023-09-25T06:10:11"/>
    <s v="type40"/>
    <n v="535.62"/>
    <x v="1"/>
    <d v="2023-10-02T06:10:11"/>
    <x v="5"/>
    <d v="2023-10-03T00:00:00"/>
    <n v="7.7429282407392748"/>
    <x v="1"/>
    <x v="15"/>
    <n v="0.74292824073927477"/>
    <x v="15"/>
  </r>
  <r>
    <n v="1014"/>
    <s v="1014111"/>
    <d v="2023-09-27T06:10:11"/>
    <s v="type40"/>
    <n v="122.99"/>
    <x v="4"/>
    <d v="2023-09-28T06:10:11"/>
    <x v="2"/>
    <d v="2023-10-03T00:00:00"/>
    <n v="5.7429282407392748"/>
    <x v="2"/>
    <x v="8"/>
    <n v="4.7429282407392748"/>
    <x v="8"/>
  </r>
  <r>
    <n v="1032"/>
    <s v="1032111"/>
    <d v="2023-09-27T06:10:11"/>
    <s v="type40"/>
    <n v="-577.87"/>
    <x v="2"/>
    <d v="2023-10-04T06:10:11"/>
    <x v="4"/>
    <d v="2023-10-03T00:00:00"/>
    <n v="5.7429282407392748"/>
    <x v="2"/>
    <x v="23"/>
    <n v="-1.2570717592607252"/>
    <x v="23"/>
  </r>
  <r>
    <n v="1000"/>
    <s v="1000111"/>
    <d v="2023-09-28T06:10:11"/>
    <s v="type40"/>
    <n v="869.19"/>
    <x v="3"/>
    <d v="2023-10-05T06:10:11"/>
    <x v="3"/>
    <d v="2023-10-03T00:00:00"/>
    <n v="4.7429282407392748"/>
    <x v="2"/>
    <x v="17"/>
    <n v="-2.2570717592607252"/>
    <x v="17"/>
  </r>
  <r>
    <n v="1021"/>
    <s v="1021111"/>
    <d v="2023-09-26T06:10:11"/>
    <s v="type35"/>
    <n v="1108.94"/>
    <x v="6"/>
    <d v="2023-09-28T06:10:11"/>
    <x v="0"/>
    <d v="2023-10-03T00:00:00"/>
    <n v="6.7429282407392748"/>
    <x v="1"/>
    <x v="8"/>
    <n v="4.7429282407392748"/>
    <x v="8"/>
  </r>
  <r>
    <n v="1007"/>
    <s v="1007111"/>
    <d v="2023-09-17T06:10:11"/>
    <s v="type40"/>
    <n v="-1995"/>
    <x v="3"/>
    <d v="2023-09-24T06:10:11"/>
    <x v="1"/>
    <d v="2023-10-03T00:00:00"/>
    <n v="15.742928240739275"/>
    <x v="0"/>
    <x v="5"/>
    <n v="8.7429282407392748"/>
    <x v="5"/>
  </r>
  <r>
    <n v="1020"/>
    <s v="1020111"/>
    <d v="2023-09-18T06:10:11"/>
    <s v="type40"/>
    <n v="-637.63"/>
    <x v="3"/>
    <d v="2023-09-25T06:10:11"/>
    <x v="0"/>
    <d v="2023-10-03T00:00:00"/>
    <n v="14.742928240739275"/>
    <x v="0"/>
    <x v="11"/>
    <n v="7.7429282407392748"/>
    <x v="11"/>
  </r>
  <r>
    <n v="1009"/>
    <s v="1009111"/>
    <d v="2023-09-25T06:10:11"/>
    <s v="type40"/>
    <n v="-787.06"/>
    <x v="5"/>
    <d v="2023-09-30T06:10:11"/>
    <x v="1"/>
    <d v="2023-10-03T00:00:00"/>
    <n v="7.7429282407392748"/>
    <x v="1"/>
    <x v="14"/>
    <n v="2.7429282407392748"/>
    <x v="14"/>
  </r>
  <r>
    <n v="1022"/>
    <s v="1022111"/>
    <d v="2023-09-24T06:10:11"/>
    <s v="type40"/>
    <n v="-4837"/>
    <x v="6"/>
    <d v="2023-10-01T06:10:11"/>
    <x v="0"/>
    <d v="2023-10-03T00:00:00"/>
    <n v="8.7429282407392748"/>
    <x v="1"/>
    <x v="22"/>
    <n v="1.7429282407392748"/>
    <x v="22"/>
  </r>
  <r>
    <n v="1026"/>
    <s v="1026111"/>
    <d v="2023-09-27T06:10:11"/>
    <s v="type13"/>
    <n v="20102.419999999998"/>
    <x v="2"/>
    <d v="2023-09-28T06:10:11"/>
    <x v="5"/>
    <d v="2023-10-03T00:00:00"/>
    <n v="5.7429282407392748"/>
    <x v="2"/>
    <x v="8"/>
    <n v="4.7429282407392748"/>
    <x v="8"/>
  </r>
  <r>
    <n v="1009"/>
    <s v="1009111"/>
    <d v="2023-09-28T06:10:11"/>
    <s v="type40"/>
    <n v="-3603.41"/>
    <x v="4"/>
    <d v="2023-09-30T06:10:11"/>
    <x v="1"/>
    <d v="2023-10-03T00:00:00"/>
    <n v="4.7429282407392748"/>
    <x v="2"/>
    <x v="14"/>
    <n v="2.7429282407392748"/>
    <x v="14"/>
  </r>
  <r>
    <n v="1034"/>
    <s v="1034111"/>
    <d v="2023-09-27T06:10:11"/>
    <s v="type40"/>
    <n v="838.98"/>
    <x v="4"/>
    <d v="2023-10-04T06:10:11"/>
    <x v="4"/>
    <d v="2023-10-03T00:00:00"/>
    <n v="5.7429282407392748"/>
    <x v="2"/>
    <x v="23"/>
    <n v="-1.2570717592607252"/>
    <x v="23"/>
  </r>
  <r>
    <n v="1018"/>
    <s v="1018111"/>
    <d v="2023-09-28T06:10:11"/>
    <s v="type40"/>
    <n v="55"/>
    <x v="4"/>
    <d v="2023-10-05T06:10:11"/>
    <x v="0"/>
    <d v="2023-10-03T00:00:00"/>
    <n v="4.7429282407392748"/>
    <x v="2"/>
    <x v="17"/>
    <n v="-2.2570717592607252"/>
    <x v="17"/>
  </r>
  <r>
    <n v="1012"/>
    <s v="1012111"/>
    <d v="2023-09-27T06:10:11"/>
    <s v="type40"/>
    <n v="-386.26"/>
    <x v="2"/>
    <d v="2023-09-28T06:10:11"/>
    <x v="2"/>
    <d v="2023-10-03T00:00:00"/>
    <n v="5.7429282407392748"/>
    <x v="2"/>
    <x v="8"/>
    <n v="4.7429282407392748"/>
    <x v="8"/>
  </r>
  <r>
    <n v="1007"/>
    <s v="1007111"/>
    <d v="2023-09-28T06:10:11"/>
    <s v="type40"/>
    <n v="-4024.06"/>
    <x v="4"/>
    <d v="2023-10-05T06:10:11"/>
    <x v="1"/>
    <d v="2023-10-03T00:00:00"/>
    <n v="4.7429282407392748"/>
    <x v="2"/>
    <x v="17"/>
    <n v="-2.2570717592607252"/>
    <x v="17"/>
  </r>
  <r>
    <n v="1002"/>
    <s v="1002111"/>
    <d v="2023-09-27T06:10:11"/>
    <s v="type40"/>
    <n v="-616.14"/>
    <x v="2"/>
    <d v="2023-09-28T06:10:11"/>
    <x v="3"/>
    <d v="2023-10-03T00:00:00"/>
    <n v="5.7429282407392748"/>
    <x v="2"/>
    <x v="8"/>
    <n v="4.7429282407392748"/>
    <x v="8"/>
  </r>
  <r>
    <n v="1013"/>
    <s v="1013111"/>
    <d v="2023-09-25T06:10:11"/>
    <s v="type17"/>
    <n v="500.4"/>
    <x v="5"/>
    <d v="2023-09-27T06:10:11"/>
    <x v="2"/>
    <d v="2023-10-03T00:00:00"/>
    <n v="7.7429282407392748"/>
    <x v="1"/>
    <x v="12"/>
    <n v="5.7429282407392748"/>
    <x v="12"/>
  </r>
  <r>
    <n v="1033"/>
    <s v="1033111"/>
    <d v="2023-09-27T06:10:11"/>
    <s v="type40"/>
    <n v="719.68"/>
    <x v="4"/>
    <d v="2023-10-02T06:10:11"/>
    <x v="4"/>
    <d v="2023-10-03T00:00:00"/>
    <n v="5.7429282407392748"/>
    <x v="2"/>
    <x v="15"/>
    <n v="0.74292824073927477"/>
    <x v="15"/>
  </r>
  <r>
    <n v="1005"/>
    <s v="1005111"/>
    <d v="2023-09-24T06:10:11"/>
    <s v="type40"/>
    <n v="1796"/>
    <x v="5"/>
    <d v="2023-09-26T06:10:11"/>
    <x v="3"/>
    <d v="2023-10-03T00:00:00"/>
    <n v="8.7429282407392748"/>
    <x v="1"/>
    <x v="7"/>
    <n v="6.7429282407392748"/>
    <x v="7"/>
  </r>
  <r>
    <n v="1015"/>
    <s v="1015111"/>
    <d v="2023-09-27T06:10:11"/>
    <s v="type13"/>
    <n v="42784.27"/>
    <x v="4"/>
    <d v="2023-09-29T06:10:11"/>
    <x v="2"/>
    <d v="2023-10-03T00:00:00"/>
    <n v="5.7429282407392748"/>
    <x v="2"/>
    <x v="13"/>
    <n v="3.7429282407392748"/>
    <x v="13"/>
  </r>
  <r>
    <n v="1020"/>
    <s v="1020111"/>
    <d v="2023-09-10T06:10:11"/>
    <s v="type40"/>
    <n v="-576.6"/>
    <x v="3"/>
    <d v="2023-09-11T06:10:11"/>
    <x v="0"/>
    <d v="2023-10-03T00:00:00"/>
    <n v="22.742928240739275"/>
    <x v="0"/>
    <x v="21"/>
    <n v="21.742928240739275"/>
    <x v="21"/>
  </r>
  <r>
    <n v="1032"/>
    <s v="1032111"/>
    <d v="2023-09-26T06:10:11"/>
    <s v="type17"/>
    <n v="1386.81"/>
    <x v="6"/>
    <d v="2023-10-03T06:10:11"/>
    <x v="4"/>
    <d v="2023-10-03T00:00:00"/>
    <n v="6.7429282407392748"/>
    <x v="1"/>
    <x v="16"/>
    <n v="-0.25707175926072523"/>
    <x v="16"/>
  </r>
  <r>
    <n v="1010"/>
    <s v="1010111"/>
    <d v="2023-09-12T06:10:11"/>
    <s v="type40"/>
    <n v="-1078.0899999999999"/>
    <x v="3"/>
    <d v="2023-09-13T06:10:11"/>
    <x v="1"/>
    <d v="2023-10-03T00:00:00"/>
    <n v="20.742928240739275"/>
    <x v="0"/>
    <x v="24"/>
    <n v="19.742928240739275"/>
    <x v="24"/>
  </r>
  <r>
    <n v="1017"/>
    <s v="1017111"/>
    <d v="2023-09-24T06:10:11"/>
    <s v="type40"/>
    <n v="-861.03"/>
    <x v="5"/>
    <d v="2023-09-25T06:10:11"/>
    <x v="2"/>
    <d v="2023-10-03T00:00:00"/>
    <n v="8.7429282407392748"/>
    <x v="1"/>
    <x v="11"/>
    <n v="7.7429282407392748"/>
    <x v="11"/>
  </r>
  <r>
    <n v="1005"/>
    <s v="1005111"/>
    <d v="2023-09-28T06:10:11"/>
    <s v="type13"/>
    <n v="36382"/>
    <x v="4"/>
    <d v="2023-09-29T06:10:11"/>
    <x v="3"/>
    <d v="2023-10-03T00:00:00"/>
    <n v="4.7429282407392748"/>
    <x v="2"/>
    <x v="13"/>
    <n v="3.7429282407392748"/>
    <x v="13"/>
  </r>
  <r>
    <n v="1003"/>
    <s v="1003111"/>
    <d v="2023-09-27T06:10:11"/>
    <s v="type40"/>
    <n v="471.66"/>
    <x v="2"/>
    <d v="2023-09-29T06:10:11"/>
    <x v="3"/>
    <d v="2023-10-03T00:00:00"/>
    <n v="5.7429282407392748"/>
    <x v="2"/>
    <x v="13"/>
    <n v="3.7429282407392748"/>
    <x v="13"/>
  </r>
  <r>
    <n v="1012"/>
    <s v="1012111"/>
    <d v="2023-09-14T06:10:11"/>
    <s v="type40"/>
    <n v="804.12"/>
    <x v="1"/>
    <d v="2023-09-15T06:10:11"/>
    <x v="2"/>
    <d v="2023-10-03T00:00:00"/>
    <n v="18.742928240739275"/>
    <x v="0"/>
    <x v="0"/>
    <n v="17.742928240739275"/>
    <x v="0"/>
  </r>
  <r>
    <n v="1011"/>
    <s v="1011111"/>
    <d v="2023-09-15T06:10:11"/>
    <s v="type6"/>
    <n v="114"/>
    <x v="1"/>
    <d v="2023-09-17T06:10:11"/>
    <x v="1"/>
    <d v="2023-10-03T00:00:00"/>
    <n v="17.742928240739275"/>
    <x v="0"/>
    <x v="4"/>
    <n v="15.742928240739275"/>
    <x v="4"/>
  </r>
  <r>
    <n v="1005"/>
    <s v="1005111"/>
    <d v="2023-09-15T06:10:11"/>
    <s v="type40"/>
    <n v="697.89"/>
    <x v="3"/>
    <d v="2023-09-17T06:10:11"/>
    <x v="3"/>
    <d v="2023-10-03T00:00:00"/>
    <n v="17.742928240739275"/>
    <x v="0"/>
    <x v="4"/>
    <n v="15.742928240739275"/>
    <x v="4"/>
  </r>
  <r>
    <n v="1005"/>
    <s v="1005111"/>
    <d v="2023-09-27T06:10:11"/>
    <s v="type10"/>
    <n v="30"/>
    <x v="2"/>
    <d v="2023-10-02T06:10:11"/>
    <x v="3"/>
    <d v="2023-10-03T00:00:00"/>
    <n v="5.7429282407392748"/>
    <x v="2"/>
    <x v="15"/>
    <n v="0.74292824073927477"/>
    <x v="15"/>
  </r>
  <r>
    <n v="1030"/>
    <s v="1030111"/>
    <d v="2023-09-16T06:10:11"/>
    <s v="type32"/>
    <n v="698.61"/>
    <x v="1"/>
    <d v="2023-09-18T06:10:11"/>
    <x v="4"/>
    <d v="2023-10-03T00:00:00"/>
    <n v="16.742928240739275"/>
    <x v="0"/>
    <x v="6"/>
    <n v="14.742928240739275"/>
    <x v="6"/>
  </r>
  <r>
    <n v="1034"/>
    <s v="1034111"/>
    <d v="2023-09-28T06:10:11"/>
    <s v="type13"/>
    <n v="13692"/>
    <x v="2"/>
    <d v="2023-10-05T06:10:11"/>
    <x v="4"/>
    <d v="2023-10-03T00:00:00"/>
    <n v="4.7429282407392748"/>
    <x v="2"/>
    <x v="17"/>
    <n v="-2.2570717592607252"/>
    <x v="17"/>
  </r>
  <r>
    <n v="1028"/>
    <s v="1028111"/>
    <d v="2023-09-28T06:10:11"/>
    <s v="type33"/>
    <n v="418.64"/>
    <x v="2"/>
    <d v="2023-10-03T06:10:11"/>
    <x v="5"/>
    <d v="2023-10-03T00:00:00"/>
    <n v="4.7429282407392748"/>
    <x v="2"/>
    <x v="16"/>
    <n v="-0.25707175926072523"/>
    <x v="16"/>
  </r>
  <r>
    <n v="1025"/>
    <s v="1025111"/>
    <d v="2023-09-18T06:10:11"/>
    <s v="type7"/>
    <n v="1312.6"/>
    <x v="3"/>
    <d v="2023-09-20T06:10:11"/>
    <x v="5"/>
    <d v="2023-10-03T00:00:00"/>
    <n v="14.742928240739275"/>
    <x v="0"/>
    <x v="9"/>
    <n v="12.742928240739275"/>
    <x v="9"/>
  </r>
  <r>
    <n v="1016"/>
    <s v="1016111"/>
    <d v="2023-09-27T06:10:11"/>
    <s v="type40"/>
    <n v="-876.12"/>
    <x v="4"/>
    <d v="2023-09-28T06:10:11"/>
    <x v="2"/>
    <d v="2023-10-03T00:00:00"/>
    <n v="5.7429282407392748"/>
    <x v="2"/>
    <x v="8"/>
    <n v="4.7429282407392748"/>
    <x v="8"/>
  </r>
  <r>
    <n v="1017"/>
    <s v="1017111"/>
    <d v="2023-09-28T06:10:11"/>
    <s v="type40"/>
    <n v="-670.84"/>
    <x v="4"/>
    <d v="2023-09-30T06:10:11"/>
    <x v="2"/>
    <d v="2023-10-03T00:00:00"/>
    <n v="4.7429282407392748"/>
    <x v="2"/>
    <x v="14"/>
    <n v="2.7429282407392748"/>
    <x v="14"/>
  </r>
  <r>
    <n v="1022"/>
    <s v="1022111"/>
    <d v="2023-09-20T06:10:11"/>
    <s v="type42"/>
    <n v="372.52"/>
    <x v="1"/>
    <d v="2023-09-22T06:10:11"/>
    <x v="0"/>
    <d v="2023-10-03T00:00:00"/>
    <n v="12.742928240739275"/>
    <x v="0"/>
    <x v="10"/>
    <n v="10.742928240739275"/>
    <x v="10"/>
  </r>
  <r>
    <n v="1025"/>
    <s v="1025111"/>
    <d v="2023-09-27T06:10:11"/>
    <s v="type40"/>
    <n v="-1659.34"/>
    <x v="4"/>
    <d v="2023-10-02T06:10:11"/>
    <x v="5"/>
    <d v="2023-10-03T00:00:00"/>
    <n v="5.7429282407392748"/>
    <x v="2"/>
    <x v="15"/>
    <n v="0.74292824073927477"/>
    <x v="15"/>
  </r>
  <r>
    <n v="1020"/>
    <s v="1020111"/>
    <d v="2023-09-27T06:10:11"/>
    <s v="type40"/>
    <n v="606.86"/>
    <x v="4"/>
    <d v="2023-10-04T06:10:11"/>
    <x v="0"/>
    <d v="2023-10-03T00:00:00"/>
    <n v="5.7429282407392748"/>
    <x v="2"/>
    <x v="23"/>
    <n v="-1.2570717592607252"/>
    <x v="23"/>
  </r>
  <r>
    <n v="1022"/>
    <s v="1022111"/>
    <d v="2023-09-28T06:10:11"/>
    <s v="type40"/>
    <n v="-408.13"/>
    <x v="4"/>
    <d v="2023-09-29T06:10:11"/>
    <x v="0"/>
    <d v="2023-10-03T00:00:00"/>
    <n v="4.7429282407392748"/>
    <x v="2"/>
    <x v="13"/>
    <n v="3.7429282407392748"/>
    <x v="13"/>
  </r>
  <r>
    <n v="1007"/>
    <s v="1007111"/>
    <d v="2023-09-23T06:10:11"/>
    <s v="type40"/>
    <n v="7024.68"/>
    <x v="1"/>
    <d v="2023-09-25T06:10:11"/>
    <x v="1"/>
    <d v="2023-10-03T00:00:00"/>
    <n v="9.7429282407392748"/>
    <x v="0"/>
    <x v="11"/>
    <n v="7.7429282407392748"/>
    <x v="11"/>
  </r>
  <r>
    <n v="1034"/>
    <s v="1034111"/>
    <d v="2023-09-28T06:10:11"/>
    <s v="type13"/>
    <n v="29141.65"/>
    <x v="2"/>
    <d v="2023-10-05T06:10:11"/>
    <x v="4"/>
    <d v="2023-10-03T00:00:00"/>
    <n v="4.7429282407392748"/>
    <x v="2"/>
    <x v="17"/>
    <n v="-2.2570717592607252"/>
    <x v="17"/>
  </r>
  <r>
    <n v="1018"/>
    <s v="1018111"/>
    <d v="2023-09-28T06:10:11"/>
    <s v="type41"/>
    <n v="329.25"/>
    <x v="4"/>
    <d v="2023-09-30T06:10:11"/>
    <x v="0"/>
    <d v="2023-10-03T00:00:00"/>
    <n v="4.7429282407392748"/>
    <x v="2"/>
    <x v="14"/>
    <n v="2.7429282407392748"/>
    <x v="14"/>
  </r>
  <r>
    <n v="1026"/>
    <s v="1026111"/>
    <d v="2023-09-27T06:10:11"/>
    <s v="type40"/>
    <n v="-1795.32"/>
    <x v="2"/>
    <d v="2023-09-28T06:10:11"/>
    <x v="5"/>
    <d v="2023-10-03T00:00:00"/>
    <n v="5.7429282407392748"/>
    <x v="2"/>
    <x v="8"/>
    <n v="4.7429282407392748"/>
    <x v="8"/>
  </r>
  <r>
    <n v="1020"/>
    <s v="1020111"/>
    <d v="2023-09-27T06:10:11"/>
    <s v="type40"/>
    <n v="-663.09"/>
    <x v="2"/>
    <d v="2023-09-28T06:10:11"/>
    <x v="0"/>
    <d v="2023-10-03T00:00:00"/>
    <n v="5.7429282407392748"/>
    <x v="2"/>
    <x v="8"/>
    <n v="4.7429282407392748"/>
    <x v="8"/>
  </r>
  <r>
    <n v="1002"/>
    <s v="1002111"/>
    <d v="2023-09-26T06:10:11"/>
    <s v="type40"/>
    <n v="-364.61"/>
    <x v="5"/>
    <d v="2023-09-27T06:10:11"/>
    <x v="3"/>
    <d v="2023-10-03T00:00:00"/>
    <n v="6.7429282407392748"/>
    <x v="1"/>
    <x v="12"/>
    <n v="5.7429282407392748"/>
    <x v="12"/>
  </r>
  <r>
    <n v="1016"/>
    <s v="1016111"/>
    <d v="2023-09-16T06:10:11"/>
    <s v="type40"/>
    <n v="23769.23"/>
    <x v="1"/>
    <d v="2023-09-18T06:10:11"/>
    <x v="2"/>
    <d v="2023-10-03T00:00:00"/>
    <n v="16.742928240739275"/>
    <x v="0"/>
    <x v="6"/>
    <n v="14.742928240739275"/>
    <x v="6"/>
  </r>
  <r>
    <n v="1030"/>
    <s v="1030111"/>
    <d v="2023-09-28T06:10:11"/>
    <s v="type22"/>
    <n v="766.1"/>
    <x v="2"/>
    <d v="2023-09-29T06:10:11"/>
    <x v="4"/>
    <d v="2023-10-03T00:00:00"/>
    <n v="4.7429282407392748"/>
    <x v="2"/>
    <x v="13"/>
    <n v="3.7429282407392748"/>
    <x v="13"/>
  </r>
  <r>
    <n v="1002"/>
    <s v="1002111"/>
    <d v="2023-09-24T06:10:11"/>
    <s v="type13"/>
    <n v="20243.849999999999"/>
    <x v="5"/>
    <d v="2023-09-25T06:10:11"/>
    <x v="3"/>
    <d v="2023-10-03T00:00:00"/>
    <n v="8.7429282407392748"/>
    <x v="1"/>
    <x v="11"/>
    <n v="7.7429282407392748"/>
    <x v="11"/>
  </r>
  <r>
    <n v="1023"/>
    <s v="1023111"/>
    <d v="2023-09-26T06:10:11"/>
    <s v="type40"/>
    <n v="715.45"/>
    <x v="5"/>
    <d v="2023-09-28T06:10:11"/>
    <x v="0"/>
    <d v="2023-10-03T00:00:00"/>
    <n v="6.7429282407392748"/>
    <x v="1"/>
    <x v="8"/>
    <n v="4.7429282407392748"/>
    <x v="8"/>
  </r>
  <r>
    <n v="1012"/>
    <s v="1012111"/>
    <d v="2023-09-26T06:10:11"/>
    <s v="type17"/>
    <n v="1349.4"/>
    <x v="6"/>
    <d v="2023-09-27T06:10:11"/>
    <x v="2"/>
    <d v="2023-10-03T00:00:00"/>
    <n v="6.7429282407392748"/>
    <x v="1"/>
    <x v="12"/>
    <n v="5.7429282407392748"/>
    <x v="12"/>
  </r>
  <r>
    <n v="1009"/>
    <s v="1009111"/>
    <d v="2023-09-20T06:10:11"/>
    <s v="type40"/>
    <n v="13.2"/>
    <x v="3"/>
    <d v="2023-09-25T06:10:11"/>
    <x v="1"/>
    <d v="2023-10-03T00:00:00"/>
    <n v="12.742928240739275"/>
    <x v="0"/>
    <x v="11"/>
    <n v="7.7429282407392748"/>
    <x v="11"/>
  </r>
  <r>
    <n v="1008"/>
    <s v="1008111"/>
    <d v="2023-09-20T06:10:11"/>
    <s v="type40"/>
    <n v="-475.37"/>
    <x v="1"/>
    <d v="2023-09-25T06:10:11"/>
    <x v="1"/>
    <d v="2023-10-03T00:00:00"/>
    <n v="12.742928240739275"/>
    <x v="0"/>
    <x v="11"/>
    <n v="7.7429282407392748"/>
    <x v="11"/>
  </r>
  <r>
    <n v="1015"/>
    <s v="1015111"/>
    <d v="2023-09-27T06:10:11"/>
    <s v="type13"/>
    <n v="12519"/>
    <x v="2"/>
    <d v="2023-10-04T06:10:11"/>
    <x v="2"/>
    <d v="2023-10-03T00:00:00"/>
    <n v="5.7429282407392748"/>
    <x v="2"/>
    <x v="23"/>
    <n v="-1.2570717592607252"/>
    <x v="23"/>
  </r>
  <r>
    <n v="1013"/>
    <s v="1013111"/>
    <d v="2023-09-28T06:10:11"/>
    <s v="type40"/>
    <n v="-338.71"/>
    <x v="4"/>
    <d v="2023-10-05T06:10:11"/>
    <x v="2"/>
    <d v="2023-10-03T00:00:00"/>
    <n v="4.7429282407392748"/>
    <x v="2"/>
    <x v="17"/>
    <n v="-2.2570717592607252"/>
    <x v="17"/>
  </r>
  <r>
    <n v="1032"/>
    <s v="1032111"/>
    <d v="2023-09-22T06:10:11"/>
    <s v="type40"/>
    <n v="5780.55"/>
    <x v="3"/>
    <d v="2023-09-27T06:10:11"/>
    <x v="4"/>
    <d v="2023-10-03T00:00:00"/>
    <n v="10.742928240739275"/>
    <x v="0"/>
    <x v="12"/>
    <n v="5.7429282407392748"/>
    <x v="12"/>
  </r>
  <r>
    <n v="1029"/>
    <s v="1029111"/>
    <d v="2023-09-25T06:10:11"/>
    <s v="type40"/>
    <n v="-696.6"/>
    <x v="2"/>
    <d v="2023-09-27T06:10:11"/>
    <x v="5"/>
    <d v="2023-10-03T00:00:00"/>
    <n v="7.7429282407392748"/>
    <x v="1"/>
    <x v="12"/>
    <n v="5.7429282407392748"/>
    <x v="12"/>
  </r>
  <r>
    <n v="1031"/>
    <s v="1031111"/>
    <d v="2023-09-25T06:10:11"/>
    <s v="type8"/>
    <n v="140"/>
    <x v="6"/>
    <d v="2023-09-27T06:10:11"/>
    <x v="4"/>
    <d v="2023-10-03T00:00:00"/>
    <n v="7.7429282407392748"/>
    <x v="1"/>
    <x v="12"/>
    <n v="5.7429282407392748"/>
    <x v="12"/>
  </r>
  <r>
    <n v="1026"/>
    <s v="1026111"/>
    <d v="2023-09-26T06:10:11"/>
    <s v="type40"/>
    <n v="-767.77"/>
    <x v="2"/>
    <d v="2023-09-28T06:10:11"/>
    <x v="5"/>
    <d v="2023-10-03T00:00:00"/>
    <n v="6.7429282407392748"/>
    <x v="1"/>
    <x v="8"/>
    <n v="4.7429282407392748"/>
    <x v="8"/>
  </r>
  <r>
    <n v="1027"/>
    <s v="1027111"/>
    <d v="2023-09-25T06:10:11"/>
    <s v="type35"/>
    <n v="595.5"/>
    <x v="2"/>
    <d v="2023-09-26T06:10:11"/>
    <x v="5"/>
    <d v="2023-10-03T00:00:00"/>
    <n v="7.7429282407392748"/>
    <x v="1"/>
    <x v="7"/>
    <n v="6.7429282407392748"/>
    <x v="7"/>
  </r>
  <r>
    <n v="1025"/>
    <s v="1025111"/>
    <d v="2023-09-25T06:10:11"/>
    <s v="type40"/>
    <n v="1388.35"/>
    <x v="2"/>
    <d v="2023-09-30T06:10:11"/>
    <x v="5"/>
    <d v="2023-10-03T00:00:00"/>
    <n v="7.7429282407392748"/>
    <x v="1"/>
    <x v="14"/>
    <n v="2.7429282407392748"/>
    <x v="14"/>
  </r>
  <r>
    <n v="1016"/>
    <s v="1016111"/>
    <d v="2023-09-28T06:10:11"/>
    <s v="type7"/>
    <n v="1219.05"/>
    <x v="4"/>
    <d v="2023-10-05T06:10:11"/>
    <x v="2"/>
    <d v="2023-10-03T00:00:00"/>
    <n v="4.7429282407392748"/>
    <x v="2"/>
    <x v="17"/>
    <n v="-2.2570717592607252"/>
    <x v="17"/>
  </r>
  <r>
    <n v="1026"/>
    <s v="1026111"/>
    <d v="2023-09-26T06:10:11"/>
    <s v="type38"/>
    <n v="183.57"/>
    <x v="2"/>
    <d v="2023-09-27T06:10:11"/>
    <x v="5"/>
    <d v="2023-10-03T00:00:00"/>
    <n v="6.7429282407392748"/>
    <x v="1"/>
    <x v="12"/>
    <n v="5.7429282407392748"/>
    <x v="12"/>
  </r>
  <r>
    <n v="1016"/>
    <s v="1016111"/>
    <d v="2023-09-11T06:10:11"/>
    <s v="type13"/>
    <n v="18052.05"/>
    <x v="1"/>
    <d v="2023-09-18T06:10:11"/>
    <x v="2"/>
    <d v="2023-10-03T00:00:00"/>
    <n v="21.742928240739275"/>
    <x v="0"/>
    <x v="6"/>
    <n v="14.742928240739275"/>
    <x v="6"/>
  </r>
  <r>
    <n v="1021"/>
    <s v="1021111"/>
    <d v="2023-09-25T06:10:11"/>
    <s v="type13"/>
    <n v="18779.79"/>
    <x v="6"/>
    <d v="2023-09-30T06:10:11"/>
    <x v="0"/>
    <d v="2023-10-03T00:00:00"/>
    <n v="7.7429282407392748"/>
    <x v="1"/>
    <x v="14"/>
    <n v="2.7429282407392748"/>
    <x v="14"/>
  </r>
  <r>
    <n v="1025"/>
    <s v="1025111"/>
    <d v="2023-09-13T06:10:11"/>
    <s v="type35"/>
    <n v="368.57"/>
    <x v="3"/>
    <d v="2023-09-20T06:10:11"/>
    <x v="5"/>
    <d v="2023-10-03T00:00:00"/>
    <n v="19.742928240739275"/>
    <x v="0"/>
    <x v="9"/>
    <n v="12.742928240739275"/>
    <x v="9"/>
  </r>
  <r>
    <n v="1015"/>
    <s v="1015111"/>
    <d v="2023-09-28T06:10:11"/>
    <s v="type13"/>
    <n v="45091.49"/>
    <x v="4"/>
    <d v="2023-09-29T06:10:11"/>
    <x v="2"/>
    <d v="2023-10-03T00:00:00"/>
    <n v="4.7429282407392748"/>
    <x v="2"/>
    <x v="13"/>
    <n v="3.7429282407392748"/>
    <x v="13"/>
  </r>
  <r>
    <n v="1015"/>
    <s v="1015111"/>
    <d v="2023-09-14T06:10:11"/>
    <s v="type40"/>
    <n v="-741.87"/>
    <x v="3"/>
    <d v="2023-09-21T06:10:11"/>
    <x v="2"/>
    <d v="2023-10-03T00:00:00"/>
    <n v="18.742928240739275"/>
    <x v="0"/>
    <x v="1"/>
    <n v="11.742928240739275"/>
    <x v="1"/>
  </r>
  <r>
    <n v="1029"/>
    <s v="1029111"/>
    <d v="2023-09-14T06:10:11"/>
    <s v="type40"/>
    <n v="-1439.95"/>
    <x v="3"/>
    <d v="2023-09-21T06:10:11"/>
    <x v="5"/>
    <d v="2023-10-03T00:00:00"/>
    <n v="18.742928240739275"/>
    <x v="0"/>
    <x v="1"/>
    <n v="11.742928240739275"/>
    <x v="1"/>
  </r>
  <r>
    <n v="1017"/>
    <s v="1017111"/>
    <d v="2023-09-15T06:10:11"/>
    <s v="type40"/>
    <n v="-670.69"/>
    <x v="3"/>
    <d v="2023-09-22T06:10:11"/>
    <x v="2"/>
    <d v="2023-10-03T00:00:00"/>
    <n v="17.742928240739275"/>
    <x v="0"/>
    <x v="10"/>
    <n v="10.742928240739275"/>
    <x v="10"/>
  </r>
  <r>
    <n v="1012"/>
    <s v="1012111"/>
    <d v="2023-09-25T06:10:11"/>
    <s v="type40"/>
    <n v="-2278.14"/>
    <x v="5"/>
    <d v="2023-10-02T06:10:11"/>
    <x v="2"/>
    <d v="2023-10-03T00:00:00"/>
    <n v="7.7429282407392748"/>
    <x v="1"/>
    <x v="15"/>
    <n v="0.74292824073927477"/>
    <x v="15"/>
  </r>
  <r>
    <n v="1019"/>
    <s v="1019111"/>
    <d v="2023-09-25T06:10:11"/>
    <s v="type40"/>
    <n v="38.67"/>
    <x v="5"/>
    <d v="2023-10-02T06:10:11"/>
    <x v="0"/>
    <d v="2023-10-03T00:00:00"/>
    <n v="7.7429282407392748"/>
    <x v="1"/>
    <x v="15"/>
    <n v="0.74292824073927477"/>
    <x v="15"/>
  </r>
  <r>
    <n v="1025"/>
    <s v="1025111"/>
    <d v="2023-09-25T06:10:11"/>
    <s v="type7"/>
    <n v="-1182.6199999999999"/>
    <x v="6"/>
    <d v="2023-10-02T06:10:11"/>
    <x v="5"/>
    <d v="2023-10-03T00:00:00"/>
    <n v="7.7429282407392748"/>
    <x v="1"/>
    <x v="15"/>
    <n v="0.74292824073927477"/>
    <x v="15"/>
  </r>
  <r>
    <n v="1003"/>
    <s v="1003111"/>
    <d v="2023-09-25T06:10:11"/>
    <s v="type7"/>
    <n v="1694.76"/>
    <x v="5"/>
    <d v="2023-10-02T06:10:11"/>
    <x v="3"/>
    <d v="2023-10-03T00:00:00"/>
    <n v="7.7429282407392748"/>
    <x v="1"/>
    <x v="15"/>
    <n v="0.74292824073927477"/>
    <x v="15"/>
  </r>
  <r>
    <n v="1031"/>
    <s v="1031111"/>
    <d v="2023-09-28T06:10:11"/>
    <s v="type7"/>
    <n v="-1185.55"/>
    <x v="4"/>
    <d v="2023-10-05T06:10:11"/>
    <x v="4"/>
    <d v="2023-10-03T00:00:00"/>
    <n v="4.7429282407392748"/>
    <x v="2"/>
    <x v="17"/>
    <n v="-2.2570717592607252"/>
    <x v="17"/>
  </r>
  <r>
    <n v="1003"/>
    <s v="1003111"/>
    <d v="2023-09-18T06:10:11"/>
    <s v="type40"/>
    <n v="10"/>
    <x v="3"/>
    <d v="2023-09-19T06:10:11"/>
    <x v="3"/>
    <d v="2023-10-03T00:00:00"/>
    <n v="14.742928240739275"/>
    <x v="0"/>
    <x v="19"/>
    <n v="13.742928240739275"/>
    <x v="19"/>
  </r>
  <r>
    <n v="1027"/>
    <s v="1027111"/>
    <d v="2023-09-26T06:10:11"/>
    <s v="type40"/>
    <n v="-8786.3700000000008"/>
    <x v="6"/>
    <d v="2023-10-03T06:10:11"/>
    <x v="5"/>
    <d v="2023-10-03T00:00:00"/>
    <n v="6.7429282407392748"/>
    <x v="1"/>
    <x v="16"/>
    <n v="-0.25707175926072523"/>
    <x v="16"/>
  </r>
  <r>
    <n v="1030"/>
    <s v="1030111"/>
    <d v="2023-09-25T06:10:11"/>
    <s v="type40"/>
    <n v="-312.47000000000003"/>
    <x v="6"/>
    <d v="2023-09-26T06:10:11"/>
    <x v="4"/>
    <d v="2023-10-03T00:00:00"/>
    <n v="7.7429282407392748"/>
    <x v="1"/>
    <x v="7"/>
    <n v="6.7429282407392748"/>
    <x v="7"/>
  </r>
  <r>
    <n v="1021"/>
    <s v="1021111"/>
    <d v="2023-09-27T06:10:11"/>
    <s v="type40"/>
    <n v="-1570.26"/>
    <x v="4"/>
    <d v="2023-09-28T06:10:11"/>
    <x v="0"/>
    <d v="2023-10-03T00:00:00"/>
    <n v="5.7429282407392748"/>
    <x v="2"/>
    <x v="8"/>
    <n v="4.7429282407392748"/>
    <x v="8"/>
  </r>
  <r>
    <n v="1024"/>
    <s v="1024111"/>
    <d v="2023-09-26T06:10:11"/>
    <s v="type42"/>
    <n v="451.75"/>
    <x v="2"/>
    <d v="2023-10-03T06:10:11"/>
    <x v="5"/>
    <d v="2023-10-03T00:00:00"/>
    <n v="6.7429282407392748"/>
    <x v="1"/>
    <x v="16"/>
    <n v="-0.25707175926072523"/>
    <x v="16"/>
  </r>
  <r>
    <n v="1015"/>
    <s v="1015111"/>
    <d v="2023-09-26T06:10:11"/>
    <s v="type13"/>
    <n v="13233.04"/>
    <x v="5"/>
    <d v="2023-09-28T06:10:11"/>
    <x v="2"/>
    <d v="2023-10-03T00:00:00"/>
    <n v="6.7429282407392748"/>
    <x v="1"/>
    <x v="8"/>
    <n v="4.7429282407392748"/>
    <x v="8"/>
  </r>
  <r>
    <n v="1009"/>
    <s v="1009111"/>
    <d v="2023-09-26T06:10:11"/>
    <s v="type40"/>
    <n v="526.4"/>
    <x v="6"/>
    <d v="2023-09-27T06:10:11"/>
    <x v="1"/>
    <d v="2023-10-03T00:00:00"/>
    <n v="6.7429282407392748"/>
    <x v="1"/>
    <x v="12"/>
    <n v="5.7429282407392748"/>
    <x v="12"/>
  </r>
  <r>
    <n v="1022"/>
    <s v="1022111"/>
    <d v="2023-09-28T06:10:11"/>
    <s v="type42"/>
    <n v="215"/>
    <x v="4"/>
    <d v="2023-10-03T06:10:11"/>
    <x v="0"/>
    <d v="2023-10-03T00:00:00"/>
    <n v="4.7429282407392748"/>
    <x v="2"/>
    <x v="16"/>
    <n v="-0.25707175926072523"/>
    <x v="16"/>
  </r>
  <r>
    <n v="1013"/>
    <s v="1013111"/>
    <d v="2023-09-25T06:10:11"/>
    <s v="type40"/>
    <n v="303.43"/>
    <x v="5"/>
    <d v="2023-09-27T06:10:11"/>
    <x v="2"/>
    <d v="2023-10-03T00:00:00"/>
    <n v="7.7429282407392748"/>
    <x v="1"/>
    <x v="12"/>
    <n v="5.7429282407392748"/>
    <x v="12"/>
  </r>
  <r>
    <n v="1033"/>
    <s v="1033111"/>
    <d v="2023-09-24T06:10:11"/>
    <s v="type13"/>
    <n v="26109.59"/>
    <x v="5"/>
    <d v="2023-09-26T06:10:11"/>
    <x v="4"/>
    <d v="2023-10-03T00:00:00"/>
    <n v="8.7429282407392748"/>
    <x v="1"/>
    <x v="7"/>
    <n v="6.7429282407392748"/>
    <x v="7"/>
  </r>
  <r>
    <n v="1019"/>
    <s v="1019111"/>
    <d v="2023-09-26T06:10:11"/>
    <s v="type13"/>
    <n v="20687.71"/>
    <x v="3"/>
    <d v="2023-09-27T06:10:11"/>
    <x v="0"/>
    <d v="2023-10-03T00:00:00"/>
    <n v="6.7429282407392748"/>
    <x v="1"/>
    <x v="12"/>
    <n v="5.7429282407392748"/>
    <x v="12"/>
  </r>
  <r>
    <n v="1002"/>
    <s v="1002111"/>
    <d v="2023-09-25T06:10:11"/>
    <s v="type40"/>
    <n v="10.36"/>
    <x v="2"/>
    <d v="2023-09-27T06:10:11"/>
    <x v="3"/>
    <d v="2023-10-03T00:00:00"/>
    <n v="7.7429282407392748"/>
    <x v="1"/>
    <x v="12"/>
    <n v="5.7429282407392748"/>
    <x v="12"/>
  </r>
  <r>
    <n v="1019"/>
    <s v="1019111"/>
    <d v="2023-09-28T06:10:11"/>
    <s v="type40"/>
    <n v="-6093.66"/>
    <x v="3"/>
    <d v="2023-09-29T06:10:11"/>
    <x v="0"/>
    <d v="2023-10-03T00:00:00"/>
    <n v="4.7429282407392748"/>
    <x v="2"/>
    <x v="13"/>
    <n v="3.7429282407392748"/>
    <x v="13"/>
  </r>
  <r>
    <n v="1025"/>
    <s v="1025111"/>
    <d v="2023-09-24T06:10:11"/>
    <s v="type40"/>
    <n v="45.83"/>
    <x v="2"/>
    <d v="2023-10-01T06:10:11"/>
    <x v="5"/>
    <d v="2023-10-03T00:00:00"/>
    <n v="8.7429282407392748"/>
    <x v="1"/>
    <x v="22"/>
    <n v="1.7429282407392748"/>
    <x v="22"/>
  </r>
  <r>
    <n v="1008"/>
    <s v="1008111"/>
    <d v="2023-09-27T06:10:11"/>
    <s v="type38"/>
    <n v="216.98"/>
    <x v="4"/>
    <d v="2023-10-02T06:10:11"/>
    <x v="1"/>
    <d v="2023-10-03T00:00:00"/>
    <n v="5.7429282407392748"/>
    <x v="2"/>
    <x v="15"/>
    <n v="0.74292824073927477"/>
    <x v="15"/>
  </r>
  <r>
    <n v="1012"/>
    <s v="1012111"/>
    <d v="2023-09-26T06:10:11"/>
    <s v="type40"/>
    <n v="433.87"/>
    <x v="5"/>
    <d v="2023-09-27T06:10:11"/>
    <x v="2"/>
    <d v="2023-10-03T00:00:00"/>
    <n v="6.7429282407392748"/>
    <x v="1"/>
    <x v="12"/>
    <n v="5.7429282407392748"/>
    <x v="12"/>
  </r>
  <r>
    <n v="1002"/>
    <s v="1002111"/>
    <d v="2023-09-27T06:10:11"/>
    <s v="type40"/>
    <n v="20"/>
    <x v="4"/>
    <d v="2023-09-28T06:10:11"/>
    <x v="3"/>
    <d v="2023-10-03T00:00:00"/>
    <n v="5.7429282407392748"/>
    <x v="2"/>
    <x v="8"/>
    <n v="4.7429282407392748"/>
    <x v="8"/>
  </r>
  <r>
    <n v="1025"/>
    <s v="1025111"/>
    <d v="2023-09-19T06:10:11"/>
    <s v="type40"/>
    <n v="430.52"/>
    <x v="1"/>
    <d v="2023-09-20T06:10:11"/>
    <x v="5"/>
    <d v="2023-10-03T00:00:00"/>
    <n v="13.742928240739275"/>
    <x v="0"/>
    <x v="9"/>
    <n v="12.742928240739275"/>
    <x v="9"/>
  </r>
  <r>
    <n v="1014"/>
    <s v="1014111"/>
    <d v="2023-09-24T06:10:11"/>
    <s v="type40"/>
    <n v="-1074.6300000000001"/>
    <x v="5"/>
    <d v="2023-09-25T06:10:11"/>
    <x v="2"/>
    <d v="2023-10-03T00:00:00"/>
    <n v="8.7429282407392748"/>
    <x v="1"/>
    <x v="11"/>
    <n v="7.7429282407392748"/>
    <x v="11"/>
  </r>
  <r>
    <n v="1020"/>
    <s v="1020111"/>
    <d v="2023-09-20T06:10:11"/>
    <s v="type26"/>
    <n v="175.05"/>
    <x v="3"/>
    <d v="2023-09-22T06:10:11"/>
    <x v="0"/>
    <d v="2023-10-03T00:00:00"/>
    <n v="12.742928240739275"/>
    <x v="0"/>
    <x v="10"/>
    <n v="10.742928240739275"/>
    <x v="10"/>
  </r>
  <r>
    <n v="1000"/>
    <s v="1000111"/>
    <d v="2023-09-28T06:10:11"/>
    <s v="type40"/>
    <n v="5176.88"/>
    <x v="4"/>
    <d v="2023-09-30T06:10:11"/>
    <x v="3"/>
    <d v="2023-10-03T00:00:00"/>
    <n v="4.7429282407392748"/>
    <x v="2"/>
    <x v="14"/>
    <n v="2.7429282407392748"/>
    <x v="14"/>
  </r>
  <r>
    <n v="1025"/>
    <s v="1025111"/>
    <d v="2023-09-25T06:10:11"/>
    <s v="type40"/>
    <n v="25.11"/>
    <x v="2"/>
    <d v="2023-10-02T06:10:11"/>
    <x v="5"/>
    <d v="2023-10-03T00:00:00"/>
    <n v="7.7429282407392748"/>
    <x v="1"/>
    <x v="15"/>
    <n v="0.74292824073927477"/>
    <x v="15"/>
  </r>
  <r>
    <n v="1024"/>
    <s v="1024111"/>
    <d v="2023-09-22T06:10:11"/>
    <s v="type10"/>
    <n v="40"/>
    <x v="3"/>
    <d v="2023-09-24T06:10:11"/>
    <x v="5"/>
    <d v="2023-10-03T00:00:00"/>
    <n v="10.742928240739275"/>
    <x v="0"/>
    <x v="5"/>
    <n v="8.7429282407392748"/>
    <x v="5"/>
  </r>
  <r>
    <n v="1030"/>
    <s v="1030111"/>
    <d v="2023-09-23T06:10:11"/>
    <s v="type40"/>
    <n v="-379.35"/>
    <x v="3"/>
    <d v="2023-09-25T06:10:11"/>
    <x v="4"/>
    <d v="2023-10-03T00:00:00"/>
    <n v="9.7429282407392748"/>
    <x v="0"/>
    <x v="11"/>
    <n v="7.7429282407392748"/>
    <x v="11"/>
  </r>
  <r>
    <n v="1004"/>
    <s v="1004111"/>
    <d v="2023-09-26T06:10:11"/>
    <s v="type8"/>
    <n v="83.74"/>
    <x v="2"/>
    <d v="2023-10-03T06:10:11"/>
    <x v="3"/>
    <d v="2023-10-03T00:00:00"/>
    <n v="6.7429282407392748"/>
    <x v="1"/>
    <x v="16"/>
    <n v="-0.25707175926072523"/>
    <x v="16"/>
  </r>
  <r>
    <n v="1015"/>
    <s v="1015111"/>
    <d v="2023-09-27T06:10:11"/>
    <s v="type40"/>
    <n v="3514.7"/>
    <x v="4"/>
    <d v="2023-10-04T06:10:11"/>
    <x v="2"/>
    <d v="2023-10-03T00:00:00"/>
    <n v="5.7429282407392748"/>
    <x v="2"/>
    <x v="23"/>
    <n v="-1.2570717592607252"/>
    <x v="23"/>
  </r>
  <r>
    <n v="1010"/>
    <s v="1010111"/>
    <d v="2023-09-25T06:10:11"/>
    <s v="type7"/>
    <n v="-13334.24"/>
    <x v="2"/>
    <d v="2023-09-26T06:10:11"/>
    <x v="1"/>
    <d v="2023-10-03T00:00:00"/>
    <n v="7.7429282407392748"/>
    <x v="1"/>
    <x v="7"/>
    <n v="6.7429282407392748"/>
    <x v="7"/>
  </r>
  <r>
    <n v="1008"/>
    <s v="1008111"/>
    <d v="2023-09-27T06:10:11"/>
    <s v="type40"/>
    <n v="3.99"/>
    <x v="3"/>
    <d v="2023-09-29T06:10:11"/>
    <x v="1"/>
    <d v="2023-10-03T00:00:00"/>
    <n v="5.7429282407392748"/>
    <x v="2"/>
    <x v="13"/>
    <n v="3.7429282407392748"/>
    <x v="13"/>
  </r>
  <r>
    <n v="1002"/>
    <s v="1002111"/>
    <d v="2023-09-26T06:10:11"/>
    <s v="type40"/>
    <n v="-918.24"/>
    <x v="6"/>
    <d v="2023-10-01T06:10:11"/>
    <x v="3"/>
    <d v="2023-10-03T00:00:00"/>
    <n v="6.7429282407392748"/>
    <x v="1"/>
    <x v="22"/>
    <n v="1.7429282407392748"/>
    <x v="22"/>
  </r>
  <r>
    <n v="1019"/>
    <s v="1019111"/>
    <d v="2023-09-10T06:10:11"/>
    <s v="type40"/>
    <n v="624.9"/>
    <x v="1"/>
    <d v="2023-09-12T06:10:11"/>
    <x v="0"/>
    <d v="2023-10-03T00:00:00"/>
    <n v="22.742928240739275"/>
    <x v="0"/>
    <x v="18"/>
    <n v="20.742928240739275"/>
    <x v="18"/>
  </r>
  <r>
    <n v="1006"/>
    <s v="1006111"/>
    <d v="2023-09-27T06:10:11"/>
    <s v="type40"/>
    <n v="-477.61"/>
    <x v="4"/>
    <d v="2023-09-29T06:10:11"/>
    <x v="1"/>
    <d v="2023-10-03T00:00:00"/>
    <n v="5.7429282407392748"/>
    <x v="2"/>
    <x v="13"/>
    <n v="3.7429282407392748"/>
    <x v="13"/>
  </r>
  <r>
    <n v="1015"/>
    <s v="1015111"/>
    <d v="2023-09-12T06:10:11"/>
    <s v="type40"/>
    <n v="1731.12"/>
    <x v="1"/>
    <d v="2023-09-14T06:10:11"/>
    <x v="2"/>
    <d v="2023-10-03T00:00:00"/>
    <n v="20.742928240739275"/>
    <x v="0"/>
    <x v="20"/>
    <n v="18.742928240739275"/>
    <x v="20"/>
  </r>
  <r>
    <n v="1005"/>
    <s v="1005111"/>
    <d v="2023-09-26T06:10:11"/>
    <s v="type40"/>
    <n v="17.12"/>
    <x v="2"/>
    <d v="2023-09-27T06:10:11"/>
    <x v="3"/>
    <d v="2023-10-03T00:00:00"/>
    <n v="6.7429282407392748"/>
    <x v="1"/>
    <x v="12"/>
    <n v="5.7429282407392748"/>
    <x v="12"/>
  </r>
  <r>
    <n v="1002"/>
    <s v="1002111"/>
    <d v="2023-09-28T06:10:11"/>
    <s v="type40"/>
    <n v="4784.99"/>
    <x v="4"/>
    <d v="2023-09-29T06:10:11"/>
    <x v="3"/>
    <d v="2023-10-03T00:00:00"/>
    <n v="4.7429282407392748"/>
    <x v="2"/>
    <x v="13"/>
    <n v="3.7429282407392748"/>
    <x v="13"/>
  </r>
  <r>
    <n v="1030"/>
    <s v="1030111"/>
    <d v="2023-09-26T06:10:11"/>
    <s v="type40"/>
    <n v="10"/>
    <x v="2"/>
    <d v="2023-09-28T06:10:11"/>
    <x v="4"/>
    <d v="2023-10-03T00:00:00"/>
    <n v="6.7429282407392748"/>
    <x v="1"/>
    <x v="8"/>
    <n v="4.7429282407392748"/>
    <x v="8"/>
  </r>
  <r>
    <n v="1013"/>
    <s v="1013111"/>
    <d v="2023-09-24T06:10:11"/>
    <s v="type13"/>
    <n v="37957.07"/>
    <x v="2"/>
    <d v="2023-09-29T06:10:11"/>
    <x v="2"/>
    <d v="2023-10-03T00:00:00"/>
    <n v="8.7429282407392748"/>
    <x v="1"/>
    <x v="13"/>
    <n v="3.7429282407392748"/>
    <x v="13"/>
  </r>
  <r>
    <n v="1032"/>
    <s v="1032111"/>
    <d v="2023-09-15T06:10:11"/>
    <s v="type40"/>
    <n v="31.25"/>
    <x v="1"/>
    <d v="2023-09-17T06:10:11"/>
    <x v="4"/>
    <d v="2023-10-03T00:00:00"/>
    <n v="17.742928240739275"/>
    <x v="0"/>
    <x v="4"/>
    <n v="15.742928240739275"/>
    <x v="4"/>
  </r>
  <r>
    <n v="1006"/>
    <s v="1006111"/>
    <d v="2023-09-24T06:10:11"/>
    <s v="type5"/>
    <n v="965"/>
    <x v="6"/>
    <d v="2023-10-01T06:10:11"/>
    <x v="1"/>
    <d v="2023-10-03T00:00:00"/>
    <n v="8.7429282407392748"/>
    <x v="1"/>
    <x v="22"/>
    <n v="1.7429282407392748"/>
    <x v="22"/>
  </r>
  <r>
    <n v="1001"/>
    <s v="1001111"/>
    <d v="2023-09-16T06:10:11"/>
    <s v="type40"/>
    <n v="-367.69"/>
    <x v="3"/>
    <d v="2023-09-18T06:10:11"/>
    <x v="3"/>
    <d v="2023-10-03T00:00:00"/>
    <n v="16.742928240739275"/>
    <x v="0"/>
    <x v="6"/>
    <n v="14.742928240739275"/>
    <x v="6"/>
  </r>
  <r>
    <n v="1020"/>
    <s v="1020111"/>
    <d v="2023-09-28T06:10:11"/>
    <s v="type40"/>
    <n v="-1296.2"/>
    <x v="4"/>
    <d v="2023-09-30T06:10:11"/>
    <x v="0"/>
    <d v="2023-10-03T00:00:00"/>
    <n v="4.7429282407392748"/>
    <x v="2"/>
    <x v="14"/>
    <n v="2.7429282407392748"/>
    <x v="14"/>
  </r>
  <r>
    <n v="1034"/>
    <s v="1034111"/>
    <d v="2023-09-24T06:10:11"/>
    <s v="type40"/>
    <n v="-325.37"/>
    <x v="6"/>
    <d v="2023-10-01T06:10:11"/>
    <x v="4"/>
    <d v="2023-10-03T00:00:00"/>
    <n v="8.7429282407392748"/>
    <x v="1"/>
    <x v="22"/>
    <n v="1.7429282407392748"/>
    <x v="22"/>
  </r>
  <r>
    <n v="1031"/>
    <s v="1031111"/>
    <d v="2023-09-25T06:10:11"/>
    <s v="type13"/>
    <n v="28140"/>
    <x v="2"/>
    <d v="2023-09-30T06:10:11"/>
    <x v="4"/>
    <d v="2023-10-03T00:00:00"/>
    <n v="7.7429282407392748"/>
    <x v="1"/>
    <x v="14"/>
    <n v="2.7429282407392748"/>
    <x v="14"/>
  </r>
  <r>
    <n v="1008"/>
    <s v="1008111"/>
    <d v="2023-09-18T06:10:11"/>
    <s v="type40"/>
    <n v="-631.15"/>
    <x v="1"/>
    <d v="2023-09-23T06:10:11"/>
    <x v="1"/>
    <d v="2023-10-03T00:00:00"/>
    <n v="14.742928240739275"/>
    <x v="0"/>
    <x v="3"/>
    <n v="9.7429282407392748"/>
    <x v="3"/>
  </r>
  <r>
    <n v="1000"/>
    <s v="1000111"/>
    <d v="2023-09-25T06:10:11"/>
    <s v="type40"/>
    <n v="1100.3800000000001"/>
    <x v="2"/>
    <d v="2023-09-27T06:10:11"/>
    <x v="3"/>
    <d v="2023-10-03T00:00:00"/>
    <n v="7.7429282407392748"/>
    <x v="1"/>
    <x v="12"/>
    <n v="5.7429282407392748"/>
    <x v="12"/>
  </r>
  <r>
    <n v="1035"/>
    <s v="1035111"/>
    <d v="2023-09-26T06:10:11"/>
    <s v="type40"/>
    <n v="38.049999999999997"/>
    <x v="2"/>
    <d v="2023-10-03T06:10:11"/>
    <x v="4"/>
    <d v="2023-10-03T00:00:00"/>
    <n v="6.7429282407392748"/>
    <x v="1"/>
    <x v="16"/>
    <n v="-0.25707175926072523"/>
    <x v="16"/>
  </r>
  <r>
    <n v="1024"/>
    <s v="1024111"/>
    <d v="2023-09-24T06:10:11"/>
    <s v="type13"/>
    <n v="47973.63"/>
    <x v="2"/>
    <d v="2023-10-01T06:10:11"/>
    <x v="5"/>
    <d v="2023-10-03T00:00:00"/>
    <n v="8.7429282407392748"/>
    <x v="1"/>
    <x v="22"/>
    <n v="1.7429282407392748"/>
    <x v="22"/>
  </r>
  <r>
    <n v="1007"/>
    <s v="1007111"/>
    <d v="2023-09-28T06:10:11"/>
    <s v="type40"/>
    <n v="3002.29"/>
    <x v="4"/>
    <d v="2023-10-05T06:10:11"/>
    <x v="1"/>
    <d v="2023-10-03T00:00:00"/>
    <n v="4.7429282407392748"/>
    <x v="2"/>
    <x v="17"/>
    <n v="-2.2570717592607252"/>
    <x v="17"/>
  </r>
  <r>
    <n v="1028"/>
    <s v="1028111"/>
    <d v="2023-09-25T06:10:11"/>
    <s v="type13"/>
    <n v="26683.040000000001"/>
    <x v="6"/>
    <d v="2023-09-26T06:10:11"/>
    <x v="5"/>
    <d v="2023-10-03T00:00:00"/>
    <n v="7.7429282407392748"/>
    <x v="1"/>
    <x v="7"/>
    <n v="6.7429282407392748"/>
    <x v="7"/>
  </r>
  <r>
    <n v="1004"/>
    <s v="1004111"/>
    <d v="2023-09-22T06:10:11"/>
    <s v="type40"/>
    <n v="-471.93"/>
    <x v="3"/>
    <d v="2023-09-29T06:10:11"/>
    <x v="3"/>
    <d v="2023-10-03T00:00:00"/>
    <n v="10.742928240739275"/>
    <x v="0"/>
    <x v="13"/>
    <n v="3.7429282407392748"/>
    <x v="13"/>
  </r>
  <r>
    <n v="1006"/>
    <s v="1006111"/>
    <d v="2023-09-25T06:10:11"/>
    <s v="type40"/>
    <n v="426.99"/>
    <x v="5"/>
    <d v="2023-09-27T06:10:11"/>
    <x v="1"/>
    <d v="2023-10-03T00:00:00"/>
    <n v="7.7429282407392748"/>
    <x v="1"/>
    <x v="12"/>
    <n v="5.7429282407392748"/>
    <x v="12"/>
  </r>
  <r>
    <n v="1008"/>
    <s v="1008111"/>
    <d v="2023-09-24T06:10:11"/>
    <s v="type15"/>
    <n v="-1616.8"/>
    <x v="1"/>
    <d v="2023-10-01T06:10:11"/>
    <x v="1"/>
    <d v="2023-10-03T00:00:00"/>
    <n v="8.7429282407392748"/>
    <x v="1"/>
    <x v="22"/>
    <n v="1.7429282407392748"/>
    <x v="22"/>
  </r>
  <r>
    <n v="1025"/>
    <s v="1025111"/>
    <d v="2023-09-25T06:10:11"/>
    <s v="type40"/>
    <n v="994.56"/>
    <x v="3"/>
    <d v="2023-10-02T06:10:11"/>
    <x v="5"/>
    <d v="2023-10-03T00:00:00"/>
    <n v="7.7429282407392748"/>
    <x v="1"/>
    <x v="15"/>
    <n v="0.74292824073927477"/>
    <x v="15"/>
  </r>
  <r>
    <n v="1016"/>
    <s v="1016111"/>
    <d v="2023-09-25T06:10:11"/>
    <s v="type40"/>
    <n v="-7785.99"/>
    <x v="5"/>
    <d v="2023-09-26T06:10:11"/>
    <x v="2"/>
    <d v="2023-10-03T00:00:00"/>
    <n v="7.7429282407392748"/>
    <x v="1"/>
    <x v="7"/>
    <n v="6.7429282407392748"/>
    <x v="7"/>
  </r>
  <r>
    <n v="1000"/>
    <s v="1000111"/>
    <d v="2023-09-27T06:10:11"/>
    <s v="type40"/>
    <n v="302.12"/>
    <x v="1"/>
    <d v="2023-10-04T06:10:11"/>
    <x v="3"/>
    <d v="2023-10-03T00:00:00"/>
    <n v="5.7429282407392748"/>
    <x v="2"/>
    <x v="23"/>
    <n v="-1.2570717592607252"/>
    <x v="23"/>
  </r>
  <r>
    <n v="1034"/>
    <s v="1034111"/>
    <d v="2023-09-27T06:10:11"/>
    <s v="type40"/>
    <n v="416"/>
    <x v="4"/>
    <d v="2023-10-04T06:10:11"/>
    <x v="4"/>
    <d v="2023-10-03T00:00:00"/>
    <n v="5.7429282407392748"/>
    <x v="2"/>
    <x v="23"/>
    <n v="-1.2570717592607252"/>
    <x v="23"/>
  </r>
  <r>
    <n v="1032"/>
    <s v="1032111"/>
    <d v="2023-09-16T06:10:11"/>
    <s v="type40"/>
    <n v="-681.93"/>
    <x v="3"/>
    <d v="2023-09-23T06:10:11"/>
    <x v="4"/>
    <d v="2023-10-03T00:00:00"/>
    <n v="16.742928240739275"/>
    <x v="0"/>
    <x v="3"/>
    <n v="9.7429282407392748"/>
    <x v="3"/>
  </r>
  <r>
    <n v="1021"/>
    <s v="1021111"/>
    <d v="2023-09-17T06:10:11"/>
    <s v="type40"/>
    <n v="-394.02"/>
    <x v="1"/>
    <d v="2023-09-24T06:10:11"/>
    <x v="0"/>
    <d v="2023-10-03T00:00:00"/>
    <n v="15.742928240739275"/>
    <x v="0"/>
    <x v="5"/>
    <n v="8.7429282407392748"/>
    <x v="5"/>
  </r>
  <r>
    <n v="1027"/>
    <s v="1027111"/>
    <d v="2023-09-25T06:10:11"/>
    <s v="type40"/>
    <n v="34663.18"/>
    <x v="6"/>
    <d v="2023-09-27T06:10:11"/>
    <x v="5"/>
    <d v="2023-10-03T00:00:00"/>
    <n v="7.7429282407392748"/>
    <x v="1"/>
    <x v="12"/>
    <n v="5.7429282407392748"/>
    <x v="12"/>
  </r>
  <r>
    <n v="1005"/>
    <s v="1005111"/>
    <d v="2023-09-24T06:10:11"/>
    <s v="type40"/>
    <n v="-641.4"/>
    <x v="5"/>
    <d v="2023-10-01T06:10:11"/>
    <x v="3"/>
    <d v="2023-10-03T00:00:00"/>
    <n v="8.7429282407392748"/>
    <x v="1"/>
    <x v="22"/>
    <n v="1.7429282407392748"/>
    <x v="22"/>
  </r>
  <r>
    <n v="1022"/>
    <s v="1022111"/>
    <d v="2023-09-25T06:10:11"/>
    <s v="type33"/>
    <n v="330.2"/>
    <x v="6"/>
    <d v="2023-09-27T06:10:11"/>
    <x v="0"/>
    <d v="2023-10-03T00:00:00"/>
    <n v="7.7429282407392748"/>
    <x v="1"/>
    <x v="12"/>
    <n v="5.7429282407392748"/>
    <x v="12"/>
  </r>
  <r>
    <n v="1017"/>
    <s v="1017111"/>
    <d v="2023-09-28T06:10:11"/>
    <s v="type41"/>
    <n v="426.09"/>
    <x v="4"/>
    <d v="2023-09-30T06:10:11"/>
    <x v="2"/>
    <d v="2023-10-03T00:00:00"/>
    <n v="4.7429282407392748"/>
    <x v="2"/>
    <x v="14"/>
    <n v="2.7429282407392748"/>
    <x v="14"/>
  </r>
  <r>
    <n v="1019"/>
    <s v="1019111"/>
    <d v="2023-09-26T06:10:11"/>
    <s v="type40"/>
    <n v="-2712.98"/>
    <x v="5"/>
    <d v="2023-10-03T06:10:11"/>
    <x v="0"/>
    <d v="2023-10-03T00:00:00"/>
    <n v="6.7429282407392748"/>
    <x v="1"/>
    <x v="16"/>
    <n v="-0.25707175926072523"/>
    <x v="16"/>
  </r>
  <r>
    <n v="1007"/>
    <s v="1007111"/>
    <d v="2023-09-21T06:10:11"/>
    <s v="type8"/>
    <n v="54.59"/>
    <x v="3"/>
    <d v="2023-09-28T06:10:11"/>
    <x v="1"/>
    <d v="2023-10-03T00:00:00"/>
    <n v="11.742928240739275"/>
    <x v="0"/>
    <x v="8"/>
    <n v="4.7429282407392748"/>
    <x v="8"/>
  </r>
  <r>
    <n v="1013"/>
    <s v="1013111"/>
    <d v="2023-09-28T06:10:11"/>
    <s v="type8"/>
    <n v="55"/>
    <x v="4"/>
    <d v="2023-09-29T06:10:11"/>
    <x v="2"/>
    <d v="2023-10-03T00:00:00"/>
    <n v="4.7429282407392748"/>
    <x v="2"/>
    <x v="13"/>
    <n v="3.7429282407392748"/>
    <x v="13"/>
  </r>
  <r>
    <n v="1014"/>
    <s v="1014111"/>
    <d v="2023-09-26T06:10:11"/>
    <s v="type40"/>
    <n v="-441.03"/>
    <x v="5"/>
    <d v="2023-10-01T06:10:11"/>
    <x v="2"/>
    <d v="2023-10-03T00:00:00"/>
    <n v="6.7429282407392748"/>
    <x v="1"/>
    <x v="22"/>
    <n v="1.7429282407392748"/>
    <x v="22"/>
  </r>
  <r>
    <n v="1026"/>
    <s v="1026111"/>
    <d v="2023-09-23T06:10:11"/>
    <s v="type40"/>
    <n v="2962.27"/>
    <x v="3"/>
    <d v="2023-09-30T06:10:11"/>
    <x v="5"/>
    <d v="2023-10-03T00:00:00"/>
    <n v="9.7429282407392748"/>
    <x v="0"/>
    <x v="14"/>
    <n v="2.7429282407392748"/>
    <x v="14"/>
  </r>
  <r>
    <n v="1035"/>
    <s v="1035111"/>
    <d v="2023-09-24T06:10:11"/>
    <s v="type40"/>
    <n v="353.47"/>
    <x v="3"/>
    <d v="2023-09-25T06:10:11"/>
    <x v="4"/>
    <d v="2023-10-03T00:00:00"/>
    <n v="8.7429282407392748"/>
    <x v="1"/>
    <x v="11"/>
    <n v="7.7429282407392748"/>
    <x v="11"/>
  </r>
  <r>
    <n v="1033"/>
    <s v="1033111"/>
    <d v="2023-09-25T06:10:11"/>
    <s v="type53"/>
    <n v="176"/>
    <x v="3"/>
    <d v="2023-09-26T06:10:11"/>
    <x v="4"/>
    <d v="2023-10-03T00:00:00"/>
    <n v="7.7429282407392748"/>
    <x v="1"/>
    <x v="7"/>
    <n v="6.7429282407392748"/>
    <x v="7"/>
  </r>
  <r>
    <n v="1030"/>
    <s v="1030111"/>
    <d v="2023-09-28T06:10:11"/>
    <s v="type40"/>
    <n v="3387.22"/>
    <x v="4"/>
    <d v="2023-10-05T06:10:11"/>
    <x v="4"/>
    <d v="2023-10-03T00:00:00"/>
    <n v="4.7429282407392748"/>
    <x v="2"/>
    <x v="17"/>
    <n v="-2.2570717592607252"/>
    <x v="17"/>
  </r>
  <r>
    <n v="1029"/>
    <s v="1029111"/>
    <d v="2023-09-25T06:10:11"/>
    <s v="type13"/>
    <n v="29995"/>
    <x v="2"/>
    <d v="2023-10-02T06:10:11"/>
    <x v="5"/>
    <d v="2023-10-03T00:00:00"/>
    <n v="7.7429282407392748"/>
    <x v="1"/>
    <x v="15"/>
    <n v="0.74292824073927477"/>
    <x v="15"/>
  </r>
  <r>
    <n v="1028"/>
    <s v="1028111"/>
    <d v="2023-09-24T06:10:11"/>
    <s v="type40"/>
    <n v="6.9"/>
    <x v="6"/>
    <d v="2023-09-26T06:10:11"/>
    <x v="5"/>
    <d v="2023-10-03T00:00:00"/>
    <n v="8.7429282407392748"/>
    <x v="1"/>
    <x v="7"/>
    <n v="6.7429282407392748"/>
    <x v="7"/>
  </r>
  <r>
    <n v="1026"/>
    <s v="1026111"/>
    <d v="2023-09-28T06:10:11"/>
    <s v="type52"/>
    <n v="492.75"/>
    <x v="4"/>
    <d v="2023-10-05T06:10:11"/>
    <x v="5"/>
    <d v="2023-10-03T00:00:00"/>
    <n v="4.7429282407392748"/>
    <x v="2"/>
    <x v="17"/>
    <n v="-2.2570717592607252"/>
    <x v="17"/>
  </r>
  <r>
    <n v="1015"/>
    <s v="1015111"/>
    <d v="2023-09-25T06:10:11"/>
    <s v="type40"/>
    <n v="-310.89999999999998"/>
    <x v="6"/>
    <d v="2023-09-30T06:10:11"/>
    <x v="2"/>
    <d v="2023-10-03T00:00:00"/>
    <n v="7.7429282407392748"/>
    <x v="1"/>
    <x v="14"/>
    <n v="2.7429282407392748"/>
    <x v="14"/>
  </r>
  <r>
    <n v="1014"/>
    <s v="1014111"/>
    <d v="2023-09-26T06:10:11"/>
    <s v="type15"/>
    <n v="4157.62"/>
    <x v="6"/>
    <d v="2023-10-03T06:10:11"/>
    <x v="2"/>
    <d v="2023-10-03T00:00:00"/>
    <n v="6.7429282407392748"/>
    <x v="1"/>
    <x v="16"/>
    <n v="-0.25707175926072523"/>
    <x v="16"/>
  </r>
  <r>
    <n v="1031"/>
    <s v="1031111"/>
    <d v="2023-09-24T06:10:11"/>
    <s v="type2"/>
    <n v="1108"/>
    <x v="2"/>
    <d v="2023-09-26T06:10:11"/>
    <x v="4"/>
    <d v="2023-10-03T00:00:00"/>
    <n v="8.7429282407392748"/>
    <x v="1"/>
    <x v="7"/>
    <n v="6.7429282407392748"/>
    <x v="7"/>
  </r>
  <r>
    <n v="1012"/>
    <s v="1012111"/>
    <d v="2023-09-13T06:10:11"/>
    <s v="type40"/>
    <n v="-347.12"/>
    <x v="3"/>
    <d v="2023-09-14T06:10:11"/>
    <x v="2"/>
    <d v="2023-10-03T00:00:00"/>
    <n v="19.742928240739275"/>
    <x v="0"/>
    <x v="20"/>
    <n v="18.742928240739275"/>
    <x v="20"/>
  </r>
  <r>
    <n v="1017"/>
    <s v="1017111"/>
    <d v="2023-09-27T06:10:11"/>
    <s v="type7"/>
    <n v="1875.7"/>
    <x v="4"/>
    <d v="2023-09-29T06:10:11"/>
    <x v="2"/>
    <d v="2023-10-03T00:00:00"/>
    <n v="5.7429282407392748"/>
    <x v="2"/>
    <x v="13"/>
    <n v="3.7429282407392748"/>
    <x v="13"/>
  </r>
  <r>
    <n v="1011"/>
    <s v="1011111"/>
    <d v="2023-09-24T06:10:11"/>
    <s v="type38"/>
    <n v="150.4"/>
    <x v="6"/>
    <d v="2023-10-01T06:10:11"/>
    <x v="1"/>
    <d v="2023-10-03T00:00:00"/>
    <n v="8.7429282407392748"/>
    <x v="1"/>
    <x v="22"/>
    <n v="1.7429282407392748"/>
    <x v="22"/>
  </r>
  <r>
    <n v="1016"/>
    <s v="1016111"/>
    <d v="2023-09-15T06:10:11"/>
    <s v="type40"/>
    <n v="-464.4"/>
    <x v="1"/>
    <d v="2023-09-16T06:10:11"/>
    <x v="2"/>
    <d v="2023-10-03T00:00:00"/>
    <n v="17.742928240739275"/>
    <x v="0"/>
    <x v="2"/>
    <n v="16.742928240739275"/>
    <x v="2"/>
  </r>
  <r>
    <n v="1011"/>
    <s v="1011111"/>
    <d v="2023-09-25T06:10:11"/>
    <s v="type40"/>
    <n v="555.41999999999996"/>
    <x v="5"/>
    <d v="2023-10-02T06:10:11"/>
    <x v="1"/>
    <d v="2023-10-03T00:00:00"/>
    <n v="7.7429282407392748"/>
    <x v="1"/>
    <x v="15"/>
    <n v="0.74292824073927477"/>
    <x v="15"/>
  </r>
  <r>
    <n v="1019"/>
    <s v="1019111"/>
    <d v="2023-09-25T06:10:11"/>
    <s v="type40"/>
    <n v="2389.7600000000002"/>
    <x v="2"/>
    <d v="2023-09-27T06:10:11"/>
    <x v="0"/>
    <d v="2023-10-03T00:00:00"/>
    <n v="7.7429282407392748"/>
    <x v="1"/>
    <x v="12"/>
    <n v="5.7429282407392748"/>
    <x v="12"/>
  </r>
  <r>
    <n v="1035"/>
    <s v="1035111"/>
    <d v="2023-09-24T06:10:11"/>
    <s v="type13"/>
    <n v="31371.87"/>
    <x v="2"/>
    <d v="2023-09-26T06:10:11"/>
    <x v="4"/>
    <d v="2023-10-03T00:00:00"/>
    <n v="8.7429282407392748"/>
    <x v="1"/>
    <x v="7"/>
    <n v="6.7429282407392748"/>
    <x v="7"/>
  </r>
  <r>
    <n v="1033"/>
    <s v="1033111"/>
    <d v="2023-09-25T06:10:11"/>
    <s v="type40"/>
    <n v="11.99"/>
    <x v="2"/>
    <d v="2023-10-02T06:10:11"/>
    <x v="4"/>
    <d v="2023-10-03T00:00:00"/>
    <n v="7.7429282407392748"/>
    <x v="1"/>
    <x v="15"/>
    <n v="0.74292824073927477"/>
    <x v="15"/>
  </r>
  <r>
    <n v="1029"/>
    <s v="1029111"/>
    <d v="2023-09-24T06:10:11"/>
    <s v="type40"/>
    <n v="-716.33"/>
    <x v="2"/>
    <d v="2023-10-01T06:10:11"/>
    <x v="5"/>
    <d v="2023-10-03T00:00:00"/>
    <n v="8.7429282407392748"/>
    <x v="1"/>
    <x v="22"/>
    <n v="1.7429282407392748"/>
    <x v="22"/>
  </r>
  <r>
    <n v="1011"/>
    <s v="1011111"/>
    <d v="2023-09-27T06:10:11"/>
    <s v="type40"/>
    <n v="4273"/>
    <x v="4"/>
    <d v="2023-09-29T06:10:11"/>
    <x v="1"/>
    <d v="2023-10-03T00:00:00"/>
    <n v="5.7429282407392748"/>
    <x v="2"/>
    <x v="13"/>
    <n v="3.7429282407392748"/>
    <x v="13"/>
  </r>
  <r>
    <n v="1003"/>
    <s v="1003111"/>
    <d v="2023-09-25T06:10:11"/>
    <s v="type40"/>
    <n v="2004.8"/>
    <x v="2"/>
    <d v="2023-10-02T06:10:11"/>
    <x v="3"/>
    <d v="2023-10-03T00:00:00"/>
    <n v="7.7429282407392748"/>
    <x v="1"/>
    <x v="15"/>
    <n v="0.74292824073927477"/>
    <x v="15"/>
  </r>
  <r>
    <n v="1024"/>
    <s v="1024111"/>
    <d v="2023-09-27T06:10:11"/>
    <s v="type40"/>
    <n v="-361.11"/>
    <x v="4"/>
    <d v="2023-10-04T06:10:11"/>
    <x v="5"/>
    <d v="2023-10-03T00:00:00"/>
    <n v="5.7429282407392748"/>
    <x v="2"/>
    <x v="23"/>
    <n v="-1.2570717592607252"/>
    <x v="23"/>
  </r>
  <r>
    <n v="1021"/>
    <s v="1021111"/>
    <d v="2023-09-27T06:10:11"/>
    <s v="type28"/>
    <n v="514.27"/>
    <x v="4"/>
    <d v="2023-09-29T06:10:11"/>
    <x v="0"/>
    <d v="2023-10-03T00:00:00"/>
    <n v="5.7429282407392748"/>
    <x v="2"/>
    <x v="13"/>
    <n v="3.7429282407392748"/>
    <x v="13"/>
  </r>
  <r>
    <n v="1034"/>
    <s v="1034111"/>
    <d v="2023-09-24T06:10:11"/>
    <s v="type13"/>
    <n v="26187.8"/>
    <x v="6"/>
    <d v="2023-10-01T06:10:11"/>
    <x v="4"/>
    <d v="2023-10-03T00:00:00"/>
    <n v="8.7429282407392748"/>
    <x v="1"/>
    <x v="22"/>
    <n v="1.7429282407392748"/>
    <x v="22"/>
  </r>
  <r>
    <n v="1013"/>
    <s v="1013111"/>
    <d v="2023-09-26T06:10:11"/>
    <s v="type40"/>
    <n v="-462.43"/>
    <x v="6"/>
    <d v="2023-10-01T06:10:11"/>
    <x v="2"/>
    <d v="2023-10-03T00:00:00"/>
    <n v="6.7429282407392748"/>
    <x v="1"/>
    <x v="22"/>
    <n v="1.7429282407392748"/>
    <x v="22"/>
  </r>
  <r>
    <n v="1014"/>
    <s v="1014111"/>
    <d v="2023-09-25T06:10:11"/>
    <s v="type40"/>
    <n v="-390.2"/>
    <x v="5"/>
    <d v="2023-09-27T06:10:11"/>
    <x v="2"/>
    <d v="2023-10-03T00:00:00"/>
    <n v="7.7429282407392748"/>
    <x v="1"/>
    <x v="12"/>
    <n v="5.7429282407392748"/>
    <x v="12"/>
  </r>
  <r>
    <n v="1015"/>
    <s v="1015111"/>
    <d v="2023-09-26T06:10:11"/>
    <s v="type13"/>
    <n v="25960.94"/>
    <x v="0"/>
    <d v="2023-09-28T06:10:11"/>
    <x v="2"/>
    <d v="2023-10-03T00:00:00"/>
    <n v="6.7429282407392748"/>
    <x v="1"/>
    <x v="8"/>
    <n v="4.7429282407392748"/>
    <x v="8"/>
  </r>
  <r>
    <n v="1005"/>
    <s v="1005111"/>
    <d v="2023-09-27T06:10:11"/>
    <s v="type40"/>
    <n v="2221.58"/>
    <x v="4"/>
    <d v="2023-10-02T06:10:11"/>
    <x v="3"/>
    <d v="2023-10-03T00:00:00"/>
    <n v="5.7429282407392748"/>
    <x v="2"/>
    <x v="15"/>
    <n v="0.74292824073927477"/>
    <x v="15"/>
  </r>
  <r>
    <n v="1001"/>
    <s v="1001111"/>
    <d v="2023-09-26T06:10:11"/>
    <s v="type40"/>
    <n v="-543.75"/>
    <x v="5"/>
    <d v="2023-09-28T06:10:11"/>
    <x v="3"/>
    <d v="2023-10-03T00:00:00"/>
    <n v="6.7429282407392748"/>
    <x v="1"/>
    <x v="8"/>
    <n v="4.7429282407392748"/>
    <x v="8"/>
  </r>
  <r>
    <n v="1006"/>
    <s v="1006111"/>
    <d v="2023-09-26T06:10:11"/>
    <s v="type40"/>
    <n v="-472.95"/>
    <x v="0"/>
    <d v="2023-10-01T06:10:11"/>
    <x v="1"/>
    <d v="2023-10-03T00:00:00"/>
    <n v="6.7429282407392748"/>
    <x v="1"/>
    <x v="22"/>
    <n v="1.7429282407392748"/>
    <x v="22"/>
  </r>
  <r>
    <n v="1025"/>
    <s v="1025111"/>
    <d v="2023-09-27T06:10:11"/>
    <s v="type40"/>
    <n v="53.26"/>
    <x v="4"/>
    <d v="2023-09-29T06:10:11"/>
    <x v="5"/>
    <d v="2023-10-03T00:00:00"/>
    <n v="5.7429282407392748"/>
    <x v="2"/>
    <x v="13"/>
    <n v="3.7429282407392748"/>
    <x v="13"/>
  </r>
  <r>
    <n v="1020"/>
    <s v="1020111"/>
    <d v="2023-09-28T06:10:11"/>
    <s v="type13"/>
    <n v="33945.9"/>
    <x v="4"/>
    <d v="2023-09-29T06:10:11"/>
    <x v="0"/>
    <d v="2023-10-03T00:00:00"/>
    <n v="4.7429282407392748"/>
    <x v="2"/>
    <x v="13"/>
    <n v="3.7429282407392748"/>
    <x v="13"/>
  </r>
  <r>
    <n v="1015"/>
    <s v="1015111"/>
    <d v="2023-09-28T06:10:11"/>
    <s v="type40"/>
    <n v="-12111.81"/>
    <x v="4"/>
    <d v="2023-09-30T06:10:11"/>
    <x v="2"/>
    <d v="2023-10-03T00:00:00"/>
    <n v="4.7429282407392748"/>
    <x v="2"/>
    <x v="14"/>
    <n v="2.7429282407392748"/>
    <x v="14"/>
  </r>
  <r>
    <n v="1015"/>
    <s v="1015111"/>
    <d v="2023-09-28T06:10:11"/>
    <s v="type40"/>
    <n v="929.27"/>
    <x v="4"/>
    <d v="2023-09-29T06:10:11"/>
    <x v="2"/>
    <d v="2023-10-03T00:00:00"/>
    <n v="4.7429282407392748"/>
    <x v="2"/>
    <x v="13"/>
    <n v="3.7429282407392748"/>
    <x v="13"/>
  </r>
  <r>
    <n v="1002"/>
    <s v="1002111"/>
    <d v="2023-09-18T06:10:11"/>
    <s v="type40"/>
    <n v="1900.64"/>
    <x v="3"/>
    <d v="2023-09-20T06:10:11"/>
    <x v="3"/>
    <d v="2023-10-03T00:00:00"/>
    <n v="14.742928240739275"/>
    <x v="0"/>
    <x v="9"/>
    <n v="12.742928240739275"/>
    <x v="9"/>
  </r>
  <r>
    <n v="1033"/>
    <s v="1033111"/>
    <d v="2023-09-28T06:10:11"/>
    <s v="type40"/>
    <n v="13.55"/>
    <x v="4"/>
    <d v="2023-09-29T06:10:11"/>
    <x v="4"/>
    <d v="2023-10-03T00:00:00"/>
    <n v="4.7429282407392748"/>
    <x v="2"/>
    <x v="13"/>
    <n v="3.7429282407392748"/>
    <x v="13"/>
  </r>
  <r>
    <n v="1028"/>
    <s v="1028111"/>
    <d v="2023-09-19T06:10:11"/>
    <s v="type40"/>
    <n v="-8502.2199999999993"/>
    <x v="1"/>
    <d v="2023-09-21T06:10:11"/>
    <x v="5"/>
    <d v="2023-10-03T00:00:00"/>
    <n v="13.742928240739275"/>
    <x v="0"/>
    <x v="1"/>
    <n v="11.742928240739275"/>
    <x v="1"/>
  </r>
  <r>
    <n v="1032"/>
    <s v="1032111"/>
    <d v="2023-09-20T06:10:11"/>
    <s v="type40"/>
    <n v="4337.4799999999996"/>
    <x v="3"/>
    <d v="2023-09-22T06:10:11"/>
    <x v="4"/>
    <d v="2023-10-03T00:00:00"/>
    <n v="12.742928240739275"/>
    <x v="0"/>
    <x v="10"/>
    <n v="10.742928240739275"/>
    <x v="10"/>
  </r>
  <r>
    <n v="1026"/>
    <s v="1026111"/>
    <d v="2023-09-27T06:10:11"/>
    <s v="type40"/>
    <n v="365.33"/>
    <x v="4"/>
    <d v="2023-09-29T06:10:11"/>
    <x v="5"/>
    <d v="2023-10-03T00:00:00"/>
    <n v="5.7429282407392748"/>
    <x v="2"/>
    <x v="13"/>
    <n v="3.7429282407392748"/>
    <x v="13"/>
  </r>
  <r>
    <n v="1005"/>
    <s v="1005111"/>
    <d v="2023-09-21T06:10:11"/>
    <s v="type40"/>
    <n v="484.13"/>
    <x v="3"/>
    <d v="2023-09-23T06:10:11"/>
    <x v="3"/>
    <d v="2023-10-03T00:00:00"/>
    <n v="11.742928240739275"/>
    <x v="0"/>
    <x v="3"/>
    <n v="9.7429282407392748"/>
    <x v="3"/>
  </r>
  <r>
    <n v="1017"/>
    <s v="1017111"/>
    <d v="2023-09-21T06:10:11"/>
    <s v="type40"/>
    <n v="914.47"/>
    <x v="3"/>
    <d v="2023-09-26T06:10:11"/>
    <x v="2"/>
    <d v="2023-10-03T00:00:00"/>
    <n v="11.742928240739275"/>
    <x v="0"/>
    <x v="7"/>
    <n v="6.7429282407392748"/>
    <x v="7"/>
  </r>
  <r>
    <n v="1005"/>
    <s v="1005111"/>
    <d v="2023-09-25T06:10:11"/>
    <s v="type43"/>
    <n v="405.3"/>
    <x v="2"/>
    <d v="2023-09-27T06:10:11"/>
    <x v="3"/>
    <d v="2023-10-03T00:00:00"/>
    <n v="7.7429282407392748"/>
    <x v="1"/>
    <x v="12"/>
    <n v="5.7429282407392748"/>
    <x v="12"/>
  </r>
  <r>
    <n v="1006"/>
    <s v="1006111"/>
    <d v="2023-09-28T06:10:11"/>
    <s v="type40"/>
    <n v="779.73"/>
    <x v="4"/>
    <d v="2023-09-30T06:10:11"/>
    <x v="1"/>
    <d v="2023-10-03T00:00:00"/>
    <n v="4.7429282407392748"/>
    <x v="2"/>
    <x v="14"/>
    <n v="2.7429282407392748"/>
    <x v="14"/>
  </r>
  <r>
    <n v="1026"/>
    <s v="1026111"/>
    <d v="2023-09-24T06:10:11"/>
    <s v="type38"/>
    <n v="215.64"/>
    <x v="0"/>
    <d v="2023-10-01T06:10:11"/>
    <x v="5"/>
    <d v="2023-10-03T00:00:00"/>
    <n v="8.7429282407392748"/>
    <x v="1"/>
    <x v="22"/>
    <n v="1.7429282407392748"/>
    <x v="22"/>
  </r>
  <r>
    <n v="1000"/>
    <s v="1000111"/>
    <d v="2023-09-25T06:10:11"/>
    <s v="type40"/>
    <n v="-1252.24"/>
    <x v="1"/>
    <d v="2023-09-30T06:10:11"/>
    <x v="3"/>
    <d v="2023-10-03T00:00:00"/>
    <n v="7.7429282407392748"/>
    <x v="1"/>
    <x v="14"/>
    <n v="2.7429282407392748"/>
    <x v="14"/>
  </r>
  <r>
    <n v="1009"/>
    <s v="1009111"/>
    <d v="2023-09-25T06:10:11"/>
    <s v="type16"/>
    <n v="-2032"/>
    <x v="2"/>
    <d v="2023-10-02T06:10:11"/>
    <x v="1"/>
    <d v="2023-10-03T00:00:00"/>
    <n v="7.7429282407392748"/>
    <x v="1"/>
    <x v="15"/>
    <n v="0.74292824073927477"/>
    <x v="15"/>
  </r>
  <r>
    <n v="1022"/>
    <s v="1022111"/>
    <d v="2023-09-26T06:10:11"/>
    <s v="type50"/>
    <n v="0"/>
    <x v="5"/>
    <d v="2023-09-28T06:10:11"/>
    <x v="0"/>
    <d v="2023-10-03T00:00:00"/>
    <n v="6.7429282407392748"/>
    <x v="1"/>
    <x v="8"/>
    <n v="4.7429282407392748"/>
    <x v="8"/>
  </r>
  <r>
    <n v="1025"/>
    <s v="1025111"/>
    <d v="2023-09-28T06:10:11"/>
    <s v="type18"/>
    <n v="312.99"/>
    <x v="1"/>
    <d v="2023-10-03T06:10:11"/>
    <x v="5"/>
    <d v="2023-10-03T00:00:00"/>
    <n v="4.7429282407392748"/>
    <x v="2"/>
    <x v="16"/>
    <n v="-0.25707175926072523"/>
    <x v="16"/>
  </r>
  <r>
    <n v="1007"/>
    <s v="1007111"/>
    <d v="2023-09-27T06:10:11"/>
    <s v="type43"/>
    <n v="244.2"/>
    <x v="4"/>
    <d v="2023-10-02T06:10:11"/>
    <x v="1"/>
    <d v="2023-10-03T00:00:00"/>
    <n v="5.7429282407392748"/>
    <x v="2"/>
    <x v="15"/>
    <n v="0.74292824073927477"/>
    <x v="15"/>
  </r>
  <r>
    <n v="1027"/>
    <s v="1027111"/>
    <d v="2023-09-28T06:10:11"/>
    <s v="type40"/>
    <n v="616.52"/>
    <x v="4"/>
    <d v="2023-09-30T06:10:11"/>
    <x v="5"/>
    <d v="2023-10-03T00:00:00"/>
    <n v="4.7429282407392748"/>
    <x v="2"/>
    <x v="14"/>
    <n v="2.7429282407392748"/>
    <x v="14"/>
  </r>
  <r>
    <n v="1003"/>
    <s v="1003111"/>
    <d v="2023-09-25T06:10:11"/>
    <s v="type13"/>
    <n v="40800.76"/>
    <x v="0"/>
    <d v="2023-10-02T06:10:11"/>
    <x v="3"/>
    <d v="2023-10-03T00:00:00"/>
    <n v="7.7429282407392748"/>
    <x v="1"/>
    <x v="15"/>
    <n v="0.74292824073927477"/>
    <x v="15"/>
  </r>
  <r>
    <n v="1014"/>
    <s v="1014111"/>
    <d v="2023-09-13T06:10:11"/>
    <s v="type40"/>
    <n v="-300.89"/>
    <x v="3"/>
    <d v="2023-09-20T06:10:11"/>
    <x v="2"/>
    <d v="2023-10-03T00:00:00"/>
    <n v="19.742928240739275"/>
    <x v="0"/>
    <x v="9"/>
    <n v="12.742928240739275"/>
    <x v="9"/>
  </r>
  <r>
    <n v="1029"/>
    <s v="1029111"/>
    <d v="2023-09-24T06:10:11"/>
    <s v="type38"/>
    <n v="150.28"/>
    <x v="5"/>
    <d v="2023-09-25T06:10:11"/>
    <x v="5"/>
    <d v="2023-10-03T00:00:00"/>
    <n v="8.7429282407392748"/>
    <x v="1"/>
    <x v="11"/>
    <n v="7.7429282407392748"/>
    <x v="11"/>
  </r>
  <r>
    <n v="1011"/>
    <s v="1011111"/>
    <d v="2023-09-14T06:10:11"/>
    <s v="type40"/>
    <n v="4831.5600000000004"/>
    <x v="1"/>
    <d v="2023-09-21T06:10:11"/>
    <x v="1"/>
    <d v="2023-10-03T00:00:00"/>
    <n v="18.742928240739275"/>
    <x v="0"/>
    <x v="1"/>
    <n v="11.742928240739275"/>
    <x v="1"/>
  </r>
  <r>
    <n v="1010"/>
    <s v="1010111"/>
    <d v="2023-09-14T06:10:11"/>
    <s v="type40"/>
    <n v="1369.58"/>
    <x v="1"/>
    <d v="2023-09-21T06:10:11"/>
    <x v="1"/>
    <d v="2023-10-03T00:00:00"/>
    <n v="18.742928240739275"/>
    <x v="0"/>
    <x v="1"/>
    <n v="11.742928240739275"/>
    <x v="1"/>
  </r>
  <r>
    <n v="1028"/>
    <s v="1028111"/>
    <d v="2023-09-24T06:10:11"/>
    <s v="type40"/>
    <n v="-975.62"/>
    <x v="0"/>
    <d v="2023-09-25T06:10:11"/>
    <x v="5"/>
    <d v="2023-10-03T00:00:00"/>
    <n v="8.7429282407392748"/>
    <x v="1"/>
    <x v="11"/>
    <n v="7.7429282407392748"/>
    <x v="11"/>
  </r>
  <r>
    <n v="1017"/>
    <s v="1017111"/>
    <d v="2023-09-15T06:10:11"/>
    <s v="type40"/>
    <n v="30"/>
    <x v="3"/>
    <d v="2023-09-22T06:10:11"/>
    <x v="2"/>
    <d v="2023-10-03T00:00:00"/>
    <n v="17.742928240739275"/>
    <x v="0"/>
    <x v="10"/>
    <n v="10.742928240739275"/>
    <x v="10"/>
  </r>
  <r>
    <n v="1018"/>
    <s v="1018111"/>
    <d v="2023-09-26T06:10:11"/>
    <s v="type26"/>
    <n v="138.18"/>
    <x v="2"/>
    <d v="2023-10-03T06:10:11"/>
    <x v="0"/>
    <d v="2023-10-03T00:00:00"/>
    <n v="6.7429282407392748"/>
    <x v="1"/>
    <x v="16"/>
    <n v="-0.25707175926072523"/>
    <x v="16"/>
  </r>
  <r>
    <n v="1020"/>
    <s v="1020111"/>
    <d v="2023-09-16T06:10:11"/>
    <s v="type40"/>
    <n v="-807.7"/>
    <x v="1"/>
    <d v="2023-09-23T06:10:11"/>
    <x v="0"/>
    <d v="2023-10-03T00:00:00"/>
    <n v="16.742928240739275"/>
    <x v="0"/>
    <x v="3"/>
    <n v="9.7429282407392748"/>
    <x v="3"/>
  </r>
  <r>
    <n v="1022"/>
    <s v="1022111"/>
    <d v="2023-09-24T06:10:11"/>
    <s v="type40"/>
    <n v="-6076.26"/>
    <x v="2"/>
    <d v="2023-09-25T06:10:11"/>
    <x v="0"/>
    <d v="2023-10-03T00:00:00"/>
    <n v="8.7429282407392748"/>
    <x v="1"/>
    <x v="11"/>
    <n v="7.7429282407392748"/>
    <x v="11"/>
  </r>
  <r>
    <n v="1031"/>
    <s v="1031111"/>
    <d v="2023-09-24T06:10:11"/>
    <s v="type40"/>
    <n v="7.09"/>
    <x v="5"/>
    <d v="2023-09-26T06:10:11"/>
    <x v="4"/>
    <d v="2023-10-03T00:00:00"/>
    <n v="8.7429282407392748"/>
    <x v="1"/>
    <x v="7"/>
    <n v="6.7429282407392748"/>
    <x v="7"/>
  </r>
  <r>
    <n v="1009"/>
    <s v="1009111"/>
    <d v="2023-09-18T06:10:11"/>
    <s v="type40"/>
    <n v="783.63"/>
    <x v="1"/>
    <d v="2023-09-25T06:10:11"/>
    <x v="1"/>
    <d v="2023-10-03T00:00:00"/>
    <n v="14.742928240739275"/>
    <x v="0"/>
    <x v="11"/>
    <n v="7.7429282407392748"/>
    <x v="11"/>
  </r>
  <r>
    <n v="1007"/>
    <s v="1007111"/>
    <d v="2023-09-28T06:10:11"/>
    <s v="type40"/>
    <n v="816.93"/>
    <x v="4"/>
    <d v="2023-10-05T06:10:11"/>
    <x v="1"/>
    <d v="2023-10-03T00:00:00"/>
    <n v="4.7429282407392748"/>
    <x v="2"/>
    <x v="17"/>
    <n v="-2.2570717592607252"/>
    <x v="17"/>
  </r>
  <r>
    <n v="1008"/>
    <s v="1008111"/>
    <d v="2023-09-20T06:10:11"/>
    <s v="type8"/>
    <n v="52.9"/>
    <x v="3"/>
    <d v="2023-09-27T06:10:11"/>
    <x v="1"/>
    <d v="2023-10-03T00:00:00"/>
    <n v="12.742928240739275"/>
    <x v="0"/>
    <x v="12"/>
    <n v="5.7429282407392748"/>
    <x v="12"/>
  </r>
  <r>
    <n v="1024"/>
    <s v="1024111"/>
    <d v="2023-09-20T06:10:11"/>
    <s v="type29"/>
    <n v="383.47"/>
    <x v="3"/>
    <d v="2023-09-27T06:10:11"/>
    <x v="5"/>
    <d v="2023-10-03T00:00:00"/>
    <n v="12.742928240739275"/>
    <x v="0"/>
    <x v="12"/>
    <n v="5.7429282407392748"/>
    <x v="12"/>
  </r>
  <r>
    <n v="1014"/>
    <s v="1014111"/>
    <d v="2023-09-24T06:10:11"/>
    <s v="type40"/>
    <n v="336.81"/>
    <x v="2"/>
    <d v="2023-09-25T06:10:11"/>
    <x v="2"/>
    <d v="2023-10-03T00:00:00"/>
    <n v="8.7429282407392748"/>
    <x v="1"/>
    <x v="11"/>
    <n v="7.7429282407392748"/>
    <x v="11"/>
  </r>
  <r>
    <n v="1031"/>
    <s v="1031111"/>
    <d v="2023-09-24T06:10:11"/>
    <s v="type40"/>
    <n v="3809.49"/>
    <x v="0"/>
    <d v="2023-09-26T06:10:11"/>
    <x v="4"/>
    <d v="2023-10-03T00:00:00"/>
    <n v="8.7429282407392748"/>
    <x v="1"/>
    <x v="7"/>
    <n v="6.7429282407392748"/>
    <x v="7"/>
  </r>
  <r>
    <n v="1024"/>
    <s v="1024111"/>
    <d v="2023-09-25T06:10:11"/>
    <s v="type40"/>
    <n v="16.440000000000001"/>
    <x v="5"/>
    <d v="2023-09-30T06:10:11"/>
    <x v="5"/>
    <d v="2023-10-03T00:00:00"/>
    <n v="7.7429282407392748"/>
    <x v="1"/>
    <x v="14"/>
    <n v="2.7429282407392748"/>
    <x v="14"/>
  </r>
  <r>
    <n v="1021"/>
    <s v="1021111"/>
    <d v="2023-09-23T06:10:11"/>
    <s v="type40"/>
    <n v="-820.65"/>
    <x v="3"/>
    <d v="2023-09-24T06:10:11"/>
    <x v="0"/>
    <d v="2023-10-03T00:00:00"/>
    <n v="9.7429282407392748"/>
    <x v="0"/>
    <x v="5"/>
    <n v="8.7429282407392748"/>
    <x v="5"/>
  </r>
  <r>
    <n v="1033"/>
    <s v="1033111"/>
    <d v="2023-09-25T06:10:11"/>
    <s v="type40"/>
    <n v="37.909999999999997"/>
    <x v="2"/>
    <d v="2023-10-02T06:10:11"/>
    <x v="4"/>
    <d v="2023-10-03T00:00:00"/>
    <n v="7.7429282407392748"/>
    <x v="1"/>
    <x v="15"/>
    <n v="0.74292824073927477"/>
    <x v="15"/>
  </r>
  <r>
    <n v="1007"/>
    <s v="1007111"/>
    <d v="2023-09-25T06:10:11"/>
    <s v="type40"/>
    <n v="47.49"/>
    <x v="5"/>
    <d v="2023-10-02T06:10:11"/>
    <x v="1"/>
    <d v="2023-10-03T00:00:00"/>
    <n v="7.7429282407392748"/>
    <x v="1"/>
    <x v="15"/>
    <n v="0.74292824073927477"/>
    <x v="15"/>
  </r>
  <r>
    <n v="1020"/>
    <s v="1020111"/>
    <d v="2023-09-24T06:10:11"/>
    <s v="type13"/>
    <n v="58481.9"/>
    <x v="5"/>
    <d v="2023-10-01T06:10:11"/>
    <x v="0"/>
    <d v="2023-10-03T00:00:00"/>
    <n v="8.7429282407392748"/>
    <x v="1"/>
    <x v="22"/>
    <n v="1.7429282407392748"/>
    <x v="22"/>
  </r>
  <r>
    <n v="1009"/>
    <s v="1009111"/>
    <d v="2023-09-25T06:10:11"/>
    <s v="type41"/>
    <n v="740.88"/>
    <x v="2"/>
    <d v="2023-09-26T06:10:11"/>
    <x v="1"/>
    <d v="2023-10-03T00:00:00"/>
    <n v="7.7429282407392748"/>
    <x v="1"/>
    <x v="7"/>
    <n v="6.7429282407392748"/>
    <x v="7"/>
  </r>
  <r>
    <n v="1027"/>
    <s v="1027111"/>
    <d v="2023-09-28T06:10:11"/>
    <s v="type40"/>
    <n v="374.98"/>
    <x v="3"/>
    <d v="2023-09-29T06:10:11"/>
    <x v="5"/>
    <d v="2023-10-03T00:00:00"/>
    <n v="4.7429282407392748"/>
    <x v="2"/>
    <x v="13"/>
    <n v="3.7429282407392748"/>
    <x v="13"/>
  </r>
  <r>
    <n v="1024"/>
    <s v="1024111"/>
    <d v="2023-09-16T06:10:11"/>
    <s v="type44"/>
    <n v="746.73"/>
    <x v="3"/>
    <d v="2023-09-17T06:10:11"/>
    <x v="5"/>
    <d v="2023-10-03T00:00:00"/>
    <n v="16.742928240739275"/>
    <x v="0"/>
    <x v="4"/>
    <n v="15.742928240739275"/>
    <x v="4"/>
  </r>
  <r>
    <n v="1010"/>
    <s v="1010111"/>
    <d v="2023-09-25T06:10:11"/>
    <s v="type40"/>
    <n v="363.53"/>
    <x v="0"/>
    <d v="2023-10-02T06:10:11"/>
    <x v="1"/>
    <d v="2023-10-03T00:00:00"/>
    <n v="7.7429282407392748"/>
    <x v="1"/>
    <x v="15"/>
    <n v="0.74292824073927477"/>
    <x v="15"/>
  </r>
  <r>
    <n v="1004"/>
    <s v="1004111"/>
    <d v="2023-09-25T06:10:11"/>
    <s v="type40"/>
    <n v="418.1"/>
    <x v="0"/>
    <d v="2023-09-27T06:10:11"/>
    <x v="3"/>
    <d v="2023-10-03T00:00:00"/>
    <n v="7.7429282407392748"/>
    <x v="1"/>
    <x v="12"/>
    <n v="5.7429282407392748"/>
    <x v="12"/>
  </r>
  <r>
    <n v="1013"/>
    <s v="1013111"/>
    <d v="2023-09-25T06:10:11"/>
    <s v="type40"/>
    <n v="2070.4"/>
    <x v="5"/>
    <d v="2023-09-30T06:10:11"/>
    <x v="2"/>
    <d v="2023-10-03T00:00:00"/>
    <n v="7.7429282407392748"/>
    <x v="1"/>
    <x v="14"/>
    <n v="2.7429282407392748"/>
    <x v="14"/>
  </r>
  <r>
    <n v="1020"/>
    <s v="1020111"/>
    <d v="2023-09-26T06:10:11"/>
    <s v="type13"/>
    <n v="25350.35"/>
    <x v="2"/>
    <d v="2023-09-28T06:10:11"/>
    <x v="0"/>
    <d v="2023-10-03T00:00:00"/>
    <n v="6.7429282407392748"/>
    <x v="1"/>
    <x v="8"/>
    <n v="4.7429282407392748"/>
    <x v="8"/>
  </r>
  <r>
    <n v="1005"/>
    <s v="1005111"/>
    <d v="2023-09-24T06:10:11"/>
    <s v="type40"/>
    <n v="11292.43"/>
    <x v="5"/>
    <d v="2023-09-29T06:10:11"/>
    <x v="3"/>
    <d v="2023-10-03T00:00:00"/>
    <n v="8.7429282407392748"/>
    <x v="1"/>
    <x v="13"/>
    <n v="3.7429282407392748"/>
    <x v="13"/>
  </r>
  <r>
    <n v="1010"/>
    <s v="1010111"/>
    <d v="2023-09-20T06:10:11"/>
    <s v="type40"/>
    <n v="13.79"/>
    <x v="1"/>
    <d v="2023-09-21T06:10:11"/>
    <x v="1"/>
    <d v="2023-10-03T00:00:00"/>
    <n v="12.742928240739275"/>
    <x v="0"/>
    <x v="1"/>
    <n v="11.742928240739275"/>
    <x v="1"/>
  </r>
  <r>
    <n v="1009"/>
    <s v="1009111"/>
    <d v="2023-09-24T06:10:11"/>
    <s v="type40"/>
    <n v="10369.56"/>
    <x v="5"/>
    <d v="2023-10-01T06:10:11"/>
    <x v="1"/>
    <d v="2023-10-03T00:00:00"/>
    <n v="8.7429282407392748"/>
    <x v="1"/>
    <x v="22"/>
    <n v="1.7429282407392748"/>
    <x v="22"/>
  </r>
  <r>
    <n v="1010"/>
    <s v="1010111"/>
    <d v="2023-09-26T06:10:11"/>
    <s v="type12"/>
    <n v="30"/>
    <x v="2"/>
    <d v="2023-10-01T06:10:11"/>
    <x v="1"/>
    <d v="2023-10-03T00:00:00"/>
    <n v="6.7429282407392748"/>
    <x v="1"/>
    <x v="22"/>
    <n v="1.7429282407392748"/>
    <x v="22"/>
  </r>
  <r>
    <n v="1011"/>
    <s v="1011111"/>
    <d v="2023-09-22T06:10:11"/>
    <s v="type40"/>
    <n v="1156.51"/>
    <x v="3"/>
    <d v="2023-09-23T06:10:11"/>
    <x v="1"/>
    <d v="2023-10-03T00:00:00"/>
    <n v="10.742928240739275"/>
    <x v="0"/>
    <x v="3"/>
    <n v="9.7429282407392748"/>
    <x v="3"/>
  </r>
  <r>
    <n v="1031"/>
    <s v="1031111"/>
    <d v="2023-09-28T06:10:11"/>
    <s v="type7"/>
    <n v="-2030.94"/>
    <x v="4"/>
    <d v="2023-09-30T06:10:11"/>
    <x v="4"/>
    <d v="2023-10-03T00:00:00"/>
    <n v="4.7429282407392748"/>
    <x v="2"/>
    <x v="14"/>
    <n v="2.7429282407392748"/>
    <x v="14"/>
  </r>
  <r>
    <n v="1026"/>
    <s v="1026111"/>
    <d v="2023-09-25T06:10:11"/>
    <s v="type40"/>
    <n v="-403.14"/>
    <x v="5"/>
    <d v="2023-09-26T06:10:11"/>
    <x v="5"/>
    <d v="2023-10-03T00:00:00"/>
    <n v="7.7429282407392748"/>
    <x v="1"/>
    <x v="7"/>
    <n v="6.7429282407392748"/>
    <x v="7"/>
  </r>
  <r>
    <n v="1010"/>
    <s v="1010111"/>
    <d v="2023-09-25T06:10:11"/>
    <s v="type22"/>
    <n v="418.6"/>
    <x v="3"/>
    <d v="2023-09-27T06:10:11"/>
    <x v="1"/>
    <d v="2023-10-03T00:00:00"/>
    <n v="7.7429282407392748"/>
    <x v="1"/>
    <x v="12"/>
    <n v="5.7429282407392748"/>
    <x v="12"/>
  </r>
  <r>
    <n v="1016"/>
    <s v="1016111"/>
    <d v="2023-09-26T06:10:11"/>
    <s v="type27"/>
    <n v="584121.75"/>
    <x v="0"/>
    <d v="2023-10-01T06:10:11"/>
    <x v="2"/>
    <d v="2023-10-03T00:00:00"/>
    <n v="6.7429282407392748"/>
    <x v="1"/>
    <x v="22"/>
    <n v="1.7429282407392748"/>
    <x v="22"/>
  </r>
  <r>
    <n v="1017"/>
    <s v="1017111"/>
    <d v="2023-09-26T06:10:11"/>
    <s v="type40"/>
    <n v="-846.96"/>
    <x v="2"/>
    <d v="2023-09-27T06:10:11"/>
    <x v="2"/>
    <d v="2023-10-03T00:00:00"/>
    <n v="6.7429282407392748"/>
    <x v="1"/>
    <x v="12"/>
    <n v="5.7429282407392748"/>
    <x v="12"/>
  </r>
  <r>
    <n v="1035"/>
    <s v="1035111"/>
    <d v="2023-09-10T06:10:11"/>
    <s v="type40"/>
    <n v="-849.19"/>
    <x v="3"/>
    <d v="2023-09-12T06:10:11"/>
    <x v="4"/>
    <d v="2023-10-03T00:00:00"/>
    <n v="22.742928240739275"/>
    <x v="0"/>
    <x v="18"/>
    <n v="20.742928240739275"/>
    <x v="18"/>
  </r>
  <r>
    <n v="1001"/>
    <s v="1001111"/>
    <d v="2023-09-11T06:10:11"/>
    <s v="type27"/>
    <n v="1027.9000000000001"/>
    <x v="3"/>
    <d v="2023-09-13T06:10:11"/>
    <x v="3"/>
    <d v="2023-10-03T00:00:00"/>
    <n v="21.742928240739275"/>
    <x v="0"/>
    <x v="24"/>
    <n v="19.742928240739275"/>
    <x v="24"/>
  </r>
  <r>
    <n v="1008"/>
    <s v="1008111"/>
    <d v="2023-09-24T06:10:11"/>
    <s v="type13"/>
    <n v="15812.61"/>
    <x v="2"/>
    <d v="2023-09-29T06:10:11"/>
    <x v="1"/>
    <d v="2023-10-03T00:00:00"/>
    <n v="8.7429282407392748"/>
    <x v="1"/>
    <x v="13"/>
    <n v="3.7429282407392748"/>
    <x v="13"/>
  </r>
  <r>
    <n v="1015"/>
    <s v="1015111"/>
    <d v="2023-09-25T06:10:11"/>
    <s v="type42"/>
    <n v="213.83"/>
    <x v="0"/>
    <d v="2023-09-26T06:10:11"/>
    <x v="2"/>
    <d v="2023-10-03T00:00:00"/>
    <n v="7.7429282407392748"/>
    <x v="1"/>
    <x v="7"/>
    <n v="6.7429282407392748"/>
    <x v="7"/>
  </r>
  <r>
    <n v="1016"/>
    <s v="1016111"/>
    <d v="2023-09-25T06:10:11"/>
    <s v="type40"/>
    <n v="4719.5600000000004"/>
    <x v="5"/>
    <d v="2023-09-26T06:10:11"/>
    <x v="2"/>
    <d v="2023-10-03T00:00:00"/>
    <n v="7.7429282407392748"/>
    <x v="1"/>
    <x v="7"/>
    <n v="6.7429282407392748"/>
    <x v="7"/>
  </r>
  <r>
    <n v="1011"/>
    <s v="1011111"/>
    <d v="2023-09-27T06:10:11"/>
    <s v="type13"/>
    <n v="25490.98"/>
    <x v="4"/>
    <d v="2023-09-28T06:10:11"/>
    <x v="1"/>
    <d v="2023-10-03T00:00:00"/>
    <n v="5.7429282407392748"/>
    <x v="2"/>
    <x v="8"/>
    <n v="4.7429282407392748"/>
    <x v="8"/>
  </r>
  <r>
    <n v="1023"/>
    <s v="1023111"/>
    <d v="2023-09-14T06:10:11"/>
    <s v="type13"/>
    <n v="21951.97"/>
    <x v="1"/>
    <d v="2023-09-16T06:10:11"/>
    <x v="0"/>
    <d v="2023-10-03T00:00:00"/>
    <n v="18.742928240739275"/>
    <x v="0"/>
    <x v="2"/>
    <n v="16.742928240739275"/>
    <x v="2"/>
  </r>
  <r>
    <n v="1009"/>
    <s v="1009111"/>
    <d v="2023-09-24T06:10:11"/>
    <s v="type40"/>
    <n v="-410.69"/>
    <x v="2"/>
    <d v="2023-10-01T06:10:11"/>
    <x v="1"/>
    <d v="2023-10-03T00:00:00"/>
    <n v="8.7429282407392748"/>
    <x v="1"/>
    <x v="22"/>
    <n v="1.7429282407392748"/>
    <x v="22"/>
  </r>
  <r>
    <n v="1010"/>
    <s v="1010111"/>
    <d v="2023-09-24T06:10:11"/>
    <s v="type40"/>
    <n v="5841.14"/>
    <x v="4"/>
    <d v="2023-09-25T06:10:11"/>
    <x v="1"/>
    <d v="2023-10-03T00:00:00"/>
    <n v="8.7429282407392748"/>
    <x v="1"/>
    <x v="11"/>
    <n v="7.7429282407392748"/>
    <x v="11"/>
  </r>
  <r>
    <n v="1010"/>
    <s v="1010111"/>
    <d v="2023-09-26T06:10:11"/>
    <s v="type9"/>
    <n v="5100"/>
    <x v="0"/>
    <d v="2023-09-27T06:10:11"/>
    <x v="1"/>
    <d v="2023-10-03T00:00:00"/>
    <n v="6.7429282407392748"/>
    <x v="1"/>
    <x v="12"/>
    <n v="5.7429282407392748"/>
    <x v="12"/>
  </r>
  <r>
    <n v="1008"/>
    <s v="1008111"/>
    <d v="2023-09-24T06:10:11"/>
    <s v="type40"/>
    <n v="-421.44"/>
    <x v="5"/>
    <d v="2023-09-26T06:10:11"/>
    <x v="1"/>
    <d v="2023-10-03T00:00:00"/>
    <n v="8.7429282407392748"/>
    <x v="1"/>
    <x v="7"/>
    <n v="6.7429282407392748"/>
    <x v="7"/>
  </r>
  <r>
    <n v="1013"/>
    <s v="1013111"/>
    <d v="2023-09-26T06:10:11"/>
    <s v="type40"/>
    <n v="-551.58000000000004"/>
    <x v="2"/>
    <d v="2023-09-28T06:10:11"/>
    <x v="2"/>
    <d v="2023-10-03T00:00:00"/>
    <n v="6.7429282407392748"/>
    <x v="1"/>
    <x v="8"/>
    <n v="4.7429282407392748"/>
    <x v="8"/>
  </r>
  <r>
    <n v="1015"/>
    <s v="1015111"/>
    <d v="2023-09-25T06:10:11"/>
    <s v="type40"/>
    <n v="2269.44"/>
    <x v="2"/>
    <d v="2023-09-27T06:10:11"/>
    <x v="2"/>
    <d v="2023-10-03T00:00:00"/>
    <n v="7.7429282407392748"/>
    <x v="1"/>
    <x v="12"/>
    <n v="5.7429282407392748"/>
    <x v="12"/>
  </r>
  <r>
    <n v="1016"/>
    <s v="1016111"/>
    <d v="2023-09-24T06:10:11"/>
    <s v="type40"/>
    <n v="729.29"/>
    <x v="4"/>
    <d v="2023-09-25T06:10:11"/>
    <x v="2"/>
    <d v="2023-10-03T00:00:00"/>
    <n v="8.7429282407392748"/>
    <x v="1"/>
    <x v="11"/>
    <n v="7.7429282407392748"/>
    <x v="11"/>
  </r>
  <r>
    <n v="1024"/>
    <s v="1024111"/>
    <d v="2023-09-24T06:10:11"/>
    <s v="type54"/>
    <n v="100"/>
    <x v="0"/>
    <d v="2023-10-01T06:10:11"/>
    <x v="5"/>
    <d v="2023-10-03T00:00:00"/>
    <n v="8.7429282407392748"/>
    <x v="1"/>
    <x v="22"/>
    <n v="1.7429282407392748"/>
    <x v="22"/>
  </r>
  <r>
    <n v="1017"/>
    <s v="1017111"/>
    <d v="2023-09-25T06:10:11"/>
    <s v="type40"/>
    <n v="3863.75"/>
    <x v="5"/>
    <d v="2023-09-30T06:10:11"/>
    <x v="2"/>
    <d v="2023-10-03T00:00:00"/>
    <n v="7.7429282407392748"/>
    <x v="1"/>
    <x v="14"/>
    <n v="2.7429282407392748"/>
    <x v="14"/>
  </r>
  <r>
    <n v="1012"/>
    <s v="1012111"/>
    <d v="2023-09-20T06:10:11"/>
    <s v="type5"/>
    <n v="2249"/>
    <x v="1"/>
    <d v="2023-09-22T06:10:11"/>
    <x v="2"/>
    <d v="2023-10-03T00:00:00"/>
    <n v="12.742928240739275"/>
    <x v="0"/>
    <x v="10"/>
    <n v="10.742928240739275"/>
    <x v="10"/>
  </r>
  <r>
    <n v="1007"/>
    <s v="1007111"/>
    <d v="2023-09-24T06:10:11"/>
    <s v="type13"/>
    <n v="51064.53"/>
    <x v="4"/>
    <d v="2023-09-26T06:10:11"/>
    <x v="1"/>
    <d v="2023-10-03T00:00:00"/>
    <n v="8.7429282407392748"/>
    <x v="1"/>
    <x v="7"/>
    <n v="6.7429282407392748"/>
    <x v="7"/>
  </r>
  <r>
    <n v="1019"/>
    <s v="1019111"/>
    <d v="2023-09-21T06:10:11"/>
    <s v="type40"/>
    <n v="3860.33"/>
    <x v="1"/>
    <d v="2023-09-26T06:10:11"/>
    <x v="0"/>
    <d v="2023-10-03T00:00:00"/>
    <n v="11.742928240739275"/>
    <x v="0"/>
    <x v="7"/>
    <n v="6.7429282407392748"/>
    <x v="7"/>
  </r>
  <r>
    <n v="1006"/>
    <s v="1006111"/>
    <d v="2023-09-22T06:10:11"/>
    <s v="type40"/>
    <n v="4875"/>
    <x v="1"/>
    <d v="2023-09-27T06:10:11"/>
    <x v="1"/>
    <d v="2023-10-03T00:00:00"/>
    <n v="10.742928240739275"/>
    <x v="0"/>
    <x v="12"/>
    <n v="5.7429282407392748"/>
    <x v="12"/>
  </r>
  <r>
    <n v="1009"/>
    <s v="1009111"/>
    <d v="2023-09-25T06:10:11"/>
    <s v="type40"/>
    <n v="-955.9"/>
    <x v="4"/>
    <d v="2023-09-30T06:10:11"/>
    <x v="1"/>
    <d v="2023-10-03T00:00:00"/>
    <n v="7.7429282407392748"/>
    <x v="1"/>
    <x v="14"/>
    <n v="2.7429282407392748"/>
    <x v="14"/>
  </r>
  <r>
    <n v="1009"/>
    <s v="1009111"/>
    <d v="2023-09-25T06:10:11"/>
    <s v="type38"/>
    <n v="366.45"/>
    <x v="4"/>
    <d v="2023-10-02T06:10:11"/>
    <x v="1"/>
    <d v="2023-10-03T00:00:00"/>
    <n v="7.7429282407392748"/>
    <x v="1"/>
    <x v="15"/>
    <n v="0.74292824073927477"/>
    <x v="15"/>
  </r>
  <r>
    <n v="1032"/>
    <s v="1032111"/>
    <d v="2023-09-25T06:10:11"/>
    <s v="type40"/>
    <n v="403.68"/>
    <x v="3"/>
    <d v="2023-09-30T06:10:11"/>
    <x v="4"/>
    <d v="2023-10-03T00:00:00"/>
    <n v="7.7429282407392748"/>
    <x v="1"/>
    <x v="14"/>
    <n v="2.7429282407392748"/>
    <x v="14"/>
  </r>
  <r>
    <n v="1002"/>
    <s v="1002111"/>
    <d v="2023-09-25T06:10:11"/>
    <s v="type40"/>
    <n v="-2468.1799999999998"/>
    <x v="4"/>
    <d v="2023-10-02T06:10:11"/>
    <x v="3"/>
    <d v="2023-10-03T00:00:00"/>
    <n v="7.7429282407392748"/>
    <x v="1"/>
    <x v="15"/>
    <n v="0.74292824073927477"/>
    <x v="15"/>
  </r>
  <r>
    <n v="1011"/>
    <s v="1011111"/>
    <d v="2023-09-25T06:10:11"/>
    <s v="type40"/>
    <n v="107.66"/>
    <x v="2"/>
    <d v="2023-09-27T06:10:11"/>
    <x v="1"/>
    <d v="2023-10-03T00:00:00"/>
    <n v="7.7429282407392748"/>
    <x v="1"/>
    <x v="12"/>
    <n v="5.7429282407392748"/>
    <x v="12"/>
  </r>
  <r>
    <n v="1032"/>
    <s v="1032111"/>
    <d v="2023-09-25T06:10:11"/>
    <s v="type40"/>
    <n v="935.07"/>
    <x v="5"/>
    <d v="2023-09-30T06:10:11"/>
    <x v="4"/>
    <d v="2023-10-03T00:00:00"/>
    <n v="7.7429282407392748"/>
    <x v="1"/>
    <x v="14"/>
    <n v="2.7429282407392748"/>
    <x v="14"/>
  </r>
  <r>
    <n v="1021"/>
    <s v="1021111"/>
    <d v="2023-09-26T06:10:11"/>
    <s v="type13"/>
    <n v="36846.39"/>
    <x v="2"/>
    <d v="2023-09-28T06:10:11"/>
    <x v="0"/>
    <d v="2023-10-03T00:00:00"/>
    <n v="6.7429282407392748"/>
    <x v="1"/>
    <x v="8"/>
    <n v="4.7429282407392748"/>
    <x v="8"/>
  </r>
  <r>
    <n v="1006"/>
    <s v="1006111"/>
    <d v="2023-09-17T06:10:11"/>
    <s v="type40"/>
    <n v="577.23"/>
    <x v="3"/>
    <d v="2023-09-24T06:10:11"/>
    <x v="1"/>
    <d v="2023-10-03T00:00:00"/>
    <n v="15.742928240739275"/>
    <x v="0"/>
    <x v="5"/>
    <n v="8.7429282407392748"/>
    <x v="5"/>
  </r>
  <r>
    <n v="1018"/>
    <s v="1018111"/>
    <d v="2023-09-26T06:10:11"/>
    <s v="type54"/>
    <n v="702.1"/>
    <x v="0"/>
    <d v="2023-10-03T06:10:11"/>
    <x v="0"/>
    <d v="2023-10-03T00:00:00"/>
    <n v="6.7429282407392748"/>
    <x v="1"/>
    <x v="16"/>
    <n v="-0.25707175926072523"/>
    <x v="16"/>
  </r>
  <r>
    <n v="1011"/>
    <s v="1011111"/>
    <d v="2023-09-26T06:10:11"/>
    <s v="type7"/>
    <n v="-10467.58"/>
    <x v="0"/>
    <d v="2023-10-01T06:10:11"/>
    <x v="1"/>
    <d v="2023-10-03T00:00:00"/>
    <n v="6.7429282407392748"/>
    <x v="1"/>
    <x v="22"/>
    <n v="1.7429282407392748"/>
    <x v="22"/>
  </r>
  <r>
    <n v="1035"/>
    <s v="1035111"/>
    <d v="2023-09-26T06:10:11"/>
    <s v="type40"/>
    <n v="-9749.56"/>
    <x v="4"/>
    <d v="2023-10-03T06:10:11"/>
    <x v="4"/>
    <d v="2023-10-03T00:00:00"/>
    <n v="6.7429282407392748"/>
    <x v="1"/>
    <x v="16"/>
    <n v="-0.25707175926072523"/>
    <x v="16"/>
  </r>
  <r>
    <n v="1016"/>
    <s v="1016111"/>
    <d v="2023-09-25T06:10:11"/>
    <s v="type13"/>
    <n v="14346.1"/>
    <x v="0"/>
    <d v="2023-10-02T06:10:11"/>
    <x v="2"/>
    <d v="2023-10-03T00:00:00"/>
    <n v="7.7429282407392748"/>
    <x v="1"/>
    <x v="15"/>
    <n v="0.74292824073927477"/>
    <x v="15"/>
  </r>
  <r>
    <n v="1010"/>
    <s v="1010111"/>
    <d v="2023-09-25T06:10:11"/>
    <s v="type2"/>
    <n v="1670"/>
    <x v="2"/>
    <d v="2023-09-26T06:10:11"/>
    <x v="1"/>
    <d v="2023-10-03T00:00:00"/>
    <n v="7.7429282407392748"/>
    <x v="1"/>
    <x v="7"/>
    <n v="6.7429282407392748"/>
    <x v="7"/>
  </r>
  <r>
    <n v="1028"/>
    <s v="1028111"/>
    <d v="2023-09-26T06:10:11"/>
    <s v="type40"/>
    <n v="1429.73"/>
    <x v="4"/>
    <d v="2023-09-28T06:10:11"/>
    <x v="5"/>
    <d v="2023-10-03T00:00:00"/>
    <n v="6.7429282407392748"/>
    <x v="1"/>
    <x v="8"/>
    <n v="4.7429282407392748"/>
    <x v="8"/>
  </r>
  <r>
    <n v="1007"/>
    <s v="1007111"/>
    <d v="2023-09-26T06:10:11"/>
    <s v="type40"/>
    <n v="4205.7700000000004"/>
    <x v="5"/>
    <d v="2023-10-03T06:10:11"/>
    <x v="1"/>
    <d v="2023-10-03T00:00:00"/>
    <n v="6.7429282407392748"/>
    <x v="1"/>
    <x v="16"/>
    <n v="-0.25707175926072523"/>
    <x v="16"/>
  </r>
  <r>
    <n v="1010"/>
    <s v="1010111"/>
    <d v="2023-09-24T06:10:11"/>
    <s v="type40"/>
    <n v="-427.46"/>
    <x v="5"/>
    <d v="2023-09-29T06:10:11"/>
    <x v="1"/>
    <d v="2023-10-03T00:00:00"/>
    <n v="8.7429282407392748"/>
    <x v="1"/>
    <x v="13"/>
    <n v="3.7429282407392748"/>
    <x v="13"/>
  </r>
  <r>
    <n v="1030"/>
    <s v="1030111"/>
    <d v="2023-09-25T06:10:11"/>
    <s v="type40"/>
    <n v="-429.35"/>
    <x v="0"/>
    <d v="2023-09-26T06:10:11"/>
    <x v="4"/>
    <d v="2023-10-03T00:00:00"/>
    <n v="7.7429282407392748"/>
    <x v="1"/>
    <x v="7"/>
    <n v="6.7429282407392748"/>
    <x v="7"/>
  </r>
  <r>
    <n v="1031"/>
    <s v="1031111"/>
    <d v="2023-09-25T06:10:11"/>
    <s v="type40"/>
    <n v="-1175.06"/>
    <x v="0"/>
    <d v="2023-09-27T06:10:11"/>
    <x v="4"/>
    <d v="2023-10-03T00:00:00"/>
    <n v="7.7429282407392748"/>
    <x v="1"/>
    <x v="12"/>
    <n v="5.7429282407392748"/>
    <x v="12"/>
  </r>
  <r>
    <n v="1014"/>
    <s v="1014111"/>
    <d v="2023-09-25T06:10:11"/>
    <s v="type40"/>
    <n v="-535.30999999999995"/>
    <x v="1"/>
    <d v="2023-10-02T06:10:11"/>
    <x v="2"/>
    <d v="2023-10-03T00:00:00"/>
    <n v="7.7429282407392748"/>
    <x v="1"/>
    <x v="15"/>
    <n v="0.74292824073927477"/>
    <x v="15"/>
  </r>
  <r>
    <n v="1004"/>
    <s v="1004111"/>
    <d v="2023-09-24T06:10:11"/>
    <s v="type13"/>
    <n v="28763.39"/>
    <x v="5"/>
    <d v="2023-09-25T06:10:11"/>
    <x v="3"/>
    <d v="2023-10-03T00:00:00"/>
    <n v="8.7429282407392748"/>
    <x v="1"/>
    <x v="11"/>
    <n v="7.7429282407392748"/>
    <x v="11"/>
  </r>
  <r>
    <n v="1032"/>
    <s v="1032111"/>
    <d v="2023-09-26T06:10:11"/>
    <s v="type40"/>
    <n v="4272.9799999999996"/>
    <x v="0"/>
    <d v="2023-09-28T06:10:11"/>
    <x v="4"/>
    <d v="2023-10-03T00:00:00"/>
    <n v="6.7429282407392748"/>
    <x v="1"/>
    <x v="8"/>
    <n v="4.7429282407392748"/>
    <x v="8"/>
  </r>
  <r>
    <n v="1009"/>
    <s v="1009111"/>
    <d v="2023-09-25T06:10:11"/>
    <s v="type40"/>
    <n v="510.68"/>
    <x v="2"/>
    <d v="2023-09-27T06:10:11"/>
    <x v="1"/>
    <d v="2023-10-03T00:00:00"/>
    <n v="7.7429282407392748"/>
    <x v="1"/>
    <x v="12"/>
    <n v="5.7429282407392748"/>
    <x v="12"/>
  </r>
  <r>
    <n v="1029"/>
    <s v="1029111"/>
    <d v="2023-09-26T06:10:11"/>
    <s v="type40"/>
    <n v="300.63"/>
    <x v="5"/>
    <d v="2023-09-28T06:10:11"/>
    <x v="5"/>
    <d v="2023-10-03T00:00:00"/>
    <n v="6.7429282407392748"/>
    <x v="1"/>
    <x v="8"/>
    <n v="4.7429282407392748"/>
    <x v="8"/>
  </r>
  <r>
    <n v="1000"/>
    <s v="1000111"/>
    <d v="2023-09-26T06:10:11"/>
    <s v="type40"/>
    <n v="-321.22000000000003"/>
    <x v="2"/>
    <d v="2023-10-03T06:10:11"/>
    <x v="3"/>
    <d v="2023-10-03T00:00:00"/>
    <n v="6.7429282407392748"/>
    <x v="1"/>
    <x v="16"/>
    <n v="-0.25707175926072523"/>
    <x v="16"/>
  </r>
  <r>
    <n v="1004"/>
    <s v="1004111"/>
    <d v="2023-09-26T06:10:11"/>
    <s v="type40"/>
    <n v="-421.37"/>
    <x v="5"/>
    <d v="2023-10-01T06:10:11"/>
    <x v="3"/>
    <d v="2023-10-03T00:00:00"/>
    <n v="6.7429282407392748"/>
    <x v="1"/>
    <x v="22"/>
    <n v="1.7429282407392748"/>
    <x v="22"/>
  </r>
  <r>
    <n v="1014"/>
    <s v="1014111"/>
    <d v="2023-09-13T06:10:11"/>
    <s v="type18"/>
    <n v="1225.26"/>
    <x v="1"/>
    <d v="2023-09-14T06:10:11"/>
    <x v="2"/>
    <d v="2023-10-03T00:00:00"/>
    <n v="19.742928240739275"/>
    <x v="0"/>
    <x v="20"/>
    <n v="18.742928240739275"/>
    <x v="20"/>
  </r>
  <r>
    <n v="1032"/>
    <s v="1032111"/>
    <d v="2023-09-26T06:10:11"/>
    <s v="type22"/>
    <n v="1049.8699999999999"/>
    <x v="4"/>
    <d v="2023-10-03T06:10:11"/>
    <x v="4"/>
    <d v="2023-10-03T00:00:00"/>
    <n v="6.7429282407392748"/>
    <x v="1"/>
    <x v="16"/>
    <n v="-0.25707175926072523"/>
    <x v="16"/>
  </r>
  <r>
    <n v="1006"/>
    <s v="1006111"/>
    <d v="2023-09-24T06:10:11"/>
    <s v="type40"/>
    <n v="-2756.33"/>
    <x v="2"/>
    <d v="2023-10-01T06:10:11"/>
    <x v="1"/>
    <d v="2023-10-03T00:00:00"/>
    <n v="8.7429282407392748"/>
    <x v="1"/>
    <x v="22"/>
    <n v="1.7429282407392748"/>
    <x v="22"/>
  </r>
  <r>
    <n v="1033"/>
    <s v="1033111"/>
    <d v="2023-09-25T06:10:11"/>
    <s v="type40"/>
    <n v="-636.04999999999995"/>
    <x v="4"/>
    <d v="2023-09-27T06:10:11"/>
    <x v="4"/>
    <d v="2023-10-03T00:00:00"/>
    <n v="7.7429282407392748"/>
    <x v="1"/>
    <x v="12"/>
    <n v="5.7429282407392748"/>
    <x v="12"/>
  </r>
  <r>
    <n v="1008"/>
    <s v="1008111"/>
    <d v="2023-09-24T06:10:11"/>
    <s v="type40"/>
    <n v="2270.73"/>
    <x v="0"/>
    <d v="2023-09-25T06:10:11"/>
    <x v="1"/>
    <d v="2023-10-03T00:00:00"/>
    <n v="8.7429282407392748"/>
    <x v="1"/>
    <x v="11"/>
    <n v="7.7429282407392748"/>
    <x v="11"/>
  </r>
  <r>
    <n v="1031"/>
    <s v="1031111"/>
    <d v="2023-09-15T06:10:11"/>
    <s v="type40"/>
    <n v="548.98"/>
    <x v="3"/>
    <d v="2023-09-16T06:10:11"/>
    <x v="4"/>
    <d v="2023-10-03T00:00:00"/>
    <n v="17.742928240739275"/>
    <x v="0"/>
    <x v="2"/>
    <n v="16.742928240739275"/>
    <x v="2"/>
  </r>
  <r>
    <n v="1011"/>
    <s v="1011111"/>
    <d v="2023-09-26T06:10:11"/>
    <s v="type40"/>
    <n v="1004.06"/>
    <x v="2"/>
    <d v="2023-09-27T06:10:11"/>
    <x v="1"/>
    <d v="2023-10-03T00:00:00"/>
    <n v="6.7429282407392748"/>
    <x v="1"/>
    <x v="12"/>
    <n v="5.7429282407392748"/>
    <x v="12"/>
  </r>
  <r>
    <n v="1025"/>
    <s v="1025111"/>
    <d v="2023-09-16T06:10:11"/>
    <s v="type12"/>
    <n v="60"/>
    <x v="1"/>
    <d v="2023-09-17T06:10:11"/>
    <x v="5"/>
    <d v="2023-10-03T00:00:00"/>
    <n v="16.742928240739275"/>
    <x v="0"/>
    <x v="4"/>
    <n v="15.742928240739275"/>
    <x v="4"/>
  </r>
  <r>
    <n v="1029"/>
    <s v="1029111"/>
    <d v="2023-09-17T06:10:11"/>
    <s v="type40"/>
    <n v="-1271.98"/>
    <x v="3"/>
    <d v="2023-09-18T06:10:11"/>
    <x v="5"/>
    <d v="2023-10-03T00:00:00"/>
    <n v="15.742928240739275"/>
    <x v="0"/>
    <x v="6"/>
    <n v="14.742928240739275"/>
    <x v="6"/>
  </r>
  <r>
    <n v="1029"/>
    <s v="1029111"/>
    <d v="2023-09-24T06:10:11"/>
    <s v="type28"/>
    <n v="1146.76"/>
    <x v="2"/>
    <d v="2023-09-26T06:10:11"/>
    <x v="5"/>
    <d v="2023-10-03T00:00:00"/>
    <n v="8.7429282407392748"/>
    <x v="1"/>
    <x v="7"/>
    <n v="6.7429282407392748"/>
    <x v="7"/>
  </r>
  <r>
    <n v="1003"/>
    <s v="1003111"/>
    <d v="2023-09-18T06:10:11"/>
    <s v="type40"/>
    <n v="4.01"/>
    <x v="1"/>
    <d v="2023-09-19T06:10:11"/>
    <x v="3"/>
    <d v="2023-10-03T00:00:00"/>
    <n v="14.742928240739275"/>
    <x v="0"/>
    <x v="19"/>
    <n v="13.742928240739275"/>
    <x v="19"/>
  </r>
  <r>
    <n v="1027"/>
    <s v="1027111"/>
    <d v="2023-09-24T06:10:11"/>
    <s v="type13"/>
    <n v="21080.36"/>
    <x v="2"/>
    <d v="2023-10-01T06:10:11"/>
    <x v="5"/>
    <d v="2023-10-03T00:00:00"/>
    <n v="8.7429282407392748"/>
    <x v="1"/>
    <x v="22"/>
    <n v="1.7429282407392748"/>
    <x v="22"/>
  </r>
  <r>
    <n v="1015"/>
    <s v="1015111"/>
    <d v="2023-09-25T06:10:11"/>
    <s v="type40"/>
    <n v="15"/>
    <x v="0"/>
    <d v="2023-09-27T06:10:11"/>
    <x v="2"/>
    <d v="2023-10-03T00:00:00"/>
    <n v="7.7429282407392748"/>
    <x v="1"/>
    <x v="12"/>
    <n v="5.7429282407392748"/>
    <x v="12"/>
  </r>
  <r>
    <n v="1028"/>
    <s v="1028111"/>
    <d v="2023-09-20T06:10:11"/>
    <s v="type35"/>
    <n v="1019.58"/>
    <x v="3"/>
    <d v="2023-09-21T06:10:11"/>
    <x v="5"/>
    <d v="2023-10-03T00:00:00"/>
    <n v="12.742928240739275"/>
    <x v="0"/>
    <x v="1"/>
    <n v="11.742928240739275"/>
    <x v="1"/>
  </r>
  <r>
    <n v="1017"/>
    <s v="1017111"/>
    <d v="2023-09-21T06:10:11"/>
    <s v="type40"/>
    <n v="511.26"/>
    <x v="3"/>
    <d v="2023-09-22T06:10:11"/>
    <x v="2"/>
    <d v="2023-10-03T00:00:00"/>
    <n v="11.742928240739275"/>
    <x v="0"/>
    <x v="10"/>
    <n v="10.742928240739275"/>
    <x v="10"/>
  </r>
  <r>
    <n v="1008"/>
    <s v="1008111"/>
    <d v="2023-09-26T06:10:11"/>
    <s v="type40"/>
    <n v="-355.71"/>
    <x v="5"/>
    <d v="2023-10-03T06:10:11"/>
    <x v="1"/>
    <d v="2023-10-03T00:00:00"/>
    <n v="6.7429282407392748"/>
    <x v="1"/>
    <x v="16"/>
    <n v="-0.25707175926072523"/>
    <x v="16"/>
  </r>
  <r>
    <n v="1034"/>
    <s v="1034111"/>
    <d v="2023-09-24T06:10:11"/>
    <s v="type40"/>
    <n v="-477.09"/>
    <x v="5"/>
    <d v="2023-09-25T06:10:11"/>
    <x v="4"/>
    <d v="2023-10-03T00:00:00"/>
    <n v="8.7429282407392748"/>
    <x v="1"/>
    <x v="11"/>
    <n v="7.7429282407392748"/>
    <x v="11"/>
  </r>
  <r>
    <n v="1025"/>
    <s v="1025111"/>
    <d v="2023-09-24T06:10:11"/>
    <s v="type13"/>
    <n v="17328.43"/>
    <x v="0"/>
    <d v="2023-09-25T06:10:11"/>
    <x v="5"/>
    <d v="2023-10-03T00:00:00"/>
    <n v="8.7429282407392748"/>
    <x v="1"/>
    <x v="11"/>
    <n v="7.7429282407392748"/>
    <x v="11"/>
  </r>
  <r>
    <n v="1006"/>
    <s v="1006111"/>
    <d v="2023-09-24T06:10:11"/>
    <s v="type13"/>
    <n v="79278.899999999994"/>
    <x v="4"/>
    <d v="2023-09-25T06:10:11"/>
    <x v="1"/>
    <d v="2023-10-03T00:00:00"/>
    <n v="8.7429282407392748"/>
    <x v="1"/>
    <x v="11"/>
    <n v="7.7429282407392748"/>
    <x v="11"/>
  </r>
  <r>
    <n v="1000"/>
    <s v="1000111"/>
    <d v="2023-09-26T06:10:11"/>
    <s v="type40"/>
    <n v="90"/>
    <x v="2"/>
    <d v="2023-09-28T06:10:11"/>
    <x v="3"/>
    <d v="2023-10-03T00:00:00"/>
    <n v="6.7429282407392748"/>
    <x v="1"/>
    <x v="8"/>
    <n v="4.7429282407392748"/>
    <x v="8"/>
  </r>
  <r>
    <n v="1006"/>
    <s v="1006111"/>
    <d v="2023-09-26T06:10:11"/>
    <s v="type40"/>
    <n v="346.55"/>
    <x v="3"/>
    <d v="2023-09-28T06:10:11"/>
    <x v="1"/>
    <d v="2023-10-03T00:00:00"/>
    <n v="6.7429282407392748"/>
    <x v="1"/>
    <x v="8"/>
    <n v="4.7429282407392748"/>
    <x v="8"/>
  </r>
  <r>
    <n v="1011"/>
    <s v="1011111"/>
    <d v="2023-09-25T06:10:11"/>
    <s v="type40"/>
    <n v="350.19"/>
    <x v="4"/>
    <d v="2023-09-26T06:10:11"/>
    <x v="1"/>
    <d v="2023-10-03T00:00:00"/>
    <n v="7.7429282407392748"/>
    <x v="1"/>
    <x v="7"/>
    <n v="6.7429282407392748"/>
    <x v="7"/>
  </r>
  <r>
    <n v="1032"/>
    <s v="1032111"/>
    <d v="2023-09-28T06:10:11"/>
    <s v="type40"/>
    <n v="834.44"/>
    <x v="1"/>
    <d v="2023-09-30T06:10:11"/>
    <x v="4"/>
    <d v="2023-10-03T00:00:00"/>
    <n v="4.7429282407392748"/>
    <x v="2"/>
    <x v="14"/>
    <n v="2.7429282407392748"/>
    <x v="14"/>
  </r>
  <r>
    <n v="1017"/>
    <s v="1017111"/>
    <d v="2023-09-16T06:10:11"/>
    <s v="type40"/>
    <n v="865.32"/>
    <x v="3"/>
    <d v="2023-09-18T06:10:11"/>
    <x v="2"/>
    <d v="2023-10-03T00:00:00"/>
    <n v="16.742928240739275"/>
    <x v="0"/>
    <x v="6"/>
    <n v="14.742928240739275"/>
    <x v="6"/>
  </r>
  <r>
    <n v="1023"/>
    <s v="1023111"/>
    <d v="2023-09-17T06:10:11"/>
    <s v="type40"/>
    <n v="322.51"/>
    <x v="1"/>
    <d v="2023-09-19T06:10:11"/>
    <x v="0"/>
    <d v="2023-10-03T00:00:00"/>
    <n v="15.742928240739275"/>
    <x v="0"/>
    <x v="19"/>
    <n v="13.742928240739275"/>
    <x v="19"/>
  </r>
  <r>
    <n v="1022"/>
    <s v="1022111"/>
    <d v="2023-09-26T06:10:11"/>
    <s v="type40"/>
    <n v="1096.3499999999999"/>
    <x v="4"/>
    <d v="2023-09-28T06:10:11"/>
    <x v="0"/>
    <d v="2023-10-03T00:00:00"/>
    <n v="6.7429282407392748"/>
    <x v="1"/>
    <x v="8"/>
    <n v="4.7429282407392748"/>
    <x v="8"/>
  </r>
  <r>
    <n v="1035"/>
    <s v="1035111"/>
    <d v="2023-09-26T06:10:11"/>
    <s v="type40"/>
    <n v="-539.6"/>
    <x v="5"/>
    <d v="2023-09-27T06:10:11"/>
    <x v="4"/>
    <d v="2023-10-03T00:00:00"/>
    <n v="6.7429282407392748"/>
    <x v="1"/>
    <x v="12"/>
    <n v="5.7429282407392748"/>
    <x v="12"/>
  </r>
  <r>
    <n v="1021"/>
    <s v="1021111"/>
    <d v="2023-09-19T06:10:11"/>
    <s v="type7"/>
    <n v="-1292.3900000000001"/>
    <x v="1"/>
    <d v="2023-09-21T06:10:11"/>
    <x v="0"/>
    <d v="2023-10-03T00:00:00"/>
    <n v="13.742928240739275"/>
    <x v="0"/>
    <x v="1"/>
    <n v="11.742928240739275"/>
    <x v="1"/>
  </r>
  <r>
    <n v="1019"/>
    <s v="1019111"/>
    <d v="2023-09-20T06:10:11"/>
    <s v="type18"/>
    <n v="313066.25"/>
    <x v="1"/>
    <d v="2023-09-22T06:10:11"/>
    <x v="0"/>
    <d v="2023-10-03T00:00:00"/>
    <n v="12.742928240739275"/>
    <x v="0"/>
    <x v="10"/>
    <n v="10.742928240739275"/>
    <x v="10"/>
  </r>
  <r>
    <n v="1014"/>
    <s v="1014111"/>
    <d v="2023-09-20T06:10:11"/>
    <s v="type40"/>
    <n v="965.3"/>
    <x v="3"/>
    <d v="2023-09-22T06:10:11"/>
    <x v="2"/>
    <d v="2023-10-03T00:00:00"/>
    <n v="12.742928240739275"/>
    <x v="0"/>
    <x v="10"/>
    <n v="10.742928240739275"/>
    <x v="10"/>
  </r>
  <r>
    <n v="1016"/>
    <s v="1016111"/>
    <d v="2023-09-21T06:10:11"/>
    <s v="type40"/>
    <n v="-446.44"/>
    <x v="3"/>
    <d v="2023-09-23T06:10:11"/>
    <x v="2"/>
    <d v="2023-10-03T00:00:00"/>
    <n v="11.742928240739275"/>
    <x v="0"/>
    <x v="3"/>
    <n v="9.7429282407392748"/>
    <x v="3"/>
  </r>
  <r>
    <n v="1017"/>
    <s v="1017111"/>
    <d v="2023-09-26T06:10:11"/>
    <s v="type26"/>
    <n v="329.67"/>
    <x v="2"/>
    <d v="2023-10-01T06:10:11"/>
    <x v="2"/>
    <d v="2023-10-03T00:00:00"/>
    <n v="6.7429282407392748"/>
    <x v="1"/>
    <x v="22"/>
    <n v="1.7429282407392748"/>
    <x v="22"/>
  </r>
  <r>
    <n v="1025"/>
    <s v="1025111"/>
    <d v="2023-09-22T06:10:11"/>
    <s v="type40"/>
    <n v="-807.26"/>
    <x v="3"/>
    <d v="2023-09-24T06:10:11"/>
    <x v="5"/>
    <d v="2023-10-03T00:00:00"/>
    <n v="10.742928240739275"/>
    <x v="0"/>
    <x v="5"/>
    <n v="8.7429282407392748"/>
    <x v="5"/>
  </r>
  <r>
    <n v="1009"/>
    <s v="1009111"/>
    <d v="2023-09-23T06:10:11"/>
    <s v="type40"/>
    <n v="3350.39"/>
    <x v="1"/>
    <d v="2023-09-25T06:10:11"/>
    <x v="1"/>
    <d v="2023-10-03T00:00:00"/>
    <n v="9.7429282407392748"/>
    <x v="0"/>
    <x v="11"/>
    <n v="7.7429282407392748"/>
    <x v="11"/>
  </r>
  <r>
    <n v="1007"/>
    <s v="1007111"/>
    <d v="2023-09-24T06:10:11"/>
    <s v="type40"/>
    <n v="-760.98"/>
    <x v="3"/>
    <d v="2023-09-26T06:10:11"/>
    <x v="1"/>
    <d v="2023-10-03T00:00:00"/>
    <n v="8.7429282407392748"/>
    <x v="1"/>
    <x v="7"/>
    <n v="6.7429282407392748"/>
    <x v="7"/>
  </r>
  <r>
    <n v="1019"/>
    <s v="1019111"/>
    <d v="2023-09-25T06:10:11"/>
    <s v="type40"/>
    <n v="1570.74"/>
    <x v="3"/>
    <d v="2023-09-27T06:10:11"/>
    <x v="0"/>
    <d v="2023-10-03T00:00:00"/>
    <n v="7.7429282407392748"/>
    <x v="1"/>
    <x v="12"/>
    <n v="5.7429282407392748"/>
    <x v="12"/>
  </r>
  <r>
    <n v="1008"/>
    <s v="1008111"/>
    <d v="2023-09-24T06:10:11"/>
    <s v="type40"/>
    <n v="-358.31"/>
    <x v="5"/>
    <d v="2023-09-29T06:10:11"/>
    <x v="1"/>
    <d v="2023-10-03T00:00:00"/>
    <n v="8.7429282407392748"/>
    <x v="1"/>
    <x v="13"/>
    <n v="3.7429282407392748"/>
    <x v="13"/>
  </r>
  <r>
    <n v="1009"/>
    <s v="1009111"/>
    <d v="2023-09-24T06:10:11"/>
    <s v="type27"/>
    <n v="1042.5999999999999"/>
    <x v="5"/>
    <d v="2023-09-25T06:10:11"/>
    <x v="1"/>
    <d v="2023-10-03T00:00:00"/>
    <n v="8.7429282407392748"/>
    <x v="1"/>
    <x v="11"/>
    <n v="7.7429282407392748"/>
    <x v="11"/>
  </r>
  <r>
    <n v="1004"/>
    <s v="1004111"/>
    <d v="2023-09-26T06:10:11"/>
    <s v="type26"/>
    <n v="149.85"/>
    <x v="2"/>
    <d v="2023-10-03T06:10:11"/>
    <x v="3"/>
    <d v="2023-10-03T00:00:00"/>
    <n v="6.7429282407392748"/>
    <x v="1"/>
    <x v="16"/>
    <n v="-0.25707175926072523"/>
    <x v="16"/>
  </r>
  <r>
    <n v="1002"/>
    <s v="1002111"/>
    <d v="2023-09-24T06:10:11"/>
    <s v="type21"/>
    <n v="575.25"/>
    <x v="0"/>
    <d v="2023-09-26T06:10:11"/>
    <x v="3"/>
    <d v="2023-10-03T00:00:00"/>
    <n v="8.7429282407392748"/>
    <x v="1"/>
    <x v="7"/>
    <n v="6.7429282407392748"/>
    <x v="7"/>
  </r>
  <r>
    <n v="1025"/>
    <s v="1025111"/>
    <d v="2023-09-24T06:10:11"/>
    <s v="type40"/>
    <n v="-301.32"/>
    <x v="5"/>
    <d v="2023-10-01T06:10:11"/>
    <x v="5"/>
    <d v="2023-10-03T00:00:00"/>
    <n v="8.7429282407392748"/>
    <x v="1"/>
    <x v="22"/>
    <n v="1.7429282407392748"/>
    <x v="22"/>
  </r>
  <r>
    <n v="1033"/>
    <s v="1033111"/>
    <d v="2023-09-24T06:10:11"/>
    <s v="type40"/>
    <n v="-461.15"/>
    <x v="4"/>
    <d v="2023-09-25T06:10:11"/>
    <x v="4"/>
    <d v="2023-10-03T00:00:00"/>
    <n v="8.7429282407392748"/>
    <x v="1"/>
    <x v="11"/>
    <n v="7.7429282407392748"/>
    <x v="11"/>
  </r>
  <r>
    <n v="1016"/>
    <s v="1016111"/>
    <d v="2023-09-24T06:10:11"/>
    <s v="type13"/>
    <n v="15521.5"/>
    <x v="4"/>
    <d v="2023-09-25T06:10:11"/>
    <x v="2"/>
    <d v="2023-10-03T00:00:00"/>
    <n v="8.7429282407392748"/>
    <x v="1"/>
    <x v="11"/>
    <n v="7.7429282407392748"/>
    <x v="11"/>
  </r>
  <r>
    <n v="1013"/>
    <s v="1013111"/>
    <d v="2023-09-24T06:10:11"/>
    <s v="type40"/>
    <n v="-489.63"/>
    <x v="5"/>
    <d v="2023-10-01T06:10:11"/>
    <x v="2"/>
    <d v="2023-10-03T00:00:00"/>
    <n v="8.7429282407392748"/>
    <x v="1"/>
    <x v="22"/>
    <n v="1.7429282407392748"/>
    <x v="22"/>
  </r>
  <r>
    <n v="1021"/>
    <s v="1021111"/>
    <d v="2023-09-26T06:10:11"/>
    <s v="type27"/>
    <n v="819.23"/>
    <x v="0"/>
    <d v="2023-09-28T06:10:11"/>
    <x v="0"/>
    <d v="2023-10-03T00:00:00"/>
    <n v="6.7429282407392748"/>
    <x v="1"/>
    <x v="8"/>
    <n v="4.7429282407392748"/>
    <x v="8"/>
  </r>
  <r>
    <n v="1005"/>
    <s v="1005111"/>
    <d v="2023-09-14T06:10:11"/>
    <s v="type26"/>
    <n v="251.34"/>
    <x v="3"/>
    <d v="2023-09-19T06:10:11"/>
    <x v="3"/>
    <d v="2023-10-03T00:00:00"/>
    <n v="18.742928240739275"/>
    <x v="0"/>
    <x v="19"/>
    <n v="13.742928240739275"/>
    <x v="19"/>
  </r>
  <r>
    <n v="1022"/>
    <s v="1022111"/>
    <d v="2023-09-25T06:10:11"/>
    <s v="type13"/>
    <n v="33384.949999999997"/>
    <x v="4"/>
    <d v="2023-09-26T06:10:11"/>
    <x v="0"/>
    <d v="2023-10-03T00:00:00"/>
    <n v="7.7429282407392748"/>
    <x v="1"/>
    <x v="7"/>
    <n v="6.7429282407392748"/>
    <x v="7"/>
  </r>
  <r>
    <n v="1028"/>
    <s v="1028111"/>
    <d v="2023-09-26T06:10:11"/>
    <s v="type26"/>
    <n v="214.25"/>
    <x v="4"/>
    <d v="2023-10-01T06:10:11"/>
    <x v="5"/>
    <d v="2023-10-03T00:00:00"/>
    <n v="6.7429282407392748"/>
    <x v="1"/>
    <x v="22"/>
    <n v="1.7429282407392748"/>
    <x v="22"/>
  </r>
  <r>
    <n v="1018"/>
    <s v="1018111"/>
    <d v="2023-09-25T06:10:11"/>
    <s v="type40"/>
    <n v="-1140.3499999999999"/>
    <x v="0"/>
    <d v="2023-09-27T06:10:11"/>
    <x v="0"/>
    <d v="2023-10-03T00:00:00"/>
    <n v="7.7429282407392748"/>
    <x v="1"/>
    <x v="12"/>
    <n v="5.7429282407392748"/>
    <x v="12"/>
  </r>
  <r>
    <n v="1000"/>
    <s v="1000111"/>
    <d v="2023-09-26T06:10:11"/>
    <s v="type40"/>
    <n v="99"/>
    <x v="2"/>
    <d v="2023-10-03T06:10:11"/>
    <x v="3"/>
    <d v="2023-10-03T00:00:00"/>
    <n v="6.7429282407392748"/>
    <x v="1"/>
    <x v="16"/>
    <n v="-0.25707175926072523"/>
    <x v="16"/>
  </r>
  <r>
    <n v="1028"/>
    <s v="1028111"/>
    <d v="2023-09-26T06:10:11"/>
    <s v="type8"/>
    <n v="55.25"/>
    <x v="2"/>
    <d v="2023-09-27T06:10:11"/>
    <x v="5"/>
    <d v="2023-10-03T00:00:00"/>
    <n v="6.7429282407392748"/>
    <x v="1"/>
    <x v="12"/>
    <n v="5.7429282407392748"/>
    <x v="12"/>
  </r>
  <r>
    <n v="1019"/>
    <s v="1019111"/>
    <d v="2023-09-26T06:10:11"/>
    <s v="type27"/>
    <n v="1345.86"/>
    <x v="4"/>
    <d v="2023-09-28T06:10:11"/>
    <x v="0"/>
    <d v="2023-10-03T00:00:00"/>
    <n v="6.7429282407392748"/>
    <x v="1"/>
    <x v="8"/>
    <n v="4.7429282407392748"/>
    <x v="8"/>
  </r>
  <r>
    <n v="1000"/>
    <s v="1000111"/>
    <d v="2023-09-18T06:10:11"/>
    <s v="type10"/>
    <n v="396.43"/>
    <x v="3"/>
    <d v="2023-09-25T06:10:11"/>
    <x v="3"/>
    <d v="2023-10-03T00:00:00"/>
    <n v="14.742928240739275"/>
    <x v="0"/>
    <x v="11"/>
    <n v="7.7429282407392748"/>
    <x v="11"/>
  </r>
  <r>
    <n v="1002"/>
    <s v="1002111"/>
    <d v="2023-09-25T06:10:11"/>
    <s v="type40"/>
    <n v="-850.47"/>
    <x v="2"/>
    <d v="2023-09-26T06:10:11"/>
    <x v="3"/>
    <d v="2023-10-03T00:00:00"/>
    <n v="7.7429282407392748"/>
    <x v="1"/>
    <x v="7"/>
    <n v="6.7429282407392748"/>
    <x v="7"/>
  </r>
  <r>
    <n v="1008"/>
    <s v="1008111"/>
    <d v="2023-09-24T06:10:11"/>
    <s v="type40"/>
    <n v="-879.98"/>
    <x v="2"/>
    <d v="2023-09-25T06:10:11"/>
    <x v="1"/>
    <d v="2023-10-03T00:00:00"/>
    <n v="8.7429282407392748"/>
    <x v="1"/>
    <x v="11"/>
    <n v="7.7429282407392748"/>
    <x v="11"/>
  </r>
  <r>
    <n v="1007"/>
    <s v="1007111"/>
    <d v="2023-09-20T06:10:11"/>
    <s v="type40"/>
    <n v="397.81"/>
    <x v="3"/>
    <d v="2023-09-27T06:10:11"/>
    <x v="1"/>
    <d v="2023-10-03T00:00:00"/>
    <n v="12.742928240739275"/>
    <x v="0"/>
    <x v="12"/>
    <n v="5.7429282407392748"/>
    <x v="12"/>
  </r>
  <r>
    <n v="1032"/>
    <s v="1032111"/>
    <d v="2023-09-21T06:10:11"/>
    <s v="type41"/>
    <n v="588.35"/>
    <x v="1"/>
    <d v="2023-09-28T06:10:11"/>
    <x v="4"/>
    <d v="2023-10-03T00:00:00"/>
    <n v="11.742928240739275"/>
    <x v="0"/>
    <x v="8"/>
    <n v="4.7429282407392748"/>
    <x v="8"/>
  </r>
  <r>
    <n v="1032"/>
    <s v="1032111"/>
    <d v="2023-09-21T06:10:11"/>
    <s v="type40"/>
    <n v="-515.69000000000005"/>
    <x v="1"/>
    <d v="2023-09-28T06:10:11"/>
    <x v="4"/>
    <d v="2023-10-03T00:00:00"/>
    <n v="11.742928240739275"/>
    <x v="0"/>
    <x v="8"/>
    <n v="4.7429282407392748"/>
    <x v="8"/>
  </r>
  <r>
    <n v="1026"/>
    <s v="1026111"/>
    <d v="2023-09-25T06:10:11"/>
    <s v="type40"/>
    <n v="20"/>
    <x v="5"/>
    <d v="2023-09-26T06:10:11"/>
    <x v="5"/>
    <d v="2023-10-03T00:00:00"/>
    <n v="7.7429282407392748"/>
    <x v="1"/>
    <x v="7"/>
    <n v="6.7429282407392748"/>
    <x v="7"/>
  </r>
  <r>
    <n v="1016"/>
    <s v="1016111"/>
    <d v="2023-09-23T06:10:11"/>
    <s v="type42"/>
    <n v="190"/>
    <x v="1"/>
    <d v="2023-09-30T06:10:11"/>
    <x v="2"/>
    <d v="2023-10-03T00:00:00"/>
    <n v="9.7429282407392748"/>
    <x v="0"/>
    <x v="14"/>
    <n v="2.7429282407392748"/>
    <x v="14"/>
  </r>
  <r>
    <n v="1015"/>
    <s v="1015111"/>
    <d v="2023-09-24T06:10:11"/>
    <s v="type40"/>
    <n v="-446.43"/>
    <x v="4"/>
    <d v="2023-10-01T06:10:11"/>
    <x v="2"/>
    <d v="2023-10-03T00:00:00"/>
    <n v="8.7429282407392748"/>
    <x v="1"/>
    <x v="22"/>
    <n v="1.7429282407392748"/>
    <x v="22"/>
  </r>
  <r>
    <n v="1016"/>
    <s v="1016111"/>
    <d v="2023-09-26T06:10:11"/>
    <s v="type40"/>
    <n v="-10177.81"/>
    <x v="2"/>
    <d v="2023-09-28T06:10:11"/>
    <x v="2"/>
    <d v="2023-10-03T00:00:00"/>
    <n v="6.7429282407392748"/>
    <x v="1"/>
    <x v="8"/>
    <n v="4.7429282407392748"/>
    <x v="8"/>
  </r>
  <r>
    <n v="1026"/>
    <s v="1026111"/>
    <d v="2023-09-26T06:10:11"/>
    <s v="type43"/>
    <n v="417.42"/>
    <x v="1"/>
    <d v="2023-10-03T06:10:11"/>
    <x v="5"/>
    <d v="2023-10-03T00:00:00"/>
    <n v="6.7429282407392748"/>
    <x v="1"/>
    <x v="16"/>
    <n v="-0.25707175926072523"/>
    <x v="16"/>
  </r>
  <r>
    <n v="1014"/>
    <s v="1014111"/>
    <d v="2023-09-27T06:10:11"/>
    <s v="type39"/>
    <n v="309.76"/>
    <x v="3"/>
    <d v="2023-10-04T06:10:11"/>
    <x v="2"/>
    <d v="2023-10-03T00:00:00"/>
    <n v="5.7429282407392748"/>
    <x v="2"/>
    <x v="23"/>
    <n v="-1.2570717592607252"/>
    <x v="23"/>
  </r>
  <r>
    <n v="1015"/>
    <s v="1015111"/>
    <d v="2023-09-24T06:10:11"/>
    <s v="type40"/>
    <n v="398.73"/>
    <x v="2"/>
    <d v="2023-09-25T06:10:11"/>
    <x v="2"/>
    <d v="2023-10-03T00:00:00"/>
    <n v="8.7429282407392748"/>
    <x v="1"/>
    <x v="11"/>
    <n v="7.7429282407392748"/>
    <x v="11"/>
  </r>
  <r>
    <n v="1002"/>
    <s v="1002111"/>
    <d v="2023-09-16T06:10:11"/>
    <s v="type40"/>
    <n v="-3198.23"/>
    <x v="3"/>
    <d v="2023-09-17T06:10:11"/>
    <x v="3"/>
    <d v="2023-10-03T00:00:00"/>
    <n v="16.742928240739275"/>
    <x v="0"/>
    <x v="4"/>
    <n v="15.742928240739275"/>
    <x v="4"/>
  </r>
  <r>
    <n v="1029"/>
    <s v="1029111"/>
    <d v="2023-09-26T06:10:11"/>
    <s v="type13"/>
    <n v="41535.440000000002"/>
    <x v="4"/>
    <d v="2023-10-03T06:10:11"/>
    <x v="5"/>
    <d v="2023-10-03T00:00:00"/>
    <n v="6.7429282407392748"/>
    <x v="1"/>
    <x v="16"/>
    <n v="-0.25707175926072523"/>
    <x v="16"/>
  </r>
  <r>
    <n v="1002"/>
    <s v="1002111"/>
    <d v="2023-09-25T06:10:11"/>
    <s v="type40"/>
    <n v="-3002.14"/>
    <x v="5"/>
    <d v="2023-09-26T06:10:11"/>
    <x v="3"/>
    <d v="2023-10-03T00:00:00"/>
    <n v="7.7429282407392748"/>
    <x v="1"/>
    <x v="7"/>
    <n v="6.7429282407392748"/>
    <x v="7"/>
  </r>
  <r>
    <n v="1025"/>
    <s v="1025111"/>
    <d v="2023-09-26T06:10:11"/>
    <s v="type13"/>
    <n v="38367.919999999998"/>
    <x v="0"/>
    <d v="2023-09-27T06:10:11"/>
    <x v="5"/>
    <d v="2023-10-03T00:00:00"/>
    <n v="6.7429282407392748"/>
    <x v="1"/>
    <x v="12"/>
    <n v="5.7429282407392748"/>
    <x v="12"/>
  </r>
  <r>
    <n v="1012"/>
    <s v="1012111"/>
    <d v="2023-09-19T06:10:11"/>
    <s v="type40"/>
    <n v="-317.48"/>
    <x v="1"/>
    <d v="2023-09-20T06:10:11"/>
    <x v="2"/>
    <d v="2023-10-03T00:00:00"/>
    <n v="13.742928240739275"/>
    <x v="0"/>
    <x v="9"/>
    <n v="12.742928240739275"/>
    <x v="9"/>
  </r>
  <r>
    <n v="1001"/>
    <s v="1001111"/>
    <d v="2023-09-24T06:10:11"/>
    <s v="type40"/>
    <n v="17.82"/>
    <x v="5"/>
    <d v="2023-09-25T06:10:11"/>
    <x v="3"/>
    <d v="2023-10-03T00:00:00"/>
    <n v="8.7429282407392748"/>
    <x v="1"/>
    <x v="11"/>
    <n v="7.7429282407392748"/>
    <x v="11"/>
  </r>
  <r>
    <n v="1001"/>
    <s v="1001111"/>
    <d v="2023-09-20T06:10:11"/>
    <s v="type40"/>
    <n v="-538.36"/>
    <x v="1"/>
    <d v="2023-09-21T06:10:11"/>
    <x v="3"/>
    <d v="2023-10-03T00:00:00"/>
    <n v="12.742928240739275"/>
    <x v="0"/>
    <x v="1"/>
    <n v="11.742928240739275"/>
    <x v="1"/>
  </r>
  <r>
    <n v="1035"/>
    <s v="1035111"/>
    <d v="2023-09-26T06:10:11"/>
    <s v="type7"/>
    <n v="-1713.98"/>
    <x v="4"/>
    <d v="2023-10-03T06:10:11"/>
    <x v="4"/>
    <d v="2023-10-03T00:00:00"/>
    <n v="6.7429282407392748"/>
    <x v="1"/>
    <x v="16"/>
    <n v="-0.25707175926072523"/>
    <x v="16"/>
  </r>
  <r>
    <n v="1002"/>
    <s v="1002111"/>
    <d v="2023-09-21T06:10:11"/>
    <s v="type40"/>
    <n v="477.07"/>
    <x v="1"/>
    <d v="2023-09-22T06:10:11"/>
    <x v="3"/>
    <d v="2023-10-03T00:00:00"/>
    <n v="11.742928240739275"/>
    <x v="0"/>
    <x v="10"/>
    <n v="10.742928240739275"/>
    <x v="10"/>
  </r>
  <r>
    <n v="1007"/>
    <s v="1007111"/>
    <d v="2023-09-25T06:10:11"/>
    <s v="type40"/>
    <n v="-949.71"/>
    <x v="4"/>
    <d v="2023-09-26T06:10:11"/>
    <x v="1"/>
    <d v="2023-10-03T00:00:00"/>
    <n v="7.7429282407392748"/>
    <x v="1"/>
    <x v="7"/>
    <n v="6.7429282407392748"/>
    <x v="7"/>
  </r>
  <r>
    <n v="1006"/>
    <s v="1006111"/>
    <d v="2023-09-26T06:10:11"/>
    <s v="type24"/>
    <n v="274.27999999999997"/>
    <x v="5"/>
    <d v="2023-09-27T06:10:11"/>
    <x v="1"/>
    <d v="2023-10-03T00:00:00"/>
    <n v="6.7429282407392748"/>
    <x v="1"/>
    <x v="12"/>
    <n v="5.7429282407392748"/>
    <x v="12"/>
  </r>
  <r>
    <n v="1022"/>
    <s v="1022111"/>
    <d v="2023-09-24T06:10:11"/>
    <s v="type22"/>
    <n v="1134.74"/>
    <x v="3"/>
    <d v="2023-09-25T06:10:11"/>
    <x v="0"/>
    <d v="2023-10-03T00:00:00"/>
    <n v="8.7429282407392748"/>
    <x v="1"/>
    <x v="11"/>
    <n v="7.7429282407392748"/>
    <x v="11"/>
  </r>
  <r>
    <n v="1031"/>
    <s v="1031111"/>
    <d v="2023-09-25T06:10:11"/>
    <s v="type30"/>
    <n v="157.68"/>
    <x v="1"/>
    <d v="2023-09-26T06:10:11"/>
    <x v="4"/>
    <d v="2023-10-03T00:00:00"/>
    <n v="7.7429282407392748"/>
    <x v="1"/>
    <x v="7"/>
    <n v="6.7429282407392748"/>
    <x v="7"/>
  </r>
  <r>
    <n v="1018"/>
    <s v="1018111"/>
    <d v="2023-09-25T06:10:11"/>
    <s v="type40"/>
    <n v="-391.07"/>
    <x v="0"/>
    <d v="2023-10-02T06:10:11"/>
    <x v="0"/>
    <d v="2023-10-03T00:00:00"/>
    <n v="7.7429282407392748"/>
    <x v="1"/>
    <x v="15"/>
    <n v="0.74292824073927477"/>
    <x v="15"/>
  </r>
  <r>
    <n v="1030"/>
    <s v="1030111"/>
    <d v="2023-09-25T06:10:11"/>
    <s v="type40"/>
    <n v="-791.2"/>
    <x v="2"/>
    <d v="2023-09-30T06:10:11"/>
    <x v="4"/>
    <d v="2023-10-03T00:00:00"/>
    <n v="7.7429282407392748"/>
    <x v="1"/>
    <x v="14"/>
    <n v="2.7429282407392748"/>
    <x v="14"/>
  </r>
  <r>
    <n v="1006"/>
    <s v="1006111"/>
    <d v="2023-09-28T06:10:11"/>
    <s v="type26"/>
    <n v="215.84"/>
    <x v="3"/>
    <d v="2023-09-29T06:10:11"/>
    <x v="1"/>
    <d v="2023-10-03T00:00:00"/>
    <n v="4.7429282407392748"/>
    <x v="2"/>
    <x v="13"/>
    <n v="3.7429282407392748"/>
    <x v="13"/>
  </r>
  <r>
    <n v="1011"/>
    <s v="1011111"/>
    <d v="2023-09-10T06:10:11"/>
    <s v="type17"/>
    <n v="67774.399999999994"/>
    <x v="1"/>
    <d v="2023-09-11T06:10:11"/>
    <x v="1"/>
    <d v="2023-10-03T00:00:00"/>
    <n v="22.742928240739275"/>
    <x v="0"/>
    <x v="21"/>
    <n v="21.742928240739275"/>
    <x v="21"/>
  </r>
  <r>
    <n v="1002"/>
    <s v="1002111"/>
    <d v="2023-09-24T06:10:11"/>
    <s v="type40"/>
    <n v="-847.18"/>
    <x v="0"/>
    <d v="2023-09-25T06:10:11"/>
    <x v="3"/>
    <d v="2023-10-03T00:00:00"/>
    <n v="8.7429282407392748"/>
    <x v="1"/>
    <x v="11"/>
    <n v="7.7429282407392748"/>
    <x v="11"/>
  </r>
  <r>
    <n v="1027"/>
    <s v="1027111"/>
    <d v="2023-09-24T06:10:11"/>
    <s v="type40"/>
    <n v="-487.55"/>
    <x v="2"/>
    <d v="2023-10-01T06:10:11"/>
    <x v="5"/>
    <d v="2023-10-03T00:00:00"/>
    <n v="8.7429282407392748"/>
    <x v="1"/>
    <x v="22"/>
    <n v="1.7429282407392748"/>
    <x v="22"/>
  </r>
  <r>
    <n v="1026"/>
    <s v="1026111"/>
    <d v="2023-09-26T06:10:11"/>
    <s v="type40"/>
    <n v="-456.42"/>
    <x v="4"/>
    <d v="2023-10-01T06:10:11"/>
    <x v="5"/>
    <d v="2023-10-03T00:00:00"/>
    <n v="6.7429282407392748"/>
    <x v="1"/>
    <x v="22"/>
    <n v="1.7429282407392748"/>
    <x v="22"/>
  </r>
  <r>
    <n v="1007"/>
    <s v="1007111"/>
    <d v="2023-09-13T06:10:11"/>
    <s v="type40"/>
    <n v="500.06"/>
    <x v="1"/>
    <d v="2023-09-15T06:10:11"/>
    <x v="1"/>
    <d v="2023-10-03T00:00:00"/>
    <n v="19.742928240739275"/>
    <x v="0"/>
    <x v="0"/>
    <n v="17.742928240739275"/>
    <x v="0"/>
  </r>
  <r>
    <n v="1024"/>
    <s v="1024111"/>
    <d v="2023-09-14T06:10:11"/>
    <s v="type5"/>
    <n v="5162.09"/>
    <x v="3"/>
    <d v="2023-09-16T06:10:11"/>
    <x v="5"/>
    <d v="2023-10-03T00:00:00"/>
    <n v="18.742928240739275"/>
    <x v="0"/>
    <x v="2"/>
    <n v="16.742928240739275"/>
    <x v="2"/>
  </r>
  <r>
    <n v="1024"/>
    <s v="1024111"/>
    <d v="2023-09-24T06:10:11"/>
    <s v="type40"/>
    <n v="-1004.33"/>
    <x v="0"/>
    <d v="2023-10-01T06:10:11"/>
    <x v="5"/>
    <d v="2023-10-03T00:00:00"/>
    <n v="8.7429282407392748"/>
    <x v="1"/>
    <x v="22"/>
    <n v="1.7429282407392748"/>
    <x v="22"/>
  </r>
  <r>
    <n v="1014"/>
    <s v="1014111"/>
    <d v="2023-09-26T06:10:11"/>
    <s v="type40"/>
    <n v="999.95"/>
    <x v="2"/>
    <d v="2023-10-03T06:10:11"/>
    <x v="2"/>
    <d v="2023-10-03T00:00:00"/>
    <n v="6.7429282407392748"/>
    <x v="1"/>
    <x v="16"/>
    <n v="-0.25707175926072523"/>
    <x v="16"/>
  </r>
  <r>
    <n v="1007"/>
    <s v="1007111"/>
    <d v="2023-09-24T06:10:11"/>
    <s v="type16"/>
    <n v="-1722"/>
    <x v="4"/>
    <d v="2023-09-25T06:10:11"/>
    <x v="1"/>
    <d v="2023-10-03T00:00:00"/>
    <n v="8.7429282407392748"/>
    <x v="1"/>
    <x v="11"/>
    <n v="7.7429282407392748"/>
    <x v="11"/>
  </r>
  <r>
    <n v="1008"/>
    <s v="1008111"/>
    <d v="2023-09-16T06:10:11"/>
    <s v="type40"/>
    <n v="2264.1799999999998"/>
    <x v="1"/>
    <d v="2023-09-18T06:10:11"/>
    <x v="1"/>
    <d v="2023-10-03T00:00:00"/>
    <n v="16.742928240739275"/>
    <x v="0"/>
    <x v="6"/>
    <n v="14.742928240739275"/>
    <x v="6"/>
  </r>
  <r>
    <n v="1012"/>
    <s v="1012111"/>
    <d v="2023-09-24T06:10:11"/>
    <s v="type40"/>
    <n v="5088.96"/>
    <x v="5"/>
    <d v="2023-09-29T06:10:11"/>
    <x v="2"/>
    <d v="2023-10-03T00:00:00"/>
    <n v="8.7429282407392748"/>
    <x v="1"/>
    <x v="13"/>
    <n v="3.7429282407392748"/>
    <x v="13"/>
  </r>
  <r>
    <n v="1013"/>
    <s v="1013111"/>
    <d v="2023-09-17T06:10:11"/>
    <s v="type13"/>
    <n v="26094"/>
    <x v="3"/>
    <d v="2023-09-19T06:10:11"/>
    <x v="2"/>
    <d v="2023-10-03T00:00:00"/>
    <n v="15.742928240739275"/>
    <x v="0"/>
    <x v="19"/>
    <n v="13.742928240739275"/>
    <x v="19"/>
  </r>
  <r>
    <n v="1021"/>
    <s v="1021111"/>
    <d v="2023-09-26T06:10:11"/>
    <s v="type33"/>
    <n v="418.6"/>
    <x v="5"/>
    <d v="2023-10-03T06:10:11"/>
    <x v="0"/>
    <d v="2023-10-03T00:00:00"/>
    <n v="6.7429282407392748"/>
    <x v="1"/>
    <x v="16"/>
    <n v="-0.25707175926072523"/>
    <x v="16"/>
  </r>
  <r>
    <n v="1012"/>
    <s v="1012111"/>
    <d v="2023-09-18T06:10:11"/>
    <s v="type40"/>
    <n v="856.03"/>
    <x v="1"/>
    <d v="2023-09-20T06:10:11"/>
    <x v="2"/>
    <d v="2023-10-03T00:00:00"/>
    <n v="14.742928240739275"/>
    <x v="0"/>
    <x v="9"/>
    <n v="12.742928240739275"/>
    <x v="9"/>
  </r>
  <r>
    <n v="1032"/>
    <s v="1032111"/>
    <d v="2023-09-26T06:10:11"/>
    <s v="type38"/>
    <n v="151.82"/>
    <x v="2"/>
    <d v="2023-09-27T06:10:11"/>
    <x v="4"/>
    <d v="2023-10-03T00:00:00"/>
    <n v="6.7429282407392748"/>
    <x v="1"/>
    <x v="12"/>
    <n v="5.7429282407392748"/>
    <x v="12"/>
  </r>
  <r>
    <n v="1013"/>
    <s v="1013111"/>
    <d v="2023-09-25T06:10:11"/>
    <s v="type40"/>
    <n v="-319.02999999999997"/>
    <x v="5"/>
    <d v="2023-09-27T06:10:11"/>
    <x v="2"/>
    <d v="2023-10-03T00:00:00"/>
    <n v="7.7429282407392748"/>
    <x v="1"/>
    <x v="12"/>
    <n v="5.7429282407392748"/>
    <x v="12"/>
  </r>
  <r>
    <n v="1019"/>
    <s v="1019111"/>
    <d v="2023-09-25T06:10:11"/>
    <s v="type49"/>
    <n v="0"/>
    <x v="4"/>
    <d v="2023-09-27T06:10:11"/>
    <x v="0"/>
    <d v="2023-10-03T00:00:00"/>
    <n v="7.7429282407392748"/>
    <x v="1"/>
    <x v="12"/>
    <n v="5.7429282407392748"/>
    <x v="12"/>
  </r>
  <r>
    <n v="1034"/>
    <s v="1034111"/>
    <d v="2023-09-26T06:10:11"/>
    <s v="type40"/>
    <n v="9498.3799999999992"/>
    <x v="5"/>
    <d v="2023-09-28T06:10:11"/>
    <x v="4"/>
    <d v="2023-10-03T00:00:00"/>
    <n v="6.7429282407392748"/>
    <x v="1"/>
    <x v="8"/>
    <n v="4.7429282407392748"/>
    <x v="8"/>
  </r>
  <r>
    <n v="1028"/>
    <s v="1028111"/>
    <d v="2023-09-24T06:10:11"/>
    <s v="type13"/>
    <n v="27582.61"/>
    <x v="2"/>
    <d v="2023-10-01T06:10:11"/>
    <x v="5"/>
    <d v="2023-10-03T00:00:00"/>
    <n v="8.7429282407392748"/>
    <x v="1"/>
    <x v="22"/>
    <n v="1.7429282407392748"/>
    <x v="22"/>
  </r>
  <r>
    <n v="1008"/>
    <s v="1008111"/>
    <d v="2023-09-22T06:10:11"/>
    <s v="type40"/>
    <n v="364.76"/>
    <x v="1"/>
    <d v="2023-09-24T06:10:11"/>
    <x v="1"/>
    <d v="2023-10-03T00:00:00"/>
    <n v="10.742928240739275"/>
    <x v="0"/>
    <x v="5"/>
    <n v="8.7429282407392748"/>
    <x v="5"/>
  </r>
  <r>
    <n v="1005"/>
    <s v="1005111"/>
    <d v="2023-09-26T06:10:11"/>
    <s v="type40"/>
    <n v="334.84"/>
    <x v="2"/>
    <d v="2023-09-27T06:10:11"/>
    <x v="3"/>
    <d v="2023-10-03T00:00:00"/>
    <n v="6.7429282407392748"/>
    <x v="1"/>
    <x v="12"/>
    <n v="5.7429282407392748"/>
    <x v="12"/>
  </r>
  <r>
    <n v="1027"/>
    <s v="1027111"/>
    <d v="2023-09-25T06:10:11"/>
    <s v="type13"/>
    <n v="28275.83"/>
    <x v="5"/>
    <d v="2023-09-30T06:10:11"/>
    <x v="5"/>
    <d v="2023-10-03T00:00:00"/>
    <n v="7.7429282407392748"/>
    <x v="1"/>
    <x v="14"/>
    <n v="2.7429282407392748"/>
    <x v="14"/>
  </r>
  <r>
    <n v="1009"/>
    <s v="1009111"/>
    <d v="2023-09-25T06:10:11"/>
    <s v="type40"/>
    <n v="-2221.8000000000002"/>
    <x v="3"/>
    <d v="2023-09-27T06:10:11"/>
    <x v="1"/>
    <d v="2023-10-03T00:00:00"/>
    <n v="7.7429282407392748"/>
    <x v="1"/>
    <x v="12"/>
    <n v="5.7429282407392748"/>
    <x v="12"/>
  </r>
  <r>
    <n v="1014"/>
    <s v="1014111"/>
    <d v="2023-09-24T06:10:11"/>
    <s v="type13"/>
    <n v="20721.89"/>
    <x v="5"/>
    <d v="2023-09-25T06:10:11"/>
    <x v="2"/>
    <d v="2023-10-03T00:00:00"/>
    <n v="8.7429282407392748"/>
    <x v="1"/>
    <x v="11"/>
    <n v="7.7429282407392748"/>
    <x v="11"/>
  </r>
  <r>
    <n v="1004"/>
    <s v="1004111"/>
    <d v="2023-09-26T06:10:11"/>
    <s v="type40"/>
    <n v="3155.95"/>
    <x v="5"/>
    <d v="2023-10-03T06:10:11"/>
    <x v="3"/>
    <d v="2023-10-03T00:00:00"/>
    <n v="6.7429282407392748"/>
    <x v="1"/>
    <x v="16"/>
    <n v="-0.25707175926072523"/>
    <x v="16"/>
  </r>
  <r>
    <n v="1017"/>
    <s v="1017111"/>
    <d v="2023-09-28T06:10:11"/>
    <s v="type2"/>
    <n v="1734"/>
    <x v="1"/>
    <d v="2023-10-03T06:10:11"/>
    <x v="2"/>
    <d v="2023-10-03T00:00:00"/>
    <n v="4.7429282407392748"/>
    <x v="2"/>
    <x v="16"/>
    <n v="-0.25707175926072523"/>
    <x v="16"/>
  </r>
  <r>
    <n v="1008"/>
    <s v="1008111"/>
    <d v="2023-09-24T06:10:11"/>
    <s v="type40"/>
    <n v="12.55"/>
    <x v="4"/>
    <d v="2023-09-25T06:10:11"/>
    <x v="1"/>
    <d v="2023-10-03T00:00:00"/>
    <n v="8.7429282407392748"/>
    <x v="1"/>
    <x v="11"/>
    <n v="7.7429282407392748"/>
    <x v="11"/>
  </r>
  <r>
    <n v="1012"/>
    <s v="1012111"/>
    <d v="2023-09-17T06:10:11"/>
    <s v="type40"/>
    <n v="-359.9"/>
    <x v="1"/>
    <d v="2023-09-22T06:10:11"/>
    <x v="2"/>
    <d v="2023-10-03T00:00:00"/>
    <n v="15.742928240739275"/>
    <x v="0"/>
    <x v="10"/>
    <n v="10.742928240739275"/>
    <x v="10"/>
  </r>
  <r>
    <n v="1017"/>
    <s v="1017111"/>
    <d v="2023-09-26T06:10:11"/>
    <s v="type13"/>
    <n v="31843.48"/>
    <x v="4"/>
    <d v="2023-09-28T06:10:11"/>
    <x v="2"/>
    <d v="2023-10-03T00:00:00"/>
    <n v="6.7429282407392748"/>
    <x v="1"/>
    <x v="8"/>
    <n v="4.7429282407392748"/>
    <x v="8"/>
  </r>
  <r>
    <n v="1022"/>
    <s v="1022111"/>
    <d v="2023-09-26T06:10:11"/>
    <s v="type13"/>
    <n v="26305.49"/>
    <x v="4"/>
    <d v="2023-09-27T06:10:11"/>
    <x v="0"/>
    <d v="2023-10-03T00:00:00"/>
    <n v="6.7429282407392748"/>
    <x v="1"/>
    <x v="12"/>
    <n v="5.7429282407392748"/>
    <x v="12"/>
  </r>
  <r>
    <n v="1025"/>
    <s v="1025111"/>
    <d v="2023-09-19T06:10:11"/>
    <s v="type40"/>
    <n v="-6483.65"/>
    <x v="1"/>
    <d v="2023-09-24T06:10:11"/>
    <x v="5"/>
    <d v="2023-10-03T00:00:00"/>
    <n v="13.742928240739275"/>
    <x v="0"/>
    <x v="5"/>
    <n v="8.7429282407392748"/>
    <x v="5"/>
  </r>
  <r>
    <n v="1020"/>
    <s v="1020111"/>
    <d v="2023-09-25T06:10:11"/>
    <s v="type40"/>
    <n v="-969.43"/>
    <x v="5"/>
    <d v="2023-09-27T06:10:11"/>
    <x v="0"/>
    <d v="2023-10-03T00:00:00"/>
    <n v="7.7429282407392748"/>
    <x v="1"/>
    <x v="12"/>
    <n v="5.7429282407392748"/>
    <x v="12"/>
  </r>
  <r>
    <n v="1005"/>
    <s v="1005111"/>
    <d v="2023-09-20T06:10:11"/>
    <s v="type40"/>
    <n v="502.99"/>
    <x v="1"/>
    <d v="2023-09-27T06:10:11"/>
    <x v="3"/>
    <d v="2023-10-03T00:00:00"/>
    <n v="12.742928240739275"/>
    <x v="0"/>
    <x v="12"/>
    <n v="5.7429282407392748"/>
    <x v="12"/>
  </r>
  <r>
    <n v="1018"/>
    <s v="1018111"/>
    <d v="2023-09-25T06:10:11"/>
    <s v="type2"/>
    <n v="1769"/>
    <x v="5"/>
    <d v="2023-09-27T06:10:11"/>
    <x v="0"/>
    <d v="2023-10-03T00:00:00"/>
    <n v="7.7429282407392748"/>
    <x v="1"/>
    <x v="12"/>
    <n v="5.7429282407392748"/>
    <x v="12"/>
  </r>
  <r>
    <n v="1031"/>
    <s v="1031111"/>
    <d v="2023-09-21T06:10:11"/>
    <s v="type40"/>
    <n v="-456.58"/>
    <x v="3"/>
    <d v="2023-09-28T06:10:11"/>
    <x v="4"/>
    <d v="2023-10-03T00:00:00"/>
    <n v="11.742928240739275"/>
    <x v="0"/>
    <x v="8"/>
    <n v="4.7429282407392748"/>
    <x v="8"/>
  </r>
  <r>
    <n v="1027"/>
    <s v="1027111"/>
    <d v="2023-09-24T06:10:11"/>
    <s v="type13"/>
    <n v="22387.72"/>
    <x v="0"/>
    <d v="2023-10-01T06:10:11"/>
    <x v="5"/>
    <d v="2023-10-03T00:00:00"/>
    <n v="8.7429282407392748"/>
    <x v="1"/>
    <x v="22"/>
    <n v="1.7429282407392748"/>
    <x v="22"/>
  </r>
  <r>
    <n v="1009"/>
    <s v="1009111"/>
    <d v="2023-09-25T06:10:11"/>
    <s v="type52"/>
    <n v="74.95"/>
    <x v="4"/>
    <d v="2023-09-27T06:10:11"/>
    <x v="1"/>
    <d v="2023-10-03T00:00:00"/>
    <n v="7.7429282407392748"/>
    <x v="1"/>
    <x v="12"/>
    <n v="5.7429282407392748"/>
    <x v="12"/>
  </r>
  <r>
    <n v="1014"/>
    <s v="1014111"/>
    <d v="2023-09-24T06:10:11"/>
    <s v="type40"/>
    <n v="-2829.99"/>
    <x v="1"/>
    <d v="2023-10-01T06:10:11"/>
    <x v="2"/>
    <d v="2023-10-03T00:00:00"/>
    <n v="8.7429282407392748"/>
    <x v="1"/>
    <x v="22"/>
    <n v="1.7429282407392748"/>
    <x v="22"/>
  </r>
  <r>
    <n v="1010"/>
    <s v="1010111"/>
    <d v="2023-09-24T06:10:11"/>
    <s v="type13"/>
    <n v="26387.8"/>
    <x v="4"/>
    <d v="2023-10-01T06:10:11"/>
    <x v="1"/>
    <d v="2023-10-03T00:00:00"/>
    <n v="8.7429282407392748"/>
    <x v="1"/>
    <x v="22"/>
    <n v="1.7429282407392748"/>
    <x v="22"/>
  </r>
  <r>
    <n v="1035"/>
    <s v="1035111"/>
    <d v="2023-09-26T06:10:11"/>
    <s v="type26"/>
    <n v="273.07"/>
    <x v="0"/>
    <d v="2023-09-28T06:10:11"/>
    <x v="4"/>
    <d v="2023-10-03T00:00:00"/>
    <n v="6.7429282407392748"/>
    <x v="1"/>
    <x v="8"/>
    <n v="4.7429282407392748"/>
    <x v="8"/>
  </r>
  <r>
    <n v="1020"/>
    <s v="1020111"/>
    <d v="2023-09-27T06:10:11"/>
    <s v="type49"/>
    <n v="0"/>
    <x v="1"/>
    <d v="2023-10-04T06:10:11"/>
    <x v="0"/>
    <d v="2023-10-03T00:00:00"/>
    <n v="5.7429282407392748"/>
    <x v="2"/>
    <x v="23"/>
    <n v="-1.2570717592607252"/>
    <x v="23"/>
  </r>
  <r>
    <n v="1002"/>
    <s v="1002111"/>
    <d v="2023-09-24T06:10:11"/>
    <s v="type13"/>
    <n v="25722.49"/>
    <x v="5"/>
    <d v="2023-09-25T06:10:11"/>
    <x v="3"/>
    <d v="2023-10-03T00:00:00"/>
    <n v="8.7429282407392748"/>
    <x v="1"/>
    <x v="11"/>
    <n v="7.7429282407392748"/>
    <x v="11"/>
  </r>
  <r>
    <n v="1019"/>
    <s v="1019111"/>
    <d v="2023-09-10T06:10:11"/>
    <s v="type13"/>
    <n v="16242.85"/>
    <x v="3"/>
    <d v="2023-09-17T06:10:11"/>
    <x v="0"/>
    <d v="2023-10-03T00:00:00"/>
    <n v="22.742928240739275"/>
    <x v="0"/>
    <x v="4"/>
    <n v="15.742928240739275"/>
    <x v="4"/>
  </r>
  <r>
    <n v="1002"/>
    <s v="1002111"/>
    <d v="2023-09-25T06:10:11"/>
    <s v="type40"/>
    <n v="37.43"/>
    <x v="5"/>
    <d v="2023-10-02T06:10:11"/>
    <x v="3"/>
    <d v="2023-10-03T00:00:00"/>
    <n v="7.7429282407392748"/>
    <x v="1"/>
    <x v="15"/>
    <n v="0.74292824073927477"/>
    <x v="15"/>
  </r>
  <r>
    <n v="1027"/>
    <s v="1027111"/>
    <d v="2023-09-26T06:10:11"/>
    <s v="type9"/>
    <n v="100"/>
    <x v="4"/>
    <d v="2023-10-03T06:10:11"/>
    <x v="5"/>
    <d v="2023-10-03T00:00:00"/>
    <n v="6.7429282407392748"/>
    <x v="1"/>
    <x v="16"/>
    <n v="-0.25707175926072523"/>
    <x v="16"/>
  </r>
  <r>
    <n v="1003"/>
    <s v="1003111"/>
    <d v="2023-09-25T06:10:11"/>
    <s v="type40"/>
    <n v="367.55"/>
    <x v="2"/>
    <d v="2023-09-27T06:10:11"/>
    <x v="3"/>
    <d v="2023-10-03T00:00:00"/>
    <n v="7.7429282407392748"/>
    <x v="1"/>
    <x v="12"/>
    <n v="5.7429282407392748"/>
    <x v="12"/>
  </r>
  <r>
    <n v="1023"/>
    <s v="1023111"/>
    <d v="2023-09-24T06:10:11"/>
    <s v="type13"/>
    <n v="30673.919999999998"/>
    <x v="5"/>
    <d v="2023-09-25T06:10:11"/>
    <x v="0"/>
    <d v="2023-10-03T00:00:00"/>
    <n v="8.7429282407392748"/>
    <x v="1"/>
    <x v="11"/>
    <n v="7.7429282407392748"/>
    <x v="11"/>
  </r>
  <r>
    <n v="1017"/>
    <s v="1017111"/>
    <d v="2023-09-25T06:10:11"/>
    <s v="type13"/>
    <n v="17954.11"/>
    <x v="4"/>
    <d v="2023-09-26T06:10:11"/>
    <x v="2"/>
    <d v="2023-10-03T00:00:00"/>
    <n v="7.7429282407392748"/>
    <x v="1"/>
    <x v="7"/>
    <n v="6.7429282407392748"/>
    <x v="7"/>
  </r>
  <r>
    <n v="1024"/>
    <s v="1024111"/>
    <d v="2023-09-14T06:10:11"/>
    <s v="type11"/>
    <n v="100"/>
    <x v="1"/>
    <d v="2023-09-21T06:10:11"/>
    <x v="5"/>
    <d v="2023-10-03T00:00:00"/>
    <n v="18.742928240739275"/>
    <x v="0"/>
    <x v="1"/>
    <n v="11.742928240739275"/>
    <x v="1"/>
  </r>
  <r>
    <n v="1020"/>
    <s v="1020111"/>
    <d v="2023-09-15T06:10:11"/>
    <s v="type13"/>
    <n v="16565.310000000001"/>
    <x v="1"/>
    <d v="2023-09-22T06:10:11"/>
    <x v="0"/>
    <d v="2023-10-03T00:00:00"/>
    <n v="17.742928240739275"/>
    <x v="0"/>
    <x v="10"/>
    <n v="10.742928240739275"/>
    <x v="10"/>
  </r>
  <r>
    <n v="1012"/>
    <s v="1012111"/>
    <d v="2023-09-26T06:10:11"/>
    <s v="type13"/>
    <n v="25402.54"/>
    <x v="4"/>
    <d v="2023-09-27T06:10:11"/>
    <x v="2"/>
    <d v="2023-10-03T00:00:00"/>
    <n v="6.7429282407392748"/>
    <x v="1"/>
    <x v="12"/>
    <n v="5.7429282407392748"/>
    <x v="12"/>
  </r>
  <r>
    <n v="1013"/>
    <s v="1013111"/>
    <d v="2023-09-24T06:10:11"/>
    <s v="type40"/>
    <n v="-328.77"/>
    <x v="4"/>
    <d v="2023-09-26T06:10:11"/>
    <x v="2"/>
    <d v="2023-10-03T00:00:00"/>
    <n v="8.7429282407392748"/>
    <x v="1"/>
    <x v="7"/>
    <n v="6.7429282407392748"/>
    <x v="7"/>
  </r>
  <r>
    <n v="1004"/>
    <s v="1004111"/>
    <d v="2023-09-26T06:10:11"/>
    <s v="type15"/>
    <n v="1366.1"/>
    <x v="4"/>
    <d v="2023-09-28T06:10:11"/>
    <x v="3"/>
    <d v="2023-10-03T00:00:00"/>
    <n v="6.7429282407392748"/>
    <x v="1"/>
    <x v="8"/>
    <n v="4.7429282407392748"/>
    <x v="8"/>
  </r>
  <r>
    <n v="1028"/>
    <s v="1028111"/>
    <d v="2023-09-26T06:10:11"/>
    <s v="type40"/>
    <n v="4252.92"/>
    <x v="4"/>
    <d v="2023-10-01T06:10:11"/>
    <x v="5"/>
    <d v="2023-10-03T00:00:00"/>
    <n v="6.7429282407392748"/>
    <x v="1"/>
    <x v="22"/>
    <n v="1.7429282407392748"/>
    <x v="22"/>
  </r>
  <r>
    <n v="1035"/>
    <s v="1035111"/>
    <d v="2023-09-23T06:10:11"/>
    <s v="type40"/>
    <n v="-350.41"/>
    <x v="0"/>
    <d v="2023-09-24T06:10:11"/>
    <x v="4"/>
    <d v="2023-10-03T00:00:00"/>
    <n v="9.7429282407392748"/>
    <x v="0"/>
    <x v="5"/>
    <n v="8.7429282407392748"/>
    <x v="5"/>
  </r>
  <r>
    <n v="1000"/>
    <s v="1000111"/>
    <d v="2023-09-28T06:10:11"/>
    <s v="type40"/>
    <n v="-774.39"/>
    <x v="0"/>
    <d v="2023-09-29T06:10:11"/>
    <x v="3"/>
    <d v="2023-10-03T00:00:00"/>
    <n v="4.7429282407392748"/>
    <x v="2"/>
    <x v="13"/>
    <n v="3.7429282407392748"/>
    <x v="13"/>
  </r>
  <r>
    <n v="1005"/>
    <s v="1005111"/>
    <d v="2023-09-25T06:10:11"/>
    <s v="type22"/>
    <n v="679.71"/>
    <x v="2"/>
    <d v="2023-10-02T06:10:11"/>
    <x v="3"/>
    <d v="2023-10-03T00:00:00"/>
    <n v="7.7429282407392748"/>
    <x v="1"/>
    <x v="15"/>
    <n v="0.74292824073927477"/>
    <x v="15"/>
  </r>
  <r>
    <n v="1025"/>
    <s v="1025111"/>
    <d v="2023-09-11T06:10:11"/>
    <s v="type13"/>
    <n v="40690.720000000001"/>
    <x v="0"/>
    <d v="2023-09-12T06:10:11"/>
    <x v="5"/>
    <d v="2023-10-03T00:00:00"/>
    <n v="21.742928240739275"/>
    <x v="0"/>
    <x v="18"/>
    <n v="20.742928240739275"/>
    <x v="18"/>
  </r>
  <r>
    <n v="1003"/>
    <s v="1003111"/>
    <d v="2023-09-13T06:10:11"/>
    <s v="type40"/>
    <n v="-471.72"/>
    <x v="0"/>
    <d v="2023-09-14T06:10:11"/>
    <x v="3"/>
    <d v="2023-10-03T00:00:00"/>
    <n v="19.742928240739275"/>
    <x v="0"/>
    <x v="20"/>
    <n v="18.742928240739275"/>
    <x v="20"/>
  </r>
  <r>
    <n v="1022"/>
    <s v="1022111"/>
    <d v="2023-09-24T06:10:11"/>
    <s v="type8"/>
    <n v="58.25"/>
    <x v="2"/>
    <d v="2023-09-25T06:10:11"/>
    <x v="0"/>
    <d v="2023-10-03T00:00:00"/>
    <n v="8.7429282407392748"/>
    <x v="1"/>
    <x v="11"/>
    <n v="7.7429282407392748"/>
    <x v="11"/>
  </r>
  <r>
    <n v="1011"/>
    <s v="1011111"/>
    <d v="2023-09-26T06:10:11"/>
    <s v="type40"/>
    <n v="-663.87"/>
    <x v="4"/>
    <d v="2023-10-03T06:10:11"/>
    <x v="1"/>
    <d v="2023-10-03T00:00:00"/>
    <n v="6.7429282407392748"/>
    <x v="1"/>
    <x v="16"/>
    <n v="-0.25707175926072523"/>
    <x v="16"/>
  </r>
  <r>
    <n v="1021"/>
    <s v="1021111"/>
    <d v="2023-09-22T06:10:11"/>
    <s v="type40"/>
    <n v="17.100000000000001"/>
    <x v="3"/>
    <d v="2023-09-23T06:10:11"/>
    <x v="0"/>
    <d v="2023-10-03T00:00:00"/>
    <n v="10.742928240739275"/>
    <x v="0"/>
    <x v="3"/>
    <n v="9.7429282407392748"/>
    <x v="3"/>
  </r>
  <r>
    <n v="1005"/>
    <s v="1005111"/>
    <d v="2023-09-18T06:10:11"/>
    <s v="type13"/>
    <n v="51821.07"/>
    <x v="0"/>
    <d v="2023-09-19T06:10:11"/>
    <x v="3"/>
    <d v="2023-10-03T00:00:00"/>
    <n v="14.742928240739275"/>
    <x v="0"/>
    <x v="19"/>
    <n v="13.742928240739275"/>
    <x v="19"/>
  </r>
  <r>
    <n v="1009"/>
    <s v="1009111"/>
    <d v="2023-09-26T06:10:11"/>
    <s v="type40"/>
    <n v="8"/>
    <x v="4"/>
    <d v="2023-09-27T06:10:11"/>
    <x v="1"/>
    <d v="2023-10-03T00:00:00"/>
    <n v="6.7429282407392748"/>
    <x v="1"/>
    <x v="12"/>
    <n v="5.7429282407392748"/>
    <x v="12"/>
  </r>
  <r>
    <n v="1030"/>
    <s v="1030111"/>
    <d v="2023-09-26T06:10:11"/>
    <s v="type40"/>
    <n v="-454.36"/>
    <x v="4"/>
    <d v="2023-09-27T06:10:11"/>
    <x v="4"/>
    <d v="2023-10-03T00:00:00"/>
    <n v="6.7429282407392748"/>
    <x v="1"/>
    <x v="12"/>
    <n v="5.7429282407392748"/>
    <x v="12"/>
  </r>
  <r>
    <n v="1019"/>
    <s v="1019111"/>
    <d v="2023-09-25T06:10:11"/>
    <s v="type13"/>
    <n v="12631.8"/>
    <x v="4"/>
    <d v="2023-09-27T06:10:11"/>
    <x v="0"/>
    <d v="2023-10-03T00:00:00"/>
    <n v="7.7429282407392748"/>
    <x v="1"/>
    <x v="12"/>
    <n v="5.7429282407392748"/>
    <x v="12"/>
  </r>
  <r>
    <n v="1031"/>
    <s v="1031111"/>
    <d v="2023-09-25T06:10:11"/>
    <s v="type40"/>
    <n v="8912.5499999999993"/>
    <x v="2"/>
    <d v="2023-09-26T06:10:11"/>
    <x v="4"/>
    <d v="2023-10-03T00:00:00"/>
    <n v="7.7429282407392748"/>
    <x v="1"/>
    <x v="7"/>
    <n v="6.7429282407392748"/>
    <x v="7"/>
  </r>
  <r>
    <n v="1016"/>
    <s v="1016111"/>
    <d v="2023-09-24T06:10:11"/>
    <s v="type9"/>
    <n v="115"/>
    <x v="4"/>
    <d v="2023-10-01T06:10:11"/>
    <x v="2"/>
    <d v="2023-10-03T00:00:00"/>
    <n v="8.7429282407392748"/>
    <x v="1"/>
    <x v="22"/>
    <n v="1.7429282407392748"/>
    <x v="22"/>
  </r>
  <r>
    <n v="1016"/>
    <s v="1016111"/>
    <d v="2023-09-18T06:10:11"/>
    <s v="type40"/>
    <n v="-468.78"/>
    <x v="0"/>
    <d v="2023-09-20T06:10:11"/>
    <x v="2"/>
    <d v="2023-10-03T00:00:00"/>
    <n v="14.742928240739275"/>
    <x v="0"/>
    <x v="9"/>
    <n v="12.742928240739275"/>
    <x v="9"/>
  </r>
  <r>
    <n v="1011"/>
    <s v="1011111"/>
    <d v="2023-09-24T06:10:11"/>
    <s v="type40"/>
    <n v="-4114.58"/>
    <x v="0"/>
    <d v="2023-09-29T06:10:11"/>
    <x v="1"/>
    <d v="2023-10-03T00:00:00"/>
    <n v="8.7429282407392748"/>
    <x v="1"/>
    <x v="13"/>
    <n v="3.7429282407392748"/>
    <x v="13"/>
  </r>
  <r>
    <n v="1026"/>
    <s v="1026111"/>
    <d v="2023-09-25T06:10:11"/>
    <s v="type40"/>
    <n v="607.55999999999995"/>
    <x v="4"/>
    <d v="2023-09-30T06:10:11"/>
    <x v="5"/>
    <d v="2023-10-03T00:00:00"/>
    <n v="7.7429282407392748"/>
    <x v="1"/>
    <x v="14"/>
    <n v="2.7429282407392748"/>
    <x v="14"/>
  </r>
  <r>
    <n v="1007"/>
    <s v="1007111"/>
    <d v="2023-09-25T06:10:11"/>
    <s v="type27"/>
    <n v="1521640.48"/>
    <x v="2"/>
    <d v="2023-09-27T06:10:11"/>
    <x v="1"/>
    <d v="2023-10-03T00:00:00"/>
    <n v="7.7429282407392748"/>
    <x v="1"/>
    <x v="12"/>
    <n v="5.7429282407392748"/>
    <x v="12"/>
  </r>
  <r>
    <n v="1032"/>
    <s v="1032111"/>
    <d v="2023-09-19T06:10:11"/>
    <s v="type40"/>
    <n v="-497.78"/>
    <x v="1"/>
    <d v="2023-09-21T06:10:11"/>
    <x v="4"/>
    <d v="2023-10-03T00:00:00"/>
    <n v="13.742928240739275"/>
    <x v="0"/>
    <x v="1"/>
    <n v="11.742928240739275"/>
    <x v="1"/>
  </r>
  <r>
    <n v="1021"/>
    <s v="1021111"/>
    <d v="2023-09-20T06:10:11"/>
    <s v="type40"/>
    <n v="-337.41"/>
    <x v="3"/>
    <d v="2023-09-22T06:10:11"/>
    <x v="0"/>
    <d v="2023-10-03T00:00:00"/>
    <n v="12.742928240739275"/>
    <x v="0"/>
    <x v="10"/>
    <n v="10.742928240739275"/>
    <x v="10"/>
  </r>
  <r>
    <n v="1020"/>
    <s v="1020111"/>
    <d v="2023-09-25T06:10:11"/>
    <s v="type38"/>
    <n v="152.83000000000001"/>
    <x v="4"/>
    <d v="2023-09-27T06:10:11"/>
    <x v="0"/>
    <d v="2023-10-03T00:00:00"/>
    <n v="7.7429282407392748"/>
    <x v="1"/>
    <x v="12"/>
    <n v="5.7429282407392748"/>
    <x v="12"/>
  </r>
  <r>
    <n v="1013"/>
    <s v="1013111"/>
    <d v="2023-09-20T06:10:11"/>
    <s v="type40"/>
    <n v="-3630.17"/>
    <x v="0"/>
    <d v="2023-09-22T06:10:11"/>
    <x v="2"/>
    <d v="2023-10-03T00:00:00"/>
    <n v="12.742928240739275"/>
    <x v="0"/>
    <x v="10"/>
    <n v="10.742928240739275"/>
    <x v="10"/>
  </r>
  <r>
    <n v="1035"/>
    <s v="1035111"/>
    <d v="2023-09-21T06:10:11"/>
    <s v="type40"/>
    <n v="-697.81"/>
    <x v="1"/>
    <d v="2023-09-23T06:10:11"/>
    <x v="4"/>
    <d v="2023-10-03T00:00:00"/>
    <n v="11.742928240739275"/>
    <x v="0"/>
    <x v="3"/>
    <n v="9.7429282407392748"/>
    <x v="3"/>
  </r>
  <r>
    <n v="1004"/>
    <s v="1004111"/>
    <d v="2023-09-26T06:10:11"/>
    <s v="type40"/>
    <n v="18.149999999999999"/>
    <x v="2"/>
    <d v="2023-09-28T06:10:11"/>
    <x v="3"/>
    <d v="2023-10-03T00:00:00"/>
    <n v="6.7429282407392748"/>
    <x v="1"/>
    <x v="8"/>
    <n v="4.7429282407392748"/>
    <x v="8"/>
  </r>
  <r>
    <n v="1020"/>
    <s v="1020111"/>
    <d v="2023-09-23T06:10:11"/>
    <s v="type40"/>
    <n v="1982.79"/>
    <x v="1"/>
    <d v="2023-09-25T06:10:11"/>
    <x v="0"/>
    <d v="2023-10-03T00:00:00"/>
    <n v="9.7429282407392748"/>
    <x v="0"/>
    <x v="11"/>
    <n v="7.7429282407392748"/>
    <x v="11"/>
  </r>
  <r>
    <n v="1020"/>
    <s v="1020111"/>
    <d v="2023-09-24T06:10:11"/>
    <s v="type6"/>
    <n v="140"/>
    <x v="2"/>
    <d v="2023-09-25T06:10:11"/>
    <x v="0"/>
    <d v="2023-10-03T00:00:00"/>
    <n v="8.7429282407392748"/>
    <x v="1"/>
    <x v="11"/>
    <n v="7.7429282407392748"/>
    <x v="11"/>
  </r>
  <r>
    <n v="1030"/>
    <s v="1030111"/>
    <d v="2023-09-25T06:10:11"/>
    <s v="type24"/>
    <n v="1149.3499999999999"/>
    <x v="1"/>
    <d v="2023-09-27T06:10:11"/>
    <x v="4"/>
    <d v="2023-10-03T00:00:00"/>
    <n v="7.7429282407392748"/>
    <x v="1"/>
    <x v="12"/>
    <n v="5.7429282407392748"/>
    <x v="12"/>
  </r>
  <r>
    <n v="1019"/>
    <s v="1019111"/>
    <d v="2023-09-26T06:10:11"/>
    <s v="type40"/>
    <n v="-398.78"/>
    <x v="2"/>
    <d v="2023-09-28T06:10:11"/>
    <x v="0"/>
    <d v="2023-10-03T00:00:00"/>
    <n v="6.7429282407392748"/>
    <x v="1"/>
    <x v="8"/>
    <n v="4.7429282407392748"/>
    <x v="8"/>
  </r>
  <r>
    <n v="1002"/>
    <s v="1002111"/>
    <d v="2023-09-27T06:10:11"/>
    <s v="type40"/>
    <n v="3"/>
    <x v="1"/>
    <d v="2023-09-29T06:10:11"/>
    <x v="3"/>
    <d v="2023-10-03T00:00:00"/>
    <n v="5.7429282407392748"/>
    <x v="2"/>
    <x v="13"/>
    <n v="3.7429282407392748"/>
    <x v="13"/>
  </r>
  <r>
    <n v="1026"/>
    <s v="1026111"/>
    <d v="2023-09-24T06:10:11"/>
    <s v="type40"/>
    <n v="-337.45"/>
    <x v="4"/>
    <d v="2023-09-25T06:10:11"/>
    <x v="5"/>
    <d v="2023-10-03T00:00:00"/>
    <n v="8.7429282407392748"/>
    <x v="1"/>
    <x v="11"/>
    <n v="7.7429282407392748"/>
    <x v="11"/>
  </r>
  <r>
    <n v="1026"/>
    <s v="1026111"/>
    <d v="2023-09-20T06:10:11"/>
    <s v="type40"/>
    <n v="12894.1"/>
    <x v="0"/>
    <d v="2023-09-22T06:10:11"/>
    <x v="5"/>
    <d v="2023-10-03T00:00:00"/>
    <n v="12.742928240739275"/>
    <x v="0"/>
    <x v="10"/>
    <n v="10.742928240739275"/>
    <x v="10"/>
  </r>
  <r>
    <n v="1018"/>
    <s v="1018111"/>
    <d v="2023-09-11T06:10:11"/>
    <s v="type40"/>
    <n v="-373.48"/>
    <x v="3"/>
    <d v="2023-09-13T06:10:11"/>
    <x v="0"/>
    <d v="2023-10-03T00:00:00"/>
    <n v="21.742928240739275"/>
    <x v="0"/>
    <x v="24"/>
    <n v="19.742928240739275"/>
    <x v="24"/>
  </r>
  <r>
    <n v="1005"/>
    <s v="1005111"/>
    <d v="2023-09-12T06:10:11"/>
    <s v="type26"/>
    <n v="146.12"/>
    <x v="3"/>
    <d v="2023-09-14T06:10:11"/>
    <x v="3"/>
    <d v="2023-10-03T00:00:00"/>
    <n v="20.742928240739275"/>
    <x v="0"/>
    <x v="20"/>
    <n v="18.742928240739275"/>
    <x v="20"/>
  </r>
  <r>
    <n v="1010"/>
    <s v="1010111"/>
    <d v="2023-09-26T06:10:11"/>
    <s v="type40"/>
    <n v="-429.38"/>
    <x v="4"/>
    <d v="2023-09-27T06:10:11"/>
    <x v="1"/>
    <d v="2023-10-03T00:00:00"/>
    <n v="6.7429282407392748"/>
    <x v="1"/>
    <x v="12"/>
    <n v="5.7429282407392748"/>
    <x v="12"/>
  </r>
  <r>
    <n v="1016"/>
    <s v="1016111"/>
    <d v="2023-09-13T06:10:11"/>
    <s v="type40"/>
    <n v="3591.51"/>
    <x v="3"/>
    <d v="2023-09-15T06:10:11"/>
    <x v="2"/>
    <d v="2023-10-03T00:00:00"/>
    <n v="19.742928240739275"/>
    <x v="0"/>
    <x v="0"/>
    <n v="17.742928240739275"/>
    <x v="0"/>
  </r>
  <r>
    <n v="1012"/>
    <s v="1012111"/>
    <d v="2023-09-25T06:10:11"/>
    <s v="type17"/>
    <n v="400.47"/>
    <x v="2"/>
    <d v="2023-09-27T06:10:11"/>
    <x v="2"/>
    <d v="2023-10-03T00:00:00"/>
    <n v="7.7429282407392748"/>
    <x v="1"/>
    <x v="12"/>
    <n v="5.7429282407392748"/>
    <x v="12"/>
  </r>
  <r>
    <n v="1020"/>
    <s v="1020111"/>
    <d v="2023-09-26T06:10:11"/>
    <s v="type5"/>
    <n v="676"/>
    <x v="4"/>
    <d v="2023-10-03T06:10:11"/>
    <x v="0"/>
    <d v="2023-10-03T00:00:00"/>
    <n v="6.7429282407392748"/>
    <x v="1"/>
    <x v="16"/>
    <n v="-0.25707175926072523"/>
    <x v="16"/>
  </r>
  <r>
    <n v="1023"/>
    <s v="1023111"/>
    <d v="2023-09-15T06:10:11"/>
    <s v="type40"/>
    <n v="381.37"/>
    <x v="3"/>
    <d v="2023-09-20T06:10:11"/>
    <x v="0"/>
    <d v="2023-10-03T00:00:00"/>
    <n v="17.742928240739275"/>
    <x v="0"/>
    <x v="9"/>
    <n v="12.742928240739275"/>
    <x v="9"/>
  </r>
  <r>
    <n v="1000"/>
    <s v="1000111"/>
    <d v="2023-09-15T06:10:11"/>
    <s v="type10"/>
    <n v="71.349999999999994"/>
    <x v="3"/>
    <d v="2023-09-20T06:10:11"/>
    <x v="3"/>
    <d v="2023-10-03T00:00:00"/>
    <n v="17.742928240739275"/>
    <x v="0"/>
    <x v="9"/>
    <n v="12.742928240739275"/>
    <x v="9"/>
  </r>
  <r>
    <n v="1032"/>
    <s v="1032111"/>
    <d v="2023-09-16T06:10:11"/>
    <s v="type40"/>
    <n v="1"/>
    <x v="3"/>
    <d v="2023-09-21T06:10:11"/>
    <x v="4"/>
    <d v="2023-10-03T00:00:00"/>
    <n v="16.742928240739275"/>
    <x v="0"/>
    <x v="1"/>
    <n v="11.742928240739275"/>
    <x v="1"/>
  </r>
  <r>
    <n v="1013"/>
    <s v="1013111"/>
    <d v="2023-09-26T06:10:11"/>
    <s v="type13"/>
    <n v="16921.7"/>
    <x v="2"/>
    <d v="2023-10-03T06:10:11"/>
    <x v="2"/>
    <d v="2023-10-03T00:00:00"/>
    <n v="6.7429282407392748"/>
    <x v="1"/>
    <x v="16"/>
    <n v="-0.25707175926072523"/>
    <x v="16"/>
  </r>
  <r>
    <n v="1033"/>
    <s v="1033111"/>
    <d v="2023-09-17T06:10:11"/>
    <s v="type48"/>
    <n v="-1977.34"/>
    <x v="1"/>
    <d v="2023-09-22T06:10:11"/>
    <x v="4"/>
    <d v="2023-10-03T00:00:00"/>
    <n v="15.742928240739275"/>
    <x v="0"/>
    <x v="10"/>
    <n v="10.742928240739275"/>
    <x v="10"/>
  </r>
  <r>
    <n v="1032"/>
    <s v="1032111"/>
    <d v="2023-09-23T06:10:11"/>
    <s v="type40"/>
    <n v="-664.68"/>
    <x v="0"/>
    <d v="2023-09-28T06:10:11"/>
    <x v="4"/>
    <d v="2023-10-03T00:00:00"/>
    <n v="9.7429282407392748"/>
    <x v="0"/>
    <x v="8"/>
    <n v="4.7429282407392748"/>
    <x v="8"/>
  </r>
  <r>
    <n v="1011"/>
    <s v="1011111"/>
    <d v="2023-09-24T06:10:11"/>
    <s v="type40"/>
    <n v="306.58"/>
    <x v="4"/>
    <d v="2023-09-26T06:10:11"/>
    <x v="1"/>
    <d v="2023-10-03T00:00:00"/>
    <n v="8.7429282407392748"/>
    <x v="1"/>
    <x v="7"/>
    <n v="6.7429282407392748"/>
    <x v="7"/>
  </r>
  <r>
    <n v="1015"/>
    <s v="1015111"/>
    <d v="2023-09-19T06:10:11"/>
    <s v="type40"/>
    <n v="-3570.66"/>
    <x v="3"/>
    <d v="2023-09-26T06:10:11"/>
    <x v="2"/>
    <d v="2023-10-03T00:00:00"/>
    <n v="13.742928240739275"/>
    <x v="0"/>
    <x v="7"/>
    <n v="6.7429282407392748"/>
    <x v="7"/>
  </r>
  <r>
    <n v="1031"/>
    <s v="1031111"/>
    <d v="2023-09-20T06:10:11"/>
    <s v="type18"/>
    <n v="380.28"/>
    <x v="1"/>
    <d v="2023-09-27T06:10:11"/>
    <x v="4"/>
    <d v="2023-10-03T00:00:00"/>
    <n v="12.742928240739275"/>
    <x v="0"/>
    <x v="12"/>
    <n v="5.7429282407392748"/>
    <x v="12"/>
  </r>
  <r>
    <n v="1006"/>
    <s v="1006111"/>
    <d v="2023-09-20T06:10:11"/>
    <s v="type40"/>
    <n v="-1732.72"/>
    <x v="3"/>
    <d v="2023-09-27T06:10:11"/>
    <x v="1"/>
    <d v="2023-10-03T00:00:00"/>
    <n v="12.742928240739275"/>
    <x v="0"/>
    <x v="12"/>
    <n v="5.7429282407392748"/>
    <x v="12"/>
  </r>
  <r>
    <n v="1008"/>
    <s v="1008111"/>
    <d v="2023-09-21T06:10:11"/>
    <s v="type40"/>
    <n v="4386.71"/>
    <x v="3"/>
    <d v="2023-09-28T06:10:11"/>
    <x v="1"/>
    <d v="2023-10-03T00:00:00"/>
    <n v="11.742928240739275"/>
    <x v="0"/>
    <x v="8"/>
    <n v="4.7429282407392748"/>
    <x v="8"/>
  </r>
  <r>
    <n v="1010"/>
    <s v="1010111"/>
    <d v="2023-09-25T06:10:11"/>
    <s v="type13"/>
    <n v="57792.37"/>
    <x v="2"/>
    <d v="2023-09-27T06:10:11"/>
    <x v="1"/>
    <d v="2023-10-03T00:00:00"/>
    <n v="7.7429282407392748"/>
    <x v="1"/>
    <x v="12"/>
    <n v="5.7429282407392748"/>
    <x v="12"/>
  </r>
  <r>
    <n v="1022"/>
    <s v="1022111"/>
    <d v="2023-09-26T06:10:11"/>
    <s v="type40"/>
    <n v="370.09"/>
    <x v="0"/>
    <d v="2023-09-28T06:10:11"/>
    <x v="0"/>
    <d v="2023-10-03T00:00:00"/>
    <n v="6.7429282407392748"/>
    <x v="1"/>
    <x v="8"/>
    <n v="4.7429282407392748"/>
    <x v="8"/>
  </r>
  <r>
    <n v="1012"/>
    <s v="1012111"/>
    <d v="2023-09-23T06:10:11"/>
    <s v="type13"/>
    <n v="25938.66"/>
    <x v="1"/>
    <d v="2023-09-30T06:10:11"/>
    <x v="2"/>
    <d v="2023-10-03T00:00:00"/>
    <n v="9.7429282407392748"/>
    <x v="0"/>
    <x v="14"/>
    <n v="2.7429282407392748"/>
    <x v="14"/>
  </r>
  <r>
    <n v="1010"/>
    <s v="1010111"/>
    <d v="2023-09-25T06:10:11"/>
    <s v="type40"/>
    <n v="377.53"/>
    <x v="4"/>
    <d v="2023-09-27T06:10:11"/>
    <x v="1"/>
    <d v="2023-10-03T00:00:00"/>
    <n v="7.7429282407392748"/>
    <x v="1"/>
    <x v="12"/>
    <n v="5.7429282407392748"/>
    <x v="12"/>
  </r>
  <r>
    <n v="1005"/>
    <s v="1005111"/>
    <d v="2023-09-16T06:10:11"/>
    <s v="type40"/>
    <n v="611.4"/>
    <x v="0"/>
    <d v="2023-09-23T06:10:11"/>
    <x v="3"/>
    <d v="2023-10-03T00:00:00"/>
    <n v="16.742928240739275"/>
    <x v="0"/>
    <x v="3"/>
    <n v="9.7429282407392748"/>
    <x v="3"/>
  </r>
  <r>
    <n v="1034"/>
    <s v="1034111"/>
    <d v="2023-09-26T06:10:11"/>
    <s v="type40"/>
    <n v="13.14"/>
    <x v="3"/>
    <d v="2023-10-03T06:10:11"/>
    <x v="4"/>
    <d v="2023-10-03T00:00:00"/>
    <n v="6.7429282407392748"/>
    <x v="1"/>
    <x v="16"/>
    <n v="-0.25707175926072523"/>
    <x v="16"/>
  </r>
  <r>
    <n v="1008"/>
    <s v="1008111"/>
    <d v="2023-09-21T06:10:11"/>
    <s v="type13"/>
    <n v="25363.79"/>
    <x v="0"/>
    <d v="2023-09-28T06:10:11"/>
    <x v="1"/>
    <d v="2023-10-03T00:00:00"/>
    <n v="11.742928240739275"/>
    <x v="0"/>
    <x v="8"/>
    <n v="4.7429282407392748"/>
    <x v="8"/>
  </r>
  <r>
    <n v="1015"/>
    <s v="1015111"/>
    <d v="2023-09-25T06:10:11"/>
    <s v="type44"/>
    <n v="641.76"/>
    <x v="4"/>
    <d v="2023-10-02T06:10:11"/>
    <x v="2"/>
    <d v="2023-10-03T00:00:00"/>
    <n v="7.7429282407392748"/>
    <x v="1"/>
    <x v="15"/>
    <n v="0.74292824073927477"/>
    <x v="15"/>
  </r>
  <r>
    <n v="1035"/>
    <s v="1035111"/>
    <d v="2023-09-26T06:10:11"/>
    <s v="type13"/>
    <n v="32947.26"/>
    <x v="2"/>
    <d v="2023-10-03T06:10:11"/>
    <x v="4"/>
    <d v="2023-10-03T00:00:00"/>
    <n v="6.7429282407392748"/>
    <x v="1"/>
    <x v="16"/>
    <n v="-0.25707175926072523"/>
    <x v="16"/>
  </r>
  <r>
    <n v="1024"/>
    <s v="1024111"/>
    <d v="2023-09-17T06:10:11"/>
    <s v="type13"/>
    <n v="25131"/>
    <x v="3"/>
    <d v="2023-09-24T06:10:11"/>
    <x v="5"/>
    <d v="2023-10-03T00:00:00"/>
    <n v="15.742928240739275"/>
    <x v="0"/>
    <x v="5"/>
    <n v="8.7429282407392748"/>
    <x v="5"/>
  </r>
  <r>
    <n v="1015"/>
    <s v="1015111"/>
    <d v="2023-09-24T06:10:11"/>
    <s v="type40"/>
    <n v="1252.92"/>
    <x v="2"/>
    <d v="2023-09-26T06:10:11"/>
    <x v="2"/>
    <d v="2023-10-03T00:00:00"/>
    <n v="8.7429282407392748"/>
    <x v="1"/>
    <x v="7"/>
    <n v="6.7429282407392748"/>
    <x v="7"/>
  </r>
  <r>
    <n v="1016"/>
    <s v="1016111"/>
    <d v="2023-09-25T06:10:11"/>
    <s v="type27"/>
    <n v="927.16"/>
    <x v="4"/>
    <d v="2023-09-27T06:10:11"/>
    <x v="2"/>
    <d v="2023-10-03T00:00:00"/>
    <n v="7.7429282407392748"/>
    <x v="1"/>
    <x v="12"/>
    <n v="5.7429282407392748"/>
    <x v="12"/>
  </r>
  <r>
    <n v="1024"/>
    <s v="1024111"/>
    <d v="2023-09-25T06:10:11"/>
    <s v="type40"/>
    <n v="1"/>
    <x v="4"/>
    <d v="2023-10-02T06:10:11"/>
    <x v="5"/>
    <d v="2023-10-03T00:00:00"/>
    <n v="7.7429282407392748"/>
    <x v="1"/>
    <x v="15"/>
    <n v="0.74292824073927477"/>
    <x v="15"/>
  </r>
  <r>
    <n v="1017"/>
    <s v="1017111"/>
    <d v="2023-09-25T06:10:11"/>
    <s v="type38"/>
    <n v="155.79"/>
    <x v="0"/>
    <d v="2023-09-30T06:10:11"/>
    <x v="2"/>
    <d v="2023-10-03T00:00:00"/>
    <n v="7.7429282407392748"/>
    <x v="1"/>
    <x v="14"/>
    <n v="2.7429282407392748"/>
    <x v="14"/>
  </r>
  <r>
    <n v="1017"/>
    <s v="1017111"/>
    <d v="2023-09-20T06:10:11"/>
    <s v="type40"/>
    <n v="11.02"/>
    <x v="1"/>
    <d v="2023-09-21T06:10:11"/>
    <x v="2"/>
    <d v="2023-10-03T00:00:00"/>
    <n v="12.742928240739275"/>
    <x v="0"/>
    <x v="1"/>
    <n v="11.742928240739275"/>
    <x v="1"/>
  </r>
  <r>
    <n v="1020"/>
    <s v="1020111"/>
    <d v="2023-09-25T06:10:11"/>
    <s v="type7"/>
    <n v="-1230.93"/>
    <x v="2"/>
    <d v="2023-10-02T06:10:11"/>
    <x v="0"/>
    <d v="2023-10-03T00:00:00"/>
    <n v="7.7429282407392748"/>
    <x v="1"/>
    <x v="15"/>
    <n v="0.74292824073927477"/>
    <x v="15"/>
  </r>
  <r>
    <n v="1027"/>
    <s v="1027111"/>
    <d v="2023-09-24T06:10:11"/>
    <s v="type40"/>
    <n v="5427.46"/>
    <x v="0"/>
    <d v="2023-10-01T06:10:11"/>
    <x v="5"/>
    <d v="2023-10-03T00:00:00"/>
    <n v="8.7429282407392748"/>
    <x v="1"/>
    <x v="22"/>
    <n v="1.7429282407392748"/>
    <x v="22"/>
  </r>
  <r>
    <n v="1033"/>
    <s v="1033111"/>
    <d v="2023-09-22T06:10:11"/>
    <s v="type40"/>
    <n v="-574.70000000000005"/>
    <x v="3"/>
    <d v="2023-09-23T06:10:11"/>
    <x v="4"/>
    <d v="2023-10-03T00:00:00"/>
    <n v="10.742928240739275"/>
    <x v="0"/>
    <x v="3"/>
    <n v="9.7429282407392748"/>
    <x v="3"/>
  </r>
  <r>
    <n v="1010"/>
    <s v="1010111"/>
    <d v="2023-09-10T06:10:11"/>
    <s v="type40"/>
    <n v="16.25"/>
    <x v="0"/>
    <d v="2023-09-11T06:10:11"/>
    <x v="1"/>
    <d v="2023-10-03T00:00:00"/>
    <n v="22.742928240739275"/>
    <x v="0"/>
    <x v="21"/>
    <n v="21.742928240739275"/>
    <x v="21"/>
  </r>
  <r>
    <n v="1015"/>
    <s v="1015111"/>
    <d v="2023-09-24T06:10:11"/>
    <s v="type40"/>
    <n v="-594.51"/>
    <x v="1"/>
    <d v="2023-09-25T06:10:11"/>
    <x v="2"/>
    <d v="2023-10-03T00:00:00"/>
    <n v="8.7429282407392748"/>
    <x v="1"/>
    <x v="11"/>
    <n v="7.7429282407392748"/>
    <x v="11"/>
  </r>
  <r>
    <n v="1013"/>
    <s v="1013111"/>
    <d v="2023-09-26T06:10:11"/>
    <s v="type17"/>
    <n v="380.2"/>
    <x v="2"/>
    <d v="2023-10-03T06:10:11"/>
    <x v="2"/>
    <d v="2023-10-03T00:00:00"/>
    <n v="6.7429282407392748"/>
    <x v="1"/>
    <x v="16"/>
    <n v="-0.25707175926072523"/>
    <x v="16"/>
  </r>
  <r>
    <n v="1003"/>
    <s v="1003111"/>
    <d v="2023-09-24T06:10:11"/>
    <s v="type38"/>
    <n v="396.92"/>
    <x v="2"/>
    <d v="2023-09-25T06:10:11"/>
    <x v="3"/>
    <d v="2023-10-03T00:00:00"/>
    <n v="8.7429282407392748"/>
    <x v="1"/>
    <x v="11"/>
    <n v="7.7429282407392748"/>
    <x v="11"/>
  </r>
  <r>
    <n v="1010"/>
    <s v="1010111"/>
    <d v="2023-09-27T06:10:11"/>
    <s v="type41"/>
    <n v="322.48"/>
    <x v="3"/>
    <d v="2023-09-28T06:10:11"/>
    <x v="1"/>
    <d v="2023-10-03T00:00:00"/>
    <n v="5.7429282407392748"/>
    <x v="2"/>
    <x v="8"/>
    <n v="4.7429282407392748"/>
    <x v="8"/>
  </r>
  <r>
    <n v="1009"/>
    <s v="1009111"/>
    <d v="2023-09-26T06:10:11"/>
    <s v="type40"/>
    <n v="-384.9"/>
    <x v="4"/>
    <d v="2023-09-28T06:10:11"/>
    <x v="1"/>
    <d v="2023-10-03T00:00:00"/>
    <n v="6.7429282407392748"/>
    <x v="1"/>
    <x v="8"/>
    <n v="4.7429282407392748"/>
    <x v="8"/>
  </r>
  <r>
    <n v="1007"/>
    <s v="1007111"/>
    <d v="2023-09-18T06:10:11"/>
    <s v="type13"/>
    <n v="15483.85"/>
    <x v="0"/>
    <d v="2023-09-19T06:10:11"/>
    <x v="1"/>
    <d v="2023-10-03T00:00:00"/>
    <n v="14.742928240739275"/>
    <x v="0"/>
    <x v="19"/>
    <n v="13.742928240739275"/>
    <x v="19"/>
  </r>
  <r>
    <n v="1027"/>
    <s v="1027111"/>
    <d v="2023-09-25T06:10:11"/>
    <s v="type40"/>
    <n v="-741.31"/>
    <x v="0"/>
    <d v="2023-09-30T06:10:11"/>
    <x v="5"/>
    <d v="2023-10-03T00:00:00"/>
    <n v="7.7429282407392748"/>
    <x v="1"/>
    <x v="14"/>
    <n v="2.7429282407392748"/>
    <x v="14"/>
  </r>
  <r>
    <n v="1013"/>
    <s v="1013111"/>
    <d v="2023-09-12T06:10:11"/>
    <s v="type40"/>
    <n v="408.08"/>
    <x v="1"/>
    <d v="2023-09-13T06:10:11"/>
    <x v="2"/>
    <d v="2023-10-03T00:00:00"/>
    <n v="20.742928240739275"/>
    <x v="0"/>
    <x v="24"/>
    <n v="19.742928240739275"/>
    <x v="24"/>
  </r>
  <r>
    <n v="1010"/>
    <s v="1010111"/>
    <d v="2023-09-26T06:10:11"/>
    <s v="type13"/>
    <n v="21544.93"/>
    <x v="0"/>
    <d v="2023-10-03T06:10:11"/>
    <x v="1"/>
    <d v="2023-10-03T00:00:00"/>
    <n v="6.7429282407392748"/>
    <x v="1"/>
    <x v="16"/>
    <n v="-0.25707175926072523"/>
    <x v="16"/>
  </r>
  <r>
    <n v="1000"/>
    <s v="1000111"/>
    <d v="2023-09-13T06:10:11"/>
    <s v="type13"/>
    <n v="16451.349999999999"/>
    <x v="3"/>
    <d v="2023-09-14T06:10:11"/>
    <x v="3"/>
    <d v="2023-10-03T00:00:00"/>
    <n v="19.742928240739275"/>
    <x v="0"/>
    <x v="20"/>
    <n v="18.742928240739275"/>
    <x v="20"/>
  </r>
  <r>
    <n v="1017"/>
    <s v="1017111"/>
    <d v="2023-09-14T06:10:11"/>
    <s v="type40"/>
    <n v="813.48"/>
    <x v="3"/>
    <d v="2023-09-15T06:10:11"/>
    <x v="2"/>
    <d v="2023-10-03T00:00:00"/>
    <n v="18.742928240739275"/>
    <x v="0"/>
    <x v="0"/>
    <n v="17.742928240739275"/>
    <x v="0"/>
  </r>
  <r>
    <n v="1014"/>
    <s v="1014111"/>
    <d v="2023-09-24T06:10:11"/>
    <s v="type40"/>
    <n v="-459.99"/>
    <x v="2"/>
    <d v="2023-09-26T06:10:11"/>
    <x v="2"/>
    <d v="2023-10-03T00:00:00"/>
    <n v="8.7429282407392748"/>
    <x v="1"/>
    <x v="7"/>
    <n v="6.7429282407392748"/>
    <x v="7"/>
  </r>
  <r>
    <n v="1026"/>
    <s v="1026111"/>
    <d v="2023-09-25T06:10:11"/>
    <s v="type13"/>
    <n v="12088.44"/>
    <x v="0"/>
    <d v="2023-09-26T06:10:11"/>
    <x v="5"/>
    <d v="2023-10-03T00:00:00"/>
    <n v="7.7429282407392748"/>
    <x v="1"/>
    <x v="7"/>
    <n v="6.7429282407392748"/>
    <x v="7"/>
  </r>
  <r>
    <n v="1008"/>
    <s v="1008111"/>
    <d v="2023-09-24T06:10:11"/>
    <s v="type40"/>
    <n v="-15249.53"/>
    <x v="0"/>
    <d v="2023-09-26T06:10:11"/>
    <x v="1"/>
    <d v="2023-10-03T00:00:00"/>
    <n v="8.7429282407392748"/>
    <x v="1"/>
    <x v="7"/>
    <n v="6.7429282407392748"/>
    <x v="7"/>
  </r>
  <r>
    <n v="1001"/>
    <s v="1001111"/>
    <d v="2023-09-27T06:10:11"/>
    <s v="type13"/>
    <n v="21740.07"/>
    <x v="0"/>
    <d v="2023-09-29T06:10:11"/>
    <x v="3"/>
    <d v="2023-10-03T00:00:00"/>
    <n v="5.7429282407392748"/>
    <x v="2"/>
    <x v="13"/>
    <n v="3.7429282407392748"/>
    <x v="13"/>
  </r>
  <r>
    <n v="1033"/>
    <s v="1033111"/>
    <d v="2023-09-21T06:10:11"/>
    <s v="type13"/>
    <n v="30094.97"/>
    <x v="1"/>
    <d v="2023-09-23T06:10:11"/>
    <x v="4"/>
    <d v="2023-10-03T00:00:00"/>
    <n v="11.742928240739275"/>
    <x v="0"/>
    <x v="3"/>
    <n v="9.7429282407392748"/>
    <x v="3"/>
  </r>
  <r>
    <n v="1022"/>
    <s v="1022111"/>
    <d v="2023-09-25T06:10:11"/>
    <s v="type40"/>
    <n v="3142.53"/>
    <x v="2"/>
    <d v="2023-10-02T06:10:11"/>
    <x v="0"/>
    <d v="2023-10-03T00:00:00"/>
    <n v="7.7429282407392748"/>
    <x v="1"/>
    <x v="15"/>
    <n v="0.74292824073927477"/>
    <x v="15"/>
  </r>
  <r>
    <n v="1019"/>
    <s v="1019111"/>
    <d v="2023-09-23T06:10:11"/>
    <s v="type40"/>
    <n v="326.27999999999997"/>
    <x v="0"/>
    <d v="2023-09-25T06:10:11"/>
    <x v="0"/>
    <d v="2023-10-03T00:00:00"/>
    <n v="9.7429282407392748"/>
    <x v="0"/>
    <x v="11"/>
    <n v="7.7429282407392748"/>
    <x v="11"/>
  </r>
  <r>
    <n v="1012"/>
    <s v="1012111"/>
    <d v="2023-09-26T06:10:11"/>
    <s v="type40"/>
    <n v="-631.11"/>
    <x v="0"/>
    <d v="2023-09-28T06:10:11"/>
    <x v="2"/>
    <d v="2023-10-03T00:00:00"/>
    <n v="6.7429282407392748"/>
    <x v="1"/>
    <x v="8"/>
    <n v="4.7429282407392748"/>
    <x v="8"/>
  </r>
  <r>
    <n v="1006"/>
    <s v="1006111"/>
    <d v="2023-09-19T06:10:11"/>
    <s v="type40"/>
    <n v="453.18"/>
    <x v="1"/>
    <d v="2023-09-21T06:10:11"/>
    <x v="1"/>
    <d v="2023-10-03T00:00:00"/>
    <n v="13.742928240739275"/>
    <x v="0"/>
    <x v="1"/>
    <n v="11.742928240739275"/>
    <x v="1"/>
  </r>
  <r>
    <n v="1018"/>
    <s v="1018111"/>
    <d v="2023-09-26T06:10:11"/>
    <s v="type40"/>
    <n v="636.95000000000005"/>
    <x v="2"/>
    <d v="2023-10-03T06:10:11"/>
    <x v="0"/>
    <d v="2023-10-03T00:00:00"/>
    <n v="6.7429282407392748"/>
    <x v="1"/>
    <x v="16"/>
    <n v="-0.25707175926072523"/>
    <x v="16"/>
  </r>
  <r>
    <n v="1012"/>
    <s v="1012111"/>
    <d v="2023-09-20T06:10:11"/>
    <s v="type40"/>
    <n v="-761.69"/>
    <x v="1"/>
    <d v="2023-09-22T06:10:11"/>
    <x v="2"/>
    <d v="2023-10-03T00:00:00"/>
    <n v="12.742928240739275"/>
    <x v="0"/>
    <x v="10"/>
    <n v="10.742928240739275"/>
    <x v="10"/>
  </r>
  <r>
    <n v="1013"/>
    <s v="1013111"/>
    <d v="2023-09-26T06:10:11"/>
    <s v="type13"/>
    <n v="30111.200000000001"/>
    <x v="0"/>
    <d v="2023-09-28T06:10:11"/>
    <x v="2"/>
    <d v="2023-10-03T00:00:00"/>
    <n v="6.7429282407392748"/>
    <x v="1"/>
    <x v="8"/>
    <n v="4.7429282407392748"/>
    <x v="8"/>
  </r>
  <r>
    <n v="1021"/>
    <s v="1021111"/>
    <d v="2023-09-26T06:10:11"/>
    <s v="type40"/>
    <n v="1578.84"/>
    <x v="0"/>
    <d v="2023-09-27T06:10:11"/>
    <x v="0"/>
    <d v="2023-10-03T00:00:00"/>
    <n v="6.7429282407392748"/>
    <x v="1"/>
    <x v="12"/>
    <n v="5.7429282407392748"/>
    <x v="12"/>
  </r>
  <r>
    <n v="1033"/>
    <s v="1033111"/>
    <d v="2023-09-25T06:10:11"/>
    <s v="type2"/>
    <n v="1023"/>
    <x v="2"/>
    <d v="2023-09-30T06:10:11"/>
    <x v="4"/>
    <d v="2023-10-03T00:00:00"/>
    <n v="7.7429282407392748"/>
    <x v="1"/>
    <x v="14"/>
    <n v="2.7429282407392748"/>
    <x v="14"/>
  </r>
  <r>
    <n v="1023"/>
    <s v="1023111"/>
    <d v="2023-09-10T06:10:11"/>
    <s v="type40"/>
    <n v="2310.29"/>
    <x v="0"/>
    <d v="2023-09-12T06:10:11"/>
    <x v="0"/>
    <d v="2023-10-03T00:00:00"/>
    <n v="22.742928240739275"/>
    <x v="0"/>
    <x v="18"/>
    <n v="20.742928240739275"/>
    <x v="18"/>
  </r>
  <r>
    <n v="1034"/>
    <s v="1034111"/>
    <d v="2023-09-24T06:10:11"/>
    <s v="type13"/>
    <n v="16412.21"/>
    <x v="2"/>
    <d v="2023-09-26T06:10:11"/>
    <x v="4"/>
    <d v="2023-10-03T00:00:00"/>
    <n v="8.7429282407392748"/>
    <x v="1"/>
    <x v="7"/>
    <n v="6.7429282407392748"/>
    <x v="7"/>
  </r>
  <r>
    <n v="1027"/>
    <s v="1027111"/>
    <d v="2023-09-15T06:10:11"/>
    <s v="type24"/>
    <n v="154.85"/>
    <x v="0"/>
    <d v="2023-09-17T06:10:11"/>
    <x v="5"/>
    <d v="2023-10-03T00:00:00"/>
    <n v="17.742928240739275"/>
    <x v="0"/>
    <x v="4"/>
    <n v="15.742928240739275"/>
    <x v="4"/>
  </r>
  <r>
    <n v="1019"/>
    <s v="1019111"/>
    <d v="2023-09-24T06:10:11"/>
    <s v="type40"/>
    <n v="7984.7"/>
    <x v="0"/>
    <d v="2023-09-25T06:10:11"/>
    <x v="0"/>
    <d v="2023-10-03T00:00:00"/>
    <n v="8.7429282407392748"/>
    <x v="1"/>
    <x v="11"/>
    <n v="7.7429282407392748"/>
    <x v="11"/>
  </r>
  <r>
    <n v="1020"/>
    <s v="1020111"/>
    <d v="2023-09-16T06:10:11"/>
    <s v="type40"/>
    <n v="-577.89"/>
    <x v="0"/>
    <d v="2023-09-18T06:10:11"/>
    <x v="0"/>
    <d v="2023-10-03T00:00:00"/>
    <n v="16.742928240739275"/>
    <x v="0"/>
    <x v="6"/>
    <n v="14.742928240739275"/>
    <x v="6"/>
  </r>
  <r>
    <n v="1034"/>
    <s v="1034111"/>
    <d v="2023-09-28T06:10:11"/>
    <s v="type13"/>
    <n v="61231.64"/>
    <x v="3"/>
    <d v="2023-09-30T06:10:11"/>
    <x v="4"/>
    <d v="2023-10-03T00:00:00"/>
    <n v="4.7429282407392748"/>
    <x v="2"/>
    <x v="14"/>
    <n v="2.7429282407392748"/>
    <x v="14"/>
  </r>
  <r>
    <n v="1005"/>
    <s v="1005111"/>
    <d v="2023-09-26T06:10:11"/>
    <s v="type13"/>
    <n v="38409.17"/>
    <x v="0"/>
    <d v="2023-10-03T06:10:11"/>
    <x v="3"/>
    <d v="2023-10-03T00:00:00"/>
    <n v="6.7429282407392748"/>
    <x v="1"/>
    <x v="16"/>
    <n v="-0.25707175926072523"/>
    <x v="16"/>
  </r>
  <r>
    <n v="1026"/>
    <s v="1026111"/>
    <d v="2023-09-25T06:10:11"/>
    <s v="type13"/>
    <n v="15768.48"/>
    <x v="2"/>
    <d v="2023-09-27T06:10:11"/>
    <x v="5"/>
    <d v="2023-10-03T00:00:00"/>
    <n v="7.7429282407392748"/>
    <x v="1"/>
    <x v="12"/>
    <n v="5.7429282407392748"/>
    <x v="12"/>
  </r>
  <r>
    <n v="1012"/>
    <s v="1012111"/>
    <d v="2023-09-18T06:10:11"/>
    <s v="type40"/>
    <n v="553.46"/>
    <x v="3"/>
    <d v="2023-09-20T06:10:11"/>
    <x v="2"/>
    <d v="2023-10-03T00:00:00"/>
    <n v="14.742928240739275"/>
    <x v="0"/>
    <x v="9"/>
    <n v="12.742928240739275"/>
    <x v="9"/>
  </r>
  <r>
    <n v="1001"/>
    <s v="1001111"/>
    <d v="2023-09-18T06:10:11"/>
    <s v="type40"/>
    <n v="1191.02"/>
    <x v="0"/>
    <d v="2023-09-23T06:10:11"/>
    <x v="3"/>
    <d v="2023-10-03T00:00:00"/>
    <n v="14.742928240739275"/>
    <x v="0"/>
    <x v="3"/>
    <n v="9.7429282407392748"/>
    <x v="3"/>
  </r>
  <r>
    <n v="1035"/>
    <s v="1035111"/>
    <d v="2023-09-19T06:10:11"/>
    <s v="type35"/>
    <n v="1119.54"/>
    <x v="1"/>
    <d v="2023-09-24T06:10:11"/>
    <x v="4"/>
    <d v="2023-10-03T00:00:00"/>
    <n v="13.742928240739275"/>
    <x v="0"/>
    <x v="5"/>
    <n v="8.7429282407392748"/>
    <x v="5"/>
  </r>
  <r>
    <n v="1002"/>
    <s v="1002111"/>
    <d v="2023-09-20T06:10:11"/>
    <s v="type40"/>
    <n v="-880.95"/>
    <x v="1"/>
    <d v="2023-09-25T06:10:11"/>
    <x v="3"/>
    <d v="2023-10-03T00:00:00"/>
    <n v="12.742928240739275"/>
    <x v="0"/>
    <x v="11"/>
    <n v="7.7429282407392748"/>
    <x v="11"/>
  </r>
  <r>
    <n v="1011"/>
    <s v="1011111"/>
    <d v="2023-09-23T06:10:11"/>
    <s v="type40"/>
    <n v="-475.19"/>
    <x v="0"/>
    <d v="2023-09-28T06:10:11"/>
    <x v="1"/>
    <d v="2023-10-03T00:00:00"/>
    <n v="9.7429282407392748"/>
    <x v="0"/>
    <x v="8"/>
    <n v="4.7429282407392748"/>
    <x v="8"/>
  </r>
  <r>
    <n v="1017"/>
    <s v="1017111"/>
    <d v="2023-09-25T06:10:11"/>
    <s v="type40"/>
    <n v="-370.53"/>
    <x v="0"/>
    <d v="2023-09-30T06:10:11"/>
    <x v="2"/>
    <d v="2023-10-03T00:00:00"/>
    <n v="7.7429282407392748"/>
    <x v="1"/>
    <x v="14"/>
    <n v="2.7429282407392748"/>
    <x v="14"/>
  </r>
  <r>
    <n v="1026"/>
    <s v="1026111"/>
    <d v="2023-09-27T06:10:11"/>
    <s v="type40"/>
    <n v="-331.35"/>
    <x v="0"/>
    <d v="2023-10-02T06:10:11"/>
    <x v="5"/>
    <d v="2023-10-03T00:00:00"/>
    <n v="5.7429282407392748"/>
    <x v="2"/>
    <x v="15"/>
    <n v="0.74292824073927477"/>
    <x v="15"/>
  </r>
  <r>
    <n v="1024"/>
    <s v="1024111"/>
    <d v="2023-09-18T06:10:11"/>
    <s v="type40"/>
    <n v="1727.95"/>
    <x v="0"/>
    <d v="2023-09-23T06:10:11"/>
    <x v="5"/>
    <d v="2023-10-03T00:00:00"/>
    <n v="14.742928240739275"/>
    <x v="0"/>
    <x v="3"/>
    <n v="9.7429282407392748"/>
    <x v="3"/>
  </r>
  <r>
    <n v="1024"/>
    <s v="1024111"/>
    <d v="2023-09-23T06:10:11"/>
    <s v="type40"/>
    <n v="4067.42"/>
    <x v="1"/>
    <d v="2023-09-28T06:10:11"/>
    <x v="5"/>
    <d v="2023-10-03T00:00:00"/>
    <n v="9.7429282407392748"/>
    <x v="0"/>
    <x v="8"/>
    <n v="4.7429282407392748"/>
    <x v="8"/>
  </r>
  <r>
    <n v="1007"/>
    <s v="1007111"/>
    <d v="2023-09-25T06:10:11"/>
    <s v="type13"/>
    <n v="16719.53"/>
    <x v="2"/>
    <d v="2023-09-30T06:10:11"/>
    <x v="1"/>
    <d v="2023-10-03T00:00:00"/>
    <n v="7.7429282407392748"/>
    <x v="1"/>
    <x v="14"/>
    <n v="2.7429282407392748"/>
    <x v="14"/>
  </r>
  <r>
    <n v="1020"/>
    <s v="1020111"/>
    <d v="2023-09-25T06:10:11"/>
    <s v="type40"/>
    <n v="-751.18"/>
    <x v="3"/>
    <d v="2023-10-02T06:10:11"/>
    <x v="0"/>
    <d v="2023-10-03T00:00:00"/>
    <n v="7.7429282407392748"/>
    <x v="1"/>
    <x v="15"/>
    <n v="0.74292824073927477"/>
    <x v="15"/>
  </r>
  <r>
    <n v="1009"/>
    <s v="1009111"/>
    <d v="2023-09-26T06:10:11"/>
    <s v="type40"/>
    <n v="303.85000000000002"/>
    <x v="3"/>
    <d v="2023-10-03T06:10:11"/>
    <x v="1"/>
    <d v="2023-10-03T00:00:00"/>
    <n v="6.7429282407392748"/>
    <x v="1"/>
    <x v="16"/>
    <n v="-0.25707175926072523"/>
    <x v="16"/>
  </r>
  <r>
    <n v="1005"/>
    <s v="1005111"/>
    <d v="2023-09-27T06:10:11"/>
    <s v="type40"/>
    <n v="-351.01"/>
    <x v="3"/>
    <d v="2023-10-04T06:10:11"/>
    <x v="3"/>
    <d v="2023-10-03T00:00:00"/>
    <n v="5.7429282407392748"/>
    <x v="2"/>
    <x v="23"/>
    <n v="-1.2570717592607252"/>
    <x v="23"/>
  </r>
  <r>
    <n v="1011"/>
    <s v="1011111"/>
    <d v="2023-09-20T06:10:11"/>
    <s v="type40"/>
    <n v="564.94000000000005"/>
    <x v="0"/>
    <d v="2023-09-27T06:10:11"/>
    <x v="1"/>
    <d v="2023-10-03T00:00:00"/>
    <n v="12.742928240739275"/>
    <x v="0"/>
    <x v="12"/>
    <n v="5.7429282407392748"/>
    <x v="12"/>
  </r>
  <r>
    <n v="1035"/>
    <s v="1035111"/>
    <d v="2023-09-25T06:10:11"/>
    <s v="type10"/>
    <n v="136"/>
    <x v="0"/>
    <d v="2023-09-26T06:10:11"/>
    <x v="4"/>
    <d v="2023-10-03T00:00:00"/>
    <n v="7.7429282407392748"/>
    <x v="1"/>
    <x v="7"/>
    <n v="6.7429282407392748"/>
    <x v="7"/>
  </r>
  <r>
    <n v="1034"/>
    <s v="1034111"/>
    <d v="2023-09-11T06:10:11"/>
    <s v="type40"/>
    <n v="1421.87"/>
    <x v="3"/>
    <d v="2023-09-18T06:10:11"/>
    <x v="4"/>
    <d v="2023-10-03T00:00:00"/>
    <n v="21.742928240739275"/>
    <x v="0"/>
    <x v="6"/>
    <n v="14.742928240739275"/>
    <x v="6"/>
  </r>
  <r>
    <n v="1002"/>
    <s v="1002111"/>
    <d v="2023-09-24T06:10:11"/>
    <s v="type43"/>
    <n v="208.71"/>
    <x v="0"/>
    <d v="2023-09-26T06:10:11"/>
    <x v="3"/>
    <d v="2023-10-03T00:00:00"/>
    <n v="8.7429282407392748"/>
    <x v="1"/>
    <x v="7"/>
    <n v="6.7429282407392748"/>
    <x v="7"/>
  </r>
  <r>
    <n v="1020"/>
    <s v="1020111"/>
    <d v="2023-09-13T06:10:11"/>
    <s v="type46"/>
    <n v="68.97"/>
    <x v="1"/>
    <d v="2023-09-20T06:10:11"/>
    <x v="0"/>
    <d v="2023-10-03T00:00:00"/>
    <n v="19.742928240739275"/>
    <x v="0"/>
    <x v="9"/>
    <n v="12.742928240739275"/>
    <x v="9"/>
  </r>
  <r>
    <n v="1008"/>
    <s v="1008111"/>
    <d v="2023-09-25T06:10:11"/>
    <s v="type13"/>
    <n v="32935.199999999997"/>
    <x v="2"/>
    <d v="2023-09-26T06:10:11"/>
    <x v="1"/>
    <d v="2023-10-03T00:00:00"/>
    <n v="7.7429282407392748"/>
    <x v="1"/>
    <x v="7"/>
    <n v="6.7429282407392748"/>
    <x v="7"/>
  </r>
  <r>
    <n v="1025"/>
    <s v="1025111"/>
    <d v="2023-09-14T06:10:11"/>
    <s v="type7"/>
    <n v="-9976.0400000000009"/>
    <x v="1"/>
    <d v="2023-09-21T06:10:11"/>
    <x v="5"/>
    <d v="2023-10-03T00:00:00"/>
    <n v="18.742928240739275"/>
    <x v="0"/>
    <x v="1"/>
    <n v="11.742928240739275"/>
    <x v="1"/>
  </r>
  <r>
    <n v="1033"/>
    <s v="1033111"/>
    <d v="2023-09-26T06:10:11"/>
    <s v="type40"/>
    <n v="-719.6"/>
    <x v="0"/>
    <d v="2023-09-27T06:10:11"/>
    <x v="4"/>
    <d v="2023-10-03T00:00:00"/>
    <n v="6.7429282407392748"/>
    <x v="1"/>
    <x v="12"/>
    <n v="5.7429282407392748"/>
    <x v="12"/>
  </r>
  <r>
    <n v="1025"/>
    <s v="1025111"/>
    <d v="2023-09-21T06:10:11"/>
    <s v="type40"/>
    <n v="383.79"/>
    <x v="0"/>
    <d v="2023-09-28T06:10:11"/>
    <x v="5"/>
    <d v="2023-10-03T00:00:00"/>
    <n v="11.742928240739275"/>
    <x v="0"/>
    <x v="8"/>
    <n v="4.7429282407392748"/>
    <x v="8"/>
  </r>
  <r>
    <n v="1033"/>
    <s v="1033111"/>
    <d v="2023-09-26T06:10:11"/>
    <s v="type31"/>
    <n v="311.25"/>
    <x v="0"/>
    <d v="2023-09-27T06:10:11"/>
    <x v="4"/>
    <d v="2023-10-03T00:00:00"/>
    <n v="6.7429282407392748"/>
    <x v="1"/>
    <x v="12"/>
    <n v="5.7429282407392748"/>
    <x v="12"/>
  </r>
  <r>
    <n v="1024"/>
    <s v="1024111"/>
    <d v="2023-09-24T06:10:11"/>
    <s v="type13"/>
    <n v="28892.02"/>
    <x v="2"/>
    <d v="2023-09-26T06:10:11"/>
    <x v="5"/>
    <d v="2023-10-03T00:00:00"/>
    <n v="8.7429282407392748"/>
    <x v="1"/>
    <x v="7"/>
    <n v="6.7429282407392748"/>
    <x v="7"/>
  </r>
  <r>
    <n v="1008"/>
    <s v="1008111"/>
    <d v="2023-09-16T06:10:11"/>
    <s v="type17"/>
    <n v="482.2"/>
    <x v="1"/>
    <d v="2023-09-23T06:10:11"/>
    <x v="1"/>
    <d v="2023-10-03T00:00:00"/>
    <n v="16.742928240739275"/>
    <x v="0"/>
    <x v="3"/>
    <n v="9.7429282407392748"/>
    <x v="3"/>
  </r>
  <r>
    <n v="1025"/>
    <s v="1025111"/>
    <d v="2023-09-26T06:10:11"/>
    <s v="type25"/>
    <n v="163.96"/>
    <x v="0"/>
    <d v="2023-09-28T06:10:11"/>
    <x v="5"/>
    <d v="2023-10-03T00:00:00"/>
    <n v="6.7429282407392748"/>
    <x v="1"/>
    <x v="8"/>
    <n v="4.7429282407392748"/>
    <x v="8"/>
  </r>
  <r>
    <n v="1024"/>
    <s v="1024111"/>
    <d v="2023-09-18T06:10:11"/>
    <s v="type40"/>
    <n v="-1029.48"/>
    <x v="3"/>
    <d v="2023-09-25T06:10:11"/>
    <x v="5"/>
    <d v="2023-10-03T00:00:00"/>
    <n v="14.742928240739275"/>
    <x v="0"/>
    <x v="11"/>
    <n v="7.7429282407392748"/>
    <x v="11"/>
  </r>
  <r>
    <n v="1011"/>
    <s v="1011111"/>
    <d v="2023-09-18T06:10:11"/>
    <s v="type40"/>
    <n v="458.19"/>
    <x v="3"/>
    <d v="2023-09-25T06:10:11"/>
    <x v="1"/>
    <d v="2023-10-03T00:00:00"/>
    <n v="14.742928240739275"/>
    <x v="0"/>
    <x v="11"/>
    <n v="7.7429282407392748"/>
    <x v="11"/>
  </r>
  <r>
    <n v="1024"/>
    <s v="1024111"/>
    <d v="2023-09-25T06:10:11"/>
    <s v="type40"/>
    <n v="-774.59"/>
    <x v="0"/>
    <d v="2023-10-02T06:10:11"/>
    <x v="5"/>
    <d v="2023-10-03T00:00:00"/>
    <n v="7.7429282407392748"/>
    <x v="1"/>
    <x v="15"/>
    <n v="0.74292824073927477"/>
    <x v="15"/>
  </r>
  <r>
    <n v="1030"/>
    <s v="1030111"/>
    <d v="2023-09-24T06:10:11"/>
    <s v="type40"/>
    <n v="2764.75"/>
    <x v="2"/>
    <d v="2023-09-25T06:10:11"/>
    <x v="4"/>
    <d v="2023-10-03T00:00:00"/>
    <n v="8.7429282407392748"/>
    <x v="1"/>
    <x v="11"/>
    <n v="7.7429282407392748"/>
    <x v="11"/>
  </r>
  <r>
    <n v="1021"/>
    <s v="1021111"/>
    <d v="2023-09-20T06:10:11"/>
    <s v="type1"/>
    <n v="11"/>
    <x v="3"/>
    <d v="2023-09-21T06:10:11"/>
    <x v="0"/>
    <d v="2023-10-03T00:00:00"/>
    <n v="12.742928240739275"/>
    <x v="0"/>
    <x v="1"/>
    <n v="11.742928240739275"/>
    <x v="1"/>
  </r>
  <r>
    <n v="1020"/>
    <s v="1020111"/>
    <d v="2023-09-21T06:10:11"/>
    <s v="type17"/>
    <n v="420.45"/>
    <x v="0"/>
    <d v="2023-09-22T06:10:11"/>
    <x v="0"/>
    <d v="2023-10-03T00:00:00"/>
    <n v="11.742928240739275"/>
    <x v="0"/>
    <x v="10"/>
    <n v="10.742928240739275"/>
    <x v="10"/>
  </r>
  <r>
    <n v="1020"/>
    <s v="1020111"/>
    <d v="2023-09-24T06:10:11"/>
    <s v="type40"/>
    <n v="-1347.75"/>
    <x v="0"/>
    <d v="2023-10-01T06:10:11"/>
    <x v="0"/>
    <d v="2023-10-03T00:00:00"/>
    <n v="8.7429282407392748"/>
    <x v="1"/>
    <x v="22"/>
    <n v="1.7429282407392748"/>
    <x v="22"/>
  </r>
  <r>
    <n v="1027"/>
    <s v="1027111"/>
    <d v="2023-09-22T06:10:11"/>
    <s v="type41"/>
    <n v="445.96"/>
    <x v="1"/>
    <d v="2023-09-23T06:10:11"/>
    <x v="5"/>
    <d v="2023-10-03T00:00:00"/>
    <n v="10.742928240739275"/>
    <x v="0"/>
    <x v="3"/>
    <n v="9.7429282407392748"/>
    <x v="3"/>
  </r>
  <r>
    <n v="1005"/>
    <s v="1005111"/>
    <d v="2023-09-25T06:10:11"/>
    <s v="type42"/>
    <n v="157.62"/>
    <x v="0"/>
    <d v="2023-09-30T06:10:11"/>
    <x v="3"/>
    <d v="2023-10-03T00:00:00"/>
    <n v="7.7429282407392748"/>
    <x v="1"/>
    <x v="14"/>
    <n v="2.7429282407392748"/>
    <x v="14"/>
  </r>
  <r>
    <n v="1009"/>
    <s v="1009111"/>
    <d v="2023-09-24T06:10:11"/>
    <s v="type40"/>
    <n v="-5401.67"/>
    <x v="3"/>
    <d v="2023-09-25T06:10:11"/>
    <x v="1"/>
    <d v="2023-10-03T00:00:00"/>
    <n v="8.7429282407392748"/>
    <x v="1"/>
    <x v="11"/>
    <n v="7.7429282407392748"/>
    <x v="11"/>
  </r>
  <r>
    <n v="1028"/>
    <s v="1028111"/>
    <d v="2023-09-26T06:10:11"/>
    <s v="type40"/>
    <n v="4987.16"/>
    <x v="0"/>
    <d v="2023-09-28T06:10:11"/>
    <x v="5"/>
    <d v="2023-10-03T00:00:00"/>
    <n v="6.7429282407392748"/>
    <x v="1"/>
    <x v="8"/>
    <n v="4.7429282407392748"/>
    <x v="8"/>
  </r>
  <r>
    <n v="1030"/>
    <s v="1030111"/>
    <d v="2023-09-24T06:10:11"/>
    <s v="type40"/>
    <n v="446.34"/>
    <x v="0"/>
    <d v="2023-09-26T06:10:11"/>
    <x v="4"/>
    <d v="2023-10-03T00:00:00"/>
    <n v="8.7429282407392748"/>
    <x v="1"/>
    <x v="7"/>
    <n v="6.7429282407392748"/>
    <x v="7"/>
  </r>
  <r>
    <n v="1033"/>
    <s v="1033111"/>
    <d v="2023-09-24T06:10:11"/>
    <s v="type27"/>
    <n v="3042.03"/>
    <x v="0"/>
    <d v="2023-09-25T06:10:11"/>
    <x v="4"/>
    <d v="2023-10-03T00:00:00"/>
    <n v="8.7429282407392748"/>
    <x v="1"/>
    <x v="11"/>
    <n v="7.7429282407392748"/>
    <x v="11"/>
  </r>
  <r>
    <n v="1013"/>
    <s v="1013111"/>
    <d v="2023-09-24T06:10:11"/>
    <s v="type7"/>
    <n v="1546.83"/>
    <x v="2"/>
    <d v="2023-09-26T06:10:11"/>
    <x v="2"/>
    <d v="2023-10-03T00:00:00"/>
    <n v="8.7429282407392748"/>
    <x v="1"/>
    <x v="7"/>
    <n v="6.7429282407392748"/>
    <x v="7"/>
  </r>
  <r>
    <n v="1010"/>
    <s v="1010111"/>
    <d v="2023-09-26T06:10:11"/>
    <s v="type29"/>
    <n v="371.52"/>
    <x v="2"/>
    <d v="2023-09-28T06:10:11"/>
    <x v="1"/>
    <d v="2023-10-03T00:00:00"/>
    <n v="6.7429282407392748"/>
    <x v="1"/>
    <x v="8"/>
    <n v="4.7429282407392748"/>
    <x v="8"/>
  </r>
  <r>
    <n v="1002"/>
    <s v="1002111"/>
    <d v="2023-09-25T06:10:11"/>
    <s v="type40"/>
    <n v="-807.95"/>
    <x v="0"/>
    <d v="2023-10-02T06:10:11"/>
    <x v="3"/>
    <d v="2023-10-03T00:00:00"/>
    <n v="7.7429282407392748"/>
    <x v="1"/>
    <x v="15"/>
    <n v="0.74292824073927477"/>
    <x v="15"/>
  </r>
  <r>
    <n v="1031"/>
    <s v="1031111"/>
    <d v="2023-09-26T06:10:11"/>
    <s v="type5"/>
    <n v="645"/>
    <x v="0"/>
    <d v="2023-09-27T06:10:11"/>
    <x v="4"/>
    <d v="2023-10-03T00:00:00"/>
    <n v="6.7429282407392748"/>
    <x v="1"/>
    <x v="12"/>
    <n v="5.7429282407392748"/>
    <x v="12"/>
  </r>
  <r>
    <n v="1030"/>
    <s v="1030111"/>
    <d v="2023-09-24T06:10:11"/>
    <s v="type7"/>
    <n v="1755.14"/>
    <x v="0"/>
    <d v="2023-09-29T06:10:11"/>
    <x v="4"/>
    <d v="2023-10-03T00:00:00"/>
    <n v="8.7429282407392748"/>
    <x v="1"/>
    <x v="13"/>
    <n v="3.7429282407392748"/>
    <x v="13"/>
  </r>
  <r>
    <n v="1029"/>
    <s v="1029111"/>
    <d v="2023-09-19T06:10:11"/>
    <s v="type40"/>
    <n v="-500.4"/>
    <x v="1"/>
    <d v="2023-09-20T06:10:11"/>
    <x v="5"/>
    <d v="2023-10-03T00:00:00"/>
    <n v="13.742928240739275"/>
    <x v="0"/>
    <x v="9"/>
    <n v="12.742928240739275"/>
    <x v="9"/>
  </r>
  <r>
    <n v="1002"/>
    <s v="1002111"/>
    <d v="2023-09-25T06:10:11"/>
    <s v="type13"/>
    <n v="32295.05"/>
    <x v="2"/>
    <d v="2023-10-02T06:10:11"/>
    <x v="3"/>
    <d v="2023-10-03T00:00:00"/>
    <n v="7.7429282407392748"/>
    <x v="1"/>
    <x v="15"/>
    <n v="0.74292824073927477"/>
    <x v="15"/>
  </r>
  <r>
    <n v="1012"/>
    <s v="1012111"/>
    <d v="2023-09-26T06:10:11"/>
    <s v="type33"/>
    <n v="333.55"/>
    <x v="0"/>
    <d v="2023-10-03T06:10:11"/>
    <x v="2"/>
    <d v="2023-10-03T00:00:00"/>
    <n v="6.7429282407392748"/>
    <x v="1"/>
    <x v="16"/>
    <n v="-0.25707175926072523"/>
    <x v="16"/>
  </r>
  <r>
    <n v="1011"/>
    <s v="1011111"/>
    <d v="2023-09-26T06:10:11"/>
    <s v="type8"/>
    <n v="89.26"/>
    <x v="2"/>
    <d v="2023-10-03T06:10:11"/>
    <x v="1"/>
    <d v="2023-10-03T00:00:00"/>
    <n v="6.7429282407392748"/>
    <x v="1"/>
    <x v="16"/>
    <n v="-0.25707175926072523"/>
    <x v="16"/>
  </r>
  <r>
    <n v="1002"/>
    <s v="1002111"/>
    <d v="2023-09-21T06:10:11"/>
    <s v="type52"/>
    <n v="125.01"/>
    <x v="1"/>
    <d v="2023-09-23T06:10:11"/>
    <x v="3"/>
    <d v="2023-10-03T00:00:00"/>
    <n v="11.742928240739275"/>
    <x v="0"/>
    <x v="3"/>
    <n v="9.7429282407392748"/>
    <x v="3"/>
  </r>
  <r>
    <n v="1025"/>
    <s v="1025111"/>
    <d v="2023-09-26T06:10:11"/>
    <s v="type15"/>
    <n v="-1816.4"/>
    <x v="0"/>
    <d v="2023-09-27T06:10:11"/>
    <x v="5"/>
    <d v="2023-10-03T00:00:00"/>
    <n v="6.7429282407392748"/>
    <x v="1"/>
    <x v="12"/>
    <n v="5.7429282407392748"/>
    <x v="12"/>
  </r>
  <r>
    <n v="1010"/>
    <s v="1010111"/>
    <d v="2023-09-24T06:10:11"/>
    <s v="type40"/>
    <n v="-4837"/>
    <x v="2"/>
    <d v="2023-09-26T06:10:11"/>
    <x v="1"/>
    <d v="2023-10-03T00:00:00"/>
    <n v="8.7429282407392748"/>
    <x v="1"/>
    <x v="7"/>
    <n v="6.7429282407392748"/>
    <x v="7"/>
  </r>
  <r>
    <n v="1006"/>
    <s v="1006111"/>
    <d v="2023-09-26T06:10:11"/>
    <s v="type40"/>
    <n v="6484.97"/>
    <x v="2"/>
    <d v="2023-09-28T06:10:11"/>
    <x v="1"/>
    <d v="2023-10-03T00:00:00"/>
    <n v="6.7429282407392748"/>
    <x v="1"/>
    <x v="8"/>
    <n v="4.7429282407392748"/>
    <x v="8"/>
  </r>
  <r>
    <n v="1015"/>
    <s v="1015111"/>
    <d v="2023-09-26T06:10:11"/>
    <s v="type13"/>
    <n v="17379.849999999999"/>
    <x v="2"/>
    <d v="2023-10-01T06:10:11"/>
    <x v="2"/>
    <d v="2023-10-03T00:00:00"/>
    <n v="6.7429282407392748"/>
    <x v="1"/>
    <x v="22"/>
    <n v="1.7429282407392748"/>
    <x v="22"/>
  </r>
  <r>
    <n v="1002"/>
    <s v="1002111"/>
    <d v="2023-09-24T06:10:11"/>
    <s v="type40"/>
    <n v="-305.56"/>
    <x v="2"/>
    <d v="2023-09-25T06:10:11"/>
    <x v="3"/>
    <d v="2023-10-03T00:00:00"/>
    <n v="8.7429282407392748"/>
    <x v="1"/>
    <x v="11"/>
    <n v="7.7429282407392748"/>
    <x v="11"/>
  </r>
  <r>
    <n v="1010"/>
    <s v="1010111"/>
    <d v="2023-09-27T06:10:11"/>
    <s v="type40"/>
    <n v="2697.62"/>
    <x v="3"/>
    <d v="2023-09-29T06:10:11"/>
    <x v="1"/>
    <d v="2023-10-03T00:00:00"/>
    <n v="5.7429282407392748"/>
    <x v="2"/>
    <x v="13"/>
    <n v="3.7429282407392748"/>
    <x v="13"/>
  </r>
  <r>
    <n v="1035"/>
    <s v="1035111"/>
    <d v="2023-09-28T06:10:11"/>
    <s v="type40"/>
    <n v="957.58"/>
    <x v="1"/>
    <d v="2023-09-30T06:10:11"/>
    <x v="4"/>
    <d v="2023-10-03T00:00:00"/>
    <n v="4.7429282407392748"/>
    <x v="2"/>
    <x v="14"/>
    <n v="2.7429282407392748"/>
    <x v="14"/>
  </r>
  <r>
    <n v="1030"/>
    <s v="1030111"/>
    <d v="2023-09-25T06:10:11"/>
    <s v="type40"/>
    <n v="-499.8"/>
    <x v="2"/>
    <d v="2023-09-27T06:10:11"/>
    <x v="4"/>
    <d v="2023-10-03T00:00:00"/>
    <n v="7.7429282407392748"/>
    <x v="1"/>
    <x v="12"/>
    <n v="5.7429282407392748"/>
    <x v="12"/>
  </r>
  <r>
    <n v="1007"/>
    <s v="1007111"/>
    <d v="2023-09-11T06:10:11"/>
    <s v="type13"/>
    <n v="28738"/>
    <x v="1"/>
    <d v="2023-09-13T06:10:11"/>
    <x v="1"/>
    <d v="2023-10-03T00:00:00"/>
    <n v="21.742928240739275"/>
    <x v="0"/>
    <x v="24"/>
    <n v="19.742928240739275"/>
    <x v="24"/>
  </r>
  <r>
    <n v="1027"/>
    <s v="1027111"/>
    <d v="2023-09-25T06:10:11"/>
    <s v="type40"/>
    <n v="-521.09"/>
    <x v="0"/>
    <d v="2023-09-26T06:10:11"/>
    <x v="5"/>
    <d v="2023-10-03T00:00:00"/>
    <n v="7.7429282407392748"/>
    <x v="1"/>
    <x v="7"/>
    <n v="6.7429282407392748"/>
    <x v="7"/>
  </r>
  <r>
    <n v="1004"/>
    <s v="1004111"/>
    <d v="2023-09-25T06:10:11"/>
    <s v="type40"/>
    <n v="-357.15"/>
    <x v="0"/>
    <d v="2023-09-26T06:10:11"/>
    <x v="3"/>
    <d v="2023-10-03T00:00:00"/>
    <n v="7.7429282407392748"/>
    <x v="1"/>
    <x v="7"/>
    <n v="6.7429282407392748"/>
    <x v="7"/>
  </r>
  <r>
    <n v="1003"/>
    <s v="1003111"/>
    <d v="2023-09-13T06:10:11"/>
    <s v="type8"/>
    <n v="105"/>
    <x v="3"/>
    <d v="2023-09-15T06:10:11"/>
    <x v="3"/>
    <d v="2023-10-03T00:00:00"/>
    <n v="19.742928240739275"/>
    <x v="0"/>
    <x v="0"/>
    <n v="17.742928240739275"/>
    <x v="0"/>
  </r>
  <r>
    <n v="1032"/>
    <s v="1032111"/>
    <d v="2023-09-25T06:10:11"/>
    <s v="type41"/>
    <n v="469.94"/>
    <x v="2"/>
    <d v="2023-10-02T06:10:11"/>
    <x v="4"/>
    <d v="2023-10-03T00:00:00"/>
    <n v="7.7429282407392748"/>
    <x v="1"/>
    <x v="15"/>
    <n v="0.74292824073927477"/>
    <x v="15"/>
  </r>
  <r>
    <n v="1011"/>
    <s v="1011111"/>
    <d v="2023-09-14T06:10:11"/>
    <s v="type41"/>
    <n v="432.18"/>
    <x v="1"/>
    <d v="2023-09-16T06:10:11"/>
    <x v="1"/>
    <d v="2023-10-03T00:00:00"/>
    <n v="18.742928240739275"/>
    <x v="0"/>
    <x v="2"/>
    <n v="16.742928240739275"/>
    <x v="2"/>
  </r>
  <r>
    <n v="1009"/>
    <s v="1009111"/>
    <d v="2023-09-26T06:10:11"/>
    <s v="type17"/>
    <n v="368.58"/>
    <x v="0"/>
    <d v="2023-09-28T06:10:11"/>
    <x v="1"/>
    <d v="2023-10-03T00:00:00"/>
    <n v="6.7429282407392748"/>
    <x v="1"/>
    <x v="8"/>
    <n v="4.7429282407392748"/>
    <x v="8"/>
  </r>
  <r>
    <n v="1034"/>
    <s v="1034111"/>
    <d v="2023-09-24T06:10:11"/>
    <s v="type40"/>
    <n v="-1436.48"/>
    <x v="0"/>
    <d v="2023-09-29T06:10:11"/>
    <x v="4"/>
    <d v="2023-10-03T00:00:00"/>
    <n v="8.7429282407392748"/>
    <x v="1"/>
    <x v="13"/>
    <n v="3.7429282407392748"/>
    <x v="13"/>
  </r>
  <r>
    <n v="1027"/>
    <s v="1027111"/>
    <d v="2023-09-16T06:10:11"/>
    <s v="type40"/>
    <n v="3588.19"/>
    <x v="3"/>
    <d v="2023-09-18T06:10:11"/>
    <x v="5"/>
    <d v="2023-10-03T00:00:00"/>
    <n v="16.742928240739275"/>
    <x v="0"/>
    <x v="6"/>
    <n v="14.742928240739275"/>
    <x v="6"/>
  </r>
  <r>
    <n v="1019"/>
    <s v="1019111"/>
    <d v="2023-09-16T06:10:11"/>
    <s v="type40"/>
    <n v="10.57"/>
    <x v="3"/>
    <d v="2023-09-18T06:10:11"/>
    <x v="0"/>
    <d v="2023-10-03T00:00:00"/>
    <n v="16.742928240739275"/>
    <x v="0"/>
    <x v="6"/>
    <n v="14.742928240739275"/>
    <x v="6"/>
  </r>
  <r>
    <n v="1033"/>
    <s v="1033111"/>
    <d v="2023-09-17T06:10:11"/>
    <s v="type40"/>
    <n v="-532.74"/>
    <x v="1"/>
    <d v="2023-09-22T06:10:11"/>
    <x v="4"/>
    <d v="2023-10-03T00:00:00"/>
    <n v="15.742928240739275"/>
    <x v="0"/>
    <x v="10"/>
    <n v="10.742928240739275"/>
    <x v="10"/>
  </r>
  <r>
    <n v="1016"/>
    <s v="1016111"/>
    <d v="2023-09-18T06:10:11"/>
    <s v="type7"/>
    <n v="-1640.63"/>
    <x v="1"/>
    <d v="2023-09-23T06:10:11"/>
    <x v="2"/>
    <d v="2023-10-03T00:00:00"/>
    <n v="14.742928240739275"/>
    <x v="0"/>
    <x v="3"/>
    <n v="9.7429282407392748"/>
    <x v="3"/>
  </r>
  <r>
    <n v="1020"/>
    <s v="1020111"/>
    <d v="2023-09-24T06:10:11"/>
    <s v="type40"/>
    <n v="-1704.36"/>
    <x v="2"/>
    <d v="2023-09-26T06:10:11"/>
    <x v="0"/>
    <d v="2023-10-03T00:00:00"/>
    <n v="8.7429282407392748"/>
    <x v="1"/>
    <x v="7"/>
    <n v="6.7429282407392748"/>
    <x v="7"/>
  </r>
  <r>
    <n v="1029"/>
    <s v="1029111"/>
    <d v="2023-09-26T06:10:11"/>
    <s v="type7"/>
    <n v="-9830.7800000000007"/>
    <x v="2"/>
    <d v="2023-09-28T06:10:11"/>
    <x v="5"/>
    <d v="2023-10-03T00:00:00"/>
    <n v="6.7429282407392748"/>
    <x v="1"/>
    <x v="8"/>
    <n v="4.7429282407392748"/>
    <x v="8"/>
  </r>
  <r>
    <n v="1019"/>
    <s v="1019111"/>
    <d v="2023-09-20T06:10:11"/>
    <s v="type40"/>
    <n v="342.46"/>
    <x v="3"/>
    <d v="2023-09-25T06:10:11"/>
    <x v="0"/>
    <d v="2023-10-03T00:00:00"/>
    <n v="12.742928240739275"/>
    <x v="0"/>
    <x v="11"/>
    <n v="7.7429282407392748"/>
    <x v="11"/>
  </r>
  <r>
    <n v="1003"/>
    <s v="1003111"/>
    <d v="2023-09-20T06:10:11"/>
    <s v="type40"/>
    <n v="5180.6000000000004"/>
    <x v="1"/>
    <d v="2023-09-25T06:10:11"/>
    <x v="3"/>
    <d v="2023-10-03T00:00:00"/>
    <n v="12.742928240739275"/>
    <x v="0"/>
    <x v="11"/>
    <n v="7.7429282407392748"/>
    <x v="11"/>
  </r>
  <r>
    <n v="1007"/>
    <s v="1007111"/>
    <d v="2023-09-24T06:10:11"/>
    <s v="type40"/>
    <n v="396.22"/>
    <x v="0"/>
    <d v="2023-09-26T06:10:11"/>
    <x v="1"/>
    <d v="2023-10-03T00:00:00"/>
    <n v="8.7429282407392748"/>
    <x v="1"/>
    <x v="7"/>
    <n v="6.7429282407392748"/>
    <x v="7"/>
  </r>
  <r>
    <n v="1033"/>
    <s v="1033111"/>
    <d v="2023-09-26T06:10:11"/>
    <s v="type32"/>
    <n v="521745.6"/>
    <x v="1"/>
    <d v="2023-10-01T06:10:11"/>
    <x v="4"/>
    <d v="2023-10-03T00:00:00"/>
    <n v="6.7429282407392748"/>
    <x v="1"/>
    <x v="22"/>
    <n v="1.7429282407392748"/>
    <x v="22"/>
  </r>
  <r>
    <n v="1025"/>
    <s v="1025111"/>
    <d v="2023-09-22T06:10:11"/>
    <s v="type2"/>
    <n v="1057"/>
    <x v="1"/>
    <d v="2023-09-27T06:10:11"/>
    <x v="5"/>
    <d v="2023-10-03T00:00:00"/>
    <n v="10.742928240739275"/>
    <x v="0"/>
    <x v="12"/>
    <n v="5.7429282407392748"/>
    <x v="12"/>
  </r>
  <r>
    <n v="1013"/>
    <s v="1013111"/>
    <d v="2023-09-26T06:10:11"/>
    <s v="type9"/>
    <n v="-100"/>
    <x v="0"/>
    <d v="2023-09-27T06:10:11"/>
    <x v="2"/>
    <d v="2023-10-03T00:00:00"/>
    <n v="6.7429282407392748"/>
    <x v="1"/>
    <x v="12"/>
    <n v="5.7429282407392748"/>
    <x v="12"/>
  </r>
  <r>
    <n v="1016"/>
    <s v="1016111"/>
    <d v="2023-09-25T06:10:11"/>
    <s v="type40"/>
    <n v="-762.68"/>
    <x v="2"/>
    <d v="2023-09-26T06:10:11"/>
    <x v="2"/>
    <d v="2023-10-03T00:00:00"/>
    <n v="7.7429282407392748"/>
    <x v="1"/>
    <x v="7"/>
    <n v="6.7429282407392748"/>
    <x v="7"/>
  </r>
  <r>
    <n v="1026"/>
    <s v="1026111"/>
    <d v="2023-09-26T06:10:11"/>
    <s v="type17"/>
    <n v="586.61"/>
    <x v="2"/>
    <d v="2023-09-27T06:10:11"/>
    <x v="5"/>
    <d v="2023-10-03T00:00:00"/>
    <n v="6.7429282407392748"/>
    <x v="1"/>
    <x v="12"/>
    <n v="5.7429282407392748"/>
    <x v="12"/>
  </r>
  <r>
    <n v="1017"/>
    <s v="1017111"/>
    <d v="2023-09-26T06:10:11"/>
    <s v="type10"/>
    <n v="37"/>
    <x v="0"/>
    <d v="2023-10-03T06:10:11"/>
    <x v="2"/>
    <d v="2023-10-03T00:00:00"/>
    <n v="6.7429282407392748"/>
    <x v="1"/>
    <x v="16"/>
    <n v="-0.25707175926072523"/>
    <x v="16"/>
  </r>
  <r>
    <n v="1009"/>
    <s v="1009111"/>
    <d v="2023-09-24T06:10:11"/>
    <s v="type40"/>
    <n v="1190.78"/>
    <x v="0"/>
    <d v="2023-10-01T06:10:11"/>
    <x v="1"/>
    <d v="2023-10-03T00:00:00"/>
    <n v="8.7429282407392748"/>
    <x v="1"/>
    <x v="22"/>
    <n v="1.7429282407392748"/>
    <x v="22"/>
  </r>
  <r>
    <n v="1005"/>
    <s v="1005111"/>
    <d v="2023-09-24T06:10:11"/>
    <s v="type7"/>
    <n v="-1126.48"/>
    <x v="2"/>
    <d v="2023-09-26T06:10:11"/>
    <x v="3"/>
    <d v="2023-10-03T00:00:00"/>
    <n v="8.7429282407392748"/>
    <x v="1"/>
    <x v="7"/>
    <n v="6.7429282407392748"/>
    <x v="7"/>
  </r>
  <r>
    <n v="1028"/>
    <s v="1028111"/>
    <d v="2023-09-28T06:10:11"/>
    <s v="type13"/>
    <n v="17346.03"/>
    <x v="3"/>
    <d v="2023-10-05T06:10:11"/>
    <x v="5"/>
    <d v="2023-10-03T00:00:00"/>
    <n v="4.7429282407392748"/>
    <x v="2"/>
    <x v="17"/>
    <n v="-2.2570717592607252"/>
    <x v="17"/>
  </r>
  <r>
    <n v="1011"/>
    <s v="1011111"/>
    <d v="2023-09-25T06:10:11"/>
    <s v="type33"/>
    <n v="714.1"/>
    <x v="0"/>
    <d v="2023-09-26T06:10:11"/>
    <x v="1"/>
    <d v="2023-10-03T00:00:00"/>
    <n v="7.7429282407392748"/>
    <x v="1"/>
    <x v="7"/>
    <n v="6.7429282407392748"/>
    <x v="7"/>
  </r>
  <r>
    <n v="1002"/>
    <s v="1002111"/>
    <d v="2023-09-24T06:10:11"/>
    <s v="type40"/>
    <n v="-471.03"/>
    <x v="0"/>
    <d v="2023-09-26T06:10:11"/>
    <x v="3"/>
    <d v="2023-10-03T00:00:00"/>
    <n v="8.7429282407392748"/>
    <x v="1"/>
    <x v="7"/>
    <n v="6.7429282407392748"/>
    <x v="7"/>
  </r>
  <r>
    <n v="1018"/>
    <s v="1018111"/>
    <d v="2023-09-18T06:10:11"/>
    <s v="type13"/>
    <n v="14679.26"/>
    <x v="3"/>
    <d v="2023-09-25T06:10:11"/>
    <x v="0"/>
    <d v="2023-10-03T00:00:00"/>
    <n v="14.742928240739275"/>
    <x v="0"/>
    <x v="11"/>
    <n v="7.7429282407392748"/>
    <x v="11"/>
  </r>
  <r>
    <n v="1026"/>
    <s v="1026111"/>
    <d v="2023-09-24T06:10:11"/>
    <s v="type40"/>
    <n v="405.04"/>
    <x v="2"/>
    <d v="2023-09-29T06:10:11"/>
    <x v="5"/>
    <d v="2023-10-03T00:00:00"/>
    <n v="8.7429282407392748"/>
    <x v="1"/>
    <x v="13"/>
    <n v="3.7429282407392748"/>
    <x v="13"/>
  </r>
  <r>
    <n v="1020"/>
    <s v="1020111"/>
    <d v="2023-09-19T06:10:11"/>
    <s v="type40"/>
    <n v="-677.06"/>
    <x v="1"/>
    <d v="2023-09-26T06:10:11"/>
    <x v="0"/>
    <d v="2023-10-03T00:00:00"/>
    <n v="13.742928240739275"/>
    <x v="0"/>
    <x v="7"/>
    <n v="6.7429282407392748"/>
    <x v="7"/>
  </r>
  <r>
    <n v="1019"/>
    <s v="1019111"/>
    <d v="2023-09-25T06:10:11"/>
    <s v="type8"/>
    <n v="80"/>
    <x v="0"/>
    <d v="2023-09-27T06:10:11"/>
    <x v="0"/>
    <d v="2023-10-03T00:00:00"/>
    <n v="7.7429282407392748"/>
    <x v="1"/>
    <x v="12"/>
    <n v="5.7429282407392748"/>
    <x v="12"/>
  </r>
  <r>
    <n v="1011"/>
    <s v="1011111"/>
    <d v="2023-09-20T06:10:11"/>
    <s v="type7"/>
    <n v="1309.07"/>
    <x v="3"/>
    <d v="2023-09-27T06:10:11"/>
    <x v="1"/>
    <d v="2023-10-03T00:00:00"/>
    <n v="12.742928240739275"/>
    <x v="0"/>
    <x v="12"/>
    <n v="5.7429282407392748"/>
    <x v="12"/>
  </r>
  <r>
    <n v="1029"/>
    <s v="1029111"/>
    <d v="2023-09-24T06:10:11"/>
    <s v="type13"/>
    <n v="25139.46"/>
    <x v="2"/>
    <d v="2023-09-26T06:10:11"/>
    <x v="5"/>
    <d v="2023-10-03T00:00:00"/>
    <n v="8.7429282407392748"/>
    <x v="1"/>
    <x v="7"/>
    <n v="6.7429282407392748"/>
    <x v="7"/>
  </r>
  <r>
    <n v="1018"/>
    <s v="1018111"/>
    <d v="2023-09-21T06:10:11"/>
    <s v="type40"/>
    <n v="36.47"/>
    <x v="3"/>
    <d v="2023-09-28T06:10:11"/>
    <x v="0"/>
    <d v="2023-10-03T00:00:00"/>
    <n v="11.742928240739275"/>
    <x v="0"/>
    <x v="8"/>
    <n v="4.7429282407392748"/>
    <x v="8"/>
  </r>
  <r>
    <n v="1004"/>
    <s v="1004111"/>
    <d v="2023-09-26T06:10:11"/>
    <s v="type27"/>
    <n v="746508.2"/>
    <x v="0"/>
    <d v="2023-09-28T06:10:11"/>
    <x v="3"/>
    <d v="2023-10-03T00:00:00"/>
    <n v="6.7429282407392748"/>
    <x v="1"/>
    <x v="8"/>
    <n v="4.7429282407392748"/>
    <x v="8"/>
  </r>
  <r>
    <n v="1027"/>
    <s v="1027111"/>
    <d v="2023-09-25T06:10:11"/>
    <s v="type13"/>
    <n v="34733.620000000003"/>
    <x v="2"/>
    <d v="2023-09-27T06:10:11"/>
    <x v="5"/>
    <d v="2023-10-03T00:00:00"/>
    <n v="7.7429282407392748"/>
    <x v="1"/>
    <x v="12"/>
    <n v="5.7429282407392748"/>
    <x v="12"/>
  </r>
  <r>
    <n v="1005"/>
    <s v="1005111"/>
    <d v="2023-09-26T06:10:11"/>
    <s v="type40"/>
    <n v="2830.22"/>
    <x v="0"/>
    <d v="2023-10-01T06:10:11"/>
    <x v="3"/>
    <d v="2023-10-03T00:00:00"/>
    <n v="6.7429282407392748"/>
    <x v="1"/>
    <x v="22"/>
    <n v="1.7429282407392748"/>
    <x v="22"/>
  </r>
  <r>
    <n v="1003"/>
    <s v="1003111"/>
    <d v="2023-09-23T06:10:11"/>
    <s v="type29"/>
    <n v="473.53"/>
    <x v="3"/>
    <d v="2023-09-24T06:10:11"/>
    <x v="3"/>
    <d v="2023-10-03T00:00:00"/>
    <n v="9.7429282407392748"/>
    <x v="0"/>
    <x v="5"/>
    <n v="8.7429282407392748"/>
    <x v="5"/>
  </r>
  <r>
    <n v="1011"/>
    <s v="1011111"/>
    <d v="2023-09-24T06:10:11"/>
    <s v="type40"/>
    <n v="783.21"/>
    <x v="1"/>
    <d v="2023-09-25T06:10:11"/>
    <x v="1"/>
    <d v="2023-10-03T00:00:00"/>
    <n v="8.7429282407392748"/>
    <x v="1"/>
    <x v="11"/>
    <n v="7.7429282407392748"/>
    <x v="11"/>
  </r>
  <r>
    <n v="1035"/>
    <s v="1035111"/>
    <d v="2023-09-25T06:10:11"/>
    <s v="type35"/>
    <n v="1518.25"/>
    <x v="3"/>
    <d v="2023-09-26T06:10:11"/>
    <x v="4"/>
    <d v="2023-10-03T00:00:00"/>
    <n v="7.7429282407392748"/>
    <x v="1"/>
    <x v="7"/>
    <n v="6.7429282407392748"/>
    <x v="7"/>
  </r>
  <r>
    <n v="1029"/>
    <s v="1029111"/>
    <d v="2023-09-26T06:10:11"/>
    <s v="type40"/>
    <n v="316.14"/>
    <x v="0"/>
    <d v="2023-10-03T06:10:11"/>
    <x v="5"/>
    <d v="2023-10-03T00:00:00"/>
    <n v="6.7429282407392748"/>
    <x v="1"/>
    <x v="16"/>
    <n v="-0.25707175926072523"/>
    <x v="16"/>
  </r>
  <r>
    <n v="1022"/>
    <s v="1022111"/>
    <d v="2023-09-26T06:10:11"/>
    <s v="type13"/>
    <n v="26980.51"/>
    <x v="2"/>
    <d v="2023-09-28T06:10:11"/>
    <x v="0"/>
    <d v="2023-10-03T00:00:00"/>
    <n v="6.7429282407392748"/>
    <x v="1"/>
    <x v="8"/>
    <n v="4.7429282407392748"/>
    <x v="8"/>
  </r>
  <r>
    <n v="1005"/>
    <s v="1005111"/>
    <d v="2023-09-24T06:10:11"/>
    <s v="type27"/>
    <n v="826.36"/>
    <x v="0"/>
    <d v="2023-10-01T06:10:11"/>
    <x v="3"/>
    <d v="2023-10-03T00:00:00"/>
    <n v="8.7429282407392748"/>
    <x v="1"/>
    <x v="22"/>
    <n v="1.7429282407392748"/>
    <x v="22"/>
  </r>
  <r>
    <n v="1003"/>
    <s v="1003111"/>
    <d v="2023-09-25T06:10:11"/>
    <s v="type13"/>
    <n v="16387.05"/>
    <x v="0"/>
    <d v="2023-10-02T06:10:11"/>
    <x v="3"/>
    <d v="2023-10-03T00:00:00"/>
    <n v="7.7429282407392748"/>
    <x v="1"/>
    <x v="15"/>
    <n v="0.74292824073927477"/>
    <x v="15"/>
  </r>
  <r>
    <n v="1013"/>
    <s v="1013111"/>
    <d v="2023-09-25T06:10:11"/>
    <s v="type40"/>
    <n v="4930.5"/>
    <x v="6"/>
    <d v="2023-09-27T06:10:11"/>
    <x v="2"/>
    <d v="2023-10-03T00:00:00"/>
    <n v="7.7429282407392748"/>
    <x v="1"/>
    <x v="12"/>
    <n v="5.7429282407392748"/>
    <x v="12"/>
  </r>
  <r>
    <n v="1022"/>
    <s v="1022111"/>
    <d v="2023-09-28T06:10:11"/>
    <s v="type42"/>
    <n v="161.78"/>
    <x v="1"/>
    <d v="2023-09-29T06:10:11"/>
    <x v="0"/>
    <d v="2023-10-03T00:00:00"/>
    <n v="4.7429282407392748"/>
    <x v="2"/>
    <x v="13"/>
    <n v="3.7429282407392748"/>
    <x v="13"/>
  </r>
  <r>
    <n v="1000"/>
    <s v="1000111"/>
    <d v="2023-09-26T06:10:11"/>
    <s v="type40"/>
    <n v="-496.91"/>
    <x v="0"/>
    <d v="2023-09-27T06:10:11"/>
    <x v="3"/>
    <d v="2023-10-03T00:00:00"/>
    <n v="6.7429282407392748"/>
    <x v="1"/>
    <x v="12"/>
    <n v="5.7429282407392748"/>
    <x v="12"/>
  </r>
  <r>
    <n v="1015"/>
    <s v="1015111"/>
    <d v="2023-09-24T06:10:11"/>
    <s v="type13"/>
    <n v="20414.75"/>
    <x v="2"/>
    <d v="2023-10-01T06:10:11"/>
    <x v="2"/>
    <d v="2023-10-03T00:00:00"/>
    <n v="8.7429282407392748"/>
    <x v="1"/>
    <x v="22"/>
    <n v="1.7429282407392748"/>
    <x v="22"/>
  </r>
  <r>
    <n v="1009"/>
    <s v="1009111"/>
    <d v="2023-09-26T06:10:11"/>
    <s v="type40"/>
    <n v="-645.69000000000005"/>
    <x v="4"/>
    <d v="2023-09-27T06:10:11"/>
    <x v="1"/>
    <d v="2023-10-03T00:00:00"/>
    <n v="6.7429282407392748"/>
    <x v="1"/>
    <x v="12"/>
    <n v="5.7429282407392748"/>
    <x v="12"/>
  </r>
  <r>
    <n v="1029"/>
    <s v="1029111"/>
    <d v="2023-09-11T06:10:11"/>
    <s v="type37"/>
    <n v="571.04999999999995"/>
    <x v="1"/>
    <d v="2023-09-12T06:10:11"/>
    <x v="5"/>
    <d v="2023-10-03T00:00:00"/>
    <n v="21.742928240739275"/>
    <x v="0"/>
    <x v="18"/>
    <n v="20.742928240739275"/>
    <x v="18"/>
  </r>
  <r>
    <n v="1023"/>
    <s v="1023111"/>
    <d v="2023-09-12T06:10:11"/>
    <s v="type40"/>
    <n v="-1285.75"/>
    <x v="1"/>
    <d v="2023-09-13T06:10:11"/>
    <x v="0"/>
    <d v="2023-10-03T00:00:00"/>
    <n v="20.742928240739275"/>
    <x v="0"/>
    <x v="24"/>
    <n v="19.742928240739275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">
  <r>
    <n v="1033"/>
    <n v="1033111"/>
    <d v="2023-09-09T00:00:00"/>
    <x v="0"/>
    <x v="0"/>
  </r>
  <r>
    <n v="1000"/>
    <n v="1000111"/>
    <d v="2023-09-10T00:00:00"/>
    <x v="1"/>
    <x v="1"/>
  </r>
  <r>
    <n v="1019"/>
    <n v="1019111"/>
    <d v="2023-09-11T00:00:00"/>
    <x v="2"/>
    <x v="2"/>
  </r>
  <r>
    <n v="1006"/>
    <n v="1006111"/>
    <d v="2023-09-12T00:00:00"/>
    <x v="2"/>
    <x v="3"/>
  </r>
  <r>
    <n v="1035"/>
    <n v="1035111"/>
    <d v="2023-09-13T00:00:00"/>
    <x v="2"/>
    <x v="0"/>
  </r>
  <r>
    <n v="1033"/>
    <n v="1033111"/>
    <d v="2023-09-14T00:00:00"/>
    <x v="0"/>
    <x v="0"/>
  </r>
  <r>
    <n v="1017"/>
    <n v="1017111"/>
    <d v="2023-09-15T00:00:00"/>
    <x v="1"/>
    <x v="4"/>
  </r>
  <r>
    <n v="1020"/>
    <n v="1020111"/>
    <d v="2023-09-16T00:00:00"/>
    <x v="2"/>
    <x v="2"/>
  </r>
  <r>
    <n v="1029"/>
    <n v="1029111"/>
    <d v="2023-09-17T00:00:00"/>
    <x v="2"/>
    <x v="5"/>
  </r>
  <r>
    <n v="1016"/>
    <n v="1016111"/>
    <d v="2023-09-18T00:00:00"/>
    <x v="0"/>
    <x v="4"/>
  </r>
  <r>
    <n v="1014"/>
    <n v="1014111"/>
    <d v="2023-09-19T00:00:00"/>
    <x v="1"/>
    <x v="4"/>
  </r>
  <r>
    <n v="1029"/>
    <n v="1029111"/>
    <d v="2023-09-20T00:00:00"/>
    <x v="2"/>
    <x v="5"/>
  </r>
  <r>
    <n v="1032"/>
    <n v="1032111"/>
    <d v="2023-09-21T00:00:00"/>
    <x v="2"/>
    <x v="0"/>
  </r>
  <r>
    <n v="1010"/>
    <n v="1010111"/>
    <d v="2023-09-22T00:00:00"/>
    <x v="0"/>
    <x v="3"/>
  </r>
  <r>
    <n v="1016"/>
    <n v="1016111"/>
    <d v="2023-09-23T00:00:00"/>
    <x v="1"/>
    <x v="4"/>
  </r>
  <r>
    <n v="1021"/>
    <n v="1021111"/>
    <d v="2023-09-24T00:00:00"/>
    <x v="2"/>
    <x v="2"/>
  </r>
  <r>
    <n v="1009"/>
    <n v="1009111"/>
    <d v="2023-09-25T00:00:00"/>
    <x v="0"/>
    <x v="3"/>
  </r>
  <r>
    <n v="1005"/>
    <n v="1005111"/>
    <d v="2023-09-26T00:00:00"/>
    <x v="1"/>
    <x v="1"/>
  </r>
  <r>
    <n v="1012"/>
    <n v="1012111"/>
    <d v="2023-09-27T00:00:00"/>
    <x v="2"/>
    <x v="4"/>
  </r>
  <r>
    <n v="1002"/>
    <n v="1002111"/>
    <d v="2023-09-28T00:00:00"/>
    <x v="2"/>
    <x v="1"/>
  </r>
  <r>
    <n v="1024"/>
    <n v="1024111"/>
    <d v="2023-09-29T00:00:00"/>
    <x v="2"/>
    <x v="5"/>
  </r>
  <r>
    <n v="1035"/>
    <n v="1035111"/>
    <d v="2023-09-30T00:00:00"/>
    <x v="0"/>
    <x v="0"/>
  </r>
  <r>
    <n v="1009"/>
    <n v="1009111"/>
    <d v="2023-10-01T00:00:00"/>
    <x v="1"/>
    <x v="3"/>
  </r>
  <r>
    <n v="1005"/>
    <n v="1005111"/>
    <d v="2023-10-02T00:00:00"/>
    <x v="2"/>
    <x v="1"/>
  </r>
  <r>
    <n v="1027"/>
    <n v="1027111"/>
    <d v="2023-09-09T00:00:00"/>
    <x v="2"/>
    <x v="5"/>
  </r>
  <r>
    <n v="1010"/>
    <n v="1010111"/>
    <d v="2023-09-10T00:00:00"/>
    <x v="0"/>
    <x v="3"/>
  </r>
  <r>
    <n v="1016"/>
    <n v="1016111"/>
    <d v="2023-09-11T00:00:00"/>
    <x v="1"/>
    <x v="4"/>
  </r>
  <r>
    <n v="1015"/>
    <n v="1015111"/>
    <d v="2023-09-12T00:00:00"/>
    <x v="2"/>
    <x v="4"/>
  </r>
  <r>
    <n v="1000"/>
    <n v="1000111"/>
    <d v="2023-09-13T00:00:00"/>
    <x v="2"/>
    <x v="1"/>
  </r>
  <r>
    <n v="1027"/>
    <n v="1027111"/>
    <d v="2023-09-14T00:00:00"/>
    <x v="0"/>
    <x v="5"/>
  </r>
  <r>
    <n v="1020"/>
    <n v="1020111"/>
    <d v="2023-09-15T00:00:00"/>
    <x v="1"/>
    <x v="2"/>
  </r>
  <r>
    <n v="1034"/>
    <n v="1034111"/>
    <d v="2023-09-16T00:00:00"/>
    <x v="2"/>
    <x v="0"/>
  </r>
  <r>
    <n v="1030"/>
    <n v="1030111"/>
    <d v="2023-09-17T00:00:00"/>
    <x v="0"/>
    <x v="0"/>
  </r>
  <r>
    <n v="1033"/>
    <n v="1033111"/>
    <d v="2023-09-18T00:00:00"/>
    <x v="1"/>
    <x v="0"/>
  </r>
  <r>
    <n v="1007"/>
    <n v="1007111"/>
    <d v="2023-09-19T00:00:00"/>
    <x v="1"/>
    <x v="3"/>
  </r>
  <r>
    <n v="1006"/>
    <n v="1006111"/>
    <d v="2023-09-20T00:00:00"/>
    <x v="1"/>
    <x v="3"/>
  </r>
  <r>
    <n v="1030"/>
    <n v="1030111"/>
    <d v="2023-09-21T00:00:00"/>
    <x v="2"/>
    <x v="0"/>
  </r>
  <r>
    <n v="1004"/>
    <n v="1004111"/>
    <d v="2023-09-22T00:00:00"/>
    <x v="0"/>
    <x v="1"/>
  </r>
  <r>
    <n v="1024"/>
    <n v="1024111"/>
    <d v="2023-09-23T00:00:00"/>
    <x v="1"/>
    <x v="5"/>
  </r>
  <r>
    <n v="1016"/>
    <n v="1016111"/>
    <d v="2023-09-24T00:00:00"/>
    <x v="1"/>
    <x v="4"/>
  </r>
  <r>
    <n v="1031"/>
    <n v="1031111"/>
    <d v="2023-09-25T00:00:00"/>
    <x v="1"/>
    <x v="0"/>
  </r>
  <r>
    <n v="1003"/>
    <n v="1003111"/>
    <d v="2023-09-26T00:00:00"/>
    <x v="0"/>
    <x v="1"/>
  </r>
  <r>
    <n v="1021"/>
    <n v="1021111"/>
    <d v="2023-09-27T00:00:00"/>
    <x v="1"/>
    <x v="2"/>
  </r>
  <r>
    <n v="1012"/>
    <n v="1012111"/>
    <d v="2023-09-09T00:00:00"/>
    <x v="1"/>
    <x v="4"/>
  </r>
  <r>
    <n v="1030"/>
    <n v="1030111"/>
    <d v="2023-09-10T00:00:00"/>
    <x v="1"/>
    <x v="0"/>
  </r>
  <r>
    <n v="1018"/>
    <n v="1018111"/>
    <d v="2023-09-11T00:00:00"/>
    <x v="0"/>
    <x v="2"/>
  </r>
  <r>
    <n v="1032"/>
    <n v="1032111"/>
    <d v="2023-09-12T00:00:00"/>
    <x v="1"/>
    <x v="0"/>
  </r>
  <r>
    <n v="1006"/>
    <n v="1006111"/>
    <d v="2023-09-13T00:00:00"/>
    <x v="1"/>
    <x v="3"/>
  </r>
  <r>
    <n v="1035"/>
    <n v="1035111"/>
    <d v="2023-09-14T00:00:00"/>
    <x v="0"/>
    <x v="0"/>
  </r>
  <r>
    <n v="1026"/>
    <n v="1026111"/>
    <d v="2023-09-15T00:00:00"/>
    <x v="1"/>
    <x v="5"/>
  </r>
  <r>
    <n v="1034"/>
    <n v="1034111"/>
    <d v="2023-09-16T00:00:00"/>
    <x v="1"/>
    <x v="0"/>
  </r>
  <r>
    <n v="1022"/>
    <n v="1022111"/>
    <d v="2023-09-17T00:00:00"/>
    <x v="1"/>
    <x v="2"/>
  </r>
  <r>
    <n v="1030"/>
    <n v="1030111"/>
    <d v="2023-09-18T00:00:00"/>
    <x v="2"/>
    <x v="0"/>
  </r>
  <r>
    <n v="1006"/>
    <n v="1006111"/>
    <d v="2023-09-19T00:00:00"/>
    <x v="0"/>
    <x v="3"/>
  </r>
  <r>
    <n v="1033"/>
    <n v="1033111"/>
    <d v="2023-09-20T00:00:00"/>
    <x v="1"/>
    <x v="0"/>
  </r>
  <r>
    <n v="1011"/>
    <n v="1011111"/>
    <d v="2023-09-21T00:00:00"/>
    <x v="1"/>
    <x v="3"/>
  </r>
  <r>
    <n v="1014"/>
    <n v="1014111"/>
    <d v="2023-09-22T00:00:00"/>
    <x v="1"/>
    <x v="4"/>
  </r>
  <r>
    <n v="1027"/>
    <n v="1027111"/>
    <d v="2023-09-23T00:00:00"/>
    <x v="0"/>
    <x v="5"/>
  </r>
  <r>
    <n v="1034"/>
    <n v="1034111"/>
    <d v="2023-09-24T00:00:00"/>
    <x v="1"/>
    <x v="0"/>
  </r>
  <r>
    <n v="1005"/>
    <n v="1005111"/>
    <d v="2023-09-25T00:00:00"/>
    <x v="1"/>
    <x v="1"/>
  </r>
  <r>
    <n v="1016"/>
    <n v="1016111"/>
    <d v="2023-09-26T00:00:00"/>
    <x v="1"/>
    <x v="4"/>
  </r>
  <r>
    <n v="1033"/>
    <n v="1033111"/>
    <d v="2023-09-27T00:00:00"/>
    <x v="0"/>
    <x v="0"/>
  </r>
  <r>
    <n v="1034"/>
    <n v="1034111"/>
    <d v="2023-09-28T00:00:00"/>
    <x v="1"/>
    <x v="0"/>
  </r>
  <r>
    <n v="1029"/>
    <n v="1029111"/>
    <d v="2023-09-29T00:00:00"/>
    <x v="1"/>
    <x v="5"/>
  </r>
  <r>
    <n v="1011"/>
    <n v="1011111"/>
    <d v="2023-09-30T00:00:00"/>
    <x v="0"/>
    <x v="3"/>
  </r>
  <r>
    <n v="1029"/>
    <n v="1029111"/>
    <d v="2023-10-01T00:00:00"/>
    <x v="1"/>
    <x v="5"/>
  </r>
  <r>
    <n v="1011"/>
    <n v="1011111"/>
    <d v="2023-10-02T00:00:00"/>
    <x v="1"/>
    <x v="3"/>
  </r>
  <r>
    <n v="1024"/>
    <n v="1024111"/>
    <d v="2023-10-03T00:00:00"/>
    <x v="1"/>
    <x v="5"/>
  </r>
  <r>
    <n v="1024"/>
    <n v="1024111"/>
    <d v="2023-10-04T00:00:00"/>
    <x v="2"/>
    <x v="5"/>
  </r>
  <r>
    <n v="1033"/>
    <n v="1033111"/>
    <d v="2023-10-05T00:00:00"/>
    <x v="0"/>
    <x v="0"/>
  </r>
  <r>
    <n v="1013"/>
    <n v="1013111"/>
    <d v="2023-10-06T00:00:00"/>
    <x v="1"/>
    <x v="4"/>
  </r>
  <r>
    <s v="  "/>
    <s v="  "/>
    <s v="  "/>
    <x v="3"/>
    <x v="6"/>
  </r>
  <r>
    <s v="  "/>
    <s v="  "/>
    <s v="  "/>
    <x v="3"/>
    <x v="6"/>
  </r>
  <r>
    <s v="  "/>
    <s v="  "/>
    <s v="  "/>
    <x v="3"/>
    <x v="6"/>
  </r>
  <r>
    <s v="  "/>
    <s v="  "/>
    <s v="  "/>
    <x v="3"/>
    <x v="6"/>
  </r>
  <r>
    <s v="  "/>
    <s v="  "/>
    <s v="  "/>
    <x v="3"/>
    <x v="6"/>
  </r>
  <r>
    <s v="  "/>
    <s v="  "/>
    <s v="  "/>
    <x v="3"/>
    <x v="6"/>
  </r>
  <r>
    <s v="  "/>
    <s v="  "/>
    <s v="  "/>
    <x v="3"/>
    <x v="6"/>
  </r>
  <r>
    <s v="  "/>
    <s v="  "/>
    <s v="  "/>
    <x v="3"/>
    <x v="6"/>
  </r>
  <r>
    <s v="  "/>
    <s v="  "/>
    <s v="  "/>
    <x v="3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  <r>
    <s v="  "/>
    <s v="  "/>
    <s v="  "/>
    <x v="4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7256FD-3E92-42A9-840A-55DAAC839CC1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9" firstHeaderRow="1" firstDataRow="2" firstDataCol="1"/>
  <pivotFields count="5">
    <pivotField dataField="1" showAll="0"/>
    <pivotField showAll="0"/>
    <pivotField showAll="0"/>
    <pivotField axis="axisCol" showAll="0">
      <items count="8">
        <item x="4"/>
        <item x="0"/>
        <item x="2"/>
        <item x="1"/>
        <item m="1" x="6"/>
        <item m="1" x="5"/>
        <item x="3"/>
        <item t="default"/>
      </items>
    </pivotField>
    <pivotField axis="axisRow" showAll="0">
      <items count="8">
        <item x="1"/>
        <item x="3"/>
        <item x="4"/>
        <item x="2"/>
        <item x="5"/>
        <item x="0"/>
        <item h="1" x="6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3"/>
  </colFields>
  <colItems count="4">
    <i>
      <x v="1"/>
    </i>
    <i>
      <x v="2"/>
    </i>
    <i>
      <x v="3"/>
    </i>
    <i t="grand">
      <x/>
    </i>
  </colItems>
  <dataFields count="1">
    <dataField name="Count of Market No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5D8ECA-FA3D-43AA-B94F-FA37433EB746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E12" firstHeaderRow="1" firstDataRow="2" firstDataCol="1" rowPageCount="1" colPageCount="1"/>
  <pivotFields count="14">
    <pivotField showAll="0"/>
    <pivotField showAll="0"/>
    <pivotField numFmtId="22" showAll="0"/>
    <pivotField showAll="0"/>
    <pivotField dataField="1" showAll="0"/>
    <pivotField axis="axisPage" multipleItemSelectionAllowed="1" showAll="0">
      <items count="8">
        <item h="1" x="5"/>
        <item h="1" x="4"/>
        <item h="1" x="6"/>
        <item h="1" x="3"/>
        <item h="1" x="2"/>
        <item h="1" x="1"/>
        <item x="0"/>
        <item t="default"/>
      </items>
    </pivotField>
    <pivotField numFmtId="22" showAll="0"/>
    <pivotField axis="axisRow" showAll="0">
      <items count="21">
        <item sd="0" m="1" x="13"/>
        <item sd="0" m="1" x="18"/>
        <item sd="0" m="1" x="10"/>
        <item sd="0" m="1" x="17"/>
        <item sd="0" m="1" x="14"/>
        <item sd="0" m="1" x="12"/>
        <item sd="0" m="1" x="16"/>
        <item sd="0" m="1" x="15"/>
        <item m="1" x="19"/>
        <item m="1" x="8"/>
        <item m="1" x="6"/>
        <item m="1" x="11"/>
        <item m="1" x="9"/>
        <item m="1" x="7"/>
        <item x="1"/>
        <item x="4"/>
        <item x="2"/>
        <item x="5"/>
        <item x="3"/>
        <item x="0"/>
        <item t="default"/>
      </items>
    </pivotField>
    <pivotField numFmtId="14" showAll="0"/>
    <pivotField showAll="0"/>
    <pivotField axis="axisCol" showAll="0">
      <items count="7">
        <item m="1" x="5"/>
        <item x="1"/>
        <item x="0"/>
        <item m="1" x="3"/>
        <item m="1" x="4"/>
        <item x="2"/>
        <item t="default"/>
      </items>
    </pivotField>
    <pivotField showAll="0"/>
    <pivotField showAll="0"/>
    <pivotField showAll="0"/>
  </pivotFields>
  <rowFields count="1">
    <field x="7"/>
  </rowFields>
  <rowItems count="7"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0"/>
  </colFields>
  <colItems count="4">
    <i>
      <x v="1"/>
    </i>
    <i>
      <x v="2"/>
    </i>
    <i>
      <x v="5"/>
    </i>
    <i t="grand">
      <x/>
    </i>
  </colItems>
  <pageFields count="1">
    <pageField fld="5" hier="-1"/>
  </pageFields>
  <dataFields count="1">
    <dataField name="Count of AMOUNT" fld="4" subtotal="count" baseField="8" baseItem="16"/>
  </dataFields>
  <chartFormats count="9">
    <chartFormat chart="1" format="5" series="1">
      <pivotArea type="data" outline="0" fieldPosition="0">
        <references count="1">
          <reference field="10" count="1" selected="0">
            <x v="1"/>
          </reference>
        </references>
      </pivotArea>
    </chartFormat>
    <chartFormat chart="1" format="6" series="1">
      <pivotArea type="data" outline="0" fieldPosition="0">
        <references count="1">
          <reference field="10" count="1" selected="0">
            <x v="2"/>
          </reference>
        </references>
      </pivotArea>
    </chartFormat>
    <chartFormat chart="1" format="7" series="1">
      <pivotArea type="data" outline="0" fieldPosition="0">
        <references count="1">
          <reference field="10" count="1" selected="0">
            <x v="3"/>
          </reference>
        </references>
      </pivotArea>
    </chartFormat>
    <chartFormat chart="1" format="8" series="1">
      <pivotArea type="data" outline="0" fieldPosition="0">
        <references count="1">
          <reference field="10" count="1" selected="0">
            <x v="4"/>
          </reference>
        </references>
      </pivotArea>
    </chartFormat>
    <chartFormat chart="1" format="9" series="1">
      <pivotArea type="data" outline="0" fieldPosition="0">
        <references count="1">
          <reference field="10" count="1" selected="0">
            <x v="5"/>
          </reference>
        </references>
      </pivotArea>
    </chartFormat>
    <chartFormat chart="1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A27153-8734-455F-B336-AD5177E08C8F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D14:E21" firstHeaderRow="1" firstDataRow="1" firstDataCol="1" rowPageCount="1" colPageCount="1"/>
  <pivotFields count="14">
    <pivotField showAll="0"/>
    <pivotField showAll="0"/>
    <pivotField numFmtId="22" showAll="0"/>
    <pivotField showAll="0"/>
    <pivotField showAll="0"/>
    <pivotField showAll="0"/>
    <pivotField numFmtId="22" showAll="0"/>
    <pivotField axis="axisRow" showAll="0">
      <items count="21">
        <item m="1" x="13"/>
        <item m="1" x="18"/>
        <item m="1" x="10"/>
        <item m="1" x="17"/>
        <item m="1" x="14"/>
        <item m="1" x="12"/>
        <item m="1" x="16"/>
        <item m="1" x="15"/>
        <item m="1" x="19"/>
        <item m="1" x="8"/>
        <item m="1" x="6"/>
        <item m="1" x="11"/>
        <item m="1" x="9"/>
        <item m="1" x="7"/>
        <item x="1"/>
        <item x="4"/>
        <item x="2"/>
        <item x="5"/>
        <item x="3"/>
        <item x="0"/>
        <item t="default"/>
      </items>
    </pivotField>
    <pivotField numFmtId="14" showAll="0"/>
    <pivotField showAll="0"/>
    <pivotField showAll="0"/>
    <pivotField showAll="0"/>
    <pivotField dataField="1" showAll="0"/>
    <pivotField name="2nd Last WD" axis="axisPage" multipleItemSelectionAllowed="1" showAll="0">
      <items count="3872">
        <item h="1" m="1" x="422"/>
        <item m="1" x="3761"/>
        <item h="1" m="1" x="3130"/>
        <item h="1" m="1" x="3003"/>
        <item h="1" m="1" x="2880"/>
        <item h="1" m="1" x="2758"/>
        <item h="1" m="1" x="2696"/>
        <item h="1" m="1" x="2511"/>
        <item h="1" m="1" x="2448"/>
        <item h="1" m="1" x="2383"/>
        <item h="1" m="1" x="2319"/>
        <item h="1" m="1" x="2253"/>
        <item h="1" m="1" x="236"/>
        <item h="1" m="1" x="2124"/>
        <item h="1" m="1" x="172"/>
        <item h="1" m="1" x="2061"/>
        <item h="1" m="1" x="107"/>
        <item h="1" m="1" x="1934"/>
        <item h="1" m="1" x="627"/>
        <item h="1" m="1" x="3507"/>
        <item h="1" m="1" x="2632"/>
        <item h="1" m="1" x="302"/>
        <item h="1" m="1" x="1996"/>
        <item h="1" m="1" x="3827"/>
        <item h="1" m="1" x="687"/>
        <item m="1" x="3256"/>
        <item h="1" m="1" x="2572"/>
        <item h="1" m="1" x="2188"/>
        <item h="1" m="1" x="44"/>
        <item h="1" m="1" x="1870"/>
        <item h="1" m="1" x="925"/>
        <item h="1" m="1" x="1109"/>
        <item h="1" m="1" x="27"/>
        <item h="1" m="1" x="437"/>
        <item h="1" m="1" x="1475"/>
        <item h="1" m="1" x="611"/>
        <item h="1" m="1" x="1554"/>
        <item h="1" m="1" x="2513"/>
        <item h="1" m="1" x="3447"/>
        <item h="1" m="1" x="1491"/>
        <item h="1" m="1" x="2451"/>
        <item h="1" m="1" x="3387"/>
        <item h="1" m="1" x="493"/>
        <item h="1" m="1" x="1427"/>
        <item h="1" m="1" x="430"/>
        <item h="1" m="1" x="266"/>
        <item h="1" m="1" x="1239"/>
        <item h="1" m="1" x="1713"/>
        <item h="1" m="1" x="2192"/>
        <item h="1" m="1" x="2669"/>
        <item h="1" m="1" x="3607"/>
        <item h="1" m="1" x="240"/>
        <item h="1" m="1" x="708"/>
        <item h="1" m="1" x="1176"/>
        <item h="1" m="1" x="1648"/>
        <item h="1" m="1" x="3071"/>
        <item h="1" m="1" x="1536"/>
        <item h="1" m="1" x="1848"/>
        <item h="1" m="1" x="1911"/>
        <item h="1" m="1" x="3765"/>
        <item h="1" m="1" x="1743"/>
        <item h="1" m="1" x="2699"/>
        <item h="1" m="1" x="1679"/>
        <item h="1" m="1" x="3124"/>
        <item h="1" m="1" x="3185"/>
        <item h="1" m="1" x="3246"/>
        <item h="1" m="1" x="3308"/>
        <item h="1" m="1" x="3492"/>
        <item h="1" m="1" x="3556"/>
        <item h="1" m="1" x="3618"/>
        <item h="1" m="1" x="3680"/>
        <item h="1" m="1" x="3742"/>
        <item h="1" m="1" x="141"/>
        <item h="1" m="1" x="201"/>
        <item h="1" m="1" x="264"/>
        <item h="1" m="1" x="1806"/>
        <item h="1" m="1" x="623"/>
        <item h="1" m="1" x="683"/>
        <item h="1" m="1" x="746"/>
        <item h="1" m="1" x="921"/>
        <item h="1" m="1" x="982"/>
        <item h="1" m="1" x="1043"/>
        <item h="1" m="1" x="1105"/>
        <item h="1" m="1" x="1165"/>
        <item h="1" m="1" x="1348"/>
        <item h="1" m="1" x="1407"/>
        <item h="1" m="1" x="1533"/>
        <item h="1" m="1" x="1597"/>
        <item h="1" m="1" x="1782"/>
        <item h="1" m="1" x="1845"/>
        <item h="1" m="1" x="1907"/>
        <item h="1" m="1" x="2030"/>
        <item h="1" m="1" x="2213"/>
        <item h="1" m="1" x="2276"/>
        <item h="1" m="1" x="2337"/>
        <item h="1" m="1" x="2398"/>
        <item h="1" m="1" x="2461"/>
        <item h="1" m="1" x="2642"/>
        <item h="1" m="1" x="2705"/>
        <item h="1" m="1" x="2765"/>
        <item h="1" m="1" x="2824"/>
        <item h="1" m="1" x="2883"/>
        <item h="1" m="1" x="3061"/>
        <item h="1" m="1" x="3121"/>
        <item h="1" m="1" x="3182"/>
        <item h="1" m="1" x="3243"/>
        <item h="1" m="1" x="3304"/>
        <item h="1" m="1" x="3489"/>
        <item h="1" m="1" x="3552"/>
        <item h="1" m="1" x="3615"/>
        <item h="1" m="1" x="3702"/>
        <item h="1" m="1" x="78"/>
        <item h="1" m="1" x="139"/>
        <item h="1" m="1" x="261"/>
        <item h="1" m="1" x="561"/>
        <item h="1" m="1" x="620"/>
        <item h="1" m="1" x="681"/>
        <item h="1" m="1" x="743"/>
        <item h="1" m="1" x="918"/>
        <item h="1" m="1" x="979"/>
        <item h="1" m="1" x="1041"/>
        <item h="1" m="1" x="1102"/>
        <item h="1" m="1" x="1163"/>
        <item h="1" m="1" x="1344"/>
        <item h="1" m="1" x="3639"/>
        <item h="1" m="1" x="737"/>
        <item h="1" m="1" x="2273"/>
        <item h="1" m="1" x="200"/>
        <item h="1" m="1" x="3534"/>
        <item h="1" m="1" x="3284"/>
        <item h="1" m="1" x="3036"/>
        <item h="1" m="1" x="2916"/>
        <item h="1" m="1" x="2791"/>
        <item h="1" m="1" x="2663"/>
        <item h="1" m="1" x="2538"/>
        <item h="1" m="1" x="2475"/>
        <item h="1" m="1" x="2410"/>
        <item h="1" m="1" x="2347"/>
        <item h="1" m="1" x="2284"/>
        <item h="1" m="1" x="2220"/>
        <item h="1" m="1" x="2155"/>
        <item h="1" m="1" x="2093"/>
        <item h="1" m="1" x="2031"/>
        <item h="1" m="1" x="79"/>
        <item h="1" m="1" x="1969"/>
        <item h="1" m="1" x="3861"/>
        <item h="1" m="1" x="1903"/>
        <item h="1" m="1" x="3798"/>
        <item h="1" m="1" x="1838"/>
        <item h="1" m="1" x="3733"/>
        <item h="1" m="1" x="1773"/>
        <item h="1" m="1" x="3669"/>
        <item h="1" m="1" x="1709"/>
        <item h="1" m="1" x="3603"/>
        <item h="1" m="1" x="1644"/>
        <item h="1" m="1" x="3539"/>
        <item h="1" m="1" x="1581"/>
        <item h="1" m="1" x="3473"/>
        <item h="1" m="1" x="1516"/>
        <item h="1" m="1" x="2477"/>
        <item h="1" m="1" x="3412"/>
        <item h="1" m="1" x="517"/>
        <item h="1" m="1" x="1453"/>
        <item h="1" m="1" x="2413"/>
        <item h="1" m="1" x="3350"/>
        <item h="1" m="1" x="456"/>
        <item h="1" m="1" x="1390"/>
        <item h="1" m="1" x="2350"/>
        <item h="1" m="1" x="3288"/>
        <item h="1" m="1" x="393"/>
        <item h="1" m="1" x="1328"/>
        <item h="1" m="1" x="2287"/>
        <item h="1" m="1" x="3225"/>
        <item h="1" m="1" x="333"/>
        <item h="1" m="1" x="1268"/>
        <item h="1" m="1" x="2223"/>
        <item h="1" m="1" x="3164"/>
        <item h="1" m="1" x="272"/>
        <item h="1" m="1" x="1206"/>
        <item h="1" m="1" x="2158"/>
        <item h="1" m="1" x="3101"/>
        <item h="1" m="1" x="207"/>
        <item h="1" m="1" x="1143"/>
        <item h="1" m="1" x="2096"/>
        <item h="1" m="1" x="3040"/>
        <item h="1" m="1" x="144"/>
        <item h="1" m="1" x="1080"/>
        <item h="1" m="1" x="2034"/>
        <item h="1" m="1" x="2978"/>
        <item h="1" m="1" x="81"/>
        <item h="1" m="1" x="1018"/>
        <item h="1" m="1" x="1490"/>
        <item h="1" m="1" x="1971"/>
        <item h="1" m="1" x="2450"/>
        <item h="1" m="1" x="2920"/>
        <item h="1" m="1" x="3386"/>
        <item h="1" m="1" x="3864"/>
        <item h="1" m="1" x="492"/>
        <item h="1" m="1" x="956"/>
        <item h="1" m="1" x="1426"/>
        <item h="1" m="1" x="1906"/>
        <item h="1" m="1" x="2386"/>
        <item h="1" m="1" x="2857"/>
        <item h="1" m="1" x="3324"/>
        <item h="1" m="1" x="3801"/>
        <item h="1" m="1" x="429"/>
        <item h="1" m="1" x="893"/>
        <item h="1" m="1" x="1364"/>
        <item h="1" m="1" x="1841"/>
        <item h="1" m="1" x="2322"/>
        <item h="1" m="1" x="2796"/>
        <item h="1" m="1" x="3261"/>
        <item h="1" m="1" x="3736"/>
        <item h="1" m="1" x="366"/>
        <item h="1" m="1" x="832"/>
        <item h="1" m="1" x="1300"/>
        <item h="1" m="1" x="1776"/>
        <item h="1" m="1" x="2256"/>
        <item h="1" m="1" x="2732"/>
        <item h="1" m="1" x="3197"/>
        <item h="1" m="1" x="3672"/>
        <item h="1" m="1" x="305"/>
        <item h="1" m="1" x="772"/>
        <item h="1" m="1" x="1238"/>
        <item h="1" m="1" x="1712"/>
        <item h="1" m="1" x="2191"/>
        <item h="1" m="1" x="2668"/>
        <item h="1" m="1" x="3135"/>
        <item h="1" m="1" x="3606"/>
        <item h="1" m="1" x="239"/>
        <item h="1" m="1" x="707"/>
        <item h="1" m="1" x="1175"/>
        <item h="1" m="1" x="1647"/>
        <item h="1" m="1" x="2127"/>
        <item h="1" m="1" x="2604"/>
        <item h="1" m="1" x="3070"/>
        <item h="1" m="1" x="3542"/>
        <item h="1" m="1" x="175"/>
        <item h="1" m="1" x="644"/>
        <item h="1" m="1" x="1112"/>
        <item h="1" m="1" x="1584"/>
        <item h="1" m="1" x="2064"/>
        <item h="1" m="1" x="2543"/>
        <item h="1" m="1" x="3008"/>
        <item h="1" m="1" x="3476"/>
        <item h="1" m="1" x="110"/>
        <item h="1" m="1" x="579"/>
        <item h="1" m="1" x="1047"/>
        <item h="1" m="1" x="1518"/>
        <item h="1" m="1" x="1998"/>
        <item h="1" m="1" x="2479"/>
        <item h="1" m="1" x="2945"/>
        <item h="1" m="1" x="3414"/>
        <item h="1" m="1" x="46"/>
        <item h="1" m="1" x="519"/>
        <item h="1" m="1" x="754"/>
        <item h="1" m="1" x="984"/>
        <item h="1" m="1" x="1221"/>
        <item h="1" m="1" x="1455"/>
        <item h="1" m="1" x="1694"/>
        <item h="1" m="1" x="1936"/>
        <item h="1" m="1" x="2173"/>
        <item h="1" m="1" x="2415"/>
        <item h="1" m="1" x="2650"/>
        <item h="1" m="1" x="2885"/>
        <item h="1" m="1" x="3116"/>
        <item h="1" m="1" x="3352"/>
        <item h="1" m="1" x="3589"/>
        <item h="1" m="1" x="3829"/>
        <item h="1" m="1" x="222"/>
        <item h="1" m="1" x="458"/>
        <item h="1" m="1" x="691"/>
        <item h="1" m="1" x="920"/>
        <item h="1" m="1" x="1158"/>
        <item h="1" m="1" x="1392"/>
        <item h="1" m="1" x="1631"/>
        <item h="1" m="1" x="1872"/>
        <item h="1" m="1" x="2111"/>
        <item h="1" m="1" x="2352"/>
        <item h="1" m="1" x="2589"/>
        <item h="1" m="1" x="2823"/>
        <item h="1" m="1" x="3055"/>
        <item h="1" m="1" x="3290"/>
        <item h="1" m="1" x="3525"/>
        <item h="1" m="1" x="3767"/>
        <item h="1" m="1" x="159"/>
        <item h="1" m="1" x="395"/>
        <item h="1" m="1" x="629"/>
        <item h="1" m="1" x="860"/>
        <item h="1" m="1" x="1095"/>
        <item h="1" m="1" x="1330"/>
        <item h="1" m="1" x="1569"/>
        <item h="1" m="1" x="1808"/>
        <item h="1" m="1" x="2049"/>
        <item h="1" m="1" x="2289"/>
        <item h="1" m="1" x="2528"/>
        <item h="1" m="1" x="2762"/>
        <item h="1" m="1" x="2993"/>
        <item h="1" m="1" x="3227"/>
        <item h="1" m="1" x="3462"/>
        <item h="1" m="1" x="3704"/>
        <item h="1" m="1" x="96"/>
        <item h="1" m="1" x="335"/>
        <item h="1" m="1" x="566"/>
        <item h="1" m="1" x="801"/>
        <item h="1" m="1" x="1032"/>
        <item h="1" m="1" x="1270"/>
        <item h="1" m="1" x="1505"/>
        <item h="1" m="1" x="1745"/>
        <item h="1" m="1" x="1985"/>
        <item h="1" m="1" x="2225"/>
        <item h="1" m="1" x="2465"/>
        <item h="1" m="1" x="2701"/>
        <item h="1" m="1" x="2933"/>
        <item h="1" m="1" x="3166"/>
        <item h="1" m="1" x="3400"/>
        <item h="1" m="1" x="3641"/>
        <item h="1" m="1" x="32"/>
        <item h="1" m="1" x="274"/>
        <item h="1" m="1" x="505"/>
        <item h="1" m="1" x="739"/>
        <item h="1" m="1" x="969"/>
        <item h="1" m="1" x="1208"/>
        <item h="1" m="1" x="1441"/>
        <item h="1" m="1" x="1681"/>
        <item h="1" m="1" x="1922"/>
        <item h="1" m="1" x="2160"/>
        <item h="1" m="1" x="2400"/>
        <item h="1" m="1" x="2636"/>
        <item h="1" m="1" x="2870"/>
        <item h="1" m="1" x="3103"/>
        <item h="1" m="1" x="3338"/>
        <item h="1" m="1" x="3576"/>
        <item h="1" m="1" x="3815"/>
        <item h="1" m="1" x="209"/>
        <item h="1" m="1" x="444"/>
        <item h="1" m="1" x="675"/>
        <item h="1" m="1" x="906"/>
        <item h="1" m="1" x="1145"/>
        <item h="1" m="1" x="1378"/>
        <item h="1" m="1" x="1618"/>
        <item h="1" m="1" x="1858"/>
        <item h="1" m="1" x="2098"/>
        <item h="1" m="1" x="2336"/>
        <item h="1" m="1" x="2576"/>
        <item h="1" m="1" x="2810"/>
        <item h="1" m="1" x="3042"/>
        <item h="1" m="1" x="3275"/>
        <item h="1" m="1" x="3512"/>
        <item h="1" m="1" x="3752"/>
        <item h="1" m="1" x="146"/>
        <item h="1" m="1" x="381"/>
        <item h="1" m="1" x="613"/>
        <item h="1" m="1" x="847"/>
        <item h="1" m="1" x="1082"/>
        <item h="1" m="1" x="1316"/>
        <item h="1" m="1" x="1556"/>
        <item h="1" m="1" x="1794"/>
        <item h="1" m="1" x="2036"/>
        <item h="1" m="1" x="2272"/>
        <item h="1" m="1" x="2515"/>
        <item h="1" m="1" x="2748"/>
        <item h="1" m="1" x="2980"/>
        <item h="1" m="1" x="3213"/>
        <item h="1" m="1" x="3449"/>
        <item h="1" m="1" x="3690"/>
        <item h="1" m="1" x="83"/>
        <item h="1" m="1" x="321"/>
        <item h="1" m="1" x="552"/>
        <item h="1" m="1" x="788"/>
        <item h="1" m="1" x="1019"/>
        <item h="1" m="1" x="1256"/>
        <item h="1" m="1" x="1492"/>
        <item h="1" m="1" x="1731"/>
        <item h="1" m="1" x="1972"/>
        <item h="1" m="1" x="2210"/>
        <item h="1" m="1" x="2452"/>
        <item h="1" m="1" x="2687"/>
        <item h="1" m="1" x="2921"/>
        <item h="1" m="1" x="3153"/>
        <item h="1" m="1" x="3388"/>
        <item h="1" m="1" x="3628"/>
        <item h="1" m="1" x="3865"/>
        <item h="1" m="1" x="138"/>
        <item h="1" m="1" x="259"/>
        <item h="1" m="1" x="376"/>
        <item h="1" m="1" x="494"/>
        <item h="1" m="1" x="607"/>
        <item h="1" m="1" x="727"/>
        <item h="1" m="1" x="842"/>
        <item h="1" m="1" x="958"/>
        <item h="1" m="1" x="1076"/>
        <item h="1" m="1" x="1196"/>
        <item h="1" m="1" x="1311"/>
        <item h="1" m="1" x="1430"/>
        <item h="1" m="1" x="1550"/>
        <item h="1" m="1" x="1669"/>
        <item h="1" m="1" x="1789"/>
        <item h="1" m="1" x="1910"/>
        <item h="1" m="1" x="2028"/>
        <item h="1" m="1" x="2148"/>
        <item h="1" m="1" x="2268"/>
        <item h="1" m="1" x="2389"/>
        <item h="1" m="1" x="2509"/>
        <item h="1" m="1" x="2625"/>
        <item h="1" m="1" x="2744"/>
        <item h="1" m="1" x="2860"/>
        <item h="1" m="1" x="2975"/>
        <item h="1" m="1" x="3092"/>
        <item h="1" m="1" x="3209"/>
        <item h="1" m="1" x="3327"/>
        <item h="1" m="1" x="3443"/>
        <item h="1" m="1" x="3565"/>
        <item h="1" m="1" x="3685"/>
        <item h="1" m="1" x="3804"/>
        <item h="1" m="1" x="75"/>
        <item h="1" m="1" x="196"/>
        <item h="1" m="1" x="317"/>
        <item h="1" m="1" x="433"/>
        <item h="1" m="1" x="548"/>
        <item h="1" m="1" x="665"/>
        <item h="1" m="1" x="784"/>
        <item h="1" m="1" x="896"/>
        <item h="1" m="1" x="1013"/>
        <item h="1" m="1" x="1133"/>
        <item h="1" m="1" x="1251"/>
        <item h="1" m="1" x="1367"/>
        <item h="1" m="1" x="1484"/>
        <item h="1" m="1" x="1606"/>
        <item h="1" m="1" x="1725"/>
        <item h="1" m="1" x="1844"/>
        <item h="1" m="1" x="1964"/>
        <item h="1" m="1" x="2085"/>
        <item h="1" m="1" x="2204"/>
        <item h="1" m="1" x="2325"/>
        <item h="1" m="1" x="2443"/>
        <item h="1" m="1" x="2564"/>
        <item h="1" m="1" x="2681"/>
        <item h="1" m="1" x="2799"/>
        <item h="1" m="1" x="2913"/>
        <item h="1" m="1" x="3029"/>
        <item h="1" m="1" x="3147"/>
        <item h="1" m="1" x="3264"/>
        <item h="1" m="1" x="3379"/>
        <item h="1" m="1" x="3499"/>
        <item h="1" m="1" x="3621"/>
        <item h="1" m="1" x="3739"/>
        <item h="1" m="1" x="3856"/>
        <item h="1" m="1" x="131"/>
        <item h="1" m="1" x="252"/>
        <item h="1" m="1" x="369"/>
        <item h="1" m="1" x="485"/>
        <item h="1" m="1" x="600"/>
        <item h="1" m="1" x="720"/>
        <item h="1" m="1" x="835"/>
        <item h="1" m="1" x="949"/>
        <item h="1" m="1" x="1068"/>
        <item h="1" m="1" x="1188"/>
        <item h="1" m="1" x="1303"/>
        <item h="1" m="1" x="1419"/>
        <item h="1" m="1" x="1541"/>
        <item h="1" m="1" x="1660"/>
        <item h="1" m="1" x="1779"/>
        <item h="1" m="1" x="1898"/>
        <item h="1" m="1" x="2019"/>
        <item h="1" m="1" x="2139"/>
        <item h="1" m="1" x="2259"/>
        <item h="1" m="1" x="2378"/>
        <item h="1" m="1" x="2500"/>
        <item h="1" m="1" x="2616"/>
        <item h="1" m="1" x="2735"/>
        <item h="1" m="1" x="2850"/>
        <item h="1" m="1" x="2966"/>
        <item h="1" m="1" x="3083"/>
        <item h="1" m="1" x="3200"/>
        <item h="1" m="1" x="3317"/>
        <item h="1" m="1" x="3434"/>
        <item h="1" m="1" x="3555"/>
        <item h="1" m="1" x="3675"/>
        <item h="1" m="1" x="3793"/>
        <item h="1" m="1" x="66"/>
        <item h="1" m="1" x="187"/>
        <item h="1" m="1" x="308"/>
        <item h="1" m="1" x="421"/>
        <item h="1" m="1" x="539"/>
        <item h="1" m="1" x="656"/>
        <item h="1" m="1" x="775"/>
        <item h="1" m="1" x="886"/>
        <item h="1" m="1" x="1004"/>
        <item h="1" m="1" x="1124"/>
        <item h="1" m="1" x="1242"/>
        <item h="1" m="1" x="1357"/>
        <item h="1" m="1" x="1474"/>
        <item h="1" m="1" x="1596"/>
        <item h="1" m="1" x="1716"/>
        <item h="1" m="1" x="1833"/>
        <item h="1" m="1" x="1955"/>
        <item h="1" m="1" x="2076"/>
        <item h="1" m="1" x="2195"/>
        <item h="1" m="1" x="2314"/>
        <item h="1" m="1" x="2434"/>
        <item h="1" m="1" x="2555"/>
        <item h="1" m="1" x="2672"/>
        <item h="1" m="1" x="2788"/>
        <item h="1" m="1" x="2904"/>
        <item h="1" m="1" x="3020"/>
        <item h="1" m="1" x="3138"/>
        <item h="1" m="1" x="3253"/>
        <item h="1" m="1" x="3370"/>
        <item h="1" m="1" x="3488"/>
        <item h="1" m="1" x="3610"/>
        <item h="1" m="1" x="3728"/>
        <item h="1" m="1" x="3847"/>
        <item h="1" m="1" x="122"/>
        <item h="1" m="1" x="243"/>
        <item h="1" m="1" x="359"/>
        <item h="1" m="1" x="476"/>
        <item h="1" m="1" x="591"/>
        <item h="1" m="1" x="711"/>
        <item h="1" m="1" x="825"/>
        <item h="1" m="1" x="940"/>
        <item h="1" m="1" x="1059"/>
        <item h="1" m="1" x="1179"/>
        <item h="1" m="1" x="1293"/>
        <item h="1" m="1" x="1410"/>
        <item h="1" m="1" x="1530"/>
        <item h="1" m="1" x="1651"/>
        <item h="1" m="1" x="1768"/>
        <item h="1" m="1" x="1889"/>
        <item h="1" m="1" x="2010"/>
        <item h="1" m="1" x="2130"/>
        <item h="1" m="1" x="2248"/>
        <item h="1" m="1" x="2369"/>
        <item h="1" m="1" x="2491"/>
        <item h="1" m="1" x="2607"/>
        <item h="1" m="1" x="2725"/>
        <item h="1" m="1" x="2841"/>
        <item h="1" m="1" x="2957"/>
        <item h="1" m="1" x="3074"/>
        <item h="1" m="1" x="3190"/>
        <item h="1" m="1" x="3307"/>
        <item h="1" m="1" x="3425"/>
        <item h="1" m="1" x="3545"/>
        <item h="1" m="1" x="3664"/>
        <item h="1" m="1" x="3784"/>
        <item h="1" m="1" x="57"/>
        <item h="1" m="1" x="178"/>
        <item h="1" m="1" x="297"/>
        <item h="1" m="1" x="412"/>
        <item h="1" m="1" x="530"/>
        <item h="1" m="1" x="647"/>
        <item h="1" m="1" x="765"/>
        <item h="1" m="1" x="877"/>
        <item h="1" m="1" x="995"/>
        <item h="1" m="1" x="1115"/>
        <item h="1" m="1" x="1231"/>
        <item h="1" m="1" x="1347"/>
        <item h="1" m="1" x="1465"/>
        <item h="1" m="1" x="1587"/>
        <item h="1" m="1" x="1704"/>
        <item h="1" m="1" x="1824"/>
        <item h="1" m="1" x="1946"/>
        <item h="1" m="1" x="2067"/>
        <item h="1" m="1" x="2183"/>
        <item h="1" m="1" x="2305"/>
        <item h="1" m="1" x="2425"/>
        <item h="1" m="1" x="2546"/>
        <item h="1" m="1" x="2660"/>
        <item h="1" m="1" x="2779"/>
        <item h="1" m="1" x="2895"/>
        <item h="1" m="1" x="3011"/>
        <item h="1" m="1" x="3127"/>
        <item h="1" m="1" x="3242"/>
        <item h="1" m="1" x="3361"/>
        <item h="1" m="1" x="3479"/>
        <item h="1" m="1" x="3598"/>
        <item h="1" m="1" x="3719"/>
        <item h="1" m="1" x="3838"/>
        <item h="1" m="1" x="113"/>
        <item h="1" m="1" x="231"/>
        <item h="1" m="1" x="350"/>
        <item h="1" m="1" x="467"/>
        <item h="1" m="1" x="582"/>
        <item h="1" m="1" x="700"/>
        <item h="1" m="1" x="816"/>
        <item h="1" m="1" x="931"/>
        <item h="1" m="1" x="1050"/>
        <item h="1" m="1" x="1168"/>
        <item h="1" m="1" x="1284"/>
        <item h="1" m="1" x="1400"/>
        <item h="1" m="1" x="1521"/>
        <item h="1" m="1" x="1639"/>
        <item h="1" m="1" x="1759"/>
        <item h="1" m="1" x="1880"/>
        <item h="1" m="1" x="2001"/>
        <item h="1" m="1" x="2119"/>
        <item h="1" m="1" x="2239"/>
        <item h="1" m="1" x="2360"/>
        <item h="1" m="1" x="2482"/>
        <item h="1" m="1" x="2597"/>
        <item h="1" m="1" x="2716"/>
        <item h="1" m="1" x="2832"/>
        <item h="1" m="1" x="2948"/>
        <item h="1" m="1" x="3063"/>
        <item h="1" m="1" x="3179"/>
        <item h="1" m="1" x="3297"/>
        <item h="1" m="1" x="3416"/>
        <item h="1" m="1" x="3533"/>
        <item h="1" m="1" x="3655"/>
        <item h="1" m="1" x="3775"/>
        <item h="1" m="1" x="48"/>
        <item h="1" m="1" x="167"/>
        <item h="1" m="1" x="288"/>
        <item h="1" m="1" x="403"/>
        <item h="1" m="1" x="521"/>
        <item h="1" m="1" x="637"/>
        <item h="1" m="1" x="756"/>
        <item h="1" m="1" x="868"/>
        <item h="1" m="1" x="986"/>
        <item h="1" m="1" x="1104"/>
        <item h="1" m="1" x="1223"/>
        <item h="1" m="1" x="1338"/>
        <item h="1" m="1" x="1457"/>
        <item h="1" m="1" x="1577"/>
        <item h="1" m="1" x="1696"/>
        <item h="1" m="1" x="1816"/>
        <item h="1" m="1" x="1938"/>
        <item h="1" m="1" x="2057"/>
        <item h="1" m="1" x="2175"/>
        <item h="1" m="1" x="2297"/>
        <item h="1" m="1" x="2417"/>
        <item h="1" m="1" x="2536"/>
        <item h="1" m="1" x="2652"/>
        <item h="1" m="1" x="2771"/>
        <item h="1" m="1" x="2887"/>
        <item h="1" m="1" x="3001"/>
        <item h="1" m="1" x="3118"/>
        <item h="1" m="1" x="3235"/>
        <item h="1" m="1" x="3354"/>
        <item h="1" m="1" x="3411"/>
        <item h="1" m="1" x="3470"/>
        <item h="1" m="1" x="3530"/>
        <item h="1" m="1" x="3591"/>
        <item h="1" m="1" x="3652"/>
        <item h="1" m="1" x="3712"/>
        <item h="1" m="1" x="3772"/>
        <item h="1" m="1" x="3831"/>
        <item h="1" m="1" x="43"/>
        <item h="1" m="1" x="104"/>
        <item h="1" m="1" x="164"/>
        <item h="1" m="1" x="224"/>
        <item h="1" m="1" x="285"/>
        <item h="1" m="1" x="343"/>
        <item h="1" m="1" x="400"/>
        <item h="1" m="1" x="460"/>
        <item h="1" m="1" x="516"/>
        <item h="1" m="1" x="574"/>
        <item h="1" m="1" x="634"/>
        <item h="1" m="1" x="693"/>
        <item h="1" m="1" x="752"/>
        <item h="1" m="1" x="809"/>
        <item h="1" m="1" x="865"/>
        <item h="1" m="1" x="923"/>
        <item h="1" m="1" x="981"/>
        <item h="1" m="1" x="1040"/>
        <item h="1" m="1" x="1100"/>
        <item h="1" m="1" x="1160"/>
        <item h="1" m="1" x="1219"/>
        <item h="1" m="1" x="1278"/>
        <item h="1" m="1" x="1335"/>
        <item h="1" m="1" x="1394"/>
        <item h="1" m="1" x="1452"/>
        <item h="1" m="1" x="1513"/>
        <item h="1" m="1" x="1574"/>
        <item h="1" m="1" x="1633"/>
        <item h="1" m="1" x="1692"/>
        <item h="1" m="1" x="1753"/>
        <item h="1" m="1" x="1813"/>
        <item h="1" m="1" x="1874"/>
        <item h="1" m="1" x="1933"/>
        <item h="1" m="1" x="1993"/>
        <item h="1" m="1" x="2054"/>
        <item h="1" m="1" x="2113"/>
        <item h="1" m="1" x="2171"/>
        <item h="1" m="1" x="2233"/>
        <item h="1" m="1" x="2294"/>
        <item h="1" m="1" x="2354"/>
        <item h="1" m="1" x="2412"/>
        <item h="1" m="1" x="2473"/>
        <item h="1" m="1" x="2533"/>
        <item h="1" m="1" x="2591"/>
        <item h="1" m="1" x="2648"/>
        <item h="1" m="1" x="2710"/>
        <item h="1" m="1" x="2768"/>
        <item h="1" m="1" x="2826"/>
        <item h="1" m="1" x="2882"/>
        <item h="1" m="1" x="2941"/>
        <item h="1" m="1" x="2998"/>
        <item h="1" m="1" x="3057"/>
        <item h="1" m="1" x="3114"/>
        <item h="1" m="1" x="3174"/>
        <item h="1" m="1" x="3232"/>
        <item h="1" m="1" x="3292"/>
        <item h="1" m="1" x="3349"/>
        <item h="1" m="1" x="3408"/>
        <item h="1" m="1" x="3467"/>
        <item h="1" m="1" x="3527"/>
        <item h="1" m="1" x="3587"/>
        <item h="1" m="1" x="3649"/>
        <item h="1" m="1" x="3709"/>
        <item h="1" m="1" x="3769"/>
        <item h="1" m="1" x="3826"/>
        <item h="1" m="1" x="40"/>
        <item h="1" m="1" x="101"/>
        <item h="1" m="1" x="161"/>
        <item h="1" m="1" x="220"/>
        <item h="1" m="1" x="282"/>
        <item h="1" m="1" x="340"/>
        <item h="1" m="1" x="397"/>
        <item h="1" m="1" x="455"/>
        <item h="1" m="1" x="513"/>
        <item h="1" m="1" x="571"/>
        <item h="1" m="1" x="631"/>
        <item h="1" m="1" x="689"/>
        <item h="1" m="1" x="749"/>
        <item h="1" m="1" x="806"/>
        <item h="1" m="1" x="862"/>
        <item h="1" m="1" x="917"/>
        <item h="1" m="1" x="977"/>
        <item h="1" m="1" x="1037"/>
        <item h="1" m="1" x="1097"/>
        <item h="1" m="1" x="1156"/>
        <item h="1" m="1" x="1216"/>
        <item h="1" m="1" x="1275"/>
        <item h="1" m="1" x="1332"/>
        <item h="1" m="1" x="1389"/>
        <item h="1" m="1" x="1449"/>
        <item h="1" m="1" x="1510"/>
        <item h="1" m="1" x="1571"/>
        <item h="1" m="1" x="1629"/>
        <item h="1" m="1" x="1689"/>
        <item h="1" m="1" x="1750"/>
        <item h="1" m="1" x="1810"/>
        <item h="1" m="1" x="1869"/>
        <item h="1" m="1" x="1930"/>
        <item h="1" m="1" x="1990"/>
        <item h="1" m="1" x="2051"/>
        <item h="1" m="1" x="2109"/>
        <item h="1" m="1" x="2168"/>
        <item h="1" m="1" x="2230"/>
        <item h="1" m="1" x="2291"/>
        <item h="1" m="1" x="2349"/>
        <item h="1" m="1" x="2408"/>
        <item h="1" m="1" x="2470"/>
        <item h="1" m="1" x="2530"/>
        <item h="1" m="1" x="2587"/>
        <item h="1" m="1" x="2645"/>
        <item h="1" m="1" x="2707"/>
        <item h="1" m="1" x="2764"/>
        <item h="1" m="1" x="2821"/>
        <item h="1" m="1" x="2878"/>
        <item h="1" m="1" x="2938"/>
        <item h="1" m="1" x="2995"/>
        <item h="1" m="1" x="3053"/>
        <item h="1" m="1" x="3111"/>
        <item h="1" m="1" x="3171"/>
        <item h="1" m="1" x="3229"/>
        <item h="1" m="1" x="3287"/>
        <item h="1" m="1" x="3346"/>
        <item h="1" m="1" x="3405"/>
        <item h="1" m="1" x="3464"/>
        <item h="1" m="1" x="3523"/>
        <item h="1" m="1" x="3584"/>
        <item h="1" m="1" x="3646"/>
        <item h="1" m="1" x="3706"/>
        <item h="1" m="1" x="3764"/>
        <item h="1" m="1" x="3823"/>
        <item h="1" m="1" x="37"/>
        <item h="1" m="1" x="98"/>
        <item h="1" m="1" x="157"/>
        <item h="1" m="1" x="217"/>
        <item h="1" m="1" x="279"/>
        <item h="1" m="1" x="337"/>
        <item h="1" m="1" x="392"/>
        <item h="1" m="1" x="452"/>
        <item h="1" m="1" x="510"/>
        <item h="1" m="1" x="568"/>
        <item h="1" m="1" x="626"/>
        <item h="1" m="1" x="685"/>
        <item h="1" m="1" x="745"/>
        <item h="1" m="1" x="803"/>
        <item h="1" m="1" x="858"/>
        <item h="1" m="1" x="914"/>
        <item h="1" m="1" x="974"/>
        <item h="1" m="1" x="1034"/>
        <item h="1" m="1" x="1093"/>
        <item h="1" m="1" x="1153"/>
        <item h="1" m="1" x="1213"/>
        <item h="1" m="1" x="1272"/>
        <item h="1" m="1" x="1327"/>
        <item h="1" m="1" x="1386"/>
        <item h="1" m="1" x="1446"/>
        <item h="1" m="1" x="1507"/>
        <item h="1" m="1" x="1567"/>
        <item h="1" m="1" x="1626"/>
        <item h="1" m="1" x="1686"/>
        <item h="1" m="1" x="1747"/>
        <item h="1" m="1" x="1805"/>
        <item h="1" m="1" x="1866"/>
        <item h="1" m="1" x="1927"/>
        <item h="1" m="1" x="1987"/>
        <item h="1" m="1" x="2047"/>
        <item h="1" m="1" x="2106"/>
        <item h="1" m="1" x="2165"/>
        <item h="1" m="1" x="2227"/>
        <item h="1" m="1" x="2286"/>
        <item h="1" m="1" x="2345"/>
        <item h="1" m="1" x="2405"/>
        <item h="1" m="1" x="2467"/>
        <item h="1" m="1" x="2526"/>
        <item h="1" m="1" x="2584"/>
        <item h="1" m="1" x="2641"/>
        <item h="1" m="1" x="2703"/>
        <item h="1" m="1" x="2760"/>
        <item h="1" m="1" x="2818"/>
        <item h="1" m="1" x="2875"/>
        <item h="1" m="1" x="2935"/>
        <item h="1" m="1" x="2991"/>
        <item h="1" m="1" x="3050"/>
        <item h="1" m="1" x="3108"/>
        <item h="1" m="1" x="3168"/>
        <item h="1" m="1" x="3224"/>
        <item h="1" m="1" x="3283"/>
        <item h="1" m="1" x="3343"/>
        <item h="1" m="1" x="3402"/>
        <item h="1" m="1" x="3460"/>
        <item h="1" m="1" x="3520"/>
        <item h="1" m="1" x="3581"/>
        <item h="1" m="1" x="3643"/>
        <item h="1" m="1" x="3701"/>
        <item h="1" m="1" x="3760"/>
        <item h="1" m="1" x="3820"/>
        <item h="1" m="1" x="34"/>
        <item h="1" m="1" x="94"/>
        <item h="1" m="1" x="154"/>
        <item h="1" m="1" x="214"/>
        <item h="1" m="1" x="276"/>
        <item h="1" m="1" x="332"/>
        <item h="1" m="1" x="389"/>
        <item h="1" m="1" x="449"/>
        <item h="1" m="1" x="507"/>
        <item h="1" m="1" x="564"/>
        <item h="1" m="1" x="622"/>
        <item h="1" m="1" x="680"/>
        <item h="1" m="1" x="741"/>
        <item h="1" m="1" x="799"/>
        <item h="1" m="1" x="855"/>
        <item h="1" m="1" x="911"/>
        <item h="1" m="1" x="971"/>
        <item h="1" m="1" x="1030"/>
        <item h="1" m="1" x="1090"/>
        <item h="1" m="1" x="1150"/>
        <item h="1" m="1" x="1210"/>
        <item h="1" m="1" x="1267"/>
        <item h="1" m="1" x="1324"/>
        <item h="1" m="1" x="1383"/>
        <item h="1" m="1" x="1443"/>
        <item h="1" m="1" x="1503"/>
        <item h="1" m="1" x="1564"/>
        <item h="1" m="1" x="1623"/>
        <item h="1" m="1" x="1683"/>
        <item h="1" m="1" x="1742"/>
        <item h="1" m="1" x="1802"/>
        <item h="1" m="1" x="1863"/>
        <item h="1" m="1" x="1924"/>
        <item h="1" m="1" x="1983"/>
        <item h="1" m="1" x="2044"/>
        <item h="1" m="1" x="2103"/>
        <item h="1" m="1" x="2162"/>
        <item h="1" m="1" x="2222"/>
        <item h="1" m="1" x="2282"/>
        <item h="1" m="1" x="2342"/>
        <item h="1" m="1" x="2402"/>
        <item h="1" m="1" x="2463"/>
        <item h="1" m="1" x="2523"/>
        <item h="1" m="1" x="2581"/>
        <item h="1" m="1" x="2638"/>
        <item h="1" m="1" x="2698"/>
        <item h="1" m="1" x="2756"/>
        <item h="1" m="1" x="2815"/>
        <item h="1" m="1" x="2872"/>
        <item h="1" m="1" x="2931"/>
        <item h="1" m="1" x="2988"/>
        <item h="1" m="1" x="3047"/>
        <item h="1" m="1" x="3105"/>
        <item h="1" m="1" x="3163"/>
        <item h="1" m="1" x="3221"/>
        <item h="1" m="1" x="3280"/>
        <item h="1" m="1" x="3340"/>
        <item h="1" m="1" x="3398"/>
        <item h="1" m="1" x="3457"/>
        <item h="1" m="1" x="3517"/>
        <item h="1" m="1" x="3578"/>
        <item h="1" m="1" x="3638"/>
        <item h="1" m="1" x="3698"/>
        <item h="1" m="1" x="3757"/>
        <item h="1" m="1" x="3817"/>
        <item h="1" m="1" x="30"/>
        <item h="1" m="1" x="91"/>
        <item h="1" m="1" x="151"/>
        <item h="1" m="1" x="211"/>
        <item h="1" m="1" x="271"/>
        <item h="1" m="1" x="329"/>
        <item h="1" m="1" x="386"/>
        <item h="1" m="1" x="446"/>
        <item h="1" m="1" x="503"/>
        <item h="1" m="1" x="560"/>
        <item h="1" m="1" x="618"/>
        <item h="1" m="1" x="677"/>
        <item h="1" m="1" x="736"/>
        <item h="1" m="1" x="796"/>
        <item h="1" m="1" x="852"/>
        <item h="1" m="1" x="908"/>
        <item h="1" m="1" x="967"/>
        <item h="1" m="1" x="1027"/>
        <item h="1" m="1" x="1087"/>
        <item h="1" m="1" x="1147"/>
        <item h="1" m="1" x="1205"/>
        <item h="1" m="1" x="1264"/>
        <item h="1" m="1" x="1321"/>
        <item h="1" m="1" x="1380"/>
        <item h="1" m="1" x="1439"/>
        <item h="1" m="1" x="1500"/>
        <item h="1" m="1" x="1561"/>
        <item h="1" m="1" x="1620"/>
        <item h="1" m="1" x="1678"/>
        <item h="1" m="1" x="1739"/>
        <item h="1" m="1" x="1799"/>
        <item h="1" m="1" x="1860"/>
        <item h="1" m="1" x="1920"/>
        <item h="1" m="1" x="1980"/>
        <item h="1" m="1" x="2041"/>
        <item h="1" m="1" x="2100"/>
        <item h="1" m="1" x="2157"/>
        <item h="1" m="1" x="2218"/>
        <item h="1" m="1" x="2279"/>
        <item h="1" m="1" x="2339"/>
        <item h="1" m="1" x="2397"/>
        <item h="1" m="1" x="2459"/>
        <item h="1" m="1" x="2520"/>
        <item h="1" m="1" x="2578"/>
        <item h="1" m="1" x="2634"/>
        <item h="1" m="1" x="2694"/>
        <item h="1" m="1" x="2753"/>
        <item h="1" m="1" x="2812"/>
        <item h="1" m="1" x="2868"/>
        <item h="1" m="1" x="2928"/>
        <item h="1" m="1" x="2985"/>
        <item h="1" m="1" x="3044"/>
        <item h="1" m="1" x="3100"/>
        <item h="1" m="1" x="3160"/>
        <item h="1" m="1" x="3218"/>
        <item h="1" m="1" x="3277"/>
        <item h="1" m="1" x="3336"/>
        <item h="1" m="1" x="3395"/>
        <item h="1" m="1" x="3454"/>
        <item h="1" m="1" x="3514"/>
        <item h="1" m="1" x="3574"/>
        <item h="1" m="1" x="3635"/>
        <item h="1" m="1" x="3695"/>
        <item h="1" m="1" x="3754"/>
        <item h="1" m="1" x="3813"/>
        <item h="1" m="1" x="26"/>
        <item h="1" m="1" x="88"/>
        <item h="1" m="1" x="148"/>
        <item h="1" m="1" x="206"/>
        <item h="1" m="1" x="268"/>
        <item h="1" m="1" x="326"/>
        <item h="1" m="1" x="383"/>
        <item h="1" m="1" x="442"/>
        <item h="1" m="1" x="500"/>
        <item h="1" m="1" x="557"/>
        <item h="1" m="1" x="615"/>
        <item h="1" m="1" x="673"/>
        <item h="1" m="1" x="733"/>
        <item h="1" m="1" x="793"/>
        <item h="1" m="1" x="849"/>
        <item h="1" m="1" x="904"/>
        <item h="1" m="1" x="964"/>
        <item h="1" m="1" x="1024"/>
        <item h="1" m="1" x="1084"/>
        <item h="1" m="1" x="1142"/>
        <item h="1" m="1" x="1202"/>
        <item h="1" m="1" x="1261"/>
        <item h="1" m="1" x="1318"/>
        <item h="1" m="1" x="1376"/>
        <item h="1" m="1" x="1436"/>
        <item h="1" m="1" x="1497"/>
        <item h="1" m="1" x="1558"/>
        <item h="1" m="1" x="1616"/>
        <item h="1" m="1" x="1675"/>
        <item h="1" m="1" x="1736"/>
        <item h="1" m="1" x="1796"/>
        <item h="1" m="1" x="1856"/>
        <item h="1" m="1" x="1917"/>
        <item h="1" m="1" x="1977"/>
        <item h="1" m="1" x="2038"/>
        <item h="1" m="1" x="2095"/>
        <item h="1" m="1" x="2153"/>
        <item h="1" m="1" x="2215"/>
        <item h="1" m="1" x="2275"/>
        <item h="1" m="1" x="2334"/>
        <item h="1" m="1" x="2394"/>
        <item h="1" m="1" x="2456"/>
        <item h="1" m="1" x="2517"/>
        <item h="1" m="1" x="2574"/>
        <item h="1" m="1" x="2630"/>
        <item h="1" m="1" x="2691"/>
        <item h="1" m="1" x="2750"/>
        <item h="1" m="1" x="2808"/>
        <item h="1" m="1" x="2865"/>
        <item h="1" m="1" x="2925"/>
        <item h="1" m="1" x="2982"/>
        <item h="1" m="1" x="3039"/>
        <item h="1" m="1" x="3097"/>
        <item h="1" m="1" x="3157"/>
        <item h="1" m="1" x="3215"/>
        <item h="1" m="1" x="3273"/>
        <item h="1" m="1" x="3333"/>
        <item h="1" m="1" x="3392"/>
        <item h="1" m="1" x="3451"/>
        <item h="1" m="1" x="3510"/>
        <item h="1" m="1" x="3571"/>
        <item h="1" m="1" x="3632"/>
        <item h="1" m="1" x="3692"/>
        <item h="1" m="1" x="3750"/>
        <item h="1" m="1" x="3810"/>
        <item h="1" m="1" x="3869"/>
        <item h="1" m="1" x="85"/>
        <item h="1" m="1" x="143"/>
        <item h="1" m="1" x="203"/>
        <item h="1" m="1" x="263"/>
        <item h="1" m="1" x="323"/>
        <item h="1" m="1" x="379"/>
        <item h="1" m="1" x="439"/>
        <item h="1" m="1" x="497"/>
        <item h="1" m="1" x="554"/>
        <item h="1" m="1" x="610"/>
        <item h="1" m="1" x="670"/>
        <item h="1" m="1" x="730"/>
        <item h="1" m="1" x="790"/>
        <item h="1" m="1" x="845"/>
        <item h="1" m="1" x="901"/>
        <item h="1" m="1" x="961"/>
        <item h="1" m="1" x="1021"/>
        <item h="1" m="1" x="1079"/>
        <item h="1" m="1" x="1139"/>
        <item h="1" m="1" x="1199"/>
        <item h="1" m="1" x="1258"/>
        <item h="1" m="1" x="1314"/>
        <item h="1" m="1" x="1373"/>
        <item h="1" m="1" x="1433"/>
        <item h="1" m="1" x="1494"/>
        <item h="1" m="1" x="1553"/>
        <item h="1" m="1" x="1613"/>
        <item h="1" m="1" x="1672"/>
        <item h="1" m="1" x="1733"/>
        <item h="1" m="1" x="1792"/>
        <item h="1" m="1" x="1853"/>
        <item h="1" m="1" x="1914"/>
        <item h="1" m="1" x="1974"/>
        <item h="1" m="1" x="2033"/>
        <item h="1" m="1" x="2091"/>
        <item h="1" m="1" x="2150"/>
        <item h="1" m="1" x="2211"/>
        <item h="1" m="1" x="2270"/>
        <item h="1" m="1" x="2331"/>
        <item h="1" m="1" x="2391"/>
        <item h="1" m="1" x="2453"/>
        <item h="1" m="1" x="2512"/>
        <item h="1" m="1" x="2570"/>
        <item h="1" m="1" x="2627"/>
        <item h="1" m="1" x="2688"/>
        <item h="1" m="1" x="2746"/>
        <item h="1" m="1" x="2805"/>
        <item h="1" m="1" x="2862"/>
        <item h="1" m="1" x="2922"/>
        <item h="1" m="1" x="2977"/>
        <item h="1" m="1" x="3035"/>
        <item h="1" m="1" x="3094"/>
        <item h="1" m="1" x="3154"/>
        <item h="1" m="1" x="3211"/>
        <item h="1" m="1" x="3270"/>
        <item h="1" m="1" x="3330"/>
        <item h="1" m="1" x="3389"/>
        <item h="1" m="1" x="3446"/>
        <item h="1" m="1" x="3506"/>
        <item h="1" m="1" x="3568"/>
        <item h="1" m="1" x="3629"/>
        <item h="1" m="1" x="3688"/>
        <item h="1" m="1" x="3747"/>
        <item h="1" m="1" x="3807"/>
        <item h="1" m="1" x="3866"/>
        <item h="1" m="1" x="80"/>
        <item h="1" m="1" x="140"/>
        <item h="1" m="1" x="199"/>
        <item h="1" m="1" x="260"/>
        <item h="1" m="1" x="320"/>
        <item h="1" m="1" x="377"/>
        <item h="1" m="1" x="436"/>
        <item h="1" m="1" x="495"/>
        <item h="1" m="1" x="551"/>
        <item h="1" m="1" x="608"/>
        <item h="1" m="1" x="668"/>
        <item h="1" m="1" x="728"/>
        <item h="1" m="1" x="787"/>
        <item h="1" m="1" x="843"/>
        <item h="1" m="1" x="899"/>
        <item h="1" m="1" x="959"/>
        <item h="1" m="1" x="1017"/>
        <item h="1" m="1" x="1077"/>
        <item h="1" m="1" x="1137"/>
        <item h="1" m="1" x="1197"/>
        <item h="1" m="1" x="1255"/>
        <item h="1" m="1" x="1312"/>
        <item h="1" m="1" x="1371"/>
        <item h="1" m="1" x="1431"/>
        <item h="1" m="1" x="1489"/>
        <item h="1" m="1" x="1551"/>
        <item h="1" m="1" x="1611"/>
        <item h="1" m="1" x="1670"/>
        <item h="1" m="1" x="1730"/>
        <item h="1" m="1" x="1790"/>
        <item h="1" m="1" x="1851"/>
        <item h="1" m="1" x="1912"/>
        <item h="1" m="1" x="1970"/>
        <item h="1" m="1" x="2029"/>
        <item h="1" m="1" x="2090"/>
        <item h="1" m="1" x="2149"/>
        <item h="1" m="1" x="2209"/>
        <item h="1" m="1" x="2269"/>
        <item h="1" m="1" x="2330"/>
        <item h="1" m="1" x="2390"/>
        <item h="1" m="1" x="2449"/>
        <item h="1" m="1" x="2510"/>
        <item h="1" m="1" x="2569"/>
        <item h="1" m="1" x="2626"/>
        <item h="1" m="1" x="2686"/>
        <item h="1" m="1" x="2745"/>
        <item h="1" m="1" x="2804"/>
        <item h="1" m="1" x="2861"/>
        <item h="1" m="1" x="957"/>
        <item h="1" m="1" x="2919"/>
        <item h="1" m="1" x="1016"/>
        <item h="1" m="1" x="2976"/>
        <item h="1" m="1" x="1075"/>
        <item h="1" m="1" x="3034"/>
        <item h="1" m="1" x="1136"/>
        <item h="1" m="1" x="3093"/>
        <item h="1" m="1" x="1195"/>
        <item h="1" m="1" x="3152"/>
        <item h="1" m="1" x="1254"/>
        <item h="1" m="1" x="3210"/>
        <item h="1" m="1" x="1310"/>
        <item h="1" m="1" x="3269"/>
        <item h="1" m="1" x="1370"/>
        <item h="1" m="1" x="3329"/>
        <item h="1" m="1" x="1429"/>
        <item h="1" m="1" x="3385"/>
        <item h="1" m="1" x="1488"/>
        <item h="1" m="1" x="3445"/>
        <item h="1" m="1" x="1549"/>
        <item h="1" m="1" x="3505"/>
        <item h="1" m="1" x="1610"/>
        <item h="1" m="1" x="3567"/>
        <item h="1" m="1" x="1668"/>
        <item h="1" m="1" x="3627"/>
        <item h="1" m="1" x="1729"/>
        <item h="1" m="1" x="3687"/>
        <item h="1" m="1" x="1788"/>
        <item h="1" m="1" x="3746"/>
        <item h="1" m="1" x="1850"/>
        <item h="1" m="1" x="3806"/>
        <item h="1" m="1" x="1909"/>
        <item h="1" m="1" x="3863"/>
        <item h="1" m="1" x="1968"/>
        <item h="1" m="1" x="77"/>
        <item h="1" m="1" x="2027"/>
        <item h="1" m="1" x="137"/>
        <item h="1" m="1" x="2089"/>
        <item h="1" m="1" x="198"/>
        <item h="1" m="1" x="2147"/>
        <item h="1" m="1" x="258"/>
        <item h="1" m="1" x="2208"/>
        <item h="1" m="1" x="319"/>
        <item h="1" m="1" x="2267"/>
        <item h="1" m="1" x="375"/>
        <item h="1" m="1" x="2329"/>
        <item h="1" m="1" x="435"/>
        <item h="1" m="1" x="2388"/>
        <item h="1" m="1" x="491"/>
        <item h="1" m="1" x="2447"/>
        <item h="1" m="1" x="550"/>
        <item h="1" m="1" x="2508"/>
        <item h="1" m="1" x="606"/>
        <item h="1" m="1" x="2568"/>
        <item h="1" m="1" x="667"/>
        <item h="1" m="1" x="2624"/>
        <item h="1" m="1" x="726"/>
        <item h="1" m="1" x="2685"/>
        <item h="1" m="1" x="786"/>
        <item h="1" m="1" x="2743"/>
        <item h="1" m="1" x="841"/>
        <item h="1" m="1" x="2803"/>
        <item h="1" m="1" x="898"/>
        <item h="1" m="1" x="2859"/>
        <item h="1" m="1" x="955"/>
        <item h="1" m="1" x="2918"/>
        <item h="1" m="1" x="1015"/>
        <item h="1" m="1" x="2974"/>
        <item h="1" m="1" x="1074"/>
        <item h="1" m="1" x="3033"/>
        <item h="1" m="1" x="1135"/>
        <item h="1" m="1" x="3091"/>
        <item h="1" m="1" x="1194"/>
        <item h="1" m="1" x="3151"/>
        <item h="1" m="1" x="1253"/>
        <item h="1" m="1" x="3208"/>
        <item h="1" m="1" x="1309"/>
        <item h="1" m="1" x="3268"/>
        <item h="1" m="1" x="1369"/>
        <item h="1" m="1" x="3326"/>
        <item h="1" m="1" x="1425"/>
        <item h="1" m="1" x="3383"/>
        <item h="1" m="1" x="1486"/>
        <item h="1" m="1" x="3442"/>
        <item h="1" m="1" x="1547"/>
        <item h="1" m="1" x="3503"/>
        <item h="1" m="1" x="1608"/>
        <item h="1" m="1" x="3564"/>
        <item h="1" m="1" x="1666"/>
        <item h="1" m="1" x="3625"/>
        <item h="1" m="1" x="1727"/>
        <item h="1" m="1" x="3684"/>
        <item h="1" m="1" x="1786"/>
        <item h="1" m="1" x="3744"/>
        <item h="1" m="1" x="1847"/>
        <item h="1" m="1" x="3803"/>
        <item h="1" m="1" x="1905"/>
        <item h="1" m="1" x="3860"/>
        <item h="1" m="1" x="1966"/>
        <item h="1" m="1" x="74"/>
        <item h="1" m="1" x="2025"/>
        <item h="1" m="1" x="135"/>
        <item h="1" m="1" x="2087"/>
        <item h="1" m="1" x="195"/>
        <item h="1" m="1" x="2145"/>
        <item h="1" m="1" x="256"/>
        <item h="1" m="1" x="2206"/>
        <item h="1" m="1" x="316"/>
        <item h="1" m="1" x="2265"/>
        <item h="1" m="1" x="373"/>
        <item h="1" m="1" x="2327"/>
        <item h="1" m="1" x="432"/>
        <item h="1" m="1" x="2385"/>
        <item h="1" m="1" x="489"/>
        <item h="1" m="1" x="2445"/>
        <item h="1" m="1" x="547"/>
        <item h="1" m="1" x="2506"/>
        <item h="1" m="1" x="604"/>
        <item h="1" m="1" x="2566"/>
        <item h="1" m="1" x="664"/>
        <item h="1" m="1" x="2622"/>
        <item h="1" m="1" x="724"/>
        <item h="1" m="1" x="2683"/>
        <item h="1" m="1" x="783"/>
        <item h="1" m="1" x="2741"/>
        <item h="1" m="1" x="839"/>
        <item h="1" m="1" x="2801"/>
        <item h="1" m="1" x="895"/>
        <item h="1" m="1" x="2856"/>
        <item h="1" m="1" x="953"/>
        <item h="1" m="1" x="2915"/>
        <item h="1" m="1" x="1012"/>
        <item h="1" m="1" x="2972"/>
        <item h="1" m="1" x="1072"/>
        <item h="1" m="1" x="3031"/>
        <item h="1" m="1" x="1132"/>
        <item h="1" m="1" x="3089"/>
        <item h="1" m="1" x="1192"/>
        <item h="1" m="1" x="3149"/>
        <item h="1" m="1" x="1250"/>
        <item h="1" m="1" x="3206"/>
        <item h="1" m="1" x="1307"/>
        <item h="1" m="1" x="3266"/>
        <item h="1" m="1" x="1366"/>
        <item h="1" m="1" x="3323"/>
        <item h="1" m="1" x="1423"/>
        <item h="1" m="1" x="3381"/>
        <item h="1" m="1" x="1483"/>
        <item h="1" m="1" x="3440"/>
        <item h="1" m="1" x="1545"/>
        <item h="1" m="1" x="3501"/>
        <item h="1" m="1" x="1605"/>
        <item h="1" m="1" x="3562"/>
        <item h="1" m="1" x="1664"/>
        <item h="1" m="1" x="3623"/>
        <item h="1" m="1" x="1724"/>
        <item h="1" m="1" x="3682"/>
        <item h="1" m="1" x="1784"/>
        <item h="1" m="1" x="3741"/>
        <item h="1" m="1" x="1843"/>
        <item h="1" m="1" x="3800"/>
        <item h="1" m="1" x="1902"/>
        <item h="1" m="1" x="3858"/>
        <item h="1" m="1" x="1963"/>
        <item h="1" m="1" x="72"/>
        <item h="1" m="1" x="2023"/>
        <item h="1" m="1" x="133"/>
        <item h="1" m="1" x="2084"/>
        <item h="1" m="1" x="193"/>
        <item h="1" m="1" x="2143"/>
        <item h="1" m="1" x="254"/>
        <item h="1" m="1" x="2203"/>
        <item h="1" m="1" x="314"/>
        <item h="1" m="1" x="2263"/>
        <item h="1" m="1" x="371"/>
        <item h="1" m="1" x="2324"/>
        <item h="1" m="1" x="428"/>
        <item h="1" m="1" x="2382"/>
        <item h="1" m="1" x="487"/>
        <item h="1" m="1" x="2442"/>
        <item h="1" m="1" x="545"/>
        <item h="1" m="1" x="2504"/>
        <item h="1" m="1" x="602"/>
        <item h="1" m="1" x="2563"/>
        <item h="1" m="1" x="662"/>
        <item h="1" m="1" x="2620"/>
        <item h="1" m="1" x="722"/>
        <item h="1" m="1" x="2680"/>
        <item h="1" m="1" x="781"/>
        <item h="1" m="1" x="2739"/>
        <item h="1" m="1" x="837"/>
        <item h="1" m="1" x="2798"/>
        <item h="1" m="1" x="892"/>
        <item h="1" m="1" x="2854"/>
        <item h="1" m="1" x="951"/>
        <item h="1" m="1" x="2912"/>
        <item h="1" m="1" x="1010"/>
        <item h="1" m="1" x="2970"/>
        <item h="1" m="1" x="1070"/>
        <item h="1" m="1" x="3028"/>
        <item h="1" m="1" x="1130"/>
        <item h="1" m="1" x="3087"/>
        <item h="1" m="1" x="1190"/>
        <item h="1" m="1" x="3146"/>
        <item h="1" m="1" x="1248"/>
        <item h="1" m="1" x="3204"/>
        <item h="1" m="1" x="1305"/>
        <item h="1" m="1" x="3263"/>
        <item h="1" m="1" x="1363"/>
        <item h="1" m="1" x="3321"/>
        <item h="1" m="1" x="1421"/>
        <item h="1" m="1" x="3378"/>
        <item h="1" m="1" x="1481"/>
        <item h="1" m="1" x="3438"/>
        <item h="1" m="1" x="1543"/>
        <item h="1" m="1" x="3498"/>
        <item h="1" m="1" x="1603"/>
        <item h="1" m="1" x="3560"/>
        <item h="1" m="1" x="1662"/>
        <item h="1" m="1" x="3620"/>
        <item h="1" m="1" x="1722"/>
        <item h="1" m="1" x="3679"/>
        <item h="1" m="1" x="1781"/>
        <item h="1" m="1" x="3738"/>
        <item h="1" m="1" x="1840"/>
        <item h="1" m="1" x="3797"/>
        <item h="1" m="1" x="1900"/>
        <item h="1" m="1" x="3855"/>
        <item h="1" m="1" x="1961"/>
        <item h="1" m="1" x="70"/>
        <item h="1" m="1" x="2021"/>
        <item h="1" m="1" x="130"/>
        <item h="1" m="1" x="2082"/>
        <item h="1" m="1" x="191"/>
        <item h="1" m="1" x="2141"/>
        <item h="1" m="1" x="251"/>
        <item h="1" m="1" x="2201"/>
        <item h="1" m="1" x="312"/>
        <item h="1" m="1" x="2261"/>
        <item h="1" m="1" x="368"/>
        <item h="1" m="1" x="2321"/>
        <item h="1" m="1" x="426"/>
        <item h="1" m="1" x="2380"/>
        <item h="1" m="1" x="484"/>
        <item h="1" m="1" x="2440"/>
        <item h="1" m="1" x="543"/>
        <item h="1" m="1" x="2502"/>
        <item h="1" m="1" x="599"/>
        <item h="1" m="1" x="2561"/>
        <item h="1" m="1" x="660"/>
        <item h="1" m="1" x="2618"/>
        <item h="1" m="1" x="719"/>
        <item h="1" m="1" x="2678"/>
        <item h="1" m="1" x="779"/>
        <item h="1" m="1" x="2737"/>
        <item h="1" m="1" x="834"/>
        <item h="1" m="1" x="2795"/>
        <item h="1" m="1" x="890"/>
        <item h="1" m="1" x="2852"/>
        <item h="1" m="1" x="948"/>
        <item h="1" m="1" x="2910"/>
        <item h="1" m="1" x="1008"/>
        <item h="1" m="1" x="2968"/>
        <item h="1" m="1" x="1067"/>
        <item h="1" m="1" x="3026"/>
        <item h="1" m="1" x="1128"/>
        <item h="1" m="1" x="3085"/>
        <item h="1" m="1" x="1187"/>
        <item h="1" m="1" x="3144"/>
        <item h="1" m="1" x="1246"/>
        <item h="1" m="1" x="3202"/>
        <item h="1" m="1" x="1302"/>
        <item h="1" m="1" x="3260"/>
        <item h="1" m="1" x="1361"/>
        <item h="1" m="1" x="3319"/>
        <item h="1" m="1" x="1418"/>
        <item h="1" m="1" x="3376"/>
        <item h="1" m="1" x="1479"/>
        <item h="1" m="1" x="3436"/>
        <item h="1" m="1" x="1540"/>
        <item h="1" m="1" x="3496"/>
        <item h="1" m="1" x="1601"/>
        <item h="1" m="1" x="3558"/>
        <item h="1" m="1" x="1659"/>
        <item h="1" m="1" x="3617"/>
        <item h="1" m="1" x="1720"/>
        <item h="1" m="1" x="3677"/>
        <item h="1" m="1" x="1778"/>
        <item h="1" m="1" x="3735"/>
        <item h="1" m="1" x="1837"/>
        <item h="1" m="1" x="3795"/>
        <item h="1" m="1" x="1897"/>
        <item h="1" m="1" x="3853"/>
        <item h="1" m="1" x="1959"/>
        <item h="1" m="1" x="68"/>
        <item h="1" m="1" x="2018"/>
        <item h="1" m="1" x="128"/>
        <item h="1" m="1" x="2080"/>
        <item h="1" m="1" x="189"/>
        <item h="1" m="1" x="2138"/>
        <item h="1" m="1" x="249"/>
        <item h="1" m="1" x="2199"/>
        <item h="1" m="1" x="310"/>
        <item h="1" m="1" x="2258"/>
        <item h="1" m="1" x="365"/>
        <item h="1" m="1" x="2318"/>
        <item h="1" m="1" x="424"/>
        <item h="1" m="1" x="2377"/>
        <item h="1" m="1" x="482"/>
        <item h="1" m="1" x="2438"/>
        <item h="1" m="1" x="541"/>
        <item h="1" m="1" x="2499"/>
        <item h="1" m="1" x="597"/>
        <item h="1" m="1" x="2559"/>
        <item h="1" m="1" x="658"/>
        <item h="1" m="1" x="2615"/>
        <item h="1" m="1" x="717"/>
        <item h="1" m="1" x="2676"/>
        <item h="1" m="1" x="777"/>
        <item h="1" m="1" x="2734"/>
        <item h="1" m="1" x="831"/>
        <item h="1" m="1" x="2793"/>
        <item h="1" m="1" x="888"/>
        <item h="1" m="1" x="2849"/>
        <item h="1" m="1" x="946"/>
        <item h="1" m="1" x="2908"/>
        <item h="1" m="1" x="1006"/>
        <item h="1" m="1" x="2965"/>
        <item h="1" m="1" x="1065"/>
        <item h="1" m="1" x="3024"/>
        <item h="1" m="1" x="1126"/>
        <item h="1" m="1" x="3082"/>
        <item h="1" m="1" x="1185"/>
        <item h="1" m="1" x="3142"/>
        <item h="1" m="1" x="1244"/>
        <item h="1" m="1" x="3199"/>
        <item h="1" m="1" x="1299"/>
        <item h="1" m="1" x="3258"/>
        <item h="1" m="1" x="1359"/>
        <item h="1" m="1" x="3316"/>
        <item h="1" m="1" x="1416"/>
        <item h="1" m="1" x="3374"/>
        <item h="1" m="1" x="1477"/>
        <item h="1" m="1" x="3433"/>
        <item h="1" m="1" x="1538"/>
        <item h="1" m="1" x="3494"/>
        <item h="1" m="1" x="1599"/>
        <item h="1" m="1" x="3554"/>
        <item h="1" m="1" x="1657"/>
        <item h="1" m="1" x="3614"/>
        <item h="1" m="1" x="1718"/>
        <item h="1" m="1" x="3674"/>
        <item h="1" m="1" x="1775"/>
        <item h="1" m="1" x="3732"/>
        <item h="1" m="1" x="1835"/>
        <item h="1" m="1" x="3792"/>
        <item h="1" m="1" x="1895"/>
        <item h="1" m="1" x="3851"/>
        <item h="1" m="1" x="1957"/>
        <item h="1" m="1" x="65"/>
        <item h="1" m="1" x="2016"/>
        <item h="1" m="1" x="126"/>
        <item h="1" m="1" x="2078"/>
        <item h="1" m="1" x="186"/>
        <item h="1" m="1" x="2136"/>
        <item h="1" m="1" x="247"/>
        <item h="1" m="1" x="2197"/>
        <item h="1" m="1" x="307"/>
        <item h="1" m="1" x="2255"/>
        <item h="1" m="1" x="363"/>
        <item h="1" m="1" x="2316"/>
        <item h="1" m="1" x="420"/>
        <item h="1" m="1" x="2375"/>
        <item h="1" m="1" x="480"/>
        <item h="1" m="1" x="2436"/>
        <item h="1" m="1" x="538"/>
        <item h="1" m="1" x="2497"/>
        <item h="1" m="1" x="595"/>
        <item h="1" m="1" x="2557"/>
        <item h="1" m="1" x="655"/>
        <item h="1" m="1" x="2613"/>
        <item h="1" m="1" x="715"/>
        <item h="1" m="1" x="2674"/>
        <item h="1" m="1" x="774"/>
        <item h="1" m="1" x="2731"/>
        <item h="1" m="1" x="829"/>
        <item h="1" m="1" x="2790"/>
        <item h="1" m="1" x="885"/>
        <item h="1" m="1" x="2847"/>
        <item h="1" m="1" x="944"/>
        <item h="1" m="1" x="2906"/>
        <item h="1" m="1" x="1003"/>
        <item h="1" m="1" x="2963"/>
        <item h="1" m="1" x="1063"/>
        <item h="1" m="1" x="3022"/>
        <item h="1" m="1" x="1123"/>
        <item h="1" m="1" x="3080"/>
        <item h="1" m="1" x="1183"/>
        <item h="1" m="1" x="3140"/>
        <item h="1" m="1" x="1241"/>
        <item h="1" m="1" x="3196"/>
        <item h="1" m="1" x="1297"/>
        <item h="1" m="1" x="3255"/>
        <item h="1" m="1" x="1356"/>
        <item h="1" m="1" x="3314"/>
        <item h="1" m="1" x="1414"/>
        <item h="1" m="1" x="3372"/>
        <item h="1" m="1" x="1473"/>
        <item h="1" m="1" x="3431"/>
        <item h="1" m="1" x="1535"/>
        <item h="1" m="1" x="3491"/>
        <item h="1" m="1" x="1595"/>
        <item h="1" m="1" x="3551"/>
        <item h="1" m="1" x="1655"/>
        <item h="1" m="1" x="3612"/>
        <item h="1" m="1" x="1715"/>
        <item h="1" m="1" x="3671"/>
        <item h="1" m="1" x="1772"/>
        <item h="1" m="1" x="3730"/>
        <item h="1" m="1" x="1832"/>
        <item h="1" m="1" x="3790"/>
        <item h="1" m="1" x="1893"/>
        <item h="1" m="1" x="3849"/>
        <item h="1" m="1" x="1954"/>
        <item h="1" m="1" x="63"/>
        <item h="1" m="1" x="2014"/>
        <item h="1" m="1" x="124"/>
        <item h="1" m="1" x="2075"/>
        <item h="1" m="1" x="184"/>
        <item h="1" m="1" x="2134"/>
        <item h="1" m="1" x="245"/>
        <item h="1" m="1" x="2194"/>
        <item h="1" m="1" x="304"/>
        <item h="1" m="1" x="2252"/>
        <item h="1" m="1" x="361"/>
        <item h="1" m="1" x="2313"/>
        <item h="1" m="1" x="418"/>
        <item h="1" m="1" x="2373"/>
        <item h="1" m="1" x="478"/>
        <item h="1" m="1" x="2433"/>
        <item h="1" m="1" x="536"/>
        <item h="1" m="1" x="2495"/>
        <item h="1" m="1" x="593"/>
        <item h="1" m="1" x="2554"/>
        <item h="1" m="1" x="653"/>
        <item h="1" m="1" x="2611"/>
        <item h="1" m="1" x="713"/>
        <item h="1" m="1" x="2671"/>
        <item h="1" m="1" x="771"/>
        <item h="1" m="1" x="2729"/>
        <item h="1" m="1" x="827"/>
        <item h="1" m="1" x="2787"/>
        <item h="1" m="1" x="883"/>
        <item h="1" m="1" x="2845"/>
        <item h="1" m="1" x="942"/>
        <item h="1" m="1" x="2903"/>
        <item h="1" m="1" x="1001"/>
        <item h="1" m="1" x="2961"/>
        <item h="1" m="1" x="1061"/>
        <item h="1" m="1" x="3019"/>
        <item h="1" m="1" x="1121"/>
        <item h="1" m="1" x="3078"/>
        <item h="1" m="1" x="1181"/>
        <item h="1" m="1" x="3137"/>
        <item h="1" m="1" x="1237"/>
        <item h="1" m="1" x="3194"/>
        <item h="1" m="1" x="1295"/>
        <item h="1" m="1" x="3252"/>
        <item h="1" m="1" x="1354"/>
        <item h="1" m="1" x="3312"/>
        <item h="1" m="1" x="1412"/>
        <item h="1" m="1" x="3369"/>
        <item h="1" m="1" x="1471"/>
        <item h="1" m="1" x="3429"/>
        <item h="1" m="1" x="1532"/>
        <item h="1" m="1" x="3487"/>
        <item h="1" m="1" x="1593"/>
        <item h="1" m="1" x="3549"/>
        <item h="1" m="1" x="1653"/>
        <item h="1" m="1" x="3609"/>
        <item h="1" m="1" x="1711"/>
        <item h="1" m="1" x="3668"/>
        <item h="1" m="1" x="1770"/>
        <item h="1" m="1" x="3727"/>
        <item h="1" m="1" x="1830"/>
        <item h="1" m="1" x="3788"/>
        <item h="1" m="1" x="1891"/>
        <item h="1" m="1" x="3846"/>
        <item h="1" m="1" x="1952"/>
        <item h="1" m="1" x="61"/>
        <item h="1" m="1" x="2012"/>
        <item h="1" m="1" x="121"/>
        <item h="1" m="1" x="2073"/>
        <item h="1" m="1" x="182"/>
        <item h="1" m="1" x="2132"/>
        <item h="1" m="1" x="242"/>
        <item h="1" m="1" x="2190"/>
        <item h="1" m="1" x="301"/>
        <item h="1" m="1" x="2250"/>
        <item h="1" m="1" x="358"/>
        <item h="1" m="1" x="2311"/>
        <item h="1" m="1" x="416"/>
        <item h="1" m="1" x="2371"/>
        <item h="1" m="1" x="475"/>
        <item h="1" m="1" x="2431"/>
        <item h="1" m="1" x="534"/>
        <item h="1" m="1" x="2493"/>
        <item h="1" m="1" x="590"/>
        <item h="1" m="1" x="2552"/>
        <item h="1" m="1" x="651"/>
        <item h="1" m="1" x="2609"/>
        <item h="1" m="1" x="710"/>
        <item h="1" m="1" x="2667"/>
        <item h="1" m="1" x="769"/>
        <item h="1" m="1" x="2727"/>
        <item h="1" m="1" x="824"/>
        <item h="1" m="1" x="2785"/>
        <item h="1" m="1" x="881"/>
        <item h="1" m="1" x="2843"/>
        <item h="1" m="1" x="939"/>
        <item h="1" m="1" x="2901"/>
        <item h="1" m="1" x="999"/>
        <item h="1" m="1" x="2959"/>
        <item h="1" m="1" x="1058"/>
        <item h="1" m="1" x="3017"/>
        <item h="1" m="1" x="1119"/>
        <item h="1" m="1" x="3076"/>
        <item h="1" m="1" x="1178"/>
        <item h="1" m="1" x="3134"/>
        <item h="1" m="1" x="1235"/>
        <item h="1" m="1" x="3192"/>
        <item h="1" m="1" x="1292"/>
        <item h="1" m="1" x="3250"/>
        <item h="1" m="1" x="1352"/>
        <item h="1" m="1" x="3310"/>
        <item h="1" m="1" x="1409"/>
        <item h="1" m="1" x="3367"/>
        <item h="1" m="1" x="1469"/>
        <item h="1" m="1" x="3427"/>
        <item h="1" m="1" x="1529"/>
        <item h="1" m="1" x="3485"/>
        <item h="1" m="1" x="1591"/>
        <item h="1" m="1" x="3547"/>
        <item h="1" m="1" x="1650"/>
        <item h="1" m="1" x="3605"/>
        <item h="1" m="1" x="1708"/>
        <item h="1" m="1" x="3666"/>
        <item h="1" m="1" x="1767"/>
        <item h="1" m="1" x="3725"/>
        <item h="1" m="1" x="1828"/>
        <item h="1" m="1" x="3786"/>
        <item h="1" m="1" x="1888"/>
        <item h="1" m="1" x="3844"/>
        <item h="1" m="1" x="1950"/>
        <item h="1" m="1" x="59"/>
        <item h="1" m="1" x="2009"/>
        <item h="1" m="1" x="119"/>
        <item h="1" m="1" x="2071"/>
        <item h="1" m="1" x="180"/>
        <item h="1" m="1" x="2129"/>
        <item h="1" m="1" x="238"/>
        <item h="1" m="1" x="2187"/>
        <item h="1" m="1" x="299"/>
        <item h="1" m="1" x="2247"/>
        <item h="1" m="1" x="356"/>
        <item h="1" m="1" x="2309"/>
        <item h="1" m="1" x="414"/>
        <item h="1" m="1" x="2368"/>
        <item h="1" m="1" x="473"/>
        <item h="1" m="1" x="2429"/>
        <item h="1" m="1" x="532"/>
        <item h="1" m="1" x="2490"/>
        <item h="1" m="1" x="588"/>
        <item h="1" m="1" x="2550"/>
        <item h="1" m="1" x="649"/>
        <item h="1" m="1" x="2606"/>
        <item h="1" m="1" x="706"/>
        <item h="1" m="1" x="2665"/>
        <item h="1" m="1" x="767"/>
        <item h="1" m="1" x="2724"/>
        <item h="1" m="1" x="822"/>
        <item h="1" m="1" x="2783"/>
        <item h="1" m="1" x="879"/>
        <item h="1" m="1" x="2840"/>
        <item h="1" m="1" x="937"/>
        <item h="1" m="1" x="2899"/>
        <item h="1" m="1" x="997"/>
        <item h="1" m="1" x="2956"/>
        <item h="1" m="1" x="1056"/>
        <item h="1" m="1" x="3015"/>
        <item h="1" m="1" x="1117"/>
        <item h="1" m="1" x="3073"/>
        <item h="1" m="1" x="1174"/>
        <item h="1" m="1" x="3132"/>
        <item h="1" m="1" x="1233"/>
        <item h="1" m="1" x="3189"/>
        <item h="1" m="1" x="1290"/>
        <item h="1" m="1" x="3248"/>
        <item h="1" m="1" x="1350"/>
        <item h="1" m="1" x="3306"/>
        <item h="1" m="1" x="1406"/>
        <item h="1" m="1" x="3365"/>
        <item h="1" m="1" x="1467"/>
        <item h="1" m="1" x="3424"/>
        <item h="1" m="1" x="1527"/>
        <item h="1" m="1" x="3483"/>
        <item h="1" m="1" x="1589"/>
        <item h="1" m="1" x="3544"/>
        <item h="1" m="1" x="1646"/>
        <item h="1" m="1" x="3602"/>
        <item h="1" m="1" x="1706"/>
        <item h="1" m="1" x="3663"/>
        <item h="1" m="1" x="1765"/>
        <item h="1" m="1" x="3723"/>
        <item h="1" m="1" x="1826"/>
        <item h="1" m="1" x="3783"/>
        <item h="1" m="1" x="1886"/>
        <item h="1" m="1" x="3842"/>
        <item h="1" m="1" x="1948"/>
        <item h="1" m="1" x="56"/>
        <item h="1" m="1" x="2007"/>
        <item h="1" m="1" x="117"/>
        <item h="1" m="1" x="2069"/>
        <item h="1" m="1" x="177"/>
        <item h="1" m="1" x="2126"/>
        <item h="1" m="1" x="235"/>
        <item h="1" m="1" x="2185"/>
        <item h="1" m="1" x="296"/>
        <item h="1" m="1" x="2245"/>
        <item h="1" m="1" x="354"/>
        <item h="1" m="1" x="2307"/>
        <item h="1" m="1" x="411"/>
        <item h="1" m="1" x="2366"/>
        <item h="1" m="1" x="471"/>
        <item h="1" m="1" x="2427"/>
        <item h="1" m="1" x="529"/>
        <item h="1" m="1" x="2488"/>
        <item h="1" m="1" x="586"/>
        <item h="1" m="1" x="2548"/>
        <item h="1" m="1" x="646"/>
        <item h="1" m="1" x="2603"/>
        <item h="1" m="1" x="704"/>
        <item h="1" m="1" x="2662"/>
        <item h="1" m="1" x="764"/>
        <item h="1" m="1" x="2722"/>
        <item h="1" m="1" x="820"/>
        <item h="1" m="1" x="2781"/>
        <item h="1" m="1" x="876"/>
        <item h="1" m="1" x="2838"/>
        <item h="1" m="1" x="935"/>
        <item h="1" m="1" x="2897"/>
        <item h="1" m="1" x="994"/>
        <item h="1" m="1" x="2954"/>
        <item h="1" m="1" x="1054"/>
        <item h="1" m="1" x="3013"/>
        <item h="1" m="1" x="1114"/>
        <item h="1" m="1" x="3069"/>
        <item h="1" m="1" x="1172"/>
        <item h="1" m="1" x="3129"/>
        <item h="1" m="1" x="1230"/>
        <item h="1" m="1" x="3187"/>
        <item h="1" m="1" x="1288"/>
        <item h="1" m="1" x="3245"/>
        <item h="1" m="1" x="1346"/>
        <item h="1" m="1" x="3303"/>
        <item h="1" m="1" x="1404"/>
        <item h="1" m="1" x="3363"/>
        <item h="1" m="1" x="1464"/>
        <item h="1" m="1" x="3422"/>
        <item h="1" m="1" x="1525"/>
        <item h="1" m="1" x="3481"/>
        <item h="1" m="1" x="1586"/>
        <item h="1" m="1" x="3541"/>
        <item h="1" m="1" x="1643"/>
        <item h="1" m="1" x="3600"/>
        <item h="1" m="1" x="1703"/>
        <item h="1" m="1" x="3661"/>
        <item h="1" m="1" x="1763"/>
        <item h="1" m="1" x="3721"/>
        <item h="1" m="1" x="1823"/>
        <item h="1" m="1" x="3781"/>
        <item h="1" m="1" x="1884"/>
        <item h="1" m="1" x="3840"/>
        <item h="1" m="1" x="1945"/>
        <item h="1" m="1" x="54"/>
        <item h="1" m="1" x="2005"/>
        <item h="1" m="1" x="115"/>
        <item h="1" m="1" x="2066"/>
        <item h="1" m="1" x="174"/>
        <item h="1" m="1" x="2123"/>
        <item h="1" m="1" x="233"/>
        <item h="1" m="1" x="2182"/>
        <item h="1" m="1" x="294"/>
        <item h="1" m="1" x="2243"/>
        <item h="1" m="1" x="352"/>
        <item h="1" m="1" x="2304"/>
        <item h="1" m="1" x="409"/>
        <item h="1" m="1" x="2364"/>
        <item h="1" m="1" x="469"/>
        <item h="1" m="1" x="2424"/>
        <item h="1" m="1" x="527"/>
        <item h="1" m="1" x="2486"/>
        <item h="1" m="1" x="584"/>
        <item h="1" m="1" x="2545"/>
        <item h="1" m="1" x="643"/>
        <item h="1" m="1" x="2601"/>
        <item h="1" m="1" x="702"/>
        <item h="1" m="1" x="2659"/>
        <item h="1" m="1" x="762"/>
        <item h="1" m="1" x="2720"/>
        <item h="1" m="1" x="818"/>
        <item h="1" m="1" x="2778"/>
        <item h="1" m="1" x="874"/>
        <item h="1" m="1" x="2836"/>
        <item h="1" m="1" x="933"/>
        <item h="1" m="1" x="2894"/>
        <item h="1" m="1" x="992"/>
        <item h="1" m="1" x="2952"/>
        <item h="1" m="1" x="1052"/>
        <item h="1" m="1" x="3010"/>
        <item h="1" m="1" x="1111"/>
        <item h="1" m="1" x="3067"/>
        <item h="1" m="1" x="1170"/>
        <item h="1" m="1" x="3126"/>
        <item h="1" m="1" x="1228"/>
        <item h="1" m="1" x="3184"/>
        <item h="1" m="1" x="1286"/>
        <item h="1" m="1" x="3241"/>
        <item h="1" m="1" x="1343"/>
        <item h="1" m="1" x="3301"/>
        <item h="1" m="1" x="1402"/>
        <item h="1" m="1" x="3360"/>
        <item h="1" m="1" x="1462"/>
        <item h="1" m="1" x="3420"/>
        <item h="1" m="1" x="1523"/>
        <item h="1" m="1" x="3478"/>
        <item h="1" m="1" x="1583"/>
        <item h="1" m="1" x="3538"/>
        <item h="1" m="1" x="1641"/>
        <item h="1" m="1" x="3597"/>
        <item h="1" m="1" x="1701"/>
        <item h="1" m="1" x="3659"/>
        <item h="1" m="1" x="1761"/>
        <item h="1" m="1" x="3718"/>
        <item h="1" m="1" x="1821"/>
        <item h="1" m="1" x="3779"/>
        <item h="1" m="1" x="1882"/>
        <item h="1" m="1" x="3837"/>
        <item h="1" m="1" x="1943"/>
        <item h="1" m="1" x="52"/>
        <item h="1" m="1" x="2003"/>
        <item h="1" m="1" x="112"/>
        <item h="1" m="1" x="2063"/>
        <item h="1" m="1" x="171"/>
        <item h="1" m="1" x="2121"/>
        <item h="1" m="1" x="230"/>
        <item h="1" m="1" x="2180"/>
        <item h="1" m="1" x="292"/>
        <item h="1" m="1" x="2241"/>
        <item h="1" m="1" x="349"/>
        <item h="1" m="1" x="2302"/>
        <item h="1" m="1" x="407"/>
        <item h="1" m="1" x="2362"/>
        <item h="1" m="1" x="466"/>
        <item h="1" m="1" x="2422"/>
        <item h="1" m="1" x="525"/>
        <item h="1" m="1" x="2484"/>
        <item h="1" m="1" x="581"/>
        <item h="1" m="1" x="2542"/>
        <item h="1" m="1" x="641"/>
        <item h="1" m="1" x="2599"/>
        <item h="1" m="1" x="699"/>
        <item h="1" m="1" x="2657"/>
        <item h="1" m="1" x="760"/>
        <item h="1" m="1" x="2718"/>
        <item h="1" m="1" x="815"/>
        <item h="1" m="1" x="2776"/>
        <item h="1" m="1" x="872"/>
        <item h="1" m="1" x="2834"/>
        <item h="1" m="1" x="930"/>
        <item h="1" m="1" x="2892"/>
        <item h="1" m="1" x="990"/>
        <item h="1" m="1" x="2950"/>
        <item h="1" m="1" x="1049"/>
        <item h="1" m="1" x="3007"/>
        <item h="1" m="1" x="1108"/>
        <item h="1" m="1" x="3065"/>
        <item h="1" m="1" x="1167"/>
        <item h="1" m="1" x="3123"/>
        <item h="1" m="1" x="1226"/>
        <item h="1" m="1" x="3181"/>
        <item h="1" m="1" x="1283"/>
        <item h="1" m="1" x="3239"/>
        <item h="1" m="1" x="1341"/>
        <item h="1" m="1" x="3299"/>
        <item h="1" m="1" x="1399"/>
        <item h="1" m="1" x="3358"/>
        <item h="1" m="1" x="1460"/>
        <item h="1" m="1" x="3418"/>
        <item h="1" m="1" x="1520"/>
        <item h="1" m="1" x="3475"/>
        <item h="1" m="1" x="1580"/>
        <item h="1" m="1" x="3536"/>
        <item h="1" m="1" x="1638"/>
        <item h="1" m="1" x="3595"/>
        <item h="1" m="1" x="1699"/>
        <item h="1" m="1" x="3657"/>
        <item h="1" m="1" x="1758"/>
        <item h="1" m="1" x="3716"/>
        <item h="1" m="1" x="1819"/>
        <item h="1" m="1" x="3777"/>
        <item h="1" m="1" x="1879"/>
        <item h="1" m="1" x="3835"/>
        <item h="1" m="1" x="1941"/>
        <item h="1" m="1" x="50"/>
        <item h="1" m="1" x="2000"/>
        <item h="1" m="1" x="109"/>
        <item h="1" m="1" x="2060"/>
        <item h="1" m="1" x="169"/>
        <item h="1" m="1" x="2118"/>
        <item h="1" m="1" x="228"/>
        <item h="1" m="1" x="2178"/>
        <item h="1" m="1" x="290"/>
        <item h="1" m="1" x="2238"/>
        <item h="1" m="1" x="347"/>
        <item h="1" m="1" x="2300"/>
        <item h="1" m="1" x="405"/>
        <item h="1" m="1" x="2359"/>
        <item h="1" m="1" x="464"/>
        <item h="1" m="1" x="2420"/>
        <item h="1" m="1" x="523"/>
        <item h="1" m="1" x="2481"/>
        <item h="1" m="1" x="578"/>
        <item h="1" m="1" x="2540"/>
        <item h="1" m="1" x="639"/>
        <item h="1" m="1" x="2596"/>
        <item h="1" m="1" x="697"/>
        <item h="1" m="1" x="2655"/>
        <item h="1" m="1" x="758"/>
        <item h="1" m="1" x="2715"/>
        <item h="1" m="1" x="813"/>
        <item h="1" m="1" x="2774"/>
        <item h="1" m="1" x="870"/>
        <item h="1" m="1" x="2831"/>
        <item h="1" m="1" x="928"/>
        <item h="1" m="1" x="2890"/>
        <item h="1" m="1" x="988"/>
        <item h="1" m="1" x="2947"/>
        <item h="1" m="1" x="1046"/>
        <item h="1" m="1" x="3005"/>
        <item h="1" m="1" x="1106"/>
        <item h="1" m="1" x="3062"/>
        <item h="1" m="1" x="1164"/>
        <item h="1" m="1" x="3120"/>
        <item h="1" m="1" x="1224"/>
        <item h="1" m="1" x="3178"/>
        <item h="1" m="1" x="1281"/>
        <item h="1" m="1" x="3237"/>
        <item h="1" m="1" x="1339"/>
        <item h="1" m="1" x="3296"/>
        <item h="1" m="1" x="1397"/>
        <item h="1" m="1" x="3356"/>
        <item h="1" m="1" x="1458"/>
        <item h="1" m="1" x="3415"/>
        <item h="1" m="1" x="1517"/>
        <item h="1" m="1" x="3472"/>
        <item h="1" m="1" x="1578"/>
        <item h="1" m="1" x="3532"/>
        <item h="1" m="1" x="1636"/>
        <item h="1" m="1" x="3593"/>
        <item h="1" m="1" x="1697"/>
        <item h="1" m="1" x="3654"/>
        <item h="1" m="1" x="1756"/>
        <item h="1" m="1" x="3714"/>
        <item h="1" m="1" x="1817"/>
        <item h="1" m="1" x="3774"/>
        <item h="1" m="1" x="1877"/>
        <item h="1" m="1" x="3833"/>
        <item h="1" m="1" x="1939"/>
        <item h="1" m="1" x="47"/>
        <item h="1" m="1" x="1997"/>
        <item h="1" m="1" x="106"/>
        <item h="1" m="1" x="2058"/>
        <item h="1" m="1" x="166"/>
        <item h="1" m="1" x="2116"/>
        <item h="1" m="1" x="226"/>
        <item h="1" m="1" x="2176"/>
        <item h="1" m="1" x="287"/>
        <item h="1" m="1" x="2236"/>
        <item h="1" m="1" x="345"/>
        <item h="1" m="1" x="2298"/>
        <item h="1" m="1" x="402"/>
        <item h="1" m="1" x="2357"/>
        <item h="1" m="1" x="462"/>
        <item h="1" m="1" x="2418"/>
        <item h="1" m="1" x="520"/>
        <item h="1" m="1" x="2478"/>
        <item h="1" m="1" x="576"/>
        <item h="1" m="1" x="2537"/>
        <item h="1" m="1" x="636"/>
        <item h="1" m="1" x="2594"/>
        <item h="1" m="1" x="695"/>
        <item h="1" m="1" x="2653"/>
        <item h="1" m="1" x="755"/>
        <item h="1" m="1" x="2713"/>
        <item h="1" m="1" x="811"/>
        <item h="1" m="1" x="2772"/>
        <item h="1" m="1" x="867"/>
        <item h="1" m="1" x="2829"/>
        <item h="1" m="1" x="926"/>
        <item h="1" m="1" x="2888"/>
        <item h="1" m="1" x="985"/>
        <item h="1" m="1" x="2944"/>
        <item h="1" m="1" x="1044"/>
        <item h="1" m="1" x="3002"/>
        <item h="1" m="1" x="1103"/>
        <item h="1" m="1" x="3060"/>
        <item h="1" m="1" x="1162"/>
        <item h="1" m="1" x="3119"/>
        <item h="1" m="1" x="1222"/>
        <item h="1" m="1" x="3177"/>
        <item h="1" m="1" x="1280"/>
        <item h="1" m="1" x="3236"/>
        <item h="1" m="1" x="1337"/>
        <item h="1" m="1" x="3295"/>
        <item h="1" m="1" x="1396"/>
        <item h="1" m="1" x="3355"/>
        <item h="1" m="1" x="1456"/>
        <item h="1" m="1" x="3413"/>
        <item h="1" m="1" x="1515"/>
        <item h="1" m="1" x="3471"/>
        <item h="1" m="1" x="1576"/>
        <item h="1" m="1" x="3531"/>
        <item h="1" m="1" x="1635"/>
        <item h="1" m="1" x="3592"/>
        <item h="1" m="1" x="1695"/>
        <item h="1" m="1" x="3653"/>
        <item h="1" m="1" x="1755"/>
        <item h="1" m="1" x="3713"/>
        <item h="1" m="1" x="1815"/>
        <item h="1" m="1" x="3773"/>
        <item h="1" m="1" x="1876"/>
        <item h="1" m="1" x="3832"/>
        <item h="1" m="1" x="1937"/>
        <item h="1" m="1" x="45"/>
        <item h="1" m="1" x="1995"/>
        <item h="1" m="1" x="105"/>
        <item h="1" m="1" x="2056"/>
        <item h="1" m="1" x="165"/>
        <item h="1" m="1" x="2115"/>
        <item h="1" m="1" x="225"/>
        <item h="1" m="1" x="2174"/>
        <item h="1" m="1" x="286"/>
        <item h="1" m="1" x="2235"/>
        <item h="1" m="1" x="344"/>
        <item h="1" m="1" x="2296"/>
        <item h="1" m="1" x="401"/>
        <item h="1" m="1" x="2356"/>
        <item h="1" m="1" x="461"/>
        <item h="1" m="1" x="2416"/>
        <item h="1" m="1" x="518"/>
        <item h="1" m="1" x="2476"/>
        <item h="1" m="1" x="575"/>
        <item h="1" m="1" x="2535"/>
        <item h="1" m="1" x="635"/>
        <item h="1" m="1" x="2593"/>
        <item h="1" m="1" x="694"/>
        <item h="1" m="1" x="2651"/>
        <item h="1" m="1" x="753"/>
        <item h="1" m="1" x="2712"/>
        <item h="1" m="1" x="810"/>
        <item h="1" m="1" x="2770"/>
        <item h="1" m="1" x="866"/>
        <item h="1" m="1" x="2828"/>
        <item h="1" m="1" x="924"/>
        <item h="1" m="1" x="2886"/>
        <item h="1" m="1" x="983"/>
        <item h="1" m="1" x="2943"/>
        <item h="1" m="1" x="1042"/>
        <item h="1" m="1" x="3000"/>
        <item h="1" m="1" x="1101"/>
        <item h="1" m="1" x="3059"/>
        <item h="1" m="1" x="1161"/>
        <item h="1" m="1" x="3117"/>
        <item h="1" m="1" x="1220"/>
        <item h="1" m="1" x="3176"/>
        <item h="1" m="1" x="1279"/>
        <item h="1" m="1" x="3234"/>
        <item h="1" m="1" x="1336"/>
        <item h="1" m="1" x="3294"/>
        <item h="1" m="1" x="1395"/>
        <item h="1" m="1" x="3353"/>
        <item h="1" m="1" x="1454"/>
        <item h="1" m="1" x="3410"/>
        <item h="1" m="1" x="1514"/>
        <item h="1" m="1" x="3469"/>
        <item h="1" m="1" x="1575"/>
        <item h="1" m="1" x="3529"/>
        <item h="1" m="1" x="1634"/>
        <item h="1" m="1" x="3590"/>
        <item h="1" m="1" x="1693"/>
        <item h="1" m="1" x="3651"/>
        <item h="1" m="1" x="1754"/>
        <item h="1" m="1" x="3711"/>
        <item h="1" m="1" x="1814"/>
        <item h="1" m="1" x="3771"/>
        <item h="1" m="1" x="1875"/>
        <item h="1" m="1" x="3830"/>
        <item h="1" m="1" x="1935"/>
        <item h="1" m="1" x="42"/>
        <item h="1" m="1" x="1994"/>
        <item h="1" m="1" x="103"/>
        <item h="1" m="1" x="2055"/>
        <item h="1" m="1" x="163"/>
        <item h="1" m="1" x="2114"/>
        <item h="1" m="1" x="223"/>
        <item h="1" m="1" x="2172"/>
        <item h="1" m="1" x="284"/>
        <item h="1" m="1" x="2234"/>
        <item h="1" m="1" x="342"/>
        <item h="1" m="1" x="2295"/>
        <item h="1" m="1" x="399"/>
        <item h="1" m="1" x="2355"/>
        <item h="1" m="1" x="3328"/>
        <item h="1" m="1" x="459"/>
        <item h="1" m="1" x="1428"/>
        <item h="1" m="1" x="2414"/>
        <item h="1" m="1" x="3384"/>
        <item h="1" m="1" x="515"/>
        <item h="1" m="1" x="1487"/>
        <item h="1" m="1" x="2474"/>
        <item h="1" m="1" x="3444"/>
        <item h="1" m="1" x="573"/>
        <item h="1" m="1" x="1548"/>
        <item h="1" m="1" x="2534"/>
        <item h="1" m="1" x="3504"/>
        <item h="1" m="1" x="633"/>
        <item h="1" m="1" x="1609"/>
        <item h="1" m="1" x="2592"/>
        <item h="1" m="1" x="3566"/>
        <item h="1" m="1" x="692"/>
        <item h="1" m="1" x="1667"/>
        <item h="1" m="1" x="2649"/>
        <item h="1" m="1" x="3626"/>
        <item h="1" m="1" x="751"/>
        <item h="1" m="1" x="1728"/>
        <item h="1" m="1" x="2711"/>
        <item h="1" m="1" x="3686"/>
        <item h="1" m="1" x="808"/>
        <item h="1" m="1" x="1787"/>
        <item h="1" m="1" x="2769"/>
        <item h="1" m="1" x="3745"/>
        <item h="1" m="1" x="864"/>
        <item h="1" m="1" x="1849"/>
        <item h="1" m="1" x="2827"/>
        <item h="1" m="1" x="3805"/>
        <item h="1" m="1" x="922"/>
        <item h="1" m="1" x="1908"/>
        <item h="1" m="1" x="2884"/>
        <item h="1" m="1" x="3862"/>
        <item h="1" m="1" x="980"/>
        <item h="1" m="1" x="1967"/>
        <item h="1" m="1" x="2942"/>
        <item h="1" m="1" x="76"/>
        <item h="1" m="1" x="1039"/>
        <item h="1" m="1" x="2026"/>
        <item h="1" m="1" x="2999"/>
        <item h="1" m="1" x="136"/>
        <item h="1" m="1" x="1099"/>
        <item h="1" m="1" x="2088"/>
        <item h="1" m="1" x="3058"/>
        <item h="1" m="1" x="197"/>
        <item h="1" m="1" x="1159"/>
        <item h="1" m="1" x="2146"/>
        <item h="1" m="1" x="3115"/>
        <item h="1" m="1" x="257"/>
        <item h="1" m="1" x="1218"/>
        <item h="1" m="1" x="2207"/>
        <item h="1" m="1" x="3175"/>
        <item h="1" m="1" x="318"/>
        <item h="1" m="1" x="1277"/>
        <item h="1" m="1" x="2266"/>
        <item h="1" m="1" x="3233"/>
        <item h="1" m="1" x="374"/>
        <item h="1" m="1" x="1334"/>
        <item h="1" m="1" x="2328"/>
        <item h="1" m="1" x="3293"/>
        <item h="1" m="1" x="434"/>
        <item h="1" m="1" x="1393"/>
        <item h="1" m="1" x="2387"/>
        <item h="1" m="1" x="3351"/>
        <item h="1" m="1" x="490"/>
        <item h="1" m="1" x="1451"/>
        <item h="1" m="1" x="2446"/>
        <item h="1" m="1" x="3409"/>
        <item h="1" m="1" x="549"/>
        <item h="1" m="1" x="1512"/>
        <item h="1" m="1" x="2507"/>
        <item h="1" m="1" x="3468"/>
        <item h="1" m="1" x="605"/>
        <item h="1" m="1" x="1573"/>
        <item h="1" m="1" x="2567"/>
        <item h="1" m="1" x="3528"/>
        <item h="1" m="1" x="666"/>
        <item h="1" m="1" x="1632"/>
        <item h="1" m="1" x="2623"/>
        <item h="1" m="1" x="3588"/>
        <item h="1" m="1" x="725"/>
        <item h="1" m="1" x="1691"/>
        <item h="1" m="1" x="2684"/>
        <item h="1" m="1" x="3650"/>
        <item h="1" m="1" x="785"/>
        <item h="1" m="1" x="1752"/>
        <item h="1" m="1" x="2742"/>
        <item h="1" m="1" x="3710"/>
        <item h="1" m="1" x="840"/>
        <item h="1" m="1" x="1812"/>
        <item h="1" m="1" x="2802"/>
        <item h="1" m="1" x="3770"/>
        <item h="1" m="1" x="897"/>
        <item h="1" m="1" x="1873"/>
        <item h="1" m="1" x="2858"/>
        <item h="1" m="1" x="3828"/>
        <item h="1" m="1" x="954"/>
        <item h="1" m="1" x="1932"/>
        <item h="1" m="1" x="2917"/>
        <item h="1" m="1" x="41"/>
        <item h="1" m="1" x="1014"/>
        <item h="1" m="1" x="1992"/>
        <item h="1" m="1" x="2973"/>
        <item h="1" m="1" x="102"/>
        <item h="1" m="1" x="1073"/>
        <item h="1" m="1" x="2053"/>
        <item h="1" m="1" x="3032"/>
        <item h="1" m="1" x="162"/>
        <item h="1" m="1" x="1134"/>
        <item h="1" m="1" x="2112"/>
        <item h="1" m="1" x="3090"/>
        <item h="1" m="1" x="221"/>
        <item h="1" m="1" x="1193"/>
        <item h="1" m="1" x="2170"/>
        <item h="1" m="1" x="3150"/>
        <item h="1" m="1" x="283"/>
        <item h="1" m="1" x="1252"/>
        <item h="1" m="1" x="2232"/>
        <item h="1" m="1" x="3207"/>
        <item h="1" m="1" x="341"/>
        <item h="1" m="1" x="1308"/>
        <item h="1" m="1" x="2293"/>
        <item h="1" m="1" x="3267"/>
        <item h="1" m="1" x="398"/>
        <item h="1" m="1" x="1368"/>
        <item h="1" m="1" x="2353"/>
        <item h="1" m="1" x="3325"/>
        <item h="1" m="1" x="457"/>
        <item h="1" m="1" x="1424"/>
        <item h="1" m="1" x="2411"/>
        <item h="1" m="1" x="3382"/>
        <item h="1" m="1" x="514"/>
        <item h="1" m="1" x="1485"/>
        <item h="1" m="1" x="2472"/>
        <item h="1" m="1" x="3441"/>
        <item h="1" m="1" x="572"/>
        <item h="1" m="1" x="1546"/>
        <item h="1" m="1" x="2532"/>
        <item h="1" m="1" x="3502"/>
        <item h="1" m="1" x="632"/>
        <item h="1" m="1" x="1607"/>
        <item h="1" m="1" x="2590"/>
        <item h="1" m="1" x="3563"/>
        <item h="1" m="1" x="690"/>
        <item h="1" m="1" x="1665"/>
        <item h="1" m="1" x="2647"/>
        <item h="1" m="1" x="3624"/>
        <item h="1" m="1" x="750"/>
        <item h="1" m="1" x="1726"/>
        <item h="1" m="1" x="2709"/>
        <item h="1" m="1" x="3683"/>
        <item h="1" m="1" x="807"/>
        <item h="1" m="1" x="1785"/>
        <item h="1" m="1" x="2767"/>
        <item h="1" m="1" x="3743"/>
        <item h="1" m="1" x="863"/>
        <item h="1" m="1" x="1846"/>
        <item h="1" m="1" x="2825"/>
        <item h="1" m="1" x="3802"/>
        <item h="1" m="1" x="919"/>
        <item h="1" m="1" x="1904"/>
        <item h="1" m="1" x="2881"/>
        <item h="1" m="1" x="3859"/>
        <item h="1" m="1" x="978"/>
        <item h="1" m="1" x="1965"/>
        <item h="1" m="1" x="2940"/>
        <item h="1" m="1" x="73"/>
        <item h="1" m="1" x="1038"/>
        <item h="1" m="1" x="2024"/>
        <item h="1" m="1" x="2997"/>
        <item h="1" m="1" x="134"/>
        <item h="1" m="1" x="1098"/>
        <item h="1" m="1" x="2086"/>
        <item h="1" m="1" x="3056"/>
        <item h="1" m="1" x="194"/>
        <item h="1" m="1" x="1157"/>
        <item h="1" m="1" x="2144"/>
        <item h="1" m="1" x="3113"/>
        <item h="1" m="1" x="255"/>
        <item h="1" m="1" x="1217"/>
        <item h="1" m="1" x="2205"/>
        <item h="1" m="1" x="3173"/>
        <item h="1" m="1" x="315"/>
        <item h="1" m="1" x="1276"/>
        <item h="1" m="1" x="2264"/>
        <item h="1" m="1" x="3231"/>
        <item h="1" m="1" x="372"/>
        <item h="1" m="1" x="1333"/>
        <item h="1" m="1" x="2326"/>
        <item h="1" m="1" x="3291"/>
        <item h="1" m="1" x="431"/>
        <item h="1" m="1" x="1391"/>
        <item h="1" m="1" x="2384"/>
        <item h="1" m="1" x="3348"/>
        <item h="1" m="1" x="488"/>
        <item h="1" m="1" x="1450"/>
        <item h="1" m="1" x="2444"/>
        <item h="1" m="1" x="3407"/>
        <item h="1" m="1" x="546"/>
        <item h="1" m="1" x="1511"/>
        <item h="1" m="1" x="2505"/>
        <item h="1" m="1" x="3466"/>
        <item h="1" m="1" x="603"/>
        <item h="1" m="1" x="1572"/>
        <item h="1" m="1" x="2565"/>
        <item h="1" m="1" x="3526"/>
        <item h="1" m="1" x="663"/>
        <item h="1" m="1" x="1630"/>
        <item h="1" m="1" x="2621"/>
        <item h="1" m="1" x="3586"/>
        <item h="1" m="1" x="723"/>
        <item h="1" m="1" x="1690"/>
        <item h="1" m="1" x="2682"/>
        <item h="1" m="1" x="3648"/>
        <item h="1" m="1" x="782"/>
        <item h="1" m="1" x="1751"/>
        <item h="1" m="1" x="2740"/>
        <item h="1" m="1" x="3708"/>
        <item h="1" m="1" x="838"/>
        <item h="1" m="1" x="1811"/>
        <item h="1" m="1" x="2800"/>
        <item h="1" m="1" x="3768"/>
        <item h="1" m="1" x="894"/>
        <item h="1" m="1" x="1871"/>
        <item h="1" m="1" x="2855"/>
        <item h="1" m="1" x="3825"/>
        <item h="1" m="1" x="952"/>
        <item h="1" m="1" x="1931"/>
        <item h="1" m="1" x="2914"/>
        <item h="1" m="1" x="39"/>
        <item h="1" m="1" x="1011"/>
        <item h="1" m="1" x="1991"/>
        <item h="1" m="1" x="2971"/>
        <item h="1" m="1" x="100"/>
        <item h="1" m="1" x="1071"/>
        <item h="1" m="1" x="2052"/>
        <item h="1" m="1" x="3030"/>
        <item h="1" m="1" x="160"/>
        <item h="1" m="1" x="1131"/>
        <item h="1" m="1" x="2110"/>
        <item h="1" m="1" x="3088"/>
        <item h="1" m="1" x="219"/>
        <item h="1" m="1" x="1191"/>
        <item h="1" m="1" x="2169"/>
        <item h="1" m="1" x="3148"/>
        <item h="1" m="1" x="281"/>
        <item h="1" m="1" x="1249"/>
        <item h="1" m="1" x="2231"/>
        <item h="1" m="1" x="3205"/>
        <item h="1" m="1" x="339"/>
        <item h="1" m="1" x="1306"/>
        <item h="1" m="1" x="2292"/>
        <item h="1" m="1" x="3265"/>
        <item h="1" m="1" x="396"/>
        <item h="1" m="1" x="1365"/>
        <item h="1" m="1" x="2351"/>
        <item h="1" m="1" x="3322"/>
        <item h="1" m="1" x="454"/>
        <item h="1" m="1" x="1422"/>
        <item h="1" m="1" x="2409"/>
        <item h="1" m="1" x="3380"/>
        <item h="1" m="1" x="512"/>
        <item h="1" m="1" x="1482"/>
        <item h="1" m="1" x="2471"/>
        <item h="1" m="1" x="3439"/>
        <item h="1" m="1" x="570"/>
        <item h="1" m="1" x="1544"/>
        <item h="1" m="1" x="2531"/>
        <item h="1" m="1" x="3500"/>
        <item h="1" m="1" x="630"/>
        <item h="1" m="1" x="1604"/>
        <item h="1" m="1" x="2588"/>
        <item h="1" m="1" x="3561"/>
        <item h="1" m="1" x="688"/>
        <item h="1" m="1" x="1663"/>
        <item h="1" m="1" x="2646"/>
        <item h="1" m="1" x="3622"/>
        <item h="1" m="1" x="748"/>
        <item h="1" m="1" x="1723"/>
        <item h="1" m="1" x="2708"/>
        <item h="1" m="1" x="3681"/>
        <item h="1" m="1" x="805"/>
        <item h="1" m="1" x="1783"/>
        <item h="1" m="1" x="2766"/>
        <item h="1" m="1" x="3740"/>
        <item h="1" m="1" x="861"/>
        <item h="1" m="1" x="1842"/>
        <item h="1" m="1" x="2822"/>
        <item h="1" m="1" x="3799"/>
        <item h="1" m="1" x="916"/>
        <item h="1" m="1" x="1901"/>
        <item h="1" m="1" x="2879"/>
        <item h="1" m="1" x="3857"/>
        <item h="1" m="1" x="976"/>
        <item h="1" m="1" x="1962"/>
        <item h="1" m="1" x="2939"/>
        <item h="1" m="1" x="71"/>
        <item h="1" m="1" x="1036"/>
        <item h="1" m="1" x="2022"/>
        <item h="1" m="1" x="2996"/>
        <item h="1" m="1" x="132"/>
        <item h="1" m="1" x="1096"/>
        <item h="1" m="1" x="2083"/>
        <item h="1" m="1" x="3054"/>
        <item h="1" m="1" x="192"/>
        <item h="1" m="1" x="1155"/>
        <item h="1" m="1" x="2142"/>
        <item h="1" m="1" x="3112"/>
        <item h="1" m="1" x="253"/>
        <item h="1" m="1" x="1215"/>
        <item h="1" m="1" x="2202"/>
        <item h="1" m="1" x="3172"/>
        <item h="1" m="1" x="313"/>
        <item h="1" m="1" x="1274"/>
        <item h="1" m="1" x="2262"/>
        <item h="1" m="1" x="3230"/>
        <item h="1" m="1" x="370"/>
        <item h="1" m="1" x="1331"/>
        <item h="1" m="1" x="2323"/>
        <item h="1" m="1" x="3289"/>
        <item h="1" m="1" x="427"/>
        <item h="1" m="1" x="1388"/>
        <item h="1" m="1" x="2381"/>
        <item h="1" m="1" x="3347"/>
        <item h="1" m="1" x="486"/>
        <item h="1" m="1" x="1448"/>
        <item h="1" m="1" x="2441"/>
        <item h="1" m="1" x="3406"/>
        <item h="1" m="1" x="544"/>
        <item h="1" m="1" x="1509"/>
        <item h="1" m="1" x="2503"/>
        <item h="1" m="1" x="3465"/>
        <item h="1" m="1" x="601"/>
        <item h="1" m="1" x="1570"/>
        <item h="1" m="1" x="2562"/>
        <item h="1" m="1" x="3524"/>
        <item h="1" m="1" x="661"/>
        <item h="1" m="1" x="1628"/>
        <item h="1" m="1" x="2619"/>
        <item h="1" m="1" x="3585"/>
        <item h="1" m="1" x="721"/>
        <item h="1" m="1" x="1688"/>
        <item h="1" m="1" x="2679"/>
        <item h="1" m="1" x="3647"/>
        <item h="1" m="1" x="780"/>
        <item h="1" m="1" x="1749"/>
        <item h="1" m="1" x="2738"/>
        <item h="1" m="1" x="3707"/>
        <item h="1" m="1" x="836"/>
        <item h="1" m="1" x="1809"/>
        <item h="1" m="1" x="2797"/>
        <item h="1" m="1" x="3766"/>
        <item h="1" m="1" x="891"/>
        <item h="1" m="1" x="1868"/>
        <item h="1" m="1" x="2853"/>
        <item h="1" m="1" x="3824"/>
        <item h="1" m="1" x="950"/>
        <item h="1" m="1" x="1929"/>
        <item h="1" m="1" x="2911"/>
        <item h="1" m="1" x="38"/>
        <item h="1" m="1" x="1009"/>
        <item h="1" m="1" x="1989"/>
        <item h="1" m="1" x="2969"/>
        <item h="1" m="1" x="99"/>
        <item h="1" m="1" x="1069"/>
        <item h="1" m="1" x="2050"/>
        <item h="1" m="1" x="3027"/>
        <item h="1" m="1" x="158"/>
        <item h="1" m="1" x="1129"/>
        <item h="1" m="1" x="2108"/>
        <item h="1" m="1" x="3086"/>
        <item h="1" m="1" x="218"/>
        <item h="1" m="1" x="1189"/>
        <item h="1" m="1" x="2167"/>
        <item h="1" m="1" x="3145"/>
        <item h="1" m="1" x="280"/>
        <item h="1" m="1" x="1247"/>
        <item h="1" m="1" x="2229"/>
        <item h="1" m="1" x="3203"/>
        <item h="1" m="1" x="338"/>
        <item h="1" m="1" x="1304"/>
        <item h="1" m="1" x="2290"/>
        <item h="1" m="1" x="3262"/>
        <item h="1" m="1" x="394"/>
        <item h="1" m="1" x="1362"/>
        <item h="1" m="1" x="2348"/>
        <item h="1" m="1" x="3320"/>
        <item h="1" m="1" x="453"/>
        <item h="1" m="1" x="1420"/>
        <item h="1" m="1" x="2407"/>
        <item h="1" m="1" x="3377"/>
        <item h="1" m="1" x="511"/>
        <item h="1" m="1" x="1480"/>
        <item h="1" m="1" x="2469"/>
        <item h="1" m="1" x="3437"/>
        <item h="1" m="1" x="569"/>
        <item h="1" m="1" x="1542"/>
        <item h="1" m="1" x="2529"/>
        <item h="1" m="1" x="3497"/>
        <item h="1" m="1" x="628"/>
        <item h="1" m="1" x="1602"/>
        <item h="1" m="1" x="2586"/>
        <item h="1" m="1" x="3559"/>
        <item h="1" m="1" x="686"/>
        <item h="1" m="1" x="1661"/>
        <item h="1" m="1" x="2644"/>
        <item h="1" m="1" x="3619"/>
        <item h="1" m="1" x="747"/>
        <item h="1" m="1" x="1721"/>
        <item h="1" m="1" x="2706"/>
        <item h="1" m="1" x="3678"/>
        <item h="1" m="1" x="804"/>
        <item h="1" m="1" x="1780"/>
        <item h="1" m="1" x="2763"/>
        <item h="1" m="1" x="3737"/>
        <item h="1" m="1" x="859"/>
        <item h="1" m="1" x="1839"/>
        <item h="1" m="1" x="2820"/>
        <item h="1" m="1" x="3796"/>
        <item h="1" m="1" x="915"/>
        <item h="1" m="1" x="1899"/>
        <item h="1" m="1" x="2877"/>
        <item h="1" m="1" x="3854"/>
        <item h="1" m="1" x="975"/>
        <item h="1" m="1" x="1960"/>
        <item h="1" m="1" x="2937"/>
        <item h="1" m="1" x="69"/>
        <item h="1" m="1" x="1035"/>
        <item h="1" m="1" x="2020"/>
        <item h="1" m="1" x="2994"/>
        <item h="1" m="1" x="129"/>
        <item h="1" m="1" x="1094"/>
        <item h="1" m="1" x="2081"/>
        <item h="1" m="1" x="3052"/>
        <item h="1" m="1" x="190"/>
        <item h="1" m="1" x="1154"/>
        <item h="1" m="1" x="2140"/>
        <item h="1" m="1" x="3110"/>
        <item h="1" m="1" x="250"/>
        <item h="1" m="1" x="1214"/>
        <item h="1" m="1" x="2200"/>
        <item h="1" m="1" x="3170"/>
        <item h="1" m="1" x="311"/>
        <item h="1" m="1" x="1273"/>
        <item h="1" m="1" x="2260"/>
        <item h="1" m="1" x="3228"/>
        <item h="1" m="1" x="367"/>
        <item h="1" m="1" x="1329"/>
        <item h="1" m="1" x="2320"/>
        <item h="1" m="1" x="3286"/>
        <item h="1" m="1" x="425"/>
        <item h="1" m="1" x="1387"/>
        <item h="1" m="1" x="2379"/>
        <item h="1" m="1" x="3345"/>
        <item h="1" m="1" x="483"/>
        <item h="1" m="1" x="1447"/>
        <item h="1" m="1" x="2439"/>
        <item h="1" m="1" x="3404"/>
        <item h="1" m="1" x="542"/>
        <item h="1" m="1" x="1508"/>
        <item h="1" m="1" x="2501"/>
        <item h="1" m="1" x="3463"/>
        <item h="1" m="1" x="598"/>
        <item h="1" m="1" x="1568"/>
        <item h="1" m="1" x="2560"/>
        <item h="1" m="1" x="3522"/>
        <item h="1" m="1" x="659"/>
        <item h="1" m="1" x="1627"/>
        <item h="1" m="1" x="2617"/>
        <item h="1" m="1" x="3583"/>
        <item h="1" m="1" x="718"/>
        <item h="1" m="1" x="1687"/>
        <item h="1" m="1" x="2677"/>
        <item h="1" m="1" x="3645"/>
        <item h="1" m="1" x="778"/>
        <item h="1" m="1" x="1748"/>
        <item h="1" m="1" x="2736"/>
        <item h="1" m="1" x="3705"/>
        <item h="1" m="1" x="833"/>
        <item h="1" m="1" x="1807"/>
        <item h="1" m="1" x="2794"/>
        <item h="1" m="1" x="3763"/>
        <item h="1" m="1" x="889"/>
        <item h="1" m="1" x="1867"/>
        <item h="1" m="1" x="2851"/>
        <item h="1" m="1" x="3822"/>
        <item h="1" m="1" x="947"/>
        <item h="1" m="1" x="1928"/>
        <item h="1" m="1" x="2909"/>
        <item h="1" m="1" x="36"/>
        <item h="1" m="1" x="1007"/>
        <item h="1" m="1" x="1988"/>
        <item h="1" m="1" x="2967"/>
        <item h="1" m="1" x="97"/>
        <item h="1" m="1" x="1066"/>
        <item h="1" m="1" x="2048"/>
        <item h="1" m="1" x="3025"/>
        <item h="1" m="1" x="156"/>
        <item h="1" m="1" x="1127"/>
        <item h="1" m="1" x="2107"/>
        <item h="1" m="1" x="3084"/>
        <item h="1" m="1" x="216"/>
        <item h="1" m="1" x="1186"/>
        <item h="1" m="1" x="2166"/>
        <item h="1" m="1" x="3143"/>
        <item h="1" m="1" x="278"/>
        <item h="1" m="1" x="1245"/>
        <item h="1" m="1" x="2228"/>
        <item h="1" m="1" x="3201"/>
        <item h="1" m="1" x="336"/>
        <item h="1" m="1" x="1301"/>
        <item h="1" m="1" x="2288"/>
        <item h="1" m="1" x="3259"/>
        <item h="1" m="1" x="391"/>
        <item h="1" m="1" x="1360"/>
        <item h="1" m="1" x="2346"/>
        <item h="1" m="1" x="3318"/>
        <item h="1" m="1" x="451"/>
        <item h="1" m="1" x="1417"/>
        <item h="1" m="1" x="2406"/>
        <item h="1" m="1" x="3375"/>
        <item h="1" m="1" x="509"/>
        <item h="1" m="1" x="1478"/>
        <item h="1" m="1" x="2468"/>
        <item h="1" m="1" x="3435"/>
        <item h="1" m="1" x="567"/>
        <item h="1" m="1" x="1539"/>
        <item h="1" m="1" x="2527"/>
        <item h="1" m="1" x="3495"/>
        <item h="1" m="1" x="625"/>
        <item h="1" m="1" x="1600"/>
        <item h="1" m="1" x="2585"/>
        <item h="1" m="1" x="3557"/>
        <item h="1" m="1" x="684"/>
        <item h="1" m="1" x="1658"/>
        <item h="1" m="1" x="2643"/>
        <item h="1" m="1" x="3616"/>
        <item h="1" m="1" x="744"/>
        <item h="1" m="1" x="1719"/>
        <item h="1" m="1" x="2704"/>
        <item h="1" m="1" x="3676"/>
        <item h="1" m="1" x="802"/>
        <item h="1" m="1" x="1777"/>
        <item h="1" m="1" x="2761"/>
        <item h="1" m="1" x="3734"/>
        <item h="1" m="1" x="857"/>
        <item h="1" m="1" x="1836"/>
        <item h="1" m="1" x="2819"/>
        <item h="1" m="1" x="3794"/>
        <item h="1" m="1" x="913"/>
        <item h="1" m="1" x="1896"/>
        <item h="1" m="1" x="2876"/>
        <item h="1" m="1" x="3852"/>
        <item h="1" m="1" x="973"/>
        <item h="1" m="1" x="1958"/>
        <item h="1" m="1" x="2936"/>
        <item h="1" m="1" x="67"/>
        <item h="1" m="1" x="1033"/>
        <item h="1" m="1" x="2017"/>
        <item h="1" m="1" x="2992"/>
        <item h="1" m="1" x="127"/>
        <item h="1" m="1" x="1092"/>
        <item h="1" m="1" x="2079"/>
        <item h="1" m="1" x="3051"/>
        <item h="1" m="1" x="188"/>
        <item h="1" m="1" x="1152"/>
        <item h="1" m="1" x="2137"/>
        <item h="1" m="1" x="3109"/>
        <item h="1" m="1" x="248"/>
        <item h="1" m="1" x="1212"/>
        <item h="1" m="1" x="2198"/>
        <item h="1" m="1" x="3169"/>
        <item h="1" m="1" x="309"/>
        <item h="1" m="1" x="1271"/>
        <item h="1" m="1" x="2257"/>
        <item h="1" m="1" x="3226"/>
        <item h="1" m="1" x="364"/>
        <item h="1" m="1" x="1326"/>
        <item h="1" m="1" x="2317"/>
        <item h="1" m="1" x="3285"/>
        <item h="1" m="1" x="423"/>
        <item h="1" m="1" x="1385"/>
        <item h="1" m="1" x="2376"/>
        <item h="1" m="1" x="3344"/>
        <item h="1" m="1" x="481"/>
        <item h="1" m="1" x="1445"/>
        <item h="1" m="1" x="2437"/>
        <item h="1" m="1" x="3403"/>
        <item h="1" m="1" x="540"/>
        <item h="1" m="1" x="1506"/>
        <item h="1" m="1" x="2498"/>
        <item h="1" m="1" x="3461"/>
        <item h="1" m="1" x="596"/>
        <item h="1" m="1" x="1566"/>
        <item h="1" m="1" x="2558"/>
        <item h="1" m="1" x="3521"/>
        <item h="1" m="1" x="657"/>
        <item h="1" m="1" x="1625"/>
        <item h="1" m="1" x="2614"/>
        <item h="1" m="1" x="3582"/>
        <item h="1" m="1" x="716"/>
        <item h="1" m="1" x="1685"/>
        <item h="1" m="1" x="2675"/>
        <item h="1" m="1" x="3644"/>
        <item h="1" m="1" x="776"/>
        <item h="1" m="1" x="1746"/>
        <item h="1" m="1" x="2733"/>
        <item h="1" m="1" x="3703"/>
        <item h="1" m="1" x="830"/>
        <item h="1" m="1" x="1804"/>
        <item h="1" m="1" x="2792"/>
        <item h="1" m="1" x="3762"/>
        <item h="1" m="1" x="887"/>
        <item h="1" m="1" x="1865"/>
        <item h="1" m="1" x="2848"/>
        <item h="1" m="1" x="3821"/>
        <item h="1" m="1" x="945"/>
        <item h="1" m="1" x="1926"/>
        <item h="1" m="1" x="2907"/>
        <item h="1" m="1" x="35"/>
        <item h="1" m="1" x="1005"/>
        <item h="1" m="1" x="1986"/>
        <item h="1" m="1" x="2964"/>
        <item h="1" m="1" x="95"/>
        <item h="1" m="1" x="1064"/>
        <item h="1" m="1" x="2046"/>
        <item h="1" m="1" x="3023"/>
        <item h="1" m="1" x="155"/>
        <item h="1" m="1" x="1125"/>
        <item h="1" m="1" x="2105"/>
        <item h="1" m="1" x="3081"/>
        <item h="1" m="1" x="215"/>
        <item h="1" m="1" x="1184"/>
        <item h="1" m="1" x="2164"/>
        <item h="1" m="1" x="3141"/>
        <item h="1" m="1" x="277"/>
        <item h="1" m="1" x="1243"/>
        <item h="1" m="1" x="2226"/>
        <item h="1" m="1" x="3198"/>
        <item h="1" m="1" x="334"/>
        <item h="1" m="1" x="1298"/>
        <item h="1" m="1" x="2285"/>
        <item h="1" m="1" x="3257"/>
        <item h="1" m="1" x="390"/>
        <item h="1" m="1" x="1358"/>
        <item h="1" m="1" x="2344"/>
        <item h="1" m="1" x="3315"/>
        <item h="1" m="1" x="450"/>
        <item h="1" m="1" x="1415"/>
        <item h="1" m="1" x="2404"/>
        <item h="1" m="1" x="3373"/>
        <item h="1" m="1" x="508"/>
        <item h="1" m="1" x="1476"/>
        <item h="1" m="1" x="2466"/>
        <item h="1" m="1" x="3432"/>
        <item h="1" m="1" x="565"/>
        <item h="1" m="1" x="1537"/>
        <item h="1" m="1" x="2525"/>
        <item h="1" m="1" x="3493"/>
        <item h="1" m="1" x="624"/>
        <item h="1" m="1" x="1598"/>
        <item h="1" m="1" x="2583"/>
        <item h="1" m="1" x="3553"/>
        <item h="1" m="1" x="682"/>
        <item h="1" m="1" x="1656"/>
        <item h="1" m="1" x="2640"/>
        <item h="1" m="1" x="3613"/>
        <item h="1" m="1" x="742"/>
        <item h="1" m="1" x="1717"/>
        <item h="1" m="1" x="2702"/>
        <item h="1" m="1" x="3673"/>
        <item h="1" m="1" x="800"/>
        <item h="1" m="1" x="1774"/>
        <item h="1" m="1" x="2759"/>
        <item h="1" m="1" x="3731"/>
        <item h="1" m="1" x="856"/>
        <item h="1" m="1" x="1834"/>
        <item h="1" m="1" x="2817"/>
        <item h="1" m="1" x="3791"/>
        <item h="1" m="1" x="912"/>
        <item h="1" m="1" x="1894"/>
        <item h="1" m="1" x="2874"/>
        <item h="1" m="1" x="3850"/>
        <item h="1" m="1" x="972"/>
        <item h="1" m="1" x="1956"/>
        <item h="1" m="1" x="2934"/>
        <item h="1" m="1" x="64"/>
        <item h="1" m="1" x="1031"/>
        <item h="1" m="1" x="2015"/>
        <item h="1" m="1" x="2990"/>
        <item h="1" m="1" x="125"/>
        <item h="1" m="1" x="1091"/>
        <item h="1" m="1" x="2077"/>
        <item h="1" m="1" x="3049"/>
        <item h="1" m="1" x="185"/>
        <item h="1" m="1" x="1151"/>
        <item h="1" m="1" x="2135"/>
        <item h="1" m="1" x="3107"/>
        <item h="1" m="1" x="246"/>
        <item h="1" m="1" x="1211"/>
        <item h="1" m="1" x="2196"/>
        <item h="1" m="1" x="3167"/>
        <item h="1" m="1" x="306"/>
        <item h="1" m="1" x="1269"/>
        <item h="1" m="1" x="2254"/>
        <item h="1" m="1" x="3223"/>
        <item h="1" m="1" x="362"/>
        <item h="1" m="1" x="1325"/>
        <item h="1" m="1" x="2315"/>
        <item h="1" m="1" x="3282"/>
        <item h="1" m="1" x="419"/>
        <item h="1" m="1" x="1384"/>
        <item h="1" m="1" x="2374"/>
        <item h="1" m="1" x="3342"/>
        <item h="1" m="1" x="479"/>
        <item h="1" m="1" x="1444"/>
        <item h="1" m="1" x="2435"/>
        <item h="1" m="1" x="3401"/>
        <item h="1" m="1" x="537"/>
        <item h="1" m="1" x="1504"/>
        <item h="1" m="1" x="2496"/>
        <item h="1" m="1" x="3459"/>
        <item h="1" m="1" x="594"/>
        <item h="1" m="1" x="1565"/>
        <item h="1" m="1" x="2556"/>
        <item h="1" m="1" x="3519"/>
        <item h="1" m="1" x="654"/>
        <item h="1" m="1" x="1624"/>
        <item h="1" m="1" x="2612"/>
        <item h="1" m="1" x="3580"/>
        <item h="1" m="1" x="714"/>
        <item h="1" m="1" x="1684"/>
        <item h="1" m="1" x="2673"/>
        <item h="1" m="1" x="3642"/>
        <item h="1" m="1" x="773"/>
        <item h="1" m="1" x="1744"/>
        <item h="1" m="1" x="2730"/>
        <item h="1" m="1" x="3700"/>
        <item h="1" m="1" x="828"/>
        <item h="1" m="1" x="1803"/>
        <item h="1" m="1" x="2789"/>
        <item h="1" m="1" x="3759"/>
        <item h="1" m="1" x="884"/>
        <item h="1" m="1" x="1864"/>
        <item h="1" m="1" x="2846"/>
        <item h="1" m="1" x="3819"/>
        <item h="1" m="1" x="943"/>
        <item h="1" m="1" x="1925"/>
        <item h="1" m="1" x="2905"/>
        <item h="1" m="1" x="33"/>
        <item h="1" m="1" x="1002"/>
        <item h="1" m="1" x="1984"/>
        <item h="1" m="1" x="2962"/>
        <item h="1" m="1" x="93"/>
        <item h="1" m="1" x="1062"/>
        <item h="1" m="1" x="2045"/>
        <item h="1" m="1" x="3021"/>
        <item h="1" m="1" x="153"/>
        <item h="1" m="1" x="1122"/>
        <item h="1" m="1" x="2104"/>
        <item h="1" m="1" x="3079"/>
        <item h="1" m="1" x="213"/>
        <item h="1" m="1" x="1182"/>
        <item h="1" m="1" x="2163"/>
        <item h="1" m="1" x="3139"/>
        <item h="1" m="1" x="275"/>
        <item h="1" m="1" x="1240"/>
        <item h="1" m="1" x="2224"/>
        <item h="1" m="1" x="3195"/>
        <item h="1" m="1" x="331"/>
        <item h="1" m="1" x="1296"/>
        <item h="1" m="1" x="2283"/>
        <item h="1" m="1" x="3254"/>
        <item h="1" m="1" x="388"/>
        <item h="1" m="1" x="1355"/>
        <item h="1" m="1" x="2343"/>
        <item h="1" m="1" x="3313"/>
        <item h="1" m="1" x="448"/>
        <item h="1" m="1" x="1413"/>
        <item h="1" m="1" x="2403"/>
        <item h="1" m="1" x="3371"/>
        <item h="1" m="1" x="506"/>
        <item h="1" m="1" x="1472"/>
        <item h="1" m="1" x="2464"/>
        <item h="1" m="1" x="3430"/>
        <item h="1" m="1" x="563"/>
        <item h="1" m="1" x="1534"/>
        <item h="1" m="1" x="2524"/>
        <item h="1" m="1" x="3490"/>
        <item h="1" m="1" x="621"/>
        <item h="1" m="1" x="1594"/>
        <item h="1" m="1" x="2582"/>
        <item h="1" m="1" x="3550"/>
        <item h="1" m="1" x="679"/>
        <item h="1" m="1" x="1654"/>
        <item h="1" m="1" x="2639"/>
        <item h="1" m="1" x="3611"/>
        <item h="1" m="1" x="740"/>
        <item h="1" m="1" x="1714"/>
        <item h="1" m="1" x="2700"/>
        <item h="1" m="1" x="3670"/>
        <item h="1" m="1" x="798"/>
        <item h="1" m="1" x="1771"/>
        <item h="1" m="1" x="2757"/>
        <item h="1" m="1" x="3729"/>
        <item h="1" m="1" x="854"/>
        <item h="1" m="1" x="1831"/>
        <item h="1" m="1" x="2816"/>
        <item h="1" m="1" x="3789"/>
        <item h="1" m="1" x="910"/>
        <item h="1" m="1" x="1892"/>
        <item h="1" m="1" x="2873"/>
        <item h="1" m="1" x="3848"/>
        <item h="1" m="1" x="970"/>
        <item h="1" m="1" x="1953"/>
        <item h="1" m="1" x="2932"/>
        <item h="1" m="1" x="62"/>
        <item h="1" m="1" x="1029"/>
        <item h="1" m="1" x="2013"/>
        <item h="1" m="1" x="2989"/>
        <item h="1" m="1" x="123"/>
        <item h="1" m="1" x="1089"/>
        <item h="1" m="1" x="2074"/>
        <item h="1" m="1" x="3048"/>
        <item h="1" m="1" x="183"/>
        <item h="1" m="1" x="1149"/>
        <item h="1" m="1" x="2133"/>
        <item h="1" m="1" x="3106"/>
        <item h="1" m="1" x="244"/>
        <item h="1" m="1" x="1209"/>
        <item h="1" m="1" x="2193"/>
        <item h="1" m="1" x="3165"/>
        <item h="1" m="1" x="303"/>
        <item h="1" m="1" x="1266"/>
        <item h="1" m="1" x="2251"/>
        <item h="1" m="1" x="3222"/>
        <item h="1" m="1" x="360"/>
        <item h="1" m="1" x="1323"/>
        <item h="1" m="1" x="2312"/>
        <item h="1" m="1" x="3281"/>
        <item h="1" m="1" x="417"/>
        <item h="1" m="1" x="1382"/>
        <item h="1" m="1" x="2372"/>
        <item h="1" m="1" x="3341"/>
        <item h="1" m="1" x="477"/>
        <item h="1" m="1" x="1442"/>
        <item h="1" m="1" x="2432"/>
        <item h="1" m="1" x="3399"/>
        <item h="1" m="1" x="535"/>
        <item h="1" m="1" x="1502"/>
        <item h="1" m="1" x="2494"/>
        <item h="1" m="1" x="3458"/>
        <item h="1" m="1" x="592"/>
        <item h="1" m="1" x="1563"/>
        <item h="1" m="1" x="2553"/>
        <item h="1" m="1" x="3518"/>
        <item h="1" m="1" x="652"/>
        <item h="1" m="1" x="1622"/>
        <item h="1" m="1" x="2610"/>
        <item h="1" m="1" x="3579"/>
        <item h="1" m="1" x="712"/>
        <item h="1" m="1" x="1682"/>
        <item h="1" m="1" x="2670"/>
        <item h="1" m="1" x="3640"/>
        <item h="1" m="1" x="770"/>
        <item h="1" m="1" x="1741"/>
        <item h="1" m="1" x="2728"/>
        <item h="1" m="1" x="3699"/>
        <item h="1" m="1" x="826"/>
        <item h="1" m="1" x="1801"/>
        <item h="1" m="1" x="2786"/>
        <item h="1" m="1" x="3758"/>
        <item h="1" m="1" x="882"/>
        <item h="1" m="1" x="1862"/>
        <item h="1" m="1" x="2844"/>
        <item h="1" m="1" x="3818"/>
        <item h="1" m="1" x="941"/>
        <item h="1" m="1" x="1923"/>
        <item h="1" m="1" x="2902"/>
        <item h="1" m="1" x="31"/>
        <item h="1" m="1" x="1000"/>
        <item h="1" m="1" x="1982"/>
        <item h="1" m="1" x="2960"/>
        <item h="1" m="1" x="92"/>
        <item h="1" m="1" x="1060"/>
        <item h="1" m="1" x="2043"/>
        <item h="1" m="1" x="3018"/>
        <item h="1" m="1" x="152"/>
        <item h="1" m="1" x="1120"/>
        <item h="1" m="1" x="2102"/>
        <item h="1" m="1" x="3077"/>
        <item h="1" m="1" x="212"/>
        <item h="1" m="1" x="1180"/>
        <item h="1" m="1" x="2161"/>
        <item h="1" m="1" x="3136"/>
        <item h="1" m="1" x="273"/>
        <item h="1" m="1" x="1236"/>
        <item h="1" m="1" x="2221"/>
        <item h="1" m="1" x="3193"/>
        <item h="1" m="1" x="330"/>
        <item h="1" m="1" x="1294"/>
        <item h="1" m="1" x="2281"/>
        <item h="1" m="1" x="3251"/>
        <item h="1" m="1" x="387"/>
        <item h="1" m="1" x="1353"/>
        <item h="1" m="1" x="2341"/>
        <item h="1" m="1" x="3311"/>
        <item h="1" m="1" x="447"/>
        <item h="1" m="1" x="1411"/>
        <item h="1" m="1" x="2401"/>
        <item h="1" m="1" x="3368"/>
        <item h="1" m="1" x="504"/>
        <item h="1" m="1" x="1470"/>
        <item h="1" m="1" x="2462"/>
        <item h="1" m="1" x="3428"/>
        <item h="1" m="1" x="562"/>
        <item h="1" m="1" x="1531"/>
        <item h="1" m="1" x="2522"/>
        <item h="1" m="1" x="3486"/>
        <item h="1" m="1" x="619"/>
        <item h="1" m="1" x="1592"/>
        <item h="1" m="1" x="2580"/>
        <item h="1" m="1" x="3548"/>
        <item h="1" m="1" x="678"/>
        <item h="1" m="1" x="1652"/>
        <item h="1" m="1" x="2637"/>
        <item h="1" m="1" x="3608"/>
        <item h="1" m="1" x="738"/>
        <item h="1" m="1" x="1710"/>
        <item h="1" m="1" x="2697"/>
        <item h="1" m="1" x="3667"/>
        <item h="1" m="1" x="797"/>
        <item h="1" m="1" x="1769"/>
        <item h="1" m="1" x="2755"/>
        <item h="1" m="1" x="3726"/>
        <item h="1" m="1" x="853"/>
        <item h="1" m="1" x="1829"/>
        <item h="1" m="1" x="2814"/>
        <item h="1" m="1" x="3787"/>
        <item h="1" m="1" x="909"/>
        <item h="1" m="1" x="1890"/>
        <item h="1" m="1" x="2871"/>
        <item h="1" m="1" x="3845"/>
        <item h="1" m="1" x="968"/>
        <item h="1" m="1" x="1951"/>
        <item h="1" m="1" x="2930"/>
        <item h="1" m="1" x="60"/>
        <item h="1" m="1" x="1028"/>
        <item h="1" m="1" x="2011"/>
        <item h="1" m="1" x="2987"/>
        <item h="1" m="1" x="120"/>
        <item h="1" m="1" x="1088"/>
        <item h="1" m="1" x="2072"/>
        <item h="1" m="1" x="3046"/>
        <item h="1" m="1" x="181"/>
        <item h="1" m="1" x="1148"/>
        <item h="1" m="1" x="2131"/>
        <item h="1" m="1" x="3104"/>
        <item h="1" m="1" x="241"/>
        <item h="1" m="1" x="1207"/>
        <item h="1" m="1" x="2189"/>
        <item h="1" m="1" x="3162"/>
        <item h="1" m="1" x="300"/>
        <item h="1" m="1" x="1265"/>
        <item h="1" m="1" x="2249"/>
        <item h="1" m="1" x="3220"/>
        <item h="1" m="1" x="357"/>
        <item h="1" m="1" x="1322"/>
        <item h="1" m="1" x="2310"/>
        <item h="1" m="1" x="3279"/>
        <item h="1" m="1" x="415"/>
        <item h="1" m="1" x="1381"/>
        <item h="1" m="1" x="2370"/>
        <item h="1" m="1" x="3339"/>
        <item h="1" m="1" x="474"/>
        <item h="1" m="1" x="1440"/>
        <item h="1" m="1" x="2430"/>
        <item h="1" m="1" x="3397"/>
        <item h="1" m="1" x="533"/>
        <item h="1" m="1" x="1501"/>
        <item h="1" m="1" x="2492"/>
        <item h="1" m="1" x="3456"/>
        <item h="1" m="1" x="589"/>
        <item h="1" m="1" x="1562"/>
        <item h="1" m="1" x="2551"/>
        <item h="1" m="1" x="3516"/>
        <item h="1" m="1" x="650"/>
        <item h="1" m="1" x="1621"/>
        <item h="1" m="1" x="2608"/>
        <item h="1" m="1" x="3577"/>
        <item h="1" m="1" x="709"/>
        <item h="1" m="1" x="1680"/>
        <item h="1" m="1" x="2666"/>
        <item h="1" m="1" x="3637"/>
        <item h="1" m="1" x="768"/>
        <item h="1" m="1" x="1740"/>
        <item h="1" m="1" x="2726"/>
        <item h="1" m="1" x="3697"/>
        <item h="1" m="1" x="823"/>
        <item h="1" m="1" x="1800"/>
        <item h="1" m="1" x="2784"/>
        <item h="1" m="1" x="3756"/>
        <item h="1" m="1" x="880"/>
        <item h="1" m="1" x="1861"/>
        <item h="1" m="1" x="2842"/>
        <item h="1" m="1" x="3816"/>
        <item h="1" m="1" x="938"/>
        <item h="1" m="1" x="1921"/>
        <item h="1" m="1" x="2900"/>
        <item h="1" m="1" x="29"/>
        <item h="1" m="1" x="998"/>
        <item h="1" m="1" x="1981"/>
        <item h="1" m="1" x="2958"/>
        <item h="1" m="1" x="90"/>
        <item h="1" m="1" x="1057"/>
        <item h="1" m="1" x="2042"/>
        <item h="1" m="1" x="3016"/>
        <item h="1" m="1" x="150"/>
        <item h="1" m="1" x="1118"/>
        <item h="1" m="1" x="2101"/>
        <item h="1" m="1" x="3075"/>
        <item h="1" m="1" x="210"/>
        <item h="1" m="1" x="1177"/>
        <item h="1" m="1" x="2159"/>
        <item h="1" m="1" x="3133"/>
        <item h="1" m="1" x="270"/>
        <item h="1" m="1" x="1234"/>
        <item h="1" m="1" x="2219"/>
        <item h="1" m="1" x="3191"/>
        <item h="1" m="1" x="328"/>
        <item h="1" m="1" x="1291"/>
        <item h="1" m="1" x="2280"/>
        <item h="1" m="1" x="3249"/>
        <item h="1" m="1" x="385"/>
        <item h="1" m="1" x="1351"/>
        <item h="1" m="1" x="2340"/>
        <item h="1" m="1" x="3309"/>
        <item h="1" m="1" x="445"/>
        <item h="1" m="1" x="1408"/>
        <item h="1" m="1" x="2399"/>
        <item h="1" m="1" x="3366"/>
        <item h="1" m="1" x="502"/>
        <item h="1" m="1" x="1468"/>
        <item h="1" m="1" x="2460"/>
        <item h="1" m="1" x="3426"/>
        <item h="1" m="1" x="559"/>
        <item h="1" m="1" x="1528"/>
        <item h="1" m="1" x="2521"/>
        <item h="1" m="1" x="3484"/>
        <item h="1" m="1" x="617"/>
        <item h="1" m="1" x="1590"/>
        <item h="1" m="1" x="2579"/>
        <item h="1" m="1" x="3546"/>
        <item h="1" m="1" x="676"/>
        <item h="1" m="1" x="1649"/>
        <item h="1" m="1" x="2635"/>
        <item h="1" m="1" x="3604"/>
        <item h="1" m="1" x="735"/>
        <item h="1" m="1" x="1707"/>
        <item h="1" m="1" x="2695"/>
        <item h="1" m="1" x="3665"/>
        <item h="1" m="1" x="795"/>
        <item h="1" m="1" x="1766"/>
        <item h="1" m="1" x="2754"/>
        <item h="1" m="1" x="3724"/>
        <item h="1" m="1" x="851"/>
        <item h="1" m="1" x="1827"/>
        <item h="1" m="1" x="2813"/>
        <item h="1" m="1" x="3785"/>
        <item h="1" m="1" x="907"/>
        <item h="1" m="1" x="1887"/>
        <item h="1" m="1" x="2869"/>
        <item h="1" m="1" x="3843"/>
        <item h="1" m="1" x="966"/>
        <item h="1" m="1" x="1949"/>
        <item h="1" m="1" x="2929"/>
        <item h="1" m="1" x="58"/>
        <item h="1" m="1" x="1026"/>
        <item h="1" m="1" x="2008"/>
        <item h="1" m="1" x="2986"/>
        <item h="1" m="1" x="118"/>
        <item h="1" m="1" x="1086"/>
        <item h="1" m="1" x="2070"/>
        <item h="1" m="1" x="3045"/>
        <item h="1" m="1" x="179"/>
        <item h="1" m="1" x="1146"/>
        <item h="1" m="1" x="2128"/>
        <item h="1" m="1" x="3102"/>
        <item h="1" m="1" x="237"/>
        <item h="1" m="1" x="1204"/>
        <item h="1" m="1" x="2186"/>
        <item h="1" m="1" x="3161"/>
        <item h="1" m="1" x="298"/>
        <item h="1" m="1" x="1263"/>
        <item h="1" m="1" x="2246"/>
        <item h="1" m="1" x="3219"/>
        <item h="1" m="1" x="355"/>
        <item h="1" m="1" x="1320"/>
        <item h="1" m="1" x="2308"/>
        <item h="1" m="1" x="3278"/>
        <item h="1" m="1" x="413"/>
        <item h="1" m="1" x="1379"/>
        <item h="1" m="1" x="2367"/>
        <item h="1" m="1" x="3337"/>
        <item h="1" m="1" x="472"/>
        <item h="1" m="1" x="1438"/>
        <item h="1" m="1" x="2428"/>
        <item h="1" m="1" x="3396"/>
        <item h="1" m="1" x="531"/>
        <item h="1" m="1" x="1499"/>
        <item h="1" m="1" x="2489"/>
        <item h="1" m="1" x="3455"/>
        <item h="1" m="1" x="587"/>
        <item h="1" m="1" x="1560"/>
        <item h="1" m="1" x="2549"/>
        <item h="1" m="1" x="3515"/>
        <item h="1" m="1" x="648"/>
        <item h="1" m="1" x="1619"/>
        <item h="1" m="1" x="2605"/>
        <item h="1" m="1" x="3575"/>
        <item h="1" m="1" x="705"/>
        <item h="1" m="1" x="1677"/>
        <item h="1" m="1" x="2664"/>
        <item h="1" m="1" x="3636"/>
        <item h="1" m="1" x="766"/>
        <item h="1" m="1" x="1738"/>
        <item h="1" m="1" x="2723"/>
        <item h="1" m="1" x="3696"/>
        <item h="1" m="1" x="821"/>
        <item h="1" m="1" x="1798"/>
        <item h="1" m="1" x="2782"/>
        <item h="1" m="1" x="3755"/>
        <item h="1" m="1" x="878"/>
        <item h="1" m="1" x="1859"/>
        <item h="1" m="1" x="2839"/>
        <item h="1" m="1" x="3814"/>
        <item h="1" m="1" x="936"/>
        <item h="1" m="1" x="1919"/>
        <item h="1" m="1" x="2898"/>
        <item h="1" m="1" x="28"/>
        <item h="1" m="1" x="996"/>
        <item h="1" m="1" x="1979"/>
        <item h="1" m="1" x="2955"/>
        <item h="1" m="1" x="89"/>
        <item h="1" m="1" x="1055"/>
        <item h="1" m="1" x="2040"/>
        <item h="1" m="1" x="3014"/>
        <item h="1" m="1" x="149"/>
        <item h="1" m="1" x="1116"/>
        <item h="1" m="1" x="2099"/>
        <item h="1" m="1" x="3072"/>
        <item h="1" m="1" x="208"/>
        <item h="1" m="1" x="1173"/>
        <item h="1" m="1" x="2156"/>
        <item h="1" m="1" x="3131"/>
        <item h="1" m="1" x="269"/>
        <item h="1" m="1" x="1232"/>
        <item h="1" m="1" x="2217"/>
        <item h="1" m="1" x="3188"/>
        <item h="1" m="1" x="327"/>
        <item h="1" m="1" x="1289"/>
        <item h="1" m="1" x="2278"/>
        <item h="1" m="1" x="3247"/>
        <item h="1" m="1" x="384"/>
        <item h="1" m="1" x="1349"/>
        <item h="1" m="1" x="2338"/>
        <item h="1" m="1" x="3305"/>
        <item h="1" m="1" x="443"/>
        <item h="1" m="1" x="1405"/>
        <item h="1" m="1" x="2396"/>
        <item h="1" m="1" x="3364"/>
        <item h="1" m="1" x="501"/>
        <item h="1" m="1" x="1466"/>
        <item h="1" m="1" x="2458"/>
        <item h="1" m="1" x="3423"/>
        <item h="1" m="1" x="558"/>
        <item h="1" m="1" x="1526"/>
        <item h="1" m="1" x="2519"/>
        <item h="1" m="1" x="3482"/>
        <item h="1" m="1" x="616"/>
        <item h="1" m="1" x="1588"/>
        <item h="1" m="1" x="2577"/>
        <item h="1" m="1" x="3543"/>
        <item h="1" m="1" x="674"/>
        <item h="1" m="1" x="1645"/>
        <item h="1" m="1" x="2633"/>
        <item h="1" m="1" x="3601"/>
        <item h="1" m="1" x="734"/>
        <item h="1" m="1" x="1705"/>
        <item h="1" m="1" x="2693"/>
        <item h="1" m="1" x="3662"/>
        <item h="1" m="1" x="794"/>
        <item h="1" m="1" x="1764"/>
        <item h="1" m="1" x="2752"/>
        <item h="1" m="1" x="3722"/>
        <item h="1" m="1" x="850"/>
        <item h="1" m="1" x="1825"/>
        <item h="1" m="1" x="2811"/>
        <item h="1" m="1" x="3782"/>
        <item h="1" m="1" x="905"/>
        <item h="1" m="1" x="1885"/>
        <item h="1" m="1" x="2867"/>
        <item h="1" m="1" x="3841"/>
        <item h="1" m="1" x="965"/>
        <item h="1" m="1" x="1947"/>
        <item h="1" m="1" x="2927"/>
        <item h="1" m="1" x="55"/>
        <item h="1" m="1" x="1025"/>
        <item h="1" m="1" x="2006"/>
        <item h="1" m="1" x="2984"/>
        <item h="1" m="1" x="116"/>
        <item h="1" m="1" x="1085"/>
        <item h="1" m="1" x="2068"/>
        <item h="1" m="1" x="3043"/>
        <item h="1" m="1" x="176"/>
        <item h="1" m="1" x="1144"/>
        <item h="1" m="1" x="2125"/>
        <item h="1" m="1" x="3099"/>
        <item h="1" m="1" x="234"/>
        <item h="1" m="1" x="1203"/>
        <item h="1" m="1" x="2184"/>
        <item h="1" m="1" x="3159"/>
        <item h="1" m="1" x="295"/>
        <item h="1" m="1" x="1262"/>
        <item h="1" m="1" x="2244"/>
        <item h="1" m="1" x="3217"/>
        <item h="1" m="1" x="353"/>
        <item h="1" m="1" x="1319"/>
        <item h="1" m="1" x="2306"/>
        <item h="1" m="1" x="3276"/>
        <item h="1" m="1" x="410"/>
        <item h="1" m="1" x="1377"/>
        <item h="1" m="1" x="2365"/>
        <item h="1" m="1" x="3335"/>
        <item h="1" m="1" x="470"/>
        <item h="1" m="1" x="1437"/>
        <item h="1" m="1" x="2426"/>
        <item h="1" m="1" x="3394"/>
        <item h="1" m="1" x="528"/>
        <item h="1" m="1" x="1498"/>
        <item h="1" m="1" x="2487"/>
        <item h="1" m="1" x="3453"/>
        <item h="1" m="1" x="585"/>
        <item h="1" m="1" x="1559"/>
        <item h="1" m="1" x="2547"/>
        <item h="1" m="1" x="3513"/>
        <item h="1" m="1" x="645"/>
        <item h="1" m="1" x="1617"/>
        <item h="1" m="1" x="2602"/>
        <item h="1" m="1" x="3573"/>
        <item h="1" m="1" x="703"/>
        <item h="1" m="1" x="1676"/>
        <item h="1" m="1" x="2661"/>
        <item h="1" m="1" x="3634"/>
        <item h="1" m="1" x="763"/>
        <item h="1" m="1" x="1737"/>
        <item h="1" m="1" x="2721"/>
        <item h="1" m="1" x="3694"/>
        <item h="1" m="1" x="819"/>
        <item h="1" m="1" x="1797"/>
        <item h="1" m="1" x="2780"/>
        <item h="1" m="1" x="3753"/>
        <item h="1" m="1" x="875"/>
        <item h="1" m="1" x="1857"/>
        <item h="1" m="1" x="2837"/>
        <item h="1" m="1" x="3812"/>
        <item h="1" m="1" x="934"/>
        <item h="1" m="1" x="1918"/>
        <item h="1" m="1" x="2896"/>
        <item h="1" m="1" x="25"/>
        <item h="1" m="1" x="993"/>
        <item h="1" m="1" x="1978"/>
        <item h="1" m="1" x="2953"/>
        <item h="1" m="1" x="87"/>
        <item h="1" m="1" x="1053"/>
        <item h="1" m="1" x="2039"/>
        <item h="1" m="1" x="3012"/>
        <item h="1" m="1" x="147"/>
        <item h="1" m="1" x="1113"/>
        <item h="1" m="1" x="2097"/>
        <item h="1" m="1" x="3068"/>
        <item h="1" m="1" x="205"/>
        <item h="1" m="1" x="1171"/>
        <item h="1" m="1" x="2154"/>
        <item h="1" m="1" x="3128"/>
        <item h="1" m="1" x="267"/>
        <item h="1" m="1" x="1229"/>
        <item h="1" m="1" x="2216"/>
        <item h="1" m="1" x="3186"/>
        <item h="1" m="1" x="325"/>
        <item h="1" m="1" x="1287"/>
        <item h="1" m="1" x="2277"/>
        <item h="1" m="1" x="3244"/>
        <item h="1" m="1" x="382"/>
        <item h="1" m="1" x="1345"/>
        <item h="1" m="1" x="2335"/>
        <item h="1" m="1" x="3302"/>
        <item h="1" m="1" x="441"/>
        <item h="1" m="1" x="1403"/>
        <item h="1" m="1" x="2395"/>
        <item h="1" m="1" x="3362"/>
        <item h="1" m="1" x="499"/>
        <item h="1" m="1" x="1463"/>
        <item h="1" m="1" x="2457"/>
        <item h="1" m="1" x="3421"/>
        <item h="1" m="1" x="556"/>
        <item h="1" m="1" x="1524"/>
        <item h="1" m="1" x="2518"/>
        <item h="1" m="1" x="3480"/>
        <item h="1" m="1" x="614"/>
        <item h="1" m="1" x="1585"/>
        <item h="1" m="1" x="2575"/>
        <item h="1" m="1" x="3540"/>
        <item h="1" m="1" x="672"/>
        <item h="1" m="1" x="1642"/>
        <item h="1" m="1" x="2631"/>
        <item h="1" m="1" x="3599"/>
        <item h="1" m="1" x="732"/>
        <item h="1" m="1" x="1702"/>
        <item h="1" m="1" x="2692"/>
        <item h="1" m="1" x="3660"/>
        <item h="1" m="1" x="792"/>
        <item h="1" m="1" x="1762"/>
        <item h="1" m="1" x="2751"/>
        <item h="1" m="1" x="3720"/>
        <item h="1" m="1" x="848"/>
        <item h="1" m="1" x="1822"/>
        <item h="1" m="1" x="2809"/>
        <item h="1" m="1" x="3780"/>
        <item h="1" m="1" x="903"/>
        <item h="1" m="1" x="1883"/>
        <item h="1" m="1" x="2866"/>
        <item h="1" m="1" x="3839"/>
        <item h="1" m="1" x="963"/>
        <item h="1" m="1" x="1944"/>
        <item h="1" m="1" x="2926"/>
        <item h="1" m="1" x="53"/>
        <item h="1" m="1" x="1023"/>
        <item h="1" m="1" x="2004"/>
        <item h="1" m="1" x="2983"/>
        <item h="1" m="1" x="114"/>
        <item h="1" m="1" x="1083"/>
        <item h="1" m="1" x="2065"/>
        <item h="1" m="1" x="3041"/>
        <item h="1" m="1" x="173"/>
        <item h="1" m="1" x="1141"/>
        <item h="1" m="1" x="2122"/>
        <item h="1" m="1" x="3098"/>
        <item h="1" m="1" x="232"/>
        <item h="1" m="1" x="1201"/>
        <item h="1" m="1" x="2181"/>
        <item h="1" m="1" x="3158"/>
        <item h="1" m="1" x="293"/>
        <item h="1" m="1" x="1260"/>
        <item h="1" m="1" x="2242"/>
        <item h="1" m="1" x="3216"/>
        <item h="1" m="1" x="351"/>
        <item h="1" m="1" x="1317"/>
        <item h="1" m="1" x="2303"/>
        <item h="1" m="1" x="3274"/>
        <item h="1" m="1" x="408"/>
        <item h="1" m="1" x="1375"/>
        <item h="1" m="1" x="2363"/>
        <item h="1" m="1" x="3334"/>
        <item h="1" m="1" x="468"/>
        <item h="1" m="1" x="1435"/>
        <item h="1" m="1" x="2423"/>
        <item h="1" m="1" x="3393"/>
        <item h="1" m="1" x="526"/>
        <item h="1" m="1" x="1496"/>
        <item h="1" m="1" x="2485"/>
        <item h="1" m="1" x="3452"/>
        <item h="1" m="1" x="583"/>
        <item h="1" m="1" x="1557"/>
        <item h="1" m="1" x="2544"/>
        <item h="1" m="1" x="3511"/>
        <item h="1" m="1" x="642"/>
        <item h="1" m="1" x="1615"/>
        <item h="1" m="1" x="2600"/>
        <item h="1" m="1" x="3572"/>
        <item h="1" m="1" x="701"/>
        <item h="1" m="1" x="1674"/>
        <item h="1" m="1" x="2658"/>
        <item h="1" m="1" x="3633"/>
        <item h="1" m="1" x="761"/>
        <item h="1" m="1" x="1735"/>
        <item h="1" m="1" x="2719"/>
        <item h="1" m="1" x="3693"/>
        <item h="1" m="1" x="817"/>
        <item h="1" m="1" x="1795"/>
        <item h="1" m="1" x="2777"/>
        <item h="1" m="1" x="3751"/>
        <item h="1" m="1" x="873"/>
        <item h="1" m="1" x="1855"/>
        <item h="1" m="1" x="2835"/>
        <item h="1" m="1" x="3811"/>
        <item h="1" m="1" x="932"/>
        <item h="1" m="1" x="1916"/>
        <item h="1" m="1" x="2893"/>
        <item h="1" m="1" x="3870"/>
        <item h="1" m="1" x="991"/>
        <item h="1" m="1" x="1976"/>
        <item h="1" m="1" x="2951"/>
        <item h="1" m="1" x="86"/>
        <item h="1" m="1" x="1051"/>
        <item h="1" m="1" x="2037"/>
        <item h="1" m="1" x="3009"/>
        <item h="1" m="1" x="145"/>
        <item h="1" m="1" x="1110"/>
        <item h="1" m="1" x="2094"/>
        <item h="1" m="1" x="3066"/>
        <item h="1" m="1" x="204"/>
        <item h="1" m="1" x="1169"/>
        <item h="1" m="1" x="2152"/>
        <item h="1" m="1" x="3125"/>
        <item h="1" m="1" x="265"/>
        <item h="1" m="1" x="1227"/>
        <item h="1" m="1" x="2214"/>
        <item h="1" m="1" x="3183"/>
        <item h="1" m="1" x="324"/>
        <item h="1" m="1" x="1285"/>
        <item h="1" m="1" x="2274"/>
        <item h="1" m="1" x="3240"/>
        <item h="1" m="1" x="380"/>
        <item h="1" m="1" x="1342"/>
        <item h="1" m="1" x="2333"/>
        <item h="1" m="1" x="3300"/>
        <item h="1" m="1" x="440"/>
        <item h="1" m="1" x="1401"/>
        <item h="1" m="1" x="2393"/>
        <item h="1" m="1" x="3359"/>
        <item h="1" m="1" x="498"/>
        <item h="1" m="1" x="1461"/>
        <item h="1" m="1" x="2455"/>
        <item h="1" m="1" x="3419"/>
        <item h="1" m="1" x="555"/>
        <item h="1" m="1" x="1522"/>
        <item h="1" m="1" x="2516"/>
        <item h="1" m="1" x="3477"/>
        <item h="1" m="1" x="612"/>
        <item h="1" m="1" x="1582"/>
        <item h="1" m="1" x="2573"/>
        <item h="1" m="1" x="3537"/>
        <item h="1" m="1" x="671"/>
        <item h="1" m="1" x="1640"/>
        <item h="1" m="1" x="2629"/>
        <item h="1" m="1" x="3596"/>
        <item h="1" m="1" x="731"/>
        <item h="1" m="1" x="1700"/>
        <item h="1" m="1" x="2690"/>
        <item h="1" m="1" x="3658"/>
        <item h="1" m="1" x="791"/>
        <item h="1" m="1" x="1760"/>
        <item h="1" m="1" x="2749"/>
        <item h="1" m="1" x="3717"/>
        <item h="1" m="1" x="846"/>
        <item h="1" m="1" x="1820"/>
        <item h="1" m="1" x="2807"/>
        <item h="1" m="1" x="3778"/>
        <item h="1" m="1" x="902"/>
        <item h="1" m="1" x="1881"/>
        <item h="1" m="1" x="2864"/>
        <item h="1" m="1" x="3836"/>
        <item h="1" m="1" x="962"/>
        <item h="1" m="1" x="1942"/>
        <item h="1" m="1" x="2924"/>
        <item h="1" m="1" x="51"/>
        <item h="1" m="1" x="1022"/>
        <item h="1" m="1" x="2002"/>
        <item h="1" m="1" x="2981"/>
        <item h="1" m="1" x="111"/>
        <item h="1" m="1" x="1081"/>
        <item h="1" m="1" x="2062"/>
        <item h="1" m="1" x="3038"/>
        <item h="1" m="1" x="170"/>
        <item h="1" m="1" x="1140"/>
        <item h="1" m="1" x="2120"/>
        <item h="1" m="1" x="3096"/>
        <item h="1" m="1" x="229"/>
        <item h="1" m="1" x="1200"/>
        <item h="1" m="1" x="2179"/>
        <item h="1" m="1" x="3156"/>
        <item h="1" m="1" x="291"/>
        <item h="1" m="1" x="1259"/>
        <item h="1" m="1" x="2240"/>
        <item h="1" m="1" x="3214"/>
        <item h="1" m="1" x="348"/>
        <item h="1" m="1" x="1315"/>
        <item h="1" m="1" x="2301"/>
        <item h="1" m="1" x="3272"/>
        <item h="1" m="1" x="406"/>
        <item h="1" m="1" x="1374"/>
        <item h="1" m="1" x="2361"/>
        <item h="1" m="1" x="3332"/>
        <item h="1" m="1" x="465"/>
        <item h="1" m="1" x="1434"/>
        <item h="1" m="1" x="2421"/>
        <item h="1" m="1" x="3391"/>
        <item h="1" m="1" x="524"/>
        <item h="1" m="1" x="1495"/>
        <item h="1" m="1" x="2483"/>
        <item h="1" m="1" x="3450"/>
        <item h="1" m="1" x="580"/>
        <item h="1" m="1" x="1555"/>
        <item h="1" m="1" x="2541"/>
        <item h="1" m="1" x="3509"/>
        <item h="1" m="1" x="640"/>
        <item h="1" m="1" x="1614"/>
        <item h="1" m="1" x="2598"/>
        <item h="1" m="1" x="3570"/>
        <item h="1" m="1" x="698"/>
        <item h="1" m="1" x="1673"/>
        <item h="1" m="1" x="2656"/>
        <item h="1" m="1" x="3631"/>
        <item h="1" m="1" x="759"/>
        <item h="1" m="1" x="1734"/>
        <item h="1" m="1" x="2717"/>
        <item h="1" m="1" x="3691"/>
        <item h="1" m="1" x="814"/>
        <item h="1" m="1" x="1793"/>
        <item h="1" m="1" x="2775"/>
        <item h="1" m="1" x="3749"/>
        <item h="1" m="1" x="871"/>
        <item h="1" m="1" x="1854"/>
        <item h="1" m="1" x="2833"/>
        <item h="1" m="1" x="3809"/>
        <item h="1" m="1" x="929"/>
        <item h="1" m="1" x="1915"/>
        <item h="1" m="1" x="2891"/>
        <item h="1" m="1" x="3868"/>
        <item h="1" m="1" x="989"/>
        <item h="1" m="1" x="1975"/>
        <item h="1" m="1" x="2949"/>
        <item h="1" m="1" x="84"/>
        <item h="1" m="1" x="1048"/>
        <item h="1" m="1" x="2035"/>
        <item h="1" m="1" x="3006"/>
        <item h="1" m="1" x="142"/>
        <item h="1" m="1" x="1107"/>
        <item h="1" m="1" x="2092"/>
        <item h="1" m="1" x="3064"/>
        <item h="1" m="1" x="202"/>
        <item h="1" m="1" x="1166"/>
        <item h="1" m="1" x="2151"/>
        <item h="1" m="1" x="3122"/>
        <item h="1" m="1" x="262"/>
        <item h="1" m="1" x="1225"/>
        <item h="1" m="1" x="2212"/>
        <item h="1" m="1" x="3180"/>
        <item h="1" m="1" x="322"/>
        <item h="1" m="1" x="1282"/>
        <item h="1" m="1" x="2271"/>
        <item h="1" m="1" x="3238"/>
        <item h="1" m="1" x="378"/>
        <item h="1" m="1" x="1340"/>
        <item h="1" m="1" x="2332"/>
        <item h="1" m="1" x="3298"/>
        <item h="1" m="1" x="438"/>
        <item h="1" m="1" x="1398"/>
        <item h="1" m="1" x="2392"/>
        <item h="1" m="1" x="3357"/>
        <item h="1" m="1" x="496"/>
        <item h="1" m="1" x="1459"/>
        <item h="1" m="1" x="2454"/>
        <item h="1" m="1" x="3417"/>
        <item h="1" m="1" x="553"/>
        <item h="1" m="1" x="1519"/>
        <item h="1" m="1" x="2514"/>
        <item h="1" m="1" x="3474"/>
        <item h="1" m="1" x="609"/>
        <item h="1" m="1" x="1579"/>
        <item h="1" m="1" x="2571"/>
        <item h="1" m="1" x="3535"/>
        <item h="1" m="1" x="669"/>
        <item h="1" m="1" x="1637"/>
        <item h="1" m="1" x="2628"/>
        <item h="1" m="1" x="3594"/>
        <item h="1" m="1" x="729"/>
        <item h="1" m="1" x="1698"/>
        <item h="1" m="1" x="2689"/>
        <item h="1" m="1" x="3656"/>
        <item h="1" m="1" x="789"/>
        <item h="1" m="1" x="1757"/>
        <item h="1" m="1" x="2747"/>
        <item h="1" m="1" x="3715"/>
        <item h="1" m="1" x="844"/>
        <item h="1" m="1" x="1818"/>
        <item h="1" m="1" x="2806"/>
        <item h="1" m="1" x="3776"/>
        <item h="1" m="1" x="900"/>
        <item h="1" m="1" x="1878"/>
        <item h="1" m="1" x="2863"/>
        <item h="1" m="1" x="3834"/>
        <item h="1" m="1" x="960"/>
        <item h="1" m="1" x="1940"/>
        <item h="1" m="1" x="2923"/>
        <item h="1" m="1" x="49"/>
        <item h="1" m="1" x="1020"/>
        <item h="1" m="1" x="1999"/>
        <item h="1" m="1" x="2979"/>
        <item h="1" m="1" x="108"/>
        <item h="1" m="1" x="1078"/>
        <item h="1" m="1" x="2059"/>
        <item h="1" m="1" x="3037"/>
        <item h="1" m="1" x="168"/>
        <item h="1" m="1" x="1138"/>
        <item h="1" m="1" x="2117"/>
        <item h="1" m="1" x="3095"/>
        <item h="1" m="1" x="227"/>
        <item h="1" m="1" x="1198"/>
        <item h="1" m="1" x="2177"/>
        <item h="1" m="1" x="3155"/>
        <item h="1" m="1" x="289"/>
        <item h="1" m="1" x="1257"/>
        <item h="1" m="1" x="2237"/>
        <item h="1" m="1" x="3212"/>
        <item h="1" m="1" x="346"/>
        <item h="1" m="1" x="1313"/>
        <item h="1" m="1" x="2299"/>
        <item h="1" m="1" x="3271"/>
        <item h="1" m="1" x="404"/>
        <item h="1" m="1" x="1372"/>
        <item h="1" m="1" x="2358"/>
        <item h="1" m="1" x="3331"/>
        <item h="1" m="1" x="463"/>
        <item h="1" m="1" x="1432"/>
        <item h="1" m="1" x="2419"/>
        <item h="1" m="1" x="3390"/>
        <item h="1" m="1" x="522"/>
        <item h="1" m="1" x="1493"/>
        <item h="1" m="1" x="2480"/>
        <item h="1" m="1" x="3448"/>
        <item h="1" m="1" x="577"/>
        <item h="1" m="1" x="1552"/>
        <item h="1" m="1" x="2539"/>
        <item h="1" m="1" x="3508"/>
        <item h="1" m="1" x="638"/>
        <item h="1" m="1" x="1612"/>
        <item h="1" m="1" x="2595"/>
        <item h="1" m="1" x="3569"/>
        <item h="1" m="1" x="696"/>
        <item h="1" m="1" x="1671"/>
        <item h="1" m="1" x="2654"/>
        <item h="1" m="1" x="3630"/>
        <item h="1" m="1" x="757"/>
        <item h="1" m="1" x="1732"/>
        <item h="1" m="1" x="2714"/>
        <item h="1" m="1" x="3689"/>
        <item h="1" m="1" x="812"/>
        <item h="1" m="1" x="1791"/>
        <item h="1" m="1" x="2773"/>
        <item h="1" m="1" x="3748"/>
        <item h="1" m="1" x="869"/>
        <item h="1" m="1" x="1852"/>
        <item h="1" m="1" x="2830"/>
        <item h="1" m="1" x="3808"/>
        <item h="1" m="1" x="927"/>
        <item h="1" m="1" x="1913"/>
        <item h="1" m="1" x="2889"/>
        <item h="1" m="1" x="3867"/>
        <item h="1" m="1" x="987"/>
        <item h="1" m="1" x="1973"/>
        <item h="1" m="1" x="2946"/>
        <item h="1" m="1" x="82"/>
        <item h="1" m="1" x="1045"/>
        <item h="1" m="1" x="2032"/>
        <item h="1" m="1" x="3004"/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23"/>
        <item h="1" x="17"/>
        <item h="1" x="19"/>
        <item h="1" x="18"/>
        <item h="1" x="20"/>
        <item h="1" x="22"/>
        <item h="1" x="21"/>
        <item h="1" x="24"/>
        <item t="default"/>
      </items>
    </pivotField>
  </pivotFields>
  <rowFields count="1">
    <field x="7"/>
  </rowFields>
  <rowItems count="7"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1">
    <pageField fld="13" hier="-1"/>
  </pageFields>
  <dataFields count="1">
    <dataField name="Count of _x000a_The Day before" fld="12" subtotal="count" baseField="0" baseItem="0"/>
  </dataFields>
  <formats count="19"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7" type="button" dataOnly="0" labelOnly="1" outline="0" axis="axisRow" fieldPosition="0"/>
    </format>
    <format dxfId="15">
      <pivotArea dataOnly="0" labelOnly="1" fieldPosition="0">
        <references count="1">
          <reference field="7" count="0"/>
        </references>
      </pivotArea>
    </format>
    <format dxfId="14">
      <pivotArea dataOnly="0" labelOnly="1" grandRow="1" outline="0" fieldPosition="0"/>
    </format>
    <format dxfId="13">
      <pivotArea dataOnly="0" labelOnly="1" outline="0" axis="axisValues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7" type="button" dataOnly="0" labelOnly="1" outline="0" axis="axisRow" fieldPosition="0"/>
    </format>
    <format dxfId="9">
      <pivotArea dataOnly="0" labelOnly="1" fieldPosition="0">
        <references count="1">
          <reference field="7" count="4">
            <x v="0"/>
            <x v="4"/>
            <x v="5"/>
            <x v="6"/>
          </reference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 axis="axisRow" fieldPosition="0"/>
    </format>
    <format dxfId="3">
      <pivotArea dataOnly="0" labelOnly="1" fieldPosition="0">
        <references count="1">
          <reference field="7" count="4">
            <x v="0"/>
            <x v="4"/>
            <x v="5"/>
            <x v="6"/>
          </reference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84FB7-6203-4F86-9540-F93212119FC4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4:B21" firstHeaderRow="1" firstDataRow="1" firstDataCol="1" rowPageCount="1" colPageCount="1"/>
  <pivotFields count="14">
    <pivotField showAll="0"/>
    <pivotField showAll="0"/>
    <pivotField numFmtId="22" showAll="0"/>
    <pivotField showAll="0"/>
    <pivotField showAll="0"/>
    <pivotField showAll="0"/>
    <pivotField numFmtId="22" showAll="0"/>
    <pivotField axis="axisRow" showAll="0">
      <items count="21">
        <item m="1" x="13"/>
        <item m="1" x="18"/>
        <item m="1" x="10"/>
        <item m="1" x="17"/>
        <item m="1" x="14"/>
        <item m="1" x="12"/>
        <item m="1" x="16"/>
        <item m="1" x="15"/>
        <item m="1" x="19"/>
        <item m="1" x="8"/>
        <item m="1" x="6"/>
        <item m="1" x="11"/>
        <item m="1" x="9"/>
        <item m="1" x="7"/>
        <item x="1"/>
        <item x="4"/>
        <item x="2"/>
        <item x="5"/>
        <item x="3"/>
        <item x="0"/>
        <item t="default"/>
      </items>
    </pivotField>
    <pivotField numFmtId="14" showAll="0"/>
    <pivotField showAll="0"/>
    <pivotField showAll="0"/>
    <pivotField name="Last WD" axis="axisPage" dataField="1" multipleItemSelectionAllowed="1" showAll="0">
      <items count="3872">
        <item m="1" x="422"/>
        <item h="1" m="1" x="3761"/>
        <item h="1" m="1" x="3130"/>
        <item h="1" m="1" x="3003"/>
        <item h="1" m="1" x="2880"/>
        <item h="1" m="1" x="2758"/>
        <item h="1" m="1" x="2696"/>
        <item h="1" m="1" x="2511"/>
        <item h="1" m="1" x="2448"/>
        <item h="1" m="1" x="2383"/>
        <item h="1" m="1" x="2319"/>
        <item h="1" m="1" x="2253"/>
        <item h="1" m="1" x="236"/>
        <item h="1" m="1" x="2124"/>
        <item h="1" m="1" x="172"/>
        <item h="1" m="1" x="2061"/>
        <item h="1" m="1" x="107"/>
        <item h="1" m="1" x="1934"/>
        <item h="1" m="1" x="627"/>
        <item m="1" x="3507"/>
        <item h="1" m="1" x="2632"/>
        <item h="1" m="1" x="302"/>
        <item h="1" m="1" x="1996"/>
        <item h="1" m="1" x="3827"/>
        <item h="1" m="1" x="687"/>
        <item h="1" m="1" x="3256"/>
        <item h="1" m="1" x="2572"/>
        <item h="1" m="1" x="2188"/>
        <item h="1" m="1" x="44"/>
        <item h="1" m="1" x="1870"/>
        <item h="1" m="1" x="925"/>
        <item h="1" m="1" x="1109"/>
        <item h="1" m="1" x="27"/>
        <item h="1" m="1" x="437"/>
        <item h="1" m="1" x="1475"/>
        <item h="1" m="1" x="611"/>
        <item h="1" m="1" x="1554"/>
        <item h="1" m="1" x="2513"/>
        <item h="1" m="1" x="3447"/>
        <item h="1" m="1" x="1491"/>
        <item h="1" m="1" x="2451"/>
        <item h="1" m="1" x="3387"/>
        <item h="1" m="1" x="493"/>
        <item h="1" m="1" x="1427"/>
        <item h="1" m="1" x="430"/>
        <item h="1" m="1" x="266"/>
        <item h="1" m="1" x="1239"/>
        <item h="1" m="1" x="1713"/>
        <item h="1" m="1" x="2192"/>
        <item h="1" m="1" x="2669"/>
        <item h="1" m="1" x="3607"/>
        <item h="1" m="1" x="240"/>
        <item h="1" m="1" x="708"/>
        <item h="1" m="1" x="1176"/>
        <item h="1" m="1" x="1648"/>
        <item h="1" m="1" x="3071"/>
        <item h="1" m="1" x="1536"/>
        <item h="1" m="1" x="1848"/>
        <item h="1" m="1" x="1911"/>
        <item h="1" m="1" x="3765"/>
        <item h="1" m="1" x="1743"/>
        <item h="1" m="1" x="2699"/>
        <item h="1" m="1" x="1679"/>
        <item h="1" m="1" x="3124"/>
        <item h="1" m="1" x="3185"/>
        <item h="1" m="1" x="3246"/>
        <item h="1" m="1" x="3308"/>
        <item h="1" m="1" x="3492"/>
        <item h="1" m="1" x="3556"/>
        <item h="1" m="1" x="3618"/>
        <item h="1" m="1" x="3680"/>
        <item h="1" m="1" x="3742"/>
        <item h="1" m="1" x="141"/>
        <item h="1" m="1" x="201"/>
        <item h="1" m="1" x="264"/>
        <item h="1" m="1" x="1806"/>
        <item h="1" m="1" x="623"/>
        <item h="1" m="1" x="683"/>
        <item h="1" m="1" x="746"/>
        <item h="1" m="1" x="921"/>
        <item h="1" m="1" x="982"/>
        <item h="1" m="1" x="1043"/>
        <item h="1" m="1" x="1105"/>
        <item h="1" m="1" x="1165"/>
        <item h="1" m="1" x="1348"/>
        <item h="1" m="1" x="1407"/>
        <item h="1" m="1" x="1533"/>
        <item h="1" m="1" x="1597"/>
        <item h="1" m="1" x="1782"/>
        <item h="1" m="1" x="1845"/>
        <item h="1" m="1" x="1907"/>
        <item h="1" m="1" x="2030"/>
        <item h="1" m="1" x="2213"/>
        <item h="1" m="1" x="2276"/>
        <item h="1" m="1" x="2337"/>
        <item h="1" m="1" x="2398"/>
        <item h="1" m="1" x="2461"/>
        <item h="1" m="1" x="2642"/>
        <item h="1" m="1" x="2705"/>
        <item h="1" m="1" x="2765"/>
        <item h="1" m="1" x="2824"/>
        <item h="1" m="1" x="2883"/>
        <item h="1" m="1" x="3061"/>
        <item h="1" m="1" x="3121"/>
        <item h="1" m="1" x="3182"/>
        <item h="1" m="1" x="3243"/>
        <item h="1" m="1" x="3304"/>
        <item h="1" m="1" x="3489"/>
        <item h="1" m="1" x="3552"/>
        <item h="1" m="1" x="3615"/>
        <item h="1" m="1" x="3702"/>
        <item h="1" m="1" x="78"/>
        <item h="1" m="1" x="139"/>
        <item h="1" m="1" x="261"/>
        <item h="1" m="1" x="561"/>
        <item h="1" m="1" x="620"/>
        <item h="1" m="1" x="681"/>
        <item h="1" m="1" x="743"/>
        <item h="1" m="1" x="918"/>
        <item h="1" m="1" x="979"/>
        <item h="1" m="1" x="1041"/>
        <item h="1" m="1" x="1102"/>
        <item h="1" m="1" x="1163"/>
        <item h="1" m="1" x="1344"/>
        <item h="1" m="1" x="3639"/>
        <item h="1" m="1" x="737"/>
        <item h="1" m="1" x="2273"/>
        <item h="1" m="1" x="200"/>
        <item h="1" m="1" x="3534"/>
        <item h="1" m="1" x="3284"/>
        <item h="1" m="1" x="3036"/>
        <item h="1" m="1" x="2916"/>
        <item h="1" m="1" x="2791"/>
        <item h="1" m="1" x="2663"/>
        <item h="1" m="1" x="2538"/>
        <item h="1" m="1" x="2475"/>
        <item h="1" m="1" x="2410"/>
        <item h="1" m="1" x="2347"/>
        <item h="1" m="1" x="2284"/>
        <item h="1" m="1" x="2220"/>
        <item h="1" m="1" x="2155"/>
        <item h="1" m="1" x="2093"/>
        <item h="1" m="1" x="2031"/>
        <item h="1" m="1" x="79"/>
        <item h="1" m="1" x="1969"/>
        <item h="1" m="1" x="3861"/>
        <item h="1" m="1" x="1903"/>
        <item h="1" m="1" x="3798"/>
        <item h="1" m="1" x="1838"/>
        <item h="1" m="1" x="3733"/>
        <item h="1" m="1" x="1773"/>
        <item h="1" m="1" x="3669"/>
        <item h="1" m="1" x="1709"/>
        <item h="1" m="1" x="3603"/>
        <item h="1" m="1" x="1644"/>
        <item h="1" m="1" x="3539"/>
        <item h="1" m="1" x="1581"/>
        <item h="1" m="1" x="3473"/>
        <item h="1" m="1" x="1516"/>
        <item h="1" m="1" x="2477"/>
        <item h="1" m="1" x="3412"/>
        <item h="1" m="1" x="517"/>
        <item h="1" m="1" x="1453"/>
        <item h="1" m="1" x="2413"/>
        <item h="1" m="1" x="3350"/>
        <item h="1" m="1" x="456"/>
        <item h="1" m="1" x="1390"/>
        <item h="1" m="1" x="2350"/>
        <item h="1" m="1" x="3288"/>
        <item h="1" m="1" x="393"/>
        <item h="1" m="1" x="1328"/>
        <item h="1" m="1" x="2287"/>
        <item h="1" m="1" x="3225"/>
        <item h="1" m="1" x="333"/>
        <item h="1" m="1" x="1268"/>
        <item h="1" m="1" x="2223"/>
        <item h="1" m="1" x="3164"/>
        <item h="1" m="1" x="272"/>
        <item h="1" m="1" x="1206"/>
        <item h="1" m="1" x="2158"/>
        <item h="1" m="1" x="3101"/>
        <item h="1" m="1" x="207"/>
        <item h="1" m="1" x="1143"/>
        <item h="1" m="1" x="2096"/>
        <item h="1" m="1" x="3040"/>
        <item h="1" m="1" x="144"/>
        <item h="1" m="1" x="1080"/>
        <item h="1" m="1" x="2034"/>
        <item h="1" m="1" x="2978"/>
        <item h="1" m="1" x="81"/>
        <item h="1" m="1" x="1018"/>
        <item h="1" m="1" x="1490"/>
        <item h="1" m="1" x="1971"/>
        <item h="1" m="1" x="2450"/>
        <item h="1" m="1" x="2920"/>
        <item h="1" m="1" x="3386"/>
        <item h="1" m="1" x="3864"/>
        <item h="1" m="1" x="492"/>
        <item h="1" m="1" x="956"/>
        <item h="1" m="1" x="1426"/>
        <item h="1" m="1" x="1906"/>
        <item h="1" m="1" x="2386"/>
        <item h="1" m="1" x="2857"/>
        <item h="1" m="1" x="3324"/>
        <item h="1" m="1" x="3801"/>
        <item h="1" m="1" x="429"/>
        <item h="1" m="1" x="893"/>
        <item h="1" m="1" x="1364"/>
        <item h="1" m="1" x="1841"/>
        <item h="1" m="1" x="2322"/>
        <item h="1" m="1" x="2796"/>
        <item h="1" m="1" x="3261"/>
        <item h="1" m="1" x="3736"/>
        <item h="1" m="1" x="366"/>
        <item h="1" m="1" x="832"/>
        <item h="1" m="1" x="1300"/>
        <item h="1" m="1" x="1776"/>
        <item h="1" m="1" x="2256"/>
        <item h="1" m="1" x="2732"/>
        <item h="1" m="1" x="3197"/>
        <item h="1" m="1" x="3672"/>
        <item h="1" m="1" x="305"/>
        <item h="1" m="1" x="772"/>
        <item h="1" m="1" x="1238"/>
        <item h="1" m="1" x="1712"/>
        <item h="1" m="1" x="2191"/>
        <item h="1" m="1" x="2668"/>
        <item h="1" m="1" x="3135"/>
        <item h="1" m="1" x="3606"/>
        <item h="1" m="1" x="239"/>
        <item h="1" m="1" x="707"/>
        <item h="1" m="1" x="1175"/>
        <item h="1" m="1" x="1647"/>
        <item h="1" m="1" x="2127"/>
        <item h="1" m="1" x="2604"/>
        <item h="1" m="1" x="3070"/>
        <item h="1" m="1" x="3542"/>
        <item h="1" m="1" x="175"/>
        <item h="1" m="1" x="644"/>
        <item h="1" m="1" x="1112"/>
        <item h="1" m="1" x="1584"/>
        <item h="1" m="1" x="2064"/>
        <item h="1" m="1" x="2543"/>
        <item h="1" m="1" x="3008"/>
        <item h="1" m="1" x="3476"/>
        <item h="1" m="1" x="110"/>
        <item h="1" m="1" x="579"/>
        <item h="1" m="1" x="1047"/>
        <item h="1" m="1" x="1518"/>
        <item h="1" m="1" x="1998"/>
        <item h="1" m="1" x="2479"/>
        <item h="1" m="1" x="2945"/>
        <item h="1" m="1" x="3414"/>
        <item h="1" m="1" x="46"/>
        <item h="1" m="1" x="519"/>
        <item h="1" m="1" x="754"/>
        <item h="1" m="1" x="984"/>
        <item h="1" m="1" x="1221"/>
        <item h="1" m="1" x="1455"/>
        <item h="1" m="1" x="1694"/>
        <item h="1" m="1" x="1936"/>
        <item h="1" m="1" x="2173"/>
        <item h="1" m="1" x="2415"/>
        <item h="1" m="1" x="2650"/>
        <item h="1" m="1" x="2885"/>
        <item h="1" m="1" x="3116"/>
        <item h="1" m="1" x="3352"/>
        <item h="1" m="1" x="3589"/>
        <item h="1" m="1" x="3829"/>
        <item h="1" m="1" x="222"/>
        <item h="1" m="1" x="458"/>
        <item h="1" m="1" x="691"/>
        <item h="1" m="1" x="920"/>
        <item h="1" m="1" x="1158"/>
        <item h="1" m="1" x="1392"/>
        <item h="1" m="1" x="1631"/>
        <item h="1" m="1" x="1872"/>
        <item h="1" m="1" x="2111"/>
        <item h="1" m="1" x="2352"/>
        <item h="1" m="1" x="2589"/>
        <item h="1" m="1" x="2823"/>
        <item h="1" m="1" x="3055"/>
        <item h="1" m="1" x="3290"/>
        <item h="1" m="1" x="3525"/>
        <item h="1" m="1" x="3767"/>
        <item h="1" m="1" x="159"/>
        <item h="1" m="1" x="395"/>
        <item h="1" m="1" x="629"/>
        <item h="1" m="1" x="860"/>
        <item h="1" m="1" x="1095"/>
        <item h="1" m="1" x="1330"/>
        <item h="1" m="1" x="1569"/>
        <item h="1" m="1" x="1808"/>
        <item h="1" m="1" x="2049"/>
        <item h="1" m="1" x="2289"/>
        <item h="1" m="1" x="2528"/>
        <item h="1" m="1" x="2762"/>
        <item h="1" m="1" x="2993"/>
        <item h="1" m="1" x="3227"/>
        <item h="1" m="1" x="3462"/>
        <item h="1" m="1" x="3704"/>
        <item h="1" m="1" x="96"/>
        <item h="1" m="1" x="335"/>
        <item h="1" m="1" x="566"/>
        <item h="1" m="1" x="801"/>
        <item h="1" m="1" x="1032"/>
        <item h="1" m="1" x="1270"/>
        <item h="1" m="1" x="1505"/>
        <item h="1" m="1" x="1745"/>
        <item h="1" m="1" x="1985"/>
        <item h="1" m="1" x="2225"/>
        <item h="1" m="1" x="2465"/>
        <item h="1" m="1" x="2701"/>
        <item h="1" m="1" x="2933"/>
        <item h="1" m="1" x="3166"/>
        <item h="1" m="1" x="3400"/>
        <item h="1" m="1" x="3641"/>
        <item h="1" m="1" x="32"/>
        <item h="1" m="1" x="274"/>
        <item h="1" m="1" x="505"/>
        <item h="1" m="1" x="739"/>
        <item h="1" m="1" x="969"/>
        <item h="1" m="1" x="1208"/>
        <item h="1" m="1" x="1441"/>
        <item h="1" m="1" x="1681"/>
        <item h="1" m="1" x="1922"/>
        <item h="1" m="1" x="2160"/>
        <item h="1" m="1" x="2400"/>
        <item h="1" m="1" x="2636"/>
        <item h="1" m="1" x="2870"/>
        <item h="1" m="1" x="3103"/>
        <item h="1" m="1" x="3338"/>
        <item h="1" m="1" x="3576"/>
        <item h="1" m="1" x="3815"/>
        <item h="1" m="1" x="209"/>
        <item h="1" m="1" x="444"/>
        <item h="1" m="1" x="675"/>
        <item h="1" m="1" x="906"/>
        <item h="1" m="1" x="1145"/>
        <item h="1" m="1" x="1378"/>
        <item h="1" m="1" x="1618"/>
        <item h="1" m="1" x="1858"/>
        <item h="1" m="1" x="2098"/>
        <item h="1" m="1" x="2336"/>
        <item h="1" m="1" x="2576"/>
        <item h="1" m="1" x="2810"/>
        <item h="1" m="1" x="3042"/>
        <item h="1" m="1" x="3275"/>
        <item h="1" m="1" x="3512"/>
        <item h="1" m="1" x="3752"/>
        <item h="1" m="1" x="146"/>
        <item h="1" m="1" x="381"/>
        <item h="1" m="1" x="613"/>
        <item h="1" m="1" x="847"/>
        <item h="1" m="1" x="1082"/>
        <item h="1" m="1" x="1316"/>
        <item h="1" m="1" x="1556"/>
        <item h="1" m="1" x="1794"/>
        <item h="1" m="1" x="2036"/>
        <item h="1" m="1" x="2272"/>
        <item h="1" m="1" x="2515"/>
        <item h="1" m="1" x="2748"/>
        <item h="1" m="1" x="2980"/>
        <item h="1" m="1" x="3213"/>
        <item h="1" m="1" x="3449"/>
        <item h="1" m="1" x="3690"/>
        <item h="1" m="1" x="83"/>
        <item h="1" m="1" x="321"/>
        <item h="1" m="1" x="552"/>
        <item h="1" m="1" x="788"/>
        <item h="1" m="1" x="1019"/>
        <item h="1" m="1" x="1256"/>
        <item h="1" m="1" x="1492"/>
        <item h="1" m="1" x="1731"/>
        <item h="1" m="1" x="1972"/>
        <item h="1" m="1" x="2210"/>
        <item h="1" m="1" x="2452"/>
        <item h="1" m="1" x="2687"/>
        <item h="1" m="1" x="2921"/>
        <item h="1" m="1" x="3153"/>
        <item h="1" m="1" x="3388"/>
        <item h="1" m="1" x="3628"/>
        <item h="1" m="1" x="3865"/>
        <item h="1" m="1" x="138"/>
        <item h="1" m="1" x="259"/>
        <item h="1" m="1" x="376"/>
        <item h="1" m="1" x="494"/>
        <item h="1" m="1" x="607"/>
        <item h="1" m="1" x="727"/>
        <item h="1" m="1" x="842"/>
        <item h="1" m="1" x="958"/>
        <item h="1" m="1" x="1076"/>
        <item h="1" m="1" x="1196"/>
        <item h="1" m="1" x="1311"/>
        <item h="1" m="1" x="1430"/>
        <item h="1" m="1" x="1550"/>
        <item h="1" m="1" x="1669"/>
        <item h="1" m="1" x="1789"/>
        <item h="1" m="1" x="1910"/>
        <item h="1" m="1" x="2028"/>
        <item h="1" m="1" x="2148"/>
        <item h="1" m="1" x="2268"/>
        <item h="1" m="1" x="2389"/>
        <item h="1" m="1" x="2509"/>
        <item h="1" m="1" x="2625"/>
        <item h="1" m="1" x="2744"/>
        <item h="1" m="1" x="2860"/>
        <item h="1" m="1" x="2975"/>
        <item h="1" m="1" x="3092"/>
        <item h="1" m="1" x="3209"/>
        <item h="1" m="1" x="3327"/>
        <item h="1" m="1" x="3443"/>
        <item h="1" m="1" x="3565"/>
        <item h="1" m="1" x="3685"/>
        <item h="1" m="1" x="3804"/>
        <item h="1" m="1" x="75"/>
        <item h="1" m="1" x="196"/>
        <item h="1" m="1" x="317"/>
        <item h="1" m="1" x="433"/>
        <item h="1" m="1" x="548"/>
        <item h="1" m="1" x="665"/>
        <item h="1" m="1" x="784"/>
        <item h="1" m="1" x="896"/>
        <item h="1" m="1" x="1013"/>
        <item h="1" m="1" x="1133"/>
        <item h="1" m="1" x="1251"/>
        <item h="1" m="1" x="1367"/>
        <item h="1" m="1" x="1484"/>
        <item h="1" m="1" x="1606"/>
        <item h="1" m="1" x="1725"/>
        <item h="1" m="1" x="1844"/>
        <item h="1" m="1" x="1964"/>
        <item h="1" m="1" x="2085"/>
        <item h="1" m="1" x="2204"/>
        <item h="1" m="1" x="2325"/>
        <item h="1" m="1" x="2443"/>
        <item h="1" m="1" x="2564"/>
        <item h="1" m="1" x="2681"/>
        <item h="1" m="1" x="2799"/>
        <item h="1" m="1" x="2913"/>
        <item h="1" m="1" x="3029"/>
        <item h="1" m="1" x="3147"/>
        <item h="1" m="1" x="3264"/>
        <item h="1" m="1" x="3379"/>
        <item h="1" m="1" x="3499"/>
        <item h="1" m="1" x="3621"/>
        <item h="1" m="1" x="3739"/>
        <item h="1" m="1" x="3856"/>
        <item h="1" m="1" x="131"/>
        <item h="1" m="1" x="252"/>
        <item h="1" m="1" x="369"/>
        <item h="1" m="1" x="485"/>
        <item h="1" m="1" x="600"/>
        <item h="1" m="1" x="720"/>
        <item h="1" m="1" x="835"/>
        <item h="1" m="1" x="949"/>
        <item h="1" m="1" x="1068"/>
        <item h="1" m="1" x="1188"/>
        <item h="1" m="1" x="1303"/>
        <item h="1" m="1" x="1419"/>
        <item h="1" m="1" x="1541"/>
        <item h="1" m="1" x="1660"/>
        <item h="1" m="1" x="1779"/>
        <item h="1" m="1" x="1898"/>
        <item h="1" m="1" x="2019"/>
        <item h="1" m="1" x="2139"/>
        <item h="1" m="1" x="2259"/>
        <item h="1" m="1" x="2378"/>
        <item h="1" m="1" x="2500"/>
        <item h="1" m="1" x="2616"/>
        <item h="1" m="1" x="2735"/>
        <item h="1" m="1" x="2850"/>
        <item h="1" m="1" x="2966"/>
        <item h="1" m="1" x="3083"/>
        <item h="1" m="1" x="3200"/>
        <item h="1" m="1" x="3317"/>
        <item h="1" m="1" x="3434"/>
        <item h="1" m="1" x="3555"/>
        <item h="1" m="1" x="3675"/>
        <item h="1" m="1" x="3793"/>
        <item h="1" m="1" x="66"/>
        <item h="1" m="1" x="187"/>
        <item h="1" m="1" x="308"/>
        <item h="1" m="1" x="421"/>
        <item h="1" m="1" x="539"/>
        <item h="1" m="1" x="656"/>
        <item h="1" m="1" x="775"/>
        <item h="1" m="1" x="886"/>
        <item h="1" m="1" x="1004"/>
        <item h="1" m="1" x="1124"/>
        <item h="1" m="1" x="1242"/>
        <item h="1" m="1" x="1357"/>
        <item h="1" m="1" x="1474"/>
        <item h="1" m="1" x="1596"/>
        <item h="1" m="1" x="1716"/>
        <item h="1" m="1" x="1833"/>
        <item h="1" m="1" x="1955"/>
        <item h="1" m="1" x="2076"/>
        <item h="1" m="1" x="2195"/>
        <item h="1" m="1" x="2314"/>
        <item h="1" m="1" x="2434"/>
        <item h="1" m="1" x="2555"/>
        <item h="1" m="1" x="2672"/>
        <item h="1" m="1" x="2788"/>
        <item h="1" m="1" x="2904"/>
        <item h="1" m="1" x="3020"/>
        <item h="1" m="1" x="3138"/>
        <item h="1" m="1" x="3253"/>
        <item h="1" m="1" x="3370"/>
        <item h="1" m="1" x="3488"/>
        <item h="1" m="1" x="3610"/>
        <item h="1" m="1" x="3728"/>
        <item h="1" m="1" x="3847"/>
        <item h="1" m="1" x="122"/>
        <item h="1" m="1" x="243"/>
        <item h="1" m="1" x="359"/>
        <item h="1" m="1" x="476"/>
        <item h="1" m="1" x="591"/>
        <item h="1" m="1" x="711"/>
        <item h="1" m="1" x="825"/>
        <item h="1" m="1" x="940"/>
        <item h="1" m="1" x="1059"/>
        <item h="1" m="1" x="1179"/>
        <item h="1" m="1" x="1293"/>
        <item h="1" m="1" x="1410"/>
        <item h="1" m="1" x="1530"/>
        <item h="1" m="1" x="1651"/>
        <item h="1" m="1" x="1768"/>
        <item h="1" m="1" x="1889"/>
        <item h="1" m="1" x="2010"/>
        <item h="1" m="1" x="2130"/>
        <item h="1" m="1" x="2248"/>
        <item h="1" m="1" x="2369"/>
        <item h="1" m="1" x="2491"/>
        <item h="1" m="1" x="2607"/>
        <item h="1" m="1" x="2725"/>
        <item h="1" m="1" x="2841"/>
        <item h="1" m="1" x="2957"/>
        <item h="1" m="1" x="3074"/>
        <item h="1" m="1" x="3190"/>
        <item h="1" m="1" x="3307"/>
        <item h="1" m="1" x="3425"/>
        <item h="1" m="1" x="3545"/>
        <item h="1" m="1" x="3664"/>
        <item h="1" m="1" x="3784"/>
        <item h="1" m="1" x="57"/>
        <item h="1" m="1" x="178"/>
        <item h="1" m="1" x="297"/>
        <item h="1" m="1" x="412"/>
        <item h="1" m="1" x="530"/>
        <item h="1" m="1" x="647"/>
        <item h="1" m="1" x="765"/>
        <item h="1" m="1" x="877"/>
        <item h="1" m="1" x="995"/>
        <item h="1" m="1" x="1115"/>
        <item h="1" m="1" x="1231"/>
        <item h="1" m="1" x="1347"/>
        <item h="1" m="1" x="1465"/>
        <item h="1" m="1" x="1587"/>
        <item h="1" m="1" x="1704"/>
        <item h="1" m="1" x="1824"/>
        <item h="1" m="1" x="1946"/>
        <item h="1" m="1" x="2067"/>
        <item h="1" m="1" x="2183"/>
        <item h="1" m="1" x="2305"/>
        <item h="1" m="1" x="2425"/>
        <item h="1" m="1" x="2546"/>
        <item h="1" m="1" x="2660"/>
        <item h="1" m="1" x="2779"/>
        <item h="1" m="1" x="2895"/>
        <item h="1" m="1" x="3011"/>
        <item h="1" m="1" x="3127"/>
        <item h="1" m="1" x="3242"/>
        <item h="1" m="1" x="3361"/>
        <item h="1" m="1" x="3479"/>
        <item h="1" m="1" x="3598"/>
        <item h="1" m="1" x="3719"/>
        <item h="1" m="1" x="3838"/>
        <item h="1" m="1" x="113"/>
        <item h="1" m="1" x="231"/>
        <item h="1" m="1" x="350"/>
        <item h="1" m="1" x="467"/>
        <item h="1" m="1" x="582"/>
        <item h="1" m="1" x="700"/>
        <item h="1" m="1" x="816"/>
        <item h="1" m="1" x="931"/>
        <item h="1" m="1" x="1050"/>
        <item h="1" m="1" x="1168"/>
        <item h="1" m="1" x="1284"/>
        <item h="1" m="1" x="1400"/>
        <item h="1" m="1" x="1521"/>
        <item h="1" m="1" x="1639"/>
        <item h="1" m="1" x="1759"/>
        <item h="1" m="1" x="1880"/>
        <item h="1" m="1" x="2001"/>
        <item h="1" m="1" x="2119"/>
        <item h="1" m="1" x="2239"/>
        <item h="1" m="1" x="2360"/>
        <item h="1" m="1" x="2482"/>
        <item h="1" m="1" x="2597"/>
        <item h="1" m="1" x="2716"/>
        <item h="1" m="1" x="2832"/>
        <item h="1" m="1" x="2948"/>
        <item h="1" m="1" x="3063"/>
        <item h="1" m="1" x="3179"/>
        <item h="1" m="1" x="3297"/>
        <item h="1" m="1" x="3416"/>
        <item h="1" m="1" x="3533"/>
        <item h="1" m="1" x="3655"/>
        <item h="1" m="1" x="3775"/>
        <item h="1" m="1" x="48"/>
        <item h="1" m="1" x="167"/>
        <item h="1" m="1" x="288"/>
        <item h="1" m="1" x="403"/>
        <item h="1" m="1" x="521"/>
        <item h="1" m="1" x="637"/>
        <item h="1" m="1" x="756"/>
        <item h="1" m="1" x="868"/>
        <item h="1" m="1" x="986"/>
        <item h="1" m="1" x="1104"/>
        <item h="1" m="1" x="1223"/>
        <item h="1" m="1" x="1338"/>
        <item h="1" m="1" x="1457"/>
        <item h="1" m="1" x="1577"/>
        <item h="1" m="1" x="1696"/>
        <item h="1" m="1" x="1816"/>
        <item h="1" m="1" x="1938"/>
        <item h="1" m="1" x="2057"/>
        <item h="1" m="1" x="2175"/>
        <item h="1" m="1" x="2297"/>
        <item h="1" m="1" x="2417"/>
        <item h="1" m="1" x="2536"/>
        <item h="1" m="1" x="2652"/>
        <item h="1" m="1" x="2771"/>
        <item h="1" m="1" x="2887"/>
        <item h="1" m="1" x="3001"/>
        <item h="1" m="1" x="3118"/>
        <item h="1" m="1" x="3235"/>
        <item h="1" m="1" x="3354"/>
        <item h="1" m="1" x="3411"/>
        <item h="1" m="1" x="3470"/>
        <item h="1" m="1" x="3530"/>
        <item h="1" m="1" x="3591"/>
        <item h="1" m="1" x="3652"/>
        <item h="1" m="1" x="3712"/>
        <item h="1" m="1" x="3772"/>
        <item h="1" m="1" x="3831"/>
        <item h="1" m="1" x="43"/>
        <item h="1" m="1" x="104"/>
        <item h="1" m="1" x="164"/>
        <item h="1" m="1" x="224"/>
        <item h="1" m="1" x="285"/>
        <item h="1" m="1" x="343"/>
        <item h="1" m="1" x="400"/>
        <item h="1" m="1" x="460"/>
        <item h="1" m="1" x="516"/>
        <item h="1" m="1" x="574"/>
        <item h="1" m="1" x="634"/>
        <item h="1" m="1" x="693"/>
        <item h="1" m="1" x="752"/>
        <item h="1" m="1" x="809"/>
        <item h="1" m="1" x="865"/>
        <item h="1" m="1" x="923"/>
        <item h="1" m="1" x="981"/>
        <item h="1" m="1" x="1040"/>
        <item h="1" m="1" x="1100"/>
        <item h="1" m="1" x="1160"/>
        <item h="1" m="1" x="1219"/>
        <item h="1" m="1" x="1278"/>
        <item h="1" m="1" x="1335"/>
        <item h="1" m="1" x="1394"/>
        <item h="1" m="1" x="1452"/>
        <item h="1" m="1" x="1513"/>
        <item h="1" m="1" x="1574"/>
        <item h="1" m="1" x="1633"/>
        <item h="1" m="1" x="1692"/>
        <item h="1" m="1" x="1753"/>
        <item h="1" m="1" x="1813"/>
        <item h="1" m="1" x="1874"/>
        <item h="1" m="1" x="1933"/>
        <item h="1" m="1" x="1993"/>
        <item h="1" m="1" x="2054"/>
        <item h="1" m="1" x="2113"/>
        <item h="1" m="1" x="2171"/>
        <item h="1" m="1" x="2233"/>
        <item h="1" m="1" x="2294"/>
        <item h="1" m="1" x="2354"/>
        <item h="1" m="1" x="2412"/>
        <item h="1" m="1" x="2473"/>
        <item h="1" m="1" x="2533"/>
        <item h="1" m="1" x="2591"/>
        <item h="1" m="1" x="2648"/>
        <item h="1" m="1" x="2710"/>
        <item h="1" m="1" x="2768"/>
        <item h="1" m="1" x="2826"/>
        <item h="1" m="1" x="2882"/>
        <item h="1" m="1" x="2941"/>
        <item h="1" m="1" x="2998"/>
        <item h="1" m="1" x="3057"/>
        <item h="1" m="1" x="3114"/>
        <item h="1" m="1" x="3174"/>
        <item h="1" m="1" x="3232"/>
        <item h="1" m="1" x="3292"/>
        <item h="1" m="1" x="3349"/>
        <item h="1" m="1" x="3408"/>
        <item h="1" m="1" x="3467"/>
        <item h="1" m="1" x="3527"/>
        <item h="1" m="1" x="3587"/>
        <item h="1" m="1" x="3649"/>
        <item h="1" m="1" x="3709"/>
        <item h="1" m="1" x="3769"/>
        <item h="1" m="1" x="3826"/>
        <item h="1" m="1" x="40"/>
        <item h="1" m="1" x="101"/>
        <item h="1" m="1" x="161"/>
        <item h="1" m="1" x="220"/>
        <item h="1" m="1" x="282"/>
        <item h="1" m="1" x="340"/>
        <item h="1" m="1" x="397"/>
        <item h="1" m="1" x="455"/>
        <item h="1" m="1" x="513"/>
        <item h="1" m="1" x="571"/>
        <item h="1" m="1" x="631"/>
        <item h="1" m="1" x="689"/>
        <item h="1" m="1" x="749"/>
        <item h="1" m="1" x="806"/>
        <item h="1" m="1" x="862"/>
        <item h="1" m="1" x="917"/>
        <item h="1" m="1" x="977"/>
        <item h="1" m="1" x="1037"/>
        <item h="1" m="1" x="1097"/>
        <item h="1" m="1" x="1156"/>
        <item h="1" m="1" x="1216"/>
        <item h="1" m="1" x="1275"/>
        <item h="1" m="1" x="1332"/>
        <item h="1" m="1" x="1389"/>
        <item h="1" m="1" x="1449"/>
        <item h="1" m="1" x="1510"/>
        <item h="1" m="1" x="1571"/>
        <item h="1" m="1" x="1629"/>
        <item h="1" m="1" x="1689"/>
        <item h="1" m="1" x="1750"/>
        <item h="1" m="1" x="1810"/>
        <item h="1" m="1" x="1869"/>
        <item h="1" m="1" x="1930"/>
        <item h="1" m="1" x="1990"/>
        <item h="1" m="1" x="2051"/>
        <item h="1" m="1" x="2109"/>
        <item h="1" m="1" x="2168"/>
        <item h="1" m="1" x="2230"/>
        <item h="1" m="1" x="2291"/>
        <item h="1" m="1" x="2349"/>
        <item h="1" m="1" x="2408"/>
        <item h="1" m="1" x="2470"/>
        <item h="1" m="1" x="2530"/>
        <item h="1" m="1" x="2587"/>
        <item h="1" m="1" x="2645"/>
        <item h="1" m="1" x="2707"/>
        <item h="1" m="1" x="2764"/>
        <item h="1" m="1" x="2821"/>
        <item h="1" m="1" x="2878"/>
        <item h="1" m="1" x="2938"/>
        <item h="1" m="1" x="2995"/>
        <item h="1" m="1" x="3053"/>
        <item h="1" m="1" x="3111"/>
        <item h="1" m="1" x="3171"/>
        <item h="1" m="1" x="3229"/>
        <item h="1" m="1" x="3287"/>
        <item h="1" m="1" x="3346"/>
        <item h="1" m="1" x="3405"/>
        <item h="1" m="1" x="3464"/>
        <item h="1" m="1" x="3523"/>
        <item h="1" m="1" x="3584"/>
        <item h="1" m="1" x="3646"/>
        <item h="1" m="1" x="3706"/>
        <item h="1" m="1" x="3764"/>
        <item h="1" m="1" x="3823"/>
        <item h="1" m="1" x="37"/>
        <item h="1" m="1" x="98"/>
        <item h="1" m="1" x="157"/>
        <item h="1" m="1" x="217"/>
        <item h="1" m="1" x="279"/>
        <item h="1" m="1" x="337"/>
        <item h="1" m="1" x="392"/>
        <item h="1" m="1" x="452"/>
        <item h="1" m="1" x="510"/>
        <item h="1" m="1" x="568"/>
        <item h="1" m="1" x="626"/>
        <item h="1" m="1" x="685"/>
        <item h="1" m="1" x="745"/>
        <item h="1" m="1" x="803"/>
        <item h="1" m="1" x="858"/>
        <item h="1" m="1" x="914"/>
        <item h="1" m="1" x="974"/>
        <item h="1" m="1" x="1034"/>
        <item h="1" m="1" x="1093"/>
        <item h="1" m="1" x="1153"/>
        <item h="1" m="1" x="1213"/>
        <item h="1" m="1" x="1272"/>
        <item h="1" m="1" x="1327"/>
        <item h="1" m="1" x="1386"/>
        <item h="1" m="1" x="1446"/>
        <item h="1" m="1" x="1507"/>
        <item h="1" m="1" x="1567"/>
        <item h="1" m="1" x="1626"/>
        <item h="1" m="1" x="1686"/>
        <item h="1" m="1" x="1747"/>
        <item h="1" m="1" x="1805"/>
        <item h="1" m="1" x="1866"/>
        <item h="1" m="1" x="1927"/>
        <item h="1" m="1" x="1987"/>
        <item h="1" m="1" x="2047"/>
        <item h="1" m="1" x="2106"/>
        <item h="1" m="1" x="2165"/>
        <item h="1" m="1" x="2227"/>
        <item h="1" m="1" x="2286"/>
        <item h="1" m="1" x="2345"/>
        <item h="1" m="1" x="2405"/>
        <item h="1" m="1" x="2467"/>
        <item h="1" m="1" x="2526"/>
        <item h="1" m="1" x="2584"/>
        <item h="1" m="1" x="2641"/>
        <item h="1" m="1" x="2703"/>
        <item h="1" m="1" x="2760"/>
        <item h="1" m="1" x="2818"/>
        <item h="1" m="1" x="2875"/>
        <item h="1" m="1" x="2935"/>
        <item h="1" m="1" x="2991"/>
        <item h="1" m="1" x="3050"/>
        <item h="1" m="1" x="3108"/>
        <item h="1" m="1" x="3168"/>
        <item h="1" m="1" x="3224"/>
        <item h="1" m="1" x="3283"/>
        <item h="1" m="1" x="3343"/>
        <item h="1" m="1" x="3402"/>
        <item h="1" m="1" x="3460"/>
        <item h="1" m="1" x="3520"/>
        <item h="1" m="1" x="3581"/>
        <item h="1" m="1" x="3643"/>
        <item h="1" m="1" x="3701"/>
        <item h="1" m="1" x="3760"/>
        <item h="1" m="1" x="3820"/>
        <item h="1" m="1" x="34"/>
        <item h="1" m="1" x="94"/>
        <item h="1" m="1" x="154"/>
        <item h="1" m="1" x="214"/>
        <item h="1" m="1" x="276"/>
        <item h="1" m="1" x="332"/>
        <item h="1" m="1" x="389"/>
        <item h="1" m="1" x="449"/>
        <item h="1" m="1" x="507"/>
        <item h="1" m="1" x="564"/>
        <item h="1" m="1" x="622"/>
        <item h="1" m="1" x="680"/>
        <item h="1" m="1" x="741"/>
        <item h="1" m="1" x="799"/>
        <item h="1" m="1" x="855"/>
        <item h="1" m="1" x="911"/>
        <item h="1" m="1" x="971"/>
        <item h="1" m="1" x="1030"/>
        <item h="1" m="1" x="1090"/>
        <item h="1" m="1" x="1150"/>
        <item h="1" m="1" x="1210"/>
        <item h="1" m="1" x="1267"/>
        <item h="1" m="1" x="1324"/>
        <item h="1" m="1" x="1383"/>
        <item h="1" m="1" x="1443"/>
        <item h="1" m="1" x="1503"/>
        <item h="1" m="1" x="1564"/>
        <item h="1" m="1" x="1623"/>
        <item h="1" m="1" x="1683"/>
        <item h="1" m="1" x="1742"/>
        <item h="1" m="1" x="1802"/>
        <item h="1" m="1" x="1863"/>
        <item h="1" m="1" x="1924"/>
        <item h="1" m="1" x="1983"/>
        <item h="1" m="1" x="2044"/>
        <item h="1" m="1" x="2103"/>
        <item h="1" m="1" x="2162"/>
        <item h="1" m="1" x="2222"/>
        <item h="1" m="1" x="2282"/>
        <item h="1" m="1" x="2342"/>
        <item h="1" m="1" x="2402"/>
        <item h="1" m="1" x="2463"/>
        <item h="1" m="1" x="2523"/>
        <item h="1" m="1" x="2581"/>
        <item h="1" m="1" x="2638"/>
        <item h="1" m="1" x="2698"/>
        <item h="1" m="1" x="2756"/>
        <item h="1" m="1" x="2815"/>
        <item h="1" m="1" x="2872"/>
        <item h="1" m="1" x="2931"/>
        <item h="1" m="1" x="2988"/>
        <item h="1" m="1" x="3047"/>
        <item h="1" m="1" x="3105"/>
        <item h="1" m="1" x="3163"/>
        <item h="1" m="1" x="3221"/>
        <item h="1" m="1" x="3280"/>
        <item h="1" m="1" x="3340"/>
        <item h="1" m="1" x="3398"/>
        <item h="1" m="1" x="3457"/>
        <item h="1" m="1" x="3517"/>
        <item h="1" m="1" x="3578"/>
        <item h="1" m="1" x="3638"/>
        <item h="1" m="1" x="3698"/>
        <item h="1" m="1" x="3757"/>
        <item h="1" m="1" x="3817"/>
        <item h="1" m="1" x="30"/>
        <item h="1" m="1" x="91"/>
        <item h="1" m="1" x="151"/>
        <item h="1" m="1" x="211"/>
        <item h="1" m="1" x="271"/>
        <item h="1" m="1" x="329"/>
        <item h="1" m="1" x="386"/>
        <item h="1" m="1" x="446"/>
        <item h="1" m="1" x="503"/>
        <item h="1" m="1" x="560"/>
        <item h="1" m="1" x="618"/>
        <item h="1" m="1" x="677"/>
        <item h="1" m="1" x="736"/>
        <item h="1" m="1" x="796"/>
        <item h="1" m="1" x="852"/>
        <item h="1" m="1" x="908"/>
        <item h="1" m="1" x="967"/>
        <item h="1" m="1" x="1027"/>
        <item h="1" m="1" x="1087"/>
        <item h="1" m="1" x="1147"/>
        <item h="1" m="1" x="1205"/>
        <item h="1" m="1" x="1264"/>
        <item h="1" m="1" x="1321"/>
        <item h="1" m="1" x="1380"/>
        <item h="1" m="1" x="1439"/>
        <item h="1" m="1" x="1500"/>
        <item h="1" m="1" x="1561"/>
        <item h="1" m="1" x="1620"/>
        <item h="1" m="1" x="1678"/>
        <item h="1" m="1" x="1739"/>
        <item h="1" m="1" x="1799"/>
        <item h="1" m="1" x="1860"/>
        <item h="1" m="1" x="1920"/>
        <item h="1" m="1" x="1980"/>
        <item h="1" m="1" x="2041"/>
        <item h="1" m="1" x="2100"/>
        <item h="1" m="1" x="2157"/>
        <item h="1" m="1" x="2218"/>
        <item h="1" m="1" x="2279"/>
        <item h="1" m="1" x="2339"/>
        <item h="1" m="1" x="2397"/>
        <item h="1" m="1" x="2459"/>
        <item h="1" m="1" x="2520"/>
        <item h="1" m="1" x="2578"/>
        <item h="1" m="1" x="2634"/>
        <item h="1" m="1" x="2694"/>
        <item h="1" m="1" x="2753"/>
        <item h="1" m="1" x="2812"/>
        <item h="1" m="1" x="2868"/>
        <item h="1" m="1" x="2928"/>
        <item h="1" m="1" x="2985"/>
        <item h="1" m="1" x="3044"/>
        <item h="1" m="1" x="3100"/>
        <item h="1" m="1" x="3160"/>
        <item h="1" m="1" x="3218"/>
        <item h="1" m="1" x="3277"/>
        <item h="1" m="1" x="3336"/>
        <item h="1" m="1" x="3395"/>
        <item h="1" m="1" x="3454"/>
        <item h="1" m="1" x="3514"/>
        <item h="1" m="1" x="3574"/>
        <item h="1" m="1" x="3635"/>
        <item h="1" m="1" x="3695"/>
        <item h="1" m="1" x="3754"/>
        <item h="1" m="1" x="3813"/>
        <item h="1" m="1" x="26"/>
        <item h="1" m="1" x="88"/>
        <item h="1" m="1" x="148"/>
        <item h="1" m="1" x="206"/>
        <item h="1" m="1" x="268"/>
        <item h="1" m="1" x="326"/>
        <item h="1" m="1" x="383"/>
        <item h="1" m="1" x="442"/>
        <item h="1" m="1" x="500"/>
        <item h="1" m="1" x="557"/>
        <item h="1" m="1" x="615"/>
        <item h="1" m="1" x="673"/>
        <item h="1" m="1" x="733"/>
        <item h="1" m="1" x="793"/>
        <item h="1" m="1" x="849"/>
        <item h="1" m="1" x="904"/>
        <item h="1" m="1" x="964"/>
        <item h="1" m="1" x="1024"/>
        <item h="1" m="1" x="1084"/>
        <item h="1" m="1" x="1142"/>
        <item h="1" m="1" x="1202"/>
        <item h="1" m="1" x="1261"/>
        <item h="1" m="1" x="1318"/>
        <item h="1" m="1" x="1376"/>
        <item h="1" m="1" x="1436"/>
        <item h="1" m="1" x="1497"/>
        <item h="1" m="1" x="1558"/>
        <item h="1" m="1" x="1616"/>
        <item h="1" m="1" x="1675"/>
        <item h="1" m="1" x="1736"/>
        <item h="1" m="1" x="1796"/>
        <item h="1" m="1" x="1856"/>
        <item h="1" m="1" x="1917"/>
        <item h="1" m="1" x="1977"/>
        <item h="1" m="1" x="2038"/>
        <item h="1" m="1" x="2095"/>
        <item h="1" m="1" x="2153"/>
        <item h="1" m="1" x="2215"/>
        <item h="1" m="1" x="2275"/>
        <item h="1" m="1" x="2334"/>
        <item h="1" m="1" x="2394"/>
        <item h="1" m="1" x="2456"/>
        <item h="1" m="1" x="2517"/>
        <item h="1" m="1" x="2574"/>
        <item h="1" m="1" x="2630"/>
        <item h="1" m="1" x="2691"/>
        <item h="1" m="1" x="2750"/>
        <item h="1" m="1" x="2808"/>
        <item h="1" m="1" x="2865"/>
        <item h="1" m="1" x="2925"/>
        <item h="1" m="1" x="2982"/>
        <item h="1" m="1" x="3039"/>
        <item h="1" m="1" x="3097"/>
        <item h="1" m="1" x="3157"/>
        <item h="1" m="1" x="3215"/>
        <item h="1" m="1" x="3273"/>
        <item h="1" m="1" x="3333"/>
        <item h="1" m="1" x="3392"/>
        <item h="1" m="1" x="3451"/>
        <item h="1" m="1" x="3510"/>
        <item h="1" m="1" x="3571"/>
        <item h="1" m="1" x="3632"/>
        <item h="1" m="1" x="3692"/>
        <item h="1" m="1" x="3750"/>
        <item h="1" m="1" x="3810"/>
        <item h="1" m="1" x="3869"/>
        <item h="1" m="1" x="85"/>
        <item h="1" m="1" x="143"/>
        <item h="1" m="1" x="203"/>
        <item h="1" m="1" x="263"/>
        <item h="1" m="1" x="323"/>
        <item h="1" m="1" x="379"/>
        <item h="1" m="1" x="439"/>
        <item h="1" m="1" x="497"/>
        <item h="1" m="1" x="554"/>
        <item h="1" m="1" x="610"/>
        <item h="1" m="1" x="670"/>
        <item h="1" m="1" x="730"/>
        <item h="1" m="1" x="790"/>
        <item h="1" m="1" x="845"/>
        <item h="1" m="1" x="901"/>
        <item h="1" m="1" x="961"/>
        <item h="1" m="1" x="1021"/>
        <item h="1" m="1" x="1079"/>
        <item h="1" m="1" x="1139"/>
        <item h="1" m="1" x="1199"/>
        <item h="1" m="1" x="1258"/>
        <item h="1" m="1" x="1314"/>
        <item h="1" m="1" x="1373"/>
        <item h="1" m="1" x="1433"/>
        <item h="1" m="1" x="1494"/>
        <item h="1" m="1" x="1553"/>
        <item h="1" m="1" x="1613"/>
        <item h="1" m="1" x="1672"/>
        <item h="1" m="1" x="1733"/>
        <item h="1" m="1" x="1792"/>
        <item h="1" m="1" x="1853"/>
        <item h="1" m="1" x="1914"/>
        <item h="1" m="1" x="1974"/>
        <item h="1" m="1" x="2033"/>
        <item h="1" m="1" x="2091"/>
        <item h="1" m="1" x="2150"/>
        <item h="1" m="1" x="2211"/>
        <item h="1" m="1" x="2270"/>
        <item h="1" m="1" x="2331"/>
        <item h="1" m="1" x="2391"/>
        <item h="1" m="1" x="2453"/>
        <item h="1" m="1" x="2512"/>
        <item h="1" m="1" x="2570"/>
        <item h="1" m="1" x="2627"/>
        <item h="1" m="1" x="2688"/>
        <item h="1" m="1" x="2746"/>
        <item h="1" m="1" x="2805"/>
        <item h="1" m="1" x="2862"/>
        <item h="1" m="1" x="2922"/>
        <item h="1" m="1" x="2977"/>
        <item h="1" m="1" x="3035"/>
        <item h="1" m="1" x="3094"/>
        <item h="1" m="1" x="3154"/>
        <item h="1" m="1" x="3211"/>
        <item h="1" m="1" x="3270"/>
        <item h="1" m="1" x="3330"/>
        <item h="1" m="1" x="3389"/>
        <item h="1" m="1" x="3446"/>
        <item h="1" m="1" x="3506"/>
        <item h="1" m="1" x="3568"/>
        <item h="1" m="1" x="3629"/>
        <item h="1" m="1" x="3688"/>
        <item h="1" m="1" x="3747"/>
        <item h="1" m="1" x="3807"/>
        <item h="1" m="1" x="3866"/>
        <item h="1" m="1" x="80"/>
        <item h="1" m="1" x="140"/>
        <item h="1" m="1" x="199"/>
        <item h="1" m="1" x="260"/>
        <item h="1" m="1" x="320"/>
        <item h="1" m="1" x="377"/>
        <item h="1" m="1" x="436"/>
        <item h="1" m="1" x="495"/>
        <item h="1" m="1" x="551"/>
        <item h="1" m="1" x="608"/>
        <item h="1" m="1" x="668"/>
        <item h="1" m="1" x="728"/>
        <item h="1" m="1" x="787"/>
        <item h="1" m="1" x="843"/>
        <item h="1" m="1" x="899"/>
        <item h="1" m="1" x="959"/>
        <item h="1" m="1" x="1017"/>
        <item h="1" m="1" x="1077"/>
        <item h="1" m="1" x="1137"/>
        <item h="1" m="1" x="1197"/>
        <item h="1" m="1" x="1255"/>
        <item h="1" m="1" x="1312"/>
        <item h="1" m="1" x="1371"/>
        <item h="1" m="1" x="1431"/>
        <item h="1" m="1" x="1489"/>
        <item h="1" m="1" x="1551"/>
        <item h="1" m="1" x="1611"/>
        <item h="1" m="1" x="1670"/>
        <item h="1" m="1" x="1730"/>
        <item h="1" m="1" x="1790"/>
        <item h="1" m="1" x="1851"/>
        <item h="1" m="1" x="1912"/>
        <item h="1" m="1" x="1970"/>
        <item h="1" m="1" x="2029"/>
        <item h="1" m="1" x="2090"/>
        <item h="1" m="1" x="2149"/>
        <item h="1" m="1" x="2209"/>
        <item h="1" m="1" x="2269"/>
        <item h="1" m="1" x="2330"/>
        <item h="1" m="1" x="2390"/>
        <item h="1" m="1" x="2449"/>
        <item h="1" m="1" x="2510"/>
        <item h="1" m="1" x="2569"/>
        <item h="1" m="1" x="2626"/>
        <item h="1" m="1" x="2686"/>
        <item h="1" m="1" x="2745"/>
        <item h="1" m="1" x="2804"/>
        <item h="1" m="1" x="2861"/>
        <item h="1" m="1" x="957"/>
        <item h="1" m="1" x="2919"/>
        <item h="1" m="1" x="1016"/>
        <item h="1" m="1" x="2976"/>
        <item h="1" m="1" x="1075"/>
        <item h="1" m="1" x="3034"/>
        <item h="1" m="1" x="1136"/>
        <item h="1" m="1" x="3093"/>
        <item h="1" m="1" x="1195"/>
        <item h="1" m="1" x="3152"/>
        <item h="1" m="1" x="1254"/>
        <item h="1" m="1" x="3210"/>
        <item h="1" m="1" x="1310"/>
        <item h="1" m="1" x="3269"/>
        <item h="1" m="1" x="1370"/>
        <item h="1" m="1" x="3329"/>
        <item h="1" m="1" x="1429"/>
        <item h="1" m="1" x="3385"/>
        <item h="1" m="1" x="1488"/>
        <item h="1" m="1" x="3445"/>
        <item h="1" m="1" x="1549"/>
        <item h="1" m="1" x="3505"/>
        <item h="1" m="1" x="1610"/>
        <item h="1" m="1" x="3567"/>
        <item h="1" m="1" x="1668"/>
        <item h="1" m="1" x="3627"/>
        <item h="1" m="1" x="1729"/>
        <item h="1" m="1" x="3687"/>
        <item h="1" m="1" x="1788"/>
        <item h="1" m="1" x="3746"/>
        <item h="1" m="1" x="1850"/>
        <item h="1" m="1" x="3806"/>
        <item h="1" m="1" x="1909"/>
        <item h="1" m="1" x="3863"/>
        <item h="1" m="1" x="1968"/>
        <item h="1" m="1" x="77"/>
        <item h="1" m="1" x="2027"/>
        <item h="1" m="1" x="137"/>
        <item h="1" m="1" x="2089"/>
        <item h="1" m="1" x="198"/>
        <item h="1" m="1" x="2147"/>
        <item h="1" m="1" x="258"/>
        <item h="1" m="1" x="2208"/>
        <item h="1" m="1" x="319"/>
        <item h="1" m="1" x="2267"/>
        <item h="1" m="1" x="375"/>
        <item h="1" m="1" x="2329"/>
        <item h="1" m="1" x="435"/>
        <item h="1" m="1" x="2388"/>
        <item h="1" m="1" x="491"/>
        <item h="1" m="1" x="2447"/>
        <item h="1" m="1" x="550"/>
        <item h="1" m="1" x="2508"/>
        <item h="1" m="1" x="606"/>
        <item h="1" m="1" x="2568"/>
        <item h="1" m="1" x="667"/>
        <item h="1" m="1" x="2624"/>
        <item h="1" m="1" x="726"/>
        <item h="1" m="1" x="2685"/>
        <item h="1" m="1" x="786"/>
        <item h="1" m="1" x="2743"/>
        <item h="1" m="1" x="841"/>
        <item h="1" m="1" x="2803"/>
        <item h="1" m="1" x="898"/>
        <item h="1" m="1" x="2859"/>
        <item h="1" m="1" x="955"/>
        <item h="1" m="1" x="2918"/>
        <item h="1" m="1" x="1015"/>
        <item h="1" m="1" x="2974"/>
        <item h="1" m="1" x="1074"/>
        <item h="1" m="1" x="3033"/>
        <item h="1" m="1" x="1135"/>
        <item h="1" m="1" x="3091"/>
        <item h="1" m="1" x="1194"/>
        <item h="1" m="1" x="3151"/>
        <item h="1" m="1" x="1253"/>
        <item h="1" m="1" x="3208"/>
        <item h="1" m="1" x="1309"/>
        <item h="1" m="1" x="3268"/>
        <item h="1" m="1" x="1369"/>
        <item h="1" m="1" x="3326"/>
        <item h="1" m="1" x="1425"/>
        <item h="1" m="1" x="3383"/>
        <item h="1" m="1" x="1486"/>
        <item h="1" m="1" x="3442"/>
        <item h="1" m="1" x="1547"/>
        <item h="1" m="1" x="3503"/>
        <item h="1" m="1" x="1608"/>
        <item h="1" m="1" x="3564"/>
        <item h="1" m="1" x="1666"/>
        <item h="1" m="1" x="3625"/>
        <item h="1" m="1" x="1727"/>
        <item h="1" m="1" x="3684"/>
        <item h="1" m="1" x="1786"/>
        <item h="1" m="1" x="3744"/>
        <item h="1" m="1" x="1847"/>
        <item h="1" m="1" x="3803"/>
        <item h="1" m="1" x="1905"/>
        <item h="1" m="1" x="3860"/>
        <item h="1" m="1" x="1966"/>
        <item h="1" m="1" x="74"/>
        <item h="1" m="1" x="2025"/>
        <item h="1" m="1" x="135"/>
        <item h="1" m="1" x="2087"/>
        <item h="1" m="1" x="195"/>
        <item h="1" m="1" x="2145"/>
        <item h="1" m="1" x="256"/>
        <item h="1" m="1" x="2206"/>
        <item h="1" m="1" x="316"/>
        <item h="1" m="1" x="2265"/>
        <item h="1" m="1" x="373"/>
        <item h="1" m="1" x="2327"/>
        <item h="1" m="1" x="432"/>
        <item h="1" m="1" x="2385"/>
        <item h="1" m="1" x="489"/>
        <item h="1" m="1" x="2445"/>
        <item h="1" m="1" x="547"/>
        <item h="1" m="1" x="2506"/>
        <item h="1" m="1" x="604"/>
        <item h="1" m="1" x="2566"/>
        <item h="1" m="1" x="664"/>
        <item h="1" m="1" x="2622"/>
        <item h="1" m="1" x="724"/>
        <item h="1" m="1" x="2683"/>
        <item h="1" m="1" x="783"/>
        <item h="1" m="1" x="2741"/>
        <item h="1" m="1" x="839"/>
        <item h="1" m="1" x="2801"/>
        <item h="1" m="1" x="895"/>
        <item h="1" m="1" x="2856"/>
        <item h="1" m="1" x="953"/>
        <item h="1" m="1" x="2915"/>
        <item h="1" m="1" x="1012"/>
        <item h="1" m="1" x="2972"/>
        <item h="1" m="1" x="1072"/>
        <item h="1" m="1" x="3031"/>
        <item h="1" m="1" x="1132"/>
        <item h="1" m="1" x="3089"/>
        <item h="1" m="1" x="1192"/>
        <item h="1" m="1" x="3149"/>
        <item h="1" m="1" x="1250"/>
        <item h="1" m="1" x="3206"/>
        <item h="1" m="1" x="1307"/>
        <item h="1" m="1" x="3266"/>
        <item h="1" m="1" x="1366"/>
        <item h="1" m="1" x="3323"/>
        <item h="1" m="1" x="1423"/>
        <item h="1" m="1" x="3381"/>
        <item h="1" m="1" x="1483"/>
        <item h="1" m="1" x="3440"/>
        <item h="1" m="1" x="1545"/>
        <item h="1" m="1" x="3501"/>
        <item h="1" m="1" x="1605"/>
        <item h="1" m="1" x="3562"/>
        <item h="1" m="1" x="1664"/>
        <item h="1" m="1" x="3623"/>
        <item h="1" m="1" x="1724"/>
        <item h="1" m="1" x="3682"/>
        <item h="1" m="1" x="1784"/>
        <item h="1" m="1" x="3741"/>
        <item h="1" m="1" x="1843"/>
        <item h="1" m="1" x="3800"/>
        <item h="1" m="1" x="1902"/>
        <item h="1" m="1" x="3858"/>
        <item h="1" m="1" x="1963"/>
        <item h="1" m="1" x="72"/>
        <item h="1" m="1" x="2023"/>
        <item h="1" m="1" x="133"/>
        <item h="1" m="1" x="2084"/>
        <item h="1" m="1" x="193"/>
        <item h="1" m="1" x="2143"/>
        <item h="1" m="1" x="254"/>
        <item h="1" m="1" x="2203"/>
        <item h="1" m="1" x="314"/>
        <item h="1" m="1" x="2263"/>
        <item h="1" m="1" x="371"/>
        <item h="1" m="1" x="2324"/>
        <item h="1" m="1" x="428"/>
        <item h="1" m="1" x="2382"/>
        <item h="1" m="1" x="487"/>
        <item h="1" m="1" x="2442"/>
        <item h="1" m="1" x="545"/>
        <item h="1" m="1" x="2504"/>
        <item h="1" m="1" x="602"/>
        <item h="1" m="1" x="2563"/>
        <item h="1" m="1" x="662"/>
        <item h="1" m="1" x="2620"/>
        <item h="1" m="1" x="722"/>
        <item h="1" m="1" x="2680"/>
        <item h="1" m="1" x="781"/>
        <item h="1" m="1" x="2739"/>
        <item h="1" m="1" x="837"/>
        <item h="1" m="1" x="2798"/>
        <item h="1" m="1" x="892"/>
        <item h="1" m="1" x="2854"/>
        <item h="1" m="1" x="951"/>
        <item h="1" m="1" x="2912"/>
        <item h="1" m="1" x="1010"/>
        <item h="1" m="1" x="2970"/>
        <item h="1" m="1" x="1070"/>
        <item h="1" m="1" x="3028"/>
        <item h="1" m="1" x="1130"/>
        <item h="1" m="1" x="3087"/>
        <item h="1" m="1" x="1190"/>
        <item h="1" m="1" x="3146"/>
        <item h="1" m="1" x="1248"/>
        <item h="1" m="1" x="3204"/>
        <item h="1" m="1" x="1305"/>
        <item h="1" m="1" x="3263"/>
        <item h="1" m="1" x="1363"/>
        <item h="1" m="1" x="3321"/>
        <item h="1" m="1" x="1421"/>
        <item h="1" m="1" x="3378"/>
        <item h="1" m="1" x="1481"/>
        <item h="1" m="1" x="3438"/>
        <item h="1" m="1" x="1543"/>
        <item h="1" m="1" x="3498"/>
        <item h="1" m="1" x="1603"/>
        <item h="1" m="1" x="3560"/>
        <item h="1" m="1" x="1662"/>
        <item h="1" m="1" x="3620"/>
        <item h="1" m="1" x="1722"/>
        <item h="1" m="1" x="3679"/>
        <item h="1" m="1" x="1781"/>
        <item h="1" m="1" x="3738"/>
        <item h="1" m="1" x="1840"/>
        <item h="1" m="1" x="3797"/>
        <item h="1" m="1" x="1900"/>
        <item h="1" m="1" x="3855"/>
        <item h="1" m="1" x="1961"/>
        <item h="1" m="1" x="70"/>
        <item h="1" m="1" x="2021"/>
        <item h="1" m="1" x="130"/>
        <item h="1" m="1" x="2082"/>
        <item h="1" m="1" x="191"/>
        <item h="1" m="1" x="2141"/>
        <item h="1" m="1" x="251"/>
        <item h="1" m="1" x="2201"/>
        <item h="1" m="1" x="312"/>
        <item h="1" m="1" x="2261"/>
        <item h="1" m="1" x="368"/>
        <item h="1" m="1" x="2321"/>
        <item h="1" m="1" x="426"/>
        <item h="1" m="1" x="2380"/>
        <item h="1" m="1" x="484"/>
        <item h="1" m="1" x="2440"/>
        <item h="1" m="1" x="543"/>
        <item h="1" m="1" x="2502"/>
        <item h="1" m="1" x="599"/>
        <item h="1" m="1" x="2561"/>
        <item h="1" m="1" x="660"/>
        <item h="1" m="1" x="2618"/>
        <item h="1" m="1" x="719"/>
        <item h="1" m="1" x="2678"/>
        <item h="1" m="1" x="779"/>
        <item h="1" m="1" x="2737"/>
        <item h="1" m="1" x="834"/>
        <item h="1" m="1" x="2795"/>
        <item h="1" m="1" x="890"/>
        <item h="1" m="1" x="2852"/>
        <item h="1" m="1" x="948"/>
        <item h="1" m="1" x="2910"/>
        <item h="1" m="1" x="1008"/>
        <item h="1" m="1" x="2968"/>
        <item h="1" m="1" x="1067"/>
        <item h="1" m="1" x="3026"/>
        <item h="1" m="1" x="1128"/>
        <item h="1" m="1" x="3085"/>
        <item h="1" m="1" x="1187"/>
        <item h="1" m="1" x="3144"/>
        <item h="1" m="1" x="1246"/>
        <item h="1" m="1" x="3202"/>
        <item h="1" m="1" x="1302"/>
        <item h="1" m="1" x="3260"/>
        <item h="1" m="1" x="1361"/>
        <item h="1" m="1" x="3319"/>
        <item h="1" m="1" x="1418"/>
        <item h="1" m="1" x="3376"/>
        <item h="1" m="1" x="1479"/>
        <item h="1" m="1" x="3436"/>
        <item h="1" m="1" x="1540"/>
        <item h="1" m="1" x="3496"/>
        <item h="1" m="1" x="1601"/>
        <item h="1" m="1" x="3558"/>
        <item h="1" m="1" x="1659"/>
        <item h="1" m="1" x="3617"/>
        <item h="1" m="1" x="1720"/>
        <item h="1" m="1" x="3677"/>
        <item h="1" m="1" x="1778"/>
        <item h="1" m="1" x="3735"/>
        <item h="1" m="1" x="1837"/>
        <item h="1" m="1" x="3795"/>
        <item h="1" m="1" x="1897"/>
        <item h="1" m="1" x="3853"/>
        <item h="1" m="1" x="1959"/>
        <item h="1" m="1" x="68"/>
        <item h="1" m="1" x="2018"/>
        <item h="1" m="1" x="128"/>
        <item h="1" m="1" x="2080"/>
        <item h="1" m="1" x="189"/>
        <item h="1" m="1" x="2138"/>
        <item h="1" m="1" x="249"/>
        <item h="1" m="1" x="2199"/>
        <item h="1" m="1" x="310"/>
        <item h="1" m="1" x="2258"/>
        <item h="1" m="1" x="365"/>
        <item h="1" m="1" x="2318"/>
        <item h="1" m="1" x="424"/>
        <item h="1" m="1" x="2377"/>
        <item h="1" m="1" x="482"/>
        <item h="1" m="1" x="2438"/>
        <item h="1" m="1" x="541"/>
        <item h="1" m="1" x="2499"/>
        <item h="1" m="1" x="597"/>
        <item h="1" m="1" x="2559"/>
        <item h="1" m="1" x="658"/>
        <item h="1" m="1" x="2615"/>
        <item h="1" m="1" x="717"/>
        <item h="1" m="1" x="2676"/>
        <item h="1" m="1" x="777"/>
        <item h="1" m="1" x="2734"/>
        <item h="1" m="1" x="831"/>
        <item h="1" m="1" x="2793"/>
        <item h="1" m="1" x="888"/>
        <item h="1" m="1" x="2849"/>
        <item h="1" m="1" x="946"/>
        <item h="1" m="1" x="2908"/>
        <item h="1" m="1" x="1006"/>
        <item h="1" m="1" x="2965"/>
        <item h="1" m="1" x="1065"/>
        <item h="1" m="1" x="3024"/>
        <item h="1" m="1" x="1126"/>
        <item h="1" m="1" x="3082"/>
        <item h="1" m="1" x="1185"/>
        <item h="1" m="1" x="3142"/>
        <item h="1" m="1" x="1244"/>
        <item h="1" m="1" x="3199"/>
        <item h="1" m="1" x="1299"/>
        <item h="1" m="1" x="3258"/>
        <item h="1" m="1" x="1359"/>
        <item h="1" m="1" x="3316"/>
        <item h="1" m="1" x="1416"/>
        <item h="1" m="1" x="3374"/>
        <item h="1" m="1" x="1477"/>
        <item h="1" m="1" x="3433"/>
        <item h="1" m="1" x="1538"/>
        <item h="1" m="1" x="3494"/>
        <item h="1" m="1" x="1599"/>
        <item h="1" m="1" x="3554"/>
        <item h="1" m="1" x="1657"/>
        <item h="1" m="1" x="3614"/>
        <item h="1" m="1" x="1718"/>
        <item h="1" m="1" x="3674"/>
        <item h="1" m="1" x="1775"/>
        <item h="1" m="1" x="3732"/>
        <item h="1" m="1" x="1835"/>
        <item h="1" m="1" x="3792"/>
        <item h="1" m="1" x="1895"/>
        <item h="1" m="1" x="3851"/>
        <item h="1" m="1" x="1957"/>
        <item h="1" m="1" x="65"/>
        <item h="1" m="1" x="2016"/>
        <item h="1" m="1" x="126"/>
        <item h="1" m="1" x="2078"/>
        <item h="1" m="1" x="186"/>
        <item h="1" m="1" x="2136"/>
        <item h="1" m="1" x="247"/>
        <item h="1" m="1" x="2197"/>
        <item h="1" m="1" x="307"/>
        <item h="1" m="1" x="2255"/>
        <item h="1" m="1" x="363"/>
        <item h="1" m="1" x="2316"/>
        <item h="1" m="1" x="420"/>
        <item h="1" m="1" x="2375"/>
        <item h="1" m="1" x="480"/>
        <item h="1" m="1" x="2436"/>
        <item h="1" m="1" x="538"/>
        <item h="1" m="1" x="2497"/>
        <item h="1" m="1" x="595"/>
        <item h="1" m="1" x="2557"/>
        <item h="1" m="1" x="655"/>
        <item h="1" m="1" x="2613"/>
        <item h="1" m="1" x="715"/>
        <item h="1" m="1" x="2674"/>
        <item h="1" m="1" x="774"/>
        <item h="1" m="1" x="2731"/>
        <item h="1" m="1" x="829"/>
        <item h="1" m="1" x="2790"/>
        <item h="1" m="1" x="885"/>
        <item h="1" m="1" x="2847"/>
        <item h="1" m="1" x="944"/>
        <item h="1" m="1" x="2906"/>
        <item h="1" m="1" x="1003"/>
        <item h="1" m="1" x="2963"/>
        <item h="1" m="1" x="1063"/>
        <item h="1" m="1" x="3022"/>
        <item h="1" m="1" x="1123"/>
        <item h="1" m="1" x="3080"/>
        <item h="1" m="1" x="1183"/>
        <item h="1" m="1" x="3140"/>
        <item h="1" m="1" x="1241"/>
        <item h="1" m="1" x="3196"/>
        <item h="1" m="1" x="1297"/>
        <item h="1" m="1" x="3255"/>
        <item h="1" m="1" x="1356"/>
        <item h="1" m="1" x="3314"/>
        <item h="1" m="1" x="1414"/>
        <item h="1" m="1" x="3372"/>
        <item h="1" m="1" x="1473"/>
        <item h="1" m="1" x="3431"/>
        <item h="1" m="1" x="1535"/>
        <item h="1" m="1" x="3491"/>
        <item h="1" m="1" x="1595"/>
        <item h="1" m="1" x="3551"/>
        <item h="1" m="1" x="1655"/>
        <item h="1" m="1" x="3612"/>
        <item h="1" m="1" x="1715"/>
        <item h="1" m="1" x="3671"/>
        <item h="1" m="1" x="1772"/>
        <item h="1" m="1" x="3730"/>
        <item h="1" m="1" x="1832"/>
        <item h="1" m="1" x="3790"/>
        <item h="1" m="1" x="1893"/>
        <item h="1" m="1" x="3849"/>
        <item h="1" m="1" x="1954"/>
        <item h="1" m="1" x="63"/>
        <item h="1" m="1" x="2014"/>
        <item h="1" m="1" x="124"/>
        <item h="1" m="1" x="2075"/>
        <item h="1" m="1" x="184"/>
        <item h="1" m="1" x="2134"/>
        <item h="1" m="1" x="245"/>
        <item h="1" m="1" x="2194"/>
        <item h="1" m="1" x="304"/>
        <item h="1" m="1" x="2252"/>
        <item h="1" m="1" x="361"/>
        <item h="1" m="1" x="2313"/>
        <item h="1" m="1" x="418"/>
        <item h="1" m="1" x="2373"/>
        <item h="1" m="1" x="478"/>
        <item h="1" m="1" x="2433"/>
        <item h="1" m="1" x="536"/>
        <item h="1" m="1" x="2495"/>
        <item h="1" m="1" x="593"/>
        <item h="1" m="1" x="2554"/>
        <item h="1" m="1" x="653"/>
        <item h="1" m="1" x="2611"/>
        <item h="1" m="1" x="713"/>
        <item h="1" m="1" x="2671"/>
        <item h="1" m="1" x="771"/>
        <item h="1" m="1" x="2729"/>
        <item h="1" m="1" x="827"/>
        <item h="1" m="1" x="2787"/>
        <item h="1" m="1" x="883"/>
        <item h="1" m="1" x="2845"/>
        <item h="1" m="1" x="942"/>
        <item h="1" m="1" x="2903"/>
        <item h="1" m="1" x="1001"/>
        <item h="1" m="1" x="2961"/>
        <item h="1" m="1" x="1061"/>
        <item h="1" m="1" x="3019"/>
        <item h="1" m="1" x="1121"/>
        <item h="1" m="1" x="3078"/>
        <item h="1" m="1" x="1181"/>
        <item h="1" m="1" x="3137"/>
        <item h="1" m="1" x="1237"/>
        <item h="1" m="1" x="3194"/>
        <item h="1" m="1" x="1295"/>
        <item h="1" m="1" x="3252"/>
        <item h="1" m="1" x="1354"/>
        <item h="1" m="1" x="3312"/>
        <item h="1" m="1" x="1412"/>
        <item h="1" m="1" x="3369"/>
        <item h="1" m="1" x="1471"/>
        <item h="1" m="1" x="3429"/>
        <item h="1" m="1" x="1532"/>
        <item h="1" m="1" x="3487"/>
        <item h="1" m="1" x="1593"/>
        <item h="1" m="1" x="3549"/>
        <item h="1" m="1" x="1653"/>
        <item h="1" m="1" x="3609"/>
        <item h="1" m="1" x="1711"/>
        <item h="1" m="1" x="3668"/>
        <item h="1" m="1" x="1770"/>
        <item h="1" m="1" x="3727"/>
        <item h="1" m="1" x="1830"/>
        <item h="1" m="1" x="3788"/>
        <item h="1" m="1" x="1891"/>
        <item h="1" m="1" x="3846"/>
        <item h="1" m="1" x="1952"/>
        <item h="1" m="1" x="61"/>
        <item h="1" m="1" x="2012"/>
        <item h="1" m="1" x="121"/>
        <item h="1" m="1" x="2073"/>
        <item h="1" m="1" x="182"/>
        <item h="1" m="1" x="2132"/>
        <item h="1" m="1" x="242"/>
        <item h="1" m="1" x="2190"/>
        <item h="1" m="1" x="301"/>
        <item h="1" m="1" x="2250"/>
        <item h="1" m="1" x="358"/>
        <item h="1" m="1" x="2311"/>
        <item h="1" m="1" x="416"/>
        <item h="1" m="1" x="2371"/>
        <item h="1" m="1" x="475"/>
        <item h="1" m="1" x="2431"/>
        <item h="1" m="1" x="534"/>
        <item h="1" m="1" x="2493"/>
        <item h="1" m="1" x="590"/>
        <item h="1" m="1" x="2552"/>
        <item h="1" m="1" x="651"/>
        <item h="1" m="1" x="2609"/>
        <item h="1" m="1" x="710"/>
        <item h="1" m="1" x="2667"/>
        <item h="1" m="1" x="769"/>
        <item h="1" m="1" x="2727"/>
        <item h="1" m="1" x="824"/>
        <item h="1" m="1" x="2785"/>
        <item h="1" m="1" x="881"/>
        <item h="1" m="1" x="2843"/>
        <item h="1" m="1" x="939"/>
        <item h="1" m="1" x="2901"/>
        <item h="1" m="1" x="999"/>
        <item h="1" m="1" x="2959"/>
        <item h="1" m="1" x="1058"/>
        <item h="1" m="1" x="3017"/>
        <item h="1" m="1" x="1119"/>
        <item h="1" m="1" x="3076"/>
        <item h="1" m="1" x="1178"/>
        <item h="1" m="1" x="3134"/>
        <item h="1" m="1" x="1235"/>
        <item h="1" m="1" x="3192"/>
        <item h="1" m="1" x="1292"/>
        <item h="1" m="1" x="3250"/>
        <item h="1" m="1" x="1352"/>
        <item h="1" m="1" x="3310"/>
        <item h="1" m="1" x="1409"/>
        <item h="1" m="1" x="3367"/>
        <item h="1" m="1" x="1469"/>
        <item h="1" m="1" x="3427"/>
        <item h="1" m="1" x="1529"/>
        <item h="1" m="1" x="3485"/>
        <item h="1" m="1" x="1591"/>
        <item h="1" m="1" x="3547"/>
        <item h="1" m="1" x="1650"/>
        <item h="1" m="1" x="3605"/>
        <item h="1" m="1" x="1708"/>
        <item h="1" m="1" x="3666"/>
        <item h="1" m="1" x="1767"/>
        <item h="1" m="1" x="3725"/>
        <item h="1" m="1" x="1828"/>
        <item h="1" m="1" x="3786"/>
        <item h="1" m="1" x="1888"/>
        <item h="1" m="1" x="3844"/>
        <item h="1" m="1" x="1950"/>
        <item h="1" m="1" x="59"/>
        <item h="1" m="1" x="2009"/>
        <item h="1" m="1" x="119"/>
        <item h="1" m="1" x="2071"/>
        <item h="1" m="1" x="180"/>
        <item h="1" m="1" x="2129"/>
        <item h="1" m="1" x="238"/>
        <item h="1" m="1" x="2187"/>
        <item h="1" m="1" x="299"/>
        <item h="1" m="1" x="2247"/>
        <item h="1" m="1" x="356"/>
        <item h="1" m="1" x="2309"/>
        <item h="1" m="1" x="414"/>
        <item h="1" m="1" x="2368"/>
        <item h="1" m="1" x="473"/>
        <item h="1" m="1" x="2429"/>
        <item h="1" m="1" x="532"/>
        <item h="1" m="1" x="2490"/>
        <item h="1" m="1" x="588"/>
        <item h="1" m="1" x="2550"/>
        <item h="1" m="1" x="649"/>
        <item h="1" m="1" x="2606"/>
        <item h="1" m="1" x="706"/>
        <item h="1" m="1" x="2665"/>
        <item h="1" m="1" x="767"/>
        <item h="1" m="1" x="2724"/>
        <item h="1" m="1" x="822"/>
        <item h="1" m="1" x="2783"/>
        <item h="1" m="1" x="879"/>
        <item h="1" m="1" x="2840"/>
        <item h="1" m="1" x="937"/>
        <item h="1" m="1" x="2899"/>
        <item h="1" m="1" x="997"/>
        <item h="1" m="1" x="2956"/>
        <item h="1" m="1" x="1056"/>
        <item h="1" m="1" x="3015"/>
        <item h="1" m="1" x="1117"/>
        <item h="1" m="1" x="3073"/>
        <item h="1" m="1" x="1174"/>
        <item h="1" m="1" x="3132"/>
        <item h="1" m="1" x="1233"/>
        <item h="1" m="1" x="3189"/>
        <item h="1" m="1" x="1290"/>
        <item h="1" m="1" x="3248"/>
        <item h="1" m="1" x="1350"/>
        <item h="1" m="1" x="3306"/>
        <item h="1" m="1" x="1406"/>
        <item h="1" m="1" x="3365"/>
        <item h="1" m="1" x="1467"/>
        <item h="1" m="1" x="3424"/>
        <item h="1" m="1" x="1527"/>
        <item h="1" m="1" x="3483"/>
        <item h="1" m="1" x="1589"/>
        <item h="1" m="1" x="3544"/>
        <item h="1" m="1" x="1646"/>
        <item h="1" m="1" x="3602"/>
        <item h="1" m="1" x="1706"/>
        <item h="1" m="1" x="3663"/>
        <item h="1" m="1" x="1765"/>
        <item h="1" m="1" x="3723"/>
        <item h="1" m="1" x="1826"/>
        <item h="1" m="1" x="3783"/>
        <item h="1" m="1" x="1886"/>
        <item h="1" m="1" x="3842"/>
        <item h="1" m="1" x="1948"/>
        <item h="1" m="1" x="56"/>
        <item h="1" m="1" x="2007"/>
        <item h="1" m="1" x="117"/>
        <item h="1" m="1" x="2069"/>
        <item h="1" m="1" x="177"/>
        <item h="1" m="1" x="2126"/>
        <item h="1" m="1" x="235"/>
        <item h="1" m="1" x="2185"/>
        <item h="1" m="1" x="296"/>
        <item h="1" m="1" x="2245"/>
        <item h="1" m="1" x="354"/>
        <item h="1" m="1" x="2307"/>
        <item h="1" m="1" x="411"/>
        <item h="1" m="1" x="2366"/>
        <item h="1" m="1" x="471"/>
        <item h="1" m="1" x="2427"/>
        <item h="1" m="1" x="529"/>
        <item h="1" m="1" x="2488"/>
        <item h="1" m="1" x="586"/>
        <item h="1" m="1" x="2548"/>
        <item h="1" m="1" x="646"/>
        <item h="1" m="1" x="2603"/>
        <item h="1" m="1" x="704"/>
        <item h="1" m="1" x="2662"/>
        <item h="1" m="1" x="764"/>
        <item h="1" m="1" x="2722"/>
        <item h="1" m="1" x="820"/>
        <item h="1" m="1" x="2781"/>
        <item h="1" m="1" x="876"/>
        <item h="1" m="1" x="2838"/>
        <item h="1" m="1" x="935"/>
        <item h="1" m="1" x="2897"/>
        <item h="1" m="1" x="994"/>
        <item h="1" m="1" x="2954"/>
        <item h="1" m="1" x="1054"/>
        <item h="1" m="1" x="3013"/>
        <item h="1" m="1" x="1114"/>
        <item h="1" m="1" x="3069"/>
        <item h="1" m="1" x="1172"/>
        <item h="1" m="1" x="3129"/>
        <item h="1" m="1" x="1230"/>
        <item h="1" m="1" x="3187"/>
        <item h="1" m="1" x="1288"/>
        <item h="1" m="1" x="3245"/>
        <item h="1" m="1" x="1346"/>
        <item h="1" m="1" x="3303"/>
        <item h="1" m="1" x="1404"/>
        <item h="1" m="1" x="3363"/>
        <item h="1" m="1" x="1464"/>
        <item h="1" m="1" x="3422"/>
        <item h="1" m="1" x="1525"/>
        <item h="1" m="1" x="3481"/>
        <item h="1" m="1" x="1586"/>
        <item h="1" m="1" x="3541"/>
        <item h="1" m="1" x="1643"/>
        <item h="1" m="1" x="3600"/>
        <item h="1" m="1" x="1703"/>
        <item h="1" m="1" x="3661"/>
        <item h="1" m="1" x="1763"/>
        <item h="1" m="1" x="3721"/>
        <item h="1" m="1" x="1823"/>
        <item h="1" m="1" x="3781"/>
        <item h="1" m="1" x="1884"/>
        <item h="1" m="1" x="3840"/>
        <item h="1" m="1" x="1945"/>
        <item h="1" m="1" x="54"/>
        <item h="1" m="1" x="2005"/>
        <item h="1" m="1" x="115"/>
        <item h="1" m="1" x="2066"/>
        <item h="1" m="1" x="174"/>
        <item h="1" m="1" x="2123"/>
        <item h="1" m="1" x="233"/>
        <item h="1" m="1" x="2182"/>
        <item h="1" m="1" x="294"/>
        <item h="1" m="1" x="2243"/>
        <item h="1" m="1" x="352"/>
        <item h="1" m="1" x="2304"/>
        <item h="1" m="1" x="409"/>
        <item h="1" m="1" x="2364"/>
        <item h="1" m="1" x="469"/>
        <item h="1" m="1" x="2424"/>
        <item h="1" m="1" x="527"/>
        <item h="1" m="1" x="2486"/>
        <item h="1" m="1" x="584"/>
        <item h="1" m="1" x="2545"/>
        <item h="1" m="1" x="643"/>
        <item h="1" m="1" x="2601"/>
        <item h="1" m="1" x="702"/>
        <item h="1" m="1" x="2659"/>
        <item h="1" m="1" x="762"/>
        <item h="1" m="1" x="2720"/>
        <item h="1" m="1" x="818"/>
        <item h="1" m="1" x="2778"/>
        <item h="1" m="1" x="874"/>
        <item h="1" m="1" x="2836"/>
        <item h="1" m="1" x="933"/>
        <item h="1" m="1" x="2894"/>
        <item h="1" m="1" x="992"/>
        <item h="1" m="1" x="2952"/>
        <item h="1" m="1" x="1052"/>
        <item h="1" m="1" x="3010"/>
        <item h="1" m="1" x="1111"/>
        <item h="1" m="1" x="3067"/>
        <item h="1" m="1" x="1170"/>
        <item h="1" m="1" x="3126"/>
        <item h="1" m="1" x="1228"/>
        <item h="1" m="1" x="3184"/>
        <item h="1" m="1" x="1286"/>
        <item h="1" m="1" x="3241"/>
        <item h="1" m="1" x="1343"/>
        <item h="1" m="1" x="3301"/>
        <item h="1" m="1" x="1402"/>
        <item h="1" m="1" x="3360"/>
        <item h="1" m="1" x="1462"/>
        <item h="1" m="1" x="3420"/>
        <item h="1" m="1" x="1523"/>
        <item h="1" m="1" x="3478"/>
        <item h="1" m="1" x="1583"/>
        <item h="1" m="1" x="3538"/>
        <item h="1" m="1" x="1641"/>
        <item h="1" m="1" x="3597"/>
        <item h="1" m="1" x="1701"/>
        <item h="1" m="1" x="3659"/>
        <item h="1" m="1" x="1761"/>
        <item h="1" m="1" x="3718"/>
        <item h="1" m="1" x="1821"/>
        <item h="1" m="1" x="3779"/>
        <item h="1" m="1" x="1882"/>
        <item h="1" m="1" x="3837"/>
        <item h="1" m="1" x="1943"/>
        <item h="1" m="1" x="52"/>
        <item h="1" m="1" x="2003"/>
        <item h="1" m="1" x="112"/>
        <item h="1" m="1" x="2063"/>
        <item h="1" m="1" x="171"/>
        <item h="1" m="1" x="2121"/>
        <item h="1" m="1" x="230"/>
        <item h="1" m="1" x="2180"/>
        <item h="1" m="1" x="292"/>
        <item h="1" m="1" x="2241"/>
        <item h="1" m="1" x="349"/>
        <item h="1" m="1" x="2302"/>
        <item h="1" m="1" x="407"/>
        <item h="1" m="1" x="2362"/>
        <item h="1" m="1" x="466"/>
        <item h="1" m="1" x="2422"/>
        <item h="1" m="1" x="525"/>
        <item h="1" m="1" x="2484"/>
        <item h="1" m="1" x="581"/>
        <item h="1" m="1" x="2542"/>
        <item h="1" m="1" x="641"/>
        <item h="1" m="1" x="2599"/>
        <item h="1" m="1" x="699"/>
        <item h="1" m="1" x="2657"/>
        <item h="1" m="1" x="760"/>
        <item h="1" m="1" x="2718"/>
        <item h="1" m="1" x="815"/>
        <item h="1" m="1" x="2776"/>
        <item h="1" m="1" x="872"/>
        <item h="1" m="1" x="2834"/>
        <item h="1" m="1" x="930"/>
        <item h="1" m="1" x="2892"/>
        <item h="1" m="1" x="990"/>
        <item h="1" m="1" x="2950"/>
        <item h="1" m="1" x="1049"/>
        <item h="1" m="1" x="3007"/>
        <item h="1" m="1" x="1108"/>
        <item h="1" m="1" x="3065"/>
        <item h="1" m="1" x="1167"/>
        <item h="1" m="1" x="3123"/>
        <item h="1" m="1" x="1226"/>
        <item h="1" m="1" x="3181"/>
        <item h="1" m="1" x="1283"/>
        <item h="1" m="1" x="3239"/>
        <item h="1" m="1" x="1341"/>
        <item h="1" m="1" x="3299"/>
        <item h="1" m="1" x="1399"/>
        <item h="1" m="1" x="3358"/>
        <item h="1" m="1" x="1460"/>
        <item h="1" m="1" x="3418"/>
        <item h="1" m="1" x="1520"/>
        <item h="1" m="1" x="3475"/>
        <item h="1" m="1" x="1580"/>
        <item h="1" m="1" x="3536"/>
        <item h="1" m="1" x="1638"/>
        <item h="1" m="1" x="3595"/>
        <item h="1" m="1" x="1699"/>
        <item h="1" m="1" x="3657"/>
        <item h="1" m="1" x="1758"/>
        <item h="1" m="1" x="3716"/>
        <item h="1" m="1" x="1819"/>
        <item h="1" m="1" x="3777"/>
        <item h="1" m="1" x="1879"/>
        <item h="1" m="1" x="3835"/>
        <item h="1" m="1" x="1941"/>
        <item h="1" m="1" x="50"/>
        <item h="1" m="1" x="2000"/>
        <item h="1" m="1" x="109"/>
        <item h="1" m="1" x="2060"/>
        <item h="1" m="1" x="169"/>
        <item h="1" m="1" x="2118"/>
        <item h="1" m="1" x="228"/>
        <item h="1" m="1" x="2178"/>
        <item h="1" m="1" x="290"/>
        <item h="1" m="1" x="2238"/>
        <item h="1" m="1" x="347"/>
        <item h="1" m="1" x="2300"/>
        <item h="1" m="1" x="405"/>
        <item h="1" m="1" x="2359"/>
        <item h="1" m="1" x="464"/>
        <item h="1" m="1" x="2420"/>
        <item h="1" m="1" x="523"/>
        <item h="1" m="1" x="2481"/>
        <item h="1" m="1" x="578"/>
        <item h="1" m="1" x="2540"/>
        <item h="1" m="1" x="639"/>
        <item h="1" m="1" x="2596"/>
        <item h="1" m="1" x="697"/>
        <item h="1" m="1" x="2655"/>
        <item h="1" m="1" x="758"/>
        <item h="1" m="1" x="2715"/>
        <item h="1" m="1" x="813"/>
        <item h="1" m="1" x="2774"/>
        <item h="1" m="1" x="870"/>
        <item h="1" m="1" x="2831"/>
        <item h="1" m="1" x="928"/>
        <item h="1" m="1" x="2890"/>
        <item h="1" m="1" x="988"/>
        <item h="1" m="1" x="2947"/>
        <item h="1" m="1" x="1046"/>
        <item h="1" m="1" x="3005"/>
        <item h="1" m="1" x="1106"/>
        <item h="1" m="1" x="3062"/>
        <item h="1" m="1" x="1164"/>
        <item h="1" m="1" x="3120"/>
        <item h="1" m="1" x="1224"/>
        <item h="1" m="1" x="3178"/>
        <item h="1" m="1" x="1281"/>
        <item h="1" m="1" x="3237"/>
        <item h="1" m="1" x="1339"/>
        <item h="1" m="1" x="3296"/>
        <item h="1" m="1" x="1397"/>
        <item h="1" m="1" x="3356"/>
        <item h="1" m="1" x="1458"/>
        <item h="1" m="1" x="3415"/>
        <item h="1" m="1" x="1517"/>
        <item h="1" m="1" x="3472"/>
        <item h="1" m="1" x="1578"/>
        <item h="1" m="1" x="3532"/>
        <item h="1" m="1" x="1636"/>
        <item h="1" m="1" x="3593"/>
        <item h="1" m="1" x="1697"/>
        <item h="1" m="1" x="3654"/>
        <item h="1" m="1" x="1756"/>
        <item h="1" m="1" x="3714"/>
        <item h="1" m="1" x="1817"/>
        <item h="1" m="1" x="3774"/>
        <item h="1" m="1" x="1877"/>
        <item h="1" m="1" x="3833"/>
        <item h="1" m="1" x="1939"/>
        <item h="1" m="1" x="47"/>
        <item h="1" m="1" x="1997"/>
        <item h="1" m="1" x="106"/>
        <item h="1" m="1" x="2058"/>
        <item h="1" m="1" x="166"/>
        <item h="1" m="1" x="2116"/>
        <item h="1" m="1" x="226"/>
        <item h="1" m="1" x="2176"/>
        <item h="1" m="1" x="287"/>
        <item h="1" m="1" x="2236"/>
        <item h="1" m="1" x="345"/>
        <item h="1" m="1" x="2298"/>
        <item h="1" m="1" x="402"/>
        <item h="1" m="1" x="2357"/>
        <item h="1" m="1" x="462"/>
        <item h="1" m="1" x="2418"/>
        <item h="1" m="1" x="520"/>
        <item h="1" m="1" x="2478"/>
        <item h="1" m="1" x="576"/>
        <item h="1" m="1" x="2537"/>
        <item h="1" m="1" x="636"/>
        <item h="1" m="1" x="2594"/>
        <item h="1" m="1" x="695"/>
        <item h="1" m="1" x="2653"/>
        <item h="1" m="1" x="755"/>
        <item h="1" m="1" x="2713"/>
        <item h="1" m="1" x="811"/>
        <item h="1" m="1" x="2772"/>
        <item h="1" m="1" x="867"/>
        <item h="1" m="1" x="2829"/>
        <item h="1" m="1" x="926"/>
        <item h="1" m="1" x="2888"/>
        <item h="1" m="1" x="985"/>
        <item h="1" m="1" x="2944"/>
        <item h="1" m="1" x="1044"/>
        <item h="1" m="1" x="3002"/>
        <item h="1" m="1" x="1103"/>
        <item h="1" m="1" x="3060"/>
        <item h="1" m="1" x="1162"/>
        <item h="1" m="1" x="3119"/>
        <item h="1" m="1" x="1222"/>
        <item h="1" m="1" x="3177"/>
        <item h="1" m="1" x="1280"/>
        <item h="1" m="1" x="3236"/>
        <item h="1" m="1" x="1337"/>
        <item h="1" m="1" x="3295"/>
        <item h="1" m="1" x="1396"/>
        <item h="1" m="1" x="3355"/>
        <item h="1" m="1" x="1456"/>
        <item h="1" m="1" x="3413"/>
        <item h="1" m="1" x="1515"/>
        <item h="1" m="1" x="3471"/>
        <item h="1" m="1" x="1576"/>
        <item h="1" m="1" x="3531"/>
        <item h="1" m="1" x="1635"/>
        <item h="1" m="1" x="3592"/>
        <item h="1" m="1" x="1695"/>
        <item h="1" m="1" x="3653"/>
        <item h="1" m="1" x="1755"/>
        <item h="1" m="1" x="3713"/>
        <item h="1" m="1" x="1815"/>
        <item h="1" m="1" x="3773"/>
        <item h="1" m="1" x="1876"/>
        <item h="1" m="1" x="3832"/>
        <item h="1" m="1" x="1937"/>
        <item h="1" m="1" x="45"/>
        <item h="1" m="1" x="1995"/>
        <item h="1" m="1" x="105"/>
        <item h="1" m="1" x="2056"/>
        <item h="1" m="1" x="165"/>
        <item h="1" m="1" x="2115"/>
        <item h="1" m="1" x="225"/>
        <item h="1" m="1" x="2174"/>
        <item h="1" m="1" x="286"/>
        <item h="1" m="1" x="2235"/>
        <item h="1" m="1" x="344"/>
        <item h="1" m="1" x="2296"/>
        <item h="1" m="1" x="401"/>
        <item h="1" m="1" x="2356"/>
        <item h="1" m="1" x="461"/>
        <item h="1" m="1" x="2416"/>
        <item h="1" m="1" x="518"/>
        <item h="1" m="1" x="2476"/>
        <item h="1" m="1" x="575"/>
        <item h="1" m="1" x="2535"/>
        <item h="1" m="1" x="635"/>
        <item h="1" m="1" x="2593"/>
        <item h="1" m="1" x="694"/>
        <item h="1" m="1" x="2651"/>
        <item h="1" m="1" x="753"/>
        <item h="1" m="1" x="2712"/>
        <item h="1" m="1" x="810"/>
        <item h="1" m="1" x="2770"/>
        <item h="1" m="1" x="866"/>
        <item h="1" m="1" x="2828"/>
        <item h="1" m="1" x="924"/>
        <item h="1" m="1" x="2886"/>
        <item h="1" m="1" x="983"/>
        <item h="1" m="1" x="2943"/>
        <item h="1" m="1" x="1042"/>
        <item h="1" m="1" x="3000"/>
        <item h="1" m="1" x="1101"/>
        <item h="1" m="1" x="3059"/>
        <item h="1" m="1" x="1161"/>
        <item h="1" m="1" x="3117"/>
        <item h="1" m="1" x="1220"/>
        <item h="1" m="1" x="3176"/>
        <item h="1" m="1" x="1279"/>
        <item h="1" m="1" x="3234"/>
        <item h="1" m="1" x="1336"/>
        <item h="1" m="1" x="3294"/>
        <item h="1" m="1" x="1395"/>
        <item h="1" m="1" x="3353"/>
        <item h="1" m="1" x="1454"/>
        <item h="1" m="1" x="3410"/>
        <item h="1" m="1" x="1514"/>
        <item h="1" m="1" x="3469"/>
        <item h="1" m="1" x="1575"/>
        <item h="1" m="1" x="3529"/>
        <item h="1" m="1" x="1634"/>
        <item h="1" m="1" x="3590"/>
        <item h="1" m="1" x="1693"/>
        <item h="1" m="1" x="3651"/>
        <item h="1" m="1" x="1754"/>
        <item h="1" m="1" x="3711"/>
        <item h="1" m="1" x="1814"/>
        <item h="1" m="1" x="3771"/>
        <item h="1" m="1" x="1875"/>
        <item h="1" m="1" x="3830"/>
        <item h="1" m="1" x="1935"/>
        <item h="1" m="1" x="42"/>
        <item h="1" m="1" x="1994"/>
        <item h="1" m="1" x="103"/>
        <item h="1" m="1" x="2055"/>
        <item h="1" m="1" x="163"/>
        <item h="1" m="1" x="2114"/>
        <item h="1" m="1" x="223"/>
        <item h="1" m="1" x="2172"/>
        <item h="1" m="1" x="284"/>
        <item h="1" m="1" x="2234"/>
        <item h="1" m="1" x="342"/>
        <item h="1" m="1" x="2295"/>
        <item h="1" m="1" x="399"/>
        <item h="1" m="1" x="2355"/>
        <item h="1" m="1" x="3328"/>
        <item h="1" m="1" x="459"/>
        <item h="1" m="1" x="1428"/>
        <item h="1" m="1" x="2414"/>
        <item h="1" m="1" x="3384"/>
        <item h="1" m="1" x="515"/>
        <item h="1" m="1" x="1487"/>
        <item h="1" m="1" x="2474"/>
        <item h="1" m="1" x="3444"/>
        <item h="1" m="1" x="573"/>
        <item h="1" m="1" x="1548"/>
        <item h="1" m="1" x="2534"/>
        <item h="1" m="1" x="3504"/>
        <item h="1" m="1" x="633"/>
        <item h="1" m="1" x="1609"/>
        <item h="1" m="1" x="2592"/>
        <item h="1" m="1" x="3566"/>
        <item h="1" m="1" x="692"/>
        <item h="1" m="1" x="1667"/>
        <item h="1" m="1" x="2649"/>
        <item h="1" m="1" x="3626"/>
        <item h="1" m="1" x="751"/>
        <item h="1" m="1" x="1728"/>
        <item h="1" m="1" x="2711"/>
        <item h="1" m="1" x="3686"/>
        <item h="1" m="1" x="808"/>
        <item h="1" m="1" x="1787"/>
        <item h="1" m="1" x="2769"/>
        <item h="1" m="1" x="3745"/>
        <item h="1" m="1" x="864"/>
        <item h="1" m="1" x="1849"/>
        <item h="1" m="1" x="2827"/>
        <item h="1" m="1" x="3805"/>
        <item h="1" m="1" x="922"/>
        <item h="1" m="1" x="1908"/>
        <item h="1" m="1" x="2884"/>
        <item h="1" m="1" x="3862"/>
        <item h="1" m="1" x="980"/>
        <item h="1" m="1" x="1967"/>
        <item h="1" m="1" x="2942"/>
        <item h="1" m="1" x="76"/>
        <item h="1" m="1" x="1039"/>
        <item h="1" m="1" x="2026"/>
        <item h="1" m="1" x="2999"/>
        <item h="1" m="1" x="136"/>
        <item h="1" m="1" x="1099"/>
        <item h="1" m="1" x="2088"/>
        <item h="1" m="1" x="3058"/>
        <item h="1" m="1" x="197"/>
        <item h="1" m="1" x="1159"/>
        <item h="1" m="1" x="2146"/>
        <item h="1" m="1" x="3115"/>
        <item h="1" m="1" x="257"/>
        <item h="1" m="1" x="1218"/>
        <item h="1" m="1" x="2207"/>
        <item h="1" m="1" x="3175"/>
        <item h="1" m="1" x="318"/>
        <item h="1" m="1" x="1277"/>
        <item h="1" m="1" x="2266"/>
        <item h="1" m="1" x="3233"/>
        <item h="1" m="1" x="374"/>
        <item h="1" m="1" x="1334"/>
        <item h="1" m="1" x="2328"/>
        <item h="1" m="1" x="3293"/>
        <item h="1" m="1" x="434"/>
        <item h="1" m="1" x="1393"/>
        <item h="1" m="1" x="2387"/>
        <item h="1" m="1" x="3351"/>
        <item h="1" m="1" x="490"/>
        <item h="1" m="1" x="1451"/>
        <item h="1" m="1" x="2446"/>
        <item h="1" m="1" x="3409"/>
        <item h="1" m="1" x="549"/>
        <item h="1" m="1" x="1512"/>
        <item h="1" m="1" x="2507"/>
        <item h="1" m="1" x="3468"/>
        <item h="1" m="1" x="605"/>
        <item h="1" m="1" x="1573"/>
        <item h="1" m="1" x="2567"/>
        <item h="1" m="1" x="3528"/>
        <item h="1" m="1" x="666"/>
        <item h="1" m="1" x="1632"/>
        <item h="1" m="1" x="2623"/>
        <item h="1" m="1" x="3588"/>
        <item h="1" m="1" x="725"/>
        <item h="1" m="1" x="1691"/>
        <item h="1" m="1" x="2684"/>
        <item h="1" m="1" x="3650"/>
        <item h="1" m="1" x="785"/>
        <item h="1" m="1" x="1752"/>
        <item h="1" m="1" x="2742"/>
        <item h="1" m="1" x="3710"/>
        <item h="1" m="1" x="840"/>
        <item h="1" m="1" x="1812"/>
        <item h="1" m="1" x="2802"/>
        <item h="1" m="1" x="3770"/>
        <item h="1" m="1" x="897"/>
        <item h="1" m="1" x="1873"/>
        <item h="1" m="1" x="2858"/>
        <item h="1" m="1" x="3828"/>
        <item h="1" m="1" x="954"/>
        <item h="1" m="1" x="1932"/>
        <item h="1" m="1" x="2917"/>
        <item h="1" m="1" x="41"/>
        <item h="1" m="1" x="1014"/>
        <item h="1" m="1" x="1992"/>
        <item h="1" m="1" x="2973"/>
        <item h="1" m="1" x="102"/>
        <item h="1" m="1" x="1073"/>
        <item h="1" m="1" x="2053"/>
        <item h="1" m="1" x="3032"/>
        <item h="1" m="1" x="162"/>
        <item h="1" m="1" x="1134"/>
        <item h="1" m="1" x="2112"/>
        <item h="1" m="1" x="3090"/>
        <item h="1" m="1" x="221"/>
        <item h="1" m="1" x="1193"/>
        <item h="1" m="1" x="2170"/>
        <item h="1" m="1" x="3150"/>
        <item h="1" m="1" x="283"/>
        <item h="1" m="1" x="1252"/>
        <item h="1" m="1" x="2232"/>
        <item h="1" m="1" x="3207"/>
        <item h="1" m="1" x="341"/>
        <item h="1" m="1" x="1308"/>
        <item h="1" m="1" x="2293"/>
        <item h="1" m="1" x="3267"/>
        <item h="1" m="1" x="398"/>
        <item h="1" m="1" x="1368"/>
        <item h="1" m="1" x="2353"/>
        <item h="1" m="1" x="3325"/>
        <item h="1" m="1" x="457"/>
        <item h="1" m="1" x="1424"/>
        <item h="1" m="1" x="2411"/>
        <item h="1" m="1" x="3382"/>
        <item h="1" m="1" x="514"/>
        <item h="1" m="1" x="1485"/>
        <item h="1" m="1" x="2472"/>
        <item h="1" m="1" x="3441"/>
        <item h="1" m="1" x="572"/>
        <item h="1" m="1" x="1546"/>
        <item h="1" m="1" x="2532"/>
        <item h="1" m="1" x="3502"/>
        <item h="1" m="1" x="632"/>
        <item h="1" m="1" x="1607"/>
        <item h="1" m="1" x="2590"/>
        <item h="1" m="1" x="3563"/>
        <item h="1" m="1" x="690"/>
        <item h="1" m="1" x="1665"/>
        <item h="1" m="1" x="2647"/>
        <item h="1" m="1" x="3624"/>
        <item h="1" m="1" x="750"/>
        <item h="1" m="1" x="1726"/>
        <item h="1" m="1" x="2709"/>
        <item h="1" m="1" x="3683"/>
        <item h="1" m="1" x="807"/>
        <item h="1" m="1" x="1785"/>
        <item h="1" m="1" x="2767"/>
        <item h="1" m="1" x="3743"/>
        <item h="1" m="1" x="863"/>
        <item h="1" m="1" x="1846"/>
        <item h="1" m="1" x="2825"/>
        <item h="1" m="1" x="3802"/>
        <item h="1" m="1" x="919"/>
        <item h="1" m="1" x="1904"/>
        <item h="1" m="1" x="2881"/>
        <item h="1" m="1" x="3859"/>
        <item h="1" m="1" x="978"/>
        <item h="1" m="1" x="1965"/>
        <item h="1" m="1" x="2940"/>
        <item h="1" m="1" x="73"/>
        <item h="1" m="1" x="1038"/>
        <item h="1" m="1" x="2024"/>
        <item h="1" m="1" x="2997"/>
        <item h="1" m="1" x="134"/>
        <item h="1" m="1" x="1098"/>
        <item h="1" m="1" x="2086"/>
        <item h="1" m="1" x="3056"/>
        <item h="1" m="1" x="194"/>
        <item h="1" m="1" x="1157"/>
        <item h="1" m="1" x="2144"/>
        <item h="1" m="1" x="3113"/>
        <item h="1" m="1" x="255"/>
        <item h="1" m="1" x="1217"/>
        <item h="1" m="1" x="2205"/>
        <item h="1" m="1" x="3173"/>
        <item h="1" m="1" x="315"/>
        <item h="1" m="1" x="1276"/>
        <item h="1" m="1" x="2264"/>
        <item h="1" m="1" x="3231"/>
        <item h="1" m="1" x="372"/>
        <item h="1" m="1" x="1333"/>
        <item h="1" m="1" x="2326"/>
        <item h="1" m="1" x="3291"/>
        <item h="1" m="1" x="431"/>
        <item h="1" m="1" x="1391"/>
        <item h="1" m="1" x="2384"/>
        <item h="1" m="1" x="3348"/>
        <item h="1" m="1" x="488"/>
        <item h="1" m="1" x="1450"/>
        <item h="1" m="1" x="2444"/>
        <item h="1" m="1" x="3407"/>
        <item h="1" m="1" x="546"/>
        <item h="1" m="1" x="1511"/>
        <item h="1" m="1" x="2505"/>
        <item h="1" m="1" x="3466"/>
        <item h="1" m="1" x="603"/>
        <item h="1" m="1" x="1572"/>
        <item h="1" m="1" x="2565"/>
        <item h="1" m="1" x="3526"/>
        <item h="1" m="1" x="663"/>
        <item h="1" m="1" x="1630"/>
        <item h="1" m="1" x="2621"/>
        <item h="1" m="1" x="3586"/>
        <item h="1" m="1" x="723"/>
        <item h="1" m="1" x="1690"/>
        <item h="1" m="1" x="2682"/>
        <item h="1" m="1" x="3648"/>
        <item h="1" m="1" x="782"/>
        <item h="1" m="1" x="1751"/>
        <item h="1" m="1" x="2740"/>
        <item h="1" m="1" x="3708"/>
        <item h="1" m="1" x="838"/>
        <item h="1" m="1" x="1811"/>
        <item h="1" m="1" x="2800"/>
        <item h="1" m="1" x="3768"/>
        <item h="1" m="1" x="894"/>
        <item h="1" m="1" x="1871"/>
        <item h="1" m="1" x="2855"/>
        <item h="1" m="1" x="3825"/>
        <item h="1" m="1" x="952"/>
        <item h="1" m="1" x="1931"/>
        <item h="1" m="1" x="2914"/>
        <item h="1" m="1" x="39"/>
        <item h="1" m="1" x="1011"/>
        <item h="1" m="1" x="1991"/>
        <item h="1" m="1" x="2971"/>
        <item h="1" m="1" x="100"/>
        <item h="1" m="1" x="1071"/>
        <item h="1" m="1" x="2052"/>
        <item h="1" m="1" x="3030"/>
        <item h="1" m="1" x="160"/>
        <item h="1" m="1" x="1131"/>
        <item h="1" m="1" x="2110"/>
        <item h="1" m="1" x="3088"/>
        <item h="1" m="1" x="219"/>
        <item h="1" m="1" x="1191"/>
        <item h="1" m="1" x="2169"/>
        <item h="1" m="1" x="3148"/>
        <item h="1" m="1" x="281"/>
        <item h="1" m="1" x="1249"/>
        <item h="1" m="1" x="2231"/>
        <item h="1" m="1" x="3205"/>
        <item h="1" m="1" x="339"/>
        <item h="1" m="1" x="1306"/>
        <item h="1" m="1" x="2292"/>
        <item h="1" m="1" x="3265"/>
        <item h="1" m="1" x="396"/>
        <item h="1" m="1" x="1365"/>
        <item h="1" m="1" x="2351"/>
        <item h="1" m="1" x="3322"/>
        <item h="1" m="1" x="454"/>
        <item h="1" m="1" x="1422"/>
        <item h="1" m="1" x="2409"/>
        <item h="1" m="1" x="3380"/>
        <item h="1" m="1" x="512"/>
        <item h="1" m="1" x="1482"/>
        <item h="1" m="1" x="2471"/>
        <item h="1" m="1" x="3439"/>
        <item h="1" m="1" x="570"/>
        <item h="1" m="1" x="1544"/>
        <item h="1" m="1" x="2531"/>
        <item h="1" m="1" x="3500"/>
        <item h="1" m="1" x="630"/>
        <item h="1" m="1" x="1604"/>
        <item h="1" m="1" x="2588"/>
        <item h="1" m="1" x="3561"/>
        <item h="1" m="1" x="688"/>
        <item h="1" m="1" x="1663"/>
        <item h="1" m="1" x="2646"/>
        <item h="1" m="1" x="3622"/>
        <item h="1" m="1" x="748"/>
        <item h="1" m="1" x="1723"/>
        <item h="1" m="1" x="2708"/>
        <item h="1" m="1" x="3681"/>
        <item h="1" m="1" x="805"/>
        <item h="1" m="1" x="1783"/>
        <item h="1" m="1" x="2766"/>
        <item h="1" m="1" x="3740"/>
        <item h="1" m="1" x="861"/>
        <item h="1" m="1" x="1842"/>
        <item h="1" m="1" x="2822"/>
        <item h="1" m="1" x="3799"/>
        <item h="1" m="1" x="916"/>
        <item h="1" m="1" x="1901"/>
        <item h="1" m="1" x="2879"/>
        <item h="1" m="1" x="3857"/>
        <item h="1" m="1" x="976"/>
        <item h="1" m="1" x="1962"/>
        <item h="1" m="1" x="2939"/>
        <item h="1" m="1" x="71"/>
        <item h="1" m="1" x="1036"/>
        <item h="1" m="1" x="2022"/>
        <item h="1" m="1" x="2996"/>
        <item h="1" m="1" x="132"/>
        <item h="1" m="1" x="1096"/>
        <item h="1" m="1" x="2083"/>
        <item h="1" m="1" x="3054"/>
        <item h="1" m="1" x="192"/>
        <item h="1" m="1" x="1155"/>
        <item h="1" m="1" x="2142"/>
        <item h="1" m="1" x="3112"/>
        <item h="1" m="1" x="253"/>
        <item h="1" m="1" x="1215"/>
        <item h="1" m="1" x="2202"/>
        <item h="1" m="1" x="3172"/>
        <item h="1" m="1" x="313"/>
        <item h="1" m="1" x="1274"/>
        <item h="1" m="1" x="2262"/>
        <item h="1" m="1" x="3230"/>
        <item h="1" m="1" x="370"/>
        <item h="1" m="1" x="1331"/>
        <item h="1" m="1" x="2323"/>
        <item h="1" m="1" x="3289"/>
        <item h="1" m="1" x="427"/>
        <item h="1" m="1" x="1388"/>
        <item h="1" m="1" x="2381"/>
        <item h="1" m="1" x="3347"/>
        <item h="1" m="1" x="486"/>
        <item h="1" m="1" x="1448"/>
        <item h="1" m="1" x="2441"/>
        <item h="1" m="1" x="3406"/>
        <item h="1" m="1" x="544"/>
        <item h="1" m="1" x="1509"/>
        <item h="1" m="1" x="2503"/>
        <item h="1" m="1" x="3465"/>
        <item h="1" m="1" x="601"/>
        <item h="1" m="1" x="1570"/>
        <item h="1" m="1" x="2562"/>
        <item h="1" m="1" x="3524"/>
        <item h="1" m="1" x="661"/>
        <item h="1" m="1" x="1628"/>
        <item h="1" m="1" x="2619"/>
        <item h="1" m="1" x="3585"/>
        <item h="1" m="1" x="721"/>
        <item h="1" m="1" x="1688"/>
        <item h="1" m="1" x="2679"/>
        <item h="1" m="1" x="3647"/>
        <item h="1" m="1" x="780"/>
        <item h="1" m="1" x="1749"/>
        <item h="1" m="1" x="2738"/>
        <item h="1" m="1" x="3707"/>
        <item h="1" m="1" x="836"/>
        <item h="1" m="1" x="1809"/>
        <item h="1" m="1" x="2797"/>
        <item h="1" m="1" x="3766"/>
        <item h="1" m="1" x="891"/>
        <item h="1" m="1" x="1868"/>
        <item h="1" m="1" x="2853"/>
        <item h="1" m="1" x="3824"/>
        <item h="1" m="1" x="950"/>
        <item h="1" m="1" x="1929"/>
        <item h="1" m="1" x="2911"/>
        <item h="1" m="1" x="38"/>
        <item h="1" m="1" x="1009"/>
        <item h="1" m="1" x="1989"/>
        <item h="1" m="1" x="2969"/>
        <item h="1" m="1" x="99"/>
        <item h="1" m="1" x="1069"/>
        <item h="1" m="1" x="2050"/>
        <item h="1" m="1" x="3027"/>
        <item h="1" m="1" x="158"/>
        <item h="1" m="1" x="1129"/>
        <item h="1" m="1" x="2108"/>
        <item h="1" m="1" x="3086"/>
        <item h="1" m="1" x="218"/>
        <item h="1" m="1" x="1189"/>
        <item h="1" m="1" x="2167"/>
        <item h="1" m="1" x="3145"/>
        <item h="1" m="1" x="280"/>
        <item h="1" m="1" x="1247"/>
        <item h="1" m="1" x="2229"/>
        <item h="1" m="1" x="3203"/>
        <item h="1" m="1" x="338"/>
        <item h="1" m="1" x="1304"/>
        <item h="1" m="1" x="2290"/>
        <item h="1" m="1" x="3262"/>
        <item h="1" m="1" x="394"/>
        <item h="1" m="1" x="1362"/>
        <item h="1" m="1" x="2348"/>
        <item h="1" m="1" x="3320"/>
        <item h="1" m="1" x="453"/>
        <item h="1" m="1" x="1420"/>
        <item h="1" m="1" x="2407"/>
        <item h="1" m="1" x="3377"/>
        <item h="1" m="1" x="511"/>
        <item h="1" m="1" x="1480"/>
        <item h="1" m="1" x="2469"/>
        <item h="1" m="1" x="3437"/>
        <item h="1" m="1" x="569"/>
        <item h="1" m="1" x="1542"/>
        <item h="1" m="1" x="2529"/>
        <item h="1" m="1" x="3497"/>
        <item h="1" m="1" x="628"/>
        <item h="1" m="1" x="1602"/>
        <item h="1" m="1" x="2586"/>
        <item h="1" m="1" x="3559"/>
        <item h="1" m="1" x="686"/>
        <item h="1" m="1" x="1661"/>
        <item h="1" m="1" x="2644"/>
        <item h="1" m="1" x="3619"/>
        <item h="1" m="1" x="747"/>
        <item h="1" m="1" x="1721"/>
        <item h="1" m="1" x="2706"/>
        <item h="1" m="1" x="3678"/>
        <item h="1" m="1" x="804"/>
        <item h="1" m="1" x="1780"/>
        <item h="1" m="1" x="2763"/>
        <item h="1" m="1" x="3737"/>
        <item h="1" m="1" x="859"/>
        <item h="1" m="1" x="1839"/>
        <item h="1" m="1" x="2820"/>
        <item h="1" m="1" x="3796"/>
        <item h="1" m="1" x="915"/>
        <item h="1" m="1" x="1899"/>
        <item h="1" m="1" x="2877"/>
        <item h="1" m="1" x="3854"/>
        <item h="1" m="1" x="975"/>
        <item h="1" m="1" x="1960"/>
        <item h="1" m="1" x="2937"/>
        <item h="1" m="1" x="69"/>
        <item h="1" m="1" x="1035"/>
        <item h="1" m="1" x="2020"/>
        <item h="1" m="1" x="2994"/>
        <item h="1" m="1" x="129"/>
        <item h="1" m="1" x="1094"/>
        <item h="1" m="1" x="2081"/>
        <item h="1" m="1" x="3052"/>
        <item h="1" m="1" x="190"/>
        <item h="1" m="1" x="1154"/>
        <item h="1" m="1" x="2140"/>
        <item h="1" m="1" x="3110"/>
        <item h="1" m="1" x="250"/>
        <item h="1" m="1" x="1214"/>
        <item h="1" m="1" x="2200"/>
        <item h="1" m="1" x="3170"/>
        <item h="1" m="1" x="311"/>
        <item h="1" m="1" x="1273"/>
        <item h="1" m="1" x="2260"/>
        <item h="1" m="1" x="3228"/>
        <item h="1" m="1" x="367"/>
        <item h="1" m="1" x="1329"/>
        <item h="1" m="1" x="2320"/>
        <item h="1" m="1" x="3286"/>
        <item h="1" m="1" x="425"/>
        <item h="1" m="1" x="1387"/>
        <item h="1" m="1" x="2379"/>
        <item h="1" m="1" x="3345"/>
        <item h="1" m="1" x="483"/>
        <item h="1" m="1" x="1447"/>
        <item h="1" m="1" x="2439"/>
        <item h="1" m="1" x="3404"/>
        <item h="1" m="1" x="542"/>
        <item h="1" m="1" x="1508"/>
        <item h="1" m="1" x="2501"/>
        <item h="1" m="1" x="3463"/>
        <item h="1" m="1" x="598"/>
        <item h="1" m="1" x="1568"/>
        <item h="1" m="1" x="2560"/>
        <item h="1" m="1" x="3522"/>
        <item h="1" m="1" x="659"/>
        <item h="1" m="1" x="1627"/>
        <item h="1" m="1" x="2617"/>
        <item h="1" m="1" x="3583"/>
        <item h="1" m="1" x="718"/>
        <item h="1" m="1" x="1687"/>
        <item h="1" m="1" x="2677"/>
        <item h="1" m="1" x="3645"/>
        <item h="1" m="1" x="778"/>
        <item h="1" m="1" x="1748"/>
        <item h="1" m="1" x="2736"/>
        <item h="1" m="1" x="3705"/>
        <item h="1" m="1" x="833"/>
        <item h="1" m="1" x="1807"/>
        <item h="1" m="1" x="2794"/>
        <item h="1" m="1" x="3763"/>
        <item h="1" m="1" x="889"/>
        <item h="1" m="1" x="1867"/>
        <item h="1" m="1" x="2851"/>
        <item h="1" m="1" x="3822"/>
        <item h="1" m="1" x="947"/>
        <item h="1" m="1" x="1928"/>
        <item h="1" m="1" x="2909"/>
        <item h="1" m="1" x="36"/>
        <item h="1" m="1" x="1007"/>
        <item h="1" m="1" x="1988"/>
        <item h="1" m="1" x="2967"/>
        <item h="1" m="1" x="97"/>
        <item h="1" m="1" x="1066"/>
        <item h="1" m="1" x="2048"/>
        <item h="1" m="1" x="3025"/>
        <item h="1" m="1" x="156"/>
        <item h="1" m="1" x="1127"/>
        <item h="1" m="1" x="2107"/>
        <item h="1" m="1" x="3084"/>
        <item h="1" m="1" x="216"/>
        <item h="1" m="1" x="1186"/>
        <item h="1" m="1" x="2166"/>
        <item h="1" m="1" x="3143"/>
        <item h="1" m="1" x="278"/>
        <item h="1" m="1" x="1245"/>
        <item h="1" m="1" x="2228"/>
        <item h="1" m="1" x="3201"/>
        <item h="1" m="1" x="336"/>
        <item h="1" m="1" x="1301"/>
        <item h="1" m="1" x="2288"/>
        <item h="1" m="1" x="3259"/>
        <item h="1" m="1" x="391"/>
        <item h="1" m="1" x="1360"/>
        <item h="1" m="1" x="2346"/>
        <item h="1" m="1" x="3318"/>
        <item h="1" m="1" x="451"/>
        <item h="1" m="1" x="1417"/>
        <item h="1" m="1" x="2406"/>
        <item h="1" m="1" x="3375"/>
        <item h="1" m="1" x="509"/>
        <item h="1" m="1" x="1478"/>
        <item h="1" m="1" x="2468"/>
        <item h="1" m="1" x="3435"/>
        <item h="1" m="1" x="567"/>
        <item h="1" m="1" x="1539"/>
        <item h="1" m="1" x="2527"/>
        <item h="1" m="1" x="3495"/>
        <item h="1" m="1" x="625"/>
        <item h="1" m="1" x="1600"/>
        <item h="1" m="1" x="2585"/>
        <item h="1" m="1" x="3557"/>
        <item h="1" m="1" x="684"/>
        <item h="1" m="1" x="1658"/>
        <item h="1" m="1" x="2643"/>
        <item h="1" m="1" x="3616"/>
        <item h="1" m="1" x="744"/>
        <item h="1" m="1" x="1719"/>
        <item h="1" m="1" x="2704"/>
        <item h="1" m="1" x="3676"/>
        <item h="1" m="1" x="802"/>
        <item h="1" m="1" x="1777"/>
        <item h="1" m="1" x="2761"/>
        <item h="1" m="1" x="3734"/>
        <item h="1" m="1" x="857"/>
        <item h="1" m="1" x="1836"/>
        <item h="1" m="1" x="2819"/>
        <item h="1" m="1" x="3794"/>
        <item h="1" m="1" x="913"/>
        <item h="1" m="1" x="1896"/>
        <item h="1" m="1" x="2876"/>
        <item h="1" m="1" x="3852"/>
        <item h="1" m="1" x="973"/>
        <item h="1" m="1" x="1958"/>
        <item h="1" m="1" x="2936"/>
        <item h="1" m="1" x="67"/>
        <item h="1" m="1" x="1033"/>
        <item h="1" m="1" x="2017"/>
        <item h="1" m="1" x="2992"/>
        <item h="1" m="1" x="127"/>
        <item h="1" m="1" x="1092"/>
        <item h="1" m="1" x="2079"/>
        <item h="1" m="1" x="3051"/>
        <item h="1" m="1" x="188"/>
        <item h="1" m="1" x="1152"/>
        <item h="1" m="1" x="2137"/>
        <item h="1" m="1" x="3109"/>
        <item h="1" m="1" x="248"/>
        <item h="1" m="1" x="1212"/>
        <item h="1" m="1" x="2198"/>
        <item h="1" m="1" x="3169"/>
        <item h="1" m="1" x="309"/>
        <item h="1" m="1" x="1271"/>
        <item h="1" m="1" x="2257"/>
        <item h="1" m="1" x="3226"/>
        <item h="1" m="1" x="364"/>
        <item h="1" m="1" x="1326"/>
        <item h="1" m="1" x="2317"/>
        <item h="1" m="1" x="3285"/>
        <item h="1" m="1" x="423"/>
        <item h="1" m="1" x="1385"/>
        <item h="1" m="1" x="2376"/>
        <item h="1" m="1" x="3344"/>
        <item h="1" m="1" x="481"/>
        <item h="1" m="1" x="1445"/>
        <item h="1" m="1" x="2437"/>
        <item h="1" m="1" x="3403"/>
        <item h="1" m="1" x="540"/>
        <item h="1" m="1" x="1506"/>
        <item h="1" m="1" x="2498"/>
        <item h="1" m="1" x="3461"/>
        <item h="1" m="1" x="596"/>
        <item h="1" m="1" x="1566"/>
        <item h="1" m="1" x="2558"/>
        <item h="1" m="1" x="3521"/>
        <item h="1" m="1" x="657"/>
        <item h="1" m="1" x="1625"/>
        <item h="1" m="1" x="2614"/>
        <item h="1" m="1" x="3582"/>
        <item h="1" m="1" x="716"/>
        <item h="1" m="1" x="1685"/>
        <item h="1" m="1" x="2675"/>
        <item h="1" m="1" x="3644"/>
        <item h="1" m="1" x="776"/>
        <item h="1" m="1" x="1746"/>
        <item h="1" m="1" x="2733"/>
        <item h="1" m="1" x="3703"/>
        <item h="1" m="1" x="830"/>
        <item h="1" m="1" x="1804"/>
        <item h="1" m="1" x="2792"/>
        <item h="1" m="1" x="3762"/>
        <item h="1" m="1" x="887"/>
        <item h="1" m="1" x="1865"/>
        <item h="1" m="1" x="2848"/>
        <item h="1" m="1" x="3821"/>
        <item h="1" m="1" x="945"/>
        <item h="1" m="1" x="1926"/>
        <item h="1" m="1" x="2907"/>
        <item h="1" m="1" x="35"/>
        <item h="1" m="1" x="1005"/>
        <item h="1" m="1" x="1986"/>
        <item h="1" m="1" x="2964"/>
        <item h="1" m="1" x="95"/>
        <item h="1" m="1" x="1064"/>
        <item h="1" m="1" x="2046"/>
        <item h="1" m="1" x="3023"/>
        <item h="1" m="1" x="155"/>
        <item h="1" m="1" x="1125"/>
        <item h="1" m="1" x="2105"/>
        <item h="1" m="1" x="3081"/>
        <item h="1" m="1" x="215"/>
        <item h="1" m="1" x="1184"/>
        <item h="1" m="1" x="2164"/>
        <item h="1" m="1" x="3141"/>
        <item h="1" m="1" x="277"/>
        <item h="1" m="1" x="1243"/>
        <item h="1" m="1" x="2226"/>
        <item h="1" m="1" x="3198"/>
        <item h="1" m="1" x="334"/>
        <item h="1" m="1" x="1298"/>
        <item h="1" m="1" x="2285"/>
        <item h="1" m="1" x="3257"/>
        <item h="1" m="1" x="390"/>
        <item h="1" m="1" x="1358"/>
        <item h="1" m="1" x="2344"/>
        <item h="1" m="1" x="3315"/>
        <item h="1" m="1" x="450"/>
        <item h="1" m="1" x="1415"/>
        <item h="1" m="1" x="2404"/>
        <item h="1" m="1" x="3373"/>
        <item h="1" m="1" x="508"/>
        <item h="1" m="1" x="1476"/>
        <item h="1" m="1" x="2466"/>
        <item h="1" m="1" x="3432"/>
        <item h="1" m="1" x="565"/>
        <item h="1" m="1" x="1537"/>
        <item h="1" m="1" x="2525"/>
        <item h="1" m="1" x="3493"/>
        <item h="1" m="1" x="624"/>
        <item h="1" m="1" x="1598"/>
        <item h="1" m="1" x="2583"/>
        <item h="1" m="1" x="3553"/>
        <item h="1" m="1" x="682"/>
        <item h="1" m="1" x="1656"/>
        <item h="1" m="1" x="2640"/>
        <item h="1" m="1" x="3613"/>
        <item h="1" m="1" x="742"/>
        <item h="1" m="1" x="1717"/>
        <item h="1" m="1" x="2702"/>
        <item h="1" m="1" x="3673"/>
        <item h="1" m="1" x="800"/>
        <item h="1" m="1" x="1774"/>
        <item h="1" m="1" x="2759"/>
        <item h="1" m="1" x="3731"/>
        <item h="1" m="1" x="856"/>
        <item h="1" m="1" x="1834"/>
        <item h="1" m="1" x="2817"/>
        <item h="1" m="1" x="3791"/>
        <item h="1" m="1" x="912"/>
        <item h="1" m="1" x="1894"/>
        <item h="1" m="1" x="2874"/>
        <item h="1" m="1" x="3850"/>
        <item h="1" m="1" x="972"/>
        <item h="1" m="1" x="1956"/>
        <item h="1" m="1" x="2934"/>
        <item h="1" m="1" x="64"/>
        <item h="1" m="1" x="1031"/>
        <item h="1" m="1" x="2015"/>
        <item h="1" m="1" x="2990"/>
        <item h="1" m="1" x="125"/>
        <item h="1" m="1" x="1091"/>
        <item h="1" m="1" x="2077"/>
        <item h="1" m="1" x="3049"/>
        <item h="1" m="1" x="185"/>
        <item h="1" m="1" x="1151"/>
        <item h="1" m="1" x="2135"/>
        <item h="1" m="1" x="3107"/>
        <item h="1" m="1" x="246"/>
        <item h="1" m="1" x="1211"/>
        <item h="1" m="1" x="2196"/>
        <item h="1" m="1" x="3167"/>
        <item h="1" m="1" x="306"/>
        <item h="1" m="1" x="1269"/>
        <item h="1" m="1" x="2254"/>
        <item h="1" m="1" x="3223"/>
        <item h="1" m="1" x="362"/>
        <item h="1" m="1" x="1325"/>
        <item h="1" m="1" x="2315"/>
        <item h="1" m="1" x="3282"/>
        <item h="1" m="1" x="419"/>
        <item h="1" m="1" x="1384"/>
        <item h="1" m="1" x="2374"/>
        <item h="1" m="1" x="3342"/>
        <item h="1" m="1" x="479"/>
        <item h="1" m="1" x="1444"/>
        <item h="1" m="1" x="2435"/>
        <item h="1" m="1" x="3401"/>
        <item h="1" m="1" x="537"/>
        <item h="1" m="1" x="1504"/>
        <item h="1" m="1" x="2496"/>
        <item h="1" m="1" x="3459"/>
        <item h="1" m="1" x="594"/>
        <item h="1" m="1" x="1565"/>
        <item h="1" m="1" x="2556"/>
        <item h="1" m="1" x="3519"/>
        <item h="1" m="1" x="654"/>
        <item h="1" m="1" x="1624"/>
        <item h="1" m="1" x="2612"/>
        <item h="1" m="1" x="3580"/>
        <item h="1" m="1" x="714"/>
        <item h="1" m="1" x="1684"/>
        <item h="1" m="1" x="2673"/>
        <item h="1" m="1" x="3642"/>
        <item h="1" m="1" x="773"/>
        <item h="1" m="1" x="1744"/>
        <item h="1" m="1" x="2730"/>
        <item h="1" m="1" x="3700"/>
        <item h="1" m="1" x="828"/>
        <item h="1" m="1" x="1803"/>
        <item h="1" m="1" x="2789"/>
        <item h="1" m="1" x="3759"/>
        <item h="1" m="1" x="884"/>
        <item h="1" m="1" x="1864"/>
        <item h="1" m="1" x="2846"/>
        <item h="1" m="1" x="3819"/>
        <item h="1" m="1" x="943"/>
        <item h="1" m="1" x="1925"/>
        <item h="1" m="1" x="2905"/>
        <item h="1" m="1" x="33"/>
        <item h="1" m="1" x="1002"/>
        <item h="1" m="1" x="1984"/>
        <item h="1" m="1" x="2962"/>
        <item h="1" m="1" x="93"/>
        <item h="1" m="1" x="1062"/>
        <item h="1" m="1" x="2045"/>
        <item h="1" m="1" x="3021"/>
        <item h="1" m="1" x="153"/>
        <item h="1" m="1" x="1122"/>
        <item h="1" m="1" x="2104"/>
        <item h="1" m="1" x="3079"/>
        <item h="1" m="1" x="213"/>
        <item h="1" m="1" x="1182"/>
        <item h="1" m="1" x="2163"/>
        <item h="1" m="1" x="3139"/>
        <item h="1" m="1" x="275"/>
        <item h="1" m="1" x="1240"/>
        <item h="1" m="1" x="2224"/>
        <item h="1" m="1" x="3195"/>
        <item h="1" m="1" x="331"/>
        <item h="1" m="1" x="1296"/>
        <item h="1" m="1" x="2283"/>
        <item h="1" m="1" x="3254"/>
        <item h="1" m="1" x="388"/>
        <item h="1" m="1" x="1355"/>
        <item h="1" m="1" x="2343"/>
        <item h="1" m="1" x="3313"/>
        <item h="1" m="1" x="448"/>
        <item h="1" m="1" x="1413"/>
        <item h="1" m="1" x="2403"/>
        <item h="1" m="1" x="3371"/>
        <item h="1" m="1" x="506"/>
        <item h="1" m="1" x="1472"/>
        <item h="1" m="1" x="2464"/>
        <item h="1" m="1" x="3430"/>
        <item h="1" m="1" x="563"/>
        <item h="1" m="1" x="1534"/>
        <item h="1" m="1" x="2524"/>
        <item h="1" m="1" x="3490"/>
        <item h="1" m="1" x="621"/>
        <item h="1" m="1" x="1594"/>
        <item h="1" m="1" x="2582"/>
        <item h="1" m="1" x="3550"/>
        <item h="1" m="1" x="679"/>
        <item h="1" m="1" x="1654"/>
        <item h="1" m="1" x="2639"/>
        <item h="1" m="1" x="3611"/>
        <item h="1" m="1" x="740"/>
        <item h="1" m="1" x="1714"/>
        <item h="1" m="1" x="2700"/>
        <item h="1" m="1" x="3670"/>
        <item h="1" m="1" x="798"/>
        <item h="1" m="1" x="1771"/>
        <item h="1" m="1" x="2757"/>
        <item h="1" m="1" x="3729"/>
        <item h="1" m="1" x="854"/>
        <item h="1" m="1" x="1831"/>
        <item h="1" m="1" x="2816"/>
        <item h="1" m="1" x="3789"/>
        <item h="1" m="1" x="910"/>
        <item h="1" m="1" x="1892"/>
        <item h="1" m="1" x="2873"/>
        <item h="1" m="1" x="3848"/>
        <item h="1" m="1" x="970"/>
        <item h="1" m="1" x="1953"/>
        <item h="1" m="1" x="2932"/>
        <item h="1" m="1" x="62"/>
        <item h="1" m="1" x="1029"/>
        <item h="1" m="1" x="2013"/>
        <item h="1" m="1" x="2989"/>
        <item h="1" m="1" x="123"/>
        <item h="1" m="1" x="1089"/>
        <item h="1" m="1" x="2074"/>
        <item h="1" m="1" x="3048"/>
        <item h="1" m="1" x="183"/>
        <item h="1" m="1" x="1149"/>
        <item h="1" m="1" x="2133"/>
        <item h="1" m="1" x="3106"/>
        <item h="1" m="1" x="244"/>
        <item h="1" m="1" x="1209"/>
        <item h="1" m="1" x="2193"/>
        <item h="1" m="1" x="3165"/>
        <item h="1" m="1" x="303"/>
        <item h="1" m="1" x="1266"/>
        <item h="1" m="1" x="2251"/>
        <item h="1" m="1" x="3222"/>
        <item h="1" m="1" x="360"/>
        <item h="1" m="1" x="1323"/>
        <item h="1" m="1" x="2312"/>
        <item h="1" m="1" x="3281"/>
        <item h="1" m="1" x="417"/>
        <item h="1" m="1" x="1382"/>
        <item h="1" m="1" x="2372"/>
        <item h="1" m="1" x="3341"/>
        <item h="1" m="1" x="477"/>
        <item h="1" m="1" x="1442"/>
        <item h="1" m="1" x="2432"/>
        <item h="1" m="1" x="3399"/>
        <item h="1" m="1" x="535"/>
        <item h="1" m="1" x="1502"/>
        <item h="1" m="1" x="2494"/>
        <item h="1" m="1" x="3458"/>
        <item h="1" m="1" x="592"/>
        <item h="1" m="1" x="1563"/>
        <item h="1" m="1" x="2553"/>
        <item h="1" m="1" x="3518"/>
        <item h="1" m="1" x="652"/>
        <item h="1" m="1" x="1622"/>
        <item h="1" m="1" x="2610"/>
        <item h="1" m="1" x="3579"/>
        <item h="1" m="1" x="712"/>
        <item h="1" m="1" x="1682"/>
        <item h="1" m="1" x="2670"/>
        <item h="1" m="1" x="3640"/>
        <item h="1" m="1" x="770"/>
        <item h="1" m="1" x="1741"/>
        <item h="1" m="1" x="2728"/>
        <item h="1" m="1" x="3699"/>
        <item h="1" m="1" x="826"/>
        <item h="1" m="1" x="1801"/>
        <item h="1" m="1" x="2786"/>
        <item h="1" m="1" x="3758"/>
        <item h="1" m="1" x="882"/>
        <item h="1" m="1" x="1862"/>
        <item h="1" m="1" x="2844"/>
        <item h="1" m="1" x="3818"/>
        <item h="1" m="1" x="941"/>
        <item h="1" m="1" x="1923"/>
        <item h="1" m="1" x="2902"/>
        <item h="1" m="1" x="31"/>
        <item h="1" m="1" x="1000"/>
        <item h="1" m="1" x="1982"/>
        <item h="1" m="1" x="2960"/>
        <item h="1" m="1" x="92"/>
        <item h="1" m="1" x="1060"/>
        <item h="1" m="1" x="2043"/>
        <item h="1" m="1" x="3018"/>
        <item h="1" m="1" x="152"/>
        <item h="1" m="1" x="1120"/>
        <item h="1" m="1" x="2102"/>
        <item h="1" m="1" x="3077"/>
        <item h="1" m="1" x="212"/>
        <item h="1" m="1" x="1180"/>
        <item h="1" m="1" x="2161"/>
        <item h="1" m="1" x="3136"/>
        <item h="1" m="1" x="273"/>
        <item h="1" m="1" x="1236"/>
        <item h="1" m="1" x="2221"/>
        <item h="1" m="1" x="3193"/>
        <item h="1" m="1" x="330"/>
        <item h="1" m="1" x="1294"/>
        <item h="1" m="1" x="2281"/>
        <item h="1" m="1" x="3251"/>
        <item h="1" m="1" x="387"/>
        <item h="1" m="1" x="1353"/>
        <item h="1" m="1" x="2341"/>
        <item h="1" m="1" x="3311"/>
        <item h="1" m="1" x="447"/>
        <item h="1" m="1" x="1411"/>
        <item h="1" m="1" x="2401"/>
        <item h="1" m="1" x="3368"/>
        <item h="1" m="1" x="504"/>
        <item h="1" m="1" x="1470"/>
        <item h="1" m="1" x="2462"/>
        <item h="1" m="1" x="3428"/>
        <item h="1" m="1" x="562"/>
        <item h="1" m="1" x="1531"/>
        <item h="1" m="1" x="2522"/>
        <item h="1" m="1" x="3486"/>
        <item h="1" m="1" x="619"/>
        <item h="1" m="1" x="1592"/>
        <item h="1" m="1" x="2580"/>
        <item h="1" m="1" x="3548"/>
        <item h="1" m="1" x="678"/>
        <item h="1" m="1" x="1652"/>
        <item h="1" m="1" x="2637"/>
        <item h="1" m="1" x="3608"/>
        <item h="1" m="1" x="738"/>
        <item h="1" m="1" x="1710"/>
        <item h="1" m="1" x="2697"/>
        <item h="1" m="1" x="3667"/>
        <item h="1" m="1" x="797"/>
        <item h="1" m="1" x="1769"/>
        <item h="1" m="1" x="2755"/>
        <item h="1" m="1" x="3726"/>
        <item h="1" m="1" x="853"/>
        <item h="1" m="1" x="1829"/>
        <item h="1" m="1" x="2814"/>
        <item h="1" m="1" x="3787"/>
        <item h="1" m="1" x="909"/>
        <item h="1" m="1" x="1890"/>
        <item h="1" m="1" x="2871"/>
        <item h="1" m="1" x="3845"/>
        <item h="1" m="1" x="968"/>
        <item h="1" m="1" x="1951"/>
        <item h="1" m="1" x="2930"/>
        <item h="1" m="1" x="60"/>
        <item h="1" m="1" x="1028"/>
        <item h="1" m="1" x="2011"/>
        <item h="1" m="1" x="2987"/>
        <item h="1" m="1" x="120"/>
        <item h="1" m="1" x="1088"/>
        <item h="1" m="1" x="2072"/>
        <item h="1" m="1" x="3046"/>
        <item h="1" m="1" x="181"/>
        <item h="1" m="1" x="1148"/>
        <item h="1" m="1" x="2131"/>
        <item h="1" m="1" x="3104"/>
        <item h="1" m="1" x="241"/>
        <item h="1" m="1" x="1207"/>
        <item h="1" m="1" x="2189"/>
        <item h="1" m="1" x="3162"/>
        <item h="1" m="1" x="300"/>
        <item h="1" m="1" x="1265"/>
        <item h="1" m="1" x="2249"/>
        <item h="1" m="1" x="3220"/>
        <item h="1" m="1" x="357"/>
        <item h="1" m="1" x="1322"/>
        <item h="1" m="1" x="2310"/>
        <item h="1" m="1" x="3279"/>
        <item h="1" m="1" x="415"/>
        <item h="1" m="1" x="1381"/>
        <item h="1" m="1" x="2370"/>
        <item h="1" m="1" x="3339"/>
        <item h="1" m="1" x="474"/>
        <item h="1" m="1" x="1440"/>
        <item h="1" m="1" x="2430"/>
        <item h="1" m="1" x="3397"/>
        <item h="1" m="1" x="533"/>
        <item h="1" m="1" x="1501"/>
        <item h="1" m="1" x="2492"/>
        <item h="1" m="1" x="3456"/>
        <item h="1" m="1" x="589"/>
        <item h="1" m="1" x="1562"/>
        <item h="1" m="1" x="2551"/>
        <item h="1" m="1" x="3516"/>
        <item h="1" m="1" x="650"/>
        <item h="1" m="1" x="1621"/>
        <item h="1" m="1" x="2608"/>
        <item h="1" m="1" x="3577"/>
        <item h="1" m="1" x="709"/>
        <item h="1" m="1" x="1680"/>
        <item h="1" m="1" x="2666"/>
        <item h="1" m="1" x="3637"/>
        <item h="1" m="1" x="768"/>
        <item h="1" m="1" x="1740"/>
        <item h="1" m="1" x="2726"/>
        <item h="1" m="1" x="3697"/>
        <item h="1" m="1" x="823"/>
        <item h="1" m="1" x="1800"/>
        <item h="1" m="1" x="2784"/>
        <item h="1" m="1" x="3756"/>
        <item h="1" m="1" x="880"/>
        <item h="1" m="1" x="1861"/>
        <item h="1" m="1" x="2842"/>
        <item h="1" m="1" x="3816"/>
        <item h="1" m="1" x="938"/>
        <item h="1" m="1" x="1921"/>
        <item h="1" m="1" x="2900"/>
        <item h="1" m="1" x="29"/>
        <item h="1" m="1" x="998"/>
        <item h="1" m="1" x="1981"/>
        <item h="1" m="1" x="2958"/>
        <item h="1" m="1" x="90"/>
        <item h="1" m="1" x="1057"/>
        <item h="1" m="1" x="2042"/>
        <item h="1" m="1" x="3016"/>
        <item h="1" m="1" x="150"/>
        <item h="1" m="1" x="1118"/>
        <item h="1" m="1" x="2101"/>
        <item h="1" m="1" x="3075"/>
        <item h="1" m="1" x="210"/>
        <item h="1" m="1" x="1177"/>
        <item h="1" m="1" x="2159"/>
        <item h="1" m="1" x="3133"/>
        <item h="1" m="1" x="270"/>
        <item h="1" m="1" x="1234"/>
        <item h="1" m="1" x="2219"/>
        <item h="1" m="1" x="3191"/>
        <item h="1" m="1" x="328"/>
        <item h="1" m="1" x="1291"/>
        <item h="1" m="1" x="2280"/>
        <item h="1" m="1" x="3249"/>
        <item h="1" m="1" x="385"/>
        <item h="1" m="1" x="1351"/>
        <item h="1" m="1" x="2340"/>
        <item h="1" m="1" x="3309"/>
        <item h="1" m="1" x="445"/>
        <item h="1" m="1" x="1408"/>
        <item h="1" m="1" x="2399"/>
        <item h="1" m="1" x="3366"/>
        <item h="1" m="1" x="502"/>
        <item h="1" m="1" x="1468"/>
        <item h="1" m="1" x="2460"/>
        <item h="1" m="1" x="3426"/>
        <item h="1" m="1" x="559"/>
        <item h="1" m="1" x="1528"/>
        <item h="1" m="1" x="2521"/>
        <item h="1" m="1" x="3484"/>
        <item h="1" m="1" x="617"/>
        <item h="1" m="1" x="1590"/>
        <item h="1" m="1" x="2579"/>
        <item h="1" m="1" x="3546"/>
        <item h="1" m="1" x="676"/>
        <item h="1" m="1" x="1649"/>
        <item h="1" m="1" x="2635"/>
        <item h="1" m="1" x="3604"/>
        <item h="1" m="1" x="735"/>
        <item h="1" m="1" x="1707"/>
        <item h="1" m="1" x="2695"/>
        <item h="1" m="1" x="3665"/>
        <item h="1" m="1" x="795"/>
        <item h="1" m="1" x="1766"/>
        <item h="1" m="1" x="2754"/>
        <item h="1" m="1" x="3724"/>
        <item h="1" m="1" x="851"/>
        <item h="1" m="1" x="1827"/>
        <item h="1" m="1" x="2813"/>
        <item h="1" m="1" x="3785"/>
        <item h="1" m="1" x="907"/>
        <item h="1" m="1" x="1887"/>
        <item h="1" m="1" x="2869"/>
        <item h="1" m="1" x="3843"/>
        <item h="1" m="1" x="966"/>
        <item h="1" m="1" x="1949"/>
        <item h="1" m="1" x="2929"/>
        <item h="1" m="1" x="58"/>
        <item h="1" m="1" x="1026"/>
        <item h="1" m="1" x="2008"/>
        <item h="1" m="1" x="2986"/>
        <item h="1" m="1" x="118"/>
        <item h="1" m="1" x="1086"/>
        <item h="1" m="1" x="2070"/>
        <item h="1" m="1" x="3045"/>
        <item h="1" m="1" x="179"/>
        <item h="1" m="1" x="1146"/>
        <item h="1" m="1" x="2128"/>
        <item h="1" m="1" x="3102"/>
        <item h="1" m="1" x="237"/>
        <item h="1" m="1" x="1204"/>
        <item h="1" m="1" x="2186"/>
        <item h="1" m="1" x="3161"/>
        <item h="1" m="1" x="298"/>
        <item h="1" m="1" x="1263"/>
        <item h="1" m="1" x="2246"/>
        <item h="1" m="1" x="3219"/>
        <item h="1" m="1" x="355"/>
        <item h="1" m="1" x="1320"/>
        <item h="1" m="1" x="2308"/>
        <item h="1" m="1" x="3278"/>
        <item h="1" m="1" x="413"/>
        <item h="1" m="1" x="1379"/>
        <item h="1" m="1" x="2367"/>
        <item h="1" m="1" x="3337"/>
        <item h="1" m="1" x="472"/>
        <item h="1" m="1" x="1438"/>
        <item h="1" m="1" x="2428"/>
        <item h="1" m="1" x="3396"/>
        <item h="1" m="1" x="531"/>
        <item h="1" m="1" x="1499"/>
        <item h="1" m="1" x="2489"/>
        <item h="1" m="1" x="3455"/>
        <item h="1" m="1" x="587"/>
        <item h="1" m="1" x="1560"/>
        <item h="1" m="1" x="2549"/>
        <item h="1" m="1" x="3515"/>
        <item h="1" m="1" x="648"/>
        <item h="1" m="1" x="1619"/>
        <item h="1" m="1" x="2605"/>
        <item h="1" m="1" x="3575"/>
        <item h="1" m="1" x="705"/>
        <item h="1" m="1" x="1677"/>
        <item h="1" m="1" x="2664"/>
        <item h="1" m="1" x="3636"/>
        <item h="1" m="1" x="766"/>
        <item h="1" m="1" x="1738"/>
        <item h="1" m="1" x="2723"/>
        <item h="1" m="1" x="3696"/>
        <item h="1" m="1" x="821"/>
        <item h="1" m="1" x="1798"/>
        <item h="1" m="1" x="2782"/>
        <item h="1" m="1" x="3755"/>
        <item h="1" m="1" x="878"/>
        <item h="1" m="1" x="1859"/>
        <item h="1" m="1" x="2839"/>
        <item h="1" m="1" x="3814"/>
        <item h="1" m="1" x="936"/>
        <item h="1" m="1" x="1919"/>
        <item h="1" m="1" x="2898"/>
        <item h="1" m="1" x="28"/>
        <item h="1" m="1" x="996"/>
        <item h="1" m="1" x="1979"/>
        <item h="1" m="1" x="2955"/>
        <item h="1" m="1" x="89"/>
        <item h="1" m="1" x="1055"/>
        <item h="1" m="1" x="2040"/>
        <item h="1" m="1" x="3014"/>
        <item h="1" m="1" x="149"/>
        <item h="1" m="1" x="1116"/>
        <item h="1" m="1" x="2099"/>
        <item h="1" m="1" x="3072"/>
        <item h="1" m="1" x="208"/>
        <item h="1" m="1" x="1173"/>
        <item h="1" m="1" x="2156"/>
        <item h="1" m="1" x="3131"/>
        <item h="1" m="1" x="269"/>
        <item h="1" m="1" x="1232"/>
        <item h="1" m="1" x="2217"/>
        <item h="1" m="1" x="3188"/>
        <item h="1" m="1" x="327"/>
        <item h="1" m="1" x="1289"/>
        <item h="1" m="1" x="2278"/>
        <item h="1" m="1" x="3247"/>
        <item h="1" m="1" x="384"/>
        <item h="1" m="1" x="1349"/>
        <item h="1" m="1" x="2338"/>
        <item h="1" m="1" x="3305"/>
        <item h="1" m="1" x="443"/>
        <item h="1" m="1" x="1405"/>
        <item h="1" m="1" x="2396"/>
        <item h="1" m="1" x="3364"/>
        <item h="1" m="1" x="501"/>
        <item h="1" m="1" x="1466"/>
        <item h="1" m="1" x="2458"/>
        <item h="1" m="1" x="3423"/>
        <item h="1" m="1" x="558"/>
        <item h="1" m="1" x="1526"/>
        <item h="1" m="1" x="2519"/>
        <item h="1" m="1" x="3482"/>
        <item h="1" m="1" x="616"/>
        <item h="1" m="1" x="1588"/>
        <item h="1" m="1" x="2577"/>
        <item h="1" m="1" x="3543"/>
        <item h="1" m="1" x="674"/>
        <item h="1" m="1" x="1645"/>
        <item h="1" m="1" x="2633"/>
        <item h="1" m="1" x="3601"/>
        <item h="1" m="1" x="734"/>
        <item h="1" m="1" x="1705"/>
        <item h="1" m="1" x="2693"/>
        <item h="1" m="1" x="3662"/>
        <item h="1" m="1" x="794"/>
        <item h="1" m="1" x="1764"/>
        <item h="1" m="1" x="2752"/>
        <item h="1" m="1" x="3722"/>
        <item h="1" m="1" x="850"/>
        <item h="1" m="1" x="1825"/>
        <item h="1" m="1" x="2811"/>
        <item h="1" m="1" x="3782"/>
        <item h="1" m="1" x="905"/>
        <item h="1" m="1" x="1885"/>
        <item h="1" m="1" x="2867"/>
        <item h="1" m="1" x="3841"/>
        <item h="1" m="1" x="965"/>
        <item h="1" m="1" x="1947"/>
        <item h="1" m="1" x="2927"/>
        <item h="1" m="1" x="55"/>
        <item h="1" m="1" x="1025"/>
        <item h="1" m="1" x="2006"/>
        <item h="1" m="1" x="2984"/>
        <item h="1" m="1" x="116"/>
        <item h="1" m="1" x="1085"/>
        <item h="1" m="1" x="2068"/>
        <item h="1" m="1" x="3043"/>
        <item h="1" m="1" x="176"/>
        <item h="1" m="1" x="1144"/>
        <item h="1" m="1" x="2125"/>
        <item h="1" m="1" x="3099"/>
        <item h="1" m="1" x="234"/>
        <item h="1" m="1" x="1203"/>
        <item h="1" m="1" x="2184"/>
        <item h="1" m="1" x="3159"/>
        <item h="1" m="1" x="295"/>
        <item h="1" m="1" x="1262"/>
        <item h="1" m="1" x="2244"/>
        <item h="1" m="1" x="3217"/>
        <item h="1" m="1" x="353"/>
        <item h="1" m="1" x="1319"/>
        <item h="1" m="1" x="2306"/>
        <item h="1" m="1" x="3276"/>
        <item h="1" m="1" x="410"/>
        <item h="1" m="1" x="1377"/>
        <item h="1" m="1" x="2365"/>
        <item h="1" m="1" x="3335"/>
        <item h="1" m="1" x="470"/>
        <item h="1" m="1" x="1437"/>
        <item h="1" m="1" x="2426"/>
        <item h="1" m="1" x="3394"/>
        <item h="1" m="1" x="528"/>
        <item h="1" m="1" x="1498"/>
        <item h="1" m="1" x="2487"/>
        <item h="1" m="1" x="3453"/>
        <item h="1" m="1" x="585"/>
        <item h="1" m="1" x="1559"/>
        <item h="1" m="1" x="2547"/>
        <item h="1" m="1" x="3513"/>
        <item h="1" m="1" x="645"/>
        <item h="1" m="1" x="1617"/>
        <item h="1" m="1" x="2602"/>
        <item h="1" m="1" x="3573"/>
        <item h="1" m="1" x="703"/>
        <item h="1" m="1" x="1676"/>
        <item h="1" m="1" x="2661"/>
        <item h="1" m="1" x="3634"/>
        <item h="1" m="1" x="763"/>
        <item h="1" m="1" x="1737"/>
        <item h="1" m="1" x="2721"/>
        <item h="1" m="1" x="3694"/>
        <item h="1" m="1" x="819"/>
        <item h="1" m="1" x="1797"/>
        <item h="1" m="1" x="2780"/>
        <item h="1" m="1" x="3753"/>
        <item h="1" m="1" x="875"/>
        <item h="1" m="1" x="1857"/>
        <item h="1" m="1" x="2837"/>
        <item h="1" m="1" x="3812"/>
        <item h="1" m="1" x="934"/>
        <item h="1" m="1" x="1918"/>
        <item h="1" m="1" x="2896"/>
        <item h="1" m="1" x="25"/>
        <item h="1" m="1" x="993"/>
        <item h="1" m="1" x="1978"/>
        <item h="1" m="1" x="2953"/>
        <item h="1" m="1" x="87"/>
        <item h="1" m="1" x="1053"/>
        <item h="1" m="1" x="2039"/>
        <item h="1" m="1" x="3012"/>
        <item h="1" m="1" x="147"/>
        <item h="1" m="1" x="1113"/>
        <item h="1" m="1" x="2097"/>
        <item h="1" m="1" x="3068"/>
        <item h="1" m="1" x="205"/>
        <item h="1" m="1" x="1171"/>
        <item h="1" m="1" x="2154"/>
        <item h="1" m="1" x="3128"/>
        <item h="1" m="1" x="267"/>
        <item h="1" m="1" x="1229"/>
        <item h="1" m="1" x="2216"/>
        <item h="1" m="1" x="3186"/>
        <item h="1" m="1" x="325"/>
        <item h="1" m="1" x="1287"/>
        <item h="1" m="1" x="2277"/>
        <item h="1" m="1" x="3244"/>
        <item h="1" m="1" x="382"/>
        <item h="1" m="1" x="1345"/>
        <item h="1" m="1" x="2335"/>
        <item h="1" m="1" x="3302"/>
        <item h="1" m="1" x="441"/>
        <item h="1" m="1" x="1403"/>
        <item h="1" m="1" x="2395"/>
        <item h="1" m="1" x="3362"/>
        <item h="1" m="1" x="499"/>
        <item h="1" m="1" x="1463"/>
        <item h="1" m="1" x="2457"/>
        <item h="1" m="1" x="3421"/>
        <item h="1" m="1" x="556"/>
        <item h="1" m="1" x="1524"/>
        <item h="1" m="1" x="2518"/>
        <item h="1" m="1" x="3480"/>
        <item h="1" m="1" x="614"/>
        <item h="1" m="1" x="1585"/>
        <item h="1" m="1" x="2575"/>
        <item h="1" m="1" x="3540"/>
        <item h="1" m="1" x="672"/>
        <item h="1" m="1" x="1642"/>
        <item h="1" m="1" x="2631"/>
        <item h="1" m="1" x="3599"/>
        <item h="1" m="1" x="732"/>
        <item h="1" m="1" x="1702"/>
        <item h="1" m="1" x="2692"/>
        <item h="1" m="1" x="3660"/>
        <item h="1" m="1" x="792"/>
        <item h="1" m="1" x="1762"/>
        <item h="1" m="1" x="2751"/>
        <item h="1" m="1" x="3720"/>
        <item h="1" m="1" x="848"/>
        <item h="1" m="1" x="1822"/>
        <item h="1" m="1" x="2809"/>
        <item h="1" m="1" x="3780"/>
        <item h="1" m="1" x="903"/>
        <item h="1" m="1" x="1883"/>
        <item h="1" m="1" x="2866"/>
        <item h="1" m="1" x="3839"/>
        <item h="1" m="1" x="963"/>
        <item h="1" m="1" x="1944"/>
        <item h="1" m="1" x="2926"/>
        <item h="1" m="1" x="53"/>
        <item h="1" m="1" x="1023"/>
        <item h="1" m="1" x="2004"/>
        <item h="1" m="1" x="2983"/>
        <item h="1" m="1" x="114"/>
        <item h="1" m="1" x="1083"/>
        <item h="1" m="1" x="2065"/>
        <item h="1" m="1" x="3041"/>
        <item h="1" m="1" x="173"/>
        <item h="1" m="1" x="1141"/>
        <item h="1" m="1" x="2122"/>
        <item h="1" m="1" x="3098"/>
        <item h="1" m="1" x="232"/>
        <item h="1" m="1" x="1201"/>
        <item h="1" m="1" x="2181"/>
        <item h="1" m="1" x="3158"/>
        <item h="1" m="1" x="293"/>
        <item h="1" m="1" x="1260"/>
        <item h="1" m="1" x="2242"/>
        <item h="1" m="1" x="3216"/>
        <item h="1" m="1" x="351"/>
        <item h="1" m="1" x="1317"/>
        <item h="1" m="1" x="2303"/>
        <item h="1" m="1" x="3274"/>
        <item h="1" m="1" x="408"/>
        <item h="1" m="1" x="1375"/>
        <item h="1" m="1" x="2363"/>
        <item h="1" m="1" x="3334"/>
        <item h="1" m="1" x="468"/>
        <item h="1" m="1" x="1435"/>
        <item h="1" m="1" x="2423"/>
        <item h="1" m="1" x="3393"/>
        <item h="1" m="1" x="526"/>
        <item h="1" m="1" x="1496"/>
        <item h="1" m="1" x="2485"/>
        <item h="1" m="1" x="3452"/>
        <item h="1" m="1" x="583"/>
        <item h="1" m="1" x="1557"/>
        <item h="1" m="1" x="2544"/>
        <item h="1" m="1" x="3511"/>
        <item h="1" m="1" x="642"/>
        <item h="1" m="1" x="1615"/>
        <item h="1" m="1" x="2600"/>
        <item h="1" m="1" x="3572"/>
        <item h="1" m="1" x="701"/>
        <item h="1" m="1" x="1674"/>
        <item h="1" m="1" x="2658"/>
        <item h="1" m="1" x="3633"/>
        <item h="1" m="1" x="761"/>
        <item h="1" m="1" x="1735"/>
        <item h="1" m="1" x="2719"/>
        <item h="1" m="1" x="3693"/>
        <item h="1" m="1" x="817"/>
        <item h="1" m="1" x="1795"/>
        <item h="1" m="1" x="2777"/>
        <item h="1" m="1" x="3751"/>
        <item h="1" m="1" x="873"/>
        <item h="1" m="1" x="1855"/>
        <item h="1" m="1" x="2835"/>
        <item h="1" m="1" x="3811"/>
        <item h="1" m="1" x="932"/>
        <item h="1" m="1" x="1916"/>
        <item h="1" m="1" x="2893"/>
        <item h="1" m="1" x="3870"/>
        <item h="1" m="1" x="991"/>
        <item h="1" m="1" x="1976"/>
        <item h="1" m="1" x="2951"/>
        <item h="1" m="1" x="86"/>
        <item h="1" m="1" x="1051"/>
        <item h="1" m="1" x="2037"/>
        <item h="1" m="1" x="3009"/>
        <item h="1" m="1" x="145"/>
        <item h="1" m="1" x="1110"/>
        <item h="1" m="1" x="2094"/>
        <item h="1" m="1" x="3066"/>
        <item h="1" m="1" x="204"/>
        <item h="1" m="1" x="1169"/>
        <item h="1" m="1" x="2152"/>
        <item h="1" m="1" x="3125"/>
        <item h="1" m="1" x="265"/>
        <item h="1" m="1" x="1227"/>
        <item h="1" m="1" x="2214"/>
        <item h="1" m="1" x="3183"/>
        <item h="1" m="1" x="324"/>
        <item h="1" m="1" x="1285"/>
        <item h="1" m="1" x="2274"/>
        <item h="1" m="1" x="3240"/>
        <item h="1" m="1" x="380"/>
        <item h="1" m="1" x="1342"/>
        <item h="1" m="1" x="2333"/>
        <item h="1" m="1" x="3300"/>
        <item h="1" m="1" x="440"/>
        <item h="1" m="1" x="1401"/>
        <item h="1" m="1" x="2393"/>
        <item h="1" m="1" x="3359"/>
        <item h="1" m="1" x="498"/>
        <item h="1" m="1" x="1461"/>
        <item h="1" m="1" x="2455"/>
        <item h="1" m="1" x="3419"/>
        <item h="1" m="1" x="555"/>
        <item h="1" m="1" x="1522"/>
        <item h="1" m="1" x="2516"/>
        <item h="1" m="1" x="3477"/>
        <item h="1" m="1" x="612"/>
        <item h="1" m="1" x="1582"/>
        <item h="1" m="1" x="2573"/>
        <item h="1" m="1" x="3537"/>
        <item h="1" m="1" x="671"/>
        <item h="1" m="1" x="1640"/>
        <item h="1" m="1" x="2629"/>
        <item h="1" m="1" x="3596"/>
        <item h="1" m="1" x="731"/>
        <item h="1" m="1" x="1700"/>
        <item h="1" m="1" x="2690"/>
        <item h="1" m="1" x="3658"/>
        <item h="1" m="1" x="791"/>
        <item h="1" m="1" x="1760"/>
        <item h="1" m="1" x="2749"/>
        <item h="1" m="1" x="3717"/>
        <item h="1" m="1" x="846"/>
        <item h="1" m="1" x="1820"/>
        <item h="1" m="1" x="2807"/>
        <item h="1" m="1" x="3778"/>
        <item h="1" m="1" x="902"/>
        <item h="1" m="1" x="1881"/>
        <item h="1" m="1" x="2864"/>
        <item h="1" m="1" x="3836"/>
        <item h="1" m="1" x="962"/>
        <item h="1" m="1" x="1942"/>
        <item h="1" m="1" x="2924"/>
        <item h="1" m="1" x="51"/>
        <item h="1" m="1" x="1022"/>
        <item h="1" m="1" x="2002"/>
        <item h="1" m="1" x="2981"/>
        <item h="1" m="1" x="111"/>
        <item h="1" m="1" x="1081"/>
        <item h="1" m="1" x="2062"/>
        <item h="1" m="1" x="3038"/>
        <item h="1" m="1" x="170"/>
        <item h="1" m="1" x="1140"/>
        <item h="1" m="1" x="2120"/>
        <item h="1" m="1" x="3096"/>
        <item h="1" m="1" x="229"/>
        <item h="1" m="1" x="1200"/>
        <item h="1" m="1" x="2179"/>
        <item h="1" m="1" x="3156"/>
        <item h="1" m="1" x="291"/>
        <item h="1" m="1" x="1259"/>
        <item h="1" m="1" x="2240"/>
        <item h="1" m="1" x="3214"/>
        <item h="1" m="1" x="348"/>
        <item h="1" m="1" x="1315"/>
        <item h="1" m="1" x="2301"/>
        <item h="1" m="1" x="3272"/>
        <item h="1" m="1" x="406"/>
        <item h="1" m="1" x="1374"/>
        <item h="1" m="1" x="2361"/>
        <item h="1" m="1" x="3332"/>
        <item h="1" m="1" x="465"/>
        <item h="1" m="1" x="1434"/>
        <item h="1" m="1" x="2421"/>
        <item h="1" m="1" x="3391"/>
        <item h="1" m="1" x="524"/>
        <item h="1" m="1" x="1495"/>
        <item h="1" m="1" x="2483"/>
        <item h="1" m="1" x="3450"/>
        <item h="1" m="1" x="580"/>
        <item h="1" m="1" x="1555"/>
        <item h="1" m="1" x="2541"/>
        <item h="1" m="1" x="3509"/>
        <item h="1" m="1" x="640"/>
        <item h="1" m="1" x="1614"/>
        <item h="1" m="1" x="2598"/>
        <item h="1" m="1" x="3570"/>
        <item h="1" m="1" x="698"/>
        <item h="1" m="1" x="1673"/>
        <item h="1" m="1" x="2656"/>
        <item h="1" m="1" x="3631"/>
        <item h="1" m="1" x="759"/>
        <item h="1" m="1" x="1734"/>
        <item h="1" m="1" x="2717"/>
        <item h="1" m="1" x="3691"/>
        <item h="1" m="1" x="814"/>
        <item h="1" m="1" x="1793"/>
        <item h="1" m="1" x="2775"/>
        <item h="1" m="1" x="3749"/>
        <item h="1" m="1" x="871"/>
        <item h="1" m="1" x="1854"/>
        <item h="1" m="1" x="2833"/>
        <item h="1" m="1" x="3809"/>
        <item h="1" m="1" x="929"/>
        <item h="1" m="1" x="1915"/>
        <item h="1" m="1" x="2891"/>
        <item h="1" m="1" x="3868"/>
        <item h="1" m="1" x="989"/>
        <item h="1" m="1" x="1975"/>
        <item h="1" m="1" x="2949"/>
        <item h="1" m="1" x="84"/>
        <item h="1" m="1" x="1048"/>
        <item h="1" m="1" x="2035"/>
        <item h="1" m="1" x="3006"/>
        <item h="1" m="1" x="142"/>
        <item h="1" m="1" x="1107"/>
        <item h="1" m="1" x="2092"/>
        <item h="1" m="1" x="3064"/>
        <item h="1" m="1" x="202"/>
        <item h="1" m="1" x="1166"/>
        <item h="1" m="1" x="2151"/>
        <item h="1" m="1" x="3122"/>
        <item h="1" m="1" x="262"/>
        <item h="1" m="1" x="1225"/>
        <item h="1" m="1" x="2212"/>
        <item h="1" m="1" x="3180"/>
        <item h="1" m="1" x="322"/>
        <item h="1" m="1" x="1282"/>
        <item h="1" m="1" x="2271"/>
        <item h="1" m="1" x="3238"/>
        <item h="1" m="1" x="378"/>
        <item h="1" m="1" x="1340"/>
        <item h="1" m="1" x="2332"/>
        <item h="1" m="1" x="3298"/>
        <item h="1" m="1" x="438"/>
        <item h="1" m="1" x="1398"/>
        <item h="1" m="1" x="2392"/>
        <item h="1" m="1" x="3357"/>
        <item h="1" m="1" x="496"/>
        <item h="1" m="1" x="1459"/>
        <item h="1" m="1" x="2454"/>
        <item h="1" m="1" x="3417"/>
        <item h="1" m="1" x="553"/>
        <item h="1" m="1" x="1519"/>
        <item h="1" m="1" x="2514"/>
        <item h="1" m="1" x="3474"/>
        <item h="1" m="1" x="609"/>
        <item h="1" m="1" x="1579"/>
        <item h="1" m="1" x="2571"/>
        <item h="1" m="1" x="3535"/>
        <item h="1" m="1" x="669"/>
        <item h="1" m="1" x="1637"/>
        <item h="1" m="1" x="2628"/>
        <item h="1" m="1" x="3594"/>
        <item h="1" m="1" x="729"/>
        <item h="1" m="1" x="1698"/>
        <item h="1" m="1" x="2689"/>
        <item h="1" m="1" x="3656"/>
        <item h="1" m="1" x="789"/>
        <item h="1" m="1" x="1757"/>
        <item h="1" m="1" x="2747"/>
        <item h="1" m="1" x="3715"/>
        <item h="1" m="1" x="844"/>
        <item h="1" m="1" x="1818"/>
        <item h="1" m="1" x="2806"/>
        <item h="1" m="1" x="3776"/>
        <item h="1" m="1" x="900"/>
        <item h="1" m="1" x="1878"/>
        <item h="1" m="1" x="2863"/>
        <item h="1" m="1" x="3834"/>
        <item h="1" m="1" x="960"/>
        <item h="1" m="1" x="1940"/>
        <item h="1" m="1" x="2923"/>
        <item h="1" m="1" x="49"/>
        <item h="1" m="1" x="1020"/>
        <item h="1" m="1" x="1999"/>
        <item h="1" m="1" x="2979"/>
        <item h="1" m="1" x="108"/>
        <item h="1" m="1" x="1078"/>
        <item h="1" m="1" x="2059"/>
        <item h="1" m="1" x="3037"/>
        <item h="1" m="1" x="168"/>
        <item h="1" m="1" x="1138"/>
        <item h="1" m="1" x="2117"/>
        <item h="1" m="1" x="3095"/>
        <item h="1" m="1" x="227"/>
        <item h="1" m="1" x="1198"/>
        <item h="1" m="1" x="2177"/>
        <item h="1" m="1" x="3155"/>
        <item h="1" m="1" x="289"/>
        <item h="1" m="1" x="1257"/>
        <item h="1" m="1" x="2237"/>
        <item h="1" m="1" x="3212"/>
        <item h="1" m="1" x="346"/>
        <item h="1" m="1" x="1313"/>
        <item h="1" m="1" x="2299"/>
        <item h="1" m="1" x="3271"/>
        <item h="1" m="1" x="404"/>
        <item h="1" m="1" x="1372"/>
        <item h="1" m="1" x="2358"/>
        <item h="1" m="1" x="3331"/>
        <item h="1" m="1" x="463"/>
        <item h="1" m="1" x="1432"/>
        <item h="1" m="1" x="2419"/>
        <item h="1" m="1" x="3390"/>
        <item h="1" m="1" x="522"/>
        <item h="1" m="1" x="1493"/>
        <item h="1" m="1" x="2480"/>
        <item h="1" m="1" x="3448"/>
        <item h="1" m="1" x="577"/>
        <item h="1" m="1" x="1552"/>
        <item h="1" m="1" x="2539"/>
        <item h="1" m="1" x="3508"/>
        <item h="1" m="1" x="638"/>
        <item h="1" m="1" x="1612"/>
        <item h="1" m="1" x="2595"/>
        <item h="1" m="1" x="3569"/>
        <item h="1" m="1" x="696"/>
        <item h="1" m="1" x="1671"/>
        <item h="1" m="1" x="2654"/>
        <item h="1" m="1" x="3630"/>
        <item h="1" m="1" x="757"/>
        <item h="1" m="1" x="1732"/>
        <item h="1" m="1" x="2714"/>
        <item h="1" m="1" x="3689"/>
        <item h="1" m="1" x="812"/>
        <item h="1" m="1" x="1791"/>
        <item h="1" m="1" x="2773"/>
        <item h="1" m="1" x="3748"/>
        <item h="1" m="1" x="869"/>
        <item h="1" m="1" x="1852"/>
        <item h="1" m="1" x="2830"/>
        <item h="1" m="1" x="3808"/>
        <item h="1" m="1" x="927"/>
        <item h="1" m="1" x="1913"/>
        <item h="1" m="1" x="2889"/>
        <item h="1" m="1" x="3867"/>
        <item h="1" m="1" x="987"/>
        <item h="1" m="1" x="1973"/>
        <item h="1" m="1" x="2946"/>
        <item h="1" m="1" x="82"/>
        <item h="1" m="1" x="1045"/>
        <item h="1" m="1" x="2032"/>
        <item h="1" m="1" x="3004"/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x="23"/>
        <item h="1" x="17"/>
        <item h="1" x="19"/>
        <item h="1" x="18"/>
        <item h="1" x="20"/>
        <item h="1" x="22"/>
        <item h="1" x="21"/>
        <item h="1" x="24"/>
        <item t="default"/>
      </items>
    </pivotField>
    <pivotField multipleItemSelectionAllowed="1" showAll="0"/>
    <pivotField multipleItemSelectionAllowed="1" showAll="0"/>
  </pivotFields>
  <rowFields count="1">
    <field x="7"/>
  </rowFields>
  <rowItems count="7"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pageFields count="1">
    <pageField fld="11" hier="-1"/>
  </pageFields>
  <dataFields count="1">
    <dataField name="Count of _x000a_Previous Day" fld="11" subtotal="count" baseField="0" baseItem="0"/>
  </dataFields>
  <formats count="20">
    <format dxfId="38">
      <pivotArea collapsedLevelsAreSubtotals="1" fieldPosition="0">
        <references count="1">
          <reference field="7" count="7">
            <x v="0"/>
            <x v="1"/>
            <x v="2"/>
            <x v="3"/>
            <x v="4"/>
            <x v="5"/>
            <x v="6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7" type="button" dataOnly="0" labelOnly="1" outline="0" axis="axisRow" fieldPosition="0"/>
    </format>
    <format dxfId="34">
      <pivotArea dataOnly="0" labelOnly="1" fieldPosition="0">
        <references count="1">
          <reference field="7" count="0"/>
        </references>
      </pivotArea>
    </format>
    <format dxfId="33">
      <pivotArea dataOnly="0" labelOnly="1" grandRow="1" outline="0" fieldPosition="0"/>
    </format>
    <format dxfId="32">
      <pivotArea dataOnly="0" labelOnly="1" outline="0" axis="axisValues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7" type="button" dataOnly="0" labelOnly="1" outline="0" axis="axisRow" fieldPosition="0"/>
    </format>
    <format dxfId="28">
      <pivotArea dataOnly="0" labelOnly="1" fieldPosition="0">
        <references count="1">
          <reference field="7" count="5">
            <x v="0"/>
            <x v="1"/>
            <x v="3"/>
            <x v="4"/>
            <x v="6"/>
          </reference>
        </references>
      </pivotArea>
    </format>
    <format dxfId="27">
      <pivotArea dataOnly="0" labelOnly="1" grandRow="1" outline="0" fieldPosition="0"/>
    </format>
    <format dxfId="26">
      <pivotArea dataOnly="0" labelOnly="1" outline="0" axis="axisValues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7" type="button" dataOnly="0" labelOnly="1" outline="0" axis="axisRow" fieldPosition="0"/>
    </format>
    <format dxfId="22">
      <pivotArea dataOnly="0" labelOnly="1" fieldPosition="0">
        <references count="1">
          <reference field="7" count="5">
            <x v="0"/>
            <x v="1"/>
            <x v="3"/>
            <x v="4"/>
            <x v="6"/>
          </reference>
        </references>
      </pivotArea>
    </format>
    <format dxfId="21">
      <pivotArea dataOnly="0" labelOnly="1" grandRow="1" outline="0" fieldPosition="0"/>
    </format>
    <format dxfId="20">
      <pivotArea dataOnly="0" labelOnly="1" outline="0" axis="axisValues" fieldPosition="0"/>
    </format>
    <format dxfId="1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60F786-4028-4160-A388-0403A4FF1CF2}" autoFormatId="16" applyNumberFormats="0" applyBorderFormats="0" applyFontFormats="0" applyPatternFormats="0" applyAlignmentFormats="0" applyWidthHeightFormats="0">
  <queryTableRefresh nextId="30" unboundColumnsRight="7">
    <queryTableFields count="14">
      <queryTableField id="4" name="MARKET" tableColumnId="4"/>
      <queryTableField id="5" name="SITE_ID" tableColumnId="5"/>
      <queryTableField id="6" name="INSERTTIME" tableColumnId="6"/>
      <queryTableField id="9" name="ACCTDESC" tableColumnId="9"/>
      <queryTableField id="11" name="DATAIDVAL" tableColumnId="11"/>
      <queryTableField id="13" name="CHANGEDBY" tableColumnId="13"/>
      <queryTableField id="14" name="CHANGEDDT" tableColumnId="14"/>
      <queryTableField id="17" dataBound="0" tableColumnId="17"/>
      <queryTableField id="19" dataBound="0" tableColumnId="19"/>
      <queryTableField id="21" dataBound="0" tableColumnId="21"/>
      <queryTableField id="22" dataBound="0" tableColumnId="22"/>
      <queryTableField id="23" dataBound="0" tableColumnId="23"/>
      <queryTableField id="25" dataBound="0" tableColumnId="25"/>
      <queryTableField id="26" dataBound="0" tableColumnId="26"/>
    </queryTableFields>
    <queryTableDeletedFields count="8">
      <deletedField name="SEVERITY"/>
      <deletedField name="PDI_COM"/>
      <deletedField name="EXCOMMENT"/>
      <deletedField name="Expr1000"/>
      <deletedField name="DIVISION"/>
      <deletedField name="REGION"/>
      <deletedField name="FISPERIOD"/>
      <deletedField name="BUSDAT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904DCD-6DCF-4F36-B325-7CE583DBCA05}" name="qry_ProdData2_PDI_Cash_Exception_Application" displayName="qry_ProdData2_PDI_Cash_Exception_Application" ref="A1:N3739" tableType="queryTable" totalsRowShown="0">
  <autoFilter ref="A1:N3739" xr:uid="{77904DCD-6DCF-4F36-B325-7CE583DBCA05}"/>
  <sortState xmlns:xlrd2="http://schemas.microsoft.com/office/spreadsheetml/2017/richdata2" ref="A10:N3736">
    <sortCondition ref="K1:K3739"/>
  </sortState>
  <tableColumns count="14">
    <tableColumn id="4" xr3:uid="{B8208CC9-80FE-47C0-BA06-70C50F5EAC0A}" uniqueName="4" name="MARKET No" queryTableFieldId="4" dataDxfId="51"/>
    <tableColumn id="5" xr3:uid="{C5500177-CC1B-4454-A0DF-605A61698840}" uniqueName="5" name="SITE" queryTableFieldId="5"/>
    <tableColumn id="6" xr3:uid="{A25E3615-8405-4672-9219-42671F564D15}" uniqueName="6" name="INSERT DATE" queryTableFieldId="6" dataDxfId="50"/>
    <tableColumn id="9" xr3:uid="{54B0F9E2-9D82-425F-89EF-2DEC81E9D5AD}" uniqueName="9" name="TYPE" queryTableFieldId="9" dataDxfId="49"/>
    <tableColumn id="11" xr3:uid="{CCD24EC9-5EA5-4EB4-89B6-BCC7AC08B132}" uniqueName="11" name="AMOUNT" queryTableFieldId="11"/>
    <tableColumn id="13" xr3:uid="{607D9B2A-035D-43DC-8B00-4D44583B5EB3}" uniqueName="13" name="WORKED BY" queryTableFieldId="13" dataDxfId="48"/>
    <tableColumn id="14" xr3:uid="{6D83D3E2-8CE1-49BE-B6F3-1E7C4CB1093E}" uniqueName="14" name="CHANGED ON" queryTableFieldId="14" dataDxfId="47"/>
    <tableColumn id="17" xr3:uid="{1387BDA1-E843-4AEB-A04A-8FDC0C4A5426}" uniqueName="17" name="ANALYST" queryTableFieldId="17" dataDxfId="46">
      <calculatedColumnFormula>VLOOKUP(qry_ProdData2_PDI_Cash_Exception_Application[[#This Row],[MARKET No]],'Site Allocation'!$B$2:$C$37,2,FALSE)</calculatedColumnFormula>
    </tableColumn>
    <tableColumn id="19" xr3:uid="{3358551B-648C-4940-A648-5F0DB301BABC}" uniqueName="19" name="TODAY" queryTableFieldId="19" dataDxfId="45">
      <calculatedColumnFormula>TODAY()</calculatedColumnFormula>
    </tableColumn>
    <tableColumn id="21" xr3:uid="{C40D31E3-D610-4534-930C-153F778BE7BA}" uniqueName="21" name="AGEING" queryTableFieldId="21" dataDxfId="44">
      <calculatedColumnFormula>TODAY()-qry_ProdData2_PDI_Cash_Exception_Application[[#This Row],[INSERT DATE]]</calculatedColumnFormula>
    </tableColumn>
    <tableColumn id="22" xr3:uid="{37935225-4C73-4F1A-8B67-CA632BEBD30E}" uniqueName="22" name="AGEING RANGE" queryTableFieldId="22" dataDxfId="43">
      <calculatedColumnFormula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calculatedColumnFormula>
    </tableColumn>
    <tableColumn id="23" xr3:uid="{33123E06-BCA6-4297-B2C9-EAE2943820B5}" uniqueName="23" name="Previous Day" queryTableFieldId="23" dataDxfId="42">
      <calculatedColumnFormula>qry_ProdData2_PDI_Cash_Exception_Application[[#This Row],[TODAY]]-qry_ProdData2_PDI_Cash_Exception_Application[[#This Row],[CHANGED ON]]</calculatedColumnFormula>
    </tableColumn>
    <tableColumn id="25" xr3:uid="{33782E55-9222-465F-B5BB-74D9BC40A656}" uniqueName="25" name="The Day before" queryTableFieldId="25" dataDxfId="41">
      <calculatedColumnFormula>qry_ProdData2_PDI_Cash_Exception_Application[[#This Row],[TODAY]]-qry_ProdData2_PDI_Cash_Exception_Application[[#This Row],[CHANGED ON]]</calculatedColumnFormula>
    </tableColumn>
    <tableColumn id="26" xr3:uid="{C0A73BA6-3E9E-4525-BBD6-EA12B63DA8AD}" uniqueName="26" name="Total of 2 days" queryTableFieldId="26" dataDxfId="40">
      <calculatedColumnFormula>qry_ProdData2_PDI_Cash_Exception_Application[[#This Row],[TODAY]]-qry_ProdData2_PDI_Cash_Exception_Application[[#This Row],[CHANGED ON]]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5684C-D4F6-43E2-B07C-786EFA4EDC24}">
  <dimension ref="A1:G26"/>
  <sheetViews>
    <sheetView showGridLines="0" zoomScale="80" zoomScaleNormal="80" workbookViewId="0">
      <selection activeCell="F11" sqref="F11"/>
    </sheetView>
  </sheetViews>
  <sheetFormatPr defaultRowHeight="14.5" x14ac:dyDescent="0.35"/>
  <cols>
    <col min="1" max="1" width="40.7265625" customWidth="1"/>
  </cols>
  <sheetData>
    <row r="1" spans="1:7" ht="18.5" x14ac:dyDescent="0.45">
      <c r="A1" s="6" t="s">
        <v>14</v>
      </c>
      <c r="G1" s="6" t="s">
        <v>17</v>
      </c>
    </row>
    <row r="2" spans="1:7" x14ac:dyDescent="0.35">
      <c r="A2" s="5" t="s">
        <v>35</v>
      </c>
      <c r="G2" s="5" t="s">
        <v>45</v>
      </c>
    </row>
    <row r="3" spans="1:7" x14ac:dyDescent="0.35">
      <c r="A3" s="5" t="s">
        <v>15</v>
      </c>
      <c r="G3" s="5" t="s">
        <v>46</v>
      </c>
    </row>
    <row r="4" spans="1:7" x14ac:dyDescent="0.35">
      <c r="A4" s="5" t="s">
        <v>16</v>
      </c>
      <c r="G4" s="5"/>
    </row>
    <row r="5" spans="1:7" x14ac:dyDescent="0.35">
      <c r="A5" s="5"/>
    </row>
    <row r="6" spans="1:7" x14ac:dyDescent="0.35">
      <c r="A6" s="5"/>
    </row>
    <row r="7" spans="1:7" ht="18.5" x14ac:dyDescent="0.45">
      <c r="A7" s="6" t="s">
        <v>43</v>
      </c>
    </row>
    <row r="8" spans="1:7" x14ac:dyDescent="0.35">
      <c r="A8" s="5" t="s">
        <v>18</v>
      </c>
    </row>
    <row r="9" spans="1:7" x14ac:dyDescent="0.35">
      <c r="A9" s="5" t="s">
        <v>39</v>
      </c>
    </row>
    <row r="10" spans="1:7" x14ac:dyDescent="0.35">
      <c r="A10" s="5" t="s">
        <v>13</v>
      </c>
    </row>
    <row r="11" spans="1:7" x14ac:dyDescent="0.35">
      <c r="A11" s="5"/>
    </row>
    <row r="12" spans="1:7" x14ac:dyDescent="0.35">
      <c r="A12" s="5"/>
    </row>
    <row r="13" spans="1:7" ht="18.5" x14ac:dyDescent="0.45">
      <c r="A13" s="6" t="s">
        <v>42</v>
      </c>
    </row>
    <row r="14" spans="1:7" x14ac:dyDescent="0.35">
      <c r="A14" s="5" t="s">
        <v>40</v>
      </c>
    </row>
    <row r="15" spans="1:7" x14ac:dyDescent="0.35">
      <c r="A15" s="5" t="s">
        <v>19</v>
      </c>
    </row>
    <row r="16" spans="1:7" x14ac:dyDescent="0.35">
      <c r="A16" s="5"/>
    </row>
    <row r="17" spans="1:1" ht="18.5" x14ac:dyDescent="0.45">
      <c r="A17" s="6" t="s">
        <v>41</v>
      </c>
    </row>
    <row r="18" spans="1:1" x14ac:dyDescent="0.35">
      <c r="A18" s="5" t="s">
        <v>24</v>
      </c>
    </row>
    <row r="19" spans="1:1" x14ac:dyDescent="0.35">
      <c r="A19" s="5"/>
    </row>
    <row r="20" spans="1:1" x14ac:dyDescent="0.35">
      <c r="A20" s="5"/>
    </row>
    <row r="21" spans="1:1" ht="18.5" x14ac:dyDescent="0.45">
      <c r="A21" s="6" t="s">
        <v>44</v>
      </c>
    </row>
    <row r="22" spans="1:1" x14ac:dyDescent="0.35">
      <c r="A22" s="5" t="s">
        <v>20</v>
      </c>
    </row>
    <row r="23" spans="1:1" x14ac:dyDescent="0.35">
      <c r="A23" s="5" t="s">
        <v>22</v>
      </c>
    </row>
    <row r="24" spans="1:1" x14ac:dyDescent="0.35">
      <c r="A24" s="5" t="s">
        <v>21</v>
      </c>
    </row>
    <row r="25" spans="1:1" x14ac:dyDescent="0.35">
      <c r="A25" s="5" t="s">
        <v>23</v>
      </c>
    </row>
    <row r="26" spans="1:1" x14ac:dyDescent="0.35">
      <c r="A26" s="5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9F241-A61F-47DC-90E5-A24CF1660DBF}">
  <dimension ref="A1:Y1000"/>
  <sheetViews>
    <sheetView zoomScale="80" workbookViewId="0">
      <selection activeCell="E14" sqref="E14"/>
    </sheetView>
  </sheetViews>
  <sheetFormatPr defaultRowHeight="14.5" x14ac:dyDescent="0.35"/>
  <cols>
    <col min="1" max="1" width="18.36328125" bestFit="1" customWidth="1"/>
    <col min="2" max="2" width="16.453125" bestFit="1" customWidth="1"/>
    <col min="3" max="4" width="6.26953125" bestFit="1" customWidth="1"/>
    <col min="5" max="5" width="11" bestFit="1" customWidth="1"/>
    <col min="6" max="6" width="5.6328125" customWidth="1"/>
    <col min="7" max="7" width="11" bestFit="1" customWidth="1"/>
    <col min="8" max="8" width="7.1796875" bestFit="1" customWidth="1"/>
    <col min="9" max="9" width="11" bestFit="1" customWidth="1"/>
    <col min="12" max="12" width="9.7265625" bestFit="1" customWidth="1"/>
    <col min="14" max="14" width="13.7265625" bestFit="1" customWidth="1"/>
  </cols>
  <sheetData>
    <row r="1" spans="1:25" x14ac:dyDescent="0.35">
      <c r="A1" s="2" t="s">
        <v>104</v>
      </c>
      <c r="B1" s="2" t="s">
        <v>4</v>
      </c>
      <c r="F1" s="19"/>
      <c r="G1" s="19"/>
      <c r="H1" s="19"/>
      <c r="I1" s="19"/>
      <c r="J1" s="9" t="s">
        <v>38</v>
      </c>
      <c r="K1" s="9" t="s">
        <v>100</v>
      </c>
      <c r="L1" s="9" t="s">
        <v>36</v>
      </c>
      <c r="M1" s="9" t="s">
        <v>37</v>
      </c>
      <c r="N1" s="11" t="s">
        <v>3</v>
      </c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</row>
    <row r="2" spans="1:25" x14ac:dyDescent="0.35">
      <c r="A2" s="2" t="s">
        <v>0</v>
      </c>
      <c r="B2" t="s">
        <v>101</v>
      </c>
      <c r="C2" t="s">
        <v>102</v>
      </c>
      <c r="D2" t="s">
        <v>103</v>
      </c>
      <c r="E2" t="s">
        <v>1</v>
      </c>
      <c r="F2" s="19"/>
      <c r="G2" s="19"/>
      <c r="H2" s="19"/>
      <c r="I2" s="19"/>
      <c r="J2" s="10">
        <v>1033</v>
      </c>
      <c r="K2" s="10">
        <v>1033111</v>
      </c>
      <c r="L2" s="48">
        <v>45178</v>
      </c>
      <c r="M2" t="s">
        <v>101</v>
      </c>
      <c r="N2" s="12" t="str">
        <f>VLOOKUP(J2,'Site Allocation'!$B$2:$C$37,2,FALSE)</f>
        <v>Analyst6</v>
      </c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</row>
    <row r="3" spans="1:25" x14ac:dyDescent="0.35">
      <c r="A3" s="3" t="s">
        <v>47</v>
      </c>
      <c r="B3" s="51">
        <v>2</v>
      </c>
      <c r="C3" s="51">
        <v>3</v>
      </c>
      <c r="D3" s="51">
        <v>3</v>
      </c>
      <c r="E3" s="51">
        <v>8</v>
      </c>
      <c r="F3" s="19"/>
      <c r="G3" s="19"/>
      <c r="H3" s="19"/>
      <c r="I3" s="19"/>
      <c r="J3" s="10">
        <v>1000</v>
      </c>
      <c r="K3" s="10">
        <v>1000111</v>
      </c>
      <c r="L3" s="48">
        <v>45179</v>
      </c>
      <c r="M3" t="s">
        <v>103</v>
      </c>
      <c r="N3" s="12" t="str">
        <f>VLOOKUP(J3,'Site Allocation'!$B$2:$C$37,2,FALSE)</f>
        <v>Analyst1</v>
      </c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</row>
    <row r="4" spans="1:25" x14ac:dyDescent="0.35">
      <c r="A4" s="3" t="s">
        <v>48</v>
      </c>
      <c r="B4" s="51">
        <v>5</v>
      </c>
      <c r="C4" s="51">
        <v>1</v>
      </c>
      <c r="D4" s="51">
        <v>6</v>
      </c>
      <c r="E4" s="51">
        <v>12</v>
      </c>
      <c r="F4" s="19"/>
      <c r="G4" s="19"/>
      <c r="H4" s="19"/>
      <c r="I4" s="19"/>
      <c r="J4" s="10">
        <v>1019</v>
      </c>
      <c r="K4" s="10">
        <v>1019111</v>
      </c>
      <c r="L4" s="48">
        <v>45180</v>
      </c>
      <c r="M4" t="s">
        <v>102</v>
      </c>
      <c r="N4" s="12" t="str">
        <f>VLOOKUP(J4,'Site Allocation'!$B$2:$C$37,2,FALSE)</f>
        <v>Analyst4</v>
      </c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</row>
    <row r="5" spans="1:25" x14ac:dyDescent="0.35">
      <c r="A5" s="3" t="s">
        <v>49</v>
      </c>
      <c r="B5" s="51">
        <v>1</v>
      </c>
      <c r="C5" s="51">
        <v>2</v>
      </c>
      <c r="D5" s="51">
        <v>9</v>
      </c>
      <c r="E5" s="51">
        <v>12</v>
      </c>
      <c r="F5" s="19"/>
      <c r="G5" s="19"/>
      <c r="H5" s="19"/>
      <c r="I5" s="19"/>
      <c r="J5" s="10">
        <v>1006</v>
      </c>
      <c r="K5" s="10">
        <v>1006111</v>
      </c>
      <c r="L5" s="48">
        <v>45181</v>
      </c>
      <c r="M5" t="s">
        <v>102</v>
      </c>
      <c r="N5" s="12" t="str">
        <f>VLOOKUP(J5,'Site Allocation'!$B$2:$C$37,2,FALSE)</f>
        <v>Analyst2</v>
      </c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</row>
    <row r="6" spans="1:25" x14ac:dyDescent="0.35">
      <c r="A6" s="3" t="s">
        <v>50</v>
      </c>
      <c r="B6" s="51">
        <v>1</v>
      </c>
      <c r="C6" s="51">
        <v>3</v>
      </c>
      <c r="D6" s="51">
        <v>3</v>
      </c>
      <c r="E6" s="51">
        <v>7</v>
      </c>
      <c r="F6" s="19"/>
      <c r="G6" s="19"/>
      <c r="H6" s="19"/>
      <c r="I6" s="19"/>
      <c r="J6" s="10">
        <v>1035</v>
      </c>
      <c r="K6" s="10">
        <v>1035111</v>
      </c>
      <c r="L6" s="48">
        <v>45182</v>
      </c>
      <c r="M6" t="s">
        <v>102</v>
      </c>
      <c r="N6" s="12" t="str">
        <f>VLOOKUP(J6,'Site Allocation'!$B$2:$C$37,2,FALSE)</f>
        <v>Analyst6</v>
      </c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</row>
    <row r="7" spans="1:25" x14ac:dyDescent="0.35">
      <c r="A7" s="3" t="s">
        <v>51</v>
      </c>
      <c r="B7" s="51">
        <v>2</v>
      </c>
      <c r="C7" s="51">
        <v>5</v>
      </c>
      <c r="D7" s="51">
        <v>5</v>
      </c>
      <c r="E7" s="51">
        <v>12</v>
      </c>
      <c r="F7" s="19"/>
      <c r="G7" s="19"/>
      <c r="H7" s="19"/>
      <c r="I7" s="19"/>
      <c r="J7" s="10">
        <v>1033</v>
      </c>
      <c r="K7" s="10">
        <v>1033111</v>
      </c>
      <c r="L7" s="48">
        <v>45183</v>
      </c>
      <c r="M7" t="s">
        <v>101</v>
      </c>
      <c r="N7" s="12" t="str">
        <f>VLOOKUP(J7,'Site Allocation'!$B$2:$C$37,2,FALSE)</f>
        <v>Analyst6</v>
      </c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</row>
    <row r="8" spans="1:25" x14ac:dyDescent="0.35">
      <c r="A8" s="3" t="s">
        <v>52</v>
      </c>
      <c r="B8" s="51">
        <v>7</v>
      </c>
      <c r="C8" s="51">
        <v>5</v>
      </c>
      <c r="D8" s="51">
        <v>8</v>
      </c>
      <c r="E8" s="51">
        <v>20</v>
      </c>
      <c r="F8" s="19"/>
      <c r="G8" s="19"/>
      <c r="H8" s="19"/>
      <c r="I8" s="19"/>
      <c r="J8" s="10">
        <v>1017</v>
      </c>
      <c r="K8" s="10">
        <v>1017111</v>
      </c>
      <c r="L8" s="48">
        <v>45184</v>
      </c>
      <c r="M8" t="s">
        <v>103</v>
      </c>
      <c r="N8" s="12" t="str">
        <f>VLOOKUP(J8,'Site Allocation'!$B$2:$C$37,2,FALSE)</f>
        <v>Analyst3</v>
      </c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</row>
    <row r="9" spans="1:25" x14ac:dyDescent="0.35">
      <c r="A9" s="3" t="s">
        <v>1</v>
      </c>
      <c r="B9" s="51">
        <v>18</v>
      </c>
      <c r="C9" s="51">
        <v>19</v>
      </c>
      <c r="D9" s="51">
        <v>34</v>
      </c>
      <c r="E9" s="51">
        <v>71</v>
      </c>
      <c r="F9" s="19"/>
      <c r="G9" s="19"/>
      <c r="H9" s="19"/>
      <c r="I9" s="19"/>
      <c r="J9" s="10">
        <v>1020</v>
      </c>
      <c r="K9" s="10">
        <v>1020111</v>
      </c>
      <c r="L9" s="48">
        <v>45185</v>
      </c>
      <c r="M9" t="s">
        <v>102</v>
      </c>
      <c r="N9" s="12" t="str">
        <f>VLOOKUP(J9,'Site Allocation'!$B$2:$C$37,2,FALSE)</f>
        <v>Analyst4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</row>
    <row r="10" spans="1:25" x14ac:dyDescent="0.35">
      <c r="A10" s="19"/>
      <c r="B10" s="19"/>
      <c r="C10" s="19"/>
      <c r="D10" s="19"/>
      <c r="E10" s="19"/>
      <c r="F10" s="19"/>
      <c r="G10" s="19"/>
      <c r="H10" s="19"/>
      <c r="I10" s="19"/>
      <c r="J10" s="10">
        <v>1029</v>
      </c>
      <c r="K10" s="10">
        <v>1029111</v>
      </c>
      <c r="L10" s="48">
        <v>45186</v>
      </c>
      <c r="M10" t="s">
        <v>102</v>
      </c>
      <c r="N10" s="12" t="str">
        <f>VLOOKUP(J10,'Site Allocation'!$B$2:$C$37,2,FALSE)</f>
        <v>Analyst5</v>
      </c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</row>
    <row r="11" spans="1:25" x14ac:dyDescent="0.35">
      <c r="A11" s="19"/>
      <c r="B11" s="19"/>
      <c r="C11" s="19"/>
      <c r="D11" s="19"/>
      <c r="E11" s="19"/>
      <c r="F11" s="19"/>
      <c r="G11" s="19"/>
      <c r="H11" s="19"/>
      <c r="I11" s="19"/>
      <c r="J11" s="10">
        <v>1016</v>
      </c>
      <c r="K11" s="10">
        <v>1016111</v>
      </c>
      <c r="L11" s="48">
        <v>45187</v>
      </c>
      <c r="M11" t="s">
        <v>101</v>
      </c>
      <c r="N11" s="12" t="str">
        <f>VLOOKUP(J11,'Site Allocation'!$B$2:$C$37,2,FALSE)</f>
        <v>Analyst3</v>
      </c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x14ac:dyDescent="0.35">
      <c r="A12" s="19"/>
      <c r="B12" s="19"/>
      <c r="C12" s="19"/>
      <c r="D12" s="19"/>
      <c r="E12" s="19"/>
      <c r="F12" s="19"/>
      <c r="G12" s="19"/>
      <c r="H12" s="19"/>
      <c r="I12" s="19"/>
      <c r="J12" s="10">
        <v>1014</v>
      </c>
      <c r="K12" s="10">
        <v>1014111</v>
      </c>
      <c r="L12" s="48">
        <v>45188</v>
      </c>
      <c r="M12" t="s">
        <v>103</v>
      </c>
      <c r="N12" s="12" t="str">
        <f>VLOOKUP(J12,'Site Allocation'!$B$2:$C$37,2,FALSE)</f>
        <v>Analyst3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0">
        <v>1029</v>
      </c>
      <c r="K13" s="10">
        <v>1029111</v>
      </c>
      <c r="L13" s="48">
        <v>45189</v>
      </c>
      <c r="M13" t="s">
        <v>102</v>
      </c>
      <c r="N13" s="12" t="str">
        <f>VLOOKUP(J13,'Site Allocation'!$B$2:$C$37,2,FALSE)</f>
        <v>Analyst5</v>
      </c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</row>
    <row r="14" spans="1:25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0">
        <v>1032</v>
      </c>
      <c r="K14" s="10">
        <v>1032111</v>
      </c>
      <c r="L14" s="48">
        <v>45190</v>
      </c>
      <c r="M14" t="s">
        <v>102</v>
      </c>
      <c r="N14" s="12" t="str">
        <f>VLOOKUP(J14,'Site Allocation'!$B$2:$C$37,2,FALSE)</f>
        <v>Analyst6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</row>
    <row r="15" spans="1:25" x14ac:dyDescent="0.35">
      <c r="A15" s="19"/>
      <c r="B15" s="19"/>
      <c r="C15" s="19"/>
      <c r="D15" s="19"/>
      <c r="E15" s="19"/>
      <c r="F15" s="19"/>
      <c r="G15" s="19"/>
      <c r="H15" s="19"/>
      <c r="I15" s="19"/>
      <c r="J15" s="10">
        <v>1010</v>
      </c>
      <c r="K15" s="10">
        <v>1010111</v>
      </c>
      <c r="L15" s="48">
        <v>45191</v>
      </c>
      <c r="M15" t="s">
        <v>101</v>
      </c>
      <c r="N15" s="12" t="str">
        <f>VLOOKUP(J15,'Site Allocation'!$B$2:$C$37,2,FALSE)</f>
        <v>Analyst2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</row>
    <row r="16" spans="1:25" x14ac:dyDescent="0.35">
      <c r="A16" s="19"/>
      <c r="B16" s="19"/>
      <c r="C16" s="19"/>
      <c r="D16" s="19"/>
      <c r="E16" s="19"/>
      <c r="F16" s="19"/>
      <c r="G16" s="19"/>
      <c r="H16" s="19"/>
      <c r="I16" s="19"/>
      <c r="J16" s="10">
        <v>1016</v>
      </c>
      <c r="K16" s="10">
        <v>1016111</v>
      </c>
      <c r="L16" s="48">
        <v>45192</v>
      </c>
      <c r="M16" t="s">
        <v>103</v>
      </c>
      <c r="N16" s="12" t="str">
        <f>VLOOKUP(J16,'Site Allocation'!$B$2:$C$37,2,FALSE)</f>
        <v>Analyst3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</row>
    <row r="17" spans="1:25" x14ac:dyDescent="0.35">
      <c r="A17" s="19"/>
      <c r="B17" s="19"/>
      <c r="C17" s="19"/>
      <c r="D17" s="19"/>
      <c r="E17" s="19"/>
      <c r="F17" s="19"/>
      <c r="G17" s="19"/>
      <c r="H17" s="19"/>
      <c r="I17" s="19"/>
      <c r="J17" s="10">
        <v>1021</v>
      </c>
      <c r="K17" s="10">
        <v>1021111</v>
      </c>
      <c r="L17" s="48">
        <v>45193</v>
      </c>
      <c r="M17" t="s">
        <v>102</v>
      </c>
      <c r="N17" s="12" t="str">
        <f>VLOOKUP(J17,'Site Allocation'!$B$2:$C$37,2,FALSE)</f>
        <v>Analyst4</v>
      </c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x14ac:dyDescent="0.35">
      <c r="A18" s="19"/>
      <c r="B18" s="19"/>
      <c r="C18" s="19"/>
      <c r="D18" s="19"/>
      <c r="E18" s="19"/>
      <c r="F18" s="19"/>
      <c r="G18" s="19"/>
      <c r="H18" s="19"/>
      <c r="I18" s="19"/>
      <c r="J18" s="10">
        <v>1009</v>
      </c>
      <c r="K18" s="10">
        <v>1009111</v>
      </c>
      <c r="L18" s="48">
        <v>45194</v>
      </c>
      <c r="M18" t="s">
        <v>101</v>
      </c>
      <c r="N18" s="12" t="str">
        <f>VLOOKUP(J18,'Site Allocation'!$B$2:$C$37,2,FALSE)</f>
        <v>Analyst2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x14ac:dyDescent="0.35">
      <c r="A19" s="19"/>
      <c r="B19" s="19"/>
      <c r="C19" s="19"/>
      <c r="D19" s="19"/>
      <c r="E19" s="19"/>
      <c r="F19" s="19"/>
      <c r="G19" s="19"/>
      <c r="H19" s="19"/>
      <c r="I19" s="19"/>
      <c r="J19" s="10">
        <v>1005</v>
      </c>
      <c r="K19" s="10">
        <v>1005111</v>
      </c>
      <c r="L19" s="48">
        <v>45195</v>
      </c>
      <c r="M19" t="s">
        <v>103</v>
      </c>
      <c r="N19" s="12" t="str">
        <f>VLOOKUP(J19,'Site Allocation'!$B$2:$C$37,2,FALSE)</f>
        <v>Analyst1</v>
      </c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0">
        <v>1012</v>
      </c>
      <c r="K20" s="10">
        <v>1012111</v>
      </c>
      <c r="L20" s="48">
        <v>45196</v>
      </c>
      <c r="M20" t="s">
        <v>102</v>
      </c>
      <c r="N20" s="12" t="str">
        <f>VLOOKUP(J20,'Site Allocation'!$B$2:$C$37,2,FALSE)</f>
        <v>Analyst3</v>
      </c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</row>
    <row r="21" spans="1:25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0">
        <v>1002</v>
      </c>
      <c r="K21" s="10">
        <v>1002111</v>
      </c>
      <c r="L21" s="48">
        <v>45197</v>
      </c>
      <c r="M21" t="s">
        <v>102</v>
      </c>
      <c r="N21" s="12" t="str">
        <f>VLOOKUP(J21,'Site Allocation'!$B$2:$C$37,2,FALSE)</f>
        <v>Analyst1</v>
      </c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</row>
    <row r="22" spans="1:25" x14ac:dyDescent="0.35">
      <c r="A22" s="19"/>
      <c r="B22" s="19"/>
      <c r="C22" s="19"/>
      <c r="D22" s="19"/>
      <c r="E22" s="19"/>
      <c r="F22" s="19"/>
      <c r="G22" s="19"/>
      <c r="H22" s="19"/>
      <c r="I22" s="19"/>
      <c r="J22" s="10">
        <v>1024</v>
      </c>
      <c r="K22" s="10">
        <v>1024111</v>
      </c>
      <c r="L22" s="48">
        <v>45198</v>
      </c>
      <c r="M22" t="s">
        <v>102</v>
      </c>
      <c r="N22" s="12" t="str">
        <f>VLOOKUP(J22,'Site Allocation'!$B$2:$C$37,2,FALSE)</f>
        <v>Analyst5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</row>
    <row r="23" spans="1:25" x14ac:dyDescent="0.35">
      <c r="A23" s="19"/>
      <c r="B23" s="19"/>
      <c r="C23" s="19"/>
      <c r="D23" s="19"/>
      <c r="E23" s="19"/>
      <c r="F23" s="19"/>
      <c r="G23" s="19"/>
      <c r="H23" s="19"/>
      <c r="I23" s="19"/>
      <c r="J23" s="10">
        <v>1035</v>
      </c>
      <c r="K23" s="10">
        <v>1035111</v>
      </c>
      <c r="L23" s="48">
        <v>45199</v>
      </c>
      <c r="M23" t="s">
        <v>101</v>
      </c>
      <c r="N23" s="12" t="str">
        <f>VLOOKUP(J23,'Site Allocation'!$B$2:$C$37,2,FALSE)</f>
        <v>Analyst6</v>
      </c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</row>
    <row r="24" spans="1:25" x14ac:dyDescent="0.35">
      <c r="A24" s="19"/>
      <c r="B24" s="19"/>
      <c r="C24" s="19"/>
      <c r="D24" s="19"/>
      <c r="E24" s="19"/>
      <c r="F24" s="19"/>
      <c r="G24" s="19"/>
      <c r="H24" s="19"/>
      <c r="I24" s="19"/>
      <c r="J24" s="10">
        <v>1009</v>
      </c>
      <c r="K24" s="10">
        <v>1009111</v>
      </c>
      <c r="L24" s="48">
        <v>45200</v>
      </c>
      <c r="M24" t="s">
        <v>103</v>
      </c>
      <c r="N24" s="12" t="str">
        <f>VLOOKUP(J24,'Site Allocation'!$B$2:$C$37,2,FALSE)</f>
        <v>Analyst2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</row>
    <row r="25" spans="1:25" x14ac:dyDescent="0.35">
      <c r="A25" s="19"/>
      <c r="B25" s="19"/>
      <c r="C25" s="19"/>
      <c r="D25" s="19"/>
      <c r="E25" s="19"/>
      <c r="F25" s="19"/>
      <c r="G25" s="19"/>
      <c r="H25" s="19"/>
      <c r="I25" s="19"/>
      <c r="J25" s="10">
        <v>1005</v>
      </c>
      <c r="K25" s="10">
        <v>1005111</v>
      </c>
      <c r="L25" s="48">
        <v>45201</v>
      </c>
      <c r="M25" t="s">
        <v>102</v>
      </c>
      <c r="N25" s="12" t="str">
        <f>VLOOKUP(J25,'Site Allocation'!$B$2:$C$37,2,FALSE)</f>
        <v>Analyst1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</row>
    <row r="26" spans="1:25" x14ac:dyDescent="0.35">
      <c r="A26" s="19"/>
      <c r="B26" s="19"/>
      <c r="C26" s="19"/>
      <c r="D26" s="19"/>
      <c r="E26" s="19"/>
      <c r="F26" s="19"/>
      <c r="G26" s="19"/>
      <c r="H26" s="19"/>
      <c r="I26" s="19"/>
      <c r="J26" s="10">
        <v>1027</v>
      </c>
      <c r="K26" s="10">
        <v>1027111</v>
      </c>
      <c r="L26" s="48">
        <v>45178</v>
      </c>
      <c r="M26" t="s">
        <v>102</v>
      </c>
      <c r="N26" s="12" t="str">
        <f>VLOOKUP(J26,'Site Allocation'!$B$2:$C$37,2,FALSE)</f>
        <v>Analyst5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</row>
    <row r="27" spans="1:25" x14ac:dyDescent="0.35">
      <c r="A27" s="19"/>
      <c r="B27" s="19"/>
      <c r="C27" s="19"/>
      <c r="D27" s="19"/>
      <c r="E27" s="19"/>
      <c r="F27" s="19"/>
      <c r="G27" s="19"/>
      <c r="H27" s="19"/>
      <c r="I27" s="19"/>
      <c r="J27" s="10">
        <v>1010</v>
      </c>
      <c r="K27" s="10">
        <v>1010111</v>
      </c>
      <c r="L27" s="48">
        <v>45179</v>
      </c>
      <c r="M27" t="s">
        <v>101</v>
      </c>
      <c r="N27" s="12" t="str">
        <f>VLOOKUP(J27,'Site Allocation'!$B$2:$C$37,2,FALSE)</f>
        <v>Analyst2</v>
      </c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</row>
    <row r="28" spans="1:25" x14ac:dyDescent="0.35">
      <c r="A28" s="19"/>
      <c r="B28" s="19"/>
      <c r="C28" s="19"/>
      <c r="D28" s="19"/>
      <c r="E28" s="19"/>
      <c r="F28" s="19"/>
      <c r="G28" s="19"/>
      <c r="H28" s="19"/>
      <c r="I28" s="19"/>
      <c r="J28" s="10">
        <v>1016</v>
      </c>
      <c r="K28" s="10">
        <v>1016111</v>
      </c>
      <c r="L28" s="48">
        <v>45180</v>
      </c>
      <c r="M28" t="s">
        <v>103</v>
      </c>
      <c r="N28" s="12" t="str">
        <f>VLOOKUP(J28,'Site Allocation'!$B$2:$C$37,2,FALSE)</f>
        <v>Analyst3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</row>
    <row r="29" spans="1:25" x14ac:dyDescent="0.35">
      <c r="A29" s="19"/>
      <c r="B29" s="19"/>
      <c r="C29" s="19"/>
      <c r="D29" s="19"/>
      <c r="E29" s="19"/>
      <c r="F29" s="19"/>
      <c r="G29" s="19"/>
      <c r="H29" s="19"/>
      <c r="I29" s="19"/>
      <c r="J29" s="10">
        <v>1015</v>
      </c>
      <c r="K29" s="10">
        <v>1015111</v>
      </c>
      <c r="L29" s="48">
        <v>45181</v>
      </c>
      <c r="M29" t="s">
        <v>102</v>
      </c>
      <c r="N29" s="12" t="str">
        <f>VLOOKUP(J29,'Site Allocation'!$B$2:$C$37,2,FALSE)</f>
        <v>Analyst3</v>
      </c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</row>
    <row r="30" spans="1:25" x14ac:dyDescent="0.35">
      <c r="A30" s="19"/>
      <c r="B30" s="19"/>
      <c r="C30" s="19"/>
      <c r="D30" s="19"/>
      <c r="E30" s="19"/>
      <c r="F30" s="19"/>
      <c r="G30" s="19"/>
      <c r="H30" s="19"/>
      <c r="I30" s="19"/>
      <c r="J30" s="10">
        <v>1000</v>
      </c>
      <c r="K30" s="10">
        <v>1000111</v>
      </c>
      <c r="L30" s="48">
        <v>45182</v>
      </c>
      <c r="M30" t="s">
        <v>102</v>
      </c>
      <c r="N30" s="12" t="str">
        <f>VLOOKUP(J30,'Site Allocation'!$B$2:$C$37,2,FALSE)</f>
        <v>Analyst1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</row>
    <row r="31" spans="1:25" x14ac:dyDescent="0.35">
      <c r="A31" s="19"/>
      <c r="B31" s="19"/>
      <c r="C31" s="19"/>
      <c r="D31" s="19"/>
      <c r="E31" s="19"/>
      <c r="F31" s="19"/>
      <c r="G31" s="19"/>
      <c r="H31" s="19"/>
      <c r="I31" s="19"/>
      <c r="J31" s="10">
        <v>1027</v>
      </c>
      <c r="K31" s="10">
        <v>1027111</v>
      </c>
      <c r="L31" s="48">
        <v>45183</v>
      </c>
      <c r="M31" t="s">
        <v>101</v>
      </c>
      <c r="N31" s="12" t="str">
        <f>VLOOKUP(J31,'Site Allocation'!$B$2:$C$37,2,FALSE)</f>
        <v>Analyst5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</row>
    <row r="32" spans="1:25" x14ac:dyDescent="0.35">
      <c r="A32" s="19"/>
      <c r="B32" s="19"/>
      <c r="C32" s="19"/>
      <c r="D32" s="19"/>
      <c r="E32" s="19"/>
      <c r="F32" s="19"/>
      <c r="G32" s="19"/>
      <c r="H32" s="19"/>
      <c r="I32" s="19"/>
      <c r="J32" s="10">
        <v>1020</v>
      </c>
      <c r="K32" s="10">
        <v>1020111</v>
      </c>
      <c r="L32" s="48">
        <v>45184</v>
      </c>
      <c r="M32" t="s">
        <v>103</v>
      </c>
      <c r="N32" s="12" t="str">
        <f>VLOOKUP(J32,'Site Allocation'!$B$2:$C$37,2,FALSE)</f>
        <v>Analyst4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</row>
    <row r="33" spans="1:25" x14ac:dyDescent="0.35">
      <c r="A33" s="19"/>
      <c r="B33" s="19"/>
      <c r="C33" s="19"/>
      <c r="D33" s="19"/>
      <c r="E33" s="19"/>
      <c r="F33" s="19"/>
      <c r="G33" s="19"/>
      <c r="H33" s="19"/>
      <c r="I33" s="19"/>
      <c r="J33" s="10">
        <v>1034</v>
      </c>
      <c r="K33" s="10">
        <v>1034111</v>
      </c>
      <c r="L33" s="48">
        <v>45185</v>
      </c>
      <c r="M33" t="s">
        <v>102</v>
      </c>
      <c r="N33" s="12" t="str">
        <f>VLOOKUP(J33,'Site Allocation'!$B$2:$C$37,2,FALSE)</f>
        <v>Analyst6</v>
      </c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25" x14ac:dyDescent="0.35">
      <c r="A34" s="19"/>
      <c r="B34" s="19"/>
      <c r="C34" s="19"/>
      <c r="D34" s="19"/>
      <c r="E34" s="19"/>
      <c r="F34" s="19"/>
      <c r="G34" s="19"/>
      <c r="H34" s="19"/>
      <c r="I34" s="19"/>
      <c r="J34" s="10">
        <v>1030</v>
      </c>
      <c r="K34" s="10">
        <v>1030111</v>
      </c>
      <c r="L34" s="48">
        <v>45186</v>
      </c>
      <c r="M34" t="s">
        <v>101</v>
      </c>
      <c r="N34" s="12" t="str">
        <f>VLOOKUP(J34,'Site Allocation'!$B$2:$C$37,2,FALSE)</f>
        <v>Analyst6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</row>
    <row r="35" spans="1:25" x14ac:dyDescent="0.35">
      <c r="A35" s="19"/>
      <c r="B35" s="19"/>
      <c r="C35" s="19"/>
      <c r="D35" s="19"/>
      <c r="E35" s="19"/>
      <c r="F35" s="19"/>
      <c r="G35" s="19"/>
      <c r="H35" s="19"/>
      <c r="I35" s="19"/>
      <c r="J35" s="10">
        <v>1033</v>
      </c>
      <c r="K35" s="10">
        <v>1033111</v>
      </c>
      <c r="L35" s="48">
        <v>45187</v>
      </c>
      <c r="M35" t="s">
        <v>103</v>
      </c>
      <c r="N35" s="12" t="str">
        <f>VLOOKUP(J35,'Site Allocation'!$B$2:$C$37,2,FALSE)</f>
        <v>Analyst6</v>
      </c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</row>
    <row r="36" spans="1:25" x14ac:dyDescent="0.35">
      <c r="A36" s="19"/>
      <c r="B36" s="19"/>
      <c r="C36" s="19"/>
      <c r="D36" s="19"/>
      <c r="E36" s="19"/>
      <c r="F36" s="19"/>
      <c r="G36" s="19"/>
      <c r="H36" s="19"/>
      <c r="I36" s="19"/>
      <c r="J36" s="10">
        <v>1007</v>
      </c>
      <c r="K36" s="10">
        <v>1007111</v>
      </c>
      <c r="L36" s="48">
        <v>45188</v>
      </c>
      <c r="M36" t="s">
        <v>103</v>
      </c>
      <c r="N36" s="12" t="str">
        <f>VLOOKUP(J36,'Site Allocation'!$B$2:$C$37,2,FALSE)</f>
        <v>Analyst2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</row>
    <row r="37" spans="1:25" x14ac:dyDescent="0.35">
      <c r="A37" s="19"/>
      <c r="B37" s="19"/>
      <c r="C37" s="19"/>
      <c r="D37" s="19"/>
      <c r="E37" s="19"/>
      <c r="F37" s="19"/>
      <c r="G37" s="19"/>
      <c r="H37" s="19"/>
      <c r="I37" s="19"/>
      <c r="J37" s="10">
        <v>1006</v>
      </c>
      <c r="K37" s="10">
        <v>1006111</v>
      </c>
      <c r="L37" s="48">
        <v>45189</v>
      </c>
      <c r="M37" t="s">
        <v>103</v>
      </c>
      <c r="N37" s="12" t="str">
        <f>VLOOKUP(J37,'Site Allocation'!$B$2:$C$37,2,FALSE)</f>
        <v>Analyst2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</row>
    <row r="38" spans="1:25" x14ac:dyDescent="0.35">
      <c r="A38" s="19"/>
      <c r="B38" s="19"/>
      <c r="C38" s="19"/>
      <c r="D38" s="19"/>
      <c r="E38" s="19"/>
      <c r="F38" s="19"/>
      <c r="G38" s="19"/>
      <c r="H38" s="19"/>
      <c r="I38" s="19"/>
      <c r="J38" s="10">
        <v>1030</v>
      </c>
      <c r="K38" s="10">
        <v>1030111</v>
      </c>
      <c r="L38" s="48">
        <v>45190</v>
      </c>
      <c r="M38" t="s">
        <v>102</v>
      </c>
      <c r="N38" s="12" t="str">
        <f>VLOOKUP(J38,'Site Allocation'!$B$2:$C$37,2,FALSE)</f>
        <v>Analyst6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</row>
    <row r="39" spans="1:25" x14ac:dyDescent="0.35">
      <c r="A39" s="19"/>
      <c r="B39" s="19"/>
      <c r="C39" s="19"/>
      <c r="D39" s="19"/>
      <c r="E39" s="19"/>
      <c r="F39" s="19"/>
      <c r="G39" s="19"/>
      <c r="H39" s="19"/>
      <c r="I39" s="19"/>
      <c r="J39" s="10">
        <v>1004</v>
      </c>
      <c r="K39" s="10">
        <v>1004111</v>
      </c>
      <c r="L39" s="48">
        <v>45191</v>
      </c>
      <c r="M39" t="s">
        <v>101</v>
      </c>
      <c r="N39" s="12" t="str">
        <f>VLOOKUP(J39,'Site Allocation'!$B$2:$C$37,2,FALSE)</f>
        <v>Analyst1</v>
      </c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</row>
    <row r="40" spans="1:25" x14ac:dyDescent="0.35">
      <c r="A40" s="19"/>
      <c r="B40" s="19"/>
      <c r="C40" s="19"/>
      <c r="D40" s="19"/>
      <c r="E40" s="19"/>
      <c r="F40" s="19"/>
      <c r="G40" s="19"/>
      <c r="H40" s="19"/>
      <c r="I40" s="19"/>
      <c r="J40" s="10">
        <v>1024</v>
      </c>
      <c r="K40" s="10">
        <v>1024111</v>
      </c>
      <c r="L40" s="48">
        <v>45192</v>
      </c>
      <c r="M40" t="s">
        <v>103</v>
      </c>
      <c r="N40" s="12" t="str">
        <f>VLOOKUP(J40,'Site Allocation'!$B$2:$C$37,2,FALSE)</f>
        <v>Analyst5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</row>
    <row r="41" spans="1:25" x14ac:dyDescent="0.35">
      <c r="A41" s="19"/>
      <c r="B41" s="19"/>
      <c r="C41" s="19"/>
      <c r="D41" s="19"/>
      <c r="E41" s="19"/>
      <c r="F41" s="19"/>
      <c r="G41" s="19"/>
      <c r="H41" s="19"/>
      <c r="I41" s="19"/>
      <c r="J41" s="10">
        <v>1016</v>
      </c>
      <c r="K41" s="10">
        <v>1016111</v>
      </c>
      <c r="L41" s="48">
        <v>45193</v>
      </c>
      <c r="M41" t="s">
        <v>103</v>
      </c>
      <c r="N41" s="12" t="str">
        <f>VLOOKUP(J41,'Site Allocation'!$B$2:$C$37,2,FALSE)</f>
        <v>Analyst3</v>
      </c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</row>
    <row r="42" spans="1:25" x14ac:dyDescent="0.35">
      <c r="A42" s="19"/>
      <c r="B42" s="19"/>
      <c r="C42" s="19"/>
      <c r="D42" s="19"/>
      <c r="E42" s="19"/>
      <c r="F42" s="19"/>
      <c r="G42" s="19"/>
      <c r="H42" s="19"/>
      <c r="I42" s="19"/>
      <c r="J42" s="10">
        <v>1031</v>
      </c>
      <c r="K42" s="10">
        <v>1031111</v>
      </c>
      <c r="L42" s="48">
        <v>45194</v>
      </c>
      <c r="M42" t="s">
        <v>103</v>
      </c>
      <c r="N42" s="12" t="str">
        <f>VLOOKUP(J42,'Site Allocation'!$B$2:$C$37,2,FALSE)</f>
        <v>Analyst6</v>
      </c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</row>
    <row r="43" spans="1:25" x14ac:dyDescent="0.35">
      <c r="A43" s="19"/>
      <c r="B43" s="19"/>
      <c r="C43" s="19"/>
      <c r="D43" s="19"/>
      <c r="E43" s="19"/>
      <c r="F43" s="19"/>
      <c r="G43" s="19"/>
      <c r="H43" s="19"/>
      <c r="I43" s="19"/>
      <c r="J43" s="10">
        <v>1003</v>
      </c>
      <c r="K43" s="10">
        <v>1003111</v>
      </c>
      <c r="L43" s="48">
        <v>45195</v>
      </c>
      <c r="M43" t="s">
        <v>101</v>
      </c>
      <c r="N43" s="12" t="str">
        <f>VLOOKUP(J43,'Site Allocation'!$B$2:$C$37,2,FALSE)</f>
        <v>Analyst1</v>
      </c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</row>
    <row r="44" spans="1:25" x14ac:dyDescent="0.35">
      <c r="A44" s="19"/>
      <c r="B44" s="19"/>
      <c r="C44" s="19"/>
      <c r="D44" s="19"/>
      <c r="E44" s="19"/>
      <c r="F44" s="19"/>
      <c r="G44" s="19"/>
      <c r="H44" s="19"/>
      <c r="I44" s="19"/>
      <c r="J44" s="10">
        <v>1021</v>
      </c>
      <c r="K44" s="10">
        <v>1021111</v>
      </c>
      <c r="L44" s="48">
        <v>45196</v>
      </c>
      <c r="M44" t="s">
        <v>103</v>
      </c>
      <c r="N44" s="12" t="str">
        <f>VLOOKUP(J44,'Site Allocation'!$B$2:$C$37,2,FALSE)</f>
        <v>Analyst4</v>
      </c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</row>
    <row r="45" spans="1:25" x14ac:dyDescent="0.35">
      <c r="A45" s="19"/>
      <c r="B45" s="19"/>
      <c r="C45" s="19"/>
      <c r="D45" s="19"/>
      <c r="E45" s="19"/>
      <c r="F45" s="19"/>
      <c r="G45" s="19"/>
      <c r="H45" s="19"/>
      <c r="I45" s="19"/>
      <c r="J45" s="10">
        <v>1012</v>
      </c>
      <c r="K45" s="10">
        <v>1012111</v>
      </c>
      <c r="L45" s="48">
        <v>45178</v>
      </c>
      <c r="M45" t="s">
        <v>103</v>
      </c>
      <c r="N45" s="12" t="str">
        <f>VLOOKUP(J45,'Site Allocation'!$B$2:$C$37,2,FALSE)</f>
        <v>Analyst3</v>
      </c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1:25" x14ac:dyDescent="0.35">
      <c r="A46" s="19"/>
      <c r="B46" s="19"/>
      <c r="C46" s="19"/>
      <c r="D46" s="19"/>
      <c r="E46" s="19"/>
      <c r="F46" s="19"/>
      <c r="G46" s="19"/>
      <c r="H46" s="19"/>
      <c r="I46" s="19"/>
      <c r="J46" s="10">
        <v>1030</v>
      </c>
      <c r="K46" s="10">
        <v>1030111</v>
      </c>
      <c r="L46" s="48">
        <v>45179</v>
      </c>
      <c r="M46" t="s">
        <v>103</v>
      </c>
      <c r="N46" s="12" t="str">
        <f>VLOOKUP(J46,'Site Allocation'!$B$2:$C$37,2,FALSE)</f>
        <v>Analyst6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</row>
    <row r="47" spans="1:25" x14ac:dyDescent="0.35">
      <c r="A47" s="19"/>
      <c r="B47" s="19"/>
      <c r="C47" s="19"/>
      <c r="D47" s="19"/>
      <c r="E47" s="19"/>
      <c r="F47" s="19"/>
      <c r="G47" s="19"/>
      <c r="H47" s="19"/>
      <c r="I47" s="19"/>
      <c r="J47" s="10">
        <v>1018</v>
      </c>
      <c r="K47" s="10">
        <v>1018111</v>
      </c>
      <c r="L47" s="48">
        <v>45180</v>
      </c>
      <c r="M47" t="s">
        <v>101</v>
      </c>
      <c r="N47" s="12" t="str">
        <f>VLOOKUP(J47,'Site Allocation'!$B$2:$C$37,2,FALSE)</f>
        <v>Analyst4</v>
      </c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</row>
    <row r="48" spans="1:25" x14ac:dyDescent="0.35">
      <c r="A48" s="19"/>
      <c r="B48" s="19"/>
      <c r="C48" s="19"/>
      <c r="D48" s="19"/>
      <c r="E48" s="19"/>
      <c r="F48" s="19"/>
      <c r="G48" s="19"/>
      <c r="H48" s="19"/>
      <c r="I48" s="19"/>
      <c r="J48" s="10">
        <v>1032</v>
      </c>
      <c r="K48" s="10">
        <v>1032111</v>
      </c>
      <c r="L48" s="48">
        <v>45181</v>
      </c>
      <c r="M48" t="s">
        <v>103</v>
      </c>
      <c r="N48" s="12" t="str">
        <f>VLOOKUP(J48,'Site Allocation'!$B$2:$C$37,2,FALSE)</f>
        <v>Analyst6</v>
      </c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</row>
    <row r="49" spans="1:25" x14ac:dyDescent="0.35">
      <c r="A49" s="19"/>
      <c r="B49" s="19"/>
      <c r="C49" s="19"/>
      <c r="D49" s="19"/>
      <c r="E49" s="19"/>
      <c r="F49" s="19"/>
      <c r="G49" s="19"/>
      <c r="H49" s="19"/>
      <c r="I49" s="19"/>
      <c r="J49" s="10">
        <v>1006</v>
      </c>
      <c r="K49" s="10">
        <v>1006111</v>
      </c>
      <c r="L49" s="48">
        <v>45182</v>
      </c>
      <c r="M49" t="s">
        <v>103</v>
      </c>
      <c r="N49" s="12" t="str">
        <f>VLOOKUP(J49,'Site Allocation'!$B$2:$C$37,2,FALSE)</f>
        <v>Analyst2</v>
      </c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</row>
    <row r="50" spans="1:25" x14ac:dyDescent="0.35">
      <c r="A50" s="19"/>
      <c r="B50" s="19"/>
      <c r="C50" s="19"/>
      <c r="D50" s="19"/>
      <c r="E50" s="19"/>
      <c r="F50" s="19"/>
      <c r="G50" s="19"/>
      <c r="H50" s="19"/>
      <c r="I50" s="19"/>
      <c r="J50" s="10">
        <v>1035</v>
      </c>
      <c r="K50" s="10">
        <v>1035111</v>
      </c>
      <c r="L50" s="48">
        <v>45183</v>
      </c>
      <c r="M50" t="s">
        <v>101</v>
      </c>
      <c r="N50" s="12" t="str">
        <f>VLOOKUP(J50,'Site Allocation'!$B$2:$C$37,2,FALSE)</f>
        <v>Analyst6</v>
      </c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</row>
    <row r="51" spans="1:25" x14ac:dyDescent="0.35">
      <c r="A51" s="19"/>
      <c r="B51" s="19"/>
      <c r="C51" s="19"/>
      <c r="D51" s="19"/>
      <c r="E51" s="19"/>
      <c r="F51" s="19"/>
      <c r="G51" s="19"/>
      <c r="H51" s="19"/>
      <c r="I51" s="19"/>
      <c r="J51" s="10">
        <v>1026</v>
      </c>
      <c r="K51" s="10">
        <v>1026111</v>
      </c>
      <c r="L51" s="48">
        <v>45184</v>
      </c>
      <c r="M51" t="s">
        <v>103</v>
      </c>
      <c r="N51" s="12" t="str">
        <f>VLOOKUP(J51,'Site Allocation'!$B$2:$C$37,2,FALSE)</f>
        <v>Analyst5</v>
      </c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</row>
    <row r="52" spans="1:25" x14ac:dyDescent="0.35">
      <c r="A52" s="19"/>
      <c r="B52" s="19"/>
      <c r="C52" s="19"/>
      <c r="D52" s="19"/>
      <c r="E52" s="19"/>
      <c r="F52" s="19"/>
      <c r="G52" s="19"/>
      <c r="H52" s="19"/>
      <c r="I52" s="19"/>
      <c r="J52" s="10">
        <v>1034</v>
      </c>
      <c r="K52" s="10">
        <v>1034111</v>
      </c>
      <c r="L52" s="48">
        <v>45185</v>
      </c>
      <c r="M52" t="s">
        <v>103</v>
      </c>
      <c r="N52" s="12" t="str">
        <f>VLOOKUP(J52,'Site Allocation'!$B$2:$C$37,2,FALSE)</f>
        <v>Analyst6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</row>
    <row r="53" spans="1:25" x14ac:dyDescent="0.35">
      <c r="A53" s="19"/>
      <c r="B53" s="19"/>
      <c r="C53" s="19"/>
      <c r="D53" s="19"/>
      <c r="E53" s="19"/>
      <c r="F53" s="19"/>
      <c r="G53" s="19"/>
      <c r="H53" s="19"/>
      <c r="I53" s="19"/>
      <c r="J53" s="10">
        <v>1022</v>
      </c>
      <c r="K53" s="10">
        <v>1022111</v>
      </c>
      <c r="L53" s="48">
        <v>45186</v>
      </c>
      <c r="M53" t="s">
        <v>103</v>
      </c>
      <c r="N53" s="12" t="str">
        <f>VLOOKUP(J53,'Site Allocation'!$B$2:$C$37,2,FALSE)</f>
        <v>Analyst4</v>
      </c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</row>
    <row r="54" spans="1:25" x14ac:dyDescent="0.35">
      <c r="A54" s="19"/>
      <c r="B54" s="19"/>
      <c r="C54" s="19"/>
      <c r="D54" s="19"/>
      <c r="E54" s="19"/>
      <c r="F54" s="19"/>
      <c r="G54" s="19"/>
      <c r="H54" s="19"/>
      <c r="I54" s="19"/>
      <c r="J54" s="10">
        <v>1030</v>
      </c>
      <c r="K54" s="10">
        <v>1030111</v>
      </c>
      <c r="L54" s="48">
        <v>45187</v>
      </c>
      <c r="M54" t="s">
        <v>102</v>
      </c>
      <c r="N54" s="12" t="str">
        <f>VLOOKUP(J54,'Site Allocation'!$B$2:$C$37,2,FALSE)</f>
        <v>Analyst6</v>
      </c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</row>
    <row r="55" spans="1:25" x14ac:dyDescent="0.35">
      <c r="A55" s="19"/>
      <c r="B55" s="19"/>
      <c r="C55" s="19"/>
      <c r="D55" s="19"/>
      <c r="E55" s="19"/>
      <c r="F55" s="19"/>
      <c r="G55" s="19"/>
      <c r="H55" s="19"/>
      <c r="I55" s="19"/>
      <c r="J55" s="10">
        <v>1006</v>
      </c>
      <c r="K55" s="10">
        <v>1006111</v>
      </c>
      <c r="L55" s="48">
        <v>45188</v>
      </c>
      <c r="M55" t="s">
        <v>101</v>
      </c>
      <c r="N55" s="12" t="str">
        <f>VLOOKUP(J55,'Site Allocation'!$B$2:$C$37,2,FALSE)</f>
        <v>Analyst2</v>
      </c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</row>
    <row r="56" spans="1:25" x14ac:dyDescent="0.35">
      <c r="A56" s="19"/>
      <c r="B56" s="19"/>
      <c r="C56" s="19"/>
      <c r="D56" s="19"/>
      <c r="E56" s="19"/>
      <c r="F56" s="19"/>
      <c r="G56" s="19"/>
      <c r="H56" s="19"/>
      <c r="I56" s="19"/>
      <c r="J56" s="10">
        <v>1033</v>
      </c>
      <c r="K56" s="10">
        <v>1033111</v>
      </c>
      <c r="L56" s="48">
        <v>45189</v>
      </c>
      <c r="M56" t="s">
        <v>103</v>
      </c>
      <c r="N56" s="12" t="str">
        <f>VLOOKUP(J56,'Site Allocation'!$B$2:$C$37,2,FALSE)</f>
        <v>Analyst6</v>
      </c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</row>
    <row r="57" spans="1:25" x14ac:dyDescent="0.35">
      <c r="A57" s="19"/>
      <c r="B57" s="19"/>
      <c r="C57" s="19"/>
      <c r="D57" s="19"/>
      <c r="E57" s="19"/>
      <c r="F57" s="19"/>
      <c r="G57" s="19"/>
      <c r="H57" s="19"/>
      <c r="I57" s="19"/>
      <c r="J57" s="10">
        <v>1011</v>
      </c>
      <c r="K57" s="10">
        <v>1011111</v>
      </c>
      <c r="L57" s="48">
        <v>45190</v>
      </c>
      <c r="M57" t="s">
        <v>103</v>
      </c>
      <c r="N57" s="12" t="str">
        <f>VLOOKUP(J57,'Site Allocation'!$B$2:$C$37,2,FALSE)</f>
        <v>Analyst2</v>
      </c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</row>
    <row r="58" spans="1:25" x14ac:dyDescent="0.35">
      <c r="A58" s="19"/>
      <c r="B58" s="19"/>
      <c r="C58" s="19"/>
      <c r="D58" s="19"/>
      <c r="E58" s="19"/>
      <c r="F58" s="19"/>
      <c r="G58" s="19"/>
      <c r="H58" s="19"/>
      <c r="I58" s="19"/>
      <c r="J58" s="10">
        <v>1014</v>
      </c>
      <c r="K58" s="10">
        <v>1014111</v>
      </c>
      <c r="L58" s="48">
        <v>45191</v>
      </c>
      <c r="M58" t="s">
        <v>103</v>
      </c>
      <c r="N58" s="12" t="str">
        <f>VLOOKUP(J58,'Site Allocation'!$B$2:$C$37,2,FALSE)</f>
        <v>Analyst3</v>
      </c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</row>
    <row r="59" spans="1:25" x14ac:dyDescent="0.35">
      <c r="A59" s="19"/>
      <c r="B59" s="19"/>
      <c r="C59" s="19"/>
      <c r="D59" s="19"/>
      <c r="E59" s="19"/>
      <c r="F59" s="19"/>
      <c r="G59" s="19"/>
      <c r="H59" s="19"/>
      <c r="I59" s="19"/>
      <c r="J59" s="10">
        <v>1027</v>
      </c>
      <c r="K59" s="10">
        <v>1027111</v>
      </c>
      <c r="L59" s="48">
        <v>45192</v>
      </c>
      <c r="M59" t="s">
        <v>101</v>
      </c>
      <c r="N59" s="12" t="str">
        <f>VLOOKUP(J59,'Site Allocation'!$B$2:$C$37,2,FALSE)</f>
        <v>Analyst5</v>
      </c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</row>
    <row r="60" spans="1:25" x14ac:dyDescent="0.35">
      <c r="A60" s="19"/>
      <c r="B60" s="19"/>
      <c r="C60" s="19"/>
      <c r="D60" s="19"/>
      <c r="E60" s="19"/>
      <c r="F60" s="19"/>
      <c r="G60" s="19"/>
      <c r="H60" s="19"/>
      <c r="I60" s="19"/>
      <c r="J60" s="10">
        <v>1034</v>
      </c>
      <c r="K60" s="10">
        <v>1034111</v>
      </c>
      <c r="L60" s="48">
        <v>45193</v>
      </c>
      <c r="M60" t="s">
        <v>103</v>
      </c>
      <c r="N60" s="12" t="str">
        <f>VLOOKUP(J60,'Site Allocation'!$B$2:$C$37,2,FALSE)</f>
        <v>Analyst6</v>
      </c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</row>
    <row r="61" spans="1:25" x14ac:dyDescent="0.35">
      <c r="A61" s="19"/>
      <c r="B61" s="19"/>
      <c r="C61" s="19"/>
      <c r="D61" s="19"/>
      <c r="E61" s="19"/>
      <c r="F61" s="19"/>
      <c r="G61" s="19"/>
      <c r="H61" s="19"/>
      <c r="I61" s="19"/>
      <c r="J61" s="10">
        <v>1005</v>
      </c>
      <c r="K61" s="10">
        <v>1005111</v>
      </c>
      <c r="L61" s="48">
        <v>45194</v>
      </c>
      <c r="M61" t="s">
        <v>103</v>
      </c>
      <c r="N61" s="12" t="str">
        <f>VLOOKUP(J61,'Site Allocation'!$B$2:$C$37,2,FALSE)</f>
        <v>Analyst1</v>
      </c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</row>
    <row r="62" spans="1:25" x14ac:dyDescent="0.35">
      <c r="A62" s="19"/>
      <c r="B62" s="19"/>
      <c r="C62" s="19"/>
      <c r="D62" s="19"/>
      <c r="E62" s="19"/>
      <c r="F62" s="19"/>
      <c r="G62" s="19"/>
      <c r="H62" s="19"/>
      <c r="I62" s="19"/>
      <c r="J62" s="10">
        <v>1016</v>
      </c>
      <c r="K62" s="10">
        <v>1016111</v>
      </c>
      <c r="L62" s="48">
        <v>45195</v>
      </c>
      <c r="M62" t="s">
        <v>103</v>
      </c>
      <c r="N62" s="12" t="str">
        <f>VLOOKUP(J62,'Site Allocation'!$B$2:$C$37,2,FALSE)</f>
        <v>Analyst3</v>
      </c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</row>
    <row r="63" spans="1:25" x14ac:dyDescent="0.35">
      <c r="A63" s="19"/>
      <c r="B63" s="19"/>
      <c r="C63" s="19"/>
      <c r="D63" s="19"/>
      <c r="E63" s="19"/>
      <c r="F63" s="19"/>
      <c r="G63" s="19"/>
      <c r="H63" s="19"/>
      <c r="I63" s="19"/>
      <c r="J63" s="10">
        <v>1033</v>
      </c>
      <c r="K63" s="10">
        <v>1033111</v>
      </c>
      <c r="L63" s="48">
        <v>45196</v>
      </c>
      <c r="M63" t="s">
        <v>101</v>
      </c>
      <c r="N63" s="12" t="str">
        <f>VLOOKUP(J63,'Site Allocation'!$B$2:$C$37,2,FALSE)</f>
        <v>Analyst6</v>
      </c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</row>
    <row r="64" spans="1:25" x14ac:dyDescent="0.35">
      <c r="A64" s="19"/>
      <c r="B64" s="19"/>
      <c r="C64" s="19"/>
      <c r="D64" s="19"/>
      <c r="E64" s="19"/>
      <c r="F64" s="19"/>
      <c r="G64" s="19"/>
      <c r="H64" s="19"/>
      <c r="I64" s="19"/>
      <c r="J64" s="10">
        <v>1034</v>
      </c>
      <c r="K64" s="10">
        <v>1034111</v>
      </c>
      <c r="L64" s="48">
        <v>45197</v>
      </c>
      <c r="M64" t="s">
        <v>103</v>
      </c>
      <c r="N64" s="12" t="str">
        <f>VLOOKUP(J64,'Site Allocation'!$B$2:$C$37,2,FALSE)</f>
        <v>Analyst6</v>
      </c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</row>
    <row r="65" spans="1:25" x14ac:dyDescent="0.35">
      <c r="A65" s="19"/>
      <c r="B65" s="19"/>
      <c r="C65" s="19"/>
      <c r="D65" s="19"/>
      <c r="E65" s="19"/>
      <c r="F65" s="19"/>
      <c r="G65" s="19"/>
      <c r="H65" s="19"/>
      <c r="I65" s="19"/>
      <c r="J65" s="10">
        <v>1029</v>
      </c>
      <c r="K65" s="10">
        <v>1029111</v>
      </c>
      <c r="L65" s="48">
        <v>45198</v>
      </c>
      <c r="M65" t="s">
        <v>103</v>
      </c>
      <c r="N65" s="12" t="str">
        <f>VLOOKUP(J65,'Site Allocation'!$B$2:$C$37,2,FALSE)</f>
        <v>Analyst5</v>
      </c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</row>
    <row r="66" spans="1:25" x14ac:dyDescent="0.35">
      <c r="A66" s="19"/>
      <c r="B66" s="19"/>
      <c r="C66" s="19"/>
      <c r="D66" s="19"/>
      <c r="E66" s="19"/>
      <c r="F66" s="19"/>
      <c r="G66" s="19"/>
      <c r="H66" s="19"/>
      <c r="I66" s="19"/>
      <c r="J66" s="10">
        <v>1011</v>
      </c>
      <c r="K66" s="10">
        <v>1011111</v>
      </c>
      <c r="L66" s="48">
        <v>45199</v>
      </c>
      <c r="M66" t="s">
        <v>101</v>
      </c>
      <c r="N66" s="12" t="str">
        <f>VLOOKUP(J66,'Site Allocation'!$B$2:$C$37,2,FALSE)</f>
        <v>Analyst2</v>
      </c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</row>
    <row r="67" spans="1:25" x14ac:dyDescent="0.35">
      <c r="A67" s="19"/>
      <c r="B67" s="19"/>
      <c r="C67" s="19"/>
      <c r="D67" s="19"/>
      <c r="E67" s="19"/>
      <c r="F67" s="19"/>
      <c r="G67" s="19"/>
      <c r="H67" s="19"/>
      <c r="I67" s="19"/>
      <c r="J67" s="10">
        <v>1029</v>
      </c>
      <c r="K67" s="10">
        <v>1029111</v>
      </c>
      <c r="L67" s="48">
        <v>45200</v>
      </c>
      <c r="M67" t="s">
        <v>103</v>
      </c>
      <c r="N67" s="12" t="str">
        <f>VLOOKUP(J67,'Site Allocation'!$B$2:$C$37,2,FALSE)</f>
        <v>Analyst5</v>
      </c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</row>
    <row r="68" spans="1:25" x14ac:dyDescent="0.35">
      <c r="A68" s="19"/>
      <c r="B68" s="19"/>
      <c r="C68" s="19"/>
      <c r="D68" s="19"/>
      <c r="E68" s="19"/>
      <c r="F68" s="19"/>
      <c r="G68" s="19"/>
      <c r="H68" s="19"/>
      <c r="I68" s="19"/>
      <c r="J68" s="10">
        <v>1011</v>
      </c>
      <c r="K68" s="10">
        <v>1011111</v>
      </c>
      <c r="L68" s="48">
        <v>45201</v>
      </c>
      <c r="M68" t="s">
        <v>103</v>
      </c>
      <c r="N68" s="12" t="str">
        <f>VLOOKUP(J68,'Site Allocation'!$B$2:$C$37,2,FALSE)</f>
        <v>Analyst2</v>
      </c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</row>
    <row r="69" spans="1:25" x14ac:dyDescent="0.35">
      <c r="A69" s="19"/>
      <c r="B69" s="19"/>
      <c r="C69" s="19"/>
      <c r="D69" s="19"/>
      <c r="E69" s="19"/>
      <c r="F69" s="19"/>
      <c r="G69" s="19"/>
      <c r="H69" s="19"/>
      <c r="I69" s="19"/>
      <c r="J69" s="10">
        <v>1024</v>
      </c>
      <c r="K69" s="10">
        <v>1024111</v>
      </c>
      <c r="L69" s="48">
        <v>45202</v>
      </c>
      <c r="M69" t="s">
        <v>103</v>
      </c>
      <c r="N69" s="12" t="str">
        <f>VLOOKUP(J69,'Site Allocation'!$B$2:$C$37,2,FALSE)</f>
        <v>Analyst5</v>
      </c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</row>
    <row r="70" spans="1:25" x14ac:dyDescent="0.35">
      <c r="A70" s="19"/>
      <c r="B70" s="19"/>
      <c r="C70" s="19"/>
      <c r="D70" s="19"/>
      <c r="E70" s="19"/>
      <c r="F70" s="19"/>
      <c r="G70" s="19"/>
      <c r="H70" s="19"/>
      <c r="I70" s="19"/>
      <c r="J70" s="10">
        <v>1024</v>
      </c>
      <c r="K70" s="10">
        <v>1024111</v>
      </c>
      <c r="L70" s="48">
        <v>45203</v>
      </c>
      <c r="M70" t="s">
        <v>102</v>
      </c>
      <c r="N70" s="12" t="str">
        <f>VLOOKUP(J70,'Site Allocation'!$B$2:$C$37,2,FALSE)</f>
        <v>Analyst5</v>
      </c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</row>
    <row r="71" spans="1:25" x14ac:dyDescent="0.35">
      <c r="A71" s="19"/>
      <c r="B71" s="19"/>
      <c r="C71" s="19"/>
      <c r="D71" s="19"/>
      <c r="E71" s="19"/>
      <c r="F71" s="19"/>
      <c r="G71" s="19"/>
      <c r="H71" s="19"/>
      <c r="I71" s="19"/>
      <c r="J71" s="10">
        <v>1033</v>
      </c>
      <c r="K71" s="10">
        <v>1033111</v>
      </c>
      <c r="L71" s="48">
        <v>45204</v>
      </c>
      <c r="M71" t="s">
        <v>101</v>
      </c>
      <c r="N71" s="12" t="str">
        <f>VLOOKUP(J71,'Site Allocation'!$B$2:$C$37,2,FALSE)</f>
        <v>Analyst6</v>
      </c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</row>
    <row r="72" spans="1:25" x14ac:dyDescent="0.35">
      <c r="A72" s="19"/>
      <c r="B72" s="19"/>
      <c r="C72" s="19"/>
      <c r="D72" s="19"/>
      <c r="E72" s="19"/>
      <c r="F72" s="19"/>
      <c r="G72" s="19"/>
      <c r="H72" s="19"/>
      <c r="I72" s="19"/>
      <c r="J72" s="10">
        <v>1013</v>
      </c>
      <c r="K72" s="10">
        <v>1013111</v>
      </c>
      <c r="L72" s="49">
        <v>45205</v>
      </c>
      <c r="M72" t="s">
        <v>103</v>
      </c>
      <c r="N72" s="12" t="str">
        <f>VLOOKUP(J72,'Site Allocation'!$B$2:$C$37,2,FALSE)</f>
        <v>Analyst3</v>
      </c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</row>
    <row r="73" spans="1:25" x14ac:dyDescent="0.35">
      <c r="A73" s="19"/>
      <c r="B73" s="19"/>
      <c r="C73" s="19"/>
      <c r="D73" s="19"/>
      <c r="E73" s="19"/>
      <c r="F73" s="19"/>
      <c r="G73" s="19"/>
      <c r="H73" s="19"/>
      <c r="I73" s="19"/>
      <c r="J73" s="10" t="s">
        <v>12</v>
      </c>
      <c r="K73" s="10" t="s">
        <v>12</v>
      </c>
      <c r="L73" s="10" t="s">
        <v>12</v>
      </c>
      <c r="M73" s="50"/>
      <c r="N73" s="12" t="e">
        <f>VLOOKUP(J73,'Site Allocation'!$B$2:$C$37,2,FALSE)</f>
        <v>#N/A</v>
      </c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</row>
    <row r="74" spans="1:25" x14ac:dyDescent="0.35">
      <c r="A74" s="19"/>
      <c r="B74" s="19"/>
      <c r="C74" s="19"/>
      <c r="D74" s="19"/>
      <c r="E74" s="19"/>
      <c r="F74" s="19"/>
      <c r="G74" s="19"/>
      <c r="H74" s="19"/>
      <c r="I74" s="19"/>
      <c r="J74" s="10" t="s">
        <v>12</v>
      </c>
      <c r="K74" s="10" t="s">
        <v>12</v>
      </c>
      <c r="L74" s="10" t="s">
        <v>12</v>
      </c>
      <c r="M74" s="50"/>
      <c r="N74" s="12" t="e">
        <f>VLOOKUP(J74,'Site Allocation'!$B$2:$C$37,2,FALSE)</f>
        <v>#N/A</v>
      </c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</row>
    <row r="75" spans="1:25" x14ac:dyDescent="0.35">
      <c r="A75" s="19"/>
      <c r="B75" s="19"/>
      <c r="C75" s="19"/>
      <c r="D75" s="19"/>
      <c r="E75" s="19"/>
      <c r="F75" s="19"/>
      <c r="G75" s="19"/>
      <c r="H75" s="19"/>
      <c r="I75" s="19"/>
      <c r="J75" s="10" t="s">
        <v>12</v>
      </c>
      <c r="K75" s="10" t="s">
        <v>12</v>
      </c>
      <c r="L75" s="10" t="s">
        <v>12</v>
      </c>
      <c r="M75" s="50"/>
      <c r="N75" s="12" t="e">
        <f>VLOOKUP(J75,'Site Allocation'!$B$2:$C$37,2,FALSE)</f>
        <v>#N/A</v>
      </c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</row>
    <row r="76" spans="1:25" x14ac:dyDescent="0.35">
      <c r="A76" s="19"/>
      <c r="B76" s="19"/>
      <c r="C76" s="19"/>
      <c r="D76" s="19"/>
      <c r="E76" s="19"/>
      <c r="F76" s="19"/>
      <c r="G76" s="19"/>
      <c r="H76" s="19"/>
      <c r="I76" s="19"/>
      <c r="J76" s="10" t="s">
        <v>12</v>
      </c>
      <c r="K76" s="10" t="s">
        <v>12</v>
      </c>
      <c r="L76" s="10" t="s">
        <v>12</v>
      </c>
      <c r="M76" s="50"/>
      <c r="N76" s="12" t="e">
        <f>VLOOKUP(J76,'Site Allocation'!$B$2:$C$37,2,FALSE)</f>
        <v>#N/A</v>
      </c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</row>
    <row r="77" spans="1:25" x14ac:dyDescent="0.35">
      <c r="A77" s="19"/>
      <c r="B77" s="19"/>
      <c r="C77" s="19"/>
      <c r="D77" s="19"/>
      <c r="E77" s="19"/>
      <c r="F77" s="19"/>
      <c r="G77" s="19"/>
      <c r="H77" s="19"/>
      <c r="I77" s="19"/>
      <c r="J77" s="10" t="s">
        <v>12</v>
      </c>
      <c r="K77" s="10" t="s">
        <v>12</v>
      </c>
      <c r="L77" s="10" t="s">
        <v>12</v>
      </c>
      <c r="M77" s="50"/>
      <c r="N77" s="12" t="e">
        <f>VLOOKUP(J77,'Site Allocation'!$B$2:$C$37,2,FALSE)</f>
        <v>#N/A</v>
      </c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</row>
    <row r="78" spans="1:25" x14ac:dyDescent="0.35">
      <c r="A78" s="19"/>
      <c r="B78" s="19"/>
      <c r="C78" s="19"/>
      <c r="D78" s="19"/>
      <c r="E78" s="19"/>
      <c r="F78" s="19"/>
      <c r="G78" s="19"/>
      <c r="H78" s="19"/>
      <c r="I78" s="19"/>
      <c r="J78" s="10" t="s">
        <v>12</v>
      </c>
      <c r="K78" s="10" t="s">
        <v>12</v>
      </c>
      <c r="L78" s="10" t="s">
        <v>12</v>
      </c>
      <c r="M78" s="50"/>
      <c r="N78" s="12" t="e">
        <f>VLOOKUP(J78,'Site Allocation'!$B$2:$C$37,2,FALSE)</f>
        <v>#N/A</v>
      </c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</row>
    <row r="79" spans="1:25" x14ac:dyDescent="0.35">
      <c r="A79" s="19"/>
      <c r="B79" s="19"/>
      <c r="C79" s="19"/>
      <c r="D79" s="19"/>
      <c r="E79" s="19"/>
      <c r="F79" s="19"/>
      <c r="G79" s="19"/>
      <c r="H79" s="19"/>
      <c r="I79" s="19"/>
      <c r="J79" s="10" t="s">
        <v>12</v>
      </c>
      <c r="K79" s="10" t="s">
        <v>12</v>
      </c>
      <c r="L79" s="10" t="s">
        <v>12</v>
      </c>
      <c r="M79" s="50"/>
      <c r="N79" s="12" t="e">
        <f>VLOOKUP(J79,'Site Allocation'!$B$2:$C$37,2,FALSE)</f>
        <v>#N/A</v>
      </c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</row>
    <row r="80" spans="1:25" x14ac:dyDescent="0.35">
      <c r="A80" s="19"/>
      <c r="B80" s="19"/>
      <c r="C80" s="19"/>
      <c r="D80" s="19"/>
      <c r="E80" s="19"/>
      <c r="F80" s="19"/>
      <c r="G80" s="19"/>
      <c r="H80" s="19"/>
      <c r="I80" s="19"/>
      <c r="J80" s="10" t="s">
        <v>12</v>
      </c>
      <c r="K80" s="10" t="s">
        <v>12</v>
      </c>
      <c r="L80" s="10" t="s">
        <v>12</v>
      </c>
      <c r="M80" s="50"/>
      <c r="N80" s="12" t="e">
        <f>VLOOKUP(J80,'Site Allocation'!$B$2:$C$37,2,FALSE)</f>
        <v>#N/A</v>
      </c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</row>
    <row r="81" spans="1:25" x14ac:dyDescent="0.35">
      <c r="A81" s="19"/>
      <c r="B81" s="19"/>
      <c r="C81" s="19"/>
      <c r="D81" s="19"/>
      <c r="E81" s="19"/>
      <c r="F81" s="19"/>
      <c r="G81" s="19"/>
      <c r="H81" s="19"/>
      <c r="I81" s="19"/>
      <c r="J81" s="10" t="s">
        <v>12</v>
      </c>
      <c r="K81" s="10" t="s">
        <v>12</v>
      </c>
      <c r="L81" s="10" t="s">
        <v>12</v>
      </c>
      <c r="M81" s="50"/>
      <c r="N81" s="12" t="e">
        <f>VLOOKUP(J81,'Site Allocation'!$B$2:$C$37,2,FALSE)</f>
        <v>#N/A</v>
      </c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</row>
    <row r="82" spans="1:25" x14ac:dyDescent="0.35">
      <c r="A82" s="19"/>
      <c r="B82" s="19"/>
      <c r="C82" s="19"/>
      <c r="D82" s="19"/>
      <c r="E82" s="19"/>
      <c r="F82" s="19"/>
      <c r="G82" s="19"/>
      <c r="H82" s="19"/>
      <c r="I82" s="19"/>
      <c r="J82" s="10" t="s">
        <v>12</v>
      </c>
      <c r="K82" s="10" t="s">
        <v>12</v>
      </c>
      <c r="L82" s="10" t="s">
        <v>12</v>
      </c>
      <c r="M82" s="10" t="s">
        <v>12</v>
      </c>
      <c r="N82" s="12" t="e">
        <f>VLOOKUP(J82,'Site Allocation'!$B$2:$C$37,2,FALSE)</f>
        <v>#N/A</v>
      </c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</row>
    <row r="83" spans="1:25" x14ac:dyDescent="0.35">
      <c r="A83" s="19"/>
      <c r="B83" s="19"/>
      <c r="C83" s="19"/>
      <c r="D83" s="19"/>
      <c r="E83" s="19"/>
      <c r="F83" s="19"/>
      <c r="G83" s="19"/>
      <c r="H83" s="19"/>
      <c r="I83" s="19"/>
      <c r="J83" s="10" t="s">
        <v>12</v>
      </c>
      <c r="K83" s="10" t="s">
        <v>12</v>
      </c>
      <c r="L83" s="10" t="s">
        <v>12</v>
      </c>
      <c r="M83" s="10" t="s">
        <v>12</v>
      </c>
      <c r="N83" s="12" t="e">
        <f>VLOOKUP(J83,'Site Allocation'!$B$2:$C$37,2,FALSE)</f>
        <v>#N/A</v>
      </c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</row>
    <row r="84" spans="1:25" x14ac:dyDescent="0.35">
      <c r="A84" s="19"/>
      <c r="B84" s="19"/>
      <c r="C84" s="19"/>
      <c r="D84" s="19"/>
      <c r="E84" s="19"/>
      <c r="F84" s="19"/>
      <c r="G84" s="19"/>
      <c r="H84" s="19"/>
      <c r="I84" s="19"/>
      <c r="J84" s="10" t="s">
        <v>12</v>
      </c>
      <c r="K84" s="10" t="s">
        <v>12</v>
      </c>
      <c r="L84" s="10" t="s">
        <v>12</v>
      </c>
      <c r="M84" s="10" t="s">
        <v>12</v>
      </c>
      <c r="N84" s="12" t="e">
        <f>VLOOKUP(J84,'Site Allocation'!$B$2:$C$37,2,FALSE)</f>
        <v>#N/A</v>
      </c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</row>
    <row r="85" spans="1:25" x14ac:dyDescent="0.35">
      <c r="A85" s="19"/>
      <c r="B85" s="19"/>
      <c r="C85" s="19"/>
      <c r="D85" s="19"/>
      <c r="E85" s="19"/>
      <c r="F85" s="19"/>
      <c r="G85" s="19"/>
      <c r="H85" s="19"/>
      <c r="I85" s="19"/>
      <c r="J85" s="10" t="s">
        <v>12</v>
      </c>
      <c r="K85" s="10" t="s">
        <v>12</v>
      </c>
      <c r="L85" s="10" t="s">
        <v>12</v>
      </c>
      <c r="M85" s="10" t="s">
        <v>12</v>
      </c>
      <c r="N85" s="12" t="e">
        <f>VLOOKUP(J85,'Site Allocation'!$B$2:$C$37,2,FALSE)</f>
        <v>#N/A</v>
      </c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</row>
    <row r="86" spans="1:25" x14ac:dyDescent="0.35">
      <c r="A86" s="19"/>
      <c r="B86" s="19"/>
      <c r="C86" s="19"/>
      <c r="D86" s="19"/>
      <c r="E86" s="19"/>
      <c r="F86" s="19"/>
      <c r="G86" s="19"/>
      <c r="H86" s="19"/>
      <c r="I86" s="19"/>
      <c r="J86" s="10" t="s">
        <v>12</v>
      </c>
      <c r="K86" s="10" t="s">
        <v>12</v>
      </c>
      <c r="L86" s="10" t="s">
        <v>12</v>
      </c>
      <c r="M86" s="10" t="s">
        <v>12</v>
      </c>
      <c r="N86" s="12" t="e">
        <f>VLOOKUP(J86,'Site Allocation'!$B$2:$C$37,2,FALSE)</f>
        <v>#N/A</v>
      </c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</row>
    <row r="87" spans="1:25" x14ac:dyDescent="0.35">
      <c r="A87" s="19"/>
      <c r="B87" s="19"/>
      <c r="C87" s="19"/>
      <c r="D87" s="19"/>
      <c r="E87" s="19"/>
      <c r="F87" s="19"/>
      <c r="G87" s="19"/>
      <c r="H87" s="19"/>
      <c r="I87" s="19"/>
      <c r="J87" s="10" t="s">
        <v>12</v>
      </c>
      <c r="K87" s="10" t="s">
        <v>12</v>
      </c>
      <c r="L87" s="10" t="s">
        <v>12</v>
      </c>
      <c r="M87" s="10" t="s">
        <v>12</v>
      </c>
      <c r="N87" s="12" t="e">
        <f>VLOOKUP(J87,'Site Allocation'!$B$2:$C$37,2,FALSE)</f>
        <v>#N/A</v>
      </c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</row>
    <row r="88" spans="1:25" x14ac:dyDescent="0.35">
      <c r="A88" s="19"/>
      <c r="B88" s="19"/>
      <c r="C88" s="19"/>
      <c r="D88" s="19"/>
      <c r="E88" s="19"/>
      <c r="F88" s="19"/>
      <c r="G88" s="19"/>
      <c r="H88" s="19"/>
      <c r="I88" s="19"/>
      <c r="J88" s="10" t="s">
        <v>12</v>
      </c>
      <c r="K88" s="10" t="s">
        <v>12</v>
      </c>
      <c r="L88" s="10" t="s">
        <v>12</v>
      </c>
      <c r="M88" s="10" t="s">
        <v>12</v>
      </c>
      <c r="N88" s="12" t="e">
        <f>VLOOKUP(J88,'Site Allocation'!$B$2:$C$37,2,FALSE)</f>
        <v>#N/A</v>
      </c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</row>
    <row r="89" spans="1:25" x14ac:dyDescent="0.35">
      <c r="A89" s="19"/>
      <c r="B89" s="19"/>
      <c r="C89" s="19"/>
      <c r="D89" s="19"/>
      <c r="E89" s="19"/>
      <c r="F89" s="19"/>
      <c r="G89" s="19"/>
      <c r="H89" s="19"/>
      <c r="I89" s="19"/>
      <c r="J89" s="10" t="s">
        <v>12</v>
      </c>
      <c r="K89" s="10" t="s">
        <v>12</v>
      </c>
      <c r="L89" s="10" t="s">
        <v>12</v>
      </c>
      <c r="M89" s="10" t="s">
        <v>12</v>
      </c>
      <c r="N89" s="12" t="e">
        <f>VLOOKUP(J89,'Site Allocation'!$B$2:$C$37,2,FALSE)</f>
        <v>#N/A</v>
      </c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</row>
    <row r="90" spans="1:25" x14ac:dyDescent="0.35">
      <c r="A90" s="19"/>
      <c r="B90" s="19"/>
      <c r="C90" s="19"/>
      <c r="D90" s="19"/>
      <c r="E90" s="19"/>
      <c r="F90" s="19"/>
      <c r="G90" s="19"/>
      <c r="H90" s="19"/>
      <c r="I90" s="19"/>
      <c r="J90" s="10" t="s">
        <v>12</v>
      </c>
      <c r="K90" s="10" t="s">
        <v>12</v>
      </c>
      <c r="L90" s="10" t="s">
        <v>12</v>
      </c>
      <c r="M90" s="10" t="s">
        <v>12</v>
      </c>
      <c r="N90" s="12" t="e">
        <f>VLOOKUP(J90,'Site Allocation'!$B$2:$C$37,2,FALSE)</f>
        <v>#N/A</v>
      </c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</row>
    <row r="91" spans="1:25" x14ac:dyDescent="0.35">
      <c r="A91" s="19"/>
      <c r="B91" s="19"/>
      <c r="C91" s="19"/>
      <c r="D91" s="19"/>
      <c r="E91" s="19"/>
      <c r="F91" s="19"/>
      <c r="G91" s="19"/>
      <c r="H91" s="19"/>
      <c r="I91" s="19"/>
      <c r="J91" s="10" t="s">
        <v>12</v>
      </c>
      <c r="K91" s="10" t="s">
        <v>12</v>
      </c>
      <c r="L91" s="10" t="s">
        <v>12</v>
      </c>
      <c r="M91" s="10" t="s">
        <v>12</v>
      </c>
      <c r="N91" s="12" t="e">
        <f>VLOOKUP(J91,'Site Allocation'!$B$2:$C$37,2,FALSE)</f>
        <v>#N/A</v>
      </c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</row>
    <row r="92" spans="1:25" x14ac:dyDescent="0.35">
      <c r="A92" s="19"/>
      <c r="B92" s="19"/>
      <c r="C92" s="19"/>
      <c r="D92" s="19"/>
      <c r="E92" s="19"/>
      <c r="F92" s="19"/>
      <c r="G92" s="19"/>
      <c r="H92" s="19"/>
      <c r="I92" s="19"/>
      <c r="J92" s="10" t="s">
        <v>12</v>
      </c>
      <c r="K92" s="10" t="s">
        <v>12</v>
      </c>
      <c r="L92" s="10" t="s">
        <v>12</v>
      </c>
      <c r="M92" s="10" t="s">
        <v>12</v>
      </c>
      <c r="N92" s="12" t="e">
        <f>VLOOKUP(J92,'Site Allocation'!$B$2:$C$37,2,FALSE)</f>
        <v>#N/A</v>
      </c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</row>
    <row r="93" spans="1:25" x14ac:dyDescent="0.35">
      <c r="A93" s="19"/>
      <c r="B93" s="19"/>
      <c r="C93" s="19"/>
      <c r="D93" s="19"/>
      <c r="E93" s="19"/>
      <c r="F93" s="19"/>
      <c r="G93" s="19"/>
      <c r="H93" s="19"/>
      <c r="I93" s="19"/>
      <c r="J93" s="10" t="s">
        <v>12</v>
      </c>
      <c r="K93" s="10" t="s">
        <v>12</v>
      </c>
      <c r="L93" s="10" t="s">
        <v>12</v>
      </c>
      <c r="M93" s="10" t="s">
        <v>12</v>
      </c>
      <c r="N93" s="12" t="e">
        <f>VLOOKUP(J93,'Site Allocation'!$B$2:$C$37,2,FALSE)</f>
        <v>#N/A</v>
      </c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</row>
    <row r="94" spans="1:25" x14ac:dyDescent="0.35">
      <c r="A94" s="19"/>
      <c r="B94" s="19"/>
      <c r="C94" s="19"/>
      <c r="D94" s="19"/>
      <c r="E94" s="19"/>
      <c r="F94" s="19"/>
      <c r="G94" s="19"/>
      <c r="H94" s="19"/>
      <c r="I94" s="19"/>
      <c r="J94" s="10" t="s">
        <v>12</v>
      </c>
      <c r="K94" s="10" t="s">
        <v>12</v>
      </c>
      <c r="L94" s="10" t="s">
        <v>12</v>
      </c>
      <c r="M94" s="10" t="s">
        <v>12</v>
      </c>
      <c r="N94" s="12" t="e">
        <f>VLOOKUP(J94,'Site Allocation'!$B$2:$C$37,2,FALSE)</f>
        <v>#N/A</v>
      </c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</row>
    <row r="95" spans="1:25" x14ac:dyDescent="0.35">
      <c r="A95" s="19"/>
      <c r="B95" s="19"/>
      <c r="C95" s="19"/>
      <c r="D95" s="19"/>
      <c r="E95" s="19"/>
      <c r="F95" s="19"/>
      <c r="G95" s="19"/>
      <c r="H95" s="19"/>
      <c r="I95" s="19"/>
      <c r="J95" s="10" t="s">
        <v>12</v>
      </c>
      <c r="K95" s="10" t="s">
        <v>12</v>
      </c>
      <c r="L95" s="10" t="s">
        <v>12</v>
      </c>
      <c r="M95" s="10" t="s">
        <v>12</v>
      </c>
      <c r="N95" s="12" t="e">
        <f>VLOOKUP(J95,'Site Allocation'!$B$2:$C$37,2,FALSE)</f>
        <v>#N/A</v>
      </c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</row>
    <row r="96" spans="1:25" x14ac:dyDescent="0.35">
      <c r="A96" s="19"/>
      <c r="B96" s="19"/>
      <c r="C96" s="19"/>
      <c r="D96" s="19"/>
      <c r="E96" s="19"/>
      <c r="F96" s="19"/>
      <c r="G96" s="19"/>
      <c r="H96" s="19"/>
      <c r="I96" s="19"/>
      <c r="J96" s="10" t="s">
        <v>12</v>
      </c>
      <c r="K96" s="10" t="s">
        <v>12</v>
      </c>
      <c r="L96" s="10" t="s">
        <v>12</v>
      </c>
      <c r="M96" s="10" t="s">
        <v>12</v>
      </c>
      <c r="N96" s="12" t="e">
        <f>VLOOKUP(J96,'Site Allocation'!$B$2:$C$37,2,FALSE)</f>
        <v>#N/A</v>
      </c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</row>
    <row r="97" spans="1:25" x14ac:dyDescent="0.35">
      <c r="A97" s="19"/>
      <c r="B97" s="19"/>
      <c r="C97" s="19"/>
      <c r="D97" s="19"/>
      <c r="E97" s="19"/>
      <c r="F97" s="19"/>
      <c r="G97" s="19"/>
      <c r="H97" s="19"/>
      <c r="I97" s="19"/>
      <c r="J97" s="10" t="s">
        <v>12</v>
      </c>
      <c r="K97" s="10" t="s">
        <v>12</v>
      </c>
      <c r="L97" s="10" t="s">
        <v>12</v>
      </c>
      <c r="M97" s="10" t="s">
        <v>12</v>
      </c>
      <c r="N97" s="12" t="e">
        <f>VLOOKUP(J97,'Site Allocation'!$B$2:$C$37,2,FALSE)</f>
        <v>#N/A</v>
      </c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</row>
    <row r="98" spans="1:25" x14ac:dyDescent="0.35">
      <c r="A98" s="19"/>
      <c r="B98" s="19"/>
      <c r="C98" s="19"/>
      <c r="D98" s="19"/>
      <c r="E98" s="19"/>
      <c r="F98" s="19"/>
      <c r="G98" s="19"/>
      <c r="H98" s="19"/>
      <c r="I98" s="19"/>
      <c r="J98" s="10" t="s">
        <v>12</v>
      </c>
      <c r="K98" s="10" t="s">
        <v>12</v>
      </c>
      <c r="L98" s="10" t="s">
        <v>12</v>
      </c>
      <c r="M98" s="10" t="s">
        <v>12</v>
      </c>
      <c r="N98" s="12" t="e">
        <f>VLOOKUP(J98,'Site Allocation'!$B$2:$C$37,2,FALSE)</f>
        <v>#N/A</v>
      </c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</row>
    <row r="99" spans="1:25" x14ac:dyDescent="0.35">
      <c r="A99" s="19"/>
      <c r="B99" s="19"/>
      <c r="C99" s="19"/>
      <c r="D99" s="19"/>
      <c r="E99" s="19"/>
      <c r="F99" s="19"/>
      <c r="G99" s="19"/>
      <c r="H99" s="19"/>
      <c r="I99" s="19"/>
      <c r="J99" s="10" t="s">
        <v>12</v>
      </c>
      <c r="K99" s="10" t="s">
        <v>12</v>
      </c>
      <c r="L99" s="10" t="s">
        <v>12</v>
      </c>
      <c r="M99" s="10" t="s">
        <v>12</v>
      </c>
      <c r="N99" s="12" t="e">
        <f>VLOOKUP(J99,'Site Allocation'!$B$2:$C$37,2,FALSE)</f>
        <v>#N/A</v>
      </c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</row>
    <row r="100" spans="1:25" x14ac:dyDescent="0.35">
      <c r="A100" s="19"/>
      <c r="B100" s="19"/>
      <c r="C100" s="19"/>
      <c r="D100" s="19"/>
      <c r="E100" s="19"/>
      <c r="F100" s="19"/>
      <c r="G100" s="19"/>
      <c r="H100" s="19"/>
      <c r="I100" s="19"/>
      <c r="J100" s="10" t="s">
        <v>12</v>
      </c>
      <c r="K100" s="10" t="s">
        <v>12</v>
      </c>
      <c r="L100" s="10" t="s">
        <v>12</v>
      </c>
      <c r="M100" s="10" t="s">
        <v>12</v>
      </c>
      <c r="N100" s="12" t="e">
        <f>VLOOKUP(J100,'Site Allocation'!$B$2:$C$37,2,FALSE)</f>
        <v>#N/A</v>
      </c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</row>
    <row r="101" spans="1:25" x14ac:dyDescent="0.35">
      <c r="A101" s="19"/>
      <c r="B101" s="19"/>
      <c r="C101" s="19"/>
      <c r="D101" s="19"/>
      <c r="E101" s="19"/>
      <c r="F101" s="19"/>
      <c r="G101" s="19"/>
      <c r="H101" s="19"/>
      <c r="I101" s="19"/>
      <c r="J101" s="10" t="s">
        <v>12</v>
      </c>
      <c r="K101" s="10" t="s">
        <v>12</v>
      </c>
      <c r="L101" s="10" t="s">
        <v>12</v>
      </c>
      <c r="M101" s="10" t="s">
        <v>12</v>
      </c>
      <c r="N101" s="12" t="e">
        <f>VLOOKUP(J101,'Site Allocation'!$B$2:$C$37,2,FALSE)</f>
        <v>#N/A</v>
      </c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</row>
    <row r="102" spans="1:25" x14ac:dyDescent="0.35">
      <c r="A102" s="19"/>
      <c r="B102" s="19"/>
      <c r="C102" s="19"/>
      <c r="D102" s="19"/>
      <c r="E102" s="19"/>
      <c r="F102" s="19"/>
      <c r="G102" s="19"/>
      <c r="H102" s="19"/>
      <c r="I102" s="19"/>
      <c r="J102" s="10" t="s">
        <v>12</v>
      </c>
      <c r="K102" s="10" t="s">
        <v>12</v>
      </c>
      <c r="L102" s="10" t="s">
        <v>12</v>
      </c>
      <c r="M102" s="10" t="s">
        <v>12</v>
      </c>
      <c r="N102" s="12" t="e">
        <f>VLOOKUP(J102,'Site Allocation'!$B$2:$C$37,2,FALSE)</f>
        <v>#N/A</v>
      </c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</row>
    <row r="103" spans="1:25" x14ac:dyDescent="0.35">
      <c r="A103" s="19"/>
      <c r="B103" s="19"/>
      <c r="C103" s="19"/>
      <c r="D103" s="19"/>
      <c r="E103" s="19"/>
      <c r="F103" s="19"/>
      <c r="G103" s="19"/>
      <c r="H103" s="19"/>
      <c r="I103" s="19"/>
      <c r="J103" s="10" t="s">
        <v>12</v>
      </c>
      <c r="K103" s="10" t="s">
        <v>12</v>
      </c>
      <c r="L103" s="10" t="s">
        <v>12</v>
      </c>
      <c r="M103" s="10" t="s">
        <v>12</v>
      </c>
      <c r="N103" s="12" t="e">
        <f>VLOOKUP(J103,'Site Allocation'!$B$2:$C$37,2,FALSE)</f>
        <v>#N/A</v>
      </c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</row>
    <row r="104" spans="1:25" x14ac:dyDescent="0.35">
      <c r="A104" s="19"/>
      <c r="B104" s="19"/>
      <c r="C104" s="19"/>
      <c r="D104" s="19"/>
      <c r="E104" s="19"/>
      <c r="F104" s="19"/>
      <c r="G104" s="19"/>
      <c r="H104" s="19"/>
      <c r="I104" s="19"/>
      <c r="J104" s="10" t="s">
        <v>12</v>
      </c>
      <c r="K104" s="10" t="s">
        <v>12</v>
      </c>
      <c r="L104" s="10" t="s">
        <v>12</v>
      </c>
      <c r="M104" s="10" t="s">
        <v>12</v>
      </c>
      <c r="N104" s="12" t="e">
        <f>VLOOKUP(J104,'Site Allocation'!$B$2:$C$37,2,FALSE)</f>
        <v>#N/A</v>
      </c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</row>
    <row r="105" spans="1:25" x14ac:dyDescent="0.35">
      <c r="A105" s="19"/>
      <c r="B105" s="19"/>
      <c r="C105" s="19"/>
      <c r="D105" s="19"/>
      <c r="E105" s="19"/>
      <c r="F105" s="19"/>
      <c r="G105" s="19"/>
      <c r="H105" s="19"/>
      <c r="I105" s="19"/>
      <c r="J105" s="10" t="s">
        <v>12</v>
      </c>
      <c r="K105" s="10" t="s">
        <v>12</v>
      </c>
      <c r="L105" s="10" t="s">
        <v>12</v>
      </c>
      <c r="M105" s="10" t="s">
        <v>12</v>
      </c>
      <c r="N105" s="12" t="e">
        <f>VLOOKUP(J105,'Site Allocation'!$B$2:$C$37,2,FALSE)</f>
        <v>#N/A</v>
      </c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</row>
    <row r="106" spans="1:25" x14ac:dyDescent="0.35">
      <c r="A106" s="19"/>
      <c r="B106" s="19"/>
      <c r="C106" s="19"/>
      <c r="D106" s="19"/>
      <c r="E106" s="19"/>
      <c r="F106" s="19"/>
      <c r="G106" s="19"/>
      <c r="H106" s="19"/>
      <c r="I106" s="19"/>
      <c r="J106" s="10" t="s">
        <v>12</v>
      </c>
      <c r="K106" s="10" t="s">
        <v>12</v>
      </c>
      <c r="L106" s="10" t="s">
        <v>12</v>
      </c>
      <c r="M106" s="10" t="s">
        <v>12</v>
      </c>
      <c r="N106" s="12" t="e">
        <f>VLOOKUP(J106,'Site Allocation'!$B$2:$C$37,2,FALSE)</f>
        <v>#N/A</v>
      </c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</row>
    <row r="107" spans="1:25" x14ac:dyDescent="0.35">
      <c r="A107" s="19"/>
      <c r="B107" s="19"/>
      <c r="C107" s="19"/>
      <c r="D107" s="19"/>
      <c r="E107" s="19"/>
      <c r="F107" s="19"/>
      <c r="G107" s="19"/>
      <c r="H107" s="19"/>
      <c r="I107" s="19"/>
      <c r="J107" s="10" t="s">
        <v>12</v>
      </c>
      <c r="K107" s="10" t="s">
        <v>12</v>
      </c>
      <c r="L107" s="10" t="s">
        <v>12</v>
      </c>
      <c r="M107" s="10" t="s">
        <v>12</v>
      </c>
      <c r="N107" s="12" t="e">
        <f>VLOOKUP(J107,'Site Allocation'!$B$2:$C$37,2,FALSE)</f>
        <v>#N/A</v>
      </c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</row>
    <row r="108" spans="1:25" x14ac:dyDescent="0.35">
      <c r="A108" s="19"/>
      <c r="B108" s="19"/>
      <c r="C108" s="19"/>
      <c r="D108" s="19"/>
      <c r="E108" s="19"/>
      <c r="F108" s="19"/>
      <c r="G108" s="19"/>
      <c r="H108" s="19"/>
      <c r="I108" s="19"/>
      <c r="J108" s="10" t="s">
        <v>12</v>
      </c>
      <c r="K108" s="10" t="s">
        <v>12</v>
      </c>
      <c r="L108" s="10" t="s">
        <v>12</v>
      </c>
      <c r="M108" s="10" t="s">
        <v>12</v>
      </c>
      <c r="N108" s="12" t="e">
        <f>VLOOKUP(J108,'Site Allocation'!$B$2:$C$37,2,FALSE)</f>
        <v>#N/A</v>
      </c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</row>
    <row r="109" spans="1:25" x14ac:dyDescent="0.35">
      <c r="A109" s="19"/>
      <c r="B109" s="19"/>
      <c r="C109" s="19"/>
      <c r="D109" s="19"/>
      <c r="E109" s="19"/>
      <c r="F109" s="19"/>
      <c r="G109" s="19"/>
      <c r="H109" s="19"/>
      <c r="I109" s="19"/>
      <c r="J109" s="10" t="s">
        <v>12</v>
      </c>
      <c r="K109" s="10" t="s">
        <v>12</v>
      </c>
      <c r="L109" s="10" t="s">
        <v>12</v>
      </c>
      <c r="M109" s="10" t="s">
        <v>12</v>
      </c>
      <c r="N109" s="12" t="e">
        <f>VLOOKUP(J109,'Site Allocation'!$B$2:$C$37,2,FALSE)</f>
        <v>#N/A</v>
      </c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</row>
    <row r="110" spans="1:25" x14ac:dyDescent="0.35">
      <c r="A110" s="19"/>
      <c r="B110" s="19"/>
      <c r="C110" s="19"/>
      <c r="D110" s="19"/>
      <c r="E110" s="19"/>
      <c r="F110" s="19"/>
      <c r="G110" s="19"/>
      <c r="H110" s="19"/>
      <c r="I110" s="19"/>
      <c r="J110" s="10" t="s">
        <v>12</v>
      </c>
      <c r="K110" s="10" t="s">
        <v>12</v>
      </c>
      <c r="L110" s="10" t="s">
        <v>12</v>
      </c>
      <c r="M110" s="10" t="s">
        <v>12</v>
      </c>
      <c r="N110" s="12" t="e">
        <f>VLOOKUP(J110,'Site Allocation'!$B$2:$C$37,2,FALSE)</f>
        <v>#N/A</v>
      </c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</row>
    <row r="111" spans="1:25" x14ac:dyDescent="0.35">
      <c r="A111" s="19"/>
      <c r="B111" s="19"/>
      <c r="C111" s="19"/>
      <c r="D111" s="19"/>
      <c r="E111" s="19"/>
      <c r="F111" s="19"/>
      <c r="G111" s="19"/>
      <c r="H111" s="19"/>
      <c r="I111" s="19"/>
      <c r="J111" s="10" t="s">
        <v>12</v>
      </c>
      <c r="K111" s="10" t="s">
        <v>12</v>
      </c>
      <c r="L111" s="10" t="s">
        <v>12</v>
      </c>
      <c r="M111" s="10" t="s">
        <v>12</v>
      </c>
      <c r="N111" s="12" t="e">
        <f>VLOOKUP(J111,'Site Allocation'!$B$2:$C$37,2,FALSE)</f>
        <v>#N/A</v>
      </c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</row>
    <row r="112" spans="1:25" x14ac:dyDescent="0.35">
      <c r="A112" s="19"/>
      <c r="B112" s="19"/>
      <c r="C112" s="19"/>
      <c r="D112" s="19"/>
      <c r="E112" s="19"/>
      <c r="F112" s="19"/>
      <c r="G112" s="19"/>
      <c r="H112" s="19"/>
      <c r="I112" s="19"/>
      <c r="J112" s="10" t="s">
        <v>12</v>
      </c>
      <c r="K112" s="10" t="s">
        <v>12</v>
      </c>
      <c r="L112" s="10" t="s">
        <v>12</v>
      </c>
      <c r="M112" s="10" t="s">
        <v>12</v>
      </c>
      <c r="N112" s="12" t="e">
        <f>VLOOKUP(J112,'Site Allocation'!$B$2:$C$37,2,FALSE)</f>
        <v>#N/A</v>
      </c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</row>
    <row r="113" spans="1:25" x14ac:dyDescent="0.35">
      <c r="A113" s="19"/>
      <c r="B113" s="19"/>
      <c r="C113" s="19"/>
      <c r="D113" s="19"/>
      <c r="E113" s="19"/>
      <c r="F113" s="19"/>
      <c r="G113" s="19"/>
      <c r="H113" s="19"/>
      <c r="I113" s="19"/>
      <c r="J113" s="10" t="s">
        <v>12</v>
      </c>
      <c r="K113" s="10" t="s">
        <v>12</v>
      </c>
      <c r="L113" s="10" t="s">
        <v>12</v>
      </c>
      <c r="M113" s="10" t="s">
        <v>12</v>
      </c>
      <c r="N113" s="12" t="e">
        <f>VLOOKUP(J113,'Site Allocation'!$B$2:$C$37,2,FALSE)</f>
        <v>#N/A</v>
      </c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</row>
    <row r="114" spans="1:25" x14ac:dyDescent="0.35">
      <c r="A114" s="19"/>
      <c r="B114" s="19"/>
      <c r="C114" s="19"/>
      <c r="D114" s="19"/>
      <c r="E114" s="19"/>
      <c r="F114" s="19"/>
      <c r="G114" s="19"/>
      <c r="H114" s="19"/>
      <c r="I114" s="19"/>
      <c r="J114" s="10" t="s">
        <v>12</v>
      </c>
      <c r="K114" s="10" t="s">
        <v>12</v>
      </c>
      <c r="L114" s="10" t="s">
        <v>12</v>
      </c>
      <c r="M114" s="10" t="s">
        <v>12</v>
      </c>
      <c r="N114" s="12" t="e">
        <f>VLOOKUP(J114,'Site Allocation'!$B$2:$C$37,2,FALSE)</f>
        <v>#N/A</v>
      </c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</row>
    <row r="115" spans="1:25" x14ac:dyDescent="0.35">
      <c r="A115" s="19"/>
      <c r="B115" s="19"/>
      <c r="C115" s="19"/>
      <c r="D115" s="19"/>
      <c r="E115" s="19"/>
      <c r="F115" s="19"/>
      <c r="G115" s="19"/>
      <c r="H115" s="19"/>
      <c r="I115" s="19"/>
      <c r="J115" s="10" t="s">
        <v>12</v>
      </c>
      <c r="K115" s="10" t="s">
        <v>12</v>
      </c>
      <c r="L115" s="10" t="s">
        <v>12</v>
      </c>
      <c r="M115" s="10" t="s">
        <v>12</v>
      </c>
      <c r="N115" s="12" t="e">
        <f>VLOOKUP(J115,'Site Allocation'!$B$2:$C$37,2,FALSE)</f>
        <v>#N/A</v>
      </c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</row>
    <row r="116" spans="1:25" x14ac:dyDescent="0.35">
      <c r="A116" s="19"/>
      <c r="B116" s="19"/>
      <c r="C116" s="19"/>
      <c r="D116" s="19"/>
      <c r="E116" s="19"/>
      <c r="F116" s="19"/>
      <c r="G116" s="19"/>
      <c r="H116" s="19"/>
      <c r="I116" s="19"/>
      <c r="J116" s="10" t="s">
        <v>12</v>
      </c>
      <c r="K116" s="10" t="s">
        <v>12</v>
      </c>
      <c r="L116" s="10" t="s">
        <v>12</v>
      </c>
      <c r="M116" s="10" t="s">
        <v>12</v>
      </c>
      <c r="N116" s="12" t="e">
        <f>VLOOKUP(J116,'Site Allocation'!$B$2:$C$37,2,FALSE)</f>
        <v>#N/A</v>
      </c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</row>
    <row r="117" spans="1:25" x14ac:dyDescent="0.35">
      <c r="A117" s="19"/>
      <c r="B117" s="19"/>
      <c r="C117" s="19"/>
      <c r="D117" s="19"/>
      <c r="E117" s="19"/>
      <c r="F117" s="19"/>
      <c r="G117" s="19"/>
      <c r="H117" s="19"/>
      <c r="I117" s="19"/>
      <c r="J117" s="10" t="s">
        <v>12</v>
      </c>
      <c r="K117" s="10" t="s">
        <v>12</v>
      </c>
      <c r="L117" s="10" t="s">
        <v>12</v>
      </c>
      <c r="M117" s="10" t="s">
        <v>12</v>
      </c>
      <c r="N117" s="12" t="e">
        <f>VLOOKUP(J117,'Site Allocation'!$B$2:$C$37,2,FALSE)</f>
        <v>#N/A</v>
      </c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</row>
    <row r="118" spans="1:25" x14ac:dyDescent="0.35">
      <c r="A118" s="19"/>
      <c r="B118" s="19"/>
      <c r="C118" s="19"/>
      <c r="D118" s="19"/>
      <c r="E118" s="19"/>
      <c r="F118" s="19"/>
      <c r="G118" s="19"/>
      <c r="H118" s="19"/>
      <c r="I118" s="19"/>
      <c r="J118" s="10" t="s">
        <v>12</v>
      </c>
      <c r="K118" s="10" t="s">
        <v>12</v>
      </c>
      <c r="L118" s="10" t="s">
        <v>12</v>
      </c>
      <c r="M118" s="10" t="s">
        <v>12</v>
      </c>
      <c r="N118" s="12" t="e">
        <f>VLOOKUP(J118,'Site Allocation'!$B$2:$C$37,2,FALSE)</f>
        <v>#N/A</v>
      </c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</row>
    <row r="119" spans="1:25" x14ac:dyDescent="0.35">
      <c r="A119" s="19"/>
      <c r="B119" s="19"/>
      <c r="C119" s="19"/>
      <c r="D119" s="19"/>
      <c r="E119" s="19"/>
      <c r="F119" s="19"/>
      <c r="G119" s="19"/>
      <c r="H119" s="19"/>
      <c r="I119" s="19"/>
      <c r="J119" s="10" t="s">
        <v>12</v>
      </c>
      <c r="K119" s="10" t="s">
        <v>12</v>
      </c>
      <c r="L119" s="10" t="s">
        <v>12</v>
      </c>
      <c r="M119" s="10" t="s">
        <v>12</v>
      </c>
      <c r="N119" s="12" t="e">
        <f>VLOOKUP(J119,'Site Allocation'!$B$2:$C$37,2,FALSE)</f>
        <v>#N/A</v>
      </c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</row>
    <row r="120" spans="1:25" x14ac:dyDescent="0.35">
      <c r="A120" s="19"/>
      <c r="B120" s="19"/>
      <c r="C120" s="19"/>
      <c r="D120" s="19"/>
      <c r="E120" s="19"/>
      <c r="F120" s="19"/>
      <c r="G120" s="19"/>
      <c r="H120" s="19"/>
      <c r="I120" s="19"/>
      <c r="J120" s="10" t="s">
        <v>12</v>
      </c>
      <c r="K120" s="10" t="s">
        <v>12</v>
      </c>
      <c r="L120" s="10" t="s">
        <v>12</v>
      </c>
      <c r="M120" s="10" t="s">
        <v>12</v>
      </c>
      <c r="N120" s="12" t="e">
        <f>VLOOKUP(J120,'Site Allocation'!$B$2:$C$37,2,FALSE)</f>
        <v>#N/A</v>
      </c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</row>
    <row r="121" spans="1:25" x14ac:dyDescent="0.35">
      <c r="A121" s="19"/>
      <c r="B121" s="19"/>
      <c r="C121" s="19"/>
      <c r="D121" s="19"/>
      <c r="E121" s="19"/>
      <c r="F121" s="19"/>
      <c r="G121" s="19"/>
      <c r="H121" s="19"/>
      <c r="I121" s="19"/>
      <c r="J121" s="10" t="s">
        <v>12</v>
      </c>
      <c r="K121" s="10" t="s">
        <v>12</v>
      </c>
      <c r="L121" s="10" t="s">
        <v>12</v>
      </c>
      <c r="M121" s="10" t="s">
        <v>12</v>
      </c>
      <c r="N121" s="12" t="e">
        <f>VLOOKUP(J121,'Site Allocation'!$B$2:$C$37,2,FALSE)</f>
        <v>#N/A</v>
      </c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</row>
    <row r="122" spans="1:25" x14ac:dyDescent="0.35">
      <c r="A122" s="19"/>
      <c r="B122" s="19"/>
      <c r="C122" s="19"/>
      <c r="D122" s="19"/>
      <c r="E122" s="19"/>
      <c r="F122" s="19"/>
      <c r="G122" s="19"/>
      <c r="H122" s="19"/>
      <c r="I122" s="19"/>
      <c r="J122" s="10" t="s">
        <v>12</v>
      </c>
      <c r="K122" s="10" t="s">
        <v>12</v>
      </c>
      <c r="L122" s="10" t="s">
        <v>12</v>
      </c>
      <c r="M122" s="10" t="s">
        <v>12</v>
      </c>
      <c r="N122" s="12" t="e">
        <f>VLOOKUP(J122,'Site Allocation'!$B$2:$C$37,2,FALSE)</f>
        <v>#N/A</v>
      </c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</row>
    <row r="123" spans="1:25" x14ac:dyDescent="0.35">
      <c r="A123" s="19"/>
      <c r="B123" s="19"/>
      <c r="C123" s="19"/>
      <c r="D123" s="19"/>
      <c r="E123" s="19"/>
      <c r="F123" s="19"/>
      <c r="G123" s="19"/>
      <c r="H123" s="19"/>
      <c r="I123" s="19"/>
      <c r="J123" s="10" t="s">
        <v>12</v>
      </c>
      <c r="K123" s="10" t="s">
        <v>12</v>
      </c>
      <c r="L123" s="10" t="s">
        <v>12</v>
      </c>
      <c r="M123" s="10" t="s">
        <v>12</v>
      </c>
      <c r="N123" s="12" t="e">
        <f>VLOOKUP(J123,'Site Allocation'!$B$2:$C$37,2,FALSE)</f>
        <v>#N/A</v>
      </c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</row>
    <row r="124" spans="1:25" x14ac:dyDescent="0.35">
      <c r="A124" s="19"/>
      <c r="B124" s="19"/>
      <c r="C124" s="19"/>
      <c r="D124" s="19"/>
      <c r="E124" s="19"/>
      <c r="F124" s="19"/>
      <c r="G124" s="19"/>
      <c r="H124" s="19"/>
      <c r="I124" s="19"/>
      <c r="J124" s="10" t="s">
        <v>12</v>
      </c>
      <c r="K124" s="10" t="s">
        <v>12</v>
      </c>
      <c r="L124" s="10" t="s">
        <v>12</v>
      </c>
      <c r="M124" s="10" t="s">
        <v>12</v>
      </c>
      <c r="N124" s="12" t="e">
        <f>VLOOKUP(J124,'Site Allocation'!$B$2:$C$37,2,FALSE)</f>
        <v>#N/A</v>
      </c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</row>
    <row r="125" spans="1:25" x14ac:dyDescent="0.35">
      <c r="A125" s="19"/>
      <c r="B125" s="19"/>
      <c r="C125" s="19"/>
      <c r="D125" s="19"/>
      <c r="E125" s="19"/>
      <c r="F125" s="19"/>
      <c r="G125" s="19"/>
      <c r="H125" s="19"/>
      <c r="I125" s="19"/>
      <c r="J125" s="10" t="s">
        <v>12</v>
      </c>
      <c r="K125" s="10" t="s">
        <v>12</v>
      </c>
      <c r="L125" s="10" t="s">
        <v>12</v>
      </c>
      <c r="M125" s="10" t="s">
        <v>12</v>
      </c>
      <c r="N125" s="12" t="e">
        <f>VLOOKUP(J125,'Site Allocation'!$B$2:$C$37,2,FALSE)</f>
        <v>#N/A</v>
      </c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</row>
    <row r="126" spans="1:25" x14ac:dyDescent="0.35">
      <c r="A126" s="19"/>
      <c r="B126" s="19"/>
      <c r="C126" s="19"/>
      <c r="D126" s="19"/>
      <c r="E126" s="19"/>
      <c r="F126" s="19"/>
      <c r="G126" s="19"/>
      <c r="H126" s="19"/>
      <c r="I126" s="19"/>
      <c r="J126" s="10" t="s">
        <v>12</v>
      </c>
      <c r="K126" s="10" t="s">
        <v>12</v>
      </c>
      <c r="L126" s="10" t="s">
        <v>12</v>
      </c>
      <c r="M126" s="10" t="s">
        <v>12</v>
      </c>
      <c r="N126" s="12" t="e">
        <f>VLOOKUP(J126,'Site Allocation'!$B$2:$C$37,2,FALSE)</f>
        <v>#N/A</v>
      </c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</row>
    <row r="127" spans="1:25" x14ac:dyDescent="0.35">
      <c r="A127" s="19"/>
      <c r="B127" s="19"/>
      <c r="C127" s="19"/>
      <c r="D127" s="19"/>
      <c r="E127" s="19"/>
      <c r="F127" s="19"/>
      <c r="G127" s="19"/>
      <c r="H127" s="19"/>
      <c r="I127" s="19"/>
      <c r="J127" s="10" t="s">
        <v>12</v>
      </c>
      <c r="K127" s="10" t="s">
        <v>12</v>
      </c>
      <c r="L127" s="10" t="s">
        <v>12</v>
      </c>
      <c r="M127" s="10" t="s">
        <v>12</v>
      </c>
      <c r="N127" s="12" t="e">
        <f>VLOOKUP(J127,'Site Allocation'!$B$2:$C$37,2,FALSE)</f>
        <v>#N/A</v>
      </c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</row>
    <row r="128" spans="1:25" x14ac:dyDescent="0.35">
      <c r="A128" s="19"/>
      <c r="B128" s="19"/>
      <c r="C128" s="19"/>
      <c r="D128" s="19"/>
      <c r="E128" s="19"/>
      <c r="F128" s="19"/>
      <c r="G128" s="19"/>
      <c r="H128" s="19"/>
      <c r="I128" s="19"/>
      <c r="J128" s="10" t="s">
        <v>12</v>
      </c>
      <c r="K128" s="10" t="s">
        <v>12</v>
      </c>
      <c r="L128" s="10" t="s">
        <v>12</v>
      </c>
      <c r="M128" s="10" t="s">
        <v>12</v>
      </c>
      <c r="N128" s="12" t="e">
        <f>VLOOKUP(J128,'Site Allocation'!$B$2:$C$37,2,FALSE)</f>
        <v>#N/A</v>
      </c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</row>
    <row r="129" spans="1:25" x14ac:dyDescent="0.35">
      <c r="A129" s="19"/>
      <c r="B129" s="19"/>
      <c r="C129" s="19"/>
      <c r="D129" s="19"/>
      <c r="E129" s="19"/>
      <c r="F129" s="19"/>
      <c r="G129" s="19"/>
      <c r="H129" s="19"/>
      <c r="I129" s="19"/>
      <c r="J129" s="10" t="s">
        <v>12</v>
      </c>
      <c r="K129" s="10" t="s">
        <v>12</v>
      </c>
      <c r="L129" s="10" t="s">
        <v>12</v>
      </c>
      <c r="M129" s="10" t="s">
        <v>12</v>
      </c>
      <c r="N129" s="12" t="e">
        <f>VLOOKUP(J129,'Site Allocation'!$B$2:$C$37,2,FALSE)</f>
        <v>#N/A</v>
      </c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</row>
    <row r="130" spans="1:25" x14ac:dyDescent="0.35">
      <c r="A130" s="19"/>
      <c r="B130" s="19"/>
      <c r="C130" s="19"/>
      <c r="D130" s="19"/>
      <c r="E130" s="19"/>
      <c r="F130" s="19"/>
      <c r="G130" s="19"/>
      <c r="H130" s="19"/>
      <c r="I130" s="19"/>
      <c r="J130" s="10" t="s">
        <v>12</v>
      </c>
      <c r="K130" s="10" t="s">
        <v>12</v>
      </c>
      <c r="L130" s="10" t="s">
        <v>12</v>
      </c>
      <c r="M130" s="10" t="s">
        <v>12</v>
      </c>
      <c r="N130" s="12" t="e">
        <f>VLOOKUP(J130,'Site Allocation'!$B$2:$C$37,2,FALSE)</f>
        <v>#N/A</v>
      </c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</row>
    <row r="131" spans="1:25" x14ac:dyDescent="0.35">
      <c r="A131" s="19"/>
      <c r="B131" s="19"/>
      <c r="C131" s="19"/>
      <c r="D131" s="19"/>
      <c r="E131" s="19"/>
      <c r="F131" s="19"/>
      <c r="G131" s="19"/>
      <c r="H131" s="19"/>
      <c r="I131" s="19"/>
      <c r="J131" s="10" t="s">
        <v>12</v>
      </c>
      <c r="K131" s="10" t="s">
        <v>12</v>
      </c>
      <c r="L131" s="10" t="s">
        <v>12</v>
      </c>
      <c r="M131" s="10" t="s">
        <v>12</v>
      </c>
      <c r="N131" s="12" t="e">
        <f>VLOOKUP(J131,'Site Allocation'!$B$2:$C$37,2,FALSE)</f>
        <v>#N/A</v>
      </c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</row>
    <row r="132" spans="1:25" x14ac:dyDescent="0.35">
      <c r="A132" s="19"/>
      <c r="B132" s="19"/>
      <c r="C132" s="19"/>
      <c r="D132" s="19"/>
      <c r="E132" s="19"/>
      <c r="F132" s="19"/>
      <c r="G132" s="19"/>
      <c r="H132" s="19"/>
      <c r="I132" s="19"/>
      <c r="J132" s="10" t="s">
        <v>12</v>
      </c>
      <c r="K132" s="10" t="s">
        <v>12</v>
      </c>
      <c r="L132" s="10" t="s">
        <v>12</v>
      </c>
      <c r="M132" s="10" t="s">
        <v>12</v>
      </c>
      <c r="N132" s="12" t="e">
        <f>VLOOKUP(J132,'Site Allocation'!$B$2:$C$37,2,FALSE)</f>
        <v>#N/A</v>
      </c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</row>
    <row r="133" spans="1:25" x14ac:dyDescent="0.35">
      <c r="A133" s="19"/>
      <c r="B133" s="19"/>
      <c r="C133" s="19"/>
      <c r="D133" s="19"/>
      <c r="E133" s="19"/>
      <c r="F133" s="19"/>
      <c r="G133" s="19"/>
      <c r="H133" s="19"/>
      <c r="I133" s="19"/>
      <c r="J133" s="10" t="s">
        <v>12</v>
      </c>
      <c r="K133" s="10" t="s">
        <v>12</v>
      </c>
      <c r="L133" s="10" t="s">
        <v>12</v>
      </c>
      <c r="M133" s="10" t="s">
        <v>12</v>
      </c>
      <c r="N133" s="12" t="e">
        <f>VLOOKUP(J133,'Site Allocation'!$B$2:$C$37,2,FALSE)</f>
        <v>#N/A</v>
      </c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</row>
    <row r="134" spans="1:25" x14ac:dyDescent="0.35">
      <c r="A134" s="19"/>
      <c r="B134" s="19"/>
      <c r="C134" s="19"/>
      <c r="D134" s="19"/>
      <c r="E134" s="19"/>
      <c r="F134" s="19"/>
      <c r="G134" s="19"/>
      <c r="H134" s="19"/>
      <c r="I134" s="19"/>
      <c r="J134" s="10" t="s">
        <v>12</v>
      </c>
      <c r="K134" s="10" t="s">
        <v>12</v>
      </c>
      <c r="L134" s="10" t="s">
        <v>12</v>
      </c>
      <c r="M134" s="10" t="s">
        <v>12</v>
      </c>
      <c r="N134" s="12" t="e">
        <f>VLOOKUP(J134,'Site Allocation'!$B$2:$C$37,2,FALSE)</f>
        <v>#N/A</v>
      </c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</row>
    <row r="135" spans="1:25" x14ac:dyDescent="0.35">
      <c r="A135" s="19"/>
      <c r="B135" s="19"/>
      <c r="C135" s="19"/>
      <c r="D135" s="19"/>
      <c r="E135" s="19"/>
      <c r="F135" s="19"/>
      <c r="G135" s="19"/>
      <c r="H135" s="19"/>
      <c r="I135" s="19"/>
      <c r="J135" s="10" t="s">
        <v>12</v>
      </c>
      <c r="K135" s="10" t="s">
        <v>12</v>
      </c>
      <c r="L135" s="10" t="s">
        <v>12</v>
      </c>
      <c r="M135" s="10" t="s">
        <v>12</v>
      </c>
      <c r="N135" s="12" t="e">
        <f>VLOOKUP(J135,'Site Allocation'!$B$2:$C$37,2,FALSE)</f>
        <v>#N/A</v>
      </c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</row>
    <row r="136" spans="1:25" x14ac:dyDescent="0.35">
      <c r="A136" s="19"/>
      <c r="B136" s="19"/>
      <c r="C136" s="19"/>
      <c r="D136" s="19"/>
      <c r="E136" s="19"/>
      <c r="F136" s="19"/>
      <c r="G136" s="19"/>
      <c r="H136" s="19"/>
      <c r="I136" s="19"/>
      <c r="J136" s="10" t="s">
        <v>12</v>
      </c>
      <c r="K136" s="10" t="s">
        <v>12</v>
      </c>
      <c r="L136" s="10" t="s">
        <v>12</v>
      </c>
      <c r="M136" s="10" t="s">
        <v>12</v>
      </c>
      <c r="N136" s="12" t="e">
        <f>VLOOKUP(J136,'Site Allocation'!$B$2:$C$37,2,FALSE)</f>
        <v>#N/A</v>
      </c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</row>
    <row r="137" spans="1:25" x14ac:dyDescent="0.35">
      <c r="A137" s="19"/>
      <c r="B137" s="19"/>
      <c r="C137" s="19"/>
      <c r="D137" s="19"/>
      <c r="E137" s="19"/>
      <c r="F137" s="19"/>
      <c r="G137" s="19"/>
      <c r="H137" s="19"/>
      <c r="I137" s="19"/>
      <c r="J137" s="10" t="s">
        <v>12</v>
      </c>
      <c r="K137" s="10" t="s">
        <v>12</v>
      </c>
      <c r="L137" s="10" t="s">
        <v>12</v>
      </c>
      <c r="M137" s="10" t="s">
        <v>12</v>
      </c>
      <c r="N137" s="12" t="e">
        <f>VLOOKUP(J137,'Site Allocation'!$B$2:$C$37,2,FALSE)</f>
        <v>#N/A</v>
      </c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</row>
    <row r="138" spans="1:25" x14ac:dyDescent="0.35">
      <c r="A138" s="19"/>
      <c r="B138" s="19"/>
      <c r="C138" s="19"/>
      <c r="D138" s="19"/>
      <c r="E138" s="19"/>
      <c r="F138" s="19"/>
      <c r="G138" s="19"/>
      <c r="H138" s="19"/>
      <c r="I138" s="19"/>
      <c r="J138" s="10" t="s">
        <v>12</v>
      </c>
      <c r="K138" s="10" t="s">
        <v>12</v>
      </c>
      <c r="L138" s="10" t="s">
        <v>12</v>
      </c>
      <c r="M138" s="10" t="s">
        <v>12</v>
      </c>
      <c r="N138" s="12" t="e">
        <f>VLOOKUP(J138,'Site Allocation'!$B$2:$C$37,2,FALSE)</f>
        <v>#N/A</v>
      </c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</row>
    <row r="139" spans="1:25" x14ac:dyDescent="0.35">
      <c r="A139" s="19"/>
      <c r="B139" s="19"/>
      <c r="C139" s="19"/>
      <c r="D139" s="19"/>
      <c r="E139" s="19"/>
      <c r="F139" s="19"/>
      <c r="G139" s="19"/>
      <c r="H139" s="19"/>
      <c r="I139" s="19"/>
      <c r="J139" s="10" t="s">
        <v>12</v>
      </c>
      <c r="K139" s="10" t="s">
        <v>12</v>
      </c>
      <c r="L139" s="10" t="s">
        <v>12</v>
      </c>
      <c r="M139" s="10" t="s">
        <v>12</v>
      </c>
      <c r="N139" s="12" t="e">
        <f>VLOOKUP(J139,'Site Allocation'!$B$2:$C$37,2,FALSE)</f>
        <v>#N/A</v>
      </c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</row>
    <row r="140" spans="1:25" x14ac:dyDescent="0.35">
      <c r="A140" s="19"/>
      <c r="B140" s="19"/>
      <c r="C140" s="19"/>
      <c r="D140" s="19"/>
      <c r="E140" s="19"/>
      <c r="F140" s="19"/>
      <c r="G140" s="19"/>
      <c r="H140" s="19"/>
      <c r="I140" s="19"/>
      <c r="J140" s="10" t="s">
        <v>12</v>
      </c>
      <c r="K140" s="10" t="s">
        <v>12</v>
      </c>
      <c r="L140" s="10" t="s">
        <v>12</v>
      </c>
      <c r="M140" s="10" t="s">
        <v>12</v>
      </c>
      <c r="N140" s="12" t="e">
        <f>VLOOKUP(J140,'Site Allocation'!$B$2:$C$37,2,FALSE)</f>
        <v>#N/A</v>
      </c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</row>
    <row r="141" spans="1:25" x14ac:dyDescent="0.35">
      <c r="A141" s="19"/>
      <c r="B141" s="19"/>
      <c r="C141" s="19"/>
      <c r="D141" s="19"/>
      <c r="E141" s="19"/>
      <c r="F141" s="19"/>
      <c r="G141" s="19"/>
      <c r="H141" s="19"/>
      <c r="I141" s="19"/>
      <c r="J141" s="10" t="s">
        <v>12</v>
      </c>
      <c r="K141" s="10" t="s">
        <v>12</v>
      </c>
      <c r="L141" s="10" t="s">
        <v>12</v>
      </c>
      <c r="M141" s="10" t="s">
        <v>12</v>
      </c>
      <c r="N141" s="12" t="e">
        <f>VLOOKUP(J141,'Site Allocation'!$B$2:$C$37,2,FALSE)</f>
        <v>#N/A</v>
      </c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</row>
    <row r="142" spans="1:25" x14ac:dyDescent="0.35">
      <c r="A142" s="19"/>
      <c r="B142" s="19"/>
      <c r="C142" s="19"/>
      <c r="D142" s="19"/>
      <c r="E142" s="19"/>
      <c r="F142" s="19"/>
      <c r="G142" s="19"/>
      <c r="H142" s="19"/>
      <c r="I142" s="19"/>
      <c r="J142" s="10" t="s">
        <v>12</v>
      </c>
      <c r="K142" s="10" t="s">
        <v>12</v>
      </c>
      <c r="L142" s="10" t="s">
        <v>12</v>
      </c>
      <c r="M142" s="10" t="s">
        <v>12</v>
      </c>
      <c r="N142" s="12" t="e">
        <f>VLOOKUP(J142,'Site Allocation'!$B$2:$C$37,2,FALSE)</f>
        <v>#N/A</v>
      </c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</row>
    <row r="143" spans="1:25" x14ac:dyDescent="0.35">
      <c r="A143" s="19"/>
      <c r="B143" s="19"/>
      <c r="C143" s="19"/>
      <c r="D143" s="19"/>
      <c r="E143" s="19"/>
      <c r="F143" s="19"/>
      <c r="G143" s="19"/>
      <c r="H143" s="19"/>
      <c r="I143" s="19"/>
      <c r="J143" s="10" t="s">
        <v>12</v>
      </c>
      <c r="K143" s="10" t="s">
        <v>12</v>
      </c>
      <c r="L143" s="10" t="s">
        <v>12</v>
      </c>
      <c r="M143" s="10" t="s">
        <v>12</v>
      </c>
      <c r="N143" s="12" t="e">
        <f>VLOOKUP(J143,'Site Allocation'!$B$2:$C$37,2,FALSE)</f>
        <v>#N/A</v>
      </c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</row>
    <row r="144" spans="1:25" x14ac:dyDescent="0.35">
      <c r="A144" s="19"/>
      <c r="B144" s="19"/>
      <c r="C144" s="19"/>
      <c r="D144" s="19"/>
      <c r="E144" s="19"/>
      <c r="F144" s="19"/>
      <c r="G144" s="19"/>
      <c r="H144" s="19"/>
      <c r="I144" s="19"/>
      <c r="J144" s="10" t="s">
        <v>12</v>
      </c>
      <c r="K144" s="10" t="s">
        <v>12</v>
      </c>
      <c r="L144" s="10" t="s">
        <v>12</v>
      </c>
      <c r="M144" s="10" t="s">
        <v>12</v>
      </c>
      <c r="N144" s="12" t="e">
        <f>VLOOKUP(J144,'Site Allocation'!$B$2:$C$37,2,FALSE)</f>
        <v>#N/A</v>
      </c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</row>
    <row r="145" spans="1:25" x14ac:dyDescent="0.35">
      <c r="A145" s="19"/>
      <c r="B145" s="19"/>
      <c r="C145" s="19"/>
      <c r="D145" s="19"/>
      <c r="E145" s="19"/>
      <c r="F145" s="19"/>
      <c r="G145" s="19"/>
      <c r="H145" s="19"/>
      <c r="I145" s="19"/>
      <c r="J145" s="10" t="s">
        <v>12</v>
      </c>
      <c r="K145" s="10" t="s">
        <v>12</v>
      </c>
      <c r="L145" s="10" t="s">
        <v>12</v>
      </c>
      <c r="M145" s="10" t="s">
        <v>12</v>
      </c>
      <c r="N145" s="12" t="e">
        <f>VLOOKUP(J145,'Site Allocation'!$B$2:$C$37,2,FALSE)</f>
        <v>#N/A</v>
      </c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</row>
    <row r="146" spans="1:25" x14ac:dyDescent="0.35">
      <c r="A146" s="19"/>
      <c r="B146" s="19"/>
      <c r="C146" s="19"/>
      <c r="D146" s="19"/>
      <c r="E146" s="19"/>
      <c r="F146" s="19"/>
      <c r="G146" s="19"/>
      <c r="H146" s="19"/>
      <c r="I146" s="19"/>
      <c r="J146" s="10" t="s">
        <v>12</v>
      </c>
      <c r="K146" s="10" t="s">
        <v>12</v>
      </c>
      <c r="L146" s="10" t="s">
        <v>12</v>
      </c>
      <c r="M146" s="10" t="s">
        <v>12</v>
      </c>
      <c r="N146" s="12" t="e">
        <f>VLOOKUP(J146,'Site Allocation'!$B$2:$C$37,2,FALSE)</f>
        <v>#N/A</v>
      </c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</row>
    <row r="147" spans="1:25" x14ac:dyDescent="0.35">
      <c r="A147" s="19"/>
      <c r="B147" s="19"/>
      <c r="C147" s="19"/>
      <c r="D147" s="19"/>
      <c r="E147" s="19"/>
      <c r="F147" s="19"/>
      <c r="G147" s="19"/>
      <c r="H147" s="19"/>
      <c r="I147" s="19"/>
      <c r="J147" s="10" t="s">
        <v>12</v>
      </c>
      <c r="K147" s="10" t="s">
        <v>12</v>
      </c>
      <c r="L147" s="10" t="s">
        <v>12</v>
      </c>
      <c r="M147" s="10" t="s">
        <v>12</v>
      </c>
      <c r="N147" s="12" t="e">
        <f>VLOOKUP(J147,'Site Allocation'!$B$2:$C$37,2,FALSE)</f>
        <v>#N/A</v>
      </c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</row>
    <row r="148" spans="1:25" x14ac:dyDescent="0.35">
      <c r="A148" s="19"/>
      <c r="B148" s="19"/>
      <c r="C148" s="19"/>
      <c r="D148" s="19"/>
      <c r="E148" s="19"/>
      <c r="F148" s="19"/>
      <c r="G148" s="19"/>
      <c r="H148" s="19"/>
      <c r="I148" s="19"/>
      <c r="J148" s="10" t="s">
        <v>12</v>
      </c>
      <c r="K148" s="10" t="s">
        <v>12</v>
      </c>
      <c r="L148" s="10" t="s">
        <v>12</v>
      </c>
      <c r="M148" s="10" t="s">
        <v>12</v>
      </c>
      <c r="N148" s="12" t="e">
        <f>VLOOKUP(J148,'Site Allocation'!$B$2:$C$37,2,FALSE)</f>
        <v>#N/A</v>
      </c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</row>
    <row r="149" spans="1:25" x14ac:dyDescent="0.35">
      <c r="A149" s="19"/>
      <c r="B149" s="19"/>
      <c r="C149" s="19"/>
      <c r="D149" s="19"/>
      <c r="E149" s="19"/>
      <c r="F149" s="19"/>
      <c r="G149" s="19"/>
      <c r="H149" s="19"/>
      <c r="I149" s="19"/>
      <c r="J149" s="10" t="s">
        <v>12</v>
      </c>
      <c r="K149" s="10" t="s">
        <v>12</v>
      </c>
      <c r="L149" s="10" t="s">
        <v>12</v>
      </c>
      <c r="M149" s="10" t="s">
        <v>12</v>
      </c>
      <c r="N149" s="12" t="e">
        <f>VLOOKUP(J149,'Site Allocation'!$B$2:$C$37,2,FALSE)</f>
        <v>#N/A</v>
      </c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</row>
    <row r="150" spans="1:25" x14ac:dyDescent="0.35">
      <c r="A150" s="19"/>
      <c r="B150" s="19"/>
      <c r="C150" s="19"/>
      <c r="D150" s="19"/>
      <c r="E150" s="19"/>
      <c r="F150" s="19"/>
      <c r="G150" s="19"/>
      <c r="H150" s="19"/>
      <c r="I150" s="19"/>
      <c r="J150" s="10" t="s">
        <v>12</v>
      </c>
      <c r="K150" s="10" t="s">
        <v>12</v>
      </c>
      <c r="L150" s="10" t="s">
        <v>12</v>
      </c>
      <c r="M150" s="10" t="s">
        <v>12</v>
      </c>
      <c r="N150" s="12" t="e">
        <f>VLOOKUP(J150,'Site Allocation'!$B$2:$C$37,2,FALSE)</f>
        <v>#N/A</v>
      </c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</row>
    <row r="151" spans="1:25" x14ac:dyDescent="0.35">
      <c r="A151" s="19"/>
      <c r="B151" s="19"/>
      <c r="C151" s="19"/>
      <c r="D151" s="19"/>
      <c r="E151" s="19"/>
      <c r="F151" s="19"/>
      <c r="G151" s="19"/>
      <c r="H151" s="19"/>
      <c r="I151" s="19"/>
      <c r="J151" s="10" t="s">
        <v>12</v>
      </c>
      <c r="K151" s="10" t="s">
        <v>12</v>
      </c>
      <c r="L151" s="10" t="s">
        <v>12</v>
      </c>
      <c r="M151" s="10" t="s">
        <v>12</v>
      </c>
      <c r="N151" s="12" t="e">
        <f>VLOOKUP(J151,'Site Allocation'!$B$2:$C$37,2,FALSE)</f>
        <v>#N/A</v>
      </c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</row>
    <row r="152" spans="1:25" x14ac:dyDescent="0.35">
      <c r="A152" s="19"/>
      <c r="B152" s="19"/>
      <c r="C152" s="19"/>
      <c r="D152" s="19"/>
      <c r="E152" s="19"/>
      <c r="F152" s="19"/>
      <c r="G152" s="19"/>
      <c r="H152" s="19"/>
      <c r="I152" s="19"/>
      <c r="J152" s="10" t="s">
        <v>12</v>
      </c>
      <c r="K152" s="10" t="s">
        <v>12</v>
      </c>
      <c r="L152" s="10" t="s">
        <v>12</v>
      </c>
      <c r="M152" s="10" t="s">
        <v>12</v>
      </c>
      <c r="N152" s="12" t="e">
        <f>VLOOKUP(J152,'Site Allocation'!$B$2:$C$37,2,FALSE)</f>
        <v>#N/A</v>
      </c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</row>
    <row r="153" spans="1:25" x14ac:dyDescent="0.35">
      <c r="A153" s="19"/>
      <c r="B153" s="19"/>
      <c r="C153" s="19"/>
      <c r="D153" s="19"/>
      <c r="E153" s="19"/>
      <c r="F153" s="19"/>
      <c r="G153" s="19"/>
      <c r="H153" s="19"/>
      <c r="I153" s="19"/>
      <c r="J153" s="10" t="s">
        <v>12</v>
      </c>
      <c r="K153" s="10" t="s">
        <v>12</v>
      </c>
      <c r="L153" s="10" t="s">
        <v>12</v>
      </c>
      <c r="M153" s="10" t="s">
        <v>12</v>
      </c>
      <c r="N153" s="12" t="e">
        <f>VLOOKUP(J153,'Site Allocation'!$B$2:$C$37,2,FALSE)</f>
        <v>#N/A</v>
      </c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</row>
    <row r="154" spans="1:25" x14ac:dyDescent="0.35">
      <c r="A154" s="19"/>
      <c r="B154" s="19"/>
      <c r="C154" s="19"/>
      <c r="D154" s="19"/>
      <c r="E154" s="19"/>
      <c r="F154" s="19"/>
      <c r="G154" s="19"/>
      <c r="H154" s="19"/>
      <c r="I154" s="19"/>
      <c r="J154" s="10" t="s">
        <v>12</v>
      </c>
      <c r="K154" s="10" t="s">
        <v>12</v>
      </c>
      <c r="L154" s="10" t="s">
        <v>12</v>
      </c>
      <c r="M154" s="10" t="s">
        <v>12</v>
      </c>
      <c r="N154" s="12" t="e">
        <f>VLOOKUP(J154,'Site Allocation'!$B$2:$C$37,2,FALSE)</f>
        <v>#N/A</v>
      </c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</row>
    <row r="155" spans="1:25" x14ac:dyDescent="0.35">
      <c r="A155" s="19"/>
      <c r="B155" s="19"/>
      <c r="C155" s="19"/>
      <c r="D155" s="19"/>
      <c r="E155" s="19"/>
      <c r="F155" s="19"/>
      <c r="G155" s="19"/>
      <c r="H155" s="19"/>
      <c r="I155" s="19"/>
      <c r="J155" s="10" t="s">
        <v>12</v>
      </c>
      <c r="K155" s="10" t="s">
        <v>12</v>
      </c>
      <c r="L155" s="10" t="s">
        <v>12</v>
      </c>
      <c r="M155" s="10" t="s">
        <v>12</v>
      </c>
      <c r="N155" s="12" t="e">
        <f>VLOOKUP(J155,'Site Allocation'!$B$2:$C$37,2,FALSE)</f>
        <v>#N/A</v>
      </c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</row>
    <row r="156" spans="1:25" x14ac:dyDescent="0.35">
      <c r="A156" s="19"/>
      <c r="B156" s="19"/>
      <c r="C156" s="19"/>
      <c r="D156" s="19"/>
      <c r="E156" s="19"/>
      <c r="F156" s="19"/>
      <c r="G156" s="19"/>
      <c r="H156" s="19"/>
      <c r="I156" s="19"/>
      <c r="J156" s="10" t="s">
        <v>12</v>
      </c>
      <c r="K156" s="10" t="s">
        <v>12</v>
      </c>
      <c r="L156" s="10" t="s">
        <v>12</v>
      </c>
      <c r="M156" s="10" t="s">
        <v>12</v>
      </c>
      <c r="N156" s="12" t="e">
        <f>VLOOKUP(J156,'Site Allocation'!$B$2:$C$37,2,FALSE)</f>
        <v>#N/A</v>
      </c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</row>
    <row r="157" spans="1:25" x14ac:dyDescent="0.35">
      <c r="A157" s="19"/>
      <c r="B157" s="19"/>
      <c r="C157" s="19"/>
      <c r="D157" s="19"/>
      <c r="E157" s="19"/>
      <c r="F157" s="19"/>
      <c r="G157" s="19"/>
      <c r="H157" s="19"/>
      <c r="I157" s="19"/>
      <c r="J157" s="10" t="s">
        <v>12</v>
      </c>
      <c r="K157" s="10" t="s">
        <v>12</v>
      </c>
      <c r="L157" s="10" t="s">
        <v>12</v>
      </c>
      <c r="M157" s="10" t="s">
        <v>12</v>
      </c>
      <c r="N157" s="12" t="e">
        <f>VLOOKUP(J157,'Site Allocation'!$B$2:$C$37,2,FALSE)</f>
        <v>#N/A</v>
      </c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</row>
    <row r="158" spans="1:25" x14ac:dyDescent="0.35">
      <c r="A158" s="19"/>
      <c r="B158" s="19"/>
      <c r="C158" s="19"/>
      <c r="D158" s="19"/>
      <c r="E158" s="19"/>
      <c r="F158" s="19"/>
      <c r="G158" s="19"/>
      <c r="H158" s="19"/>
      <c r="I158" s="19"/>
      <c r="J158" s="10" t="s">
        <v>12</v>
      </c>
      <c r="K158" s="10" t="s">
        <v>12</v>
      </c>
      <c r="L158" s="10" t="s">
        <v>12</v>
      </c>
      <c r="M158" s="10" t="s">
        <v>12</v>
      </c>
      <c r="N158" s="12" t="e">
        <f>VLOOKUP(J158,'Site Allocation'!$B$2:$C$37,2,FALSE)</f>
        <v>#N/A</v>
      </c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</row>
    <row r="159" spans="1:25" x14ac:dyDescent="0.35">
      <c r="A159" s="19"/>
      <c r="B159" s="19"/>
      <c r="C159" s="19"/>
      <c r="D159" s="19"/>
      <c r="E159" s="19"/>
      <c r="F159" s="19"/>
      <c r="G159" s="19"/>
      <c r="H159" s="19"/>
      <c r="I159" s="19"/>
      <c r="J159" s="10" t="s">
        <v>12</v>
      </c>
      <c r="K159" s="10" t="s">
        <v>12</v>
      </c>
      <c r="L159" s="10" t="s">
        <v>12</v>
      </c>
      <c r="M159" s="10" t="s">
        <v>12</v>
      </c>
      <c r="N159" s="12" t="e">
        <f>VLOOKUP(J159,'Site Allocation'!$B$2:$C$37,2,FALSE)</f>
        <v>#N/A</v>
      </c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</row>
    <row r="160" spans="1:25" x14ac:dyDescent="0.35">
      <c r="A160" s="19"/>
      <c r="B160" s="19"/>
      <c r="C160" s="19"/>
      <c r="D160" s="19"/>
      <c r="E160" s="19"/>
      <c r="F160" s="19"/>
      <c r="G160" s="19"/>
      <c r="H160" s="19"/>
      <c r="I160" s="19"/>
      <c r="J160" s="10" t="s">
        <v>12</v>
      </c>
      <c r="K160" s="10" t="s">
        <v>12</v>
      </c>
      <c r="L160" s="10" t="s">
        <v>12</v>
      </c>
      <c r="M160" s="10" t="s">
        <v>12</v>
      </c>
      <c r="N160" s="12" t="e">
        <f>VLOOKUP(J160,'Site Allocation'!$B$2:$C$37,2,FALSE)</f>
        <v>#N/A</v>
      </c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</row>
    <row r="161" spans="1:25" x14ac:dyDescent="0.35">
      <c r="A161" s="19"/>
      <c r="B161" s="19"/>
      <c r="C161" s="19"/>
      <c r="D161" s="19"/>
      <c r="E161" s="19"/>
      <c r="F161" s="19"/>
      <c r="G161" s="19"/>
      <c r="H161" s="19"/>
      <c r="I161" s="19"/>
      <c r="J161" s="10" t="s">
        <v>12</v>
      </c>
      <c r="K161" s="10" t="s">
        <v>12</v>
      </c>
      <c r="L161" s="10" t="s">
        <v>12</v>
      </c>
      <c r="M161" s="10" t="s">
        <v>12</v>
      </c>
      <c r="N161" s="12" t="e">
        <f>VLOOKUP(J161,'Site Allocation'!$B$2:$C$37,2,FALSE)</f>
        <v>#N/A</v>
      </c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</row>
    <row r="162" spans="1:25" x14ac:dyDescent="0.35">
      <c r="A162" s="19"/>
      <c r="B162" s="19"/>
      <c r="C162" s="19"/>
      <c r="D162" s="19"/>
      <c r="E162" s="19"/>
      <c r="F162" s="19"/>
      <c r="G162" s="19"/>
      <c r="H162" s="19"/>
      <c r="I162" s="19"/>
      <c r="J162" s="10" t="s">
        <v>12</v>
      </c>
      <c r="K162" s="10" t="s">
        <v>12</v>
      </c>
      <c r="L162" s="10" t="s">
        <v>12</v>
      </c>
      <c r="M162" s="10" t="s">
        <v>12</v>
      </c>
      <c r="N162" s="12" t="e">
        <f>VLOOKUP(J162,'Site Allocation'!$B$2:$C$37,2,FALSE)</f>
        <v>#N/A</v>
      </c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</row>
    <row r="163" spans="1:25" x14ac:dyDescent="0.35">
      <c r="A163" s="19"/>
      <c r="B163" s="19"/>
      <c r="C163" s="19"/>
      <c r="D163" s="19"/>
      <c r="E163" s="19"/>
      <c r="F163" s="19"/>
      <c r="G163" s="19"/>
      <c r="H163" s="19"/>
      <c r="I163" s="19"/>
      <c r="J163" s="10" t="s">
        <v>12</v>
      </c>
      <c r="K163" s="10" t="s">
        <v>12</v>
      </c>
      <c r="L163" s="10" t="s">
        <v>12</v>
      </c>
      <c r="M163" s="10" t="s">
        <v>12</v>
      </c>
      <c r="N163" s="12" t="e">
        <f>VLOOKUP(J163,'Site Allocation'!$B$2:$C$37,2,FALSE)</f>
        <v>#N/A</v>
      </c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</row>
    <row r="164" spans="1:25" x14ac:dyDescent="0.35">
      <c r="A164" s="19"/>
      <c r="B164" s="19"/>
      <c r="C164" s="19"/>
      <c r="D164" s="19"/>
      <c r="E164" s="19"/>
      <c r="F164" s="19"/>
      <c r="G164" s="19"/>
      <c r="H164" s="19"/>
      <c r="I164" s="19"/>
      <c r="J164" s="10" t="s">
        <v>12</v>
      </c>
      <c r="K164" s="10" t="s">
        <v>12</v>
      </c>
      <c r="L164" s="10" t="s">
        <v>12</v>
      </c>
      <c r="M164" s="10" t="s">
        <v>12</v>
      </c>
      <c r="N164" s="12" t="e">
        <f>VLOOKUP(J164,'Site Allocation'!$B$2:$C$37,2,FALSE)</f>
        <v>#N/A</v>
      </c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</row>
    <row r="165" spans="1:25" x14ac:dyDescent="0.35">
      <c r="A165" s="19"/>
      <c r="B165" s="19"/>
      <c r="C165" s="19"/>
      <c r="D165" s="19"/>
      <c r="E165" s="19"/>
      <c r="F165" s="19"/>
      <c r="G165" s="19"/>
      <c r="H165" s="19"/>
      <c r="I165" s="19"/>
      <c r="J165" s="10" t="s">
        <v>12</v>
      </c>
      <c r="K165" s="10" t="s">
        <v>12</v>
      </c>
      <c r="L165" s="10" t="s">
        <v>12</v>
      </c>
      <c r="M165" s="10" t="s">
        <v>12</v>
      </c>
      <c r="N165" s="12" t="e">
        <f>VLOOKUP(J165,'Site Allocation'!$B$2:$C$37,2,FALSE)</f>
        <v>#N/A</v>
      </c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</row>
    <row r="166" spans="1:25" x14ac:dyDescent="0.35">
      <c r="A166" s="19"/>
      <c r="B166" s="19"/>
      <c r="C166" s="19"/>
      <c r="D166" s="19"/>
      <c r="E166" s="19"/>
      <c r="F166" s="19"/>
      <c r="G166" s="19"/>
      <c r="H166" s="19"/>
      <c r="I166" s="19"/>
      <c r="J166" s="10" t="s">
        <v>12</v>
      </c>
      <c r="K166" s="10" t="s">
        <v>12</v>
      </c>
      <c r="L166" s="10" t="s">
        <v>12</v>
      </c>
      <c r="M166" s="10" t="s">
        <v>12</v>
      </c>
      <c r="N166" s="12" t="e">
        <f>VLOOKUP(J166,'Site Allocation'!$B$2:$C$37,2,FALSE)</f>
        <v>#N/A</v>
      </c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</row>
    <row r="167" spans="1:25" x14ac:dyDescent="0.35">
      <c r="A167" s="19"/>
      <c r="B167" s="19"/>
      <c r="C167" s="19"/>
      <c r="D167" s="19"/>
      <c r="E167" s="19"/>
      <c r="F167" s="19"/>
      <c r="G167" s="19"/>
      <c r="H167" s="19"/>
      <c r="I167" s="19"/>
      <c r="J167" s="10" t="s">
        <v>12</v>
      </c>
      <c r="K167" s="10" t="s">
        <v>12</v>
      </c>
      <c r="L167" s="10" t="s">
        <v>12</v>
      </c>
      <c r="M167" s="10" t="s">
        <v>12</v>
      </c>
      <c r="N167" s="12" t="e">
        <f>VLOOKUP(J167,'Site Allocation'!$B$2:$C$37,2,FALSE)</f>
        <v>#N/A</v>
      </c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</row>
    <row r="168" spans="1:25" x14ac:dyDescent="0.35">
      <c r="A168" s="19"/>
      <c r="B168" s="19"/>
      <c r="C168" s="19"/>
      <c r="D168" s="19"/>
      <c r="E168" s="19"/>
      <c r="F168" s="19"/>
      <c r="G168" s="19"/>
      <c r="H168" s="19"/>
      <c r="I168" s="19"/>
      <c r="J168" s="10" t="s">
        <v>12</v>
      </c>
      <c r="K168" s="10" t="s">
        <v>12</v>
      </c>
      <c r="L168" s="10" t="s">
        <v>12</v>
      </c>
      <c r="M168" s="10" t="s">
        <v>12</v>
      </c>
      <c r="N168" s="12" t="e">
        <f>VLOOKUP(J168,'Site Allocation'!$B$2:$C$37,2,FALSE)</f>
        <v>#N/A</v>
      </c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</row>
    <row r="169" spans="1:25" x14ac:dyDescent="0.35">
      <c r="A169" s="19"/>
      <c r="B169" s="19"/>
      <c r="C169" s="19"/>
      <c r="D169" s="19"/>
      <c r="E169" s="19"/>
      <c r="F169" s="19"/>
      <c r="G169" s="19"/>
      <c r="H169" s="19"/>
      <c r="I169" s="19"/>
      <c r="J169" s="10" t="s">
        <v>12</v>
      </c>
      <c r="K169" s="10" t="s">
        <v>12</v>
      </c>
      <c r="L169" s="10" t="s">
        <v>12</v>
      </c>
      <c r="M169" s="10" t="s">
        <v>12</v>
      </c>
      <c r="N169" s="12" t="e">
        <f>VLOOKUP(J169,'Site Allocation'!$B$2:$C$37,2,FALSE)</f>
        <v>#N/A</v>
      </c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</row>
    <row r="170" spans="1:25" x14ac:dyDescent="0.35">
      <c r="A170" s="19"/>
      <c r="B170" s="19"/>
      <c r="C170" s="19"/>
      <c r="D170" s="19"/>
      <c r="E170" s="19"/>
      <c r="F170" s="19"/>
      <c r="G170" s="19"/>
      <c r="H170" s="19"/>
      <c r="I170" s="19"/>
      <c r="J170" s="10" t="s">
        <v>12</v>
      </c>
      <c r="K170" s="10" t="s">
        <v>12</v>
      </c>
      <c r="L170" s="10" t="s">
        <v>12</v>
      </c>
      <c r="M170" s="10" t="s">
        <v>12</v>
      </c>
      <c r="N170" s="12" t="e">
        <f>VLOOKUP(J170,'Site Allocation'!$B$2:$C$37,2,FALSE)</f>
        <v>#N/A</v>
      </c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</row>
    <row r="171" spans="1:25" x14ac:dyDescent="0.35">
      <c r="A171" s="19"/>
      <c r="B171" s="19"/>
      <c r="C171" s="19"/>
      <c r="D171" s="19"/>
      <c r="E171" s="19"/>
      <c r="F171" s="19"/>
      <c r="G171" s="19"/>
      <c r="H171" s="19"/>
      <c r="I171" s="19"/>
      <c r="J171" s="10" t="s">
        <v>12</v>
      </c>
      <c r="K171" s="10" t="s">
        <v>12</v>
      </c>
      <c r="L171" s="10" t="s">
        <v>12</v>
      </c>
      <c r="M171" s="10" t="s">
        <v>12</v>
      </c>
      <c r="N171" s="12" t="e">
        <f>VLOOKUP(J171,'Site Allocation'!$B$2:$C$37,2,FALSE)</f>
        <v>#N/A</v>
      </c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</row>
    <row r="172" spans="1:25" x14ac:dyDescent="0.35">
      <c r="A172" s="19"/>
      <c r="B172" s="19"/>
      <c r="C172" s="19"/>
      <c r="D172" s="19"/>
      <c r="E172" s="19"/>
      <c r="F172" s="19"/>
      <c r="G172" s="19"/>
      <c r="H172" s="19"/>
      <c r="I172" s="19"/>
      <c r="J172" s="10" t="s">
        <v>12</v>
      </c>
      <c r="K172" s="10" t="s">
        <v>12</v>
      </c>
      <c r="L172" s="10" t="s">
        <v>12</v>
      </c>
      <c r="M172" s="10" t="s">
        <v>12</v>
      </c>
      <c r="N172" s="12" t="e">
        <f>VLOOKUP(J172,'Site Allocation'!$B$2:$C$37,2,FALSE)</f>
        <v>#N/A</v>
      </c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</row>
    <row r="173" spans="1:25" x14ac:dyDescent="0.35">
      <c r="A173" s="19"/>
      <c r="B173" s="19"/>
      <c r="C173" s="19"/>
      <c r="D173" s="19"/>
      <c r="E173" s="19"/>
      <c r="F173" s="19"/>
      <c r="G173" s="19"/>
      <c r="H173" s="19"/>
      <c r="I173" s="19"/>
      <c r="J173" s="10" t="s">
        <v>12</v>
      </c>
      <c r="K173" s="10" t="s">
        <v>12</v>
      </c>
      <c r="L173" s="10" t="s">
        <v>12</v>
      </c>
      <c r="M173" s="10" t="s">
        <v>12</v>
      </c>
      <c r="N173" s="12" t="e">
        <f>VLOOKUP(J173,'Site Allocation'!$B$2:$C$37,2,FALSE)</f>
        <v>#N/A</v>
      </c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</row>
    <row r="174" spans="1:25" x14ac:dyDescent="0.35">
      <c r="A174" s="19"/>
      <c r="B174" s="19"/>
      <c r="C174" s="19"/>
      <c r="D174" s="19"/>
      <c r="E174" s="19"/>
      <c r="F174" s="19"/>
      <c r="G174" s="19"/>
      <c r="H174" s="19"/>
      <c r="I174" s="19"/>
      <c r="J174" s="10" t="s">
        <v>12</v>
      </c>
      <c r="K174" s="10" t="s">
        <v>12</v>
      </c>
      <c r="L174" s="10" t="s">
        <v>12</v>
      </c>
      <c r="M174" s="10" t="s">
        <v>12</v>
      </c>
      <c r="N174" s="12" t="e">
        <f>VLOOKUP(J174,'Site Allocation'!$B$2:$C$37,2,FALSE)</f>
        <v>#N/A</v>
      </c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</row>
    <row r="175" spans="1:25" x14ac:dyDescent="0.35">
      <c r="A175" s="19"/>
      <c r="B175" s="19"/>
      <c r="C175" s="19"/>
      <c r="D175" s="19"/>
      <c r="E175" s="19"/>
      <c r="F175" s="19"/>
      <c r="G175" s="19"/>
      <c r="H175" s="19"/>
      <c r="I175" s="19"/>
      <c r="J175" s="10" t="s">
        <v>12</v>
      </c>
      <c r="K175" s="10" t="s">
        <v>12</v>
      </c>
      <c r="L175" s="10" t="s">
        <v>12</v>
      </c>
      <c r="M175" s="10" t="s">
        <v>12</v>
      </c>
      <c r="N175" s="12" t="e">
        <f>VLOOKUP(J175,'Site Allocation'!$B$2:$C$37,2,FALSE)</f>
        <v>#N/A</v>
      </c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</row>
    <row r="176" spans="1:25" x14ac:dyDescent="0.35">
      <c r="A176" s="19"/>
      <c r="B176" s="19"/>
      <c r="C176" s="19"/>
      <c r="D176" s="19"/>
      <c r="E176" s="19"/>
      <c r="F176" s="19"/>
      <c r="G176" s="19"/>
      <c r="H176" s="19"/>
      <c r="I176" s="19"/>
      <c r="J176" s="10" t="s">
        <v>12</v>
      </c>
      <c r="K176" s="10" t="s">
        <v>12</v>
      </c>
      <c r="L176" s="10" t="s">
        <v>12</v>
      </c>
      <c r="M176" s="10" t="s">
        <v>12</v>
      </c>
      <c r="N176" s="12" t="e">
        <f>VLOOKUP(J176,'Site Allocation'!$B$2:$C$37,2,FALSE)</f>
        <v>#N/A</v>
      </c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</row>
    <row r="177" spans="1:25" x14ac:dyDescent="0.35">
      <c r="A177" s="19"/>
      <c r="B177" s="19"/>
      <c r="C177" s="19"/>
      <c r="D177" s="19"/>
      <c r="E177" s="19"/>
      <c r="F177" s="19"/>
      <c r="G177" s="19"/>
      <c r="H177" s="19"/>
      <c r="I177" s="19"/>
      <c r="J177" s="10" t="s">
        <v>12</v>
      </c>
      <c r="K177" s="10" t="s">
        <v>12</v>
      </c>
      <c r="L177" s="10" t="s">
        <v>12</v>
      </c>
      <c r="M177" s="10" t="s">
        <v>12</v>
      </c>
      <c r="N177" s="12" t="e">
        <f>VLOOKUP(J177,'Site Allocation'!$B$2:$C$37,2,FALSE)</f>
        <v>#N/A</v>
      </c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</row>
    <row r="178" spans="1:25" x14ac:dyDescent="0.35">
      <c r="A178" s="19"/>
      <c r="B178" s="19"/>
      <c r="C178" s="19"/>
      <c r="D178" s="19"/>
      <c r="E178" s="19"/>
      <c r="F178" s="19"/>
      <c r="G178" s="19"/>
      <c r="H178" s="19"/>
      <c r="I178" s="19"/>
      <c r="J178" s="10" t="s">
        <v>12</v>
      </c>
      <c r="K178" s="10" t="s">
        <v>12</v>
      </c>
      <c r="L178" s="10" t="s">
        <v>12</v>
      </c>
      <c r="M178" s="10" t="s">
        <v>12</v>
      </c>
      <c r="N178" s="12" t="e">
        <f>VLOOKUP(J178,'Site Allocation'!$B$2:$C$37,2,FALSE)</f>
        <v>#N/A</v>
      </c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</row>
    <row r="179" spans="1:25" x14ac:dyDescent="0.35">
      <c r="A179" s="19"/>
      <c r="B179" s="19"/>
      <c r="C179" s="19"/>
      <c r="D179" s="19"/>
      <c r="E179" s="19"/>
      <c r="F179" s="19"/>
      <c r="G179" s="19"/>
      <c r="H179" s="19"/>
      <c r="I179" s="19"/>
      <c r="J179" s="10" t="s">
        <v>12</v>
      </c>
      <c r="K179" s="10" t="s">
        <v>12</v>
      </c>
      <c r="L179" s="10" t="s">
        <v>12</v>
      </c>
      <c r="M179" s="10" t="s">
        <v>12</v>
      </c>
      <c r="N179" s="12" t="e">
        <f>VLOOKUP(J179,'Site Allocation'!$B$2:$C$37,2,FALSE)</f>
        <v>#N/A</v>
      </c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</row>
    <row r="180" spans="1:25" x14ac:dyDescent="0.35">
      <c r="A180" s="19"/>
      <c r="B180" s="19"/>
      <c r="C180" s="19"/>
      <c r="D180" s="19"/>
      <c r="E180" s="19"/>
      <c r="F180" s="19"/>
      <c r="G180" s="19"/>
      <c r="H180" s="19"/>
      <c r="I180" s="19"/>
      <c r="J180" s="10" t="s">
        <v>12</v>
      </c>
      <c r="K180" s="10" t="s">
        <v>12</v>
      </c>
      <c r="L180" s="10" t="s">
        <v>12</v>
      </c>
      <c r="M180" s="10" t="s">
        <v>12</v>
      </c>
      <c r="N180" s="12" t="e">
        <f>VLOOKUP(J180,'Site Allocation'!$B$2:$C$37,2,FALSE)</f>
        <v>#N/A</v>
      </c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</row>
    <row r="181" spans="1:25" x14ac:dyDescent="0.35">
      <c r="A181" s="19"/>
      <c r="B181" s="19"/>
      <c r="C181" s="19"/>
      <c r="D181" s="19"/>
      <c r="E181" s="19"/>
      <c r="F181" s="19"/>
      <c r="G181" s="19"/>
      <c r="H181" s="19"/>
      <c r="I181" s="19"/>
      <c r="J181" s="10" t="s">
        <v>12</v>
      </c>
      <c r="K181" s="10" t="s">
        <v>12</v>
      </c>
      <c r="L181" s="10" t="s">
        <v>12</v>
      </c>
      <c r="M181" s="10" t="s">
        <v>12</v>
      </c>
      <c r="N181" s="12" t="e">
        <f>VLOOKUP(J181,'Site Allocation'!$B$2:$C$37,2,FALSE)</f>
        <v>#N/A</v>
      </c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</row>
    <row r="182" spans="1:25" x14ac:dyDescent="0.35">
      <c r="A182" s="19"/>
      <c r="B182" s="19"/>
      <c r="C182" s="19"/>
      <c r="D182" s="19"/>
      <c r="E182" s="19"/>
      <c r="F182" s="19"/>
      <c r="G182" s="19"/>
      <c r="H182" s="19"/>
      <c r="I182" s="19"/>
      <c r="J182" s="10" t="s">
        <v>12</v>
      </c>
      <c r="K182" s="10" t="s">
        <v>12</v>
      </c>
      <c r="L182" s="10" t="s">
        <v>12</v>
      </c>
      <c r="M182" s="10" t="s">
        <v>12</v>
      </c>
      <c r="N182" s="12" t="e">
        <f>VLOOKUP(J182,'Site Allocation'!$B$2:$C$37,2,FALSE)</f>
        <v>#N/A</v>
      </c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</row>
    <row r="183" spans="1:25" x14ac:dyDescent="0.35">
      <c r="A183" s="19"/>
      <c r="B183" s="19"/>
      <c r="C183" s="19"/>
      <c r="D183" s="19"/>
      <c r="E183" s="19"/>
      <c r="F183" s="19"/>
      <c r="G183" s="19"/>
      <c r="H183" s="19"/>
      <c r="I183" s="19"/>
      <c r="J183" s="10" t="s">
        <v>12</v>
      </c>
      <c r="K183" s="10" t="s">
        <v>12</v>
      </c>
      <c r="L183" s="10" t="s">
        <v>12</v>
      </c>
      <c r="M183" s="10" t="s">
        <v>12</v>
      </c>
      <c r="N183" s="12" t="e">
        <f>VLOOKUP(J183,'Site Allocation'!$B$2:$C$37,2,FALSE)</f>
        <v>#N/A</v>
      </c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</row>
    <row r="184" spans="1:25" x14ac:dyDescent="0.35">
      <c r="A184" s="19"/>
      <c r="B184" s="19"/>
      <c r="C184" s="19"/>
      <c r="D184" s="19"/>
      <c r="E184" s="19"/>
      <c r="F184" s="19"/>
      <c r="G184" s="19"/>
      <c r="H184" s="19"/>
      <c r="I184" s="19"/>
      <c r="J184" s="10" t="s">
        <v>12</v>
      </c>
      <c r="K184" s="10" t="s">
        <v>12</v>
      </c>
      <c r="L184" s="10" t="s">
        <v>12</v>
      </c>
      <c r="M184" s="10" t="s">
        <v>12</v>
      </c>
      <c r="N184" s="12" t="e">
        <f>VLOOKUP(J184,'Site Allocation'!$B$2:$C$37,2,FALSE)</f>
        <v>#N/A</v>
      </c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</row>
    <row r="185" spans="1:25" x14ac:dyDescent="0.35">
      <c r="A185" s="19"/>
      <c r="B185" s="19"/>
      <c r="C185" s="19"/>
      <c r="D185" s="19"/>
      <c r="E185" s="19"/>
      <c r="F185" s="19"/>
      <c r="G185" s="19"/>
      <c r="H185" s="19"/>
      <c r="I185" s="19"/>
      <c r="J185" s="10" t="s">
        <v>12</v>
      </c>
      <c r="K185" s="10" t="s">
        <v>12</v>
      </c>
      <c r="L185" s="10" t="s">
        <v>12</v>
      </c>
      <c r="M185" s="10" t="s">
        <v>12</v>
      </c>
      <c r="N185" s="12" t="e">
        <f>VLOOKUP(J185,'Site Allocation'!$B$2:$C$37,2,FALSE)</f>
        <v>#N/A</v>
      </c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</row>
    <row r="186" spans="1:25" x14ac:dyDescent="0.35">
      <c r="A186" s="19"/>
      <c r="B186" s="19"/>
      <c r="C186" s="19"/>
      <c r="D186" s="19"/>
      <c r="E186" s="19"/>
      <c r="F186" s="19"/>
      <c r="G186" s="19"/>
      <c r="H186" s="19"/>
      <c r="I186" s="19"/>
      <c r="J186" s="10" t="s">
        <v>12</v>
      </c>
      <c r="K186" s="10" t="s">
        <v>12</v>
      </c>
      <c r="L186" s="10" t="s">
        <v>12</v>
      </c>
      <c r="M186" s="10" t="s">
        <v>12</v>
      </c>
      <c r="N186" s="12" t="e">
        <f>VLOOKUP(J186,'Site Allocation'!$B$2:$C$37,2,FALSE)</f>
        <v>#N/A</v>
      </c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</row>
    <row r="187" spans="1:25" x14ac:dyDescent="0.35">
      <c r="A187" s="19"/>
      <c r="B187" s="19"/>
      <c r="C187" s="19"/>
      <c r="D187" s="19"/>
      <c r="E187" s="19"/>
      <c r="F187" s="19"/>
      <c r="G187" s="19"/>
      <c r="H187" s="19"/>
      <c r="I187" s="19"/>
      <c r="J187" s="10" t="s">
        <v>12</v>
      </c>
      <c r="K187" s="10" t="s">
        <v>12</v>
      </c>
      <c r="L187" s="10" t="s">
        <v>12</v>
      </c>
      <c r="M187" s="10" t="s">
        <v>12</v>
      </c>
      <c r="N187" s="12" t="e">
        <f>VLOOKUP(J187,'Site Allocation'!$B$2:$C$37,2,FALSE)</f>
        <v>#N/A</v>
      </c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</row>
    <row r="188" spans="1:25" x14ac:dyDescent="0.35">
      <c r="A188" s="19"/>
      <c r="B188" s="19"/>
      <c r="C188" s="19"/>
      <c r="D188" s="19"/>
      <c r="E188" s="19"/>
      <c r="F188" s="19"/>
      <c r="G188" s="19"/>
      <c r="H188" s="19"/>
      <c r="I188" s="19"/>
      <c r="J188" s="10" t="s">
        <v>12</v>
      </c>
      <c r="K188" s="10" t="s">
        <v>12</v>
      </c>
      <c r="L188" s="10" t="s">
        <v>12</v>
      </c>
      <c r="M188" s="10" t="s">
        <v>12</v>
      </c>
      <c r="N188" s="12" t="e">
        <f>VLOOKUP(J188,'Site Allocation'!$B$2:$C$37,2,FALSE)</f>
        <v>#N/A</v>
      </c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</row>
    <row r="189" spans="1:25" x14ac:dyDescent="0.35">
      <c r="A189" s="19"/>
      <c r="B189" s="19"/>
      <c r="C189" s="19"/>
      <c r="D189" s="19"/>
      <c r="E189" s="19"/>
      <c r="F189" s="19"/>
      <c r="G189" s="19"/>
      <c r="H189" s="19"/>
      <c r="I189" s="19"/>
      <c r="J189" s="10" t="s">
        <v>12</v>
      </c>
      <c r="K189" s="10" t="s">
        <v>12</v>
      </c>
      <c r="L189" s="10" t="s">
        <v>12</v>
      </c>
      <c r="M189" s="10" t="s">
        <v>12</v>
      </c>
      <c r="N189" s="12" t="e">
        <f>VLOOKUP(J189,'Site Allocation'!$B$2:$C$37,2,FALSE)</f>
        <v>#N/A</v>
      </c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</row>
    <row r="190" spans="1:25" x14ac:dyDescent="0.35">
      <c r="A190" s="19"/>
      <c r="B190" s="19"/>
      <c r="C190" s="19"/>
      <c r="D190" s="19"/>
      <c r="E190" s="19"/>
      <c r="F190" s="19"/>
      <c r="G190" s="19"/>
      <c r="H190" s="19"/>
      <c r="I190" s="19"/>
      <c r="J190" s="10" t="s">
        <v>12</v>
      </c>
      <c r="K190" s="10" t="s">
        <v>12</v>
      </c>
      <c r="L190" s="10" t="s">
        <v>12</v>
      </c>
      <c r="M190" s="10" t="s">
        <v>12</v>
      </c>
      <c r="N190" s="12" t="e">
        <f>VLOOKUP(J190,'Site Allocation'!$B$2:$C$37,2,FALSE)</f>
        <v>#N/A</v>
      </c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</row>
    <row r="191" spans="1:25" x14ac:dyDescent="0.35">
      <c r="A191" s="19"/>
      <c r="B191" s="19"/>
      <c r="C191" s="19"/>
      <c r="D191" s="19"/>
      <c r="E191" s="19"/>
      <c r="F191" s="19"/>
      <c r="G191" s="19"/>
      <c r="H191" s="19"/>
      <c r="I191" s="19"/>
      <c r="J191" s="10" t="s">
        <v>12</v>
      </c>
      <c r="K191" s="10" t="s">
        <v>12</v>
      </c>
      <c r="L191" s="10" t="s">
        <v>12</v>
      </c>
      <c r="M191" s="10" t="s">
        <v>12</v>
      </c>
      <c r="N191" s="12" t="e">
        <f>VLOOKUP(J191,'Site Allocation'!$B$2:$C$37,2,FALSE)</f>
        <v>#N/A</v>
      </c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</row>
    <row r="192" spans="1:25" x14ac:dyDescent="0.35">
      <c r="A192" s="19"/>
      <c r="B192" s="19"/>
      <c r="C192" s="19"/>
      <c r="D192" s="19"/>
      <c r="E192" s="19"/>
      <c r="F192" s="19"/>
      <c r="G192" s="19"/>
      <c r="H192" s="19"/>
      <c r="I192" s="19"/>
      <c r="J192" s="10" t="s">
        <v>12</v>
      </c>
      <c r="K192" s="10" t="s">
        <v>12</v>
      </c>
      <c r="L192" s="10" t="s">
        <v>12</v>
      </c>
      <c r="M192" s="10" t="s">
        <v>12</v>
      </c>
      <c r="N192" s="12" t="e">
        <f>VLOOKUP(J192,'Site Allocation'!$B$2:$C$37,2,FALSE)</f>
        <v>#N/A</v>
      </c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</row>
    <row r="193" spans="1:25" x14ac:dyDescent="0.35">
      <c r="A193" s="19"/>
      <c r="B193" s="19"/>
      <c r="C193" s="19"/>
      <c r="D193" s="19"/>
      <c r="E193" s="19"/>
      <c r="F193" s="19"/>
      <c r="G193" s="19"/>
      <c r="H193" s="19"/>
      <c r="I193" s="19"/>
      <c r="J193" s="10" t="s">
        <v>12</v>
      </c>
      <c r="K193" s="10" t="s">
        <v>12</v>
      </c>
      <c r="L193" s="10" t="s">
        <v>12</v>
      </c>
      <c r="M193" s="10" t="s">
        <v>12</v>
      </c>
      <c r="N193" s="12" t="e">
        <f>VLOOKUP(J193,'Site Allocation'!$B$2:$C$37,2,FALSE)</f>
        <v>#N/A</v>
      </c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</row>
    <row r="194" spans="1:25" x14ac:dyDescent="0.35">
      <c r="A194" s="19"/>
      <c r="B194" s="19"/>
      <c r="C194" s="19"/>
      <c r="D194" s="19"/>
      <c r="E194" s="19"/>
      <c r="F194" s="19"/>
      <c r="G194" s="19"/>
      <c r="H194" s="19"/>
      <c r="I194" s="19"/>
      <c r="J194" s="10" t="s">
        <v>12</v>
      </c>
      <c r="K194" s="10" t="s">
        <v>12</v>
      </c>
      <c r="L194" s="10" t="s">
        <v>12</v>
      </c>
      <c r="M194" s="10" t="s">
        <v>12</v>
      </c>
      <c r="N194" s="12" t="e">
        <f>VLOOKUP(J194,'Site Allocation'!$B$2:$C$37,2,FALSE)</f>
        <v>#N/A</v>
      </c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</row>
    <row r="195" spans="1:25" x14ac:dyDescent="0.35">
      <c r="A195" s="19"/>
      <c r="B195" s="19"/>
      <c r="C195" s="19"/>
      <c r="D195" s="19"/>
      <c r="E195" s="19"/>
      <c r="F195" s="19"/>
      <c r="G195" s="19"/>
      <c r="H195" s="19"/>
      <c r="I195" s="19"/>
      <c r="J195" s="10" t="s">
        <v>12</v>
      </c>
      <c r="K195" s="10" t="s">
        <v>12</v>
      </c>
      <c r="L195" s="10" t="s">
        <v>12</v>
      </c>
      <c r="M195" s="10" t="s">
        <v>12</v>
      </c>
      <c r="N195" s="12" t="e">
        <f>VLOOKUP(J195,'Site Allocation'!$B$2:$C$37,2,FALSE)</f>
        <v>#N/A</v>
      </c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</row>
    <row r="196" spans="1:25" x14ac:dyDescent="0.35">
      <c r="A196" s="19"/>
      <c r="B196" s="19"/>
      <c r="C196" s="19"/>
      <c r="D196" s="19"/>
      <c r="E196" s="19"/>
      <c r="F196" s="19"/>
      <c r="G196" s="19"/>
      <c r="H196" s="19"/>
      <c r="I196" s="19"/>
      <c r="J196" s="10" t="s">
        <v>12</v>
      </c>
      <c r="K196" s="10" t="s">
        <v>12</v>
      </c>
      <c r="L196" s="10" t="s">
        <v>12</v>
      </c>
      <c r="M196" s="10" t="s">
        <v>12</v>
      </c>
      <c r="N196" s="12" t="e">
        <f>VLOOKUP(J196,'Site Allocation'!$B$2:$C$37,2,FALSE)</f>
        <v>#N/A</v>
      </c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</row>
    <row r="197" spans="1:25" x14ac:dyDescent="0.35">
      <c r="A197" s="19"/>
      <c r="B197" s="19"/>
      <c r="C197" s="19"/>
      <c r="D197" s="19"/>
      <c r="E197" s="19"/>
      <c r="F197" s="19"/>
      <c r="G197" s="19"/>
      <c r="H197" s="19"/>
      <c r="I197" s="19"/>
      <c r="J197" s="10" t="s">
        <v>12</v>
      </c>
      <c r="K197" s="10" t="s">
        <v>12</v>
      </c>
      <c r="L197" s="10" t="s">
        <v>12</v>
      </c>
      <c r="M197" s="10" t="s">
        <v>12</v>
      </c>
      <c r="N197" s="12" t="e">
        <f>VLOOKUP(J197,'Site Allocation'!$B$2:$C$37,2,FALSE)</f>
        <v>#N/A</v>
      </c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</row>
    <row r="198" spans="1:25" x14ac:dyDescent="0.35">
      <c r="A198" s="19"/>
      <c r="B198" s="19"/>
      <c r="C198" s="19"/>
      <c r="D198" s="19"/>
      <c r="E198" s="19"/>
      <c r="F198" s="19"/>
      <c r="G198" s="19"/>
      <c r="H198" s="19"/>
      <c r="I198" s="19"/>
      <c r="J198" s="10" t="s">
        <v>12</v>
      </c>
      <c r="K198" s="10" t="s">
        <v>12</v>
      </c>
      <c r="L198" s="10" t="s">
        <v>12</v>
      </c>
      <c r="M198" s="10" t="s">
        <v>12</v>
      </c>
      <c r="N198" s="12" t="e">
        <f>VLOOKUP(J198,'Site Allocation'!$B$2:$C$37,2,FALSE)</f>
        <v>#N/A</v>
      </c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</row>
    <row r="199" spans="1:25" x14ac:dyDescent="0.35">
      <c r="A199" s="19"/>
      <c r="B199" s="19"/>
      <c r="C199" s="19"/>
      <c r="D199" s="19"/>
      <c r="E199" s="19"/>
      <c r="F199" s="19"/>
      <c r="G199" s="19"/>
      <c r="H199" s="19"/>
      <c r="I199" s="19"/>
      <c r="J199" s="10" t="s">
        <v>12</v>
      </c>
      <c r="K199" s="10" t="s">
        <v>12</v>
      </c>
      <c r="L199" s="10" t="s">
        <v>12</v>
      </c>
      <c r="M199" s="10" t="s">
        <v>12</v>
      </c>
      <c r="N199" s="12" t="e">
        <f>VLOOKUP(J199,'Site Allocation'!$B$2:$C$37,2,FALSE)</f>
        <v>#N/A</v>
      </c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</row>
    <row r="200" spans="1:25" x14ac:dyDescent="0.35">
      <c r="A200" s="19"/>
      <c r="B200" s="19"/>
      <c r="C200" s="19"/>
      <c r="D200" s="19"/>
      <c r="E200" s="19"/>
      <c r="F200" s="19"/>
      <c r="G200" s="19"/>
      <c r="H200" s="19"/>
      <c r="I200" s="19"/>
      <c r="J200" s="10" t="s">
        <v>12</v>
      </c>
      <c r="K200" s="10" t="s">
        <v>12</v>
      </c>
      <c r="L200" s="10" t="s">
        <v>12</v>
      </c>
      <c r="M200" s="10" t="s">
        <v>12</v>
      </c>
      <c r="N200" s="12" t="e">
        <f>VLOOKUP(J200,'Site Allocation'!$B$2:$C$37,2,FALSE)</f>
        <v>#N/A</v>
      </c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</row>
    <row r="201" spans="1:25" x14ac:dyDescent="0.35">
      <c r="A201" s="19"/>
      <c r="B201" s="19"/>
      <c r="C201" s="19"/>
      <c r="D201" s="19"/>
      <c r="E201" s="19"/>
      <c r="F201" s="19"/>
      <c r="G201" s="19"/>
      <c r="H201" s="19"/>
      <c r="I201" s="19"/>
      <c r="J201" s="10" t="s">
        <v>12</v>
      </c>
      <c r="K201" s="10" t="s">
        <v>12</v>
      </c>
      <c r="L201" s="10" t="s">
        <v>12</v>
      </c>
      <c r="M201" s="10" t="s">
        <v>12</v>
      </c>
      <c r="N201" s="12" t="e">
        <f>VLOOKUP(J201,'Site Allocation'!$B$2:$C$37,2,FALSE)</f>
        <v>#N/A</v>
      </c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</row>
    <row r="202" spans="1:25" x14ac:dyDescent="0.35">
      <c r="A202" s="19"/>
      <c r="B202" s="19"/>
      <c r="C202" s="19"/>
      <c r="D202" s="19"/>
      <c r="E202" s="19"/>
      <c r="F202" s="19"/>
      <c r="G202" s="19"/>
      <c r="H202" s="19"/>
      <c r="I202" s="19"/>
      <c r="J202" s="10" t="s">
        <v>12</v>
      </c>
      <c r="K202" s="10" t="s">
        <v>12</v>
      </c>
      <c r="L202" s="10" t="s">
        <v>12</v>
      </c>
      <c r="M202" s="10" t="s">
        <v>12</v>
      </c>
      <c r="N202" s="12" t="e">
        <f>VLOOKUP(J202,'Site Allocation'!$B$2:$C$37,2,FALSE)</f>
        <v>#N/A</v>
      </c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</row>
    <row r="203" spans="1:25" x14ac:dyDescent="0.35">
      <c r="A203" s="19"/>
      <c r="B203" s="19"/>
      <c r="C203" s="19"/>
      <c r="D203" s="19"/>
      <c r="E203" s="19"/>
      <c r="F203" s="19"/>
      <c r="G203" s="19"/>
      <c r="H203" s="19"/>
      <c r="I203" s="19"/>
      <c r="J203" s="10" t="s">
        <v>12</v>
      </c>
      <c r="K203" s="10" t="s">
        <v>12</v>
      </c>
      <c r="L203" s="10" t="s">
        <v>12</v>
      </c>
      <c r="M203" s="10" t="s">
        <v>12</v>
      </c>
      <c r="N203" s="12" t="e">
        <f>VLOOKUP(J203,'Site Allocation'!$B$2:$C$37,2,FALSE)</f>
        <v>#N/A</v>
      </c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</row>
    <row r="204" spans="1:25" x14ac:dyDescent="0.35">
      <c r="A204" s="19"/>
      <c r="B204" s="19"/>
      <c r="C204" s="19"/>
      <c r="D204" s="19"/>
      <c r="E204" s="19"/>
      <c r="F204" s="19"/>
      <c r="G204" s="19"/>
      <c r="H204" s="19"/>
      <c r="I204" s="19"/>
      <c r="J204" s="10" t="s">
        <v>12</v>
      </c>
      <c r="K204" s="10" t="s">
        <v>12</v>
      </c>
      <c r="L204" s="10" t="s">
        <v>12</v>
      </c>
      <c r="M204" s="10" t="s">
        <v>12</v>
      </c>
      <c r="N204" s="12" t="e">
        <f>VLOOKUP(J204,'Site Allocation'!$B$2:$C$37,2,FALSE)</f>
        <v>#N/A</v>
      </c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</row>
    <row r="205" spans="1:25" x14ac:dyDescent="0.35">
      <c r="A205" s="19"/>
      <c r="B205" s="19"/>
      <c r="C205" s="19"/>
      <c r="D205" s="19"/>
      <c r="E205" s="19"/>
      <c r="F205" s="19"/>
      <c r="G205" s="19"/>
      <c r="H205" s="19"/>
      <c r="I205" s="19"/>
      <c r="J205" s="10" t="s">
        <v>12</v>
      </c>
      <c r="K205" s="10" t="s">
        <v>12</v>
      </c>
      <c r="L205" s="10" t="s">
        <v>12</v>
      </c>
      <c r="M205" s="10" t="s">
        <v>12</v>
      </c>
      <c r="N205" s="12" t="e">
        <f>VLOOKUP(J205,'Site Allocation'!$B$2:$C$37,2,FALSE)</f>
        <v>#N/A</v>
      </c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</row>
    <row r="206" spans="1:25" x14ac:dyDescent="0.35">
      <c r="A206" s="19"/>
      <c r="B206" s="19"/>
      <c r="C206" s="19"/>
      <c r="D206" s="19"/>
      <c r="E206" s="19"/>
      <c r="F206" s="19"/>
      <c r="G206" s="19"/>
      <c r="H206" s="19"/>
      <c r="I206" s="19"/>
      <c r="J206" s="10" t="s">
        <v>12</v>
      </c>
      <c r="K206" s="10" t="s">
        <v>12</v>
      </c>
      <c r="L206" s="10" t="s">
        <v>12</v>
      </c>
      <c r="M206" s="10" t="s">
        <v>12</v>
      </c>
      <c r="N206" s="12" t="e">
        <f>VLOOKUP(J206,'Site Allocation'!$B$2:$C$37,2,FALSE)</f>
        <v>#N/A</v>
      </c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</row>
    <row r="207" spans="1:25" x14ac:dyDescent="0.35">
      <c r="A207" s="19"/>
      <c r="B207" s="19"/>
      <c r="C207" s="19"/>
      <c r="D207" s="19"/>
      <c r="E207" s="19"/>
      <c r="F207" s="19"/>
      <c r="G207" s="19"/>
      <c r="H207" s="19"/>
      <c r="I207" s="19"/>
      <c r="J207" s="10" t="s">
        <v>12</v>
      </c>
      <c r="K207" s="10" t="s">
        <v>12</v>
      </c>
      <c r="L207" s="10" t="s">
        <v>12</v>
      </c>
      <c r="M207" s="10" t="s">
        <v>12</v>
      </c>
      <c r="N207" s="12" t="e">
        <f>VLOOKUP(J207,'Site Allocation'!$B$2:$C$37,2,FALSE)</f>
        <v>#N/A</v>
      </c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</row>
    <row r="208" spans="1:25" x14ac:dyDescent="0.35">
      <c r="A208" s="19"/>
      <c r="B208" s="19"/>
      <c r="C208" s="19"/>
      <c r="D208" s="19"/>
      <c r="E208" s="19"/>
      <c r="F208" s="19"/>
      <c r="G208" s="19"/>
      <c r="H208" s="19"/>
      <c r="I208" s="19"/>
      <c r="J208" s="10" t="s">
        <v>12</v>
      </c>
      <c r="K208" s="10" t="s">
        <v>12</v>
      </c>
      <c r="L208" s="10" t="s">
        <v>12</v>
      </c>
      <c r="M208" s="10" t="s">
        <v>12</v>
      </c>
      <c r="N208" s="12" t="e">
        <f>VLOOKUP(J208,'Site Allocation'!$B$2:$C$37,2,FALSE)</f>
        <v>#N/A</v>
      </c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</row>
    <row r="209" spans="1:25" x14ac:dyDescent="0.35">
      <c r="A209" s="19"/>
      <c r="B209" s="19"/>
      <c r="C209" s="19"/>
      <c r="D209" s="19"/>
      <c r="E209" s="19"/>
      <c r="F209" s="19"/>
      <c r="G209" s="19"/>
      <c r="H209" s="19"/>
      <c r="I209" s="19"/>
      <c r="J209" s="10" t="s">
        <v>12</v>
      </c>
      <c r="K209" s="10" t="s">
        <v>12</v>
      </c>
      <c r="L209" s="10" t="s">
        <v>12</v>
      </c>
      <c r="M209" s="10" t="s">
        <v>12</v>
      </c>
      <c r="N209" s="12" t="e">
        <f>VLOOKUP(J209,'Site Allocation'!$B$2:$C$37,2,FALSE)</f>
        <v>#N/A</v>
      </c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</row>
    <row r="210" spans="1:25" x14ac:dyDescent="0.35">
      <c r="A210" s="19"/>
      <c r="B210" s="19"/>
      <c r="C210" s="19"/>
      <c r="D210" s="19"/>
      <c r="E210" s="19"/>
      <c r="F210" s="19"/>
      <c r="G210" s="19"/>
      <c r="H210" s="19"/>
      <c r="I210" s="19"/>
      <c r="J210" s="10" t="s">
        <v>12</v>
      </c>
      <c r="K210" s="10" t="s">
        <v>12</v>
      </c>
      <c r="L210" s="10" t="s">
        <v>12</v>
      </c>
      <c r="M210" s="10" t="s">
        <v>12</v>
      </c>
      <c r="N210" s="12" t="e">
        <f>VLOOKUP(J210,'Site Allocation'!$B$2:$C$37,2,FALSE)</f>
        <v>#N/A</v>
      </c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</row>
    <row r="211" spans="1:25" x14ac:dyDescent="0.35">
      <c r="A211" s="19"/>
      <c r="B211" s="19"/>
      <c r="C211" s="19"/>
      <c r="D211" s="19"/>
      <c r="E211" s="19"/>
      <c r="F211" s="19"/>
      <c r="G211" s="19"/>
      <c r="H211" s="19"/>
      <c r="I211" s="19"/>
      <c r="J211" s="10" t="s">
        <v>12</v>
      </c>
      <c r="K211" s="10" t="s">
        <v>12</v>
      </c>
      <c r="L211" s="10" t="s">
        <v>12</v>
      </c>
      <c r="M211" s="10" t="s">
        <v>12</v>
      </c>
      <c r="N211" s="12" t="e">
        <f>VLOOKUP(J211,'Site Allocation'!$B$2:$C$37,2,FALSE)</f>
        <v>#N/A</v>
      </c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</row>
    <row r="212" spans="1:25" x14ac:dyDescent="0.35">
      <c r="A212" s="19"/>
      <c r="B212" s="19"/>
      <c r="C212" s="19"/>
      <c r="D212" s="19"/>
      <c r="E212" s="19"/>
      <c r="F212" s="19"/>
      <c r="G212" s="19"/>
      <c r="H212" s="19"/>
      <c r="I212" s="19"/>
      <c r="J212" s="10" t="s">
        <v>12</v>
      </c>
      <c r="K212" s="10" t="s">
        <v>12</v>
      </c>
      <c r="L212" s="10" t="s">
        <v>12</v>
      </c>
      <c r="M212" s="10" t="s">
        <v>12</v>
      </c>
      <c r="N212" s="12" t="e">
        <f>VLOOKUP(J212,'Site Allocation'!$B$2:$C$37,2,FALSE)</f>
        <v>#N/A</v>
      </c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</row>
    <row r="213" spans="1:25" x14ac:dyDescent="0.35">
      <c r="A213" s="19"/>
      <c r="B213" s="19"/>
      <c r="C213" s="19"/>
      <c r="D213" s="19"/>
      <c r="E213" s="19"/>
      <c r="F213" s="19"/>
      <c r="G213" s="19"/>
      <c r="H213" s="19"/>
      <c r="I213" s="19"/>
      <c r="J213" s="10" t="s">
        <v>12</v>
      </c>
      <c r="K213" s="10" t="s">
        <v>12</v>
      </c>
      <c r="L213" s="10" t="s">
        <v>12</v>
      </c>
      <c r="M213" s="10" t="s">
        <v>12</v>
      </c>
      <c r="N213" s="12" t="e">
        <f>VLOOKUP(J213,'Site Allocation'!$B$2:$C$37,2,FALSE)</f>
        <v>#N/A</v>
      </c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</row>
    <row r="214" spans="1:25" x14ac:dyDescent="0.35">
      <c r="A214" s="19"/>
      <c r="B214" s="19"/>
      <c r="C214" s="19"/>
      <c r="D214" s="19"/>
      <c r="E214" s="19"/>
      <c r="F214" s="19"/>
      <c r="G214" s="19"/>
      <c r="H214" s="19"/>
      <c r="I214" s="19"/>
      <c r="J214" s="10" t="s">
        <v>12</v>
      </c>
      <c r="K214" s="10" t="s">
        <v>12</v>
      </c>
      <c r="L214" s="10" t="s">
        <v>12</v>
      </c>
      <c r="M214" s="10" t="s">
        <v>12</v>
      </c>
      <c r="N214" s="12" t="e">
        <f>VLOOKUP(J214,'Site Allocation'!$B$2:$C$37,2,FALSE)</f>
        <v>#N/A</v>
      </c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</row>
    <row r="215" spans="1:25" x14ac:dyDescent="0.35">
      <c r="A215" s="19"/>
      <c r="B215" s="19"/>
      <c r="C215" s="19"/>
      <c r="D215" s="19"/>
      <c r="E215" s="19"/>
      <c r="F215" s="19"/>
      <c r="G215" s="19"/>
      <c r="H215" s="19"/>
      <c r="I215" s="19"/>
      <c r="J215" s="10" t="s">
        <v>12</v>
      </c>
      <c r="K215" s="10" t="s">
        <v>12</v>
      </c>
      <c r="L215" s="10" t="s">
        <v>12</v>
      </c>
      <c r="M215" s="10" t="s">
        <v>12</v>
      </c>
      <c r="N215" s="12" t="e">
        <f>VLOOKUP(J215,'Site Allocation'!$B$2:$C$37,2,FALSE)</f>
        <v>#N/A</v>
      </c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</row>
    <row r="216" spans="1:25" x14ac:dyDescent="0.35">
      <c r="A216" s="19"/>
      <c r="B216" s="19"/>
      <c r="C216" s="19"/>
      <c r="D216" s="19"/>
      <c r="E216" s="19"/>
      <c r="F216" s="19"/>
      <c r="G216" s="19"/>
      <c r="H216" s="19"/>
      <c r="I216" s="19"/>
      <c r="J216" s="10" t="s">
        <v>12</v>
      </c>
      <c r="K216" s="10" t="s">
        <v>12</v>
      </c>
      <c r="L216" s="10" t="s">
        <v>12</v>
      </c>
      <c r="M216" s="10" t="s">
        <v>12</v>
      </c>
      <c r="N216" s="12" t="e">
        <f>VLOOKUP(J216,'Site Allocation'!$B$2:$C$37,2,FALSE)</f>
        <v>#N/A</v>
      </c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</row>
    <row r="217" spans="1:25" x14ac:dyDescent="0.35">
      <c r="A217" s="19"/>
      <c r="B217" s="19"/>
      <c r="C217" s="19"/>
      <c r="D217" s="19"/>
      <c r="E217" s="19"/>
      <c r="F217" s="19"/>
      <c r="G217" s="19"/>
      <c r="H217" s="19"/>
      <c r="I217" s="19"/>
      <c r="J217" s="10" t="s">
        <v>12</v>
      </c>
      <c r="K217" s="10" t="s">
        <v>12</v>
      </c>
      <c r="L217" s="10" t="s">
        <v>12</v>
      </c>
      <c r="M217" s="10" t="s">
        <v>12</v>
      </c>
      <c r="N217" s="12" t="e">
        <f>VLOOKUP(J217,'Site Allocation'!$B$2:$C$37,2,FALSE)</f>
        <v>#N/A</v>
      </c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</row>
    <row r="218" spans="1:25" x14ac:dyDescent="0.35">
      <c r="A218" s="19"/>
      <c r="B218" s="19"/>
      <c r="C218" s="19"/>
      <c r="D218" s="19"/>
      <c r="E218" s="19"/>
      <c r="F218" s="19"/>
      <c r="G218" s="19"/>
      <c r="H218" s="19"/>
      <c r="I218" s="19"/>
      <c r="J218" s="10" t="s">
        <v>12</v>
      </c>
      <c r="K218" s="10" t="s">
        <v>12</v>
      </c>
      <c r="L218" s="10" t="s">
        <v>12</v>
      </c>
      <c r="M218" s="10" t="s">
        <v>12</v>
      </c>
      <c r="N218" s="12" t="e">
        <f>VLOOKUP(J218,'Site Allocation'!$B$2:$C$37,2,FALSE)</f>
        <v>#N/A</v>
      </c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</row>
    <row r="219" spans="1:25" x14ac:dyDescent="0.35">
      <c r="A219" s="19"/>
      <c r="B219" s="19"/>
      <c r="C219" s="19"/>
      <c r="D219" s="19"/>
      <c r="E219" s="19"/>
      <c r="F219" s="19"/>
      <c r="G219" s="19"/>
      <c r="H219" s="19"/>
      <c r="I219" s="19"/>
      <c r="J219" s="10" t="s">
        <v>12</v>
      </c>
      <c r="K219" s="10" t="s">
        <v>12</v>
      </c>
      <c r="L219" s="10" t="s">
        <v>12</v>
      </c>
      <c r="M219" s="10" t="s">
        <v>12</v>
      </c>
      <c r="N219" s="12" t="e">
        <f>VLOOKUP(J219,'Site Allocation'!$B$2:$C$37,2,FALSE)</f>
        <v>#N/A</v>
      </c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</row>
    <row r="220" spans="1:25" x14ac:dyDescent="0.35">
      <c r="A220" s="19"/>
      <c r="B220" s="19"/>
      <c r="C220" s="19"/>
      <c r="D220" s="19"/>
      <c r="E220" s="19"/>
      <c r="F220" s="19"/>
      <c r="G220" s="19"/>
      <c r="H220" s="19"/>
      <c r="I220" s="19"/>
      <c r="J220" s="10" t="s">
        <v>12</v>
      </c>
      <c r="K220" s="10" t="s">
        <v>12</v>
      </c>
      <c r="L220" s="10" t="s">
        <v>12</v>
      </c>
      <c r="M220" s="10" t="s">
        <v>12</v>
      </c>
      <c r="N220" s="12" t="e">
        <f>VLOOKUP(J220,'Site Allocation'!$B$2:$C$37,2,FALSE)</f>
        <v>#N/A</v>
      </c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</row>
    <row r="221" spans="1:25" x14ac:dyDescent="0.35">
      <c r="A221" s="19"/>
      <c r="B221" s="19"/>
      <c r="C221" s="19"/>
      <c r="D221" s="19"/>
      <c r="E221" s="19"/>
      <c r="F221" s="19"/>
      <c r="G221" s="19"/>
      <c r="H221" s="19"/>
      <c r="I221" s="19"/>
      <c r="J221" s="10" t="s">
        <v>12</v>
      </c>
      <c r="K221" s="10" t="s">
        <v>12</v>
      </c>
      <c r="L221" s="10" t="s">
        <v>12</v>
      </c>
      <c r="M221" s="10" t="s">
        <v>12</v>
      </c>
      <c r="N221" s="12" t="e">
        <f>VLOOKUP(J221,'Site Allocation'!$B$2:$C$37,2,FALSE)</f>
        <v>#N/A</v>
      </c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</row>
    <row r="222" spans="1:25" x14ac:dyDescent="0.35">
      <c r="A222" s="19"/>
      <c r="B222" s="19"/>
      <c r="C222" s="19"/>
      <c r="D222" s="19"/>
      <c r="E222" s="19"/>
      <c r="F222" s="19"/>
      <c r="G222" s="19"/>
      <c r="H222" s="19"/>
      <c r="I222" s="19"/>
      <c r="J222" s="10" t="s">
        <v>12</v>
      </c>
      <c r="K222" s="10" t="s">
        <v>12</v>
      </c>
      <c r="L222" s="10" t="s">
        <v>12</v>
      </c>
      <c r="M222" s="10" t="s">
        <v>12</v>
      </c>
      <c r="N222" s="12" t="e">
        <f>VLOOKUP(J222,'Site Allocation'!$B$2:$C$37,2,FALSE)</f>
        <v>#N/A</v>
      </c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</row>
    <row r="223" spans="1:25" x14ac:dyDescent="0.35">
      <c r="A223" s="19"/>
      <c r="B223" s="19"/>
      <c r="C223" s="19"/>
      <c r="D223" s="19"/>
      <c r="E223" s="19"/>
      <c r="F223" s="19"/>
      <c r="G223" s="19"/>
      <c r="H223" s="19"/>
      <c r="I223" s="19"/>
      <c r="J223" s="10" t="s">
        <v>12</v>
      </c>
      <c r="K223" s="10" t="s">
        <v>12</v>
      </c>
      <c r="L223" s="10" t="s">
        <v>12</v>
      </c>
      <c r="M223" s="10" t="s">
        <v>12</v>
      </c>
      <c r="N223" s="12" t="e">
        <f>VLOOKUP(J223,'Site Allocation'!$B$2:$C$37,2,FALSE)</f>
        <v>#N/A</v>
      </c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</row>
    <row r="224" spans="1:25" x14ac:dyDescent="0.35">
      <c r="A224" s="19"/>
      <c r="B224" s="19"/>
      <c r="C224" s="19"/>
      <c r="D224" s="19"/>
      <c r="E224" s="19"/>
      <c r="F224" s="19"/>
      <c r="G224" s="19"/>
      <c r="H224" s="19"/>
      <c r="I224" s="19"/>
      <c r="J224" s="10" t="s">
        <v>12</v>
      </c>
      <c r="K224" s="10" t="s">
        <v>12</v>
      </c>
      <c r="L224" s="10" t="s">
        <v>12</v>
      </c>
      <c r="M224" s="10" t="s">
        <v>12</v>
      </c>
      <c r="N224" s="12" t="e">
        <f>VLOOKUP(J224,'Site Allocation'!$B$2:$C$37,2,FALSE)</f>
        <v>#N/A</v>
      </c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</row>
    <row r="225" spans="1:25" x14ac:dyDescent="0.35">
      <c r="A225" s="19"/>
      <c r="B225" s="19"/>
      <c r="C225" s="19"/>
      <c r="D225" s="19"/>
      <c r="E225" s="19"/>
      <c r="F225" s="19"/>
      <c r="G225" s="19"/>
      <c r="H225" s="19"/>
      <c r="I225" s="19"/>
      <c r="J225" s="10" t="s">
        <v>12</v>
      </c>
      <c r="K225" s="10" t="s">
        <v>12</v>
      </c>
      <c r="L225" s="10" t="s">
        <v>12</v>
      </c>
      <c r="M225" s="10" t="s">
        <v>12</v>
      </c>
      <c r="N225" s="12" t="e">
        <f>VLOOKUP(J225,'Site Allocation'!$B$2:$C$37,2,FALSE)</f>
        <v>#N/A</v>
      </c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</row>
    <row r="226" spans="1:25" x14ac:dyDescent="0.35">
      <c r="A226" s="19"/>
      <c r="B226" s="19"/>
      <c r="C226" s="19"/>
      <c r="D226" s="19"/>
      <c r="E226" s="19"/>
      <c r="F226" s="19"/>
      <c r="G226" s="19"/>
      <c r="H226" s="19"/>
      <c r="I226" s="19"/>
      <c r="J226" s="10" t="s">
        <v>12</v>
      </c>
      <c r="K226" s="10" t="s">
        <v>12</v>
      </c>
      <c r="L226" s="10" t="s">
        <v>12</v>
      </c>
      <c r="M226" s="10" t="s">
        <v>12</v>
      </c>
      <c r="N226" s="12" t="e">
        <f>VLOOKUP(J226,'Site Allocation'!$B$2:$C$37,2,FALSE)</f>
        <v>#N/A</v>
      </c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</row>
    <row r="227" spans="1:25" x14ac:dyDescent="0.35">
      <c r="A227" s="19"/>
      <c r="B227" s="19"/>
      <c r="C227" s="19"/>
      <c r="D227" s="19"/>
      <c r="E227" s="19"/>
      <c r="F227" s="19"/>
      <c r="G227" s="19"/>
      <c r="H227" s="19"/>
      <c r="I227" s="19"/>
      <c r="J227" s="10" t="s">
        <v>12</v>
      </c>
      <c r="K227" s="10" t="s">
        <v>12</v>
      </c>
      <c r="L227" s="10" t="s">
        <v>12</v>
      </c>
      <c r="M227" s="10" t="s">
        <v>12</v>
      </c>
      <c r="N227" s="12" t="e">
        <f>VLOOKUP(J227,'Site Allocation'!$B$2:$C$37,2,FALSE)</f>
        <v>#N/A</v>
      </c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</row>
    <row r="228" spans="1:25" x14ac:dyDescent="0.35">
      <c r="A228" s="19"/>
      <c r="B228" s="19"/>
      <c r="C228" s="19"/>
      <c r="D228" s="19"/>
      <c r="E228" s="19"/>
      <c r="F228" s="19"/>
      <c r="G228" s="19"/>
      <c r="H228" s="19"/>
      <c r="I228" s="19"/>
      <c r="J228" s="10" t="s">
        <v>12</v>
      </c>
      <c r="K228" s="10" t="s">
        <v>12</v>
      </c>
      <c r="L228" s="10" t="s">
        <v>12</v>
      </c>
      <c r="M228" s="10" t="s">
        <v>12</v>
      </c>
      <c r="N228" s="12" t="e">
        <f>VLOOKUP(J228,'Site Allocation'!$B$2:$C$37,2,FALSE)</f>
        <v>#N/A</v>
      </c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</row>
    <row r="229" spans="1:25" x14ac:dyDescent="0.35">
      <c r="A229" s="19"/>
      <c r="B229" s="19"/>
      <c r="C229" s="19"/>
      <c r="D229" s="19"/>
      <c r="E229" s="19"/>
      <c r="F229" s="19"/>
      <c r="G229" s="19"/>
      <c r="H229" s="19"/>
      <c r="I229" s="19"/>
      <c r="J229" s="10" t="s">
        <v>12</v>
      </c>
      <c r="K229" s="10" t="s">
        <v>12</v>
      </c>
      <c r="L229" s="10" t="s">
        <v>12</v>
      </c>
      <c r="M229" s="10" t="s">
        <v>12</v>
      </c>
      <c r="N229" s="12" t="e">
        <f>VLOOKUP(J229,'Site Allocation'!$B$2:$C$37,2,FALSE)</f>
        <v>#N/A</v>
      </c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</row>
    <row r="230" spans="1:25" x14ac:dyDescent="0.35">
      <c r="A230" s="19"/>
      <c r="B230" s="19"/>
      <c r="C230" s="19"/>
      <c r="D230" s="19"/>
      <c r="E230" s="19"/>
      <c r="F230" s="19"/>
      <c r="G230" s="19"/>
      <c r="H230" s="19"/>
      <c r="I230" s="19"/>
      <c r="J230" s="10" t="s">
        <v>12</v>
      </c>
      <c r="K230" s="10" t="s">
        <v>12</v>
      </c>
      <c r="L230" s="10" t="s">
        <v>12</v>
      </c>
      <c r="M230" s="10" t="s">
        <v>12</v>
      </c>
      <c r="N230" s="12" t="e">
        <f>VLOOKUP(J230,'Site Allocation'!$B$2:$C$37,2,FALSE)</f>
        <v>#N/A</v>
      </c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</row>
    <row r="231" spans="1:25" x14ac:dyDescent="0.35">
      <c r="A231" s="19"/>
      <c r="B231" s="19"/>
      <c r="C231" s="19"/>
      <c r="D231" s="19"/>
      <c r="E231" s="19"/>
      <c r="F231" s="19"/>
      <c r="G231" s="19"/>
      <c r="H231" s="19"/>
      <c r="I231" s="19"/>
      <c r="J231" s="10" t="s">
        <v>12</v>
      </c>
      <c r="K231" s="10" t="s">
        <v>12</v>
      </c>
      <c r="L231" s="10" t="s">
        <v>12</v>
      </c>
      <c r="M231" s="10" t="s">
        <v>12</v>
      </c>
      <c r="N231" s="12" t="e">
        <f>VLOOKUP(J231,'Site Allocation'!$B$2:$C$37,2,FALSE)</f>
        <v>#N/A</v>
      </c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</row>
    <row r="232" spans="1:25" x14ac:dyDescent="0.35">
      <c r="A232" s="19"/>
      <c r="B232" s="19"/>
      <c r="C232" s="19"/>
      <c r="D232" s="19"/>
      <c r="E232" s="19"/>
      <c r="F232" s="19"/>
      <c r="G232" s="19"/>
      <c r="H232" s="19"/>
      <c r="I232" s="19"/>
      <c r="J232" s="10" t="s">
        <v>12</v>
      </c>
      <c r="K232" s="10" t="s">
        <v>12</v>
      </c>
      <c r="L232" s="10" t="s">
        <v>12</v>
      </c>
      <c r="M232" s="10" t="s">
        <v>12</v>
      </c>
      <c r="N232" s="12" t="e">
        <f>VLOOKUP(J232,'Site Allocation'!$B$2:$C$37,2,FALSE)</f>
        <v>#N/A</v>
      </c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</row>
    <row r="233" spans="1:25" x14ac:dyDescent="0.35">
      <c r="A233" s="19"/>
      <c r="B233" s="19"/>
      <c r="C233" s="19"/>
      <c r="D233" s="19"/>
      <c r="E233" s="19"/>
      <c r="F233" s="19"/>
      <c r="G233" s="19"/>
      <c r="H233" s="19"/>
      <c r="I233" s="19"/>
      <c r="J233" s="10" t="s">
        <v>12</v>
      </c>
      <c r="K233" s="10" t="s">
        <v>12</v>
      </c>
      <c r="L233" s="10" t="s">
        <v>12</v>
      </c>
      <c r="M233" s="10" t="s">
        <v>12</v>
      </c>
      <c r="N233" s="12" t="e">
        <f>VLOOKUP(J233,'Site Allocation'!$B$2:$C$37,2,FALSE)</f>
        <v>#N/A</v>
      </c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</row>
    <row r="234" spans="1:25" x14ac:dyDescent="0.35">
      <c r="A234" s="19"/>
      <c r="B234" s="19"/>
      <c r="C234" s="19"/>
      <c r="D234" s="19"/>
      <c r="E234" s="19"/>
      <c r="F234" s="19"/>
      <c r="G234" s="19"/>
      <c r="H234" s="19"/>
      <c r="I234" s="19"/>
      <c r="J234" s="10" t="s">
        <v>12</v>
      </c>
      <c r="K234" s="10" t="s">
        <v>12</v>
      </c>
      <c r="L234" s="10" t="s">
        <v>12</v>
      </c>
      <c r="M234" s="10" t="s">
        <v>12</v>
      </c>
      <c r="N234" s="12" t="e">
        <f>VLOOKUP(J234,'Site Allocation'!$B$2:$C$37,2,FALSE)</f>
        <v>#N/A</v>
      </c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</row>
    <row r="235" spans="1:25" x14ac:dyDescent="0.35">
      <c r="A235" s="19"/>
      <c r="B235" s="19"/>
      <c r="C235" s="19"/>
      <c r="D235" s="19"/>
      <c r="E235" s="19"/>
      <c r="F235" s="19"/>
      <c r="G235" s="19"/>
      <c r="H235" s="19"/>
      <c r="I235" s="19"/>
      <c r="J235" s="10" t="s">
        <v>12</v>
      </c>
      <c r="K235" s="10" t="s">
        <v>12</v>
      </c>
      <c r="L235" s="10" t="s">
        <v>12</v>
      </c>
      <c r="M235" s="10" t="s">
        <v>12</v>
      </c>
      <c r="N235" s="12" t="e">
        <f>VLOOKUP(J235,'Site Allocation'!$B$2:$C$37,2,FALSE)</f>
        <v>#N/A</v>
      </c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</row>
    <row r="236" spans="1:25" x14ac:dyDescent="0.35">
      <c r="A236" s="19"/>
      <c r="B236" s="19"/>
      <c r="C236" s="19"/>
      <c r="D236" s="19"/>
      <c r="E236" s="19"/>
      <c r="F236" s="19"/>
      <c r="G236" s="19"/>
      <c r="H236" s="19"/>
      <c r="I236" s="19"/>
      <c r="J236" s="10" t="s">
        <v>12</v>
      </c>
      <c r="K236" s="10" t="s">
        <v>12</v>
      </c>
      <c r="L236" s="10" t="s">
        <v>12</v>
      </c>
      <c r="M236" s="10" t="s">
        <v>12</v>
      </c>
      <c r="N236" s="12" t="e">
        <f>VLOOKUP(J236,'Site Allocation'!$B$2:$C$37,2,FALSE)</f>
        <v>#N/A</v>
      </c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</row>
    <row r="237" spans="1:25" x14ac:dyDescent="0.35">
      <c r="A237" s="19"/>
      <c r="B237" s="19"/>
      <c r="C237" s="19"/>
      <c r="D237" s="19"/>
      <c r="E237" s="19"/>
      <c r="F237" s="19"/>
      <c r="G237" s="19"/>
      <c r="H237" s="19"/>
      <c r="I237" s="19"/>
      <c r="J237" s="10" t="s">
        <v>12</v>
      </c>
      <c r="K237" s="10" t="s">
        <v>12</v>
      </c>
      <c r="L237" s="10" t="s">
        <v>12</v>
      </c>
      <c r="M237" s="10" t="s">
        <v>12</v>
      </c>
      <c r="N237" s="12" t="e">
        <f>VLOOKUP(J237,'Site Allocation'!$B$2:$C$37,2,FALSE)</f>
        <v>#N/A</v>
      </c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</row>
    <row r="238" spans="1:25" x14ac:dyDescent="0.35">
      <c r="A238" s="19"/>
      <c r="B238" s="19"/>
      <c r="C238" s="19"/>
      <c r="D238" s="19"/>
      <c r="E238" s="19"/>
      <c r="F238" s="19"/>
      <c r="G238" s="19"/>
      <c r="H238" s="19"/>
      <c r="I238" s="19"/>
      <c r="J238" s="10" t="s">
        <v>12</v>
      </c>
      <c r="K238" s="10" t="s">
        <v>12</v>
      </c>
      <c r="L238" s="10" t="s">
        <v>12</v>
      </c>
      <c r="M238" s="10" t="s">
        <v>12</v>
      </c>
      <c r="N238" s="12" t="e">
        <f>VLOOKUP(J238,'Site Allocation'!$B$2:$C$37,2,FALSE)</f>
        <v>#N/A</v>
      </c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</row>
    <row r="239" spans="1:25" x14ac:dyDescent="0.35">
      <c r="A239" s="19"/>
      <c r="B239" s="19"/>
      <c r="C239" s="19"/>
      <c r="D239" s="19"/>
      <c r="E239" s="19"/>
      <c r="F239" s="19"/>
      <c r="G239" s="19"/>
      <c r="H239" s="19"/>
      <c r="I239" s="19"/>
      <c r="J239" s="10" t="s">
        <v>12</v>
      </c>
      <c r="K239" s="10" t="s">
        <v>12</v>
      </c>
      <c r="L239" s="10" t="s">
        <v>12</v>
      </c>
      <c r="M239" s="10" t="s">
        <v>12</v>
      </c>
      <c r="N239" s="12" t="e">
        <f>VLOOKUP(J239,'Site Allocation'!$B$2:$C$37,2,FALSE)</f>
        <v>#N/A</v>
      </c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</row>
    <row r="240" spans="1:25" x14ac:dyDescent="0.35">
      <c r="A240" s="19"/>
      <c r="B240" s="19"/>
      <c r="C240" s="19"/>
      <c r="D240" s="19"/>
      <c r="E240" s="19"/>
      <c r="F240" s="19"/>
      <c r="G240" s="19"/>
      <c r="H240" s="19"/>
      <c r="I240" s="19"/>
      <c r="J240" s="10" t="s">
        <v>12</v>
      </c>
      <c r="K240" s="10" t="s">
        <v>12</v>
      </c>
      <c r="L240" s="10" t="s">
        <v>12</v>
      </c>
      <c r="M240" s="10" t="s">
        <v>12</v>
      </c>
      <c r="N240" s="12" t="e">
        <f>VLOOKUP(J240,'Site Allocation'!$B$2:$C$37,2,FALSE)</f>
        <v>#N/A</v>
      </c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</row>
    <row r="241" spans="1:25" x14ac:dyDescent="0.35">
      <c r="A241" s="19"/>
      <c r="B241" s="19"/>
      <c r="C241" s="19"/>
      <c r="D241" s="19"/>
      <c r="E241" s="19"/>
      <c r="F241" s="19"/>
      <c r="G241" s="19"/>
      <c r="H241" s="19"/>
      <c r="I241" s="19"/>
      <c r="J241" s="10" t="s">
        <v>12</v>
      </c>
      <c r="K241" s="10" t="s">
        <v>12</v>
      </c>
      <c r="L241" s="10" t="s">
        <v>12</v>
      </c>
      <c r="M241" s="10" t="s">
        <v>12</v>
      </c>
      <c r="N241" s="12" t="e">
        <f>VLOOKUP(J241,'Site Allocation'!$B$2:$C$37,2,FALSE)</f>
        <v>#N/A</v>
      </c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</row>
    <row r="242" spans="1:25" x14ac:dyDescent="0.35">
      <c r="A242" s="19"/>
      <c r="B242" s="19"/>
      <c r="C242" s="19"/>
      <c r="D242" s="19"/>
      <c r="E242" s="19"/>
      <c r="F242" s="19"/>
      <c r="G242" s="19"/>
      <c r="H242" s="19"/>
      <c r="I242" s="19"/>
      <c r="J242" s="10" t="s">
        <v>12</v>
      </c>
      <c r="K242" s="10" t="s">
        <v>12</v>
      </c>
      <c r="L242" s="10" t="s">
        <v>12</v>
      </c>
      <c r="M242" s="10" t="s">
        <v>12</v>
      </c>
      <c r="N242" s="12" t="e">
        <f>VLOOKUP(J242,'Site Allocation'!$B$2:$C$37,2,FALSE)</f>
        <v>#N/A</v>
      </c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</row>
    <row r="243" spans="1:25" x14ac:dyDescent="0.35">
      <c r="A243" s="19"/>
      <c r="B243" s="19"/>
      <c r="C243" s="19"/>
      <c r="D243" s="19"/>
      <c r="E243" s="19"/>
      <c r="F243" s="19"/>
      <c r="G243" s="19"/>
      <c r="H243" s="19"/>
      <c r="I243" s="19"/>
      <c r="J243" s="10" t="s">
        <v>12</v>
      </c>
      <c r="K243" s="10" t="s">
        <v>12</v>
      </c>
      <c r="L243" s="10" t="s">
        <v>12</v>
      </c>
      <c r="M243" s="10" t="s">
        <v>12</v>
      </c>
      <c r="N243" s="12" t="e">
        <f>VLOOKUP(J243,'Site Allocation'!$B$2:$C$37,2,FALSE)</f>
        <v>#N/A</v>
      </c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</row>
    <row r="244" spans="1:25" x14ac:dyDescent="0.35">
      <c r="A244" s="19"/>
      <c r="B244" s="19"/>
      <c r="C244" s="19"/>
      <c r="D244" s="19"/>
      <c r="E244" s="19"/>
      <c r="F244" s="19"/>
      <c r="G244" s="19"/>
      <c r="H244" s="19"/>
      <c r="I244" s="19"/>
      <c r="J244" s="10" t="s">
        <v>12</v>
      </c>
      <c r="K244" s="10" t="s">
        <v>12</v>
      </c>
      <c r="L244" s="10" t="s">
        <v>12</v>
      </c>
      <c r="M244" s="10" t="s">
        <v>12</v>
      </c>
      <c r="N244" s="12" t="e">
        <f>VLOOKUP(J244,'Site Allocation'!$B$2:$C$37,2,FALSE)</f>
        <v>#N/A</v>
      </c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</row>
    <row r="245" spans="1:25" x14ac:dyDescent="0.35">
      <c r="A245" s="19"/>
      <c r="B245" s="19"/>
      <c r="C245" s="19"/>
      <c r="D245" s="19"/>
      <c r="E245" s="19"/>
      <c r="F245" s="19"/>
      <c r="G245" s="19"/>
      <c r="H245" s="19"/>
      <c r="I245" s="19"/>
      <c r="J245" s="10" t="s">
        <v>12</v>
      </c>
      <c r="K245" s="10" t="s">
        <v>12</v>
      </c>
      <c r="L245" s="10" t="s">
        <v>12</v>
      </c>
      <c r="M245" s="10" t="s">
        <v>12</v>
      </c>
      <c r="N245" s="12" t="e">
        <f>VLOOKUP(J245,'Site Allocation'!$B$2:$C$37,2,FALSE)</f>
        <v>#N/A</v>
      </c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</row>
    <row r="246" spans="1:25" x14ac:dyDescent="0.35">
      <c r="A246" s="19"/>
      <c r="B246" s="19"/>
      <c r="C246" s="19"/>
      <c r="D246" s="19"/>
      <c r="E246" s="19"/>
      <c r="F246" s="19"/>
      <c r="G246" s="19"/>
      <c r="H246" s="19"/>
      <c r="I246" s="19"/>
      <c r="J246" s="10" t="s">
        <v>12</v>
      </c>
      <c r="K246" s="10" t="s">
        <v>12</v>
      </c>
      <c r="L246" s="10" t="s">
        <v>12</v>
      </c>
      <c r="M246" s="10" t="s">
        <v>12</v>
      </c>
      <c r="N246" s="12" t="e">
        <f>VLOOKUP(J246,'Site Allocation'!$B$2:$C$37,2,FALSE)</f>
        <v>#N/A</v>
      </c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</row>
    <row r="247" spans="1:25" x14ac:dyDescent="0.35">
      <c r="A247" s="19"/>
      <c r="B247" s="19"/>
      <c r="C247" s="19"/>
      <c r="D247" s="19"/>
      <c r="E247" s="19"/>
      <c r="F247" s="19"/>
      <c r="G247" s="19"/>
      <c r="H247" s="19"/>
      <c r="I247" s="19"/>
      <c r="J247" s="10" t="s">
        <v>12</v>
      </c>
      <c r="K247" s="10" t="s">
        <v>12</v>
      </c>
      <c r="L247" s="10" t="s">
        <v>12</v>
      </c>
      <c r="M247" s="10" t="s">
        <v>12</v>
      </c>
      <c r="N247" s="12" t="e">
        <f>VLOOKUP(J247,'Site Allocation'!$B$2:$C$37,2,FALSE)</f>
        <v>#N/A</v>
      </c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</row>
    <row r="248" spans="1:25" x14ac:dyDescent="0.35">
      <c r="A248" s="19"/>
      <c r="B248" s="19"/>
      <c r="C248" s="19"/>
      <c r="D248" s="19"/>
      <c r="E248" s="19"/>
      <c r="F248" s="19"/>
      <c r="G248" s="19"/>
      <c r="H248" s="19"/>
      <c r="I248" s="19"/>
      <c r="J248" s="10" t="s">
        <v>12</v>
      </c>
      <c r="K248" s="10" t="s">
        <v>12</v>
      </c>
      <c r="L248" s="10" t="s">
        <v>12</v>
      </c>
      <c r="M248" s="10" t="s">
        <v>12</v>
      </c>
      <c r="N248" s="12" t="e">
        <f>VLOOKUP(J248,'Site Allocation'!$B$2:$C$37,2,FALSE)</f>
        <v>#N/A</v>
      </c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</row>
    <row r="249" spans="1:25" x14ac:dyDescent="0.35">
      <c r="A249" s="19"/>
      <c r="B249" s="19"/>
      <c r="C249" s="19"/>
      <c r="D249" s="19"/>
      <c r="E249" s="19"/>
      <c r="F249" s="19"/>
      <c r="G249" s="19"/>
      <c r="H249" s="19"/>
      <c r="I249" s="19"/>
      <c r="J249" s="10" t="s">
        <v>12</v>
      </c>
      <c r="K249" s="10" t="s">
        <v>12</v>
      </c>
      <c r="L249" s="10" t="s">
        <v>12</v>
      </c>
      <c r="M249" s="10" t="s">
        <v>12</v>
      </c>
      <c r="N249" s="12" t="e">
        <f>VLOOKUP(J249,'Site Allocation'!$B$2:$C$37,2,FALSE)</f>
        <v>#N/A</v>
      </c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</row>
    <row r="250" spans="1:25" x14ac:dyDescent="0.35">
      <c r="A250" s="19"/>
      <c r="B250" s="19"/>
      <c r="C250" s="19"/>
      <c r="D250" s="19"/>
      <c r="E250" s="19"/>
      <c r="F250" s="19"/>
      <c r="G250" s="19"/>
      <c r="H250" s="19"/>
      <c r="I250" s="19"/>
      <c r="J250" s="10" t="s">
        <v>12</v>
      </c>
      <c r="K250" s="10" t="s">
        <v>12</v>
      </c>
      <c r="L250" s="10" t="s">
        <v>12</v>
      </c>
      <c r="M250" s="10" t="s">
        <v>12</v>
      </c>
      <c r="N250" s="12" t="e">
        <f>VLOOKUP(J250,'Site Allocation'!$B$2:$C$37,2,FALSE)</f>
        <v>#N/A</v>
      </c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</row>
    <row r="251" spans="1:25" x14ac:dyDescent="0.35">
      <c r="A251" s="19"/>
      <c r="B251" s="19"/>
      <c r="C251" s="19"/>
      <c r="D251" s="19"/>
      <c r="E251" s="19"/>
      <c r="F251" s="19"/>
      <c r="G251" s="19"/>
      <c r="H251" s="19"/>
      <c r="I251" s="19"/>
      <c r="J251" s="10" t="s">
        <v>12</v>
      </c>
      <c r="K251" s="10" t="s">
        <v>12</v>
      </c>
      <c r="L251" s="10" t="s">
        <v>12</v>
      </c>
      <c r="M251" s="10" t="s">
        <v>12</v>
      </c>
      <c r="N251" s="12" t="e">
        <f>VLOOKUP(J251,'Site Allocation'!$B$2:$C$37,2,FALSE)</f>
        <v>#N/A</v>
      </c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</row>
    <row r="252" spans="1:25" x14ac:dyDescent="0.35">
      <c r="A252" s="19"/>
      <c r="B252" s="19"/>
      <c r="C252" s="19"/>
      <c r="D252" s="19"/>
      <c r="E252" s="19"/>
      <c r="F252" s="19"/>
      <c r="G252" s="19"/>
      <c r="H252" s="19"/>
      <c r="I252" s="19"/>
      <c r="J252" s="10" t="s">
        <v>12</v>
      </c>
      <c r="K252" s="10" t="s">
        <v>12</v>
      </c>
      <c r="L252" s="10" t="s">
        <v>12</v>
      </c>
      <c r="M252" s="10" t="s">
        <v>12</v>
      </c>
      <c r="N252" s="12" t="e">
        <f>VLOOKUP(J252,'Site Allocation'!$B$2:$C$37,2,FALSE)</f>
        <v>#N/A</v>
      </c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</row>
    <row r="253" spans="1:25" x14ac:dyDescent="0.35">
      <c r="A253" s="19"/>
      <c r="B253" s="19"/>
      <c r="C253" s="19"/>
      <c r="D253" s="19"/>
      <c r="E253" s="19"/>
      <c r="F253" s="19"/>
      <c r="G253" s="19"/>
      <c r="H253" s="19"/>
      <c r="I253" s="19"/>
      <c r="J253" s="10" t="s">
        <v>12</v>
      </c>
      <c r="K253" s="10" t="s">
        <v>12</v>
      </c>
      <c r="L253" s="10" t="s">
        <v>12</v>
      </c>
      <c r="M253" s="10" t="s">
        <v>12</v>
      </c>
      <c r="N253" s="12" t="e">
        <f>VLOOKUP(J253,'Site Allocation'!$B$2:$C$37,2,FALSE)</f>
        <v>#N/A</v>
      </c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</row>
    <row r="254" spans="1:25" x14ac:dyDescent="0.35">
      <c r="A254" s="19"/>
      <c r="B254" s="19"/>
      <c r="C254" s="19"/>
      <c r="D254" s="19"/>
      <c r="E254" s="19"/>
      <c r="F254" s="19"/>
      <c r="G254" s="19"/>
      <c r="H254" s="19"/>
      <c r="I254" s="19"/>
      <c r="J254" s="10" t="s">
        <v>12</v>
      </c>
      <c r="K254" s="10" t="s">
        <v>12</v>
      </c>
      <c r="L254" s="10" t="s">
        <v>12</v>
      </c>
      <c r="M254" s="10" t="s">
        <v>12</v>
      </c>
      <c r="N254" s="12" t="e">
        <f>VLOOKUP(J254,'Site Allocation'!$B$2:$C$37,2,FALSE)</f>
        <v>#N/A</v>
      </c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</row>
    <row r="255" spans="1:25" x14ac:dyDescent="0.35">
      <c r="A255" s="19"/>
      <c r="B255" s="19"/>
      <c r="C255" s="19"/>
      <c r="D255" s="19"/>
      <c r="E255" s="19"/>
      <c r="F255" s="19"/>
      <c r="G255" s="19"/>
      <c r="H255" s="19"/>
      <c r="I255" s="19"/>
      <c r="J255" s="10" t="s">
        <v>12</v>
      </c>
      <c r="K255" s="10" t="s">
        <v>12</v>
      </c>
      <c r="L255" s="10" t="s">
        <v>12</v>
      </c>
      <c r="M255" s="10" t="s">
        <v>12</v>
      </c>
      <c r="N255" s="12" t="e">
        <f>VLOOKUP(J255,'Site Allocation'!$B$2:$C$37,2,FALSE)</f>
        <v>#N/A</v>
      </c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</row>
    <row r="256" spans="1:25" x14ac:dyDescent="0.35">
      <c r="A256" s="19"/>
      <c r="B256" s="19"/>
      <c r="C256" s="19"/>
      <c r="D256" s="19"/>
      <c r="E256" s="19"/>
      <c r="F256" s="19"/>
      <c r="G256" s="19"/>
      <c r="H256" s="19"/>
      <c r="I256" s="19"/>
      <c r="J256" s="10" t="s">
        <v>12</v>
      </c>
      <c r="K256" s="10" t="s">
        <v>12</v>
      </c>
      <c r="L256" s="10" t="s">
        <v>12</v>
      </c>
      <c r="M256" s="10" t="s">
        <v>12</v>
      </c>
      <c r="N256" s="12" t="e">
        <f>VLOOKUP(J256,'Site Allocation'!$B$2:$C$37,2,FALSE)</f>
        <v>#N/A</v>
      </c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</row>
    <row r="257" spans="1:25" x14ac:dyDescent="0.35">
      <c r="A257" s="19"/>
      <c r="B257" s="19"/>
      <c r="C257" s="19"/>
      <c r="D257" s="19"/>
      <c r="E257" s="19"/>
      <c r="F257" s="19"/>
      <c r="G257" s="19"/>
      <c r="H257" s="19"/>
      <c r="I257" s="19"/>
      <c r="J257" s="10" t="s">
        <v>12</v>
      </c>
      <c r="K257" s="10" t="s">
        <v>12</v>
      </c>
      <c r="L257" s="10" t="s">
        <v>12</v>
      </c>
      <c r="M257" s="10" t="s">
        <v>12</v>
      </c>
      <c r="N257" s="12" t="e">
        <f>VLOOKUP(J257,'Site Allocation'!$B$2:$C$37,2,FALSE)</f>
        <v>#N/A</v>
      </c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</row>
    <row r="258" spans="1:25" x14ac:dyDescent="0.35">
      <c r="A258" s="19"/>
      <c r="B258" s="19"/>
      <c r="C258" s="19"/>
      <c r="D258" s="19"/>
      <c r="E258" s="19"/>
      <c r="F258" s="19"/>
      <c r="G258" s="19"/>
      <c r="H258" s="19"/>
      <c r="I258" s="19"/>
      <c r="J258" s="10" t="s">
        <v>12</v>
      </c>
      <c r="K258" s="10" t="s">
        <v>12</v>
      </c>
      <c r="L258" s="10" t="s">
        <v>12</v>
      </c>
      <c r="M258" s="10" t="s">
        <v>12</v>
      </c>
      <c r="N258" s="12" t="e">
        <f>VLOOKUP(J258,'Site Allocation'!$B$2:$C$37,2,FALSE)</f>
        <v>#N/A</v>
      </c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</row>
    <row r="259" spans="1:25" x14ac:dyDescent="0.35">
      <c r="A259" s="19"/>
      <c r="B259" s="19"/>
      <c r="C259" s="19"/>
      <c r="D259" s="19"/>
      <c r="E259" s="19"/>
      <c r="F259" s="19"/>
      <c r="G259" s="19"/>
      <c r="H259" s="19"/>
      <c r="I259" s="19"/>
      <c r="J259" s="10" t="s">
        <v>12</v>
      </c>
      <c r="K259" s="10" t="s">
        <v>12</v>
      </c>
      <c r="L259" s="10" t="s">
        <v>12</v>
      </c>
      <c r="M259" s="10" t="s">
        <v>12</v>
      </c>
      <c r="N259" s="12" t="e">
        <f>VLOOKUP(J259,'Site Allocation'!$B$2:$C$37,2,FALSE)</f>
        <v>#N/A</v>
      </c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</row>
    <row r="260" spans="1:25" x14ac:dyDescent="0.35">
      <c r="A260" s="19"/>
      <c r="B260" s="19"/>
      <c r="C260" s="19"/>
      <c r="D260" s="19"/>
      <c r="E260" s="19"/>
      <c r="F260" s="19"/>
      <c r="G260" s="19"/>
      <c r="H260" s="19"/>
      <c r="I260" s="19"/>
      <c r="J260" s="10" t="s">
        <v>12</v>
      </c>
      <c r="K260" s="10" t="s">
        <v>12</v>
      </c>
      <c r="L260" s="10" t="s">
        <v>12</v>
      </c>
      <c r="M260" s="10" t="s">
        <v>12</v>
      </c>
      <c r="N260" s="12" t="e">
        <f>VLOOKUP(J260,'Site Allocation'!$B$2:$C$37,2,FALSE)</f>
        <v>#N/A</v>
      </c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</row>
    <row r="261" spans="1:25" x14ac:dyDescent="0.35">
      <c r="A261" s="19"/>
      <c r="B261" s="19"/>
      <c r="C261" s="19"/>
      <c r="D261" s="19"/>
      <c r="E261" s="19"/>
      <c r="F261" s="19"/>
      <c r="G261" s="19"/>
      <c r="H261" s="19"/>
      <c r="I261" s="19"/>
      <c r="J261" s="10" t="s">
        <v>12</v>
      </c>
      <c r="K261" s="10" t="s">
        <v>12</v>
      </c>
      <c r="L261" s="10" t="s">
        <v>12</v>
      </c>
      <c r="M261" s="10" t="s">
        <v>12</v>
      </c>
      <c r="N261" s="12" t="e">
        <f>VLOOKUP(J261,'Site Allocation'!$B$2:$C$37,2,FALSE)</f>
        <v>#N/A</v>
      </c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</row>
    <row r="262" spans="1:25" x14ac:dyDescent="0.35">
      <c r="A262" s="19"/>
      <c r="B262" s="19"/>
      <c r="C262" s="19"/>
      <c r="D262" s="19"/>
      <c r="E262" s="19"/>
      <c r="F262" s="19"/>
      <c r="G262" s="19"/>
      <c r="H262" s="19"/>
      <c r="I262" s="19"/>
      <c r="J262" s="10" t="s">
        <v>12</v>
      </c>
      <c r="K262" s="10" t="s">
        <v>12</v>
      </c>
      <c r="L262" s="10" t="s">
        <v>12</v>
      </c>
      <c r="M262" s="10" t="s">
        <v>12</v>
      </c>
      <c r="N262" s="12" t="e">
        <f>VLOOKUP(J262,'Site Allocation'!$B$2:$C$37,2,FALSE)</f>
        <v>#N/A</v>
      </c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</row>
    <row r="263" spans="1:25" x14ac:dyDescent="0.35">
      <c r="A263" s="19"/>
      <c r="B263" s="19"/>
      <c r="C263" s="19"/>
      <c r="D263" s="19"/>
      <c r="E263" s="19"/>
      <c r="F263" s="19"/>
      <c r="G263" s="19"/>
      <c r="H263" s="19"/>
      <c r="I263" s="19"/>
      <c r="J263" s="10" t="s">
        <v>12</v>
      </c>
      <c r="K263" s="10" t="s">
        <v>12</v>
      </c>
      <c r="L263" s="10" t="s">
        <v>12</v>
      </c>
      <c r="M263" s="10" t="s">
        <v>12</v>
      </c>
      <c r="N263" s="12" t="e">
        <f>VLOOKUP(J263,'Site Allocation'!$B$2:$C$37,2,FALSE)</f>
        <v>#N/A</v>
      </c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</row>
    <row r="264" spans="1:25" x14ac:dyDescent="0.35">
      <c r="A264" s="19"/>
      <c r="B264" s="19"/>
      <c r="C264" s="19"/>
      <c r="D264" s="19"/>
      <c r="E264" s="19"/>
      <c r="F264" s="19"/>
      <c r="G264" s="19"/>
      <c r="H264" s="19"/>
      <c r="I264" s="19"/>
      <c r="J264" s="10" t="s">
        <v>12</v>
      </c>
      <c r="K264" s="10" t="s">
        <v>12</v>
      </c>
      <c r="L264" s="10" t="s">
        <v>12</v>
      </c>
      <c r="M264" s="10" t="s">
        <v>12</v>
      </c>
      <c r="N264" s="12" t="e">
        <f>VLOOKUP(J264,'Site Allocation'!$B$2:$C$37,2,FALSE)</f>
        <v>#N/A</v>
      </c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</row>
    <row r="265" spans="1:25" x14ac:dyDescent="0.35">
      <c r="A265" s="19"/>
      <c r="B265" s="19"/>
      <c r="C265" s="19"/>
      <c r="D265" s="19"/>
      <c r="E265" s="19"/>
      <c r="F265" s="19"/>
      <c r="G265" s="19"/>
      <c r="H265" s="19"/>
      <c r="I265" s="19"/>
      <c r="J265" s="10" t="s">
        <v>12</v>
      </c>
      <c r="K265" s="10" t="s">
        <v>12</v>
      </c>
      <c r="L265" s="10" t="s">
        <v>12</v>
      </c>
      <c r="M265" s="10" t="s">
        <v>12</v>
      </c>
      <c r="N265" s="12" t="e">
        <f>VLOOKUP(J265,'Site Allocation'!$B$2:$C$37,2,FALSE)</f>
        <v>#N/A</v>
      </c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</row>
    <row r="266" spans="1:25" x14ac:dyDescent="0.35">
      <c r="A266" s="19"/>
      <c r="B266" s="19"/>
      <c r="C266" s="19"/>
      <c r="D266" s="19"/>
      <c r="E266" s="19"/>
      <c r="F266" s="19"/>
      <c r="G266" s="19"/>
      <c r="H266" s="19"/>
      <c r="I266" s="19"/>
      <c r="J266" s="10" t="s">
        <v>12</v>
      </c>
      <c r="K266" s="10" t="s">
        <v>12</v>
      </c>
      <c r="L266" s="10" t="s">
        <v>12</v>
      </c>
      <c r="M266" s="10" t="s">
        <v>12</v>
      </c>
      <c r="N266" s="12" t="e">
        <f>VLOOKUP(J266,'Site Allocation'!$B$2:$C$37,2,FALSE)</f>
        <v>#N/A</v>
      </c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</row>
    <row r="267" spans="1:25" x14ac:dyDescent="0.35">
      <c r="A267" s="19"/>
      <c r="B267" s="19"/>
      <c r="C267" s="19"/>
      <c r="D267" s="19"/>
      <c r="E267" s="19"/>
      <c r="F267" s="19"/>
      <c r="G267" s="19"/>
      <c r="H267" s="19"/>
      <c r="I267" s="19"/>
      <c r="J267" s="10" t="s">
        <v>12</v>
      </c>
      <c r="K267" s="10" t="s">
        <v>12</v>
      </c>
      <c r="L267" s="10" t="s">
        <v>12</v>
      </c>
      <c r="M267" s="10" t="s">
        <v>12</v>
      </c>
      <c r="N267" s="12" t="e">
        <f>VLOOKUP(J267,'Site Allocation'!$B$2:$C$37,2,FALSE)</f>
        <v>#N/A</v>
      </c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</row>
    <row r="268" spans="1:25" x14ac:dyDescent="0.35">
      <c r="A268" s="19"/>
      <c r="B268" s="19"/>
      <c r="C268" s="19"/>
      <c r="D268" s="19"/>
      <c r="E268" s="19"/>
      <c r="F268" s="19"/>
      <c r="G268" s="19"/>
      <c r="H268" s="19"/>
      <c r="I268" s="19"/>
      <c r="J268" s="10" t="s">
        <v>12</v>
      </c>
      <c r="K268" s="10" t="s">
        <v>12</v>
      </c>
      <c r="L268" s="10" t="s">
        <v>12</v>
      </c>
      <c r="M268" s="10" t="s">
        <v>12</v>
      </c>
      <c r="N268" s="12" t="e">
        <f>VLOOKUP(J268,'Site Allocation'!$B$2:$C$37,2,FALSE)</f>
        <v>#N/A</v>
      </c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</row>
    <row r="269" spans="1:25" x14ac:dyDescent="0.35">
      <c r="A269" s="19"/>
      <c r="B269" s="19"/>
      <c r="C269" s="19"/>
      <c r="D269" s="19"/>
      <c r="E269" s="19"/>
      <c r="F269" s="19"/>
      <c r="G269" s="19"/>
      <c r="H269" s="19"/>
      <c r="I269" s="19"/>
      <c r="J269" s="10" t="s">
        <v>12</v>
      </c>
      <c r="K269" s="10" t="s">
        <v>12</v>
      </c>
      <c r="L269" s="10" t="s">
        <v>12</v>
      </c>
      <c r="M269" s="10" t="s">
        <v>12</v>
      </c>
      <c r="N269" s="12" t="e">
        <f>VLOOKUP(J269,'Site Allocation'!$B$2:$C$37,2,FALSE)</f>
        <v>#N/A</v>
      </c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</row>
    <row r="270" spans="1:25" x14ac:dyDescent="0.35">
      <c r="A270" s="19"/>
      <c r="B270" s="19"/>
      <c r="C270" s="19"/>
      <c r="D270" s="19"/>
      <c r="E270" s="19"/>
      <c r="F270" s="19"/>
      <c r="G270" s="19"/>
      <c r="H270" s="19"/>
      <c r="I270" s="19"/>
      <c r="J270" s="10" t="s">
        <v>12</v>
      </c>
      <c r="K270" s="10" t="s">
        <v>12</v>
      </c>
      <c r="L270" s="10" t="s">
        <v>12</v>
      </c>
      <c r="M270" s="10" t="s">
        <v>12</v>
      </c>
      <c r="N270" s="12" t="e">
        <f>VLOOKUP(J270,'Site Allocation'!$B$2:$C$37,2,FALSE)</f>
        <v>#N/A</v>
      </c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</row>
    <row r="271" spans="1:25" x14ac:dyDescent="0.35">
      <c r="A271" s="19"/>
      <c r="B271" s="19"/>
      <c r="C271" s="19"/>
      <c r="D271" s="19"/>
      <c r="E271" s="19"/>
      <c r="F271" s="19"/>
      <c r="G271" s="19"/>
      <c r="H271" s="19"/>
      <c r="I271" s="19"/>
      <c r="J271" s="10" t="s">
        <v>12</v>
      </c>
      <c r="K271" s="10" t="s">
        <v>12</v>
      </c>
      <c r="L271" s="10" t="s">
        <v>12</v>
      </c>
      <c r="M271" s="10" t="s">
        <v>12</v>
      </c>
      <c r="N271" s="12" t="e">
        <f>VLOOKUP(J271,'Site Allocation'!$B$2:$C$37,2,FALSE)</f>
        <v>#N/A</v>
      </c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</row>
    <row r="272" spans="1:25" x14ac:dyDescent="0.35">
      <c r="A272" s="19"/>
      <c r="B272" s="19"/>
      <c r="C272" s="19"/>
      <c r="D272" s="19"/>
      <c r="E272" s="19"/>
      <c r="F272" s="19"/>
      <c r="G272" s="19"/>
      <c r="H272" s="19"/>
      <c r="I272" s="19"/>
      <c r="J272" s="10" t="s">
        <v>12</v>
      </c>
      <c r="K272" s="10" t="s">
        <v>12</v>
      </c>
      <c r="L272" s="10" t="s">
        <v>12</v>
      </c>
      <c r="M272" s="10" t="s">
        <v>12</v>
      </c>
      <c r="N272" s="12" t="e">
        <f>VLOOKUP(J272,'Site Allocation'!$B$2:$C$37,2,FALSE)</f>
        <v>#N/A</v>
      </c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</row>
    <row r="273" spans="1:25" x14ac:dyDescent="0.35">
      <c r="A273" s="19"/>
      <c r="B273" s="19"/>
      <c r="C273" s="19"/>
      <c r="D273" s="19"/>
      <c r="E273" s="19"/>
      <c r="F273" s="19"/>
      <c r="G273" s="19"/>
      <c r="H273" s="19"/>
      <c r="I273" s="19"/>
      <c r="J273" s="10" t="s">
        <v>12</v>
      </c>
      <c r="K273" s="10" t="s">
        <v>12</v>
      </c>
      <c r="L273" s="10" t="s">
        <v>12</v>
      </c>
      <c r="M273" s="10" t="s">
        <v>12</v>
      </c>
      <c r="N273" s="12" t="e">
        <f>VLOOKUP(J273,'Site Allocation'!$B$2:$C$37,2,FALSE)</f>
        <v>#N/A</v>
      </c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</row>
    <row r="274" spans="1:25" x14ac:dyDescent="0.35">
      <c r="A274" s="19"/>
      <c r="B274" s="19"/>
      <c r="C274" s="19"/>
      <c r="D274" s="19"/>
      <c r="E274" s="19"/>
      <c r="F274" s="19"/>
      <c r="G274" s="19"/>
      <c r="H274" s="19"/>
      <c r="I274" s="19"/>
      <c r="J274" s="10" t="s">
        <v>12</v>
      </c>
      <c r="K274" s="10" t="s">
        <v>12</v>
      </c>
      <c r="L274" s="10" t="s">
        <v>12</v>
      </c>
      <c r="M274" s="10" t="s">
        <v>12</v>
      </c>
      <c r="N274" s="12" t="e">
        <f>VLOOKUP(J274,'Site Allocation'!$B$2:$C$37,2,FALSE)</f>
        <v>#N/A</v>
      </c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</row>
    <row r="275" spans="1:25" x14ac:dyDescent="0.35">
      <c r="A275" s="19"/>
      <c r="B275" s="19"/>
      <c r="C275" s="19"/>
      <c r="D275" s="19"/>
      <c r="E275" s="19"/>
      <c r="F275" s="19"/>
      <c r="G275" s="19"/>
      <c r="H275" s="19"/>
      <c r="I275" s="19"/>
      <c r="J275" s="10" t="s">
        <v>12</v>
      </c>
      <c r="K275" s="10" t="s">
        <v>12</v>
      </c>
      <c r="L275" s="10" t="s">
        <v>12</v>
      </c>
      <c r="M275" s="10" t="s">
        <v>12</v>
      </c>
      <c r="N275" s="12" t="e">
        <f>VLOOKUP(J275,'Site Allocation'!$B$2:$C$37,2,FALSE)</f>
        <v>#N/A</v>
      </c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</row>
    <row r="276" spans="1:25" x14ac:dyDescent="0.35">
      <c r="A276" s="19"/>
      <c r="B276" s="19"/>
      <c r="C276" s="19"/>
      <c r="D276" s="19"/>
      <c r="E276" s="19"/>
      <c r="F276" s="19"/>
      <c r="G276" s="19"/>
      <c r="H276" s="19"/>
      <c r="I276" s="19"/>
      <c r="J276" s="10" t="s">
        <v>12</v>
      </c>
      <c r="K276" s="10" t="s">
        <v>12</v>
      </c>
      <c r="L276" s="10" t="s">
        <v>12</v>
      </c>
      <c r="M276" s="10" t="s">
        <v>12</v>
      </c>
      <c r="N276" s="12" t="e">
        <f>VLOOKUP(J276,'Site Allocation'!$B$2:$C$37,2,FALSE)</f>
        <v>#N/A</v>
      </c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</row>
    <row r="277" spans="1:25" x14ac:dyDescent="0.35">
      <c r="A277" s="19"/>
      <c r="B277" s="19"/>
      <c r="C277" s="19"/>
      <c r="D277" s="19"/>
      <c r="E277" s="19"/>
      <c r="F277" s="19"/>
      <c r="G277" s="19"/>
      <c r="H277" s="19"/>
      <c r="I277" s="19"/>
      <c r="J277" s="10" t="s">
        <v>12</v>
      </c>
      <c r="K277" s="10" t="s">
        <v>12</v>
      </c>
      <c r="L277" s="10" t="s">
        <v>12</v>
      </c>
      <c r="M277" s="10" t="s">
        <v>12</v>
      </c>
      <c r="N277" s="12" t="e">
        <f>VLOOKUP(J277,'Site Allocation'!$B$2:$C$37,2,FALSE)</f>
        <v>#N/A</v>
      </c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</row>
    <row r="278" spans="1:25" x14ac:dyDescent="0.35">
      <c r="A278" s="19"/>
      <c r="B278" s="19"/>
      <c r="C278" s="19"/>
      <c r="D278" s="19"/>
      <c r="E278" s="19"/>
      <c r="F278" s="19"/>
      <c r="G278" s="19"/>
      <c r="H278" s="19"/>
      <c r="I278" s="19"/>
      <c r="J278" s="10" t="s">
        <v>12</v>
      </c>
      <c r="K278" s="10" t="s">
        <v>12</v>
      </c>
      <c r="L278" s="10" t="s">
        <v>12</v>
      </c>
      <c r="M278" s="10" t="s">
        <v>12</v>
      </c>
      <c r="N278" s="12" t="e">
        <f>VLOOKUP(J278,'Site Allocation'!$B$2:$C$37,2,FALSE)</f>
        <v>#N/A</v>
      </c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</row>
    <row r="279" spans="1:25" x14ac:dyDescent="0.35">
      <c r="A279" s="19"/>
      <c r="B279" s="19"/>
      <c r="C279" s="19"/>
      <c r="D279" s="19"/>
      <c r="E279" s="19"/>
      <c r="F279" s="19"/>
      <c r="G279" s="19"/>
      <c r="H279" s="19"/>
      <c r="I279" s="19"/>
      <c r="J279" s="10" t="s">
        <v>12</v>
      </c>
      <c r="K279" s="10" t="s">
        <v>12</v>
      </c>
      <c r="L279" s="10" t="s">
        <v>12</v>
      </c>
      <c r="M279" s="10" t="s">
        <v>12</v>
      </c>
      <c r="N279" s="12" t="e">
        <f>VLOOKUP(J279,'Site Allocation'!$B$2:$C$37,2,FALSE)</f>
        <v>#N/A</v>
      </c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</row>
    <row r="280" spans="1:25" x14ac:dyDescent="0.35">
      <c r="A280" s="19"/>
      <c r="B280" s="19"/>
      <c r="C280" s="19"/>
      <c r="D280" s="19"/>
      <c r="E280" s="19"/>
      <c r="F280" s="19"/>
      <c r="G280" s="19"/>
      <c r="H280" s="19"/>
      <c r="I280" s="19"/>
      <c r="J280" s="10" t="s">
        <v>12</v>
      </c>
      <c r="K280" s="10" t="s">
        <v>12</v>
      </c>
      <c r="L280" s="10" t="s">
        <v>12</v>
      </c>
      <c r="M280" s="10" t="s">
        <v>12</v>
      </c>
      <c r="N280" s="12" t="e">
        <f>VLOOKUP(J280,'Site Allocation'!$B$2:$C$37,2,FALSE)</f>
        <v>#N/A</v>
      </c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</row>
    <row r="281" spans="1:25" x14ac:dyDescent="0.35">
      <c r="A281" s="19"/>
      <c r="B281" s="19"/>
      <c r="C281" s="19"/>
      <c r="D281" s="19"/>
      <c r="E281" s="19"/>
      <c r="F281" s="19"/>
      <c r="G281" s="19"/>
      <c r="H281" s="19"/>
      <c r="I281" s="19"/>
      <c r="J281" s="10" t="s">
        <v>12</v>
      </c>
      <c r="K281" s="10" t="s">
        <v>12</v>
      </c>
      <c r="L281" s="10" t="s">
        <v>12</v>
      </c>
      <c r="M281" s="10" t="s">
        <v>12</v>
      </c>
      <c r="N281" s="12" t="e">
        <f>VLOOKUP(J281,'Site Allocation'!$B$2:$C$37,2,FALSE)</f>
        <v>#N/A</v>
      </c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</row>
    <row r="282" spans="1:25" x14ac:dyDescent="0.35">
      <c r="A282" s="19"/>
      <c r="B282" s="19"/>
      <c r="C282" s="19"/>
      <c r="D282" s="19"/>
      <c r="E282" s="19"/>
      <c r="F282" s="19"/>
      <c r="G282" s="19"/>
      <c r="H282" s="19"/>
      <c r="I282" s="19"/>
      <c r="J282" s="10" t="s">
        <v>12</v>
      </c>
      <c r="K282" s="10" t="s">
        <v>12</v>
      </c>
      <c r="L282" s="10" t="s">
        <v>12</v>
      </c>
      <c r="M282" s="10" t="s">
        <v>12</v>
      </c>
      <c r="N282" s="12" t="e">
        <f>VLOOKUP(J282,'Site Allocation'!$B$2:$C$37,2,FALSE)</f>
        <v>#N/A</v>
      </c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</row>
    <row r="283" spans="1:25" x14ac:dyDescent="0.35">
      <c r="A283" s="19"/>
      <c r="B283" s="19"/>
      <c r="C283" s="19"/>
      <c r="D283" s="19"/>
      <c r="E283" s="19"/>
      <c r="F283" s="19"/>
      <c r="G283" s="19"/>
      <c r="H283" s="19"/>
      <c r="I283" s="19"/>
      <c r="J283" s="10" t="s">
        <v>12</v>
      </c>
      <c r="K283" s="10" t="s">
        <v>12</v>
      </c>
      <c r="L283" s="10" t="s">
        <v>12</v>
      </c>
      <c r="M283" s="10" t="s">
        <v>12</v>
      </c>
      <c r="N283" s="12" t="e">
        <f>VLOOKUP(J283,'Site Allocation'!$B$2:$C$37,2,FALSE)</f>
        <v>#N/A</v>
      </c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</row>
    <row r="284" spans="1:25" x14ac:dyDescent="0.35">
      <c r="A284" s="19"/>
      <c r="B284" s="19"/>
      <c r="C284" s="19"/>
      <c r="D284" s="19"/>
      <c r="E284" s="19"/>
      <c r="F284" s="19"/>
      <c r="G284" s="19"/>
      <c r="H284" s="19"/>
      <c r="I284" s="19"/>
      <c r="J284" s="10" t="s">
        <v>12</v>
      </c>
      <c r="K284" s="10" t="s">
        <v>12</v>
      </c>
      <c r="L284" s="10" t="s">
        <v>12</v>
      </c>
      <c r="M284" s="10" t="s">
        <v>12</v>
      </c>
      <c r="N284" s="12" t="e">
        <f>VLOOKUP(J284,'Site Allocation'!$B$2:$C$37,2,FALSE)</f>
        <v>#N/A</v>
      </c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</row>
    <row r="285" spans="1:25" x14ac:dyDescent="0.35">
      <c r="A285" s="19"/>
      <c r="B285" s="19"/>
      <c r="C285" s="19"/>
      <c r="D285" s="19"/>
      <c r="E285" s="19"/>
      <c r="F285" s="19"/>
      <c r="G285" s="19"/>
      <c r="H285" s="19"/>
      <c r="I285" s="19"/>
      <c r="J285" s="10" t="s">
        <v>12</v>
      </c>
      <c r="K285" s="10" t="s">
        <v>12</v>
      </c>
      <c r="L285" s="10" t="s">
        <v>12</v>
      </c>
      <c r="M285" s="10" t="s">
        <v>12</v>
      </c>
      <c r="N285" s="12" t="e">
        <f>VLOOKUP(J285,'Site Allocation'!$B$2:$C$37,2,FALSE)</f>
        <v>#N/A</v>
      </c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</row>
    <row r="286" spans="1:25" x14ac:dyDescent="0.35">
      <c r="A286" s="19"/>
      <c r="B286" s="19"/>
      <c r="C286" s="19"/>
      <c r="D286" s="19"/>
      <c r="E286" s="19"/>
      <c r="F286" s="19"/>
      <c r="G286" s="19"/>
      <c r="H286" s="19"/>
      <c r="I286" s="19"/>
      <c r="J286" s="10" t="s">
        <v>12</v>
      </c>
      <c r="K286" s="10" t="s">
        <v>12</v>
      </c>
      <c r="L286" s="10" t="s">
        <v>12</v>
      </c>
      <c r="M286" s="10" t="s">
        <v>12</v>
      </c>
      <c r="N286" s="12" t="e">
        <f>VLOOKUP(J286,'Site Allocation'!$B$2:$C$37,2,FALSE)</f>
        <v>#N/A</v>
      </c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</row>
    <row r="287" spans="1:25" x14ac:dyDescent="0.35">
      <c r="A287" s="19"/>
      <c r="B287" s="19"/>
      <c r="C287" s="19"/>
      <c r="D287" s="19"/>
      <c r="E287" s="19"/>
      <c r="F287" s="19"/>
      <c r="G287" s="19"/>
      <c r="H287" s="19"/>
      <c r="I287" s="19"/>
      <c r="J287" s="10" t="s">
        <v>12</v>
      </c>
      <c r="K287" s="10" t="s">
        <v>12</v>
      </c>
      <c r="L287" s="10" t="s">
        <v>12</v>
      </c>
      <c r="M287" s="10" t="s">
        <v>12</v>
      </c>
      <c r="N287" s="12" t="e">
        <f>VLOOKUP(J287,'Site Allocation'!$B$2:$C$37,2,FALSE)</f>
        <v>#N/A</v>
      </c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</row>
    <row r="288" spans="1:25" x14ac:dyDescent="0.35">
      <c r="A288" s="19"/>
      <c r="B288" s="19"/>
      <c r="C288" s="19"/>
      <c r="D288" s="19"/>
      <c r="E288" s="19"/>
      <c r="F288" s="19"/>
      <c r="G288" s="19"/>
      <c r="H288" s="19"/>
      <c r="I288" s="19"/>
      <c r="J288" s="10" t="s">
        <v>12</v>
      </c>
      <c r="K288" s="10" t="s">
        <v>12</v>
      </c>
      <c r="L288" s="10" t="s">
        <v>12</v>
      </c>
      <c r="M288" s="10" t="s">
        <v>12</v>
      </c>
      <c r="N288" s="12" t="e">
        <f>VLOOKUP(J288,'Site Allocation'!$B$2:$C$37,2,FALSE)</f>
        <v>#N/A</v>
      </c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</row>
    <row r="289" spans="1:25" x14ac:dyDescent="0.35">
      <c r="A289" s="19"/>
      <c r="B289" s="19"/>
      <c r="C289" s="19"/>
      <c r="D289" s="19"/>
      <c r="E289" s="19"/>
      <c r="F289" s="19"/>
      <c r="G289" s="19"/>
      <c r="H289" s="19"/>
      <c r="I289" s="19"/>
      <c r="J289" s="10" t="s">
        <v>12</v>
      </c>
      <c r="K289" s="10" t="s">
        <v>12</v>
      </c>
      <c r="L289" s="10" t="s">
        <v>12</v>
      </c>
      <c r="M289" s="10" t="s">
        <v>12</v>
      </c>
      <c r="N289" s="12" t="e">
        <f>VLOOKUP(J289,'Site Allocation'!$B$2:$C$37,2,FALSE)</f>
        <v>#N/A</v>
      </c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</row>
    <row r="290" spans="1:25" x14ac:dyDescent="0.35">
      <c r="A290" s="19"/>
      <c r="B290" s="19"/>
      <c r="C290" s="19"/>
      <c r="D290" s="19"/>
      <c r="E290" s="19"/>
      <c r="F290" s="19"/>
      <c r="G290" s="19"/>
      <c r="H290" s="19"/>
      <c r="I290" s="19"/>
      <c r="J290" s="10" t="s">
        <v>12</v>
      </c>
      <c r="K290" s="10" t="s">
        <v>12</v>
      </c>
      <c r="L290" s="10" t="s">
        <v>12</v>
      </c>
      <c r="M290" s="10" t="s">
        <v>12</v>
      </c>
      <c r="N290" s="12" t="e">
        <f>VLOOKUP(J290,'Site Allocation'!$B$2:$C$37,2,FALSE)</f>
        <v>#N/A</v>
      </c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</row>
    <row r="291" spans="1:25" x14ac:dyDescent="0.35">
      <c r="A291" s="19"/>
      <c r="B291" s="19"/>
      <c r="C291" s="19"/>
      <c r="D291" s="19"/>
      <c r="E291" s="19"/>
      <c r="F291" s="19"/>
      <c r="G291" s="19"/>
      <c r="H291" s="19"/>
      <c r="I291" s="19"/>
      <c r="J291" s="10" t="s">
        <v>12</v>
      </c>
      <c r="K291" s="10" t="s">
        <v>12</v>
      </c>
      <c r="L291" s="10" t="s">
        <v>12</v>
      </c>
      <c r="M291" s="10" t="s">
        <v>12</v>
      </c>
      <c r="N291" s="12" t="e">
        <f>VLOOKUP(J291,'Site Allocation'!$B$2:$C$37,2,FALSE)</f>
        <v>#N/A</v>
      </c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</row>
    <row r="292" spans="1:25" x14ac:dyDescent="0.35">
      <c r="A292" s="19"/>
      <c r="B292" s="19"/>
      <c r="C292" s="19"/>
      <c r="D292" s="19"/>
      <c r="E292" s="19"/>
      <c r="F292" s="19"/>
      <c r="G292" s="19"/>
      <c r="H292" s="19"/>
      <c r="I292" s="19"/>
      <c r="J292" s="10" t="s">
        <v>12</v>
      </c>
      <c r="K292" s="10" t="s">
        <v>12</v>
      </c>
      <c r="L292" s="10" t="s">
        <v>12</v>
      </c>
      <c r="M292" s="10" t="s">
        <v>12</v>
      </c>
      <c r="N292" s="12" t="e">
        <f>VLOOKUP(J292,'Site Allocation'!$B$2:$C$37,2,FALSE)</f>
        <v>#N/A</v>
      </c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</row>
    <row r="293" spans="1:25" x14ac:dyDescent="0.35">
      <c r="A293" s="19"/>
      <c r="B293" s="19"/>
      <c r="C293" s="19"/>
      <c r="D293" s="19"/>
      <c r="E293" s="19"/>
      <c r="F293" s="19"/>
      <c r="G293" s="19"/>
      <c r="H293" s="19"/>
      <c r="I293" s="19"/>
      <c r="J293" s="10" t="s">
        <v>12</v>
      </c>
      <c r="K293" s="10" t="s">
        <v>12</v>
      </c>
      <c r="L293" s="10" t="s">
        <v>12</v>
      </c>
      <c r="M293" s="10" t="s">
        <v>12</v>
      </c>
      <c r="N293" s="12" t="e">
        <f>VLOOKUP(J293,'Site Allocation'!$B$2:$C$37,2,FALSE)</f>
        <v>#N/A</v>
      </c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</row>
    <row r="294" spans="1:25" x14ac:dyDescent="0.35">
      <c r="A294" s="19"/>
      <c r="B294" s="19"/>
      <c r="C294" s="19"/>
      <c r="D294" s="19"/>
      <c r="E294" s="19"/>
      <c r="F294" s="19"/>
      <c r="G294" s="19"/>
      <c r="H294" s="19"/>
      <c r="I294" s="19"/>
      <c r="J294" s="10" t="s">
        <v>12</v>
      </c>
      <c r="K294" s="10" t="s">
        <v>12</v>
      </c>
      <c r="L294" s="10" t="s">
        <v>12</v>
      </c>
      <c r="M294" s="10" t="s">
        <v>12</v>
      </c>
      <c r="N294" s="12" t="e">
        <f>VLOOKUP(J294,'Site Allocation'!$B$2:$C$37,2,FALSE)</f>
        <v>#N/A</v>
      </c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</row>
    <row r="295" spans="1:25" x14ac:dyDescent="0.35">
      <c r="A295" s="19"/>
      <c r="B295" s="19"/>
      <c r="C295" s="19"/>
      <c r="D295" s="19"/>
      <c r="E295" s="19"/>
      <c r="F295" s="19"/>
      <c r="G295" s="19"/>
      <c r="H295" s="19"/>
      <c r="I295" s="19"/>
      <c r="J295" s="10" t="s">
        <v>12</v>
      </c>
      <c r="K295" s="10" t="s">
        <v>12</v>
      </c>
      <c r="L295" s="10" t="s">
        <v>12</v>
      </c>
      <c r="M295" s="10" t="s">
        <v>12</v>
      </c>
      <c r="N295" s="12" t="e">
        <f>VLOOKUP(J295,'Site Allocation'!$B$2:$C$37,2,FALSE)</f>
        <v>#N/A</v>
      </c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</row>
    <row r="296" spans="1:25" x14ac:dyDescent="0.35">
      <c r="A296" s="19"/>
      <c r="B296" s="19"/>
      <c r="C296" s="19"/>
      <c r="D296" s="19"/>
      <c r="E296" s="19"/>
      <c r="F296" s="19"/>
      <c r="G296" s="19"/>
      <c r="H296" s="19"/>
      <c r="I296" s="19"/>
      <c r="J296" s="10" t="s">
        <v>12</v>
      </c>
      <c r="K296" s="10" t="s">
        <v>12</v>
      </c>
      <c r="L296" s="10" t="s">
        <v>12</v>
      </c>
      <c r="M296" s="10" t="s">
        <v>12</v>
      </c>
      <c r="N296" s="12" t="e">
        <f>VLOOKUP(J296,'Site Allocation'!$B$2:$C$37,2,FALSE)</f>
        <v>#N/A</v>
      </c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</row>
    <row r="297" spans="1:25" x14ac:dyDescent="0.35">
      <c r="A297" s="19"/>
      <c r="B297" s="19"/>
      <c r="C297" s="19"/>
      <c r="D297" s="19"/>
      <c r="E297" s="19"/>
      <c r="F297" s="19"/>
      <c r="G297" s="19"/>
      <c r="H297" s="19"/>
      <c r="I297" s="19"/>
      <c r="J297" s="10" t="s">
        <v>12</v>
      </c>
      <c r="K297" s="10" t="s">
        <v>12</v>
      </c>
      <c r="L297" s="10" t="s">
        <v>12</v>
      </c>
      <c r="M297" s="10" t="s">
        <v>12</v>
      </c>
      <c r="N297" s="12" t="e">
        <f>VLOOKUP(J297,'Site Allocation'!$B$2:$C$37,2,FALSE)</f>
        <v>#N/A</v>
      </c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</row>
    <row r="298" spans="1:25" x14ac:dyDescent="0.35">
      <c r="A298" s="19"/>
      <c r="B298" s="19"/>
      <c r="C298" s="19"/>
      <c r="D298" s="19"/>
      <c r="E298" s="19"/>
      <c r="F298" s="19"/>
      <c r="G298" s="19"/>
      <c r="H298" s="19"/>
      <c r="I298" s="19"/>
      <c r="J298" s="10" t="s">
        <v>12</v>
      </c>
      <c r="K298" s="10" t="s">
        <v>12</v>
      </c>
      <c r="L298" s="10" t="s">
        <v>12</v>
      </c>
      <c r="M298" s="10" t="s">
        <v>12</v>
      </c>
      <c r="N298" s="12" t="e">
        <f>VLOOKUP(J298,'Site Allocation'!$B$2:$C$37,2,FALSE)</f>
        <v>#N/A</v>
      </c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</row>
    <row r="299" spans="1:25" x14ac:dyDescent="0.35">
      <c r="A299" s="19"/>
      <c r="B299" s="19"/>
      <c r="C299" s="19"/>
      <c r="D299" s="19"/>
      <c r="E299" s="19"/>
      <c r="F299" s="19"/>
      <c r="G299" s="19"/>
      <c r="H299" s="19"/>
      <c r="I299" s="19"/>
      <c r="J299" s="10" t="s">
        <v>12</v>
      </c>
      <c r="K299" s="10" t="s">
        <v>12</v>
      </c>
      <c r="L299" s="10" t="s">
        <v>12</v>
      </c>
      <c r="M299" s="10" t="s">
        <v>12</v>
      </c>
      <c r="N299" s="12" t="e">
        <f>VLOOKUP(J299,'Site Allocation'!$B$2:$C$37,2,FALSE)</f>
        <v>#N/A</v>
      </c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</row>
    <row r="300" spans="1:25" x14ac:dyDescent="0.35">
      <c r="A300" s="19"/>
      <c r="B300" s="19"/>
      <c r="C300" s="19"/>
      <c r="D300" s="19"/>
      <c r="E300" s="19"/>
      <c r="F300" s="19"/>
      <c r="G300" s="19"/>
      <c r="H300" s="19"/>
      <c r="I300" s="19"/>
      <c r="J300" s="10" t="s">
        <v>12</v>
      </c>
      <c r="K300" s="10" t="s">
        <v>12</v>
      </c>
      <c r="L300" s="10" t="s">
        <v>12</v>
      </c>
      <c r="M300" s="10" t="s">
        <v>12</v>
      </c>
      <c r="N300" s="12" t="e">
        <f>VLOOKUP(J300,'Site Allocation'!$B$2:$C$37,2,FALSE)</f>
        <v>#N/A</v>
      </c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</row>
    <row r="301" spans="1:25" x14ac:dyDescent="0.35">
      <c r="A301" s="19"/>
      <c r="B301" s="19"/>
      <c r="C301" s="19"/>
      <c r="D301" s="19"/>
      <c r="E301" s="19"/>
      <c r="F301" s="19"/>
      <c r="G301" s="19"/>
      <c r="H301" s="19"/>
      <c r="I301" s="19"/>
      <c r="J301" s="10" t="s">
        <v>12</v>
      </c>
      <c r="K301" s="10" t="s">
        <v>12</v>
      </c>
      <c r="L301" s="10" t="s">
        <v>12</v>
      </c>
      <c r="M301" s="10" t="s">
        <v>12</v>
      </c>
      <c r="N301" s="12" t="e">
        <f>VLOOKUP(J301,'Site Allocation'!$B$2:$C$37,2,FALSE)</f>
        <v>#N/A</v>
      </c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</row>
    <row r="302" spans="1:25" x14ac:dyDescent="0.35">
      <c r="A302" s="19"/>
      <c r="B302" s="19"/>
      <c r="C302" s="19"/>
      <c r="D302" s="19"/>
      <c r="E302" s="19"/>
      <c r="F302" s="19"/>
      <c r="G302" s="19"/>
      <c r="H302" s="19"/>
      <c r="I302" s="19"/>
      <c r="J302" s="10" t="s">
        <v>12</v>
      </c>
      <c r="K302" s="10" t="s">
        <v>12</v>
      </c>
      <c r="L302" s="10" t="s">
        <v>12</v>
      </c>
      <c r="M302" s="10" t="s">
        <v>12</v>
      </c>
      <c r="N302" s="12" t="e">
        <f>VLOOKUP(J302,'Site Allocation'!$B$2:$C$37,2,FALSE)</f>
        <v>#N/A</v>
      </c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</row>
    <row r="303" spans="1:25" x14ac:dyDescent="0.35">
      <c r="A303" s="19"/>
      <c r="B303" s="19"/>
      <c r="C303" s="19"/>
      <c r="D303" s="19"/>
      <c r="E303" s="19"/>
      <c r="F303" s="19"/>
      <c r="G303" s="19"/>
      <c r="H303" s="19"/>
      <c r="I303" s="19"/>
      <c r="J303" s="10" t="s">
        <v>12</v>
      </c>
      <c r="K303" s="10" t="s">
        <v>12</v>
      </c>
      <c r="L303" s="10" t="s">
        <v>12</v>
      </c>
      <c r="M303" s="10" t="s">
        <v>12</v>
      </c>
      <c r="N303" s="12" t="e">
        <f>VLOOKUP(J303,'Site Allocation'!$B$2:$C$37,2,FALSE)</f>
        <v>#N/A</v>
      </c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</row>
    <row r="304" spans="1:25" x14ac:dyDescent="0.35">
      <c r="A304" s="19"/>
      <c r="B304" s="19"/>
      <c r="C304" s="19"/>
      <c r="D304" s="19"/>
      <c r="E304" s="19"/>
      <c r="F304" s="19"/>
      <c r="G304" s="19"/>
      <c r="H304" s="19"/>
      <c r="I304" s="19"/>
      <c r="J304" s="10" t="s">
        <v>12</v>
      </c>
      <c r="K304" s="10" t="s">
        <v>12</v>
      </c>
      <c r="L304" s="10" t="s">
        <v>12</v>
      </c>
      <c r="M304" s="10" t="s">
        <v>12</v>
      </c>
      <c r="N304" s="12" t="e">
        <f>VLOOKUP(J304,'Site Allocation'!$B$2:$C$37,2,FALSE)</f>
        <v>#N/A</v>
      </c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</row>
    <row r="305" spans="1:25" x14ac:dyDescent="0.35">
      <c r="A305" s="19"/>
      <c r="B305" s="19"/>
      <c r="C305" s="19"/>
      <c r="D305" s="19"/>
      <c r="E305" s="19"/>
      <c r="F305" s="19"/>
      <c r="G305" s="19"/>
      <c r="H305" s="19"/>
      <c r="I305" s="19"/>
      <c r="J305" s="10" t="s">
        <v>12</v>
      </c>
      <c r="K305" s="10" t="s">
        <v>12</v>
      </c>
      <c r="L305" s="10" t="s">
        <v>12</v>
      </c>
      <c r="M305" s="10" t="s">
        <v>12</v>
      </c>
      <c r="N305" s="12" t="e">
        <f>VLOOKUP(J305,'Site Allocation'!$B$2:$C$37,2,FALSE)</f>
        <v>#N/A</v>
      </c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</row>
    <row r="306" spans="1:25" x14ac:dyDescent="0.35">
      <c r="A306" s="19"/>
      <c r="B306" s="19"/>
      <c r="C306" s="19"/>
      <c r="D306" s="19"/>
      <c r="E306" s="19"/>
      <c r="F306" s="19"/>
      <c r="G306" s="19"/>
      <c r="H306" s="19"/>
      <c r="I306" s="19"/>
      <c r="J306" s="10" t="s">
        <v>12</v>
      </c>
      <c r="K306" s="10" t="s">
        <v>12</v>
      </c>
      <c r="L306" s="10" t="s">
        <v>12</v>
      </c>
      <c r="M306" s="10" t="s">
        <v>12</v>
      </c>
      <c r="N306" s="12" t="e">
        <f>VLOOKUP(J306,'Site Allocation'!$B$2:$C$37,2,FALSE)</f>
        <v>#N/A</v>
      </c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</row>
    <row r="307" spans="1:25" x14ac:dyDescent="0.35">
      <c r="A307" s="19"/>
      <c r="B307" s="19"/>
      <c r="C307" s="19"/>
      <c r="D307" s="19"/>
      <c r="E307" s="19"/>
      <c r="F307" s="19"/>
      <c r="G307" s="19"/>
      <c r="H307" s="19"/>
      <c r="I307" s="19"/>
      <c r="J307" s="10" t="s">
        <v>12</v>
      </c>
      <c r="K307" s="10" t="s">
        <v>12</v>
      </c>
      <c r="L307" s="10" t="s">
        <v>12</v>
      </c>
      <c r="M307" s="10" t="s">
        <v>12</v>
      </c>
      <c r="N307" s="12" t="e">
        <f>VLOOKUP(J307,'Site Allocation'!$B$2:$C$37,2,FALSE)</f>
        <v>#N/A</v>
      </c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</row>
    <row r="308" spans="1:25" x14ac:dyDescent="0.35">
      <c r="A308" s="19"/>
      <c r="B308" s="19"/>
      <c r="C308" s="19"/>
      <c r="D308" s="19"/>
      <c r="E308" s="19"/>
      <c r="F308" s="19"/>
      <c r="G308" s="19"/>
      <c r="H308" s="19"/>
      <c r="I308" s="19"/>
      <c r="J308" s="10" t="s">
        <v>12</v>
      </c>
      <c r="K308" s="10" t="s">
        <v>12</v>
      </c>
      <c r="L308" s="10" t="s">
        <v>12</v>
      </c>
      <c r="M308" s="10" t="s">
        <v>12</v>
      </c>
      <c r="N308" s="12" t="e">
        <f>VLOOKUP(J308,'Site Allocation'!$B$2:$C$37,2,FALSE)</f>
        <v>#N/A</v>
      </c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</row>
    <row r="309" spans="1:25" x14ac:dyDescent="0.35">
      <c r="A309" s="19"/>
      <c r="B309" s="19"/>
      <c r="C309" s="19"/>
      <c r="D309" s="19"/>
      <c r="E309" s="19"/>
      <c r="F309" s="19"/>
      <c r="G309" s="19"/>
      <c r="H309" s="19"/>
      <c r="I309" s="19"/>
      <c r="J309" s="10" t="s">
        <v>12</v>
      </c>
      <c r="K309" s="10" t="s">
        <v>12</v>
      </c>
      <c r="L309" s="10" t="s">
        <v>12</v>
      </c>
      <c r="M309" s="10" t="s">
        <v>12</v>
      </c>
      <c r="N309" s="12" t="e">
        <f>VLOOKUP(J309,'Site Allocation'!$B$2:$C$37,2,FALSE)</f>
        <v>#N/A</v>
      </c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</row>
    <row r="310" spans="1:25" x14ac:dyDescent="0.35">
      <c r="A310" s="19"/>
      <c r="B310" s="19"/>
      <c r="C310" s="19"/>
      <c r="D310" s="19"/>
      <c r="E310" s="19"/>
      <c r="F310" s="19"/>
      <c r="G310" s="19"/>
      <c r="H310" s="19"/>
      <c r="I310" s="19"/>
      <c r="J310" s="10" t="s">
        <v>12</v>
      </c>
      <c r="K310" s="10" t="s">
        <v>12</v>
      </c>
      <c r="L310" s="10" t="s">
        <v>12</v>
      </c>
      <c r="M310" s="10" t="s">
        <v>12</v>
      </c>
      <c r="N310" s="12" t="e">
        <f>VLOOKUP(J310,'Site Allocation'!$B$2:$C$37,2,FALSE)</f>
        <v>#N/A</v>
      </c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</row>
    <row r="311" spans="1:25" x14ac:dyDescent="0.35">
      <c r="A311" s="19"/>
      <c r="B311" s="19"/>
      <c r="C311" s="19"/>
      <c r="D311" s="19"/>
      <c r="E311" s="19"/>
      <c r="F311" s="19"/>
      <c r="G311" s="19"/>
      <c r="H311" s="19"/>
      <c r="I311" s="19"/>
      <c r="J311" s="10" t="s">
        <v>12</v>
      </c>
      <c r="K311" s="10" t="s">
        <v>12</v>
      </c>
      <c r="L311" s="10" t="s">
        <v>12</v>
      </c>
      <c r="M311" s="10" t="s">
        <v>12</v>
      </c>
      <c r="N311" s="12" t="e">
        <f>VLOOKUP(J311,'Site Allocation'!$B$2:$C$37,2,FALSE)</f>
        <v>#N/A</v>
      </c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</row>
    <row r="312" spans="1:25" x14ac:dyDescent="0.35">
      <c r="A312" s="19"/>
      <c r="B312" s="19"/>
      <c r="C312" s="19"/>
      <c r="D312" s="19"/>
      <c r="E312" s="19"/>
      <c r="F312" s="19"/>
      <c r="G312" s="19"/>
      <c r="H312" s="19"/>
      <c r="I312" s="19"/>
      <c r="J312" s="10" t="s">
        <v>12</v>
      </c>
      <c r="K312" s="10" t="s">
        <v>12</v>
      </c>
      <c r="L312" s="10" t="s">
        <v>12</v>
      </c>
      <c r="M312" s="10" t="s">
        <v>12</v>
      </c>
      <c r="N312" s="12" t="e">
        <f>VLOOKUP(J312,'Site Allocation'!$B$2:$C$37,2,FALSE)</f>
        <v>#N/A</v>
      </c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</row>
    <row r="313" spans="1:25" x14ac:dyDescent="0.35">
      <c r="A313" s="19"/>
      <c r="B313" s="19"/>
      <c r="C313" s="19"/>
      <c r="D313" s="19"/>
      <c r="E313" s="19"/>
      <c r="F313" s="19"/>
      <c r="G313" s="19"/>
      <c r="H313" s="19"/>
      <c r="I313" s="19"/>
      <c r="J313" s="10" t="s">
        <v>12</v>
      </c>
      <c r="K313" s="10" t="s">
        <v>12</v>
      </c>
      <c r="L313" s="10" t="s">
        <v>12</v>
      </c>
      <c r="M313" s="10" t="s">
        <v>12</v>
      </c>
      <c r="N313" s="12" t="e">
        <f>VLOOKUP(J313,'Site Allocation'!$B$2:$C$37,2,FALSE)</f>
        <v>#N/A</v>
      </c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</row>
    <row r="314" spans="1:25" x14ac:dyDescent="0.35">
      <c r="A314" s="19"/>
      <c r="B314" s="19"/>
      <c r="C314" s="19"/>
      <c r="D314" s="19"/>
      <c r="E314" s="19"/>
      <c r="F314" s="19"/>
      <c r="G314" s="19"/>
      <c r="H314" s="19"/>
      <c r="I314" s="19"/>
      <c r="J314" s="10" t="s">
        <v>12</v>
      </c>
      <c r="K314" s="10" t="s">
        <v>12</v>
      </c>
      <c r="L314" s="10" t="s">
        <v>12</v>
      </c>
      <c r="M314" s="10" t="s">
        <v>12</v>
      </c>
      <c r="N314" s="12" t="e">
        <f>VLOOKUP(J314,'Site Allocation'!$B$2:$C$37,2,FALSE)</f>
        <v>#N/A</v>
      </c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</row>
    <row r="315" spans="1:25" x14ac:dyDescent="0.35">
      <c r="A315" s="19"/>
      <c r="B315" s="19"/>
      <c r="C315" s="19"/>
      <c r="D315" s="19"/>
      <c r="E315" s="19"/>
      <c r="F315" s="19"/>
      <c r="G315" s="19"/>
      <c r="H315" s="19"/>
      <c r="I315" s="19"/>
      <c r="J315" s="10" t="s">
        <v>12</v>
      </c>
      <c r="K315" s="10" t="s">
        <v>12</v>
      </c>
      <c r="L315" s="10" t="s">
        <v>12</v>
      </c>
      <c r="M315" s="10" t="s">
        <v>12</v>
      </c>
      <c r="N315" s="12" t="e">
        <f>VLOOKUP(J315,'Site Allocation'!$B$2:$C$37,2,FALSE)</f>
        <v>#N/A</v>
      </c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</row>
    <row r="316" spans="1:25" x14ac:dyDescent="0.35">
      <c r="A316" s="19"/>
      <c r="B316" s="19"/>
      <c r="C316" s="19"/>
      <c r="D316" s="19"/>
      <c r="E316" s="19"/>
      <c r="F316" s="19"/>
      <c r="G316" s="19"/>
      <c r="H316" s="19"/>
      <c r="I316" s="19"/>
      <c r="J316" s="10" t="s">
        <v>12</v>
      </c>
      <c r="K316" s="10" t="s">
        <v>12</v>
      </c>
      <c r="L316" s="10" t="s">
        <v>12</v>
      </c>
      <c r="M316" s="10" t="s">
        <v>12</v>
      </c>
      <c r="N316" s="12" t="e">
        <f>VLOOKUP(J316,'Site Allocation'!$B$2:$C$37,2,FALSE)</f>
        <v>#N/A</v>
      </c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</row>
    <row r="317" spans="1:25" x14ac:dyDescent="0.35">
      <c r="A317" s="19"/>
      <c r="B317" s="19"/>
      <c r="C317" s="19"/>
      <c r="D317" s="19"/>
      <c r="E317" s="19"/>
      <c r="F317" s="19"/>
      <c r="G317" s="19"/>
      <c r="H317" s="19"/>
      <c r="I317" s="19"/>
      <c r="J317" s="10" t="s">
        <v>12</v>
      </c>
      <c r="K317" s="10" t="s">
        <v>12</v>
      </c>
      <c r="L317" s="10" t="s">
        <v>12</v>
      </c>
      <c r="M317" s="10" t="s">
        <v>12</v>
      </c>
      <c r="N317" s="12" t="e">
        <f>VLOOKUP(J317,'Site Allocation'!$B$2:$C$37,2,FALSE)</f>
        <v>#N/A</v>
      </c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</row>
    <row r="318" spans="1:25" x14ac:dyDescent="0.35">
      <c r="A318" s="19"/>
      <c r="B318" s="19"/>
      <c r="C318" s="19"/>
      <c r="D318" s="19"/>
      <c r="E318" s="19"/>
      <c r="F318" s="19"/>
      <c r="G318" s="19"/>
      <c r="H318" s="19"/>
      <c r="I318" s="19"/>
      <c r="J318" s="10" t="s">
        <v>12</v>
      </c>
      <c r="K318" s="10" t="s">
        <v>12</v>
      </c>
      <c r="L318" s="10" t="s">
        <v>12</v>
      </c>
      <c r="M318" s="10" t="s">
        <v>12</v>
      </c>
      <c r="N318" s="12" t="e">
        <f>VLOOKUP(J318,'Site Allocation'!$B$2:$C$37,2,FALSE)</f>
        <v>#N/A</v>
      </c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</row>
    <row r="319" spans="1:25" x14ac:dyDescent="0.35">
      <c r="A319" s="19"/>
      <c r="B319" s="19"/>
      <c r="C319" s="19"/>
      <c r="D319" s="19"/>
      <c r="E319" s="19"/>
      <c r="F319" s="19"/>
      <c r="G319" s="19"/>
      <c r="H319" s="19"/>
      <c r="I319" s="19"/>
      <c r="J319" s="10" t="s">
        <v>12</v>
      </c>
      <c r="K319" s="10" t="s">
        <v>12</v>
      </c>
      <c r="L319" s="10" t="s">
        <v>12</v>
      </c>
      <c r="M319" s="10" t="s">
        <v>12</v>
      </c>
      <c r="N319" s="12" t="e">
        <f>VLOOKUP(J319,'Site Allocation'!$B$2:$C$37,2,FALSE)</f>
        <v>#N/A</v>
      </c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</row>
    <row r="320" spans="1:25" x14ac:dyDescent="0.35">
      <c r="A320" s="19"/>
      <c r="B320" s="19"/>
      <c r="C320" s="19"/>
      <c r="D320" s="19"/>
      <c r="E320" s="19"/>
      <c r="F320" s="19"/>
      <c r="G320" s="19"/>
      <c r="H320" s="19"/>
      <c r="I320" s="19"/>
      <c r="J320" s="10" t="s">
        <v>12</v>
      </c>
      <c r="K320" s="10" t="s">
        <v>12</v>
      </c>
      <c r="L320" s="10" t="s">
        <v>12</v>
      </c>
      <c r="M320" s="10" t="s">
        <v>12</v>
      </c>
      <c r="N320" s="12" t="e">
        <f>VLOOKUP(J320,'Site Allocation'!$B$2:$C$37,2,FALSE)</f>
        <v>#N/A</v>
      </c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</row>
    <row r="321" spans="1:25" x14ac:dyDescent="0.35">
      <c r="A321" s="19"/>
      <c r="B321" s="19"/>
      <c r="C321" s="19"/>
      <c r="D321" s="19"/>
      <c r="E321" s="19"/>
      <c r="F321" s="19"/>
      <c r="G321" s="19"/>
      <c r="H321" s="19"/>
      <c r="I321" s="19"/>
      <c r="J321" s="10" t="s">
        <v>12</v>
      </c>
      <c r="K321" s="10" t="s">
        <v>12</v>
      </c>
      <c r="L321" s="10" t="s">
        <v>12</v>
      </c>
      <c r="M321" s="10" t="s">
        <v>12</v>
      </c>
      <c r="N321" s="12" t="e">
        <f>VLOOKUP(J321,'Site Allocation'!$B$2:$C$37,2,FALSE)</f>
        <v>#N/A</v>
      </c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</row>
    <row r="322" spans="1:25" x14ac:dyDescent="0.35">
      <c r="A322" s="19"/>
      <c r="B322" s="19"/>
      <c r="C322" s="19"/>
      <c r="D322" s="19"/>
      <c r="E322" s="19"/>
      <c r="F322" s="19"/>
      <c r="G322" s="19"/>
      <c r="H322" s="19"/>
      <c r="I322" s="19"/>
      <c r="J322" s="10" t="s">
        <v>12</v>
      </c>
      <c r="K322" s="10" t="s">
        <v>12</v>
      </c>
      <c r="L322" s="10" t="s">
        <v>12</v>
      </c>
      <c r="M322" s="10" t="s">
        <v>12</v>
      </c>
      <c r="N322" s="12" t="e">
        <f>VLOOKUP(J322,'Site Allocation'!$B$2:$C$37,2,FALSE)</f>
        <v>#N/A</v>
      </c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</row>
    <row r="323" spans="1:25" x14ac:dyDescent="0.35">
      <c r="A323" s="19"/>
      <c r="B323" s="19"/>
      <c r="C323" s="19"/>
      <c r="D323" s="19"/>
      <c r="E323" s="19"/>
      <c r="F323" s="19"/>
      <c r="G323" s="19"/>
      <c r="H323" s="19"/>
      <c r="I323" s="19"/>
      <c r="J323" s="10" t="s">
        <v>12</v>
      </c>
      <c r="K323" s="10" t="s">
        <v>12</v>
      </c>
      <c r="L323" s="10" t="s">
        <v>12</v>
      </c>
      <c r="M323" s="10" t="s">
        <v>12</v>
      </c>
      <c r="N323" s="12" t="e">
        <f>VLOOKUP(J323,'Site Allocation'!$B$2:$C$37,2,FALSE)</f>
        <v>#N/A</v>
      </c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</row>
    <row r="324" spans="1:25" x14ac:dyDescent="0.35">
      <c r="A324" s="19"/>
      <c r="B324" s="19"/>
      <c r="C324" s="19"/>
      <c r="D324" s="19"/>
      <c r="E324" s="19"/>
      <c r="F324" s="19"/>
      <c r="G324" s="19"/>
      <c r="H324" s="19"/>
      <c r="I324" s="19"/>
      <c r="J324" s="10" t="s">
        <v>12</v>
      </c>
      <c r="K324" s="10" t="s">
        <v>12</v>
      </c>
      <c r="L324" s="10" t="s">
        <v>12</v>
      </c>
      <c r="M324" s="10" t="s">
        <v>12</v>
      </c>
      <c r="N324" s="12" t="e">
        <f>VLOOKUP(J324,'Site Allocation'!$B$2:$C$37,2,FALSE)</f>
        <v>#N/A</v>
      </c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</row>
    <row r="325" spans="1:25" x14ac:dyDescent="0.35">
      <c r="A325" s="19"/>
      <c r="B325" s="19"/>
      <c r="C325" s="19"/>
      <c r="D325" s="19"/>
      <c r="E325" s="19"/>
      <c r="F325" s="19"/>
      <c r="G325" s="19"/>
      <c r="H325" s="19"/>
      <c r="I325" s="19"/>
      <c r="J325" s="10" t="s">
        <v>12</v>
      </c>
      <c r="K325" s="10" t="s">
        <v>12</v>
      </c>
      <c r="L325" s="10" t="s">
        <v>12</v>
      </c>
      <c r="M325" s="10" t="s">
        <v>12</v>
      </c>
      <c r="N325" s="12" t="e">
        <f>VLOOKUP(J325,'Site Allocation'!$B$2:$C$37,2,FALSE)</f>
        <v>#N/A</v>
      </c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</row>
    <row r="326" spans="1:25" x14ac:dyDescent="0.35">
      <c r="A326" s="19"/>
      <c r="B326" s="19"/>
      <c r="C326" s="19"/>
      <c r="D326" s="19"/>
      <c r="E326" s="19"/>
      <c r="F326" s="19"/>
      <c r="G326" s="19"/>
      <c r="H326" s="19"/>
      <c r="I326" s="19"/>
      <c r="J326" s="10" t="s">
        <v>12</v>
      </c>
      <c r="K326" s="10" t="s">
        <v>12</v>
      </c>
      <c r="L326" s="10" t="s">
        <v>12</v>
      </c>
      <c r="M326" s="10" t="s">
        <v>12</v>
      </c>
      <c r="N326" s="12" t="e">
        <f>VLOOKUP(J326,'Site Allocation'!$B$2:$C$37,2,FALSE)</f>
        <v>#N/A</v>
      </c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</row>
    <row r="327" spans="1:25" x14ac:dyDescent="0.35">
      <c r="A327" s="19"/>
      <c r="B327" s="19"/>
      <c r="C327" s="19"/>
      <c r="D327" s="19"/>
      <c r="E327" s="19"/>
      <c r="F327" s="19"/>
      <c r="G327" s="19"/>
      <c r="H327" s="19"/>
      <c r="I327" s="19"/>
      <c r="J327" s="10" t="s">
        <v>12</v>
      </c>
      <c r="K327" s="10" t="s">
        <v>12</v>
      </c>
      <c r="L327" s="10" t="s">
        <v>12</v>
      </c>
      <c r="M327" s="10" t="s">
        <v>12</v>
      </c>
      <c r="N327" s="12" t="e">
        <f>VLOOKUP(J327,'Site Allocation'!$B$2:$C$37,2,FALSE)</f>
        <v>#N/A</v>
      </c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</row>
    <row r="328" spans="1:25" x14ac:dyDescent="0.35">
      <c r="A328" s="19"/>
      <c r="B328" s="19"/>
      <c r="C328" s="19"/>
      <c r="D328" s="19"/>
      <c r="E328" s="19"/>
      <c r="F328" s="19"/>
      <c r="G328" s="19"/>
      <c r="H328" s="19"/>
      <c r="I328" s="19"/>
      <c r="J328" s="10" t="s">
        <v>12</v>
      </c>
      <c r="K328" s="10" t="s">
        <v>12</v>
      </c>
      <c r="L328" s="10" t="s">
        <v>12</v>
      </c>
      <c r="M328" s="10" t="s">
        <v>12</v>
      </c>
      <c r="N328" s="12" t="e">
        <f>VLOOKUP(J328,'Site Allocation'!$B$2:$C$37,2,FALSE)</f>
        <v>#N/A</v>
      </c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</row>
    <row r="329" spans="1:25" x14ac:dyDescent="0.35">
      <c r="A329" s="19"/>
      <c r="B329" s="19"/>
      <c r="C329" s="19"/>
      <c r="D329" s="19"/>
      <c r="E329" s="19"/>
      <c r="F329" s="19"/>
      <c r="G329" s="19"/>
      <c r="H329" s="19"/>
      <c r="I329" s="19"/>
      <c r="J329" s="10" t="s">
        <v>12</v>
      </c>
      <c r="K329" s="10" t="s">
        <v>12</v>
      </c>
      <c r="L329" s="10" t="s">
        <v>12</v>
      </c>
      <c r="M329" s="10" t="s">
        <v>12</v>
      </c>
      <c r="N329" s="12" t="e">
        <f>VLOOKUP(J329,'Site Allocation'!$B$2:$C$37,2,FALSE)</f>
        <v>#N/A</v>
      </c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</row>
    <row r="330" spans="1:25" x14ac:dyDescent="0.35">
      <c r="A330" s="19"/>
      <c r="B330" s="19"/>
      <c r="C330" s="19"/>
      <c r="D330" s="19"/>
      <c r="E330" s="19"/>
      <c r="F330" s="19"/>
      <c r="G330" s="19"/>
      <c r="H330" s="19"/>
      <c r="I330" s="19"/>
      <c r="J330" s="10" t="s">
        <v>12</v>
      </c>
      <c r="K330" s="10" t="s">
        <v>12</v>
      </c>
      <c r="L330" s="10" t="s">
        <v>12</v>
      </c>
      <c r="M330" s="10" t="s">
        <v>12</v>
      </c>
      <c r="N330" s="12" t="e">
        <f>VLOOKUP(J330,'Site Allocation'!$B$2:$C$37,2,FALSE)</f>
        <v>#N/A</v>
      </c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</row>
    <row r="331" spans="1:25" x14ac:dyDescent="0.35">
      <c r="A331" s="19"/>
      <c r="B331" s="19"/>
      <c r="C331" s="19"/>
      <c r="D331" s="19"/>
      <c r="E331" s="19"/>
      <c r="F331" s="19"/>
      <c r="G331" s="19"/>
      <c r="H331" s="19"/>
      <c r="I331" s="19"/>
      <c r="J331" s="10" t="s">
        <v>12</v>
      </c>
      <c r="K331" s="10" t="s">
        <v>12</v>
      </c>
      <c r="L331" s="10" t="s">
        <v>12</v>
      </c>
      <c r="M331" s="10" t="s">
        <v>12</v>
      </c>
      <c r="N331" s="12" t="e">
        <f>VLOOKUP(J331,'Site Allocation'!$B$2:$C$37,2,FALSE)</f>
        <v>#N/A</v>
      </c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</row>
    <row r="332" spans="1:25" x14ac:dyDescent="0.35">
      <c r="A332" s="19"/>
      <c r="B332" s="19"/>
      <c r="C332" s="19"/>
      <c r="D332" s="19"/>
      <c r="E332" s="19"/>
      <c r="F332" s="19"/>
      <c r="G332" s="19"/>
      <c r="H332" s="19"/>
      <c r="I332" s="19"/>
      <c r="J332" s="10" t="s">
        <v>12</v>
      </c>
      <c r="K332" s="10" t="s">
        <v>12</v>
      </c>
      <c r="L332" s="10" t="s">
        <v>12</v>
      </c>
      <c r="M332" s="10" t="s">
        <v>12</v>
      </c>
      <c r="N332" s="12" t="e">
        <f>VLOOKUP(J332,'Site Allocation'!$B$2:$C$37,2,FALSE)</f>
        <v>#N/A</v>
      </c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</row>
    <row r="333" spans="1:25" x14ac:dyDescent="0.35">
      <c r="A333" s="19"/>
      <c r="B333" s="19"/>
      <c r="C333" s="19"/>
      <c r="D333" s="19"/>
      <c r="E333" s="19"/>
      <c r="F333" s="19"/>
      <c r="G333" s="19"/>
      <c r="H333" s="19"/>
      <c r="I333" s="19"/>
      <c r="J333" s="10" t="s">
        <v>12</v>
      </c>
      <c r="K333" s="10" t="s">
        <v>12</v>
      </c>
      <c r="L333" s="10" t="s">
        <v>12</v>
      </c>
      <c r="M333" s="10" t="s">
        <v>12</v>
      </c>
      <c r="N333" s="12" t="e">
        <f>VLOOKUP(J333,'Site Allocation'!$B$2:$C$37,2,FALSE)</f>
        <v>#N/A</v>
      </c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</row>
    <row r="334" spans="1:25" x14ac:dyDescent="0.35">
      <c r="A334" s="19"/>
      <c r="B334" s="19"/>
      <c r="C334" s="19"/>
      <c r="D334" s="19"/>
      <c r="E334" s="19"/>
      <c r="F334" s="19"/>
      <c r="G334" s="19"/>
      <c r="H334" s="19"/>
      <c r="I334" s="19"/>
      <c r="J334" s="10" t="s">
        <v>12</v>
      </c>
      <c r="K334" s="10" t="s">
        <v>12</v>
      </c>
      <c r="L334" s="10" t="s">
        <v>12</v>
      </c>
      <c r="M334" s="10" t="s">
        <v>12</v>
      </c>
      <c r="N334" s="12" t="e">
        <f>VLOOKUP(J334,'Site Allocation'!$B$2:$C$37,2,FALSE)</f>
        <v>#N/A</v>
      </c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</row>
    <row r="335" spans="1:25" x14ac:dyDescent="0.35">
      <c r="A335" s="19"/>
      <c r="B335" s="19"/>
      <c r="C335" s="19"/>
      <c r="D335" s="19"/>
      <c r="E335" s="19"/>
      <c r="F335" s="19"/>
      <c r="G335" s="19"/>
      <c r="H335" s="19"/>
      <c r="I335" s="19"/>
      <c r="J335" s="10" t="s">
        <v>12</v>
      </c>
      <c r="K335" s="10" t="s">
        <v>12</v>
      </c>
      <c r="L335" s="10" t="s">
        <v>12</v>
      </c>
      <c r="M335" s="10" t="s">
        <v>12</v>
      </c>
      <c r="N335" s="12" t="e">
        <f>VLOOKUP(J335,'Site Allocation'!$B$2:$C$37,2,FALSE)</f>
        <v>#N/A</v>
      </c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</row>
    <row r="336" spans="1:25" x14ac:dyDescent="0.35">
      <c r="A336" s="19"/>
      <c r="B336" s="19"/>
      <c r="C336" s="19"/>
      <c r="D336" s="19"/>
      <c r="E336" s="19"/>
      <c r="F336" s="19"/>
      <c r="G336" s="19"/>
      <c r="H336" s="19"/>
      <c r="I336" s="19"/>
      <c r="J336" s="10" t="s">
        <v>12</v>
      </c>
      <c r="K336" s="10" t="s">
        <v>12</v>
      </c>
      <c r="L336" s="10" t="s">
        <v>12</v>
      </c>
      <c r="M336" s="10" t="s">
        <v>12</v>
      </c>
      <c r="N336" s="12" t="e">
        <f>VLOOKUP(J336,'Site Allocation'!$B$2:$C$37,2,FALSE)</f>
        <v>#N/A</v>
      </c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</row>
    <row r="337" spans="1:25" x14ac:dyDescent="0.35">
      <c r="A337" s="19"/>
      <c r="B337" s="19"/>
      <c r="C337" s="19"/>
      <c r="D337" s="19"/>
      <c r="E337" s="19"/>
      <c r="F337" s="19"/>
      <c r="G337" s="19"/>
      <c r="H337" s="19"/>
      <c r="I337" s="19"/>
      <c r="J337" s="10" t="s">
        <v>12</v>
      </c>
      <c r="K337" s="10" t="s">
        <v>12</v>
      </c>
      <c r="L337" s="10" t="s">
        <v>12</v>
      </c>
      <c r="M337" s="10" t="s">
        <v>12</v>
      </c>
      <c r="N337" s="12" t="e">
        <f>VLOOKUP(J337,'Site Allocation'!$B$2:$C$37,2,FALSE)</f>
        <v>#N/A</v>
      </c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</row>
    <row r="338" spans="1:25" x14ac:dyDescent="0.35">
      <c r="A338" s="19"/>
      <c r="B338" s="19"/>
      <c r="C338" s="19"/>
      <c r="D338" s="19"/>
      <c r="E338" s="19"/>
      <c r="F338" s="19"/>
      <c r="G338" s="19"/>
      <c r="H338" s="19"/>
      <c r="I338" s="19"/>
      <c r="J338" s="10" t="s">
        <v>12</v>
      </c>
      <c r="K338" s="10" t="s">
        <v>12</v>
      </c>
      <c r="L338" s="10" t="s">
        <v>12</v>
      </c>
      <c r="M338" s="10" t="s">
        <v>12</v>
      </c>
      <c r="N338" s="12" t="e">
        <f>VLOOKUP(J338,'Site Allocation'!$B$2:$C$37,2,FALSE)</f>
        <v>#N/A</v>
      </c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</row>
    <row r="339" spans="1:25" x14ac:dyDescent="0.35">
      <c r="A339" s="19"/>
      <c r="B339" s="19"/>
      <c r="C339" s="19"/>
      <c r="D339" s="19"/>
      <c r="E339" s="19"/>
      <c r="F339" s="19"/>
      <c r="G339" s="19"/>
      <c r="H339" s="19"/>
      <c r="I339" s="19"/>
      <c r="J339" s="10" t="s">
        <v>12</v>
      </c>
      <c r="K339" s="10" t="s">
        <v>12</v>
      </c>
      <c r="L339" s="10" t="s">
        <v>12</v>
      </c>
      <c r="M339" s="10" t="s">
        <v>12</v>
      </c>
      <c r="N339" s="12" t="e">
        <f>VLOOKUP(J339,'Site Allocation'!$B$2:$C$37,2,FALSE)</f>
        <v>#N/A</v>
      </c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</row>
    <row r="340" spans="1:25" x14ac:dyDescent="0.35">
      <c r="A340" s="19"/>
      <c r="B340" s="19"/>
      <c r="C340" s="19"/>
      <c r="D340" s="19"/>
      <c r="E340" s="19"/>
      <c r="F340" s="19"/>
      <c r="G340" s="19"/>
      <c r="H340" s="19"/>
      <c r="I340" s="19"/>
      <c r="J340" s="10" t="s">
        <v>12</v>
      </c>
      <c r="K340" s="10" t="s">
        <v>12</v>
      </c>
      <c r="L340" s="10" t="s">
        <v>12</v>
      </c>
      <c r="M340" s="10" t="s">
        <v>12</v>
      </c>
      <c r="N340" s="12" t="e">
        <f>VLOOKUP(J340,'Site Allocation'!$B$2:$C$37,2,FALSE)</f>
        <v>#N/A</v>
      </c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</row>
    <row r="341" spans="1:25" x14ac:dyDescent="0.35">
      <c r="A341" s="19"/>
      <c r="B341" s="19"/>
      <c r="C341" s="19"/>
      <c r="D341" s="19"/>
      <c r="E341" s="19"/>
      <c r="F341" s="19"/>
      <c r="G341" s="19"/>
      <c r="H341" s="19"/>
      <c r="I341" s="19"/>
      <c r="J341" s="10" t="s">
        <v>12</v>
      </c>
      <c r="K341" s="10" t="s">
        <v>12</v>
      </c>
      <c r="L341" s="10" t="s">
        <v>12</v>
      </c>
      <c r="M341" s="10" t="s">
        <v>12</v>
      </c>
      <c r="N341" s="12" t="e">
        <f>VLOOKUP(J341,'Site Allocation'!$B$2:$C$37,2,FALSE)</f>
        <v>#N/A</v>
      </c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</row>
    <row r="342" spans="1:25" x14ac:dyDescent="0.35">
      <c r="A342" s="19"/>
      <c r="B342" s="19"/>
      <c r="C342" s="19"/>
      <c r="D342" s="19"/>
      <c r="E342" s="19"/>
      <c r="F342" s="19"/>
      <c r="G342" s="19"/>
      <c r="H342" s="19"/>
      <c r="I342" s="19"/>
      <c r="J342" s="10" t="s">
        <v>12</v>
      </c>
      <c r="K342" s="10" t="s">
        <v>12</v>
      </c>
      <c r="L342" s="10" t="s">
        <v>12</v>
      </c>
      <c r="M342" s="10" t="s">
        <v>12</v>
      </c>
      <c r="N342" s="12" t="e">
        <f>VLOOKUP(J342,'Site Allocation'!$B$2:$C$37,2,FALSE)</f>
        <v>#N/A</v>
      </c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</row>
    <row r="343" spans="1:25" x14ac:dyDescent="0.35">
      <c r="A343" s="19"/>
      <c r="B343" s="19"/>
      <c r="C343" s="19"/>
      <c r="D343" s="19"/>
      <c r="E343" s="19"/>
      <c r="F343" s="19"/>
      <c r="G343" s="19"/>
      <c r="H343" s="19"/>
      <c r="I343" s="19"/>
      <c r="J343" s="10" t="s">
        <v>12</v>
      </c>
      <c r="K343" s="10" t="s">
        <v>12</v>
      </c>
      <c r="L343" s="10" t="s">
        <v>12</v>
      </c>
      <c r="M343" s="10" t="s">
        <v>12</v>
      </c>
      <c r="N343" s="12" t="e">
        <f>VLOOKUP(J343,'Site Allocation'!$B$2:$C$37,2,FALSE)</f>
        <v>#N/A</v>
      </c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</row>
    <row r="344" spans="1:25" x14ac:dyDescent="0.35">
      <c r="A344" s="19"/>
      <c r="B344" s="19"/>
      <c r="C344" s="19"/>
      <c r="D344" s="19"/>
      <c r="E344" s="19"/>
      <c r="F344" s="19"/>
      <c r="G344" s="19"/>
      <c r="H344" s="19"/>
      <c r="I344" s="19"/>
      <c r="J344" s="10" t="s">
        <v>12</v>
      </c>
      <c r="K344" s="10" t="s">
        <v>12</v>
      </c>
      <c r="L344" s="10" t="s">
        <v>12</v>
      </c>
      <c r="M344" s="10" t="s">
        <v>12</v>
      </c>
      <c r="N344" s="12" t="e">
        <f>VLOOKUP(J344,'Site Allocation'!$B$2:$C$37,2,FALSE)</f>
        <v>#N/A</v>
      </c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</row>
    <row r="345" spans="1:25" x14ac:dyDescent="0.35">
      <c r="A345" s="19"/>
      <c r="B345" s="19"/>
      <c r="C345" s="19"/>
      <c r="D345" s="19"/>
      <c r="E345" s="19"/>
      <c r="F345" s="19"/>
      <c r="G345" s="19"/>
      <c r="H345" s="19"/>
      <c r="I345" s="19"/>
      <c r="J345" s="10" t="s">
        <v>12</v>
      </c>
      <c r="K345" s="10" t="s">
        <v>12</v>
      </c>
      <c r="L345" s="10" t="s">
        <v>12</v>
      </c>
      <c r="M345" s="10" t="s">
        <v>12</v>
      </c>
      <c r="N345" s="12" t="e">
        <f>VLOOKUP(J345,'Site Allocation'!$B$2:$C$37,2,FALSE)</f>
        <v>#N/A</v>
      </c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</row>
    <row r="346" spans="1:25" x14ac:dyDescent="0.35">
      <c r="A346" s="19"/>
      <c r="B346" s="19"/>
      <c r="C346" s="19"/>
      <c r="D346" s="19"/>
      <c r="E346" s="19"/>
      <c r="F346" s="19"/>
      <c r="G346" s="19"/>
      <c r="H346" s="19"/>
      <c r="I346" s="19"/>
      <c r="J346" s="10" t="s">
        <v>12</v>
      </c>
      <c r="K346" s="10" t="s">
        <v>12</v>
      </c>
      <c r="L346" s="10" t="s">
        <v>12</v>
      </c>
      <c r="M346" s="10" t="s">
        <v>12</v>
      </c>
      <c r="N346" s="12" t="e">
        <f>VLOOKUP(J346,'Site Allocation'!$B$2:$C$37,2,FALSE)</f>
        <v>#N/A</v>
      </c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</row>
    <row r="347" spans="1:25" x14ac:dyDescent="0.35">
      <c r="A347" s="19"/>
      <c r="B347" s="19"/>
      <c r="C347" s="19"/>
      <c r="D347" s="19"/>
      <c r="E347" s="19"/>
      <c r="F347" s="19"/>
      <c r="G347" s="19"/>
      <c r="H347" s="19"/>
      <c r="I347" s="19"/>
      <c r="J347" s="10" t="s">
        <v>12</v>
      </c>
      <c r="K347" s="10" t="s">
        <v>12</v>
      </c>
      <c r="L347" s="10" t="s">
        <v>12</v>
      </c>
      <c r="M347" s="10" t="s">
        <v>12</v>
      </c>
      <c r="N347" s="12" t="e">
        <f>VLOOKUP(J347,'Site Allocation'!$B$2:$C$37,2,FALSE)</f>
        <v>#N/A</v>
      </c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</row>
    <row r="348" spans="1:25" x14ac:dyDescent="0.35">
      <c r="A348" s="19"/>
      <c r="B348" s="19"/>
      <c r="C348" s="19"/>
      <c r="D348" s="19"/>
      <c r="E348" s="19"/>
      <c r="F348" s="19"/>
      <c r="G348" s="19"/>
      <c r="H348" s="19"/>
      <c r="I348" s="19"/>
      <c r="J348" s="10" t="s">
        <v>12</v>
      </c>
      <c r="K348" s="10" t="s">
        <v>12</v>
      </c>
      <c r="L348" s="10" t="s">
        <v>12</v>
      </c>
      <c r="M348" s="10" t="s">
        <v>12</v>
      </c>
      <c r="N348" s="12" t="e">
        <f>VLOOKUP(J348,'Site Allocation'!$B$2:$C$37,2,FALSE)</f>
        <v>#N/A</v>
      </c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</row>
    <row r="349" spans="1:25" x14ac:dyDescent="0.35">
      <c r="A349" s="19"/>
      <c r="B349" s="19"/>
      <c r="C349" s="19"/>
      <c r="D349" s="19"/>
      <c r="E349" s="19"/>
      <c r="F349" s="19"/>
      <c r="G349" s="19"/>
      <c r="H349" s="19"/>
      <c r="I349" s="19"/>
      <c r="J349" s="10" t="s">
        <v>12</v>
      </c>
      <c r="K349" s="10" t="s">
        <v>12</v>
      </c>
      <c r="L349" s="10" t="s">
        <v>12</v>
      </c>
      <c r="M349" s="10" t="s">
        <v>12</v>
      </c>
      <c r="N349" s="12" t="e">
        <f>VLOOKUP(J349,'Site Allocation'!$B$2:$C$37,2,FALSE)</f>
        <v>#N/A</v>
      </c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</row>
    <row r="350" spans="1:25" x14ac:dyDescent="0.35">
      <c r="A350" s="19"/>
      <c r="B350" s="19"/>
      <c r="C350" s="19"/>
      <c r="D350" s="19"/>
      <c r="E350" s="19"/>
      <c r="F350" s="19"/>
      <c r="G350" s="19"/>
      <c r="H350" s="19"/>
      <c r="I350" s="19"/>
      <c r="J350" s="10" t="s">
        <v>12</v>
      </c>
      <c r="K350" s="10" t="s">
        <v>12</v>
      </c>
      <c r="L350" s="10" t="s">
        <v>12</v>
      </c>
      <c r="M350" s="10" t="s">
        <v>12</v>
      </c>
      <c r="N350" s="12" t="e">
        <f>VLOOKUP(J350,'Site Allocation'!$B$2:$C$37,2,FALSE)</f>
        <v>#N/A</v>
      </c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</row>
    <row r="351" spans="1:25" x14ac:dyDescent="0.35">
      <c r="A351" s="19"/>
      <c r="B351" s="19"/>
      <c r="C351" s="19"/>
      <c r="D351" s="19"/>
      <c r="E351" s="19"/>
      <c r="F351" s="19"/>
      <c r="G351" s="19"/>
      <c r="H351" s="19"/>
      <c r="I351" s="19"/>
      <c r="J351" s="10" t="s">
        <v>12</v>
      </c>
      <c r="K351" s="10" t="s">
        <v>12</v>
      </c>
      <c r="L351" s="10" t="s">
        <v>12</v>
      </c>
      <c r="M351" s="10" t="s">
        <v>12</v>
      </c>
      <c r="N351" s="12" t="e">
        <f>VLOOKUP(J351,'Site Allocation'!$B$2:$C$37,2,FALSE)</f>
        <v>#N/A</v>
      </c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</row>
    <row r="352" spans="1:25" x14ac:dyDescent="0.35">
      <c r="A352" s="19"/>
      <c r="B352" s="19"/>
      <c r="C352" s="19"/>
      <c r="D352" s="19"/>
      <c r="E352" s="19"/>
      <c r="F352" s="19"/>
      <c r="G352" s="19"/>
      <c r="H352" s="19"/>
      <c r="I352" s="19"/>
      <c r="J352" s="10" t="s">
        <v>12</v>
      </c>
      <c r="K352" s="10" t="s">
        <v>12</v>
      </c>
      <c r="L352" s="10" t="s">
        <v>12</v>
      </c>
      <c r="M352" s="10" t="s">
        <v>12</v>
      </c>
      <c r="N352" s="12" t="e">
        <f>VLOOKUP(J352,'Site Allocation'!$B$2:$C$37,2,FALSE)</f>
        <v>#N/A</v>
      </c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</row>
    <row r="353" spans="1:25" x14ac:dyDescent="0.35">
      <c r="A353" s="19"/>
      <c r="B353" s="19"/>
      <c r="C353" s="19"/>
      <c r="D353" s="19"/>
      <c r="E353" s="19"/>
      <c r="F353" s="19"/>
      <c r="G353" s="19"/>
      <c r="H353" s="19"/>
      <c r="I353" s="19"/>
      <c r="J353" s="10" t="s">
        <v>12</v>
      </c>
      <c r="K353" s="10" t="s">
        <v>12</v>
      </c>
      <c r="L353" s="10" t="s">
        <v>12</v>
      </c>
      <c r="M353" s="10" t="s">
        <v>12</v>
      </c>
      <c r="N353" s="12" t="e">
        <f>VLOOKUP(J353,'Site Allocation'!$B$2:$C$37,2,FALSE)</f>
        <v>#N/A</v>
      </c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</row>
    <row r="354" spans="1:25" x14ac:dyDescent="0.35">
      <c r="A354" s="19"/>
      <c r="B354" s="19"/>
      <c r="C354" s="19"/>
      <c r="D354" s="19"/>
      <c r="E354" s="19"/>
      <c r="F354" s="19"/>
      <c r="G354" s="19"/>
      <c r="H354" s="19"/>
      <c r="I354" s="19"/>
      <c r="J354" s="10" t="s">
        <v>12</v>
      </c>
      <c r="K354" s="10" t="s">
        <v>12</v>
      </c>
      <c r="L354" s="10" t="s">
        <v>12</v>
      </c>
      <c r="M354" s="10" t="s">
        <v>12</v>
      </c>
      <c r="N354" s="12" t="e">
        <f>VLOOKUP(J354,'Site Allocation'!$B$2:$C$37,2,FALSE)</f>
        <v>#N/A</v>
      </c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</row>
    <row r="355" spans="1:25" x14ac:dyDescent="0.35">
      <c r="A355" s="19"/>
      <c r="B355" s="19"/>
      <c r="C355" s="19"/>
      <c r="D355" s="19"/>
      <c r="E355" s="19"/>
      <c r="F355" s="19"/>
      <c r="G355" s="19"/>
      <c r="H355" s="19"/>
      <c r="I355" s="19"/>
      <c r="J355" s="10" t="s">
        <v>12</v>
      </c>
      <c r="K355" s="10" t="s">
        <v>12</v>
      </c>
      <c r="L355" s="10" t="s">
        <v>12</v>
      </c>
      <c r="M355" s="10" t="s">
        <v>12</v>
      </c>
      <c r="N355" s="12" t="e">
        <f>VLOOKUP(J355,'Site Allocation'!$B$2:$C$37,2,FALSE)</f>
        <v>#N/A</v>
      </c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</row>
    <row r="356" spans="1:25" x14ac:dyDescent="0.35">
      <c r="A356" s="19"/>
      <c r="B356" s="19"/>
      <c r="C356" s="19"/>
      <c r="D356" s="19"/>
      <c r="E356" s="19"/>
      <c r="F356" s="19"/>
      <c r="G356" s="19"/>
      <c r="H356" s="19"/>
      <c r="I356" s="19"/>
      <c r="J356" s="10" t="s">
        <v>12</v>
      </c>
      <c r="K356" s="10" t="s">
        <v>12</v>
      </c>
      <c r="L356" s="10" t="s">
        <v>12</v>
      </c>
      <c r="M356" s="10" t="s">
        <v>12</v>
      </c>
      <c r="N356" s="12" t="e">
        <f>VLOOKUP(J356,'Site Allocation'!$B$2:$C$37,2,FALSE)</f>
        <v>#N/A</v>
      </c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</row>
    <row r="357" spans="1:25" x14ac:dyDescent="0.35">
      <c r="A357" s="19"/>
      <c r="B357" s="19"/>
      <c r="C357" s="19"/>
      <c r="D357" s="19"/>
      <c r="E357" s="19"/>
      <c r="F357" s="19"/>
      <c r="G357" s="19"/>
      <c r="H357" s="19"/>
      <c r="I357" s="19"/>
      <c r="J357" s="10" t="s">
        <v>12</v>
      </c>
      <c r="K357" s="10" t="s">
        <v>12</v>
      </c>
      <c r="L357" s="10" t="s">
        <v>12</v>
      </c>
      <c r="M357" s="10" t="s">
        <v>12</v>
      </c>
      <c r="N357" s="12" t="e">
        <f>VLOOKUP(J357,'Site Allocation'!$B$2:$C$37,2,FALSE)</f>
        <v>#N/A</v>
      </c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</row>
    <row r="358" spans="1:25" x14ac:dyDescent="0.35">
      <c r="A358" s="19"/>
      <c r="B358" s="19"/>
      <c r="C358" s="19"/>
      <c r="D358" s="19"/>
      <c r="E358" s="19"/>
      <c r="F358" s="19"/>
      <c r="G358" s="19"/>
      <c r="H358" s="19"/>
      <c r="I358" s="19"/>
      <c r="J358" s="10" t="s">
        <v>12</v>
      </c>
      <c r="K358" s="10" t="s">
        <v>12</v>
      </c>
      <c r="L358" s="10" t="s">
        <v>12</v>
      </c>
      <c r="M358" s="10" t="s">
        <v>12</v>
      </c>
      <c r="N358" s="12" t="e">
        <f>VLOOKUP(J358,'Site Allocation'!$B$2:$C$37,2,FALSE)</f>
        <v>#N/A</v>
      </c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</row>
    <row r="359" spans="1:25" x14ac:dyDescent="0.35">
      <c r="A359" s="19"/>
      <c r="B359" s="19"/>
      <c r="C359" s="19"/>
      <c r="D359" s="19"/>
      <c r="E359" s="19"/>
      <c r="F359" s="19"/>
      <c r="G359" s="19"/>
      <c r="H359" s="19"/>
      <c r="I359" s="19"/>
      <c r="J359" s="10" t="s">
        <v>12</v>
      </c>
      <c r="K359" s="10" t="s">
        <v>12</v>
      </c>
      <c r="L359" s="10" t="s">
        <v>12</v>
      </c>
      <c r="M359" s="10" t="s">
        <v>12</v>
      </c>
      <c r="N359" s="12" t="e">
        <f>VLOOKUP(J359,'Site Allocation'!$B$2:$C$37,2,FALSE)</f>
        <v>#N/A</v>
      </c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</row>
    <row r="360" spans="1:25" x14ac:dyDescent="0.35">
      <c r="A360" s="19"/>
      <c r="B360" s="19"/>
      <c r="C360" s="19"/>
      <c r="D360" s="19"/>
      <c r="E360" s="19"/>
      <c r="F360" s="19"/>
      <c r="G360" s="19"/>
      <c r="H360" s="19"/>
      <c r="I360" s="19"/>
      <c r="J360" s="10" t="s">
        <v>12</v>
      </c>
      <c r="K360" s="10" t="s">
        <v>12</v>
      </c>
      <c r="L360" s="10" t="s">
        <v>12</v>
      </c>
      <c r="M360" s="10" t="s">
        <v>12</v>
      </c>
      <c r="N360" s="12" t="e">
        <f>VLOOKUP(J360,'Site Allocation'!$B$2:$C$37,2,FALSE)</f>
        <v>#N/A</v>
      </c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</row>
    <row r="361" spans="1:25" x14ac:dyDescent="0.35">
      <c r="A361" s="19"/>
      <c r="B361" s="19"/>
      <c r="C361" s="19"/>
      <c r="D361" s="19"/>
      <c r="E361" s="19"/>
      <c r="F361" s="19"/>
      <c r="G361" s="19"/>
      <c r="H361" s="19"/>
      <c r="I361" s="19"/>
      <c r="J361" s="10" t="s">
        <v>12</v>
      </c>
      <c r="K361" s="10" t="s">
        <v>12</v>
      </c>
      <c r="L361" s="10" t="s">
        <v>12</v>
      </c>
      <c r="M361" s="10" t="s">
        <v>12</v>
      </c>
      <c r="N361" s="12" t="e">
        <f>VLOOKUP(J361,'Site Allocation'!$B$2:$C$37,2,FALSE)</f>
        <v>#N/A</v>
      </c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</row>
    <row r="362" spans="1:25" x14ac:dyDescent="0.35">
      <c r="A362" s="19"/>
      <c r="B362" s="19"/>
      <c r="C362" s="19"/>
      <c r="D362" s="19"/>
      <c r="E362" s="19"/>
      <c r="F362" s="19"/>
      <c r="G362" s="19"/>
      <c r="H362" s="19"/>
      <c r="I362" s="19"/>
      <c r="J362" s="10" t="s">
        <v>12</v>
      </c>
      <c r="K362" s="10" t="s">
        <v>12</v>
      </c>
      <c r="L362" s="10" t="s">
        <v>12</v>
      </c>
      <c r="M362" s="10" t="s">
        <v>12</v>
      </c>
      <c r="N362" s="12" t="e">
        <f>VLOOKUP(J362,'Site Allocation'!$B$2:$C$37,2,FALSE)</f>
        <v>#N/A</v>
      </c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</row>
    <row r="363" spans="1:25" x14ac:dyDescent="0.35">
      <c r="A363" s="19"/>
      <c r="B363" s="19"/>
      <c r="C363" s="19"/>
      <c r="D363" s="19"/>
      <c r="E363" s="19"/>
      <c r="F363" s="19"/>
      <c r="G363" s="19"/>
      <c r="H363" s="19"/>
      <c r="I363" s="19"/>
      <c r="J363" s="10" t="s">
        <v>12</v>
      </c>
      <c r="K363" s="10" t="s">
        <v>12</v>
      </c>
      <c r="L363" s="10" t="s">
        <v>12</v>
      </c>
      <c r="M363" s="10" t="s">
        <v>12</v>
      </c>
      <c r="N363" s="12" t="e">
        <f>VLOOKUP(J363,'Site Allocation'!$B$2:$C$37,2,FALSE)</f>
        <v>#N/A</v>
      </c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</row>
    <row r="364" spans="1:25" x14ac:dyDescent="0.35">
      <c r="A364" s="19"/>
      <c r="B364" s="19"/>
      <c r="C364" s="19"/>
      <c r="D364" s="19"/>
      <c r="E364" s="19"/>
      <c r="F364" s="19"/>
      <c r="G364" s="19"/>
      <c r="H364" s="19"/>
      <c r="I364" s="19"/>
      <c r="J364" s="10" t="s">
        <v>12</v>
      </c>
      <c r="K364" s="10" t="s">
        <v>12</v>
      </c>
      <c r="L364" s="10" t="s">
        <v>12</v>
      </c>
      <c r="M364" s="10" t="s">
        <v>12</v>
      </c>
      <c r="N364" s="12" t="e">
        <f>VLOOKUP(J364,'Site Allocation'!$B$2:$C$37,2,FALSE)</f>
        <v>#N/A</v>
      </c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</row>
    <row r="365" spans="1:25" x14ac:dyDescent="0.35">
      <c r="A365" s="19"/>
      <c r="B365" s="19"/>
      <c r="C365" s="19"/>
      <c r="D365" s="19"/>
      <c r="E365" s="19"/>
      <c r="F365" s="19"/>
      <c r="G365" s="19"/>
      <c r="H365" s="19"/>
      <c r="I365" s="19"/>
      <c r="J365" s="10" t="s">
        <v>12</v>
      </c>
      <c r="K365" s="10" t="s">
        <v>12</v>
      </c>
      <c r="L365" s="10" t="s">
        <v>12</v>
      </c>
      <c r="M365" s="10" t="s">
        <v>12</v>
      </c>
      <c r="N365" s="12" t="e">
        <f>VLOOKUP(J365,'Site Allocation'!$B$2:$C$37,2,FALSE)</f>
        <v>#N/A</v>
      </c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</row>
    <row r="366" spans="1:25" x14ac:dyDescent="0.35">
      <c r="A366" s="19"/>
      <c r="B366" s="19"/>
      <c r="C366" s="19"/>
      <c r="D366" s="19"/>
      <c r="E366" s="19"/>
      <c r="F366" s="19"/>
      <c r="G366" s="19"/>
      <c r="H366" s="19"/>
      <c r="I366" s="19"/>
      <c r="J366" s="10" t="s">
        <v>12</v>
      </c>
      <c r="K366" s="10" t="s">
        <v>12</v>
      </c>
      <c r="L366" s="10" t="s">
        <v>12</v>
      </c>
      <c r="M366" s="10" t="s">
        <v>12</v>
      </c>
      <c r="N366" s="12" t="e">
        <f>VLOOKUP(J366,'Site Allocation'!$B$2:$C$37,2,FALSE)</f>
        <v>#N/A</v>
      </c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</row>
    <row r="367" spans="1:25" x14ac:dyDescent="0.35">
      <c r="A367" s="19"/>
      <c r="B367" s="19"/>
      <c r="C367" s="19"/>
      <c r="D367" s="19"/>
      <c r="E367" s="19"/>
      <c r="F367" s="19"/>
      <c r="G367" s="19"/>
      <c r="H367" s="19"/>
      <c r="I367" s="19"/>
      <c r="J367" s="10" t="s">
        <v>12</v>
      </c>
      <c r="K367" s="10" t="s">
        <v>12</v>
      </c>
      <c r="L367" s="10" t="s">
        <v>12</v>
      </c>
      <c r="M367" s="10" t="s">
        <v>12</v>
      </c>
      <c r="N367" s="12" t="e">
        <f>VLOOKUP(J367,'Site Allocation'!$B$2:$C$37,2,FALSE)</f>
        <v>#N/A</v>
      </c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</row>
    <row r="368" spans="1:25" x14ac:dyDescent="0.35">
      <c r="A368" s="19"/>
      <c r="B368" s="19"/>
      <c r="C368" s="19"/>
      <c r="D368" s="19"/>
      <c r="E368" s="19"/>
      <c r="F368" s="19"/>
      <c r="G368" s="19"/>
      <c r="H368" s="19"/>
      <c r="I368" s="19"/>
      <c r="J368" s="10" t="s">
        <v>12</v>
      </c>
      <c r="K368" s="10" t="s">
        <v>12</v>
      </c>
      <c r="L368" s="10" t="s">
        <v>12</v>
      </c>
      <c r="M368" s="10" t="s">
        <v>12</v>
      </c>
      <c r="N368" s="12" t="e">
        <f>VLOOKUP(J368,'Site Allocation'!$B$2:$C$37,2,FALSE)</f>
        <v>#N/A</v>
      </c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</row>
    <row r="369" spans="1:25" x14ac:dyDescent="0.35">
      <c r="A369" s="19"/>
      <c r="B369" s="19"/>
      <c r="C369" s="19"/>
      <c r="D369" s="19"/>
      <c r="E369" s="19"/>
      <c r="F369" s="19"/>
      <c r="G369" s="19"/>
      <c r="H369" s="19"/>
      <c r="I369" s="19"/>
      <c r="J369" s="10" t="s">
        <v>12</v>
      </c>
      <c r="K369" s="10" t="s">
        <v>12</v>
      </c>
      <c r="L369" s="10" t="s">
        <v>12</v>
      </c>
      <c r="M369" s="10" t="s">
        <v>12</v>
      </c>
      <c r="N369" s="12" t="e">
        <f>VLOOKUP(J369,'Site Allocation'!$B$2:$C$37,2,FALSE)</f>
        <v>#N/A</v>
      </c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</row>
    <row r="370" spans="1:25" x14ac:dyDescent="0.35">
      <c r="A370" s="19"/>
      <c r="B370" s="19"/>
      <c r="C370" s="19"/>
      <c r="D370" s="19"/>
      <c r="E370" s="19"/>
      <c r="F370" s="19"/>
      <c r="G370" s="19"/>
      <c r="H370" s="19"/>
      <c r="I370" s="19"/>
      <c r="J370" s="10" t="s">
        <v>12</v>
      </c>
      <c r="K370" s="10" t="s">
        <v>12</v>
      </c>
      <c r="L370" s="10" t="s">
        <v>12</v>
      </c>
      <c r="M370" s="10" t="s">
        <v>12</v>
      </c>
      <c r="N370" s="12" t="e">
        <f>VLOOKUP(J370,'Site Allocation'!$B$2:$C$37,2,FALSE)</f>
        <v>#N/A</v>
      </c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</row>
    <row r="371" spans="1:25" x14ac:dyDescent="0.35">
      <c r="A371" s="19"/>
      <c r="B371" s="19"/>
      <c r="C371" s="19"/>
      <c r="D371" s="19"/>
      <c r="E371" s="19"/>
      <c r="F371" s="19"/>
      <c r="G371" s="19"/>
      <c r="H371" s="19"/>
      <c r="I371" s="19"/>
      <c r="J371" s="10" t="s">
        <v>12</v>
      </c>
      <c r="K371" s="10" t="s">
        <v>12</v>
      </c>
      <c r="L371" s="10" t="s">
        <v>12</v>
      </c>
      <c r="M371" s="10" t="s">
        <v>12</v>
      </c>
      <c r="N371" s="12" t="e">
        <f>VLOOKUP(J371,'Site Allocation'!$B$2:$C$37,2,FALSE)</f>
        <v>#N/A</v>
      </c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</row>
    <row r="372" spans="1:25" x14ac:dyDescent="0.35">
      <c r="A372" s="19"/>
      <c r="B372" s="19"/>
      <c r="C372" s="19"/>
      <c r="D372" s="19"/>
      <c r="E372" s="19"/>
      <c r="F372" s="19"/>
      <c r="G372" s="19"/>
      <c r="H372" s="19"/>
      <c r="I372" s="19"/>
      <c r="J372" s="10" t="s">
        <v>12</v>
      </c>
      <c r="K372" s="10" t="s">
        <v>12</v>
      </c>
      <c r="L372" s="10" t="s">
        <v>12</v>
      </c>
      <c r="M372" s="10" t="s">
        <v>12</v>
      </c>
      <c r="N372" s="12" t="e">
        <f>VLOOKUP(J372,'Site Allocation'!$B$2:$C$37,2,FALSE)</f>
        <v>#N/A</v>
      </c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</row>
    <row r="373" spans="1:25" x14ac:dyDescent="0.35">
      <c r="A373" s="19"/>
      <c r="B373" s="19"/>
      <c r="C373" s="19"/>
      <c r="D373" s="19"/>
      <c r="E373" s="19"/>
      <c r="F373" s="19"/>
      <c r="G373" s="19"/>
      <c r="H373" s="19"/>
      <c r="I373" s="19"/>
      <c r="J373" s="10" t="s">
        <v>12</v>
      </c>
      <c r="K373" s="10" t="s">
        <v>12</v>
      </c>
      <c r="L373" s="10" t="s">
        <v>12</v>
      </c>
      <c r="M373" s="10" t="s">
        <v>12</v>
      </c>
      <c r="N373" s="12" t="e">
        <f>VLOOKUP(J373,'Site Allocation'!$B$2:$C$37,2,FALSE)</f>
        <v>#N/A</v>
      </c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</row>
    <row r="374" spans="1:25" x14ac:dyDescent="0.35">
      <c r="A374" s="19"/>
      <c r="B374" s="19"/>
      <c r="C374" s="19"/>
      <c r="D374" s="19"/>
      <c r="E374" s="19"/>
      <c r="F374" s="19"/>
      <c r="G374" s="19"/>
      <c r="H374" s="19"/>
      <c r="I374" s="19"/>
      <c r="J374" s="10" t="s">
        <v>12</v>
      </c>
      <c r="K374" s="10" t="s">
        <v>12</v>
      </c>
      <c r="L374" s="10" t="s">
        <v>12</v>
      </c>
      <c r="M374" s="10" t="s">
        <v>12</v>
      </c>
      <c r="N374" s="12" t="e">
        <f>VLOOKUP(J374,'Site Allocation'!$B$2:$C$37,2,FALSE)</f>
        <v>#N/A</v>
      </c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</row>
    <row r="375" spans="1:25" x14ac:dyDescent="0.35">
      <c r="A375" s="19"/>
      <c r="B375" s="19"/>
      <c r="C375" s="19"/>
      <c r="D375" s="19"/>
      <c r="E375" s="19"/>
      <c r="F375" s="19"/>
      <c r="G375" s="19"/>
      <c r="H375" s="19"/>
      <c r="I375" s="19"/>
      <c r="J375" s="10" t="s">
        <v>12</v>
      </c>
      <c r="K375" s="10" t="s">
        <v>12</v>
      </c>
      <c r="L375" s="10" t="s">
        <v>12</v>
      </c>
      <c r="M375" s="10" t="s">
        <v>12</v>
      </c>
      <c r="N375" s="12" t="e">
        <f>VLOOKUP(J375,'Site Allocation'!$B$2:$C$37,2,FALSE)</f>
        <v>#N/A</v>
      </c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</row>
    <row r="376" spans="1:25" x14ac:dyDescent="0.35">
      <c r="A376" s="19"/>
      <c r="B376" s="19"/>
      <c r="C376" s="19"/>
      <c r="D376" s="19"/>
      <c r="E376" s="19"/>
      <c r="F376" s="19"/>
      <c r="G376" s="19"/>
      <c r="H376" s="19"/>
      <c r="I376" s="19"/>
      <c r="J376" s="10" t="s">
        <v>12</v>
      </c>
      <c r="K376" s="10" t="s">
        <v>12</v>
      </c>
      <c r="L376" s="10" t="s">
        <v>12</v>
      </c>
      <c r="M376" s="10" t="s">
        <v>12</v>
      </c>
      <c r="N376" s="12" t="e">
        <f>VLOOKUP(J376,'Site Allocation'!$B$2:$C$37,2,FALSE)</f>
        <v>#N/A</v>
      </c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</row>
    <row r="377" spans="1:25" x14ac:dyDescent="0.35">
      <c r="A377" s="19"/>
      <c r="B377" s="19"/>
      <c r="C377" s="19"/>
      <c r="D377" s="19"/>
      <c r="E377" s="19"/>
      <c r="F377" s="19"/>
      <c r="G377" s="19"/>
      <c r="H377" s="19"/>
      <c r="I377" s="19"/>
      <c r="J377" s="10" t="s">
        <v>12</v>
      </c>
      <c r="K377" s="10" t="s">
        <v>12</v>
      </c>
      <c r="L377" s="10" t="s">
        <v>12</v>
      </c>
      <c r="M377" s="10" t="s">
        <v>12</v>
      </c>
      <c r="N377" s="12" t="e">
        <f>VLOOKUP(J377,'Site Allocation'!$B$2:$C$37,2,FALSE)</f>
        <v>#N/A</v>
      </c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</row>
    <row r="378" spans="1:25" x14ac:dyDescent="0.35">
      <c r="A378" s="19"/>
      <c r="B378" s="19"/>
      <c r="C378" s="19"/>
      <c r="D378" s="19"/>
      <c r="E378" s="19"/>
      <c r="F378" s="19"/>
      <c r="G378" s="19"/>
      <c r="H378" s="19"/>
      <c r="I378" s="19"/>
      <c r="J378" s="10" t="s">
        <v>12</v>
      </c>
      <c r="K378" s="10" t="s">
        <v>12</v>
      </c>
      <c r="L378" s="10" t="s">
        <v>12</v>
      </c>
      <c r="M378" s="10" t="s">
        <v>12</v>
      </c>
      <c r="N378" s="12" t="e">
        <f>VLOOKUP(J378,'Site Allocation'!$B$2:$C$37,2,FALSE)</f>
        <v>#N/A</v>
      </c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</row>
    <row r="379" spans="1:25" x14ac:dyDescent="0.35">
      <c r="A379" s="19"/>
      <c r="B379" s="19"/>
      <c r="C379" s="19"/>
      <c r="D379" s="19"/>
      <c r="E379" s="19"/>
      <c r="F379" s="19"/>
      <c r="G379" s="19"/>
      <c r="H379" s="19"/>
      <c r="I379" s="19"/>
      <c r="J379" s="10" t="s">
        <v>12</v>
      </c>
      <c r="K379" s="10" t="s">
        <v>12</v>
      </c>
      <c r="L379" s="10" t="s">
        <v>12</v>
      </c>
      <c r="M379" s="10" t="s">
        <v>12</v>
      </c>
      <c r="N379" s="12" t="e">
        <f>VLOOKUP(J379,'Site Allocation'!$B$2:$C$37,2,FALSE)</f>
        <v>#N/A</v>
      </c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</row>
    <row r="380" spans="1:25" x14ac:dyDescent="0.35">
      <c r="A380" s="19"/>
      <c r="B380" s="19"/>
      <c r="C380" s="19"/>
      <c r="D380" s="19"/>
      <c r="E380" s="19"/>
      <c r="F380" s="19"/>
      <c r="G380" s="19"/>
      <c r="H380" s="19"/>
      <c r="I380" s="19"/>
      <c r="J380" s="10" t="s">
        <v>12</v>
      </c>
      <c r="K380" s="10" t="s">
        <v>12</v>
      </c>
      <c r="L380" s="10" t="s">
        <v>12</v>
      </c>
      <c r="M380" s="10" t="s">
        <v>12</v>
      </c>
      <c r="N380" s="12" t="e">
        <f>VLOOKUP(J380,'Site Allocation'!$B$2:$C$37,2,FALSE)</f>
        <v>#N/A</v>
      </c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</row>
    <row r="381" spans="1:25" x14ac:dyDescent="0.35">
      <c r="A381" s="19"/>
      <c r="B381" s="19"/>
      <c r="C381" s="19"/>
      <c r="D381" s="19"/>
      <c r="E381" s="19"/>
      <c r="F381" s="19"/>
      <c r="G381" s="19"/>
      <c r="H381" s="19"/>
      <c r="I381" s="19"/>
      <c r="J381" s="10" t="s">
        <v>12</v>
      </c>
      <c r="K381" s="10" t="s">
        <v>12</v>
      </c>
      <c r="L381" s="10" t="s">
        <v>12</v>
      </c>
      <c r="M381" s="10" t="s">
        <v>12</v>
      </c>
      <c r="N381" s="12" t="e">
        <f>VLOOKUP(J381,'Site Allocation'!$B$2:$C$37,2,FALSE)</f>
        <v>#N/A</v>
      </c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</row>
    <row r="382" spans="1:25" x14ac:dyDescent="0.35">
      <c r="A382" s="19"/>
      <c r="B382" s="19"/>
      <c r="C382" s="19"/>
      <c r="D382" s="19"/>
      <c r="E382" s="19"/>
      <c r="F382" s="19"/>
      <c r="G382" s="19"/>
      <c r="H382" s="19"/>
      <c r="I382" s="19"/>
      <c r="J382" s="10" t="s">
        <v>12</v>
      </c>
      <c r="K382" s="10" t="s">
        <v>12</v>
      </c>
      <c r="L382" s="10" t="s">
        <v>12</v>
      </c>
      <c r="M382" s="10" t="s">
        <v>12</v>
      </c>
      <c r="N382" s="12" t="e">
        <f>VLOOKUP(J382,'Site Allocation'!$B$2:$C$37,2,FALSE)</f>
        <v>#N/A</v>
      </c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</row>
    <row r="383" spans="1:25" x14ac:dyDescent="0.35">
      <c r="A383" s="19"/>
      <c r="B383" s="19"/>
      <c r="C383" s="19"/>
      <c r="D383" s="19"/>
      <c r="E383" s="19"/>
      <c r="F383" s="19"/>
      <c r="G383" s="19"/>
      <c r="H383" s="19"/>
      <c r="I383" s="19"/>
      <c r="J383" s="10" t="s">
        <v>12</v>
      </c>
      <c r="K383" s="10" t="s">
        <v>12</v>
      </c>
      <c r="L383" s="10" t="s">
        <v>12</v>
      </c>
      <c r="M383" s="10" t="s">
        <v>12</v>
      </c>
      <c r="N383" s="12" t="e">
        <f>VLOOKUP(J383,'Site Allocation'!$B$2:$C$37,2,FALSE)</f>
        <v>#N/A</v>
      </c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</row>
    <row r="384" spans="1:25" x14ac:dyDescent="0.35">
      <c r="A384" s="19"/>
      <c r="B384" s="19"/>
      <c r="C384" s="19"/>
      <c r="D384" s="19"/>
      <c r="E384" s="19"/>
      <c r="F384" s="19"/>
      <c r="G384" s="19"/>
      <c r="H384" s="19"/>
      <c r="I384" s="19"/>
      <c r="J384" s="10" t="s">
        <v>12</v>
      </c>
      <c r="K384" s="10" t="s">
        <v>12</v>
      </c>
      <c r="L384" s="10" t="s">
        <v>12</v>
      </c>
      <c r="M384" s="10" t="s">
        <v>12</v>
      </c>
      <c r="N384" s="12" t="e">
        <f>VLOOKUP(J384,'Site Allocation'!$B$2:$C$37,2,FALSE)</f>
        <v>#N/A</v>
      </c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</row>
    <row r="385" spans="1:25" x14ac:dyDescent="0.35">
      <c r="A385" s="19"/>
      <c r="B385" s="19"/>
      <c r="C385" s="19"/>
      <c r="D385" s="19"/>
      <c r="E385" s="19"/>
      <c r="F385" s="19"/>
      <c r="G385" s="19"/>
      <c r="H385" s="19"/>
      <c r="I385" s="19"/>
      <c r="J385" s="10" t="s">
        <v>12</v>
      </c>
      <c r="K385" s="10" t="s">
        <v>12</v>
      </c>
      <c r="L385" s="10" t="s">
        <v>12</v>
      </c>
      <c r="M385" s="10" t="s">
        <v>12</v>
      </c>
      <c r="N385" s="12" t="e">
        <f>VLOOKUP(J385,'Site Allocation'!$B$2:$C$37,2,FALSE)</f>
        <v>#N/A</v>
      </c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</row>
    <row r="386" spans="1:25" x14ac:dyDescent="0.35">
      <c r="A386" s="19"/>
      <c r="B386" s="19"/>
      <c r="C386" s="19"/>
      <c r="D386" s="19"/>
      <c r="E386" s="19"/>
      <c r="F386" s="19"/>
      <c r="G386" s="19"/>
      <c r="H386" s="19"/>
      <c r="I386" s="19"/>
      <c r="J386" s="10" t="s">
        <v>12</v>
      </c>
      <c r="K386" s="10" t="s">
        <v>12</v>
      </c>
      <c r="L386" s="10" t="s">
        <v>12</v>
      </c>
      <c r="M386" s="10" t="s">
        <v>12</v>
      </c>
      <c r="N386" s="12" t="e">
        <f>VLOOKUP(J386,'Site Allocation'!$B$2:$C$37,2,FALSE)</f>
        <v>#N/A</v>
      </c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</row>
    <row r="387" spans="1:25" x14ac:dyDescent="0.35">
      <c r="A387" s="19"/>
      <c r="B387" s="19"/>
      <c r="C387" s="19"/>
      <c r="D387" s="19"/>
      <c r="E387" s="19"/>
      <c r="F387" s="19"/>
      <c r="G387" s="19"/>
      <c r="H387" s="19"/>
      <c r="I387" s="19"/>
      <c r="J387" s="10" t="s">
        <v>12</v>
      </c>
      <c r="K387" s="10" t="s">
        <v>12</v>
      </c>
      <c r="L387" s="10" t="s">
        <v>12</v>
      </c>
      <c r="M387" s="10" t="s">
        <v>12</v>
      </c>
      <c r="N387" s="12" t="e">
        <f>VLOOKUP(J387,'Site Allocation'!$B$2:$C$37,2,FALSE)</f>
        <v>#N/A</v>
      </c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</row>
    <row r="388" spans="1:25" x14ac:dyDescent="0.35">
      <c r="A388" s="19"/>
      <c r="B388" s="19"/>
      <c r="C388" s="19"/>
      <c r="D388" s="19"/>
      <c r="E388" s="19"/>
      <c r="F388" s="19"/>
      <c r="G388" s="19"/>
      <c r="H388" s="19"/>
      <c r="I388" s="19"/>
      <c r="J388" s="10" t="s">
        <v>12</v>
      </c>
      <c r="K388" s="10" t="s">
        <v>12</v>
      </c>
      <c r="L388" s="10" t="s">
        <v>12</v>
      </c>
      <c r="M388" s="10" t="s">
        <v>12</v>
      </c>
      <c r="N388" s="12" t="e">
        <f>VLOOKUP(J388,'Site Allocation'!$B$2:$C$37,2,FALSE)</f>
        <v>#N/A</v>
      </c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</row>
    <row r="389" spans="1:25" x14ac:dyDescent="0.35">
      <c r="A389" s="19"/>
      <c r="B389" s="19"/>
      <c r="C389" s="19"/>
      <c r="D389" s="19"/>
      <c r="E389" s="19"/>
      <c r="F389" s="19"/>
      <c r="G389" s="19"/>
      <c r="H389" s="19"/>
      <c r="I389" s="19"/>
      <c r="J389" s="10" t="s">
        <v>12</v>
      </c>
      <c r="K389" s="10" t="s">
        <v>12</v>
      </c>
      <c r="L389" s="10" t="s">
        <v>12</v>
      </c>
      <c r="M389" s="10" t="s">
        <v>12</v>
      </c>
      <c r="N389" s="12" t="e">
        <f>VLOOKUP(J389,'Site Allocation'!$B$2:$C$37,2,FALSE)</f>
        <v>#N/A</v>
      </c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</row>
    <row r="390" spans="1:25" x14ac:dyDescent="0.35">
      <c r="A390" s="19"/>
      <c r="B390" s="19"/>
      <c r="C390" s="19"/>
      <c r="D390" s="19"/>
      <c r="E390" s="19"/>
      <c r="F390" s="19"/>
      <c r="G390" s="19"/>
      <c r="H390" s="19"/>
      <c r="I390" s="19"/>
      <c r="J390" s="10" t="s">
        <v>12</v>
      </c>
      <c r="K390" s="10" t="s">
        <v>12</v>
      </c>
      <c r="L390" s="10" t="s">
        <v>12</v>
      </c>
      <c r="M390" s="10" t="s">
        <v>12</v>
      </c>
      <c r="N390" s="12" t="e">
        <f>VLOOKUP(J390,'Site Allocation'!$B$2:$C$37,2,FALSE)</f>
        <v>#N/A</v>
      </c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</row>
    <row r="391" spans="1:25" x14ac:dyDescent="0.35">
      <c r="A391" s="19"/>
      <c r="B391" s="19"/>
      <c r="C391" s="19"/>
      <c r="D391" s="19"/>
      <c r="E391" s="19"/>
      <c r="F391" s="19"/>
      <c r="G391" s="19"/>
      <c r="H391" s="19"/>
      <c r="I391" s="19"/>
      <c r="J391" s="10" t="s">
        <v>12</v>
      </c>
      <c r="K391" s="10" t="s">
        <v>12</v>
      </c>
      <c r="L391" s="10" t="s">
        <v>12</v>
      </c>
      <c r="M391" s="10" t="s">
        <v>12</v>
      </c>
      <c r="N391" s="12" t="e">
        <f>VLOOKUP(J391,'Site Allocation'!$B$2:$C$37,2,FALSE)</f>
        <v>#N/A</v>
      </c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</row>
    <row r="392" spans="1:25" x14ac:dyDescent="0.35">
      <c r="A392" s="19"/>
      <c r="B392" s="19"/>
      <c r="C392" s="19"/>
      <c r="D392" s="19"/>
      <c r="E392" s="19"/>
      <c r="F392" s="19"/>
      <c r="G392" s="19"/>
      <c r="H392" s="19"/>
      <c r="I392" s="19"/>
      <c r="J392" s="10" t="s">
        <v>12</v>
      </c>
      <c r="K392" s="10" t="s">
        <v>12</v>
      </c>
      <c r="L392" s="10" t="s">
        <v>12</v>
      </c>
      <c r="M392" s="10" t="s">
        <v>12</v>
      </c>
      <c r="N392" s="12" t="e">
        <f>VLOOKUP(J392,'Site Allocation'!$B$2:$C$37,2,FALSE)</f>
        <v>#N/A</v>
      </c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</row>
    <row r="393" spans="1:25" x14ac:dyDescent="0.35">
      <c r="A393" s="19"/>
      <c r="B393" s="19"/>
      <c r="C393" s="19"/>
      <c r="D393" s="19"/>
      <c r="E393" s="19"/>
      <c r="F393" s="19"/>
      <c r="G393" s="19"/>
      <c r="H393" s="19"/>
      <c r="I393" s="19"/>
      <c r="J393" s="10" t="s">
        <v>12</v>
      </c>
      <c r="K393" s="10" t="s">
        <v>12</v>
      </c>
      <c r="L393" s="10" t="s">
        <v>12</v>
      </c>
      <c r="M393" s="10" t="s">
        <v>12</v>
      </c>
      <c r="N393" s="12" t="e">
        <f>VLOOKUP(J393,'Site Allocation'!$B$2:$C$37,2,FALSE)</f>
        <v>#N/A</v>
      </c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</row>
    <row r="394" spans="1:25" x14ac:dyDescent="0.35">
      <c r="A394" s="19"/>
      <c r="B394" s="19"/>
      <c r="C394" s="19"/>
      <c r="D394" s="19"/>
      <c r="E394" s="19"/>
      <c r="F394" s="19"/>
      <c r="G394" s="19"/>
      <c r="H394" s="19"/>
      <c r="I394" s="19"/>
      <c r="J394" s="10" t="s">
        <v>12</v>
      </c>
      <c r="K394" s="10" t="s">
        <v>12</v>
      </c>
      <c r="L394" s="10" t="s">
        <v>12</v>
      </c>
      <c r="M394" s="10" t="s">
        <v>12</v>
      </c>
      <c r="N394" s="12" t="e">
        <f>VLOOKUP(J394,'Site Allocation'!$B$2:$C$37,2,FALSE)</f>
        <v>#N/A</v>
      </c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</row>
    <row r="395" spans="1:25" x14ac:dyDescent="0.35">
      <c r="A395" s="19"/>
      <c r="B395" s="19"/>
      <c r="C395" s="19"/>
      <c r="D395" s="19"/>
      <c r="E395" s="19"/>
      <c r="F395" s="19"/>
      <c r="G395" s="19"/>
      <c r="H395" s="19"/>
      <c r="I395" s="19"/>
      <c r="J395" s="10" t="s">
        <v>12</v>
      </c>
      <c r="K395" s="10" t="s">
        <v>12</v>
      </c>
      <c r="L395" s="10" t="s">
        <v>12</v>
      </c>
      <c r="M395" s="10" t="s">
        <v>12</v>
      </c>
      <c r="N395" s="12" t="e">
        <f>VLOOKUP(J395,'Site Allocation'!$B$2:$C$37,2,FALSE)</f>
        <v>#N/A</v>
      </c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</row>
    <row r="396" spans="1:25" x14ac:dyDescent="0.35">
      <c r="A396" s="19"/>
      <c r="B396" s="19"/>
      <c r="C396" s="19"/>
      <c r="D396" s="19"/>
      <c r="E396" s="19"/>
      <c r="F396" s="19"/>
      <c r="G396" s="19"/>
      <c r="H396" s="19"/>
      <c r="I396" s="19"/>
      <c r="J396" s="10" t="s">
        <v>12</v>
      </c>
      <c r="K396" s="10" t="s">
        <v>12</v>
      </c>
      <c r="L396" s="10" t="s">
        <v>12</v>
      </c>
      <c r="M396" s="10" t="s">
        <v>12</v>
      </c>
      <c r="N396" s="12" t="e">
        <f>VLOOKUP(J396,'Site Allocation'!$B$2:$C$37,2,FALSE)</f>
        <v>#N/A</v>
      </c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</row>
    <row r="397" spans="1:25" x14ac:dyDescent="0.35">
      <c r="A397" s="19"/>
      <c r="B397" s="19"/>
      <c r="C397" s="19"/>
      <c r="D397" s="19"/>
      <c r="E397" s="19"/>
      <c r="F397" s="19"/>
      <c r="G397" s="19"/>
      <c r="H397" s="19"/>
      <c r="I397" s="19"/>
      <c r="J397" s="10" t="s">
        <v>12</v>
      </c>
      <c r="K397" s="10" t="s">
        <v>12</v>
      </c>
      <c r="L397" s="10" t="s">
        <v>12</v>
      </c>
      <c r="M397" s="10" t="s">
        <v>12</v>
      </c>
      <c r="N397" s="12" t="e">
        <f>VLOOKUP(J397,'Site Allocation'!$B$2:$C$37,2,FALSE)</f>
        <v>#N/A</v>
      </c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</row>
    <row r="398" spans="1:25" x14ac:dyDescent="0.35">
      <c r="A398" s="19"/>
      <c r="B398" s="19"/>
      <c r="C398" s="19"/>
      <c r="D398" s="19"/>
      <c r="E398" s="19"/>
      <c r="F398" s="19"/>
      <c r="G398" s="19"/>
      <c r="H398" s="19"/>
      <c r="I398" s="19"/>
      <c r="J398" s="10" t="s">
        <v>12</v>
      </c>
      <c r="K398" s="10" t="s">
        <v>12</v>
      </c>
      <c r="L398" s="10" t="s">
        <v>12</v>
      </c>
      <c r="M398" s="10" t="s">
        <v>12</v>
      </c>
      <c r="N398" s="12" t="e">
        <f>VLOOKUP(J398,'Site Allocation'!$B$2:$C$37,2,FALSE)</f>
        <v>#N/A</v>
      </c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</row>
    <row r="399" spans="1:25" x14ac:dyDescent="0.35">
      <c r="A399" s="19"/>
      <c r="B399" s="19"/>
      <c r="C399" s="19"/>
      <c r="D399" s="19"/>
      <c r="E399" s="19"/>
      <c r="F399" s="19"/>
      <c r="G399" s="19"/>
      <c r="H399" s="19"/>
      <c r="I399" s="19"/>
      <c r="J399" s="10" t="s">
        <v>12</v>
      </c>
      <c r="K399" s="10" t="s">
        <v>12</v>
      </c>
      <c r="L399" s="10" t="s">
        <v>12</v>
      </c>
      <c r="M399" s="10" t="s">
        <v>12</v>
      </c>
      <c r="N399" s="12" t="e">
        <f>VLOOKUP(J399,'Site Allocation'!$B$2:$C$37,2,FALSE)</f>
        <v>#N/A</v>
      </c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</row>
    <row r="400" spans="1:25" x14ac:dyDescent="0.35">
      <c r="A400" s="19"/>
      <c r="B400" s="19"/>
      <c r="C400" s="19"/>
      <c r="D400" s="19"/>
      <c r="E400" s="19"/>
      <c r="F400" s="19"/>
      <c r="G400" s="19"/>
      <c r="H400" s="19"/>
      <c r="I400" s="19"/>
      <c r="J400" s="10" t="s">
        <v>12</v>
      </c>
      <c r="K400" s="10" t="s">
        <v>12</v>
      </c>
      <c r="L400" s="10" t="s">
        <v>12</v>
      </c>
      <c r="M400" s="10" t="s">
        <v>12</v>
      </c>
      <c r="N400" s="12" t="e">
        <f>VLOOKUP(J400,'Site Allocation'!$B$2:$C$37,2,FALSE)</f>
        <v>#N/A</v>
      </c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</row>
    <row r="401" spans="1:25" x14ac:dyDescent="0.35">
      <c r="A401" s="19"/>
      <c r="B401" s="19"/>
      <c r="C401" s="19"/>
      <c r="D401" s="19"/>
      <c r="E401" s="19"/>
      <c r="F401" s="19"/>
      <c r="G401" s="19"/>
      <c r="H401" s="19"/>
      <c r="I401" s="19"/>
      <c r="J401" s="10" t="s">
        <v>12</v>
      </c>
      <c r="K401" s="10" t="s">
        <v>12</v>
      </c>
      <c r="L401" s="10" t="s">
        <v>12</v>
      </c>
      <c r="M401" s="10" t="s">
        <v>12</v>
      </c>
      <c r="N401" s="12" t="e">
        <f>VLOOKUP(J401,'Site Allocation'!$B$2:$C$37,2,FALSE)</f>
        <v>#N/A</v>
      </c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</row>
    <row r="402" spans="1:25" x14ac:dyDescent="0.35">
      <c r="A402" s="19"/>
      <c r="B402" s="19"/>
      <c r="C402" s="19"/>
      <c r="D402" s="19"/>
      <c r="E402" s="19"/>
      <c r="F402" s="19"/>
      <c r="G402" s="19"/>
      <c r="H402" s="19"/>
      <c r="I402" s="19"/>
      <c r="J402" s="10" t="s">
        <v>12</v>
      </c>
      <c r="K402" s="10" t="s">
        <v>12</v>
      </c>
      <c r="L402" s="10" t="s">
        <v>12</v>
      </c>
      <c r="M402" s="10" t="s">
        <v>12</v>
      </c>
      <c r="N402" s="12" t="e">
        <f>VLOOKUP(J402,'Site Allocation'!$B$2:$C$37,2,FALSE)</f>
        <v>#N/A</v>
      </c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</row>
    <row r="403" spans="1:25" x14ac:dyDescent="0.35">
      <c r="A403" s="19"/>
      <c r="B403" s="19"/>
      <c r="C403" s="19"/>
      <c r="D403" s="19"/>
      <c r="E403" s="19"/>
      <c r="F403" s="19"/>
      <c r="G403" s="19"/>
      <c r="H403" s="19"/>
      <c r="I403" s="19"/>
      <c r="J403" s="10" t="s">
        <v>12</v>
      </c>
      <c r="K403" s="10" t="s">
        <v>12</v>
      </c>
      <c r="L403" s="10" t="s">
        <v>12</v>
      </c>
      <c r="M403" s="10" t="s">
        <v>12</v>
      </c>
      <c r="N403" s="12" t="e">
        <f>VLOOKUP(J403,'Site Allocation'!$B$2:$C$37,2,FALSE)</f>
        <v>#N/A</v>
      </c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</row>
    <row r="404" spans="1:25" x14ac:dyDescent="0.35">
      <c r="A404" s="19"/>
      <c r="B404" s="19"/>
      <c r="C404" s="19"/>
      <c r="D404" s="19"/>
      <c r="E404" s="19"/>
      <c r="F404" s="19"/>
      <c r="G404" s="19"/>
      <c r="H404" s="19"/>
      <c r="I404" s="19"/>
      <c r="J404" s="10" t="s">
        <v>12</v>
      </c>
      <c r="K404" s="10" t="s">
        <v>12</v>
      </c>
      <c r="L404" s="10" t="s">
        <v>12</v>
      </c>
      <c r="M404" s="10" t="s">
        <v>12</v>
      </c>
      <c r="N404" s="12" t="e">
        <f>VLOOKUP(J404,'Site Allocation'!$B$2:$C$37,2,FALSE)</f>
        <v>#N/A</v>
      </c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</row>
    <row r="405" spans="1:25" x14ac:dyDescent="0.35">
      <c r="A405" s="19"/>
      <c r="B405" s="19"/>
      <c r="C405" s="19"/>
      <c r="D405" s="19"/>
      <c r="E405" s="19"/>
      <c r="F405" s="19"/>
      <c r="G405" s="19"/>
      <c r="H405" s="19"/>
      <c r="I405" s="19"/>
      <c r="J405" s="10" t="s">
        <v>12</v>
      </c>
      <c r="K405" s="10" t="s">
        <v>12</v>
      </c>
      <c r="L405" s="10" t="s">
        <v>12</v>
      </c>
      <c r="M405" s="10" t="s">
        <v>12</v>
      </c>
      <c r="N405" s="12" t="e">
        <f>VLOOKUP(J405,'Site Allocation'!$B$2:$C$37,2,FALSE)</f>
        <v>#N/A</v>
      </c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</row>
    <row r="406" spans="1:25" x14ac:dyDescent="0.35">
      <c r="A406" s="19"/>
      <c r="B406" s="19"/>
      <c r="C406" s="19"/>
      <c r="D406" s="19"/>
      <c r="E406" s="19"/>
      <c r="F406" s="19"/>
      <c r="G406" s="19"/>
      <c r="H406" s="19"/>
      <c r="I406" s="19"/>
      <c r="J406" s="10" t="s">
        <v>12</v>
      </c>
      <c r="K406" s="10" t="s">
        <v>12</v>
      </c>
      <c r="L406" s="10" t="s">
        <v>12</v>
      </c>
      <c r="M406" s="10" t="s">
        <v>12</v>
      </c>
      <c r="N406" s="12" t="e">
        <f>VLOOKUP(J406,'Site Allocation'!$B$2:$C$37,2,FALSE)</f>
        <v>#N/A</v>
      </c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</row>
    <row r="407" spans="1:25" x14ac:dyDescent="0.35">
      <c r="A407" s="19"/>
      <c r="B407" s="19"/>
      <c r="C407" s="19"/>
      <c r="D407" s="19"/>
      <c r="E407" s="19"/>
      <c r="F407" s="19"/>
      <c r="G407" s="19"/>
      <c r="H407" s="19"/>
      <c r="I407" s="19"/>
      <c r="J407" s="10" t="s">
        <v>12</v>
      </c>
      <c r="K407" s="10" t="s">
        <v>12</v>
      </c>
      <c r="L407" s="10" t="s">
        <v>12</v>
      </c>
      <c r="M407" s="10" t="s">
        <v>12</v>
      </c>
      <c r="N407" s="12" t="e">
        <f>VLOOKUP(J407,'Site Allocation'!$B$2:$C$37,2,FALSE)</f>
        <v>#N/A</v>
      </c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</row>
    <row r="408" spans="1:25" x14ac:dyDescent="0.35">
      <c r="A408" s="19"/>
      <c r="B408" s="19"/>
      <c r="C408" s="19"/>
      <c r="D408" s="19"/>
      <c r="E408" s="19"/>
      <c r="F408" s="19"/>
      <c r="G408" s="19"/>
      <c r="H408" s="19"/>
      <c r="I408" s="19"/>
      <c r="J408" s="10" t="s">
        <v>12</v>
      </c>
      <c r="K408" s="10" t="s">
        <v>12</v>
      </c>
      <c r="L408" s="10" t="s">
        <v>12</v>
      </c>
      <c r="M408" s="10" t="s">
        <v>12</v>
      </c>
      <c r="N408" s="12" t="e">
        <f>VLOOKUP(J408,'Site Allocation'!$B$2:$C$37,2,FALSE)</f>
        <v>#N/A</v>
      </c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</row>
    <row r="409" spans="1:25" x14ac:dyDescent="0.35">
      <c r="A409" s="19"/>
      <c r="B409" s="19"/>
      <c r="C409" s="19"/>
      <c r="D409" s="19"/>
      <c r="E409" s="19"/>
      <c r="F409" s="19"/>
      <c r="G409" s="19"/>
      <c r="H409" s="19"/>
      <c r="I409" s="19"/>
      <c r="J409" s="10" t="s">
        <v>12</v>
      </c>
      <c r="K409" s="10" t="s">
        <v>12</v>
      </c>
      <c r="L409" s="10" t="s">
        <v>12</v>
      </c>
      <c r="M409" s="10" t="s">
        <v>12</v>
      </c>
      <c r="N409" s="12" t="e">
        <f>VLOOKUP(J409,'Site Allocation'!$B$2:$C$37,2,FALSE)</f>
        <v>#N/A</v>
      </c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</row>
    <row r="410" spans="1:25" x14ac:dyDescent="0.35">
      <c r="A410" s="19"/>
      <c r="B410" s="19"/>
      <c r="C410" s="19"/>
      <c r="D410" s="19"/>
      <c r="E410" s="19"/>
      <c r="F410" s="19"/>
      <c r="G410" s="19"/>
      <c r="H410" s="19"/>
      <c r="I410" s="19"/>
      <c r="J410" s="10" t="s">
        <v>12</v>
      </c>
      <c r="K410" s="10" t="s">
        <v>12</v>
      </c>
      <c r="L410" s="10" t="s">
        <v>12</v>
      </c>
      <c r="M410" s="10" t="s">
        <v>12</v>
      </c>
      <c r="N410" s="12" t="e">
        <f>VLOOKUP(J410,'Site Allocation'!$B$2:$C$37,2,FALSE)</f>
        <v>#N/A</v>
      </c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</row>
    <row r="411" spans="1:25" x14ac:dyDescent="0.35">
      <c r="A411" s="19"/>
      <c r="B411" s="19"/>
      <c r="C411" s="19"/>
      <c r="D411" s="19"/>
      <c r="E411" s="19"/>
      <c r="F411" s="19"/>
      <c r="G411" s="19"/>
      <c r="H411" s="19"/>
      <c r="I411" s="19"/>
      <c r="J411" s="10" t="s">
        <v>12</v>
      </c>
      <c r="K411" s="10" t="s">
        <v>12</v>
      </c>
      <c r="L411" s="10" t="s">
        <v>12</v>
      </c>
      <c r="M411" s="10" t="s">
        <v>12</v>
      </c>
      <c r="N411" s="12" t="e">
        <f>VLOOKUP(J411,'Site Allocation'!$B$2:$C$37,2,FALSE)</f>
        <v>#N/A</v>
      </c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</row>
    <row r="412" spans="1:25" x14ac:dyDescent="0.35">
      <c r="A412" s="19"/>
      <c r="B412" s="19"/>
      <c r="C412" s="19"/>
      <c r="D412" s="19"/>
      <c r="E412" s="19"/>
      <c r="F412" s="19"/>
      <c r="G412" s="19"/>
      <c r="H412" s="19"/>
      <c r="I412" s="19"/>
      <c r="J412" s="10" t="s">
        <v>12</v>
      </c>
      <c r="K412" s="10" t="s">
        <v>12</v>
      </c>
      <c r="L412" s="10" t="s">
        <v>12</v>
      </c>
      <c r="M412" s="10" t="s">
        <v>12</v>
      </c>
      <c r="N412" s="12" t="e">
        <f>VLOOKUP(J412,'Site Allocation'!$B$2:$C$37,2,FALSE)</f>
        <v>#N/A</v>
      </c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</row>
    <row r="413" spans="1:25" x14ac:dyDescent="0.35">
      <c r="A413" s="19"/>
      <c r="B413" s="19"/>
      <c r="C413" s="19"/>
      <c r="D413" s="19"/>
      <c r="E413" s="19"/>
      <c r="F413" s="19"/>
      <c r="G413" s="19"/>
      <c r="H413" s="19"/>
      <c r="I413" s="19"/>
      <c r="J413" s="10" t="s">
        <v>12</v>
      </c>
      <c r="K413" s="10" t="s">
        <v>12</v>
      </c>
      <c r="L413" s="10" t="s">
        <v>12</v>
      </c>
      <c r="M413" s="10" t="s">
        <v>12</v>
      </c>
      <c r="N413" s="12" t="e">
        <f>VLOOKUP(J413,'Site Allocation'!$B$2:$C$37,2,FALSE)</f>
        <v>#N/A</v>
      </c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</row>
    <row r="414" spans="1:25" x14ac:dyDescent="0.35">
      <c r="A414" s="19"/>
      <c r="B414" s="19"/>
      <c r="C414" s="19"/>
      <c r="D414" s="19"/>
      <c r="E414" s="19"/>
      <c r="F414" s="19"/>
      <c r="G414" s="19"/>
      <c r="H414" s="19"/>
      <c r="I414" s="19"/>
      <c r="J414" s="10" t="s">
        <v>12</v>
      </c>
      <c r="K414" s="10" t="s">
        <v>12</v>
      </c>
      <c r="L414" s="10" t="s">
        <v>12</v>
      </c>
      <c r="M414" s="10" t="s">
        <v>12</v>
      </c>
      <c r="N414" s="12" t="e">
        <f>VLOOKUP(J414,'Site Allocation'!$B$2:$C$37,2,FALSE)</f>
        <v>#N/A</v>
      </c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</row>
    <row r="415" spans="1:25" x14ac:dyDescent="0.35">
      <c r="A415" s="19"/>
      <c r="B415" s="19"/>
      <c r="C415" s="19"/>
      <c r="D415" s="19"/>
      <c r="E415" s="19"/>
      <c r="F415" s="19"/>
      <c r="G415" s="19"/>
      <c r="H415" s="19"/>
      <c r="I415" s="19"/>
      <c r="J415" s="10" t="s">
        <v>12</v>
      </c>
      <c r="K415" s="10" t="s">
        <v>12</v>
      </c>
      <c r="L415" s="10" t="s">
        <v>12</v>
      </c>
      <c r="M415" s="10" t="s">
        <v>12</v>
      </c>
      <c r="N415" s="12" t="e">
        <f>VLOOKUP(J415,'Site Allocation'!$B$2:$C$37,2,FALSE)</f>
        <v>#N/A</v>
      </c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</row>
    <row r="416" spans="1:25" x14ac:dyDescent="0.35">
      <c r="A416" s="19"/>
      <c r="B416" s="19"/>
      <c r="C416" s="19"/>
      <c r="D416" s="19"/>
      <c r="E416" s="19"/>
      <c r="F416" s="19"/>
      <c r="G416" s="19"/>
      <c r="H416" s="19"/>
      <c r="I416" s="19"/>
      <c r="J416" s="10" t="s">
        <v>12</v>
      </c>
      <c r="K416" s="10" t="s">
        <v>12</v>
      </c>
      <c r="L416" s="10" t="s">
        <v>12</v>
      </c>
      <c r="M416" s="10" t="s">
        <v>12</v>
      </c>
      <c r="N416" s="12" t="e">
        <f>VLOOKUP(J416,'Site Allocation'!$B$2:$C$37,2,FALSE)</f>
        <v>#N/A</v>
      </c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</row>
    <row r="417" spans="1:25" x14ac:dyDescent="0.35">
      <c r="A417" s="19"/>
      <c r="B417" s="19"/>
      <c r="C417" s="19"/>
      <c r="D417" s="19"/>
      <c r="E417" s="19"/>
      <c r="F417" s="19"/>
      <c r="G417" s="19"/>
      <c r="H417" s="19"/>
      <c r="I417" s="19"/>
      <c r="J417" s="10" t="s">
        <v>12</v>
      </c>
      <c r="K417" s="10" t="s">
        <v>12</v>
      </c>
      <c r="L417" s="10" t="s">
        <v>12</v>
      </c>
      <c r="M417" s="10" t="s">
        <v>12</v>
      </c>
      <c r="N417" s="12" t="e">
        <f>VLOOKUP(J417,'Site Allocation'!$B$2:$C$37,2,FALSE)</f>
        <v>#N/A</v>
      </c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</row>
    <row r="418" spans="1:25" x14ac:dyDescent="0.35">
      <c r="A418" s="19"/>
      <c r="B418" s="19"/>
      <c r="C418" s="19"/>
      <c r="D418" s="19"/>
      <c r="E418" s="19"/>
      <c r="F418" s="19"/>
      <c r="G418" s="19"/>
      <c r="H418" s="19"/>
      <c r="I418" s="19"/>
      <c r="J418" s="10" t="s">
        <v>12</v>
      </c>
      <c r="K418" s="10" t="s">
        <v>12</v>
      </c>
      <c r="L418" s="10" t="s">
        <v>12</v>
      </c>
      <c r="M418" s="10" t="s">
        <v>12</v>
      </c>
      <c r="N418" s="12" t="e">
        <f>VLOOKUP(J418,'Site Allocation'!$B$2:$C$37,2,FALSE)</f>
        <v>#N/A</v>
      </c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</row>
    <row r="419" spans="1:25" x14ac:dyDescent="0.35">
      <c r="A419" s="19"/>
      <c r="B419" s="19"/>
      <c r="C419" s="19"/>
      <c r="D419" s="19"/>
      <c r="E419" s="19"/>
      <c r="F419" s="19"/>
      <c r="G419" s="19"/>
      <c r="H419" s="19"/>
      <c r="I419" s="19"/>
      <c r="J419" s="10" t="s">
        <v>12</v>
      </c>
      <c r="K419" s="10" t="s">
        <v>12</v>
      </c>
      <c r="L419" s="10" t="s">
        <v>12</v>
      </c>
      <c r="M419" s="10" t="s">
        <v>12</v>
      </c>
      <c r="N419" s="12" t="e">
        <f>VLOOKUP(J419,'Site Allocation'!$B$2:$C$37,2,FALSE)</f>
        <v>#N/A</v>
      </c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</row>
    <row r="420" spans="1:25" x14ac:dyDescent="0.35">
      <c r="A420" s="19"/>
      <c r="B420" s="19"/>
      <c r="C420" s="19"/>
      <c r="D420" s="19"/>
      <c r="E420" s="19"/>
      <c r="F420" s="19"/>
      <c r="G420" s="19"/>
      <c r="H420" s="19"/>
      <c r="I420" s="19"/>
      <c r="J420" s="10" t="s">
        <v>12</v>
      </c>
      <c r="K420" s="10" t="s">
        <v>12</v>
      </c>
      <c r="L420" s="10" t="s">
        <v>12</v>
      </c>
      <c r="M420" s="10" t="s">
        <v>12</v>
      </c>
      <c r="N420" s="12" t="e">
        <f>VLOOKUP(J420,'Site Allocation'!$B$2:$C$37,2,FALSE)</f>
        <v>#N/A</v>
      </c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</row>
    <row r="421" spans="1:25" x14ac:dyDescent="0.35">
      <c r="A421" s="19"/>
      <c r="B421" s="19"/>
      <c r="C421" s="19"/>
      <c r="D421" s="19"/>
      <c r="E421" s="19"/>
      <c r="F421" s="19"/>
      <c r="G421" s="19"/>
      <c r="H421" s="19"/>
      <c r="I421" s="19"/>
      <c r="J421" s="10" t="s">
        <v>12</v>
      </c>
      <c r="K421" s="10" t="s">
        <v>12</v>
      </c>
      <c r="L421" s="10" t="s">
        <v>12</v>
      </c>
      <c r="M421" s="10" t="s">
        <v>12</v>
      </c>
      <c r="N421" s="12" t="e">
        <f>VLOOKUP(J421,'Site Allocation'!$B$2:$C$37,2,FALSE)</f>
        <v>#N/A</v>
      </c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</row>
    <row r="422" spans="1:25" x14ac:dyDescent="0.35">
      <c r="A422" s="19"/>
      <c r="B422" s="19"/>
      <c r="C422" s="19"/>
      <c r="D422" s="19"/>
      <c r="E422" s="19"/>
      <c r="F422" s="19"/>
      <c r="G422" s="19"/>
      <c r="H422" s="19"/>
      <c r="I422" s="19"/>
      <c r="J422" s="10" t="s">
        <v>12</v>
      </c>
      <c r="K422" s="10" t="s">
        <v>12</v>
      </c>
      <c r="L422" s="10" t="s">
        <v>12</v>
      </c>
      <c r="M422" s="10" t="s">
        <v>12</v>
      </c>
      <c r="N422" s="12" t="e">
        <f>VLOOKUP(J422,'Site Allocation'!$B$2:$C$37,2,FALSE)</f>
        <v>#N/A</v>
      </c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</row>
    <row r="423" spans="1:25" x14ac:dyDescent="0.35">
      <c r="A423" s="19"/>
      <c r="B423" s="19"/>
      <c r="C423" s="19"/>
      <c r="D423" s="19"/>
      <c r="E423" s="19"/>
      <c r="F423" s="19"/>
      <c r="G423" s="19"/>
      <c r="H423" s="19"/>
      <c r="I423" s="19"/>
      <c r="J423" s="10" t="s">
        <v>12</v>
      </c>
      <c r="K423" s="10" t="s">
        <v>12</v>
      </c>
      <c r="L423" s="10" t="s">
        <v>12</v>
      </c>
      <c r="M423" s="10" t="s">
        <v>12</v>
      </c>
      <c r="N423" s="12" t="e">
        <f>VLOOKUP(J423,'Site Allocation'!$B$2:$C$37,2,FALSE)</f>
        <v>#N/A</v>
      </c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</row>
    <row r="424" spans="1:25" x14ac:dyDescent="0.35">
      <c r="A424" s="19"/>
      <c r="B424" s="19"/>
      <c r="C424" s="19"/>
      <c r="D424" s="19"/>
      <c r="E424" s="19"/>
      <c r="F424" s="19"/>
      <c r="G424" s="19"/>
      <c r="H424" s="19"/>
      <c r="I424" s="19"/>
      <c r="J424" s="10" t="s">
        <v>12</v>
      </c>
      <c r="K424" s="10" t="s">
        <v>12</v>
      </c>
      <c r="L424" s="10" t="s">
        <v>12</v>
      </c>
      <c r="M424" s="10" t="s">
        <v>12</v>
      </c>
      <c r="N424" s="12" t="e">
        <f>VLOOKUP(J424,'Site Allocation'!$B$2:$C$37,2,FALSE)</f>
        <v>#N/A</v>
      </c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</row>
    <row r="425" spans="1:25" x14ac:dyDescent="0.35">
      <c r="A425" s="19"/>
      <c r="B425" s="19"/>
      <c r="C425" s="19"/>
      <c r="D425" s="19"/>
      <c r="E425" s="19"/>
      <c r="F425" s="19"/>
      <c r="G425" s="19"/>
      <c r="H425" s="19"/>
      <c r="I425" s="19"/>
      <c r="J425" s="10" t="s">
        <v>12</v>
      </c>
      <c r="K425" s="10" t="s">
        <v>12</v>
      </c>
      <c r="L425" s="10" t="s">
        <v>12</v>
      </c>
      <c r="M425" s="10" t="s">
        <v>12</v>
      </c>
      <c r="N425" s="12" t="e">
        <f>VLOOKUP(J425,'Site Allocation'!$B$2:$C$37,2,FALSE)</f>
        <v>#N/A</v>
      </c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</row>
    <row r="426" spans="1:25" x14ac:dyDescent="0.35">
      <c r="A426" s="19"/>
      <c r="B426" s="19"/>
      <c r="C426" s="19"/>
      <c r="D426" s="19"/>
      <c r="E426" s="19"/>
      <c r="F426" s="19"/>
      <c r="G426" s="19"/>
      <c r="H426" s="19"/>
      <c r="I426" s="19"/>
      <c r="J426" s="10" t="s">
        <v>12</v>
      </c>
      <c r="K426" s="10" t="s">
        <v>12</v>
      </c>
      <c r="L426" s="10" t="s">
        <v>12</v>
      </c>
      <c r="M426" s="10" t="s">
        <v>12</v>
      </c>
      <c r="N426" s="12" t="e">
        <f>VLOOKUP(J426,'Site Allocation'!$B$2:$C$37,2,FALSE)</f>
        <v>#N/A</v>
      </c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</row>
    <row r="427" spans="1:25" x14ac:dyDescent="0.35">
      <c r="A427" s="19"/>
      <c r="B427" s="19"/>
      <c r="C427" s="19"/>
      <c r="D427" s="19"/>
      <c r="E427" s="19"/>
      <c r="F427" s="19"/>
      <c r="G427" s="19"/>
      <c r="H427" s="19"/>
      <c r="I427" s="19"/>
      <c r="J427" s="10" t="s">
        <v>12</v>
      </c>
      <c r="K427" s="10" t="s">
        <v>12</v>
      </c>
      <c r="L427" s="10" t="s">
        <v>12</v>
      </c>
      <c r="M427" s="10" t="s">
        <v>12</v>
      </c>
      <c r="N427" s="12" t="e">
        <f>VLOOKUP(J427,'Site Allocation'!$B$2:$C$37,2,FALSE)</f>
        <v>#N/A</v>
      </c>
      <c r="O427" s="19"/>
      <c r="P427" s="19"/>
      <c r="Q427" s="19"/>
      <c r="R427" s="19"/>
      <c r="S427" s="19"/>
      <c r="T427" s="19"/>
      <c r="U427" s="19"/>
      <c r="V427" s="19"/>
      <c r="W427" s="19"/>
      <c r="X427" s="19"/>
      <c r="Y427" s="19"/>
    </row>
    <row r="428" spans="1:25" x14ac:dyDescent="0.35">
      <c r="A428" s="19"/>
      <c r="B428" s="19"/>
      <c r="C428" s="19"/>
      <c r="D428" s="19"/>
      <c r="E428" s="19"/>
      <c r="F428" s="19"/>
      <c r="G428" s="19"/>
      <c r="H428" s="19"/>
      <c r="I428" s="19"/>
      <c r="J428" s="10" t="s">
        <v>12</v>
      </c>
      <c r="K428" s="10" t="s">
        <v>12</v>
      </c>
      <c r="L428" s="10" t="s">
        <v>12</v>
      </c>
      <c r="M428" s="10" t="s">
        <v>12</v>
      </c>
      <c r="N428" s="12" t="e">
        <f>VLOOKUP(J428,'Site Allocation'!$B$2:$C$37,2,FALSE)</f>
        <v>#N/A</v>
      </c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</row>
    <row r="429" spans="1:25" x14ac:dyDescent="0.35">
      <c r="A429" s="19"/>
      <c r="B429" s="19"/>
      <c r="C429" s="19"/>
      <c r="D429" s="19"/>
      <c r="E429" s="19"/>
      <c r="F429" s="19"/>
      <c r="G429" s="19"/>
      <c r="H429" s="19"/>
      <c r="I429" s="19"/>
      <c r="J429" s="10" t="s">
        <v>12</v>
      </c>
      <c r="K429" s="10" t="s">
        <v>12</v>
      </c>
      <c r="L429" s="10" t="s">
        <v>12</v>
      </c>
      <c r="M429" s="10" t="s">
        <v>12</v>
      </c>
      <c r="N429" s="12" t="e">
        <f>VLOOKUP(J429,'Site Allocation'!$B$2:$C$37,2,FALSE)</f>
        <v>#N/A</v>
      </c>
      <c r="O429" s="19"/>
      <c r="P429" s="19"/>
      <c r="Q429" s="19"/>
      <c r="R429" s="19"/>
      <c r="S429" s="19"/>
      <c r="T429" s="19"/>
      <c r="U429" s="19"/>
      <c r="V429" s="19"/>
      <c r="W429" s="19"/>
      <c r="X429" s="19"/>
      <c r="Y429" s="19"/>
    </row>
    <row r="430" spans="1:25" x14ac:dyDescent="0.35">
      <c r="A430" s="19"/>
      <c r="B430" s="19"/>
      <c r="C430" s="19"/>
      <c r="D430" s="19"/>
      <c r="E430" s="19"/>
      <c r="F430" s="19"/>
      <c r="G430" s="19"/>
      <c r="H430" s="19"/>
      <c r="I430" s="19"/>
      <c r="J430" s="10" t="s">
        <v>12</v>
      </c>
      <c r="K430" s="10" t="s">
        <v>12</v>
      </c>
      <c r="L430" s="10" t="s">
        <v>12</v>
      </c>
      <c r="M430" s="10" t="s">
        <v>12</v>
      </c>
      <c r="N430" s="12" t="e">
        <f>VLOOKUP(J430,'Site Allocation'!$B$2:$C$37,2,FALSE)</f>
        <v>#N/A</v>
      </c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</row>
    <row r="431" spans="1:25" x14ac:dyDescent="0.35">
      <c r="A431" s="19"/>
      <c r="B431" s="19"/>
      <c r="C431" s="19"/>
      <c r="D431" s="19"/>
      <c r="E431" s="19"/>
      <c r="F431" s="19"/>
      <c r="G431" s="19"/>
      <c r="H431" s="19"/>
      <c r="I431" s="19"/>
      <c r="J431" s="10" t="s">
        <v>12</v>
      </c>
      <c r="K431" s="10" t="s">
        <v>12</v>
      </c>
      <c r="L431" s="10" t="s">
        <v>12</v>
      </c>
      <c r="M431" s="10" t="s">
        <v>12</v>
      </c>
      <c r="N431" s="12" t="e">
        <f>VLOOKUP(J431,'Site Allocation'!$B$2:$C$37,2,FALSE)</f>
        <v>#N/A</v>
      </c>
      <c r="O431" s="19"/>
      <c r="P431" s="19"/>
      <c r="Q431" s="19"/>
      <c r="R431" s="19"/>
      <c r="S431" s="19"/>
      <c r="T431" s="19"/>
      <c r="U431" s="19"/>
      <c r="V431" s="19"/>
      <c r="W431" s="19"/>
      <c r="X431" s="19"/>
      <c r="Y431" s="19"/>
    </row>
    <row r="432" spans="1:25" x14ac:dyDescent="0.35">
      <c r="A432" s="19"/>
      <c r="B432" s="19"/>
      <c r="C432" s="19"/>
      <c r="D432" s="19"/>
      <c r="E432" s="19"/>
      <c r="F432" s="19"/>
      <c r="G432" s="19"/>
      <c r="H432" s="19"/>
      <c r="I432" s="19"/>
      <c r="J432" s="10" t="s">
        <v>12</v>
      </c>
      <c r="K432" s="10" t="s">
        <v>12</v>
      </c>
      <c r="L432" s="10" t="s">
        <v>12</v>
      </c>
      <c r="M432" s="10" t="s">
        <v>12</v>
      </c>
      <c r="N432" s="12" t="e">
        <f>VLOOKUP(J432,'Site Allocation'!$B$2:$C$37,2,FALSE)</f>
        <v>#N/A</v>
      </c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</row>
    <row r="433" spans="1:25" x14ac:dyDescent="0.35">
      <c r="A433" s="19"/>
      <c r="B433" s="19"/>
      <c r="C433" s="19"/>
      <c r="D433" s="19"/>
      <c r="E433" s="19"/>
      <c r="F433" s="19"/>
      <c r="G433" s="19"/>
      <c r="H433" s="19"/>
      <c r="I433" s="19"/>
      <c r="J433" s="10" t="s">
        <v>12</v>
      </c>
      <c r="K433" s="10" t="s">
        <v>12</v>
      </c>
      <c r="L433" s="10" t="s">
        <v>12</v>
      </c>
      <c r="M433" s="10" t="s">
        <v>12</v>
      </c>
      <c r="N433" s="12" t="e">
        <f>VLOOKUP(J433,'Site Allocation'!$B$2:$C$37,2,FALSE)</f>
        <v>#N/A</v>
      </c>
      <c r="O433" s="19"/>
      <c r="P433" s="19"/>
      <c r="Q433" s="19"/>
      <c r="R433" s="19"/>
      <c r="S433" s="19"/>
      <c r="T433" s="19"/>
      <c r="U433" s="19"/>
      <c r="V433" s="19"/>
      <c r="W433" s="19"/>
      <c r="X433" s="19"/>
      <c r="Y433" s="19"/>
    </row>
    <row r="434" spans="1:25" x14ac:dyDescent="0.35">
      <c r="A434" s="19"/>
      <c r="B434" s="19"/>
      <c r="C434" s="19"/>
      <c r="D434" s="19"/>
      <c r="E434" s="19"/>
      <c r="F434" s="19"/>
      <c r="G434" s="19"/>
      <c r="H434" s="19"/>
      <c r="I434" s="19"/>
      <c r="J434" s="10" t="s">
        <v>12</v>
      </c>
      <c r="K434" s="10" t="s">
        <v>12</v>
      </c>
      <c r="L434" s="10" t="s">
        <v>12</v>
      </c>
      <c r="M434" s="10" t="s">
        <v>12</v>
      </c>
      <c r="N434" s="12" t="e">
        <f>VLOOKUP(J434,'Site Allocation'!$B$2:$C$37,2,FALSE)</f>
        <v>#N/A</v>
      </c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</row>
    <row r="435" spans="1:25" x14ac:dyDescent="0.35">
      <c r="A435" s="19"/>
      <c r="B435" s="19"/>
      <c r="C435" s="19"/>
      <c r="D435" s="19"/>
      <c r="E435" s="19"/>
      <c r="F435" s="19"/>
      <c r="G435" s="19"/>
      <c r="H435" s="19"/>
      <c r="I435" s="19"/>
      <c r="J435" s="10" t="s">
        <v>12</v>
      </c>
      <c r="K435" s="10" t="s">
        <v>12</v>
      </c>
      <c r="L435" s="10" t="s">
        <v>12</v>
      </c>
      <c r="M435" s="10" t="s">
        <v>12</v>
      </c>
      <c r="N435" s="12" t="e">
        <f>VLOOKUP(J435,'Site Allocation'!$B$2:$C$37,2,FALSE)</f>
        <v>#N/A</v>
      </c>
      <c r="O435" s="19"/>
      <c r="P435" s="19"/>
      <c r="Q435" s="19"/>
      <c r="R435" s="19"/>
      <c r="S435" s="19"/>
      <c r="T435" s="19"/>
      <c r="U435" s="19"/>
      <c r="V435" s="19"/>
      <c r="W435" s="19"/>
      <c r="X435" s="19"/>
      <c r="Y435" s="19"/>
    </row>
    <row r="436" spans="1:25" x14ac:dyDescent="0.35">
      <c r="A436" s="19"/>
      <c r="B436" s="19"/>
      <c r="C436" s="19"/>
      <c r="D436" s="19"/>
      <c r="E436" s="19"/>
      <c r="F436" s="19"/>
      <c r="G436" s="19"/>
      <c r="H436" s="19"/>
      <c r="I436" s="19"/>
      <c r="J436" s="10" t="s">
        <v>12</v>
      </c>
      <c r="K436" s="10" t="s">
        <v>12</v>
      </c>
      <c r="L436" s="10" t="s">
        <v>12</v>
      </c>
      <c r="M436" s="10" t="s">
        <v>12</v>
      </c>
      <c r="N436" s="12" t="e">
        <f>VLOOKUP(J436,'Site Allocation'!$B$2:$C$37,2,FALSE)</f>
        <v>#N/A</v>
      </c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</row>
    <row r="437" spans="1:25" x14ac:dyDescent="0.35">
      <c r="A437" s="19"/>
      <c r="B437" s="19"/>
      <c r="C437" s="19"/>
      <c r="D437" s="19"/>
      <c r="E437" s="19"/>
      <c r="F437" s="19"/>
      <c r="G437" s="19"/>
      <c r="H437" s="19"/>
      <c r="I437" s="19"/>
      <c r="J437" s="10" t="s">
        <v>12</v>
      </c>
      <c r="K437" s="10" t="s">
        <v>12</v>
      </c>
      <c r="L437" s="10" t="s">
        <v>12</v>
      </c>
      <c r="M437" s="10" t="s">
        <v>12</v>
      </c>
      <c r="N437" s="12" t="e">
        <f>VLOOKUP(J437,'Site Allocation'!$B$2:$C$37,2,FALSE)</f>
        <v>#N/A</v>
      </c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</row>
    <row r="438" spans="1:25" x14ac:dyDescent="0.35">
      <c r="A438" s="19"/>
      <c r="B438" s="19"/>
      <c r="C438" s="19"/>
      <c r="D438" s="19"/>
      <c r="E438" s="19"/>
      <c r="F438" s="19"/>
      <c r="G438" s="19"/>
      <c r="H438" s="19"/>
      <c r="I438" s="19"/>
      <c r="J438" s="10" t="s">
        <v>12</v>
      </c>
      <c r="K438" s="10" t="s">
        <v>12</v>
      </c>
      <c r="L438" s="10" t="s">
        <v>12</v>
      </c>
      <c r="M438" s="10" t="s">
        <v>12</v>
      </c>
      <c r="N438" s="12" t="e">
        <f>VLOOKUP(J438,'Site Allocation'!$B$2:$C$37,2,FALSE)</f>
        <v>#N/A</v>
      </c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</row>
    <row r="439" spans="1:25" x14ac:dyDescent="0.35">
      <c r="A439" s="19"/>
      <c r="B439" s="19"/>
      <c r="C439" s="19"/>
      <c r="D439" s="19"/>
      <c r="E439" s="19"/>
      <c r="F439" s="19"/>
      <c r="G439" s="19"/>
      <c r="H439" s="19"/>
      <c r="I439" s="19"/>
      <c r="J439" s="10" t="s">
        <v>12</v>
      </c>
      <c r="K439" s="10" t="s">
        <v>12</v>
      </c>
      <c r="L439" s="10" t="s">
        <v>12</v>
      </c>
      <c r="M439" s="10" t="s">
        <v>12</v>
      </c>
      <c r="N439" s="12" t="e">
        <f>VLOOKUP(J439,'Site Allocation'!$B$2:$C$37,2,FALSE)</f>
        <v>#N/A</v>
      </c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</row>
    <row r="440" spans="1:25" x14ac:dyDescent="0.35">
      <c r="A440" s="19"/>
      <c r="B440" s="19"/>
      <c r="C440" s="19"/>
      <c r="D440" s="19"/>
      <c r="E440" s="19"/>
      <c r="F440" s="19"/>
      <c r="G440" s="19"/>
      <c r="H440" s="19"/>
      <c r="I440" s="19"/>
      <c r="J440" s="10" t="s">
        <v>12</v>
      </c>
      <c r="K440" s="10" t="s">
        <v>12</v>
      </c>
      <c r="L440" s="10" t="s">
        <v>12</v>
      </c>
      <c r="M440" s="10" t="s">
        <v>12</v>
      </c>
      <c r="N440" s="12" t="e">
        <f>VLOOKUP(J440,'Site Allocation'!$B$2:$C$37,2,FALSE)</f>
        <v>#N/A</v>
      </c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</row>
    <row r="441" spans="1:25" x14ac:dyDescent="0.35">
      <c r="A441" s="19"/>
      <c r="B441" s="19"/>
      <c r="C441" s="19"/>
      <c r="D441" s="19"/>
      <c r="E441" s="19"/>
      <c r="F441" s="19"/>
      <c r="G441" s="19"/>
      <c r="H441" s="19"/>
      <c r="I441" s="19"/>
      <c r="J441" s="10" t="s">
        <v>12</v>
      </c>
      <c r="K441" s="10" t="s">
        <v>12</v>
      </c>
      <c r="L441" s="10" t="s">
        <v>12</v>
      </c>
      <c r="M441" s="10" t="s">
        <v>12</v>
      </c>
      <c r="N441" s="12" t="e">
        <f>VLOOKUP(J441,'Site Allocation'!$B$2:$C$37,2,FALSE)</f>
        <v>#N/A</v>
      </c>
      <c r="O441" s="19"/>
      <c r="P441" s="19"/>
      <c r="Q441" s="19"/>
      <c r="R441" s="19"/>
      <c r="S441" s="19"/>
      <c r="T441" s="19"/>
      <c r="U441" s="19"/>
      <c r="V441" s="19"/>
      <c r="W441" s="19"/>
      <c r="X441" s="19"/>
      <c r="Y441" s="19"/>
    </row>
    <row r="442" spans="1:25" x14ac:dyDescent="0.35">
      <c r="A442" s="19"/>
      <c r="B442" s="19"/>
      <c r="C442" s="19"/>
      <c r="D442" s="19"/>
      <c r="E442" s="19"/>
      <c r="F442" s="19"/>
      <c r="G442" s="19"/>
      <c r="H442" s="19"/>
      <c r="I442" s="19"/>
      <c r="J442" s="10" t="s">
        <v>12</v>
      </c>
      <c r="K442" s="10" t="s">
        <v>12</v>
      </c>
      <c r="L442" s="10" t="s">
        <v>12</v>
      </c>
      <c r="M442" s="10" t="s">
        <v>12</v>
      </c>
      <c r="N442" s="12" t="e">
        <f>VLOOKUP(J442,'Site Allocation'!$B$2:$C$37,2,FALSE)</f>
        <v>#N/A</v>
      </c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</row>
    <row r="443" spans="1:25" x14ac:dyDescent="0.35">
      <c r="A443" s="19"/>
      <c r="B443" s="19"/>
      <c r="C443" s="19"/>
      <c r="D443" s="19"/>
      <c r="E443" s="19"/>
      <c r="F443" s="19"/>
      <c r="G443" s="19"/>
      <c r="H443" s="19"/>
      <c r="I443" s="19"/>
      <c r="J443" s="10" t="s">
        <v>12</v>
      </c>
      <c r="K443" s="10" t="s">
        <v>12</v>
      </c>
      <c r="L443" s="10" t="s">
        <v>12</v>
      </c>
      <c r="M443" s="10" t="s">
        <v>12</v>
      </c>
      <c r="N443" s="12" t="e">
        <f>VLOOKUP(J443,'Site Allocation'!$B$2:$C$37,2,FALSE)</f>
        <v>#N/A</v>
      </c>
      <c r="O443" s="19"/>
      <c r="P443" s="19"/>
      <c r="Q443" s="19"/>
      <c r="R443" s="19"/>
      <c r="S443" s="19"/>
      <c r="T443" s="19"/>
      <c r="U443" s="19"/>
      <c r="V443" s="19"/>
      <c r="W443" s="19"/>
      <c r="X443" s="19"/>
      <c r="Y443" s="19"/>
    </row>
    <row r="444" spans="1:25" x14ac:dyDescent="0.35">
      <c r="A444" s="19"/>
      <c r="B444" s="19"/>
      <c r="C444" s="19"/>
      <c r="D444" s="19"/>
      <c r="E444" s="19"/>
      <c r="F444" s="19"/>
      <c r="G444" s="19"/>
      <c r="H444" s="19"/>
      <c r="I444" s="19"/>
      <c r="J444" s="10" t="s">
        <v>12</v>
      </c>
      <c r="K444" s="10" t="s">
        <v>12</v>
      </c>
      <c r="L444" s="10" t="s">
        <v>12</v>
      </c>
      <c r="M444" s="10" t="s">
        <v>12</v>
      </c>
      <c r="N444" s="12" t="e">
        <f>VLOOKUP(J444,'Site Allocation'!$B$2:$C$37,2,FALSE)</f>
        <v>#N/A</v>
      </c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</row>
    <row r="445" spans="1:25" x14ac:dyDescent="0.35">
      <c r="A445" s="19"/>
      <c r="B445" s="19"/>
      <c r="C445" s="19"/>
      <c r="D445" s="19"/>
      <c r="E445" s="19"/>
      <c r="F445" s="19"/>
      <c r="G445" s="19"/>
      <c r="H445" s="19"/>
      <c r="I445" s="19"/>
      <c r="J445" s="10" t="s">
        <v>12</v>
      </c>
      <c r="K445" s="10" t="s">
        <v>12</v>
      </c>
      <c r="L445" s="10" t="s">
        <v>12</v>
      </c>
      <c r="M445" s="10" t="s">
        <v>12</v>
      </c>
      <c r="N445" s="12" t="e">
        <f>VLOOKUP(J445,'Site Allocation'!$B$2:$C$37,2,FALSE)</f>
        <v>#N/A</v>
      </c>
      <c r="O445" s="19"/>
      <c r="P445" s="19"/>
      <c r="Q445" s="19"/>
      <c r="R445" s="19"/>
      <c r="S445" s="19"/>
      <c r="T445" s="19"/>
      <c r="U445" s="19"/>
      <c r="V445" s="19"/>
      <c r="W445" s="19"/>
      <c r="X445" s="19"/>
      <c r="Y445" s="19"/>
    </row>
    <row r="446" spans="1:25" x14ac:dyDescent="0.35">
      <c r="A446" s="19"/>
      <c r="B446" s="19"/>
      <c r="C446" s="19"/>
      <c r="D446" s="19"/>
      <c r="E446" s="19"/>
      <c r="F446" s="19"/>
      <c r="G446" s="19"/>
      <c r="H446" s="19"/>
      <c r="I446" s="19"/>
      <c r="J446" s="10" t="s">
        <v>12</v>
      </c>
      <c r="K446" s="10" t="s">
        <v>12</v>
      </c>
      <c r="L446" s="10" t="s">
        <v>12</v>
      </c>
      <c r="M446" s="10" t="s">
        <v>12</v>
      </c>
      <c r="N446" s="12" t="e">
        <f>VLOOKUP(J446,'Site Allocation'!$B$2:$C$37,2,FALSE)</f>
        <v>#N/A</v>
      </c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</row>
    <row r="447" spans="1:25" x14ac:dyDescent="0.35">
      <c r="A447" s="19"/>
      <c r="B447" s="19"/>
      <c r="C447" s="19"/>
      <c r="D447" s="19"/>
      <c r="E447" s="19"/>
      <c r="F447" s="19"/>
      <c r="G447" s="19"/>
      <c r="H447" s="19"/>
      <c r="I447" s="19"/>
      <c r="J447" s="10" t="s">
        <v>12</v>
      </c>
      <c r="K447" s="10" t="s">
        <v>12</v>
      </c>
      <c r="L447" s="10" t="s">
        <v>12</v>
      </c>
      <c r="M447" s="10" t="s">
        <v>12</v>
      </c>
      <c r="N447" s="12" t="e">
        <f>VLOOKUP(J447,'Site Allocation'!$B$2:$C$37,2,FALSE)</f>
        <v>#N/A</v>
      </c>
      <c r="O447" s="19"/>
      <c r="P447" s="19"/>
      <c r="Q447" s="19"/>
      <c r="R447" s="19"/>
      <c r="S447" s="19"/>
      <c r="T447" s="19"/>
      <c r="U447" s="19"/>
      <c r="V447" s="19"/>
      <c r="W447" s="19"/>
      <c r="X447" s="19"/>
      <c r="Y447" s="19"/>
    </row>
    <row r="448" spans="1:25" x14ac:dyDescent="0.35">
      <c r="A448" s="19"/>
      <c r="B448" s="19"/>
      <c r="C448" s="19"/>
      <c r="D448" s="19"/>
      <c r="E448" s="19"/>
      <c r="F448" s="19"/>
      <c r="G448" s="19"/>
      <c r="H448" s="19"/>
      <c r="I448" s="19"/>
      <c r="J448" s="10" t="s">
        <v>12</v>
      </c>
      <c r="K448" s="10" t="s">
        <v>12</v>
      </c>
      <c r="L448" s="10" t="s">
        <v>12</v>
      </c>
      <c r="M448" s="10" t="s">
        <v>12</v>
      </c>
      <c r="N448" s="12" t="e">
        <f>VLOOKUP(J448,'Site Allocation'!$B$2:$C$37,2,FALSE)</f>
        <v>#N/A</v>
      </c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</row>
    <row r="449" spans="1:25" x14ac:dyDescent="0.35">
      <c r="A449" s="19"/>
      <c r="B449" s="19"/>
      <c r="C449" s="19"/>
      <c r="D449" s="19"/>
      <c r="E449" s="19"/>
      <c r="F449" s="19"/>
      <c r="G449" s="19"/>
      <c r="H449" s="19"/>
      <c r="I449" s="19"/>
      <c r="J449" s="10" t="s">
        <v>12</v>
      </c>
      <c r="K449" s="10" t="s">
        <v>12</v>
      </c>
      <c r="L449" s="10" t="s">
        <v>12</v>
      </c>
      <c r="M449" s="10" t="s">
        <v>12</v>
      </c>
      <c r="N449" s="12" t="e">
        <f>VLOOKUP(J449,'Site Allocation'!$B$2:$C$37,2,FALSE)</f>
        <v>#N/A</v>
      </c>
      <c r="O449" s="19"/>
      <c r="P449" s="19"/>
      <c r="Q449" s="19"/>
      <c r="R449" s="19"/>
      <c r="S449" s="19"/>
      <c r="T449" s="19"/>
      <c r="U449" s="19"/>
      <c r="V449" s="19"/>
      <c r="W449" s="19"/>
      <c r="X449" s="19"/>
      <c r="Y449" s="19"/>
    </row>
    <row r="450" spans="1:25" x14ac:dyDescent="0.35">
      <c r="A450" s="19"/>
      <c r="B450" s="19"/>
      <c r="C450" s="19"/>
      <c r="D450" s="19"/>
      <c r="E450" s="19"/>
      <c r="F450" s="19"/>
      <c r="G450" s="19"/>
      <c r="H450" s="19"/>
      <c r="I450" s="19"/>
      <c r="J450" s="10" t="s">
        <v>12</v>
      </c>
      <c r="K450" s="10" t="s">
        <v>12</v>
      </c>
      <c r="L450" s="10" t="s">
        <v>12</v>
      </c>
      <c r="M450" s="10" t="s">
        <v>12</v>
      </c>
      <c r="N450" s="12" t="e">
        <f>VLOOKUP(J450,'Site Allocation'!$B$2:$C$37,2,FALSE)</f>
        <v>#N/A</v>
      </c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</row>
    <row r="451" spans="1:25" x14ac:dyDescent="0.35">
      <c r="A451" s="19"/>
      <c r="B451" s="19"/>
      <c r="C451" s="19"/>
      <c r="D451" s="19"/>
      <c r="E451" s="19"/>
      <c r="F451" s="19"/>
      <c r="G451" s="19"/>
      <c r="H451" s="19"/>
      <c r="I451" s="19"/>
      <c r="J451" s="10" t="s">
        <v>12</v>
      </c>
      <c r="K451" s="10" t="s">
        <v>12</v>
      </c>
      <c r="L451" s="10" t="s">
        <v>12</v>
      </c>
      <c r="M451" s="10" t="s">
        <v>12</v>
      </c>
      <c r="N451" s="12" t="e">
        <f>VLOOKUP(J451,'Site Allocation'!$B$2:$C$37,2,FALSE)</f>
        <v>#N/A</v>
      </c>
      <c r="O451" s="19"/>
      <c r="P451" s="19"/>
      <c r="Q451" s="19"/>
      <c r="R451" s="19"/>
      <c r="S451" s="19"/>
      <c r="T451" s="19"/>
      <c r="U451" s="19"/>
      <c r="V451" s="19"/>
      <c r="W451" s="19"/>
      <c r="X451" s="19"/>
      <c r="Y451" s="19"/>
    </row>
    <row r="452" spans="1:25" x14ac:dyDescent="0.35">
      <c r="A452" s="19"/>
      <c r="B452" s="19"/>
      <c r="C452" s="19"/>
      <c r="D452" s="19"/>
      <c r="E452" s="19"/>
      <c r="F452" s="19"/>
      <c r="G452" s="19"/>
      <c r="H452" s="19"/>
      <c r="I452" s="19"/>
      <c r="J452" s="10" t="s">
        <v>12</v>
      </c>
      <c r="K452" s="10" t="s">
        <v>12</v>
      </c>
      <c r="L452" s="10" t="s">
        <v>12</v>
      </c>
      <c r="M452" s="10" t="s">
        <v>12</v>
      </c>
      <c r="N452" s="12" t="e">
        <f>VLOOKUP(J452,'Site Allocation'!$B$2:$C$37,2,FALSE)</f>
        <v>#N/A</v>
      </c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</row>
    <row r="453" spans="1:25" x14ac:dyDescent="0.35">
      <c r="A453" s="19"/>
      <c r="B453" s="19"/>
      <c r="C453" s="19"/>
      <c r="D453" s="19"/>
      <c r="E453" s="19"/>
      <c r="F453" s="19"/>
      <c r="G453" s="19"/>
      <c r="H453" s="19"/>
      <c r="I453" s="19"/>
      <c r="J453" s="10" t="s">
        <v>12</v>
      </c>
      <c r="K453" s="10" t="s">
        <v>12</v>
      </c>
      <c r="L453" s="10" t="s">
        <v>12</v>
      </c>
      <c r="M453" s="10" t="s">
        <v>12</v>
      </c>
      <c r="N453" s="12" t="e">
        <f>VLOOKUP(J453,'Site Allocation'!$B$2:$C$37,2,FALSE)</f>
        <v>#N/A</v>
      </c>
      <c r="O453" s="19"/>
      <c r="P453" s="19"/>
      <c r="Q453" s="19"/>
      <c r="R453" s="19"/>
      <c r="S453" s="19"/>
      <c r="T453" s="19"/>
      <c r="U453" s="19"/>
      <c r="V453" s="19"/>
      <c r="W453" s="19"/>
      <c r="X453" s="19"/>
      <c r="Y453" s="19"/>
    </row>
    <row r="454" spans="1:25" x14ac:dyDescent="0.35">
      <c r="A454" s="19"/>
      <c r="B454" s="19"/>
      <c r="C454" s="19"/>
      <c r="D454" s="19"/>
      <c r="E454" s="19"/>
      <c r="F454" s="19"/>
      <c r="G454" s="19"/>
      <c r="H454" s="19"/>
      <c r="I454" s="19"/>
      <c r="J454" s="10" t="s">
        <v>12</v>
      </c>
      <c r="K454" s="10" t="s">
        <v>12</v>
      </c>
      <c r="L454" s="10" t="s">
        <v>12</v>
      </c>
      <c r="M454" s="10" t="s">
        <v>12</v>
      </c>
      <c r="N454" s="12" t="e">
        <f>VLOOKUP(J454,'Site Allocation'!$B$2:$C$37,2,FALSE)</f>
        <v>#N/A</v>
      </c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</row>
    <row r="455" spans="1:25" x14ac:dyDescent="0.35">
      <c r="A455" s="19"/>
      <c r="B455" s="19"/>
      <c r="C455" s="19"/>
      <c r="D455" s="19"/>
      <c r="E455" s="19"/>
      <c r="F455" s="19"/>
      <c r="G455" s="19"/>
      <c r="H455" s="19"/>
      <c r="I455" s="19"/>
      <c r="J455" s="10" t="s">
        <v>12</v>
      </c>
      <c r="K455" s="10" t="s">
        <v>12</v>
      </c>
      <c r="L455" s="10" t="s">
        <v>12</v>
      </c>
      <c r="M455" s="10" t="s">
        <v>12</v>
      </c>
      <c r="N455" s="12" t="e">
        <f>VLOOKUP(J455,'Site Allocation'!$B$2:$C$37,2,FALSE)</f>
        <v>#N/A</v>
      </c>
      <c r="O455" s="19"/>
      <c r="P455" s="19"/>
      <c r="Q455" s="19"/>
      <c r="R455" s="19"/>
      <c r="S455" s="19"/>
      <c r="T455" s="19"/>
      <c r="U455" s="19"/>
      <c r="V455" s="19"/>
      <c r="W455" s="19"/>
      <c r="X455" s="19"/>
      <c r="Y455" s="19"/>
    </row>
    <row r="456" spans="1:25" x14ac:dyDescent="0.35">
      <c r="A456" s="19"/>
      <c r="B456" s="19"/>
      <c r="C456" s="19"/>
      <c r="D456" s="19"/>
      <c r="E456" s="19"/>
      <c r="F456" s="19"/>
      <c r="G456" s="19"/>
      <c r="H456" s="19"/>
      <c r="I456" s="19"/>
      <c r="J456" s="10" t="s">
        <v>12</v>
      </c>
      <c r="K456" s="10" t="s">
        <v>12</v>
      </c>
      <c r="L456" s="10" t="s">
        <v>12</v>
      </c>
      <c r="M456" s="10" t="s">
        <v>12</v>
      </c>
      <c r="N456" s="12" t="e">
        <f>VLOOKUP(J456,'Site Allocation'!$B$2:$C$37,2,FALSE)</f>
        <v>#N/A</v>
      </c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</row>
    <row r="457" spans="1:25" x14ac:dyDescent="0.35">
      <c r="A457" s="19"/>
      <c r="B457" s="19"/>
      <c r="C457" s="19"/>
      <c r="D457" s="19"/>
      <c r="E457" s="19"/>
      <c r="F457" s="19"/>
      <c r="G457" s="19"/>
      <c r="H457" s="19"/>
      <c r="I457" s="19"/>
      <c r="J457" s="10" t="s">
        <v>12</v>
      </c>
      <c r="K457" s="10" t="s">
        <v>12</v>
      </c>
      <c r="L457" s="10" t="s">
        <v>12</v>
      </c>
      <c r="M457" s="10" t="s">
        <v>12</v>
      </c>
      <c r="N457" s="12" t="e">
        <f>VLOOKUP(J457,'Site Allocation'!$B$2:$C$37,2,FALSE)</f>
        <v>#N/A</v>
      </c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</row>
    <row r="458" spans="1:25" x14ac:dyDescent="0.35">
      <c r="A458" s="19"/>
      <c r="B458" s="19"/>
      <c r="C458" s="19"/>
      <c r="D458" s="19"/>
      <c r="E458" s="19"/>
      <c r="F458" s="19"/>
      <c r="G458" s="19"/>
      <c r="H458" s="19"/>
      <c r="I458" s="19"/>
      <c r="J458" s="10" t="s">
        <v>12</v>
      </c>
      <c r="K458" s="10" t="s">
        <v>12</v>
      </c>
      <c r="L458" s="10" t="s">
        <v>12</v>
      </c>
      <c r="M458" s="10" t="s">
        <v>12</v>
      </c>
      <c r="N458" s="12" t="e">
        <f>VLOOKUP(J458,'Site Allocation'!$B$2:$C$37,2,FALSE)</f>
        <v>#N/A</v>
      </c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</row>
    <row r="459" spans="1:25" x14ac:dyDescent="0.35">
      <c r="A459" s="19"/>
      <c r="B459" s="19"/>
      <c r="C459" s="19"/>
      <c r="D459" s="19"/>
      <c r="E459" s="19"/>
      <c r="F459" s="19"/>
      <c r="G459" s="19"/>
      <c r="H459" s="19"/>
      <c r="I459" s="19"/>
      <c r="J459" s="10" t="s">
        <v>12</v>
      </c>
      <c r="K459" s="10" t="s">
        <v>12</v>
      </c>
      <c r="L459" s="10" t="s">
        <v>12</v>
      </c>
      <c r="M459" s="10" t="s">
        <v>12</v>
      </c>
      <c r="N459" s="12" t="e">
        <f>VLOOKUP(J459,'Site Allocation'!$B$2:$C$37,2,FALSE)</f>
        <v>#N/A</v>
      </c>
      <c r="O459" s="19"/>
      <c r="P459" s="19"/>
      <c r="Q459" s="19"/>
      <c r="R459" s="19"/>
      <c r="S459" s="19"/>
      <c r="T459" s="19"/>
      <c r="U459" s="19"/>
      <c r="V459" s="19"/>
      <c r="W459" s="19"/>
      <c r="X459" s="19"/>
      <c r="Y459" s="19"/>
    </row>
    <row r="460" spans="1:25" x14ac:dyDescent="0.35">
      <c r="A460" s="19"/>
      <c r="B460" s="19"/>
      <c r="C460" s="19"/>
      <c r="D460" s="19"/>
      <c r="E460" s="19"/>
      <c r="F460" s="19"/>
      <c r="G460" s="19"/>
      <c r="H460" s="19"/>
      <c r="I460" s="19"/>
      <c r="J460" s="10" t="s">
        <v>12</v>
      </c>
      <c r="K460" s="10" t="s">
        <v>12</v>
      </c>
      <c r="L460" s="10" t="s">
        <v>12</v>
      </c>
      <c r="M460" s="10" t="s">
        <v>12</v>
      </c>
      <c r="N460" s="12" t="e">
        <f>VLOOKUP(J460,'Site Allocation'!$B$2:$C$37,2,FALSE)</f>
        <v>#N/A</v>
      </c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</row>
    <row r="461" spans="1:25" x14ac:dyDescent="0.35">
      <c r="A461" s="19"/>
      <c r="B461" s="19"/>
      <c r="C461" s="19"/>
      <c r="D461" s="19"/>
      <c r="E461" s="19"/>
      <c r="F461" s="19"/>
      <c r="G461" s="19"/>
      <c r="H461" s="19"/>
      <c r="I461" s="19"/>
      <c r="J461" s="10" t="s">
        <v>12</v>
      </c>
      <c r="K461" s="10" t="s">
        <v>12</v>
      </c>
      <c r="L461" s="10" t="s">
        <v>12</v>
      </c>
      <c r="M461" s="10" t="s">
        <v>12</v>
      </c>
      <c r="N461" s="12" t="e">
        <f>VLOOKUP(J461,'Site Allocation'!$B$2:$C$37,2,FALSE)</f>
        <v>#N/A</v>
      </c>
      <c r="O461" s="19"/>
      <c r="P461" s="19"/>
      <c r="Q461" s="19"/>
      <c r="R461" s="19"/>
      <c r="S461" s="19"/>
      <c r="T461" s="19"/>
      <c r="U461" s="19"/>
      <c r="V461" s="19"/>
      <c r="W461" s="19"/>
      <c r="X461" s="19"/>
      <c r="Y461" s="19"/>
    </row>
    <row r="462" spans="1:25" x14ac:dyDescent="0.35">
      <c r="A462" s="19"/>
      <c r="B462" s="19"/>
      <c r="C462" s="19"/>
      <c r="D462" s="19"/>
      <c r="E462" s="19"/>
      <c r="F462" s="19"/>
      <c r="G462" s="19"/>
      <c r="H462" s="19"/>
      <c r="I462" s="19"/>
      <c r="J462" s="10" t="s">
        <v>12</v>
      </c>
      <c r="K462" s="10" t="s">
        <v>12</v>
      </c>
      <c r="L462" s="10" t="s">
        <v>12</v>
      </c>
      <c r="M462" s="10" t="s">
        <v>12</v>
      </c>
      <c r="N462" s="12" t="e">
        <f>VLOOKUP(J462,'Site Allocation'!$B$2:$C$37,2,FALSE)</f>
        <v>#N/A</v>
      </c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</row>
    <row r="463" spans="1:25" x14ac:dyDescent="0.35">
      <c r="A463" s="19"/>
      <c r="B463" s="19"/>
      <c r="C463" s="19"/>
      <c r="D463" s="19"/>
      <c r="E463" s="19"/>
      <c r="F463" s="19"/>
      <c r="G463" s="19"/>
      <c r="H463" s="19"/>
      <c r="I463" s="19"/>
      <c r="J463" s="10" t="s">
        <v>12</v>
      </c>
      <c r="K463" s="10" t="s">
        <v>12</v>
      </c>
      <c r="L463" s="10" t="s">
        <v>12</v>
      </c>
      <c r="M463" s="10" t="s">
        <v>12</v>
      </c>
      <c r="N463" s="12" t="e">
        <f>VLOOKUP(J463,'Site Allocation'!$B$2:$C$37,2,FALSE)</f>
        <v>#N/A</v>
      </c>
      <c r="O463" s="19"/>
      <c r="P463" s="19"/>
      <c r="Q463" s="19"/>
      <c r="R463" s="19"/>
      <c r="S463" s="19"/>
      <c r="T463" s="19"/>
      <c r="U463" s="19"/>
      <c r="V463" s="19"/>
      <c r="W463" s="19"/>
      <c r="X463" s="19"/>
      <c r="Y463" s="19"/>
    </row>
    <row r="464" spans="1:25" x14ac:dyDescent="0.35">
      <c r="A464" s="19"/>
      <c r="B464" s="19"/>
      <c r="C464" s="19"/>
      <c r="D464" s="19"/>
      <c r="E464" s="19"/>
      <c r="F464" s="19"/>
      <c r="G464" s="19"/>
      <c r="H464" s="19"/>
      <c r="I464" s="19"/>
      <c r="J464" s="10" t="s">
        <v>12</v>
      </c>
      <c r="K464" s="10" t="s">
        <v>12</v>
      </c>
      <c r="L464" s="10" t="s">
        <v>12</v>
      </c>
      <c r="M464" s="10" t="s">
        <v>12</v>
      </c>
      <c r="N464" s="12" t="e">
        <f>VLOOKUP(J464,'Site Allocation'!$B$2:$C$37,2,FALSE)</f>
        <v>#N/A</v>
      </c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</row>
    <row r="465" spans="1:25" x14ac:dyDescent="0.35">
      <c r="A465" s="19"/>
      <c r="B465" s="19"/>
      <c r="C465" s="19"/>
      <c r="D465" s="19"/>
      <c r="E465" s="19"/>
      <c r="F465" s="19"/>
      <c r="G465" s="19"/>
      <c r="H465" s="19"/>
      <c r="I465" s="19"/>
      <c r="J465" s="10" t="s">
        <v>12</v>
      </c>
      <c r="K465" s="10" t="s">
        <v>12</v>
      </c>
      <c r="L465" s="10" t="s">
        <v>12</v>
      </c>
      <c r="M465" s="10" t="s">
        <v>12</v>
      </c>
      <c r="N465" s="12" t="e">
        <f>VLOOKUP(J465,'Site Allocation'!$B$2:$C$37,2,FALSE)</f>
        <v>#N/A</v>
      </c>
      <c r="O465" s="19"/>
      <c r="P465" s="19"/>
      <c r="Q465" s="19"/>
      <c r="R465" s="19"/>
      <c r="S465" s="19"/>
      <c r="T465" s="19"/>
      <c r="U465" s="19"/>
      <c r="V465" s="19"/>
      <c r="W465" s="19"/>
      <c r="X465" s="19"/>
      <c r="Y465" s="19"/>
    </row>
    <row r="466" spans="1:25" x14ac:dyDescent="0.35">
      <c r="A466" s="19"/>
      <c r="B466" s="19"/>
      <c r="C466" s="19"/>
      <c r="D466" s="19"/>
      <c r="E466" s="19"/>
      <c r="F466" s="19"/>
      <c r="G466" s="19"/>
      <c r="H466" s="19"/>
      <c r="I466" s="19"/>
      <c r="J466" s="10" t="s">
        <v>12</v>
      </c>
      <c r="K466" s="10" t="s">
        <v>12</v>
      </c>
      <c r="L466" s="10" t="s">
        <v>12</v>
      </c>
      <c r="M466" s="10" t="s">
        <v>12</v>
      </c>
      <c r="N466" s="12" t="e">
        <f>VLOOKUP(J466,'Site Allocation'!$B$2:$C$37,2,FALSE)</f>
        <v>#N/A</v>
      </c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</row>
    <row r="467" spans="1:25" x14ac:dyDescent="0.35">
      <c r="A467" s="19"/>
      <c r="B467" s="19"/>
      <c r="C467" s="19"/>
      <c r="D467" s="19"/>
      <c r="E467" s="19"/>
      <c r="F467" s="19"/>
      <c r="G467" s="19"/>
      <c r="H467" s="19"/>
      <c r="I467" s="19"/>
      <c r="J467" s="10" t="s">
        <v>12</v>
      </c>
      <c r="K467" s="10" t="s">
        <v>12</v>
      </c>
      <c r="L467" s="10" t="s">
        <v>12</v>
      </c>
      <c r="M467" s="10" t="s">
        <v>12</v>
      </c>
      <c r="N467" s="12" t="e">
        <f>VLOOKUP(J467,'Site Allocation'!$B$2:$C$37,2,FALSE)</f>
        <v>#N/A</v>
      </c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</row>
    <row r="468" spans="1:25" x14ac:dyDescent="0.35">
      <c r="A468" s="19"/>
      <c r="B468" s="19"/>
      <c r="C468" s="19"/>
      <c r="D468" s="19"/>
      <c r="E468" s="19"/>
      <c r="F468" s="19"/>
      <c r="G468" s="19"/>
      <c r="H468" s="19"/>
      <c r="I468" s="19"/>
      <c r="J468" s="10" t="s">
        <v>12</v>
      </c>
      <c r="K468" s="10" t="s">
        <v>12</v>
      </c>
      <c r="L468" s="10" t="s">
        <v>12</v>
      </c>
      <c r="M468" s="10" t="s">
        <v>12</v>
      </c>
      <c r="N468" s="12" t="e">
        <f>VLOOKUP(J468,'Site Allocation'!$B$2:$C$37,2,FALSE)</f>
        <v>#N/A</v>
      </c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</row>
    <row r="469" spans="1:25" x14ac:dyDescent="0.35">
      <c r="A469" s="19"/>
      <c r="B469" s="19"/>
      <c r="C469" s="19"/>
      <c r="D469" s="19"/>
      <c r="E469" s="19"/>
      <c r="F469" s="19"/>
      <c r="G469" s="19"/>
      <c r="H469" s="19"/>
      <c r="I469" s="19"/>
      <c r="J469" s="10" t="s">
        <v>12</v>
      </c>
      <c r="K469" s="10" t="s">
        <v>12</v>
      </c>
      <c r="L469" s="10" t="s">
        <v>12</v>
      </c>
      <c r="M469" s="10" t="s">
        <v>12</v>
      </c>
      <c r="N469" s="12" t="e">
        <f>VLOOKUP(J469,'Site Allocation'!$B$2:$C$37,2,FALSE)</f>
        <v>#N/A</v>
      </c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</row>
    <row r="470" spans="1:25" x14ac:dyDescent="0.35">
      <c r="A470" s="19"/>
      <c r="B470" s="19"/>
      <c r="C470" s="19"/>
      <c r="D470" s="19"/>
      <c r="E470" s="19"/>
      <c r="F470" s="19"/>
      <c r="G470" s="19"/>
      <c r="H470" s="19"/>
      <c r="I470" s="19"/>
      <c r="J470" s="10" t="s">
        <v>12</v>
      </c>
      <c r="K470" s="10" t="s">
        <v>12</v>
      </c>
      <c r="L470" s="10" t="s">
        <v>12</v>
      </c>
      <c r="M470" s="10" t="s">
        <v>12</v>
      </c>
      <c r="N470" s="12" t="e">
        <f>VLOOKUP(J470,'Site Allocation'!$B$2:$C$37,2,FALSE)</f>
        <v>#N/A</v>
      </c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</row>
    <row r="471" spans="1:25" x14ac:dyDescent="0.35">
      <c r="A471" s="19"/>
      <c r="B471" s="19"/>
      <c r="C471" s="19"/>
      <c r="D471" s="19"/>
      <c r="E471" s="19"/>
      <c r="F471" s="19"/>
      <c r="G471" s="19"/>
      <c r="H471" s="19"/>
      <c r="I471" s="19"/>
      <c r="J471" s="10" t="s">
        <v>12</v>
      </c>
      <c r="K471" s="10" t="s">
        <v>12</v>
      </c>
      <c r="L471" s="10" t="s">
        <v>12</v>
      </c>
      <c r="M471" s="10" t="s">
        <v>12</v>
      </c>
      <c r="N471" s="12" t="e">
        <f>VLOOKUP(J471,'Site Allocation'!$B$2:$C$37,2,FALSE)</f>
        <v>#N/A</v>
      </c>
      <c r="O471" s="19"/>
      <c r="P471" s="19"/>
      <c r="Q471" s="19"/>
      <c r="R471" s="19"/>
      <c r="S471" s="19"/>
      <c r="T471" s="19"/>
      <c r="U471" s="19"/>
      <c r="V471" s="19"/>
      <c r="W471" s="19"/>
      <c r="X471" s="19"/>
      <c r="Y471" s="19"/>
    </row>
    <row r="472" spans="1:25" x14ac:dyDescent="0.35">
      <c r="A472" s="19"/>
      <c r="B472" s="19"/>
      <c r="C472" s="19"/>
      <c r="D472" s="19"/>
      <c r="E472" s="19"/>
      <c r="F472" s="19"/>
      <c r="G472" s="19"/>
      <c r="H472" s="19"/>
      <c r="I472" s="19"/>
      <c r="J472" s="10" t="s">
        <v>12</v>
      </c>
      <c r="K472" s="10" t="s">
        <v>12</v>
      </c>
      <c r="L472" s="10" t="s">
        <v>12</v>
      </c>
      <c r="M472" s="10" t="s">
        <v>12</v>
      </c>
      <c r="N472" s="12" t="e">
        <f>VLOOKUP(J472,'Site Allocation'!$B$2:$C$37,2,FALSE)</f>
        <v>#N/A</v>
      </c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</row>
    <row r="473" spans="1:25" x14ac:dyDescent="0.35">
      <c r="A473" s="19"/>
      <c r="B473" s="19"/>
      <c r="C473" s="19"/>
      <c r="D473" s="19"/>
      <c r="E473" s="19"/>
      <c r="F473" s="19"/>
      <c r="G473" s="19"/>
      <c r="H473" s="19"/>
      <c r="I473" s="19"/>
      <c r="J473" s="10" t="s">
        <v>12</v>
      </c>
      <c r="K473" s="10" t="s">
        <v>12</v>
      </c>
      <c r="L473" s="10" t="s">
        <v>12</v>
      </c>
      <c r="M473" s="10" t="s">
        <v>12</v>
      </c>
      <c r="N473" s="12" t="e">
        <f>VLOOKUP(J473,'Site Allocation'!$B$2:$C$37,2,FALSE)</f>
        <v>#N/A</v>
      </c>
      <c r="O473" s="19"/>
      <c r="P473" s="19"/>
      <c r="Q473" s="19"/>
      <c r="R473" s="19"/>
      <c r="S473" s="19"/>
      <c r="T473" s="19"/>
      <c r="U473" s="19"/>
      <c r="V473" s="19"/>
      <c r="W473" s="19"/>
      <c r="X473" s="19"/>
      <c r="Y473" s="19"/>
    </row>
    <row r="474" spans="1:25" x14ac:dyDescent="0.35">
      <c r="A474" s="19"/>
      <c r="B474" s="19"/>
      <c r="C474" s="19"/>
      <c r="D474" s="19"/>
      <c r="E474" s="19"/>
      <c r="F474" s="19"/>
      <c r="G474" s="19"/>
      <c r="H474" s="19"/>
      <c r="I474" s="19"/>
      <c r="J474" s="10" t="s">
        <v>12</v>
      </c>
      <c r="K474" s="10" t="s">
        <v>12</v>
      </c>
      <c r="L474" s="10" t="s">
        <v>12</v>
      </c>
      <c r="M474" s="10" t="s">
        <v>12</v>
      </c>
      <c r="N474" s="12" t="e">
        <f>VLOOKUP(J474,'Site Allocation'!$B$2:$C$37,2,FALSE)</f>
        <v>#N/A</v>
      </c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</row>
    <row r="475" spans="1:25" x14ac:dyDescent="0.35">
      <c r="A475" s="19"/>
      <c r="B475" s="19"/>
      <c r="C475" s="19"/>
      <c r="D475" s="19"/>
      <c r="E475" s="19"/>
      <c r="F475" s="19"/>
      <c r="G475" s="19"/>
      <c r="H475" s="19"/>
      <c r="I475" s="19"/>
      <c r="J475" s="10" t="s">
        <v>12</v>
      </c>
      <c r="K475" s="10" t="s">
        <v>12</v>
      </c>
      <c r="L475" s="10" t="s">
        <v>12</v>
      </c>
      <c r="M475" s="10" t="s">
        <v>12</v>
      </c>
      <c r="N475" s="12" t="e">
        <f>VLOOKUP(J475,'Site Allocation'!$B$2:$C$37,2,FALSE)</f>
        <v>#N/A</v>
      </c>
      <c r="O475" s="19"/>
      <c r="P475" s="19"/>
      <c r="Q475" s="19"/>
      <c r="R475" s="19"/>
      <c r="S475" s="19"/>
      <c r="T475" s="19"/>
      <c r="U475" s="19"/>
      <c r="V475" s="19"/>
      <c r="W475" s="19"/>
      <c r="X475" s="19"/>
      <c r="Y475" s="19"/>
    </row>
    <row r="476" spans="1:25" x14ac:dyDescent="0.35">
      <c r="A476" s="19"/>
      <c r="B476" s="19"/>
      <c r="C476" s="19"/>
      <c r="D476" s="19"/>
      <c r="E476" s="19"/>
      <c r="F476" s="19"/>
      <c r="G476" s="19"/>
      <c r="H476" s="19"/>
      <c r="I476" s="19"/>
      <c r="J476" s="10" t="s">
        <v>12</v>
      </c>
      <c r="K476" s="10" t="s">
        <v>12</v>
      </c>
      <c r="L476" s="10" t="s">
        <v>12</v>
      </c>
      <c r="M476" s="10" t="s">
        <v>12</v>
      </c>
      <c r="N476" s="12" t="e">
        <f>VLOOKUP(J476,'Site Allocation'!$B$2:$C$37,2,FALSE)</f>
        <v>#N/A</v>
      </c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</row>
    <row r="477" spans="1:25" x14ac:dyDescent="0.35">
      <c r="A477" s="19"/>
      <c r="B477" s="19"/>
      <c r="C477" s="19"/>
      <c r="D477" s="19"/>
      <c r="E477" s="19"/>
      <c r="F477" s="19"/>
      <c r="G477" s="19"/>
      <c r="H477" s="19"/>
      <c r="I477" s="19"/>
      <c r="J477" s="10" t="s">
        <v>12</v>
      </c>
      <c r="K477" s="10" t="s">
        <v>12</v>
      </c>
      <c r="L477" s="10" t="s">
        <v>12</v>
      </c>
      <c r="M477" s="10" t="s">
        <v>12</v>
      </c>
      <c r="N477" s="12" t="e">
        <f>VLOOKUP(J477,'Site Allocation'!$B$2:$C$37,2,FALSE)</f>
        <v>#N/A</v>
      </c>
      <c r="O477" s="19"/>
      <c r="P477" s="19"/>
      <c r="Q477" s="19"/>
      <c r="R477" s="19"/>
      <c r="S477" s="19"/>
      <c r="T477" s="19"/>
      <c r="U477" s="19"/>
      <c r="V477" s="19"/>
      <c r="W477" s="19"/>
      <c r="X477" s="19"/>
      <c r="Y477" s="19"/>
    </row>
    <row r="478" spans="1:25" x14ac:dyDescent="0.35">
      <c r="A478" s="19"/>
      <c r="B478" s="19"/>
      <c r="C478" s="19"/>
      <c r="D478" s="19"/>
      <c r="E478" s="19"/>
      <c r="F478" s="19"/>
      <c r="G478" s="19"/>
      <c r="H478" s="19"/>
      <c r="I478" s="19"/>
      <c r="J478" s="10" t="s">
        <v>12</v>
      </c>
      <c r="K478" s="10" t="s">
        <v>12</v>
      </c>
      <c r="L478" s="10" t="s">
        <v>12</v>
      </c>
      <c r="M478" s="10" t="s">
        <v>12</v>
      </c>
      <c r="N478" s="12" t="e">
        <f>VLOOKUP(J478,'Site Allocation'!$B$2:$C$37,2,FALSE)</f>
        <v>#N/A</v>
      </c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</row>
    <row r="479" spans="1:25" x14ac:dyDescent="0.35">
      <c r="A479" s="19"/>
      <c r="B479" s="19"/>
      <c r="C479" s="19"/>
      <c r="D479" s="19"/>
      <c r="E479" s="19"/>
      <c r="F479" s="19"/>
      <c r="G479" s="19"/>
      <c r="H479" s="19"/>
      <c r="I479" s="19"/>
      <c r="J479" s="10" t="s">
        <v>12</v>
      </c>
      <c r="K479" s="10" t="s">
        <v>12</v>
      </c>
      <c r="L479" s="10" t="s">
        <v>12</v>
      </c>
      <c r="M479" s="10" t="s">
        <v>12</v>
      </c>
      <c r="N479" s="12" t="e">
        <f>VLOOKUP(J479,'Site Allocation'!$B$2:$C$37,2,FALSE)</f>
        <v>#N/A</v>
      </c>
      <c r="O479" s="19"/>
      <c r="P479" s="19"/>
      <c r="Q479" s="19"/>
      <c r="R479" s="19"/>
      <c r="S479" s="19"/>
      <c r="T479" s="19"/>
      <c r="U479" s="19"/>
      <c r="V479" s="19"/>
      <c r="W479" s="19"/>
      <c r="X479" s="19"/>
      <c r="Y479" s="19"/>
    </row>
    <row r="480" spans="1:25" x14ac:dyDescent="0.35">
      <c r="A480" s="19"/>
      <c r="B480" s="19"/>
      <c r="C480" s="19"/>
      <c r="D480" s="19"/>
      <c r="E480" s="19"/>
      <c r="F480" s="19"/>
      <c r="G480" s="19"/>
      <c r="H480" s="19"/>
      <c r="I480" s="19"/>
      <c r="J480" s="10" t="s">
        <v>12</v>
      </c>
      <c r="K480" s="10" t="s">
        <v>12</v>
      </c>
      <c r="L480" s="10" t="s">
        <v>12</v>
      </c>
      <c r="M480" s="10" t="s">
        <v>12</v>
      </c>
      <c r="N480" s="12" t="e">
        <f>VLOOKUP(J480,'Site Allocation'!$B$2:$C$37,2,FALSE)</f>
        <v>#N/A</v>
      </c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</row>
    <row r="481" spans="1:25" x14ac:dyDescent="0.35">
      <c r="A481" s="19"/>
      <c r="B481" s="19"/>
      <c r="C481" s="19"/>
      <c r="D481" s="19"/>
      <c r="E481" s="19"/>
      <c r="F481" s="19"/>
      <c r="G481" s="19"/>
      <c r="H481" s="19"/>
      <c r="I481" s="19"/>
      <c r="J481" s="10" t="s">
        <v>12</v>
      </c>
      <c r="K481" s="10" t="s">
        <v>12</v>
      </c>
      <c r="L481" s="10" t="s">
        <v>12</v>
      </c>
      <c r="M481" s="10" t="s">
        <v>12</v>
      </c>
      <c r="N481" s="12" t="e">
        <f>VLOOKUP(J481,'Site Allocation'!$B$2:$C$37,2,FALSE)</f>
        <v>#N/A</v>
      </c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</row>
    <row r="482" spans="1:25" x14ac:dyDescent="0.35">
      <c r="A482" s="19"/>
      <c r="B482" s="19"/>
      <c r="C482" s="19"/>
      <c r="D482" s="19"/>
      <c r="E482" s="19"/>
      <c r="F482" s="19"/>
      <c r="G482" s="19"/>
      <c r="H482" s="19"/>
      <c r="I482" s="19"/>
      <c r="J482" s="10" t="s">
        <v>12</v>
      </c>
      <c r="K482" s="10" t="s">
        <v>12</v>
      </c>
      <c r="L482" s="10" t="s">
        <v>12</v>
      </c>
      <c r="M482" s="10" t="s">
        <v>12</v>
      </c>
      <c r="N482" s="12" t="e">
        <f>VLOOKUP(J482,'Site Allocation'!$B$2:$C$37,2,FALSE)</f>
        <v>#N/A</v>
      </c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</row>
    <row r="483" spans="1:25" x14ac:dyDescent="0.35">
      <c r="A483" s="19"/>
      <c r="B483" s="19"/>
      <c r="C483" s="19"/>
      <c r="D483" s="19"/>
      <c r="E483" s="19"/>
      <c r="F483" s="19"/>
      <c r="G483" s="19"/>
      <c r="H483" s="19"/>
      <c r="I483" s="19"/>
      <c r="J483" s="10" t="s">
        <v>12</v>
      </c>
      <c r="K483" s="10" t="s">
        <v>12</v>
      </c>
      <c r="L483" s="10" t="s">
        <v>12</v>
      </c>
      <c r="M483" s="10" t="s">
        <v>12</v>
      </c>
      <c r="N483" s="12" t="e">
        <f>VLOOKUP(J483,'Site Allocation'!$B$2:$C$37,2,FALSE)</f>
        <v>#N/A</v>
      </c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</row>
    <row r="484" spans="1:25" x14ac:dyDescent="0.35">
      <c r="A484" s="19"/>
      <c r="B484" s="19"/>
      <c r="C484" s="19"/>
      <c r="D484" s="19"/>
      <c r="E484" s="19"/>
      <c r="F484" s="19"/>
      <c r="G484" s="19"/>
      <c r="H484" s="19"/>
      <c r="I484" s="19"/>
      <c r="J484" s="10" t="s">
        <v>12</v>
      </c>
      <c r="K484" s="10" t="s">
        <v>12</v>
      </c>
      <c r="L484" s="10" t="s">
        <v>12</v>
      </c>
      <c r="M484" s="10" t="s">
        <v>12</v>
      </c>
      <c r="N484" s="12" t="e">
        <f>VLOOKUP(J484,'Site Allocation'!$B$2:$C$37,2,FALSE)</f>
        <v>#N/A</v>
      </c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</row>
    <row r="485" spans="1:25" x14ac:dyDescent="0.35">
      <c r="A485" s="19"/>
      <c r="B485" s="19"/>
      <c r="C485" s="19"/>
      <c r="D485" s="19"/>
      <c r="E485" s="19"/>
      <c r="F485" s="19"/>
      <c r="G485" s="19"/>
      <c r="H485" s="19"/>
      <c r="I485" s="19"/>
      <c r="J485" s="10" t="s">
        <v>12</v>
      </c>
      <c r="K485" s="10" t="s">
        <v>12</v>
      </c>
      <c r="L485" s="10" t="s">
        <v>12</v>
      </c>
      <c r="M485" s="10" t="s">
        <v>12</v>
      </c>
      <c r="N485" s="12" t="e">
        <f>VLOOKUP(J485,'Site Allocation'!$B$2:$C$37,2,FALSE)</f>
        <v>#N/A</v>
      </c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</row>
    <row r="486" spans="1:25" x14ac:dyDescent="0.35">
      <c r="A486" s="19"/>
      <c r="B486" s="19"/>
      <c r="C486" s="19"/>
      <c r="D486" s="19"/>
      <c r="E486" s="19"/>
      <c r="F486" s="19"/>
      <c r="G486" s="19"/>
      <c r="H486" s="19"/>
      <c r="I486" s="19"/>
      <c r="J486" s="10" t="s">
        <v>12</v>
      </c>
      <c r="K486" s="10" t="s">
        <v>12</v>
      </c>
      <c r="L486" s="10" t="s">
        <v>12</v>
      </c>
      <c r="M486" s="10" t="s">
        <v>12</v>
      </c>
      <c r="N486" s="12" t="e">
        <f>VLOOKUP(J486,'Site Allocation'!$B$2:$C$37,2,FALSE)</f>
        <v>#N/A</v>
      </c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</row>
    <row r="487" spans="1:25" x14ac:dyDescent="0.35">
      <c r="A487" s="19"/>
      <c r="B487" s="19"/>
      <c r="C487" s="19"/>
      <c r="D487" s="19"/>
      <c r="E487" s="19"/>
      <c r="F487" s="19"/>
      <c r="G487" s="19"/>
      <c r="H487" s="19"/>
      <c r="I487" s="19"/>
      <c r="J487" s="10" t="s">
        <v>12</v>
      </c>
      <c r="K487" s="10" t="s">
        <v>12</v>
      </c>
      <c r="L487" s="10" t="s">
        <v>12</v>
      </c>
      <c r="M487" s="10" t="s">
        <v>12</v>
      </c>
      <c r="N487" s="12" t="e">
        <f>VLOOKUP(J487,'Site Allocation'!$B$2:$C$37,2,FALSE)</f>
        <v>#N/A</v>
      </c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</row>
    <row r="488" spans="1:25" x14ac:dyDescent="0.35">
      <c r="A488" s="19"/>
      <c r="B488" s="19"/>
      <c r="C488" s="19"/>
      <c r="D488" s="19"/>
      <c r="E488" s="19"/>
      <c r="F488" s="19"/>
      <c r="G488" s="19"/>
      <c r="H488" s="19"/>
      <c r="I488" s="19"/>
      <c r="J488" s="10" t="s">
        <v>12</v>
      </c>
      <c r="K488" s="10" t="s">
        <v>12</v>
      </c>
      <c r="L488" s="10" t="s">
        <v>12</v>
      </c>
      <c r="M488" s="10" t="s">
        <v>12</v>
      </c>
      <c r="N488" s="12" t="e">
        <f>VLOOKUP(J488,'Site Allocation'!$B$2:$C$37,2,FALSE)</f>
        <v>#N/A</v>
      </c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</row>
    <row r="489" spans="1:25" x14ac:dyDescent="0.35">
      <c r="A489" s="19"/>
      <c r="B489" s="19"/>
      <c r="C489" s="19"/>
      <c r="D489" s="19"/>
      <c r="E489" s="19"/>
      <c r="F489" s="19"/>
      <c r="G489" s="19"/>
      <c r="H489" s="19"/>
      <c r="I489" s="19"/>
      <c r="J489" s="10" t="s">
        <v>12</v>
      </c>
      <c r="K489" s="10" t="s">
        <v>12</v>
      </c>
      <c r="L489" s="10" t="s">
        <v>12</v>
      </c>
      <c r="M489" s="10" t="s">
        <v>12</v>
      </c>
      <c r="N489" s="12" t="e">
        <f>VLOOKUP(J489,'Site Allocation'!$B$2:$C$37,2,FALSE)</f>
        <v>#N/A</v>
      </c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</row>
    <row r="490" spans="1:25" x14ac:dyDescent="0.35">
      <c r="A490" s="19"/>
      <c r="B490" s="19"/>
      <c r="C490" s="19"/>
      <c r="D490" s="19"/>
      <c r="E490" s="19"/>
      <c r="F490" s="19"/>
      <c r="G490" s="19"/>
      <c r="H490" s="19"/>
      <c r="I490" s="19"/>
      <c r="J490" s="10" t="s">
        <v>12</v>
      </c>
      <c r="K490" s="10" t="s">
        <v>12</v>
      </c>
      <c r="L490" s="10" t="s">
        <v>12</v>
      </c>
      <c r="M490" s="10" t="s">
        <v>12</v>
      </c>
      <c r="N490" s="12" t="e">
        <f>VLOOKUP(J490,'Site Allocation'!$B$2:$C$37,2,FALSE)</f>
        <v>#N/A</v>
      </c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</row>
    <row r="491" spans="1:25" x14ac:dyDescent="0.35">
      <c r="A491" s="19"/>
      <c r="B491" s="19"/>
      <c r="C491" s="19"/>
      <c r="D491" s="19"/>
      <c r="E491" s="19"/>
      <c r="F491" s="19"/>
      <c r="G491" s="19"/>
      <c r="H491" s="19"/>
      <c r="I491" s="19"/>
      <c r="J491" s="10" t="s">
        <v>12</v>
      </c>
      <c r="K491" s="10" t="s">
        <v>12</v>
      </c>
      <c r="L491" s="10" t="s">
        <v>12</v>
      </c>
      <c r="M491" s="10" t="s">
        <v>12</v>
      </c>
      <c r="N491" s="12" t="e">
        <f>VLOOKUP(J491,'Site Allocation'!$B$2:$C$37,2,FALSE)</f>
        <v>#N/A</v>
      </c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</row>
    <row r="492" spans="1:25" x14ac:dyDescent="0.35">
      <c r="A492" s="19"/>
      <c r="B492" s="19"/>
      <c r="C492" s="19"/>
      <c r="D492" s="19"/>
      <c r="E492" s="19"/>
      <c r="F492" s="19"/>
      <c r="G492" s="19"/>
      <c r="H492" s="19"/>
      <c r="I492" s="19"/>
      <c r="J492" s="10" t="s">
        <v>12</v>
      </c>
      <c r="K492" s="10" t="s">
        <v>12</v>
      </c>
      <c r="L492" s="10" t="s">
        <v>12</v>
      </c>
      <c r="M492" s="10" t="s">
        <v>12</v>
      </c>
      <c r="N492" s="12" t="e">
        <f>VLOOKUP(J492,'Site Allocation'!$B$2:$C$37,2,FALSE)</f>
        <v>#N/A</v>
      </c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</row>
    <row r="493" spans="1:25" x14ac:dyDescent="0.35">
      <c r="A493" s="19"/>
      <c r="B493" s="19"/>
      <c r="C493" s="19"/>
      <c r="D493" s="19"/>
      <c r="E493" s="19"/>
      <c r="F493" s="19"/>
      <c r="G493" s="19"/>
      <c r="H493" s="19"/>
      <c r="I493" s="19"/>
      <c r="J493" s="10" t="s">
        <v>12</v>
      </c>
      <c r="K493" s="10" t="s">
        <v>12</v>
      </c>
      <c r="L493" s="10" t="s">
        <v>12</v>
      </c>
      <c r="M493" s="10" t="s">
        <v>12</v>
      </c>
      <c r="N493" s="12" t="e">
        <f>VLOOKUP(J493,'Site Allocation'!$B$2:$C$37,2,FALSE)</f>
        <v>#N/A</v>
      </c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</row>
    <row r="494" spans="1:25" x14ac:dyDescent="0.35">
      <c r="A494" s="19"/>
      <c r="B494" s="19"/>
      <c r="C494" s="19"/>
      <c r="D494" s="19"/>
      <c r="E494" s="19"/>
      <c r="F494" s="19"/>
      <c r="G494" s="19"/>
      <c r="H494" s="19"/>
      <c r="I494" s="19"/>
      <c r="J494" s="10" t="s">
        <v>12</v>
      </c>
      <c r="K494" s="10" t="s">
        <v>12</v>
      </c>
      <c r="L494" s="10" t="s">
        <v>12</v>
      </c>
      <c r="M494" s="10" t="s">
        <v>12</v>
      </c>
      <c r="N494" s="12" t="e">
        <f>VLOOKUP(J494,'Site Allocation'!$B$2:$C$37,2,FALSE)</f>
        <v>#N/A</v>
      </c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</row>
    <row r="495" spans="1:25" x14ac:dyDescent="0.35">
      <c r="A495" s="19"/>
      <c r="B495" s="19"/>
      <c r="C495" s="19"/>
      <c r="D495" s="19"/>
      <c r="E495" s="19"/>
      <c r="F495" s="19"/>
      <c r="G495" s="19"/>
      <c r="H495" s="19"/>
      <c r="I495" s="19"/>
      <c r="J495" s="10" t="s">
        <v>12</v>
      </c>
      <c r="K495" s="10" t="s">
        <v>12</v>
      </c>
      <c r="L495" s="10" t="s">
        <v>12</v>
      </c>
      <c r="M495" s="10" t="s">
        <v>12</v>
      </c>
      <c r="N495" s="12" t="e">
        <f>VLOOKUP(J495,'Site Allocation'!$B$2:$C$37,2,FALSE)</f>
        <v>#N/A</v>
      </c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</row>
    <row r="496" spans="1:25" x14ac:dyDescent="0.35">
      <c r="A496" s="19"/>
      <c r="B496" s="19"/>
      <c r="C496" s="19"/>
      <c r="D496" s="19"/>
      <c r="E496" s="19"/>
      <c r="F496" s="19"/>
      <c r="G496" s="19"/>
      <c r="H496" s="19"/>
      <c r="I496" s="19"/>
      <c r="J496" s="10" t="s">
        <v>12</v>
      </c>
      <c r="K496" s="10" t="s">
        <v>12</v>
      </c>
      <c r="L496" s="10" t="s">
        <v>12</v>
      </c>
      <c r="M496" s="10" t="s">
        <v>12</v>
      </c>
      <c r="N496" s="12" t="e">
        <f>VLOOKUP(J496,'Site Allocation'!$B$2:$C$37,2,FALSE)</f>
        <v>#N/A</v>
      </c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</row>
    <row r="497" spans="1:25" x14ac:dyDescent="0.35">
      <c r="A497" s="19"/>
      <c r="B497" s="19"/>
      <c r="C497" s="19"/>
      <c r="D497" s="19"/>
      <c r="E497" s="19"/>
      <c r="F497" s="19"/>
      <c r="G497" s="19"/>
      <c r="H497" s="19"/>
      <c r="I497" s="19"/>
      <c r="J497" s="10" t="s">
        <v>12</v>
      </c>
      <c r="K497" s="10" t="s">
        <v>12</v>
      </c>
      <c r="L497" s="10" t="s">
        <v>12</v>
      </c>
      <c r="M497" s="10" t="s">
        <v>12</v>
      </c>
      <c r="N497" s="12" t="e">
        <f>VLOOKUP(J497,'Site Allocation'!$B$2:$C$37,2,FALSE)</f>
        <v>#N/A</v>
      </c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</row>
    <row r="498" spans="1:25" x14ac:dyDescent="0.35">
      <c r="A498" s="19"/>
      <c r="B498" s="19"/>
      <c r="C498" s="19"/>
      <c r="D498" s="19"/>
      <c r="E498" s="19"/>
      <c r="F498" s="19"/>
      <c r="G498" s="19"/>
      <c r="H498" s="19"/>
      <c r="I498" s="19"/>
      <c r="J498" s="10" t="s">
        <v>12</v>
      </c>
      <c r="K498" s="10" t="s">
        <v>12</v>
      </c>
      <c r="L498" s="10" t="s">
        <v>12</v>
      </c>
      <c r="M498" s="10" t="s">
        <v>12</v>
      </c>
      <c r="N498" s="12" t="e">
        <f>VLOOKUP(J498,'Site Allocation'!$B$2:$C$37,2,FALSE)</f>
        <v>#N/A</v>
      </c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</row>
    <row r="499" spans="1:25" x14ac:dyDescent="0.35">
      <c r="A499" s="19"/>
      <c r="B499" s="19"/>
      <c r="C499" s="19"/>
      <c r="D499" s="19"/>
      <c r="E499" s="19"/>
      <c r="F499" s="19"/>
      <c r="G499" s="19"/>
      <c r="H499" s="19"/>
      <c r="I499" s="19"/>
      <c r="J499" s="10" t="s">
        <v>12</v>
      </c>
      <c r="K499" s="10" t="s">
        <v>12</v>
      </c>
      <c r="L499" s="10" t="s">
        <v>12</v>
      </c>
      <c r="M499" s="10" t="s">
        <v>12</v>
      </c>
      <c r="N499" s="12" t="e">
        <f>VLOOKUP(J499,'Site Allocation'!$B$2:$C$37,2,FALSE)</f>
        <v>#N/A</v>
      </c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</row>
    <row r="500" spans="1:25" x14ac:dyDescent="0.35">
      <c r="A500" s="19"/>
      <c r="B500" s="19"/>
      <c r="C500" s="19"/>
      <c r="D500" s="19"/>
      <c r="E500" s="19"/>
      <c r="F500" s="19"/>
      <c r="G500" s="19"/>
      <c r="H500" s="19"/>
      <c r="I500" s="19"/>
      <c r="J500" s="10" t="s">
        <v>12</v>
      </c>
      <c r="K500" s="10" t="s">
        <v>12</v>
      </c>
      <c r="L500" s="10" t="s">
        <v>12</v>
      </c>
      <c r="M500" s="10" t="s">
        <v>12</v>
      </c>
      <c r="N500" s="12" t="e">
        <f>VLOOKUP(J500,'Site Allocation'!$B$2:$C$37,2,FALSE)</f>
        <v>#N/A</v>
      </c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</row>
    <row r="501" spans="1:25" x14ac:dyDescent="0.35">
      <c r="A501" s="19"/>
      <c r="B501" s="19"/>
      <c r="C501" s="19"/>
      <c r="D501" s="19"/>
      <c r="E501" s="19"/>
      <c r="F501" s="19"/>
      <c r="G501" s="19"/>
      <c r="H501" s="19"/>
      <c r="I501" s="19"/>
      <c r="J501" s="10" t="s">
        <v>12</v>
      </c>
      <c r="K501" s="10" t="s">
        <v>12</v>
      </c>
      <c r="L501" s="10" t="s">
        <v>12</v>
      </c>
      <c r="M501" s="10" t="s">
        <v>12</v>
      </c>
      <c r="N501" s="12" t="e">
        <f>VLOOKUP(J501,'Site Allocation'!$B$2:$C$37,2,FALSE)</f>
        <v>#N/A</v>
      </c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</row>
    <row r="502" spans="1:25" x14ac:dyDescent="0.35">
      <c r="A502" s="19"/>
      <c r="B502" s="19"/>
      <c r="C502" s="19"/>
      <c r="D502" s="19"/>
      <c r="E502" s="19"/>
      <c r="F502" s="19"/>
      <c r="G502" s="19"/>
      <c r="H502" s="19"/>
      <c r="I502" s="19"/>
      <c r="J502" s="10" t="s">
        <v>12</v>
      </c>
      <c r="K502" s="10" t="s">
        <v>12</v>
      </c>
      <c r="L502" s="10" t="s">
        <v>12</v>
      </c>
      <c r="M502" s="10" t="s">
        <v>12</v>
      </c>
      <c r="N502" s="12" t="e">
        <f>VLOOKUP(J502,'Site Allocation'!$B$2:$C$37,2,FALSE)</f>
        <v>#N/A</v>
      </c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</row>
    <row r="503" spans="1:25" x14ac:dyDescent="0.35">
      <c r="A503" s="19"/>
      <c r="B503" s="19"/>
      <c r="C503" s="19"/>
      <c r="D503" s="19"/>
      <c r="E503" s="19"/>
      <c r="F503" s="19"/>
      <c r="G503" s="19"/>
      <c r="H503" s="19"/>
      <c r="I503" s="19"/>
      <c r="J503" s="10" t="s">
        <v>12</v>
      </c>
      <c r="K503" s="10" t="s">
        <v>12</v>
      </c>
      <c r="L503" s="10" t="s">
        <v>12</v>
      </c>
      <c r="M503" s="10" t="s">
        <v>12</v>
      </c>
      <c r="N503" s="12" t="e">
        <f>VLOOKUP(J503,'Site Allocation'!$B$2:$C$37,2,FALSE)</f>
        <v>#N/A</v>
      </c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</row>
    <row r="504" spans="1:25" x14ac:dyDescent="0.35">
      <c r="A504" s="19"/>
      <c r="B504" s="19"/>
      <c r="C504" s="19"/>
      <c r="D504" s="19"/>
      <c r="E504" s="19"/>
      <c r="F504" s="19"/>
      <c r="G504" s="19"/>
      <c r="H504" s="19"/>
      <c r="I504" s="19"/>
      <c r="J504" s="10" t="s">
        <v>12</v>
      </c>
      <c r="K504" s="10" t="s">
        <v>12</v>
      </c>
      <c r="L504" s="10" t="s">
        <v>12</v>
      </c>
      <c r="M504" s="10" t="s">
        <v>12</v>
      </c>
      <c r="N504" s="12" t="e">
        <f>VLOOKUP(J504,'Site Allocation'!$B$2:$C$37,2,FALSE)</f>
        <v>#N/A</v>
      </c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</row>
    <row r="505" spans="1:25" x14ac:dyDescent="0.35">
      <c r="A505" s="19"/>
      <c r="B505" s="19"/>
      <c r="C505" s="19"/>
      <c r="D505" s="19"/>
      <c r="E505" s="19"/>
      <c r="F505" s="19"/>
      <c r="G505" s="19"/>
      <c r="H505" s="19"/>
      <c r="I505" s="19"/>
      <c r="J505" s="10" t="s">
        <v>12</v>
      </c>
      <c r="K505" s="10" t="s">
        <v>12</v>
      </c>
      <c r="L505" s="10" t="s">
        <v>12</v>
      </c>
      <c r="M505" s="10" t="s">
        <v>12</v>
      </c>
      <c r="N505" s="12" t="e">
        <f>VLOOKUP(J505,'Site Allocation'!$B$2:$C$37,2,FALSE)</f>
        <v>#N/A</v>
      </c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</row>
    <row r="506" spans="1:25" x14ac:dyDescent="0.35">
      <c r="A506" s="19"/>
      <c r="B506" s="19"/>
      <c r="C506" s="19"/>
      <c r="D506" s="19"/>
      <c r="E506" s="19"/>
      <c r="F506" s="19"/>
      <c r="G506" s="19"/>
      <c r="H506" s="19"/>
      <c r="I506" s="19"/>
      <c r="J506" s="10" t="s">
        <v>12</v>
      </c>
      <c r="K506" s="10" t="s">
        <v>12</v>
      </c>
      <c r="L506" s="10" t="s">
        <v>12</v>
      </c>
      <c r="M506" s="10" t="s">
        <v>12</v>
      </c>
      <c r="N506" s="12" t="e">
        <f>VLOOKUP(J506,'Site Allocation'!$B$2:$C$37,2,FALSE)</f>
        <v>#N/A</v>
      </c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</row>
    <row r="507" spans="1:25" x14ac:dyDescent="0.35">
      <c r="A507" s="19"/>
      <c r="B507" s="19"/>
      <c r="C507" s="19"/>
      <c r="D507" s="19"/>
      <c r="E507" s="19"/>
      <c r="F507" s="19"/>
      <c r="G507" s="19"/>
      <c r="H507" s="19"/>
      <c r="I507" s="19"/>
      <c r="J507" s="10" t="s">
        <v>12</v>
      </c>
      <c r="K507" s="10" t="s">
        <v>12</v>
      </c>
      <c r="L507" s="10" t="s">
        <v>12</v>
      </c>
      <c r="M507" s="10" t="s">
        <v>12</v>
      </c>
      <c r="N507" s="12" t="e">
        <f>VLOOKUP(J507,'Site Allocation'!$B$2:$C$37,2,FALSE)</f>
        <v>#N/A</v>
      </c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</row>
    <row r="508" spans="1:25" x14ac:dyDescent="0.35">
      <c r="A508" s="19"/>
      <c r="B508" s="19"/>
      <c r="C508" s="19"/>
      <c r="D508" s="19"/>
      <c r="E508" s="19"/>
      <c r="F508" s="19"/>
      <c r="G508" s="19"/>
      <c r="H508" s="19"/>
      <c r="I508" s="19"/>
      <c r="J508" s="10" t="s">
        <v>12</v>
      </c>
      <c r="K508" s="10" t="s">
        <v>12</v>
      </c>
      <c r="L508" s="10" t="s">
        <v>12</v>
      </c>
      <c r="M508" s="10" t="s">
        <v>12</v>
      </c>
      <c r="N508" s="12" t="e">
        <f>VLOOKUP(J508,'Site Allocation'!$B$2:$C$37,2,FALSE)</f>
        <v>#N/A</v>
      </c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</row>
    <row r="509" spans="1:25" x14ac:dyDescent="0.35">
      <c r="A509" s="19"/>
      <c r="B509" s="19"/>
      <c r="C509" s="19"/>
      <c r="D509" s="19"/>
      <c r="E509" s="19"/>
      <c r="F509" s="19"/>
      <c r="G509" s="19"/>
      <c r="H509" s="19"/>
      <c r="I509" s="19"/>
      <c r="J509" s="10" t="s">
        <v>12</v>
      </c>
      <c r="K509" s="10" t="s">
        <v>12</v>
      </c>
      <c r="L509" s="10" t="s">
        <v>12</v>
      </c>
      <c r="M509" s="10" t="s">
        <v>12</v>
      </c>
      <c r="N509" s="12" t="e">
        <f>VLOOKUP(J509,'Site Allocation'!$B$2:$C$37,2,FALSE)</f>
        <v>#N/A</v>
      </c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</row>
    <row r="510" spans="1:25" x14ac:dyDescent="0.35">
      <c r="A510" s="19"/>
      <c r="B510" s="19"/>
      <c r="C510" s="19"/>
      <c r="D510" s="19"/>
      <c r="E510" s="19"/>
      <c r="F510" s="19"/>
      <c r="G510" s="19"/>
      <c r="H510" s="19"/>
      <c r="I510" s="19"/>
      <c r="J510" s="10" t="s">
        <v>12</v>
      </c>
      <c r="K510" s="10" t="s">
        <v>12</v>
      </c>
      <c r="L510" s="10" t="s">
        <v>12</v>
      </c>
      <c r="M510" s="10" t="s">
        <v>12</v>
      </c>
      <c r="N510" s="12" t="e">
        <f>VLOOKUP(J510,'Site Allocation'!$B$2:$C$37,2,FALSE)</f>
        <v>#N/A</v>
      </c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</row>
    <row r="511" spans="1:25" x14ac:dyDescent="0.35">
      <c r="A511" s="19"/>
      <c r="B511" s="19"/>
      <c r="C511" s="19"/>
      <c r="D511" s="19"/>
      <c r="E511" s="19"/>
      <c r="F511" s="19"/>
      <c r="G511" s="19"/>
      <c r="H511" s="19"/>
      <c r="I511" s="19"/>
      <c r="J511" s="10" t="s">
        <v>12</v>
      </c>
      <c r="K511" s="10" t="s">
        <v>12</v>
      </c>
      <c r="L511" s="10" t="s">
        <v>12</v>
      </c>
      <c r="M511" s="10" t="s">
        <v>12</v>
      </c>
      <c r="N511" s="12" t="e">
        <f>VLOOKUP(J511,'Site Allocation'!$B$2:$C$37,2,FALSE)</f>
        <v>#N/A</v>
      </c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</row>
    <row r="512" spans="1:25" x14ac:dyDescent="0.35">
      <c r="A512" s="19"/>
      <c r="B512" s="19"/>
      <c r="C512" s="19"/>
      <c r="D512" s="19"/>
      <c r="E512" s="19"/>
      <c r="F512" s="19"/>
      <c r="G512" s="19"/>
      <c r="H512" s="19"/>
      <c r="I512" s="19"/>
      <c r="J512" s="10" t="s">
        <v>12</v>
      </c>
      <c r="K512" s="10" t="s">
        <v>12</v>
      </c>
      <c r="L512" s="10" t="s">
        <v>12</v>
      </c>
      <c r="M512" s="10" t="s">
        <v>12</v>
      </c>
      <c r="N512" s="12" t="e">
        <f>VLOOKUP(J512,'Site Allocation'!$B$2:$C$37,2,FALSE)</f>
        <v>#N/A</v>
      </c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</row>
    <row r="513" spans="1:25" x14ac:dyDescent="0.35">
      <c r="A513" s="19"/>
      <c r="B513" s="19"/>
      <c r="C513" s="19"/>
      <c r="D513" s="19"/>
      <c r="E513" s="19"/>
      <c r="F513" s="19"/>
      <c r="G513" s="19"/>
      <c r="H513" s="19"/>
      <c r="I513" s="19"/>
      <c r="J513" s="10" t="s">
        <v>12</v>
      </c>
      <c r="K513" s="10" t="s">
        <v>12</v>
      </c>
      <c r="L513" s="10" t="s">
        <v>12</v>
      </c>
      <c r="M513" s="10" t="s">
        <v>12</v>
      </c>
      <c r="N513" s="12" t="e">
        <f>VLOOKUP(J513,'Site Allocation'!$B$2:$C$37,2,FALSE)</f>
        <v>#N/A</v>
      </c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</row>
    <row r="514" spans="1:25" x14ac:dyDescent="0.35">
      <c r="A514" s="19"/>
      <c r="B514" s="19"/>
      <c r="C514" s="19"/>
      <c r="D514" s="19"/>
      <c r="E514" s="19"/>
      <c r="F514" s="19"/>
      <c r="G514" s="19"/>
      <c r="H514" s="19"/>
      <c r="I514" s="19"/>
      <c r="J514" s="10" t="s">
        <v>12</v>
      </c>
      <c r="K514" s="10" t="s">
        <v>12</v>
      </c>
      <c r="L514" s="10" t="s">
        <v>12</v>
      </c>
      <c r="M514" s="10" t="s">
        <v>12</v>
      </c>
      <c r="N514" s="12" t="e">
        <f>VLOOKUP(J514,'Site Allocation'!$B$2:$C$37,2,FALSE)</f>
        <v>#N/A</v>
      </c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</row>
    <row r="515" spans="1:25" x14ac:dyDescent="0.35">
      <c r="A515" s="19"/>
      <c r="B515" s="19"/>
      <c r="C515" s="19"/>
      <c r="D515" s="19"/>
      <c r="E515" s="19"/>
      <c r="F515" s="19"/>
      <c r="G515" s="19"/>
      <c r="H515" s="19"/>
      <c r="I515" s="19"/>
      <c r="J515" s="10" t="s">
        <v>12</v>
      </c>
      <c r="K515" s="10" t="s">
        <v>12</v>
      </c>
      <c r="L515" s="10" t="s">
        <v>12</v>
      </c>
      <c r="M515" s="10" t="s">
        <v>12</v>
      </c>
      <c r="N515" s="12" t="e">
        <f>VLOOKUP(J515,'Site Allocation'!$B$2:$C$37,2,FALSE)</f>
        <v>#N/A</v>
      </c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</row>
    <row r="516" spans="1:25" x14ac:dyDescent="0.35">
      <c r="A516" s="19"/>
      <c r="B516" s="19"/>
      <c r="C516" s="19"/>
      <c r="D516" s="19"/>
      <c r="E516" s="19"/>
      <c r="F516" s="19"/>
      <c r="G516" s="19"/>
      <c r="H516" s="19"/>
      <c r="I516" s="19"/>
      <c r="J516" s="10" t="s">
        <v>12</v>
      </c>
      <c r="K516" s="10" t="s">
        <v>12</v>
      </c>
      <c r="L516" s="10" t="s">
        <v>12</v>
      </c>
      <c r="M516" s="10" t="s">
        <v>12</v>
      </c>
      <c r="N516" s="12" t="e">
        <f>VLOOKUP(J516,'Site Allocation'!$B$2:$C$37,2,FALSE)</f>
        <v>#N/A</v>
      </c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</row>
    <row r="517" spans="1:25" x14ac:dyDescent="0.35">
      <c r="A517" s="19"/>
      <c r="B517" s="19"/>
      <c r="C517" s="19"/>
      <c r="D517" s="19"/>
      <c r="E517" s="19"/>
      <c r="F517" s="19"/>
      <c r="G517" s="19"/>
      <c r="H517" s="19"/>
      <c r="I517" s="19"/>
      <c r="J517" s="10" t="s">
        <v>12</v>
      </c>
      <c r="K517" s="10" t="s">
        <v>12</v>
      </c>
      <c r="L517" s="10" t="s">
        <v>12</v>
      </c>
      <c r="M517" s="10" t="s">
        <v>12</v>
      </c>
      <c r="N517" s="12" t="e">
        <f>VLOOKUP(J517,'Site Allocation'!$B$2:$C$37,2,FALSE)</f>
        <v>#N/A</v>
      </c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</row>
    <row r="518" spans="1:25" x14ac:dyDescent="0.35">
      <c r="A518" s="19"/>
      <c r="B518" s="19"/>
      <c r="C518" s="19"/>
      <c r="D518" s="19"/>
      <c r="E518" s="19"/>
      <c r="F518" s="19"/>
      <c r="G518" s="19"/>
      <c r="H518" s="19"/>
      <c r="I518" s="19"/>
      <c r="J518" s="10" t="s">
        <v>12</v>
      </c>
      <c r="K518" s="10" t="s">
        <v>12</v>
      </c>
      <c r="L518" s="10" t="s">
        <v>12</v>
      </c>
      <c r="M518" s="10" t="s">
        <v>12</v>
      </c>
      <c r="N518" s="12" t="e">
        <f>VLOOKUP(J518,'Site Allocation'!$B$2:$C$37,2,FALSE)</f>
        <v>#N/A</v>
      </c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</row>
    <row r="519" spans="1:25" x14ac:dyDescent="0.35">
      <c r="A519" s="19"/>
      <c r="B519" s="19"/>
      <c r="C519" s="19"/>
      <c r="D519" s="19"/>
      <c r="E519" s="19"/>
      <c r="F519" s="19"/>
      <c r="G519" s="19"/>
      <c r="H519" s="19"/>
      <c r="I519" s="19"/>
      <c r="J519" s="10" t="s">
        <v>12</v>
      </c>
      <c r="K519" s="10" t="s">
        <v>12</v>
      </c>
      <c r="L519" s="10" t="s">
        <v>12</v>
      </c>
      <c r="M519" s="10" t="s">
        <v>12</v>
      </c>
      <c r="N519" s="12" t="e">
        <f>VLOOKUP(J519,'Site Allocation'!$B$2:$C$37,2,FALSE)</f>
        <v>#N/A</v>
      </c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</row>
    <row r="520" spans="1:25" x14ac:dyDescent="0.35">
      <c r="A520" s="19"/>
      <c r="B520" s="19"/>
      <c r="C520" s="19"/>
      <c r="D520" s="19"/>
      <c r="E520" s="19"/>
      <c r="F520" s="19"/>
      <c r="G520" s="19"/>
      <c r="H520" s="19"/>
      <c r="I520" s="19"/>
      <c r="J520" s="10" t="s">
        <v>12</v>
      </c>
      <c r="K520" s="10" t="s">
        <v>12</v>
      </c>
      <c r="L520" s="10" t="s">
        <v>12</v>
      </c>
      <c r="M520" s="10" t="s">
        <v>12</v>
      </c>
      <c r="N520" s="12" t="e">
        <f>VLOOKUP(J520,'Site Allocation'!$B$2:$C$37,2,FALSE)</f>
        <v>#N/A</v>
      </c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</row>
    <row r="521" spans="1:25" x14ac:dyDescent="0.35">
      <c r="A521" s="19"/>
      <c r="B521" s="19"/>
      <c r="C521" s="19"/>
      <c r="D521" s="19"/>
      <c r="E521" s="19"/>
      <c r="F521" s="19"/>
      <c r="G521" s="19"/>
      <c r="H521" s="19"/>
      <c r="I521" s="19"/>
      <c r="J521" s="10" t="s">
        <v>12</v>
      </c>
      <c r="K521" s="10" t="s">
        <v>12</v>
      </c>
      <c r="L521" s="10" t="s">
        <v>12</v>
      </c>
      <c r="M521" s="10" t="s">
        <v>12</v>
      </c>
      <c r="N521" s="12" t="e">
        <f>VLOOKUP(J521,'Site Allocation'!$B$2:$C$37,2,FALSE)</f>
        <v>#N/A</v>
      </c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</row>
    <row r="522" spans="1:25" x14ac:dyDescent="0.35">
      <c r="A522" s="19"/>
      <c r="B522" s="19"/>
      <c r="C522" s="19"/>
      <c r="D522" s="19"/>
      <c r="E522" s="19"/>
      <c r="F522" s="19"/>
      <c r="G522" s="19"/>
      <c r="H522" s="19"/>
      <c r="I522" s="19"/>
      <c r="J522" s="10" t="s">
        <v>12</v>
      </c>
      <c r="K522" s="10" t="s">
        <v>12</v>
      </c>
      <c r="L522" s="10" t="s">
        <v>12</v>
      </c>
      <c r="M522" s="10" t="s">
        <v>12</v>
      </c>
      <c r="N522" s="12" t="e">
        <f>VLOOKUP(J522,'Site Allocation'!$B$2:$C$37,2,FALSE)</f>
        <v>#N/A</v>
      </c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</row>
    <row r="523" spans="1:25" x14ac:dyDescent="0.35">
      <c r="A523" s="19"/>
      <c r="B523" s="19"/>
      <c r="C523" s="19"/>
      <c r="D523" s="19"/>
      <c r="E523" s="19"/>
      <c r="F523" s="19"/>
      <c r="G523" s="19"/>
      <c r="H523" s="19"/>
      <c r="I523" s="19"/>
      <c r="J523" s="10" t="s">
        <v>12</v>
      </c>
      <c r="K523" s="10" t="s">
        <v>12</v>
      </c>
      <c r="L523" s="10" t="s">
        <v>12</v>
      </c>
      <c r="M523" s="10" t="s">
        <v>12</v>
      </c>
      <c r="N523" s="12" t="e">
        <f>VLOOKUP(J523,'Site Allocation'!$B$2:$C$37,2,FALSE)</f>
        <v>#N/A</v>
      </c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</row>
    <row r="524" spans="1:25" x14ac:dyDescent="0.35">
      <c r="A524" s="19"/>
      <c r="B524" s="19"/>
      <c r="C524" s="19"/>
      <c r="D524" s="19"/>
      <c r="E524" s="19"/>
      <c r="F524" s="19"/>
      <c r="G524" s="19"/>
      <c r="H524" s="19"/>
      <c r="I524" s="19"/>
      <c r="J524" s="10" t="s">
        <v>12</v>
      </c>
      <c r="K524" s="10" t="s">
        <v>12</v>
      </c>
      <c r="L524" s="10" t="s">
        <v>12</v>
      </c>
      <c r="M524" s="10" t="s">
        <v>12</v>
      </c>
      <c r="N524" s="12" t="e">
        <f>VLOOKUP(J524,'Site Allocation'!$B$2:$C$37,2,FALSE)</f>
        <v>#N/A</v>
      </c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</row>
    <row r="525" spans="1:25" x14ac:dyDescent="0.35">
      <c r="A525" s="19"/>
      <c r="B525" s="19"/>
      <c r="C525" s="19"/>
      <c r="D525" s="19"/>
      <c r="E525" s="19"/>
      <c r="F525" s="19"/>
      <c r="G525" s="19"/>
      <c r="H525" s="19"/>
      <c r="I525" s="19"/>
      <c r="J525" s="10" t="s">
        <v>12</v>
      </c>
      <c r="K525" s="10" t="s">
        <v>12</v>
      </c>
      <c r="L525" s="10" t="s">
        <v>12</v>
      </c>
      <c r="M525" s="10" t="s">
        <v>12</v>
      </c>
      <c r="N525" s="12" t="e">
        <f>VLOOKUP(J525,'Site Allocation'!$B$2:$C$37,2,FALSE)</f>
        <v>#N/A</v>
      </c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</row>
    <row r="526" spans="1:25" x14ac:dyDescent="0.35">
      <c r="A526" s="19"/>
      <c r="B526" s="19"/>
      <c r="C526" s="19"/>
      <c r="D526" s="19"/>
      <c r="E526" s="19"/>
      <c r="F526" s="19"/>
      <c r="G526" s="19"/>
      <c r="H526" s="19"/>
      <c r="I526" s="19"/>
      <c r="J526" s="10" t="s">
        <v>12</v>
      </c>
      <c r="K526" s="10" t="s">
        <v>12</v>
      </c>
      <c r="L526" s="10" t="s">
        <v>12</v>
      </c>
      <c r="M526" s="10" t="s">
        <v>12</v>
      </c>
      <c r="N526" s="12" t="e">
        <f>VLOOKUP(J526,'Site Allocation'!$B$2:$C$37,2,FALSE)</f>
        <v>#N/A</v>
      </c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</row>
    <row r="527" spans="1:25" x14ac:dyDescent="0.35">
      <c r="A527" s="19"/>
      <c r="B527" s="19"/>
      <c r="C527" s="19"/>
      <c r="D527" s="19"/>
      <c r="E527" s="19"/>
      <c r="F527" s="19"/>
      <c r="G527" s="19"/>
      <c r="H527" s="19"/>
      <c r="I527" s="19"/>
      <c r="J527" s="10" t="s">
        <v>12</v>
      </c>
      <c r="K527" s="10" t="s">
        <v>12</v>
      </c>
      <c r="L527" s="10" t="s">
        <v>12</v>
      </c>
      <c r="M527" s="10" t="s">
        <v>12</v>
      </c>
      <c r="N527" s="12" t="e">
        <f>VLOOKUP(J527,'Site Allocation'!$B$2:$C$37,2,FALSE)</f>
        <v>#N/A</v>
      </c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</row>
    <row r="528" spans="1:25" x14ac:dyDescent="0.35">
      <c r="A528" s="19"/>
      <c r="B528" s="19"/>
      <c r="C528" s="19"/>
      <c r="D528" s="19"/>
      <c r="E528" s="19"/>
      <c r="F528" s="19"/>
      <c r="G528" s="19"/>
      <c r="H528" s="19"/>
      <c r="I528" s="19"/>
      <c r="J528" s="10" t="s">
        <v>12</v>
      </c>
      <c r="K528" s="10" t="s">
        <v>12</v>
      </c>
      <c r="L528" s="10" t="s">
        <v>12</v>
      </c>
      <c r="M528" s="10" t="s">
        <v>12</v>
      </c>
      <c r="N528" s="12" t="e">
        <f>VLOOKUP(J528,'Site Allocation'!$B$2:$C$37,2,FALSE)</f>
        <v>#N/A</v>
      </c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</row>
    <row r="529" spans="1:25" x14ac:dyDescent="0.35">
      <c r="A529" s="19"/>
      <c r="B529" s="19"/>
      <c r="C529" s="19"/>
      <c r="D529" s="19"/>
      <c r="E529" s="19"/>
      <c r="F529" s="19"/>
      <c r="G529" s="19"/>
      <c r="H529" s="19"/>
      <c r="I529" s="19"/>
      <c r="J529" s="10" t="s">
        <v>12</v>
      </c>
      <c r="K529" s="10" t="s">
        <v>12</v>
      </c>
      <c r="L529" s="10" t="s">
        <v>12</v>
      </c>
      <c r="M529" s="10" t="s">
        <v>12</v>
      </c>
      <c r="N529" s="12" t="e">
        <f>VLOOKUP(J529,'Site Allocation'!$B$2:$C$37,2,FALSE)</f>
        <v>#N/A</v>
      </c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</row>
    <row r="530" spans="1:25" x14ac:dyDescent="0.35">
      <c r="A530" s="19"/>
      <c r="B530" s="19"/>
      <c r="C530" s="19"/>
      <c r="D530" s="19"/>
      <c r="E530" s="19"/>
      <c r="F530" s="19"/>
      <c r="G530" s="19"/>
      <c r="H530" s="19"/>
      <c r="I530" s="19"/>
      <c r="J530" s="10" t="s">
        <v>12</v>
      </c>
      <c r="K530" s="10" t="s">
        <v>12</v>
      </c>
      <c r="L530" s="10" t="s">
        <v>12</v>
      </c>
      <c r="M530" s="10" t="s">
        <v>12</v>
      </c>
      <c r="N530" s="12" t="e">
        <f>VLOOKUP(J530,'Site Allocation'!$B$2:$C$37,2,FALSE)</f>
        <v>#N/A</v>
      </c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</row>
    <row r="531" spans="1:25" x14ac:dyDescent="0.35">
      <c r="A531" s="19"/>
      <c r="B531" s="19"/>
      <c r="C531" s="19"/>
      <c r="D531" s="19"/>
      <c r="E531" s="19"/>
      <c r="F531" s="19"/>
      <c r="G531" s="19"/>
      <c r="H531" s="19"/>
      <c r="I531" s="19"/>
      <c r="J531" s="10" t="s">
        <v>12</v>
      </c>
      <c r="K531" s="10" t="s">
        <v>12</v>
      </c>
      <c r="L531" s="10" t="s">
        <v>12</v>
      </c>
      <c r="M531" s="10" t="s">
        <v>12</v>
      </c>
      <c r="N531" s="12" t="e">
        <f>VLOOKUP(J531,'Site Allocation'!$B$2:$C$37,2,FALSE)</f>
        <v>#N/A</v>
      </c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</row>
    <row r="532" spans="1:25" x14ac:dyDescent="0.35">
      <c r="A532" s="19"/>
      <c r="B532" s="19"/>
      <c r="C532" s="19"/>
      <c r="D532" s="19"/>
      <c r="E532" s="19"/>
      <c r="F532" s="19"/>
      <c r="G532" s="19"/>
      <c r="H532" s="19"/>
      <c r="I532" s="19"/>
      <c r="J532" s="10" t="s">
        <v>12</v>
      </c>
      <c r="K532" s="10" t="s">
        <v>12</v>
      </c>
      <c r="L532" s="10" t="s">
        <v>12</v>
      </c>
      <c r="M532" s="10" t="s">
        <v>12</v>
      </c>
      <c r="N532" s="12" t="e">
        <f>VLOOKUP(J532,'Site Allocation'!$B$2:$C$37,2,FALSE)</f>
        <v>#N/A</v>
      </c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</row>
    <row r="533" spans="1:25" x14ac:dyDescent="0.35">
      <c r="A533" s="19"/>
      <c r="B533" s="19"/>
      <c r="C533" s="19"/>
      <c r="D533" s="19"/>
      <c r="E533" s="19"/>
      <c r="F533" s="19"/>
      <c r="G533" s="19"/>
      <c r="H533" s="19"/>
      <c r="I533" s="19"/>
      <c r="J533" s="10" t="s">
        <v>12</v>
      </c>
      <c r="K533" s="10" t="s">
        <v>12</v>
      </c>
      <c r="L533" s="10" t="s">
        <v>12</v>
      </c>
      <c r="M533" s="10" t="s">
        <v>12</v>
      </c>
      <c r="N533" s="12" t="e">
        <f>VLOOKUP(J533,'Site Allocation'!$B$2:$C$37,2,FALSE)</f>
        <v>#N/A</v>
      </c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</row>
    <row r="534" spans="1:25" x14ac:dyDescent="0.35">
      <c r="A534" s="19"/>
      <c r="B534" s="19"/>
      <c r="C534" s="19"/>
      <c r="D534" s="19"/>
      <c r="E534" s="19"/>
      <c r="F534" s="19"/>
      <c r="G534" s="19"/>
      <c r="H534" s="19"/>
      <c r="I534" s="19"/>
      <c r="J534" s="10" t="s">
        <v>12</v>
      </c>
      <c r="K534" s="10" t="s">
        <v>12</v>
      </c>
      <c r="L534" s="10" t="s">
        <v>12</v>
      </c>
      <c r="M534" s="10" t="s">
        <v>12</v>
      </c>
      <c r="N534" s="12" t="e">
        <f>VLOOKUP(J534,'Site Allocation'!$B$2:$C$37,2,FALSE)</f>
        <v>#N/A</v>
      </c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</row>
    <row r="535" spans="1:25" x14ac:dyDescent="0.35">
      <c r="A535" s="19"/>
      <c r="B535" s="19"/>
      <c r="C535" s="19"/>
      <c r="D535" s="19"/>
      <c r="E535" s="19"/>
      <c r="F535" s="19"/>
      <c r="G535" s="19"/>
      <c r="H535" s="19"/>
      <c r="I535" s="19"/>
      <c r="J535" s="10" t="s">
        <v>12</v>
      </c>
      <c r="K535" s="10" t="s">
        <v>12</v>
      </c>
      <c r="L535" s="10" t="s">
        <v>12</v>
      </c>
      <c r="M535" s="10" t="s">
        <v>12</v>
      </c>
      <c r="N535" s="12" t="e">
        <f>VLOOKUP(J535,'Site Allocation'!$B$2:$C$37,2,FALSE)</f>
        <v>#N/A</v>
      </c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</row>
    <row r="536" spans="1:25" x14ac:dyDescent="0.35">
      <c r="A536" s="19"/>
      <c r="B536" s="19"/>
      <c r="C536" s="19"/>
      <c r="D536" s="19"/>
      <c r="E536" s="19"/>
      <c r="F536" s="19"/>
      <c r="G536" s="19"/>
      <c r="H536" s="19"/>
      <c r="I536" s="19"/>
      <c r="J536" s="10" t="s">
        <v>12</v>
      </c>
      <c r="K536" s="10" t="s">
        <v>12</v>
      </c>
      <c r="L536" s="10" t="s">
        <v>12</v>
      </c>
      <c r="M536" s="10" t="s">
        <v>12</v>
      </c>
      <c r="N536" s="12" t="e">
        <f>VLOOKUP(J536,'Site Allocation'!$B$2:$C$37,2,FALSE)</f>
        <v>#N/A</v>
      </c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</row>
    <row r="537" spans="1:25" x14ac:dyDescent="0.35">
      <c r="A537" s="19"/>
      <c r="B537" s="19"/>
      <c r="C537" s="19"/>
      <c r="D537" s="19"/>
      <c r="E537" s="19"/>
      <c r="F537" s="19"/>
      <c r="G537" s="19"/>
      <c r="H537" s="19"/>
      <c r="I537" s="19"/>
      <c r="J537" s="10" t="s">
        <v>12</v>
      </c>
      <c r="K537" s="10" t="s">
        <v>12</v>
      </c>
      <c r="L537" s="10" t="s">
        <v>12</v>
      </c>
      <c r="M537" s="10" t="s">
        <v>12</v>
      </c>
      <c r="N537" s="12" t="e">
        <f>VLOOKUP(J537,'Site Allocation'!$B$2:$C$37,2,FALSE)</f>
        <v>#N/A</v>
      </c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</row>
    <row r="538" spans="1:25" x14ac:dyDescent="0.35">
      <c r="A538" s="19"/>
      <c r="B538" s="19"/>
      <c r="C538" s="19"/>
      <c r="D538" s="19"/>
      <c r="E538" s="19"/>
      <c r="F538" s="19"/>
      <c r="G538" s="19"/>
      <c r="H538" s="19"/>
      <c r="I538" s="19"/>
      <c r="J538" s="10" t="s">
        <v>12</v>
      </c>
      <c r="K538" s="10" t="s">
        <v>12</v>
      </c>
      <c r="L538" s="10" t="s">
        <v>12</v>
      </c>
      <c r="M538" s="10" t="s">
        <v>12</v>
      </c>
      <c r="N538" s="12" t="e">
        <f>VLOOKUP(J538,'Site Allocation'!$B$2:$C$37,2,FALSE)</f>
        <v>#N/A</v>
      </c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</row>
    <row r="539" spans="1:25" x14ac:dyDescent="0.35">
      <c r="A539" s="19"/>
      <c r="B539" s="19"/>
      <c r="C539" s="19"/>
      <c r="D539" s="19"/>
      <c r="E539" s="19"/>
      <c r="F539" s="19"/>
      <c r="G539" s="19"/>
      <c r="H539" s="19"/>
      <c r="I539" s="19"/>
      <c r="J539" s="10" t="s">
        <v>12</v>
      </c>
      <c r="K539" s="10" t="s">
        <v>12</v>
      </c>
      <c r="L539" s="10" t="s">
        <v>12</v>
      </c>
      <c r="M539" s="10" t="s">
        <v>12</v>
      </c>
      <c r="N539" s="12" t="e">
        <f>VLOOKUP(J539,'Site Allocation'!$B$2:$C$37,2,FALSE)</f>
        <v>#N/A</v>
      </c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</row>
    <row r="540" spans="1:25" x14ac:dyDescent="0.35">
      <c r="A540" s="19"/>
      <c r="B540" s="19"/>
      <c r="C540" s="19"/>
      <c r="D540" s="19"/>
      <c r="E540" s="19"/>
      <c r="F540" s="19"/>
      <c r="G540" s="19"/>
      <c r="H540" s="19"/>
      <c r="I540" s="19"/>
      <c r="J540" s="10" t="s">
        <v>12</v>
      </c>
      <c r="K540" s="10" t="s">
        <v>12</v>
      </c>
      <c r="L540" s="10" t="s">
        <v>12</v>
      </c>
      <c r="M540" s="10" t="s">
        <v>12</v>
      </c>
      <c r="N540" s="12" t="e">
        <f>VLOOKUP(J540,'Site Allocation'!$B$2:$C$37,2,FALSE)</f>
        <v>#N/A</v>
      </c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</row>
    <row r="541" spans="1:25" x14ac:dyDescent="0.35">
      <c r="A541" s="19"/>
      <c r="B541" s="19"/>
      <c r="C541" s="19"/>
      <c r="D541" s="19"/>
      <c r="E541" s="19"/>
      <c r="F541" s="19"/>
      <c r="G541" s="19"/>
      <c r="H541" s="19"/>
      <c r="I541" s="19"/>
      <c r="J541" s="10" t="s">
        <v>12</v>
      </c>
      <c r="K541" s="10" t="s">
        <v>12</v>
      </c>
      <c r="L541" s="10" t="s">
        <v>12</v>
      </c>
      <c r="M541" s="10" t="s">
        <v>12</v>
      </c>
      <c r="N541" s="12" t="e">
        <f>VLOOKUP(J541,'Site Allocation'!$B$2:$C$37,2,FALSE)</f>
        <v>#N/A</v>
      </c>
      <c r="O541" s="19"/>
      <c r="P541" s="19"/>
      <c r="Q541" s="19"/>
      <c r="R541" s="19"/>
      <c r="S541" s="19"/>
      <c r="T541" s="19"/>
      <c r="U541" s="19"/>
      <c r="V541" s="19"/>
      <c r="W541" s="19"/>
      <c r="X541" s="19"/>
      <c r="Y541" s="19"/>
    </row>
    <row r="542" spans="1:25" x14ac:dyDescent="0.35">
      <c r="A542" s="19"/>
      <c r="B542" s="19"/>
      <c r="C542" s="19"/>
      <c r="D542" s="19"/>
      <c r="E542" s="19"/>
      <c r="F542" s="19"/>
      <c r="G542" s="19"/>
      <c r="H542" s="19"/>
      <c r="I542" s="19"/>
      <c r="J542" s="10" t="s">
        <v>12</v>
      </c>
      <c r="K542" s="10" t="s">
        <v>12</v>
      </c>
      <c r="L542" s="10" t="s">
        <v>12</v>
      </c>
      <c r="M542" s="10" t="s">
        <v>12</v>
      </c>
      <c r="N542" s="12" t="e">
        <f>VLOOKUP(J542,'Site Allocation'!$B$2:$C$37,2,FALSE)</f>
        <v>#N/A</v>
      </c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</row>
    <row r="543" spans="1:25" x14ac:dyDescent="0.35">
      <c r="A543" s="19"/>
      <c r="B543" s="19"/>
      <c r="C543" s="19"/>
      <c r="D543" s="19"/>
      <c r="E543" s="19"/>
      <c r="F543" s="19"/>
      <c r="G543" s="19"/>
      <c r="H543" s="19"/>
      <c r="I543" s="19"/>
      <c r="J543" s="10" t="s">
        <v>12</v>
      </c>
      <c r="K543" s="10" t="s">
        <v>12</v>
      </c>
      <c r="L543" s="10" t="s">
        <v>12</v>
      </c>
      <c r="M543" s="10" t="s">
        <v>12</v>
      </c>
      <c r="N543" s="12" t="e">
        <f>VLOOKUP(J543,'Site Allocation'!$B$2:$C$37,2,FALSE)</f>
        <v>#N/A</v>
      </c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</row>
    <row r="544" spans="1:25" x14ac:dyDescent="0.35">
      <c r="A544" s="19"/>
      <c r="B544" s="19"/>
      <c r="C544" s="19"/>
      <c r="D544" s="19"/>
      <c r="E544" s="19"/>
      <c r="F544" s="19"/>
      <c r="G544" s="19"/>
      <c r="H544" s="19"/>
      <c r="I544" s="19"/>
      <c r="J544" s="10" t="s">
        <v>12</v>
      </c>
      <c r="K544" s="10" t="s">
        <v>12</v>
      </c>
      <c r="L544" s="10" t="s">
        <v>12</v>
      </c>
      <c r="M544" s="10" t="s">
        <v>12</v>
      </c>
      <c r="N544" s="12" t="e">
        <f>VLOOKUP(J544,'Site Allocation'!$B$2:$C$37,2,FALSE)</f>
        <v>#N/A</v>
      </c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</row>
    <row r="545" spans="1:25" x14ac:dyDescent="0.35">
      <c r="A545" s="19"/>
      <c r="B545" s="19"/>
      <c r="C545" s="19"/>
      <c r="D545" s="19"/>
      <c r="E545" s="19"/>
      <c r="F545" s="19"/>
      <c r="G545" s="19"/>
      <c r="H545" s="19"/>
      <c r="I545" s="19"/>
      <c r="J545" s="10" t="s">
        <v>12</v>
      </c>
      <c r="K545" s="10" t="s">
        <v>12</v>
      </c>
      <c r="L545" s="10" t="s">
        <v>12</v>
      </c>
      <c r="M545" s="10" t="s">
        <v>12</v>
      </c>
      <c r="N545" s="12" t="e">
        <f>VLOOKUP(J545,'Site Allocation'!$B$2:$C$37,2,FALSE)</f>
        <v>#N/A</v>
      </c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</row>
    <row r="546" spans="1:25" x14ac:dyDescent="0.35">
      <c r="A546" s="19"/>
      <c r="B546" s="19"/>
      <c r="C546" s="19"/>
      <c r="D546" s="19"/>
      <c r="E546" s="19"/>
      <c r="F546" s="19"/>
      <c r="G546" s="19"/>
      <c r="H546" s="19"/>
      <c r="I546" s="19"/>
      <c r="J546" s="10" t="s">
        <v>12</v>
      </c>
      <c r="K546" s="10" t="s">
        <v>12</v>
      </c>
      <c r="L546" s="10" t="s">
        <v>12</v>
      </c>
      <c r="M546" s="10" t="s">
        <v>12</v>
      </c>
      <c r="N546" s="12" t="e">
        <f>VLOOKUP(J546,'Site Allocation'!$B$2:$C$37,2,FALSE)</f>
        <v>#N/A</v>
      </c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</row>
    <row r="547" spans="1:25" x14ac:dyDescent="0.35">
      <c r="A547" s="19"/>
      <c r="B547" s="19"/>
      <c r="C547" s="19"/>
      <c r="D547" s="19"/>
      <c r="E547" s="19"/>
      <c r="F547" s="19"/>
      <c r="G547" s="19"/>
      <c r="H547" s="19"/>
      <c r="I547" s="19"/>
      <c r="J547" s="10" t="s">
        <v>12</v>
      </c>
      <c r="K547" s="10" t="s">
        <v>12</v>
      </c>
      <c r="L547" s="10" t="s">
        <v>12</v>
      </c>
      <c r="M547" s="10" t="s">
        <v>12</v>
      </c>
      <c r="N547" s="12" t="e">
        <f>VLOOKUP(J547,'Site Allocation'!$B$2:$C$37,2,FALSE)</f>
        <v>#N/A</v>
      </c>
      <c r="O547" s="19"/>
      <c r="P547" s="19"/>
      <c r="Q547" s="19"/>
      <c r="R547" s="19"/>
      <c r="S547" s="19"/>
      <c r="T547" s="19"/>
      <c r="U547" s="19"/>
      <c r="V547" s="19"/>
      <c r="W547" s="19"/>
      <c r="X547" s="19"/>
      <c r="Y547" s="19"/>
    </row>
    <row r="548" spans="1:25" x14ac:dyDescent="0.35">
      <c r="A548" s="19"/>
      <c r="B548" s="19"/>
      <c r="C548" s="19"/>
      <c r="D548" s="19"/>
      <c r="E548" s="19"/>
      <c r="F548" s="19"/>
      <c r="G548" s="19"/>
      <c r="H548" s="19"/>
      <c r="I548" s="19"/>
      <c r="J548" s="10" t="s">
        <v>12</v>
      </c>
      <c r="K548" s="10" t="s">
        <v>12</v>
      </c>
      <c r="L548" s="10" t="s">
        <v>12</v>
      </c>
      <c r="M548" s="10" t="s">
        <v>12</v>
      </c>
      <c r="N548" s="12" t="e">
        <f>VLOOKUP(J548,'Site Allocation'!$B$2:$C$37,2,FALSE)</f>
        <v>#N/A</v>
      </c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</row>
    <row r="549" spans="1:25" x14ac:dyDescent="0.35">
      <c r="A549" s="19"/>
      <c r="B549" s="19"/>
      <c r="C549" s="19"/>
      <c r="D549" s="19"/>
      <c r="E549" s="19"/>
      <c r="F549" s="19"/>
      <c r="G549" s="19"/>
      <c r="H549" s="19"/>
      <c r="I549" s="19"/>
      <c r="J549" s="10" t="s">
        <v>12</v>
      </c>
      <c r="K549" s="10" t="s">
        <v>12</v>
      </c>
      <c r="L549" s="10" t="s">
        <v>12</v>
      </c>
      <c r="M549" s="10" t="s">
        <v>12</v>
      </c>
      <c r="N549" s="12" t="e">
        <f>VLOOKUP(J549,'Site Allocation'!$B$2:$C$37,2,FALSE)</f>
        <v>#N/A</v>
      </c>
      <c r="O549" s="19"/>
      <c r="P549" s="19"/>
      <c r="Q549" s="19"/>
      <c r="R549" s="19"/>
      <c r="S549" s="19"/>
      <c r="T549" s="19"/>
      <c r="U549" s="19"/>
      <c r="V549" s="19"/>
      <c r="W549" s="19"/>
      <c r="X549" s="19"/>
      <c r="Y549" s="19"/>
    </row>
    <row r="550" spans="1:25" x14ac:dyDescent="0.35">
      <c r="A550" s="19"/>
      <c r="B550" s="19"/>
      <c r="C550" s="19"/>
      <c r="D550" s="19"/>
      <c r="E550" s="19"/>
      <c r="F550" s="19"/>
      <c r="G550" s="19"/>
      <c r="H550" s="19"/>
      <c r="I550" s="19"/>
      <c r="J550" s="10" t="s">
        <v>12</v>
      </c>
      <c r="K550" s="10" t="s">
        <v>12</v>
      </c>
      <c r="L550" s="10" t="s">
        <v>12</v>
      </c>
      <c r="M550" s="10" t="s">
        <v>12</v>
      </c>
      <c r="N550" s="12" t="e">
        <f>VLOOKUP(J550,'Site Allocation'!$B$2:$C$37,2,FALSE)</f>
        <v>#N/A</v>
      </c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</row>
    <row r="551" spans="1:25" x14ac:dyDescent="0.35">
      <c r="A551" s="19"/>
      <c r="B551" s="19"/>
      <c r="C551" s="19"/>
      <c r="D551" s="19"/>
      <c r="E551" s="19"/>
      <c r="F551" s="19"/>
      <c r="G551" s="19"/>
      <c r="H551" s="19"/>
      <c r="I551" s="19"/>
      <c r="J551" s="10" t="s">
        <v>12</v>
      </c>
      <c r="K551" s="10" t="s">
        <v>12</v>
      </c>
      <c r="L551" s="10" t="s">
        <v>12</v>
      </c>
      <c r="M551" s="10" t="s">
        <v>12</v>
      </c>
      <c r="N551" s="12" t="e">
        <f>VLOOKUP(J551,'Site Allocation'!$B$2:$C$37,2,FALSE)</f>
        <v>#N/A</v>
      </c>
      <c r="O551" s="19"/>
      <c r="P551" s="19"/>
      <c r="Q551" s="19"/>
      <c r="R551" s="19"/>
      <c r="S551" s="19"/>
      <c r="T551" s="19"/>
      <c r="U551" s="19"/>
      <c r="V551" s="19"/>
      <c r="W551" s="19"/>
      <c r="X551" s="19"/>
      <c r="Y551" s="19"/>
    </row>
    <row r="552" spans="1:25" x14ac:dyDescent="0.35">
      <c r="A552" s="19"/>
      <c r="B552" s="19"/>
      <c r="C552" s="19"/>
      <c r="D552" s="19"/>
      <c r="E552" s="19"/>
      <c r="F552" s="19"/>
      <c r="G552" s="19"/>
      <c r="H552" s="19"/>
      <c r="I552" s="19"/>
      <c r="J552" s="10" t="s">
        <v>12</v>
      </c>
      <c r="K552" s="10" t="s">
        <v>12</v>
      </c>
      <c r="L552" s="10" t="s">
        <v>12</v>
      </c>
      <c r="M552" s="10" t="s">
        <v>12</v>
      </c>
      <c r="N552" s="12" t="e">
        <f>VLOOKUP(J552,'Site Allocation'!$B$2:$C$37,2,FALSE)</f>
        <v>#N/A</v>
      </c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</row>
    <row r="553" spans="1:25" x14ac:dyDescent="0.35">
      <c r="A553" s="19"/>
      <c r="B553" s="19"/>
      <c r="C553" s="19"/>
      <c r="D553" s="19"/>
      <c r="E553" s="19"/>
      <c r="F553" s="19"/>
      <c r="G553" s="19"/>
      <c r="H553" s="19"/>
      <c r="I553" s="19"/>
      <c r="J553" s="10" t="s">
        <v>12</v>
      </c>
      <c r="K553" s="10" t="s">
        <v>12</v>
      </c>
      <c r="L553" s="10" t="s">
        <v>12</v>
      </c>
      <c r="M553" s="10" t="s">
        <v>12</v>
      </c>
      <c r="N553" s="12" t="e">
        <f>VLOOKUP(J553,'Site Allocation'!$B$2:$C$37,2,FALSE)</f>
        <v>#N/A</v>
      </c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</row>
    <row r="554" spans="1:25" x14ac:dyDescent="0.35">
      <c r="A554" s="19"/>
      <c r="B554" s="19"/>
      <c r="C554" s="19"/>
      <c r="D554" s="19"/>
      <c r="E554" s="19"/>
      <c r="F554" s="19"/>
      <c r="G554" s="19"/>
      <c r="H554" s="19"/>
      <c r="I554" s="19"/>
      <c r="J554" s="10" t="s">
        <v>12</v>
      </c>
      <c r="K554" s="10" t="s">
        <v>12</v>
      </c>
      <c r="L554" s="10" t="s">
        <v>12</v>
      </c>
      <c r="M554" s="10" t="s">
        <v>12</v>
      </c>
      <c r="N554" s="12" t="e">
        <f>VLOOKUP(J554,'Site Allocation'!$B$2:$C$37,2,FALSE)</f>
        <v>#N/A</v>
      </c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</row>
    <row r="555" spans="1:25" x14ac:dyDescent="0.35">
      <c r="A555" s="19"/>
      <c r="B555" s="19"/>
      <c r="C555" s="19"/>
      <c r="D555" s="19"/>
      <c r="E555" s="19"/>
      <c r="F555" s="19"/>
      <c r="G555" s="19"/>
      <c r="H555" s="19"/>
      <c r="I555" s="19"/>
      <c r="J555" s="10" t="s">
        <v>12</v>
      </c>
      <c r="K555" s="10" t="s">
        <v>12</v>
      </c>
      <c r="L555" s="10" t="s">
        <v>12</v>
      </c>
      <c r="M555" s="10" t="s">
        <v>12</v>
      </c>
      <c r="N555" s="12" t="e">
        <f>VLOOKUP(J555,'Site Allocation'!$B$2:$C$37,2,FALSE)</f>
        <v>#N/A</v>
      </c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</row>
    <row r="556" spans="1:25" x14ac:dyDescent="0.35">
      <c r="A556" s="19"/>
      <c r="B556" s="19"/>
      <c r="C556" s="19"/>
      <c r="D556" s="19"/>
      <c r="E556" s="19"/>
      <c r="F556" s="19"/>
      <c r="G556" s="19"/>
      <c r="H556" s="19"/>
      <c r="I556" s="19"/>
      <c r="J556" s="10" t="s">
        <v>12</v>
      </c>
      <c r="K556" s="10" t="s">
        <v>12</v>
      </c>
      <c r="L556" s="10" t="s">
        <v>12</v>
      </c>
      <c r="M556" s="10" t="s">
        <v>12</v>
      </c>
      <c r="N556" s="12" t="e">
        <f>VLOOKUP(J556,'Site Allocation'!$B$2:$C$37,2,FALSE)</f>
        <v>#N/A</v>
      </c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</row>
    <row r="557" spans="1:25" x14ac:dyDescent="0.35">
      <c r="A557" s="19"/>
      <c r="B557" s="19"/>
      <c r="C557" s="19"/>
      <c r="D557" s="19"/>
      <c r="E557" s="19"/>
      <c r="F557" s="19"/>
      <c r="G557" s="19"/>
      <c r="H557" s="19"/>
      <c r="I557" s="19"/>
      <c r="J557" s="10" t="s">
        <v>12</v>
      </c>
      <c r="K557" s="10" t="s">
        <v>12</v>
      </c>
      <c r="L557" s="10" t="s">
        <v>12</v>
      </c>
      <c r="M557" s="10" t="s">
        <v>12</v>
      </c>
      <c r="N557" s="12" t="e">
        <f>VLOOKUP(J557,'Site Allocation'!$B$2:$C$37,2,FALSE)</f>
        <v>#N/A</v>
      </c>
      <c r="O557" s="19"/>
      <c r="P557" s="19"/>
      <c r="Q557" s="19"/>
      <c r="R557" s="19"/>
      <c r="S557" s="19"/>
      <c r="T557" s="19"/>
      <c r="U557" s="19"/>
      <c r="V557" s="19"/>
      <c r="W557" s="19"/>
      <c r="X557" s="19"/>
      <c r="Y557" s="19"/>
    </row>
    <row r="558" spans="1:25" x14ac:dyDescent="0.35">
      <c r="A558" s="19"/>
      <c r="B558" s="19"/>
      <c r="C558" s="19"/>
      <c r="D558" s="19"/>
      <c r="E558" s="19"/>
      <c r="F558" s="19"/>
      <c r="G558" s="19"/>
      <c r="H558" s="19"/>
      <c r="I558" s="19"/>
      <c r="J558" s="10" t="s">
        <v>12</v>
      </c>
      <c r="K558" s="10" t="s">
        <v>12</v>
      </c>
      <c r="L558" s="10" t="s">
        <v>12</v>
      </c>
      <c r="M558" s="10" t="s">
        <v>12</v>
      </c>
      <c r="N558" s="12" t="e">
        <f>VLOOKUP(J558,'Site Allocation'!$B$2:$C$37,2,FALSE)</f>
        <v>#N/A</v>
      </c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</row>
    <row r="559" spans="1:25" x14ac:dyDescent="0.35">
      <c r="A559" s="19"/>
      <c r="B559" s="19"/>
      <c r="C559" s="19"/>
      <c r="D559" s="19"/>
      <c r="E559" s="19"/>
      <c r="F559" s="19"/>
      <c r="G559" s="19"/>
      <c r="H559" s="19"/>
      <c r="I559" s="19"/>
      <c r="J559" s="10" t="s">
        <v>12</v>
      </c>
      <c r="K559" s="10" t="s">
        <v>12</v>
      </c>
      <c r="L559" s="10" t="s">
        <v>12</v>
      </c>
      <c r="M559" s="10" t="s">
        <v>12</v>
      </c>
      <c r="N559" s="12" t="e">
        <f>VLOOKUP(J559,'Site Allocation'!$B$2:$C$37,2,FALSE)</f>
        <v>#N/A</v>
      </c>
      <c r="O559" s="19"/>
      <c r="P559" s="19"/>
      <c r="Q559" s="19"/>
      <c r="R559" s="19"/>
      <c r="S559" s="19"/>
      <c r="T559" s="19"/>
      <c r="U559" s="19"/>
      <c r="V559" s="19"/>
      <c r="W559" s="19"/>
      <c r="X559" s="19"/>
      <c r="Y559" s="19"/>
    </row>
    <row r="560" spans="1:25" x14ac:dyDescent="0.35">
      <c r="A560" s="19"/>
      <c r="B560" s="19"/>
      <c r="C560" s="19"/>
      <c r="D560" s="19"/>
      <c r="E560" s="19"/>
      <c r="F560" s="19"/>
      <c r="G560" s="19"/>
      <c r="H560" s="19"/>
      <c r="I560" s="19"/>
      <c r="J560" s="10" t="s">
        <v>12</v>
      </c>
      <c r="K560" s="10" t="s">
        <v>12</v>
      </c>
      <c r="L560" s="10" t="s">
        <v>12</v>
      </c>
      <c r="M560" s="10" t="s">
        <v>12</v>
      </c>
      <c r="N560" s="12" t="e">
        <f>VLOOKUP(J560,'Site Allocation'!$B$2:$C$37,2,FALSE)</f>
        <v>#N/A</v>
      </c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</row>
    <row r="561" spans="1:25" x14ac:dyDescent="0.35">
      <c r="A561" s="19"/>
      <c r="B561" s="19"/>
      <c r="C561" s="19"/>
      <c r="D561" s="19"/>
      <c r="E561" s="19"/>
      <c r="F561" s="19"/>
      <c r="G561" s="19"/>
      <c r="H561" s="19"/>
      <c r="I561" s="19"/>
      <c r="J561" s="10" t="s">
        <v>12</v>
      </c>
      <c r="K561" s="10" t="s">
        <v>12</v>
      </c>
      <c r="L561" s="10" t="s">
        <v>12</v>
      </c>
      <c r="M561" s="10" t="s">
        <v>12</v>
      </c>
      <c r="N561" s="12" t="e">
        <f>VLOOKUP(J561,'Site Allocation'!$B$2:$C$37,2,FALSE)</f>
        <v>#N/A</v>
      </c>
      <c r="O561" s="19"/>
      <c r="P561" s="19"/>
      <c r="Q561" s="19"/>
      <c r="R561" s="19"/>
      <c r="S561" s="19"/>
      <c r="T561" s="19"/>
      <c r="U561" s="19"/>
      <c r="V561" s="19"/>
      <c r="W561" s="19"/>
      <c r="X561" s="19"/>
      <c r="Y561" s="19"/>
    </row>
    <row r="562" spans="1:25" x14ac:dyDescent="0.35">
      <c r="A562" s="19"/>
      <c r="B562" s="19"/>
      <c r="C562" s="19"/>
      <c r="D562" s="19"/>
      <c r="E562" s="19"/>
      <c r="F562" s="19"/>
      <c r="G562" s="19"/>
      <c r="H562" s="19"/>
      <c r="I562" s="19"/>
      <c r="J562" s="10" t="s">
        <v>12</v>
      </c>
      <c r="K562" s="10" t="s">
        <v>12</v>
      </c>
      <c r="L562" s="10" t="s">
        <v>12</v>
      </c>
      <c r="M562" s="10" t="s">
        <v>12</v>
      </c>
      <c r="N562" s="12" t="e">
        <f>VLOOKUP(J562,'Site Allocation'!$B$2:$C$37,2,FALSE)</f>
        <v>#N/A</v>
      </c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</row>
    <row r="563" spans="1:25" x14ac:dyDescent="0.35">
      <c r="A563" s="19"/>
      <c r="B563" s="19"/>
      <c r="C563" s="19"/>
      <c r="D563" s="19"/>
      <c r="E563" s="19"/>
      <c r="F563" s="19"/>
      <c r="G563" s="19"/>
      <c r="H563" s="19"/>
      <c r="I563" s="19"/>
      <c r="J563" s="10" t="s">
        <v>12</v>
      </c>
      <c r="K563" s="10" t="s">
        <v>12</v>
      </c>
      <c r="L563" s="10" t="s">
        <v>12</v>
      </c>
      <c r="M563" s="10" t="s">
        <v>12</v>
      </c>
      <c r="N563" s="12" t="e">
        <f>VLOOKUP(J563,'Site Allocation'!$B$2:$C$37,2,FALSE)</f>
        <v>#N/A</v>
      </c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</row>
    <row r="564" spans="1:25" x14ac:dyDescent="0.35">
      <c r="A564" s="19"/>
      <c r="B564" s="19"/>
      <c r="C564" s="19"/>
      <c r="D564" s="19"/>
      <c r="E564" s="19"/>
      <c r="F564" s="19"/>
      <c r="G564" s="19"/>
      <c r="H564" s="19"/>
      <c r="I564" s="19"/>
      <c r="J564" s="10" t="s">
        <v>12</v>
      </c>
      <c r="K564" s="10" t="s">
        <v>12</v>
      </c>
      <c r="L564" s="10" t="s">
        <v>12</v>
      </c>
      <c r="M564" s="10" t="s">
        <v>12</v>
      </c>
      <c r="N564" s="12" t="e">
        <f>VLOOKUP(J564,'Site Allocation'!$B$2:$C$37,2,FALSE)</f>
        <v>#N/A</v>
      </c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</row>
    <row r="565" spans="1:25" x14ac:dyDescent="0.35">
      <c r="A565" s="19"/>
      <c r="B565" s="19"/>
      <c r="C565" s="19"/>
      <c r="D565" s="19"/>
      <c r="E565" s="19"/>
      <c r="F565" s="19"/>
      <c r="G565" s="19"/>
      <c r="H565" s="19"/>
      <c r="I565" s="19"/>
      <c r="J565" s="10" t="s">
        <v>12</v>
      </c>
      <c r="K565" s="10" t="s">
        <v>12</v>
      </c>
      <c r="L565" s="10" t="s">
        <v>12</v>
      </c>
      <c r="M565" s="10" t="s">
        <v>12</v>
      </c>
      <c r="N565" s="12" t="e">
        <f>VLOOKUP(J565,'Site Allocation'!$B$2:$C$37,2,FALSE)</f>
        <v>#N/A</v>
      </c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</row>
    <row r="566" spans="1:25" x14ac:dyDescent="0.35">
      <c r="A566" s="19"/>
      <c r="B566" s="19"/>
      <c r="C566" s="19"/>
      <c r="D566" s="19"/>
      <c r="E566" s="19"/>
      <c r="F566" s="19"/>
      <c r="G566" s="19"/>
      <c r="H566" s="19"/>
      <c r="I566" s="19"/>
      <c r="J566" s="10" t="s">
        <v>12</v>
      </c>
      <c r="K566" s="10" t="s">
        <v>12</v>
      </c>
      <c r="L566" s="10" t="s">
        <v>12</v>
      </c>
      <c r="M566" s="10" t="s">
        <v>12</v>
      </c>
      <c r="N566" s="12" t="e">
        <f>VLOOKUP(J566,'Site Allocation'!$B$2:$C$37,2,FALSE)</f>
        <v>#N/A</v>
      </c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</row>
    <row r="567" spans="1:25" x14ac:dyDescent="0.35">
      <c r="A567" s="19"/>
      <c r="B567" s="19"/>
      <c r="C567" s="19"/>
      <c r="D567" s="19"/>
      <c r="E567" s="19"/>
      <c r="F567" s="19"/>
      <c r="G567" s="19"/>
      <c r="H567" s="19"/>
      <c r="I567" s="19"/>
      <c r="J567" s="10" t="s">
        <v>12</v>
      </c>
      <c r="K567" s="10" t="s">
        <v>12</v>
      </c>
      <c r="L567" s="10" t="s">
        <v>12</v>
      </c>
      <c r="M567" s="10" t="s">
        <v>12</v>
      </c>
      <c r="N567" s="12" t="e">
        <f>VLOOKUP(J567,'Site Allocation'!$B$2:$C$37,2,FALSE)</f>
        <v>#N/A</v>
      </c>
      <c r="O567" s="19"/>
      <c r="P567" s="19"/>
      <c r="Q567" s="19"/>
      <c r="R567" s="19"/>
      <c r="S567" s="19"/>
      <c r="T567" s="19"/>
      <c r="U567" s="19"/>
      <c r="V567" s="19"/>
      <c r="W567" s="19"/>
      <c r="X567" s="19"/>
      <c r="Y567" s="19"/>
    </row>
    <row r="568" spans="1:25" x14ac:dyDescent="0.35">
      <c r="A568" s="19"/>
      <c r="B568" s="19"/>
      <c r="C568" s="19"/>
      <c r="D568" s="19"/>
      <c r="E568" s="19"/>
      <c r="F568" s="19"/>
      <c r="G568" s="19"/>
      <c r="H568" s="19"/>
      <c r="I568" s="19"/>
      <c r="J568" s="10" t="s">
        <v>12</v>
      </c>
      <c r="K568" s="10" t="s">
        <v>12</v>
      </c>
      <c r="L568" s="10" t="s">
        <v>12</v>
      </c>
      <c r="M568" s="10" t="s">
        <v>12</v>
      </c>
      <c r="N568" s="12" t="e">
        <f>VLOOKUP(J568,'Site Allocation'!$B$2:$C$37,2,FALSE)</f>
        <v>#N/A</v>
      </c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</row>
    <row r="569" spans="1:25" x14ac:dyDescent="0.35">
      <c r="A569" s="19"/>
      <c r="B569" s="19"/>
      <c r="C569" s="19"/>
      <c r="D569" s="19"/>
      <c r="E569" s="19"/>
      <c r="F569" s="19"/>
      <c r="G569" s="19"/>
      <c r="H569" s="19"/>
      <c r="I569" s="19"/>
      <c r="J569" s="10" t="s">
        <v>12</v>
      </c>
      <c r="K569" s="10" t="s">
        <v>12</v>
      </c>
      <c r="L569" s="10" t="s">
        <v>12</v>
      </c>
      <c r="M569" s="10" t="s">
        <v>12</v>
      </c>
      <c r="N569" s="12" t="e">
        <f>VLOOKUP(J569,'Site Allocation'!$B$2:$C$37,2,FALSE)</f>
        <v>#N/A</v>
      </c>
      <c r="O569" s="19"/>
      <c r="P569" s="19"/>
      <c r="Q569" s="19"/>
      <c r="R569" s="19"/>
      <c r="S569" s="19"/>
      <c r="T569" s="19"/>
      <c r="U569" s="19"/>
      <c r="V569" s="19"/>
      <c r="W569" s="19"/>
      <c r="X569" s="19"/>
      <c r="Y569" s="19"/>
    </row>
    <row r="570" spans="1:25" x14ac:dyDescent="0.35">
      <c r="A570" s="19"/>
      <c r="B570" s="19"/>
      <c r="C570" s="19"/>
      <c r="D570" s="19"/>
      <c r="E570" s="19"/>
      <c r="F570" s="19"/>
      <c r="G570" s="19"/>
      <c r="H570" s="19"/>
      <c r="I570" s="19"/>
      <c r="J570" s="10" t="s">
        <v>12</v>
      </c>
      <c r="K570" s="10" t="s">
        <v>12</v>
      </c>
      <c r="L570" s="10" t="s">
        <v>12</v>
      </c>
      <c r="M570" s="10" t="s">
        <v>12</v>
      </c>
      <c r="N570" s="12" t="e">
        <f>VLOOKUP(J570,'Site Allocation'!$B$2:$C$37,2,FALSE)</f>
        <v>#N/A</v>
      </c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</row>
    <row r="571" spans="1:25" x14ac:dyDescent="0.35">
      <c r="A571" s="19"/>
      <c r="B571" s="19"/>
      <c r="C571" s="19"/>
      <c r="D571" s="19"/>
      <c r="E571" s="19"/>
      <c r="F571" s="19"/>
      <c r="G571" s="19"/>
      <c r="H571" s="19"/>
      <c r="I571" s="19"/>
      <c r="J571" s="10" t="s">
        <v>12</v>
      </c>
      <c r="K571" s="10" t="s">
        <v>12</v>
      </c>
      <c r="L571" s="10" t="s">
        <v>12</v>
      </c>
      <c r="M571" s="10" t="s">
        <v>12</v>
      </c>
      <c r="N571" s="12" t="e">
        <f>VLOOKUP(J571,'Site Allocation'!$B$2:$C$37,2,FALSE)</f>
        <v>#N/A</v>
      </c>
      <c r="O571" s="19"/>
      <c r="P571" s="19"/>
      <c r="Q571" s="19"/>
      <c r="R571" s="19"/>
      <c r="S571" s="19"/>
      <c r="T571" s="19"/>
      <c r="U571" s="19"/>
      <c r="V571" s="19"/>
      <c r="W571" s="19"/>
      <c r="X571" s="19"/>
      <c r="Y571" s="19"/>
    </row>
    <row r="572" spans="1:25" x14ac:dyDescent="0.35">
      <c r="A572" s="19"/>
      <c r="B572" s="19"/>
      <c r="C572" s="19"/>
      <c r="D572" s="19"/>
      <c r="E572" s="19"/>
      <c r="F572" s="19"/>
      <c r="G572" s="19"/>
      <c r="H572" s="19"/>
      <c r="I572" s="19"/>
      <c r="J572" s="10" t="s">
        <v>12</v>
      </c>
      <c r="K572" s="10" t="s">
        <v>12</v>
      </c>
      <c r="L572" s="10" t="s">
        <v>12</v>
      </c>
      <c r="M572" s="10" t="s">
        <v>12</v>
      </c>
      <c r="N572" s="12" t="e">
        <f>VLOOKUP(J572,'Site Allocation'!$B$2:$C$37,2,FALSE)</f>
        <v>#N/A</v>
      </c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</row>
    <row r="573" spans="1:25" x14ac:dyDescent="0.35">
      <c r="A573" s="19"/>
      <c r="B573" s="19"/>
      <c r="C573" s="19"/>
      <c r="D573" s="19"/>
      <c r="E573" s="19"/>
      <c r="F573" s="19"/>
      <c r="G573" s="19"/>
      <c r="H573" s="19"/>
      <c r="I573" s="19"/>
      <c r="J573" s="10" t="s">
        <v>12</v>
      </c>
      <c r="K573" s="10" t="s">
        <v>12</v>
      </c>
      <c r="L573" s="10" t="s">
        <v>12</v>
      </c>
      <c r="M573" s="10" t="s">
        <v>12</v>
      </c>
      <c r="N573" s="12" t="e">
        <f>VLOOKUP(J573,'Site Allocation'!$B$2:$C$37,2,FALSE)</f>
        <v>#N/A</v>
      </c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</row>
    <row r="574" spans="1:25" x14ac:dyDescent="0.35">
      <c r="A574" s="19"/>
      <c r="B574" s="19"/>
      <c r="C574" s="19"/>
      <c r="D574" s="19"/>
      <c r="E574" s="19"/>
      <c r="F574" s="19"/>
      <c r="G574" s="19"/>
      <c r="H574" s="19"/>
      <c r="I574" s="19"/>
      <c r="J574" s="10" t="s">
        <v>12</v>
      </c>
      <c r="K574" s="10" t="s">
        <v>12</v>
      </c>
      <c r="L574" s="10" t="s">
        <v>12</v>
      </c>
      <c r="M574" s="10" t="s">
        <v>12</v>
      </c>
      <c r="N574" s="12" t="e">
        <f>VLOOKUP(J574,'Site Allocation'!$B$2:$C$37,2,FALSE)</f>
        <v>#N/A</v>
      </c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</row>
    <row r="575" spans="1:25" x14ac:dyDescent="0.35">
      <c r="A575" s="19"/>
      <c r="B575" s="19"/>
      <c r="C575" s="19"/>
      <c r="D575" s="19"/>
      <c r="E575" s="19"/>
      <c r="F575" s="19"/>
      <c r="G575" s="19"/>
      <c r="H575" s="19"/>
      <c r="I575" s="19"/>
      <c r="J575" s="10" t="s">
        <v>12</v>
      </c>
      <c r="K575" s="10" t="s">
        <v>12</v>
      </c>
      <c r="L575" s="10" t="s">
        <v>12</v>
      </c>
      <c r="M575" s="10" t="s">
        <v>12</v>
      </c>
      <c r="N575" s="12" t="e">
        <f>VLOOKUP(J575,'Site Allocation'!$B$2:$C$37,2,FALSE)</f>
        <v>#N/A</v>
      </c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</row>
    <row r="576" spans="1:25" x14ac:dyDescent="0.35">
      <c r="A576" s="19"/>
      <c r="B576" s="19"/>
      <c r="C576" s="19"/>
      <c r="D576" s="19"/>
      <c r="E576" s="19"/>
      <c r="F576" s="19"/>
      <c r="G576" s="19"/>
      <c r="H576" s="19"/>
      <c r="I576" s="19"/>
      <c r="J576" s="10" t="s">
        <v>12</v>
      </c>
      <c r="K576" s="10" t="s">
        <v>12</v>
      </c>
      <c r="L576" s="10" t="s">
        <v>12</v>
      </c>
      <c r="M576" s="10" t="s">
        <v>12</v>
      </c>
      <c r="N576" s="12" t="e">
        <f>VLOOKUP(J576,'Site Allocation'!$B$2:$C$37,2,FALSE)</f>
        <v>#N/A</v>
      </c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</row>
    <row r="577" spans="1:25" x14ac:dyDescent="0.35">
      <c r="A577" s="19"/>
      <c r="B577" s="19"/>
      <c r="C577" s="19"/>
      <c r="D577" s="19"/>
      <c r="E577" s="19"/>
      <c r="F577" s="19"/>
      <c r="G577" s="19"/>
      <c r="H577" s="19"/>
      <c r="I577" s="19"/>
      <c r="J577" s="10" t="s">
        <v>12</v>
      </c>
      <c r="K577" s="10" t="s">
        <v>12</v>
      </c>
      <c r="L577" s="10" t="s">
        <v>12</v>
      </c>
      <c r="M577" s="10" t="s">
        <v>12</v>
      </c>
      <c r="N577" s="12" t="e">
        <f>VLOOKUP(J577,'Site Allocation'!$B$2:$C$37,2,FALSE)</f>
        <v>#N/A</v>
      </c>
      <c r="O577" s="19"/>
      <c r="P577" s="19"/>
      <c r="Q577" s="19"/>
      <c r="R577" s="19"/>
      <c r="S577" s="19"/>
      <c r="T577" s="19"/>
      <c r="U577" s="19"/>
      <c r="V577" s="19"/>
      <c r="W577" s="19"/>
      <c r="X577" s="19"/>
      <c r="Y577" s="19"/>
    </row>
    <row r="578" spans="1:25" x14ac:dyDescent="0.35">
      <c r="A578" s="19"/>
      <c r="B578" s="19"/>
      <c r="C578" s="19"/>
      <c r="D578" s="19"/>
      <c r="E578" s="19"/>
      <c r="F578" s="19"/>
      <c r="G578" s="19"/>
      <c r="H578" s="19"/>
      <c r="I578" s="19"/>
      <c r="J578" s="10" t="s">
        <v>12</v>
      </c>
      <c r="K578" s="10" t="s">
        <v>12</v>
      </c>
      <c r="L578" s="10" t="s">
        <v>12</v>
      </c>
      <c r="M578" s="10" t="s">
        <v>12</v>
      </c>
      <c r="N578" s="12" t="e">
        <f>VLOOKUP(J578,'Site Allocation'!$B$2:$C$37,2,FALSE)</f>
        <v>#N/A</v>
      </c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</row>
    <row r="579" spans="1:25" x14ac:dyDescent="0.35">
      <c r="A579" s="19"/>
      <c r="B579" s="19"/>
      <c r="C579" s="19"/>
      <c r="D579" s="19"/>
      <c r="E579" s="19"/>
      <c r="F579" s="19"/>
      <c r="G579" s="19"/>
      <c r="H579" s="19"/>
      <c r="I579" s="19"/>
      <c r="J579" s="10" t="s">
        <v>12</v>
      </c>
      <c r="K579" s="10" t="s">
        <v>12</v>
      </c>
      <c r="L579" s="10" t="s">
        <v>12</v>
      </c>
      <c r="M579" s="10" t="s">
        <v>12</v>
      </c>
      <c r="N579" s="12" t="e">
        <f>VLOOKUP(J579,'Site Allocation'!$B$2:$C$37,2,FALSE)</f>
        <v>#N/A</v>
      </c>
      <c r="O579" s="19"/>
      <c r="P579" s="19"/>
      <c r="Q579" s="19"/>
      <c r="R579" s="19"/>
      <c r="S579" s="19"/>
      <c r="T579" s="19"/>
      <c r="U579" s="19"/>
      <c r="V579" s="19"/>
      <c r="W579" s="19"/>
      <c r="X579" s="19"/>
      <c r="Y579" s="19"/>
    </row>
    <row r="580" spans="1:25" x14ac:dyDescent="0.35">
      <c r="A580" s="19"/>
      <c r="B580" s="19"/>
      <c r="C580" s="19"/>
      <c r="D580" s="19"/>
      <c r="E580" s="19"/>
      <c r="F580" s="19"/>
      <c r="G580" s="19"/>
      <c r="H580" s="19"/>
      <c r="I580" s="19"/>
      <c r="J580" s="10" t="s">
        <v>12</v>
      </c>
      <c r="K580" s="10" t="s">
        <v>12</v>
      </c>
      <c r="L580" s="10" t="s">
        <v>12</v>
      </c>
      <c r="M580" s="10" t="s">
        <v>12</v>
      </c>
      <c r="N580" s="12" t="e">
        <f>VLOOKUP(J580,'Site Allocation'!$B$2:$C$37,2,FALSE)</f>
        <v>#N/A</v>
      </c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</row>
    <row r="581" spans="1:25" x14ac:dyDescent="0.35">
      <c r="A581" s="19"/>
      <c r="B581" s="19"/>
      <c r="C581" s="19"/>
      <c r="D581" s="19"/>
      <c r="E581" s="19"/>
      <c r="F581" s="19"/>
      <c r="G581" s="19"/>
      <c r="H581" s="19"/>
      <c r="I581" s="19"/>
      <c r="J581" s="10" t="s">
        <v>12</v>
      </c>
      <c r="K581" s="10" t="s">
        <v>12</v>
      </c>
      <c r="L581" s="10" t="s">
        <v>12</v>
      </c>
      <c r="M581" s="10" t="s">
        <v>12</v>
      </c>
      <c r="N581" s="12" t="e">
        <f>VLOOKUP(J581,'Site Allocation'!$B$2:$C$37,2,FALSE)</f>
        <v>#N/A</v>
      </c>
      <c r="O581" s="19"/>
      <c r="P581" s="19"/>
      <c r="Q581" s="19"/>
      <c r="R581" s="19"/>
      <c r="S581" s="19"/>
      <c r="T581" s="19"/>
      <c r="U581" s="19"/>
      <c r="V581" s="19"/>
      <c r="W581" s="19"/>
      <c r="X581" s="19"/>
      <c r="Y581" s="19"/>
    </row>
    <row r="582" spans="1:25" x14ac:dyDescent="0.35">
      <c r="A582" s="19"/>
      <c r="B582" s="19"/>
      <c r="C582" s="19"/>
      <c r="D582" s="19"/>
      <c r="E582" s="19"/>
      <c r="F582" s="19"/>
      <c r="G582" s="19"/>
      <c r="H582" s="19"/>
      <c r="I582" s="19"/>
      <c r="J582" s="10" t="s">
        <v>12</v>
      </c>
      <c r="K582" s="10" t="s">
        <v>12</v>
      </c>
      <c r="L582" s="10" t="s">
        <v>12</v>
      </c>
      <c r="M582" s="10" t="s">
        <v>12</v>
      </c>
      <c r="N582" s="12" t="e">
        <f>VLOOKUP(J582,'Site Allocation'!$B$2:$C$37,2,FALSE)</f>
        <v>#N/A</v>
      </c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</row>
    <row r="583" spans="1:25" x14ac:dyDescent="0.35">
      <c r="A583" s="19"/>
      <c r="B583" s="19"/>
      <c r="C583" s="19"/>
      <c r="D583" s="19"/>
      <c r="E583" s="19"/>
      <c r="F583" s="19"/>
      <c r="G583" s="19"/>
      <c r="H583" s="19"/>
      <c r="I583" s="19"/>
      <c r="J583" s="10" t="s">
        <v>12</v>
      </c>
      <c r="K583" s="10" t="s">
        <v>12</v>
      </c>
      <c r="L583" s="10" t="s">
        <v>12</v>
      </c>
      <c r="M583" s="10" t="s">
        <v>12</v>
      </c>
      <c r="N583" s="12" t="e">
        <f>VLOOKUP(J583,'Site Allocation'!$B$2:$C$37,2,FALSE)</f>
        <v>#N/A</v>
      </c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</row>
    <row r="584" spans="1:25" x14ac:dyDescent="0.35">
      <c r="A584" s="19"/>
      <c r="B584" s="19"/>
      <c r="C584" s="19"/>
      <c r="D584" s="19"/>
      <c r="E584" s="19"/>
      <c r="F584" s="19"/>
      <c r="G584" s="19"/>
      <c r="H584" s="19"/>
      <c r="I584" s="19"/>
      <c r="J584" s="10" t="s">
        <v>12</v>
      </c>
      <c r="K584" s="10" t="s">
        <v>12</v>
      </c>
      <c r="L584" s="10" t="s">
        <v>12</v>
      </c>
      <c r="M584" s="10" t="s">
        <v>12</v>
      </c>
      <c r="N584" s="12" t="e">
        <f>VLOOKUP(J584,'Site Allocation'!$B$2:$C$37,2,FALSE)</f>
        <v>#N/A</v>
      </c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</row>
    <row r="585" spans="1:25" x14ac:dyDescent="0.35">
      <c r="A585" s="19"/>
      <c r="B585" s="19"/>
      <c r="C585" s="19"/>
      <c r="D585" s="19"/>
      <c r="E585" s="19"/>
      <c r="F585" s="19"/>
      <c r="G585" s="19"/>
      <c r="H585" s="19"/>
      <c r="I585" s="19"/>
      <c r="J585" s="10" t="s">
        <v>12</v>
      </c>
      <c r="K585" s="10" t="s">
        <v>12</v>
      </c>
      <c r="L585" s="10" t="s">
        <v>12</v>
      </c>
      <c r="M585" s="10" t="s">
        <v>12</v>
      </c>
      <c r="N585" s="12" t="e">
        <f>VLOOKUP(J585,'Site Allocation'!$B$2:$C$37,2,FALSE)</f>
        <v>#N/A</v>
      </c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</row>
    <row r="586" spans="1:25" x14ac:dyDescent="0.35">
      <c r="A586" s="19"/>
      <c r="B586" s="19"/>
      <c r="C586" s="19"/>
      <c r="D586" s="19"/>
      <c r="E586" s="19"/>
      <c r="F586" s="19"/>
      <c r="G586" s="19"/>
      <c r="H586" s="19"/>
      <c r="I586" s="19"/>
      <c r="J586" s="10" t="s">
        <v>12</v>
      </c>
      <c r="K586" s="10" t="s">
        <v>12</v>
      </c>
      <c r="L586" s="10" t="s">
        <v>12</v>
      </c>
      <c r="M586" s="10" t="s">
        <v>12</v>
      </c>
      <c r="N586" s="12" t="e">
        <f>VLOOKUP(J586,'Site Allocation'!$B$2:$C$37,2,FALSE)</f>
        <v>#N/A</v>
      </c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</row>
    <row r="587" spans="1:25" x14ac:dyDescent="0.35">
      <c r="A587" s="19"/>
      <c r="B587" s="19"/>
      <c r="C587" s="19"/>
      <c r="D587" s="19"/>
      <c r="E587" s="19"/>
      <c r="F587" s="19"/>
      <c r="G587" s="19"/>
      <c r="H587" s="19"/>
      <c r="I587" s="19"/>
      <c r="J587" s="10" t="s">
        <v>12</v>
      </c>
      <c r="K587" s="10" t="s">
        <v>12</v>
      </c>
      <c r="L587" s="10" t="s">
        <v>12</v>
      </c>
      <c r="M587" s="10" t="s">
        <v>12</v>
      </c>
      <c r="N587" s="12" t="e">
        <f>VLOOKUP(J587,'Site Allocation'!$B$2:$C$37,2,FALSE)</f>
        <v>#N/A</v>
      </c>
      <c r="O587" s="19"/>
      <c r="P587" s="19"/>
      <c r="Q587" s="19"/>
      <c r="R587" s="19"/>
      <c r="S587" s="19"/>
      <c r="T587" s="19"/>
      <c r="U587" s="19"/>
      <c r="V587" s="19"/>
      <c r="W587" s="19"/>
      <c r="X587" s="19"/>
      <c r="Y587" s="19"/>
    </row>
    <row r="588" spans="1:25" x14ac:dyDescent="0.35">
      <c r="A588" s="19"/>
      <c r="B588" s="19"/>
      <c r="C588" s="19"/>
      <c r="D588" s="19"/>
      <c r="E588" s="19"/>
      <c r="F588" s="19"/>
      <c r="G588" s="19"/>
      <c r="H588" s="19"/>
      <c r="I588" s="19"/>
      <c r="J588" s="10" t="s">
        <v>12</v>
      </c>
      <c r="K588" s="10" t="s">
        <v>12</v>
      </c>
      <c r="L588" s="10" t="s">
        <v>12</v>
      </c>
      <c r="M588" s="10" t="s">
        <v>12</v>
      </c>
      <c r="N588" s="12" t="e">
        <f>VLOOKUP(J588,'Site Allocation'!$B$2:$C$37,2,FALSE)</f>
        <v>#N/A</v>
      </c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</row>
    <row r="589" spans="1:25" x14ac:dyDescent="0.35">
      <c r="A589" s="19"/>
      <c r="B589" s="19"/>
      <c r="C589" s="19"/>
      <c r="D589" s="19"/>
      <c r="E589" s="19"/>
      <c r="F589" s="19"/>
      <c r="G589" s="19"/>
      <c r="H589" s="19"/>
      <c r="I589" s="19"/>
      <c r="J589" s="10" t="s">
        <v>12</v>
      </c>
      <c r="K589" s="10" t="s">
        <v>12</v>
      </c>
      <c r="L589" s="10" t="s">
        <v>12</v>
      </c>
      <c r="M589" s="10" t="s">
        <v>12</v>
      </c>
      <c r="N589" s="12" t="e">
        <f>VLOOKUP(J589,'Site Allocation'!$B$2:$C$37,2,FALSE)</f>
        <v>#N/A</v>
      </c>
      <c r="O589" s="19"/>
      <c r="P589" s="19"/>
      <c r="Q589" s="19"/>
      <c r="R589" s="19"/>
      <c r="S589" s="19"/>
      <c r="T589" s="19"/>
      <c r="U589" s="19"/>
      <c r="V589" s="19"/>
      <c r="W589" s="19"/>
      <c r="X589" s="19"/>
      <c r="Y589" s="19"/>
    </row>
    <row r="590" spans="1:25" x14ac:dyDescent="0.35">
      <c r="A590" s="19"/>
      <c r="B590" s="19"/>
      <c r="C590" s="19"/>
      <c r="D590" s="19"/>
      <c r="E590" s="19"/>
      <c r="F590" s="19"/>
      <c r="G590" s="19"/>
      <c r="H590" s="19"/>
      <c r="I590" s="19"/>
      <c r="J590" s="10" t="s">
        <v>12</v>
      </c>
      <c r="K590" s="10" t="s">
        <v>12</v>
      </c>
      <c r="L590" s="10" t="s">
        <v>12</v>
      </c>
      <c r="M590" s="10" t="s">
        <v>12</v>
      </c>
      <c r="N590" s="12" t="e">
        <f>VLOOKUP(J590,'Site Allocation'!$B$2:$C$37,2,FALSE)</f>
        <v>#N/A</v>
      </c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</row>
    <row r="591" spans="1:25" x14ac:dyDescent="0.35">
      <c r="A591" s="19"/>
      <c r="B591" s="19"/>
      <c r="C591" s="19"/>
      <c r="D591" s="19"/>
      <c r="E591" s="19"/>
      <c r="F591" s="19"/>
      <c r="G591" s="19"/>
      <c r="H591" s="19"/>
      <c r="I591" s="19"/>
      <c r="J591" s="10" t="s">
        <v>12</v>
      </c>
      <c r="K591" s="10" t="s">
        <v>12</v>
      </c>
      <c r="L591" s="10" t="s">
        <v>12</v>
      </c>
      <c r="M591" s="10" t="s">
        <v>12</v>
      </c>
      <c r="N591" s="12" t="e">
        <f>VLOOKUP(J591,'Site Allocation'!$B$2:$C$37,2,FALSE)</f>
        <v>#N/A</v>
      </c>
      <c r="O591" s="19"/>
      <c r="P591" s="19"/>
      <c r="Q591" s="19"/>
      <c r="R591" s="19"/>
      <c r="S591" s="19"/>
      <c r="T591" s="19"/>
      <c r="U591" s="19"/>
      <c r="V591" s="19"/>
      <c r="W591" s="19"/>
      <c r="X591" s="19"/>
      <c r="Y591" s="19"/>
    </row>
    <row r="592" spans="1:25" x14ac:dyDescent="0.35">
      <c r="A592" s="19"/>
      <c r="B592" s="19"/>
      <c r="C592" s="19"/>
      <c r="D592" s="19"/>
      <c r="E592" s="19"/>
      <c r="F592" s="19"/>
      <c r="G592" s="19"/>
      <c r="H592" s="19"/>
      <c r="I592" s="19"/>
      <c r="J592" s="10" t="s">
        <v>12</v>
      </c>
      <c r="K592" s="10" t="s">
        <v>12</v>
      </c>
      <c r="L592" s="10" t="s">
        <v>12</v>
      </c>
      <c r="M592" s="10" t="s">
        <v>12</v>
      </c>
      <c r="N592" s="12" t="e">
        <f>VLOOKUP(J592,'Site Allocation'!$B$2:$C$37,2,FALSE)</f>
        <v>#N/A</v>
      </c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</row>
    <row r="593" spans="1:25" x14ac:dyDescent="0.35">
      <c r="A593" s="19"/>
      <c r="B593" s="19"/>
      <c r="C593" s="19"/>
      <c r="D593" s="19"/>
      <c r="E593" s="19"/>
      <c r="F593" s="19"/>
      <c r="G593" s="19"/>
      <c r="H593" s="19"/>
      <c r="I593" s="19"/>
      <c r="J593" s="10" t="s">
        <v>12</v>
      </c>
      <c r="K593" s="10" t="s">
        <v>12</v>
      </c>
      <c r="L593" s="10" t="s">
        <v>12</v>
      </c>
      <c r="M593" s="10" t="s">
        <v>12</v>
      </c>
      <c r="N593" s="12" t="e">
        <f>VLOOKUP(J593,'Site Allocation'!$B$2:$C$37,2,FALSE)</f>
        <v>#N/A</v>
      </c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</row>
    <row r="594" spans="1:25" x14ac:dyDescent="0.35">
      <c r="A594" s="19"/>
      <c r="B594" s="19"/>
      <c r="C594" s="19"/>
      <c r="D594" s="19"/>
      <c r="E594" s="19"/>
      <c r="F594" s="19"/>
      <c r="G594" s="19"/>
      <c r="H594" s="19"/>
      <c r="I594" s="19"/>
      <c r="J594" s="10" t="s">
        <v>12</v>
      </c>
      <c r="K594" s="10" t="s">
        <v>12</v>
      </c>
      <c r="L594" s="10" t="s">
        <v>12</v>
      </c>
      <c r="M594" s="10" t="s">
        <v>12</v>
      </c>
      <c r="N594" s="12" t="e">
        <f>VLOOKUP(J594,'Site Allocation'!$B$2:$C$37,2,FALSE)</f>
        <v>#N/A</v>
      </c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</row>
    <row r="595" spans="1:25" x14ac:dyDescent="0.35">
      <c r="A595" s="19"/>
      <c r="B595" s="19"/>
      <c r="C595" s="19"/>
      <c r="D595" s="19"/>
      <c r="E595" s="19"/>
      <c r="F595" s="19"/>
      <c r="G595" s="19"/>
      <c r="H595" s="19"/>
      <c r="I595" s="19"/>
      <c r="J595" s="10" t="s">
        <v>12</v>
      </c>
      <c r="K595" s="10" t="s">
        <v>12</v>
      </c>
      <c r="L595" s="10" t="s">
        <v>12</v>
      </c>
      <c r="M595" s="10" t="s">
        <v>12</v>
      </c>
      <c r="N595" s="12" t="e">
        <f>VLOOKUP(J595,'Site Allocation'!$B$2:$C$37,2,FALSE)</f>
        <v>#N/A</v>
      </c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</row>
    <row r="596" spans="1:25" x14ac:dyDescent="0.35">
      <c r="A596" s="19"/>
      <c r="B596" s="19"/>
      <c r="C596" s="19"/>
      <c r="D596" s="19"/>
      <c r="E596" s="19"/>
      <c r="F596" s="19"/>
      <c r="G596" s="19"/>
      <c r="H596" s="19"/>
      <c r="I596" s="19"/>
      <c r="J596" s="10" t="s">
        <v>12</v>
      </c>
      <c r="K596" s="10" t="s">
        <v>12</v>
      </c>
      <c r="L596" s="10" t="s">
        <v>12</v>
      </c>
      <c r="M596" s="10" t="s">
        <v>12</v>
      </c>
      <c r="N596" s="12" t="e">
        <f>VLOOKUP(J596,'Site Allocation'!$B$2:$C$37,2,FALSE)</f>
        <v>#N/A</v>
      </c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</row>
    <row r="597" spans="1:25" x14ac:dyDescent="0.35">
      <c r="A597" s="19"/>
      <c r="B597" s="19"/>
      <c r="C597" s="19"/>
      <c r="D597" s="19"/>
      <c r="E597" s="19"/>
      <c r="F597" s="19"/>
      <c r="G597" s="19"/>
      <c r="H597" s="19"/>
      <c r="I597" s="19"/>
      <c r="J597" s="10" t="s">
        <v>12</v>
      </c>
      <c r="K597" s="10" t="s">
        <v>12</v>
      </c>
      <c r="L597" s="10" t="s">
        <v>12</v>
      </c>
      <c r="M597" s="10" t="s">
        <v>12</v>
      </c>
      <c r="N597" s="12" t="e">
        <f>VLOOKUP(J597,'Site Allocation'!$B$2:$C$37,2,FALSE)</f>
        <v>#N/A</v>
      </c>
      <c r="O597" s="19"/>
      <c r="P597" s="19"/>
      <c r="Q597" s="19"/>
      <c r="R597" s="19"/>
      <c r="S597" s="19"/>
      <c r="T597" s="19"/>
      <c r="U597" s="19"/>
      <c r="V597" s="19"/>
      <c r="W597" s="19"/>
      <c r="X597" s="19"/>
      <c r="Y597" s="19"/>
    </row>
    <row r="598" spans="1:25" x14ac:dyDescent="0.35">
      <c r="A598" s="19"/>
      <c r="B598" s="19"/>
      <c r="C598" s="19"/>
      <c r="D598" s="19"/>
      <c r="E598" s="19"/>
      <c r="F598" s="19"/>
      <c r="G598" s="19"/>
      <c r="H598" s="19"/>
      <c r="I598" s="19"/>
      <c r="J598" s="10" t="s">
        <v>12</v>
      </c>
      <c r="K598" s="10" t="s">
        <v>12</v>
      </c>
      <c r="L598" s="10" t="s">
        <v>12</v>
      </c>
      <c r="M598" s="10" t="s">
        <v>12</v>
      </c>
      <c r="N598" s="12" t="e">
        <f>VLOOKUP(J598,'Site Allocation'!$B$2:$C$37,2,FALSE)</f>
        <v>#N/A</v>
      </c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</row>
    <row r="599" spans="1:25" x14ac:dyDescent="0.35">
      <c r="A599" s="19"/>
      <c r="B599" s="19"/>
      <c r="C599" s="19"/>
      <c r="D599" s="19"/>
      <c r="E599" s="19"/>
      <c r="F599" s="19"/>
      <c r="G599" s="19"/>
      <c r="H599" s="19"/>
      <c r="I599" s="19"/>
      <c r="J599" s="10" t="s">
        <v>12</v>
      </c>
      <c r="K599" s="10" t="s">
        <v>12</v>
      </c>
      <c r="L599" s="10" t="s">
        <v>12</v>
      </c>
      <c r="M599" s="10" t="s">
        <v>12</v>
      </c>
      <c r="N599" s="12" t="e">
        <f>VLOOKUP(J599,'Site Allocation'!$B$2:$C$37,2,FALSE)</f>
        <v>#N/A</v>
      </c>
      <c r="O599" s="19"/>
      <c r="P599" s="19"/>
      <c r="Q599" s="19"/>
      <c r="R599" s="19"/>
      <c r="S599" s="19"/>
      <c r="T599" s="19"/>
      <c r="U599" s="19"/>
      <c r="V599" s="19"/>
      <c r="W599" s="19"/>
      <c r="X599" s="19"/>
      <c r="Y599" s="19"/>
    </row>
    <row r="600" spans="1:25" x14ac:dyDescent="0.35">
      <c r="A600" s="19"/>
      <c r="B600" s="19"/>
      <c r="C600" s="19"/>
      <c r="D600" s="19"/>
      <c r="E600" s="19"/>
      <c r="F600" s="19"/>
      <c r="G600" s="19"/>
      <c r="H600" s="19"/>
      <c r="I600" s="19"/>
      <c r="J600" s="10" t="s">
        <v>12</v>
      </c>
      <c r="K600" s="10" t="s">
        <v>12</v>
      </c>
      <c r="L600" s="10" t="s">
        <v>12</v>
      </c>
      <c r="M600" s="10" t="s">
        <v>12</v>
      </c>
      <c r="N600" s="12" t="e">
        <f>VLOOKUP(J600,'Site Allocation'!$B$2:$C$37,2,FALSE)</f>
        <v>#N/A</v>
      </c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</row>
    <row r="601" spans="1:25" x14ac:dyDescent="0.35">
      <c r="A601" s="19"/>
      <c r="B601" s="19"/>
      <c r="C601" s="19"/>
      <c r="D601" s="19"/>
      <c r="E601" s="19"/>
      <c r="F601" s="19"/>
      <c r="G601" s="19"/>
      <c r="H601" s="19"/>
      <c r="I601" s="19"/>
      <c r="J601" s="10" t="s">
        <v>12</v>
      </c>
      <c r="K601" s="10" t="s">
        <v>12</v>
      </c>
      <c r="L601" s="10" t="s">
        <v>12</v>
      </c>
      <c r="M601" s="10" t="s">
        <v>12</v>
      </c>
      <c r="N601" s="12" t="e">
        <f>VLOOKUP(J601,'Site Allocation'!$B$2:$C$37,2,FALSE)</f>
        <v>#N/A</v>
      </c>
      <c r="O601" s="19"/>
      <c r="P601" s="19"/>
      <c r="Q601" s="19"/>
      <c r="R601" s="19"/>
      <c r="S601" s="19"/>
      <c r="T601" s="19"/>
      <c r="U601" s="19"/>
      <c r="V601" s="19"/>
      <c r="W601" s="19"/>
      <c r="X601" s="19"/>
      <c r="Y601" s="19"/>
    </row>
    <row r="602" spans="1:25" x14ac:dyDescent="0.35">
      <c r="A602" s="19"/>
      <c r="B602" s="19"/>
      <c r="C602" s="19"/>
      <c r="D602" s="19"/>
      <c r="E602" s="19"/>
      <c r="F602" s="19"/>
      <c r="G602" s="19"/>
      <c r="H602" s="19"/>
      <c r="I602" s="19"/>
      <c r="J602" s="10" t="s">
        <v>12</v>
      </c>
      <c r="K602" s="10" t="s">
        <v>12</v>
      </c>
      <c r="L602" s="10" t="s">
        <v>12</v>
      </c>
      <c r="M602" s="10" t="s">
        <v>12</v>
      </c>
      <c r="N602" s="12" t="e">
        <f>VLOOKUP(J602,'Site Allocation'!$B$2:$C$37,2,FALSE)</f>
        <v>#N/A</v>
      </c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</row>
    <row r="603" spans="1:25" x14ac:dyDescent="0.35">
      <c r="A603" s="19"/>
      <c r="B603" s="19"/>
      <c r="C603" s="19"/>
      <c r="D603" s="19"/>
      <c r="E603" s="19"/>
      <c r="F603" s="19"/>
      <c r="G603" s="19"/>
      <c r="H603" s="19"/>
      <c r="I603" s="19"/>
      <c r="J603" s="10" t="s">
        <v>12</v>
      </c>
      <c r="K603" s="10" t="s">
        <v>12</v>
      </c>
      <c r="L603" s="10" t="s">
        <v>12</v>
      </c>
      <c r="M603" s="10" t="s">
        <v>12</v>
      </c>
      <c r="N603" s="12" t="e">
        <f>VLOOKUP(J603,'Site Allocation'!$B$2:$C$37,2,FALSE)</f>
        <v>#N/A</v>
      </c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</row>
    <row r="604" spans="1:25" x14ac:dyDescent="0.35">
      <c r="A604" s="19"/>
      <c r="B604" s="19"/>
      <c r="C604" s="19"/>
      <c r="D604" s="19"/>
      <c r="E604" s="19"/>
      <c r="F604" s="19"/>
      <c r="G604" s="19"/>
      <c r="H604" s="19"/>
      <c r="I604" s="19"/>
      <c r="J604" s="10" t="s">
        <v>12</v>
      </c>
      <c r="K604" s="10" t="s">
        <v>12</v>
      </c>
      <c r="L604" s="10" t="s">
        <v>12</v>
      </c>
      <c r="M604" s="10" t="s">
        <v>12</v>
      </c>
      <c r="N604" s="12" t="e">
        <f>VLOOKUP(J604,'Site Allocation'!$B$2:$C$37,2,FALSE)</f>
        <v>#N/A</v>
      </c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</row>
    <row r="605" spans="1:25" x14ac:dyDescent="0.35">
      <c r="A605" s="19"/>
      <c r="B605" s="19"/>
      <c r="C605" s="19"/>
      <c r="D605" s="19"/>
      <c r="E605" s="19"/>
      <c r="F605" s="19"/>
      <c r="G605" s="19"/>
      <c r="H605" s="19"/>
      <c r="I605" s="19"/>
      <c r="J605" s="10" t="s">
        <v>12</v>
      </c>
      <c r="K605" s="10" t="s">
        <v>12</v>
      </c>
      <c r="L605" s="10" t="s">
        <v>12</v>
      </c>
      <c r="M605" s="10" t="s">
        <v>12</v>
      </c>
      <c r="N605" s="12" t="e">
        <f>VLOOKUP(J605,'Site Allocation'!$B$2:$C$37,2,FALSE)</f>
        <v>#N/A</v>
      </c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</row>
    <row r="606" spans="1:25" x14ac:dyDescent="0.35">
      <c r="A606" s="19"/>
      <c r="B606" s="19"/>
      <c r="C606" s="19"/>
      <c r="D606" s="19"/>
      <c r="E606" s="19"/>
      <c r="F606" s="19"/>
      <c r="G606" s="19"/>
      <c r="H606" s="19"/>
      <c r="I606" s="19"/>
      <c r="J606" s="10" t="s">
        <v>12</v>
      </c>
      <c r="K606" s="10" t="s">
        <v>12</v>
      </c>
      <c r="L606" s="10" t="s">
        <v>12</v>
      </c>
      <c r="M606" s="10" t="s">
        <v>12</v>
      </c>
      <c r="N606" s="12" t="e">
        <f>VLOOKUP(J606,'Site Allocation'!$B$2:$C$37,2,FALSE)</f>
        <v>#N/A</v>
      </c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</row>
    <row r="607" spans="1:25" x14ac:dyDescent="0.35">
      <c r="A607" s="19"/>
      <c r="B607" s="19"/>
      <c r="C607" s="19"/>
      <c r="D607" s="19"/>
      <c r="E607" s="19"/>
      <c r="F607" s="19"/>
      <c r="G607" s="19"/>
      <c r="H607" s="19"/>
      <c r="I607" s="19"/>
      <c r="J607" s="10" t="s">
        <v>12</v>
      </c>
      <c r="K607" s="10" t="s">
        <v>12</v>
      </c>
      <c r="L607" s="10" t="s">
        <v>12</v>
      </c>
      <c r="M607" s="10" t="s">
        <v>12</v>
      </c>
      <c r="N607" s="12" t="e">
        <f>VLOOKUP(J607,'Site Allocation'!$B$2:$C$37,2,FALSE)</f>
        <v>#N/A</v>
      </c>
      <c r="O607" s="19"/>
      <c r="P607" s="19"/>
      <c r="Q607" s="19"/>
      <c r="R607" s="19"/>
      <c r="S607" s="19"/>
      <c r="T607" s="19"/>
      <c r="U607" s="19"/>
      <c r="V607" s="19"/>
      <c r="W607" s="19"/>
      <c r="X607" s="19"/>
      <c r="Y607" s="19"/>
    </row>
    <row r="608" spans="1:25" x14ac:dyDescent="0.35">
      <c r="A608" s="19"/>
      <c r="B608" s="19"/>
      <c r="C608" s="19"/>
      <c r="D608" s="19"/>
      <c r="E608" s="19"/>
      <c r="F608" s="19"/>
      <c r="G608" s="19"/>
      <c r="H608" s="19"/>
      <c r="I608" s="19"/>
      <c r="J608" s="10" t="s">
        <v>12</v>
      </c>
      <c r="K608" s="10" t="s">
        <v>12</v>
      </c>
      <c r="L608" s="10" t="s">
        <v>12</v>
      </c>
      <c r="M608" s="10" t="s">
        <v>12</v>
      </c>
      <c r="N608" s="12" t="e">
        <f>VLOOKUP(J608,'Site Allocation'!$B$2:$C$37,2,FALSE)</f>
        <v>#N/A</v>
      </c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</row>
    <row r="609" spans="1:25" x14ac:dyDescent="0.35">
      <c r="A609" s="19"/>
      <c r="B609" s="19"/>
      <c r="C609" s="19"/>
      <c r="D609" s="19"/>
      <c r="E609" s="19"/>
      <c r="F609" s="19"/>
      <c r="G609" s="19"/>
      <c r="H609" s="19"/>
      <c r="I609" s="19"/>
      <c r="J609" s="10" t="s">
        <v>12</v>
      </c>
      <c r="K609" s="10" t="s">
        <v>12</v>
      </c>
      <c r="L609" s="10" t="s">
        <v>12</v>
      </c>
      <c r="M609" s="10" t="s">
        <v>12</v>
      </c>
      <c r="N609" s="12" t="e">
        <f>VLOOKUP(J609,'Site Allocation'!$B$2:$C$37,2,FALSE)</f>
        <v>#N/A</v>
      </c>
      <c r="O609" s="19"/>
      <c r="P609" s="19"/>
      <c r="Q609" s="19"/>
      <c r="R609" s="19"/>
      <c r="S609" s="19"/>
      <c r="T609" s="19"/>
      <c r="U609" s="19"/>
      <c r="V609" s="19"/>
      <c r="W609" s="19"/>
      <c r="X609" s="19"/>
      <c r="Y609" s="19"/>
    </row>
    <row r="610" spans="1:25" x14ac:dyDescent="0.35">
      <c r="A610" s="19"/>
      <c r="B610" s="19"/>
      <c r="C610" s="19"/>
      <c r="D610" s="19"/>
      <c r="E610" s="19"/>
      <c r="F610" s="19"/>
      <c r="G610" s="19"/>
      <c r="H610" s="19"/>
      <c r="I610" s="19"/>
      <c r="J610" s="10" t="s">
        <v>12</v>
      </c>
      <c r="K610" s="10" t="s">
        <v>12</v>
      </c>
      <c r="L610" s="10" t="s">
        <v>12</v>
      </c>
      <c r="M610" s="10" t="s">
        <v>12</v>
      </c>
      <c r="N610" s="12" t="e">
        <f>VLOOKUP(J610,'Site Allocation'!$B$2:$C$37,2,FALSE)</f>
        <v>#N/A</v>
      </c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</row>
    <row r="611" spans="1:25" x14ac:dyDescent="0.35">
      <c r="A611" s="19"/>
      <c r="B611" s="19"/>
      <c r="C611" s="19"/>
      <c r="D611" s="19"/>
      <c r="E611" s="19"/>
      <c r="F611" s="19"/>
      <c r="G611" s="19"/>
      <c r="H611" s="19"/>
      <c r="I611" s="19"/>
      <c r="J611" s="10" t="s">
        <v>12</v>
      </c>
      <c r="K611" s="10" t="s">
        <v>12</v>
      </c>
      <c r="L611" s="10" t="s">
        <v>12</v>
      </c>
      <c r="M611" s="10" t="s">
        <v>12</v>
      </c>
      <c r="N611" s="12" t="e">
        <f>VLOOKUP(J611,'Site Allocation'!$B$2:$C$37,2,FALSE)</f>
        <v>#N/A</v>
      </c>
      <c r="O611" s="19"/>
      <c r="P611" s="19"/>
      <c r="Q611" s="19"/>
      <c r="R611" s="19"/>
      <c r="S611" s="19"/>
      <c r="T611" s="19"/>
      <c r="U611" s="19"/>
      <c r="V611" s="19"/>
      <c r="W611" s="19"/>
      <c r="X611" s="19"/>
      <c r="Y611" s="19"/>
    </row>
    <row r="612" spans="1:25" x14ac:dyDescent="0.35">
      <c r="A612" s="19"/>
      <c r="B612" s="19"/>
      <c r="C612" s="19"/>
      <c r="D612" s="19"/>
      <c r="E612" s="19"/>
      <c r="F612" s="19"/>
      <c r="G612" s="19"/>
      <c r="H612" s="19"/>
      <c r="I612" s="19"/>
      <c r="J612" s="10" t="s">
        <v>12</v>
      </c>
      <c r="K612" s="10" t="s">
        <v>12</v>
      </c>
      <c r="L612" s="10" t="s">
        <v>12</v>
      </c>
      <c r="M612" s="10" t="s">
        <v>12</v>
      </c>
      <c r="N612" s="12" t="e">
        <f>VLOOKUP(J612,'Site Allocation'!$B$2:$C$37,2,FALSE)</f>
        <v>#N/A</v>
      </c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</row>
    <row r="613" spans="1:25" x14ac:dyDescent="0.35">
      <c r="A613" s="19"/>
      <c r="B613" s="19"/>
      <c r="C613" s="19"/>
      <c r="D613" s="19"/>
      <c r="E613" s="19"/>
      <c r="F613" s="19"/>
      <c r="G613" s="19"/>
      <c r="H613" s="19"/>
      <c r="I613" s="19"/>
      <c r="J613" s="10" t="s">
        <v>12</v>
      </c>
      <c r="K613" s="10" t="s">
        <v>12</v>
      </c>
      <c r="L613" s="10" t="s">
        <v>12</v>
      </c>
      <c r="M613" s="10" t="s">
        <v>12</v>
      </c>
      <c r="N613" s="12" t="e">
        <f>VLOOKUP(J613,'Site Allocation'!$B$2:$C$37,2,FALSE)</f>
        <v>#N/A</v>
      </c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</row>
    <row r="614" spans="1:25" x14ac:dyDescent="0.35">
      <c r="A614" s="19"/>
      <c r="B614" s="19"/>
      <c r="C614" s="19"/>
      <c r="D614" s="19"/>
      <c r="E614" s="19"/>
      <c r="F614" s="19"/>
      <c r="G614" s="19"/>
      <c r="H614" s="19"/>
      <c r="I614" s="19"/>
      <c r="J614" s="10" t="s">
        <v>12</v>
      </c>
      <c r="K614" s="10" t="s">
        <v>12</v>
      </c>
      <c r="L614" s="10" t="s">
        <v>12</v>
      </c>
      <c r="M614" s="10" t="s">
        <v>12</v>
      </c>
      <c r="N614" s="12" t="e">
        <f>VLOOKUP(J614,'Site Allocation'!$B$2:$C$37,2,FALSE)</f>
        <v>#N/A</v>
      </c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</row>
    <row r="615" spans="1:25" x14ac:dyDescent="0.35">
      <c r="A615" s="19"/>
      <c r="B615" s="19"/>
      <c r="C615" s="19"/>
      <c r="D615" s="19"/>
      <c r="E615" s="19"/>
      <c r="F615" s="19"/>
      <c r="G615" s="19"/>
      <c r="H615" s="19"/>
      <c r="I615" s="19"/>
      <c r="J615" s="10" t="s">
        <v>12</v>
      </c>
      <c r="K615" s="10" t="s">
        <v>12</v>
      </c>
      <c r="L615" s="10" t="s">
        <v>12</v>
      </c>
      <c r="M615" s="10" t="s">
        <v>12</v>
      </c>
      <c r="N615" s="12" t="e">
        <f>VLOOKUP(J615,'Site Allocation'!$B$2:$C$37,2,FALSE)</f>
        <v>#N/A</v>
      </c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</row>
    <row r="616" spans="1:25" x14ac:dyDescent="0.35">
      <c r="A616" s="19"/>
      <c r="B616" s="19"/>
      <c r="C616" s="19"/>
      <c r="D616" s="19"/>
      <c r="E616" s="19"/>
      <c r="F616" s="19"/>
      <c r="G616" s="19"/>
      <c r="H616" s="19"/>
      <c r="I616" s="19"/>
      <c r="J616" s="10" t="s">
        <v>12</v>
      </c>
      <c r="K616" s="10" t="s">
        <v>12</v>
      </c>
      <c r="L616" s="10" t="s">
        <v>12</v>
      </c>
      <c r="M616" s="10" t="s">
        <v>12</v>
      </c>
      <c r="N616" s="12" t="e">
        <f>VLOOKUP(J616,'Site Allocation'!$B$2:$C$37,2,FALSE)</f>
        <v>#N/A</v>
      </c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</row>
    <row r="617" spans="1:25" x14ac:dyDescent="0.35">
      <c r="A617" s="19"/>
      <c r="B617" s="19"/>
      <c r="C617" s="19"/>
      <c r="D617" s="19"/>
      <c r="E617" s="19"/>
      <c r="F617" s="19"/>
      <c r="G617" s="19"/>
      <c r="H617" s="19"/>
      <c r="I617" s="19"/>
      <c r="J617" s="10" t="s">
        <v>12</v>
      </c>
      <c r="K617" s="10" t="s">
        <v>12</v>
      </c>
      <c r="L617" s="10" t="s">
        <v>12</v>
      </c>
      <c r="M617" s="10" t="s">
        <v>12</v>
      </c>
      <c r="N617" s="12" t="e">
        <f>VLOOKUP(J617,'Site Allocation'!$B$2:$C$37,2,FALSE)</f>
        <v>#N/A</v>
      </c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</row>
    <row r="618" spans="1:25" x14ac:dyDescent="0.35">
      <c r="A618" s="19"/>
      <c r="B618" s="19"/>
      <c r="C618" s="19"/>
      <c r="D618" s="19"/>
      <c r="E618" s="19"/>
      <c r="F618" s="19"/>
      <c r="G618" s="19"/>
      <c r="H618" s="19"/>
      <c r="I618" s="19"/>
      <c r="J618" s="10" t="s">
        <v>12</v>
      </c>
      <c r="K618" s="10" t="s">
        <v>12</v>
      </c>
      <c r="L618" s="10" t="s">
        <v>12</v>
      </c>
      <c r="M618" s="10" t="s">
        <v>12</v>
      </c>
      <c r="N618" s="12" t="e">
        <f>VLOOKUP(J618,'Site Allocation'!$B$2:$C$37,2,FALSE)</f>
        <v>#N/A</v>
      </c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</row>
    <row r="619" spans="1:25" x14ac:dyDescent="0.35">
      <c r="A619" s="19"/>
      <c r="B619" s="19"/>
      <c r="C619" s="19"/>
      <c r="D619" s="19"/>
      <c r="E619" s="19"/>
      <c r="F619" s="19"/>
      <c r="G619" s="19"/>
      <c r="H619" s="19"/>
      <c r="I619" s="19"/>
      <c r="J619" s="10" t="s">
        <v>12</v>
      </c>
      <c r="K619" s="10" t="s">
        <v>12</v>
      </c>
      <c r="L619" s="10" t="s">
        <v>12</v>
      </c>
      <c r="M619" s="10" t="s">
        <v>12</v>
      </c>
      <c r="N619" s="12" t="e">
        <f>VLOOKUP(J619,'Site Allocation'!$B$2:$C$37,2,FALSE)</f>
        <v>#N/A</v>
      </c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</row>
    <row r="620" spans="1:25" x14ac:dyDescent="0.35">
      <c r="A620" s="19"/>
      <c r="B620" s="19"/>
      <c r="C620" s="19"/>
      <c r="D620" s="19"/>
      <c r="E620" s="19"/>
      <c r="F620" s="19"/>
      <c r="G620" s="19"/>
      <c r="H620" s="19"/>
      <c r="I620" s="19"/>
      <c r="J620" s="10" t="s">
        <v>12</v>
      </c>
      <c r="K620" s="10" t="s">
        <v>12</v>
      </c>
      <c r="L620" s="10" t="s">
        <v>12</v>
      </c>
      <c r="M620" s="10" t="s">
        <v>12</v>
      </c>
      <c r="N620" s="12" t="e">
        <f>VLOOKUP(J620,'Site Allocation'!$B$2:$C$37,2,FALSE)</f>
        <v>#N/A</v>
      </c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</row>
    <row r="621" spans="1:25" x14ac:dyDescent="0.35">
      <c r="A621" s="19"/>
      <c r="B621" s="19"/>
      <c r="C621" s="19"/>
      <c r="D621" s="19"/>
      <c r="E621" s="19"/>
      <c r="F621" s="19"/>
      <c r="G621" s="19"/>
      <c r="H621" s="19"/>
      <c r="I621" s="19"/>
      <c r="J621" s="10" t="s">
        <v>12</v>
      </c>
      <c r="K621" s="10" t="s">
        <v>12</v>
      </c>
      <c r="L621" s="10" t="s">
        <v>12</v>
      </c>
      <c r="M621" s="10" t="s">
        <v>12</v>
      </c>
      <c r="N621" s="12" t="e">
        <f>VLOOKUP(J621,'Site Allocation'!$B$2:$C$37,2,FALSE)</f>
        <v>#N/A</v>
      </c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</row>
    <row r="622" spans="1:25" x14ac:dyDescent="0.35">
      <c r="A622" s="19"/>
      <c r="B622" s="19"/>
      <c r="C622" s="19"/>
      <c r="D622" s="19"/>
      <c r="E622" s="19"/>
      <c r="F622" s="19"/>
      <c r="G622" s="19"/>
      <c r="H622" s="19"/>
      <c r="I622" s="19"/>
      <c r="J622" s="10" t="s">
        <v>12</v>
      </c>
      <c r="K622" s="10" t="s">
        <v>12</v>
      </c>
      <c r="L622" s="10" t="s">
        <v>12</v>
      </c>
      <c r="M622" s="10" t="s">
        <v>12</v>
      </c>
      <c r="N622" s="12" t="e">
        <f>VLOOKUP(J622,'Site Allocation'!$B$2:$C$37,2,FALSE)</f>
        <v>#N/A</v>
      </c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</row>
    <row r="623" spans="1:25" x14ac:dyDescent="0.35">
      <c r="A623" s="19"/>
      <c r="B623" s="19"/>
      <c r="C623" s="19"/>
      <c r="D623" s="19"/>
      <c r="E623" s="19"/>
      <c r="F623" s="19"/>
      <c r="G623" s="19"/>
      <c r="H623" s="19"/>
      <c r="I623" s="19"/>
      <c r="J623" s="10" t="s">
        <v>12</v>
      </c>
      <c r="K623" s="10" t="s">
        <v>12</v>
      </c>
      <c r="L623" s="10" t="s">
        <v>12</v>
      </c>
      <c r="M623" s="10" t="s">
        <v>12</v>
      </c>
      <c r="N623" s="12" t="e">
        <f>VLOOKUP(J623,'Site Allocation'!$B$2:$C$37,2,FALSE)</f>
        <v>#N/A</v>
      </c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</row>
    <row r="624" spans="1:25" x14ac:dyDescent="0.35">
      <c r="A624" s="19"/>
      <c r="B624" s="19"/>
      <c r="C624" s="19"/>
      <c r="D624" s="19"/>
      <c r="E624" s="19"/>
      <c r="F624" s="19"/>
      <c r="G624" s="19"/>
      <c r="H624" s="19"/>
      <c r="I624" s="19"/>
      <c r="J624" s="10" t="s">
        <v>12</v>
      </c>
      <c r="K624" s="10" t="s">
        <v>12</v>
      </c>
      <c r="L624" s="10" t="s">
        <v>12</v>
      </c>
      <c r="M624" s="10" t="s">
        <v>12</v>
      </c>
      <c r="N624" s="12" t="e">
        <f>VLOOKUP(J624,'Site Allocation'!$B$2:$C$37,2,FALSE)</f>
        <v>#N/A</v>
      </c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</row>
    <row r="625" spans="1:25" x14ac:dyDescent="0.35">
      <c r="A625" s="19"/>
      <c r="B625" s="19"/>
      <c r="C625" s="19"/>
      <c r="D625" s="19"/>
      <c r="E625" s="19"/>
      <c r="F625" s="19"/>
      <c r="G625" s="19"/>
      <c r="H625" s="19"/>
      <c r="I625" s="19"/>
      <c r="J625" s="10" t="s">
        <v>12</v>
      </c>
      <c r="K625" s="10" t="s">
        <v>12</v>
      </c>
      <c r="L625" s="10" t="s">
        <v>12</v>
      </c>
      <c r="M625" s="10" t="s">
        <v>12</v>
      </c>
      <c r="N625" s="12" t="e">
        <f>VLOOKUP(J625,'Site Allocation'!$B$2:$C$37,2,FALSE)</f>
        <v>#N/A</v>
      </c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</row>
    <row r="626" spans="1:25" x14ac:dyDescent="0.35">
      <c r="A626" s="19"/>
      <c r="B626" s="19"/>
      <c r="C626" s="19"/>
      <c r="D626" s="19"/>
      <c r="E626" s="19"/>
      <c r="F626" s="19"/>
      <c r="G626" s="19"/>
      <c r="H626" s="19"/>
      <c r="I626" s="19"/>
      <c r="J626" s="10" t="s">
        <v>12</v>
      </c>
      <c r="K626" s="10" t="s">
        <v>12</v>
      </c>
      <c r="L626" s="10" t="s">
        <v>12</v>
      </c>
      <c r="M626" s="10" t="s">
        <v>12</v>
      </c>
      <c r="N626" s="12" t="e">
        <f>VLOOKUP(J626,'Site Allocation'!$B$2:$C$37,2,FALSE)</f>
        <v>#N/A</v>
      </c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</row>
    <row r="627" spans="1:25" x14ac:dyDescent="0.35">
      <c r="A627" s="19"/>
      <c r="B627" s="19"/>
      <c r="C627" s="19"/>
      <c r="D627" s="19"/>
      <c r="E627" s="19"/>
      <c r="F627" s="19"/>
      <c r="G627" s="19"/>
      <c r="H627" s="19"/>
      <c r="I627" s="19"/>
      <c r="J627" s="10" t="s">
        <v>12</v>
      </c>
      <c r="K627" s="10" t="s">
        <v>12</v>
      </c>
      <c r="L627" s="10" t="s">
        <v>12</v>
      </c>
      <c r="M627" s="10" t="s">
        <v>12</v>
      </c>
      <c r="N627" s="12" t="e">
        <f>VLOOKUP(J627,'Site Allocation'!$B$2:$C$37,2,FALSE)</f>
        <v>#N/A</v>
      </c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</row>
    <row r="628" spans="1:25" x14ac:dyDescent="0.35">
      <c r="A628" s="19"/>
      <c r="B628" s="19"/>
      <c r="C628" s="19"/>
      <c r="D628" s="19"/>
      <c r="E628" s="19"/>
      <c r="F628" s="19"/>
      <c r="G628" s="19"/>
      <c r="H628" s="19"/>
      <c r="I628" s="19"/>
      <c r="J628" s="10" t="s">
        <v>12</v>
      </c>
      <c r="K628" s="10" t="s">
        <v>12</v>
      </c>
      <c r="L628" s="10" t="s">
        <v>12</v>
      </c>
      <c r="M628" s="10" t="s">
        <v>12</v>
      </c>
      <c r="N628" s="12" t="e">
        <f>VLOOKUP(J628,'Site Allocation'!$B$2:$C$37,2,FALSE)</f>
        <v>#N/A</v>
      </c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</row>
    <row r="629" spans="1:25" x14ac:dyDescent="0.35">
      <c r="A629" s="19"/>
      <c r="B629" s="19"/>
      <c r="C629" s="19"/>
      <c r="D629" s="19"/>
      <c r="E629" s="19"/>
      <c r="F629" s="19"/>
      <c r="G629" s="19"/>
      <c r="H629" s="19"/>
      <c r="I629" s="19"/>
      <c r="J629" s="10" t="s">
        <v>12</v>
      </c>
      <c r="K629" s="10" t="s">
        <v>12</v>
      </c>
      <c r="L629" s="10" t="s">
        <v>12</v>
      </c>
      <c r="M629" s="10" t="s">
        <v>12</v>
      </c>
      <c r="N629" s="12" t="e">
        <f>VLOOKUP(J629,'Site Allocation'!$B$2:$C$37,2,FALSE)</f>
        <v>#N/A</v>
      </c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</row>
    <row r="630" spans="1:25" x14ac:dyDescent="0.35">
      <c r="A630" s="19"/>
      <c r="B630" s="19"/>
      <c r="C630" s="19"/>
      <c r="D630" s="19"/>
      <c r="E630" s="19"/>
      <c r="F630" s="19"/>
      <c r="G630" s="19"/>
      <c r="H630" s="19"/>
      <c r="I630" s="19"/>
      <c r="J630" s="10" t="s">
        <v>12</v>
      </c>
      <c r="K630" s="10" t="s">
        <v>12</v>
      </c>
      <c r="L630" s="10" t="s">
        <v>12</v>
      </c>
      <c r="M630" s="10" t="s">
        <v>12</v>
      </c>
      <c r="N630" s="12" t="e">
        <f>VLOOKUP(J630,'Site Allocation'!$B$2:$C$37,2,FALSE)</f>
        <v>#N/A</v>
      </c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</row>
    <row r="631" spans="1:25" x14ac:dyDescent="0.35">
      <c r="A631" s="19"/>
      <c r="B631" s="19"/>
      <c r="C631" s="19"/>
      <c r="D631" s="19"/>
      <c r="E631" s="19"/>
      <c r="F631" s="19"/>
      <c r="G631" s="19"/>
      <c r="H631" s="19"/>
      <c r="I631" s="19"/>
      <c r="J631" s="10" t="s">
        <v>12</v>
      </c>
      <c r="K631" s="10" t="s">
        <v>12</v>
      </c>
      <c r="L631" s="10" t="s">
        <v>12</v>
      </c>
      <c r="M631" s="10" t="s">
        <v>12</v>
      </c>
      <c r="N631" s="12" t="e">
        <f>VLOOKUP(J631,'Site Allocation'!$B$2:$C$37,2,FALSE)</f>
        <v>#N/A</v>
      </c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</row>
    <row r="632" spans="1:25" x14ac:dyDescent="0.35">
      <c r="A632" s="19"/>
      <c r="B632" s="19"/>
      <c r="C632" s="19"/>
      <c r="D632" s="19"/>
      <c r="E632" s="19"/>
      <c r="F632" s="19"/>
      <c r="G632" s="19"/>
      <c r="H632" s="19"/>
      <c r="I632" s="19"/>
      <c r="J632" s="10" t="s">
        <v>12</v>
      </c>
      <c r="K632" s="10" t="s">
        <v>12</v>
      </c>
      <c r="L632" s="10" t="s">
        <v>12</v>
      </c>
      <c r="M632" s="10" t="s">
        <v>12</v>
      </c>
      <c r="N632" s="12" t="e">
        <f>VLOOKUP(J632,'Site Allocation'!$B$2:$C$37,2,FALSE)</f>
        <v>#N/A</v>
      </c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</row>
    <row r="633" spans="1:25" x14ac:dyDescent="0.35">
      <c r="A633" s="19"/>
      <c r="B633" s="19"/>
      <c r="C633" s="19"/>
      <c r="D633" s="19"/>
      <c r="E633" s="19"/>
      <c r="F633" s="19"/>
      <c r="G633" s="19"/>
      <c r="H633" s="19"/>
      <c r="I633" s="19"/>
      <c r="J633" s="10" t="s">
        <v>12</v>
      </c>
      <c r="K633" s="10" t="s">
        <v>12</v>
      </c>
      <c r="L633" s="10" t="s">
        <v>12</v>
      </c>
      <c r="M633" s="10" t="s">
        <v>12</v>
      </c>
      <c r="N633" s="12" t="e">
        <f>VLOOKUP(J633,'Site Allocation'!$B$2:$C$37,2,FALSE)</f>
        <v>#N/A</v>
      </c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</row>
    <row r="634" spans="1:25" x14ac:dyDescent="0.35">
      <c r="A634" s="19"/>
      <c r="B634" s="19"/>
      <c r="C634" s="19"/>
      <c r="D634" s="19"/>
      <c r="E634" s="19"/>
      <c r="F634" s="19"/>
      <c r="G634" s="19"/>
      <c r="H634" s="19"/>
      <c r="I634" s="19"/>
      <c r="J634" s="10" t="s">
        <v>12</v>
      </c>
      <c r="K634" s="10" t="s">
        <v>12</v>
      </c>
      <c r="L634" s="10" t="s">
        <v>12</v>
      </c>
      <c r="M634" s="10" t="s">
        <v>12</v>
      </c>
      <c r="N634" s="12" t="e">
        <f>VLOOKUP(J634,'Site Allocation'!$B$2:$C$37,2,FALSE)</f>
        <v>#N/A</v>
      </c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</row>
    <row r="635" spans="1:25" x14ac:dyDescent="0.35">
      <c r="A635" s="19"/>
      <c r="B635" s="19"/>
      <c r="C635" s="19"/>
      <c r="D635" s="19"/>
      <c r="E635" s="19"/>
      <c r="F635" s="19"/>
      <c r="G635" s="19"/>
      <c r="H635" s="19"/>
      <c r="I635" s="19"/>
      <c r="J635" s="10" t="s">
        <v>12</v>
      </c>
      <c r="K635" s="10" t="s">
        <v>12</v>
      </c>
      <c r="L635" s="10" t="s">
        <v>12</v>
      </c>
      <c r="M635" s="10" t="s">
        <v>12</v>
      </c>
      <c r="N635" s="12" t="e">
        <f>VLOOKUP(J635,'Site Allocation'!$B$2:$C$37,2,FALSE)</f>
        <v>#N/A</v>
      </c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</row>
    <row r="636" spans="1:25" x14ac:dyDescent="0.35">
      <c r="A636" s="19"/>
      <c r="B636" s="19"/>
      <c r="C636" s="19"/>
      <c r="D636" s="19"/>
      <c r="E636" s="19"/>
      <c r="F636" s="19"/>
      <c r="G636" s="19"/>
      <c r="H636" s="19"/>
      <c r="I636" s="19"/>
      <c r="J636" s="10" t="s">
        <v>12</v>
      </c>
      <c r="K636" s="10" t="s">
        <v>12</v>
      </c>
      <c r="L636" s="10" t="s">
        <v>12</v>
      </c>
      <c r="M636" s="10" t="s">
        <v>12</v>
      </c>
      <c r="N636" s="12" t="e">
        <f>VLOOKUP(J636,'Site Allocation'!$B$2:$C$37,2,FALSE)</f>
        <v>#N/A</v>
      </c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</row>
    <row r="637" spans="1:25" x14ac:dyDescent="0.35">
      <c r="A637" s="19"/>
      <c r="B637" s="19"/>
      <c r="C637" s="19"/>
      <c r="D637" s="19"/>
      <c r="E637" s="19"/>
      <c r="F637" s="19"/>
      <c r="G637" s="19"/>
      <c r="H637" s="19"/>
      <c r="I637" s="19"/>
      <c r="J637" s="10" t="s">
        <v>12</v>
      </c>
      <c r="K637" s="10" t="s">
        <v>12</v>
      </c>
      <c r="L637" s="10" t="s">
        <v>12</v>
      </c>
      <c r="M637" s="10" t="s">
        <v>12</v>
      </c>
      <c r="N637" s="12" t="e">
        <f>VLOOKUP(J637,'Site Allocation'!$B$2:$C$37,2,FALSE)</f>
        <v>#N/A</v>
      </c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</row>
    <row r="638" spans="1:25" x14ac:dyDescent="0.35">
      <c r="A638" s="19"/>
      <c r="B638" s="19"/>
      <c r="C638" s="19"/>
      <c r="D638" s="19"/>
      <c r="E638" s="19"/>
      <c r="F638" s="19"/>
      <c r="G638" s="19"/>
      <c r="H638" s="19"/>
      <c r="I638" s="19"/>
      <c r="J638" s="10" t="s">
        <v>12</v>
      </c>
      <c r="K638" s="10" t="s">
        <v>12</v>
      </c>
      <c r="L638" s="10" t="s">
        <v>12</v>
      </c>
      <c r="M638" s="10" t="s">
        <v>12</v>
      </c>
      <c r="N638" s="12" t="e">
        <f>VLOOKUP(J638,'Site Allocation'!$B$2:$C$37,2,FALSE)</f>
        <v>#N/A</v>
      </c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</row>
    <row r="639" spans="1:25" x14ac:dyDescent="0.35">
      <c r="A639" s="19"/>
      <c r="B639" s="19"/>
      <c r="C639" s="19"/>
      <c r="D639" s="19"/>
      <c r="E639" s="19"/>
      <c r="F639" s="19"/>
      <c r="G639" s="19"/>
      <c r="H639" s="19"/>
      <c r="I639" s="19"/>
      <c r="J639" s="10" t="s">
        <v>12</v>
      </c>
      <c r="K639" s="10" t="s">
        <v>12</v>
      </c>
      <c r="L639" s="10" t="s">
        <v>12</v>
      </c>
      <c r="M639" s="10" t="s">
        <v>12</v>
      </c>
      <c r="N639" s="12" t="e">
        <f>VLOOKUP(J639,'Site Allocation'!$B$2:$C$37,2,FALSE)</f>
        <v>#N/A</v>
      </c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</row>
    <row r="640" spans="1:25" x14ac:dyDescent="0.35">
      <c r="A640" s="19"/>
      <c r="B640" s="19"/>
      <c r="C640" s="19"/>
      <c r="D640" s="19"/>
      <c r="E640" s="19"/>
      <c r="F640" s="19"/>
      <c r="G640" s="19"/>
      <c r="H640" s="19"/>
      <c r="I640" s="19"/>
      <c r="J640" s="10" t="s">
        <v>12</v>
      </c>
      <c r="K640" s="10" t="s">
        <v>12</v>
      </c>
      <c r="L640" s="10" t="s">
        <v>12</v>
      </c>
      <c r="M640" s="10" t="s">
        <v>12</v>
      </c>
      <c r="N640" s="12" t="e">
        <f>VLOOKUP(J640,'Site Allocation'!$B$2:$C$37,2,FALSE)</f>
        <v>#N/A</v>
      </c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</row>
    <row r="641" spans="1:25" x14ac:dyDescent="0.35">
      <c r="A641" s="19"/>
      <c r="B641" s="19"/>
      <c r="C641" s="19"/>
      <c r="D641" s="19"/>
      <c r="E641" s="19"/>
      <c r="F641" s="19"/>
      <c r="G641" s="19"/>
      <c r="H641" s="19"/>
      <c r="I641" s="19"/>
      <c r="J641" s="10" t="s">
        <v>12</v>
      </c>
      <c r="K641" s="10" t="s">
        <v>12</v>
      </c>
      <c r="L641" s="10" t="s">
        <v>12</v>
      </c>
      <c r="M641" s="10" t="s">
        <v>12</v>
      </c>
      <c r="N641" s="12" t="e">
        <f>VLOOKUP(J641,'Site Allocation'!$B$2:$C$37,2,FALSE)</f>
        <v>#N/A</v>
      </c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</row>
    <row r="642" spans="1:25" x14ac:dyDescent="0.35">
      <c r="A642" s="19"/>
      <c r="B642" s="19"/>
      <c r="C642" s="19"/>
      <c r="D642" s="19"/>
      <c r="E642" s="19"/>
      <c r="F642" s="19"/>
      <c r="G642" s="19"/>
      <c r="H642" s="19"/>
      <c r="I642" s="19"/>
      <c r="J642" s="10" t="s">
        <v>12</v>
      </c>
      <c r="K642" s="10" t="s">
        <v>12</v>
      </c>
      <c r="L642" s="10" t="s">
        <v>12</v>
      </c>
      <c r="M642" s="10" t="s">
        <v>12</v>
      </c>
      <c r="N642" s="12" t="e">
        <f>VLOOKUP(J642,'Site Allocation'!$B$2:$C$37,2,FALSE)</f>
        <v>#N/A</v>
      </c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</row>
    <row r="643" spans="1:25" x14ac:dyDescent="0.35">
      <c r="A643" s="19"/>
      <c r="B643" s="19"/>
      <c r="C643" s="19"/>
      <c r="D643" s="19"/>
      <c r="E643" s="19"/>
      <c r="F643" s="19"/>
      <c r="G643" s="19"/>
      <c r="H643" s="19"/>
      <c r="I643" s="19"/>
      <c r="J643" s="10" t="s">
        <v>12</v>
      </c>
      <c r="K643" s="10" t="s">
        <v>12</v>
      </c>
      <c r="L643" s="10" t="s">
        <v>12</v>
      </c>
      <c r="M643" s="10" t="s">
        <v>12</v>
      </c>
      <c r="N643" s="12" t="e">
        <f>VLOOKUP(J643,'Site Allocation'!$B$2:$C$37,2,FALSE)</f>
        <v>#N/A</v>
      </c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</row>
    <row r="644" spans="1:25" x14ac:dyDescent="0.35">
      <c r="A644" s="19"/>
      <c r="B644" s="19"/>
      <c r="C644" s="19"/>
      <c r="D644" s="19"/>
      <c r="E644" s="19"/>
      <c r="F644" s="19"/>
      <c r="G644" s="19"/>
      <c r="H644" s="19"/>
      <c r="I644" s="19"/>
      <c r="J644" s="10" t="s">
        <v>12</v>
      </c>
      <c r="K644" s="10" t="s">
        <v>12</v>
      </c>
      <c r="L644" s="10" t="s">
        <v>12</v>
      </c>
      <c r="M644" s="10" t="s">
        <v>12</v>
      </c>
      <c r="N644" s="12" t="e">
        <f>VLOOKUP(J644,'Site Allocation'!$B$2:$C$37,2,FALSE)</f>
        <v>#N/A</v>
      </c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</row>
    <row r="645" spans="1:25" x14ac:dyDescent="0.35">
      <c r="A645" s="19"/>
      <c r="B645" s="19"/>
      <c r="C645" s="19"/>
      <c r="D645" s="19"/>
      <c r="E645" s="19"/>
      <c r="F645" s="19"/>
      <c r="G645" s="19"/>
      <c r="H645" s="19"/>
      <c r="I645" s="19"/>
      <c r="J645" s="10" t="s">
        <v>12</v>
      </c>
      <c r="K645" s="10" t="s">
        <v>12</v>
      </c>
      <c r="L645" s="10" t="s">
        <v>12</v>
      </c>
      <c r="M645" s="10" t="s">
        <v>12</v>
      </c>
      <c r="N645" s="12" t="e">
        <f>VLOOKUP(J645,'Site Allocation'!$B$2:$C$37,2,FALSE)</f>
        <v>#N/A</v>
      </c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</row>
    <row r="646" spans="1:25" x14ac:dyDescent="0.35">
      <c r="A646" s="19"/>
      <c r="B646" s="19"/>
      <c r="C646" s="19"/>
      <c r="D646" s="19"/>
      <c r="E646" s="19"/>
      <c r="F646" s="19"/>
      <c r="G646" s="19"/>
      <c r="H646" s="19"/>
      <c r="I646" s="19"/>
      <c r="J646" s="10" t="s">
        <v>12</v>
      </c>
      <c r="K646" s="10" t="s">
        <v>12</v>
      </c>
      <c r="L646" s="10" t="s">
        <v>12</v>
      </c>
      <c r="M646" s="10" t="s">
        <v>12</v>
      </c>
      <c r="N646" s="12" t="e">
        <f>VLOOKUP(J646,'Site Allocation'!$B$2:$C$37,2,FALSE)</f>
        <v>#N/A</v>
      </c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</row>
    <row r="647" spans="1:25" x14ac:dyDescent="0.35">
      <c r="A647" s="19"/>
      <c r="B647" s="19"/>
      <c r="C647" s="19"/>
      <c r="D647" s="19"/>
      <c r="E647" s="19"/>
      <c r="F647" s="19"/>
      <c r="G647" s="19"/>
      <c r="H647" s="19"/>
      <c r="I647" s="19"/>
      <c r="J647" s="10" t="s">
        <v>12</v>
      </c>
      <c r="K647" s="10" t="s">
        <v>12</v>
      </c>
      <c r="L647" s="10" t="s">
        <v>12</v>
      </c>
      <c r="M647" s="10" t="s">
        <v>12</v>
      </c>
      <c r="N647" s="12" t="e">
        <f>VLOOKUP(J647,'Site Allocation'!$B$2:$C$37,2,FALSE)</f>
        <v>#N/A</v>
      </c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</row>
    <row r="648" spans="1:25" x14ac:dyDescent="0.35">
      <c r="A648" s="19"/>
      <c r="B648" s="19"/>
      <c r="C648" s="19"/>
      <c r="D648" s="19"/>
      <c r="E648" s="19"/>
      <c r="F648" s="19"/>
      <c r="G648" s="19"/>
      <c r="H648" s="19"/>
      <c r="I648" s="19"/>
      <c r="J648" s="10" t="s">
        <v>12</v>
      </c>
      <c r="K648" s="10" t="s">
        <v>12</v>
      </c>
      <c r="L648" s="10" t="s">
        <v>12</v>
      </c>
      <c r="M648" s="10" t="s">
        <v>12</v>
      </c>
      <c r="N648" s="12" t="e">
        <f>VLOOKUP(J648,'Site Allocation'!$B$2:$C$37,2,FALSE)</f>
        <v>#N/A</v>
      </c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</row>
    <row r="649" spans="1:25" x14ac:dyDescent="0.35">
      <c r="A649" s="19"/>
      <c r="B649" s="19"/>
      <c r="C649" s="19"/>
      <c r="D649" s="19"/>
      <c r="E649" s="19"/>
      <c r="F649" s="19"/>
      <c r="G649" s="19"/>
      <c r="H649" s="19"/>
      <c r="I649" s="19"/>
      <c r="J649" s="10" t="s">
        <v>12</v>
      </c>
      <c r="K649" s="10" t="s">
        <v>12</v>
      </c>
      <c r="L649" s="10" t="s">
        <v>12</v>
      </c>
      <c r="M649" s="10" t="s">
        <v>12</v>
      </c>
      <c r="N649" s="12" t="e">
        <f>VLOOKUP(J649,'Site Allocation'!$B$2:$C$37,2,FALSE)</f>
        <v>#N/A</v>
      </c>
      <c r="O649" s="19"/>
      <c r="P649" s="19"/>
      <c r="Q649" s="19"/>
      <c r="R649" s="19"/>
      <c r="S649" s="19"/>
      <c r="T649" s="19"/>
      <c r="U649" s="19"/>
      <c r="V649" s="19"/>
      <c r="W649" s="19"/>
      <c r="X649" s="19"/>
      <c r="Y649" s="19"/>
    </row>
    <row r="650" spans="1:25" x14ac:dyDescent="0.35">
      <c r="A650" s="19"/>
      <c r="B650" s="19"/>
      <c r="C650" s="19"/>
      <c r="D650" s="19"/>
      <c r="E650" s="19"/>
      <c r="F650" s="19"/>
      <c r="G650" s="19"/>
      <c r="H650" s="19"/>
      <c r="I650" s="19"/>
      <c r="J650" s="10" t="s">
        <v>12</v>
      </c>
      <c r="K650" s="10" t="s">
        <v>12</v>
      </c>
      <c r="L650" s="10" t="s">
        <v>12</v>
      </c>
      <c r="M650" s="10" t="s">
        <v>12</v>
      </c>
      <c r="N650" s="12" t="e">
        <f>VLOOKUP(J650,'Site Allocation'!$B$2:$C$37,2,FALSE)</f>
        <v>#N/A</v>
      </c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</row>
    <row r="651" spans="1:25" x14ac:dyDescent="0.35">
      <c r="A651" s="19"/>
      <c r="B651" s="19"/>
      <c r="C651" s="19"/>
      <c r="D651" s="19"/>
      <c r="E651" s="19"/>
      <c r="F651" s="19"/>
      <c r="G651" s="19"/>
      <c r="H651" s="19"/>
      <c r="I651" s="19"/>
      <c r="J651" s="10" t="s">
        <v>12</v>
      </c>
      <c r="K651" s="10" t="s">
        <v>12</v>
      </c>
      <c r="L651" s="10" t="s">
        <v>12</v>
      </c>
      <c r="M651" s="10" t="s">
        <v>12</v>
      </c>
      <c r="N651" s="12" t="e">
        <f>VLOOKUP(J651,'Site Allocation'!$B$2:$C$37,2,FALSE)</f>
        <v>#N/A</v>
      </c>
      <c r="O651" s="19"/>
      <c r="P651" s="19"/>
      <c r="Q651" s="19"/>
      <c r="R651" s="19"/>
      <c r="S651" s="19"/>
      <c r="T651" s="19"/>
      <c r="U651" s="19"/>
      <c r="V651" s="19"/>
      <c r="W651" s="19"/>
      <c r="X651" s="19"/>
      <c r="Y651" s="19"/>
    </row>
    <row r="652" spans="1:25" x14ac:dyDescent="0.35">
      <c r="A652" s="19"/>
      <c r="B652" s="19"/>
      <c r="C652" s="19"/>
      <c r="D652" s="19"/>
      <c r="E652" s="19"/>
      <c r="F652" s="19"/>
      <c r="G652" s="19"/>
      <c r="H652" s="19"/>
      <c r="I652" s="19"/>
      <c r="J652" s="10" t="s">
        <v>12</v>
      </c>
      <c r="K652" s="10" t="s">
        <v>12</v>
      </c>
      <c r="L652" s="10" t="s">
        <v>12</v>
      </c>
      <c r="M652" s="10" t="s">
        <v>12</v>
      </c>
      <c r="N652" s="12" t="e">
        <f>VLOOKUP(J652,'Site Allocation'!$B$2:$C$37,2,FALSE)</f>
        <v>#N/A</v>
      </c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</row>
    <row r="653" spans="1:25" x14ac:dyDescent="0.35">
      <c r="A653" s="19"/>
      <c r="B653" s="19"/>
      <c r="C653" s="19"/>
      <c r="D653" s="19"/>
      <c r="E653" s="19"/>
      <c r="F653" s="19"/>
      <c r="G653" s="19"/>
      <c r="H653" s="19"/>
      <c r="I653" s="19"/>
      <c r="J653" s="10" t="s">
        <v>12</v>
      </c>
      <c r="K653" s="10" t="s">
        <v>12</v>
      </c>
      <c r="L653" s="10" t="s">
        <v>12</v>
      </c>
      <c r="M653" s="10" t="s">
        <v>12</v>
      </c>
      <c r="N653" s="12" t="e">
        <f>VLOOKUP(J653,'Site Allocation'!$B$2:$C$37,2,FALSE)</f>
        <v>#N/A</v>
      </c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</row>
    <row r="654" spans="1:25" x14ac:dyDescent="0.35">
      <c r="A654" s="19"/>
      <c r="B654" s="19"/>
      <c r="C654" s="19"/>
      <c r="D654" s="19"/>
      <c r="E654" s="19"/>
      <c r="F654" s="19"/>
      <c r="G654" s="19"/>
      <c r="H654" s="19"/>
      <c r="I654" s="19"/>
      <c r="J654" s="10" t="s">
        <v>12</v>
      </c>
      <c r="K654" s="10" t="s">
        <v>12</v>
      </c>
      <c r="L654" s="10" t="s">
        <v>12</v>
      </c>
      <c r="M654" s="10" t="s">
        <v>12</v>
      </c>
      <c r="N654" s="12" t="e">
        <f>VLOOKUP(J654,'Site Allocation'!$B$2:$C$37,2,FALSE)</f>
        <v>#N/A</v>
      </c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</row>
    <row r="655" spans="1:25" x14ac:dyDescent="0.35">
      <c r="A655" s="19"/>
      <c r="B655" s="19"/>
      <c r="C655" s="19"/>
      <c r="D655" s="19"/>
      <c r="E655" s="19"/>
      <c r="F655" s="19"/>
      <c r="G655" s="19"/>
      <c r="H655" s="19"/>
      <c r="I655" s="19"/>
      <c r="J655" s="10" t="s">
        <v>12</v>
      </c>
      <c r="K655" s="10" t="s">
        <v>12</v>
      </c>
      <c r="L655" s="10" t="s">
        <v>12</v>
      </c>
      <c r="M655" s="10" t="s">
        <v>12</v>
      </c>
      <c r="N655" s="12" t="e">
        <f>VLOOKUP(J655,'Site Allocation'!$B$2:$C$37,2,FALSE)</f>
        <v>#N/A</v>
      </c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</row>
    <row r="656" spans="1:25" x14ac:dyDescent="0.35">
      <c r="A656" s="19"/>
      <c r="B656" s="19"/>
      <c r="C656" s="19"/>
      <c r="D656" s="19"/>
      <c r="E656" s="19"/>
      <c r="F656" s="19"/>
      <c r="G656" s="19"/>
      <c r="H656" s="19"/>
      <c r="I656" s="19"/>
      <c r="J656" s="10" t="s">
        <v>12</v>
      </c>
      <c r="K656" s="10" t="s">
        <v>12</v>
      </c>
      <c r="L656" s="10" t="s">
        <v>12</v>
      </c>
      <c r="M656" s="10" t="s">
        <v>12</v>
      </c>
      <c r="N656" s="12" t="e">
        <f>VLOOKUP(J656,'Site Allocation'!$B$2:$C$37,2,FALSE)</f>
        <v>#N/A</v>
      </c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</row>
    <row r="657" spans="1:25" x14ac:dyDescent="0.35">
      <c r="A657" s="19"/>
      <c r="B657" s="19"/>
      <c r="C657" s="19"/>
      <c r="D657" s="19"/>
      <c r="E657" s="19"/>
      <c r="F657" s="19"/>
      <c r="G657" s="19"/>
      <c r="H657" s="19"/>
      <c r="I657" s="19"/>
      <c r="J657" s="10" t="s">
        <v>12</v>
      </c>
      <c r="K657" s="10" t="s">
        <v>12</v>
      </c>
      <c r="L657" s="10" t="s">
        <v>12</v>
      </c>
      <c r="M657" s="10" t="s">
        <v>12</v>
      </c>
      <c r="N657" s="12" t="e">
        <f>VLOOKUP(J657,'Site Allocation'!$B$2:$C$37,2,FALSE)</f>
        <v>#N/A</v>
      </c>
      <c r="O657" s="19"/>
      <c r="P657" s="19"/>
      <c r="Q657" s="19"/>
      <c r="R657" s="19"/>
      <c r="S657" s="19"/>
      <c r="T657" s="19"/>
      <c r="U657" s="19"/>
      <c r="V657" s="19"/>
      <c r="W657" s="19"/>
      <c r="X657" s="19"/>
      <c r="Y657" s="19"/>
    </row>
    <row r="658" spans="1:25" x14ac:dyDescent="0.35">
      <c r="A658" s="19"/>
      <c r="B658" s="19"/>
      <c r="C658" s="19"/>
      <c r="D658" s="19"/>
      <c r="E658" s="19"/>
      <c r="F658" s="19"/>
      <c r="G658" s="19"/>
      <c r="H658" s="19"/>
      <c r="I658" s="19"/>
      <c r="J658" s="10" t="s">
        <v>12</v>
      </c>
      <c r="K658" s="10" t="s">
        <v>12</v>
      </c>
      <c r="L658" s="10" t="s">
        <v>12</v>
      </c>
      <c r="M658" s="10" t="s">
        <v>12</v>
      </c>
      <c r="N658" s="12" t="e">
        <f>VLOOKUP(J658,'Site Allocation'!$B$2:$C$37,2,FALSE)</f>
        <v>#N/A</v>
      </c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</row>
    <row r="659" spans="1:25" x14ac:dyDescent="0.35">
      <c r="A659" s="19"/>
      <c r="B659" s="19"/>
      <c r="C659" s="19"/>
      <c r="D659" s="19"/>
      <c r="E659" s="19"/>
      <c r="F659" s="19"/>
      <c r="G659" s="19"/>
      <c r="H659" s="19"/>
      <c r="I659" s="19"/>
      <c r="J659" s="10" t="s">
        <v>12</v>
      </c>
      <c r="K659" s="10" t="s">
        <v>12</v>
      </c>
      <c r="L659" s="10" t="s">
        <v>12</v>
      </c>
      <c r="M659" s="10" t="s">
        <v>12</v>
      </c>
      <c r="N659" s="12" t="e">
        <f>VLOOKUP(J659,'Site Allocation'!$B$2:$C$37,2,FALSE)</f>
        <v>#N/A</v>
      </c>
      <c r="O659" s="19"/>
      <c r="P659" s="19"/>
      <c r="Q659" s="19"/>
      <c r="R659" s="19"/>
      <c r="S659" s="19"/>
      <c r="T659" s="19"/>
      <c r="U659" s="19"/>
      <c r="V659" s="19"/>
      <c r="W659" s="19"/>
      <c r="X659" s="19"/>
      <c r="Y659" s="19"/>
    </row>
    <row r="660" spans="1:25" x14ac:dyDescent="0.35">
      <c r="A660" s="19"/>
      <c r="B660" s="19"/>
      <c r="C660" s="19"/>
      <c r="D660" s="19"/>
      <c r="E660" s="19"/>
      <c r="F660" s="19"/>
      <c r="G660" s="19"/>
      <c r="H660" s="19"/>
      <c r="I660" s="19"/>
      <c r="J660" s="10" t="s">
        <v>12</v>
      </c>
      <c r="K660" s="10" t="s">
        <v>12</v>
      </c>
      <c r="L660" s="10" t="s">
        <v>12</v>
      </c>
      <c r="M660" s="10" t="s">
        <v>12</v>
      </c>
      <c r="N660" s="12" t="e">
        <f>VLOOKUP(J660,'Site Allocation'!$B$2:$C$37,2,FALSE)</f>
        <v>#N/A</v>
      </c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</row>
    <row r="661" spans="1:25" x14ac:dyDescent="0.35">
      <c r="A661" s="19"/>
      <c r="B661" s="19"/>
      <c r="C661" s="19"/>
      <c r="D661" s="19"/>
      <c r="E661" s="19"/>
      <c r="F661" s="19"/>
      <c r="G661" s="19"/>
      <c r="H661" s="19"/>
      <c r="I661" s="19"/>
      <c r="J661" s="10" t="s">
        <v>12</v>
      </c>
      <c r="K661" s="10" t="s">
        <v>12</v>
      </c>
      <c r="L661" s="10" t="s">
        <v>12</v>
      </c>
      <c r="M661" s="10" t="s">
        <v>12</v>
      </c>
      <c r="N661" s="12" t="e">
        <f>VLOOKUP(J661,'Site Allocation'!$B$2:$C$37,2,FALSE)</f>
        <v>#N/A</v>
      </c>
      <c r="O661" s="19"/>
      <c r="P661" s="19"/>
      <c r="Q661" s="19"/>
      <c r="R661" s="19"/>
      <c r="S661" s="19"/>
      <c r="T661" s="19"/>
      <c r="U661" s="19"/>
      <c r="V661" s="19"/>
      <c r="W661" s="19"/>
      <c r="X661" s="19"/>
      <c r="Y661" s="19"/>
    </row>
    <row r="662" spans="1:25" x14ac:dyDescent="0.35">
      <c r="A662" s="19"/>
      <c r="B662" s="19"/>
      <c r="C662" s="19"/>
      <c r="D662" s="19"/>
      <c r="E662" s="19"/>
      <c r="F662" s="19"/>
      <c r="G662" s="19"/>
      <c r="H662" s="19"/>
      <c r="I662" s="19"/>
      <c r="J662" s="10" t="s">
        <v>12</v>
      </c>
      <c r="K662" s="10" t="s">
        <v>12</v>
      </c>
      <c r="L662" s="10" t="s">
        <v>12</v>
      </c>
      <c r="M662" s="10" t="s">
        <v>12</v>
      </c>
      <c r="N662" s="12" t="e">
        <f>VLOOKUP(J662,'Site Allocation'!$B$2:$C$37,2,FALSE)</f>
        <v>#N/A</v>
      </c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</row>
    <row r="663" spans="1:25" x14ac:dyDescent="0.35">
      <c r="A663" s="19"/>
      <c r="B663" s="19"/>
      <c r="C663" s="19"/>
      <c r="D663" s="19"/>
      <c r="E663" s="19"/>
      <c r="F663" s="19"/>
      <c r="G663" s="19"/>
      <c r="H663" s="19"/>
      <c r="I663" s="19"/>
      <c r="J663" s="10" t="s">
        <v>12</v>
      </c>
      <c r="K663" s="10" t="s">
        <v>12</v>
      </c>
      <c r="L663" s="10" t="s">
        <v>12</v>
      </c>
      <c r="M663" s="10" t="s">
        <v>12</v>
      </c>
      <c r="N663" s="12" t="e">
        <f>VLOOKUP(J663,'Site Allocation'!$B$2:$C$37,2,FALSE)</f>
        <v>#N/A</v>
      </c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</row>
    <row r="664" spans="1:25" x14ac:dyDescent="0.35">
      <c r="A664" s="19"/>
      <c r="B664" s="19"/>
      <c r="C664" s="19"/>
      <c r="D664" s="19"/>
      <c r="E664" s="19"/>
      <c r="F664" s="19"/>
      <c r="G664" s="19"/>
      <c r="H664" s="19"/>
      <c r="I664" s="19"/>
      <c r="J664" s="10" t="s">
        <v>12</v>
      </c>
      <c r="K664" s="10" t="s">
        <v>12</v>
      </c>
      <c r="L664" s="10" t="s">
        <v>12</v>
      </c>
      <c r="M664" s="10" t="s">
        <v>12</v>
      </c>
      <c r="N664" s="12" t="e">
        <f>VLOOKUP(J664,'Site Allocation'!$B$2:$C$37,2,FALSE)</f>
        <v>#N/A</v>
      </c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</row>
    <row r="665" spans="1:25" x14ac:dyDescent="0.35">
      <c r="A665" s="19"/>
      <c r="B665" s="19"/>
      <c r="C665" s="19"/>
      <c r="D665" s="19"/>
      <c r="E665" s="19"/>
      <c r="F665" s="19"/>
      <c r="G665" s="19"/>
      <c r="H665" s="19"/>
      <c r="I665" s="19"/>
      <c r="J665" s="10" t="s">
        <v>12</v>
      </c>
      <c r="K665" s="10" t="s">
        <v>12</v>
      </c>
      <c r="L665" s="10" t="s">
        <v>12</v>
      </c>
      <c r="M665" s="10" t="s">
        <v>12</v>
      </c>
      <c r="N665" s="12" t="e">
        <f>VLOOKUP(J665,'Site Allocation'!$B$2:$C$37,2,FALSE)</f>
        <v>#N/A</v>
      </c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</row>
    <row r="666" spans="1:25" x14ac:dyDescent="0.35">
      <c r="A666" s="19"/>
      <c r="B666" s="19"/>
      <c r="C666" s="19"/>
      <c r="D666" s="19"/>
      <c r="E666" s="19"/>
      <c r="F666" s="19"/>
      <c r="G666" s="19"/>
      <c r="H666" s="19"/>
      <c r="I666" s="19"/>
      <c r="J666" s="10" t="s">
        <v>12</v>
      </c>
      <c r="K666" s="10" t="s">
        <v>12</v>
      </c>
      <c r="L666" s="10" t="s">
        <v>12</v>
      </c>
      <c r="M666" s="10" t="s">
        <v>12</v>
      </c>
      <c r="N666" s="12" t="e">
        <f>VLOOKUP(J666,'Site Allocation'!$B$2:$C$37,2,FALSE)</f>
        <v>#N/A</v>
      </c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</row>
    <row r="667" spans="1:25" x14ac:dyDescent="0.35">
      <c r="A667" s="19"/>
      <c r="B667" s="19"/>
      <c r="C667" s="19"/>
      <c r="D667" s="19"/>
      <c r="E667" s="19"/>
      <c r="F667" s="19"/>
      <c r="G667" s="19"/>
      <c r="H667" s="19"/>
      <c r="I667" s="19"/>
      <c r="J667" s="10" t="s">
        <v>12</v>
      </c>
      <c r="K667" s="10" t="s">
        <v>12</v>
      </c>
      <c r="L667" s="10" t="s">
        <v>12</v>
      </c>
      <c r="M667" s="10" t="s">
        <v>12</v>
      </c>
      <c r="N667" s="12" t="e">
        <f>VLOOKUP(J667,'Site Allocation'!$B$2:$C$37,2,FALSE)</f>
        <v>#N/A</v>
      </c>
      <c r="O667" s="19"/>
      <c r="P667" s="19"/>
      <c r="Q667" s="19"/>
      <c r="R667" s="19"/>
      <c r="S667" s="19"/>
      <c r="T667" s="19"/>
      <c r="U667" s="19"/>
      <c r="V667" s="19"/>
      <c r="W667" s="19"/>
      <c r="X667" s="19"/>
      <c r="Y667" s="19"/>
    </row>
    <row r="668" spans="1:25" x14ac:dyDescent="0.35">
      <c r="A668" s="19"/>
      <c r="B668" s="19"/>
      <c r="C668" s="19"/>
      <c r="D668" s="19"/>
      <c r="E668" s="19"/>
      <c r="F668" s="19"/>
      <c r="G668" s="19"/>
      <c r="H668" s="19"/>
      <c r="I668" s="19"/>
      <c r="J668" s="10" t="s">
        <v>12</v>
      </c>
      <c r="K668" s="10" t="s">
        <v>12</v>
      </c>
      <c r="L668" s="10" t="s">
        <v>12</v>
      </c>
      <c r="M668" s="10" t="s">
        <v>12</v>
      </c>
      <c r="N668" s="12" t="e">
        <f>VLOOKUP(J668,'Site Allocation'!$B$2:$C$37,2,FALSE)</f>
        <v>#N/A</v>
      </c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</row>
    <row r="669" spans="1:25" x14ac:dyDescent="0.35">
      <c r="A669" s="19"/>
      <c r="B669" s="19"/>
      <c r="C669" s="19"/>
      <c r="D669" s="19"/>
      <c r="E669" s="19"/>
      <c r="F669" s="19"/>
      <c r="G669" s="19"/>
      <c r="H669" s="19"/>
      <c r="I669" s="19"/>
      <c r="J669" s="10" t="s">
        <v>12</v>
      </c>
      <c r="K669" s="10" t="s">
        <v>12</v>
      </c>
      <c r="L669" s="10" t="s">
        <v>12</v>
      </c>
      <c r="M669" s="10" t="s">
        <v>12</v>
      </c>
      <c r="N669" s="12" t="e">
        <f>VLOOKUP(J669,'Site Allocation'!$B$2:$C$37,2,FALSE)</f>
        <v>#N/A</v>
      </c>
      <c r="O669" s="19"/>
      <c r="P669" s="19"/>
      <c r="Q669" s="19"/>
      <c r="R669" s="19"/>
      <c r="S669" s="19"/>
      <c r="T669" s="19"/>
      <c r="U669" s="19"/>
      <c r="V669" s="19"/>
      <c r="W669" s="19"/>
      <c r="X669" s="19"/>
      <c r="Y669" s="19"/>
    </row>
    <row r="670" spans="1:25" x14ac:dyDescent="0.35">
      <c r="A670" s="19"/>
      <c r="B670" s="19"/>
      <c r="C670" s="19"/>
      <c r="D670" s="19"/>
      <c r="E670" s="19"/>
      <c r="F670" s="19"/>
      <c r="G670" s="19"/>
      <c r="H670" s="19"/>
      <c r="I670" s="19"/>
      <c r="J670" s="10" t="s">
        <v>12</v>
      </c>
      <c r="K670" s="10" t="s">
        <v>12</v>
      </c>
      <c r="L670" s="10" t="s">
        <v>12</v>
      </c>
      <c r="M670" s="10" t="s">
        <v>12</v>
      </c>
      <c r="N670" s="12" t="e">
        <f>VLOOKUP(J670,'Site Allocation'!$B$2:$C$37,2,FALSE)</f>
        <v>#N/A</v>
      </c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</row>
    <row r="671" spans="1:25" x14ac:dyDescent="0.35">
      <c r="A671" s="19"/>
      <c r="B671" s="19"/>
      <c r="C671" s="19"/>
      <c r="D671" s="19"/>
      <c r="E671" s="19"/>
      <c r="F671" s="19"/>
      <c r="G671" s="19"/>
      <c r="H671" s="19"/>
      <c r="I671" s="19"/>
      <c r="J671" s="10" t="s">
        <v>12</v>
      </c>
      <c r="K671" s="10" t="s">
        <v>12</v>
      </c>
      <c r="L671" s="10" t="s">
        <v>12</v>
      </c>
      <c r="M671" s="10" t="s">
        <v>12</v>
      </c>
      <c r="N671" s="12" t="e">
        <f>VLOOKUP(J671,'Site Allocation'!$B$2:$C$37,2,FALSE)</f>
        <v>#N/A</v>
      </c>
      <c r="O671" s="19"/>
      <c r="P671" s="19"/>
      <c r="Q671" s="19"/>
      <c r="R671" s="19"/>
      <c r="S671" s="19"/>
      <c r="T671" s="19"/>
      <c r="U671" s="19"/>
      <c r="V671" s="19"/>
      <c r="W671" s="19"/>
      <c r="X671" s="19"/>
      <c r="Y671" s="19"/>
    </row>
    <row r="672" spans="1:25" x14ac:dyDescent="0.35">
      <c r="A672" s="19"/>
      <c r="B672" s="19"/>
      <c r="C672" s="19"/>
      <c r="D672" s="19"/>
      <c r="E672" s="19"/>
      <c r="F672" s="19"/>
      <c r="G672" s="19"/>
      <c r="H672" s="19"/>
      <c r="I672" s="19"/>
      <c r="J672" s="10" t="s">
        <v>12</v>
      </c>
      <c r="K672" s="10" t="s">
        <v>12</v>
      </c>
      <c r="L672" s="10" t="s">
        <v>12</v>
      </c>
      <c r="M672" s="10" t="s">
        <v>12</v>
      </c>
      <c r="N672" s="12" t="e">
        <f>VLOOKUP(J672,'Site Allocation'!$B$2:$C$37,2,FALSE)</f>
        <v>#N/A</v>
      </c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</row>
    <row r="673" spans="1:25" x14ac:dyDescent="0.35">
      <c r="A673" s="19"/>
      <c r="B673" s="19"/>
      <c r="C673" s="19"/>
      <c r="D673" s="19"/>
      <c r="E673" s="19"/>
      <c r="F673" s="19"/>
      <c r="G673" s="19"/>
      <c r="H673" s="19"/>
      <c r="I673" s="19"/>
      <c r="J673" s="10" t="s">
        <v>12</v>
      </c>
      <c r="K673" s="10" t="s">
        <v>12</v>
      </c>
      <c r="L673" s="10" t="s">
        <v>12</v>
      </c>
      <c r="M673" s="10" t="s">
        <v>12</v>
      </c>
      <c r="N673" s="12" t="e">
        <f>VLOOKUP(J673,'Site Allocation'!$B$2:$C$37,2,FALSE)</f>
        <v>#N/A</v>
      </c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</row>
    <row r="674" spans="1:25" x14ac:dyDescent="0.35">
      <c r="A674" s="19"/>
      <c r="B674" s="19"/>
      <c r="C674" s="19"/>
      <c r="D674" s="19"/>
      <c r="E674" s="19"/>
      <c r="F674" s="19"/>
      <c r="G674" s="19"/>
      <c r="H674" s="19"/>
      <c r="I674" s="19"/>
      <c r="J674" s="10" t="s">
        <v>12</v>
      </c>
      <c r="K674" s="10" t="s">
        <v>12</v>
      </c>
      <c r="L674" s="10" t="s">
        <v>12</v>
      </c>
      <c r="M674" s="10" t="s">
        <v>12</v>
      </c>
      <c r="N674" s="12" t="e">
        <f>VLOOKUP(J674,'Site Allocation'!$B$2:$C$37,2,FALSE)</f>
        <v>#N/A</v>
      </c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</row>
    <row r="675" spans="1:25" x14ac:dyDescent="0.35">
      <c r="A675" s="19"/>
      <c r="B675" s="19"/>
      <c r="C675" s="19"/>
      <c r="D675" s="19"/>
      <c r="E675" s="19"/>
      <c r="F675" s="19"/>
      <c r="G675" s="19"/>
      <c r="H675" s="19"/>
      <c r="I675" s="19"/>
      <c r="J675" s="10" t="s">
        <v>12</v>
      </c>
      <c r="K675" s="10" t="s">
        <v>12</v>
      </c>
      <c r="L675" s="10" t="s">
        <v>12</v>
      </c>
      <c r="M675" s="10" t="s">
        <v>12</v>
      </c>
      <c r="N675" s="12" t="e">
        <f>VLOOKUP(J675,'Site Allocation'!$B$2:$C$37,2,FALSE)</f>
        <v>#N/A</v>
      </c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</row>
    <row r="676" spans="1:25" x14ac:dyDescent="0.35">
      <c r="A676" s="19"/>
      <c r="B676" s="19"/>
      <c r="C676" s="19"/>
      <c r="D676" s="19"/>
      <c r="E676" s="19"/>
      <c r="F676" s="19"/>
      <c r="G676" s="19"/>
      <c r="H676" s="19"/>
      <c r="I676" s="19"/>
      <c r="J676" s="10" t="s">
        <v>12</v>
      </c>
      <c r="K676" s="10" t="s">
        <v>12</v>
      </c>
      <c r="L676" s="10" t="s">
        <v>12</v>
      </c>
      <c r="M676" s="10" t="s">
        <v>12</v>
      </c>
      <c r="N676" s="12" t="e">
        <f>VLOOKUP(J676,'Site Allocation'!$B$2:$C$37,2,FALSE)</f>
        <v>#N/A</v>
      </c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</row>
    <row r="677" spans="1:25" x14ac:dyDescent="0.35">
      <c r="A677" s="19"/>
      <c r="B677" s="19"/>
      <c r="C677" s="19"/>
      <c r="D677" s="19"/>
      <c r="E677" s="19"/>
      <c r="F677" s="19"/>
      <c r="G677" s="19"/>
      <c r="H677" s="19"/>
      <c r="I677" s="19"/>
      <c r="J677" s="10" t="s">
        <v>12</v>
      </c>
      <c r="K677" s="10" t="s">
        <v>12</v>
      </c>
      <c r="L677" s="10" t="s">
        <v>12</v>
      </c>
      <c r="M677" s="10" t="s">
        <v>12</v>
      </c>
      <c r="N677" s="12" t="e">
        <f>VLOOKUP(J677,'Site Allocation'!$B$2:$C$37,2,FALSE)</f>
        <v>#N/A</v>
      </c>
      <c r="O677" s="19"/>
      <c r="P677" s="19"/>
      <c r="Q677" s="19"/>
      <c r="R677" s="19"/>
      <c r="S677" s="19"/>
      <c r="T677" s="19"/>
      <c r="U677" s="19"/>
      <c r="V677" s="19"/>
      <c r="W677" s="19"/>
      <c r="X677" s="19"/>
      <c r="Y677" s="19"/>
    </row>
    <row r="678" spans="1:25" x14ac:dyDescent="0.35">
      <c r="A678" s="19"/>
      <c r="B678" s="19"/>
      <c r="C678" s="19"/>
      <c r="D678" s="19"/>
      <c r="E678" s="19"/>
      <c r="F678" s="19"/>
      <c r="G678" s="19"/>
      <c r="H678" s="19"/>
      <c r="I678" s="19"/>
      <c r="J678" s="10" t="s">
        <v>12</v>
      </c>
      <c r="K678" s="10" t="s">
        <v>12</v>
      </c>
      <c r="L678" s="10" t="s">
        <v>12</v>
      </c>
      <c r="M678" s="10" t="s">
        <v>12</v>
      </c>
      <c r="N678" s="12" t="e">
        <f>VLOOKUP(J678,'Site Allocation'!$B$2:$C$37,2,FALSE)</f>
        <v>#N/A</v>
      </c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</row>
    <row r="679" spans="1:25" x14ac:dyDescent="0.35">
      <c r="A679" s="19"/>
      <c r="B679" s="19"/>
      <c r="C679" s="19"/>
      <c r="D679" s="19"/>
      <c r="E679" s="19"/>
      <c r="F679" s="19"/>
      <c r="G679" s="19"/>
      <c r="H679" s="19"/>
      <c r="I679" s="19"/>
      <c r="J679" s="10" t="s">
        <v>12</v>
      </c>
      <c r="K679" s="10" t="s">
        <v>12</v>
      </c>
      <c r="L679" s="10" t="s">
        <v>12</v>
      </c>
      <c r="M679" s="10" t="s">
        <v>12</v>
      </c>
      <c r="N679" s="12" t="e">
        <f>VLOOKUP(J679,'Site Allocation'!$B$2:$C$37,2,FALSE)</f>
        <v>#N/A</v>
      </c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</row>
    <row r="680" spans="1:25" x14ac:dyDescent="0.35">
      <c r="A680" s="19"/>
      <c r="B680" s="19"/>
      <c r="C680" s="19"/>
      <c r="D680" s="19"/>
      <c r="E680" s="19"/>
      <c r="F680" s="19"/>
      <c r="G680" s="19"/>
      <c r="H680" s="19"/>
      <c r="I680" s="19"/>
      <c r="J680" s="10" t="s">
        <v>12</v>
      </c>
      <c r="K680" s="10" t="s">
        <v>12</v>
      </c>
      <c r="L680" s="10" t="s">
        <v>12</v>
      </c>
      <c r="M680" s="10" t="s">
        <v>12</v>
      </c>
      <c r="N680" s="12" t="e">
        <f>VLOOKUP(J680,'Site Allocation'!$B$2:$C$37,2,FALSE)</f>
        <v>#N/A</v>
      </c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</row>
    <row r="681" spans="1:25" x14ac:dyDescent="0.35">
      <c r="A681" s="19"/>
      <c r="B681" s="19"/>
      <c r="C681" s="19"/>
      <c r="D681" s="19"/>
      <c r="E681" s="19"/>
      <c r="F681" s="19"/>
      <c r="G681" s="19"/>
      <c r="H681" s="19"/>
      <c r="I681" s="19"/>
      <c r="J681" s="10" t="s">
        <v>12</v>
      </c>
      <c r="K681" s="10" t="s">
        <v>12</v>
      </c>
      <c r="L681" s="10" t="s">
        <v>12</v>
      </c>
      <c r="M681" s="10" t="s">
        <v>12</v>
      </c>
      <c r="N681" s="12" t="e">
        <f>VLOOKUP(J681,'Site Allocation'!$B$2:$C$37,2,FALSE)</f>
        <v>#N/A</v>
      </c>
      <c r="O681" s="19"/>
      <c r="P681" s="19"/>
      <c r="Q681" s="19"/>
      <c r="R681" s="19"/>
      <c r="S681" s="19"/>
      <c r="T681" s="19"/>
      <c r="U681" s="19"/>
      <c r="V681" s="19"/>
      <c r="W681" s="19"/>
      <c r="X681" s="19"/>
      <c r="Y681" s="19"/>
    </row>
    <row r="682" spans="1:25" x14ac:dyDescent="0.35">
      <c r="A682" s="19"/>
      <c r="B682" s="19"/>
      <c r="C682" s="19"/>
      <c r="D682" s="19"/>
      <c r="E682" s="19"/>
      <c r="F682" s="19"/>
      <c r="G682" s="19"/>
      <c r="H682" s="19"/>
      <c r="I682" s="19"/>
      <c r="J682" s="10" t="s">
        <v>12</v>
      </c>
      <c r="K682" s="10" t="s">
        <v>12</v>
      </c>
      <c r="L682" s="10" t="s">
        <v>12</v>
      </c>
      <c r="M682" s="10" t="s">
        <v>12</v>
      </c>
      <c r="N682" s="12" t="e">
        <f>VLOOKUP(J682,'Site Allocation'!$B$2:$C$37,2,FALSE)</f>
        <v>#N/A</v>
      </c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</row>
    <row r="683" spans="1:25" x14ac:dyDescent="0.35">
      <c r="A683" s="19"/>
      <c r="B683" s="19"/>
      <c r="C683" s="19"/>
      <c r="D683" s="19"/>
      <c r="E683" s="19"/>
      <c r="F683" s="19"/>
      <c r="G683" s="19"/>
      <c r="H683" s="19"/>
      <c r="I683" s="19"/>
      <c r="J683" s="10" t="s">
        <v>12</v>
      </c>
      <c r="K683" s="10" t="s">
        <v>12</v>
      </c>
      <c r="L683" s="10" t="s">
        <v>12</v>
      </c>
      <c r="M683" s="10" t="s">
        <v>12</v>
      </c>
      <c r="N683" s="12" t="e">
        <f>VLOOKUP(J683,'Site Allocation'!$B$2:$C$37,2,FALSE)</f>
        <v>#N/A</v>
      </c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</row>
    <row r="684" spans="1:25" x14ac:dyDescent="0.35">
      <c r="A684" s="19"/>
      <c r="B684" s="19"/>
      <c r="C684" s="19"/>
      <c r="D684" s="19"/>
      <c r="E684" s="19"/>
      <c r="F684" s="19"/>
      <c r="G684" s="19"/>
      <c r="H684" s="19"/>
      <c r="I684" s="19"/>
      <c r="J684" s="10" t="s">
        <v>12</v>
      </c>
      <c r="K684" s="10" t="s">
        <v>12</v>
      </c>
      <c r="L684" s="10" t="s">
        <v>12</v>
      </c>
      <c r="M684" s="10" t="s">
        <v>12</v>
      </c>
      <c r="N684" s="12" t="e">
        <f>VLOOKUP(J684,'Site Allocation'!$B$2:$C$37,2,FALSE)</f>
        <v>#N/A</v>
      </c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</row>
    <row r="685" spans="1:25" x14ac:dyDescent="0.35">
      <c r="A685" s="19"/>
      <c r="B685" s="19"/>
      <c r="C685" s="19"/>
      <c r="D685" s="19"/>
      <c r="E685" s="19"/>
      <c r="F685" s="19"/>
      <c r="G685" s="19"/>
      <c r="H685" s="19"/>
      <c r="I685" s="19"/>
      <c r="J685" s="10" t="s">
        <v>12</v>
      </c>
      <c r="K685" s="10" t="s">
        <v>12</v>
      </c>
      <c r="L685" s="10" t="s">
        <v>12</v>
      </c>
      <c r="M685" s="10" t="s">
        <v>12</v>
      </c>
      <c r="N685" s="12" t="e">
        <f>VLOOKUP(J685,'Site Allocation'!$B$2:$C$37,2,FALSE)</f>
        <v>#N/A</v>
      </c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</row>
    <row r="686" spans="1:25" x14ac:dyDescent="0.35">
      <c r="A686" s="19"/>
      <c r="B686" s="19"/>
      <c r="C686" s="19"/>
      <c r="D686" s="19"/>
      <c r="E686" s="19"/>
      <c r="F686" s="19"/>
      <c r="G686" s="19"/>
      <c r="H686" s="19"/>
      <c r="I686" s="19"/>
      <c r="J686" s="10" t="s">
        <v>12</v>
      </c>
      <c r="K686" s="10" t="s">
        <v>12</v>
      </c>
      <c r="L686" s="10" t="s">
        <v>12</v>
      </c>
      <c r="M686" s="10" t="s">
        <v>12</v>
      </c>
      <c r="N686" s="12" t="e">
        <f>VLOOKUP(J686,'Site Allocation'!$B$2:$C$37,2,FALSE)</f>
        <v>#N/A</v>
      </c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</row>
    <row r="687" spans="1:25" x14ac:dyDescent="0.35">
      <c r="A687" s="19"/>
      <c r="B687" s="19"/>
      <c r="C687" s="19"/>
      <c r="D687" s="19"/>
      <c r="E687" s="19"/>
      <c r="F687" s="19"/>
      <c r="G687" s="19"/>
      <c r="H687" s="19"/>
      <c r="I687" s="19"/>
      <c r="J687" s="10" t="s">
        <v>12</v>
      </c>
      <c r="K687" s="10" t="s">
        <v>12</v>
      </c>
      <c r="L687" s="10" t="s">
        <v>12</v>
      </c>
      <c r="M687" s="10" t="s">
        <v>12</v>
      </c>
      <c r="N687" s="12" t="e">
        <f>VLOOKUP(J687,'Site Allocation'!$B$2:$C$37,2,FALSE)</f>
        <v>#N/A</v>
      </c>
      <c r="O687" s="19"/>
      <c r="P687" s="19"/>
      <c r="Q687" s="19"/>
      <c r="R687" s="19"/>
      <c r="S687" s="19"/>
      <c r="T687" s="19"/>
      <c r="U687" s="19"/>
      <c r="V687" s="19"/>
      <c r="W687" s="19"/>
      <c r="X687" s="19"/>
      <c r="Y687" s="19"/>
    </row>
    <row r="688" spans="1:25" x14ac:dyDescent="0.35">
      <c r="A688" s="19"/>
      <c r="B688" s="19"/>
      <c r="C688" s="19"/>
      <c r="D688" s="19"/>
      <c r="E688" s="19"/>
      <c r="F688" s="19"/>
      <c r="G688" s="19"/>
      <c r="H688" s="19"/>
      <c r="I688" s="19"/>
      <c r="J688" s="10" t="s">
        <v>12</v>
      </c>
      <c r="K688" s="10" t="s">
        <v>12</v>
      </c>
      <c r="L688" s="10" t="s">
        <v>12</v>
      </c>
      <c r="M688" s="10" t="s">
        <v>12</v>
      </c>
      <c r="N688" s="12" t="e">
        <f>VLOOKUP(J688,'Site Allocation'!$B$2:$C$37,2,FALSE)</f>
        <v>#N/A</v>
      </c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</row>
    <row r="689" spans="1:25" x14ac:dyDescent="0.35">
      <c r="A689" s="19"/>
      <c r="B689" s="19"/>
      <c r="C689" s="19"/>
      <c r="D689" s="19"/>
      <c r="E689" s="19"/>
      <c r="F689" s="19"/>
      <c r="G689" s="19"/>
      <c r="H689" s="19"/>
      <c r="I689" s="19"/>
      <c r="J689" s="10" t="s">
        <v>12</v>
      </c>
      <c r="K689" s="10" t="s">
        <v>12</v>
      </c>
      <c r="L689" s="10" t="s">
        <v>12</v>
      </c>
      <c r="M689" s="10" t="s">
        <v>12</v>
      </c>
      <c r="N689" s="12" t="e">
        <f>VLOOKUP(J689,'Site Allocation'!$B$2:$C$37,2,FALSE)</f>
        <v>#N/A</v>
      </c>
      <c r="O689" s="19"/>
      <c r="P689" s="19"/>
      <c r="Q689" s="19"/>
      <c r="R689" s="19"/>
      <c r="S689" s="19"/>
      <c r="T689" s="19"/>
      <c r="U689" s="19"/>
      <c r="V689" s="19"/>
      <c r="W689" s="19"/>
      <c r="X689" s="19"/>
      <c r="Y689" s="19"/>
    </row>
    <row r="690" spans="1:25" x14ac:dyDescent="0.35">
      <c r="A690" s="19"/>
      <c r="B690" s="19"/>
      <c r="C690" s="19"/>
      <c r="D690" s="19"/>
      <c r="E690" s="19"/>
      <c r="F690" s="19"/>
      <c r="G690" s="19"/>
      <c r="H690" s="19"/>
      <c r="I690" s="19"/>
      <c r="J690" s="10" t="s">
        <v>12</v>
      </c>
      <c r="K690" s="10" t="s">
        <v>12</v>
      </c>
      <c r="L690" s="10" t="s">
        <v>12</v>
      </c>
      <c r="M690" s="10" t="s">
        <v>12</v>
      </c>
      <c r="N690" s="12" t="e">
        <f>VLOOKUP(J690,'Site Allocation'!$B$2:$C$37,2,FALSE)</f>
        <v>#N/A</v>
      </c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</row>
    <row r="691" spans="1:25" x14ac:dyDescent="0.35">
      <c r="A691" s="19"/>
      <c r="B691" s="19"/>
      <c r="C691" s="19"/>
      <c r="D691" s="19"/>
      <c r="E691" s="19"/>
      <c r="F691" s="19"/>
      <c r="G691" s="19"/>
      <c r="H691" s="19"/>
      <c r="I691" s="19"/>
      <c r="J691" s="10" t="s">
        <v>12</v>
      </c>
      <c r="K691" s="10" t="s">
        <v>12</v>
      </c>
      <c r="L691" s="10" t="s">
        <v>12</v>
      </c>
      <c r="M691" s="10" t="s">
        <v>12</v>
      </c>
      <c r="N691" s="12" t="e">
        <f>VLOOKUP(J691,'Site Allocation'!$B$2:$C$37,2,FALSE)</f>
        <v>#N/A</v>
      </c>
      <c r="O691" s="19"/>
      <c r="P691" s="19"/>
      <c r="Q691" s="19"/>
      <c r="R691" s="19"/>
      <c r="S691" s="19"/>
      <c r="T691" s="19"/>
      <c r="U691" s="19"/>
      <c r="V691" s="19"/>
      <c r="W691" s="19"/>
      <c r="X691" s="19"/>
      <c r="Y691" s="19"/>
    </row>
    <row r="692" spans="1:25" x14ac:dyDescent="0.35">
      <c r="A692" s="19"/>
      <c r="B692" s="19"/>
      <c r="C692" s="19"/>
      <c r="D692" s="19"/>
      <c r="E692" s="19"/>
      <c r="F692" s="19"/>
      <c r="G692" s="19"/>
      <c r="H692" s="19"/>
      <c r="I692" s="19"/>
      <c r="J692" s="10" t="s">
        <v>12</v>
      </c>
      <c r="K692" s="10" t="s">
        <v>12</v>
      </c>
      <c r="L692" s="10" t="s">
        <v>12</v>
      </c>
      <c r="M692" s="10" t="s">
        <v>12</v>
      </c>
      <c r="N692" s="12" t="e">
        <f>VLOOKUP(J692,'Site Allocation'!$B$2:$C$37,2,FALSE)</f>
        <v>#N/A</v>
      </c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</row>
    <row r="693" spans="1:25" x14ac:dyDescent="0.35">
      <c r="A693" s="19"/>
      <c r="B693" s="19"/>
      <c r="C693" s="19"/>
      <c r="D693" s="19"/>
      <c r="E693" s="19"/>
      <c r="F693" s="19"/>
      <c r="G693" s="19"/>
      <c r="H693" s="19"/>
      <c r="I693" s="19"/>
      <c r="J693" s="10" t="s">
        <v>12</v>
      </c>
      <c r="K693" s="10" t="s">
        <v>12</v>
      </c>
      <c r="L693" s="10" t="s">
        <v>12</v>
      </c>
      <c r="M693" s="10" t="s">
        <v>12</v>
      </c>
      <c r="N693" s="12" t="e">
        <f>VLOOKUP(J693,'Site Allocation'!$B$2:$C$37,2,FALSE)</f>
        <v>#N/A</v>
      </c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</row>
    <row r="694" spans="1:25" x14ac:dyDescent="0.35">
      <c r="A694" s="19"/>
      <c r="B694" s="19"/>
      <c r="C694" s="19"/>
      <c r="D694" s="19"/>
      <c r="E694" s="19"/>
      <c r="F694" s="19"/>
      <c r="G694" s="19"/>
      <c r="H694" s="19"/>
      <c r="I694" s="19"/>
      <c r="J694" s="10" t="s">
        <v>12</v>
      </c>
      <c r="K694" s="10" t="s">
        <v>12</v>
      </c>
      <c r="L694" s="10" t="s">
        <v>12</v>
      </c>
      <c r="M694" s="10" t="s">
        <v>12</v>
      </c>
      <c r="N694" s="12" t="e">
        <f>VLOOKUP(J694,'Site Allocation'!$B$2:$C$37,2,FALSE)</f>
        <v>#N/A</v>
      </c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</row>
    <row r="695" spans="1:25" x14ac:dyDescent="0.35">
      <c r="A695" s="19"/>
      <c r="B695" s="19"/>
      <c r="C695" s="19"/>
      <c r="D695" s="19"/>
      <c r="E695" s="19"/>
      <c r="F695" s="19"/>
      <c r="G695" s="19"/>
      <c r="H695" s="19"/>
      <c r="I695" s="19"/>
      <c r="J695" s="10" t="s">
        <v>12</v>
      </c>
      <c r="K695" s="10" t="s">
        <v>12</v>
      </c>
      <c r="L695" s="10" t="s">
        <v>12</v>
      </c>
      <c r="M695" s="10" t="s">
        <v>12</v>
      </c>
      <c r="N695" s="12" t="e">
        <f>VLOOKUP(J695,'Site Allocation'!$B$2:$C$37,2,FALSE)</f>
        <v>#N/A</v>
      </c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</row>
    <row r="696" spans="1:25" x14ac:dyDescent="0.35">
      <c r="A696" s="19"/>
      <c r="B696" s="19"/>
      <c r="C696" s="19"/>
      <c r="D696" s="19"/>
      <c r="E696" s="19"/>
      <c r="F696" s="19"/>
      <c r="G696" s="19"/>
      <c r="H696" s="19"/>
      <c r="I696" s="19"/>
      <c r="J696" s="10" t="s">
        <v>12</v>
      </c>
      <c r="K696" s="10" t="s">
        <v>12</v>
      </c>
      <c r="L696" s="10" t="s">
        <v>12</v>
      </c>
      <c r="M696" s="10" t="s">
        <v>12</v>
      </c>
      <c r="N696" s="12" t="e">
        <f>VLOOKUP(J696,'Site Allocation'!$B$2:$C$37,2,FALSE)</f>
        <v>#N/A</v>
      </c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</row>
    <row r="697" spans="1:25" x14ac:dyDescent="0.35">
      <c r="A697" s="19"/>
      <c r="B697" s="19"/>
      <c r="C697" s="19"/>
      <c r="D697" s="19"/>
      <c r="E697" s="19"/>
      <c r="F697" s="19"/>
      <c r="G697" s="19"/>
      <c r="H697" s="19"/>
      <c r="I697" s="19"/>
      <c r="J697" s="10" t="s">
        <v>12</v>
      </c>
      <c r="K697" s="10" t="s">
        <v>12</v>
      </c>
      <c r="L697" s="10" t="s">
        <v>12</v>
      </c>
      <c r="M697" s="10" t="s">
        <v>12</v>
      </c>
      <c r="N697" s="12" t="e">
        <f>VLOOKUP(J697,'Site Allocation'!$B$2:$C$37,2,FALSE)</f>
        <v>#N/A</v>
      </c>
      <c r="O697" s="19"/>
      <c r="P697" s="19"/>
      <c r="Q697" s="19"/>
      <c r="R697" s="19"/>
      <c r="S697" s="19"/>
      <c r="T697" s="19"/>
      <c r="U697" s="19"/>
      <c r="V697" s="19"/>
      <c r="W697" s="19"/>
      <c r="X697" s="19"/>
      <c r="Y697" s="19"/>
    </row>
    <row r="698" spans="1:25" x14ac:dyDescent="0.35">
      <c r="A698" s="19"/>
      <c r="B698" s="19"/>
      <c r="C698" s="19"/>
      <c r="D698" s="19"/>
      <c r="E698" s="19"/>
      <c r="F698" s="19"/>
      <c r="G698" s="19"/>
      <c r="H698" s="19"/>
      <c r="I698" s="19"/>
      <c r="J698" s="10" t="s">
        <v>12</v>
      </c>
      <c r="K698" s="10" t="s">
        <v>12</v>
      </c>
      <c r="L698" s="10" t="s">
        <v>12</v>
      </c>
      <c r="M698" s="10" t="s">
        <v>12</v>
      </c>
      <c r="N698" s="12" t="e">
        <f>VLOOKUP(J698,'Site Allocation'!$B$2:$C$37,2,FALSE)</f>
        <v>#N/A</v>
      </c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</row>
    <row r="699" spans="1:25" x14ac:dyDescent="0.35">
      <c r="A699" s="19"/>
      <c r="B699" s="19"/>
      <c r="C699" s="19"/>
      <c r="D699" s="19"/>
      <c r="E699" s="19"/>
      <c r="F699" s="19"/>
      <c r="G699" s="19"/>
      <c r="H699" s="19"/>
      <c r="I699" s="19"/>
      <c r="J699" s="10" t="s">
        <v>12</v>
      </c>
      <c r="K699" s="10" t="s">
        <v>12</v>
      </c>
      <c r="L699" s="10" t="s">
        <v>12</v>
      </c>
      <c r="M699" s="10" t="s">
        <v>12</v>
      </c>
      <c r="N699" s="12" t="e">
        <f>VLOOKUP(J699,'Site Allocation'!$B$2:$C$37,2,FALSE)</f>
        <v>#N/A</v>
      </c>
      <c r="O699" s="19"/>
      <c r="P699" s="19"/>
      <c r="Q699" s="19"/>
      <c r="R699" s="19"/>
      <c r="S699" s="19"/>
      <c r="T699" s="19"/>
      <c r="U699" s="19"/>
      <c r="V699" s="19"/>
      <c r="W699" s="19"/>
      <c r="X699" s="19"/>
      <c r="Y699" s="19"/>
    </row>
    <row r="700" spans="1:25" x14ac:dyDescent="0.35">
      <c r="A700" s="19"/>
      <c r="B700" s="19"/>
      <c r="C700" s="19"/>
      <c r="D700" s="19"/>
      <c r="E700" s="19"/>
      <c r="F700" s="19"/>
      <c r="G700" s="19"/>
      <c r="H700" s="19"/>
      <c r="I700" s="19"/>
      <c r="J700" s="10" t="s">
        <v>12</v>
      </c>
      <c r="K700" s="10" t="s">
        <v>12</v>
      </c>
      <c r="L700" s="10" t="s">
        <v>12</v>
      </c>
      <c r="M700" s="10" t="s">
        <v>12</v>
      </c>
      <c r="N700" s="12" t="e">
        <f>VLOOKUP(J700,'Site Allocation'!$B$2:$C$37,2,FALSE)</f>
        <v>#N/A</v>
      </c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</row>
    <row r="701" spans="1:25" x14ac:dyDescent="0.35">
      <c r="A701" s="19"/>
      <c r="B701" s="19"/>
      <c r="C701" s="19"/>
      <c r="D701" s="19"/>
      <c r="E701" s="19"/>
      <c r="F701" s="19"/>
      <c r="G701" s="19"/>
      <c r="H701" s="19"/>
      <c r="I701" s="19"/>
      <c r="J701" s="10" t="s">
        <v>12</v>
      </c>
      <c r="K701" s="10" t="s">
        <v>12</v>
      </c>
      <c r="L701" s="10" t="s">
        <v>12</v>
      </c>
      <c r="M701" s="10" t="s">
        <v>12</v>
      </c>
      <c r="N701" s="12" t="e">
        <f>VLOOKUP(J701,'Site Allocation'!$B$2:$C$37,2,FALSE)</f>
        <v>#N/A</v>
      </c>
      <c r="O701" s="19"/>
      <c r="P701" s="19"/>
      <c r="Q701" s="19"/>
      <c r="R701" s="19"/>
      <c r="S701" s="19"/>
      <c r="T701" s="19"/>
      <c r="U701" s="19"/>
      <c r="V701" s="19"/>
      <c r="W701" s="19"/>
      <c r="X701" s="19"/>
      <c r="Y701" s="19"/>
    </row>
    <row r="702" spans="1:25" x14ac:dyDescent="0.35">
      <c r="A702" s="19"/>
      <c r="B702" s="19"/>
      <c r="C702" s="19"/>
      <c r="D702" s="19"/>
      <c r="E702" s="19"/>
      <c r="F702" s="19"/>
      <c r="G702" s="19"/>
      <c r="H702" s="19"/>
      <c r="I702" s="19"/>
      <c r="J702" s="10" t="s">
        <v>12</v>
      </c>
      <c r="K702" s="10" t="s">
        <v>12</v>
      </c>
      <c r="L702" s="10" t="s">
        <v>12</v>
      </c>
      <c r="M702" s="10" t="s">
        <v>12</v>
      </c>
      <c r="N702" s="12" t="e">
        <f>VLOOKUP(J702,'Site Allocation'!$B$2:$C$37,2,FALSE)</f>
        <v>#N/A</v>
      </c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</row>
    <row r="703" spans="1:25" x14ac:dyDescent="0.35">
      <c r="A703" s="19"/>
      <c r="B703" s="19"/>
      <c r="C703" s="19"/>
      <c r="D703" s="19"/>
      <c r="E703" s="19"/>
      <c r="F703" s="19"/>
      <c r="G703" s="19"/>
      <c r="H703" s="19"/>
      <c r="I703" s="19"/>
      <c r="J703" s="10" t="s">
        <v>12</v>
      </c>
      <c r="K703" s="10" t="s">
        <v>12</v>
      </c>
      <c r="L703" s="10" t="s">
        <v>12</v>
      </c>
      <c r="M703" s="10" t="s">
        <v>12</v>
      </c>
      <c r="N703" s="12" t="e">
        <f>VLOOKUP(J703,'Site Allocation'!$B$2:$C$37,2,FALSE)</f>
        <v>#N/A</v>
      </c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</row>
    <row r="704" spans="1:25" x14ac:dyDescent="0.35">
      <c r="A704" s="19"/>
      <c r="B704" s="19"/>
      <c r="C704" s="19"/>
      <c r="D704" s="19"/>
      <c r="E704" s="19"/>
      <c r="F704" s="19"/>
      <c r="G704" s="19"/>
      <c r="H704" s="19"/>
      <c r="I704" s="19"/>
      <c r="J704" s="10" t="s">
        <v>12</v>
      </c>
      <c r="K704" s="10" t="s">
        <v>12</v>
      </c>
      <c r="L704" s="10" t="s">
        <v>12</v>
      </c>
      <c r="M704" s="10" t="s">
        <v>12</v>
      </c>
      <c r="N704" s="12" t="e">
        <f>VLOOKUP(J704,'Site Allocation'!$B$2:$C$37,2,FALSE)</f>
        <v>#N/A</v>
      </c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</row>
    <row r="705" spans="1:25" x14ac:dyDescent="0.35">
      <c r="A705" s="19"/>
      <c r="B705" s="19"/>
      <c r="C705" s="19"/>
      <c r="D705" s="19"/>
      <c r="E705" s="19"/>
      <c r="F705" s="19"/>
      <c r="G705" s="19"/>
      <c r="H705" s="19"/>
      <c r="I705" s="19"/>
      <c r="J705" s="10" t="s">
        <v>12</v>
      </c>
      <c r="K705" s="10" t="s">
        <v>12</v>
      </c>
      <c r="L705" s="10" t="s">
        <v>12</v>
      </c>
      <c r="M705" s="10" t="s">
        <v>12</v>
      </c>
      <c r="N705" s="12" t="e">
        <f>VLOOKUP(J705,'Site Allocation'!$B$2:$C$37,2,FALSE)</f>
        <v>#N/A</v>
      </c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</row>
    <row r="706" spans="1:25" x14ac:dyDescent="0.35">
      <c r="A706" s="19"/>
      <c r="B706" s="19"/>
      <c r="C706" s="19"/>
      <c r="D706" s="19"/>
      <c r="E706" s="19"/>
      <c r="F706" s="19"/>
      <c r="G706" s="19"/>
      <c r="H706" s="19"/>
      <c r="I706" s="19"/>
      <c r="J706" s="10" t="s">
        <v>12</v>
      </c>
      <c r="K706" s="10" t="s">
        <v>12</v>
      </c>
      <c r="L706" s="10" t="s">
        <v>12</v>
      </c>
      <c r="M706" s="10" t="s">
        <v>12</v>
      </c>
      <c r="N706" s="12" t="e">
        <f>VLOOKUP(J706,'Site Allocation'!$B$2:$C$37,2,FALSE)</f>
        <v>#N/A</v>
      </c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</row>
    <row r="707" spans="1:25" x14ac:dyDescent="0.35">
      <c r="A707" s="19"/>
      <c r="B707" s="19"/>
      <c r="C707" s="19"/>
      <c r="D707" s="19"/>
      <c r="E707" s="19"/>
      <c r="F707" s="19"/>
      <c r="G707" s="19"/>
      <c r="H707" s="19"/>
      <c r="I707" s="19"/>
      <c r="J707" s="10" t="s">
        <v>12</v>
      </c>
      <c r="K707" s="10" t="s">
        <v>12</v>
      </c>
      <c r="L707" s="10" t="s">
        <v>12</v>
      </c>
      <c r="M707" s="10" t="s">
        <v>12</v>
      </c>
      <c r="N707" s="12" t="e">
        <f>VLOOKUP(J707,'Site Allocation'!$B$2:$C$37,2,FALSE)</f>
        <v>#N/A</v>
      </c>
      <c r="O707" s="19"/>
      <c r="P707" s="19"/>
      <c r="Q707" s="19"/>
      <c r="R707" s="19"/>
      <c r="S707" s="19"/>
      <c r="T707" s="19"/>
      <c r="U707" s="19"/>
      <c r="V707" s="19"/>
      <c r="W707" s="19"/>
      <c r="X707" s="19"/>
      <c r="Y707" s="19"/>
    </row>
    <row r="708" spans="1:25" x14ac:dyDescent="0.35">
      <c r="A708" s="19"/>
      <c r="B708" s="19"/>
      <c r="C708" s="19"/>
      <c r="D708" s="19"/>
      <c r="E708" s="19"/>
      <c r="F708" s="19"/>
      <c r="G708" s="19"/>
      <c r="H708" s="19"/>
      <c r="I708" s="19"/>
      <c r="J708" s="10" t="s">
        <v>12</v>
      </c>
      <c r="K708" s="10" t="s">
        <v>12</v>
      </c>
      <c r="L708" s="10" t="s">
        <v>12</v>
      </c>
      <c r="M708" s="10" t="s">
        <v>12</v>
      </c>
      <c r="N708" s="12" t="e">
        <f>VLOOKUP(J708,'Site Allocation'!$B$2:$C$37,2,FALSE)</f>
        <v>#N/A</v>
      </c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</row>
    <row r="709" spans="1:25" x14ac:dyDescent="0.35">
      <c r="A709" s="19"/>
      <c r="B709" s="19"/>
      <c r="C709" s="19"/>
      <c r="D709" s="19"/>
      <c r="E709" s="19"/>
      <c r="F709" s="19"/>
      <c r="G709" s="19"/>
      <c r="H709" s="19"/>
      <c r="I709" s="19"/>
      <c r="J709" s="10" t="s">
        <v>12</v>
      </c>
      <c r="K709" s="10" t="s">
        <v>12</v>
      </c>
      <c r="L709" s="10" t="s">
        <v>12</v>
      </c>
      <c r="M709" s="10" t="s">
        <v>12</v>
      </c>
      <c r="N709" s="12" t="e">
        <f>VLOOKUP(J709,'Site Allocation'!$B$2:$C$37,2,FALSE)</f>
        <v>#N/A</v>
      </c>
      <c r="O709" s="19"/>
      <c r="P709" s="19"/>
      <c r="Q709" s="19"/>
      <c r="R709" s="19"/>
      <c r="S709" s="19"/>
      <c r="T709" s="19"/>
      <c r="U709" s="19"/>
      <c r="V709" s="19"/>
      <c r="W709" s="19"/>
      <c r="X709" s="19"/>
      <c r="Y709" s="19"/>
    </row>
    <row r="710" spans="1:25" x14ac:dyDescent="0.35">
      <c r="A710" s="19"/>
      <c r="B710" s="19"/>
      <c r="C710" s="19"/>
      <c r="D710" s="19"/>
      <c r="E710" s="19"/>
      <c r="F710" s="19"/>
      <c r="G710" s="19"/>
      <c r="H710" s="19"/>
      <c r="I710" s="19"/>
      <c r="J710" s="10" t="s">
        <v>12</v>
      </c>
      <c r="K710" s="10" t="s">
        <v>12</v>
      </c>
      <c r="L710" s="10" t="s">
        <v>12</v>
      </c>
      <c r="M710" s="10" t="s">
        <v>12</v>
      </c>
      <c r="N710" s="12" t="e">
        <f>VLOOKUP(J710,'Site Allocation'!$B$2:$C$37,2,FALSE)</f>
        <v>#N/A</v>
      </c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</row>
    <row r="711" spans="1:25" x14ac:dyDescent="0.35">
      <c r="A711" s="19"/>
      <c r="B711" s="19"/>
      <c r="C711" s="19"/>
      <c r="D711" s="19"/>
      <c r="E711" s="19"/>
      <c r="F711" s="19"/>
      <c r="G711" s="19"/>
      <c r="H711" s="19"/>
      <c r="I711" s="19"/>
      <c r="J711" s="10" t="s">
        <v>12</v>
      </c>
      <c r="K711" s="10" t="s">
        <v>12</v>
      </c>
      <c r="L711" s="10" t="s">
        <v>12</v>
      </c>
      <c r="M711" s="10" t="s">
        <v>12</v>
      </c>
      <c r="N711" s="12" t="e">
        <f>VLOOKUP(J711,'Site Allocation'!$B$2:$C$37,2,FALSE)</f>
        <v>#N/A</v>
      </c>
      <c r="O711" s="19"/>
      <c r="P711" s="19"/>
      <c r="Q711" s="19"/>
      <c r="R711" s="19"/>
      <c r="S711" s="19"/>
      <c r="T711" s="19"/>
      <c r="U711" s="19"/>
      <c r="V711" s="19"/>
      <c r="W711" s="19"/>
      <c r="X711" s="19"/>
      <c r="Y711" s="19"/>
    </row>
    <row r="712" spans="1:25" x14ac:dyDescent="0.35">
      <c r="A712" s="19"/>
      <c r="B712" s="19"/>
      <c r="C712" s="19"/>
      <c r="D712" s="19"/>
      <c r="E712" s="19"/>
      <c r="F712" s="19"/>
      <c r="G712" s="19"/>
      <c r="H712" s="19"/>
      <c r="I712" s="19"/>
      <c r="J712" s="10" t="s">
        <v>12</v>
      </c>
      <c r="K712" s="10" t="s">
        <v>12</v>
      </c>
      <c r="L712" s="10" t="s">
        <v>12</v>
      </c>
      <c r="M712" s="10" t="s">
        <v>12</v>
      </c>
      <c r="N712" s="12" t="e">
        <f>VLOOKUP(J712,'Site Allocation'!$B$2:$C$37,2,FALSE)</f>
        <v>#N/A</v>
      </c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</row>
    <row r="713" spans="1:25" x14ac:dyDescent="0.35">
      <c r="A713" s="19"/>
      <c r="B713" s="19"/>
      <c r="C713" s="19"/>
      <c r="D713" s="19"/>
      <c r="E713" s="19"/>
      <c r="F713" s="19"/>
      <c r="G713" s="19"/>
      <c r="H713" s="19"/>
      <c r="I713" s="19"/>
      <c r="J713" s="10" t="s">
        <v>12</v>
      </c>
      <c r="K713" s="10" t="s">
        <v>12</v>
      </c>
      <c r="L713" s="10" t="s">
        <v>12</v>
      </c>
      <c r="M713" s="10" t="s">
        <v>12</v>
      </c>
      <c r="N713" s="12" t="e">
        <f>VLOOKUP(J713,'Site Allocation'!$B$2:$C$37,2,FALSE)</f>
        <v>#N/A</v>
      </c>
      <c r="O713" s="19"/>
      <c r="P713" s="19"/>
      <c r="Q713" s="19"/>
      <c r="R713" s="19"/>
      <c r="S713" s="19"/>
      <c r="T713" s="19"/>
      <c r="U713" s="19"/>
      <c r="V713" s="19"/>
      <c r="W713" s="19"/>
      <c r="X713" s="19"/>
      <c r="Y713" s="19"/>
    </row>
    <row r="714" spans="1:25" x14ac:dyDescent="0.35">
      <c r="A714" s="19"/>
      <c r="B714" s="19"/>
      <c r="C714" s="19"/>
      <c r="D714" s="19"/>
      <c r="E714" s="19"/>
      <c r="F714" s="19"/>
      <c r="G714" s="19"/>
      <c r="H714" s="19"/>
      <c r="I714" s="19"/>
      <c r="J714" s="10" t="s">
        <v>12</v>
      </c>
      <c r="K714" s="10" t="s">
        <v>12</v>
      </c>
      <c r="L714" s="10" t="s">
        <v>12</v>
      </c>
      <c r="M714" s="10" t="s">
        <v>12</v>
      </c>
      <c r="N714" s="12" t="e">
        <f>VLOOKUP(J714,'Site Allocation'!$B$2:$C$37,2,FALSE)</f>
        <v>#N/A</v>
      </c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</row>
    <row r="715" spans="1:25" x14ac:dyDescent="0.35">
      <c r="A715" s="19"/>
      <c r="B715" s="19"/>
      <c r="C715" s="19"/>
      <c r="D715" s="19"/>
      <c r="E715" s="19"/>
      <c r="F715" s="19"/>
      <c r="G715" s="19"/>
      <c r="H715" s="19"/>
      <c r="I715" s="19"/>
      <c r="J715" s="10" t="s">
        <v>12</v>
      </c>
      <c r="K715" s="10" t="s">
        <v>12</v>
      </c>
      <c r="L715" s="10" t="s">
        <v>12</v>
      </c>
      <c r="M715" s="10" t="s">
        <v>12</v>
      </c>
      <c r="N715" s="12" t="e">
        <f>VLOOKUP(J715,'Site Allocation'!$B$2:$C$37,2,FALSE)</f>
        <v>#N/A</v>
      </c>
      <c r="O715" s="19"/>
      <c r="P715" s="19"/>
      <c r="Q715" s="19"/>
      <c r="R715" s="19"/>
      <c r="S715" s="19"/>
      <c r="T715" s="19"/>
      <c r="U715" s="19"/>
      <c r="V715" s="19"/>
      <c r="W715" s="19"/>
      <c r="X715" s="19"/>
      <c r="Y715" s="19"/>
    </row>
    <row r="716" spans="1:25" x14ac:dyDescent="0.35">
      <c r="A716" s="19"/>
      <c r="B716" s="19"/>
      <c r="C716" s="19"/>
      <c r="D716" s="19"/>
      <c r="E716" s="19"/>
      <c r="F716" s="19"/>
      <c r="G716" s="19"/>
      <c r="H716" s="19"/>
      <c r="I716" s="19"/>
      <c r="J716" s="10" t="s">
        <v>12</v>
      </c>
      <c r="K716" s="10" t="s">
        <v>12</v>
      </c>
      <c r="L716" s="10" t="s">
        <v>12</v>
      </c>
      <c r="M716" s="10" t="s">
        <v>12</v>
      </c>
      <c r="N716" s="12" t="e">
        <f>VLOOKUP(J716,'Site Allocation'!$B$2:$C$37,2,FALSE)</f>
        <v>#N/A</v>
      </c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</row>
    <row r="717" spans="1:25" x14ac:dyDescent="0.35">
      <c r="A717" s="19"/>
      <c r="B717" s="19"/>
      <c r="C717" s="19"/>
      <c r="D717" s="19"/>
      <c r="E717" s="19"/>
      <c r="F717" s="19"/>
      <c r="G717" s="19"/>
      <c r="H717" s="19"/>
      <c r="I717" s="19"/>
      <c r="J717" s="10" t="s">
        <v>12</v>
      </c>
      <c r="K717" s="10" t="s">
        <v>12</v>
      </c>
      <c r="L717" s="10" t="s">
        <v>12</v>
      </c>
      <c r="M717" s="10" t="s">
        <v>12</v>
      </c>
      <c r="N717" s="12" t="e">
        <f>VLOOKUP(J717,'Site Allocation'!$B$2:$C$37,2,FALSE)</f>
        <v>#N/A</v>
      </c>
      <c r="O717" s="19"/>
      <c r="P717" s="19"/>
      <c r="Q717" s="19"/>
      <c r="R717" s="19"/>
      <c r="S717" s="19"/>
      <c r="T717" s="19"/>
      <c r="U717" s="19"/>
      <c r="V717" s="19"/>
      <c r="W717" s="19"/>
      <c r="X717" s="19"/>
      <c r="Y717" s="19"/>
    </row>
    <row r="718" spans="1:25" x14ac:dyDescent="0.35">
      <c r="A718" s="19"/>
      <c r="B718" s="19"/>
      <c r="C718" s="19"/>
      <c r="D718" s="19"/>
      <c r="E718" s="19"/>
      <c r="F718" s="19"/>
      <c r="G718" s="19"/>
      <c r="H718" s="19"/>
      <c r="I718" s="19"/>
      <c r="J718" s="10" t="s">
        <v>12</v>
      </c>
      <c r="K718" s="10" t="s">
        <v>12</v>
      </c>
      <c r="L718" s="10" t="s">
        <v>12</v>
      </c>
      <c r="M718" s="10" t="s">
        <v>12</v>
      </c>
      <c r="N718" s="12" t="e">
        <f>VLOOKUP(J718,'Site Allocation'!$B$2:$C$37,2,FALSE)</f>
        <v>#N/A</v>
      </c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</row>
    <row r="719" spans="1:25" x14ac:dyDescent="0.35">
      <c r="A719" s="19"/>
      <c r="B719" s="19"/>
      <c r="C719" s="19"/>
      <c r="D719" s="19"/>
      <c r="E719" s="19"/>
      <c r="F719" s="19"/>
      <c r="G719" s="19"/>
      <c r="H719" s="19"/>
      <c r="I719" s="19"/>
      <c r="J719" s="10" t="s">
        <v>12</v>
      </c>
      <c r="K719" s="10" t="s">
        <v>12</v>
      </c>
      <c r="L719" s="10" t="s">
        <v>12</v>
      </c>
      <c r="M719" s="10" t="s">
        <v>12</v>
      </c>
      <c r="N719" s="12" t="e">
        <f>VLOOKUP(J719,'Site Allocation'!$B$2:$C$37,2,FALSE)</f>
        <v>#N/A</v>
      </c>
      <c r="O719" s="19"/>
      <c r="P719" s="19"/>
      <c r="Q719" s="19"/>
      <c r="R719" s="19"/>
      <c r="S719" s="19"/>
      <c r="T719" s="19"/>
      <c r="U719" s="19"/>
      <c r="V719" s="19"/>
      <c r="W719" s="19"/>
      <c r="X719" s="19"/>
      <c r="Y719" s="19"/>
    </row>
    <row r="720" spans="1:25" x14ac:dyDescent="0.35">
      <c r="A720" s="19"/>
      <c r="B720" s="19"/>
      <c r="C720" s="19"/>
      <c r="D720" s="19"/>
      <c r="E720" s="19"/>
      <c r="F720" s="19"/>
      <c r="G720" s="19"/>
      <c r="H720" s="19"/>
      <c r="I720" s="19"/>
      <c r="J720" s="10" t="s">
        <v>12</v>
      </c>
      <c r="K720" s="10" t="s">
        <v>12</v>
      </c>
      <c r="L720" s="10" t="s">
        <v>12</v>
      </c>
      <c r="M720" s="10" t="s">
        <v>12</v>
      </c>
      <c r="N720" s="12" t="e">
        <f>VLOOKUP(J720,'Site Allocation'!$B$2:$C$37,2,FALSE)</f>
        <v>#N/A</v>
      </c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</row>
    <row r="721" spans="1:25" x14ac:dyDescent="0.35">
      <c r="A721" s="19"/>
      <c r="B721" s="19"/>
      <c r="C721" s="19"/>
      <c r="D721" s="19"/>
      <c r="E721" s="19"/>
      <c r="F721" s="19"/>
      <c r="G721" s="19"/>
      <c r="H721" s="19"/>
      <c r="I721" s="19"/>
      <c r="J721" s="10" t="s">
        <v>12</v>
      </c>
      <c r="K721" s="10" t="s">
        <v>12</v>
      </c>
      <c r="L721" s="10" t="s">
        <v>12</v>
      </c>
      <c r="M721" s="10" t="s">
        <v>12</v>
      </c>
      <c r="N721" s="12" t="e">
        <f>VLOOKUP(J721,'Site Allocation'!$B$2:$C$37,2,FALSE)</f>
        <v>#N/A</v>
      </c>
      <c r="O721" s="19"/>
      <c r="P721" s="19"/>
      <c r="Q721" s="19"/>
      <c r="R721" s="19"/>
      <c r="S721" s="19"/>
      <c r="T721" s="19"/>
      <c r="U721" s="19"/>
      <c r="V721" s="19"/>
      <c r="W721" s="19"/>
      <c r="X721" s="19"/>
      <c r="Y721" s="19"/>
    </row>
    <row r="722" spans="1:25" x14ac:dyDescent="0.35">
      <c r="A722" s="19"/>
      <c r="B722" s="19"/>
      <c r="C722" s="19"/>
      <c r="D722" s="19"/>
      <c r="E722" s="19"/>
      <c r="F722" s="19"/>
      <c r="G722" s="19"/>
      <c r="H722" s="19"/>
      <c r="I722" s="19"/>
      <c r="J722" s="10" t="s">
        <v>12</v>
      </c>
      <c r="K722" s="10" t="s">
        <v>12</v>
      </c>
      <c r="L722" s="10" t="s">
        <v>12</v>
      </c>
      <c r="M722" s="10" t="s">
        <v>12</v>
      </c>
      <c r="N722" s="12" t="e">
        <f>VLOOKUP(J722,'Site Allocation'!$B$2:$C$37,2,FALSE)</f>
        <v>#N/A</v>
      </c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</row>
    <row r="723" spans="1:25" x14ac:dyDescent="0.35">
      <c r="A723" s="19"/>
      <c r="B723" s="19"/>
      <c r="C723" s="19"/>
      <c r="D723" s="19"/>
      <c r="E723" s="19"/>
      <c r="F723" s="19"/>
      <c r="G723" s="19"/>
      <c r="H723" s="19"/>
      <c r="I723" s="19"/>
      <c r="J723" s="10" t="s">
        <v>12</v>
      </c>
      <c r="K723" s="10" t="s">
        <v>12</v>
      </c>
      <c r="L723" s="10" t="s">
        <v>12</v>
      </c>
      <c r="M723" s="10" t="s">
        <v>12</v>
      </c>
      <c r="N723" s="12" t="e">
        <f>VLOOKUP(J723,'Site Allocation'!$B$2:$C$37,2,FALSE)</f>
        <v>#N/A</v>
      </c>
      <c r="O723" s="19"/>
      <c r="P723" s="19"/>
      <c r="Q723" s="19"/>
      <c r="R723" s="19"/>
      <c r="S723" s="19"/>
      <c r="T723" s="19"/>
      <c r="U723" s="19"/>
      <c r="V723" s="19"/>
      <c r="W723" s="19"/>
      <c r="X723" s="19"/>
      <c r="Y723" s="19"/>
    </row>
    <row r="724" spans="1:25" x14ac:dyDescent="0.35">
      <c r="A724" s="19"/>
      <c r="B724" s="19"/>
      <c r="C724" s="19"/>
      <c r="D724" s="19"/>
      <c r="E724" s="19"/>
      <c r="F724" s="19"/>
      <c r="G724" s="19"/>
      <c r="H724" s="19"/>
      <c r="I724" s="19"/>
      <c r="J724" s="10" t="s">
        <v>12</v>
      </c>
      <c r="K724" s="10" t="s">
        <v>12</v>
      </c>
      <c r="L724" s="10" t="s">
        <v>12</v>
      </c>
      <c r="M724" s="10" t="s">
        <v>12</v>
      </c>
      <c r="N724" s="12" t="e">
        <f>VLOOKUP(J724,'Site Allocation'!$B$2:$C$37,2,FALSE)</f>
        <v>#N/A</v>
      </c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</row>
    <row r="725" spans="1:25" x14ac:dyDescent="0.35">
      <c r="A725" s="19"/>
      <c r="B725" s="19"/>
      <c r="C725" s="19"/>
      <c r="D725" s="19"/>
      <c r="E725" s="19"/>
      <c r="F725" s="19"/>
      <c r="G725" s="19"/>
      <c r="H725" s="19"/>
      <c r="I725" s="19"/>
      <c r="J725" s="10" t="s">
        <v>12</v>
      </c>
      <c r="K725" s="10" t="s">
        <v>12</v>
      </c>
      <c r="L725" s="10" t="s">
        <v>12</v>
      </c>
      <c r="M725" s="10" t="s">
        <v>12</v>
      </c>
      <c r="N725" s="12" t="e">
        <f>VLOOKUP(J725,'Site Allocation'!$B$2:$C$37,2,FALSE)</f>
        <v>#N/A</v>
      </c>
      <c r="O725" s="19"/>
      <c r="P725" s="19"/>
      <c r="Q725" s="19"/>
      <c r="R725" s="19"/>
      <c r="S725" s="19"/>
      <c r="T725" s="19"/>
      <c r="U725" s="19"/>
      <c r="V725" s="19"/>
      <c r="W725" s="19"/>
      <c r="X725" s="19"/>
      <c r="Y725" s="19"/>
    </row>
    <row r="726" spans="1:25" x14ac:dyDescent="0.35">
      <c r="A726" s="19"/>
      <c r="B726" s="19"/>
      <c r="C726" s="19"/>
      <c r="D726" s="19"/>
      <c r="E726" s="19"/>
      <c r="F726" s="19"/>
      <c r="G726" s="19"/>
      <c r="H726" s="19"/>
      <c r="I726" s="19"/>
      <c r="J726" s="10" t="s">
        <v>12</v>
      </c>
      <c r="K726" s="10" t="s">
        <v>12</v>
      </c>
      <c r="L726" s="10" t="s">
        <v>12</v>
      </c>
      <c r="M726" s="10" t="s">
        <v>12</v>
      </c>
      <c r="N726" s="12" t="e">
        <f>VLOOKUP(J726,'Site Allocation'!$B$2:$C$37,2,FALSE)</f>
        <v>#N/A</v>
      </c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</row>
    <row r="727" spans="1:25" x14ac:dyDescent="0.35">
      <c r="A727" s="19"/>
      <c r="B727" s="19"/>
      <c r="C727" s="19"/>
      <c r="D727" s="19"/>
      <c r="E727" s="19"/>
      <c r="F727" s="19"/>
      <c r="G727" s="19"/>
      <c r="H727" s="19"/>
      <c r="I727" s="19"/>
      <c r="J727" s="10" t="s">
        <v>12</v>
      </c>
      <c r="K727" s="10" t="s">
        <v>12</v>
      </c>
      <c r="L727" s="10" t="s">
        <v>12</v>
      </c>
      <c r="M727" s="10" t="s">
        <v>12</v>
      </c>
      <c r="N727" s="12" t="e">
        <f>VLOOKUP(J727,'Site Allocation'!$B$2:$C$37,2,FALSE)</f>
        <v>#N/A</v>
      </c>
      <c r="O727" s="19"/>
      <c r="P727" s="19"/>
      <c r="Q727" s="19"/>
      <c r="R727" s="19"/>
      <c r="S727" s="19"/>
      <c r="T727" s="19"/>
      <c r="U727" s="19"/>
      <c r="V727" s="19"/>
      <c r="W727" s="19"/>
      <c r="X727" s="19"/>
      <c r="Y727" s="19"/>
    </row>
    <row r="728" spans="1:25" x14ac:dyDescent="0.35">
      <c r="A728" s="19"/>
      <c r="B728" s="19"/>
      <c r="C728" s="19"/>
      <c r="D728" s="19"/>
      <c r="E728" s="19"/>
      <c r="F728" s="19"/>
      <c r="G728" s="19"/>
      <c r="H728" s="19"/>
      <c r="I728" s="19"/>
      <c r="J728" s="10" t="s">
        <v>12</v>
      </c>
      <c r="K728" s="10" t="s">
        <v>12</v>
      </c>
      <c r="L728" s="10" t="s">
        <v>12</v>
      </c>
      <c r="M728" s="10" t="s">
        <v>12</v>
      </c>
      <c r="N728" s="12" t="e">
        <f>VLOOKUP(J728,'Site Allocation'!$B$2:$C$37,2,FALSE)</f>
        <v>#N/A</v>
      </c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</row>
    <row r="729" spans="1:25" x14ac:dyDescent="0.35">
      <c r="A729" s="19"/>
      <c r="B729" s="19"/>
      <c r="C729" s="19"/>
      <c r="D729" s="19"/>
      <c r="E729" s="19"/>
      <c r="F729" s="19"/>
      <c r="G729" s="19"/>
      <c r="H729" s="19"/>
      <c r="I729" s="19"/>
      <c r="J729" s="10" t="s">
        <v>12</v>
      </c>
      <c r="K729" s="10" t="s">
        <v>12</v>
      </c>
      <c r="L729" s="10" t="s">
        <v>12</v>
      </c>
      <c r="M729" s="10" t="s">
        <v>12</v>
      </c>
      <c r="N729" s="12" t="e">
        <f>VLOOKUP(J729,'Site Allocation'!$B$2:$C$37,2,FALSE)</f>
        <v>#N/A</v>
      </c>
      <c r="O729" s="19"/>
      <c r="P729" s="19"/>
      <c r="Q729" s="19"/>
      <c r="R729" s="19"/>
      <c r="S729" s="19"/>
      <c r="T729" s="19"/>
      <c r="U729" s="19"/>
      <c r="V729" s="19"/>
      <c r="W729" s="19"/>
      <c r="X729" s="19"/>
      <c r="Y729" s="19"/>
    </row>
    <row r="730" spans="1:25" x14ac:dyDescent="0.35">
      <c r="A730" s="19"/>
      <c r="B730" s="19"/>
      <c r="C730" s="19"/>
      <c r="D730" s="19"/>
      <c r="E730" s="19"/>
      <c r="F730" s="19"/>
      <c r="G730" s="19"/>
      <c r="H730" s="19"/>
      <c r="I730" s="19"/>
      <c r="J730" s="10" t="s">
        <v>12</v>
      </c>
      <c r="K730" s="10" t="s">
        <v>12</v>
      </c>
      <c r="L730" s="10" t="s">
        <v>12</v>
      </c>
      <c r="M730" s="10" t="s">
        <v>12</v>
      </c>
      <c r="N730" s="12" t="e">
        <f>VLOOKUP(J730,'Site Allocation'!$B$2:$C$37,2,FALSE)</f>
        <v>#N/A</v>
      </c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</row>
    <row r="731" spans="1:25" x14ac:dyDescent="0.35">
      <c r="A731" s="19"/>
      <c r="B731" s="19"/>
      <c r="C731" s="19"/>
      <c r="D731" s="19"/>
      <c r="E731" s="19"/>
      <c r="F731" s="19"/>
      <c r="G731" s="19"/>
      <c r="H731" s="19"/>
      <c r="I731" s="19"/>
      <c r="J731" s="10" t="s">
        <v>12</v>
      </c>
      <c r="K731" s="10" t="s">
        <v>12</v>
      </c>
      <c r="L731" s="10" t="s">
        <v>12</v>
      </c>
      <c r="M731" s="10" t="s">
        <v>12</v>
      </c>
      <c r="N731" s="12" t="e">
        <f>VLOOKUP(J731,'Site Allocation'!$B$2:$C$37,2,FALSE)</f>
        <v>#N/A</v>
      </c>
      <c r="O731" s="19"/>
      <c r="P731" s="19"/>
      <c r="Q731" s="19"/>
      <c r="R731" s="19"/>
      <c r="S731" s="19"/>
      <c r="T731" s="19"/>
      <c r="U731" s="19"/>
      <c r="V731" s="19"/>
      <c r="W731" s="19"/>
      <c r="X731" s="19"/>
      <c r="Y731" s="19"/>
    </row>
    <row r="732" spans="1:25" x14ac:dyDescent="0.35">
      <c r="A732" s="19"/>
      <c r="B732" s="19"/>
      <c r="C732" s="19"/>
      <c r="D732" s="19"/>
      <c r="E732" s="19"/>
      <c r="F732" s="19"/>
      <c r="G732" s="19"/>
      <c r="H732" s="19"/>
      <c r="I732" s="19"/>
      <c r="J732" s="10" t="s">
        <v>12</v>
      </c>
      <c r="K732" s="10" t="s">
        <v>12</v>
      </c>
      <c r="L732" s="10" t="s">
        <v>12</v>
      </c>
      <c r="M732" s="10" t="s">
        <v>12</v>
      </c>
      <c r="N732" s="12" t="e">
        <f>VLOOKUP(J732,'Site Allocation'!$B$2:$C$37,2,FALSE)</f>
        <v>#N/A</v>
      </c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</row>
    <row r="733" spans="1:25" x14ac:dyDescent="0.35">
      <c r="A733" s="19"/>
      <c r="B733" s="19"/>
      <c r="C733" s="19"/>
      <c r="D733" s="19"/>
      <c r="E733" s="19"/>
      <c r="F733" s="19"/>
      <c r="G733" s="19"/>
      <c r="H733" s="19"/>
      <c r="I733" s="19"/>
      <c r="J733" s="10" t="s">
        <v>12</v>
      </c>
      <c r="K733" s="10" t="s">
        <v>12</v>
      </c>
      <c r="L733" s="10" t="s">
        <v>12</v>
      </c>
      <c r="M733" s="10" t="s">
        <v>12</v>
      </c>
      <c r="N733" s="12" t="e">
        <f>VLOOKUP(J733,'Site Allocation'!$B$2:$C$37,2,FALSE)</f>
        <v>#N/A</v>
      </c>
      <c r="O733" s="19"/>
      <c r="P733" s="19"/>
      <c r="Q733" s="19"/>
      <c r="R733" s="19"/>
      <c r="S733" s="19"/>
      <c r="T733" s="19"/>
      <c r="U733" s="19"/>
      <c r="V733" s="19"/>
      <c r="W733" s="19"/>
      <c r="X733" s="19"/>
      <c r="Y733" s="19"/>
    </row>
    <row r="734" spans="1:25" x14ac:dyDescent="0.35">
      <c r="A734" s="19"/>
      <c r="B734" s="19"/>
      <c r="C734" s="19"/>
      <c r="D734" s="19"/>
      <c r="E734" s="19"/>
      <c r="F734" s="19"/>
      <c r="G734" s="19"/>
      <c r="H734" s="19"/>
      <c r="I734" s="19"/>
      <c r="J734" s="10" t="s">
        <v>12</v>
      </c>
      <c r="K734" s="10" t="s">
        <v>12</v>
      </c>
      <c r="L734" s="10" t="s">
        <v>12</v>
      </c>
      <c r="M734" s="10" t="s">
        <v>12</v>
      </c>
      <c r="N734" s="12" t="e">
        <f>VLOOKUP(J734,'Site Allocation'!$B$2:$C$37,2,FALSE)</f>
        <v>#N/A</v>
      </c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</row>
    <row r="735" spans="1:25" x14ac:dyDescent="0.35">
      <c r="A735" s="19"/>
      <c r="B735" s="19"/>
      <c r="C735" s="19"/>
      <c r="D735" s="19"/>
      <c r="E735" s="19"/>
      <c r="F735" s="19"/>
      <c r="G735" s="19"/>
      <c r="H735" s="19"/>
      <c r="I735" s="19"/>
      <c r="J735" s="10" t="s">
        <v>12</v>
      </c>
      <c r="K735" s="10" t="s">
        <v>12</v>
      </c>
      <c r="L735" s="10" t="s">
        <v>12</v>
      </c>
      <c r="M735" s="10" t="s">
        <v>12</v>
      </c>
      <c r="N735" s="12" t="e">
        <f>VLOOKUP(J735,'Site Allocation'!$B$2:$C$37,2,FALSE)</f>
        <v>#N/A</v>
      </c>
      <c r="O735" s="19"/>
      <c r="P735" s="19"/>
      <c r="Q735" s="19"/>
      <c r="R735" s="19"/>
      <c r="S735" s="19"/>
      <c r="T735" s="19"/>
      <c r="U735" s="19"/>
      <c r="V735" s="19"/>
      <c r="W735" s="19"/>
      <c r="X735" s="19"/>
      <c r="Y735" s="19"/>
    </row>
    <row r="736" spans="1:25" x14ac:dyDescent="0.35">
      <c r="A736" s="19"/>
      <c r="B736" s="19"/>
      <c r="C736" s="19"/>
      <c r="D736" s="19"/>
      <c r="E736" s="19"/>
      <c r="F736" s="19"/>
      <c r="G736" s="19"/>
      <c r="H736" s="19"/>
      <c r="I736" s="19"/>
      <c r="J736" s="10" t="s">
        <v>12</v>
      </c>
      <c r="K736" s="10" t="s">
        <v>12</v>
      </c>
      <c r="L736" s="10" t="s">
        <v>12</v>
      </c>
      <c r="M736" s="10" t="s">
        <v>12</v>
      </c>
      <c r="N736" s="12" t="e">
        <f>VLOOKUP(J736,'Site Allocation'!$B$2:$C$37,2,FALSE)</f>
        <v>#N/A</v>
      </c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</row>
    <row r="737" spans="1:25" x14ac:dyDescent="0.35">
      <c r="A737" s="19"/>
      <c r="B737" s="19"/>
      <c r="C737" s="19"/>
      <c r="D737" s="19"/>
      <c r="E737" s="19"/>
      <c r="F737" s="19"/>
      <c r="G737" s="19"/>
      <c r="H737" s="19"/>
      <c r="I737" s="19"/>
      <c r="J737" s="10" t="s">
        <v>12</v>
      </c>
      <c r="K737" s="10" t="s">
        <v>12</v>
      </c>
      <c r="L737" s="10" t="s">
        <v>12</v>
      </c>
      <c r="M737" s="10" t="s">
        <v>12</v>
      </c>
      <c r="N737" s="12" t="e">
        <f>VLOOKUP(J737,'Site Allocation'!$B$2:$C$37,2,FALSE)</f>
        <v>#N/A</v>
      </c>
      <c r="O737" s="19"/>
      <c r="P737" s="19"/>
      <c r="Q737" s="19"/>
      <c r="R737" s="19"/>
      <c r="S737" s="19"/>
      <c r="T737" s="19"/>
      <c r="U737" s="19"/>
      <c r="V737" s="19"/>
      <c r="W737" s="19"/>
      <c r="X737" s="19"/>
      <c r="Y737" s="19"/>
    </row>
    <row r="738" spans="1:25" x14ac:dyDescent="0.35">
      <c r="A738" s="19"/>
      <c r="B738" s="19"/>
      <c r="C738" s="19"/>
      <c r="D738" s="19"/>
      <c r="E738" s="19"/>
      <c r="F738" s="19"/>
      <c r="G738" s="19"/>
      <c r="H738" s="19"/>
      <c r="I738" s="19"/>
      <c r="J738" s="10" t="s">
        <v>12</v>
      </c>
      <c r="K738" s="10" t="s">
        <v>12</v>
      </c>
      <c r="L738" s="10" t="s">
        <v>12</v>
      </c>
      <c r="M738" s="10" t="s">
        <v>12</v>
      </c>
      <c r="N738" s="12" t="e">
        <f>VLOOKUP(J738,'Site Allocation'!$B$2:$C$37,2,FALSE)</f>
        <v>#N/A</v>
      </c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</row>
    <row r="739" spans="1:25" x14ac:dyDescent="0.35">
      <c r="A739" s="19"/>
      <c r="B739" s="19"/>
      <c r="C739" s="19"/>
      <c r="D739" s="19"/>
      <c r="E739" s="19"/>
      <c r="F739" s="19"/>
      <c r="G739" s="19"/>
      <c r="H739" s="19"/>
      <c r="I739" s="19"/>
      <c r="J739" s="10" t="s">
        <v>12</v>
      </c>
      <c r="K739" s="10" t="s">
        <v>12</v>
      </c>
      <c r="L739" s="10" t="s">
        <v>12</v>
      </c>
      <c r="M739" s="10" t="s">
        <v>12</v>
      </c>
      <c r="N739" s="12" t="e">
        <f>VLOOKUP(J739,'Site Allocation'!$B$2:$C$37,2,FALSE)</f>
        <v>#N/A</v>
      </c>
      <c r="O739" s="19"/>
      <c r="P739" s="19"/>
      <c r="Q739" s="19"/>
      <c r="R739" s="19"/>
      <c r="S739" s="19"/>
      <c r="T739" s="19"/>
      <c r="U739" s="19"/>
      <c r="V739" s="19"/>
      <c r="W739" s="19"/>
      <c r="X739" s="19"/>
      <c r="Y739" s="19"/>
    </row>
    <row r="740" spans="1:25" x14ac:dyDescent="0.35">
      <c r="A740" s="19"/>
      <c r="B740" s="19"/>
      <c r="C740" s="19"/>
      <c r="D740" s="19"/>
      <c r="E740" s="19"/>
      <c r="F740" s="19"/>
      <c r="G740" s="19"/>
      <c r="H740" s="19"/>
      <c r="I740" s="19"/>
      <c r="J740" s="10" t="s">
        <v>12</v>
      </c>
      <c r="K740" s="10" t="s">
        <v>12</v>
      </c>
      <c r="L740" s="10" t="s">
        <v>12</v>
      </c>
      <c r="M740" s="10" t="s">
        <v>12</v>
      </c>
      <c r="N740" s="12" t="e">
        <f>VLOOKUP(J740,'Site Allocation'!$B$2:$C$37,2,FALSE)</f>
        <v>#N/A</v>
      </c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</row>
    <row r="741" spans="1:25" x14ac:dyDescent="0.35">
      <c r="A741" s="19"/>
      <c r="B741" s="19"/>
      <c r="C741" s="19"/>
      <c r="D741" s="19"/>
      <c r="E741" s="19"/>
      <c r="F741" s="19"/>
      <c r="G741" s="19"/>
      <c r="H741" s="19"/>
      <c r="I741" s="19"/>
      <c r="J741" s="10" t="s">
        <v>12</v>
      </c>
      <c r="K741" s="10" t="s">
        <v>12</v>
      </c>
      <c r="L741" s="10" t="s">
        <v>12</v>
      </c>
      <c r="M741" s="10" t="s">
        <v>12</v>
      </c>
      <c r="N741" s="12" t="e">
        <f>VLOOKUP(J741,'Site Allocation'!$B$2:$C$37,2,FALSE)</f>
        <v>#N/A</v>
      </c>
      <c r="O741" s="19"/>
      <c r="P741" s="19"/>
      <c r="Q741" s="19"/>
      <c r="R741" s="19"/>
      <c r="S741" s="19"/>
      <c r="T741" s="19"/>
      <c r="U741" s="19"/>
      <c r="V741" s="19"/>
      <c r="W741" s="19"/>
      <c r="X741" s="19"/>
      <c r="Y741" s="19"/>
    </row>
    <row r="742" spans="1:25" x14ac:dyDescent="0.35">
      <c r="A742" s="19"/>
      <c r="B742" s="19"/>
      <c r="C742" s="19"/>
      <c r="D742" s="19"/>
      <c r="E742" s="19"/>
      <c r="F742" s="19"/>
      <c r="G742" s="19"/>
      <c r="H742" s="19"/>
      <c r="I742" s="19"/>
      <c r="J742" s="10" t="s">
        <v>12</v>
      </c>
      <c r="K742" s="10" t="s">
        <v>12</v>
      </c>
      <c r="L742" s="10" t="s">
        <v>12</v>
      </c>
      <c r="M742" s="10" t="s">
        <v>12</v>
      </c>
      <c r="N742" s="12" t="e">
        <f>VLOOKUP(J742,'Site Allocation'!$B$2:$C$37,2,FALSE)</f>
        <v>#N/A</v>
      </c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</row>
    <row r="743" spans="1:25" x14ac:dyDescent="0.35">
      <c r="A743" s="19"/>
      <c r="B743" s="19"/>
      <c r="C743" s="19"/>
      <c r="D743" s="19"/>
      <c r="E743" s="19"/>
      <c r="F743" s="19"/>
      <c r="G743" s="19"/>
      <c r="H743" s="19"/>
      <c r="I743" s="19"/>
      <c r="J743" s="10" t="s">
        <v>12</v>
      </c>
      <c r="K743" s="10" t="s">
        <v>12</v>
      </c>
      <c r="L743" s="10" t="s">
        <v>12</v>
      </c>
      <c r="M743" s="10" t="s">
        <v>12</v>
      </c>
      <c r="N743" s="12" t="e">
        <f>VLOOKUP(J743,'Site Allocation'!$B$2:$C$37,2,FALSE)</f>
        <v>#N/A</v>
      </c>
      <c r="O743" s="19"/>
      <c r="P743" s="19"/>
      <c r="Q743" s="19"/>
      <c r="R743" s="19"/>
      <c r="S743" s="19"/>
      <c r="T743" s="19"/>
      <c r="U743" s="19"/>
      <c r="V743" s="19"/>
      <c r="W743" s="19"/>
      <c r="X743" s="19"/>
      <c r="Y743" s="19"/>
    </row>
    <row r="744" spans="1:25" x14ac:dyDescent="0.35">
      <c r="A744" s="19"/>
      <c r="B744" s="19"/>
      <c r="C744" s="19"/>
      <c r="D744" s="19"/>
      <c r="E744" s="19"/>
      <c r="F744" s="19"/>
      <c r="G744" s="19"/>
      <c r="H744" s="19"/>
      <c r="I744" s="19"/>
      <c r="J744" s="10" t="s">
        <v>12</v>
      </c>
      <c r="K744" s="10" t="s">
        <v>12</v>
      </c>
      <c r="L744" s="10" t="s">
        <v>12</v>
      </c>
      <c r="M744" s="10" t="s">
        <v>12</v>
      </c>
      <c r="N744" s="12" t="e">
        <f>VLOOKUP(J744,'Site Allocation'!$B$2:$C$37,2,FALSE)</f>
        <v>#N/A</v>
      </c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</row>
    <row r="745" spans="1:25" x14ac:dyDescent="0.35">
      <c r="A745" s="19"/>
      <c r="B745" s="19"/>
      <c r="C745" s="19"/>
      <c r="D745" s="19"/>
      <c r="E745" s="19"/>
      <c r="F745" s="19"/>
      <c r="G745" s="19"/>
      <c r="H745" s="19"/>
      <c r="I745" s="19"/>
      <c r="J745" s="10" t="s">
        <v>12</v>
      </c>
      <c r="K745" s="10" t="s">
        <v>12</v>
      </c>
      <c r="L745" s="10" t="s">
        <v>12</v>
      </c>
      <c r="M745" s="10" t="s">
        <v>12</v>
      </c>
      <c r="N745" s="12" t="e">
        <f>VLOOKUP(J745,'Site Allocation'!$B$2:$C$37,2,FALSE)</f>
        <v>#N/A</v>
      </c>
      <c r="O745" s="19"/>
      <c r="P745" s="19"/>
      <c r="Q745" s="19"/>
      <c r="R745" s="19"/>
      <c r="S745" s="19"/>
      <c r="T745" s="19"/>
      <c r="U745" s="19"/>
      <c r="V745" s="19"/>
      <c r="W745" s="19"/>
      <c r="X745" s="19"/>
      <c r="Y745" s="19"/>
    </row>
    <row r="746" spans="1:25" x14ac:dyDescent="0.35">
      <c r="A746" s="19"/>
      <c r="B746" s="19"/>
      <c r="C746" s="19"/>
      <c r="D746" s="19"/>
      <c r="E746" s="19"/>
      <c r="F746" s="19"/>
      <c r="G746" s="19"/>
      <c r="H746" s="19"/>
      <c r="I746" s="19"/>
      <c r="J746" s="10" t="s">
        <v>12</v>
      </c>
      <c r="K746" s="10" t="s">
        <v>12</v>
      </c>
      <c r="L746" s="10" t="s">
        <v>12</v>
      </c>
      <c r="M746" s="10" t="s">
        <v>12</v>
      </c>
      <c r="N746" s="12" t="e">
        <f>VLOOKUP(J746,'Site Allocation'!$B$2:$C$37,2,FALSE)</f>
        <v>#N/A</v>
      </c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</row>
    <row r="747" spans="1:25" x14ac:dyDescent="0.35">
      <c r="A747" s="19"/>
      <c r="B747" s="19"/>
      <c r="C747" s="19"/>
      <c r="D747" s="19"/>
      <c r="E747" s="19"/>
      <c r="F747" s="19"/>
      <c r="G747" s="19"/>
      <c r="H747" s="19"/>
      <c r="I747" s="19"/>
      <c r="J747" s="10" t="s">
        <v>12</v>
      </c>
      <c r="K747" s="10" t="s">
        <v>12</v>
      </c>
      <c r="L747" s="10" t="s">
        <v>12</v>
      </c>
      <c r="M747" s="10" t="s">
        <v>12</v>
      </c>
      <c r="N747" s="12" t="e">
        <f>VLOOKUP(J747,'Site Allocation'!$B$2:$C$37,2,FALSE)</f>
        <v>#N/A</v>
      </c>
      <c r="O747" s="19"/>
      <c r="P747" s="19"/>
      <c r="Q747" s="19"/>
      <c r="R747" s="19"/>
      <c r="S747" s="19"/>
      <c r="T747" s="19"/>
      <c r="U747" s="19"/>
      <c r="V747" s="19"/>
      <c r="W747" s="19"/>
      <c r="X747" s="19"/>
      <c r="Y747" s="19"/>
    </row>
    <row r="748" spans="1:25" x14ac:dyDescent="0.35">
      <c r="A748" s="19"/>
      <c r="B748" s="19"/>
      <c r="C748" s="19"/>
      <c r="D748" s="19"/>
      <c r="E748" s="19"/>
      <c r="F748" s="19"/>
      <c r="G748" s="19"/>
      <c r="H748" s="19"/>
      <c r="I748" s="19"/>
      <c r="J748" s="10" t="s">
        <v>12</v>
      </c>
      <c r="K748" s="10" t="s">
        <v>12</v>
      </c>
      <c r="L748" s="10" t="s">
        <v>12</v>
      </c>
      <c r="M748" s="10" t="s">
        <v>12</v>
      </c>
      <c r="N748" s="12" t="e">
        <f>VLOOKUP(J748,'Site Allocation'!$B$2:$C$37,2,FALSE)</f>
        <v>#N/A</v>
      </c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</row>
    <row r="749" spans="1:25" x14ac:dyDescent="0.35">
      <c r="A749" s="19"/>
      <c r="B749" s="19"/>
      <c r="C749" s="19"/>
      <c r="D749" s="19"/>
      <c r="E749" s="19"/>
      <c r="F749" s="19"/>
      <c r="G749" s="19"/>
      <c r="H749" s="19"/>
      <c r="I749" s="19"/>
      <c r="J749" s="10" t="s">
        <v>12</v>
      </c>
      <c r="K749" s="10" t="s">
        <v>12</v>
      </c>
      <c r="L749" s="10" t="s">
        <v>12</v>
      </c>
      <c r="M749" s="10" t="s">
        <v>12</v>
      </c>
      <c r="N749" s="12" t="e">
        <f>VLOOKUP(J749,'Site Allocation'!$B$2:$C$37,2,FALSE)</f>
        <v>#N/A</v>
      </c>
      <c r="O749" s="19"/>
      <c r="P749" s="19"/>
      <c r="Q749" s="19"/>
      <c r="R749" s="19"/>
      <c r="S749" s="19"/>
      <c r="T749" s="19"/>
      <c r="U749" s="19"/>
      <c r="V749" s="19"/>
      <c r="W749" s="19"/>
      <c r="X749" s="19"/>
      <c r="Y749" s="19"/>
    </row>
    <row r="750" spans="1:25" x14ac:dyDescent="0.35">
      <c r="A750" s="19"/>
      <c r="B750" s="19"/>
      <c r="C750" s="19"/>
      <c r="D750" s="19"/>
      <c r="E750" s="19"/>
      <c r="F750" s="19"/>
      <c r="G750" s="19"/>
      <c r="H750" s="19"/>
      <c r="I750" s="19"/>
      <c r="J750" s="10" t="s">
        <v>12</v>
      </c>
      <c r="K750" s="10" t="s">
        <v>12</v>
      </c>
      <c r="L750" s="10" t="s">
        <v>12</v>
      </c>
      <c r="M750" s="10" t="s">
        <v>12</v>
      </c>
      <c r="N750" s="12" t="e">
        <f>VLOOKUP(J750,'Site Allocation'!$B$2:$C$37,2,FALSE)</f>
        <v>#N/A</v>
      </c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</row>
    <row r="751" spans="1:25" x14ac:dyDescent="0.35">
      <c r="A751" s="19"/>
      <c r="B751" s="19"/>
      <c r="C751" s="19"/>
      <c r="D751" s="19"/>
      <c r="E751" s="19"/>
      <c r="F751" s="19"/>
      <c r="G751" s="19"/>
      <c r="H751" s="19"/>
      <c r="I751" s="19"/>
      <c r="J751" s="10" t="s">
        <v>12</v>
      </c>
      <c r="K751" s="10" t="s">
        <v>12</v>
      </c>
      <c r="L751" s="10" t="s">
        <v>12</v>
      </c>
      <c r="M751" s="10" t="s">
        <v>12</v>
      </c>
      <c r="N751" s="12" t="e">
        <f>VLOOKUP(J751,'Site Allocation'!$B$2:$C$37,2,FALSE)</f>
        <v>#N/A</v>
      </c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</row>
    <row r="752" spans="1:25" x14ac:dyDescent="0.35">
      <c r="A752" s="19"/>
      <c r="B752" s="19"/>
      <c r="C752" s="19"/>
      <c r="D752" s="19"/>
      <c r="E752" s="19"/>
      <c r="F752" s="19"/>
      <c r="G752" s="19"/>
      <c r="H752" s="19"/>
      <c r="I752" s="19"/>
      <c r="J752" s="10" t="s">
        <v>12</v>
      </c>
      <c r="K752" s="10" t="s">
        <v>12</v>
      </c>
      <c r="L752" s="10" t="s">
        <v>12</v>
      </c>
      <c r="M752" s="10" t="s">
        <v>12</v>
      </c>
      <c r="N752" s="12" t="e">
        <f>VLOOKUP(J752,'Site Allocation'!$B$2:$C$37,2,FALSE)</f>
        <v>#N/A</v>
      </c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</row>
    <row r="753" spans="1:25" x14ac:dyDescent="0.35">
      <c r="A753" s="19"/>
      <c r="B753" s="19"/>
      <c r="C753" s="19"/>
      <c r="D753" s="19"/>
      <c r="E753" s="19"/>
      <c r="F753" s="19"/>
      <c r="G753" s="19"/>
      <c r="H753" s="19"/>
      <c r="I753" s="19"/>
      <c r="J753" s="10" t="s">
        <v>12</v>
      </c>
      <c r="K753" s="10" t="s">
        <v>12</v>
      </c>
      <c r="L753" s="10" t="s">
        <v>12</v>
      </c>
      <c r="M753" s="10" t="s">
        <v>12</v>
      </c>
      <c r="N753" s="12" t="e">
        <f>VLOOKUP(J753,'Site Allocation'!$B$2:$C$37,2,FALSE)</f>
        <v>#N/A</v>
      </c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</row>
    <row r="754" spans="1:25" x14ac:dyDescent="0.35">
      <c r="A754" s="19"/>
      <c r="B754" s="19"/>
      <c r="C754" s="19"/>
      <c r="D754" s="19"/>
      <c r="E754" s="19"/>
      <c r="F754" s="19"/>
      <c r="G754" s="19"/>
      <c r="H754" s="19"/>
      <c r="I754" s="19"/>
      <c r="J754" s="10" t="s">
        <v>12</v>
      </c>
      <c r="K754" s="10" t="s">
        <v>12</v>
      </c>
      <c r="L754" s="10" t="s">
        <v>12</v>
      </c>
      <c r="M754" s="10" t="s">
        <v>12</v>
      </c>
      <c r="N754" s="12" t="e">
        <f>VLOOKUP(J754,'Site Allocation'!$B$2:$C$37,2,FALSE)</f>
        <v>#N/A</v>
      </c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</row>
    <row r="755" spans="1:25" x14ac:dyDescent="0.35">
      <c r="A755" s="19"/>
      <c r="B755" s="19"/>
      <c r="C755" s="19"/>
      <c r="D755" s="19"/>
      <c r="E755" s="19"/>
      <c r="F755" s="19"/>
      <c r="G755" s="19"/>
      <c r="H755" s="19"/>
      <c r="I755" s="19"/>
      <c r="J755" s="10" t="s">
        <v>12</v>
      </c>
      <c r="K755" s="10" t="s">
        <v>12</v>
      </c>
      <c r="L755" s="10" t="s">
        <v>12</v>
      </c>
      <c r="M755" s="10" t="s">
        <v>12</v>
      </c>
      <c r="N755" s="12" t="e">
        <f>VLOOKUP(J755,'Site Allocation'!$B$2:$C$37,2,FALSE)</f>
        <v>#N/A</v>
      </c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</row>
    <row r="756" spans="1:25" x14ac:dyDescent="0.35">
      <c r="A756" s="19"/>
      <c r="B756" s="19"/>
      <c r="C756" s="19"/>
      <c r="D756" s="19"/>
      <c r="E756" s="19"/>
      <c r="F756" s="19"/>
      <c r="G756" s="19"/>
      <c r="H756" s="19"/>
      <c r="I756" s="19"/>
      <c r="J756" s="10" t="s">
        <v>12</v>
      </c>
      <c r="K756" s="10" t="s">
        <v>12</v>
      </c>
      <c r="L756" s="10" t="s">
        <v>12</v>
      </c>
      <c r="M756" s="10" t="s">
        <v>12</v>
      </c>
      <c r="N756" s="12" t="e">
        <f>VLOOKUP(J756,'Site Allocation'!$B$2:$C$37,2,FALSE)</f>
        <v>#N/A</v>
      </c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</row>
    <row r="757" spans="1:25" x14ac:dyDescent="0.35">
      <c r="A757" s="19"/>
      <c r="B757" s="19"/>
      <c r="C757" s="19"/>
      <c r="D757" s="19"/>
      <c r="E757" s="19"/>
      <c r="F757" s="19"/>
      <c r="G757" s="19"/>
      <c r="H757" s="19"/>
      <c r="I757" s="19"/>
      <c r="J757" s="10" t="s">
        <v>12</v>
      </c>
      <c r="K757" s="10" t="s">
        <v>12</v>
      </c>
      <c r="L757" s="10" t="s">
        <v>12</v>
      </c>
      <c r="M757" s="10" t="s">
        <v>12</v>
      </c>
      <c r="N757" s="12" t="e">
        <f>VLOOKUP(J757,'Site Allocation'!$B$2:$C$37,2,FALSE)</f>
        <v>#N/A</v>
      </c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</row>
    <row r="758" spans="1:25" x14ac:dyDescent="0.35">
      <c r="A758" s="19"/>
      <c r="B758" s="19"/>
      <c r="C758" s="19"/>
      <c r="D758" s="19"/>
      <c r="E758" s="19"/>
      <c r="F758" s="19"/>
      <c r="G758" s="19"/>
      <c r="H758" s="19"/>
      <c r="I758" s="19"/>
      <c r="J758" s="10" t="s">
        <v>12</v>
      </c>
      <c r="K758" s="10" t="s">
        <v>12</v>
      </c>
      <c r="L758" s="10" t="s">
        <v>12</v>
      </c>
      <c r="M758" s="10" t="s">
        <v>12</v>
      </c>
      <c r="N758" s="12" t="e">
        <f>VLOOKUP(J758,'Site Allocation'!$B$2:$C$37,2,FALSE)</f>
        <v>#N/A</v>
      </c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</row>
    <row r="759" spans="1:25" x14ac:dyDescent="0.35">
      <c r="A759" s="19"/>
      <c r="B759" s="19"/>
      <c r="C759" s="19"/>
      <c r="D759" s="19"/>
      <c r="E759" s="19"/>
      <c r="F759" s="19"/>
      <c r="G759" s="19"/>
      <c r="H759" s="19"/>
      <c r="I759" s="19"/>
      <c r="J759" s="10" t="s">
        <v>12</v>
      </c>
      <c r="K759" s="10" t="s">
        <v>12</v>
      </c>
      <c r="L759" s="10" t="s">
        <v>12</v>
      </c>
      <c r="M759" s="10" t="s">
        <v>12</v>
      </c>
      <c r="N759" s="12" t="e">
        <f>VLOOKUP(J759,'Site Allocation'!$B$2:$C$37,2,FALSE)</f>
        <v>#N/A</v>
      </c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</row>
    <row r="760" spans="1:25" x14ac:dyDescent="0.35">
      <c r="A760" s="19"/>
      <c r="B760" s="19"/>
      <c r="C760" s="19"/>
      <c r="D760" s="19"/>
      <c r="E760" s="19"/>
      <c r="F760" s="19"/>
      <c r="G760" s="19"/>
      <c r="H760" s="19"/>
      <c r="I760" s="19"/>
      <c r="J760" s="10" t="s">
        <v>12</v>
      </c>
      <c r="K760" s="10" t="s">
        <v>12</v>
      </c>
      <c r="L760" s="10" t="s">
        <v>12</v>
      </c>
      <c r="M760" s="10" t="s">
        <v>12</v>
      </c>
      <c r="N760" s="12" t="e">
        <f>VLOOKUP(J760,'Site Allocation'!$B$2:$C$37,2,FALSE)</f>
        <v>#N/A</v>
      </c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</row>
    <row r="761" spans="1:25" x14ac:dyDescent="0.35">
      <c r="A761" s="19"/>
      <c r="B761" s="19"/>
      <c r="C761" s="19"/>
      <c r="D761" s="19"/>
      <c r="E761" s="19"/>
      <c r="F761" s="19"/>
      <c r="G761" s="19"/>
      <c r="H761" s="19"/>
      <c r="I761" s="19"/>
      <c r="J761" s="10" t="s">
        <v>12</v>
      </c>
      <c r="K761" s="10" t="s">
        <v>12</v>
      </c>
      <c r="L761" s="10" t="s">
        <v>12</v>
      </c>
      <c r="M761" s="10" t="s">
        <v>12</v>
      </c>
      <c r="N761" s="12" t="e">
        <f>VLOOKUP(J761,'Site Allocation'!$B$2:$C$37,2,FALSE)</f>
        <v>#N/A</v>
      </c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</row>
    <row r="762" spans="1:25" x14ac:dyDescent="0.35">
      <c r="A762" s="19"/>
      <c r="B762" s="19"/>
      <c r="C762" s="19"/>
      <c r="D762" s="19"/>
      <c r="E762" s="19"/>
      <c r="F762" s="19"/>
      <c r="G762" s="19"/>
      <c r="H762" s="19"/>
      <c r="I762" s="19"/>
      <c r="J762" s="10" t="s">
        <v>12</v>
      </c>
      <c r="K762" s="10" t="s">
        <v>12</v>
      </c>
      <c r="L762" s="10" t="s">
        <v>12</v>
      </c>
      <c r="M762" s="10" t="s">
        <v>12</v>
      </c>
      <c r="N762" s="12" t="e">
        <f>VLOOKUP(J762,'Site Allocation'!$B$2:$C$37,2,FALSE)</f>
        <v>#N/A</v>
      </c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</row>
    <row r="763" spans="1:25" x14ac:dyDescent="0.35">
      <c r="A763" s="19"/>
      <c r="B763" s="19"/>
      <c r="C763" s="19"/>
      <c r="D763" s="19"/>
      <c r="E763" s="19"/>
      <c r="F763" s="19"/>
      <c r="G763" s="19"/>
      <c r="H763" s="19"/>
      <c r="I763" s="19"/>
      <c r="J763" s="10" t="s">
        <v>12</v>
      </c>
      <c r="K763" s="10" t="s">
        <v>12</v>
      </c>
      <c r="L763" s="10" t="s">
        <v>12</v>
      </c>
      <c r="M763" s="10" t="s">
        <v>12</v>
      </c>
      <c r="N763" s="12" t="e">
        <f>VLOOKUP(J763,'Site Allocation'!$B$2:$C$37,2,FALSE)</f>
        <v>#N/A</v>
      </c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</row>
    <row r="764" spans="1:25" x14ac:dyDescent="0.35">
      <c r="A764" s="19"/>
      <c r="B764" s="19"/>
      <c r="C764" s="19"/>
      <c r="D764" s="19"/>
      <c r="E764" s="19"/>
      <c r="F764" s="19"/>
      <c r="G764" s="19"/>
      <c r="H764" s="19"/>
      <c r="I764" s="19"/>
      <c r="J764" s="10" t="s">
        <v>12</v>
      </c>
      <c r="K764" s="10" t="s">
        <v>12</v>
      </c>
      <c r="L764" s="10" t="s">
        <v>12</v>
      </c>
      <c r="M764" s="10" t="s">
        <v>12</v>
      </c>
      <c r="N764" s="12" t="e">
        <f>VLOOKUP(J764,'Site Allocation'!$B$2:$C$37,2,FALSE)</f>
        <v>#N/A</v>
      </c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</row>
    <row r="765" spans="1:25" x14ac:dyDescent="0.35">
      <c r="A765" s="19"/>
      <c r="B765" s="19"/>
      <c r="C765" s="19"/>
      <c r="D765" s="19"/>
      <c r="E765" s="19"/>
      <c r="F765" s="19"/>
      <c r="G765" s="19"/>
      <c r="H765" s="19"/>
      <c r="I765" s="19"/>
      <c r="J765" s="10" t="s">
        <v>12</v>
      </c>
      <c r="K765" s="10" t="s">
        <v>12</v>
      </c>
      <c r="L765" s="10" t="s">
        <v>12</v>
      </c>
      <c r="M765" s="10" t="s">
        <v>12</v>
      </c>
      <c r="N765" s="12" t="e">
        <f>VLOOKUP(J765,'Site Allocation'!$B$2:$C$37,2,FALSE)</f>
        <v>#N/A</v>
      </c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</row>
    <row r="766" spans="1:25" x14ac:dyDescent="0.35">
      <c r="A766" s="19"/>
      <c r="B766" s="19"/>
      <c r="C766" s="19"/>
      <c r="D766" s="19"/>
      <c r="E766" s="19"/>
      <c r="F766" s="19"/>
      <c r="G766" s="19"/>
      <c r="H766" s="19"/>
      <c r="I766" s="19"/>
      <c r="J766" s="10" t="s">
        <v>12</v>
      </c>
      <c r="K766" s="10" t="s">
        <v>12</v>
      </c>
      <c r="L766" s="10" t="s">
        <v>12</v>
      </c>
      <c r="M766" s="10" t="s">
        <v>12</v>
      </c>
      <c r="N766" s="12" t="e">
        <f>VLOOKUP(J766,'Site Allocation'!$B$2:$C$37,2,FALSE)</f>
        <v>#N/A</v>
      </c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</row>
    <row r="767" spans="1:25" x14ac:dyDescent="0.35">
      <c r="A767" s="19"/>
      <c r="B767" s="19"/>
      <c r="C767" s="19"/>
      <c r="D767" s="19"/>
      <c r="E767" s="19"/>
      <c r="F767" s="19"/>
      <c r="G767" s="19"/>
      <c r="H767" s="19"/>
      <c r="I767" s="19"/>
      <c r="J767" s="10" t="s">
        <v>12</v>
      </c>
      <c r="K767" s="10" t="s">
        <v>12</v>
      </c>
      <c r="L767" s="10" t="s">
        <v>12</v>
      </c>
      <c r="M767" s="10" t="s">
        <v>12</v>
      </c>
      <c r="N767" s="12" t="e">
        <f>VLOOKUP(J767,'Site Allocation'!$B$2:$C$37,2,FALSE)</f>
        <v>#N/A</v>
      </c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</row>
    <row r="768" spans="1:25" x14ac:dyDescent="0.35">
      <c r="A768" s="19"/>
      <c r="B768" s="19"/>
      <c r="C768" s="19"/>
      <c r="D768" s="19"/>
      <c r="E768" s="19"/>
      <c r="F768" s="19"/>
      <c r="G768" s="19"/>
      <c r="H768" s="19"/>
      <c r="I768" s="19"/>
      <c r="J768" s="10" t="s">
        <v>12</v>
      </c>
      <c r="K768" s="10" t="s">
        <v>12</v>
      </c>
      <c r="L768" s="10" t="s">
        <v>12</v>
      </c>
      <c r="M768" s="10" t="s">
        <v>12</v>
      </c>
      <c r="N768" s="12" t="e">
        <f>VLOOKUP(J768,'Site Allocation'!$B$2:$C$37,2,FALSE)</f>
        <v>#N/A</v>
      </c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</row>
    <row r="769" spans="1:25" x14ac:dyDescent="0.35">
      <c r="A769" s="19"/>
      <c r="B769" s="19"/>
      <c r="C769" s="19"/>
      <c r="D769" s="19"/>
      <c r="E769" s="19"/>
      <c r="F769" s="19"/>
      <c r="G769" s="19"/>
      <c r="H769" s="19"/>
      <c r="I769" s="19"/>
      <c r="J769" s="10" t="s">
        <v>12</v>
      </c>
      <c r="K769" s="10" t="s">
        <v>12</v>
      </c>
      <c r="L769" s="10" t="s">
        <v>12</v>
      </c>
      <c r="M769" s="10" t="s">
        <v>12</v>
      </c>
      <c r="N769" s="12" t="e">
        <f>VLOOKUP(J769,'Site Allocation'!$B$2:$C$37,2,FALSE)</f>
        <v>#N/A</v>
      </c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</row>
    <row r="770" spans="1:25" x14ac:dyDescent="0.35">
      <c r="A770" s="19"/>
      <c r="B770" s="19"/>
      <c r="C770" s="19"/>
      <c r="D770" s="19"/>
      <c r="E770" s="19"/>
      <c r="F770" s="19"/>
      <c r="G770" s="19"/>
      <c r="H770" s="19"/>
      <c r="I770" s="19"/>
      <c r="J770" s="10" t="s">
        <v>12</v>
      </c>
      <c r="K770" s="10" t="s">
        <v>12</v>
      </c>
      <c r="L770" s="10" t="s">
        <v>12</v>
      </c>
      <c r="M770" s="10" t="s">
        <v>12</v>
      </c>
      <c r="N770" s="12" t="e">
        <f>VLOOKUP(J770,'Site Allocation'!$B$2:$C$37,2,FALSE)</f>
        <v>#N/A</v>
      </c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</row>
    <row r="771" spans="1:25" x14ac:dyDescent="0.35">
      <c r="A771" s="19"/>
      <c r="B771" s="19"/>
      <c r="C771" s="19"/>
      <c r="D771" s="19"/>
      <c r="E771" s="19"/>
      <c r="F771" s="19"/>
      <c r="G771" s="19"/>
      <c r="H771" s="19"/>
      <c r="I771" s="19"/>
      <c r="J771" s="10" t="s">
        <v>12</v>
      </c>
      <c r="K771" s="10" t="s">
        <v>12</v>
      </c>
      <c r="L771" s="10" t="s">
        <v>12</v>
      </c>
      <c r="M771" s="10" t="s">
        <v>12</v>
      </c>
      <c r="N771" s="12" t="e">
        <f>VLOOKUP(J771,'Site Allocation'!$B$2:$C$37,2,FALSE)</f>
        <v>#N/A</v>
      </c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</row>
    <row r="772" spans="1:25" x14ac:dyDescent="0.35">
      <c r="A772" s="19"/>
      <c r="B772" s="19"/>
      <c r="C772" s="19"/>
      <c r="D772" s="19"/>
      <c r="E772" s="19"/>
      <c r="F772" s="19"/>
      <c r="G772" s="19"/>
      <c r="H772" s="19"/>
      <c r="I772" s="19"/>
      <c r="J772" s="10" t="s">
        <v>12</v>
      </c>
      <c r="K772" s="10" t="s">
        <v>12</v>
      </c>
      <c r="L772" s="10" t="s">
        <v>12</v>
      </c>
      <c r="M772" s="10" t="s">
        <v>12</v>
      </c>
      <c r="N772" s="12" t="e">
        <f>VLOOKUP(J772,'Site Allocation'!$B$2:$C$37,2,FALSE)</f>
        <v>#N/A</v>
      </c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</row>
    <row r="773" spans="1:25" x14ac:dyDescent="0.35">
      <c r="A773" s="19"/>
      <c r="B773" s="19"/>
      <c r="C773" s="19"/>
      <c r="D773" s="19"/>
      <c r="E773" s="19"/>
      <c r="F773" s="19"/>
      <c r="G773" s="19"/>
      <c r="H773" s="19"/>
      <c r="I773" s="19"/>
      <c r="J773" s="10" t="s">
        <v>12</v>
      </c>
      <c r="K773" s="10" t="s">
        <v>12</v>
      </c>
      <c r="L773" s="10" t="s">
        <v>12</v>
      </c>
      <c r="M773" s="10" t="s">
        <v>12</v>
      </c>
      <c r="N773" s="12" t="e">
        <f>VLOOKUP(J773,'Site Allocation'!$B$2:$C$37,2,FALSE)</f>
        <v>#N/A</v>
      </c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</row>
    <row r="774" spans="1:25" x14ac:dyDescent="0.35">
      <c r="A774" s="19"/>
      <c r="B774" s="19"/>
      <c r="C774" s="19"/>
      <c r="D774" s="19"/>
      <c r="E774" s="19"/>
      <c r="F774" s="19"/>
      <c r="G774" s="19"/>
      <c r="H774" s="19"/>
      <c r="I774" s="19"/>
      <c r="J774" s="10" t="s">
        <v>12</v>
      </c>
      <c r="K774" s="10" t="s">
        <v>12</v>
      </c>
      <c r="L774" s="10" t="s">
        <v>12</v>
      </c>
      <c r="M774" s="10" t="s">
        <v>12</v>
      </c>
      <c r="N774" s="12" t="e">
        <f>VLOOKUP(J774,'Site Allocation'!$B$2:$C$37,2,FALSE)</f>
        <v>#N/A</v>
      </c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</row>
    <row r="775" spans="1:25" x14ac:dyDescent="0.35">
      <c r="A775" s="19"/>
      <c r="B775" s="19"/>
      <c r="C775" s="19"/>
      <c r="D775" s="19"/>
      <c r="E775" s="19"/>
      <c r="F775" s="19"/>
      <c r="G775" s="19"/>
      <c r="H775" s="19"/>
      <c r="I775" s="19"/>
      <c r="J775" s="10" t="s">
        <v>12</v>
      </c>
      <c r="K775" s="10" t="s">
        <v>12</v>
      </c>
      <c r="L775" s="10" t="s">
        <v>12</v>
      </c>
      <c r="M775" s="10" t="s">
        <v>12</v>
      </c>
      <c r="N775" s="12" t="e">
        <f>VLOOKUP(J775,'Site Allocation'!$B$2:$C$37,2,FALSE)</f>
        <v>#N/A</v>
      </c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</row>
    <row r="776" spans="1:25" x14ac:dyDescent="0.35">
      <c r="A776" s="19"/>
      <c r="B776" s="19"/>
      <c r="C776" s="19"/>
      <c r="D776" s="19"/>
      <c r="E776" s="19"/>
      <c r="F776" s="19"/>
      <c r="G776" s="19"/>
      <c r="H776" s="19"/>
      <c r="I776" s="19"/>
      <c r="J776" s="10" t="s">
        <v>12</v>
      </c>
      <c r="K776" s="10" t="s">
        <v>12</v>
      </c>
      <c r="L776" s="10" t="s">
        <v>12</v>
      </c>
      <c r="M776" s="10" t="s">
        <v>12</v>
      </c>
      <c r="N776" s="12" t="e">
        <f>VLOOKUP(J776,'Site Allocation'!$B$2:$C$37,2,FALSE)</f>
        <v>#N/A</v>
      </c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</row>
    <row r="777" spans="1:25" x14ac:dyDescent="0.35">
      <c r="A777" s="19"/>
      <c r="B777" s="19"/>
      <c r="C777" s="19"/>
      <c r="D777" s="19"/>
      <c r="E777" s="19"/>
      <c r="F777" s="19"/>
      <c r="G777" s="19"/>
      <c r="H777" s="19"/>
      <c r="I777" s="19"/>
      <c r="J777" s="10" t="s">
        <v>12</v>
      </c>
      <c r="K777" s="10" t="s">
        <v>12</v>
      </c>
      <c r="L777" s="10" t="s">
        <v>12</v>
      </c>
      <c r="M777" s="10" t="s">
        <v>12</v>
      </c>
      <c r="N777" s="12" t="e">
        <f>VLOOKUP(J777,'Site Allocation'!$B$2:$C$37,2,FALSE)</f>
        <v>#N/A</v>
      </c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</row>
    <row r="778" spans="1:25" x14ac:dyDescent="0.35">
      <c r="A778" s="19"/>
      <c r="B778" s="19"/>
      <c r="C778" s="19"/>
      <c r="D778" s="19"/>
      <c r="E778" s="19"/>
      <c r="F778" s="19"/>
      <c r="G778" s="19"/>
      <c r="H778" s="19"/>
      <c r="I778" s="19"/>
      <c r="J778" s="10" t="s">
        <v>12</v>
      </c>
      <c r="K778" s="10" t="s">
        <v>12</v>
      </c>
      <c r="L778" s="10" t="s">
        <v>12</v>
      </c>
      <c r="M778" s="10" t="s">
        <v>12</v>
      </c>
      <c r="N778" s="12" t="e">
        <f>VLOOKUP(J778,'Site Allocation'!$B$2:$C$37,2,FALSE)</f>
        <v>#N/A</v>
      </c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</row>
    <row r="779" spans="1:25" x14ac:dyDescent="0.35">
      <c r="A779" s="19"/>
      <c r="B779" s="19"/>
      <c r="C779" s="19"/>
      <c r="D779" s="19"/>
      <c r="E779" s="19"/>
      <c r="F779" s="19"/>
      <c r="G779" s="19"/>
      <c r="H779" s="19"/>
      <c r="I779" s="19"/>
      <c r="J779" s="10" t="s">
        <v>12</v>
      </c>
      <c r="K779" s="10" t="s">
        <v>12</v>
      </c>
      <c r="L779" s="10" t="s">
        <v>12</v>
      </c>
      <c r="M779" s="10" t="s">
        <v>12</v>
      </c>
      <c r="N779" s="12" t="e">
        <f>VLOOKUP(J779,'Site Allocation'!$B$2:$C$37,2,FALSE)</f>
        <v>#N/A</v>
      </c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</row>
    <row r="780" spans="1:25" x14ac:dyDescent="0.35">
      <c r="A780" s="19"/>
      <c r="B780" s="19"/>
      <c r="C780" s="19"/>
      <c r="D780" s="19"/>
      <c r="E780" s="19"/>
      <c r="F780" s="19"/>
      <c r="G780" s="19"/>
      <c r="H780" s="19"/>
      <c r="I780" s="19"/>
      <c r="J780" s="10" t="s">
        <v>12</v>
      </c>
      <c r="K780" s="10" t="s">
        <v>12</v>
      </c>
      <c r="L780" s="10" t="s">
        <v>12</v>
      </c>
      <c r="M780" s="10" t="s">
        <v>12</v>
      </c>
      <c r="N780" s="12" t="e">
        <f>VLOOKUP(J780,'Site Allocation'!$B$2:$C$37,2,FALSE)</f>
        <v>#N/A</v>
      </c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</row>
    <row r="781" spans="1:25" x14ac:dyDescent="0.35">
      <c r="A781" s="19"/>
      <c r="B781" s="19"/>
      <c r="C781" s="19"/>
      <c r="D781" s="19"/>
      <c r="E781" s="19"/>
      <c r="F781" s="19"/>
      <c r="G781" s="19"/>
      <c r="H781" s="19"/>
      <c r="I781" s="19"/>
      <c r="J781" s="10" t="s">
        <v>12</v>
      </c>
      <c r="K781" s="10" t="s">
        <v>12</v>
      </c>
      <c r="L781" s="10" t="s">
        <v>12</v>
      </c>
      <c r="M781" s="10" t="s">
        <v>12</v>
      </c>
      <c r="N781" s="12" t="e">
        <f>VLOOKUP(J781,'Site Allocation'!$B$2:$C$37,2,FALSE)</f>
        <v>#N/A</v>
      </c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</row>
    <row r="782" spans="1:25" x14ac:dyDescent="0.35">
      <c r="A782" s="19"/>
      <c r="B782" s="19"/>
      <c r="C782" s="19"/>
      <c r="D782" s="19"/>
      <c r="E782" s="19"/>
      <c r="F782" s="19"/>
      <c r="G782" s="19"/>
      <c r="H782" s="19"/>
      <c r="I782" s="19"/>
      <c r="J782" s="10" t="s">
        <v>12</v>
      </c>
      <c r="K782" s="10" t="s">
        <v>12</v>
      </c>
      <c r="L782" s="10" t="s">
        <v>12</v>
      </c>
      <c r="M782" s="10" t="s">
        <v>12</v>
      </c>
      <c r="N782" s="12" t="e">
        <f>VLOOKUP(J782,'Site Allocation'!$B$2:$C$37,2,FALSE)</f>
        <v>#N/A</v>
      </c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</row>
    <row r="783" spans="1:25" x14ac:dyDescent="0.35">
      <c r="A783" s="19"/>
      <c r="B783" s="19"/>
      <c r="C783" s="19"/>
      <c r="D783" s="19"/>
      <c r="E783" s="19"/>
      <c r="F783" s="19"/>
      <c r="G783" s="19"/>
      <c r="H783" s="19"/>
      <c r="I783" s="19"/>
      <c r="J783" s="10" t="s">
        <v>12</v>
      </c>
      <c r="K783" s="10" t="s">
        <v>12</v>
      </c>
      <c r="L783" s="10" t="s">
        <v>12</v>
      </c>
      <c r="M783" s="10" t="s">
        <v>12</v>
      </c>
      <c r="N783" s="12" t="e">
        <f>VLOOKUP(J783,'Site Allocation'!$B$2:$C$37,2,FALSE)</f>
        <v>#N/A</v>
      </c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</row>
    <row r="784" spans="1:25" x14ac:dyDescent="0.35">
      <c r="A784" s="19"/>
      <c r="B784" s="19"/>
      <c r="C784" s="19"/>
      <c r="D784" s="19"/>
      <c r="E784" s="19"/>
      <c r="F784" s="19"/>
      <c r="G784" s="19"/>
      <c r="H784" s="19"/>
      <c r="I784" s="19"/>
      <c r="J784" s="10" t="s">
        <v>12</v>
      </c>
      <c r="K784" s="10" t="s">
        <v>12</v>
      </c>
      <c r="L784" s="10" t="s">
        <v>12</v>
      </c>
      <c r="M784" s="10" t="s">
        <v>12</v>
      </c>
      <c r="N784" s="12" t="e">
        <f>VLOOKUP(J784,'Site Allocation'!$B$2:$C$37,2,FALSE)</f>
        <v>#N/A</v>
      </c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</row>
    <row r="785" spans="1:25" x14ac:dyDescent="0.35">
      <c r="A785" s="19"/>
      <c r="B785" s="19"/>
      <c r="C785" s="19"/>
      <c r="D785" s="19"/>
      <c r="E785" s="19"/>
      <c r="F785" s="19"/>
      <c r="G785" s="19"/>
      <c r="H785" s="19"/>
      <c r="I785" s="19"/>
      <c r="J785" s="10" t="s">
        <v>12</v>
      </c>
      <c r="K785" s="10" t="s">
        <v>12</v>
      </c>
      <c r="L785" s="10" t="s">
        <v>12</v>
      </c>
      <c r="M785" s="10" t="s">
        <v>12</v>
      </c>
      <c r="N785" s="12" t="e">
        <f>VLOOKUP(J785,'Site Allocation'!$B$2:$C$37,2,FALSE)</f>
        <v>#N/A</v>
      </c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</row>
    <row r="786" spans="1:25" x14ac:dyDescent="0.35">
      <c r="A786" s="19"/>
      <c r="B786" s="19"/>
      <c r="C786" s="19"/>
      <c r="D786" s="19"/>
      <c r="E786" s="19"/>
      <c r="F786" s="19"/>
      <c r="G786" s="19"/>
      <c r="H786" s="19"/>
      <c r="I786" s="19"/>
      <c r="J786" s="10" t="s">
        <v>12</v>
      </c>
      <c r="K786" s="10" t="s">
        <v>12</v>
      </c>
      <c r="L786" s="10" t="s">
        <v>12</v>
      </c>
      <c r="M786" s="10" t="s">
        <v>12</v>
      </c>
      <c r="N786" s="12" t="e">
        <f>VLOOKUP(J786,'Site Allocation'!$B$2:$C$37,2,FALSE)</f>
        <v>#N/A</v>
      </c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</row>
    <row r="787" spans="1:25" x14ac:dyDescent="0.35">
      <c r="A787" s="19"/>
      <c r="B787" s="19"/>
      <c r="C787" s="19"/>
      <c r="D787" s="19"/>
      <c r="E787" s="19"/>
      <c r="F787" s="19"/>
      <c r="G787" s="19"/>
      <c r="H787" s="19"/>
      <c r="I787" s="19"/>
      <c r="J787" s="10" t="s">
        <v>12</v>
      </c>
      <c r="K787" s="10" t="s">
        <v>12</v>
      </c>
      <c r="L787" s="10" t="s">
        <v>12</v>
      </c>
      <c r="M787" s="10" t="s">
        <v>12</v>
      </c>
      <c r="N787" s="12" t="e">
        <f>VLOOKUP(J787,'Site Allocation'!$B$2:$C$37,2,FALSE)</f>
        <v>#N/A</v>
      </c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</row>
    <row r="788" spans="1:25" x14ac:dyDescent="0.35">
      <c r="A788" s="19"/>
      <c r="B788" s="19"/>
      <c r="C788" s="19"/>
      <c r="D788" s="19"/>
      <c r="E788" s="19"/>
      <c r="F788" s="19"/>
      <c r="G788" s="19"/>
      <c r="H788" s="19"/>
      <c r="I788" s="19"/>
      <c r="J788" s="10" t="s">
        <v>12</v>
      </c>
      <c r="K788" s="10" t="s">
        <v>12</v>
      </c>
      <c r="L788" s="10" t="s">
        <v>12</v>
      </c>
      <c r="M788" s="10" t="s">
        <v>12</v>
      </c>
      <c r="N788" s="12" t="e">
        <f>VLOOKUP(J788,'Site Allocation'!$B$2:$C$37,2,FALSE)</f>
        <v>#N/A</v>
      </c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</row>
    <row r="789" spans="1:25" x14ac:dyDescent="0.35">
      <c r="A789" s="19"/>
      <c r="B789" s="19"/>
      <c r="C789" s="19"/>
      <c r="D789" s="19"/>
      <c r="E789" s="19"/>
      <c r="F789" s="19"/>
      <c r="G789" s="19"/>
      <c r="H789" s="19"/>
      <c r="I789" s="19"/>
      <c r="J789" s="10" t="s">
        <v>12</v>
      </c>
      <c r="K789" s="10" t="s">
        <v>12</v>
      </c>
      <c r="L789" s="10" t="s">
        <v>12</v>
      </c>
      <c r="M789" s="10" t="s">
        <v>12</v>
      </c>
      <c r="N789" s="12" t="e">
        <f>VLOOKUP(J789,'Site Allocation'!$B$2:$C$37,2,FALSE)</f>
        <v>#N/A</v>
      </c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</row>
    <row r="790" spans="1:25" x14ac:dyDescent="0.35">
      <c r="A790" s="19"/>
      <c r="B790" s="19"/>
      <c r="C790" s="19"/>
      <c r="D790" s="19"/>
      <c r="E790" s="19"/>
      <c r="F790" s="19"/>
      <c r="G790" s="19"/>
      <c r="H790" s="19"/>
      <c r="I790" s="19"/>
      <c r="J790" s="10" t="s">
        <v>12</v>
      </c>
      <c r="K790" s="10" t="s">
        <v>12</v>
      </c>
      <c r="L790" s="10" t="s">
        <v>12</v>
      </c>
      <c r="M790" s="10" t="s">
        <v>12</v>
      </c>
      <c r="N790" s="12" t="e">
        <f>VLOOKUP(J790,'Site Allocation'!$B$2:$C$37,2,FALSE)</f>
        <v>#N/A</v>
      </c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</row>
    <row r="791" spans="1:25" x14ac:dyDescent="0.35">
      <c r="A791" s="19"/>
      <c r="B791" s="19"/>
      <c r="C791" s="19"/>
      <c r="D791" s="19"/>
      <c r="E791" s="19"/>
      <c r="F791" s="19"/>
      <c r="G791" s="19"/>
      <c r="H791" s="19"/>
      <c r="I791" s="19"/>
      <c r="J791" s="10" t="s">
        <v>12</v>
      </c>
      <c r="K791" s="10" t="s">
        <v>12</v>
      </c>
      <c r="L791" s="10" t="s">
        <v>12</v>
      </c>
      <c r="M791" s="10" t="s">
        <v>12</v>
      </c>
      <c r="N791" s="12" t="e">
        <f>VLOOKUP(J791,'Site Allocation'!$B$2:$C$37,2,FALSE)</f>
        <v>#N/A</v>
      </c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</row>
    <row r="792" spans="1:25" x14ac:dyDescent="0.35">
      <c r="A792" s="19"/>
      <c r="B792" s="19"/>
      <c r="C792" s="19"/>
      <c r="D792" s="19"/>
      <c r="E792" s="19"/>
      <c r="F792" s="19"/>
      <c r="G792" s="19"/>
      <c r="H792" s="19"/>
      <c r="I792" s="19"/>
      <c r="J792" s="10" t="s">
        <v>12</v>
      </c>
      <c r="K792" s="10" t="s">
        <v>12</v>
      </c>
      <c r="L792" s="10" t="s">
        <v>12</v>
      </c>
      <c r="M792" s="10" t="s">
        <v>12</v>
      </c>
      <c r="N792" s="12" t="e">
        <f>VLOOKUP(J792,'Site Allocation'!$B$2:$C$37,2,FALSE)</f>
        <v>#N/A</v>
      </c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</row>
    <row r="793" spans="1:25" x14ac:dyDescent="0.35">
      <c r="A793" s="19"/>
      <c r="B793" s="19"/>
      <c r="C793" s="19"/>
      <c r="D793" s="19"/>
      <c r="E793" s="19"/>
      <c r="F793" s="19"/>
      <c r="G793" s="19"/>
      <c r="H793" s="19"/>
      <c r="I793" s="19"/>
      <c r="J793" s="10" t="s">
        <v>12</v>
      </c>
      <c r="K793" s="10" t="s">
        <v>12</v>
      </c>
      <c r="L793" s="10" t="s">
        <v>12</v>
      </c>
      <c r="M793" s="10" t="s">
        <v>12</v>
      </c>
      <c r="N793" s="12" t="e">
        <f>VLOOKUP(J793,'Site Allocation'!$B$2:$C$37,2,FALSE)</f>
        <v>#N/A</v>
      </c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</row>
    <row r="794" spans="1:25" x14ac:dyDescent="0.35">
      <c r="A794" s="19"/>
      <c r="B794" s="19"/>
      <c r="C794" s="19"/>
      <c r="D794" s="19"/>
      <c r="E794" s="19"/>
      <c r="F794" s="19"/>
      <c r="G794" s="19"/>
      <c r="H794" s="19"/>
      <c r="I794" s="19"/>
      <c r="J794" s="10" t="s">
        <v>12</v>
      </c>
      <c r="K794" s="10" t="s">
        <v>12</v>
      </c>
      <c r="L794" s="10" t="s">
        <v>12</v>
      </c>
      <c r="M794" s="10" t="s">
        <v>12</v>
      </c>
      <c r="N794" s="12" t="e">
        <f>VLOOKUP(J794,'Site Allocation'!$B$2:$C$37,2,FALSE)</f>
        <v>#N/A</v>
      </c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</row>
    <row r="795" spans="1:25" x14ac:dyDescent="0.35">
      <c r="A795" s="19"/>
      <c r="B795" s="19"/>
      <c r="C795" s="19"/>
      <c r="D795" s="19"/>
      <c r="E795" s="19"/>
      <c r="F795" s="19"/>
      <c r="G795" s="19"/>
      <c r="H795" s="19"/>
      <c r="I795" s="19"/>
      <c r="J795" s="10" t="s">
        <v>12</v>
      </c>
      <c r="K795" s="10" t="s">
        <v>12</v>
      </c>
      <c r="L795" s="10" t="s">
        <v>12</v>
      </c>
      <c r="M795" s="10" t="s">
        <v>12</v>
      </c>
      <c r="N795" s="12" t="e">
        <f>VLOOKUP(J795,'Site Allocation'!$B$2:$C$37,2,FALSE)</f>
        <v>#N/A</v>
      </c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</row>
    <row r="796" spans="1:25" x14ac:dyDescent="0.35">
      <c r="A796" s="19"/>
      <c r="B796" s="19"/>
      <c r="C796" s="19"/>
      <c r="D796" s="19"/>
      <c r="E796" s="19"/>
      <c r="F796" s="19"/>
      <c r="G796" s="19"/>
      <c r="H796" s="19"/>
      <c r="I796" s="19"/>
      <c r="J796" s="10" t="s">
        <v>12</v>
      </c>
      <c r="K796" s="10" t="s">
        <v>12</v>
      </c>
      <c r="L796" s="10" t="s">
        <v>12</v>
      </c>
      <c r="M796" s="10" t="s">
        <v>12</v>
      </c>
      <c r="N796" s="12" t="e">
        <f>VLOOKUP(J796,'Site Allocation'!$B$2:$C$37,2,FALSE)</f>
        <v>#N/A</v>
      </c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</row>
    <row r="797" spans="1:25" x14ac:dyDescent="0.35">
      <c r="A797" s="19"/>
      <c r="B797" s="19"/>
      <c r="C797" s="19"/>
      <c r="D797" s="19"/>
      <c r="E797" s="19"/>
      <c r="F797" s="19"/>
      <c r="G797" s="19"/>
      <c r="H797" s="19"/>
      <c r="I797" s="19"/>
      <c r="J797" s="10" t="s">
        <v>12</v>
      </c>
      <c r="K797" s="10" t="s">
        <v>12</v>
      </c>
      <c r="L797" s="10" t="s">
        <v>12</v>
      </c>
      <c r="M797" s="10" t="s">
        <v>12</v>
      </c>
      <c r="N797" s="12" t="e">
        <f>VLOOKUP(J797,'Site Allocation'!$B$2:$C$37,2,FALSE)</f>
        <v>#N/A</v>
      </c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</row>
    <row r="798" spans="1:25" x14ac:dyDescent="0.35">
      <c r="A798" s="19"/>
      <c r="B798" s="19"/>
      <c r="C798" s="19"/>
      <c r="D798" s="19"/>
      <c r="E798" s="19"/>
      <c r="F798" s="19"/>
      <c r="G798" s="19"/>
      <c r="H798" s="19"/>
      <c r="I798" s="19"/>
      <c r="J798" s="10" t="s">
        <v>12</v>
      </c>
      <c r="K798" s="10" t="s">
        <v>12</v>
      </c>
      <c r="L798" s="10" t="s">
        <v>12</v>
      </c>
      <c r="M798" s="10" t="s">
        <v>12</v>
      </c>
      <c r="N798" s="12" t="e">
        <f>VLOOKUP(J798,'Site Allocation'!$B$2:$C$37,2,FALSE)</f>
        <v>#N/A</v>
      </c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</row>
    <row r="799" spans="1:25" x14ac:dyDescent="0.35">
      <c r="A799" s="19"/>
      <c r="B799" s="19"/>
      <c r="C799" s="19"/>
      <c r="D799" s="19"/>
      <c r="E799" s="19"/>
      <c r="F799" s="19"/>
      <c r="G799" s="19"/>
      <c r="H799" s="19"/>
      <c r="I799" s="19"/>
      <c r="J799" s="10" t="s">
        <v>12</v>
      </c>
      <c r="K799" s="10" t="s">
        <v>12</v>
      </c>
      <c r="L799" s="10" t="s">
        <v>12</v>
      </c>
      <c r="M799" s="10" t="s">
        <v>12</v>
      </c>
      <c r="N799" s="12" t="e">
        <f>VLOOKUP(J799,'Site Allocation'!$B$2:$C$37,2,FALSE)</f>
        <v>#N/A</v>
      </c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</row>
    <row r="800" spans="1:25" x14ac:dyDescent="0.35">
      <c r="A800" s="19"/>
      <c r="B800" s="19"/>
      <c r="C800" s="19"/>
      <c r="D800" s="19"/>
      <c r="E800" s="19"/>
      <c r="F800" s="19"/>
      <c r="G800" s="19"/>
      <c r="H800" s="19"/>
      <c r="I800" s="19"/>
      <c r="J800" s="10" t="s">
        <v>12</v>
      </c>
      <c r="K800" s="10" t="s">
        <v>12</v>
      </c>
      <c r="L800" s="10" t="s">
        <v>12</v>
      </c>
      <c r="M800" s="10" t="s">
        <v>12</v>
      </c>
      <c r="N800" s="12" t="e">
        <f>VLOOKUP(J800,'Site Allocation'!$B$2:$C$37,2,FALSE)</f>
        <v>#N/A</v>
      </c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</row>
    <row r="801" spans="1:25" x14ac:dyDescent="0.35">
      <c r="A801" s="19"/>
      <c r="B801" s="19"/>
      <c r="C801" s="19"/>
      <c r="D801" s="19"/>
      <c r="E801" s="19"/>
      <c r="F801" s="19"/>
      <c r="G801" s="19"/>
      <c r="H801" s="19"/>
      <c r="I801" s="19"/>
      <c r="J801" s="10" t="s">
        <v>12</v>
      </c>
      <c r="K801" s="10" t="s">
        <v>12</v>
      </c>
      <c r="L801" s="10" t="s">
        <v>12</v>
      </c>
      <c r="M801" s="10" t="s">
        <v>12</v>
      </c>
      <c r="N801" s="12" t="e">
        <f>VLOOKUP(J801,'Site Allocation'!$B$2:$C$37,2,FALSE)</f>
        <v>#N/A</v>
      </c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</row>
    <row r="802" spans="1:25" x14ac:dyDescent="0.35">
      <c r="A802" s="19"/>
      <c r="B802" s="19"/>
      <c r="C802" s="19"/>
      <c r="D802" s="19"/>
      <c r="E802" s="19"/>
      <c r="F802" s="19"/>
      <c r="G802" s="19"/>
      <c r="H802" s="19"/>
      <c r="I802" s="19"/>
      <c r="J802" s="10" t="s">
        <v>12</v>
      </c>
      <c r="K802" s="10" t="s">
        <v>12</v>
      </c>
      <c r="L802" s="10" t="s">
        <v>12</v>
      </c>
      <c r="M802" s="10" t="s">
        <v>12</v>
      </c>
      <c r="N802" s="12" t="e">
        <f>VLOOKUP(J802,'Site Allocation'!$B$2:$C$37,2,FALSE)</f>
        <v>#N/A</v>
      </c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</row>
    <row r="803" spans="1:25" x14ac:dyDescent="0.35">
      <c r="A803" s="19"/>
      <c r="B803" s="19"/>
      <c r="C803" s="19"/>
      <c r="D803" s="19"/>
      <c r="E803" s="19"/>
      <c r="F803" s="19"/>
      <c r="G803" s="19"/>
      <c r="H803" s="19"/>
      <c r="I803" s="19"/>
      <c r="J803" s="10" t="s">
        <v>12</v>
      </c>
      <c r="K803" s="10" t="s">
        <v>12</v>
      </c>
      <c r="L803" s="10" t="s">
        <v>12</v>
      </c>
      <c r="M803" s="10" t="s">
        <v>12</v>
      </c>
      <c r="N803" s="12" t="e">
        <f>VLOOKUP(J803,'Site Allocation'!$B$2:$C$37,2,FALSE)</f>
        <v>#N/A</v>
      </c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</row>
    <row r="804" spans="1:25" x14ac:dyDescent="0.35">
      <c r="A804" s="19"/>
      <c r="B804" s="19"/>
      <c r="C804" s="19"/>
      <c r="D804" s="19"/>
      <c r="E804" s="19"/>
      <c r="F804" s="19"/>
      <c r="G804" s="19"/>
      <c r="H804" s="19"/>
      <c r="I804" s="19"/>
      <c r="J804" s="10" t="s">
        <v>12</v>
      </c>
      <c r="K804" s="10" t="s">
        <v>12</v>
      </c>
      <c r="L804" s="10" t="s">
        <v>12</v>
      </c>
      <c r="M804" s="10" t="s">
        <v>12</v>
      </c>
      <c r="N804" s="12" t="e">
        <f>VLOOKUP(J804,'Site Allocation'!$B$2:$C$37,2,FALSE)</f>
        <v>#N/A</v>
      </c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</row>
    <row r="805" spans="1:25" x14ac:dyDescent="0.35">
      <c r="A805" s="19"/>
      <c r="B805" s="19"/>
      <c r="C805" s="19"/>
      <c r="D805" s="19"/>
      <c r="E805" s="19"/>
      <c r="F805" s="19"/>
      <c r="G805" s="19"/>
      <c r="H805" s="19"/>
      <c r="I805" s="19"/>
      <c r="J805" s="10" t="s">
        <v>12</v>
      </c>
      <c r="K805" s="10" t="s">
        <v>12</v>
      </c>
      <c r="L805" s="10" t="s">
        <v>12</v>
      </c>
      <c r="M805" s="10" t="s">
        <v>12</v>
      </c>
      <c r="N805" s="12" t="e">
        <f>VLOOKUP(J805,'Site Allocation'!$B$2:$C$37,2,FALSE)</f>
        <v>#N/A</v>
      </c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</row>
    <row r="806" spans="1:25" x14ac:dyDescent="0.35">
      <c r="A806" s="19"/>
      <c r="B806" s="19"/>
      <c r="C806" s="19"/>
      <c r="D806" s="19"/>
      <c r="E806" s="19"/>
      <c r="F806" s="19"/>
      <c r="G806" s="19"/>
      <c r="H806" s="19"/>
      <c r="I806" s="19"/>
      <c r="J806" s="10" t="s">
        <v>12</v>
      </c>
      <c r="K806" s="10" t="s">
        <v>12</v>
      </c>
      <c r="L806" s="10" t="s">
        <v>12</v>
      </c>
      <c r="M806" s="10" t="s">
        <v>12</v>
      </c>
      <c r="N806" s="12" t="e">
        <f>VLOOKUP(J806,'Site Allocation'!$B$2:$C$37,2,FALSE)</f>
        <v>#N/A</v>
      </c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</row>
    <row r="807" spans="1:25" x14ac:dyDescent="0.35">
      <c r="A807" s="19"/>
      <c r="B807" s="19"/>
      <c r="C807" s="19"/>
      <c r="D807" s="19"/>
      <c r="E807" s="19"/>
      <c r="F807" s="19"/>
      <c r="G807" s="19"/>
      <c r="H807" s="19"/>
      <c r="I807" s="19"/>
      <c r="J807" s="10" t="s">
        <v>12</v>
      </c>
      <c r="K807" s="10" t="s">
        <v>12</v>
      </c>
      <c r="L807" s="10" t="s">
        <v>12</v>
      </c>
      <c r="M807" s="10" t="s">
        <v>12</v>
      </c>
      <c r="N807" s="12" t="e">
        <f>VLOOKUP(J807,'Site Allocation'!$B$2:$C$37,2,FALSE)</f>
        <v>#N/A</v>
      </c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</row>
    <row r="808" spans="1:25" x14ac:dyDescent="0.35">
      <c r="A808" s="19"/>
      <c r="B808" s="19"/>
      <c r="C808" s="19"/>
      <c r="D808" s="19"/>
      <c r="E808" s="19"/>
      <c r="F808" s="19"/>
      <c r="G808" s="19"/>
      <c r="H808" s="19"/>
      <c r="I808" s="19"/>
      <c r="J808" s="10" t="s">
        <v>12</v>
      </c>
      <c r="K808" s="10" t="s">
        <v>12</v>
      </c>
      <c r="L808" s="10" t="s">
        <v>12</v>
      </c>
      <c r="M808" s="10" t="s">
        <v>12</v>
      </c>
      <c r="N808" s="12" t="e">
        <f>VLOOKUP(J808,'Site Allocation'!$B$2:$C$37,2,FALSE)</f>
        <v>#N/A</v>
      </c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</row>
    <row r="809" spans="1:25" x14ac:dyDescent="0.35">
      <c r="A809" s="19"/>
      <c r="B809" s="19"/>
      <c r="C809" s="19"/>
      <c r="D809" s="19"/>
      <c r="E809" s="19"/>
      <c r="F809" s="19"/>
      <c r="G809" s="19"/>
      <c r="H809" s="19"/>
      <c r="I809" s="19"/>
      <c r="J809" s="10" t="s">
        <v>12</v>
      </c>
      <c r="K809" s="10" t="s">
        <v>12</v>
      </c>
      <c r="L809" s="10" t="s">
        <v>12</v>
      </c>
      <c r="M809" s="10" t="s">
        <v>12</v>
      </c>
      <c r="N809" s="12" t="e">
        <f>VLOOKUP(J809,'Site Allocation'!$B$2:$C$37,2,FALSE)</f>
        <v>#N/A</v>
      </c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</row>
    <row r="810" spans="1:25" x14ac:dyDescent="0.35">
      <c r="A810" s="19"/>
      <c r="B810" s="19"/>
      <c r="C810" s="19"/>
      <c r="D810" s="19"/>
      <c r="E810" s="19"/>
      <c r="F810" s="19"/>
      <c r="G810" s="19"/>
      <c r="H810" s="19"/>
      <c r="I810" s="19"/>
      <c r="J810" s="10" t="s">
        <v>12</v>
      </c>
      <c r="K810" s="10" t="s">
        <v>12</v>
      </c>
      <c r="L810" s="10" t="s">
        <v>12</v>
      </c>
      <c r="M810" s="10" t="s">
        <v>12</v>
      </c>
      <c r="N810" s="12" t="e">
        <f>VLOOKUP(J810,'Site Allocation'!$B$2:$C$37,2,FALSE)</f>
        <v>#N/A</v>
      </c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</row>
    <row r="811" spans="1:25" x14ac:dyDescent="0.35">
      <c r="A811" s="19"/>
      <c r="B811" s="19"/>
      <c r="C811" s="19"/>
      <c r="D811" s="19"/>
      <c r="E811" s="19"/>
      <c r="F811" s="19"/>
      <c r="G811" s="19"/>
      <c r="H811" s="19"/>
      <c r="I811" s="19"/>
      <c r="J811" s="10" t="s">
        <v>12</v>
      </c>
      <c r="K811" s="10" t="s">
        <v>12</v>
      </c>
      <c r="L811" s="10" t="s">
        <v>12</v>
      </c>
      <c r="M811" s="10" t="s">
        <v>12</v>
      </c>
      <c r="N811" s="12" t="e">
        <f>VLOOKUP(J811,'Site Allocation'!$B$2:$C$37,2,FALSE)</f>
        <v>#N/A</v>
      </c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</row>
    <row r="812" spans="1:25" x14ac:dyDescent="0.35">
      <c r="A812" s="19"/>
      <c r="B812" s="19"/>
      <c r="C812" s="19"/>
      <c r="D812" s="19"/>
      <c r="E812" s="19"/>
      <c r="F812" s="19"/>
      <c r="G812" s="19"/>
      <c r="H812" s="19"/>
      <c r="I812" s="19"/>
      <c r="J812" s="10" t="s">
        <v>12</v>
      </c>
      <c r="K812" s="10" t="s">
        <v>12</v>
      </c>
      <c r="L812" s="10" t="s">
        <v>12</v>
      </c>
      <c r="M812" s="10" t="s">
        <v>12</v>
      </c>
      <c r="N812" s="12" t="e">
        <f>VLOOKUP(J812,'Site Allocation'!$B$2:$C$37,2,FALSE)</f>
        <v>#N/A</v>
      </c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</row>
    <row r="813" spans="1:25" x14ac:dyDescent="0.35">
      <c r="A813" s="19"/>
      <c r="B813" s="19"/>
      <c r="C813" s="19"/>
      <c r="D813" s="19"/>
      <c r="E813" s="19"/>
      <c r="F813" s="19"/>
      <c r="G813" s="19"/>
      <c r="H813" s="19"/>
      <c r="I813" s="19"/>
      <c r="J813" s="10" t="s">
        <v>12</v>
      </c>
      <c r="K813" s="10" t="s">
        <v>12</v>
      </c>
      <c r="L813" s="10" t="s">
        <v>12</v>
      </c>
      <c r="M813" s="10" t="s">
        <v>12</v>
      </c>
      <c r="N813" s="12" t="e">
        <f>VLOOKUP(J813,'Site Allocation'!$B$2:$C$37,2,FALSE)</f>
        <v>#N/A</v>
      </c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</row>
    <row r="814" spans="1:25" x14ac:dyDescent="0.35">
      <c r="A814" s="19"/>
      <c r="B814" s="19"/>
      <c r="C814" s="19"/>
      <c r="D814" s="19"/>
      <c r="E814" s="19"/>
      <c r="F814" s="19"/>
      <c r="G814" s="19"/>
      <c r="H814" s="19"/>
      <c r="I814" s="19"/>
      <c r="J814" s="10" t="s">
        <v>12</v>
      </c>
      <c r="K814" s="10" t="s">
        <v>12</v>
      </c>
      <c r="L814" s="10" t="s">
        <v>12</v>
      </c>
      <c r="M814" s="10" t="s">
        <v>12</v>
      </c>
      <c r="N814" s="12" t="e">
        <f>VLOOKUP(J814,'Site Allocation'!$B$2:$C$37,2,FALSE)</f>
        <v>#N/A</v>
      </c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</row>
    <row r="815" spans="1:25" x14ac:dyDescent="0.35">
      <c r="A815" s="19"/>
      <c r="B815" s="19"/>
      <c r="C815" s="19"/>
      <c r="D815" s="19"/>
      <c r="E815" s="19"/>
      <c r="F815" s="19"/>
      <c r="G815" s="19"/>
      <c r="H815" s="19"/>
      <c r="I815" s="19"/>
      <c r="J815" s="10" t="s">
        <v>12</v>
      </c>
      <c r="K815" s="10" t="s">
        <v>12</v>
      </c>
      <c r="L815" s="10" t="s">
        <v>12</v>
      </c>
      <c r="M815" s="10" t="s">
        <v>12</v>
      </c>
      <c r="N815" s="12" t="e">
        <f>VLOOKUP(J815,'Site Allocation'!$B$2:$C$37,2,FALSE)</f>
        <v>#N/A</v>
      </c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</row>
    <row r="816" spans="1:25" x14ac:dyDescent="0.35">
      <c r="A816" s="19"/>
      <c r="B816" s="19"/>
      <c r="C816" s="19"/>
      <c r="D816" s="19"/>
      <c r="E816" s="19"/>
      <c r="F816" s="19"/>
      <c r="G816" s="19"/>
      <c r="H816" s="19"/>
      <c r="I816" s="19"/>
      <c r="J816" s="10" t="s">
        <v>12</v>
      </c>
      <c r="K816" s="10" t="s">
        <v>12</v>
      </c>
      <c r="L816" s="10" t="s">
        <v>12</v>
      </c>
      <c r="M816" s="10" t="s">
        <v>12</v>
      </c>
      <c r="N816" s="12" t="e">
        <f>VLOOKUP(J816,'Site Allocation'!$B$2:$C$37,2,FALSE)</f>
        <v>#N/A</v>
      </c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</row>
    <row r="817" spans="1:25" x14ac:dyDescent="0.35">
      <c r="A817" s="19"/>
      <c r="B817" s="19"/>
      <c r="C817" s="19"/>
      <c r="D817" s="19"/>
      <c r="E817" s="19"/>
      <c r="F817" s="19"/>
      <c r="G817" s="19"/>
      <c r="H817" s="19"/>
      <c r="I817" s="19"/>
      <c r="J817" s="10" t="s">
        <v>12</v>
      </c>
      <c r="K817" s="10" t="s">
        <v>12</v>
      </c>
      <c r="L817" s="10" t="s">
        <v>12</v>
      </c>
      <c r="M817" s="10" t="s">
        <v>12</v>
      </c>
      <c r="N817" s="12" t="e">
        <f>VLOOKUP(J817,'Site Allocation'!$B$2:$C$37,2,FALSE)</f>
        <v>#N/A</v>
      </c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</row>
    <row r="818" spans="1:25" x14ac:dyDescent="0.35">
      <c r="A818" s="19"/>
      <c r="B818" s="19"/>
      <c r="C818" s="19"/>
      <c r="D818" s="19"/>
      <c r="E818" s="19"/>
      <c r="F818" s="19"/>
      <c r="G818" s="19"/>
      <c r="H818" s="19"/>
      <c r="I818" s="19"/>
      <c r="J818" s="10" t="s">
        <v>12</v>
      </c>
      <c r="K818" s="10" t="s">
        <v>12</v>
      </c>
      <c r="L818" s="10" t="s">
        <v>12</v>
      </c>
      <c r="M818" s="10" t="s">
        <v>12</v>
      </c>
      <c r="N818" s="12" t="e">
        <f>VLOOKUP(J818,'Site Allocation'!$B$2:$C$37,2,FALSE)</f>
        <v>#N/A</v>
      </c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</row>
    <row r="819" spans="1:25" x14ac:dyDescent="0.35">
      <c r="A819" s="19"/>
      <c r="B819" s="19"/>
      <c r="C819" s="19"/>
      <c r="D819" s="19"/>
      <c r="E819" s="19"/>
      <c r="F819" s="19"/>
      <c r="G819" s="19"/>
      <c r="H819" s="19"/>
      <c r="I819" s="19"/>
      <c r="J819" s="10" t="s">
        <v>12</v>
      </c>
      <c r="K819" s="10" t="s">
        <v>12</v>
      </c>
      <c r="L819" s="10" t="s">
        <v>12</v>
      </c>
      <c r="M819" s="10" t="s">
        <v>12</v>
      </c>
      <c r="N819" s="12" t="e">
        <f>VLOOKUP(J819,'Site Allocation'!$B$2:$C$37,2,FALSE)</f>
        <v>#N/A</v>
      </c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</row>
    <row r="820" spans="1:25" x14ac:dyDescent="0.35">
      <c r="A820" s="19"/>
      <c r="B820" s="19"/>
      <c r="C820" s="19"/>
      <c r="D820" s="19"/>
      <c r="E820" s="19"/>
      <c r="F820" s="19"/>
      <c r="G820" s="19"/>
      <c r="H820" s="19"/>
      <c r="I820" s="19"/>
      <c r="J820" s="10" t="s">
        <v>12</v>
      </c>
      <c r="K820" s="10" t="s">
        <v>12</v>
      </c>
      <c r="L820" s="10" t="s">
        <v>12</v>
      </c>
      <c r="M820" s="10" t="s">
        <v>12</v>
      </c>
      <c r="N820" s="12" t="e">
        <f>VLOOKUP(J820,'Site Allocation'!$B$2:$C$37,2,FALSE)</f>
        <v>#N/A</v>
      </c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</row>
    <row r="821" spans="1:25" x14ac:dyDescent="0.35">
      <c r="A821" s="19"/>
      <c r="B821" s="19"/>
      <c r="C821" s="19"/>
      <c r="D821" s="19"/>
      <c r="E821" s="19"/>
      <c r="F821" s="19"/>
      <c r="G821" s="19"/>
      <c r="H821" s="19"/>
      <c r="I821" s="19"/>
      <c r="J821" s="10" t="s">
        <v>12</v>
      </c>
      <c r="K821" s="10" t="s">
        <v>12</v>
      </c>
      <c r="L821" s="10" t="s">
        <v>12</v>
      </c>
      <c r="M821" s="10" t="s">
        <v>12</v>
      </c>
      <c r="N821" s="12" t="e">
        <f>VLOOKUP(J821,'Site Allocation'!$B$2:$C$37,2,FALSE)</f>
        <v>#N/A</v>
      </c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</row>
    <row r="822" spans="1:25" x14ac:dyDescent="0.35">
      <c r="A822" s="19"/>
      <c r="B822" s="19"/>
      <c r="C822" s="19"/>
      <c r="D822" s="19"/>
      <c r="E822" s="19"/>
      <c r="F822" s="19"/>
      <c r="G822" s="19"/>
      <c r="H822" s="19"/>
      <c r="I822" s="19"/>
      <c r="J822" s="10" t="s">
        <v>12</v>
      </c>
      <c r="K822" s="10" t="s">
        <v>12</v>
      </c>
      <c r="L822" s="10" t="s">
        <v>12</v>
      </c>
      <c r="M822" s="10" t="s">
        <v>12</v>
      </c>
      <c r="N822" s="12" t="e">
        <f>VLOOKUP(J822,'Site Allocation'!$B$2:$C$37,2,FALSE)</f>
        <v>#N/A</v>
      </c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</row>
    <row r="823" spans="1:25" x14ac:dyDescent="0.35">
      <c r="A823" s="19"/>
      <c r="B823" s="19"/>
      <c r="C823" s="19"/>
      <c r="D823" s="19"/>
      <c r="E823" s="19"/>
      <c r="F823" s="19"/>
      <c r="G823" s="19"/>
      <c r="H823" s="19"/>
      <c r="I823" s="19"/>
      <c r="J823" s="10" t="s">
        <v>12</v>
      </c>
      <c r="K823" s="10" t="s">
        <v>12</v>
      </c>
      <c r="L823" s="10" t="s">
        <v>12</v>
      </c>
      <c r="M823" s="10" t="s">
        <v>12</v>
      </c>
      <c r="N823" s="12" t="e">
        <f>VLOOKUP(J823,'Site Allocation'!$B$2:$C$37,2,FALSE)</f>
        <v>#N/A</v>
      </c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</row>
    <row r="824" spans="1:25" x14ac:dyDescent="0.35">
      <c r="A824" s="19"/>
      <c r="B824" s="19"/>
      <c r="C824" s="19"/>
      <c r="D824" s="19"/>
      <c r="E824" s="19"/>
      <c r="F824" s="19"/>
      <c r="G824" s="19"/>
      <c r="H824" s="19"/>
      <c r="I824" s="19"/>
      <c r="J824" s="10" t="s">
        <v>12</v>
      </c>
      <c r="K824" s="10" t="s">
        <v>12</v>
      </c>
      <c r="L824" s="10" t="s">
        <v>12</v>
      </c>
      <c r="M824" s="10" t="s">
        <v>12</v>
      </c>
      <c r="N824" s="12" t="e">
        <f>VLOOKUP(J824,'Site Allocation'!$B$2:$C$37,2,FALSE)</f>
        <v>#N/A</v>
      </c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</row>
    <row r="825" spans="1:25" x14ac:dyDescent="0.35">
      <c r="A825" s="19"/>
      <c r="B825" s="19"/>
      <c r="C825" s="19"/>
      <c r="D825" s="19"/>
      <c r="E825" s="19"/>
      <c r="F825" s="19"/>
      <c r="G825" s="19"/>
      <c r="H825" s="19"/>
      <c r="I825" s="19"/>
      <c r="J825" s="10" t="s">
        <v>12</v>
      </c>
      <c r="K825" s="10" t="s">
        <v>12</v>
      </c>
      <c r="L825" s="10" t="s">
        <v>12</v>
      </c>
      <c r="M825" s="10" t="s">
        <v>12</v>
      </c>
      <c r="N825" s="12" t="e">
        <f>VLOOKUP(J825,'Site Allocation'!$B$2:$C$37,2,FALSE)</f>
        <v>#N/A</v>
      </c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</row>
    <row r="826" spans="1:25" x14ac:dyDescent="0.35">
      <c r="A826" s="19"/>
      <c r="B826" s="19"/>
      <c r="C826" s="19"/>
      <c r="D826" s="19"/>
      <c r="E826" s="19"/>
      <c r="F826" s="19"/>
      <c r="G826" s="19"/>
      <c r="H826" s="19"/>
      <c r="I826" s="19"/>
      <c r="J826" s="10" t="s">
        <v>12</v>
      </c>
      <c r="K826" s="10" t="s">
        <v>12</v>
      </c>
      <c r="L826" s="10" t="s">
        <v>12</v>
      </c>
      <c r="M826" s="10" t="s">
        <v>12</v>
      </c>
      <c r="N826" s="12" t="e">
        <f>VLOOKUP(J826,'Site Allocation'!$B$2:$C$37,2,FALSE)</f>
        <v>#N/A</v>
      </c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</row>
    <row r="827" spans="1:25" x14ac:dyDescent="0.35">
      <c r="A827" s="19"/>
      <c r="B827" s="19"/>
      <c r="C827" s="19"/>
      <c r="D827" s="19"/>
      <c r="E827" s="19"/>
      <c r="F827" s="19"/>
      <c r="G827" s="19"/>
      <c r="H827" s="19"/>
      <c r="I827" s="19"/>
      <c r="J827" s="10" t="s">
        <v>12</v>
      </c>
      <c r="K827" s="10" t="s">
        <v>12</v>
      </c>
      <c r="L827" s="10" t="s">
        <v>12</v>
      </c>
      <c r="M827" s="10" t="s">
        <v>12</v>
      </c>
      <c r="N827" s="12" t="e">
        <f>VLOOKUP(J827,'Site Allocation'!$B$2:$C$37,2,FALSE)</f>
        <v>#N/A</v>
      </c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</row>
    <row r="828" spans="1:25" x14ac:dyDescent="0.35">
      <c r="A828" s="19"/>
      <c r="B828" s="19"/>
      <c r="C828" s="19"/>
      <c r="D828" s="19"/>
      <c r="E828" s="19"/>
      <c r="F828" s="19"/>
      <c r="G828" s="19"/>
      <c r="H828" s="19"/>
      <c r="I828" s="19"/>
      <c r="J828" s="10" t="s">
        <v>12</v>
      </c>
      <c r="K828" s="10" t="s">
        <v>12</v>
      </c>
      <c r="L828" s="10" t="s">
        <v>12</v>
      </c>
      <c r="M828" s="10" t="s">
        <v>12</v>
      </c>
      <c r="N828" s="12" t="e">
        <f>VLOOKUP(J828,'Site Allocation'!$B$2:$C$37,2,FALSE)</f>
        <v>#N/A</v>
      </c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</row>
    <row r="829" spans="1:25" x14ac:dyDescent="0.35">
      <c r="A829" s="19"/>
      <c r="B829" s="19"/>
      <c r="C829" s="19"/>
      <c r="D829" s="19"/>
      <c r="E829" s="19"/>
      <c r="F829" s="19"/>
      <c r="G829" s="19"/>
      <c r="H829" s="19"/>
      <c r="I829" s="19"/>
      <c r="J829" s="10" t="s">
        <v>12</v>
      </c>
      <c r="K829" s="10" t="s">
        <v>12</v>
      </c>
      <c r="L829" s="10" t="s">
        <v>12</v>
      </c>
      <c r="M829" s="10" t="s">
        <v>12</v>
      </c>
      <c r="N829" s="12" t="e">
        <f>VLOOKUP(J829,'Site Allocation'!$B$2:$C$37,2,FALSE)</f>
        <v>#N/A</v>
      </c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</row>
    <row r="830" spans="1:25" x14ac:dyDescent="0.35">
      <c r="A830" s="19"/>
      <c r="B830" s="19"/>
      <c r="C830" s="19"/>
      <c r="D830" s="19"/>
      <c r="E830" s="19"/>
      <c r="F830" s="19"/>
      <c r="G830" s="19"/>
      <c r="H830" s="19"/>
      <c r="I830" s="19"/>
      <c r="J830" s="10" t="s">
        <v>12</v>
      </c>
      <c r="K830" s="10" t="s">
        <v>12</v>
      </c>
      <c r="L830" s="10" t="s">
        <v>12</v>
      </c>
      <c r="M830" s="10" t="s">
        <v>12</v>
      </c>
      <c r="N830" s="12" t="e">
        <f>VLOOKUP(J830,'Site Allocation'!$B$2:$C$37,2,FALSE)</f>
        <v>#N/A</v>
      </c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</row>
    <row r="831" spans="1:25" x14ac:dyDescent="0.35">
      <c r="A831" s="19"/>
      <c r="B831" s="19"/>
      <c r="C831" s="19"/>
      <c r="D831" s="19"/>
      <c r="E831" s="19"/>
      <c r="F831" s="19"/>
      <c r="G831" s="19"/>
      <c r="H831" s="19"/>
      <c r="I831" s="19"/>
      <c r="J831" s="10" t="s">
        <v>12</v>
      </c>
      <c r="K831" s="10" t="s">
        <v>12</v>
      </c>
      <c r="L831" s="10" t="s">
        <v>12</v>
      </c>
      <c r="M831" s="10" t="s">
        <v>12</v>
      </c>
      <c r="N831" s="12" t="e">
        <f>VLOOKUP(J831,'Site Allocation'!$B$2:$C$37,2,FALSE)</f>
        <v>#N/A</v>
      </c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</row>
    <row r="832" spans="1:25" x14ac:dyDescent="0.35">
      <c r="A832" s="19"/>
      <c r="B832" s="19"/>
      <c r="C832" s="19"/>
      <c r="D832" s="19"/>
      <c r="E832" s="19"/>
      <c r="F832" s="19"/>
      <c r="G832" s="19"/>
      <c r="H832" s="19"/>
      <c r="I832" s="19"/>
      <c r="J832" s="10" t="s">
        <v>12</v>
      </c>
      <c r="K832" s="10" t="s">
        <v>12</v>
      </c>
      <c r="L832" s="10" t="s">
        <v>12</v>
      </c>
      <c r="M832" s="10" t="s">
        <v>12</v>
      </c>
      <c r="N832" s="12" t="e">
        <f>VLOOKUP(J832,'Site Allocation'!$B$2:$C$37,2,FALSE)</f>
        <v>#N/A</v>
      </c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</row>
    <row r="833" spans="1:25" x14ac:dyDescent="0.35">
      <c r="A833" s="19"/>
      <c r="B833" s="19"/>
      <c r="C833" s="19"/>
      <c r="D833" s="19"/>
      <c r="E833" s="19"/>
      <c r="F833" s="19"/>
      <c r="G833" s="19"/>
      <c r="H833" s="19"/>
      <c r="I833" s="19"/>
      <c r="J833" s="10" t="s">
        <v>12</v>
      </c>
      <c r="K833" s="10" t="s">
        <v>12</v>
      </c>
      <c r="L833" s="10" t="s">
        <v>12</v>
      </c>
      <c r="M833" s="10" t="s">
        <v>12</v>
      </c>
      <c r="N833" s="12" t="e">
        <f>VLOOKUP(J833,'Site Allocation'!$B$2:$C$37,2,FALSE)</f>
        <v>#N/A</v>
      </c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</row>
    <row r="834" spans="1:25" x14ac:dyDescent="0.35">
      <c r="A834" s="19"/>
      <c r="B834" s="19"/>
      <c r="C834" s="19"/>
      <c r="D834" s="19"/>
      <c r="E834" s="19"/>
      <c r="F834" s="19"/>
      <c r="G834" s="19"/>
      <c r="H834" s="19"/>
      <c r="I834" s="19"/>
      <c r="J834" s="10" t="s">
        <v>12</v>
      </c>
      <c r="K834" s="10" t="s">
        <v>12</v>
      </c>
      <c r="L834" s="10" t="s">
        <v>12</v>
      </c>
      <c r="M834" s="10" t="s">
        <v>12</v>
      </c>
      <c r="N834" s="12" t="e">
        <f>VLOOKUP(J834,'Site Allocation'!$B$2:$C$37,2,FALSE)</f>
        <v>#N/A</v>
      </c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</row>
    <row r="835" spans="1:25" x14ac:dyDescent="0.35">
      <c r="A835" s="19"/>
      <c r="B835" s="19"/>
      <c r="C835" s="19"/>
      <c r="D835" s="19"/>
      <c r="E835" s="19"/>
      <c r="F835" s="19"/>
      <c r="G835" s="19"/>
      <c r="H835" s="19"/>
      <c r="I835" s="19"/>
      <c r="J835" s="10" t="s">
        <v>12</v>
      </c>
      <c r="K835" s="10" t="s">
        <v>12</v>
      </c>
      <c r="L835" s="10" t="s">
        <v>12</v>
      </c>
      <c r="M835" s="10" t="s">
        <v>12</v>
      </c>
      <c r="N835" s="12" t="e">
        <f>VLOOKUP(J835,'Site Allocation'!$B$2:$C$37,2,FALSE)</f>
        <v>#N/A</v>
      </c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</row>
    <row r="836" spans="1:25" x14ac:dyDescent="0.35">
      <c r="A836" s="19"/>
      <c r="B836" s="19"/>
      <c r="C836" s="19"/>
      <c r="D836" s="19"/>
      <c r="E836" s="19"/>
      <c r="F836" s="19"/>
      <c r="G836" s="19"/>
      <c r="H836" s="19"/>
      <c r="I836" s="19"/>
      <c r="J836" s="10" t="s">
        <v>12</v>
      </c>
      <c r="K836" s="10" t="s">
        <v>12</v>
      </c>
      <c r="L836" s="10" t="s">
        <v>12</v>
      </c>
      <c r="M836" s="10" t="s">
        <v>12</v>
      </c>
      <c r="N836" s="12" t="e">
        <f>VLOOKUP(J836,'Site Allocation'!$B$2:$C$37,2,FALSE)</f>
        <v>#N/A</v>
      </c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</row>
    <row r="837" spans="1:25" x14ac:dyDescent="0.35">
      <c r="A837" s="19"/>
      <c r="B837" s="19"/>
      <c r="C837" s="19"/>
      <c r="D837" s="19"/>
      <c r="E837" s="19"/>
      <c r="F837" s="19"/>
      <c r="G837" s="19"/>
      <c r="H837" s="19"/>
      <c r="I837" s="19"/>
      <c r="J837" s="10" t="s">
        <v>12</v>
      </c>
      <c r="K837" s="10" t="s">
        <v>12</v>
      </c>
      <c r="L837" s="10" t="s">
        <v>12</v>
      </c>
      <c r="M837" s="10" t="s">
        <v>12</v>
      </c>
      <c r="N837" s="12" t="e">
        <f>VLOOKUP(J837,'Site Allocation'!$B$2:$C$37,2,FALSE)</f>
        <v>#N/A</v>
      </c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</row>
    <row r="838" spans="1:25" x14ac:dyDescent="0.35">
      <c r="A838" s="19"/>
      <c r="B838" s="19"/>
      <c r="C838" s="19"/>
      <c r="D838" s="19"/>
      <c r="E838" s="19"/>
      <c r="F838" s="19"/>
      <c r="G838" s="19"/>
      <c r="H838" s="19"/>
      <c r="I838" s="19"/>
      <c r="J838" s="10" t="s">
        <v>12</v>
      </c>
      <c r="K838" s="10" t="s">
        <v>12</v>
      </c>
      <c r="L838" s="10" t="s">
        <v>12</v>
      </c>
      <c r="M838" s="10" t="s">
        <v>12</v>
      </c>
      <c r="N838" s="12" t="e">
        <f>VLOOKUP(J838,'Site Allocation'!$B$2:$C$37,2,FALSE)</f>
        <v>#N/A</v>
      </c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</row>
    <row r="839" spans="1:25" x14ac:dyDescent="0.35">
      <c r="A839" s="19"/>
      <c r="B839" s="19"/>
      <c r="C839" s="19"/>
      <c r="D839" s="19"/>
      <c r="E839" s="19"/>
      <c r="F839" s="19"/>
      <c r="G839" s="19"/>
      <c r="H839" s="19"/>
      <c r="I839" s="19"/>
      <c r="J839" s="10" t="s">
        <v>12</v>
      </c>
      <c r="K839" s="10" t="s">
        <v>12</v>
      </c>
      <c r="L839" s="10" t="s">
        <v>12</v>
      </c>
      <c r="M839" s="10" t="s">
        <v>12</v>
      </c>
      <c r="N839" s="12" t="e">
        <f>VLOOKUP(J839,'Site Allocation'!$B$2:$C$37,2,FALSE)</f>
        <v>#N/A</v>
      </c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</row>
    <row r="840" spans="1:25" x14ac:dyDescent="0.35">
      <c r="A840" s="19"/>
      <c r="B840" s="19"/>
      <c r="C840" s="19"/>
      <c r="D840" s="19"/>
      <c r="E840" s="19"/>
      <c r="F840" s="19"/>
      <c r="G840" s="19"/>
      <c r="H840" s="19"/>
      <c r="I840" s="19"/>
      <c r="J840" s="10" t="s">
        <v>12</v>
      </c>
      <c r="K840" s="10" t="s">
        <v>12</v>
      </c>
      <c r="L840" s="10" t="s">
        <v>12</v>
      </c>
      <c r="M840" s="10" t="s">
        <v>12</v>
      </c>
      <c r="N840" s="12" t="e">
        <f>VLOOKUP(J840,'Site Allocation'!$B$2:$C$37,2,FALSE)</f>
        <v>#N/A</v>
      </c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</row>
    <row r="841" spans="1:25" x14ac:dyDescent="0.35">
      <c r="A841" s="19"/>
      <c r="B841" s="19"/>
      <c r="C841" s="19"/>
      <c r="D841" s="19"/>
      <c r="E841" s="19"/>
      <c r="F841" s="19"/>
      <c r="G841" s="19"/>
      <c r="H841" s="19"/>
      <c r="I841" s="19"/>
      <c r="J841" s="10" t="s">
        <v>12</v>
      </c>
      <c r="K841" s="10" t="s">
        <v>12</v>
      </c>
      <c r="L841" s="10" t="s">
        <v>12</v>
      </c>
      <c r="M841" s="10" t="s">
        <v>12</v>
      </c>
      <c r="N841" s="12" t="e">
        <f>VLOOKUP(J841,'Site Allocation'!$B$2:$C$37,2,FALSE)</f>
        <v>#N/A</v>
      </c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</row>
    <row r="842" spans="1:25" x14ac:dyDescent="0.35">
      <c r="A842" s="19"/>
      <c r="B842" s="19"/>
      <c r="C842" s="19"/>
      <c r="D842" s="19"/>
      <c r="E842" s="19"/>
      <c r="F842" s="19"/>
      <c r="G842" s="19"/>
      <c r="H842" s="19"/>
      <c r="I842" s="19"/>
      <c r="J842" s="10" t="s">
        <v>12</v>
      </c>
      <c r="K842" s="10" t="s">
        <v>12</v>
      </c>
      <c r="L842" s="10" t="s">
        <v>12</v>
      </c>
      <c r="M842" s="10" t="s">
        <v>12</v>
      </c>
      <c r="N842" s="12" t="e">
        <f>VLOOKUP(J842,'Site Allocation'!$B$2:$C$37,2,FALSE)</f>
        <v>#N/A</v>
      </c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</row>
    <row r="843" spans="1:25" x14ac:dyDescent="0.35">
      <c r="A843" s="19"/>
      <c r="B843" s="19"/>
      <c r="C843" s="19"/>
      <c r="D843" s="19"/>
      <c r="E843" s="19"/>
      <c r="F843" s="19"/>
      <c r="G843" s="19"/>
      <c r="H843" s="19"/>
      <c r="I843" s="19"/>
      <c r="J843" s="10" t="s">
        <v>12</v>
      </c>
      <c r="K843" s="10" t="s">
        <v>12</v>
      </c>
      <c r="L843" s="10" t="s">
        <v>12</v>
      </c>
      <c r="M843" s="10" t="s">
        <v>12</v>
      </c>
      <c r="N843" s="12" t="e">
        <f>VLOOKUP(J843,'Site Allocation'!$B$2:$C$37,2,FALSE)</f>
        <v>#N/A</v>
      </c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</row>
    <row r="844" spans="1:25" x14ac:dyDescent="0.35">
      <c r="A844" s="19"/>
      <c r="B844" s="19"/>
      <c r="C844" s="19"/>
      <c r="D844" s="19"/>
      <c r="E844" s="19"/>
      <c r="F844" s="19"/>
      <c r="G844" s="19"/>
      <c r="H844" s="19"/>
      <c r="I844" s="19"/>
      <c r="J844" s="10" t="s">
        <v>12</v>
      </c>
      <c r="K844" s="10" t="s">
        <v>12</v>
      </c>
      <c r="L844" s="10" t="s">
        <v>12</v>
      </c>
      <c r="M844" s="10" t="s">
        <v>12</v>
      </c>
      <c r="N844" s="12" t="e">
        <f>VLOOKUP(J844,'Site Allocation'!$B$2:$C$37,2,FALSE)</f>
        <v>#N/A</v>
      </c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</row>
    <row r="845" spans="1:25" x14ac:dyDescent="0.35">
      <c r="A845" s="19"/>
      <c r="B845" s="19"/>
      <c r="C845" s="19"/>
      <c r="D845" s="19"/>
      <c r="E845" s="19"/>
      <c r="F845" s="19"/>
      <c r="G845" s="19"/>
      <c r="H845" s="19"/>
      <c r="I845" s="19"/>
      <c r="J845" s="10" t="s">
        <v>12</v>
      </c>
      <c r="K845" s="10" t="s">
        <v>12</v>
      </c>
      <c r="L845" s="10" t="s">
        <v>12</v>
      </c>
      <c r="M845" s="10" t="s">
        <v>12</v>
      </c>
      <c r="N845" s="12" t="e">
        <f>VLOOKUP(J845,'Site Allocation'!$B$2:$C$37,2,FALSE)</f>
        <v>#N/A</v>
      </c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</row>
    <row r="846" spans="1:25" x14ac:dyDescent="0.35">
      <c r="A846" s="19"/>
      <c r="B846" s="19"/>
      <c r="C846" s="19"/>
      <c r="D846" s="19"/>
      <c r="E846" s="19"/>
      <c r="F846" s="19"/>
      <c r="G846" s="19"/>
      <c r="H846" s="19"/>
      <c r="I846" s="19"/>
      <c r="J846" s="10" t="s">
        <v>12</v>
      </c>
      <c r="K846" s="10" t="s">
        <v>12</v>
      </c>
      <c r="L846" s="10" t="s">
        <v>12</v>
      </c>
      <c r="M846" s="10" t="s">
        <v>12</v>
      </c>
      <c r="N846" s="12" t="e">
        <f>VLOOKUP(J846,'Site Allocation'!$B$2:$C$37,2,FALSE)</f>
        <v>#N/A</v>
      </c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</row>
    <row r="847" spans="1:25" x14ac:dyDescent="0.35">
      <c r="A847" s="19"/>
      <c r="B847" s="19"/>
      <c r="C847" s="19"/>
      <c r="D847" s="19"/>
      <c r="E847" s="19"/>
      <c r="F847" s="19"/>
      <c r="G847" s="19"/>
      <c r="H847" s="19"/>
      <c r="I847" s="19"/>
      <c r="J847" s="10" t="s">
        <v>12</v>
      </c>
      <c r="K847" s="10" t="s">
        <v>12</v>
      </c>
      <c r="L847" s="10" t="s">
        <v>12</v>
      </c>
      <c r="M847" s="10" t="s">
        <v>12</v>
      </c>
      <c r="N847" s="12" t="e">
        <f>VLOOKUP(J847,'Site Allocation'!$B$2:$C$37,2,FALSE)</f>
        <v>#N/A</v>
      </c>
      <c r="O847" s="19"/>
      <c r="P847" s="19"/>
      <c r="Q847" s="19"/>
      <c r="R847" s="19"/>
      <c r="S847" s="19"/>
      <c r="T847" s="19"/>
      <c r="U847" s="19"/>
      <c r="V847" s="19"/>
      <c r="W847" s="19"/>
      <c r="X847" s="19"/>
      <c r="Y847" s="19"/>
    </row>
    <row r="848" spans="1:25" x14ac:dyDescent="0.35">
      <c r="A848" s="19"/>
      <c r="B848" s="19"/>
      <c r="C848" s="19"/>
      <c r="D848" s="19"/>
      <c r="E848" s="19"/>
      <c r="F848" s="19"/>
      <c r="G848" s="19"/>
      <c r="H848" s="19"/>
      <c r="I848" s="19"/>
      <c r="J848" s="10" t="s">
        <v>12</v>
      </c>
      <c r="K848" s="10" t="s">
        <v>12</v>
      </c>
      <c r="L848" s="10" t="s">
        <v>12</v>
      </c>
      <c r="M848" s="10" t="s">
        <v>12</v>
      </c>
      <c r="N848" s="12" t="e">
        <f>VLOOKUP(J848,'Site Allocation'!$B$2:$C$37,2,FALSE)</f>
        <v>#N/A</v>
      </c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</row>
    <row r="849" spans="1:25" x14ac:dyDescent="0.35">
      <c r="A849" s="19"/>
      <c r="B849" s="19"/>
      <c r="C849" s="19"/>
      <c r="D849" s="19"/>
      <c r="E849" s="19"/>
      <c r="F849" s="19"/>
      <c r="G849" s="19"/>
      <c r="H849" s="19"/>
      <c r="I849" s="19"/>
      <c r="J849" s="10" t="s">
        <v>12</v>
      </c>
      <c r="K849" s="10" t="s">
        <v>12</v>
      </c>
      <c r="L849" s="10" t="s">
        <v>12</v>
      </c>
      <c r="M849" s="10" t="s">
        <v>12</v>
      </c>
      <c r="N849" s="12" t="e">
        <f>VLOOKUP(J849,'Site Allocation'!$B$2:$C$37,2,FALSE)</f>
        <v>#N/A</v>
      </c>
      <c r="O849" s="19"/>
      <c r="P849" s="19"/>
      <c r="Q849" s="19"/>
      <c r="R849" s="19"/>
      <c r="S849" s="19"/>
      <c r="T849" s="19"/>
      <c r="U849" s="19"/>
      <c r="V849" s="19"/>
      <c r="W849" s="19"/>
      <c r="X849" s="19"/>
      <c r="Y849" s="19"/>
    </row>
    <row r="850" spans="1:25" x14ac:dyDescent="0.35">
      <c r="A850" s="19"/>
      <c r="B850" s="19"/>
      <c r="C850" s="19"/>
      <c r="D850" s="19"/>
      <c r="E850" s="19"/>
      <c r="F850" s="19"/>
      <c r="G850" s="19"/>
      <c r="H850" s="19"/>
      <c r="I850" s="19"/>
      <c r="J850" s="10" t="s">
        <v>12</v>
      </c>
      <c r="K850" s="10" t="s">
        <v>12</v>
      </c>
      <c r="L850" s="10" t="s">
        <v>12</v>
      </c>
      <c r="M850" s="10" t="s">
        <v>12</v>
      </c>
      <c r="N850" s="12" t="e">
        <f>VLOOKUP(J850,'Site Allocation'!$B$2:$C$37,2,FALSE)</f>
        <v>#N/A</v>
      </c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</row>
    <row r="851" spans="1:25" x14ac:dyDescent="0.35">
      <c r="A851" s="19"/>
      <c r="B851" s="19"/>
      <c r="C851" s="19"/>
      <c r="D851" s="19"/>
      <c r="E851" s="19"/>
      <c r="F851" s="19"/>
      <c r="G851" s="19"/>
      <c r="H851" s="19"/>
      <c r="I851" s="19"/>
      <c r="J851" s="10" t="s">
        <v>12</v>
      </c>
      <c r="K851" s="10" t="s">
        <v>12</v>
      </c>
      <c r="L851" s="10" t="s">
        <v>12</v>
      </c>
      <c r="M851" s="10" t="s">
        <v>12</v>
      </c>
      <c r="N851" s="12" t="e">
        <f>VLOOKUP(J851,'Site Allocation'!$B$2:$C$37,2,FALSE)</f>
        <v>#N/A</v>
      </c>
      <c r="O851" s="19"/>
      <c r="P851" s="19"/>
      <c r="Q851" s="19"/>
      <c r="R851" s="19"/>
      <c r="S851" s="19"/>
      <c r="T851" s="19"/>
      <c r="U851" s="19"/>
      <c r="V851" s="19"/>
      <c r="W851" s="19"/>
      <c r="X851" s="19"/>
      <c r="Y851" s="19"/>
    </row>
    <row r="852" spans="1:25" x14ac:dyDescent="0.35">
      <c r="A852" s="19"/>
      <c r="B852" s="19"/>
      <c r="C852" s="19"/>
      <c r="D852" s="19"/>
      <c r="E852" s="19"/>
      <c r="F852" s="19"/>
      <c r="G852" s="19"/>
      <c r="H852" s="19"/>
      <c r="I852" s="19"/>
      <c r="J852" s="10" t="s">
        <v>12</v>
      </c>
      <c r="K852" s="10" t="s">
        <v>12</v>
      </c>
      <c r="L852" s="10" t="s">
        <v>12</v>
      </c>
      <c r="M852" s="10" t="s">
        <v>12</v>
      </c>
      <c r="N852" s="12" t="e">
        <f>VLOOKUP(J852,'Site Allocation'!$B$2:$C$37,2,FALSE)</f>
        <v>#N/A</v>
      </c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</row>
    <row r="853" spans="1:25" x14ac:dyDescent="0.35">
      <c r="A853" s="19"/>
      <c r="B853" s="19"/>
      <c r="C853" s="19"/>
      <c r="D853" s="19"/>
      <c r="E853" s="19"/>
      <c r="F853" s="19"/>
      <c r="G853" s="19"/>
      <c r="H853" s="19"/>
      <c r="I853" s="19"/>
      <c r="J853" s="10" t="s">
        <v>12</v>
      </c>
      <c r="K853" s="10" t="s">
        <v>12</v>
      </c>
      <c r="L853" s="10" t="s">
        <v>12</v>
      </c>
      <c r="M853" s="10" t="s">
        <v>12</v>
      </c>
      <c r="N853" s="12" t="e">
        <f>VLOOKUP(J853,'Site Allocation'!$B$2:$C$37,2,FALSE)</f>
        <v>#N/A</v>
      </c>
      <c r="O853" s="19"/>
      <c r="P853" s="19"/>
      <c r="Q853" s="19"/>
      <c r="R853" s="19"/>
      <c r="S853" s="19"/>
      <c r="T853" s="19"/>
      <c r="U853" s="19"/>
      <c r="V853" s="19"/>
      <c r="W853" s="19"/>
      <c r="X853" s="19"/>
      <c r="Y853" s="19"/>
    </row>
    <row r="854" spans="1:25" x14ac:dyDescent="0.35">
      <c r="A854" s="19"/>
      <c r="B854" s="19"/>
      <c r="C854" s="19"/>
      <c r="D854" s="19"/>
      <c r="E854" s="19"/>
      <c r="F854" s="19"/>
      <c r="G854" s="19"/>
      <c r="H854" s="19"/>
      <c r="I854" s="19"/>
      <c r="J854" s="10" t="s">
        <v>12</v>
      </c>
      <c r="K854" s="10" t="s">
        <v>12</v>
      </c>
      <c r="L854" s="10" t="s">
        <v>12</v>
      </c>
      <c r="M854" s="10" t="s">
        <v>12</v>
      </c>
      <c r="N854" s="12" t="e">
        <f>VLOOKUP(J854,'Site Allocation'!$B$2:$C$37,2,FALSE)</f>
        <v>#N/A</v>
      </c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</row>
    <row r="855" spans="1:25" x14ac:dyDescent="0.35">
      <c r="A855" s="19"/>
      <c r="B855" s="19"/>
      <c r="C855" s="19"/>
      <c r="D855" s="19"/>
      <c r="E855" s="19"/>
      <c r="F855" s="19"/>
      <c r="G855" s="19"/>
      <c r="H855" s="19"/>
      <c r="I855" s="19"/>
      <c r="J855" s="10" t="s">
        <v>12</v>
      </c>
      <c r="K855" s="10" t="s">
        <v>12</v>
      </c>
      <c r="L855" s="10" t="s">
        <v>12</v>
      </c>
      <c r="M855" s="10" t="s">
        <v>12</v>
      </c>
      <c r="N855" s="12" t="e">
        <f>VLOOKUP(J855,'Site Allocation'!$B$2:$C$37,2,FALSE)</f>
        <v>#N/A</v>
      </c>
      <c r="O855" s="19"/>
      <c r="P855" s="19"/>
      <c r="Q855" s="19"/>
      <c r="R855" s="19"/>
      <c r="S855" s="19"/>
      <c r="T855" s="19"/>
      <c r="U855" s="19"/>
      <c r="V855" s="19"/>
      <c r="W855" s="19"/>
      <c r="X855" s="19"/>
      <c r="Y855" s="19"/>
    </row>
    <row r="856" spans="1:25" x14ac:dyDescent="0.35">
      <c r="A856" s="19"/>
      <c r="B856" s="19"/>
      <c r="C856" s="19"/>
      <c r="D856" s="19"/>
      <c r="E856" s="19"/>
      <c r="F856" s="19"/>
      <c r="G856" s="19"/>
      <c r="H856" s="19"/>
      <c r="I856" s="19"/>
      <c r="J856" s="10" t="s">
        <v>12</v>
      </c>
      <c r="K856" s="10" t="s">
        <v>12</v>
      </c>
      <c r="L856" s="10" t="s">
        <v>12</v>
      </c>
      <c r="M856" s="10" t="s">
        <v>12</v>
      </c>
      <c r="N856" s="12" t="e">
        <f>VLOOKUP(J856,'Site Allocation'!$B$2:$C$37,2,FALSE)</f>
        <v>#N/A</v>
      </c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</row>
    <row r="857" spans="1:25" x14ac:dyDescent="0.35">
      <c r="A857" s="19"/>
      <c r="B857" s="19"/>
      <c r="C857" s="19"/>
      <c r="D857" s="19"/>
      <c r="E857" s="19"/>
      <c r="F857" s="19"/>
      <c r="G857" s="19"/>
      <c r="H857" s="19"/>
      <c r="I857" s="19"/>
      <c r="J857" s="10" t="s">
        <v>12</v>
      </c>
      <c r="K857" s="10" t="s">
        <v>12</v>
      </c>
      <c r="L857" s="10" t="s">
        <v>12</v>
      </c>
      <c r="M857" s="10" t="s">
        <v>12</v>
      </c>
      <c r="N857" s="12" t="e">
        <f>VLOOKUP(J857,'Site Allocation'!$B$2:$C$37,2,FALSE)</f>
        <v>#N/A</v>
      </c>
      <c r="O857" s="19"/>
      <c r="P857" s="19"/>
      <c r="Q857" s="19"/>
      <c r="R857" s="19"/>
      <c r="S857" s="19"/>
      <c r="T857" s="19"/>
      <c r="U857" s="19"/>
      <c r="V857" s="19"/>
      <c r="W857" s="19"/>
      <c r="X857" s="19"/>
      <c r="Y857" s="19"/>
    </row>
    <row r="858" spans="1:25" x14ac:dyDescent="0.35">
      <c r="A858" s="19"/>
      <c r="B858" s="19"/>
      <c r="C858" s="19"/>
      <c r="D858" s="19"/>
      <c r="E858" s="19"/>
      <c r="F858" s="19"/>
      <c r="G858" s="19"/>
      <c r="H858" s="19"/>
      <c r="I858" s="19"/>
      <c r="J858" s="10" t="s">
        <v>12</v>
      </c>
      <c r="K858" s="10" t="s">
        <v>12</v>
      </c>
      <c r="L858" s="10" t="s">
        <v>12</v>
      </c>
      <c r="M858" s="10" t="s">
        <v>12</v>
      </c>
      <c r="N858" s="12" t="e">
        <f>VLOOKUP(J858,'Site Allocation'!$B$2:$C$37,2,FALSE)</f>
        <v>#N/A</v>
      </c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</row>
    <row r="859" spans="1:25" x14ac:dyDescent="0.35">
      <c r="A859" s="19"/>
      <c r="B859" s="19"/>
      <c r="C859" s="19"/>
      <c r="D859" s="19"/>
      <c r="E859" s="19"/>
      <c r="F859" s="19"/>
      <c r="G859" s="19"/>
      <c r="H859" s="19"/>
      <c r="I859" s="19"/>
      <c r="J859" s="10" t="s">
        <v>12</v>
      </c>
      <c r="K859" s="10" t="s">
        <v>12</v>
      </c>
      <c r="L859" s="10" t="s">
        <v>12</v>
      </c>
      <c r="M859" s="10" t="s">
        <v>12</v>
      </c>
      <c r="N859" s="12" t="e">
        <f>VLOOKUP(J859,'Site Allocation'!$B$2:$C$37,2,FALSE)</f>
        <v>#N/A</v>
      </c>
      <c r="O859" s="19"/>
      <c r="P859" s="19"/>
      <c r="Q859" s="19"/>
      <c r="R859" s="19"/>
      <c r="S859" s="19"/>
      <c r="T859" s="19"/>
      <c r="U859" s="19"/>
      <c r="V859" s="19"/>
      <c r="W859" s="19"/>
      <c r="X859" s="19"/>
      <c r="Y859" s="19"/>
    </row>
    <row r="860" spans="1:25" x14ac:dyDescent="0.35">
      <c r="A860" s="19"/>
      <c r="B860" s="19"/>
      <c r="C860" s="19"/>
      <c r="D860" s="19"/>
      <c r="E860" s="19"/>
      <c r="F860" s="19"/>
      <c r="G860" s="19"/>
      <c r="H860" s="19"/>
      <c r="I860" s="19"/>
      <c r="J860" s="10" t="s">
        <v>12</v>
      </c>
      <c r="K860" s="10" t="s">
        <v>12</v>
      </c>
      <c r="L860" s="10" t="s">
        <v>12</v>
      </c>
      <c r="M860" s="10" t="s">
        <v>12</v>
      </c>
      <c r="N860" s="12" t="e">
        <f>VLOOKUP(J860,'Site Allocation'!$B$2:$C$37,2,FALSE)</f>
        <v>#N/A</v>
      </c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</row>
    <row r="861" spans="1:25" x14ac:dyDescent="0.35">
      <c r="A861" s="19"/>
      <c r="B861" s="19"/>
      <c r="C861" s="19"/>
      <c r="D861" s="19"/>
      <c r="E861" s="19"/>
      <c r="F861" s="19"/>
      <c r="G861" s="19"/>
      <c r="H861" s="19"/>
      <c r="I861" s="19"/>
      <c r="J861" s="10" t="s">
        <v>12</v>
      </c>
      <c r="K861" s="10" t="s">
        <v>12</v>
      </c>
      <c r="L861" s="10" t="s">
        <v>12</v>
      </c>
      <c r="M861" s="10" t="s">
        <v>12</v>
      </c>
      <c r="N861" s="12" t="e">
        <f>VLOOKUP(J861,'Site Allocation'!$B$2:$C$37,2,FALSE)</f>
        <v>#N/A</v>
      </c>
      <c r="O861" s="19"/>
      <c r="P861" s="19"/>
      <c r="Q861" s="19"/>
      <c r="R861" s="19"/>
      <c r="S861" s="19"/>
      <c r="T861" s="19"/>
      <c r="U861" s="19"/>
      <c r="V861" s="19"/>
      <c r="W861" s="19"/>
      <c r="X861" s="19"/>
      <c r="Y861" s="19"/>
    </row>
    <row r="862" spans="1:25" x14ac:dyDescent="0.35">
      <c r="A862" s="19"/>
      <c r="B862" s="19"/>
      <c r="C862" s="19"/>
      <c r="D862" s="19"/>
      <c r="E862" s="19"/>
      <c r="F862" s="19"/>
      <c r="G862" s="19"/>
      <c r="H862" s="19"/>
      <c r="I862" s="19"/>
      <c r="J862" s="10" t="s">
        <v>12</v>
      </c>
      <c r="K862" s="10" t="s">
        <v>12</v>
      </c>
      <c r="L862" s="10" t="s">
        <v>12</v>
      </c>
      <c r="M862" s="10" t="s">
        <v>12</v>
      </c>
      <c r="N862" s="12" t="e">
        <f>VLOOKUP(J862,'Site Allocation'!$B$2:$C$37,2,FALSE)</f>
        <v>#N/A</v>
      </c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</row>
    <row r="863" spans="1:25" x14ac:dyDescent="0.35">
      <c r="A863" s="19"/>
      <c r="B863" s="19"/>
      <c r="C863" s="19"/>
      <c r="D863" s="19"/>
      <c r="E863" s="19"/>
      <c r="F863" s="19"/>
      <c r="G863" s="19"/>
      <c r="H863" s="19"/>
      <c r="I863" s="19"/>
      <c r="J863" s="10" t="s">
        <v>12</v>
      </c>
      <c r="K863" s="10" t="s">
        <v>12</v>
      </c>
      <c r="L863" s="10" t="s">
        <v>12</v>
      </c>
      <c r="M863" s="10" t="s">
        <v>12</v>
      </c>
      <c r="N863" s="12" t="e">
        <f>VLOOKUP(J863,'Site Allocation'!$B$2:$C$37,2,FALSE)</f>
        <v>#N/A</v>
      </c>
      <c r="O863" s="19"/>
      <c r="P863" s="19"/>
      <c r="Q863" s="19"/>
      <c r="R863" s="19"/>
      <c r="S863" s="19"/>
      <c r="T863" s="19"/>
      <c r="U863" s="19"/>
      <c r="V863" s="19"/>
      <c r="W863" s="19"/>
      <c r="X863" s="19"/>
      <c r="Y863" s="19"/>
    </row>
    <row r="864" spans="1:25" x14ac:dyDescent="0.35">
      <c r="A864" s="19"/>
      <c r="B864" s="19"/>
      <c r="C864" s="19"/>
      <c r="D864" s="19"/>
      <c r="E864" s="19"/>
      <c r="F864" s="19"/>
      <c r="G864" s="19"/>
      <c r="H864" s="19"/>
      <c r="I864" s="19"/>
      <c r="J864" s="10" t="s">
        <v>12</v>
      </c>
      <c r="K864" s="10" t="s">
        <v>12</v>
      </c>
      <c r="L864" s="10" t="s">
        <v>12</v>
      </c>
      <c r="M864" s="10" t="s">
        <v>12</v>
      </c>
      <c r="N864" s="12" t="e">
        <f>VLOOKUP(J864,'Site Allocation'!$B$2:$C$37,2,FALSE)</f>
        <v>#N/A</v>
      </c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</row>
    <row r="865" spans="1:25" x14ac:dyDescent="0.35">
      <c r="A865" s="19"/>
      <c r="B865" s="19"/>
      <c r="C865" s="19"/>
      <c r="D865" s="19"/>
      <c r="E865" s="19"/>
      <c r="F865" s="19"/>
      <c r="G865" s="19"/>
      <c r="H865" s="19"/>
      <c r="I865" s="19"/>
      <c r="J865" s="10" t="s">
        <v>12</v>
      </c>
      <c r="K865" s="10" t="s">
        <v>12</v>
      </c>
      <c r="L865" s="10" t="s">
        <v>12</v>
      </c>
      <c r="M865" s="10" t="s">
        <v>12</v>
      </c>
      <c r="N865" s="12" t="e">
        <f>VLOOKUP(J865,'Site Allocation'!$B$2:$C$37,2,FALSE)</f>
        <v>#N/A</v>
      </c>
      <c r="O865" s="19"/>
      <c r="P865" s="19"/>
      <c r="Q865" s="19"/>
      <c r="R865" s="19"/>
      <c r="S865" s="19"/>
      <c r="T865" s="19"/>
      <c r="U865" s="19"/>
      <c r="V865" s="19"/>
      <c r="W865" s="19"/>
      <c r="X865" s="19"/>
      <c r="Y865" s="19"/>
    </row>
    <row r="866" spans="1:25" x14ac:dyDescent="0.35">
      <c r="A866" s="19"/>
      <c r="B866" s="19"/>
      <c r="C866" s="19"/>
      <c r="D866" s="19"/>
      <c r="E866" s="19"/>
      <c r="F866" s="19"/>
      <c r="G866" s="19"/>
      <c r="H866" s="19"/>
      <c r="I866" s="19"/>
      <c r="J866" s="10" t="s">
        <v>12</v>
      </c>
      <c r="K866" s="10" t="s">
        <v>12</v>
      </c>
      <c r="L866" s="10" t="s">
        <v>12</v>
      </c>
      <c r="M866" s="10" t="s">
        <v>12</v>
      </c>
      <c r="N866" s="12" t="e">
        <f>VLOOKUP(J866,'Site Allocation'!$B$2:$C$37,2,FALSE)</f>
        <v>#N/A</v>
      </c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</row>
    <row r="867" spans="1:25" x14ac:dyDescent="0.35">
      <c r="A867" s="19"/>
      <c r="B867" s="19"/>
      <c r="C867" s="19"/>
      <c r="D867" s="19"/>
      <c r="E867" s="19"/>
      <c r="F867" s="19"/>
      <c r="G867" s="19"/>
      <c r="H867" s="19"/>
      <c r="I867" s="19"/>
      <c r="J867" s="10" t="s">
        <v>12</v>
      </c>
      <c r="K867" s="10" t="s">
        <v>12</v>
      </c>
      <c r="L867" s="10" t="s">
        <v>12</v>
      </c>
      <c r="M867" s="10" t="s">
        <v>12</v>
      </c>
      <c r="N867" s="12" t="e">
        <f>VLOOKUP(J867,'Site Allocation'!$B$2:$C$37,2,FALSE)</f>
        <v>#N/A</v>
      </c>
      <c r="O867" s="19"/>
      <c r="P867" s="19"/>
      <c r="Q867" s="19"/>
      <c r="R867" s="19"/>
      <c r="S867" s="19"/>
      <c r="T867" s="19"/>
      <c r="U867" s="19"/>
      <c r="V867" s="19"/>
      <c r="W867" s="19"/>
      <c r="X867" s="19"/>
      <c r="Y867" s="19"/>
    </row>
    <row r="868" spans="1:25" x14ac:dyDescent="0.35">
      <c r="A868" s="19"/>
      <c r="B868" s="19"/>
      <c r="C868" s="19"/>
      <c r="D868" s="19"/>
      <c r="E868" s="19"/>
      <c r="F868" s="19"/>
      <c r="G868" s="19"/>
      <c r="H868" s="19"/>
      <c r="I868" s="19"/>
      <c r="J868" s="10" t="s">
        <v>12</v>
      </c>
      <c r="K868" s="10" t="s">
        <v>12</v>
      </c>
      <c r="L868" s="10" t="s">
        <v>12</v>
      </c>
      <c r="M868" s="10" t="s">
        <v>12</v>
      </c>
      <c r="N868" s="12" t="e">
        <f>VLOOKUP(J868,'Site Allocation'!$B$2:$C$37,2,FALSE)</f>
        <v>#N/A</v>
      </c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</row>
    <row r="869" spans="1:25" x14ac:dyDescent="0.35">
      <c r="A869" s="19"/>
      <c r="B869" s="19"/>
      <c r="C869" s="19"/>
      <c r="D869" s="19"/>
      <c r="E869" s="19"/>
      <c r="F869" s="19"/>
      <c r="G869" s="19"/>
      <c r="H869" s="19"/>
      <c r="I869" s="19"/>
      <c r="J869" s="10" t="s">
        <v>12</v>
      </c>
      <c r="K869" s="10" t="s">
        <v>12</v>
      </c>
      <c r="L869" s="10" t="s">
        <v>12</v>
      </c>
      <c r="M869" s="10" t="s">
        <v>12</v>
      </c>
      <c r="N869" s="12" t="e">
        <f>VLOOKUP(J869,'Site Allocation'!$B$2:$C$37,2,FALSE)</f>
        <v>#N/A</v>
      </c>
      <c r="O869" s="19"/>
      <c r="P869" s="19"/>
      <c r="Q869" s="19"/>
      <c r="R869" s="19"/>
      <c r="S869" s="19"/>
      <c r="T869" s="19"/>
      <c r="U869" s="19"/>
      <c r="V869" s="19"/>
      <c r="W869" s="19"/>
      <c r="X869" s="19"/>
      <c r="Y869" s="19"/>
    </row>
    <row r="870" spans="1:25" x14ac:dyDescent="0.35">
      <c r="A870" s="19"/>
      <c r="B870" s="19"/>
      <c r="C870" s="19"/>
      <c r="D870" s="19"/>
      <c r="E870" s="19"/>
      <c r="F870" s="19"/>
      <c r="G870" s="19"/>
      <c r="H870" s="19"/>
      <c r="I870" s="19"/>
      <c r="J870" s="10" t="s">
        <v>12</v>
      </c>
      <c r="K870" s="10" t="s">
        <v>12</v>
      </c>
      <c r="L870" s="10" t="s">
        <v>12</v>
      </c>
      <c r="M870" s="10" t="s">
        <v>12</v>
      </c>
      <c r="N870" s="12" t="e">
        <f>VLOOKUP(J870,'Site Allocation'!$B$2:$C$37,2,FALSE)</f>
        <v>#N/A</v>
      </c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</row>
    <row r="871" spans="1:25" x14ac:dyDescent="0.35">
      <c r="A871" s="19"/>
      <c r="B871" s="19"/>
      <c r="C871" s="19"/>
      <c r="D871" s="19"/>
      <c r="E871" s="19"/>
      <c r="F871" s="19"/>
      <c r="G871" s="19"/>
      <c r="H871" s="19"/>
      <c r="I871" s="19"/>
      <c r="J871" s="10" t="s">
        <v>12</v>
      </c>
      <c r="K871" s="10" t="s">
        <v>12</v>
      </c>
      <c r="L871" s="10" t="s">
        <v>12</v>
      </c>
      <c r="M871" s="10" t="s">
        <v>12</v>
      </c>
      <c r="N871" s="12" t="e">
        <f>VLOOKUP(J871,'Site Allocation'!$B$2:$C$37,2,FALSE)</f>
        <v>#N/A</v>
      </c>
      <c r="O871" s="19"/>
      <c r="P871" s="19"/>
      <c r="Q871" s="19"/>
      <c r="R871" s="19"/>
      <c r="S871" s="19"/>
      <c r="T871" s="19"/>
      <c r="U871" s="19"/>
      <c r="V871" s="19"/>
      <c r="W871" s="19"/>
      <c r="X871" s="19"/>
      <c r="Y871" s="19"/>
    </row>
    <row r="872" spans="1:25" x14ac:dyDescent="0.35">
      <c r="A872" s="19"/>
      <c r="B872" s="19"/>
      <c r="C872" s="19"/>
      <c r="D872" s="19"/>
      <c r="E872" s="19"/>
      <c r="F872" s="19"/>
      <c r="G872" s="19"/>
      <c r="H872" s="19"/>
      <c r="I872" s="19"/>
      <c r="J872" s="10" t="s">
        <v>12</v>
      </c>
      <c r="K872" s="10" t="s">
        <v>12</v>
      </c>
      <c r="L872" s="10" t="s">
        <v>12</v>
      </c>
      <c r="M872" s="10" t="s">
        <v>12</v>
      </c>
      <c r="N872" s="12" t="e">
        <f>VLOOKUP(J872,'Site Allocation'!$B$2:$C$37,2,FALSE)</f>
        <v>#N/A</v>
      </c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</row>
    <row r="873" spans="1:25" x14ac:dyDescent="0.35">
      <c r="A873" s="19"/>
      <c r="B873" s="19"/>
      <c r="C873" s="19"/>
      <c r="D873" s="19"/>
      <c r="E873" s="19"/>
      <c r="F873" s="19"/>
      <c r="G873" s="19"/>
      <c r="H873" s="19"/>
      <c r="I873" s="19"/>
      <c r="J873" s="10" t="s">
        <v>12</v>
      </c>
      <c r="K873" s="10" t="s">
        <v>12</v>
      </c>
      <c r="L873" s="10" t="s">
        <v>12</v>
      </c>
      <c r="M873" s="10" t="s">
        <v>12</v>
      </c>
      <c r="N873" s="12" t="e">
        <f>VLOOKUP(J873,'Site Allocation'!$B$2:$C$37,2,FALSE)</f>
        <v>#N/A</v>
      </c>
      <c r="O873" s="19"/>
      <c r="P873" s="19"/>
      <c r="Q873" s="19"/>
      <c r="R873" s="19"/>
      <c r="S873" s="19"/>
      <c r="T873" s="19"/>
      <c r="U873" s="19"/>
      <c r="V873" s="19"/>
      <c r="W873" s="19"/>
      <c r="X873" s="19"/>
      <c r="Y873" s="19"/>
    </row>
    <row r="874" spans="1:25" x14ac:dyDescent="0.35">
      <c r="A874" s="19"/>
      <c r="B874" s="19"/>
      <c r="C874" s="19"/>
      <c r="D874" s="19"/>
      <c r="E874" s="19"/>
      <c r="F874" s="19"/>
      <c r="G874" s="19"/>
      <c r="H874" s="19"/>
      <c r="I874" s="19"/>
      <c r="J874" s="10" t="s">
        <v>12</v>
      </c>
      <c r="K874" s="10" t="s">
        <v>12</v>
      </c>
      <c r="L874" s="10" t="s">
        <v>12</v>
      </c>
      <c r="M874" s="10" t="s">
        <v>12</v>
      </c>
      <c r="N874" s="12" t="e">
        <f>VLOOKUP(J874,'Site Allocation'!$B$2:$C$37,2,FALSE)</f>
        <v>#N/A</v>
      </c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</row>
    <row r="875" spans="1:25" x14ac:dyDescent="0.35">
      <c r="A875" s="19"/>
      <c r="B875" s="19"/>
      <c r="C875" s="19"/>
      <c r="D875" s="19"/>
      <c r="E875" s="19"/>
      <c r="F875" s="19"/>
      <c r="G875" s="19"/>
      <c r="H875" s="19"/>
      <c r="I875" s="19"/>
      <c r="J875" s="10" t="s">
        <v>12</v>
      </c>
      <c r="K875" s="10" t="s">
        <v>12</v>
      </c>
      <c r="L875" s="10" t="s">
        <v>12</v>
      </c>
      <c r="M875" s="10" t="s">
        <v>12</v>
      </c>
      <c r="N875" s="12" t="e">
        <f>VLOOKUP(J875,'Site Allocation'!$B$2:$C$37,2,FALSE)</f>
        <v>#N/A</v>
      </c>
      <c r="O875" s="19"/>
      <c r="P875" s="19"/>
      <c r="Q875" s="19"/>
      <c r="R875" s="19"/>
      <c r="S875" s="19"/>
      <c r="T875" s="19"/>
      <c r="U875" s="19"/>
      <c r="V875" s="19"/>
      <c r="W875" s="19"/>
      <c r="X875" s="19"/>
      <c r="Y875" s="19"/>
    </row>
    <row r="876" spans="1:25" x14ac:dyDescent="0.35">
      <c r="A876" s="19"/>
      <c r="B876" s="19"/>
      <c r="C876" s="19"/>
      <c r="D876" s="19"/>
      <c r="E876" s="19"/>
      <c r="F876" s="19"/>
      <c r="G876" s="19"/>
      <c r="H876" s="19"/>
      <c r="I876" s="19"/>
      <c r="J876" s="10" t="s">
        <v>12</v>
      </c>
      <c r="K876" s="10" t="s">
        <v>12</v>
      </c>
      <c r="L876" s="10" t="s">
        <v>12</v>
      </c>
      <c r="M876" s="10" t="s">
        <v>12</v>
      </c>
      <c r="N876" s="12" t="e">
        <f>VLOOKUP(J876,'Site Allocation'!$B$2:$C$37,2,FALSE)</f>
        <v>#N/A</v>
      </c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</row>
    <row r="877" spans="1:25" x14ac:dyDescent="0.35">
      <c r="A877" s="19"/>
      <c r="B877" s="19"/>
      <c r="C877" s="19"/>
      <c r="D877" s="19"/>
      <c r="E877" s="19"/>
      <c r="F877" s="19"/>
      <c r="G877" s="19"/>
      <c r="H877" s="19"/>
      <c r="I877" s="19"/>
      <c r="J877" s="10" t="s">
        <v>12</v>
      </c>
      <c r="K877" s="10" t="s">
        <v>12</v>
      </c>
      <c r="L877" s="10" t="s">
        <v>12</v>
      </c>
      <c r="M877" s="10" t="s">
        <v>12</v>
      </c>
      <c r="N877" s="12" t="e">
        <f>VLOOKUP(J877,'Site Allocation'!$B$2:$C$37,2,FALSE)</f>
        <v>#N/A</v>
      </c>
      <c r="O877" s="19"/>
      <c r="P877" s="19"/>
      <c r="Q877" s="19"/>
      <c r="R877" s="19"/>
      <c r="S877" s="19"/>
      <c r="T877" s="19"/>
      <c r="U877" s="19"/>
      <c r="V877" s="19"/>
      <c r="W877" s="19"/>
      <c r="X877" s="19"/>
      <c r="Y877" s="19"/>
    </row>
    <row r="878" spans="1:25" x14ac:dyDescent="0.35">
      <c r="A878" s="19"/>
      <c r="B878" s="19"/>
      <c r="C878" s="19"/>
      <c r="D878" s="19"/>
      <c r="E878" s="19"/>
      <c r="F878" s="19"/>
      <c r="G878" s="19"/>
      <c r="H878" s="19"/>
      <c r="I878" s="19"/>
      <c r="J878" s="10" t="s">
        <v>12</v>
      </c>
      <c r="K878" s="10" t="s">
        <v>12</v>
      </c>
      <c r="L878" s="10" t="s">
        <v>12</v>
      </c>
      <c r="M878" s="10" t="s">
        <v>12</v>
      </c>
      <c r="N878" s="12" t="e">
        <f>VLOOKUP(J878,'Site Allocation'!$B$2:$C$37,2,FALSE)</f>
        <v>#N/A</v>
      </c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</row>
    <row r="879" spans="1:25" x14ac:dyDescent="0.35">
      <c r="A879" s="19"/>
      <c r="B879" s="19"/>
      <c r="C879" s="19"/>
      <c r="D879" s="19"/>
      <c r="E879" s="19"/>
      <c r="F879" s="19"/>
      <c r="G879" s="19"/>
      <c r="H879" s="19"/>
      <c r="I879" s="19"/>
      <c r="J879" s="10" t="s">
        <v>12</v>
      </c>
      <c r="K879" s="10" t="s">
        <v>12</v>
      </c>
      <c r="L879" s="10" t="s">
        <v>12</v>
      </c>
      <c r="M879" s="10" t="s">
        <v>12</v>
      </c>
      <c r="N879" s="12" t="e">
        <f>VLOOKUP(J879,'Site Allocation'!$B$2:$C$37,2,FALSE)</f>
        <v>#N/A</v>
      </c>
      <c r="O879" s="19"/>
      <c r="P879" s="19"/>
      <c r="Q879" s="19"/>
      <c r="R879" s="19"/>
      <c r="S879" s="19"/>
      <c r="T879" s="19"/>
      <c r="U879" s="19"/>
      <c r="V879" s="19"/>
      <c r="W879" s="19"/>
      <c r="X879" s="19"/>
      <c r="Y879" s="19"/>
    </row>
    <row r="880" spans="1:25" x14ac:dyDescent="0.35">
      <c r="A880" s="19"/>
      <c r="B880" s="19"/>
      <c r="C880" s="19"/>
      <c r="D880" s="19"/>
      <c r="E880" s="19"/>
      <c r="F880" s="19"/>
      <c r="G880" s="19"/>
      <c r="H880" s="19"/>
      <c r="I880" s="19"/>
      <c r="J880" s="10" t="s">
        <v>12</v>
      </c>
      <c r="K880" s="10" t="s">
        <v>12</v>
      </c>
      <c r="L880" s="10" t="s">
        <v>12</v>
      </c>
      <c r="M880" s="10" t="s">
        <v>12</v>
      </c>
      <c r="N880" s="12" t="e">
        <f>VLOOKUP(J880,'Site Allocation'!$B$2:$C$37,2,FALSE)</f>
        <v>#N/A</v>
      </c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</row>
    <row r="881" spans="1:25" x14ac:dyDescent="0.35">
      <c r="A881" s="19"/>
      <c r="B881" s="19"/>
      <c r="C881" s="19"/>
      <c r="D881" s="19"/>
      <c r="E881" s="19"/>
      <c r="F881" s="19"/>
      <c r="G881" s="19"/>
      <c r="H881" s="19"/>
      <c r="I881" s="19"/>
      <c r="J881" s="10" t="s">
        <v>12</v>
      </c>
      <c r="K881" s="10" t="s">
        <v>12</v>
      </c>
      <c r="L881" s="10" t="s">
        <v>12</v>
      </c>
      <c r="M881" s="10" t="s">
        <v>12</v>
      </c>
      <c r="N881" s="12" t="e">
        <f>VLOOKUP(J881,'Site Allocation'!$B$2:$C$37,2,FALSE)</f>
        <v>#N/A</v>
      </c>
      <c r="O881" s="19"/>
      <c r="P881" s="19"/>
      <c r="Q881" s="19"/>
      <c r="R881" s="19"/>
      <c r="S881" s="19"/>
      <c r="T881" s="19"/>
      <c r="U881" s="19"/>
      <c r="V881" s="19"/>
      <c r="W881" s="19"/>
      <c r="X881" s="19"/>
      <c r="Y881" s="19"/>
    </row>
    <row r="882" spans="1:25" x14ac:dyDescent="0.35">
      <c r="A882" s="19"/>
      <c r="B882" s="19"/>
      <c r="C882" s="19"/>
      <c r="D882" s="19"/>
      <c r="E882" s="19"/>
      <c r="F882" s="19"/>
      <c r="G882" s="19"/>
      <c r="H882" s="19"/>
      <c r="I882" s="19"/>
      <c r="J882" s="10" t="s">
        <v>12</v>
      </c>
      <c r="K882" s="10" t="s">
        <v>12</v>
      </c>
      <c r="L882" s="10" t="s">
        <v>12</v>
      </c>
      <c r="M882" s="10" t="s">
        <v>12</v>
      </c>
      <c r="N882" s="12" t="e">
        <f>VLOOKUP(J882,'Site Allocation'!$B$2:$C$37,2,FALSE)</f>
        <v>#N/A</v>
      </c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</row>
    <row r="883" spans="1:25" x14ac:dyDescent="0.35">
      <c r="A883" s="19"/>
      <c r="B883" s="19"/>
      <c r="C883" s="19"/>
      <c r="D883" s="19"/>
      <c r="E883" s="19"/>
      <c r="F883" s="19"/>
      <c r="G883" s="19"/>
      <c r="H883" s="19"/>
      <c r="I883" s="19"/>
      <c r="J883" s="10" t="s">
        <v>12</v>
      </c>
      <c r="K883" s="10" t="s">
        <v>12</v>
      </c>
      <c r="L883" s="10" t="s">
        <v>12</v>
      </c>
      <c r="M883" s="10" t="s">
        <v>12</v>
      </c>
      <c r="N883" s="12" t="e">
        <f>VLOOKUP(J883,'Site Allocation'!$B$2:$C$37,2,FALSE)</f>
        <v>#N/A</v>
      </c>
      <c r="O883" s="19"/>
      <c r="P883" s="19"/>
      <c r="Q883" s="19"/>
      <c r="R883" s="19"/>
      <c r="S883" s="19"/>
      <c r="T883" s="19"/>
      <c r="U883" s="19"/>
      <c r="V883" s="19"/>
      <c r="W883" s="19"/>
      <c r="X883" s="19"/>
      <c r="Y883" s="19"/>
    </row>
    <row r="884" spans="1:25" x14ac:dyDescent="0.35">
      <c r="A884" s="19"/>
      <c r="B884" s="19"/>
      <c r="C884" s="19"/>
      <c r="D884" s="19"/>
      <c r="E884" s="19"/>
      <c r="F884" s="19"/>
      <c r="G884" s="19"/>
      <c r="H884" s="19"/>
      <c r="I884" s="19"/>
      <c r="J884" s="10" t="s">
        <v>12</v>
      </c>
      <c r="K884" s="10" t="s">
        <v>12</v>
      </c>
      <c r="L884" s="10" t="s">
        <v>12</v>
      </c>
      <c r="M884" s="10" t="s">
        <v>12</v>
      </c>
      <c r="N884" s="12" t="e">
        <f>VLOOKUP(J884,'Site Allocation'!$B$2:$C$37,2,FALSE)</f>
        <v>#N/A</v>
      </c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</row>
    <row r="885" spans="1:25" x14ac:dyDescent="0.35">
      <c r="A885" s="19"/>
      <c r="B885" s="19"/>
      <c r="C885" s="19"/>
      <c r="D885" s="19"/>
      <c r="E885" s="19"/>
      <c r="F885" s="19"/>
      <c r="G885" s="19"/>
      <c r="H885" s="19"/>
      <c r="I885" s="19"/>
      <c r="J885" s="10" t="s">
        <v>12</v>
      </c>
      <c r="K885" s="10" t="s">
        <v>12</v>
      </c>
      <c r="L885" s="10" t="s">
        <v>12</v>
      </c>
      <c r="M885" s="10" t="s">
        <v>12</v>
      </c>
      <c r="N885" s="12" t="e">
        <f>VLOOKUP(J885,'Site Allocation'!$B$2:$C$37,2,FALSE)</f>
        <v>#N/A</v>
      </c>
      <c r="O885" s="19"/>
      <c r="P885" s="19"/>
      <c r="Q885" s="19"/>
      <c r="R885" s="19"/>
      <c r="S885" s="19"/>
      <c r="T885" s="19"/>
      <c r="U885" s="19"/>
      <c r="V885" s="19"/>
      <c r="W885" s="19"/>
      <c r="X885" s="19"/>
      <c r="Y885" s="19"/>
    </row>
    <row r="886" spans="1:25" x14ac:dyDescent="0.35">
      <c r="A886" s="19"/>
      <c r="B886" s="19"/>
      <c r="C886" s="19"/>
      <c r="D886" s="19"/>
      <c r="E886" s="19"/>
      <c r="F886" s="19"/>
      <c r="G886" s="19"/>
      <c r="H886" s="19"/>
      <c r="I886" s="19"/>
      <c r="J886" s="10" t="s">
        <v>12</v>
      </c>
      <c r="K886" s="10" t="s">
        <v>12</v>
      </c>
      <c r="L886" s="10" t="s">
        <v>12</v>
      </c>
      <c r="M886" s="10" t="s">
        <v>12</v>
      </c>
      <c r="N886" s="12" t="e">
        <f>VLOOKUP(J886,'Site Allocation'!$B$2:$C$37,2,FALSE)</f>
        <v>#N/A</v>
      </c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</row>
    <row r="887" spans="1:25" x14ac:dyDescent="0.35">
      <c r="A887" s="19"/>
      <c r="B887" s="19"/>
      <c r="C887" s="19"/>
      <c r="D887" s="19"/>
      <c r="E887" s="19"/>
      <c r="F887" s="19"/>
      <c r="G887" s="19"/>
      <c r="H887" s="19"/>
      <c r="I887" s="19"/>
      <c r="J887" s="10" t="s">
        <v>12</v>
      </c>
      <c r="K887" s="10" t="s">
        <v>12</v>
      </c>
      <c r="L887" s="10" t="s">
        <v>12</v>
      </c>
      <c r="M887" s="10" t="s">
        <v>12</v>
      </c>
      <c r="N887" s="12" t="e">
        <f>VLOOKUP(J887,'Site Allocation'!$B$2:$C$37,2,FALSE)</f>
        <v>#N/A</v>
      </c>
      <c r="O887" s="19"/>
      <c r="P887" s="19"/>
      <c r="Q887" s="19"/>
      <c r="R887" s="19"/>
      <c r="S887" s="19"/>
      <c r="T887" s="19"/>
      <c r="U887" s="19"/>
      <c r="V887" s="19"/>
      <c r="W887" s="19"/>
      <c r="X887" s="19"/>
      <c r="Y887" s="19"/>
    </row>
    <row r="888" spans="1:25" x14ac:dyDescent="0.35">
      <c r="A888" s="19"/>
      <c r="B888" s="19"/>
      <c r="C888" s="19"/>
      <c r="D888" s="19"/>
      <c r="E888" s="19"/>
      <c r="F888" s="19"/>
      <c r="G888" s="19"/>
      <c r="H888" s="19"/>
      <c r="I888" s="19"/>
      <c r="J888" s="10" t="s">
        <v>12</v>
      </c>
      <c r="K888" s="10" t="s">
        <v>12</v>
      </c>
      <c r="L888" s="10" t="s">
        <v>12</v>
      </c>
      <c r="M888" s="10" t="s">
        <v>12</v>
      </c>
      <c r="N888" s="12" t="e">
        <f>VLOOKUP(J888,'Site Allocation'!$B$2:$C$37,2,FALSE)</f>
        <v>#N/A</v>
      </c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</row>
    <row r="889" spans="1:25" x14ac:dyDescent="0.35">
      <c r="A889" s="19"/>
      <c r="B889" s="19"/>
      <c r="C889" s="19"/>
      <c r="D889" s="19"/>
      <c r="E889" s="19"/>
      <c r="F889" s="19"/>
      <c r="G889" s="19"/>
      <c r="H889" s="19"/>
      <c r="I889" s="19"/>
      <c r="J889" s="10" t="s">
        <v>12</v>
      </c>
      <c r="K889" s="10" t="s">
        <v>12</v>
      </c>
      <c r="L889" s="10" t="s">
        <v>12</v>
      </c>
      <c r="M889" s="10" t="s">
        <v>12</v>
      </c>
      <c r="N889" s="12" t="e">
        <f>VLOOKUP(J889,'Site Allocation'!$B$2:$C$37,2,FALSE)</f>
        <v>#N/A</v>
      </c>
      <c r="O889" s="19"/>
      <c r="P889" s="19"/>
      <c r="Q889" s="19"/>
      <c r="R889" s="19"/>
      <c r="S889" s="19"/>
      <c r="T889" s="19"/>
      <c r="U889" s="19"/>
      <c r="V889" s="19"/>
      <c r="W889" s="19"/>
      <c r="X889" s="19"/>
      <c r="Y889" s="19"/>
    </row>
    <row r="890" spans="1:25" x14ac:dyDescent="0.35">
      <c r="A890" s="19"/>
      <c r="B890" s="19"/>
      <c r="C890" s="19"/>
      <c r="D890" s="19"/>
      <c r="E890" s="19"/>
      <c r="F890" s="19"/>
      <c r="G890" s="19"/>
      <c r="H890" s="19"/>
      <c r="I890" s="19"/>
      <c r="J890" s="10" t="s">
        <v>12</v>
      </c>
      <c r="K890" s="10" t="s">
        <v>12</v>
      </c>
      <c r="L890" s="10" t="s">
        <v>12</v>
      </c>
      <c r="M890" s="10" t="s">
        <v>12</v>
      </c>
      <c r="N890" s="12" t="e">
        <f>VLOOKUP(J890,'Site Allocation'!$B$2:$C$37,2,FALSE)</f>
        <v>#N/A</v>
      </c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</row>
    <row r="891" spans="1:25" x14ac:dyDescent="0.35">
      <c r="A891" s="19"/>
      <c r="B891" s="19"/>
      <c r="C891" s="19"/>
      <c r="D891" s="19"/>
      <c r="E891" s="19"/>
      <c r="F891" s="19"/>
      <c r="G891" s="19"/>
      <c r="H891" s="19"/>
      <c r="I891" s="19"/>
      <c r="J891" s="10" t="s">
        <v>12</v>
      </c>
      <c r="K891" s="10" t="s">
        <v>12</v>
      </c>
      <c r="L891" s="10" t="s">
        <v>12</v>
      </c>
      <c r="M891" s="10" t="s">
        <v>12</v>
      </c>
      <c r="N891" s="12" t="e">
        <f>VLOOKUP(J891,'Site Allocation'!$B$2:$C$37,2,FALSE)</f>
        <v>#N/A</v>
      </c>
      <c r="O891" s="19"/>
      <c r="P891" s="19"/>
      <c r="Q891" s="19"/>
      <c r="R891" s="19"/>
      <c r="S891" s="19"/>
      <c r="T891" s="19"/>
      <c r="U891" s="19"/>
      <c r="V891" s="19"/>
      <c r="W891" s="19"/>
      <c r="X891" s="19"/>
      <c r="Y891" s="19"/>
    </row>
    <row r="892" spans="1:25" x14ac:dyDescent="0.35">
      <c r="A892" s="19"/>
      <c r="B892" s="19"/>
      <c r="C892" s="19"/>
      <c r="D892" s="19"/>
      <c r="E892" s="19"/>
      <c r="F892" s="19"/>
      <c r="G892" s="19"/>
      <c r="H892" s="19"/>
      <c r="I892" s="19"/>
      <c r="J892" s="10" t="s">
        <v>12</v>
      </c>
      <c r="K892" s="10" t="s">
        <v>12</v>
      </c>
      <c r="L892" s="10" t="s">
        <v>12</v>
      </c>
      <c r="M892" s="10" t="s">
        <v>12</v>
      </c>
      <c r="N892" s="12" t="e">
        <f>VLOOKUP(J892,'Site Allocation'!$B$2:$C$37,2,FALSE)</f>
        <v>#N/A</v>
      </c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</row>
    <row r="893" spans="1:25" x14ac:dyDescent="0.35">
      <c r="A893" s="19"/>
      <c r="B893" s="19"/>
      <c r="C893" s="19"/>
      <c r="D893" s="19"/>
      <c r="E893" s="19"/>
      <c r="F893" s="19"/>
      <c r="G893" s="19"/>
      <c r="H893" s="19"/>
      <c r="I893" s="19"/>
      <c r="J893" s="10" t="s">
        <v>12</v>
      </c>
      <c r="K893" s="10" t="s">
        <v>12</v>
      </c>
      <c r="L893" s="10" t="s">
        <v>12</v>
      </c>
      <c r="M893" s="10" t="s">
        <v>12</v>
      </c>
      <c r="N893" s="12" t="e">
        <f>VLOOKUP(J893,'Site Allocation'!$B$2:$C$37,2,FALSE)</f>
        <v>#N/A</v>
      </c>
      <c r="O893" s="19"/>
      <c r="P893" s="19"/>
      <c r="Q893" s="19"/>
      <c r="R893" s="19"/>
      <c r="S893" s="19"/>
      <c r="T893" s="19"/>
      <c r="U893" s="19"/>
      <c r="V893" s="19"/>
      <c r="W893" s="19"/>
      <c r="X893" s="19"/>
      <c r="Y893" s="19"/>
    </row>
    <row r="894" spans="1:25" x14ac:dyDescent="0.35">
      <c r="A894" s="19"/>
      <c r="B894" s="19"/>
      <c r="C894" s="19"/>
      <c r="D894" s="19"/>
      <c r="E894" s="19"/>
      <c r="F894" s="19"/>
      <c r="G894" s="19"/>
      <c r="H894" s="19"/>
      <c r="I894" s="19"/>
      <c r="J894" s="10" t="s">
        <v>12</v>
      </c>
      <c r="K894" s="10" t="s">
        <v>12</v>
      </c>
      <c r="L894" s="10" t="s">
        <v>12</v>
      </c>
      <c r="M894" s="10" t="s">
        <v>12</v>
      </c>
      <c r="N894" s="12" t="e">
        <f>VLOOKUP(J894,'Site Allocation'!$B$2:$C$37,2,FALSE)</f>
        <v>#N/A</v>
      </c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</row>
    <row r="895" spans="1:25" x14ac:dyDescent="0.35">
      <c r="A895" s="19"/>
      <c r="B895" s="19"/>
      <c r="C895" s="19"/>
      <c r="D895" s="19"/>
      <c r="E895" s="19"/>
      <c r="F895" s="19"/>
      <c r="G895" s="19"/>
      <c r="H895" s="19"/>
      <c r="I895" s="19"/>
      <c r="J895" s="10" t="s">
        <v>12</v>
      </c>
      <c r="K895" s="10" t="s">
        <v>12</v>
      </c>
      <c r="L895" s="10" t="s">
        <v>12</v>
      </c>
      <c r="M895" s="10" t="s">
        <v>12</v>
      </c>
      <c r="N895" s="12" t="e">
        <f>VLOOKUP(J895,'Site Allocation'!$B$2:$C$37,2,FALSE)</f>
        <v>#N/A</v>
      </c>
      <c r="O895" s="19"/>
      <c r="P895" s="19"/>
      <c r="Q895" s="19"/>
      <c r="R895" s="19"/>
      <c r="S895" s="19"/>
      <c r="T895" s="19"/>
      <c r="U895" s="19"/>
      <c r="V895" s="19"/>
      <c r="W895" s="19"/>
      <c r="X895" s="19"/>
      <c r="Y895" s="19"/>
    </row>
    <row r="896" spans="1:25" x14ac:dyDescent="0.35">
      <c r="A896" s="19"/>
      <c r="B896" s="19"/>
      <c r="C896" s="19"/>
      <c r="D896" s="19"/>
      <c r="E896" s="19"/>
      <c r="F896" s="19"/>
      <c r="G896" s="19"/>
      <c r="H896" s="19"/>
      <c r="I896" s="19"/>
      <c r="J896" s="10" t="s">
        <v>12</v>
      </c>
      <c r="K896" s="10" t="s">
        <v>12</v>
      </c>
      <c r="L896" s="10" t="s">
        <v>12</v>
      </c>
      <c r="M896" s="10" t="s">
        <v>12</v>
      </c>
      <c r="N896" s="12" t="e">
        <f>VLOOKUP(J896,'Site Allocation'!$B$2:$C$37,2,FALSE)</f>
        <v>#N/A</v>
      </c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</row>
    <row r="897" spans="1:25" x14ac:dyDescent="0.35">
      <c r="A897" s="19"/>
      <c r="B897" s="19"/>
      <c r="C897" s="19"/>
      <c r="D897" s="19"/>
      <c r="E897" s="19"/>
      <c r="F897" s="19"/>
      <c r="G897" s="19"/>
      <c r="H897" s="19"/>
      <c r="I897" s="19"/>
      <c r="J897" s="10" t="s">
        <v>12</v>
      </c>
      <c r="K897" s="10" t="s">
        <v>12</v>
      </c>
      <c r="L897" s="10" t="s">
        <v>12</v>
      </c>
      <c r="M897" s="10" t="s">
        <v>12</v>
      </c>
      <c r="N897" s="12" t="e">
        <f>VLOOKUP(J897,'Site Allocation'!$B$2:$C$37,2,FALSE)</f>
        <v>#N/A</v>
      </c>
      <c r="O897" s="19"/>
      <c r="P897" s="19"/>
      <c r="Q897" s="19"/>
      <c r="R897" s="19"/>
      <c r="S897" s="19"/>
      <c r="T897" s="19"/>
      <c r="U897" s="19"/>
      <c r="V897" s="19"/>
      <c r="W897" s="19"/>
      <c r="X897" s="19"/>
      <c r="Y897" s="19"/>
    </row>
    <row r="898" spans="1:25" x14ac:dyDescent="0.35">
      <c r="A898" s="19"/>
      <c r="B898" s="19"/>
      <c r="C898" s="19"/>
      <c r="D898" s="19"/>
      <c r="E898" s="19"/>
      <c r="F898" s="19"/>
      <c r="G898" s="19"/>
      <c r="H898" s="19"/>
      <c r="I898" s="19"/>
      <c r="J898" s="10" t="s">
        <v>12</v>
      </c>
      <c r="K898" s="10" t="s">
        <v>12</v>
      </c>
      <c r="L898" s="10" t="s">
        <v>12</v>
      </c>
      <c r="M898" s="10" t="s">
        <v>12</v>
      </c>
      <c r="N898" s="12" t="e">
        <f>VLOOKUP(J898,'Site Allocation'!$B$2:$C$37,2,FALSE)</f>
        <v>#N/A</v>
      </c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</row>
    <row r="899" spans="1:25" x14ac:dyDescent="0.35">
      <c r="A899" s="19"/>
      <c r="B899" s="19"/>
      <c r="C899" s="19"/>
      <c r="D899" s="19"/>
      <c r="E899" s="19"/>
      <c r="F899" s="19"/>
      <c r="G899" s="19"/>
      <c r="H899" s="19"/>
      <c r="I899" s="19"/>
      <c r="J899" s="10" t="s">
        <v>12</v>
      </c>
      <c r="K899" s="10" t="s">
        <v>12</v>
      </c>
      <c r="L899" s="10" t="s">
        <v>12</v>
      </c>
      <c r="M899" s="10" t="s">
        <v>12</v>
      </c>
      <c r="N899" s="12" t="e">
        <f>VLOOKUP(J899,'Site Allocation'!$B$2:$C$37,2,FALSE)</f>
        <v>#N/A</v>
      </c>
      <c r="O899" s="19"/>
      <c r="P899" s="19"/>
      <c r="Q899" s="19"/>
      <c r="R899" s="19"/>
      <c r="S899" s="19"/>
      <c r="T899" s="19"/>
      <c r="U899" s="19"/>
      <c r="V899" s="19"/>
      <c r="W899" s="19"/>
      <c r="X899" s="19"/>
      <c r="Y899" s="19"/>
    </row>
    <row r="900" spans="1:25" x14ac:dyDescent="0.35">
      <c r="A900" s="19"/>
      <c r="B900" s="19"/>
      <c r="C900" s="19"/>
      <c r="D900" s="19"/>
      <c r="E900" s="19"/>
      <c r="F900" s="19"/>
      <c r="G900" s="19"/>
      <c r="H900" s="19"/>
      <c r="I900" s="19"/>
      <c r="J900" s="10" t="s">
        <v>12</v>
      </c>
      <c r="K900" s="10" t="s">
        <v>12</v>
      </c>
      <c r="L900" s="10" t="s">
        <v>12</v>
      </c>
      <c r="M900" s="10" t="s">
        <v>12</v>
      </c>
      <c r="N900" s="12" t="e">
        <f>VLOOKUP(J900,'Site Allocation'!$B$2:$C$37,2,FALSE)</f>
        <v>#N/A</v>
      </c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</row>
    <row r="901" spans="1:25" x14ac:dyDescent="0.35">
      <c r="A901" s="19"/>
      <c r="B901" s="19"/>
      <c r="C901" s="19"/>
      <c r="D901" s="19"/>
      <c r="E901" s="19"/>
      <c r="F901" s="19"/>
      <c r="G901" s="19"/>
      <c r="H901" s="19"/>
      <c r="I901" s="19"/>
      <c r="J901" s="10" t="s">
        <v>12</v>
      </c>
      <c r="K901" s="10" t="s">
        <v>12</v>
      </c>
      <c r="L901" s="10" t="s">
        <v>12</v>
      </c>
      <c r="M901" s="10" t="s">
        <v>12</v>
      </c>
      <c r="N901" s="12" t="e">
        <f>VLOOKUP(J901,'Site Allocation'!$B$2:$C$37,2,FALSE)</f>
        <v>#N/A</v>
      </c>
      <c r="O901" s="19"/>
      <c r="P901" s="19"/>
      <c r="Q901" s="19"/>
      <c r="R901" s="19"/>
      <c r="S901" s="19"/>
      <c r="T901" s="19"/>
      <c r="U901" s="19"/>
      <c r="V901" s="19"/>
      <c r="W901" s="19"/>
      <c r="X901" s="19"/>
      <c r="Y901" s="19"/>
    </row>
    <row r="902" spans="1:25" x14ac:dyDescent="0.35">
      <c r="A902" s="19"/>
      <c r="B902" s="19"/>
      <c r="C902" s="19"/>
      <c r="D902" s="19"/>
      <c r="E902" s="19"/>
      <c r="F902" s="19"/>
      <c r="G902" s="19"/>
      <c r="H902" s="19"/>
      <c r="I902" s="19"/>
      <c r="J902" s="10" t="s">
        <v>12</v>
      </c>
      <c r="K902" s="10" t="s">
        <v>12</v>
      </c>
      <c r="L902" s="10" t="s">
        <v>12</v>
      </c>
      <c r="M902" s="10" t="s">
        <v>12</v>
      </c>
      <c r="N902" s="12" t="e">
        <f>VLOOKUP(J902,'Site Allocation'!$B$2:$C$37,2,FALSE)</f>
        <v>#N/A</v>
      </c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</row>
    <row r="903" spans="1:25" x14ac:dyDescent="0.35">
      <c r="A903" s="19"/>
      <c r="B903" s="19"/>
      <c r="C903" s="19"/>
      <c r="D903" s="19"/>
      <c r="E903" s="19"/>
      <c r="F903" s="19"/>
      <c r="G903" s="19"/>
      <c r="H903" s="19"/>
      <c r="I903" s="19"/>
      <c r="J903" s="10" t="s">
        <v>12</v>
      </c>
      <c r="K903" s="10" t="s">
        <v>12</v>
      </c>
      <c r="L903" s="10" t="s">
        <v>12</v>
      </c>
      <c r="M903" s="10" t="s">
        <v>12</v>
      </c>
      <c r="N903" s="12" t="e">
        <f>VLOOKUP(J903,'Site Allocation'!$B$2:$C$37,2,FALSE)</f>
        <v>#N/A</v>
      </c>
      <c r="O903" s="19"/>
      <c r="P903" s="19"/>
      <c r="Q903" s="19"/>
      <c r="R903" s="19"/>
      <c r="S903" s="19"/>
      <c r="T903" s="19"/>
      <c r="U903" s="19"/>
      <c r="V903" s="19"/>
      <c r="W903" s="19"/>
      <c r="X903" s="19"/>
      <c r="Y903" s="19"/>
    </row>
    <row r="904" spans="1:25" x14ac:dyDescent="0.35">
      <c r="A904" s="19"/>
      <c r="B904" s="19"/>
      <c r="C904" s="19"/>
      <c r="D904" s="19"/>
      <c r="E904" s="19"/>
      <c r="F904" s="19"/>
      <c r="G904" s="19"/>
      <c r="H904" s="19"/>
      <c r="I904" s="19"/>
      <c r="J904" s="10" t="s">
        <v>12</v>
      </c>
      <c r="K904" s="10" t="s">
        <v>12</v>
      </c>
      <c r="L904" s="10" t="s">
        <v>12</v>
      </c>
      <c r="M904" s="10" t="s">
        <v>12</v>
      </c>
      <c r="N904" s="12" t="e">
        <f>VLOOKUP(J904,'Site Allocation'!$B$2:$C$37,2,FALSE)</f>
        <v>#N/A</v>
      </c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</row>
    <row r="905" spans="1:25" x14ac:dyDescent="0.35">
      <c r="A905" s="19"/>
      <c r="B905" s="19"/>
      <c r="C905" s="19"/>
      <c r="D905" s="19"/>
      <c r="E905" s="19"/>
      <c r="F905" s="19"/>
      <c r="G905" s="19"/>
      <c r="H905" s="19"/>
      <c r="I905" s="19"/>
      <c r="J905" s="10" t="s">
        <v>12</v>
      </c>
      <c r="K905" s="10" t="s">
        <v>12</v>
      </c>
      <c r="L905" s="10" t="s">
        <v>12</v>
      </c>
      <c r="M905" s="10" t="s">
        <v>12</v>
      </c>
      <c r="N905" s="12" t="e">
        <f>VLOOKUP(J905,'Site Allocation'!$B$2:$C$37,2,FALSE)</f>
        <v>#N/A</v>
      </c>
      <c r="O905" s="19"/>
      <c r="P905" s="19"/>
      <c r="Q905" s="19"/>
      <c r="R905" s="19"/>
      <c r="S905" s="19"/>
      <c r="T905" s="19"/>
      <c r="U905" s="19"/>
      <c r="V905" s="19"/>
      <c r="W905" s="19"/>
      <c r="X905" s="19"/>
      <c r="Y905" s="19"/>
    </row>
    <row r="906" spans="1:25" x14ac:dyDescent="0.35">
      <c r="A906" s="19"/>
      <c r="B906" s="19"/>
      <c r="C906" s="19"/>
      <c r="D906" s="19"/>
      <c r="E906" s="19"/>
      <c r="F906" s="19"/>
      <c r="G906" s="19"/>
      <c r="H906" s="19"/>
      <c r="I906" s="19"/>
      <c r="J906" s="10" t="s">
        <v>12</v>
      </c>
      <c r="K906" s="10" t="s">
        <v>12</v>
      </c>
      <c r="L906" s="10" t="s">
        <v>12</v>
      </c>
      <c r="M906" s="10" t="s">
        <v>12</v>
      </c>
      <c r="N906" s="12" t="e">
        <f>VLOOKUP(J906,'Site Allocation'!$B$2:$C$37,2,FALSE)</f>
        <v>#N/A</v>
      </c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</row>
    <row r="907" spans="1:25" x14ac:dyDescent="0.35">
      <c r="A907" s="19"/>
      <c r="B907" s="19"/>
      <c r="C907" s="19"/>
      <c r="D907" s="19"/>
      <c r="E907" s="19"/>
      <c r="F907" s="19"/>
      <c r="G907" s="19"/>
      <c r="H907" s="19"/>
      <c r="I907" s="19"/>
      <c r="J907" s="10" t="s">
        <v>12</v>
      </c>
      <c r="K907" s="10" t="s">
        <v>12</v>
      </c>
      <c r="L907" s="10" t="s">
        <v>12</v>
      </c>
      <c r="M907" s="10" t="s">
        <v>12</v>
      </c>
      <c r="N907" s="12" t="e">
        <f>VLOOKUP(J907,'Site Allocation'!$B$2:$C$37,2,FALSE)</f>
        <v>#N/A</v>
      </c>
      <c r="O907" s="19"/>
      <c r="P907" s="19"/>
      <c r="Q907" s="19"/>
      <c r="R907" s="19"/>
      <c r="S907" s="19"/>
      <c r="T907" s="19"/>
      <c r="U907" s="19"/>
      <c r="V907" s="19"/>
      <c r="W907" s="19"/>
      <c r="X907" s="19"/>
      <c r="Y907" s="19"/>
    </row>
    <row r="908" spans="1:25" x14ac:dyDescent="0.35">
      <c r="A908" s="19"/>
      <c r="B908" s="19"/>
      <c r="C908" s="19"/>
      <c r="D908" s="19"/>
      <c r="E908" s="19"/>
      <c r="F908" s="19"/>
      <c r="G908" s="19"/>
      <c r="H908" s="19"/>
      <c r="I908" s="19"/>
      <c r="J908" s="10" t="s">
        <v>12</v>
      </c>
      <c r="K908" s="10" t="s">
        <v>12</v>
      </c>
      <c r="L908" s="10" t="s">
        <v>12</v>
      </c>
      <c r="M908" s="10" t="s">
        <v>12</v>
      </c>
      <c r="N908" s="12" t="e">
        <f>VLOOKUP(J908,'Site Allocation'!$B$2:$C$37,2,FALSE)</f>
        <v>#N/A</v>
      </c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</row>
    <row r="909" spans="1:25" x14ac:dyDescent="0.35">
      <c r="A909" s="19"/>
      <c r="B909" s="19"/>
      <c r="C909" s="19"/>
      <c r="D909" s="19"/>
      <c r="E909" s="19"/>
      <c r="F909" s="19"/>
      <c r="G909" s="19"/>
      <c r="H909" s="19"/>
      <c r="I909" s="19"/>
      <c r="J909" s="10" t="s">
        <v>12</v>
      </c>
      <c r="K909" s="10" t="s">
        <v>12</v>
      </c>
      <c r="L909" s="10" t="s">
        <v>12</v>
      </c>
      <c r="M909" s="10" t="s">
        <v>12</v>
      </c>
      <c r="N909" s="12" t="e">
        <f>VLOOKUP(J909,'Site Allocation'!$B$2:$C$37,2,FALSE)</f>
        <v>#N/A</v>
      </c>
      <c r="O909" s="19"/>
      <c r="P909" s="19"/>
      <c r="Q909" s="19"/>
      <c r="R909" s="19"/>
      <c r="S909" s="19"/>
      <c r="T909" s="19"/>
      <c r="U909" s="19"/>
      <c r="V909" s="19"/>
      <c r="W909" s="19"/>
      <c r="X909" s="19"/>
      <c r="Y909" s="19"/>
    </row>
    <row r="910" spans="1:25" x14ac:dyDescent="0.35">
      <c r="A910" s="19"/>
      <c r="B910" s="19"/>
      <c r="C910" s="19"/>
      <c r="D910" s="19"/>
      <c r="E910" s="19"/>
      <c r="F910" s="19"/>
      <c r="G910" s="19"/>
      <c r="H910" s="19"/>
      <c r="I910" s="19"/>
      <c r="J910" s="10" t="s">
        <v>12</v>
      </c>
      <c r="K910" s="10" t="s">
        <v>12</v>
      </c>
      <c r="L910" s="10" t="s">
        <v>12</v>
      </c>
      <c r="M910" s="10" t="s">
        <v>12</v>
      </c>
      <c r="N910" s="12" t="e">
        <f>VLOOKUP(J910,'Site Allocation'!$B$2:$C$37,2,FALSE)</f>
        <v>#N/A</v>
      </c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</row>
    <row r="911" spans="1:25" x14ac:dyDescent="0.35">
      <c r="A911" s="19"/>
      <c r="B911" s="19"/>
      <c r="C911" s="19"/>
      <c r="D911" s="19"/>
      <c r="E911" s="19"/>
      <c r="F911" s="19"/>
      <c r="G911" s="19"/>
      <c r="H911" s="19"/>
      <c r="I911" s="19"/>
      <c r="J911" s="10" t="s">
        <v>12</v>
      </c>
      <c r="K911" s="10" t="s">
        <v>12</v>
      </c>
      <c r="L911" s="10" t="s">
        <v>12</v>
      </c>
      <c r="M911" s="10" t="s">
        <v>12</v>
      </c>
      <c r="N911" s="12" t="e">
        <f>VLOOKUP(J911,'Site Allocation'!$B$2:$C$37,2,FALSE)</f>
        <v>#N/A</v>
      </c>
      <c r="O911" s="19"/>
      <c r="P911" s="19"/>
      <c r="Q911" s="19"/>
      <c r="R911" s="19"/>
      <c r="S911" s="19"/>
      <c r="T911" s="19"/>
      <c r="U911" s="19"/>
      <c r="V911" s="19"/>
      <c r="W911" s="19"/>
      <c r="X911" s="19"/>
      <c r="Y911" s="19"/>
    </row>
    <row r="912" spans="1:25" x14ac:dyDescent="0.35">
      <c r="A912" s="19"/>
      <c r="B912" s="19"/>
      <c r="C912" s="19"/>
      <c r="D912" s="19"/>
      <c r="E912" s="19"/>
      <c r="F912" s="19"/>
      <c r="G912" s="19"/>
      <c r="H912" s="19"/>
      <c r="I912" s="19"/>
      <c r="J912" s="10" t="s">
        <v>12</v>
      </c>
      <c r="K912" s="10" t="s">
        <v>12</v>
      </c>
      <c r="L912" s="10" t="s">
        <v>12</v>
      </c>
      <c r="M912" s="10" t="s">
        <v>12</v>
      </c>
      <c r="N912" s="12" t="e">
        <f>VLOOKUP(J912,'Site Allocation'!$B$2:$C$37,2,FALSE)</f>
        <v>#N/A</v>
      </c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</row>
    <row r="913" spans="1:25" x14ac:dyDescent="0.35">
      <c r="A913" s="19"/>
      <c r="B913" s="19"/>
      <c r="C913" s="19"/>
      <c r="D913" s="19"/>
      <c r="E913" s="19"/>
      <c r="F913" s="19"/>
      <c r="G913" s="19"/>
      <c r="H913" s="19"/>
      <c r="I913" s="19"/>
      <c r="J913" s="10" t="s">
        <v>12</v>
      </c>
      <c r="K913" s="10" t="s">
        <v>12</v>
      </c>
      <c r="L913" s="10" t="s">
        <v>12</v>
      </c>
      <c r="M913" s="10" t="s">
        <v>12</v>
      </c>
      <c r="N913" s="12" t="e">
        <f>VLOOKUP(J913,'Site Allocation'!$B$2:$C$37,2,FALSE)</f>
        <v>#N/A</v>
      </c>
      <c r="O913" s="19"/>
      <c r="P913" s="19"/>
      <c r="Q913" s="19"/>
      <c r="R913" s="19"/>
      <c r="S913" s="19"/>
      <c r="T913" s="19"/>
      <c r="U913" s="19"/>
      <c r="V913" s="19"/>
      <c r="W913" s="19"/>
      <c r="X913" s="19"/>
      <c r="Y913" s="19"/>
    </row>
    <row r="914" spans="1:25" x14ac:dyDescent="0.35">
      <c r="A914" s="19"/>
      <c r="B914" s="19"/>
      <c r="C914" s="19"/>
      <c r="D914" s="19"/>
      <c r="E914" s="19"/>
      <c r="F914" s="19"/>
      <c r="G914" s="19"/>
      <c r="H914" s="19"/>
      <c r="I914" s="19"/>
      <c r="J914" s="10" t="s">
        <v>12</v>
      </c>
      <c r="K914" s="10" t="s">
        <v>12</v>
      </c>
      <c r="L914" s="10" t="s">
        <v>12</v>
      </c>
      <c r="M914" s="10" t="s">
        <v>12</v>
      </c>
      <c r="N914" s="12" t="e">
        <f>VLOOKUP(J914,'Site Allocation'!$B$2:$C$37,2,FALSE)</f>
        <v>#N/A</v>
      </c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</row>
    <row r="915" spans="1:25" x14ac:dyDescent="0.35">
      <c r="A915" s="19"/>
      <c r="B915" s="19"/>
      <c r="C915" s="19"/>
      <c r="D915" s="19"/>
      <c r="E915" s="19"/>
      <c r="F915" s="19"/>
      <c r="G915" s="19"/>
      <c r="H915" s="19"/>
      <c r="I915" s="19"/>
      <c r="J915" s="10" t="s">
        <v>12</v>
      </c>
      <c r="K915" s="10" t="s">
        <v>12</v>
      </c>
      <c r="L915" s="10" t="s">
        <v>12</v>
      </c>
      <c r="M915" s="10" t="s">
        <v>12</v>
      </c>
      <c r="N915" s="12" t="e">
        <f>VLOOKUP(J915,'Site Allocation'!$B$2:$C$37,2,FALSE)</f>
        <v>#N/A</v>
      </c>
      <c r="O915" s="19"/>
      <c r="P915" s="19"/>
      <c r="Q915" s="19"/>
      <c r="R915" s="19"/>
      <c r="S915" s="19"/>
      <c r="T915" s="19"/>
      <c r="U915" s="19"/>
      <c r="V915" s="19"/>
      <c r="W915" s="19"/>
      <c r="X915" s="19"/>
      <c r="Y915" s="19"/>
    </row>
    <row r="916" spans="1:25" x14ac:dyDescent="0.35">
      <c r="A916" s="19"/>
      <c r="B916" s="19"/>
      <c r="C916" s="19"/>
      <c r="D916" s="19"/>
      <c r="E916" s="19"/>
      <c r="F916" s="19"/>
      <c r="G916" s="19"/>
      <c r="H916" s="19"/>
      <c r="I916" s="19"/>
      <c r="J916" s="10" t="s">
        <v>12</v>
      </c>
      <c r="K916" s="10" t="s">
        <v>12</v>
      </c>
      <c r="L916" s="10" t="s">
        <v>12</v>
      </c>
      <c r="M916" s="10" t="s">
        <v>12</v>
      </c>
      <c r="N916" s="12" t="e">
        <f>VLOOKUP(J916,'Site Allocation'!$B$2:$C$37,2,FALSE)</f>
        <v>#N/A</v>
      </c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</row>
    <row r="917" spans="1:25" x14ac:dyDescent="0.35">
      <c r="A917" s="19"/>
      <c r="B917" s="19"/>
      <c r="C917" s="19"/>
      <c r="D917" s="19"/>
      <c r="E917" s="19"/>
      <c r="F917" s="19"/>
      <c r="G917" s="19"/>
      <c r="H917" s="19"/>
      <c r="I917" s="19"/>
      <c r="J917" s="10" t="s">
        <v>12</v>
      </c>
      <c r="K917" s="10" t="s">
        <v>12</v>
      </c>
      <c r="L917" s="10" t="s">
        <v>12</v>
      </c>
      <c r="M917" s="10" t="s">
        <v>12</v>
      </c>
      <c r="N917" s="12" t="e">
        <f>VLOOKUP(J917,'Site Allocation'!$B$2:$C$37,2,FALSE)</f>
        <v>#N/A</v>
      </c>
      <c r="O917" s="19"/>
      <c r="P917" s="19"/>
      <c r="Q917" s="19"/>
      <c r="R917" s="19"/>
      <c r="S917" s="19"/>
      <c r="T917" s="19"/>
      <c r="U917" s="19"/>
      <c r="V917" s="19"/>
      <c r="W917" s="19"/>
      <c r="X917" s="19"/>
      <c r="Y917" s="19"/>
    </row>
    <row r="918" spans="1:25" x14ac:dyDescent="0.35">
      <c r="A918" s="19"/>
      <c r="B918" s="19"/>
      <c r="C918" s="19"/>
      <c r="D918" s="19"/>
      <c r="E918" s="19"/>
      <c r="F918" s="19"/>
      <c r="G918" s="19"/>
      <c r="H918" s="19"/>
      <c r="I918" s="19"/>
      <c r="J918" s="10" t="s">
        <v>12</v>
      </c>
      <c r="K918" s="10" t="s">
        <v>12</v>
      </c>
      <c r="L918" s="10" t="s">
        <v>12</v>
      </c>
      <c r="M918" s="10" t="s">
        <v>12</v>
      </c>
      <c r="N918" s="12" t="e">
        <f>VLOOKUP(J918,'Site Allocation'!$B$2:$C$37,2,FALSE)</f>
        <v>#N/A</v>
      </c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</row>
    <row r="919" spans="1:25" x14ac:dyDescent="0.35">
      <c r="A919" s="19"/>
      <c r="B919" s="19"/>
      <c r="C919" s="19"/>
      <c r="D919" s="19"/>
      <c r="E919" s="19"/>
      <c r="F919" s="19"/>
      <c r="G919" s="19"/>
      <c r="H919" s="19"/>
      <c r="I919" s="19"/>
      <c r="J919" s="10" t="s">
        <v>12</v>
      </c>
      <c r="K919" s="10" t="s">
        <v>12</v>
      </c>
      <c r="L919" s="10" t="s">
        <v>12</v>
      </c>
      <c r="M919" s="10" t="s">
        <v>12</v>
      </c>
      <c r="N919" s="12" t="e">
        <f>VLOOKUP(J919,'Site Allocation'!$B$2:$C$37,2,FALSE)</f>
        <v>#N/A</v>
      </c>
      <c r="O919" s="19"/>
      <c r="P919" s="19"/>
      <c r="Q919" s="19"/>
      <c r="R919" s="19"/>
      <c r="S919" s="19"/>
      <c r="T919" s="19"/>
      <c r="U919" s="19"/>
      <c r="V919" s="19"/>
      <c r="W919" s="19"/>
      <c r="X919" s="19"/>
      <c r="Y919" s="19"/>
    </row>
    <row r="920" spans="1:25" x14ac:dyDescent="0.35">
      <c r="A920" s="19"/>
      <c r="B920" s="19"/>
      <c r="C920" s="19"/>
      <c r="D920" s="19"/>
      <c r="E920" s="19"/>
      <c r="F920" s="19"/>
      <c r="G920" s="19"/>
      <c r="H920" s="19"/>
      <c r="I920" s="19"/>
      <c r="J920" s="10" t="s">
        <v>12</v>
      </c>
      <c r="K920" s="10" t="s">
        <v>12</v>
      </c>
      <c r="L920" s="10" t="s">
        <v>12</v>
      </c>
      <c r="M920" s="10" t="s">
        <v>12</v>
      </c>
      <c r="N920" s="12" t="e">
        <f>VLOOKUP(J920,'Site Allocation'!$B$2:$C$37,2,FALSE)</f>
        <v>#N/A</v>
      </c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</row>
    <row r="921" spans="1:25" x14ac:dyDescent="0.35">
      <c r="A921" s="19"/>
      <c r="B921" s="19"/>
      <c r="C921" s="19"/>
      <c r="D921" s="19"/>
      <c r="E921" s="19"/>
      <c r="F921" s="19"/>
      <c r="G921" s="19"/>
      <c r="H921" s="19"/>
      <c r="I921" s="19"/>
      <c r="J921" s="10" t="s">
        <v>12</v>
      </c>
      <c r="K921" s="10" t="s">
        <v>12</v>
      </c>
      <c r="L921" s="10" t="s">
        <v>12</v>
      </c>
      <c r="M921" s="10" t="s">
        <v>12</v>
      </c>
      <c r="N921" s="12" t="e">
        <f>VLOOKUP(J921,'Site Allocation'!$B$2:$C$37,2,FALSE)</f>
        <v>#N/A</v>
      </c>
      <c r="O921" s="19"/>
      <c r="P921" s="19"/>
      <c r="Q921" s="19"/>
      <c r="R921" s="19"/>
      <c r="S921" s="19"/>
      <c r="T921" s="19"/>
      <c r="U921" s="19"/>
      <c r="V921" s="19"/>
      <c r="W921" s="19"/>
      <c r="X921" s="19"/>
      <c r="Y921" s="19"/>
    </row>
    <row r="922" spans="1:25" x14ac:dyDescent="0.35">
      <c r="A922" s="19"/>
      <c r="B922" s="19"/>
      <c r="C922" s="19"/>
      <c r="D922" s="19"/>
      <c r="E922" s="19"/>
      <c r="F922" s="19"/>
      <c r="G922" s="19"/>
      <c r="H922" s="19"/>
      <c r="I922" s="19"/>
      <c r="J922" s="10" t="s">
        <v>12</v>
      </c>
      <c r="K922" s="10" t="s">
        <v>12</v>
      </c>
      <c r="L922" s="10" t="s">
        <v>12</v>
      </c>
      <c r="M922" s="10" t="s">
        <v>12</v>
      </c>
      <c r="N922" s="12" t="e">
        <f>VLOOKUP(J922,'Site Allocation'!$B$2:$C$37,2,FALSE)</f>
        <v>#N/A</v>
      </c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</row>
    <row r="923" spans="1:25" x14ac:dyDescent="0.35">
      <c r="A923" s="19"/>
      <c r="B923" s="19"/>
      <c r="C923" s="19"/>
      <c r="D923" s="19"/>
      <c r="E923" s="19"/>
      <c r="F923" s="19"/>
      <c r="G923" s="19"/>
      <c r="H923" s="19"/>
      <c r="I923" s="19"/>
      <c r="J923" s="10" t="s">
        <v>12</v>
      </c>
      <c r="K923" s="10" t="s">
        <v>12</v>
      </c>
      <c r="L923" s="10" t="s">
        <v>12</v>
      </c>
      <c r="M923" s="10" t="s">
        <v>12</v>
      </c>
      <c r="N923" s="12" t="e">
        <f>VLOOKUP(J923,'Site Allocation'!$B$2:$C$37,2,FALSE)</f>
        <v>#N/A</v>
      </c>
      <c r="O923" s="19"/>
      <c r="P923" s="19"/>
      <c r="Q923" s="19"/>
      <c r="R923" s="19"/>
      <c r="S923" s="19"/>
      <c r="T923" s="19"/>
      <c r="U923" s="19"/>
      <c r="V923" s="19"/>
      <c r="W923" s="19"/>
      <c r="X923" s="19"/>
      <c r="Y923" s="19"/>
    </row>
    <row r="924" spans="1:25" x14ac:dyDescent="0.35">
      <c r="A924" s="19"/>
      <c r="B924" s="19"/>
      <c r="C924" s="19"/>
      <c r="D924" s="19"/>
      <c r="E924" s="19"/>
      <c r="F924" s="19"/>
      <c r="G924" s="19"/>
      <c r="H924" s="19"/>
      <c r="I924" s="19"/>
      <c r="J924" s="10" t="s">
        <v>12</v>
      </c>
      <c r="K924" s="10" t="s">
        <v>12</v>
      </c>
      <c r="L924" s="10" t="s">
        <v>12</v>
      </c>
      <c r="M924" s="10" t="s">
        <v>12</v>
      </c>
      <c r="N924" s="12" t="e">
        <f>VLOOKUP(J924,'Site Allocation'!$B$2:$C$37,2,FALSE)</f>
        <v>#N/A</v>
      </c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</row>
    <row r="925" spans="1:25" x14ac:dyDescent="0.35">
      <c r="A925" s="19"/>
      <c r="B925" s="19"/>
      <c r="C925" s="19"/>
      <c r="D925" s="19"/>
      <c r="E925" s="19"/>
      <c r="F925" s="19"/>
      <c r="G925" s="19"/>
      <c r="H925" s="19"/>
      <c r="I925" s="19"/>
      <c r="J925" s="10" t="s">
        <v>12</v>
      </c>
      <c r="K925" s="10" t="s">
        <v>12</v>
      </c>
      <c r="L925" s="10" t="s">
        <v>12</v>
      </c>
      <c r="M925" s="10" t="s">
        <v>12</v>
      </c>
      <c r="N925" s="12" t="e">
        <f>VLOOKUP(J925,'Site Allocation'!$B$2:$C$37,2,FALSE)</f>
        <v>#N/A</v>
      </c>
      <c r="O925" s="19"/>
      <c r="P925" s="19"/>
      <c r="Q925" s="19"/>
      <c r="R925" s="19"/>
      <c r="S925" s="19"/>
      <c r="T925" s="19"/>
      <c r="U925" s="19"/>
      <c r="V925" s="19"/>
      <c r="W925" s="19"/>
      <c r="X925" s="19"/>
      <c r="Y925" s="19"/>
    </row>
    <row r="926" spans="1:25" x14ac:dyDescent="0.35">
      <c r="A926" s="19"/>
      <c r="B926" s="19"/>
      <c r="C926" s="19"/>
      <c r="D926" s="19"/>
      <c r="E926" s="19"/>
      <c r="F926" s="19"/>
      <c r="G926" s="19"/>
      <c r="H926" s="19"/>
      <c r="I926" s="19"/>
      <c r="J926" s="10" t="s">
        <v>12</v>
      </c>
      <c r="K926" s="10" t="s">
        <v>12</v>
      </c>
      <c r="L926" s="10" t="s">
        <v>12</v>
      </c>
      <c r="M926" s="10" t="s">
        <v>12</v>
      </c>
      <c r="N926" s="12" t="e">
        <f>VLOOKUP(J926,'Site Allocation'!$B$2:$C$37,2,FALSE)</f>
        <v>#N/A</v>
      </c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</row>
    <row r="927" spans="1:25" x14ac:dyDescent="0.35">
      <c r="A927" s="19"/>
      <c r="B927" s="19"/>
      <c r="C927" s="19"/>
      <c r="D927" s="19"/>
      <c r="E927" s="19"/>
      <c r="F927" s="19"/>
      <c r="G927" s="19"/>
      <c r="H927" s="19"/>
      <c r="I927" s="19"/>
      <c r="J927" s="10" t="s">
        <v>12</v>
      </c>
      <c r="K927" s="10" t="s">
        <v>12</v>
      </c>
      <c r="L927" s="10" t="s">
        <v>12</v>
      </c>
      <c r="M927" s="10" t="s">
        <v>12</v>
      </c>
      <c r="N927" s="12" t="e">
        <f>VLOOKUP(J927,'Site Allocation'!$B$2:$C$37,2,FALSE)</f>
        <v>#N/A</v>
      </c>
      <c r="O927" s="19"/>
      <c r="P927" s="19"/>
      <c r="Q927" s="19"/>
      <c r="R927" s="19"/>
      <c r="S927" s="19"/>
      <c r="T927" s="19"/>
      <c r="U927" s="19"/>
      <c r="V927" s="19"/>
      <c r="W927" s="19"/>
      <c r="X927" s="19"/>
      <c r="Y927" s="19"/>
    </row>
    <row r="928" spans="1:25" x14ac:dyDescent="0.35">
      <c r="A928" s="19"/>
      <c r="B928" s="19"/>
      <c r="C928" s="19"/>
      <c r="D928" s="19"/>
      <c r="E928" s="19"/>
      <c r="F928" s="19"/>
      <c r="G928" s="19"/>
      <c r="H928" s="19"/>
      <c r="I928" s="19"/>
      <c r="J928" s="10" t="s">
        <v>12</v>
      </c>
      <c r="K928" s="10" t="s">
        <v>12</v>
      </c>
      <c r="L928" s="10" t="s">
        <v>12</v>
      </c>
      <c r="M928" s="10" t="s">
        <v>12</v>
      </c>
      <c r="N928" s="12" t="e">
        <f>VLOOKUP(J928,'Site Allocation'!$B$2:$C$37,2,FALSE)</f>
        <v>#N/A</v>
      </c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</row>
    <row r="929" spans="1:25" x14ac:dyDescent="0.35">
      <c r="A929" s="19"/>
      <c r="B929" s="19"/>
      <c r="C929" s="19"/>
      <c r="D929" s="19"/>
      <c r="E929" s="19"/>
      <c r="F929" s="19"/>
      <c r="G929" s="19"/>
      <c r="H929" s="19"/>
      <c r="I929" s="19"/>
      <c r="J929" s="10" t="s">
        <v>12</v>
      </c>
      <c r="K929" s="10" t="s">
        <v>12</v>
      </c>
      <c r="L929" s="10" t="s">
        <v>12</v>
      </c>
      <c r="M929" s="10" t="s">
        <v>12</v>
      </c>
      <c r="N929" s="12" t="e">
        <f>VLOOKUP(J929,'Site Allocation'!$B$2:$C$37,2,FALSE)</f>
        <v>#N/A</v>
      </c>
      <c r="O929" s="19"/>
      <c r="P929" s="19"/>
      <c r="Q929" s="19"/>
      <c r="R929" s="19"/>
      <c r="S929" s="19"/>
      <c r="T929" s="19"/>
      <c r="U929" s="19"/>
      <c r="V929" s="19"/>
      <c r="W929" s="19"/>
      <c r="X929" s="19"/>
      <c r="Y929" s="19"/>
    </row>
    <row r="930" spans="1:25" x14ac:dyDescent="0.35">
      <c r="A930" s="19"/>
      <c r="B930" s="19"/>
      <c r="C930" s="19"/>
      <c r="D930" s="19"/>
      <c r="E930" s="19"/>
      <c r="F930" s="19"/>
      <c r="G930" s="19"/>
      <c r="H930" s="19"/>
      <c r="I930" s="19"/>
      <c r="J930" s="10" t="s">
        <v>12</v>
      </c>
      <c r="K930" s="10" t="s">
        <v>12</v>
      </c>
      <c r="L930" s="10" t="s">
        <v>12</v>
      </c>
      <c r="M930" s="10" t="s">
        <v>12</v>
      </c>
      <c r="N930" s="12" t="e">
        <f>VLOOKUP(J930,'Site Allocation'!$B$2:$C$37,2,FALSE)</f>
        <v>#N/A</v>
      </c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</row>
    <row r="931" spans="1:25" x14ac:dyDescent="0.35">
      <c r="A931" s="19"/>
      <c r="B931" s="19"/>
      <c r="C931" s="19"/>
      <c r="D931" s="19"/>
      <c r="E931" s="19"/>
      <c r="F931" s="19"/>
      <c r="G931" s="19"/>
      <c r="H931" s="19"/>
      <c r="I931" s="19"/>
      <c r="J931" s="10" t="s">
        <v>12</v>
      </c>
      <c r="K931" s="10" t="s">
        <v>12</v>
      </c>
      <c r="L931" s="10" t="s">
        <v>12</v>
      </c>
      <c r="M931" s="10" t="s">
        <v>12</v>
      </c>
      <c r="N931" s="12" t="e">
        <f>VLOOKUP(J931,'Site Allocation'!$B$2:$C$37,2,FALSE)</f>
        <v>#N/A</v>
      </c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</row>
    <row r="932" spans="1:25" x14ac:dyDescent="0.35">
      <c r="A932" s="19"/>
      <c r="B932" s="19"/>
      <c r="C932" s="19"/>
      <c r="D932" s="19"/>
      <c r="E932" s="19"/>
      <c r="F932" s="19"/>
      <c r="G932" s="19"/>
      <c r="H932" s="19"/>
      <c r="I932" s="19"/>
      <c r="J932" s="10" t="s">
        <v>12</v>
      </c>
      <c r="K932" s="10" t="s">
        <v>12</v>
      </c>
      <c r="L932" s="10" t="s">
        <v>12</v>
      </c>
      <c r="M932" s="10" t="s">
        <v>12</v>
      </c>
      <c r="N932" s="12" t="e">
        <f>VLOOKUP(J932,'Site Allocation'!$B$2:$C$37,2,FALSE)</f>
        <v>#N/A</v>
      </c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</row>
    <row r="933" spans="1:25" x14ac:dyDescent="0.35">
      <c r="A933" s="19"/>
      <c r="B933" s="19"/>
      <c r="C933" s="19"/>
      <c r="D933" s="19"/>
      <c r="E933" s="19"/>
      <c r="F933" s="19"/>
      <c r="G933" s="19"/>
      <c r="H933" s="19"/>
      <c r="I933" s="19"/>
      <c r="J933" s="10" t="s">
        <v>12</v>
      </c>
      <c r="K933" s="10" t="s">
        <v>12</v>
      </c>
      <c r="L933" s="10" t="s">
        <v>12</v>
      </c>
      <c r="M933" s="10" t="s">
        <v>12</v>
      </c>
      <c r="N933" s="12" t="e">
        <f>VLOOKUP(J933,'Site Allocation'!$B$2:$C$37,2,FALSE)</f>
        <v>#N/A</v>
      </c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</row>
    <row r="934" spans="1:25" x14ac:dyDescent="0.35">
      <c r="A934" s="19"/>
      <c r="B934" s="19"/>
      <c r="C934" s="19"/>
      <c r="D934" s="19"/>
      <c r="E934" s="19"/>
      <c r="F934" s="19"/>
      <c r="G934" s="19"/>
      <c r="H934" s="19"/>
      <c r="I934" s="19"/>
      <c r="J934" s="10" t="s">
        <v>12</v>
      </c>
      <c r="K934" s="10" t="s">
        <v>12</v>
      </c>
      <c r="L934" s="10" t="s">
        <v>12</v>
      </c>
      <c r="M934" s="10" t="s">
        <v>12</v>
      </c>
      <c r="N934" s="12" t="e">
        <f>VLOOKUP(J934,'Site Allocation'!$B$2:$C$37,2,FALSE)</f>
        <v>#N/A</v>
      </c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</row>
    <row r="935" spans="1:25" x14ac:dyDescent="0.35">
      <c r="A935" s="19"/>
      <c r="B935" s="19"/>
      <c r="C935" s="19"/>
      <c r="D935" s="19"/>
      <c r="E935" s="19"/>
      <c r="F935" s="19"/>
      <c r="G935" s="19"/>
      <c r="H935" s="19"/>
      <c r="I935" s="19"/>
      <c r="J935" s="10" t="s">
        <v>12</v>
      </c>
      <c r="K935" s="10" t="s">
        <v>12</v>
      </c>
      <c r="L935" s="10" t="s">
        <v>12</v>
      </c>
      <c r="M935" s="10" t="s">
        <v>12</v>
      </c>
      <c r="N935" s="12" t="e">
        <f>VLOOKUP(J935,'Site Allocation'!$B$2:$C$37,2,FALSE)</f>
        <v>#N/A</v>
      </c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</row>
    <row r="936" spans="1:25" x14ac:dyDescent="0.35">
      <c r="A936" s="19"/>
      <c r="B936" s="19"/>
      <c r="C936" s="19"/>
      <c r="D936" s="19"/>
      <c r="E936" s="19"/>
      <c r="F936" s="19"/>
      <c r="G936" s="19"/>
      <c r="H936" s="19"/>
      <c r="I936" s="19"/>
      <c r="J936" s="10" t="s">
        <v>12</v>
      </c>
      <c r="K936" s="10" t="s">
        <v>12</v>
      </c>
      <c r="L936" s="10" t="s">
        <v>12</v>
      </c>
      <c r="M936" s="10" t="s">
        <v>12</v>
      </c>
      <c r="N936" s="12" t="e">
        <f>VLOOKUP(J936,'Site Allocation'!$B$2:$C$37,2,FALSE)</f>
        <v>#N/A</v>
      </c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</row>
    <row r="937" spans="1:25" x14ac:dyDescent="0.35">
      <c r="A937" s="19"/>
      <c r="B937" s="19"/>
      <c r="C937" s="19"/>
      <c r="D937" s="19"/>
      <c r="E937" s="19"/>
      <c r="F937" s="19"/>
      <c r="G937" s="19"/>
      <c r="H937" s="19"/>
      <c r="I937" s="19"/>
      <c r="J937" s="10" t="s">
        <v>12</v>
      </c>
      <c r="K937" s="10" t="s">
        <v>12</v>
      </c>
      <c r="L937" s="10" t="s">
        <v>12</v>
      </c>
      <c r="M937" s="10" t="s">
        <v>12</v>
      </c>
      <c r="N937" s="12" t="e">
        <f>VLOOKUP(J937,'Site Allocation'!$B$2:$C$37,2,FALSE)</f>
        <v>#N/A</v>
      </c>
      <c r="O937" s="19"/>
      <c r="P937" s="19"/>
      <c r="Q937" s="19"/>
      <c r="R937" s="19"/>
      <c r="S937" s="19"/>
      <c r="T937" s="19"/>
      <c r="U937" s="19"/>
      <c r="V937" s="19"/>
      <c r="W937" s="19"/>
      <c r="X937" s="19"/>
      <c r="Y937" s="19"/>
    </row>
    <row r="938" spans="1:25" x14ac:dyDescent="0.35">
      <c r="A938" s="19"/>
      <c r="B938" s="19"/>
      <c r="C938" s="19"/>
      <c r="D938" s="19"/>
      <c r="E938" s="19"/>
      <c r="F938" s="19"/>
      <c r="G938" s="19"/>
      <c r="H938" s="19"/>
      <c r="I938" s="19"/>
      <c r="J938" s="10" t="s">
        <v>12</v>
      </c>
      <c r="K938" s="10" t="s">
        <v>12</v>
      </c>
      <c r="L938" s="10" t="s">
        <v>12</v>
      </c>
      <c r="M938" s="10" t="s">
        <v>12</v>
      </c>
      <c r="N938" s="12" t="e">
        <f>VLOOKUP(J938,'Site Allocation'!$B$2:$C$37,2,FALSE)</f>
        <v>#N/A</v>
      </c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</row>
    <row r="939" spans="1:25" x14ac:dyDescent="0.35">
      <c r="A939" s="19"/>
      <c r="B939" s="19"/>
      <c r="C939" s="19"/>
      <c r="D939" s="19"/>
      <c r="E939" s="19"/>
      <c r="F939" s="19"/>
      <c r="G939" s="19"/>
      <c r="H939" s="19"/>
      <c r="I939" s="19"/>
      <c r="J939" s="10" t="s">
        <v>12</v>
      </c>
      <c r="K939" s="10" t="s">
        <v>12</v>
      </c>
      <c r="L939" s="10" t="s">
        <v>12</v>
      </c>
      <c r="M939" s="10" t="s">
        <v>12</v>
      </c>
      <c r="N939" s="12" t="e">
        <f>VLOOKUP(J939,'Site Allocation'!$B$2:$C$37,2,FALSE)</f>
        <v>#N/A</v>
      </c>
      <c r="O939" s="19"/>
      <c r="P939" s="19"/>
      <c r="Q939" s="19"/>
      <c r="R939" s="19"/>
      <c r="S939" s="19"/>
      <c r="T939" s="19"/>
      <c r="U939" s="19"/>
      <c r="V939" s="19"/>
      <c r="W939" s="19"/>
      <c r="X939" s="19"/>
      <c r="Y939" s="19"/>
    </row>
    <row r="940" spans="1:25" x14ac:dyDescent="0.35">
      <c r="A940" s="19"/>
      <c r="B940" s="19"/>
      <c r="C940" s="19"/>
      <c r="D940" s="19"/>
      <c r="E940" s="19"/>
      <c r="F940" s="19"/>
      <c r="G940" s="19"/>
      <c r="H940" s="19"/>
      <c r="I940" s="19"/>
      <c r="J940" s="10" t="s">
        <v>12</v>
      </c>
      <c r="K940" s="10" t="s">
        <v>12</v>
      </c>
      <c r="L940" s="10" t="s">
        <v>12</v>
      </c>
      <c r="M940" s="10" t="s">
        <v>12</v>
      </c>
      <c r="N940" s="12" t="e">
        <f>VLOOKUP(J940,'Site Allocation'!$B$2:$C$37,2,FALSE)</f>
        <v>#N/A</v>
      </c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</row>
    <row r="941" spans="1:25" x14ac:dyDescent="0.35">
      <c r="A941" s="19"/>
      <c r="B941" s="19"/>
      <c r="C941" s="19"/>
      <c r="D941" s="19"/>
      <c r="E941" s="19"/>
      <c r="F941" s="19"/>
      <c r="G941" s="19"/>
      <c r="H941" s="19"/>
      <c r="I941" s="19"/>
      <c r="J941" s="10" t="s">
        <v>12</v>
      </c>
      <c r="K941" s="10" t="s">
        <v>12</v>
      </c>
      <c r="L941" s="10" t="s">
        <v>12</v>
      </c>
      <c r="M941" s="10" t="s">
        <v>12</v>
      </c>
      <c r="N941" s="12" t="e">
        <f>VLOOKUP(J941,'Site Allocation'!$B$2:$C$37,2,FALSE)</f>
        <v>#N/A</v>
      </c>
      <c r="O941" s="19"/>
      <c r="P941" s="19"/>
      <c r="Q941" s="19"/>
      <c r="R941" s="19"/>
      <c r="S941" s="19"/>
      <c r="T941" s="19"/>
      <c r="U941" s="19"/>
      <c r="V941" s="19"/>
      <c r="W941" s="19"/>
      <c r="X941" s="19"/>
      <c r="Y941" s="19"/>
    </row>
    <row r="942" spans="1:25" x14ac:dyDescent="0.35">
      <c r="A942" s="19"/>
      <c r="B942" s="19"/>
      <c r="C942" s="19"/>
      <c r="D942" s="19"/>
      <c r="E942" s="19"/>
      <c r="F942" s="19"/>
      <c r="G942" s="19"/>
      <c r="H942" s="19"/>
      <c r="I942" s="19"/>
      <c r="J942" s="10" t="s">
        <v>12</v>
      </c>
      <c r="K942" s="10" t="s">
        <v>12</v>
      </c>
      <c r="L942" s="10" t="s">
        <v>12</v>
      </c>
      <c r="M942" s="10" t="s">
        <v>12</v>
      </c>
      <c r="N942" s="12" t="e">
        <f>VLOOKUP(J942,'Site Allocation'!$B$2:$C$37,2,FALSE)</f>
        <v>#N/A</v>
      </c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</row>
    <row r="943" spans="1:25" x14ac:dyDescent="0.35">
      <c r="A943" s="19"/>
      <c r="B943" s="19"/>
      <c r="C943" s="19"/>
      <c r="D943" s="19"/>
      <c r="E943" s="19"/>
      <c r="F943" s="19"/>
      <c r="G943" s="19"/>
      <c r="H943" s="19"/>
      <c r="I943" s="19"/>
      <c r="J943" s="10" t="s">
        <v>12</v>
      </c>
      <c r="K943" s="10" t="s">
        <v>12</v>
      </c>
      <c r="L943" s="10" t="s">
        <v>12</v>
      </c>
      <c r="M943" s="10" t="s">
        <v>12</v>
      </c>
      <c r="N943" s="12" t="e">
        <f>VLOOKUP(J943,'Site Allocation'!$B$2:$C$37,2,FALSE)</f>
        <v>#N/A</v>
      </c>
      <c r="O943" s="19"/>
      <c r="P943" s="19"/>
      <c r="Q943" s="19"/>
      <c r="R943" s="19"/>
      <c r="S943" s="19"/>
      <c r="T943" s="19"/>
      <c r="U943" s="19"/>
      <c r="V943" s="19"/>
      <c r="W943" s="19"/>
      <c r="X943" s="19"/>
      <c r="Y943" s="19"/>
    </row>
    <row r="944" spans="1:25" x14ac:dyDescent="0.35">
      <c r="A944" s="19"/>
      <c r="B944" s="19"/>
      <c r="C944" s="19"/>
      <c r="D944" s="19"/>
      <c r="E944" s="19"/>
      <c r="F944" s="19"/>
      <c r="G944" s="19"/>
      <c r="H944" s="19"/>
      <c r="I944" s="19"/>
      <c r="J944" s="10" t="s">
        <v>12</v>
      </c>
      <c r="K944" s="10" t="s">
        <v>12</v>
      </c>
      <c r="L944" s="10" t="s">
        <v>12</v>
      </c>
      <c r="M944" s="10" t="s">
        <v>12</v>
      </c>
      <c r="N944" s="12" t="e">
        <f>VLOOKUP(J944,'Site Allocation'!$B$2:$C$37,2,FALSE)</f>
        <v>#N/A</v>
      </c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</row>
    <row r="945" spans="1:25" x14ac:dyDescent="0.35">
      <c r="A945" s="19"/>
      <c r="B945" s="19"/>
      <c r="C945" s="19"/>
      <c r="D945" s="19"/>
      <c r="E945" s="19"/>
      <c r="F945" s="19"/>
      <c r="G945" s="19"/>
      <c r="H945" s="19"/>
      <c r="I945" s="19"/>
      <c r="J945" s="10" t="s">
        <v>12</v>
      </c>
      <c r="K945" s="10" t="s">
        <v>12</v>
      </c>
      <c r="L945" s="10" t="s">
        <v>12</v>
      </c>
      <c r="M945" s="10" t="s">
        <v>12</v>
      </c>
      <c r="N945" s="12" t="e">
        <f>VLOOKUP(J945,'Site Allocation'!$B$2:$C$37,2,FALSE)</f>
        <v>#N/A</v>
      </c>
      <c r="O945" s="19"/>
      <c r="P945" s="19"/>
      <c r="Q945" s="19"/>
      <c r="R945" s="19"/>
      <c r="S945" s="19"/>
      <c r="T945" s="19"/>
      <c r="U945" s="19"/>
      <c r="V945" s="19"/>
      <c r="W945" s="19"/>
      <c r="X945" s="19"/>
      <c r="Y945" s="19"/>
    </row>
    <row r="946" spans="1:25" x14ac:dyDescent="0.35">
      <c r="A946" s="19"/>
      <c r="B946" s="19"/>
      <c r="C946" s="19"/>
      <c r="D946" s="19"/>
      <c r="E946" s="19"/>
      <c r="F946" s="19"/>
      <c r="G946" s="19"/>
      <c r="H946" s="19"/>
      <c r="I946" s="19"/>
      <c r="J946" s="10" t="s">
        <v>12</v>
      </c>
      <c r="K946" s="10" t="s">
        <v>12</v>
      </c>
      <c r="L946" s="10" t="s">
        <v>12</v>
      </c>
      <c r="M946" s="10" t="s">
        <v>12</v>
      </c>
      <c r="N946" s="12" t="e">
        <f>VLOOKUP(J946,'Site Allocation'!$B$2:$C$37,2,FALSE)</f>
        <v>#N/A</v>
      </c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</row>
    <row r="947" spans="1:25" x14ac:dyDescent="0.35">
      <c r="A947" s="19"/>
      <c r="B947" s="19"/>
      <c r="C947" s="19"/>
      <c r="D947" s="19"/>
      <c r="E947" s="19"/>
      <c r="F947" s="19"/>
      <c r="G947" s="19"/>
      <c r="H947" s="19"/>
      <c r="I947" s="19"/>
      <c r="J947" s="10" t="s">
        <v>12</v>
      </c>
      <c r="K947" s="10" t="s">
        <v>12</v>
      </c>
      <c r="L947" s="10" t="s">
        <v>12</v>
      </c>
      <c r="M947" s="10" t="s">
        <v>12</v>
      </c>
      <c r="N947" s="12" t="e">
        <f>VLOOKUP(J947,'Site Allocation'!$B$2:$C$37,2,FALSE)</f>
        <v>#N/A</v>
      </c>
      <c r="O947" s="19"/>
      <c r="P947" s="19"/>
      <c r="Q947" s="19"/>
      <c r="R947" s="19"/>
      <c r="S947" s="19"/>
      <c r="T947" s="19"/>
      <c r="U947" s="19"/>
      <c r="V947" s="19"/>
      <c r="W947" s="19"/>
      <c r="X947" s="19"/>
      <c r="Y947" s="19"/>
    </row>
    <row r="948" spans="1:25" x14ac:dyDescent="0.35">
      <c r="A948" s="19"/>
      <c r="B948" s="19"/>
      <c r="C948" s="19"/>
      <c r="D948" s="19"/>
      <c r="E948" s="19"/>
      <c r="F948" s="19"/>
      <c r="G948" s="19"/>
      <c r="H948" s="19"/>
      <c r="I948" s="19"/>
      <c r="J948" s="10" t="s">
        <v>12</v>
      </c>
      <c r="K948" s="10" t="s">
        <v>12</v>
      </c>
      <c r="L948" s="10" t="s">
        <v>12</v>
      </c>
      <c r="M948" s="10" t="s">
        <v>12</v>
      </c>
      <c r="N948" s="12" t="e">
        <f>VLOOKUP(J948,'Site Allocation'!$B$2:$C$37,2,FALSE)</f>
        <v>#N/A</v>
      </c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</row>
    <row r="949" spans="1:25" x14ac:dyDescent="0.35">
      <c r="A949" s="19"/>
      <c r="B949" s="19"/>
      <c r="C949" s="19"/>
      <c r="D949" s="19"/>
      <c r="E949" s="19"/>
      <c r="F949" s="19"/>
      <c r="G949" s="19"/>
      <c r="H949" s="19"/>
      <c r="I949" s="19"/>
      <c r="J949" s="10" t="s">
        <v>12</v>
      </c>
      <c r="K949" s="10" t="s">
        <v>12</v>
      </c>
      <c r="L949" s="10" t="s">
        <v>12</v>
      </c>
      <c r="M949" s="10" t="s">
        <v>12</v>
      </c>
      <c r="N949" s="12" t="e">
        <f>VLOOKUP(J949,'Site Allocation'!$B$2:$C$37,2,FALSE)</f>
        <v>#N/A</v>
      </c>
      <c r="O949" s="19"/>
      <c r="P949" s="19"/>
      <c r="Q949" s="19"/>
      <c r="R949" s="19"/>
      <c r="S949" s="19"/>
      <c r="T949" s="19"/>
      <c r="U949" s="19"/>
      <c r="V949" s="19"/>
      <c r="W949" s="19"/>
      <c r="X949" s="19"/>
      <c r="Y949" s="19"/>
    </row>
    <row r="950" spans="1:25" x14ac:dyDescent="0.35">
      <c r="A950" s="19"/>
      <c r="B950" s="19"/>
      <c r="C950" s="19"/>
      <c r="D950" s="19"/>
      <c r="E950" s="19"/>
      <c r="F950" s="19"/>
      <c r="G950" s="19"/>
      <c r="H950" s="19"/>
      <c r="I950" s="19"/>
      <c r="J950" s="10" t="s">
        <v>12</v>
      </c>
      <c r="K950" s="10" t="s">
        <v>12</v>
      </c>
      <c r="L950" s="10" t="s">
        <v>12</v>
      </c>
      <c r="M950" s="10" t="s">
        <v>12</v>
      </c>
      <c r="N950" s="12" t="e">
        <f>VLOOKUP(J950,'Site Allocation'!$B$2:$C$37,2,FALSE)</f>
        <v>#N/A</v>
      </c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</row>
    <row r="951" spans="1:25" x14ac:dyDescent="0.35">
      <c r="A951" s="19"/>
      <c r="B951" s="19"/>
      <c r="C951" s="19"/>
      <c r="D951" s="19"/>
      <c r="E951" s="19"/>
      <c r="F951" s="19"/>
      <c r="G951" s="19"/>
      <c r="H951" s="19"/>
      <c r="I951" s="19"/>
      <c r="J951" s="10" t="s">
        <v>12</v>
      </c>
      <c r="K951" s="10" t="s">
        <v>12</v>
      </c>
      <c r="L951" s="10" t="s">
        <v>12</v>
      </c>
      <c r="M951" s="10" t="s">
        <v>12</v>
      </c>
      <c r="N951" s="12" t="e">
        <f>VLOOKUP(J951,'Site Allocation'!$B$2:$C$37,2,FALSE)</f>
        <v>#N/A</v>
      </c>
      <c r="O951" s="19"/>
      <c r="P951" s="19"/>
      <c r="Q951" s="19"/>
      <c r="R951" s="19"/>
      <c r="S951" s="19"/>
      <c r="T951" s="19"/>
      <c r="U951" s="19"/>
      <c r="V951" s="19"/>
      <c r="W951" s="19"/>
      <c r="X951" s="19"/>
      <c r="Y951" s="19"/>
    </row>
    <row r="952" spans="1:25" x14ac:dyDescent="0.35">
      <c r="A952" s="19"/>
      <c r="B952" s="19"/>
      <c r="C952" s="19"/>
      <c r="D952" s="19"/>
      <c r="E952" s="19"/>
      <c r="F952" s="19"/>
      <c r="G952" s="19"/>
      <c r="H952" s="19"/>
      <c r="I952" s="19"/>
      <c r="J952" s="10" t="s">
        <v>12</v>
      </c>
      <c r="K952" s="10" t="s">
        <v>12</v>
      </c>
      <c r="L952" s="10" t="s">
        <v>12</v>
      </c>
      <c r="M952" s="10" t="s">
        <v>12</v>
      </c>
      <c r="N952" s="12" t="e">
        <f>VLOOKUP(J952,'Site Allocation'!$B$2:$C$37,2,FALSE)</f>
        <v>#N/A</v>
      </c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</row>
    <row r="953" spans="1:25" x14ac:dyDescent="0.35">
      <c r="A953" s="19"/>
      <c r="B953" s="19"/>
      <c r="C953" s="19"/>
      <c r="D953" s="19"/>
      <c r="E953" s="19"/>
      <c r="F953" s="19"/>
      <c r="G953" s="19"/>
      <c r="H953" s="19"/>
      <c r="I953" s="19"/>
      <c r="J953" s="10" t="s">
        <v>12</v>
      </c>
      <c r="K953" s="10" t="s">
        <v>12</v>
      </c>
      <c r="L953" s="10" t="s">
        <v>12</v>
      </c>
      <c r="M953" s="10" t="s">
        <v>12</v>
      </c>
      <c r="N953" s="12" t="e">
        <f>VLOOKUP(J953,'Site Allocation'!$B$2:$C$37,2,FALSE)</f>
        <v>#N/A</v>
      </c>
      <c r="O953" s="19"/>
      <c r="P953" s="19"/>
      <c r="Q953" s="19"/>
      <c r="R953" s="19"/>
      <c r="S953" s="19"/>
      <c r="T953" s="19"/>
      <c r="U953" s="19"/>
      <c r="V953" s="19"/>
      <c r="W953" s="19"/>
      <c r="X953" s="19"/>
      <c r="Y953" s="19"/>
    </row>
    <row r="954" spans="1:25" x14ac:dyDescent="0.35">
      <c r="A954" s="19"/>
      <c r="B954" s="19"/>
      <c r="C954" s="19"/>
      <c r="D954" s="19"/>
      <c r="E954" s="19"/>
      <c r="F954" s="19"/>
      <c r="G954" s="19"/>
      <c r="H954" s="19"/>
      <c r="I954" s="19"/>
      <c r="J954" s="10" t="s">
        <v>12</v>
      </c>
      <c r="K954" s="10" t="s">
        <v>12</v>
      </c>
      <c r="L954" s="10" t="s">
        <v>12</v>
      </c>
      <c r="M954" s="10" t="s">
        <v>12</v>
      </c>
      <c r="N954" s="12" t="e">
        <f>VLOOKUP(J954,'Site Allocation'!$B$2:$C$37,2,FALSE)</f>
        <v>#N/A</v>
      </c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</row>
    <row r="955" spans="1:25" x14ac:dyDescent="0.35">
      <c r="A955" s="19"/>
      <c r="B955" s="19"/>
      <c r="C955" s="19"/>
      <c r="D955" s="19"/>
      <c r="E955" s="19"/>
      <c r="F955" s="19"/>
      <c r="G955" s="19"/>
      <c r="H955" s="19"/>
      <c r="I955" s="19"/>
      <c r="J955" s="10" t="s">
        <v>12</v>
      </c>
      <c r="K955" s="10" t="s">
        <v>12</v>
      </c>
      <c r="L955" s="10" t="s">
        <v>12</v>
      </c>
      <c r="M955" s="10" t="s">
        <v>12</v>
      </c>
      <c r="N955" s="12" t="e">
        <f>VLOOKUP(J955,'Site Allocation'!$B$2:$C$37,2,FALSE)</f>
        <v>#N/A</v>
      </c>
      <c r="O955" s="19"/>
      <c r="P955" s="19"/>
      <c r="Q955" s="19"/>
      <c r="R955" s="19"/>
      <c r="S955" s="19"/>
      <c r="T955" s="19"/>
      <c r="U955" s="19"/>
      <c r="V955" s="19"/>
      <c r="W955" s="19"/>
      <c r="X955" s="19"/>
      <c r="Y955" s="19"/>
    </row>
    <row r="956" spans="1:25" x14ac:dyDescent="0.35">
      <c r="A956" s="19"/>
      <c r="B956" s="19"/>
      <c r="C956" s="19"/>
      <c r="D956" s="19"/>
      <c r="E956" s="19"/>
      <c r="F956" s="19"/>
      <c r="G956" s="19"/>
      <c r="H956" s="19"/>
      <c r="I956" s="19"/>
      <c r="J956" s="10" t="s">
        <v>12</v>
      </c>
      <c r="K956" s="10" t="s">
        <v>12</v>
      </c>
      <c r="L956" s="10" t="s">
        <v>12</v>
      </c>
      <c r="M956" s="10" t="s">
        <v>12</v>
      </c>
      <c r="N956" s="12" t="e">
        <f>VLOOKUP(J956,'Site Allocation'!$B$2:$C$37,2,FALSE)</f>
        <v>#N/A</v>
      </c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</row>
    <row r="957" spans="1:25" x14ac:dyDescent="0.35">
      <c r="A957" s="19"/>
      <c r="B957" s="19"/>
      <c r="C957" s="19"/>
      <c r="D957" s="19"/>
      <c r="E957" s="19"/>
      <c r="F957" s="19"/>
      <c r="G957" s="19"/>
      <c r="H957" s="19"/>
      <c r="I957" s="19"/>
      <c r="J957" s="10" t="s">
        <v>12</v>
      </c>
      <c r="K957" s="10" t="s">
        <v>12</v>
      </c>
      <c r="L957" s="10" t="s">
        <v>12</v>
      </c>
      <c r="M957" s="10" t="s">
        <v>12</v>
      </c>
      <c r="N957" s="12" t="e">
        <f>VLOOKUP(J957,'Site Allocation'!$B$2:$C$37,2,FALSE)</f>
        <v>#N/A</v>
      </c>
      <c r="O957" s="19"/>
      <c r="P957" s="19"/>
      <c r="Q957" s="19"/>
      <c r="R957" s="19"/>
      <c r="S957" s="19"/>
      <c r="T957" s="19"/>
      <c r="U957" s="19"/>
      <c r="V957" s="19"/>
      <c r="W957" s="19"/>
      <c r="X957" s="19"/>
      <c r="Y957" s="19"/>
    </row>
    <row r="958" spans="1:25" x14ac:dyDescent="0.35">
      <c r="A958" s="19"/>
      <c r="B958" s="19"/>
      <c r="C958" s="19"/>
      <c r="D958" s="19"/>
      <c r="E958" s="19"/>
      <c r="F958" s="19"/>
      <c r="G958" s="19"/>
      <c r="H958" s="19"/>
      <c r="I958" s="19"/>
      <c r="J958" s="10" t="s">
        <v>12</v>
      </c>
      <c r="K958" s="10" t="s">
        <v>12</v>
      </c>
      <c r="L958" s="10" t="s">
        <v>12</v>
      </c>
      <c r="M958" s="10" t="s">
        <v>12</v>
      </c>
      <c r="N958" s="12" t="e">
        <f>VLOOKUP(J958,'Site Allocation'!$B$2:$C$37,2,FALSE)</f>
        <v>#N/A</v>
      </c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</row>
    <row r="959" spans="1:25" x14ac:dyDescent="0.35">
      <c r="A959" s="19"/>
      <c r="B959" s="19"/>
      <c r="C959" s="19"/>
      <c r="D959" s="19"/>
      <c r="E959" s="19"/>
      <c r="F959" s="19"/>
      <c r="G959" s="19"/>
      <c r="H959" s="19"/>
      <c r="I959" s="19"/>
      <c r="J959" s="10" t="s">
        <v>12</v>
      </c>
      <c r="K959" s="10" t="s">
        <v>12</v>
      </c>
      <c r="L959" s="10" t="s">
        <v>12</v>
      </c>
      <c r="M959" s="10" t="s">
        <v>12</v>
      </c>
      <c r="N959" s="12" t="e">
        <f>VLOOKUP(J959,'Site Allocation'!$B$2:$C$37,2,FALSE)</f>
        <v>#N/A</v>
      </c>
      <c r="O959" s="19"/>
      <c r="P959" s="19"/>
      <c r="Q959" s="19"/>
      <c r="R959" s="19"/>
      <c r="S959" s="19"/>
      <c r="T959" s="19"/>
      <c r="U959" s="19"/>
      <c r="V959" s="19"/>
      <c r="W959" s="19"/>
      <c r="X959" s="19"/>
      <c r="Y959" s="19"/>
    </row>
    <row r="960" spans="1:25" x14ac:dyDescent="0.35">
      <c r="A960" s="19"/>
      <c r="B960" s="19"/>
      <c r="C960" s="19"/>
      <c r="D960" s="19"/>
      <c r="E960" s="19"/>
      <c r="F960" s="19"/>
      <c r="G960" s="19"/>
      <c r="H960" s="19"/>
      <c r="I960" s="19"/>
      <c r="J960" s="10" t="s">
        <v>12</v>
      </c>
      <c r="K960" s="10" t="s">
        <v>12</v>
      </c>
      <c r="L960" s="10" t="s">
        <v>12</v>
      </c>
      <c r="M960" s="10" t="s">
        <v>12</v>
      </c>
      <c r="N960" s="12" t="e">
        <f>VLOOKUP(J960,'Site Allocation'!$B$2:$C$37,2,FALSE)</f>
        <v>#N/A</v>
      </c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</row>
    <row r="961" spans="1:25" x14ac:dyDescent="0.35">
      <c r="A961" s="19"/>
      <c r="B961" s="19"/>
      <c r="C961" s="19"/>
      <c r="D961" s="19"/>
      <c r="E961" s="19"/>
      <c r="F961" s="19"/>
      <c r="G961" s="19"/>
      <c r="H961" s="19"/>
      <c r="I961" s="19"/>
      <c r="J961" s="10" t="s">
        <v>12</v>
      </c>
      <c r="K961" s="10" t="s">
        <v>12</v>
      </c>
      <c r="L961" s="10" t="s">
        <v>12</v>
      </c>
      <c r="M961" s="10" t="s">
        <v>12</v>
      </c>
      <c r="N961" s="12" t="e">
        <f>VLOOKUP(J961,'Site Allocation'!$B$2:$C$37,2,FALSE)</f>
        <v>#N/A</v>
      </c>
      <c r="O961" s="19"/>
      <c r="P961" s="19"/>
      <c r="Q961" s="19"/>
      <c r="R961" s="19"/>
      <c r="S961" s="19"/>
      <c r="T961" s="19"/>
      <c r="U961" s="19"/>
      <c r="V961" s="19"/>
      <c r="W961" s="19"/>
      <c r="X961" s="19"/>
      <c r="Y961" s="19"/>
    </row>
    <row r="962" spans="1:25" x14ac:dyDescent="0.35">
      <c r="A962" s="19"/>
      <c r="B962" s="19"/>
      <c r="C962" s="19"/>
      <c r="D962" s="19"/>
      <c r="E962" s="19"/>
      <c r="F962" s="19"/>
      <c r="G962" s="19"/>
      <c r="H962" s="19"/>
      <c r="I962" s="19"/>
      <c r="J962" s="10" t="s">
        <v>12</v>
      </c>
      <c r="K962" s="10" t="s">
        <v>12</v>
      </c>
      <c r="L962" s="10" t="s">
        <v>12</v>
      </c>
      <c r="M962" s="10" t="s">
        <v>12</v>
      </c>
      <c r="N962" s="12" t="e">
        <f>VLOOKUP(J962,'Site Allocation'!$B$2:$C$37,2,FALSE)</f>
        <v>#N/A</v>
      </c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</row>
    <row r="963" spans="1:25" x14ac:dyDescent="0.35">
      <c r="A963" s="19"/>
      <c r="B963" s="19"/>
      <c r="C963" s="19"/>
      <c r="D963" s="19"/>
      <c r="E963" s="19"/>
      <c r="F963" s="19"/>
      <c r="G963" s="19"/>
      <c r="H963" s="19"/>
      <c r="I963" s="19"/>
      <c r="J963" s="10" t="s">
        <v>12</v>
      </c>
      <c r="K963" s="10" t="s">
        <v>12</v>
      </c>
      <c r="L963" s="10" t="s">
        <v>12</v>
      </c>
      <c r="M963" s="10" t="s">
        <v>12</v>
      </c>
      <c r="N963" s="12" t="e">
        <f>VLOOKUP(J963,'Site Allocation'!$B$2:$C$37,2,FALSE)</f>
        <v>#N/A</v>
      </c>
      <c r="O963" s="19"/>
      <c r="P963" s="19"/>
      <c r="Q963" s="19"/>
      <c r="R963" s="19"/>
      <c r="S963" s="19"/>
      <c r="T963" s="19"/>
      <c r="U963" s="19"/>
      <c r="V963" s="19"/>
      <c r="W963" s="19"/>
      <c r="X963" s="19"/>
      <c r="Y963" s="19"/>
    </row>
    <row r="964" spans="1:25" x14ac:dyDescent="0.35">
      <c r="A964" s="19"/>
      <c r="B964" s="19"/>
      <c r="C964" s="19"/>
      <c r="D964" s="19"/>
      <c r="E964" s="19"/>
      <c r="F964" s="19"/>
      <c r="G964" s="19"/>
      <c r="H964" s="19"/>
      <c r="I964" s="19"/>
      <c r="J964" s="10" t="s">
        <v>12</v>
      </c>
      <c r="K964" s="10" t="s">
        <v>12</v>
      </c>
      <c r="L964" s="10" t="s">
        <v>12</v>
      </c>
      <c r="M964" s="10" t="s">
        <v>12</v>
      </c>
      <c r="N964" s="12" t="e">
        <f>VLOOKUP(J964,'Site Allocation'!$B$2:$C$37,2,FALSE)</f>
        <v>#N/A</v>
      </c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</row>
    <row r="965" spans="1:25" x14ac:dyDescent="0.35">
      <c r="A965" s="19"/>
      <c r="B965" s="19"/>
      <c r="C965" s="19"/>
      <c r="D965" s="19"/>
      <c r="E965" s="19"/>
      <c r="F965" s="19"/>
      <c r="G965" s="19"/>
      <c r="H965" s="19"/>
      <c r="I965" s="19"/>
      <c r="J965" s="10" t="s">
        <v>12</v>
      </c>
      <c r="K965" s="10" t="s">
        <v>12</v>
      </c>
      <c r="L965" s="10" t="s">
        <v>12</v>
      </c>
      <c r="M965" s="10" t="s">
        <v>12</v>
      </c>
      <c r="N965" s="12" t="e">
        <f>VLOOKUP(J965,'Site Allocation'!$B$2:$C$37,2,FALSE)</f>
        <v>#N/A</v>
      </c>
      <c r="O965" s="19"/>
      <c r="P965" s="19"/>
      <c r="Q965" s="19"/>
      <c r="R965" s="19"/>
      <c r="S965" s="19"/>
      <c r="T965" s="19"/>
      <c r="U965" s="19"/>
      <c r="V965" s="19"/>
      <c r="W965" s="19"/>
      <c r="X965" s="19"/>
      <c r="Y965" s="19"/>
    </row>
    <row r="966" spans="1:25" x14ac:dyDescent="0.35">
      <c r="A966" s="19"/>
      <c r="B966" s="19"/>
      <c r="C966" s="19"/>
      <c r="D966" s="19"/>
      <c r="E966" s="19"/>
      <c r="F966" s="19"/>
      <c r="G966" s="19"/>
      <c r="H966" s="19"/>
      <c r="I966" s="19"/>
      <c r="J966" s="10" t="s">
        <v>12</v>
      </c>
      <c r="K966" s="10" t="s">
        <v>12</v>
      </c>
      <c r="L966" s="10" t="s">
        <v>12</v>
      </c>
      <c r="M966" s="10" t="s">
        <v>12</v>
      </c>
      <c r="N966" s="12" t="e">
        <f>VLOOKUP(J966,'Site Allocation'!$B$2:$C$37,2,FALSE)</f>
        <v>#N/A</v>
      </c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</row>
    <row r="967" spans="1:25" x14ac:dyDescent="0.35">
      <c r="A967" s="19"/>
      <c r="B967" s="19"/>
      <c r="C967" s="19"/>
      <c r="D967" s="19"/>
      <c r="E967" s="19"/>
      <c r="F967" s="19"/>
      <c r="G967" s="19"/>
      <c r="H967" s="19"/>
      <c r="I967" s="19"/>
      <c r="J967" s="10" t="s">
        <v>12</v>
      </c>
      <c r="K967" s="10" t="s">
        <v>12</v>
      </c>
      <c r="L967" s="10" t="s">
        <v>12</v>
      </c>
      <c r="M967" s="10" t="s">
        <v>12</v>
      </c>
      <c r="N967" s="12" t="e">
        <f>VLOOKUP(J967,'Site Allocation'!$B$2:$C$37,2,FALSE)</f>
        <v>#N/A</v>
      </c>
      <c r="O967" s="19"/>
      <c r="P967" s="19"/>
      <c r="Q967" s="19"/>
      <c r="R967" s="19"/>
      <c r="S967" s="19"/>
      <c r="T967" s="19"/>
      <c r="U967" s="19"/>
      <c r="V967" s="19"/>
      <c r="W967" s="19"/>
      <c r="X967" s="19"/>
      <c r="Y967" s="19"/>
    </row>
    <row r="968" spans="1:25" x14ac:dyDescent="0.35">
      <c r="A968" s="19"/>
      <c r="B968" s="19"/>
      <c r="C968" s="19"/>
      <c r="D968" s="19"/>
      <c r="E968" s="19"/>
      <c r="F968" s="19"/>
      <c r="G968" s="19"/>
      <c r="H968" s="19"/>
      <c r="I968" s="19"/>
      <c r="J968" s="10" t="s">
        <v>12</v>
      </c>
      <c r="K968" s="10" t="s">
        <v>12</v>
      </c>
      <c r="L968" s="10" t="s">
        <v>12</v>
      </c>
      <c r="M968" s="10" t="s">
        <v>12</v>
      </c>
      <c r="N968" s="12" t="e">
        <f>VLOOKUP(J968,'Site Allocation'!$B$2:$C$37,2,FALSE)</f>
        <v>#N/A</v>
      </c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</row>
    <row r="969" spans="1:25" x14ac:dyDescent="0.35">
      <c r="A969" s="19"/>
      <c r="B969" s="19"/>
      <c r="C969" s="19"/>
      <c r="D969" s="19"/>
      <c r="E969" s="19"/>
      <c r="F969" s="19"/>
      <c r="G969" s="19"/>
      <c r="H969" s="19"/>
      <c r="I969" s="19"/>
      <c r="J969" s="10" t="s">
        <v>12</v>
      </c>
      <c r="K969" s="10" t="s">
        <v>12</v>
      </c>
      <c r="L969" s="10" t="s">
        <v>12</v>
      </c>
      <c r="M969" s="10" t="s">
        <v>12</v>
      </c>
      <c r="N969" s="12" t="e">
        <f>VLOOKUP(J969,'Site Allocation'!$B$2:$C$37,2,FALSE)</f>
        <v>#N/A</v>
      </c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</row>
    <row r="970" spans="1:25" x14ac:dyDescent="0.35">
      <c r="A970" s="19"/>
      <c r="B970" s="19"/>
      <c r="C970" s="19"/>
      <c r="D970" s="19"/>
      <c r="E970" s="19"/>
      <c r="F970" s="19"/>
      <c r="G970" s="19"/>
      <c r="H970" s="19"/>
      <c r="I970" s="19"/>
      <c r="J970" s="10" t="s">
        <v>12</v>
      </c>
      <c r="K970" s="10" t="s">
        <v>12</v>
      </c>
      <c r="L970" s="10" t="s">
        <v>12</v>
      </c>
      <c r="M970" s="10" t="s">
        <v>12</v>
      </c>
      <c r="N970" s="12" t="e">
        <f>VLOOKUP(J970,'Site Allocation'!$B$2:$C$37,2,FALSE)</f>
        <v>#N/A</v>
      </c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</row>
    <row r="971" spans="1:25" x14ac:dyDescent="0.35">
      <c r="A971" s="19"/>
      <c r="B971" s="19"/>
      <c r="C971" s="19"/>
      <c r="D971" s="19"/>
      <c r="E971" s="19"/>
      <c r="F971" s="19"/>
      <c r="G971" s="19"/>
      <c r="H971" s="19"/>
      <c r="I971" s="19"/>
      <c r="J971" s="10" t="s">
        <v>12</v>
      </c>
      <c r="K971" s="10" t="s">
        <v>12</v>
      </c>
      <c r="L971" s="10" t="s">
        <v>12</v>
      </c>
      <c r="M971" s="10" t="s">
        <v>12</v>
      </c>
      <c r="N971" s="12" t="e">
        <f>VLOOKUP(J971,'Site Allocation'!$B$2:$C$37,2,FALSE)</f>
        <v>#N/A</v>
      </c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</row>
    <row r="972" spans="1:25" x14ac:dyDescent="0.35">
      <c r="A972" s="19"/>
      <c r="B972" s="19"/>
      <c r="C972" s="19"/>
      <c r="D972" s="19"/>
      <c r="E972" s="19"/>
      <c r="F972" s="19"/>
      <c r="G972" s="19"/>
      <c r="H972" s="19"/>
      <c r="I972" s="19"/>
      <c r="J972" s="10" t="s">
        <v>12</v>
      </c>
      <c r="K972" s="10" t="s">
        <v>12</v>
      </c>
      <c r="L972" s="10" t="s">
        <v>12</v>
      </c>
      <c r="M972" s="10" t="s">
        <v>12</v>
      </c>
      <c r="N972" s="12" t="e">
        <f>VLOOKUP(J972,'Site Allocation'!$B$2:$C$37,2,FALSE)</f>
        <v>#N/A</v>
      </c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</row>
    <row r="973" spans="1:25" x14ac:dyDescent="0.35">
      <c r="A973" s="19"/>
      <c r="B973" s="19"/>
      <c r="C973" s="19"/>
      <c r="D973" s="19"/>
      <c r="E973" s="19"/>
      <c r="F973" s="19"/>
      <c r="G973" s="19"/>
      <c r="H973" s="19"/>
      <c r="I973" s="19"/>
      <c r="J973" s="10" t="s">
        <v>12</v>
      </c>
      <c r="K973" s="10" t="s">
        <v>12</v>
      </c>
      <c r="L973" s="10" t="s">
        <v>12</v>
      </c>
      <c r="M973" s="10" t="s">
        <v>12</v>
      </c>
      <c r="N973" s="12" t="e">
        <f>VLOOKUP(J973,'Site Allocation'!$B$2:$C$37,2,FALSE)</f>
        <v>#N/A</v>
      </c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</row>
    <row r="974" spans="1:25" x14ac:dyDescent="0.35">
      <c r="A974" s="19"/>
      <c r="B974" s="19"/>
      <c r="C974" s="19"/>
      <c r="D974" s="19"/>
      <c r="E974" s="19"/>
      <c r="F974" s="19"/>
      <c r="G974" s="19"/>
      <c r="H974" s="19"/>
      <c r="I974" s="19"/>
      <c r="J974" s="10" t="s">
        <v>12</v>
      </c>
      <c r="K974" s="10" t="s">
        <v>12</v>
      </c>
      <c r="L974" s="10" t="s">
        <v>12</v>
      </c>
      <c r="M974" s="10" t="s">
        <v>12</v>
      </c>
      <c r="N974" s="12" t="e">
        <f>VLOOKUP(J974,'Site Allocation'!$B$2:$C$37,2,FALSE)</f>
        <v>#N/A</v>
      </c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</row>
    <row r="975" spans="1:25" x14ac:dyDescent="0.35">
      <c r="A975" s="19"/>
      <c r="B975" s="19"/>
      <c r="C975" s="19"/>
      <c r="D975" s="19"/>
      <c r="E975" s="19"/>
      <c r="F975" s="19"/>
      <c r="G975" s="19"/>
      <c r="H975" s="19"/>
      <c r="I975" s="19"/>
      <c r="J975" s="10" t="s">
        <v>12</v>
      </c>
      <c r="K975" s="10" t="s">
        <v>12</v>
      </c>
      <c r="L975" s="10" t="s">
        <v>12</v>
      </c>
      <c r="M975" s="10" t="s">
        <v>12</v>
      </c>
      <c r="N975" s="12" t="e">
        <f>VLOOKUP(J975,'Site Allocation'!$B$2:$C$37,2,FALSE)</f>
        <v>#N/A</v>
      </c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</row>
    <row r="976" spans="1:25" x14ac:dyDescent="0.35">
      <c r="A976" s="19"/>
      <c r="B976" s="19"/>
      <c r="C976" s="19"/>
      <c r="D976" s="19"/>
      <c r="E976" s="19"/>
      <c r="F976" s="19"/>
      <c r="G976" s="19"/>
      <c r="H976" s="19"/>
      <c r="I976" s="19"/>
      <c r="J976" s="10" t="s">
        <v>12</v>
      </c>
      <c r="K976" s="10" t="s">
        <v>12</v>
      </c>
      <c r="L976" s="10" t="s">
        <v>12</v>
      </c>
      <c r="M976" s="10" t="s">
        <v>12</v>
      </c>
      <c r="N976" s="12" t="e">
        <f>VLOOKUP(J976,'Site Allocation'!$B$2:$C$37,2,FALSE)</f>
        <v>#N/A</v>
      </c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</row>
    <row r="977" spans="1:25" x14ac:dyDescent="0.35">
      <c r="A977" s="19"/>
      <c r="B977" s="19"/>
      <c r="C977" s="19"/>
      <c r="D977" s="19"/>
      <c r="E977" s="19"/>
      <c r="F977" s="19"/>
      <c r="G977" s="19"/>
      <c r="H977" s="19"/>
      <c r="I977" s="19"/>
      <c r="J977" s="10" t="s">
        <v>12</v>
      </c>
      <c r="K977" s="10" t="s">
        <v>12</v>
      </c>
      <c r="L977" s="10" t="s">
        <v>12</v>
      </c>
      <c r="M977" s="10" t="s">
        <v>12</v>
      </c>
      <c r="N977" s="12" t="e">
        <f>VLOOKUP(J977,'Site Allocation'!$B$2:$C$37,2,FALSE)</f>
        <v>#N/A</v>
      </c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</row>
    <row r="978" spans="1:25" x14ac:dyDescent="0.35">
      <c r="A978" s="19"/>
      <c r="B978" s="19"/>
      <c r="C978" s="19"/>
      <c r="D978" s="19"/>
      <c r="E978" s="19"/>
      <c r="F978" s="19"/>
      <c r="G978" s="19"/>
      <c r="H978" s="19"/>
      <c r="I978" s="19"/>
      <c r="J978" s="10" t="s">
        <v>12</v>
      </c>
      <c r="K978" s="10" t="s">
        <v>12</v>
      </c>
      <c r="L978" s="10" t="s">
        <v>12</v>
      </c>
      <c r="M978" s="10" t="s">
        <v>12</v>
      </c>
      <c r="N978" s="12" t="e">
        <f>VLOOKUP(J978,'Site Allocation'!$B$2:$C$37,2,FALSE)</f>
        <v>#N/A</v>
      </c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</row>
    <row r="979" spans="1:25" x14ac:dyDescent="0.35">
      <c r="A979" s="19"/>
      <c r="B979" s="19"/>
      <c r="C979" s="19"/>
      <c r="D979" s="19"/>
      <c r="E979" s="19"/>
      <c r="F979" s="19"/>
      <c r="G979" s="19"/>
      <c r="H979" s="19"/>
      <c r="I979" s="19"/>
      <c r="J979" s="10" t="s">
        <v>12</v>
      </c>
      <c r="K979" s="10" t="s">
        <v>12</v>
      </c>
      <c r="L979" s="10" t="s">
        <v>12</v>
      </c>
      <c r="M979" s="10" t="s">
        <v>12</v>
      </c>
      <c r="N979" s="12" t="e">
        <f>VLOOKUP(J979,'Site Allocation'!$B$2:$C$37,2,FALSE)</f>
        <v>#N/A</v>
      </c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</row>
    <row r="980" spans="1:25" x14ac:dyDescent="0.35">
      <c r="A980" s="19"/>
      <c r="B980" s="19"/>
      <c r="C980" s="19"/>
      <c r="D980" s="19"/>
      <c r="E980" s="19"/>
      <c r="F980" s="19"/>
      <c r="G980" s="19"/>
      <c r="H980" s="19"/>
      <c r="I980" s="19"/>
      <c r="J980" s="10" t="s">
        <v>12</v>
      </c>
      <c r="K980" s="10" t="s">
        <v>12</v>
      </c>
      <c r="L980" s="10" t="s">
        <v>12</v>
      </c>
      <c r="M980" s="10" t="s">
        <v>12</v>
      </c>
      <c r="N980" s="12" t="e">
        <f>VLOOKUP(J980,'Site Allocation'!$B$2:$C$37,2,FALSE)</f>
        <v>#N/A</v>
      </c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</row>
    <row r="981" spans="1:25" x14ac:dyDescent="0.35">
      <c r="A981" s="19"/>
      <c r="B981" s="19"/>
      <c r="C981" s="19"/>
      <c r="D981" s="19"/>
      <c r="E981" s="19"/>
      <c r="F981" s="19"/>
      <c r="G981" s="19"/>
      <c r="H981" s="19"/>
      <c r="I981" s="19"/>
      <c r="J981" s="10" t="s">
        <v>12</v>
      </c>
      <c r="K981" s="10" t="s">
        <v>12</v>
      </c>
      <c r="L981" s="10" t="s">
        <v>12</v>
      </c>
      <c r="M981" s="10" t="s">
        <v>12</v>
      </c>
      <c r="N981" s="12" t="e">
        <f>VLOOKUP(J981,'Site Allocation'!$B$2:$C$37,2,FALSE)</f>
        <v>#N/A</v>
      </c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</row>
    <row r="982" spans="1:25" x14ac:dyDescent="0.35">
      <c r="A982" s="19"/>
      <c r="B982" s="19"/>
      <c r="C982" s="19"/>
      <c r="D982" s="19"/>
      <c r="E982" s="19"/>
      <c r="F982" s="19"/>
      <c r="G982" s="19"/>
      <c r="H982" s="19"/>
      <c r="I982" s="19"/>
      <c r="J982" s="10" t="s">
        <v>12</v>
      </c>
      <c r="K982" s="10" t="s">
        <v>12</v>
      </c>
      <c r="L982" s="10" t="s">
        <v>12</v>
      </c>
      <c r="M982" s="10" t="s">
        <v>12</v>
      </c>
      <c r="N982" s="12" t="e">
        <f>VLOOKUP(J982,'Site Allocation'!$B$2:$C$37,2,FALSE)</f>
        <v>#N/A</v>
      </c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</row>
    <row r="983" spans="1:25" x14ac:dyDescent="0.35">
      <c r="A983" s="19"/>
      <c r="B983" s="19"/>
      <c r="C983" s="19"/>
      <c r="D983" s="19"/>
      <c r="E983" s="19"/>
      <c r="F983" s="19"/>
      <c r="G983" s="19"/>
      <c r="H983" s="19"/>
      <c r="I983" s="19"/>
      <c r="J983" s="10" t="s">
        <v>12</v>
      </c>
      <c r="K983" s="10" t="s">
        <v>12</v>
      </c>
      <c r="L983" s="10" t="s">
        <v>12</v>
      </c>
      <c r="M983" s="10" t="s">
        <v>12</v>
      </c>
      <c r="N983" s="12" t="e">
        <f>VLOOKUP(J983,'Site Allocation'!$B$2:$C$37,2,FALSE)</f>
        <v>#N/A</v>
      </c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</row>
    <row r="984" spans="1:25" x14ac:dyDescent="0.35">
      <c r="A984" s="19"/>
      <c r="B984" s="19"/>
      <c r="C984" s="19"/>
      <c r="D984" s="19"/>
      <c r="E984" s="19"/>
      <c r="F984" s="19"/>
      <c r="G984" s="19"/>
      <c r="H984" s="19"/>
      <c r="I984" s="19"/>
      <c r="J984" s="10" t="s">
        <v>12</v>
      </c>
      <c r="K984" s="10" t="s">
        <v>12</v>
      </c>
      <c r="L984" s="10" t="s">
        <v>12</v>
      </c>
      <c r="M984" s="10" t="s">
        <v>12</v>
      </c>
      <c r="N984" s="12" t="e">
        <f>VLOOKUP(J984,'Site Allocation'!$B$2:$C$37,2,FALSE)</f>
        <v>#N/A</v>
      </c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</row>
    <row r="985" spans="1:25" x14ac:dyDescent="0.35">
      <c r="A985" s="19"/>
      <c r="B985" s="19"/>
      <c r="C985" s="19"/>
      <c r="D985" s="19"/>
      <c r="E985" s="19"/>
      <c r="F985" s="19"/>
      <c r="G985" s="19"/>
      <c r="H985" s="19"/>
      <c r="I985" s="19"/>
      <c r="J985" s="10" t="s">
        <v>12</v>
      </c>
      <c r="K985" s="10" t="s">
        <v>12</v>
      </c>
      <c r="L985" s="10" t="s">
        <v>12</v>
      </c>
      <c r="M985" s="10" t="s">
        <v>12</v>
      </c>
      <c r="N985" s="12" t="e">
        <f>VLOOKUP(J985,'Site Allocation'!$B$2:$C$37,2,FALSE)</f>
        <v>#N/A</v>
      </c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</row>
    <row r="986" spans="1:25" x14ac:dyDescent="0.35">
      <c r="A986" s="19"/>
      <c r="B986" s="19"/>
      <c r="C986" s="19"/>
      <c r="D986" s="19"/>
      <c r="E986" s="19"/>
      <c r="F986" s="19"/>
      <c r="G986" s="19"/>
      <c r="H986" s="19"/>
      <c r="I986" s="19"/>
      <c r="J986" s="10" t="s">
        <v>12</v>
      </c>
      <c r="K986" s="10" t="s">
        <v>12</v>
      </c>
      <c r="L986" s="10" t="s">
        <v>12</v>
      </c>
      <c r="M986" s="10" t="s">
        <v>12</v>
      </c>
      <c r="N986" s="12" t="e">
        <f>VLOOKUP(J986,'Site Allocation'!$B$2:$C$37,2,FALSE)</f>
        <v>#N/A</v>
      </c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</row>
    <row r="987" spans="1:25" x14ac:dyDescent="0.35">
      <c r="A987" s="19"/>
      <c r="B987" s="19"/>
      <c r="C987" s="19"/>
      <c r="D987" s="19"/>
      <c r="E987" s="19"/>
      <c r="F987" s="19"/>
      <c r="G987" s="19"/>
      <c r="H987" s="19"/>
      <c r="I987" s="19"/>
      <c r="J987" s="10" t="s">
        <v>12</v>
      </c>
      <c r="K987" s="10" t="s">
        <v>12</v>
      </c>
      <c r="L987" s="10" t="s">
        <v>12</v>
      </c>
      <c r="M987" s="10" t="s">
        <v>12</v>
      </c>
      <c r="N987" s="12" t="e">
        <f>VLOOKUP(J987,'Site Allocation'!$B$2:$C$37,2,FALSE)</f>
        <v>#N/A</v>
      </c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</row>
    <row r="988" spans="1:25" x14ac:dyDescent="0.35">
      <c r="A988" s="19"/>
      <c r="B988" s="19"/>
      <c r="C988" s="19"/>
      <c r="D988" s="19"/>
      <c r="E988" s="19"/>
      <c r="F988" s="19"/>
      <c r="G988" s="19"/>
      <c r="H988" s="19"/>
      <c r="I988" s="19"/>
      <c r="J988" s="10" t="s">
        <v>12</v>
      </c>
      <c r="K988" s="10" t="s">
        <v>12</v>
      </c>
      <c r="L988" s="10" t="s">
        <v>12</v>
      </c>
      <c r="M988" s="10" t="s">
        <v>12</v>
      </c>
      <c r="N988" s="12" t="e">
        <f>VLOOKUP(J988,'Site Allocation'!$B$2:$C$37,2,FALSE)</f>
        <v>#N/A</v>
      </c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</row>
    <row r="989" spans="1:25" x14ac:dyDescent="0.35">
      <c r="A989" s="19"/>
      <c r="B989" s="19"/>
      <c r="C989" s="19"/>
      <c r="D989" s="19"/>
      <c r="E989" s="19"/>
      <c r="F989" s="19"/>
      <c r="G989" s="19"/>
      <c r="H989" s="19"/>
      <c r="I989" s="19"/>
      <c r="J989" s="10" t="s">
        <v>12</v>
      </c>
      <c r="K989" s="10" t="s">
        <v>12</v>
      </c>
      <c r="L989" s="10" t="s">
        <v>12</v>
      </c>
      <c r="M989" s="10" t="s">
        <v>12</v>
      </c>
      <c r="N989" s="12" t="e">
        <f>VLOOKUP(J989,'Site Allocation'!$B$2:$C$37,2,FALSE)</f>
        <v>#N/A</v>
      </c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</row>
    <row r="990" spans="1:25" x14ac:dyDescent="0.35">
      <c r="A990" s="19"/>
      <c r="B990" s="19"/>
      <c r="C990" s="19"/>
      <c r="D990" s="19"/>
      <c r="E990" s="19"/>
      <c r="F990" s="19"/>
      <c r="G990" s="19"/>
      <c r="H990" s="19"/>
      <c r="I990" s="19"/>
      <c r="J990" s="10" t="s">
        <v>12</v>
      </c>
      <c r="K990" s="10" t="s">
        <v>12</v>
      </c>
      <c r="L990" s="10" t="s">
        <v>12</v>
      </c>
      <c r="M990" s="10" t="s">
        <v>12</v>
      </c>
      <c r="N990" s="12" t="e">
        <f>VLOOKUP(J990,'Site Allocation'!$B$2:$C$37,2,FALSE)</f>
        <v>#N/A</v>
      </c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</row>
    <row r="991" spans="1:25" x14ac:dyDescent="0.35">
      <c r="A991" s="19"/>
      <c r="B991" s="19"/>
      <c r="C991" s="19"/>
      <c r="D991" s="19"/>
      <c r="E991" s="19"/>
      <c r="F991" s="19"/>
      <c r="G991" s="19"/>
      <c r="H991" s="19"/>
      <c r="I991" s="19"/>
      <c r="J991" s="10" t="s">
        <v>12</v>
      </c>
      <c r="K991" s="10" t="s">
        <v>12</v>
      </c>
      <c r="L991" s="10" t="s">
        <v>12</v>
      </c>
      <c r="M991" s="10" t="s">
        <v>12</v>
      </c>
      <c r="N991" s="12" t="e">
        <f>VLOOKUP(J991,'Site Allocation'!$B$2:$C$37,2,FALSE)</f>
        <v>#N/A</v>
      </c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</row>
    <row r="992" spans="1:25" x14ac:dyDescent="0.35">
      <c r="A992" s="19"/>
      <c r="B992" s="19"/>
      <c r="C992" s="19"/>
      <c r="D992" s="19"/>
      <c r="E992" s="19"/>
      <c r="F992" s="19"/>
      <c r="G992" s="19"/>
      <c r="H992" s="19"/>
      <c r="I992" s="19"/>
      <c r="J992" s="10" t="s">
        <v>12</v>
      </c>
      <c r="K992" s="10" t="s">
        <v>12</v>
      </c>
      <c r="L992" s="10" t="s">
        <v>12</v>
      </c>
      <c r="M992" s="10" t="s">
        <v>12</v>
      </c>
      <c r="N992" s="12" t="e">
        <f>VLOOKUP(J992,'Site Allocation'!$B$2:$C$37,2,FALSE)</f>
        <v>#N/A</v>
      </c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</row>
    <row r="993" spans="1:25" x14ac:dyDescent="0.35">
      <c r="A993" s="19"/>
      <c r="B993" s="19"/>
      <c r="C993" s="19"/>
      <c r="D993" s="19"/>
      <c r="E993" s="19"/>
      <c r="F993" s="19"/>
      <c r="G993" s="19"/>
      <c r="H993" s="19"/>
      <c r="I993" s="19"/>
      <c r="J993" s="10" t="s">
        <v>12</v>
      </c>
      <c r="K993" s="10" t="s">
        <v>12</v>
      </c>
      <c r="L993" s="10" t="s">
        <v>12</v>
      </c>
      <c r="M993" s="10" t="s">
        <v>12</v>
      </c>
      <c r="N993" s="12" t="e">
        <f>VLOOKUP(J993,'Site Allocation'!$B$2:$C$37,2,FALSE)</f>
        <v>#N/A</v>
      </c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</row>
    <row r="994" spans="1:25" x14ac:dyDescent="0.35">
      <c r="A994" s="19"/>
      <c r="B994" s="19"/>
      <c r="C994" s="19"/>
      <c r="D994" s="19"/>
      <c r="E994" s="19"/>
      <c r="F994" s="19"/>
      <c r="G994" s="19"/>
      <c r="H994" s="19"/>
      <c r="I994" s="19"/>
      <c r="J994" s="10" t="s">
        <v>12</v>
      </c>
      <c r="K994" s="10" t="s">
        <v>12</v>
      </c>
      <c r="L994" s="10" t="s">
        <v>12</v>
      </c>
      <c r="M994" s="10" t="s">
        <v>12</v>
      </c>
      <c r="N994" s="12" t="e">
        <f>VLOOKUP(J994,'Site Allocation'!$B$2:$C$37,2,FALSE)</f>
        <v>#N/A</v>
      </c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</row>
    <row r="995" spans="1:25" x14ac:dyDescent="0.35">
      <c r="A995" s="19"/>
      <c r="B995" s="19"/>
      <c r="C995" s="19"/>
      <c r="D995" s="19"/>
      <c r="E995" s="19"/>
      <c r="F995" s="19"/>
      <c r="G995" s="19"/>
      <c r="H995" s="19"/>
      <c r="I995" s="19"/>
      <c r="J995" s="10" t="s">
        <v>12</v>
      </c>
      <c r="K995" s="10" t="s">
        <v>12</v>
      </c>
      <c r="L995" s="10" t="s">
        <v>12</v>
      </c>
      <c r="M995" s="10" t="s">
        <v>12</v>
      </c>
      <c r="N995" s="12" t="e">
        <f>VLOOKUP(J995,'Site Allocation'!$B$2:$C$37,2,FALSE)</f>
        <v>#N/A</v>
      </c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</row>
    <row r="996" spans="1:25" x14ac:dyDescent="0.35">
      <c r="A996" s="19"/>
      <c r="B996" s="19"/>
      <c r="C996" s="19"/>
      <c r="D996" s="19"/>
      <c r="E996" s="19"/>
      <c r="F996" s="19"/>
      <c r="G996" s="19"/>
      <c r="H996" s="19"/>
      <c r="I996" s="19"/>
      <c r="J996" s="10" t="s">
        <v>12</v>
      </c>
      <c r="K996" s="10" t="s">
        <v>12</v>
      </c>
      <c r="L996" s="10" t="s">
        <v>12</v>
      </c>
      <c r="M996" s="10" t="s">
        <v>12</v>
      </c>
      <c r="N996" s="12" t="e">
        <f>VLOOKUP(J996,'Site Allocation'!$B$2:$C$37,2,FALSE)</f>
        <v>#N/A</v>
      </c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</row>
    <row r="997" spans="1:25" x14ac:dyDescent="0.35">
      <c r="A997" s="19"/>
      <c r="B997" s="19"/>
      <c r="C997" s="19"/>
      <c r="D997" s="19"/>
      <c r="E997" s="19"/>
      <c r="F997" s="19"/>
      <c r="G997" s="19"/>
      <c r="H997" s="19"/>
      <c r="I997" s="19"/>
      <c r="J997" s="10" t="s">
        <v>12</v>
      </c>
      <c r="K997" s="10" t="s">
        <v>12</v>
      </c>
      <c r="L997" s="10" t="s">
        <v>12</v>
      </c>
      <c r="M997" s="10" t="s">
        <v>12</v>
      </c>
      <c r="N997" s="12" t="e">
        <f>VLOOKUP(J997,'Site Allocation'!$B$2:$C$37,2,FALSE)</f>
        <v>#N/A</v>
      </c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</row>
    <row r="998" spans="1:25" x14ac:dyDescent="0.35">
      <c r="A998" s="19"/>
      <c r="B998" s="19"/>
      <c r="C998" s="19"/>
      <c r="D998" s="19"/>
      <c r="E998" s="19"/>
      <c r="F998" s="19"/>
      <c r="G998" s="19"/>
      <c r="H998" s="19"/>
      <c r="I998" s="19"/>
      <c r="J998" s="10" t="s">
        <v>12</v>
      </c>
      <c r="K998" s="10" t="s">
        <v>12</v>
      </c>
      <c r="L998" s="10" t="s">
        <v>12</v>
      </c>
      <c r="M998" s="10" t="s">
        <v>12</v>
      </c>
      <c r="N998" s="12" t="e">
        <f>VLOOKUP(J998,'Site Allocation'!$B$2:$C$37,2,FALSE)</f>
        <v>#N/A</v>
      </c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</row>
    <row r="999" spans="1:25" x14ac:dyDescent="0.35">
      <c r="A999" s="19"/>
      <c r="B999" s="19"/>
      <c r="C999" s="19"/>
      <c r="D999" s="19"/>
      <c r="E999" s="19"/>
      <c r="F999" s="19"/>
      <c r="G999" s="19"/>
      <c r="H999" s="19"/>
      <c r="I999" s="19"/>
      <c r="J999" s="10" t="s">
        <v>12</v>
      </c>
      <c r="K999" s="10" t="s">
        <v>12</v>
      </c>
      <c r="L999" s="10" t="s">
        <v>12</v>
      </c>
      <c r="M999" s="10" t="s">
        <v>12</v>
      </c>
      <c r="N999" s="12" t="e">
        <f>VLOOKUP(J999,'Site Allocation'!$B$2:$C$37,2,FALSE)</f>
        <v>#N/A</v>
      </c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</row>
    <row r="1000" spans="1:25" x14ac:dyDescent="0.35">
      <c r="A1000" s="19"/>
      <c r="B1000" s="19"/>
      <c r="C1000" s="19"/>
      <c r="D1000" s="19"/>
      <c r="E1000" s="19"/>
      <c r="F1000" s="19"/>
      <c r="G1000" s="19"/>
      <c r="H1000" s="19"/>
      <c r="I1000" s="19"/>
      <c r="J1000" s="10" t="s">
        <v>12</v>
      </c>
      <c r="K1000" s="10" t="s">
        <v>12</v>
      </c>
      <c r="L1000" s="10" t="s">
        <v>12</v>
      </c>
      <c r="M1000" s="10" t="s">
        <v>12</v>
      </c>
      <c r="N1000" s="12" t="e">
        <f>VLOOKUP(J1000,'Site Allocation'!$B$2:$C$37,2,FALSE)</f>
        <v>#N/A</v>
      </c>
      <c r="O1000" s="19">
        <v>1</v>
      </c>
      <c r="P1000" s="19">
        <v>1</v>
      </c>
      <c r="Q1000" s="19">
        <v>1</v>
      </c>
      <c r="R1000" s="19">
        <v>1</v>
      </c>
      <c r="S1000" s="19">
        <v>1</v>
      </c>
      <c r="T1000" s="19">
        <v>1</v>
      </c>
      <c r="U1000" s="19">
        <v>1</v>
      </c>
      <c r="V1000" s="19">
        <v>1</v>
      </c>
      <c r="W1000" s="19">
        <v>1</v>
      </c>
      <c r="X1000" s="19">
        <v>1</v>
      </c>
      <c r="Y1000" s="19">
        <v>1</v>
      </c>
    </row>
  </sheetData>
  <sheetProtection formatCells="0" formatColumns="0" formatRows="0" insertColumns="0" insertRows="0" insertHyperlinks="0" deleteColumns="0" deleteRows="0" sort="0" autoFilter="0" pivotTables="0"/>
  <autoFilter ref="J1:N1000" xr:uid="{0169F241-A61F-47DC-90E5-A24CF1660DBF}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4543B-30F3-470D-8F3E-00D78E53FF12}">
  <dimension ref="A1:AL817"/>
  <sheetViews>
    <sheetView zoomScale="76" zoomScaleNormal="100" workbookViewId="0">
      <selection activeCell="A8" sqref="A8"/>
    </sheetView>
  </sheetViews>
  <sheetFormatPr defaultRowHeight="14.5" x14ac:dyDescent="0.35"/>
  <cols>
    <col min="4" max="4" width="10.26953125" bestFit="1" customWidth="1"/>
    <col min="5" max="5" width="9.453125" bestFit="1" customWidth="1"/>
    <col min="10" max="10" width="19.81640625" bestFit="1" customWidth="1"/>
    <col min="14" max="16" width="9.1796875" hidden="1" customWidth="1"/>
  </cols>
  <sheetData>
    <row r="1" spans="1:38" x14ac:dyDescent="0.3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 t="s">
        <v>2</v>
      </c>
      <c r="O1" s="18" t="s">
        <v>53</v>
      </c>
      <c r="P1" s="18" t="s">
        <v>3</v>
      </c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 ht="14.5" customHeight="1" x14ac:dyDescent="0.3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>
        <v>1000</v>
      </c>
      <c r="O2" s="18">
        <v>1000111</v>
      </c>
      <c r="P2" s="18" t="str">
        <f>VLOOKUP(N2,'Site Allocation'!$B$2:$C$37,2,FALSE)</f>
        <v>Analyst1</v>
      </c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 ht="14.5" customHeight="1" x14ac:dyDescent="0.3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>
        <v>1000</v>
      </c>
      <c r="O3" s="18">
        <v>1000111</v>
      </c>
      <c r="P3" s="18" t="str">
        <f>VLOOKUP(N3,'Site Allocation'!$B$2:$C$37,2,FALSE)</f>
        <v>Analyst1</v>
      </c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 ht="14.5" customHeight="1" x14ac:dyDescent="0.45">
      <c r="A4" s="18"/>
      <c r="B4" s="18"/>
      <c r="C4" s="18"/>
      <c r="D4" s="18"/>
      <c r="E4" s="18"/>
      <c r="F4" s="18"/>
      <c r="G4" s="18"/>
      <c r="H4" s="18"/>
      <c r="I4" s="18"/>
      <c r="J4" s="23" t="s">
        <v>90</v>
      </c>
      <c r="K4" s="8"/>
      <c r="L4" s="18"/>
      <c r="M4" s="18"/>
      <c r="N4" s="18">
        <v>1000</v>
      </c>
      <c r="O4" s="18">
        <v>1000111</v>
      </c>
      <c r="P4" s="18" t="str">
        <f>VLOOKUP(N4,'Site Allocation'!$B$2:$C$37,2,FALSE)</f>
        <v>Analyst1</v>
      </c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14.5" customHeight="1" x14ac:dyDescent="0.45">
      <c r="A5" s="18"/>
      <c r="B5" s="18"/>
      <c r="C5" s="18"/>
      <c r="D5" s="18"/>
      <c r="E5" s="18"/>
      <c r="F5" s="18"/>
      <c r="G5" s="18"/>
      <c r="H5" s="18"/>
      <c r="I5" s="18"/>
      <c r="J5" s="7">
        <v>1035111</v>
      </c>
      <c r="K5" s="22"/>
      <c r="L5" s="18"/>
      <c r="M5" s="18"/>
      <c r="N5" s="18">
        <v>1000</v>
      </c>
      <c r="O5" s="18">
        <v>1000111</v>
      </c>
      <c r="P5" s="18" t="str">
        <f>VLOOKUP(N5,'Site Allocation'!$B$2:$C$37,2,FALSE)</f>
        <v>Analyst1</v>
      </c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 ht="14.5" customHeight="1" x14ac:dyDescent="0.45">
      <c r="A6" s="18"/>
      <c r="B6" s="18"/>
      <c r="C6" s="18"/>
      <c r="D6" s="18"/>
      <c r="E6" s="18"/>
      <c r="F6" s="18"/>
      <c r="G6" s="18"/>
      <c r="H6" s="18"/>
      <c r="I6" s="18"/>
      <c r="J6" s="21" t="str">
        <f>IFERROR(VLOOKUP($J$5,$O$2:$P$502,2,FALSE)," ")</f>
        <v>Analyst6</v>
      </c>
      <c r="K6" s="18"/>
      <c r="L6" s="18"/>
      <c r="M6" s="18"/>
      <c r="N6" s="18">
        <v>1000</v>
      </c>
      <c r="O6" s="18">
        <v>1000111</v>
      </c>
      <c r="P6" s="18" t="str">
        <f>VLOOKUP(N6,'Site Allocation'!$B$2:$C$37,2,FALSE)</f>
        <v>Analyst1</v>
      </c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 ht="14.5" customHeight="1" x14ac:dyDescent="0.3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>
        <v>1000</v>
      </c>
      <c r="O7" s="18">
        <v>1000111</v>
      </c>
      <c r="P7" s="18" t="str">
        <f>VLOOKUP(N7,'Site Allocation'!$B$2:$C$37,2,FALSE)</f>
        <v>Analyst1</v>
      </c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4.5" customHeight="1" x14ac:dyDescent="0.3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>
        <v>1000</v>
      </c>
      <c r="O8" s="18">
        <v>1000111</v>
      </c>
      <c r="P8" s="18" t="str">
        <f>VLOOKUP(N8,'Site Allocation'!$B$2:$C$37,2,FALSE)</f>
        <v>Analyst1</v>
      </c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 ht="14.5" customHeight="1" x14ac:dyDescent="0.3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>
        <v>1000</v>
      </c>
      <c r="O9" s="18">
        <v>1000111</v>
      </c>
      <c r="P9" s="18" t="str">
        <f>VLOOKUP(N9,'Site Allocation'!$B$2:$C$37,2,FALSE)</f>
        <v>Analyst1</v>
      </c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4.5" customHeight="1" x14ac:dyDescent="0.3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1000</v>
      </c>
      <c r="O10" s="18">
        <v>1000111</v>
      </c>
      <c r="P10" s="18" t="str">
        <f>VLOOKUP(N10,'Site Allocation'!$B$2:$C$37,2,FALSE)</f>
        <v>Analyst1</v>
      </c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4.5" customHeight="1" x14ac:dyDescent="0.3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>
        <v>1000</v>
      </c>
      <c r="O11" s="18">
        <v>1000111</v>
      </c>
      <c r="P11" s="18" t="str">
        <f>VLOOKUP(N11,'Site Allocation'!$B$2:$C$37,2,FALSE)</f>
        <v>Analyst1</v>
      </c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</row>
    <row r="12" spans="1:38" ht="14.5" customHeight="1" x14ac:dyDescent="0.3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>
        <v>1000</v>
      </c>
      <c r="O12" s="18">
        <v>1000111</v>
      </c>
      <c r="P12" s="18" t="str">
        <f>VLOOKUP(N12,'Site Allocation'!$B$2:$C$37,2,FALSE)</f>
        <v>Analyst1</v>
      </c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</row>
    <row r="13" spans="1:38" ht="14.5" customHeight="1" x14ac:dyDescent="0.3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1000</v>
      </c>
      <c r="O13" s="18">
        <v>1000111</v>
      </c>
      <c r="P13" s="18" t="str">
        <f>VLOOKUP(N13,'Site Allocation'!$B$2:$C$37,2,FALSE)</f>
        <v>Analyst1</v>
      </c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</row>
    <row r="14" spans="1:38" ht="14.5" customHeight="1" x14ac:dyDescent="0.3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>
        <v>1000</v>
      </c>
      <c r="O14" s="18">
        <v>1000111</v>
      </c>
      <c r="P14" s="18" t="str">
        <f>VLOOKUP(N14,'Site Allocation'!$B$2:$C$37,2,FALSE)</f>
        <v>Analyst1</v>
      </c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</row>
    <row r="15" spans="1:38" ht="14.5" customHeight="1" x14ac:dyDescent="0.3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>
        <v>1000</v>
      </c>
      <c r="O15" s="18">
        <v>1000111</v>
      </c>
      <c r="P15" s="18" t="str">
        <f>VLOOKUP(N15,'Site Allocation'!$B$2:$C$37,2,FALSE)</f>
        <v>Analyst1</v>
      </c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</row>
    <row r="16" spans="1:38" ht="14.5" customHeight="1" x14ac:dyDescent="0.3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>
        <v>1001</v>
      </c>
      <c r="O16" s="18">
        <v>1001111</v>
      </c>
      <c r="P16" s="18" t="str">
        <f>VLOOKUP(N16,'Site Allocation'!$B$2:$C$37,2,FALSE)</f>
        <v>Analyst1</v>
      </c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</row>
    <row r="17" spans="1:38" ht="14.5" customHeight="1" x14ac:dyDescent="0.3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>
        <v>1001</v>
      </c>
      <c r="O17" s="18">
        <v>1001111</v>
      </c>
      <c r="P17" s="18" t="str">
        <f>VLOOKUP(N17,'Site Allocation'!$B$2:$C$37,2,FALSE)</f>
        <v>Analyst1</v>
      </c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</row>
    <row r="18" spans="1:38" ht="14.5" customHeight="1" x14ac:dyDescent="0.3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>
        <v>1001</v>
      </c>
      <c r="O18" s="18">
        <v>1001111</v>
      </c>
      <c r="P18" s="18" t="str">
        <f>VLOOKUP(N18,'Site Allocation'!$B$2:$C$37,2,FALSE)</f>
        <v>Analyst1</v>
      </c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</row>
    <row r="19" spans="1:38" ht="14.5" customHeight="1" x14ac:dyDescent="0.3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>
        <v>1001</v>
      </c>
      <c r="O19" s="18">
        <v>1001111</v>
      </c>
      <c r="P19" s="18" t="str">
        <f>VLOOKUP(N19,'Site Allocation'!$B$2:$C$37,2,FALSE)</f>
        <v>Analyst1</v>
      </c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</row>
    <row r="20" spans="1:38" ht="14.5" customHeight="1" x14ac:dyDescent="0.3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>
        <v>1001</v>
      </c>
      <c r="O20" s="18">
        <v>1001111</v>
      </c>
      <c r="P20" s="18" t="str">
        <f>VLOOKUP(N20,'Site Allocation'!$B$2:$C$37,2,FALSE)</f>
        <v>Analyst1</v>
      </c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</row>
    <row r="21" spans="1:38" ht="14.5" customHeight="1" x14ac:dyDescent="0.3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>
        <v>1001</v>
      </c>
      <c r="O21" s="18">
        <v>1001111</v>
      </c>
      <c r="P21" s="18" t="str">
        <f>VLOOKUP(N21,'Site Allocation'!$B$2:$C$37,2,FALSE)</f>
        <v>Analyst1</v>
      </c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</row>
    <row r="22" spans="1:38" ht="14.5" customHeight="1" x14ac:dyDescent="0.3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>
        <v>1001</v>
      </c>
      <c r="O22" s="18">
        <v>1001111</v>
      </c>
      <c r="P22" s="18" t="str">
        <f>VLOOKUP(N22,'Site Allocation'!$B$2:$C$37,2,FALSE)</f>
        <v>Analyst1</v>
      </c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</row>
    <row r="23" spans="1:38" ht="14.5" customHeight="1" x14ac:dyDescent="0.3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>
        <v>1001</v>
      </c>
      <c r="O23" s="18">
        <v>1001111</v>
      </c>
      <c r="P23" s="18" t="str">
        <f>VLOOKUP(N23,'Site Allocation'!$B$2:$C$37,2,FALSE)</f>
        <v>Analyst1</v>
      </c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</row>
    <row r="24" spans="1:38" x14ac:dyDescent="0.3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>
        <v>1001</v>
      </c>
      <c r="O24" s="18">
        <v>1001111</v>
      </c>
      <c r="P24" s="18" t="str">
        <f>VLOOKUP(N24,'Site Allocation'!$B$2:$C$37,2,FALSE)</f>
        <v>Analyst1</v>
      </c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</row>
    <row r="25" spans="1:38" x14ac:dyDescent="0.3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>
        <v>1001</v>
      </c>
      <c r="O25" s="18">
        <v>1001111</v>
      </c>
      <c r="P25" s="18" t="str">
        <f>VLOOKUP(N25,'Site Allocation'!$B$2:$C$37,2,FALSE)</f>
        <v>Analyst1</v>
      </c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</row>
    <row r="26" spans="1:38" x14ac:dyDescent="0.3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>
        <v>1001</v>
      </c>
      <c r="O26" s="18">
        <v>1001111</v>
      </c>
      <c r="P26" s="18" t="str">
        <f>VLOOKUP(N26,'Site Allocation'!$B$2:$C$37,2,FALSE)</f>
        <v>Analyst1</v>
      </c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</row>
    <row r="27" spans="1:38" x14ac:dyDescent="0.3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>
        <v>1001</v>
      </c>
      <c r="O27">
        <v>1001111</v>
      </c>
      <c r="P27" t="str">
        <f>VLOOKUP(N27,'Site Allocation'!$B$2:$C$37,2,FALSE)</f>
        <v>Analyst1</v>
      </c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</row>
    <row r="28" spans="1:38" x14ac:dyDescent="0.3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>
        <v>1001</v>
      </c>
      <c r="O28">
        <v>1001111</v>
      </c>
      <c r="P28" t="str">
        <f>VLOOKUP(N28,'Site Allocation'!$B$2:$C$37,2,FALSE)</f>
        <v>Analyst1</v>
      </c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</row>
    <row r="29" spans="1:38" x14ac:dyDescent="0.3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>
        <v>1001</v>
      </c>
      <c r="O29">
        <v>1001111</v>
      </c>
      <c r="P29" t="str">
        <f>VLOOKUP(N29,'Site Allocation'!$B$2:$C$37,2,FALSE)</f>
        <v>Analyst1</v>
      </c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</row>
    <row r="30" spans="1:38" x14ac:dyDescent="0.3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>
        <v>1001</v>
      </c>
      <c r="O30">
        <v>1001111</v>
      </c>
      <c r="P30" t="str">
        <f>VLOOKUP(N30,'Site Allocation'!$B$2:$C$37,2,FALSE)</f>
        <v>Analyst1</v>
      </c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</row>
    <row r="31" spans="1:38" x14ac:dyDescent="0.3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>
        <v>1001</v>
      </c>
      <c r="O31">
        <v>1001111</v>
      </c>
      <c r="P31" t="str">
        <f>VLOOKUP(N31,'Site Allocation'!$B$2:$C$37,2,FALSE)</f>
        <v>Analyst1</v>
      </c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</row>
    <row r="32" spans="1:38" x14ac:dyDescent="0.3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>
        <v>1002</v>
      </c>
      <c r="O32">
        <v>1002111</v>
      </c>
      <c r="P32" t="str">
        <f>VLOOKUP(N32,'Site Allocation'!$B$2:$C$37,2,FALSE)</f>
        <v>Analyst1</v>
      </c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</row>
    <row r="33" spans="1:38" x14ac:dyDescent="0.3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>
        <v>1002</v>
      </c>
      <c r="O33">
        <v>1002111</v>
      </c>
      <c r="P33" t="str">
        <f>VLOOKUP(N33,'Site Allocation'!$B$2:$C$37,2,FALSE)</f>
        <v>Analyst1</v>
      </c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</row>
    <row r="34" spans="1:38" x14ac:dyDescent="0.35">
      <c r="A34" s="8"/>
      <c r="B34" s="8"/>
      <c r="C34" s="8"/>
      <c r="D34" s="8"/>
      <c r="I34" s="8"/>
      <c r="J34" s="8"/>
      <c r="K34" s="8"/>
      <c r="L34" s="8"/>
      <c r="M34" s="8"/>
      <c r="N34">
        <v>1002</v>
      </c>
      <c r="O34">
        <v>1002111</v>
      </c>
      <c r="P34" t="str">
        <f>VLOOKUP(N34,'Site Allocation'!$B$2:$C$37,2,FALSE)</f>
        <v>Analyst1</v>
      </c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</row>
    <row r="35" spans="1:38" x14ac:dyDescent="0.35">
      <c r="A35" s="8"/>
      <c r="B35" s="8"/>
      <c r="C35" s="8"/>
      <c r="D35" s="8"/>
      <c r="I35" s="8"/>
      <c r="J35" s="8"/>
      <c r="K35" s="8"/>
      <c r="L35" s="8"/>
      <c r="M35" s="8"/>
      <c r="N35">
        <v>1002</v>
      </c>
      <c r="O35">
        <v>1002111</v>
      </c>
      <c r="P35" t="str">
        <f>VLOOKUP(N35,'Site Allocation'!$B$2:$C$37,2,FALSE)</f>
        <v>Analyst1</v>
      </c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</row>
    <row r="36" spans="1:38" x14ac:dyDescent="0.35">
      <c r="A36" s="8"/>
      <c r="B36" s="8"/>
      <c r="C36" s="8"/>
      <c r="D36" s="8"/>
      <c r="I36" s="8"/>
      <c r="J36" s="8"/>
      <c r="K36" s="8"/>
      <c r="L36" s="8"/>
      <c r="M36" s="8"/>
      <c r="N36">
        <v>1002</v>
      </c>
      <c r="O36">
        <v>1002111</v>
      </c>
      <c r="P36" t="str">
        <f>VLOOKUP(N36,'Site Allocation'!$B$2:$C$37,2,FALSE)</f>
        <v>Analyst1</v>
      </c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</row>
    <row r="37" spans="1:38" x14ac:dyDescent="0.35">
      <c r="A37" s="8"/>
      <c r="B37" s="8"/>
      <c r="C37" s="8"/>
      <c r="D37" s="8"/>
      <c r="I37" s="8"/>
      <c r="J37" s="8"/>
      <c r="K37" s="8"/>
      <c r="L37" s="8"/>
      <c r="M37" s="8"/>
      <c r="N37">
        <v>1002</v>
      </c>
      <c r="O37">
        <v>1002111</v>
      </c>
      <c r="P37" t="str">
        <f>VLOOKUP(N37,'Site Allocation'!$B$2:$C$37,2,FALSE)</f>
        <v>Analyst1</v>
      </c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</row>
    <row r="38" spans="1:38" x14ac:dyDescent="0.35">
      <c r="A38" s="8"/>
      <c r="B38" s="8"/>
      <c r="C38" s="8"/>
      <c r="D38" s="8"/>
      <c r="I38" s="8"/>
      <c r="J38" s="8"/>
      <c r="K38" s="8"/>
      <c r="L38" s="8"/>
      <c r="M38" s="8"/>
      <c r="N38">
        <v>1002</v>
      </c>
      <c r="O38">
        <v>1002111</v>
      </c>
      <c r="P38" t="str">
        <f>VLOOKUP(N38,'Site Allocation'!$B$2:$C$37,2,FALSE)</f>
        <v>Analyst1</v>
      </c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</row>
    <row r="39" spans="1:38" x14ac:dyDescent="0.35">
      <c r="A39" s="8"/>
      <c r="B39" s="8"/>
      <c r="C39" s="8"/>
      <c r="D39" s="8"/>
      <c r="I39" s="8"/>
      <c r="J39" s="8"/>
      <c r="K39" s="8"/>
      <c r="L39" s="8"/>
      <c r="M39" s="8"/>
      <c r="N39">
        <v>1002</v>
      </c>
      <c r="O39">
        <v>1002111</v>
      </c>
      <c r="P39" t="str">
        <f>VLOOKUP(N39,'Site Allocation'!$B$2:$C$37,2,FALSE)</f>
        <v>Analyst1</v>
      </c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</row>
    <row r="40" spans="1:38" x14ac:dyDescent="0.35">
      <c r="A40" s="8"/>
      <c r="B40" s="8"/>
      <c r="C40" s="8"/>
      <c r="D40" s="8"/>
      <c r="I40" s="8"/>
      <c r="J40" s="8"/>
      <c r="K40" s="8"/>
      <c r="L40" s="8"/>
      <c r="M40" s="8"/>
      <c r="N40">
        <v>1002</v>
      </c>
      <c r="O40">
        <v>1002111</v>
      </c>
      <c r="P40" t="str">
        <f>VLOOKUP(N40,'Site Allocation'!$B$2:$C$37,2,FALSE)</f>
        <v>Analyst1</v>
      </c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</row>
    <row r="41" spans="1:38" x14ac:dyDescent="0.35">
      <c r="A41" s="8"/>
      <c r="B41" s="8"/>
      <c r="C41" s="8"/>
      <c r="D41" s="8"/>
      <c r="I41" s="8"/>
      <c r="J41" s="8"/>
      <c r="K41" s="8"/>
      <c r="L41" s="8"/>
      <c r="M41" s="8"/>
      <c r="N41">
        <v>1002</v>
      </c>
      <c r="O41">
        <v>1002111</v>
      </c>
      <c r="P41" t="str">
        <f>VLOOKUP(N41,'Site Allocation'!$B$2:$C$37,2,FALSE)</f>
        <v>Analyst1</v>
      </c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</row>
    <row r="42" spans="1:38" x14ac:dyDescent="0.35">
      <c r="A42" s="8"/>
      <c r="B42" s="8"/>
      <c r="C42" s="8"/>
      <c r="D42" s="8"/>
      <c r="I42" s="8"/>
      <c r="J42" s="8"/>
      <c r="K42" s="8"/>
      <c r="L42" s="8"/>
      <c r="M42" s="8"/>
      <c r="N42">
        <v>1002</v>
      </c>
      <c r="O42">
        <v>1002111</v>
      </c>
      <c r="P42" t="str">
        <f>VLOOKUP(N42,'Site Allocation'!$B$2:$C$37,2,FALSE)</f>
        <v>Analyst1</v>
      </c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</row>
    <row r="43" spans="1:38" x14ac:dyDescent="0.35">
      <c r="A43" s="8"/>
      <c r="B43" s="8"/>
      <c r="C43" s="8"/>
      <c r="D43" s="8"/>
      <c r="I43" s="8"/>
      <c r="J43" s="8"/>
      <c r="K43" s="8"/>
      <c r="L43" s="8"/>
      <c r="M43" s="8"/>
      <c r="N43">
        <v>1002</v>
      </c>
      <c r="O43">
        <v>1002111</v>
      </c>
      <c r="P43" t="str">
        <f>VLOOKUP(N43,'Site Allocation'!$B$2:$C$37,2,FALSE)</f>
        <v>Analyst1</v>
      </c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</row>
    <row r="44" spans="1:38" x14ac:dyDescent="0.35">
      <c r="A44" s="8"/>
      <c r="B44" s="8"/>
      <c r="C44" s="8"/>
      <c r="D44" s="8"/>
      <c r="I44" s="8"/>
      <c r="J44" s="8"/>
      <c r="K44" s="8"/>
      <c r="L44" s="8"/>
      <c r="M44" s="8"/>
      <c r="N44">
        <v>1002</v>
      </c>
      <c r="O44">
        <v>1002111</v>
      </c>
      <c r="P44" t="str">
        <f>VLOOKUP(N44,'Site Allocation'!$B$2:$C$37,2,FALSE)</f>
        <v>Analyst1</v>
      </c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</row>
    <row r="45" spans="1:38" x14ac:dyDescent="0.35">
      <c r="A45" s="8"/>
      <c r="B45" s="8"/>
      <c r="C45" s="8"/>
      <c r="D45" s="8"/>
      <c r="I45" s="8"/>
      <c r="J45" s="8"/>
      <c r="K45" s="8"/>
      <c r="L45" s="8"/>
      <c r="M45" s="8"/>
      <c r="N45">
        <v>1002</v>
      </c>
      <c r="O45">
        <v>1002111</v>
      </c>
      <c r="P45" t="str">
        <f>VLOOKUP(N45,'Site Allocation'!$B$2:$C$37,2,FALSE)</f>
        <v>Analyst1</v>
      </c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</row>
    <row r="46" spans="1:38" x14ac:dyDescent="0.35">
      <c r="A46" s="8"/>
      <c r="B46" s="8"/>
      <c r="C46" s="8"/>
      <c r="D46" s="8"/>
      <c r="I46" s="8"/>
      <c r="J46" s="8"/>
      <c r="K46" s="8"/>
      <c r="L46" s="8"/>
      <c r="M46" s="8"/>
      <c r="N46">
        <v>1002</v>
      </c>
      <c r="O46">
        <v>1002111</v>
      </c>
      <c r="P46" t="str">
        <f>VLOOKUP(N46,'Site Allocation'!$B$2:$C$37,2,FALSE)</f>
        <v>Analyst1</v>
      </c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</row>
    <row r="47" spans="1:38" x14ac:dyDescent="0.35">
      <c r="A47" s="8"/>
      <c r="B47" s="8"/>
      <c r="C47" s="8"/>
      <c r="D47" s="8"/>
      <c r="I47" s="8"/>
      <c r="J47" s="8"/>
      <c r="K47" s="8"/>
      <c r="L47" s="8"/>
      <c r="M47" s="8"/>
      <c r="N47">
        <v>1003</v>
      </c>
      <c r="O47">
        <v>1003111</v>
      </c>
      <c r="P47" t="str">
        <f>VLOOKUP(N47,'Site Allocation'!$B$2:$C$37,2,FALSE)</f>
        <v>Analyst1</v>
      </c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</row>
    <row r="48" spans="1:38" x14ac:dyDescent="0.35">
      <c r="A48" s="8"/>
      <c r="B48" s="8"/>
      <c r="C48" s="8"/>
      <c r="D48" s="8"/>
      <c r="I48" s="8"/>
      <c r="J48" s="8"/>
      <c r="K48" s="8"/>
      <c r="L48" s="8"/>
      <c r="M48" s="8"/>
      <c r="N48">
        <v>1003</v>
      </c>
      <c r="O48">
        <v>1003111</v>
      </c>
      <c r="P48" t="str">
        <f>VLOOKUP(N48,'Site Allocation'!$B$2:$C$37,2,FALSE)</f>
        <v>Analyst1</v>
      </c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</row>
    <row r="49" spans="1:38" x14ac:dyDescent="0.35">
      <c r="A49" s="8"/>
      <c r="B49" s="8"/>
      <c r="C49" s="8"/>
      <c r="D49" s="8"/>
      <c r="I49" s="8"/>
      <c r="J49" s="8"/>
      <c r="K49" s="8"/>
      <c r="L49" s="8"/>
      <c r="M49" s="8"/>
      <c r="N49">
        <v>1003</v>
      </c>
      <c r="O49">
        <v>1003111</v>
      </c>
      <c r="P49" t="str">
        <f>VLOOKUP(N49,'Site Allocation'!$B$2:$C$37,2,FALSE)</f>
        <v>Analyst1</v>
      </c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</row>
    <row r="50" spans="1:38" x14ac:dyDescent="0.35">
      <c r="A50" s="8"/>
      <c r="B50" s="8"/>
      <c r="C50" s="8"/>
      <c r="D50" s="8"/>
      <c r="I50" s="8"/>
      <c r="J50" s="8"/>
      <c r="K50" s="8"/>
      <c r="L50" s="8"/>
      <c r="M50" s="8"/>
      <c r="N50">
        <v>1003</v>
      </c>
      <c r="O50">
        <v>1003111</v>
      </c>
      <c r="P50" t="str">
        <f>VLOOKUP(N50,'Site Allocation'!$B$2:$C$37,2,FALSE)</f>
        <v>Analyst1</v>
      </c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</row>
    <row r="51" spans="1:38" x14ac:dyDescent="0.35">
      <c r="A51" s="8"/>
      <c r="B51" s="8"/>
      <c r="C51" s="8"/>
      <c r="D51" s="8"/>
      <c r="I51" s="8"/>
      <c r="J51" s="8"/>
      <c r="K51" s="8"/>
      <c r="L51" s="8"/>
      <c r="M51" s="8"/>
      <c r="N51">
        <v>1003</v>
      </c>
      <c r="O51">
        <v>1003111</v>
      </c>
      <c r="P51" t="str">
        <f>VLOOKUP(N51,'Site Allocation'!$B$2:$C$37,2,FALSE)</f>
        <v>Analyst1</v>
      </c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</row>
    <row r="52" spans="1:38" x14ac:dyDescent="0.35">
      <c r="A52" s="8"/>
      <c r="B52" s="8"/>
      <c r="C52" s="8"/>
      <c r="D52" s="8"/>
      <c r="I52" s="8"/>
      <c r="J52" s="8"/>
      <c r="K52" s="8"/>
      <c r="L52" s="8"/>
      <c r="M52" s="8"/>
      <c r="N52">
        <v>1003</v>
      </c>
      <c r="O52">
        <v>1003111</v>
      </c>
      <c r="P52" t="str">
        <f>VLOOKUP(N52,'Site Allocation'!$B$2:$C$37,2,FALSE)</f>
        <v>Analyst1</v>
      </c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</row>
    <row r="53" spans="1:38" x14ac:dyDescent="0.35">
      <c r="A53" s="8"/>
      <c r="B53" s="8"/>
      <c r="C53" s="8"/>
      <c r="D53" s="8"/>
      <c r="I53" s="8"/>
      <c r="J53" s="8"/>
      <c r="K53" s="8"/>
      <c r="L53" s="8"/>
      <c r="M53" s="8"/>
      <c r="N53">
        <v>1003</v>
      </c>
      <c r="O53">
        <v>1003111</v>
      </c>
      <c r="P53" t="str">
        <f>VLOOKUP(N53,'Site Allocation'!$B$2:$C$37,2,FALSE)</f>
        <v>Analyst1</v>
      </c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</row>
    <row r="54" spans="1:38" x14ac:dyDescent="0.35">
      <c r="A54" s="8"/>
      <c r="B54" s="8"/>
      <c r="C54" s="8"/>
      <c r="D54" s="8"/>
      <c r="I54" s="8"/>
      <c r="J54" s="8"/>
      <c r="K54" s="8"/>
      <c r="L54" s="8"/>
      <c r="M54" s="8"/>
      <c r="N54">
        <v>1003</v>
      </c>
      <c r="O54">
        <v>1003111</v>
      </c>
      <c r="P54" t="str">
        <f>VLOOKUP(N54,'Site Allocation'!$B$2:$C$37,2,FALSE)</f>
        <v>Analyst1</v>
      </c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</row>
    <row r="55" spans="1:38" x14ac:dyDescent="0.35">
      <c r="A55" s="8"/>
      <c r="B55" s="8"/>
      <c r="C55" s="8"/>
      <c r="D55" s="8"/>
      <c r="I55" s="8"/>
      <c r="J55" s="8"/>
      <c r="K55" s="8"/>
      <c r="L55" s="8"/>
      <c r="M55" s="8"/>
      <c r="N55">
        <v>1003</v>
      </c>
      <c r="O55">
        <v>1003111</v>
      </c>
      <c r="P55" t="str">
        <f>VLOOKUP(N55,'Site Allocation'!$B$2:$C$37,2,FALSE)</f>
        <v>Analyst1</v>
      </c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</row>
    <row r="56" spans="1:38" x14ac:dyDescent="0.35">
      <c r="A56" s="8"/>
      <c r="B56" s="8"/>
      <c r="C56" s="8"/>
      <c r="D56" s="8"/>
      <c r="I56" s="8"/>
      <c r="J56" s="8"/>
      <c r="K56" s="8"/>
      <c r="L56" s="8"/>
      <c r="M56" s="8"/>
      <c r="N56">
        <v>1003</v>
      </c>
      <c r="O56">
        <v>1003111</v>
      </c>
      <c r="P56" t="str">
        <f>VLOOKUP(N56,'Site Allocation'!$B$2:$C$37,2,FALSE)</f>
        <v>Analyst1</v>
      </c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</row>
    <row r="57" spans="1:38" x14ac:dyDescent="0.35">
      <c r="A57" s="8"/>
      <c r="B57" s="8"/>
      <c r="C57" s="8"/>
      <c r="D57" s="8"/>
      <c r="I57" s="8"/>
      <c r="J57" s="8"/>
      <c r="K57" s="8"/>
      <c r="L57" s="8"/>
      <c r="M57" s="8"/>
      <c r="N57">
        <v>1003</v>
      </c>
      <c r="O57">
        <v>1003111</v>
      </c>
      <c r="P57" t="str">
        <f>VLOOKUP(N57,'Site Allocation'!$B$2:$C$37,2,FALSE)</f>
        <v>Analyst1</v>
      </c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</row>
    <row r="58" spans="1:38" x14ac:dyDescent="0.35">
      <c r="A58" s="8"/>
      <c r="B58" s="8"/>
      <c r="C58" s="8"/>
      <c r="D58" s="8"/>
      <c r="I58" s="8"/>
      <c r="J58" s="8"/>
      <c r="K58" s="8"/>
      <c r="L58" s="8"/>
      <c r="M58" s="8"/>
      <c r="N58">
        <v>1004</v>
      </c>
      <c r="O58">
        <v>1004111</v>
      </c>
      <c r="P58" t="str">
        <f>VLOOKUP(N58,'Site Allocation'!$B$2:$C$37,2,FALSE)</f>
        <v>Analyst1</v>
      </c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</row>
    <row r="59" spans="1:38" x14ac:dyDescent="0.35">
      <c r="A59" s="8"/>
      <c r="B59" s="8"/>
      <c r="C59" s="8"/>
      <c r="D59" s="8"/>
      <c r="I59" s="8"/>
      <c r="J59" s="8"/>
      <c r="K59" s="8"/>
      <c r="L59" s="8"/>
      <c r="M59" s="8"/>
      <c r="N59">
        <v>1004</v>
      </c>
      <c r="O59">
        <v>1004111</v>
      </c>
      <c r="P59" t="str">
        <f>VLOOKUP(N59,'Site Allocation'!$B$2:$C$37,2,FALSE)</f>
        <v>Analyst1</v>
      </c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</row>
    <row r="60" spans="1:38" x14ac:dyDescent="0.35">
      <c r="A60" s="8"/>
      <c r="B60" s="8"/>
      <c r="C60" s="8"/>
      <c r="D60" s="8"/>
      <c r="I60" s="8"/>
      <c r="J60" s="8"/>
      <c r="K60" s="8"/>
      <c r="L60" s="8"/>
      <c r="M60" s="8"/>
      <c r="N60">
        <v>1004</v>
      </c>
      <c r="O60">
        <v>1004111</v>
      </c>
      <c r="P60" t="str">
        <f>VLOOKUP(N60,'Site Allocation'!$B$2:$C$37,2,FALSE)</f>
        <v>Analyst1</v>
      </c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</row>
    <row r="61" spans="1:38" x14ac:dyDescent="0.35">
      <c r="A61" s="8"/>
      <c r="B61" s="8"/>
      <c r="C61" s="8"/>
      <c r="D61" s="8"/>
      <c r="I61" s="8"/>
      <c r="J61" s="8"/>
      <c r="K61" s="8"/>
      <c r="L61" s="8"/>
      <c r="M61" s="8"/>
      <c r="N61">
        <v>1004</v>
      </c>
      <c r="O61">
        <v>1004111</v>
      </c>
      <c r="P61" t="str">
        <f>VLOOKUP(N61,'Site Allocation'!$B$2:$C$37,2,FALSE)</f>
        <v>Analyst1</v>
      </c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</row>
    <row r="62" spans="1:38" x14ac:dyDescent="0.35">
      <c r="A62" s="8"/>
      <c r="B62" s="8"/>
      <c r="C62" s="8"/>
      <c r="D62" s="8"/>
      <c r="I62" s="8"/>
      <c r="J62" s="8"/>
      <c r="K62" s="8"/>
      <c r="L62" s="8"/>
      <c r="M62" s="8"/>
      <c r="N62">
        <v>1004</v>
      </c>
      <c r="O62">
        <v>1004111</v>
      </c>
      <c r="P62" t="str">
        <f>VLOOKUP(N62,'Site Allocation'!$B$2:$C$37,2,FALSE)</f>
        <v>Analyst1</v>
      </c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</row>
    <row r="63" spans="1:38" x14ac:dyDescent="0.35">
      <c r="A63" s="8"/>
      <c r="B63" s="8"/>
      <c r="C63" s="8"/>
      <c r="D63" s="8"/>
      <c r="I63" s="8"/>
      <c r="J63" s="8"/>
      <c r="K63" s="8"/>
      <c r="L63" s="8"/>
      <c r="M63" s="8"/>
      <c r="N63">
        <v>1004</v>
      </c>
      <c r="O63">
        <v>1004111</v>
      </c>
      <c r="P63" t="str">
        <f>VLOOKUP(N63,'Site Allocation'!$B$2:$C$37,2,FALSE)</f>
        <v>Analyst1</v>
      </c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</row>
    <row r="64" spans="1:38" x14ac:dyDescent="0.35">
      <c r="A64" s="8"/>
      <c r="B64" s="8"/>
      <c r="C64" s="8"/>
      <c r="D64" s="8"/>
      <c r="I64" s="8"/>
      <c r="J64" s="8"/>
      <c r="K64" s="8"/>
      <c r="L64" s="8"/>
      <c r="M64" s="8"/>
      <c r="N64">
        <v>1004</v>
      </c>
      <c r="O64">
        <v>1004111</v>
      </c>
      <c r="P64" t="str">
        <f>VLOOKUP(N64,'Site Allocation'!$B$2:$C$37,2,FALSE)</f>
        <v>Analyst1</v>
      </c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</row>
    <row r="65" spans="1:38" x14ac:dyDescent="0.35">
      <c r="A65" s="8"/>
      <c r="B65" s="8"/>
      <c r="C65" s="8"/>
      <c r="D65" s="8"/>
      <c r="I65" s="8"/>
      <c r="J65" s="8"/>
      <c r="K65" s="8"/>
      <c r="L65" s="8"/>
      <c r="M65" s="8"/>
      <c r="N65">
        <v>1004</v>
      </c>
      <c r="O65">
        <v>1004111</v>
      </c>
      <c r="P65" t="str">
        <f>VLOOKUP(N65,'Site Allocation'!$B$2:$C$37,2,FALSE)</f>
        <v>Analyst1</v>
      </c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</row>
    <row r="66" spans="1:38" x14ac:dyDescent="0.35">
      <c r="A66" s="8"/>
      <c r="B66" s="8"/>
      <c r="C66" s="8"/>
      <c r="D66" s="8"/>
      <c r="I66" s="8"/>
      <c r="J66" s="8"/>
      <c r="K66" s="8"/>
      <c r="L66" s="8"/>
      <c r="M66" s="8"/>
      <c r="N66">
        <v>1004</v>
      </c>
      <c r="O66">
        <v>1004111</v>
      </c>
      <c r="P66" t="str">
        <f>VLOOKUP(N66,'Site Allocation'!$B$2:$C$37,2,FALSE)</f>
        <v>Analyst1</v>
      </c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</row>
    <row r="67" spans="1:38" x14ac:dyDescent="0.35">
      <c r="A67" s="8"/>
      <c r="B67" s="8"/>
      <c r="C67" s="8"/>
      <c r="D67" s="8"/>
      <c r="I67" s="8"/>
      <c r="J67" s="8"/>
      <c r="K67" s="8"/>
      <c r="L67" s="8"/>
      <c r="M67" s="8"/>
      <c r="N67">
        <v>1004</v>
      </c>
      <c r="O67">
        <v>1004111</v>
      </c>
      <c r="P67" t="str">
        <f>VLOOKUP(N67,'Site Allocation'!$B$2:$C$37,2,FALSE)</f>
        <v>Analyst1</v>
      </c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</row>
    <row r="68" spans="1:38" x14ac:dyDescent="0.35">
      <c r="A68" s="8"/>
      <c r="B68" s="8"/>
      <c r="C68" s="8"/>
      <c r="D68" s="8"/>
      <c r="I68" s="8"/>
      <c r="J68" s="8"/>
      <c r="K68" s="8"/>
      <c r="L68" s="8"/>
      <c r="M68" s="8"/>
      <c r="N68">
        <v>1004</v>
      </c>
      <c r="O68">
        <v>1004111</v>
      </c>
      <c r="P68" t="str">
        <f>VLOOKUP(N68,'Site Allocation'!$B$2:$C$37,2,FALSE)</f>
        <v>Analyst1</v>
      </c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</row>
    <row r="69" spans="1:38" x14ac:dyDescent="0.35">
      <c r="A69" s="8"/>
      <c r="B69" s="8"/>
      <c r="C69" s="8"/>
      <c r="D69" s="8"/>
      <c r="I69" s="8"/>
      <c r="J69" s="8"/>
      <c r="K69" s="8"/>
      <c r="L69" s="8"/>
      <c r="M69" s="8"/>
      <c r="N69">
        <v>1004</v>
      </c>
      <c r="O69">
        <v>1004111</v>
      </c>
      <c r="P69" t="str">
        <f>VLOOKUP(N69,'Site Allocation'!$B$2:$C$37,2,FALSE)</f>
        <v>Analyst1</v>
      </c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</row>
    <row r="70" spans="1:38" x14ac:dyDescent="0.35">
      <c r="A70" s="8"/>
      <c r="B70" s="8"/>
      <c r="C70" s="8"/>
      <c r="D70" s="8"/>
      <c r="I70" s="8"/>
      <c r="J70" s="8"/>
      <c r="K70" s="8"/>
      <c r="L70" s="8"/>
      <c r="M70" s="8"/>
      <c r="N70">
        <v>1004</v>
      </c>
      <c r="O70">
        <v>1004111</v>
      </c>
      <c r="P70" t="str">
        <f>VLOOKUP(N70,'Site Allocation'!$B$2:$C$37,2,FALSE)</f>
        <v>Analyst1</v>
      </c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</row>
    <row r="71" spans="1:38" x14ac:dyDescent="0.35">
      <c r="A71" s="8"/>
      <c r="B71" s="8"/>
      <c r="C71" s="8"/>
      <c r="D71" s="8"/>
      <c r="I71" s="8"/>
      <c r="J71" s="8"/>
      <c r="K71" s="8"/>
      <c r="L71" s="8"/>
      <c r="M71" s="8"/>
      <c r="N71">
        <v>1004</v>
      </c>
      <c r="O71">
        <v>1004111</v>
      </c>
      <c r="P71" t="str">
        <f>VLOOKUP(N71,'Site Allocation'!$B$2:$C$37,2,FALSE)</f>
        <v>Analyst1</v>
      </c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</row>
    <row r="72" spans="1:38" x14ac:dyDescent="0.35">
      <c r="A72" s="8"/>
      <c r="B72" s="8"/>
      <c r="C72" s="8"/>
      <c r="D72" s="8"/>
      <c r="I72" s="8"/>
      <c r="J72" s="8"/>
      <c r="K72" s="8"/>
      <c r="L72" s="8"/>
      <c r="M72" s="8"/>
      <c r="N72">
        <v>1004</v>
      </c>
      <c r="O72">
        <v>1004111</v>
      </c>
      <c r="P72" t="str">
        <f>VLOOKUP(N72,'Site Allocation'!$B$2:$C$37,2,FALSE)</f>
        <v>Analyst1</v>
      </c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</row>
    <row r="73" spans="1:38" x14ac:dyDescent="0.35">
      <c r="A73" s="8"/>
      <c r="B73" s="8"/>
      <c r="C73" s="8"/>
      <c r="D73" s="8"/>
      <c r="I73" s="8"/>
      <c r="J73" s="8"/>
      <c r="K73" s="8"/>
      <c r="L73" s="8"/>
      <c r="M73" s="8"/>
      <c r="N73">
        <v>1004</v>
      </c>
      <c r="O73">
        <v>1004111</v>
      </c>
      <c r="P73" t="str">
        <f>VLOOKUP(N73,'Site Allocation'!$B$2:$C$37,2,FALSE)</f>
        <v>Analyst1</v>
      </c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</row>
    <row r="74" spans="1:38" x14ac:dyDescent="0.35">
      <c r="A74" s="8"/>
      <c r="B74" s="8"/>
      <c r="C74" s="8"/>
      <c r="D74" s="8"/>
      <c r="I74" s="8"/>
      <c r="J74" s="8"/>
      <c r="K74" s="8"/>
      <c r="L74" s="8"/>
      <c r="M74" s="8"/>
      <c r="N74">
        <v>1004</v>
      </c>
      <c r="O74">
        <v>1004111</v>
      </c>
      <c r="P74" t="str">
        <f>VLOOKUP(N74,'Site Allocation'!$B$2:$C$37,2,FALSE)</f>
        <v>Analyst1</v>
      </c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</row>
    <row r="75" spans="1:38" x14ac:dyDescent="0.35">
      <c r="A75" s="8"/>
      <c r="B75" s="8"/>
      <c r="C75" s="8"/>
      <c r="D75" s="8"/>
      <c r="I75" s="8"/>
      <c r="J75" s="8"/>
      <c r="K75" s="8"/>
      <c r="L75" s="8"/>
      <c r="M75" s="8"/>
      <c r="N75">
        <v>1005</v>
      </c>
      <c r="O75">
        <v>1005111</v>
      </c>
      <c r="P75" t="str">
        <f>VLOOKUP(N75,'Site Allocation'!$B$2:$C$37,2,FALSE)</f>
        <v>Analyst1</v>
      </c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</row>
    <row r="76" spans="1:38" x14ac:dyDescent="0.35">
      <c r="A76" s="8"/>
      <c r="B76" s="8"/>
      <c r="C76" s="8"/>
      <c r="D76" s="8"/>
      <c r="I76" s="8"/>
      <c r="J76" s="8"/>
      <c r="K76" s="8"/>
      <c r="L76" s="8"/>
      <c r="M76" s="8"/>
      <c r="N76">
        <v>1005</v>
      </c>
      <c r="O76">
        <v>1005111</v>
      </c>
      <c r="P76" t="str">
        <f>VLOOKUP(N76,'Site Allocation'!$B$2:$C$37,2,FALSE)</f>
        <v>Analyst1</v>
      </c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</row>
    <row r="77" spans="1:38" x14ac:dyDescent="0.35">
      <c r="A77" s="8"/>
      <c r="B77" s="8"/>
      <c r="C77" s="8"/>
      <c r="D77" s="8"/>
      <c r="I77" s="8"/>
      <c r="J77" s="8"/>
      <c r="K77" s="8"/>
      <c r="L77" s="8"/>
      <c r="M77" s="8"/>
      <c r="N77">
        <v>1005</v>
      </c>
      <c r="O77">
        <v>1005111</v>
      </c>
      <c r="P77" t="str">
        <f>VLOOKUP(N77,'Site Allocation'!$B$2:$C$37,2,FALSE)</f>
        <v>Analyst1</v>
      </c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</row>
    <row r="78" spans="1:38" x14ac:dyDescent="0.35">
      <c r="A78" s="8"/>
      <c r="B78" s="8"/>
      <c r="C78" s="8"/>
      <c r="D78" s="8"/>
      <c r="I78" s="8"/>
      <c r="J78" s="8"/>
      <c r="K78" s="8"/>
      <c r="L78" s="8"/>
      <c r="M78" s="8"/>
      <c r="N78">
        <v>1005</v>
      </c>
      <c r="O78">
        <v>1005111</v>
      </c>
      <c r="P78" t="str">
        <f>VLOOKUP(N78,'Site Allocation'!$B$2:$C$37,2,FALSE)</f>
        <v>Analyst1</v>
      </c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</row>
    <row r="79" spans="1:38" x14ac:dyDescent="0.35">
      <c r="A79" s="8"/>
      <c r="B79" s="8"/>
      <c r="C79" s="8"/>
      <c r="D79" s="8"/>
      <c r="I79" s="8"/>
      <c r="J79" s="8"/>
      <c r="K79" s="8"/>
      <c r="L79" s="8"/>
      <c r="M79" s="8"/>
      <c r="N79">
        <v>1005</v>
      </c>
      <c r="O79">
        <v>1005111</v>
      </c>
      <c r="P79" t="str">
        <f>VLOOKUP(N79,'Site Allocation'!$B$2:$C$37,2,FALSE)</f>
        <v>Analyst1</v>
      </c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</row>
    <row r="80" spans="1:38" x14ac:dyDescent="0.35">
      <c r="A80" s="8"/>
      <c r="B80" s="8"/>
      <c r="C80" s="8"/>
      <c r="D80" s="8"/>
      <c r="I80" s="8"/>
      <c r="J80" s="8"/>
      <c r="K80" s="8"/>
      <c r="L80" s="8"/>
      <c r="M80" s="8"/>
      <c r="N80">
        <v>1005</v>
      </c>
      <c r="O80">
        <v>1005111</v>
      </c>
      <c r="P80" t="str">
        <f>VLOOKUP(N80,'Site Allocation'!$B$2:$C$37,2,FALSE)</f>
        <v>Analyst1</v>
      </c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</row>
    <row r="81" spans="1:38" x14ac:dyDescent="0.35">
      <c r="A81" s="8"/>
      <c r="B81" s="8"/>
      <c r="C81" s="8"/>
      <c r="D81" s="8"/>
      <c r="I81" s="8"/>
      <c r="J81" s="8"/>
      <c r="K81" s="8"/>
      <c r="L81" s="8"/>
      <c r="M81" s="8"/>
      <c r="N81">
        <v>1005</v>
      </c>
      <c r="O81">
        <v>1005111</v>
      </c>
      <c r="P81" t="str">
        <f>VLOOKUP(N81,'Site Allocation'!$B$2:$C$37,2,FALSE)</f>
        <v>Analyst1</v>
      </c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</row>
    <row r="82" spans="1:38" x14ac:dyDescent="0.35">
      <c r="A82" s="8"/>
      <c r="B82" s="8"/>
      <c r="C82" s="8"/>
      <c r="D82" s="8"/>
      <c r="I82" s="8"/>
      <c r="J82" s="8"/>
      <c r="K82" s="8"/>
      <c r="L82" s="8"/>
      <c r="M82" s="8"/>
      <c r="N82">
        <v>1005</v>
      </c>
      <c r="O82">
        <v>1005111</v>
      </c>
      <c r="P82" t="str">
        <f>VLOOKUP(N82,'Site Allocation'!$B$2:$C$37,2,FALSE)</f>
        <v>Analyst1</v>
      </c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</row>
    <row r="83" spans="1:38" x14ac:dyDescent="0.35">
      <c r="A83" s="8"/>
      <c r="B83" s="8"/>
      <c r="C83" s="8"/>
      <c r="D83" s="8"/>
      <c r="I83" s="8"/>
      <c r="J83" s="8"/>
      <c r="K83" s="8"/>
      <c r="L83" s="8"/>
      <c r="M83" s="8"/>
      <c r="N83">
        <v>1005</v>
      </c>
      <c r="O83">
        <v>1005111</v>
      </c>
      <c r="P83" t="str">
        <f>VLOOKUP(N83,'Site Allocation'!$B$2:$C$37,2,FALSE)</f>
        <v>Analyst1</v>
      </c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</row>
    <row r="84" spans="1:38" x14ac:dyDescent="0.35">
      <c r="A84" s="8"/>
      <c r="B84" s="8"/>
      <c r="C84" s="8"/>
      <c r="D84" s="8"/>
      <c r="I84" s="8"/>
      <c r="J84" s="8"/>
      <c r="K84" s="8"/>
      <c r="L84" s="8"/>
      <c r="M84" s="8"/>
      <c r="N84">
        <v>1005</v>
      </c>
      <c r="O84">
        <v>1005111</v>
      </c>
      <c r="P84" t="str">
        <f>VLOOKUP(N84,'Site Allocation'!$B$2:$C$37,2,FALSE)</f>
        <v>Analyst1</v>
      </c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</row>
    <row r="85" spans="1:38" x14ac:dyDescent="0.35">
      <c r="A85" s="8"/>
      <c r="B85" s="8"/>
      <c r="C85" s="8"/>
      <c r="D85" s="8"/>
      <c r="I85" s="8"/>
      <c r="J85" s="8"/>
      <c r="K85" s="8"/>
      <c r="L85" s="8"/>
      <c r="M85" s="8"/>
      <c r="N85">
        <v>1005</v>
      </c>
      <c r="O85">
        <v>1005111</v>
      </c>
      <c r="P85" t="str">
        <f>VLOOKUP(N85,'Site Allocation'!$B$2:$C$37,2,FALSE)</f>
        <v>Analyst1</v>
      </c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</row>
    <row r="86" spans="1:38" x14ac:dyDescent="0.35">
      <c r="A86" s="8"/>
      <c r="B86" s="8"/>
      <c r="C86" s="8"/>
      <c r="D86" s="8"/>
      <c r="I86" s="8"/>
      <c r="J86" s="8"/>
      <c r="K86" s="8"/>
      <c r="L86" s="8"/>
      <c r="M86" s="8"/>
      <c r="N86">
        <v>1005</v>
      </c>
      <c r="O86">
        <v>1005111</v>
      </c>
      <c r="P86" t="str">
        <f>VLOOKUP(N86,'Site Allocation'!$B$2:$C$37,2,FALSE)</f>
        <v>Analyst1</v>
      </c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</row>
    <row r="87" spans="1:38" x14ac:dyDescent="0.35">
      <c r="A87" s="8"/>
      <c r="B87" s="8"/>
      <c r="C87" s="8"/>
      <c r="D87" s="8"/>
      <c r="I87" s="8"/>
      <c r="J87" s="8"/>
      <c r="K87" s="8"/>
      <c r="L87" s="8"/>
      <c r="M87" s="8"/>
      <c r="N87">
        <v>1005</v>
      </c>
      <c r="O87">
        <v>1005111</v>
      </c>
      <c r="P87" t="str">
        <f>VLOOKUP(N87,'Site Allocation'!$B$2:$C$37,2,FALSE)</f>
        <v>Analyst1</v>
      </c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</row>
    <row r="88" spans="1:38" x14ac:dyDescent="0.35">
      <c r="A88" s="8"/>
      <c r="B88" s="8"/>
      <c r="C88" s="8"/>
      <c r="D88" s="8"/>
      <c r="I88" s="8"/>
      <c r="J88" s="8"/>
      <c r="K88" s="8"/>
      <c r="L88" s="8"/>
      <c r="M88" s="8"/>
      <c r="N88">
        <v>1005</v>
      </c>
      <c r="O88">
        <v>1005111</v>
      </c>
      <c r="P88" t="str">
        <f>VLOOKUP(N88,'Site Allocation'!$B$2:$C$37,2,FALSE)</f>
        <v>Analyst1</v>
      </c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</row>
    <row r="89" spans="1:38" x14ac:dyDescent="0.35">
      <c r="A89" s="8"/>
      <c r="B89" s="8"/>
      <c r="C89" s="8"/>
      <c r="D89" s="8"/>
      <c r="I89" s="8"/>
      <c r="J89" s="8"/>
      <c r="K89" s="8"/>
      <c r="L89" s="8"/>
      <c r="M89" s="8"/>
      <c r="N89">
        <v>1005</v>
      </c>
      <c r="O89">
        <v>1005111</v>
      </c>
      <c r="P89" t="str">
        <f>VLOOKUP(N89,'Site Allocation'!$B$2:$C$37,2,FALSE)</f>
        <v>Analyst1</v>
      </c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</row>
    <row r="90" spans="1:38" x14ac:dyDescent="0.35">
      <c r="A90" s="8"/>
      <c r="B90" s="8"/>
      <c r="C90" s="8"/>
      <c r="D90" s="8"/>
      <c r="I90" s="8"/>
      <c r="J90" s="8"/>
      <c r="K90" s="8"/>
      <c r="L90" s="8"/>
      <c r="M90" s="8"/>
      <c r="N90">
        <v>1006</v>
      </c>
      <c r="O90">
        <v>1006111</v>
      </c>
      <c r="P90" t="str">
        <f>VLOOKUP(N90,'Site Allocation'!$B$2:$C$37,2,FALSE)</f>
        <v>Analyst2</v>
      </c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</row>
    <row r="91" spans="1:38" x14ac:dyDescent="0.35">
      <c r="A91" s="8"/>
      <c r="B91" s="8"/>
      <c r="C91" s="8"/>
      <c r="D91" s="8"/>
      <c r="I91" s="8"/>
      <c r="J91" s="8"/>
      <c r="K91" s="8"/>
      <c r="L91" s="8"/>
      <c r="M91" s="8"/>
      <c r="N91">
        <v>1006</v>
      </c>
      <c r="O91">
        <v>1006111</v>
      </c>
      <c r="P91" t="str">
        <f>VLOOKUP(N91,'Site Allocation'!$B$2:$C$37,2,FALSE)</f>
        <v>Analyst2</v>
      </c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</row>
    <row r="92" spans="1:38" x14ac:dyDescent="0.35">
      <c r="A92" s="8"/>
      <c r="B92" s="8"/>
      <c r="C92" s="8"/>
      <c r="D92" s="8"/>
      <c r="I92" s="8"/>
      <c r="J92" s="8"/>
      <c r="K92" s="8"/>
      <c r="L92" s="8"/>
      <c r="M92" s="8"/>
      <c r="N92">
        <v>1006</v>
      </c>
      <c r="O92">
        <v>1006111</v>
      </c>
      <c r="P92" t="str">
        <f>VLOOKUP(N92,'Site Allocation'!$B$2:$C$37,2,FALSE)</f>
        <v>Analyst2</v>
      </c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</row>
    <row r="93" spans="1:38" x14ac:dyDescent="0.35">
      <c r="A93" s="8"/>
      <c r="B93" s="8"/>
      <c r="C93" s="8"/>
      <c r="D93" s="8"/>
      <c r="I93" s="8"/>
      <c r="J93" s="8"/>
      <c r="K93" s="8"/>
      <c r="L93" s="8"/>
      <c r="M93" s="8"/>
      <c r="N93">
        <v>1006</v>
      </c>
      <c r="O93">
        <v>1006111</v>
      </c>
      <c r="P93" t="str">
        <f>VLOOKUP(N93,'Site Allocation'!$B$2:$C$37,2,FALSE)</f>
        <v>Analyst2</v>
      </c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</row>
    <row r="94" spans="1:38" x14ac:dyDescent="0.35">
      <c r="A94" s="8"/>
      <c r="B94" s="8"/>
      <c r="C94" s="8"/>
      <c r="D94" s="8"/>
      <c r="I94" s="8"/>
      <c r="J94" s="8"/>
      <c r="K94" s="8"/>
      <c r="L94" s="8"/>
      <c r="M94" s="8"/>
      <c r="N94">
        <v>1006</v>
      </c>
      <c r="O94">
        <v>1006111</v>
      </c>
      <c r="P94" t="str">
        <f>VLOOKUP(N94,'Site Allocation'!$B$2:$C$37,2,FALSE)</f>
        <v>Analyst2</v>
      </c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</row>
    <row r="95" spans="1:38" x14ac:dyDescent="0.35">
      <c r="A95" s="8"/>
      <c r="B95" s="8"/>
      <c r="C95" s="8"/>
      <c r="D95" s="8"/>
      <c r="I95" s="8"/>
      <c r="J95" s="8"/>
      <c r="K95" s="8"/>
      <c r="L95" s="8"/>
      <c r="M95" s="8"/>
      <c r="N95">
        <v>1006</v>
      </c>
      <c r="O95">
        <v>1006111</v>
      </c>
      <c r="P95" t="str">
        <f>VLOOKUP(N95,'Site Allocation'!$B$2:$C$37,2,FALSE)</f>
        <v>Analyst2</v>
      </c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</row>
    <row r="96" spans="1:38" x14ac:dyDescent="0.35">
      <c r="A96" s="8"/>
      <c r="B96" s="8"/>
      <c r="C96" s="8"/>
      <c r="D96" s="8"/>
      <c r="I96" s="8"/>
      <c r="J96" s="8"/>
      <c r="K96" s="8"/>
      <c r="L96" s="8"/>
      <c r="M96" s="8"/>
      <c r="N96">
        <v>1006</v>
      </c>
      <c r="O96">
        <v>1006111</v>
      </c>
      <c r="P96" t="str">
        <f>VLOOKUP(N96,'Site Allocation'!$B$2:$C$37,2,FALSE)</f>
        <v>Analyst2</v>
      </c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</row>
    <row r="97" spans="1:38" x14ac:dyDescent="0.35">
      <c r="A97" s="8"/>
      <c r="B97" s="8"/>
      <c r="C97" s="8"/>
      <c r="D97" s="8"/>
      <c r="I97" s="8"/>
      <c r="J97" s="8"/>
      <c r="K97" s="8"/>
      <c r="L97" s="8"/>
      <c r="M97" s="8"/>
      <c r="N97">
        <v>1006</v>
      </c>
      <c r="O97">
        <v>1006111</v>
      </c>
      <c r="P97" t="str">
        <f>VLOOKUP(N97,'Site Allocation'!$B$2:$C$37,2,FALSE)</f>
        <v>Analyst2</v>
      </c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</row>
    <row r="98" spans="1:38" x14ac:dyDescent="0.35">
      <c r="A98" s="8"/>
      <c r="B98" s="8"/>
      <c r="C98" s="8"/>
      <c r="D98" s="8"/>
      <c r="I98" s="8"/>
      <c r="J98" s="8"/>
      <c r="K98" s="8"/>
      <c r="L98" s="8"/>
      <c r="M98" s="8"/>
      <c r="N98">
        <v>1006</v>
      </c>
      <c r="O98">
        <v>1006111</v>
      </c>
      <c r="P98" t="str">
        <f>VLOOKUP(N98,'Site Allocation'!$B$2:$C$37,2,FALSE)</f>
        <v>Analyst2</v>
      </c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</row>
    <row r="99" spans="1:38" x14ac:dyDescent="0.35">
      <c r="A99" s="8"/>
      <c r="B99" s="8"/>
      <c r="C99" s="8"/>
      <c r="D99" s="8"/>
      <c r="I99" s="8"/>
      <c r="J99" s="8"/>
      <c r="K99" s="8"/>
      <c r="L99" s="8"/>
      <c r="M99" s="8"/>
      <c r="N99">
        <v>1006</v>
      </c>
      <c r="O99">
        <v>1006111</v>
      </c>
      <c r="P99" t="str">
        <f>VLOOKUP(N99,'Site Allocation'!$B$2:$C$37,2,FALSE)</f>
        <v>Analyst2</v>
      </c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</row>
    <row r="100" spans="1:38" x14ac:dyDescent="0.35">
      <c r="A100" s="8"/>
      <c r="B100" s="8"/>
      <c r="C100" s="8"/>
      <c r="D100" s="8"/>
      <c r="I100" s="8"/>
      <c r="J100" s="8"/>
      <c r="K100" s="8"/>
      <c r="L100" s="8"/>
      <c r="M100" s="8"/>
      <c r="N100">
        <v>1007</v>
      </c>
      <c r="O100">
        <v>1007111</v>
      </c>
      <c r="P100" t="str">
        <f>VLOOKUP(N100,'Site Allocation'!$B$2:$C$37,2,FALSE)</f>
        <v>Analyst2</v>
      </c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</row>
    <row r="101" spans="1:38" x14ac:dyDescent="0.35">
      <c r="A101" s="8"/>
      <c r="B101" s="8"/>
      <c r="C101" s="8"/>
      <c r="D101" s="8"/>
      <c r="I101" s="8"/>
      <c r="J101" s="8"/>
      <c r="K101" s="8"/>
      <c r="L101" s="8"/>
      <c r="M101" s="8"/>
      <c r="N101">
        <v>1007</v>
      </c>
      <c r="O101">
        <v>1007111</v>
      </c>
      <c r="P101" t="str">
        <f>VLOOKUP(N101,'Site Allocation'!$B$2:$C$37,2,FALSE)</f>
        <v>Analyst2</v>
      </c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</row>
    <row r="102" spans="1:38" x14ac:dyDescent="0.35">
      <c r="A102" s="8"/>
      <c r="B102" s="8"/>
      <c r="C102" s="8"/>
      <c r="D102" s="8"/>
      <c r="I102" s="8"/>
      <c r="J102" s="8"/>
      <c r="K102" s="8"/>
      <c r="L102" s="8"/>
      <c r="M102" s="8"/>
      <c r="N102">
        <v>1007</v>
      </c>
      <c r="O102">
        <v>1007111</v>
      </c>
      <c r="P102" t="str">
        <f>VLOOKUP(N102,'Site Allocation'!$B$2:$C$37,2,FALSE)</f>
        <v>Analyst2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</row>
    <row r="103" spans="1:38" x14ac:dyDescent="0.35">
      <c r="A103" s="8"/>
      <c r="B103" s="8"/>
      <c r="C103" s="8"/>
      <c r="D103" s="8"/>
      <c r="I103" s="8"/>
      <c r="J103" s="8"/>
      <c r="K103" s="8"/>
      <c r="L103" s="8"/>
      <c r="M103" s="8"/>
      <c r="N103">
        <v>1007</v>
      </c>
      <c r="O103">
        <v>1007111</v>
      </c>
      <c r="P103" t="str">
        <f>VLOOKUP(N103,'Site Allocation'!$B$2:$C$37,2,FALSE)</f>
        <v>Analyst2</v>
      </c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</row>
    <row r="104" spans="1:38" x14ac:dyDescent="0.35">
      <c r="A104" s="8"/>
      <c r="B104" s="8"/>
      <c r="C104" s="8"/>
      <c r="D104" s="8"/>
      <c r="I104" s="8"/>
      <c r="J104" s="8"/>
      <c r="K104" s="8"/>
      <c r="L104" s="8"/>
      <c r="M104" s="8"/>
      <c r="N104">
        <v>1007</v>
      </c>
      <c r="O104">
        <v>1007111</v>
      </c>
      <c r="P104" t="str">
        <f>VLOOKUP(N104,'Site Allocation'!$B$2:$C$37,2,FALSE)</f>
        <v>Analyst2</v>
      </c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</row>
    <row r="105" spans="1:38" x14ac:dyDescent="0.35">
      <c r="A105" s="8"/>
      <c r="B105" s="8"/>
      <c r="C105" s="8"/>
      <c r="D105" s="8"/>
      <c r="I105" s="8"/>
      <c r="J105" s="8"/>
      <c r="K105" s="8"/>
      <c r="L105" s="8"/>
      <c r="M105" s="8"/>
      <c r="N105">
        <v>1007</v>
      </c>
      <c r="O105">
        <v>1007111</v>
      </c>
      <c r="P105" t="str">
        <f>VLOOKUP(N105,'Site Allocation'!$B$2:$C$37,2,FALSE)</f>
        <v>Analyst2</v>
      </c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</row>
    <row r="106" spans="1:38" x14ac:dyDescent="0.35">
      <c r="A106" s="8"/>
      <c r="B106" s="8"/>
      <c r="C106" s="8"/>
      <c r="D106" s="8"/>
      <c r="I106" s="8"/>
      <c r="J106" s="8"/>
      <c r="K106" s="8"/>
      <c r="L106" s="8"/>
      <c r="M106" s="8"/>
      <c r="N106">
        <v>1007</v>
      </c>
      <c r="O106">
        <v>1007111</v>
      </c>
      <c r="P106" t="str">
        <f>VLOOKUP(N106,'Site Allocation'!$B$2:$C$37,2,FALSE)</f>
        <v>Analyst2</v>
      </c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</row>
    <row r="107" spans="1:38" x14ac:dyDescent="0.35">
      <c r="A107" s="8"/>
      <c r="B107" s="8"/>
      <c r="C107" s="8"/>
      <c r="D107" s="8"/>
      <c r="I107" s="8"/>
      <c r="J107" s="8"/>
      <c r="K107" s="8"/>
      <c r="L107" s="8"/>
      <c r="M107" s="8"/>
      <c r="N107">
        <v>1007</v>
      </c>
      <c r="O107">
        <v>1007111</v>
      </c>
      <c r="P107" t="str">
        <f>VLOOKUP(N107,'Site Allocation'!$B$2:$C$37,2,FALSE)</f>
        <v>Analyst2</v>
      </c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</row>
    <row r="108" spans="1:38" x14ac:dyDescent="0.35">
      <c r="A108" s="8"/>
      <c r="B108" s="8"/>
      <c r="C108" s="8"/>
      <c r="D108" s="8"/>
      <c r="I108" s="8"/>
      <c r="J108" s="8"/>
      <c r="K108" s="8"/>
      <c r="L108" s="8"/>
      <c r="M108" s="8"/>
      <c r="N108">
        <v>1007</v>
      </c>
      <c r="O108">
        <v>1007111</v>
      </c>
      <c r="P108" t="str">
        <f>VLOOKUP(N108,'Site Allocation'!$B$2:$C$37,2,FALSE)</f>
        <v>Analyst2</v>
      </c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</row>
    <row r="109" spans="1:38" x14ac:dyDescent="0.35">
      <c r="A109" s="8"/>
      <c r="B109" s="8"/>
      <c r="C109" s="8"/>
      <c r="D109" s="8"/>
      <c r="I109" s="8"/>
      <c r="J109" s="8"/>
      <c r="K109" s="8"/>
      <c r="L109" s="8"/>
      <c r="M109" s="8"/>
      <c r="N109">
        <v>1007</v>
      </c>
      <c r="O109">
        <v>1007111</v>
      </c>
      <c r="P109" t="str">
        <f>VLOOKUP(N109,'Site Allocation'!$B$2:$C$37,2,FALSE)</f>
        <v>Analyst2</v>
      </c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</row>
    <row r="110" spans="1:38" x14ac:dyDescent="0.35">
      <c r="A110" s="8"/>
      <c r="B110" s="8"/>
      <c r="C110" s="8"/>
      <c r="D110" s="8"/>
      <c r="I110" s="8"/>
      <c r="J110" s="8"/>
      <c r="K110" s="8"/>
      <c r="L110" s="8"/>
      <c r="M110" s="8"/>
      <c r="N110">
        <v>1007</v>
      </c>
      <c r="O110">
        <v>1007111</v>
      </c>
      <c r="P110" t="str">
        <f>VLOOKUP(N110,'Site Allocation'!$B$2:$C$37,2,FALSE)</f>
        <v>Analyst2</v>
      </c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</row>
    <row r="111" spans="1:38" x14ac:dyDescent="0.35">
      <c r="A111" s="8"/>
      <c r="B111" s="8"/>
      <c r="C111" s="8"/>
      <c r="D111" s="8"/>
      <c r="I111" s="8"/>
      <c r="J111" s="8"/>
      <c r="K111" s="8"/>
      <c r="L111" s="8"/>
      <c r="M111" s="8"/>
      <c r="N111">
        <v>1007</v>
      </c>
      <c r="O111">
        <v>1007111</v>
      </c>
      <c r="P111" t="str">
        <f>VLOOKUP(N111,'Site Allocation'!$B$2:$C$37,2,FALSE)</f>
        <v>Analyst2</v>
      </c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</row>
    <row r="112" spans="1:38" x14ac:dyDescent="0.35">
      <c r="A112" s="8"/>
      <c r="B112" s="8"/>
      <c r="C112" s="8"/>
      <c r="D112" s="8"/>
      <c r="I112" s="8"/>
      <c r="J112" s="8"/>
      <c r="K112" s="8"/>
      <c r="L112" s="8"/>
      <c r="M112" s="8"/>
      <c r="N112">
        <v>1008</v>
      </c>
      <c r="O112">
        <v>1008111</v>
      </c>
      <c r="P112" t="str">
        <f>VLOOKUP(N112,'Site Allocation'!$B$2:$C$37,2,FALSE)</f>
        <v>Analyst2</v>
      </c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</row>
    <row r="113" spans="1:38" x14ac:dyDescent="0.35">
      <c r="A113" s="8"/>
      <c r="B113" s="8"/>
      <c r="C113" s="8"/>
      <c r="D113" s="8"/>
      <c r="I113" s="8"/>
      <c r="J113" s="8"/>
      <c r="K113" s="8"/>
      <c r="L113" s="8"/>
      <c r="M113" s="8"/>
      <c r="N113">
        <v>1008</v>
      </c>
      <c r="O113">
        <v>1008111</v>
      </c>
      <c r="P113" t="str">
        <f>VLOOKUP(N113,'Site Allocation'!$B$2:$C$37,2,FALSE)</f>
        <v>Analyst2</v>
      </c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</row>
    <row r="114" spans="1:38" x14ac:dyDescent="0.35">
      <c r="A114" s="8"/>
      <c r="B114" s="8"/>
      <c r="C114" s="8"/>
      <c r="D114" s="8"/>
      <c r="I114" s="8"/>
      <c r="J114" s="8"/>
      <c r="K114" s="8"/>
      <c r="L114" s="8"/>
      <c r="M114" s="8"/>
      <c r="N114">
        <v>1008</v>
      </c>
      <c r="O114">
        <v>1008111</v>
      </c>
      <c r="P114" t="str">
        <f>VLOOKUP(N114,'Site Allocation'!$B$2:$C$37,2,FALSE)</f>
        <v>Analyst2</v>
      </c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</row>
    <row r="115" spans="1:38" x14ac:dyDescent="0.35">
      <c r="A115" s="8"/>
      <c r="B115" s="8"/>
      <c r="C115" s="8"/>
      <c r="D115" s="8"/>
      <c r="I115" s="8"/>
      <c r="J115" s="8"/>
      <c r="K115" s="8"/>
      <c r="L115" s="8"/>
      <c r="M115" s="8"/>
      <c r="N115">
        <v>1008</v>
      </c>
      <c r="O115">
        <v>1008111</v>
      </c>
      <c r="P115" t="str">
        <f>VLOOKUP(N115,'Site Allocation'!$B$2:$C$37,2,FALSE)</f>
        <v>Analyst2</v>
      </c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</row>
    <row r="116" spans="1:38" x14ac:dyDescent="0.35">
      <c r="A116" s="8"/>
      <c r="B116" s="8"/>
      <c r="C116" s="8"/>
      <c r="D116" s="8"/>
      <c r="I116" s="8"/>
      <c r="J116" s="8"/>
      <c r="K116" s="8"/>
      <c r="L116" s="8"/>
      <c r="M116" s="8"/>
      <c r="N116">
        <v>1008</v>
      </c>
      <c r="O116">
        <v>1008111</v>
      </c>
      <c r="P116" t="str">
        <f>VLOOKUP(N116,'Site Allocation'!$B$2:$C$37,2,FALSE)</f>
        <v>Analyst2</v>
      </c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</row>
    <row r="117" spans="1:38" x14ac:dyDescent="0.35">
      <c r="A117" s="8"/>
      <c r="B117" s="8"/>
      <c r="C117" s="8"/>
      <c r="D117" s="8"/>
      <c r="I117" s="8"/>
      <c r="J117" s="8"/>
      <c r="K117" s="8"/>
      <c r="L117" s="8"/>
      <c r="M117" s="8"/>
      <c r="N117">
        <v>1008</v>
      </c>
      <c r="O117">
        <v>1008111</v>
      </c>
      <c r="P117" t="str">
        <f>VLOOKUP(N117,'Site Allocation'!$B$2:$C$37,2,FALSE)</f>
        <v>Analyst2</v>
      </c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</row>
    <row r="118" spans="1:38" x14ac:dyDescent="0.35">
      <c r="A118" s="8"/>
      <c r="B118" s="8"/>
      <c r="C118" s="8"/>
      <c r="D118" s="8"/>
      <c r="I118" s="8"/>
      <c r="J118" s="8"/>
      <c r="K118" s="8"/>
      <c r="L118" s="8"/>
      <c r="M118" s="8"/>
      <c r="N118">
        <v>1008</v>
      </c>
      <c r="O118">
        <v>1008111</v>
      </c>
      <c r="P118" t="str">
        <f>VLOOKUP(N118,'Site Allocation'!$B$2:$C$37,2,FALSE)</f>
        <v>Analyst2</v>
      </c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</row>
    <row r="119" spans="1:38" x14ac:dyDescent="0.35">
      <c r="A119" s="8"/>
      <c r="B119" s="8"/>
      <c r="C119" s="8"/>
      <c r="D119" s="8"/>
      <c r="I119" s="8"/>
      <c r="J119" s="8"/>
      <c r="K119" s="8"/>
      <c r="L119" s="8"/>
      <c r="M119" s="8"/>
      <c r="N119">
        <v>1008</v>
      </c>
      <c r="O119">
        <v>1008111</v>
      </c>
      <c r="P119" t="str">
        <f>VLOOKUP(N119,'Site Allocation'!$B$2:$C$37,2,FALSE)</f>
        <v>Analyst2</v>
      </c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</row>
    <row r="120" spans="1:38" x14ac:dyDescent="0.35">
      <c r="A120" s="8"/>
      <c r="B120" s="8"/>
      <c r="C120" s="8"/>
      <c r="D120" s="8"/>
      <c r="I120" s="8"/>
      <c r="J120" s="8"/>
      <c r="K120" s="8"/>
      <c r="L120" s="8"/>
      <c r="M120" s="8"/>
      <c r="N120">
        <v>1008</v>
      </c>
      <c r="O120">
        <v>1008111</v>
      </c>
      <c r="P120" t="str">
        <f>VLOOKUP(N120,'Site Allocation'!$B$2:$C$37,2,FALSE)</f>
        <v>Analyst2</v>
      </c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</row>
    <row r="121" spans="1:38" x14ac:dyDescent="0.35">
      <c r="A121" s="8"/>
      <c r="B121" s="8"/>
      <c r="C121" s="8"/>
      <c r="D121" s="8"/>
      <c r="I121" s="8"/>
      <c r="J121" s="8"/>
      <c r="K121" s="8"/>
      <c r="L121" s="8"/>
      <c r="M121" s="8"/>
      <c r="N121">
        <v>1009</v>
      </c>
      <c r="O121">
        <v>1009111</v>
      </c>
      <c r="P121" t="str">
        <f>VLOOKUP(N121,'Site Allocation'!$B$2:$C$37,2,FALSE)</f>
        <v>Analyst2</v>
      </c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</row>
    <row r="122" spans="1:38" x14ac:dyDescent="0.35">
      <c r="A122" s="8"/>
      <c r="B122" s="8"/>
      <c r="C122" s="8"/>
      <c r="D122" s="8"/>
      <c r="I122" s="8"/>
      <c r="J122" s="8"/>
      <c r="K122" s="8"/>
      <c r="L122" s="8"/>
      <c r="M122" s="8"/>
      <c r="N122">
        <v>1009</v>
      </c>
      <c r="O122">
        <v>1009111</v>
      </c>
      <c r="P122" t="str">
        <f>VLOOKUP(N122,'Site Allocation'!$B$2:$C$37,2,FALSE)</f>
        <v>Analyst2</v>
      </c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</row>
    <row r="123" spans="1:38" x14ac:dyDescent="0.35">
      <c r="A123" s="8"/>
      <c r="B123" s="8"/>
      <c r="C123" s="8"/>
      <c r="D123" s="8"/>
      <c r="I123" s="8"/>
      <c r="J123" s="8"/>
      <c r="K123" s="8"/>
      <c r="L123" s="8"/>
      <c r="M123" s="8"/>
      <c r="N123">
        <v>1009</v>
      </c>
      <c r="O123">
        <v>1009111</v>
      </c>
      <c r="P123" t="str">
        <f>VLOOKUP(N123,'Site Allocation'!$B$2:$C$37,2,FALSE)</f>
        <v>Analyst2</v>
      </c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</row>
    <row r="124" spans="1:38" x14ac:dyDescent="0.35">
      <c r="A124" s="8"/>
      <c r="B124" s="8"/>
      <c r="C124" s="8"/>
      <c r="D124" s="8"/>
      <c r="I124" s="8"/>
      <c r="J124" s="8"/>
      <c r="K124" s="8"/>
      <c r="L124" s="8"/>
      <c r="M124" s="8"/>
      <c r="N124">
        <v>1009</v>
      </c>
      <c r="O124">
        <v>1009111</v>
      </c>
      <c r="P124" t="str">
        <f>VLOOKUP(N124,'Site Allocation'!$B$2:$C$37,2,FALSE)</f>
        <v>Analyst2</v>
      </c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</row>
    <row r="125" spans="1:38" x14ac:dyDescent="0.35">
      <c r="A125" s="8"/>
      <c r="B125" s="8"/>
      <c r="C125" s="8"/>
      <c r="D125" s="8"/>
      <c r="I125" s="8"/>
      <c r="J125" s="8"/>
      <c r="K125" s="8"/>
      <c r="L125" s="8"/>
      <c r="M125" s="8"/>
      <c r="N125">
        <v>1009</v>
      </c>
      <c r="O125">
        <v>1009111</v>
      </c>
      <c r="P125" t="str">
        <f>VLOOKUP(N125,'Site Allocation'!$B$2:$C$37,2,FALSE)</f>
        <v>Analyst2</v>
      </c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</row>
    <row r="126" spans="1:38" x14ac:dyDescent="0.35">
      <c r="A126" s="8"/>
      <c r="B126" s="8"/>
      <c r="C126" s="8"/>
      <c r="D126" s="8"/>
      <c r="I126" s="8"/>
      <c r="J126" s="8"/>
      <c r="K126" s="8"/>
      <c r="L126" s="8"/>
      <c r="M126" s="8"/>
      <c r="N126">
        <v>1009</v>
      </c>
      <c r="O126">
        <v>1009111</v>
      </c>
      <c r="P126" t="str">
        <f>VLOOKUP(N126,'Site Allocation'!$B$2:$C$37,2,FALSE)</f>
        <v>Analyst2</v>
      </c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</row>
    <row r="127" spans="1:38" x14ac:dyDescent="0.35">
      <c r="A127" s="8"/>
      <c r="B127" s="8"/>
      <c r="C127" s="8"/>
      <c r="D127" s="8"/>
      <c r="I127" s="8"/>
      <c r="J127" s="8"/>
      <c r="K127" s="8"/>
      <c r="L127" s="8"/>
      <c r="M127" s="8"/>
      <c r="N127">
        <v>1009</v>
      </c>
      <c r="O127">
        <v>1009111</v>
      </c>
      <c r="P127" t="str">
        <f>VLOOKUP(N127,'Site Allocation'!$B$2:$C$37,2,FALSE)</f>
        <v>Analyst2</v>
      </c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</row>
    <row r="128" spans="1:38" x14ac:dyDescent="0.35">
      <c r="A128" s="8"/>
      <c r="B128" s="8"/>
      <c r="C128" s="8"/>
      <c r="D128" s="8"/>
      <c r="I128" s="8"/>
      <c r="J128" s="8"/>
      <c r="K128" s="8"/>
      <c r="L128" s="8"/>
      <c r="M128" s="8"/>
      <c r="N128">
        <v>1009</v>
      </c>
      <c r="O128">
        <v>1009111</v>
      </c>
      <c r="P128" t="str">
        <f>VLOOKUP(N128,'Site Allocation'!$B$2:$C$37,2,FALSE)</f>
        <v>Analyst2</v>
      </c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</row>
    <row r="129" spans="1:38" x14ac:dyDescent="0.35">
      <c r="A129" s="8"/>
      <c r="B129" s="8"/>
      <c r="C129" s="8"/>
      <c r="D129" s="8"/>
      <c r="I129" s="8"/>
      <c r="J129" s="8"/>
      <c r="K129" s="8"/>
      <c r="L129" s="8"/>
      <c r="M129" s="8"/>
      <c r="N129">
        <v>1009</v>
      </c>
      <c r="O129">
        <v>1009111</v>
      </c>
      <c r="P129" t="str">
        <f>VLOOKUP(N129,'Site Allocation'!$B$2:$C$37,2,FALSE)</f>
        <v>Analyst2</v>
      </c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</row>
    <row r="130" spans="1:38" x14ac:dyDescent="0.35">
      <c r="A130" s="8"/>
      <c r="B130" s="8"/>
      <c r="C130" s="8"/>
      <c r="D130" s="8"/>
      <c r="I130" s="8"/>
      <c r="J130" s="8"/>
      <c r="K130" s="8"/>
      <c r="L130" s="8"/>
      <c r="M130" s="8"/>
      <c r="N130">
        <v>1009</v>
      </c>
      <c r="O130">
        <v>1009111</v>
      </c>
      <c r="P130" t="str">
        <f>VLOOKUP(N130,'Site Allocation'!$B$2:$C$37,2,FALSE)</f>
        <v>Analyst2</v>
      </c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</row>
    <row r="131" spans="1:38" x14ac:dyDescent="0.35">
      <c r="A131" s="8"/>
      <c r="B131" s="8"/>
      <c r="C131" s="8"/>
      <c r="D131" s="8"/>
      <c r="I131" s="8"/>
      <c r="J131" s="8"/>
      <c r="K131" s="8"/>
      <c r="L131" s="8"/>
      <c r="M131" s="8"/>
      <c r="N131">
        <v>1009</v>
      </c>
      <c r="O131">
        <v>1009111</v>
      </c>
      <c r="P131" t="str">
        <f>VLOOKUP(N131,'Site Allocation'!$B$2:$C$37,2,FALSE)</f>
        <v>Analyst2</v>
      </c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</row>
    <row r="132" spans="1:38" x14ac:dyDescent="0.35">
      <c r="A132" s="8"/>
      <c r="B132" s="8"/>
      <c r="C132" s="8"/>
      <c r="D132" s="8"/>
      <c r="I132" s="8"/>
      <c r="J132" s="8"/>
      <c r="K132" s="8"/>
      <c r="L132" s="8"/>
      <c r="M132" s="8"/>
      <c r="N132">
        <v>1009</v>
      </c>
      <c r="O132">
        <v>1009111</v>
      </c>
      <c r="P132" t="str">
        <f>VLOOKUP(N132,'Site Allocation'!$B$2:$C$37,2,FALSE)</f>
        <v>Analyst2</v>
      </c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</row>
    <row r="133" spans="1:38" x14ac:dyDescent="0.35">
      <c r="A133" s="8"/>
      <c r="B133" s="8"/>
      <c r="C133" s="8"/>
      <c r="D133" s="8"/>
      <c r="I133" s="8"/>
      <c r="J133" s="8"/>
      <c r="K133" s="8"/>
      <c r="L133" s="8"/>
      <c r="M133" s="8"/>
      <c r="N133">
        <v>1009</v>
      </c>
      <c r="O133">
        <v>1009111</v>
      </c>
      <c r="P133" t="str">
        <f>VLOOKUP(N133,'Site Allocation'!$B$2:$C$37,2,FALSE)</f>
        <v>Analyst2</v>
      </c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</row>
    <row r="134" spans="1:38" x14ac:dyDescent="0.35">
      <c r="A134" s="8"/>
      <c r="B134" s="8"/>
      <c r="C134" s="8"/>
      <c r="D134" s="8"/>
      <c r="I134" s="8"/>
      <c r="J134" s="8"/>
      <c r="K134" s="8"/>
      <c r="L134" s="8"/>
      <c r="M134" s="8"/>
      <c r="N134">
        <v>1009</v>
      </c>
      <c r="O134">
        <v>1009111</v>
      </c>
      <c r="P134" t="str">
        <f>VLOOKUP(N134,'Site Allocation'!$B$2:$C$37,2,FALSE)</f>
        <v>Analyst2</v>
      </c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</row>
    <row r="135" spans="1:38" x14ac:dyDescent="0.35">
      <c r="A135" s="8"/>
      <c r="B135" s="8"/>
      <c r="C135" s="8"/>
      <c r="D135" s="8"/>
      <c r="I135" s="8"/>
      <c r="J135" s="8"/>
      <c r="K135" s="8"/>
      <c r="L135" s="8"/>
      <c r="M135" s="8"/>
      <c r="N135">
        <v>1009</v>
      </c>
      <c r="O135">
        <v>1009111</v>
      </c>
      <c r="P135" t="str">
        <f>VLOOKUP(N135,'Site Allocation'!$B$2:$C$37,2,FALSE)</f>
        <v>Analyst2</v>
      </c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</row>
    <row r="136" spans="1:38" x14ac:dyDescent="0.35">
      <c r="A136" s="8"/>
      <c r="B136" s="8"/>
      <c r="C136" s="8"/>
      <c r="D136" s="8"/>
      <c r="I136" s="8"/>
      <c r="J136" s="8"/>
      <c r="K136" s="8"/>
      <c r="L136" s="8"/>
      <c r="M136" s="8"/>
      <c r="N136">
        <v>1010</v>
      </c>
      <c r="O136">
        <v>1010111</v>
      </c>
      <c r="P136" t="str">
        <f>VLOOKUP(N136,'Site Allocation'!$B$2:$C$37,2,FALSE)</f>
        <v>Analyst2</v>
      </c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</row>
    <row r="137" spans="1:38" x14ac:dyDescent="0.35">
      <c r="A137" s="8"/>
      <c r="B137" s="8"/>
      <c r="C137" s="8"/>
      <c r="D137" s="8"/>
      <c r="I137" s="8"/>
      <c r="J137" s="8"/>
      <c r="K137" s="8"/>
      <c r="L137" s="8"/>
      <c r="M137" s="8"/>
      <c r="N137">
        <v>1010</v>
      </c>
      <c r="O137">
        <v>1010111</v>
      </c>
      <c r="P137" t="str">
        <f>VLOOKUP(N137,'Site Allocation'!$B$2:$C$37,2,FALSE)</f>
        <v>Analyst2</v>
      </c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</row>
    <row r="138" spans="1:38" x14ac:dyDescent="0.35">
      <c r="A138" s="8"/>
      <c r="B138" s="8"/>
      <c r="C138" s="8"/>
      <c r="D138" s="8"/>
      <c r="I138" s="8"/>
      <c r="J138" s="8"/>
      <c r="K138" s="8"/>
      <c r="L138" s="8"/>
      <c r="M138" s="8"/>
      <c r="N138">
        <v>1010</v>
      </c>
      <c r="O138">
        <v>1010111</v>
      </c>
      <c r="P138" t="str">
        <f>VLOOKUP(N138,'Site Allocation'!$B$2:$C$37,2,FALSE)</f>
        <v>Analyst2</v>
      </c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</row>
    <row r="139" spans="1:38" x14ac:dyDescent="0.35">
      <c r="A139" s="8"/>
      <c r="B139" s="8"/>
      <c r="C139" s="8"/>
      <c r="D139" s="8"/>
      <c r="I139" s="8"/>
      <c r="J139" s="8"/>
      <c r="K139" s="8"/>
      <c r="L139" s="8"/>
      <c r="M139" s="8"/>
      <c r="N139">
        <v>1010</v>
      </c>
      <c r="O139">
        <v>1010111</v>
      </c>
      <c r="P139" t="str">
        <f>VLOOKUP(N139,'Site Allocation'!$B$2:$C$37,2,FALSE)</f>
        <v>Analyst2</v>
      </c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</row>
    <row r="140" spans="1:38" x14ac:dyDescent="0.35">
      <c r="A140" s="8"/>
      <c r="B140" s="8"/>
      <c r="C140" s="8"/>
      <c r="D140" s="8"/>
      <c r="I140" s="8"/>
      <c r="J140" s="8"/>
      <c r="K140" s="8"/>
      <c r="L140" s="8"/>
      <c r="M140" s="8"/>
      <c r="N140">
        <v>1010</v>
      </c>
      <c r="O140">
        <v>1010111</v>
      </c>
      <c r="P140" t="str">
        <f>VLOOKUP(N140,'Site Allocation'!$B$2:$C$37,2,FALSE)</f>
        <v>Analyst2</v>
      </c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</row>
    <row r="141" spans="1:38" x14ac:dyDescent="0.35">
      <c r="A141" s="8"/>
      <c r="B141" s="8"/>
      <c r="C141" s="8"/>
      <c r="D141" s="8"/>
      <c r="I141" s="8"/>
      <c r="J141" s="8"/>
      <c r="K141" s="8"/>
      <c r="L141" s="8"/>
      <c r="M141" s="8"/>
      <c r="N141">
        <v>1010</v>
      </c>
      <c r="O141">
        <v>1010111</v>
      </c>
      <c r="P141" t="str">
        <f>VLOOKUP(N141,'Site Allocation'!$B$2:$C$37,2,FALSE)</f>
        <v>Analyst2</v>
      </c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</row>
    <row r="142" spans="1:38" x14ac:dyDescent="0.35">
      <c r="A142" s="8"/>
      <c r="B142" s="8"/>
      <c r="C142" s="8"/>
      <c r="D142" s="8"/>
      <c r="I142" s="8"/>
      <c r="J142" s="8"/>
      <c r="K142" s="8"/>
      <c r="L142" s="8"/>
      <c r="M142" s="8"/>
      <c r="N142">
        <v>1010</v>
      </c>
      <c r="O142">
        <v>1010111</v>
      </c>
      <c r="P142" t="str">
        <f>VLOOKUP(N142,'Site Allocation'!$B$2:$C$37,2,FALSE)</f>
        <v>Analyst2</v>
      </c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</row>
    <row r="143" spans="1:38" x14ac:dyDescent="0.35">
      <c r="A143" s="8"/>
      <c r="B143" s="8"/>
      <c r="C143" s="8"/>
      <c r="D143" s="8"/>
      <c r="I143" s="8"/>
      <c r="J143" s="8"/>
      <c r="K143" s="8"/>
      <c r="L143" s="8"/>
      <c r="M143" s="8"/>
      <c r="N143">
        <v>1010</v>
      </c>
      <c r="O143">
        <v>1010111</v>
      </c>
      <c r="P143" t="str">
        <f>VLOOKUP(N143,'Site Allocation'!$B$2:$C$37,2,FALSE)</f>
        <v>Analyst2</v>
      </c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</row>
    <row r="144" spans="1:38" x14ac:dyDescent="0.35">
      <c r="A144" s="8"/>
      <c r="B144" s="8"/>
      <c r="C144" s="8"/>
      <c r="D144" s="8"/>
      <c r="I144" s="8"/>
      <c r="J144" s="8"/>
      <c r="K144" s="8"/>
      <c r="L144" s="8"/>
      <c r="M144" s="8"/>
      <c r="N144">
        <v>1010</v>
      </c>
      <c r="O144">
        <v>1010111</v>
      </c>
      <c r="P144" t="str">
        <f>VLOOKUP(N144,'Site Allocation'!$B$2:$C$37,2,FALSE)</f>
        <v>Analyst2</v>
      </c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</row>
    <row r="145" spans="1:38" x14ac:dyDescent="0.35">
      <c r="A145" s="8"/>
      <c r="B145" s="8"/>
      <c r="C145" s="8"/>
      <c r="D145" s="8"/>
      <c r="I145" s="8"/>
      <c r="J145" s="8"/>
      <c r="K145" s="8"/>
      <c r="L145" s="8"/>
      <c r="M145" s="8"/>
      <c r="N145">
        <v>1010</v>
      </c>
      <c r="O145">
        <v>1010111</v>
      </c>
      <c r="P145" t="str">
        <f>VLOOKUP(N145,'Site Allocation'!$B$2:$C$37,2,FALSE)</f>
        <v>Analyst2</v>
      </c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</row>
    <row r="146" spans="1:38" x14ac:dyDescent="0.35">
      <c r="A146" s="8"/>
      <c r="B146" s="8"/>
      <c r="C146" s="8"/>
      <c r="D146" s="8"/>
      <c r="I146" s="8"/>
      <c r="J146" s="8"/>
      <c r="K146" s="8"/>
      <c r="L146" s="8"/>
      <c r="M146" s="8"/>
      <c r="N146">
        <v>1010</v>
      </c>
      <c r="O146">
        <v>1010111</v>
      </c>
      <c r="P146" t="str">
        <f>VLOOKUP(N146,'Site Allocation'!$B$2:$C$37,2,FALSE)</f>
        <v>Analyst2</v>
      </c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</row>
    <row r="147" spans="1:38" x14ac:dyDescent="0.35">
      <c r="A147" s="8"/>
      <c r="B147" s="8"/>
      <c r="C147" s="8"/>
      <c r="D147" s="8"/>
      <c r="I147" s="8"/>
      <c r="J147" s="8"/>
      <c r="K147" s="8"/>
      <c r="L147" s="8"/>
      <c r="M147" s="8"/>
      <c r="N147">
        <v>1011</v>
      </c>
      <c r="O147">
        <v>1011111</v>
      </c>
      <c r="P147" t="str">
        <f>VLOOKUP(N147,'Site Allocation'!$B$2:$C$37,2,FALSE)</f>
        <v>Analyst2</v>
      </c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</row>
    <row r="148" spans="1:38" x14ac:dyDescent="0.35">
      <c r="A148" s="8"/>
      <c r="B148" s="8"/>
      <c r="C148" s="8"/>
      <c r="D148" s="8"/>
      <c r="I148" s="8"/>
      <c r="J148" s="8"/>
      <c r="K148" s="8"/>
      <c r="L148" s="8"/>
      <c r="M148" s="8"/>
      <c r="N148">
        <v>1011</v>
      </c>
      <c r="O148">
        <v>1011111</v>
      </c>
      <c r="P148" t="str">
        <f>VLOOKUP(N148,'Site Allocation'!$B$2:$C$37,2,FALSE)</f>
        <v>Analyst2</v>
      </c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</row>
    <row r="149" spans="1:38" x14ac:dyDescent="0.35">
      <c r="A149" s="8"/>
      <c r="B149" s="8"/>
      <c r="C149" s="8"/>
      <c r="D149" s="8"/>
      <c r="I149" s="8"/>
      <c r="J149" s="8"/>
      <c r="K149" s="8"/>
      <c r="L149" s="8"/>
      <c r="M149" s="8"/>
      <c r="N149">
        <v>1011</v>
      </c>
      <c r="O149">
        <v>1011111</v>
      </c>
      <c r="P149" t="str">
        <f>VLOOKUP(N149,'Site Allocation'!$B$2:$C$37,2,FALSE)</f>
        <v>Analyst2</v>
      </c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</row>
    <row r="150" spans="1:38" x14ac:dyDescent="0.35">
      <c r="A150" s="8"/>
      <c r="B150" s="8"/>
      <c r="C150" s="8"/>
      <c r="D150" s="8"/>
      <c r="I150" s="8"/>
      <c r="J150" s="8"/>
      <c r="K150" s="8"/>
      <c r="L150" s="8"/>
      <c r="M150" s="8"/>
      <c r="N150">
        <v>1011</v>
      </c>
      <c r="O150">
        <v>1011111</v>
      </c>
      <c r="P150" t="str">
        <f>VLOOKUP(N150,'Site Allocation'!$B$2:$C$37,2,FALSE)</f>
        <v>Analyst2</v>
      </c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</row>
    <row r="151" spans="1:38" x14ac:dyDescent="0.35">
      <c r="A151" s="8"/>
      <c r="B151" s="8"/>
      <c r="C151" s="8"/>
      <c r="D151" s="8"/>
      <c r="I151" s="8"/>
      <c r="J151" s="8"/>
      <c r="K151" s="8"/>
      <c r="L151" s="8"/>
      <c r="M151" s="8"/>
      <c r="N151">
        <v>1011</v>
      </c>
      <c r="O151">
        <v>1011111</v>
      </c>
      <c r="P151" t="str">
        <f>VLOOKUP(N151,'Site Allocation'!$B$2:$C$37,2,FALSE)</f>
        <v>Analyst2</v>
      </c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</row>
    <row r="152" spans="1:38" x14ac:dyDescent="0.35">
      <c r="A152" s="8"/>
      <c r="B152" s="8"/>
      <c r="C152" s="8"/>
      <c r="D152" s="8"/>
      <c r="I152" s="8"/>
      <c r="J152" s="8"/>
      <c r="K152" s="8"/>
      <c r="L152" s="8"/>
      <c r="M152" s="8"/>
      <c r="N152">
        <v>1011</v>
      </c>
      <c r="O152">
        <v>1011111</v>
      </c>
      <c r="P152" t="str">
        <f>VLOOKUP(N152,'Site Allocation'!$B$2:$C$37,2,FALSE)</f>
        <v>Analyst2</v>
      </c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</row>
    <row r="153" spans="1:38" x14ac:dyDescent="0.35">
      <c r="A153" s="8"/>
      <c r="B153" s="8"/>
      <c r="C153" s="8"/>
      <c r="D153" s="8"/>
      <c r="I153" s="8"/>
      <c r="J153" s="8"/>
      <c r="K153" s="8"/>
      <c r="L153" s="8"/>
      <c r="M153" s="8"/>
      <c r="N153">
        <v>1011</v>
      </c>
      <c r="O153">
        <v>1011111</v>
      </c>
      <c r="P153" t="str">
        <f>VLOOKUP(N153,'Site Allocation'!$B$2:$C$37,2,FALSE)</f>
        <v>Analyst2</v>
      </c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</row>
    <row r="154" spans="1:38" x14ac:dyDescent="0.35">
      <c r="A154" s="8"/>
      <c r="B154" s="8"/>
      <c r="C154" s="8"/>
      <c r="D154" s="8"/>
      <c r="I154" s="8"/>
      <c r="J154" s="8"/>
      <c r="K154" s="8"/>
      <c r="L154" s="8"/>
      <c r="M154" s="8"/>
      <c r="N154">
        <v>1011</v>
      </c>
      <c r="O154">
        <v>1011111</v>
      </c>
      <c r="P154" t="str">
        <f>VLOOKUP(N154,'Site Allocation'!$B$2:$C$37,2,FALSE)</f>
        <v>Analyst2</v>
      </c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</row>
    <row r="155" spans="1:38" x14ac:dyDescent="0.35">
      <c r="A155" s="8"/>
      <c r="B155" s="8"/>
      <c r="C155" s="8"/>
      <c r="D155" s="8"/>
      <c r="I155" s="8"/>
      <c r="J155" s="8"/>
      <c r="K155" s="8"/>
      <c r="L155" s="8"/>
      <c r="M155" s="8"/>
      <c r="N155">
        <v>1011</v>
      </c>
      <c r="O155">
        <v>1011111</v>
      </c>
      <c r="P155" t="str">
        <f>VLOOKUP(N155,'Site Allocation'!$B$2:$C$37,2,FALSE)</f>
        <v>Analyst2</v>
      </c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</row>
    <row r="156" spans="1:38" x14ac:dyDescent="0.35">
      <c r="A156" s="8"/>
      <c r="B156" s="8"/>
      <c r="C156" s="8"/>
      <c r="D156" s="8"/>
      <c r="I156" s="8"/>
      <c r="J156" s="8"/>
      <c r="K156" s="8"/>
      <c r="L156" s="8"/>
      <c r="M156" s="8"/>
      <c r="N156">
        <v>1011</v>
      </c>
      <c r="O156">
        <v>1011111</v>
      </c>
      <c r="P156" t="str">
        <f>VLOOKUP(N156,'Site Allocation'!$B$2:$C$37,2,FALSE)</f>
        <v>Analyst2</v>
      </c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</row>
    <row r="157" spans="1:38" x14ac:dyDescent="0.35">
      <c r="A157" s="8"/>
      <c r="B157" s="8"/>
      <c r="C157" s="8"/>
      <c r="D157" s="8"/>
      <c r="I157" s="8"/>
      <c r="J157" s="8"/>
      <c r="K157" s="8"/>
      <c r="L157" s="8"/>
      <c r="M157" s="8"/>
      <c r="N157">
        <v>1012</v>
      </c>
      <c r="O157">
        <v>1012111</v>
      </c>
      <c r="P157" t="str">
        <f>VLOOKUP(N157,'Site Allocation'!$B$2:$C$37,2,FALSE)</f>
        <v>Analyst3</v>
      </c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</row>
    <row r="158" spans="1:38" x14ac:dyDescent="0.35">
      <c r="A158" s="8"/>
      <c r="B158" s="8"/>
      <c r="C158" s="8"/>
      <c r="D158" s="8"/>
      <c r="I158" s="8"/>
      <c r="J158" s="8"/>
      <c r="K158" s="8"/>
      <c r="L158" s="8"/>
      <c r="M158" s="8"/>
      <c r="N158">
        <v>1012</v>
      </c>
      <c r="O158">
        <v>1012111</v>
      </c>
      <c r="P158" t="str">
        <f>VLOOKUP(N158,'Site Allocation'!$B$2:$C$37,2,FALSE)</f>
        <v>Analyst3</v>
      </c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</row>
    <row r="159" spans="1:38" x14ac:dyDescent="0.35">
      <c r="A159" s="8"/>
      <c r="B159" s="8"/>
      <c r="C159" s="8"/>
      <c r="D159" s="8"/>
      <c r="I159" s="8"/>
      <c r="J159" s="8"/>
      <c r="K159" s="8"/>
      <c r="L159" s="8"/>
      <c r="M159" s="8"/>
      <c r="N159">
        <v>1012</v>
      </c>
      <c r="O159">
        <v>1012111</v>
      </c>
      <c r="P159" t="str">
        <f>VLOOKUP(N159,'Site Allocation'!$B$2:$C$37,2,FALSE)</f>
        <v>Analyst3</v>
      </c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</row>
    <row r="160" spans="1:38" x14ac:dyDescent="0.35">
      <c r="A160" s="8"/>
      <c r="B160" s="8"/>
      <c r="C160" s="8"/>
      <c r="D160" s="8"/>
      <c r="I160" s="8"/>
      <c r="J160" s="8"/>
      <c r="K160" s="8"/>
      <c r="L160" s="8"/>
      <c r="M160" s="8"/>
      <c r="N160">
        <v>1012</v>
      </c>
      <c r="O160">
        <v>1012111</v>
      </c>
      <c r="P160" t="str">
        <f>VLOOKUP(N160,'Site Allocation'!$B$2:$C$37,2,FALSE)</f>
        <v>Analyst3</v>
      </c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</row>
    <row r="161" spans="1:38" x14ac:dyDescent="0.35">
      <c r="A161" s="8"/>
      <c r="B161" s="8"/>
      <c r="C161" s="8"/>
      <c r="D161" s="8"/>
      <c r="I161" s="8"/>
      <c r="J161" s="8"/>
      <c r="K161" s="8"/>
      <c r="L161" s="8"/>
      <c r="M161" s="8"/>
      <c r="N161">
        <v>1012</v>
      </c>
      <c r="O161">
        <v>1012111</v>
      </c>
      <c r="P161" t="str">
        <f>VLOOKUP(N161,'Site Allocation'!$B$2:$C$37,2,FALSE)</f>
        <v>Analyst3</v>
      </c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</row>
    <row r="162" spans="1:38" x14ac:dyDescent="0.35">
      <c r="A162" s="8"/>
      <c r="B162" s="8"/>
      <c r="C162" s="8"/>
      <c r="D162" s="8"/>
      <c r="I162" s="8"/>
      <c r="J162" s="8"/>
      <c r="K162" s="8"/>
      <c r="L162" s="8"/>
      <c r="M162" s="8"/>
      <c r="N162">
        <v>1012</v>
      </c>
      <c r="O162">
        <v>1012111</v>
      </c>
      <c r="P162" t="str">
        <f>VLOOKUP(N162,'Site Allocation'!$B$2:$C$37,2,FALSE)</f>
        <v>Analyst3</v>
      </c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</row>
    <row r="163" spans="1:38" x14ac:dyDescent="0.35">
      <c r="A163" s="8"/>
      <c r="B163" s="8"/>
      <c r="C163" s="8"/>
      <c r="D163" s="8"/>
      <c r="I163" s="8"/>
      <c r="J163" s="8"/>
      <c r="K163" s="8"/>
      <c r="L163" s="8"/>
      <c r="M163" s="8"/>
      <c r="N163">
        <v>1012</v>
      </c>
      <c r="O163">
        <v>1012111</v>
      </c>
      <c r="P163" t="str">
        <f>VLOOKUP(N163,'Site Allocation'!$B$2:$C$37,2,FALSE)</f>
        <v>Analyst3</v>
      </c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</row>
    <row r="164" spans="1:38" x14ac:dyDescent="0.35">
      <c r="A164" s="8"/>
      <c r="B164" s="8"/>
      <c r="C164" s="8"/>
      <c r="D164" s="8"/>
      <c r="I164" s="8"/>
      <c r="J164" s="8"/>
      <c r="K164" s="8"/>
      <c r="L164" s="8"/>
      <c r="M164" s="8"/>
      <c r="N164">
        <v>1012</v>
      </c>
      <c r="O164">
        <v>1012111</v>
      </c>
      <c r="P164" t="str">
        <f>VLOOKUP(N164,'Site Allocation'!$B$2:$C$37,2,FALSE)</f>
        <v>Analyst3</v>
      </c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</row>
    <row r="165" spans="1:38" x14ac:dyDescent="0.35">
      <c r="A165" s="8"/>
      <c r="B165" s="8"/>
      <c r="C165" s="8"/>
      <c r="D165" s="8"/>
      <c r="I165" s="8"/>
      <c r="J165" s="8"/>
      <c r="K165" s="8"/>
      <c r="L165" s="8"/>
      <c r="M165" s="8"/>
      <c r="N165">
        <v>1012</v>
      </c>
      <c r="O165">
        <v>1012111</v>
      </c>
      <c r="P165" t="str">
        <f>VLOOKUP(N165,'Site Allocation'!$B$2:$C$37,2,FALSE)</f>
        <v>Analyst3</v>
      </c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</row>
    <row r="166" spans="1:38" x14ac:dyDescent="0.35">
      <c r="A166" s="8"/>
      <c r="B166" s="8"/>
      <c r="C166" s="8"/>
      <c r="D166" s="8"/>
      <c r="I166" s="8"/>
      <c r="J166" s="8"/>
      <c r="K166" s="8"/>
      <c r="L166" s="8"/>
      <c r="M166" s="8"/>
      <c r="N166">
        <v>1012</v>
      </c>
      <c r="O166">
        <v>1012111</v>
      </c>
      <c r="P166" t="str">
        <f>VLOOKUP(N166,'Site Allocation'!$B$2:$C$37,2,FALSE)</f>
        <v>Analyst3</v>
      </c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</row>
    <row r="167" spans="1:38" x14ac:dyDescent="0.35">
      <c r="A167" s="8"/>
      <c r="B167" s="8"/>
      <c r="C167" s="8"/>
      <c r="D167" s="8"/>
      <c r="I167" s="8"/>
      <c r="J167" s="8"/>
      <c r="K167" s="8"/>
      <c r="L167" s="8"/>
      <c r="M167" s="8"/>
      <c r="N167">
        <v>1013</v>
      </c>
      <c r="O167">
        <v>1013111</v>
      </c>
      <c r="P167" t="str">
        <f>VLOOKUP(N167,'Site Allocation'!$B$2:$C$37,2,FALSE)</f>
        <v>Analyst3</v>
      </c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</row>
    <row r="168" spans="1:38" x14ac:dyDescent="0.35">
      <c r="A168" s="8"/>
      <c r="B168" s="8"/>
      <c r="C168" s="8"/>
      <c r="D168" s="8"/>
      <c r="I168" s="8"/>
      <c r="J168" s="8"/>
      <c r="K168" s="8"/>
      <c r="L168" s="8"/>
      <c r="M168" s="8"/>
      <c r="N168">
        <v>1013</v>
      </c>
      <c r="O168">
        <v>1013111</v>
      </c>
      <c r="P168" t="str">
        <f>VLOOKUP(N168,'Site Allocation'!$B$2:$C$37,2,FALSE)</f>
        <v>Analyst3</v>
      </c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</row>
    <row r="169" spans="1:38" x14ac:dyDescent="0.35">
      <c r="A169" s="8"/>
      <c r="B169" s="8"/>
      <c r="C169" s="8"/>
      <c r="D169" s="8"/>
      <c r="I169" s="8"/>
      <c r="J169" s="8"/>
      <c r="K169" s="8"/>
      <c r="L169" s="8"/>
      <c r="M169" s="8"/>
      <c r="N169">
        <v>1013</v>
      </c>
      <c r="O169">
        <v>1013111</v>
      </c>
      <c r="P169" t="str">
        <f>VLOOKUP(N169,'Site Allocation'!$B$2:$C$37,2,FALSE)</f>
        <v>Analyst3</v>
      </c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</row>
    <row r="170" spans="1:38" x14ac:dyDescent="0.35">
      <c r="A170" s="8"/>
      <c r="B170" s="8"/>
      <c r="C170" s="8"/>
      <c r="D170" s="8"/>
      <c r="I170" s="8"/>
      <c r="J170" s="8"/>
      <c r="K170" s="8"/>
      <c r="L170" s="8"/>
      <c r="M170" s="8"/>
      <c r="N170">
        <v>1013</v>
      </c>
      <c r="O170">
        <v>1013111</v>
      </c>
      <c r="P170" t="str">
        <f>VLOOKUP(N170,'Site Allocation'!$B$2:$C$37,2,FALSE)</f>
        <v>Analyst3</v>
      </c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</row>
    <row r="171" spans="1:38" x14ac:dyDescent="0.35">
      <c r="A171" s="8"/>
      <c r="B171" s="8"/>
      <c r="C171" s="8"/>
      <c r="D171" s="8"/>
      <c r="I171" s="8"/>
      <c r="J171" s="8"/>
      <c r="K171" s="8"/>
      <c r="L171" s="8"/>
      <c r="M171" s="8"/>
      <c r="N171">
        <v>1013</v>
      </c>
      <c r="O171">
        <v>1013111</v>
      </c>
      <c r="P171" t="str">
        <f>VLOOKUP(N171,'Site Allocation'!$B$2:$C$37,2,FALSE)</f>
        <v>Analyst3</v>
      </c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 x14ac:dyDescent="0.35">
      <c r="A172" s="8"/>
      <c r="B172" s="8"/>
      <c r="C172" s="8"/>
      <c r="D172" s="8"/>
      <c r="I172" s="8"/>
      <c r="J172" s="8"/>
      <c r="K172" s="8"/>
      <c r="L172" s="8"/>
      <c r="M172" s="8"/>
      <c r="N172">
        <v>1013</v>
      </c>
      <c r="O172">
        <v>1013111</v>
      </c>
      <c r="P172" t="str">
        <f>VLOOKUP(N172,'Site Allocation'!$B$2:$C$37,2,FALSE)</f>
        <v>Analyst3</v>
      </c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 x14ac:dyDescent="0.35">
      <c r="A173" s="8"/>
      <c r="B173" s="8"/>
      <c r="C173" s="8"/>
      <c r="D173" s="8"/>
      <c r="I173" s="8"/>
      <c r="J173" s="8"/>
      <c r="K173" s="8"/>
      <c r="L173" s="8"/>
      <c r="M173" s="8"/>
      <c r="N173">
        <v>1013</v>
      </c>
      <c r="O173">
        <v>1013111</v>
      </c>
      <c r="P173" t="str">
        <f>VLOOKUP(N173,'Site Allocation'!$B$2:$C$37,2,FALSE)</f>
        <v>Analyst3</v>
      </c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 x14ac:dyDescent="0.35">
      <c r="A174" s="8"/>
      <c r="B174" s="8"/>
      <c r="C174" s="8"/>
      <c r="D174" s="8"/>
      <c r="I174" s="8"/>
      <c r="J174" s="8"/>
      <c r="K174" s="8"/>
      <c r="L174" s="8"/>
      <c r="M174" s="8"/>
      <c r="N174">
        <v>1013</v>
      </c>
      <c r="O174">
        <v>1013111</v>
      </c>
      <c r="P174" t="str">
        <f>VLOOKUP(N174,'Site Allocation'!$B$2:$C$37,2,FALSE)</f>
        <v>Analyst3</v>
      </c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 x14ac:dyDescent="0.35">
      <c r="A175" s="8"/>
      <c r="B175" s="8"/>
      <c r="C175" s="8"/>
      <c r="D175" s="8"/>
      <c r="I175" s="8"/>
      <c r="J175" s="8"/>
      <c r="K175" s="8"/>
      <c r="L175" s="8"/>
      <c r="M175" s="8"/>
      <c r="N175">
        <v>1013</v>
      </c>
      <c r="O175">
        <v>1013111</v>
      </c>
      <c r="P175" t="str">
        <f>VLOOKUP(N175,'Site Allocation'!$B$2:$C$37,2,FALSE)</f>
        <v>Analyst3</v>
      </c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 x14ac:dyDescent="0.35">
      <c r="A176" s="8"/>
      <c r="B176" s="8"/>
      <c r="C176" s="8"/>
      <c r="D176" s="8"/>
      <c r="I176" s="8"/>
      <c r="J176" s="8"/>
      <c r="K176" s="8"/>
      <c r="L176" s="8"/>
      <c r="M176" s="8"/>
      <c r="N176">
        <v>1013</v>
      </c>
      <c r="O176">
        <v>1013111</v>
      </c>
      <c r="P176" t="str">
        <f>VLOOKUP(N176,'Site Allocation'!$B$2:$C$37,2,FALSE)</f>
        <v>Analyst3</v>
      </c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 x14ac:dyDescent="0.35">
      <c r="A177" s="8"/>
      <c r="B177" s="8"/>
      <c r="C177" s="8"/>
      <c r="D177" s="8"/>
      <c r="I177" s="8"/>
      <c r="J177" s="8"/>
      <c r="K177" s="8"/>
      <c r="L177" s="8"/>
      <c r="M177" s="8"/>
      <c r="N177">
        <v>1013</v>
      </c>
      <c r="O177">
        <v>1013111</v>
      </c>
      <c r="P177" t="str">
        <f>VLOOKUP(N177,'Site Allocation'!$B$2:$C$37,2,FALSE)</f>
        <v>Analyst3</v>
      </c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 x14ac:dyDescent="0.35">
      <c r="A178" s="8"/>
      <c r="B178" s="8"/>
      <c r="C178" s="8"/>
      <c r="D178" s="8"/>
      <c r="I178" s="8"/>
      <c r="J178" s="8"/>
      <c r="K178" s="8"/>
      <c r="L178" s="8"/>
      <c r="M178" s="8"/>
      <c r="N178">
        <v>1013</v>
      </c>
      <c r="O178">
        <v>1013111</v>
      </c>
      <c r="P178" t="str">
        <f>VLOOKUP(N178,'Site Allocation'!$B$2:$C$37,2,FALSE)</f>
        <v>Analyst3</v>
      </c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 x14ac:dyDescent="0.35">
      <c r="A179" s="8"/>
      <c r="B179" s="8"/>
      <c r="C179" s="8"/>
      <c r="D179" s="8"/>
      <c r="I179" s="8"/>
      <c r="J179" s="8"/>
      <c r="K179" s="8"/>
      <c r="L179" s="8"/>
      <c r="M179" s="8"/>
      <c r="N179">
        <v>1014</v>
      </c>
      <c r="O179">
        <v>1014111</v>
      </c>
      <c r="P179" t="str">
        <f>VLOOKUP(N179,'Site Allocation'!$B$2:$C$37,2,FALSE)</f>
        <v>Analyst3</v>
      </c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 x14ac:dyDescent="0.35">
      <c r="A180" s="8"/>
      <c r="B180" s="8"/>
      <c r="C180" s="8"/>
      <c r="D180" s="8"/>
      <c r="I180" s="8"/>
      <c r="J180" s="8"/>
      <c r="K180" s="8"/>
      <c r="L180" s="8"/>
      <c r="M180" s="8"/>
      <c r="N180">
        <v>1014</v>
      </c>
      <c r="O180">
        <v>1014111</v>
      </c>
      <c r="P180" t="str">
        <f>VLOOKUP(N180,'Site Allocation'!$B$2:$C$37,2,FALSE)</f>
        <v>Analyst3</v>
      </c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 x14ac:dyDescent="0.35">
      <c r="A181" s="8"/>
      <c r="B181" s="8"/>
      <c r="C181" s="8"/>
      <c r="D181" s="8"/>
      <c r="I181" s="8"/>
      <c r="J181" s="8"/>
      <c r="K181" s="8"/>
      <c r="L181" s="8"/>
      <c r="M181" s="8"/>
      <c r="N181">
        <v>1014</v>
      </c>
      <c r="O181">
        <v>1014111</v>
      </c>
      <c r="P181" t="str">
        <f>VLOOKUP(N181,'Site Allocation'!$B$2:$C$37,2,FALSE)</f>
        <v>Analyst3</v>
      </c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</row>
    <row r="182" spans="1:38" x14ac:dyDescent="0.35">
      <c r="A182" s="8"/>
      <c r="B182" s="8"/>
      <c r="C182" s="8"/>
      <c r="D182" s="8"/>
      <c r="I182" s="8"/>
      <c r="J182" s="8"/>
      <c r="K182" s="8"/>
      <c r="L182" s="8"/>
      <c r="M182" s="8"/>
      <c r="N182">
        <v>1014</v>
      </c>
      <c r="O182">
        <v>1014111</v>
      </c>
      <c r="P182" t="str">
        <f>VLOOKUP(N182,'Site Allocation'!$B$2:$C$37,2,FALSE)</f>
        <v>Analyst3</v>
      </c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</row>
    <row r="183" spans="1:38" x14ac:dyDescent="0.35">
      <c r="A183" s="8"/>
      <c r="B183" s="8"/>
      <c r="C183" s="8"/>
      <c r="D183" s="8"/>
      <c r="I183" s="8"/>
      <c r="J183" s="8"/>
      <c r="K183" s="8"/>
      <c r="L183" s="8"/>
      <c r="M183" s="8"/>
      <c r="N183">
        <v>1014</v>
      </c>
      <c r="O183">
        <v>1014111</v>
      </c>
      <c r="P183" t="str">
        <f>VLOOKUP(N183,'Site Allocation'!$B$2:$C$37,2,FALSE)</f>
        <v>Analyst3</v>
      </c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</row>
    <row r="184" spans="1:38" x14ac:dyDescent="0.35">
      <c r="A184" s="8"/>
      <c r="B184" s="8"/>
      <c r="C184" s="8"/>
      <c r="D184" s="8"/>
      <c r="I184" s="8"/>
      <c r="J184" s="8"/>
      <c r="K184" s="8"/>
      <c r="L184" s="8"/>
      <c r="M184" s="8"/>
      <c r="N184">
        <v>1014</v>
      </c>
      <c r="O184">
        <v>1014111</v>
      </c>
      <c r="P184" t="str">
        <f>VLOOKUP(N184,'Site Allocation'!$B$2:$C$37,2,FALSE)</f>
        <v>Analyst3</v>
      </c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</row>
    <row r="185" spans="1:38" x14ac:dyDescent="0.35">
      <c r="A185" s="8"/>
      <c r="B185" s="8"/>
      <c r="C185" s="8"/>
      <c r="D185" s="8"/>
      <c r="I185" s="8"/>
      <c r="J185" s="8"/>
      <c r="K185" s="8"/>
      <c r="L185" s="8"/>
      <c r="M185" s="8"/>
      <c r="N185">
        <v>1014</v>
      </c>
      <c r="O185">
        <v>1014111</v>
      </c>
      <c r="P185" t="str">
        <f>VLOOKUP(N185,'Site Allocation'!$B$2:$C$37,2,FALSE)</f>
        <v>Analyst3</v>
      </c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</row>
    <row r="186" spans="1:38" x14ac:dyDescent="0.35">
      <c r="A186" s="8"/>
      <c r="B186" s="8"/>
      <c r="C186" s="8"/>
      <c r="D186" s="8"/>
      <c r="I186" s="8"/>
      <c r="J186" s="8"/>
      <c r="K186" s="8"/>
      <c r="L186" s="8"/>
      <c r="M186" s="8"/>
      <c r="N186">
        <v>1014</v>
      </c>
      <c r="O186">
        <v>1014111</v>
      </c>
      <c r="P186" t="str">
        <f>VLOOKUP(N186,'Site Allocation'!$B$2:$C$37,2,FALSE)</f>
        <v>Analyst3</v>
      </c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</row>
    <row r="187" spans="1:38" x14ac:dyDescent="0.35">
      <c r="A187" s="8"/>
      <c r="B187" s="8"/>
      <c r="C187" s="8"/>
      <c r="D187" s="8"/>
      <c r="I187" s="8"/>
      <c r="J187" s="8"/>
      <c r="K187" s="8"/>
      <c r="L187" s="8"/>
      <c r="M187" s="8"/>
      <c r="N187">
        <v>1014</v>
      </c>
      <c r="O187">
        <v>1014111</v>
      </c>
      <c r="P187" t="str">
        <f>VLOOKUP(N187,'Site Allocation'!$B$2:$C$37,2,FALSE)</f>
        <v>Analyst3</v>
      </c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</row>
    <row r="188" spans="1:38" x14ac:dyDescent="0.35">
      <c r="A188" s="8"/>
      <c r="B188" s="8"/>
      <c r="C188" s="8"/>
      <c r="D188" s="8"/>
      <c r="I188" s="8"/>
      <c r="J188" s="8"/>
      <c r="K188" s="8"/>
      <c r="L188" s="8"/>
      <c r="M188" s="8"/>
      <c r="N188">
        <v>1014</v>
      </c>
      <c r="O188">
        <v>1014111</v>
      </c>
      <c r="P188" t="str">
        <f>VLOOKUP(N188,'Site Allocation'!$B$2:$C$37,2,FALSE)</f>
        <v>Analyst3</v>
      </c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</row>
    <row r="189" spans="1:38" x14ac:dyDescent="0.35">
      <c r="A189" s="8"/>
      <c r="B189" s="8"/>
      <c r="C189" s="8"/>
      <c r="D189" s="8"/>
      <c r="I189" s="8"/>
      <c r="J189" s="8"/>
      <c r="K189" s="8"/>
      <c r="L189" s="8"/>
      <c r="M189" s="8"/>
      <c r="N189">
        <v>1014</v>
      </c>
      <c r="O189">
        <v>1014111</v>
      </c>
      <c r="P189" t="str">
        <f>VLOOKUP(N189,'Site Allocation'!$B$2:$C$37,2,FALSE)</f>
        <v>Analyst3</v>
      </c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</row>
    <row r="190" spans="1:38" x14ac:dyDescent="0.35">
      <c r="A190" s="8"/>
      <c r="B190" s="8"/>
      <c r="C190" s="8"/>
      <c r="D190" s="8"/>
      <c r="I190" s="8"/>
      <c r="J190" s="8"/>
      <c r="K190" s="8"/>
      <c r="L190" s="8"/>
      <c r="M190" s="8"/>
      <c r="N190">
        <v>1014</v>
      </c>
      <c r="O190">
        <v>1014111</v>
      </c>
      <c r="P190" t="str">
        <f>VLOOKUP(N190,'Site Allocation'!$B$2:$C$37,2,FALSE)</f>
        <v>Analyst3</v>
      </c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</row>
    <row r="191" spans="1:38" x14ac:dyDescent="0.35">
      <c r="A191" s="8"/>
      <c r="B191" s="8"/>
      <c r="C191" s="8"/>
      <c r="D191" s="8"/>
      <c r="I191" s="8"/>
      <c r="J191" s="8"/>
      <c r="K191" s="8"/>
      <c r="L191" s="8"/>
      <c r="M191" s="8"/>
      <c r="N191">
        <v>1014</v>
      </c>
      <c r="O191">
        <v>1014111</v>
      </c>
      <c r="P191" t="str">
        <f>VLOOKUP(N191,'Site Allocation'!$B$2:$C$37,2,FALSE)</f>
        <v>Analyst3</v>
      </c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</row>
    <row r="192" spans="1:38" x14ac:dyDescent="0.35">
      <c r="A192" s="8"/>
      <c r="B192" s="8"/>
      <c r="C192" s="8"/>
      <c r="D192" s="8"/>
      <c r="I192" s="8"/>
      <c r="J192" s="8"/>
      <c r="K192" s="8"/>
      <c r="L192" s="8"/>
      <c r="M192" s="8"/>
      <c r="N192">
        <v>1014</v>
      </c>
      <c r="O192">
        <v>1014111</v>
      </c>
      <c r="P192" t="str">
        <f>VLOOKUP(N192,'Site Allocation'!$B$2:$C$37,2,FALSE)</f>
        <v>Analyst3</v>
      </c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</row>
    <row r="193" spans="1:38" x14ac:dyDescent="0.35">
      <c r="A193" s="8"/>
      <c r="B193" s="8"/>
      <c r="C193" s="8"/>
      <c r="D193" s="8"/>
      <c r="I193" s="8"/>
      <c r="J193" s="8"/>
      <c r="K193" s="8"/>
      <c r="L193" s="8"/>
      <c r="M193" s="8"/>
      <c r="N193">
        <v>1014</v>
      </c>
      <c r="O193">
        <v>1014111</v>
      </c>
      <c r="P193" t="str">
        <f>VLOOKUP(N193,'Site Allocation'!$B$2:$C$37,2,FALSE)</f>
        <v>Analyst3</v>
      </c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</row>
    <row r="194" spans="1:38" x14ac:dyDescent="0.35">
      <c r="A194" s="8"/>
      <c r="B194" s="8"/>
      <c r="C194" s="8"/>
      <c r="D194" s="8"/>
      <c r="I194" s="8"/>
      <c r="J194" s="8"/>
      <c r="K194" s="8"/>
      <c r="L194" s="8"/>
      <c r="M194" s="8"/>
      <c r="N194">
        <v>1014</v>
      </c>
      <c r="O194">
        <v>1014111</v>
      </c>
      <c r="P194" t="str">
        <f>VLOOKUP(N194,'Site Allocation'!$B$2:$C$37,2,FALSE)</f>
        <v>Analyst3</v>
      </c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</row>
    <row r="195" spans="1:38" x14ac:dyDescent="0.35">
      <c r="A195" s="8"/>
      <c r="B195" s="8"/>
      <c r="C195" s="8"/>
      <c r="D195" s="8"/>
      <c r="I195" s="8"/>
      <c r="J195" s="8"/>
      <c r="K195" s="8"/>
      <c r="L195" s="8"/>
      <c r="M195" s="8"/>
      <c r="N195">
        <v>1014</v>
      </c>
      <c r="O195">
        <v>1014111</v>
      </c>
      <c r="P195" t="str">
        <f>VLOOKUP(N195,'Site Allocation'!$B$2:$C$37,2,FALSE)</f>
        <v>Analyst3</v>
      </c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</row>
    <row r="196" spans="1:38" x14ac:dyDescent="0.35">
      <c r="A196" s="8"/>
      <c r="B196" s="8"/>
      <c r="C196" s="8"/>
      <c r="D196" s="8"/>
      <c r="I196" s="8"/>
      <c r="J196" s="8"/>
      <c r="K196" s="8"/>
      <c r="L196" s="8"/>
      <c r="M196" s="8"/>
      <c r="N196">
        <v>1014</v>
      </c>
      <c r="O196">
        <v>1014111</v>
      </c>
      <c r="P196" t="str">
        <f>VLOOKUP(N196,'Site Allocation'!$B$2:$C$37,2,FALSE)</f>
        <v>Analyst3</v>
      </c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</row>
    <row r="197" spans="1:38" x14ac:dyDescent="0.35">
      <c r="A197" s="8"/>
      <c r="B197" s="8"/>
      <c r="C197" s="8"/>
      <c r="D197" s="8"/>
      <c r="I197" s="8"/>
      <c r="J197" s="8"/>
      <c r="K197" s="8"/>
      <c r="L197" s="8"/>
      <c r="M197" s="8"/>
      <c r="N197">
        <v>1014</v>
      </c>
      <c r="O197">
        <v>1014111</v>
      </c>
      <c r="P197" t="str">
        <f>VLOOKUP(N197,'Site Allocation'!$B$2:$C$37,2,FALSE)</f>
        <v>Analyst3</v>
      </c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</row>
    <row r="198" spans="1:38" x14ac:dyDescent="0.35">
      <c r="A198" s="8"/>
      <c r="B198" s="8"/>
      <c r="C198" s="8"/>
      <c r="D198" s="8"/>
      <c r="I198" s="8"/>
      <c r="J198" s="8"/>
      <c r="K198" s="8"/>
      <c r="L198" s="8"/>
      <c r="M198" s="8"/>
      <c r="N198">
        <v>1014</v>
      </c>
      <c r="O198">
        <v>1014111</v>
      </c>
      <c r="P198" t="str">
        <f>VLOOKUP(N198,'Site Allocation'!$B$2:$C$37,2,FALSE)</f>
        <v>Analyst3</v>
      </c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</row>
    <row r="199" spans="1:38" x14ac:dyDescent="0.35">
      <c r="A199" s="8"/>
      <c r="B199" s="8"/>
      <c r="C199" s="8"/>
      <c r="D199" s="8"/>
      <c r="I199" s="8"/>
      <c r="J199" s="8"/>
      <c r="K199" s="8"/>
      <c r="L199" s="8"/>
      <c r="M199" s="8"/>
      <c r="N199">
        <v>1014</v>
      </c>
      <c r="O199">
        <v>1014111</v>
      </c>
      <c r="P199" t="str">
        <f>VLOOKUP(N199,'Site Allocation'!$B$2:$C$37,2,FALSE)</f>
        <v>Analyst3</v>
      </c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</row>
    <row r="200" spans="1:38" x14ac:dyDescent="0.35">
      <c r="A200" s="8"/>
      <c r="B200" s="8"/>
      <c r="C200" s="8"/>
      <c r="D200" s="8"/>
      <c r="I200" s="8"/>
      <c r="J200" s="8"/>
      <c r="K200" s="8"/>
      <c r="L200" s="8"/>
      <c r="M200" s="8"/>
      <c r="N200">
        <v>1014</v>
      </c>
      <c r="O200">
        <v>1014111</v>
      </c>
      <c r="P200" t="str">
        <f>VLOOKUP(N200,'Site Allocation'!$B$2:$C$37,2,FALSE)</f>
        <v>Analyst3</v>
      </c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</row>
    <row r="201" spans="1:38" x14ac:dyDescent="0.35">
      <c r="A201" s="8"/>
      <c r="B201" s="8"/>
      <c r="C201" s="8"/>
      <c r="D201" s="8"/>
      <c r="I201" s="8"/>
      <c r="J201" s="8"/>
      <c r="K201" s="8"/>
      <c r="L201" s="8"/>
      <c r="M201" s="8"/>
      <c r="N201">
        <v>1015</v>
      </c>
      <c r="O201">
        <v>1015111</v>
      </c>
      <c r="P201" t="str">
        <f>VLOOKUP(N201,'Site Allocation'!$B$2:$C$37,2,FALSE)</f>
        <v>Analyst3</v>
      </c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</row>
    <row r="202" spans="1:38" x14ac:dyDescent="0.35">
      <c r="A202" s="8"/>
      <c r="B202" s="8"/>
      <c r="C202" s="8"/>
      <c r="D202" s="8"/>
      <c r="I202" s="8"/>
      <c r="J202" s="8"/>
      <c r="K202" s="8"/>
      <c r="L202" s="8"/>
      <c r="M202" s="8"/>
      <c r="N202">
        <v>1015</v>
      </c>
      <c r="O202">
        <v>1015111</v>
      </c>
      <c r="P202" t="str">
        <f>VLOOKUP(N202,'Site Allocation'!$B$2:$C$37,2,FALSE)</f>
        <v>Analyst3</v>
      </c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</row>
    <row r="203" spans="1:38" x14ac:dyDescent="0.35">
      <c r="A203" s="8"/>
      <c r="B203" s="8"/>
      <c r="C203" s="8"/>
      <c r="D203" s="8"/>
      <c r="I203" s="8"/>
      <c r="J203" s="8"/>
      <c r="K203" s="8"/>
      <c r="L203" s="8"/>
      <c r="M203" s="8"/>
      <c r="N203">
        <v>1015</v>
      </c>
      <c r="O203">
        <v>1015111</v>
      </c>
      <c r="P203" t="str">
        <f>VLOOKUP(N203,'Site Allocation'!$B$2:$C$37,2,FALSE)</f>
        <v>Analyst3</v>
      </c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</row>
    <row r="204" spans="1:38" x14ac:dyDescent="0.35">
      <c r="A204" s="8"/>
      <c r="B204" s="8"/>
      <c r="C204" s="8"/>
      <c r="D204" s="8"/>
      <c r="I204" s="8"/>
      <c r="J204" s="8"/>
      <c r="K204" s="8"/>
      <c r="L204" s="8"/>
      <c r="M204" s="8"/>
      <c r="N204">
        <v>1015</v>
      </c>
      <c r="O204">
        <v>1015111</v>
      </c>
      <c r="P204" t="str">
        <f>VLOOKUP(N204,'Site Allocation'!$B$2:$C$37,2,FALSE)</f>
        <v>Analyst3</v>
      </c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</row>
    <row r="205" spans="1:38" x14ac:dyDescent="0.35">
      <c r="A205" s="8"/>
      <c r="B205" s="8"/>
      <c r="C205" s="8"/>
      <c r="D205" s="8"/>
      <c r="I205" s="8"/>
      <c r="J205" s="8"/>
      <c r="K205" s="8"/>
      <c r="L205" s="8"/>
      <c r="M205" s="8"/>
      <c r="N205">
        <v>1015</v>
      </c>
      <c r="O205">
        <v>1015111</v>
      </c>
      <c r="P205" t="str">
        <f>VLOOKUP(N205,'Site Allocation'!$B$2:$C$37,2,FALSE)</f>
        <v>Analyst3</v>
      </c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</row>
    <row r="206" spans="1:38" x14ac:dyDescent="0.35">
      <c r="A206" s="8"/>
      <c r="B206" s="8"/>
      <c r="C206" s="8"/>
      <c r="D206" s="8"/>
      <c r="I206" s="8"/>
      <c r="J206" s="8"/>
      <c r="K206" s="8"/>
      <c r="L206" s="8"/>
      <c r="M206" s="8"/>
      <c r="N206">
        <v>1015</v>
      </c>
      <c r="O206">
        <v>1015111</v>
      </c>
      <c r="P206" t="str">
        <f>VLOOKUP(N206,'Site Allocation'!$B$2:$C$37,2,FALSE)</f>
        <v>Analyst3</v>
      </c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</row>
    <row r="207" spans="1:38" x14ac:dyDescent="0.35">
      <c r="A207" s="8"/>
      <c r="B207" s="8"/>
      <c r="C207" s="8"/>
      <c r="D207" s="8"/>
      <c r="I207" s="8"/>
      <c r="J207" s="8"/>
      <c r="K207" s="8"/>
      <c r="L207" s="8"/>
      <c r="M207" s="8"/>
      <c r="N207">
        <v>1015</v>
      </c>
      <c r="O207">
        <v>1015111</v>
      </c>
      <c r="P207" t="str">
        <f>VLOOKUP(N207,'Site Allocation'!$B$2:$C$37,2,FALSE)</f>
        <v>Analyst3</v>
      </c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</row>
    <row r="208" spans="1:38" x14ac:dyDescent="0.35">
      <c r="A208" s="8"/>
      <c r="B208" s="8"/>
      <c r="C208" s="8"/>
      <c r="D208" s="8"/>
      <c r="I208" s="8"/>
      <c r="J208" s="8"/>
      <c r="K208" s="8"/>
      <c r="L208" s="8"/>
      <c r="M208" s="8"/>
      <c r="N208">
        <v>1015</v>
      </c>
      <c r="O208">
        <v>1015111</v>
      </c>
      <c r="P208" t="str">
        <f>VLOOKUP(N208,'Site Allocation'!$B$2:$C$37,2,FALSE)</f>
        <v>Analyst3</v>
      </c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</row>
    <row r="209" spans="1:38" x14ac:dyDescent="0.35">
      <c r="A209" s="8"/>
      <c r="B209" s="8"/>
      <c r="C209" s="8"/>
      <c r="D209" s="8"/>
      <c r="I209" s="8"/>
      <c r="J209" s="8"/>
      <c r="K209" s="8"/>
      <c r="L209" s="8"/>
      <c r="M209" s="8"/>
      <c r="N209">
        <v>1015</v>
      </c>
      <c r="O209">
        <v>1015111</v>
      </c>
      <c r="P209" t="str">
        <f>VLOOKUP(N209,'Site Allocation'!$B$2:$C$37,2,FALSE)</f>
        <v>Analyst3</v>
      </c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</row>
    <row r="210" spans="1:38" x14ac:dyDescent="0.35">
      <c r="A210" s="8"/>
      <c r="B210" s="8"/>
      <c r="C210" s="8"/>
      <c r="D210" s="8"/>
      <c r="I210" s="8"/>
      <c r="J210" s="8"/>
      <c r="K210" s="8"/>
      <c r="L210" s="8"/>
      <c r="M210" s="8"/>
      <c r="N210">
        <v>1015</v>
      </c>
      <c r="O210">
        <v>1015111</v>
      </c>
      <c r="P210" t="str">
        <f>VLOOKUP(N210,'Site Allocation'!$B$2:$C$37,2,FALSE)</f>
        <v>Analyst3</v>
      </c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</row>
    <row r="211" spans="1:38" x14ac:dyDescent="0.35">
      <c r="A211" s="8"/>
      <c r="B211" s="8"/>
      <c r="C211" s="8"/>
      <c r="D211" s="8"/>
      <c r="I211" s="8"/>
      <c r="J211" s="8"/>
      <c r="K211" s="8"/>
      <c r="L211" s="8"/>
      <c r="M211" s="8"/>
      <c r="N211">
        <v>1015</v>
      </c>
      <c r="O211">
        <v>1015111</v>
      </c>
      <c r="P211" t="str">
        <f>VLOOKUP(N211,'Site Allocation'!$B$2:$C$37,2,FALSE)</f>
        <v>Analyst3</v>
      </c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</row>
    <row r="212" spans="1:38" x14ac:dyDescent="0.35">
      <c r="A212" s="8"/>
      <c r="B212" s="8"/>
      <c r="C212" s="8"/>
      <c r="D212" s="8"/>
      <c r="I212" s="8"/>
      <c r="J212" s="8"/>
      <c r="K212" s="8"/>
      <c r="L212" s="8"/>
      <c r="M212" s="8"/>
      <c r="N212">
        <v>1015</v>
      </c>
      <c r="O212">
        <v>1015111</v>
      </c>
      <c r="P212" t="str">
        <f>VLOOKUP(N212,'Site Allocation'!$B$2:$C$37,2,FALSE)</f>
        <v>Analyst3</v>
      </c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</row>
    <row r="213" spans="1:38" x14ac:dyDescent="0.35">
      <c r="A213" s="8"/>
      <c r="B213" s="8"/>
      <c r="C213" s="8"/>
      <c r="D213" s="8"/>
      <c r="I213" s="8"/>
      <c r="J213" s="8"/>
      <c r="K213" s="8"/>
      <c r="L213" s="8"/>
      <c r="M213" s="8"/>
      <c r="N213">
        <v>1016</v>
      </c>
      <c r="O213">
        <v>1016111</v>
      </c>
      <c r="P213" t="str">
        <f>VLOOKUP(N213,'Site Allocation'!$B$2:$C$37,2,FALSE)</f>
        <v>Analyst3</v>
      </c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</row>
    <row r="214" spans="1:38" x14ac:dyDescent="0.35">
      <c r="A214" s="8"/>
      <c r="B214" s="8"/>
      <c r="C214" s="8"/>
      <c r="D214" s="8"/>
      <c r="I214" s="8"/>
      <c r="J214" s="8"/>
      <c r="K214" s="8"/>
      <c r="L214" s="8"/>
      <c r="M214" s="8"/>
      <c r="N214">
        <v>1016</v>
      </c>
      <c r="O214">
        <v>1016111</v>
      </c>
      <c r="P214" t="str">
        <f>VLOOKUP(N214,'Site Allocation'!$B$2:$C$37,2,FALSE)</f>
        <v>Analyst3</v>
      </c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</row>
    <row r="215" spans="1:38" x14ac:dyDescent="0.35">
      <c r="A215" s="8"/>
      <c r="B215" s="8"/>
      <c r="C215" s="8"/>
      <c r="D215" s="8"/>
      <c r="I215" s="8"/>
      <c r="J215" s="8"/>
      <c r="K215" s="8"/>
      <c r="L215" s="8"/>
      <c r="M215" s="8"/>
      <c r="N215">
        <v>1016</v>
      </c>
      <c r="O215">
        <v>1016111</v>
      </c>
      <c r="P215" t="str">
        <f>VLOOKUP(N215,'Site Allocation'!$B$2:$C$37,2,FALSE)</f>
        <v>Analyst3</v>
      </c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</row>
    <row r="216" spans="1:38" x14ac:dyDescent="0.35">
      <c r="A216" s="8"/>
      <c r="B216" s="8"/>
      <c r="C216" s="8"/>
      <c r="D216" s="8"/>
      <c r="I216" s="8"/>
      <c r="J216" s="8"/>
      <c r="K216" s="8"/>
      <c r="L216" s="8"/>
      <c r="M216" s="8"/>
      <c r="N216">
        <v>1016</v>
      </c>
      <c r="O216">
        <v>1016111</v>
      </c>
      <c r="P216" t="str">
        <f>VLOOKUP(N216,'Site Allocation'!$B$2:$C$37,2,FALSE)</f>
        <v>Analyst3</v>
      </c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</row>
    <row r="217" spans="1:38" x14ac:dyDescent="0.35">
      <c r="A217" s="8"/>
      <c r="B217" s="8"/>
      <c r="C217" s="8"/>
      <c r="D217" s="8"/>
      <c r="I217" s="8"/>
      <c r="J217" s="8"/>
      <c r="K217" s="8"/>
      <c r="L217" s="8"/>
      <c r="M217" s="8"/>
      <c r="N217">
        <v>1016</v>
      </c>
      <c r="O217">
        <v>1016111</v>
      </c>
      <c r="P217" t="str">
        <f>VLOOKUP(N217,'Site Allocation'!$B$2:$C$37,2,FALSE)</f>
        <v>Analyst3</v>
      </c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</row>
    <row r="218" spans="1:38" x14ac:dyDescent="0.35">
      <c r="A218" s="8"/>
      <c r="B218" s="8"/>
      <c r="C218" s="8"/>
      <c r="D218" s="8"/>
      <c r="I218" s="8"/>
      <c r="J218" s="8"/>
      <c r="K218" s="8"/>
      <c r="L218" s="8"/>
      <c r="M218" s="8"/>
      <c r="N218">
        <v>1016</v>
      </c>
      <c r="O218">
        <v>1016111</v>
      </c>
      <c r="P218" t="str">
        <f>VLOOKUP(N218,'Site Allocation'!$B$2:$C$37,2,FALSE)</f>
        <v>Analyst3</v>
      </c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</row>
    <row r="219" spans="1:38" x14ac:dyDescent="0.35">
      <c r="A219" s="8"/>
      <c r="B219" s="8"/>
      <c r="C219" s="8"/>
      <c r="D219" s="8"/>
      <c r="I219" s="8"/>
      <c r="J219" s="8"/>
      <c r="K219" s="8"/>
      <c r="L219" s="8"/>
      <c r="M219" s="8"/>
      <c r="N219">
        <v>1016</v>
      </c>
      <c r="O219">
        <v>1016111</v>
      </c>
      <c r="P219" t="str">
        <f>VLOOKUP(N219,'Site Allocation'!$B$2:$C$37,2,FALSE)</f>
        <v>Analyst3</v>
      </c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</row>
    <row r="220" spans="1:38" x14ac:dyDescent="0.35">
      <c r="A220" s="8"/>
      <c r="B220" s="8"/>
      <c r="C220" s="8"/>
      <c r="D220" s="8"/>
      <c r="I220" s="8"/>
      <c r="J220" s="8"/>
      <c r="K220" s="8"/>
      <c r="L220" s="8"/>
      <c r="M220" s="8"/>
      <c r="N220">
        <v>1016</v>
      </c>
      <c r="O220">
        <v>1016111</v>
      </c>
      <c r="P220" t="str">
        <f>VLOOKUP(N220,'Site Allocation'!$B$2:$C$37,2,FALSE)</f>
        <v>Analyst3</v>
      </c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</row>
    <row r="221" spans="1:38" x14ac:dyDescent="0.35">
      <c r="A221" s="8"/>
      <c r="B221" s="8"/>
      <c r="C221" s="8"/>
      <c r="D221" s="8"/>
      <c r="I221" s="8"/>
      <c r="J221" s="8"/>
      <c r="K221" s="8"/>
      <c r="L221" s="8"/>
      <c r="M221" s="8"/>
      <c r="N221">
        <v>1016</v>
      </c>
      <c r="O221">
        <v>1016111</v>
      </c>
      <c r="P221" t="str">
        <f>VLOOKUP(N221,'Site Allocation'!$B$2:$C$37,2,FALSE)</f>
        <v>Analyst3</v>
      </c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</row>
    <row r="222" spans="1:38" x14ac:dyDescent="0.35">
      <c r="A222" s="8"/>
      <c r="B222" s="8"/>
      <c r="C222" s="8"/>
      <c r="D222" s="8"/>
      <c r="I222" s="8"/>
      <c r="J222" s="8"/>
      <c r="K222" s="8"/>
      <c r="L222" s="8"/>
      <c r="M222" s="8"/>
      <c r="N222">
        <v>1016</v>
      </c>
      <c r="O222">
        <v>1016111</v>
      </c>
      <c r="P222" t="str">
        <f>VLOOKUP(N222,'Site Allocation'!$B$2:$C$37,2,FALSE)</f>
        <v>Analyst3</v>
      </c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</row>
    <row r="223" spans="1:38" x14ac:dyDescent="0.35">
      <c r="A223" s="8"/>
      <c r="B223" s="8"/>
      <c r="C223" s="8"/>
      <c r="D223" s="8"/>
      <c r="I223" s="8"/>
      <c r="J223" s="8"/>
      <c r="K223" s="8"/>
      <c r="L223" s="8"/>
      <c r="M223" s="8"/>
      <c r="N223">
        <v>1017</v>
      </c>
      <c r="O223">
        <v>1017111</v>
      </c>
      <c r="P223" t="str">
        <f>VLOOKUP(N223,'Site Allocation'!$B$2:$C$37,2,FALSE)</f>
        <v>Analyst3</v>
      </c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</row>
    <row r="224" spans="1:38" x14ac:dyDescent="0.35">
      <c r="A224" s="8"/>
      <c r="B224" s="8"/>
      <c r="C224" s="8"/>
      <c r="D224" s="8"/>
      <c r="I224" s="8"/>
      <c r="J224" s="8"/>
      <c r="K224" s="8"/>
      <c r="L224" s="8"/>
      <c r="M224" s="8"/>
      <c r="N224">
        <v>1017</v>
      </c>
      <c r="O224">
        <v>1017111</v>
      </c>
      <c r="P224" t="str">
        <f>VLOOKUP(N224,'Site Allocation'!$B$2:$C$37,2,FALSE)</f>
        <v>Analyst3</v>
      </c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</row>
    <row r="225" spans="1:38" x14ac:dyDescent="0.35">
      <c r="A225" s="8"/>
      <c r="B225" s="8"/>
      <c r="C225" s="8"/>
      <c r="D225" s="8"/>
      <c r="I225" s="8"/>
      <c r="J225" s="8"/>
      <c r="K225" s="8"/>
      <c r="L225" s="8"/>
      <c r="M225" s="8"/>
      <c r="N225">
        <v>1017</v>
      </c>
      <c r="O225">
        <v>1017111</v>
      </c>
      <c r="P225" t="str">
        <f>VLOOKUP(N225,'Site Allocation'!$B$2:$C$37,2,FALSE)</f>
        <v>Analyst3</v>
      </c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</row>
    <row r="226" spans="1:38" x14ac:dyDescent="0.35">
      <c r="A226" s="8"/>
      <c r="B226" s="8"/>
      <c r="C226" s="8"/>
      <c r="D226" s="8"/>
      <c r="I226" s="8"/>
      <c r="J226" s="8"/>
      <c r="K226" s="8"/>
      <c r="L226" s="8"/>
      <c r="M226" s="8"/>
      <c r="N226">
        <v>1017</v>
      </c>
      <c r="O226">
        <v>1017111</v>
      </c>
      <c r="P226" t="str">
        <f>VLOOKUP(N226,'Site Allocation'!$B$2:$C$37,2,FALSE)</f>
        <v>Analyst3</v>
      </c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</row>
    <row r="227" spans="1:38" x14ac:dyDescent="0.35">
      <c r="A227" s="8"/>
      <c r="B227" s="8"/>
      <c r="C227" s="8"/>
      <c r="D227" s="8"/>
      <c r="I227" s="8"/>
      <c r="J227" s="8"/>
      <c r="K227" s="8"/>
      <c r="L227" s="8"/>
      <c r="M227" s="8"/>
      <c r="N227">
        <v>1017</v>
      </c>
      <c r="O227">
        <v>1017111</v>
      </c>
      <c r="P227" t="str">
        <f>VLOOKUP(N227,'Site Allocation'!$B$2:$C$37,2,FALSE)</f>
        <v>Analyst3</v>
      </c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</row>
    <row r="228" spans="1:38" x14ac:dyDescent="0.35">
      <c r="A228" s="8"/>
      <c r="B228" s="8"/>
      <c r="C228" s="8"/>
      <c r="D228" s="8"/>
      <c r="I228" s="8"/>
      <c r="J228" s="8"/>
      <c r="K228" s="8"/>
      <c r="L228" s="8"/>
      <c r="M228" s="8"/>
      <c r="N228">
        <v>1017</v>
      </c>
      <c r="O228">
        <v>1017111</v>
      </c>
      <c r="P228" t="str">
        <f>VLOOKUP(N228,'Site Allocation'!$B$2:$C$37,2,FALSE)</f>
        <v>Analyst3</v>
      </c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</row>
    <row r="229" spans="1:38" x14ac:dyDescent="0.35">
      <c r="A229" s="8"/>
      <c r="B229" s="8"/>
      <c r="C229" s="8"/>
      <c r="D229" s="8"/>
      <c r="I229" s="8"/>
      <c r="J229" s="8"/>
      <c r="K229" s="8"/>
      <c r="L229" s="8"/>
      <c r="M229" s="8"/>
      <c r="N229">
        <v>1017</v>
      </c>
      <c r="O229">
        <v>1017111</v>
      </c>
      <c r="P229" t="str">
        <f>VLOOKUP(N229,'Site Allocation'!$B$2:$C$37,2,FALSE)</f>
        <v>Analyst3</v>
      </c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</row>
    <row r="230" spans="1:38" x14ac:dyDescent="0.35">
      <c r="A230" s="8"/>
      <c r="B230" s="8"/>
      <c r="C230" s="8"/>
      <c r="D230" s="8"/>
      <c r="I230" s="8"/>
      <c r="J230" s="8"/>
      <c r="K230" s="8"/>
      <c r="L230" s="8"/>
      <c r="M230" s="8"/>
      <c r="N230">
        <v>1017</v>
      </c>
      <c r="O230">
        <v>1017111</v>
      </c>
      <c r="P230" t="str">
        <f>VLOOKUP(N230,'Site Allocation'!$B$2:$C$37,2,FALSE)</f>
        <v>Analyst3</v>
      </c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</row>
    <row r="231" spans="1:38" x14ac:dyDescent="0.35">
      <c r="A231" s="8"/>
      <c r="B231" s="8"/>
      <c r="C231" s="8"/>
      <c r="D231" s="8"/>
      <c r="I231" s="8"/>
      <c r="J231" s="8"/>
      <c r="K231" s="8"/>
      <c r="L231" s="8"/>
      <c r="M231" s="8"/>
      <c r="N231">
        <v>1017</v>
      </c>
      <c r="O231">
        <v>1017111</v>
      </c>
      <c r="P231" t="str">
        <f>VLOOKUP(N231,'Site Allocation'!$B$2:$C$37,2,FALSE)</f>
        <v>Analyst3</v>
      </c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</row>
    <row r="232" spans="1:38" x14ac:dyDescent="0.35">
      <c r="A232" s="8"/>
      <c r="B232" s="8"/>
      <c r="C232" s="8"/>
      <c r="D232" s="8"/>
      <c r="I232" s="8"/>
      <c r="J232" s="8"/>
      <c r="K232" s="8"/>
      <c r="L232" s="8"/>
      <c r="M232" s="8"/>
      <c r="N232">
        <v>1017</v>
      </c>
      <c r="O232">
        <v>1017111</v>
      </c>
      <c r="P232" t="str">
        <f>VLOOKUP(N232,'Site Allocation'!$B$2:$C$37,2,FALSE)</f>
        <v>Analyst3</v>
      </c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</row>
    <row r="233" spans="1:38" x14ac:dyDescent="0.35">
      <c r="A233" s="8"/>
      <c r="B233" s="8"/>
      <c r="C233" s="8"/>
      <c r="D233" s="8"/>
      <c r="I233" s="8"/>
      <c r="J233" s="8"/>
      <c r="K233" s="8"/>
      <c r="L233" s="8"/>
      <c r="M233" s="8"/>
      <c r="N233">
        <v>1017</v>
      </c>
      <c r="O233">
        <v>1017111</v>
      </c>
      <c r="P233" t="str">
        <f>VLOOKUP(N233,'Site Allocation'!$B$2:$C$37,2,FALSE)</f>
        <v>Analyst3</v>
      </c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</row>
    <row r="234" spans="1:38" x14ac:dyDescent="0.35">
      <c r="A234" s="8"/>
      <c r="B234" s="8"/>
      <c r="C234" s="8"/>
      <c r="D234" s="8"/>
      <c r="I234" s="8"/>
      <c r="J234" s="8"/>
      <c r="K234" s="8"/>
      <c r="L234" s="8"/>
      <c r="M234" s="8"/>
      <c r="N234">
        <v>1017</v>
      </c>
      <c r="O234">
        <v>1017111</v>
      </c>
      <c r="P234" t="str">
        <f>VLOOKUP(N234,'Site Allocation'!$B$2:$C$37,2,FALSE)</f>
        <v>Analyst3</v>
      </c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</row>
    <row r="235" spans="1:38" x14ac:dyDescent="0.35">
      <c r="A235" s="8"/>
      <c r="B235" s="8"/>
      <c r="C235" s="8"/>
      <c r="D235" s="8"/>
      <c r="I235" s="8"/>
      <c r="J235" s="8"/>
      <c r="K235" s="8"/>
      <c r="L235" s="8"/>
      <c r="M235" s="8"/>
      <c r="N235">
        <v>1017</v>
      </c>
      <c r="O235">
        <v>1017111</v>
      </c>
      <c r="P235" t="str">
        <f>VLOOKUP(N235,'Site Allocation'!$B$2:$C$37,2,FALSE)</f>
        <v>Analyst3</v>
      </c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</row>
    <row r="236" spans="1:38" x14ac:dyDescent="0.35">
      <c r="A236" s="8"/>
      <c r="B236" s="8"/>
      <c r="C236" s="8"/>
      <c r="D236" s="8"/>
      <c r="I236" s="8"/>
      <c r="J236" s="8"/>
      <c r="K236" s="8"/>
      <c r="L236" s="8"/>
      <c r="M236" s="8"/>
      <c r="N236">
        <v>1017</v>
      </c>
      <c r="O236">
        <v>1017111</v>
      </c>
      <c r="P236" t="str">
        <f>VLOOKUP(N236,'Site Allocation'!$B$2:$C$37,2,FALSE)</f>
        <v>Analyst3</v>
      </c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</row>
    <row r="237" spans="1:38" x14ac:dyDescent="0.35">
      <c r="A237" s="8"/>
      <c r="B237" s="8"/>
      <c r="C237" s="8"/>
      <c r="D237" s="8"/>
      <c r="I237" s="8"/>
      <c r="J237" s="8"/>
      <c r="K237" s="8"/>
      <c r="L237" s="8"/>
      <c r="M237" s="8"/>
      <c r="N237">
        <v>1017</v>
      </c>
      <c r="O237">
        <v>1017111</v>
      </c>
      <c r="P237" t="str">
        <f>VLOOKUP(N237,'Site Allocation'!$B$2:$C$37,2,FALSE)</f>
        <v>Analyst3</v>
      </c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</row>
    <row r="238" spans="1:38" x14ac:dyDescent="0.35">
      <c r="A238" s="8"/>
      <c r="B238" s="8"/>
      <c r="C238" s="8"/>
      <c r="D238" s="8"/>
      <c r="I238" s="8"/>
      <c r="J238" s="8"/>
      <c r="K238" s="8"/>
      <c r="L238" s="8"/>
      <c r="M238" s="8"/>
      <c r="N238">
        <v>1017</v>
      </c>
      <c r="O238">
        <v>1017111</v>
      </c>
      <c r="P238" t="str">
        <f>VLOOKUP(N238,'Site Allocation'!$B$2:$C$37,2,FALSE)</f>
        <v>Analyst3</v>
      </c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</row>
    <row r="239" spans="1:38" x14ac:dyDescent="0.35">
      <c r="A239" s="8"/>
      <c r="B239" s="8"/>
      <c r="C239" s="8"/>
      <c r="D239" s="8"/>
      <c r="I239" s="8"/>
      <c r="J239" s="8"/>
      <c r="K239" s="8"/>
      <c r="L239" s="8"/>
      <c r="M239" s="8"/>
      <c r="N239">
        <v>1017</v>
      </c>
      <c r="O239">
        <v>1017111</v>
      </c>
      <c r="P239" t="str">
        <f>VLOOKUP(N239,'Site Allocation'!$B$2:$C$37,2,FALSE)</f>
        <v>Analyst3</v>
      </c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</row>
    <row r="240" spans="1:38" x14ac:dyDescent="0.35">
      <c r="A240" s="8"/>
      <c r="B240" s="8"/>
      <c r="C240" s="8"/>
      <c r="D240" s="8"/>
      <c r="I240" s="8"/>
      <c r="J240" s="8"/>
      <c r="K240" s="8"/>
      <c r="L240" s="8"/>
      <c r="M240" s="8"/>
      <c r="N240">
        <v>1018</v>
      </c>
      <c r="O240">
        <v>1018111</v>
      </c>
      <c r="P240" t="str">
        <f>VLOOKUP(N240,'Site Allocation'!$B$2:$C$37,2,FALSE)</f>
        <v>Analyst4</v>
      </c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</row>
    <row r="241" spans="1:38" x14ac:dyDescent="0.35">
      <c r="A241" s="8"/>
      <c r="B241" s="8"/>
      <c r="C241" s="8"/>
      <c r="D241" s="8"/>
      <c r="I241" s="8"/>
      <c r="J241" s="8"/>
      <c r="K241" s="8"/>
      <c r="L241" s="8"/>
      <c r="M241" s="8"/>
      <c r="N241">
        <v>1018</v>
      </c>
      <c r="O241">
        <v>1018111</v>
      </c>
      <c r="P241" t="str">
        <f>VLOOKUP(N241,'Site Allocation'!$B$2:$C$37,2,FALSE)</f>
        <v>Analyst4</v>
      </c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</row>
    <row r="242" spans="1:38" x14ac:dyDescent="0.35">
      <c r="A242" s="8"/>
      <c r="B242" s="8"/>
      <c r="C242" s="8"/>
      <c r="D242" s="8"/>
      <c r="I242" s="8"/>
      <c r="J242" s="8"/>
      <c r="K242" s="8"/>
      <c r="L242" s="8"/>
      <c r="M242" s="8"/>
      <c r="N242">
        <v>1018</v>
      </c>
      <c r="O242">
        <v>1018111</v>
      </c>
      <c r="P242" t="str">
        <f>VLOOKUP(N242,'Site Allocation'!$B$2:$C$37,2,FALSE)</f>
        <v>Analyst4</v>
      </c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</row>
    <row r="243" spans="1:38" x14ac:dyDescent="0.35">
      <c r="A243" s="8"/>
      <c r="B243" s="8"/>
      <c r="C243" s="8"/>
      <c r="D243" s="8"/>
      <c r="I243" s="8"/>
      <c r="J243" s="8"/>
      <c r="K243" s="8"/>
      <c r="L243" s="8"/>
      <c r="M243" s="8"/>
      <c r="N243">
        <v>1018</v>
      </c>
      <c r="O243">
        <v>1018111</v>
      </c>
      <c r="P243" t="str">
        <f>VLOOKUP(N243,'Site Allocation'!$B$2:$C$37,2,FALSE)</f>
        <v>Analyst4</v>
      </c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</row>
    <row r="244" spans="1:38" x14ac:dyDescent="0.35">
      <c r="A244" s="8"/>
      <c r="B244" s="8"/>
      <c r="C244" s="8"/>
      <c r="D244" s="8"/>
      <c r="I244" s="8"/>
      <c r="J244" s="8"/>
      <c r="K244" s="8"/>
      <c r="L244" s="8"/>
      <c r="M244" s="8"/>
      <c r="N244">
        <v>1018</v>
      </c>
      <c r="O244">
        <v>1018111</v>
      </c>
      <c r="P244" t="str">
        <f>VLOOKUP(N244,'Site Allocation'!$B$2:$C$37,2,FALSE)</f>
        <v>Analyst4</v>
      </c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</row>
    <row r="245" spans="1:38" x14ac:dyDescent="0.35">
      <c r="A245" s="8"/>
      <c r="B245" s="8"/>
      <c r="C245" s="8"/>
      <c r="D245" s="8"/>
      <c r="I245" s="8"/>
      <c r="J245" s="8"/>
      <c r="K245" s="8"/>
      <c r="L245" s="8"/>
      <c r="M245" s="8"/>
      <c r="N245">
        <v>1018</v>
      </c>
      <c r="O245">
        <v>1018111</v>
      </c>
      <c r="P245" t="str">
        <f>VLOOKUP(N245,'Site Allocation'!$B$2:$C$37,2,FALSE)</f>
        <v>Analyst4</v>
      </c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</row>
    <row r="246" spans="1:38" x14ac:dyDescent="0.35">
      <c r="A246" s="8"/>
      <c r="B246" s="8"/>
      <c r="C246" s="8"/>
      <c r="D246" s="8"/>
      <c r="I246" s="8"/>
      <c r="J246" s="8"/>
      <c r="K246" s="8"/>
      <c r="L246" s="8"/>
      <c r="M246" s="8"/>
      <c r="N246">
        <v>1018</v>
      </c>
      <c r="O246">
        <v>1018111</v>
      </c>
      <c r="P246" t="str">
        <f>VLOOKUP(N246,'Site Allocation'!$B$2:$C$37,2,FALSE)</f>
        <v>Analyst4</v>
      </c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</row>
    <row r="247" spans="1:38" x14ac:dyDescent="0.35">
      <c r="A247" s="8"/>
      <c r="B247" s="8"/>
      <c r="C247" s="8"/>
      <c r="D247" s="8"/>
      <c r="I247" s="8"/>
      <c r="J247" s="8"/>
      <c r="K247" s="8"/>
      <c r="L247" s="8"/>
      <c r="M247" s="8"/>
      <c r="N247">
        <v>1018</v>
      </c>
      <c r="O247">
        <v>1018111</v>
      </c>
      <c r="P247" t="str">
        <f>VLOOKUP(N247,'Site Allocation'!$B$2:$C$37,2,FALSE)</f>
        <v>Analyst4</v>
      </c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</row>
    <row r="248" spans="1:38" x14ac:dyDescent="0.35">
      <c r="A248" s="8"/>
      <c r="B248" s="8"/>
      <c r="C248" s="8"/>
      <c r="D248" s="8"/>
      <c r="I248" s="8"/>
      <c r="J248" s="8"/>
      <c r="K248" s="8"/>
      <c r="L248" s="8"/>
      <c r="M248" s="8"/>
      <c r="N248">
        <v>1018</v>
      </c>
      <c r="O248">
        <v>1018111</v>
      </c>
      <c r="P248" t="str">
        <f>VLOOKUP(N248,'Site Allocation'!$B$2:$C$37,2,FALSE)</f>
        <v>Analyst4</v>
      </c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</row>
    <row r="249" spans="1:38" x14ac:dyDescent="0.35">
      <c r="A249" s="8"/>
      <c r="B249" s="8"/>
      <c r="C249" s="8"/>
      <c r="D249" s="8"/>
      <c r="I249" s="8"/>
      <c r="J249" s="8"/>
      <c r="K249" s="8"/>
      <c r="L249" s="8"/>
      <c r="M249" s="8"/>
      <c r="N249">
        <v>1018</v>
      </c>
      <c r="O249">
        <v>1018111</v>
      </c>
      <c r="P249" t="str">
        <f>VLOOKUP(N249,'Site Allocation'!$B$2:$C$37,2,FALSE)</f>
        <v>Analyst4</v>
      </c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</row>
    <row r="250" spans="1:38" x14ac:dyDescent="0.35">
      <c r="A250" s="8"/>
      <c r="B250" s="8"/>
      <c r="C250" s="8"/>
      <c r="D250" s="8"/>
      <c r="I250" s="8"/>
      <c r="J250" s="8"/>
      <c r="K250" s="8"/>
      <c r="L250" s="8"/>
      <c r="M250" s="8"/>
      <c r="N250">
        <v>1018</v>
      </c>
      <c r="O250">
        <v>1018111</v>
      </c>
      <c r="P250" t="str">
        <f>VLOOKUP(N250,'Site Allocation'!$B$2:$C$37,2,FALSE)</f>
        <v>Analyst4</v>
      </c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</row>
    <row r="251" spans="1:38" x14ac:dyDescent="0.35">
      <c r="A251" s="8"/>
      <c r="B251" s="8"/>
      <c r="C251" s="8"/>
      <c r="D251" s="8"/>
      <c r="I251" s="8"/>
      <c r="J251" s="8"/>
      <c r="K251" s="8"/>
      <c r="L251" s="8"/>
      <c r="M251" s="8"/>
      <c r="N251">
        <v>1018</v>
      </c>
      <c r="O251">
        <v>1018111</v>
      </c>
      <c r="P251" t="str">
        <f>VLOOKUP(N251,'Site Allocation'!$B$2:$C$37,2,FALSE)</f>
        <v>Analyst4</v>
      </c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</row>
    <row r="252" spans="1:38" x14ac:dyDescent="0.35">
      <c r="A252" s="8"/>
      <c r="B252" s="8"/>
      <c r="C252" s="8"/>
      <c r="D252" s="8"/>
      <c r="I252" s="8"/>
      <c r="J252" s="8"/>
      <c r="K252" s="8"/>
      <c r="L252" s="8"/>
      <c r="M252" s="8"/>
      <c r="N252">
        <v>1019</v>
      </c>
      <c r="O252">
        <v>1019111</v>
      </c>
      <c r="P252" t="str">
        <f>VLOOKUP(N252,'Site Allocation'!$B$2:$C$37,2,FALSE)</f>
        <v>Analyst4</v>
      </c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</row>
    <row r="253" spans="1:38" x14ac:dyDescent="0.35">
      <c r="A253" s="8"/>
      <c r="B253" s="8"/>
      <c r="C253" s="8"/>
      <c r="D253" s="8"/>
      <c r="I253" s="8"/>
      <c r="J253" s="8"/>
      <c r="K253" s="8"/>
      <c r="L253" s="8"/>
      <c r="M253" s="8"/>
      <c r="N253">
        <v>1019</v>
      </c>
      <c r="O253">
        <v>1019111</v>
      </c>
      <c r="P253" t="str">
        <f>VLOOKUP(N253,'Site Allocation'!$B$2:$C$37,2,FALSE)</f>
        <v>Analyst4</v>
      </c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</row>
    <row r="254" spans="1:38" x14ac:dyDescent="0.35">
      <c r="A254" s="8"/>
      <c r="B254" s="8"/>
      <c r="C254" s="8"/>
      <c r="D254" s="8"/>
      <c r="I254" s="8"/>
      <c r="J254" s="8"/>
      <c r="K254" s="8"/>
      <c r="L254" s="8"/>
      <c r="M254" s="8"/>
      <c r="N254">
        <v>1019</v>
      </c>
      <c r="O254">
        <v>1019111</v>
      </c>
      <c r="P254" t="str">
        <f>VLOOKUP(N254,'Site Allocation'!$B$2:$C$37,2,FALSE)</f>
        <v>Analyst4</v>
      </c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</row>
    <row r="255" spans="1:38" x14ac:dyDescent="0.35">
      <c r="A255" s="8"/>
      <c r="B255" s="8"/>
      <c r="C255" s="8"/>
      <c r="D255" s="8"/>
      <c r="I255" s="8"/>
      <c r="J255" s="8"/>
      <c r="K255" s="8"/>
      <c r="L255" s="8"/>
      <c r="M255" s="8"/>
      <c r="N255">
        <v>1019</v>
      </c>
      <c r="O255">
        <v>1019111</v>
      </c>
      <c r="P255" t="str">
        <f>VLOOKUP(N255,'Site Allocation'!$B$2:$C$37,2,FALSE)</f>
        <v>Analyst4</v>
      </c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</row>
    <row r="256" spans="1:38" x14ac:dyDescent="0.35">
      <c r="A256" s="8"/>
      <c r="B256" s="8"/>
      <c r="C256" s="8"/>
      <c r="D256" s="8"/>
      <c r="I256" s="8"/>
      <c r="J256" s="8"/>
      <c r="K256" s="8"/>
      <c r="L256" s="8"/>
      <c r="M256" s="8"/>
      <c r="N256">
        <v>1019</v>
      </c>
      <c r="O256">
        <v>1019111</v>
      </c>
      <c r="P256" t="str">
        <f>VLOOKUP(N256,'Site Allocation'!$B$2:$C$37,2,FALSE)</f>
        <v>Analyst4</v>
      </c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</row>
    <row r="257" spans="1:38" x14ac:dyDescent="0.35">
      <c r="A257" s="8"/>
      <c r="B257" s="8"/>
      <c r="C257" s="8"/>
      <c r="D257" s="8"/>
      <c r="I257" s="8"/>
      <c r="J257" s="8"/>
      <c r="K257" s="8"/>
      <c r="L257" s="8"/>
      <c r="M257" s="8"/>
      <c r="N257">
        <v>1019</v>
      </c>
      <c r="O257">
        <v>1019111</v>
      </c>
      <c r="P257" t="str">
        <f>VLOOKUP(N257,'Site Allocation'!$B$2:$C$37,2,FALSE)</f>
        <v>Analyst4</v>
      </c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</row>
    <row r="258" spans="1:38" x14ac:dyDescent="0.35">
      <c r="A258" s="8"/>
      <c r="B258" s="8"/>
      <c r="C258" s="8"/>
      <c r="D258" s="8"/>
      <c r="I258" s="8"/>
      <c r="J258" s="8"/>
      <c r="K258" s="8"/>
      <c r="L258" s="8"/>
      <c r="M258" s="8"/>
      <c r="N258">
        <v>1019</v>
      </c>
      <c r="O258">
        <v>1019111</v>
      </c>
      <c r="P258" t="str">
        <f>VLOOKUP(N258,'Site Allocation'!$B$2:$C$37,2,FALSE)</f>
        <v>Analyst4</v>
      </c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</row>
    <row r="259" spans="1:38" x14ac:dyDescent="0.35">
      <c r="A259" s="8"/>
      <c r="B259" s="8"/>
      <c r="C259" s="8"/>
      <c r="D259" s="8"/>
      <c r="I259" s="8"/>
      <c r="J259" s="8"/>
      <c r="K259" s="8"/>
      <c r="L259" s="8"/>
      <c r="M259" s="8"/>
      <c r="N259">
        <v>1019</v>
      </c>
      <c r="O259">
        <v>1019111</v>
      </c>
      <c r="P259" t="str">
        <f>VLOOKUP(N259,'Site Allocation'!$B$2:$C$37,2,FALSE)</f>
        <v>Analyst4</v>
      </c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</row>
    <row r="260" spans="1:38" x14ac:dyDescent="0.35">
      <c r="A260" s="8"/>
      <c r="B260" s="8"/>
      <c r="C260" s="8"/>
      <c r="D260" s="8"/>
      <c r="I260" s="8"/>
      <c r="J260" s="8"/>
      <c r="K260" s="8"/>
      <c r="L260" s="8"/>
      <c r="M260" s="8"/>
      <c r="N260">
        <v>1019</v>
      </c>
      <c r="O260">
        <v>1019111</v>
      </c>
      <c r="P260" t="str">
        <f>VLOOKUP(N260,'Site Allocation'!$B$2:$C$37,2,FALSE)</f>
        <v>Analyst4</v>
      </c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</row>
    <row r="261" spans="1:38" x14ac:dyDescent="0.35">
      <c r="A261" s="8"/>
      <c r="B261" s="8"/>
      <c r="C261" s="8"/>
      <c r="D261" s="8"/>
      <c r="I261" s="8"/>
      <c r="J261" s="8"/>
      <c r="K261" s="8"/>
      <c r="L261" s="8"/>
      <c r="M261" s="8"/>
      <c r="N261">
        <v>1019</v>
      </c>
      <c r="O261">
        <v>1019111</v>
      </c>
      <c r="P261" t="str">
        <f>VLOOKUP(N261,'Site Allocation'!$B$2:$C$37,2,FALSE)</f>
        <v>Analyst4</v>
      </c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</row>
    <row r="262" spans="1:38" x14ac:dyDescent="0.35">
      <c r="A262" s="8"/>
      <c r="B262" s="8"/>
      <c r="C262" s="8"/>
      <c r="D262" s="8"/>
      <c r="I262" s="8"/>
      <c r="J262" s="8"/>
      <c r="K262" s="8"/>
      <c r="L262" s="8"/>
      <c r="M262" s="8"/>
      <c r="N262">
        <v>1019</v>
      </c>
      <c r="O262">
        <v>1019111</v>
      </c>
      <c r="P262" t="str">
        <f>VLOOKUP(N262,'Site Allocation'!$B$2:$C$37,2,FALSE)</f>
        <v>Analyst4</v>
      </c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</row>
    <row r="263" spans="1:38" x14ac:dyDescent="0.35">
      <c r="A263" s="8"/>
      <c r="B263" s="8"/>
      <c r="C263" s="8"/>
      <c r="D263" s="8"/>
      <c r="I263" s="8"/>
      <c r="J263" s="8"/>
      <c r="K263" s="8"/>
      <c r="L263" s="8"/>
      <c r="M263" s="8"/>
      <c r="N263">
        <v>1019</v>
      </c>
      <c r="O263">
        <v>1019111</v>
      </c>
      <c r="P263" t="str">
        <f>VLOOKUP(N263,'Site Allocation'!$B$2:$C$37,2,FALSE)</f>
        <v>Analyst4</v>
      </c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</row>
    <row r="264" spans="1:38" x14ac:dyDescent="0.35">
      <c r="A264" s="8"/>
      <c r="B264" s="8"/>
      <c r="C264" s="8"/>
      <c r="D264" s="8"/>
      <c r="I264" s="8"/>
      <c r="J264" s="8"/>
      <c r="K264" s="8"/>
      <c r="L264" s="8"/>
      <c r="M264" s="8"/>
      <c r="N264">
        <v>1020</v>
      </c>
      <c r="O264">
        <v>1020111</v>
      </c>
      <c r="P264" t="str">
        <f>VLOOKUP(N264,'Site Allocation'!$B$2:$C$37,2,FALSE)</f>
        <v>Analyst4</v>
      </c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</row>
    <row r="265" spans="1:38" x14ac:dyDescent="0.35">
      <c r="A265" s="8"/>
      <c r="B265" s="8"/>
      <c r="C265" s="8"/>
      <c r="D265" s="8"/>
      <c r="I265" s="8"/>
      <c r="J265" s="8"/>
      <c r="K265" s="8"/>
      <c r="L265" s="8"/>
      <c r="M265" s="8"/>
      <c r="N265">
        <v>1020</v>
      </c>
      <c r="O265">
        <v>1020111</v>
      </c>
      <c r="P265" t="str">
        <f>VLOOKUP(N265,'Site Allocation'!$B$2:$C$37,2,FALSE)</f>
        <v>Analyst4</v>
      </c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</row>
    <row r="266" spans="1:38" x14ac:dyDescent="0.35">
      <c r="A266" s="8"/>
      <c r="B266" s="8"/>
      <c r="C266" s="8"/>
      <c r="D266" s="8"/>
      <c r="I266" s="8"/>
      <c r="J266" s="8"/>
      <c r="K266" s="8"/>
      <c r="L266" s="8"/>
      <c r="M266" s="8"/>
      <c r="N266">
        <v>1020</v>
      </c>
      <c r="O266">
        <v>1020111</v>
      </c>
      <c r="P266" t="str">
        <f>VLOOKUP(N266,'Site Allocation'!$B$2:$C$37,2,FALSE)</f>
        <v>Analyst4</v>
      </c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</row>
    <row r="267" spans="1:38" x14ac:dyDescent="0.35">
      <c r="A267" s="8"/>
      <c r="B267" s="8"/>
      <c r="C267" s="8"/>
      <c r="D267" s="8"/>
      <c r="I267" s="8"/>
      <c r="J267" s="8"/>
      <c r="K267" s="8"/>
      <c r="L267" s="8"/>
      <c r="M267" s="8"/>
      <c r="N267">
        <v>1020</v>
      </c>
      <c r="O267">
        <v>1020111</v>
      </c>
      <c r="P267" t="str">
        <f>VLOOKUP(N267,'Site Allocation'!$B$2:$C$37,2,FALSE)</f>
        <v>Analyst4</v>
      </c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</row>
    <row r="268" spans="1:38" x14ac:dyDescent="0.35">
      <c r="A268" s="8"/>
      <c r="B268" s="8"/>
      <c r="C268" s="8"/>
      <c r="D268" s="8"/>
      <c r="I268" s="8"/>
      <c r="J268" s="8"/>
      <c r="K268" s="8"/>
      <c r="L268" s="8"/>
      <c r="M268" s="8"/>
      <c r="N268">
        <v>1020</v>
      </c>
      <c r="O268">
        <v>1020111</v>
      </c>
      <c r="P268" t="str">
        <f>VLOOKUP(N268,'Site Allocation'!$B$2:$C$37,2,FALSE)</f>
        <v>Analyst4</v>
      </c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</row>
    <row r="269" spans="1:38" x14ac:dyDescent="0.35">
      <c r="A269" s="8"/>
      <c r="B269" s="8"/>
      <c r="C269" s="8"/>
      <c r="D269" s="8"/>
      <c r="I269" s="8"/>
      <c r="J269" s="8"/>
      <c r="K269" s="8"/>
      <c r="L269" s="8"/>
      <c r="M269" s="8"/>
      <c r="N269">
        <v>1020</v>
      </c>
      <c r="O269">
        <v>1020111</v>
      </c>
      <c r="P269" t="str">
        <f>VLOOKUP(N269,'Site Allocation'!$B$2:$C$37,2,FALSE)</f>
        <v>Analyst4</v>
      </c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</row>
    <row r="270" spans="1:38" x14ac:dyDescent="0.35">
      <c r="A270" s="8"/>
      <c r="B270" s="8"/>
      <c r="C270" s="8"/>
      <c r="D270" s="8"/>
      <c r="I270" s="8"/>
      <c r="J270" s="8"/>
      <c r="K270" s="8"/>
      <c r="L270" s="8"/>
      <c r="M270" s="8"/>
      <c r="N270">
        <v>1020</v>
      </c>
      <c r="O270">
        <v>1020111</v>
      </c>
      <c r="P270" t="str">
        <f>VLOOKUP(N270,'Site Allocation'!$B$2:$C$37,2,FALSE)</f>
        <v>Analyst4</v>
      </c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</row>
    <row r="271" spans="1:38" x14ac:dyDescent="0.35">
      <c r="A271" s="8"/>
      <c r="B271" s="8"/>
      <c r="C271" s="8"/>
      <c r="D271" s="8"/>
      <c r="I271" s="8"/>
      <c r="J271" s="8"/>
      <c r="K271" s="8"/>
      <c r="L271" s="8"/>
      <c r="M271" s="8"/>
      <c r="N271">
        <v>1020</v>
      </c>
      <c r="O271">
        <v>1020111</v>
      </c>
      <c r="P271" t="str">
        <f>VLOOKUP(N271,'Site Allocation'!$B$2:$C$37,2,FALSE)</f>
        <v>Analyst4</v>
      </c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</row>
    <row r="272" spans="1:38" x14ac:dyDescent="0.35">
      <c r="A272" s="8"/>
      <c r="B272" s="8"/>
      <c r="C272" s="8"/>
      <c r="D272" s="8"/>
      <c r="I272" s="8"/>
      <c r="J272" s="8"/>
      <c r="K272" s="8"/>
      <c r="L272" s="8"/>
      <c r="M272" s="8"/>
      <c r="N272">
        <v>1020</v>
      </c>
      <c r="O272">
        <v>1020111</v>
      </c>
      <c r="P272" t="str">
        <f>VLOOKUP(N272,'Site Allocation'!$B$2:$C$37,2,FALSE)</f>
        <v>Analyst4</v>
      </c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</row>
    <row r="273" spans="1:38" x14ac:dyDescent="0.35">
      <c r="A273" s="8"/>
      <c r="B273" s="8"/>
      <c r="C273" s="8"/>
      <c r="D273" s="8"/>
      <c r="I273" s="8"/>
      <c r="J273" s="8"/>
      <c r="K273" s="8"/>
      <c r="L273" s="8"/>
      <c r="M273" s="8"/>
      <c r="N273">
        <v>1020</v>
      </c>
      <c r="O273">
        <v>1020111</v>
      </c>
      <c r="P273" t="str">
        <f>VLOOKUP(N273,'Site Allocation'!$B$2:$C$37,2,FALSE)</f>
        <v>Analyst4</v>
      </c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</row>
    <row r="274" spans="1:38" x14ac:dyDescent="0.35">
      <c r="A274" s="8"/>
      <c r="B274" s="8"/>
      <c r="C274" s="8"/>
      <c r="D274" s="8"/>
      <c r="I274" s="8"/>
      <c r="J274" s="8"/>
      <c r="K274" s="8"/>
      <c r="L274" s="8"/>
      <c r="M274" s="8"/>
      <c r="N274">
        <v>1020</v>
      </c>
      <c r="O274">
        <v>1020111</v>
      </c>
      <c r="P274" t="str">
        <f>VLOOKUP(N274,'Site Allocation'!$B$2:$C$37,2,FALSE)</f>
        <v>Analyst4</v>
      </c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</row>
    <row r="275" spans="1:38" x14ac:dyDescent="0.35">
      <c r="A275" s="8"/>
      <c r="B275" s="8"/>
      <c r="C275" s="8"/>
      <c r="D275" s="8"/>
      <c r="I275" s="8"/>
      <c r="J275" s="8"/>
      <c r="K275" s="8"/>
      <c r="L275" s="8"/>
      <c r="M275" s="8"/>
      <c r="N275">
        <v>1020</v>
      </c>
      <c r="O275">
        <v>1020111</v>
      </c>
      <c r="P275" t="str">
        <f>VLOOKUP(N275,'Site Allocation'!$B$2:$C$37,2,FALSE)</f>
        <v>Analyst4</v>
      </c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</row>
    <row r="276" spans="1:38" x14ac:dyDescent="0.35">
      <c r="A276" s="8"/>
      <c r="B276" s="8"/>
      <c r="C276" s="8"/>
      <c r="D276" s="8"/>
      <c r="I276" s="8"/>
      <c r="J276" s="8"/>
      <c r="K276" s="8"/>
      <c r="L276" s="8"/>
      <c r="M276" s="8"/>
      <c r="N276">
        <v>1020</v>
      </c>
      <c r="O276">
        <v>1020111</v>
      </c>
      <c r="P276" t="str">
        <f>VLOOKUP(N276,'Site Allocation'!$B$2:$C$37,2,FALSE)</f>
        <v>Analyst4</v>
      </c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</row>
    <row r="277" spans="1:38" x14ac:dyDescent="0.35">
      <c r="A277" s="8"/>
      <c r="B277" s="8"/>
      <c r="C277" s="8"/>
      <c r="D277" s="8"/>
      <c r="I277" s="8"/>
      <c r="J277" s="8"/>
      <c r="K277" s="8"/>
      <c r="L277" s="8"/>
      <c r="M277" s="8"/>
      <c r="N277">
        <v>1020</v>
      </c>
      <c r="O277">
        <v>1020111</v>
      </c>
      <c r="P277" t="str">
        <f>VLOOKUP(N277,'Site Allocation'!$B$2:$C$37,2,FALSE)</f>
        <v>Analyst4</v>
      </c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</row>
    <row r="278" spans="1:38" x14ac:dyDescent="0.35">
      <c r="A278" s="8"/>
      <c r="B278" s="8"/>
      <c r="C278" s="8"/>
      <c r="D278" s="8"/>
      <c r="I278" s="8"/>
      <c r="J278" s="8"/>
      <c r="K278" s="8"/>
      <c r="L278" s="8"/>
      <c r="M278" s="8"/>
      <c r="N278">
        <v>1020</v>
      </c>
      <c r="O278">
        <v>1020111</v>
      </c>
      <c r="P278" t="str">
        <f>VLOOKUP(N278,'Site Allocation'!$B$2:$C$37,2,FALSE)</f>
        <v>Analyst4</v>
      </c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</row>
    <row r="279" spans="1:38" x14ac:dyDescent="0.35">
      <c r="A279" s="8"/>
      <c r="B279" s="8"/>
      <c r="C279" s="8"/>
      <c r="D279" s="8"/>
      <c r="I279" s="8"/>
      <c r="J279" s="8"/>
      <c r="K279" s="8"/>
      <c r="L279" s="8"/>
      <c r="M279" s="8"/>
      <c r="N279">
        <v>1020</v>
      </c>
      <c r="O279">
        <v>1020111</v>
      </c>
      <c r="P279" t="str">
        <f>VLOOKUP(N279,'Site Allocation'!$B$2:$C$37,2,FALSE)</f>
        <v>Analyst4</v>
      </c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</row>
    <row r="280" spans="1:38" x14ac:dyDescent="0.35">
      <c r="A280" s="8"/>
      <c r="B280" s="8"/>
      <c r="C280" s="8"/>
      <c r="D280" s="8"/>
      <c r="I280" s="8"/>
      <c r="J280" s="8"/>
      <c r="K280" s="8"/>
      <c r="L280" s="8"/>
      <c r="M280" s="8"/>
      <c r="N280">
        <v>1020</v>
      </c>
      <c r="O280">
        <v>1020111</v>
      </c>
      <c r="P280" t="str">
        <f>VLOOKUP(N280,'Site Allocation'!$B$2:$C$37,2,FALSE)</f>
        <v>Analyst4</v>
      </c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</row>
    <row r="281" spans="1:38" x14ac:dyDescent="0.35">
      <c r="A281" s="8"/>
      <c r="B281" s="8"/>
      <c r="C281" s="8"/>
      <c r="D281" s="8"/>
      <c r="I281" s="8"/>
      <c r="J281" s="8"/>
      <c r="K281" s="8"/>
      <c r="L281" s="8"/>
      <c r="M281" s="8"/>
      <c r="N281">
        <v>1020</v>
      </c>
      <c r="O281">
        <v>1020111</v>
      </c>
      <c r="P281" t="str">
        <f>VLOOKUP(N281,'Site Allocation'!$B$2:$C$37,2,FALSE)</f>
        <v>Analyst4</v>
      </c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</row>
    <row r="282" spans="1:38" x14ac:dyDescent="0.35">
      <c r="A282" s="8"/>
      <c r="B282" s="8"/>
      <c r="C282" s="8"/>
      <c r="D282" s="8"/>
      <c r="I282" s="8"/>
      <c r="J282" s="8"/>
      <c r="K282" s="8"/>
      <c r="L282" s="8"/>
      <c r="M282" s="8"/>
      <c r="N282">
        <v>1020</v>
      </c>
      <c r="O282">
        <v>1020111</v>
      </c>
      <c r="P282" t="str">
        <f>VLOOKUP(N282,'Site Allocation'!$B$2:$C$37,2,FALSE)</f>
        <v>Analyst4</v>
      </c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</row>
    <row r="283" spans="1:38" x14ac:dyDescent="0.35">
      <c r="A283" s="8"/>
      <c r="B283" s="8"/>
      <c r="C283" s="8"/>
      <c r="D283" s="8"/>
      <c r="I283" s="8"/>
      <c r="J283" s="8"/>
      <c r="K283" s="8"/>
      <c r="L283" s="8"/>
      <c r="M283" s="8"/>
      <c r="N283">
        <v>1021</v>
      </c>
      <c r="O283">
        <v>1021111</v>
      </c>
      <c r="P283" t="str">
        <f>VLOOKUP(N283,'Site Allocation'!$B$2:$C$37,2,FALSE)</f>
        <v>Analyst4</v>
      </c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</row>
    <row r="284" spans="1:38" x14ac:dyDescent="0.35">
      <c r="A284" s="8"/>
      <c r="B284" s="8"/>
      <c r="C284" s="8"/>
      <c r="D284" s="8"/>
      <c r="I284" s="8"/>
      <c r="J284" s="8"/>
      <c r="K284" s="8"/>
      <c r="L284" s="8"/>
      <c r="M284" s="8"/>
      <c r="N284">
        <v>1021</v>
      </c>
      <c r="O284">
        <v>1021111</v>
      </c>
      <c r="P284" t="str">
        <f>VLOOKUP(N284,'Site Allocation'!$B$2:$C$37,2,FALSE)</f>
        <v>Analyst4</v>
      </c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</row>
    <row r="285" spans="1:38" x14ac:dyDescent="0.35">
      <c r="A285" s="8"/>
      <c r="B285" s="8"/>
      <c r="C285" s="8"/>
      <c r="D285" s="8"/>
      <c r="I285" s="8"/>
      <c r="J285" s="8"/>
      <c r="K285" s="8"/>
      <c r="L285" s="8"/>
      <c r="M285" s="8"/>
      <c r="N285">
        <v>1021</v>
      </c>
      <c r="O285">
        <v>1021111</v>
      </c>
      <c r="P285" t="str">
        <f>VLOOKUP(N285,'Site Allocation'!$B$2:$C$37,2,FALSE)</f>
        <v>Analyst4</v>
      </c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</row>
    <row r="286" spans="1:38" x14ac:dyDescent="0.35">
      <c r="A286" s="8"/>
      <c r="B286" s="8"/>
      <c r="C286" s="8"/>
      <c r="D286" s="8"/>
      <c r="I286" s="8"/>
      <c r="J286" s="8"/>
      <c r="K286" s="8"/>
      <c r="L286" s="8"/>
      <c r="M286" s="8"/>
      <c r="N286">
        <v>1021</v>
      </c>
      <c r="O286">
        <v>1021111</v>
      </c>
      <c r="P286" t="str">
        <f>VLOOKUP(N286,'Site Allocation'!$B$2:$C$37,2,FALSE)</f>
        <v>Analyst4</v>
      </c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</row>
    <row r="287" spans="1:38" x14ac:dyDescent="0.35">
      <c r="A287" s="8"/>
      <c r="B287" s="8"/>
      <c r="C287" s="8"/>
      <c r="D287" s="8"/>
      <c r="I287" s="8"/>
      <c r="J287" s="8"/>
      <c r="K287" s="8"/>
      <c r="L287" s="8"/>
      <c r="M287" s="8"/>
      <c r="N287">
        <v>1021</v>
      </c>
      <c r="O287">
        <v>1021111</v>
      </c>
      <c r="P287" t="str">
        <f>VLOOKUP(N287,'Site Allocation'!$B$2:$C$37,2,FALSE)</f>
        <v>Analyst4</v>
      </c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</row>
    <row r="288" spans="1:38" x14ac:dyDescent="0.35">
      <c r="A288" s="8"/>
      <c r="B288" s="8"/>
      <c r="C288" s="8"/>
      <c r="D288" s="8"/>
      <c r="I288" s="8"/>
      <c r="J288" s="8"/>
      <c r="K288" s="8"/>
      <c r="L288" s="8"/>
      <c r="M288" s="8"/>
      <c r="N288">
        <v>1021</v>
      </c>
      <c r="O288">
        <v>1021111</v>
      </c>
      <c r="P288" t="str">
        <f>VLOOKUP(N288,'Site Allocation'!$B$2:$C$37,2,FALSE)</f>
        <v>Analyst4</v>
      </c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</row>
    <row r="289" spans="1:38" x14ac:dyDescent="0.35">
      <c r="A289" s="8"/>
      <c r="B289" s="8"/>
      <c r="C289" s="8"/>
      <c r="D289" s="8"/>
      <c r="I289" s="8"/>
      <c r="J289" s="8"/>
      <c r="K289" s="8"/>
      <c r="L289" s="8"/>
      <c r="M289" s="8"/>
      <c r="N289">
        <v>1021</v>
      </c>
      <c r="O289">
        <v>1021111</v>
      </c>
      <c r="P289" t="str">
        <f>VLOOKUP(N289,'Site Allocation'!$B$2:$C$37,2,FALSE)</f>
        <v>Analyst4</v>
      </c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</row>
    <row r="290" spans="1:38" x14ac:dyDescent="0.35">
      <c r="A290" s="8"/>
      <c r="B290" s="8"/>
      <c r="C290" s="8"/>
      <c r="D290" s="8"/>
      <c r="I290" s="8"/>
      <c r="J290" s="8"/>
      <c r="K290" s="8"/>
      <c r="L290" s="8"/>
      <c r="M290" s="8"/>
      <c r="N290">
        <v>1021</v>
      </c>
      <c r="O290">
        <v>1021111</v>
      </c>
      <c r="P290" t="str">
        <f>VLOOKUP(N290,'Site Allocation'!$B$2:$C$37,2,FALSE)</f>
        <v>Analyst4</v>
      </c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</row>
    <row r="291" spans="1:38" x14ac:dyDescent="0.35">
      <c r="A291" s="8"/>
      <c r="B291" s="8"/>
      <c r="C291" s="8"/>
      <c r="D291" s="8"/>
      <c r="I291" s="8"/>
      <c r="J291" s="8"/>
      <c r="K291" s="8"/>
      <c r="L291" s="8"/>
      <c r="M291" s="8"/>
      <c r="N291">
        <v>1021</v>
      </c>
      <c r="O291">
        <v>1021111</v>
      </c>
      <c r="P291" t="str">
        <f>VLOOKUP(N291,'Site Allocation'!$B$2:$C$37,2,FALSE)</f>
        <v>Analyst4</v>
      </c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</row>
    <row r="292" spans="1:38" x14ac:dyDescent="0.35">
      <c r="A292" s="8"/>
      <c r="B292" s="8"/>
      <c r="C292" s="8"/>
      <c r="D292" s="8"/>
      <c r="I292" s="8"/>
      <c r="J292" s="8"/>
      <c r="K292" s="8"/>
      <c r="L292" s="8"/>
      <c r="M292" s="8"/>
      <c r="N292">
        <v>1021</v>
      </c>
      <c r="O292">
        <v>1021111</v>
      </c>
      <c r="P292" t="str">
        <f>VLOOKUP(N292,'Site Allocation'!$B$2:$C$37,2,FALSE)</f>
        <v>Analyst4</v>
      </c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</row>
    <row r="293" spans="1:38" x14ac:dyDescent="0.35">
      <c r="A293" s="8"/>
      <c r="B293" s="8"/>
      <c r="C293" s="8"/>
      <c r="D293" s="8"/>
      <c r="I293" s="8"/>
      <c r="J293" s="8"/>
      <c r="K293" s="8"/>
      <c r="L293" s="8"/>
      <c r="M293" s="8"/>
      <c r="N293">
        <v>1021</v>
      </c>
      <c r="O293">
        <v>1021111</v>
      </c>
      <c r="P293" t="str">
        <f>VLOOKUP(N293,'Site Allocation'!$B$2:$C$37,2,FALSE)</f>
        <v>Analyst4</v>
      </c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</row>
    <row r="294" spans="1:38" x14ac:dyDescent="0.35">
      <c r="A294" s="8"/>
      <c r="B294" s="8"/>
      <c r="C294" s="8"/>
      <c r="D294" s="8"/>
      <c r="I294" s="8"/>
      <c r="J294" s="8"/>
      <c r="K294" s="8"/>
      <c r="L294" s="8"/>
      <c r="M294" s="8"/>
      <c r="N294">
        <v>1021</v>
      </c>
      <c r="O294">
        <v>1021111</v>
      </c>
      <c r="P294" t="str">
        <f>VLOOKUP(N294,'Site Allocation'!$B$2:$C$37,2,FALSE)</f>
        <v>Analyst4</v>
      </c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</row>
    <row r="295" spans="1:38" x14ac:dyDescent="0.35">
      <c r="A295" s="8"/>
      <c r="B295" s="8"/>
      <c r="C295" s="8"/>
      <c r="D295" s="8"/>
      <c r="I295" s="8"/>
      <c r="J295" s="8"/>
      <c r="K295" s="8"/>
      <c r="L295" s="8"/>
      <c r="M295" s="8"/>
      <c r="N295">
        <v>1022</v>
      </c>
      <c r="O295">
        <v>1022111</v>
      </c>
      <c r="P295" t="str">
        <f>VLOOKUP(N295,'Site Allocation'!$B$2:$C$37,2,FALSE)</f>
        <v>Analyst4</v>
      </c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</row>
    <row r="296" spans="1:38" x14ac:dyDescent="0.35">
      <c r="A296" s="8"/>
      <c r="B296" s="8"/>
      <c r="C296" s="8"/>
      <c r="D296" s="8"/>
      <c r="I296" s="8"/>
      <c r="J296" s="8"/>
      <c r="K296" s="8"/>
      <c r="L296" s="8"/>
      <c r="M296" s="8"/>
      <c r="N296">
        <v>1022</v>
      </c>
      <c r="O296">
        <v>1022111</v>
      </c>
      <c r="P296" t="str">
        <f>VLOOKUP(N296,'Site Allocation'!$B$2:$C$37,2,FALSE)</f>
        <v>Analyst4</v>
      </c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</row>
    <row r="297" spans="1:38" x14ac:dyDescent="0.35">
      <c r="A297" s="8"/>
      <c r="B297" s="8"/>
      <c r="C297" s="8"/>
      <c r="D297" s="8"/>
      <c r="I297" s="8"/>
      <c r="J297" s="8"/>
      <c r="K297" s="8"/>
      <c r="L297" s="8"/>
      <c r="M297" s="8"/>
      <c r="N297">
        <v>1022</v>
      </c>
      <c r="O297">
        <v>1022111</v>
      </c>
      <c r="P297" t="str">
        <f>VLOOKUP(N297,'Site Allocation'!$B$2:$C$37,2,FALSE)</f>
        <v>Analyst4</v>
      </c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</row>
    <row r="298" spans="1:38" x14ac:dyDescent="0.35">
      <c r="A298" s="8"/>
      <c r="B298" s="8"/>
      <c r="C298" s="8"/>
      <c r="D298" s="8"/>
      <c r="I298" s="8"/>
      <c r="J298" s="8"/>
      <c r="K298" s="8"/>
      <c r="L298" s="8"/>
      <c r="M298" s="8"/>
      <c r="N298">
        <v>1022</v>
      </c>
      <c r="O298">
        <v>1022111</v>
      </c>
      <c r="P298" t="str">
        <f>VLOOKUP(N298,'Site Allocation'!$B$2:$C$37,2,FALSE)</f>
        <v>Analyst4</v>
      </c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</row>
    <row r="299" spans="1:38" x14ac:dyDescent="0.35">
      <c r="A299" s="8"/>
      <c r="B299" s="8"/>
      <c r="C299" s="8"/>
      <c r="D299" s="8"/>
      <c r="I299" s="8"/>
      <c r="J299" s="8"/>
      <c r="K299" s="8"/>
      <c r="L299" s="8"/>
      <c r="M299" s="8"/>
      <c r="N299">
        <v>1022</v>
      </c>
      <c r="O299">
        <v>1022111</v>
      </c>
      <c r="P299" t="str">
        <f>VLOOKUP(N299,'Site Allocation'!$B$2:$C$37,2,FALSE)</f>
        <v>Analyst4</v>
      </c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</row>
    <row r="300" spans="1:38" x14ac:dyDescent="0.35">
      <c r="A300" s="8"/>
      <c r="B300" s="8"/>
      <c r="C300" s="8"/>
      <c r="D300" s="8"/>
      <c r="I300" s="8"/>
      <c r="J300" s="8"/>
      <c r="K300" s="8"/>
      <c r="L300" s="8"/>
      <c r="M300" s="8"/>
      <c r="N300">
        <v>1022</v>
      </c>
      <c r="O300">
        <v>1022111</v>
      </c>
      <c r="P300" t="str">
        <f>VLOOKUP(N300,'Site Allocation'!$B$2:$C$37,2,FALSE)</f>
        <v>Analyst4</v>
      </c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</row>
    <row r="301" spans="1:38" x14ac:dyDescent="0.35">
      <c r="A301" s="8"/>
      <c r="B301" s="8"/>
      <c r="C301" s="8"/>
      <c r="D301" s="8"/>
      <c r="I301" s="8"/>
      <c r="J301" s="8"/>
      <c r="K301" s="8"/>
      <c r="L301" s="8"/>
      <c r="M301" s="8"/>
      <c r="N301">
        <v>1022</v>
      </c>
      <c r="O301">
        <v>1022111</v>
      </c>
      <c r="P301" t="str">
        <f>VLOOKUP(N301,'Site Allocation'!$B$2:$C$37,2,FALSE)</f>
        <v>Analyst4</v>
      </c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</row>
    <row r="302" spans="1:38" x14ac:dyDescent="0.35">
      <c r="A302" s="8"/>
      <c r="B302" s="8"/>
      <c r="C302" s="8"/>
      <c r="D302" s="8"/>
      <c r="I302" s="8"/>
      <c r="J302" s="8"/>
      <c r="K302" s="8"/>
      <c r="L302" s="8"/>
      <c r="M302" s="8"/>
      <c r="N302">
        <v>1022</v>
      </c>
      <c r="O302">
        <v>1022111</v>
      </c>
      <c r="P302" t="str">
        <f>VLOOKUP(N302,'Site Allocation'!$B$2:$C$37,2,FALSE)</f>
        <v>Analyst4</v>
      </c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</row>
    <row r="303" spans="1:38" x14ac:dyDescent="0.35">
      <c r="A303" s="8"/>
      <c r="B303" s="8"/>
      <c r="C303" s="8"/>
      <c r="D303" s="8"/>
      <c r="I303" s="8"/>
      <c r="J303" s="8"/>
      <c r="K303" s="8"/>
      <c r="L303" s="8"/>
      <c r="M303" s="8"/>
      <c r="N303">
        <v>1022</v>
      </c>
      <c r="O303">
        <v>1022111</v>
      </c>
      <c r="P303" t="str">
        <f>VLOOKUP(N303,'Site Allocation'!$B$2:$C$37,2,FALSE)</f>
        <v>Analyst4</v>
      </c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</row>
    <row r="304" spans="1:38" x14ac:dyDescent="0.35">
      <c r="A304" s="8"/>
      <c r="B304" s="8"/>
      <c r="C304" s="8"/>
      <c r="D304" s="8"/>
      <c r="I304" s="8"/>
      <c r="J304" s="8"/>
      <c r="K304" s="8"/>
      <c r="L304" s="8"/>
      <c r="M304" s="8"/>
      <c r="N304">
        <v>1022</v>
      </c>
      <c r="O304">
        <v>1022111</v>
      </c>
      <c r="P304" t="str">
        <f>VLOOKUP(N304,'Site Allocation'!$B$2:$C$37,2,FALSE)</f>
        <v>Analyst4</v>
      </c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</row>
    <row r="305" spans="1:38" x14ac:dyDescent="0.35">
      <c r="A305" s="8"/>
      <c r="B305" s="8"/>
      <c r="C305" s="8"/>
      <c r="D305" s="8"/>
      <c r="I305" s="8"/>
      <c r="J305" s="8"/>
      <c r="K305" s="8"/>
      <c r="L305" s="8"/>
      <c r="M305" s="8"/>
      <c r="N305">
        <v>1022</v>
      </c>
      <c r="O305">
        <v>1022111</v>
      </c>
      <c r="P305" t="str">
        <f>VLOOKUP(N305,'Site Allocation'!$B$2:$C$37,2,FALSE)</f>
        <v>Analyst4</v>
      </c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</row>
    <row r="306" spans="1:38" x14ac:dyDescent="0.35">
      <c r="A306" s="8"/>
      <c r="B306" s="8"/>
      <c r="C306" s="8"/>
      <c r="D306" s="8"/>
      <c r="I306" s="8"/>
      <c r="J306" s="8"/>
      <c r="K306" s="8"/>
      <c r="L306" s="8"/>
      <c r="M306" s="8"/>
      <c r="N306">
        <v>1022</v>
      </c>
      <c r="O306">
        <v>1022111</v>
      </c>
      <c r="P306" t="str">
        <f>VLOOKUP(N306,'Site Allocation'!$B$2:$C$37,2,FALSE)</f>
        <v>Analyst4</v>
      </c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</row>
    <row r="307" spans="1:38" x14ac:dyDescent="0.35">
      <c r="A307" s="8"/>
      <c r="B307" s="8"/>
      <c r="C307" s="8"/>
      <c r="D307" s="8"/>
      <c r="I307" s="8"/>
      <c r="J307" s="8"/>
      <c r="K307" s="8"/>
      <c r="L307" s="8"/>
      <c r="M307" s="8"/>
      <c r="N307">
        <v>1022</v>
      </c>
      <c r="O307">
        <v>1022111</v>
      </c>
      <c r="P307" t="str">
        <f>VLOOKUP(N307,'Site Allocation'!$B$2:$C$37,2,FALSE)</f>
        <v>Analyst4</v>
      </c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</row>
    <row r="308" spans="1:38" x14ac:dyDescent="0.35">
      <c r="A308" s="8"/>
      <c r="B308" s="8"/>
      <c r="C308" s="8"/>
      <c r="D308" s="8"/>
      <c r="I308" s="8"/>
      <c r="J308" s="8"/>
      <c r="K308" s="8"/>
      <c r="L308" s="8"/>
      <c r="M308" s="8"/>
      <c r="N308">
        <v>1022</v>
      </c>
      <c r="O308">
        <v>1022111</v>
      </c>
      <c r="P308" t="str">
        <f>VLOOKUP(N308,'Site Allocation'!$B$2:$C$37,2,FALSE)</f>
        <v>Analyst4</v>
      </c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</row>
    <row r="309" spans="1:38" x14ac:dyDescent="0.35">
      <c r="A309" s="8"/>
      <c r="B309" s="8"/>
      <c r="C309" s="8"/>
      <c r="D309" s="8"/>
      <c r="I309" s="8"/>
      <c r="J309" s="8"/>
      <c r="K309" s="8"/>
      <c r="L309" s="8"/>
      <c r="M309" s="8"/>
      <c r="N309">
        <v>1022</v>
      </c>
      <c r="O309">
        <v>1022111</v>
      </c>
      <c r="P309" t="str">
        <f>VLOOKUP(N309,'Site Allocation'!$B$2:$C$37,2,FALSE)</f>
        <v>Analyst4</v>
      </c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</row>
    <row r="310" spans="1:38" x14ac:dyDescent="0.35">
      <c r="A310" s="8"/>
      <c r="B310" s="8"/>
      <c r="C310" s="8"/>
      <c r="D310" s="8"/>
      <c r="I310" s="8"/>
      <c r="J310" s="8"/>
      <c r="K310" s="8"/>
      <c r="L310" s="8"/>
      <c r="M310" s="8"/>
      <c r="N310">
        <v>1022</v>
      </c>
      <c r="O310">
        <v>1022111</v>
      </c>
      <c r="P310" t="str">
        <f>VLOOKUP(N310,'Site Allocation'!$B$2:$C$37,2,FALSE)</f>
        <v>Analyst4</v>
      </c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</row>
    <row r="311" spans="1:38" x14ac:dyDescent="0.35">
      <c r="A311" s="8"/>
      <c r="B311" s="8"/>
      <c r="C311" s="8"/>
      <c r="D311" s="8"/>
      <c r="I311" s="8"/>
      <c r="J311" s="8"/>
      <c r="K311" s="8"/>
      <c r="L311" s="8"/>
      <c r="M311" s="8"/>
      <c r="N311">
        <v>1022</v>
      </c>
      <c r="O311">
        <v>1022111</v>
      </c>
      <c r="P311" t="str">
        <f>VLOOKUP(N311,'Site Allocation'!$B$2:$C$37,2,FALSE)</f>
        <v>Analyst4</v>
      </c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</row>
    <row r="312" spans="1:38" x14ac:dyDescent="0.35">
      <c r="A312" s="8"/>
      <c r="B312" s="8"/>
      <c r="C312" s="8"/>
      <c r="D312" s="8"/>
      <c r="I312" s="8"/>
      <c r="J312" s="8"/>
      <c r="K312" s="8"/>
      <c r="L312" s="8"/>
      <c r="M312" s="8"/>
      <c r="N312">
        <v>1022</v>
      </c>
      <c r="O312">
        <v>1022111</v>
      </c>
      <c r="P312" t="str">
        <f>VLOOKUP(N312,'Site Allocation'!$B$2:$C$37,2,FALSE)</f>
        <v>Analyst4</v>
      </c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</row>
    <row r="313" spans="1:38" x14ac:dyDescent="0.35">
      <c r="A313" s="8"/>
      <c r="B313" s="8"/>
      <c r="C313" s="8"/>
      <c r="D313" s="8"/>
      <c r="I313" s="8"/>
      <c r="J313" s="8"/>
      <c r="K313" s="8"/>
      <c r="L313" s="8"/>
      <c r="M313" s="8"/>
      <c r="N313">
        <v>1022</v>
      </c>
      <c r="O313">
        <v>1022111</v>
      </c>
      <c r="P313" t="str">
        <f>VLOOKUP(N313,'Site Allocation'!$B$2:$C$37,2,FALSE)</f>
        <v>Analyst4</v>
      </c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</row>
    <row r="314" spans="1:38" x14ac:dyDescent="0.35">
      <c r="A314" s="8"/>
      <c r="B314" s="8"/>
      <c r="C314" s="8"/>
      <c r="D314" s="8"/>
      <c r="I314" s="8"/>
      <c r="J314" s="8"/>
      <c r="K314" s="8"/>
      <c r="L314" s="8"/>
      <c r="M314" s="8"/>
      <c r="N314">
        <v>1022</v>
      </c>
      <c r="O314">
        <v>1022111</v>
      </c>
      <c r="P314" t="str">
        <f>VLOOKUP(N314,'Site Allocation'!$B$2:$C$37,2,FALSE)</f>
        <v>Analyst4</v>
      </c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</row>
    <row r="315" spans="1:38" x14ac:dyDescent="0.35">
      <c r="A315" s="8"/>
      <c r="B315" s="8"/>
      <c r="C315" s="8"/>
      <c r="D315" s="8"/>
      <c r="I315" s="8"/>
      <c r="J315" s="8"/>
      <c r="K315" s="8"/>
      <c r="L315" s="8"/>
      <c r="M315" s="8"/>
      <c r="N315">
        <v>1022</v>
      </c>
      <c r="O315">
        <v>1022111</v>
      </c>
      <c r="P315" t="str">
        <f>VLOOKUP(N315,'Site Allocation'!$B$2:$C$37,2,FALSE)</f>
        <v>Analyst4</v>
      </c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</row>
    <row r="316" spans="1:38" x14ac:dyDescent="0.35">
      <c r="A316" s="8"/>
      <c r="B316" s="8"/>
      <c r="C316" s="8"/>
      <c r="D316" s="8"/>
      <c r="I316" s="8"/>
      <c r="J316" s="8"/>
      <c r="K316" s="8"/>
      <c r="L316" s="8"/>
      <c r="M316" s="8"/>
      <c r="N316">
        <v>1022</v>
      </c>
      <c r="O316">
        <v>1022111</v>
      </c>
      <c r="P316" t="str">
        <f>VLOOKUP(N316,'Site Allocation'!$B$2:$C$37,2,FALSE)</f>
        <v>Analyst4</v>
      </c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</row>
    <row r="317" spans="1:38" x14ac:dyDescent="0.35">
      <c r="A317" s="8"/>
      <c r="B317" s="8"/>
      <c r="C317" s="8"/>
      <c r="D317" s="8"/>
      <c r="I317" s="8"/>
      <c r="J317" s="8"/>
      <c r="K317" s="8"/>
      <c r="L317" s="8"/>
      <c r="M317" s="8"/>
      <c r="N317">
        <v>1023</v>
      </c>
      <c r="O317">
        <v>1023111</v>
      </c>
      <c r="P317" t="str">
        <f>VLOOKUP(N317,'Site Allocation'!$B$2:$C$37,2,FALSE)</f>
        <v>Analyst4</v>
      </c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</row>
    <row r="318" spans="1:38" x14ac:dyDescent="0.35">
      <c r="A318" s="8"/>
      <c r="B318" s="8"/>
      <c r="C318" s="8"/>
      <c r="D318" s="8"/>
      <c r="I318" s="8"/>
      <c r="J318" s="8"/>
      <c r="K318" s="8"/>
      <c r="L318" s="8"/>
      <c r="M318" s="8"/>
      <c r="N318">
        <v>1023</v>
      </c>
      <c r="O318">
        <v>1023111</v>
      </c>
      <c r="P318" t="str">
        <f>VLOOKUP(N318,'Site Allocation'!$B$2:$C$37,2,FALSE)</f>
        <v>Analyst4</v>
      </c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</row>
    <row r="319" spans="1:38" x14ac:dyDescent="0.35">
      <c r="A319" s="8"/>
      <c r="B319" s="8"/>
      <c r="C319" s="8"/>
      <c r="D319" s="8"/>
      <c r="I319" s="8"/>
      <c r="J319" s="8"/>
      <c r="K319" s="8"/>
      <c r="L319" s="8"/>
      <c r="M319" s="8"/>
      <c r="N319">
        <v>1023</v>
      </c>
      <c r="O319">
        <v>1023111</v>
      </c>
      <c r="P319" t="str">
        <f>VLOOKUP(N319,'Site Allocation'!$B$2:$C$37,2,FALSE)</f>
        <v>Analyst4</v>
      </c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</row>
    <row r="320" spans="1:38" x14ac:dyDescent="0.35">
      <c r="A320" s="8"/>
      <c r="B320" s="8"/>
      <c r="C320" s="8"/>
      <c r="D320" s="8"/>
      <c r="I320" s="8"/>
      <c r="J320" s="8"/>
      <c r="K320" s="8"/>
      <c r="L320" s="8"/>
      <c r="M320" s="8"/>
      <c r="N320">
        <v>1023</v>
      </c>
      <c r="O320">
        <v>1023111</v>
      </c>
      <c r="P320" t="str">
        <f>VLOOKUP(N320,'Site Allocation'!$B$2:$C$37,2,FALSE)</f>
        <v>Analyst4</v>
      </c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</row>
    <row r="321" spans="1:38" x14ac:dyDescent="0.35">
      <c r="A321" s="8"/>
      <c r="B321" s="8"/>
      <c r="C321" s="8"/>
      <c r="D321" s="8"/>
      <c r="I321" s="8"/>
      <c r="J321" s="8"/>
      <c r="K321" s="8"/>
      <c r="L321" s="8"/>
      <c r="M321" s="8"/>
      <c r="N321">
        <v>1023</v>
      </c>
      <c r="O321">
        <v>1023111</v>
      </c>
      <c r="P321" t="str">
        <f>VLOOKUP(N321,'Site Allocation'!$B$2:$C$37,2,FALSE)</f>
        <v>Analyst4</v>
      </c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</row>
    <row r="322" spans="1:38" x14ac:dyDescent="0.35">
      <c r="A322" s="8"/>
      <c r="B322" s="8"/>
      <c r="C322" s="8"/>
      <c r="D322" s="8"/>
      <c r="I322" s="8"/>
      <c r="J322" s="8"/>
      <c r="K322" s="8"/>
      <c r="L322" s="8"/>
      <c r="M322" s="8"/>
      <c r="N322">
        <v>1023</v>
      </c>
      <c r="O322">
        <v>1023111</v>
      </c>
      <c r="P322" t="str">
        <f>VLOOKUP(N322,'Site Allocation'!$B$2:$C$37,2,FALSE)</f>
        <v>Analyst4</v>
      </c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</row>
    <row r="323" spans="1:38" x14ac:dyDescent="0.35">
      <c r="A323" s="8"/>
      <c r="B323" s="8"/>
      <c r="C323" s="8"/>
      <c r="D323" s="8"/>
      <c r="I323" s="8"/>
      <c r="J323" s="8"/>
      <c r="K323" s="8"/>
      <c r="L323" s="8"/>
      <c r="M323" s="8"/>
      <c r="N323">
        <v>1023</v>
      </c>
      <c r="O323">
        <v>1023111</v>
      </c>
      <c r="P323" t="str">
        <f>VLOOKUP(N323,'Site Allocation'!$B$2:$C$37,2,FALSE)</f>
        <v>Analyst4</v>
      </c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</row>
    <row r="324" spans="1:38" x14ac:dyDescent="0.35">
      <c r="A324" s="8"/>
      <c r="B324" s="8"/>
      <c r="C324" s="8"/>
      <c r="D324" s="8"/>
      <c r="I324" s="8"/>
      <c r="J324" s="8"/>
      <c r="K324" s="8"/>
      <c r="L324" s="8"/>
      <c r="M324" s="8"/>
      <c r="N324">
        <v>1023</v>
      </c>
      <c r="O324">
        <v>1023111</v>
      </c>
      <c r="P324" t="str">
        <f>VLOOKUP(N324,'Site Allocation'!$B$2:$C$37,2,FALSE)</f>
        <v>Analyst4</v>
      </c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</row>
    <row r="325" spans="1:38" x14ac:dyDescent="0.35">
      <c r="A325" s="8"/>
      <c r="B325" s="8"/>
      <c r="C325" s="8"/>
      <c r="D325" s="8"/>
      <c r="I325" s="8"/>
      <c r="J325" s="8"/>
      <c r="K325" s="8"/>
      <c r="L325" s="8"/>
      <c r="M325" s="8"/>
      <c r="N325">
        <v>1023</v>
      </c>
      <c r="O325">
        <v>1023111</v>
      </c>
      <c r="P325" t="str">
        <f>VLOOKUP(N325,'Site Allocation'!$B$2:$C$37,2,FALSE)</f>
        <v>Analyst4</v>
      </c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</row>
    <row r="326" spans="1:38" x14ac:dyDescent="0.35">
      <c r="A326" s="8"/>
      <c r="B326" s="8"/>
      <c r="C326" s="8"/>
      <c r="D326" s="8"/>
      <c r="I326" s="8"/>
      <c r="J326" s="8"/>
      <c r="K326" s="8"/>
      <c r="L326" s="8"/>
      <c r="M326" s="8"/>
      <c r="N326">
        <v>1023</v>
      </c>
      <c r="O326">
        <v>1023111</v>
      </c>
      <c r="P326" t="str">
        <f>VLOOKUP(N326,'Site Allocation'!$B$2:$C$37,2,FALSE)</f>
        <v>Analyst4</v>
      </c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</row>
    <row r="327" spans="1:38" x14ac:dyDescent="0.35">
      <c r="A327" s="8"/>
      <c r="B327" s="8"/>
      <c r="C327" s="8"/>
      <c r="D327" s="8"/>
      <c r="I327" s="8"/>
      <c r="J327" s="8"/>
      <c r="K327" s="8"/>
      <c r="L327" s="8"/>
      <c r="M327" s="8"/>
      <c r="N327">
        <v>1023</v>
      </c>
      <c r="O327">
        <v>1023111</v>
      </c>
      <c r="P327" t="str">
        <f>VLOOKUP(N327,'Site Allocation'!$B$2:$C$37,2,FALSE)</f>
        <v>Analyst4</v>
      </c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</row>
    <row r="328" spans="1:38" x14ac:dyDescent="0.35">
      <c r="A328" s="8"/>
      <c r="B328" s="8"/>
      <c r="C328" s="8"/>
      <c r="D328" s="8"/>
      <c r="I328" s="8"/>
      <c r="J328" s="8"/>
      <c r="K328" s="8"/>
      <c r="L328" s="8"/>
      <c r="M328" s="8"/>
      <c r="N328">
        <v>1023</v>
      </c>
      <c r="O328">
        <v>1023111</v>
      </c>
      <c r="P328" t="str">
        <f>VLOOKUP(N328,'Site Allocation'!$B$2:$C$37,2,FALSE)</f>
        <v>Analyst4</v>
      </c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</row>
    <row r="329" spans="1:38" x14ac:dyDescent="0.35">
      <c r="A329" s="8"/>
      <c r="B329" s="8"/>
      <c r="C329" s="8"/>
      <c r="D329" s="8"/>
      <c r="I329" s="8"/>
      <c r="J329" s="8"/>
      <c r="K329" s="8"/>
      <c r="L329" s="8"/>
      <c r="M329" s="8"/>
      <c r="N329">
        <v>1023</v>
      </c>
      <c r="O329">
        <v>1023111</v>
      </c>
      <c r="P329" t="str">
        <f>VLOOKUP(N329,'Site Allocation'!$B$2:$C$37,2,FALSE)</f>
        <v>Analyst4</v>
      </c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</row>
    <row r="330" spans="1:38" x14ac:dyDescent="0.35">
      <c r="A330" s="8"/>
      <c r="B330" s="8"/>
      <c r="C330" s="8"/>
      <c r="D330" s="8"/>
      <c r="I330" s="8"/>
      <c r="J330" s="8"/>
      <c r="K330" s="8"/>
      <c r="L330" s="8"/>
      <c r="M330" s="8"/>
      <c r="N330">
        <v>1023</v>
      </c>
      <c r="O330">
        <v>1023111</v>
      </c>
      <c r="P330" t="str">
        <f>VLOOKUP(N330,'Site Allocation'!$B$2:$C$37,2,FALSE)</f>
        <v>Analyst4</v>
      </c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</row>
    <row r="331" spans="1:38" x14ac:dyDescent="0.35">
      <c r="A331" s="8"/>
      <c r="B331" s="8"/>
      <c r="C331" s="8"/>
      <c r="D331" s="8"/>
      <c r="I331" s="8"/>
      <c r="J331" s="8"/>
      <c r="K331" s="8"/>
      <c r="L331" s="8"/>
      <c r="M331" s="8"/>
      <c r="N331">
        <v>1024</v>
      </c>
      <c r="O331">
        <v>1024111</v>
      </c>
      <c r="P331" t="str">
        <f>VLOOKUP(N331,'Site Allocation'!$B$2:$C$37,2,FALSE)</f>
        <v>Analyst5</v>
      </c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</row>
    <row r="332" spans="1:38" x14ac:dyDescent="0.35">
      <c r="A332" s="8"/>
      <c r="B332" s="8"/>
      <c r="C332" s="8"/>
      <c r="D332" s="8"/>
      <c r="I332" s="8"/>
      <c r="J332" s="8"/>
      <c r="K332" s="8"/>
      <c r="L332" s="8"/>
      <c r="M332" s="8"/>
      <c r="N332">
        <v>1024</v>
      </c>
      <c r="O332">
        <v>1024111</v>
      </c>
      <c r="P332" t="str">
        <f>VLOOKUP(N332,'Site Allocation'!$B$2:$C$37,2,FALSE)</f>
        <v>Analyst5</v>
      </c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</row>
    <row r="333" spans="1:38" x14ac:dyDescent="0.35">
      <c r="A333" s="8"/>
      <c r="B333" s="8"/>
      <c r="C333" s="8"/>
      <c r="D333" s="8"/>
      <c r="I333" s="8"/>
      <c r="J333" s="8"/>
      <c r="K333" s="8"/>
      <c r="L333" s="8"/>
      <c r="M333" s="8"/>
      <c r="N333">
        <v>1024</v>
      </c>
      <c r="O333">
        <v>1024111</v>
      </c>
      <c r="P333" t="str">
        <f>VLOOKUP(N333,'Site Allocation'!$B$2:$C$37,2,FALSE)</f>
        <v>Analyst5</v>
      </c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</row>
    <row r="334" spans="1:38" x14ac:dyDescent="0.35">
      <c r="A334" s="8"/>
      <c r="B334" s="8"/>
      <c r="C334" s="8"/>
      <c r="D334" s="8"/>
      <c r="I334" s="8"/>
      <c r="J334" s="8"/>
      <c r="K334" s="8"/>
      <c r="L334" s="8"/>
      <c r="M334" s="8"/>
      <c r="N334">
        <v>1024</v>
      </c>
      <c r="O334">
        <v>1024111</v>
      </c>
      <c r="P334" t="str">
        <f>VLOOKUP(N334,'Site Allocation'!$B$2:$C$37,2,FALSE)</f>
        <v>Analyst5</v>
      </c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</row>
    <row r="335" spans="1:38" x14ac:dyDescent="0.35">
      <c r="A335" s="8"/>
      <c r="B335" s="8"/>
      <c r="C335" s="8"/>
      <c r="D335" s="8"/>
      <c r="I335" s="8"/>
      <c r="J335" s="8"/>
      <c r="K335" s="8"/>
      <c r="L335" s="8"/>
      <c r="M335" s="8"/>
      <c r="N335">
        <v>1024</v>
      </c>
      <c r="O335">
        <v>1024111</v>
      </c>
      <c r="P335" t="str">
        <f>VLOOKUP(N335,'Site Allocation'!$B$2:$C$37,2,FALSE)</f>
        <v>Analyst5</v>
      </c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</row>
    <row r="336" spans="1:38" x14ac:dyDescent="0.35">
      <c r="A336" s="8"/>
      <c r="B336" s="8"/>
      <c r="C336" s="8"/>
      <c r="D336" s="8"/>
      <c r="I336" s="8"/>
      <c r="J336" s="8"/>
      <c r="K336" s="8"/>
      <c r="L336" s="8"/>
      <c r="M336" s="8"/>
      <c r="N336">
        <v>1024</v>
      </c>
      <c r="O336">
        <v>1024111</v>
      </c>
      <c r="P336" t="str">
        <f>VLOOKUP(N336,'Site Allocation'!$B$2:$C$37,2,FALSE)</f>
        <v>Analyst5</v>
      </c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</row>
    <row r="337" spans="1:38" x14ac:dyDescent="0.35">
      <c r="A337" s="8"/>
      <c r="B337" s="8"/>
      <c r="C337" s="8"/>
      <c r="D337" s="8"/>
      <c r="I337" s="8"/>
      <c r="J337" s="8"/>
      <c r="K337" s="8"/>
      <c r="L337" s="8"/>
      <c r="M337" s="8"/>
      <c r="N337">
        <v>1024</v>
      </c>
      <c r="O337">
        <v>1024111</v>
      </c>
      <c r="P337" t="str">
        <f>VLOOKUP(N337,'Site Allocation'!$B$2:$C$37,2,FALSE)</f>
        <v>Analyst5</v>
      </c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</row>
    <row r="338" spans="1:38" x14ac:dyDescent="0.35">
      <c r="A338" s="8"/>
      <c r="B338" s="8"/>
      <c r="C338" s="8"/>
      <c r="D338" s="8"/>
      <c r="I338" s="8"/>
      <c r="J338" s="8"/>
      <c r="K338" s="8"/>
      <c r="L338" s="8"/>
      <c r="M338" s="8"/>
      <c r="N338">
        <v>1024</v>
      </c>
      <c r="O338">
        <v>1024111</v>
      </c>
      <c r="P338" t="str">
        <f>VLOOKUP(N338,'Site Allocation'!$B$2:$C$37,2,FALSE)</f>
        <v>Analyst5</v>
      </c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</row>
    <row r="339" spans="1:38" x14ac:dyDescent="0.35">
      <c r="A339" s="8"/>
      <c r="B339" s="8"/>
      <c r="C339" s="8"/>
      <c r="D339" s="8"/>
      <c r="I339" s="8"/>
      <c r="J339" s="8"/>
      <c r="K339" s="8"/>
      <c r="L339" s="8"/>
      <c r="M339" s="8"/>
      <c r="N339">
        <v>1024</v>
      </c>
      <c r="O339">
        <v>1024111</v>
      </c>
      <c r="P339" t="str">
        <f>VLOOKUP(N339,'Site Allocation'!$B$2:$C$37,2,FALSE)</f>
        <v>Analyst5</v>
      </c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</row>
    <row r="340" spans="1:38" x14ac:dyDescent="0.35">
      <c r="A340" s="8"/>
      <c r="B340" s="8"/>
      <c r="C340" s="8"/>
      <c r="D340" s="8"/>
      <c r="I340" s="8"/>
      <c r="J340" s="8"/>
      <c r="K340" s="8"/>
      <c r="L340" s="8"/>
      <c r="M340" s="8"/>
      <c r="N340">
        <v>1024</v>
      </c>
      <c r="O340">
        <v>1024111</v>
      </c>
      <c r="P340" t="str">
        <f>VLOOKUP(N340,'Site Allocation'!$B$2:$C$37,2,FALSE)</f>
        <v>Analyst5</v>
      </c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</row>
    <row r="341" spans="1:38" x14ac:dyDescent="0.35">
      <c r="A341" s="8"/>
      <c r="B341" s="8"/>
      <c r="C341" s="8"/>
      <c r="D341" s="8"/>
      <c r="I341" s="8"/>
      <c r="J341" s="8"/>
      <c r="K341" s="8"/>
      <c r="L341" s="8"/>
      <c r="M341" s="8"/>
      <c r="N341">
        <v>1024</v>
      </c>
      <c r="O341">
        <v>1024111</v>
      </c>
      <c r="P341" t="str">
        <f>VLOOKUP(N341,'Site Allocation'!$B$2:$C$37,2,FALSE)</f>
        <v>Analyst5</v>
      </c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</row>
    <row r="342" spans="1:38" x14ac:dyDescent="0.35">
      <c r="A342" s="8"/>
      <c r="B342" s="8"/>
      <c r="C342" s="8"/>
      <c r="D342" s="8"/>
      <c r="I342" s="8"/>
      <c r="J342" s="8"/>
      <c r="K342" s="8"/>
      <c r="L342" s="8"/>
      <c r="M342" s="8"/>
      <c r="N342">
        <v>1024</v>
      </c>
      <c r="O342">
        <v>1024111</v>
      </c>
      <c r="P342" t="str">
        <f>VLOOKUP(N342,'Site Allocation'!$B$2:$C$37,2,FALSE)</f>
        <v>Analyst5</v>
      </c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</row>
    <row r="343" spans="1:38" x14ac:dyDescent="0.35">
      <c r="A343" s="8"/>
      <c r="B343" s="8"/>
      <c r="C343" s="8"/>
      <c r="D343" s="8"/>
      <c r="I343" s="8"/>
      <c r="J343" s="8"/>
      <c r="K343" s="8"/>
      <c r="L343" s="8"/>
      <c r="M343" s="8"/>
      <c r="N343">
        <v>1024</v>
      </c>
      <c r="O343">
        <v>1024111</v>
      </c>
      <c r="P343" t="str">
        <f>VLOOKUP(N343,'Site Allocation'!$B$2:$C$37,2,FALSE)</f>
        <v>Analyst5</v>
      </c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</row>
    <row r="344" spans="1:38" x14ac:dyDescent="0.35">
      <c r="A344" s="8"/>
      <c r="B344" s="8"/>
      <c r="C344" s="8"/>
      <c r="D344" s="8"/>
      <c r="I344" s="8"/>
      <c r="J344" s="8"/>
      <c r="K344" s="8"/>
      <c r="L344" s="8"/>
      <c r="M344" s="8"/>
      <c r="N344">
        <v>1024</v>
      </c>
      <c r="O344">
        <v>1024111</v>
      </c>
      <c r="P344" t="str">
        <f>VLOOKUP(N344,'Site Allocation'!$B$2:$C$37,2,FALSE)</f>
        <v>Analyst5</v>
      </c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</row>
    <row r="345" spans="1:38" x14ac:dyDescent="0.35">
      <c r="A345" s="8"/>
      <c r="B345" s="8"/>
      <c r="C345" s="8"/>
      <c r="D345" s="8"/>
      <c r="I345" s="8"/>
      <c r="J345" s="8"/>
      <c r="K345" s="8"/>
      <c r="L345" s="8"/>
      <c r="M345" s="8"/>
      <c r="N345">
        <v>1024</v>
      </c>
      <c r="O345">
        <v>1024111</v>
      </c>
      <c r="P345" t="str">
        <f>VLOOKUP(N345,'Site Allocation'!$B$2:$C$37,2,FALSE)</f>
        <v>Analyst5</v>
      </c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</row>
    <row r="346" spans="1:38" x14ac:dyDescent="0.35">
      <c r="A346" s="8"/>
      <c r="B346" s="8"/>
      <c r="C346" s="8"/>
      <c r="D346" s="8"/>
      <c r="I346" s="8"/>
      <c r="J346" s="8"/>
      <c r="K346" s="8"/>
      <c r="L346" s="8"/>
      <c r="M346" s="8"/>
      <c r="N346">
        <v>1025</v>
      </c>
      <c r="O346">
        <v>1025111</v>
      </c>
      <c r="P346" t="str">
        <f>VLOOKUP(N346,'Site Allocation'!$B$2:$C$37,2,FALSE)</f>
        <v>Analyst5</v>
      </c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</row>
    <row r="347" spans="1:38" x14ac:dyDescent="0.35">
      <c r="A347" s="8"/>
      <c r="B347" s="8"/>
      <c r="C347" s="8"/>
      <c r="D347" s="8"/>
      <c r="I347" s="8"/>
      <c r="J347" s="8"/>
      <c r="K347" s="8"/>
      <c r="L347" s="8"/>
      <c r="M347" s="8"/>
      <c r="N347">
        <v>1025</v>
      </c>
      <c r="O347">
        <v>1025111</v>
      </c>
      <c r="P347" t="str">
        <f>VLOOKUP(N347,'Site Allocation'!$B$2:$C$37,2,FALSE)</f>
        <v>Analyst5</v>
      </c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</row>
    <row r="348" spans="1:38" x14ac:dyDescent="0.35">
      <c r="A348" s="8"/>
      <c r="B348" s="8"/>
      <c r="C348" s="8"/>
      <c r="D348" s="8"/>
      <c r="I348" s="8"/>
      <c r="J348" s="8"/>
      <c r="K348" s="8"/>
      <c r="L348" s="8"/>
      <c r="M348" s="8"/>
      <c r="N348">
        <v>1025</v>
      </c>
      <c r="O348">
        <v>1025111</v>
      </c>
      <c r="P348" t="str">
        <f>VLOOKUP(N348,'Site Allocation'!$B$2:$C$37,2,FALSE)</f>
        <v>Analyst5</v>
      </c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</row>
    <row r="349" spans="1:38" x14ac:dyDescent="0.35">
      <c r="A349" s="8"/>
      <c r="B349" s="8"/>
      <c r="C349" s="8"/>
      <c r="D349" s="8"/>
      <c r="I349" s="8"/>
      <c r="J349" s="8"/>
      <c r="K349" s="8"/>
      <c r="L349" s="8"/>
      <c r="M349" s="8"/>
      <c r="N349">
        <v>1025</v>
      </c>
      <c r="O349">
        <v>1025111</v>
      </c>
      <c r="P349" t="str">
        <f>VLOOKUP(N349,'Site Allocation'!$B$2:$C$37,2,FALSE)</f>
        <v>Analyst5</v>
      </c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</row>
    <row r="350" spans="1:38" x14ac:dyDescent="0.35">
      <c r="A350" s="8"/>
      <c r="B350" s="8"/>
      <c r="C350" s="8"/>
      <c r="D350" s="8"/>
      <c r="I350" s="8"/>
      <c r="J350" s="8"/>
      <c r="K350" s="8"/>
      <c r="L350" s="8"/>
      <c r="M350" s="8"/>
      <c r="N350">
        <v>1025</v>
      </c>
      <c r="O350">
        <v>1025111</v>
      </c>
      <c r="P350" t="str">
        <f>VLOOKUP(N350,'Site Allocation'!$B$2:$C$37,2,FALSE)</f>
        <v>Analyst5</v>
      </c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</row>
    <row r="351" spans="1:38" x14ac:dyDescent="0.35">
      <c r="A351" s="8"/>
      <c r="B351" s="8"/>
      <c r="C351" s="8"/>
      <c r="D351" s="8"/>
      <c r="I351" s="8"/>
      <c r="J351" s="8"/>
      <c r="K351" s="8"/>
      <c r="L351" s="8"/>
      <c r="M351" s="8"/>
      <c r="N351">
        <v>1025</v>
      </c>
      <c r="O351">
        <v>1025111</v>
      </c>
      <c r="P351" t="str">
        <f>VLOOKUP(N351,'Site Allocation'!$B$2:$C$37,2,FALSE)</f>
        <v>Analyst5</v>
      </c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</row>
    <row r="352" spans="1:38" x14ac:dyDescent="0.35">
      <c r="A352" s="8"/>
      <c r="B352" s="8"/>
      <c r="C352" s="8"/>
      <c r="D352" s="8"/>
      <c r="I352" s="8"/>
      <c r="J352" s="8"/>
      <c r="K352" s="8"/>
      <c r="L352" s="8"/>
      <c r="M352" s="8"/>
      <c r="N352">
        <v>1025</v>
      </c>
      <c r="O352">
        <v>1025111</v>
      </c>
      <c r="P352" t="str">
        <f>VLOOKUP(N352,'Site Allocation'!$B$2:$C$37,2,FALSE)</f>
        <v>Analyst5</v>
      </c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</row>
    <row r="353" spans="1:38" x14ac:dyDescent="0.35">
      <c r="A353" s="8"/>
      <c r="B353" s="8"/>
      <c r="C353" s="8"/>
      <c r="D353" s="8"/>
      <c r="I353" s="8"/>
      <c r="J353" s="8"/>
      <c r="K353" s="8"/>
      <c r="L353" s="8"/>
      <c r="M353" s="8"/>
      <c r="N353">
        <v>1026</v>
      </c>
      <c r="O353">
        <v>1026111</v>
      </c>
      <c r="P353" t="str">
        <f>VLOOKUP(N353,'Site Allocation'!$B$2:$C$37,2,FALSE)</f>
        <v>Analyst5</v>
      </c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</row>
    <row r="354" spans="1:38" x14ac:dyDescent="0.35">
      <c r="A354" s="8"/>
      <c r="B354" s="8"/>
      <c r="C354" s="8"/>
      <c r="D354" s="8"/>
      <c r="I354" s="8"/>
      <c r="J354" s="8"/>
      <c r="K354" s="8"/>
      <c r="L354" s="8"/>
      <c r="M354" s="8"/>
      <c r="N354">
        <v>1026</v>
      </c>
      <c r="O354">
        <v>1026111</v>
      </c>
      <c r="P354" t="str">
        <f>VLOOKUP(N354,'Site Allocation'!$B$2:$C$37,2,FALSE)</f>
        <v>Analyst5</v>
      </c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</row>
    <row r="355" spans="1:38" x14ac:dyDescent="0.35">
      <c r="A355" s="8"/>
      <c r="B355" s="8"/>
      <c r="C355" s="8"/>
      <c r="D355" s="8"/>
      <c r="I355" s="8"/>
      <c r="J355" s="8"/>
      <c r="K355" s="8"/>
      <c r="L355" s="8"/>
      <c r="M355" s="8"/>
      <c r="N355">
        <v>1026</v>
      </c>
      <c r="O355">
        <v>1026111</v>
      </c>
      <c r="P355" t="str">
        <f>VLOOKUP(N355,'Site Allocation'!$B$2:$C$37,2,FALSE)</f>
        <v>Analyst5</v>
      </c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</row>
    <row r="356" spans="1:38" x14ac:dyDescent="0.35">
      <c r="A356" s="8"/>
      <c r="B356" s="8"/>
      <c r="C356" s="8"/>
      <c r="D356" s="8"/>
      <c r="I356" s="8"/>
      <c r="J356" s="8"/>
      <c r="K356" s="8"/>
      <c r="L356" s="8"/>
      <c r="M356" s="8"/>
      <c r="N356">
        <v>1026</v>
      </c>
      <c r="O356">
        <v>1026111</v>
      </c>
      <c r="P356" t="str">
        <f>VLOOKUP(N356,'Site Allocation'!$B$2:$C$37,2,FALSE)</f>
        <v>Analyst5</v>
      </c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</row>
    <row r="357" spans="1:38" x14ac:dyDescent="0.35">
      <c r="A357" s="8"/>
      <c r="B357" s="8"/>
      <c r="C357" s="8"/>
      <c r="D357" s="8"/>
      <c r="I357" s="8"/>
      <c r="J357" s="8"/>
      <c r="K357" s="8"/>
      <c r="L357" s="8"/>
      <c r="M357" s="8"/>
      <c r="N357">
        <v>1026</v>
      </c>
      <c r="O357">
        <v>1026111</v>
      </c>
      <c r="P357" t="str">
        <f>VLOOKUP(N357,'Site Allocation'!$B$2:$C$37,2,FALSE)</f>
        <v>Analyst5</v>
      </c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</row>
    <row r="358" spans="1:38" x14ac:dyDescent="0.35">
      <c r="A358" s="8"/>
      <c r="B358" s="8"/>
      <c r="C358" s="8"/>
      <c r="D358" s="8"/>
      <c r="I358" s="8"/>
      <c r="J358" s="8"/>
      <c r="K358" s="8"/>
      <c r="L358" s="8"/>
      <c r="M358" s="8"/>
      <c r="N358">
        <v>1026</v>
      </c>
      <c r="O358">
        <v>1026111</v>
      </c>
      <c r="P358" t="str">
        <f>VLOOKUP(N358,'Site Allocation'!$B$2:$C$37,2,FALSE)</f>
        <v>Analyst5</v>
      </c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</row>
    <row r="359" spans="1:38" x14ac:dyDescent="0.35">
      <c r="A359" s="8"/>
      <c r="B359" s="8"/>
      <c r="C359" s="8"/>
      <c r="D359" s="8"/>
      <c r="I359" s="8"/>
      <c r="J359" s="8"/>
      <c r="K359" s="8"/>
      <c r="L359" s="8"/>
      <c r="M359" s="8"/>
      <c r="N359">
        <v>1026</v>
      </c>
      <c r="O359">
        <v>1026111</v>
      </c>
      <c r="P359" t="str">
        <f>VLOOKUP(N359,'Site Allocation'!$B$2:$C$37,2,FALSE)</f>
        <v>Analyst5</v>
      </c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</row>
    <row r="360" spans="1:38" x14ac:dyDescent="0.35">
      <c r="A360" s="8"/>
      <c r="B360" s="8"/>
      <c r="C360" s="8"/>
      <c r="D360" s="8"/>
      <c r="I360" s="8"/>
      <c r="J360" s="8"/>
      <c r="K360" s="8"/>
      <c r="L360" s="8"/>
      <c r="M360" s="8"/>
      <c r="N360">
        <v>1026</v>
      </c>
      <c r="O360">
        <v>1026111</v>
      </c>
      <c r="P360" t="str">
        <f>VLOOKUP(N360,'Site Allocation'!$B$2:$C$37,2,FALSE)</f>
        <v>Analyst5</v>
      </c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</row>
    <row r="361" spans="1:38" x14ac:dyDescent="0.35">
      <c r="A361" s="8"/>
      <c r="B361" s="8"/>
      <c r="C361" s="8"/>
      <c r="D361" s="8"/>
      <c r="I361" s="8"/>
      <c r="J361" s="8"/>
      <c r="K361" s="8"/>
      <c r="L361" s="8"/>
      <c r="M361" s="8"/>
      <c r="N361">
        <v>1026</v>
      </c>
      <c r="O361">
        <v>1026111</v>
      </c>
      <c r="P361" t="str">
        <f>VLOOKUP(N361,'Site Allocation'!$B$2:$C$37,2,FALSE)</f>
        <v>Analyst5</v>
      </c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</row>
    <row r="362" spans="1:38" x14ac:dyDescent="0.35">
      <c r="A362" s="8"/>
      <c r="B362" s="8"/>
      <c r="C362" s="8"/>
      <c r="D362" s="8"/>
      <c r="I362" s="8"/>
      <c r="J362" s="8"/>
      <c r="K362" s="8"/>
      <c r="L362" s="8"/>
      <c r="M362" s="8"/>
      <c r="N362">
        <v>1026</v>
      </c>
      <c r="O362">
        <v>1026111</v>
      </c>
      <c r="P362" t="str">
        <f>VLOOKUP(N362,'Site Allocation'!$B$2:$C$37,2,FALSE)</f>
        <v>Analyst5</v>
      </c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</row>
    <row r="363" spans="1:38" x14ac:dyDescent="0.35">
      <c r="A363" s="8"/>
      <c r="B363" s="8"/>
      <c r="C363" s="8"/>
      <c r="D363" s="8"/>
      <c r="I363" s="8"/>
      <c r="J363" s="8"/>
      <c r="K363" s="8"/>
      <c r="L363" s="8"/>
      <c r="M363" s="8"/>
      <c r="N363">
        <v>1026</v>
      </c>
      <c r="O363">
        <v>1026111</v>
      </c>
      <c r="P363" t="str">
        <f>VLOOKUP(N363,'Site Allocation'!$B$2:$C$37,2,FALSE)</f>
        <v>Analyst5</v>
      </c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</row>
    <row r="364" spans="1:38" x14ac:dyDescent="0.35">
      <c r="A364" s="8"/>
      <c r="B364" s="8"/>
      <c r="C364" s="8"/>
      <c r="D364" s="8"/>
      <c r="I364" s="8"/>
      <c r="J364" s="8"/>
      <c r="K364" s="8"/>
      <c r="L364" s="8"/>
      <c r="M364" s="8"/>
      <c r="N364">
        <v>1026</v>
      </c>
      <c r="O364">
        <v>1026111</v>
      </c>
      <c r="P364" t="str">
        <f>VLOOKUP(N364,'Site Allocation'!$B$2:$C$37,2,FALSE)</f>
        <v>Analyst5</v>
      </c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</row>
    <row r="365" spans="1:38" x14ac:dyDescent="0.35">
      <c r="A365" s="8"/>
      <c r="B365" s="8"/>
      <c r="C365" s="8"/>
      <c r="D365" s="8"/>
      <c r="I365" s="8"/>
      <c r="J365" s="8"/>
      <c r="K365" s="8"/>
      <c r="L365" s="8"/>
      <c r="M365" s="8"/>
      <c r="N365">
        <v>1027</v>
      </c>
      <c r="O365">
        <v>1027111</v>
      </c>
      <c r="P365" t="str">
        <f>VLOOKUP(N365,'Site Allocation'!$B$2:$C$37,2,FALSE)</f>
        <v>Analyst5</v>
      </c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</row>
    <row r="366" spans="1:38" x14ac:dyDescent="0.35">
      <c r="A366" s="8"/>
      <c r="B366" s="8"/>
      <c r="C366" s="8"/>
      <c r="D366" s="8"/>
      <c r="I366" s="8"/>
      <c r="J366" s="8"/>
      <c r="K366" s="8"/>
      <c r="L366" s="8"/>
      <c r="M366" s="8"/>
      <c r="N366">
        <v>1027</v>
      </c>
      <c r="O366">
        <v>1027111</v>
      </c>
      <c r="P366" t="str">
        <f>VLOOKUP(N366,'Site Allocation'!$B$2:$C$37,2,FALSE)</f>
        <v>Analyst5</v>
      </c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</row>
    <row r="367" spans="1:38" x14ac:dyDescent="0.35">
      <c r="A367" s="8"/>
      <c r="B367" s="8"/>
      <c r="C367" s="8"/>
      <c r="D367" s="8"/>
      <c r="I367" s="8"/>
      <c r="J367" s="8"/>
      <c r="K367" s="8"/>
      <c r="L367" s="8"/>
      <c r="M367" s="8"/>
      <c r="N367">
        <v>1027</v>
      </c>
      <c r="O367">
        <v>1027111</v>
      </c>
      <c r="P367" t="str">
        <f>VLOOKUP(N367,'Site Allocation'!$B$2:$C$37,2,FALSE)</f>
        <v>Analyst5</v>
      </c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</row>
    <row r="368" spans="1:38" x14ac:dyDescent="0.35">
      <c r="A368" s="8"/>
      <c r="B368" s="8"/>
      <c r="C368" s="8"/>
      <c r="D368" s="8"/>
      <c r="I368" s="8"/>
      <c r="J368" s="8"/>
      <c r="K368" s="8"/>
      <c r="L368" s="8"/>
      <c r="M368" s="8"/>
      <c r="N368">
        <v>1027</v>
      </c>
      <c r="O368">
        <v>1027111</v>
      </c>
      <c r="P368" t="str">
        <f>VLOOKUP(N368,'Site Allocation'!$B$2:$C$37,2,FALSE)</f>
        <v>Analyst5</v>
      </c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</row>
    <row r="369" spans="1:38" x14ac:dyDescent="0.35">
      <c r="A369" s="8"/>
      <c r="B369" s="8"/>
      <c r="C369" s="8"/>
      <c r="D369" s="8"/>
      <c r="I369" s="8"/>
      <c r="J369" s="8"/>
      <c r="K369" s="8"/>
      <c r="L369" s="8"/>
      <c r="M369" s="8"/>
      <c r="N369">
        <v>1027</v>
      </c>
      <c r="O369">
        <v>1027111</v>
      </c>
      <c r="P369" t="str">
        <f>VLOOKUP(N369,'Site Allocation'!$B$2:$C$37,2,FALSE)</f>
        <v>Analyst5</v>
      </c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</row>
    <row r="370" spans="1:38" x14ac:dyDescent="0.35">
      <c r="A370" s="8"/>
      <c r="B370" s="8"/>
      <c r="C370" s="8"/>
      <c r="D370" s="8"/>
      <c r="I370" s="8"/>
      <c r="J370" s="8"/>
      <c r="K370" s="8"/>
      <c r="L370" s="8"/>
      <c r="M370" s="8"/>
      <c r="N370">
        <v>1027</v>
      </c>
      <c r="O370">
        <v>1027111</v>
      </c>
      <c r="P370" t="str">
        <f>VLOOKUP(N370,'Site Allocation'!$B$2:$C$37,2,FALSE)</f>
        <v>Analyst5</v>
      </c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</row>
    <row r="371" spans="1:38" x14ac:dyDescent="0.35">
      <c r="A371" s="8"/>
      <c r="B371" s="8"/>
      <c r="C371" s="8"/>
      <c r="D371" s="8"/>
      <c r="I371" s="8"/>
      <c r="J371" s="8"/>
      <c r="K371" s="8"/>
      <c r="L371" s="8"/>
      <c r="M371" s="8"/>
      <c r="N371">
        <v>1027</v>
      </c>
      <c r="O371">
        <v>1027111</v>
      </c>
      <c r="P371" t="str">
        <f>VLOOKUP(N371,'Site Allocation'!$B$2:$C$37,2,FALSE)</f>
        <v>Analyst5</v>
      </c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</row>
    <row r="372" spans="1:38" x14ac:dyDescent="0.35">
      <c r="A372" s="8"/>
      <c r="B372" s="8"/>
      <c r="C372" s="8"/>
      <c r="D372" s="8"/>
      <c r="I372" s="8"/>
      <c r="J372" s="8"/>
      <c r="K372" s="8"/>
      <c r="L372" s="8"/>
      <c r="M372" s="8"/>
      <c r="N372">
        <v>1027</v>
      </c>
      <c r="O372">
        <v>1027111</v>
      </c>
      <c r="P372" t="str">
        <f>VLOOKUP(N372,'Site Allocation'!$B$2:$C$37,2,FALSE)</f>
        <v>Analyst5</v>
      </c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</row>
    <row r="373" spans="1:38" x14ac:dyDescent="0.35">
      <c r="A373" s="8"/>
      <c r="B373" s="8"/>
      <c r="C373" s="8"/>
      <c r="D373" s="8"/>
      <c r="I373" s="8"/>
      <c r="J373" s="8"/>
      <c r="K373" s="8"/>
      <c r="L373" s="8"/>
      <c r="M373" s="8"/>
      <c r="N373">
        <v>1027</v>
      </c>
      <c r="O373">
        <v>1027111</v>
      </c>
      <c r="P373" t="str">
        <f>VLOOKUP(N373,'Site Allocation'!$B$2:$C$37,2,FALSE)</f>
        <v>Analyst5</v>
      </c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</row>
    <row r="374" spans="1:38" x14ac:dyDescent="0.35">
      <c r="A374" s="8"/>
      <c r="B374" s="8"/>
      <c r="C374" s="8"/>
      <c r="D374" s="8"/>
      <c r="I374" s="8"/>
      <c r="J374" s="8"/>
      <c r="K374" s="8"/>
      <c r="L374" s="8"/>
      <c r="M374" s="8"/>
      <c r="N374">
        <v>1027</v>
      </c>
      <c r="O374">
        <v>1027111</v>
      </c>
      <c r="P374" t="str">
        <f>VLOOKUP(N374,'Site Allocation'!$B$2:$C$37,2,FALSE)</f>
        <v>Analyst5</v>
      </c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</row>
    <row r="375" spans="1:38" x14ac:dyDescent="0.35">
      <c r="A375" s="8"/>
      <c r="B375" s="8"/>
      <c r="C375" s="8"/>
      <c r="D375" s="8"/>
      <c r="I375" s="8"/>
      <c r="J375" s="8"/>
      <c r="K375" s="8"/>
      <c r="L375" s="8"/>
      <c r="M375" s="8"/>
      <c r="N375">
        <v>1027</v>
      </c>
      <c r="O375">
        <v>1027111</v>
      </c>
      <c r="P375" t="str">
        <f>VLOOKUP(N375,'Site Allocation'!$B$2:$C$37,2,FALSE)</f>
        <v>Analyst5</v>
      </c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</row>
    <row r="376" spans="1:38" x14ac:dyDescent="0.35">
      <c r="A376" s="8"/>
      <c r="B376" s="8"/>
      <c r="C376" s="8"/>
      <c r="D376" s="8"/>
      <c r="I376" s="8"/>
      <c r="J376" s="8"/>
      <c r="K376" s="8"/>
      <c r="L376" s="8"/>
      <c r="M376" s="8"/>
      <c r="N376">
        <v>1027</v>
      </c>
      <c r="O376">
        <v>1027111</v>
      </c>
      <c r="P376" t="str">
        <f>VLOOKUP(N376,'Site Allocation'!$B$2:$C$37,2,FALSE)</f>
        <v>Analyst5</v>
      </c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</row>
    <row r="377" spans="1:38" x14ac:dyDescent="0.35">
      <c r="A377" s="8"/>
      <c r="B377" s="8"/>
      <c r="C377" s="8"/>
      <c r="D377" s="8"/>
      <c r="I377" s="8"/>
      <c r="J377" s="8"/>
      <c r="K377" s="8"/>
      <c r="L377" s="8"/>
      <c r="M377" s="8"/>
      <c r="N377">
        <v>1027</v>
      </c>
      <c r="O377">
        <v>1027111</v>
      </c>
      <c r="P377" t="str">
        <f>VLOOKUP(N377,'Site Allocation'!$B$2:$C$37,2,FALSE)</f>
        <v>Analyst5</v>
      </c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</row>
    <row r="378" spans="1:38" x14ac:dyDescent="0.35">
      <c r="A378" s="8"/>
      <c r="B378" s="8"/>
      <c r="C378" s="8"/>
      <c r="D378" s="8"/>
      <c r="I378" s="8"/>
      <c r="J378" s="8"/>
      <c r="K378" s="8"/>
      <c r="L378" s="8"/>
      <c r="M378" s="8"/>
      <c r="N378">
        <v>1027</v>
      </c>
      <c r="O378">
        <v>1027111</v>
      </c>
      <c r="P378" t="str">
        <f>VLOOKUP(N378,'Site Allocation'!$B$2:$C$37,2,FALSE)</f>
        <v>Analyst5</v>
      </c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</row>
    <row r="379" spans="1:38" x14ac:dyDescent="0.35">
      <c r="A379" s="8"/>
      <c r="B379" s="8"/>
      <c r="C379" s="8"/>
      <c r="D379" s="8"/>
      <c r="I379" s="8"/>
      <c r="J379" s="8"/>
      <c r="K379" s="8"/>
      <c r="L379" s="8"/>
      <c r="M379" s="8"/>
      <c r="N379">
        <v>1027</v>
      </c>
      <c r="O379">
        <v>1027111</v>
      </c>
      <c r="P379" t="str">
        <f>VLOOKUP(N379,'Site Allocation'!$B$2:$C$37,2,FALSE)</f>
        <v>Analyst5</v>
      </c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</row>
    <row r="380" spans="1:38" x14ac:dyDescent="0.35">
      <c r="A380" s="8"/>
      <c r="B380" s="8"/>
      <c r="C380" s="8"/>
      <c r="D380" s="8"/>
      <c r="I380" s="8"/>
      <c r="J380" s="8"/>
      <c r="K380" s="8"/>
      <c r="L380" s="8"/>
      <c r="M380" s="8"/>
      <c r="N380">
        <v>1027</v>
      </c>
      <c r="O380">
        <v>1027111</v>
      </c>
      <c r="P380" t="str">
        <f>VLOOKUP(N380,'Site Allocation'!$B$2:$C$37,2,FALSE)</f>
        <v>Analyst5</v>
      </c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</row>
    <row r="381" spans="1:38" x14ac:dyDescent="0.35">
      <c r="A381" s="8"/>
      <c r="B381" s="8"/>
      <c r="C381" s="8"/>
      <c r="D381" s="8"/>
      <c r="I381" s="8"/>
      <c r="J381" s="8"/>
      <c r="K381" s="8"/>
      <c r="L381" s="8"/>
      <c r="M381" s="8"/>
      <c r="N381">
        <v>1027</v>
      </c>
      <c r="O381">
        <v>1027111</v>
      </c>
      <c r="P381" t="str">
        <f>VLOOKUP(N381,'Site Allocation'!$B$2:$C$37,2,FALSE)</f>
        <v>Analyst5</v>
      </c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</row>
    <row r="382" spans="1:38" x14ac:dyDescent="0.35">
      <c r="A382" s="8"/>
      <c r="B382" s="8"/>
      <c r="C382" s="8"/>
      <c r="D382" s="8"/>
      <c r="I382" s="8"/>
      <c r="J382" s="8"/>
      <c r="K382" s="8"/>
      <c r="L382" s="8"/>
      <c r="M382" s="8"/>
      <c r="N382">
        <v>1027</v>
      </c>
      <c r="O382">
        <v>1027111</v>
      </c>
      <c r="P382" t="str">
        <f>VLOOKUP(N382,'Site Allocation'!$B$2:$C$37,2,FALSE)</f>
        <v>Analyst5</v>
      </c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</row>
    <row r="383" spans="1:38" x14ac:dyDescent="0.35">
      <c r="A383" s="8"/>
      <c r="B383" s="8"/>
      <c r="C383" s="8"/>
      <c r="D383" s="8"/>
      <c r="I383" s="8"/>
      <c r="J383" s="8"/>
      <c r="K383" s="8"/>
      <c r="L383" s="8"/>
      <c r="M383" s="8"/>
      <c r="N383">
        <v>1028</v>
      </c>
      <c r="O383">
        <v>1028111</v>
      </c>
      <c r="P383" t="str">
        <f>VLOOKUP(N383,'Site Allocation'!$B$2:$C$37,2,FALSE)</f>
        <v>Analyst5</v>
      </c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</row>
    <row r="384" spans="1:38" x14ac:dyDescent="0.35">
      <c r="A384" s="8"/>
      <c r="B384" s="8"/>
      <c r="C384" s="8"/>
      <c r="D384" s="8"/>
      <c r="I384" s="8"/>
      <c r="J384" s="8"/>
      <c r="K384" s="8"/>
      <c r="L384" s="8"/>
      <c r="M384" s="8"/>
      <c r="N384">
        <v>1028</v>
      </c>
      <c r="O384">
        <v>1028111</v>
      </c>
      <c r="P384" t="str">
        <f>VLOOKUP(N384,'Site Allocation'!$B$2:$C$37,2,FALSE)</f>
        <v>Analyst5</v>
      </c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</row>
    <row r="385" spans="1:38" x14ac:dyDescent="0.35">
      <c r="A385" s="8"/>
      <c r="B385" s="8"/>
      <c r="C385" s="8"/>
      <c r="D385" s="8"/>
      <c r="I385" s="8"/>
      <c r="J385" s="8"/>
      <c r="K385" s="8"/>
      <c r="L385" s="8"/>
      <c r="M385" s="8"/>
      <c r="N385">
        <v>1028</v>
      </c>
      <c r="O385">
        <v>1028111</v>
      </c>
      <c r="P385" t="str">
        <f>VLOOKUP(N385,'Site Allocation'!$B$2:$C$37,2,FALSE)</f>
        <v>Analyst5</v>
      </c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</row>
    <row r="386" spans="1:38" x14ac:dyDescent="0.35">
      <c r="A386" s="8"/>
      <c r="B386" s="8"/>
      <c r="C386" s="8"/>
      <c r="D386" s="8"/>
      <c r="I386" s="8"/>
      <c r="J386" s="8"/>
      <c r="K386" s="8"/>
      <c r="L386" s="8"/>
      <c r="M386" s="8"/>
      <c r="N386">
        <v>1028</v>
      </c>
      <c r="O386">
        <v>1028111</v>
      </c>
      <c r="P386" t="str">
        <f>VLOOKUP(N386,'Site Allocation'!$B$2:$C$37,2,FALSE)</f>
        <v>Analyst5</v>
      </c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</row>
    <row r="387" spans="1:38" x14ac:dyDescent="0.35">
      <c r="A387" s="8"/>
      <c r="B387" s="8"/>
      <c r="C387" s="8"/>
      <c r="D387" s="8"/>
      <c r="I387" s="8"/>
      <c r="J387" s="8"/>
      <c r="K387" s="8"/>
      <c r="L387" s="8"/>
      <c r="M387" s="8"/>
      <c r="N387">
        <v>1028</v>
      </c>
      <c r="O387">
        <v>1028111</v>
      </c>
      <c r="P387" t="str">
        <f>VLOOKUP(N387,'Site Allocation'!$B$2:$C$37,2,FALSE)</f>
        <v>Analyst5</v>
      </c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</row>
    <row r="388" spans="1:38" x14ac:dyDescent="0.35">
      <c r="A388" s="8"/>
      <c r="B388" s="8"/>
      <c r="C388" s="8"/>
      <c r="D388" s="8"/>
      <c r="I388" s="8"/>
      <c r="J388" s="8"/>
      <c r="K388" s="8"/>
      <c r="L388" s="8"/>
      <c r="M388" s="8"/>
      <c r="N388">
        <v>1028</v>
      </c>
      <c r="O388">
        <v>1028111</v>
      </c>
      <c r="P388" t="str">
        <f>VLOOKUP(N388,'Site Allocation'!$B$2:$C$37,2,FALSE)</f>
        <v>Analyst5</v>
      </c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</row>
    <row r="389" spans="1:38" x14ac:dyDescent="0.35">
      <c r="A389" s="8"/>
      <c r="B389" s="8"/>
      <c r="C389" s="8"/>
      <c r="D389" s="8"/>
      <c r="I389" s="8"/>
      <c r="J389" s="8"/>
      <c r="K389" s="8"/>
      <c r="L389" s="8"/>
      <c r="M389" s="8"/>
      <c r="N389">
        <v>1028</v>
      </c>
      <c r="O389">
        <v>1028111</v>
      </c>
      <c r="P389" t="str">
        <f>VLOOKUP(N389,'Site Allocation'!$B$2:$C$37,2,FALSE)</f>
        <v>Analyst5</v>
      </c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</row>
    <row r="390" spans="1:38" x14ac:dyDescent="0.35">
      <c r="A390" s="8"/>
      <c r="B390" s="8"/>
      <c r="C390" s="8"/>
      <c r="D390" s="8"/>
      <c r="I390" s="8"/>
      <c r="J390" s="8"/>
      <c r="K390" s="8"/>
      <c r="L390" s="8"/>
      <c r="M390" s="8"/>
      <c r="N390">
        <v>1028</v>
      </c>
      <c r="O390">
        <v>1028111</v>
      </c>
      <c r="P390" t="str">
        <f>VLOOKUP(N390,'Site Allocation'!$B$2:$C$37,2,FALSE)</f>
        <v>Analyst5</v>
      </c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</row>
    <row r="391" spans="1:38" x14ac:dyDescent="0.35">
      <c r="A391" s="8"/>
      <c r="B391" s="8"/>
      <c r="C391" s="8"/>
      <c r="D391" s="8"/>
      <c r="I391" s="8"/>
      <c r="J391" s="8"/>
      <c r="K391" s="8"/>
      <c r="L391" s="8"/>
      <c r="M391" s="8"/>
      <c r="N391">
        <v>1028</v>
      </c>
      <c r="O391">
        <v>1028111</v>
      </c>
      <c r="P391" t="str">
        <f>VLOOKUP(N391,'Site Allocation'!$B$2:$C$37,2,FALSE)</f>
        <v>Analyst5</v>
      </c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</row>
    <row r="392" spans="1:38" x14ac:dyDescent="0.35">
      <c r="A392" s="8"/>
      <c r="B392" s="8"/>
      <c r="C392" s="8"/>
      <c r="D392" s="8"/>
      <c r="I392" s="8"/>
      <c r="J392" s="8"/>
      <c r="K392" s="8"/>
      <c r="L392" s="8"/>
      <c r="M392" s="8"/>
      <c r="N392">
        <v>1028</v>
      </c>
      <c r="O392">
        <v>1028111</v>
      </c>
      <c r="P392" t="str">
        <f>VLOOKUP(N392,'Site Allocation'!$B$2:$C$37,2,FALSE)</f>
        <v>Analyst5</v>
      </c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</row>
    <row r="393" spans="1:38" x14ac:dyDescent="0.35">
      <c r="A393" s="8"/>
      <c r="B393" s="8"/>
      <c r="C393" s="8"/>
      <c r="D393" s="8"/>
      <c r="I393" s="8"/>
      <c r="J393" s="8"/>
      <c r="K393" s="8"/>
      <c r="L393" s="8"/>
      <c r="M393" s="8"/>
      <c r="N393">
        <v>1029</v>
      </c>
      <c r="O393">
        <v>1029111</v>
      </c>
      <c r="P393" t="str">
        <f>VLOOKUP(N393,'Site Allocation'!$B$2:$C$37,2,FALSE)</f>
        <v>Analyst5</v>
      </c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</row>
    <row r="394" spans="1:38" x14ac:dyDescent="0.35">
      <c r="A394" s="8"/>
      <c r="B394" s="8"/>
      <c r="C394" s="8"/>
      <c r="D394" s="8"/>
      <c r="I394" s="8"/>
      <c r="J394" s="8"/>
      <c r="K394" s="8"/>
      <c r="L394" s="8"/>
      <c r="M394" s="8"/>
      <c r="N394">
        <v>1029</v>
      </c>
      <c r="O394">
        <v>1029111</v>
      </c>
      <c r="P394" t="str">
        <f>VLOOKUP(N394,'Site Allocation'!$B$2:$C$37,2,FALSE)</f>
        <v>Analyst5</v>
      </c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</row>
    <row r="395" spans="1:38" x14ac:dyDescent="0.35">
      <c r="A395" s="8"/>
      <c r="B395" s="8"/>
      <c r="C395" s="8"/>
      <c r="D395" s="8"/>
      <c r="I395" s="8"/>
      <c r="J395" s="8"/>
      <c r="K395" s="8"/>
      <c r="L395" s="8"/>
      <c r="M395" s="8"/>
      <c r="N395">
        <v>1029</v>
      </c>
      <c r="O395">
        <v>1029111</v>
      </c>
      <c r="P395" t="str">
        <f>VLOOKUP(N395,'Site Allocation'!$B$2:$C$37,2,FALSE)</f>
        <v>Analyst5</v>
      </c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</row>
    <row r="396" spans="1:38" x14ac:dyDescent="0.35">
      <c r="A396" s="8"/>
      <c r="B396" s="8"/>
      <c r="C396" s="8"/>
      <c r="D396" s="8"/>
      <c r="I396" s="8"/>
      <c r="J396" s="8"/>
      <c r="K396" s="8"/>
      <c r="L396" s="8"/>
      <c r="M396" s="8"/>
      <c r="N396">
        <v>1029</v>
      </c>
      <c r="O396">
        <v>1029111</v>
      </c>
      <c r="P396" t="str">
        <f>VLOOKUP(N396,'Site Allocation'!$B$2:$C$37,2,FALSE)</f>
        <v>Analyst5</v>
      </c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</row>
    <row r="397" spans="1:38" x14ac:dyDescent="0.35">
      <c r="A397" s="8"/>
      <c r="B397" s="8"/>
      <c r="C397" s="8"/>
      <c r="D397" s="8"/>
      <c r="I397" s="8"/>
      <c r="J397" s="8"/>
      <c r="K397" s="8"/>
      <c r="L397" s="8"/>
      <c r="M397" s="8"/>
      <c r="N397">
        <v>1029</v>
      </c>
      <c r="O397">
        <v>1029111</v>
      </c>
      <c r="P397" t="str">
        <f>VLOOKUP(N397,'Site Allocation'!$B$2:$C$37,2,FALSE)</f>
        <v>Analyst5</v>
      </c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</row>
    <row r="398" spans="1:38" x14ac:dyDescent="0.35">
      <c r="A398" s="8"/>
      <c r="B398" s="8"/>
      <c r="C398" s="8"/>
      <c r="D398" s="8"/>
      <c r="I398" s="8"/>
      <c r="J398" s="8"/>
      <c r="K398" s="8"/>
      <c r="L398" s="8"/>
      <c r="M398" s="8"/>
      <c r="N398">
        <v>1029</v>
      </c>
      <c r="O398">
        <v>1029111</v>
      </c>
      <c r="P398" t="str">
        <f>VLOOKUP(N398,'Site Allocation'!$B$2:$C$37,2,FALSE)</f>
        <v>Analyst5</v>
      </c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</row>
    <row r="399" spans="1:38" x14ac:dyDescent="0.35">
      <c r="A399" s="8"/>
      <c r="B399" s="8"/>
      <c r="C399" s="8"/>
      <c r="D399" s="8"/>
      <c r="I399" s="8"/>
      <c r="J399" s="8"/>
      <c r="K399" s="8"/>
      <c r="L399" s="8"/>
      <c r="M399" s="8"/>
      <c r="N399">
        <v>1029</v>
      </c>
      <c r="O399">
        <v>1029111</v>
      </c>
      <c r="P399" t="str">
        <f>VLOOKUP(N399,'Site Allocation'!$B$2:$C$37,2,FALSE)</f>
        <v>Analyst5</v>
      </c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</row>
    <row r="400" spans="1:38" x14ac:dyDescent="0.35">
      <c r="A400" s="8"/>
      <c r="B400" s="8"/>
      <c r="C400" s="8"/>
      <c r="D400" s="8"/>
      <c r="I400" s="8"/>
      <c r="J400" s="8"/>
      <c r="K400" s="8"/>
      <c r="L400" s="8"/>
      <c r="M400" s="8"/>
      <c r="N400">
        <v>1029</v>
      </c>
      <c r="O400">
        <v>1029111</v>
      </c>
      <c r="P400" t="str">
        <f>VLOOKUP(N400,'Site Allocation'!$B$2:$C$37,2,FALSE)</f>
        <v>Analyst5</v>
      </c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</row>
    <row r="401" spans="1:38" x14ac:dyDescent="0.35">
      <c r="A401" s="8"/>
      <c r="B401" s="8"/>
      <c r="C401" s="8"/>
      <c r="D401" s="8"/>
      <c r="I401" s="8"/>
      <c r="J401" s="8"/>
      <c r="K401" s="8"/>
      <c r="L401" s="8"/>
      <c r="M401" s="8"/>
      <c r="N401">
        <v>1029</v>
      </c>
      <c r="O401">
        <v>1029111</v>
      </c>
      <c r="P401" t="str">
        <f>VLOOKUP(N401,'Site Allocation'!$B$2:$C$37,2,FALSE)</f>
        <v>Analyst5</v>
      </c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</row>
    <row r="402" spans="1:38" x14ac:dyDescent="0.35">
      <c r="A402" s="8"/>
      <c r="B402" s="8"/>
      <c r="C402" s="8"/>
      <c r="D402" s="8"/>
      <c r="I402" s="8"/>
      <c r="J402" s="8"/>
      <c r="K402" s="8"/>
      <c r="L402" s="8"/>
      <c r="M402" s="8"/>
      <c r="N402">
        <v>1029</v>
      </c>
      <c r="O402">
        <v>1029111</v>
      </c>
      <c r="P402" t="str">
        <f>VLOOKUP(N402,'Site Allocation'!$B$2:$C$37,2,FALSE)</f>
        <v>Analyst5</v>
      </c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</row>
    <row r="403" spans="1:38" x14ac:dyDescent="0.35">
      <c r="A403" s="8"/>
      <c r="B403" s="8"/>
      <c r="C403" s="8"/>
      <c r="D403" s="8"/>
      <c r="I403" s="8"/>
      <c r="J403" s="8"/>
      <c r="K403" s="8"/>
      <c r="L403" s="8"/>
      <c r="M403" s="8"/>
      <c r="N403">
        <v>1029</v>
      </c>
      <c r="O403">
        <v>1029111</v>
      </c>
      <c r="P403" t="str">
        <f>VLOOKUP(N403,'Site Allocation'!$B$2:$C$37,2,FALSE)</f>
        <v>Analyst5</v>
      </c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</row>
    <row r="404" spans="1:38" x14ac:dyDescent="0.35">
      <c r="A404" s="8"/>
      <c r="B404" s="8"/>
      <c r="C404" s="8"/>
      <c r="D404" s="8"/>
      <c r="I404" s="8"/>
      <c r="J404" s="8"/>
      <c r="K404" s="8"/>
      <c r="L404" s="8"/>
      <c r="M404" s="8"/>
      <c r="N404">
        <v>1029</v>
      </c>
      <c r="O404">
        <v>1029111</v>
      </c>
      <c r="P404" t="str">
        <f>VLOOKUP(N404,'Site Allocation'!$B$2:$C$37,2,FALSE)</f>
        <v>Analyst5</v>
      </c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</row>
    <row r="405" spans="1:38" x14ac:dyDescent="0.35">
      <c r="A405" s="8"/>
      <c r="B405" s="8"/>
      <c r="C405" s="8"/>
      <c r="D405" s="8"/>
      <c r="I405" s="8"/>
      <c r="J405" s="8"/>
      <c r="K405" s="8"/>
      <c r="L405" s="8"/>
      <c r="M405" s="8"/>
      <c r="N405">
        <v>1029</v>
      </c>
      <c r="O405">
        <v>1029111</v>
      </c>
      <c r="P405" t="str">
        <f>VLOOKUP(N405,'Site Allocation'!$B$2:$C$37,2,FALSE)</f>
        <v>Analyst5</v>
      </c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</row>
    <row r="406" spans="1:38" x14ac:dyDescent="0.35">
      <c r="A406" s="8"/>
      <c r="B406" s="8"/>
      <c r="C406" s="8"/>
      <c r="D406" s="8"/>
      <c r="I406" s="8"/>
      <c r="J406" s="8"/>
      <c r="K406" s="8"/>
      <c r="L406" s="8"/>
      <c r="M406" s="8"/>
      <c r="N406">
        <v>1030</v>
      </c>
      <c r="O406">
        <v>1030111</v>
      </c>
      <c r="P406" t="str">
        <f>VLOOKUP(N406,'Site Allocation'!$B$2:$C$37,2,FALSE)</f>
        <v>Analyst6</v>
      </c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</row>
    <row r="407" spans="1:38" x14ac:dyDescent="0.35">
      <c r="A407" s="8"/>
      <c r="B407" s="8"/>
      <c r="C407" s="8"/>
      <c r="D407" s="8"/>
      <c r="I407" s="8"/>
      <c r="J407" s="8"/>
      <c r="K407" s="8"/>
      <c r="L407" s="8"/>
      <c r="M407" s="8"/>
      <c r="N407">
        <v>1030</v>
      </c>
      <c r="O407">
        <v>1030111</v>
      </c>
      <c r="P407" t="str">
        <f>VLOOKUP(N407,'Site Allocation'!$B$2:$C$37,2,FALSE)</f>
        <v>Analyst6</v>
      </c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</row>
    <row r="408" spans="1:38" x14ac:dyDescent="0.35">
      <c r="A408" s="8"/>
      <c r="B408" s="8"/>
      <c r="C408" s="8"/>
      <c r="D408" s="8"/>
      <c r="I408" s="8"/>
      <c r="J408" s="8"/>
      <c r="K408" s="8"/>
      <c r="L408" s="8"/>
      <c r="M408" s="8"/>
      <c r="N408">
        <v>1030</v>
      </c>
      <c r="O408">
        <v>1030111</v>
      </c>
      <c r="P408" t="str">
        <f>VLOOKUP(N408,'Site Allocation'!$B$2:$C$37,2,FALSE)</f>
        <v>Analyst6</v>
      </c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</row>
    <row r="409" spans="1:38" x14ac:dyDescent="0.35">
      <c r="A409" s="8"/>
      <c r="B409" s="8"/>
      <c r="C409" s="8"/>
      <c r="D409" s="8"/>
      <c r="I409" s="8"/>
      <c r="J409" s="8"/>
      <c r="K409" s="8"/>
      <c r="L409" s="8"/>
      <c r="M409" s="8"/>
      <c r="N409">
        <v>1030</v>
      </c>
      <c r="O409">
        <v>1030111</v>
      </c>
      <c r="P409" t="str">
        <f>VLOOKUP(N409,'Site Allocation'!$B$2:$C$37,2,FALSE)</f>
        <v>Analyst6</v>
      </c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</row>
    <row r="410" spans="1:38" x14ac:dyDescent="0.35">
      <c r="A410" s="8"/>
      <c r="B410" s="8"/>
      <c r="C410" s="8"/>
      <c r="D410" s="8"/>
      <c r="I410" s="8"/>
      <c r="J410" s="8"/>
      <c r="K410" s="8"/>
      <c r="L410" s="8"/>
      <c r="M410" s="8"/>
      <c r="N410">
        <v>1030</v>
      </c>
      <c r="O410">
        <v>1030111</v>
      </c>
      <c r="P410" t="str">
        <f>VLOOKUP(N410,'Site Allocation'!$B$2:$C$37,2,FALSE)</f>
        <v>Analyst6</v>
      </c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</row>
    <row r="411" spans="1:38" x14ac:dyDescent="0.35">
      <c r="A411" s="8"/>
      <c r="B411" s="8"/>
      <c r="C411" s="8"/>
      <c r="D411" s="8"/>
      <c r="I411" s="8"/>
      <c r="J411" s="8"/>
      <c r="K411" s="8"/>
      <c r="L411" s="8"/>
      <c r="M411" s="8"/>
      <c r="N411">
        <v>1030</v>
      </c>
      <c r="O411">
        <v>1030111</v>
      </c>
      <c r="P411" t="str">
        <f>VLOOKUP(N411,'Site Allocation'!$B$2:$C$37,2,FALSE)</f>
        <v>Analyst6</v>
      </c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</row>
    <row r="412" spans="1:38" x14ac:dyDescent="0.35">
      <c r="A412" s="8"/>
      <c r="B412" s="8"/>
      <c r="C412" s="8"/>
      <c r="D412" s="8"/>
      <c r="I412" s="8"/>
      <c r="J412" s="8"/>
      <c r="K412" s="8"/>
      <c r="L412" s="8"/>
      <c r="M412" s="8"/>
      <c r="N412">
        <v>1030</v>
      </c>
      <c r="O412">
        <v>1030111</v>
      </c>
      <c r="P412" t="str">
        <f>VLOOKUP(N412,'Site Allocation'!$B$2:$C$37,2,FALSE)</f>
        <v>Analyst6</v>
      </c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</row>
    <row r="413" spans="1:38" x14ac:dyDescent="0.35">
      <c r="A413" s="8"/>
      <c r="B413" s="8"/>
      <c r="C413" s="8"/>
      <c r="D413" s="8"/>
      <c r="I413" s="8"/>
      <c r="J413" s="8"/>
      <c r="K413" s="8"/>
      <c r="L413" s="8"/>
      <c r="M413" s="8"/>
      <c r="N413">
        <v>1030</v>
      </c>
      <c r="O413">
        <v>1030111</v>
      </c>
      <c r="P413" t="str">
        <f>VLOOKUP(N413,'Site Allocation'!$B$2:$C$37,2,FALSE)</f>
        <v>Analyst6</v>
      </c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</row>
    <row r="414" spans="1:38" x14ac:dyDescent="0.35">
      <c r="A414" s="8"/>
      <c r="B414" s="8"/>
      <c r="C414" s="8"/>
      <c r="D414" s="8"/>
      <c r="I414" s="8"/>
      <c r="J414" s="8"/>
      <c r="K414" s="8"/>
      <c r="L414" s="8"/>
      <c r="M414" s="8"/>
      <c r="N414">
        <v>1030</v>
      </c>
      <c r="O414">
        <v>1030111</v>
      </c>
      <c r="P414" t="str">
        <f>VLOOKUP(N414,'Site Allocation'!$B$2:$C$37,2,FALSE)</f>
        <v>Analyst6</v>
      </c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</row>
    <row r="415" spans="1:38" x14ac:dyDescent="0.35">
      <c r="A415" s="8"/>
      <c r="B415" s="8"/>
      <c r="C415" s="8"/>
      <c r="D415" s="8"/>
      <c r="I415" s="8"/>
      <c r="J415" s="8"/>
      <c r="K415" s="8"/>
      <c r="L415" s="8"/>
      <c r="M415" s="8"/>
      <c r="N415">
        <v>1030</v>
      </c>
      <c r="O415">
        <v>1030111</v>
      </c>
      <c r="P415" t="str">
        <f>VLOOKUP(N415,'Site Allocation'!$B$2:$C$37,2,FALSE)</f>
        <v>Analyst6</v>
      </c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</row>
    <row r="416" spans="1:38" x14ac:dyDescent="0.35">
      <c r="A416" s="8"/>
      <c r="B416" s="8"/>
      <c r="C416" s="8"/>
      <c r="D416" s="8"/>
      <c r="I416" s="8"/>
      <c r="J416" s="8"/>
      <c r="K416" s="8"/>
      <c r="L416" s="8"/>
      <c r="M416" s="8"/>
      <c r="N416">
        <v>1030</v>
      </c>
      <c r="O416">
        <v>1030111</v>
      </c>
      <c r="P416" t="str">
        <f>VLOOKUP(N416,'Site Allocation'!$B$2:$C$37,2,FALSE)</f>
        <v>Analyst6</v>
      </c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</row>
    <row r="417" spans="1:38" x14ac:dyDescent="0.35">
      <c r="A417" s="8"/>
      <c r="B417" s="8"/>
      <c r="C417" s="8"/>
      <c r="D417" s="8"/>
      <c r="I417" s="8"/>
      <c r="J417" s="8"/>
      <c r="K417" s="8"/>
      <c r="L417" s="8"/>
      <c r="M417" s="8"/>
      <c r="N417">
        <v>1030</v>
      </c>
      <c r="O417">
        <v>1030111</v>
      </c>
      <c r="P417" t="str">
        <f>VLOOKUP(N417,'Site Allocation'!$B$2:$C$37,2,FALSE)</f>
        <v>Analyst6</v>
      </c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</row>
    <row r="418" spans="1:38" x14ac:dyDescent="0.35">
      <c r="A418" s="8"/>
      <c r="B418" s="8"/>
      <c r="C418" s="8"/>
      <c r="D418" s="8"/>
      <c r="I418" s="8"/>
      <c r="J418" s="8"/>
      <c r="K418" s="8"/>
      <c r="L418" s="8"/>
      <c r="M418" s="8"/>
      <c r="N418">
        <v>1030</v>
      </c>
      <c r="O418">
        <v>1030111</v>
      </c>
      <c r="P418" t="str">
        <f>VLOOKUP(N418,'Site Allocation'!$B$2:$C$37,2,FALSE)</f>
        <v>Analyst6</v>
      </c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</row>
    <row r="419" spans="1:38" x14ac:dyDescent="0.35">
      <c r="A419" s="8"/>
      <c r="B419" s="8"/>
      <c r="C419" s="8"/>
      <c r="D419" s="8"/>
      <c r="I419" s="8"/>
      <c r="J419" s="8"/>
      <c r="K419" s="8"/>
      <c r="L419" s="8"/>
      <c r="M419" s="8"/>
      <c r="N419">
        <v>1030</v>
      </c>
      <c r="O419">
        <v>1030111</v>
      </c>
      <c r="P419" t="str">
        <f>VLOOKUP(N419,'Site Allocation'!$B$2:$C$37,2,FALSE)</f>
        <v>Analyst6</v>
      </c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</row>
    <row r="420" spans="1:38" x14ac:dyDescent="0.35">
      <c r="A420" s="8"/>
      <c r="B420" s="8"/>
      <c r="C420" s="8"/>
      <c r="D420" s="8"/>
      <c r="I420" s="8"/>
      <c r="J420" s="8"/>
      <c r="K420" s="8"/>
      <c r="L420" s="8"/>
      <c r="M420" s="8"/>
      <c r="N420">
        <v>1031</v>
      </c>
      <c r="O420">
        <v>1031111</v>
      </c>
      <c r="P420" t="str">
        <f>VLOOKUP(N420,'Site Allocation'!$B$2:$C$37,2,FALSE)</f>
        <v>Analyst6</v>
      </c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</row>
    <row r="421" spans="1:38" x14ac:dyDescent="0.35">
      <c r="A421" s="8"/>
      <c r="B421" s="8"/>
      <c r="C421" s="8"/>
      <c r="D421" s="8"/>
      <c r="I421" s="8"/>
      <c r="J421" s="8"/>
      <c r="K421" s="8"/>
      <c r="L421" s="8"/>
      <c r="M421" s="8"/>
      <c r="N421">
        <v>1031</v>
      </c>
      <c r="O421">
        <v>1031111</v>
      </c>
      <c r="P421" t="str">
        <f>VLOOKUP(N421,'Site Allocation'!$B$2:$C$37,2,FALSE)</f>
        <v>Analyst6</v>
      </c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</row>
    <row r="422" spans="1:38" x14ac:dyDescent="0.35">
      <c r="A422" s="8"/>
      <c r="B422" s="8"/>
      <c r="C422" s="8"/>
      <c r="D422" s="8"/>
      <c r="I422" s="8"/>
      <c r="J422" s="8"/>
      <c r="K422" s="8"/>
      <c r="L422" s="8"/>
      <c r="M422" s="8"/>
      <c r="N422">
        <v>1031</v>
      </c>
      <c r="O422">
        <v>1031111</v>
      </c>
      <c r="P422" t="str">
        <f>VLOOKUP(N422,'Site Allocation'!$B$2:$C$37,2,FALSE)</f>
        <v>Analyst6</v>
      </c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</row>
    <row r="423" spans="1:38" x14ac:dyDescent="0.35">
      <c r="A423" s="8"/>
      <c r="B423" s="8"/>
      <c r="C423" s="8"/>
      <c r="D423" s="8"/>
      <c r="I423" s="8"/>
      <c r="J423" s="8"/>
      <c r="K423" s="8"/>
      <c r="L423" s="8"/>
      <c r="M423" s="8"/>
      <c r="N423">
        <v>1031</v>
      </c>
      <c r="O423">
        <v>1031111</v>
      </c>
      <c r="P423" t="str">
        <f>VLOOKUP(N423,'Site Allocation'!$B$2:$C$37,2,FALSE)</f>
        <v>Analyst6</v>
      </c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</row>
    <row r="424" spans="1:38" x14ac:dyDescent="0.35">
      <c r="A424" s="8"/>
      <c r="B424" s="8"/>
      <c r="C424" s="8"/>
      <c r="D424" s="8"/>
      <c r="I424" s="8"/>
      <c r="J424" s="8"/>
      <c r="K424" s="8"/>
      <c r="L424" s="8"/>
      <c r="M424" s="8"/>
      <c r="N424">
        <v>1031</v>
      </c>
      <c r="O424">
        <v>1031111</v>
      </c>
      <c r="P424" t="str">
        <f>VLOOKUP(N424,'Site Allocation'!$B$2:$C$37,2,FALSE)</f>
        <v>Analyst6</v>
      </c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</row>
    <row r="425" spans="1:38" x14ac:dyDescent="0.35">
      <c r="A425" s="8"/>
      <c r="B425" s="8"/>
      <c r="C425" s="8"/>
      <c r="D425" s="8"/>
      <c r="I425" s="8"/>
      <c r="J425" s="8"/>
      <c r="K425" s="8"/>
      <c r="L425" s="8"/>
      <c r="M425" s="8"/>
      <c r="N425">
        <v>1031</v>
      </c>
      <c r="O425">
        <v>1031111</v>
      </c>
      <c r="P425" t="str">
        <f>VLOOKUP(N425,'Site Allocation'!$B$2:$C$37,2,FALSE)</f>
        <v>Analyst6</v>
      </c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</row>
    <row r="426" spans="1:38" x14ac:dyDescent="0.35">
      <c r="A426" s="8"/>
      <c r="B426" s="8"/>
      <c r="C426" s="8"/>
      <c r="D426" s="8"/>
      <c r="I426" s="8"/>
      <c r="J426" s="8"/>
      <c r="K426" s="8"/>
      <c r="L426" s="8"/>
      <c r="M426" s="8"/>
      <c r="N426">
        <v>1031</v>
      </c>
      <c r="O426">
        <v>1031111</v>
      </c>
      <c r="P426" t="str">
        <f>VLOOKUP(N426,'Site Allocation'!$B$2:$C$37,2,FALSE)</f>
        <v>Analyst6</v>
      </c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</row>
    <row r="427" spans="1:38" x14ac:dyDescent="0.35">
      <c r="A427" s="8"/>
      <c r="B427" s="8"/>
      <c r="C427" s="8"/>
      <c r="D427" s="8"/>
      <c r="I427" s="8"/>
      <c r="J427" s="8"/>
      <c r="K427" s="8"/>
      <c r="L427" s="8"/>
      <c r="M427" s="8"/>
      <c r="N427">
        <v>1031</v>
      </c>
      <c r="O427">
        <v>1031111</v>
      </c>
      <c r="P427" t="str">
        <f>VLOOKUP(N427,'Site Allocation'!$B$2:$C$37,2,FALSE)</f>
        <v>Analyst6</v>
      </c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</row>
    <row r="428" spans="1:38" x14ac:dyDescent="0.35">
      <c r="A428" s="8"/>
      <c r="B428" s="8"/>
      <c r="C428" s="8"/>
      <c r="D428" s="8"/>
      <c r="I428" s="8"/>
      <c r="J428" s="8"/>
      <c r="K428" s="8"/>
      <c r="L428" s="8"/>
      <c r="M428" s="8"/>
      <c r="N428">
        <v>1031</v>
      </c>
      <c r="O428">
        <v>1031111</v>
      </c>
      <c r="P428" t="str">
        <f>VLOOKUP(N428,'Site Allocation'!$B$2:$C$37,2,FALSE)</f>
        <v>Analyst6</v>
      </c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</row>
    <row r="429" spans="1:38" x14ac:dyDescent="0.35">
      <c r="A429" s="8"/>
      <c r="B429" s="8"/>
      <c r="C429" s="8"/>
      <c r="D429" s="8"/>
      <c r="I429" s="8"/>
      <c r="J429" s="8"/>
      <c r="K429" s="8"/>
      <c r="L429" s="8"/>
      <c r="M429" s="8"/>
      <c r="N429">
        <v>1031</v>
      </c>
      <c r="O429">
        <v>1031111</v>
      </c>
      <c r="P429" t="str">
        <f>VLOOKUP(N429,'Site Allocation'!$B$2:$C$37,2,FALSE)</f>
        <v>Analyst6</v>
      </c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</row>
    <row r="430" spans="1:38" x14ac:dyDescent="0.35">
      <c r="A430" s="8"/>
      <c r="B430" s="8"/>
      <c r="C430" s="8"/>
      <c r="D430" s="8"/>
      <c r="I430" s="8"/>
      <c r="J430" s="8"/>
      <c r="K430" s="8"/>
      <c r="L430" s="8"/>
      <c r="M430" s="8"/>
      <c r="N430">
        <v>1031</v>
      </c>
      <c r="O430">
        <v>1031111</v>
      </c>
      <c r="P430" t="str">
        <f>VLOOKUP(N430,'Site Allocation'!$B$2:$C$37,2,FALSE)</f>
        <v>Analyst6</v>
      </c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</row>
    <row r="431" spans="1:38" x14ac:dyDescent="0.35">
      <c r="A431" s="8"/>
      <c r="B431" s="8"/>
      <c r="C431" s="8"/>
      <c r="D431" s="8"/>
      <c r="I431" s="8"/>
      <c r="J431" s="8"/>
      <c r="K431" s="8"/>
      <c r="L431" s="8"/>
      <c r="M431" s="8"/>
      <c r="N431">
        <v>1031</v>
      </c>
      <c r="O431">
        <v>1031111</v>
      </c>
      <c r="P431" t="str">
        <f>VLOOKUP(N431,'Site Allocation'!$B$2:$C$37,2,FALSE)</f>
        <v>Analyst6</v>
      </c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</row>
    <row r="432" spans="1:38" x14ac:dyDescent="0.35">
      <c r="A432" s="8"/>
      <c r="B432" s="8"/>
      <c r="C432" s="8"/>
      <c r="D432" s="8"/>
      <c r="I432" s="8"/>
      <c r="J432" s="8"/>
      <c r="K432" s="8"/>
      <c r="L432" s="8"/>
      <c r="M432" s="8"/>
      <c r="N432">
        <v>1031</v>
      </c>
      <c r="O432">
        <v>1031111</v>
      </c>
      <c r="P432" t="str">
        <f>VLOOKUP(N432,'Site Allocation'!$B$2:$C$37,2,FALSE)</f>
        <v>Analyst6</v>
      </c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</row>
    <row r="433" spans="1:38" x14ac:dyDescent="0.35">
      <c r="A433" s="8"/>
      <c r="B433" s="8"/>
      <c r="C433" s="8"/>
      <c r="D433" s="8"/>
      <c r="I433" s="8"/>
      <c r="J433" s="8"/>
      <c r="K433" s="8"/>
      <c r="L433" s="8"/>
      <c r="M433" s="8"/>
      <c r="N433">
        <v>1031</v>
      </c>
      <c r="O433">
        <v>1031111</v>
      </c>
      <c r="P433" t="str">
        <f>VLOOKUP(N433,'Site Allocation'!$B$2:$C$37,2,FALSE)</f>
        <v>Analyst6</v>
      </c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</row>
    <row r="434" spans="1:38" x14ac:dyDescent="0.35">
      <c r="A434" s="8"/>
      <c r="B434" s="8"/>
      <c r="C434" s="8"/>
      <c r="D434" s="8"/>
      <c r="I434" s="8"/>
      <c r="J434" s="8"/>
      <c r="K434" s="8"/>
      <c r="L434" s="8"/>
      <c r="M434" s="8"/>
      <c r="N434">
        <v>1031</v>
      </c>
      <c r="O434">
        <v>1031111</v>
      </c>
      <c r="P434" t="str">
        <f>VLOOKUP(N434,'Site Allocation'!$B$2:$C$37,2,FALSE)</f>
        <v>Analyst6</v>
      </c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</row>
    <row r="435" spans="1:38" x14ac:dyDescent="0.35">
      <c r="A435" s="8"/>
      <c r="B435" s="8"/>
      <c r="C435" s="8"/>
      <c r="D435" s="8"/>
      <c r="I435" s="8"/>
      <c r="J435" s="8"/>
      <c r="K435" s="8"/>
      <c r="L435" s="8"/>
      <c r="M435" s="8"/>
      <c r="N435">
        <v>1031</v>
      </c>
      <c r="O435">
        <v>1031111</v>
      </c>
      <c r="P435" t="str">
        <f>VLOOKUP(N435,'Site Allocation'!$B$2:$C$37,2,FALSE)</f>
        <v>Analyst6</v>
      </c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</row>
    <row r="436" spans="1:38" x14ac:dyDescent="0.35">
      <c r="A436" s="8"/>
      <c r="B436" s="8"/>
      <c r="C436" s="8"/>
      <c r="D436" s="8"/>
      <c r="I436" s="8"/>
      <c r="J436" s="8"/>
      <c r="K436" s="8"/>
      <c r="L436" s="8"/>
      <c r="M436" s="8"/>
      <c r="N436">
        <v>1031</v>
      </c>
      <c r="O436">
        <v>1031111</v>
      </c>
      <c r="P436" t="str">
        <f>VLOOKUP(N436,'Site Allocation'!$B$2:$C$37,2,FALSE)</f>
        <v>Analyst6</v>
      </c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</row>
    <row r="437" spans="1:38" x14ac:dyDescent="0.35">
      <c r="A437" s="8"/>
      <c r="B437" s="8"/>
      <c r="C437" s="8"/>
      <c r="D437" s="8"/>
      <c r="I437" s="8"/>
      <c r="J437" s="8"/>
      <c r="K437" s="8"/>
      <c r="L437" s="8"/>
      <c r="M437" s="8"/>
      <c r="N437">
        <v>1032</v>
      </c>
      <c r="O437">
        <v>1032111</v>
      </c>
      <c r="P437" t="str">
        <f>VLOOKUP(N437,'Site Allocation'!$B$2:$C$37,2,FALSE)</f>
        <v>Analyst6</v>
      </c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</row>
    <row r="438" spans="1:38" x14ac:dyDescent="0.35">
      <c r="A438" s="8"/>
      <c r="B438" s="8"/>
      <c r="C438" s="8"/>
      <c r="D438" s="8"/>
      <c r="I438" s="8"/>
      <c r="J438" s="8"/>
      <c r="K438" s="8"/>
      <c r="L438" s="8"/>
      <c r="M438" s="8"/>
      <c r="N438">
        <v>1032</v>
      </c>
      <c r="O438">
        <v>1032111</v>
      </c>
      <c r="P438" t="str">
        <f>VLOOKUP(N438,'Site Allocation'!$B$2:$C$37,2,FALSE)</f>
        <v>Analyst6</v>
      </c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</row>
    <row r="439" spans="1:38" x14ac:dyDescent="0.35">
      <c r="A439" s="8"/>
      <c r="B439" s="8"/>
      <c r="C439" s="8"/>
      <c r="D439" s="8"/>
      <c r="I439" s="8"/>
      <c r="J439" s="8"/>
      <c r="K439" s="8"/>
      <c r="L439" s="8"/>
      <c r="M439" s="8"/>
      <c r="N439">
        <v>1032</v>
      </c>
      <c r="O439">
        <v>1032111</v>
      </c>
      <c r="P439" t="str">
        <f>VLOOKUP(N439,'Site Allocation'!$B$2:$C$37,2,FALSE)</f>
        <v>Analyst6</v>
      </c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</row>
    <row r="440" spans="1:38" x14ac:dyDescent="0.35">
      <c r="A440" s="8"/>
      <c r="B440" s="8"/>
      <c r="C440" s="8"/>
      <c r="D440" s="8"/>
      <c r="I440" s="8"/>
      <c r="J440" s="8"/>
      <c r="K440" s="8"/>
      <c r="L440" s="8"/>
      <c r="M440" s="8"/>
      <c r="N440">
        <v>1032</v>
      </c>
      <c r="O440">
        <v>1032111</v>
      </c>
      <c r="P440" t="str">
        <f>VLOOKUP(N440,'Site Allocation'!$B$2:$C$37,2,FALSE)</f>
        <v>Analyst6</v>
      </c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</row>
    <row r="441" spans="1:38" x14ac:dyDescent="0.35">
      <c r="A441" s="8"/>
      <c r="B441" s="8"/>
      <c r="C441" s="8"/>
      <c r="D441" s="8"/>
      <c r="I441" s="8"/>
      <c r="J441" s="8"/>
      <c r="K441" s="8"/>
      <c r="L441" s="8"/>
      <c r="M441" s="8"/>
      <c r="N441">
        <v>1032</v>
      </c>
      <c r="O441">
        <v>1032111</v>
      </c>
      <c r="P441" t="str">
        <f>VLOOKUP(N441,'Site Allocation'!$B$2:$C$37,2,FALSE)</f>
        <v>Analyst6</v>
      </c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</row>
    <row r="442" spans="1:38" x14ac:dyDescent="0.35">
      <c r="A442" s="8"/>
      <c r="B442" s="8"/>
      <c r="C442" s="8"/>
      <c r="D442" s="8"/>
      <c r="I442" s="8"/>
      <c r="J442" s="8"/>
      <c r="K442" s="8"/>
      <c r="L442" s="8"/>
      <c r="M442" s="8"/>
      <c r="N442">
        <v>1032</v>
      </c>
      <c r="O442">
        <v>1032111</v>
      </c>
      <c r="P442" t="str">
        <f>VLOOKUP(N442,'Site Allocation'!$B$2:$C$37,2,FALSE)</f>
        <v>Analyst6</v>
      </c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</row>
    <row r="443" spans="1:38" x14ac:dyDescent="0.35">
      <c r="A443" s="8"/>
      <c r="B443" s="8"/>
      <c r="C443" s="8"/>
      <c r="D443" s="8"/>
      <c r="I443" s="8"/>
      <c r="J443" s="8"/>
      <c r="K443" s="8"/>
      <c r="L443" s="8"/>
      <c r="M443" s="8"/>
      <c r="N443">
        <v>1032</v>
      </c>
      <c r="O443">
        <v>1032111</v>
      </c>
      <c r="P443" t="str">
        <f>VLOOKUP(N443,'Site Allocation'!$B$2:$C$37,2,FALSE)</f>
        <v>Analyst6</v>
      </c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</row>
    <row r="444" spans="1:38" x14ac:dyDescent="0.35">
      <c r="A444" s="8"/>
      <c r="B444" s="8"/>
      <c r="C444" s="8"/>
      <c r="D444" s="8"/>
      <c r="I444" s="8"/>
      <c r="J444" s="8"/>
      <c r="K444" s="8"/>
      <c r="L444" s="8"/>
      <c r="M444" s="8"/>
      <c r="N444">
        <v>1032</v>
      </c>
      <c r="O444">
        <v>1032111</v>
      </c>
      <c r="P444" t="str">
        <f>VLOOKUP(N444,'Site Allocation'!$B$2:$C$37,2,FALSE)</f>
        <v>Analyst6</v>
      </c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</row>
    <row r="445" spans="1:38" x14ac:dyDescent="0.35">
      <c r="A445" s="8"/>
      <c r="B445" s="8"/>
      <c r="C445" s="8"/>
      <c r="D445" s="8"/>
      <c r="I445" s="8"/>
      <c r="J445" s="8"/>
      <c r="K445" s="8"/>
      <c r="L445" s="8"/>
      <c r="M445" s="8"/>
      <c r="N445">
        <v>1032</v>
      </c>
      <c r="O445">
        <v>1032111</v>
      </c>
      <c r="P445" t="str">
        <f>VLOOKUP(N445,'Site Allocation'!$B$2:$C$37,2,FALSE)</f>
        <v>Analyst6</v>
      </c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</row>
    <row r="446" spans="1:38" x14ac:dyDescent="0.35">
      <c r="A446" s="8"/>
      <c r="B446" s="8"/>
      <c r="C446" s="8"/>
      <c r="D446" s="8"/>
      <c r="I446" s="8"/>
      <c r="J446" s="8"/>
      <c r="K446" s="8"/>
      <c r="L446" s="8"/>
      <c r="M446" s="8"/>
      <c r="N446">
        <v>1032</v>
      </c>
      <c r="O446">
        <v>1032111</v>
      </c>
      <c r="P446" t="str">
        <f>VLOOKUP(N446,'Site Allocation'!$B$2:$C$37,2,FALSE)</f>
        <v>Analyst6</v>
      </c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</row>
    <row r="447" spans="1:38" x14ac:dyDescent="0.35">
      <c r="A447" s="8"/>
      <c r="B447" s="8"/>
      <c r="C447" s="8"/>
      <c r="D447" s="8"/>
      <c r="I447" s="8"/>
      <c r="J447" s="8"/>
      <c r="K447" s="8"/>
      <c r="L447" s="8"/>
      <c r="M447" s="8"/>
      <c r="N447">
        <v>1032</v>
      </c>
      <c r="O447">
        <v>1032111</v>
      </c>
      <c r="P447" t="str">
        <f>VLOOKUP(N447,'Site Allocation'!$B$2:$C$37,2,FALSE)</f>
        <v>Analyst6</v>
      </c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</row>
    <row r="448" spans="1:38" x14ac:dyDescent="0.35">
      <c r="A448" s="8"/>
      <c r="B448" s="8"/>
      <c r="C448" s="8"/>
      <c r="D448" s="8"/>
      <c r="I448" s="8"/>
      <c r="J448" s="8"/>
      <c r="K448" s="8"/>
      <c r="L448" s="8"/>
      <c r="M448" s="8"/>
      <c r="N448">
        <v>1032</v>
      </c>
      <c r="O448">
        <v>1032111</v>
      </c>
      <c r="P448" t="str">
        <f>VLOOKUP(N448,'Site Allocation'!$B$2:$C$37,2,FALSE)</f>
        <v>Analyst6</v>
      </c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</row>
    <row r="449" spans="1:38" x14ac:dyDescent="0.35">
      <c r="A449" s="8"/>
      <c r="B449" s="8"/>
      <c r="C449" s="8"/>
      <c r="D449" s="8"/>
      <c r="I449" s="8"/>
      <c r="J449" s="8"/>
      <c r="K449" s="8"/>
      <c r="L449" s="8"/>
      <c r="M449" s="8"/>
      <c r="N449">
        <v>1033</v>
      </c>
      <c r="O449">
        <v>1033111</v>
      </c>
      <c r="P449" t="str">
        <f>VLOOKUP(N449,'Site Allocation'!$B$2:$C$37,2,FALSE)</f>
        <v>Analyst6</v>
      </c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</row>
    <row r="450" spans="1:38" x14ac:dyDescent="0.35">
      <c r="A450" s="8"/>
      <c r="B450" s="8"/>
      <c r="C450" s="8"/>
      <c r="D450" s="8"/>
      <c r="I450" s="8"/>
      <c r="J450" s="8"/>
      <c r="K450" s="8"/>
      <c r="L450" s="8"/>
      <c r="M450" s="8"/>
      <c r="N450">
        <v>1033</v>
      </c>
      <c r="O450">
        <v>1033111</v>
      </c>
      <c r="P450" t="str">
        <f>VLOOKUP(N450,'Site Allocation'!$B$2:$C$37,2,FALSE)</f>
        <v>Analyst6</v>
      </c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</row>
    <row r="451" spans="1:38" x14ac:dyDescent="0.35">
      <c r="A451" s="8"/>
      <c r="B451" s="8"/>
      <c r="C451" s="8"/>
      <c r="D451" s="8"/>
      <c r="I451" s="8"/>
      <c r="J451" s="8"/>
      <c r="K451" s="8"/>
      <c r="L451" s="8"/>
      <c r="M451" s="8"/>
      <c r="N451">
        <v>1033</v>
      </c>
      <c r="O451">
        <v>1033111</v>
      </c>
      <c r="P451" t="str">
        <f>VLOOKUP(N451,'Site Allocation'!$B$2:$C$37,2,FALSE)</f>
        <v>Analyst6</v>
      </c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</row>
    <row r="452" spans="1:38" x14ac:dyDescent="0.35">
      <c r="A452" s="8"/>
      <c r="B452" s="8"/>
      <c r="C452" s="8"/>
      <c r="D452" s="8"/>
      <c r="I452" s="8"/>
      <c r="J452" s="8"/>
      <c r="K452" s="8"/>
      <c r="L452" s="8"/>
      <c r="M452" s="8"/>
      <c r="N452">
        <v>1033</v>
      </c>
      <c r="O452">
        <v>1033111</v>
      </c>
      <c r="P452" t="str">
        <f>VLOOKUP(N452,'Site Allocation'!$B$2:$C$37,2,FALSE)</f>
        <v>Analyst6</v>
      </c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</row>
    <row r="453" spans="1:38" x14ac:dyDescent="0.35">
      <c r="A453" s="8"/>
      <c r="B453" s="8"/>
      <c r="C453" s="8"/>
      <c r="D453" s="8"/>
      <c r="I453" s="8"/>
      <c r="J453" s="8"/>
      <c r="K453" s="8"/>
      <c r="L453" s="8"/>
      <c r="M453" s="8"/>
      <c r="N453">
        <v>1033</v>
      </c>
      <c r="O453">
        <v>1033111</v>
      </c>
      <c r="P453" t="str">
        <f>VLOOKUP(N453,'Site Allocation'!$B$2:$C$37,2,FALSE)</f>
        <v>Analyst6</v>
      </c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</row>
    <row r="454" spans="1:38" x14ac:dyDescent="0.35">
      <c r="A454" s="8"/>
      <c r="B454" s="8"/>
      <c r="C454" s="8"/>
      <c r="D454" s="8"/>
      <c r="I454" s="8"/>
      <c r="J454" s="8"/>
      <c r="K454" s="8"/>
      <c r="L454" s="8"/>
      <c r="M454" s="8"/>
      <c r="N454">
        <v>1033</v>
      </c>
      <c r="O454">
        <v>1033111</v>
      </c>
      <c r="P454" t="str">
        <f>VLOOKUP(N454,'Site Allocation'!$B$2:$C$37,2,FALSE)</f>
        <v>Analyst6</v>
      </c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</row>
    <row r="455" spans="1:38" x14ac:dyDescent="0.35">
      <c r="A455" s="8"/>
      <c r="B455" s="8"/>
      <c r="C455" s="8"/>
      <c r="D455" s="8"/>
      <c r="I455" s="8"/>
      <c r="J455" s="8"/>
      <c r="K455" s="8"/>
      <c r="L455" s="8"/>
      <c r="M455" s="8"/>
      <c r="N455">
        <v>1033</v>
      </c>
      <c r="O455">
        <v>1033111</v>
      </c>
      <c r="P455" t="str">
        <f>VLOOKUP(N455,'Site Allocation'!$B$2:$C$37,2,FALSE)</f>
        <v>Analyst6</v>
      </c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</row>
    <row r="456" spans="1:38" x14ac:dyDescent="0.35">
      <c r="A456" s="8"/>
      <c r="B456" s="8"/>
      <c r="C456" s="8"/>
      <c r="D456" s="8"/>
      <c r="I456" s="8"/>
      <c r="J456" s="8"/>
      <c r="K456" s="8"/>
      <c r="L456" s="8"/>
      <c r="M456" s="8"/>
      <c r="N456">
        <v>1033</v>
      </c>
      <c r="O456">
        <v>1033111</v>
      </c>
      <c r="P456" t="str">
        <f>VLOOKUP(N456,'Site Allocation'!$B$2:$C$37,2,FALSE)</f>
        <v>Analyst6</v>
      </c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</row>
    <row r="457" spans="1:38" x14ac:dyDescent="0.35">
      <c r="A457" s="8"/>
      <c r="B457" s="8"/>
      <c r="C457" s="8"/>
      <c r="D457" s="8"/>
      <c r="I457" s="8"/>
      <c r="J457" s="8"/>
      <c r="K457" s="8"/>
      <c r="L457" s="8"/>
      <c r="M457" s="8"/>
      <c r="N457">
        <v>1033</v>
      </c>
      <c r="O457">
        <v>1033111</v>
      </c>
      <c r="P457" t="str">
        <f>VLOOKUP(N457,'Site Allocation'!$B$2:$C$37,2,FALSE)</f>
        <v>Analyst6</v>
      </c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</row>
    <row r="458" spans="1:38" x14ac:dyDescent="0.35">
      <c r="A458" s="8"/>
      <c r="B458" s="8"/>
      <c r="C458" s="8"/>
      <c r="D458" s="8"/>
      <c r="I458" s="8"/>
      <c r="J458" s="8"/>
      <c r="K458" s="8"/>
      <c r="L458" s="8"/>
      <c r="M458" s="8"/>
      <c r="N458">
        <v>1033</v>
      </c>
      <c r="O458">
        <v>1033111</v>
      </c>
      <c r="P458" t="str">
        <f>VLOOKUP(N458,'Site Allocation'!$B$2:$C$37,2,FALSE)</f>
        <v>Analyst6</v>
      </c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</row>
    <row r="459" spans="1:38" x14ac:dyDescent="0.35">
      <c r="A459" s="8"/>
      <c r="B459" s="8"/>
      <c r="C459" s="8"/>
      <c r="D459" s="8"/>
      <c r="I459" s="8"/>
      <c r="J459" s="8"/>
      <c r="K459" s="8"/>
      <c r="L459" s="8"/>
      <c r="M459" s="8"/>
      <c r="N459">
        <v>1033</v>
      </c>
      <c r="O459">
        <v>1033111</v>
      </c>
      <c r="P459" t="str">
        <f>VLOOKUP(N459,'Site Allocation'!$B$2:$C$37,2,FALSE)</f>
        <v>Analyst6</v>
      </c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</row>
    <row r="460" spans="1:38" x14ac:dyDescent="0.35">
      <c r="A460" s="8"/>
      <c r="B460" s="8"/>
      <c r="C460" s="8"/>
      <c r="D460" s="8"/>
      <c r="I460" s="8"/>
      <c r="J460" s="8"/>
      <c r="K460" s="8"/>
      <c r="L460" s="8"/>
      <c r="M460" s="8"/>
      <c r="N460">
        <v>1033</v>
      </c>
      <c r="O460">
        <v>1033111</v>
      </c>
      <c r="P460" t="str">
        <f>VLOOKUP(N460,'Site Allocation'!$B$2:$C$37,2,FALSE)</f>
        <v>Analyst6</v>
      </c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</row>
    <row r="461" spans="1:38" x14ac:dyDescent="0.35">
      <c r="A461" s="8"/>
      <c r="B461" s="8"/>
      <c r="C461" s="8"/>
      <c r="D461" s="8"/>
      <c r="I461" s="8"/>
      <c r="J461" s="8"/>
      <c r="K461" s="8"/>
      <c r="L461" s="8"/>
      <c r="M461" s="8"/>
      <c r="N461">
        <v>1033</v>
      </c>
      <c r="O461">
        <v>1033111</v>
      </c>
      <c r="P461" t="str">
        <f>VLOOKUP(N461,'Site Allocation'!$B$2:$C$37,2,FALSE)</f>
        <v>Analyst6</v>
      </c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</row>
    <row r="462" spans="1:38" x14ac:dyDescent="0.35">
      <c r="A462" s="8"/>
      <c r="B462" s="8"/>
      <c r="C462" s="8"/>
      <c r="D462" s="8"/>
      <c r="I462" s="8"/>
      <c r="J462" s="8"/>
      <c r="K462" s="8"/>
      <c r="L462" s="8"/>
      <c r="M462" s="8"/>
      <c r="N462">
        <v>1033</v>
      </c>
      <c r="O462">
        <v>1033111</v>
      </c>
      <c r="P462" t="str">
        <f>VLOOKUP(N462,'Site Allocation'!$B$2:$C$37,2,FALSE)</f>
        <v>Analyst6</v>
      </c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</row>
    <row r="463" spans="1:38" x14ac:dyDescent="0.35">
      <c r="A463" s="8"/>
      <c r="B463" s="8"/>
      <c r="C463" s="8"/>
      <c r="D463" s="8"/>
      <c r="I463" s="8"/>
      <c r="J463" s="8"/>
      <c r="K463" s="8"/>
      <c r="L463" s="8"/>
      <c r="M463" s="8"/>
      <c r="N463">
        <v>1034</v>
      </c>
      <c r="O463">
        <v>1034111</v>
      </c>
      <c r="P463" t="str">
        <f>VLOOKUP(N463,'Site Allocation'!$B$2:$C$37,2,FALSE)</f>
        <v>Analyst6</v>
      </c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</row>
    <row r="464" spans="1:38" x14ac:dyDescent="0.35">
      <c r="A464" s="8"/>
      <c r="B464" s="8"/>
      <c r="C464" s="8"/>
      <c r="D464" s="8"/>
      <c r="I464" s="8"/>
      <c r="J464" s="8"/>
      <c r="K464" s="8"/>
      <c r="L464" s="8"/>
      <c r="M464" s="8"/>
      <c r="N464">
        <v>1034</v>
      </c>
      <c r="O464">
        <v>1034111</v>
      </c>
      <c r="P464" t="str">
        <f>VLOOKUP(N464,'Site Allocation'!$B$2:$C$37,2,FALSE)</f>
        <v>Analyst6</v>
      </c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</row>
    <row r="465" spans="1:38" x14ac:dyDescent="0.35">
      <c r="A465" s="8"/>
      <c r="B465" s="8"/>
      <c r="C465" s="8"/>
      <c r="D465" s="8"/>
      <c r="I465" s="8"/>
      <c r="J465" s="8"/>
      <c r="K465" s="8"/>
      <c r="L465" s="8"/>
      <c r="M465" s="8"/>
      <c r="N465">
        <v>1034</v>
      </c>
      <c r="O465">
        <v>1034111</v>
      </c>
      <c r="P465" t="str">
        <f>VLOOKUP(N465,'Site Allocation'!$B$2:$C$37,2,FALSE)</f>
        <v>Analyst6</v>
      </c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</row>
    <row r="466" spans="1:38" x14ac:dyDescent="0.35">
      <c r="A466" s="8"/>
      <c r="B466" s="8"/>
      <c r="C466" s="8"/>
      <c r="D466" s="8"/>
      <c r="I466" s="8"/>
      <c r="J466" s="8"/>
      <c r="K466" s="8"/>
      <c r="L466" s="8"/>
      <c r="M466" s="8"/>
      <c r="N466">
        <v>1034</v>
      </c>
      <c r="O466">
        <v>1034111</v>
      </c>
      <c r="P466" t="str">
        <f>VLOOKUP(N466,'Site Allocation'!$B$2:$C$37,2,FALSE)</f>
        <v>Analyst6</v>
      </c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</row>
    <row r="467" spans="1:38" x14ac:dyDescent="0.35">
      <c r="A467" s="8"/>
      <c r="B467" s="8"/>
      <c r="C467" s="8"/>
      <c r="D467" s="8"/>
      <c r="I467" s="8"/>
      <c r="J467" s="8"/>
      <c r="K467" s="8"/>
      <c r="L467" s="8"/>
      <c r="M467" s="8"/>
      <c r="N467">
        <v>1034</v>
      </c>
      <c r="O467">
        <v>1034111</v>
      </c>
      <c r="P467" t="str">
        <f>VLOOKUP(N467,'Site Allocation'!$B$2:$C$37,2,FALSE)</f>
        <v>Analyst6</v>
      </c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</row>
    <row r="468" spans="1:38" x14ac:dyDescent="0.35">
      <c r="A468" s="8"/>
      <c r="B468" s="8"/>
      <c r="C468" s="8"/>
      <c r="D468" s="8"/>
      <c r="I468" s="8"/>
      <c r="J468" s="8"/>
      <c r="K468" s="8"/>
      <c r="L468" s="8"/>
      <c r="M468" s="8"/>
      <c r="N468">
        <v>1034</v>
      </c>
      <c r="O468">
        <v>1034111</v>
      </c>
      <c r="P468" t="str">
        <f>VLOOKUP(N468,'Site Allocation'!$B$2:$C$37,2,FALSE)</f>
        <v>Analyst6</v>
      </c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</row>
    <row r="469" spans="1:38" x14ac:dyDescent="0.35">
      <c r="A469" s="8"/>
      <c r="B469" s="8"/>
      <c r="C469" s="8"/>
      <c r="D469" s="8"/>
      <c r="I469" s="8"/>
      <c r="J469" s="8"/>
      <c r="K469" s="8"/>
      <c r="L469" s="8"/>
      <c r="M469" s="8"/>
      <c r="N469">
        <v>1034</v>
      </c>
      <c r="O469">
        <v>1034111</v>
      </c>
      <c r="P469" t="str">
        <f>VLOOKUP(N469,'Site Allocation'!$B$2:$C$37,2,FALSE)</f>
        <v>Analyst6</v>
      </c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</row>
    <row r="470" spans="1:38" x14ac:dyDescent="0.35">
      <c r="A470" s="8"/>
      <c r="B470" s="8"/>
      <c r="C470" s="8"/>
      <c r="D470" s="8"/>
      <c r="I470" s="8"/>
      <c r="J470" s="8"/>
      <c r="K470" s="8"/>
      <c r="L470" s="8"/>
      <c r="M470" s="8"/>
      <c r="N470">
        <v>1034</v>
      </c>
      <c r="O470">
        <v>1034111</v>
      </c>
      <c r="P470" t="str">
        <f>VLOOKUP(N470,'Site Allocation'!$B$2:$C$37,2,FALSE)</f>
        <v>Analyst6</v>
      </c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</row>
    <row r="471" spans="1:38" x14ac:dyDescent="0.35">
      <c r="A471" s="8"/>
      <c r="B471" s="8"/>
      <c r="C471" s="8"/>
      <c r="D471" s="8"/>
      <c r="I471" s="8"/>
      <c r="J471" s="8"/>
      <c r="K471" s="8"/>
      <c r="L471" s="8"/>
      <c r="M471" s="8"/>
      <c r="N471">
        <v>1034</v>
      </c>
      <c r="O471">
        <v>1034111</v>
      </c>
      <c r="P471" t="str">
        <f>VLOOKUP(N471,'Site Allocation'!$B$2:$C$37,2,FALSE)</f>
        <v>Analyst6</v>
      </c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</row>
    <row r="472" spans="1:38" x14ac:dyDescent="0.35">
      <c r="A472" s="8"/>
      <c r="B472" s="8"/>
      <c r="C472" s="8"/>
      <c r="D472" s="8"/>
      <c r="I472" s="8"/>
      <c r="J472" s="8"/>
      <c r="K472" s="8"/>
      <c r="L472" s="8"/>
      <c r="M472" s="8"/>
      <c r="N472">
        <v>1034</v>
      </c>
      <c r="O472">
        <v>1034111</v>
      </c>
      <c r="P472" t="str">
        <f>VLOOKUP(N472,'Site Allocation'!$B$2:$C$37,2,FALSE)</f>
        <v>Analyst6</v>
      </c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</row>
    <row r="473" spans="1:38" x14ac:dyDescent="0.35">
      <c r="A473" s="8"/>
      <c r="B473" s="8"/>
      <c r="C473" s="8"/>
      <c r="D473" s="8"/>
      <c r="I473" s="8"/>
      <c r="J473" s="8"/>
      <c r="K473" s="8"/>
      <c r="L473" s="8"/>
      <c r="M473" s="8"/>
      <c r="N473">
        <v>1034</v>
      </c>
      <c r="O473">
        <v>1034111</v>
      </c>
      <c r="P473" t="str">
        <f>VLOOKUP(N473,'Site Allocation'!$B$2:$C$37,2,FALSE)</f>
        <v>Analyst6</v>
      </c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</row>
    <row r="474" spans="1:38" x14ac:dyDescent="0.35">
      <c r="A474" s="8"/>
      <c r="B474" s="8"/>
      <c r="C474" s="8"/>
      <c r="D474" s="8"/>
      <c r="I474" s="8"/>
      <c r="J474" s="8"/>
      <c r="K474" s="8"/>
      <c r="L474" s="8"/>
      <c r="M474" s="8"/>
      <c r="N474">
        <v>1034</v>
      </c>
      <c r="O474">
        <v>1034111</v>
      </c>
      <c r="P474" t="str">
        <f>VLOOKUP(N474,'Site Allocation'!$B$2:$C$37,2,FALSE)</f>
        <v>Analyst6</v>
      </c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</row>
    <row r="475" spans="1:38" x14ac:dyDescent="0.35">
      <c r="A475" s="8"/>
      <c r="B475" s="8"/>
      <c r="C475" s="8"/>
      <c r="D475" s="8"/>
      <c r="I475" s="8"/>
      <c r="J475" s="8"/>
      <c r="K475" s="8"/>
      <c r="L475" s="8"/>
      <c r="M475" s="8"/>
      <c r="N475">
        <v>1034</v>
      </c>
      <c r="O475">
        <v>1034111</v>
      </c>
      <c r="P475" t="str">
        <f>VLOOKUP(N475,'Site Allocation'!$B$2:$C$37,2,FALSE)</f>
        <v>Analyst6</v>
      </c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</row>
    <row r="476" spans="1:38" x14ac:dyDescent="0.35">
      <c r="A476" s="8"/>
      <c r="B476" s="8"/>
      <c r="C476" s="8"/>
      <c r="D476" s="8"/>
      <c r="I476" s="8"/>
      <c r="J476" s="8"/>
      <c r="K476" s="8"/>
      <c r="L476" s="8"/>
      <c r="M476" s="8"/>
      <c r="N476">
        <v>1034</v>
      </c>
      <c r="O476">
        <v>1034111</v>
      </c>
      <c r="P476" t="str">
        <f>VLOOKUP(N476,'Site Allocation'!$B$2:$C$37,2,FALSE)</f>
        <v>Analyst6</v>
      </c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</row>
    <row r="477" spans="1:38" x14ac:dyDescent="0.35">
      <c r="A477" s="8"/>
      <c r="B477" s="8"/>
      <c r="C477" s="8"/>
      <c r="D477" s="8"/>
      <c r="I477" s="8"/>
      <c r="J477" s="8"/>
      <c r="K477" s="8"/>
      <c r="L477" s="8"/>
      <c r="M477" s="8"/>
      <c r="N477">
        <v>1034</v>
      </c>
      <c r="O477">
        <v>1034111</v>
      </c>
      <c r="P477" t="str">
        <f>VLOOKUP(N477,'Site Allocation'!$B$2:$C$37,2,FALSE)</f>
        <v>Analyst6</v>
      </c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</row>
    <row r="478" spans="1:38" x14ac:dyDescent="0.35">
      <c r="A478" s="8"/>
      <c r="B478" s="8"/>
      <c r="C478" s="8"/>
      <c r="D478" s="8"/>
      <c r="I478" s="8"/>
      <c r="J478" s="8"/>
      <c r="K478" s="8"/>
      <c r="L478" s="8"/>
      <c r="M478" s="8"/>
      <c r="N478">
        <v>1034</v>
      </c>
      <c r="O478">
        <v>1034111</v>
      </c>
      <c r="P478" t="str">
        <f>VLOOKUP(N478,'Site Allocation'!$B$2:$C$37,2,FALSE)</f>
        <v>Analyst6</v>
      </c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</row>
    <row r="479" spans="1:38" x14ac:dyDescent="0.35">
      <c r="A479" s="8"/>
      <c r="B479" s="8"/>
      <c r="C479" s="8"/>
      <c r="D479" s="8"/>
      <c r="I479" s="8"/>
      <c r="J479" s="8"/>
      <c r="K479" s="8"/>
      <c r="L479" s="8"/>
      <c r="M479" s="8"/>
      <c r="N479">
        <v>1034</v>
      </c>
      <c r="O479">
        <v>1034111</v>
      </c>
      <c r="P479" t="str">
        <f>VLOOKUP(N479,'Site Allocation'!$B$2:$C$37,2,FALSE)</f>
        <v>Analyst6</v>
      </c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</row>
    <row r="480" spans="1:38" x14ac:dyDescent="0.35">
      <c r="A480" s="8"/>
      <c r="B480" s="8"/>
      <c r="C480" s="8"/>
      <c r="D480" s="8"/>
      <c r="I480" s="8"/>
      <c r="J480" s="8"/>
      <c r="K480" s="8"/>
      <c r="L480" s="8"/>
      <c r="M480" s="8"/>
      <c r="N480">
        <v>1034</v>
      </c>
      <c r="O480">
        <v>1034111</v>
      </c>
      <c r="P480" t="str">
        <f>VLOOKUP(N480,'Site Allocation'!$B$2:$C$37,2,FALSE)</f>
        <v>Analyst6</v>
      </c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</row>
    <row r="481" spans="1:38" x14ac:dyDescent="0.35">
      <c r="A481" s="8"/>
      <c r="B481" s="8"/>
      <c r="C481" s="8"/>
      <c r="D481" s="8"/>
      <c r="I481" s="8"/>
      <c r="J481" s="8"/>
      <c r="K481" s="8"/>
      <c r="L481" s="8"/>
      <c r="M481" s="8"/>
      <c r="N481">
        <v>1034</v>
      </c>
      <c r="O481">
        <v>1034111</v>
      </c>
      <c r="P481" t="str">
        <f>VLOOKUP(N481,'Site Allocation'!$B$2:$C$37,2,FALSE)</f>
        <v>Analyst6</v>
      </c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</row>
    <row r="482" spans="1:38" x14ac:dyDescent="0.35">
      <c r="A482" s="8"/>
      <c r="B482" s="8"/>
      <c r="C482" s="8"/>
      <c r="D482" s="8"/>
      <c r="I482" s="8"/>
      <c r="J482" s="8"/>
      <c r="K482" s="8"/>
      <c r="L482" s="8"/>
      <c r="M482" s="8"/>
      <c r="N482">
        <v>1034</v>
      </c>
      <c r="O482">
        <v>1034111</v>
      </c>
      <c r="P482" t="str">
        <f>VLOOKUP(N482,'Site Allocation'!$B$2:$C$37,2,FALSE)</f>
        <v>Analyst6</v>
      </c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</row>
    <row r="483" spans="1:38" x14ac:dyDescent="0.35">
      <c r="A483" s="8"/>
      <c r="B483" s="8"/>
      <c r="C483" s="8"/>
      <c r="D483" s="8"/>
      <c r="I483" s="8"/>
      <c r="J483" s="8"/>
      <c r="K483" s="8"/>
      <c r="L483" s="8"/>
      <c r="M483" s="8"/>
      <c r="N483">
        <v>1034</v>
      </c>
      <c r="O483">
        <v>1034111</v>
      </c>
      <c r="P483" t="str">
        <f>VLOOKUP(N483,'Site Allocation'!$B$2:$C$37,2,FALSE)</f>
        <v>Analyst6</v>
      </c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</row>
    <row r="484" spans="1:38" x14ac:dyDescent="0.35">
      <c r="A484" s="8"/>
      <c r="B484" s="8"/>
      <c r="C484" s="8"/>
      <c r="D484" s="8"/>
      <c r="I484" s="8"/>
      <c r="J484" s="8"/>
      <c r="K484" s="8"/>
      <c r="L484" s="8"/>
      <c r="M484" s="8"/>
      <c r="N484">
        <v>1034</v>
      </c>
      <c r="O484">
        <v>1034111</v>
      </c>
      <c r="P484" t="str">
        <f>VLOOKUP(N484,'Site Allocation'!$B$2:$C$37,2,FALSE)</f>
        <v>Analyst6</v>
      </c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</row>
    <row r="485" spans="1:38" x14ac:dyDescent="0.35">
      <c r="A485" s="8"/>
      <c r="B485" s="8"/>
      <c r="C485" s="8"/>
      <c r="D485" s="8"/>
      <c r="I485" s="8"/>
      <c r="J485" s="8"/>
      <c r="K485" s="8"/>
      <c r="L485" s="8"/>
      <c r="M485" s="8"/>
      <c r="N485">
        <v>1034</v>
      </c>
      <c r="O485">
        <v>1034111</v>
      </c>
      <c r="P485" t="str">
        <f>VLOOKUP(N485,'Site Allocation'!$B$2:$C$37,2,FALSE)</f>
        <v>Analyst6</v>
      </c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</row>
    <row r="486" spans="1:38" x14ac:dyDescent="0.35">
      <c r="A486" s="8"/>
      <c r="B486" s="8"/>
      <c r="C486" s="8"/>
      <c r="D486" s="8"/>
      <c r="I486" s="8"/>
      <c r="J486" s="8"/>
      <c r="K486" s="8"/>
      <c r="L486" s="8"/>
      <c r="M486" s="8"/>
      <c r="N486">
        <v>1034</v>
      </c>
      <c r="O486">
        <v>1034111</v>
      </c>
      <c r="P486" t="str">
        <f>VLOOKUP(N486,'Site Allocation'!$B$2:$C$37,2,FALSE)</f>
        <v>Analyst6</v>
      </c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</row>
    <row r="487" spans="1:38" x14ac:dyDescent="0.35">
      <c r="A487" s="8"/>
      <c r="B487" s="8"/>
      <c r="C487" s="8"/>
      <c r="D487" s="8"/>
      <c r="I487" s="8"/>
      <c r="J487" s="8"/>
      <c r="K487" s="8"/>
      <c r="L487" s="8"/>
      <c r="M487" s="8"/>
      <c r="N487">
        <v>1034</v>
      </c>
      <c r="O487">
        <v>1034111</v>
      </c>
      <c r="P487" t="str">
        <f>VLOOKUP(N487,'Site Allocation'!$B$2:$C$37,2,FALSE)</f>
        <v>Analyst6</v>
      </c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</row>
    <row r="488" spans="1:38" x14ac:dyDescent="0.35">
      <c r="A488" s="8"/>
      <c r="B488" s="8"/>
      <c r="C488" s="8"/>
      <c r="D488" s="8"/>
      <c r="I488" s="8"/>
      <c r="J488" s="8"/>
      <c r="K488" s="8"/>
      <c r="L488" s="8"/>
      <c r="M488" s="8"/>
      <c r="N488">
        <v>1035</v>
      </c>
      <c r="O488">
        <v>1035111</v>
      </c>
      <c r="P488" t="str">
        <f>VLOOKUP(N488,'Site Allocation'!$B$2:$C$37,2,FALSE)</f>
        <v>Analyst6</v>
      </c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</row>
    <row r="489" spans="1:38" x14ac:dyDescent="0.35">
      <c r="A489" s="8"/>
      <c r="B489" s="8"/>
      <c r="C489" s="8"/>
      <c r="D489" s="8"/>
      <c r="I489" s="8"/>
      <c r="J489" s="8"/>
      <c r="K489" s="8"/>
      <c r="L489" s="8"/>
      <c r="M489" s="8"/>
      <c r="N489">
        <v>1035</v>
      </c>
      <c r="O489">
        <v>1035111</v>
      </c>
      <c r="P489" t="str">
        <f>VLOOKUP(N489,'Site Allocation'!$B$2:$C$37,2,FALSE)</f>
        <v>Analyst6</v>
      </c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</row>
    <row r="490" spans="1:38" x14ac:dyDescent="0.35">
      <c r="A490" s="8"/>
      <c r="B490" s="8"/>
      <c r="C490" s="8"/>
      <c r="D490" s="8"/>
      <c r="I490" s="8"/>
      <c r="J490" s="8"/>
      <c r="K490" s="8"/>
      <c r="L490" s="8"/>
      <c r="M490" s="8"/>
      <c r="N490">
        <v>1035</v>
      </c>
      <c r="O490">
        <v>1035111</v>
      </c>
      <c r="P490" t="str">
        <f>VLOOKUP(N490,'Site Allocation'!$B$2:$C$37,2,FALSE)</f>
        <v>Analyst6</v>
      </c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</row>
    <row r="491" spans="1:38" x14ac:dyDescent="0.35">
      <c r="A491" s="8"/>
      <c r="B491" s="8"/>
      <c r="C491" s="8"/>
      <c r="D491" s="8"/>
      <c r="I491" s="8"/>
      <c r="J491" s="8"/>
      <c r="K491" s="8"/>
      <c r="L491" s="8"/>
      <c r="M491" s="8"/>
      <c r="N491">
        <v>1035</v>
      </c>
      <c r="O491">
        <v>1035111</v>
      </c>
      <c r="P491" t="str">
        <f>VLOOKUP(N491,'Site Allocation'!$B$2:$C$37,2,FALSE)</f>
        <v>Analyst6</v>
      </c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</row>
    <row r="492" spans="1:38" x14ac:dyDescent="0.35">
      <c r="A492" s="8"/>
      <c r="B492" s="8"/>
      <c r="C492" s="8"/>
      <c r="D492" s="8"/>
      <c r="I492" s="8"/>
      <c r="J492" s="8"/>
      <c r="K492" s="8"/>
      <c r="L492" s="8"/>
      <c r="M492" s="8"/>
      <c r="N492">
        <v>1035</v>
      </c>
      <c r="O492">
        <v>1035111</v>
      </c>
      <c r="P492" t="str">
        <f>VLOOKUP(N492,'Site Allocation'!$B$2:$C$37,2,FALSE)</f>
        <v>Analyst6</v>
      </c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</row>
    <row r="493" spans="1:38" x14ac:dyDescent="0.35">
      <c r="A493" s="8"/>
      <c r="B493" s="8"/>
      <c r="C493" s="8"/>
      <c r="D493" s="8"/>
      <c r="I493" s="8"/>
      <c r="J493" s="8"/>
      <c r="K493" s="8"/>
      <c r="L493" s="8"/>
      <c r="M493" s="8"/>
      <c r="N493">
        <v>1035</v>
      </c>
      <c r="O493">
        <v>1035111</v>
      </c>
      <c r="P493" t="str">
        <f>VLOOKUP(N493,'Site Allocation'!$B$2:$C$37,2,FALSE)</f>
        <v>Analyst6</v>
      </c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</row>
    <row r="494" spans="1:38" x14ac:dyDescent="0.35">
      <c r="A494" s="8"/>
      <c r="B494" s="8"/>
      <c r="C494" s="8"/>
      <c r="D494" s="8"/>
      <c r="I494" s="8"/>
      <c r="J494" s="8"/>
      <c r="K494" s="8"/>
      <c r="L494" s="8"/>
      <c r="M494" s="8"/>
      <c r="N494">
        <v>1035</v>
      </c>
      <c r="O494">
        <v>1035111</v>
      </c>
      <c r="P494" t="str">
        <f>VLOOKUP(N494,'Site Allocation'!$B$2:$C$37,2,FALSE)</f>
        <v>Analyst6</v>
      </c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</row>
    <row r="495" spans="1:38" x14ac:dyDescent="0.35">
      <c r="A495" s="8"/>
      <c r="B495" s="8"/>
      <c r="C495" s="8"/>
      <c r="D495" s="8"/>
      <c r="I495" s="8"/>
      <c r="J495" s="8"/>
      <c r="K495" s="8"/>
      <c r="L495" s="8"/>
      <c r="M495" s="8"/>
      <c r="N495">
        <v>1035</v>
      </c>
      <c r="O495">
        <v>1035111</v>
      </c>
      <c r="P495" t="str">
        <f>VLOOKUP(N495,'Site Allocation'!$B$2:$C$37,2,FALSE)</f>
        <v>Analyst6</v>
      </c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</row>
    <row r="496" spans="1:38" x14ac:dyDescent="0.35">
      <c r="A496" s="8"/>
      <c r="B496" s="8"/>
      <c r="C496" s="8"/>
      <c r="D496" s="8"/>
      <c r="I496" s="8"/>
      <c r="J496" s="8"/>
      <c r="K496" s="8"/>
      <c r="L496" s="8"/>
      <c r="M496" s="8"/>
      <c r="N496">
        <v>1035</v>
      </c>
      <c r="O496">
        <v>1035111</v>
      </c>
      <c r="P496" t="str">
        <f>VLOOKUP(N496,'Site Allocation'!$B$2:$C$37,2,FALSE)</f>
        <v>Analyst6</v>
      </c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</row>
    <row r="497" spans="1:38" x14ac:dyDescent="0.35">
      <c r="A497" s="8"/>
      <c r="B497" s="8"/>
      <c r="C497" s="8"/>
      <c r="D497" s="8"/>
      <c r="I497" s="8"/>
      <c r="J497" s="8"/>
      <c r="K497" s="8"/>
      <c r="L497" s="8"/>
      <c r="M497" s="8"/>
      <c r="N497">
        <v>1035</v>
      </c>
      <c r="O497">
        <v>1035111</v>
      </c>
      <c r="P497" t="str">
        <f>VLOOKUP(N497,'Site Allocation'!$B$2:$C$37,2,FALSE)</f>
        <v>Analyst6</v>
      </c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</row>
    <row r="498" spans="1:38" x14ac:dyDescent="0.35">
      <c r="A498" s="8"/>
      <c r="B498" s="8"/>
      <c r="C498" s="8"/>
      <c r="D498" s="8"/>
      <c r="I498" s="8"/>
      <c r="J498" s="8"/>
      <c r="K498" s="8"/>
      <c r="L498" s="8"/>
      <c r="M498" s="8"/>
      <c r="N498">
        <v>1035</v>
      </c>
      <c r="O498">
        <v>1035111</v>
      </c>
      <c r="P498" t="str">
        <f>VLOOKUP(N498,'Site Allocation'!$B$2:$C$37,2,FALSE)</f>
        <v>Analyst6</v>
      </c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</row>
    <row r="499" spans="1:38" x14ac:dyDescent="0.35">
      <c r="A499" s="8"/>
      <c r="B499" s="8"/>
      <c r="C499" s="8"/>
      <c r="D499" s="8"/>
      <c r="I499" s="8"/>
      <c r="J499" s="8"/>
      <c r="K499" s="8"/>
      <c r="L499" s="8"/>
      <c r="M499" s="8"/>
      <c r="N499">
        <v>1035</v>
      </c>
      <c r="O499">
        <v>1035111</v>
      </c>
      <c r="P499" t="str">
        <f>VLOOKUP(N499,'Site Allocation'!$B$2:$C$37,2,FALSE)</f>
        <v>Analyst6</v>
      </c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</row>
    <row r="500" spans="1:38" x14ac:dyDescent="0.35">
      <c r="A500" s="8"/>
      <c r="B500" s="8"/>
      <c r="C500" s="8"/>
      <c r="D500" s="8"/>
      <c r="I500" s="8"/>
      <c r="J500" s="8"/>
      <c r="K500" s="8"/>
      <c r="L500" s="8"/>
      <c r="M500" s="8"/>
      <c r="N500">
        <v>1035</v>
      </c>
      <c r="O500">
        <v>1035111</v>
      </c>
      <c r="P500" t="str">
        <f>VLOOKUP(N500,'Site Allocation'!$B$2:$C$37,2,FALSE)</f>
        <v>Analyst6</v>
      </c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</row>
    <row r="501" spans="1:38" x14ac:dyDescent="0.35">
      <c r="A501" s="8"/>
      <c r="B501" s="8"/>
      <c r="C501" s="8"/>
      <c r="D501" s="8"/>
      <c r="I501" s="8"/>
      <c r="J501" s="8"/>
      <c r="K501" s="8"/>
      <c r="L501" s="8"/>
      <c r="M501" s="8"/>
      <c r="N501">
        <v>1035</v>
      </c>
      <c r="O501">
        <v>1035111</v>
      </c>
      <c r="P501" t="str">
        <f>VLOOKUP(N501,'Site Allocation'!$B$2:$C$37,2,FALSE)</f>
        <v>Analyst6</v>
      </c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</row>
    <row r="502" spans="1:38" x14ac:dyDescent="0.35">
      <c r="A502" s="8"/>
      <c r="B502" s="8"/>
      <c r="C502" s="8"/>
      <c r="D502" s="8"/>
      <c r="I502" s="8"/>
      <c r="J502" s="8"/>
      <c r="K502" s="8"/>
      <c r="L502" s="8"/>
      <c r="M502" s="8"/>
      <c r="N502">
        <v>1035</v>
      </c>
      <c r="O502">
        <v>1035111</v>
      </c>
      <c r="P502" t="str">
        <f>VLOOKUP(N502,'Site Allocation'!$B$2:$C$37,2,FALSE)</f>
        <v>Analyst6</v>
      </c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</row>
    <row r="503" spans="1:38" x14ac:dyDescent="0.35">
      <c r="A503" s="8"/>
      <c r="B503" s="8"/>
      <c r="C503" s="8"/>
      <c r="D503" s="8"/>
      <c r="I503" s="8"/>
      <c r="J503" s="8"/>
      <c r="K503" s="8"/>
      <c r="L503" s="8"/>
      <c r="M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</row>
    <row r="504" spans="1:38" x14ac:dyDescent="0.35">
      <c r="A504" s="8"/>
      <c r="B504" s="8"/>
      <c r="C504" s="8"/>
      <c r="D504" s="8"/>
      <c r="I504" s="8"/>
      <c r="J504" s="8"/>
      <c r="K504" s="8"/>
      <c r="L504" s="8"/>
      <c r="M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</row>
    <row r="505" spans="1:38" x14ac:dyDescent="0.35">
      <c r="A505" s="8"/>
      <c r="B505" s="8"/>
      <c r="C505" s="8"/>
      <c r="D505" s="8"/>
      <c r="I505" s="8"/>
      <c r="J505" s="8"/>
      <c r="K505" s="8"/>
      <c r="L505" s="8"/>
      <c r="M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</row>
    <row r="506" spans="1:38" x14ac:dyDescent="0.35">
      <c r="A506" s="8"/>
      <c r="B506" s="8"/>
      <c r="C506" s="8"/>
      <c r="D506" s="8"/>
      <c r="I506" s="8"/>
      <c r="J506" s="8"/>
      <c r="K506" s="8"/>
      <c r="L506" s="8"/>
      <c r="M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</row>
    <row r="507" spans="1:38" x14ac:dyDescent="0.35">
      <c r="A507" s="8"/>
      <c r="B507" s="8"/>
      <c r="C507" s="8"/>
      <c r="D507" s="8"/>
      <c r="I507" s="8"/>
      <c r="J507" s="8"/>
      <c r="K507" s="8"/>
      <c r="L507" s="8"/>
      <c r="M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</row>
    <row r="508" spans="1:38" x14ac:dyDescent="0.35">
      <c r="A508" s="8"/>
      <c r="B508" s="8"/>
      <c r="C508" s="8"/>
      <c r="D508" s="8"/>
      <c r="I508" s="8"/>
      <c r="J508" s="8"/>
      <c r="K508" s="8"/>
      <c r="L508" s="8"/>
      <c r="M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</row>
    <row r="509" spans="1:38" x14ac:dyDescent="0.35">
      <c r="A509" s="8"/>
      <c r="B509" s="8"/>
      <c r="C509" s="8"/>
      <c r="D509" s="8"/>
      <c r="I509" s="8"/>
      <c r="J509" s="8"/>
      <c r="K509" s="8"/>
      <c r="L509" s="8"/>
      <c r="M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</row>
    <row r="510" spans="1:38" x14ac:dyDescent="0.35">
      <c r="A510" s="8"/>
      <c r="B510" s="8"/>
      <c r="C510" s="8"/>
      <c r="D510" s="8"/>
      <c r="I510" s="8"/>
      <c r="J510" s="8"/>
      <c r="K510" s="8"/>
      <c r="L510" s="8"/>
      <c r="M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</row>
    <row r="511" spans="1:38" x14ac:dyDescent="0.35">
      <c r="A511" s="8"/>
      <c r="B511" s="8"/>
      <c r="C511" s="8"/>
      <c r="D511" s="8"/>
      <c r="I511" s="8"/>
      <c r="J511" s="8"/>
      <c r="K511" s="8"/>
      <c r="L511" s="8"/>
      <c r="M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</row>
    <row r="512" spans="1:38" x14ac:dyDescent="0.35">
      <c r="A512" s="8"/>
      <c r="B512" s="8"/>
      <c r="C512" s="8"/>
      <c r="D512" s="8"/>
      <c r="I512" s="8"/>
      <c r="J512" s="8"/>
      <c r="K512" s="8"/>
      <c r="L512" s="8"/>
      <c r="M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</row>
    <row r="513" spans="1:38" x14ac:dyDescent="0.35">
      <c r="A513" s="8"/>
      <c r="B513" s="8"/>
      <c r="C513" s="8"/>
      <c r="D513" s="8"/>
      <c r="I513" s="8"/>
      <c r="J513" s="8"/>
      <c r="K513" s="8"/>
      <c r="L513" s="8"/>
      <c r="M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</row>
    <row r="514" spans="1:38" x14ac:dyDescent="0.35">
      <c r="A514" s="8"/>
      <c r="B514" s="8"/>
      <c r="C514" s="8"/>
      <c r="D514" s="8"/>
      <c r="I514" s="8"/>
      <c r="J514" s="8"/>
      <c r="K514" s="8"/>
      <c r="L514" s="8"/>
      <c r="M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</row>
    <row r="515" spans="1:38" x14ac:dyDescent="0.35">
      <c r="A515" s="8"/>
      <c r="B515" s="8"/>
      <c r="C515" s="8"/>
      <c r="D515" s="8"/>
      <c r="I515" s="8"/>
      <c r="J515" s="8"/>
      <c r="K515" s="8"/>
      <c r="L515" s="8"/>
      <c r="M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</row>
    <row r="516" spans="1:38" x14ac:dyDescent="0.35">
      <c r="A516" s="8"/>
      <c r="B516" s="8"/>
      <c r="C516" s="8"/>
      <c r="D516" s="8"/>
      <c r="I516" s="8"/>
      <c r="J516" s="8"/>
      <c r="K516" s="8"/>
      <c r="L516" s="8"/>
      <c r="M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</row>
    <row r="517" spans="1:38" x14ac:dyDescent="0.35">
      <c r="A517" s="8"/>
      <c r="B517" s="8"/>
      <c r="C517" s="8"/>
      <c r="D517" s="8"/>
      <c r="I517" s="8"/>
      <c r="J517" s="8"/>
      <c r="K517" s="8"/>
      <c r="L517" s="8"/>
      <c r="M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</row>
    <row r="518" spans="1:38" x14ac:dyDescent="0.35">
      <c r="A518" s="8"/>
      <c r="B518" s="8"/>
      <c r="C518" s="8"/>
      <c r="D518" s="8"/>
      <c r="I518" s="8"/>
      <c r="J518" s="8"/>
      <c r="K518" s="8"/>
      <c r="L518" s="8"/>
      <c r="M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</row>
    <row r="519" spans="1:38" x14ac:dyDescent="0.35">
      <c r="A519" s="8"/>
      <c r="B519" s="8"/>
      <c r="C519" s="8"/>
      <c r="D519" s="8"/>
      <c r="I519" s="8"/>
      <c r="J519" s="8"/>
      <c r="K519" s="8"/>
      <c r="L519" s="8"/>
      <c r="M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</row>
    <row r="520" spans="1:38" x14ac:dyDescent="0.35">
      <c r="A520" s="8"/>
      <c r="B520" s="8"/>
      <c r="C520" s="8"/>
      <c r="D520" s="8"/>
      <c r="I520" s="8"/>
      <c r="J520" s="8"/>
      <c r="K520" s="8"/>
      <c r="L520" s="8"/>
      <c r="M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</row>
    <row r="521" spans="1:38" x14ac:dyDescent="0.35">
      <c r="A521" s="8"/>
      <c r="B521" s="8"/>
      <c r="C521" s="8"/>
      <c r="D521" s="8"/>
      <c r="I521" s="8"/>
      <c r="J521" s="8"/>
      <c r="K521" s="8"/>
      <c r="L521" s="8"/>
      <c r="M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</row>
    <row r="522" spans="1:38" x14ac:dyDescent="0.35">
      <c r="A522" s="8"/>
      <c r="B522" s="8"/>
      <c r="C522" s="8"/>
      <c r="D522" s="8"/>
      <c r="I522" s="8"/>
      <c r="J522" s="8"/>
      <c r="K522" s="8"/>
      <c r="L522" s="8"/>
      <c r="M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</row>
    <row r="523" spans="1:38" x14ac:dyDescent="0.35">
      <c r="A523" s="8"/>
      <c r="B523" s="8"/>
      <c r="C523" s="8"/>
      <c r="D523" s="8"/>
      <c r="I523" s="8"/>
      <c r="J523" s="8"/>
      <c r="K523" s="8"/>
      <c r="L523" s="8"/>
      <c r="M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</row>
    <row r="524" spans="1:38" x14ac:dyDescent="0.35">
      <c r="A524" s="8"/>
      <c r="B524" s="8"/>
      <c r="C524" s="8"/>
      <c r="D524" s="8"/>
      <c r="I524" s="8"/>
      <c r="J524" s="8"/>
      <c r="K524" s="8"/>
      <c r="L524" s="8"/>
      <c r="M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</row>
    <row r="525" spans="1:38" x14ac:dyDescent="0.35">
      <c r="A525" s="8"/>
      <c r="B525" s="8"/>
      <c r="C525" s="8"/>
      <c r="D525" s="8"/>
      <c r="I525" s="8"/>
      <c r="J525" s="8"/>
      <c r="K525" s="8"/>
      <c r="L525" s="8"/>
      <c r="M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</row>
    <row r="526" spans="1:38" x14ac:dyDescent="0.35">
      <c r="A526" s="8"/>
      <c r="B526" s="8"/>
      <c r="C526" s="8"/>
      <c r="D526" s="8"/>
      <c r="I526" s="8"/>
      <c r="J526" s="8"/>
      <c r="K526" s="8"/>
      <c r="L526" s="8"/>
      <c r="M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</row>
    <row r="527" spans="1:38" x14ac:dyDescent="0.35">
      <c r="A527" s="8"/>
      <c r="B527" s="8"/>
      <c r="C527" s="8"/>
      <c r="D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</row>
    <row r="528" spans="1:38" x14ac:dyDescent="0.35">
      <c r="A528" s="8"/>
      <c r="B528" s="8"/>
      <c r="C528" s="8"/>
      <c r="D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</row>
    <row r="529" spans="1:38" x14ac:dyDescent="0.35">
      <c r="A529" s="8"/>
      <c r="B529" s="8"/>
      <c r="C529" s="8"/>
      <c r="D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</row>
    <row r="530" spans="1:38" x14ac:dyDescent="0.35">
      <c r="A530" s="8"/>
      <c r="B530" s="8"/>
      <c r="C530" s="8"/>
      <c r="D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</row>
    <row r="531" spans="1:38" x14ac:dyDescent="0.35">
      <c r="A531" s="8"/>
      <c r="B531" s="8"/>
      <c r="C531" s="8"/>
      <c r="D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</row>
    <row r="532" spans="1:38" x14ac:dyDescent="0.35">
      <c r="A532" s="8"/>
      <c r="B532" s="8"/>
      <c r="C532" s="8"/>
      <c r="D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</row>
    <row r="533" spans="1:38" x14ac:dyDescent="0.35">
      <c r="A533" s="8"/>
      <c r="B533" s="8"/>
      <c r="C533" s="8"/>
      <c r="D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</row>
    <row r="534" spans="1:38" x14ac:dyDescent="0.35">
      <c r="A534" s="8"/>
      <c r="B534" s="8"/>
      <c r="C534" s="8"/>
      <c r="D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</row>
    <row r="535" spans="1:38" x14ac:dyDescent="0.35">
      <c r="A535" s="8"/>
      <c r="B535" s="8"/>
      <c r="C535" s="8"/>
      <c r="D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</row>
    <row r="536" spans="1:38" x14ac:dyDescent="0.35">
      <c r="A536" s="8"/>
      <c r="B536" s="8"/>
      <c r="C536" s="8"/>
      <c r="D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</row>
    <row r="537" spans="1:38" x14ac:dyDescent="0.35">
      <c r="A537" s="8"/>
      <c r="B537" s="8"/>
      <c r="C537" s="8"/>
      <c r="D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</row>
    <row r="538" spans="1:38" x14ac:dyDescent="0.35">
      <c r="A538" s="8"/>
      <c r="B538" s="8"/>
      <c r="C538" s="8"/>
      <c r="D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</row>
    <row r="539" spans="1:38" x14ac:dyDescent="0.35">
      <c r="A539" s="8"/>
      <c r="B539" s="8"/>
      <c r="C539" s="8"/>
      <c r="D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</row>
    <row r="540" spans="1:38" x14ac:dyDescent="0.35">
      <c r="A540" s="8"/>
      <c r="B540" s="8"/>
      <c r="C540" s="8"/>
      <c r="D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</row>
    <row r="541" spans="1:38" x14ac:dyDescent="0.35">
      <c r="A541" s="8"/>
      <c r="B541" s="8"/>
      <c r="C541" s="8"/>
      <c r="D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</row>
    <row r="542" spans="1:38" x14ac:dyDescent="0.35">
      <c r="A542" s="8"/>
      <c r="B542" s="8"/>
      <c r="C542" s="8"/>
      <c r="D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</row>
    <row r="543" spans="1:38" x14ac:dyDescent="0.35">
      <c r="A543" s="8"/>
      <c r="B543" s="8"/>
      <c r="C543" s="8"/>
      <c r="D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</row>
    <row r="544" spans="1:38" x14ac:dyDescent="0.35">
      <c r="A544" s="8"/>
      <c r="B544" s="8"/>
      <c r="C544" s="8"/>
      <c r="D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</row>
    <row r="545" spans="1:38" x14ac:dyDescent="0.35">
      <c r="A545" s="8"/>
      <c r="B545" s="8"/>
      <c r="C545" s="8"/>
      <c r="D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</row>
    <row r="546" spans="1:38" x14ac:dyDescent="0.35">
      <c r="A546" s="8"/>
      <c r="B546" s="8"/>
      <c r="C546" s="8"/>
      <c r="D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</row>
    <row r="547" spans="1:38" x14ac:dyDescent="0.35">
      <c r="A547" s="8"/>
      <c r="B547" s="8"/>
      <c r="C547" s="8"/>
      <c r="D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</row>
    <row r="548" spans="1:38" x14ac:dyDescent="0.35">
      <c r="A548" s="8"/>
      <c r="B548" s="8"/>
      <c r="C548" s="8"/>
      <c r="D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</row>
    <row r="549" spans="1:38" x14ac:dyDescent="0.35">
      <c r="A549" s="8"/>
      <c r="B549" s="8"/>
      <c r="C549" s="8"/>
      <c r="D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</row>
    <row r="550" spans="1:38" x14ac:dyDescent="0.35">
      <c r="A550" s="8"/>
      <c r="B550" s="8"/>
      <c r="C550" s="8"/>
      <c r="D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</row>
    <row r="551" spans="1:38" x14ac:dyDescent="0.35">
      <c r="A551" s="8"/>
      <c r="B551" s="8"/>
      <c r="C551" s="8"/>
      <c r="D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</row>
    <row r="552" spans="1:38" x14ac:dyDescent="0.35">
      <c r="A552" s="8"/>
      <c r="B552" s="8"/>
      <c r="C552" s="8"/>
      <c r="D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</row>
    <row r="553" spans="1:38" x14ac:dyDescent="0.35">
      <c r="A553" s="8"/>
      <c r="B553" s="8"/>
      <c r="C553" s="8"/>
      <c r="D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</row>
    <row r="554" spans="1:38" x14ac:dyDescent="0.35">
      <c r="A554" s="8"/>
      <c r="B554" s="8"/>
      <c r="C554" s="8"/>
      <c r="D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</row>
    <row r="555" spans="1:38" x14ac:dyDescent="0.35">
      <c r="A555" s="8"/>
      <c r="B555" s="8"/>
      <c r="C555" s="8"/>
      <c r="D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</row>
    <row r="556" spans="1:38" x14ac:dyDescent="0.35">
      <c r="A556" s="8"/>
      <c r="B556" s="8"/>
      <c r="C556" s="8"/>
      <c r="D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</row>
    <row r="557" spans="1:38" x14ac:dyDescent="0.35">
      <c r="A557" s="8"/>
      <c r="B557" s="8"/>
      <c r="C557" s="8"/>
      <c r="D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</row>
    <row r="558" spans="1:38" x14ac:dyDescent="0.35">
      <c r="A558" s="8"/>
      <c r="B558" s="8"/>
      <c r="C558" s="8"/>
      <c r="D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</row>
    <row r="559" spans="1:38" x14ac:dyDescent="0.35">
      <c r="A559" s="8"/>
      <c r="B559" s="8"/>
      <c r="C559" s="8"/>
      <c r="D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</row>
    <row r="560" spans="1:38" x14ac:dyDescent="0.35">
      <c r="A560" s="8"/>
      <c r="B560" s="8"/>
      <c r="C560" s="8"/>
      <c r="D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</row>
    <row r="561" spans="1:38" x14ac:dyDescent="0.35">
      <c r="A561" s="8"/>
      <c r="B561" s="8"/>
      <c r="C561" s="8"/>
      <c r="D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</row>
    <row r="562" spans="1:38" x14ac:dyDescent="0.35">
      <c r="A562" s="8"/>
      <c r="B562" s="8"/>
      <c r="C562" s="8"/>
      <c r="D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</row>
    <row r="563" spans="1:38" x14ac:dyDescent="0.35">
      <c r="A563" s="8"/>
      <c r="B563" s="8"/>
      <c r="C563" s="8"/>
      <c r="D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</row>
    <row r="564" spans="1:38" x14ac:dyDescent="0.35">
      <c r="A564" s="8"/>
      <c r="B564" s="8"/>
      <c r="C564" s="8"/>
      <c r="D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</row>
    <row r="565" spans="1:38" x14ac:dyDescent="0.35">
      <c r="A565" s="8"/>
      <c r="B565" s="8"/>
      <c r="C565" s="8"/>
      <c r="D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</row>
    <row r="566" spans="1:38" x14ac:dyDescent="0.35">
      <c r="A566" s="8"/>
      <c r="B566" s="8"/>
      <c r="C566" s="8"/>
      <c r="D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</row>
    <row r="567" spans="1:38" x14ac:dyDescent="0.35">
      <c r="A567" s="8"/>
      <c r="B567" s="8"/>
      <c r="C567" s="8"/>
      <c r="D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</row>
    <row r="568" spans="1:38" x14ac:dyDescent="0.35">
      <c r="A568" s="8"/>
      <c r="B568" s="8"/>
      <c r="C568" s="8"/>
      <c r="D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</row>
    <row r="569" spans="1:38" x14ac:dyDescent="0.35">
      <c r="A569" s="8"/>
      <c r="B569" s="8"/>
      <c r="C569" s="8"/>
      <c r="D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</row>
    <row r="570" spans="1:38" x14ac:dyDescent="0.35">
      <c r="A570" s="8"/>
      <c r="B570" s="8"/>
      <c r="C570" s="8"/>
      <c r="D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</row>
    <row r="571" spans="1:38" x14ac:dyDescent="0.35">
      <c r="A571" s="8"/>
      <c r="B571" s="8"/>
      <c r="C571" s="8"/>
      <c r="D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</row>
    <row r="572" spans="1:38" x14ac:dyDescent="0.35">
      <c r="A572" s="8"/>
      <c r="B572" s="8"/>
      <c r="C572" s="8"/>
      <c r="D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</row>
    <row r="573" spans="1:38" x14ac:dyDescent="0.35">
      <c r="A573" s="8"/>
      <c r="B573" s="8"/>
      <c r="C573" s="8"/>
      <c r="D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</row>
    <row r="574" spans="1:38" x14ac:dyDescent="0.35">
      <c r="A574" s="8"/>
      <c r="B574" s="8"/>
      <c r="C574" s="8"/>
      <c r="D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</row>
    <row r="575" spans="1:38" x14ac:dyDescent="0.35">
      <c r="A575" s="8"/>
      <c r="B575" s="8"/>
      <c r="C575" s="8"/>
      <c r="D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</row>
    <row r="576" spans="1:38" x14ac:dyDescent="0.35">
      <c r="A576" s="8"/>
      <c r="B576" s="8"/>
      <c r="C576" s="8"/>
      <c r="D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</row>
    <row r="577" spans="1:38" x14ac:dyDescent="0.35">
      <c r="A577" s="8"/>
      <c r="B577" s="8"/>
      <c r="C577" s="8"/>
      <c r="D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</row>
    <row r="578" spans="1:38" x14ac:dyDescent="0.35">
      <c r="A578" s="8"/>
      <c r="B578" s="8"/>
      <c r="C578" s="8"/>
      <c r="D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</row>
    <row r="579" spans="1:38" x14ac:dyDescent="0.35">
      <c r="A579" s="8"/>
      <c r="B579" s="8"/>
      <c r="C579" s="8"/>
      <c r="D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</row>
    <row r="580" spans="1:38" x14ac:dyDescent="0.35">
      <c r="A580" s="8"/>
      <c r="B580" s="8"/>
      <c r="C580" s="8"/>
      <c r="D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</row>
    <row r="581" spans="1:38" x14ac:dyDescent="0.35">
      <c r="A581" s="8"/>
      <c r="B581" s="8"/>
      <c r="C581" s="8"/>
      <c r="D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</row>
    <row r="582" spans="1:38" x14ac:dyDescent="0.35">
      <c r="A582" s="8"/>
      <c r="B582" s="8"/>
      <c r="C582" s="8"/>
      <c r="D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</row>
    <row r="583" spans="1:38" x14ac:dyDescent="0.35">
      <c r="A583" s="8"/>
      <c r="B583" s="8"/>
      <c r="C583" s="8"/>
      <c r="D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</row>
    <row r="584" spans="1:38" x14ac:dyDescent="0.35">
      <c r="A584" s="8"/>
      <c r="B584" s="8"/>
      <c r="C584" s="8"/>
      <c r="D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</row>
    <row r="585" spans="1:38" x14ac:dyDescent="0.35">
      <c r="A585" s="8"/>
      <c r="B585" s="8"/>
      <c r="C585" s="8"/>
      <c r="D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</row>
    <row r="586" spans="1:38" x14ac:dyDescent="0.35">
      <c r="A586" s="8"/>
      <c r="B586" s="8"/>
      <c r="C586" s="8"/>
      <c r="D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</row>
    <row r="587" spans="1:38" x14ac:dyDescent="0.35">
      <c r="A587" s="8"/>
      <c r="B587" s="8"/>
      <c r="C587" s="8"/>
      <c r="D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</row>
    <row r="588" spans="1:38" x14ac:dyDescent="0.35">
      <c r="A588" s="8"/>
      <c r="B588" s="8"/>
      <c r="C588" s="8"/>
      <c r="D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</row>
    <row r="589" spans="1:38" x14ac:dyDescent="0.35">
      <c r="A589" s="8"/>
      <c r="B589" s="8"/>
      <c r="C589" s="8"/>
      <c r="D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</row>
    <row r="590" spans="1:38" x14ac:dyDescent="0.35">
      <c r="A590" s="8"/>
      <c r="B590" s="8"/>
      <c r="C590" s="8"/>
      <c r="D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</row>
    <row r="591" spans="1:38" x14ac:dyDescent="0.35">
      <c r="A591" s="8"/>
      <c r="B591" s="8"/>
      <c r="C591" s="8"/>
      <c r="D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</row>
    <row r="592" spans="1:38" x14ac:dyDescent="0.35">
      <c r="A592" s="8"/>
      <c r="B592" s="8"/>
      <c r="C592" s="8"/>
      <c r="D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</row>
    <row r="593" spans="1:38" x14ac:dyDescent="0.35">
      <c r="A593" s="8"/>
      <c r="B593" s="8"/>
      <c r="C593" s="8"/>
      <c r="D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</row>
    <row r="594" spans="1:38" x14ac:dyDescent="0.35">
      <c r="A594" s="8"/>
      <c r="B594" s="8"/>
      <c r="C594" s="8"/>
      <c r="D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</row>
    <row r="595" spans="1:38" x14ac:dyDescent="0.35">
      <c r="A595" s="8"/>
      <c r="B595" s="8"/>
      <c r="C595" s="8"/>
      <c r="D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</row>
    <row r="596" spans="1:38" x14ac:dyDescent="0.35">
      <c r="A596" s="8"/>
      <c r="B596" s="8"/>
      <c r="C596" s="8"/>
      <c r="D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</row>
    <row r="597" spans="1:38" x14ac:dyDescent="0.35">
      <c r="A597" s="8"/>
      <c r="B597" s="8"/>
      <c r="C597" s="8"/>
      <c r="D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</row>
    <row r="598" spans="1:38" x14ac:dyDescent="0.35">
      <c r="A598" s="8"/>
      <c r="B598" s="8"/>
      <c r="C598" s="8"/>
      <c r="D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</row>
    <row r="599" spans="1:38" x14ac:dyDescent="0.35">
      <c r="A599" s="8"/>
      <c r="B599" s="8"/>
      <c r="C599" s="8"/>
      <c r="D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</row>
    <row r="600" spans="1:38" x14ac:dyDescent="0.35">
      <c r="A600" s="8"/>
      <c r="B600" s="8"/>
      <c r="C600" s="8"/>
      <c r="D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</row>
    <row r="601" spans="1:38" x14ac:dyDescent="0.35">
      <c r="A601" s="8"/>
      <c r="B601" s="8"/>
      <c r="C601" s="8"/>
      <c r="D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</row>
    <row r="602" spans="1:38" x14ac:dyDescent="0.35">
      <c r="A602" s="8"/>
      <c r="B602" s="8"/>
      <c r="C602" s="8"/>
      <c r="D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</row>
    <row r="603" spans="1:38" x14ac:dyDescent="0.35">
      <c r="A603" s="8"/>
      <c r="B603" s="8"/>
      <c r="C603" s="8"/>
      <c r="D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</row>
    <row r="604" spans="1:38" x14ac:dyDescent="0.35">
      <c r="A604" s="8"/>
      <c r="B604" s="8"/>
      <c r="C604" s="8"/>
      <c r="D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</row>
    <row r="605" spans="1:38" x14ac:dyDescent="0.35">
      <c r="A605" s="8"/>
      <c r="B605" s="8"/>
      <c r="C605" s="8"/>
      <c r="D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</row>
    <row r="606" spans="1:38" x14ac:dyDescent="0.35">
      <c r="A606" s="8"/>
      <c r="B606" s="8"/>
      <c r="C606" s="8"/>
      <c r="D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</row>
    <row r="607" spans="1:38" x14ac:dyDescent="0.35">
      <c r="A607" s="8"/>
      <c r="B607" s="8"/>
      <c r="C607" s="8"/>
      <c r="D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</row>
    <row r="608" spans="1:38" x14ac:dyDescent="0.35">
      <c r="A608" s="8"/>
      <c r="B608" s="8"/>
      <c r="C608" s="8"/>
      <c r="D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</row>
    <row r="609" spans="1:38" x14ac:dyDescent="0.35">
      <c r="A609" s="8"/>
      <c r="B609" s="8"/>
      <c r="C609" s="8"/>
      <c r="D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</row>
    <row r="610" spans="1:38" x14ac:dyDescent="0.35">
      <c r="A610" s="8"/>
      <c r="B610" s="8"/>
      <c r="C610" s="8"/>
      <c r="D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</row>
    <row r="611" spans="1:38" x14ac:dyDescent="0.35">
      <c r="A611" s="8"/>
      <c r="B611" s="8"/>
      <c r="C611" s="8"/>
      <c r="D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</row>
    <row r="612" spans="1:38" x14ac:dyDescent="0.35">
      <c r="A612" s="8"/>
      <c r="B612" s="8"/>
      <c r="C612" s="8"/>
      <c r="D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</row>
    <row r="613" spans="1:38" x14ac:dyDescent="0.35">
      <c r="A613" s="8"/>
      <c r="B613" s="8"/>
      <c r="C613" s="8"/>
      <c r="D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</row>
    <row r="614" spans="1:38" x14ac:dyDescent="0.35">
      <c r="A614" s="8"/>
      <c r="B614" s="8"/>
      <c r="C614" s="8"/>
      <c r="D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</row>
    <row r="615" spans="1:38" x14ac:dyDescent="0.35">
      <c r="A615" s="8"/>
      <c r="B615" s="8"/>
      <c r="C615" s="8"/>
      <c r="D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</row>
    <row r="616" spans="1:38" x14ac:dyDescent="0.35">
      <c r="A616" s="8"/>
      <c r="B616" s="8"/>
      <c r="C616" s="8"/>
      <c r="D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</row>
    <row r="617" spans="1:38" x14ac:dyDescent="0.35">
      <c r="A617" s="8"/>
      <c r="B617" s="8"/>
      <c r="C617" s="8"/>
      <c r="D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</row>
    <row r="618" spans="1:38" x14ac:dyDescent="0.35">
      <c r="A618" s="8"/>
      <c r="B618" s="8"/>
      <c r="C618" s="8"/>
      <c r="D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</row>
    <row r="619" spans="1:38" x14ac:dyDescent="0.35">
      <c r="A619" s="8"/>
      <c r="B619" s="8"/>
      <c r="C619" s="8"/>
      <c r="D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</row>
    <row r="620" spans="1:38" x14ac:dyDescent="0.35">
      <c r="A620" s="8"/>
      <c r="B620" s="8"/>
      <c r="C620" s="8"/>
      <c r="D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</row>
    <row r="621" spans="1:38" x14ac:dyDescent="0.35">
      <c r="A621" s="8"/>
      <c r="B621" s="8"/>
      <c r="C621" s="8"/>
      <c r="D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</row>
    <row r="622" spans="1:38" x14ac:dyDescent="0.35">
      <c r="A622" s="8"/>
      <c r="B622" s="8"/>
      <c r="C622" s="8"/>
      <c r="D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</row>
    <row r="623" spans="1:38" x14ac:dyDescent="0.35">
      <c r="A623" s="8"/>
      <c r="B623" s="8"/>
      <c r="C623" s="8"/>
      <c r="D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</row>
    <row r="624" spans="1:38" x14ac:dyDescent="0.35">
      <c r="A624" s="8"/>
      <c r="B624" s="8"/>
      <c r="C624" s="8"/>
      <c r="D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</row>
    <row r="625" spans="1:38" x14ac:dyDescent="0.35">
      <c r="A625" s="8"/>
      <c r="B625" s="8"/>
      <c r="C625" s="8"/>
      <c r="D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</row>
    <row r="626" spans="1:38" x14ac:dyDescent="0.35">
      <c r="A626" s="8"/>
      <c r="B626" s="8"/>
      <c r="C626" s="8"/>
      <c r="D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</row>
    <row r="627" spans="1:38" x14ac:dyDescent="0.35">
      <c r="A627" s="8"/>
      <c r="B627" s="8"/>
      <c r="C627" s="8"/>
      <c r="D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</row>
    <row r="628" spans="1:38" x14ac:dyDescent="0.35">
      <c r="A628" s="8"/>
      <c r="B628" s="8"/>
      <c r="C628" s="8"/>
      <c r="D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</row>
    <row r="629" spans="1:38" x14ac:dyDescent="0.35">
      <c r="A629" s="8"/>
      <c r="B629" s="8"/>
      <c r="C629" s="8"/>
      <c r="D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</row>
    <row r="630" spans="1:38" x14ac:dyDescent="0.35">
      <c r="A630" s="8"/>
      <c r="B630" s="8"/>
      <c r="C630" s="8"/>
      <c r="D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</row>
    <row r="631" spans="1:38" x14ac:dyDescent="0.35">
      <c r="A631" s="8"/>
      <c r="B631" s="8"/>
      <c r="C631" s="8"/>
      <c r="D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</row>
    <row r="632" spans="1:38" x14ac:dyDescent="0.35">
      <c r="A632" s="8"/>
      <c r="B632" s="8"/>
      <c r="C632" s="8"/>
      <c r="D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</row>
    <row r="633" spans="1:38" x14ac:dyDescent="0.35">
      <c r="A633" s="8"/>
      <c r="B633" s="8"/>
      <c r="C633" s="8"/>
      <c r="D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</row>
    <row r="634" spans="1:38" x14ac:dyDescent="0.35">
      <c r="A634" s="8"/>
      <c r="B634" s="8"/>
      <c r="C634" s="8"/>
      <c r="D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</row>
    <row r="635" spans="1:38" x14ac:dyDescent="0.35">
      <c r="A635" s="8"/>
      <c r="B635" s="8"/>
      <c r="C635" s="8"/>
      <c r="D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</row>
    <row r="636" spans="1:38" x14ac:dyDescent="0.35">
      <c r="A636" s="8"/>
      <c r="B636" s="8"/>
      <c r="C636" s="8"/>
      <c r="D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</row>
    <row r="637" spans="1:38" x14ac:dyDescent="0.35">
      <c r="A637" s="8"/>
      <c r="B637" s="8"/>
      <c r="C637" s="8"/>
      <c r="D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</row>
    <row r="638" spans="1:38" x14ac:dyDescent="0.35">
      <c r="A638" s="8"/>
      <c r="B638" s="8"/>
      <c r="C638" s="8"/>
      <c r="D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</row>
    <row r="639" spans="1:38" x14ac:dyDescent="0.35">
      <c r="A639" s="8"/>
      <c r="B639" s="8"/>
      <c r="C639" s="8"/>
      <c r="D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</row>
    <row r="640" spans="1:38" x14ac:dyDescent="0.35">
      <c r="A640" s="8"/>
      <c r="B640" s="8"/>
      <c r="C640" s="8"/>
      <c r="D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</row>
    <row r="641" spans="1:38" x14ac:dyDescent="0.35">
      <c r="A641" s="8"/>
      <c r="B641" s="8"/>
      <c r="C641" s="8"/>
      <c r="D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</row>
    <row r="642" spans="1:38" x14ac:dyDescent="0.35">
      <c r="A642" s="8"/>
      <c r="B642" s="8"/>
      <c r="C642" s="8"/>
      <c r="D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</row>
    <row r="643" spans="1:38" x14ac:dyDescent="0.35">
      <c r="A643" s="8"/>
      <c r="B643" s="8"/>
      <c r="C643" s="8"/>
      <c r="D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</row>
    <row r="644" spans="1:38" x14ac:dyDescent="0.35">
      <c r="A644" s="8"/>
      <c r="B644" s="8"/>
      <c r="C644" s="8"/>
      <c r="D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</row>
    <row r="645" spans="1:38" x14ac:dyDescent="0.35">
      <c r="A645" s="8"/>
      <c r="B645" s="8"/>
      <c r="C645" s="8"/>
      <c r="D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</row>
    <row r="646" spans="1:38" x14ac:dyDescent="0.35">
      <c r="A646" s="8"/>
      <c r="B646" s="8"/>
      <c r="C646" s="8"/>
      <c r="D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</row>
    <row r="647" spans="1:38" x14ac:dyDescent="0.35">
      <c r="A647" s="8"/>
      <c r="B647" s="8"/>
      <c r="C647" s="8"/>
      <c r="D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</row>
    <row r="648" spans="1:38" x14ac:dyDescent="0.35">
      <c r="A648" s="8"/>
      <c r="B648" s="8"/>
      <c r="C648" s="8"/>
      <c r="D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</row>
    <row r="649" spans="1:38" x14ac:dyDescent="0.35">
      <c r="A649" s="8"/>
      <c r="B649" s="8"/>
      <c r="C649" s="8"/>
      <c r="D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</row>
    <row r="650" spans="1:38" x14ac:dyDescent="0.35">
      <c r="A650" s="8"/>
      <c r="B650" s="8"/>
      <c r="C650" s="8"/>
      <c r="D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</row>
    <row r="651" spans="1:38" x14ac:dyDescent="0.35">
      <c r="A651" s="8"/>
      <c r="B651" s="8"/>
      <c r="C651" s="8"/>
      <c r="D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</row>
    <row r="652" spans="1:38" x14ac:dyDescent="0.35">
      <c r="A652" s="8"/>
      <c r="B652" s="8"/>
      <c r="C652" s="8"/>
      <c r="D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</row>
    <row r="653" spans="1:38" x14ac:dyDescent="0.35">
      <c r="A653" s="8"/>
      <c r="B653" s="8"/>
      <c r="C653" s="8"/>
      <c r="D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</row>
    <row r="654" spans="1:38" x14ac:dyDescent="0.35">
      <c r="A654" s="8"/>
      <c r="B654" s="8"/>
      <c r="C654" s="8"/>
      <c r="D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</row>
    <row r="655" spans="1:38" x14ac:dyDescent="0.35">
      <c r="A655" s="8"/>
      <c r="B655" s="8"/>
      <c r="C655" s="8"/>
      <c r="D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</row>
    <row r="656" spans="1:38" x14ac:dyDescent="0.35">
      <c r="A656" s="8"/>
      <c r="B656" s="8"/>
      <c r="C656" s="8"/>
      <c r="D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</row>
    <row r="657" spans="1:38" x14ac:dyDescent="0.35">
      <c r="A657" s="8"/>
      <c r="B657" s="8"/>
      <c r="C657" s="8"/>
      <c r="D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</row>
    <row r="658" spans="1:38" x14ac:dyDescent="0.35">
      <c r="A658" s="8"/>
      <c r="B658" s="8"/>
      <c r="C658" s="8"/>
      <c r="D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</row>
    <row r="659" spans="1:38" x14ac:dyDescent="0.35">
      <c r="A659" s="8"/>
      <c r="B659" s="8"/>
      <c r="C659" s="8"/>
      <c r="D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</row>
    <row r="660" spans="1:38" x14ac:dyDescent="0.35">
      <c r="A660" s="8"/>
      <c r="B660" s="8"/>
      <c r="C660" s="8"/>
      <c r="D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</row>
    <row r="661" spans="1:38" x14ac:dyDescent="0.35">
      <c r="A661" s="8"/>
      <c r="B661" s="8"/>
      <c r="C661" s="8"/>
      <c r="D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</row>
    <row r="662" spans="1:38" x14ac:dyDescent="0.35">
      <c r="A662" s="8"/>
      <c r="B662" s="8"/>
      <c r="C662" s="8"/>
      <c r="D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</row>
    <row r="663" spans="1:38" x14ac:dyDescent="0.35">
      <c r="A663" s="8"/>
      <c r="B663" s="8"/>
      <c r="C663" s="8"/>
      <c r="D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</row>
    <row r="664" spans="1:38" x14ac:dyDescent="0.35">
      <c r="A664" s="8"/>
      <c r="B664" s="8"/>
      <c r="C664" s="8"/>
      <c r="D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</row>
    <row r="665" spans="1:38" x14ac:dyDescent="0.35">
      <c r="A665" s="8"/>
      <c r="B665" s="8"/>
      <c r="C665" s="8"/>
      <c r="D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</row>
    <row r="666" spans="1:38" x14ac:dyDescent="0.35">
      <c r="A666" s="8"/>
      <c r="B666" s="8"/>
      <c r="C666" s="8"/>
      <c r="D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</row>
    <row r="667" spans="1:38" x14ac:dyDescent="0.35">
      <c r="A667" s="8"/>
      <c r="B667" s="8"/>
      <c r="C667" s="8"/>
      <c r="D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</row>
    <row r="668" spans="1:38" x14ac:dyDescent="0.35">
      <c r="A668" s="8"/>
      <c r="B668" s="8"/>
      <c r="C668" s="8"/>
      <c r="D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</row>
    <row r="669" spans="1:38" x14ac:dyDescent="0.35">
      <c r="A669" s="8"/>
      <c r="B669" s="8"/>
      <c r="C669" s="8"/>
      <c r="D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</row>
    <row r="670" spans="1:38" x14ac:dyDescent="0.35">
      <c r="A670" s="8"/>
      <c r="B670" s="8"/>
      <c r="C670" s="8"/>
      <c r="D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</row>
    <row r="671" spans="1:38" x14ac:dyDescent="0.35">
      <c r="A671" s="8"/>
      <c r="B671" s="8"/>
      <c r="C671" s="8"/>
      <c r="D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</row>
    <row r="672" spans="1:38" x14ac:dyDescent="0.35">
      <c r="A672" s="8"/>
      <c r="B672" s="8"/>
      <c r="C672" s="8"/>
      <c r="D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</row>
    <row r="673" spans="1:38" x14ac:dyDescent="0.35">
      <c r="A673" s="8"/>
      <c r="B673" s="8"/>
      <c r="C673" s="8"/>
      <c r="D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</row>
    <row r="674" spans="1:38" x14ac:dyDescent="0.35">
      <c r="A674" s="8"/>
      <c r="B674" s="8"/>
      <c r="C674" s="8"/>
      <c r="D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</row>
    <row r="675" spans="1:38" x14ac:dyDescent="0.35">
      <c r="A675" s="8"/>
      <c r="B675" s="8"/>
      <c r="C675" s="8"/>
      <c r="D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</row>
    <row r="676" spans="1:38" x14ac:dyDescent="0.35">
      <c r="A676" s="8"/>
      <c r="B676" s="8"/>
      <c r="C676" s="8"/>
      <c r="D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</row>
    <row r="677" spans="1:38" x14ac:dyDescent="0.35">
      <c r="A677" s="8"/>
      <c r="B677" s="8"/>
      <c r="C677" s="8"/>
      <c r="D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</row>
    <row r="678" spans="1:38" x14ac:dyDescent="0.35">
      <c r="A678" s="8"/>
      <c r="B678" s="8"/>
      <c r="C678" s="8"/>
      <c r="D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</row>
    <row r="679" spans="1:38" x14ac:dyDescent="0.35">
      <c r="A679" s="8"/>
      <c r="B679" s="8"/>
      <c r="C679" s="8"/>
      <c r="D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</row>
    <row r="680" spans="1:38" x14ac:dyDescent="0.35">
      <c r="A680" s="8"/>
      <c r="B680" s="8"/>
      <c r="C680" s="8"/>
      <c r="D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</row>
    <row r="681" spans="1:38" x14ac:dyDescent="0.35">
      <c r="A681" s="8"/>
      <c r="B681" s="8"/>
      <c r="C681" s="8"/>
      <c r="D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</row>
    <row r="682" spans="1:38" x14ac:dyDescent="0.35">
      <c r="A682" s="8"/>
      <c r="B682" s="8"/>
      <c r="C682" s="8"/>
      <c r="D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</row>
    <row r="683" spans="1:38" x14ac:dyDescent="0.35">
      <c r="A683" s="8"/>
      <c r="B683" s="8"/>
      <c r="C683" s="8"/>
      <c r="D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</row>
    <row r="684" spans="1:38" x14ac:dyDescent="0.35">
      <c r="A684" s="8"/>
      <c r="B684" s="8"/>
      <c r="C684" s="8"/>
      <c r="D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</row>
    <row r="685" spans="1:38" x14ac:dyDescent="0.35">
      <c r="A685" s="8"/>
      <c r="B685" s="8"/>
      <c r="C685" s="8"/>
      <c r="D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</row>
    <row r="686" spans="1:38" x14ac:dyDescent="0.35">
      <c r="A686" s="8"/>
      <c r="B686" s="8"/>
      <c r="C686" s="8"/>
      <c r="D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</row>
    <row r="687" spans="1:38" x14ac:dyDescent="0.35">
      <c r="A687" s="8"/>
      <c r="B687" s="8"/>
      <c r="C687" s="8"/>
      <c r="D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</row>
    <row r="688" spans="1:38" x14ac:dyDescent="0.35">
      <c r="A688" s="8"/>
      <c r="B688" s="8"/>
      <c r="C688" s="8"/>
      <c r="D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</row>
    <row r="689" spans="1:38" x14ac:dyDescent="0.35">
      <c r="A689" s="8"/>
      <c r="B689" s="8"/>
      <c r="C689" s="8"/>
      <c r="D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</row>
    <row r="690" spans="1:38" x14ac:dyDescent="0.35">
      <c r="A690" s="8"/>
      <c r="B690" s="8"/>
      <c r="C690" s="8"/>
      <c r="D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</row>
    <row r="691" spans="1:38" x14ac:dyDescent="0.35">
      <c r="A691" s="8"/>
      <c r="B691" s="8"/>
      <c r="C691" s="8"/>
      <c r="D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</row>
    <row r="692" spans="1:38" x14ac:dyDescent="0.35">
      <c r="A692" s="8"/>
      <c r="B692" s="8"/>
      <c r="C692" s="8"/>
      <c r="D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</row>
    <row r="693" spans="1:38" x14ac:dyDescent="0.35">
      <c r="A693" s="8"/>
      <c r="B693" s="8"/>
      <c r="C693" s="8"/>
      <c r="D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</row>
    <row r="694" spans="1:38" x14ac:dyDescent="0.35">
      <c r="A694" s="8"/>
      <c r="B694" s="8"/>
      <c r="C694" s="8"/>
      <c r="D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</row>
    <row r="695" spans="1:38" x14ac:dyDescent="0.35">
      <c r="A695" s="8"/>
      <c r="B695" s="8"/>
      <c r="C695" s="8"/>
      <c r="D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</row>
    <row r="696" spans="1:38" x14ac:dyDescent="0.35">
      <c r="A696" s="8"/>
      <c r="B696" s="8"/>
      <c r="C696" s="8"/>
      <c r="D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</row>
    <row r="697" spans="1:38" x14ac:dyDescent="0.35">
      <c r="A697" s="8"/>
      <c r="B697" s="8"/>
      <c r="C697" s="8"/>
      <c r="D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</row>
    <row r="698" spans="1:38" x14ac:dyDescent="0.35">
      <c r="A698" s="8"/>
      <c r="B698" s="8"/>
      <c r="C698" s="8"/>
      <c r="D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</row>
    <row r="699" spans="1:38" x14ac:dyDescent="0.35">
      <c r="A699" s="8"/>
      <c r="B699" s="8"/>
      <c r="C699" s="8"/>
      <c r="D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</row>
    <row r="700" spans="1:38" x14ac:dyDescent="0.35">
      <c r="A700" s="8"/>
      <c r="B700" s="8"/>
      <c r="C700" s="8"/>
      <c r="D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</row>
    <row r="701" spans="1:38" x14ac:dyDescent="0.35">
      <c r="A701" s="8"/>
      <c r="B701" s="8"/>
      <c r="C701" s="8"/>
      <c r="D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</row>
    <row r="702" spans="1:38" x14ac:dyDescent="0.35">
      <c r="A702" s="8"/>
      <c r="B702" s="8"/>
      <c r="C702" s="8"/>
      <c r="D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</row>
    <row r="703" spans="1:38" x14ac:dyDescent="0.35">
      <c r="A703" s="8"/>
      <c r="B703" s="8"/>
      <c r="C703" s="8"/>
      <c r="D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</row>
    <row r="704" spans="1:38" x14ac:dyDescent="0.35">
      <c r="A704" s="8"/>
      <c r="B704" s="8"/>
      <c r="C704" s="8"/>
      <c r="D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</row>
    <row r="705" spans="1:38" x14ac:dyDescent="0.35">
      <c r="A705" s="8"/>
      <c r="B705" s="8"/>
      <c r="C705" s="8"/>
      <c r="D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</row>
    <row r="706" spans="1:38" x14ac:dyDescent="0.35">
      <c r="A706" s="8"/>
      <c r="B706" s="8"/>
      <c r="C706" s="8"/>
      <c r="D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</row>
    <row r="707" spans="1:38" x14ac:dyDescent="0.35">
      <c r="A707" s="8"/>
      <c r="B707" s="8"/>
      <c r="C707" s="8"/>
      <c r="D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</row>
    <row r="708" spans="1:38" x14ac:dyDescent="0.35">
      <c r="A708" s="8"/>
      <c r="B708" s="8"/>
      <c r="C708" s="8"/>
      <c r="D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</row>
    <row r="709" spans="1:38" x14ac:dyDescent="0.35">
      <c r="A709" s="8"/>
      <c r="B709" s="8"/>
      <c r="C709" s="8"/>
      <c r="D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</row>
    <row r="710" spans="1:38" x14ac:dyDescent="0.35">
      <c r="A710" s="8"/>
      <c r="B710" s="8"/>
      <c r="C710" s="8"/>
      <c r="D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</row>
    <row r="711" spans="1:38" x14ac:dyDescent="0.35">
      <c r="A711" s="8"/>
      <c r="B711" s="8"/>
      <c r="C711" s="8"/>
      <c r="D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</row>
    <row r="712" spans="1:38" x14ac:dyDescent="0.35">
      <c r="A712" s="8"/>
      <c r="B712" s="8"/>
      <c r="C712" s="8"/>
      <c r="D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</row>
    <row r="713" spans="1:38" x14ac:dyDescent="0.35">
      <c r="A713" s="8"/>
      <c r="B713" s="8"/>
      <c r="C713" s="8"/>
      <c r="D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</row>
    <row r="714" spans="1:38" x14ac:dyDescent="0.35">
      <c r="A714" s="8"/>
      <c r="B714" s="8"/>
      <c r="C714" s="8"/>
      <c r="D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</row>
    <row r="715" spans="1:38" x14ac:dyDescent="0.35">
      <c r="A715" s="8"/>
      <c r="B715" s="8"/>
      <c r="C715" s="8"/>
      <c r="D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</row>
    <row r="716" spans="1:38" x14ac:dyDescent="0.35">
      <c r="A716" s="8"/>
      <c r="B716" s="8"/>
      <c r="C716" s="8"/>
      <c r="D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</row>
    <row r="717" spans="1:38" x14ac:dyDescent="0.35">
      <c r="A717" s="8"/>
      <c r="B717" s="8"/>
      <c r="C717" s="8"/>
      <c r="D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</row>
    <row r="718" spans="1:38" x14ac:dyDescent="0.35">
      <c r="A718" s="8"/>
      <c r="B718" s="8"/>
      <c r="C718" s="8"/>
      <c r="D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</row>
    <row r="719" spans="1:38" x14ac:dyDescent="0.35">
      <c r="A719" s="8"/>
      <c r="B719" s="8"/>
      <c r="C719" s="8"/>
      <c r="D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</row>
    <row r="720" spans="1:38" x14ac:dyDescent="0.35">
      <c r="A720" s="8"/>
      <c r="B720" s="8"/>
      <c r="C720" s="8"/>
      <c r="D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</row>
    <row r="721" spans="1:38" x14ac:dyDescent="0.35">
      <c r="A721" s="8"/>
      <c r="B721" s="8"/>
      <c r="C721" s="8"/>
      <c r="D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</row>
    <row r="722" spans="1:38" x14ac:dyDescent="0.35">
      <c r="A722" s="8"/>
      <c r="B722" s="8"/>
      <c r="C722" s="8"/>
      <c r="D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</row>
    <row r="723" spans="1:38" x14ac:dyDescent="0.35">
      <c r="A723" s="8"/>
      <c r="B723" s="8"/>
      <c r="C723" s="8"/>
      <c r="D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</row>
    <row r="724" spans="1:38" x14ac:dyDescent="0.35">
      <c r="A724" s="8"/>
      <c r="B724" s="8"/>
      <c r="C724" s="8"/>
      <c r="D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</row>
    <row r="725" spans="1:38" x14ac:dyDescent="0.35">
      <c r="A725" s="8"/>
      <c r="B725" s="8"/>
      <c r="C725" s="8"/>
      <c r="D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</row>
    <row r="726" spans="1:38" x14ac:dyDescent="0.35">
      <c r="A726" s="8"/>
      <c r="B726" s="8"/>
      <c r="C726" s="8"/>
      <c r="D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</row>
    <row r="727" spans="1:38" x14ac:dyDescent="0.35">
      <c r="A727" s="8"/>
      <c r="B727" s="8"/>
      <c r="C727" s="8"/>
      <c r="D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</row>
    <row r="728" spans="1:38" x14ac:dyDescent="0.35">
      <c r="A728" s="8"/>
      <c r="B728" s="8"/>
      <c r="C728" s="8"/>
      <c r="D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</row>
    <row r="729" spans="1:38" x14ac:dyDescent="0.35">
      <c r="A729" s="8"/>
      <c r="B729" s="8"/>
      <c r="C729" s="8"/>
      <c r="D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</row>
    <row r="730" spans="1:38" x14ac:dyDescent="0.35">
      <c r="A730" s="8"/>
      <c r="B730" s="8"/>
      <c r="C730" s="8"/>
      <c r="D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</row>
    <row r="731" spans="1:38" x14ac:dyDescent="0.35">
      <c r="A731" s="8"/>
      <c r="B731" s="8"/>
      <c r="C731" s="8"/>
      <c r="D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</row>
    <row r="732" spans="1:38" x14ac:dyDescent="0.35">
      <c r="A732" s="8"/>
      <c r="B732" s="8"/>
      <c r="C732" s="8"/>
      <c r="D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</row>
    <row r="733" spans="1:38" x14ac:dyDescent="0.35">
      <c r="A733" s="8"/>
      <c r="B733" s="8"/>
      <c r="C733" s="8"/>
      <c r="D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</row>
    <row r="734" spans="1:38" x14ac:dyDescent="0.35">
      <c r="A734" s="8"/>
      <c r="B734" s="8"/>
      <c r="C734" s="8"/>
      <c r="D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</row>
    <row r="735" spans="1:38" x14ac:dyDescent="0.35">
      <c r="A735" s="8"/>
      <c r="B735" s="8"/>
      <c r="C735" s="8"/>
      <c r="D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</row>
    <row r="736" spans="1:38" x14ac:dyDescent="0.35">
      <c r="A736" s="8"/>
      <c r="B736" s="8"/>
      <c r="C736" s="8"/>
      <c r="D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</row>
    <row r="737" spans="1:38" x14ac:dyDescent="0.35">
      <c r="A737" s="8"/>
      <c r="B737" s="8"/>
      <c r="C737" s="8"/>
      <c r="D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</row>
    <row r="738" spans="1:38" x14ac:dyDescent="0.35">
      <c r="A738" s="8"/>
      <c r="B738" s="8"/>
      <c r="C738" s="8"/>
      <c r="D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</row>
    <row r="739" spans="1:38" x14ac:dyDescent="0.35">
      <c r="A739" s="8"/>
      <c r="B739" s="8"/>
      <c r="C739" s="8"/>
      <c r="D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</row>
    <row r="740" spans="1:38" x14ac:dyDescent="0.35">
      <c r="A740" s="8"/>
      <c r="B740" s="8"/>
      <c r="C740" s="8"/>
      <c r="D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</row>
    <row r="741" spans="1:38" x14ac:dyDescent="0.35">
      <c r="A741" s="8"/>
      <c r="B741" s="8"/>
      <c r="C741" s="8"/>
      <c r="D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</row>
    <row r="742" spans="1:38" x14ac:dyDescent="0.35">
      <c r="A742" s="8"/>
      <c r="B742" s="8"/>
      <c r="C742" s="8"/>
      <c r="D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</row>
    <row r="743" spans="1:38" x14ac:dyDescent="0.35">
      <c r="A743" s="8"/>
      <c r="B743" s="8"/>
      <c r="C743" s="8"/>
      <c r="D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</row>
    <row r="744" spans="1:38" x14ac:dyDescent="0.35">
      <c r="A744" s="8"/>
      <c r="B744" s="8"/>
      <c r="C744" s="8"/>
      <c r="D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</row>
    <row r="745" spans="1:38" x14ac:dyDescent="0.35">
      <c r="A745" s="8"/>
      <c r="B745" s="8"/>
      <c r="C745" s="8"/>
      <c r="D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</row>
    <row r="746" spans="1:38" x14ac:dyDescent="0.35">
      <c r="A746" s="8"/>
      <c r="B746" s="8"/>
      <c r="C746" s="8"/>
      <c r="D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</row>
    <row r="747" spans="1:38" x14ac:dyDescent="0.35">
      <c r="A747" s="8"/>
      <c r="B747" s="8"/>
      <c r="C747" s="8"/>
      <c r="D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</row>
    <row r="748" spans="1:38" x14ac:dyDescent="0.35">
      <c r="A748" s="8"/>
      <c r="B748" s="8"/>
      <c r="C748" s="8"/>
      <c r="D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</row>
    <row r="749" spans="1:38" x14ac:dyDescent="0.35">
      <c r="A749" s="8"/>
      <c r="B749" s="8"/>
      <c r="C749" s="8"/>
      <c r="D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</row>
    <row r="750" spans="1:38" x14ac:dyDescent="0.35">
      <c r="A750" s="8"/>
      <c r="B750" s="8"/>
      <c r="C750" s="8"/>
      <c r="D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</row>
    <row r="751" spans="1:38" x14ac:dyDescent="0.35">
      <c r="A751" s="8"/>
      <c r="B751" s="8"/>
      <c r="C751" s="8"/>
      <c r="D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</row>
    <row r="752" spans="1:38" x14ac:dyDescent="0.35">
      <c r="A752" s="8"/>
      <c r="B752" s="8"/>
      <c r="C752" s="8"/>
      <c r="D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</row>
    <row r="753" spans="1:38" x14ac:dyDescent="0.35">
      <c r="A753" s="8"/>
      <c r="B753" s="8"/>
      <c r="C753" s="8"/>
      <c r="D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</row>
    <row r="754" spans="1:38" x14ac:dyDescent="0.35">
      <c r="A754" s="8"/>
      <c r="B754" s="8"/>
      <c r="C754" s="8"/>
      <c r="D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</row>
    <row r="755" spans="1:38" x14ac:dyDescent="0.35">
      <c r="A755" s="8"/>
      <c r="B755" s="8"/>
      <c r="C755" s="8"/>
      <c r="D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</row>
    <row r="756" spans="1:38" x14ac:dyDescent="0.35">
      <c r="A756" s="8"/>
      <c r="B756" s="8"/>
      <c r="C756" s="8"/>
      <c r="D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</row>
    <row r="757" spans="1:38" x14ac:dyDescent="0.35">
      <c r="A757" s="8"/>
      <c r="B757" s="8"/>
      <c r="C757" s="8"/>
      <c r="D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</row>
    <row r="758" spans="1:38" x14ac:dyDescent="0.35">
      <c r="A758" s="8"/>
      <c r="B758" s="8"/>
      <c r="C758" s="8"/>
      <c r="D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</row>
    <row r="759" spans="1:38" x14ac:dyDescent="0.35">
      <c r="A759" s="8"/>
      <c r="B759" s="8"/>
      <c r="C759" s="8"/>
      <c r="D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</row>
    <row r="760" spans="1:38" x14ac:dyDescent="0.35">
      <c r="A760" s="8"/>
      <c r="B760" s="8"/>
      <c r="C760" s="8"/>
      <c r="D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</row>
    <row r="761" spans="1:38" x14ac:dyDescent="0.35">
      <c r="A761" s="8"/>
      <c r="B761" s="8"/>
      <c r="C761" s="8"/>
      <c r="D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</row>
    <row r="762" spans="1:38" x14ac:dyDescent="0.35">
      <c r="A762" s="8"/>
      <c r="B762" s="8"/>
      <c r="C762" s="8"/>
      <c r="D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</row>
    <row r="763" spans="1:38" x14ac:dyDescent="0.35">
      <c r="A763" s="8"/>
      <c r="B763" s="8"/>
      <c r="C763" s="8"/>
      <c r="D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</row>
    <row r="764" spans="1:38" x14ac:dyDescent="0.35">
      <c r="A764" s="8"/>
      <c r="B764" s="8"/>
      <c r="C764" s="8"/>
      <c r="D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</row>
    <row r="765" spans="1:38" x14ac:dyDescent="0.35">
      <c r="A765" s="8"/>
      <c r="B765" s="8"/>
      <c r="C765" s="8"/>
      <c r="D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</row>
    <row r="766" spans="1:38" x14ac:dyDescent="0.35">
      <c r="A766" s="8"/>
      <c r="B766" s="8"/>
      <c r="C766" s="8"/>
      <c r="D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</row>
    <row r="767" spans="1:38" x14ac:dyDescent="0.35">
      <c r="A767" s="8"/>
      <c r="B767" s="8"/>
      <c r="C767" s="8"/>
      <c r="D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</row>
    <row r="768" spans="1:38" x14ac:dyDescent="0.35">
      <c r="A768" s="8"/>
      <c r="B768" s="8"/>
      <c r="C768" s="8"/>
      <c r="D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</row>
    <row r="769" spans="1:38" x14ac:dyDescent="0.35">
      <c r="A769" s="8"/>
      <c r="B769" s="8"/>
      <c r="C769" s="8"/>
      <c r="D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</row>
    <row r="770" spans="1:38" x14ac:dyDescent="0.35">
      <c r="A770" s="8"/>
      <c r="B770" s="8"/>
      <c r="C770" s="8"/>
      <c r="D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</row>
    <row r="771" spans="1:38" x14ac:dyDescent="0.35">
      <c r="A771" s="8"/>
      <c r="B771" s="8"/>
      <c r="C771" s="8"/>
      <c r="D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</row>
    <row r="772" spans="1:38" x14ac:dyDescent="0.35">
      <c r="A772" s="8"/>
      <c r="B772" s="8"/>
      <c r="C772" s="8"/>
      <c r="D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</row>
    <row r="773" spans="1:38" x14ac:dyDescent="0.35">
      <c r="A773" s="8"/>
      <c r="B773" s="8"/>
      <c r="C773" s="8"/>
      <c r="D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</row>
    <row r="774" spans="1:38" x14ac:dyDescent="0.35">
      <c r="A774" s="8"/>
      <c r="B774" s="8"/>
      <c r="C774" s="8"/>
      <c r="D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</row>
    <row r="775" spans="1:38" x14ac:dyDescent="0.35">
      <c r="A775" s="8"/>
      <c r="B775" s="8"/>
      <c r="C775" s="8"/>
      <c r="D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</row>
    <row r="776" spans="1:38" x14ac:dyDescent="0.35">
      <c r="A776" s="8"/>
      <c r="B776" s="8"/>
      <c r="C776" s="8"/>
      <c r="D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</row>
    <row r="777" spans="1:38" x14ac:dyDescent="0.35">
      <c r="A777" s="8"/>
      <c r="B777" s="8"/>
      <c r="C777" s="8"/>
      <c r="D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</row>
    <row r="778" spans="1:38" x14ac:dyDescent="0.35">
      <c r="A778" s="8"/>
      <c r="B778" s="8"/>
      <c r="C778" s="8"/>
      <c r="D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</row>
    <row r="779" spans="1:38" x14ac:dyDescent="0.35">
      <c r="A779" s="8"/>
      <c r="B779" s="8"/>
      <c r="C779" s="8"/>
      <c r="D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</row>
    <row r="780" spans="1:38" x14ac:dyDescent="0.35">
      <c r="A780" s="8"/>
      <c r="B780" s="8"/>
      <c r="C780" s="8"/>
      <c r="D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</row>
    <row r="781" spans="1:38" x14ac:dyDescent="0.35">
      <c r="A781" s="8"/>
      <c r="B781" s="8"/>
      <c r="C781" s="8"/>
      <c r="D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</row>
    <row r="782" spans="1:38" x14ac:dyDescent="0.35">
      <c r="A782" s="8"/>
      <c r="B782" s="8"/>
      <c r="C782" s="8"/>
      <c r="D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</row>
    <row r="783" spans="1:38" x14ac:dyDescent="0.35">
      <c r="A783" s="8"/>
      <c r="B783" s="8"/>
      <c r="C783" s="8"/>
      <c r="D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</row>
    <row r="784" spans="1:38" x14ac:dyDescent="0.35">
      <c r="A784" s="8"/>
      <c r="B784" s="8"/>
      <c r="C784" s="8"/>
      <c r="D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</row>
    <row r="785" spans="1:38" x14ac:dyDescent="0.35">
      <c r="A785" s="8"/>
      <c r="B785" s="8"/>
      <c r="C785" s="8"/>
      <c r="D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</row>
    <row r="786" spans="1:38" x14ac:dyDescent="0.35">
      <c r="A786" s="8"/>
      <c r="B786" s="8"/>
      <c r="C786" s="8"/>
      <c r="D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</row>
    <row r="787" spans="1:38" x14ac:dyDescent="0.35">
      <c r="A787" s="8"/>
      <c r="B787" s="8"/>
      <c r="C787" s="8"/>
      <c r="D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</row>
    <row r="788" spans="1:38" x14ac:dyDescent="0.35">
      <c r="A788" s="8"/>
      <c r="B788" s="8"/>
      <c r="C788" s="8"/>
      <c r="D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</row>
    <row r="789" spans="1:38" x14ac:dyDescent="0.35">
      <c r="A789" s="8"/>
      <c r="B789" s="8"/>
      <c r="C789" s="8"/>
      <c r="D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</row>
    <row r="790" spans="1:38" x14ac:dyDescent="0.35">
      <c r="A790" s="8"/>
      <c r="B790" s="8"/>
      <c r="C790" s="8"/>
      <c r="D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</row>
    <row r="791" spans="1:38" x14ac:dyDescent="0.35">
      <c r="A791" s="8"/>
      <c r="B791" s="8"/>
      <c r="C791" s="8"/>
      <c r="D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</row>
    <row r="792" spans="1:38" x14ac:dyDescent="0.35">
      <c r="A792" s="8"/>
      <c r="B792" s="8"/>
      <c r="C792" s="8"/>
      <c r="D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</row>
    <row r="793" spans="1:38" x14ac:dyDescent="0.35">
      <c r="A793" s="8"/>
      <c r="B793" s="8"/>
      <c r="C793" s="8"/>
      <c r="D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</row>
    <row r="794" spans="1:38" x14ac:dyDescent="0.35">
      <c r="A794" s="8"/>
      <c r="B794" s="8"/>
      <c r="C794" s="8"/>
      <c r="D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</row>
    <row r="795" spans="1:38" x14ac:dyDescent="0.35">
      <c r="A795" s="8"/>
      <c r="B795" s="8"/>
      <c r="C795" s="8"/>
      <c r="D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</row>
    <row r="796" spans="1:38" x14ac:dyDescent="0.35">
      <c r="A796" s="8"/>
      <c r="B796" s="8"/>
      <c r="C796" s="8"/>
      <c r="D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</row>
    <row r="797" spans="1:38" x14ac:dyDescent="0.35">
      <c r="A797" s="8"/>
      <c r="B797" s="8"/>
      <c r="C797" s="8"/>
      <c r="D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</row>
    <row r="798" spans="1:38" x14ac:dyDescent="0.35">
      <c r="A798" s="8"/>
      <c r="B798" s="8"/>
      <c r="C798" s="8"/>
      <c r="D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</row>
    <row r="799" spans="1:38" x14ac:dyDescent="0.35">
      <c r="A799" s="8"/>
      <c r="B799" s="8"/>
      <c r="C799" s="8"/>
      <c r="D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</row>
    <row r="800" spans="1:38" x14ac:dyDescent="0.35">
      <c r="A800" s="8"/>
      <c r="B800" s="8"/>
      <c r="C800" s="8"/>
      <c r="D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</row>
    <row r="801" spans="1:38" x14ac:dyDescent="0.35">
      <c r="A801" s="8"/>
      <c r="B801" s="8"/>
      <c r="C801" s="8"/>
      <c r="D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</row>
    <row r="802" spans="1:38" x14ac:dyDescent="0.35">
      <c r="A802" s="8"/>
      <c r="B802" s="8"/>
      <c r="C802" s="8"/>
      <c r="D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</row>
    <row r="803" spans="1:38" x14ac:dyDescent="0.35">
      <c r="A803" s="8"/>
      <c r="B803" s="8"/>
      <c r="C803" s="8"/>
      <c r="D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</row>
    <row r="804" spans="1:38" x14ac:dyDescent="0.35">
      <c r="A804" s="8"/>
      <c r="B804" s="8"/>
      <c r="C804" s="8"/>
      <c r="D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</row>
    <row r="805" spans="1:38" x14ac:dyDescent="0.35">
      <c r="A805" s="8"/>
      <c r="B805" s="8"/>
      <c r="C805" s="8"/>
      <c r="D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</row>
    <row r="806" spans="1:38" x14ac:dyDescent="0.35">
      <c r="A806" s="8"/>
      <c r="B806" s="8"/>
      <c r="C806" s="8"/>
      <c r="D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</row>
    <row r="807" spans="1:38" x14ac:dyDescent="0.35">
      <c r="A807" s="8"/>
      <c r="B807" s="8"/>
      <c r="C807" s="8"/>
      <c r="D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</row>
    <row r="808" spans="1:38" x14ac:dyDescent="0.35">
      <c r="A808" s="8"/>
      <c r="B808" s="8"/>
      <c r="C808" s="8"/>
      <c r="D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</row>
    <row r="809" spans="1:38" x14ac:dyDescent="0.35">
      <c r="A809" s="8"/>
      <c r="B809" s="8"/>
      <c r="C809" s="8"/>
      <c r="D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</row>
    <row r="810" spans="1:38" x14ac:dyDescent="0.35">
      <c r="A810" s="8"/>
      <c r="B810" s="8"/>
      <c r="C810" s="8"/>
      <c r="D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</row>
    <row r="811" spans="1:38" x14ac:dyDescent="0.35">
      <c r="A811" s="8"/>
      <c r="B811" s="8"/>
      <c r="C811" s="8"/>
      <c r="D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</row>
    <row r="812" spans="1:38" x14ac:dyDescent="0.35">
      <c r="A812" s="8"/>
      <c r="B812" s="8"/>
      <c r="C812" s="8"/>
      <c r="D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</row>
    <row r="813" spans="1:38" x14ac:dyDescent="0.35">
      <c r="A813" s="8"/>
      <c r="B813" s="8"/>
      <c r="C813" s="8"/>
      <c r="D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</row>
    <row r="814" spans="1:38" x14ac:dyDescent="0.35">
      <c r="A814" s="8"/>
      <c r="B814" s="8"/>
      <c r="C814" s="8"/>
      <c r="D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</row>
    <row r="815" spans="1:38" x14ac:dyDescent="0.35">
      <c r="A815" s="8"/>
      <c r="B815" s="8"/>
      <c r="C815" s="8"/>
      <c r="D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</row>
    <row r="816" spans="1:38" x14ac:dyDescent="0.35">
      <c r="A816" s="8"/>
      <c r="B816" s="8"/>
      <c r="C816" s="8"/>
      <c r="D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</row>
    <row r="817" spans="1:38" x14ac:dyDescent="0.35">
      <c r="A817" s="8"/>
      <c r="B817" s="8"/>
      <c r="C817" s="8"/>
      <c r="D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</row>
  </sheetData>
  <sheetProtection formatCells="0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AFAA7-C2EA-4C1E-BCF6-A3B3FF475AF0}">
  <dimension ref="A1:N3739"/>
  <sheetViews>
    <sheetView zoomScale="90" zoomScaleNormal="90" workbookViewId="0"/>
  </sheetViews>
  <sheetFormatPr defaultRowHeight="14.5" x14ac:dyDescent="0.35"/>
  <cols>
    <col min="1" max="1" width="11.1796875" bestFit="1" customWidth="1"/>
    <col min="2" max="2" width="11.08984375" bestFit="1" customWidth="1"/>
    <col min="3" max="5" width="14.7265625" bestFit="1" customWidth="1"/>
    <col min="6" max="6" width="13.7265625" bestFit="1" customWidth="1"/>
    <col min="7" max="8" width="14.7265625" bestFit="1" customWidth="1"/>
    <col min="9" max="10" width="9.54296875" bestFit="1" customWidth="1"/>
    <col min="11" max="11" width="13.81640625" customWidth="1"/>
    <col min="12" max="15" width="5.54296875" bestFit="1" customWidth="1"/>
    <col min="16" max="16" width="11" bestFit="1" customWidth="1"/>
    <col min="17" max="17" width="11.6328125" bestFit="1" customWidth="1"/>
    <col min="18" max="18" width="13.6328125" bestFit="1" customWidth="1"/>
    <col min="19" max="19" width="9.54296875" bestFit="1" customWidth="1"/>
    <col min="20" max="20" width="12" bestFit="1" customWidth="1"/>
    <col min="21" max="21" width="16.6328125" bestFit="1" customWidth="1"/>
    <col min="22" max="22" width="14.453125" bestFit="1" customWidth="1"/>
    <col min="23" max="23" width="16.453125" bestFit="1" customWidth="1"/>
    <col min="24" max="24" width="15.90625" bestFit="1" customWidth="1"/>
    <col min="25" max="25" width="13.453125" bestFit="1" customWidth="1"/>
  </cols>
  <sheetData>
    <row r="1" spans="1:14" x14ac:dyDescent="0.35">
      <c r="A1" t="s">
        <v>91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5</v>
      </c>
      <c r="I1" t="s">
        <v>7</v>
      </c>
      <c r="J1" t="s">
        <v>6</v>
      </c>
      <c r="K1" t="s">
        <v>8</v>
      </c>
      <c r="L1" s="4" t="s">
        <v>9</v>
      </c>
      <c r="M1" s="4" t="s">
        <v>10</v>
      </c>
      <c r="N1" s="4" t="s">
        <v>11</v>
      </c>
    </row>
    <row r="2" spans="1:14" x14ac:dyDescent="0.35">
      <c r="A2">
        <v>1021</v>
      </c>
      <c r="B2" t="s">
        <v>75</v>
      </c>
      <c r="C2" s="1">
        <v>45179.257071759261</v>
      </c>
      <c r="D2" t="str">
        <f ca="1">VLOOKUP(qry_ProdData2_PDI_Cash_Exception_Application[[#This Row],[TYPE]],#REF!,2,FALSE)</f>
        <v>type42</v>
      </c>
      <c r="E2">
        <v>206.01</v>
      </c>
      <c r="G2" s="1">
        <f>qry_ProdData2_PDI_Cash_Exception_Application[[#This Row],[INSERT DATE]]+5</f>
        <v>45184.257071759261</v>
      </c>
      <c r="H2" t="str">
        <f>VLOOKUP(qry_ProdData2_PDI_Cash_Exception_Application[[#This Row],[MARKET No]],'Site Allocation'!$B$2:$C$37,2,FALSE)</f>
        <v>Analyst4</v>
      </c>
      <c r="I2" s="4">
        <f t="shared" ref="I2:I65" ca="1" si="0">TODAY()</f>
        <v>45203</v>
      </c>
      <c r="J2" s="42">
        <f ca="1">TODAY()-qry_ProdData2_PDI_Cash_Exception_Application[[#This Row],[INSERT DATE]]</f>
        <v>23.742928240739275</v>
      </c>
      <c r="K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">
        <f ca="1">qry_ProdData2_PDI_Cash_Exception_Application[[#This Row],[TODAY]]-qry_ProdData2_PDI_Cash_Exception_Application[[#This Row],[CHANGED ON]]</f>
        <v>18.742928240739275</v>
      </c>
      <c r="M2">
        <f ca="1">qry_ProdData2_PDI_Cash_Exception_Application[[#This Row],[TODAY]]-qry_ProdData2_PDI_Cash_Exception_Application[[#This Row],[CHANGED ON]]</f>
        <v>18.742928240739275</v>
      </c>
      <c r="N2">
        <f ca="1">qry_ProdData2_PDI_Cash_Exception_Application[[#This Row],[TODAY]]-qry_ProdData2_PDI_Cash_Exception_Application[[#This Row],[CHANGED ON]]</f>
        <v>18.742928240739275</v>
      </c>
    </row>
    <row r="3" spans="1:14" x14ac:dyDescent="0.35">
      <c r="A3">
        <v>1022</v>
      </c>
      <c r="B3" t="s">
        <v>76</v>
      </c>
      <c r="C3" s="1">
        <v>45185.257071759261</v>
      </c>
      <c r="D3" t="str">
        <f ca="1">VLOOKUP(qry_ProdData2_PDI_Cash_Exception_Application[[#This Row],[TYPE]],#REF!,2,FALSE)</f>
        <v>type40</v>
      </c>
      <c r="E3">
        <v>14.12</v>
      </c>
      <c r="F3" t="s">
        <v>52</v>
      </c>
      <c r="G3" s="1">
        <f>qry_ProdData2_PDI_Cash_Exception_Application[[#This Row],[INSERT DATE]]+5</f>
        <v>45190.257071759261</v>
      </c>
      <c r="H3" t="str">
        <f>VLOOKUP(qry_ProdData2_PDI_Cash_Exception_Application[[#This Row],[MARKET No]],'Site Allocation'!$B$2:$C$37,2,FALSE)</f>
        <v>Analyst4</v>
      </c>
      <c r="I3" s="4">
        <f t="shared" ca="1" si="0"/>
        <v>45203</v>
      </c>
      <c r="J3" s="42">
        <f ca="1">TODAY()-qry_ProdData2_PDI_Cash_Exception_Application[[#This Row],[INSERT DATE]]</f>
        <v>17.742928240739275</v>
      </c>
      <c r="K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">
        <f ca="1">qry_ProdData2_PDI_Cash_Exception_Application[[#This Row],[TODAY]]-qry_ProdData2_PDI_Cash_Exception_Application[[#This Row],[CHANGED ON]]</f>
        <v>12.742928240739275</v>
      </c>
      <c r="M3">
        <f ca="1">qry_ProdData2_PDI_Cash_Exception_Application[[#This Row],[TODAY]]-qry_ProdData2_PDI_Cash_Exception_Application[[#This Row],[CHANGED ON]]</f>
        <v>12.742928240739275</v>
      </c>
      <c r="N3">
        <f ca="1">qry_ProdData2_PDI_Cash_Exception_Application[[#This Row],[TODAY]]-qry_ProdData2_PDI_Cash_Exception_Application[[#This Row],[CHANGED ON]]</f>
        <v>12.742928240739275</v>
      </c>
    </row>
    <row r="4" spans="1:14" x14ac:dyDescent="0.35">
      <c r="A4">
        <v>1010</v>
      </c>
      <c r="B4" t="s">
        <v>64</v>
      </c>
      <c r="C4" s="1">
        <v>45185.257071759261</v>
      </c>
      <c r="D4" t="str">
        <f ca="1">VLOOKUP(qry_ProdData2_PDI_Cash_Exception_Application[[#This Row],[TYPE]],#REF!,2,FALSE)</f>
        <v>type24</v>
      </c>
      <c r="E4">
        <v>152.94</v>
      </c>
      <c r="G4" s="1">
        <f>qry_ProdData2_PDI_Cash_Exception_Application[[#This Row],[INSERT DATE]]+5</f>
        <v>45190.257071759261</v>
      </c>
      <c r="H4" t="str">
        <f>VLOOKUP(qry_ProdData2_PDI_Cash_Exception_Application[[#This Row],[MARKET No]],'Site Allocation'!$B$2:$C$37,2,FALSE)</f>
        <v>Analyst2</v>
      </c>
      <c r="I4" s="4">
        <f t="shared" ca="1" si="0"/>
        <v>45203</v>
      </c>
      <c r="J4" s="42">
        <f ca="1">TODAY()-qry_ProdData2_PDI_Cash_Exception_Application[[#This Row],[INSERT DATE]]</f>
        <v>17.742928240739275</v>
      </c>
      <c r="K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">
        <f ca="1">qry_ProdData2_PDI_Cash_Exception_Application[[#This Row],[TODAY]]-qry_ProdData2_PDI_Cash_Exception_Application[[#This Row],[CHANGED ON]]</f>
        <v>12.742928240739275</v>
      </c>
      <c r="M4">
        <f ca="1">qry_ProdData2_PDI_Cash_Exception_Application[[#This Row],[TODAY]]-qry_ProdData2_PDI_Cash_Exception_Application[[#This Row],[CHANGED ON]]</f>
        <v>12.742928240739275</v>
      </c>
      <c r="N4">
        <f ca="1">qry_ProdData2_PDI_Cash_Exception_Application[[#This Row],[TODAY]]-qry_ProdData2_PDI_Cash_Exception_Application[[#This Row],[CHANGED ON]]</f>
        <v>12.742928240739275</v>
      </c>
    </row>
    <row r="5" spans="1:14" x14ac:dyDescent="0.35">
      <c r="A5">
        <v>1012</v>
      </c>
      <c r="B5" t="s">
        <v>66</v>
      </c>
      <c r="C5" s="1">
        <v>45180.257071759261</v>
      </c>
      <c r="D5" t="str">
        <f ca="1">VLOOKUP(qry_ProdData2_PDI_Cash_Exception_Application[[#This Row],[TYPE]],#REF!,2,FALSE)</f>
        <v>type40</v>
      </c>
      <c r="E5">
        <v>-1500.16</v>
      </c>
      <c r="G5" s="1">
        <f>qry_ProdData2_PDI_Cash_Exception_Application[[#This Row],[INSERT DATE]]+5</f>
        <v>45185.257071759261</v>
      </c>
      <c r="H5" t="str">
        <f>VLOOKUP(qry_ProdData2_PDI_Cash_Exception_Application[[#This Row],[MARKET No]],'Site Allocation'!$B$2:$C$37,2,FALSE)</f>
        <v>Analyst3</v>
      </c>
      <c r="I5" s="4">
        <f t="shared" ca="1" si="0"/>
        <v>45203</v>
      </c>
      <c r="J5" s="42">
        <f ca="1">TODAY()-qry_ProdData2_PDI_Cash_Exception_Application[[#This Row],[INSERT DATE]]</f>
        <v>22.742928240739275</v>
      </c>
      <c r="K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">
        <f ca="1">qry_ProdData2_PDI_Cash_Exception_Application[[#This Row],[TODAY]]-qry_ProdData2_PDI_Cash_Exception_Application[[#This Row],[CHANGED ON]]</f>
        <v>17.742928240739275</v>
      </c>
      <c r="M5">
        <f ca="1">qry_ProdData2_PDI_Cash_Exception_Application[[#This Row],[TODAY]]-qry_ProdData2_PDI_Cash_Exception_Application[[#This Row],[CHANGED ON]]</f>
        <v>17.742928240739275</v>
      </c>
      <c r="N5">
        <f ca="1">qry_ProdData2_PDI_Cash_Exception_Application[[#This Row],[TODAY]]-qry_ProdData2_PDI_Cash_Exception_Application[[#This Row],[CHANGED ON]]</f>
        <v>17.742928240739275</v>
      </c>
    </row>
    <row r="6" spans="1:14" x14ac:dyDescent="0.35">
      <c r="A6">
        <v>1001</v>
      </c>
      <c r="B6" t="s">
        <v>55</v>
      </c>
      <c r="C6" s="1">
        <v>45187.257071759261</v>
      </c>
      <c r="D6" t="str">
        <f ca="1">VLOOKUP(qry_ProdData2_PDI_Cash_Exception_Application[[#This Row],[TYPE]],#REF!,2,FALSE)</f>
        <v>type40</v>
      </c>
      <c r="E6">
        <v>-1405.19</v>
      </c>
      <c r="G6" s="1">
        <f>qry_ProdData2_PDI_Cash_Exception_Application[[#This Row],[INSERT DATE]]+5</f>
        <v>45192.257071759261</v>
      </c>
      <c r="H6" t="str">
        <f>VLOOKUP(qry_ProdData2_PDI_Cash_Exception_Application[[#This Row],[MARKET No]],'Site Allocation'!$B$2:$C$37,2,FALSE)</f>
        <v>Analyst1</v>
      </c>
      <c r="I6" s="4">
        <f t="shared" ca="1" si="0"/>
        <v>45203</v>
      </c>
      <c r="J6" s="42">
        <f ca="1">TODAY()-qry_ProdData2_PDI_Cash_Exception_Application[[#This Row],[INSERT DATE]]</f>
        <v>15.742928240739275</v>
      </c>
      <c r="K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">
        <f ca="1">qry_ProdData2_PDI_Cash_Exception_Application[[#This Row],[TODAY]]-qry_ProdData2_PDI_Cash_Exception_Application[[#This Row],[CHANGED ON]]</f>
        <v>10.742928240739275</v>
      </c>
      <c r="M6">
        <f ca="1">qry_ProdData2_PDI_Cash_Exception_Application[[#This Row],[TODAY]]-qry_ProdData2_PDI_Cash_Exception_Application[[#This Row],[CHANGED ON]]</f>
        <v>10.742928240739275</v>
      </c>
      <c r="N6">
        <f ca="1">qry_ProdData2_PDI_Cash_Exception_Application[[#This Row],[TODAY]]-qry_ProdData2_PDI_Cash_Exception_Application[[#This Row],[CHANGED ON]]</f>
        <v>10.742928240739275</v>
      </c>
    </row>
    <row r="7" spans="1:14" x14ac:dyDescent="0.35">
      <c r="A7">
        <v>1015</v>
      </c>
      <c r="B7" t="s">
        <v>69</v>
      </c>
      <c r="C7" s="1">
        <v>45181.257071759261</v>
      </c>
      <c r="D7" t="str">
        <f ca="1">VLOOKUP(qry_ProdData2_PDI_Cash_Exception_Application[[#This Row],[TYPE]],#REF!,2,FALSE)</f>
        <v>type38</v>
      </c>
      <c r="E7">
        <v>400.84</v>
      </c>
      <c r="G7" s="1">
        <f>qry_ProdData2_PDI_Cash_Exception_Application[[#This Row],[INSERT DATE]]+5</f>
        <v>45186.257071759261</v>
      </c>
      <c r="H7" t="str">
        <f>VLOOKUP(qry_ProdData2_PDI_Cash_Exception_Application[[#This Row],[MARKET No]],'Site Allocation'!$B$2:$C$37,2,FALSE)</f>
        <v>Analyst3</v>
      </c>
      <c r="I7" s="4">
        <f t="shared" ca="1" si="0"/>
        <v>45203</v>
      </c>
      <c r="J7" s="42">
        <f ca="1">TODAY()-qry_ProdData2_PDI_Cash_Exception_Application[[#This Row],[INSERT DATE]]</f>
        <v>21.742928240739275</v>
      </c>
      <c r="K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">
        <f ca="1">qry_ProdData2_PDI_Cash_Exception_Application[[#This Row],[TODAY]]-qry_ProdData2_PDI_Cash_Exception_Application[[#This Row],[CHANGED ON]]</f>
        <v>16.742928240739275</v>
      </c>
      <c r="M7">
        <f ca="1">qry_ProdData2_PDI_Cash_Exception_Application[[#This Row],[TODAY]]-qry_ProdData2_PDI_Cash_Exception_Application[[#This Row],[CHANGED ON]]</f>
        <v>16.742928240739275</v>
      </c>
      <c r="N7">
        <f ca="1">qry_ProdData2_PDI_Cash_Exception_Application[[#This Row],[TODAY]]-qry_ProdData2_PDI_Cash_Exception_Application[[#This Row],[CHANGED ON]]</f>
        <v>16.742928240739275</v>
      </c>
    </row>
    <row r="8" spans="1:14" x14ac:dyDescent="0.35">
      <c r="A8">
        <v>1004</v>
      </c>
      <c r="B8" t="s">
        <v>58</v>
      </c>
      <c r="C8" s="1">
        <v>45188.257071759261</v>
      </c>
      <c r="D8" t="str">
        <f ca="1">VLOOKUP(qry_ProdData2_PDI_Cash_Exception_Application[[#This Row],[TYPE]],#REF!,2,FALSE)</f>
        <v>type35</v>
      </c>
      <c r="E8">
        <v>2546.89</v>
      </c>
      <c r="G8" s="1">
        <f>qry_ProdData2_PDI_Cash_Exception_Application[[#This Row],[INSERT DATE]]+5</f>
        <v>45193.257071759261</v>
      </c>
      <c r="H8" t="str">
        <f>VLOOKUP(qry_ProdData2_PDI_Cash_Exception_Application[[#This Row],[MARKET No]],'Site Allocation'!$B$2:$C$37,2,FALSE)</f>
        <v>Analyst1</v>
      </c>
      <c r="I8" s="4">
        <f t="shared" ca="1" si="0"/>
        <v>45203</v>
      </c>
      <c r="J8" s="42">
        <f ca="1">TODAY()-qry_ProdData2_PDI_Cash_Exception_Application[[#This Row],[INSERT DATE]]</f>
        <v>14.742928240739275</v>
      </c>
      <c r="K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">
        <f ca="1">qry_ProdData2_PDI_Cash_Exception_Application[[#This Row],[TODAY]]-qry_ProdData2_PDI_Cash_Exception_Application[[#This Row],[CHANGED ON]]</f>
        <v>9.7429282407392748</v>
      </c>
      <c r="M8">
        <f ca="1">qry_ProdData2_PDI_Cash_Exception_Application[[#This Row],[TODAY]]-qry_ProdData2_PDI_Cash_Exception_Application[[#This Row],[CHANGED ON]]</f>
        <v>9.7429282407392748</v>
      </c>
      <c r="N8">
        <f ca="1">qry_ProdData2_PDI_Cash_Exception_Application[[#This Row],[TODAY]]-qry_ProdData2_PDI_Cash_Exception_Application[[#This Row],[CHANGED ON]]</f>
        <v>9.7429282407392748</v>
      </c>
    </row>
    <row r="9" spans="1:14" x14ac:dyDescent="0.35">
      <c r="A9">
        <v>1034</v>
      </c>
      <c r="B9" t="s">
        <v>88</v>
      </c>
      <c r="C9" s="1">
        <v>45182.257071759261</v>
      </c>
      <c r="D9" t="str">
        <f ca="1">VLOOKUP(qry_ProdData2_PDI_Cash_Exception_Application[[#This Row],[TYPE]],#REF!,2,FALSE)</f>
        <v>type52</v>
      </c>
      <c r="E9">
        <v>65.45</v>
      </c>
      <c r="G9" s="1">
        <f>qry_ProdData2_PDI_Cash_Exception_Application[[#This Row],[INSERT DATE]]+5</f>
        <v>45187.257071759261</v>
      </c>
      <c r="H9" t="str">
        <f>VLOOKUP(qry_ProdData2_PDI_Cash_Exception_Application[[#This Row],[MARKET No]],'Site Allocation'!$B$2:$C$37,2,FALSE)</f>
        <v>Analyst6</v>
      </c>
      <c r="I9" s="4">
        <f t="shared" ca="1" si="0"/>
        <v>45203</v>
      </c>
      <c r="J9" s="42">
        <f ca="1">TODAY()-qry_ProdData2_PDI_Cash_Exception_Application[[#This Row],[INSERT DATE]]</f>
        <v>20.742928240739275</v>
      </c>
      <c r="K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">
        <f ca="1">qry_ProdData2_PDI_Cash_Exception_Application[[#This Row],[TODAY]]-qry_ProdData2_PDI_Cash_Exception_Application[[#This Row],[CHANGED ON]]</f>
        <v>15.742928240739275</v>
      </c>
      <c r="M9">
        <f ca="1">qry_ProdData2_PDI_Cash_Exception_Application[[#This Row],[TODAY]]-qry_ProdData2_PDI_Cash_Exception_Application[[#This Row],[CHANGED ON]]</f>
        <v>15.742928240739275</v>
      </c>
      <c r="N9">
        <f ca="1">qry_ProdData2_PDI_Cash_Exception_Application[[#This Row],[TODAY]]-qry_ProdData2_PDI_Cash_Exception_Application[[#This Row],[CHANGED ON]]</f>
        <v>15.742928240739275</v>
      </c>
    </row>
    <row r="10" spans="1:14" x14ac:dyDescent="0.35">
      <c r="A10">
        <v>1030</v>
      </c>
      <c r="B10" t="s">
        <v>84</v>
      </c>
      <c r="C10" s="1">
        <v>45190.257071759261</v>
      </c>
      <c r="D10" t="str">
        <f ca="1">VLOOKUP(qry_ProdData2_PDI_Cash_Exception_Application[[#This Row],[TYPE]],#REF!,2,FALSE)</f>
        <v>type38</v>
      </c>
      <c r="E10">
        <v>192.29</v>
      </c>
      <c r="F10" t="s">
        <v>51</v>
      </c>
      <c r="G10" s="1">
        <f>qry_ProdData2_PDI_Cash_Exception_Application[[#This Row],[INSERT DATE]]+5</f>
        <v>45195.257071759261</v>
      </c>
      <c r="H10" t="str">
        <f>VLOOKUP(qry_ProdData2_PDI_Cash_Exception_Application[[#This Row],[MARKET No]],'Site Allocation'!$B$2:$C$37,2,FALSE)</f>
        <v>Analyst6</v>
      </c>
      <c r="I10" s="4">
        <f t="shared" ca="1" si="0"/>
        <v>45203</v>
      </c>
      <c r="J10" s="42">
        <f ca="1">TODAY()-qry_ProdData2_PDI_Cash_Exception_Application[[#This Row],[INSERT DATE]]</f>
        <v>12.742928240739275</v>
      </c>
      <c r="K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">
        <f ca="1">qry_ProdData2_PDI_Cash_Exception_Application[[#This Row],[TODAY]]-qry_ProdData2_PDI_Cash_Exception_Application[[#This Row],[CHANGED ON]]</f>
        <v>7.7429282407392748</v>
      </c>
      <c r="M10">
        <f ca="1">qry_ProdData2_PDI_Cash_Exception_Application[[#This Row],[TODAY]]-qry_ProdData2_PDI_Cash_Exception_Application[[#This Row],[CHANGED ON]]</f>
        <v>7.7429282407392748</v>
      </c>
      <c r="N10">
        <f ca="1">qry_ProdData2_PDI_Cash_Exception_Application[[#This Row],[TODAY]]-qry_ProdData2_PDI_Cash_Exception_Application[[#This Row],[CHANGED ON]]</f>
        <v>7.7429282407392748</v>
      </c>
    </row>
    <row r="11" spans="1:14" x14ac:dyDescent="0.35">
      <c r="A11">
        <v>1009</v>
      </c>
      <c r="B11" t="s">
        <v>63</v>
      </c>
      <c r="C11" s="1">
        <v>45190.257071759261</v>
      </c>
      <c r="D11" t="str">
        <f ca="1">VLOOKUP(qry_ProdData2_PDI_Cash_Exception_Application[[#This Row],[TYPE]],#REF!,2,FALSE)</f>
        <v>type40</v>
      </c>
      <c r="E11">
        <v>1514.46</v>
      </c>
      <c r="G11" s="1">
        <f>qry_ProdData2_PDI_Cash_Exception_Application[[#This Row],[INSERT DATE]]+7</f>
        <v>45197.257071759261</v>
      </c>
      <c r="H11" t="str">
        <f>VLOOKUP(qry_ProdData2_PDI_Cash_Exception_Application[[#This Row],[MARKET No]],'Site Allocation'!$B$2:$C$37,2,FALSE)</f>
        <v>Analyst2</v>
      </c>
      <c r="I11" s="4">
        <f t="shared" ca="1" si="0"/>
        <v>45203</v>
      </c>
      <c r="J11" s="42">
        <f ca="1">TODAY()-qry_ProdData2_PDI_Cash_Exception_Application[[#This Row],[INSERT DATE]]</f>
        <v>12.742928240739275</v>
      </c>
      <c r="K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">
        <f ca="1">qry_ProdData2_PDI_Cash_Exception_Application[[#This Row],[TODAY]]-qry_ProdData2_PDI_Cash_Exception_Application[[#This Row],[CHANGED ON]]</f>
        <v>5.7429282407392748</v>
      </c>
      <c r="M11">
        <f ca="1">qry_ProdData2_PDI_Cash_Exception_Application[[#This Row],[TODAY]]-qry_ProdData2_PDI_Cash_Exception_Application[[#This Row],[CHANGED ON]]</f>
        <v>5.7429282407392748</v>
      </c>
      <c r="N11">
        <f ca="1">qry_ProdData2_PDI_Cash_Exception_Application[[#This Row],[TODAY]]-qry_ProdData2_PDI_Cash_Exception_Application[[#This Row],[CHANGED ON]]</f>
        <v>5.7429282407392748</v>
      </c>
    </row>
    <row r="12" spans="1:14" x14ac:dyDescent="0.35">
      <c r="A12">
        <v>1018</v>
      </c>
      <c r="B12" t="s">
        <v>72</v>
      </c>
      <c r="C12" s="1">
        <v>45182.257071759261</v>
      </c>
      <c r="D12" t="str">
        <f ca="1">VLOOKUP(qry_ProdData2_PDI_Cash_Exception_Application[[#This Row],[TYPE]],#REF!,2,FALSE)</f>
        <v>type38</v>
      </c>
      <c r="E12">
        <v>603.45000000000005</v>
      </c>
      <c r="G12" s="1">
        <f>qry_ProdData2_PDI_Cash_Exception_Application[[#This Row],[INSERT DATE]]+7</f>
        <v>45189.257071759261</v>
      </c>
      <c r="H12" t="str">
        <f>VLOOKUP(qry_ProdData2_PDI_Cash_Exception_Application[[#This Row],[MARKET No]],'Site Allocation'!$B$2:$C$37,2,FALSE)</f>
        <v>Analyst4</v>
      </c>
      <c r="I12" s="4">
        <f t="shared" ca="1" si="0"/>
        <v>45203</v>
      </c>
      <c r="J12" s="42">
        <f ca="1">TODAY()-qry_ProdData2_PDI_Cash_Exception_Application[[#This Row],[INSERT DATE]]</f>
        <v>20.742928240739275</v>
      </c>
      <c r="K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">
        <f ca="1">qry_ProdData2_PDI_Cash_Exception_Application[[#This Row],[TODAY]]-qry_ProdData2_PDI_Cash_Exception_Application[[#This Row],[CHANGED ON]]</f>
        <v>13.742928240739275</v>
      </c>
      <c r="M12">
        <f ca="1">qry_ProdData2_PDI_Cash_Exception_Application[[#This Row],[TODAY]]-qry_ProdData2_PDI_Cash_Exception_Application[[#This Row],[CHANGED ON]]</f>
        <v>13.742928240739275</v>
      </c>
      <c r="N12">
        <f ca="1">qry_ProdData2_PDI_Cash_Exception_Application[[#This Row],[TODAY]]-qry_ProdData2_PDI_Cash_Exception_Application[[#This Row],[CHANGED ON]]</f>
        <v>13.742928240739275</v>
      </c>
    </row>
    <row r="13" spans="1:14" x14ac:dyDescent="0.35">
      <c r="A13">
        <v>1027</v>
      </c>
      <c r="B13" t="s">
        <v>81</v>
      </c>
      <c r="C13" s="1">
        <v>45183.257071759261</v>
      </c>
      <c r="D13" t="str">
        <f ca="1">VLOOKUP(qry_ProdData2_PDI_Cash_Exception_Application[[#This Row],[TYPE]],#REF!,2,FALSE)</f>
        <v>type44</v>
      </c>
      <c r="E13">
        <v>1431.12</v>
      </c>
      <c r="F13" t="str">
        <f>qry_ProdData2_PDI_Cash_Exception_Application[[#This Row],[ANALYST]]</f>
        <v>Analyst5</v>
      </c>
      <c r="G13" s="1">
        <f>qry_ProdData2_PDI_Cash_Exception_Application[[#This Row],[INSERT DATE]]+7</f>
        <v>45190.257071759261</v>
      </c>
      <c r="H13" t="str">
        <f>VLOOKUP(qry_ProdData2_PDI_Cash_Exception_Application[[#This Row],[MARKET No]],'Site Allocation'!$B$2:$C$37,2,FALSE)</f>
        <v>Analyst5</v>
      </c>
      <c r="I13" s="4">
        <f t="shared" ca="1" si="0"/>
        <v>45203</v>
      </c>
      <c r="J13" s="42">
        <f ca="1">TODAY()-qry_ProdData2_PDI_Cash_Exception_Application[[#This Row],[INSERT DATE]]</f>
        <v>19.742928240739275</v>
      </c>
      <c r="K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">
        <f ca="1">qry_ProdData2_PDI_Cash_Exception_Application[[#This Row],[TODAY]]-qry_ProdData2_PDI_Cash_Exception_Application[[#This Row],[CHANGED ON]]</f>
        <v>12.742928240739275</v>
      </c>
      <c r="M13">
        <f ca="1">qry_ProdData2_PDI_Cash_Exception_Application[[#This Row],[TODAY]]-qry_ProdData2_PDI_Cash_Exception_Application[[#This Row],[CHANGED ON]]</f>
        <v>12.742928240739275</v>
      </c>
      <c r="N13">
        <f ca="1">qry_ProdData2_PDI_Cash_Exception_Application[[#This Row],[TODAY]]-qry_ProdData2_PDI_Cash_Exception_Application[[#This Row],[CHANGED ON]]</f>
        <v>12.742928240739275</v>
      </c>
    </row>
    <row r="14" spans="1:14" x14ac:dyDescent="0.35">
      <c r="A14">
        <v>1004</v>
      </c>
      <c r="B14" t="s">
        <v>58</v>
      </c>
      <c r="C14" s="1">
        <v>45183.257071759261</v>
      </c>
      <c r="D14" t="str">
        <f ca="1">VLOOKUP(qry_ProdData2_PDI_Cash_Exception_Application[[#This Row],[TYPE]],#REF!,2,FALSE)</f>
        <v>type38</v>
      </c>
      <c r="E14">
        <v>304.07</v>
      </c>
      <c r="G14" s="1">
        <f>qry_ProdData2_PDI_Cash_Exception_Application[[#This Row],[INSERT DATE]]+7</f>
        <v>45190.257071759261</v>
      </c>
      <c r="H14" t="str">
        <f>VLOOKUP(qry_ProdData2_PDI_Cash_Exception_Application[[#This Row],[MARKET No]],'Site Allocation'!$B$2:$C$37,2,FALSE)</f>
        <v>Analyst1</v>
      </c>
      <c r="I14" s="4">
        <f t="shared" ca="1" si="0"/>
        <v>45203</v>
      </c>
      <c r="J14" s="42">
        <f ca="1">TODAY()-qry_ProdData2_PDI_Cash_Exception_Application[[#This Row],[INSERT DATE]]</f>
        <v>19.742928240739275</v>
      </c>
      <c r="K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">
        <f ca="1">qry_ProdData2_PDI_Cash_Exception_Application[[#This Row],[TODAY]]-qry_ProdData2_PDI_Cash_Exception_Application[[#This Row],[CHANGED ON]]</f>
        <v>12.742928240739275</v>
      </c>
      <c r="M14">
        <f ca="1">qry_ProdData2_PDI_Cash_Exception_Application[[#This Row],[TODAY]]-qry_ProdData2_PDI_Cash_Exception_Application[[#This Row],[CHANGED ON]]</f>
        <v>12.742928240739275</v>
      </c>
      <c r="N14">
        <f ca="1">qry_ProdData2_PDI_Cash_Exception_Application[[#This Row],[TODAY]]-qry_ProdData2_PDI_Cash_Exception_Application[[#This Row],[CHANGED ON]]</f>
        <v>12.742928240739275</v>
      </c>
    </row>
    <row r="15" spans="1:14" x14ac:dyDescent="0.35">
      <c r="A15">
        <v>1013</v>
      </c>
      <c r="B15" t="s">
        <v>67</v>
      </c>
      <c r="C15" s="1">
        <v>45184.257071759261</v>
      </c>
      <c r="D15" t="str">
        <f ca="1">VLOOKUP(qry_ProdData2_PDI_Cash_Exception_Application[[#This Row],[TYPE]],#REF!,2,FALSE)</f>
        <v>type40</v>
      </c>
      <c r="E15">
        <v>-336.12</v>
      </c>
      <c r="G15" s="1">
        <f>qry_ProdData2_PDI_Cash_Exception_Application[[#This Row],[INSERT DATE]]+7</f>
        <v>45191.257071759261</v>
      </c>
      <c r="H15" t="str">
        <f>VLOOKUP(qry_ProdData2_PDI_Cash_Exception_Application[[#This Row],[MARKET No]],'Site Allocation'!$B$2:$C$37,2,FALSE)</f>
        <v>Analyst3</v>
      </c>
      <c r="I15" s="4">
        <f t="shared" ca="1" si="0"/>
        <v>45203</v>
      </c>
      <c r="J15" s="42">
        <f ca="1">TODAY()-qry_ProdData2_PDI_Cash_Exception_Application[[#This Row],[INSERT DATE]]</f>
        <v>18.742928240739275</v>
      </c>
      <c r="K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">
        <f ca="1">qry_ProdData2_PDI_Cash_Exception_Application[[#This Row],[TODAY]]-qry_ProdData2_PDI_Cash_Exception_Application[[#This Row],[CHANGED ON]]</f>
        <v>11.742928240739275</v>
      </c>
      <c r="M15">
        <f ca="1">qry_ProdData2_PDI_Cash_Exception_Application[[#This Row],[TODAY]]-qry_ProdData2_PDI_Cash_Exception_Application[[#This Row],[CHANGED ON]]</f>
        <v>11.742928240739275</v>
      </c>
      <c r="N15">
        <f ca="1">qry_ProdData2_PDI_Cash_Exception_Application[[#This Row],[TODAY]]-qry_ProdData2_PDI_Cash_Exception_Application[[#This Row],[CHANGED ON]]</f>
        <v>11.742928240739275</v>
      </c>
    </row>
    <row r="16" spans="1:14" x14ac:dyDescent="0.35">
      <c r="A16">
        <v>1003</v>
      </c>
      <c r="B16" t="s">
        <v>57</v>
      </c>
      <c r="C16" s="1">
        <v>45186.257071759261</v>
      </c>
      <c r="D16" t="str">
        <f ca="1">VLOOKUP(qry_ProdData2_PDI_Cash_Exception_Application[[#This Row],[TYPE]],#REF!,2,FALSE)</f>
        <v>type40</v>
      </c>
      <c r="E16">
        <v>444.6</v>
      </c>
      <c r="F16" t="s">
        <v>51</v>
      </c>
      <c r="G16" s="1">
        <f>qry_ProdData2_PDI_Cash_Exception_Application[[#This Row],[INSERT DATE]]+7</f>
        <v>45193.257071759261</v>
      </c>
      <c r="H16" t="str">
        <f>VLOOKUP(qry_ProdData2_PDI_Cash_Exception_Application[[#This Row],[MARKET No]],'Site Allocation'!$B$2:$C$37,2,FALSE)</f>
        <v>Analyst1</v>
      </c>
      <c r="I16" s="4">
        <f t="shared" ca="1" si="0"/>
        <v>45203</v>
      </c>
      <c r="J16" s="42">
        <f ca="1">TODAY()-qry_ProdData2_PDI_Cash_Exception_Application[[#This Row],[INSERT DATE]]</f>
        <v>16.742928240739275</v>
      </c>
      <c r="K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">
        <f ca="1">qry_ProdData2_PDI_Cash_Exception_Application[[#This Row],[TODAY]]-qry_ProdData2_PDI_Cash_Exception_Application[[#This Row],[CHANGED ON]]</f>
        <v>9.7429282407392748</v>
      </c>
      <c r="M16">
        <f ca="1">qry_ProdData2_PDI_Cash_Exception_Application[[#This Row],[TODAY]]-qry_ProdData2_PDI_Cash_Exception_Application[[#This Row],[CHANGED ON]]</f>
        <v>9.7429282407392748</v>
      </c>
      <c r="N16">
        <f ca="1">qry_ProdData2_PDI_Cash_Exception_Application[[#This Row],[TODAY]]-qry_ProdData2_PDI_Cash_Exception_Application[[#This Row],[CHANGED ON]]</f>
        <v>9.7429282407392748</v>
      </c>
    </row>
    <row r="17" spans="1:14" x14ac:dyDescent="0.35">
      <c r="A17">
        <v>1007</v>
      </c>
      <c r="B17" t="s">
        <v>61</v>
      </c>
      <c r="C17" s="1">
        <v>45187.257071759261</v>
      </c>
      <c r="D17" t="str">
        <f ca="1">VLOOKUP(qry_ProdData2_PDI_Cash_Exception_Application[[#This Row],[TYPE]],#REF!,2,FALSE)</f>
        <v>type13</v>
      </c>
      <c r="E17">
        <v>42162.55</v>
      </c>
      <c r="G17" s="1">
        <f>qry_ProdData2_PDI_Cash_Exception_Application[[#This Row],[INSERT DATE]]+7</f>
        <v>45194.257071759261</v>
      </c>
      <c r="H17" t="str">
        <f>VLOOKUP(qry_ProdData2_PDI_Cash_Exception_Application[[#This Row],[MARKET No]],'Site Allocation'!$B$2:$C$37,2,FALSE)</f>
        <v>Analyst2</v>
      </c>
      <c r="I17" s="4">
        <f t="shared" ca="1" si="0"/>
        <v>45203</v>
      </c>
      <c r="J17" s="42">
        <f ca="1">TODAY()-qry_ProdData2_PDI_Cash_Exception_Application[[#This Row],[INSERT DATE]]</f>
        <v>15.742928240739275</v>
      </c>
      <c r="K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">
        <f ca="1">qry_ProdData2_PDI_Cash_Exception_Application[[#This Row],[TODAY]]-qry_ProdData2_PDI_Cash_Exception_Application[[#This Row],[CHANGED ON]]</f>
        <v>8.7429282407392748</v>
      </c>
      <c r="M17">
        <f ca="1">qry_ProdData2_PDI_Cash_Exception_Application[[#This Row],[TODAY]]-qry_ProdData2_PDI_Cash_Exception_Application[[#This Row],[CHANGED ON]]</f>
        <v>8.7429282407392748</v>
      </c>
      <c r="N17">
        <f ca="1">qry_ProdData2_PDI_Cash_Exception_Application[[#This Row],[TODAY]]-qry_ProdData2_PDI_Cash_Exception_Application[[#This Row],[CHANGED ON]]</f>
        <v>8.7429282407392748</v>
      </c>
    </row>
    <row r="18" spans="1:14" x14ac:dyDescent="0.35">
      <c r="A18">
        <v>1020</v>
      </c>
      <c r="B18" t="s">
        <v>74</v>
      </c>
      <c r="C18" s="1">
        <v>45188.257071759261</v>
      </c>
      <c r="D18" t="str">
        <f ca="1">VLOOKUP(qry_ProdData2_PDI_Cash_Exception_Application[[#This Row],[TYPE]],#REF!,2,FALSE)</f>
        <v>type40</v>
      </c>
      <c r="E18">
        <v>608.21</v>
      </c>
      <c r="F18" t="s">
        <v>51</v>
      </c>
      <c r="G18" s="1">
        <f>qry_ProdData2_PDI_Cash_Exception_Application[[#This Row],[INSERT DATE]]+7</f>
        <v>45195.257071759261</v>
      </c>
      <c r="H18" t="str">
        <f>VLOOKUP(qry_ProdData2_PDI_Cash_Exception_Application[[#This Row],[MARKET No]],'Site Allocation'!$B$2:$C$37,2,FALSE)</f>
        <v>Analyst4</v>
      </c>
      <c r="I18" s="4">
        <f t="shared" ca="1" si="0"/>
        <v>45203</v>
      </c>
      <c r="J18" s="42">
        <f ca="1">TODAY()-qry_ProdData2_PDI_Cash_Exception_Application[[#This Row],[INSERT DATE]]</f>
        <v>14.742928240739275</v>
      </c>
      <c r="K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">
        <f ca="1">qry_ProdData2_PDI_Cash_Exception_Application[[#This Row],[TODAY]]-qry_ProdData2_PDI_Cash_Exception_Application[[#This Row],[CHANGED ON]]</f>
        <v>7.7429282407392748</v>
      </c>
      <c r="M18">
        <f ca="1">qry_ProdData2_PDI_Cash_Exception_Application[[#This Row],[TODAY]]-qry_ProdData2_PDI_Cash_Exception_Application[[#This Row],[CHANGED ON]]</f>
        <v>7.7429282407392748</v>
      </c>
      <c r="N18">
        <f ca="1">qry_ProdData2_PDI_Cash_Exception_Application[[#This Row],[TODAY]]-qry_ProdData2_PDI_Cash_Exception_Application[[#This Row],[CHANGED ON]]</f>
        <v>7.7429282407392748</v>
      </c>
    </row>
    <row r="19" spans="1:14" x14ac:dyDescent="0.35">
      <c r="A19">
        <v>1025</v>
      </c>
      <c r="B19" t="s">
        <v>79</v>
      </c>
      <c r="C19" s="1">
        <v>45189.257071759261</v>
      </c>
      <c r="D19" t="str">
        <f ca="1">VLOOKUP(qry_ProdData2_PDI_Cash_Exception_Application[[#This Row],[TYPE]],#REF!,2,FALSE)</f>
        <v>type40</v>
      </c>
      <c r="E19">
        <v>-363.36</v>
      </c>
      <c r="F19" t="str">
        <f>qry_ProdData2_PDI_Cash_Exception_Application[[#This Row],[ANALYST]]</f>
        <v>Analyst5</v>
      </c>
      <c r="G19" s="1">
        <f>qry_ProdData2_PDI_Cash_Exception_Application[[#This Row],[INSERT DATE]]+7</f>
        <v>45196.257071759261</v>
      </c>
      <c r="H19" t="str">
        <f>VLOOKUP(qry_ProdData2_PDI_Cash_Exception_Application[[#This Row],[MARKET No]],'Site Allocation'!$B$2:$C$37,2,FALSE)</f>
        <v>Analyst5</v>
      </c>
      <c r="I19" s="4">
        <f t="shared" ca="1" si="0"/>
        <v>45203</v>
      </c>
      <c r="J19" s="42">
        <f ca="1">TODAY()-qry_ProdData2_PDI_Cash_Exception_Application[[#This Row],[INSERT DATE]]</f>
        <v>13.742928240739275</v>
      </c>
      <c r="K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">
        <f ca="1">qry_ProdData2_PDI_Cash_Exception_Application[[#This Row],[TODAY]]-qry_ProdData2_PDI_Cash_Exception_Application[[#This Row],[CHANGED ON]]</f>
        <v>6.7429282407392748</v>
      </c>
      <c r="M19">
        <f ca="1">qry_ProdData2_PDI_Cash_Exception_Application[[#This Row],[TODAY]]-qry_ProdData2_PDI_Cash_Exception_Application[[#This Row],[CHANGED ON]]</f>
        <v>6.7429282407392748</v>
      </c>
      <c r="N19">
        <f ca="1">qry_ProdData2_PDI_Cash_Exception_Application[[#This Row],[TODAY]]-qry_ProdData2_PDI_Cash_Exception_Application[[#This Row],[CHANGED ON]]</f>
        <v>6.7429282407392748</v>
      </c>
    </row>
    <row r="20" spans="1:14" x14ac:dyDescent="0.35">
      <c r="A20">
        <v>1001</v>
      </c>
      <c r="B20" t="s">
        <v>55</v>
      </c>
      <c r="C20" s="1">
        <v>45190.257071759261</v>
      </c>
      <c r="D20" t="str">
        <f ca="1">VLOOKUP(qry_ProdData2_PDI_Cash_Exception_Application[[#This Row],[TYPE]],#REF!,2,FALSE)</f>
        <v>type42</v>
      </c>
      <c r="E20">
        <v>270.77</v>
      </c>
      <c r="G20" s="1">
        <f>qry_ProdData2_PDI_Cash_Exception_Application[[#This Row],[INSERT DATE]]+7</f>
        <v>45197.257071759261</v>
      </c>
      <c r="H20" t="str">
        <f>VLOOKUP(qry_ProdData2_PDI_Cash_Exception_Application[[#This Row],[MARKET No]],'Site Allocation'!$B$2:$C$37,2,FALSE)</f>
        <v>Analyst1</v>
      </c>
      <c r="I20" s="4">
        <f t="shared" ca="1" si="0"/>
        <v>45203</v>
      </c>
      <c r="J20" s="42">
        <f ca="1">TODAY()-qry_ProdData2_PDI_Cash_Exception_Application[[#This Row],[INSERT DATE]]</f>
        <v>12.742928240739275</v>
      </c>
      <c r="K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">
        <f ca="1">qry_ProdData2_PDI_Cash_Exception_Application[[#This Row],[TODAY]]-qry_ProdData2_PDI_Cash_Exception_Application[[#This Row],[CHANGED ON]]</f>
        <v>5.7429282407392748</v>
      </c>
      <c r="M20">
        <f ca="1">qry_ProdData2_PDI_Cash_Exception_Application[[#This Row],[TODAY]]-qry_ProdData2_PDI_Cash_Exception_Application[[#This Row],[CHANGED ON]]</f>
        <v>5.7429282407392748</v>
      </c>
      <c r="N20">
        <f ca="1">qry_ProdData2_PDI_Cash_Exception_Application[[#This Row],[TODAY]]-qry_ProdData2_PDI_Cash_Exception_Application[[#This Row],[CHANGED ON]]</f>
        <v>5.7429282407392748</v>
      </c>
    </row>
    <row r="21" spans="1:14" x14ac:dyDescent="0.35">
      <c r="A21">
        <v>1004</v>
      </c>
      <c r="B21" t="s">
        <v>58</v>
      </c>
      <c r="C21" s="1">
        <v>45191.257071759261</v>
      </c>
      <c r="D21" t="str">
        <f ca="1">VLOOKUP(qry_ProdData2_PDI_Cash_Exception_Application[[#This Row],[TYPE]],#REF!,2,FALSE)</f>
        <v>type13</v>
      </c>
      <c r="E21">
        <v>40004.61</v>
      </c>
      <c r="G21" s="1">
        <f>qry_ProdData2_PDI_Cash_Exception_Application[[#This Row],[INSERT DATE]]+7</f>
        <v>45198.257071759261</v>
      </c>
      <c r="H21" t="str">
        <f>VLOOKUP(qry_ProdData2_PDI_Cash_Exception_Application[[#This Row],[MARKET No]],'Site Allocation'!$B$2:$C$37,2,FALSE)</f>
        <v>Analyst1</v>
      </c>
      <c r="I21" s="4">
        <f t="shared" ca="1" si="0"/>
        <v>45203</v>
      </c>
      <c r="J21" s="42">
        <f ca="1">TODAY()-qry_ProdData2_PDI_Cash_Exception_Application[[#This Row],[INSERT DATE]]</f>
        <v>11.742928240739275</v>
      </c>
      <c r="K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">
        <f ca="1">qry_ProdData2_PDI_Cash_Exception_Application[[#This Row],[TODAY]]-qry_ProdData2_PDI_Cash_Exception_Application[[#This Row],[CHANGED ON]]</f>
        <v>4.7429282407392748</v>
      </c>
      <c r="M21">
        <f ca="1">qry_ProdData2_PDI_Cash_Exception_Application[[#This Row],[TODAY]]-qry_ProdData2_PDI_Cash_Exception_Application[[#This Row],[CHANGED ON]]</f>
        <v>4.7429282407392748</v>
      </c>
      <c r="N21">
        <f ca="1">qry_ProdData2_PDI_Cash_Exception_Application[[#This Row],[TODAY]]-qry_ProdData2_PDI_Cash_Exception_Application[[#This Row],[CHANGED ON]]</f>
        <v>4.7429282407392748</v>
      </c>
    </row>
    <row r="22" spans="1:14" x14ac:dyDescent="0.35">
      <c r="A22">
        <v>1007</v>
      </c>
      <c r="B22" t="s">
        <v>61</v>
      </c>
      <c r="C22" s="1">
        <v>45192.257071759261</v>
      </c>
      <c r="D22" t="str">
        <f ca="1">VLOOKUP(qry_ProdData2_PDI_Cash_Exception_Application[[#This Row],[TYPE]],#REF!,2,FALSE)</f>
        <v>type13</v>
      </c>
      <c r="E22">
        <v>44395.19</v>
      </c>
      <c r="G22" s="1">
        <f>qry_ProdData2_PDI_Cash_Exception_Application[[#This Row],[INSERT DATE]]+7</f>
        <v>45199.257071759261</v>
      </c>
      <c r="H22" t="str">
        <f>VLOOKUP(qry_ProdData2_PDI_Cash_Exception_Application[[#This Row],[MARKET No]],'Site Allocation'!$B$2:$C$37,2,FALSE)</f>
        <v>Analyst2</v>
      </c>
      <c r="I22" s="4">
        <f t="shared" ca="1" si="0"/>
        <v>45203</v>
      </c>
      <c r="J22" s="42">
        <f ca="1">TODAY()-qry_ProdData2_PDI_Cash_Exception_Application[[#This Row],[INSERT DATE]]</f>
        <v>10.742928240739275</v>
      </c>
      <c r="K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">
        <f ca="1">qry_ProdData2_PDI_Cash_Exception_Application[[#This Row],[TODAY]]-qry_ProdData2_PDI_Cash_Exception_Application[[#This Row],[CHANGED ON]]</f>
        <v>3.7429282407392748</v>
      </c>
      <c r="M22">
        <f ca="1">qry_ProdData2_PDI_Cash_Exception_Application[[#This Row],[TODAY]]-qry_ProdData2_PDI_Cash_Exception_Application[[#This Row],[CHANGED ON]]</f>
        <v>3.7429282407392748</v>
      </c>
      <c r="N22">
        <f ca="1">qry_ProdData2_PDI_Cash_Exception_Application[[#This Row],[TODAY]]-qry_ProdData2_PDI_Cash_Exception_Application[[#This Row],[CHANGED ON]]</f>
        <v>3.7429282407392748</v>
      </c>
    </row>
    <row r="23" spans="1:14" x14ac:dyDescent="0.35">
      <c r="A23">
        <v>1018</v>
      </c>
      <c r="B23" t="s">
        <v>72</v>
      </c>
      <c r="C23" s="1">
        <v>45184.257071759261</v>
      </c>
      <c r="D23" t="str">
        <f ca="1">VLOOKUP(qry_ProdData2_PDI_Cash_Exception_Application[[#This Row],[TYPE]],#REF!,2,FALSE)</f>
        <v>type40</v>
      </c>
      <c r="E23">
        <v>3</v>
      </c>
      <c r="G23" s="1">
        <f>qry_ProdData2_PDI_Cash_Exception_Application[[#This Row],[INSERT DATE]]+7</f>
        <v>45191.257071759261</v>
      </c>
      <c r="H23" t="str">
        <f>VLOOKUP(qry_ProdData2_PDI_Cash_Exception_Application[[#This Row],[MARKET No]],'Site Allocation'!$B$2:$C$37,2,FALSE)</f>
        <v>Analyst4</v>
      </c>
      <c r="I23" s="4">
        <f t="shared" ca="1" si="0"/>
        <v>45203</v>
      </c>
      <c r="J23" s="42">
        <f ca="1">TODAY()-qry_ProdData2_PDI_Cash_Exception_Application[[#This Row],[INSERT DATE]]</f>
        <v>18.742928240739275</v>
      </c>
      <c r="K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">
        <f ca="1">qry_ProdData2_PDI_Cash_Exception_Application[[#This Row],[TODAY]]-qry_ProdData2_PDI_Cash_Exception_Application[[#This Row],[CHANGED ON]]</f>
        <v>11.742928240739275</v>
      </c>
      <c r="M23">
        <f ca="1">qry_ProdData2_PDI_Cash_Exception_Application[[#This Row],[TODAY]]-qry_ProdData2_PDI_Cash_Exception_Application[[#This Row],[CHANGED ON]]</f>
        <v>11.742928240739275</v>
      </c>
      <c r="N23">
        <f ca="1">qry_ProdData2_PDI_Cash_Exception_Application[[#This Row],[TODAY]]-qry_ProdData2_PDI_Cash_Exception_Application[[#This Row],[CHANGED ON]]</f>
        <v>11.742928240739275</v>
      </c>
    </row>
    <row r="24" spans="1:14" x14ac:dyDescent="0.35">
      <c r="A24">
        <v>1004</v>
      </c>
      <c r="B24" t="s">
        <v>58</v>
      </c>
      <c r="C24" s="1">
        <v>45194.257071759261</v>
      </c>
      <c r="D24" t="str">
        <f ca="1">VLOOKUP(qry_ProdData2_PDI_Cash_Exception_Application[[#This Row],[TYPE]],#REF!,2,FALSE)</f>
        <v>type40</v>
      </c>
      <c r="E24">
        <v>352.96</v>
      </c>
      <c r="F24" t="s">
        <v>50</v>
      </c>
      <c r="G24" s="1">
        <f>qry_ProdData2_PDI_Cash_Exception_Application[[#This Row],[INSERT DATE]]+7</f>
        <v>45201.257071759261</v>
      </c>
      <c r="H24" t="str">
        <f>VLOOKUP(qry_ProdData2_PDI_Cash_Exception_Application[[#This Row],[MARKET No]],'Site Allocation'!$B$2:$C$37,2,FALSE)</f>
        <v>Analyst1</v>
      </c>
      <c r="I24" s="4">
        <f t="shared" ca="1" si="0"/>
        <v>45203</v>
      </c>
      <c r="J24" s="42">
        <f ca="1">TODAY()-qry_ProdData2_PDI_Cash_Exception_Application[[#This Row],[INSERT DATE]]</f>
        <v>8.7429282407392748</v>
      </c>
      <c r="K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4">
        <f ca="1">qry_ProdData2_PDI_Cash_Exception_Application[[#This Row],[TODAY]]-qry_ProdData2_PDI_Cash_Exception_Application[[#This Row],[CHANGED ON]]</f>
        <v>1.7429282407392748</v>
      </c>
      <c r="M24">
        <f ca="1">qry_ProdData2_PDI_Cash_Exception_Application[[#This Row],[TODAY]]-qry_ProdData2_PDI_Cash_Exception_Application[[#This Row],[CHANGED ON]]</f>
        <v>1.7429282407392748</v>
      </c>
      <c r="N24">
        <f ca="1">qry_ProdData2_PDI_Cash_Exception_Application[[#This Row],[TODAY]]-qry_ProdData2_PDI_Cash_Exception_Application[[#This Row],[CHANGED ON]]</f>
        <v>1.7429282407392748</v>
      </c>
    </row>
    <row r="25" spans="1:14" x14ac:dyDescent="0.35">
      <c r="A25">
        <v>1014</v>
      </c>
      <c r="B25" t="s">
        <v>68</v>
      </c>
      <c r="C25" s="1">
        <v>45195.257071759261</v>
      </c>
      <c r="D25" t="str">
        <f ca="1">VLOOKUP(qry_ProdData2_PDI_Cash_Exception_Application[[#This Row],[TYPE]],#REF!,2,FALSE)</f>
        <v>type24</v>
      </c>
      <c r="E25">
        <v>622.74</v>
      </c>
      <c r="F25" t="s">
        <v>50</v>
      </c>
      <c r="G25" s="1">
        <f>qry_ProdData2_PDI_Cash_Exception_Application[[#This Row],[INSERT DATE]]+7</f>
        <v>45202.257071759261</v>
      </c>
      <c r="H25" t="str">
        <f>VLOOKUP(qry_ProdData2_PDI_Cash_Exception_Application[[#This Row],[MARKET No]],'Site Allocation'!$B$2:$C$37,2,FALSE)</f>
        <v>Analyst3</v>
      </c>
      <c r="I25" s="4">
        <f t="shared" ca="1" si="0"/>
        <v>45203</v>
      </c>
      <c r="J25" s="42">
        <f ca="1">TODAY()-qry_ProdData2_PDI_Cash_Exception_Application[[#This Row],[INSERT DATE]]</f>
        <v>7.7429282407392748</v>
      </c>
      <c r="K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5">
        <f ca="1">qry_ProdData2_PDI_Cash_Exception_Application[[#This Row],[TODAY]]-qry_ProdData2_PDI_Cash_Exception_Application[[#This Row],[CHANGED ON]]</f>
        <v>0.74292824073927477</v>
      </c>
      <c r="M25">
        <f ca="1">qry_ProdData2_PDI_Cash_Exception_Application[[#This Row],[TODAY]]-qry_ProdData2_PDI_Cash_Exception_Application[[#This Row],[CHANGED ON]]</f>
        <v>0.74292824073927477</v>
      </c>
      <c r="N25">
        <f ca="1">qry_ProdData2_PDI_Cash_Exception_Application[[#This Row],[TODAY]]-qry_ProdData2_PDI_Cash_Exception_Application[[#This Row],[CHANGED ON]]</f>
        <v>0.74292824073927477</v>
      </c>
    </row>
    <row r="26" spans="1:14" x14ac:dyDescent="0.35">
      <c r="A26">
        <v>1013</v>
      </c>
      <c r="B26" t="s">
        <v>67</v>
      </c>
      <c r="C26" s="1">
        <v>45192.257071759261</v>
      </c>
      <c r="D26" t="str">
        <f ca="1">VLOOKUP(qry_ProdData2_PDI_Cash_Exception_Application[[#This Row],[TYPE]],#REF!,2,FALSE)</f>
        <v>type40</v>
      </c>
      <c r="E26">
        <v>365.15</v>
      </c>
      <c r="G26" s="1">
        <f>qry_ProdData2_PDI_Cash_Exception_Application[[#This Row],[INSERT DATE]]+2</f>
        <v>45194.257071759261</v>
      </c>
      <c r="H26" t="str">
        <f>VLOOKUP(qry_ProdData2_PDI_Cash_Exception_Application[[#This Row],[MARKET No]],'Site Allocation'!$B$2:$C$37,2,FALSE)</f>
        <v>Analyst3</v>
      </c>
      <c r="I26" s="4">
        <f t="shared" ca="1" si="0"/>
        <v>45203</v>
      </c>
      <c r="J26" s="42">
        <f ca="1">TODAY()-qry_ProdData2_PDI_Cash_Exception_Application[[#This Row],[INSERT DATE]]</f>
        <v>10.742928240739275</v>
      </c>
      <c r="K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">
        <f ca="1">qry_ProdData2_PDI_Cash_Exception_Application[[#This Row],[TODAY]]-qry_ProdData2_PDI_Cash_Exception_Application[[#This Row],[CHANGED ON]]</f>
        <v>8.7429282407392748</v>
      </c>
      <c r="M26">
        <f ca="1">qry_ProdData2_PDI_Cash_Exception_Application[[#This Row],[TODAY]]-qry_ProdData2_PDI_Cash_Exception_Application[[#This Row],[CHANGED ON]]</f>
        <v>8.7429282407392748</v>
      </c>
      <c r="N26">
        <f ca="1">qry_ProdData2_PDI_Cash_Exception_Application[[#This Row],[TODAY]]-qry_ProdData2_PDI_Cash_Exception_Application[[#This Row],[CHANGED ON]]</f>
        <v>8.7429282407392748</v>
      </c>
    </row>
    <row r="27" spans="1:14" x14ac:dyDescent="0.35">
      <c r="A27">
        <v>1023</v>
      </c>
      <c r="B27" t="s">
        <v>77</v>
      </c>
      <c r="C27" s="1">
        <v>45197.257071759261</v>
      </c>
      <c r="D27" t="str">
        <f ca="1">VLOOKUP(qry_ProdData2_PDI_Cash_Exception_Application[[#This Row],[TYPE]],#REF!,2,FALSE)</f>
        <v>type13</v>
      </c>
      <c r="E27">
        <v>50292.53</v>
      </c>
      <c r="F27" t="str">
        <f>qry_ProdData2_PDI_Cash_Exception_Application[[#This Row],[ANALYST]]</f>
        <v>Analyst4</v>
      </c>
      <c r="G27" s="1">
        <f>qry_ProdData2_PDI_Cash_Exception_Application[[#This Row],[INSERT DATE]]+7</f>
        <v>45204.257071759261</v>
      </c>
      <c r="H27" t="str">
        <f>VLOOKUP(qry_ProdData2_PDI_Cash_Exception_Application[[#This Row],[MARKET No]],'Site Allocation'!$B$2:$C$37,2,FALSE)</f>
        <v>Analyst4</v>
      </c>
      <c r="I27" s="4">
        <f t="shared" ca="1" si="0"/>
        <v>45203</v>
      </c>
      <c r="J27" s="42">
        <f ca="1">TODAY()-qry_ProdData2_PDI_Cash_Exception_Application[[#This Row],[INSERT DATE]]</f>
        <v>5.7429282407392748</v>
      </c>
      <c r="K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">
        <f ca="1">qry_ProdData2_PDI_Cash_Exception_Application[[#This Row],[TODAY]]-qry_ProdData2_PDI_Cash_Exception_Application[[#This Row],[CHANGED ON]]</f>
        <v>-1.2570717592607252</v>
      </c>
      <c r="M27">
        <f ca="1">qry_ProdData2_PDI_Cash_Exception_Application[[#This Row],[TODAY]]-qry_ProdData2_PDI_Cash_Exception_Application[[#This Row],[CHANGED ON]]</f>
        <v>-1.2570717592607252</v>
      </c>
      <c r="N27">
        <f ca="1">qry_ProdData2_PDI_Cash_Exception_Application[[#This Row],[TODAY]]-qry_ProdData2_PDI_Cash_Exception_Application[[#This Row],[CHANGED ON]]</f>
        <v>-1.2570717592607252</v>
      </c>
    </row>
    <row r="28" spans="1:14" x14ac:dyDescent="0.35">
      <c r="A28">
        <v>1031</v>
      </c>
      <c r="B28" t="s">
        <v>85</v>
      </c>
      <c r="C28" s="1">
        <v>45187.257071759261</v>
      </c>
      <c r="D28" t="str">
        <f ca="1">VLOOKUP(qry_ProdData2_PDI_Cash_Exception_Application[[#This Row],[TYPE]],#REF!,2,FALSE)</f>
        <v>type40</v>
      </c>
      <c r="E28">
        <v>-2510.6</v>
      </c>
      <c r="G28" s="1">
        <f>qry_ProdData2_PDI_Cash_Exception_Application[[#This Row],[INSERT DATE]]+7</f>
        <v>45194.257071759261</v>
      </c>
      <c r="H28" t="str">
        <f>VLOOKUP(qry_ProdData2_PDI_Cash_Exception_Application[[#This Row],[MARKET No]],'Site Allocation'!$B$2:$C$37,2,FALSE)</f>
        <v>Analyst6</v>
      </c>
      <c r="I28" s="4">
        <f t="shared" ca="1" si="0"/>
        <v>45203</v>
      </c>
      <c r="J28" s="42">
        <f ca="1">TODAY()-qry_ProdData2_PDI_Cash_Exception_Application[[#This Row],[INSERT DATE]]</f>
        <v>15.742928240739275</v>
      </c>
      <c r="K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">
        <f ca="1">qry_ProdData2_PDI_Cash_Exception_Application[[#This Row],[TODAY]]-qry_ProdData2_PDI_Cash_Exception_Application[[#This Row],[CHANGED ON]]</f>
        <v>8.7429282407392748</v>
      </c>
      <c r="M28">
        <f ca="1">qry_ProdData2_PDI_Cash_Exception_Application[[#This Row],[TODAY]]-qry_ProdData2_PDI_Cash_Exception_Application[[#This Row],[CHANGED ON]]</f>
        <v>8.7429282407392748</v>
      </c>
      <c r="N28">
        <f ca="1">qry_ProdData2_PDI_Cash_Exception_Application[[#This Row],[TODAY]]-qry_ProdData2_PDI_Cash_Exception_Application[[#This Row],[CHANGED ON]]</f>
        <v>8.7429282407392748</v>
      </c>
    </row>
    <row r="29" spans="1:14" x14ac:dyDescent="0.35">
      <c r="A29">
        <v>1006</v>
      </c>
      <c r="B29" t="s">
        <v>60</v>
      </c>
      <c r="C29" s="1">
        <v>45186.257071759261</v>
      </c>
      <c r="D29" t="str">
        <f ca="1">VLOOKUP(qry_ProdData2_PDI_Cash_Exception_Application[[#This Row],[TYPE]],#REF!,2,FALSE)</f>
        <v>type40</v>
      </c>
      <c r="E29">
        <v>478.4</v>
      </c>
      <c r="G29" s="1">
        <f>qry_ProdData2_PDI_Cash_Exception_Application[[#This Row],[INSERT DATE]]+1</f>
        <v>45187.257071759261</v>
      </c>
      <c r="H29" t="str">
        <f>VLOOKUP(qry_ProdData2_PDI_Cash_Exception_Application[[#This Row],[MARKET No]],'Site Allocation'!$B$2:$C$37,2,FALSE)</f>
        <v>Analyst2</v>
      </c>
      <c r="I29" s="4">
        <f t="shared" ca="1" si="0"/>
        <v>45203</v>
      </c>
      <c r="J29" s="42">
        <f ca="1">TODAY()-qry_ProdData2_PDI_Cash_Exception_Application[[#This Row],[INSERT DATE]]</f>
        <v>16.742928240739275</v>
      </c>
      <c r="K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">
        <f ca="1">qry_ProdData2_PDI_Cash_Exception_Application[[#This Row],[TODAY]]-qry_ProdData2_PDI_Cash_Exception_Application[[#This Row],[CHANGED ON]]</f>
        <v>15.742928240739275</v>
      </c>
      <c r="M29">
        <f ca="1">qry_ProdData2_PDI_Cash_Exception_Application[[#This Row],[TODAY]]-qry_ProdData2_PDI_Cash_Exception_Application[[#This Row],[CHANGED ON]]</f>
        <v>15.742928240739275</v>
      </c>
      <c r="N29">
        <f ca="1">qry_ProdData2_PDI_Cash_Exception_Application[[#This Row],[TODAY]]-qry_ProdData2_PDI_Cash_Exception_Application[[#This Row],[CHANGED ON]]</f>
        <v>15.742928240739275</v>
      </c>
    </row>
    <row r="30" spans="1:14" x14ac:dyDescent="0.35">
      <c r="A30">
        <v>1017</v>
      </c>
      <c r="B30" t="s">
        <v>71</v>
      </c>
      <c r="C30" s="1">
        <v>45189.257071759261</v>
      </c>
      <c r="D30" t="str">
        <f ca="1">VLOOKUP(qry_ProdData2_PDI_Cash_Exception_Application[[#This Row],[TYPE]],#REF!,2,FALSE)</f>
        <v>type40</v>
      </c>
      <c r="E30">
        <v>-726.35</v>
      </c>
      <c r="F30" t="s">
        <v>50</v>
      </c>
      <c r="G30" s="1">
        <f>qry_ProdData2_PDI_Cash_Exception_Application[[#This Row],[INSERT DATE]]+1</f>
        <v>45190.257071759261</v>
      </c>
      <c r="H30" t="str">
        <f>VLOOKUP(qry_ProdData2_PDI_Cash_Exception_Application[[#This Row],[MARKET No]],'Site Allocation'!$B$2:$C$37,2,FALSE)</f>
        <v>Analyst3</v>
      </c>
      <c r="I30" s="4">
        <f t="shared" ca="1" si="0"/>
        <v>45203</v>
      </c>
      <c r="J30" s="42">
        <f ca="1">TODAY()-qry_ProdData2_PDI_Cash_Exception_Application[[#This Row],[INSERT DATE]]</f>
        <v>13.742928240739275</v>
      </c>
      <c r="K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">
        <f ca="1">qry_ProdData2_PDI_Cash_Exception_Application[[#This Row],[TODAY]]-qry_ProdData2_PDI_Cash_Exception_Application[[#This Row],[CHANGED ON]]</f>
        <v>12.742928240739275</v>
      </c>
      <c r="M30">
        <f ca="1">qry_ProdData2_PDI_Cash_Exception_Application[[#This Row],[TODAY]]-qry_ProdData2_PDI_Cash_Exception_Application[[#This Row],[CHANGED ON]]</f>
        <v>12.742928240739275</v>
      </c>
      <c r="N30">
        <f ca="1">qry_ProdData2_PDI_Cash_Exception_Application[[#This Row],[TODAY]]-qry_ProdData2_PDI_Cash_Exception_Application[[#This Row],[CHANGED ON]]</f>
        <v>12.742928240739275</v>
      </c>
    </row>
    <row r="31" spans="1:14" x14ac:dyDescent="0.35">
      <c r="A31">
        <v>1006</v>
      </c>
      <c r="B31" t="s">
        <v>60</v>
      </c>
      <c r="C31" s="1">
        <v>45191.257071759261</v>
      </c>
      <c r="D31" t="str">
        <f ca="1">VLOOKUP(qry_ProdData2_PDI_Cash_Exception_Application[[#This Row],[TYPE]],#REF!,2,FALSE)</f>
        <v>type40</v>
      </c>
      <c r="E31">
        <v>1230.78</v>
      </c>
      <c r="G31" s="1">
        <f>qry_ProdData2_PDI_Cash_Exception_Application[[#This Row],[INSERT DATE]]+1</f>
        <v>45192.257071759261</v>
      </c>
      <c r="H31" t="str">
        <f>VLOOKUP(qry_ProdData2_PDI_Cash_Exception_Application[[#This Row],[MARKET No]],'Site Allocation'!$B$2:$C$37,2,FALSE)</f>
        <v>Analyst2</v>
      </c>
      <c r="I31" s="4">
        <f t="shared" ca="1" si="0"/>
        <v>45203</v>
      </c>
      <c r="J31" s="42">
        <f ca="1">TODAY()-qry_ProdData2_PDI_Cash_Exception_Application[[#This Row],[INSERT DATE]]</f>
        <v>11.742928240739275</v>
      </c>
      <c r="K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">
        <f ca="1">qry_ProdData2_PDI_Cash_Exception_Application[[#This Row],[TODAY]]-qry_ProdData2_PDI_Cash_Exception_Application[[#This Row],[CHANGED ON]]</f>
        <v>10.742928240739275</v>
      </c>
      <c r="M31">
        <f ca="1">qry_ProdData2_PDI_Cash_Exception_Application[[#This Row],[TODAY]]-qry_ProdData2_PDI_Cash_Exception_Application[[#This Row],[CHANGED ON]]</f>
        <v>10.742928240739275</v>
      </c>
      <c r="N31">
        <f ca="1">qry_ProdData2_PDI_Cash_Exception_Application[[#This Row],[TODAY]]-qry_ProdData2_PDI_Cash_Exception_Application[[#This Row],[CHANGED ON]]</f>
        <v>10.742928240739275</v>
      </c>
    </row>
    <row r="32" spans="1:14" x14ac:dyDescent="0.35">
      <c r="A32">
        <v>1011</v>
      </c>
      <c r="B32" t="s">
        <v>65</v>
      </c>
      <c r="C32" s="1">
        <v>45189.257071759261</v>
      </c>
      <c r="D32" t="str">
        <f ca="1">VLOOKUP(qry_ProdData2_PDI_Cash_Exception_Application[[#This Row],[TYPE]],#REF!,2,FALSE)</f>
        <v>type7</v>
      </c>
      <c r="E32">
        <v>-1312.6</v>
      </c>
      <c r="G32" s="1">
        <f>qry_ProdData2_PDI_Cash_Exception_Application[[#This Row],[INSERT DATE]]+1</f>
        <v>45190.257071759261</v>
      </c>
      <c r="H32" t="str">
        <f>VLOOKUP(qry_ProdData2_PDI_Cash_Exception_Application[[#This Row],[MARKET No]],'Site Allocation'!$B$2:$C$37,2,FALSE)</f>
        <v>Analyst2</v>
      </c>
      <c r="I32" s="4">
        <f t="shared" ca="1" si="0"/>
        <v>45203</v>
      </c>
      <c r="J32" s="42">
        <f ca="1">TODAY()-qry_ProdData2_PDI_Cash_Exception_Application[[#This Row],[INSERT DATE]]</f>
        <v>13.742928240739275</v>
      </c>
      <c r="K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">
        <f ca="1">qry_ProdData2_PDI_Cash_Exception_Application[[#This Row],[TODAY]]-qry_ProdData2_PDI_Cash_Exception_Application[[#This Row],[CHANGED ON]]</f>
        <v>12.742928240739275</v>
      </c>
      <c r="M32">
        <f ca="1">qry_ProdData2_PDI_Cash_Exception_Application[[#This Row],[TODAY]]-qry_ProdData2_PDI_Cash_Exception_Application[[#This Row],[CHANGED ON]]</f>
        <v>12.742928240739275</v>
      </c>
      <c r="N32">
        <f ca="1">qry_ProdData2_PDI_Cash_Exception_Application[[#This Row],[TODAY]]-qry_ProdData2_PDI_Cash_Exception_Application[[#This Row],[CHANGED ON]]</f>
        <v>12.742928240739275</v>
      </c>
    </row>
    <row r="33" spans="1:14" x14ac:dyDescent="0.35">
      <c r="A33">
        <v>1021</v>
      </c>
      <c r="B33" t="s">
        <v>75</v>
      </c>
      <c r="C33" s="1">
        <v>45192.257071759261</v>
      </c>
      <c r="D33" t="str">
        <f ca="1">VLOOKUP(qry_ProdData2_PDI_Cash_Exception_Application[[#This Row],[TYPE]],#REF!,2,FALSE)</f>
        <v>type40</v>
      </c>
      <c r="E33">
        <v>-385.75</v>
      </c>
      <c r="F33" t="str">
        <f>qry_ProdData2_PDI_Cash_Exception_Application[[#This Row],[ANALYST]]</f>
        <v>Analyst4</v>
      </c>
      <c r="G33" s="1">
        <f>qry_ProdData2_PDI_Cash_Exception_Application[[#This Row],[INSERT DATE]]+1</f>
        <v>45193.257071759261</v>
      </c>
      <c r="H33" t="str">
        <f>VLOOKUP(qry_ProdData2_PDI_Cash_Exception_Application[[#This Row],[MARKET No]],'Site Allocation'!$B$2:$C$37,2,FALSE)</f>
        <v>Analyst4</v>
      </c>
      <c r="I33" s="4">
        <f t="shared" ca="1" si="0"/>
        <v>45203</v>
      </c>
      <c r="J33" s="42">
        <f ca="1">TODAY()-qry_ProdData2_PDI_Cash_Exception_Application[[#This Row],[INSERT DATE]]</f>
        <v>10.742928240739275</v>
      </c>
      <c r="K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">
        <f ca="1">qry_ProdData2_PDI_Cash_Exception_Application[[#This Row],[TODAY]]-qry_ProdData2_PDI_Cash_Exception_Application[[#This Row],[CHANGED ON]]</f>
        <v>9.7429282407392748</v>
      </c>
      <c r="M33">
        <f ca="1">qry_ProdData2_PDI_Cash_Exception_Application[[#This Row],[TODAY]]-qry_ProdData2_PDI_Cash_Exception_Application[[#This Row],[CHANGED ON]]</f>
        <v>9.7429282407392748</v>
      </c>
      <c r="N33">
        <f ca="1">qry_ProdData2_PDI_Cash_Exception_Application[[#This Row],[TODAY]]-qry_ProdData2_PDI_Cash_Exception_Application[[#This Row],[CHANGED ON]]</f>
        <v>9.7429282407392748</v>
      </c>
    </row>
    <row r="34" spans="1:14" x14ac:dyDescent="0.35">
      <c r="A34">
        <v>1034</v>
      </c>
      <c r="B34" t="s">
        <v>88</v>
      </c>
      <c r="C34" s="1">
        <v>45194.257071759261</v>
      </c>
      <c r="D34" t="str">
        <f ca="1">VLOOKUP(qry_ProdData2_PDI_Cash_Exception_Application[[#This Row],[TYPE]],#REF!,2,FALSE)</f>
        <v>type52</v>
      </c>
      <c r="E34">
        <v>443.31</v>
      </c>
      <c r="G34" s="1">
        <f>qry_ProdData2_PDI_Cash_Exception_Application[[#This Row],[INSERT DATE]]+1</f>
        <v>45195.257071759261</v>
      </c>
      <c r="H34" t="str">
        <f>VLOOKUP(qry_ProdData2_PDI_Cash_Exception_Application[[#This Row],[MARKET No]],'Site Allocation'!$B$2:$C$37,2,FALSE)</f>
        <v>Analyst6</v>
      </c>
      <c r="I34" s="4">
        <f t="shared" ca="1" si="0"/>
        <v>45203</v>
      </c>
      <c r="J34" s="42">
        <f ca="1">TODAY()-qry_ProdData2_PDI_Cash_Exception_Application[[#This Row],[INSERT DATE]]</f>
        <v>8.7429282407392748</v>
      </c>
      <c r="K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">
        <f ca="1">qry_ProdData2_PDI_Cash_Exception_Application[[#This Row],[TODAY]]-qry_ProdData2_PDI_Cash_Exception_Application[[#This Row],[CHANGED ON]]</f>
        <v>7.7429282407392748</v>
      </c>
      <c r="M34">
        <f ca="1">qry_ProdData2_PDI_Cash_Exception_Application[[#This Row],[TODAY]]-qry_ProdData2_PDI_Cash_Exception_Application[[#This Row],[CHANGED ON]]</f>
        <v>7.7429282407392748</v>
      </c>
      <c r="N34">
        <f ca="1">qry_ProdData2_PDI_Cash_Exception_Application[[#This Row],[TODAY]]-qry_ProdData2_PDI_Cash_Exception_Application[[#This Row],[CHANGED ON]]</f>
        <v>7.7429282407392748</v>
      </c>
    </row>
    <row r="35" spans="1:14" x14ac:dyDescent="0.35">
      <c r="A35">
        <v>1002</v>
      </c>
      <c r="B35" t="s">
        <v>56</v>
      </c>
      <c r="C35" s="1">
        <v>45185.257071759261</v>
      </c>
      <c r="D35" t="str">
        <f ca="1">VLOOKUP(qry_ProdData2_PDI_Cash_Exception_Application[[#This Row],[TYPE]],#REF!,2,FALSE)</f>
        <v>type40</v>
      </c>
      <c r="E35">
        <v>-417.38</v>
      </c>
      <c r="G35" s="1">
        <f>qry_ProdData2_PDI_Cash_Exception_Application[[#This Row],[INSERT DATE]]+1</f>
        <v>45186.257071759261</v>
      </c>
      <c r="H35" t="str">
        <f>VLOOKUP(qry_ProdData2_PDI_Cash_Exception_Application[[#This Row],[MARKET No]],'Site Allocation'!$B$2:$C$37,2,FALSE)</f>
        <v>Analyst1</v>
      </c>
      <c r="I35" s="4">
        <f t="shared" ca="1" si="0"/>
        <v>45203</v>
      </c>
      <c r="J35" s="42">
        <f ca="1">TODAY()-qry_ProdData2_PDI_Cash_Exception_Application[[#This Row],[INSERT DATE]]</f>
        <v>17.742928240739275</v>
      </c>
      <c r="K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">
        <f ca="1">qry_ProdData2_PDI_Cash_Exception_Application[[#This Row],[TODAY]]-qry_ProdData2_PDI_Cash_Exception_Application[[#This Row],[CHANGED ON]]</f>
        <v>16.742928240739275</v>
      </c>
      <c r="M35">
        <f ca="1">qry_ProdData2_PDI_Cash_Exception_Application[[#This Row],[TODAY]]-qry_ProdData2_PDI_Cash_Exception_Application[[#This Row],[CHANGED ON]]</f>
        <v>16.742928240739275</v>
      </c>
      <c r="N35">
        <f ca="1">qry_ProdData2_PDI_Cash_Exception_Application[[#This Row],[TODAY]]-qry_ProdData2_PDI_Cash_Exception_Application[[#This Row],[CHANGED ON]]</f>
        <v>16.742928240739275</v>
      </c>
    </row>
    <row r="36" spans="1:14" x14ac:dyDescent="0.35">
      <c r="A36">
        <v>1002</v>
      </c>
      <c r="B36" t="s">
        <v>56</v>
      </c>
      <c r="C36" s="1">
        <v>45185.257071759261</v>
      </c>
      <c r="D36" t="str">
        <f ca="1">VLOOKUP(qry_ProdData2_PDI_Cash_Exception_Application[[#This Row],[TYPE]],#REF!,2,FALSE)</f>
        <v>type40</v>
      </c>
      <c r="E36">
        <v>12.46</v>
      </c>
      <c r="G36" s="1">
        <f>qry_ProdData2_PDI_Cash_Exception_Application[[#This Row],[INSERT DATE]]+1</f>
        <v>45186.257071759261</v>
      </c>
      <c r="H36" t="str">
        <f>VLOOKUP(qry_ProdData2_PDI_Cash_Exception_Application[[#This Row],[MARKET No]],'Site Allocation'!$B$2:$C$37,2,FALSE)</f>
        <v>Analyst1</v>
      </c>
      <c r="I36" s="4">
        <f t="shared" ca="1" si="0"/>
        <v>45203</v>
      </c>
      <c r="J36" s="42">
        <f ca="1">TODAY()-qry_ProdData2_PDI_Cash_Exception_Application[[#This Row],[INSERT DATE]]</f>
        <v>17.742928240739275</v>
      </c>
      <c r="K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">
        <f ca="1">qry_ProdData2_PDI_Cash_Exception_Application[[#This Row],[TODAY]]-qry_ProdData2_PDI_Cash_Exception_Application[[#This Row],[CHANGED ON]]</f>
        <v>16.742928240739275</v>
      </c>
      <c r="M36">
        <f ca="1">qry_ProdData2_PDI_Cash_Exception_Application[[#This Row],[TODAY]]-qry_ProdData2_PDI_Cash_Exception_Application[[#This Row],[CHANGED ON]]</f>
        <v>16.742928240739275</v>
      </c>
      <c r="N36">
        <f ca="1">qry_ProdData2_PDI_Cash_Exception_Application[[#This Row],[TODAY]]-qry_ProdData2_PDI_Cash_Exception_Application[[#This Row],[CHANGED ON]]</f>
        <v>16.742928240739275</v>
      </c>
    </row>
    <row r="37" spans="1:14" x14ac:dyDescent="0.35">
      <c r="A37">
        <v>1014</v>
      </c>
      <c r="B37" t="s">
        <v>68</v>
      </c>
      <c r="C37" s="1">
        <v>45180.257071759261</v>
      </c>
      <c r="D37" t="str">
        <f ca="1">VLOOKUP(qry_ProdData2_PDI_Cash_Exception_Application[[#This Row],[TYPE]],#REF!,2,FALSE)</f>
        <v>type13</v>
      </c>
      <c r="E37">
        <v>61832.56</v>
      </c>
      <c r="G37" s="1">
        <f>qry_ProdData2_PDI_Cash_Exception_Application[[#This Row],[INSERT DATE]]+1</f>
        <v>45181.257071759261</v>
      </c>
      <c r="H37" t="str">
        <f>VLOOKUP(qry_ProdData2_PDI_Cash_Exception_Application[[#This Row],[MARKET No]],'Site Allocation'!$B$2:$C$37,2,FALSE)</f>
        <v>Analyst3</v>
      </c>
      <c r="I37" s="4">
        <f t="shared" ca="1" si="0"/>
        <v>45203</v>
      </c>
      <c r="J37" s="42">
        <f ca="1">TODAY()-qry_ProdData2_PDI_Cash_Exception_Application[[#This Row],[INSERT DATE]]</f>
        <v>22.742928240739275</v>
      </c>
      <c r="K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">
        <f ca="1">qry_ProdData2_PDI_Cash_Exception_Application[[#This Row],[TODAY]]-qry_ProdData2_PDI_Cash_Exception_Application[[#This Row],[CHANGED ON]]</f>
        <v>21.742928240739275</v>
      </c>
      <c r="M37">
        <f ca="1">qry_ProdData2_PDI_Cash_Exception_Application[[#This Row],[TODAY]]-qry_ProdData2_PDI_Cash_Exception_Application[[#This Row],[CHANGED ON]]</f>
        <v>21.742928240739275</v>
      </c>
      <c r="N37">
        <f ca="1">qry_ProdData2_PDI_Cash_Exception_Application[[#This Row],[TODAY]]-qry_ProdData2_PDI_Cash_Exception_Application[[#This Row],[CHANGED ON]]</f>
        <v>21.742928240739275</v>
      </c>
    </row>
    <row r="38" spans="1:14" x14ac:dyDescent="0.35">
      <c r="A38">
        <v>1024</v>
      </c>
      <c r="B38" t="s">
        <v>78</v>
      </c>
      <c r="C38" s="1">
        <v>45187.257071759261</v>
      </c>
      <c r="D38" t="str">
        <f ca="1">VLOOKUP(qry_ProdData2_PDI_Cash_Exception_Application[[#This Row],[TYPE]],#REF!,2,FALSE)</f>
        <v>type40</v>
      </c>
      <c r="E38">
        <v>-2824.84</v>
      </c>
      <c r="F38" t="str">
        <f>qry_ProdData2_PDI_Cash_Exception_Application[[#This Row],[ANALYST]]</f>
        <v>Analyst5</v>
      </c>
      <c r="G38" s="1">
        <f>qry_ProdData2_PDI_Cash_Exception_Application[[#This Row],[INSERT DATE]]+1</f>
        <v>45188.257071759261</v>
      </c>
      <c r="H38" t="str">
        <f>VLOOKUP(qry_ProdData2_PDI_Cash_Exception_Application[[#This Row],[MARKET No]],'Site Allocation'!$B$2:$C$37,2,FALSE)</f>
        <v>Analyst5</v>
      </c>
      <c r="I38" s="4">
        <f t="shared" ca="1" si="0"/>
        <v>45203</v>
      </c>
      <c r="J38" s="42">
        <f ca="1">TODAY()-qry_ProdData2_PDI_Cash_Exception_Application[[#This Row],[INSERT DATE]]</f>
        <v>15.742928240739275</v>
      </c>
      <c r="K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8">
        <f ca="1">qry_ProdData2_PDI_Cash_Exception_Application[[#This Row],[TODAY]]-qry_ProdData2_PDI_Cash_Exception_Application[[#This Row],[CHANGED ON]]</f>
        <v>14.742928240739275</v>
      </c>
      <c r="M38">
        <f ca="1">qry_ProdData2_PDI_Cash_Exception_Application[[#This Row],[TODAY]]-qry_ProdData2_PDI_Cash_Exception_Application[[#This Row],[CHANGED ON]]</f>
        <v>14.742928240739275</v>
      </c>
      <c r="N38">
        <f ca="1">qry_ProdData2_PDI_Cash_Exception_Application[[#This Row],[TODAY]]-qry_ProdData2_PDI_Cash_Exception_Application[[#This Row],[CHANGED ON]]</f>
        <v>14.742928240739275</v>
      </c>
    </row>
    <row r="39" spans="1:14" x14ac:dyDescent="0.35">
      <c r="A39">
        <v>1005</v>
      </c>
      <c r="B39" t="s">
        <v>59</v>
      </c>
      <c r="C39" s="1">
        <v>45181.257071759261</v>
      </c>
      <c r="D39" t="str">
        <f ca="1">VLOOKUP(qry_ProdData2_PDI_Cash_Exception_Application[[#This Row],[TYPE]],#REF!,2,FALSE)</f>
        <v>type40</v>
      </c>
      <c r="E39">
        <v>-387.43</v>
      </c>
      <c r="G39" s="1">
        <f>qry_ProdData2_PDI_Cash_Exception_Application[[#This Row],[INSERT DATE]]+2</f>
        <v>45183.257071759261</v>
      </c>
      <c r="H39" t="str">
        <f>VLOOKUP(qry_ProdData2_PDI_Cash_Exception_Application[[#This Row],[MARKET No]],'Site Allocation'!$B$2:$C$37,2,FALSE)</f>
        <v>Analyst1</v>
      </c>
      <c r="I39" s="4">
        <f t="shared" ca="1" si="0"/>
        <v>45203</v>
      </c>
      <c r="J39" s="42">
        <f ca="1">TODAY()-qry_ProdData2_PDI_Cash_Exception_Application[[#This Row],[INSERT DATE]]</f>
        <v>21.742928240739275</v>
      </c>
      <c r="K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9">
        <f ca="1">qry_ProdData2_PDI_Cash_Exception_Application[[#This Row],[TODAY]]-qry_ProdData2_PDI_Cash_Exception_Application[[#This Row],[CHANGED ON]]</f>
        <v>19.742928240739275</v>
      </c>
      <c r="M39">
        <f ca="1">qry_ProdData2_PDI_Cash_Exception_Application[[#This Row],[TODAY]]-qry_ProdData2_PDI_Cash_Exception_Application[[#This Row],[CHANGED ON]]</f>
        <v>19.742928240739275</v>
      </c>
      <c r="N39">
        <f ca="1">qry_ProdData2_PDI_Cash_Exception_Application[[#This Row],[TODAY]]-qry_ProdData2_PDI_Cash_Exception_Application[[#This Row],[CHANGED ON]]</f>
        <v>19.742928240739275</v>
      </c>
    </row>
    <row r="40" spans="1:14" x14ac:dyDescent="0.35">
      <c r="A40">
        <v>1019</v>
      </c>
      <c r="B40" t="s">
        <v>73</v>
      </c>
      <c r="C40" s="1">
        <v>45189.257071759261</v>
      </c>
      <c r="D40" t="str">
        <f ca="1">VLOOKUP(qry_ProdData2_PDI_Cash_Exception_Application[[#This Row],[TYPE]],#REF!,2,FALSE)</f>
        <v>type40</v>
      </c>
      <c r="E40">
        <v>-884.25</v>
      </c>
      <c r="F40" t="str">
        <f>qry_ProdData2_PDI_Cash_Exception_Application[[#This Row],[ANALYST]]</f>
        <v>Analyst4</v>
      </c>
      <c r="G40" s="1">
        <f>qry_ProdData2_PDI_Cash_Exception_Application[[#This Row],[INSERT DATE]]+1</f>
        <v>45190.257071759261</v>
      </c>
      <c r="H40" t="str">
        <f>VLOOKUP(qry_ProdData2_PDI_Cash_Exception_Application[[#This Row],[MARKET No]],'Site Allocation'!$B$2:$C$37,2,FALSE)</f>
        <v>Analyst4</v>
      </c>
      <c r="I40" s="4">
        <f t="shared" ca="1" si="0"/>
        <v>45203</v>
      </c>
      <c r="J40" s="42">
        <f ca="1">TODAY()-qry_ProdData2_PDI_Cash_Exception_Application[[#This Row],[INSERT DATE]]</f>
        <v>13.742928240739275</v>
      </c>
      <c r="K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0">
        <f ca="1">qry_ProdData2_PDI_Cash_Exception_Application[[#This Row],[TODAY]]-qry_ProdData2_PDI_Cash_Exception_Application[[#This Row],[CHANGED ON]]</f>
        <v>12.742928240739275</v>
      </c>
      <c r="M40">
        <f ca="1">qry_ProdData2_PDI_Cash_Exception_Application[[#This Row],[TODAY]]-qry_ProdData2_PDI_Cash_Exception_Application[[#This Row],[CHANGED ON]]</f>
        <v>12.742928240739275</v>
      </c>
      <c r="N40">
        <f ca="1">qry_ProdData2_PDI_Cash_Exception_Application[[#This Row],[TODAY]]-qry_ProdData2_PDI_Cash_Exception_Application[[#This Row],[CHANGED ON]]</f>
        <v>12.742928240739275</v>
      </c>
    </row>
    <row r="41" spans="1:14" x14ac:dyDescent="0.35">
      <c r="A41">
        <v>1026</v>
      </c>
      <c r="B41" t="s">
        <v>80</v>
      </c>
      <c r="C41" s="1">
        <v>45190.257071759261</v>
      </c>
      <c r="D41" t="str">
        <f ca="1">VLOOKUP(qry_ProdData2_PDI_Cash_Exception_Application[[#This Row],[TYPE]],#REF!,2,FALSE)</f>
        <v>type40</v>
      </c>
      <c r="E41">
        <v>-323.92</v>
      </c>
      <c r="F41" t="str">
        <f>qry_ProdData2_PDI_Cash_Exception_Application[[#This Row],[ANALYST]]</f>
        <v>Analyst5</v>
      </c>
      <c r="G41" s="1">
        <f>qry_ProdData2_PDI_Cash_Exception_Application[[#This Row],[INSERT DATE]]+1</f>
        <v>45191.257071759261</v>
      </c>
      <c r="H41" t="str">
        <f>VLOOKUP(qry_ProdData2_PDI_Cash_Exception_Application[[#This Row],[MARKET No]],'Site Allocation'!$B$2:$C$37,2,FALSE)</f>
        <v>Analyst5</v>
      </c>
      <c r="I41" s="4">
        <f t="shared" ca="1" si="0"/>
        <v>45203</v>
      </c>
      <c r="J41" s="42">
        <f ca="1">TODAY()-qry_ProdData2_PDI_Cash_Exception_Application[[#This Row],[INSERT DATE]]</f>
        <v>12.742928240739275</v>
      </c>
      <c r="K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1">
        <f ca="1">qry_ProdData2_PDI_Cash_Exception_Application[[#This Row],[TODAY]]-qry_ProdData2_PDI_Cash_Exception_Application[[#This Row],[CHANGED ON]]</f>
        <v>11.742928240739275</v>
      </c>
      <c r="M41">
        <f ca="1">qry_ProdData2_PDI_Cash_Exception_Application[[#This Row],[TODAY]]-qry_ProdData2_PDI_Cash_Exception_Application[[#This Row],[CHANGED ON]]</f>
        <v>11.742928240739275</v>
      </c>
      <c r="N41">
        <f ca="1">qry_ProdData2_PDI_Cash_Exception_Application[[#This Row],[TODAY]]-qry_ProdData2_PDI_Cash_Exception_Application[[#This Row],[CHANGED ON]]</f>
        <v>11.742928240739275</v>
      </c>
    </row>
    <row r="42" spans="1:14" x14ac:dyDescent="0.35">
      <c r="A42">
        <v>1007</v>
      </c>
      <c r="B42" t="s">
        <v>61</v>
      </c>
      <c r="C42" s="1">
        <v>45191.257071759261</v>
      </c>
      <c r="D42" t="str">
        <f ca="1">VLOOKUP(qry_ProdData2_PDI_Cash_Exception_Application[[#This Row],[TYPE]],#REF!,2,FALSE)</f>
        <v>type40</v>
      </c>
      <c r="E42">
        <v>-739.56</v>
      </c>
      <c r="G42" s="1">
        <f>qry_ProdData2_PDI_Cash_Exception_Application[[#This Row],[INSERT DATE]]+2</f>
        <v>45193.257071759261</v>
      </c>
      <c r="H42" t="str">
        <f>VLOOKUP(qry_ProdData2_PDI_Cash_Exception_Application[[#This Row],[MARKET No]],'Site Allocation'!$B$2:$C$37,2,FALSE)</f>
        <v>Analyst2</v>
      </c>
      <c r="I42" s="4">
        <f t="shared" ca="1" si="0"/>
        <v>45203</v>
      </c>
      <c r="J42" s="42">
        <f ca="1">TODAY()-qry_ProdData2_PDI_Cash_Exception_Application[[#This Row],[INSERT DATE]]</f>
        <v>11.742928240739275</v>
      </c>
      <c r="K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2">
        <f ca="1">qry_ProdData2_PDI_Cash_Exception_Application[[#This Row],[TODAY]]-qry_ProdData2_PDI_Cash_Exception_Application[[#This Row],[CHANGED ON]]</f>
        <v>9.7429282407392748</v>
      </c>
      <c r="M42">
        <f ca="1">qry_ProdData2_PDI_Cash_Exception_Application[[#This Row],[TODAY]]-qry_ProdData2_PDI_Cash_Exception_Application[[#This Row],[CHANGED ON]]</f>
        <v>9.7429282407392748</v>
      </c>
      <c r="N42">
        <f ca="1">qry_ProdData2_PDI_Cash_Exception_Application[[#This Row],[TODAY]]-qry_ProdData2_PDI_Cash_Exception_Application[[#This Row],[CHANGED ON]]</f>
        <v>9.7429282407392748</v>
      </c>
    </row>
    <row r="43" spans="1:14" x14ac:dyDescent="0.35">
      <c r="A43">
        <v>1034</v>
      </c>
      <c r="B43" t="s">
        <v>88</v>
      </c>
      <c r="C43" s="1">
        <v>45196.257071759261</v>
      </c>
      <c r="D43" t="str">
        <f ca="1">VLOOKUP(qry_ProdData2_PDI_Cash_Exception_Application[[#This Row],[TYPE]],#REF!,2,FALSE)</f>
        <v>type40</v>
      </c>
      <c r="E43">
        <v>-5614.57</v>
      </c>
      <c r="G43" s="1">
        <f>qry_ProdData2_PDI_Cash_Exception_Application[[#This Row],[INSERT DATE]]+1</f>
        <v>45197.257071759261</v>
      </c>
      <c r="H43" t="str">
        <f>VLOOKUP(qry_ProdData2_PDI_Cash_Exception_Application[[#This Row],[MARKET No]],'Site Allocation'!$B$2:$C$37,2,FALSE)</f>
        <v>Analyst6</v>
      </c>
      <c r="I43" s="4">
        <f t="shared" ca="1" si="0"/>
        <v>45203</v>
      </c>
      <c r="J43" s="42">
        <f ca="1">TODAY()-qry_ProdData2_PDI_Cash_Exception_Application[[#This Row],[INSERT DATE]]</f>
        <v>6.7429282407392748</v>
      </c>
      <c r="K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43">
        <f ca="1">qry_ProdData2_PDI_Cash_Exception_Application[[#This Row],[TODAY]]-qry_ProdData2_PDI_Cash_Exception_Application[[#This Row],[CHANGED ON]]</f>
        <v>5.7429282407392748</v>
      </c>
      <c r="M43">
        <f ca="1">qry_ProdData2_PDI_Cash_Exception_Application[[#This Row],[TODAY]]-qry_ProdData2_PDI_Cash_Exception_Application[[#This Row],[CHANGED ON]]</f>
        <v>5.7429282407392748</v>
      </c>
      <c r="N43">
        <f ca="1">qry_ProdData2_PDI_Cash_Exception_Application[[#This Row],[TODAY]]-qry_ProdData2_PDI_Cash_Exception_Application[[#This Row],[CHANGED ON]]</f>
        <v>5.7429282407392748</v>
      </c>
    </row>
    <row r="44" spans="1:14" x14ac:dyDescent="0.35">
      <c r="A44">
        <v>1008</v>
      </c>
      <c r="B44" t="s">
        <v>62</v>
      </c>
      <c r="C44" s="1">
        <v>45195.257071759261</v>
      </c>
      <c r="D44" t="str">
        <f ca="1">VLOOKUP(qry_ProdData2_PDI_Cash_Exception_Application[[#This Row],[TYPE]],#REF!,2,FALSE)</f>
        <v>type13</v>
      </c>
      <c r="E44">
        <v>25357.89</v>
      </c>
      <c r="G44" s="1">
        <f>qry_ProdData2_PDI_Cash_Exception_Application[[#This Row],[INSERT DATE]]+1</f>
        <v>45196.257071759261</v>
      </c>
      <c r="H44" t="str">
        <f>VLOOKUP(qry_ProdData2_PDI_Cash_Exception_Application[[#This Row],[MARKET No]],'Site Allocation'!$B$2:$C$37,2,FALSE)</f>
        <v>Analyst2</v>
      </c>
      <c r="I44" s="4">
        <f t="shared" ca="1" si="0"/>
        <v>45203</v>
      </c>
      <c r="J44" s="42">
        <f ca="1">TODAY()-qry_ProdData2_PDI_Cash_Exception_Application[[#This Row],[INSERT DATE]]</f>
        <v>7.7429282407392748</v>
      </c>
      <c r="K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44">
        <f ca="1">qry_ProdData2_PDI_Cash_Exception_Application[[#This Row],[TODAY]]-qry_ProdData2_PDI_Cash_Exception_Application[[#This Row],[CHANGED ON]]</f>
        <v>6.7429282407392748</v>
      </c>
      <c r="M44">
        <f ca="1">qry_ProdData2_PDI_Cash_Exception_Application[[#This Row],[TODAY]]-qry_ProdData2_PDI_Cash_Exception_Application[[#This Row],[CHANGED ON]]</f>
        <v>6.7429282407392748</v>
      </c>
      <c r="N44">
        <f ca="1">qry_ProdData2_PDI_Cash_Exception_Application[[#This Row],[TODAY]]-qry_ProdData2_PDI_Cash_Exception_Application[[#This Row],[CHANGED ON]]</f>
        <v>6.7429282407392748</v>
      </c>
    </row>
    <row r="45" spans="1:14" x14ac:dyDescent="0.35">
      <c r="A45">
        <v>1003</v>
      </c>
      <c r="B45" t="s">
        <v>57</v>
      </c>
      <c r="C45" s="1">
        <v>45186.257071759261</v>
      </c>
      <c r="D45" t="str">
        <f ca="1">VLOOKUP(qry_ProdData2_PDI_Cash_Exception_Application[[#This Row],[TYPE]],#REF!,2,FALSE)</f>
        <v>type40</v>
      </c>
      <c r="E45">
        <v>89.26</v>
      </c>
      <c r="G45" s="1">
        <f>qry_ProdData2_PDI_Cash_Exception_Application[[#This Row],[INSERT DATE]]+1</f>
        <v>45187.257071759261</v>
      </c>
      <c r="H45" t="str">
        <f>VLOOKUP(qry_ProdData2_PDI_Cash_Exception_Application[[#This Row],[MARKET No]],'Site Allocation'!$B$2:$C$37,2,FALSE)</f>
        <v>Analyst1</v>
      </c>
      <c r="I45" s="4">
        <f t="shared" ca="1" si="0"/>
        <v>45203</v>
      </c>
      <c r="J45" s="42">
        <f ca="1">TODAY()-qry_ProdData2_PDI_Cash_Exception_Application[[#This Row],[INSERT DATE]]</f>
        <v>16.742928240739275</v>
      </c>
      <c r="K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5">
        <f ca="1">qry_ProdData2_PDI_Cash_Exception_Application[[#This Row],[TODAY]]-qry_ProdData2_PDI_Cash_Exception_Application[[#This Row],[CHANGED ON]]</f>
        <v>15.742928240739275</v>
      </c>
      <c r="M45">
        <f ca="1">qry_ProdData2_PDI_Cash_Exception_Application[[#This Row],[TODAY]]-qry_ProdData2_PDI_Cash_Exception_Application[[#This Row],[CHANGED ON]]</f>
        <v>15.742928240739275</v>
      </c>
      <c r="N45">
        <f ca="1">qry_ProdData2_PDI_Cash_Exception_Application[[#This Row],[TODAY]]-qry_ProdData2_PDI_Cash_Exception_Application[[#This Row],[CHANGED ON]]</f>
        <v>15.742928240739275</v>
      </c>
    </row>
    <row r="46" spans="1:14" x14ac:dyDescent="0.35">
      <c r="A46">
        <v>1005</v>
      </c>
      <c r="B46" t="s">
        <v>59</v>
      </c>
      <c r="C46" s="1">
        <v>45187.257071759261</v>
      </c>
      <c r="D46" t="str">
        <f ca="1">VLOOKUP(qry_ProdData2_PDI_Cash_Exception_Application[[#This Row],[TYPE]],#REF!,2,FALSE)</f>
        <v>type13</v>
      </c>
      <c r="E46">
        <v>25704.799999999999</v>
      </c>
      <c r="G46" s="1">
        <f>qry_ProdData2_PDI_Cash_Exception_Application[[#This Row],[INSERT DATE]]+2</f>
        <v>45189.257071759261</v>
      </c>
      <c r="H46" t="str">
        <f>VLOOKUP(qry_ProdData2_PDI_Cash_Exception_Application[[#This Row],[MARKET No]],'Site Allocation'!$B$2:$C$37,2,FALSE)</f>
        <v>Analyst1</v>
      </c>
      <c r="I46" s="4">
        <f t="shared" ca="1" si="0"/>
        <v>45203</v>
      </c>
      <c r="J46" s="42">
        <f ca="1">TODAY()-qry_ProdData2_PDI_Cash_Exception_Application[[#This Row],[INSERT DATE]]</f>
        <v>15.742928240739275</v>
      </c>
      <c r="K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6">
        <f ca="1">qry_ProdData2_PDI_Cash_Exception_Application[[#This Row],[TODAY]]-qry_ProdData2_PDI_Cash_Exception_Application[[#This Row],[CHANGED ON]]</f>
        <v>13.742928240739275</v>
      </c>
      <c r="M46">
        <f ca="1">qry_ProdData2_PDI_Cash_Exception_Application[[#This Row],[TODAY]]-qry_ProdData2_PDI_Cash_Exception_Application[[#This Row],[CHANGED ON]]</f>
        <v>13.742928240739275</v>
      </c>
      <c r="N46">
        <f ca="1">qry_ProdData2_PDI_Cash_Exception_Application[[#This Row],[TODAY]]-qry_ProdData2_PDI_Cash_Exception_Application[[#This Row],[CHANGED ON]]</f>
        <v>13.742928240739275</v>
      </c>
    </row>
    <row r="47" spans="1:14" x14ac:dyDescent="0.35">
      <c r="A47">
        <v>1004</v>
      </c>
      <c r="B47" t="s">
        <v>58</v>
      </c>
      <c r="C47" s="1">
        <v>45188.257071759261</v>
      </c>
      <c r="D47" t="str">
        <f ca="1">VLOOKUP(qry_ProdData2_PDI_Cash_Exception_Application[[#This Row],[TYPE]],#REF!,2,FALSE)</f>
        <v>type40</v>
      </c>
      <c r="E47">
        <v>3083</v>
      </c>
      <c r="G47" s="1">
        <f>qry_ProdData2_PDI_Cash_Exception_Application[[#This Row],[INSERT DATE]]+2</f>
        <v>45190.257071759261</v>
      </c>
      <c r="H47" t="str">
        <f>VLOOKUP(qry_ProdData2_PDI_Cash_Exception_Application[[#This Row],[MARKET No]],'Site Allocation'!$B$2:$C$37,2,FALSE)</f>
        <v>Analyst1</v>
      </c>
      <c r="I47" s="4">
        <f t="shared" ca="1" si="0"/>
        <v>45203</v>
      </c>
      <c r="J47" s="42">
        <f ca="1">TODAY()-qry_ProdData2_PDI_Cash_Exception_Application[[#This Row],[INSERT DATE]]</f>
        <v>14.742928240739275</v>
      </c>
      <c r="K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7">
        <f ca="1">qry_ProdData2_PDI_Cash_Exception_Application[[#This Row],[TODAY]]-qry_ProdData2_PDI_Cash_Exception_Application[[#This Row],[CHANGED ON]]</f>
        <v>12.742928240739275</v>
      </c>
      <c r="M47">
        <f ca="1">qry_ProdData2_PDI_Cash_Exception_Application[[#This Row],[TODAY]]-qry_ProdData2_PDI_Cash_Exception_Application[[#This Row],[CHANGED ON]]</f>
        <v>12.742928240739275</v>
      </c>
      <c r="N47">
        <f ca="1">qry_ProdData2_PDI_Cash_Exception_Application[[#This Row],[TODAY]]-qry_ProdData2_PDI_Cash_Exception_Application[[#This Row],[CHANGED ON]]</f>
        <v>12.742928240739275</v>
      </c>
    </row>
    <row r="48" spans="1:14" x14ac:dyDescent="0.35">
      <c r="A48">
        <v>1018</v>
      </c>
      <c r="B48" t="s">
        <v>72</v>
      </c>
      <c r="C48" s="1">
        <v>45187.257071759261</v>
      </c>
      <c r="D48" t="str">
        <f ca="1">VLOOKUP(qry_ProdData2_PDI_Cash_Exception_Application[[#This Row],[TYPE]],#REF!,2,FALSE)</f>
        <v>type7</v>
      </c>
      <c r="E48">
        <v>-12786.77</v>
      </c>
      <c r="F48" t="str">
        <f>qry_ProdData2_PDI_Cash_Exception_Application[[#This Row],[ANALYST]]</f>
        <v>Analyst4</v>
      </c>
      <c r="G48" s="1">
        <f>qry_ProdData2_PDI_Cash_Exception_Application[[#This Row],[INSERT DATE]]+2</f>
        <v>45189.257071759261</v>
      </c>
      <c r="H48" t="str">
        <f>VLOOKUP(qry_ProdData2_PDI_Cash_Exception_Application[[#This Row],[MARKET No]],'Site Allocation'!$B$2:$C$37,2,FALSE)</f>
        <v>Analyst4</v>
      </c>
      <c r="I48" s="4">
        <f t="shared" ca="1" si="0"/>
        <v>45203</v>
      </c>
      <c r="J48" s="42">
        <f ca="1">TODAY()-qry_ProdData2_PDI_Cash_Exception_Application[[#This Row],[INSERT DATE]]</f>
        <v>15.742928240739275</v>
      </c>
      <c r="K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8">
        <f ca="1">qry_ProdData2_PDI_Cash_Exception_Application[[#This Row],[TODAY]]-qry_ProdData2_PDI_Cash_Exception_Application[[#This Row],[CHANGED ON]]</f>
        <v>13.742928240739275</v>
      </c>
      <c r="M48">
        <f ca="1">qry_ProdData2_PDI_Cash_Exception_Application[[#This Row],[TODAY]]-qry_ProdData2_PDI_Cash_Exception_Application[[#This Row],[CHANGED ON]]</f>
        <v>13.742928240739275</v>
      </c>
      <c r="N48">
        <f ca="1">qry_ProdData2_PDI_Cash_Exception_Application[[#This Row],[TODAY]]-qry_ProdData2_PDI_Cash_Exception_Application[[#This Row],[CHANGED ON]]</f>
        <v>13.742928240739275</v>
      </c>
    </row>
    <row r="49" spans="1:14" x14ac:dyDescent="0.35">
      <c r="A49">
        <v>1003</v>
      </c>
      <c r="B49" t="s">
        <v>57</v>
      </c>
      <c r="C49" s="1">
        <v>45183.257071759261</v>
      </c>
      <c r="D49" t="str">
        <f ca="1">VLOOKUP(qry_ProdData2_PDI_Cash_Exception_Application[[#This Row],[TYPE]],#REF!,2,FALSE)</f>
        <v>type40</v>
      </c>
      <c r="E49">
        <v>397.11</v>
      </c>
      <c r="G49" s="1">
        <f>qry_ProdData2_PDI_Cash_Exception_Application[[#This Row],[INSERT DATE]]+2</f>
        <v>45185.257071759261</v>
      </c>
      <c r="H49" t="str">
        <f>VLOOKUP(qry_ProdData2_PDI_Cash_Exception_Application[[#This Row],[MARKET No]],'Site Allocation'!$B$2:$C$37,2,FALSE)</f>
        <v>Analyst1</v>
      </c>
      <c r="I49" s="4">
        <f t="shared" ca="1" si="0"/>
        <v>45203</v>
      </c>
      <c r="J49" s="42">
        <f ca="1">TODAY()-qry_ProdData2_PDI_Cash_Exception_Application[[#This Row],[INSERT DATE]]</f>
        <v>19.742928240739275</v>
      </c>
      <c r="K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9">
        <f ca="1">qry_ProdData2_PDI_Cash_Exception_Application[[#This Row],[TODAY]]-qry_ProdData2_PDI_Cash_Exception_Application[[#This Row],[CHANGED ON]]</f>
        <v>17.742928240739275</v>
      </c>
      <c r="M49">
        <f ca="1">qry_ProdData2_PDI_Cash_Exception_Application[[#This Row],[TODAY]]-qry_ProdData2_PDI_Cash_Exception_Application[[#This Row],[CHANGED ON]]</f>
        <v>17.742928240739275</v>
      </c>
      <c r="N49">
        <f ca="1">qry_ProdData2_PDI_Cash_Exception_Application[[#This Row],[TODAY]]-qry_ProdData2_PDI_Cash_Exception_Application[[#This Row],[CHANGED ON]]</f>
        <v>17.742928240739275</v>
      </c>
    </row>
    <row r="50" spans="1:14" x14ac:dyDescent="0.35">
      <c r="A50">
        <v>1032</v>
      </c>
      <c r="B50" t="s">
        <v>86</v>
      </c>
      <c r="C50" s="1">
        <v>45189.257071759261</v>
      </c>
      <c r="D50" t="str">
        <f ca="1">VLOOKUP(qry_ProdData2_PDI_Cash_Exception_Application[[#This Row],[TYPE]],#REF!,2,FALSE)</f>
        <v>type40</v>
      </c>
      <c r="E50">
        <v>-1008.82</v>
      </c>
      <c r="G50" s="1">
        <f>qry_ProdData2_PDI_Cash_Exception_Application[[#This Row],[INSERT DATE]]+2</f>
        <v>45191.257071759261</v>
      </c>
      <c r="H50" t="str">
        <f>VLOOKUP(qry_ProdData2_PDI_Cash_Exception_Application[[#This Row],[MARKET No]],'Site Allocation'!$B$2:$C$37,2,FALSE)</f>
        <v>Analyst6</v>
      </c>
      <c r="I50" s="4">
        <f t="shared" ca="1" si="0"/>
        <v>45203</v>
      </c>
      <c r="J50" s="42">
        <f ca="1">TODAY()-qry_ProdData2_PDI_Cash_Exception_Application[[#This Row],[INSERT DATE]]</f>
        <v>13.742928240739275</v>
      </c>
      <c r="K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0">
        <f ca="1">qry_ProdData2_PDI_Cash_Exception_Application[[#This Row],[TODAY]]-qry_ProdData2_PDI_Cash_Exception_Application[[#This Row],[CHANGED ON]]</f>
        <v>11.742928240739275</v>
      </c>
      <c r="M50">
        <f ca="1">qry_ProdData2_PDI_Cash_Exception_Application[[#This Row],[TODAY]]-qry_ProdData2_PDI_Cash_Exception_Application[[#This Row],[CHANGED ON]]</f>
        <v>11.742928240739275</v>
      </c>
      <c r="N50">
        <f ca="1">qry_ProdData2_PDI_Cash_Exception_Application[[#This Row],[TODAY]]-qry_ProdData2_PDI_Cash_Exception_Application[[#This Row],[CHANGED ON]]</f>
        <v>11.742928240739275</v>
      </c>
    </row>
    <row r="51" spans="1:14" x14ac:dyDescent="0.35">
      <c r="A51">
        <v>1031</v>
      </c>
      <c r="B51" t="s">
        <v>85</v>
      </c>
      <c r="C51" s="1">
        <v>45182.257071759261</v>
      </c>
      <c r="D51" t="str">
        <f ca="1">VLOOKUP(qry_ProdData2_PDI_Cash_Exception_Application[[#This Row],[TYPE]],#REF!,2,FALSE)</f>
        <v>type13</v>
      </c>
      <c r="E51">
        <v>17847.16</v>
      </c>
      <c r="G51" s="1">
        <f>qry_ProdData2_PDI_Cash_Exception_Application[[#This Row],[INSERT DATE]]+2</f>
        <v>45184.257071759261</v>
      </c>
      <c r="H51" t="str">
        <f>VLOOKUP(qry_ProdData2_PDI_Cash_Exception_Application[[#This Row],[MARKET No]],'Site Allocation'!$B$2:$C$37,2,FALSE)</f>
        <v>Analyst6</v>
      </c>
      <c r="I51" s="4">
        <f t="shared" ca="1" si="0"/>
        <v>45203</v>
      </c>
      <c r="J51" s="42">
        <f ca="1">TODAY()-qry_ProdData2_PDI_Cash_Exception_Application[[#This Row],[INSERT DATE]]</f>
        <v>20.742928240739275</v>
      </c>
      <c r="K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1">
        <f ca="1">qry_ProdData2_PDI_Cash_Exception_Application[[#This Row],[TODAY]]-qry_ProdData2_PDI_Cash_Exception_Application[[#This Row],[CHANGED ON]]</f>
        <v>18.742928240739275</v>
      </c>
      <c r="M51">
        <f ca="1">qry_ProdData2_PDI_Cash_Exception_Application[[#This Row],[TODAY]]-qry_ProdData2_PDI_Cash_Exception_Application[[#This Row],[CHANGED ON]]</f>
        <v>18.742928240739275</v>
      </c>
      <c r="N51">
        <f ca="1">qry_ProdData2_PDI_Cash_Exception_Application[[#This Row],[TODAY]]-qry_ProdData2_PDI_Cash_Exception_Application[[#This Row],[CHANGED ON]]</f>
        <v>18.742928240739275</v>
      </c>
    </row>
    <row r="52" spans="1:14" x14ac:dyDescent="0.35">
      <c r="A52">
        <v>1033</v>
      </c>
      <c r="B52" t="s">
        <v>87</v>
      </c>
      <c r="C52" s="1">
        <v>45190.257071759261</v>
      </c>
      <c r="D52" t="str">
        <f ca="1">VLOOKUP(qry_ProdData2_PDI_Cash_Exception_Application[[#This Row],[TYPE]],#REF!,2,FALSE)</f>
        <v>type40</v>
      </c>
      <c r="E52">
        <v>2453.04</v>
      </c>
      <c r="G52" s="1">
        <f>qry_ProdData2_PDI_Cash_Exception_Application[[#This Row],[INSERT DATE]]+2</f>
        <v>45192.257071759261</v>
      </c>
      <c r="H52" t="str">
        <f>VLOOKUP(qry_ProdData2_PDI_Cash_Exception_Application[[#This Row],[MARKET No]],'Site Allocation'!$B$2:$C$37,2,FALSE)</f>
        <v>Analyst6</v>
      </c>
      <c r="I52" s="4">
        <f t="shared" ca="1" si="0"/>
        <v>45203</v>
      </c>
      <c r="J52" s="42">
        <f ca="1">TODAY()-qry_ProdData2_PDI_Cash_Exception_Application[[#This Row],[INSERT DATE]]</f>
        <v>12.742928240739275</v>
      </c>
      <c r="K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2">
        <f ca="1">qry_ProdData2_PDI_Cash_Exception_Application[[#This Row],[TODAY]]-qry_ProdData2_PDI_Cash_Exception_Application[[#This Row],[CHANGED ON]]</f>
        <v>10.742928240739275</v>
      </c>
      <c r="M52">
        <f ca="1">qry_ProdData2_PDI_Cash_Exception_Application[[#This Row],[TODAY]]-qry_ProdData2_PDI_Cash_Exception_Application[[#This Row],[CHANGED ON]]</f>
        <v>10.742928240739275</v>
      </c>
      <c r="N52">
        <f ca="1">qry_ProdData2_PDI_Cash_Exception_Application[[#This Row],[TODAY]]-qry_ProdData2_PDI_Cash_Exception_Application[[#This Row],[CHANGED ON]]</f>
        <v>10.742928240739275</v>
      </c>
    </row>
    <row r="53" spans="1:14" x14ac:dyDescent="0.35">
      <c r="A53">
        <v>1005</v>
      </c>
      <c r="B53" t="s">
        <v>59</v>
      </c>
      <c r="C53" s="1">
        <v>45197.257071759261</v>
      </c>
      <c r="D53" t="str">
        <f ca="1">VLOOKUP(qry_ProdData2_PDI_Cash_Exception_Application[[#This Row],[TYPE]],#REF!,2,FALSE)</f>
        <v>type40</v>
      </c>
      <c r="E53">
        <v>-328.26</v>
      </c>
      <c r="G53" s="1">
        <f>qry_ProdData2_PDI_Cash_Exception_Application[[#This Row],[INSERT DATE]]+2</f>
        <v>45199.257071759261</v>
      </c>
      <c r="H53" t="str">
        <f>VLOOKUP(qry_ProdData2_PDI_Cash_Exception_Application[[#This Row],[MARKET No]],'Site Allocation'!$B$2:$C$37,2,FALSE)</f>
        <v>Analyst1</v>
      </c>
      <c r="I53" s="4">
        <f t="shared" ca="1" si="0"/>
        <v>45203</v>
      </c>
      <c r="J53" s="42">
        <f ca="1">TODAY()-qry_ProdData2_PDI_Cash_Exception_Application[[#This Row],[INSERT DATE]]</f>
        <v>5.7429282407392748</v>
      </c>
      <c r="K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53">
        <f ca="1">qry_ProdData2_PDI_Cash_Exception_Application[[#This Row],[TODAY]]-qry_ProdData2_PDI_Cash_Exception_Application[[#This Row],[CHANGED ON]]</f>
        <v>3.7429282407392748</v>
      </c>
      <c r="M53">
        <f ca="1">qry_ProdData2_PDI_Cash_Exception_Application[[#This Row],[TODAY]]-qry_ProdData2_PDI_Cash_Exception_Application[[#This Row],[CHANGED ON]]</f>
        <v>3.7429282407392748</v>
      </c>
      <c r="N53">
        <f ca="1">qry_ProdData2_PDI_Cash_Exception_Application[[#This Row],[TODAY]]-qry_ProdData2_PDI_Cash_Exception_Application[[#This Row],[CHANGED ON]]</f>
        <v>3.7429282407392748</v>
      </c>
    </row>
    <row r="54" spans="1:14" x14ac:dyDescent="0.35">
      <c r="A54">
        <v>1009</v>
      </c>
      <c r="B54" t="s">
        <v>63</v>
      </c>
      <c r="C54" s="1">
        <v>45182.257071759261</v>
      </c>
      <c r="D54" t="str">
        <f ca="1">VLOOKUP(qry_ProdData2_PDI_Cash_Exception_Application[[#This Row],[TYPE]],#REF!,2,FALSE)</f>
        <v>type40</v>
      </c>
      <c r="E54">
        <v>762.98</v>
      </c>
      <c r="G54" s="1">
        <f>qry_ProdData2_PDI_Cash_Exception_Application[[#This Row],[INSERT DATE]]+2</f>
        <v>45184.257071759261</v>
      </c>
      <c r="H54" t="str">
        <f>VLOOKUP(qry_ProdData2_PDI_Cash_Exception_Application[[#This Row],[MARKET No]],'Site Allocation'!$B$2:$C$37,2,FALSE)</f>
        <v>Analyst2</v>
      </c>
      <c r="I54" s="4">
        <f t="shared" ca="1" si="0"/>
        <v>45203</v>
      </c>
      <c r="J54" s="42">
        <f ca="1">TODAY()-qry_ProdData2_PDI_Cash_Exception_Application[[#This Row],[INSERT DATE]]</f>
        <v>20.742928240739275</v>
      </c>
      <c r="K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4">
        <f ca="1">qry_ProdData2_PDI_Cash_Exception_Application[[#This Row],[TODAY]]-qry_ProdData2_PDI_Cash_Exception_Application[[#This Row],[CHANGED ON]]</f>
        <v>18.742928240739275</v>
      </c>
      <c r="M54">
        <f ca="1">qry_ProdData2_PDI_Cash_Exception_Application[[#This Row],[TODAY]]-qry_ProdData2_PDI_Cash_Exception_Application[[#This Row],[CHANGED ON]]</f>
        <v>18.742928240739275</v>
      </c>
      <c r="N54">
        <f ca="1">qry_ProdData2_PDI_Cash_Exception_Application[[#This Row],[TODAY]]-qry_ProdData2_PDI_Cash_Exception_Application[[#This Row],[CHANGED ON]]</f>
        <v>18.742928240739275</v>
      </c>
    </row>
    <row r="55" spans="1:14" x14ac:dyDescent="0.35">
      <c r="A55">
        <v>1016</v>
      </c>
      <c r="B55" t="s">
        <v>70</v>
      </c>
      <c r="C55" s="1">
        <v>45185.257071759261</v>
      </c>
      <c r="D55" t="str">
        <f ca="1">VLOOKUP(qry_ProdData2_PDI_Cash_Exception_Application[[#This Row],[TYPE]],#REF!,2,FALSE)</f>
        <v>type40</v>
      </c>
      <c r="E55">
        <v>-1998.83</v>
      </c>
      <c r="G55" s="1">
        <f>qry_ProdData2_PDI_Cash_Exception_Application[[#This Row],[INSERT DATE]]+5</f>
        <v>45190.257071759261</v>
      </c>
      <c r="H55" t="str">
        <f>VLOOKUP(qry_ProdData2_PDI_Cash_Exception_Application[[#This Row],[MARKET No]],'Site Allocation'!$B$2:$C$37,2,FALSE)</f>
        <v>Analyst3</v>
      </c>
      <c r="I55" s="4">
        <f t="shared" ca="1" si="0"/>
        <v>45203</v>
      </c>
      <c r="J55" s="42">
        <f ca="1">TODAY()-qry_ProdData2_PDI_Cash_Exception_Application[[#This Row],[INSERT DATE]]</f>
        <v>17.742928240739275</v>
      </c>
      <c r="K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5">
        <f ca="1">qry_ProdData2_PDI_Cash_Exception_Application[[#This Row],[TODAY]]-qry_ProdData2_PDI_Cash_Exception_Application[[#This Row],[CHANGED ON]]</f>
        <v>12.742928240739275</v>
      </c>
      <c r="M55">
        <f ca="1">qry_ProdData2_PDI_Cash_Exception_Application[[#This Row],[TODAY]]-qry_ProdData2_PDI_Cash_Exception_Application[[#This Row],[CHANGED ON]]</f>
        <v>12.742928240739275</v>
      </c>
      <c r="N55">
        <f ca="1">qry_ProdData2_PDI_Cash_Exception_Application[[#This Row],[TODAY]]-qry_ProdData2_PDI_Cash_Exception_Application[[#This Row],[CHANGED ON]]</f>
        <v>12.742928240739275</v>
      </c>
    </row>
    <row r="56" spans="1:14" x14ac:dyDescent="0.35">
      <c r="A56">
        <v>1007</v>
      </c>
      <c r="B56" t="s">
        <v>61</v>
      </c>
      <c r="C56" s="1">
        <v>45187.257071759261</v>
      </c>
      <c r="D56" t="str">
        <f ca="1">VLOOKUP(qry_ProdData2_PDI_Cash_Exception_Application[[#This Row],[TYPE]],#REF!,2,FALSE)</f>
        <v>type42</v>
      </c>
      <c r="E56">
        <v>612.14</v>
      </c>
      <c r="G56" s="1">
        <f>qry_ProdData2_PDI_Cash_Exception_Application[[#This Row],[INSERT DATE]]+5</f>
        <v>45192.257071759261</v>
      </c>
      <c r="H56" t="str">
        <f>VLOOKUP(qry_ProdData2_PDI_Cash_Exception_Application[[#This Row],[MARKET No]],'Site Allocation'!$B$2:$C$37,2,FALSE)</f>
        <v>Analyst2</v>
      </c>
      <c r="I56" s="4">
        <f t="shared" ca="1" si="0"/>
        <v>45203</v>
      </c>
      <c r="J56" s="42">
        <f ca="1">TODAY()-qry_ProdData2_PDI_Cash_Exception_Application[[#This Row],[INSERT DATE]]</f>
        <v>15.742928240739275</v>
      </c>
      <c r="K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6">
        <f ca="1">qry_ProdData2_PDI_Cash_Exception_Application[[#This Row],[TODAY]]-qry_ProdData2_PDI_Cash_Exception_Application[[#This Row],[CHANGED ON]]</f>
        <v>10.742928240739275</v>
      </c>
      <c r="M56">
        <f ca="1">qry_ProdData2_PDI_Cash_Exception_Application[[#This Row],[TODAY]]-qry_ProdData2_PDI_Cash_Exception_Application[[#This Row],[CHANGED ON]]</f>
        <v>10.742928240739275</v>
      </c>
      <c r="N56">
        <f ca="1">qry_ProdData2_PDI_Cash_Exception_Application[[#This Row],[TODAY]]-qry_ProdData2_PDI_Cash_Exception_Application[[#This Row],[CHANGED ON]]</f>
        <v>10.742928240739275</v>
      </c>
    </row>
    <row r="57" spans="1:14" x14ac:dyDescent="0.35">
      <c r="A57">
        <v>1026</v>
      </c>
      <c r="B57" t="s">
        <v>80</v>
      </c>
      <c r="C57" s="1">
        <v>45182.257071759261</v>
      </c>
      <c r="D57" t="str">
        <f ca="1">VLOOKUP(qry_ProdData2_PDI_Cash_Exception_Application[[#This Row],[TYPE]],#REF!,2,FALSE)</f>
        <v>type13</v>
      </c>
      <c r="E57">
        <v>52305.93</v>
      </c>
      <c r="F57" t="str">
        <f>qry_ProdData2_PDI_Cash_Exception_Application[[#This Row],[ANALYST]]</f>
        <v>Analyst5</v>
      </c>
      <c r="G57" s="1">
        <f>qry_ProdData2_PDI_Cash_Exception_Application[[#This Row],[INSERT DATE]]+2</f>
        <v>45184.257071759261</v>
      </c>
      <c r="H57" t="str">
        <f>VLOOKUP(qry_ProdData2_PDI_Cash_Exception_Application[[#This Row],[MARKET No]],'Site Allocation'!$B$2:$C$37,2,FALSE)</f>
        <v>Analyst5</v>
      </c>
      <c r="I57" s="4">
        <f t="shared" ca="1" si="0"/>
        <v>45203</v>
      </c>
      <c r="J57" s="42">
        <f ca="1">TODAY()-qry_ProdData2_PDI_Cash_Exception_Application[[#This Row],[INSERT DATE]]</f>
        <v>20.742928240739275</v>
      </c>
      <c r="K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7">
        <f ca="1">qry_ProdData2_PDI_Cash_Exception_Application[[#This Row],[TODAY]]-qry_ProdData2_PDI_Cash_Exception_Application[[#This Row],[CHANGED ON]]</f>
        <v>18.742928240739275</v>
      </c>
      <c r="M57">
        <f ca="1">qry_ProdData2_PDI_Cash_Exception_Application[[#This Row],[TODAY]]-qry_ProdData2_PDI_Cash_Exception_Application[[#This Row],[CHANGED ON]]</f>
        <v>18.742928240739275</v>
      </c>
      <c r="N57">
        <f ca="1">qry_ProdData2_PDI_Cash_Exception_Application[[#This Row],[TODAY]]-qry_ProdData2_PDI_Cash_Exception_Application[[#This Row],[CHANGED ON]]</f>
        <v>18.742928240739275</v>
      </c>
    </row>
    <row r="58" spans="1:14" x14ac:dyDescent="0.35">
      <c r="A58">
        <v>1026</v>
      </c>
      <c r="B58" t="s">
        <v>80</v>
      </c>
      <c r="C58" s="1">
        <v>45183.257071759261</v>
      </c>
      <c r="D58" t="str">
        <f ca="1">VLOOKUP(qry_ProdData2_PDI_Cash_Exception_Application[[#This Row],[TYPE]],#REF!,2,FALSE)</f>
        <v>type40</v>
      </c>
      <c r="E58">
        <v>-498.58</v>
      </c>
      <c r="F58" t="str">
        <f>qry_ProdData2_PDI_Cash_Exception_Application[[#This Row],[ANALYST]]</f>
        <v>Analyst5</v>
      </c>
      <c r="G58" s="1">
        <f>qry_ProdData2_PDI_Cash_Exception_Application[[#This Row],[INSERT DATE]]+2</f>
        <v>45185.257071759261</v>
      </c>
      <c r="H58" t="str">
        <f>VLOOKUP(qry_ProdData2_PDI_Cash_Exception_Application[[#This Row],[MARKET No]],'Site Allocation'!$B$2:$C$37,2,FALSE)</f>
        <v>Analyst5</v>
      </c>
      <c r="I58" s="4">
        <f t="shared" ca="1" si="0"/>
        <v>45203</v>
      </c>
      <c r="J58" s="42">
        <f ca="1">TODAY()-qry_ProdData2_PDI_Cash_Exception_Application[[#This Row],[INSERT DATE]]</f>
        <v>19.742928240739275</v>
      </c>
      <c r="K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8">
        <f ca="1">qry_ProdData2_PDI_Cash_Exception_Application[[#This Row],[TODAY]]-qry_ProdData2_PDI_Cash_Exception_Application[[#This Row],[CHANGED ON]]</f>
        <v>17.742928240739275</v>
      </c>
      <c r="M58">
        <f ca="1">qry_ProdData2_PDI_Cash_Exception_Application[[#This Row],[TODAY]]-qry_ProdData2_PDI_Cash_Exception_Application[[#This Row],[CHANGED ON]]</f>
        <v>17.742928240739275</v>
      </c>
      <c r="N58">
        <f ca="1">qry_ProdData2_PDI_Cash_Exception_Application[[#This Row],[TODAY]]-qry_ProdData2_PDI_Cash_Exception_Application[[#This Row],[CHANGED ON]]</f>
        <v>17.742928240739275</v>
      </c>
    </row>
    <row r="59" spans="1:14" x14ac:dyDescent="0.35">
      <c r="A59">
        <v>1010</v>
      </c>
      <c r="B59" t="s">
        <v>64</v>
      </c>
      <c r="C59" s="1">
        <v>45189.257071759261</v>
      </c>
      <c r="D59" t="str">
        <f ca="1">VLOOKUP(qry_ProdData2_PDI_Cash_Exception_Application[[#This Row],[TYPE]],#REF!,2,FALSE)</f>
        <v>type40</v>
      </c>
      <c r="E59">
        <v>1437.81</v>
      </c>
      <c r="G59" s="1">
        <f>qry_ProdData2_PDI_Cash_Exception_Application[[#This Row],[INSERT DATE]]+7</f>
        <v>45196.257071759261</v>
      </c>
      <c r="H59" t="str">
        <f>VLOOKUP(qry_ProdData2_PDI_Cash_Exception_Application[[#This Row],[MARKET No]],'Site Allocation'!$B$2:$C$37,2,FALSE)</f>
        <v>Analyst2</v>
      </c>
      <c r="I59" s="4">
        <f t="shared" ca="1" si="0"/>
        <v>45203</v>
      </c>
      <c r="J59" s="42">
        <f ca="1">TODAY()-qry_ProdData2_PDI_Cash_Exception_Application[[#This Row],[INSERT DATE]]</f>
        <v>13.742928240739275</v>
      </c>
      <c r="K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9">
        <f ca="1">qry_ProdData2_PDI_Cash_Exception_Application[[#This Row],[TODAY]]-qry_ProdData2_PDI_Cash_Exception_Application[[#This Row],[CHANGED ON]]</f>
        <v>6.7429282407392748</v>
      </c>
      <c r="M59">
        <f ca="1">qry_ProdData2_PDI_Cash_Exception_Application[[#This Row],[TODAY]]-qry_ProdData2_PDI_Cash_Exception_Application[[#This Row],[CHANGED ON]]</f>
        <v>6.7429282407392748</v>
      </c>
      <c r="N59">
        <f ca="1">qry_ProdData2_PDI_Cash_Exception_Application[[#This Row],[TODAY]]-qry_ProdData2_PDI_Cash_Exception_Application[[#This Row],[CHANGED ON]]</f>
        <v>6.7429282407392748</v>
      </c>
    </row>
    <row r="60" spans="1:14" x14ac:dyDescent="0.35">
      <c r="A60">
        <v>1008</v>
      </c>
      <c r="B60" t="s">
        <v>62</v>
      </c>
      <c r="C60" s="1">
        <v>45185.257071759261</v>
      </c>
      <c r="D60" t="str">
        <f ca="1">VLOOKUP(qry_ProdData2_PDI_Cash_Exception_Application[[#This Row],[TYPE]],#REF!,2,FALSE)</f>
        <v>type40</v>
      </c>
      <c r="E60">
        <v>2000.36</v>
      </c>
      <c r="G60" s="1">
        <f>qry_ProdData2_PDI_Cash_Exception_Application[[#This Row],[INSERT DATE]]+7</f>
        <v>45192.257071759261</v>
      </c>
      <c r="H60" t="str">
        <f>VLOOKUP(qry_ProdData2_PDI_Cash_Exception_Application[[#This Row],[MARKET No]],'Site Allocation'!$B$2:$C$37,2,FALSE)</f>
        <v>Analyst2</v>
      </c>
      <c r="I60" s="4">
        <f t="shared" ca="1" si="0"/>
        <v>45203</v>
      </c>
      <c r="J60" s="42">
        <f ca="1">TODAY()-qry_ProdData2_PDI_Cash_Exception_Application[[#This Row],[INSERT DATE]]</f>
        <v>17.742928240739275</v>
      </c>
      <c r="K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0">
        <f ca="1">qry_ProdData2_PDI_Cash_Exception_Application[[#This Row],[TODAY]]-qry_ProdData2_PDI_Cash_Exception_Application[[#This Row],[CHANGED ON]]</f>
        <v>10.742928240739275</v>
      </c>
      <c r="M60">
        <f ca="1">qry_ProdData2_PDI_Cash_Exception_Application[[#This Row],[TODAY]]-qry_ProdData2_PDI_Cash_Exception_Application[[#This Row],[CHANGED ON]]</f>
        <v>10.742928240739275</v>
      </c>
      <c r="N60">
        <f ca="1">qry_ProdData2_PDI_Cash_Exception_Application[[#This Row],[TODAY]]-qry_ProdData2_PDI_Cash_Exception_Application[[#This Row],[CHANGED ON]]</f>
        <v>10.742928240739275</v>
      </c>
    </row>
    <row r="61" spans="1:14" x14ac:dyDescent="0.35">
      <c r="A61">
        <v>1011</v>
      </c>
      <c r="B61" t="s">
        <v>65</v>
      </c>
      <c r="C61" s="1">
        <v>45186.257071759261</v>
      </c>
      <c r="D61" t="str">
        <f ca="1">VLOOKUP(qry_ProdData2_PDI_Cash_Exception_Application[[#This Row],[TYPE]],#REF!,2,FALSE)</f>
        <v>type40</v>
      </c>
      <c r="E61">
        <v>-4497.2299999999996</v>
      </c>
      <c r="G61" s="1">
        <f>qry_ProdData2_PDI_Cash_Exception_Application[[#This Row],[INSERT DATE]]+7</f>
        <v>45193.257071759261</v>
      </c>
      <c r="H61" t="str">
        <f>VLOOKUP(qry_ProdData2_PDI_Cash_Exception_Application[[#This Row],[MARKET No]],'Site Allocation'!$B$2:$C$37,2,FALSE)</f>
        <v>Analyst2</v>
      </c>
      <c r="I61" s="4">
        <f t="shared" ca="1" si="0"/>
        <v>45203</v>
      </c>
      <c r="J61" s="42">
        <f ca="1">TODAY()-qry_ProdData2_PDI_Cash_Exception_Application[[#This Row],[INSERT DATE]]</f>
        <v>16.742928240739275</v>
      </c>
      <c r="K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1">
        <f ca="1">qry_ProdData2_PDI_Cash_Exception_Application[[#This Row],[TODAY]]-qry_ProdData2_PDI_Cash_Exception_Application[[#This Row],[CHANGED ON]]</f>
        <v>9.7429282407392748</v>
      </c>
      <c r="M61">
        <f ca="1">qry_ProdData2_PDI_Cash_Exception_Application[[#This Row],[TODAY]]-qry_ProdData2_PDI_Cash_Exception_Application[[#This Row],[CHANGED ON]]</f>
        <v>9.7429282407392748</v>
      </c>
      <c r="N61">
        <f ca="1">qry_ProdData2_PDI_Cash_Exception_Application[[#This Row],[TODAY]]-qry_ProdData2_PDI_Cash_Exception_Application[[#This Row],[CHANGED ON]]</f>
        <v>9.7429282407392748</v>
      </c>
    </row>
    <row r="62" spans="1:14" x14ac:dyDescent="0.35">
      <c r="A62">
        <v>1009</v>
      </c>
      <c r="B62" t="s">
        <v>63</v>
      </c>
      <c r="C62" s="1">
        <v>45179.257071759261</v>
      </c>
      <c r="D62" t="str">
        <f ca="1">VLOOKUP(qry_ProdData2_PDI_Cash_Exception_Application[[#This Row],[TYPE]],#REF!,2,FALSE)</f>
        <v>type7</v>
      </c>
      <c r="E62">
        <v>-1179.33</v>
      </c>
      <c r="G62" s="1">
        <f>qry_ProdData2_PDI_Cash_Exception_Application[[#This Row],[INSERT DATE]]+1</f>
        <v>45180.257071759261</v>
      </c>
      <c r="H62" t="str">
        <f>VLOOKUP(qry_ProdData2_PDI_Cash_Exception_Application[[#This Row],[MARKET No]],'Site Allocation'!$B$2:$C$37,2,FALSE)</f>
        <v>Analyst2</v>
      </c>
      <c r="I62" s="4">
        <f t="shared" ca="1" si="0"/>
        <v>45203</v>
      </c>
      <c r="J62" s="42">
        <f ca="1">TODAY()-qry_ProdData2_PDI_Cash_Exception_Application[[#This Row],[INSERT DATE]]</f>
        <v>23.742928240739275</v>
      </c>
      <c r="K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2">
        <f ca="1">qry_ProdData2_PDI_Cash_Exception_Application[[#This Row],[TODAY]]-qry_ProdData2_PDI_Cash_Exception_Application[[#This Row],[CHANGED ON]]</f>
        <v>22.742928240739275</v>
      </c>
      <c r="M62">
        <f ca="1">qry_ProdData2_PDI_Cash_Exception_Application[[#This Row],[TODAY]]-qry_ProdData2_PDI_Cash_Exception_Application[[#This Row],[CHANGED ON]]</f>
        <v>22.742928240739275</v>
      </c>
      <c r="N62">
        <f ca="1">qry_ProdData2_PDI_Cash_Exception_Application[[#This Row],[TODAY]]-qry_ProdData2_PDI_Cash_Exception_Application[[#This Row],[CHANGED ON]]</f>
        <v>22.742928240739275</v>
      </c>
    </row>
    <row r="63" spans="1:14" x14ac:dyDescent="0.35">
      <c r="A63">
        <v>1035</v>
      </c>
      <c r="B63" t="s">
        <v>89</v>
      </c>
      <c r="C63" s="1">
        <v>45181.257071759261</v>
      </c>
      <c r="D63" t="str">
        <f ca="1">VLOOKUP(qry_ProdData2_PDI_Cash_Exception_Application[[#This Row],[TYPE]],#REF!,2,FALSE)</f>
        <v>type40</v>
      </c>
      <c r="E63">
        <v>442.61</v>
      </c>
      <c r="G63" s="1">
        <f>qry_ProdData2_PDI_Cash_Exception_Application[[#This Row],[INSERT DATE]]+2</f>
        <v>45183.257071759261</v>
      </c>
      <c r="H63" t="str">
        <f>VLOOKUP(qry_ProdData2_PDI_Cash_Exception_Application[[#This Row],[MARKET No]],'Site Allocation'!$B$2:$C$37,2,FALSE)</f>
        <v>Analyst6</v>
      </c>
      <c r="I63" s="4">
        <f t="shared" ca="1" si="0"/>
        <v>45203</v>
      </c>
      <c r="J63" s="42">
        <f ca="1">TODAY()-qry_ProdData2_PDI_Cash_Exception_Application[[#This Row],[INSERT DATE]]</f>
        <v>21.742928240739275</v>
      </c>
      <c r="K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3">
        <f ca="1">qry_ProdData2_PDI_Cash_Exception_Application[[#This Row],[TODAY]]-qry_ProdData2_PDI_Cash_Exception_Application[[#This Row],[CHANGED ON]]</f>
        <v>19.742928240739275</v>
      </c>
      <c r="M63">
        <f ca="1">qry_ProdData2_PDI_Cash_Exception_Application[[#This Row],[TODAY]]-qry_ProdData2_PDI_Cash_Exception_Application[[#This Row],[CHANGED ON]]</f>
        <v>19.742928240739275</v>
      </c>
      <c r="N63">
        <f ca="1">qry_ProdData2_PDI_Cash_Exception_Application[[#This Row],[TODAY]]-qry_ProdData2_PDI_Cash_Exception_Application[[#This Row],[CHANGED ON]]</f>
        <v>19.742928240739275</v>
      </c>
    </row>
    <row r="64" spans="1:14" x14ac:dyDescent="0.35">
      <c r="A64">
        <v>1031</v>
      </c>
      <c r="B64" t="s">
        <v>85</v>
      </c>
      <c r="C64" s="1">
        <v>45182.257071759261</v>
      </c>
      <c r="D64" t="str">
        <f ca="1">VLOOKUP(qry_ProdData2_PDI_Cash_Exception_Application[[#This Row],[TYPE]],#REF!,2,FALSE)</f>
        <v>type13</v>
      </c>
      <c r="E64">
        <v>41456.17</v>
      </c>
      <c r="G64" s="1">
        <f>qry_ProdData2_PDI_Cash_Exception_Application[[#This Row],[INSERT DATE]]+2</f>
        <v>45184.257071759261</v>
      </c>
      <c r="H64" t="str">
        <f>VLOOKUP(qry_ProdData2_PDI_Cash_Exception_Application[[#This Row],[MARKET No]],'Site Allocation'!$B$2:$C$37,2,FALSE)</f>
        <v>Analyst6</v>
      </c>
      <c r="I64" s="4">
        <f t="shared" ca="1" si="0"/>
        <v>45203</v>
      </c>
      <c r="J64" s="42">
        <f ca="1">TODAY()-qry_ProdData2_PDI_Cash_Exception_Application[[#This Row],[INSERT DATE]]</f>
        <v>20.742928240739275</v>
      </c>
      <c r="K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4">
        <f ca="1">qry_ProdData2_PDI_Cash_Exception_Application[[#This Row],[TODAY]]-qry_ProdData2_PDI_Cash_Exception_Application[[#This Row],[CHANGED ON]]</f>
        <v>18.742928240739275</v>
      </c>
      <c r="M64">
        <f ca="1">qry_ProdData2_PDI_Cash_Exception_Application[[#This Row],[TODAY]]-qry_ProdData2_PDI_Cash_Exception_Application[[#This Row],[CHANGED ON]]</f>
        <v>18.742928240739275</v>
      </c>
      <c r="N64">
        <f ca="1">qry_ProdData2_PDI_Cash_Exception_Application[[#This Row],[TODAY]]-qry_ProdData2_PDI_Cash_Exception_Application[[#This Row],[CHANGED ON]]</f>
        <v>18.742928240739275</v>
      </c>
    </row>
    <row r="65" spans="1:14" x14ac:dyDescent="0.35">
      <c r="A65">
        <v>1029</v>
      </c>
      <c r="B65" t="s">
        <v>83</v>
      </c>
      <c r="C65" s="1">
        <v>45189.257071759261</v>
      </c>
      <c r="D65" t="str">
        <f ca="1">VLOOKUP(qry_ProdData2_PDI_Cash_Exception_Application[[#This Row],[TYPE]],#REF!,2,FALSE)</f>
        <v>type40</v>
      </c>
      <c r="E65">
        <v>488.42</v>
      </c>
      <c r="F65" t="str">
        <f>qry_ProdData2_PDI_Cash_Exception_Application[[#This Row],[ANALYST]]</f>
        <v>Analyst5</v>
      </c>
      <c r="G65" s="1">
        <f>qry_ProdData2_PDI_Cash_Exception_Application[[#This Row],[INSERT DATE]]+5</f>
        <v>45194.257071759261</v>
      </c>
      <c r="H65" t="str">
        <f>VLOOKUP(qry_ProdData2_PDI_Cash_Exception_Application[[#This Row],[MARKET No]],'Site Allocation'!$B$2:$C$37,2,FALSE)</f>
        <v>Analyst5</v>
      </c>
      <c r="I65" s="4">
        <f t="shared" ca="1" si="0"/>
        <v>45203</v>
      </c>
      <c r="J65" s="42">
        <f ca="1">TODAY()-qry_ProdData2_PDI_Cash_Exception_Application[[#This Row],[INSERT DATE]]</f>
        <v>13.742928240739275</v>
      </c>
      <c r="K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5">
        <f ca="1">qry_ProdData2_PDI_Cash_Exception_Application[[#This Row],[TODAY]]-qry_ProdData2_PDI_Cash_Exception_Application[[#This Row],[CHANGED ON]]</f>
        <v>8.7429282407392748</v>
      </c>
      <c r="M65">
        <f ca="1">qry_ProdData2_PDI_Cash_Exception_Application[[#This Row],[TODAY]]-qry_ProdData2_PDI_Cash_Exception_Application[[#This Row],[CHANGED ON]]</f>
        <v>8.7429282407392748</v>
      </c>
      <c r="N65">
        <f ca="1">qry_ProdData2_PDI_Cash_Exception_Application[[#This Row],[TODAY]]-qry_ProdData2_PDI_Cash_Exception_Application[[#This Row],[CHANGED ON]]</f>
        <v>8.7429282407392748</v>
      </c>
    </row>
    <row r="66" spans="1:14" x14ac:dyDescent="0.35">
      <c r="A66">
        <v>1025</v>
      </c>
      <c r="B66" t="s">
        <v>79</v>
      </c>
      <c r="C66" s="1">
        <v>45192.257071759261</v>
      </c>
      <c r="D66" t="str">
        <f ca="1">VLOOKUP(qry_ProdData2_PDI_Cash_Exception_Application[[#This Row],[TYPE]],#REF!,2,FALSE)</f>
        <v>type40</v>
      </c>
      <c r="E66">
        <v>-402.71</v>
      </c>
      <c r="F66" t="str">
        <f>qry_ProdData2_PDI_Cash_Exception_Application[[#This Row],[ANALYST]]</f>
        <v>Analyst5</v>
      </c>
      <c r="G66" s="1">
        <f>qry_ProdData2_PDI_Cash_Exception_Application[[#This Row],[INSERT DATE]]+7</f>
        <v>45199.257071759261</v>
      </c>
      <c r="H66" t="str">
        <f>VLOOKUP(qry_ProdData2_PDI_Cash_Exception_Application[[#This Row],[MARKET No]],'Site Allocation'!$B$2:$C$37,2,FALSE)</f>
        <v>Analyst5</v>
      </c>
      <c r="I66" s="4">
        <f t="shared" ref="I66:I129" ca="1" si="1">TODAY()</f>
        <v>45203</v>
      </c>
      <c r="J66" s="42">
        <f ca="1">TODAY()-qry_ProdData2_PDI_Cash_Exception_Application[[#This Row],[INSERT DATE]]</f>
        <v>10.742928240739275</v>
      </c>
      <c r="K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6">
        <f ca="1">qry_ProdData2_PDI_Cash_Exception_Application[[#This Row],[TODAY]]-qry_ProdData2_PDI_Cash_Exception_Application[[#This Row],[CHANGED ON]]</f>
        <v>3.7429282407392748</v>
      </c>
      <c r="M66">
        <f ca="1">qry_ProdData2_PDI_Cash_Exception_Application[[#This Row],[TODAY]]-qry_ProdData2_PDI_Cash_Exception_Application[[#This Row],[CHANGED ON]]</f>
        <v>3.7429282407392748</v>
      </c>
      <c r="N66">
        <f ca="1">qry_ProdData2_PDI_Cash_Exception_Application[[#This Row],[TODAY]]-qry_ProdData2_PDI_Cash_Exception_Application[[#This Row],[CHANGED ON]]</f>
        <v>3.7429282407392748</v>
      </c>
    </row>
    <row r="67" spans="1:14" x14ac:dyDescent="0.35">
      <c r="A67">
        <v>1001</v>
      </c>
      <c r="B67" t="s">
        <v>55</v>
      </c>
      <c r="C67" s="1">
        <v>45188.257071759261</v>
      </c>
      <c r="D67" t="str">
        <f ca="1">VLOOKUP(qry_ProdData2_PDI_Cash_Exception_Application[[#This Row],[TYPE]],#REF!,2,FALSE)</f>
        <v>type13</v>
      </c>
      <c r="E67">
        <v>50362.86</v>
      </c>
      <c r="G67" s="1">
        <f>qry_ProdData2_PDI_Cash_Exception_Application[[#This Row],[INSERT DATE]]+5</f>
        <v>45193.257071759261</v>
      </c>
      <c r="H67" t="str">
        <f>VLOOKUP(qry_ProdData2_PDI_Cash_Exception_Application[[#This Row],[MARKET No]],'Site Allocation'!$B$2:$C$37,2,FALSE)</f>
        <v>Analyst1</v>
      </c>
      <c r="I67" s="4">
        <f t="shared" ca="1" si="1"/>
        <v>45203</v>
      </c>
      <c r="J67" s="42">
        <f ca="1">TODAY()-qry_ProdData2_PDI_Cash_Exception_Application[[#This Row],[INSERT DATE]]</f>
        <v>14.742928240739275</v>
      </c>
      <c r="K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7">
        <f ca="1">qry_ProdData2_PDI_Cash_Exception_Application[[#This Row],[TODAY]]-qry_ProdData2_PDI_Cash_Exception_Application[[#This Row],[CHANGED ON]]</f>
        <v>9.7429282407392748</v>
      </c>
      <c r="M67">
        <f ca="1">qry_ProdData2_PDI_Cash_Exception_Application[[#This Row],[TODAY]]-qry_ProdData2_PDI_Cash_Exception_Application[[#This Row],[CHANGED ON]]</f>
        <v>9.7429282407392748</v>
      </c>
      <c r="N67">
        <f ca="1">qry_ProdData2_PDI_Cash_Exception_Application[[#This Row],[TODAY]]-qry_ProdData2_PDI_Cash_Exception_Application[[#This Row],[CHANGED ON]]</f>
        <v>9.7429282407392748</v>
      </c>
    </row>
    <row r="68" spans="1:14" x14ac:dyDescent="0.35">
      <c r="A68">
        <v>1002</v>
      </c>
      <c r="B68" t="s">
        <v>56</v>
      </c>
      <c r="C68" s="1">
        <v>45179.257071759261</v>
      </c>
      <c r="D68" t="str">
        <f ca="1">VLOOKUP(qry_ProdData2_PDI_Cash_Exception_Application[[#This Row],[TYPE]],#REF!,2,FALSE)</f>
        <v>type7</v>
      </c>
      <c r="E68">
        <v>-8906.6</v>
      </c>
      <c r="G68" s="1">
        <f>qry_ProdData2_PDI_Cash_Exception_Application[[#This Row],[INSERT DATE]]+5</f>
        <v>45184.257071759261</v>
      </c>
      <c r="H68" t="str">
        <f>VLOOKUP(qry_ProdData2_PDI_Cash_Exception_Application[[#This Row],[MARKET No]],'Site Allocation'!$B$2:$C$37,2,FALSE)</f>
        <v>Analyst1</v>
      </c>
      <c r="I68" s="4">
        <f t="shared" ca="1" si="1"/>
        <v>45203</v>
      </c>
      <c r="J68" s="42">
        <f ca="1">TODAY()-qry_ProdData2_PDI_Cash_Exception_Application[[#This Row],[INSERT DATE]]</f>
        <v>23.742928240739275</v>
      </c>
      <c r="K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8">
        <f ca="1">qry_ProdData2_PDI_Cash_Exception_Application[[#This Row],[TODAY]]-qry_ProdData2_PDI_Cash_Exception_Application[[#This Row],[CHANGED ON]]</f>
        <v>18.742928240739275</v>
      </c>
      <c r="M68">
        <f ca="1">qry_ProdData2_PDI_Cash_Exception_Application[[#This Row],[TODAY]]-qry_ProdData2_PDI_Cash_Exception_Application[[#This Row],[CHANGED ON]]</f>
        <v>18.742928240739275</v>
      </c>
      <c r="N68">
        <f ca="1">qry_ProdData2_PDI_Cash_Exception_Application[[#This Row],[TODAY]]-qry_ProdData2_PDI_Cash_Exception_Application[[#This Row],[CHANGED ON]]</f>
        <v>18.742928240739275</v>
      </c>
    </row>
    <row r="69" spans="1:14" x14ac:dyDescent="0.35">
      <c r="A69">
        <v>1017</v>
      </c>
      <c r="B69" t="s">
        <v>71</v>
      </c>
      <c r="C69" s="1">
        <v>45185.257071759261</v>
      </c>
      <c r="D69" t="str">
        <f ca="1">VLOOKUP(qry_ProdData2_PDI_Cash_Exception_Application[[#This Row],[TYPE]],#REF!,2,FALSE)</f>
        <v>type40</v>
      </c>
      <c r="E69">
        <v>-662.93</v>
      </c>
      <c r="G69" s="1">
        <f>qry_ProdData2_PDI_Cash_Exception_Application[[#This Row],[INSERT DATE]]+5</f>
        <v>45190.257071759261</v>
      </c>
      <c r="H69" t="str">
        <f>VLOOKUP(qry_ProdData2_PDI_Cash_Exception_Application[[#This Row],[MARKET No]],'Site Allocation'!$B$2:$C$37,2,FALSE)</f>
        <v>Analyst3</v>
      </c>
      <c r="I69" s="4">
        <f t="shared" ca="1" si="1"/>
        <v>45203</v>
      </c>
      <c r="J69" s="42">
        <f ca="1">TODAY()-qry_ProdData2_PDI_Cash_Exception_Application[[#This Row],[INSERT DATE]]</f>
        <v>17.742928240739275</v>
      </c>
      <c r="K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9">
        <f ca="1">qry_ProdData2_PDI_Cash_Exception_Application[[#This Row],[TODAY]]-qry_ProdData2_PDI_Cash_Exception_Application[[#This Row],[CHANGED ON]]</f>
        <v>12.742928240739275</v>
      </c>
      <c r="M69">
        <f ca="1">qry_ProdData2_PDI_Cash_Exception_Application[[#This Row],[TODAY]]-qry_ProdData2_PDI_Cash_Exception_Application[[#This Row],[CHANGED ON]]</f>
        <v>12.742928240739275</v>
      </c>
      <c r="N69">
        <f ca="1">qry_ProdData2_PDI_Cash_Exception_Application[[#This Row],[TODAY]]-qry_ProdData2_PDI_Cash_Exception_Application[[#This Row],[CHANGED ON]]</f>
        <v>12.742928240739275</v>
      </c>
    </row>
    <row r="70" spans="1:14" x14ac:dyDescent="0.35">
      <c r="A70">
        <v>1015</v>
      </c>
      <c r="B70" t="s">
        <v>69</v>
      </c>
      <c r="C70" s="1">
        <v>45186.257071759261</v>
      </c>
      <c r="D70" t="str">
        <f ca="1">VLOOKUP(qry_ProdData2_PDI_Cash_Exception_Application[[#This Row],[TYPE]],#REF!,2,FALSE)</f>
        <v>type40</v>
      </c>
      <c r="E70">
        <v>1633.77</v>
      </c>
      <c r="G70" s="1">
        <f>qry_ProdData2_PDI_Cash_Exception_Application[[#This Row],[INSERT DATE]]+5</f>
        <v>45191.257071759261</v>
      </c>
      <c r="H70" t="str">
        <f>VLOOKUP(qry_ProdData2_PDI_Cash_Exception_Application[[#This Row],[MARKET No]],'Site Allocation'!$B$2:$C$37,2,FALSE)</f>
        <v>Analyst3</v>
      </c>
      <c r="I70" s="4">
        <f t="shared" ca="1" si="1"/>
        <v>45203</v>
      </c>
      <c r="J70" s="42">
        <f ca="1">TODAY()-qry_ProdData2_PDI_Cash_Exception_Application[[#This Row],[INSERT DATE]]</f>
        <v>16.742928240739275</v>
      </c>
      <c r="K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0">
        <f ca="1">qry_ProdData2_PDI_Cash_Exception_Application[[#This Row],[TODAY]]-qry_ProdData2_PDI_Cash_Exception_Application[[#This Row],[CHANGED ON]]</f>
        <v>11.742928240739275</v>
      </c>
      <c r="M70">
        <f ca="1">qry_ProdData2_PDI_Cash_Exception_Application[[#This Row],[TODAY]]-qry_ProdData2_PDI_Cash_Exception_Application[[#This Row],[CHANGED ON]]</f>
        <v>11.742928240739275</v>
      </c>
      <c r="N70">
        <f ca="1">qry_ProdData2_PDI_Cash_Exception_Application[[#This Row],[TODAY]]-qry_ProdData2_PDI_Cash_Exception_Application[[#This Row],[CHANGED ON]]</f>
        <v>11.742928240739275</v>
      </c>
    </row>
    <row r="71" spans="1:14" x14ac:dyDescent="0.35">
      <c r="A71">
        <v>1012</v>
      </c>
      <c r="B71" t="s">
        <v>66</v>
      </c>
      <c r="C71" s="1">
        <v>45190.257071759261</v>
      </c>
      <c r="D71" t="str">
        <f ca="1">VLOOKUP(qry_ProdData2_PDI_Cash_Exception_Application[[#This Row],[TYPE]],#REF!,2,FALSE)</f>
        <v>type40</v>
      </c>
      <c r="E71">
        <v>-443.8</v>
      </c>
      <c r="G71" s="1">
        <f>qry_ProdData2_PDI_Cash_Exception_Application[[#This Row],[INSERT DATE]]+7</f>
        <v>45197.257071759261</v>
      </c>
      <c r="H71" t="str">
        <f>VLOOKUP(qry_ProdData2_PDI_Cash_Exception_Application[[#This Row],[MARKET No]],'Site Allocation'!$B$2:$C$37,2,FALSE)</f>
        <v>Analyst3</v>
      </c>
      <c r="I71" s="4">
        <f t="shared" ca="1" si="1"/>
        <v>45203</v>
      </c>
      <c r="J71" s="42">
        <f ca="1">TODAY()-qry_ProdData2_PDI_Cash_Exception_Application[[#This Row],[INSERT DATE]]</f>
        <v>12.742928240739275</v>
      </c>
      <c r="K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1">
        <f ca="1">qry_ProdData2_PDI_Cash_Exception_Application[[#This Row],[TODAY]]-qry_ProdData2_PDI_Cash_Exception_Application[[#This Row],[CHANGED ON]]</f>
        <v>5.7429282407392748</v>
      </c>
      <c r="M71">
        <f ca="1">qry_ProdData2_PDI_Cash_Exception_Application[[#This Row],[TODAY]]-qry_ProdData2_PDI_Cash_Exception_Application[[#This Row],[CHANGED ON]]</f>
        <v>5.7429282407392748</v>
      </c>
      <c r="N71">
        <f ca="1">qry_ProdData2_PDI_Cash_Exception_Application[[#This Row],[TODAY]]-qry_ProdData2_PDI_Cash_Exception_Application[[#This Row],[CHANGED ON]]</f>
        <v>5.7429282407392748</v>
      </c>
    </row>
    <row r="72" spans="1:14" x14ac:dyDescent="0.35">
      <c r="A72">
        <v>1014</v>
      </c>
      <c r="B72" t="s">
        <v>68</v>
      </c>
      <c r="C72" s="1">
        <v>45189.257071759261</v>
      </c>
      <c r="D72" t="str">
        <f ca="1">VLOOKUP(qry_ProdData2_PDI_Cash_Exception_Application[[#This Row],[TYPE]],#REF!,2,FALSE)</f>
        <v>type13</v>
      </c>
      <c r="E72">
        <v>14943.72</v>
      </c>
      <c r="G72" s="1">
        <f>qry_ProdData2_PDI_Cash_Exception_Application[[#This Row],[INSERT DATE]]+7</f>
        <v>45196.257071759261</v>
      </c>
      <c r="H72" t="str">
        <f>VLOOKUP(qry_ProdData2_PDI_Cash_Exception_Application[[#This Row],[MARKET No]],'Site Allocation'!$B$2:$C$37,2,FALSE)</f>
        <v>Analyst3</v>
      </c>
      <c r="I72" s="4">
        <f t="shared" ca="1" si="1"/>
        <v>45203</v>
      </c>
      <c r="J72" s="42">
        <f ca="1">TODAY()-qry_ProdData2_PDI_Cash_Exception_Application[[#This Row],[INSERT DATE]]</f>
        <v>13.742928240739275</v>
      </c>
      <c r="K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2">
        <f ca="1">qry_ProdData2_PDI_Cash_Exception_Application[[#This Row],[TODAY]]-qry_ProdData2_PDI_Cash_Exception_Application[[#This Row],[CHANGED ON]]</f>
        <v>6.7429282407392748</v>
      </c>
      <c r="M72">
        <f ca="1">qry_ProdData2_PDI_Cash_Exception_Application[[#This Row],[TODAY]]-qry_ProdData2_PDI_Cash_Exception_Application[[#This Row],[CHANGED ON]]</f>
        <v>6.7429282407392748</v>
      </c>
      <c r="N72">
        <f ca="1">qry_ProdData2_PDI_Cash_Exception_Application[[#This Row],[TODAY]]-qry_ProdData2_PDI_Cash_Exception_Application[[#This Row],[CHANGED ON]]</f>
        <v>6.7429282407392748</v>
      </c>
    </row>
    <row r="73" spans="1:14" x14ac:dyDescent="0.35">
      <c r="A73">
        <v>1011</v>
      </c>
      <c r="B73" t="s">
        <v>65</v>
      </c>
      <c r="C73" s="1">
        <v>45182.257071759261</v>
      </c>
      <c r="D73" t="str">
        <f ca="1">VLOOKUP(qry_ProdData2_PDI_Cash_Exception_Application[[#This Row],[TYPE]],#REF!,2,FALSE)</f>
        <v>type7</v>
      </c>
      <c r="E73">
        <v>-1286.67</v>
      </c>
      <c r="G73" s="1">
        <f>qry_ProdData2_PDI_Cash_Exception_Application[[#This Row],[INSERT DATE]]+1</f>
        <v>45183.257071759261</v>
      </c>
      <c r="H73" t="str">
        <f>VLOOKUP(qry_ProdData2_PDI_Cash_Exception_Application[[#This Row],[MARKET No]],'Site Allocation'!$B$2:$C$37,2,FALSE)</f>
        <v>Analyst2</v>
      </c>
      <c r="I73" s="4">
        <f t="shared" ca="1" si="1"/>
        <v>45203</v>
      </c>
      <c r="J73" s="42">
        <f ca="1">TODAY()-qry_ProdData2_PDI_Cash_Exception_Application[[#This Row],[INSERT DATE]]</f>
        <v>20.742928240739275</v>
      </c>
      <c r="K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3">
        <f ca="1">qry_ProdData2_PDI_Cash_Exception_Application[[#This Row],[TODAY]]-qry_ProdData2_PDI_Cash_Exception_Application[[#This Row],[CHANGED ON]]</f>
        <v>19.742928240739275</v>
      </c>
      <c r="M73">
        <f ca="1">qry_ProdData2_PDI_Cash_Exception_Application[[#This Row],[TODAY]]-qry_ProdData2_PDI_Cash_Exception_Application[[#This Row],[CHANGED ON]]</f>
        <v>19.742928240739275</v>
      </c>
      <c r="N73">
        <f ca="1">qry_ProdData2_PDI_Cash_Exception_Application[[#This Row],[TODAY]]-qry_ProdData2_PDI_Cash_Exception_Application[[#This Row],[CHANGED ON]]</f>
        <v>19.742928240739275</v>
      </c>
    </row>
    <row r="74" spans="1:14" x14ac:dyDescent="0.35">
      <c r="A74">
        <v>1012</v>
      </c>
      <c r="B74" t="s">
        <v>66</v>
      </c>
      <c r="C74" s="1">
        <v>45183.257071759261</v>
      </c>
      <c r="D74" t="str">
        <f ca="1">VLOOKUP(qry_ProdData2_PDI_Cash_Exception_Application[[#This Row],[TYPE]],#REF!,2,FALSE)</f>
        <v>type13</v>
      </c>
      <c r="E74">
        <v>48404.7</v>
      </c>
      <c r="G74" s="1">
        <f>qry_ProdData2_PDI_Cash_Exception_Application[[#This Row],[INSERT DATE]]+5</f>
        <v>45188.257071759261</v>
      </c>
      <c r="H74" t="str">
        <f>VLOOKUP(qry_ProdData2_PDI_Cash_Exception_Application[[#This Row],[MARKET No]],'Site Allocation'!$B$2:$C$37,2,FALSE)</f>
        <v>Analyst3</v>
      </c>
      <c r="I74" s="4">
        <f t="shared" ca="1" si="1"/>
        <v>45203</v>
      </c>
      <c r="J74" s="42">
        <f ca="1">TODAY()-qry_ProdData2_PDI_Cash_Exception_Application[[#This Row],[INSERT DATE]]</f>
        <v>19.742928240739275</v>
      </c>
      <c r="K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4">
        <f ca="1">qry_ProdData2_PDI_Cash_Exception_Application[[#This Row],[TODAY]]-qry_ProdData2_PDI_Cash_Exception_Application[[#This Row],[CHANGED ON]]</f>
        <v>14.742928240739275</v>
      </c>
      <c r="M74">
        <f ca="1">qry_ProdData2_PDI_Cash_Exception_Application[[#This Row],[TODAY]]-qry_ProdData2_PDI_Cash_Exception_Application[[#This Row],[CHANGED ON]]</f>
        <v>14.742928240739275</v>
      </c>
      <c r="N74">
        <f ca="1">qry_ProdData2_PDI_Cash_Exception_Application[[#This Row],[TODAY]]-qry_ProdData2_PDI_Cash_Exception_Application[[#This Row],[CHANGED ON]]</f>
        <v>14.742928240739275</v>
      </c>
    </row>
    <row r="75" spans="1:14" x14ac:dyDescent="0.35">
      <c r="A75">
        <v>1003</v>
      </c>
      <c r="B75" t="s">
        <v>57</v>
      </c>
      <c r="C75" s="1">
        <v>45184.257071759261</v>
      </c>
      <c r="D75" t="str">
        <f ca="1">VLOOKUP(qry_ProdData2_PDI_Cash_Exception_Application[[#This Row],[TYPE]],#REF!,2,FALSE)</f>
        <v>type40</v>
      </c>
      <c r="E75">
        <v>-398.21</v>
      </c>
      <c r="G75" s="1">
        <f>qry_ProdData2_PDI_Cash_Exception_Application[[#This Row],[INSERT DATE]]+1</f>
        <v>45185.257071759261</v>
      </c>
      <c r="H75" t="str">
        <f>VLOOKUP(qry_ProdData2_PDI_Cash_Exception_Application[[#This Row],[MARKET No]],'Site Allocation'!$B$2:$C$37,2,FALSE)</f>
        <v>Analyst1</v>
      </c>
      <c r="I75" s="4">
        <f t="shared" ca="1" si="1"/>
        <v>45203</v>
      </c>
      <c r="J75" s="42">
        <f ca="1">TODAY()-qry_ProdData2_PDI_Cash_Exception_Application[[#This Row],[INSERT DATE]]</f>
        <v>18.742928240739275</v>
      </c>
      <c r="K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5">
        <f ca="1">qry_ProdData2_PDI_Cash_Exception_Application[[#This Row],[TODAY]]-qry_ProdData2_PDI_Cash_Exception_Application[[#This Row],[CHANGED ON]]</f>
        <v>17.742928240739275</v>
      </c>
      <c r="M75">
        <f ca="1">qry_ProdData2_PDI_Cash_Exception_Application[[#This Row],[TODAY]]-qry_ProdData2_PDI_Cash_Exception_Application[[#This Row],[CHANGED ON]]</f>
        <v>17.742928240739275</v>
      </c>
      <c r="N75">
        <f ca="1">qry_ProdData2_PDI_Cash_Exception_Application[[#This Row],[TODAY]]-qry_ProdData2_PDI_Cash_Exception_Application[[#This Row],[CHANGED ON]]</f>
        <v>17.742928240739275</v>
      </c>
    </row>
    <row r="76" spans="1:14" x14ac:dyDescent="0.35">
      <c r="A76">
        <v>1029</v>
      </c>
      <c r="B76" t="s">
        <v>83</v>
      </c>
      <c r="C76" s="1">
        <v>45189.257071759261</v>
      </c>
      <c r="D76" t="str">
        <f ca="1">VLOOKUP(qry_ProdData2_PDI_Cash_Exception_Application[[#This Row],[TYPE]],#REF!,2,FALSE)</f>
        <v>type40</v>
      </c>
      <c r="E76">
        <v>-884.63</v>
      </c>
      <c r="F76" t="str">
        <f>qry_ProdData2_PDI_Cash_Exception_Application[[#This Row],[ANALYST]]</f>
        <v>Analyst5</v>
      </c>
      <c r="G76" s="1">
        <f>qry_ProdData2_PDI_Cash_Exception_Application[[#This Row],[INSERT DATE]]+1</f>
        <v>45190.257071759261</v>
      </c>
      <c r="H76" t="str">
        <f>VLOOKUP(qry_ProdData2_PDI_Cash_Exception_Application[[#This Row],[MARKET No]],'Site Allocation'!$B$2:$C$37,2,FALSE)</f>
        <v>Analyst5</v>
      </c>
      <c r="I76" s="4">
        <f t="shared" ca="1" si="1"/>
        <v>45203</v>
      </c>
      <c r="J76" s="42">
        <f ca="1">TODAY()-qry_ProdData2_PDI_Cash_Exception_Application[[#This Row],[INSERT DATE]]</f>
        <v>13.742928240739275</v>
      </c>
      <c r="K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6">
        <f ca="1">qry_ProdData2_PDI_Cash_Exception_Application[[#This Row],[TODAY]]-qry_ProdData2_PDI_Cash_Exception_Application[[#This Row],[CHANGED ON]]</f>
        <v>12.742928240739275</v>
      </c>
      <c r="M76">
        <f ca="1">qry_ProdData2_PDI_Cash_Exception_Application[[#This Row],[TODAY]]-qry_ProdData2_PDI_Cash_Exception_Application[[#This Row],[CHANGED ON]]</f>
        <v>12.742928240739275</v>
      </c>
      <c r="N76">
        <f ca="1">qry_ProdData2_PDI_Cash_Exception_Application[[#This Row],[TODAY]]-qry_ProdData2_PDI_Cash_Exception_Application[[#This Row],[CHANGED ON]]</f>
        <v>12.742928240739275</v>
      </c>
    </row>
    <row r="77" spans="1:14" x14ac:dyDescent="0.35">
      <c r="A77">
        <v>1009</v>
      </c>
      <c r="B77" t="s">
        <v>63</v>
      </c>
      <c r="C77" s="1">
        <v>45190.257071759261</v>
      </c>
      <c r="D77" t="str">
        <f ca="1">VLOOKUP(qry_ProdData2_PDI_Cash_Exception_Application[[#This Row],[TYPE]],#REF!,2,FALSE)</f>
        <v>type35</v>
      </c>
      <c r="E77">
        <v>6499.79</v>
      </c>
      <c r="G77" s="1">
        <f>qry_ProdData2_PDI_Cash_Exception_Application[[#This Row],[INSERT DATE]]+1</f>
        <v>45191.257071759261</v>
      </c>
      <c r="H77" t="str">
        <f>VLOOKUP(qry_ProdData2_PDI_Cash_Exception_Application[[#This Row],[MARKET No]],'Site Allocation'!$B$2:$C$37,2,FALSE)</f>
        <v>Analyst2</v>
      </c>
      <c r="I77" s="4">
        <f t="shared" ca="1" si="1"/>
        <v>45203</v>
      </c>
      <c r="J77" s="42">
        <f ca="1">TODAY()-qry_ProdData2_PDI_Cash_Exception_Application[[#This Row],[INSERT DATE]]</f>
        <v>12.742928240739275</v>
      </c>
      <c r="K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7">
        <f ca="1">qry_ProdData2_PDI_Cash_Exception_Application[[#This Row],[TODAY]]-qry_ProdData2_PDI_Cash_Exception_Application[[#This Row],[CHANGED ON]]</f>
        <v>11.742928240739275</v>
      </c>
      <c r="M77">
        <f ca="1">qry_ProdData2_PDI_Cash_Exception_Application[[#This Row],[TODAY]]-qry_ProdData2_PDI_Cash_Exception_Application[[#This Row],[CHANGED ON]]</f>
        <v>11.742928240739275</v>
      </c>
      <c r="N77">
        <f ca="1">qry_ProdData2_PDI_Cash_Exception_Application[[#This Row],[TODAY]]-qry_ProdData2_PDI_Cash_Exception_Application[[#This Row],[CHANGED ON]]</f>
        <v>11.742928240739275</v>
      </c>
    </row>
    <row r="78" spans="1:14" x14ac:dyDescent="0.35">
      <c r="A78">
        <v>1015</v>
      </c>
      <c r="B78" t="s">
        <v>69</v>
      </c>
      <c r="C78" s="1">
        <v>45179.257071759261</v>
      </c>
      <c r="D78" t="str">
        <f ca="1">VLOOKUP(qry_ProdData2_PDI_Cash_Exception_Application[[#This Row],[TYPE]],#REF!,2,FALSE)</f>
        <v>type40</v>
      </c>
      <c r="E78">
        <v>2616.2800000000002</v>
      </c>
      <c r="G78" s="1">
        <f>qry_ProdData2_PDI_Cash_Exception_Application[[#This Row],[INSERT DATE]]+7</f>
        <v>45186.257071759261</v>
      </c>
      <c r="H78" t="str">
        <f>VLOOKUP(qry_ProdData2_PDI_Cash_Exception_Application[[#This Row],[MARKET No]],'Site Allocation'!$B$2:$C$37,2,FALSE)</f>
        <v>Analyst3</v>
      </c>
      <c r="I78" s="4">
        <f t="shared" ca="1" si="1"/>
        <v>45203</v>
      </c>
      <c r="J78" s="42">
        <f ca="1">TODAY()-qry_ProdData2_PDI_Cash_Exception_Application[[#This Row],[INSERT DATE]]</f>
        <v>23.742928240739275</v>
      </c>
      <c r="K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8">
        <f ca="1">qry_ProdData2_PDI_Cash_Exception_Application[[#This Row],[TODAY]]-qry_ProdData2_PDI_Cash_Exception_Application[[#This Row],[CHANGED ON]]</f>
        <v>16.742928240739275</v>
      </c>
      <c r="M78">
        <f ca="1">qry_ProdData2_PDI_Cash_Exception_Application[[#This Row],[TODAY]]-qry_ProdData2_PDI_Cash_Exception_Application[[#This Row],[CHANGED ON]]</f>
        <v>16.742928240739275</v>
      </c>
      <c r="N78">
        <f ca="1">qry_ProdData2_PDI_Cash_Exception_Application[[#This Row],[TODAY]]-qry_ProdData2_PDI_Cash_Exception_Application[[#This Row],[CHANGED ON]]</f>
        <v>16.742928240739275</v>
      </c>
    </row>
    <row r="79" spans="1:14" x14ac:dyDescent="0.35">
      <c r="A79">
        <v>1030</v>
      </c>
      <c r="B79" t="s">
        <v>84</v>
      </c>
      <c r="C79" s="1">
        <v>45190.257071759261</v>
      </c>
      <c r="D79" t="str">
        <f ca="1">VLOOKUP(qry_ProdData2_PDI_Cash_Exception_Application[[#This Row],[TYPE]],#REF!,2,FALSE)</f>
        <v>type40</v>
      </c>
      <c r="E79">
        <v>440.97</v>
      </c>
      <c r="G79" s="1">
        <f>qry_ProdData2_PDI_Cash_Exception_Application[[#This Row],[INSERT DATE]]+7</f>
        <v>45197.257071759261</v>
      </c>
      <c r="H79" t="str">
        <f>VLOOKUP(qry_ProdData2_PDI_Cash_Exception_Application[[#This Row],[MARKET No]],'Site Allocation'!$B$2:$C$37,2,FALSE)</f>
        <v>Analyst6</v>
      </c>
      <c r="I79" s="4">
        <f t="shared" ca="1" si="1"/>
        <v>45203</v>
      </c>
      <c r="J79" s="42">
        <f ca="1">TODAY()-qry_ProdData2_PDI_Cash_Exception_Application[[#This Row],[INSERT DATE]]</f>
        <v>12.742928240739275</v>
      </c>
      <c r="K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9">
        <f ca="1">qry_ProdData2_PDI_Cash_Exception_Application[[#This Row],[TODAY]]-qry_ProdData2_PDI_Cash_Exception_Application[[#This Row],[CHANGED ON]]</f>
        <v>5.7429282407392748</v>
      </c>
      <c r="M79">
        <f ca="1">qry_ProdData2_PDI_Cash_Exception_Application[[#This Row],[TODAY]]-qry_ProdData2_PDI_Cash_Exception_Application[[#This Row],[CHANGED ON]]</f>
        <v>5.7429282407392748</v>
      </c>
      <c r="N79">
        <f ca="1">qry_ProdData2_PDI_Cash_Exception_Application[[#This Row],[TODAY]]-qry_ProdData2_PDI_Cash_Exception_Application[[#This Row],[CHANGED ON]]</f>
        <v>5.7429282407392748</v>
      </c>
    </row>
    <row r="80" spans="1:14" x14ac:dyDescent="0.35">
      <c r="A80">
        <v>1018</v>
      </c>
      <c r="B80" t="s">
        <v>72</v>
      </c>
      <c r="C80" s="1">
        <v>45191.257071759261</v>
      </c>
      <c r="D80" t="str">
        <f ca="1">VLOOKUP(qry_ProdData2_PDI_Cash_Exception_Application[[#This Row],[TYPE]],#REF!,2,FALSE)</f>
        <v>type40</v>
      </c>
      <c r="E80">
        <v>-614.65</v>
      </c>
      <c r="F80" t="str">
        <f>qry_ProdData2_PDI_Cash_Exception_Application[[#This Row],[ANALYST]]</f>
        <v>Analyst4</v>
      </c>
      <c r="G80" s="1">
        <f>qry_ProdData2_PDI_Cash_Exception_Application[[#This Row],[INSERT DATE]]+7</f>
        <v>45198.257071759261</v>
      </c>
      <c r="H80" t="str">
        <f>VLOOKUP(qry_ProdData2_PDI_Cash_Exception_Application[[#This Row],[MARKET No]],'Site Allocation'!$B$2:$C$37,2,FALSE)</f>
        <v>Analyst4</v>
      </c>
      <c r="I80" s="4">
        <f t="shared" ca="1" si="1"/>
        <v>45203</v>
      </c>
      <c r="J80" s="42">
        <f ca="1">TODAY()-qry_ProdData2_PDI_Cash_Exception_Application[[#This Row],[INSERT DATE]]</f>
        <v>11.742928240739275</v>
      </c>
      <c r="K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0">
        <f ca="1">qry_ProdData2_PDI_Cash_Exception_Application[[#This Row],[TODAY]]-qry_ProdData2_PDI_Cash_Exception_Application[[#This Row],[CHANGED ON]]</f>
        <v>4.7429282407392748</v>
      </c>
      <c r="M80">
        <f ca="1">qry_ProdData2_PDI_Cash_Exception_Application[[#This Row],[TODAY]]-qry_ProdData2_PDI_Cash_Exception_Application[[#This Row],[CHANGED ON]]</f>
        <v>4.7429282407392748</v>
      </c>
      <c r="N80">
        <f ca="1">qry_ProdData2_PDI_Cash_Exception_Application[[#This Row],[TODAY]]-qry_ProdData2_PDI_Cash_Exception_Application[[#This Row],[CHANGED ON]]</f>
        <v>4.7429282407392748</v>
      </c>
    </row>
    <row r="81" spans="1:14" x14ac:dyDescent="0.35">
      <c r="A81">
        <v>1024</v>
      </c>
      <c r="B81" t="s">
        <v>78</v>
      </c>
      <c r="C81" s="1">
        <v>45185.257071759261</v>
      </c>
      <c r="D81" t="str">
        <f ca="1">VLOOKUP(qry_ProdData2_PDI_Cash_Exception_Application[[#This Row],[TYPE]],#REF!,2,FALSE)</f>
        <v>type32</v>
      </c>
      <c r="E81">
        <v>929733.84</v>
      </c>
      <c r="F81" t="str">
        <f>qry_ProdData2_PDI_Cash_Exception_Application[[#This Row],[ANALYST]]</f>
        <v>Analyst5</v>
      </c>
      <c r="G81" s="1">
        <f>qry_ProdData2_PDI_Cash_Exception_Application[[#This Row],[INSERT DATE]]+1</f>
        <v>45186.257071759261</v>
      </c>
      <c r="H81" t="str">
        <f>VLOOKUP(qry_ProdData2_PDI_Cash_Exception_Application[[#This Row],[MARKET No]],'Site Allocation'!$B$2:$C$37,2,FALSE)</f>
        <v>Analyst5</v>
      </c>
      <c r="I81" s="4">
        <f t="shared" ca="1" si="1"/>
        <v>45203</v>
      </c>
      <c r="J81" s="42">
        <f ca="1">TODAY()-qry_ProdData2_PDI_Cash_Exception_Application[[#This Row],[INSERT DATE]]</f>
        <v>17.742928240739275</v>
      </c>
      <c r="K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1">
        <f ca="1">qry_ProdData2_PDI_Cash_Exception_Application[[#This Row],[TODAY]]-qry_ProdData2_PDI_Cash_Exception_Application[[#This Row],[CHANGED ON]]</f>
        <v>16.742928240739275</v>
      </c>
      <c r="M81">
        <f ca="1">qry_ProdData2_PDI_Cash_Exception_Application[[#This Row],[TODAY]]-qry_ProdData2_PDI_Cash_Exception_Application[[#This Row],[CHANGED ON]]</f>
        <v>16.742928240739275</v>
      </c>
      <c r="N81">
        <f ca="1">qry_ProdData2_PDI_Cash_Exception_Application[[#This Row],[TODAY]]-qry_ProdData2_PDI_Cash_Exception_Application[[#This Row],[CHANGED ON]]</f>
        <v>16.742928240739275</v>
      </c>
    </row>
    <row r="82" spans="1:14" x14ac:dyDescent="0.35">
      <c r="A82">
        <v>1019</v>
      </c>
      <c r="B82" t="s">
        <v>73</v>
      </c>
      <c r="C82" s="1">
        <v>45193.257071759261</v>
      </c>
      <c r="D82" t="str">
        <f ca="1">VLOOKUP(qry_ProdData2_PDI_Cash_Exception_Application[[#This Row],[TYPE]],#REF!,2,FALSE)</f>
        <v>type40</v>
      </c>
      <c r="E82">
        <v>-352.71</v>
      </c>
      <c r="F82" t="str">
        <f>qry_ProdData2_PDI_Cash_Exception_Application[[#This Row],[ANALYST]]</f>
        <v>Analyst4</v>
      </c>
      <c r="G82" s="1">
        <f>qry_ProdData2_PDI_Cash_Exception_Application[[#This Row],[INSERT DATE]]+7</f>
        <v>45200.257071759261</v>
      </c>
      <c r="H82" t="str">
        <f>VLOOKUP(qry_ProdData2_PDI_Cash_Exception_Application[[#This Row],[MARKET No]],'Site Allocation'!$B$2:$C$37,2,FALSE)</f>
        <v>Analyst4</v>
      </c>
      <c r="I82" s="4">
        <f t="shared" ca="1" si="1"/>
        <v>45203</v>
      </c>
      <c r="J82" s="42">
        <f ca="1">TODAY()-qry_ProdData2_PDI_Cash_Exception_Application[[#This Row],[INSERT DATE]]</f>
        <v>9.7429282407392748</v>
      </c>
      <c r="K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2">
        <f ca="1">qry_ProdData2_PDI_Cash_Exception_Application[[#This Row],[TODAY]]-qry_ProdData2_PDI_Cash_Exception_Application[[#This Row],[CHANGED ON]]</f>
        <v>2.7429282407392748</v>
      </c>
      <c r="M82">
        <f ca="1">qry_ProdData2_PDI_Cash_Exception_Application[[#This Row],[TODAY]]-qry_ProdData2_PDI_Cash_Exception_Application[[#This Row],[CHANGED ON]]</f>
        <v>2.7429282407392748</v>
      </c>
      <c r="N82">
        <f ca="1">qry_ProdData2_PDI_Cash_Exception_Application[[#This Row],[TODAY]]-qry_ProdData2_PDI_Cash_Exception_Application[[#This Row],[CHANGED ON]]</f>
        <v>2.7429282407392748</v>
      </c>
    </row>
    <row r="83" spans="1:14" x14ac:dyDescent="0.35">
      <c r="A83">
        <v>1021</v>
      </c>
      <c r="B83" t="s">
        <v>75</v>
      </c>
      <c r="C83" s="1">
        <v>45197.257071759261</v>
      </c>
      <c r="D83" t="str">
        <f ca="1">VLOOKUP(qry_ProdData2_PDI_Cash_Exception_Application[[#This Row],[TYPE]],#REF!,2,FALSE)</f>
        <v>type40</v>
      </c>
      <c r="E83">
        <v>1418.82</v>
      </c>
      <c r="G83" s="1">
        <f>qry_ProdData2_PDI_Cash_Exception_Application[[#This Row],[INSERT DATE]]+7</f>
        <v>45204.257071759261</v>
      </c>
      <c r="H83" t="str">
        <f>VLOOKUP(qry_ProdData2_PDI_Cash_Exception_Application[[#This Row],[MARKET No]],'Site Allocation'!$B$2:$C$37,2,FALSE)</f>
        <v>Analyst4</v>
      </c>
      <c r="I83" s="4">
        <f t="shared" ca="1" si="1"/>
        <v>45203</v>
      </c>
      <c r="J83" s="42">
        <f ca="1">TODAY()-qry_ProdData2_PDI_Cash_Exception_Application[[#This Row],[INSERT DATE]]</f>
        <v>5.7429282407392748</v>
      </c>
      <c r="K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83">
        <f ca="1">qry_ProdData2_PDI_Cash_Exception_Application[[#This Row],[TODAY]]-qry_ProdData2_PDI_Cash_Exception_Application[[#This Row],[CHANGED ON]]</f>
        <v>-1.2570717592607252</v>
      </c>
      <c r="M83">
        <f ca="1">qry_ProdData2_PDI_Cash_Exception_Application[[#This Row],[TODAY]]-qry_ProdData2_PDI_Cash_Exception_Application[[#This Row],[CHANGED ON]]</f>
        <v>-1.2570717592607252</v>
      </c>
      <c r="N83">
        <f ca="1">qry_ProdData2_PDI_Cash_Exception_Application[[#This Row],[TODAY]]-qry_ProdData2_PDI_Cash_Exception_Application[[#This Row],[CHANGED ON]]</f>
        <v>-1.2570717592607252</v>
      </c>
    </row>
    <row r="84" spans="1:14" x14ac:dyDescent="0.35">
      <c r="A84">
        <v>1014</v>
      </c>
      <c r="B84" t="s">
        <v>68</v>
      </c>
      <c r="C84" s="1">
        <v>45183.257071759261</v>
      </c>
      <c r="D84" t="str">
        <f ca="1">VLOOKUP(qry_ProdData2_PDI_Cash_Exception_Application[[#This Row],[TYPE]],#REF!,2,FALSE)</f>
        <v>type40</v>
      </c>
      <c r="E84">
        <v>741.35</v>
      </c>
      <c r="G84" s="1">
        <f>qry_ProdData2_PDI_Cash_Exception_Application[[#This Row],[INSERT DATE]]+1</f>
        <v>45184.257071759261</v>
      </c>
      <c r="H84" t="str">
        <f>VLOOKUP(qry_ProdData2_PDI_Cash_Exception_Application[[#This Row],[MARKET No]],'Site Allocation'!$B$2:$C$37,2,FALSE)</f>
        <v>Analyst3</v>
      </c>
      <c r="I84" s="4">
        <f t="shared" ca="1" si="1"/>
        <v>45203</v>
      </c>
      <c r="J84" s="42">
        <f ca="1">TODAY()-qry_ProdData2_PDI_Cash_Exception_Application[[#This Row],[INSERT DATE]]</f>
        <v>19.742928240739275</v>
      </c>
      <c r="K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4">
        <f ca="1">qry_ProdData2_PDI_Cash_Exception_Application[[#This Row],[TODAY]]-qry_ProdData2_PDI_Cash_Exception_Application[[#This Row],[CHANGED ON]]</f>
        <v>18.742928240739275</v>
      </c>
      <c r="M84">
        <f ca="1">qry_ProdData2_PDI_Cash_Exception_Application[[#This Row],[TODAY]]-qry_ProdData2_PDI_Cash_Exception_Application[[#This Row],[CHANGED ON]]</f>
        <v>18.742928240739275</v>
      </c>
      <c r="N84">
        <f ca="1">qry_ProdData2_PDI_Cash_Exception_Application[[#This Row],[TODAY]]-qry_ProdData2_PDI_Cash_Exception_Application[[#This Row],[CHANGED ON]]</f>
        <v>18.742928240739275</v>
      </c>
    </row>
    <row r="85" spans="1:14" x14ac:dyDescent="0.35">
      <c r="A85">
        <v>1030</v>
      </c>
      <c r="B85" t="s">
        <v>84</v>
      </c>
      <c r="C85" s="1">
        <v>45196.257071759261</v>
      </c>
      <c r="D85" t="str">
        <f ca="1">VLOOKUP(qry_ProdData2_PDI_Cash_Exception_Application[[#This Row],[TYPE]],#REF!,2,FALSE)</f>
        <v>type27</v>
      </c>
      <c r="E85">
        <v>1403522.45</v>
      </c>
      <c r="G85" s="1">
        <f>qry_ProdData2_PDI_Cash_Exception_Application[[#This Row],[INSERT DATE]]+7</f>
        <v>45203.257071759261</v>
      </c>
      <c r="H85" t="str">
        <f>VLOOKUP(qry_ProdData2_PDI_Cash_Exception_Application[[#This Row],[MARKET No]],'Site Allocation'!$B$2:$C$37,2,FALSE)</f>
        <v>Analyst6</v>
      </c>
      <c r="I85" s="4">
        <f t="shared" ca="1" si="1"/>
        <v>45203</v>
      </c>
      <c r="J85" s="42">
        <f ca="1">TODAY()-qry_ProdData2_PDI_Cash_Exception_Application[[#This Row],[INSERT DATE]]</f>
        <v>6.7429282407392748</v>
      </c>
      <c r="K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85">
        <f ca="1">qry_ProdData2_PDI_Cash_Exception_Application[[#This Row],[TODAY]]-qry_ProdData2_PDI_Cash_Exception_Application[[#This Row],[CHANGED ON]]</f>
        <v>-0.25707175926072523</v>
      </c>
      <c r="M85">
        <f ca="1">qry_ProdData2_PDI_Cash_Exception_Application[[#This Row],[TODAY]]-qry_ProdData2_PDI_Cash_Exception_Application[[#This Row],[CHANGED ON]]</f>
        <v>-0.25707175926072523</v>
      </c>
      <c r="N85">
        <f ca="1">qry_ProdData2_PDI_Cash_Exception_Application[[#This Row],[TODAY]]-qry_ProdData2_PDI_Cash_Exception_Application[[#This Row],[CHANGED ON]]</f>
        <v>-0.25707175926072523</v>
      </c>
    </row>
    <row r="86" spans="1:14" x14ac:dyDescent="0.35">
      <c r="A86">
        <v>1033</v>
      </c>
      <c r="B86" t="s">
        <v>87</v>
      </c>
      <c r="C86" s="1">
        <v>45197.257071759261</v>
      </c>
      <c r="D86" t="str">
        <f ca="1">VLOOKUP(qry_ProdData2_PDI_Cash_Exception_Application[[#This Row],[TYPE]],#REF!,2,FALSE)</f>
        <v>type32</v>
      </c>
      <c r="E86">
        <v>1533197.1</v>
      </c>
      <c r="G86" s="1">
        <f>qry_ProdData2_PDI_Cash_Exception_Application[[#This Row],[INSERT DATE]]+7</f>
        <v>45204.257071759261</v>
      </c>
      <c r="H86" t="str">
        <f>VLOOKUP(qry_ProdData2_PDI_Cash_Exception_Application[[#This Row],[MARKET No]],'Site Allocation'!$B$2:$C$37,2,FALSE)</f>
        <v>Analyst6</v>
      </c>
      <c r="I86" s="4">
        <f t="shared" ca="1" si="1"/>
        <v>45203</v>
      </c>
      <c r="J86" s="42">
        <f ca="1">TODAY()-qry_ProdData2_PDI_Cash_Exception_Application[[#This Row],[INSERT DATE]]</f>
        <v>5.7429282407392748</v>
      </c>
      <c r="K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86">
        <f ca="1">qry_ProdData2_PDI_Cash_Exception_Application[[#This Row],[TODAY]]-qry_ProdData2_PDI_Cash_Exception_Application[[#This Row],[CHANGED ON]]</f>
        <v>-1.2570717592607252</v>
      </c>
      <c r="M86">
        <f ca="1">qry_ProdData2_PDI_Cash_Exception_Application[[#This Row],[TODAY]]-qry_ProdData2_PDI_Cash_Exception_Application[[#This Row],[CHANGED ON]]</f>
        <v>-1.2570717592607252</v>
      </c>
      <c r="N86">
        <f ca="1">qry_ProdData2_PDI_Cash_Exception_Application[[#This Row],[TODAY]]-qry_ProdData2_PDI_Cash_Exception_Application[[#This Row],[CHANGED ON]]</f>
        <v>-1.2570717592607252</v>
      </c>
    </row>
    <row r="87" spans="1:14" x14ac:dyDescent="0.35">
      <c r="A87">
        <v>1011</v>
      </c>
      <c r="B87" t="s">
        <v>65</v>
      </c>
      <c r="C87" s="1">
        <v>45184.257071759261</v>
      </c>
      <c r="D87" t="str">
        <f ca="1">VLOOKUP(qry_ProdData2_PDI_Cash_Exception_Application[[#This Row],[TYPE]],#REF!,2,FALSE)</f>
        <v>type27</v>
      </c>
      <c r="E87">
        <v>327425.24</v>
      </c>
      <c r="G87" s="1">
        <f>qry_ProdData2_PDI_Cash_Exception_Application[[#This Row],[INSERT DATE]]+1</f>
        <v>45185.257071759261</v>
      </c>
      <c r="H87" t="str">
        <f>VLOOKUP(qry_ProdData2_PDI_Cash_Exception_Application[[#This Row],[MARKET No]],'Site Allocation'!$B$2:$C$37,2,FALSE)</f>
        <v>Analyst2</v>
      </c>
      <c r="I87" s="4">
        <f t="shared" ca="1" si="1"/>
        <v>45203</v>
      </c>
      <c r="J87" s="42">
        <f ca="1">TODAY()-qry_ProdData2_PDI_Cash_Exception_Application[[#This Row],[INSERT DATE]]</f>
        <v>18.742928240739275</v>
      </c>
      <c r="K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7">
        <f ca="1">qry_ProdData2_PDI_Cash_Exception_Application[[#This Row],[TODAY]]-qry_ProdData2_PDI_Cash_Exception_Application[[#This Row],[CHANGED ON]]</f>
        <v>17.742928240739275</v>
      </c>
      <c r="M87">
        <f ca="1">qry_ProdData2_PDI_Cash_Exception_Application[[#This Row],[TODAY]]-qry_ProdData2_PDI_Cash_Exception_Application[[#This Row],[CHANGED ON]]</f>
        <v>17.742928240739275</v>
      </c>
      <c r="N87">
        <f ca="1">qry_ProdData2_PDI_Cash_Exception_Application[[#This Row],[TODAY]]-qry_ProdData2_PDI_Cash_Exception_Application[[#This Row],[CHANGED ON]]</f>
        <v>17.742928240739275</v>
      </c>
    </row>
    <row r="88" spans="1:14" x14ac:dyDescent="0.35">
      <c r="A88">
        <v>1009</v>
      </c>
      <c r="B88" t="s">
        <v>63</v>
      </c>
      <c r="C88" s="1">
        <v>45186.257071759261</v>
      </c>
      <c r="D88" t="str">
        <f ca="1">VLOOKUP(qry_ProdData2_PDI_Cash_Exception_Application[[#This Row],[TYPE]],#REF!,2,FALSE)</f>
        <v>type54</v>
      </c>
      <c r="E88">
        <v>308.45</v>
      </c>
      <c r="G88" s="1">
        <f>qry_ProdData2_PDI_Cash_Exception_Application[[#This Row],[INSERT DATE]]+2</f>
        <v>45188.257071759261</v>
      </c>
      <c r="H88" t="str">
        <f>VLOOKUP(qry_ProdData2_PDI_Cash_Exception_Application[[#This Row],[MARKET No]],'Site Allocation'!$B$2:$C$37,2,FALSE)</f>
        <v>Analyst2</v>
      </c>
      <c r="I88" s="4">
        <f t="shared" ca="1" si="1"/>
        <v>45203</v>
      </c>
      <c r="J88" s="42">
        <f ca="1">TODAY()-qry_ProdData2_PDI_Cash_Exception_Application[[#This Row],[INSERT DATE]]</f>
        <v>16.742928240739275</v>
      </c>
      <c r="K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8">
        <f ca="1">qry_ProdData2_PDI_Cash_Exception_Application[[#This Row],[TODAY]]-qry_ProdData2_PDI_Cash_Exception_Application[[#This Row],[CHANGED ON]]</f>
        <v>14.742928240739275</v>
      </c>
      <c r="M88">
        <f ca="1">qry_ProdData2_PDI_Cash_Exception_Application[[#This Row],[TODAY]]-qry_ProdData2_PDI_Cash_Exception_Application[[#This Row],[CHANGED ON]]</f>
        <v>14.742928240739275</v>
      </c>
      <c r="N88">
        <f ca="1">qry_ProdData2_PDI_Cash_Exception_Application[[#This Row],[TODAY]]-qry_ProdData2_PDI_Cash_Exception_Application[[#This Row],[CHANGED ON]]</f>
        <v>14.742928240739275</v>
      </c>
    </row>
    <row r="89" spans="1:14" x14ac:dyDescent="0.35">
      <c r="A89">
        <v>1022</v>
      </c>
      <c r="B89" t="s">
        <v>76</v>
      </c>
      <c r="C89" s="1">
        <v>45187.257071759261</v>
      </c>
      <c r="D89" t="str">
        <f ca="1">VLOOKUP(qry_ProdData2_PDI_Cash_Exception_Application[[#This Row],[TYPE]],#REF!,2,FALSE)</f>
        <v>type13</v>
      </c>
      <c r="E89">
        <v>13057.21</v>
      </c>
      <c r="F89" t="str">
        <f>qry_ProdData2_PDI_Cash_Exception_Application[[#This Row],[ANALYST]]</f>
        <v>Analyst4</v>
      </c>
      <c r="G89" s="1">
        <f>qry_ProdData2_PDI_Cash_Exception_Application[[#This Row],[INSERT DATE]]+7</f>
        <v>45194.257071759261</v>
      </c>
      <c r="H89" t="str">
        <f>VLOOKUP(qry_ProdData2_PDI_Cash_Exception_Application[[#This Row],[MARKET No]],'Site Allocation'!$B$2:$C$37,2,FALSE)</f>
        <v>Analyst4</v>
      </c>
      <c r="I89" s="4">
        <f t="shared" ca="1" si="1"/>
        <v>45203</v>
      </c>
      <c r="J89" s="42">
        <f ca="1">TODAY()-qry_ProdData2_PDI_Cash_Exception_Application[[#This Row],[INSERT DATE]]</f>
        <v>15.742928240739275</v>
      </c>
      <c r="K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9">
        <f ca="1">qry_ProdData2_PDI_Cash_Exception_Application[[#This Row],[TODAY]]-qry_ProdData2_PDI_Cash_Exception_Application[[#This Row],[CHANGED ON]]</f>
        <v>8.7429282407392748</v>
      </c>
      <c r="M89">
        <f ca="1">qry_ProdData2_PDI_Cash_Exception_Application[[#This Row],[TODAY]]-qry_ProdData2_PDI_Cash_Exception_Application[[#This Row],[CHANGED ON]]</f>
        <v>8.7429282407392748</v>
      </c>
      <c r="N89">
        <f ca="1">qry_ProdData2_PDI_Cash_Exception_Application[[#This Row],[TODAY]]-qry_ProdData2_PDI_Cash_Exception_Application[[#This Row],[CHANGED ON]]</f>
        <v>8.7429282407392748</v>
      </c>
    </row>
    <row r="90" spans="1:14" x14ac:dyDescent="0.35">
      <c r="A90">
        <v>1023</v>
      </c>
      <c r="B90" t="s">
        <v>77</v>
      </c>
      <c r="C90" s="1">
        <v>45187.257071759261</v>
      </c>
      <c r="D90" t="str">
        <f ca="1">VLOOKUP(qry_ProdData2_PDI_Cash_Exception_Application[[#This Row],[TYPE]],#REF!,2,FALSE)</f>
        <v>type13</v>
      </c>
      <c r="E90">
        <v>18696.79</v>
      </c>
      <c r="F90" t="str">
        <f>qry_ProdData2_PDI_Cash_Exception_Application[[#This Row],[ANALYST]]</f>
        <v>Analyst4</v>
      </c>
      <c r="G90" s="1">
        <f>qry_ProdData2_PDI_Cash_Exception_Application[[#This Row],[INSERT DATE]]+7</f>
        <v>45194.257071759261</v>
      </c>
      <c r="H90" t="str">
        <f>VLOOKUP(qry_ProdData2_PDI_Cash_Exception_Application[[#This Row],[MARKET No]],'Site Allocation'!$B$2:$C$37,2,FALSE)</f>
        <v>Analyst4</v>
      </c>
      <c r="I90" s="4">
        <f t="shared" ca="1" si="1"/>
        <v>45203</v>
      </c>
      <c r="J90" s="42">
        <f ca="1">TODAY()-qry_ProdData2_PDI_Cash_Exception_Application[[#This Row],[INSERT DATE]]</f>
        <v>15.742928240739275</v>
      </c>
      <c r="K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0">
        <f ca="1">qry_ProdData2_PDI_Cash_Exception_Application[[#This Row],[TODAY]]-qry_ProdData2_PDI_Cash_Exception_Application[[#This Row],[CHANGED ON]]</f>
        <v>8.7429282407392748</v>
      </c>
      <c r="M90">
        <f ca="1">qry_ProdData2_PDI_Cash_Exception_Application[[#This Row],[TODAY]]-qry_ProdData2_PDI_Cash_Exception_Application[[#This Row],[CHANGED ON]]</f>
        <v>8.7429282407392748</v>
      </c>
      <c r="N90">
        <f ca="1">qry_ProdData2_PDI_Cash_Exception_Application[[#This Row],[TODAY]]-qry_ProdData2_PDI_Cash_Exception_Application[[#This Row],[CHANGED ON]]</f>
        <v>8.7429282407392748</v>
      </c>
    </row>
    <row r="91" spans="1:14" x14ac:dyDescent="0.35">
      <c r="A91">
        <v>1033</v>
      </c>
      <c r="B91" t="s">
        <v>87</v>
      </c>
      <c r="C91" s="1">
        <v>45188.257071759261</v>
      </c>
      <c r="D91" t="str">
        <f ca="1">VLOOKUP(qry_ProdData2_PDI_Cash_Exception_Application[[#This Row],[TYPE]],#REF!,2,FALSE)</f>
        <v>type13</v>
      </c>
      <c r="E91">
        <v>16103.9</v>
      </c>
      <c r="G91" s="1">
        <f>qry_ProdData2_PDI_Cash_Exception_Application[[#This Row],[INSERT DATE]]+7</f>
        <v>45195.257071759261</v>
      </c>
      <c r="H91" t="str">
        <f>VLOOKUP(qry_ProdData2_PDI_Cash_Exception_Application[[#This Row],[MARKET No]],'Site Allocation'!$B$2:$C$37,2,FALSE)</f>
        <v>Analyst6</v>
      </c>
      <c r="I91" s="4">
        <f t="shared" ca="1" si="1"/>
        <v>45203</v>
      </c>
      <c r="J91" s="42">
        <f ca="1">TODAY()-qry_ProdData2_PDI_Cash_Exception_Application[[#This Row],[INSERT DATE]]</f>
        <v>14.742928240739275</v>
      </c>
      <c r="K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1">
        <f ca="1">qry_ProdData2_PDI_Cash_Exception_Application[[#This Row],[TODAY]]-qry_ProdData2_PDI_Cash_Exception_Application[[#This Row],[CHANGED ON]]</f>
        <v>7.7429282407392748</v>
      </c>
      <c r="M91">
        <f ca="1">qry_ProdData2_PDI_Cash_Exception_Application[[#This Row],[TODAY]]-qry_ProdData2_PDI_Cash_Exception_Application[[#This Row],[CHANGED ON]]</f>
        <v>7.7429282407392748</v>
      </c>
      <c r="N91">
        <f ca="1">qry_ProdData2_PDI_Cash_Exception_Application[[#This Row],[TODAY]]-qry_ProdData2_PDI_Cash_Exception_Application[[#This Row],[CHANGED ON]]</f>
        <v>7.7429282407392748</v>
      </c>
    </row>
    <row r="92" spans="1:14" x14ac:dyDescent="0.35">
      <c r="A92">
        <v>1020</v>
      </c>
      <c r="B92" t="s">
        <v>74</v>
      </c>
      <c r="C92" s="1">
        <v>45189.257071759261</v>
      </c>
      <c r="D92" t="str">
        <f ca="1">VLOOKUP(qry_ProdData2_PDI_Cash_Exception_Application[[#This Row],[TYPE]],#REF!,2,FALSE)</f>
        <v>type13</v>
      </c>
      <c r="E92">
        <v>31071.33</v>
      </c>
      <c r="F92" t="str">
        <f>qry_ProdData2_PDI_Cash_Exception_Application[[#This Row],[ANALYST]]</f>
        <v>Analyst4</v>
      </c>
      <c r="G92" s="1">
        <f>qry_ProdData2_PDI_Cash_Exception_Application[[#This Row],[INSERT DATE]]+7</f>
        <v>45196.257071759261</v>
      </c>
      <c r="H92" t="str">
        <f>VLOOKUP(qry_ProdData2_PDI_Cash_Exception_Application[[#This Row],[MARKET No]],'Site Allocation'!$B$2:$C$37,2,FALSE)</f>
        <v>Analyst4</v>
      </c>
      <c r="I92" s="4">
        <f t="shared" ca="1" si="1"/>
        <v>45203</v>
      </c>
      <c r="J92" s="42">
        <f ca="1">TODAY()-qry_ProdData2_PDI_Cash_Exception_Application[[#This Row],[INSERT DATE]]</f>
        <v>13.742928240739275</v>
      </c>
      <c r="K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2">
        <f ca="1">qry_ProdData2_PDI_Cash_Exception_Application[[#This Row],[TODAY]]-qry_ProdData2_PDI_Cash_Exception_Application[[#This Row],[CHANGED ON]]</f>
        <v>6.7429282407392748</v>
      </c>
      <c r="M92">
        <f ca="1">qry_ProdData2_PDI_Cash_Exception_Application[[#This Row],[TODAY]]-qry_ProdData2_PDI_Cash_Exception_Application[[#This Row],[CHANGED ON]]</f>
        <v>6.7429282407392748</v>
      </c>
      <c r="N92">
        <f ca="1">qry_ProdData2_PDI_Cash_Exception_Application[[#This Row],[TODAY]]-qry_ProdData2_PDI_Cash_Exception_Application[[#This Row],[CHANGED ON]]</f>
        <v>6.7429282407392748</v>
      </c>
    </row>
    <row r="93" spans="1:14" x14ac:dyDescent="0.35">
      <c r="A93">
        <v>1017</v>
      </c>
      <c r="B93" t="s">
        <v>71</v>
      </c>
      <c r="C93" s="1">
        <v>45185.257071759261</v>
      </c>
      <c r="D93" t="str">
        <f ca="1">VLOOKUP(qry_ProdData2_PDI_Cash_Exception_Application[[#This Row],[TYPE]],#REF!,2,FALSE)</f>
        <v>type13</v>
      </c>
      <c r="E93">
        <v>43617.52</v>
      </c>
      <c r="G93" s="1">
        <f>qry_ProdData2_PDI_Cash_Exception_Application[[#This Row],[INSERT DATE]]+2</f>
        <v>45187.257071759261</v>
      </c>
      <c r="H93" t="str">
        <f>VLOOKUP(qry_ProdData2_PDI_Cash_Exception_Application[[#This Row],[MARKET No]],'Site Allocation'!$B$2:$C$37,2,FALSE)</f>
        <v>Analyst3</v>
      </c>
      <c r="I93" s="4">
        <f t="shared" ca="1" si="1"/>
        <v>45203</v>
      </c>
      <c r="J93" s="42">
        <f ca="1">TODAY()-qry_ProdData2_PDI_Cash_Exception_Application[[#This Row],[INSERT DATE]]</f>
        <v>17.742928240739275</v>
      </c>
      <c r="K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3">
        <f ca="1">qry_ProdData2_PDI_Cash_Exception_Application[[#This Row],[TODAY]]-qry_ProdData2_PDI_Cash_Exception_Application[[#This Row],[CHANGED ON]]</f>
        <v>15.742928240739275</v>
      </c>
      <c r="M93">
        <f ca="1">qry_ProdData2_PDI_Cash_Exception_Application[[#This Row],[TODAY]]-qry_ProdData2_PDI_Cash_Exception_Application[[#This Row],[CHANGED ON]]</f>
        <v>15.742928240739275</v>
      </c>
      <c r="N93">
        <f ca="1">qry_ProdData2_PDI_Cash_Exception_Application[[#This Row],[TODAY]]-qry_ProdData2_PDI_Cash_Exception_Application[[#This Row],[CHANGED ON]]</f>
        <v>15.742928240739275</v>
      </c>
    </row>
    <row r="94" spans="1:14" x14ac:dyDescent="0.35">
      <c r="A94">
        <v>1013</v>
      </c>
      <c r="B94" t="s">
        <v>67</v>
      </c>
      <c r="C94" s="1">
        <v>45190.257071759261</v>
      </c>
      <c r="D94" t="str">
        <f ca="1">VLOOKUP(qry_ProdData2_PDI_Cash_Exception_Application[[#This Row],[TYPE]],#REF!,2,FALSE)</f>
        <v>type13</v>
      </c>
      <c r="E94">
        <v>58997.5</v>
      </c>
      <c r="G94" s="1">
        <f>qry_ProdData2_PDI_Cash_Exception_Application[[#This Row],[INSERT DATE]]+5</f>
        <v>45195.257071759261</v>
      </c>
      <c r="H94" t="str">
        <f>VLOOKUP(qry_ProdData2_PDI_Cash_Exception_Application[[#This Row],[MARKET No]],'Site Allocation'!$B$2:$C$37,2,FALSE)</f>
        <v>Analyst3</v>
      </c>
      <c r="I94" s="4">
        <f t="shared" ca="1" si="1"/>
        <v>45203</v>
      </c>
      <c r="J94" s="42">
        <f ca="1">TODAY()-qry_ProdData2_PDI_Cash_Exception_Application[[#This Row],[INSERT DATE]]</f>
        <v>12.742928240739275</v>
      </c>
      <c r="K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4">
        <f ca="1">qry_ProdData2_PDI_Cash_Exception_Application[[#This Row],[TODAY]]-qry_ProdData2_PDI_Cash_Exception_Application[[#This Row],[CHANGED ON]]</f>
        <v>7.7429282407392748</v>
      </c>
      <c r="M94">
        <f ca="1">qry_ProdData2_PDI_Cash_Exception_Application[[#This Row],[TODAY]]-qry_ProdData2_PDI_Cash_Exception_Application[[#This Row],[CHANGED ON]]</f>
        <v>7.7429282407392748</v>
      </c>
      <c r="N94">
        <f ca="1">qry_ProdData2_PDI_Cash_Exception_Application[[#This Row],[TODAY]]-qry_ProdData2_PDI_Cash_Exception_Application[[#This Row],[CHANGED ON]]</f>
        <v>7.7429282407392748</v>
      </c>
    </row>
    <row r="95" spans="1:14" x14ac:dyDescent="0.35">
      <c r="A95">
        <v>1018</v>
      </c>
      <c r="B95" t="s">
        <v>72</v>
      </c>
      <c r="C95" s="1">
        <v>45180.257071759261</v>
      </c>
      <c r="D95" t="str">
        <f ca="1">VLOOKUP(qry_ProdData2_PDI_Cash_Exception_Application[[#This Row],[TYPE]],#REF!,2,FALSE)</f>
        <v>type40</v>
      </c>
      <c r="E95">
        <v>-1685.64</v>
      </c>
      <c r="F95" t="str">
        <f>qry_ProdData2_PDI_Cash_Exception_Application[[#This Row],[ANALYST]]</f>
        <v>Analyst4</v>
      </c>
      <c r="G95" s="1">
        <f>qry_ProdData2_PDI_Cash_Exception_Application[[#This Row],[INSERT DATE]]+1</f>
        <v>45181.257071759261</v>
      </c>
      <c r="H95" t="str">
        <f>VLOOKUP(qry_ProdData2_PDI_Cash_Exception_Application[[#This Row],[MARKET No]],'Site Allocation'!$B$2:$C$37,2,FALSE)</f>
        <v>Analyst4</v>
      </c>
      <c r="I95" s="4">
        <f t="shared" ca="1" si="1"/>
        <v>45203</v>
      </c>
      <c r="J95" s="42">
        <f ca="1">TODAY()-qry_ProdData2_PDI_Cash_Exception_Application[[#This Row],[INSERT DATE]]</f>
        <v>22.742928240739275</v>
      </c>
      <c r="K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5">
        <f ca="1">qry_ProdData2_PDI_Cash_Exception_Application[[#This Row],[TODAY]]-qry_ProdData2_PDI_Cash_Exception_Application[[#This Row],[CHANGED ON]]</f>
        <v>21.742928240739275</v>
      </c>
      <c r="M95">
        <f ca="1">qry_ProdData2_PDI_Cash_Exception_Application[[#This Row],[TODAY]]-qry_ProdData2_PDI_Cash_Exception_Application[[#This Row],[CHANGED ON]]</f>
        <v>21.742928240739275</v>
      </c>
      <c r="N95">
        <f ca="1">qry_ProdData2_PDI_Cash_Exception_Application[[#This Row],[TODAY]]-qry_ProdData2_PDI_Cash_Exception_Application[[#This Row],[CHANGED ON]]</f>
        <v>21.742928240739275</v>
      </c>
    </row>
    <row r="96" spans="1:14" x14ac:dyDescent="0.35">
      <c r="A96">
        <v>1023</v>
      </c>
      <c r="B96" t="s">
        <v>77</v>
      </c>
      <c r="C96" s="1">
        <v>45191.257071759261</v>
      </c>
      <c r="D96" t="str">
        <f ca="1">VLOOKUP(qry_ProdData2_PDI_Cash_Exception_Application[[#This Row],[TYPE]],#REF!,2,FALSE)</f>
        <v>type40</v>
      </c>
      <c r="E96">
        <v>-458.79</v>
      </c>
      <c r="F96" t="str">
        <f>qry_ProdData2_PDI_Cash_Exception_Application[[#This Row],[ANALYST]]</f>
        <v>Analyst4</v>
      </c>
      <c r="G96" s="1">
        <f>qry_ProdData2_PDI_Cash_Exception_Application[[#This Row],[INSERT DATE]]+1</f>
        <v>45192.257071759261</v>
      </c>
      <c r="H96" t="str">
        <f>VLOOKUP(qry_ProdData2_PDI_Cash_Exception_Application[[#This Row],[MARKET No]],'Site Allocation'!$B$2:$C$37,2,FALSE)</f>
        <v>Analyst4</v>
      </c>
      <c r="I96" s="4">
        <f t="shared" ca="1" si="1"/>
        <v>45203</v>
      </c>
      <c r="J96" s="42">
        <f ca="1">TODAY()-qry_ProdData2_PDI_Cash_Exception_Application[[#This Row],[INSERT DATE]]</f>
        <v>11.742928240739275</v>
      </c>
      <c r="K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6">
        <f ca="1">qry_ProdData2_PDI_Cash_Exception_Application[[#This Row],[TODAY]]-qry_ProdData2_PDI_Cash_Exception_Application[[#This Row],[CHANGED ON]]</f>
        <v>10.742928240739275</v>
      </c>
      <c r="M96">
        <f ca="1">qry_ProdData2_PDI_Cash_Exception_Application[[#This Row],[TODAY]]-qry_ProdData2_PDI_Cash_Exception_Application[[#This Row],[CHANGED ON]]</f>
        <v>10.742928240739275</v>
      </c>
      <c r="N96">
        <f ca="1">qry_ProdData2_PDI_Cash_Exception_Application[[#This Row],[TODAY]]-qry_ProdData2_PDI_Cash_Exception_Application[[#This Row],[CHANGED ON]]</f>
        <v>10.742928240739275</v>
      </c>
    </row>
    <row r="97" spans="1:14" x14ac:dyDescent="0.35">
      <c r="A97">
        <v>1001</v>
      </c>
      <c r="B97" t="s">
        <v>55</v>
      </c>
      <c r="C97" s="1">
        <v>45184.257071759261</v>
      </c>
      <c r="D97" t="str">
        <f ca="1">VLOOKUP(qry_ProdData2_PDI_Cash_Exception_Application[[#This Row],[TYPE]],#REF!,2,FALSE)</f>
        <v>type13</v>
      </c>
      <c r="E97">
        <v>16663.349999999999</v>
      </c>
      <c r="G97" s="1">
        <f>qry_ProdData2_PDI_Cash_Exception_Application[[#This Row],[INSERT DATE]]+2</f>
        <v>45186.257071759261</v>
      </c>
      <c r="H97" t="str">
        <f>VLOOKUP(qry_ProdData2_PDI_Cash_Exception_Application[[#This Row],[MARKET No]],'Site Allocation'!$B$2:$C$37,2,FALSE)</f>
        <v>Analyst1</v>
      </c>
      <c r="I97" s="4">
        <f t="shared" ca="1" si="1"/>
        <v>45203</v>
      </c>
      <c r="J97" s="42">
        <f ca="1">TODAY()-qry_ProdData2_PDI_Cash_Exception_Application[[#This Row],[INSERT DATE]]</f>
        <v>18.742928240739275</v>
      </c>
      <c r="K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7">
        <f ca="1">qry_ProdData2_PDI_Cash_Exception_Application[[#This Row],[TODAY]]-qry_ProdData2_PDI_Cash_Exception_Application[[#This Row],[CHANGED ON]]</f>
        <v>16.742928240739275</v>
      </c>
      <c r="M97">
        <f ca="1">qry_ProdData2_PDI_Cash_Exception_Application[[#This Row],[TODAY]]-qry_ProdData2_PDI_Cash_Exception_Application[[#This Row],[CHANGED ON]]</f>
        <v>16.742928240739275</v>
      </c>
      <c r="N97">
        <f ca="1">qry_ProdData2_PDI_Cash_Exception_Application[[#This Row],[TODAY]]-qry_ProdData2_PDI_Cash_Exception_Application[[#This Row],[CHANGED ON]]</f>
        <v>16.742928240739275</v>
      </c>
    </row>
    <row r="98" spans="1:14" x14ac:dyDescent="0.35">
      <c r="A98">
        <v>1031</v>
      </c>
      <c r="B98" t="s">
        <v>85</v>
      </c>
      <c r="C98" s="1">
        <v>45193.257071759261</v>
      </c>
      <c r="D98" t="str">
        <f ca="1">VLOOKUP(qry_ProdData2_PDI_Cash_Exception_Application[[#This Row],[TYPE]],#REF!,2,FALSE)</f>
        <v>type13</v>
      </c>
      <c r="E98">
        <v>54029.919999999998</v>
      </c>
      <c r="G98" s="1">
        <f>qry_ProdData2_PDI_Cash_Exception_Application[[#This Row],[INSERT DATE]]+1</f>
        <v>45194.257071759261</v>
      </c>
      <c r="H98" t="str">
        <f>VLOOKUP(qry_ProdData2_PDI_Cash_Exception_Application[[#This Row],[MARKET No]],'Site Allocation'!$B$2:$C$37,2,FALSE)</f>
        <v>Analyst6</v>
      </c>
      <c r="I98" s="4">
        <f t="shared" ca="1" si="1"/>
        <v>45203</v>
      </c>
      <c r="J98" s="42">
        <f ca="1">TODAY()-qry_ProdData2_PDI_Cash_Exception_Application[[#This Row],[INSERT DATE]]</f>
        <v>9.7429282407392748</v>
      </c>
      <c r="K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8">
        <f ca="1">qry_ProdData2_PDI_Cash_Exception_Application[[#This Row],[TODAY]]-qry_ProdData2_PDI_Cash_Exception_Application[[#This Row],[CHANGED ON]]</f>
        <v>8.7429282407392748</v>
      </c>
      <c r="M98">
        <f ca="1">qry_ProdData2_PDI_Cash_Exception_Application[[#This Row],[TODAY]]-qry_ProdData2_PDI_Cash_Exception_Application[[#This Row],[CHANGED ON]]</f>
        <v>8.7429282407392748</v>
      </c>
      <c r="N98">
        <f ca="1">qry_ProdData2_PDI_Cash_Exception_Application[[#This Row],[TODAY]]-qry_ProdData2_PDI_Cash_Exception_Application[[#This Row],[CHANGED ON]]</f>
        <v>8.7429282407392748</v>
      </c>
    </row>
    <row r="99" spans="1:14" x14ac:dyDescent="0.35">
      <c r="A99">
        <v>1001</v>
      </c>
      <c r="B99" t="s">
        <v>55</v>
      </c>
      <c r="C99" s="1">
        <v>45187.257071759261</v>
      </c>
      <c r="D99" t="str">
        <f ca="1">VLOOKUP(qry_ProdData2_PDI_Cash_Exception_Application[[#This Row],[TYPE]],#REF!,2,FALSE)</f>
        <v>type13</v>
      </c>
      <c r="E99">
        <v>15844.42</v>
      </c>
      <c r="G99" s="1">
        <f>qry_ProdData2_PDI_Cash_Exception_Application[[#This Row],[INSERT DATE]]+2</f>
        <v>45189.257071759261</v>
      </c>
      <c r="H99" t="str">
        <f>VLOOKUP(qry_ProdData2_PDI_Cash_Exception_Application[[#This Row],[MARKET No]],'Site Allocation'!$B$2:$C$37,2,FALSE)</f>
        <v>Analyst1</v>
      </c>
      <c r="I99" s="4">
        <f t="shared" ca="1" si="1"/>
        <v>45203</v>
      </c>
      <c r="J99" s="42">
        <f ca="1">TODAY()-qry_ProdData2_PDI_Cash_Exception_Application[[#This Row],[INSERT DATE]]</f>
        <v>15.742928240739275</v>
      </c>
      <c r="K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9">
        <f ca="1">qry_ProdData2_PDI_Cash_Exception_Application[[#This Row],[TODAY]]-qry_ProdData2_PDI_Cash_Exception_Application[[#This Row],[CHANGED ON]]</f>
        <v>13.742928240739275</v>
      </c>
      <c r="M99">
        <f ca="1">qry_ProdData2_PDI_Cash_Exception_Application[[#This Row],[TODAY]]-qry_ProdData2_PDI_Cash_Exception_Application[[#This Row],[CHANGED ON]]</f>
        <v>13.742928240739275</v>
      </c>
      <c r="N99">
        <f ca="1">qry_ProdData2_PDI_Cash_Exception_Application[[#This Row],[TODAY]]-qry_ProdData2_PDI_Cash_Exception_Application[[#This Row],[CHANGED ON]]</f>
        <v>13.742928240739275</v>
      </c>
    </row>
    <row r="100" spans="1:14" x14ac:dyDescent="0.35">
      <c r="A100">
        <v>1026</v>
      </c>
      <c r="B100" t="s">
        <v>80</v>
      </c>
      <c r="C100" s="1">
        <v>45180.257071759261</v>
      </c>
      <c r="D100" t="str">
        <f ca="1">VLOOKUP(qry_ProdData2_PDI_Cash_Exception_Application[[#This Row],[TYPE]],#REF!,2,FALSE)</f>
        <v>type40</v>
      </c>
      <c r="E100">
        <v>982.62</v>
      </c>
      <c r="F100" t="str">
        <f>qry_ProdData2_PDI_Cash_Exception_Application[[#This Row],[ANALYST]]</f>
        <v>Analyst5</v>
      </c>
      <c r="G100" s="1">
        <f>qry_ProdData2_PDI_Cash_Exception_Application[[#This Row],[INSERT DATE]]+2</f>
        <v>45182.257071759261</v>
      </c>
      <c r="H100" t="str">
        <f>VLOOKUP(qry_ProdData2_PDI_Cash_Exception_Application[[#This Row],[MARKET No]],'Site Allocation'!$B$2:$C$37,2,FALSE)</f>
        <v>Analyst5</v>
      </c>
      <c r="I100" s="4">
        <f t="shared" ca="1" si="1"/>
        <v>45203</v>
      </c>
      <c r="J100" s="42">
        <f ca="1">TODAY()-qry_ProdData2_PDI_Cash_Exception_Application[[#This Row],[INSERT DATE]]</f>
        <v>22.742928240739275</v>
      </c>
      <c r="K1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0">
        <f ca="1">qry_ProdData2_PDI_Cash_Exception_Application[[#This Row],[TODAY]]-qry_ProdData2_PDI_Cash_Exception_Application[[#This Row],[CHANGED ON]]</f>
        <v>20.742928240739275</v>
      </c>
      <c r="M100">
        <f ca="1">qry_ProdData2_PDI_Cash_Exception_Application[[#This Row],[TODAY]]-qry_ProdData2_PDI_Cash_Exception_Application[[#This Row],[CHANGED ON]]</f>
        <v>20.742928240739275</v>
      </c>
      <c r="N100">
        <f ca="1">qry_ProdData2_PDI_Cash_Exception_Application[[#This Row],[TODAY]]-qry_ProdData2_PDI_Cash_Exception_Application[[#This Row],[CHANGED ON]]</f>
        <v>20.742928240739275</v>
      </c>
    </row>
    <row r="101" spans="1:14" x14ac:dyDescent="0.35">
      <c r="A101">
        <v>1007</v>
      </c>
      <c r="B101" t="s">
        <v>61</v>
      </c>
      <c r="C101" s="1">
        <v>45192.257071759261</v>
      </c>
      <c r="D101" t="str">
        <f ca="1">VLOOKUP(qry_ProdData2_PDI_Cash_Exception_Application[[#This Row],[TYPE]],#REF!,2,FALSE)</f>
        <v>type13</v>
      </c>
      <c r="E101">
        <v>28522.32</v>
      </c>
      <c r="G101" s="1">
        <f>qry_ProdData2_PDI_Cash_Exception_Application[[#This Row],[INSERT DATE]]+2</f>
        <v>45194.257071759261</v>
      </c>
      <c r="H101" t="str">
        <f>VLOOKUP(qry_ProdData2_PDI_Cash_Exception_Application[[#This Row],[MARKET No]],'Site Allocation'!$B$2:$C$37,2,FALSE)</f>
        <v>Analyst2</v>
      </c>
      <c r="I101" s="4">
        <f t="shared" ca="1" si="1"/>
        <v>45203</v>
      </c>
      <c r="J101" s="42">
        <f ca="1">TODAY()-qry_ProdData2_PDI_Cash_Exception_Application[[#This Row],[INSERT DATE]]</f>
        <v>10.742928240739275</v>
      </c>
      <c r="K1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1">
        <f ca="1">qry_ProdData2_PDI_Cash_Exception_Application[[#This Row],[TODAY]]-qry_ProdData2_PDI_Cash_Exception_Application[[#This Row],[CHANGED ON]]</f>
        <v>8.7429282407392748</v>
      </c>
      <c r="M101">
        <f ca="1">qry_ProdData2_PDI_Cash_Exception_Application[[#This Row],[TODAY]]-qry_ProdData2_PDI_Cash_Exception_Application[[#This Row],[CHANGED ON]]</f>
        <v>8.7429282407392748</v>
      </c>
      <c r="N101">
        <f ca="1">qry_ProdData2_PDI_Cash_Exception_Application[[#This Row],[TODAY]]-qry_ProdData2_PDI_Cash_Exception_Application[[#This Row],[CHANGED ON]]</f>
        <v>8.7429282407392748</v>
      </c>
    </row>
    <row r="102" spans="1:14" x14ac:dyDescent="0.35">
      <c r="A102">
        <v>1003</v>
      </c>
      <c r="B102" t="s">
        <v>57</v>
      </c>
      <c r="C102" s="1">
        <v>45185.257071759261</v>
      </c>
      <c r="D102" t="str">
        <f ca="1">VLOOKUP(qry_ProdData2_PDI_Cash_Exception_Application[[#This Row],[TYPE]],#REF!,2,FALSE)</f>
        <v>type40</v>
      </c>
      <c r="E102">
        <v>-734.6</v>
      </c>
      <c r="G102" s="1">
        <f>qry_ProdData2_PDI_Cash_Exception_Application[[#This Row],[INSERT DATE]]+2</f>
        <v>45187.257071759261</v>
      </c>
      <c r="H102" t="str">
        <f>VLOOKUP(qry_ProdData2_PDI_Cash_Exception_Application[[#This Row],[MARKET No]],'Site Allocation'!$B$2:$C$37,2,FALSE)</f>
        <v>Analyst1</v>
      </c>
      <c r="I102" s="4">
        <f t="shared" ca="1" si="1"/>
        <v>45203</v>
      </c>
      <c r="J102" s="42">
        <f ca="1">TODAY()-qry_ProdData2_PDI_Cash_Exception_Application[[#This Row],[INSERT DATE]]</f>
        <v>17.742928240739275</v>
      </c>
      <c r="K1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2">
        <f ca="1">qry_ProdData2_PDI_Cash_Exception_Application[[#This Row],[TODAY]]-qry_ProdData2_PDI_Cash_Exception_Application[[#This Row],[CHANGED ON]]</f>
        <v>15.742928240739275</v>
      </c>
      <c r="M102">
        <f ca="1">qry_ProdData2_PDI_Cash_Exception_Application[[#This Row],[TODAY]]-qry_ProdData2_PDI_Cash_Exception_Application[[#This Row],[CHANGED ON]]</f>
        <v>15.742928240739275</v>
      </c>
      <c r="N102">
        <f ca="1">qry_ProdData2_PDI_Cash_Exception_Application[[#This Row],[TODAY]]-qry_ProdData2_PDI_Cash_Exception_Application[[#This Row],[CHANGED ON]]</f>
        <v>15.742928240739275</v>
      </c>
    </row>
    <row r="103" spans="1:14" x14ac:dyDescent="0.35">
      <c r="A103">
        <v>1011</v>
      </c>
      <c r="B103" t="s">
        <v>65</v>
      </c>
      <c r="C103" s="1">
        <v>45187.257071759261</v>
      </c>
      <c r="D103" t="str">
        <f ca="1">VLOOKUP(qry_ProdData2_PDI_Cash_Exception_Application[[#This Row],[TYPE]],#REF!,2,FALSE)</f>
        <v>type40</v>
      </c>
      <c r="E103">
        <v>13.14</v>
      </c>
      <c r="G103" s="1">
        <f>qry_ProdData2_PDI_Cash_Exception_Application[[#This Row],[INSERT DATE]]+2</f>
        <v>45189.257071759261</v>
      </c>
      <c r="H103" t="str">
        <f>VLOOKUP(qry_ProdData2_PDI_Cash_Exception_Application[[#This Row],[MARKET No]],'Site Allocation'!$B$2:$C$37,2,FALSE)</f>
        <v>Analyst2</v>
      </c>
      <c r="I103" s="4">
        <f t="shared" ca="1" si="1"/>
        <v>45203</v>
      </c>
      <c r="J103" s="42">
        <f ca="1">TODAY()-qry_ProdData2_PDI_Cash_Exception_Application[[#This Row],[INSERT DATE]]</f>
        <v>15.742928240739275</v>
      </c>
      <c r="K1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3">
        <f ca="1">qry_ProdData2_PDI_Cash_Exception_Application[[#This Row],[TODAY]]-qry_ProdData2_PDI_Cash_Exception_Application[[#This Row],[CHANGED ON]]</f>
        <v>13.742928240739275</v>
      </c>
      <c r="M103">
        <f ca="1">qry_ProdData2_PDI_Cash_Exception_Application[[#This Row],[TODAY]]-qry_ProdData2_PDI_Cash_Exception_Application[[#This Row],[CHANGED ON]]</f>
        <v>13.742928240739275</v>
      </c>
      <c r="N103">
        <f ca="1">qry_ProdData2_PDI_Cash_Exception_Application[[#This Row],[TODAY]]-qry_ProdData2_PDI_Cash_Exception_Application[[#This Row],[CHANGED ON]]</f>
        <v>13.742928240739275</v>
      </c>
    </row>
    <row r="104" spans="1:14" x14ac:dyDescent="0.35">
      <c r="A104">
        <v>1018</v>
      </c>
      <c r="B104" t="s">
        <v>72</v>
      </c>
      <c r="C104" s="1">
        <v>45190.257071759261</v>
      </c>
      <c r="D104" t="str">
        <f ca="1">VLOOKUP(qry_ProdData2_PDI_Cash_Exception_Application[[#This Row],[TYPE]],#REF!,2,FALSE)</f>
        <v>type40</v>
      </c>
      <c r="E104">
        <v>445.85</v>
      </c>
      <c r="F104" t="str">
        <f>qry_ProdData2_PDI_Cash_Exception_Application[[#This Row],[ANALYST]]</f>
        <v>Analyst4</v>
      </c>
      <c r="G104" s="1">
        <f>qry_ProdData2_PDI_Cash_Exception_Application[[#This Row],[INSERT DATE]]+1</f>
        <v>45191.257071759261</v>
      </c>
      <c r="H104" t="str">
        <f>VLOOKUP(qry_ProdData2_PDI_Cash_Exception_Application[[#This Row],[MARKET No]],'Site Allocation'!$B$2:$C$37,2,FALSE)</f>
        <v>Analyst4</v>
      </c>
      <c r="I104" s="4">
        <f t="shared" ca="1" si="1"/>
        <v>45203</v>
      </c>
      <c r="J104" s="42">
        <f ca="1">TODAY()-qry_ProdData2_PDI_Cash_Exception_Application[[#This Row],[INSERT DATE]]</f>
        <v>12.742928240739275</v>
      </c>
      <c r="K1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4">
        <f ca="1">qry_ProdData2_PDI_Cash_Exception_Application[[#This Row],[TODAY]]-qry_ProdData2_PDI_Cash_Exception_Application[[#This Row],[CHANGED ON]]</f>
        <v>11.742928240739275</v>
      </c>
      <c r="M104">
        <f ca="1">qry_ProdData2_PDI_Cash_Exception_Application[[#This Row],[TODAY]]-qry_ProdData2_PDI_Cash_Exception_Application[[#This Row],[CHANGED ON]]</f>
        <v>11.742928240739275</v>
      </c>
      <c r="N104">
        <f ca="1">qry_ProdData2_PDI_Cash_Exception_Application[[#This Row],[TODAY]]-qry_ProdData2_PDI_Cash_Exception_Application[[#This Row],[CHANGED ON]]</f>
        <v>11.742928240739275</v>
      </c>
    </row>
    <row r="105" spans="1:14" x14ac:dyDescent="0.35">
      <c r="A105">
        <v>1033</v>
      </c>
      <c r="B105" t="s">
        <v>87</v>
      </c>
      <c r="C105" s="1">
        <v>45181.257071759261</v>
      </c>
      <c r="D105" t="str">
        <f ca="1">VLOOKUP(qry_ProdData2_PDI_Cash_Exception_Application[[#This Row],[TYPE]],#REF!,2,FALSE)</f>
        <v>type40</v>
      </c>
      <c r="E105">
        <v>459.64</v>
      </c>
      <c r="G105" s="1">
        <f>qry_ProdData2_PDI_Cash_Exception_Application[[#This Row],[INSERT DATE]]+1</f>
        <v>45182.257071759261</v>
      </c>
      <c r="H105" t="str">
        <f>VLOOKUP(qry_ProdData2_PDI_Cash_Exception_Application[[#This Row],[MARKET No]],'Site Allocation'!$B$2:$C$37,2,FALSE)</f>
        <v>Analyst6</v>
      </c>
      <c r="I105" s="4">
        <f t="shared" ca="1" si="1"/>
        <v>45203</v>
      </c>
      <c r="J105" s="42">
        <f ca="1">TODAY()-qry_ProdData2_PDI_Cash_Exception_Application[[#This Row],[INSERT DATE]]</f>
        <v>21.742928240739275</v>
      </c>
      <c r="K1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5">
        <f ca="1">qry_ProdData2_PDI_Cash_Exception_Application[[#This Row],[TODAY]]-qry_ProdData2_PDI_Cash_Exception_Application[[#This Row],[CHANGED ON]]</f>
        <v>20.742928240739275</v>
      </c>
      <c r="M105">
        <f ca="1">qry_ProdData2_PDI_Cash_Exception_Application[[#This Row],[TODAY]]-qry_ProdData2_PDI_Cash_Exception_Application[[#This Row],[CHANGED ON]]</f>
        <v>20.742928240739275</v>
      </c>
      <c r="N105">
        <f ca="1">qry_ProdData2_PDI_Cash_Exception_Application[[#This Row],[TODAY]]-qry_ProdData2_PDI_Cash_Exception_Application[[#This Row],[CHANGED ON]]</f>
        <v>20.742928240739275</v>
      </c>
    </row>
    <row r="106" spans="1:14" x14ac:dyDescent="0.35">
      <c r="A106">
        <v>1006</v>
      </c>
      <c r="B106" t="s">
        <v>60</v>
      </c>
      <c r="C106" s="1">
        <v>45189.257071759261</v>
      </c>
      <c r="D106" t="str">
        <f ca="1">VLOOKUP(qry_ProdData2_PDI_Cash_Exception_Application[[#This Row],[TYPE]],#REF!,2,FALSE)</f>
        <v>type43</v>
      </c>
      <c r="E106">
        <v>324.51</v>
      </c>
      <c r="G106" s="1">
        <f>qry_ProdData2_PDI_Cash_Exception_Application[[#This Row],[INSERT DATE]]+2</f>
        <v>45191.257071759261</v>
      </c>
      <c r="H106" t="str">
        <f>VLOOKUP(qry_ProdData2_PDI_Cash_Exception_Application[[#This Row],[MARKET No]],'Site Allocation'!$B$2:$C$37,2,FALSE)</f>
        <v>Analyst2</v>
      </c>
      <c r="I106" s="4">
        <f t="shared" ca="1" si="1"/>
        <v>45203</v>
      </c>
      <c r="J106" s="42">
        <f ca="1">TODAY()-qry_ProdData2_PDI_Cash_Exception_Application[[#This Row],[INSERT DATE]]</f>
        <v>13.742928240739275</v>
      </c>
      <c r="K1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6">
        <f ca="1">qry_ProdData2_PDI_Cash_Exception_Application[[#This Row],[TODAY]]-qry_ProdData2_PDI_Cash_Exception_Application[[#This Row],[CHANGED ON]]</f>
        <v>11.742928240739275</v>
      </c>
      <c r="M106">
        <f ca="1">qry_ProdData2_PDI_Cash_Exception_Application[[#This Row],[TODAY]]-qry_ProdData2_PDI_Cash_Exception_Application[[#This Row],[CHANGED ON]]</f>
        <v>11.742928240739275</v>
      </c>
      <c r="N106">
        <f ca="1">qry_ProdData2_PDI_Cash_Exception_Application[[#This Row],[TODAY]]-qry_ProdData2_PDI_Cash_Exception_Application[[#This Row],[CHANGED ON]]</f>
        <v>11.742928240739275</v>
      </c>
    </row>
    <row r="107" spans="1:14" x14ac:dyDescent="0.35">
      <c r="A107">
        <v>1034</v>
      </c>
      <c r="B107" t="s">
        <v>88</v>
      </c>
      <c r="C107" s="1">
        <v>45182.257071759261</v>
      </c>
      <c r="D107" t="str">
        <f ca="1">VLOOKUP(qry_ProdData2_PDI_Cash_Exception_Application[[#This Row],[TYPE]],#REF!,2,FALSE)</f>
        <v>type40</v>
      </c>
      <c r="E107">
        <v>-1878.19</v>
      </c>
      <c r="G107" s="1">
        <f>qry_ProdData2_PDI_Cash_Exception_Application[[#This Row],[INSERT DATE]]+1</f>
        <v>45183.257071759261</v>
      </c>
      <c r="H107" t="str">
        <f>VLOOKUP(qry_ProdData2_PDI_Cash_Exception_Application[[#This Row],[MARKET No]],'Site Allocation'!$B$2:$C$37,2,FALSE)</f>
        <v>Analyst6</v>
      </c>
      <c r="I107" s="4">
        <f t="shared" ca="1" si="1"/>
        <v>45203</v>
      </c>
      <c r="J107" s="42">
        <f ca="1">TODAY()-qry_ProdData2_PDI_Cash_Exception_Application[[#This Row],[INSERT DATE]]</f>
        <v>20.742928240739275</v>
      </c>
      <c r="K1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7">
        <f ca="1">qry_ProdData2_PDI_Cash_Exception_Application[[#This Row],[TODAY]]-qry_ProdData2_PDI_Cash_Exception_Application[[#This Row],[CHANGED ON]]</f>
        <v>19.742928240739275</v>
      </c>
      <c r="M107">
        <f ca="1">qry_ProdData2_PDI_Cash_Exception_Application[[#This Row],[TODAY]]-qry_ProdData2_PDI_Cash_Exception_Application[[#This Row],[CHANGED ON]]</f>
        <v>19.742928240739275</v>
      </c>
      <c r="N107">
        <f ca="1">qry_ProdData2_PDI_Cash_Exception_Application[[#This Row],[TODAY]]-qry_ProdData2_PDI_Cash_Exception_Application[[#This Row],[CHANGED ON]]</f>
        <v>19.742928240739275</v>
      </c>
    </row>
    <row r="108" spans="1:14" x14ac:dyDescent="0.35">
      <c r="A108">
        <v>1002</v>
      </c>
      <c r="B108" t="s">
        <v>56</v>
      </c>
      <c r="C108" s="1">
        <v>45190.257071759261</v>
      </c>
      <c r="D108" t="str">
        <f ca="1">VLOOKUP(qry_ProdData2_PDI_Cash_Exception_Application[[#This Row],[TYPE]],#REF!,2,FALSE)</f>
        <v>type7</v>
      </c>
      <c r="E108">
        <v>-14133.83</v>
      </c>
      <c r="G108" s="1">
        <f>qry_ProdData2_PDI_Cash_Exception_Application[[#This Row],[INSERT DATE]]+1</f>
        <v>45191.257071759261</v>
      </c>
      <c r="H108" t="str">
        <f>VLOOKUP(qry_ProdData2_PDI_Cash_Exception_Application[[#This Row],[MARKET No]],'Site Allocation'!$B$2:$C$37,2,FALSE)</f>
        <v>Analyst1</v>
      </c>
      <c r="I108" s="4">
        <f t="shared" ca="1" si="1"/>
        <v>45203</v>
      </c>
      <c r="J108" s="42">
        <f ca="1">TODAY()-qry_ProdData2_PDI_Cash_Exception_Application[[#This Row],[INSERT DATE]]</f>
        <v>12.742928240739275</v>
      </c>
      <c r="K1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8">
        <f ca="1">qry_ProdData2_PDI_Cash_Exception_Application[[#This Row],[TODAY]]-qry_ProdData2_PDI_Cash_Exception_Application[[#This Row],[CHANGED ON]]</f>
        <v>11.742928240739275</v>
      </c>
      <c r="M108">
        <f ca="1">qry_ProdData2_PDI_Cash_Exception_Application[[#This Row],[TODAY]]-qry_ProdData2_PDI_Cash_Exception_Application[[#This Row],[CHANGED ON]]</f>
        <v>11.742928240739275</v>
      </c>
      <c r="N108">
        <f ca="1">qry_ProdData2_PDI_Cash_Exception_Application[[#This Row],[TODAY]]-qry_ProdData2_PDI_Cash_Exception_Application[[#This Row],[CHANGED ON]]</f>
        <v>11.742928240739275</v>
      </c>
    </row>
    <row r="109" spans="1:14" x14ac:dyDescent="0.35">
      <c r="A109">
        <v>1012</v>
      </c>
      <c r="B109" t="s">
        <v>66</v>
      </c>
      <c r="C109" s="1">
        <v>45187.257071759261</v>
      </c>
      <c r="D109" t="str">
        <f ca="1">VLOOKUP(qry_ProdData2_PDI_Cash_Exception_Application[[#This Row],[TYPE]],#REF!,2,FALSE)</f>
        <v>type32</v>
      </c>
      <c r="E109">
        <v>1441.02</v>
      </c>
      <c r="G109" s="1">
        <f>qry_ProdData2_PDI_Cash_Exception_Application[[#This Row],[INSERT DATE]]+5</f>
        <v>45192.257071759261</v>
      </c>
      <c r="H109" t="str">
        <f>VLOOKUP(qry_ProdData2_PDI_Cash_Exception_Application[[#This Row],[MARKET No]],'Site Allocation'!$B$2:$C$37,2,FALSE)</f>
        <v>Analyst3</v>
      </c>
      <c r="I109" s="4">
        <f t="shared" ca="1" si="1"/>
        <v>45203</v>
      </c>
      <c r="J109" s="42">
        <f ca="1">TODAY()-qry_ProdData2_PDI_Cash_Exception_Application[[#This Row],[INSERT DATE]]</f>
        <v>15.742928240739275</v>
      </c>
      <c r="K1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9">
        <f ca="1">qry_ProdData2_PDI_Cash_Exception_Application[[#This Row],[TODAY]]-qry_ProdData2_PDI_Cash_Exception_Application[[#This Row],[CHANGED ON]]</f>
        <v>10.742928240739275</v>
      </c>
      <c r="M109">
        <f ca="1">qry_ProdData2_PDI_Cash_Exception_Application[[#This Row],[TODAY]]-qry_ProdData2_PDI_Cash_Exception_Application[[#This Row],[CHANGED ON]]</f>
        <v>10.742928240739275</v>
      </c>
      <c r="N109">
        <f ca="1">qry_ProdData2_PDI_Cash_Exception_Application[[#This Row],[TODAY]]-qry_ProdData2_PDI_Cash_Exception_Application[[#This Row],[CHANGED ON]]</f>
        <v>10.742928240739275</v>
      </c>
    </row>
    <row r="110" spans="1:14" x14ac:dyDescent="0.35">
      <c r="A110">
        <v>1007</v>
      </c>
      <c r="B110" t="s">
        <v>61</v>
      </c>
      <c r="C110" s="1">
        <v>45191.257071759261</v>
      </c>
      <c r="D110" t="str">
        <f ca="1">VLOOKUP(qry_ProdData2_PDI_Cash_Exception_Application[[#This Row],[TYPE]],#REF!,2,FALSE)</f>
        <v>type40</v>
      </c>
      <c r="E110">
        <v>-358.15</v>
      </c>
      <c r="G110" s="1">
        <f>qry_ProdData2_PDI_Cash_Exception_Application[[#This Row],[INSERT DATE]]+5</f>
        <v>45196.257071759261</v>
      </c>
      <c r="H110" t="str">
        <f>VLOOKUP(qry_ProdData2_PDI_Cash_Exception_Application[[#This Row],[MARKET No]],'Site Allocation'!$B$2:$C$37,2,FALSE)</f>
        <v>Analyst2</v>
      </c>
      <c r="I110" s="4">
        <f t="shared" ca="1" si="1"/>
        <v>45203</v>
      </c>
      <c r="J110" s="42">
        <f ca="1">TODAY()-qry_ProdData2_PDI_Cash_Exception_Application[[#This Row],[INSERT DATE]]</f>
        <v>11.742928240739275</v>
      </c>
      <c r="K1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0">
        <f ca="1">qry_ProdData2_PDI_Cash_Exception_Application[[#This Row],[TODAY]]-qry_ProdData2_PDI_Cash_Exception_Application[[#This Row],[CHANGED ON]]</f>
        <v>6.7429282407392748</v>
      </c>
      <c r="M110">
        <f ca="1">qry_ProdData2_PDI_Cash_Exception_Application[[#This Row],[TODAY]]-qry_ProdData2_PDI_Cash_Exception_Application[[#This Row],[CHANGED ON]]</f>
        <v>6.7429282407392748</v>
      </c>
      <c r="N110">
        <f ca="1">qry_ProdData2_PDI_Cash_Exception_Application[[#This Row],[TODAY]]-qry_ProdData2_PDI_Cash_Exception_Application[[#This Row],[CHANGED ON]]</f>
        <v>6.7429282407392748</v>
      </c>
    </row>
    <row r="111" spans="1:14" x14ac:dyDescent="0.35">
      <c r="A111">
        <v>1009</v>
      </c>
      <c r="B111" t="s">
        <v>63</v>
      </c>
      <c r="C111" s="1">
        <v>45183.257071759261</v>
      </c>
      <c r="D111" t="str">
        <f ca="1">VLOOKUP(qry_ProdData2_PDI_Cash_Exception_Application[[#This Row],[TYPE]],#REF!,2,FALSE)</f>
        <v>type40</v>
      </c>
      <c r="E111">
        <v>66.27</v>
      </c>
      <c r="G111" s="1">
        <f>qry_ProdData2_PDI_Cash_Exception_Application[[#This Row],[INSERT DATE]]+5</f>
        <v>45188.257071759261</v>
      </c>
      <c r="H111" t="str">
        <f>VLOOKUP(qry_ProdData2_PDI_Cash_Exception_Application[[#This Row],[MARKET No]],'Site Allocation'!$B$2:$C$37,2,FALSE)</f>
        <v>Analyst2</v>
      </c>
      <c r="I111" s="4">
        <f t="shared" ca="1" si="1"/>
        <v>45203</v>
      </c>
      <c r="J111" s="42">
        <f ca="1">TODAY()-qry_ProdData2_PDI_Cash_Exception_Application[[#This Row],[INSERT DATE]]</f>
        <v>19.742928240739275</v>
      </c>
      <c r="K1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1">
        <f ca="1">qry_ProdData2_PDI_Cash_Exception_Application[[#This Row],[TODAY]]-qry_ProdData2_PDI_Cash_Exception_Application[[#This Row],[CHANGED ON]]</f>
        <v>14.742928240739275</v>
      </c>
      <c r="M111">
        <f ca="1">qry_ProdData2_PDI_Cash_Exception_Application[[#This Row],[TODAY]]-qry_ProdData2_PDI_Cash_Exception_Application[[#This Row],[CHANGED ON]]</f>
        <v>14.742928240739275</v>
      </c>
      <c r="N111">
        <f ca="1">qry_ProdData2_PDI_Cash_Exception_Application[[#This Row],[TODAY]]-qry_ProdData2_PDI_Cash_Exception_Application[[#This Row],[CHANGED ON]]</f>
        <v>14.742928240739275</v>
      </c>
    </row>
    <row r="112" spans="1:14" x14ac:dyDescent="0.35">
      <c r="A112">
        <v>1026</v>
      </c>
      <c r="B112" t="s">
        <v>80</v>
      </c>
      <c r="C112" s="1">
        <v>45185.257071759261</v>
      </c>
      <c r="D112" t="str">
        <f ca="1">VLOOKUP(qry_ProdData2_PDI_Cash_Exception_Application[[#This Row],[TYPE]],#REF!,2,FALSE)</f>
        <v>type41</v>
      </c>
      <c r="E112">
        <v>256.89</v>
      </c>
      <c r="F112" t="str">
        <f>qry_ProdData2_PDI_Cash_Exception_Application[[#This Row],[ANALYST]]</f>
        <v>Analyst5</v>
      </c>
      <c r="G112" s="1">
        <f>qry_ProdData2_PDI_Cash_Exception_Application[[#This Row],[INSERT DATE]]+2</f>
        <v>45187.257071759261</v>
      </c>
      <c r="H112" t="str">
        <f>VLOOKUP(qry_ProdData2_PDI_Cash_Exception_Application[[#This Row],[MARKET No]],'Site Allocation'!$B$2:$C$37,2,FALSE)</f>
        <v>Analyst5</v>
      </c>
      <c r="I112" s="4">
        <f t="shared" ca="1" si="1"/>
        <v>45203</v>
      </c>
      <c r="J112" s="42">
        <f ca="1">TODAY()-qry_ProdData2_PDI_Cash_Exception_Application[[#This Row],[INSERT DATE]]</f>
        <v>17.742928240739275</v>
      </c>
      <c r="K1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2">
        <f ca="1">qry_ProdData2_PDI_Cash_Exception_Application[[#This Row],[TODAY]]-qry_ProdData2_PDI_Cash_Exception_Application[[#This Row],[CHANGED ON]]</f>
        <v>15.742928240739275</v>
      </c>
      <c r="M112">
        <f ca="1">qry_ProdData2_PDI_Cash_Exception_Application[[#This Row],[TODAY]]-qry_ProdData2_PDI_Cash_Exception_Application[[#This Row],[CHANGED ON]]</f>
        <v>15.742928240739275</v>
      </c>
      <c r="N112">
        <f ca="1">qry_ProdData2_PDI_Cash_Exception_Application[[#This Row],[TODAY]]-qry_ProdData2_PDI_Cash_Exception_Application[[#This Row],[CHANGED ON]]</f>
        <v>15.742928240739275</v>
      </c>
    </row>
    <row r="113" spans="1:14" x14ac:dyDescent="0.35">
      <c r="A113">
        <v>1012</v>
      </c>
      <c r="B113" t="s">
        <v>66</v>
      </c>
      <c r="C113" s="1">
        <v>45187.257071759261</v>
      </c>
      <c r="D113" t="str">
        <f ca="1">VLOOKUP(qry_ProdData2_PDI_Cash_Exception_Application[[#This Row],[TYPE]],#REF!,2,FALSE)</f>
        <v>type18</v>
      </c>
      <c r="E113">
        <v>312.27</v>
      </c>
      <c r="G113" s="1">
        <f>qry_ProdData2_PDI_Cash_Exception_Application[[#This Row],[INSERT DATE]]+7</f>
        <v>45194.257071759261</v>
      </c>
      <c r="H113" t="str">
        <f>VLOOKUP(qry_ProdData2_PDI_Cash_Exception_Application[[#This Row],[MARKET No]],'Site Allocation'!$B$2:$C$37,2,FALSE)</f>
        <v>Analyst3</v>
      </c>
      <c r="I113" s="4">
        <f t="shared" ca="1" si="1"/>
        <v>45203</v>
      </c>
      <c r="J113" s="42">
        <f ca="1">TODAY()-qry_ProdData2_PDI_Cash_Exception_Application[[#This Row],[INSERT DATE]]</f>
        <v>15.742928240739275</v>
      </c>
      <c r="K1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3">
        <f ca="1">qry_ProdData2_PDI_Cash_Exception_Application[[#This Row],[TODAY]]-qry_ProdData2_PDI_Cash_Exception_Application[[#This Row],[CHANGED ON]]</f>
        <v>8.7429282407392748</v>
      </c>
      <c r="M113">
        <f ca="1">qry_ProdData2_PDI_Cash_Exception_Application[[#This Row],[TODAY]]-qry_ProdData2_PDI_Cash_Exception_Application[[#This Row],[CHANGED ON]]</f>
        <v>8.7429282407392748</v>
      </c>
      <c r="N113">
        <f ca="1">qry_ProdData2_PDI_Cash_Exception_Application[[#This Row],[TODAY]]-qry_ProdData2_PDI_Cash_Exception_Application[[#This Row],[CHANGED ON]]</f>
        <v>8.7429282407392748</v>
      </c>
    </row>
    <row r="114" spans="1:14" x14ac:dyDescent="0.35">
      <c r="A114">
        <v>1008</v>
      </c>
      <c r="B114" t="s">
        <v>62</v>
      </c>
      <c r="C114" s="1">
        <v>45185.257071759261</v>
      </c>
      <c r="D114" t="str">
        <f ca="1">VLOOKUP(qry_ProdData2_PDI_Cash_Exception_Application[[#This Row],[TYPE]],#REF!,2,FALSE)</f>
        <v>type40</v>
      </c>
      <c r="E114">
        <v>679.97</v>
      </c>
      <c r="G114" s="1">
        <f>qry_ProdData2_PDI_Cash_Exception_Application[[#This Row],[INSERT DATE]]+7</f>
        <v>45192.257071759261</v>
      </c>
      <c r="H114" t="str">
        <f>VLOOKUP(qry_ProdData2_PDI_Cash_Exception_Application[[#This Row],[MARKET No]],'Site Allocation'!$B$2:$C$37,2,FALSE)</f>
        <v>Analyst2</v>
      </c>
      <c r="I114" s="4">
        <f t="shared" ca="1" si="1"/>
        <v>45203</v>
      </c>
      <c r="J114" s="42">
        <f ca="1">TODAY()-qry_ProdData2_PDI_Cash_Exception_Application[[#This Row],[INSERT DATE]]</f>
        <v>17.742928240739275</v>
      </c>
      <c r="K1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4">
        <f ca="1">qry_ProdData2_PDI_Cash_Exception_Application[[#This Row],[TODAY]]-qry_ProdData2_PDI_Cash_Exception_Application[[#This Row],[CHANGED ON]]</f>
        <v>10.742928240739275</v>
      </c>
      <c r="M114">
        <f ca="1">qry_ProdData2_PDI_Cash_Exception_Application[[#This Row],[TODAY]]-qry_ProdData2_PDI_Cash_Exception_Application[[#This Row],[CHANGED ON]]</f>
        <v>10.742928240739275</v>
      </c>
      <c r="N114">
        <f ca="1">qry_ProdData2_PDI_Cash_Exception_Application[[#This Row],[TODAY]]-qry_ProdData2_PDI_Cash_Exception_Application[[#This Row],[CHANGED ON]]</f>
        <v>10.742928240739275</v>
      </c>
    </row>
    <row r="115" spans="1:14" x14ac:dyDescent="0.35">
      <c r="A115">
        <v>1003</v>
      </c>
      <c r="B115" t="s">
        <v>57</v>
      </c>
      <c r="C115" s="1">
        <v>45187.257071759261</v>
      </c>
      <c r="D115" t="str">
        <f ca="1">VLOOKUP(qry_ProdData2_PDI_Cash_Exception_Application[[#This Row],[TYPE]],#REF!,2,FALSE)</f>
        <v>type7</v>
      </c>
      <c r="E115">
        <v>-12494.63</v>
      </c>
      <c r="G115" s="1">
        <f>qry_ProdData2_PDI_Cash_Exception_Application[[#This Row],[INSERT DATE]]+2</f>
        <v>45189.257071759261</v>
      </c>
      <c r="H115" t="str">
        <f>VLOOKUP(qry_ProdData2_PDI_Cash_Exception_Application[[#This Row],[MARKET No]],'Site Allocation'!$B$2:$C$37,2,FALSE)</f>
        <v>Analyst1</v>
      </c>
      <c r="I115" s="4">
        <f t="shared" ca="1" si="1"/>
        <v>45203</v>
      </c>
      <c r="J115" s="42">
        <f ca="1">TODAY()-qry_ProdData2_PDI_Cash_Exception_Application[[#This Row],[INSERT DATE]]</f>
        <v>15.742928240739275</v>
      </c>
      <c r="K1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5">
        <f ca="1">qry_ProdData2_PDI_Cash_Exception_Application[[#This Row],[TODAY]]-qry_ProdData2_PDI_Cash_Exception_Application[[#This Row],[CHANGED ON]]</f>
        <v>13.742928240739275</v>
      </c>
      <c r="M115">
        <f ca="1">qry_ProdData2_PDI_Cash_Exception_Application[[#This Row],[TODAY]]-qry_ProdData2_PDI_Cash_Exception_Application[[#This Row],[CHANGED ON]]</f>
        <v>13.742928240739275</v>
      </c>
      <c r="N115">
        <f ca="1">qry_ProdData2_PDI_Cash_Exception_Application[[#This Row],[TODAY]]-qry_ProdData2_PDI_Cash_Exception_Application[[#This Row],[CHANGED ON]]</f>
        <v>13.742928240739275</v>
      </c>
    </row>
    <row r="116" spans="1:14" x14ac:dyDescent="0.35">
      <c r="A116">
        <v>1004</v>
      </c>
      <c r="B116" t="s">
        <v>58</v>
      </c>
      <c r="C116" s="1">
        <v>45188.257071759261</v>
      </c>
      <c r="D116" t="str">
        <f ca="1">VLOOKUP(qry_ProdData2_PDI_Cash_Exception_Application[[#This Row],[TYPE]],#REF!,2,FALSE)</f>
        <v>type41</v>
      </c>
      <c r="E116">
        <v>483.72</v>
      </c>
      <c r="G116" s="1">
        <f>qry_ProdData2_PDI_Cash_Exception_Application[[#This Row],[INSERT DATE]]+2</f>
        <v>45190.257071759261</v>
      </c>
      <c r="H116" t="str">
        <f>VLOOKUP(qry_ProdData2_PDI_Cash_Exception_Application[[#This Row],[MARKET No]],'Site Allocation'!$B$2:$C$37,2,FALSE)</f>
        <v>Analyst1</v>
      </c>
      <c r="I116" s="4">
        <f t="shared" ca="1" si="1"/>
        <v>45203</v>
      </c>
      <c r="J116" s="42">
        <f ca="1">TODAY()-qry_ProdData2_PDI_Cash_Exception_Application[[#This Row],[INSERT DATE]]</f>
        <v>14.742928240739275</v>
      </c>
      <c r="K1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6">
        <f ca="1">qry_ProdData2_PDI_Cash_Exception_Application[[#This Row],[TODAY]]-qry_ProdData2_PDI_Cash_Exception_Application[[#This Row],[CHANGED ON]]</f>
        <v>12.742928240739275</v>
      </c>
      <c r="M116">
        <f ca="1">qry_ProdData2_PDI_Cash_Exception_Application[[#This Row],[TODAY]]-qry_ProdData2_PDI_Cash_Exception_Application[[#This Row],[CHANGED ON]]</f>
        <v>12.742928240739275</v>
      </c>
      <c r="N116">
        <f ca="1">qry_ProdData2_PDI_Cash_Exception_Application[[#This Row],[TODAY]]-qry_ProdData2_PDI_Cash_Exception_Application[[#This Row],[CHANGED ON]]</f>
        <v>12.742928240739275</v>
      </c>
    </row>
    <row r="117" spans="1:14" x14ac:dyDescent="0.35">
      <c r="A117">
        <v>1021</v>
      </c>
      <c r="B117" t="s">
        <v>75</v>
      </c>
      <c r="C117" s="1">
        <v>45188.257071759261</v>
      </c>
      <c r="D117" t="str">
        <f ca="1">VLOOKUP(qry_ProdData2_PDI_Cash_Exception_Application[[#This Row],[TYPE]],#REF!,2,FALSE)</f>
        <v>type13</v>
      </c>
      <c r="E117">
        <v>15911.1</v>
      </c>
      <c r="F117" t="str">
        <f>qry_ProdData2_PDI_Cash_Exception_Application[[#This Row],[ANALYST]]</f>
        <v>Analyst4</v>
      </c>
      <c r="G117" s="1">
        <f>qry_ProdData2_PDI_Cash_Exception_Application[[#This Row],[INSERT DATE]]+2</f>
        <v>45190.257071759261</v>
      </c>
      <c r="H117" t="str">
        <f>VLOOKUP(qry_ProdData2_PDI_Cash_Exception_Application[[#This Row],[MARKET No]],'Site Allocation'!$B$2:$C$37,2,FALSE)</f>
        <v>Analyst4</v>
      </c>
      <c r="I117" s="4">
        <f t="shared" ca="1" si="1"/>
        <v>45203</v>
      </c>
      <c r="J117" s="42">
        <f ca="1">TODAY()-qry_ProdData2_PDI_Cash_Exception_Application[[#This Row],[INSERT DATE]]</f>
        <v>14.742928240739275</v>
      </c>
      <c r="K1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7">
        <f ca="1">qry_ProdData2_PDI_Cash_Exception_Application[[#This Row],[TODAY]]-qry_ProdData2_PDI_Cash_Exception_Application[[#This Row],[CHANGED ON]]</f>
        <v>12.742928240739275</v>
      </c>
      <c r="M117">
        <f ca="1">qry_ProdData2_PDI_Cash_Exception_Application[[#This Row],[TODAY]]-qry_ProdData2_PDI_Cash_Exception_Application[[#This Row],[CHANGED ON]]</f>
        <v>12.742928240739275</v>
      </c>
      <c r="N117">
        <f ca="1">qry_ProdData2_PDI_Cash_Exception_Application[[#This Row],[TODAY]]-qry_ProdData2_PDI_Cash_Exception_Application[[#This Row],[CHANGED ON]]</f>
        <v>12.742928240739275</v>
      </c>
    </row>
    <row r="118" spans="1:14" x14ac:dyDescent="0.35">
      <c r="A118">
        <v>1009</v>
      </c>
      <c r="B118" t="s">
        <v>63</v>
      </c>
      <c r="C118" s="1">
        <v>45189.257071759261</v>
      </c>
      <c r="D118" t="str">
        <f ca="1">VLOOKUP(qry_ProdData2_PDI_Cash_Exception_Application[[#This Row],[TYPE]],#REF!,2,FALSE)</f>
        <v>type40</v>
      </c>
      <c r="E118">
        <v>3672.55</v>
      </c>
      <c r="F118" t="str">
        <f>qry_ProdData2_PDI_Cash_Exception_Application[[#This Row],[ANALYST]]</f>
        <v>Analyst2</v>
      </c>
      <c r="G118" s="1">
        <f>qry_ProdData2_PDI_Cash_Exception_Application[[#This Row],[INSERT DATE]]+7</f>
        <v>45196.257071759261</v>
      </c>
      <c r="H118" t="str">
        <f>VLOOKUP(qry_ProdData2_PDI_Cash_Exception_Application[[#This Row],[MARKET No]],'Site Allocation'!$B$2:$C$37,2,FALSE)</f>
        <v>Analyst2</v>
      </c>
      <c r="I118" s="4">
        <f t="shared" ca="1" si="1"/>
        <v>45203</v>
      </c>
      <c r="J118" s="42">
        <f ca="1">TODAY()-qry_ProdData2_PDI_Cash_Exception_Application[[#This Row],[INSERT DATE]]</f>
        <v>13.742928240739275</v>
      </c>
      <c r="K1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8">
        <f ca="1">qry_ProdData2_PDI_Cash_Exception_Application[[#This Row],[TODAY]]-qry_ProdData2_PDI_Cash_Exception_Application[[#This Row],[CHANGED ON]]</f>
        <v>6.7429282407392748</v>
      </c>
      <c r="M118">
        <f ca="1">qry_ProdData2_PDI_Cash_Exception_Application[[#This Row],[TODAY]]-qry_ProdData2_PDI_Cash_Exception_Application[[#This Row],[CHANGED ON]]</f>
        <v>6.7429282407392748</v>
      </c>
      <c r="N118">
        <f ca="1">qry_ProdData2_PDI_Cash_Exception_Application[[#This Row],[TODAY]]-qry_ProdData2_PDI_Cash_Exception_Application[[#This Row],[CHANGED ON]]</f>
        <v>6.7429282407392748</v>
      </c>
    </row>
    <row r="119" spans="1:14" x14ac:dyDescent="0.35">
      <c r="A119">
        <v>1003</v>
      </c>
      <c r="B119" t="s">
        <v>57</v>
      </c>
      <c r="C119" s="1">
        <v>45186.257071759261</v>
      </c>
      <c r="D119" t="str">
        <f ca="1">VLOOKUP(qry_ProdData2_PDI_Cash_Exception_Application[[#This Row],[TYPE]],#REF!,2,FALSE)</f>
        <v>type29</v>
      </c>
      <c r="E119">
        <v>340.72</v>
      </c>
      <c r="G119" s="1">
        <f>qry_ProdData2_PDI_Cash_Exception_Application[[#This Row],[INSERT DATE]]+7</f>
        <v>45193.257071759261</v>
      </c>
      <c r="H119" t="str">
        <f>VLOOKUP(qry_ProdData2_PDI_Cash_Exception_Application[[#This Row],[MARKET No]],'Site Allocation'!$B$2:$C$37,2,FALSE)</f>
        <v>Analyst1</v>
      </c>
      <c r="I119" s="4">
        <f t="shared" ca="1" si="1"/>
        <v>45203</v>
      </c>
      <c r="J119" s="42">
        <f ca="1">TODAY()-qry_ProdData2_PDI_Cash_Exception_Application[[#This Row],[INSERT DATE]]</f>
        <v>16.742928240739275</v>
      </c>
      <c r="K1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9">
        <f ca="1">qry_ProdData2_PDI_Cash_Exception_Application[[#This Row],[TODAY]]-qry_ProdData2_PDI_Cash_Exception_Application[[#This Row],[CHANGED ON]]</f>
        <v>9.7429282407392748</v>
      </c>
      <c r="M119">
        <f ca="1">qry_ProdData2_PDI_Cash_Exception_Application[[#This Row],[TODAY]]-qry_ProdData2_PDI_Cash_Exception_Application[[#This Row],[CHANGED ON]]</f>
        <v>9.7429282407392748</v>
      </c>
      <c r="N119">
        <f ca="1">qry_ProdData2_PDI_Cash_Exception_Application[[#This Row],[TODAY]]-qry_ProdData2_PDI_Cash_Exception_Application[[#This Row],[CHANGED ON]]</f>
        <v>9.7429282407392748</v>
      </c>
    </row>
    <row r="120" spans="1:14" x14ac:dyDescent="0.35">
      <c r="A120">
        <v>1032</v>
      </c>
      <c r="B120" t="s">
        <v>86</v>
      </c>
      <c r="C120" s="1">
        <v>45183.257071759261</v>
      </c>
      <c r="D120" t="str">
        <f ca="1">VLOOKUP(qry_ProdData2_PDI_Cash_Exception_Application[[#This Row],[TYPE]],#REF!,2,FALSE)</f>
        <v>type40</v>
      </c>
      <c r="E120">
        <v>-718.18</v>
      </c>
      <c r="G120" s="1">
        <f>qry_ProdData2_PDI_Cash_Exception_Application[[#This Row],[INSERT DATE]]+2</f>
        <v>45185.257071759261</v>
      </c>
      <c r="H120" t="str">
        <f>VLOOKUP(qry_ProdData2_PDI_Cash_Exception_Application[[#This Row],[MARKET No]],'Site Allocation'!$B$2:$C$37,2,FALSE)</f>
        <v>Analyst6</v>
      </c>
      <c r="I120" s="4">
        <f t="shared" ca="1" si="1"/>
        <v>45203</v>
      </c>
      <c r="J120" s="42">
        <f ca="1">TODAY()-qry_ProdData2_PDI_Cash_Exception_Application[[#This Row],[INSERT DATE]]</f>
        <v>19.742928240739275</v>
      </c>
      <c r="K1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0">
        <f ca="1">qry_ProdData2_PDI_Cash_Exception_Application[[#This Row],[TODAY]]-qry_ProdData2_PDI_Cash_Exception_Application[[#This Row],[CHANGED ON]]</f>
        <v>17.742928240739275</v>
      </c>
      <c r="M120">
        <f ca="1">qry_ProdData2_PDI_Cash_Exception_Application[[#This Row],[TODAY]]-qry_ProdData2_PDI_Cash_Exception_Application[[#This Row],[CHANGED ON]]</f>
        <v>17.742928240739275</v>
      </c>
      <c r="N120">
        <f ca="1">qry_ProdData2_PDI_Cash_Exception_Application[[#This Row],[TODAY]]-qry_ProdData2_PDI_Cash_Exception_Application[[#This Row],[CHANGED ON]]</f>
        <v>17.742928240739275</v>
      </c>
    </row>
    <row r="121" spans="1:14" x14ac:dyDescent="0.35">
      <c r="A121">
        <v>1029</v>
      </c>
      <c r="B121" t="s">
        <v>83</v>
      </c>
      <c r="C121" s="1">
        <v>45186.257071759261</v>
      </c>
      <c r="D121" t="str">
        <f ca="1">VLOOKUP(qry_ProdData2_PDI_Cash_Exception_Application[[#This Row],[TYPE]],#REF!,2,FALSE)</f>
        <v>type40</v>
      </c>
      <c r="E121">
        <v>801.98</v>
      </c>
      <c r="F121" t="str">
        <f>qry_ProdData2_PDI_Cash_Exception_Application[[#This Row],[ANALYST]]</f>
        <v>Analyst5</v>
      </c>
      <c r="G121" s="1">
        <f>qry_ProdData2_PDI_Cash_Exception_Application[[#This Row],[INSERT DATE]]+2</f>
        <v>45188.257071759261</v>
      </c>
      <c r="H121" t="str">
        <f>VLOOKUP(qry_ProdData2_PDI_Cash_Exception_Application[[#This Row],[MARKET No]],'Site Allocation'!$B$2:$C$37,2,FALSE)</f>
        <v>Analyst5</v>
      </c>
      <c r="I121" s="4">
        <f t="shared" ca="1" si="1"/>
        <v>45203</v>
      </c>
      <c r="J121" s="42">
        <f ca="1">TODAY()-qry_ProdData2_PDI_Cash_Exception_Application[[#This Row],[INSERT DATE]]</f>
        <v>16.742928240739275</v>
      </c>
      <c r="K1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1">
        <f ca="1">qry_ProdData2_PDI_Cash_Exception_Application[[#This Row],[TODAY]]-qry_ProdData2_PDI_Cash_Exception_Application[[#This Row],[CHANGED ON]]</f>
        <v>14.742928240739275</v>
      </c>
      <c r="M121">
        <f ca="1">qry_ProdData2_PDI_Cash_Exception_Application[[#This Row],[TODAY]]-qry_ProdData2_PDI_Cash_Exception_Application[[#This Row],[CHANGED ON]]</f>
        <v>14.742928240739275</v>
      </c>
      <c r="N121">
        <f ca="1">qry_ProdData2_PDI_Cash_Exception_Application[[#This Row],[TODAY]]-qry_ProdData2_PDI_Cash_Exception_Application[[#This Row],[CHANGED ON]]</f>
        <v>14.742928240739275</v>
      </c>
    </row>
    <row r="122" spans="1:14" x14ac:dyDescent="0.35">
      <c r="A122">
        <v>1023</v>
      </c>
      <c r="B122" t="s">
        <v>77</v>
      </c>
      <c r="C122" s="1">
        <v>45184.257071759261</v>
      </c>
      <c r="D122" t="str">
        <f ca="1">VLOOKUP(qry_ProdData2_PDI_Cash_Exception_Application[[#This Row],[TYPE]],#REF!,2,FALSE)</f>
        <v>type13</v>
      </c>
      <c r="E122">
        <v>59216.72</v>
      </c>
      <c r="F122" t="str">
        <f>qry_ProdData2_PDI_Cash_Exception_Application[[#This Row],[ANALYST]]</f>
        <v>Analyst4</v>
      </c>
      <c r="G122" s="1">
        <f>qry_ProdData2_PDI_Cash_Exception_Application[[#This Row],[INSERT DATE]]+2</f>
        <v>45186.257071759261</v>
      </c>
      <c r="H122" t="str">
        <f>VLOOKUP(qry_ProdData2_PDI_Cash_Exception_Application[[#This Row],[MARKET No]],'Site Allocation'!$B$2:$C$37,2,FALSE)</f>
        <v>Analyst4</v>
      </c>
      <c r="I122" s="4">
        <f t="shared" ca="1" si="1"/>
        <v>45203</v>
      </c>
      <c r="J122" s="42">
        <f ca="1">TODAY()-qry_ProdData2_PDI_Cash_Exception_Application[[#This Row],[INSERT DATE]]</f>
        <v>18.742928240739275</v>
      </c>
      <c r="K1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2">
        <f ca="1">qry_ProdData2_PDI_Cash_Exception_Application[[#This Row],[TODAY]]-qry_ProdData2_PDI_Cash_Exception_Application[[#This Row],[CHANGED ON]]</f>
        <v>16.742928240739275</v>
      </c>
      <c r="M122">
        <f ca="1">qry_ProdData2_PDI_Cash_Exception_Application[[#This Row],[TODAY]]-qry_ProdData2_PDI_Cash_Exception_Application[[#This Row],[CHANGED ON]]</f>
        <v>16.742928240739275</v>
      </c>
      <c r="N122">
        <f ca="1">qry_ProdData2_PDI_Cash_Exception_Application[[#This Row],[TODAY]]-qry_ProdData2_PDI_Cash_Exception_Application[[#This Row],[CHANGED ON]]</f>
        <v>16.742928240739275</v>
      </c>
    </row>
    <row r="123" spans="1:14" x14ac:dyDescent="0.35">
      <c r="A123">
        <v>1035</v>
      </c>
      <c r="B123" t="s">
        <v>89</v>
      </c>
      <c r="C123" s="1">
        <v>45184.257071759261</v>
      </c>
      <c r="D123" t="str">
        <f ca="1">VLOOKUP(qry_ProdData2_PDI_Cash_Exception_Application[[#This Row],[TYPE]],#REF!,2,FALSE)</f>
        <v>type13</v>
      </c>
      <c r="E123">
        <v>54922.21</v>
      </c>
      <c r="G123" s="1">
        <f>qry_ProdData2_PDI_Cash_Exception_Application[[#This Row],[INSERT DATE]]+2</f>
        <v>45186.257071759261</v>
      </c>
      <c r="H123" t="str">
        <f>VLOOKUP(qry_ProdData2_PDI_Cash_Exception_Application[[#This Row],[MARKET No]],'Site Allocation'!$B$2:$C$37,2,FALSE)</f>
        <v>Analyst6</v>
      </c>
      <c r="I123" s="4">
        <f t="shared" ca="1" si="1"/>
        <v>45203</v>
      </c>
      <c r="J123" s="42">
        <f ca="1">TODAY()-qry_ProdData2_PDI_Cash_Exception_Application[[#This Row],[INSERT DATE]]</f>
        <v>18.742928240739275</v>
      </c>
      <c r="K1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3">
        <f ca="1">qry_ProdData2_PDI_Cash_Exception_Application[[#This Row],[TODAY]]-qry_ProdData2_PDI_Cash_Exception_Application[[#This Row],[CHANGED ON]]</f>
        <v>16.742928240739275</v>
      </c>
      <c r="M123">
        <f ca="1">qry_ProdData2_PDI_Cash_Exception_Application[[#This Row],[TODAY]]-qry_ProdData2_PDI_Cash_Exception_Application[[#This Row],[CHANGED ON]]</f>
        <v>16.742928240739275</v>
      </c>
      <c r="N123">
        <f ca="1">qry_ProdData2_PDI_Cash_Exception_Application[[#This Row],[TODAY]]-qry_ProdData2_PDI_Cash_Exception_Application[[#This Row],[CHANGED ON]]</f>
        <v>16.742928240739275</v>
      </c>
    </row>
    <row r="124" spans="1:14" x14ac:dyDescent="0.35">
      <c r="A124">
        <v>1010</v>
      </c>
      <c r="B124" t="s">
        <v>64</v>
      </c>
      <c r="C124" s="1">
        <v>45190.257071759261</v>
      </c>
      <c r="D124" t="str">
        <f ca="1">VLOOKUP(qry_ProdData2_PDI_Cash_Exception_Application[[#This Row],[TYPE]],#REF!,2,FALSE)</f>
        <v>type40</v>
      </c>
      <c r="E124">
        <v>483.52</v>
      </c>
      <c r="F124" t="str">
        <f>qry_ProdData2_PDI_Cash_Exception_Application[[#This Row],[ANALYST]]</f>
        <v>Analyst2</v>
      </c>
      <c r="G124" s="1">
        <f>qry_ProdData2_PDI_Cash_Exception_Application[[#This Row],[INSERT DATE]]+7</f>
        <v>45197.257071759261</v>
      </c>
      <c r="H124" t="str">
        <f>VLOOKUP(qry_ProdData2_PDI_Cash_Exception_Application[[#This Row],[MARKET No]],'Site Allocation'!$B$2:$C$37,2,FALSE)</f>
        <v>Analyst2</v>
      </c>
      <c r="I124" s="4">
        <f t="shared" ca="1" si="1"/>
        <v>45203</v>
      </c>
      <c r="J124" s="42">
        <f ca="1">TODAY()-qry_ProdData2_PDI_Cash_Exception_Application[[#This Row],[INSERT DATE]]</f>
        <v>12.742928240739275</v>
      </c>
      <c r="K1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4">
        <f ca="1">qry_ProdData2_PDI_Cash_Exception_Application[[#This Row],[TODAY]]-qry_ProdData2_PDI_Cash_Exception_Application[[#This Row],[CHANGED ON]]</f>
        <v>5.7429282407392748</v>
      </c>
      <c r="M124">
        <f ca="1">qry_ProdData2_PDI_Cash_Exception_Application[[#This Row],[TODAY]]-qry_ProdData2_PDI_Cash_Exception_Application[[#This Row],[CHANGED ON]]</f>
        <v>5.7429282407392748</v>
      </c>
      <c r="N124">
        <f ca="1">qry_ProdData2_PDI_Cash_Exception_Application[[#This Row],[TODAY]]-qry_ProdData2_PDI_Cash_Exception_Application[[#This Row],[CHANGED ON]]</f>
        <v>5.7429282407392748</v>
      </c>
    </row>
    <row r="125" spans="1:14" x14ac:dyDescent="0.35">
      <c r="A125">
        <v>1026</v>
      </c>
      <c r="B125" t="s">
        <v>80</v>
      </c>
      <c r="C125" s="1">
        <v>45189.257071759261</v>
      </c>
      <c r="D125" t="str">
        <f ca="1">VLOOKUP(qry_ProdData2_PDI_Cash_Exception_Application[[#This Row],[TYPE]],#REF!,2,FALSE)</f>
        <v>type40</v>
      </c>
      <c r="E125">
        <v>655.68</v>
      </c>
      <c r="F125" t="str">
        <f>qry_ProdData2_PDI_Cash_Exception_Application[[#This Row],[ANALYST]]</f>
        <v>Analyst5</v>
      </c>
      <c r="G125" s="1">
        <f>qry_ProdData2_PDI_Cash_Exception_Application[[#This Row],[INSERT DATE]]+2</f>
        <v>45191.257071759261</v>
      </c>
      <c r="H125" t="str">
        <f>VLOOKUP(qry_ProdData2_PDI_Cash_Exception_Application[[#This Row],[MARKET No]],'Site Allocation'!$B$2:$C$37,2,FALSE)</f>
        <v>Analyst5</v>
      </c>
      <c r="I125" s="4">
        <f t="shared" ca="1" si="1"/>
        <v>45203</v>
      </c>
      <c r="J125" s="42">
        <f ca="1">TODAY()-qry_ProdData2_PDI_Cash_Exception_Application[[#This Row],[INSERT DATE]]</f>
        <v>13.742928240739275</v>
      </c>
      <c r="K1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5">
        <f ca="1">qry_ProdData2_PDI_Cash_Exception_Application[[#This Row],[TODAY]]-qry_ProdData2_PDI_Cash_Exception_Application[[#This Row],[CHANGED ON]]</f>
        <v>11.742928240739275</v>
      </c>
      <c r="M125">
        <f ca="1">qry_ProdData2_PDI_Cash_Exception_Application[[#This Row],[TODAY]]-qry_ProdData2_PDI_Cash_Exception_Application[[#This Row],[CHANGED ON]]</f>
        <v>11.742928240739275</v>
      </c>
      <c r="N125">
        <f ca="1">qry_ProdData2_PDI_Cash_Exception_Application[[#This Row],[TODAY]]-qry_ProdData2_PDI_Cash_Exception_Application[[#This Row],[CHANGED ON]]</f>
        <v>11.742928240739275</v>
      </c>
    </row>
    <row r="126" spans="1:14" x14ac:dyDescent="0.35">
      <c r="A126">
        <v>1002</v>
      </c>
      <c r="B126" t="s">
        <v>56</v>
      </c>
      <c r="C126" s="1">
        <v>45192.257071759261</v>
      </c>
      <c r="D126" t="str">
        <f ca="1">VLOOKUP(qry_ProdData2_PDI_Cash_Exception_Application[[#This Row],[TYPE]],#REF!,2,FALSE)</f>
        <v>type40</v>
      </c>
      <c r="E126">
        <v>25</v>
      </c>
      <c r="G126" s="1">
        <f>qry_ProdData2_PDI_Cash_Exception_Application[[#This Row],[INSERT DATE]]+7</f>
        <v>45199.257071759261</v>
      </c>
      <c r="H126" t="str">
        <f>VLOOKUP(qry_ProdData2_PDI_Cash_Exception_Application[[#This Row],[MARKET No]],'Site Allocation'!$B$2:$C$37,2,FALSE)</f>
        <v>Analyst1</v>
      </c>
      <c r="I126" s="4">
        <f t="shared" ca="1" si="1"/>
        <v>45203</v>
      </c>
      <c r="J126" s="42">
        <f ca="1">TODAY()-qry_ProdData2_PDI_Cash_Exception_Application[[#This Row],[INSERT DATE]]</f>
        <v>10.742928240739275</v>
      </c>
      <c r="K1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6">
        <f ca="1">qry_ProdData2_PDI_Cash_Exception_Application[[#This Row],[TODAY]]-qry_ProdData2_PDI_Cash_Exception_Application[[#This Row],[CHANGED ON]]</f>
        <v>3.7429282407392748</v>
      </c>
      <c r="M126">
        <f ca="1">qry_ProdData2_PDI_Cash_Exception_Application[[#This Row],[TODAY]]-qry_ProdData2_PDI_Cash_Exception_Application[[#This Row],[CHANGED ON]]</f>
        <v>3.7429282407392748</v>
      </c>
      <c r="N126">
        <f ca="1">qry_ProdData2_PDI_Cash_Exception_Application[[#This Row],[TODAY]]-qry_ProdData2_PDI_Cash_Exception_Application[[#This Row],[CHANGED ON]]</f>
        <v>3.7429282407392748</v>
      </c>
    </row>
    <row r="127" spans="1:14" x14ac:dyDescent="0.35">
      <c r="A127">
        <v>1024</v>
      </c>
      <c r="B127" t="s">
        <v>78</v>
      </c>
      <c r="C127" s="1">
        <v>45190.257071759261</v>
      </c>
      <c r="D127" t="str">
        <f ca="1">VLOOKUP(qry_ProdData2_PDI_Cash_Exception_Application[[#This Row],[TYPE]],#REF!,2,FALSE)</f>
        <v>type40</v>
      </c>
      <c r="E127">
        <v>-427.69</v>
      </c>
      <c r="F127" t="str">
        <f>qry_ProdData2_PDI_Cash_Exception_Application[[#This Row],[ANALYST]]</f>
        <v>Analyst5</v>
      </c>
      <c r="G127" s="1">
        <f>qry_ProdData2_PDI_Cash_Exception_Application[[#This Row],[INSERT DATE]]+2</f>
        <v>45192.257071759261</v>
      </c>
      <c r="H127" t="str">
        <f>VLOOKUP(qry_ProdData2_PDI_Cash_Exception_Application[[#This Row],[MARKET No]],'Site Allocation'!$B$2:$C$37,2,FALSE)</f>
        <v>Analyst5</v>
      </c>
      <c r="I127" s="4">
        <f t="shared" ca="1" si="1"/>
        <v>45203</v>
      </c>
      <c r="J127" s="42">
        <f ca="1">TODAY()-qry_ProdData2_PDI_Cash_Exception_Application[[#This Row],[INSERT DATE]]</f>
        <v>12.742928240739275</v>
      </c>
      <c r="K1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7">
        <f ca="1">qry_ProdData2_PDI_Cash_Exception_Application[[#This Row],[TODAY]]-qry_ProdData2_PDI_Cash_Exception_Application[[#This Row],[CHANGED ON]]</f>
        <v>10.742928240739275</v>
      </c>
      <c r="M127">
        <f ca="1">qry_ProdData2_PDI_Cash_Exception_Application[[#This Row],[TODAY]]-qry_ProdData2_PDI_Cash_Exception_Application[[#This Row],[CHANGED ON]]</f>
        <v>10.742928240739275</v>
      </c>
      <c r="N127">
        <f ca="1">qry_ProdData2_PDI_Cash_Exception_Application[[#This Row],[TODAY]]-qry_ProdData2_PDI_Cash_Exception_Application[[#This Row],[CHANGED ON]]</f>
        <v>10.742928240739275</v>
      </c>
    </row>
    <row r="128" spans="1:14" x14ac:dyDescent="0.35">
      <c r="A128">
        <v>1022</v>
      </c>
      <c r="B128" t="s">
        <v>76</v>
      </c>
      <c r="C128" s="1">
        <v>45187.257071759261</v>
      </c>
      <c r="D128" t="str">
        <f ca="1">VLOOKUP(qry_ProdData2_PDI_Cash_Exception_Application[[#This Row],[TYPE]],#REF!,2,FALSE)</f>
        <v>type7</v>
      </c>
      <c r="E128">
        <v>1286.67</v>
      </c>
      <c r="F128" t="str">
        <f>qry_ProdData2_PDI_Cash_Exception_Application[[#This Row],[ANALYST]]</f>
        <v>Analyst4</v>
      </c>
      <c r="G128" s="1">
        <f>qry_ProdData2_PDI_Cash_Exception_Application[[#This Row],[INSERT DATE]]+2</f>
        <v>45189.257071759261</v>
      </c>
      <c r="H128" t="str">
        <f>VLOOKUP(qry_ProdData2_PDI_Cash_Exception_Application[[#This Row],[MARKET No]],'Site Allocation'!$B$2:$C$37,2,FALSE)</f>
        <v>Analyst4</v>
      </c>
      <c r="I128" s="4">
        <f t="shared" ca="1" si="1"/>
        <v>45203</v>
      </c>
      <c r="J128" s="42">
        <f ca="1">TODAY()-qry_ProdData2_PDI_Cash_Exception_Application[[#This Row],[INSERT DATE]]</f>
        <v>15.742928240739275</v>
      </c>
      <c r="K1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8">
        <f ca="1">qry_ProdData2_PDI_Cash_Exception_Application[[#This Row],[TODAY]]-qry_ProdData2_PDI_Cash_Exception_Application[[#This Row],[CHANGED ON]]</f>
        <v>13.742928240739275</v>
      </c>
      <c r="M128">
        <f ca="1">qry_ProdData2_PDI_Cash_Exception_Application[[#This Row],[TODAY]]-qry_ProdData2_PDI_Cash_Exception_Application[[#This Row],[CHANGED ON]]</f>
        <v>13.742928240739275</v>
      </c>
      <c r="N128">
        <f ca="1">qry_ProdData2_PDI_Cash_Exception_Application[[#This Row],[TODAY]]-qry_ProdData2_PDI_Cash_Exception_Application[[#This Row],[CHANGED ON]]</f>
        <v>13.742928240739275</v>
      </c>
    </row>
    <row r="129" spans="1:14" x14ac:dyDescent="0.35">
      <c r="A129">
        <v>1002</v>
      </c>
      <c r="B129" t="s">
        <v>56</v>
      </c>
      <c r="C129" s="1">
        <v>45182.257071759261</v>
      </c>
      <c r="D129" t="str">
        <f ca="1">VLOOKUP(qry_ProdData2_PDI_Cash_Exception_Application[[#This Row],[TYPE]],#REF!,2,FALSE)</f>
        <v>type40</v>
      </c>
      <c r="E129">
        <v>-2466.92</v>
      </c>
      <c r="G129" s="1">
        <f>qry_ProdData2_PDI_Cash_Exception_Application[[#This Row],[INSERT DATE]]+1</f>
        <v>45183.257071759261</v>
      </c>
      <c r="H129" t="str">
        <f>VLOOKUP(qry_ProdData2_PDI_Cash_Exception_Application[[#This Row],[MARKET No]],'Site Allocation'!$B$2:$C$37,2,FALSE)</f>
        <v>Analyst1</v>
      </c>
      <c r="I129" s="4">
        <f t="shared" ca="1" si="1"/>
        <v>45203</v>
      </c>
      <c r="J129" s="42">
        <f ca="1">TODAY()-qry_ProdData2_PDI_Cash_Exception_Application[[#This Row],[INSERT DATE]]</f>
        <v>20.742928240739275</v>
      </c>
      <c r="K1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9">
        <f ca="1">qry_ProdData2_PDI_Cash_Exception_Application[[#This Row],[TODAY]]-qry_ProdData2_PDI_Cash_Exception_Application[[#This Row],[CHANGED ON]]</f>
        <v>19.742928240739275</v>
      </c>
      <c r="M129">
        <f ca="1">qry_ProdData2_PDI_Cash_Exception_Application[[#This Row],[TODAY]]-qry_ProdData2_PDI_Cash_Exception_Application[[#This Row],[CHANGED ON]]</f>
        <v>19.742928240739275</v>
      </c>
      <c r="N129">
        <f ca="1">qry_ProdData2_PDI_Cash_Exception_Application[[#This Row],[TODAY]]-qry_ProdData2_PDI_Cash_Exception_Application[[#This Row],[CHANGED ON]]</f>
        <v>19.742928240739275</v>
      </c>
    </row>
    <row r="130" spans="1:14" x14ac:dyDescent="0.35">
      <c r="A130">
        <v>1005</v>
      </c>
      <c r="B130" t="s">
        <v>59</v>
      </c>
      <c r="C130" s="1">
        <v>45187.257071759261</v>
      </c>
      <c r="D130" t="str">
        <f ca="1">VLOOKUP(qry_ProdData2_PDI_Cash_Exception_Application[[#This Row],[TYPE]],#REF!,2,FALSE)</f>
        <v>type32</v>
      </c>
      <c r="E130">
        <v>5529.75</v>
      </c>
      <c r="G130" s="1">
        <f>qry_ProdData2_PDI_Cash_Exception_Application[[#This Row],[INSERT DATE]]+1</f>
        <v>45188.257071759261</v>
      </c>
      <c r="H130" t="str">
        <f>VLOOKUP(qry_ProdData2_PDI_Cash_Exception_Application[[#This Row],[MARKET No]],'Site Allocation'!$B$2:$C$37,2,FALSE)</f>
        <v>Analyst1</v>
      </c>
      <c r="I130" s="4">
        <f t="shared" ref="I130:I193" ca="1" si="2">TODAY()</f>
        <v>45203</v>
      </c>
      <c r="J130" s="42">
        <f ca="1">TODAY()-qry_ProdData2_PDI_Cash_Exception_Application[[#This Row],[INSERT DATE]]</f>
        <v>15.742928240739275</v>
      </c>
      <c r="K1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0">
        <f ca="1">qry_ProdData2_PDI_Cash_Exception_Application[[#This Row],[TODAY]]-qry_ProdData2_PDI_Cash_Exception_Application[[#This Row],[CHANGED ON]]</f>
        <v>14.742928240739275</v>
      </c>
      <c r="M130">
        <f ca="1">qry_ProdData2_PDI_Cash_Exception_Application[[#This Row],[TODAY]]-qry_ProdData2_PDI_Cash_Exception_Application[[#This Row],[CHANGED ON]]</f>
        <v>14.742928240739275</v>
      </c>
      <c r="N130">
        <f ca="1">qry_ProdData2_PDI_Cash_Exception_Application[[#This Row],[TODAY]]-qry_ProdData2_PDI_Cash_Exception_Application[[#This Row],[CHANGED ON]]</f>
        <v>14.742928240739275</v>
      </c>
    </row>
    <row r="131" spans="1:14" x14ac:dyDescent="0.35">
      <c r="A131">
        <v>1009</v>
      </c>
      <c r="B131" t="s">
        <v>63</v>
      </c>
      <c r="C131" s="1">
        <v>45182.257071759261</v>
      </c>
      <c r="D131" t="str">
        <f ca="1">VLOOKUP(qry_ProdData2_PDI_Cash_Exception_Application[[#This Row],[TYPE]],#REF!,2,FALSE)</f>
        <v>type40</v>
      </c>
      <c r="E131">
        <v>-16102.23</v>
      </c>
      <c r="F131" t="str">
        <f>qry_ProdData2_PDI_Cash_Exception_Application[[#This Row],[ANALYST]]</f>
        <v>Analyst2</v>
      </c>
      <c r="G131" s="1">
        <f>qry_ProdData2_PDI_Cash_Exception_Application[[#This Row],[INSERT DATE]]+1</f>
        <v>45183.257071759261</v>
      </c>
      <c r="H131" t="str">
        <f>VLOOKUP(qry_ProdData2_PDI_Cash_Exception_Application[[#This Row],[MARKET No]],'Site Allocation'!$B$2:$C$37,2,FALSE)</f>
        <v>Analyst2</v>
      </c>
      <c r="I131" s="4">
        <f t="shared" ca="1" si="2"/>
        <v>45203</v>
      </c>
      <c r="J131" s="42">
        <f ca="1">TODAY()-qry_ProdData2_PDI_Cash_Exception_Application[[#This Row],[INSERT DATE]]</f>
        <v>20.742928240739275</v>
      </c>
      <c r="K1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1">
        <f ca="1">qry_ProdData2_PDI_Cash_Exception_Application[[#This Row],[TODAY]]-qry_ProdData2_PDI_Cash_Exception_Application[[#This Row],[CHANGED ON]]</f>
        <v>19.742928240739275</v>
      </c>
      <c r="M131">
        <f ca="1">qry_ProdData2_PDI_Cash_Exception_Application[[#This Row],[TODAY]]-qry_ProdData2_PDI_Cash_Exception_Application[[#This Row],[CHANGED ON]]</f>
        <v>19.742928240739275</v>
      </c>
      <c r="N131">
        <f ca="1">qry_ProdData2_PDI_Cash_Exception_Application[[#This Row],[TODAY]]-qry_ProdData2_PDI_Cash_Exception_Application[[#This Row],[CHANGED ON]]</f>
        <v>19.742928240739275</v>
      </c>
    </row>
    <row r="132" spans="1:14" x14ac:dyDescent="0.35">
      <c r="A132">
        <v>1024</v>
      </c>
      <c r="B132" t="s">
        <v>78</v>
      </c>
      <c r="C132" s="1">
        <v>45191.257071759261</v>
      </c>
      <c r="D132" t="str">
        <f ca="1">VLOOKUP(qry_ProdData2_PDI_Cash_Exception_Application[[#This Row],[TYPE]],#REF!,2,FALSE)</f>
        <v>type31</v>
      </c>
      <c r="E132">
        <v>377.76</v>
      </c>
      <c r="F132" t="str">
        <f>qry_ProdData2_PDI_Cash_Exception_Application[[#This Row],[ANALYST]]</f>
        <v>Analyst5</v>
      </c>
      <c r="G132" s="1">
        <f>qry_ProdData2_PDI_Cash_Exception_Application[[#This Row],[INSERT DATE]]+7</f>
        <v>45198.257071759261</v>
      </c>
      <c r="H132" t="str">
        <f>VLOOKUP(qry_ProdData2_PDI_Cash_Exception_Application[[#This Row],[MARKET No]],'Site Allocation'!$B$2:$C$37,2,FALSE)</f>
        <v>Analyst5</v>
      </c>
      <c r="I132" s="4">
        <f t="shared" ca="1" si="2"/>
        <v>45203</v>
      </c>
      <c r="J132" s="42">
        <f ca="1">TODAY()-qry_ProdData2_PDI_Cash_Exception_Application[[#This Row],[INSERT DATE]]</f>
        <v>11.742928240739275</v>
      </c>
      <c r="K1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2">
        <f ca="1">qry_ProdData2_PDI_Cash_Exception_Application[[#This Row],[TODAY]]-qry_ProdData2_PDI_Cash_Exception_Application[[#This Row],[CHANGED ON]]</f>
        <v>4.7429282407392748</v>
      </c>
      <c r="M132">
        <f ca="1">qry_ProdData2_PDI_Cash_Exception_Application[[#This Row],[TODAY]]-qry_ProdData2_PDI_Cash_Exception_Application[[#This Row],[CHANGED ON]]</f>
        <v>4.7429282407392748</v>
      </c>
      <c r="N132">
        <f ca="1">qry_ProdData2_PDI_Cash_Exception_Application[[#This Row],[TODAY]]-qry_ProdData2_PDI_Cash_Exception_Application[[#This Row],[CHANGED ON]]</f>
        <v>4.7429282407392748</v>
      </c>
    </row>
    <row r="133" spans="1:14" x14ac:dyDescent="0.35">
      <c r="A133">
        <v>1026</v>
      </c>
      <c r="B133" t="s">
        <v>80</v>
      </c>
      <c r="C133" s="1">
        <v>45191.257071759261</v>
      </c>
      <c r="D133" t="str">
        <f ca="1">VLOOKUP(qry_ProdData2_PDI_Cash_Exception_Application[[#This Row],[TYPE]],#REF!,2,FALSE)</f>
        <v>type40</v>
      </c>
      <c r="E133">
        <v>-2311.4699999999998</v>
      </c>
      <c r="F133" t="str">
        <f>qry_ProdData2_PDI_Cash_Exception_Application[[#This Row],[ANALYST]]</f>
        <v>Analyst5</v>
      </c>
      <c r="G133" s="1">
        <f>qry_ProdData2_PDI_Cash_Exception_Application[[#This Row],[INSERT DATE]]+1</f>
        <v>45192.257071759261</v>
      </c>
      <c r="H133" t="str">
        <f>VLOOKUP(qry_ProdData2_PDI_Cash_Exception_Application[[#This Row],[MARKET No]],'Site Allocation'!$B$2:$C$37,2,FALSE)</f>
        <v>Analyst5</v>
      </c>
      <c r="I133" s="4">
        <f t="shared" ca="1" si="2"/>
        <v>45203</v>
      </c>
      <c r="J133" s="42">
        <f ca="1">TODAY()-qry_ProdData2_PDI_Cash_Exception_Application[[#This Row],[INSERT DATE]]</f>
        <v>11.742928240739275</v>
      </c>
      <c r="K1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3">
        <f ca="1">qry_ProdData2_PDI_Cash_Exception_Application[[#This Row],[TODAY]]-qry_ProdData2_PDI_Cash_Exception_Application[[#This Row],[CHANGED ON]]</f>
        <v>10.742928240739275</v>
      </c>
      <c r="M133">
        <f ca="1">qry_ProdData2_PDI_Cash_Exception_Application[[#This Row],[TODAY]]-qry_ProdData2_PDI_Cash_Exception_Application[[#This Row],[CHANGED ON]]</f>
        <v>10.742928240739275</v>
      </c>
      <c r="N133">
        <f ca="1">qry_ProdData2_PDI_Cash_Exception_Application[[#This Row],[TODAY]]-qry_ProdData2_PDI_Cash_Exception_Application[[#This Row],[CHANGED ON]]</f>
        <v>10.742928240739275</v>
      </c>
    </row>
    <row r="134" spans="1:14" x14ac:dyDescent="0.35">
      <c r="A134">
        <v>1031</v>
      </c>
      <c r="B134" t="s">
        <v>85</v>
      </c>
      <c r="C134" s="1">
        <v>45194.257071759261</v>
      </c>
      <c r="D134" t="str">
        <f ca="1">VLOOKUP(qry_ProdData2_PDI_Cash_Exception_Application[[#This Row],[TYPE]],#REF!,2,FALSE)</f>
        <v>type13</v>
      </c>
      <c r="E134">
        <v>41097.29</v>
      </c>
      <c r="G134" s="1">
        <f>qry_ProdData2_PDI_Cash_Exception_Application[[#This Row],[INSERT DATE]]+5</f>
        <v>45199.257071759261</v>
      </c>
      <c r="H134" t="str">
        <f>VLOOKUP(qry_ProdData2_PDI_Cash_Exception_Application[[#This Row],[MARKET No]],'Site Allocation'!$B$2:$C$37,2,FALSE)</f>
        <v>Analyst6</v>
      </c>
      <c r="I134" s="4">
        <f t="shared" ca="1" si="2"/>
        <v>45203</v>
      </c>
      <c r="J134" s="42">
        <f ca="1">TODAY()-qry_ProdData2_PDI_Cash_Exception_Application[[#This Row],[INSERT DATE]]</f>
        <v>8.7429282407392748</v>
      </c>
      <c r="K1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34">
        <f ca="1">qry_ProdData2_PDI_Cash_Exception_Application[[#This Row],[TODAY]]-qry_ProdData2_PDI_Cash_Exception_Application[[#This Row],[CHANGED ON]]</f>
        <v>3.7429282407392748</v>
      </c>
      <c r="M134">
        <f ca="1">qry_ProdData2_PDI_Cash_Exception_Application[[#This Row],[TODAY]]-qry_ProdData2_PDI_Cash_Exception_Application[[#This Row],[CHANGED ON]]</f>
        <v>3.7429282407392748</v>
      </c>
      <c r="N134">
        <f ca="1">qry_ProdData2_PDI_Cash_Exception_Application[[#This Row],[TODAY]]-qry_ProdData2_PDI_Cash_Exception_Application[[#This Row],[CHANGED ON]]</f>
        <v>3.7429282407392748</v>
      </c>
    </row>
    <row r="135" spans="1:14" x14ac:dyDescent="0.35">
      <c r="A135">
        <v>1014</v>
      </c>
      <c r="B135" t="s">
        <v>68</v>
      </c>
      <c r="C135" s="1">
        <v>45189.257071759261</v>
      </c>
      <c r="D135" t="str">
        <f ca="1">VLOOKUP(qry_ProdData2_PDI_Cash_Exception_Application[[#This Row],[TYPE]],#REF!,2,FALSE)</f>
        <v>type40</v>
      </c>
      <c r="E135">
        <v>-835.65</v>
      </c>
      <c r="G135" s="1">
        <f>qry_ProdData2_PDI_Cash_Exception_Application[[#This Row],[INSERT DATE]]+7</f>
        <v>45196.257071759261</v>
      </c>
      <c r="H135" t="str">
        <f>VLOOKUP(qry_ProdData2_PDI_Cash_Exception_Application[[#This Row],[MARKET No]],'Site Allocation'!$B$2:$C$37,2,FALSE)</f>
        <v>Analyst3</v>
      </c>
      <c r="I135" s="4">
        <f t="shared" ca="1" si="2"/>
        <v>45203</v>
      </c>
      <c r="J135" s="42">
        <f ca="1">TODAY()-qry_ProdData2_PDI_Cash_Exception_Application[[#This Row],[INSERT DATE]]</f>
        <v>13.742928240739275</v>
      </c>
      <c r="K1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5">
        <f ca="1">qry_ProdData2_PDI_Cash_Exception_Application[[#This Row],[TODAY]]-qry_ProdData2_PDI_Cash_Exception_Application[[#This Row],[CHANGED ON]]</f>
        <v>6.7429282407392748</v>
      </c>
      <c r="M135">
        <f ca="1">qry_ProdData2_PDI_Cash_Exception_Application[[#This Row],[TODAY]]-qry_ProdData2_PDI_Cash_Exception_Application[[#This Row],[CHANGED ON]]</f>
        <v>6.7429282407392748</v>
      </c>
      <c r="N135">
        <f ca="1">qry_ProdData2_PDI_Cash_Exception_Application[[#This Row],[TODAY]]-qry_ProdData2_PDI_Cash_Exception_Application[[#This Row],[CHANGED ON]]</f>
        <v>6.7429282407392748</v>
      </c>
    </row>
    <row r="136" spans="1:14" x14ac:dyDescent="0.35">
      <c r="A136">
        <v>1006</v>
      </c>
      <c r="B136" t="s">
        <v>60</v>
      </c>
      <c r="C136" s="1">
        <v>45185.257071759261</v>
      </c>
      <c r="D136" t="str">
        <f ca="1">VLOOKUP(qry_ProdData2_PDI_Cash_Exception_Application[[#This Row],[TYPE]],#REF!,2,FALSE)</f>
        <v>type40</v>
      </c>
      <c r="E136">
        <v>-8216.0499999999993</v>
      </c>
      <c r="F136" t="str">
        <f>qry_ProdData2_PDI_Cash_Exception_Application[[#This Row],[ANALYST]]</f>
        <v>Analyst2</v>
      </c>
      <c r="G136" s="1">
        <f>qry_ProdData2_PDI_Cash_Exception_Application[[#This Row],[INSERT DATE]]+1</f>
        <v>45186.257071759261</v>
      </c>
      <c r="H136" t="str">
        <f>VLOOKUP(qry_ProdData2_PDI_Cash_Exception_Application[[#This Row],[MARKET No]],'Site Allocation'!$B$2:$C$37,2,FALSE)</f>
        <v>Analyst2</v>
      </c>
      <c r="I136" s="4">
        <f t="shared" ca="1" si="2"/>
        <v>45203</v>
      </c>
      <c r="J136" s="42">
        <f ca="1">TODAY()-qry_ProdData2_PDI_Cash_Exception_Application[[#This Row],[INSERT DATE]]</f>
        <v>17.742928240739275</v>
      </c>
      <c r="K1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6">
        <f ca="1">qry_ProdData2_PDI_Cash_Exception_Application[[#This Row],[TODAY]]-qry_ProdData2_PDI_Cash_Exception_Application[[#This Row],[CHANGED ON]]</f>
        <v>16.742928240739275</v>
      </c>
      <c r="M136">
        <f ca="1">qry_ProdData2_PDI_Cash_Exception_Application[[#This Row],[TODAY]]-qry_ProdData2_PDI_Cash_Exception_Application[[#This Row],[CHANGED ON]]</f>
        <v>16.742928240739275</v>
      </c>
      <c r="N136">
        <f ca="1">qry_ProdData2_PDI_Cash_Exception_Application[[#This Row],[TODAY]]-qry_ProdData2_PDI_Cash_Exception_Application[[#This Row],[CHANGED ON]]</f>
        <v>16.742928240739275</v>
      </c>
    </row>
    <row r="137" spans="1:14" x14ac:dyDescent="0.35">
      <c r="A137">
        <v>1021</v>
      </c>
      <c r="B137" t="s">
        <v>75</v>
      </c>
      <c r="C137" s="1">
        <v>45192.257071759261</v>
      </c>
      <c r="D137" t="str">
        <f ca="1">VLOOKUP(qry_ProdData2_PDI_Cash_Exception_Application[[#This Row],[TYPE]],#REF!,2,FALSE)</f>
        <v>type40</v>
      </c>
      <c r="E137">
        <v>-9753.65</v>
      </c>
      <c r="F137" t="str">
        <f>qry_ProdData2_PDI_Cash_Exception_Application[[#This Row],[ANALYST]]</f>
        <v>Analyst4</v>
      </c>
      <c r="G137" s="1">
        <f>qry_ProdData2_PDI_Cash_Exception_Application[[#This Row],[INSERT DATE]]+5</f>
        <v>45197.257071759261</v>
      </c>
      <c r="H137" t="str">
        <f>VLOOKUP(qry_ProdData2_PDI_Cash_Exception_Application[[#This Row],[MARKET No]],'Site Allocation'!$B$2:$C$37,2,FALSE)</f>
        <v>Analyst4</v>
      </c>
      <c r="I137" s="4">
        <f t="shared" ca="1" si="2"/>
        <v>45203</v>
      </c>
      <c r="J137" s="42">
        <f ca="1">TODAY()-qry_ProdData2_PDI_Cash_Exception_Application[[#This Row],[INSERT DATE]]</f>
        <v>10.742928240739275</v>
      </c>
      <c r="K1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7">
        <f ca="1">qry_ProdData2_PDI_Cash_Exception_Application[[#This Row],[TODAY]]-qry_ProdData2_PDI_Cash_Exception_Application[[#This Row],[CHANGED ON]]</f>
        <v>5.7429282407392748</v>
      </c>
      <c r="M137">
        <f ca="1">qry_ProdData2_PDI_Cash_Exception_Application[[#This Row],[TODAY]]-qry_ProdData2_PDI_Cash_Exception_Application[[#This Row],[CHANGED ON]]</f>
        <v>5.7429282407392748</v>
      </c>
      <c r="N137">
        <f ca="1">qry_ProdData2_PDI_Cash_Exception_Application[[#This Row],[TODAY]]-qry_ProdData2_PDI_Cash_Exception_Application[[#This Row],[CHANGED ON]]</f>
        <v>5.7429282407392748</v>
      </c>
    </row>
    <row r="138" spans="1:14" x14ac:dyDescent="0.35">
      <c r="A138">
        <v>1005</v>
      </c>
      <c r="B138" t="s">
        <v>59</v>
      </c>
      <c r="C138" s="1">
        <v>45187.257071759261</v>
      </c>
      <c r="D138" t="str">
        <f ca="1">VLOOKUP(qry_ProdData2_PDI_Cash_Exception_Application[[#This Row],[TYPE]],#REF!,2,FALSE)</f>
        <v>type40</v>
      </c>
      <c r="E138">
        <v>2933.31</v>
      </c>
      <c r="G138" s="1">
        <f>qry_ProdData2_PDI_Cash_Exception_Application[[#This Row],[INSERT DATE]]+1</f>
        <v>45188.257071759261</v>
      </c>
      <c r="H138" t="str">
        <f>VLOOKUP(qry_ProdData2_PDI_Cash_Exception_Application[[#This Row],[MARKET No]],'Site Allocation'!$B$2:$C$37,2,FALSE)</f>
        <v>Analyst1</v>
      </c>
      <c r="I138" s="4">
        <f t="shared" ca="1" si="2"/>
        <v>45203</v>
      </c>
      <c r="J138" s="42">
        <f ca="1">TODAY()-qry_ProdData2_PDI_Cash_Exception_Application[[#This Row],[INSERT DATE]]</f>
        <v>15.742928240739275</v>
      </c>
      <c r="K1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8">
        <f ca="1">qry_ProdData2_PDI_Cash_Exception_Application[[#This Row],[TODAY]]-qry_ProdData2_PDI_Cash_Exception_Application[[#This Row],[CHANGED ON]]</f>
        <v>14.742928240739275</v>
      </c>
      <c r="M138">
        <f ca="1">qry_ProdData2_PDI_Cash_Exception_Application[[#This Row],[TODAY]]-qry_ProdData2_PDI_Cash_Exception_Application[[#This Row],[CHANGED ON]]</f>
        <v>14.742928240739275</v>
      </c>
      <c r="N138">
        <f ca="1">qry_ProdData2_PDI_Cash_Exception_Application[[#This Row],[TODAY]]-qry_ProdData2_PDI_Cash_Exception_Application[[#This Row],[CHANGED ON]]</f>
        <v>14.742928240739275</v>
      </c>
    </row>
    <row r="139" spans="1:14" x14ac:dyDescent="0.35">
      <c r="A139">
        <v>1009</v>
      </c>
      <c r="B139" t="s">
        <v>63</v>
      </c>
      <c r="C139" s="1">
        <v>45191.257071759261</v>
      </c>
      <c r="D139" t="str">
        <f ca="1">VLOOKUP(qry_ProdData2_PDI_Cash_Exception_Application[[#This Row],[TYPE]],#REF!,2,FALSE)</f>
        <v>type40</v>
      </c>
      <c r="E139">
        <v>16102.19</v>
      </c>
      <c r="F139" t="str">
        <f>qry_ProdData2_PDI_Cash_Exception_Application[[#This Row],[ANALYST]]</f>
        <v>Analyst2</v>
      </c>
      <c r="G139" s="1">
        <f>qry_ProdData2_PDI_Cash_Exception_Application[[#This Row],[INSERT DATE]]+2</f>
        <v>45193.257071759261</v>
      </c>
      <c r="H139" t="str">
        <f>VLOOKUP(qry_ProdData2_PDI_Cash_Exception_Application[[#This Row],[MARKET No]],'Site Allocation'!$B$2:$C$37,2,FALSE)</f>
        <v>Analyst2</v>
      </c>
      <c r="I139" s="4">
        <f t="shared" ca="1" si="2"/>
        <v>45203</v>
      </c>
      <c r="J139" s="42">
        <f ca="1">TODAY()-qry_ProdData2_PDI_Cash_Exception_Application[[#This Row],[INSERT DATE]]</f>
        <v>11.742928240739275</v>
      </c>
      <c r="K1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9">
        <f ca="1">qry_ProdData2_PDI_Cash_Exception_Application[[#This Row],[TODAY]]-qry_ProdData2_PDI_Cash_Exception_Application[[#This Row],[CHANGED ON]]</f>
        <v>9.7429282407392748</v>
      </c>
      <c r="M139">
        <f ca="1">qry_ProdData2_PDI_Cash_Exception_Application[[#This Row],[TODAY]]-qry_ProdData2_PDI_Cash_Exception_Application[[#This Row],[CHANGED ON]]</f>
        <v>9.7429282407392748</v>
      </c>
      <c r="N139">
        <f ca="1">qry_ProdData2_PDI_Cash_Exception_Application[[#This Row],[TODAY]]-qry_ProdData2_PDI_Cash_Exception_Application[[#This Row],[CHANGED ON]]</f>
        <v>9.7429282407392748</v>
      </c>
    </row>
    <row r="140" spans="1:14" x14ac:dyDescent="0.35">
      <c r="A140">
        <v>1009</v>
      </c>
      <c r="B140" t="s">
        <v>63</v>
      </c>
      <c r="C140" s="1">
        <v>45183.257071759261</v>
      </c>
      <c r="D140" t="str">
        <f ca="1">VLOOKUP(qry_ProdData2_PDI_Cash_Exception_Application[[#This Row],[TYPE]],#REF!,2,FALSE)</f>
        <v>type40</v>
      </c>
      <c r="E140">
        <v>969.46</v>
      </c>
      <c r="F140" t="str">
        <f>qry_ProdData2_PDI_Cash_Exception_Application[[#This Row],[ANALYST]]</f>
        <v>Analyst2</v>
      </c>
      <c r="G140" s="1">
        <f>qry_ProdData2_PDI_Cash_Exception_Application[[#This Row],[INSERT DATE]]+2</f>
        <v>45185.257071759261</v>
      </c>
      <c r="H140" t="str">
        <f>VLOOKUP(qry_ProdData2_PDI_Cash_Exception_Application[[#This Row],[MARKET No]],'Site Allocation'!$B$2:$C$37,2,FALSE)</f>
        <v>Analyst2</v>
      </c>
      <c r="I140" s="4">
        <f t="shared" ca="1" si="2"/>
        <v>45203</v>
      </c>
      <c r="J140" s="42">
        <f ca="1">TODAY()-qry_ProdData2_PDI_Cash_Exception_Application[[#This Row],[INSERT DATE]]</f>
        <v>19.742928240739275</v>
      </c>
      <c r="K1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0">
        <f ca="1">qry_ProdData2_PDI_Cash_Exception_Application[[#This Row],[TODAY]]-qry_ProdData2_PDI_Cash_Exception_Application[[#This Row],[CHANGED ON]]</f>
        <v>17.742928240739275</v>
      </c>
      <c r="M140">
        <f ca="1">qry_ProdData2_PDI_Cash_Exception_Application[[#This Row],[TODAY]]-qry_ProdData2_PDI_Cash_Exception_Application[[#This Row],[CHANGED ON]]</f>
        <v>17.742928240739275</v>
      </c>
      <c r="N140">
        <f ca="1">qry_ProdData2_PDI_Cash_Exception_Application[[#This Row],[TODAY]]-qry_ProdData2_PDI_Cash_Exception_Application[[#This Row],[CHANGED ON]]</f>
        <v>17.742928240739275</v>
      </c>
    </row>
    <row r="141" spans="1:14" x14ac:dyDescent="0.35">
      <c r="A141">
        <v>1016</v>
      </c>
      <c r="B141" t="s">
        <v>70</v>
      </c>
      <c r="C141" s="1">
        <v>45190.257071759261</v>
      </c>
      <c r="D141" t="str">
        <f ca="1">VLOOKUP(qry_ProdData2_PDI_Cash_Exception_Application[[#This Row],[TYPE]],#REF!,2,FALSE)</f>
        <v>type35</v>
      </c>
      <c r="E141">
        <v>1146.02</v>
      </c>
      <c r="G141" s="1">
        <f>qry_ProdData2_PDI_Cash_Exception_Application[[#This Row],[INSERT DATE]]+7</f>
        <v>45197.257071759261</v>
      </c>
      <c r="H141" t="str">
        <f>VLOOKUP(qry_ProdData2_PDI_Cash_Exception_Application[[#This Row],[MARKET No]],'Site Allocation'!$B$2:$C$37,2,FALSE)</f>
        <v>Analyst3</v>
      </c>
      <c r="I141" s="4">
        <f t="shared" ca="1" si="2"/>
        <v>45203</v>
      </c>
      <c r="J141" s="42">
        <f ca="1">TODAY()-qry_ProdData2_PDI_Cash_Exception_Application[[#This Row],[INSERT DATE]]</f>
        <v>12.742928240739275</v>
      </c>
      <c r="K1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1">
        <f ca="1">qry_ProdData2_PDI_Cash_Exception_Application[[#This Row],[TODAY]]-qry_ProdData2_PDI_Cash_Exception_Application[[#This Row],[CHANGED ON]]</f>
        <v>5.7429282407392748</v>
      </c>
      <c r="M141">
        <f ca="1">qry_ProdData2_PDI_Cash_Exception_Application[[#This Row],[TODAY]]-qry_ProdData2_PDI_Cash_Exception_Application[[#This Row],[CHANGED ON]]</f>
        <v>5.7429282407392748</v>
      </c>
      <c r="N141">
        <f ca="1">qry_ProdData2_PDI_Cash_Exception_Application[[#This Row],[TODAY]]-qry_ProdData2_PDI_Cash_Exception_Application[[#This Row],[CHANGED ON]]</f>
        <v>5.7429282407392748</v>
      </c>
    </row>
    <row r="142" spans="1:14" x14ac:dyDescent="0.35">
      <c r="A142">
        <v>1032</v>
      </c>
      <c r="B142" t="s">
        <v>86</v>
      </c>
      <c r="C142" s="1">
        <v>45184.257071759261</v>
      </c>
      <c r="D142" t="str">
        <f ca="1">VLOOKUP(qry_ProdData2_PDI_Cash_Exception_Application[[#This Row],[TYPE]],#REF!,2,FALSE)</f>
        <v>type19</v>
      </c>
      <c r="E142">
        <v>561.16999999999996</v>
      </c>
      <c r="G142" s="1">
        <f>qry_ProdData2_PDI_Cash_Exception_Application[[#This Row],[INSERT DATE]]+5</f>
        <v>45189.257071759261</v>
      </c>
      <c r="H142" t="str">
        <f>VLOOKUP(qry_ProdData2_PDI_Cash_Exception_Application[[#This Row],[MARKET No]],'Site Allocation'!$B$2:$C$37,2,FALSE)</f>
        <v>Analyst6</v>
      </c>
      <c r="I142" s="4">
        <f t="shared" ca="1" si="2"/>
        <v>45203</v>
      </c>
      <c r="J142" s="42">
        <f ca="1">TODAY()-qry_ProdData2_PDI_Cash_Exception_Application[[#This Row],[INSERT DATE]]</f>
        <v>18.742928240739275</v>
      </c>
      <c r="K1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2">
        <f ca="1">qry_ProdData2_PDI_Cash_Exception_Application[[#This Row],[TODAY]]-qry_ProdData2_PDI_Cash_Exception_Application[[#This Row],[CHANGED ON]]</f>
        <v>13.742928240739275</v>
      </c>
      <c r="M142">
        <f ca="1">qry_ProdData2_PDI_Cash_Exception_Application[[#This Row],[TODAY]]-qry_ProdData2_PDI_Cash_Exception_Application[[#This Row],[CHANGED ON]]</f>
        <v>13.742928240739275</v>
      </c>
      <c r="N142">
        <f ca="1">qry_ProdData2_PDI_Cash_Exception_Application[[#This Row],[TODAY]]-qry_ProdData2_PDI_Cash_Exception_Application[[#This Row],[CHANGED ON]]</f>
        <v>13.742928240739275</v>
      </c>
    </row>
    <row r="143" spans="1:14" x14ac:dyDescent="0.35">
      <c r="A143">
        <v>1019</v>
      </c>
      <c r="B143" t="s">
        <v>73</v>
      </c>
      <c r="C143" s="1">
        <v>45195.257071759261</v>
      </c>
      <c r="D143" t="str">
        <f ca="1">VLOOKUP(qry_ProdData2_PDI_Cash_Exception_Application[[#This Row],[TYPE]],#REF!,2,FALSE)</f>
        <v>type17</v>
      </c>
      <c r="E143">
        <v>432.36</v>
      </c>
      <c r="F143" t="str">
        <f>qry_ProdData2_PDI_Cash_Exception_Application[[#This Row],[ANALYST]]</f>
        <v>Analyst4</v>
      </c>
      <c r="G143" s="1">
        <f>qry_ProdData2_PDI_Cash_Exception_Application[[#This Row],[INSERT DATE]]+7</f>
        <v>45202.257071759261</v>
      </c>
      <c r="H143" t="str">
        <f>VLOOKUP(qry_ProdData2_PDI_Cash_Exception_Application[[#This Row],[MARKET No]],'Site Allocation'!$B$2:$C$37,2,FALSE)</f>
        <v>Analyst4</v>
      </c>
      <c r="I143" s="4">
        <f t="shared" ca="1" si="2"/>
        <v>45203</v>
      </c>
      <c r="J143" s="42">
        <f ca="1">TODAY()-qry_ProdData2_PDI_Cash_Exception_Application[[#This Row],[INSERT DATE]]</f>
        <v>7.7429282407392748</v>
      </c>
      <c r="K1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43">
        <f ca="1">qry_ProdData2_PDI_Cash_Exception_Application[[#This Row],[TODAY]]-qry_ProdData2_PDI_Cash_Exception_Application[[#This Row],[CHANGED ON]]</f>
        <v>0.74292824073927477</v>
      </c>
      <c r="M143">
        <f ca="1">qry_ProdData2_PDI_Cash_Exception_Application[[#This Row],[TODAY]]-qry_ProdData2_PDI_Cash_Exception_Application[[#This Row],[CHANGED ON]]</f>
        <v>0.74292824073927477</v>
      </c>
      <c r="N143">
        <f ca="1">qry_ProdData2_PDI_Cash_Exception_Application[[#This Row],[TODAY]]-qry_ProdData2_PDI_Cash_Exception_Application[[#This Row],[CHANGED ON]]</f>
        <v>0.74292824073927477</v>
      </c>
    </row>
    <row r="144" spans="1:14" x14ac:dyDescent="0.35">
      <c r="A144">
        <v>1006</v>
      </c>
      <c r="B144" t="s">
        <v>60</v>
      </c>
      <c r="C144" s="1">
        <v>45187.257071759261</v>
      </c>
      <c r="D144" t="str">
        <f ca="1">VLOOKUP(qry_ProdData2_PDI_Cash_Exception_Application[[#This Row],[TYPE]],#REF!,2,FALSE)</f>
        <v>type25</v>
      </c>
      <c r="E144">
        <v>219.77</v>
      </c>
      <c r="F144" t="str">
        <f>qry_ProdData2_PDI_Cash_Exception_Application[[#This Row],[ANALYST]]</f>
        <v>Analyst2</v>
      </c>
      <c r="G144" s="1">
        <f>qry_ProdData2_PDI_Cash_Exception_Application[[#This Row],[INSERT DATE]]+2</f>
        <v>45189.257071759261</v>
      </c>
      <c r="H144" t="str">
        <f>VLOOKUP(qry_ProdData2_PDI_Cash_Exception_Application[[#This Row],[MARKET No]],'Site Allocation'!$B$2:$C$37,2,FALSE)</f>
        <v>Analyst2</v>
      </c>
      <c r="I144" s="4">
        <f t="shared" ca="1" si="2"/>
        <v>45203</v>
      </c>
      <c r="J144" s="42">
        <f ca="1">TODAY()-qry_ProdData2_PDI_Cash_Exception_Application[[#This Row],[INSERT DATE]]</f>
        <v>15.742928240739275</v>
      </c>
      <c r="K1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4">
        <f ca="1">qry_ProdData2_PDI_Cash_Exception_Application[[#This Row],[TODAY]]-qry_ProdData2_PDI_Cash_Exception_Application[[#This Row],[CHANGED ON]]</f>
        <v>13.742928240739275</v>
      </c>
      <c r="M144">
        <f ca="1">qry_ProdData2_PDI_Cash_Exception_Application[[#This Row],[TODAY]]-qry_ProdData2_PDI_Cash_Exception_Application[[#This Row],[CHANGED ON]]</f>
        <v>13.742928240739275</v>
      </c>
      <c r="N144">
        <f ca="1">qry_ProdData2_PDI_Cash_Exception_Application[[#This Row],[TODAY]]-qry_ProdData2_PDI_Cash_Exception_Application[[#This Row],[CHANGED ON]]</f>
        <v>13.742928240739275</v>
      </c>
    </row>
    <row r="145" spans="1:14" x14ac:dyDescent="0.35">
      <c r="A145">
        <v>1028</v>
      </c>
      <c r="B145" t="s">
        <v>82</v>
      </c>
      <c r="C145" s="1">
        <v>45192.257071759261</v>
      </c>
      <c r="D145" t="str">
        <f ca="1">VLOOKUP(qry_ProdData2_PDI_Cash_Exception_Application[[#This Row],[TYPE]],#REF!,2,FALSE)</f>
        <v>type40</v>
      </c>
      <c r="E145">
        <v>4775.09</v>
      </c>
      <c r="F145" t="str">
        <f>qry_ProdData2_PDI_Cash_Exception_Application[[#This Row],[ANALYST]]</f>
        <v>Analyst5</v>
      </c>
      <c r="G145" s="1">
        <f>qry_ProdData2_PDI_Cash_Exception_Application[[#This Row],[INSERT DATE]]+1</f>
        <v>45193.257071759261</v>
      </c>
      <c r="H145" t="str">
        <f>VLOOKUP(qry_ProdData2_PDI_Cash_Exception_Application[[#This Row],[MARKET No]],'Site Allocation'!$B$2:$C$37,2,FALSE)</f>
        <v>Analyst5</v>
      </c>
      <c r="I145" s="4">
        <f t="shared" ca="1" si="2"/>
        <v>45203</v>
      </c>
      <c r="J145" s="42">
        <f ca="1">TODAY()-qry_ProdData2_PDI_Cash_Exception_Application[[#This Row],[INSERT DATE]]</f>
        <v>10.742928240739275</v>
      </c>
      <c r="K1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5">
        <f ca="1">qry_ProdData2_PDI_Cash_Exception_Application[[#This Row],[TODAY]]-qry_ProdData2_PDI_Cash_Exception_Application[[#This Row],[CHANGED ON]]</f>
        <v>9.7429282407392748</v>
      </c>
      <c r="M145">
        <f ca="1">qry_ProdData2_PDI_Cash_Exception_Application[[#This Row],[TODAY]]-qry_ProdData2_PDI_Cash_Exception_Application[[#This Row],[CHANGED ON]]</f>
        <v>9.7429282407392748</v>
      </c>
      <c r="N145">
        <f ca="1">qry_ProdData2_PDI_Cash_Exception_Application[[#This Row],[TODAY]]-qry_ProdData2_PDI_Cash_Exception_Application[[#This Row],[CHANGED ON]]</f>
        <v>9.7429282407392748</v>
      </c>
    </row>
    <row r="146" spans="1:14" x14ac:dyDescent="0.35">
      <c r="A146">
        <v>1010</v>
      </c>
      <c r="B146" t="s">
        <v>64</v>
      </c>
      <c r="C146" s="1">
        <v>45188.257071759261</v>
      </c>
      <c r="D146" t="str">
        <f ca="1">VLOOKUP(qry_ProdData2_PDI_Cash_Exception_Application[[#This Row],[TYPE]],#REF!,2,FALSE)</f>
        <v>type17</v>
      </c>
      <c r="E146">
        <v>377.93</v>
      </c>
      <c r="F146" t="str">
        <f>qry_ProdData2_PDI_Cash_Exception_Application[[#This Row],[ANALYST]]</f>
        <v>Analyst2</v>
      </c>
      <c r="G146" s="1">
        <f>qry_ProdData2_PDI_Cash_Exception_Application[[#This Row],[INSERT DATE]]+2</f>
        <v>45190.257071759261</v>
      </c>
      <c r="H146" t="str">
        <f>VLOOKUP(qry_ProdData2_PDI_Cash_Exception_Application[[#This Row],[MARKET No]],'Site Allocation'!$B$2:$C$37,2,FALSE)</f>
        <v>Analyst2</v>
      </c>
      <c r="I146" s="4">
        <f t="shared" ca="1" si="2"/>
        <v>45203</v>
      </c>
      <c r="J146" s="42">
        <f ca="1">TODAY()-qry_ProdData2_PDI_Cash_Exception_Application[[#This Row],[INSERT DATE]]</f>
        <v>14.742928240739275</v>
      </c>
      <c r="K1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6">
        <f ca="1">qry_ProdData2_PDI_Cash_Exception_Application[[#This Row],[TODAY]]-qry_ProdData2_PDI_Cash_Exception_Application[[#This Row],[CHANGED ON]]</f>
        <v>12.742928240739275</v>
      </c>
      <c r="M146">
        <f ca="1">qry_ProdData2_PDI_Cash_Exception_Application[[#This Row],[TODAY]]-qry_ProdData2_PDI_Cash_Exception_Application[[#This Row],[CHANGED ON]]</f>
        <v>12.742928240739275</v>
      </c>
      <c r="N146">
        <f ca="1">qry_ProdData2_PDI_Cash_Exception_Application[[#This Row],[TODAY]]-qry_ProdData2_PDI_Cash_Exception_Application[[#This Row],[CHANGED ON]]</f>
        <v>12.742928240739275</v>
      </c>
    </row>
    <row r="147" spans="1:14" x14ac:dyDescent="0.35">
      <c r="A147">
        <v>1005</v>
      </c>
      <c r="B147" t="s">
        <v>59</v>
      </c>
      <c r="C147" s="1">
        <v>45190.257071759261</v>
      </c>
      <c r="D147" t="str">
        <f ca="1">VLOOKUP(qry_ProdData2_PDI_Cash_Exception_Application[[#This Row],[TYPE]],#REF!,2,FALSE)</f>
        <v>type40</v>
      </c>
      <c r="E147">
        <v>1722.86</v>
      </c>
      <c r="F147" t="str">
        <f>qry_ProdData2_PDI_Cash_Exception_Application[[#This Row],[ANALYST]]</f>
        <v>Analyst1</v>
      </c>
      <c r="G147" s="1">
        <f>qry_ProdData2_PDI_Cash_Exception_Application[[#This Row],[INSERT DATE]]+1</f>
        <v>45191.257071759261</v>
      </c>
      <c r="H147" t="str">
        <f>VLOOKUP(qry_ProdData2_PDI_Cash_Exception_Application[[#This Row],[MARKET No]],'Site Allocation'!$B$2:$C$37,2,FALSE)</f>
        <v>Analyst1</v>
      </c>
      <c r="I147" s="4">
        <f t="shared" ca="1" si="2"/>
        <v>45203</v>
      </c>
      <c r="J147" s="42">
        <f ca="1">TODAY()-qry_ProdData2_PDI_Cash_Exception_Application[[#This Row],[INSERT DATE]]</f>
        <v>12.742928240739275</v>
      </c>
      <c r="K1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7">
        <f ca="1">qry_ProdData2_PDI_Cash_Exception_Application[[#This Row],[TODAY]]-qry_ProdData2_PDI_Cash_Exception_Application[[#This Row],[CHANGED ON]]</f>
        <v>11.742928240739275</v>
      </c>
      <c r="M147">
        <f ca="1">qry_ProdData2_PDI_Cash_Exception_Application[[#This Row],[TODAY]]-qry_ProdData2_PDI_Cash_Exception_Application[[#This Row],[CHANGED ON]]</f>
        <v>11.742928240739275</v>
      </c>
      <c r="N147">
        <f ca="1">qry_ProdData2_PDI_Cash_Exception_Application[[#This Row],[TODAY]]-qry_ProdData2_PDI_Cash_Exception_Application[[#This Row],[CHANGED ON]]</f>
        <v>11.742928240739275</v>
      </c>
    </row>
    <row r="148" spans="1:14" x14ac:dyDescent="0.35">
      <c r="A148">
        <v>1031</v>
      </c>
      <c r="B148" t="s">
        <v>85</v>
      </c>
      <c r="C148" s="1">
        <v>45189.257071759261</v>
      </c>
      <c r="D148" t="str">
        <f ca="1">VLOOKUP(qry_ProdData2_PDI_Cash_Exception_Application[[#This Row],[TYPE]],#REF!,2,FALSE)</f>
        <v>type40</v>
      </c>
      <c r="E148">
        <v>-1365.27</v>
      </c>
      <c r="G148" s="1">
        <f>qry_ProdData2_PDI_Cash_Exception_Application[[#This Row],[INSERT DATE]]+7</f>
        <v>45196.257071759261</v>
      </c>
      <c r="H148" t="str">
        <f>VLOOKUP(qry_ProdData2_PDI_Cash_Exception_Application[[#This Row],[MARKET No]],'Site Allocation'!$B$2:$C$37,2,FALSE)</f>
        <v>Analyst6</v>
      </c>
      <c r="I148" s="4">
        <f t="shared" ca="1" si="2"/>
        <v>45203</v>
      </c>
      <c r="J148" s="42">
        <f ca="1">TODAY()-qry_ProdData2_PDI_Cash_Exception_Application[[#This Row],[INSERT DATE]]</f>
        <v>13.742928240739275</v>
      </c>
      <c r="K1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8">
        <f ca="1">qry_ProdData2_PDI_Cash_Exception_Application[[#This Row],[TODAY]]-qry_ProdData2_PDI_Cash_Exception_Application[[#This Row],[CHANGED ON]]</f>
        <v>6.7429282407392748</v>
      </c>
      <c r="M148">
        <f ca="1">qry_ProdData2_PDI_Cash_Exception_Application[[#This Row],[TODAY]]-qry_ProdData2_PDI_Cash_Exception_Application[[#This Row],[CHANGED ON]]</f>
        <v>6.7429282407392748</v>
      </c>
      <c r="N148">
        <f ca="1">qry_ProdData2_PDI_Cash_Exception_Application[[#This Row],[TODAY]]-qry_ProdData2_PDI_Cash_Exception_Application[[#This Row],[CHANGED ON]]</f>
        <v>6.7429282407392748</v>
      </c>
    </row>
    <row r="149" spans="1:14" x14ac:dyDescent="0.35">
      <c r="A149">
        <v>1017</v>
      </c>
      <c r="B149" t="s">
        <v>71</v>
      </c>
      <c r="C149" s="1">
        <v>45181.257071759261</v>
      </c>
      <c r="D149" t="str">
        <f ca="1">VLOOKUP(qry_ProdData2_PDI_Cash_Exception_Application[[#This Row],[TYPE]],#REF!,2,FALSE)</f>
        <v>type40</v>
      </c>
      <c r="E149">
        <v>-582.01</v>
      </c>
      <c r="G149" s="1">
        <f>qry_ProdData2_PDI_Cash_Exception_Application[[#This Row],[INSERT DATE]]+1</f>
        <v>45182.257071759261</v>
      </c>
      <c r="H149" t="str">
        <f>VLOOKUP(qry_ProdData2_PDI_Cash_Exception_Application[[#This Row],[MARKET No]],'Site Allocation'!$B$2:$C$37,2,FALSE)</f>
        <v>Analyst3</v>
      </c>
      <c r="I149" s="4">
        <f t="shared" ca="1" si="2"/>
        <v>45203</v>
      </c>
      <c r="J149" s="42">
        <f ca="1">TODAY()-qry_ProdData2_PDI_Cash_Exception_Application[[#This Row],[INSERT DATE]]</f>
        <v>21.742928240739275</v>
      </c>
      <c r="K1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9">
        <f ca="1">qry_ProdData2_PDI_Cash_Exception_Application[[#This Row],[TODAY]]-qry_ProdData2_PDI_Cash_Exception_Application[[#This Row],[CHANGED ON]]</f>
        <v>20.742928240739275</v>
      </c>
      <c r="M149">
        <f ca="1">qry_ProdData2_PDI_Cash_Exception_Application[[#This Row],[TODAY]]-qry_ProdData2_PDI_Cash_Exception_Application[[#This Row],[CHANGED ON]]</f>
        <v>20.742928240739275</v>
      </c>
      <c r="N149">
        <f ca="1">qry_ProdData2_PDI_Cash_Exception_Application[[#This Row],[TODAY]]-qry_ProdData2_PDI_Cash_Exception_Application[[#This Row],[CHANGED ON]]</f>
        <v>20.742928240739275</v>
      </c>
    </row>
    <row r="150" spans="1:14" x14ac:dyDescent="0.35">
      <c r="A150">
        <v>1033</v>
      </c>
      <c r="B150" t="s">
        <v>87</v>
      </c>
      <c r="C150" s="1">
        <v>45188.257071759261</v>
      </c>
      <c r="D150" t="str">
        <f ca="1">VLOOKUP(qry_ProdData2_PDI_Cash_Exception_Application[[#This Row],[TYPE]],#REF!,2,FALSE)</f>
        <v>type40</v>
      </c>
      <c r="E150">
        <v>-381.04</v>
      </c>
      <c r="G150" s="1">
        <f>qry_ProdData2_PDI_Cash_Exception_Application[[#This Row],[INSERT DATE]]+7</f>
        <v>45195.257071759261</v>
      </c>
      <c r="H150" t="str">
        <f>VLOOKUP(qry_ProdData2_PDI_Cash_Exception_Application[[#This Row],[MARKET No]],'Site Allocation'!$B$2:$C$37,2,FALSE)</f>
        <v>Analyst6</v>
      </c>
      <c r="I150" s="4">
        <f t="shared" ca="1" si="2"/>
        <v>45203</v>
      </c>
      <c r="J150" s="42">
        <f ca="1">TODAY()-qry_ProdData2_PDI_Cash_Exception_Application[[#This Row],[INSERT DATE]]</f>
        <v>14.742928240739275</v>
      </c>
      <c r="K1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0">
        <f ca="1">qry_ProdData2_PDI_Cash_Exception_Application[[#This Row],[TODAY]]-qry_ProdData2_PDI_Cash_Exception_Application[[#This Row],[CHANGED ON]]</f>
        <v>7.7429282407392748</v>
      </c>
      <c r="M150">
        <f ca="1">qry_ProdData2_PDI_Cash_Exception_Application[[#This Row],[TODAY]]-qry_ProdData2_PDI_Cash_Exception_Application[[#This Row],[CHANGED ON]]</f>
        <v>7.7429282407392748</v>
      </c>
      <c r="N150">
        <f ca="1">qry_ProdData2_PDI_Cash_Exception_Application[[#This Row],[TODAY]]-qry_ProdData2_PDI_Cash_Exception_Application[[#This Row],[CHANGED ON]]</f>
        <v>7.7429282407392748</v>
      </c>
    </row>
    <row r="151" spans="1:14" x14ac:dyDescent="0.35">
      <c r="A151">
        <v>1016</v>
      </c>
      <c r="B151" t="s">
        <v>70</v>
      </c>
      <c r="C151" s="1">
        <v>45186.257071759261</v>
      </c>
      <c r="D151" t="str">
        <f ca="1">VLOOKUP(qry_ProdData2_PDI_Cash_Exception_Application[[#This Row],[TYPE]],#REF!,2,FALSE)</f>
        <v>type40</v>
      </c>
      <c r="E151">
        <v>-1920.85</v>
      </c>
      <c r="G151" s="1">
        <f>qry_ProdData2_PDI_Cash_Exception_Application[[#This Row],[INSERT DATE]]+1</f>
        <v>45187.257071759261</v>
      </c>
      <c r="H151" t="str">
        <f>VLOOKUP(qry_ProdData2_PDI_Cash_Exception_Application[[#This Row],[MARKET No]],'Site Allocation'!$B$2:$C$37,2,FALSE)</f>
        <v>Analyst3</v>
      </c>
      <c r="I151" s="4">
        <f t="shared" ca="1" si="2"/>
        <v>45203</v>
      </c>
      <c r="J151" s="42">
        <f ca="1">TODAY()-qry_ProdData2_PDI_Cash_Exception_Application[[#This Row],[INSERT DATE]]</f>
        <v>16.742928240739275</v>
      </c>
      <c r="K1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1">
        <f ca="1">qry_ProdData2_PDI_Cash_Exception_Application[[#This Row],[TODAY]]-qry_ProdData2_PDI_Cash_Exception_Application[[#This Row],[CHANGED ON]]</f>
        <v>15.742928240739275</v>
      </c>
      <c r="M151">
        <f ca="1">qry_ProdData2_PDI_Cash_Exception_Application[[#This Row],[TODAY]]-qry_ProdData2_PDI_Cash_Exception_Application[[#This Row],[CHANGED ON]]</f>
        <v>15.742928240739275</v>
      </c>
      <c r="N151">
        <f ca="1">qry_ProdData2_PDI_Cash_Exception_Application[[#This Row],[TODAY]]-qry_ProdData2_PDI_Cash_Exception_Application[[#This Row],[CHANGED ON]]</f>
        <v>15.742928240739275</v>
      </c>
    </row>
    <row r="152" spans="1:14" x14ac:dyDescent="0.35">
      <c r="A152">
        <v>1011</v>
      </c>
      <c r="B152" t="s">
        <v>65</v>
      </c>
      <c r="C152" s="1">
        <v>45183.257071759261</v>
      </c>
      <c r="D152" t="str">
        <f ca="1">VLOOKUP(qry_ProdData2_PDI_Cash_Exception_Application[[#This Row],[TYPE]],#REF!,2,FALSE)</f>
        <v>type7</v>
      </c>
      <c r="E152">
        <v>-15395.73</v>
      </c>
      <c r="F152" t="str">
        <f>qry_ProdData2_PDI_Cash_Exception_Application[[#This Row],[ANALYST]]</f>
        <v>Analyst2</v>
      </c>
      <c r="G152" s="1">
        <f>qry_ProdData2_PDI_Cash_Exception_Application[[#This Row],[INSERT DATE]]+7</f>
        <v>45190.257071759261</v>
      </c>
      <c r="H152" t="str">
        <f>VLOOKUP(qry_ProdData2_PDI_Cash_Exception_Application[[#This Row],[MARKET No]],'Site Allocation'!$B$2:$C$37,2,FALSE)</f>
        <v>Analyst2</v>
      </c>
      <c r="I152" s="4">
        <f t="shared" ca="1" si="2"/>
        <v>45203</v>
      </c>
      <c r="J152" s="42">
        <f ca="1">TODAY()-qry_ProdData2_PDI_Cash_Exception_Application[[#This Row],[INSERT DATE]]</f>
        <v>19.742928240739275</v>
      </c>
      <c r="K1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2">
        <f ca="1">qry_ProdData2_PDI_Cash_Exception_Application[[#This Row],[TODAY]]-qry_ProdData2_PDI_Cash_Exception_Application[[#This Row],[CHANGED ON]]</f>
        <v>12.742928240739275</v>
      </c>
      <c r="M152">
        <f ca="1">qry_ProdData2_PDI_Cash_Exception_Application[[#This Row],[TODAY]]-qry_ProdData2_PDI_Cash_Exception_Application[[#This Row],[CHANGED ON]]</f>
        <v>12.742928240739275</v>
      </c>
      <c r="N152">
        <f ca="1">qry_ProdData2_PDI_Cash_Exception_Application[[#This Row],[TODAY]]-qry_ProdData2_PDI_Cash_Exception_Application[[#This Row],[CHANGED ON]]</f>
        <v>12.742928240739275</v>
      </c>
    </row>
    <row r="153" spans="1:14" x14ac:dyDescent="0.35">
      <c r="A153">
        <v>1006</v>
      </c>
      <c r="B153" t="s">
        <v>60</v>
      </c>
      <c r="C153" s="1">
        <v>45191.257071759261</v>
      </c>
      <c r="D153" t="str">
        <f ca="1">VLOOKUP(qry_ProdData2_PDI_Cash_Exception_Application[[#This Row],[TYPE]],#REF!,2,FALSE)</f>
        <v>type40</v>
      </c>
      <c r="E153">
        <v>-301.52</v>
      </c>
      <c r="F153" t="str">
        <f>qry_ProdData2_PDI_Cash_Exception_Application[[#This Row],[ANALYST]]</f>
        <v>Analyst2</v>
      </c>
      <c r="G153" s="1">
        <f>qry_ProdData2_PDI_Cash_Exception_Application[[#This Row],[INSERT DATE]]+7</f>
        <v>45198.257071759261</v>
      </c>
      <c r="H153" t="str">
        <f>VLOOKUP(qry_ProdData2_PDI_Cash_Exception_Application[[#This Row],[MARKET No]],'Site Allocation'!$B$2:$C$37,2,FALSE)</f>
        <v>Analyst2</v>
      </c>
      <c r="I153" s="4">
        <f t="shared" ca="1" si="2"/>
        <v>45203</v>
      </c>
      <c r="J153" s="42">
        <f ca="1">TODAY()-qry_ProdData2_PDI_Cash_Exception_Application[[#This Row],[INSERT DATE]]</f>
        <v>11.742928240739275</v>
      </c>
      <c r="K1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3">
        <f ca="1">qry_ProdData2_PDI_Cash_Exception_Application[[#This Row],[TODAY]]-qry_ProdData2_PDI_Cash_Exception_Application[[#This Row],[CHANGED ON]]</f>
        <v>4.7429282407392748</v>
      </c>
      <c r="M153">
        <f ca="1">qry_ProdData2_PDI_Cash_Exception_Application[[#This Row],[TODAY]]-qry_ProdData2_PDI_Cash_Exception_Application[[#This Row],[CHANGED ON]]</f>
        <v>4.7429282407392748</v>
      </c>
      <c r="N153">
        <f ca="1">qry_ProdData2_PDI_Cash_Exception_Application[[#This Row],[TODAY]]-qry_ProdData2_PDI_Cash_Exception_Application[[#This Row],[CHANGED ON]]</f>
        <v>4.7429282407392748</v>
      </c>
    </row>
    <row r="154" spans="1:14" x14ac:dyDescent="0.35">
      <c r="A154">
        <v>1016</v>
      </c>
      <c r="B154" t="s">
        <v>70</v>
      </c>
      <c r="C154" s="1">
        <v>45187.257071759261</v>
      </c>
      <c r="D154" t="str">
        <f ca="1">VLOOKUP(qry_ProdData2_PDI_Cash_Exception_Application[[#This Row],[TYPE]],#REF!,2,FALSE)</f>
        <v>type40</v>
      </c>
      <c r="E154">
        <v>7246.87</v>
      </c>
      <c r="G154" s="1">
        <f>qry_ProdData2_PDI_Cash_Exception_Application[[#This Row],[INSERT DATE]]+2</f>
        <v>45189.257071759261</v>
      </c>
      <c r="H154" t="str">
        <f>VLOOKUP(qry_ProdData2_PDI_Cash_Exception_Application[[#This Row],[MARKET No]],'Site Allocation'!$B$2:$C$37,2,FALSE)</f>
        <v>Analyst3</v>
      </c>
      <c r="I154" s="4">
        <f t="shared" ca="1" si="2"/>
        <v>45203</v>
      </c>
      <c r="J154" s="42">
        <f ca="1">TODAY()-qry_ProdData2_PDI_Cash_Exception_Application[[#This Row],[INSERT DATE]]</f>
        <v>15.742928240739275</v>
      </c>
      <c r="K1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4">
        <f ca="1">qry_ProdData2_PDI_Cash_Exception_Application[[#This Row],[TODAY]]-qry_ProdData2_PDI_Cash_Exception_Application[[#This Row],[CHANGED ON]]</f>
        <v>13.742928240739275</v>
      </c>
      <c r="M154">
        <f ca="1">qry_ProdData2_PDI_Cash_Exception_Application[[#This Row],[TODAY]]-qry_ProdData2_PDI_Cash_Exception_Application[[#This Row],[CHANGED ON]]</f>
        <v>13.742928240739275</v>
      </c>
      <c r="N154">
        <f ca="1">qry_ProdData2_PDI_Cash_Exception_Application[[#This Row],[TODAY]]-qry_ProdData2_PDI_Cash_Exception_Application[[#This Row],[CHANGED ON]]</f>
        <v>13.742928240739275</v>
      </c>
    </row>
    <row r="155" spans="1:14" x14ac:dyDescent="0.35">
      <c r="A155">
        <v>1027</v>
      </c>
      <c r="B155" t="s">
        <v>81</v>
      </c>
      <c r="C155" s="1">
        <v>45186.257071759261</v>
      </c>
      <c r="D155" t="str">
        <f ca="1">VLOOKUP(qry_ProdData2_PDI_Cash_Exception_Application[[#This Row],[TYPE]],#REF!,2,FALSE)</f>
        <v>type40</v>
      </c>
      <c r="E155">
        <v>-774.75</v>
      </c>
      <c r="F155" t="str">
        <f>qry_ProdData2_PDI_Cash_Exception_Application[[#This Row],[ANALYST]]</f>
        <v>Analyst5</v>
      </c>
      <c r="G155" s="1">
        <f>qry_ProdData2_PDI_Cash_Exception_Application[[#This Row],[INSERT DATE]]+2</f>
        <v>45188.257071759261</v>
      </c>
      <c r="H155" t="str">
        <f>VLOOKUP(qry_ProdData2_PDI_Cash_Exception_Application[[#This Row],[MARKET No]],'Site Allocation'!$B$2:$C$37,2,FALSE)</f>
        <v>Analyst5</v>
      </c>
      <c r="I155" s="4">
        <f t="shared" ca="1" si="2"/>
        <v>45203</v>
      </c>
      <c r="J155" s="42">
        <f ca="1">TODAY()-qry_ProdData2_PDI_Cash_Exception_Application[[#This Row],[INSERT DATE]]</f>
        <v>16.742928240739275</v>
      </c>
      <c r="K1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5">
        <f ca="1">qry_ProdData2_PDI_Cash_Exception_Application[[#This Row],[TODAY]]-qry_ProdData2_PDI_Cash_Exception_Application[[#This Row],[CHANGED ON]]</f>
        <v>14.742928240739275</v>
      </c>
      <c r="M155">
        <f ca="1">qry_ProdData2_PDI_Cash_Exception_Application[[#This Row],[TODAY]]-qry_ProdData2_PDI_Cash_Exception_Application[[#This Row],[CHANGED ON]]</f>
        <v>14.742928240739275</v>
      </c>
      <c r="N155">
        <f ca="1">qry_ProdData2_PDI_Cash_Exception_Application[[#This Row],[TODAY]]-qry_ProdData2_PDI_Cash_Exception_Application[[#This Row],[CHANGED ON]]</f>
        <v>14.742928240739275</v>
      </c>
    </row>
    <row r="156" spans="1:14" x14ac:dyDescent="0.35">
      <c r="A156">
        <v>1014</v>
      </c>
      <c r="B156" t="s">
        <v>68</v>
      </c>
      <c r="C156" s="1">
        <v>45189.257071759261</v>
      </c>
      <c r="D156" t="str">
        <f ca="1">VLOOKUP(qry_ProdData2_PDI_Cash_Exception_Application[[#This Row],[TYPE]],#REF!,2,FALSE)</f>
        <v>type40</v>
      </c>
      <c r="E156">
        <v>-323.44</v>
      </c>
      <c r="F156" t="s">
        <v>47</v>
      </c>
      <c r="G156" s="1">
        <f>qry_ProdData2_PDI_Cash_Exception_Application[[#This Row],[INSERT DATE]]+2</f>
        <v>45191.257071759261</v>
      </c>
      <c r="H156" t="str">
        <f>VLOOKUP(qry_ProdData2_PDI_Cash_Exception_Application[[#This Row],[MARKET No]],'Site Allocation'!$B$2:$C$37,2,FALSE)</f>
        <v>Analyst3</v>
      </c>
      <c r="I156" s="4">
        <f t="shared" ca="1" si="2"/>
        <v>45203</v>
      </c>
      <c r="J156" s="42">
        <f ca="1">TODAY()-qry_ProdData2_PDI_Cash_Exception_Application[[#This Row],[INSERT DATE]]</f>
        <v>13.742928240739275</v>
      </c>
      <c r="K1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6">
        <f ca="1">qry_ProdData2_PDI_Cash_Exception_Application[[#This Row],[TODAY]]-qry_ProdData2_PDI_Cash_Exception_Application[[#This Row],[CHANGED ON]]</f>
        <v>11.742928240739275</v>
      </c>
      <c r="M156">
        <f ca="1">qry_ProdData2_PDI_Cash_Exception_Application[[#This Row],[TODAY]]-qry_ProdData2_PDI_Cash_Exception_Application[[#This Row],[CHANGED ON]]</f>
        <v>11.742928240739275</v>
      </c>
      <c r="N156">
        <f ca="1">qry_ProdData2_PDI_Cash_Exception_Application[[#This Row],[TODAY]]-qry_ProdData2_PDI_Cash_Exception_Application[[#This Row],[CHANGED ON]]</f>
        <v>11.742928240739275</v>
      </c>
    </row>
    <row r="157" spans="1:14" x14ac:dyDescent="0.35">
      <c r="A157">
        <v>1005</v>
      </c>
      <c r="B157" t="s">
        <v>59</v>
      </c>
      <c r="C157" s="1">
        <v>45182.257071759261</v>
      </c>
      <c r="D157" t="str">
        <f ca="1">VLOOKUP(qry_ProdData2_PDI_Cash_Exception_Application[[#This Row],[TYPE]],#REF!,2,FALSE)</f>
        <v>type40</v>
      </c>
      <c r="E157">
        <v>-504.59</v>
      </c>
      <c r="F157" t="str">
        <f>qry_ProdData2_PDI_Cash_Exception_Application[[#This Row],[ANALYST]]</f>
        <v>Analyst1</v>
      </c>
      <c r="G157" s="1">
        <f>qry_ProdData2_PDI_Cash_Exception_Application[[#This Row],[INSERT DATE]]+5</f>
        <v>45187.257071759261</v>
      </c>
      <c r="H157" t="str">
        <f>VLOOKUP(qry_ProdData2_PDI_Cash_Exception_Application[[#This Row],[MARKET No]],'Site Allocation'!$B$2:$C$37,2,FALSE)</f>
        <v>Analyst1</v>
      </c>
      <c r="I157" s="4">
        <f t="shared" ca="1" si="2"/>
        <v>45203</v>
      </c>
      <c r="J157" s="42">
        <f ca="1">TODAY()-qry_ProdData2_PDI_Cash_Exception_Application[[#This Row],[INSERT DATE]]</f>
        <v>20.742928240739275</v>
      </c>
      <c r="K1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7">
        <f ca="1">qry_ProdData2_PDI_Cash_Exception_Application[[#This Row],[TODAY]]-qry_ProdData2_PDI_Cash_Exception_Application[[#This Row],[CHANGED ON]]</f>
        <v>15.742928240739275</v>
      </c>
      <c r="M157">
        <f ca="1">qry_ProdData2_PDI_Cash_Exception_Application[[#This Row],[TODAY]]-qry_ProdData2_PDI_Cash_Exception_Application[[#This Row],[CHANGED ON]]</f>
        <v>15.742928240739275</v>
      </c>
      <c r="N157">
        <f ca="1">qry_ProdData2_PDI_Cash_Exception_Application[[#This Row],[TODAY]]-qry_ProdData2_PDI_Cash_Exception_Application[[#This Row],[CHANGED ON]]</f>
        <v>15.742928240739275</v>
      </c>
    </row>
    <row r="158" spans="1:14" x14ac:dyDescent="0.35">
      <c r="A158">
        <v>1004</v>
      </c>
      <c r="B158" t="s">
        <v>58</v>
      </c>
      <c r="C158" s="1">
        <v>45183.257071759261</v>
      </c>
      <c r="D158" t="str">
        <f ca="1">VLOOKUP(qry_ProdData2_PDI_Cash_Exception_Application[[#This Row],[TYPE]],#REF!,2,FALSE)</f>
        <v>type42</v>
      </c>
      <c r="E158">
        <v>250</v>
      </c>
      <c r="F158" t="str">
        <f>qry_ProdData2_PDI_Cash_Exception_Application[[#This Row],[ANALYST]]</f>
        <v>Analyst1</v>
      </c>
      <c r="G158" s="1">
        <f>qry_ProdData2_PDI_Cash_Exception_Application[[#This Row],[INSERT DATE]]+7</f>
        <v>45190.257071759261</v>
      </c>
      <c r="H158" t="str">
        <f>VLOOKUP(qry_ProdData2_PDI_Cash_Exception_Application[[#This Row],[MARKET No]],'Site Allocation'!$B$2:$C$37,2,FALSE)</f>
        <v>Analyst1</v>
      </c>
      <c r="I158" s="4">
        <f t="shared" ca="1" si="2"/>
        <v>45203</v>
      </c>
      <c r="J158" s="42">
        <f ca="1">TODAY()-qry_ProdData2_PDI_Cash_Exception_Application[[#This Row],[INSERT DATE]]</f>
        <v>19.742928240739275</v>
      </c>
      <c r="K1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8">
        <f ca="1">qry_ProdData2_PDI_Cash_Exception_Application[[#This Row],[TODAY]]-qry_ProdData2_PDI_Cash_Exception_Application[[#This Row],[CHANGED ON]]</f>
        <v>12.742928240739275</v>
      </c>
      <c r="M158">
        <f ca="1">qry_ProdData2_PDI_Cash_Exception_Application[[#This Row],[TODAY]]-qry_ProdData2_PDI_Cash_Exception_Application[[#This Row],[CHANGED ON]]</f>
        <v>12.742928240739275</v>
      </c>
      <c r="N158">
        <f ca="1">qry_ProdData2_PDI_Cash_Exception_Application[[#This Row],[TODAY]]-qry_ProdData2_PDI_Cash_Exception_Application[[#This Row],[CHANGED ON]]</f>
        <v>12.742928240739275</v>
      </c>
    </row>
    <row r="159" spans="1:14" x14ac:dyDescent="0.35">
      <c r="A159">
        <v>1022</v>
      </c>
      <c r="B159" t="s">
        <v>76</v>
      </c>
      <c r="C159" s="1">
        <v>45195.257071759261</v>
      </c>
      <c r="D159" t="str">
        <f ca="1">VLOOKUP(qry_ProdData2_PDI_Cash_Exception_Application[[#This Row],[TYPE]],#REF!,2,FALSE)</f>
        <v>type40</v>
      </c>
      <c r="E159">
        <v>663.5</v>
      </c>
      <c r="F159" t="str">
        <f>qry_ProdData2_PDI_Cash_Exception_Application[[#This Row],[ANALYST]]</f>
        <v>Analyst4</v>
      </c>
      <c r="G159" s="1">
        <f>qry_ProdData2_PDI_Cash_Exception_Application[[#This Row],[INSERT DATE]]+7</f>
        <v>45202.257071759261</v>
      </c>
      <c r="H159" t="str">
        <f>VLOOKUP(qry_ProdData2_PDI_Cash_Exception_Application[[#This Row],[MARKET No]],'Site Allocation'!$B$2:$C$37,2,FALSE)</f>
        <v>Analyst4</v>
      </c>
      <c r="I159" s="4">
        <f t="shared" ca="1" si="2"/>
        <v>45203</v>
      </c>
      <c r="J159" s="42">
        <f ca="1">TODAY()-qry_ProdData2_PDI_Cash_Exception_Application[[#This Row],[INSERT DATE]]</f>
        <v>7.7429282407392748</v>
      </c>
      <c r="K1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59">
        <f ca="1">qry_ProdData2_PDI_Cash_Exception_Application[[#This Row],[TODAY]]-qry_ProdData2_PDI_Cash_Exception_Application[[#This Row],[CHANGED ON]]</f>
        <v>0.74292824073927477</v>
      </c>
      <c r="M159">
        <f ca="1">qry_ProdData2_PDI_Cash_Exception_Application[[#This Row],[TODAY]]-qry_ProdData2_PDI_Cash_Exception_Application[[#This Row],[CHANGED ON]]</f>
        <v>0.74292824073927477</v>
      </c>
      <c r="N159">
        <f ca="1">qry_ProdData2_PDI_Cash_Exception_Application[[#This Row],[TODAY]]-qry_ProdData2_PDI_Cash_Exception_Application[[#This Row],[CHANGED ON]]</f>
        <v>0.74292824073927477</v>
      </c>
    </row>
    <row r="160" spans="1:14" x14ac:dyDescent="0.35">
      <c r="A160">
        <v>1034</v>
      </c>
      <c r="B160" t="s">
        <v>88</v>
      </c>
      <c r="C160" s="1">
        <v>45189.257071759261</v>
      </c>
      <c r="D160" t="str">
        <f ca="1">VLOOKUP(qry_ProdData2_PDI_Cash_Exception_Application[[#This Row],[TYPE]],#REF!,2,FALSE)</f>
        <v>type40</v>
      </c>
      <c r="E160">
        <v>-310.37</v>
      </c>
      <c r="G160" s="1">
        <f>qry_ProdData2_PDI_Cash_Exception_Application[[#This Row],[INSERT DATE]]+7</f>
        <v>45196.257071759261</v>
      </c>
      <c r="H160" t="str">
        <f>VLOOKUP(qry_ProdData2_PDI_Cash_Exception_Application[[#This Row],[MARKET No]],'Site Allocation'!$B$2:$C$37,2,FALSE)</f>
        <v>Analyst6</v>
      </c>
      <c r="I160" s="4">
        <f t="shared" ca="1" si="2"/>
        <v>45203</v>
      </c>
      <c r="J160" s="42">
        <f ca="1">TODAY()-qry_ProdData2_PDI_Cash_Exception_Application[[#This Row],[INSERT DATE]]</f>
        <v>13.742928240739275</v>
      </c>
      <c r="K1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0">
        <f ca="1">qry_ProdData2_PDI_Cash_Exception_Application[[#This Row],[TODAY]]-qry_ProdData2_PDI_Cash_Exception_Application[[#This Row],[CHANGED ON]]</f>
        <v>6.7429282407392748</v>
      </c>
      <c r="M160">
        <f ca="1">qry_ProdData2_PDI_Cash_Exception_Application[[#This Row],[TODAY]]-qry_ProdData2_PDI_Cash_Exception_Application[[#This Row],[CHANGED ON]]</f>
        <v>6.7429282407392748</v>
      </c>
      <c r="N160">
        <f ca="1">qry_ProdData2_PDI_Cash_Exception_Application[[#This Row],[TODAY]]-qry_ProdData2_PDI_Cash_Exception_Application[[#This Row],[CHANGED ON]]</f>
        <v>6.7429282407392748</v>
      </c>
    </row>
    <row r="161" spans="1:14" x14ac:dyDescent="0.35">
      <c r="A161">
        <v>1007</v>
      </c>
      <c r="B161" t="s">
        <v>61</v>
      </c>
      <c r="C161" s="1">
        <v>45185.257071759261</v>
      </c>
      <c r="D161" t="str">
        <f ca="1">VLOOKUP(qry_ProdData2_PDI_Cash_Exception_Application[[#This Row],[TYPE]],#REF!,2,FALSE)</f>
        <v>type40</v>
      </c>
      <c r="E161">
        <v>565.17999999999995</v>
      </c>
      <c r="F161" t="str">
        <f>qry_ProdData2_PDI_Cash_Exception_Application[[#This Row],[ANALYST]]</f>
        <v>Analyst2</v>
      </c>
      <c r="G161" s="1">
        <f>qry_ProdData2_PDI_Cash_Exception_Application[[#This Row],[INSERT DATE]]+2</f>
        <v>45187.257071759261</v>
      </c>
      <c r="H161" t="str">
        <f>VLOOKUP(qry_ProdData2_PDI_Cash_Exception_Application[[#This Row],[MARKET No]],'Site Allocation'!$B$2:$C$37,2,FALSE)</f>
        <v>Analyst2</v>
      </c>
      <c r="I161" s="4">
        <f t="shared" ca="1" si="2"/>
        <v>45203</v>
      </c>
      <c r="J161" s="42">
        <f ca="1">TODAY()-qry_ProdData2_PDI_Cash_Exception_Application[[#This Row],[INSERT DATE]]</f>
        <v>17.742928240739275</v>
      </c>
      <c r="K1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1">
        <f ca="1">qry_ProdData2_PDI_Cash_Exception_Application[[#This Row],[TODAY]]-qry_ProdData2_PDI_Cash_Exception_Application[[#This Row],[CHANGED ON]]</f>
        <v>15.742928240739275</v>
      </c>
      <c r="M161">
        <f ca="1">qry_ProdData2_PDI_Cash_Exception_Application[[#This Row],[TODAY]]-qry_ProdData2_PDI_Cash_Exception_Application[[#This Row],[CHANGED ON]]</f>
        <v>15.742928240739275</v>
      </c>
      <c r="N161">
        <f ca="1">qry_ProdData2_PDI_Cash_Exception_Application[[#This Row],[TODAY]]-qry_ProdData2_PDI_Cash_Exception_Application[[#This Row],[CHANGED ON]]</f>
        <v>15.742928240739275</v>
      </c>
    </row>
    <row r="162" spans="1:14" x14ac:dyDescent="0.35">
      <c r="A162">
        <v>1033</v>
      </c>
      <c r="B162" t="s">
        <v>87</v>
      </c>
      <c r="C162" s="1">
        <v>45179.257071759261</v>
      </c>
      <c r="D162" t="str">
        <f ca="1">VLOOKUP(qry_ProdData2_PDI_Cash_Exception_Application[[#This Row],[TYPE]],#REF!,2,FALSE)</f>
        <v>type40</v>
      </c>
      <c r="E162">
        <v>465.52</v>
      </c>
      <c r="G162" s="1">
        <f>qry_ProdData2_PDI_Cash_Exception_Application[[#This Row],[INSERT DATE]]+1</f>
        <v>45180.257071759261</v>
      </c>
      <c r="H162" t="str">
        <f>VLOOKUP(qry_ProdData2_PDI_Cash_Exception_Application[[#This Row],[MARKET No]],'Site Allocation'!$B$2:$C$37,2,FALSE)</f>
        <v>Analyst6</v>
      </c>
      <c r="I162" s="4">
        <f t="shared" ca="1" si="2"/>
        <v>45203</v>
      </c>
      <c r="J162" s="42">
        <f ca="1">TODAY()-qry_ProdData2_PDI_Cash_Exception_Application[[#This Row],[INSERT DATE]]</f>
        <v>23.742928240739275</v>
      </c>
      <c r="K1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2">
        <f ca="1">qry_ProdData2_PDI_Cash_Exception_Application[[#This Row],[TODAY]]-qry_ProdData2_PDI_Cash_Exception_Application[[#This Row],[CHANGED ON]]</f>
        <v>22.742928240739275</v>
      </c>
      <c r="M162">
        <f ca="1">qry_ProdData2_PDI_Cash_Exception_Application[[#This Row],[TODAY]]-qry_ProdData2_PDI_Cash_Exception_Application[[#This Row],[CHANGED ON]]</f>
        <v>22.742928240739275</v>
      </c>
      <c r="N162">
        <f ca="1">qry_ProdData2_PDI_Cash_Exception_Application[[#This Row],[TODAY]]-qry_ProdData2_PDI_Cash_Exception_Application[[#This Row],[CHANGED ON]]</f>
        <v>22.742928240739275</v>
      </c>
    </row>
    <row r="163" spans="1:14" x14ac:dyDescent="0.35">
      <c r="A163">
        <v>1030</v>
      </c>
      <c r="B163" t="s">
        <v>84</v>
      </c>
      <c r="C163" s="1">
        <v>45193.257071759261</v>
      </c>
      <c r="D163" t="str">
        <f ca="1">VLOOKUP(qry_ProdData2_PDI_Cash_Exception_Application[[#This Row],[TYPE]],#REF!,2,FALSE)</f>
        <v>type40</v>
      </c>
      <c r="E163">
        <v>-656.65</v>
      </c>
      <c r="G163" s="1">
        <f>qry_ProdData2_PDI_Cash_Exception_Application[[#This Row],[INSERT DATE]]+1</f>
        <v>45194.257071759261</v>
      </c>
      <c r="H163" t="str">
        <f>VLOOKUP(qry_ProdData2_PDI_Cash_Exception_Application[[#This Row],[MARKET No]],'Site Allocation'!$B$2:$C$37,2,FALSE)</f>
        <v>Analyst6</v>
      </c>
      <c r="I163" s="4">
        <f t="shared" ca="1" si="2"/>
        <v>45203</v>
      </c>
      <c r="J163" s="42">
        <f ca="1">TODAY()-qry_ProdData2_PDI_Cash_Exception_Application[[#This Row],[INSERT DATE]]</f>
        <v>9.7429282407392748</v>
      </c>
      <c r="K1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3">
        <f ca="1">qry_ProdData2_PDI_Cash_Exception_Application[[#This Row],[TODAY]]-qry_ProdData2_PDI_Cash_Exception_Application[[#This Row],[CHANGED ON]]</f>
        <v>8.7429282407392748</v>
      </c>
      <c r="M163">
        <f ca="1">qry_ProdData2_PDI_Cash_Exception_Application[[#This Row],[TODAY]]-qry_ProdData2_PDI_Cash_Exception_Application[[#This Row],[CHANGED ON]]</f>
        <v>8.7429282407392748</v>
      </c>
      <c r="N163">
        <f ca="1">qry_ProdData2_PDI_Cash_Exception_Application[[#This Row],[TODAY]]-qry_ProdData2_PDI_Cash_Exception_Application[[#This Row],[CHANGED ON]]</f>
        <v>8.7429282407392748</v>
      </c>
    </row>
    <row r="164" spans="1:14" x14ac:dyDescent="0.35">
      <c r="A164">
        <v>1016</v>
      </c>
      <c r="B164" t="s">
        <v>70</v>
      </c>
      <c r="C164" s="1">
        <v>45183.257071759261</v>
      </c>
      <c r="D164" t="str">
        <f ca="1">VLOOKUP(qry_ProdData2_PDI_Cash_Exception_Application[[#This Row],[TYPE]],#REF!,2,FALSE)</f>
        <v>type40</v>
      </c>
      <c r="E164">
        <v>-1302.3</v>
      </c>
      <c r="G164" s="1">
        <f>qry_ProdData2_PDI_Cash_Exception_Application[[#This Row],[INSERT DATE]]+7</f>
        <v>45190.257071759261</v>
      </c>
      <c r="H164" t="str">
        <f>VLOOKUP(qry_ProdData2_PDI_Cash_Exception_Application[[#This Row],[MARKET No]],'Site Allocation'!$B$2:$C$37,2,FALSE)</f>
        <v>Analyst3</v>
      </c>
      <c r="I164" s="4">
        <f t="shared" ca="1" si="2"/>
        <v>45203</v>
      </c>
      <c r="J164" s="42">
        <f ca="1">TODAY()-qry_ProdData2_PDI_Cash_Exception_Application[[#This Row],[INSERT DATE]]</f>
        <v>19.742928240739275</v>
      </c>
      <c r="K1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4">
        <f ca="1">qry_ProdData2_PDI_Cash_Exception_Application[[#This Row],[TODAY]]-qry_ProdData2_PDI_Cash_Exception_Application[[#This Row],[CHANGED ON]]</f>
        <v>12.742928240739275</v>
      </c>
      <c r="M164">
        <f ca="1">qry_ProdData2_PDI_Cash_Exception_Application[[#This Row],[TODAY]]-qry_ProdData2_PDI_Cash_Exception_Application[[#This Row],[CHANGED ON]]</f>
        <v>12.742928240739275</v>
      </c>
      <c r="N164">
        <f ca="1">qry_ProdData2_PDI_Cash_Exception_Application[[#This Row],[TODAY]]-qry_ProdData2_PDI_Cash_Exception_Application[[#This Row],[CHANGED ON]]</f>
        <v>12.742928240739275</v>
      </c>
    </row>
    <row r="165" spans="1:14" x14ac:dyDescent="0.35">
      <c r="A165">
        <v>1008</v>
      </c>
      <c r="B165" t="s">
        <v>62</v>
      </c>
      <c r="C165" s="1">
        <v>45187.257071759261</v>
      </c>
      <c r="D165" t="str">
        <f ca="1">VLOOKUP(qry_ProdData2_PDI_Cash_Exception_Application[[#This Row],[TYPE]],#REF!,2,FALSE)</f>
        <v>type26</v>
      </c>
      <c r="E165">
        <v>130.77000000000001</v>
      </c>
      <c r="F165" t="str">
        <f>qry_ProdData2_PDI_Cash_Exception_Application[[#This Row],[ANALYST]]</f>
        <v>Analyst2</v>
      </c>
      <c r="G165" s="1">
        <f>qry_ProdData2_PDI_Cash_Exception_Application[[#This Row],[INSERT DATE]]+2</f>
        <v>45189.257071759261</v>
      </c>
      <c r="H165" t="str">
        <f>VLOOKUP(qry_ProdData2_PDI_Cash_Exception_Application[[#This Row],[MARKET No]],'Site Allocation'!$B$2:$C$37,2,FALSE)</f>
        <v>Analyst2</v>
      </c>
      <c r="I165" s="4">
        <f t="shared" ca="1" si="2"/>
        <v>45203</v>
      </c>
      <c r="J165" s="42">
        <f ca="1">TODAY()-qry_ProdData2_PDI_Cash_Exception_Application[[#This Row],[INSERT DATE]]</f>
        <v>15.742928240739275</v>
      </c>
      <c r="K1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5">
        <f ca="1">qry_ProdData2_PDI_Cash_Exception_Application[[#This Row],[TODAY]]-qry_ProdData2_PDI_Cash_Exception_Application[[#This Row],[CHANGED ON]]</f>
        <v>13.742928240739275</v>
      </c>
      <c r="M165">
        <f ca="1">qry_ProdData2_PDI_Cash_Exception_Application[[#This Row],[TODAY]]-qry_ProdData2_PDI_Cash_Exception_Application[[#This Row],[CHANGED ON]]</f>
        <v>13.742928240739275</v>
      </c>
      <c r="N165">
        <f ca="1">qry_ProdData2_PDI_Cash_Exception_Application[[#This Row],[TODAY]]-qry_ProdData2_PDI_Cash_Exception_Application[[#This Row],[CHANGED ON]]</f>
        <v>13.742928240739275</v>
      </c>
    </row>
    <row r="166" spans="1:14" x14ac:dyDescent="0.35">
      <c r="A166">
        <v>1007</v>
      </c>
      <c r="B166" t="s">
        <v>61</v>
      </c>
      <c r="C166" s="1">
        <v>45182.257071759261</v>
      </c>
      <c r="D166" t="str">
        <f ca="1">VLOOKUP(qry_ProdData2_PDI_Cash_Exception_Application[[#This Row],[TYPE]],#REF!,2,FALSE)</f>
        <v>type27</v>
      </c>
      <c r="E166">
        <v>797.74</v>
      </c>
      <c r="F166" t="s">
        <v>47</v>
      </c>
      <c r="G166" s="1">
        <f>qry_ProdData2_PDI_Cash_Exception_Application[[#This Row],[INSERT DATE]]+7</f>
        <v>45189.257071759261</v>
      </c>
      <c r="H166" t="str">
        <f>VLOOKUP(qry_ProdData2_PDI_Cash_Exception_Application[[#This Row],[MARKET No]],'Site Allocation'!$B$2:$C$37,2,FALSE)</f>
        <v>Analyst2</v>
      </c>
      <c r="I166" s="4">
        <f t="shared" ca="1" si="2"/>
        <v>45203</v>
      </c>
      <c r="J166" s="42">
        <f ca="1">TODAY()-qry_ProdData2_PDI_Cash_Exception_Application[[#This Row],[INSERT DATE]]</f>
        <v>20.742928240739275</v>
      </c>
      <c r="K1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6">
        <f ca="1">qry_ProdData2_PDI_Cash_Exception_Application[[#This Row],[TODAY]]-qry_ProdData2_PDI_Cash_Exception_Application[[#This Row],[CHANGED ON]]</f>
        <v>13.742928240739275</v>
      </c>
      <c r="M166">
        <f ca="1">qry_ProdData2_PDI_Cash_Exception_Application[[#This Row],[TODAY]]-qry_ProdData2_PDI_Cash_Exception_Application[[#This Row],[CHANGED ON]]</f>
        <v>13.742928240739275</v>
      </c>
      <c r="N166">
        <f ca="1">qry_ProdData2_PDI_Cash_Exception_Application[[#This Row],[TODAY]]-qry_ProdData2_PDI_Cash_Exception_Application[[#This Row],[CHANGED ON]]</f>
        <v>13.742928240739275</v>
      </c>
    </row>
    <row r="167" spans="1:14" x14ac:dyDescent="0.35">
      <c r="A167">
        <v>1029</v>
      </c>
      <c r="B167" t="s">
        <v>83</v>
      </c>
      <c r="C167" s="1">
        <v>45189.257071759261</v>
      </c>
      <c r="D167" t="str">
        <f ca="1">VLOOKUP(qry_ProdData2_PDI_Cash_Exception_Application[[#This Row],[TYPE]],#REF!,2,FALSE)</f>
        <v>type40</v>
      </c>
      <c r="E167">
        <v>30.47</v>
      </c>
      <c r="F167" t="str">
        <f>qry_ProdData2_PDI_Cash_Exception_Application[[#This Row],[ANALYST]]</f>
        <v>Analyst5</v>
      </c>
      <c r="G167" s="1">
        <f>qry_ProdData2_PDI_Cash_Exception_Application[[#This Row],[INSERT DATE]]+2</f>
        <v>45191.257071759261</v>
      </c>
      <c r="H167" t="str">
        <f>VLOOKUP(qry_ProdData2_PDI_Cash_Exception_Application[[#This Row],[MARKET No]],'Site Allocation'!$B$2:$C$37,2,FALSE)</f>
        <v>Analyst5</v>
      </c>
      <c r="I167" s="4">
        <f t="shared" ca="1" si="2"/>
        <v>45203</v>
      </c>
      <c r="J167" s="42">
        <f ca="1">TODAY()-qry_ProdData2_PDI_Cash_Exception_Application[[#This Row],[INSERT DATE]]</f>
        <v>13.742928240739275</v>
      </c>
      <c r="K1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7">
        <f ca="1">qry_ProdData2_PDI_Cash_Exception_Application[[#This Row],[TODAY]]-qry_ProdData2_PDI_Cash_Exception_Application[[#This Row],[CHANGED ON]]</f>
        <v>11.742928240739275</v>
      </c>
      <c r="M167">
        <f ca="1">qry_ProdData2_PDI_Cash_Exception_Application[[#This Row],[TODAY]]-qry_ProdData2_PDI_Cash_Exception_Application[[#This Row],[CHANGED ON]]</f>
        <v>11.742928240739275</v>
      </c>
      <c r="N167">
        <f ca="1">qry_ProdData2_PDI_Cash_Exception_Application[[#This Row],[TODAY]]-qry_ProdData2_PDI_Cash_Exception_Application[[#This Row],[CHANGED ON]]</f>
        <v>11.742928240739275</v>
      </c>
    </row>
    <row r="168" spans="1:14" x14ac:dyDescent="0.35">
      <c r="A168">
        <v>1022</v>
      </c>
      <c r="B168" t="s">
        <v>76</v>
      </c>
      <c r="C168" s="1">
        <v>45190.257071759261</v>
      </c>
      <c r="D168" t="str">
        <f ca="1">VLOOKUP(qry_ProdData2_PDI_Cash_Exception_Application[[#This Row],[TYPE]],#REF!,2,FALSE)</f>
        <v>type18</v>
      </c>
      <c r="E168">
        <v>494.34</v>
      </c>
      <c r="F168" t="str">
        <f>qry_ProdData2_PDI_Cash_Exception_Application[[#This Row],[ANALYST]]</f>
        <v>Analyst4</v>
      </c>
      <c r="G168" s="1">
        <f>qry_ProdData2_PDI_Cash_Exception_Application[[#This Row],[INSERT DATE]]+1</f>
        <v>45191.257071759261</v>
      </c>
      <c r="H168" t="str">
        <f>VLOOKUP(qry_ProdData2_PDI_Cash_Exception_Application[[#This Row],[MARKET No]],'Site Allocation'!$B$2:$C$37,2,FALSE)</f>
        <v>Analyst4</v>
      </c>
      <c r="I168" s="4">
        <f t="shared" ca="1" si="2"/>
        <v>45203</v>
      </c>
      <c r="J168" s="42">
        <f ca="1">TODAY()-qry_ProdData2_PDI_Cash_Exception_Application[[#This Row],[INSERT DATE]]</f>
        <v>12.742928240739275</v>
      </c>
      <c r="K1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8">
        <f ca="1">qry_ProdData2_PDI_Cash_Exception_Application[[#This Row],[TODAY]]-qry_ProdData2_PDI_Cash_Exception_Application[[#This Row],[CHANGED ON]]</f>
        <v>11.742928240739275</v>
      </c>
      <c r="M168">
        <f ca="1">qry_ProdData2_PDI_Cash_Exception_Application[[#This Row],[TODAY]]-qry_ProdData2_PDI_Cash_Exception_Application[[#This Row],[CHANGED ON]]</f>
        <v>11.742928240739275</v>
      </c>
      <c r="N168">
        <f ca="1">qry_ProdData2_PDI_Cash_Exception_Application[[#This Row],[TODAY]]-qry_ProdData2_PDI_Cash_Exception_Application[[#This Row],[CHANGED ON]]</f>
        <v>11.742928240739275</v>
      </c>
    </row>
    <row r="169" spans="1:14" x14ac:dyDescent="0.35">
      <c r="A169">
        <v>1030</v>
      </c>
      <c r="B169" t="s">
        <v>84</v>
      </c>
      <c r="C169" s="1">
        <v>45184.257071759261</v>
      </c>
      <c r="D169" t="str">
        <f ca="1">VLOOKUP(qry_ProdData2_PDI_Cash_Exception_Application[[#This Row],[TYPE]],#REF!,2,FALSE)</f>
        <v>type40</v>
      </c>
      <c r="E169">
        <v>131.9</v>
      </c>
      <c r="G169" s="1">
        <f>qry_ProdData2_PDI_Cash_Exception_Application[[#This Row],[INSERT DATE]]+1</f>
        <v>45185.257071759261</v>
      </c>
      <c r="H169" t="str">
        <f>VLOOKUP(qry_ProdData2_PDI_Cash_Exception_Application[[#This Row],[MARKET No]],'Site Allocation'!$B$2:$C$37,2,FALSE)</f>
        <v>Analyst6</v>
      </c>
      <c r="I169" s="4">
        <f t="shared" ca="1" si="2"/>
        <v>45203</v>
      </c>
      <c r="J169" s="42">
        <f ca="1">TODAY()-qry_ProdData2_PDI_Cash_Exception_Application[[#This Row],[INSERT DATE]]</f>
        <v>18.742928240739275</v>
      </c>
      <c r="K1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9">
        <f ca="1">qry_ProdData2_PDI_Cash_Exception_Application[[#This Row],[TODAY]]-qry_ProdData2_PDI_Cash_Exception_Application[[#This Row],[CHANGED ON]]</f>
        <v>17.742928240739275</v>
      </c>
      <c r="M169">
        <f ca="1">qry_ProdData2_PDI_Cash_Exception_Application[[#This Row],[TODAY]]-qry_ProdData2_PDI_Cash_Exception_Application[[#This Row],[CHANGED ON]]</f>
        <v>17.742928240739275</v>
      </c>
      <c r="N169">
        <f ca="1">qry_ProdData2_PDI_Cash_Exception_Application[[#This Row],[TODAY]]-qry_ProdData2_PDI_Cash_Exception_Application[[#This Row],[CHANGED ON]]</f>
        <v>17.742928240739275</v>
      </c>
    </row>
    <row r="170" spans="1:14" x14ac:dyDescent="0.35">
      <c r="A170">
        <v>1020</v>
      </c>
      <c r="B170" t="s">
        <v>74</v>
      </c>
      <c r="C170" s="1">
        <v>45184.257071759261</v>
      </c>
      <c r="D170" t="str">
        <f ca="1">VLOOKUP(qry_ProdData2_PDI_Cash_Exception_Application[[#This Row],[TYPE]],#REF!,2,FALSE)</f>
        <v>type17</v>
      </c>
      <c r="E170">
        <v>607.59</v>
      </c>
      <c r="F170" t="str">
        <f>qry_ProdData2_PDI_Cash_Exception_Application[[#This Row],[ANALYST]]</f>
        <v>Analyst4</v>
      </c>
      <c r="G170" s="1">
        <f>qry_ProdData2_PDI_Cash_Exception_Application[[#This Row],[INSERT DATE]]+1</f>
        <v>45185.257071759261</v>
      </c>
      <c r="H170" t="str">
        <f>VLOOKUP(qry_ProdData2_PDI_Cash_Exception_Application[[#This Row],[MARKET No]],'Site Allocation'!$B$2:$C$37,2,FALSE)</f>
        <v>Analyst4</v>
      </c>
      <c r="I170" s="4">
        <f t="shared" ca="1" si="2"/>
        <v>45203</v>
      </c>
      <c r="J170" s="42">
        <f ca="1">TODAY()-qry_ProdData2_PDI_Cash_Exception_Application[[#This Row],[INSERT DATE]]</f>
        <v>18.742928240739275</v>
      </c>
      <c r="K1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0">
        <f ca="1">qry_ProdData2_PDI_Cash_Exception_Application[[#This Row],[TODAY]]-qry_ProdData2_PDI_Cash_Exception_Application[[#This Row],[CHANGED ON]]</f>
        <v>17.742928240739275</v>
      </c>
      <c r="M170">
        <f ca="1">qry_ProdData2_PDI_Cash_Exception_Application[[#This Row],[TODAY]]-qry_ProdData2_PDI_Cash_Exception_Application[[#This Row],[CHANGED ON]]</f>
        <v>17.742928240739275</v>
      </c>
      <c r="N170">
        <f ca="1">qry_ProdData2_PDI_Cash_Exception_Application[[#This Row],[TODAY]]-qry_ProdData2_PDI_Cash_Exception_Application[[#This Row],[CHANGED ON]]</f>
        <v>17.742928240739275</v>
      </c>
    </row>
    <row r="171" spans="1:14" x14ac:dyDescent="0.35">
      <c r="A171">
        <v>1012</v>
      </c>
      <c r="B171" t="s">
        <v>66</v>
      </c>
      <c r="C171" s="1">
        <v>45184.257071759261</v>
      </c>
      <c r="D171" t="str">
        <f ca="1">VLOOKUP(qry_ProdData2_PDI_Cash_Exception_Application[[#This Row],[TYPE]],#REF!,2,FALSE)</f>
        <v>type40</v>
      </c>
      <c r="E171">
        <v>3521.26</v>
      </c>
      <c r="F171" t="s">
        <v>47</v>
      </c>
      <c r="G171" s="1">
        <f>qry_ProdData2_PDI_Cash_Exception_Application[[#This Row],[INSERT DATE]]+7</f>
        <v>45191.257071759261</v>
      </c>
      <c r="H171" t="str">
        <f>VLOOKUP(qry_ProdData2_PDI_Cash_Exception_Application[[#This Row],[MARKET No]],'Site Allocation'!$B$2:$C$37,2,FALSE)</f>
        <v>Analyst3</v>
      </c>
      <c r="I171" s="4">
        <f t="shared" ca="1" si="2"/>
        <v>45203</v>
      </c>
      <c r="J171" s="42">
        <f ca="1">TODAY()-qry_ProdData2_PDI_Cash_Exception_Application[[#This Row],[INSERT DATE]]</f>
        <v>18.742928240739275</v>
      </c>
      <c r="K1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1">
        <f ca="1">qry_ProdData2_PDI_Cash_Exception_Application[[#This Row],[TODAY]]-qry_ProdData2_PDI_Cash_Exception_Application[[#This Row],[CHANGED ON]]</f>
        <v>11.742928240739275</v>
      </c>
      <c r="M171">
        <f ca="1">qry_ProdData2_PDI_Cash_Exception_Application[[#This Row],[TODAY]]-qry_ProdData2_PDI_Cash_Exception_Application[[#This Row],[CHANGED ON]]</f>
        <v>11.742928240739275</v>
      </c>
      <c r="N171">
        <f ca="1">qry_ProdData2_PDI_Cash_Exception_Application[[#This Row],[TODAY]]-qry_ProdData2_PDI_Cash_Exception_Application[[#This Row],[CHANGED ON]]</f>
        <v>11.742928240739275</v>
      </c>
    </row>
    <row r="172" spans="1:14" x14ac:dyDescent="0.35">
      <c r="A172">
        <v>1010</v>
      </c>
      <c r="B172" t="s">
        <v>64</v>
      </c>
      <c r="C172" s="1">
        <v>45187.257071759261</v>
      </c>
      <c r="D172" t="str">
        <f ca="1">VLOOKUP(qry_ProdData2_PDI_Cash_Exception_Application[[#This Row],[TYPE]],#REF!,2,FALSE)</f>
        <v>type40</v>
      </c>
      <c r="E172">
        <v>-19611.79</v>
      </c>
      <c r="F172" t="str">
        <f>qry_ProdData2_PDI_Cash_Exception_Application[[#This Row],[ANALYST]]</f>
        <v>Analyst2</v>
      </c>
      <c r="G172" s="1">
        <f>qry_ProdData2_PDI_Cash_Exception_Application[[#This Row],[INSERT DATE]]+2</f>
        <v>45189.257071759261</v>
      </c>
      <c r="H172" t="str">
        <f>VLOOKUP(qry_ProdData2_PDI_Cash_Exception_Application[[#This Row],[MARKET No]],'Site Allocation'!$B$2:$C$37,2,FALSE)</f>
        <v>Analyst2</v>
      </c>
      <c r="I172" s="4">
        <f t="shared" ca="1" si="2"/>
        <v>45203</v>
      </c>
      <c r="J172" s="42">
        <f ca="1">TODAY()-qry_ProdData2_PDI_Cash_Exception_Application[[#This Row],[INSERT DATE]]</f>
        <v>15.742928240739275</v>
      </c>
      <c r="K1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2">
        <f ca="1">qry_ProdData2_PDI_Cash_Exception_Application[[#This Row],[TODAY]]-qry_ProdData2_PDI_Cash_Exception_Application[[#This Row],[CHANGED ON]]</f>
        <v>13.742928240739275</v>
      </c>
      <c r="M172">
        <f ca="1">qry_ProdData2_PDI_Cash_Exception_Application[[#This Row],[TODAY]]-qry_ProdData2_PDI_Cash_Exception_Application[[#This Row],[CHANGED ON]]</f>
        <v>13.742928240739275</v>
      </c>
      <c r="N172">
        <f ca="1">qry_ProdData2_PDI_Cash_Exception_Application[[#This Row],[TODAY]]-qry_ProdData2_PDI_Cash_Exception_Application[[#This Row],[CHANGED ON]]</f>
        <v>13.742928240739275</v>
      </c>
    </row>
    <row r="173" spans="1:14" x14ac:dyDescent="0.35">
      <c r="A173">
        <v>1012</v>
      </c>
      <c r="B173" t="s">
        <v>66</v>
      </c>
      <c r="C173" s="1">
        <v>45190.257071759261</v>
      </c>
      <c r="D173" t="str">
        <f ca="1">VLOOKUP(qry_ProdData2_PDI_Cash_Exception_Application[[#This Row],[TYPE]],#REF!,2,FALSE)</f>
        <v>type40</v>
      </c>
      <c r="E173">
        <v>1441.28</v>
      </c>
      <c r="G173" s="1">
        <f>qry_ProdData2_PDI_Cash_Exception_Application[[#This Row],[INSERT DATE]]+7</f>
        <v>45197.257071759261</v>
      </c>
      <c r="H173" t="str">
        <f>VLOOKUP(qry_ProdData2_PDI_Cash_Exception_Application[[#This Row],[MARKET No]],'Site Allocation'!$B$2:$C$37,2,FALSE)</f>
        <v>Analyst3</v>
      </c>
      <c r="I173" s="4">
        <f t="shared" ca="1" si="2"/>
        <v>45203</v>
      </c>
      <c r="J173" s="42">
        <f ca="1">TODAY()-qry_ProdData2_PDI_Cash_Exception_Application[[#This Row],[INSERT DATE]]</f>
        <v>12.742928240739275</v>
      </c>
      <c r="K1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3">
        <f ca="1">qry_ProdData2_PDI_Cash_Exception_Application[[#This Row],[TODAY]]-qry_ProdData2_PDI_Cash_Exception_Application[[#This Row],[CHANGED ON]]</f>
        <v>5.7429282407392748</v>
      </c>
      <c r="M173">
        <f ca="1">qry_ProdData2_PDI_Cash_Exception_Application[[#This Row],[TODAY]]-qry_ProdData2_PDI_Cash_Exception_Application[[#This Row],[CHANGED ON]]</f>
        <v>5.7429282407392748</v>
      </c>
      <c r="N173">
        <f ca="1">qry_ProdData2_PDI_Cash_Exception_Application[[#This Row],[TODAY]]-qry_ProdData2_PDI_Cash_Exception_Application[[#This Row],[CHANGED ON]]</f>
        <v>5.7429282407392748</v>
      </c>
    </row>
    <row r="174" spans="1:14" x14ac:dyDescent="0.35">
      <c r="A174">
        <v>1000</v>
      </c>
      <c r="B174" t="s">
        <v>54</v>
      </c>
      <c r="C174" s="1">
        <v>45188.257071759261</v>
      </c>
      <c r="D174" t="str">
        <f ca="1">VLOOKUP(qry_ProdData2_PDI_Cash_Exception_Application[[#This Row],[TYPE]],#REF!,2,FALSE)</f>
        <v>type13</v>
      </c>
      <c r="E174">
        <v>26541.97</v>
      </c>
      <c r="F174" t="str">
        <f>qry_ProdData2_PDI_Cash_Exception_Application[[#This Row],[ANALYST]]</f>
        <v>Analyst1</v>
      </c>
      <c r="G174" s="1">
        <f>qry_ProdData2_PDI_Cash_Exception_Application[[#This Row],[INSERT DATE]]+1</f>
        <v>45189.257071759261</v>
      </c>
      <c r="H174" t="str">
        <f>VLOOKUP(qry_ProdData2_PDI_Cash_Exception_Application[[#This Row],[MARKET No]],'Site Allocation'!$B$2:$C$37,2,FALSE)</f>
        <v>Analyst1</v>
      </c>
      <c r="I174" s="4">
        <f t="shared" ca="1" si="2"/>
        <v>45203</v>
      </c>
      <c r="J174" s="42">
        <f ca="1">TODAY()-qry_ProdData2_PDI_Cash_Exception_Application[[#This Row],[INSERT DATE]]</f>
        <v>14.742928240739275</v>
      </c>
      <c r="K1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4">
        <f ca="1">qry_ProdData2_PDI_Cash_Exception_Application[[#This Row],[TODAY]]-qry_ProdData2_PDI_Cash_Exception_Application[[#This Row],[CHANGED ON]]</f>
        <v>13.742928240739275</v>
      </c>
      <c r="M174">
        <f ca="1">qry_ProdData2_PDI_Cash_Exception_Application[[#This Row],[TODAY]]-qry_ProdData2_PDI_Cash_Exception_Application[[#This Row],[CHANGED ON]]</f>
        <v>13.742928240739275</v>
      </c>
      <c r="N174">
        <f ca="1">qry_ProdData2_PDI_Cash_Exception_Application[[#This Row],[TODAY]]-qry_ProdData2_PDI_Cash_Exception_Application[[#This Row],[CHANGED ON]]</f>
        <v>13.742928240739275</v>
      </c>
    </row>
    <row r="175" spans="1:14" x14ac:dyDescent="0.35">
      <c r="A175">
        <v>1024</v>
      </c>
      <c r="B175" t="s">
        <v>78</v>
      </c>
      <c r="C175" s="1">
        <v>45189.257071759261</v>
      </c>
      <c r="D175" t="str">
        <f ca="1">VLOOKUP(qry_ProdData2_PDI_Cash_Exception_Application[[#This Row],[TYPE]],#REF!,2,FALSE)</f>
        <v>type15</v>
      </c>
      <c r="E175">
        <v>1731.48</v>
      </c>
      <c r="F175" t="str">
        <f>qry_ProdData2_PDI_Cash_Exception_Application[[#This Row],[ANALYST]]</f>
        <v>Analyst5</v>
      </c>
      <c r="G175" s="1">
        <f>qry_ProdData2_PDI_Cash_Exception_Application[[#This Row],[INSERT DATE]]+2</f>
        <v>45191.257071759261</v>
      </c>
      <c r="H175" t="str">
        <f>VLOOKUP(qry_ProdData2_PDI_Cash_Exception_Application[[#This Row],[MARKET No]],'Site Allocation'!$B$2:$C$37,2,FALSE)</f>
        <v>Analyst5</v>
      </c>
      <c r="I175" s="4">
        <f t="shared" ca="1" si="2"/>
        <v>45203</v>
      </c>
      <c r="J175" s="42">
        <f ca="1">TODAY()-qry_ProdData2_PDI_Cash_Exception_Application[[#This Row],[INSERT DATE]]</f>
        <v>13.742928240739275</v>
      </c>
      <c r="K1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5">
        <f ca="1">qry_ProdData2_PDI_Cash_Exception_Application[[#This Row],[TODAY]]-qry_ProdData2_PDI_Cash_Exception_Application[[#This Row],[CHANGED ON]]</f>
        <v>11.742928240739275</v>
      </c>
      <c r="M175">
        <f ca="1">qry_ProdData2_PDI_Cash_Exception_Application[[#This Row],[TODAY]]-qry_ProdData2_PDI_Cash_Exception_Application[[#This Row],[CHANGED ON]]</f>
        <v>11.742928240739275</v>
      </c>
      <c r="N175">
        <f ca="1">qry_ProdData2_PDI_Cash_Exception_Application[[#This Row],[TODAY]]-qry_ProdData2_PDI_Cash_Exception_Application[[#This Row],[CHANGED ON]]</f>
        <v>11.742928240739275</v>
      </c>
    </row>
    <row r="176" spans="1:14" x14ac:dyDescent="0.35">
      <c r="A176">
        <v>1030</v>
      </c>
      <c r="B176" t="s">
        <v>84</v>
      </c>
      <c r="C176" s="1">
        <v>45188.257071759261</v>
      </c>
      <c r="D176" t="str">
        <f ca="1">VLOOKUP(qry_ProdData2_PDI_Cash_Exception_Application[[#This Row],[TYPE]],#REF!,2,FALSE)</f>
        <v>type40</v>
      </c>
      <c r="E176">
        <v>-530.82000000000005</v>
      </c>
      <c r="G176" s="1">
        <f>qry_ProdData2_PDI_Cash_Exception_Application[[#This Row],[INSERT DATE]]+1</f>
        <v>45189.257071759261</v>
      </c>
      <c r="H176" t="str">
        <f>VLOOKUP(qry_ProdData2_PDI_Cash_Exception_Application[[#This Row],[MARKET No]],'Site Allocation'!$B$2:$C$37,2,FALSE)</f>
        <v>Analyst6</v>
      </c>
      <c r="I176" s="4">
        <f t="shared" ca="1" si="2"/>
        <v>45203</v>
      </c>
      <c r="J176" s="42">
        <f ca="1">TODAY()-qry_ProdData2_PDI_Cash_Exception_Application[[#This Row],[INSERT DATE]]</f>
        <v>14.742928240739275</v>
      </c>
      <c r="K1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6">
        <f ca="1">qry_ProdData2_PDI_Cash_Exception_Application[[#This Row],[TODAY]]-qry_ProdData2_PDI_Cash_Exception_Application[[#This Row],[CHANGED ON]]</f>
        <v>13.742928240739275</v>
      </c>
      <c r="M176">
        <f ca="1">qry_ProdData2_PDI_Cash_Exception_Application[[#This Row],[TODAY]]-qry_ProdData2_PDI_Cash_Exception_Application[[#This Row],[CHANGED ON]]</f>
        <v>13.742928240739275</v>
      </c>
      <c r="N176">
        <f ca="1">qry_ProdData2_PDI_Cash_Exception_Application[[#This Row],[TODAY]]-qry_ProdData2_PDI_Cash_Exception_Application[[#This Row],[CHANGED ON]]</f>
        <v>13.742928240739275</v>
      </c>
    </row>
    <row r="177" spans="1:14" x14ac:dyDescent="0.35">
      <c r="A177">
        <v>1029</v>
      </c>
      <c r="B177" t="s">
        <v>83</v>
      </c>
      <c r="C177" s="1">
        <v>45190.257071759261</v>
      </c>
      <c r="D177" t="str">
        <f ca="1">VLOOKUP(qry_ProdData2_PDI_Cash_Exception_Application[[#This Row],[TYPE]],#REF!,2,FALSE)</f>
        <v>type40</v>
      </c>
      <c r="E177">
        <v>2391.9299999999998</v>
      </c>
      <c r="F177" t="str">
        <f>qry_ProdData2_PDI_Cash_Exception_Application[[#This Row],[ANALYST]]</f>
        <v>Analyst5</v>
      </c>
      <c r="G177" s="1">
        <f>qry_ProdData2_PDI_Cash_Exception_Application[[#This Row],[INSERT DATE]]+2</f>
        <v>45192.257071759261</v>
      </c>
      <c r="H177" t="str">
        <f>VLOOKUP(qry_ProdData2_PDI_Cash_Exception_Application[[#This Row],[MARKET No]],'Site Allocation'!$B$2:$C$37,2,FALSE)</f>
        <v>Analyst5</v>
      </c>
      <c r="I177" s="4">
        <f t="shared" ca="1" si="2"/>
        <v>45203</v>
      </c>
      <c r="J177" s="42">
        <f ca="1">TODAY()-qry_ProdData2_PDI_Cash_Exception_Application[[#This Row],[INSERT DATE]]</f>
        <v>12.742928240739275</v>
      </c>
      <c r="K1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7">
        <f ca="1">qry_ProdData2_PDI_Cash_Exception_Application[[#This Row],[TODAY]]-qry_ProdData2_PDI_Cash_Exception_Application[[#This Row],[CHANGED ON]]</f>
        <v>10.742928240739275</v>
      </c>
      <c r="M177">
        <f ca="1">qry_ProdData2_PDI_Cash_Exception_Application[[#This Row],[TODAY]]-qry_ProdData2_PDI_Cash_Exception_Application[[#This Row],[CHANGED ON]]</f>
        <v>10.742928240739275</v>
      </c>
      <c r="N177">
        <f ca="1">qry_ProdData2_PDI_Cash_Exception_Application[[#This Row],[TODAY]]-qry_ProdData2_PDI_Cash_Exception_Application[[#This Row],[CHANGED ON]]</f>
        <v>10.742928240739275</v>
      </c>
    </row>
    <row r="178" spans="1:14" x14ac:dyDescent="0.35">
      <c r="A178">
        <v>1030</v>
      </c>
      <c r="B178" t="s">
        <v>84</v>
      </c>
      <c r="C178" s="1">
        <v>45192.257071759261</v>
      </c>
      <c r="D178" t="str">
        <f ca="1">VLOOKUP(qry_ProdData2_PDI_Cash_Exception_Application[[#This Row],[TYPE]],#REF!,2,FALSE)</f>
        <v>type40</v>
      </c>
      <c r="E178">
        <v>67.19</v>
      </c>
      <c r="F178" t="s">
        <v>47</v>
      </c>
      <c r="G178" s="1">
        <f>qry_ProdData2_PDI_Cash_Exception_Application[[#This Row],[INSERT DATE]]+1</f>
        <v>45193.257071759261</v>
      </c>
      <c r="H178" t="str">
        <f>VLOOKUP(qry_ProdData2_PDI_Cash_Exception_Application[[#This Row],[MARKET No]],'Site Allocation'!$B$2:$C$37,2,FALSE)</f>
        <v>Analyst6</v>
      </c>
      <c r="I178" s="4">
        <f t="shared" ca="1" si="2"/>
        <v>45203</v>
      </c>
      <c r="J178" s="42">
        <f ca="1">TODAY()-qry_ProdData2_PDI_Cash_Exception_Application[[#This Row],[INSERT DATE]]</f>
        <v>10.742928240739275</v>
      </c>
      <c r="K1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8">
        <f ca="1">qry_ProdData2_PDI_Cash_Exception_Application[[#This Row],[TODAY]]-qry_ProdData2_PDI_Cash_Exception_Application[[#This Row],[CHANGED ON]]</f>
        <v>9.7429282407392748</v>
      </c>
      <c r="M178">
        <f ca="1">qry_ProdData2_PDI_Cash_Exception_Application[[#This Row],[TODAY]]-qry_ProdData2_PDI_Cash_Exception_Application[[#This Row],[CHANGED ON]]</f>
        <v>9.7429282407392748</v>
      </c>
      <c r="N178">
        <f ca="1">qry_ProdData2_PDI_Cash_Exception_Application[[#This Row],[TODAY]]-qry_ProdData2_PDI_Cash_Exception_Application[[#This Row],[CHANGED ON]]</f>
        <v>9.7429282407392748</v>
      </c>
    </row>
    <row r="179" spans="1:14" x14ac:dyDescent="0.35">
      <c r="A179">
        <v>1018</v>
      </c>
      <c r="B179" t="s">
        <v>72</v>
      </c>
      <c r="C179" s="1">
        <v>45196.257071759261</v>
      </c>
      <c r="D179" t="str">
        <f ca="1">VLOOKUP(qry_ProdData2_PDI_Cash_Exception_Application[[#This Row],[TYPE]],#REF!,2,FALSE)</f>
        <v>type40</v>
      </c>
      <c r="E179">
        <v>468.76</v>
      </c>
      <c r="F179" t="str">
        <f>qry_ProdData2_PDI_Cash_Exception_Application[[#This Row],[ANALYST]]</f>
        <v>Analyst4</v>
      </c>
      <c r="G179" s="1">
        <f>qry_ProdData2_PDI_Cash_Exception_Application[[#This Row],[INSERT DATE]]+2</f>
        <v>45198.257071759261</v>
      </c>
      <c r="H179" t="str">
        <f>VLOOKUP(qry_ProdData2_PDI_Cash_Exception_Application[[#This Row],[MARKET No]],'Site Allocation'!$B$2:$C$37,2,FALSE)</f>
        <v>Analyst4</v>
      </c>
      <c r="I179" s="4">
        <f t="shared" ca="1" si="2"/>
        <v>45203</v>
      </c>
      <c r="J179" s="42">
        <f ca="1">TODAY()-qry_ProdData2_PDI_Cash_Exception_Application[[#This Row],[INSERT DATE]]</f>
        <v>6.7429282407392748</v>
      </c>
      <c r="K1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79">
        <f ca="1">qry_ProdData2_PDI_Cash_Exception_Application[[#This Row],[TODAY]]-qry_ProdData2_PDI_Cash_Exception_Application[[#This Row],[CHANGED ON]]</f>
        <v>4.7429282407392748</v>
      </c>
      <c r="M179">
        <f ca="1">qry_ProdData2_PDI_Cash_Exception_Application[[#This Row],[TODAY]]-qry_ProdData2_PDI_Cash_Exception_Application[[#This Row],[CHANGED ON]]</f>
        <v>4.7429282407392748</v>
      </c>
      <c r="N179">
        <f ca="1">qry_ProdData2_PDI_Cash_Exception_Application[[#This Row],[TODAY]]-qry_ProdData2_PDI_Cash_Exception_Application[[#This Row],[CHANGED ON]]</f>
        <v>4.7429282407392748</v>
      </c>
    </row>
    <row r="180" spans="1:14" x14ac:dyDescent="0.35">
      <c r="A180">
        <v>1030</v>
      </c>
      <c r="B180" t="s">
        <v>84</v>
      </c>
      <c r="C180" s="1">
        <v>45190.257071759261</v>
      </c>
      <c r="D180" t="str">
        <f ca="1">VLOOKUP(qry_ProdData2_PDI_Cash_Exception_Application[[#This Row],[TYPE]],#REF!,2,FALSE)</f>
        <v>type40</v>
      </c>
      <c r="E180">
        <v>-3773.89</v>
      </c>
      <c r="G180" s="1">
        <f>qry_ProdData2_PDI_Cash_Exception_Application[[#This Row],[INSERT DATE]]+2</f>
        <v>45192.257071759261</v>
      </c>
      <c r="H180" t="str">
        <f>VLOOKUP(qry_ProdData2_PDI_Cash_Exception_Application[[#This Row],[MARKET No]],'Site Allocation'!$B$2:$C$37,2,FALSE)</f>
        <v>Analyst6</v>
      </c>
      <c r="I180" s="4">
        <f t="shared" ca="1" si="2"/>
        <v>45203</v>
      </c>
      <c r="J180" s="42">
        <f ca="1">TODAY()-qry_ProdData2_PDI_Cash_Exception_Application[[#This Row],[INSERT DATE]]</f>
        <v>12.742928240739275</v>
      </c>
      <c r="K1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0">
        <f ca="1">qry_ProdData2_PDI_Cash_Exception_Application[[#This Row],[TODAY]]-qry_ProdData2_PDI_Cash_Exception_Application[[#This Row],[CHANGED ON]]</f>
        <v>10.742928240739275</v>
      </c>
      <c r="M180">
        <f ca="1">qry_ProdData2_PDI_Cash_Exception_Application[[#This Row],[TODAY]]-qry_ProdData2_PDI_Cash_Exception_Application[[#This Row],[CHANGED ON]]</f>
        <v>10.742928240739275</v>
      </c>
      <c r="N180">
        <f ca="1">qry_ProdData2_PDI_Cash_Exception_Application[[#This Row],[TODAY]]-qry_ProdData2_PDI_Cash_Exception_Application[[#This Row],[CHANGED ON]]</f>
        <v>10.742928240739275</v>
      </c>
    </row>
    <row r="181" spans="1:14" x14ac:dyDescent="0.35">
      <c r="A181">
        <v>1011</v>
      </c>
      <c r="B181" t="s">
        <v>65</v>
      </c>
      <c r="C181" s="1">
        <v>45190.257071759261</v>
      </c>
      <c r="D181" t="str">
        <f ca="1">VLOOKUP(qry_ProdData2_PDI_Cash_Exception_Application[[#This Row],[TYPE]],#REF!,2,FALSE)</f>
        <v>type40</v>
      </c>
      <c r="E181">
        <v>-512.01</v>
      </c>
      <c r="F181" t="str">
        <f>qry_ProdData2_PDI_Cash_Exception_Application[[#This Row],[ANALYST]]</f>
        <v>Analyst2</v>
      </c>
      <c r="G181" s="1">
        <f>qry_ProdData2_PDI_Cash_Exception_Application[[#This Row],[INSERT DATE]]+2</f>
        <v>45192.257071759261</v>
      </c>
      <c r="H181" t="str">
        <f>VLOOKUP(qry_ProdData2_PDI_Cash_Exception_Application[[#This Row],[MARKET No]],'Site Allocation'!$B$2:$C$37,2,FALSE)</f>
        <v>Analyst2</v>
      </c>
      <c r="I181" s="4">
        <f t="shared" ca="1" si="2"/>
        <v>45203</v>
      </c>
      <c r="J181" s="42">
        <f ca="1">TODAY()-qry_ProdData2_PDI_Cash_Exception_Application[[#This Row],[INSERT DATE]]</f>
        <v>12.742928240739275</v>
      </c>
      <c r="K1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1">
        <f ca="1">qry_ProdData2_PDI_Cash_Exception_Application[[#This Row],[TODAY]]-qry_ProdData2_PDI_Cash_Exception_Application[[#This Row],[CHANGED ON]]</f>
        <v>10.742928240739275</v>
      </c>
      <c r="M181">
        <f ca="1">qry_ProdData2_PDI_Cash_Exception_Application[[#This Row],[TODAY]]-qry_ProdData2_PDI_Cash_Exception_Application[[#This Row],[CHANGED ON]]</f>
        <v>10.742928240739275</v>
      </c>
      <c r="N181">
        <f ca="1">qry_ProdData2_PDI_Cash_Exception_Application[[#This Row],[TODAY]]-qry_ProdData2_PDI_Cash_Exception_Application[[#This Row],[CHANGED ON]]</f>
        <v>10.742928240739275</v>
      </c>
    </row>
    <row r="182" spans="1:14" x14ac:dyDescent="0.35">
      <c r="A182">
        <v>1021</v>
      </c>
      <c r="B182" t="s">
        <v>75</v>
      </c>
      <c r="C182" s="1">
        <v>45192.257071759261</v>
      </c>
      <c r="D182" t="str">
        <f ca="1">VLOOKUP(qry_ProdData2_PDI_Cash_Exception_Application[[#This Row],[TYPE]],#REF!,2,FALSE)</f>
        <v>type35</v>
      </c>
      <c r="E182">
        <v>2419.69</v>
      </c>
      <c r="F182" t="str">
        <f>qry_ProdData2_PDI_Cash_Exception_Application[[#This Row],[ANALYST]]</f>
        <v>Analyst4</v>
      </c>
      <c r="G182" s="1">
        <f>qry_ProdData2_PDI_Cash_Exception_Application[[#This Row],[INSERT DATE]]+2</f>
        <v>45194.257071759261</v>
      </c>
      <c r="H182" t="str">
        <f>VLOOKUP(qry_ProdData2_PDI_Cash_Exception_Application[[#This Row],[MARKET No]],'Site Allocation'!$B$2:$C$37,2,FALSE)</f>
        <v>Analyst4</v>
      </c>
      <c r="I182" s="4">
        <f t="shared" ca="1" si="2"/>
        <v>45203</v>
      </c>
      <c r="J182" s="42">
        <f ca="1">TODAY()-qry_ProdData2_PDI_Cash_Exception_Application[[#This Row],[INSERT DATE]]</f>
        <v>10.742928240739275</v>
      </c>
      <c r="K1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2">
        <f ca="1">qry_ProdData2_PDI_Cash_Exception_Application[[#This Row],[TODAY]]-qry_ProdData2_PDI_Cash_Exception_Application[[#This Row],[CHANGED ON]]</f>
        <v>8.7429282407392748</v>
      </c>
      <c r="M182">
        <f ca="1">qry_ProdData2_PDI_Cash_Exception_Application[[#This Row],[TODAY]]-qry_ProdData2_PDI_Cash_Exception_Application[[#This Row],[CHANGED ON]]</f>
        <v>8.7429282407392748</v>
      </c>
      <c r="N182">
        <f ca="1">qry_ProdData2_PDI_Cash_Exception_Application[[#This Row],[TODAY]]-qry_ProdData2_PDI_Cash_Exception_Application[[#This Row],[CHANGED ON]]</f>
        <v>8.7429282407392748</v>
      </c>
    </row>
    <row r="183" spans="1:14" x14ac:dyDescent="0.35">
      <c r="A183">
        <v>1016</v>
      </c>
      <c r="B183" t="s">
        <v>70</v>
      </c>
      <c r="C183" s="1">
        <v>45190.257071759261</v>
      </c>
      <c r="D183" t="str">
        <f ca="1">VLOOKUP(qry_ProdData2_PDI_Cash_Exception_Application[[#This Row],[TYPE]],#REF!,2,FALSE)</f>
        <v>type40</v>
      </c>
      <c r="E183">
        <v>548.71</v>
      </c>
      <c r="G183" s="1">
        <f>qry_ProdData2_PDI_Cash_Exception_Application[[#This Row],[INSERT DATE]]+7</f>
        <v>45197.257071759261</v>
      </c>
      <c r="H183" t="str">
        <f>VLOOKUP(qry_ProdData2_PDI_Cash_Exception_Application[[#This Row],[MARKET No]],'Site Allocation'!$B$2:$C$37,2,FALSE)</f>
        <v>Analyst3</v>
      </c>
      <c r="I183" s="4">
        <f t="shared" ca="1" si="2"/>
        <v>45203</v>
      </c>
      <c r="J183" s="42">
        <f ca="1">TODAY()-qry_ProdData2_PDI_Cash_Exception_Application[[#This Row],[INSERT DATE]]</f>
        <v>12.742928240739275</v>
      </c>
      <c r="K1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3">
        <f ca="1">qry_ProdData2_PDI_Cash_Exception_Application[[#This Row],[TODAY]]-qry_ProdData2_PDI_Cash_Exception_Application[[#This Row],[CHANGED ON]]</f>
        <v>5.7429282407392748</v>
      </c>
      <c r="M183">
        <f ca="1">qry_ProdData2_PDI_Cash_Exception_Application[[#This Row],[TODAY]]-qry_ProdData2_PDI_Cash_Exception_Application[[#This Row],[CHANGED ON]]</f>
        <v>5.7429282407392748</v>
      </c>
      <c r="N183">
        <f ca="1">qry_ProdData2_PDI_Cash_Exception_Application[[#This Row],[TODAY]]-qry_ProdData2_PDI_Cash_Exception_Application[[#This Row],[CHANGED ON]]</f>
        <v>5.7429282407392748</v>
      </c>
    </row>
    <row r="184" spans="1:14" x14ac:dyDescent="0.35">
      <c r="A184">
        <v>1010</v>
      </c>
      <c r="B184" t="s">
        <v>64</v>
      </c>
      <c r="C184" s="1">
        <v>45192.257071759261</v>
      </c>
      <c r="D184" t="str">
        <f ca="1">VLOOKUP(qry_ProdData2_PDI_Cash_Exception_Application[[#This Row],[TYPE]],#REF!,2,FALSE)</f>
        <v>type40</v>
      </c>
      <c r="E184">
        <v>440.57</v>
      </c>
      <c r="F184" t="str">
        <f>qry_ProdData2_PDI_Cash_Exception_Application[[#This Row],[ANALYST]]</f>
        <v>Analyst2</v>
      </c>
      <c r="G184" s="1">
        <f>qry_ProdData2_PDI_Cash_Exception_Application[[#This Row],[INSERT DATE]]+7</f>
        <v>45199.257071759261</v>
      </c>
      <c r="H184" t="str">
        <f>VLOOKUP(qry_ProdData2_PDI_Cash_Exception_Application[[#This Row],[MARKET No]],'Site Allocation'!$B$2:$C$37,2,FALSE)</f>
        <v>Analyst2</v>
      </c>
      <c r="I184" s="4">
        <f t="shared" ca="1" si="2"/>
        <v>45203</v>
      </c>
      <c r="J184" s="42">
        <f ca="1">TODAY()-qry_ProdData2_PDI_Cash_Exception_Application[[#This Row],[INSERT DATE]]</f>
        <v>10.742928240739275</v>
      </c>
      <c r="K1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4">
        <f ca="1">qry_ProdData2_PDI_Cash_Exception_Application[[#This Row],[TODAY]]-qry_ProdData2_PDI_Cash_Exception_Application[[#This Row],[CHANGED ON]]</f>
        <v>3.7429282407392748</v>
      </c>
      <c r="M184">
        <f ca="1">qry_ProdData2_PDI_Cash_Exception_Application[[#This Row],[TODAY]]-qry_ProdData2_PDI_Cash_Exception_Application[[#This Row],[CHANGED ON]]</f>
        <v>3.7429282407392748</v>
      </c>
      <c r="N184">
        <f ca="1">qry_ProdData2_PDI_Cash_Exception_Application[[#This Row],[TODAY]]-qry_ProdData2_PDI_Cash_Exception_Application[[#This Row],[CHANGED ON]]</f>
        <v>3.7429282407392748</v>
      </c>
    </row>
    <row r="185" spans="1:14" x14ac:dyDescent="0.35">
      <c r="A185">
        <v>1017</v>
      </c>
      <c r="B185" t="s">
        <v>71</v>
      </c>
      <c r="C185" s="1">
        <v>45189.257071759261</v>
      </c>
      <c r="D185" t="str">
        <f ca="1">VLOOKUP(qry_ProdData2_PDI_Cash_Exception_Application[[#This Row],[TYPE]],#REF!,2,FALSE)</f>
        <v>type40</v>
      </c>
      <c r="E185">
        <v>418.98</v>
      </c>
      <c r="G185" s="1">
        <f>qry_ProdData2_PDI_Cash_Exception_Application[[#This Row],[INSERT DATE]]+1</f>
        <v>45190.257071759261</v>
      </c>
      <c r="H185" t="str">
        <f>VLOOKUP(qry_ProdData2_PDI_Cash_Exception_Application[[#This Row],[MARKET No]],'Site Allocation'!$B$2:$C$37,2,FALSE)</f>
        <v>Analyst3</v>
      </c>
      <c r="I185" s="4">
        <f t="shared" ca="1" si="2"/>
        <v>45203</v>
      </c>
      <c r="J185" s="42">
        <f ca="1">TODAY()-qry_ProdData2_PDI_Cash_Exception_Application[[#This Row],[INSERT DATE]]</f>
        <v>13.742928240739275</v>
      </c>
      <c r="K1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5">
        <f ca="1">qry_ProdData2_PDI_Cash_Exception_Application[[#This Row],[TODAY]]-qry_ProdData2_PDI_Cash_Exception_Application[[#This Row],[CHANGED ON]]</f>
        <v>12.742928240739275</v>
      </c>
      <c r="M185">
        <f ca="1">qry_ProdData2_PDI_Cash_Exception_Application[[#This Row],[TODAY]]-qry_ProdData2_PDI_Cash_Exception_Application[[#This Row],[CHANGED ON]]</f>
        <v>12.742928240739275</v>
      </c>
      <c r="N185">
        <f ca="1">qry_ProdData2_PDI_Cash_Exception_Application[[#This Row],[TODAY]]-qry_ProdData2_PDI_Cash_Exception_Application[[#This Row],[CHANGED ON]]</f>
        <v>12.742928240739275</v>
      </c>
    </row>
    <row r="186" spans="1:14" x14ac:dyDescent="0.35">
      <c r="A186">
        <v>1009</v>
      </c>
      <c r="B186" t="s">
        <v>63</v>
      </c>
      <c r="C186" s="1">
        <v>45182.257071759261</v>
      </c>
      <c r="D186" t="str">
        <f ca="1">VLOOKUP(qry_ProdData2_PDI_Cash_Exception_Application[[#This Row],[TYPE]],#REF!,2,FALSE)</f>
        <v>type40</v>
      </c>
      <c r="E186">
        <v>342.82</v>
      </c>
      <c r="F186" t="str">
        <f>qry_ProdData2_PDI_Cash_Exception_Application[[#This Row],[ANALYST]]</f>
        <v>Analyst2</v>
      </c>
      <c r="G186" s="1">
        <f>qry_ProdData2_PDI_Cash_Exception_Application[[#This Row],[INSERT DATE]]+7</f>
        <v>45189.257071759261</v>
      </c>
      <c r="H186" t="str">
        <f>VLOOKUP(qry_ProdData2_PDI_Cash_Exception_Application[[#This Row],[MARKET No]],'Site Allocation'!$B$2:$C$37,2,FALSE)</f>
        <v>Analyst2</v>
      </c>
      <c r="I186" s="4">
        <f t="shared" ca="1" si="2"/>
        <v>45203</v>
      </c>
      <c r="J186" s="42">
        <f ca="1">TODAY()-qry_ProdData2_PDI_Cash_Exception_Application[[#This Row],[INSERT DATE]]</f>
        <v>20.742928240739275</v>
      </c>
      <c r="K1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6">
        <f ca="1">qry_ProdData2_PDI_Cash_Exception_Application[[#This Row],[TODAY]]-qry_ProdData2_PDI_Cash_Exception_Application[[#This Row],[CHANGED ON]]</f>
        <v>13.742928240739275</v>
      </c>
      <c r="M186">
        <f ca="1">qry_ProdData2_PDI_Cash_Exception_Application[[#This Row],[TODAY]]-qry_ProdData2_PDI_Cash_Exception_Application[[#This Row],[CHANGED ON]]</f>
        <v>13.742928240739275</v>
      </c>
      <c r="N186">
        <f ca="1">qry_ProdData2_PDI_Cash_Exception_Application[[#This Row],[TODAY]]-qry_ProdData2_PDI_Cash_Exception_Application[[#This Row],[CHANGED ON]]</f>
        <v>13.742928240739275</v>
      </c>
    </row>
    <row r="187" spans="1:14" x14ac:dyDescent="0.35">
      <c r="A187">
        <v>1028</v>
      </c>
      <c r="B187" t="s">
        <v>82</v>
      </c>
      <c r="C187" s="1">
        <v>45191.257071759261</v>
      </c>
      <c r="D187" t="str">
        <f ca="1">VLOOKUP(qry_ProdData2_PDI_Cash_Exception_Application[[#This Row],[TYPE]],#REF!,2,FALSE)</f>
        <v>type40</v>
      </c>
      <c r="E187">
        <v>-367.48</v>
      </c>
      <c r="F187" t="str">
        <f>qry_ProdData2_PDI_Cash_Exception_Application[[#This Row],[ANALYST]]</f>
        <v>Analyst5</v>
      </c>
      <c r="G187" s="1">
        <f>qry_ProdData2_PDI_Cash_Exception_Application[[#This Row],[INSERT DATE]]+2</f>
        <v>45193.257071759261</v>
      </c>
      <c r="H187" t="str">
        <f>VLOOKUP(qry_ProdData2_PDI_Cash_Exception_Application[[#This Row],[MARKET No]],'Site Allocation'!$B$2:$C$37,2,FALSE)</f>
        <v>Analyst5</v>
      </c>
      <c r="I187" s="4">
        <f t="shared" ca="1" si="2"/>
        <v>45203</v>
      </c>
      <c r="J187" s="42">
        <f ca="1">TODAY()-qry_ProdData2_PDI_Cash_Exception_Application[[#This Row],[INSERT DATE]]</f>
        <v>11.742928240739275</v>
      </c>
      <c r="K1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7">
        <f ca="1">qry_ProdData2_PDI_Cash_Exception_Application[[#This Row],[TODAY]]-qry_ProdData2_PDI_Cash_Exception_Application[[#This Row],[CHANGED ON]]</f>
        <v>9.7429282407392748</v>
      </c>
      <c r="M187">
        <f ca="1">qry_ProdData2_PDI_Cash_Exception_Application[[#This Row],[TODAY]]-qry_ProdData2_PDI_Cash_Exception_Application[[#This Row],[CHANGED ON]]</f>
        <v>9.7429282407392748</v>
      </c>
      <c r="N187">
        <f ca="1">qry_ProdData2_PDI_Cash_Exception_Application[[#This Row],[TODAY]]-qry_ProdData2_PDI_Cash_Exception_Application[[#This Row],[CHANGED ON]]</f>
        <v>9.7429282407392748</v>
      </c>
    </row>
    <row r="188" spans="1:14" x14ac:dyDescent="0.35">
      <c r="A188">
        <v>1015</v>
      </c>
      <c r="B188" t="s">
        <v>69</v>
      </c>
      <c r="C188" s="1">
        <v>45189.257071759261</v>
      </c>
      <c r="D188" t="str">
        <f ca="1">VLOOKUP(qry_ProdData2_PDI_Cash_Exception_Application[[#This Row],[TYPE]],#REF!,2,FALSE)</f>
        <v>type38</v>
      </c>
      <c r="E188">
        <v>381.88</v>
      </c>
      <c r="G188" s="1">
        <f>qry_ProdData2_PDI_Cash_Exception_Application[[#This Row],[INSERT DATE]]+1</f>
        <v>45190.257071759261</v>
      </c>
      <c r="H188" t="str">
        <f>VLOOKUP(qry_ProdData2_PDI_Cash_Exception_Application[[#This Row],[MARKET No]],'Site Allocation'!$B$2:$C$37,2,FALSE)</f>
        <v>Analyst3</v>
      </c>
      <c r="I188" s="4">
        <f t="shared" ca="1" si="2"/>
        <v>45203</v>
      </c>
      <c r="J188" s="42">
        <f ca="1">TODAY()-qry_ProdData2_PDI_Cash_Exception_Application[[#This Row],[INSERT DATE]]</f>
        <v>13.742928240739275</v>
      </c>
      <c r="K1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8">
        <f ca="1">qry_ProdData2_PDI_Cash_Exception_Application[[#This Row],[TODAY]]-qry_ProdData2_PDI_Cash_Exception_Application[[#This Row],[CHANGED ON]]</f>
        <v>12.742928240739275</v>
      </c>
      <c r="M188">
        <f ca="1">qry_ProdData2_PDI_Cash_Exception_Application[[#This Row],[TODAY]]-qry_ProdData2_PDI_Cash_Exception_Application[[#This Row],[CHANGED ON]]</f>
        <v>12.742928240739275</v>
      </c>
      <c r="N188">
        <f ca="1">qry_ProdData2_PDI_Cash_Exception_Application[[#This Row],[TODAY]]-qry_ProdData2_PDI_Cash_Exception_Application[[#This Row],[CHANGED ON]]</f>
        <v>12.742928240739275</v>
      </c>
    </row>
    <row r="189" spans="1:14" x14ac:dyDescent="0.35">
      <c r="A189">
        <v>1024</v>
      </c>
      <c r="B189" t="s">
        <v>78</v>
      </c>
      <c r="C189" s="1">
        <v>45179.257071759261</v>
      </c>
      <c r="D189" t="str">
        <f ca="1">VLOOKUP(qry_ProdData2_PDI_Cash_Exception_Application[[#This Row],[TYPE]],#REF!,2,FALSE)</f>
        <v>type40</v>
      </c>
      <c r="E189">
        <v>592.29</v>
      </c>
      <c r="F189" t="str">
        <f>qry_ProdData2_PDI_Cash_Exception_Application[[#This Row],[ANALYST]]</f>
        <v>Analyst5</v>
      </c>
      <c r="G189" s="1">
        <f>qry_ProdData2_PDI_Cash_Exception_Application[[#This Row],[INSERT DATE]]+5</f>
        <v>45184.257071759261</v>
      </c>
      <c r="H189" t="str">
        <f>VLOOKUP(qry_ProdData2_PDI_Cash_Exception_Application[[#This Row],[MARKET No]],'Site Allocation'!$B$2:$C$37,2,FALSE)</f>
        <v>Analyst5</v>
      </c>
      <c r="I189" s="4">
        <f t="shared" ca="1" si="2"/>
        <v>45203</v>
      </c>
      <c r="J189" s="42">
        <f ca="1">TODAY()-qry_ProdData2_PDI_Cash_Exception_Application[[#This Row],[INSERT DATE]]</f>
        <v>23.742928240739275</v>
      </c>
      <c r="K1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9">
        <f ca="1">qry_ProdData2_PDI_Cash_Exception_Application[[#This Row],[TODAY]]-qry_ProdData2_PDI_Cash_Exception_Application[[#This Row],[CHANGED ON]]</f>
        <v>18.742928240739275</v>
      </c>
      <c r="M189">
        <f ca="1">qry_ProdData2_PDI_Cash_Exception_Application[[#This Row],[TODAY]]-qry_ProdData2_PDI_Cash_Exception_Application[[#This Row],[CHANGED ON]]</f>
        <v>18.742928240739275</v>
      </c>
      <c r="N189">
        <f ca="1">qry_ProdData2_PDI_Cash_Exception_Application[[#This Row],[TODAY]]-qry_ProdData2_PDI_Cash_Exception_Application[[#This Row],[CHANGED ON]]</f>
        <v>18.742928240739275</v>
      </c>
    </row>
    <row r="190" spans="1:14" x14ac:dyDescent="0.35">
      <c r="A190">
        <v>1034</v>
      </c>
      <c r="B190" t="s">
        <v>88</v>
      </c>
      <c r="C190" s="1">
        <v>45187.257071759261</v>
      </c>
      <c r="D190" t="str">
        <f ca="1">VLOOKUP(qry_ProdData2_PDI_Cash_Exception_Application[[#This Row],[TYPE]],#REF!,2,FALSE)</f>
        <v>type25</v>
      </c>
      <c r="E190">
        <v>231.33</v>
      </c>
      <c r="G190" s="1">
        <f>qry_ProdData2_PDI_Cash_Exception_Application[[#This Row],[INSERT DATE]]+2</f>
        <v>45189.257071759261</v>
      </c>
      <c r="H190" t="str">
        <f>VLOOKUP(qry_ProdData2_PDI_Cash_Exception_Application[[#This Row],[MARKET No]],'Site Allocation'!$B$2:$C$37,2,FALSE)</f>
        <v>Analyst6</v>
      </c>
      <c r="I190" s="4">
        <f t="shared" ca="1" si="2"/>
        <v>45203</v>
      </c>
      <c r="J190" s="42">
        <f ca="1">TODAY()-qry_ProdData2_PDI_Cash_Exception_Application[[#This Row],[INSERT DATE]]</f>
        <v>15.742928240739275</v>
      </c>
      <c r="K1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0">
        <f ca="1">qry_ProdData2_PDI_Cash_Exception_Application[[#This Row],[TODAY]]-qry_ProdData2_PDI_Cash_Exception_Application[[#This Row],[CHANGED ON]]</f>
        <v>13.742928240739275</v>
      </c>
      <c r="M190">
        <f ca="1">qry_ProdData2_PDI_Cash_Exception_Application[[#This Row],[TODAY]]-qry_ProdData2_PDI_Cash_Exception_Application[[#This Row],[CHANGED ON]]</f>
        <v>13.742928240739275</v>
      </c>
      <c r="N190">
        <f ca="1">qry_ProdData2_PDI_Cash_Exception_Application[[#This Row],[TODAY]]-qry_ProdData2_PDI_Cash_Exception_Application[[#This Row],[CHANGED ON]]</f>
        <v>13.742928240739275</v>
      </c>
    </row>
    <row r="191" spans="1:14" x14ac:dyDescent="0.35">
      <c r="A191">
        <v>1011</v>
      </c>
      <c r="B191" t="s">
        <v>65</v>
      </c>
      <c r="C191" s="1">
        <v>45182.257071759261</v>
      </c>
      <c r="D191" t="str">
        <f ca="1">VLOOKUP(qry_ProdData2_PDI_Cash_Exception_Application[[#This Row],[TYPE]],#REF!,2,FALSE)</f>
        <v>type7</v>
      </c>
      <c r="E191">
        <v>-14631.83</v>
      </c>
      <c r="F191" t="str">
        <f>qry_ProdData2_PDI_Cash_Exception_Application[[#This Row],[ANALYST]]</f>
        <v>Analyst2</v>
      </c>
      <c r="G191" s="1">
        <f>qry_ProdData2_PDI_Cash_Exception_Application[[#This Row],[INSERT DATE]]+7</f>
        <v>45189.257071759261</v>
      </c>
      <c r="H191" t="str">
        <f>VLOOKUP(qry_ProdData2_PDI_Cash_Exception_Application[[#This Row],[MARKET No]],'Site Allocation'!$B$2:$C$37,2,FALSE)</f>
        <v>Analyst2</v>
      </c>
      <c r="I191" s="4">
        <f t="shared" ca="1" si="2"/>
        <v>45203</v>
      </c>
      <c r="J191" s="42">
        <f ca="1">TODAY()-qry_ProdData2_PDI_Cash_Exception_Application[[#This Row],[INSERT DATE]]</f>
        <v>20.742928240739275</v>
      </c>
      <c r="K1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1">
        <f ca="1">qry_ProdData2_PDI_Cash_Exception_Application[[#This Row],[TODAY]]-qry_ProdData2_PDI_Cash_Exception_Application[[#This Row],[CHANGED ON]]</f>
        <v>13.742928240739275</v>
      </c>
      <c r="M191">
        <f ca="1">qry_ProdData2_PDI_Cash_Exception_Application[[#This Row],[TODAY]]-qry_ProdData2_PDI_Cash_Exception_Application[[#This Row],[CHANGED ON]]</f>
        <v>13.742928240739275</v>
      </c>
      <c r="N191">
        <f ca="1">qry_ProdData2_PDI_Cash_Exception_Application[[#This Row],[TODAY]]-qry_ProdData2_PDI_Cash_Exception_Application[[#This Row],[CHANGED ON]]</f>
        <v>13.742928240739275</v>
      </c>
    </row>
    <row r="192" spans="1:14" x14ac:dyDescent="0.35">
      <c r="A192">
        <v>1026</v>
      </c>
      <c r="B192" t="s">
        <v>80</v>
      </c>
      <c r="C192" s="1">
        <v>45190.257071759261</v>
      </c>
      <c r="D192" t="str">
        <f ca="1">VLOOKUP(qry_ProdData2_PDI_Cash_Exception_Application[[#This Row],[TYPE]],#REF!,2,FALSE)</f>
        <v>type40</v>
      </c>
      <c r="E192">
        <v>658.33</v>
      </c>
      <c r="F192" t="s">
        <v>48</v>
      </c>
      <c r="G192" s="1">
        <f>qry_ProdData2_PDI_Cash_Exception_Application[[#This Row],[INSERT DATE]]+1</f>
        <v>45191.257071759261</v>
      </c>
      <c r="H192" t="str">
        <f>VLOOKUP(qry_ProdData2_PDI_Cash_Exception_Application[[#This Row],[MARKET No]],'Site Allocation'!$B$2:$C$37,2,FALSE)</f>
        <v>Analyst5</v>
      </c>
      <c r="I192" s="4">
        <f t="shared" ca="1" si="2"/>
        <v>45203</v>
      </c>
      <c r="J192" s="42">
        <f ca="1">TODAY()-qry_ProdData2_PDI_Cash_Exception_Application[[#This Row],[INSERT DATE]]</f>
        <v>12.742928240739275</v>
      </c>
      <c r="K1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2">
        <f ca="1">qry_ProdData2_PDI_Cash_Exception_Application[[#This Row],[TODAY]]-qry_ProdData2_PDI_Cash_Exception_Application[[#This Row],[CHANGED ON]]</f>
        <v>11.742928240739275</v>
      </c>
      <c r="M192">
        <f ca="1">qry_ProdData2_PDI_Cash_Exception_Application[[#This Row],[TODAY]]-qry_ProdData2_PDI_Cash_Exception_Application[[#This Row],[CHANGED ON]]</f>
        <v>11.742928240739275</v>
      </c>
      <c r="N192">
        <f ca="1">qry_ProdData2_PDI_Cash_Exception_Application[[#This Row],[TODAY]]-qry_ProdData2_PDI_Cash_Exception_Application[[#This Row],[CHANGED ON]]</f>
        <v>11.742928240739275</v>
      </c>
    </row>
    <row r="193" spans="1:14" x14ac:dyDescent="0.35">
      <c r="A193">
        <v>1024</v>
      </c>
      <c r="B193" t="s">
        <v>78</v>
      </c>
      <c r="C193" s="1">
        <v>45185.257071759261</v>
      </c>
      <c r="D193" t="str">
        <f ca="1">VLOOKUP(qry_ProdData2_PDI_Cash_Exception_Application[[#This Row],[TYPE]],#REF!,2,FALSE)</f>
        <v>type40</v>
      </c>
      <c r="E193">
        <v>-345.66</v>
      </c>
      <c r="F193" t="str">
        <f>qry_ProdData2_PDI_Cash_Exception_Application[[#This Row],[ANALYST]]</f>
        <v>Analyst5</v>
      </c>
      <c r="G193" s="1">
        <f>qry_ProdData2_PDI_Cash_Exception_Application[[#This Row],[INSERT DATE]]+7</f>
        <v>45192.257071759261</v>
      </c>
      <c r="H193" t="str">
        <f>VLOOKUP(qry_ProdData2_PDI_Cash_Exception_Application[[#This Row],[MARKET No]],'Site Allocation'!$B$2:$C$37,2,FALSE)</f>
        <v>Analyst5</v>
      </c>
      <c r="I193" s="4">
        <f t="shared" ca="1" si="2"/>
        <v>45203</v>
      </c>
      <c r="J193" s="42">
        <f ca="1">TODAY()-qry_ProdData2_PDI_Cash_Exception_Application[[#This Row],[INSERT DATE]]</f>
        <v>17.742928240739275</v>
      </c>
      <c r="K1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3">
        <f ca="1">qry_ProdData2_PDI_Cash_Exception_Application[[#This Row],[TODAY]]-qry_ProdData2_PDI_Cash_Exception_Application[[#This Row],[CHANGED ON]]</f>
        <v>10.742928240739275</v>
      </c>
      <c r="M193">
        <f ca="1">qry_ProdData2_PDI_Cash_Exception_Application[[#This Row],[TODAY]]-qry_ProdData2_PDI_Cash_Exception_Application[[#This Row],[CHANGED ON]]</f>
        <v>10.742928240739275</v>
      </c>
      <c r="N193">
        <f ca="1">qry_ProdData2_PDI_Cash_Exception_Application[[#This Row],[TODAY]]-qry_ProdData2_PDI_Cash_Exception_Application[[#This Row],[CHANGED ON]]</f>
        <v>10.742928240739275</v>
      </c>
    </row>
    <row r="194" spans="1:14" x14ac:dyDescent="0.35">
      <c r="A194">
        <v>1028</v>
      </c>
      <c r="B194" t="s">
        <v>82</v>
      </c>
      <c r="C194" s="1">
        <v>45187.257071759261</v>
      </c>
      <c r="D194" t="str">
        <f ca="1">VLOOKUP(qry_ProdData2_PDI_Cash_Exception_Application[[#This Row],[TYPE]],#REF!,2,FALSE)</f>
        <v>type8</v>
      </c>
      <c r="E194">
        <v>69.91</v>
      </c>
      <c r="F194" t="str">
        <f>qry_ProdData2_PDI_Cash_Exception_Application[[#This Row],[ANALYST]]</f>
        <v>Analyst5</v>
      </c>
      <c r="G194" s="1">
        <f>qry_ProdData2_PDI_Cash_Exception_Application[[#This Row],[INSERT DATE]]+7</f>
        <v>45194.257071759261</v>
      </c>
      <c r="H194" t="str">
        <f>VLOOKUP(qry_ProdData2_PDI_Cash_Exception_Application[[#This Row],[MARKET No]],'Site Allocation'!$B$2:$C$37,2,FALSE)</f>
        <v>Analyst5</v>
      </c>
      <c r="I194" s="4">
        <f t="shared" ref="I194:I257" ca="1" si="3">TODAY()</f>
        <v>45203</v>
      </c>
      <c r="J194" s="42">
        <f ca="1">TODAY()-qry_ProdData2_PDI_Cash_Exception_Application[[#This Row],[INSERT DATE]]</f>
        <v>15.742928240739275</v>
      </c>
      <c r="K1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4">
        <f ca="1">qry_ProdData2_PDI_Cash_Exception_Application[[#This Row],[TODAY]]-qry_ProdData2_PDI_Cash_Exception_Application[[#This Row],[CHANGED ON]]</f>
        <v>8.7429282407392748</v>
      </c>
      <c r="M194">
        <f ca="1">qry_ProdData2_PDI_Cash_Exception_Application[[#This Row],[TODAY]]-qry_ProdData2_PDI_Cash_Exception_Application[[#This Row],[CHANGED ON]]</f>
        <v>8.7429282407392748</v>
      </c>
      <c r="N194">
        <f ca="1">qry_ProdData2_PDI_Cash_Exception_Application[[#This Row],[TODAY]]-qry_ProdData2_PDI_Cash_Exception_Application[[#This Row],[CHANGED ON]]</f>
        <v>8.7429282407392748</v>
      </c>
    </row>
    <row r="195" spans="1:14" x14ac:dyDescent="0.35">
      <c r="A195">
        <v>1035</v>
      </c>
      <c r="B195" t="s">
        <v>89</v>
      </c>
      <c r="C195" s="1">
        <v>45190.257071759261</v>
      </c>
      <c r="D195" t="str">
        <f ca="1">VLOOKUP(qry_ProdData2_PDI_Cash_Exception_Application[[#This Row],[TYPE]],#REF!,2,FALSE)</f>
        <v>type40</v>
      </c>
      <c r="E195">
        <v>1740.12</v>
      </c>
      <c r="G195" s="1">
        <f>qry_ProdData2_PDI_Cash_Exception_Application[[#This Row],[INSERT DATE]]+2</f>
        <v>45192.257071759261</v>
      </c>
      <c r="H195" t="str">
        <f>VLOOKUP(qry_ProdData2_PDI_Cash_Exception_Application[[#This Row],[MARKET No]],'Site Allocation'!$B$2:$C$37,2,FALSE)</f>
        <v>Analyst6</v>
      </c>
      <c r="I195" s="4">
        <f t="shared" ca="1" si="3"/>
        <v>45203</v>
      </c>
      <c r="J195" s="42">
        <f ca="1">TODAY()-qry_ProdData2_PDI_Cash_Exception_Application[[#This Row],[INSERT DATE]]</f>
        <v>12.742928240739275</v>
      </c>
      <c r="K1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5">
        <f ca="1">qry_ProdData2_PDI_Cash_Exception_Application[[#This Row],[TODAY]]-qry_ProdData2_PDI_Cash_Exception_Application[[#This Row],[CHANGED ON]]</f>
        <v>10.742928240739275</v>
      </c>
      <c r="M195">
        <f ca="1">qry_ProdData2_PDI_Cash_Exception_Application[[#This Row],[TODAY]]-qry_ProdData2_PDI_Cash_Exception_Application[[#This Row],[CHANGED ON]]</f>
        <v>10.742928240739275</v>
      </c>
      <c r="N195">
        <f ca="1">qry_ProdData2_PDI_Cash_Exception_Application[[#This Row],[TODAY]]-qry_ProdData2_PDI_Cash_Exception_Application[[#This Row],[CHANGED ON]]</f>
        <v>10.742928240739275</v>
      </c>
    </row>
    <row r="196" spans="1:14" x14ac:dyDescent="0.35">
      <c r="A196">
        <v>1028</v>
      </c>
      <c r="B196" t="s">
        <v>82</v>
      </c>
      <c r="C196" s="1">
        <v>45189.257071759261</v>
      </c>
      <c r="D196" t="str">
        <f ca="1">VLOOKUP(qry_ProdData2_PDI_Cash_Exception_Application[[#This Row],[TYPE]],#REF!,2,FALSE)</f>
        <v>type40</v>
      </c>
      <c r="E196">
        <v>672.81</v>
      </c>
      <c r="F196" t="str">
        <f>qry_ProdData2_PDI_Cash_Exception_Application[[#This Row],[ANALYST]]</f>
        <v>Analyst5</v>
      </c>
      <c r="G196" s="1">
        <f>qry_ProdData2_PDI_Cash_Exception_Application[[#This Row],[INSERT DATE]]+7</f>
        <v>45196.257071759261</v>
      </c>
      <c r="H196" t="str">
        <f>VLOOKUP(qry_ProdData2_PDI_Cash_Exception_Application[[#This Row],[MARKET No]],'Site Allocation'!$B$2:$C$37,2,FALSE)</f>
        <v>Analyst5</v>
      </c>
      <c r="I196" s="4">
        <f t="shared" ca="1" si="3"/>
        <v>45203</v>
      </c>
      <c r="J196" s="42">
        <f ca="1">TODAY()-qry_ProdData2_PDI_Cash_Exception_Application[[#This Row],[INSERT DATE]]</f>
        <v>13.742928240739275</v>
      </c>
      <c r="K1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6">
        <f ca="1">qry_ProdData2_PDI_Cash_Exception_Application[[#This Row],[TODAY]]-qry_ProdData2_PDI_Cash_Exception_Application[[#This Row],[CHANGED ON]]</f>
        <v>6.7429282407392748</v>
      </c>
      <c r="M196">
        <f ca="1">qry_ProdData2_PDI_Cash_Exception_Application[[#This Row],[TODAY]]-qry_ProdData2_PDI_Cash_Exception_Application[[#This Row],[CHANGED ON]]</f>
        <v>6.7429282407392748</v>
      </c>
      <c r="N196">
        <f ca="1">qry_ProdData2_PDI_Cash_Exception_Application[[#This Row],[TODAY]]-qry_ProdData2_PDI_Cash_Exception_Application[[#This Row],[CHANGED ON]]</f>
        <v>6.7429282407392748</v>
      </c>
    </row>
    <row r="197" spans="1:14" x14ac:dyDescent="0.35">
      <c r="A197">
        <v>1024</v>
      </c>
      <c r="B197" t="s">
        <v>78</v>
      </c>
      <c r="C197" s="1">
        <v>45190.257071759261</v>
      </c>
      <c r="D197" t="str">
        <f ca="1">VLOOKUP(qry_ProdData2_PDI_Cash_Exception_Application[[#This Row],[TYPE]],#REF!,2,FALSE)</f>
        <v>type40</v>
      </c>
      <c r="E197">
        <v>456.17</v>
      </c>
      <c r="F197" t="str">
        <f>qry_ProdData2_PDI_Cash_Exception_Application[[#This Row],[ANALYST]]</f>
        <v>Analyst5</v>
      </c>
      <c r="G197" s="1">
        <f>qry_ProdData2_PDI_Cash_Exception_Application[[#This Row],[INSERT DATE]]+7</f>
        <v>45197.257071759261</v>
      </c>
      <c r="H197" t="str">
        <f>VLOOKUP(qry_ProdData2_PDI_Cash_Exception_Application[[#This Row],[MARKET No]],'Site Allocation'!$B$2:$C$37,2,FALSE)</f>
        <v>Analyst5</v>
      </c>
      <c r="I197" s="4">
        <f t="shared" ca="1" si="3"/>
        <v>45203</v>
      </c>
      <c r="J197" s="42">
        <f ca="1">TODAY()-qry_ProdData2_PDI_Cash_Exception_Application[[#This Row],[INSERT DATE]]</f>
        <v>12.742928240739275</v>
      </c>
      <c r="K1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7">
        <f ca="1">qry_ProdData2_PDI_Cash_Exception_Application[[#This Row],[TODAY]]-qry_ProdData2_PDI_Cash_Exception_Application[[#This Row],[CHANGED ON]]</f>
        <v>5.7429282407392748</v>
      </c>
      <c r="M197">
        <f ca="1">qry_ProdData2_PDI_Cash_Exception_Application[[#This Row],[TODAY]]-qry_ProdData2_PDI_Cash_Exception_Application[[#This Row],[CHANGED ON]]</f>
        <v>5.7429282407392748</v>
      </c>
      <c r="N197">
        <f ca="1">qry_ProdData2_PDI_Cash_Exception_Application[[#This Row],[TODAY]]-qry_ProdData2_PDI_Cash_Exception_Application[[#This Row],[CHANGED ON]]</f>
        <v>5.7429282407392748</v>
      </c>
    </row>
    <row r="198" spans="1:14" x14ac:dyDescent="0.35">
      <c r="A198">
        <v>1031</v>
      </c>
      <c r="B198" t="s">
        <v>85</v>
      </c>
      <c r="C198" s="1">
        <v>45192.257071759261</v>
      </c>
      <c r="D198" t="str">
        <f ca="1">VLOOKUP(qry_ProdData2_PDI_Cash_Exception_Application[[#This Row],[TYPE]],#REF!,2,FALSE)</f>
        <v>type40</v>
      </c>
      <c r="E198">
        <v>2230.73</v>
      </c>
      <c r="G198" s="1">
        <f>qry_ProdData2_PDI_Cash_Exception_Application[[#This Row],[INSERT DATE]]+2</f>
        <v>45194.257071759261</v>
      </c>
      <c r="H198" t="str">
        <f>VLOOKUP(qry_ProdData2_PDI_Cash_Exception_Application[[#This Row],[MARKET No]],'Site Allocation'!$B$2:$C$37,2,FALSE)</f>
        <v>Analyst6</v>
      </c>
      <c r="I198" s="4">
        <f t="shared" ca="1" si="3"/>
        <v>45203</v>
      </c>
      <c r="J198" s="42">
        <f ca="1">TODAY()-qry_ProdData2_PDI_Cash_Exception_Application[[#This Row],[INSERT DATE]]</f>
        <v>10.742928240739275</v>
      </c>
      <c r="K1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8">
        <f ca="1">qry_ProdData2_PDI_Cash_Exception_Application[[#This Row],[TODAY]]-qry_ProdData2_PDI_Cash_Exception_Application[[#This Row],[CHANGED ON]]</f>
        <v>8.7429282407392748</v>
      </c>
      <c r="M198">
        <f ca="1">qry_ProdData2_PDI_Cash_Exception_Application[[#This Row],[TODAY]]-qry_ProdData2_PDI_Cash_Exception_Application[[#This Row],[CHANGED ON]]</f>
        <v>8.7429282407392748</v>
      </c>
      <c r="N198">
        <f ca="1">qry_ProdData2_PDI_Cash_Exception_Application[[#This Row],[TODAY]]-qry_ProdData2_PDI_Cash_Exception_Application[[#This Row],[CHANGED ON]]</f>
        <v>8.7429282407392748</v>
      </c>
    </row>
    <row r="199" spans="1:14" x14ac:dyDescent="0.35">
      <c r="A199">
        <v>1004</v>
      </c>
      <c r="B199" t="s">
        <v>58</v>
      </c>
      <c r="C199" s="1">
        <v>45187.257071759261</v>
      </c>
      <c r="D199" t="str">
        <f ca="1">VLOOKUP(qry_ProdData2_PDI_Cash_Exception_Application[[#This Row],[TYPE]],#REF!,2,FALSE)</f>
        <v>type40</v>
      </c>
      <c r="E199">
        <v>-1383.2</v>
      </c>
      <c r="F199" t="s">
        <v>47</v>
      </c>
      <c r="G199" s="1">
        <f>qry_ProdData2_PDI_Cash_Exception_Application[[#This Row],[INSERT DATE]]+1</f>
        <v>45188.257071759261</v>
      </c>
      <c r="H199" t="str">
        <f>VLOOKUP(qry_ProdData2_PDI_Cash_Exception_Application[[#This Row],[MARKET No]],'Site Allocation'!$B$2:$C$37,2,FALSE)</f>
        <v>Analyst1</v>
      </c>
      <c r="I199" s="4">
        <f t="shared" ca="1" si="3"/>
        <v>45203</v>
      </c>
      <c r="J199" s="42">
        <f ca="1">TODAY()-qry_ProdData2_PDI_Cash_Exception_Application[[#This Row],[INSERT DATE]]</f>
        <v>15.742928240739275</v>
      </c>
      <c r="K1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9">
        <f ca="1">qry_ProdData2_PDI_Cash_Exception_Application[[#This Row],[TODAY]]-qry_ProdData2_PDI_Cash_Exception_Application[[#This Row],[CHANGED ON]]</f>
        <v>14.742928240739275</v>
      </c>
      <c r="M199">
        <f ca="1">qry_ProdData2_PDI_Cash_Exception_Application[[#This Row],[TODAY]]-qry_ProdData2_PDI_Cash_Exception_Application[[#This Row],[CHANGED ON]]</f>
        <v>14.742928240739275</v>
      </c>
      <c r="N199">
        <f ca="1">qry_ProdData2_PDI_Cash_Exception_Application[[#This Row],[TODAY]]-qry_ProdData2_PDI_Cash_Exception_Application[[#This Row],[CHANGED ON]]</f>
        <v>14.742928240739275</v>
      </c>
    </row>
    <row r="200" spans="1:14" x14ac:dyDescent="0.35">
      <c r="A200">
        <v>1026</v>
      </c>
      <c r="B200" t="s">
        <v>80</v>
      </c>
      <c r="C200" s="1">
        <v>45185.257071759261</v>
      </c>
      <c r="D200" t="str">
        <f ca="1">VLOOKUP(qry_ProdData2_PDI_Cash_Exception_Application[[#This Row],[TYPE]],#REF!,2,FALSE)</f>
        <v>type40</v>
      </c>
      <c r="E200">
        <v>408.26</v>
      </c>
      <c r="F200" t="str">
        <f>qry_ProdData2_PDI_Cash_Exception_Application[[#This Row],[ANALYST]]</f>
        <v>Analyst5</v>
      </c>
      <c r="G200" s="1">
        <f>qry_ProdData2_PDI_Cash_Exception_Application[[#This Row],[INSERT DATE]]+1</f>
        <v>45186.257071759261</v>
      </c>
      <c r="H200" t="str">
        <f>VLOOKUP(qry_ProdData2_PDI_Cash_Exception_Application[[#This Row],[MARKET No]],'Site Allocation'!$B$2:$C$37,2,FALSE)</f>
        <v>Analyst5</v>
      </c>
      <c r="I200" s="4">
        <f t="shared" ca="1" si="3"/>
        <v>45203</v>
      </c>
      <c r="J200" s="42">
        <f ca="1">TODAY()-qry_ProdData2_PDI_Cash_Exception_Application[[#This Row],[INSERT DATE]]</f>
        <v>17.742928240739275</v>
      </c>
      <c r="K2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0">
        <f ca="1">qry_ProdData2_PDI_Cash_Exception_Application[[#This Row],[TODAY]]-qry_ProdData2_PDI_Cash_Exception_Application[[#This Row],[CHANGED ON]]</f>
        <v>16.742928240739275</v>
      </c>
      <c r="M200">
        <f ca="1">qry_ProdData2_PDI_Cash_Exception_Application[[#This Row],[TODAY]]-qry_ProdData2_PDI_Cash_Exception_Application[[#This Row],[CHANGED ON]]</f>
        <v>16.742928240739275</v>
      </c>
      <c r="N200">
        <f ca="1">qry_ProdData2_PDI_Cash_Exception_Application[[#This Row],[TODAY]]-qry_ProdData2_PDI_Cash_Exception_Application[[#This Row],[CHANGED ON]]</f>
        <v>16.742928240739275</v>
      </c>
    </row>
    <row r="201" spans="1:14" x14ac:dyDescent="0.35">
      <c r="A201">
        <v>1015</v>
      </c>
      <c r="B201" t="s">
        <v>69</v>
      </c>
      <c r="C201" s="1">
        <v>45191.257071759261</v>
      </c>
      <c r="D201" t="str">
        <f ca="1">VLOOKUP(qry_ProdData2_PDI_Cash_Exception_Application[[#This Row],[TYPE]],#REF!,2,FALSE)</f>
        <v>type40</v>
      </c>
      <c r="E201">
        <v>-750.58</v>
      </c>
      <c r="F201" t="s">
        <v>47</v>
      </c>
      <c r="G201" s="1">
        <f>qry_ProdData2_PDI_Cash_Exception_Application[[#This Row],[INSERT DATE]]+2</f>
        <v>45193.257071759261</v>
      </c>
      <c r="H201" t="str">
        <f>VLOOKUP(qry_ProdData2_PDI_Cash_Exception_Application[[#This Row],[MARKET No]],'Site Allocation'!$B$2:$C$37,2,FALSE)</f>
        <v>Analyst3</v>
      </c>
      <c r="I201" s="4">
        <f t="shared" ca="1" si="3"/>
        <v>45203</v>
      </c>
      <c r="J201" s="42">
        <f ca="1">TODAY()-qry_ProdData2_PDI_Cash_Exception_Application[[#This Row],[INSERT DATE]]</f>
        <v>11.742928240739275</v>
      </c>
      <c r="K2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1">
        <f ca="1">qry_ProdData2_PDI_Cash_Exception_Application[[#This Row],[TODAY]]-qry_ProdData2_PDI_Cash_Exception_Application[[#This Row],[CHANGED ON]]</f>
        <v>9.7429282407392748</v>
      </c>
      <c r="M201">
        <f ca="1">qry_ProdData2_PDI_Cash_Exception_Application[[#This Row],[TODAY]]-qry_ProdData2_PDI_Cash_Exception_Application[[#This Row],[CHANGED ON]]</f>
        <v>9.7429282407392748</v>
      </c>
      <c r="N201">
        <f ca="1">qry_ProdData2_PDI_Cash_Exception_Application[[#This Row],[TODAY]]-qry_ProdData2_PDI_Cash_Exception_Application[[#This Row],[CHANGED ON]]</f>
        <v>9.7429282407392748</v>
      </c>
    </row>
    <row r="202" spans="1:14" x14ac:dyDescent="0.35">
      <c r="A202">
        <v>1004</v>
      </c>
      <c r="B202" t="s">
        <v>58</v>
      </c>
      <c r="C202" s="1">
        <v>45180.257071759261</v>
      </c>
      <c r="D202" t="str">
        <f ca="1">VLOOKUP(qry_ProdData2_PDI_Cash_Exception_Application[[#This Row],[TYPE]],#REF!,2,FALSE)</f>
        <v>type40</v>
      </c>
      <c r="E202">
        <v>-6537.03</v>
      </c>
      <c r="F202" t="str">
        <f>qry_ProdData2_PDI_Cash_Exception_Application[[#This Row],[ANALYST]]</f>
        <v>Analyst1</v>
      </c>
      <c r="G202" s="1">
        <f>qry_ProdData2_PDI_Cash_Exception_Application[[#This Row],[INSERT DATE]]+2</f>
        <v>45182.257071759261</v>
      </c>
      <c r="H202" t="str">
        <f>VLOOKUP(qry_ProdData2_PDI_Cash_Exception_Application[[#This Row],[MARKET No]],'Site Allocation'!$B$2:$C$37,2,FALSE)</f>
        <v>Analyst1</v>
      </c>
      <c r="I202" s="4">
        <f t="shared" ca="1" si="3"/>
        <v>45203</v>
      </c>
      <c r="J202" s="42">
        <f ca="1">TODAY()-qry_ProdData2_PDI_Cash_Exception_Application[[#This Row],[INSERT DATE]]</f>
        <v>22.742928240739275</v>
      </c>
      <c r="K2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2">
        <f ca="1">qry_ProdData2_PDI_Cash_Exception_Application[[#This Row],[TODAY]]-qry_ProdData2_PDI_Cash_Exception_Application[[#This Row],[CHANGED ON]]</f>
        <v>20.742928240739275</v>
      </c>
      <c r="M202">
        <f ca="1">qry_ProdData2_PDI_Cash_Exception_Application[[#This Row],[TODAY]]-qry_ProdData2_PDI_Cash_Exception_Application[[#This Row],[CHANGED ON]]</f>
        <v>20.742928240739275</v>
      </c>
      <c r="N202">
        <f ca="1">qry_ProdData2_PDI_Cash_Exception_Application[[#This Row],[TODAY]]-qry_ProdData2_PDI_Cash_Exception_Application[[#This Row],[CHANGED ON]]</f>
        <v>20.742928240739275</v>
      </c>
    </row>
    <row r="203" spans="1:14" x14ac:dyDescent="0.35">
      <c r="A203">
        <v>1030</v>
      </c>
      <c r="B203" t="s">
        <v>84</v>
      </c>
      <c r="C203" s="1">
        <v>45189.257071759261</v>
      </c>
      <c r="D203" t="str">
        <f ca="1">VLOOKUP(qry_ProdData2_PDI_Cash_Exception_Application[[#This Row],[TYPE]],#REF!,2,FALSE)</f>
        <v>type40</v>
      </c>
      <c r="E203">
        <v>-5575.67</v>
      </c>
      <c r="G203" s="1">
        <f>qry_ProdData2_PDI_Cash_Exception_Application[[#This Row],[INSERT DATE]]+5</f>
        <v>45194.257071759261</v>
      </c>
      <c r="H203" t="str">
        <f>VLOOKUP(qry_ProdData2_PDI_Cash_Exception_Application[[#This Row],[MARKET No]],'Site Allocation'!$B$2:$C$37,2,FALSE)</f>
        <v>Analyst6</v>
      </c>
      <c r="I203" s="4">
        <f t="shared" ca="1" si="3"/>
        <v>45203</v>
      </c>
      <c r="J203" s="42">
        <f ca="1">TODAY()-qry_ProdData2_PDI_Cash_Exception_Application[[#This Row],[INSERT DATE]]</f>
        <v>13.742928240739275</v>
      </c>
      <c r="K2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3">
        <f ca="1">qry_ProdData2_PDI_Cash_Exception_Application[[#This Row],[TODAY]]-qry_ProdData2_PDI_Cash_Exception_Application[[#This Row],[CHANGED ON]]</f>
        <v>8.7429282407392748</v>
      </c>
      <c r="M203">
        <f ca="1">qry_ProdData2_PDI_Cash_Exception_Application[[#This Row],[TODAY]]-qry_ProdData2_PDI_Cash_Exception_Application[[#This Row],[CHANGED ON]]</f>
        <v>8.7429282407392748</v>
      </c>
      <c r="N203">
        <f ca="1">qry_ProdData2_PDI_Cash_Exception_Application[[#This Row],[TODAY]]-qry_ProdData2_PDI_Cash_Exception_Application[[#This Row],[CHANGED ON]]</f>
        <v>8.7429282407392748</v>
      </c>
    </row>
    <row r="204" spans="1:14" x14ac:dyDescent="0.35">
      <c r="A204">
        <v>1024</v>
      </c>
      <c r="B204" t="s">
        <v>78</v>
      </c>
      <c r="C204" s="1">
        <v>45186.257071759261</v>
      </c>
      <c r="D204" t="str">
        <f ca="1">VLOOKUP(qry_ProdData2_PDI_Cash_Exception_Application[[#This Row],[TYPE]],#REF!,2,FALSE)</f>
        <v>type38</v>
      </c>
      <c r="E204">
        <v>167.43</v>
      </c>
      <c r="F204" t="str">
        <f>qry_ProdData2_PDI_Cash_Exception_Application[[#This Row],[ANALYST]]</f>
        <v>Analyst5</v>
      </c>
      <c r="G204" s="1">
        <f>qry_ProdData2_PDI_Cash_Exception_Application[[#This Row],[INSERT DATE]]+1</f>
        <v>45187.257071759261</v>
      </c>
      <c r="H204" t="str">
        <f>VLOOKUP(qry_ProdData2_PDI_Cash_Exception_Application[[#This Row],[MARKET No]],'Site Allocation'!$B$2:$C$37,2,FALSE)</f>
        <v>Analyst5</v>
      </c>
      <c r="I204" s="4">
        <f t="shared" ca="1" si="3"/>
        <v>45203</v>
      </c>
      <c r="J204" s="42">
        <f ca="1">TODAY()-qry_ProdData2_PDI_Cash_Exception_Application[[#This Row],[INSERT DATE]]</f>
        <v>16.742928240739275</v>
      </c>
      <c r="K2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4">
        <f ca="1">qry_ProdData2_PDI_Cash_Exception_Application[[#This Row],[TODAY]]-qry_ProdData2_PDI_Cash_Exception_Application[[#This Row],[CHANGED ON]]</f>
        <v>15.742928240739275</v>
      </c>
      <c r="M204">
        <f ca="1">qry_ProdData2_PDI_Cash_Exception_Application[[#This Row],[TODAY]]-qry_ProdData2_PDI_Cash_Exception_Application[[#This Row],[CHANGED ON]]</f>
        <v>15.742928240739275</v>
      </c>
      <c r="N204">
        <f ca="1">qry_ProdData2_PDI_Cash_Exception_Application[[#This Row],[TODAY]]-qry_ProdData2_PDI_Cash_Exception_Application[[#This Row],[CHANGED ON]]</f>
        <v>15.742928240739275</v>
      </c>
    </row>
    <row r="205" spans="1:14" x14ac:dyDescent="0.35">
      <c r="A205">
        <v>1022</v>
      </c>
      <c r="B205" t="s">
        <v>76</v>
      </c>
      <c r="C205" s="1">
        <v>45180.257071759261</v>
      </c>
      <c r="D205" t="str">
        <f ca="1">VLOOKUP(qry_ProdData2_PDI_Cash_Exception_Application[[#This Row],[TYPE]],#REF!,2,FALSE)</f>
        <v>type40</v>
      </c>
      <c r="E205">
        <v>862.07</v>
      </c>
      <c r="F205" t="str">
        <f>qry_ProdData2_PDI_Cash_Exception_Application[[#This Row],[ANALYST]]</f>
        <v>Analyst4</v>
      </c>
      <c r="G205" s="1">
        <f>qry_ProdData2_PDI_Cash_Exception_Application[[#This Row],[INSERT DATE]]+5</f>
        <v>45185.257071759261</v>
      </c>
      <c r="H205" t="str">
        <f>VLOOKUP(qry_ProdData2_PDI_Cash_Exception_Application[[#This Row],[MARKET No]],'Site Allocation'!$B$2:$C$37,2,FALSE)</f>
        <v>Analyst4</v>
      </c>
      <c r="I205" s="4">
        <f t="shared" ca="1" si="3"/>
        <v>45203</v>
      </c>
      <c r="J205" s="42">
        <f ca="1">TODAY()-qry_ProdData2_PDI_Cash_Exception_Application[[#This Row],[INSERT DATE]]</f>
        <v>22.742928240739275</v>
      </c>
      <c r="K2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5">
        <f ca="1">qry_ProdData2_PDI_Cash_Exception_Application[[#This Row],[TODAY]]-qry_ProdData2_PDI_Cash_Exception_Application[[#This Row],[CHANGED ON]]</f>
        <v>17.742928240739275</v>
      </c>
      <c r="M205">
        <f ca="1">qry_ProdData2_PDI_Cash_Exception_Application[[#This Row],[TODAY]]-qry_ProdData2_PDI_Cash_Exception_Application[[#This Row],[CHANGED ON]]</f>
        <v>17.742928240739275</v>
      </c>
      <c r="N205">
        <f ca="1">qry_ProdData2_PDI_Cash_Exception_Application[[#This Row],[TODAY]]-qry_ProdData2_PDI_Cash_Exception_Application[[#This Row],[CHANGED ON]]</f>
        <v>17.742928240739275</v>
      </c>
    </row>
    <row r="206" spans="1:14" x14ac:dyDescent="0.35">
      <c r="A206">
        <v>1030</v>
      </c>
      <c r="B206" t="s">
        <v>84</v>
      </c>
      <c r="C206" s="1">
        <v>45185.257071759261</v>
      </c>
      <c r="D206" t="str">
        <f ca="1">VLOOKUP(qry_ProdData2_PDI_Cash_Exception_Application[[#This Row],[TYPE]],#REF!,2,FALSE)</f>
        <v>type40</v>
      </c>
      <c r="E206">
        <v>511.96</v>
      </c>
      <c r="G206" s="1">
        <f>qry_ProdData2_PDI_Cash_Exception_Application[[#This Row],[INSERT DATE]]+5</f>
        <v>45190.257071759261</v>
      </c>
      <c r="H206" t="str">
        <f>VLOOKUP(qry_ProdData2_PDI_Cash_Exception_Application[[#This Row],[MARKET No]],'Site Allocation'!$B$2:$C$37,2,FALSE)</f>
        <v>Analyst6</v>
      </c>
      <c r="I206" s="4">
        <f t="shared" ca="1" si="3"/>
        <v>45203</v>
      </c>
      <c r="J206" s="42">
        <f ca="1">TODAY()-qry_ProdData2_PDI_Cash_Exception_Application[[#This Row],[INSERT DATE]]</f>
        <v>17.742928240739275</v>
      </c>
      <c r="K2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6">
        <f ca="1">qry_ProdData2_PDI_Cash_Exception_Application[[#This Row],[TODAY]]-qry_ProdData2_PDI_Cash_Exception_Application[[#This Row],[CHANGED ON]]</f>
        <v>12.742928240739275</v>
      </c>
      <c r="M206">
        <f ca="1">qry_ProdData2_PDI_Cash_Exception_Application[[#This Row],[TODAY]]-qry_ProdData2_PDI_Cash_Exception_Application[[#This Row],[CHANGED ON]]</f>
        <v>12.742928240739275</v>
      </c>
      <c r="N206">
        <f ca="1">qry_ProdData2_PDI_Cash_Exception_Application[[#This Row],[TODAY]]-qry_ProdData2_PDI_Cash_Exception_Application[[#This Row],[CHANGED ON]]</f>
        <v>12.742928240739275</v>
      </c>
    </row>
    <row r="207" spans="1:14" x14ac:dyDescent="0.35">
      <c r="A207">
        <v>1004</v>
      </c>
      <c r="B207" t="s">
        <v>58</v>
      </c>
      <c r="C207" s="1">
        <v>45187.257071759261</v>
      </c>
      <c r="D207" t="str">
        <f ca="1">VLOOKUP(qry_ProdData2_PDI_Cash_Exception_Application[[#This Row],[TYPE]],#REF!,2,FALSE)</f>
        <v>type40</v>
      </c>
      <c r="E207">
        <v>-8510.4500000000007</v>
      </c>
      <c r="F207" t="str">
        <f>qry_ProdData2_PDI_Cash_Exception_Application[[#This Row],[ANALYST]]</f>
        <v>Analyst1</v>
      </c>
      <c r="G207" s="1">
        <f>qry_ProdData2_PDI_Cash_Exception_Application[[#This Row],[INSERT DATE]]+2</f>
        <v>45189.257071759261</v>
      </c>
      <c r="H207" t="str">
        <f>VLOOKUP(qry_ProdData2_PDI_Cash_Exception_Application[[#This Row],[MARKET No]],'Site Allocation'!$B$2:$C$37,2,FALSE)</f>
        <v>Analyst1</v>
      </c>
      <c r="I207" s="4">
        <f t="shared" ca="1" si="3"/>
        <v>45203</v>
      </c>
      <c r="J207" s="42">
        <f ca="1">TODAY()-qry_ProdData2_PDI_Cash_Exception_Application[[#This Row],[INSERT DATE]]</f>
        <v>15.742928240739275</v>
      </c>
      <c r="K2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7">
        <f ca="1">qry_ProdData2_PDI_Cash_Exception_Application[[#This Row],[TODAY]]-qry_ProdData2_PDI_Cash_Exception_Application[[#This Row],[CHANGED ON]]</f>
        <v>13.742928240739275</v>
      </c>
      <c r="M207">
        <f ca="1">qry_ProdData2_PDI_Cash_Exception_Application[[#This Row],[TODAY]]-qry_ProdData2_PDI_Cash_Exception_Application[[#This Row],[CHANGED ON]]</f>
        <v>13.742928240739275</v>
      </c>
      <c r="N207">
        <f ca="1">qry_ProdData2_PDI_Cash_Exception_Application[[#This Row],[TODAY]]-qry_ProdData2_PDI_Cash_Exception_Application[[#This Row],[CHANGED ON]]</f>
        <v>13.742928240739275</v>
      </c>
    </row>
    <row r="208" spans="1:14" x14ac:dyDescent="0.35">
      <c r="A208">
        <v>1030</v>
      </c>
      <c r="B208" t="s">
        <v>84</v>
      </c>
      <c r="C208" s="1">
        <v>45180.257071759261</v>
      </c>
      <c r="D208" t="str">
        <f ca="1">VLOOKUP(qry_ProdData2_PDI_Cash_Exception_Application[[#This Row],[TYPE]],#REF!,2,FALSE)</f>
        <v>type40</v>
      </c>
      <c r="E208">
        <v>-3456.15</v>
      </c>
      <c r="G208" s="1">
        <f>qry_ProdData2_PDI_Cash_Exception_Application[[#This Row],[INSERT DATE]]+5</f>
        <v>45185.257071759261</v>
      </c>
      <c r="H208" t="str">
        <f>VLOOKUP(qry_ProdData2_PDI_Cash_Exception_Application[[#This Row],[MARKET No]],'Site Allocation'!$B$2:$C$37,2,FALSE)</f>
        <v>Analyst6</v>
      </c>
      <c r="I208" s="4">
        <f t="shared" ca="1" si="3"/>
        <v>45203</v>
      </c>
      <c r="J208" s="42">
        <f ca="1">TODAY()-qry_ProdData2_PDI_Cash_Exception_Application[[#This Row],[INSERT DATE]]</f>
        <v>22.742928240739275</v>
      </c>
      <c r="K2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8">
        <f ca="1">qry_ProdData2_PDI_Cash_Exception_Application[[#This Row],[TODAY]]-qry_ProdData2_PDI_Cash_Exception_Application[[#This Row],[CHANGED ON]]</f>
        <v>17.742928240739275</v>
      </c>
      <c r="M208">
        <f ca="1">qry_ProdData2_PDI_Cash_Exception_Application[[#This Row],[TODAY]]-qry_ProdData2_PDI_Cash_Exception_Application[[#This Row],[CHANGED ON]]</f>
        <v>17.742928240739275</v>
      </c>
      <c r="N208">
        <f ca="1">qry_ProdData2_PDI_Cash_Exception_Application[[#This Row],[TODAY]]-qry_ProdData2_PDI_Cash_Exception_Application[[#This Row],[CHANGED ON]]</f>
        <v>17.742928240739275</v>
      </c>
    </row>
    <row r="209" spans="1:14" x14ac:dyDescent="0.35">
      <c r="A209">
        <v>1014</v>
      </c>
      <c r="B209" t="s">
        <v>68</v>
      </c>
      <c r="C209" s="1">
        <v>45179.257071759261</v>
      </c>
      <c r="D209" t="str">
        <f ca="1">VLOOKUP(qry_ProdData2_PDI_Cash_Exception_Application[[#This Row],[TYPE]],#REF!,2,FALSE)</f>
        <v>type40</v>
      </c>
      <c r="E209">
        <v>322.3</v>
      </c>
      <c r="G209" s="1">
        <f>qry_ProdData2_PDI_Cash_Exception_Application[[#This Row],[INSERT DATE]]+2</f>
        <v>45181.257071759261</v>
      </c>
      <c r="H209" t="str">
        <f>VLOOKUP(qry_ProdData2_PDI_Cash_Exception_Application[[#This Row],[MARKET No]],'Site Allocation'!$B$2:$C$37,2,FALSE)</f>
        <v>Analyst3</v>
      </c>
      <c r="I209" s="4">
        <f t="shared" ca="1" si="3"/>
        <v>45203</v>
      </c>
      <c r="J209" s="42">
        <f ca="1">TODAY()-qry_ProdData2_PDI_Cash_Exception_Application[[#This Row],[INSERT DATE]]</f>
        <v>23.742928240739275</v>
      </c>
      <c r="K2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9">
        <f ca="1">qry_ProdData2_PDI_Cash_Exception_Application[[#This Row],[TODAY]]-qry_ProdData2_PDI_Cash_Exception_Application[[#This Row],[CHANGED ON]]</f>
        <v>21.742928240739275</v>
      </c>
      <c r="M209">
        <f ca="1">qry_ProdData2_PDI_Cash_Exception_Application[[#This Row],[TODAY]]-qry_ProdData2_PDI_Cash_Exception_Application[[#This Row],[CHANGED ON]]</f>
        <v>21.742928240739275</v>
      </c>
      <c r="N209">
        <f ca="1">qry_ProdData2_PDI_Cash_Exception_Application[[#This Row],[TODAY]]-qry_ProdData2_PDI_Cash_Exception_Application[[#This Row],[CHANGED ON]]</f>
        <v>21.742928240739275</v>
      </c>
    </row>
    <row r="210" spans="1:14" x14ac:dyDescent="0.35">
      <c r="A210">
        <v>1000</v>
      </c>
      <c r="B210" t="s">
        <v>54</v>
      </c>
      <c r="C210" s="1">
        <v>45184.257071759261</v>
      </c>
      <c r="D210" t="str">
        <f ca="1">VLOOKUP(qry_ProdData2_PDI_Cash_Exception_Application[[#This Row],[TYPE]],#REF!,2,FALSE)</f>
        <v>type7</v>
      </c>
      <c r="E210">
        <v>-8874.64</v>
      </c>
      <c r="F210" t="str">
        <f>qry_ProdData2_PDI_Cash_Exception_Application[[#This Row],[ANALYST]]</f>
        <v>Analyst1</v>
      </c>
      <c r="G210" s="1">
        <f>qry_ProdData2_PDI_Cash_Exception_Application[[#This Row],[INSERT DATE]]+2</f>
        <v>45186.257071759261</v>
      </c>
      <c r="H210" t="str">
        <f>VLOOKUP(qry_ProdData2_PDI_Cash_Exception_Application[[#This Row],[MARKET No]],'Site Allocation'!$B$2:$C$37,2,FALSE)</f>
        <v>Analyst1</v>
      </c>
      <c r="I210" s="4">
        <f t="shared" ca="1" si="3"/>
        <v>45203</v>
      </c>
      <c r="J210" s="42">
        <f ca="1">TODAY()-qry_ProdData2_PDI_Cash_Exception_Application[[#This Row],[INSERT DATE]]</f>
        <v>18.742928240739275</v>
      </c>
      <c r="K2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0">
        <f ca="1">qry_ProdData2_PDI_Cash_Exception_Application[[#This Row],[TODAY]]-qry_ProdData2_PDI_Cash_Exception_Application[[#This Row],[CHANGED ON]]</f>
        <v>16.742928240739275</v>
      </c>
      <c r="M210">
        <f ca="1">qry_ProdData2_PDI_Cash_Exception_Application[[#This Row],[TODAY]]-qry_ProdData2_PDI_Cash_Exception_Application[[#This Row],[CHANGED ON]]</f>
        <v>16.742928240739275</v>
      </c>
      <c r="N210">
        <f ca="1">qry_ProdData2_PDI_Cash_Exception_Application[[#This Row],[TODAY]]-qry_ProdData2_PDI_Cash_Exception_Application[[#This Row],[CHANGED ON]]</f>
        <v>16.742928240739275</v>
      </c>
    </row>
    <row r="211" spans="1:14" x14ac:dyDescent="0.35">
      <c r="A211">
        <v>1026</v>
      </c>
      <c r="B211" t="s">
        <v>80</v>
      </c>
      <c r="C211" s="1">
        <v>45192.257071759261</v>
      </c>
      <c r="D211" t="str">
        <f ca="1">VLOOKUP(qry_ProdData2_PDI_Cash_Exception_Application[[#This Row],[TYPE]],#REF!,2,FALSE)</f>
        <v>type40</v>
      </c>
      <c r="E211">
        <v>-746.54</v>
      </c>
      <c r="F211" t="s">
        <v>48</v>
      </c>
      <c r="G211" s="1">
        <f>qry_ProdData2_PDI_Cash_Exception_Application[[#This Row],[INSERT DATE]]+1</f>
        <v>45193.257071759261</v>
      </c>
      <c r="H211" t="str">
        <f>VLOOKUP(qry_ProdData2_PDI_Cash_Exception_Application[[#This Row],[MARKET No]],'Site Allocation'!$B$2:$C$37,2,FALSE)</f>
        <v>Analyst5</v>
      </c>
      <c r="I211" s="4">
        <f t="shared" ca="1" si="3"/>
        <v>45203</v>
      </c>
      <c r="J211" s="42">
        <f ca="1">TODAY()-qry_ProdData2_PDI_Cash_Exception_Application[[#This Row],[INSERT DATE]]</f>
        <v>10.742928240739275</v>
      </c>
      <c r="K2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1">
        <f ca="1">qry_ProdData2_PDI_Cash_Exception_Application[[#This Row],[TODAY]]-qry_ProdData2_PDI_Cash_Exception_Application[[#This Row],[CHANGED ON]]</f>
        <v>9.7429282407392748</v>
      </c>
      <c r="M211">
        <f ca="1">qry_ProdData2_PDI_Cash_Exception_Application[[#This Row],[TODAY]]-qry_ProdData2_PDI_Cash_Exception_Application[[#This Row],[CHANGED ON]]</f>
        <v>9.7429282407392748</v>
      </c>
      <c r="N211">
        <f ca="1">qry_ProdData2_PDI_Cash_Exception_Application[[#This Row],[TODAY]]-qry_ProdData2_PDI_Cash_Exception_Application[[#This Row],[CHANGED ON]]</f>
        <v>9.7429282407392748</v>
      </c>
    </row>
    <row r="212" spans="1:14" x14ac:dyDescent="0.35">
      <c r="A212">
        <v>1005</v>
      </c>
      <c r="B212" t="s">
        <v>59</v>
      </c>
      <c r="C212" s="1">
        <v>45185.257071759261</v>
      </c>
      <c r="D212" t="str">
        <f ca="1">VLOOKUP(qry_ProdData2_PDI_Cash_Exception_Application[[#This Row],[TYPE]],#REF!,2,FALSE)</f>
        <v>type8</v>
      </c>
      <c r="E212">
        <v>54.37</v>
      </c>
      <c r="F212" t="str">
        <f>qry_ProdData2_PDI_Cash_Exception_Application[[#This Row],[ANALYST]]</f>
        <v>Analyst1</v>
      </c>
      <c r="G212" s="1">
        <f>qry_ProdData2_PDI_Cash_Exception_Application[[#This Row],[INSERT DATE]]+2</f>
        <v>45187.257071759261</v>
      </c>
      <c r="H212" t="str">
        <f>VLOOKUP(qry_ProdData2_PDI_Cash_Exception_Application[[#This Row],[MARKET No]],'Site Allocation'!$B$2:$C$37,2,FALSE)</f>
        <v>Analyst1</v>
      </c>
      <c r="I212" s="4">
        <f t="shared" ca="1" si="3"/>
        <v>45203</v>
      </c>
      <c r="J212" s="42">
        <f ca="1">TODAY()-qry_ProdData2_PDI_Cash_Exception_Application[[#This Row],[INSERT DATE]]</f>
        <v>17.742928240739275</v>
      </c>
      <c r="K2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2">
        <f ca="1">qry_ProdData2_PDI_Cash_Exception_Application[[#This Row],[TODAY]]-qry_ProdData2_PDI_Cash_Exception_Application[[#This Row],[CHANGED ON]]</f>
        <v>15.742928240739275</v>
      </c>
      <c r="M212">
        <f ca="1">qry_ProdData2_PDI_Cash_Exception_Application[[#This Row],[TODAY]]-qry_ProdData2_PDI_Cash_Exception_Application[[#This Row],[CHANGED ON]]</f>
        <v>15.742928240739275</v>
      </c>
      <c r="N212">
        <f ca="1">qry_ProdData2_PDI_Cash_Exception_Application[[#This Row],[TODAY]]-qry_ProdData2_PDI_Cash_Exception_Application[[#This Row],[CHANGED ON]]</f>
        <v>15.742928240739275</v>
      </c>
    </row>
    <row r="213" spans="1:14" x14ac:dyDescent="0.35">
      <c r="A213">
        <v>1007</v>
      </c>
      <c r="B213" t="s">
        <v>61</v>
      </c>
      <c r="C213" s="1">
        <v>45183.257071759261</v>
      </c>
      <c r="D213" t="str">
        <f ca="1">VLOOKUP(qry_ProdData2_PDI_Cash_Exception_Application[[#This Row],[TYPE]],#REF!,2,FALSE)</f>
        <v>type40</v>
      </c>
      <c r="E213">
        <v>21507.8</v>
      </c>
      <c r="F213" t="s">
        <v>47</v>
      </c>
      <c r="G213" s="1">
        <f>qry_ProdData2_PDI_Cash_Exception_Application[[#This Row],[INSERT DATE]]+5</f>
        <v>45188.257071759261</v>
      </c>
      <c r="H213" t="str">
        <f>VLOOKUP(qry_ProdData2_PDI_Cash_Exception_Application[[#This Row],[MARKET No]],'Site Allocation'!$B$2:$C$37,2,FALSE)</f>
        <v>Analyst2</v>
      </c>
      <c r="I213" s="4">
        <f t="shared" ca="1" si="3"/>
        <v>45203</v>
      </c>
      <c r="J213" s="42">
        <f ca="1">TODAY()-qry_ProdData2_PDI_Cash_Exception_Application[[#This Row],[INSERT DATE]]</f>
        <v>19.742928240739275</v>
      </c>
      <c r="K2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3">
        <f ca="1">qry_ProdData2_PDI_Cash_Exception_Application[[#This Row],[TODAY]]-qry_ProdData2_PDI_Cash_Exception_Application[[#This Row],[CHANGED ON]]</f>
        <v>14.742928240739275</v>
      </c>
      <c r="M213">
        <f ca="1">qry_ProdData2_PDI_Cash_Exception_Application[[#This Row],[TODAY]]-qry_ProdData2_PDI_Cash_Exception_Application[[#This Row],[CHANGED ON]]</f>
        <v>14.742928240739275</v>
      </c>
      <c r="N213">
        <f ca="1">qry_ProdData2_PDI_Cash_Exception_Application[[#This Row],[TODAY]]-qry_ProdData2_PDI_Cash_Exception_Application[[#This Row],[CHANGED ON]]</f>
        <v>14.742928240739275</v>
      </c>
    </row>
    <row r="214" spans="1:14" x14ac:dyDescent="0.35">
      <c r="A214">
        <v>1029</v>
      </c>
      <c r="B214" t="s">
        <v>83</v>
      </c>
      <c r="C214" s="1">
        <v>45185.257071759261</v>
      </c>
      <c r="D214" t="str">
        <f ca="1">VLOOKUP(qry_ProdData2_PDI_Cash_Exception_Application[[#This Row],[TYPE]],#REF!,2,FALSE)</f>
        <v>type40</v>
      </c>
      <c r="E214">
        <v>3272</v>
      </c>
      <c r="F214" t="str">
        <f>qry_ProdData2_PDI_Cash_Exception_Application[[#This Row],[ANALYST]]</f>
        <v>Analyst5</v>
      </c>
      <c r="G214" s="1">
        <f>qry_ProdData2_PDI_Cash_Exception_Application[[#This Row],[INSERT DATE]]+1</f>
        <v>45186.257071759261</v>
      </c>
      <c r="H214" t="str">
        <f>VLOOKUP(qry_ProdData2_PDI_Cash_Exception_Application[[#This Row],[MARKET No]],'Site Allocation'!$B$2:$C$37,2,FALSE)</f>
        <v>Analyst5</v>
      </c>
      <c r="I214" s="4">
        <f t="shared" ca="1" si="3"/>
        <v>45203</v>
      </c>
      <c r="J214" s="42">
        <f ca="1">TODAY()-qry_ProdData2_PDI_Cash_Exception_Application[[#This Row],[INSERT DATE]]</f>
        <v>17.742928240739275</v>
      </c>
      <c r="K2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4">
        <f ca="1">qry_ProdData2_PDI_Cash_Exception_Application[[#This Row],[TODAY]]-qry_ProdData2_PDI_Cash_Exception_Application[[#This Row],[CHANGED ON]]</f>
        <v>16.742928240739275</v>
      </c>
      <c r="M214">
        <f ca="1">qry_ProdData2_PDI_Cash_Exception_Application[[#This Row],[TODAY]]-qry_ProdData2_PDI_Cash_Exception_Application[[#This Row],[CHANGED ON]]</f>
        <v>16.742928240739275</v>
      </c>
      <c r="N214">
        <f ca="1">qry_ProdData2_PDI_Cash_Exception_Application[[#This Row],[TODAY]]-qry_ProdData2_PDI_Cash_Exception_Application[[#This Row],[CHANGED ON]]</f>
        <v>16.742928240739275</v>
      </c>
    </row>
    <row r="215" spans="1:14" x14ac:dyDescent="0.35">
      <c r="A215">
        <v>1035</v>
      </c>
      <c r="B215" t="s">
        <v>89</v>
      </c>
      <c r="C215" s="1">
        <v>45186.257071759261</v>
      </c>
      <c r="D215" t="str">
        <f ca="1">VLOOKUP(qry_ProdData2_PDI_Cash_Exception_Application[[#This Row],[TYPE]],#REF!,2,FALSE)</f>
        <v>type2</v>
      </c>
      <c r="E215">
        <v>1785</v>
      </c>
      <c r="G215" s="1">
        <f>qry_ProdData2_PDI_Cash_Exception_Application[[#This Row],[INSERT DATE]]+7</f>
        <v>45193.257071759261</v>
      </c>
      <c r="H215" t="str">
        <f>VLOOKUP(qry_ProdData2_PDI_Cash_Exception_Application[[#This Row],[MARKET No]],'Site Allocation'!$B$2:$C$37,2,FALSE)</f>
        <v>Analyst6</v>
      </c>
      <c r="I215" s="4">
        <f t="shared" ca="1" si="3"/>
        <v>45203</v>
      </c>
      <c r="J215" s="42">
        <f ca="1">TODAY()-qry_ProdData2_PDI_Cash_Exception_Application[[#This Row],[INSERT DATE]]</f>
        <v>16.742928240739275</v>
      </c>
      <c r="K2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5">
        <f ca="1">qry_ProdData2_PDI_Cash_Exception_Application[[#This Row],[TODAY]]-qry_ProdData2_PDI_Cash_Exception_Application[[#This Row],[CHANGED ON]]</f>
        <v>9.7429282407392748</v>
      </c>
      <c r="M215">
        <f ca="1">qry_ProdData2_PDI_Cash_Exception_Application[[#This Row],[TODAY]]-qry_ProdData2_PDI_Cash_Exception_Application[[#This Row],[CHANGED ON]]</f>
        <v>9.7429282407392748</v>
      </c>
      <c r="N215">
        <f ca="1">qry_ProdData2_PDI_Cash_Exception_Application[[#This Row],[TODAY]]-qry_ProdData2_PDI_Cash_Exception_Application[[#This Row],[CHANGED ON]]</f>
        <v>9.7429282407392748</v>
      </c>
    </row>
    <row r="216" spans="1:14" x14ac:dyDescent="0.35">
      <c r="A216">
        <v>1027</v>
      </c>
      <c r="B216" t="s">
        <v>81</v>
      </c>
      <c r="C216" s="1">
        <v>45187.257071759261</v>
      </c>
      <c r="D216" t="str">
        <f ca="1">VLOOKUP(qry_ProdData2_PDI_Cash_Exception_Application[[#This Row],[TYPE]],#REF!,2,FALSE)</f>
        <v>type40</v>
      </c>
      <c r="E216">
        <v>-431.02</v>
      </c>
      <c r="F216" t="str">
        <f>qry_ProdData2_PDI_Cash_Exception_Application[[#This Row],[ANALYST]]</f>
        <v>Analyst5</v>
      </c>
      <c r="G216" s="1">
        <f>qry_ProdData2_PDI_Cash_Exception_Application[[#This Row],[INSERT DATE]]+1</f>
        <v>45188.257071759261</v>
      </c>
      <c r="H216" t="str">
        <f>VLOOKUP(qry_ProdData2_PDI_Cash_Exception_Application[[#This Row],[MARKET No]],'Site Allocation'!$B$2:$C$37,2,FALSE)</f>
        <v>Analyst5</v>
      </c>
      <c r="I216" s="4">
        <f t="shared" ca="1" si="3"/>
        <v>45203</v>
      </c>
      <c r="J216" s="42">
        <f ca="1">TODAY()-qry_ProdData2_PDI_Cash_Exception_Application[[#This Row],[INSERT DATE]]</f>
        <v>15.742928240739275</v>
      </c>
      <c r="K2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6">
        <f ca="1">qry_ProdData2_PDI_Cash_Exception_Application[[#This Row],[TODAY]]-qry_ProdData2_PDI_Cash_Exception_Application[[#This Row],[CHANGED ON]]</f>
        <v>14.742928240739275</v>
      </c>
      <c r="M216">
        <f ca="1">qry_ProdData2_PDI_Cash_Exception_Application[[#This Row],[TODAY]]-qry_ProdData2_PDI_Cash_Exception_Application[[#This Row],[CHANGED ON]]</f>
        <v>14.742928240739275</v>
      </c>
      <c r="N216">
        <f ca="1">qry_ProdData2_PDI_Cash_Exception_Application[[#This Row],[TODAY]]-qry_ProdData2_PDI_Cash_Exception_Application[[#This Row],[CHANGED ON]]</f>
        <v>14.742928240739275</v>
      </c>
    </row>
    <row r="217" spans="1:14" x14ac:dyDescent="0.35">
      <c r="A217">
        <v>1015</v>
      </c>
      <c r="B217" t="s">
        <v>69</v>
      </c>
      <c r="C217" s="1">
        <v>45186.257071759261</v>
      </c>
      <c r="D217" t="str">
        <f ca="1">VLOOKUP(qry_ProdData2_PDI_Cash_Exception_Application[[#This Row],[TYPE]],#REF!,2,FALSE)</f>
        <v>type13</v>
      </c>
      <c r="E217">
        <v>50056.639999999999</v>
      </c>
      <c r="G217" s="1">
        <f>qry_ProdData2_PDI_Cash_Exception_Application[[#This Row],[INSERT DATE]]+5</f>
        <v>45191.257071759261</v>
      </c>
      <c r="H217" t="str">
        <f>VLOOKUP(qry_ProdData2_PDI_Cash_Exception_Application[[#This Row],[MARKET No]],'Site Allocation'!$B$2:$C$37,2,FALSE)</f>
        <v>Analyst3</v>
      </c>
      <c r="I217" s="4">
        <f t="shared" ca="1" si="3"/>
        <v>45203</v>
      </c>
      <c r="J217" s="42">
        <f ca="1">TODAY()-qry_ProdData2_PDI_Cash_Exception_Application[[#This Row],[INSERT DATE]]</f>
        <v>16.742928240739275</v>
      </c>
      <c r="K2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7">
        <f ca="1">qry_ProdData2_PDI_Cash_Exception_Application[[#This Row],[TODAY]]-qry_ProdData2_PDI_Cash_Exception_Application[[#This Row],[CHANGED ON]]</f>
        <v>11.742928240739275</v>
      </c>
      <c r="M217">
        <f ca="1">qry_ProdData2_PDI_Cash_Exception_Application[[#This Row],[TODAY]]-qry_ProdData2_PDI_Cash_Exception_Application[[#This Row],[CHANGED ON]]</f>
        <v>11.742928240739275</v>
      </c>
      <c r="N217">
        <f ca="1">qry_ProdData2_PDI_Cash_Exception_Application[[#This Row],[TODAY]]-qry_ProdData2_PDI_Cash_Exception_Application[[#This Row],[CHANGED ON]]</f>
        <v>11.742928240739275</v>
      </c>
    </row>
    <row r="218" spans="1:14" x14ac:dyDescent="0.35">
      <c r="A218">
        <v>1020</v>
      </c>
      <c r="B218" t="s">
        <v>74</v>
      </c>
      <c r="C218" s="1">
        <v>45188.257071759261</v>
      </c>
      <c r="D218" t="str">
        <f ca="1">VLOOKUP(qry_ProdData2_PDI_Cash_Exception_Application[[#This Row],[TYPE]],#REF!,2,FALSE)</f>
        <v>type40</v>
      </c>
      <c r="E218">
        <v>780.74</v>
      </c>
      <c r="F218" t="str">
        <f>qry_ProdData2_PDI_Cash_Exception_Application[[#This Row],[ANALYST]]</f>
        <v>Analyst4</v>
      </c>
      <c r="G218" s="1">
        <f>qry_ProdData2_PDI_Cash_Exception_Application[[#This Row],[INSERT DATE]]+7</f>
        <v>45195.257071759261</v>
      </c>
      <c r="H218" t="str">
        <f>VLOOKUP(qry_ProdData2_PDI_Cash_Exception_Application[[#This Row],[MARKET No]],'Site Allocation'!$B$2:$C$37,2,FALSE)</f>
        <v>Analyst4</v>
      </c>
      <c r="I218" s="4">
        <f t="shared" ca="1" si="3"/>
        <v>45203</v>
      </c>
      <c r="J218" s="42">
        <f ca="1">TODAY()-qry_ProdData2_PDI_Cash_Exception_Application[[#This Row],[INSERT DATE]]</f>
        <v>14.742928240739275</v>
      </c>
      <c r="K2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8">
        <f ca="1">qry_ProdData2_PDI_Cash_Exception_Application[[#This Row],[TODAY]]-qry_ProdData2_PDI_Cash_Exception_Application[[#This Row],[CHANGED ON]]</f>
        <v>7.7429282407392748</v>
      </c>
      <c r="M218">
        <f ca="1">qry_ProdData2_PDI_Cash_Exception_Application[[#This Row],[TODAY]]-qry_ProdData2_PDI_Cash_Exception_Application[[#This Row],[CHANGED ON]]</f>
        <v>7.7429282407392748</v>
      </c>
      <c r="N218">
        <f ca="1">qry_ProdData2_PDI_Cash_Exception_Application[[#This Row],[TODAY]]-qry_ProdData2_PDI_Cash_Exception_Application[[#This Row],[CHANGED ON]]</f>
        <v>7.7429282407392748</v>
      </c>
    </row>
    <row r="219" spans="1:14" x14ac:dyDescent="0.35">
      <c r="A219">
        <v>1002</v>
      </c>
      <c r="B219" t="s">
        <v>56</v>
      </c>
      <c r="C219" s="1">
        <v>45185.257071759261</v>
      </c>
      <c r="D219" t="str">
        <f ca="1">VLOOKUP(qry_ProdData2_PDI_Cash_Exception_Application[[#This Row],[TYPE]],#REF!,2,FALSE)</f>
        <v>type40</v>
      </c>
      <c r="E219">
        <v>331</v>
      </c>
      <c r="F219" t="str">
        <f>qry_ProdData2_PDI_Cash_Exception_Application[[#This Row],[ANALYST]]</f>
        <v>Analyst1</v>
      </c>
      <c r="G219" s="1">
        <f>qry_ProdData2_PDI_Cash_Exception_Application[[#This Row],[INSERT DATE]]+5</f>
        <v>45190.257071759261</v>
      </c>
      <c r="H219" t="str">
        <f>VLOOKUP(qry_ProdData2_PDI_Cash_Exception_Application[[#This Row],[MARKET No]],'Site Allocation'!$B$2:$C$37,2,FALSE)</f>
        <v>Analyst1</v>
      </c>
      <c r="I219" s="4">
        <f t="shared" ca="1" si="3"/>
        <v>45203</v>
      </c>
      <c r="J219" s="42">
        <f ca="1">TODAY()-qry_ProdData2_PDI_Cash_Exception_Application[[#This Row],[INSERT DATE]]</f>
        <v>17.742928240739275</v>
      </c>
      <c r="K2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9">
        <f ca="1">qry_ProdData2_PDI_Cash_Exception_Application[[#This Row],[TODAY]]-qry_ProdData2_PDI_Cash_Exception_Application[[#This Row],[CHANGED ON]]</f>
        <v>12.742928240739275</v>
      </c>
      <c r="M219">
        <f ca="1">qry_ProdData2_PDI_Cash_Exception_Application[[#This Row],[TODAY]]-qry_ProdData2_PDI_Cash_Exception_Application[[#This Row],[CHANGED ON]]</f>
        <v>12.742928240739275</v>
      </c>
      <c r="N219">
        <f ca="1">qry_ProdData2_PDI_Cash_Exception_Application[[#This Row],[TODAY]]-qry_ProdData2_PDI_Cash_Exception_Application[[#This Row],[CHANGED ON]]</f>
        <v>12.742928240739275</v>
      </c>
    </row>
    <row r="220" spans="1:14" x14ac:dyDescent="0.35">
      <c r="A220">
        <v>1026</v>
      </c>
      <c r="B220" t="s">
        <v>80</v>
      </c>
      <c r="C220" s="1">
        <v>45181.257071759261</v>
      </c>
      <c r="D220" t="str">
        <f ca="1">VLOOKUP(qry_ProdData2_PDI_Cash_Exception_Application[[#This Row],[TYPE]],#REF!,2,FALSE)</f>
        <v>type38</v>
      </c>
      <c r="E220">
        <v>269.77</v>
      </c>
      <c r="F220" t="str">
        <f>qry_ProdData2_PDI_Cash_Exception_Application[[#This Row],[ANALYST]]</f>
        <v>Analyst5</v>
      </c>
      <c r="G220" s="1">
        <f>qry_ProdData2_PDI_Cash_Exception_Application[[#This Row],[INSERT DATE]]+1</f>
        <v>45182.257071759261</v>
      </c>
      <c r="H220" t="str">
        <f>VLOOKUP(qry_ProdData2_PDI_Cash_Exception_Application[[#This Row],[MARKET No]],'Site Allocation'!$B$2:$C$37,2,FALSE)</f>
        <v>Analyst5</v>
      </c>
      <c r="I220" s="4">
        <f t="shared" ca="1" si="3"/>
        <v>45203</v>
      </c>
      <c r="J220" s="42">
        <f ca="1">TODAY()-qry_ProdData2_PDI_Cash_Exception_Application[[#This Row],[INSERT DATE]]</f>
        <v>21.742928240739275</v>
      </c>
      <c r="K2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0">
        <f ca="1">qry_ProdData2_PDI_Cash_Exception_Application[[#This Row],[TODAY]]-qry_ProdData2_PDI_Cash_Exception_Application[[#This Row],[CHANGED ON]]</f>
        <v>20.742928240739275</v>
      </c>
      <c r="M220">
        <f ca="1">qry_ProdData2_PDI_Cash_Exception_Application[[#This Row],[TODAY]]-qry_ProdData2_PDI_Cash_Exception_Application[[#This Row],[CHANGED ON]]</f>
        <v>20.742928240739275</v>
      </c>
      <c r="N220">
        <f ca="1">qry_ProdData2_PDI_Cash_Exception_Application[[#This Row],[TODAY]]-qry_ProdData2_PDI_Cash_Exception_Application[[#This Row],[CHANGED ON]]</f>
        <v>20.742928240739275</v>
      </c>
    </row>
    <row r="221" spans="1:14" x14ac:dyDescent="0.35">
      <c r="A221">
        <v>1013</v>
      </c>
      <c r="B221" t="s">
        <v>67</v>
      </c>
      <c r="C221" s="1">
        <v>45179.257071759261</v>
      </c>
      <c r="D221" t="str">
        <f ca="1">VLOOKUP(qry_ProdData2_PDI_Cash_Exception_Application[[#This Row],[TYPE]],#REF!,2,FALSE)</f>
        <v>type40</v>
      </c>
      <c r="E221">
        <v>409.38</v>
      </c>
      <c r="G221" s="1">
        <f>qry_ProdData2_PDI_Cash_Exception_Application[[#This Row],[INSERT DATE]]+7</f>
        <v>45186.257071759261</v>
      </c>
      <c r="H221" t="str">
        <f>VLOOKUP(qry_ProdData2_PDI_Cash_Exception_Application[[#This Row],[MARKET No]],'Site Allocation'!$B$2:$C$37,2,FALSE)</f>
        <v>Analyst3</v>
      </c>
      <c r="I221" s="4">
        <f t="shared" ca="1" si="3"/>
        <v>45203</v>
      </c>
      <c r="J221" s="42">
        <f ca="1">TODAY()-qry_ProdData2_PDI_Cash_Exception_Application[[#This Row],[INSERT DATE]]</f>
        <v>23.742928240739275</v>
      </c>
      <c r="K2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1">
        <f ca="1">qry_ProdData2_PDI_Cash_Exception_Application[[#This Row],[TODAY]]-qry_ProdData2_PDI_Cash_Exception_Application[[#This Row],[CHANGED ON]]</f>
        <v>16.742928240739275</v>
      </c>
      <c r="M221">
        <f ca="1">qry_ProdData2_PDI_Cash_Exception_Application[[#This Row],[TODAY]]-qry_ProdData2_PDI_Cash_Exception_Application[[#This Row],[CHANGED ON]]</f>
        <v>16.742928240739275</v>
      </c>
      <c r="N221">
        <f ca="1">qry_ProdData2_PDI_Cash_Exception_Application[[#This Row],[TODAY]]-qry_ProdData2_PDI_Cash_Exception_Application[[#This Row],[CHANGED ON]]</f>
        <v>16.742928240739275</v>
      </c>
    </row>
    <row r="222" spans="1:14" x14ac:dyDescent="0.35">
      <c r="A222">
        <v>1026</v>
      </c>
      <c r="B222" t="s">
        <v>80</v>
      </c>
      <c r="C222" s="1">
        <v>45181.257071759261</v>
      </c>
      <c r="D222" t="str">
        <f ca="1">VLOOKUP(qry_ProdData2_PDI_Cash_Exception_Application[[#This Row],[TYPE]],#REF!,2,FALSE)</f>
        <v>type40</v>
      </c>
      <c r="E222">
        <v>339.6</v>
      </c>
      <c r="F222" t="str">
        <f>qry_ProdData2_PDI_Cash_Exception_Application[[#This Row],[ANALYST]]</f>
        <v>Analyst5</v>
      </c>
      <c r="G222" s="1">
        <f>qry_ProdData2_PDI_Cash_Exception_Application[[#This Row],[INSERT DATE]]+2</f>
        <v>45183.257071759261</v>
      </c>
      <c r="H222" t="str">
        <f>VLOOKUP(qry_ProdData2_PDI_Cash_Exception_Application[[#This Row],[MARKET No]],'Site Allocation'!$B$2:$C$37,2,FALSE)</f>
        <v>Analyst5</v>
      </c>
      <c r="I222" s="4">
        <f t="shared" ca="1" si="3"/>
        <v>45203</v>
      </c>
      <c r="J222" s="42">
        <f ca="1">TODAY()-qry_ProdData2_PDI_Cash_Exception_Application[[#This Row],[INSERT DATE]]</f>
        <v>21.742928240739275</v>
      </c>
      <c r="K2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2">
        <f ca="1">qry_ProdData2_PDI_Cash_Exception_Application[[#This Row],[TODAY]]-qry_ProdData2_PDI_Cash_Exception_Application[[#This Row],[CHANGED ON]]</f>
        <v>19.742928240739275</v>
      </c>
      <c r="M222">
        <f ca="1">qry_ProdData2_PDI_Cash_Exception_Application[[#This Row],[TODAY]]-qry_ProdData2_PDI_Cash_Exception_Application[[#This Row],[CHANGED ON]]</f>
        <v>19.742928240739275</v>
      </c>
      <c r="N222">
        <f ca="1">qry_ProdData2_PDI_Cash_Exception_Application[[#This Row],[TODAY]]-qry_ProdData2_PDI_Cash_Exception_Application[[#This Row],[CHANGED ON]]</f>
        <v>19.742928240739275</v>
      </c>
    </row>
    <row r="223" spans="1:14" x14ac:dyDescent="0.35">
      <c r="A223">
        <v>1013</v>
      </c>
      <c r="B223" t="s">
        <v>67</v>
      </c>
      <c r="C223" s="1">
        <v>45188.257071759261</v>
      </c>
      <c r="D223" t="str">
        <f ca="1">VLOOKUP(qry_ProdData2_PDI_Cash_Exception_Application[[#This Row],[TYPE]],#REF!,2,FALSE)</f>
        <v>type40</v>
      </c>
      <c r="E223">
        <v>-980.17</v>
      </c>
      <c r="F223" t="s">
        <v>48</v>
      </c>
      <c r="G223" s="1">
        <f>qry_ProdData2_PDI_Cash_Exception_Application[[#This Row],[INSERT DATE]]+1</f>
        <v>45189.257071759261</v>
      </c>
      <c r="H223" t="str">
        <f>VLOOKUP(qry_ProdData2_PDI_Cash_Exception_Application[[#This Row],[MARKET No]],'Site Allocation'!$B$2:$C$37,2,FALSE)</f>
        <v>Analyst3</v>
      </c>
      <c r="I223" s="4">
        <f t="shared" ca="1" si="3"/>
        <v>45203</v>
      </c>
      <c r="J223" s="42">
        <f ca="1">TODAY()-qry_ProdData2_PDI_Cash_Exception_Application[[#This Row],[INSERT DATE]]</f>
        <v>14.742928240739275</v>
      </c>
      <c r="K2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3">
        <f ca="1">qry_ProdData2_PDI_Cash_Exception_Application[[#This Row],[TODAY]]-qry_ProdData2_PDI_Cash_Exception_Application[[#This Row],[CHANGED ON]]</f>
        <v>13.742928240739275</v>
      </c>
      <c r="M223">
        <f ca="1">qry_ProdData2_PDI_Cash_Exception_Application[[#This Row],[TODAY]]-qry_ProdData2_PDI_Cash_Exception_Application[[#This Row],[CHANGED ON]]</f>
        <v>13.742928240739275</v>
      </c>
      <c r="N223">
        <f ca="1">qry_ProdData2_PDI_Cash_Exception_Application[[#This Row],[TODAY]]-qry_ProdData2_PDI_Cash_Exception_Application[[#This Row],[CHANGED ON]]</f>
        <v>13.742928240739275</v>
      </c>
    </row>
    <row r="224" spans="1:14" x14ac:dyDescent="0.35">
      <c r="A224">
        <v>1032</v>
      </c>
      <c r="B224" t="s">
        <v>86</v>
      </c>
      <c r="C224" s="1">
        <v>45190.257071759261</v>
      </c>
      <c r="D224" t="str">
        <f ca="1">VLOOKUP(qry_ProdData2_PDI_Cash_Exception_Application[[#This Row],[TYPE]],#REF!,2,FALSE)</f>
        <v>type40</v>
      </c>
      <c r="E224">
        <v>-3781.05</v>
      </c>
      <c r="F224" t="s">
        <v>47</v>
      </c>
      <c r="G224" s="1">
        <f>qry_ProdData2_PDI_Cash_Exception_Application[[#This Row],[INSERT DATE]]+5</f>
        <v>45195.257071759261</v>
      </c>
      <c r="H224" t="str">
        <f>VLOOKUP(qry_ProdData2_PDI_Cash_Exception_Application[[#This Row],[MARKET No]],'Site Allocation'!$B$2:$C$37,2,FALSE)</f>
        <v>Analyst6</v>
      </c>
      <c r="I224" s="4">
        <f t="shared" ca="1" si="3"/>
        <v>45203</v>
      </c>
      <c r="J224" s="42">
        <f ca="1">TODAY()-qry_ProdData2_PDI_Cash_Exception_Application[[#This Row],[INSERT DATE]]</f>
        <v>12.742928240739275</v>
      </c>
      <c r="K2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4">
        <f ca="1">qry_ProdData2_PDI_Cash_Exception_Application[[#This Row],[TODAY]]-qry_ProdData2_PDI_Cash_Exception_Application[[#This Row],[CHANGED ON]]</f>
        <v>7.7429282407392748</v>
      </c>
      <c r="M224">
        <f ca="1">qry_ProdData2_PDI_Cash_Exception_Application[[#This Row],[TODAY]]-qry_ProdData2_PDI_Cash_Exception_Application[[#This Row],[CHANGED ON]]</f>
        <v>7.7429282407392748</v>
      </c>
      <c r="N224">
        <f ca="1">qry_ProdData2_PDI_Cash_Exception_Application[[#This Row],[TODAY]]-qry_ProdData2_PDI_Cash_Exception_Application[[#This Row],[CHANGED ON]]</f>
        <v>7.7429282407392748</v>
      </c>
    </row>
    <row r="225" spans="1:14" x14ac:dyDescent="0.35">
      <c r="A225">
        <v>1007</v>
      </c>
      <c r="B225" t="s">
        <v>61</v>
      </c>
      <c r="C225" s="1">
        <v>45189.257071759261</v>
      </c>
      <c r="D225" t="str">
        <f ca="1">VLOOKUP(qry_ProdData2_PDI_Cash_Exception_Application[[#This Row],[TYPE]],#REF!,2,FALSE)</f>
        <v>type7</v>
      </c>
      <c r="E225">
        <v>1076.8800000000001</v>
      </c>
      <c r="F225" t="str">
        <f>qry_ProdData2_PDI_Cash_Exception_Application[[#This Row],[ANALYST]]</f>
        <v>Analyst2</v>
      </c>
      <c r="G225" s="1">
        <f>qry_ProdData2_PDI_Cash_Exception_Application[[#This Row],[INSERT DATE]]+1</f>
        <v>45190.257071759261</v>
      </c>
      <c r="H225" t="str">
        <f>VLOOKUP(qry_ProdData2_PDI_Cash_Exception_Application[[#This Row],[MARKET No]],'Site Allocation'!$B$2:$C$37,2,FALSE)</f>
        <v>Analyst2</v>
      </c>
      <c r="I225" s="4">
        <f t="shared" ca="1" si="3"/>
        <v>45203</v>
      </c>
      <c r="J225" s="42">
        <f ca="1">TODAY()-qry_ProdData2_PDI_Cash_Exception_Application[[#This Row],[INSERT DATE]]</f>
        <v>13.742928240739275</v>
      </c>
      <c r="K2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5">
        <f ca="1">qry_ProdData2_PDI_Cash_Exception_Application[[#This Row],[TODAY]]-qry_ProdData2_PDI_Cash_Exception_Application[[#This Row],[CHANGED ON]]</f>
        <v>12.742928240739275</v>
      </c>
      <c r="M225">
        <f ca="1">qry_ProdData2_PDI_Cash_Exception_Application[[#This Row],[TODAY]]-qry_ProdData2_PDI_Cash_Exception_Application[[#This Row],[CHANGED ON]]</f>
        <v>12.742928240739275</v>
      </c>
      <c r="N225">
        <f ca="1">qry_ProdData2_PDI_Cash_Exception_Application[[#This Row],[TODAY]]-qry_ProdData2_PDI_Cash_Exception_Application[[#This Row],[CHANGED ON]]</f>
        <v>12.742928240739275</v>
      </c>
    </row>
    <row r="226" spans="1:14" x14ac:dyDescent="0.35">
      <c r="A226">
        <v>1016</v>
      </c>
      <c r="B226" t="s">
        <v>70</v>
      </c>
      <c r="C226" s="1">
        <v>45192.257071759261</v>
      </c>
      <c r="D226" t="str">
        <f ca="1">VLOOKUP(qry_ProdData2_PDI_Cash_Exception_Application[[#This Row],[TYPE]],#REF!,2,FALSE)</f>
        <v>type40</v>
      </c>
      <c r="E226">
        <v>-423.95</v>
      </c>
      <c r="F226" t="s">
        <v>47</v>
      </c>
      <c r="G226" s="1">
        <f>qry_ProdData2_PDI_Cash_Exception_Application[[#This Row],[INSERT DATE]]+7</f>
        <v>45199.257071759261</v>
      </c>
      <c r="H226" t="str">
        <f>VLOOKUP(qry_ProdData2_PDI_Cash_Exception_Application[[#This Row],[MARKET No]],'Site Allocation'!$B$2:$C$37,2,FALSE)</f>
        <v>Analyst3</v>
      </c>
      <c r="I226" s="4">
        <f t="shared" ca="1" si="3"/>
        <v>45203</v>
      </c>
      <c r="J226" s="42">
        <f ca="1">TODAY()-qry_ProdData2_PDI_Cash_Exception_Application[[#This Row],[INSERT DATE]]</f>
        <v>10.742928240739275</v>
      </c>
      <c r="K2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6">
        <f ca="1">qry_ProdData2_PDI_Cash_Exception_Application[[#This Row],[TODAY]]-qry_ProdData2_PDI_Cash_Exception_Application[[#This Row],[CHANGED ON]]</f>
        <v>3.7429282407392748</v>
      </c>
      <c r="M226">
        <f ca="1">qry_ProdData2_PDI_Cash_Exception_Application[[#This Row],[TODAY]]-qry_ProdData2_PDI_Cash_Exception_Application[[#This Row],[CHANGED ON]]</f>
        <v>3.7429282407392748</v>
      </c>
      <c r="N226">
        <f ca="1">qry_ProdData2_PDI_Cash_Exception_Application[[#This Row],[TODAY]]-qry_ProdData2_PDI_Cash_Exception_Application[[#This Row],[CHANGED ON]]</f>
        <v>3.7429282407392748</v>
      </c>
    </row>
    <row r="227" spans="1:14" x14ac:dyDescent="0.35">
      <c r="A227">
        <v>1019</v>
      </c>
      <c r="B227" t="s">
        <v>73</v>
      </c>
      <c r="C227" s="1">
        <v>45195.257071759261</v>
      </c>
      <c r="D227" t="str">
        <f ca="1">VLOOKUP(qry_ProdData2_PDI_Cash_Exception_Application[[#This Row],[TYPE]],#REF!,2,FALSE)</f>
        <v>type7</v>
      </c>
      <c r="E227">
        <v>-16597.28</v>
      </c>
      <c r="F227" t="str">
        <f>qry_ProdData2_PDI_Cash_Exception_Application[[#This Row],[ANALYST]]</f>
        <v>Analyst4</v>
      </c>
      <c r="G227" s="1">
        <f>qry_ProdData2_PDI_Cash_Exception_Application[[#This Row],[INSERT DATE]]+1</f>
        <v>45196.257071759261</v>
      </c>
      <c r="H227" t="str">
        <f>VLOOKUP(qry_ProdData2_PDI_Cash_Exception_Application[[#This Row],[MARKET No]],'Site Allocation'!$B$2:$C$37,2,FALSE)</f>
        <v>Analyst4</v>
      </c>
      <c r="I227" s="4">
        <f t="shared" ca="1" si="3"/>
        <v>45203</v>
      </c>
      <c r="J227" s="42">
        <f ca="1">TODAY()-qry_ProdData2_PDI_Cash_Exception_Application[[#This Row],[INSERT DATE]]</f>
        <v>7.7429282407392748</v>
      </c>
      <c r="K2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27">
        <f ca="1">qry_ProdData2_PDI_Cash_Exception_Application[[#This Row],[TODAY]]-qry_ProdData2_PDI_Cash_Exception_Application[[#This Row],[CHANGED ON]]</f>
        <v>6.7429282407392748</v>
      </c>
      <c r="M227">
        <f ca="1">qry_ProdData2_PDI_Cash_Exception_Application[[#This Row],[TODAY]]-qry_ProdData2_PDI_Cash_Exception_Application[[#This Row],[CHANGED ON]]</f>
        <v>6.7429282407392748</v>
      </c>
      <c r="N227">
        <f ca="1">qry_ProdData2_PDI_Cash_Exception_Application[[#This Row],[TODAY]]-qry_ProdData2_PDI_Cash_Exception_Application[[#This Row],[CHANGED ON]]</f>
        <v>6.7429282407392748</v>
      </c>
    </row>
    <row r="228" spans="1:14" x14ac:dyDescent="0.35">
      <c r="A228">
        <v>1027</v>
      </c>
      <c r="B228" t="s">
        <v>81</v>
      </c>
      <c r="C228" s="1">
        <v>45182.257071759261</v>
      </c>
      <c r="D228" t="str">
        <f ca="1">VLOOKUP(qry_ProdData2_PDI_Cash_Exception_Application[[#This Row],[TYPE]],#REF!,2,FALSE)</f>
        <v>type40</v>
      </c>
      <c r="E228">
        <v>701.28</v>
      </c>
      <c r="F228" t="str">
        <f>qry_ProdData2_PDI_Cash_Exception_Application[[#This Row],[ANALYST]]</f>
        <v>Analyst5</v>
      </c>
      <c r="G228" s="1">
        <f>qry_ProdData2_PDI_Cash_Exception_Application[[#This Row],[INSERT DATE]]+2</f>
        <v>45184.257071759261</v>
      </c>
      <c r="H228" t="str">
        <f>VLOOKUP(qry_ProdData2_PDI_Cash_Exception_Application[[#This Row],[MARKET No]],'Site Allocation'!$B$2:$C$37,2,FALSE)</f>
        <v>Analyst5</v>
      </c>
      <c r="I228" s="4">
        <f t="shared" ca="1" si="3"/>
        <v>45203</v>
      </c>
      <c r="J228" s="42">
        <f ca="1">TODAY()-qry_ProdData2_PDI_Cash_Exception_Application[[#This Row],[INSERT DATE]]</f>
        <v>20.742928240739275</v>
      </c>
      <c r="K2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8">
        <f ca="1">qry_ProdData2_PDI_Cash_Exception_Application[[#This Row],[TODAY]]-qry_ProdData2_PDI_Cash_Exception_Application[[#This Row],[CHANGED ON]]</f>
        <v>18.742928240739275</v>
      </c>
      <c r="M228">
        <f ca="1">qry_ProdData2_PDI_Cash_Exception_Application[[#This Row],[TODAY]]-qry_ProdData2_PDI_Cash_Exception_Application[[#This Row],[CHANGED ON]]</f>
        <v>18.742928240739275</v>
      </c>
      <c r="N228">
        <f ca="1">qry_ProdData2_PDI_Cash_Exception_Application[[#This Row],[TODAY]]-qry_ProdData2_PDI_Cash_Exception_Application[[#This Row],[CHANGED ON]]</f>
        <v>18.742928240739275</v>
      </c>
    </row>
    <row r="229" spans="1:14" x14ac:dyDescent="0.35">
      <c r="A229">
        <v>1035</v>
      </c>
      <c r="B229" t="s">
        <v>89</v>
      </c>
      <c r="C229" s="1">
        <v>45184.257071759261</v>
      </c>
      <c r="D229" t="str">
        <f ca="1">VLOOKUP(qry_ProdData2_PDI_Cash_Exception_Application[[#This Row],[TYPE]],#REF!,2,FALSE)</f>
        <v>type13</v>
      </c>
      <c r="E229">
        <v>42398.69</v>
      </c>
      <c r="G229" s="1">
        <f>qry_ProdData2_PDI_Cash_Exception_Application[[#This Row],[INSERT DATE]]+1</f>
        <v>45185.257071759261</v>
      </c>
      <c r="H229" t="str">
        <f>VLOOKUP(qry_ProdData2_PDI_Cash_Exception_Application[[#This Row],[MARKET No]],'Site Allocation'!$B$2:$C$37,2,FALSE)</f>
        <v>Analyst6</v>
      </c>
      <c r="I229" s="4">
        <f t="shared" ca="1" si="3"/>
        <v>45203</v>
      </c>
      <c r="J229" s="42">
        <f ca="1">TODAY()-qry_ProdData2_PDI_Cash_Exception_Application[[#This Row],[INSERT DATE]]</f>
        <v>18.742928240739275</v>
      </c>
      <c r="K2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9">
        <f ca="1">qry_ProdData2_PDI_Cash_Exception_Application[[#This Row],[TODAY]]-qry_ProdData2_PDI_Cash_Exception_Application[[#This Row],[CHANGED ON]]</f>
        <v>17.742928240739275</v>
      </c>
      <c r="M229">
        <f ca="1">qry_ProdData2_PDI_Cash_Exception_Application[[#This Row],[TODAY]]-qry_ProdData2_PDI_Cash_Exception_Application[[#This Row],[CHANGED ON]]</f>
        <v>17.742928240739275</v>
      </c>
      <c r="N229">
        <f ca="1">qry_ProdData2_PDI_Cash_Exception_Application[[#This Row],[TODAY]]-qry_ProdData2_PDI_Cash_Exception_Application[[#This Row],[CHANGED ON]]</f>
        <v>17.742928240739275</v>
      </c>
    </row>
    <row r="230" spans="1:14" x14ac:dyDescent="0.35">
      <c r="A230">
        <v>1027</v>
      </c>
      <c r="B230" t="s">
        <v>81</v>
      </c>
      <c r="C230" s="1">
        <v>45182.257071759261</v>
      </c>
      <c r="D230" t="str">
        <f ca="1">VLOOKUP(qry_ProdData2_PDI_Cash_Exception_Application[[#This Row],[TYPE]],#REF!,2,FALSE)</f>
        <v>type40</v>
      </c>
      <c r="E230">
        <v>323.27</v>
      </c>
      <c r="F230" t="str">
        <f>qry_ProdData2_PDI_Cash_Exception_Application[[#This Row],[ANALYST]]</f>
        <v>Analyst5</v>
      </c>
      <c r="G230" s="1">
        <f>qry_ProdData2_PDI_Cash_Exception_Application[[#This Row],[INSERT DATE]]+2</f>
        <v>45184.257071759261</v>
      </c>
      <c r="H230" t="str">
        <f>VLOOKUP(qry_ProdData2_PDI_Cash_Exception_Application[[#This Row],[MARKET No]],'Site Allocation'!$B$2:$C$37,2,FALSE)</f>
        <v>Analyst5</v>
      </c>
      <c r="I230" s="4">
        <f t="shared" ca="1" si="3"/>
        <v>45203</v>
      </c>
      <c r="J230" s="42">
        <f ca="1">TODAY()-qry_ProdData2_PDI_Cash_Exception_Application[[#This Row],[INSERT DATE]]</f>
        <v>20.742928240739275</v>
      </c>
      <c r="K2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0">
        <f ca="1">qry_ProdData2_PDI_Cash_Exception_Application[[#This Row],[TODAY]]-qry_ProdData2_PDI_Cash_Exception_Application[[#This Row],[CHANGED ON]]</f>
        <v>18.742928240739275</v>
      </c>
      <c r="M230">
        <f ca="1">qry_ProdData2_PDI_Cash_Exception_Application[[#This Row],[TODAY]]-qry_ProdData2_PDI_Cash_Exception_Application[[#This Row],[CHANGED ON]]</f>
        <v>18.742928240739275</v>
      </c>
      <c r="N230">
        <f ca="1">qry_ProdData2_PDI_Cash_Exception_Application[[#This Row],[TODAY]]-qry_ProdData2_PDI_Cash_Exception_Application[[#This Row],[CHANGED ON]]</f>
        <v>18.742928240739275</v>
      </c>
    </row>
    <row r="231" spans="1:14" x14ac:dyDescent="0.35">
      <c r="A231">
        <v>1026</v>
      </c>
      <c r="B231" t="s">
        <v>80</v>
      </c>
      <c r="C231" s="1">
        <v>45184.257071759261</v>
      </c>
      <c r="D231" t="str">
        <f ca="1">VLOOKUP(qry_ProdData2_PDI_Cash_Exception_Application[[#This Row],[TYPE]],#REF!,2,FALSE)</f>
        <v>type40</v>
      </c>
      <c r="E231">
        <v>-21527.08</v>
      </c>
      <c r="F231" t="str">
        <f>qry_ProdData2_PDI_Cash_Exception_Application[[#This Row],[ANALYST]]</f>
        <v>Analyst5</v>
      </c>
      <c r="G231" s="1">
        <f>qry_ProdData2_PDI_Cash_Exception_Application[[#This Row],[INSERT DATE]]+2</f>
        <v>45186.257071759261</v>
      </c>
      <c r="H231" t="str">
        <f>VLOOKUP(qry_ProdData2_PDI_Cash_Exception_Application[[#This Row],[MARKET No]],'Site Allocation'!$B$2:$C$37,2,FALSE)</f>
        <v>Analyst5</v>
      </c>
      <c r="I231" s="4">
        <f t="shared" ca="1" si="3"/>
        <v>45203</v>
      </c>
      <c r="J231" s="42">
        <f ca="1">TODAY()-qry_ProdData2_PDI_Cash_Exception_Application[[#This Row],[INSERT DATE]]</f>
        <v>18.742928240739275</v>
      </c>
      <c r="K2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1">
        <f ca="1">qry_ProdData2_PDI_Cash_Exception_Application[[#This Row],[TODAY]]-qry_ProdData2_PDI_Cash_Exception_Application[[#This Row],[CHANGED ON]]</f>
        <v>16.742928240739275</v>
      </c>
      <c r="M231">
        <f ca="1">qry_ProdData2_PDI_Cash_Exception_Application[[#This Row],[TODAY]]-qry_ProdData2_PDI_Cash_Exception_Application[[#This Row],[CHANGED ON]]</f>
        <v>16.742928240739275</v>
      </c>
      <c r="N231">
        <f ca="1">qry_ProdData2_PDI_Cash_Exception_Application[[#This Row],[TODAY]]-qry_ProdData2_PDI_Cash_Exception_Application[[#This Row],[CHANGED ON]]</f>
        <v>16.742928240739275</v>
      </c>
    </row>
    <row r="232" spans="1:14" x14ac:dyDescent="0.35">
      <c r="A232">
        <v>1026</v>
      </c>
      <c r="B232" t="s">
        <v>80</v>
      </c>
      <c r="C232" s="1">
        <v>45189.257071759261</v>
      </c>
      <c r="D232" t="str">
        <f ca="1">VLOOKUP(qry_ProdData2_PDI_Cash_Exception_Application[[#This Row],[TYPE]],#REF!,2,FALSE)</f>
        <v>type40</v>
      </c>
      <c r="E232">
        <v>-465.11</v>
      </c>
      <c r="F232" t="str">
        <f>qry_ProdData2_PDI_Cash_Exception_Application[[#This Row],[ANALYST]]</f>
        <v>Analyst5</v>
      </c>
      <c r="G232" s="1">
        <f>qry_ProdData2_PDI_Cash_Exception_Application[[#This Row],[INSERT DATE]]+2</f>
        <v>45191.257071759261</v>
      </c>
      <c r="H232" t="str">
        <f>VLOOKUP(qry_ProdData2_PDI_Cash_Exception_Application[[#This Row],[MARKET No]],'Site Allocation'!$B$2:$C$37,2,FALSE)</f>
        <v>Analyst5</v>
      </c>
      <c r="I232" s="4">
        <f t="shared" ca="1" si="3"/>
        <v>45203</v>
      </c>
      <c r="J232" s="42">
        <f ca="1">TODAY()-qry_ProdData2_PDI_Cash_Exception_Application[[#This Row],[INSERT DATE]]</f>
        <v>13.742928240739275</v>
      </c>
      <c r="K2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2">
        <f ca="1">qry_ProdData2_PDI_Cash_Exception_Application[[#This Row],[TODAY]]-qry_ProdData2_PDI_Cash_Exception_Application[[#This Row],[CHANGED ON]]</f>
        <v>11.742928240739275</v>
      </c>
      <c r="M232">
        <f ca="1">qry_ProdData2_PDI_Cash_Exception_Application[[#This Row],[TODAY]]-qry_ProdData2_PDI_Cash_Exception_Application[[#This Row],[CHANGED ON]]</f>
        <v>11.742928240739275</v>
      </c>
      <c r="N232">
        <f ca="1">qry_ProdData2_PDI_Cash_Exception_Application[[#This Row],[TODAY]]-qry_ProdData2_PDI_Cash_Exception_Application[[#This Row],[CHANGED ON]]</f>
        <v>11.742928240739275</v>
      </c>
    </row>
    <row r="233" spans="1:14" x14ac:dyDescent="0.35">
      <c r="A233">
        <v>1022</v>
      </c>
      <c r="B233" t="s">
        <v>76</v>
      </c>
      <c r="C233" s="1">
        <v>45189.257071759261</v>
      </c>
      <c r="D233" t="str">
        <f ca="1">VLOOKUP(qry_ProdData2_PDI_Cash_Exception_Application[[#This Row],[TYPE]],#REF!,2,FALSE)</f>
        <v>type38</v>
      </c>
      <c r="E233">
        <v>353.42</v>
      </c>
      <c r="F233" t="str">
        <f>qry_ProdData2_PDI_Cash_Exception_Application[[#This Row],[ANALYST]]</f>
        <v>Analyst4</v>
      </c>
      <c r="G233" s="1">
        <f>qry_ProdData2_PDI_Cash_Exception_Application[[#This Row],[INSERT DATE]]+1</f>
        <v>45190.257071759261</v>
      </c>
      <c r="H233" t="str">
        <f>VLOOKUP(qry_ProdData2_PDI_Cash_Exception_Application[[#This Row],[MARKET No]],'Site Allocation'!$B$2:$C$37,2,FALSE)</f>
        <v>Analyst4</v>
      </c>
      <c r="I233" s="4">
        <f t="shared" ca="1" si="3"/>
        <v>45203</v>
      </c>
      <c r="J233" s="42">
        <f ca="1">TODAY()-qry_ProdData2_PDI_Cash_Exception_Application[[#This Row],[INSERT DATE]]</f>
        <v>13.742928240739275</v>
      </c>
      <c r="K2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3">
        <f ca="1">qry_ProdData2_PDI_Cash_Exception_Application[[#This Row],[TODAY]]-qry_ProdData2_PDI_Cash_Exception_Application[[#This Row],[CHANGED ON]]</f>
        <v>12.742928240739275</v>
      </c>
      <c r="M233">
        <f ca="1">qry_ProdData2_PDI_Cash_Exception_Application[[#This Row],[TODAY]]-qry_ProdData2_PDI_Cash_Exception_Application[[#This Row],[CHANGED ON]]</f>
        <v>12.742928240739275</v>
      </c>
      <c r="N233">
        <f ca="1">qry_ProdData2_PDI_Cash_Exception_Application[[#This Row],[TODAY]]-qry_ProdData2_PDI_Cash_Exception_Application[[#This Row],[CHANGED ON]]</f>
        <v>12.742928240739275</v>
      </c>
    </row>
    <row r="234" spans="1:14" x14ac:dyDescent="0.35">
      <c r="A234">
        <v>1012</v>
      </c>
      <c r="B234" t="s">
        <v>66</v>
      </c>
      <c r="C234" s="1">
        <v>45187.257071759261</v>
      </c>
      <c r="D234" t="str">
        <f ca="1">VLOOKUP(qry_ProdData2_PDI_Cash_Exception_Application[[#This Row],[TYPE]],#REF!,2,FALSE)</f>
        <v>type40</v>
      </c>
      <c r="E234">
        <v>-311.69</v>
      </c>
      <c r="F234" t="s">
        <v>47</v>
      </c>
      <c r="G234" s="1">
        <f>qry_ProdData2_PDI_Cash_Exception_Application[[#This Row],[INSERT DATE]]+7</f>
        <v>45194.257071759261</v>
      </c>
      <c r="H234" t="str">
        <f>VLOOKUP(qry_ProdData2_PDI_Cash_Exception_Application[[#This Row],[MARKET No]],'Site Allocation'!$B$2:$C$37,2,FALSE)</f>
        <v>Analyst3</v>
      </c>
      <c r="I234" s="4">
        <f t="shared" ca="1" si="3"/>
        <v>45203</v>
      </c>
      <c r="J234" s="42">
        <f ca="1">TODAY()-qry_ProdData2_PDI_Cash_Exception_Application[[#This Row],[INSERT DATE]]</f>
        <v>15.742928240739275</v>
      </c>
      <c r="K2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4">
        <f ca="1">qry_ProdData2_PDI_Cash_Exception_Application[[#This Row],[TODAY]]-qry_ProdData2_PDI_Cash_Exception_Application[[#This Row],[CHANGED ON]]</f>
        <v>8.7429282407392748</v>
      </c>
      <c r="M234">
        <f ca="1">qry_ProdData2_PDI_Cash_Exception_Application[[#This Row],[TODAY]]-qry_ProdData2_PDI_Cash_Exception_Application[[#This Row],[CHANGED ON]]</f>
        <v>8.7429282407392748</v>
      </c>
      <c r="N234">
        <f ca="1">qry_ProdData2_PDI_Cash_Exception_Application[[#This Row],[TODAY]]-qry_ProdData2_PDI_Cash_Exception_Application[[#This Row],[CHANGED ON]]</f>
        <v>8.7429282407392748</v>
      </c>
    </row>
    <row r="235" spans="1:14" x14ac:dyDescent="0.35">
      <c r="A235">
        <v>1001</v>
      </c>
      <c r="B235" t="s">
        <v>55</v>
      </c>
      <c r="C235" s="1">
        <v>45189.257071759261</v>
      </c>
      <c r="D235" t="str">
        <f ca="1">VLOOKUP(qry_ProdData2_PDI_Cash_Exception_Application[[#This Row],[TYPE]],#REF!,2,FALSE)</f>
        <v>type40</v>
      </c>
      <c r="E235">
        <v>-396.6</v>
      </c>
      <c r="F235" t="s">
        <v>47</v>
      </c>
      <c r="G235" s="1">
        <f>qry_ProdData2_PDI_Cash_Exception_Application[[#This Row],[INSERT DATE]]+7</f>
        <v>45196.257071759261</v>
      </c>
      <c r="H235" t="str">
        <f>VLOOKUP(qry_ProdData2_PDI_Cash_Exception_Application[[#This Row],[MARKET No]],'Site Allocation'!$B$2:$C$37,2,FALSE)</f>
        <v>Analyst1</v>
      </c>
      <c r="I235" s="4">
        <f t="shared" ca="1" si="3"/>
        <v>45203</v>
      </c>
      <c r="J235" s="42">
        <f ca="1">TODAY()-qry_ProdData2_PDI_Cash_Exception_Application[[#This Row],[INSERT DATE]]</f>
        <v>13.742928240739275</v>
      </c>
      <c r="K2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5">
        <f ca="1">qry_ProdData2_PDI_Cash_Exception_Application[[#This Row],[TODAY]]-qry_ProdData2_PDI_Cash_Exception_Application[[#This Row],[CHANGED ON]]</f>
        <v>6.7429282407392748</v>
      </c>
      <c r="M235">
        <f ca="1">qry_ProdData2_PDI_Cash_Exception_Application[[#This Row],[TODAY]]-qry_ProdData2_PDI_Cash_Exception_Application[[#This Row],[CHANGED ON]]</f>
        <v>6.7429282407392748</v>
      </c>
      <c r="N235">
        <f ca="1">qry_ProdData2_PDI_Cash_Exception_Application[[#This Row],[TODAY]]-qry_ProdData2_PDI_Cash_Exception_Application[[#This Row],[CHANGED ON]]</f>
        <v>6.7429282407392748</v>
      </c>
    </row>
    <row r="236" spans="1:14" x14ac:dyDescent="0.35">
      <c r="A236">
        <v>1012</v>
      </c>
      <c r="B236" t="s">
        <v>66</v>
      </c>
      <c r="C236" s="1">
        <v>45190.257071759261</v>
      </c>
      <c r="D236" t="str">
        <f ca="1">VLOOKUP(qry_ProdData2_PDI_Cash_Exception_Application[[#This Row],[TYPE]],#REF!,2,FALSE)</f>
        <v>type35</v>
      </c>
      <c r="E236">
        <v>924.82</v>
      </c>
      <c r="F236" t="s">
        <v>47</v>
      </c>
      <c r="G236" s="1">
        <f>qry_ProdData2_PDI_Cash_Exception_Application[[#This Row],[INSERT DATE]]+7</f>
        <v>45197.257071759261</v>
      </c>
      <c r="H236" t="str">
        <f>VLOOKUP(qry_ProdData2_PDI_Cash_Exception_Application[[#This Row],[MARKET No]],'Site Allocation'!$B$2:$C$37,2,FALSE)</f>
        <v>Analyst3</v>
      </c>
      <c r="I236" s="4">
        <f t="shared" ca="1" si="3"/>
        <v>45203</v>
      </c>
      <c r="J236" s="42">
        <f ca="1">TODAY()-qry_ProdData2_PDI_Cash_Exception_Application[[#This Row],[INSERT DATE]]</f>
        <v>12.742928240739275</v>
      </c>
      <c r="K2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6">
        <f ca="1">qry_ProdData2_PDI_Cash_Exception_Application[[#This Row],[TODAY]]-qry_ProdData2_PDI_Cash_Exception_Application[[#This Row],[CHANGED ON]]</f>
        <v>5.7429282407392748</v>
      </c>
      <c r="M236">
        <f ca="1">qry_ProdData2_PDI_Cash_Exception_Application[[#This Row],[TODAY]]-qry_ProdData2_PDI_Cash_Exception_Application[[#This Row],[CHANGED ON]]</f>
        <v>5.7429282407392748</v>
      </c>
      <c r="N236">
        <f ca="1">qry_ProdData2_PDI_Cash_Exception_Application[[#This Row],[TODAY]]-qry_ProdData2_PDI_Cash_Exception_Application[[#This Row],[CHANGED ON]]</f>
        <v>5.7429282407392748</v>
      </c>
    </row>
    <row r="237" spans="1:14" x14ac:dyDescent="0.35">
      <c r="A237">
        <v>1023</v>
      </c>
      <c r="B237" t="s">
        <v>77</v>
      </c>
      <c r="C237" s="1">
        <v>45190.257071759261</v>
      </c>
      <c r="D237" t="str">
        <f ca="1">VLOOKUP(qry_ProdData2_PDI_Cash_Exception_Application[[#This Row],[TYPE]],#REF!,2,FALSE)</f>
        <v>type33</v>
      </c>
      <c r="E237">
        <v>443.67</v>
      </c>
      <c r="F237" t="str">
        <f>qry_ProdData2_PDI_Cash_Exception_Application[[#This Row],[ANALYST]]</f>
        <v>Analyst4</v>
      </c>
      <c r="G237" s="1">
        <f>qry_ProdData2_PDI_Cash_Exception_Application[[#This Row],[INSERT DATE]]+1</f>
        <v>45191.257071759261</v>
      </c>
      <c r="H237" t="str">
        <f>VLOOKUP(qry_ProdData2_PDI_Cash_Exception_Application[[#This Row],[MARKET No]],'Site Allocation'!$B$2:$C$37,2,FALSE)</f>
        <v>Analyst4</v>
      </c>
      <c r="I237" s="4">
        <f t="shared" ca="1" si="3"/>
        <v>45203</v>
      </c>
      <c r="J237" s="42">
        <f ca="1">TODAY()-qry_ProdData2_PDI_Cash_Exception_Application[[#This Row],[INSERT DATE]]</f>
        <v>12.742928240739275</v>
      </c>
      <c r="K2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7">
        <f ca="1">qry_ProdData2_PDI_Cash_Exception_Application[[#This Row],[TODAY]]-qry_ProdData2_PDI_Cash_Exception_Application[[#This Row],[CHANGED ON]]</f>
        <v>11.742928240739275</v>
      </c>
      <c r="M237">
        <f ca="1">qry_ProdData2_PDI_Cash_Exception_Application[[#This Row],[TODAY]]-qry_ProdData2_PDI_Cash_Exception_Application[[#This Row],[CHANGED ON]]</f>
        <v>11.742928240739275</v>
      </c>
      <c r="N237">
        <f ca="1">qry_ProdData2_PDI_Cash_Exception_Application[[#This Row],[TODAY]]-qry_ProdData2_PDI_Cash_Exception_Application[[#This Row],[CHANGED ON]]</f>
        <v>11.742928240739275</v>
      </c>
    </row>
    <row r="238" spans="1:14" x14ac:dyDescent="0.35">
      <c r="A238">
        <v>1001</v>
      </c>
      <c r="B238" t="s">
        <v>55</v>
      </c>
      <c r="C238" s="1">
        <v>45181.257071759261</v>
      </c>
      <c r="D238" t="str">
        <f ca="1">VLOOKUP(qry_ProdData2_PDI_Cash_Exception_Application[[#This Row],[TYPE]],#REF!,2,FALSE)</f>
        <v>type10</v>
      </c>
      <c r="E238">
        <v>169.61</v>
      </c>
      <c r="F238" t="str">
        <f>qry_ProdData2_PDI_Cash_Exception_Application[[#This Row],[ANALYST]]</f>
        <v>Analyst1</v>
      </c>
      <c r="G238" s="1">
        <f>qry_ProdData2_PDI_Cash_Exception_Application[[#This Row],[INSERT DATE]]+7</f>
        <v>45188.257071759261</v>
      </c>
      <c r="H238" t="str">
        <f>VLOOKUP(qry_ProdData2_PDI_Cash_Exception_Application[[#This Row],[MARKET No]],'Site Allocation'!$B$2:$C$37,2,FALSE)</f>
        <v>Analyst1</v>
      </c>
      <c r="I238" s="4">
        <f t="shared" ca="1" si="3"/>
        <v>45203</v>
      </c>
      <c r="J238" s="42">
        <f ca="1">TODAY()-qry_ProdData2_PDI_Cash_Exception_Application[[#This Row],[INSERT DATE]]</f>
        <v>21.742928240739275</v>
      </c>
      <c r="K2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8">
        <f ca="1">qry_ProdData2_PDI_Cash_Exception_Application[[#This Row],[TODAY]]-qry_ProdData2_PDI_Cash_Exception_Application[[#This Row],[CHANGED ON]]</f>
        <v>14.742928240739275</v>
      </c>
      <c r="M238">
        <f ca="1">qry_ProdData2_PDI_Cash_Exception_Application[[#This Row],[TODAY]]-qry_ProdData2_PDI_Cash_Exception_Application[[#This Row],[CHANGED ON]]</f>
        <v>14.742928240739275</v>
      </c>
      <c r="N238">
        <f ca="1">qry_ProdData2_PDI_Cash_Exception_Application[[#This Row],[TODAY]]-qry_ProdData2_PDI_Cash_Exception_Application[[#This Row],[CHANGED ON]]</f>
        <v>14.742928240739275</v>
      </c>
    </row>
    <row r="239" spans="1:14" x14ac:dyDescent="0.35">
      <c r="A239">
        <v>1025</v>
      </c>
      <c r="B239" t="s">
        <v>79</v>
      </c>
      <c r="C239" s="1">
        <v>45189.257071759261</v>
      </c>
      <c r="D239" t="str">
        <f ca="1">VLOOKUP(qry_ProdData2_PDI_Cash_Exception_Application[[#This Row],[TYPE]],#REF!,2,FALSE)</f>
        <v>type40</v>
      </c>
      <c r="E239">
        <v>-360.9</v>
      </c>
      <c r="F239" t="str">
        <f>qry_ProdData2_PDI_Cash_Exception_Application[[#This Row],[ANALYST]]</f>
        <v>Analyst5</v>
      </c>
      <c r="G239" s="1">
        <f>qry_ProdData2_PDI_Cash_Exception_Application[[#This Row],[INSERT DATE]]+2</f>
        <v>45191.257071759261</v>
      </c>
      <c r="H239" t="str">
        <f>VLOOKUP(qry_ProdData2_PDI_Cash_Exception_Application[[#This Row],[MARKET No]],'Site Allocation'!$B$2:$C$37,2,FALSE)</f>
        <v>Analyst5</v>
      </c>
      <c r="I239" s="4">
        <f t="shared" ca="1" si="3"/>
        <v>45203</v>
      </c>
      <c r="J239" s="42">
        <f ca="1">TODAY()-qry_ProdData2_PDI_Cash_Exception_Application[[#This Row],[INSERT DATE]]</f>
        <v>13.742928240739275</v>
      </c>
      <c r="K2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9">
        <f ca="1">qry_ProdData2_PDI_Cash_Exception_Application[[#This Row],[TODAY]]-qry_ProdData2_PDI_Cash_Exception_Application[[#This Row],[CHANGED ON]]</f>
        <v>11.742928240739275</v>
      </c>
      <c r="M239">
        <f ca="1">qry_ProdData2_PDI_Cash_Exception_Application[[#This Row],[TODAY]]-qry_ProdData2_PDI_Cash_Exception_Application[[#This Row],[CHANGED ON]]</f>
        <v>11.742928240739275</v>
      </c>
      <c r="N239">
        <f ca="1">qry_ProdData2_PDI_Cash_Exception_Application[[#This Row],[TODAY]]-qry_ProdData2_PDI_Cash_Exception_Application[[#This Row],[CHANGED ON]]</f>
        <v>11.742928240739275</v>
      </c>
    </row>
    <row r="240" spans="1:14" x14ac:dyDescent="0.35">
      <c r="A240">
        <v>1012</v>
      </c>
      <c r="B240" t="s">
        <v>66</v>
      </c>
      <c r="C240" s="1">
        <v>45183.257071759261</v>
      </c>
      <c r="D240" t="str">
        <f ca="1">VLOOKUP(qry_ProdData2_PDI_Cash_Exception_Application[[#This Row],[TYPE]],#REF!,2,FALSE)</f>
        <v>type40</v>
      </c>
      <c r="E240">
        <v>-4088</v>
      </c>
      <c r="G240" s="1">
        <f>qry_ProdData2_PDI_Cash_Exception_Application[[#This Row],[INSERT DATE]]+1</f>
        <v>45184.257071759261</v>
      </c>
      <c r="H240" t="str">
        <f>VLOOKUP(qry_ProdData2_PDI_Cash_Exception_Application[[#This Row],[MARKET No]],'Site Allocation'!$B$2:$C$37,2,FALSE)</f>
        <v>Analyst3</v>
      </c>
      <c r="I240" s="4">
        <f t="shared" ca="1" si="3"/>
        <v>45203</v>
      </c>
      <c r="J240" s="42">
        <f ca="1">TODAY()-qry_ProdData2_PDI_Cash_Exception_Application[[#This Row],[INSERT DATE]]</f>
        <v>19.742928240739275</v>
      </c>
      <c r="K2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0">
        <f ca="1">qry_ProdData2_PDI_Cash_Exception_Application[[#This Row],[TODAY]]-qry_ProdData2_PDI_Cash_Exception_Application[[#This Row],[CHANGED ON]]</f>
        <v>18.742928240739275</v>
      </c>
      <c r="M240">
        <f ca="1">qry_ProdData2_PDI_Cash_Exception_Application[[#This Row],[TODAY]]-qry_ProdData2_PDI_Cash_Exception_Application[[#This Row],[CHANGED ON]]</f>
        <v>18.742928240739275</v>
      </c>
      <c r="N240">
        <f ca="1">qry_ProdData2_PDI_Cash_Exception_Application[[#This Row],[TODAY]]-qry_ProdData2_PDI_Cash_Exception_Application[[#This Row],[CHANGED ON]]</f>
        <v>18.742928240739275</v>
      </c>
    </row>
    <row r="241" spans="1:14" x14ac:dyDescent="0.35">
      <c r="A241">
        <v>1013</v>
      </c>
      <c r="B241" t="s">
        <v>67</v>
      </c>
      <c r="C241" s="1">
        <v>45192.257071759261</v>
      </c>
      <c r="D241" t="str">
        <f ca="1">VLOOKUP(qry_ProdData2_PDI_Cash_Exception_Application[[#This Row],[TYPE]],#REF!,2,FALSE)</f>
        <v>type17</v>
      </c>
      <c r="E241">
        <v>546.82000000000005</v>
      </c>
      <c r="G241" s="1">
        <f>qry_ProdData2_PDI_Cash_Exception_Application[[#This Row],[INSERT DATE]]+1</f>
        <v>45193.257071759261</v>
      </c>
      <c r="H241" t="str">
        <f>VLOOKUP(qry_ProdData2_PDI_Cash_Exception_Application[[#This Row],[MARKET No]],'Site Allocation'!$B$2:$C$37,2,FALSE)</f>
        <v>Analyst3</v>
      </c>
      <c r="I241" s="4">
        <f t="shared" ca="1" si="3"/>
        <v>45203</v>
      </c>
      <c r="J241" s="42">
        <f ca="1">TODAY()-qry_ProdData2_PDI_Cash_Exception_Application[[#This Row],[INSERT DATE]]</f>
        <v>10.742928240739275</v>
      </c>
      <c r="K2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1">
        <f ca="1">qry_ProdData2_PDI_Cash_Exception_Application[[#This Row],[TODAY]]-qry_ProdData2_PDI_Cash_Exception_Application[[#This Row],[CHANGED ON]]</f>
        <v>9.7429282407392748</v>
      </c>
      <c r="M241">
        <f ca="1">qry_ProdData2_PDI_Cash_Exception_Application[[#This Row],[TODAY]]-qry_ProdData2_PDI_Cash_Exception_Application[[#This Row],[CHANGED ON]]</f>
        <v>9.7429282407392748</v>
      </c>
      <c r="N241">
        <f ca="1">qry_ProdData2_PDI_Cash_Exception_Application[[#This Row],[TODAY]]-qry_ProdData2_PDI_Cash_Exception_Application[[#This Row],[CHANGED ON]]</f>
        <v>9.7429282407392748</v>
      </c>
    </row>
    <row r="242" spans="1:14" x14ac:dyDescent="0.35">
      <c r="A242">
        <v>1018</v>
      </c>
      <c r="B242" t="s">
        <v>72</v>
      </c>
      <c r="C242" s="1">
        <v>45194.257071759261</v>
      </c>
      <c r="D242" t="str">
        <f ca="1">VLOOKUP(qry_ProdData2_PDI_Cash_Exception_Application[[#This Row],[TYPE]],#REF!,2,FALSE)</f>
        <v>type38</v>
      </c>
      <c r="E242">
        <v>166.62</v>
      </c>
      <c r="F242" t="str">
        <f>qry_ProdData2_PDI_Cash_Exception_Application[[#This Row],[ANALYST]]</f>
        <v>Analyst4</v>
      </c>
      <c r="G242" s="1">
        <f>qry_ProdData2_PDI_Cash_Exception_Application[[#This Row],[INSERT DATE]]+1</f>
        <v>45195.257071759261</v>
      </c>
      <c r="H242" t="str">
        <f>VLOOKUP(qry_ProdData2_PDI_Cash_Exception_Application[[#This Row],[MARKET No]],'Site Allocation'!$B$2:$C$37,2,FALSE)</f>
        <v>Analyst4</v>
      </c>
      <c r="I242" s="4">
        <f t="shared" ca="1" si="3"/>
        <v>45203</v>
      </c>
      <c r="J242" s="42">
        <f ca="1">TODAY()-qry_ProdData2_PDI_Cash_Exception_Application[[#This Row],[INSERT DATE]]</f>
        <v>8.7429282407392748</v>
      </c>
      <c r="K2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42">
        <f ca="1">qry_ProdData2_PDI_Cash_Exception_Application[[#This Row],[TODAY]]-qry_ProdData2_PDI_Cash_Exception_Application[[#This Row],[CHANGED ON]]</f>
        <v>7.7429282407392748</v>
      </c>
      <c r="M242">
        <f ca="1">qry_ProdData2_PDI_Cash_Exception_Application[[#This Row],[TODAY]]-qry_ProdData2_PDI_Cash_Exception_Application[[#This Row],[CHANGED ON]]</f>
        <v>7.7429282407392748</v>
      </c>
      <c r="N242">
        <f ca="1">qry_ProdData2_PDI_Cash_Exception_Application[[#This Row],[TODAY]]-qry_ProdData2_PDI_Cash_Exception_Application[[#This Row],[CHANGED ON]]</f>
        <v>7.7429282407392748</v>
      </c>
    </row>
    <row r="243" spans="1:14" x14ac:dyDescent="0.35">
      <c r="A243">
        <v>1026</v>
      </c>
      <c r="B243" t="s">
        <v>80</v>
      </c>
      <c r="C243" s="1">
        <v>45190.257071759261</v>
      </c>
      <c r="D243" t="str">
        <f ca="1">VLOOKUP(qry_ProdData2_PDI_Cash_Exception_Application[[#This Row],[TYPE]],#REF!,2,FALSE)</f>
        <v>type40</v>
      </c>
      <c r="E243">
        <v>-691.33</v>
      </c>
      <c r="F243" t="str">
        <f>qry_ProdData2_PDI_Cash_Exception_Application[[#This Row],[ANALYST]]</f>
        <v>Analyst5</v>
      </c>
      <c r="G243" s="1">
        <f>qry_ProdData2_PDI_Cash_Exception_Application[[#This Row],[INSERT DATE]]+7</f>
        <v>45197.257071759261</v>
      </c>
      <c r="H243" t="str">
        <f>VLOOKUP(qry_ProdData2_PDI_Cash_Exception_Application[[#This Row],[MARKET No]],'Site Allocation'!$B$2:$C$37,2,FALSE)</f>
        <v>Analyst5</v>
      </c>
      <c r="I243" s="4">
        <f t="shared" ca="1" si="3"/>
        <v>45203</v>
      </c>
      <c r="J243" s="42">
        <f ca="1">TODAY()-qry_ProdData2_PDI_Cash_Exception_Application[[#This Row],[INSERT DATE]]</f>
        <v>12.742928240739275</v>
      </c>
      <c r="K2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3">
        <f ca="1">qry_ProdData2_PDI_Cash_Exception_Application[[#This Row],[TODAY]]-qry_ProdData2_PDI_Cash_Exception_Application[[#This Row],[CHANGED ON]]</f>
        <v>5.7429282407392748</v>
      </c>
      <c r="M243">
        <f ca="1">qry_ProdData2_PDI_Cash_Exception_Application[[#This Row],[TODAY]]-qry_ProdData2_PDI_Cash_Exception_Application[[#This Row],[CHANGED ON]]</f>
        <v>5.7429282407392748</v>
      </c>
      <c r="N243">
        <f ca="1">qry_ProdData2_PDI_Cash_Exception_Application[[#This Row],[TODAY]]-qry_ProdData2_PDI_Cash_Exception_Application[[#This Row],[CHANGED ON]]</f>
        <v>5.7429282407392748</v>
      </c>
    </row>
    <row r="244" spans="1:14" x14ac:dyDescent="0.35">
      <c r="A244">
        <v>1026</v>
      </c>
      <c r="B244" t="s">
        <v>80</v>
      </c>
      <c r="C244" s="1">
        <v>45185.257071759261</v>
      </c>
      <c r="D244" t="str">
        <f ca="1">VLOOKUP(qry_ProdData2_PDI_Cash_Exception_Application[[#This Row],[TYPE]],#REF!,2,FALSE)</f>
        <v>type40</v>
      </c>
      <c r="E244">
        <v>-8372</v>
      </c>
      <c r="F244" t="str">
        <f>qry_ProdData2_PDI_Cash_Exception_Application[[#This Row],[ANALYST]]</f>
        <v>Analyst5</v>
      </c>
      <c r="G244" s="1">
        <f>qry_ProdData2_PDI_Cash_Exception_Application[[#This Row],[INSERT DATE]]+1</f>
        <v>45186.257071759261</v>
      </c>
      <c r="H244" t="str">
        <f>VLOOKUP(qry_ProdData2_PDI_Cash_Exception_Application[[#This Row],[MARKET No]],'Site Allocation'!$B$2:$C$37,2,FALSE)</f>
        <v>Analyst5</v>
      </c>
      <c r="I244" s="4">
        <f t="shared" ca="1" si="3"/>
        <v>45203</v>
      </c>
      <c r="J244" s="42">
        <f ca="1">TODAY()-qry_ProdData2_PDI_Cash_Exception_Application[[#This Row],[INSERT DATE]]</f>
        <v>17.742928240739275</v>
      </c>
      <c r="K2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4">
        <f ca="1">qry_ProdData2_PDI_Cash_Exception_Application[[#This Row],[TODAY]]-qry_ProdData2_PDI_Cash_Exception_Application[[#This Row],[CHANGED ON]]</f>
        <v>16.742928240739275</v>
      </c>
      <c r="M244">
        <f ca="1">qry_ProdData2_PDI_Cash_Exception_Application[[#This Row],[TODAY]]-qry_ProdData2_PDI_Cash_Exception_Application[[#This Row],[CHANGED ON]]</f>
        <v>16.742928240739275</v>
      </c>
      <c r="N244">
        <f ca="1">qry_ProdData2_PDI_Cash_Exception_Application[[#This Row],[TODAY]]-qry_ProdData2_PDI_Cash_Exception_Application[[#This Row],[CHANGED ON]]</f>
        <v>16.742928240739275</v>
      </c>
    </row>
    <row r="245" spans="1:14" x14ac:dyDescent="0.35">
      <c r="A245">
        <v>1001</v>
      </c>
      <c r="B245" t="s">
        <v>55</v>
      </c>
      <c r="C245" s="1">
        <v>45190.257071759261</v>
      </c>
      <c r="D245" t="str">
        <f ca="1">VLOOKUP(qry_ProdData2_PDI_Cash_Exception_Application[[#This Row],[TYPE]],#REF!,2,FALSE)</f>
        <v>type40</v>
      </c>
      <c r="E245">
        <v>-1617.98</v>
      </c>
      <c r="F245" t="str">
        <f>qry_ProdData2_PDI_Cash_Exception_Application[[#This Row],[ANALYST]]</f>
        <v>Analyst1</v>
      </c>
      <c r="G245" s="1">
        <f>qry_ProdData2_PDI_Cash_Exception_Application[[#This Row],[INSERT DATE]]+1</f>
        <v>45191.257071759261</v>
      </c>
      <c r="H245" t="str">
        <f>VLOOKUP(qry_ProdData2_PDI_Cash_Exception_Application[[#This Row],[MARKET No]],'Site Allocation'!$B$2:$C$37,2,FALSE)</f>
        <v>Analyst1</v>
      </c>
      <c r="I245" s="4">
        <f t="shared" ca="1" si="3"/>
        <v>45203</v>
      </c>
      <c r="J245" s="42">
        <f ca="1">TODAY()-qry_ProdData2_PDI_Cash_Exception_Application[[#This Row],[INSERT DATE]]</f>
        <v>12.742928240739275</v>
      </c>
      <c r="K2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5">
        <f ca="1">qry_ProdData2_PDI_Cash_Exception_Application[[#This Row],[TODAY]]-qry_ProdData2_PDI_Cash_Exception_Application[[#This Row],[CHANGED ON]]</f>
        <v>11.742928240739275</v>
      </c>
      <c r="M245">
        <f ca="1">qry_ProdData2_PDI_Cash_Exception_Application[[#This Row],[TODAY]]-qry_ProdData2_PDI_Cash_Exception_Application[[#This Row],[CHANGED ON]]</f>
        <v>11.742928240739275</v>
      </c>
      <c r="N245">
        <f ca="1">qry_ProdData2_PDI_Cash_Exception_Application[[#This Row],[TODAY]]-qry_ProdData2_PDI_Cash_Exception_Application[[#This Row],[CHANGED ON]]</f>
        <v>11.742928240739275</v>
      </c>
    </row>
    <row r="246" spans="1:14" x14ac:dyDescent="0.35">
      <c r="A246">
        <v>1017</v>
      </c>
      <c r="B246" t="s">
        <v>71</v>
      </c>
      <c r="C246" s="1">
        <v>45180.257071759261</v>
      </c>
      <c r="D246" t="str">
        <f ca="1">VLOOKUP(qry_ProdData2_PDI_Cash_Exception_Application[[#This Row],[TYPE]],#REF!,2,FALSE)</f>
        <v>type9</v>
      </c>
      <c r="E246">
        <v>321.67</v>
      </c>
      <c r="G246" s="1">
        <f>qry_ProdData2_PDI_Cash_Exception_Application[[#This Row],[INSERT DATE]]+2</f>
        <v>45182.257071759261</v>
      </c>
      <c r="H246" t="str">
        <f>VLOOKUP(qry_ProdData2_PDI_Cash_Exception_Application[[#This Row],[MARKET No]],'Site Allocation'!$B$2:$C$37,2,FALSE)</f>
        <v>Analyst3</v>
      </c>
      <c r="I246" s="4">
        <f t="shared" ca="1" si="3"/>
        <v>45203</v>
      </c>
      <c r="J246" s="42">
        <f ca="1">TODAY()-qry_ProdData2_PDI_Cash_Exception_Application[[#This Row],[INSERT DATE]]</f>
        <v>22.742928240739275</v>
      </c>
      <c r="K2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6">
        <f ca="1">qry_ProdData2_PDI_Cash_Exception_Application[[#This Row],[TODAY]]-qry_ProdData2_PDI_Cash_Exception_Application[[#This Row],[CHANGED ON]]</f>
        <v>20.742928240739275</v>
      </c>
      <c r="M246">
        <f ca="1">qry_ProdData2_PDI_Cash_Exception_Application[[#This Row],[TODAY]]-qry_ProdData2_PDI_Cash_Exception_Application[[#This Row],[CHANGED ON]]</f>
        <v>20.742928240739275</v>
      </c>
      <c r="N246">
        <f ca="1">qry_ProdData2_PDI_Cash_Exception_Application[[#This Row],[TODAY]]-qry_ProdData2_PDI_Cash_Exception_Application[[#This Row],[CHANGED ON]]</f>
        <v>20.742928240739275</v>
      </c>
    </row>
    <row r="247" spans="1:14" x14ac:dyDescent="0.35">
      <c r="A247">
        <v>1005</v>
      </c>
      <c r="B247" t="s">
        <v>59</v>
      </c>
      <c r="C247" s="1">
        <v>45190.257071759261</v>
      </c>
      <c r="D247" t="str">
        <f ca="1">VLOOKUP(qry_ProdData2_PDI_Cash_Exception_Application[[#This Row],[TYPE]],#REF!,2,FALSE)</f>
        <v>type40</v>
      </c>
      <c r="E247">
        <v>396.33</v>
      </c>
      <c r="F247" t="str">
        <f>qry_ProdData2_PDI_Cash_Exception_Application[[#This Row],[ANALYST]]</f>
        <v>Analyst1</v>
      </c>
      <c r="G247" s="1">
        <f>qry_ProdData2_PDI_Cash_Exception_Application[[#This Row],[INSERT DATE]]+1</f>
        <v>45191.257071759261</v>
      </c>
      <c r="H247" t="str">
        <f>VLOOKUP(qry_ProdData2_PDI_Cash_Exception_Application[[#This Row],[MARKET No]],'Site Allocation'!$B$2:$C$37,2,FALSE)</f>
        <v>Analyst1</v>
      </c>
      <c r="I247" s="4">
        <f t="shared" ca="1" si="3"/>
        <v>45203</v>
      </c>
      <c r="J247" s="42">
        <f ca="1">TODAY()-qry_ProdData2_PDI_Cash_Exception_Application[[#This Row],[INSERT DATE]]</f>
        <v>12.742928240739275</v>
      </c>
      <c r="K2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7">
        <f ca="1">qry_ProdData2_PDI_Cash_Exception_Application[[#This Row],[TODAY]]-qry_ProdData2_PDI_Cash_Exception_Application[[#This Row],[CHANGED ON]]</f>
        <v>11.742928240739275</v>
      </c>
      <c r="M247">
        <f ca="1">qry_ProdData2_PDI_Cash_Exception_Application[[#This Row],[TODAY]]-qry_ProdData2_PDI_Cash_Exception_Application[[#This Row],[CHANGED ON]]</f>
        <v>11.742928240739275</v>
      </c>
      <c r="N247">
        <f ca="1">qry_ProdData2_PDI_Cash_Exception_Application[[#This Row],[TODAY]]-qry_ProdData2_PDI_Cash_Exception_Application[[#This Row],[CHANGED ON]]</f>
        <v>11.742928240739275</v>
      </c>
    </row>
    <row r="248" spans="1:14" x14ac:dyDescent="0.35">
      <c r="A248">
        <v>1029</v>
      </c>
      <c r="B248" t="s">
        <v>83</v>
      </c>
      <c r="C248" s="1">
        <v>45190.257071759261</v>
      </c>
      <c r="D248" t="str">
        <f ca="1">VLOOKUP(qry_ProdData2_PDI_Cash_Exception_Application[[#This Row],[TYPE]],#REF!,2,FALSE)</f>
        <v>type40</v>
      </c>
      <c r="E248">
        <v>611.91</v>
      </c>
      <c r="F248" t="str">
        <f>qry_ProdData2_PDI_Cash_Exception_Application[[#This Row],[ANALYST]]</f>
        <v>Analyst5</v>
      </c>
      <c r="G248" s="1">
        <f>qry_ProdData2_PDI_Cash_Exception_Application[[#This Row],[INSERT DATE]]+2</f>
        <v>45192.257071759261</v>
      </c>
      <c r="H248" t="str">
        <f>VLOOKUP(qry_ProdData2_PDI_Cash_Exception_Application[[#This Row],[MARKET No]],'Site Allocation'!$B$2:$C$37,2,FALSE)</f>
        <v>Analyst5</v>
      </c>
      <c r="I248" s="4">
        <f t="shared" ca="1" si="3"/>
        <v>45203</v>
      </c>
      <c r="J248" s="42">
        <f ca="1">TODAY()-qry_ProdData2_PDI_Cash_Exception_Application[[#This Row],[INSERT DATE]]</f>
        <v>12.742928240739275</v>
      </c>
      <c r="K2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8">
        <f ca="1">qry_ProdData2_PDI_Cash_Exception_Application[[#This Row],[TODAY]]-qry_ProdData2_PDI_Cash_Exception_Application[[#This Row],[CHANGED ON]]</f>
        <v>10.742928240739275</v>
      </c>
      <c r="M248">
        <f ca="1">qry_ProdData2_PDI_Cash_Exception_Application[[#This Row],[TODAY]]-qry_ProdData2_PDI_Cash_Exception_Application[[#This Row],[CHANGED ON]]</f>
        <v>10.742928240739275</v>
      </c>
      <c r="N248">
        <f ca="1">qry_ProdData2_PDI_Cash_Exception_Application[[#This Row],[TODAY]]-qry_ProdData2_PDI_Cash_Exception_Application[[#This Row],[CHANGED ON]]</f>
        <v>10.742928240739275</v>
      </c>
    </row>
    <row r="249" spans="1:14" x14ac:dyDescent="0.35">
      <c r="A249">
        <v>1029</v>
      </c>
      <c r="B249" t="s">
        <v>83</v>
      </c>
      <c r="C249" s="1">
        <v>45189.257071759261</v>
      </c>
      <c r="D249" t="str">
        <f ca="1">VLOOKUP(qry_ProdData2_PDI_Cash_Exception_Application[[#This Row],[TYPE]],#REF!,2,FALSE)</f>
        <v>type10</v>
      </c>
      <c r="E249">
        <v>28</v>
      </c>
      <c r="F249" t="str">
        <f>qry_ProdData2_PDI_Cash_Exception_Application[[#This Row],[ANALYST]]</f>
        <v>Analyst5</v>
      </c>
      <c r="G249" s="1">
        <f>qry_ProdData2_PDI_Cash_Exception_Application[[#This Row],[INSERT DATE]]+7</f>
        <v>45196.257071759261</v>
      </c>
      <c r="H249" t="str">
        <f>VLOOKUP(qry_ProdData2_PDI_Cash_Exception_Application[[#This Row],[MARKET No]],'Site Allocation'!$B$2:$C$37,2,FALSE)</f>
        <v>Analyst5</v>
      </c>
      <c r="I249" s="4">
        <f t="shared" ca="1" si="3"/>
        <v>45203</v>
      </c>
      <c r="J249" s="42">
        <f ca="1">TODAY()-qry_ProdData2_PDI_Cash_Exception_Application[[#This Row],[INSERT DATE]]</f>
        <v>13.742928240739275</v>
      </c>
      <c r="K2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9">
        <f ca="1">qry_ProdData2_PDI_Cash_Exception_Application[[#This Row],[TODAY]]-qry_ProdData2_PDI_Cash_Exception_Application[[#This Row],[CHANGED ON]]</f>
        <v>6.7429282407392748</v>
      </c>
      <c r="M249">
        <f ca="1">qry_ProdData2_PDI_Cash_Exception_Application[[#This Row],[TODAY]]-qry_ProdData2_PDI_Cash_Exception_Application[[#This Row],[CHANGED ON]]</f>
        <v>6.7429282407392748</v>
      </c>
      <c r="N249">
        <f ca="1">qry_ProdData2_PDI_Cash_Exception_Application[[#This Row],[TODAY]]-qry_ProdData2_PDI_Cash_Exception_Application[[#This Row],[CHANGED ON]]</f>
        <v>6.7429282407392748</v>
      </c>
    </row>
    <row r="250" spans="1:14" x14ac:dyDescent="0.35">
      <c r="A250">
        <v>1004</v>
      </c>
      <c r="B250" t="s">
        <v>58</v>
      </c>
      <c r="C250" s="1">
        <v>45187.257071759261</v>
      </c>
      <c r="D250" t="str">
        <f ca="1">VLOOKUP(qry_ProdData2_PDI_Cash_Exception_Application[[#This Row],[TYPE]],#REF!,2,FALSE)</f>
        <v>type40</v>
      </c>
      <c r="E250">
        <v>3033.83</v>
      </c>
      <c r="F250" t="s">
        <v>51</v>
      </c>
      <c r="G250" s="1">
        <f>qry_ProdData2_PDI_Cash_Exception_Application[[#This Row],[INSERT DATE]]+1</f>
        <v>45188.257071759261</v>
      </c>
      <c r="H250" t="str">
        <f>VLOOKUP(qry_ProdData2_PDI_Cash_Exception_Application[[#This Row],[MARKET No]],'Site Allocation'!$B$2:$C$37,2,FALSE)</f>
        <v>Analyst1</v>
      </c>
      <c r="I250" s="4">
        <f t="shared" ca="1" si="3"/>
        <v>45203</v>
      </c>
      <c r="J250" s="42">
        <f ca="1">TODAY()-qry_ProdData2_PDI_Cash_Exception_Application[[#This Row],[INSERT DATE]]</f>
        <v>15.742928240739275</v>
      </c>
      <c r="K2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0">
        <f ca="1">qry_ProdData2_PDI_Cash_Exception_Application[[#This Row],[TODAY]]-qry_ProdData2_PDI_Cash_Exception_Application[[#This Row],[CHANGED ON]]</f>
        <v>14.742928240739275</v>
      </c>
      <c r="M250">
        <f ca="1">qry_ProdData2_PDI_Cash_Exception_Application[[#This Row],[TODAY]]-qry_ProdData2_PDI_Cash_Exception_Application[[#This Row],[CHANGED ON]]</f>
        <v>14.742928240739275</v>
      </c>
      <c r="N250">
        <f ca="1">qry_ProdData2_PDI_Cash_Exception_Application[[#This Row],[TODAY]]-qry_ProdData2_PDI_Cash_Exception_Application[[#This Row],[CHANGED ON]]</f>
        <v>14.742928240739275</v>
      </c>
    </row>
    <row r="251" spans="1:14" x14ac:dyDescent="0.35">
      <c r="A251">
        <v>1000</v>
      </c>
      <c r="B251" t="s">
        <v>54</v>
      </c>
      <c r="C251" s="1">
        <v>45184.257071759261</v>
      </c>
      <c r="D251" t="str">
        <f ca="1">VLOOKUP(qry_ProdData2_PDI_Cash_Exception_Application[[#This Row],[TYPE]],#REF!,2,FALSE)</f>
        <v>type10</v>
      </c>
      <c r="E251">
        <v>129.27000000000001</v>
      </c>
      <c r="F251" t="str">
        <f>qry_ProdData2_PDI_Cash_Exception_Application[[#This Row],[ANALYST]]</f>
        <v>Analyst1</v>
      </c>
      <c r="G251" s="1">
        <f>qry_ProdData2_PDI_Cash_Exception_Application[[#This Row],[INSERT DATE]]+2</f>
        <v>45186.257071759261</v>
      </c>
      <c r="H251" t="str">
        <f>VLOOKUP(qry_ProdData2_PDI_Cash_Exception_Application[[#This Row],[MARKET No]],'Site Allocation'!$B$2:$C$37,2,FALSE)</f>
        <v>Analyst1</v>
      </c>
      <c r="I251" s="4">
        <f t="shared" ca="1" si="3"/>
        <v>45203</v>
      </c>
      <c r="J251" s="42">
        <f ca="1">TODAY()-qry_ProdData2_PDI_Cash_Exception_Application[[#This Row],[INSERT DATE]]</f>
        <v>18.742928240739275</v>
      </c>
      <c r="K2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1">
        <f ca="1">qry_ProdData2_PDI_Cash_Exception_Application[[#This Row],[TODAY]]-qry_ProdData2_PDI_Cash_Exception_Application[[#This Row],[CHANGED ON]]</f>
        <v>16.742928240739275</v>
      </c>
      <c r="M251">
        <f ca="1">qry_ProdData2_PDI_Cash_Exception_Application[[#This Row],[TODAY]]-qry_ProdData2_PDI_Cash_Exception_Application[[#This Row],[CHANGED ON]]</f>
        <v>16.742928240739275</v>
      </c>
      <c r="N251">
        <f ca="1">qry_ProdData2_PDI_Cash_Exception_Application[[#This Row],[TODAY]]-qry_ProdData2_PDI_Cash_Exception_Application[[#This Row],[CHANGED ON]]</f>
        <v>16.742928240739275</v>
      </c>
    </row>
    <row r="252" spans="1:14" x14ac:dyDescent="0.35">
      <c r="A252">
        <v>1023</v>
      </c>
      <c r="B252" t="s">
        <v>77</v>
      </c>
      <c r="C252" s="1">
        <v>45183.257071759261</v>
      </c>
      <c r="D252" t="str">
        <f ca="1">VLOOKUP(qry_ProdData2_PDI_Cash_Exception_Application[[#This Row],[TYPE]],#REF!,2,FALSE)</f>
        <v>type40</v>
      </c>
      <c r="E252">
        <v>-384.58</v>
      </c>
      <c r="F252" t="str">
        <f>qry_ProdData2_PDI_Cash_Exception_Application[[#This Row],[ANALYST]]</f>
        <v>Analyst4</v>
      </c>
      <c r="G252" s="1">
        <f>qry_ProdData2_PDI_Cash_Exception_Application[[#This Row],[INSERT DATE]]+2</f>
        <v>45185.257071759261</v>
      </c>
      <c r="H252" t="str">
        <f>VLOOKUP(qry_ProdData2_PDI_Cash_Exception_Application[[#This Row],[MARKET No]],'Site Allocation'!$B$2:$C$37,2,FALSE)</f>
        <v>Analyst4</v>
      </c>
      <c r="I252" s="4">
        <f t="shared" ca="1" si="3"/>
        <v>45203</v>
      </c>
      <c r="J252" s="42">
        <f ca="1">TODAY()-qry_ProdData2_PDI_Cash_Exception_Application[[#This Row],[INSERT DATE]]</f>
        <v>19.742928240739275</v>
      </c>
      <c r="K2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2">
        <f ca="1">qry_ProdData2_PDI_Cash_Exception_Application[[#This Row],[TODAY]]-qry_ProdData2_PDI_Cash_Exception_Application[[#This Row],[CHANGED ON]]</f>
        <v>17.742928240739275</v>
      </c>
      <c r="M252">
        <f ca="1">qry_ProdData2_PDI_Cash_Exception_Application[[#This Row],[TODAY]]-qry_ProdData2_PDI_Cash_Exception_Application[[#This Row],[CHANGED ON]]</f>
        <v>17.742928240739275</v>
      </c>
      <c r="N252">
        <f ca="1">qry_ProdData2_PDI_Cash_Exception_Application[[#This Row],[TODAY]]-qry_ProdData2_PDI_Cash_Exception_Application[[#This Row],[CHANGED ON]]</f>
        <v>17.742928240739275</v>
      </c>
    </row>
    <row r="253" spans="1:14" x14ac:dyDescent="0.35">
      <c r="A253">
        <v>1005</v>
      </c>
      <c r="B253" t="s">
        <v>59</v>
      </c>
      <c r="C253" s="1">
        <v>45186.257071759261</v>
      </c>
      <c r="D253" t="str">
        <f ca="1">VLOOKUP(qry_ProdData2_PDI_Cash_Exception_Application[[#This Row],[TYPE]],#REF!,2,FALSE)</f>
        <v>type40</v>
      </c>
      <c r="E253">
        <v>-516.91</v>
      </c>
      <c r="F253" t="str">
        <f>qry_ProdData2_PDI_Cash_Exception_Application[[#This Row],[ANALYST]]</f>
        <v>Analyst1</v>
      </c>
      <c r="G253" s="1">
        <f>qry_ProdData2_PDI_Cash_Exception_Application[[#This Row],[INSERT DATE]]+2</f>
        <v>45188.257071759261</v>
      </c>
      <c r="H253" t="str">
        <f>VLOOKUP(qry_ProdData2_PDI_Cash_Exception_Application[[#This Row],[MARKET No]],'Site Allocation'!$B$2:$C$37,2,FALSE)</f>
        <v>Analyst1</v>
      </c>
      <c r="I253" s="4">
        <f t="shared" ca="1" si="3"/>
        <v>45203</v>
      </c>
      <c r="J253" s="42">
        <f ca="1">TODAY()-qry_ProdData2_PDI_Cash_Exception_Application[[#This Row],[INSERT DATE]]</f>
        <v>16.742928240739275</v>
      </c>
      <c r="K2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3">
        <f ca="1">qry_ProdData2_PDI_Cash_Exception_Application[[#This Row],[TODAY]]-qry_ProdData2_PDI_Cash_Exception_Application[[#This Row],[CHANGED ON]]</f>
        <v>14.742928240739275</v>
      </c>
      <c r="M253">
        <f ca="1">qry_ProdData2_PDI_Cash_Exception_Application[[#This Row],[TODAY]]-qry_ProdData2_PDI_Cash_Exception_Application[[#This Row],[CHANGED ON]]</f>
        <v>14.742928240739275</v>
      </c>
      <c r="N253">
        <f ca="1">qry_ProdData2_PDI_Cash_Exception_Application[[#This Row],[TODAY]]-qry_ProdData2_PDI_Cash_Exception_Application[[#This Row],[CHANGED ON]]</f>
        <v>14.742928240739275</v>
      </c>
    </row>
    <row r="254" spans="1:14" x14ac:dyDescent="0.35">
      <c r="A254">
        <v>1026</v>
      </c>
      <c r="B254" t="s">
        <v>80</v>
      </c>
      <c r="C254" s="1">
        <v>45188.257071759261</v>
      </c>
      <c r="D254" t="str">
        <f ca="1">VLOOKUP(qry_ProdData2_PDI_Cash_Exception_Application[[#This Row],[TYPE]],#REF!,2,FALSE)</f>
        <v>type40</v>
      </c>
      <c r="E254">
        <v>14.9</v>
      </c>
      <c r="F254" t="str">
        <f>qry_ProdData2_PDI_Cash_Exception_Application[[#This Row],[ANALYST]]</f>
        <v>Analyst5</v>
      </c>
      <c r="G254" s="1">
        <f>qry_ProdData2_PDI_Cash_Exception_Application[[#This Row],[INSERT DATE]]+1</f>
        <v>45189.257071759261</v>
      </c>
      <c r="H254" t="str">
        <f>VLOOKUP(qry_ProdData2_PDI_Cash_Exception_Application[[#This Row],[MARKET No]],'Site Allocation'!$B$2:$C$37,2,FALSE)</f>
        <v>Analyst5</v>
      </c>
      <c r="I254" s="4">
        <f t="shared" ca="1" si="3"/>
        <v>45203</v>
      </c>
      <c r="J254" s="42">
        <f ca="1">TODAY()-qry_ProdData2_PDI_Cash_Exception_Application[[#This Row],[INSERT DATE]]</f>
        <v>14.742928240739275</v>
      </c>
      <c r="K2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4">
        <f ca="1">qry_ProdData2_PDI_Cash_Exception_Application[[#This Row],[TODAY]]-qry_ProdData2_PDI_Cash_Exception_Application[[#This Row],[CHANGED ON]]</f>
        <v>13.742928240739275</v>
      </c>
      <c r="M254">
        <f ca="1">qry_ProdData2_PDI_Cash_Exception_Application[[#This Row],[TODAY]]-qry_ProdData2_PDI_Cash_Exception_Application[[#This Row],[CHANGED ON]]</f>
        <v>13.742928240739275</v>
      </c>
      <c r="N254">
        <f ca="1">qry_ProdData2_PDI_Cash_Exception_Application[[#This Row],[TODAY]]-qry_ProdData2_PDI_Cash_Exception_Application[[#This Row],[CHANGED ON]]</f>
        <v>13.742928240739275</v>
      </c>
    </row>
    <row r="255" spans="1:14" x14ac:dyDescent="0.35">
      <c r="A255">
        <v>1007</v>
      </c>
      <c r="B255" t="s">
        <v>61</v>
      </c>
      <c r="C255" s="1">
        <v>45185.257071759261</v>
      </c>
      <c r="D255" t="str">
        <f ca="1">VLOOKUP(qry_ProdData2_PDI_Cash_Exception_Application[[#This Row],[TYPE]],#REF!,2,FALSE)</f>
        <v>type40</v>
      </c>
      <c r="E255">
        <v>-1522.49</v>
      </c>
      <c r="F255" t="s">
        <v>47</v>
      </c>
      <c r="G255" s="1">
        <f>qry_ProdData2_PDI_Cash_Exception_Application[[#This Row],[INSERT DATE]]+2</f>
        <v>45187.257071759261</v>
      </c>
      <c r="H255" t="str">
        <f>VLOOKUP(qry_ProdData2_PDI_Cash_Exception_Application[[#This Row],[MARKET No]],'Site Allocation'!$B$2:$C$37,2,FALSE)</f>
        <v>Analyst2</v>
      </c>
      <c r="I255" s="4">
        <f t="shared" ca="1" si="3"/>
        <v>45203</v>
      </c>
      <c r="J255" s="42">
        <f ca="1">TODAY()-qry_ProdData2_PDI_Cash_Exception_Application[[#This Row],[INSERT DATE]]</f>
        <v>17.742928240739275</v>
      </c>
      <c r="K2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5">
        <f ca="1">qry_ProdData2_PDI_Cash_Exception_Application[[#This Row],[TODAY]]-qry_ProdData2_PDI_Cash_Exception_Application[[#This Row],[CHANGED ON]]</f>
        <v>15.742928240739275</v>
      </c>
      <c r="M255">
        <f ca="1">qry_ProdData2_PDI_Cash_Exception_Application[[#This Row],[TODAY]]-qry_ProdData2_PDI_Cash_Exception_Application[[#This Row],[CHANGED ON]]</f>
        <v>15.742928240739275</v>
      </c>
      <c r="N255">
        <f ca="1">qry_ProdData2_PDI_Cash_Exception_Application[[#This Row],[TODAY]]-qry_ProdData2_PDI_Cash_Exception_Application[[#This Row],[CHANGED ON]]</f>
        <v>15.742928240739275</v>
      </c>
    </row>
    <row r="256" spans="1:14" x14ac:dyDescent="0.35">
      <c r="A256">
        <v>1025</v>
      </c>
      <c r="B256" t="s">
        <v>79</v>
      </c>
      <c r="C256" s="1">
        <v>45186.257071759261</v>
      </c>
      <c r="D256" t="str">
        <f ca="1">VLOOKUP(qry_ProdData2_PDI_Cash_Exception_Application[[#This Row],[TYPE]],#REF!,2,FALSE)</f>
        <v>type40</v>
      </c>
      <c r="E256">
        <v>-655.96</v>
      </c>
      <c r="F256" t="s">
        <v>48</v>
      </c>
      <c r="G256" s="1">
        <f>qry_ProdData2_PDI_Cash_Exception_Application[[#This Row],[INSERT DATE]]+2</f>
        <v>45188.257071759261</v>
      </c>
      <c r="H256" t="str">
        <f>VLOOKUP(qry_ProdData2_PDI_Cash_Exception_Application[[#This Row],[MARKET No]],'Site Allocation'!$B$2:$C$37,2,FALSE)</f>
        <v>Analyst5</v>
      </c>
      <c r="I256" s="4">
        <f t="shared" ca="1" si="3"/>
        <v>45203</v>
      </c>
      <c r="J256" s="42">
        <f ca="1">TODAY()-qry_ProdData2_PDI_Cash_Exception_Application[[#This Row],[INSERT DATE]]</f>
        <v>16.742928240739275</v>
      </c>
      <c r="K2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6">
        <f ca="1">qry_ProdData2_PDI_Cash_Exception_Application[[#This Row],[TODAY]]-qry_ProdData2_PDI_Cash_Exception_Application[[#This Row],[CHANGED ON]]</f>
        <v>14.742928240739275</v>
      </c>
      <c r="M256">
        <f ca="1">qry_ProdData2_PDI_Cash_Exception_Application[[#This Row],[TODAY]]-qry_ProdData2_PDI_Cash_Exception_Application[[#This Row],[CHANGED ON]]</f>
        <v>14.742928240739275</v>
      </c>
      <c r="N256">
        <f ca="1">qry_ProdData2_PDI_Cash_Exception_Application[[#This Row],[TODAY]]-qry_ProdData2_PDI_Cash_Exception_Application[[#This Row],[CHANGED ON]]</f>
        <v>14.742928240739275</v>
      </c>
    </row>
    <row r="257" spans="1:14" x14ac:dyDescent="0.35">
      <c r="A257">
        <v>1030</v>
      </c>
      <c r="B257" t="s">
        <v>84</v>
      </c>
      <c r="C257" s="1">
        <v>45186.257071759261</v>
      </c>
      <c r="D257" t="str">
        <f ca="1">VLOOKUP(qry_ProdData2_PDI_Cash_Exception_Application[[#This Row],[TYPE]],#REF!,2,FALSE)</f>
        <v>type22</v>
      </c>
      <c r="E257">
        <v>692.69</v>
      </c>
      <c r="G257" s="1">
        <f>qry_ProdData2_PDI_Cash_Exception_Application[[#This Row],[INSERT DATE]]+2</f>
        <v>45188.257071759261</v>
      </c>
      <c r="H257" t="str">
        <f>VLOOKUP(qry_ProdData2_PDI_Cash_Exception_Application[[#This Row],[MARKET No]],'Site Allocation'!$B$2:$C$37,2,FALSE)</f>
        <v>Analyst6</v>
      </c>
      <c r="I257" s="4">
        <f t="shared" ca="1" si="3"/>
        <v>45203</v>
      </c>
      <c r="J257" s="42">
        <f ca="1">TODAY()-qry_ProdData2_PDI_Cash_Exception_Application[[#This Row],[INSERT DATE]]</f>
        <v>16.742928240739275</v>
      </c>
      <c r="K2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7">
        <f ca="1">qry_ProdData2_PDI_Cash_Exception_Application[[#This Row],[TODAY]]-qry_ProdData2_PDI_Cash_Exception_Application[[#This Row],[CHANGED ON]]</f>
        <v>14.742928240739275</v>
      </c>
      <c r="M257">
        <f ca="1">qry_ProdData2_PDI_Cash_Exception_Application[[#This Row],[TODAY]]-qry_ProdData2_PDI_Cash_Exception_Application[[#This Row],[CHANGED ON]]</f>
        <v>14.742928240739275</v>
      </c>
      <c r="N257">
        <f ca="1">qry_ProdData2_PDI_Cash_Exception_Application[[#This Row],[TODAY]]-qry_ProdData2_PDI_Cash_Exception_Application[[#This Row],[CHANGED ON]]</f>
        <v>14.742928240739275</v>
      </c>
    </row>
    <row r="258" spans="1:14" x14ac:dyDescent="0.35">
      <c r="A258">
        <v>1006</v>
      </c>
      <c r="B258" t="s">
        <v>60</v>
      </c>
      <c r="C258" s="1">
        <v>45187.257071759261</v>
      </c>
      <c r="D258" t="str">
        <f ca="1">VLOOKUP(qry_ProdData2_PDI_Cash_Exception_Application[[#This Row],[TYPE]],#REF!,2,FALSE)</f>
        <v>type13</v>
      </c>
      <c r="E258">
        <v>30307.27</v>
      </c>
      <c r="F258" t="s">
        <v>48</v>
      </c>
      <c r="G258" s="1">
        <f>qry_ProdData2_PDI_Cash_Exception_Application[[#This Row],[INSERT DATE]]+2</f>
        <v>45189.257071759261</v>
      </c>
      <c r="H258" t="str">
        <f>VLOOKUP(qry_ProdData2_PDI_Cash_Exception_Application[[#This Row],[MARKET No]],'Site Allocation'!$B$2:$C$37,2,FALSE)</f>
        <v>Analyst2</v>
      </c>
      <c r="I258" s="4">
        <f t="shared" ref="I258:I321" ca="1" si="4">TODAY()</f>
        <v>45203</v>
      </c>
      <c r="J258" s="42">
        <f ca="1">TODAY()-qry_ProdData2_PDI_Cash_Exception_Application[[#This Row],[INSERT DATE]]</f>
        <v>15.742928240739275</v>
      </c>
      <c r="K2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8">
        <f ca="1">qry_ProdData2_PDI_Cash_Exception_Application[[#This Row],[TODAY]]-qry_ProdData2_PDI_Cash_Exception_Application[[#This Row],[CHANGED ON]]</f>
        <v>13.742928240739275</v>
      </c>
      <c r="M258">
        <f ca="1">qry_ProdData2_PDI_Cash_Exception_Application[[#This Row],[TODAY]]-qry_ProdData2_PDI_Cash_Exception_Application[[#This Row],[CHANGED ON]]</f>
        <v>13.742928240739275</v>
      </c>
      <c r="N258">
        <f ca="1">qry_ProdData2_PDI_Cash_Exception_Application[[#This Row],[TODAY]]-qry_ProdData2_PDI_Cash_Exception_Application[[#This Row],[CHANGED ON]]</f>
        <v>13.742928240739275</v>
      </c>
    </row>
    <row r="259" spans="1:14" x14ac:dyDescent="0.35">
      <c r="A259">
        <v>1014</v>
      </c>
      <c r="B259" t="s">
        <v>68</v>
      </c>
      <c r="C259" s="1">
        <v>45188.257071759261</v>
      </c>
      <c r="D259" t="str">
        <f ca="1">VLOOKUP(qry_ProdData2_PDI_Cash_Exception_Application[[#This Row],[TYPE]],#REF!,2,FALSE)</f>
        <v>type40</v>
      </c>
      <c r="E259">
        <v>5.48</v>
      </c>
      <c r="F259" t="s">
        <v>48</v>
      </c>
      <c r="G259" s="1">
        <f>qry_ProdData2_PDI_Cash_Exception_Application[[#This Row],[INSERT DATE]]+2</f>
        <v>45190.257071759261</v>
      </c>
      <c r="H259" t="str">
        <f>VLOOKUP(qry_ProdData2_PDI_Cash_Exception_Application[[#This Row],[MARKET No]],'Site Allocation'!$B$2:$C$37,2,FALSE)</f>
        <v>Analyst3</v>
      </c>
      <c r="I259" s="4">
        <f t="shared" ca="1" si="4"/>
        <v>45203</v>
      </c>
      <c r="J259" s="42">
        <f ca="1">TODAY()-qry_ProdData2_PDI_Cash_Exception_Application[[#This Row],[INSERT DATE]]</f>
        <v>14.742928240739275</v>
      </c>
      <c r="K2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9">
        <f ca="1">qry_ProdData2_PDI_Cash_Exception_Application[[#This Row],[TODAY]]-qry_ProdData2_PDI_Cash_Exception_Application[[#This Row],[CHANGED ON]]</f>
        <v>12.742928240739275</v>
      </c>
      <c r="M259">
        <f ca="1">qry_ProdData2_PDI_Cash_Exception_Application[[#This Row],[TODAY]]-qry_ProdData2_PDI_Cash_Exception_Application[[#This Row],[CHANGED ON]]</f>
        <v>12.742928240739275</v>
      </c>
      <c r="N259">
        <f ca="1">qry_ProdData2_PDI_Cash_Exception_Application[[#This Row],[TODAY]]-qry_ProdData2_PDI_Cash_Exception_Application[[#This Row],[CHANGED ON]]</f>
        <v>12.742928240739275</v>
      </c>
    </row>
    <row r="260" spans="1:14" x14ac:dyDescent="0.35">
      <c r="A260">
        <v>1020</v>
      </c>
      <c r="B260" t="s">
        <v>74</v>
      </c>
      <c r="C260" s="1">
        <v>45188.257071759261</v>
      </c>
      <c r="D260" t="str">
        <f ca="1">VLOOKUP(qry_ProdData2_PDI_Cash_Exception_Application[[#This Row],[TYPE]],#REF!,2,FALSE)</f>
        <v>type40</v>
      </c>
      <c r="E260">
        <v>-839.92</v>
      </c>
      <c r="F260" t="str">
        <f>qry_ProdData2_PDI_Cash_Exception_Application[[#This Row],[ANALYST]]</f>
        <v>Analyst4</v>
      </c>
      <c r="G260" s="1">
        <f>qry_ProdData2_PDI_Cash_Exception_Application[[#This Row],[INSERT DATE]]+2</f>
        <v>45190.257071759261</v>
      </c>
      <c r="H260" t="str">
        <f>VLOOKUP(qry_ProdData2_PDI_Cash_Exception_Application[[#This Row],[MARKET No]],'Site Allocation'!$B$2:$C$37,2,FALSE)</f>
        <v>Analyst4</v>
      </c>
      <c r="I260" s="4">
        <f t="shared" ca="1" si="4"/>
        <v>45203</v>
      </c>
      <c r="J260" s="42">
        <f ca="1">TODAY()-qry_ProdData2_PDI_Cash_Exception_Application[[#This Row],[INSERT DATE]]</f>
        <v>14.742928240739275</v>
      </c>
      <c r="K2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0">
        <f ca="1">qry_ProdData2_PDI_Cash_Exception_Application[[#This Row],[TODAY]]-qry_ProdData2_PDI_Cash_Exception_Application[[#This Row],[CHANGED ON]]</f>
        <v>12.742928240739275</v>
      </c>
      <c r="M260">
        <f ca="1">qry_ProdData2_PDI_Cash_Exception_Application[[#This Row],[TODAY]]-qry_ProdData2_PDI_Cash_Exception_Application[[#This Row],[CHANGED ON]]</f>
        <v>12.742928240739275</v>
      </c>
      <c r="N260">
        <f ca="1">qry_ProdData2_PDI_Cash_Exception_Application[[#This Row],[TODAY]]-qry_ProdData2_PDI_Cash_Exception_Application[[#This Row],[CHANGED ON]]</f>
        <v>12.742928240739275</v>
      </c>
    </row>
    <row r="261" spans="1:14" x14ac:dyDescent="0.35">
      <c r="A261">
        <v>1014</v>
      </c>
      <c r="B261" t="s">
        <v>68</v>
      </c>
      <c r="C261" s="1">
        <v>45184.257071759261</v>
      </c>
      <c r="D261" t="str">
        <f ca="1">VLOOKUP(qry_ProdData2_PDI_Cash_Exception_Application[[#This Row],[TYPE]],#REF!,2,FALSE)</f>
        <v>type40</v>
      </c>
      <c r="E261">
        <v>46.75</v>
      </c>
      <c r="F261" t="s">
        <v>51</v>
      </c>
      <c r="G261" s="1">
        <f>qry_ProdData2_PDI_Cash_Exception_Application[[#This Row],[INSERT DATE]]+2</f>
        <v>45186.257071759261</v>
      </c>
      <c r="H261" t="str">
        <f>VLOOKUP(qry_ProdData2_PDI_Cash_Exception_Application[[#This Row],[MARKET No]],'Site Allocation'!$B$2:$C$37,2,FALSE)</f>
        <v>Analyst3</v>
      </c>
      <c r="I261" s="4">
        <f t="shared" ca="1" si="4"/>
        <v>45203</v>
      </c>
      <c r="J261" s="42">
        <f ca="1">TODAY()-qry_ProdData2_PDI_Cash_Exception_Application[[#This Row],[INSERT DATE]]</f>
        <v>18.742928240739275</v>
      </c>
      <c r="K2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1">
        <f ca="1">qry_ProdData2_PDI_Cash_Exception_Application[[#This Row],[TODAY]]-qry_ProdData2_PDI_Cash_Exception_Application[[#This Row],[CHANGED ON]]</f>
        <v>16.742928240739275</v>
      </c>
      <c r="M261">
        <f ca="1">qry_ProdData2_PDI_Cash_Exception_Application[[#This Row],[TODAY]]-qry_ProdData2_PDI_Cash_Exception_Application[[#This Row],[CHANGED ON]]</f>
        <v>16.742928240739275</v>
      </c>
      <c r="N261">
        <f ca="1">qry_ProdData2_PDI_Cash_Exception_Application[[#This Row],[TODAY]]-qry_ProdData2_PDI_Cash_Exception_Application[[#This Row],[CHANGED ON]]</f>
        <v>16.742928240739275</v>
      </c>
    </row>
    <row r="262" spans="1:14" x14ac:dyDescent="0.35">
      <c r="A262">
        <v>1023</v>
      </c>
      <c r="B262" t="s">
        <v>77</v>
      </c>
      <c r="C262" s="1">
        <v>45185.257071759261</v>
      </c>
      <c r="D262" t="str">
        <f ca="1">VLOOKUP(qry_ProdData2_PDI_Cash_Exception_Application[[#This Row],[TYPE]],#REF!,2,FALSE)</f>
        <v>type35</v>
      </c>
      <c r="E262">
        <v>383.96</v>
      </c>
      <c r="F262" t="s">
        <v>51</v>
      </c>
      <c r="G262" s="1">
        <f>qry_ProdData2_PDI_Cash_Exception_Application[[#This Row],[INSERT DATE]]+2</f>
        <v>45187.257071759261</v>
      </c>
      <c r="H262" t="str">
        <f>VLOOKUP(qry_ProdData2_PDI_Cash_Exception_Application[[#This Row],[MARKET No]],'Site Allocation'!$B$2:$C$37,2,FALSE)</f>
        <v>Analyst4</v>
      </c>
      <c r="I262" s="4">
        <f t="shared" ca="1" si="4"/>
        <v>45203</v>
      </c>
      <c r="J262" s="42">
        <f ca="1">TODAY()-qry_ProdData2_PDI_Cash_Exception_Application[[#This Row],[INSERT DATE]]</f>
        <v>17.742928240739275</v>
      </c>
      <c r="K2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2">
        <f ca="1">qry_ProdData2_PDI_Cash_Exception_Application[[#This Row],[TODAY]]-qry_ProdData2_PDI_Cash_Exception_Application[[#This Row],[CHANGED ON]]</f>
        <v>15.742928240739275</v>
      </c>
      <c r="M262">
        <f ca="1">qry_ProdData2_PDI_Cash_Exception_Application[[#This Row],[TODAY]]-qry_ProdData2_PDI_Cash_Exception_Application[[#This Row],[CHANGED ON]]</f>
        <v>15.742928240739275</v>
      </c>
      <c r="N262">
        <f ca="1">qry_ProdData2_PDI_Cash_Exception_Application[[#This Row],[TODAY]]-qry_ProdData2_PDI_Cash_Exception_Application[[#This Row],[CHANGED ON]]</f>
        <v>15.742928240739275</v>
      </c>
    </row>
    <row r="263" spans="1:14" x14ac:dyDescent="0.35">
      <c r="A263">
        <v>1005</v>
      </c>
      <c r="B263" t="s">
        <v>59</v>
      </c>
      <c r="C263" s="1">
        <v>45189.257071759261</v>
      </c>
      <c r="D263" t="str">
        <f ca="1">VLOOKUP(qry_ProdData2_PDI_Cash_Exception_Application[[#This Row],[TYPE]],#REF!,2,FALSE)</f>
        <v>type40</v>
      </c>
      <c r="E263">
        <v>70</v>
      </c>
      <c r="F263" t="str">
        <f>qry_ProdData2_PDI_Cash_Exception_Application[[#This Row],[ANALYST]]</f>
        <v>Analyst1</v>
      </c>
      <c r="G263" s="1">
        <f>qry_ProdData2_PDI_Cash_Exception_Application[[#This Row],[INSERT DATE]]+2</f>
        <v>45191.257071759261</v>
      </c>
      <c r="H263" t="str">
        <f>VLOOKUP(qry_ProdData2_PDI_Cash_Exception_Application[[#This Row],[MARKET No]],'Site Allocation'!$B$2:$C$37,2,FALSE)</f>
        <v>Analyst1</v>
      </c>
      <c r="I263" s="4">
        <f t="shared" ca="1" si="4"/>
        <v>45203</v>
      </c>
      <c r="J263" s="42">
        <f ca="1">TODAY()-qry_ProdData2_PDI_Cash_Exception_Application[[#This Row],[INSERT DATE]]</f>
        <v>13.742928240739275</v>
      </c>
      <c r="K2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3">
        <f ca="1">qry_ProdData2_PDI_Cash_Exception_Application[[#This Row],[TODAY]]-qry_ProdData2_PDI_Cash_Exception_Application[[#This Row],[CHANGED ON]]</f>
        <v>11.742928240739275</v>
      </c>
      <c r="M263">
        <f ca="1">qry_ProdData2_PDI_Cash_Exception_Application[[#This Row],[TODAY]]-qry_ProdData2_PDI_Cash_Exception_Application[[#This Row],[CHANGED ON]]</f>
        <v>11.742928240739275</v>
      </c>
      <c r="N263">
        <f ca="1">qry_ProdData2_PDI_Cash_Exception_Application[[#This Row],[TODAY]]-qry_ProdData2_PDI_Cash_Exception_Application[[#This Row],[CHANGED ON]]</f>
        <v>11.742928240739275</v>
      </c>
    </row>
    <row r="264" spans="1:14" x14ac:dyDescent="0.35">
      <c r="A264">
        <v>1018</v>
      </c>
      <c r="B264" t="s">
        <v>72</v>
      </c>
      <c r="C264" s="1">
        <v>45187.257071759261</v>
      </c>
      <c r="D264" t="str">
        <f ca="1">VLOOKUP(qry_ProdData2_PDI_Cash_Exception_Application[[#This Row],[TYPE]],#REF!,2,FALSE)</f>
        <v>type15</v>
      </c>
      <c r="E264">
        <v>-1480.3785</v>
      </c>
      <c r="F264" t="s">
        <v>48</v>
      </c>
      <c r="G264" s="1">
        <f>qry_ProdData2_PDI_Cash_Exception_Application[[#This Row],[INSERT DATE]]+2</f>
        <v>45189.257071759261</v>
      </c>
      <c r="H264" t="str">
        <f>VLOOKUP(qry_ProdData2_PDI_Cash_Exception_Application[[#This Row],[MARKET No]],'Site Allocation'!$B$2:$C$37,2,FALSE)</f>
        <v>Analyst4</v>
      </c>
      <c r="I264" s="4">
        <f t="shared" ca="1" si="4"/>
        <v>45203</v>
      </c>
      <c r="J264" s="42">
        <f ca="1">TODAY()-qry_ProdData2_PDI_Cash_Exception_Application[[#This Row],[INSERT DATE]]</f>
        <v>15.742928240739275</v>
      </c>
      <c r="K2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4">
        <f ca="1">qry_ProdData2_PDI_Cash_Exception_Application[[#This Row],[TODAY]]-qry_ProdData2_PDI_Cash_Exception_Application[[#This Row],[CHANGED ON]]</f>
        <v>13.742928240739275</v>
      </c>
      <c r="M264">
        <f ca="1">qry_ProdData2_PDI_Cash_Exception_Application[[#This Row],[TODAY]]-qry_ProdData2_PDI_Cash_Exception_Application[[#This Row],[CHANGED ON]]</f>
        <v>13.742928240739275</v>
      </c>
      <c r="N264">
        <f ca="1">qry_ProdData2_PDI_Cash_Exception_Application[[#This Row],[TODAY]]-qry_ProdData2_PDI_Cash_Exception_Application[[#This Row],[CHANGED ON]]</f>
        <v>13.742928240739275</v>
      </c>
    </row>
    <row r="265" spans="1:14" x14ac:dyDescent="0.35">
      <c r="A265">
        <v>1032</v>
      </c>
      <c r="B265" t="s">
        <v>86</v>
      </c>
      <c r="C265" s="1">
        <v>45191.257071759261</v>
      </c>
      <c r="D265" t="str">
        <f ca="1">VLOOKUP(qry_ProdData2_PDI_Cash_Exception_Application[[#This Row],[TYPE]],#REF!,2,FALSE)</f>
        <v>type40</v>
      </c>
      <c r="E265">
        <v>-544</v>
      </c>
      <c r="G265" s="1">
        <f>qry_ProdData2_PDI_Cash_Exception_Application[[#This Row],[INSERT DATE]]+2</f>
        <v>45193.257071759261</v>
      </c>
      <c r="H265" t="str">
        <f>VLOOKUP(qry_ProdData2_PDI_Cash_Exception_Application[[#This Row],[MARKET No]],'Site Allocation'!$B$2:$C$37,2,FALSE)</f>
        <v>Analyst6</v>
      </c>
      <c r="I265" s="4">
        <f t="shared" ca="1" si="4"/>
        <v>45203</v>
      </c>
      <c r="J265" s="42">
        <f ca="1">TODAY()-qry_ProdData2_PDI_Cash_Exception_Application[[#This Row],[INSERT DATE]]</f>
        <v>11.742928240739275</v>
      </c>
      <c r="K2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5">
        <f ca="1">qry_ProdData2_PDI_Cash_Exception_Application[[#This Row],[TODAY]]-qry_ProdData2_PDI_Cash_Exception_Application[[#This Row],[CHANGED ON]]</f>
        <v>9.7429282407392748</v>
      </c>
      <c r="M265">
        <f ca="1">qry_ProdData2_PDI_Cash_Exception_Application[[#This Row],[TODAY]]-qry_ProdData2_PDI_Cash_Exception_Application[[#This Row],[CHANGED ON]]</f>
        <v>9.7429282407392748</v>
      </c>
      <c r="N265">
        <f ca="1">qry_ProdData2_PDI_Cash_Exception_Application[[#This Row],[TODAY]]-qry_ProdData2_PDI_Cash_Exception_Application[[#This Row],[CHANGED ON]]</f>
        <v>9.7429282407392748</v>
      </c>
    </row>
    <row r="266" spans="1:14" x14ac:dyDescent="0.35">
      <c r="A266">
        <v>1017</v>
      </c>
      <c r="B266" t="s">
        <v>71</v>
      </c>
      <c r="C266" s="1">
        <v>45189.257071759261</v>
      </c>
      <c r="D266" t="str">
        <f ca="1">VLOOKUP(qry_ProdData2_PDI_Cash_Exception_Application[[#This Row],[TYPE]],#REF!,2,FALSE)</f>
        <v>type40</v>
      </c>
      <c r="E266">
        <v>12.64</v>
      </c>
      <c r="F266" t="s">
        <v>51</v>
      </c>
      <c r="G266" s="1">
        <f>qry_ProdData2_PDI_Cash_Exception_Application[[#This Row],[INSERT DATE]]+2</f>
        <v>45191.257071759261</v>
      </c>
      <c r="H266" t="str">
        <f>VLOOKUP(qry_ProdData2_PDI_Cash_Exception_Application[[#This Row],[MARKET No]],'Site Allocation'!$B$2:$C$37,2,FALSE)</f>
        <v>Analyst3</v>
      </c>
      <c r="I266" s="4">
        <f t="shared" ca="1" si="4"/>
        <v>45203</v>
      </c>
      <c r="J266" s="42">
        <f ca="1">TODAY()-qry_ProdData2_PDI_Cash_Exception_Application[[#This Row],[INSERT DATE]]</f>
        <v>13.742928240739275</v>
      </c>
      <c r="K2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6">
        <f ca="1">qry_ProdData2_PDI_Cash_Exception_Application[[#This Row],[TODAY]]-qry_ProdData2_PDI_Cash_Exception_Application[[#This Row],[CHANGED ON]]</f>
        <v>11.742928240739275</v>
      </c>
      <c r="M266">
        <f ca="1">qry_ProdData2_PDI_Cash_Exception_Application[[#This Row],[TODAY]]-qry_ProdData2_PDI_Cash_Exception_Application[[#This Row],[CHANGED ON]]</f>
        <v>11.742928240739275</v>
      </c>
      <c r="N266">
        <f ca="1">qry_ProdData2_PDI_Cash_Exception_Application[[#This Row],[TODAY]]-qry_ProdData2_PDI_Cash_Exception_Application[[#This Row],[CHANGED ON]]</f>
        <v>11.742928240739275</v>
      </c>
    </row>
    <row r="267" spans="1:14" x14ac:dyDescent="0.35">
      <c r="A267">
        <v>1001</v>
      </c>
      <c r="B267" t="s">
        <v>55</v>
      </c>
      <c r="C267" s="1">
        <v>45182.257071759261</v>
      </c>
      <c r="D267" t="str">
        <f ca="1">VLOOKUP(qry_ProdData2_PDI_Cash_Exception_Application[[#This Row],[TYPE]],#REF!,2,FALSE)</f>
        <v>type40</v>
      </c>
      <c r="E267">
        <v>-3542.7</v>
      </c>
      <c r="F267" t="str">
        <f>qry_ProdData2_PDI_Cash_Exception_Application[[#This Row],[ANALYST]]</f>
        <v>Analyst1</v>
      </c>
      <c r="G267" s="1">
        <f>qry_ProdData2_PDI_Cash_Exception_Application[[#This Row],[INSERT DATE]]+5</f>
        <v>45187.257071759261</v>
      </c>
      <c r="H267" t="str">
        <f>VLOOKUP(qry_ProdData2_PDI_Cash_Exception_Application[[#This Row],[MARKET No]],'Site Allocation'!$B$2:$C$37,2,FALSE)</f>
        <v>Analyst1</v>
      </c>
      <c r="I267" s="4">
        <f t="shared" ca="1" si="4"/>
        <v>45203</v>
      </c>
      <c r="J267" s="42">
        <f ca="1">TODAY()-qry_ProdData2_PDI_Cash_Exception_Application[[#This Row],[INSERT DATE]]</f>
        <v>20.742928240739275</v>
      </c>
      <c r="K2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7">
        <f ca="1">qry_ProdData2_PDI_Cash_Exception_Application[[#This Row],[TODAY]]-qry_ProdData2_PDI_Cash_Exception_Application[[#This Row],[CHANGED ON]]</f>
        <v>15.742928240739275</v>
      </c>
      <c r="M267">
        <f ca="1">qry_ProdData2_PDI_Cash_Exception_Application[[#This Row],[TODAY]]-qry_ProdData2_PDI_Cash_Exception_Application[[#This Row],[CHANGED ON]]</f>
        <v>15.742928240739275</v>
      </c>
      <c r="N267">
        <f ca="1">qry_ProdData2_PDI_Cash_Exception_Application[[#This Row],[TODAY]]-qry_ProdData2_PDI_Cash_Exception_Application[[#This Row],[CHANGED ON]]</f>
        <v>15.742928240739275</v>
      </c>
    </row>
    <row r="268" spans="1:14" x14ac:dyDescent="0.35">
      <c r="A268">
        <v>1034</v>
      </c>
      <c r="B268" t="s">
        <v>88</v>
      </c>
      <c r="C268" s="1">
        <v>45194.257071759261</v>
      </c>
      <c r="D268" t="str">
        <f ca="1">VLOOKUP(qry_ProdData2_PDI_Cash_Exception_Application[[#This Row],[TYPE]],#REF!,2,FALSE)</f>
        <v>type7</v>
      </c>
      <c r="E268">
        <v>-10067.91</v>
      </c>
      <c r="G268" s="1">
        <f>qry_ProdData2_PDI_Cash_Exception_Application[[#This Row],[INSERT DATE]]+5</f>
        <v>45199.257071759261</v>
      </c>
      <c r="H268" t="str">
        <f>VLOOKUP(qry_ProdData2_PDI_Cash_Exception_Application[[#This Row],[MARKET No]],'Site Allocation'!$B$2:$C$37,2,FALSE)</f>
        <v>Analyst6</v>
      </c>
      <c r="I268" s="4">
        <f t="shared" ca="1" si="4"/>
        <v>45203</v>
      </c>
      <c r="J268" s="42">
        <f ca="1">TODAY()-qry_ProdData2_PDI_Cash_Exception_Application[[#This Row],[INSERT DATE]]</f>
        <v>8.7429282407392748</v>
      </c>
      <c r="K2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68">
        <f ca="1">qry_ProdData2_PDI_Cash_Exception_Application[[#This Row],[TODAY]]-qry_ProdData2_PDI_Cash_Exception_Application[[#This Row],[CHANGED ON]]</f>
        <v>3.7429282407392748</v>
      </c>
      <c r="M268">
        <f ca="1">qry_ProdData2_PDI_Cash_Exception_Application[[#This Row],[TODAY]]-qry_ProdData2_PDI_Cash_Exception_Application[[#This Row],[CHANGED ON]]</f>
        <v>3.7429282407392748</v>
      </c>
      <c r="N268">
        <f ca="1">qry_ProdData2_PDI_Cash_Exception_Application[[#This Row],[TODAY]]-qry_ProdData2_PDI_Cash_Exception_Application[[#This Row],[CHANGED ON]]</f>
        <v>3.7429282407392748</v>
      </c>
    </row>
    <row r="269" spans="1:14" x14ac:dyDescent="0.35">
      <c r="A269">
        <v>1012</v>
      </c>
      <c r="B269" t="s">
        <v>66</v>
      </c>
      <c r="C269" s="1">
        <v>45187.257071759261</v>
      </c>
      <c r="D269" t="str">
        <f ca="1">VLOOKUP(qry_ProdData2_PDI_Cash_Exception_Application[[#This Row],[TYPE]],#REF!,2,FALSE)</f>
        <v>type40</v>
      </c>
      <c r="E269">
        <v>-335.7</v>
      </c>
      <c r="G269" s="1">
        <f>qry_ProdData2_PDI_Cash_Exception_Application[[#This Row],[INSERT DATE]]+2</f>
        <v>45189.257071759261</v>
      </c>
      <c r="H269" t="str">
        <f>VLOOKUP(qry_ProdData2_PDI_Cash_Exception_Application[[#This Row],[MARKET No]],'Site Allocation'!$B$2:$C$37,2,FALSE)</f>
        <v>Analyst3</v>
      </c>
      <c r="I269" s="4">
        <f t="shared" ca="1" si="4"/>
        <v>45203</v>
      </c>
      <c r="J269" s="42">
        <f ca="1">TODAY()-qry_ProdData2_PDI_Cash_Exception_Application[[#This Row],[INSERT DATE]]</f>
        <v>15.742928240739275</v>
      </c>
      <c r="K2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9">
        <f ca="1">qry_ProdData2_PDI_Cash_Exception_Application[[#This Row],[TODAY]]-qry_ProdData2_PDI_Cash_Exception_Application[[#This Row],[CHANGED ON]]</f>
        <v>13.742928240739275</v>
      </c>
      <c r="M269">
        <f ca="1">qry_ProdData2_PDI_Cash_Exception_Application[[#This Row],[TODAY]]-qry_ProdData2_PDI_Cash_Exception_Application[[#This Row],[CHANGED ON]]</f>
        <v>13.742928240739275</v>
      </c>
      <c r="N269">
        <f ca="1">qry_ProdData2_PDI_Cash_Exception_Application[[#This Row],[TODAY]]-qry_ProdData2_PDI_Cash_Exception_Application[[#This Row],[CHANGED ON]]</f>
        <v>13.742928240739275</v>
      </c>
    </row>
    <row r="270" spans="1:14" x14ac:dyDescent="0.35">
      <c r="A270">
        <v>1004</v>
      </c>
      <c r="B270" t="s">
        <v>58</v>
      </c>
      <c r="C270" s="1">
        <v>45190.257071759261</v>
      </c>
      <c r="D270" t="str">
        <f ca="1">VLOOKUP(qry_ProdData2_PDI_Cash_Exception_Application[[#This Row],[TYPE]],#REF!,2,FALSE)</f>
        <v>type40</v>
      </c>
      <c r="E270">
        <v>20</v>
      </c>
      <c r="F270" t="s">
        <v>51</v>
      </c>
      <c r="G270" s="1">
        <f>qry_ProdData2_PDI_Cash_Exception_Application[[#This Row],[INSERT DATE]]+2</f>
        <v>45192.257071759261</v>
      </c>
      <c r="H270" t="str">
        <f>VLOOKUP(qry_ProdData2_PDI_Cash_Exception_Application[[#This Row],[MARKET No]],'Site Allocation'!$B$2:$C$37,2,FALSE)</f>
        <v>Analyst1</v>
      </c>
      <c r="I270" s="4">
        <f t="shared" ca="1" si="4"/>
        <v>45203</v>
      </c>
      <c r="J270" s="42">
        <f ca="1">TODAY()-qry_ProdData2_PDI_Cash_Exception_Application[[#This Row],[INSERT DATE]]</f>
        <v>12.742928240739275</v>
      </c>
      <c r="K2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0">
        <f ca="1">qry_ProdData2_PDI_Cash_Exception_Application[[#This Row],[TODAY]]-qry_ProdData2_PDI_Cash_Exception_Application[[#This Row],[CHANGED ON]]</f>
        <v>10.742928240739275</v>
      </c>
      <c r="M270">
        <f ca="1">qry_ProdData2_PDI_Cash_Exception_Application[[#This Row],[TODAY]]-qry_ProdData2_PDI_Cash_Exception_Application[[#This Row],[CHANGED ON]]</f>
        <v>10.742928240739275</v>
      </c>
      <c r="N270">
        <f ca="1">qry_ProdData2_PDI_Cash_Exception_Application[[#This Row],[TODAY]]-qry_ProdData2_PDI_Cash_Exception_Application[[#This Row],[CHANGED ON]]</f>
        <v>10.742928240739275</v>
      </c>
    </row>
    <row r="271" spans="1:14" x14ac:dyDescent="0.35">
      <c r="A271">
        <v>1014</v>
      </c>
      <c r="B271" t="s">
        <v>68</v>
      </c>
      <c r="C271" s="1">
        <v>45191.257071759261</v>
      </c>
      <c r="D271" t="str">
        <f ca="1">VLOOKUP(qry_ProdData2_PDI_Cash_Exception_Application[[#This Row],[TYPE]],#REF!,2,FALSE)</f>
        <v>type40</v>
      </c>
      <c r="E271">
        <v>10.74</v>
      </c>
      <c r="F271" t="s">
        <v>47</v>
      </c>
      <c r="G271" s="1">
        <f>qry_ProdData2_PDI_Cash_Exception_Application[[#This Row],[INSERT DATE]]+5</f>
        <v>45196.257071759261</v>
      </c>
      <c r="H271" t="str">
        <f>VLOOKUP(qry_ProdData2_PDI_Cash_Exception_Application[[#This Row],[MARKET No]],'Site Allocation'!$B$2:$C$37,2,FALSE)</f>
        <v>Analyst3</v>
      </c>
      <c r="I271" s="4">
        <f t="shared" ca="1" si="4"/>
        <v>45203</v>
      </c>
      <c r="J271" s="42">
        <f ca="1">TODAY()-qry_ProdData2_PDI_Cash_Exception_Application[[#This Row],[INSERT DATE]]</f>
        <v>11.742928240739275</v>
      </c>
      <c r="K2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1">
        <f ca="1">qry_ProdData2_PDI_Cash_Exception_Application[[#This Row],[TODAY]]-qry_ProdData2_PDI_Cash_Exception_Application[[#This Row],[CHANGED ON]]</f>
        <v>6.7429282407392748</v>
      </c>
      <c r="M271">
        <f ca="1">qry_ProdData2_PDI_Cash_Exception_Application[[#This Row],[TODAY]]-qry_ProdData2_PDI_Cash_Exception_Application[[#This Row],[CHANGED ON]]</f>
        <v>6.7429282407392748</v>
      </c>
      <c r="N271">
        <f ca="1">qry_ProdData2_PDI_Cash_Exception_Application[[#This Row],[TODAY]]-qry_ProdData2_PDI_Cash_Exception_Application[[#This Row],[CHANGED ON]]</f>
        <v>6.7429282407392748</v>
      </c>
    </row>
    <row r="272" spans="1:14" x14ac:dyDescent="0.35">
      <c r="A272">
        <v>1001</v>
      </c>
      <c r="B272" t="s">
        <v>55</v>
      </c>
      <c r="C272" s="1">
        <v>45183.257071759261</v>
      </c>
      <c r="D272" t="str">
        <f ca="1">VLOOKUP(qry_ProdData2_PDI_Cash_Exception_Application[[#This Row],[TYPE]],#REF!,2,FALSE)</f>
        <v>type11</v>
      </c>
      <c r="E272">
        <v>9400</v>
      </c>
      <c r="F272" t="str">
        <f>qry_ProdData2_PDI_Cash_Exception_Application[[#This Row],[ANALYST]]</f>
        <v>Analyst1</v>
      </c>
      <c r="G272" s="1">
        <f>qry_ProdData2_PDI_Cash_Exception_Application[[#This Row],[INSERT DATE]]+5</f>
        <v>45188.257071759261</v>
      </c>
      <c r="H272" t="str">
        <f>VLOOKUP(qry_ProdData2_PDI_Cash_Exception_Application[[#This Row],[MARKET No]],'Site Allocation'!$B$2:$C$37,2,FALSE)</f>
        <v>Analyst1</v>
      </c>
      <c r="I272" s="4">
        <f t="shared" ca="1" si="4"/>
        <v>45203</v>
      </c>
      <c r="J272" s="42">
        <f ca="1">TODAY()-qry_ProdData2_PDI_Cash_Exception_Application[[#This Row],[INSERT DATE]]</f>
        <v>19.742928240739275</v>
      </c>
      <c r="K2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2">
        <f ca="1">qry_ProdData2_PDI_Cash_Exception_Application[[#This Row],[TODAY]]-qry_ProdData2_PDI_Cash_Exception_Application[[#This Row],[CHANGED ON]]</f>
        <v>14.742928240739275</v>
      </c>
      <c r="M272">
        <f ca="1">qry_ProdData2_PDI_Cash_Exception_Application[[#This Row],[TODAY]]-qry_ProdData2_PDI_Cash_Exception_Application[[#This Row],[CHANGED ON]]</f>
        <v>14.742928240739275</v>
      </c>
      <c r="N272">
        <f ca="1">qry_ProdData2_PDI_Cash_Exception_Application[[#This Row],[TODAY]]-qry_ProdData2_PDI_Cash_Exception_Application[[#This Row],[CHANGED ON]]</f>
        <v>14.742928240739275</v>
      </c>
    </row>
    <row r="273" spans="1:14" x14ac:dyDescent="0.35">
      <c r="A273">
        <v>1006</v>
      </c>
      <c r="B273" t="s">
        <v>60</v>
      </c>
      <c r="C273" s="1">
        <v>45180.257071759261</v>
      </c>
      <c r="D273" t="str">
        <f ca="1">VLOOKUP(qry_ProdData2_PDI_Cash_Exception_Application[[#This Row],[TYPE]],#REF!,2,FALSE)</f>
        <v>type40</v>
      </c>
      <c r="E273">
        <v>15.34</v>
      </c>
      <c r="F273" t="s">
        <v>49</v>
      </c>
      <c r="G273" s="1">
        <f>qry_ProdData2_PDI_Cash_Exception_Application[[#This Row],[INSERT DATE]]+2</f>
        <v>45182.257071759261</v>
      </c>
      <c r="H273" t="str">
        <f>VLOOKUP(qry_ProdData2_PDI_Cash_Exception_Application[[#This Row],[MARKET No]],'Site Allocation'!$B$2:$C$37,2,FALSE)</f>
        <v>Analyst2</v>
      </c>
      <c r="I273" s="4">
        <f t="shared" ca="1" si="4"/>
        <v>45203</v>
      </c>
      <c r="J273" s="42">
        <f ca="1">TODAY()-qry_ProdData2_PDI_Cash_Exception_Application[[#This Row],[INSERT DATE]]</f>
        <v>22.742928240739275</v>
      </c>
      <c r="K2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3">
        <f ca="1">qry_ProdData2_PDI_Cash_Exception_Application[[#This Row],[TODAY]]-qry_ProdData2_PDI_Cash_Exception_Application[[#This Row],[CHANGED ON]]</f>
        <v>20.742928240739275</v>
      </c>
      <c r="M273">
        <f ca="1">qry_ProdData2_PDI_Cash_Exception_Application[[#This Row],[TODAY]]-qry_ProdData2_PDI_Cash_Exception_Application[[#This Row],[CHANGED ON]]</f>
        <v>20.742928240739275</v>
      </c>
      <c r="N273">
        <f ca="1">qry_ProdData2_PDI_Cash_Exception_Application[[#This Row],[TODAY]]-qry_ProdData2_PDI_Cash_Exception_Application[[#This Row],[CHANGED ON]]</f>
        <v>20.742928240739275</v>
      </c>
    </row>
    <row r="274" spans="1:14" x14ac:dyDescent="0.35">
      <c r="A274">
        <v>1024</v>
      </c>
      <c r="B274" t="s">
        <v>78</v>
      </c>
      <c r="C274" s="1">
        <v>45189.257071759261</v>
      </c>
      <c r="D274" t="str">
        <f ca="1">VLOOKUP(qry_ProdData2_PDI_Cash_Exception_Application[[#This Row],[TYPE]],#REF!,2,FALSE)</f>
        <v>type40</v>
      </c>
      <c r="E274">
        <v>-3333.07</v>
      </c>
      <c r="F274" t="s">
        <v>47</v>
      </c>
      <c r="G274" s="1">
        <f>qry_ProdData2_PDI_Cash_Exception_Application[[#This Row],[INSERT DATE]]+5</f>
        <v>45194.257071759261</v>
      </c>
      <c r="H274" t="str">
        <f>VLOOKUP(qry_ProdData2_PDI_Cash_Exception_Application[[#This Row],[MARKET No]],'Site Allocation'!$B$2:$C$37,2,FALSE)</f>
        <v>Analyst5</v>
      </c>
      <c r="I274" s="4">
        <f t="shared" ca="1" si="4"/>
        <v>45203</v>
      </c>
      <c r="J274" s="42">
        <f ca="1">TODAY()-qry_ProdData2_PDI_Cash_Exception_Application[[#This Row],[INSERT DATE]]</f>
        <v>13.742928240739275</v>
      </c>
      <c r="K2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4">
        <f ca="1">qry_ProdData2_PDI_Cash_Exception_Application[[#This Row],[TODAY]]-qry_ProdData2_PDI_Cash_Exception_Application[[#This Row],[CHANGED ON]]</f>
        <v>8.7429282407392748</v>
      </c>
      <c r="M274">
        <f ca="1">qry_ProdData2_PDI_Cash_Exception_Application[[#This Row],[TODAY]]-qry_ProdData2_PDI_Cash_Exception_Application[[#This Row],[CHANGED ON]]</f>
        <v>8.7429282407392748</v>
      </c>
      <c r="N274">
        <f ca="1">qry_ProdData2_PDI_Cash_Exception_Application[[#This Row],[TODAY]]-qry_ProdData2_PDI_Cash_Exception_Application[[#This Row],[CHANGED ON]]</f>
        <v>8.7429282407392748</v>
      </c>
    </row>
    <row r="275" spans="1:14" x14ac:dyDescent="0.35">
      <c r="A275">
        <v>1032</v>
      </c>
      <c r="B275" t="s">
        <v>86</v>
      </c>
      <c r="C275" s="1">
        <v>45187.257071759261</v>
      </c>
      <c r="D275" t="str">
        <f ca="1">VLOOKUP(qry_ProdData2_PDI_Cash_Exception_Application[[#This Row],[TYPE]],#REF!,2,FALSE)</f>
        <v>type54</v>
      </c>
      <c r="E275">
        <v>-70</v>
      </c>
      <c r="G275" s="1">
        <f>qry_ProdData2_PDI_Cash_Exception_Application[[#This Row],[INSERT DATE]]+7</f>
        <v>45194.257071759261</v>
      </c>
      <c r="H275" t="str">
        <f>VLOOKUP(qry_ProdData2_PDI_Cash_Exception_Application[[#This Row],[MARKET No]],'Site Allocation'!$B$2:$C$37,2,FALSE)</f>
        <v>Analyst6</v>
      </c>
      <c r="I275" s="4">
        <f t="shared" ca="1" si="4"/>
        <v>45203</v>
      </c>
      <c r="J275" s="42">
        <f ca="1">TODAY()-qry_ProdData2_PDI_Cash_Exception_Application[[#This Row],[INSERT DATE]]</f>
        <v>15.742928240739275</v>
      </c>
      <c r="K2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5">
        <f ca="1">qry_ProdData2_PDI_Cash_Exception_Application[[#This Row],[TODAY]]-qry_ProdData2_PDI_Cash_Exception_Application[[#This Row],[CHANGED ON]]</f>
        <v>8.7429282407392748</v>
      </c>
      <c r="M275">
        <f ca="1">qry_ProdData2_PDI_Cash_Exception_Application[[#This Row],[TODAY]]-qry_ProdData2_PDI_Cash_Exception_Application[[#This Row],[CHANGED ON]]</f>
        <v>8.7429282407392748</v>
      </c>
      <c r="N275">
        <f ca="1">qry_ProdData2_PDI_Cash_Exception_Application[[#This Row],[TODAY]]-qry_ProdData2_PDI_Cash_Exception_Application[[#This Row],[CHANGED ON]]</f>
        <v>8.7429282407392748</v>
      </c>
    </row>
    <row r="276" spans="1:14" x14ac:dyDescent="0.35">
      <c r="A276">
        <v>1019</v>
      </c>
      <c r="B276" t="s">
        <v>73</v>
      </c>
      <c r="C276" s="1">
        <v>45193.257071759261</v>
      </c>
      <c r="D276" t="str">
        <f ca="1">VLOOKUP(qry_ProdData2_PDI_Cash_Exception_Application[[#This Row],[TYPE]],#REF!,2,FALSE)</f>
        <v>type40</v>
      </c>
      <c r="E276">
        <v>506.36</v>
      </c>
      <c r="F276" t="str">
        <f>qry_ProdData2_PDI_Cash_Exception_Application[[#This Row],[ANALYST]]</f>
        <v>Analyst4</v>
      </c>
      <c r="G276" s="1">
        <f>qry_ProdData2_PDI_Cash_Exception_Application[[#This Row],[INSERT DATE]]+7</f>
        <v>45200.257071759261</v>
      </c>
      <c r="H276" t="str">
        <f>VLOOKUP(qry_ProdData2_PDI_Cash_Exception_Application[[#This Row],[MARKET No]],'Site Allocation'!$B$2:$C$37,2,FALSE)</f>
        <v>Analyst4</v>
      </c>
      <c r="I276" s="4">
        <f t="shared" ca="1" si="4"/>
        <v>45203</v>
      </c>
      <c r="J276" s="42">
        <f ca="1">TODAY()-qry_ProdData2_PDI_Cash_Exception_Application[[#This Row],[INSERT DATE]]</f>
        <v>9.7429282407392748</v>
      </c>
      <c r="K2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6">
        <f ca="1">qry_ProdData2_PDI_Cash_Exception_Application[[#This Row],[TODAY]]-qry_ProdData2_PDI_Cash_Exception_Application[[#This Row],[CHANGED ON]]</f>
        <v>2.7429282407392748</v>
      </c>
      <c r="M276">
        <f ca="1">qry_ProdData2_PDI_Cash_Exception_Application[[#This Row],[TODAY]]-qry_ProdData2_PDI_Cash_Exception_Application[[#This Row],[CHANGED ON]]</f>
        <v>2.7429282407392748</v>
      </c>
      <c r="N276">
        <f ca="1">qry_ProdData2_PDI_Cash_Exception_Application[[#This Row],[TODAY]]-qry_ProdData2_PDI_Cash_Exception_Application[[#This Row],[CHANGED ON]]</f>
        <v>2.7429282407392748</v>
      </c>
    </row>
    <row r="277" spans="1:14" x14ac:dyDescent="0.35">
      <c r="A277">
        <v>1020</v>
      </c>
      <c r="B277" t="s">
        <v>74</v>
      </c>
      <c r="C277" s="1">
        <v>45189.257071759261</v>
      </c>
      <c r="D277" t="str">
        <f ca="1">VLOOKUP(qry_ProdData2_PDI_Cash_Exception_Application[[#This Row],[TYPE]],#REF!,2,FALSE)</f>
        <v>type8</v>
      </c>
      <c r="E277">
        <v>66.239999999999995</v>
      </c>
      <c r="F277" t="str">
        <f>qry_ProdData2_PDI_Cash_Exception_Application[[#This Row],[ANALYST]]</f>
        <v>Analyst4</v>
      </c>
      <c r="G277" s="1">
        <f>qry_ProdData2_PDI_Cash_Exception_Application[[#This Row],[INSERT DATE]]+7</f>
        <v>45196.257071759261</v>
      </c>
      <c r="H277" t="str">
        <f>VLOOKUP(qry_ProdData2_PDI_Cash_Exception_Application[[#This Row],[MARKET No]],'Site Allocation'!$B$2:$C$37,2,FALSE)</f>
        <v>Analyst4</v>
      </c>
      <c r="I277" s="4">
        <f t="shared" ca="1" si="4"/>
        <v>45203</v>
      </c>
      <c r="J277" s="42">
        <f ca="1">TODAY()-qry_ProdData2_PDI_Cash_Exception_Application[[#This Row],[INSERT DATE]]</f>
        <v>13.742928240739275</v>
      </c>
      <c r="K2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7">
        <f ca="1">qry_ProdData2_PDI_Cash_Exception_Application[[#This Row],[TODAY]]-qry_ProdData2_PDI_Cash_Exception_Application[[#This Row],[CHANGED ON]]</f>
        <v>6.7429282407392748</v>
      </c>
      <c r="M277">
        <f ca="1">qry_ProdData2_PDI_Cash_Exception_Application[[#This Row],[TODAY]]-qry_ProdData2_PDI_Cash_Exception_Application[[#This Row],[CHANGED ON]]</f>
        <v>6.7429282407392748</v>
      </c>
      <c r="N277">
        <f ca="1">qry_ProdData2_PDI_Cash_Exception_Application[[#This Row],[TODAY]]-qry_ProdData2_PDI_Cash_Exception_Application[[#This Row],[CHANGED ON]]</f>
        <v>6.7429282407392748</v>
      </c>
    </row>
    <row r="278" spans="1:14" x14ac:dyDescent="0.35">
      <c r="A278">
        <v>1013</v>
      </c>
      <c r="B278" t="s">
        <v>67</v>
      </c>
      <c r="C278" s="1">
        <v>45191.257071759261</v>
      </c>
      <c r="D278" t="str">
        <f ca="1">VLOOKUP(qry_ProdData2_PDI_Cash_Exception_Application[[#This Row],[TYPE]],#REF!,2,FALSE)</f>
        <v>type54</v>
      </c>
      <c r="E278">
        <v>-20.32</v>
      </c>
      <c r="F278" t="s">
        <v>47</v>
      </c>
      <c r="G278" s="1">
        <f>qry_ProdData2_PDI_Cash_Exception_Application[[#This Row],[INSERT DATE]]+5</f>
        <v>45196.257071759261</v>
      </c>
      <c r="H278" t="str">
        <f>VLOOKUP(qry_ProdData2_PDI_Cash_Exception_Application[[#This Row],[MARKET No]],'Site Allocation'!$B$2:$C$37,2,FALSE)</f>
        <v>Analyst3</v>
      </c>
      <c r="I278" s="4">
        <f t="shared" ca="1" si="4"/>
        <v>45203</v>
      </c>
      <c r="J278" s="42">
        <f ca="1">TODAY()-qry_ProdData2_PDI_Cash_Exception_Application[[#This Row],[INSERT DATE]]</f>
        <v>11.742928240739275</v>
      </c>
      <c r="K2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8">
        <f ca="1">qry_ProdData2_PDI_Cash_Exception_Application[[#This Row],[TODAY]]-qry_ProdData2_PDI_Cash_Exception_Application[[#This Row],[CHANGED ON]]</f>
        <v>6.7429282407392748</v>
      </c>
      <c r="M278">
        <f ca="1">qry_ProdData2_PDI_Cash_Exception_Application[[#This Row],[TODAY]]-qry_ProdData2_PDI_Cash_Exception_Application[[#This Row],[CHANGED ON]]</f>
        <v>6.7429282407392748</v>
      </c>
      <c r="N278">
        <f ca="1">qry_ProdData2_PDI_Cash_Exception_Application[[#This Row],[TODAY]]-qry_ProdData2_PDI_Cash_Exception_Application[[#This Row],[CHANGED ON]]</f>
        <v>6.7429282407392748</v>
      </c>
    </row>
    <row r="279" spans="1:14" x14ac:dyDescent="0.35">
      <c r="A279">
        <v>1028</v>
      </c>
      <c r="B279" t="s">
        <v>82</v>
      </c>
      <c r="C279" s="1">
        <v>45187.257071759261</v>
      </c>
      <c r="D279" t="str">
        <f ca="1">VLOOKUP(qry_ProdData2_PDI_Cash_Exception_Application[[#This Row],[TYPE]],#REF!,2,FALSE)</f>
        <v>type7</v>
      </c>
      <c r="E279">
        <v>-10980.08</v>
      </c>
      <c r="F279" t="s">
        <v>51</v>
      </c>
      <c r="G279" s="1">
        <f>qry_ProdData2_PDI_Cash_Exception_Application[[#This Row],[INSERT DATE]]+5</f>
        <v>45192.257071759261</v>
      </c>
      <c r="H279" t="str">
        <f>VLOOKUP(qry_ProdData2_PDI_Cash_Exception_Application[[#This Row],[MARKET No]],'Site Allocation'!$B$2:$C$37,2,FALSE)</f>
        <v>Analyst5</v>
      </c>
      <c r="I279" s="4">
        <f t="shared" ca="1" si="4"/>
        <v>45203</v>
      </c>
      <c r="J279" s="42">
        <f ca="1">TODAY()-qry_ProdData2_PDI_Cash_Exception_Application[[#This Row],[INSERT DATE]]</f>
        <v>15.742928240739275</v>
      </c>
      <c r="K2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9">
        <f ca="1">qry_ProdData2_PDI_Cash_Exception_Application[[#This Row],[TODAY]]-qry_ProdData2_PDI_Cash_Exception_Application[[#This Row],[CHANGED ON]]</f>
        <v>10.742928240739275</v>
      </c>
      <c r="M279">
        <f ca="1">qry_ProdData2_PDI_Cash_Exception_Application[[#This Row],[TODAY]]-qry_ProdData2_PDI_Cash_Exception_Application[[#This Row],[CHANGED ON]]</f>
        <v>10.742928240739275</v>
      </c>
      <c r="N279">
        <f ca="1">qry_ProdData2_PDI_Cash_Exception_Application[[#This Row],[TODAY]]-qry_ProdData2_PDI_Cash_Exception_Application[[#This Row],[CHANGED ON]]</f>
        <v>10.742928240739275</v>
      </c>
    </row>
    <row r="280" spans="1:14" x14ac:dyDescent="0.35">
      <c r="A280">
        <v>1032</v>
      </c>
      <c r="B280" t="s">
        <v>86</v>
      </c>
      <c r="C280" s="1">
        <v>45195.257071759261</v>
      </c>
      <c r="D280" t="str">
        <f ca="1">VLOOKUP(qry_ProdData2_PDI_Cash_Exception_Application[[#This Row],[TYPE]],#REF!,2,FALSE)</f>
        <v>type40</v>
      </c>
      <c r="E280">
        <v>1310.1199999999999</v>
      </c>
      <c r="G280" s="1">
        <f>qry_ProdData2_PDI_Cash_Exception_Application[[#This Row],[INSERT DATE]]+7</f>
        <v>45202.257071759261</v>
      </c>
      <c r="H280" t="str">
        <f>VLOOKUP(qry_ProdData2_PDI_Cash_Exception_Application[[#This Row],[MARKET No]],'Site Allocation'!$B$2:$C$37,2,FALSE)</f>
        <v>Analyst6</v>
      </c>
      <c r="I280" s="4">
        <f t="shared" ca="1" si="4"/>
        <v>45203</v>
      </c>
      <c r="J280" s="42">
        <f ca="1">TODAY()-qry_ProdData2_PDI_Cash_Exception_Application[[#This Row],[INSERT DATE]]</f>
        <v>7.7429282407392748</v>
      </c>
      <c r="K2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0">
        <f ca="1">qry_ProdData2_PDI_Cash_Exception_Application[[#This Row],[TODAY]]-qry_ProdData2_PDI_Cash_Exception_Application[[#This Row],[CHANGED ON]]</f>
        <v>0.74292824073927477</v>
      </c>
      <c r="M280">
        <f ca="1">qry_ProdData2_PDI_Cash_Exception_Application[[#This Row],[TODAY]]-qry_ProdData2_PDI_Cash_Exception_Application[[#This Row],[CHANGED ON]]</f>
        <v>0.74292824073927477</v>
      </c>
      <c r="N280">
        <f ca="1">qry_ProdData2_PDI_Cash_Exception_Application[[#This Row],[TODAY]]-qry_ProdData2_PDI_Cash_Exception_Application[[#This Row],[CHANGED ON]]</f>
        <v>0.74292824073927477</v>
      </c>
    </row>
    <row r="281" spans="1:14" x14ac:dyDescent="0.35">
      <c r="A281">
        <v>1021</v>
      </c>
      <c r="B281" t="s">
        <v>75</v>
      </c>
      <c r="C281" s="1">
        <v>45191.257071759261</v>
      </c>
      <c r="D281" t="str">
        <f ca="1">VLOOKUP(qry_ProdData2_PDI_Cash_Exception_Application[[#This Row],[TYPE]],#REF!,2,FALSE)</f>
        <v>type7</v>
      </c>
      <c r="E281">
        <v>-1076.8800000000001</v>
      </c>
      <c r="F281" t="str">
        <f>qry_ProdData2_PDI_Cash_Exception_Application[[#This Row],[ANALYST]]</f>
        <v>Analyst4</v>
      </c>
      <c r="G281" s="1">
        <f>qry_ProdData2_PDI_Cash_Exception_Application[[#This Row],[INSERT DATE]]+7</f>
        <v>45198.257071759261</v>
      </c>
      <c r="H281" t="str">
        <f>VLOOKUP(qry_ProdData2_PDI_Cash_Exception_Application[[#This Row],[MARKET No]],'Site Allocation'!$B$2:$C$37,2,FALSE)</f>
        <v>Analyst4</v>
      </c>
      <c r="I281" s="4">
        <f t="shared" ca="1" si="4"/>
        <v>45203</v>
      </c>
      <c r="J281" s="42">
        <f ca="1">TODAY()-qry_ProdData2_PDI_Cash_Exception_Application[[#This Row],[INSERT DATE]]</f>
        <v>11.742928240739275</v>
      </c>
      <c r="K2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1">
        <f ca="1">qry_ProdData2_PDI_Cash_Exception_Application[[#This Row],[TODAY]]-qry_ProdData2_PDI_Cash_Exception_Application[[#This Row],[CHANGED ON]]</f>
        <v>4.7429282407392748</v>
      </c>
      <c r="M281">
        <f ca="1">qry_ProdData2_PDI_Cash_Exception_Application[[#This Row],[TODAY]]-qry_ProdData2_PDI_Cash_Exception_Application[[#This Row],[CHANGED ON]]</f>
        <v>4.7429282407392748</v>
      </c>
      <c r="N281">
        <f ca="1">qry_ProdData2_PDI_Cash_Exception_Application[[#This Row],[TODAY]]-qry_ProdData2_PDI_Cash_Exception_Application[[#This Row],[CHANGED ON]]</f>
        <v>4.7429282407392748</v>
      </c>
    </row>
    <row r="282" spans="1:14" x14ac:dyDescent="0.35">
      <c r="A282">
        <v>1012</v>
      </c>
      <c r="B282" t="s">
        <v>66</v>
      </c>
      <c r="C282" s="1">
        <v>45183.257071759261</v>
      </c>
      <c r="D282" t="str">
        <f ca="1">VLOOKUP(qry_ProdData2_PDI_Cash_Exception_Application[[#This Row],[TYPE]],#REF!,2,FALSE)</f>
        <v>type40</v>
      </c>
      <c r="E282">
        <v>-4064.31</v>
      </c>
      <c r="F282" t="s">
        <v>47</v>
      </c>
      <c r="G282" s="1">
        <f>qry_ProdData2_PDI_Cash_Exception_Application[[#This Row],[INSERT DATE]]+7</f>
        <v>45190.257071759261</v>
      </c>
      <c r="H282" t="str">
        <f>VLOOKUP(qry_ProdData2_PDI_Cash_Exception_Application[[#This Row],[MARKET No]],'Site Allocation'!$B$2:$C$37,2,FALSE)</f>
        <v>Analyst3</v>
      </c>
      <c r="I282" s="4">
        <f t="shared" ca="1" si="4"/>
        <v>45203</v>
      </c>
      <c r="J282" s="42">
        <f ca="1">TODAY()-qry_ProdData2_PDI_Cash_Exception_Application[[#This Row],[INSERT DATE]]</f>
        <v>19.742928240739275</v>
      </c>
      <c r="K2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2">
        <f ca="1">qry_ProdData2_PDI_Cash_Exception_Application[[#This Row],[TODAY]]-qry_ProdData2_PDI_Cash_Exception_Application[[#This Row],[CHANGED ON]]</f>
        <v>12.742928240739275</v>
      </c>
      <c r="M282">
        <f ca="1">qry_ProdData2_PDI_Cash_Exception_Application[[#This Row],[TODAY]]-qry_ProdData2_PDI_Cash_Exception_Application[[#This Row],[CHANGED ON]]</f>
        <v>12.742928240739275</v>
      </c>
      <c r="N282">
        <f ca="1">qry_ProdData2_PDI_Cash_Exception_Application[[#This Row],[TODAY]]-qry_ProdData2_PDI_Cash_Exception_Application[[#This Row],[CHANGED ON]]</f>
        <v>12.742928240739275</v>
      </c>
    </row>
    <row r="283" spans="1:14" x14ac:dyDescent="0.35">
      <c r="A283">
        <v>1005</v>
      </c>
      <c r="B283" t="s">
        <v>59</v>
      </c>
      <c r="C283" s="1">
        <v>45190.257071759261</v>
      </c>
      <c r="D283" t="str">
        <f ca="1">VLOOKUP(qry_ProdData2_PDI_Cash_Exception_Application[[#This Row],[TYPE]],#REF!,2,FALSE)</f>
        <v>type22</v>
      </c>
      <c r="E283">
        <v>467.5</v>
      </c>
      <c r="F283" t="str">
        <f>qry_ProdData2_PDI_Cash_Exception_Application[[#This Row],[ANALYST]]</f>
        <v>Analyst1</v>
      </c>
      <c r="G283" s="1">
        <f>qry_ProdData2_PDI_Cash_Exception_Application[[#This Row],[INSERT DATE]]+7</f>
        <v>45197.257071759261</v>
      </c>
      <c r="H283" t="str">
        <f>VLOOKUP(qry_ProdData2_PDI_Cash_Exception_Application[[#This Row],[MARKET No]],'Site Allocation'!$B$2:$C$37,2,FALSE)</f>
        <v>Analyst1</v>
      </c>
      <c r="I283" s="4">
        <f t="shared" ca="1" si="4"/>
        <v>45203</v>
      </c>
      <c r="J283" s="42">
        <f ca="1">TODAY()-qry_ProdData2_PDI_Cash_Exception_Application[[#This Row],[INSERT DATE]]</f>
        <v>12.742928240739275</v>
      </c>
      <c r="K2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3">
        <f ca="1">qry_ProdData2_PDI_Cash_Exception_Application[[#This Row],[TODAY]]-qry_ProdData2_PDI_Cash_Exception_Application[[#This Row],[CHANGED ON]]</f>
        <v>5.7429282407392748</v>
      </c>
      <c r="M283">
        <f ca="1">qry_ProdData2_PDI_Cash_Exception_Application[[#This Row],[TODAY]]-qry_ProdData2_PDI_Cash_Exception_Application[[#This Row],[CHANGED ON]]</f>
        <v>5.7429282407392748</v>
      </c>
      <c r="N283">
        <f ca="1">qry_ProdData2_PDI_Cash_Exception_Application[[#This Row],[TODAY]]-qry_ProdData2_PDI_Cash_Exception_Application[[#This Row],[CHANGED ON]]</f>
        <v>5.7429282407392748</v>
      </c>
    </row>
    <row r="284" spans="1:14" x14ac:dyDescent="0.35">
      <c r="A284">
        <v>1002</v>
      </c>
      <c r="B284" t="s">
        <v>56</v>
      </c>
      <c r="C284" s="1">
        <v>45184.257071759261</v>
      </c>
      <c r="D284" t="str">
        <f ca="1">VLOOKUP(qry_ProdData2_PDI_Cash_Exception_Application[[#This Row],[TYPE]],#REF!,2,FALSE)</f>
        <v>type26</v>
      </c>
      <c r="E284">
        <v>128.16999999999999</v>
      </c>
      <c r="F284" t="s">
        <v>47</v>
      </c>
      <c r="G284" s="1">
        <f>qry_ProdData2_PDI_Cash_Exception_Application[[#This Row],[INSERT DATE]]+7</f>
        <v>45191.257071759261</v>
      </c>
      <c r="H284" t="str">
        <f>VLOOKUP(qry_ProdData2_PDI_Cash_Exception_Application[[#This Row],[MARKET No]],'Site Allocation'!$B$2:$C$37,2,FALSE)</f>
        <v>Analyst1</v>
      </c>
      <c r="I284" s="4">
        <f t="shared" ca="1" si="4"/>
        <v>45203</v>
      </c>
      <c r="J284" s="42">
        <f ca="1">TODAY()-qry_ProdData2_PDI_Cash_Exception_Application[[#This Row],[INSERT DATE]]</f>
        <v>18.742928240739275</v>
      </c>
      <c r="K2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4">
        <f ca="1">qry_ProdData2_PDI_Cash_Exception_Application[[#This Row],[TODAY]]-qry_ProdData2_PDI_Cash_Exception_Application[[#This Row],[CHANGED ON]]</f>
        <v>11.742928240739275</v>
      </c>
      <c r="M284">
        <f ca="1">qry_ProdData2_PDI_Cash_Exception_Application[[#This Row],[TODAY]]-qry_ProdData2_PDI_Cash_Exception_Application[[#This Row],[CHANGED ON]]</f>
        <v>11.742928240739275</v>
      </c>
      <c r="N284">
        <f ca="1">qry_ProdData2_PDI_Cash_Exception_Application[[#This Row],[TODAY]]-qry_ProdData2_PDI_Cash_Exception_Application[[#This Row],[CHANGED ON]]</f>
        <v>11.742928240739275</v>
      </c>
    </row>
    <row r="285" spans="1:14" x14ac:dyDescent="0.35">
      <c r="A285">
        <v>1013</v>
      </c>
      <c r="B285" t="s">
        <v>67</v>
      </c>
      <c r="C285" s="1">
        <v>45181.257071759261</v>
      </c>
      <c r="D285" t="str">
        <f ca="1">VLOOKUP(qry_ProdData2_PDI_Cash_Exception_Application[[#This Row],[TYPE]],#REF!,2,FALSE)</f>
        <v>type40</v>
      </c>
      <c r="E285">
        <v>94.97</v>
      </c>
      <c r="F285" t="s">
        <v>49</v>
      </c>
      <c r="G285" s="1">
        <f>qry_ProdData2_PDI_Cash_Exception_Application[[#This Row],[INSERT DATE]]+5</f>
        <v>45186.257071759261</v>
      </c>
      <c r="H285" t="str">
        <f>VLOOKUP(qry_ProdData2_PDI_Cash_Exception_Application[[#This Row],[MARKET No]],'Site Allocation'!$B$2:$C$37,2,FALSE)</f>
        <v>Analyst3</v>
      </c>
      <c r="I285" s="4">
        <f t="shared" ca="1" si="4"/>
        <v>45203</v>
      </c>
      <c r="J285" s="42">
        <f ca="1">TODAY()-qry_ProdData2_PDI_Cash_Exception_Application[[#This Row],[INSERT DATE]]</f>
        <v>21.742928240739275</v>
      </c>
      <c r="K2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5">
        <f ca="1">qry_ProdData2_PDI_Cash_Exception_Application[[#This Row],[TODAY]]-qry_ProdData2_PDI_Cash_Exception_Application[[#This Row],[CHANGED ON]]</f>
        <v>16.742928240739275</v>
      </c>
      <c r="M285">
        <f ca="1">qry_ProdData2_PDI_Cash_Exception_Application[[#This Row],[TODAY]]-qry_ProdData2_PDI_Cash_Exception_Application[[#This Row],[CHANGED ON]]</f>
        <v>16.742928240739275</v>
      </c>
      <c r="N285">
        <f ca="1">qry_ProdData2_PDI_Cash_Exception_Application[[#This Row],[TODAY]]-qry_ProdData2_PDI_Cash_Exception_Application[[#This Row],[CHANGED ON]]</f>
        <v>16.742928240739275</v>
      </c>
    </row>
    <row r="286" spans="1:14" x14ac:dyDescent="0.35">
      <c r="A286">
        <v>1007</v>
      </c>
      <c r="B286" t="s">
        <v>61</v>
      </c>
      <c r="C286" s="1">
        <v>45188.257071759261</v>
      </c>
      <c r="D286" t="str">
        <f ca="1">VLOOKUP(qry_ProdData2_PDI_Cash_Exception_Application[[#This Row],[TYPE]],#REF!,2,FALSE)</f>
        <v>type13</v>
      </c>
      <c r="E286">
        <v>28202.97</v>
      </c>
      <c r="F286" t="str">
        <f>qry_ProdData2_PDI_Cash_Exception_Application[[#This Row],[ANALYST]]</f>
        <v>Analyst2</v>
      </c>
      <c r="G286" s="1">
        <f>qry_ProdData2_PDI_Cash_Exception_Application[[#This Row],[INSERT DATE]]+7</f>
        <v>45195.257071759261</v>
      </c>
      <c r="H286" t="str">
        <f>VLOOKUP(qry_ProdData2_PDI_Cash_Exception_Application[[#This Row],[MARKET No]],'Site Allocation'!$B$2:$C$37,2,FALSE)</f>
        <v>Analyst2</v>
      </c>
      <c r="I286" s="4">
        <f t="shared" ca="1" si="4"/>
        <v>45203</v>
      </c>
      <c r="J286" s="42">
        <f ca="1">TODAY()-qry_ProdData2_PDI_Cash_Exception_Application[[#This Row],[INSERT DATE]]</f>
        <v>14.742928240739275</v>
      </c>
      <c r="K2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6">
        <f ca="1">qry_ProdData2_PDI_Cash_Exception_Application[[#This Row],[TODAY]]-qry_ProdData2_PDI_Cash_Exception_Application[[#This Row],[CHANGED ON]]</f>
        <v>7.7429282407392748</v>
      </c>
      <c r="M286">
        <f ca="1">qry_ProdData2_PDI_Cash_Exception_Application[[#This Row],[TODAY]]-qry_ProdData2_PDI_Cash_Exception_Application[[#This Row],[CHANGED ON]]</f>
        <v>7.7429282407392748</v>
      </c>
      <c r="N286">
        <f ca="1">qry_ProdData2_PDI_Cash_Exception_Application[[#This Row],[TODAY]]-qry_ProdData2_PDI_Cash_Exception_Application[[#This Row],[CHANGED ON]]</f>
        <v>7.7429282407392748</v>
      </c>
    </row>
    <row r="287" spans="1:14" x14ac:dyDescent="0.35">
      <c r="A287">
        <v>1020</v>
      </c>
      <c r="B287" t="s">
        <v>74</v>
      </c>
      <c r="C287" s="1">
        <v>45185.257071759261</v>
      </c>
      <c r="D287" t="str">
        <f ca="1">VLOOKUP(qry_ProdData2_PDI_Cash_Exception_Application[[#This Row],[TYPE]],#REF!,2,FALSE)</f>
        <v>type40</v>
      </c>
      <c r="E287">
        <v>27.79</v>
      </c>
      <c r="F287" t="s">
        <v>47</v>
      </c>
      <c r="G287" s="1">
        <f>qry_ProdData2_PDI_Cash_Exception_Application[[#This Row],[INSERT DATE]]+1</f>
        <v>45186.257071759261</v>
      </c>
      <c r="H287" t="str">
        <f>VLOOKUP(qry_ProdData2_PDI_Cash_Exception_Application[[#This Row],[MARKET No]],'Site Allocation'!$B$2:$C$37,2,FALSE)</f>
        <v>Analyst4</v>
      </c>
      <c r="I287" s="4">
        <f t="shared" ca="1" si="4"/>
        <v>45203</v>
      </c>
      <c r="J287" s="42">
        <f ca="1">TODAY()-qry_ProdData2_PDI_Cash_Exception_Application[[#This Row],[INSERT DATE]]</f>
        <v>17.742928240739275</v>
      </c>
      <c r="K2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7">
        <f ca="1">qry_ProdData2_PDI_Cash_Exception_Application[[#This Row],[TODAY]]-qry_ProdData2_PDI_Cash_Exception_Application[[#This Row],[CHANGED ON]]</f>
        <v>16.742928240739275</v>
      </c>
      <c r="M287">
        <f ca="1">qry_ProdData2_PDI_Cash_Exception_Application[[#This Row],[TODAY]]-qry_ProdData2_PDI_Cash_Exception_Application[[#This Row],[CHANGED ON]]</f>
        <v>16.742928240739275</v>
      </c>
      <c r="N287">
        <f ca="1">qry_ProdData2_PDI_Cash_Exception_Application[[#This Row],[TODAY]]-qry_ProdData2_PDI_Cash_Exception_Application[[#This Row],[CHANGED ON]]</f>
        <v>16.742928240739275</v>
      </c>
    </row>
    <row r="288" spans="1:14" x14ac:dyDescent="0.35">
      <c r="A288">
        <v>1017</v>
      </c>
      <c r="B288" t="s">
        <v>71</v>
      </c>
      <c r="C288" s="1">
        <v>45187.257071759261</v>
      </c>
      <c r="D288" t="str">
        <f ca="1">VLOOKUP(qry_ProdData2_PDI_Cash_Exception_Application[[#This Row],[TYPE]],#REF!,2,FALSE)</f>
        <v>type40</v>
      </c>
      <c r="E288">
        <v>3282.71</v>
      </c>
      <c r="F288" t="str">
        <f>qry_ProdData2_PDI_Cash_Exception_Application[[#This Row],[ANALYST]]</f>
        <v>Analyst3</v>
      </c>
      <c r="G288" s="1">
        <f>qry_ProdData2_PDI_Cash_Exception_Application[[#This Row],[INSERT DATE]]+7</f>
        <v>45194.257071759261</v>
      </c>
      <c r="H288" t="str">
        <f>VLOOKUP(qry_ProdData2_PDI_Cash_Exception_Application[[#This Row],[MARKET No]],'Site Allocation'!$B$2:$C$37,2,FALSE)</f>
        <v>Analyst3</v>
      </c>
      <c r="I288" s="4">
        <f t="shared" ca="1" si="4"/>
        <v>45203</v>
      </c>
      <c r="J288" s="42">
        <f ca="1">TODAY()-qry_ProdData2_PDI_Cash_Exception_Application[[#This Row],[INSERT DATE]]</f>
        <v>15.742928240739275</v>
      </c>
      <c r="K2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8">
        <f ca="1">qry_ProdData2_PDI_Cash_Exception_Application[[#This Row],[TODAY]]-qry_ProdData2_PDI_Cash_Exception_Application[[#This Row],[CHANGED ON]]</f>
        <v>8.7429282407392748</v>
      </c>
      <c r="M288">
        <f ca="1">qry_ProdData2_PDI_Cash_Exception_Application[[#This Row],[TODAY]]-qry_ProdData2_PDI_Cash_Exception_Application[[#This Row],[CHANGED ON]]</f>
        <v>8.7429282407392748</v>
      </c>
      <c r="N288">
        <f ca="1">qry_ProdData2_PDI_Cash_Exception_Application[[#This Row],[TODAY]]-qry_ProdData2_PDI_Cash_Exception_Application[[#This Row],[CHANGED ON]]</f>
        <v>8.7429282407392748</v>
      </c>
    </row>
    <row r="289" spans="1:14" x14ac:dyDescent="0.35">
      <c r="A289">
        <v>1011</v>
      </c>
      <c r="B289" t="s">
        <v>65</v>
      </c>
      <c r="C289" s="1">
        <v>45190.257071759261</v>
      </c>
      <c r="D289" t="str">
        <f ca="1">VLOOKUP(qry_ProdData2_PDI_Cash_Exception_Application[[#This Row],[TYPE]],#REF!,2,FALSE)</f>
        <v>type40</v>
      </c>
      <c r="E289">
        <v>-427.42</v>
      </c>
      <c r="F289" t="str">
        <f>qry_ProdData2_PDI_Cash_Exception_Application[[#This Row],[ANALYST]]</f>
        <v>Analyst2</v>
      </c>
      <c r="G289" s="1">
        <f>qry_ProdData2_PDI_Cash_Exception_Application[[#This Row],[INSERT DATE]]+7</f>
        <v>45197.257071759261</v>
      </c>
      <c r="H289" t="str">
        <f>VLOOKUP(qry_ProdData2_PDI_Cash_Exception_Application[[#This Row],[MARKET No]],'Site Allocation'!$B$2:$C$37,2,FALSE)</f>
        <v>Analyst2</v>
      </c>
      <c r="I289" s="4">
        <f t="shared" ca="1" si="4"/>
        <v>45203</v>
      </c>
      <c r="J289" s="42">
        <f ca="1">TODAY()-qry_ProdData2_PDI_Cash_Exception_Application[[#This Row],[INSERT DATE]]</f>
        <v>12.742928240739275</v>
      </c>
      <c r="K2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9">
        <f ca="1">qry_ProdData2_PDI_Cash_Exception_Application[[#This Row],[TODAY]]-qry_ProdData2_PDI_Cash_Exception_Application[[#This Row],[CHANGED ON]]</f>
        <v>5.7429282407392748</v>
      </c>
      <c r="M289">
        <f ca="1">qry_ProdData2_PDI_Cash_Exception_Application[[#This Row],[TODAY]]-qry_ProdData2_PDI_Cash_Exception_Application[[#This Row],[CHANGED ON]]</f>
        <v>5.7429282407392748</v>
      </c>
      <c r="N289">
        <f ca="1">qry_ProdData2_PDI_Cash_Exception_Application[[#This Row],[TODAY]]-qry_ProdData2_PDI_Cash_Exception_Application[[#This Row],[CHANGED ON]]</f>
        <v>5.7429282407392748</v>
      </c>
    </row>
    <row r="290" spans="1:14" x14ac:dyDescent="0.35">
      <c r="A290">
        <v>1025</v>
      </c>
      <c r="B290" t="s">
        <v>79</v>
      </c>
      <c r="C290" s="1">
        <v>45190.257071759261</v>
      </c>
      <c r="D290" t="str">
        <f ca="1">VLOOKUP(qry_ProdData2_PDI_Cash_Exception_Application[[#This Row],[TYPE]],#REF!,2,FALSE)</f>
        <v>type48</v>
      </c>
      <c r="E290">
        <v>-743.72</v>
      </c>
      <c r="F290" t="s">
        <v>47</v>
      </c>
      <c r="G290" s="1">
        <f>qry_ProdData2_PDI_Cash_Exception_Application[[#This Row],[INSERT DATE]]+1</f>
        <v>45191.257071759261</v>
      </c>
      <c r="H290" t="str">
        <f>VLOOKUP(qry_ProdData2_PDI_Cash_Exception_Application[[#This Row],[MARKET No]],'Site Allocation'!$B$2:$C$37,2,FALSE)</f>
        <v>Analyst5</v>
      </c>
      <c r="I290" s="4">
        <f t="shared" ca="1" si="4"/>
        <v>45203</v>
      </c>
      <c r="J290" s="42">
        <f ca="1">TODAY()-qry_ProdData2_PDI_Cash_Exception_Application[[#This Row],[INSERT DATE]]</f>
        <v>12.742928240739275</v>
      </c>
      <c r="K2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0">
        <f ca="1">qry_ProdData2_PDI_Cash_Exception_Application[[#This Row],[TODAY]]-qry_ProdData2_PDI_Cash_Exception_Application[[#This Row],[CHANGED ON]]</f>
        <v>11.742928240739275</v>
      </c>
      <c r="M290">
        <f ca="1">qry_ProdData2_PDI_Cash_Exception_Application[[#This Row],[TODAY]]-qry_ProdData2_PDI_Cash_Exception_Application[[#This Row],[CHANGED ON]]</f>
        <v>11.742928240739275</v>
      </c>
      <c r="N290">
        <f ca="1">qry_ProdData2_PDI_Cash_Exception_Application[[#This Row],[TODAY]]-qry_ProdData2_PDI_Cash_Exception_Application[[#This Row],[CHANGED ON]]</f>
        <v>11.742928240739275</v>
      </c>
    </row>
    <row r="291" spans="1:14" x14ac:dyDescent="0.35">
      <c r="A291">
        <v>1030</v>
      </c>
      <c r="B291" t="s">
        <v>84</v>
      </c>
      <c r="C291" s="1">
        <v>45187.257071759261</v>
      </c>
      <c r="D291" t="str">
        <f ca="1">VLOOKUP(qry_ProdData2_PDI_Cash_Exception_Application[[#This Row],[TYPE]],#REF!,2,FALSE)</f>
        <v>type15</v>
      </c>
      <c r="E291">
        <v>-5246.1337999999996</v>
      </c>
      <c r="F291" t="s">
        <v>48</v>
      </c>
      <c r="G291" s="1">
        <f>qry_ProdData2_PDI_Cash_Exception_Application[[#This Row],[INSERT DATE]]+7</f>
        <v>45194.257071759261</v>
      </c>
      <c r="H291" t="str">
        <f>VLOOKUP(qry_ProdData2_PDI_Cash_Exception_Application[[#This Row],[MARKET No]],'Site Allocation'!$B$2:$C$37,2,FALSE)</f>
        <v>Analyst6</v>
      </c>
      <c r="I291" s="4">
        <f t="shared" ca="1" si="4"/>
        <v>45203</v>
      </c>
      <c r="J291" s="42">
        <f ca="1">TODAY()-qry_ProdData2_PDI_Cash_Exception_Application[[#This Row],[INSERT DATE]]</f>
        <v>15.742928240739275</v>
      </c>
      <c r="K2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1">
        <f ca="1">qry_ProdData2_PDI_Cash_Exception_Application[[#This Row],[TODAY]]-qry_ProdData2_PDI_Cash_Exception_Application[[#This Row],[CHANGED ON]]</f>
        <v>8.7429282407392748</v>
      </c>
      <c r="M291">
        <f ca="1">qry_ProdData2_PDI_Cash_Exception_Application[[#This Row],[TODAY]]-qry_ProdData2_PDI_Cash_Exception_Application[[#This Row],[CHANGED ON]]</f>
        <v>8.7429282407392748</v>
      </c>
      <c r="N291">
        <f ca="1">qry_ProdData2_PDI_Cash_Exception_Application[[#This Row],[TODAY]]-qry_ProdData2_PDI_Cash_Exception_Application[[#This Row],[CHANGED ON]]</f>
        <v>8.7429282407392748</v>
      </c>
    </row>
    <row r="292" spans="1:14" x14ac:dyDescent="0.35">
      <c r="A292">
        <v>1009</v>
      </c>
      <c r="B292" t="s">
        <v>63</v>
      </c>
      <c r="C292" s="1">
        <v>45185.257071759261</v>
      </c>
      <c r="D292" t="str">
        <f ca="1">VLOOKUP(qry_ProdData2_PDI_Cash_Exception_Application[[#This Row],[TYPE]],#REF!,2,FALSE)</f>
        <v>type40</v>
      </c>
      <c r="E292">
        <v>9604.85</v>
      </c>
      <c r="F292" t="str">
        <f>qry_ProdData2_PDI_Cash_Exception_Application[[#This Row],[ANALYST]]</f>
        <v>Analyst2</v>
      </c>
      <c r="G292" s="1">
        <f>qry_ProdData2_PDI_Cash_Exception_Application[[#This Row],[INSERT DATE]]+7</f>
        <v>45192.257071759261</v>
      </c>
      <c r="H292" t="str">
        <f>VLOOKUP(qry_ProdData2_PDI_Cash_Exception_Application[[#This Row],[MARKET No]],'Site Allocation'!$B$2:$C$37,2,FALSE)</f>
        <v>Analyst2</v>
      </c>
      <c r="I292" s="4">
        <f t="shared" ca="1" si="4"/>
        <v>45203</v>
      </c>
      <c r="J292" s="42">
        <f ca="1">TODAY()-qry_ProdData2_PDI_Cash_Exception_Application[[#This Row],[INSERT DATE]]</f>
        <v>17.742928240739275</v>
      </c>
      <c r="K2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2">
        <f ca="1">qry_ProdData2_PDI_Cash_Exception_Application[[#This Row],[TODAY]]-qry_ProdData2_PDI_Cash_Exception_Application[[#This Row],[CHANGED ON]]</f>
        <v>10.742928240739275</v>
      </c>
      <c r="M292">
        <f ca="1">qry_ProdData2_PDI_Cash_Exception_Application[[#This Row],[TODAY]]-qry_ProdData2_PDI_Cash_Exception_Application[[#This Row],[CHANGED ON]]</f>
        <v>10.742928240739275</v>
      </c>
      <c r="N292">
        <f ca="1">qry_ProdData2_PDI_Cash_Exception_Application[[#This Row],[TODAY]]-qry_ProdData2_PDI_Cash_Exception_Application[[#This Row],[CHANGED ON]]</f>
        <v>10.742928240739275</v>
      </c>
    </row>
    <row r="293" spans="1:14" x14ac:dyDescent="0.35">
      <c r="A293">
        <v>1010</v>
      </c>
      <c r="B293" t="s">
        <v>64</v>
      </c>
      <c r="C293" s="1">
        <v>45187.257071759261</v>
      </c>
      <c r="D293" t="str">
        <f ca="1">VLOOKUP(qry_ProdData2_PDI_Cash_Exception_Application[[#This Row],[TYPE]],#REF!,2,FALSE)</f>
        <v>type13</v>
      </c>
      <c r="E293">
        <v>26026.61</v>
      </c>
      <c r="F293" t="s">
        <v>47</v>
      </c>
      <c r="G293" s="1">
        <f>qry_ProdData2_PDI_Cash_Exception_Application[[#This Row],[INSERT DATE]]+1</f>
        <v>45188.257071759261</v>
      </c>
      <c r="H293" t="str">
        <f>VLOOKUP(qry_ProdData2_PDI_Cash_Exception_Application[[#This Row],[MARKET No]],'Site Allocation'!$B$2:$C$37,2,FALSE)</f>
        <v>Analyst2</v>
      </c>
      <c r="I293" s="4">
        <f t="shared" ca="1" si="4"/>
        <v>45203</v>
      </c>
      <c r="J293" s="42">
        <f ca="1">TODAY()-qry_ProdData2_PDI_Cash_Exception_Application[[#This Row],[INSERT DATE]]</f>
        <v>15.742928240739275</v>
      </c>
      <c r="K2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3">
        <f ca="1">qry_ProdData2_PDI_Cash_Exception_Application[[#This Row],[TODAY]]-qry_ProdData2_PDI_Cash_Exception_Application[[#This Row],[CHANGED ON]]</f>
        <v>14.742928240739275</v>
      </c>
      <c r="M293">
        <f ca="1">qry_ProdData2_PDI_Cash_Exception_Application[[#This Row],[TODAY]]-qry_ProdData2_PDI_Cash_Exception_Application[[#This Row],[CHANGED ON]]</f>
        <v>14.742928240739275</v>
      </c>
      <c r="N293">
        <f ca="1">qry_ProdData2_PDI_Cash_Exception_Application[[#This Row],[TODAY]]-qry_ProdData2_PDI_Cash_Exception_Application[[#This Row],[CHANGED ON]]</f>
        <v>14.742928240739275</v>
      </c>
    </row>
    <row r="294" spans="1:14" x14ac:dyDescent="0.35">
      <c r="A294">
        <v>1030</v>
      </c>
      <c r="B294" t="s">
        <v>84</v>
      </c>
      <c r="C294" s="1">
        <v>45189.257071759261</v>
      </c>
      <c r="D294" t="str">
        <f ca="1">VLOOKUP(qry_ProdData2_PDI_Cash_Exception_Application[[#This Row],[TYPE]],#REF!,2,FALSE)</f>
        <v>type40</v>
      </c>
      <c r="E294">
        <v>-318.94</v>
      </c>
      <c r="F294" t="s">
        <v>49</v>
      </c>
      <c r="G294" s="1">
        <f>qry_ProdData2_PDI_Cash_Exception_Application[[#This Row],[INSERT DATE]]+7</f>
        <v>45196.257071759261</v>
      </c>
      <c r="H294" t="str">
        <f>VLOOKUP(qry_ProdData2_PDI_Cash_Exception_Application[[#This Row],[MARKET No]],'Site Allocation'!$B$2:$C$37,2,FALSE)</f>
        <v>Analyst6</v>
      </c>
      <c r="I294" s="4">
        <f t="shared" ca="1" si="4"/>
        <v>45203</v>
      </c>
      <c r="J294" s="42">
        <f ca="1">TODAY()-qry_ProdData2_PDI_Cash_Exception_Application[[#This Row],[INSERT DATE]]</f>
        <v>13.742928240739275</v>
      </c>
      <c r="K2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4">
        <f ca="1">qry_ProdData2_PDI_Cash_Exception_Application[[#This Row],[TODAY]]-qry_ProdData2_PDI_Cash_Exception_Application[[#This Row],[CHANGED ON]]</f>
        <v>6.7429282407392748</v>
      </c>
      <c r="M294">
        <f ca="1">qry_ProdData2_PDI_Cash_Exception_Application[[#This Row],[TODAY]]-qry_ProdData2_PDI_Cash_Exception_Application[[#This Row],[CHANGED ON]]</f>
        <v>6.7429282407392748</v>
      </c>
      <c r="N294">
        <f ca="1">qry_ProdData2_PDI_Cash_Exception_Application[[#This Row],[TODAY]]-qry_ProdData2_PDI_Cash_Exception_Application[[#This Row],[CHANGED ON]]</f>
        <v>6.7429282407392748</v>
      </c>
    </row>
    <row r="295" spans="1:14" x14ac:dyDescent="0.35">
      <c r="A295">
        <v>1005</v>
      </c>
      <c r="B295" t="s">
        <v>59</v>
      </c>
      <c r="C295" s="1">
        <v>45190.257071759261</v>
      </c>
      <c r="D295" t="str">
        <f ca="1">VLOOKUP(qry_ProdData2_PDI_Cash_Exception_Application[[#This Row],[TYPE]],#REF!,2,FALSE)</f>
        <v>type40</v>
      </c>
      <c r="E295">
        <v>-377.61</v>
      </c>
      <c r="F295" t="s">
        <v>51</v>
      </c>
      <c r="G295" s="1">
        <f>qry_ProdData2_PDI_Cash_Exception_Application[[#This Row],[INSERT DATE]]+5</f>
        <v>45195.257071759261</v>
      </c>
      <c r="H295" t="str">
        <f>VLOOKUP(qry_ProdData2_PDI_Cash_Exception_Application[[#This Row],[MARKET No]],'Site Allocation'!$B$2:$C$37,2,FALSE)</f>
        <v>Analyst1</v>
      </c>
      <c r="I295" s="4">
        <f t="shared" ca="1" si="4"/>
        <v>45203</v>
      </c>
      <c r="J295" s="42">
        <f ca="1">TODAY()-qry_ProdData2_PDI_Cash_Exception_Application[[#This Row],[INSERT DATE]]</f>
        <v>12.742928240739275</v>
      </c>
      <c r="K2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5">
        <f ca="1">qry_ProdData2_PDI_Cash_Exception_Application[[#This Row],[TODAY]]-qry_ProdData2_PDI_Cash_Exception_Application[[#This Row],[CHANGED ON]]</f>
        <v>7.7429282407392748</v>
      </c>
      <c r="M295">
        <f ca="1">qry_ProdData2_PDI_Cash_Exception_Application[[#This Row],[TODAY]]-qry_ProdData2_PDI_Cash_Exception_Application[[#This Row],[CHANGED ON]]</f>
        <v>7.7429282407392748</v>
      </c>
      <c r="N295">
        <f ca="1">qry_ProdData2_PDI_Cash_Exception_Application[[#This Row],[TODAY]]-qry_ProdData2_PDI_Cash_Exception_Application[[#This Row],[CHANGED ON]]</f>
        <v>7.7429282407392748</v>
      </c>
    </row>
    <row r="296" spans="1:14" x14ac:dyDescent="0.35">
      <c r="A296">
        <v>1030</v>
      </c>
      <c r="B296" t="s">
        <v>84</v>
      </c>
      <c r="C296" s="1">
        <v>45184.257071759261</v>
      </c>
      <c r="D296" t="str">
        <f ca="1">VLOOKUP(qry_ProdData2_PDI_Cash_Exception_Application[[#This Row],[TYPE]],#REF!,2,FALSE)</f>
        <v>type40</v>
      </c>
      <c r="E296">
        <v>4364.2</v>
      </c>
      <c r="F296" t="str">
        <f>qry_ProdData2_PDI_Cash_Exception_Application[[#This Row],[ANALYST]]</f>
        <v>Analyst6</v>
      </c>
      <c r="G296" s="1">
        <f>qry_ProdData2_PDI_Cash_Exception_Application[[#This Row],[INSERT DATE]]+1</f>
        <v>45185.257071759261</v>
      </c>
      <c r="H296" t="str">
        <f>VLOOKUP(qry_ProdData2_PDI_Cash_Exception_Application[[#This Row],[MARKET No]],'Site Allocation'!$B$2:$C$37,2,FALSE)</f>
        <v>Analyst6</v>
      </c>
      <c r="I296" s="4">
        <f t="shared" ca="1" si="4"/>
        <v>45203</v>
      </c>
      <c r="J296" s="42">
        <f ca="1">TODAY()-qry_ProdData2_PDI_Cash_Exception_Application[[#This Row],[INSERT DATE]]</f>
        <v>18.742928240739275</v>
      </c>
      <c r="K2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6">
        <f ca="1">qry_ProdData2_PDI_Cash_Exception_Application[[#This Row],[TODAY]]-qry_ProdData2_PDI_Cash_Exception_Application[[#This Row],[CHANGED ON]]</f>
        <v>17.742928240739275</v>
      </c>
      <c r="M296">
        <f ca="1">qry_ProdData2_PDI_Cash_Exception_Application[[#This Row],[TODAY]]-qry_ProdData2_PDI_Cash_Exception_Application[[#This Row],[CHANGED ON]]</f>
        <v>17.742928240739275</v>
      </c>
      <c r="N296">
        <f ca="1">qry_ProdData2_PDI_Cash_Exception_Application[[#This Row],[TODAY]]-qry_ProdData2_PDI_Cash_Exception_Application[[#This Row],[CHANGED ON]]</f>
        <v>17.742928240739275</v>
      </c>
    </row>
    <row r="297" spans="1:14" x14ac:dyDescent="0.35">
      <c r="A297">
        <v>1034</v>
      </c>
      <c r="B297" t="s">
        <v>88</v>
      </c>
      <c r="C297" s="1">
        <v>45194.257071759261</v>
      </c>
      <c r="D297" t="str">
        <f ca="1">VLOOKUP(qry_ProdData2_PDI_Cash_Exception_Application[[#This Row],[TYPE]],#REF!,2,FALSE)</f>
        <v>type40</v>
      </c>
      <c r="E297">
        <v>409.24</v>
      </c>
      <c r="F297" t="str">
        <f>qry_ProdData2_PDI_Cash_Exception_Application[[#This Row],[ANALYST]]</f>
        <v>Analyst6</v>
      </c>
      <c r="G297" s="1">
        <f>qry_ProdData2_PDI_Cash_Exception_Application[[#This Row],[INSERT DATE]]+1</f>
        <v>45195.257071759261</v>
      </c>
      <c r="H297" t="str">
        <f>VLOOKUP(qry_ProdData2_PDI_Cash_Exception_Application[[#This Row],[MARKET No]],'Site Allocation'!$B$2:$C$37,2,FALSE)</f>
        <v>Analyst6</v>
      </c>
      <c r="I297" s="4">
        <f t="shared" ca="1" si="4"/>
        <v>45203</v>
      </c>
      <c r="J297" s="42">
        <f ca="1">TODAY()-qry_ProdData2_PDI_Cash_Exception_Application[[#This Row],[INSERT DATE]]</f>
        <v>8.7429282407392748</v>
      </c>
      <c r="K2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7">
        <f ca="1">qry_ProdData2_PDI_Cash_Exception_Application[[#This Row],[TODAY]]-qry_ProdData2_PDI_Cash_Exception_Application[[#This Row],[CHANGED ON]]</f>
        <v>7.7429282407392748</v>
      </c>
      <c r="M297">
        <f ca="1">qry_ProdData2_PDI_Cash_Exception_Application[[#This Row],[TODAY]]-qry_ProdData2_PDI_Cash_Exception_Application[[#This Row],[CHANGED ON]]</f>
        <v>7.7429282407392748</v>
      </c>
      <c r="N297">
        <f ca="1">qry_ProdData2_PDI_Cash_Exception_Application[[#This Row],[TODAY]]-qry_ProdData2_PDI_Cash_Exception_Application[[#This Row],[CHANGED ON]]</f>
        <v>7.7429282407392748</v>
      </c>
    </row>
    <row r="298" spans="1:14" x14ac:dyDescent="0.35">
      <c r="A298">
        <v>1023</v>
      </c>
      <c r="B298" t="s">
        <v>77</v>
      </c>
      <c r="C298" s="1">
        <v>45185.257071759261</v>
      </c>
      <c r="D298" t="str">
        <f ca="1">VLOOKUP(qry_ProdData2_PDI_Cash_Exception_Application[[#This Row],[TYPE]],#REF!,2,FALSE)</f>
        <v>type40</v>
      </c>
      <c r="E298">
        <v>1488.61</v>
      </c>
      <c r="F298" t="str">
        <f>qry_ProdData2_PDI_Cash_Exception_Application[[#This Row],[ANALYST]]</f>
        <v>Analyst4</v>
      </c>
      <c r="G298" s="1">
        <f>qry_ProdData2_PDI_Cash_Exception_Application[[#This Row],[INSERT DATE]]+1</f>
        <v>45186.257071759261</v>
      </c>
      <c r="H298" t="str">
        <f>VLOOKUP(qry_ProdData2_PDI_Cash_Exception_Application[[#This Row],[MARKET No]],'Site Allocation'!$B$2:$C$37,2,FALSE)</f>
        <v>Analyst4</v>
      </c>
      <c r="I298" s="4">
        <f t="shared" ca="1" si="4"/>
        <v>45203</v>
      </c>
      <c r="J298" s="42">
        <f ca="1">TODAY()-qry_ProdData2_PDI_Cash_Exception_Application[[#This Row],[INSERT DATE]]</f>
        <v>17.742928240739275</v>
      </c>
      <c r="K2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8">
        <f ca="1">qry_ProdData2_PDI_Cash_Exception_Application[[#This Row],[TODAY]]-qry_ProdData2_PDI_Cash_Exception_Application[[#This Row],[CHANGED ON]]</f>
        <v>16.742928240739275</v>
      </c>
      <c r="M298">
        <f ca="1">qry_ProdData2_PDI_Cash_Exception_Application[[#This Row],[TODAY]]-qry_ProdData2_PDI_Cash_Exception_Application[[#This Row],[CHANGED ON]]</f>
        <v>16.742928240739275</v>
      </c>
      <c r="N298">
        <f ca="1">qry_ProdData2_PDI_Cash_Exception_Application[[#This Row],[TODAY]]-qry_ProdData2_PDI_Cash_Exception_Application[[#This Row],[CHANGED ON]]</f>
        <v>16.742928240739275</v>
      </c>
    </row>
    <row r="299" spans="1:14" x14ac:dyDescent="0.35">
      <c r="A299">
        <v>1008</v>
      </c>
      <c r="B299" t="s">
        <v>62</v>
      </c>
      <c r="C299" s="1">
        <v>45186.257071759261</v>
      </c>
      <c r="D299" t="str">
        <f ca="1">VLOOKUP(qry_ProdData2_PDI_Cash_Exception_Application[[#This Row],[TYPE]],#REF!,2,FALSE)</f>
        <v>type40</v>
      </c>
      <c r="E299">
        <v>42</v>
      </c>
      <c r="F299" t="str">
        <f>qry_ProdData2_PDI_Cash_Exception_Application[[#This Row],[ANALYST]]</f>
        <v>Analyst2</v>
      </c>
      <c r="G299" s="1">
        <f>qry_ProdData2_PDI_Cash_Exception_Application[[#This Row],[INSERT DATE]]+1</f>
        <v>45187.257071759261</v>
      </c>
      <c r="H299" t="str">
        <f>VLOOKUP(qry_ProdData2_PDI_Cash_Exception_Application[[#This Row],[MARKET No]],'Site Allocation'!$B$2:$C$37,2,FALSE)</f>
        <v>Analyst2</v>
      </c>
      <c r="I299" s="4">
        <f t="shared" ca="1" si="4"/>
        <v>45203</v>
      </c>
      <c r="J299" s="42">
        <f ca="1">TODAY()-qry_ProdData2_PDI_Cash_Exception_Application[[#This Row],[INSERT DATE]]</f>
        <v>16.742928240739275</v>
      </c>
      <c r="K2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9">
        <f ca="1">qry_ProdData2_PDI_Cash_Exception_Application[[#This Row],[TODAY]]-qry_ProdData2_PDI_Cash_Exception_Application[[#This Row],[CHANGED ON]]</f>
        <v>15.742928240739275</v>
      </c>
      <c r="M299">
        <f ca="1">qry_ProdData2_PDI_Cash_Exception_Application[[#This Row],[TODAY]]-qry_ProdData2_PDI_Cash_Exception_Application[[#This Row],[CHANGED ON]]</f>
        <v>15.742928240739275</v>
      </c>
      <c r="N299">
        <f ca="1">qry_ProdData2_PDI_Cash_Exception_Application[[#This Row],[TODAY]]-qry_ProdData2_PDI_Cash_Exception_Application[[#This Row],[CHANGED ON]]</f>
        <v>15.742928240739275</v>
      </c>
    </row>
    <row r="300" spans="1:14" x14ac:dyDescent="0.35">
      <c r="A300">
        <v>1027</v>
      </c>
      <c r="B300" t="s">
        <v>81</v>
      </c>
      <c r="C300" s="1">
        <v>45192.257071759261</v>
      </c>
      <c r="D300" t="str">
        <f ca="1">VLOOKUP(qry_ProdData2_PDI_Cash_Exception_Application[[#This Row],[TYPE]],#REF!,2,FALSE)</f>
        <v>type30</v>
      </c>
      <c r="E300">
        <v>244.3</v>
      </c>
      <c r="F300" t="s">
        <v>48</v>
      </c>
      <c r="G300" s="1">
        <f>qry_ProdData2_PDI_Cash_Exception_Application[[#This Row],[INSERT DATE]]+1</f>
        <v>45193.257071759261</v>
      </c>
      <c r="H300" t="str">
        <f>VLOOKUP(qry_ProdData2_PDI_Cash_Exception_Application[[#This Row],[MARKET No]],'Site Allocation'!$B$2:$C$37,2,FALSE)</f>
        <v>Analyst5</v>
      </c>
      <c r="I300" s="4">
        <f t="shared" ca="1" si="4"/>
        <v>45203</v>
      </c>
      <c r="J300" s="42">
        <f ca="1">TODAY()-qry_ProdData2_PDI_Cash_Exception_Application[[#This Row],[INSERT DATE]]</f>
        <v>10.742928240739275</v>
      </c>
      <c r="K3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0">
        <f ca="1">qry_ProdData2_PDI_Cash_Exception_Application[[#This Row],[TODAY]]-qry_ProdData2_PDI_Cash_Exception_Application[[#This Row],[CHANGED ON]]</f>
        <v>9.7429282407392748</v>
      </c>
      <c r="M300">
        <f ca="1">qry_ProdData2_PDI_Cash_Exception_Application[[#This Row],[TODAY]]-qry_ProdData2_PDI_Cash_Exception_Application[[#This Row],[CHANGED ON]]</f>
        <v>9.7429282407392748</v>
      </c>
      <c r="N300">
        <f ca="1">qry_ProdData2_PDI_Cash_Exception_Application[[#This Row],[TODAY]]-qry_ProdData2_PDI_Cash_Exception_Application[[#This Row],[CHANGED ON]]</f>
        <v>9.7429282407392748</v>
      </c>
    </row>
    <row r="301" spans="1:14" x14ac:dyDescent="0.35">
      <c r="A301">
        <v>1019</v>
      </c>
      <c r="B301" t="s">
        <v>73</v>
      </c>
      <c r="C301" s="1">
        <v>45187.257071759261</v>
      </c>
      <c r="D301" t="str">
        <f ca="1">VLOOKUP(qry_ProdData2_PDI_Cash_Exception_Application[[#This Row],[TYPE]],#REF!,2,FALSE)</f>
        <v>type40</v>
      </c>
      <c r="E301">
        <v>-435.15</v>
      </c>
      <c r="F301" t="str">
        <f>qry_ProdData2_PDI_Cash_Exception_Application[[#This Row],[ANALYST]]</f>
        <v>Analyst4</v>
      </c>
      <c r="G301" s="1">
        <f>qry_ProdData2_PDI_Cash_Exception_Application[[#This Row],[INSERT DATE]]+1</f>
        <v>45188.257071759261</v>
      </c>
      <c r="H301" t="str">
        <f>VLOOKUP(qry_ProdData2_PDI_Cash_Exception_Application[[#This Row],[MARKET No]],'Site Allocation'!$B$2:$C$37,2,FALSE)</f>
        <v>Analyst4</v>
      </c>
      <c r="I301" s="4">
        <f t="shared" ca="1" si="4"/>
        <v>45203</v>
      </c>
      <c r="J301" s="42">
        <f ca="1">TODAY()-qry_ProdData2_PDI_Cash_Exception_Application[[#This Row],[INSERT DATE]]</f>
        <v>15.742928240739275</v>
      </c>
      <c r="K3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1">
        <f ca="1">qry_ProdData2_PDI_Cash_Exception_Application[[#This Row],[TODAY]]-qry_ProdData2_PDI_Cash_Exception_Application[[#This Row],[CHANGED ON]]</f>
        <v>14.742928240739275</v>
      </c>
      <c r="M301">
        <f ca="1">qry_ProdData2_PDI_Cash_Exception_Application[[#This Row],[TODAY]]-qry_ProdData2_PDI_Cash_Exception_Application[[#This Row],[CHANGED ON]]</f>
        <v>14.742928240739275</v>
      </c>
      <c r="N301">
        <f ca="1">qry_ProdData2_PDI_Cash_Exception_Application[[#This Row],[TODAY]]-qry_ProdData2_PDI_Cash_Exception_Application[[#This Row],[CHANGED ON]]</f>
        <v>14.742928240739275</v>
      </c>
    </row>
    <row r="302" spans="1:14" x14ac:dyDescent="0.35">
      <c r="A302">
        <v>1022</v>
      </c>
      <c r="B302" t="s">
        <v>76</v>
      </c>
      <c r="C302" s="1">
        <v>45189.257071759261</v>
      </c>
      <c r="D302" t="str">
        <f ca="1">VLOOKUP(qry_ProdData2_PDI_Cash_Exception_Application[[#This Row],[TYPE]],#REF!,2,FALSE)</f>
        <v>type40</v>
      </c>
      <c r="E302">
        <v>170.12</v>
      </c>
      <c r="F302" t="s">
        <v>48</v>
      </c>
      <c r="G302" s="1">
        <f>qry_ProdData2_PDI_Cash_Exception_Application[[#This Row],[INSERT DATE]]+2</f>
        <v>45191.257071759261</v>
      </c>
      <c r="H302" t="str">
        <f>VLOOKUP(qry_ProdData2_PDI_Cash_Exception_Application[[#This Row],[MARKET No]],'Site Allocation'!$B$2:$C$37,2,FALSE)</f>
        <v>Analyst4</v>
      </c>
      <c r="I302" s="4">
        <f t="shared" ca="1" si="4"/>
        <v>45203</v>
      </c>
      <c r="J302" s="42">
        <f ca="1">TODAY()-qry_ProdData2_PDI_Cash_Exception_Application[[#This Row],[INSERT DATE]]</f>
        <v>13.742928240739275</v>
      </c>
      <c r="K3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2">
        <f ca="1">qry_ProdData2_PDI_Cash_Exception_Application[[#This Row],[TODAY]]-qry_ProdData2_PDI_Cash_Exception_Application[[#This Row],[CHANGED ON]]</f>
        <v>11.742928240739275</v>
      </c>
      <c r="M302">
        <f ca="1">qry_ProdData2_PDI_Cash_Exception_Application[[#This Row],[TODAY]]-qry_ProdData2_PDI_Cash_Exception_Application[[#This Row],[CHANGED ON]]</f>
        <v>11.742928240739275</v>
      </c>
      <c r="N302">
        <f ca="1">qry_ProdData2_PDI_Cash_Exception_Application[[#This Row],[TODAY]]-qry_ProdData2_PDI_Cash_Exception_Application[[#This Row],[CHANGED ON]]</f>
        <v>11.742928240739275</v>
      </c>
    </row>
    <row r="303" spans="1:14" x14ac:dyDescent="0.35">
      <c r="A303">
        <v>1015</v>
      </c>
      <c r="B303" t="s">
        <v>69</v>
      </c>
      <c r="C303" s="1">
        <v>45190.257071759261</v>
      </c>
      <c r="D303" t="str">
        <f ca="1">VLOOKUP(qry_ProdData2_PDI_Cash_Exception_Application[[#This Row],[TYPE]],#REF!,2,FALSE)</f>
        <v>type40</v>
      </c>
      <c r="E303">
        <v>25</v>
      </c>
      <c r="F303" t="s">
        <v>48</v>
      </c>
      <c r="G303" s="1">
        <f>qry_ProdData2_PDI_Cash_Exception_Application[[#This Row],[INSERT DATE]]+2</f>
        <v>45192.257071759261</v>
      </c>
      <c r="H303" t="str">
        <f>VLOOKUP(qry_ProdData2_PDI_Cash_Exception_Application[[#This Row],[MARKET No]],'Site Allocation'!$B$2:$C$37,2,FALSE)</f>
        <v>Analyst3</v>
      </c>
      <c r="I303" s="4">
        <f t="shared" ca="1" si="4"/>
        <v>45203</v>
      </c>
      <c r="J303" s="42">
        <f ca="1">TODAY()-qry_ProdData2_PDI_Cash_Exception_Application[[#This Row],[INSERT DATE]]</f>
        <v>12.742928240739275</v>
      </c>
      <c r="K3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3">
        <f ca="1">qry_ProdData2_PDI_Cash_Exception_Application[[#This Row],[TODAY]]-qry_ProdData2_PDI_Cash_Exception_Application[[#This Row],[CHANGED ON]]</f>
        <v>10.742928240739275</v>
      </c>
      <c r="M303">
        <f ca="1">qry_ProdData2_PDI_Cash_Exception_Application[[#This Row],[TODAY]]-qry_ProdData2_PDI_Cash_Exception_Application[[#This Row],[CHANGED ON]]</f>
        <v>10.742928240739275</v>
      </c>
      <c r="N303">
        <f ca="1">qry_ProdData2_PDI_Cash_Exception_Application[[#This Row],[TODAY]]-qry_ProdData2_PDI_Cash_Exception_Application[[#This Row],[CHANGED ON]]</f>
        <v>10.742928240739275</v>
      </c>
    </row>
    <row r="304" spans="1:14" x14ac:dyDescent="0.35">
      <c r="A304">
        <v>1022</v>
      </c>
      <c r="B304" t="s">
        <v>76</v>
      </c>
      <c r="C304" s="1">
        <v>45189.257071759261</v>
      </c>
      <c r="D304" t="str">
        <f ca="1">VLOOKUP(qry_ProdData2_PDI_Cash_Exception_Application[[#This Row],[TYPE]],#REF!,2,FALSE)</f>
        <v>type36</v>
      </c>
      <c r="E304">
        <v>154.47999999999999</v>
      </c>
      <c r="F304" t="str">
        <f>qry_ProdData2_PDI_Cash_Exception_Application[[#This Row],[ANALYST]]</f>
        <v>Analyst4</v>
      </c>
      <c r="G304" s="1">
        <f>qry_ProdData2_PDI_Cash_Exception_Application[[#This Row],[INSERT DATE]]+1</f>
        <v>45190.257071759261</v>
      </c>
      <c r="H304" t="str">
        <f>VLOOKUP(qry_ProdData2_PDI_Cash_Exception_Application[[#This Row],[MARKET No]],'Site Allocation'!$B$2:$C$37,2,FALSE)</f>
        <v>Analyst4</v>
      </c>
      <c r="I304" s="4">
        <f t="shared" ca="1" si="4"/>
        <v>45203</v>
      </c>
      <c r="J304" s="42">
        <f ca="1">TODAY()-qry_ProdData2_PDI_Cash_Exception_Application[[#This Row],[INSERT DATE]]</f>
        <v>13.742928240739275</v>
      </c>
      <c r="K3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4">
        <f ca="1">qry_ProdData2_PDI_Cash_Exception_Application[[#This Row],[TODAY]]-qry_ProdData2_PDI_Cash_Exception_Application[[#This Row],[CHANGED ON]]</f>
        <v>12.742928240739275</v>
      </c>
      <c r="M304">
        <f ca="1">qry_ProdData2_PDI_Cash_Exception_Application[[#This Row],[TODAY]]-qry_ProdData2_PDI_Cash_Exception_Application[[#This Row],[CHANGED ON]]</f>
        <v>12.742928240739275</v>
      </c>
      <c r="N304">
        <f ca="1">qry_ProdData2_PDI_Cash_Exception_Application[[#This Row],[TODAY]]-qry_ProdData2_PDI_Cash_Exception_Application[[#This Row],[CHANGED ON]]</f>
        <v>12.742928240739275</v>
      </c>
    </row>
    <row r="305" spans="1:14" x14ac:dyDescent="0.35">
      <c r="A305">
        <v>1025</v>
      </c>
      <c r="B305" t="s">
        <v>79</v>
      </c>
      <c r="C305" s="1">
        <v>45189.257071759261</v>
      </c>
      <c r="D305" t="str">
        <f ca="1">VLOOKUP(qry_ProdData2_PDI_Cash_Exception_Application[[#This Row],[TYPE]],#REF!,2,FALSE)</f>
        <v>type17</v>
      </c>
      <c r="E305">
        <v>1010.27</v>
      </c>
      <c r="F305" t="s">
        <v>47</v>
      </c>
      <c r="G305" s="1">
        <f>qry_ProdData2_PDI_Cash_Exception_Application[[#This Row],[INSERT DATE]]+2</f>
        <v>45191.257071759261</v>
      </c>
      <c r="H305" t="str">
        <f>VLOOKUP(qry_ProdData2_PDI_Cash_Exception_Application[[#This Row],[MARKET No]],'Site Allocation'!$B$2:$C$37,2,FALSE)</f>
        <v>Analyst5</v>
      </c>
      <c r="I305" s="4">
        <f t="shared" ca="1" si="4"/>
        <v>45203</v>
      </c>
      <c r="J305" s="42">
        <f ca="1">TODAY()-qry_ProdData2_PDI_Cash_Exception_Application[[#This Row],[INSERT DATE]]</f>
        <v>13.742928240739275</v>
      </c>
      <c r="K3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5">
        <f ca="1">qry_ProdData2_PDI_Cash_Exception_Application[[#This Row],[TODAY]]-qry_ProdData2_PDI_Cash_Exception_Application[[#This Row],[CHANGED ON]]</f>
        <v>11.742928240739275</v>
      </c>
      <c r="M305">
        <f ca="1">qry_ProdData2_PDI_Cash_Exception_Application[[#This Row],[TODAY]]-qry_ProdData2_PDI_Cash_Exception_Application[[#This Row],[CHANGED ON]]</f>
        <v>11.742928240739275</v>
      </c>
      <c r="N305">
        <f ca="1">qry_ProdData2_PDI_Cash_Exception_Application[[#This Row],[TODAY]]-qry_ProdData2_PDI_Cash_Exception_Application[[#This Row],[CHANGED ON]]</f>
        <v>11.742928240739275</v>
      </c>
    </row>
    <row r="306" spans="1:14" x14ac:dyDescent="0.35">
      <c r="A306">
        <v>1016</v>
      </c>
      <c r="B306" t="s">
        <v>70</v>
      </c>
      <c r="C306" s="1">
        <v>45191.257071759261</v>
      </c>
      <c r="D306" t="str">
        <f ca="1">VLOOKUP(qry_ProdData2_PDI_Cash_Exception_Application[[#This Row],[TYPE]],#REF!,2,FALSE)</f>
        <v>type40</v>
      </c>
      <c r="E306">
        <v>21.97</v>
      </c>
      <c r="F306" t="s">
        <v>47</v>
      </c>
      <c r="G306" s="1">
        <f>qry_ProdData2_PDI_Cash_Exception_Application[[#This Row],[INSERT DATE]]+2</f>
        <v>45193.257071759261</v>
      </c>
      <c r="H306" t="str">
        <f>VLOOKUP(qry_ProdData2_PDI_Cash_Exception_Application[[#This Row],[MARKET No]],'Site Allocation'!$B$2:$C$37,2,FALSE)</f>
        <v>Analyst3</v>
      </c>
      <c r="I306" s="4">
        <f t="shared" ca="1" si="4"/>
        <v>45203</v>
      </c>
      <c r="J306" s="42">
        <f ca="1">TODAY()-qry_ProdData2_PDI_Cash_Exception_Application[[#This Row],[INSERT DATE]]</f>
        <v>11.742928240739275</v>
      </c>
      <c r="K3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6">
        <f ca="1">qry_ProdData2_PDI_Cash_Exception_Application[[#This Row],[TODAY]]-qry_ProdData2_PDI_Cash_Exception_Application[[#This Row],[CHANGED ON]]</f>
        <v>9.7429282407392748</v>
      </c>
      <c r="M306">
        <f ca="1">qry_ProdData2_PDI_Cash_Exception_Application[[#This Row],[TODAY]]-qry_ProdData2_PDI_Cash_Exception_Application[[#This Row],[CHANGED ON]]</f>
        <v>9.7429282407392748</v>
      </c>
      <c r="N306">
        <f ca="1">qry_ProdData2_PDI_Cash_Exception_Application[[#This Row],[TODAY]]-qry_ProdData2_PDI_Cash_Exception_Application[[#This Row],[CHANGED ON]]</f>
        <v>9.7429282407392748</v>
      </c>
    </row>
    <row r="307" spans="1:14" x14ac:dyDescent="0.35">
      <c r="A307">
        <v>1024</v>
      </c>
      <c r="B307" t="s">
        <v>78</v>
      </c>
      <c r="C307" s="1">
        <v>45185.257071759261</v>
      </c>
      <c r="D307" t="str">
        <f ca="1">VLOOKUP(qry_ProdData2_PDI_Cash_Exception_Application[[#This Row],[TYPE]],#REF!,2,FALSE)</f>
        <v>type40</v>
      </c>
      <c r="E307">
        <v>585.51</v>
      </c>
      <c r="F307" t="s">
        <v>47</v>
      </c>
      <c r="G307" s="1">
        <f>qry_ProdData2_PDI_Cash_Exception_Application[[#This Row],[INSERT DATE]]+5</f>
        <v>45190.257071759261</v>
      </c>
      <c r="H307" t="str">
        <f>VLOOKUP(qry_ProdData2_PDI_Cash_Exception_Application[[#This Row],[MARKET No]],'Site Allocation'!$B$2:$C$37,2,FALSE)</f>
        <v>Analyst5</v>
      </c>
      <c r="I307" s="4">
        <f t="shared" ca="1" si="4"/>
        <v>45203</v>
      </c>
      <c r="J307" s="42">
        <f ca="1">TODAY()-qry_ProdData2_PDI_Cash_Exception_Application[[#This Row],[INSERT DATE]]</f>
        <v>17.742928240739275</v>
      </c>
      <c r="K3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7">
        <f ca="1">qry_ProdData2_PDI_Cash_Exception_Application[[#This Row],[TODAY]]-qry_ProdData2_PDI_Cash_Exception_Application[[#This Row],[CHANGED ON]]</f>
        <v>12.742928240739275</v>
      </c>
      <c r="M307">
        <f ca="1">qry_ProdData2_PDI_Cash_Exception_Application[[#This Row],[TODAY]]-qry_ProdData2_PDI_Cash_Exception_Application[[#This Row],[CHANGED ON]]</f>
        <v>12.742928240739275</v>
      </c>
      <c r="N307">
        <f ca="1">qry_ProdData2_PDI_Cash_Exception_Application[[#This Row],[TODAY]]-qry_ProdData2_PDI_Cash_Exception_Application[[#This Row],[CHANGED ON]]</f>
        <v>12.742928240739275</v>
      </c>
    </row>
    <row r="308" spans="1:14" x14ac:dyDescent="0.35">
      <c r="A308">
        <v>1017</v>
      </c>
      <c r="B308" t="s">
        <v>71</v>
      </c>
      <c r="C308" s="1">
        <v>45185.257071759261</v>
      </c>
      <c r="D308" t="str">
        <f ca="1">VLOOKUP(qry_ProdData2_PDI_Cash_Exception_Application[[#This Row],[TYPE]],#REF!,2,FALSE)</f>
        <v>type40</v>
      </c>
      <c r="E308">
        <v>76.680000000000007</v>
      </c>
      <c r="F308" t="str">
        <f>qry_ProdData2_PDI_Cash_Exception_Application[[#This Row],[ANALYST]]</f>
        <v>Analyst3</v>
      </c>
      <c r="G308" s="1">
        <f>qry_ProdData2_PDI_Cash_Exception_Application[[#This Row],[INSERT DATE]]+7</f>
        <v>45192.257071759261</v>
      </c>
      <c r="H308" t="str">
        <f>VLOOKUP(qry_ProdData2_PDI_Cash_Exception_Application[[#This Row],[MARKET No]],'Site Allocation'!$B$2:$C$37,2,FALSE)</f>
        <v>Analyst3</v>
      </c>
      <c r="I308" s="4">
        <f t="shared" ca="1" si="4"/>
        <v>45203</v>
      </c>
      <c r="J308" s="42">
        <f ca="1">TODAY()-qry_ProdData2_PDI_Cash_Exception_Application[[#This Row],[INSERT DATE]]</f>
        <v>17.742928240739275</v>
      </c>
      <c r="K3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8">
        <f ca="1">qry_ProdData2_PDI_Cash_Exception_Application[[#This Row],[TODAY]]-qry_ProdData2_PDI_Cash_Exception_Application[[#This Row],[CHANGED ON]]</f>
        <v>10.742928240739275</v>
      </c>
      <c r="M308">
        <f ca="1">qry_ProdData2_PDI_Cash_Exception_Application[[#This Row],[TODAY]]-qry_ProdData2_PDI_Cash_Exception_Application[[#This Row],[CHANGED ON]]</f>
        <v>10.742928240739275</v>
      </c>
      <c r="N308">
        <f ca="1">qry_ProdData2_PDI_Cash_Exception_Application[[#This Row],[TODAY]]-qry_ProdData2_PDI_Cash_Exception_Application[[#This Row],[CHANGED ON]]</f>
        <v>10.742928240739275</v>
      </c>
    </row>
    <row r="309" spans="1:14" x14ac:dyDescent="0.35">
      <c r="A309">
        <v>1002</v>
      </c>
      <c r="B309" t="s">
        <v>56</v>
      </c>
      <c r="C309" s="1">
        <v>45190.257071759261</v>
      </c>
      <c r="D309" t="str">
        <f ca="1">VLOOKUP(qry_ProdData2_PDI_Cash_Exception_Application[[#This Row],[TYPE]],#REF!,2,FALSE)</f>
        <v>type40</v>
      </c>
      <c r="E309">
        <v>30.79</v>
      </c>
      <c r="F309" t="s">
        <v>47</v>
      </c>
      <c r="G309" s="1">
        <f>qry_ProdData2_PDI_Cash_Exception_Application[[#This Row],[INSERT DATE]]+7</f>
        <v>45197.257071759261</v>
      </c>
      <c r="H309" t="str">
        <f>VLOOKUP(qry_ProdData2_PDI_Cash_Exception_Application[[#This Row],[MARKET No]],'Site Allocation'!$B$2:$C$37,2,FALSE)</f>
        <v>Analyst1</v>
      </c>
      <c r="I309" s="4">
        <f t="shared" ca="1" si="4"/>
        <v>45203</v>
      </c>
      <c r="J309" s="42">
        <f ca="1">TODAY()-qry_ProdData2_PDI_Cash_Exception_Application[[#This Row],[INSERT DATE]]</f>
        <v>12.742928240739275</v>
      </c>
      <c r="K3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9">
        <f ca="1">qry_ProdData2_PDI_Cash_Exception_Application[[#This Row],[TODAY]]-qry_ProdData2_PDI_Cash_Exception_Application[[#This Row],[CHANGED ON]]</f>
        <v>5.7429282407392748</v>
      </c>
      <c r="M309">
        <f ca="1">qry_ProdData2_PDI_Cash_Exception_Application[[#This Row],[TODAY]]-qry_ProdData2_PDI_Cash_Exception_Application[[#This Row],[CHANGED ON]]</f>
        <v>5.7429282407392748</v>
      </c>
      <c r="N309">
        <f ca="1">qry_ProdData2_PDI_Cash_Exception_Application[[#This Row],[TODAY]]-qry_ProdData2_PDI_Cash_Exception_Application[[#This Row],[CHANGED ON]]</f>
        <v>5.7429282407392748</v>
      </c>
    </row>
    <row r="310" spans="1:14" x14ac:dyDescent="0.35">
      <c r="A310">
        <v>1003</v>
      </c>
      <c r="B310" t="s">
        <v>57</v>
      </c>
      <c r="C310" s="1">
        <v>45191.257071759261</v>
      </c>
      <c r="D310" t="str">
        <f ca="1">VLOOKUP(qry_ProdData2_PDI_Cash_Exception_Application[[#This Row],[TYPE]],#REF!,2,FALSE)</f>
        <v>type8</v>
      </c>
      <c r="E310">
        <v>63.1</v>
      </c>
      <c r="F310" t="s">
        <v>47</v>
      </c>
      <c r="G310" s="1">
        <f>qry_ProdData2_PDI_Cash_Exception_Application[[#This Row],[INSERT DATE]]+7</f>
        <v>45198.257071759261</v>
      </c>
      <c r="H310" t="str">
        <f>VLOOKUP(qry_ProdData2_PDI_Cash_Exception_Application[[#This Row],[MARKET No]],'Site Allocation'!$B$2:$C$37,2,FALSE)</f>
        <v>Analyst1</v>
      </c>
      <c r="I310" s="4">
        <f t="shared" ca="1" si="4"/>
        <v>45203</v>
      </c>
      <c r="J310" s="42">
        <f ca="1">TODAY()-qry_ProdData2_PDI_Cash_Exception_Application[[#This Row],[INSERT DATE]]</f>
        <v>11.742928240739275</v>
      </c>
      <c r="K3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0">
        <f ca="1">qry_ProdData2_PDI_Cash_Exception_Application[[#This Row],[TODAY]]-qry_ProdData2_PDI_Cash_Exception_Application[[#This Row],[CHANGED ON]]</f>
        <v>4.7429282407392748</v>
      </c>
      <c r="M310">
        <f ca="1">qry_ProdData2_PDI_Cash_Exception_Application[[#This Row],[TODAY]]-qry_ProdData2_PDI_Cash_Exception_Application[[#This Row],[CHANGED ON]]</f>
        <v>4.7429282407392748</v>
      </c>
      <c r="N310">
        <f ca="1">qry_ProdData2_PDI_Cash_Exception_Application[[#This Row],[TODAY]]-qry_ProdData2_PDI_Cash_Exception_Application[[#This Row],[CHANGED ON]]</f>
        <v>4.7429282407392748</v>
      </c>
    </row>
    <row r="311" spans="1:14" x14ac:dyDescent="0.35">
      <c r="A311">
        <v>1034</v>
      </c>
      <c r="B311" t="s">
        <v>88</v>
      </c>
      <c r="C311" s="1">
        <v>45190.257071759261</v>
      </c>
      <c r="D311" t="str">
        <f ca="1">VLOOKUP(qry_ProdData2_PDI_Cash_Exception_Application[[#This Row],[TYPE]],#REF!,2,FALSE)</f>
        <v>type40</v>
      </c>
      <c r="E311">
        <v>10</v>
      </c>
      <c r="F311" t="s">
        <v>49</v>
      </c>
      <c r="G311" s="1">
        <f>qry_ProdData2_PDI_Cash_Exception_Application[[#This Row],[INSERT DATE]]+1</f>
        <v>45191.257071759261</v>
      </c>
      <c r="H311" t="str">
        <f>VLOOKUP(qry_ProdData2_PDI_Cash_Exception_Application[[#This Row],[MARKET No]],'Site Allocation'!$B$2:$C$37,2,FALSE)</f>
        <v>Analyst6</v>
      </c>
      <c r="I311" s="4">
        <f t="shared" ca="1" si="4"/>
        <v>45203</v>
      </c>
      <c r="J311" s="42">
        <f ca="1">TODAY()-qry_ProdData2_PDI_Cash_Exception_Application[[#This Row],[INSERT DATE]]</f>
        <v>12.742928240739275</v>
      </c>
      <c r="K3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1">
        <f ca="1">qry_ProdData2_PDI_Cash_Exception_Application[[#This Row],[TODAY]]-qry_ProdData2_PDI_Cash_Exception_Application[[#This Row],[CHANGED ON]]</f>
        <v>11.742928240739275</v>
      </c>
      <c r="M311">
        <f ca="1">qry_ProdData2_PDI_Cash_Exception_Application[[#This Row],[TODAY]]-qry_ProdData2_PDI_Cash_Exception_Application[[#This Row],[CHANGED ON]]</f>
        <v>11.742928240739275</v>
      </c>
      <c r="N311">
        <f ca="1">qry_ProdData2_PDI_Cash_Exception_Application[[#This Row],[TODAY]]-qry_ProdData2_PDI_Cash_Exception_Application[[#This Row],[CHANGED ON]]</f>
        <v>11.742928240739275</v>
      </c>
    </row>
    <row r="312" spans="1:14" x14ac:dyDescent="0.35">
      <c r="A312">
        <v>1014</v>
      </c>
      <c r="B312" t="s">
        <v>68</v>
      </c>
      <c r="C312" s="1">
        <v>45192.257071759261</v>
      </c>
      <c r="D312" t="str">
        <f ca="1">VLOOKUP(qry_ProdData2_PDI_Cash_Exception_Application[[#This Row],[TYPE]],#REF!,2,FALSE)</f>
        <v>type35</v>
      </c>
      <c r="E312">
        <v>501.83</v>
      </c>
      <c r="F312" t="str">
        <f>qry_ProdData2_PDI_Cash_Exception_Application[[#This Row],[ANALYST]]</f>
        <v>Analyst3</v>
      </c>
      <c r="G312" s="1">
        <f>qry_ProdData2_PDI_Cash_Exception_Application[[#This Row],[INSERT DATE]]+1</f>
        <v>45193.257071759261</v>
      </c>
      <c r="H312" t="str">
        <f>VLOOKUP(qry_ProdData2_PDI_Cash_Exception_Application[[#This Row],[MARKET No]],'Site Allocation'!$B$2:$C$37,2,FALSE)</f>
        <v>Analyst3</v>
      </c>
      <c r="I312" s="4">
        <f t="shared" ca="1" si="4"/>
        <v>45203</v>
      </c>
      <c r="J312" s="42">
        <f ca="1">TODAY()-qry_ProdData2_PDI_Cash_Exception_Application[[#This Row],[INSERT DATE]]</f>
        <v>10.742928240739275</v>
      </c>
      <c r="K3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2">
        <f ca="1">qry_ProdData2_PDI_Cash_Exception_Application[[#This Row],[TODAY]]-qry_ProdData2_PDI_Cash_Exception_Application[[#This Row],[CHANGED ON]]</f>
        <v>9.7429282407392748</v>
      </c>
      <c r="M312">
        <f ca="1">qry_ProdData2_PDI_Cash_Exception_Application[[#This Row],[TODAY]]-qry_ProdData2_PDI_Cash_Exception_Application[[#This Row],[CHANGED ON]]</f>
        <v>9.7429282407392748</v>
      </c>
      <c r="N312">
        <f ca="1">qry_ProdData2_PDI_Cash_Exception_Application[[#This Row],[TODAY]]-qry_ProdData2_PDI_Cash_Exception_Application[[#This Row],[CHANGED ON]]</f>
        <v>9.7429282407392748</v>
      </c>
    </row>
    <row r="313" spans="1:14" x14ac:dyDescent="0.35">
      <c r="A313">
        <v>1025</v>
      </c>
      <c r="B313" t="s">
        <v>79</v>
      </c>
      <c r="C313" s="1">
        <v>45189.257071759261</v>
      </c>
      <c r="D313" t="str">
        <f ca="1">VLOOKUP(qry_ProdData2_PDI_Cash_Exception_Application[[#This Row],[TYPE]],#REF!,2,FALSE)</f>
        <v>type40</v>
      </c>
      <c r="E313">
        <v>0.2</v>
      </c>
      <c r="F313" t="s">
        <v>47</v>
      </c>
      <c r="G313" s="1">
        <f>qry_ProdData2_PDI_Cash_Exception_Application[[#This Row],[INSERT DATE]]+1</f>
        <v>45190.257071759261</v>
      </c>
      <c r="H313" t="str">
        <f>VLOOKUP(qry_ProdData2_PDI_Cash_Exception_Application[[#This Row],[MARKET No]],'Site Allocation'!$B$2:$C$37,2,FALSE)</f>
        <v>Analyst5</v>
      </c>
      <c r="I313" s="4">
        <f t="shared" ca="1" si="4"/>
        <v>45203</v>
      </c>
      <c r="J313" s="42">
        <f ca="1">TODAY()-qry_ProdData2_PDI_Cash_Exception_Application[[#This Row],[INSERT DATE]]</f>
        <v>13.742928240739275</v>
      </c>
      <c r="K3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3">
        <f ca="1">qry_ProdData2_PDI_Cash_Exception_Application[[#This Row],[TODAY]]-qry_ProdData2_PDI_Cash_Exception_Application[[#This Row],[CHANGED ON]]</f>
        <v>12.742928240739275</v>
      </c>
      <c r="M313">
        <f ca="1">qry_ProdData2_PDI_Cash_Exception_Application[[#This Row],[TODAY]]-qry_ProdData2_PDI_Cash_Exception_Application[[#This Row],[CHANGED ON]]</f>
        <v>12.742928240739275</v>
      </c>
      <c r="N313">
        <f ca="1">qry_ProdData2_PDI_Cash_Exception_Application[[#This Row],[TODAY]]-qry_ProdData2_PDI_Cash_Exception_Application[[#This Row],[CHANGED ON]]</f>
        <v>12.742928240739275</v>
      </c>
    </row>
    <row r="314" spans="1:14" x14ac:dyDescent="0.35">
      <c r="A314">
        <v>1021</v>
      </c>
      <c r="B314" t="s">
        <v>75</v>
      </c>
      <c r="C314" s="1">
        <v>45185.257071759261</v>
      </c>
      <c r="D314" t="str">
        <f ca="1">VLOOKUP(qry_ProdData2_PDI_Cash_Exception_Application[[#This Row],[TYPE]],#REF!,2,FALSE)</f>
        <v>type13</v>
      </c>
      <c r="E314">
        <v>25965.279999999999</v>
      </c>
      <c r="F314" t="str">
        <f>qry_ProdData2_PDI_Cash_Exception_Application[[#This Row],[ANALYST]]</f>
        <v>Analyst4</v>
      </c>
      <c r="G314" s="1">
        <f>qry_ProdData2_PDI_Cash_Exception_Application[[#This Row],[INSERT DATE]]+2</f>
        <v>45187.257071759261</v>
      </c>
      <c r="H314" t="str">
        <f>VLOOKUP(qry_ProdData2_PDI_Cash_Exception_Application[[#This Row],[MARKET No]],'Site Allocation'!$B$2:$C$37,2,FALSE)</f>
        <v>Analyst4</v>
      </c>
      <c r="I314" s="4">
        <f t="shared" ca="1" si="4"/>
        <v>45203</v>
      </c>
      <c r="J314" s="42">
        <f ca="1">TODAY()-qry_ProdData2_PDI_Cash_Exception_Application[[#This Row],[INSERT DATE]]</f>
        <v>17.742928240739275</v>
      </c>
      <c r="K3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4">
        <f ca="1">qry_ProdData2_PDI_Cash_Exception_Application[[#This Row],[TODAY]]-qry_ProdData2_PDI_Cash_Exception_Application[[#This Row],[CHANGED ON]]</f>
        <v>15.742928240739275</v>
      </c>
      <c r="M314">
        <f ca="1">qry_ProdData2_PDI_Cash_Exception_Application[[#This Row],[TODAY]]-qry_ProdData2_PDI_Cash_Exception_Application[[#This Row],[CHANGED ON]]</f>
        <v>15.742928240739275</v>
      </c>
      <c r="N314">
        <f ca="1">qry_ProdData2_PDI_Cash_Exception_Application[[#This Row],[TODAY]]-qry_ProdData2_PDI_Cash_Exception_Application[[#This Row],[CHANGED ON]]</f>
        <v>15.742928240739275</v>
      </c>
    </row>
    <row r="315" spans="1:14" x14ac:dyDescent="0.35">
      <c r="A315">
        <v>1024</v>
      </c>
      <c r="B315" t="s">
        <v>78</v>
      </c>
      <c r="C315" s="1">
        <v>45181.257071759261</v>
      </c>
      <c r="D315" t="str">
        <f ca="1">VLOOKUP(qry_ProdData2_PDI_Cash_Exception_Application[[#This Row],[TYPE]],#REF!,2,FALSE)</f>
        <v>type17</v>
      </c>
      <c r="E315">
        <v>481.61</v>
      </c>
      <c r="F315" t="s">
        <v>48</v>
      </c>
      <c r="G315" s="1">
        <f>qry_ProdData2_PDI_Cash_Exception_Application[[#This Row],[INSERT DATE]]+2</f>
        <v>45183.257071759261</v>
      </c>
      <c r="H315" t="str">
        <f>VLOOKUP(qry_ProdData2_PDI_Cash_Exception_Application[[#This Row],[MARKET No]],'Site Allocation'!$B$2:$C$37,2,FALSE)</f>
        <v>Analyst5</v>
      </c>
      <c r="I315" s="4">
        <f t="shared" ca="1" si="4"/>
        <v>45203</v>
      </c>
      <c r="J315" s="42">
        <f ca="1">TODAY()-qry_ProdData2_PDI_Cash_Exception_Application[[#This Row],[INSERT DATE]]</f>
        <v>21.742928240739275</v>
      </c>
      <c r="K3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5">
        <f ca="1">qry_ProdData2_PDI_Cash_Exception_Application[[#This Row],[TODAY]]-qry_ProdData2_PDI_Cash_Exception_Application[[#This Row],[CHANGED ON]]</f>
        <v>19.742928240739275</v>
      </c>
      <c r="M315">
        <f ca="1">qry_ProdData2_PDI_Cash_Exception_Application[[#This Row],[TODAY]]-qry_ProdData2_PDI_Cash_Exception_Application[[#This Row],[CHANGED ON]]</f>
        <v>19.742928240739275</v>
      </c>
      <c r="N315">
        <f ca="1">qry_ProdData2_PDI_Cash_Exception_Application[[#This Row],[TODAY]]-qry_ProdData2_PDI_Cash_Exception_Application[[#This Row],[CHANGED ON]]</f>
        <v>19.742928240739275</v>
      </c>
    </row>
    <row r="316" spans="1:14" x14ac:dyDescent="0.35">
      <c r="A316">
        <v>1016</v>
      </c>
      <c r="B316" t="s">
        <v>70</v>
      </c>
      <c r="C316" s="1">
        <v>45182.257071759261</v>
      </c>
      <c r="D316" t="str">
        <f ca="1">VLOOKUP(qry_ProdData2_PDI_Cash_Exception_Application[[#This Row],[TYPE]],#REF!,2,FALSE)</f>
        <v>type40</v>
      </c>
      <c r="E316">
        <v>10</v>
      </c>
      <c r="F316" t="s">
        <v>49</v>
      </c>
      <c r="G316" s="1">
        <f>qry_ProdData2_PDI_Cash_Exception_Application[[#This Row],[INSERT DATE]]+1</f>
        <v>45183.257071759261</v>
      </c>
      <c r="H316" t="str">
        <f>VLOOKUP(qry_ProdData2_PDI_Cash_Exception_Application[[#This Row],[MARKET No]],'Site Allocation'!$B$2:$C$37,2,FALSE)</f>
        <v>Analyst3</v>
      </c>
      <c r="I316" s="4">
        <f t="shared" ca="1" si="4"/>
        <v>45203</v>
      </c>
      <c r="J316" s="42">
        <f ca="1">TODAY()-qry_ProdData2_PDI_Cash_Exception_Application[[#This Row],[INSERT DATE]]</f>
        <v>20.742928240739275</v>
      </c>
      <c r="K3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6">
        <f ca="1">qry_ProdData2_PDI_Cash_Exception_Application[[#This Row],[TODAY]]-qry_ProdData2_PDI_Cash_Exception_Application[[#This Row],[CHANGED ON]]</f>
        <v>19.742928240739275</v>
      </c>
      <c r="M316">
        <f ca="1">qry_ProdData2_PDI_Cash_Exception_Application[[#This Row],[TODAY]]-qry_ProdData2_PDI_Cash_Exception_Application[[#This Row],[CHANGED ON]]</f>
        <v>19.742928240739275</v>
      </c>
      <c r="N316">
        <f ca="1">qry_ProdData2_PDI_Cash_Exception_Application[[#This Row],[TODAY]]-qry_ProdData2_PDI_Cash_Exception_Application[[#This Row],[CHANGED ON]]</f>
        <v>19.742928240739275</v>
      </c>
    </row>
    <row r="317" spans="1:14" x14ac:dyDescent="0.35">
      <c r="A317">
        <v>1009</v>
      </c>
      <c r="B317" t="s">
        <v>63</v>
      </c>
      <c r="C317" s="1">
        <v>45183.257071759261</v>
      </c>
      <c r="D317" t="str">
        <f ca="1">VLOOKUP(qry_ProdData2_PDI_Cash_Exception_Application[[#This Row],[TYPE]],#REF!,2,FALSE)</f>
        <v>type7</v>
      </c>
      <c r="E317">
        <v>-2837.86</v>
      </c>
      <c r="F317" t="s">
        <v>48</v>
      </c>
      <c r="G317" s="1">
        <f>qry_ProdData2_PDI_Cash_Exception_Application[[#This Row],[INSERT DATE]]+5</f>
        <v>45188.257071759261</v>
      </c>
      <c r="H317" t="str">
        <f>VLOOKUP(qry_ProdData2_PDI_Cash_Exception_Application[[#This Row],[MARKET No]],'Site Allocation'!$B$2:$C$37,2,FALSE)</f>
        <v>Analyst2</v>
      </c>
      <c r="I317" s="4">
        <f t="shared" ca="1" si="4"/>
        <v>45203</v>
      </c>
      <c r="J317" s="42">
        <f ca="1">TODAY()-qry_ProdData2_PDI_Cash_Exception_Application[[#This Row],[INSERT DATE]]</f>
        <v>19.742928240739275</v>
      </c>
      <c r="K3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7">
        <f ca="1">qry_ProdData2_PDI_Cash_Exception_Application[[#This Row],[TODAY]]-qry_ProdData2_PDI_Cash_Exception_Application[[#This Row],[CHANGED ON]]</f>
        <v>14.742928240739275</v>
      </c>
      <c r="M317">
        <f ca="1">qry_ProdData2_PDI_Cash_Exception_Application[[#This Row],[TODAY]]-qry_ProdData2_PDI_Cash_Exception_Application[[#This Row],[CHANGED ON]]</f>
        <v>14.742928240739275</v>
      </c>
      <c r="N317">
        <f ca="1">qry_ProdData2_PDI_Cash_Exception_Application[[#This Row],[TODAY]]-qry_ProdData2_PDI_Cash_Exception_Application[[#This Row],[CHANGED ON]]</f>
        <v>14.742928240739275</v>
      </c>
    </row>
    <row r="318" spans="1:14" x14ac:dyDescent="0.35">
      <c r="A318">
        <v>1021</v>
      </c>
      <c r="B318" t="s">
        <v>75</v>
      </c>
      <c r="C318" s="1">
        <v>45188.257071759261</v>
      </c>
      <c r="D318" t="str">
        <f ca="1">VLOOKUP(qry_ProdData2_PDI_Cash_Exception_Application[[#This Row],[TYPE]],#REF!,2,FALSE)</f>
        <v>type13</v>
      </c>
      <c r="E318">
        <v>27279</v>
      </c>
      <c r="F318" t="str">
        <f>qry_ProdData2_PDI_Cash_Exception_Application[[#This Row],[ANALYST]]</f>
        <v>Analyst4</v>
      </c>
      <c r="G318" s="1">
        <f>qry_ProdData2_PDI_Cash_Exception_Application[[#This Row],[INSERT DATE]]+2</f>
        <v>45190.257071759261</v>
      </c>
      <c r="H318" t="str">
        <f>VLOOKUP(qry_ProdData2_PDI_Cash_Exception_Application[[#This Row],[MARKET No]],'Site Allocation'!$B$2:$C$37,2,FALSE)</f>
        <v>Analyst4</v>
      </c>
      <c r="I318" s="4">
        <f t="shared" ca="1" si="4"/>
        <v>45203</v>
      </c>
      <c r="J318" s="42">
        <f ca="1">TODAY()-qry_ProdData2_PDI_Cash_Exception_Application[[#This Row],[INSERT DATE]]</f>
        <v>14.742928240739275</v>
      </c>
      <c r="K3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8">
        <f ca="1">qry_ProdData2_PDI_Cash_Exception_Application[[#This Row],[TODAY]]-qry_ProdData2_PDI_Cash_Exception_Application[[#This Row],[CHANGED ON]]</f>
        <v>12.742928240739275</v>
      </c>
      <c r="M318">
        <f ca="1">qry_ProdData2_PDI_Cash_Exception_Application[[#This Row],[TODAY]]-qry_ProdData2_PDI_Cash_Exception_Application[[#This Row],[CHANGED ON]]</f>
        <v>12.742928240739275</v>
      </c>
      <c r="N318">
        <f ca="1">qry_ProdData2_PDI_Cash_Exception_Application[[#This Row],[TODAY]]-qry_ProdData2_PDI_Cash_Exception_Application[[#This Row],[CHANGED ON]]</f>
        <v>12.742928240739275</v>
      </c>
    </row>
    <row r="319" spans="1:14" x14ac:dyDescent="0.35">
      <c r="A319">
        <v>1008</v>
      </c>
      <c r="B319" t="s">
        <v>62</v>
      </c>
      <c r="C319" s="1">
        <v>45187.257071759261</v>
      </c>
      <c r="D319" t="str">
        <f ca="1">VLOOKUP(qry_ProdData2_PDI_Cash_Exception_Application[[#This Row],[TYPE]],#REF!,2,FALSE)</f>
        <v>type40</v>
      </c>
      <c r="E319">
        <v>208.8</v>
      </c>
      <c r="F319" t="s">
        <v>48</v>
      </c>
      <c r="G319" s="1">
        <f>qry_ProdData2_PDI_Cash_Exception_Application[[#This Row],[INSERT DATE]]+5</f>
        <v>45192.257071759261</v>
      </c>
      <c r="H319" t="str">
        <f>VLOOKUP(qry_ProdData2_PDI_Cash_Exception_Application[[#This Row],[MARKET No]],'Site Allocation'!$B$2:$C$37,2,FALSE)</f>
        <v>Analyst2</v>
      </c>
      <c r="I319" s="4">
        <f t="shared" ca="1" si="4"/>
        <v>45203</v>
      </c>
      <c r="J319" s="42">
        <f ca="1">TODAY()-qry_ProdData2_PDI_Cash_Exception_Application[[#This Row],[INSERT DATE]]</f>
        <v>15.742928240739275</v>
      </c>
      <c r="K3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9">
        <f ca="1">qry_ProdData2_PDI_Cash_Exception_Application[[#This Row],[TODAY]]-qry_ProdData2_PDI_Cash_Exception_Application[[#This Row],[CHANGED ON]]</f>
        <v>10.742928240739275</v>
      </c>
      <c r="M319">
        <f ca="1">qry_ProdData2_PDI_Cash_Exception_Application[[#This Row],[TODAY]]-qry_ProdData2_PDI_Cash_Exception_Application[[#This Row],[CHANGED ON]]</f>
        <v>10.742928240739275</v>
      </c>
      <c r="N319">
        <f ca="1">qry_ProdData2_PDI_Cash_Exception_Application[[#This Row],[TODAY]]-qry_ProdData2_PDI_Cash_Exception_Application[[#This Row],[CHANGED ON]]</f>
        <v>10.742928240739275</v>
      </c>
    </row>
    <row r="320" spans="1:14" x14ac:dyDescent="0.35">
      <c r="A320">
        <v>1033</v>
      </c>
      <c r="B320" t="s">
        <v>87</v>
      </c>
      <c r="C320" s="1">
        <v>45183.257071759261</v>
      </c>
      <c r="D320" t="str">
        <f ca="1">VLOOKUP(qry_ProdData2_PDI_Cash_Exception_Application[[#This Row],[TYPE]],#REF!,2,FALSE)</f>
        <v>type40</v>
      </c>
      <c r="E320">
        <v>-4094.02</v>
      </c>
      <c r="F320" t="str">
        <f>qry_ProdData2_PDI_Cash_Exception_Application[[#This Row],[ANALYST]]</f>
        <v>Analyst6</v>
      </c>
      <c r="G320" s="1">
        <f>qry_ProdData2_PDI_Cash_Exception_Application[[#This Row],[INSERT DATE]]+2</f>
        <v>45185.257071759261</v>
      </c>
      <c r="H320" t="str">
        <f>VLOOKUP(qry_ProdData2_PDI_Cash_Exception_Application[[#This Row],[MARKET No]],'Site Allocation'!$B$2:$C$37,2,FALSE)</f>
        <v>Analyst6</v>
      </c>
      <c r="I320" s="4">
        <f t="shared" ca="1" si="4"/>
        <v>45203</v>
      </c>
      <c r="J320" s="42">
        <f ca="1">TODAY()-qry_ProdData2_PDI_Cash_Exception_Application[[#This Row],[INSERT DATE]]</f>
        <v>19.742928240739275</v>
      </c>
      <c r="K3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0">
        <f ca="1">qry_ProdData2_PDI_Cash_Exception_Application[[#This Row],[TODAY]]-qry_ProdData2_PDI_Cash_Exception_Application[[#This Row],[CHANGED ON]]</f>
        <v>17.742928240739275</v>
      </c>
      <c r="M320">
        <f ca="1">qry_ProdData2_PDI_Cash_Exception_Application[[#This Row],[TODAY]]-qry_ProdData2_PDI_Cash_Exception_Application[[#This Row],[CHANGED ON]]</f>
        <v>17.742928240739275</v>
      </c>
      <c r="N320">
        <f ca="1">qry_ProdData2_PDI_Cash_Exception_Application[[#This Row],[TODAY]]-qry_ProdData2_PDI_Cash_Exception_Application[[#This Row],[CHANGED ON]]</f>
        <v>17.742928240739275</v>
      </c>
    </row>
    <row r="321" spans="1:14" x14ac:dyDescent="0.35">
      <c r="A321">
        <v>1024</v>
      </c>
      <c r="B321" t="s">
        <v>78</v>
      </c>
      <c r="C321" s="1">
        <v>45183.257071759261</v>
      </c>
      <c r="D321" t="str">
        <f ca="1">VLOOKUP(qry_ProdData2_PDI_Cash_Exception_Application[[#This Row],[TYPE]],#REF!,2,FALSE)</f>
        <v>type40</v>
      </c>
      <c r="E321">
        <v>50</v>
      </c>
      <c r="F321" t="s">
        <v>47</v>
      </c>
      <c r="G321" s="1">
        <f>qry_ProdData2_PDI_Cash_Exception_Application[[#This Row],[INSERT DATE]]+1</f>
        <v>45184.257071759261</v>
      </c>
      <c r="H321" t="str">
        <f>VLOOKUP(qry_ProdData2_PDI_Cash_Exception_Application[[#This Row],[MARKET No]],'Site Allocation'!$B$2:$C$37,2,FALSE)</f>
        <v>Analyst5</v>
      </c>
      <c r="I321" s="4">
        <f t="shared" ca="1" si="4"/>
        <v>45203</v>
      </c>
      <c r="J321" s="42">
        <f ca="1">TODAY()-qry_ProdData2_PDI_Cash_Exception_Application[[#This Row],[INSERT DATE]]</f>
        <v>19.742928240739275</v>
      </c>
      <c r="K3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1">
        <f ca="1">qry_ProdData2_PDI_Cash_Exception_Application[[#This Row],[TODAY]]-qry_ProdData2_PDI_Cash_Exception_Application[[#This Row],[CHANGED ON]]</f>
        <v>18.742928240739275</v>
      </c>
      <c r="M321">
        <f ca="1">qry_ProdData2_PDI_Cash_Exception_Application[[#This Row],[TODAY]]-qry_ProdData2_PDI_Cash_Exception_Application[[#This Row],[CHANGED ON]]</f>
        <v>18.742928240739275</v>
      </c>
      <c r="N321">
        <f ca="1">qry_ProdData2_PDI_Cash_Exception_Application[[#This Row],[TODAY]]-qry_ProdData2_PDI_Cash_Exception_Application[[#This Row],[CHANGED ON]]</f>
        <v>18.742928240739275</v>
      </c>
    </row>
    <row r="322" spans="1:14" x14ac:dyDescent="0.35">
      <c r="A322">
        <v>1019</v>
      </c>
      <c r="B322" t="s">
        <v>73</v>
      </c>
      <c r="C322" s="1">
        <v>45185.257071759261</v>
      </c>
      <c r="D322" t="str">
        <f ca="1">VLOOKUP(qry_ProdData2_PDI_Cash_Exception_Application[[#This Row],[TYPE]],#REF!,2,FALSE)</f>
        <v>type40</v>
      </c>
      <c r="E322">
        <v>386.51</v>
      </c>
      <c r="F322" t="s">
        <v>47</v>
      </c>
      <c r="G322" s="1">
        <f>qry_ProdData2_PDI_Cash_Exception_Application[[#This Row],[INSERT DATE]]+2</f>
        <v>45187.257071759261</v>
      </c>
      <c r="H322" t="str">
        <f>VLOOKUP(qry_ProdData2_PDI_Cash_Exception_Application[[#This Row],[MARKET No]],'Site Allocation'!$B$2:$C$37,2,FALSE)</f>
        <v>Analyst4</v>
      </c>
      <c r="I322" s="4">
        <f t="shared" ref="I322:I385" ca="1" si="5">TODAY()</f>
        <v>45203</v>
      </c>
      <c r="J322" s="42">
        <f ca="1">TODAY()-qry_ProdData2_PDI_Cash_Exception_Application[[#This Row],[INSERT DATE]]</f>
        <v>17.742928240739275</v>
      </c>
      <c r="K3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2">
        <f ca="1">qry_ProdData2_PDI_Cash_Exception_Application[[#This Row],[TODAY]]-qry_ProdData2_PDI_Cash_Exception_Application[[#This Row],[CHANGED ON]]</f>
        <v>15.742928240739275</v>
      </c>
      <c r="M322">
        <f ca="1">qry_ProdData2_PDI_Cash_Exception_Application[[#This Row],[TODAY]]-qry_ProdData2_PDI_Cash_Exception_Application[[#This Row],[CHANGED ON]]</f>
        <v>15.742928240739275</v>
      </c>
      <c r="N322">
        <f ca="1">qry_ProdData2_PDI_Cash_Exception_Application[[#This Row],[TODAY]]-qry_ProdData2_PDI_Cash_Exception_Application[[#This Row],[CHANGED ON]]</f>
        <v>15.742928240739275</v>
      </c>
    </row>
    <row r="323" spans="1:14" x14ac:dyDescent="0.35">
      <c r="A323">
        <v>1012</v>
      </c>
      <c r="B323" t="s">
        <v>66</v>
      </c>
      <c r="C323" s="1">
        <v>45187.257071759261</v>
      </c>
      <c r="D323" t="str">
        <f ca="1">VLOOKUP(qry_ProdData2_PDI_Cash_Exception_Application[[#This Row],[TYPE]],#REF!,2,FALSE)</f>
        <v>type7</v>
      </c>
      <c r="E323">
        <v>-14036.29</v>
      </c>
      <c r="F323" t="s">
        <v>47</v>
      </c>
      <c r="G323" s="1">
        <f>qry_ProdData2_PDI_Cash_Exception_Application[[#This Row],[INSERT DATE]]+2</f>
        <v>45189.257071759261</v>
      </c>
      <c r="H323" t="str">
        <f>VLOOKUP(qry_ProdData2_PDI_Cash_Exception_Application[[#This Row],[MARKET No]],'Site Allocation'!$B$2:$C$37,2,FALSE)</f>
        <v>Analyst3</v>
      </c>
      <c r="I323" s="4">
        <f t="shared" ca="1" si="5"/>
        <v>45203</v>
      </c>
      <c r="J323" s="42">
        <f ca="1">TODAY()-qry_ProdData2_PDI_Cash_Exception_Application[[#This Row],[INSERT DATE]]</f>
        <v>15.742928240739275</v>
      </c>
      <c r="K3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3">
        <f ca="1">qry_ProdData2_PDI_Cash_Exception_Application[[#This Row],[TODAY]]-qry_ProdData2_PDI_Cash_Exception_Application[[#This Row],[CHANGED ON]]</f>
        <v>13.742928240739275</v>
      </c>
      <c r="M323">
        <f ca="1">qry_ProdData2_PDI_Cash_Exception_Application[[#This Row],[TODAY]]-qry_ProdData2_PDI_Cash_Exception_Application[[#This Row],[CHANGED ON]]</f>
        <v>13.742928240739275</v>
      </c>
      <c r="N323">
        <f ca="1">qry_ProdData2_PDI_Cash_Exception_Application[[#This Row],[TODAY]]-qry_ProdData2_PDI_Cash_Exception_Application[[#This Row],[CHANGED ON]]</f>
        <v>13.742928240739275</v>
      </c>
    </row>
    <row r="324" spans="1:14" x14ac:dyDescent="0.35">
      <c r="A324">
        <v>1022</v>
      </c>
      <c r="B324" t="s">
        <v>76</v>
      </c>
      <c r="C324" s="1">
        <v>45192.257071759261</v>
      </c>
      <c r="D324" t="str">
        <f ca="1">VLOOKUP(qry_ProdData2_PDI_Cash_Exception_Application[[#This Row],[TYPE]],#REF!,2,FALSE)</f>
        <v>type40</v>
      </c>
      <c r="E324">
        <v>705.56</v>
      </c>
      <c r="F324" t="str">
        <f>qry_ProdData2_PDI_Cash_Exception_Application[[#This Row],[ANALYST]]</f>
        <v>Analyst4</v>
      </c>
      <c r="G324" s="1">
        <f>qry_ProdData2_PDI_Cash_Exception_Application[[#This Row],[INSERT DATE]]+2</f>
        <v>45194.257071759261</v>
      </c>
      <c r="H324" t="str">
        <f>VLOOKUP(qry_ProdData2_PDI_Cash_Exception_Application[[#This Row],[MARKET No]],'Site Allocation'!$B$2:$C$37,2,FALSE)</f>
        <v>Analyst4</v>
      </c>
      <c r="I324" s="4">
        <f t="shared" ca="1" si="5"/>
        <v>45203</v>
      </c>
      <c r="J324" s="42">
        <f ca="1">TODAY()-qry_ProdData2_PDI_Cash_Exception_Application[[#This Row],[INSERT DATE]]</f>
        <v>10.742928240739275</v>
      </c>
      <c r="K3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4">
        <f ca="1">qry_ProdData2_PDI_Cash_Exception_Application[[#This Row],[TODAY]]-qry_ProdData2_PDI_Cash_Exception_Application[[#This Row],[CHANGED ON]]</f>
        <v>8.7429282407392748</v>
      </c>
      <c r="M324">
        <f ca="1">qry_ProdData2_PDI_Cash_Exception_Application[[#This Row],[TODAY]]-qry_ProdData2_PDI_Cash_Exception_Application[[#This Row],[CHANGED ON]]</f>
        <v>8.7429282407392748</v>
      </c>
      <c r="N324">
        <f ca="1">qry_ProdData2_PDI_Cash_Exception_Application[[#This Row],[TODAY]]-qry_ProdData2_PDI_Cash_Exception_Application[[#This Row],[CHANGED ON]]</f>
        <v>8.7429282407392748</v>
      </c>
    </row>
    <row r="325" spans="1:14" x14ac:dyDescent="0.35">
      <c r="A325">
        <v>1006</v>
      </c>
      <c r="B325" t="s">
        <v>60</v>
      </c>
      <c r="C325" s="1">
        <v>45183.257071759261</v>
      </c>
      <c r="D325" t="str">
        <f ca="1">VLOOKUP(qry_ProdData2_PDI_Cash_Exception_Application[[#This Row],[TYPE]],#REF!,2,FALSE)</f>
        <v>type40</v>
      </c>
      <c r="E325">
        <v>90.46</v>
      </c>
      <c r="F325" t="s">
        <v>49</v>
      </c>
      <c r="G325" s="1">
        <f>qry_ProdData2_PDI_Cash_Exception_Application[[#This Row],[INSERT DATE]]+2</f>
        <v>45185.257071759261</v>
      </c>
      <c r="H325" t="str">
        <f>VLOOKUP(qry_ProdData2_PDI_Cash_Exception_Application[[#This Row],[MARKET No]],'Site Allocation'!$B$2:$C$37,2,FALSE)</f>
        <v>Analyst2</v>
      </c>
      <c r="I325" s="4">
        <f t="shared" ca="1" si="5"/>
        <v>45203</v>
      </c>
      <c r="J325" s="42">
        <f ca="1">TODAY()-qry_ProdData2_PDI_Cash_Exception_Application[[#This Row],[INSERT DATE]]</f>
        <v>19.742928240739275</v>
      </c>
      <c r="K3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5">
        <f ca="1">qry_ProdData2_PDI_Cash_Exception_Application[[#This Row],[TODAY]]-qry_ProdData2_PDI_Cash_Exception_Application[[#This Row],[CHANGED ON]]</f>
        <v>17.742928240739275</v>
      </c>
      <c r="M325">
        <f ca="1">qry_ProdData2_PDI_Cash_Exception_Application[[#This Row],[TODAY]]-qry_ProdData2_PDI_Cash_Exception_Application[[#This Row],[CHANGED ON]]</f>
        <v>17.742928240739275</v>
      </c>
      <c r="N325">
        <f ca="1">qry_ProdData2_PDI_Cash_Exception_Application[[#This Row],[TODAY]]-qry_ProdData2_PDI_Cash_Exception_Application[[#This Row],[CHANGED ON]]</f>
        <v>17.742928240739275</v>
      </c>
    </row>
    <row r="326" spans="1:14" x14ac:dyDescent="0.35">
      <c r="A326">
        <v>1024</v>
      </c>
      <c r="B326" t="s">
        <v>78</v>
      </c>
      <c r="C326" s="1">
        <v>45187.257071759261</v>
      </c>
      <c r="D326" t="str">
        <f ca="1">VLOOKUP(qry_ProdData2_PDI_Cash_Exception_Application[[#This Row],[TYPE]],#REF!,2,FALSE)</f>
        <v>type40</v>
      </c>
      <c r="E326">
        <v>28.95</v>
      </c>
      <c r="F326" t="s">
        <v>48</v>
      </c>
      <c r="G326" s="1">
        <f>qry_ProdData2_PDI_Cash_Exception_Application[[#This Row],[INSERT DATE]]+7</f>
        <v>45194.257071759261</v>
      </c>
      <c r="H326" t="str">
        <f>VLOOKUP(qry_ProdData2_PDI_Cash_Exception_Application[[#This Row],[MARKET No]],'Site Allocation'!$B$2:$C$37,2,FALSE)</f>
        <v>Analyst5</v>
      </c>
      <c r="I326" s="4">
        <f t="shared" ca="1" si="5"/>
        <v>45203</v>
      </c>
      <c r="J326" s="42">
        <f ca="1">TODAY()-qry_ProdData2_PDI_Cash_Exception_Application[[#This Row],[INSERT DATE]]</f>
        <v>15.742928240739275</v>
      </c>
      <c r="K3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6">
        <f ca="1">qry_ProdData2_PDI_Cash_Exception_Application[[#This Row],[TODAY]]-qry_ProdData2_PDI_Cash_Exception_Application[[#This Row],[CHANGED ON]]</f>
        <v>8.7429282407392748</v>
      </c>
      <c r="M326">
        <f ca="1">qry_ProdData2_PDI_Cash_Exception_Application[[#This Row],[TODAY]]-qry_ProdData2_PDI_Cash_Exception_Application[[#This Row],[CHANGED ON]]</f>
        <v>8.7429282407392748</v>
      </c>
      <c r="N326">
        <f ca="1">qry_ProdData2_PDI_Cash_Exception_Application[[#This Row],[TODAY]]-qry_ProdData2_PDI_Cash_Exception_Application[[#This Row],[CHANGED ON]]</f>
        <v>8.7429282407392748</v>
      </c>
    </row>
    <row r="327" spans="1:14" x14ac:dyDescent="0.35">
      <c r="A327">
        <v>1007</v>
      </c>
      <c r="B327" t="s">
        <v>61</v>
      </c>
      <c r="C327" s="1">
        <v>45190.257071759261</v>
      </c>
      <c r="D327" t="str">
        <f ca="1">VLOOKUP(qry_ProdData2_PDI_Cash_Exception_Application[[#This Row],[TYPE]],#REF!,2,FALSE)</f>
        <v>type13</v>
      </c>
      <c r="E327">
        <v>27395.25</v>
      </c>
      <c r="F327" t="s">
        <v>47</v>
      </c>
      <c r="G327" s="1">
        <f>qry_ProdData2_PDI_Cash_Exception_Application[[#This Row],[INSERT DATE]]+2</f>
        <v>45192.257071759261</v>
      </c>
      <c r="H327" t="str">
        <f>VLOOKUP(qry_ProdData2_PDI_Cash_Exception_Application[[#This Row],[MARKET No]],'Site Allocation'!$B$2:$C$37,2,FALSE)</f>
        <v>Analyst2</v>
      </c>
      <c r="I327" s="4">
        <f t="shared" ca="1" si="5"/>
        <v>45203</v>
      </c>
      <c r="J327" s="42">
        <f ca="1">TODAY()-qry_ProdData2_PDI_Cash_Exception_Application[[#This Row],[INSERT DATE]]</f>
        <v>12.742928240739275</v>
      </c>
      <c r="K3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7">
        <f ca="1">qry_ProdData2_PDI_Cash_Exception_Application[[#This Row],[TODAY]]-qry_ProdData2_PDI_Cash_Exception_Application[[#This Row],[CHANGED ON]]</f>
        <v>10.742928240739275</v>
      </c>
      <c r="M327">
        <f ca="1">qry_ProdData2_PDI_Cash_Exception_Application[[#This Row],[TODAY]]-qry_ProdData2_PDI_Cash_Exception_Application[[#This Row],[CHANGED ON]]</f>
        <v>10.742928240739275</v>
      </c>
      <c r="N327">
        <f ca="1">qry_ProdData2_PDI_Cash_Exception_Application[[#This Row],[TODAY]]-qry_ProdData2_PDI_Cash_Exception_Application[[#This Row],[CHANGED ON]]</f>
        <v>10.742928240739275</v>
      </c>
    </row>
    <row r="328" spans="1:14" x14ac:dyDescent="0.35">
      <c r="A328">
        <v>1021</v>
      </c>
      <c r="B328" t="s">
        <v>75</v>
      </c>
      <c r="C328" s="1">
        <v>45196.257071759261</v>
      </c>
      <c r="D328" t="str">
        <f ca="1">VLOOKUP(qry_ProdData2_PDI_Cash_Exception_Application[[#This Row],[TYPE]],#REF!,2,FALSE)</f>
        <v>type40</v>
      </c>
      <c r="E328">
        <v>76.84</v>
      </c>
      <c r="F328" t="str">
        <f>qry_ProdData2_PDI_Cash_Exception_Application[[#This Row],[ANALYST]]</f>
        <v>Analyst4</v>
      </c>
      <c r="G328" s="1">
        <f>qry_ProdData2_PDI_Cash_Exception_Application[[#This Row],[INSERT DATE]]+2</f>
        <v>45198.257071759261</v>
      </c>
      <c r="H328" t="str">
        <f>VLOOKUP(qry_ProdData2_PDI_Cash_Exception_Application[[#This Row],[MARKET No]],'Site Allocation'!$B$2:$C$37,2,FALSE)</f>
        <v>Analyst4</v>
      </c>
      <c r="I328" s="4">
        <f t="shared" ca="1" si="5"/>
        <v>45203</v>
      </c>
      <c r="J328" s="42">
        <f ca="1">TODAY()-qry_ProdData2_PDI_Cash_Exception_Application[[#This Row],[INSERT DATE]]</f>
        <v>6.7429282407392748</v>
      </c>
      <c r="K3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8">
        <f ca="1">qry_ProdData2_PDI_Cash_Exception_Application[[#This Row],[TODAY]]-qry_ProdData2_PDI_Cash_Exception_Application[[#This Row],[CHANGED ON]]</f>
        <v>4.7429282407392748</v>
      </c>
      <c r="M328">
        <f ca="1">qry_ProdData2_PDI_Cash_Exception_Application[[#This Row],[TODAY]]-qry_ProdData2_PDI_Cash_Exception_Application[[#This Row],[CHANGED ON]]</f>
        <v>4.7429282407392748</v>
      </c>
      <c r="N328">
        <f ca="1">qry_ProdData2_PDI_Cash_Exception_Application[[#This Row],[TODAY]]-qry_ProdData2_PDI_Cash_Exception_Application[[#This Row],[CHANGED ON]]</f>
        <v>4.7429282407392748</v>
      </c>
    </row>
    <row r="329" spans="1:14" x14ac:dyDescent="0.35">
      <c r="A329">
        <v>1035</v>
      </c>
      <c r="B329" t="s">
        <v>89</v>
      </c>
      <c r="C329" s="1">
        <v>45191.257071759261</v>
      </c>
      <c r="D329" t="str">
        <f ca="1">VLOOKUP(qry_ProdData2_PDI_Cash_Exception_Application[[#This Row],[TYPE]],#REF!,2,FALSE)</f>
        <v>type40</v>
      </c>
      <c r="E329">
        <v>31</v>
      </c>
      <c r="F329" t="s">
        <v>51</v>
      </c>
      <c r="G329" s="1">
        <f>qry_ProdData2_PDI_Cash_Exception_Application[[#This Row],[INSERT DATE]]+7</f>
        <v>45198.257071759261</v>
      </c>
      <c r="H329" t="str">
        <f>VLOOKUP(qry_ProdData2_PDI_Cash_Exception_Application[[#This Row],[MARKET No]],'Site Allocation'!$B$2:$C$37,2,FALSE)</f>
        <v>Analyst6</v>
      </c>
      <c r="I329" s="4">
        <f t="shared" ca="1" si="5"/>
        <v>45203</v>
      </c>
      <c r="J329" s="42">
        <f ca="1">TODAY()-qry_ProdData2_PDI_Cash_Exception_Application[[#This Row],[INSERT DATE]]</f>
        <v>11.742928240739275</v>
      </c>
      <c r="K3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9">
        <f ca="1">qry_ProdData2_PDI_Cash_Exception_Application[[#This Row],[TODAY]]-qry_ProdData2_PDI_Cash_Exception_Application[[#This Row],[CHANGED ON]]</f>
        <v>4.7429282407392748</v>
      </c>
      <c r="M329">
        <f ca="1">qry_ProdData2_PDI_Cash_Exception_Application[[#This Row],[TODAY]]-qry_ProdData2_PDI_Cash_Exception_Application[[#This Row],[CHANGED ON]]</f>
        <v>4.7429282407392748</v>
      </c>
      <c r="N329">
        <f ca="1">qry_ProdData2_PDI_Cash_Exception_Application[[#This Row],[TODAY]]-qry_ProdData2_PDI_Cash_Exception_Application[[#This Row],[CHANGED ON]]</f>
        <v>4.7429282407392748</v>
      </c>
    </row>
    <row r="330" spans="1:14" x14ac:dyDescent="0.35">
      <c r="A330">
        <v>1032</v>
      </c>
      <c r="B330" t="s">
        <v>86</v>
      </c>
      <c r="C330" s="1">
        <v>45179.257071759261</v>
      </c>
      <c r="D330" t="str">
        <f ca="1">VLOOKUP(qry_ProdData2_PDI_Cash_Exception_Application[[#This Row],[TYPE]],#REF!,2,FALSE)</f>
        <v>type40</v>
      </c>
      <c r="E330">
        <v>60</v>
      </c>
      <c r="F330" t="str">
        <f>qry_ProdData2_PDI_Cash_Exception_Application[[#This Row],[ANALYST]]</f>
        <v>Analyst6</v>
      </c>
      <c r="G330" s="1">
        <f>qry_ProdData2_PDI_Cash_Exception_Application[[#This Row],[INSERT DATE]]+2</f>
        <v>45181.257071759261</v>
      </c>
      <c r="H330" t="str">
        <f>VLOOKUP(qry_ProdData2_PDI_Cash_Exception_Application[[#This Row],[MARKET No]],'Site Allocation'!$B$2:$C$37,2,FALSE)</f>
        <v>Analyst6</v>
      </c>
      <c r="I330" s="4">
        <f t="shared" ca="1" si="5"/>
        <v>45203</v>
      </c>
      <c r="J330" s="42">
        <f ca="1">TODAY()-qry_ProdData2_PDI_Cash_Exception_Application[[#This Row],[INSERT DATE]]</f>
        <v>23.742928240739275</v>
      </c>
      <c r="K3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0">
        <f ca="1">qry_ProdData2_PDI_Cash_Exception_Application[[#This Row],[TODAY]]-qry_ProdData2_PDI_Cash_Exception_Application[[#This Row],[CHANGED ON]]</f>
        <v>21.742928240739275</v>
      </c>
      <c r="M330">
        <f ca="1">qry_ProdData2_PDI_Cash_Exception_Application[[#This Row],[TODAY]]-qry_ProdData2_PDI_Cash_Exception_Application[[#This Row],[CHANGED ON]]</f>
        <v>21.742928240739275</v>
      </c>
      <c r="N330">
        <f ca="1">qry_ProdData2_PDI_Cash_Exception_Application[[#This Row],[TODAY]]-qry_ProdData2_PDI_Cash_Exception_Application[[#This Row],[CHANGED ON]]</f>
        <v>21.742928240739275</v>
      </c>
    </row>
    <row r="331" spans="1:14" x14ac:dyDescent="0.35">
      <c r="A331">
        <v>1024</v>
      </c>
      <c r="B331" t="s">
        <v>78</v>
      </c>
      <c r="C331" s="1">
        <v>45184.257071759261</v>
      </c>
      <c r="D331" t="str">
        <f ca="1">VLOOKUP(qry_ProdData2_PDI_Cash_Exception_Application[[#This Row],[TYPE]],#REF!,2,FALSE)</f>
        <v>type35</v>
      </c>
      <c r="E331">
        <v>3183.19</v>
      </c>
      <c r="F331" t="s">
        <v>49</v>
      </c>
      <c r="G331" s="1">
        <f>qry_ProdData2_PDI_Cash_Exception_Application[[#This Row],[INSERT DATE]]+2</f>
        <v>45186.257071759261</v>
      </c>
      <c r="H331" t="str">
        <f>VLOOKUP(qry_ProdData2_PDI_Cash_Exception_Application[[#This Row],[MARKET No]],'Site Allocation'!$B$2:$C$37,2,FALSE)</f>
        <v>Analyst5</v>
      </c>
      <c r="I331" s="4">
        <f t="shared" ca="1" si="5"/>
        <v>45203</v>
      </c>
      <c r="J331" s="42">
        <f ca="1">TODAY()-qry_ProdData2_PDI_Cash_Exception_Application[[#This Row],[INSERT DATE]]</f>
        <v>18.742928240739275</v>
      </c>
      <c r="K3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1">
        <f ca="1">qry_ProdData2_PDI_Cash_Exception_Application[[#This Row],[TODAY]]-qry_ProdData2_PDI_Cash_Exception_Application[[#This Row],[CHANGED ON]]</f>
        <v>16.742928240739275</v>
      </c>
      <c r="M331">
        <f ca="1">qry_ProdData2_PDI_Cash_Exception_Application[[#This Row],[TODAY]]-qry_ProdData2_PDI_Cash_Exception_Application[[#This Row],[CHANGED ON]]</f>
        <v>16.742928240739275</v>
      </c>
      <c r="N331">
        <f ca="1">qry_ProdData2_PDI_Cash_Exception_Application[[#This Row],[TODAY]]-qry_ProdData2_PDI_Cash_Exception_Application[[#This Row],[CHANGED ON]]</f>
        <v>16.742928240739275</v>
      </c>
    </row>
    <row r="332" spans="1:14" x14ac:dyDescent="0.35">
      <c r="A332">
        <v>1023</v>
      </c>
      <c r="B332" t="s">
        <v>77</v>
      </c>
      <c r="C332" s="1">
        <v>45190.257071759261</v>
      </c>
      <c r="D332" t="str">
        <f ca="1">VLOOKUP(qry_ProdData2_PDI_Cash_Exception_Application[[#This Row],[TYPE]],#REF!,2,FALSE)</f>
        <v>type35</v>
      </c>
      <c r="E332">
        <v>4618.22</v>
      </c>
      <c r="F332" t="s">
        <v>49</v>
      </c>
      <c r="G332" s="1">
        <f>qry_ProdData2_PDI_Cash_Exception_Application[[#This Row],[INSERT DATE]]+5</f>
        <v>45195.257071759261</v>
      </c>
      <c r="H332" t="str">
        <f>VLOOKUP(qry_ProdData2_PDI_Cash_Exception_Application[[#This Row],[MARKET No]],'Site Allocation'!$B$2:$C$37,2,FALSE)</f>
        <v>Analyst4</v>
      </c>
      <c r="I332" s="4">
        <f t="shared" ca="1" si="5"/>
        <v>45203</v>
      </c>
      <c r="J332" s="42">
        <f ca="1">TODAY()-qry_ProdData2_PDI_Cash_Exception_Application[[#This Row],[INSERT DATE]]</f>
        <v>12.742928240739275</v>
      </c>
      <c r="K3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2">
        <f ca="1">qry_ProdData2_PDI_Cash_Exception_Application[[#This Row],[TODAY]]-qry_ProdData2_PDI_Cash_Exception_Application[[#This Row],[CHANGED ON]]</f>
        <v>7.7429282407392748</v>
      </c>
      <c r="M332">
        <f ca="1">qry_ProdData2_PDI_Cash_Exception_Application[[#This Row],[TODAY]]-qry_ProdData2_PDI_Cash_Exception_Application[[#This Row],[CHANGED ON]]</f>
        <v>7.7429282407392748</v>
      </c>
      <c r="N332">
        <f ca="1">qry_ProdData2_PDI_Cash_Exception_Application[[#This Row],[TODAY]]-qry_ProdData2_PDI_Cash_Exception_Application[[#This Row],[CHANGED ON]]</f>
        <v>7.7429282407392748</v>
      </c>
    </row>
    <row r="333" spans="1:14" x14ac:dyDescent="0.35">
      <c r="A333">
        <v>1012</v>
      </c>
      <c r="B333" t="s">
        <v>66</v>
      </c>
      <c r="C333" s="1">
        <v>45186.257071759261</v>
      </c>
      <c r="D333" t="str">
        <f ca="1">VLOOKUP(qry_ProdData2_PDI_Cash_Exception_Application[[#This Row],[TYPE]],#REF!,2,FALSE)</f>
        <v>type38</v>
      </c>
      <c r="E333">
        <v>179.05</v>
      </c>
      <c r="F333" t="s">
        <v>47</v>
      </c>
      <c r="G333" s="1">
        <f>qry_ProdData2_PDI_Cash_Exception_Application[[#This Row],[INSERT DATE]]+2</f>
        <v>45188.257071759261</v>
      </c>
      <c r="H333" t="str">
        <f>VLOOKUP(qry_ProdData2_PDI_Cash_Exception_Application[[#This Row],[MARKET No]],'Site Allocation'!$B$2:$C$37,2,FALSE)</f>
        <v>Analyst3</v>
      </c>
      <c r="I333" s="4">
        <f t="shared" ca="1" si="5"/>
        <v>45203</v>
      </c>
      <c r="J333" s="42">
        <f ca="1">TODAY()-qry_ProdData2_PDI_Cash_Exception_Application[[#This Row],[INSERT DATE]]</f>
        <v>16.742928240739275</v>
      </c>
      <c r="K3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3">
        <f ca="1">qry_ProdData2_PDI_Cash_Exception_Application[[#This Row],[TODAY]]-qry_ProdData2_PDI_Cash_Exception_Application[[#This Row],[CHANGED ON]]</f>
        <v>14.742928240739275</v>
      </c>
      <c r="M333">
        <f ca="1">qry_ProdData2_PDI_Cash_Exception_Application[[#This Row],[TODAY]]-qry_ProdData2_PDI_Cash_Exception_Application[[#This Row],[CHANGED ON]]</f>
        <v>14.742928240739275</v>
      </c>
      <c r="N333">
        <f ca="1">qry_ProdData2_PDI_Cash_Exception_Application[[#This Row],[TODAY]]-qry_ProdData2_PDI_Cash_Exception_Application[[#This Row],[CHANGED ON]]</f>
        <v>14.742928240739275</v>
      </c>
    </row>
    <row r="334" spans="1:14" x14ac:dyDescent="0.35">
      <c r="A334">
        <v>1022</v>
      </c>
      <c r="B334" t="s">
        <v>76</v>
      </c>
      <c r="C334" s="1">
        <v>45182.257071759261</v>
      </c>
      <c r="D334" t="str">
        <f ca="1">VLOOKUP(qry_ProdData2_PDI_Cash_Exception_Application[[#This Row],[TYPE]],#REF!,2,FALSE)</f>
        <v>type40</v>
      </c>
      <c r="E334">
        <v>133.13999999999999</v>
      </c>
      <c r="F334" t="str">
        <f>qry_ProdData2_PDI_Cash_Exception_Application[[#This Row],[ANALYST]]</f>
        <v>Analyst4</v>
      </c>
      <c r="G334" s="1">
        <f>qry_ProdData2_PDI_Cash_Exception_Application[[#This Row],[INSERT DATE]]+5</f>
        <v>45187.257071759261</v>
      </c>
      <c r="H334" t="str">
        <f>VLOOKUP(qry_ProdData2_PDI_Cash_Exception_Application[[#This Row],[MARKET No]],'Site Allocation'!$B$2:$C$37,2,FALSE)</f>
        <v>Analyst4</v>
      </c>
      <c r="I334" s="4">
        <f t="shared" ca="1" si="5"/>
        <v>45203</v>
      </c>
      <c r="J334" s="42">
        <f ca="1">TODAY()-qry_ProdData2_PDI_Cash_Exception_Application[[#This Row],[INSERT DATE]]</f>
        <v>20.742928240739275</v>
      </c>
      <c r="K3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4">
        <f ca="1">qry_ProdData2_PDI_Cash_Exception_Application[[#This Row],[TODAY]]-qry_ProdData2_PDI_Cash_Exception_Application[[#This Row],[CHANGED ON]]</f>
        <v>15.742928240739275</v>
      </c>
      <c r="M334">
        <f ca="1">qry_ProdData2_PDI_Cash_Exception_Application[[#This Row],[TODAY]]-qry_ProdData2_PDI_Cash_Exception_Application[[#This Row],[CHANGED ON]]</f>
        <v>15.742928240739275</v>
      </c>
      <c r="N334">
        <f ca="1">qry_ProdData2_PDI_Cash_Exception_Application[[#This Row],[TODAY]]-qry_ProdData2_PDI_Cash_Exception_Application[[#This Row],[CHANGED ON]]</f>
        <v>15.742928240739275</v>
      </c>
    </row>
    <row r="335" spans="1:14" x14ac:dyDescent="0.35">
      <c r="A335">
        <v>1001</v>
      </c>
      <c r="B335" t="s">
        <v>55</v>
      </c>
      <c r="C335" s="1">
        <v>45190.257071759261</v>
      </c>
      <c r="D335" t="str">
        <f ca="1">VLOOKUP(qry_ProdData2_PDI_Cash_Exception_Application[[#This Row],[TYPE]],#REF!,2,FALSE)</f>
        <v>type13</v>
      </c>
      <c r="E335">
        <v>25562.31</v>
      </c>
      <c r="F335" t="s">
        <v>47</v>
      </c>
      <c r="G335" s="1">
        <f>qry_ProdData2_PDI_Cash_Exception_Application[[#This Row],[INSERT DATE]]+2</f>
        <v>45192.257071759261</v>
      </c>
      <c r="H335" t="str">
        <f>VLOOKUP(qry_ProdData2_PDI_Cash_Exception_Application[[#This Row],[MARKET No]],'Site Allocation'!$B$2:$C$37,2,FALSE)</f>
        <v>Analyst1</v>
      </c>
      <c r="I335" s="4">
        <f t="shared" ca="1" si="5"/>
        <v>45203</v>
      </c>
      <c r="J335" s="42">
        <f ca="1">TODAY()-qry_ProdData2_PDI_Cash_Exception_Application[[#This Row],[INSERT DATE]]</f>
        <v>12.742928240739275</v>
      </c>
      <c r="K3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5">
        <f ca="1">qry_ProdData2_PDI_Cash_Exception_Application[[#This Row],[TODAY]]-qry_ProdData2_PDI_Cash_Exception_Application[[#This Row],[CHANGED ON]]</f>
        <v>10.742928240739275</v>
      </c>
      <c r="M335">
        <f ca="1">qry_ProdData2_PDI_Cash_Exception_Application[[#This Row],[TODAY]]-qry_ProdData2_PDI_Cash_Exception_Application[[#This Row],[CHANGED ON]]</f>
        <v>10.742928240739275</v>
      </c>
      <c r="N335">
        <f ca="1">qry_ProdData2_PDI_Cash_Exception_Application[[#This Row],[TODAY]]-qry_ProdData2_PDI_Cash_Exception_Application[[#This Row],[CHANGED ON]]</f>
        <v>10.742928240739275</v>
      </c>
    </row>
    <row r="336" spans="1:14" x14ac:dyDescent="0.35">
      <c r="A336">
        <v>1011</v>
      </c>
      <c r="B336" t="s">
        <v>65</v>
      </c>
      <c r="C336" s="1">
        <v>45179.257071759261</v>
      </c>
      <c r="D336" t="str">
        <f ca="1">VLOOKUP(qry_ProdData2_PDI_Cash_Exception_Application[[#This Row],[TYPE]],#REF!,2,FALSE)</f>
        <v>type40</v>
      </c>
      <c r="E336">
        <v>618.14</v>
      </c>
      <c r="F336" t="s">
        <v>47</v>
      </c>
      <c r="G336" s="1">
        <f>qry_ProdData2_PDI_Cash_Exception_Application[[#This Row],[INSERT DATE]]+7</f>
        <v>45186.257071759261</v>
      </c>
      <c r="H336" t="str">
        <f>VLOOKUP(qry_ProdData2_PDI_Cash_Exception_Application[[#This Row],[MARKET No]],'Site Allocation'!$B$2:$C$37,2,FALSE)</f>
        <v>Analyst2</v>
      </c>
      <c r="I336" s="4">
        <f t="shared" ca="1" si="5"/>
        <v>45203</v>
      </c>
      <c r="J336" s="42">
        <f ca="1">TODAY()-qry_ProdData2_PDI_Cash_Exception_Application[[#This Row],[INSERT DATE]]</f>
        <v>23.742928240739275</v>
      </c>
      <c r="K3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6">
        <f ca="1">qry_ProdData2_PDI_Cash_Exception_Application[[#This Row],[TODAY]]-qry_ProdData2_PDI_Cash_Exception_Application[[#This Row],[CHANGED ON]]</f>
        <v>16.742928240739275</v>
      </c>
      <c r="M336">
        <f ca="1">qry_ProdData2_PDI_Cash_Exception_Application[[#This Row],[TODAY]]-qry_ProdData2_PDI_Cash_Exception_Application[[#This Row],[CHANGED ON]]</f>
        <v>16.742928240739275</v>
      </c>
      <c r="N336">
        <f ca="1">qry_ProdData2_PDI_Cash_Exception_Application[[#This Row],[TODAY]]-qry_ProdData2_PDI_Cash_Exception_Application[[#This Row],[CHANGED ON]]</f>
        <v>16.742928240739275</v>
      </c>
    </row>
    <row r="337" spans="1:14" x14ac:dyDescent="0.35">
      <c r="A337">
        <v>1020</v>
      </c>
      <c r="B337" t="s">
        <v>74</v>
      </c>
      <c r="C337" s="1">
        <v>45181.257071759261</v>
      </c>
      <c r="D337" t="str">
        <f ca="1">VLOOKUP(qry_ProdData2_PDI_Cash_Exception_Application[[#This Row],[TYPE]],#REF!,2,FALSE)</f>
        <v>type27</v>
      </c>
      <c r="E337">
        <v>706.84</v>
      </c>
      <c r="F337" t="s">
        <v>47</v>
      </c>
      <c r="G337" s="1">
        <f>qry_ProdData2_PDI_Cash_Exception_Application[[#This Row],[INSERT DATE]]+7</f>
        <v>45188.257071759261</v>
      </c>
      <c r="H337" t="str">
        <f>VLOOKUP(qry_ProdData2_PDI_Cash_Exception_Application[[#This Row],[MARKET No]],'Site Allocation'!$B$2:$C$37,2,FALSE)</f>
        <v>Analyst4</v>
      </c>
      <c r="I337" s="4">
        <f t="shared" ca="1" si="5"/>
        <v>45203</v>
      </c>
      <c r="J337" s="42">
        <f ca="1">TODAY()-qry_ProdData2_PDI_Cash_Exception_Application[[#This Row],[INSERT DATE]]</f>
        <v>21.742928240739275</v>
      </c>
      <c r="K3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7">
        <f ca="1">qry_ProdData2_PDI_Cash_Exception_Application[[#This Row],[TODAY]]-qry_ProdData2_PDI_Cash_Exception_Application[[#This Row],[CHANGED ON]]</f>
        <v>14.742928240739275</v>
      </c>
      <c r="M337">
        <f ca="1">qry_ProdData2_PDI_Cash_Exception_Application[[#This Row],[TODAY]]-qry_ProdData2_PDI_Cash_Exception_Application[[#This Row],[CHANGED ON]]</f>
        <v>14.742928240739275</v>
      </c>
      <c r="N337">
        <f ca="1">qry_ProdData2_PDI_Cash_Exception_Application[[#This Row],[TODAY]]-qry_ProdData2_PDI_Cash_Exception_Application[[#This Row],[CHANGED ON]]</f>
        <v>14.742928240739275</v>
      </c>
    </row>
    <row r="338" spans="1:14" x14ac:dyDescent="0.35">
      <c r="A338">
        <v>1019</v>
      </c>
      <c r="B338" t="s">
        <v>73</v>
      </c>
      <c r="C338" s="1">
        <v>45184.257071759261</v>
      </c>
      <c r="D338" t="str">
        <f ca="1">VLOOKUP(qry_ProdData2_PDI_Cash_Exception_Application[[#This Row],[TYPE]],#REF!,2,FALSE)</f>
        <v>type22</v>
      </c>
      <c r="E338">
        <v>409.45</v>
      </c>
      <c r="F338" t="str">
        <f>qry_ProdData2_PDI_Cash_Exception_Application[[#This Row],[ANALYST]]</f>
        <v>Analyst4</v>
      </c>
      <c r="G338" s="1">
        <f>qry_ProdData2_PDI_Cash_Exception_Application[[#This Row],[INSERT DATE]]+5</f>
        <v>45189.257071759261</v>
      </c>
      <c r="H338" t="str">
        <f>VLOOKUP(qry_ProdData2_PDI_Cash_Exception_Application[[#This Row],[MARKET No]],'Site Allocation'!$B$2:$C$37,2,FALSE)</f>
        <v>Analyst4</v>
      </c>
      <c r="I338" s="4">
        <f t="shared" ca="1" si="5"/>
        <v>45203</v>
      </c>
      <c r="J338" s="42">
        <f ca="1">TODAY()-qry_ProdData2_PDI_Cash_Exception_Application[[#This Row],[INSERT DATE]]</f>
        <v>18.742928240739275</v>
      </c>
      <c r="K3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8">
        <f ca="1">qry_ProdData2_PDI_Cash_Exception_Application[[#This Row],[TODAY]]-qry_ProdData2_PDI_Cash_Exception_Application[[#This Row],[CHANGED ON]]</f>
        <v>13.742928240739275</v>
      </c>
      <c r="M338">
        <f ca="1">qry_ProdData2_PDI_Cash_Exception_Application[[#This Row],[TODAY]]-qry_ProdData2_PDI_Cash_Exception_Application[[#This Row],[CHANGED ON]]</f>
        <v>13.742928240739275</v>
      </c>
      <c r="N338">
        <f ca="1">qry_ProdData2_PDI_Cash_Exception_Application[[#This Row],[TODAY]]-qry_ProdData2_PDI_Cash_Exception_Application[[#This Row],[CHANGED ON]]</f>
        <v>13.742928240739275</v>
      </c>
    </row>
    <row r="339" spans="1:14" x14ac:dyDescent="0.35">
      <c r="A339">
        <v>1014</v>
      </c>
      <c r="B339" t="s">
        <v>68</v>
      </c>
      <c r="C339" s="1">
        <v>45185.257071759261</v>
      </c>
      <c r="D339" t="str">
        <f ca="1">VLOOKUP(qry_ProdData2_PDI_Cash_Exception_Application[[#This Row],[TYPE]],#REF!,2,FALSE)</f>
        <v>type40</v>
      </c>
      <c r="E339">
        <v>-303.07</v>
      </c>
      <c r="F339" t="s">
        <v>47</v>
      </c>
      <c r="G339" s="1">
        <f>qry_ProdData2_PDI_Cash_Exception_Application[[#This Row],[INSERT DATE]]+7</f>
        <v>45192.257071759261</v>
      </c>
      <c r="H339" t="str">
        <f>VLOOKUP(qry_ProdData2_PDI_Cash_Exception_Application[[#This Row],[MARKET No]],'Site Allocation'!$B$2:$C$37,2,FALSE)</f>
        <v>Analyst3</v>
      </c>
      <c r="I339" s="4">
        <f t="shared" ca="1" si="5"/>
        <v>45203</v>
      </c>
      <c r="J339" s="42">
        <f ca="1">TODAY()-qry_ProdData2_PDI_Cash_Exception_Application[[#This Row],[INSERT DATE]]</f>
        <v>17.742928240739275</v>
      </c>
      <c r="K3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9">
        <f ca="1">qry_ProdData2_PDI_Cash_Exception_Application[[#This Row],[TODAY]]-qry_ProdData2_PDI_Cash_Exception_Application[[#This Row],[CHANGED ON]]</f>
        <v>10.742928240739275</v>
      </c>
      <c r="M339">
        <f ca="1">qry_ProdData2_PDI_Cash_Exception_Application[[#This Row],[TODAY]]-qry_ProdData2_PDI_Cash_Exception_Application[[#This Row],[CHANGED ON]]</f>
        <v>10.742928240739275</v>
      </c>
      <c r="N339">
        <f ca="1">qry_ProdData2_PDI_Cash_Exception_Application[[#This Row],[TODAY]]-qry_ProdData2_PDI_Cash_Exception_Application[[#This Row],[CHANGED ON]]</f>
        <v>10.742928240739275</v>
      </c>
    </row>
    <row r="340" spans="1:14" x14ac:dyDescent="0.35">
      <c r="A340">
        <v>1024</v>
      </c>
      <c r="B340" t="s">
        <v>78</v>
      </c>
      <c r="C340" s="1">
        <v>45189.257071759261</v>
      </c>
      <c r="D340" t="str">
        <f ca="1">VLOOKUP(qry_ProdData2_PDI_Cash_Exception_Application[[#This Row],[TYPE]],#REF!,2,FALSE)</f>
        <v>type40</v>
      </c>
      <c r="E340">
        <v>647.99</v>
      </c>
      <c r="F340" t="s">
        <v>47</v>
      </c>
      <c r="G340" s="1">
        <f>qry_ProdData2_PDI_Cash_Exception_Application[[#This Row],[INSERT DATE]]+1</f>
        <v>45190.257071759261</v>
      </c>
      <c r="H340" t="str">
        <f>VLOOKUP(qry_ProdData2_PDI_Cash_Exception_Application[[#This Row],[MARKET No]],'Site Allocation'!$B$2:$C$37,2,FALSE)</f>
        <v>Analyst5</v>
      </c>
      <c r="I340" s="4">
        <f t="shared" ca="1" si="5"/>
        <v>45203</v>
      </c>
      <c r="J340" s="42">
        <f ca="1">TODAY()-qry_ProdData2_PDI_Cash_Exception_Application[[#This Row],[INSERT DATE]]</f>
        <v>13.742928240739275</v>
      </c>
      <c r="K3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0">
        <f ca="1">qry_ProdData2_PDI_Cash_Exception_Application[[#This Row],[TODAY]]-qry_ProdData2_PDI_Cash_Exception_Application[[#This Row],[CHANGED ON]]</f>
        <v>12.742928240739275</v>
      </c>
      <c r="M340">
        <f ca="1">qry_ProdData2_PDI_Cash_Exception_Application[[#This Row],[TODAY]]-qry_ProdData2_PDI_Cash_Exception_Application[[#This Row],[CHANGED ON]]</f>
        <v>12.742928240739275</v>
      </c>
      <c r="N340">
        <f ca="1">qry_ProdData2_PDI_Cash_Exception_Application[[#This Row],[TODAY]]-qry_ProdData2_PDI_Cash_Exception_Application[[#This Row],[CHANGED ON]]</f>
        <v>12.742928240739275</v>
      </c>
    </row>
    <row r="341" spans="1:14" x14ac:dyDescent="0.35">
      <c r="A341">
        <v>1007</v>
      </c>
      <c r="B341" t="s">
        <v>61</v>
      </c>
      <c r="C341" s="1">
        <v>45191.257071759261</v>
      </c>
      <c r="D341" t="str">
        <f ca="1">VLOOKUP(qry_ProdData2_PDI_Cash_Exception_Application[[#This Row],[TYPE]],#REF!,2,FALSE)</f>
        <v>type40</v>
      </c>
      <c r="E341">
        <v>-1630.74</v>
      </c>
      <c r="F341" t="s">
        <v>47</v>
      </c>
      <c r="G341" s="1">
        <f>qry_ProdData2_PDI_Cash_Exception_Application[[#This Row],[INSERT DATE]]+1</f>
        <v>45192.257071759261</v>
      </c>
      <c r="H341" t="str">
        <f>VLOOKUP(qry_ProdData2_PDI_Cash_Exception_Application[[#This Row],[MARKET No]],'Site Allocation'!$B$2:$C$37,2,FALSE)</f>
        <v>Analyst2</v>
      </c>
      <c r="I341" s="4">
        <f t="shared" ca="1" si="5"/>
        <v>45203</v>
      </c>
      <c r="J341" s="42">
        <f ca="1">TODAY()-qry_ProdData2_PDI_Cash_Exception_Application[[#This Row],[INSERT DATE]]</f>
        <v>11.742928240739275</v>
      </c>
      <c r="K3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1">
        <f ca="1">qry_ProdData2_PDI_Cash_Exception_Application[[#This Row],[TODAY]]-qry_ProdData2_PDI_Cash_Exception_Application[[#This Row],[CHANGED ON]]</f>
        <v>10.742928240739275</v>
      </c>
      <c r="M341">
        <f ca="1">qry_ProdData2_PDI_Cash_Exception_Application[[#This Row],[TODAY]]-qry_ProdData2_PDI_Cash_Exception_Application[[#This Row],[CHANGED ON]]</f>
        <v>10.742928240739275</v>
      </c>
      <c r="N341">
        <f ca="1">qry_ProdData2_PDI_Cash_Exception_Application[[#This Row],[TODAY]]-qry_ProdData2_PDI_Cash_Exception_Application[[#This Row],[CHANGED ON]]</f>
        <v>10.742928240739275</v>
      </c>
    </row>
    <row r="342" spans="1:14" x14ac:dyDescent="0.35">
      <c r="A342">
        <v>1029</v>
      </c>
      <c r="B342" t="s">
        <v>83</v>
      </c>
      <c r="C342" s="1">
        <v>45182.257071759261</v>
      </c>
      <c r="D342" t="str">
        <f ca="1">VLOOKUP(qry_ProdData2_PDI_Cash_Exception_Application[[#This Row],[TYPE]],#REF!,2,FALSE)</f>
        <v>type18</v>
      </c>
      <c r="E342">
        <v>263828.95</v>
      </c>
      <c r="F342" t="s">
        <v>49</v>
      </c>
      <c r="G342" s="1">
        <f>qry_ProdData2_PDI_Cash_Exception_Application[[#This Row],[INSERT DATE]]+7</f>
        <v>45189.257071759261</v>
      </c>
      <c r="H342" t="str">
        <f>VLOOKUP(qry_ProdData2_PDI_Cash_Exception_Application[[#This Row],[MARKET No]],'Site Allocation'!$B$2:$C$37,2,FALSE)</f>
        <v>Analyst5</v>
      </c>
      <c r="I342" s="4">
        <f t="shared" ca="1" si="5"/>
        <v>45203</v>
      </c>
      <c r="J342" s="42">
        <f ca="1">TODAY()-qry_ProdData2_PDI_Cash_Exception_Application[[#This Row],[INSERT DATE]]</f>
        <v>20.742928240739275</v>
      </c>
      <c r="K3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2">
        <f ca="1">qry_ProdData2_PDI_Cash_Exception_Application[[#This Row],[TODAY]]-qry_ProdData2_PDI_Cash_Exception_Application[[#This Row],[CHANGED ON]]</f>
        <v>13.742928240739275</v>
      </c>
      <c r="M342">
        <f ca="1">qry_ProdData2_PDI_Cash_Exception_Application[[#This Row],[TODAY]]-qry_ProdData2_PDI_Cash_Exception_Application[[#This Row],[CHANGED ON]]</f>
        <v>13.742928240739275</v>
      </c>
      <c r="N342">
        <f ca="1">qry_ProdData2_PDI_Cash_Exception_Application[[#This Row],[TODAY]]-qry_ProdData2_PDI_Cash_Exception_Application[[#This Row],[CHANGED ON]]</f>
        <v>13.742928240739275</v>
      </c>
    </row>
    <row r="343" spans="1:14" x14ac:dyDescent="0.35">
      <c r="A343">
        <v>1019</v>
      </c>
      <c r="B343" t="s">
        <v>73</v>
      </c>
      <c r="C343" s="1">
        <v>45185.257071759261</v>
      </c>
      <c r="D343" t="str">
        <f ca="1">VLOOKUP(qry_ProdData2_PDI_Cash_Exception_Application[[#This Row],[TYPE]],#REF!,2,FALSE)</f>
        <v>type7</v>
      </c>
      <c r="E343">
        <v>-12174.18</v>
      </c>
      <c r="F343" t="s">
        <v>47</v>
      </c>
      <c r="G343" s="1">
        <f>qry_ProdData2_PDI_Cash_Exception_Application[[#This Row],[INSERT DATE]]+1</f>
        <v>45186.257071759261</v>
      </c>
      <c r="H343" t="str">
        <f>VLOOKUP(qry_ProdData2_PDI_Cash_Exception_Application[[#This Row],[MARKET No]],'Site Allocation'!$B$2:$C$37,2,FALSE)</f>
        <v>Analyst4</v>
      </c>
      <c r="I343" s="4">
        <f t="shared" ca="1" si="5"/>
        <v>45203</v>
      </c>
      <c r="J343" s="42">
        <f ca="1">TODAY()-qry_ProdData2_PDI_Cash_Exception_Application[[#This Row],[INSERT DATE]]</f>
        <v>17.742928240739275</v>
      </c>
      <c r="K3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3">
        <f ca="1">qry_ProdData2_PDI_Cash_Exception_Application[[#This Row],[TODAY]]-qry_ProdData2_PDI_Cash_Exception_Application[[#This Row],[CHANGED ON]]</f>
        <v>16.742928240739275</v>
      </c>
      <c r="M343">
        <f ca="1">qry_ProdData2_PDI_Cash_Exception_Application[[#This Row],[TODAY]]-qry_ProdData2_PDI_Cash_Exception_Application[[#This Row],[CHANGED ON]]</f>
        <v>16.742928240739275</v>
      </c>
      <c r="N343">
        <f ca="1">qry_ProdData2_PDI_Cash_Exception_Application[[#This Row],[TODAY]]-qry_ProdData2_PDI_Cash_Exception_Application[[#This Row],[CHANGED ON]]</f>
        <v>16.742928240739275</v>
      </c>
    </row>
    <row r="344" spans="1:14" x14ac:dyDescent="0.35">
      <c r="A344">
        <v>1007</v>
      </c>
      <c r="B344" t="s">
        <v>61</v>
      </c>
      <c r="C344" s="1">
        <v>45192.257071759261</v>
      </c>
      <c r="D344" t="str">
        <f ca="1">VLOOKUP(qry_ProdData2_PDI_Cash_Exception_Application[[#This Row],[TYPE]],#REF!,2,FALSE)</f>
        <v>type31</v>
      </c>
      <c r="E344">
        <v>630.91</v>
      </c>
      <c r="F344" t="s">
        <v>48</v>
      </c>
      <c r="G344" s="1">
        <f>qry_ProdData2_PDI_Cash_Exception_Application[[#This Row],[INSERT DATE]]+7</f>
        <v>45199.257071759261</v>
      </c>
      <c r="H344" t="str">
        <f>VLOOKUP(qry_ProdData2_PDI_Cash_Exception_Application[[#This Row],[MARKET No]],'Site Allocation'!$B$2:$C$37,2,FALSE)</f>
        <v>Analyst2</v>
      </c>
      <c r="I344" s="4">
        <f t="shared" ca="1" si="5"/>
        <v>45203</v>
      </c>
      <c r="J344" s="42">
        <f ca="1">TODAY()-qry_ProdData2_PDI_Cash_Exception_Application[[#This Row],[INSERT DATE]]</f>
        <v>10.742928240739275</v>
      </c>
      <c r="K3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4">
        <f ca="1">qry_ProdData2_PDI_Cash_Exception_Application[[#This Row],[TODAY]]-qry_ProdData2_PDI_Cash_Exception_Application[[#This Row],[CHANGED ON]]</f>
        <v>3.7429282407392748</v>
      </c>
      <c r="M344">
        <f ca="1">qry_ProdData2_PDI_Cash_Exception_Application[[#This Row],[TODAY]]-qry_ProdData2_PDI_Cash_Exception_Application[[#This Row],[CHANGED ON]]</f>
        <v>3.7429282407392748</v>
      </c>
      <c r="N344">
        <f ca="1">qry_ProdData2_PDI_Cash_Exception_Application[[#This Row],[TODAY]]-qry_ProdData2_PDI_Cash_Exception_Application[[#This Row],[CHANGED ON]]</f>
        <v>3.7429282407392748</v>
      </c>
    </row>
    <row r="345" spans="1:14" x14ac:dyDescent="0.35">
      <c r="A345">
        <v>1019</v>
      </c>
      <c r="B345" t="s">
        <v>73</v>
      </c>
      <c r="C345" s="1">
        <v>45179.257071759261</v>
      </c>
      <c r="D345" t="str">
        <f ca="1">VLOOKUP(qry_ProdData2_PDI_Cash_Exception_Application[[#This Row],[TYPE]],#REF!,2,FALSE)</f>
        <v>type40</v>
      </c>
      <c r="E345">
        <v>-379.02</v>
      </c>
      <c r="F345" t="s">
        <v>51</v>
      </c>
      <c r="G345" s="1">
        <f>qry_ProdData2_PDI_Cash_Exception_Application[[#This Row],[INSERT DATE]]+7</f>
        <v>45186.257071759261</v>
      </c>
      <c r="H345" t="str">
        <f>VLOOKUP(qry_ProdData2_PDI_Cash_Exception_Application[[#This Row],[MARKET No]],'Site Allocation'!$B$2:$C$37,2,FALSE)</f>
        <v>Analyst4</v>
      </c>
      <c r="I345" s="4">
        <f t="shared" ca="1" si="5"/>
        <v>45203</v>
      </c>
      <c r="J345" s="42">
        <f ca="1">TODAY()-qry_ProdData2_PDI_Cash_Exception_Application[[#This Row],[INSERT DATE]]</f>
        <v>23.742928240739275</v>
      </c>
      <c r="K3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5">
        <f ca="1">qry_ProdData2_PDI_Cash_Exception_Application[[#This Row],[TODAY]]-qry_ProdData2_PDI_Cash_Exception_Application[[#This Row],[CHANGED ON]]</f>
        <v>16.742928240739275</v>
      </c>
      <c r="M345">
        <f ca="1">qry_ProdData2_PDI_Cash_Exception_Application[[#This Row],[TODAY]]-qry_ProdData2_PDI_Cash_Exception_Application[[#This Row],[CHANGED ON]]</f>
        <v>16.742928240739275</v>
      </c>
      <c r="N345">
        <f ca="1">qry_ProdData2_PDI_Cash_Exception_Application[[#This Row],[TODAY]]-qry_ProdData2_PDI_Cash_Exception_Application[[#This Row],[CHANGED ON]]</f>
        <v>16.742928240739275</v>
      </c>
    </row>
    <row r="346" spans="1:14" x14ac:dyDescent="0.35">
      <c r="A346">
        <v>1012</v>
      </c>
      <c r="B346" t="s">
        <v>66</v>
      </c>
      <c r="C346" s="1">
        <v>45190.257071759261</v>
      </c>
      <c r="D346" t="str">
        <f ca="1">VLOOKUP(qry_ProdData2_PDI_Cash_Exception_Application[[#This Row],[TYPE]],#REF!,2,FALSE)</f>
        <v>type35</v>
      </c>
      <c r="E346">
        <v>2974.65</v>
      </c>
      <c r="F346" t="s">
        <v>49</v>
      </c>
      <c r="G346" s="1">
        <f>qry_ProdData2_PDI_Cash_Exception_Application[[#This Row],[INSERT DATE]]+1</f>
        <v>45191.257071759261</v>
      </c>
      <c r="H346" t="str">
        <f>VLOOKUP(qry_ProdData2_PDI_Cash_Exception_Application[[#This Row],[MARKET No]],'Site Allocation'!$B$2:$C$37,2,FALSE)</f>
        <v>Analyst3</v>
      </c>
      <c r="I346" s="4">
        <f t="shared" ca="1" si="5"/>
        <v>45203</v>
      </c>
      <c r="J346" s="42">
        <f ca="1">TODAY()-qry_ProdData2_PDI_Cash_Exception_Application[[#This Row],[INSERT DATE]]</f>
        <v>12.742928240739275</v>
      </c>
      <c r="K3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6">
        <f ca="1">qry_ProdData2_PDI_Cash_Exception_Application[[#This Row],[TODAY]]-qry_ProdData2_PDI_Cash_Exception_Application[[#This Row],[CHANGED ON]]</f>
        <v>11.742928240739275</v>
      </c>
      <c r="M346">
        <f ca="1">qry_ProdData2_PDI_Cash_Exception_Application[[#This Row],[TODAY]]-qry_ProdData2_PDI_Cash_Exception_Application[[#This Row],[CHANGED ON]]</f>
        <v>11.742928240739275</v>
      </c>
      <c r="N346">
        <f ca="1">qry_ProdData2_PDI_Cash_Exception_Application[[#This Row],[TODAY]]-qry_ProdData2_PDI_Cash_Exception_Application[[#This Row],[CHANGED ON]]</f>
        <v>11.742928240739275</v>
      </c>
    </row>
    <row r="347" spans="1:14" x14ac:dyDescent="0.35">
      <c r="A347">
        <v>1016</v>
      </c>
      <c r="B347" t="s">
        <v>70</v>
      </c>
      <c r="C347" s="1">
        <v>45186.257071759261</v>
      </c>
      <c r="D347" t="str">
        <f ca="1">VLOOKUP(qry_ProdData2_PDI_Cash_Exception_Application[[#This Row],[TYPE]],#REF!,2,FALSE)</f>
        <v>type23</v>
      </c>
      <c r="E347">
        <v>346.4</v>
      </c>
      <c r="F347" t="s">
        <v>48</v>
      </c>
      <c r="G347" s="1">
        <f>qry_ProdData2_PDI_Cash_Exception_Application[[#This Row],[INSERT DATE]]+7</f>
        <v>45193.257071759261</v>
      </c>
      <c r="H347" t="str">
        <f>VLOOKUP(qry_ProdData2_PDI_Cash_Exception_Application[[#This Row],[MARKET No]],'Site Allocation'!$B$2:$C$37,2,FALSE)</f>
        <v>Analyst3</v>
      </c>
      <c r="I347" s="4">
        <f t="shared" ca="1" si="5"/>
        <v>45203</v>
      </c>
      <c r="J347" s="42">
        <f ca="1">TODAY()-qry_ProdData2_PDI_Cash_Exception_Application[[#This Row],[INSERT DATE]]</f>
        <v>16.742928240739275</v>
      </c>
      <c r="K3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7">
        <f ca="1">qry_ProdData2_PDI_Cash_Exception_Application[[#This Row],[TODAY]]-qry_ProdData2_PDI_Cash_Exception_Application[[#This Row],[CHANGED ON]]</f>
        <v>9.7429282407392748</v>
      </c>
      <c r="M347">
        <f ca="1">qry_ProdData2_PDI_Cash_Exception_Application[[#This Row],[TODAY]]-qry_ProdData2_PDI_Cash_Exception_Application[[#This Row],[CHANGED ON]]</f>
        <v>9.7429282407392748</v>
      </c>
      <c r="N347">
        <f ca="1">qry_ProdData2_PDI_Cash_Exception_Application[[#This Row],[TODAY]]-qry_ProdData2_PDI_Cash_Exception_Application[[#This Row],[CHANGED ON]]</f>
        <v>9.7429282407392748</v>
      </c>
    </row>
    <row r="348" spans="1:14" x14ac:dyDescent="0.35">
      <c r="A348">
        <v>1018</v>
      </c>
      <c r="B348" t="s">
        <v>72</v>
      </c>
      <c r="C348" s="1">
        <v>45190.257071759261</v>
      </c>
      <c r="D348" t="str">
        <f ca="1">VLOOKUP(qry_ProdData2_PDI_Cash_Exception_Application[[#This Row],[TYPE]],#REF!,2,FALSE)</f>
        <v>type8</v>
      </c>
      <c r="E348">
        <v>58.5</v>
      </c>
      <c r="F348" t="s">
        <v>47</v>
      </c>
      <c r="G348" s="1">
        <f>qry_ProdData2_PDI_Cash_Exception_Application[[#This Row],[INSERT DATE]]+2</f>
        <v>45192.257071759261</v>
      </c>
      <c r="H348" t="str">
        <f>VLOOKUP(qry_ProdData2_PDI_Cash_Exception_Application[[#This Row],[MARKET No]],'Site Allocation'!$B$2:$C$37,2,FALSE)</f>
        <v>Analyst4</v>
      </c>
      <c r="I348" s="4">
        <f t="shared" ca="1" si="5"/>
        <v>45203</v>
      </c>
      <c r="J348" s="42">
        <f ca="1">TODAY()-qry_ProdData2_PDI_Cash_Exception_Application[[#This Row],[INSERT DATE]]</f>
        <v>12.742928240739275</v>
      </c>
      <c r="K3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8">
        <f ca="1">qry_ProdData2_PDI_Cash_Exception_Application[[#This Row],[TODAY]]-qry_ProdData2_PDI_Cash_Exception_Application[[#This Row],[CHANGED ON]]</f>
        <v>10.742928240739275</v>
      </c>
      <c r="M348">
        <f ca="1">qry_ProdData2_PDI_Cash_Exception_Application[[#This Row],[TODAY]]-qry_ProdData2_PDI_Cash_Exception_Application[[#This Row],[CHANGED ON]]</f>
        <v>10.742928240739275</v>
      </c>
      <c r="N348">
        <f ca="1">qry_ProdData2_PDI_Cash_Exception_Application[[#This Row],[TODAY]]-qry_ProdData2_PDI_Cash_Exception_Application[[#This Row],[CHANGED ON]]</f>
        <v>10.742928240739275</v>
      </c>
    </row>
    <row r="349" spans="1:14" x14ac:dyDescent="0.35">
      <c r="A349">
        <v>1030</v>
      </c>
      <c r="B349" t="s">
        <v>84</v>
      </c>
      <c r="C349" s="1">
        <v>45191.257071759261</v>
      </c>
      <c r="D349" t="str">
        <f ca="1">VLOOKUP(qry_ProdData2_PDI_Cash_Exception_Application[[#This Row],[TYPE]],#REF!,2,FALSE)</f>
        <v>type27</v>
      </c>
      <c r="E349">
        <v>714122.31</v>
      </c>
      <c r="F349" t="str">
        <f>qry_ProdData2_PDI_Cash_Exception_Application[[#This Row],[ANALYST]]</f>
        <v>Analyst6</v>
      </c>
      <c r="G349" s="1">
        <f>qry_ProdData2_PDI_Cash_Exception_Application[[#This Row],[INSERT DATE]]+7</f>
        <v>45198.257071759261</v>
      </c>
      <c r="H349" t="str">
        <f>VLOOKUP(qry_ProdData2_PDI_Cash_Exception_Application[[#This Row],[MARKET No]],'Site Allocation'!$B$2:$C$37,2,FALSE)</f>
        <v>Analyst6</v>
      </c>
      <c r="I349" s="4">
        <f t="shared" ca="1" si="5"/>
        <v>45203</v>
      </c>
      <c r="J349" s="42">
        <f ca="1">TODAY()-qry_ProdData2_PDI_Cash_Exception_Application[[#This Row],[INSERT DATE]]</f>
        <v>11.742928240739275</v>
      </c>
      <c r="K3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9">
        <f ca="1">qry_ProdData2_PDI_Cash_Exception_Application[[#This Row],[TODAY]]-qry_ProdData2_PDI_Cash_Exception_Application[[#This Row],[CHANGED ON]]</f>
        <v>4.7429282407392748</v>
      </c>
      <c r="M349">
        <f ca="1">qry_ProdData2_PDI_Cash_Exception_Application[[#This Row],[TODAY]]-qry_ProdData2_PDI_Cash_Exception_Application[[#This Row],[CHANGED ON]]</f>
        <v>4.7429282407392748</v>
      </c>
      <c r="N349">
        <f ca="1">qry_ProdData2_PDI_Cash_Exception_Application[[#This Row],[TODAY]]-qry_ProdData2_PDI_Cash_Exception_Application[[#This Row],[CHANGED ON]]</f>
        <v>4.7429282407392748</v>
      </c>
    </row>
    <row r="350" spans="1:14" x14ac:dyDescent="0.35">
      <c r="A350">
        <v>1012</v>
      </c>
      <c r="B350" t="s">
        <v>66</v>
      </c>
      <c r="C350" s="1">
        <v>45187.257071759261</v>
      </c>
      <c r="D350" t="str">
        <f ca="1">VLOOKUP(qry_ProdData2_PDI_Cash_Exception_Application[[#This Row],[TYPE]],#REF!,2,FALSE)</f>
        <v>type40</v>
      </c>
      <c r="E350">
        <v>217.79</v>
      </c>
      <c r="F350" t="s">
        <v>48</v>
      </c>
      <c r="G350" s="1">
        <f>qry_ProdData2_PDI_Cash_Exception_Application[[#This Row],[INSERT DATE]]+1</f>
        <v>45188.257071759261</v>
      </c>
      <c r="H350" t="str">
        <f>VLOOKUP(qry_ProdData2_PDI_Cash_Exception_Application[[#This Row],[MARKET No]],'Site Allocation'!$B$2:$C$37,2,FALSE)</f>
        <v>Analyst3</v>
      </c>
      <c r="I350" s="4">
        <f t="shared" ca="1" si="5"/>
        <v>45203</v>
      </c>
      <c r="J350" s="42">
        <f ca="1">TODAY()-qry_ProdData2_PDI_Cash_Exception_Application[[#This Row],[INSERT DATE]]</f>
        <v>15.742928240739275</v>
      </c>
      <c r="K3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0">
        <f ca="1">qry_ProdData2_PDI_Cash_Exception_Application[[#This Row],[TODAY]]-qry_ProdData2_PDI_Cash_Exception_Application[[#This Row],[CHANGED ON]]</f>
        <v>14.742928240739275</v>
      </c>
      <c r="M350">
        <f ca="1">qry_ProdData2_PDI_Cash_Exception_Application[[#This Row],[TODAY]]-qry_ProdData2_PDI_Cash_Exception_Application[[#This Row],[CHANGED ON]]</f>
        <v>14.742928240739275</v>
      </c>
      <c r="N350">
        <f ca="1">qry_ProdData2_PDI_Cash_Exception_Application[[#This Row],[TODAY]]-qry_ProdData2_PDI_Cash_Exception_Application[[#This Row],[CHANGED ON]]</f>
        <v>14.742928240739275</v>
      </c>
    </row>
    <row r="351" spans="1:14" x14ac:dyDescent="0.35">
      <c r="A351">
        <v>1031</v>
      </c>
      <c r="B351" t="s">
        <v>85</v>
      </c>
      <c r="C351" s="1">
        <v>45181.257071759261</v>
      </c>
      <c r="D351" t="str">
        <f ca="1">VLOOKUP(qry_ProdData2_PDI_Cash_Exception_Application[[#This Row],[TYPE]],#REF!,2,FALSE)</f>
        <v>type41</v>
      </c>
      <c r="E351">
        <v>458.5</v>
      </c>
      <c r="F351" t="s">
        <v>48</v>
      </c>
      <c r="G351" s="1">
        <f>qry_ProdData2_PDI_Cash_Exception_Application[[#This Row],[INSERT DATE]]+2</f>
        <v>45183.257071759261</v>
      </c>
      <c r="H351" t="str">
        <f>VLOOKUP(qry_ProdData2_PDI_Cash_Exception_Application[[#This Row],[MARKET No]],'Site Allocation'!$B$2:$C$37,2,FALSE)</f>
        <v>Analyst6</v>
      </c>
      <c r="I351" s="4">
        <f t="shared" ca="1" si="5"/>
        <v>45203</v>
      </c>
      <c r="J351" s="42">
        <f ca="1">TODAY()-qry_ProdData2_PDI_Cash_Exception_Application[[#This Row],[INSERT DATE]]</f>
        <v>21.742928240739275</v>
      </c>
      <c r="K3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1">
        <f ca="1">qry_ProdData2_PDI_Cash_Exception_Application[[#This Row],[TODAY]]-qry_ProdData2_PDI_Cash_Exception_Application[[#This Row],[CHANGED ON]]</f>
        <v>19.742928240739275</v>
      </c>
      <c r="M351">
        <f ca="1">qry_ProdData2_PDI_Cash_Exception_Application[[#This Row],[TODAY]]-qry_ProdData2_PDI_Cash_Exception_Application[[#This Row],[CHANGED ON]]</f>
        <v>19.742928240739275</v>
      </c>
      <c r="N351">
        <f ca="1">qry_ProdData2_PDI_Cash_Exception_Application[[#This Row],[TODAY]]-qry_ProdData2_PDI_Cash_Exception_Application[[#This Row],[CHANGED ON]]</f>
        <v>19.742928240739275</v>
      </c>
    </row>
    <row r="352" spans="1:14" x14ac:dyDescent="0.35">
      <c r="A352">
        <v>1020</v>
      </c>
      <c r="B352" t="s">
        <v>74</v>
      </c>
      <c r="C352" s="1">
        <v>45192.257071759261</v>
      </c>
      <c r="D352" t="str">
        <f ca="1">VLOOKUP(qry_ProdData2_PDI_Cash_Exception_Application[[#This Row],[TYPE]],#REF!,2,FALSE)</f>
        <v>type17</v>
      </c>
      <c r="E352">
        <v>415.09</v>
      </c>
      <c r="F352" t="s">
        <v>47</v>
      </c>
      <c r="G352" s="1">
        <f>qry_ProdData2_PDI_Cash_Exception_Application[[#This Row],[INSERT DATE]]+2</f>
        <v>45194.257071759261</v>
      </c>
      <c r="H352" t="str">
        <f>VLOOKUP(qry_ProdData2_PDI_Cash_Exception_Application[[#This Row],[MARKET No]],'Site Allocation'!$B$2:$C$37,2,FALSE)</f>
        <v>Analyst4</v>
      </c>
      <c r="I352" s="4">
        <f t="shared" ca="1" si="5"/>
        <v>45203</v>
      </c>
      <c r="J352" s="42">
        <f ca="1">TODAY()-qry_ProdData2_PDI_Cash_Exception_Application[[#This Row],[INSERT DATE]]</f>
        <v>10.742928240739275</v>
      </c>
      <c r="K3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2">
        <f ca="1">qry_ProdData2_PDI_Cash_Exception_Application[[#This Row],[TODAY]]-qry_ProdData2_PDI_Cash_Exception_Application[[#This Row],[CHANGED ON]]</f>
        <v>8.7429282407392748</v>
      </c>
      <c r="M352">
        <f ca="1">qry_ProdData2_PDI_Cash_Exception_Application[[#This Row],[TODAY]]-qry_ProdData2_PDI_Cash_Exception_Application[[#This Row],[CHANGED ON]]</f>
        <v>8.7429282407392748</v>
      </c>
      <c r="N352">
        <f ca="1">qry_ProdData2_PDI_Cash_Exception_Application[[#This Row],[TODAY]]-qry_ProdData2_PDI_Cash_Exception_Application[[#This Row],[CHANGED ON]]</f>
        <v>8.7429282407392748</v>
      </c>
    </row>
    <row r="353" spans="1:14" x14ac:dyDescent="0.35">
      <c r="A353">
        <v>1013</v>
      </c>
      <c r="B353" t="s">
        <v>67</v>
      </c>
      <c r="C353" s="1">
        <v>45180.257071759261</v>
      </c>
      <c r="D353" t="str">
        <f ca="1">VLOOKUP(qry_ProdData2_PDI_Cash_Exception_Application[[#This Row],[TYPE]],#REF!,2,FALSE)</f>
        <v>type40</v>
      </c>
      <c r="E353">
        <v>-358.48</v>
      </c>
      <c r="F353" t="s">
        <v>51</v>
      </c>
      <c r="G353" s="1">
        <f>qry_ProdData2_PDI_Cash_Exception_Application[[#This Row],[INSERT DATE]]+7</f>
        <v>45187.257071759261</v>
      </c>
      <c r="H353" t="str">
        <f>VLOOKUP(qry_ProdData2_PDI_Cash_Exception_Application[[#This Row],[MARKET No]],'Site Allocation'!$B$2:$C$37,2,FALSE)</f>
        <v>Analyst3</v>
      </c>
      <c r="I353" s="4">
        <f t="shared" ca="1" si="5"/>
        <v>45203</v>
      </c>
      <c r="J353" s="42">
        <f ca="1">TODAY()-qry_ProdData2_PDI_Cash_Exception_Application[[#This Row],[INSERT DATE]]</f>
        <v>22.742928240739275</v>
      </c>
      <c r="K3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3">
        <f ca="1">qry_ProdData2_PDI_Cash_Exception_Application[[#This Row],[TODAY]]-qry_ProdData2_PDI_Cash_Exception_Application[[#This Row],[CHANGED ON]]</f>
        <v>15.742928240739275</v>
      </c>
      <c r="M353">
        <f ca="1">qry_ProdData2_PDI_Cash_Exception_Application[[#This Row],[TODAY]]-qry_ProdData2_PDI_Cash_Exception_Application[[#This Row],[CHANGED ON]]</f>
        <v>15.742928240739275</v>
      </c>
      <c r="N353">
        <f ca="1">qry_ProdData2_PDI_Cash_Exception_Application[[#This Row],[TODAY]]-qry_ProdData2_PDI_Cash_Exception_Application[[#This Row],[CHANGED ON]]</f>
        <v>15.742928240739275</v>
      </c>
    </row>
    <row r="354" spans="1:14" x14ac:dyDescent="0.35">
      <c r="A354">
        <v>1027</v>
      </c>
      <c r="B354" t="s">
        <v>81</v>
      </c>
      <c r="C354" s="1">
        <v>45184.257071759261</v>
      </c>
      <c r="D354" t="str">
        <f ca="1">VLOOKUP(qry_ProdData2_PDI_Cash_Exception_Application[[#This Row],[TYPE]],#REF!,2,FALSE)</f>
        <v>type35</v>
      </c>
      <c r="E354">
        <v>955.61</v>
      </c>
      <c r="F354" t="s">
        <v>48</v>
      </c>
      <c r="G354" s="1">
        <f>qry_ProdData2_PDI_Cash_Exception_Application[[#This Row],[INSERT DATE]]+2</f>
        <v>45186.257071759261</v>
      </c>
      <c r="H354" t="str">
        <f>VLOOKUP(qry_ProdData2_PDI_Cash_Exception_Application[[#This Row],[MARKET No]],'Site Allocation'!$B$2:$C$37,2,FALSE)</f>
        <v>Analyst5</v>
      </c>
      <c r="I354" s="4">
        <f t="shared" ca="1" si="5"/>
        <v>45203</v>
      </c>
      <c r="J354" s="42">
        <f ca="1">TODAY()-qry_ProdData2_PDI_Cash_Exception_Application[[#This Row],[INSERT DATE]]</f>
        <v>18.742928240739275</v>
      </c>
      <c r="K3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4">
        <f ca="1">qry_ProdData2_PDI_Cash_Exception_Application[[#This Row],[TODAY]]-qry_ProdData2_PDI_Cash_Exception_Application[[#This Row],[CHANGED ON]]</f>
        <v>16.742928240739275</v>
      </c>
      <c r="M354">
        <f ca="1">qry_ProdData2_PDI_Cash_Exception_Application[[#This Row],[TODAY]]-qry_ProdData2_PDI_Cash_Exception_Application[[#This Row],[CHANGED ON]]</f>
        <v>16.742928240739275</v>
      </c>
      <c r="N354">
        <f ca="1">qry_ProdData2_PDI_Cash_Exception_Application[[#This Row],[TODAY]]-qry_ProdData2_PDI_Cash_Exception_Application[[#This Row],[CHANGED ON]]</f>
        <v>16.742928240739275</v>
      </c>
    </row>
    <row r="355" spans="1:14" x14ac:dyDescent="0.35">
      <c r="A355">
        <v>1006</v>
      </c>
      <c r="B355" t="s">
        <v>60</v>
      </c>
      <c r="C355" s="1">
        <v>45191.257071759261</v>
      </c>
      <c r="D355" t="str">
        <f ca="1">VLOOKUP(qry_ProdData2_PDI_Cash_Exception_Application[[#This Row],[TYPE]],#REF!,2,FALSE)</f>
        <v>type13</v>
      </c>
      <c r="E355">
        <v>42171.82</v>
      </c>
      <c r="F355" t="s">
        <v>49</v>
      </c>
      <c r="G355" s="1">
        <f>qry_ProdData2_PDI_Cash_Exception_Application[[#This Row],[INSERT DATE]]+1</f>
        <v>45192.257071759261</v>
      </c>
      <c r="H355" t="str">
        <f>VLOOKUP(qry_ProdData2_PDI_Cash_Exception_Application[[#This Row],[MARKET No]],'Site Allocation'!$B$2:$C$37,2,FALSE)</f>
        <v>Analyst2</v>
      </c>
      <c r="I355" s="4">
        <f t="shared" ca="1" si="5"/>
        <v>45203</v>
      </c>
      <c r="J355" s="42">
        <f ca="1">TODAY()-qry_ProdData2_PDI_Cash_Exception_Application[[#This Row],[INSERT DATE]]</f>
        <v>11.742928240739275</v>
      </c>
      <c r="K3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5">
        <f ca="1">qry_ProdData2_PDI_Cash_Exception_Application[[#This Row],[TODAY]]-qry_ProdData2_PDI_Cash_Exception_Application[[#This Row],[CHANGED ON]]</f>
        <v>10.742928240739275</v>
      </c>
      <c r="M355">
        <f ca="1">qry_ProdData2_PDI_Cash_Exception_Application[[#This Row],[TODAY]]-qry_ProdData2_PDI_Cash_Exception_Application[[#This Row],[CHANGED ON]]</f>
        <v>10.742928240739275</v>
      </c>
      <c r="N355">
        <f ca="1">qry_ProdData2_PDI_Cash_Exception_Application[[#This Row],[TODAY]]-qry_ProdData2_PDI_Cash_Exception_Application[[#This Row],[CHANGED ON]]</f>
        <v>10.742928240739275</v>
      </c>
    </row>
    <row r="356" spans="1:14" x14ac:dyDescent="0.35">
      <c r="A356">
        <v>1033</v>
      </c>
      <c r="B356" t="s">
        <v>87</v>
      </c>
      <c r="C356" s="1">
        <v>45188.257071759261</v>
      </c>
      <c r="D356" t="str">
        <f ca="1">VLOOKUP(qry_ProdData2_PDI_Cash_Exception_Application[[#This Row],[TYPE]],#REF!,2,FALSE)</f>
        <v>type42</v>
      </c>
      <c r="E356">
        <v>16503.330000000002</v>
      </c>
      <c r="F356" t="s">
        <v>49</v>
      </c>
      <c r="G356" s="1">
        <f>qry_ProdData2_PDI_Cash_Exception_Application[[#This Row],[INSERT DATE]]+2</f>
        <v>45190.257071759261</v>
      </c>
      <c r="H356" t="str">
        <f>VLOOKUP(qry_ProdData2_PDI_Cash_Exception_Application[[#This Row],[MARKET No]],'Site Allocation'!$B$2:$C$37,2,FALSE)</f>
        <v>Analyst6</v>
      </c>
      <c r="I356" s="4">
        <f t="shared" ca="1" si="5"/>
        <v>45203</v>
      </c>
      <c r="J356" s="42">
        <f ca="1">TODAY()-qry_ProdData2_PDI_Cash_Exception_Application[[#This Row],[INSERT DATE]]</f>
        <v>14.742928240739275</v>
      </c>
      <c r="K3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6">
        <f ca="1">qry_ProdData2_PDI_Cash_Exception_Application[[#This Row],[TODAY]]-qry_ProdData2_PDI_Cash_Exception_Application[[#This Row],[CHANGED ON]]</f>
        <v>12.742928240739275</v>
      </c>
      <c r="M356">
        <f ca="1">qry_ProdData2_PDI_Cash_Exception_Application[[#This Row],[TODAY]]-qry_ProdData2_PDI_Cash_Exception_Application[[#This Row],[CHANGED ON]]</f>
        <v>12.742928240739275</v>
      </c>
      <c r="N356">
        <f ca="1">qry_ProdData2_PDI_Cash_Exception_Application[[#This Row],[TODAY]]-qry_ProdData2_PDI_Cash_Exception_Application[[#This Row],[CHANGED ON]]</f>
        <v>12.742928240739275</v>
      </c>
    </row>
    <row r="357" spans="1:14" x14ac:dyDescent="0.35">
      <c r="A357">
        <v>1014</v>
      </c>
      <c r="B357" t="s">
        <v>68</v>
      </c>
      <c r="C357" s="1">
        <v>45184.257071759261</v>
      </c>
      <c r="D357" t="str">
        <f ca="1">VLOOKUP(qry_ProdData2_PDI_Cash_Exception_Application[[#This Row],[TYPE]],#REF!,2,FALSE)</f>
        <v>type40</v>
      </c>
      <c r="E357">
        <v>350.91</v>
      </c>
      <c r="F357" t="s">
        <v>48</v>
      </c>
      <c r="G357" s="1">
        <f>qry_ProdData2_PDI_Cash_Exception_Application[[#This Row],[INSERT DATE]]+7</f>
        <v>45191.257071759261</v>
      </c>
      <c r="H357" t="str">
        <f>VLOOKUP(qry_ProdData2_PDI_Cash_Exception_Application[[#This Row],[MARKET No]],'Site Allocation'!$B$2:$C$37,2,FALSE)</f>
        <v>Analyst3</v>
      </c>
      <c r="I357" s="4">
        <f t="shared" ca="1" si="5"/>
        <v>45203</v>
      </c>
      <c r="J357" s="42">
        <f ca="1">TODAY()-qry_ProdData2_PDI_Cash_Exception_Application[[#This Row],[INSERT DATE]]</f>
        <v>18.742928240739275</v>
      </c>
      <c r="K3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7">
        <f ca="1">qry_ProdData2_PDI_Cash_Exception_Application[[#This Row],[TODAY]]-qry_ProdData2_PDI_Cash_Exception_Application[[#This Row],[CHANGED ON]]</f>
        <v>11.742928240739275</v>
      </c>
      <c r="M357">
        <f ca="1">qry_ProdData2_PDI_Cash_Exception_Application[[#This Row],[TODAY]]-qry_ProdData2_PDI_Cash_Exception_Application[[#This Row],[CHANGED ON]]</f>
        <v>11.742928240739275</v>
      </c>
      <c r="N357">
        <f ca="1">qry_ProdData2_PDI_Cash_Exception_Application[[#This Row],[TODAY]]-qry_ProdData2_PDI_Cash_Exception_Application[[#This Row],[CHANGED ON]]</f>
        <v>11.742928240739275</v>
      </c>
    </row>
    <row r="358" spans="1:14" x14ac:dyDescent="0.35">
      <c r="A358">
        <v>1024</v>
      </c>
      <c r="B358" t="s">
        <v>78</v>
      </c>
      <c r="C358" s="1">
        <v>45189.257071759261</v>
      </c>
      <c r="D358" t="str">
        <f ca="1">VLOOKUP(qry_ProdData2_PDI_Cash_Exception_Application[[#This Row],[TYPE]],#REF!,2,FALSE)</f>
        <v>type13</v>
      </c>
      <c r="E358">
        <v>22332.11</v>
      </c>
      <c r="F358" t="s">
        <v>48</v>
      </c>
      <c r="G358" s="1">
        <f>qry_ProdData2_PDI_Cash_Exception_Application[[#This Row],[INSERT DATE]]+7</f>
        <v>45196.257071759261</v>
      </c>
      <c r="H358" t="str">
        <f>VLOOKUP(qry_ProdData2_PDI_Cash_Exception_Application[[#This Row],[MARKET No]],'Site Allocation'!$B$2:$C$37,2,FALSE)</f>
        <v>Analyst5</v>
      </c>
      <c r="I358" s="4">
        <f t="shared" ca="1" si="5"/>
        <v>45203</v>
      </c>
      <c r="J358" s="42">
        <f ca="1">TODAY()-qry_ProdData2_PDI_Cash_Exception_Application[[#This Row],[INSERT DATE]]</f>
        <v>13.742928240739275</v>
      </c>
      <c r="K3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8">
        <f ca="1">qry_ProdData2_PDI_Cash_Exception_Application[[#This Row],[TODAY]]-qry_ProdData2_PDI_Cash_Exception_Application[[#This Row],[CHANGED ON]]</f>
        <v>6.7429282407392748</v>
      </c>
      <c r="M358">
        <f ca="1">qry_ProdData2_PDI_Cash_Exception_Application[[#This Row],[TODAY]]-qry_ProdData2_PDI_Cash_Exception_Application[[#This Row],[CHANGED ON]]</f>
        <v>6.7429282407392748</v>
      </c>
      <c r="N358">
        <f ca="1">qry_ProdData2_PDI_Cash_Exception_Application[[#This Row],[TODAY]]-qry_ProdData2_PDI_Cash_Exception_Application[[#This Row],[CHANGED ON]]</f>
        <v>6.7429282407392748</v>
      </c>
    </row>
    <row r="359" spans="1:14" x14ac:dyDescent="0.35">
      <c r="A359">
        <v>1020</v>
      </c>
      <c r="B359" t="s">
        <v>74</v>
      </c>
      <c r="C359" s="1">
        <v>45185.257071759261</v>
      </c>
      <c r="D359" t="str">
        <f ca="1">VLOOKUP(qry_ProdData2_PDI_Cash_Exception_Application[[#This Row],[TYPE]],#REF!,2,FALSE)</f>
        <v>type48</v>
      </c>
      <c r="E359">
        <v>-1140.8599999999999</v>
      </c>
      <c r="F359" t="s">
        <v>51</v>
      </c>
      <c r="G359" s="1">
        <f>qry_ProdData2_PDI_Cash_Exception_Application[[#This Row],[INSERT DATE]]+7</f>
        <v>45192.257071759261</v>
      </c>
      <c r="H359" t="str">
        <f>VLOOKUP(qry_ProdData2_PDI_Cash_Exception_Application[[#This Row],[MARKET No]],'Site Allocation'!$B$2:$C$37,2,FALSE)</f>
        <v>Analyst4</v>
      </c>
      <c r="I359" s="4">
        <f t="shared" ca="1" si="5"/>
        <v>45203</v>
      </c>
      <c r="J359" s="42">
        <f ca="1">TODAY()-qry_ProdData2_PDI_Cash_Exception_Application[[#This Row],[INSERT DATE]]</f>
        <v>17.742928240739275</v>
      </c>
      <c r="K3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9">
        <f ca="1">qry_ProdData2_PDI_Cash_Exception_Application[[#This Row],[TODAY]]-qry_ProdData2_PDI_Cash_Exception_Application[[#This Row],[CHANGED ON]]</f>
        <v>10.742928240739275</v>
      </c>
      <c r="M359">
        <f ca="1">qry_ProdData2_PDI_Cash_Exception_Application[[#This Row],[TODAY]]-qry_ProdData2_PDI_Cash_Exception_Application[[#This Row],[CHANGED ON]]</f>
        <v>10.742928240739275</v>
      </c>
      <c r="N359">
        <f ca="1">qry_ProdData2_PDI_Cash_Exception_Application[[#This Row],[TODAY]]-qry_ProdData2_PDI_Cash_Exception_Application[[#This Row],[CHANGED ON]]</f>
        <v>10.742928240739275</v>
      </c>
    </row>
    <row r="360" spans="1:14" x14ac:dyDescent="0.35">
      <c r="A360">
        <v>1018</v>
      </c>
      <c r="B360" t="s">
        <v>72</v>
      </c>
      <c r="C360" s="1">
        <v>45181.257071759261</v>
      </c>
      <c r="D360" t="str">
        <f ca="1">VLOOKUP(qry_ProdData2_PDI_Cash_Exception_Application[[#This Row],[TYPE]],#REF!,2,FALSE)</f>
        <v>type16</v>
      </c>
      <c r="E360">
        <v>3227</v>
      </c>
      <c r="F360" t="s">
        <v>47</v>
      </c>
      <c r="G360" s="1">
        <f>qry_ProdData2_PDI_Cash_Exception_Application[[#This Row],[INSERT DATE]]+2</f>
        <v>45183.257071759261</v>
      </c>
      <c r="H360" t="str">
        <f>VLOOKUP(qry_ProdData2_PDI_Cash_Exception_Application[[#This Row],[MARKET No]],'Site Allocation'!$B$2:$C$37,2,FALSE)</f>
        <v>Analyst4</v>
      </c>
      <c r="I360" s="4">
        <f t="shared" ca="1" si="5"/>
        <v>45203</v>
      </c>
      <c r="J360" s="42">
        <f ca="1">TODAY()-qry_ProdData2_PDI_Cash_Exception_Application[[#This Row],[INSERT DATE]]</f>
        <v>21.742928240739275</v>
      </c>
      <c r="K3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0">
        <f ca="1">qry_ProdData2_PDI_Cash_Exception_Application[[#This Row],[TODAY]]-qry_ProdData2_PDI_Cash_Exception_Application[[#This Row],[CHANGED ON]]</f>
        <v>19.742928240739275</v>
      </c>
      <c r="M360">
        <f ca="1">qry_ProdData2_PDI_Cash_Exception_Application[[#This Row],[TODAY]]-qry_ProdData2_PDI_Cash_Exception_Application[[#This Row],[CHANGED ON]]</f>
        <v>19.742928240739275</v>
      </c>
      <c r="N360">
        <f ca="1">qry_ProdData2_PDI_Cash_Exception_Application[[#This Row],[TODAY]]-qry_ProdData2_PDI_Cash_Exception_Application[[#This Row],[CHANGED ON]]</f>
        <v>19.742928240739275</v>
      </c>
    </row>
    <row r="361" spans="1:14" x14ac:dyDescent="0.35">
      <c r="A361">
        <v>1005</v>
      </c>
      <c r="B361" t="s">
        <v>59</v>
      </c>
      <c r="C361" s="1">
        <v>45182.257071759261</v>
      </c>
      <c r="D361" t="str">
        <f ca="1">VLOOKUP(qry_ProdData2_PDI_Cash_Exception_Application[[#This Row],[TYPE]],#REF!,2,FALSE)</f>
        <v>type40</v>
      </c>
      <c r="E361">
        <v>416.23</v>
      </c>
      <c r="F361" t="s">
        <v>48</v>
      </c>
      <c r="G361" s="1">
        <f>qry_ProdData2_PDI_Cash_Exception_Application[[#This Row],[INSERT DATE]]+7</f>
        <v>45189.257071759261</v>
      </c>
      <c r="H361" t="str">
        <f>VLOOKUP(qry_ProdData2_PDI_Cash_Exception_Application[[#This Row],[MARKET No]],'Site Allocation'!$B$2:$C$37,2,FALSE)</f>
        <v>Analyst1</v>
      </c>
      <c r="I361" s="4">
        <f t="shared" ca="1" si="5"/>
        <v>45203</v>
      </c>
      <c r="J361" s="42">
        <f ca="1">TODAY()-qry_ProdData2_PDI_Cash_Exception_Application[[#This Row],[INSERT DATE]]</f>
        <v>20.742928240739275</v>
      </c>
      <c r="K3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1">
        <f ca="1">qry_ProdData2_PDI_Cash_Exception_Application[[#This Row],[TODAY]]-qry_ProdData2_PDI_Cash_Exception_Application[[#This Row],[CHANGED ON]]</f>
        <v>13.742928240739275</v>
      </c>
      <c r="M361">
        <f ca="1">qry_ProdData2_PDI_Cash_Exception_Application[[#This Row],[TODAY]]-qry_ProdData2_PDI_Cash_Exception_Application[[#This Row],[CHANGED ON]]</f>
        <v>13.742928240739275</v>
      </c>
      <c r="N361">
        <f ca="1">qry_ProdData2_PDI_Cash_Exception_Application[[#This Row],[TODAY]]-qry_ProdData2_PDI_Cash_Exception_Application[[#This Row],[CHANGED ON]]</f>
        <v>13.742928240739275</v>
      </c>
    </row>
    <row r="362" spans="1:14" x14ac:dyDescent="0.35">
      <c r="A362">
        <v>1024</v>
      </c>
      <c r="B362" t="s">
        <v>78</v>
      </c>
      <c r="C362" s="1">
        <v>45190.257071759261</v>
      </c>
      <c r="D362" t="str">
        <f ca="1">VLOOKUP(qry_ProdData2_PDI_Cash_Exception_Application[[#This Row],[TYPE]],#REF!,2,FALSE)</f>
        <v>type13</v>
      </c>
      <c r="E362">
        <v>26525.279999999999</v>
      </c>
      <c r="F362" t="s">
        <v>48</v>
      </c>
      <c r="G362" s="1">
        <f>qry_ProdData2_PDI_Cash_Exception_Application[[#This Row],[INSERT DATE]]+7</f>
        <v>45197.257071759261</v>
      </c>
      <c r="H362" t="str">
        <f>VLOOKUP(qry_ProdData2_PDI_Cash_Exception_Application[[#This Row],[MARKET No]],'Site Allocation'!$B$2:$C$37,2,FALSE)</f>
        <v>Analyst5</v>
      </c>
      <c r="I362" s="4">
        <f t="shared" ca="1" si="5"/>
        <v>45203</v>
      </c>
      <c r="J362" s="42">
        <f ca="1">TODAY()-qry_ProdData2_PDI_Cash_Exception_Application[[#This Row],[INSERT DATE]]</f>
        <v>12.742928240739275</v>
      </c>
      <c r="K3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2">
        <f ca="1">qry_ProdData2_PDI_Cash_Exception_Application[[#This Row],[TODAY]]-qry_ProdData2_PDI_Cash_Exception_Application[[#This Row],[CHANGED ON]]</f>
        <v>5.7429282407392748</v>
      </c>
      <c r="M362">
        <f ca="1">qry_ProdData2_PDI_Cash_Exception_Application[[#This Row],[TODAY]]-qry_ProdData2_PDI_Cash_Exception_Application[[#This Row],[CHANGED ON]]</f>
        <v>5.7429282407392748</v>
      </c>
      <c r="N362">
        <f ca="1">qry_ProdData2_PDI_Cash_Exception_Application[[#This Row],[TODAY]]-qry_ProdData2_PDI_Cash_Exception_Application[[#This Row],[CHANGED ON]]</f>
        <v>5.7429282407392748</v>
      </c>
    </row>
    <row r="363" spans="1:14" x14ac:dyDescent="0.35">
      <c r="A363">
        <v>1013</v>
      </c>
      <c r="B363" t="s">
        <v>67</v>
      </c>
      <c r="C363" s="1">
        <v>45189.257071759261</v>
      </c>
      <c r="D363" t="str">
        <f ca="1">VLOOKUP(qry_ProdData2_PDI_Cash_Exception_Application[[#This Row],[TYPE]],#REF!,2,FALSE)</f>
        <v>type13</v>
      </c>
      <c r="E363">
        <v>32781.199999999997</v>
      </c>
      <c r="F363" t="s">
        <v>47</v>
      </c>
      <c r="G363" s="1">
        <f>qry_ProdData2_PDI_Cash_Exception_Application[[#This Row],[INSERT DATE]]+5</f>
        <v>45194.257071759261</v>
      </c>
      <c r="H363" t="str">
        <f>VLOOKUP(qry_ProdData2_PDI_Cash_Exception_Application[[#This Row],[MARKET No]],'Site Allocation'!$B$2:$C$37,2,FALSE)</f>
        <v>Analyst3</v>
      </c>
      <c r="I363" s="4">
        <f t="shared" ca="1" si="5"/>
        <v>45203</v>
      </c>
      <c r="J363" s="42">
        <f ca="1">TODAY()-qry_ProdData2_PDI_Cash_Exception_Application[[#This Row],[INSERT DATE]]</f>
        <v>13.742928240739275</v>
      </c>
      <c r="K3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3">
        <f ca="1">qry_ProdData2_PDI_Cash_Exception_Application[[#This Row],[TODAY]]-qry_ProdData2_PDI_Cash_Exception_Application[[#This Row],[CHANGED ON]]</f>
        <v>8.7429282407392748</v>
      </c>
      <c r="M363">
        <f ca="1">qry_ProdData2_PDI_Cash_Exception_Application[[#This Row],[TODAY]]-qry_ProdData2_PDI_Cash_Exception_Application[[#This Row],[CHANGED ON]]</f>
        <v>8.7429282407392748</v>
      </c>
      <c r="N363">
        <f ca="1">qry_ProdData2_PDI_Cash_Exception_Application[[#This Row],[TODAY]]-qry_ProdData2_PDI_Cash_Exception_Application[[#This Row],[CHANGED ON]]</f>
        <v>8.7429282407392748</v>
      </c>
    </row>
    <row r="364" spans="1:14" x14ac:dyDescent="0.35">
      <c r="A364">
        <v>1024</v>
      </c>
      <c r="B364" t="s">
        <v>78</v>
      </c>
      <c r="C364" s="1">
        <v>45192.257071759261</v>
      </c>
      <c r="D364" t="str">
        <f ca="1">VLOOKUP(qry_ProdData2_PDI_Cash_Exception_Application[[#This Row],[TYPE]],#REF!,2,FALSE)</f>
        <v>type40</v>
      </c>
      <c r="E364">
        <v>680.57</v>
      </c>
      <c r="F364" t="s">
        <v>49</v>
      </c>
      <c r="G364" s="1">
        <f>qry_ProdData2_PDI_Cash_Exception_Application[[#This Row],[INSERT DATE]]+2</f>
        <v>45194.257071759261</v>
      </c>
      <c r="H364" t="str">
        <f>VLOOKUP(qry_ProdData2_PDI_Cash_Exception_Application[[#This Row],[MARKET No]],'Site Allocation'!$B$2:$C$37,2,FALSE)</f>
        <v>Analyst5</v>
      </c>
      <c r="I364" s="4">
        <f t="shared" ca="1" si="5"/>
        <v>45203</v>
      </c>
      <c r="J364" s="42">
        <f ca="1">TODAY()-qry_ProdData2_PDI_Cash_Exception_Application[[#This Row],[INSERT DATE]]</f>
        <v>10.742928240739275</v>
      </c>
      <c r="K3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4">
        <f ca="1">qry_ProdData2_PDI_Cash_Exception_Application[[#This Row],[TODAY]]-qry_ProdData2_PDI_Cash_Exception_Application[[#This Row],[CHANGED ON]]</f>
        <v>8.7429282407392748</v>
      </c>
      <c r="M364">
        <f ca="1">qry_ProdData2_PDI_Cash_Exception_Application[[#This Row],[TODAY]]-qry_ProdData2_PDI_Cash_Exception_Application[[#This Row],[CHANGED ON]]</f>
        <v>8.7429282407392748</v>
      </c>
      <c r="N364">
        <f ca="1">qry_ProdData2_PDI_Cash_Exception_Application[[#This Row],[TODAY]]-qry_ProdData2_PDI_Cash_Exception_Application[[#This Row],[CHANGED ON]]</f>
        <v>8.7429282407392748</v>
      </c>
    </row>
    <row r="365" spans="1:14" x14ac:dyDescent="0.35">
      <c r="A365">
        <v>1019</v>
      </c>
      <c r="B365" t="s">
        <v>73</v>
      </c>
      <c r="C365" s="1">
        <v>45190.257071759261</v>
      </c>
      <c r="D365" t="str">
        <f ca="1">VLOOKUP(qry_ProdData2_PDI_Cash_Exception_Application[[#This Row],[TYPE]],#REF!,2,FALSE)</f>
        <v>type13</v>
      </c>
      <c r="E365">
        <v>43578.96</v>
      </c>
      <c r="F365" t="s">
        <v>47</v>
      </c>
      <c r="G365" s="1">
        <f>qry_ProdData2_PDI_Cash_Exception_Application[[#This Row],[INSERT DATE]]+5</f>
        <v>45195.257071759261</v>
      </c>
      <c r="H365" t="str">
        <f>VLOOKUP(qry_ProdData2_PDI_Cash_Exception_Application[[#This Row],[MARKET No]],'Site Allocation'!$B$2:$C$37,2,FALSE)</f>
        <v>Analyst4</v>
      </c>
      <c r="I365" s="4">
        <f t="shared" ca="1" si="5"/>
        <v>45203</v>
      </c>
      <c r="J365" s="42">
        <f ca="1">TODAY()-qry_ProdData2_PDI_Cash_Exception_Application[[#This Row],[INSERT DATE]]</f>
        <v>12.742928240739275</v>
      </c>
      <c r="K3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5">
        <f ca="1">qry_ProdData2_PDI_Cash_Exception_Application[[#This Row],[TODAY]]-qry_ProdData2_PDI_Cash_Exception_Application[[#This Row],[CHANGED ON]]</f>
        <v>7.7429282407392748</v>
      </c>
      <c r="M365">
        <f ca="1">qry_ProdData2_PDI_Cash_Exception_Application[[#This Row],[TODAY]]-qry_ProdData2_PDI_Cash_Exception_Application[[#This Row],[CHANGED ON]]</f>
        <v>7.7429282407392748</v>
      </c>
      <c r="N365">
        <f ca="1">qry_ProdData2_PDI_Cash_Exception_Application[[#This Row],[TODAY]]-qry_ProdData2_PDI_Cash_Exception_Application[[#This Row],[CHANGED ON]]</f>
        <v>7.7429282407392748</v>
      </c>
    </row>
    <row r="366" spans="1:14" x14ac:dyDescent="0.35">
      <c r="A366">
        <v>1028</v>
      </c>
      <c r="B366" t="s">
        <v>82</v>
      </c>
      <c r="C366" s="1">
        <v>45183.257071759261</v>
      </c>
      <c r="D366" t="str">
        <f ca="1">VLOOKUP(qry_ProdData2_PDI_Cash_Exception_Application[[#This Row],[TYPE]],#REF!,2,FALSE)</f>
        <v>type10</v>
      </c>
      <c r="E366">
        <v>24.63</v>
      </c>
      <c r="F366" t="s">
        <v>49</v>
      </c>
      <c r="G366" s="1">
        <f>qry_ProdData2_PDI_Cash_Exception_Application[[#This Row],[INSERT DATE]]+2</f>
        <v>45185.257071759261</v>
      </c>
      <c r="H366" t="str">
        <f>VLOOKUP(qry_ProdData2_PDI_Cash_Exception_Application[[#This Row],[MARKET No]],'Site Allocation'!$B$2:$C$37,2,FALSE)</f>
        <v>Analyst5</v>
      </c>
      <c r="I366" s="4">
        <f t="shared" ca="1" si="5"/>
        <v>45203</v>
      </c>
      <c r="J366" s="42">
        <f ca="1">TODAY()-qry_ProdData2_PDI_Cash_Exception_Application[[#This Row],[INSERT DATE]]</f>
        <v>19.742928240739275</v>
      </c>
      <c r="K3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6">
        <f ca="1">qry_ProdData2_PDI_Cash_Exception_Application[[#This Row],[TODAY]]-qry_ProdData2_PDI_Cash_Exception_Application[[#This Row],[CHANGED ON]]</f>
        <v>17.742928240739275</v>
      </c>
      <c r="M366">
        <f ca="1">qry_ProdData2_PDI_Cash_Exception_Application[[#This Row],[TODAY]]-qry_ProdData2_PDI_Cash_Exception_Application[[#This Row],[CHANGED ON]]</f>
        <v>17.742928240739275</v>
      </c>
      <c r="N366">
        <f ca="1">qry_ProdData2_PDI_Cash_Exception_Application[[#This Row],[TODAY]]-qry_ProdData2_PDI_Cash_Exception_Application[[#This Row],[CHANGED ON]]</f>
        <v>17.742928240739275</v>
      </c>
    </row>
    <row r="367" spans="1:14" x14ac:dyDescent="0.35">
      <c r="A367">
        <v>1034</v>
      </c>
      <c r="B367" t="s">
        <v>88</v>
      </c>
      <c r="C367" s="1">
        <v>45188.257071759261</v>
      </c>
      <c r="D367" t="str">
        <f ca="1">VLOOKUP(qry_ProdData2_PDI_Cash_Exception_Application[[#This Row],[TYPE]],#REF!,2,FALSE)</f>
        <v>type40</v>
      </c>
      <c r="E367">
        <v>-536.4</v>
      </c>
      <c r="F367" t="s">
        <v>47</v>
      </c>
      <c r="G367" s="1">
        <f>qry_ProdData2_PDI_Cash_Exception_Application[[#This Row],[INSERT DATE]]+7</f>
        <v>45195.257071759261</v>
      </c>
      <c r="H367" t="str">
        <f>VLOOKUP(qry_ProdData2_PDI_Cash_Exception_Application[[#This Row],[MARKET No]],'Site Allocation'!$B$2:$C$37,2,FALSE)</f>
        <v>Analyst6</v>
      </c>
      <c r="I367" s="4">
        <f t="shared" ca="1" si="5"/>
        <v>45203</v>
      </c>
      <c r="J367" s="42">
        <f ca="1">TODAY()-qry_ProdData2_PDI_Cash_Exception_Application[[#This Row],[INSERT DATE]]</f>
        <v>14.742928240739275</v>
      </c>
      <c r="K3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7">
        <f ca="1">qry_ProdData2_PDI_Cash_Exception_Application[[#This Row],[TODAY]]-qry_ProdData2_PDI_Cash_Exception_Application[[#This Row],[CHANGED ON]]</f>
        <v>7.7429282407392748</v>
      </c>
      <c r="M367">
        <f ca="1">qry_ProdData2_PDI_Cash_Exception_Application[[#This Row],[TODAY]]-qry_ProdData2_PDI_Cash_Exception_Application[[#This Row],[CHANGED ON]]</f>
        <v>7.7429282407392748</v>
      </c>
      <c r="N367">
        <f ca="1">qry_ProdData2_PDI_Cash_Exception_Application[[#This Row],[TODAY]]-qry_ProdData2_PDI_Cash_Exception_Application[[#This Row],[CHANGED ON]]</f>
        <v>7.7429282407392748</v>
      </c>
    </row>
    <row r="368" spans="1:14" x14ac:dyDescent="0.35">
      <c r="A368">
        <v>1008</v>
      </c>
      <c r="B368" t="s">
        <v>62</v>
      </c>
      <c r="C368" s="1">
        <v>45190.257071759261</v>
      </c>
      <c r="D368" t="str">
        <f ca="1">VLOOKUP(qry_ProdData2_PDI_Cash_Exception_Application[[#This Row],[TYPE]],#REF!,2,FALSE)</f>
        <v>type40</v>
      </c>
      <c r="E368">
        <v>-5135.8999999999996</v>
      </c>
      <c r="F368" t="s">
        <v>47</v>
      </c>
      <c r="G368" s="1">
        <f>qry_ProdData2_PDI_Cash_Exception_Application[[#This Row],[INSERT DATE]]+1</f>
        <v>45191.257071759261</v>
      </c>
      <c r="H368" t="str">
        <f>VLOOKUP(qry_ProdData2_PDI_Cash_Exception_Application[[#This Row],[MARKET No]],'Site Allocation'!$B$2:$C$37,2,FALSE)</f>
        <v>Analyst2</v>
      </c>
      <c r="I368" s="4">
        <f t="shared" ca="1" si="5"/>
        <v>45203</v>
      </c>
      <c r="J368" s="42">
        <f ca="1">TODAY()-qry_ProdData2_PDI_Cash_Exception_Application[[#This Row],[INSERT DATE]]</f>
        <v>12.742928240739275</v>
      </c>
      <c r="K3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8">
        <f ca="1">qry_ProdData2_PDI_Cash_Exception_Application[[#This Row],[TODAY]]-qry_ProdData2_PDI_Cash_Exception_Application[[#This Row],[CHANGED ON]]</f>
        <v>11.742928240739275</v>
      </c>
      <c r="M368">
        <f ca="1">qry_ProdData2_PDI_Cash_Exception_Application[[#This Row],[TODAY]]-qry_ProdData2_PDI_Cash_Exception_Application[[#This Row],[CHANGED ON]]</f>
        <v>11.742928240739275</v>
      </c>
      <c r="N368">
        <f ca="1">qry_ProdData2_PDI_Cash_Exception_Application[[#This Row],[TODAY]]-qry_ProdData2_PDI_Cash_Exception_Application[[#This Row],[CHANGED ON]]</f>
        <v>11.742928240739275</v>
      </c>
    </row>
    <row r="369" spans="1:14" x14ac:dyDescent="0.35">
      <c r="A369">
        <v>1009</v>
      </c>
      <c r="B369" t="s">
        <v>63</v>
      </c>
      <c r="C369" s="1">
        <v>45186.257071759261</v>
      </c>
      <c r="D369" t="str">
        <f ca="1">VLOOKUP(qry_ProdData2_PDI_Cash_Exception_Application[[#This Row],[TYPE]],#REF!,2,FALSE)</f>
        <v>type40</v>
      </c>
      <c r="E369">
        <v>7.11</v>
      </c>
      <c r="F369" t="s">
        <v>51</v>
      </c>
      <c r="G369" s="1">
        <f>qry_ProdData2_PDI_Cash_Exception_Application[[#This Row],[INSERT DATE]]+1</f>
        <v>45187.257071759261</v>
      </c>
      <c r="H369" t="str">
        <f>VLOOKUP(qry_ProdData2_PDI_Cash_Exception_Application[[#This Row],[MARKET No]],'Site Allocation'!$B$2:$C$37,2,FALSE)</f>
        <v>Analyst2</v>
      </c>
      <c r="I369" s="4">
        <f t="shared" ca="1" si="5"/>
        <v>45203</v>
      </c>
      <c r="J369" s="42">
        <f ca="1">TODAY()-qry_ProdData2_PDI_Cash_Exception_Application[[#This Row],[INSERT DATE]]</f>
        <v>16.742928240739275</v>
      </c>
      <c r="K3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9">
        <f ca="1">qry_ProdData2_PDI_Cash_Exception_Application[[#This Row],[TODAY]]-qry_ProdData2_PDI_Cash_Exception_Application[[#This Row],[CHANGED ON]]</f>
        <v>15.742928240739275</v>
      </c>
      <c r="M369">
        <f ca="1">qry_ProdData2_PDI_Cash_Exception_Application[[#This Row],[TODAY]]-qry_ProdData2_PDI_Cash_Exception_Application[[#This Row],[CHANGED ON]]</f>
        <v>15.742928240739275</v>
      </c>
      <c r="N369">
        <f ca="1">qry_ProdData2_PDI_Cash_Exception_Application[[#This Row],[TODAY]]-qry_ProdData2_PDI_Cash_Exception_Application[[#This Row],[CHANGED ON]]</f>
        <v>15.742928240739275</v>
      </c>
    </row>
    <row r="370" spans="1:14" x14ac:dyDescent="0.35">
      <c r="A370">
        <v>1016</v>
      </c>
      <c r="B370" t="s">
        <v>70</v>
      </c>
      <c r="C370" s="1">
        <v>45189.257071759261</v>
      </c>
      <c r="D370" t="str">
        <f ca="1">VLOOKUP(qry_ProdData2_PDI_Cash_Exception_Application[[#This Row],[TYPE]],#REF!,2,FALSE)</f>
        <v>type33</v>
      </c>
      <c r="E370">
        <v>439.35</v>
      </c>
      <c r="F370" t="s">
        <v>51</v>
      </c>
      <c r="G370" s="1">
        <f>qry_ProdData2_PDI_Cash_Exception_Application[[#This Row],[INSERT DATE]]+1</f>
        <v>45190.257071759261</v>
      </c>
      <c r="H370" t="str">
        <f>VLOOKUP(qry_ProdData2_PDI_Cash_Exception_Application[[#This Row],[MARKET No]],'Site Allocation'!$B$2:$C$37,2,FALSE)</f>
        <v>Analyst3</v>
      </c>
      <c r="I370" s="4">
        <f t="shared" ca="1" si="5"/>
        <v>45203</v>
      </c>
      <c r="J370" s="42">
        <f ca="1">TODAY()-qry_ProdData2_PDI_Cash_Exception_Application[[#This Row],[INSERT DATE]]</f>
        <v>13.742928240739275</v>
      </c>
      <c r="K3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0">
        <f ca="1">qry_ProdData2_PDI_Cash_Exception_Application[[#This Row],[TODAY]]-qry_ProdData2_PDI_Cash_Exception_Application[[#This Row],[CHANGED ON]]</f>
        <v>12.742928240739275</v>
      </c>
      <c r="M370">
        <f ca="1">qry_ProdData2_PDI_Cash_Exception_Application[[#This Row],[TODAY]]-qry_ProdData2_PDI_Cash_Exception_Application[[#This Row],[CHANGED ON]]</f>
        <v>12.742928240739275</v>
      </c>
      <c r="N370">
        <f ca="1">qry_ProdData2_PDI_Cash_Exception_Application[[#This Row],[TODAY]]-qry_ProdData2_PDI_Cash_Exception_Application[[#This Row],[CHANGED ON]]</f>
        <v>12.742928240739275</v>
      </c>
    </row>
    <row r="371" spans="1:14" x14ac:dyDescent="0.35">
      <c r="A371">
        <v>1009</v>
      </c>
      <c r="B371" t="s">
        <v>63</v>
      </c>
      <c r="C371" s="1">
        <v>45185.257071759261</v>
      </c>
      <c r="D371" t="str">
        <f ca="1">VLOOKUP(qry_ProdData2_PDI_Cash_Exception_Application[[#This Row],[TYPE]],#REF!,2,FALSE)</f>
        <v>type40</v>
      </c>
      <c r="E371">
        <v>50</v>
      </c>
      <c r="F371" t="s">
        <v>51</v>
      </c>
      <c r="G371" s="1">
        <f>qry_ProdData2_PDI_Cash_Exception_Application[[#This Row],[INSERT DATE]]+1</f>
        <v>45186.257071759261</v>
      </c>
      <c r="H371" t="str">
        <f>VLOOKUP(qry_ProdData2_PDI_Cash_Exception_Application[[#This Row],[MARKET No]],'Site Allocation'!$B$2:$C$37,2,FALSE)</f>
        <v>Analyst2</v>
      </c>
      <c r="I371" s="4">
        <f t="shared" ca="1" si="5"/>
        <v>45203</v>
      </c>
      <c r="J371" s="42">
        <f ca="1">TODAY()-qry_ProdData2_PDI_Cash_Exception_Application[[#This Row],[INSERT DATE]]</f>
        <v>17.742928240739275</v>
      </c>
      <c r="K3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1">
        <f ca="1">qry_ProdData2_PDI_Cash_Exception_Application[[#This Row],[TODAY]]-qry_ProdData2_PDI_Cash_Exception_Application[[#This Row],[CHANGED ON]]</f>
        <v>16.742928240739275</v>
      </c>
      <c r="M371">
        <f ca="1">qry_ProdData2_PDI_Cash_Exception_Application[[#This Row],[TODAY]]-qry_ProdData2_PDI_Cash_Exception_Application[[#This Row],[CHANGED ON]]</f>
        <v>16.742928240739275</v>
      </c>
      <c r="N371">
        <f ca="1">qry_ProdData2_PDI_Cash_Exception_Application[[#This Row],[TODAY]]-qry_ProdData2_PDI_Cash_Exception_Application[[#This Row],[CHANGED ON]]</f>
        <v>16.742928240739275</v>
      </c>
    </row>
    <row r="372" spans="1:14" x14ac:dyDescent="0.35">
      <c r="A372">
        <v>1032</v>
      </c>
      <c r="B372" t="s">
        <v>86</v>
      </c>
      <c r="C372" s="1">
        <v>45179.257071759261</v>
      </c>
      <c r="D372" t="str">
        <f ca="1">VLOOKUP(qry_ProdData2_PDI_Cash_Exception_Application[[#This Row],[TYPE]],#REF!,2,FALSE)</f>
        <v>type40</v>
      </c>
      <c r="E372">
        <v>256.92</v>
      </c>
      <c r="F372" t="s">
        <v>50</v>
      </c>
      <c r="G372" s="1">
        <f>qry_ProdData2_PDI_Cash_Exception_Application[[#This Row],[INSERT DATE]]+1</f>
        <v>45180.257071759261</v>
      </c>
      <c r="H372" t="str">
        <f>VLOOKUP(qry_ProdData2_PDI_Cash_Exception_Application[[#This Row],[MARKET No]],'Site Allocation'!$B$2:$C$37,2,FALSE)</f>
        <v>Analyst6</v>
      </c>
      <c r="I372" s="4">
        <f t="shared" ca="1" si="5"/>
        <v>45203</v>
      </c>
      <c r="J372" s="42">
        <f ca="1">TODAY()-qry_ProdData2_PDI_Cash_Exception_Application[[#This Row],[INSERT DATE]]</f>
        <v>23.742928240739275</v>
      </c>
      <c r="K3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2">
        <f ca="1">qry_ProdData2_PDI_Cash_Exception_Application[[#This Row],[TODAY]]-qry_ProdData2_PDI_Cash_Exception_Application[[#This Row],[CHANGED ON]]</f>
        <v>22.742928240739275</v>
      </c>
      <c r="M372">
        <f ca="1">qry_ProdData2_PDI_Cash_Exception_Application[[#This Row],[TODAY]]-qry_ProdData2_PDI_Cash_Exception_Application[[#This Row],[CHANGED ON]]</f>
        <v>22.742928240739275</v>
      </c>
      <c r="N372">
        <f ca="1">qry_ProdData2_PDI_Cash_Exception_Application[[#This Row],[TODAY]]-qry_ProdData2_PDI_Cash_Exception_Application[[#This Row],[CHANGED ON]]</f>
        <v>22.742928240739275</v>
      </c>
    </row>
    <row r="373" spans="1:14" x14ac:dyDescent="0.35">
      <c r="A373">
        <v>1025</v>
      </c>
      <c r="B373" t="s">
        <v>79</v>
      </c>
      <c r="C373" s="1">
        <v>45180.257071759261</v>
      </c>
      <c r="D373" t="str">
        <f ca="1">VLOOKUP(qry_ProdData2_PDI_Cash_Exception_Application[[#This Row],[TYPE]],#REF!,2,FALSE)</f>
        <v>type40</v>
      </c>
      <c r="E373">
        <v>184.76</v>
      </c>
      <c r="F373" t="s">
        <v>50</v>
      </c>
      <c r="G373" s="1">
        <f>qry_ProdData2_PDI_Cash_Exception_Application[[#This Row],[INSERT DATE]]+1</f>
        <v>45181.257071759261</v>
      </c>
      <c r="H373" t="str">
        <f>VLOOKUP(qry_ProdData2_PDI_Cash_Exception_Application[[#This Row],[MARKET No]],'Site Allocation'!$B$2:$C$37,2,FALSE)</f>
        <v>Analyst5</v>
      </c>
      <c r="I373" s="4">
        <f t="shared" ca="1" si="5"/>
        <v>45203</v>
      </c>
      <c r="J373" s="42">
        <f ca="1">TODAY()-qry_ProdData2_PDI_Cash_Exception_Application[[#This Row],[INSERT DATE]]</f>
        <v>22.742928240739275</v>
      </c>
      <c r="K3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3">
        <f ca="1">qry_ProdData2_PDI_Cash_Exception_Application[[#This Row],[TODAY]]-qry_ProdData2_PDI_Cash_Exception_Application[[#This Row],[CHANGED ON]]</f>
        <v>21.742928240739275</v>
      </c>
      <c r="M373">
        <f ca="1">qry_ProdData2_PDI_Cash_Exception_Application[[#This Row],[TODAY]]-qry_ProdData2_PDI_Cash_Exception_Application[[#This Row],[CHANGED ON]]</f>
        <v>21.742928240739275</v>
      </c>
      <c r="N373">
        <f ca="1">qry_ProdData2_PDI_Cash_Exception_Application[[#This Row],[TODAY]]-qry_ProdData2_PDI_Cash_Exception_Application[[#This Row],[CHANGED ON]]</f>
        <v>21.742928240739275</v>
      </c>
    </row>
    <row r="374" spans="1:14" x14ac:dyDescent="0.35">
      <c r="A374">
        <v>1032</v>
      </c>
      <c r="B374" t="s">
        <v>86</v>
      </c>
      <c r="C374" s="1">
        <v>45192.257071759261</v>
      </c>
      <c r="D374" t="str">
        <f ca="1">VLOOKUP(qry_ProdData2_PDI_Cash_Exception_Application[[#This Row],[TYPE]],#REF!,2,FALSE)</f>
        <v>type13</v>
      </c>
      <c r="E374">
        <v>42834.75</v>
      </c>
      <c r="F374" t="s">
        <v>48</v>
      </c>
      <c r="G374" s="1">
        <f>qry_ProdData2_PDI_Cash_Exception_Application[[#This Row],[INSERT DATE]]+7</f>
        <v>45199.257071759261</v>
      </c>
      <c r="H374" t="str">
        <f>VLOOKUP(qry_ProdData2_PDI_Cash_Exception_Application[[#This Row],[MARKET No]],'Site Allocation'!$B$2:$C$37,2,FALSE)</f>
        <v>Analyst6</v>
      </c>
      <c r="I374" s="4">
        <f t="shared" ca="1" si="5"/>
        <v>45203</v>
      </c>
      <c r="J374" s="42">
        <f ca="1">TODAY()-qry_ProdData2_PDI_Cash_Exception_Application[[#This Row],[INSERT DATE]]</f>
        <v>10.742928240739275</v>
      </c>
      <c r="K3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4">
        <f ca="1">qry_ProdData2_PDI_Cash_Exception_Application[[#This Row],[TODAY]]-qry_ProdData2_PDI_Cash_Exception_Application[[#This Row],[CHANGED ON]]</f>
        <v>3.7429282407392748</v>
      </c>
      <c r="M374">
        <f ca="1">qry_ProdData2_PDI_Cash_Exception_Application[[#This Row],[TODAY]]-qry_ProdData2_PDI_Cash_Exception_Application[[#This Row],[CHANGED ON]]</f>
        <v>3.7429282407392748</v>
      </c>
      <c r="N374">
        <f ca="1">qry_ProdData2_PDI_Cash_Exception_Application[[#This Row],[TODAY]]-qry_ProdData2_PDI_Cash_Exception_Application[[#This Row],[CHANGED ON]]</f>
        <v>3.7429282407392748</v>
      </c>
    </row>
    <row r="375" spans="1:14" x14ac:dyDescent="0.35">
      <c r="A375">
        <v>1021</v>
      </c>
      <c r="B375" t="s">
        <v>75</v>
      </c>
      <c r="C375" s="1">
        <v>45184.257071759261</v>
      </c>
      <c r="D375" t="str">
        <f ca="1">VLOOKUP(qry_ProdData2_PDI_Cash_Exception_Application[[#This Row],[TYPE]],#REF!,2,FALSE)</f>
        <v>type26</v>
      </c>
      <c r="E375">
        <v>143.9</v>
      </c>
      <c r="F375" t="s">
        <v>49</v>
      </c>
      <c r="G375" s="1">
        <f>qry_ProdData2_PDI_Cash_Exception_Application[[#This Row],[INSERT DATE]]+2</f>
        <v>45186.257071759261</v>
      </c>
      <c r="H375" t="str">
        <f>VLOOKUP(qry_ProdData2_PDI_Cash_Exception_Application[[#This Row],[MARKET No]],'Site Allocation'!$B$2:$C$37,2,FALSE)</f>
        <v>Analyst4</v>
      </c>
      <c r="I375" s="4">
        <f t="shared" ca="1" si="5"/>
        <v>45203</v>
      </c>
      <c r="J375" s="42">
        <f ca="1">TODAY()-qry_ProdData2_PDI_Cash_Exception_Application[[#This Row],[INSERT DATE]]</f>
        <v>18.742928240739275</v>
      </c>
      <c r="K3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5">
        <f ca="1">qry_ProdData2_PDI_Cash_Exception_Application[[#This Row],[TODAY]]-qry_ProdData2_PDI_Cash_Exception_Application[[#This Row],[CHANGED ON]]</f>
        <v>16.742928240739275</v>
      </c>
      <c r="M375">
        <f ca="1">qry_ProdData2_PDI_Cash_Exception_Application[[#This Row],[TODAY]]-qry_ProdData2_PDI_Cash_Exception_Application[[#This Row],[CHANGED ON]]</f>
        <v>16.742928240739275</v>
      </c>
      <c r="N375">
        <f ca="1">qry_ProdData2_PDI_Cash_Exception_Application[[#This Row],[TODAY]]-qry_ProdData2_PDI_Cash_Exception_Application[[#This Row],[CHANGED ON]]</f>
        <v>16.742928240739275</v>
      </c>
    </row>
    <row r="376" spans="1:14" x14ac:dyDescent="0.35">
      <c r="A376">
        <v>1034</v>
      </c>
      <c r="B376" t="s">
        <v>88</v>
      </c>
      <c r="C376" s="1">
        <v>45182.257071759261</v>
      </c>
      <c r="D376" t="str">
        <f ca="1">VLOOKUP(qry_ProdData2_PDI_Cash_Exception_Application[[#This Row],[TYPE]],#REF!,2,FALSE)</f>
        <v>type35</v>
      </c>
      <c r="E376">
        <v>2980.32</v>
      </c>
      <c r="F376" t="str">
        <f>qry_ProdData2_PDI_Cash_Exception_Application[[#This Row],[ANALYST]]</f>
        <v>Analyst6</v>
      </c>
      <c r="G376" s="1">
        <f>qry_ProdData2_PDI_Cash_Exception_Application[[#This Row],[INSERT DATE]]+1</f>
        <v>45183.257071759261</v>
      </c>
      <c r="H376" t="str">
        <f>VLOOKUP(qry_ProdData2_PDI_Cash_Exception_Application[[#This Row],[MARKET No]],'Site Allocation'!$B$2:$C$37,2,FALSE)</f>
        <v>Analyst6</v>
      </c>
      <c r="I376" s="4">
        <f t="shared" ca="1" si="5"/>
        <v>45203</v>
      </c>
      <c r="J376" s="42">
        <f ca="1">TODAY()-qry_ProdData2_PDI_Cash_Exception_Application[[#This Row],[INSERT DATE]]</f>
        <v>20.742928240739275</v>
      </c>
      <c r="K3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6">
        <f ca="1">qry_ProdData2_PDI_Cash_Exception_Application[[#This Row],[TODAY]]-qry_ProdData2_PDI_Cash_Exception_Application[[#This Row],[CHANGED ON]]</f>
        <v>19.742928240739275</v>
      </c>
      <c r="M376">
        <f ca="1">qry_ProdData2_PDI_Cash_Exception_Application[[#This Row],[TODAY]]-qry_ProdData2_PDI_Cash_Exception_Application[[#This Row],[CHANGED ON]]</f>
        <v>19.742928240739275</v>
      </c>
      <c r="N376">
        <f ca="1">qry_ProdData2_PDI_Cash_Exception_Application[[#This Row],[TODAY]]-qry_ProdData2_PDI_Cash_Exception_Application[[#This Row],[CHANGED ON]]</f>
        <v>19.742928240739275</v>
      </c>
    </row>
    <row r="377" spans="1:14" x14ac:dyDescent="0.35">
      <c r="A377">
        <v>1002</v>
      </c>
      <c r="B377" t="s">
        <v>56</v>
      </c>
      <c r="C377" s="1">
        <v>45191.257071759261</v>
      </c>
      <c r="D377" t="str">
        <f ca="1">VLOOKUP(qry_ProdData2_PDI_Cash_Exception_Application[[#This Row],[TYPE]],#REF!,2,FALSE)</f>
        <v>type40</v>
      </c>
      <c r="E377">
        <v>348.03</v>
      </c>
      <c r="F377" t="s">
        <v>47</v>
      </c>
      <c r="G377" s="1">
        <f>qry_ProdData2_PDI_Cash_Exception_Application[[#This Row],[INSERT DATE]]+1</f>
        <v>45192.257071759261</v>
      </c>
      <c r="H377" t="str">
        <f>VLOOKUP(qry_ProdData2_PDI_Cash_Exception_Application[[#This Row],[MARKET No]],'Site Allocation'!$B$2:$C$37,2,FALSE)</f>
        <v>Analyst1</v>
      </c>
      <c r="I377" s="4">
        <f t="shared" ca="1" si="5"/>
        <v>45203</v>
      </c>
      <c r="J377" s="42">
        <f ca="1">TODAY()-qry_ProdData2_PDI_Cash_Exception_Application[[#This Row],[INSERT DATE]]</f>
        <v>11.742928240739275</v>
      </c>
      <c r="K3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7">
        <f ca="1">qry_ProdData2_PDI_Cash_Exception_Application[[#This Row],[TODAY]]-qry_ProdData2_PDI_Cash_Exception_Application[[#This Row],[CHANGED ON]]</f>
        <v>10.742928240739275</v>
      </c>
      <c r="M377">
        <f ca="1">qry_ProdData2_PDI_Cash_Exception_Application[[#This Row],[TODAY]]-qry_ProdData2_PDI_Cash_Exception_Application[[#This Row],[CHANGED ON]]</f>
        <v>10.742928240739275</v>
      </c>
      <c r="N377">
        <f ca="1">qry_ProdData2_PDI_Cash_Exception_Application[[#This Row],[TODAY]]-qry_ProdData2_PDI_Cash_Exception_Application[[#This Row],[CHANGED ON]]</f>
        <v>10.742928240739275</v>
      </c>
    </row>
    <row r="378" spans="1:14" x14ac:dyDescent="0.35">
      <c r="A378">
        <v>1023</v>
      </c>
      <c r="B378" t="s">
        <v>77</v>
      </c>
      <c r="C378" s="1">
        <v>45186.257071759261</v>
      </c>
      <c r="D378" t="str">
        <f ca="1">VLOOKUP(qry_ProdData2_PDI_Cash_Exception_Application[[#This Row],[TYPE]],#REF!,2,FALSE)</f>
        <v>type40</v>
      </c>
      <c r="E378">
        <v>1887.26</v>
      </c>
      <c r="F378" t="s">
        <v>49</v>
      </c>
      <c r="G378" s="1">
        <f>qry_ProdData2_PDI_Cash_Exception_Application[[#This Row],[INSERT DATE]]+5</f>
        <v>45191.257071759261</v>
      </c>
      <c r="H378" t="str">
        <f>VLOOKUP(qry_ProdData2_PDI_Cash_Exception_Application[[#This Row],[MARKET No]],'Site Allocation'!$B$2:$C$37,2,FALSE)</f>
        <v>Analyst4</v>
      </c>
      <c r="I378" s="4">
        <f t="shared" ca="1" si="5"/>
        <v>45203</v>
      </c>
      <c r="J378" s="42">
        <f ca="1">TODAY()-qry_ProdData2_PDI_Cash_Exception_Application[[#This Row],[INSERT DATE]]</f>
        <v>16.742928240739275</v>
      </c>
      <c r="K3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8">
        <f ca="1">qry_ProdData2_PDI_Cash_Exception_Application[[#This Row],[TODAY]]-qry_ProdData2_PDI_Cash_Exception_Application[[#This Row],[CHANGED ON]]</f>
        <v>11.742928240739275</v>
      </c>
      <c r="M378">
        <f ca="1">qry_ProdData2_PDI_Cash_Exception_Application[[#This Row],[TODAY]]-qry_ProdData2_PDI_Cash_Exception_Application[[#This Row],[CHANGED ON]]</f>
        <v>11.742928240739275</v>
      </c>
      <c r="N378">
        <f ca="1">qry_ProdData2_PDI_Cash_Exception_Application[[#This Row],[TODAY]]-qry_ProdData2_PDI_Cash_Exception_Application[[#This Row],[CHANGED ON]]</f>
        <v>11.742928240739275</v>
      </c>
    </row>
    <row r="379" spans="1:14" x14ac:dyDescent="0.35">
      <c r="A379">
        <v>1009</v>
      </c>
      <c r="B379" t="s">
        <v>63</v>
      </c>
      <c r="C379" s="1">
        <v>45187.257071759261</v>
      </c>
      <c r="D379" t="str">
        <f ca="1">VLOOKUP(qry_ProdData2_PDI_Cash_Exception_Application[[#This Row],[TYPE]],#REF!,2,FALSE)</f>
        <v>type40</v>
      </c>
      <c r="E379">
        <v>19</v>
      </c>
      <c r="F379" t="s">
        <v>51</v>
      </c>
      <c r="G379" s="1">
        <f>qry_ProdData2_PDI_Cash_Exception_Application[[#This Row],[INSERT DATE]]+1</f>
        <v>45188.257071759261</v>
      </c>
      <c r="H379" t="str">
        <f>VLOOKUP(qry_ProdData2_PDI_Cash_Exception_Application[[#This Row],[MARKET No]],'Site Allocation'!$B$2:$C$37,2,FALSE)</f>
        <v>Analyst2</v>
      </c>
      <c r="I379" s="4">
        <f t="shared" ca="1" si="5"/>
        <v>45203</v>
      </c>
      <c r="J379" s="42">
        <f ca="1">TODAY()-qry_ProdData2_PDI_Cash_Exception_Application[[#This Row],[INSERT DATE]]</f>
        <v>15.742928240739275</v>
      </c>
      <c r="K3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9">
        <f ca="1">qry_ProdData2_PDI_Cash_Exception_Application[[#This Row],[TODAY]]-qry_ProdData2_PDI_Cash_Exception_Application[[#This Row],[CHANGED ON]]</f>
        <v>14.742928240739275</v>
      </c>
      <c r="M379">
        <f ca="1">qry_ProdData2_PDI_Cash_Exception_Application[[#This Row],[TODAY]]-qry_ProdData2_PDI_Cash_Exception_Application[[#This Row],[CHANGED ON]]</f>
        <v>14.742928240739275</v>
      </c>
      <c r="N379">
        <f ca="1">qry_ProdData2_PDI_Cash_Exception_Application[[#This Row],[TODAY]]-qry_ProdData2_PDI_Cash_Exception_Application[[#This Row],[CHANGED ON]]</f>
        <v>14.742928240739275</v>
      </c>
    </row>
    <row r="380" spans="1:14" x14ac:dyDescent="0.35">
      <c r="A380">
        <v>1024</v>
      </c>
      <c r="B380" t="s">
        <v>78</v>
      </c>
      <c r="C380" s="1">
        <v>45187.257071759261</v>
      </c>
      <c r="D380" t="str">
        <f ca="1">VLOOKUP(qry_ProdData2_PDI_Cash_Exception_Application[[#This Row],[TYPE]],#REF!,2,FALSE)</f>
        <v>type35</v>
      </c>
      <c r="E380">
        <v>454.47</v>
      </c>
      <c r="F380" t="s">
        <v>49</v>
      </c>
      <c r="G380" s="1">
        <f>qry_ProdData2_PDI_Cash_Exception_Application[[#This Row],[INSERT DATE]]+5</f>
        <v>45192.257071759261</v>
      </c>
      <c r="H380" t="str">
        <f>VLOOKUP(qry_ProdData2_PDI_Cash_Exception_Application[[#This Row],[MARKET No]],'Site Allocation'!$B$2:$C$37,2,FALSE)</f>
        <v>Analyst5</v>
      </c>
      <c r="I380" s="4">
        <f t="shared" ca="1" si="5"/>
        <v>45203</v>
      </c>
      <c r="J380" s="42">
        <f ca="1">TODAY()-qry_ProdData2_PDI_Cash_Exception_Application[[#This Row],[INSERT DATE]]</f>
        <v>15.742928240739275</v>
      </c>
      <c r="K3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80">
        <f ca="1">qry_ProdData2_PDI_Cash_Exception_Application[[#This Row],[TODAY]]-qry_ProdData2_PDI_Cash_Exception_Application[[#This Row],[CHANGED ON]]</f>
        <v>10.742928240739275</v>
      </c>
      <c r="M380">
        <f ca="1">qry_ProdData2_PDI_Cash_Exception_Application[[#This Row],[TODAY]]-qry_ProdData2_PDI_Cash_Exception_Application[[#This Row],[CHANGED ON]]</f>
        <v>10.742928240739275</v>
      </c>
      <c r="N380">
        <f ca="1">qry_ProdData2_PDI_Cash_Exception_Application[[#This Row],[TODAY]]-qry_ProdData2_PDI_Cash_Exception_Application[[#This Row],[CHANGED ON]]</f>
        <v>10.742928240739275</v>
      </c>
    </row>
    <row r="381" spans="1:14" x14ac:dyDescent="0.35">
      <c r="A381">
        <v>1022</v>
      </c>
      <c r="B381" t="s">
        <v>76</v>
      </c>
      <c r="C381" s="1">
        <v>45185.257071759261</v>
      </c>
      <c r="D381" t="str">
        <f ca="1">VLOOKUP(qry_ProdData2_PDI_Cash_Exception_Application[[#This Row],[TYPE]],#REF!,2,FALSE)</f>
        <v>type40</v>
      </c>
      <c r="E381">
        <v>476.53</v>
      </c>
      <c r="F381" t="s">
        <v>47</v>
      </c>
      <c r="G381" s="1">
        <f>qry_ProdData2_PDI_Cash_Exception_Application[[#This Row],[INSERT DATE]]+1</f>
        <v>45186.257071759261</v>
      </c>
      <c r="H381" t="str">
        <f>VLOOKUP(qry_ProdData2_PDI_Cash_Exception_Application[[#This Row],[MARKET No]],'Site Allocation'!$B$2:$C$37,2,FALSE)</f>
        <v>Analyst4</v>
      </c>
      <c r="I381" s="4">
        <f t="shared" ca="1" si="5"/>
        <v>45203</v>
      </c>
      <c r="J381" s="42">
        <f ca="1">TODAY()-qry_ProdData2_PDI_Cash_Exception_Application[[#This Row],[INSERT DATE]]</f>
        <v>17.742928240739275</v>
      </c>
      <c r="K3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81">
        <f ca="1">qry_ProdData2_PDI_Cash_Exception_Application[[#This Row],[TODAY]]-qry_ProdData2_PDI_Cash_Exception_Application[[#This Row],[CHANGED ON]]</f>
        <v>16.742928240739275</v>
      </c>
      <c r="M381">
        <f ca="1">qry_ProdData2_PDI_Cash_Exception_Application[[#This Row],[TODAY]]-qry_ProdData2_PDI_Cash_Exception_Application[[#This Row],[CHANGED ON]]</f>
        <v>16.742928240739275</v>
      </c>
      <c r="N381">
        <f ca="1">qry_ProdData2_PDI_Cash_Exception_Application[[#This Row],[TODAY]]-qry_ProdData2_PDI_Cash_Exception_Application[[#This Row],[CHANGED ON]]</f>
        <v>16.742928240739275</v>
      </c>
    </row>
    <row r="382" spans="1:14" x14ac:dyDescent="0.35">
      <c r="A382">
        <v>1035</v>
      </c>
      <c r="B382" t="s">
        <v>89</v>
      </c>
      <c r="C382" s="1">
        <v>45189.257071759261</v>
      </c>
      <c r="D382" t="str">
        <f ca="1">VLOOKUP(qry_ProdData2_PDI_Cash_Exception_Application[[#This Row],[TYPE]],#REF!,2,FALSE)</f>
        <v>type14</v>
      </c>
      <c r="E382">
        <v>5595.45</v>
      </c>
      <c r="F382" t="s">
        <v>51</v>
      </c>
      <c r="G382" s="1">
        <f>qry_ProdData2_PDI_Cash_Exception_Application[[#This Row],[INSERT DATE]]+2</f>
        <v>45191.257071759261</v>
      </c>
      <c r="H382" t="str">
        <f>VLOOKUP(qry_ProdData2_PDI_Cash_Exception_Application[[#This Row],[MARKET No]],'Site Allocation'!$B$2:$C$37,2,FALSE)</f>
        <v>Analyst6</v>
      </c>
      <c r="I382" s="4">
        <f t="shared" ca="1" si="5"/>
        <v>45203</v>
      </c>
      <c r="J382" s="42">
        <f ca="1">TODAY()-qry_ProdData2_PDI_Cash_Exception_Application[[#This Row],[INSERT DATE]]</f>
        <v>13.742928240739275</v>
      </c>
      <c r="K3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82">
        <f ca="1">qry_ProdData2_PDI_Cash_Exception_Application[[#This Row],[TODAY]]-qry_ProdData2_PDI_Cash_Exception_Application[[#This Row],[CHANGED ON]]</f>
        <v>11.742928240739275</v>
      </c>
      <c r="M382">
        <f ca="1">qry_ProdData2_PDI_Cash_Exception_Application[[#This Row],[TODAY]]-qry_ProdData2_PDI_Cash_Exception_Application[[#This Row],[CHANGED ON]]</f>
        <v>11.742928240739275</v>
      </c>
      <c r="N382">
        <f ca="1">qry_ProdData2_PDI_Cash_Exception_Application[[#This Row],[TODAY]]-qry_ProdData2_PDI_Cash_Exception_Application[[#This Row],[CHANGED ON]]</f>
        <v>11.742928240739275</v>
      </c>
    </row>
    <row r="383" spans="1:14" x14ac:dyDescent="0.35">
      <c r="A383">
        <v>1000</v>
      </c>
      <c r="B383" t="s">
        <v>54</v>
      </c>
      <c r="C383" s="1">
        <v>45186.257071759261</v>
      </c>
      <c r="D383" t="str">
        <f ca="1">VLOOKUP(qry_ProdData2_PDI_Cash_Exception_Application[[#This Row],[TYPE]],#REF!,2,FALSE)</f>
        <v>type41</v>
      </c>
      <c r="E383">
        <v>379</v>
      </c>
      <c r="F383" t="s">
        <v>50</v>
      </c>
      <c r="G383" s="1">
        <f>qry_ProdData2_PDI_Cash_Exception_Application[[#This Row],[INSERT DATE]]+2</f>
        <v>45188.257071759261</v>
      </c>
      <c r="H383" t="str">
        <f>VLOOKUP(qry_ProdData2_PDI_Cash_Exception_Application[[#This Row],[MARKET No]],'Site Allocation'!$B$2:$C$37,2,FALSE)</f>
        <v>Analyst1</v>
      </c>
      <c r="I383" s="4">
        <f t="shared" ca="1" si="5"/>
        <v>45203</v>
      </c>
      <c r="J383" s="42">
        <f ca="1">TODAY()-qry_ProdData2_PDI_Cash_Exception_Application[[#This Row],[INSERT DATE]]</f>
        <v>16.742928240739275</v>
      </c>
      <c r="K3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83">
        <f ca="1">qry_ProdData2_PDI_Cash_Exception_Application[[#This Row],[TODAY]]-qry_ProdData2_PDI_Cash_Exception_Application[[#This Row],[CHANGED ON]]</f>
        <v>14.742928240739275</v>
      </c>
      <c r="M383">
        <f ca="1">qry_ProdData2_PDI_Cash_Exception_Application[[#This Row],[TODAY]]-qry_ProdData2_PDI_Cash_Exception_Application[[#This Row],[CHANGED ON]]</f>
        <v>14.742928240739275</v>
      </c>
      <c r="N383">
        <f ca="1">qry_ProdData2_PDI_Cash_Exception_Application[[#This Row],[TODAY]]-qry_ProdData2_PDI_Cash_Exception_Application[[#This Row],[CHANGED ON]]</f>
        <v>14.742928240739275</v>
      </c>
    </row>
    <row r="384" spans="1:14" x14ac:dyDescent="0.35">
      <c r="A384">
        <v>1021</v>
      </c>
      <c r="B384" t="s">
        <v>75</v>
      </c>
      <c r="C384" s="1">
        <v>45186.257071759261</v>
      </c>
      <c r="D384" t="str">
        <f ca="1">VLOOKUP(qry_ProdData2_PDI_Cash_Exception_Application[[#This Row],[TYPE]],#REF!,2,FALSE)</f>
        <v>type8</v>
      </c>
      <c r="E384">
        <v>200</v>
      </c>
      <c r="F384" t="s">
        <v>48</v>
      </c>
      <c r="G384" s="1">
        <f>qry_ProdData2_PDI_Cash_Exception_Application[[#This Row],[INSERT DATE]]+1</f>
        <v>45187.257071759261</v>
      </c>
      <c r="H384" t="str">
        <f>VLOOKUP(qry_ProdData2_PDI_Cash_Exception_Application[[#This Row],[MARKET No]],'Site Allocation'!$B$2:$C$37,2,FALSE)</f>
        <v>Analyst4</v>
      </c>
      <c r="I384" s="4">
        <f t="shared" ca="1" si="5"/>
        <v>45203</v>
      </c>
      <c r="J384" s="42">
        <f ca="1">TODAY()-qry_ProdData2_PDI_Cash_Exception_Application[[#This Row],[INSERT DATE]]</f>
        <v>16.742928240739275</v>
      </c>
      <c r="K3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84">
        <f ca="1">qry_ProdData2_PDI_Cash_Exception_Application[[#This Row],[TODAY]]-qry_ProdData2_PDI_Cash_Exception_Application[[#This Row],[CHANGED ON]]</f>
        <v>15.742928240739275</v>
      </c>
      <c r="M384">
        <f ca="1">qry_ProdData2_PDI_Cash_Exception_Application[[#This Row],[TODAY]]-qry_ProdData2_PDI_Cash_Exception_Application[[#This Row],[CHANGED ON]]</f>
        <v>15.742928240739275</v>
      </c>
      <c r="N384">
        <f ca="1">qry_ProdData2_PDI_Cash_Exception_Application[[#This Row],[TODAY]]-qry_ProdData2_PDI_Cash_Exception_Application[[#This Row],[CHANGED ON]]</f>
        <v>15.742928240739275</v>
      </c>
    </row>
    <row r="385" spans="1:14" x14ac:dyDescent="0.35">
      <c r="A385">
        <v>1014</v>
      </c>
      <c r="B385" t="s">
        <v>68</v>
      </c>
      <c r="C385" s="1">
        <v>45187.257071759261</v>
      </c>
      <c r="D385" t="str">
        <f ca="1">VLOOKUP(qry_ProdData2_PDI_Cash_Exception_Application[[#This Row],[TYPE]],#REF!,2,FALSE)</f>
        <v>type40</v>
      </c>
      <c r="E385">
        <v>-926.13</v>
      </c>
      <c r="F385" t="s">
        <v>48</v>
      </c>
      <c r="G385" s="1">
        <f>qry_ProdData2_PDI_Cash_Exception_Application[[#This Row],[INSERT DATE]]+1</f>
        <v>45188.257071759261</v>
      </c>
      <c r="H385" t="str">
        <f>VLOOKUP(qry_ProdData2_PDI_Cash_Exception_Application[[#This Row],[MARKET No]],'Site Allocation'!$B$2:$C$37,2,FALSE)</f>
        <v>Analyst3</v>
      </c>
      <c r="I385" s="4">
        <f t="shared" ca="1" si="5"/>
        <v>45203</v>
      </c>
      <c r="J385" s="42">
        <f ca="1">TODAY()-qry_ProdData2_PDI_Cash_Exception_Application[[#This Row],[INSERT DATE]]</f>
        <v>15.742928240739275</v>
      </c>
      <c r="K3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85">
        <f ca="1">qry_ProdData2_PDI_Cash_Exception_Application[[#This Row],[TODAY]]-qry_ProdData2_PDI_Cash_Exception_Application[[#This Row],[CHANGED ON]]</f>
        <v>14.742928240739275</v>
      </c>
      <c r="M385">
        <f ca="1">qry_ProdData2_PDI_Cash_Exception_Application[[#This Row],[TODAY]]-qry_ProdData2_PDI_Cash_Exception_Application[[#This Row],[CHANGED ON]]</f>
        <v>14.742928240739275</v>
      </c>
      <c r="N385">
        <f ca="1">qry_ProdData2_PDI_Cash_Exception_Application[[#This Row],[TODAY]]-qry_ProdData2_PDI_Cash_Exception_Application[[#This Row],[CHANGED ON]]</f>
        <v>14.742928240739275</v>
      </c>
    </row>
    <row r="386" spans="1:14" x14ac:dyDescent="0.35">
      <c r="A386">
        <v>1030</v>
      </c>
      <c r="B386" t="s">
        <v>84</v>
      </c>
      <c r="C386" s="1">
        <v>45188.257071759261</v>
      </c>
      <c r="D386" t="str">
        <f ca="1">VLOOKUP(qry_ProdData2_PDI_Cash_Exception_Application[[#This Row],[TYPE]],#REF!,2,FALSE)</f>
        <v>type40</v>
      </c>
      <c r="E386">
        <v>-307.98</v>
      </c>
      <c r="F386" t="str">
        <f>qry_ProdData2_PDI_Cash_Exception_Application[[#This Row],[ANALYST]]</f>
        <v>Analyst6</v>
      </c>
      <c r="G386" s="1">
        <f>qry_ProdData2_PDI_Cash_Exception_Application[[#This Row],[INSERT DATE]]+2</f>
        <v>45190.257071759261</v>
      </c>
      <c r="H386" t="str">
        <f>VLOOKUP(qry_ProdData2_PDI_Cash_Exception_Application[[#This Row],[MARKET No]],'Site Allocation'!$B$2:$C$37,2,FALSE)</f>
        <v>Analyst6</v>
      </c>
      <c r="I386" s="4">
        <f t="shared" ref="I386:I449" ca="1" si="6">TODAY()</f>
        <v>45203</v>
      </c>
      <c r="J386" s="42">
        <f ca="1">TODAY()-qry_ProdData2_PDI_Cash_Exception_Application[[#This Row],[INSERT DATE]]</f>
        <v>14.742928240739275</v>
      </c>
      <c r="K3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86">
        <f ca="1">qry_ProdData2_PDI_Cash_Exception_Application[[#This Row],[TODAY]]-qry_ProdData2_PDI_Cash_Exception_Application[[#This Row],[CHANGED ON]]</f>
        <v>12.742928240739275</v>
      </c>
      <c r="M386">
        <f ca="1">qry_ProdData2_PDI_Cash_Exception_Application[[#This Row],[TODAY]]-qry_ProdData2_PDI_Cash_Exception_Application[[#This Row],[CHANGED ON]]</f>
        <v>12.742928240739275</v>
      </c>
      <c r="N386">
        <f ca="1">qry_ProdData2_PDI_Cash_Exception_Application[[#This Row],[TODAY]]-qry_ProdData2_PDI_Cash_Exception_Application[[#This Row],[CHANGED ON]]</f>
        <v>12.742928240739275</v>
      </c>
    </row>
    <row r="387" spans="1:14" x14ac:dyDescent="0.35">
      <c r="A387">
        <v>1021</v>
      </c>
      <c r="B387" t="s">
        <v>75</v>
      </c>
      <c r="C387" s="1">
        <v>45189.257071759261</v>
      </c>
      <c r="D387" t="str">
        <f ca="1">VLOOKUP(qry_ProdData2_PDI_Cash_Exception_Application[[#This Row],[TYPE]],#REF!,2,FALSE)</f>
        <v>type49</v>
      </c>
      <c r="E387">
        <v>0</v>
      </c>
      <c r="F387" t="s">
        <v>50</v>
      </c>
      <c r="G387" s="1">
        <f>qry_ProdData2_PDI_Cash_Exception_Application[[#This Row],[INSERT DATE]]+2</f>
        <v>45191.257071759261</v>
      </c>
      <c r="H387" t="str">
        <f>VLOOKUP(qry_ProdData2_PDI_Cash_Exception_Application[[#This Row],[MARKET No]],'Site Allocation'!$B$2:$C$37,2,FALSE)</f>
        <v>Analyst4</v>
      </c>
      <c r="I387" s="4">
        <f t="shared" ca="1" si="6"/>
        <v>45203</v>
      </c>
      <c r="J387" s="42">
        <f ca="1">TODAY()-qry_ProdData2_PDI_Cash_Exception_Application[[#This Row],[INSERT DATE]]</f>
        <v>13.742928240739275</v>
      </c>
      <c r="K3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87">
        <f ca="1">qry_ProdData2_PDI_Cash_Exception_Application[[#This Row],[TODAY]]-qry_ProdData2_PDI_Cash_Exception_Application[[#This Row],[CHANGED ON]]</f>
        <v>11.742928240739275</v>
      </c>
      <c r="M387">
        <f ca="1">qry_ProdData2_PDI_Cash_Exception_Application[[#This Row],[TODAY]]-qry_ProdData2_PDI_Cash_Exception_Application[[#This Row],[CHANGED ON]]</f>
        <v>11.742928240739275</v>
      </c>
      <c r="N387">
        <f ca="1">qry_ProdData2_PDI_Cash_Exception_Application[[#This Row],[TODAY]]-qry_ProdData2_PDI_Cash_Exception_Application[[#This Row],[CHANGED ON]]</f>
        <v>11.742928240739275</v>
      </c>
    </row>
    <row r="388" spans="1:14" x14ac:dyDescent="0.35">
      <c r="A388">
        <v>1007</v>
      </c>
      <c r="B388" t="s">
        <v>61</v>
      </c>
      <c r="C388" s="1">
        <v>45191.257071759261</v>
      </c>
      <c r="D388" t="str">
        <f ca="1">VLOOKUP(qry_ProdData2_PDI_Cash_Exception_Application[[#This Row],[TYPE]],#REF!,2,FALSE)</f>
        <v>type40</v>
      </c>
      <c r="E388">
        <v>835.28</v>
      </c>
      <c r="F388" t="s">
        <v>51</v>
      </c>
      <c r="G388" s="1">
        <f>qry_ProdData2_PDI_Cash_Exception_Application[[#This Row],[INSERT DATE]]+2</f>
        <v>45193.257071759261</v>
      </c>
      <c r="H388" t="str">
        <f>VLOOKUP(qry_ProdData2_PDI_Cash_Exception_Application[[#This Row],[MARKET No]],'Site Allocation'!$B$2:$C$37,2,FALSE)</f>
        <v>Analyst2</v>
      </c>
      <c r="I388" s="4">
        <f t="shared" ca="1" si="6"/>
        <v>45203</v>
      </c>
      <c r="J388" s="42">
        <f ca="1">TODAY()-qry_ProdData2_PDI_Cash_Exception_Application[[#This Row],[INSERT DATE]]</f>
        <v>11.742928240739275</v>
      </c>
      <c r="K3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88">
        <f ca="1">qry_ProdData2_PDI_Cash_Exception_Application[[#This Row],[TODAY]]-qry_ProdData2_PDI_Cash_Exception_Application[[#This Row],[CHANGED ON]]</f>
        <v>9.7429282407392748</v>
      </c>
      <c r="M388">
        <f ca="1">qry_ProdData2_PDI_Cash_Exception_Application[[#This Row],[TODAY]]-qry_ProdData2_PDI_Cash_Exception_Application[[#This Row],[CHANGED ON]]</f>
        <v>9.7429282407392748</v>
      </c>
      <c r="N388">
        <f ca="1">qry_ProdData2_PDI_Cash_Exception_Application[[#This Row],[TODAY]]-qry_ProdData2_PDI_Cash_Exception_Application[[#This Row],[CHANGED ON]]</f>
        <v>9.7429282407392748</v>
      </c>
    </row>
    <row r="389" spans="1:14" x14ac:dyDescent="0.35">
      <c r="A389">
        <v>1030</v>
      </c>
      <c r="B389" t="s">
        <v>84</v>
      </c>
      <c r="C389" s="1">
        <v>45180.257071759261</v>
      </c>
      <c r="D389" t="str">
        <f ca="1">VLOOKUP(qry_ProdData2_PDI_Cash_Exception_Application[[#This Row],[TYPE]],#REF!,2,FALSE)</f>
        <v>type32</v>
      </c>
      <c r="E389">
        <v>5503.44</v>
      </c>
      <c r="F389" t="s">
        <v>51</v>
      </c>
      <c r="G389" s="1">
        <f>qry_ProdData2_PDI_Cash_Exception_Application[[#This Row],[INSERT DATE]]+2</f>
        <v>45182.257071759261</v>
      </c>
      <c r="H389" t="str">
        <f>VLOOKUP(qry_ProdData2_PDI_Cash_Exception_Application[[#This Row],[MARKET No]],'Site Allocation'!$B$2:$C$37,2,FALSE)</f>
        <v>Analyst6</v>
      </c>
      <c r="I389" s="4">
        <f t="shared" ca="1" si="6"/>
        <v>45203</v>
      </c>
      <c r="J389" s="42">
        <f ca="1">TODAY()-qry_ProdData2_PDI_Cash_Exception_Application[[#This Row],[INSERT DATE]]</f>
        <v>22.742928240739275</v>
      </c>
      <c r="K3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89">
        <f ca="1">qry_ProdData2_PDI_Cash_Exception_Application[[#This Row],[TODAY]]-qry_ProdData2_PDI_Cash_Exception_Application[[#This Row],[CHANGED ON]]</f>
        <v>20.742928240739275</v>
      </c>
      <c r="M389">
        <f ca="1">qry_ProdData2_PDI_Cash_Exception_Application[[#This Row],[TODAY]]-qry_ProdData2_PDI_Cash_Exception_Application[[#This Row],[CHANGED ON]]</f>
        <v>20.742928240739275</v>
      </c>
      <c r="N389">
        <f ca="1">qry_ProdData2_PDI_Cash_Exception_Application[[#This Row],[TODAY]]-qry_ProdData2_PDI_Cash_Exception_Application[[#This Row],[CHANGED ON]]</f>
        <v>20.742928240739275</v>
      </c>
    </row>
    <row r="390" spans="1:14" x14ac:dyDescent="0.35">
      <c r="A390">
        <v>1018</v>
      </c>
      <c r="B390" t="s">
        <v>72</v>
      </c>
      <c r="C390" s="1">
        <v>45194.257071759261</v>
      </c>
      <c r="D390" t="str">
        <f ca="1">VLOOKUP(qry_ProdData2_PDI_Cash_Exception_Application[[#This Row],[TYPE]],#REF!,2,FALSE)</f>
        <v>type40</v>
      </c>
      <c r="E390">
        <v>13.72</v>
      </c>
      <c r="F390" t="str">
        <f>qry_ProdData2_PDI_Cash_Exception_Application[[#This Row],[ANALYST]]</f>
        <v>Analyst4</v>
      </c>
      <c r="G390" s="1">
        <f>qry_ProdData2_PDI_Cash_Exception_Application[[#This Row],[INSERT DATE]]+2</f>
        <v>45196.257071759261</v>
      </c>
      <c r="H390" t="str">
        <f>VLOOKUP(qry_ProdData2_PDI_Cash_Exception_Application[[#This Row],[MARKET No]],'Site Allocation'!$B$2:$C$37,2,FALSE)</f>
        <v>Analyst4</v>
      </c>
      <c r="I390" s="4">
        <f t="shared" ca="1" si="6"/>
        <v>45203</v>
      </c>
      <c r="J390" s="42">
        <f ca="1">TODAY()-qry_ProdData2_PDI_Cash_Exception_Application[[#This Row],[INSERT DATE]]</f>
        <v>8.7429282407392748</v>
      </c>
      <c r="K3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90">
        <f ca="1">qry_ProdData2_PDI_Cash_Exception_Application[[#This Row],[TODAY]]-qry_ProdData2_PDI_Cash_Exception_Application[[#This Row],[CHANGED ON]]</f>
        <v>6.7429282407392748</v>
      </c>
      <c r="M390">
        <f ca="1">qry_ProdData2_PDI_Cash_Exception_Application[[#This Row],[TODAY]]-qry_ProdData2_PDI_Cash_Exception_Application[[#This Row],[CHANGED ON]]</f>
        <v>6.7429282407392748</v>
      </c>
      <c r="N390">
        <f ca="1">qry_ProdData2_PDI_Cash_Exception_Application[[#This Row],[TODAY]]-qry_ProdData2_PDI_Cash_Exception_Application[[#This Row],[CHANGED ON]]</f>
        <v>6.7429282407392748</v>
      </c>
    </row>
    <row r="391" spans="1:14" x14ac:dyDescent="0.35">
      <c r="A391">
        <v>1033</v>
      </c>
      <c r="B391" t="s">
        <v>87</v>
      </c>
      <c r="C391" s="1">
        <v>45189.257071759261</v>
      </c>
      <c r="D391" t="str">
        <f ca="1">VLOOKUP(qry_ProdData2_PDI_Cash_Exception_Application[[#This Row],[TYPE]],#REF!,2,FALSE)</f>
        <v>type40</v>
      </c>
      <c r="E391">
        <v>635.1</v>
      </c>
      <c r="F391" t="s">
        <v>47</v>
      </c>
      <c r="G391" s="1">
        <f>qry_ProdData2_PDI_Cash_Exception_Application[[#This Row],[INSERT DATE]]+1</f>
        <v>45190.257071759261</v>
      </c>
      <c r="H391" t="str">
        <f>VLOOKUP(qry_ProdData2_PDI_Cash_Exception_Application[[#This Row],[MARKET No]],'Site Allocation'!$B$2:$C$37,2,FALSE)</f>
        <v>Analyst6</v>
      </c>
      <c r="I391" s="4">
        <f t="shared" ca="1" si="6"/>
        <v>45203</v>
      </c>
      <c r="J391" s="42">
        <f ca="1">TODAY()-qry_ProdData2_PDI_Cash_Exception_Application[[#This Row],[INSERT DATE]]</f>
        <v>13.742928240739275</v>
      </c>
      <c r="K3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91">
        <f ca="1">qry_ProdData2_PDI_Cash_Exception_Application[[#This Row],[TODAY]]-qry_ProdData2_PDI_Cash_Exception_Application[[#This Row],[CHANGED ON]]</f>
        <v>12.742928240739275</v>
      </c>
      <c r="M391">
        <f ca="1">qry_ProdData2_PDI_Cash_Exception_Application[[#This Row],[TODAY]]-qry_ProdData2_PDI_Cash_Exception_Application[[#This Row],[CHANGED ON]]</f>
        <v>12.742928240739275</v>
      </c>
      <c r="N391">
        <f ca="1">qry_ProdData2_PDI_Cash_Exception_Application[[#This Row],[TODAY]]-qry_ProdData2_PDI_Cash_Exception_Application[[#This Row],[CHANGED ON]]</f>
        <v>12.742928240739275</v>
      </c>
    </row>
    <row r="392" spans="1:14" x14ac:dyDescent="0.35">
      <c r="A392">
        <v>1026</v>
      </c>
      <c r="B392" t="s">
        <v>80</v>
      </c>
      <c r="C392" s="1">
        <v>45188.257071759261</v>
      </c>
      <c r="D392" t="str">
        <f ca="1">VLOOKUP(qry_ProdData2_PDI_Cash_Exception_Application[[#This Row],[TYPE]],#REF!,2,FALSE)</f>
        <v>type40</v>
      </c>
      <c r="E392">
        <v>8.15</v>
      </c>
      <c r="F392" t="s">
        <v>48</v>
      </c>
      <c r="G392" s="1">
        <f>qry_ProdData2_PDI_Cash_Exception_Application[[#This Row],[INSERT DATE]]+1</f>
        <v>45189.257071759261</v>
      </c>
      <c r="H392" t="str">
        <f>VLOOKUP(qry_ProdData2_PDI_Cash_Exception_Application[[#This Row],[MARKET No]],'Site Allocation'!$B$2:$C$37,2,FALSE)</f>
        <v>Analyst5</v>
      </c>
      <c r="I392" s="4">
        <f t="shared" ca="1" si="6"/>
        <v>45203</v>
      </c>
      <c r="J392" s="42">
        <f ca="1">TODAY()-qry_ProdData2_PDI_Cash_Exception_Application[[#This Row],[INSERT DATE]]</f>
        <v>14.742928240739275</v>
      </c>
      <c r="K3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92">
        <f ca="1">qry_ProdData2_PDI_Cash_Exception_Application[[#This Row],[TODAY]]-qry_ProdData2_PDI_Cash_Exception_Application[[#This Row],[CHANGED ON]]</f>
        <v>13.742928240739275</v>
      </c>
      <c r="M392">
        <f ca="1">qry_ProdData2_PDI_Cash_Exception_Application[[#This Row],[TODAY]]-qry_ProdData2_PDI_Cash_Exception_Application[[#This Row],[CHANGED ON]]</f>
        <v>13.742928240739275</v>
      </c>
      <c r="N392">
        <f ca="1">qry_ProdData2_PDI_Cash_Exception_Application[[#This Row],[TODAY]]-qry_ProdData2_PDI_Cash_Exception_Application[[#This Row],[CHANGED ON]]</f>
        <v>13.742928240739275</v>
      </c>
    </row>
    <row r="393" spans="1:14" x14ac:dyDescent="0.35">
      <c r="A393">
        <v>1024</v>
      </c>
      <c r="B393" t="s">
        <v>78</v>
      </c>
      <c r="C393" s="1">
        <v>45193.257071759261</v>
      </c>
      <c r="D393" t="str">
        <f ca="1">VLOOKUP(qry_ProdData2_PDI_Cash_Exception_Application[[#This Row],[TYPE]],#REF!,2,FALSE)</f>
        <v>type18</v>
      </c>
      <c r="E393">
        <v>307</v>
      </c>
      <c r="F393" t="s">
        <v>50</v>
      </c>
      <c r="G393" s="1">
        <f>qry_ProdData2_PDI_Cash_Exception_Application[[#This Row],[INSERT DATE]]+2</f>
        <v>45195.257071759261</v>
      </c>
      <c r="H393" t="str">
        <f>VLOOKUP(qry_ProdData2_PDI_Cash_Exception_Application[[#This Row],[MARKET No]],'Site Allocation'!$B$2:$C$37,2,FALSE)</f>
        <v>Analyst5</v>
      </c>
      <c r="I393" s="4">
        <f t="shared" ca="1" si="6"/>
        <v>45203</v>
      </c>
      <c r="J393" s="42">
        <f ca="1">TODAY()-qry_ProdData2_PDI_Cash_Exception_Application[[#This Row],[INSERT DATE]]</f>
        <v>9.7429282407392748</v>
      </c>
      <c r="K3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93">
        <f ca="1">qry_ProdData2_PDI_Cash_Exception_Application[[#This Row],[TODAY]]-qry_ProdData2_PDI_Cash_Exception_Application[[#This Row],[CHANGED ON]]</f>
        <v>7.7429282407392748</v>
      </c>
      <c r="M393">
        <f ca="1">qry_ProdData2_PDI_Cash_Exception_Application[[#This Row],[TODAY]]-qry_ProdData2_PDI_Cash_Exception_Application[[#This Row],[CHANGED ON]]</f>
        <v>7.7429282407392748</v>
      </c>
      <c r="N393">
        <f ca="1">qry_ProdData2_PDI_Cash_Exception_Application[[#This Row],[TODAY]]-qry_ProdData2_PDI_Cash_Exception_Application[[#This Row],[CHANGED ON]]</f>
        <v>7.7429282407392748</v>
      </c>
    </row>
    <row r="394" spans="1:14" x14ac:dyDescent="0.35">
      <c r="A394">
        <v>1010</v>
      </c>
      <c r="B394" t="s">
        <v>64</v>
      </c>
      <c r="C394" s="1">
        <v>45182.257071759261</v>
      </c>
      <c r="D394" t="str">
        <f ca="1">VLOOKUP(qry_ProdData2_PDI_Cash_Exception_Application[[#This Row],[TYPE]],#REF!,2,FALSE)</f>
        <v>type9</v>
      </c>
      <c r="E394">
        <v>100</v>
      </c>
      <c r="F394" t="s">
        <v>51</v>
      </c>
      <c r="G394" s="1">
        <f>qry_ProdData2_PDI_Cash_Exception_Application[[#This Row],[INSERT DATE]]+2</f>
        <v>45184.257071759261</v>
      </c>
      <c r="H394" t="str">
        <f>VLOOKUP(qry_ProdData2_PDI_Cash_Exception_Application[[#This Row],[MARKET No]],'Site Allocation'!$B$2:$C$37,2,FALSE)</f>
        <v>Analyst2</v>
      </c>
      <c r="I394" s="4">
        <f t="shared" ca="1" si="6"/>
        <v>45203</v>
      </c>
      <c r="J394" s="42">
        <f ca="1">TODAY()-qry_ProdData2_PDI_Cash_Exception_Application[[#This Row],[INSERT DATE]]</f>
        <v>20.742928240739275</v>
      </c>
      <c r="K3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94">
        <f ca="1">qry_ProdData2_PDI_Cash_Exception_Application[[#This Row],[TODAY]]-qry_ProdData2_PDI_Cash_Exception_Application[[#This Row],[CHANGED ON]]</f>
        <v>18.742928240739275</v>
      </c>
      <c r="M394">
        <f ca="1">qry_ProdData2_PDI_Cash_Exception_Application[[#This Row],[TODAY]]-qry_ProdData2_PDI_Cash_Exception_Application[[#This Row],[CHANGED ON]]</f>
        <v>18.742928240739275</v>
      </c>
      <c r="N394">
        <f ca="1">qry_ProdData2_PDI_Cash_Exception_Application[[#This Row],[TODAY]]-qry_ProdData2_PDI_Cash_Exception_Application[[#This Row],[CHANGED ON]]</f>
        <v>18.742928240739275</v>
      </c>
    </row>
    <row r="395" spans="1:14" x14ac:dyDescent="0.35">
      <c r="A395">
        <v>1002</v>
      </c>
      <c r="B395" t="s">
        <v>56</v>
      </c>
      <c r="C395" s="1">
        <v>45187.257071759261</v>
      </c>
      <c r="D395" t="str">
        <f ca="1">VLOOKUP(qry_ProdData2_PDI_Cash_Exception_Application[[#This Row],[TYPE]],#REF!,2,FALSE)</f>
        <v>type40</v>
      </c>
      <c r="E395">
        <v>3590.59</v>
      </c>
      <c r="F395" t="s">
        <v>47</v>
      </c>
      <c r="G395" s="1">
        <f>qry_ProdData2_PDI_Cash_Exception_Application[[#This Row],[INSERT DATE]]+2</f>
        <v>45189.257071759261</v>
      </c>
      <c r="H395" t="str">
        <f>VLOOKUP(qry_ProdData2_PDI_Cash_Exception_Application[[#This Row],[MARKET No]],'Site Allocation'!$B$2:$C$37,2,FALSE)</f>
        <v>Analyst1</v>
      </c>
      <c r="I395" s="4">
        <f t="shared" ca="1" si="6"/>
        <v>45203</v>
      </c>
      <c r="J395" s="42">
        <f ca="1">TODAY()-qry_ProdData2_PDI_Cash_Exception_Application[[#This Row],[INSERT DATE]]</f>
        <v>15.742928240739275</v>
      </c>
      <c r="K3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95">
        <f ca="1">qry_ProdData2_PDI_Cash_Exception_Application[[#This Row],[TODAY]]-qry_ProdData2_PDI_Cash_Exception_Application[[#This Row],[CHANGED ON]]</f>
        <v>13.742928240739275</v>
      </c>
      <c r="M395">
        <f ca="1">qry_ProdData2_PDI_Cash_Exception_Application[[#This Row],[TODAY]]-qry_ProdData2_PDI_Cash_Exception_Application[[#This Row],[CHANGED ON]]</f>
        <v>13.742928240739275</v>
      </c>
      <c r="N395">
        <f ca="1">qry_ProdData2_PDI_Cash_Exception_Application[[#This Row],[TODAY]]-qry_ProdData2_PDI_Cash_Exception_Application[[#This Row],[CHANGED ON]]</f>
        <v>13.742928240739275</v>
      </c>
    </row>
    <row r="396" spans="1:14" x14ac:dyDescent="0.35">
      <c r="A396">
        <v>1019</v>
      </c>
      <c r="B396" t="s">
        <v>73</v>
      </c>
      <c r="C396" s="1">
        <v>45186.257071759261</v>
      </c>
      <c r="D396" t="str">
        <f ca="1">VLOOKUP(qry_ProdData2_PDI_Cash_Exception_Application[[#This Row],[TYPE]],#REF!,2,FALSE)</f>
        <v>type15</v>
      </c>
      <c r="E396">
        <v>-1519.98</v>
      </c>
      <c r="F396" t="str">
        <f>qry_ProdData2_PDI_Cash_Exception_Application[[#This Row],[ANALYST]]</f>
        <v>Analyst4</v>
      </c>
      <c r="G396" s="1">
        <f>qry_ProdData2_PDI_Cash_Exception_Application[[#This Row],[INSERT DATE]]+2</f>
        <v>45188.257071759261</v>
      </c>
      <c r="H396" t="str">
        <f>VLOOKUP(qry_ProdData2_PDI_Cash_Exception_Application[[#This Row],[MARKET No]],'Site Allocation'!$B$2:$C$37,2,FALSE)</f>
        <v>Analyst4</v>
      </c>
      <c r="I396" s="4">
        <f t="shared" ca="1" si="6"/>
        <v>45203</v>
      </c>
      <c r="J396" s="42">
        <f ca="1">TODAY()-qry_ProdData2_PDI_Cash_Exception_Application[[#This Row],[INSERT DATE]]</f>
        <v>16.742928240739275</v>
      </c>
      <c r="K3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96">
        <f ca="1">qry_ProdData2_PDI_Cash_Exception_Application[[#This Row],[TODAY]]-qry_ProdData2_PDI_Cash_Exception_Application[[#This Row],[CHANGED ON]]</f>
        <v>14.742928240739275</v>
      </c>
      <c r="M396">
        <f ca="1">qry_ProdData2_PDI_Cash_Exception_Application[[#This Row],[TODAY]]-qry_ProdData2_PDI_Cash_Exception_Application[[#This Row],[CHANGED ON]]</f>
        <v>14.742928240739275</v>
      </c>
      <c r="N396">
        <f ca="1">qry_ProdData2_PDI_Cash_Exception_Application[[#This Row],[TODAY]]-qry_ProdData2_PDI_Cash_Exception_Application[[#This Row],[CHANGED ON]]</f>
        <v>14.742928240739275</v>
      </c>
    </row>
    <row r="397" spans="1:14" x14ac:dyDescent="0.35">
      <c r="A397">
        <v>1006</v>
      </c>
      <c r="B397" t="s">
        <v>60</v>
      </c>
      <c r="C397" s="1">
        <v>45189.257071759261</v>
      </c>
      <c r="D397" t="str">
        <f ca="1">VLOOKUP(qry_ProdData2_PDI_Cash_Exception_Application[[#This Row],[TYPE]],#REF!,2,FALSE)</f>
        <v>type40</v>
      </c>
      <c r="E397">
        <v>301.73</v>
      </c>
      <c r="F397" t="s">
        <v>48</v>
      </c>
      <c r="G397" s="1">
        <f>qry_ProdData2_PDI_Cash_Exception_Application[[#This Row],[INSERT DATE]]+2</f>
        <v>45191.257071759261</v>
      </c>
      <c r="H397" t="str">
        <f>VLOOKUP(qry_ProdData2_PDI_Cash_Exception_Application[[#This Row],[MARKET No]],'Site Allocation'!$B$2:$C$37,2,FALSE)</f>
        <v>Analyst2</v>
      </c>
      <c r="I397" s="4">
        <f t="shared" ca="1" si="6"/>
        <v>45203</v>
      </c>
      <c r="J397" s="42">
        <f ca="1">TODAY()-qry_ProdData2_PDI_Cash_Exception_Application[[#This Row],[INSERT DATE]]</f>
        <v>13.742928240739275</v>
      </c>
      <c r="K3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97">
        <f ca="1">qry_ProdData2_PDI_Cash_Exception_Application[[#This Row],[TODAY]]-qry_ProdData2_PDI_Cash_Exception_Application[[#This Row],[CHANGED ON]]</f>
        <v>11.742928240739275</v>
      </c>
      <c r="M397">
        <f ca="1">qry_ProdData2_PDI_Cash_Exception_Application[[#This Row],[TODAY]]-qry_ProdData2_PDI_Cash_Exception_Application[[#This Row],[CHANGED ON]]</f>
        <v>11.742928240739275</v>
      </c>
      <c r="N397">
        <f ca="1">qry_ProdData2_PDI_Cash_Exception_Application[[#This Row],[TODAY]]-qry_ProdData2_PDI_Cash_Exception_Application[[#This Row],[CHANGED ON]]</f>
        <v>11.742928240739275</v>
      </c>
    </row>
    <row r="398" spans="1:14" x14ac:dyDescent="0.35">
      <c r="A398">
        <v>1025</v>
      </c>
      <c r="B398" t="s">
        <v>79</v>
      </c>
      <c r="C398" s="1">
        <v>45185.257071759261</v>
      </c>
      <c r="D398" t="str">
        <f ca="1">VLOOKUP(qry_ProdData2_PDI_Cash_Exception_Application[[#This Row],[TYPE]],#REF!,2,FALSE)</f>
        <v>type40</v>
      </c>
      <c r="E398">
        <v>509.2</v>
      </c>
      <c r="F398" t="s">
        <v>50</v>
      </c>
      <c r="G398" s="1">
        <f>qry_ProdData2_PDI_Cash_Exception_Application[[#This Row],[INSERT DATE]]+5</f>
        <v>45190.257071759261</v>
      </c>
      <c r="H398" t="str">
        <f>VLOOKUP(qry_ProdData2_PDI_Cash_Exception_Application[[#This Row],[MARKET No]],'Site Allocation'!$B$2:$C$37,2,FALSE)</f>
        <v>Analyst5</v>
      </c>
      <c r="I398" s="4">
        <f t="shared" ca="1" si="6"/>
        <v>45203</v>
      </c>
      <c r="J398" s="42">
        <f ca="1">TODAY()-qry_ProdData2_PDI_Cash_Exception_Application[[#This Row],[INSERT DATE]]</f>
        <v>17.742928240739275</v>
      </c>
      <c r="K3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98">
        <f ca="1">qry_ProdData2_PDI_Cash_Exception_Application[[#This Row],[TODAY]]-qry_ProdData2_PDI_Cash_Exception_Application[[#This Row],[CHANGED ON]]</f>
        <v>12.742928240739275</v>
      </c>
      <c r="M398">
        <f ca="1">qry_ProdData2_PDI_Cash_Exception_Application[[#This Row],[TODAY]]-qry_ProdData2_PDI_Cash_Exception_Application[[#This Row],[CHANGED ON]]</f>
        <v>12.742928240739275</v>
      </c>
      <c r="N398">
        <f ca="1">qry_ProdData2_PDI_Cash_Exception_Application[[#This Row],[TODAY]]-qry_ProdData2_PDI_Cash_Exception_Application[[#This Row],[CHANGED ON]]</f>
        <v>12.742928240739275</v>
      </c>
    </row>
    <row r="399" spans="1:14" x14ac:dyDescent="0.35">
      <c r="A399">
        <v>1026</v>
      </c>
      <c r="B399" t="s">
        <v>80</v>
      </c>
      <c r="C399" s="1">
        <v>45179.257071759261</v>
      </c>
      <c r="D399" t="str">
        <f ca="1">VLOOKUP(qry_ProdData2_PDI_Cash_Exception_Application[[#This Row],[TYPE]],#REF!,2,FALSE)</f>
        <v>type40</v>
      </c>
      <c r="E399">
        <v>-309.74</v>
      </c>
      <c r="F399" t="s">
        <v>48</v>
      </c>
      <c r="G399" s="1">
        <f>qry_ProdData2_PDI_Cash_Exception_Application[[#This Row],[INSERT DATE]]+2</f>
        <v>45181.257071759261</v>
      </c>
      <c r="H399" t="str">
        <f>VLOOKUP(qry_ProdData2_PDI_Cash_Exception_Application[[#This Row],[MARKET No]],'Site Allocation'!$B$2:$C$37,2,FALSE)</f>
        <v>Analyst5</v>
      </c>
      <c r="I399" s="4">
        <f t="shared" ca="1" si="6"/>
        <v>45203</v>
      </c>
      <c r="J399" s="42">
        <f ca="1">TODAY()-qry_ProdData2_PDI_Cash_Exception_Application[[#This Row],[INSERT DATE]]</f>
        <v>23.742928240739275</v>
      </c>
      <c r="K3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99">
        <f ca="1">qry_ProdData2_PDI_Cash_Exception_Application[[#This Row],[TODAY]]-qry_ProdData2_PDI_Cash_Exception_Application[[#This Row],[CHANGED ON]]</f>
        <v>21.742928240739275</v>
      </c>
      <c r="M399">
        <f ca="1">qry_ProdData2_PDI_Cash_Exception_Application[[#This Row],[TODAY]]-qry_ProdData2_PDI_Cash_Exception_Application[[#This Row],[CHANGED ON]]</f>
        <v>21.742928240739275</v>
      </c>
      <c r="N399">
        <f ca="1">qry_ProdData2_PDI_Cash_Exception_Application[[#This Row],[TODAY]]-qry_ProdData2_PDI_Cash_Exception_Application[[#This Row],[CHANGED ON]]</f>
        <v>21.742928240739275</v>
      </c>
    </row>
    <row r="400" spans="1:14" x14ac:dyDescent="0.35">
      <c r="A400">
        <v>1007</v>
      </c>
      <c r="B400" t="s">
        <v>61</v>
      </c>
      <c r="C400" s="1">
        <v>45184.257071759261</v>
      </c>
      <c r="D400" t="str">
        <f ca="1">VLOOKUP(qry_ProdData2_PDI_Cash_Exception_Application[[#This Row],[TYPE]],#REF!,2,FALSE)</f>
        <v>type40</v>
      </c>
      <c r="E400">
        <v>23</v>
      </c>
      <c r="F400" t="s">
        <v>51</v>
      </c>
      <c r="G400" s="1">
        <f>qry_ProdData2_PDI_Cash_Exception_Application[[#This Row],[INSERT DATE]]+5</f>
        <v>45189.257071759261</v>
      </c>
      <c r="H400" t="str">
        <f>VLOOKUP(qry_ProdData2_PDI_Cash_Exception_Application[[#This Row],[MARKET No]],'Site Allocation'!$B$2:$C$37,2,FALSE)</f>
        <v>Analyst2</v>
      </c>
      <c r="I400" s="4">
        <f t="shared" ca="1" si="6"/>
        <v>45203</v>
      </c>
      <c r="J400" s="42">
        <f ca="1">TODAY()-qry_ProdData2_PDI_Cash_Exception_Application[[#This Row],[INSERT DATE]]</f>
        <v>18.742928240739275</v>
      </c>
      <c r="K4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00">
        <f ca="1">qry_ProdData2_PDI_Cash_Exception_Application[[#This Row],[TODAY]]-qry_ProdData2_PDI_Cash_Exception_Application[[#This Row],[CHANGED ON]]</f>
        <v>13.742928240739275</v>
      </c>
      <c r="M400">
        <f ca="1">qry_ProdData2_PDI_Cash_Exception_Application[[#This Row],[TODAY]]-qry_ProdData2_PDI_Cash_Exception_Application[[#This Row],[CHANGED ON]]</f>
        <v>13.742928240739275</v>
      </c>
      <c r="N400">
        <f ca="1">qry_ProdData2_PDI_Cash_Exception_Application[[#This Row],[TODAY]]-qry_ProdData2_PDI_Cash_Exception_Application[[#This Row],[CHANGED ON]]</f>
        <v>13.742928240739275</v>
      </c>
    </row>
    <row r="401" spans="1:14" x14ac:dyDescent="0.35">
      <c r="A401">
        <v>1035</v>
      </c>
      <c r="B401" t="s">
        <v>89</v>
      </c>
      <c r="C401" s="1">
        <v>45183.257071759261</v>
      </c>
      <c r="D401" t="str">
        <f ca="1">VLOOKUP(qry_ProdData2_PDI_Cash_Exception_Application[[#This Row],[TYPE]],#REF!,2,FALSE)</f>
        <v>type10</v>
      </c>
      <c r="E401">
        <v>30</v>
      </c>
      <c r="F401" t="s">
        <v>48</v>
      </c>
      <c r="G401" s="1">
        <f>qry_ProdData2_PDI_Cash_Exception_Application[[#This Row],[INSERT DATE]]+5</f>
        <v>45188.257071759261</v>
      </c>
      <c r="H401" t="str">
        <f>VLOOKUP(qry_ProdData2_PDI_Cash_Exception_Application[[#This Row],[MARKET No]],'Site Allocation'!$B$2:$C$37,2,FALSE)</f>
        <v>Analyst6</v>
      </c>
      <c r="I401" s="4">
        <f t="shared" ca="1" si="6"/>
        <v>45203</v>
      </c>
      <c r="J401" s="42">
        <f ca="1">TODAY()-qry_ProdData2_PDI_Cash_Exception_Application[[#This Row],[INSERT DATE]]</f>
        <v>19.742928240739275</v>
      </c>
      <c r="K4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01">
        <f ca="1">qry_ProdData2_PDI_Cash_Exception_Application[[#This Row],[TODAY]]-qry_ProdData2_PDI_Cash_Exception_Application[[#This Row],[CHANGED ON]]</f>
        <v>14.742928240739275</v>
      </c>
      <c r="M401">
        <f ca="1">qry_ProdData2_PDI_Cash_Exception_Application[[#This Row],[TODAY]]-qry_ProdData2_PDI_Cash_Exception_Application[[#This Row],[CHANGED ON]]</f>
        <v>14.742928240739275</v>
      </c>
      <c r="N401">
        <f ca="1">qry_ProdData2_PDI_Cash_Exception_Application[[#This Row],[TODAY]]-qry_ProdData2_PDI_Cash_Exception_Application[[#This Row],[CHANGED ON]]</f>
        <v>14.742928240739275</v>
      </c>
    </row>
    <row r="402" spans="1:14" x14ac:dyDescent="0.35">
      <c r="A402">
        <v>1028</v>
      </c>
      <c r="B402" t="s">
        <v>82</v>
      </c>
      <c r="C402" s="1">
        <v>45188.257071759261</v>
      </c>
      <c r="D402" t="str">
        <f ca="1">VLOOKUP(qry_ProdData2_PDI_Cash_Exception_Application[[#This Row],[TYPE]],#REF!,2,FALSE)</f>
        <v>type40</v>
      </c>
      <c r="E402">
        <v>131.94</v>
      </c>
      <c r="F402" t="s">
        <v>52</v>
      </c>
      <c r="G402" s="1">
        <f>qry_ProdData2_PDI_Cash_Exception_Application[[#This Row],[INSERT DATE]]+5</f>
        <v>45193.257071759261</v>
      </c>
      <c r="H402" t="str">
        <f>VLOOKUP(qry_ProdData2_PDI_Cash_Exception_Application[[#This Row],[MARKET No]],'Site Allocation'!$B$2:$C$37,2,FALSE)</f>
        <v>Analyst5</v>
      </c>
      <c r="I402" s="4">
        <f t="shared" ca="1" si="6"/>
        <v>45203</v>
      </c>
      <c r="J402" s="42">
        <f ca="1">TODAY()-qry_ProdData2_PDI_Cash_Exception_Application[[#This Row],[INSERT DATE]]</f>
        <v>14.742928240739275</v>
      </c>
      <c r="K4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02">
        <f ca="1">qry_ProdData2_PDI_Cash_Exception_Application[[#This Row],[TODAY]]-qry_ProdData2_PDI_Cash_Exception_Application[[#This Row],[CHANGED ON]]</f>
        <v>9.7429282407392748</v>
      </c>
      <c r="M402">
        <f ca="1">qry_ProdData2_PDI_Cash_Exception_Application[[#This Row],[TODAY]]-qry_ProdData2_PDI_Cash_Exception_Application[[#This Row],[CHANGED ON]]</f>
        <v>9.7429282407392748</v>
      </c>
      <c r="N402">
        <f ca="1">qry_ProdData2_PDI_Cash_Exception_Application[[#This Row],[TODAY]]-qry_ProdData2_PDI_Cash_Exception_Application[[#This Row],[CHANGED ON]]</f>
        <v>9.7429282407392748</v>
      </c>
    </row>
    <row r="403" spans="1:14" x14ac:dyDescent="0.35">
      <c r="A403">
        <v>1024</v>
      </c>
      <c r="B403" t="s">
        <v>78</v>
      </c>
      <c r="C403" s="1">
        <v>45188.257071759261</v>
      </c>
      <c r="D403" t="str">
        <f ca="1">VLOOKUP(qry_ProdData2_PDI_Cash_Exception_Application[[#This Row],[TYPE]],#REF!,2,FALSE)</f>
        <v>type40</v>
      </c>
      <c r="E403">
        <v>626.07000000000005</v>
      </c>
      <c r="F403" t="s">
        <v>47</v>
      </c>
      <c r="G403" s="1">
        <f>qry_ProdData2_PDI_Cash_Exception_Application[[#This Row],[INSERT DATE]]+2</f>
        <v>45190.257071759261</v>
      </c>
      <c r="H403" t="str">
        <f>VLOOKUP(qry_ProdData2_PDI_Cash_Exception_Application[[#This Row],[MARKET No]],'Site Allocation'!$B$2:$C$37,2,FALSE)</f>
        <v>Analyst5</v>
      </c>
      <c r="I403" s="4">
        <f t="shared" ca="1" si="6"/>
        <v>45203</v>
      </c>
      <c r="J403" s="42">
        <f ca="1">TODAY()-qry_ProdData2_PDI_Cash_Exception_Application[[#This Row],[INSERT DATE]]</f>
        <v>14.742928240739275</v>
      </c>
      <c r="K4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03">
        <f ca="1">qry_ProdData2_PDI_Cash_Exception_Application[[#This Row],[TODAY]]-qry_ProdData2_PDI_Cash_Exception_Application[[#This Row],[CHANGED ON]]</f>
        <v>12.742928240739275</v>
      </c>
      <c r="M403">
        <f ca="1">qry_ProdData2_PDI_Cash_Exception_Application[[#This Row],[TODAY]]-qry_ProdData2_PDI_Cash_Exception_Application[[#This Row],[CHANGED ON]]</f>
        <v>12.742928240739275</v>
      </c>
      <c r="N403">
        <f ca="1">qry_ProdData2_PDI_Cash_Exception_Application[[#This Row],[TODAY]]-qry_ProdData2_PDI_Cash_Exception_Application[[#This Row],[CHANGED ON]]</f>
        <v>12.742928240739275</v>
      </c>
    </row>
    <row r="404" spans="1:14" x14ac:dyDescent="0.35">
      <c r="A404">
        <v>1019</v>
      </c>
      <c r="B404" t="s">
        <v>73</v>
      </c>
      <c r="C404" s="1">
        <v>45189.257071759261</v>
      </c>
      <c r="D404" t="str">
        <f ca="1">VLOOKUP(qry_ProdData2_PDI_Cash_Exception_Application[[#This Row],[TYPE]],#REF!,2,FALSE)</f>
        <v>type27</v>
      </c>
      <c r="E404">
        <v>3072.28</v>
      </c>
      <c r="F404" t="s">
        <v>50</v>
      </c>
      <c r="G404" s="1">
        <f>qry_ProdData2_PDI_Cash_Exception_Application[[#This Row],[INSERT DATE]]+5</f>
        <v>45194.257071759261</v>
      </c>
      <c r="H404" t="str">
        <f>VLOOKUP(qry_ProdData2_PDI_Cash_Exception_Application[[#This Row],[MARKET No]],'Site Allocation'!$B$2:$C$37,2,FALSE)</f>
        <v>Analyst4</v>
      </c>
      <c r="I404" s="4">
        <f t="shared" ca="1" si="6"/>
        <v>45203</v>
      </c>
      <c r="J404" s="42">
        <f ca="1">TODAY()-qry_ProdData2_PDI_Cash_Exception_Application[[#This Row],[INSERT DATE]]</f>
        <v>13.742928240739275</v>
      </c>
      <c r="K4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04">
        <f ca="1">qry_ProdData2_PDI_Cash_Exception_Application[[#This Row],[TODAY]]-qry_ProdData2_PDI_Cash_Exception_Application[[#This Row],[CHANGED ON]]</f>
        <v>8.7429282407392748</v>
      </c>
      <c r="M404">
        <f ca="1">qry_ProdData2_PDI_Cash_Exception_Application[[#This Row],[TODAY]]-qry_ProdData2_PDI_Cash_Exception_Application[[#This Row],[CHANGED ON]]</f>
        <v>8.7429282407392748</v>
      </c>
      <c r="N404">
        <f ca="1">qry_ProdData2_PDI_Cash_Exception_Application[[#This Row],[TODAY]]-qry_ProdData2_PDI_Cash_Exception_Application[[#This Row],[CHANGED ON]]</f>
        <v>8.7429282407392748</v>
      </c>
    </row>
    <row r="405" spans="1:14" x14ac:dyDescent="0.35">
      <c r="A405">
        <v>1030</v>
      </c>
      <c r="B405" t="s">
        <v>84</v>
      </c>
      <c r="C405" s="1">
        <v>45189.257071759261</v>
      </c>
      <c r="D405" t="str">
        <f ca="1">VLOOKUP(qry_ProdData2_PDI_Cash_Exception_Application[[#This Row],[TYPE]],#REF!,2,FALSE)</f>
        <v>type13</v>
      </c>
      <c r="E405">
        <v>33647.760000000002</v>
      </c>
      <c r="F405" t="s">
        <v>51</v>
      </c>
      <c r="G405" s="1">
        <f>qry_ProdData2_PDI_Cash_Exception_Application[[#This Row],[INSERT DATE]]+7</f>
        <v>45196.257071759261</v>
      </c>
      <c r="H405" t="str">
        <f>VLOOKUP(qry_ProdData2_PDI_Cash_Exception_Application[[#This Row],[MARKET No]],'Site Allocation'!$B$2:$C$37,2,FALSE)</f>
        <v>Analyst6</v>
      </c>
      <c r="I405" s="4">
        <f t="shared" ca="1" si="6"/>
        <v>45203</v>
      </c>
      <c r="J405" s="42">
        <f ca="1">TODAY()-qry_ProdData2_PDI_Cash_Exception_Application[[#This Row],[INSERT DATE]]</f>
        <v>13.742928240739275</v>
      </c>
      <c r="K4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05">
        <f ca="1">qry_ProdData2_PDI_Cash_Exception_Application[[#This Row],[TODAY]]-qry_ProdData2_PDI_Cash_Exception_Application[[#This Row],[CHANGED ON]]</f>
        <v>6.7429282407392748</v>
      </c>
      <c r="M405">
        <f ca="1">qry_ProdData2_PDI_Cash_Exception_Application[[#This Row],[TODAY]]-qry_ProdData2_PDI_Cash_Exception_Application[[#This Row],[CHANGED ON]]</f>
        <v>6.7429282407392748</v>
      </c>
      <c r="N405">
        <f ca="1">qry_ProdData2_PDI_Cash_Exception_Application[[#This Row],[TODAY]]-qry_ProdData2_PDI_Cash_Exception_Application[[#This Row],[CHANGED ON]]</f>
        <v>6.7429282407392748</v>
      </c>
    </row>
    <row r="406" spans="1:14" x14ac:dyDescent="0.35">
      <c r="A406">
        <v>1008</v>
      </c>
      <c r="B406" t="s">
        <v>62</v>
      </c>
      <c r="C406" s="1">
        <v>45187.257071759261</v>
      </c>
      <c r="D406" t="str">
        <f ca="1">VLOOKUP(qry_ProdData2_PDI_Cash_Exception_Application[[#This Row],[TYPE]],#REF!,2,FALSE)</f>
        <v>type40</v>
      </c>
      <c r="E406">
        <v>6.32</v>
      </c>
      <c r="F406" t="s">
        <v>49</v>
      </c>
      <c r="G406" s="1">
        <f>qry_ProdData2_PDI_Cash_Exception_Application[[#This Row],[INSERT DATE]]+5</f>
        <v>45192.257071759261</v>
      </c>
      <c r="H406" t="str">
        <f>VLOOKUP(qry_ProdData2_PDI_Cash_Exception_Application[[#This Row],[MARKET No]],'Site Allocation'!$B$2:$C$37,2,FALSE)</f>
        <v>Analyst2</v>
      </c>
      <c r="I406" s="4">
        <f t="shared" ca="1" si="6"/>
        <v>45203</v>
      </c>
      <c r="J406" s="42">
        <f ca="1">TODAY()-qry_ProdData2_PDI_Cash_Exception_Application[[#This Row],[INSERT DATE]]</f>
        <v>15.742928240739275</v>
      </c>
      <c r="K4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06">
        <f ca="1">qry_ProdData2_PDI_Cash_Exception_Application[[#This Row],[TODAY]]-qry_ProdData2_PDI_Cash_Exception_Application[[#This Row],[CHANGED ON]]</f>
        <v>10.742928240739275</v>
      </c>
      <c r="M406">
        <f ca="1">qry_ProdData2_PDI_Cash_Exception_Application[[#This Row],[TODAY]]-qry_ProdData2_PDI_Cash_Exception_Application[[#This Row],[CHANGED ON]]</f>
        <v>10.742928240739275</v>
      </c>
      <c r="N406">
        <f ca="1">qry_ProdData2_PDI_Cash_Exception_Application[[#This Row],[TODAY]]-qry_ProdData2_PDI_Cash_Exception_Application[[#This Row],[CHANGED ON]]</f>
        <v>10.742928240739275</v>
      </c>
    </row>
    <row r="407" spans="1:14" x14ac:dyDescent="0.35">
      <c r="A407">
        <v>1030</v>
      </c>
      <c r="B407" t="s">
        <v>84</v>
      </c>
      <c r="C407" s="1">
        <v>45182.257071759261</v>
      </c>
      <c r="D407" t="str">
        <f ca="1">VLOOKUP(qry_ProdData2_PDI_Cash_Exception_Application[[#This Row],[TYPE]],#REF!,2,FALSE)</f>
        <v>type40</v>
      </c>
      <c r="E407">
        <v>370.01</v>
      </c>
      <c r="F407" t="s">
        <v>51</v>
      </c>
      <c r="G407" s="1">
        <f>qry_ProdData2_PDI_Cash_Exception_Application[[#This Row],[INSERT DATE]]+1</f>
        <v>45183.257071759261</v>
      </c>
      <c r="H407" t="str">
        <f>VLOOKUP(qry_ProdData2_PDI_Cash_Exception_Application[[#This Row],[MARKET No]],'Site Allocation'!$B$2:$C$37,2,FALSE)</f>
        <v>Analyst6</v>
      </c>
      <c r="I407" s="4">
        <f t="shared" ca="1" si="6"/>
        <v>45203</v>
      </c>
      <c r="J407" s="42">
        <f ca="1">TODAY()-qry_ProdData2_PDI_Cash_Exception_Application[[#This Row],[INSERT DATE]]</f>
        <v>20.742928240739275</v>
      </c>
      <c r="K4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07">
        <f ca="1">qry_ProdData2_PDI_Cash_Exception_Application[[#This Row],[TODAY]]-qry_ProdData2_PDI_Cash_Exception_Application[[#This Row],[CHANGED ON]]</f>
        <v>19.742928240739275</v>
      </c>
      <c r="M407">
        <f ca="1">qry_ProdData2_PDI_Cash_Exception_Application[[#This Row],[TODAY]]-qry_ProdData2_PDI_Cash_Exception_Application[[#This Row],[CHANGED ON]]</f>
        <v>19.742928240739275</v>
      </c>
      <c r="N407">
        <f ca="1">qry_ProdData2_PDI_Cash_Exception_Application[[#This Row],[TODAY]]-qry_ProdData2_PDI_Cash_Exception_Application[[#This Row],[CHANGED ON]]</f>
        <v>19.742928240739275</v>
      </c>
    </row>
    <row r="408" spans="1:14" x14ac:dyDescent="0.35">
      <c r="A408">
        <v>1023</v>
      </c>
      <c r="B408" t="s">
        <v>77</v>
      </c>
      <c r="C408" s="1">
        <v>45192.257071759261</v>
      </c>
      <c r="D408" t="str">
        <f ca="1">VLOOKUP(qry_ProdData2_PDI_Cash_Exception_Application[[#This Row],[TYPE]],#REF!,2,FALSE)</f>
        <v>type16</v>
      </c>
      <c r="E408">
        <v>-2341</v>
      </c>
      <c r="F408" t="s">
        <v>52</v>
      </c>
      <c r="G408" s="1">
        <f>qry_ProdData2_PDI_Cash_Exception_Application[[#This Row],[INSERT DATE]]+7</f>
        <v>45199.257071759261</v>
      </c>
      <c r="H408" t="str">
        <f>VLOOKUP(qry_ProdData2_PDI_Cash_Exception_Application[[#This Row],[MARKET No]],'Site Allocation'!$B$2:$C$37,2,FALSE)</f>
        <v>Analyst4</v>
      </c>
      <c r="I408" s="4">
        <f t="shared" ca="1" si="6"/>
        <v>45203</v>
      </c>
      <c r="J408" s="42">
        <f ca="1">TODAY()-qry_ProdData2_PDI_Cash_Exception_Application[[#This Row],[INSERT DATE]]</f>
        <v>10.742928240739275</v>
      </c>
      <c r="K4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08">
        <f ca="1">qry_ProdData2_PDI_Cash_Exception_Application[[#This Row],[TODAY]]-qry_ProdData2_PDI_Cash_Exception_Application[[#This Row],[CHANGED ON]]</f>
        <v>3.7429282407392748</v>
      </c>
      <c r="M408">
        <f ca="1">qry_ProdData2_PDI_Cash_Exception_Application[[#This Row],[TODAY]]-qry_ProdData2_PDI_Cash_Exception_Application[[#This Row],[CHANGED ON]]</f>
        <v>3.7429282407392748</v>
      </c>
      <c r="N408">
        <f ca="1">qry_ProdData2_PDI_Cash_Exception_Application[[#This Row],[TODAY]]-qry_ProdData2_PDI_Cash_Exception_Application[[#This Row],[CHANGED ON]]</f>
        <v>3.7429282407392748</v>
      </c>
    </row>
    <row r="409" spans="1:14" x14ac:dyDescent="0.35">
      <c r="A409">
        <v>1001</v>
      </c>
      <c r="B409" t="s">
        <v>55</v>
      </c>
      <c r="C409" s="1">
        <v>45184.257071759261</v>
      </c>
      <c r="D409" t="str">
        <f ca="1">VLOOKUP(qry_ProdData2_PDI_Cash_Exception_Application[[#This Row],[TYPE]],#REF!,2,FALSE)</f>
        <v>type13</v>
      </c>
      <c r="E409">
        <v>24798.880000000001</v>
      </c>
      <c r="F409" t="s">
        <v>51</v>
      </c>
      <c r="G409" s="1">
        <f>qry_ProdData2_PDI_Cash_Exception_Application[[#This Row],[INSERT DATE]]+1</f>
        <v>45185.257071759261</v>
      </c>
      <c r="H409" t="str">
        <f>VLOOKUP(qry_ProdData2_PDI_Cash_Exception_Application[[#This Row],[MARKET No]],'Site Allocation'!$B$2:$C$37,2,FALSE)</f>
        <v>Analyst1</v>
      </c>
      <c r="I409" s="4">
        <f t="shared" ca="1" si="6"/>
        <v>45203</v>
      </c>
      <c r="J409" s="42">
        <f ca="1">TODAY()-qry_ProdData2_PDI_Cash_Exception_Application[[#This Row],[INSERT DATE]]</f>
        <v>18.742928240739275</v>
      </c>
      <c r="K4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09">
        <f ca="1">qry_ProdData2_PDI_Cash_Exception_Application[[#This Row],[TODAY]]-qry_ProdData2_PDI_Cash_Exception_Application[[#This Row],[CHANGED ON]]</f>
        <v>17.742928240739275</v>
      </c>
      <c r="M409">
        <f ca="1">qry_ProdData2_PDI_Cash_Exception_Application[[#This Row],[TODAY]]-qry_ProdData2_PDI_Cash_Exception_Application[[#This Row],[CHANGED ON]]</f>
        <v>17.742928240739275</v>
      </c>
      <c r="N409">
        <f ca="1">qry_ProdData2_PDI_Cash_Exception_Application[[#This Row],[TODAY]]-qry_ProdData2_PDI_Cash_Exception_Application[[#This Row],[CHANGED ON]]</f>
        <v>17.742928240739275</v>
      </c>
    </row>
    <row r="410" spans="1:14" x14ac:dyDescent="0.35">
      <c r="A410">
        <v>1001</v>
      </c>
      <c r="B410" t="s">
        <v>55</v>
      </c>
      <c r="C410" s="1">
        <v>45188.257071759261</v>
      </c>
      <c r="D410" t="str">
        <f ca="1">VLOOKUP(qry_ProdData2_PDI_Cash_Exception_Application[[#This Row],[TYPE]],#REF!,2,FALSE)</f>
        <v>type40</v>
      </c>
      <c r="E410">
        <v>-972.54</v>
      </c>
      <c r="F410" t="s">
        <v>51</v>
      </c>
      <c r="G410" s="1">
        <f>qry_ProdData2_PDI_Cash_Exception_Application[[#This Row],[INSERT DATE]]+2</f>
        <v>45190.257071759261</v>
      </c>
      <c r="H410" t="str">
        <f>VLOOKUP(qry_ProdData2_PDI_Cash_Exception_Application[[#This Row],[MARKET No]],'Site Allocation'!$B$2:$C$37,2,FALSE)</f>
        <v>Analyst1</v>
      </c>
      <c r="I410" s="4">
        <f t="shared" ca="1" si="6"/>
        <v>45203</v>
      </c>
      <c r="J410" s="42">
        <f ca="1">TODAY()-qry_ProdData2_PDI_Cash_Exception_Application[[#This Row],[INSERT DATE]]</f>
        <v>14.742928240739275</v>
      </c>
      <c r="K4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10">
        <f ca="1">qry_ProdData2_PDI_Cash_Exception_Application[[#This Row],[TODAY]]-qry_ProdData2_PDI_Cash_Exception_Application[[#This Row],[CHANGED ON]]</f>
        <v>12.742928240739275</v>
      </c>
      <c r="M410">
        <f ca="1">qry_ProdData2_PDI_Cash_Exception_Application[[#This Row],[TODAY]]-qry_ProdData2_PDI_Cash_Exception_Application[[#This Row],[CHANGED ON]]</f>
        <v>12.742928240739275</v>
      </c>
      <c r="N410">
        <f ca="1">qry_ProdData2_PDI_Cash_Exception_Application[[#This Row],[TODAY]]-qry_ProdData2_PDI_Cash_Exception_Application[[#This Row],[CHANGED ON]]</f>
        <v>12.742928240739275</v>
      </c>
    </row>
    <row r="411" spans="1:14" x14ac:dyDescent="0.35">
      <c r="A411">
        <v>1016</v>
      </c>
      <c r="B411" t="s">
        <v>70</v>
      </c>
      <c r="C411" s="1">
        <v>45190.257071759261</v>
      </c>
      <c r="D411" t="str">
        <f ca="1">VLOOKUP(qry_ProdData2_PDI_Cash_Exception_Application[[#This Row],[TYPE]],#REF!,2,FALSE)</f>
        <v>type27</v>
      </c>
      <c r="E411">
        <v>714123.91</v>
      </c>
      <c r="F411" t="s">
        <v>51</v>
      </c>
      <c r="G411" s="1">
        <f>qry_ProdData2_PDI_Cash_Exception_Application[[#This Row],[INSERT DATE]]+2</f>
        <v>45192.257071759261</v>
      </c>
      <c r="H411" t="str">
        <f>VLOOKUP(qry_ProdData2_PDI_Cash_Exception_Application[[#This Row],[MARKET No]],'Site Allocation'!$B$2:$C$37,2,FALSE)</f>
        <v>Analyst3</v>
      </c>
      <c r="I411" s="4">
        <f t="shared" ca="1" si="6"/>
        <v>45203</v>
      </c>
      <c r="J411" s="42">
        <f ca="1">TODAY()-qry_ProdData2_PDI_Cash_Exception_Application[[#This Row],[INSERT DATE]]</f>
        <v>12.742928240739275</v>
      </c>
      <c r="K4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11">
        <f ca="1">qry_ProdData2_PDI_Cash_Exception_Application[[#This Row],[TODAY]]-qry_ProdData2_PDI_Cash_Exception_Application[[#This Row],[CHANGED ON]]</f>
        <v>10.742928240739275</v>
      </c>
      <c r="M411">
        <f ca="1">qry_ProdData2_PDI_Cash_Exception_Application[[#This Row],[TODAY]]-qry_ProdData2_PDI_Cash_Exception_Application[[#This Row],[CHANGED ON]]</f>
        <v>10.742928240739275</v>
      </c>
      <c r="N411">
        <f ca="1">qry_ProdData2_PDI_Cash_Exception_Application[[#This Row],[TODAY]]-qry_ProdData2_PDI_Cash_Exception_Application[[#This Row],[CHANGED ON]]</f>
        <v>10.742928240739275</v>
      </c>
    </row>
    <row r="412" spans="1:14" x14ac:dyDescent="0.35">
      <c r="A412">
        <v>1018</v>
      </c>
      <c r="B412" t="s">
        <v>72</v>
      </c>
      <c r="C412" s="1">
        <v>45196.257071759261</v>
      </c>
      <c r="D412" t="str">
        <f ca="1">VLOOKUP(qry_ProdData2_PDI_Cash_Exception_Application[[#This Row],[TYPE]],#REF!,2,FALSE)</f>
        <v>type40</v>
      </c>
      <c r="E412">
        <v>43.34</v>
      </c>
      <c r="F412" t="s">
        <v>52</v>
      </c>
      <c r="G412" s="1">
        <f>qry_ProdData2_PDI_Cash_Exception_Application[[#This Row],[INSERT DATE]]+7</f>
        <v>45203.257071759261</v>
      </c>
      <c r="H412" t="str">
        <f>VLOOKUP(qry_ProdData2_PDI_Cash_Exception_Application[[#This Row],[MARKET No]],'Site Allocation'!$B$2:$C$37,2,FALSE)</f>
        <v>Analyst4</v>
      </c>
      <c r="I412" s="4">
        <f t="shared" ca="1" si="6"/>
        <v>45203</v>
      </c>
      <c r="J412" s="42">
        <f ca="1">TODAY()-qry_ProdData2_PDI_Cash_Exception_Application[[#This Row],[INSERT DATE]]</f>
        <v>6.7429282407392748</v>
      </c>
      <c r="K4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412">
        <f ca="1">qry_ProdData2_PDI_Cash_Exception_Application[[#This Row],[TODAY]]-qry_ProdData2_PDI_Cash_Exception_Application[[#This Row],[CHANGED ON]]</f>
        <v>-0.25707175926072523</v>
      </c>
      <c r="M412">
        <f ca="1">qry_ProdData2_PDI_Cash_Exception_Application[[#This Row],[TODAY]]-qry_ProdData2_PDI_Cash_Exception_Application[[#This Row],[CHANGED ON]]</f>
        <v>-0.25707175926072523</v>
      </c>
      <c r="N412">
        <f ca="1">qry_ProdData2_PDI_Cash_Exception_Application[[#This Row],[TODAY]]-qry_ProdData2_PDI_Cash_Exception_Application[[#This Row],[CHANGED ON]]</f>
        <v>-0.25707175926072523</v>
      </c>
    </row>
    <row r="413" spans="1:14" x14ac:dyDescent="0.35">
      <c r="A413">
        <v>1018</v>
      </c>
      <c r="B413" t="s">
        <v>72</v>
      </c>
      <c r="C413" s="1">
        <v>45189.257071759261</v>
      </c>
      <c r="D413" t="str">
        <f ca="1">VLOOKUP(qry_ProdData2_PDI_Cash_Exception_Application[[#This Row],[TYPE]],#REF!,2,FALSE)</f>
        <v>type40</v>
      </c>
      <c r="E413">
        <v>378.04</v>
      </c>
      <c r="F413" t="s">
        <v>47</v>
      </c>
      <c r="G413" s="1">
        <f>qry_ProdData2_PDI_Cash_Exception_Application[[#This Row],[INSERT DATE]]+2</f>
        <v>45191.257071759261</v>
      </c>
      <c r="H413" t="str">
        <f>VLOOKUP(qry_ProdData2_PDI_Cash_Exception_Application[[#This Row],[MARKET No]],'Site Allocation'!$B$2:$C$37,2,FALSE)</f>
        <v>Analyst4</v>
      </c>
      <c r="I413" s="4">
        <f t="shared" ca="1" si="6"/>
        <v>45203</v>
      </c>
      <c r="J413" s="42">
        <f ca="1">TODAY()-qry_ProdData2_PDI_Cash_Exception_Application[[#This Row],[INSERT DATE]]</f>
        <v>13.742928240739275</v>
      </c>
      <c r="K4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13">
        <f ca="1">qry_ProdData2_PDI_Cash_Exception_Application[[#This Row],[TODAY]]-qry_ProdData2_PDI_Cash_Exception_Application[[#This Row],[CHANGED ON]]</f>
        <v>11.742928240739275</v>
      </c>
      <c r="M413">
        <f ca="1">qry_ProdData2_PDI_Cash_Exception_Application[[#This Row],[TODAY]]-qry_ProdData2_PDI_Cash_Exception_Application[[#This Row],[CHANGED ON]]</f>
        <v>11.742928240739275</v>
      </c>
      <c r="N413">
        <f ca="1">qry_ProdData2_PDI_Cash_Exception_Application[[#This Row],[TODAY]]-qry_ProdData2_PDI_Cash_Exception_Application[[#This Row],[CHANGED ON]]</f>
        <v>11.742928240739275</v>
      </c>
    </row>
    <row r="414" spans="1:14" x14ac:dyDescent="0.35">
      <c r="A414">
        <v>1015</v>
      </c>
      <c r="B414" t="s">
        <v>69</v>
      </c>
      <c r="C414" s="1">
        <v>45186.257071759261</v>
      </c>
      <c r="D414" t="str">
        <f ca="1">VLOOKUP(qry_ProdData2_PDI_Cash_Exception_Application[[#This Row],[TYPE]],#REF!,2,FALSE)</f>
        <v>type40</v>
      </c>
      <c r="E414">
        <v>-1218.95</v>
      </c>
      <c r="F414" t="s">
        <v>51</v>
      </c>
      <c r="G414" s="1">
        <f>qry_ProdData2_PDI_Cash_Exception_Application[[#This Row],[INSERT DATE]]+2</f>
        <v>45188.257071759261</v>
      </c>
      <c r="H414" t="str">
        <f>VLOOKUP(qry_ProdData2_PDI_Cash_Exception_Application[[#This Row],[MARKET No]],'Site Allocation'!$B$2:$C$37,2,FALSE)</f>
        <v>Analyst3</v>
      </c>
      <c r="I414" s="4">
        <f t="shared" ca="1" si="6"/>
        <v>45203</v>
      </c>
      <c r="J414" s="42">
        <f ca="1">TODAY()-qry_ProdData2_PDI_Cash_Exception_Application[[#This Row],[INSERT DATE]]</f>
        <v>16.742928240739275</v>
      </c>
      <c r="K4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14">
        <f ca="1">qry_ProdData2_PDI_Cash_Exception_Application[[#This Row],[TODAY]]-qry_ProdData2_PDI_Cash_Exception_Application[[#This Row],[CHANGED ON]]</f>
        <v>14.742928240739275</v>
      </c>
      <c r="M414">
        <f ca="1">qry_ProdData2_PDI_Cash_Exception_Application[[#This Row],[TODAY]]-qry_ProdData2_PDI_Cash_Exception_Application[[#This Row],[CHANGED ON]]</f>
        <v>14.742928240739275</v>
      </c>
      <c r="N414">
        <f ca="1">qry_ProdData2_PDI_Cash_Exception_Application[[#This Row],[TODAY]]-qry_ProdData2_PDI_Cash_Exception_Application[[#This Row],[CHANGED ON]]</f>
        <v>14.742928240739275</v>
      </c>
    </row>
    <row r="415" spans="1:14" x14ac:dyDescent="0.35">
      <c r="A415">
        <v>1028</v>
      </c>
      <c r="B415" t="s">
        <v>82</v>
      </c>
      <c r="C415" s="1">
        <v>45187.257071759261</v>
      </c>
      <c r="D415" t="str">
        <f ca="1">VLOOKUP(qry_ProdData2_PDI_Cash_Exception_Application[[#This Row],[TYPE]],#REF!,2,FALSE)</f>
        <v>type13</v>
      </c>
      <c r="E415">
        <v>21757.08</v>
      </c>
      <c r="F415" t="s">
        <v>51</v>
      </c>
      <c r="G415" s="1">
        <f>qry_ProdData2_PDI_Cash_Exception_Application[[#This Row],[INSERT DATE]]+2</f>
        <v>45189.257071759261</v>
      </c>
      <c r="H415" t="str">
        <f>VLOOKUP(qry_ProdData2_PDI_Cash_Exception_Application[[#This Row],[MARKET No]],'Site Allocation'!$B$2:$C$37,2,FALSE)</f>
        <v>Analyst5</v>
      </c>
      <c r="I415" s="4">
        <f t="shared" ca="1" si="6"/>
        <v>45203</v>
      </c>
      <c r="J415" s="42">
        <f ca="1">TODAY()-qry_ProdData2_PDI_Cash_Exception_Application[[#This Row],[INSERT DATE]]</f>
        <v>15.742928240739275</v>
      </c>
      <c r="K4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15">
        <f ca="1">qry_ProdData2_PDI_Cash_Exception_Application[[#This Row],[TODAY]]-qry_ProdData2_PDI_Cash_Exception_Application[[#This Row],[CHANGED ON]]</f>
        <v>13.742928240739275</v>
      </c>
      <c r="M415">
        <f ca="1">qry_ProdData2_PDI_Cash_Exception_Application[[#This Row],[TODAY]]-qry_ProdData2_PDI_Cash_Exception_Application[[#This Row],[CHANGED ON]]</f>
        <v>13.742928240739275</v>
      </c>
      <c r="N415">
        <f ca="1">qry_ProdData2_PDI_Cash_Exception_Application[[#This Row],[TODAY]]-qry_ProdData2_PDI_Cash_Exception_Application[[#This Row],[CHANGED ON]]</f>
        <v>13.742928240739275</v>
      </c>
    </row>
    <row r="416" spans="1:14" x14ac:dyDescent="0.35">
      <c r="A416">
        <v>1027</v>
      </c>
      <c r="B416" t="s">
        <v>81</v>
      </c>
      <c r="C416" s="1">
        <v>45189.257071759261</v>
      </c>
      <c r="D416" t="str">
        <f ca="1">VLOOKUP(qry_ProdData2_PDI_Cash_Exception_Application[[#This Row],[TYPE]],#REF!,2,FALSE)</f>
        <v>type35</v>
      </c>
      <c r="E416">
        <v>861.5</v>
      </c>
      <c r="F416" t="s">
        <v>48</v>
      </c>
      <c r="G416" s="1">
        <f>qry_ProdData2_PDI_Cash_Exception_Application[[#This Row],[INSERT DATE]]+5</f>
        <v>45194.257071759261</v>
      </c>
      <c r="H416" t="str">
        <f>VLOOKUP(qry_ProdData2_PDI_Cash_Exception_Application[[#This Row],[MARKET No]],'Site Allocation'!$B$2:$C$37,2,FALSE)</f>
        <v>Analyst5</v>
      </c>
      <c r="I416" s="4">
        <f t="shared" ca="1" si="6"/>
        <v>45203</v>
      </c>
      <c r="J416" s="42">
        <f ca="1">TODAY()-qry_ProdData2_PDI_Cash_Exception_Application[[#This Row],[INSERT DATE]]</f>
        <v>13.742928240739275</v>
      </c>
      <c r="K4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16">
        <f ca="1">qry_ProdData2_PDI_Cash_Exception_Application[[#This Row],[TODAY]]-qry_ProdData2_PDI_Cash_Exception_Application[[#This Row],[CHANGED ON]]</f>
        <v>8.7429282407392748</v>
      </c>
      <c r="M416">
        <f ca="1">qry_ProdData2_PDI_Cash_Exception_Application[[#This Row],[TODAY]]-qry_ProdData2_PDI_Cash_Exception_Application[[#This Row],[CHANGED ON]]</f>
        <v>8.7429282407392748</v>
      </c>
      <c r="N416">
        <f ca="1">qry_ProdData2_PDI_Cash_Exception_Application[[#This Row],[TODAY]]-qry_ProdData2_PDI_Cash_Exception_Application[[#This Row],[CHANGED ON]]</f>
        <v>8.7429282407392748</v>
      </c>
    </row>
    <row r="417" spans="1:14" x14ac:dyDescent="0.35">
      <c r="A417">
        <v>1012</v>
      </c>
      <c r="B417" t="s">
        <v>66</v>
      </c>
      <c r="C417" s="1">
        <v>45182.257071759261</v>
      </c>
      <c r="D417" t="str">
        <f ca="1">VLOOKUP(qry_ProdData2_PDI_Cash_Exception_Application[[#This Row],[TYPE]],#REF!,2,FALSE)</f>
        <v>type40</v>
      </c>
      <c r="E417">
        <v>-522.87</v>
      </c>
      <c r="F417" t="s">
        <v>50</v>
      </c>
      <c r="G417" s="1">
        <f>qry_ProdData2_PDI_Cash_Exception_Application[[#This Row],[INSERT DATE]]+7</f>
        <v>45189.257071759261</v>
      </c>
      <c r="H417" t="str">
        <f>VLOOKUP(qry_ProdData2_PDI_Cash_Exception_Application[[#This Row],[MARKET No]],'Site Allocation'!$B$2:$C$37,2,FALSE)</f>
        <v>Analyst3</v>
      </c>
      <c r="I417" s="4">
        <f t="shared" ca="1" si="6"/>
        <v>45203</v>
      </c>
      <c r="J417" s="42">
        <f ca="1">TODAY()-qry_ProdData2_PDI_Cash_Exception_Application[[#This Row],[INSERT DATE]]</f>
        <v>20.742928240739275</v>
      </c>
      <c r="K4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17">
        <f ca="1">qry_ProdData2_PDI_Cash_Exception_Application[[#This Row],[TODAY]]-qry_ProdData2_PDI_Cash_Exception_Application[[#This Row],[CHANGED ON]]</f>
        <v>13.742928240739275</v>
      </c>
      <c r="M417">
        <f ca="1">qry_ProdData2_PDI_Cash_Exception_Application[[#This Row],[TODAY]]-qry_ProdData2_PDI_Cash_Exception_Application[[#This Row],[CHANGED ON]]</f>
        <v>13.742928240739275</v>
      </c>
      <c r="N417">
        <f ca="1">qry_ProdData2_PDI_Cash_Exception_Application[[#This Row],[TODAY]]-qry_ProdData2_PDI_Cash_Exception_Application[[#This Row],[CHANGED ON]]</f>
        <v>13.742928240739275</v>
      </c>
    </row>
    <row r="418" spans="1:14" x14ac:dyDescent="0.35">
      <c r="A418">
        <v>1015</v>
      </c>
      <c r="B418" t="s">
        <v>69</v>
      </c>
      <c r="C418" s="1">
        <v>45190.257071759261</v>
      </c>
      <c r="D418" t="str">
        <f ca="1">VLOOKUP(qry_ProdData2_PDI_Cash_Exception_Application[[#This Row],[TYPE]],#REF!,2,FALSE)</f>
        <v>type40</v>
      </c>
      <c r="E418">
        <v>-592.33000000000004</v>
      </c>
      <c r="F418" t="s">
        <v>49</v>
      </c>
      <c r="G418" s="1">
        <f>qry_ProdData2_PDI_Cash_Exception_Application[[#This Row],[INSERT DATE]]+7</f>
        <v>45197.257071759261</v>
      </c>
      <c r="H418" t="str">
        <f>VLOOKUP(qry_ProdData2_PDI_Cash_Exception_Application[[#This Row],[MARKET No]],'Site Allocation'!$B$2:$C$37,2,FALSE)</f>
        <v>Analyst3</v>
      </c>
      <c r="I418" s="4">
        <f t="shared" ca="1" si="6"/>
        <v>45203</v>
      </c>
      <c r="J418" s="42">
        <f ca="1">TODAY()-qry_ProdData2_PDI_Cash_Exception_Application[[#This Row],[INSERT DATE]]</f>
        <v>12.742928240739275</v>
      </c>
      <c r="K4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18">
        <f ca="1">qry_ProdData2_PDI_Cash_Exception_Application[[#This Row],[TODAY]]-qry_ProdData2_PDI_Cash_Exception_Application[[#This Row],[CHANGED ON]]</f>
        <v>5.7429282407392748</v>
      </c>
      <c r="M418">
        <f ca="1">qry_ProdData2_PDI_Cash_Exception_Application[[#This Row],[TODAY]]-qry_ProdData2_PDI_Cash_Exception_Application[[#This Row],[CHANGED ON]]</f>
        <v>5.7429282407392748</v>
      </c>
      <c r="N418">
        <f ca="1">qry_ProdData2_PDI_Cash_Exception_Application[[#This Row],[TODAY]]-qry_ProdData2_PDI_Cash_Exception_Application[[#This Row],[CHANGED ON]]</f>
        <v>5.7429282407392748</v>
      </c>
    </row>
    <row r="419" spans="1:14" x14ac:dyDescent="0.35">
      <c r="A419">
        <v>1020</v>
      </c>
      <c r="B419" t="s">
        <v>74</v>
      </c>
      <c r="C419" s="1">
        <v>45183.257071759261</v>
      </c>
      <c r="D419" t="str">
        <f ca="1">VLOOKUP(qry_ProdData2_PDI_Cash_Exception_Application[[#This Row],[TYPE]],#REF!,2,FALSE)</f>
        <v>type32</v>
      </c>
      <c r="E419">
        <v>657</v>
      </c>
      <c r="F419" t="s">
        <v>52</v>
      </c>
      <c r="G419" s="1">
        <f>qry_ProdData2_PDI_Cash_Exception_Application[[#This Row],[INSERT DATE]]+7</f>
        <v>45190.257071759261</v>
      </c>
      <c r="H419" t="str">
        <f>VLOOKUP(qry_ProdData2_PDI_Cash_Exception_Application[[#This Row],[MARKET No]],'Site Allocation'!$B$2:$C$37,2,FALSE)</f>
        <v>Analyst4</v>
      </c>
      <c r="I419" s="4">
        <f t="shared" ca="1" si="6"/>
        <v>45203</v>
      </c>
      <c r="J419" s="42">
        <f ca="1">TODAY()-qry_ProdData2_PDI_Cash_Exception_Application[[#This Row],[INSERT DATE]]</f>
        <v>19.742928240739275</v>
      </c>
      <c r="K4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19">
        <f ca="1">qry_ProdData2_PDI_Cash_Exception_Application[[#This Row],[TODAY]]-qry_ProdData2_PDI_Cash_Exception_Application[[#This Row],[CHANGED ON]]</f>
        <v>12.742928240739275</v>
      </c>
      <c r="M419">
        <f ca="1">qry_ProdData2_PDI_Cash_Exception_Application[[#This Row],[TODAY]]-qry_ProdData2_PDI_Cash_Exception_Application[[#This Row],[CHANGED ON]]</f>
        <v>12.742928240739275</v>
      </c>
      <c r="N419">
        <f ca="1">qry_ProdData2_PDI_Cash_Exception_Application[[#This Row],[TODAY]]-qry_ProdData2_PDI_Cash_Exception_Application[[#This Row],[CHANGED ON]]</f>
        <v>12.742928240739275</v>
      </c>
    </row>
    <row r="420" spans="1:14" x14ac:dyDescent="0.35">
      <c r="A420">
        <v>1023</v>
      </c>
      <c r="B420" t="s">
        <v>77</v>
      </c>
      <c r="C420" s="1">
        <v>45191.257071759261</v>
      </c>
      <c r="D420" t="str">
        <f ca="1">VLOOKUP(qry_ProdData2_PDI_Cash_Exception_Application[[#This Row],[TYPE]],#REF!,2,FALSE)</f>
        <v>type35</v>
      </c>
      <c r="E420">
        <v>879.83</v>
      </c>
      <c r="F420" t="s">
        <v>47</v>
      </c>
      <c r="G420" s="1">
        <f>qry_ProdData2_PDI_Cash_Exception_Application[[#This Row],[INSERT DATE]]+2</f>
        <v>45193.257071759261</v>
      </c>
      <c r="H420" t="str">
        <f>VLOOKUP(qry_ProdData2_PDI_Cash_Exception_Application[[#This Row],[MARKET No]],'Site Allocation'!$B$2:$C$37,2,FALSE)</f>
        <v>Analyst4</v>
      </c>
      <c r="I420" s="4">
        <f t="shared" ca="1" si="6"/>
        <v>45203</v>
      </c>
      <c r="J420" s="42">
        <f ca="1">TODAY()-qry_ProdData2_PDI_Cash_Exception_Application[[#This Row],[INSERT DATE]]</f>
        <v>11.742928240739275</v>
      </c>
      <c r="K4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20">
        <f ca="1">qry_ProdData2_PDI_Cash_Exception_Application[[#This Row],[TODAY]]-qry_ProdData2_PDI_Cash_Exception_Application[[#This Row],[CHANGED ON]]</f>
        <v>9.7429282407392748</v>
      </c>
      <c r="M420">
        <f ca="1">qry_ProdData2_PDI_Cash_Exception_Application[[#This Row],[TODAY]]-qry_ProdData2_PDI_Cash_Exception_Application[[#This Row],[CHANGED ON]]</f>
        <v>9.7429282407392748</v>
      </c>
      <c r="N420">
        <f ca="1">qry_ProdData2_PDI_Cash_Exception_Application[[#This Row],[TODAY]]-qry_ProdData2_PDI_Cash_Exception_Application[[#This Row],[CHANGED ON]]</f>
        <v>9.7429282407392748</v>
      </c>
    </row>
    <row r="421" spans="1:14" x14ac:dyDescent="0.35">
      <c r="A421">
        <v>1000</v>
      </c>
      <c r="B421" t="s">
        <v>54</v>
      </c>
      <c r="C421" s="1">
        <v>45192.257071759261</v>
      </c>
      <c r="D421" t="str">
        <f ca="1">VLOOKUP(qry_ProdData2_PDI_Cash_Exception_Application[[#This Row],[TYPE]],#REF!,2,FALSE)</f>
        <v>type8</v>
      </c>
      <c r="E421">
        <v>100</v>
      </c>
      <c r="F421" t="s">
        <v>48</v>
      </c>
      <c r="G421" s="1">
        <f>qry_ProdData2_PDI_Cash_Exception_Application[[#This Row],[INSERT DATE]]+7</f>
        <v>45199.257071759261</v>
      </c>
      <c r="H421" t="str">
        <f>VLOOKUP(qry_ProdData2_PDI_Cash_Exception_Application[[#This Row],[MARKET No]],'Site Allocation'!$B$2:$C$37,2,FALSE)</f>
        <v>Analyst1</v>
      </c>
      <c r="I421" s="4">
        <f t="shared" ca="1" si="6"/>
        <v>45203</v>
      </c>
      <c r="J421" s="42">
        <f ca="1">TODAY()-qry_ProdData2_PDI_Cash_Exception_Application[[#This Row],[INSERT DATE]]</f>
        <v>10.742928240739275</v>
      </c>
      <c r="K4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21">
        <f ca="1">qry_ProdData2_PDI_Cash_Exception_Application[[#This Row],[TODAY]]-qry_ProdData2_PDI_Cash_Exception_Application[[#This Row],[CHANGED ON]]</f>
        <v>3.7429282407392748</v>
      </c>
      <c r="M421">
        <f ca="1">qry_ProdData2_PDI_Cash_Exception_Application[[#This Row],[TODAY]]-qry_ProdData2_PDI_Cash_Exception_Application[[#This Row],[CHANGED ON]]</f>
        <v>3.7429282407392748</v>
      </c>
      <c r="N421">
        <f ca="1">qry_ProdData2_PDI_Cash_Exception_Application[[#This Row],[TODAY]]-qry_ProdData2_PDI_Cash_Exception_Application[[#This Row],[CHANGED ON]]</f>
        <v>3.7429282407392748</v>
      </c>
    </row>
    <row r="422" spans="1:14" x14ac:dyDescent="0.35">
      <c r="A422">
        <v>1034</v>
      </c>
      <c r="B422" t="s">
        <v>88</v>
      </c>
      <c r="C422" s="1">
        <v>45189.257071759261</v>
      </c>
      <c r="D422" t="str">
        <f ca="1">VLOOKUP(qry_ProdData2_PDI_Cash_Exception_Application[[#This Row],[TYPE]],#REF!,2,FALSE)</f>
        <v>type17</v>
      </c>
      <c r="E422">
        <v>328.97</v>
      </c>
      <c r="F422" t="s">
        <v>48</v>
      </c>
      <c r="G422" s="1">
        <f>qry_ProdData2_PDI_Cash_Exception_Application[[#This Row],[INSERT DATE]]+7</f>
        <v>45196.257071759261</v>
      </c>
      <c r="H422" t="str">
        <f>VLOOKUP(qry_ProdData2_PDI_Cash_Exception_Application[[#This Row],[MARKET No]],'Site Allocation'!$B$2:$C$37,2,FALSE)</f>
        <v>Analyst6</v>
      </c>
      <c r="I422" s="4">
        <f t="shared" ca="1" si="6"/>
        <v>45203</v>
      </c>
      <c r="J422" s="42">
        <f ca="1">TODAY()-qry_ProdData2_PDI_Cash_Exception_Application[[#This Row],[INSERT DATE]]</f>
        <v>13.742928240739275</v>
      </c>
      <c r="K4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22">
        <f ca="1">qry_ProdData2_PDI_Cash_Exception_Application[[#This Row],[TODAY]]-qry_ProdData2_PDI_Cash_Exception_Application[[#This Row],[CHANGED ON]]</f>
        <v>6.7429282407392748</v>
      </c>
      <c r="M422">
        <f ca="1">qry_ProdData2_PDI_Cash_Exception_Application[[#This Row],[TODAY]]-qry_ProdData2_PDI_Cash_Exception_Application[[#This Row],[CHANGED ON]]</f>
        <v>6.7429282407392748</v>
      </c>
      <c r="N422">
        <f ca="1">qry_ProdData2_PDI_Cash_Exception_Application[[#This Row],[TODAY]]-qry_ProdData2_PDI_Cash_Exception_Application[[#This Row],[CHANGED ON]]</f>
        <v>6.7429282407392748</v>
      </c>
    </row>
    <row r="423" spans="1:14" x14ac:dyDescent="0.35">
      <c r="A423">
        <v>1001</v>
      </c>
      <c r="B423" t="s">
        <v>55</v>
      </c>
      <c r="C423" s="1">
        <v>45183.257071759261</v>
      </c>
      <c r="D423" t="str">
        <f ca="1">VLOOKUP(qry_ProdData2_PDI_Cash_Exception_Application[[#This Row],[TYPE]],#REF!,2,FALSE)</f>
        <v>type40</v>
      </c>
      <c r="E423">
        <v>25</v>
      </c>
      <c r="F423" t="s">
        <v>47</v>
      </c>
      <c r="G423" s="1">
        <f>qry_ProdData2_PDI_Cash_Exception_Application[[#This Row],[INSERT DATE]]+2</f>
        <v>45185.257071759261</v>
      </c>
      <c r="H423" t="str">
        <f>VLOOKUP(qry_ProdData2_PDI_Cash_Exception_Application[[#This Row],[MARKET No]],'Site Allocation'!$B$2:$C$37,2,FALSE)</f>
        <v>Analyst1</v>
      </c>
      <c r="I423" s="4">
        <f t="shared" ca="1" si="6"/>
        <v>45203</v>
      </c>
      <c r="J423" s="42">
        <f ca="1">TODAY()-qry_ProdData2_PDI_Cash_Exception_Application[[#This Row],[INSERT DATE]]</f>
        <v>19.742928240739275</v>
      </c>
      <c r="K4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23">
        <f ca="1">qry_ProdData2_PDI_Cash_Exception_Application[[#This Row],[TODAY]]-qry_ProdData2_PDI_Cash_Exception_Application[[#This Row],[CHANGED ON]]</f>
        <v>17.742928240739275</v>
      </c>
      <c r="M423">
        <f ca="1">qry_ProdData2_PDI_Cash_Exception_Application[[#This Row],[TODAY]]-qry_ProdData2_PDI_Cash_Exception_Application[[#This Row],[CHANGED ON]]</f>
        <v>17.742928240739275</v>
      </c>
      <c r="N423">
        <f ca="1">qry_ProdData2_PDI_Cash_Exception_Application[[#This Row],[TODAY]]-qry_ProdData2_PDI_Cash_Exception_Application[[#This Row],[CHANGED ON]]</f>
        <v>17.742928240739275</v>
      </c>
    </row>
    <row r="424" spans="1:14" x14ac:dyDescent="0.35">
      <c r="A424">
        <v>1006</v>
      </c>
      <c r="B424" t="s">
        <v>60</v>
      </c>
      <c r="C424" s="1">
        <v>45189.257071759261</v>
      </c>
      <c r="D424" t="str">
        <f ca="1">VLOOKUP(qry_ProdData2_PDI_Cash_Exception_Application[[#This Row],[TYPE]],#REF!,2,FALSE)</f>
        <v>type13</v>
      </c>
      <c r="E424">
        <v>34509.54</v>
      </c>
      <c r="F424" t="s">
        <v>51</v>
      </c>
      <c r="G424" s="1">
        <f>qry_ProdData2_PDI_Cash_Exception_Application[[#This Row],[INSERT DATE]]+2</f>
        <v>45191.257071759261</v>
      </c>
      <c r="H424" t="str">
        <f>VLOOKUP(qry_ProdData2_PDI_Cash_Exception_Application[[#This Row],[MARKET No]],'Site Allocation'!$B$2:$C$37,2,FALSE)</f>
        <v>Analyst2</v>
      </c>
      <c r="I424" s="4">
        <f t="shared" ca="1" si="6"/>
        <v>45203</v>
      </c>
      <c r="J424" s="42">
        <f ca="1">TODAY()-qry_ProdData2_PDI_Cash_Exception_Application[[#This Row],[INSERT DATE]]</f>
        <v>13.742928240739275</v>
      </c>
      <c r="K4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24">
        <f ca="1">qry_ProdData2_PDI_Cash_Exception_Application[[#This Row],[TODAY]]-qry_ProdData2_PDI_Cash_Exception_Application[[#This Row],[CHANGED ON]]</f>
        <v>11.742928240739275</v>
      </c>
      <c r="M424">
        <f ca="1">qry_ProdData2_PDI_Cash_Exception_Application[[#This Row],[TODAY]]-qry_ProdData2_PDI_Cash_Exception_Application[[#This Row],[CHANGED ON]]</f>
        <v>11.742928240739275</v>
      </c>
      <c r="N424">
        <f ca="1">qry_ProdData2_PDI_Cash_Exception_Application[[#This Row],[TODAY]]-qry_ProdData2_PDI_Cash_Exception_Application[[#This Row],[CHANGED ON]]</f>
        <v>11.742928240739275</v>
      </c>
    </row>
    <row r="425" spans="1:14" x14ac:dyDescent="0.35">
      <c r="A425">
        <v>1027</v>
      </c>
      <c r="B425" t="s">
        <v>81</v>
      </c>
      <c r="C425" s="1">
        <v>45192.257071759261</v>
      </c>
      <c r="D425" t="str">
        <f ca="1">VLOOKUP(qry_ProdData2_PDI_Cash_Exception_Application[[#This Row],[TYPE]],#REF!,2,FALSE)</f>
        <v>type40</v>
      </c>
      <c r="E425">
        <v>40</v>
      </c>
      <c r="F425" t="s">
        <v>51</v>
      </c>
      <c r="G425" s="1">
        <f>qry_ProdData2_PDI_Cash_Exception_Application[[#This Row],[INSERT DATE]]+5</f>
        <v>45197.257071759261</v>
      </c>
      <c r="H425" t="str">
        <f>VLOOKUP(qry_ProdData2_PDI_Cash_Exception_Application[[#This Row],[MARKET No]],'Site Allocation'!$B$2:$C$37,2,FALSE)</f>
        <v>Analyst5</v>
      </c>
      <c r="I425" s="4">
        <f t="shared" ca="1" si="6"/>
        <v>45203</v>
      </c>
      <c r="J425" s="42">
        <f ca="1">TODAY()-qry_ProdData2_PDI_Cash_Exception_Application[[#This Row],[INSERT DATE]]</f>
        <v>10.742928240739275</v>
      </c>
      <c r="K4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25">
        <f ca="1">qry_ProdData2_PDI_Cash_Exception_Application[[#This Row],[TODAY]]-qry_ProdData2_PDI_Cash_Exception_Application[[#This Row],[CHANGED ON]]</f>
        <v>5.7429282407392748</v>
      </c>
      <c r="M425">
        <f ca="1">qry_ProdData2_PDI_Cash_Exception_Application[[#This Row],[TODAY]]-qry_ProdData2_PDI_Cash_Exception_Application[[#This Row],[CHANGED ON]]</f>
        <v>5.7429282407392748</v>
      </c>
      <c r="N425">
        <f ca="1">qry_ProdData2_PDI_Cash_Exception_Application[[#This Row],[TODAY]]-qry_ProdData2_PDI_Cash_Exception_Application[[#This Row],[CHANGED ON]]</f>
        <v>5.7429282407392748</v>
      </c>
    </row>
    <row r="426" spans="1:14" x14ac:dyDescent="0.35">
      <c r="A426">
        <v>1014</v>
      </c>
      <c r="B426" t="s">
        <v>68</v>
      </c>
      <c r="C426" s="1">
        <v>45184.257071759261</v>
      </c>
      <c r="D426" t="str">
        <f ca="1">VLOOKUP(qry_ProdData2_PDI_Cash_Exception_Application[[#This Row],[TYPE]],#REF!,2,FALSE)</f>
        <v>type13</v>
      </c>
      <c r="E426">
        <v>25963</v>
      </c>
      <c r="F426" t="s">
        <v>47</v>
      </c>
      <c r="G426" s="1">
        <f>qry_ProdData2_PDI_Cash_Exception_Application[[#This Row],[INSERT DATE]]+5</f>
        <v>45189.257071759261</v>
      </c>
      <c r="H426" t="str">
        <f>VLOOKUP(qry_ProdData2_PDI_Cash_Exception_Application[[#This Row],[MARKET No]],'Site Allocation'!$B$2:$C$37,2,FALSE)</f>
        <v>Analyst3</v>
      </c>
      <c r="I426" s="4">
        <f t="shared" ca="1" si="6"/>
        <v>45203</v>
      </c>
      <c r="J426" s="42">
        <f ca="1">TODAY()-qry_ProdData2_PDI_Cash_Exception_Application[[#This Row],[INSERT DATE]]</f>
        <v>18.742928240739275</v>
      </c>
      <c r="K4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26">
        <f ca="1">qry_ProdData2_PDI_Cash_Exception_Application[[#This Row],[TODAY]]-qry_ProdData2_PDI_Cash_Exception_Application[[#This Row],[CHANGED ON]]</f>
        <v>13.742928240739275</v>
      </c>
      <c r="M426">
        <f ca="1">qry_ProdData2_PDI_Cash_Exception_Application[[#This Row],[TODAY]]-qry_ProdData2_PDI_Cash_Exception_Application[[#This Row],[CHANGED ON]]</f>
        <v>13.742928240739275</v>
      </c>
      <c r="N426">
        <f ca="1">qry_ProdData2_PDI_Cash_Exception_Application[[#This Row],[TODAY]]-qry_ProdData2_PDI_Cash_Exception_Application[[#This Row],[CHANGED ON]]</f>
        <v>13.742928240739275</v>
      </c>
    </row>
    <row r="427" spans="1:14" x14ac:dyDescent="0.35">
      <c r="A427">
        <v>1013</v>
      </c>
      <c r="B427" t="s">
        <v>67</v>
      </c>
      <c r="C427" s="1">
        <v>45187.257071759261</v>
      </c>
      <c r="D427" t="str">
        <f ca="1">VLOOKUP(qry_ProdData2_PDI_Cash_Exception_Application[[#This Row],[TYPE]],#REF!,2,FALSE)</f>
        <v>type9</v>
      </c>
      <c r="E427">
        <v>1066.93</v>
      </c>
      <c r="F427" t="s">
        <v>50</v>
      </c>
      <c r="G427" s="1">
        <f>qry_ProdData2_PDI_Cash_Exception_Application[[#This Row],[INSERT DATE]]+1</f>
        <v>45188.257071759261</v>
      </c>
      <c r="H427" t="str">
        <f>VLOOKUP(qry_ProdData2_PDI_Cash_Exception_Application[[#This Row],[MARKET No]],'Site Allocation'!$B$2:$C$37,2,FALSE)</f>
        <v>Analyst3</v>
      </c>
      <c r="I427" s="4">
        <f t="shared" ca="1" si="6"/>
        <v>45203</v>
      </c>
      <c r="J427" s="42">
        <f ca="1">TODAY()-qry_ProdData2_PDI_Cash_Exception_Application[[#This Row],[INSERT DATE]]</f>
        <v>15.742928240739275</v>
      </c>
      <c r="K4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27">
        <f ca="1">qry_ProdData2_PDI_Cash_Exception_Application[[#This Row],[TODAY]]-qry_ProdData2_PDI_Cash_Exception_Application[[#This Row],[CHANGED ON]]</f>
        <v>14.742928240739275</v>
      </c>
      <c r="M427">
        <f ca="1">qry_ProdData2_PDI_Cash_Exception_Application[[#This Row],[TODAY]]-qry_ProdData2_PDI_Cash_Exception_Application[[#This Row],[CHANGED ON]]</f>
        <v>14.742928240739275</v>
      </c>
      <c r="N427">
        <f ca="1">qry_ProdData2_PDI_Cash_Exception_Application[[#This Row],[TODAY]]-qry_ProdData2_PDI_Cash_Exception_Application[[#This Row],[CHANGED ON]]</f>
        <v>14.742928240739275</v>
      </c>
    </row>
    <row r="428" spans="1:14" x14ac:dyDescent="0.35">
      <c r="A428">
        <v>1001</v>
      </c>
      <c r="B428" t="s">
        <v>55</v>
      </c>
      <c r="C428" s="1">
        <v>45188.257071759261</v>
      </c>
      <c r="D428" t="str">
        <f ca="1">VLOOKUP(qry_ProdData2_PDI_Cash_Exception_Application[[#This Row],[TYPE]],#REF!,2,FALSE)</f>
        <v>type40</v>
      </c>
      <c r="E428">
        <v>20</v>
      </c>
      <c r="F428" t="s">
        <v>52</v>
      </c>
      <c r="G428" s="1">
        <f>qry_ProdData2_PDI_Cash_Exception_Application[[#This Row],[INSERT DATE]]+1</f>
        <v>45189.257071759261</v>
      </c>
      <c r="H428" t="str">
        <f>VLOOKUP(qry_ProdData2_PDI_Cash_Exception_Application[[#This Row],[MARKET No]],'Site Allocation'!$B$2:$C$37,2,FALSE)</f>
        <v>Analyst1</v>
      </c>
      <c r="I428" s="4">
        <f t="shared" ca="1" si="6"/>
        <v>45203</v>
      </c>
      <c r="J428" s="42">
        <f ca="1">TODAY()-qry_ProdData2_PDI_Cash_Exception_Application[[#This Row],[INSERT DATE]]</f>
        <v>14.742928240739275</v>
      </c>
      <c r="K4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28">
        <f ca="1">qry_ProdData2_PDI_Cash_Exception_Application[[#This Row],[TODAY]]-qry_ProdData2_PDI_Cash_Exception_Application[[#This Row],[CHANGED ON]]</f>
        <v>13.742928240739275</v>
      </c>
      <c r="M428">
        <f ca="1">qry_ProdData2_PDI_Cash_Exception_Application[[#This Row],[TODAY]]-qry_ProdData2_PDI_Cash_Exception_Application[[#This Row],[CHANGED ON]]</f>
        <v>13.742928240739275</v>
      </c>
      <c r="N428">
        <f ca="1">qry_ProdData2_PDI_Cash_Exception_Application[[#This Row],[TODAY]]-qry_ProdData2_PDI_Cash_Exception_Application[[#This Row],[CHANGED ON]]</f>
        <v>13.742928240739275</v>
      </c>
    </row>
    <row r="429" spans="1:14" x14ac:dyDescent="0.35">
      <c r="A429">
        <v>1020</v>
      </c>
      <c r="B429" t="s">
        <v>74</v>
      </c>
      <c r="C429" s="1">
        <v>45189.257071759261</v>
      </c>
      <c r="D429" t="str">
        <f ca="1">VLOOKUP(qry_ProdData2_PDI_Cash_Exception_Application[[#This Row],[TYPE]],#REF!,2,FALSE)</f>
        <v>type22</v>
      </c>
      <c r="E429">
        <v>1363.26</v>
      </c>
      <c r="F429" t="s">
        <v>50</v>
      </c>
      <c r="G429" s="1">
        <f>qry_ProdData2_PDI_Cash_Exception_Application[[#This Row],[INSERT DATE]]+1</f>
        <v>45190.257071759261</v>
      </c>
      <c r="H429" t="str">
        <f>VLOOKUP(qry_ProdData2_PDI_Cash_Exception_Application[[#This Row],[MARKET No]],'Site Allocation'!$B$2:$C$37,2,FALSE)</f>
        <v>Analyst4</v>
      </c>
      <c r="I429" s="4">
        <f t="shared" ca="1" si="6"/>
        <v>45203</v>
      </c>
      <c r="J429" s="42">
        <f ca="1">TODAY()-qry_ProdData2_PDI_Cash_Exception_Application[[#This Row],[INSERT DATE]]</f>
        <v>13.742928240739275</v>
      </c>
      <c r="K4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29">
        <f ca="1">qry_ProdData2_PDI_Cash_Exception_Application[[#This Row],[TODAY]]-qry_ProdData2_PDI_Cash_Exception_Application[[#This Row],[CHANGED ON]]</f>
        <v>12.742928240739275</v>
      </c>
      <c r="M429">
        <f ca="1">qry_ProdData2_PDI_Cash_Exception_Application[[#This Row],[TODAY]]-qry_ProdData2_PDI_Cash_Exception_Application[[#This Row],[CHANGED ON]]</f>
        <v>12.742928240739275</v>
      </c>
      <c r="N429">
        <f ca="1">qry_ProdData2_PDI_Cash_Exception_Application[[#This Row],[TODAY]]-qry_ProdData2_PDI_Cash_Exception_Application[[#This Row],[CHANGED ON]]</f>
        <v>12.742928240739275</v>
      </c>
    </row>
    <row r="430" spans="1:14" x14ac:dyDescent="0.35">
      <c r="A430">
        <v>1026</v>
      </c>
      <c r="B430" t="s">
        <v>80</v>
      </c>
      <c r="C430" s="1">
        <v>45184.257071759261</v>
      </c>
      <c r="D430" t="str">
        <f ca="1">VLOOKUP(qry_ProdData2_PDI_Cash_Exception_Application[[#This Row],[TYPE]],#REF!,2,FALSE)</f>
        <v>type1</v>
      </c>
      <c r="E430">
        <v>17</v>
      </c>
      <c r="F430" t="s">
        <v>51</v>
      </c>
      <c r="G430" s="1">
        <f>qry_ProdData2_PDI_Cash_Exception_Application[[#This Row],[INSERT DATE]]+7</f>
        <v>45191.257071759261</v>
      </c>
      <c r="H430" t="str">
        <f>VLOOKUP(qry_ProdData2_PDI_Cash_Exception_Application[[#This Row],[MARKET No]],'Site Allocation'!$B$2:$C$37,2,FALSE)</f>
        <v>Analyst5</v>
      </c>
      <c r="I430" s="4">
        <f t="shared" ca="1" si="6"/>
        <v>45203</v>
      </c>
      <c r="J430" s="42">
        <f ca="1">TODAY()-qry_ProdData2_PDI_Cash_Exception_Application[[#This Row],[INSERT DATE]]</f>
        <v>18.742928240739275</v>
      </c>
      <c r="K4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30">
        <f ca="1">qry_ProdData2_PDI_Cash_Exception_Application[[#This Row],[TODAY]]-qry_ProdData2_PDI_Cash_Exception_Application[[#This Row],[CHANGED ON]]</f>
        <v>11.742928240739275</v>
      </c>
      <c r="M430">
        <f ca="1">qry_ProdData2_PDI_Cash_Exception_Application[[#This Row],[TODAY]]-qry_ProdData2_PDI_Cash_Exception_Application[[#This Row],[CHANGED ON]]</f>
        <v>11.742928240739275</v>
      </c>
      <c r="N430">
        <f ca="1">qry_ProdData2_PDI_Cash_Exception_Application[[#This Row],[TODAY]]-qry_ProdData2_PDI_Cash_Exception_Application[[#This Row],[CHANGED ON]]</f>
        <v>11.742928240739275</v>
      </c>
    </row>
    <row r="431" spans="1:14" x14ac:dyDescent="0.35">
      <c r="A431">
        <v>1009</v>
      </c>
      <c r="B431" t="s">
        <v>63</v>
      </c>
      <c r="C431" s="1">
        <v>45187.257071759261</v>
      </c>
      <c r="D431" t="str">
        <f ca="1">VLOOKUP(qry_ProdData2_PDI_Cash_Exception_Application[[#This Row],[TYPE]],#REF!,2,FALSE)</f>
        <v>type13</v>
      </c>
      <c r="E431">
        <v>23222.49</v>
      </c>
      <c r="F431" t="s">
        <v>49</v>
      </c>
      <c r="G431" s="1">
        <f>qry_ProdData2_PDI_Cash_Exception_Application[[#This Row],[INSERT DATE]]+7</f>
        <v>45194.257071759261</v>
      </c>
      <c r="H431" t="str">
        <f>VLOOKUP(qry_ProdData2_PDI_Cash_Exception_Application[[#This Row],[MARKET No]],'Site Allocation'!$B$2:$C$37,2,FALSE)</f>
        <v>Analyst2</v>
      </c>
      <c r="I431" s="4">
        <f t="shared" ca="1" si="6"/>
        <v>45203</v>
      </c>
      <c r="J431" s="42">
        <f ca="1">TODAY()-qry_ProdData2_PDI_Cash_Exception_Application[[#This Row],[INSERT DATE]]</f>
        <v>15.742928240739275</v>
      </c>
      <c r="K4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31">
        <f ca="1">qry_ProdData2_PDI_Cash_Exception_Application[[#This Row],[TODAY]]-qry_ProdData2_PDI_Cash_Exception_Application[[#This Row],[CHANGED ON]]</f>
        <v>8.7429282407392748</v>
      </c>
      <c r="M431">
        <f ca="1">qry_ProdData2_PDI_Cash_Exception_Application[[#This Row],[TODAY]]-qry_ProdData2_PDI_Cash_Exception_Application[[#This Row],[CHANGED ON]]</f>
        <v>8.7429282407392748</v>
      </c>
      <c r="N431">
        <f ca="1">qry_ProdData2_PDI_Cash_Exception_Application[[#This Row],[TODAY]]-qry_ProdData2_PDI_Cash_Exception_Application[[#This Row],[CHANGED ON]]</f>
        <v>8.7429282407392748</v>
      </c>
    </row>
    <row r="432" spans="1:14" x14ac:dyDescent="0.35">
      <c r="A432">
        <v>1034</v>
      </c>
      <c r="B432" t="s">
        <v>88</v>
      </c>
      <c r="C432" s="1">
        <v>45185.257071759261</v>
      </c>
      <c r="D432" t="str">
        <f ca="1">VLOOKUP(qry_ProdData2_PDI_Cash_Exception_Application[[#This Row],[TYPE]],#REF!,2,FALSE)</f>
        <v>type34</v>
      </c>
      <c r="E432">
        <v>267.75</v>
      </c>
      <c r="F432" t="s">
        <v>47</v>
      </c>
      <c r="G432" s="1">
        <f>qry_ProdData2_PDI_Cash_Exception_Application[[#This Row],[INSERT DATE]]+5</f>
        <v>45190.257071759261</v>
      </c>
      <c r="H432" t="str">
        <f>VLOOKUP(qry_ProdData2_PDI_Cash_Exception_Application[[#This Row],[MARKET No]],'Site Allocation'!$B$2:$C$37,2,FALSE)</f>
        <v>Analyst6</v>
      </c>
      <c r="I432" s="4">
        <f t="shared" ca="1" si="6"/>
        <v>45203</v>
      </c>
      <c r="J432" s="42">
        <f ca="1">TODAY()-qry_ProdData2_PDI_Cash_Exception_Application[[#This Row],[INSERT DATE]]</f>
        <v>17.742928240739275</v>
      </c>
      <c r="K4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32">
        <f ca="1">qry_ProdData2_PDI_Cash_Exception_Application[[#This Row],[TODAY]]-qry_ProdData2_PDI_Cash_Exception_Application[[#This Row],[CHANGED ON]]</f>
        <v>12.742928240739275</v>
      </c>
      <c r="M432">
        <f ca="1">qry_ProdData2_PDI_Cash_Exception_Application[[#This Row],[TODAY]]-qry_ProdData2_PDI_Cash_Exception_Application[[#This Row],[CHANGED ON]]</f>
        <v>12.742928240739275</v>
      </c>
      <c r="N432">
        <f ca="1">qry_ProdData2_PDI_Cash_Exception_Application[[#This Row],[TODAY]]-qry_ProdData2_PDI_Cash_Exception_Application[[#This Row],[CHANGED ON]]</f>
        <v>12.742928240739275</v>
      </c>
    </row>
    <row r="433" spans="1:14" x14ac:dyDescent="0.35">
      <c r="A433">
        <v>1021</v>
      </c>
      <c r="B433" t="s">
        <v>75</v>
      </c>
      <c r="C433" s="1">
        <v>45190.257071759261</v>
      </c>
      <c r="D433" t="str">
        <f ca="1">VLOOKUP(qry_ProdData2_PDI_Cash_Exception_Application[[#This Row],[TYPE]],#REF!,2,FALSE)</f>
        <v>type40</v>
      </c>
      <c r="E433">
        <v>7644.51</v>
      </c>
      <c r="F433" t="s">
        <v>49</v>
      </c>
      <c r="G433" s="1">
        <f>qry_ProdData2_PDI_Cash_Exception_Application[[#This Row],[INSERT DATE]]+7</f>
        <v>45197.257071759261</v>
      </c>
      <c r="H433" t="str">
        <f>VLOOKUP(qry_ProdData2_PDI_Cash_Exception_Application[[#This Row],[MARKET No]],'Site Allocation'!$B$2:$C$37,2,FALSE)</f>
        <v>Analyst4</v>
      </c>
      <c r="I433" s="4">
        <f t="shared" ca="1" si="6"/>
        <v>45203</v>
      </c>
      <c r="J433" s="42">
        <f ca="1">TODAY()-qry_ProdData2_PDI_Cash_Exception_Application[[#This Row],[INSERT DATE]]</f>
        <v>12.742928240739275</v>
      </c>
      <c r="K4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33">
        <f ca="1">qry_ProdData2_PDI_Cash_Exception_Application[[#This Row],[TODAY]]-qry_ProdData2_PDI_Cash_Exception_Application[[#This Row],[CHANGED ON]]</f>
        <v>5.7429282407392748</v>
      </c>
      <c r="M433">
        <f ca="1">qry_ProdData2_PDI_Cash_Exception_Application[[#This Row],[TODAY]]-qry_ProdData2_PDI_Cash_Exception_Application[[#This Row],[CHANGED ON]]</f>
        <v>5.7429282407392748</v>
      </c>
      <c r="N433">
        <f ca="1">qry_ProdData2_PDI_Cash_Exception_Application[[#This Row],[TODAY]]-qry_ProdData2_PDI_Cash_Exception_Application[[#This Row],[CHANGED ON]]</f>
        <v>5.7429282407392748</v>
      </c>
    </row>
    <row r="434" spans="1:14" x14ac:dyDescent="0.35">
      <c r="A434">
        <v>1006</v>
      </c>
      <c r="B434" t="s">
        <v>60</v>
      </c>
      <c r="C434" s="1">
        <v>45192.257071759261</v>
      </c>
      <c r="D434" t="str">
        <f ca="1">VLOOKUP(qry_ProdData2_PDI_Cash_Exception_Application[[#This Row],[TYPE]],#REF!,2,FALSE)</f>
        <v>type40</v>
      </c>
      <c r="E434">
        <v>-12245.64</v>
      </c>
      <c r="F434" t="s">
        <v>50</v>
      </c>
      <c r="G434" s="1">
        <f>qry_ProdData2_PDI_Cash_Exception_Application[[#This Row],[INSERT DATE]]+1</f>
        <v>45193.257071759261</v>
      </c>
      <c r="H434" t="str">
        <f>VLOOKUP(qry_ProdData2_PDI_Cash_Exception_Application[[#This Row],[MARKET No]],'Site Allocation'!$B$2:$C$37,2,FALSE)</f>
        <v>Analyst2</v>
      </c>
      <c r="I434" s="4">
        <f t="shared" ca="1" si="6"/>
        <v>45203</v>
      </c>
      <c r="J434" s="42">
        <f ca="1">TODAY()-qry_ProdData2_PDI_Cash_Exception_Application[[#This Row],[INSERT DATE]]</f>
        <v>10.742928240739275</v>
      </c>
      <c r="K4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34">
        <f ca="1">qry_ProdData2_PDI_Cash_Exception_Application[[#This Row],[TODAY]]-qry_ProdData2_PDI_Cash_Exception_Application[[#This Row],[CHANGED ON]]</f>
        <v>9.7429282407392748</v>
      </c>
      <c r="M434">
        <f ca="1">qry_ProdData2_PDI_Cash_Exception_Application[[#This Row],[TODAY]]-qry_ProdData2_PDI_Cash_Exception_Application[[#This Row],[CHANGED ON]]</f>
        <v>9.7429282407392748</v>
      </c>
      <c r="N434">
        <f ca="1">qry_ProdData2_PDI_Cash_Exception_Application[[#This Row],[TODAY]]-qry_ProdData2_PDI_Cash_Exception_Application[[#This Row],[CHANGED ON]]</f>
        <v>9.7429282407392748</v>
      </c>
    </row>
    <row r="435" spans="1:14" x14ac:dyDescent="0.35">
      <c r="A435">
        <v>1009</v>
      </c>
      <c r="B435" t="s">
        <v>63</v>
      </c>
      <c r="C435" s="1">
        <v>45180.257071759261</v>
      </c>
      <c r="D435" t="str">
        <f ca="1">VLOOKUP(qry_ProdData2_PDI_Cash_Exception_Application[[#This Row],[TYPE]],#REF!,2,FALSE)</f>
        <v>type40</v>
      </c>
      <c r="E435">
        <v>563.26</v>
      </c>
      <c r="F435" t="s">
        <v>49</v>
      </c>
      <c r="G435" s="1">
        <f>qry_ProdData2_PDI_Cash_Exception_Application[[#This Row],[INSERT DATE]]+1</f>
        <v>45181.257071759261</v>
      </c>
      <c r="H435" t="str">
        <f>VLOOKUP(qry_ProdData2_PDI_Cash_Exception_Application[[#This Row],[MARKET No]],'Site Allocation'!$B$2:$C$37,2,FALSE)</f>
        <v>Analyst2</v>
      </c>
      <c r="I435" s="4">
        <f t="shared" ca="1" si="6"/>
        <v>45203</v>
      </c>
      <c r="J435" s="42">
        <f ca="1">TODAY()-qry_ProdData2_PDI_Cash_Exception_Application[[#This Row],[INSERT DATE]]</f>
        <v>22.742928240739275</v>
      </c>
      <c r="K4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35">
        <f ca="1">qry_ProdData2_PDI_Cash_Exception_Application[[#This Row],[TODAY]]-qry_ProdData2_PDI_Cash_Exception_Application[[#This Row],[CHANGED ON]]</f>
        <v>21.742928240739275</v>
      </c>
      <c r="M435">
        <f ca="1">qry_ProdData2_PDI_Cash_Exception_Application[[#This Row],[TODAY]]-qry_ProdData2_PDI_Cash_Exception_Application[[#This Row],[CHANGED ON]]</f>
        <v>21.742928240739275</v>
      </c>
      <c r="N435">
        <f ca="1">qry_ProdData2_PDI_Cash_Exception_Application[[#This Row],[TODAY]]-qry_ProdData2_PDI_Cash_Exception_Application[[#This Row],[CHANGED ON]]</f>
        <v>21.742928240739275</v>
      </c>
    </row>
    <row r="436" spans="1:14" x14ac:dyDescent="0.35">
      <c r="A436">
        <v>1011</v>
      </c>
      <c r="B436" t="s">
        <v>65</v>
      </c>
      <c r="C436" s="1">
        <v>45186.257071759261</v>
      </c>
      <c r="D436" t="str">
        <f ca="1">VLOOKUP(qry_ProdData2_PDI_Cash_Exception_Application[[#This Row],[TYPE]],#REF!,2,FALSE)</f>
        <v>type40</v>
      </c>
      <c r="E436">
        <v>-394.32</v>
      </c>
      <c r="F436" t="s">
        <v>51</v>
      </c>
      <c r="G436" s="1">
        <f>qry_ProdData2_PDI_Cash_Exception_Application[[#This Row],[INSERT DATE]]+7</f>
        <v>45193.257071759261</v>
      </c>
      <c r="H436" t="str">
        <f>VLOOKUP(qry_ProdData2_PDI_Cash_Exception_Application[[#This Row],[MARKET No]],'Site Allocation'!$B$2:$C$37,2,FALSE)</f>
        <v>Analyst2</v>
      </c>
      <c r="I436" s="4">
        <f t="shared" ca="1" si="6"/>
        <v>45203</v>
      </c>
      <c r="J436" s="42">
        <f ca="1">TODAY()-qry_ProdData2_PDI_Cash_Exception_Application[[#This Row],[INSERT DATE]]</f>
        <v>16.742928240739275</v>
      </c>
      <c r="K4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36">
        <f ca="1">qry_ProdData2_PDI_Cash_Exception_Application[[#This Row],[TODAY]]-qry_ProdData2_PDI_Cash_Exception_Application[[#This Row],[CHANGED ON]]</f>
        <v>9.7429282407392748</v>
      </c>
      <c r="M436">
        <f ca="1">qry_ProdData2_PDI_Cash_Exception_Application[[#This Row],[TODAY]]-qry_ProdData2_PDI_Cash_Exception_Application[[#This Row],[CHANGED ON]]</f>
        <v>9.7429282407392748</v>
      </c>
      <c r="N436">
        <f ca="1">qry_ProdData2_PDI_Cash_Exception_Application[[#This Row],[TODAY]]-qry_ProdData2_PDI_Cash_Exception_Application[[#This Row],[CHANGED ON]]</f>
        <v>9.7429282407392748</v>
      </c>
    </row>
    <row r="437" spans="1:14" x14ac:dyDescent="0.35">
      <c r="A437">
        <v>1012</v>
      </c>
      <c r="B437" t="s">
        <v>66</v>
      </c>
      <c r="C437" s="1">
        <v>45191.257071759261</v>
      </c>
      <c r="D437" t="str">
        <f ca="1">VLOOKUP(qry_ProdData2_PDI_Cash_Exception_Application[[#This Row],[TYPE]],#REF!,2,FALSE)</f>
        <v>type7</v>
      </c>
      <c r="E437">
        <v>-15454.56</v>
      </c>
      <c r="F437" t="s">
        <v>51</v>
      </c>
      <c r="G437" s="1">
        <f>qry_ProdData2_PDI_Cash_Exception_Application[[#This Row],[INSERT DATE]]+1</f>
        <v>45192.257071759261</v>
      </c>
      <c r="H437" t="str">
        <f>VLOOKUP(qry_ProdData2_PDI_Cash_Exception_Application[[#This Row],[MARKET No]],'Site Allocation'!$B$2:$C$37,2,FALSE)</f>
        <v>Analyst3</v>
      </c>
      <c r="I437" s="4">
        <f t="shared" ca="1" si="6"/>
        <v>45203</v>
      </c>
      <c r="J437" s="42">
        <f ca="1">TODAY()-qry_ProdData2_PDI_Cash_Exception_Application[[#This Row],[INSERT DATE]]</f>
        <v>11.742928240739275</v>
      </c>
      <c r="K4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37">
        <f ca="1">qry_ProdData2_PDI_Cash_Exception_Application[[#This Row],[TODAY]]-qry_ProdData2_PDI_Cash_Exception_Application[[#This Row],[CHANGED ON]]</f>
        <v>10.742928240739275</v>
      </c>
      <c r="M437">
        <f ca="1">qry_ProdData2_PDI_Cash_Exception_Application[[#This Row],[TODAY]]-qry_ProdData2_PDI_Cash_Exception_Application[[#This Row],[CHANGED ON]]</f>
        <v>10.742928240739275</v>
      </c>
      <c r="N437">
        <f ca="1">qry_ProdData2_PDI_Cash_Exception_Application[[#This Row],[TODAY]]-qry_ProdData2_PDI_Cash_Exception_Application[[#This Row],[CHANGED ON]]</f>
        <v>10.742928240739275</v>
      </c>
    </row>
    <row r="438" spans="1:14" x14ac:dyDescent="0.35">
      <c r="A438">
        <v>1027</v>
      </c>
      <c r="B438" t="s">
        <v>81</v>
      </c>
      <c r="C438" s="1">
        <v>45179.257071759261</v>
      </c>
      <c r="D438" t="str">
        <f ca="1">VLOOKUP(qry_ProdData2_PDI_Cash_Exception_Application[[#This Row],[TYPE]],#REF!,2,FALSE)</f>
        <v>type7</v>
      </c>
      <c r="E438">
        <v>14641.49</v>
      </c>
      <c r="F438" t="s">
        <v>48</v>
      </c>
      <c r="G438" s="1">
        <f>qry_ProdData2_PDI_Cash_Exception_Application[[#This Row],[INSERT DATE]]+7</f>
        <v>45186.257071759261</v>
      </c>
      <c r="H438" t="str">
        <f>VLOOKUP(qry_ProdData2_PDI_Cash_Exception_Application[[#This Row],[MARKET No]],'Site Allocation'!$B$2:$C$37,2,FALSE)</f>
        <v>Analyst5</v>
      </c>
      <c r="I438" s="4">
        <f t="shared" ca="1" si="6"/>
        <v>45203</v>
      </c>
      <c r="J438" s="42">
        <f ca="1">TODAY()-qry_ProdData2_PDI_Cash_Exception_Application[[#This Row],[INSERT DATE]]</f>
        <v>23.742928240739275</v>
      </c>
      <c r="K4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38">
        <f ca="1">qry_ProdData2_PDI_Cash_Exception_Application[[#This Row],[TODAY]]-qry_ProdData2_PDI_Cash_Exception_Application[[#This Row],[CHANGED ON]]</f>
        <v>16.742928240739275</v>
      </c>
      <c r="M438">
        <f ca="1">qry_ProdData2_PDI_Cash_Exception_Application[[#This Row],[TODAY]]-qry_ProdData2_PDI_Cash_Exception_Application[[#This Row],[CHANGED ON]]</f>
        <v>16.742928240739275</v>
      </c>
      <c r="N438">
        <f ca="1">qry_ProdData2_PDI_Cash_Exception_Application[[#This Row],[TODAY]]-qry_ProdData2_PDI_Cash_Exception_Application[[#This Row],[CHANGED ON]]</f>
        <v>16.742928240739275</v>
      </c>
    </row>
    <row r="439" spans="1:14" x14ac:dyDescent="0.35">
      <c r="A439">
        <v>1025</v>
      </c>
      <c r="B439" t="s">
        <v>79</v>
      </c>
      <c r="C439" s="1">
        <v>45181.257071759261</v>
      </c>
      <c r="D439" t="str">
        <f ca="1">VLOOKUP(qry_ProdData2_PDI_Cash_Exception_Application[[#This Row],[TYPE]],#REF!,2,FALSE)</f>
        <v>type40</v>
      </c>
      <c r="E439">
        <v>1808</v>
      </c>
      <c r="F439" t="s">
        <v>51</v>
      </c>
      <c r="G439" s="1">
        <f>qry_ProdData2_PDI_Cash_Exception_Application[[#This Row],[INSERT DATE]]+2</f>
        <v>45183.257071759261</v>
      </c>
      <c r="H439" t="str">
        <f>VLOOKUP(qry_ProdData2_PDI_Cash_Exception_Application[[#This Row],[MARKET No]],'Site Allocation'!$B$2:$C$37,2,FALSE)</f>
        <v>Analyst5</v>
      </c>
      <c r="I439" s="4">
        <f t="shared" ca="1" si="6"/>
        <v>45203</v>
      </c>
      <c r="J439" s="42">
        <f ca="1">TODAY()-qry_ProdData2_PDI_Cash_Exception_Application[[#This Row],[INSERT DATE]]</f>
        <v>21.742928240739275</v>
      </c>
      <c r="K4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39">
        <f ca="1">qry_ProdData2_PDI_Cash_Exception_Application[[#This Row],[TODAY]]-qry_ProdData2_PDI_Cash_Exception_Application[[#This Row],[CHANGED ON]]</f>
        <v>19.742928240739275</v>
      </c>
      <c r="M439">
        <f ca="1">qry_ProdData2_PDI_Cash_Exception_Application[[#This Row],[TODAY]]-qry_ProdData2_PDI_Cash_Exception_Application[[#This Row],[CHANGED ON]]</f>
        <v>19.742928240739275</v>
      </c>
      <c r="N439">
        <f ca="1">qry_ProdData2_PDI_Cash_Exception_Application[[#This Row],[TODAY]]-qry_ProdData2_PDI_Cash_Exception_Application[[#This Row],[CHANGED ON]]</f>
        <v>19.742928240739275</v>
      </c>
    </row>
    <row r="440" spans="1:14" x14ac:dyDescent="0.35">
      <c r="A440">
        <v>1029</v>
      </c>
      <c r="B440" t="s">
        <v>83</v>
      </c>
      <c r="C440" s="1">
        <v>45185.257071759261</v>
      </c>
      <c r="D440" t="str">
        <f ca="1">VLOOKUP(qry_ProdData2_PDI_Cash_Exception_Application[[#This Row],[TYPE]],#REF!,2,FALSE)</f>
        <v>type13</v>
      </c>
      <c r="E440">
        <v>45591.79</v>
      </c>
      <c r="F440" t="s">
        <v>51</v>
      </c>
      <c r="G440" s="1">
        <f>qry_ProdData2_PDI_Cash_Exception_Application[[#This Row],[INSERT DATE]]+7</f>
        <v>45192.257071759261</v>
      </c>
      <c r="H440" t="str">
        <f>VLOOKUP(qry_ProdData2_PDI_Cash_Exception_Application[[#This Row],[MARKET No]],'Site Allocation'!$B$2:$C$37,2,FALSE)</f>
        <v>Analyst5</v>
      </c>
      <c r="I440" s="4">
        <f t="shared" ca="1" si="6"/>
        <v>45203</v>
      </c>
      <c r="J440" s="42">
        <f ca="1">TODAY()-qry_ProdData2_PDI_Cash_Exception_Application[[#This Row],[INSERT DATE]]</f>
        <v>17.742928240739275</v>
      </c>
      <c r="K4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40">
        <f ca="1">qry_ProdData2_PDI_Cash_Exception_Application[[#This Row],[TODAY]]-qry_ProdData2_PDI_Cash_Exception_Application[[#This Row],[CHANGED ON]]</f>
        <v>10.742928240739275</v>
      </c>
      <c r="M440">
        <f ca="1">qry_ProdData2_PDI_Cash_Exception_Application[[#This Row],[TODAY]]-qry_ProdData2_PDI_Cash_Exception_Application[[#This Row],[CHANGED ON]]</f>
        <v>10.742928240739275</v>
      </c>
      <c r="N440">
        <f ca="1">qry_ProdData2_PDI_Cash_Exception_Application[[#This Row],[TODAY]]-qry_ProdData2_PDI_Cash_Exception_Application[[#This Row],[CHANGED ON]]</f>
        <v>10.742928240739275</v>
      </c>
    </row>
    <row r="441" spans="1:14" x14ac:dyDescent="0.35">
      <c r="A441">
        <v>1031</v>
      </c>
      <c r="B441" t="s">
        <v>85</v>
      </c>
      <c r="C441" s="1">
        <v>45187.257071759261</v>
      </c>
      <c r="D441" t="str">
        <f ca="1">VLOOKUP(qry_ProdData2_PDI_Cash_Exception_Application[[#This Row],[TYPE]],#REF!,2,FALSE)</f>
        <v>type18</v>
      </c>
      <c r="E441">
        <v>400.07</v>
      </c>
      <c r="F441" t="s">
        <v>47</v>
      </c>
      <c r="G441" s="1">
        <f>qry_ProdData2_PDI_Cash_Exception_Application[[#This Row],[INSERT DATE]]+7</f>
        <v>45194.257071759261</v>
      </c>
      <c r="H441" t="str">
        <f>VLOOKUP(qry_ProdData2_PDI_Cash_Exception_Application[[#This Row],[MARKET No]],'Site Allocation'!$B$2:$C$37,2,FALSE)</f>
        <v>Analyst6</v>
      </c>
      <c r="I441" s="4">
        <f t="shared" ca="1" si="6"/>
        <v>45203</v>
      </c>
      <c r="J441" s="42">
        <f ca="1">TODAY()-qry_ProdData2_PDI_Cash_Exception_Application[[#This Row],[INSERT DATE]]</f>
        <v>15.742928240739275</v>
      </c>
      <c r="K4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41">
        <f ca="1">qry_ProdData2_PDI_Cash_Exception_Application[[#This Row],[TODAY]]-qry_ProdData2_PDI_Cash_Exception_Application[[#This Row],[CHANGED ON]]</f>
        <v>8.7429282407392748</v>
      </c>
      <c r="M441">
        <f ca="1">qry_ProdData2_PDI_Cash_Exception_Application[[#This Row],[TODAY]]-qry_ProdData2_PDI_Cash_Exception_Application[[#This Row],[CHANGED ON]]</f>
        <v>8.7429282407392748</v>
      </c>
      <c r="N441">
        <f ca="1">qry_ProdData2_PDI_Cash_Exception_Application[[#This Row],[TODAY]]-qry_ProdData2_PDI_Cash_Exception_Application[[#This Row],[CHANGED ON]]</f>
        <v>8.7429282407392748</v>
      </c>
    </row>
    <row r="442" spans="1:14" x14ac:dyDescent="0.35">
      <c r="A442">
        <v>1017</v>
      </c>
      <c r="B442" t="s">
        <v>71</v>
      </c>
      <c r="C442" s="1">
        <v>45187.257071759261</v>
      </c>
      <c r="D442" t="str">
        <f ca="1">VLOOKUP(qry_ProdData2_PDI_Cash_Exception_Application[[#This Row],[TYPE]],#REF!,2,FALSE)</f>
        <v>type40</v>
      </c>
      <c r="E442">
        <v>-7026</v>
      </c>
      <c r="F442" t="s">
        <v>51</v>
      </c>
      <c r="G442" s="1">
        <f>qry_ProdData2_PDI_Cash_Exception_Application[[#This Row],[INSERT DATE]]+7</f>
        <v>45194.257071759261</v>
      </c>
      <c r="H442" t="str">
        <f>VLOOKUP(qry_ProdData2_PDI_Cash_Exception_Application[[#This Row],[MARKET No]],'Site Allocation'!$B$2:$C$37,2,FALSE)</f>
        <v>Analyst3</v>
      </c>
      <c r="I442" s="4">
        <f t="shared" ca="1" si="6"/>
        <v>45203</v>
      </c>
      <c r="J442" s="42">
        <f ca="1">TODAY()-qry_ProdData2_PDI_Cash_Exception_Application[[#This Row],[INSERT DATE]]</f>
        <v>15.742928240739275</v>
      </c>
      <c r="K4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42">
        <f ca="1">qry_ProdData2_PDI_Cash_Exception_Application[[#This Row],[TODAY]]-qry_ProdData2_PDI_Cash_Exception_Application[[#This Row],[CHANGED ON]]</f>
        <v>8.7429282407392748</v>
      </c>
      <c r="M442">
        <f ca="1">qry_ProdData2_PDI_Cash_Exception_Application[[#This Row],[TODAY]]-qry_ProdData2_PDI_Cash_Exception_Application[[#This Row],[CHANGED ON]]</f>
        <v>8.7429282407392748</v>
      </c>
      <c r="N442">
        <f ca="1">qry_ProdData2_PDI_Cash_Exception_Application[[#This Row],[TODAY]]-qry_ProdData2_PDI_Cash_Exception_Application[[#This Row],[CHANGED ON]]</f>
        <v>8.7429282407392748</v>
      </c>
    </row>
    <row r="443" spans="1:14" x14ac:dyDescent="0.35">
      <c r="A443">
        <v>1024</v>
      </c>
      <c r="B443" t="s">
        <v>78</v>
      </c>
      <c r="C443" s="1">
        <v>45187.257071759261</v>
      </c>
      <c r="D443" t="str">
        <f ca="1">VLOOKUP(qry_ProdData2_PDI_Cash_Exception_Application[[#This Row],[TYPE]],#REF!,2,FALSE)</f>
        <v>type40</v>
      </c>
      <c r="E443">
        <v>28.88</v>
      </c>
      <c r="F443" t="s">
        <v>52</v>
      </c>
      <c r="G443" s="1">
        <f>qry_ProdData2_PDI_Cash_Exception_Application[[#This Row],[INSERT DATE]]+2</f>
        <v>45189.257071759261</v>
      </c>
      <c r="H443" t="str">
        <f>VLOOKUP(qry_ProdData2_PDI_Cash_Exception_Application[[#This Row],[MARKET No]],'Site Allocation'!$B$2:$C$37,2,FALSE)</f>
        <v>Analyst5</v>
      </c>
      <c r="I443" s="4">
        <f t="shared" ca="1" si="6"/>
        <v>45203</v>
      </c>
      <c r="J443" s="42">
        <f ca="1">TODAY()-qry_ProdData2_PDI_Cash_Exception_Application[[#This Row],[INSERT DATE]]</f>
        <v>15.742928240739275</v>
      </c>
      <c r="K4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43">
        <f ca="1">qry_ProdData2_PDI_Cash_Exception_Application[[#This Row],[TODAY]]-qry_ProdData2_PDI_Cash_Exception_Application[[#This Row],[CHANGED ON]]</f>
        <v>13.742928240739275</v>
      </c>
      <c r="M443">
        <f ca="1">qry_ProdData2_PDI_Cash_Exception_Application[[#This Row],[TODAY]]-qry_ProdData2_PDI_Cash_Exception_Application[[#This Row],[CHANGED ON]]</f>
        <v>13.742928240739275</v>
      </c>
      <c r="N443">
        <f ca="1">qry_ProdData2_PDI_Cash_Exception_Application[[#This Row],[TODAY]]-qry_ProdData2_PDI_Cash_Exception_Application[[#This Row],[CHANGED ON]]</f>
        <v>13.742928240739275</v>
      </c>
    </row>
    <row r="444" spans="1:14" x14ac:dyDescent="0.35">
      <c r="A444">
        <v>1021</v>
      </c>
      <c r="B444" t="s">
        <v>75</v>
      </c>
      <c r="C444" s="1">
        <v>45183.257071759261</v>
      </c>
      <c r="D444" t="str">
        <f ca="1">VLOOKUP(qry_ProdData2_PDI_Cash_Exception_Application[[#This Row],[TYPE]],#REF!,2,FALSE)</f>
        <v>type30</v>
      </c>
      <c r="E444">
        <v>225.44</v>
      </c>
      <c r="F444" t="s">
        <v>49</v>
      </c>
      <c r="G444" s="1">
        <f>qry_ProdData2_PDI_Cash_Exception_Application[[#This Row],[INSERT DATE]]+1</f>
        <v>45184.257071759261</v>
      </c>
      <c r="H444" t="str">
        <f>VLOOKUP(qry_ProdData2_PDI_Cash_Exception_Application[[#This Row],[MARKET No]],'Site Allocation'!$B$2:$C$37,2,FALSE)</f>
        <v>Analyst4</v>
      </c>
      <c r="I444" s="4">
        <f t="shared" ca="1" si="6"/>
        <v>45203</v>
      </c>
      <c r="J444" s="42">
        <f ca="1">TODAY()-qry_ProdData2_PDI_Cash_Exception_Application[[#This Row],[INSERT DATE]]</f>
        <v>19.742928240739275</v>
      </c>
      <c r="K4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44">
        <f ca="1">qry_ProdData2_PDI_Cash_Exception_Application[[#This Row],[TODAY]]-qry_ProdData2_PDI_Cash_Exception_Application[[#This Row],[CHANGED ON]]</f>
        <v>18.742928240739275</v>
      </c>
      <c r="M444">
        <f ca="1">qry_ProdData2_PDI_Cash_Exception_Application[[#This Row],[TODAY]]-qry_ProdData2_PDI_Cash_Exception_Application[[#This Row],[CHANGED ON]]</f>
        <v>18.742928240739275</v>
      </c>
      <c r="N444">
        <f ca="1">qry_ProdData2_PDI_Cash_Exception_Application[[#This Row],[TODAY]]-qry_ProdData2_PDI_Cash_Exception_Application[[#This Row],[CHANGED ON]]</f>
        <v>18.742928240739275</v>
      </c>
    </row>
    <row r="445" spans="1:14" x14ac:dyDescent="0.35">
      <c r="A445">
        <v>1007</v>
      </c>
      <c r="B445" t="s">
        <v>61</v>
      </c>
      <c r="C445" s="1">
        <v>45187.257071759261</v>
      </c>
      <c r="D445" t="str">
        <f ca="1">VLOOKUP(qry_ProdData2_PDI_Cash_Exception_Application[[#This Row],[TYPE]],#REF!,2,FALSE)</f>
        <v>type25</v>
      </c>
      <c r="E445">
        <v>183.29</v>
      </c>
      <c r="F445" t="s">
        <v>51</v>
      </c>
      <c r="G445" s="1">
        <f>qry_ProdData2_PDI_Cash_Exception_Application[[#This Row],[INSERT DATE]]+7</f>
        <v>45194.257071759261</v>
      </c>
      <c r="H445" t="str">
        <f>VLOOKUP(qry_ProdData2_PDI_Cash_Exception_Application[[#This Row],[MARKET No]],'Site Allocation'!$B$2:$C$37,2,FALSE)</f>
        <v>Analyst2</v>
      </c>
      <c r="I445" s="4">
        <f t="shared" ca="1" si="6"/>
        <v>45203</v>
      </c>
      <c r="J445" s="42">
        <f ca="1">TODAY()-qry_ProdData2_PDI_Cash_Exception_Application[[#This Row],[INSERT DATE]]</f>
        <v>15.742928240739275</v>
      </c>
      <c r="K4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45">
        <f ca="1">qry_ProdData2_PDI_Cash_Exception_Application[[#This Row],[TODAY]]-qry_ProdData2_PDI_Cash_Exception_Application[[#This Row],[CHANGED ON]]</f>
        <v>8.7429282407392748</v>
      </c>
      <c r="M445">
        <f ca="1">qry_ProdData2_PDI_Cash_Exception_Application[[#This Row],[TODAY]]-qry_ProdData2_PDI_Cash_Exception_Application[[#This Row],[CHANGED ON]]</f>
        <v>8.7429282407392748</v>
      </c>
      <c r="N445">
        <f ca="1">qry_ProdData2_PDI_Cash_Exception_Application[[#This Row],[TODAY]]-qry_ProdData2_PDI_Cash_Exception_Application[[#This Row],[CHANGED ON]]</f>
        <v>8.7429282407392748</v>
      </c>
    </row>
    <row r="446" spans="1:14" x14ac:dyDescent="0.35">
      <c r="A446">
        <v>1001</v>
      </c>
      <c r="B446" t="s">
        <v>55</v>
      </c>
      <c r="C446" s="1">
        <v>45180.257071759261</v>
      </c>
      <c r="D446" t="str">
        <f ca="1">VLOOKUP(qry_ProdData2_PDI_Cash_Exception_Application[[#This Row],[TYPE]],#REF!,2,FALSE)</f>
        <v>type40</v>
      </c>
      <c r="E446">
        <v>1075</v>
      </c>
      <c r="F446" t="s">
        <v>48</v>
      </c>
      <c r="G446" s="1">
        <f>qry_ProdData2_PDI_Cash_Exception_Application[[#This Row],[INSERT DATE]]+7</f>
        <v>45187.257071759261</v>
      </c>
      <c r="H446" t="str">
        <f>VLOOKUP(qry_ProdData2_PDI_Cash_Exception_Application[[#This Row],[MARKET No]],'Site Allocation'!$B$2:$C$37,2,FALSE)</f>
        <v>Analyst1</v>
      </c>
      <c r="I446" s="4">
        <f t="shared" ca="1" si="6"/>
        <v>45203</v>
      </c>
      <c r="J446" s="42">
        <f ca="1">TODAY()-qry_ProdData2_PDI_Cash_Exception_Application[[#This Row],[INSERT DATE]]</f>
        <v>22.742928240739275</v>
      </c>
      <c r="K4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46">
        <f ca="1">qry_ProdData2_PDI_Cash_Exception_Application[[#This Row],[TODAY]]-qry_ProdData2_PDI_Cash_Exception_Application[[#This Row],[CHANGED ON]]</f>
        <v>15.742928240739275</v>
      </c>
      <c r="M446">
        <f ca="1">qry_ProdData2_PDI_Cash_Exception_Application[[#This Row],[TODAY]]-qry_ProdData2_PDI_Cash_Exception_Application[[#This Row],[CHANGED ON]]</f>
        <v>15.742928240739275</v>
      </c>
      <c r="N446">
        <f ca="1">qry_ProdData2_PDI_Cash_Exception_Application[[#This Row],[TODAY]]-qry_ProdData2_PDI_Cash_Exception_Application[[#This Row],[CHANGED ON]]</f>
        <v>15.742928240739275</v>
      </c>
    </row>
    <row r="447" spans="1:14" x14ac:dyDescent="0.35">
      <c r="A447">
        <v>1005</v>
      </c>
      <c r="B447" t="s">
        <v>59</v>
      </c>
      <c r="C447" s="1">
        <v>45190.257071759261</v>
      </c>
      <c r="D447" t="str">
        <f ca="1">VLOOKUP(qry_ProdData2_PDI_Cash_Exception_Application[[#This Row],[TYPE]],#REF!,2,FALSE)</f>
        <v>type40</v>
      </c>
      <c r="E447">
        <v>378.17</v>
      </c>
      <c r="F447" t="s">
        <v>50</v>
      </c>
      <c r="G447" s="1">
        <f>qry_ProdData2_PDI_Cash_Exception_Application[[#This Row],[INSERT DATE]]+2</f>
        <v>45192.257071759261</v>
      </c>
      <c r="H447" t="str">
        <f>VLOOKUP(qry_ProdData2_PDI_Cash_Exception_Application[[#This Row],[MARKET No]],'Site Allocation'!$B$2:$C$37,2,FALSE)</f>
        <v>Analyst1</v>
      </c>
      <c r="I447" s="4">
        <f t="shared" ca="1" si="6"/>
        <v>45203</v>
      </c>
      <c r="J447" s="42">
        <f ca="1">TODAY()-qry_ProdData2_PDI_Cash_Exception_Application[[#This Row],[INSERT DATE]]</f>
        <v>12.742928240739275</v>
      </c>
      <c r="K4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47">
        <f ca="1">qry_ProdData2_PDI_Cash_Exception_Application[[#This Row],[TODAY]]-qry_ProdData2_PDI_Cash_Exception_Application[[#This Row],[CHANGED ON]]</f>
        <v>10.742928240739275</v>
      </c>
      <c r="M447">
        <f ca="1">qry_ProdData2_PDI_Cash_Exception_Application[[#This Row],[TODAY]]-qry_ProdData2_PDI_Cash_Exception_Application[[#This Row],[CHANGED ON]]</f>
        <v>10.742928240739275</v>
      </c>
      <c r="N447">
        <f ca="1">qry_ProdData2_PDI_Cash_Exception_Application[[#This Row],[TODAY]]-qry_ProdData2_PDI_Cash_Exception_Application[[#This Row],[CHANGED ON]]</f>
        <v>10.742928240739275</v>
      </c>
    </row>
    <row r="448" spans="1:14" x14ac:dyDescent="0.35">
      <c r="A448">
        <v>1001</v>
      </c>
      <c r="B448" t="s">
        <v>55</v>
      </c>
      <c r="C448" s="1">
        <v>45187.257071759261</v>
      </c>
      <c r="D448" t="str">
        <f ca="1">VLOOKUP(qry_ProdData2_PDI_Cash_Exception_Application[[#This Row],[TYPE]],#REF!,2,FALSE)</f>
        <v>type40</v>
      </c>
      <c r="E448">
        <v>-876.77</v>
      </c>
      <c r="F448" t="s">
        <v>47</v>
      </c>
      <c r="G448" s="1">
        <f>qry_ProdData2_PDI_Cash_Exception_Application[[#This Row],[INSERT DATE]]+7</f>
        <v>45194.257071759261</v>
      </c>
      <c r="H448" t="str">
        <f>VLOOKUP(qry_ProdData2_PDI_Cash_Exception_Application[[#This Row],[MARKET No]],'Site Allocation'!$B$2:$C$37,2,FALSE)</f>
        <v>Analyst1</v>
      </c>
      <c r="I448" s="4">
        <f t="shared" ca="1" si="6"/>
        <v>45203</v>
      </c>
      <c r="J448" s="42">
        <f ca="1">TODAY()-qry_ProdData2_PDI_Cash_Exception_Application[[#This Row],[INSERT DATE]]</f>
        <v>15.742928240739275</v>
      </c>
      <c r="K4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48">
        <f ca="1">qry_ProdData2_PDI_Cash_Exception_Application[[#This Row],[TODAY]]-qry_ProdData2_PDI_Cash_Exception_Application[[#This Row],[CHANGED ON]]</f>
        <v>8.7429282407392748</v>
      </c>
      <c r="M448">
        <f ca="1">qry_ProdData2_PDI_Cash_Exception_Application[[#This Row],[TODAY]]-qry_ProdData2_PDI_Cash_Exception_Application[[#This Row],[CHANGED ON]]</f>
        <v>8.7429282407392748</v>
      </c>
      <c r="N448">
        <f ca="1">qry_ProdData2_PDI_Cash_Exception_Application[[#This Row],[TODAY]]-qry_ProdData2_PDI_Cash_Exception_Application[[#This Row],[CHANGED ON]]</f>
        <v>8.7429282407392748</v>
      </c>
    </row>
    <row r="449" spans="1:14" x14ac:dyDescent="0.35">
      <c r="A449">
        <v>1015</v>
      </c>
      <c r="B449" t="s">
        <v>69</v>
      </c>
      <c r="C449" s="1">
        <v>45189.257071759261</v>
      </c>
      <c r="D449" t="str">
        <f ca="1">VLOOKUP(qry_ProdData2_PDI_Cash_Exception_Application[[#This Row],[TYPE]],#REF!,2,FALSE)</f>
        <v>type40</v>
      </c>
      <c r="E449">
        <v>-1190.8499999999999</v>
      </c>
      <c r="F449" t="s">
        <v>51</v>
      </c>
      <c r="G449" s="1">
        <f>qry_ProdData2_PDI_Cash_Exception_Application[[#This Row],[INSERT DATE]]+7</f>
        <v>45196.257071759261</v>
      </c>
      <c r="H449" t="str">
        <f>VLOOKUP(qry_ProdData2_PDI_Cash_Exception_Application[[#This Row],[MARKET No]],'Site Allocation'!$B$2:$C$37,2,FALSE)</f>
        <v>Analyst3</v>
      </c>
      <c r="I449" s="4">
        <f t="shared" ca="1" si="6"/>
        <v>45203</v>
      </c>
      <c r="J449" s="42">
        <f ca="1">TODAY()-qry_ProdData2_PDI_Cash_Exception_Application[[#This Row],[INSERT DATE]]</f>
        <v>13.742928240739275</v>
      </c>
      <c r="K4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49">
        <f ca="1">qry_ProdData2_PDI_Cash_Exception_Application[[#This Row],[TODAY]]-qry_ProdData2_PDI_Cash_Exception_Application[[#This Row],[CHANGED ON]]</f>
        <v>6.7429282407392748</v>
      </c>
      <c r="M449">
        <f ca="1">qry_ProdData2_PDI_Cash_Exception_Application[[#This Row],[TODAY]]-qry_ProdData2_PDI_Cash_Exception_Application[[#This Row],[CHANGED ON]]</f>
        <v>6.7429282407392748</v>
      </c>
      <c r="N449">
        <f ca="1">qry_ProdData2_PDI_Cash_Exception_Application[[#This Row],[TODAY]]-qry_ProdData2_PDI_Cash_Exception_Application[[#This Row],[CHANGED ON]]</f>
        <v>6.7429282407392748</v>
      </c>
    </row>
    <row r="450" spans="1:14" x14ac:dyDescent="0.35">
      <c r="A450">
        <v>1017</v>
      </c>
      <c r="B450" t="s">
        <v>71</v>
      </c>
      <c r="C450" s="1">
        <v>45187.257071759261</v>
      </c>
      <c r="D450" t="str">
        <f ca="1">VLOOKUP(qry_ProdData2_PDI_Cash_Exception_Application[[#This Row],[TYPE]],#REF!,2,FALSE)</f>
        <v>type40</v>
      </c>
      <c r="E450">
        <v>-5673</v>
      </c>
      <c r="F450" t="s">
        <v>49</v>
      </c>
      <c r="G450" s="1">
        <f>qry_ProdData2_PDI_Cash_Exception_Application[[#This Row],[INSERT DATE]]+2</f>
        <v>45189.257071759261</v>
      </c>
      <c r="H450" t="str">
        <f>VLOOKUP(qry_ProdData2_PDI_Cash_Exception_Application[[#This Row],[MARKET No]],'Site Allocation'!$B$2:$C$37,2,FALSE)</f>
        <v>Analyst3</v>
      </c>
      <c r="I450" s="4">
        <f t="shared" ref="I450:I513" ca="1" si="7">TODAY()</f>
        <v>45203</v>
      </c>
      <c r="J450" s="42">
        <f ca="1">TODAY()-qry_ProdData2_PDI_Cash_Exception_Application[[#This Row],[INSERT DATE]]</f>
        <v>15.742928240739275</v>
      </c>
      <c r="K4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50">
        <f ca="1">qry_ProdData2_PDI_Cash_Exception_Application[[#This Row],[TODAY]]-qry_ProdData2_PDI_Cash_Exception_Application[[#This Row],[CHANGED ON]]</f>
        <v>13.742928240739275</v>
      </c>
      <c r="M450">
        <f ca="1">qry_ProdData2_PDI_Cash_Exception_Application[[#This Row],[TODAY]]-qry_ProdData2_PDI_Cash_Exception_Application[[#This Row],[CHANGED ON]]</f>
        <v>13.742928240739275</v>
      </c>
      <c r="N450">
        <f ca="1">qry_ProdData2_PDI_Cash_Exception_Application[[#This Row],[TODAY]]-qry_ProdData2_PDI_Cash_Exception_Application[[#This Row],[CHANGED ON]]</f>
        <v>13.742928240739275</v>
      </c>
    </row>
    <row r="451" spans="1:14" x14ac:dyDescent="0.35">
      <c r="A451">
        <v>1027</v>
      </c>
      <c r="B451" t="s">
        <v>81</v>
      </c>
      <c r="C451" s="1">
        <v>45193.257071759261</v>
      </c>
      <c r="D451" t="str">
        <f ca="1">VLOOKUP(qry_ProdData2_PDI_Cash_Exception_Application[[#This Row],[TYPE]],#REF!,2,FALSE)</f>
        <v>type40</v>
      </c>
      <c r="E451">
        <v>-742.4</v>
      </c>
      <c r="F451" t="s">
        <v>52</v>
      </c>
      <c r="G451" s="1">
        <f>qry_ProdData2_PDI_Cash_Exception_Application[[#This Row],[INSERT DATE]]+2</f>
        <v>45195.257071759261</v>
      </c>
      <c r="H451" t="str">
        <f>VLOOKUP(qry_ProdData2_PDI_Cash_Exception_Application[[#This Row],[MARKET No]],'Site Allocation'!$B$2:$C$37,2,FALSE)</f>
        <v>Analyst5</v>
      </c>
      <c r="I451" s="4">
        <f t="shared" ca="1" si="7"/>
        <v>45203</v>
      </c>
      <c r="J451" s="42">
        <f ca="1">TODAY()-qry_ProdData2_PDI_Cash_Exception_Application[[#This Row],[INSERT DATE]]</f>
        <v>9.7429282407392748</v>
      </c>
      <c r="K4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51">
        <f ca="1">qry_ProdData2_PDI_Cash_Exception_Application[[#This Row],[TODAY]]-qry_ProdData2_PDI_Cash_Exception_Application[[#This Row],[CHANGED ON]]</f>
        <v>7.7429282407392748</v>
      </c>
      <c r="M451">
        <f ca="1">qry_ProdData2_PDI_Cash_Exception_Application[[#This Row],[TODAY]]-qry_ProdData2_PDI_Cash_Exception_Application[[#This Row],[CHANGED ON]]</f>
        <v>7.7429282407392748</v>
      </c>
      <c r="N451">
        <f ca="1">qry_ProdData2_PDI_Cash_Exception_Application[[#This Row],[TODAY]]-qry_ProdData2_PDI_Cash_Exception_Application[[#This Row],[CHANGED ON]]</f>
        <v>7.7429282407392748</v>
      </c>
    </row>
    <row r="452" spans="1:14" x14ac:dyDescent="0.35">
      <c r="A452">
        <v>1001</v>
      </c>
      <c r="B452" t="s">
        <v>55</v>
      </c>
      <c r="C452" s="1">
        <v>45190.257071759261</v>
      </c>
      <c r="D452" t="str">
        <f ca="1">VLOOKUP(qry_ProdData2_PDI_Cash_Exception_Application[[#This Row],[TYPE]],#REF!,2,FALSE)</f>
        <v>type2</v>
      </c>
      <c r="E452">
        <v>1204</v>
      </c>
      <c r="F452" t="s">
        <v>47</v>
      </c>
      <c r="G452" s="1">
        <f>qry_ProdData2_PDI_Cash_Exception_Application[[#This Row],[INSERT DATE]]+1</f>
        <v>45191.257071759261</v>
      </c>
      <c r="H452" t="str">
        <f>VLOOKUP(qry_ProdData2_PDI_Cash_Exception_Application[[#This Row],[MARKET No]],'Site Allocation'!$B$2:$C$37,2,FALSE)</f>
        <v>Analyst1</v>
      </c>
      <c r="I452" s="4">
        <f t="shared" ca="1" si="7"/>
        <v>45203</v>
      </c>
      <c r="J452" s="42">
        <f ca="1">TODAY()-qry_ProdData2_PDI_Cash_Exception_Application[[#This Row],[INSERT DATE]]</f>
        <v>12.742928240739275</v>
      </c>
      <c r="K4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52">
        <f ca="1">qry_ProdData2_PDI_Cash_Exception_Application[[#This Row],[TODAY]]-qry_ProdData2_PDI_Cash_Exception_Application[[#This Row],[CHANGED ON]]</f>
        <v>11.742928240739275</v>
      </c>
      <c r="M452">
        <f ca="1">qry_ProdData2_PDI_Cash_Exception_Application[[#This Row],[TODAY]]-qry_ProdData2_PDI_Cash_Exception_Application[[#This Row],[CHANGED ON]]</f>
        <v>11.742928240739275</v>
      </c>
      <c r="N452">
        <f ca="1">qry_ProdData2_PDI_Cash_Exception_Application[[#This Row],[TODAY]]-qry_ProdData2_PDI_Cash_Exception_Application[[#This Row],[CHANGED ON]]</f>
        <v>11.742928240739275</v>
      </c>
    </row>
    <row r="453" spans="1:14" x14ac:dyDescent="0.35">
      <c r="A453">
        <v>1029</v>
      </c>
      <c r="B453" t="s">
        <v>83</v>
      </c>
      <c r="C453" s="1">
        <v>45179.257071759261</v>
      </c>
      <c r="D453" t="str">
        <f ca="1">VLOOKUP(qry_ProdData2_PDI_Cash_Exception_Application[[#This Row],[TYPE]],#REF!,2,FALSE)</f>
        <v>type13</v>
      </c>
      <c r="E453">
        <v>33821.93</v>
      </c>
      <c r="F453" t="s">
        <v>51</v>
      </c>
      <c r="G453" s="1">
        <f>qry_ProdData2_PDI_Cash_Exception_Application[[#This Row],[INSERT DATE]]+1</f>
        <v>45180.257071759261</v>
      </c>
      <c r="H453" t="str">
        <f>VLOOKUP(qry_ProdData2_PDI_Cash_Exception_Application[[#This Row],[MARKET No]],'Site Allocation'!$B$2:$C$37,2,FALSE)</f>
        <v>Analyst5</v>
      </c>
      <c r="I453" s="4">
        <f t="shared" ca="1" si="7"/>
        <v>45203</v>
      </c>
      <c r="J453" s="42">
        <f ca="1">TODAY()-qry_ProdData2_PDI_Cash_Exception_Application[[#This Row],[INSERT DATE]]</f>
        <v>23.742928240739275</v>
      </c>
      <c r="K4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53">
        <f ca="1">qry_ProdData2_PDI_Cash_Exception_Application[[#This Row],[TODAY]]-qry_ProdData2_PDI_Cash_Exception_Application[[#This Row],[CHANGED ON]]</f>
        <v>22.742928240739275</v>
      </c>
      <c r="M453">
        <f ca="1">qry_ProdData2_PDI_Cash_Exception_Application[[#This Row],[TODAY]]-qry_ProdData2_PDI_Cash_Exception_Application[[#This Row],[CHANGED ON]]</f>
        <v>22.742928240739275</v>
      </c>
      <c r="N453">
        <f ca="1">qry_ProdData2_PDI_Cash_Exception_Application[[#This Row],[TODAY]]-qry_ProdData2_PDI_Cash_Exception_Application[[#This Row],[CHANGED ON]]</f>
        <v>22.742928240739275</v>
      </c>
    </row>
    <row r="454" spans="1:14" x14ac:dyDescent="0.35">
      <c r="A454">
        <v>1018</v>
      </c>
      <c r="B454" t="s">
        <v>72</v>
      </c>
      <c r="C454" s="1">
        <v>45190.257071759261</v>
      </c>
      <c r="D454" t="str">
        <f ca="1">VLOOKUP(qry_ProdData2_PDI_Cash_Exception_Application[[#This Row],[TYPE]],#REF!,2,FALSE)</f>
        <v>type40</v>
      </c>
      <c r="E454">
        <v>-5894.65</v>
      </c>
      <c r="F454" t="s">
        <v>47</v>
      </c>
      <c r="G454" s="1">
        <f>qry_ProdData2_PDI_Cash_Exception_Application[[#This Row],[INSERT DATE]]+1</f>
        <v>45191.257071759261</v>
      </c>
      <c r="H454" t="str">
        <f>VLOOKUP(qry_ProdData2_PDI_Cash_Exception_Application[[#This Row],[MARKET No]],'Site Allocation'!$B$2:$C$37,2,FALSE)</f>
        <v>Analyst4</v>
      </c>
      <c r="I454" s="4">
        <f t="shared" ca="1" si="7"/>
        <v>45203</v>
      </c>
      <c r="J454" s="42">
        <f ca="1">TODAY()-qry_ProdData2_PDI_Cash_Exception_Application[[#This Row],[INSERT DATE]]</f>
        <v>12.742928240739275</v>
      </c>
      <c r="K4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54">
        <f ca="1">qry_ProdData2_PDI_Cash_Exception_Application[[#This Row],[TODAY]]-qry_ProdData2_PDI_Cash_Exception_Application[[#This Row],[CHANGED ON]]</f>
        <v>11.742928240739275</v>
      </c>
      <c r="M454">
        <f ca="1">qry_ProdData2_PDI_Cash_Exception_Application[[#This Row],[TODAY]]-qry_ProdData2_PDI_Cash_Exception_Application[[#This Row],[CHANGED ON]]</f>
        <v>11.742928240739275</v>
      </c>
      <c r="N454">
        <f ca="1">qry_ProdData2_PDI_Cash_Exception_Application[[#This Row],[TODAY]]-qry_ProdData2_PDI_Cash_Exception_Application[[#This Row],[CHANGED ON]]</f>
        <v>11.742928240739275</v>
      </c>
    </row>
    <row r="455" spans="1:14" x14ac:dyDescent="0.35">
      <c r="A455">
        <v>1035</v>
      </c>
      <c r="B455" t="s">
        <v>89</v>
      </c>
      <c r="C455" s="1">
        <v>45197.257071759261</v>
      </c>
      <c r="D455" t="str">
        <f ca="1">VLOOKUP(qry_ProdData2_PDI_Cash_Exception_Application[[#This Row],[TYPE]],#REF!,2,FALSE)</f>
        <v>type40</v>
      </c>
      <c r="E455">
        <v>12.36</v>
      </c>
      <c r="F455" t="s">
        <v>52</v>
      </c>
      <c r="G455" s="1">
        <f>qry_ProdData2_PDI_Cash_Exception_Application[[#This Row],[INSERT DATE]]+2</f>
        <v>45199.257071759261</v>
      </c>
      <c r="H455" t="str">
        <f>VLOOKUP(qry_ProdData2_PDI_Cash_Exception_Application[[#This Row],[MARKET No]],'Site Allocation'!$B$2:$C$37,2,FALSE)</f>
        <v>Analyst6</v>
      </c>
      <c r="I455" s="4">
        <f t="shared" ca="1" si="7"/>
        <v>45203</v>
      </c>
      <c r="J455" s="42">
        <f ca="1">TODAY()-qry_ProdData2_PDI_Cash_Exception_Application[[#This Row],[INSERT DATE]]</f>
        <v>5.7429282407392748</v>
      </c>
      <c r="K4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455">
        <f ca="1">qry_ProdData2_PDI_Cash_Exception_Application[[#This Row],[TODAY]]-qry_ProdData2_PDI_Cash_Exception_Application[[#This Row],[CHANGED ON]]</f>
        <v>3.7429282407392748</v>
      </c>
      <c r="M455">
        <f ca="1">qry_ProdData2_PDI_Cash_Exception_Application[[#This Row],[TODAY]]-qry_ProdData2_PDI_Cash_Exception_Application[[#This Row],[CHANGED ON]]</f>
        <v>3.7429282407392748</v>
      </c>
      <c r="N455">
        <f ca="1">qry_ProdData2_PDI_Cash_Exception_Application[[#This Row],[TODAY]]-qry_ProdData2_PDI_Cash_Exception_Application[[#This Row],[CHANGED ON]]</f>
        <v>3.7429282407392748</v>
      </c>
    </row>
    <row r="456" spans="1:14" x14ac:dyDescent="0.35">
      <c r="A456">
        <v>1011</v>
      </c>
      <c r="B456" t="s">
        <v>65</v>
      </c>
      <c r="C456" s="1">
        <v>45188.257071759261</v>
      </c>
      <c r="D456" t="str">
        <f ca="1">VLOOKUP(qry_ProdData2_PDI_Cash_Exception_Application[[#This Row],[TYPE]],#REF!,2,FALSE)</f>
        <v>type13</v>
      </c>
      <c r="E456">
        <v>17178.77</v>
      </c>
      <c r="F456" t="s">
        <v>47</v>
      </c>
      <c r="G456" s="1">
        <f>qry_ProdData2_PDI_Cash_Exception_Application[[#This Row],[INSERT DATE]]+1</f>
        <v>45189.257071759261</v>
      </c>
      <c r="H456" t="str">
        <f>VLOOKUP(qry_ProdData2_PDI_Cash_Exception_Application[[#This Row],[MARKET No]],'Site Allocation'!$B$2:$C$37,2,FALSE)</f>
        <v>Analyst2</v>
      </c>
      <c r="I456" s="4">
        <f t="shared" ca="1" si="7"/>
        <v>45203</v>
      </c>
      <c r="J456" s="42">
        <f ca="1">TODAY()-qry_ProdData2_PDI_Cash_Exception_Application[[#This Row],[INSERT DATE]]</f>
        <v>14.742928240739275</v>
      </c>
      <c r="K4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56">
        <f ca="1">qry_ProdData2_PDI_Cash_Exception_Application[[#This Row],[TODAY]]-qry_ProdData2_PDI_Cash_Exception_Application[[#This Row],[CHANGED ON]]</f>
        <v>13.742928240739275</v>
      </c>
      <c r="M456">
        <f ca="1">qry_ProdData2_PDI_Cash_Exception_Application[[#This Row],[TODAY]]-qry_ProdData2_PDI_Cash_Exception_Application[[#This Row],[CHANGED ON]]</f>
        <v>13.742928240739275</v>
      </c>
      <c r="N456">
        <f ca="1">qry_ProdData2_PDI_Cash_Exception_Application[[#This Row],[TODAY]]-qry_ProdData2_PDI_Cash_Exception_Application[[#This Row],[CHANGED ON]]</f>
        <v>13.742928240739275</v>
      </c>
    </row>
    <row r="457" spans="1:14" x14ac:dyDescent="0.35">
      <c r="A457">
        <v>1031</v>
      </c>
      <c r="B457" t="s">
        <v>85</v>
      </c>
      <c r="C457" s="1">
        <v>45182.257071759261</v>
      </c>
      <c r="D457" t="str">
        <f ca="1">VLOOKUP(qry_ProdData2_PDI_Cash_Exception_Application[[#This Row],[TYPE]],#REF!,2,FALSE)</f>
        <v>type2</v>
      </c>
      <c r="E457">
        <v>1208</v>
      </c>
      <c r="F457" t="s">
        <v>51</v>
      </c>
      <c r="G457" s="1">
        <f>qry_ProdData2_PDI_Cash_Exception_Application[[#This Row],[INSERT DATE]]+1</f>
        <v>45183.257071759261</v>
      </c>
      <c r="H457" t="str">
        <f>VLOOKUP(qry_ProdData2_PDI_Cash_Exception_Application[[#This Row],[MARKET No]],'Site Allocation'!$B$2:$C$37,2,FALSE)</f>
        <v>Analyst6</v>
      </c>
      <c r="I457" s="4">
        <f t="shared" ca="1" si="7"/>
        <v>45203</v>
      </c>
      <c r="J457" s="42">
        <f ca="1">TODAY()-qry_ProdData2_PDI_Cash_Exception_Application[[#This Row],[INSERT DATE]]</f>
        <v>20.742928240739275</v>
      </c>
      <c r="K4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57">
        <f ca="1">qry_ProdData2_PDI_Cash_Exception_Application[[#This Row],[TODAY]]-qry_ProdData2_PDI_Cash_Exception_Application[[#This Row],[CHANGED ON]]</f>
        <v>19.742928240739275</v>
      </c>
      <c r="M457">
        <f ca="1">qry_ProdData2_PDI_Cash_Exception_Application[[#This Row],[TODAY]]-qry_ProdData2_PDI_Cash_Exception_Application[[#This Row],[CHANGED ON]]</f>
        <v>19.742928240739275</v>
      </c>
      <c r="N457">
        <f ca="1">qry_ProdData2_PDI_Cash_Exception_Application[[#This Row],[TODAY]]-qry_ProdData2_PDI_Cash_Exception_Application[[#This Row],[CHANGED ON]]</f>
        <v>19.742928240739275</v>
      </c>
    </row>
    <row r="458" spans="1:14" x14ac:dyDescent="0.35">
      <c r="A458">
        <v>1010</v>
      </c>
      <c r="B458" t="s">
        <v>64</v>
      </c>
      <c r="C458" s="1">
        <v>45192.257071759261</v>
      </c>
      <c r="D458" t="str">
        <f ca="1">VLOOKUP(qry_ProdData2_PDI_Cash_Exception_Application[[#This Row],[TYPE]],#REF!,2,FALSE)</f>
        <v>type13</v>
      </c>
      <c r="E458">
        <v>78428.899999999994</v>
      </c>
      <c r="F458" t="s">
        <v>47</v>
      </c>
      <c r="G458" s="1">
        <f>qry_ProdData2_PDI_Cash_Exception_Application[[#This Row],[INSERT DATE]]+1</f>
        <v>45193.257071759261</v>
      </c>
      <c r="H458" t="str">
        <f>VLOOKUP(qry_ProdData2_PDI_Cash_Exception_Application[[#This Row],[MARKET No]],'Site Allocation'!$B$2:$C$37,2,FALSE)</f>
        <v>Analyst2</v>
      </c>
      <c r="I458" s="4">
        <f t="shared" ca="1" si="7"/>
        <v>45203</v>
      </c>
      <c r="J458" s="42">
        <f ca="1">TODAY()-qry_ProdData2_PDI_Cash_Exception_Application[[#This Row],[INSERT DATE]]</f>
        <v>10.742928240739275</v>
      </c>
      <c r="K4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58">
        <f ca="1">qry_ProdData2_PDI_Cash_Exception_Application[[#This Row],[TODAY]]-qry_ProdData2_PDI_Cash_Exception_Application[[#This Row],[CHANGED ON]]</f>
        <v>9.7429282407392748</v>
      </c>
      <c r="M458">
        <f ca="1">qry_ProdData2_PDI_Cash_Exception_Application[[#This Row],[TODAY]]-qry_ProdData2_PDI_Cash_Exception_Application[[#This Row],[CHANGED ON]]</f>
        <v>9.7429282407392748</v>
      </c>
      <c r="N458">
        <f ca="1">qry_ProdData2_PDI_Cash_Exception_Application[[#This Row],[TODAY]]-qry_ProdData2_PDI_Cash_Exception_Application[[#This Row],[CHANGED ON]]</f>
        <v>9.7429282407392748</v>
      </c>
    </row>
    <row r="459" spans="1:14" x14ac:dyDescent="0.35">
      <c r="A459">
        <v>1024</v>
      </c>
      <c r="B459" t="s">
        <v>78</v>
      </c>
      <c r="C459" s="1">
        <v>45182.257071759261</v>
      </c>
      <c r="D459" t="str">
        <f ca="1">VLOOKUP(qry_ProdData2_PDI_Cash_Exception_Application[[#This Row],[TYPE]],#REF!,2,FALSE)</f>
        <v>type40</v>
      </c>
      <c r="E459">
        <v>319.83</v>
      </c>
      <c r="F459" t="s">
        <v>48</v>
      </c>
      <c r="G459" s="1">
        <f>qry_ProdData2_PDI_Cash_Exception_Application[[#This Row],[INSERT DATE]]+1</f>
        <v>45183.257071759261</v>
      </c>
      <c r="H459" t="str">
        <f>VLOOKUP(qry_ProdData2_PDI_Cash_Exception_Application[[#This Row],[MARKET No]],'Site Allocation'!$B$2:$C$37,2,FALSE)</f>
        <v>Analyst5</v>
      </c>
      <c r="I459" s="4">
        <f t="shared" ca="1" si="7"/>
        <v>45203</v>
      </c>
      <c r="J459" s="42">
        <f ca="1">TODAY()-qry_ProdData2_PDI_Cash_Exception_Application[[#This Row],[INSERT DATE]]</f>
        <v>20.742928240739275</v>
      </c>
      <c r="K4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59">
        <f ca="1">qry_ProdData2_PDI_Cash_Exception_Application[[#This Row],[TODAY]]-qry_ProdData2_PDI_Cash_Exception_Application[[#This Row],[CHANGED ON]]</f>
        <v>19.742928240739275</v>
      </c>
      <c r="M459">
        <f ca="1">qry_ProdData2_PDI_Cash_Exception_Application[[#This Row],[TODAY]]-qry_ProdData2_PDI_Cash_Exception_Application[[#This Row],[CHANGED ON]]</f>
        <v>19.742928240739275</v>
      </c>
      <c r="N459">
        <f ca="1">qry_ProdData2_PDI_Cash_Exception_Application[[#This Row],[TODAY]]-qry_ProdData2_PDI_Cash_Exception_Application[[#This Row],[CHANGED ON]]</f>
        <v>19.742928240739275</v>
      </c>
    </row>
    <row r="460" spans="1:14" x14ac:dyDescent="0.35">
      <c r="A460">
        <v>1029</v>
      </c>
      <c r="B460" t="s">
        <v>83</v>
      </c>
      <c r="C460" s="1">
        <v>45189.257071759261</v>
      </c>
      <c r="D460" t="str">
        <f ca="1">VLOOKUP(qry_ProdData2_PDI_Cash_Exception_Application[[#This Row],[TYPE]],#REF!,2,FALSE)</f>
        <v>type13</v>
      </c>
      <c r="E460">
        <v>26945.67</v>
      </c>
      <c r="F460" t="s">
        <v>51</v>
      </c>
      <c r="G460" s="1">
        <f>qry_ProdData2_PDI_Cash_Exception_Application[[#This Row],[INSERT DATE]]+1</f>
        <v>45190.257071759261</v>
      </c>
      <c r="H460" t="str">
        <f>VLOOKUP(qry_ProdData2_PDI_Cash_Exception_Application[[#This Row],[MARKET No]],'Site Allocation'!$B$2:$C$37,2,FALSE)</f>
        <v>Analyst5</v>
      </c>
      <c r="I460" s="4">
        <f t="shared" ca="1" si="7"/>
        <v>45203</v>
      </c>
      <c r="J460" s="42">
        <f ca="1">TODAY()-qry_ProdData2_PDI_Cash_Exception_Application[[#This Row],[INSERT DATE]]</f>
        <v>13.742928240739275</v>
      </c>
      <c r="K4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60">
        <f ca="1">qry_ProdData2_PDI_Cash_Exception_Application[[#This Row],[TODAY]]-qry_ProdData2_PDI_Cash_Exception_Application[[#This Row],[CHANGED ON]]</f>
        <v>12.742928240739275</v>
      </c>
      <c r="M460">
        <f ca="1">qry_ProdData2_PDI_Cash_Exception_Application[[#This Row],[TODAY]]-qry_ProdData2_PDI_Cash_Exception_Application[[#This Row],[CHANGED ON]]</f>
        <v>12.742928240739275</v>
      </c>
      <c r="N460">
        <f ca="1">qry_ProdData2_PDI_Cash_Exception_Application[[#This Row],[TODAY]]-qry_ProdData2_PDI_Cash_Exception_Application[[#This Row],[CHANGED ON]]</f>
        <v>12.742928240739275</v>
      </c>
    </row>
    <row r="461" spans="1:14" x14ac:dyDescent="0.35">
      <c r="A461">
        <v>1005</v>
      </c>
      <c r="B461" t="s">
        <v>59</v>
      </c>
      <c r="C461" s="1">
        <v>45184.257071759261</v>
      </c>
      <c r="D461" t="str">
        <f ca="1">VLOOKUP(qry_ProdData2_PDI_Cash_Exception_Application[[#This Row],[TYPE]],#REF!,2,FALSE)</f>
        <v>type1</v>
      </c>
      <c r="E461">
        <v>12.25</v>
      </c>
      <c r="F461" t="s">
        <v>49</v>
      </c>
      <c r="G461" s="1">
        <f>qry_ProdData2_PDI_Cash_Exception_Application[[#This Row],[INSERT DATE]]+7</f>
        <v>45191.257071759261</v>
      </c>
      <c r="H461" t="str">
        <f>VLOOKUP(qry_ProdData2_PDI_Cash_Exception_Application[[#This Row],[MARKET No]],'Site Allocation'!$B$2:$C$37,2,FALSE)</f>
        <v>Analyst1</v>
      </c>
      <c r="I461" s="4">
        <f t="shared" ca="1" si="7"/>
        <v>45203</v>
      </c>
      <c r="J461" s="42">
        <f ca="1">TODAY()-qry_ProdData2_PDI_Cash_Exception_Application[[#This Row],[INSERT DATE]]</f>
        <v>18.742928240739275</v>
      </c>
      <c r="K4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61">
        <f ca="1">qry_ProdData2_PDI_Cash_Exception_Application[[#This Row],[TODAY]]-qry_ProdData2_PDI_Cash_Exception_Application[[#This Row],[CHANGED ON]]</f>
        <v>11.742928240739275</v>
      </c>
      <c r="M461">
        <f ca="1">qry_ProdData2_PDI_Cash_Exception_Application[[#This Row],[TODAY]]-qry_ProdData2_PDI_Cash_Exception_Application[[#This Row],[CHANGED ON]]</f>
        <v>11.742928240739275</v>
      </c>
      <c r="N461">
        <f ca="1">qry_ProdData2_PDI_Cash_Exception_Application[[#This Row],[TODAY]]-qry_ProdData2_PDI_Cash_Exception_Application[[#This Row],[CHANGED ON]]</f>
        <v>11.742928240739275</v>
      </c>
    </row>
    <row r="462" spans="1:14" x14ac:dyDescent="0.35">
      <c r="A462">
        <v>1016</v>
      </c>
      <c r="B462" t="s">
        <v>70</v>
      </c>
      <c r="C462" s="1">
        <v>45183.257071759261</v>
      </c>
      <c r="D462" t="str">
        <f ca="1">VLOOKUP(qry_ProdData2_PDI_Cash_Exception_Application[[#This Row],[TYPE]],#REF!,2,FALSE)</f>
        <v>type13</v>
      </c>
      <c r="E462">
        <v>20524.419999999998</v>
      </c>
      <c r="F462" t="s">
        <v>50</v>
      </c>
      <c r="G462" s="1">
        <f>qry_ProdData2_PDI_Cash_Exception_Application[[#This Row],[INSERT DATE]]+2</f>
        <v>45185.257071759261</v>
      </c>
      <c r="H462" t="str">
        <f>VLOOKUP(qry_ProdData2_PDI_Cash_Exception_Application[[#This Row],[MARKET No]],'Site Allocation'!$B$2:$C$37,2,FALSE)</f>
        <v>Analyst3</v>
      </c>
      <c r="I462" s="4">
        <f t="shared" ca="1" si="7"/>
        <v>45203</v>
      </c>
      <c r="J462" s="42">
        <f ca="1">TODAY()-qry_ProdData2_PDI_Cash_Exception_Application[[#This Row],[INSERT DATE]]</f>
        <v>19.742928240739275</v>
      </c>
      <c r="K4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62">
        <f ca="1">qry_ProdData2_PDI_Cash_Exception_Application[[#This Row],[TODAY]]-qry_ProdData2_PDI_Cash_Exception_Application[[#This Row],[CHANGED ON]]</f>
        <v>17.742928240739275</v>
      </c>
      <c r="M462">
        <f ca="1">qry_ProdData2_PDI_Cash_Exception_Application[[#This Row],[TODAY]]-qry_ProdData2_PDI_Cash_Exception_Application[[#This Row],[CHANGED ON]]</f>
        <v>17.742928240739275</v>
      </c>
      <c r="N462">
        <f ca="1">qry_ProdData2_PDI_Cash_Exception_Application[[#This Row],[TODAY]]-qry_ProdData2_PDI_Cash_Exception_Application[[#This Row],[CHANGED ON]]</f>
        <v>17.742928240739275</v>
      </c>
    </row>
    <row r="463" spans="1:14" x14ac:dyDescent="0.35">
      <c r="A463">
        <v>1010</v>
      </c>
      <c r="B463" t="s">
        <v>64</v>
      </c>
      <c r="C463" s="1">
        <v>45185.257071759261</v>
      </c>
      <c r="D463" t="str">
        <f ca="1">VLOOKUP(qry_ProdData2_PDI_Cash_Exception_Application[[#This Row],[TYPE]],#REF!,2,FALSE)</f>
        <v>type26</v>
      </c>
      <c r="E463">
        <v>2955.18</v>
      </c>
      <c r="F463" t="s">
        <v>49</v>
      </c>
      <c r="G463" s="1">
        <f>qry_ProdData2_PDI_Cash_Exception_Application[[#This Row],[INSERT DATE]]+7</f>
        <v>45192.257071759261</v>
      </c>
      <c r="H463" t="str">
        <f>VLOOKUP(qry_ProdData2_PDI_Cash_Exception_Application[[#This Row],[MARKET No]],'Site Allocation'!$B$2:$C$37,2,FALSE)</f>
        <v>Analyst2</v>
      </c>
      <c r="I463" s="4">
        <f t="shared" ca="1" si="7"/>
        <v>45203</v>
      </c>
      <c r="J463" s="42">
        <f ca="1">TODAY()-qry_ProdData2_PDI_Cash_Exception_Application[[#This Row],[INSERT DATE]]</f>
        <v>17.742928240739275</v>
      </c>
      <c r="K4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63">
        <f ca="1">qry_ProdData2_PDI_Cash_Exception_Application[[#This Row],[TODAY]]-qry_ProdData2_PDI_Cash_Exception_Application[[#This Row],[CHANGED ON]]</f>
        <v>10.742928240739275</v>
      </c>
      <c r="M463">
        <f ca="1">qry_ProdData2_PDI_Cash_Exception_Application[[#This Row],[TODAY]]-qry_ProdData2_PDI_Cash_Exception_Application[[#This Row],[CHANGED ON]]</f>
        <v>10.742928240739275</v>
      </c>
      <c r="N463">
        <f ca="1">qry_ProdData2_PDI_Cash_Exception_Application[[#This Row],[TODAY]]-qry_ProdData2_PDI_Cash_Exception_Application[[#This Row],[CHANGED ON]]</f>
        <v>10.742928240739275</v>
      </c>
    </row>
    <row r="464" spans="1:14" x14ac:dyDescent="0.35">
      <c r="A464">
        <v>1025</v>
      </c>
      <c r="B464" t="s">
        <v>79</v>
      </c>
      <c r="C464" s="1">
        <v>45179.257071759261</v>
      </c>
      <c r="D464" t="str">
        <f ca="1">VLOOKUP(qry_ProdData2_PDI_Cash_Exception_Application[[#This Row],[TYPE]],#REF!,2,FALSE)</f>
        <v>type41</v>
      </c>
      <c r="E464">
        <v>346.46</v>
      </c>
      <c r="F464" t="s">
        <v>51</v>
      </c>
      <c r="G464" s="1">
        <f>qry_ProdData2_PDI_Cash_Exception_Application[[#This Row],[INSERT DATE]]+5</f>
        <v>45184.257071759261</v>
      </c>
      <c r="H464" t="str">
        <f>VLOOKUP(qry_ProdData2_PDI_Cash_Exception_Application[[#This Row],[MARKET No]],'Site Allocation'!$B$2:$C$37,2,FALSE)</f>
        <v>Analyst5</v>
      </c>
      <c r="I464" s="4">
        <f t="shared" ca="1" si="7"/>
        <v>45203</v>
      </c>
      <c r="J464" s="42">
        <f ca="1">TODAY()-qry_ProdData2_PDI_Cash_Exception_Application[[#This Row],[INSERT DATE]]</f>
        <v>23.742928240739275</v>
      </c>
      <c r="K4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64">
        <f ca="1">qry_ProdData2_PDI_Cash_Exception_Application[[#This Row],[TODAY]]-qry_ProdData2_PDI_Cash_Exception_Application[[#This Row],[CHANGED ON]]</f>
        <v>18.742928240739275</v>
      </c>
      <c r="M464">
        <f ca="1">qry_ProdData2_PDI_Cash_Exception_Application[[#This Row],[TODAY]]-qry_ProdData2_PDI_Cash_Exception_Application[[#This Row],[CHANGED ON]]</f>
        <v>18.742928240739275</v>
      </c>
      <c r="N464">
        <f ca="1">qry_ProdData2_PDI_Cash_Exception_Application[[#This Row],[TODAY]]-qry_ProdData2_PDI_Cash_Exception_Application[[#This Row],[CHANGED ON]]</f>
        <v>18.742928240739275</v>
      </c>
    </row>
    <row r="465" spans="1:14" x14ac:dyDescent="0.35">
      <c r="A465">
        <v>1015</v>
      </c>
      <c r="B465" t="s">
        <v>69</v>
      </c>
      <c r="C465" s="1">
        <v>45185.257071759261</v>
      </c>
      <c r="D465" t="str">
        <f ca="1">VLOOKUP(qry_ProdData2_PDI_Cash_Exception_Application[[#This Row],[TYPE]],#REF!,2,FALSE)</f>
        <v>type40</v>
      </c>
      <c r="E465">
        <v>-4943.09</v>
      </c>
      <c r="F465" t="s">
        <v>52</v>
      </c>
      <c r="G465" s="1">
        <f>qry_ProdData2_PDI_Cash_Exception_Application[[#This Row],[INSERT DATE]]+5</f>
        <v>45190.257071759261</v>
      </c>
      <c r="H465" t="str">
        <f>VLOOKUP(qry_ProdData2_PDI_Cash_Exception_Application[[#This Row],[MARKET No]],'Site Allocation'!$B$2:$C$37,2,FALSE)</f>
        <v>Analyst3</v>
      </c>
      <c r="I465" s="4">
        <f t="shared" ca="1" si="7"/>
        <v>45203</v>
      </c>
      <c r="J465" s="42">
        <f ca="1">TODAY()-qry_ProdData2_PDI_Cash_Exception_Application[[#This Row],[INSERT DATE]]</f>
        <v>17.742928240739275</v>
      </c>
      <c r="K4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65">
        <f ca="1">qry_ProdData2_PDI_Cash_Exception_Application[[#This Row],[TODAY]]-qry_ProdData2_PDI_Cash_Exception_Application[[#This Row],[CHANGED ON]]</f>
        <v>12.742928240739275</v>
      </c>
      <c r="M465">
        <f ca="1">qry_ProdData2_PDI_Cash_Exception_Application[[#This Row],[TODAY]]-qry_ProdData2_PDI_Cash_Exception_Application[[#This Row],[CHANGED ON]]</f>
        <v>12.742928240739275</v>
      </c>
      <c r="N465">
        <f ca="1">qry_ProdData2_PDI_Cash_Exception_Application[[#This Row],[TODAY]]-qry_ProdData2_PDI_Cash_Exception_Application[[#This Row],[CHANGED ON]]</f>
        <v>12.742928240739275</v>
      </c>
    </row>
    <row r="466" spans="1:14" x14ac:dyDescent="0.35">
      <c r="A466">
        <v>1027</v>
      </c>
      <c r="B466" t="s">
        <v>81</v>
      </c>
      <c r="C466" s="1">
        <v>45180.257071759261</v>
      </c>
      <c r="D466" t="str">
        <f ca="1">VLOOKUP(qry_ProdData2_PDI_Cash_Exception_Application[[#This Row],[TYPE]],#REF!,2,FALSE)</f>
        <v>type40</v>
      </c>
      <c r="E466">
        <v>775.24</v>
      </c>
      <c r="F466" t="s">
        <v>47</v>
      </c>
      <c r="G466" s="1">
        <f>qry_ProdData2_PDI_Cash_Exception_Application[[#This Row],[INSERT DATE]]+2</f>
        <v>45182.257071759261</v>
      </c>
      <c r="H466" t="str">
        <f>VLOOKUP(qry_ProdData2_PDI_Cash_Exception_Application[[#This Row],[MARKET No]],'Site Allocation'!$B$2:$C$37,2,FALSE)</f>
        <v>Analyst5</v>
      </c>
      <c r="I466" s="4">
        <f t="shared" ca="1" si="7"/>
        <v>45203</v>
      </c>
      <c r="J466" s="42">
        <f ca="1">TODAY()-qry_ProdData2_PDI_Cash_Exception_Application[[#This Row],[INSERT DATE]]</f>
        <v>22.742928240739275</v>
      </c>
      <c r="K4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66">
        <f ca="1">qry_ProdData2_PDI_Cash_Exception_Application[[#This Row],[TODAY]]-qry_ProdData2_PDI_Cash_Exception_Application[[#This Row],[CHANGED ON]]</f>
        <v>20.742928240739275</v>
      </c>
      <c r="M466">
        <f ca="1">qry_ProdData2_PDI_Cash_Exception_Application[[#This Row],[TODAY]]-qry_ProdData2_PDI_Cash_Exception_Application[[#This Row],[CHANGED ON]]</f>
        <v>20.742928240739275</v>
      </c>
      <c r="N466">
        <f ca="1">qry_ProdData2_PDI_Cash_Exception_Application[[#This Row],[TODAY]]-qry_ProdData2_PDI_Cash_Exception_Application[[#This Row],[CHANGED ON]]</f>
        <v>20.742928240739275</v>
      </c>
    </row>
    <row r="467" spans="1:14" x14ac:dyDescent="0.35">
      <c r="A467">
        <v>1023</v>
      </c>
      <c r="B467" t="s">
        <v>77</v>
      </c>
      <c r="C467" s="1">
        <v>45190.257071759261</v>
      </c>
      <c r="D467" t="str">
        <f ca="1">VLOOKUP(qry_ProdData2_PDI_Cash_Exception_Application[[#This Row],[TYPE]],#REF!,2,FALSE)</f>
        <v>type40</v>
      </c>
      <c r="E467">
        <v>-361.64</v>
      </c>
      <c r="F467" t="s">
        <v>49</v>
      </c>
      <c r="G467" s="1">
        <f>qry_ProdData2_PDI_Cash_Exception_Application[[#This Row],[INSERT DATE]]+1</f>
        <v>45191.257071759261</v>
      </c>
      <c r="H467" t="str">
        <f>VLOOKUP(qry_ProdData2_PDI_Cash_Exception_Application[[#This Row],[MARKET No]],'Site Allocation'!$B$2:$C$37,2,FALSE)</f>
        <v>Analyst4</v>
      </c>
      <c r="I467" s="4">
        <f t="shared" ca="1" si="7"/>
        <v>45203</v>
      </c>
      <c r="J467" s="42">
        <f ca="1">TODAY()-qry_ProdData2_PDI_Cash_Exception_Application[[#This Row],[INSERT DATE]]</f>
        <v>12.742928240739275</v>
      </c>
      <c r="K4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67">
        <f ca="1">qry_ProdData2_PDI_Cash_Exception_Application[[#This Row],[TODAY]]-qry_ProdData2_PDI_Cash_Exception_Application[[#This Row],[CHANGED ON]]</f>
        <v>11.742928240739275</v>
      </c>
      <c r="M467">
        <f ca="1">qry_ProdData2_PDI_Cash_Exception_Application[[#This Row],[TODAY]]-qry_ProdData2_PDI_Cash_Exception_Application[[#This Row],[CHANGED ON]]</f>
        <v>11.742928240739275</v>
      </c>
      <c r="N467">
        <f ca="1">qry_ProdData2_PDI_Cash_Exception_Application[[#This Row],[TODAY]]-qry_ProdData2_PDI_Cash_Exception_Application[[#This Row],[CHANGED ON]]</f>
        <v>11.742928240739275</v>
      </c>
    </row>
    <row r="468" spans="1:14" x14ac:dyDescent="0.35">
      <c r="A468">
        <v>1034</v>
      </c>
      <c r="B468" t="s">
        <v>88</v>
      </c>
      <c r="C468" s="1">
        <v>45192.257071759261</v>
      </c>
      <c r="D468" t="str">
        <f ca="1">VLOOKUP(qry_ProdData2_PDI_Cash_Exception_Application[[#This Row],[TYPE]],#REF!,2,FALSE)</f>
        <v>type40</v>
      </c>
      <c r="E468">
        <v>1436</v>
      </c>
      <c r="F468" t="s">
        <v>49</v>
      </c>
      <c r="G468" s="1">
        <f>qry_ProdData2_PDI_Cash_Exception_Application[[#This Row],[INSERT DATE]]+1</f>
        <v>45193.257071759261</v>
      </c>
      <c r="H468" t="str">
        <f>VLOOKUP(qry_ProdData2_PDI_Cash_Exception_Application[[#This Row],[MARKET No]],'Site Allocation'!$B$2:$C$37,2,FALSE)</f>
        <v>Analyst6</v>
      </c>
      <c r="I468" s="4">
        <f t="shared" ca="1" si="7"/>
        <v>45203</v>
      </c>
      <c r="J468" s="42">
        <f ca="1">TODAY()-qry_ProdData2_PDI_Cash_Exception_Application[[#This Row],[INSERT DATE]]</f>
        <v>10.742928240739275</v>
      </c>
      <c r="K4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68">
        <f ca="1">qry_ProdData2_PDI_Cash_Exception_Application[[#This Row],[TODAY]]-qry_ProdData2_PDI_Cash_Exception_Application[[#This Row],[CHANGED ON]]</f>
        <v>9.7429282407392748</v>
      </c>
      <c r="M468">
        <f ca="1">qry_ProdData2_PDI_Cash_Exception_Application[[#This Row],[TODAY]]-qry_ProdData2_PDI_Cash_Exception_Application[[#This Row],[CHANGED ON]]</f>
        <v>9.7429282407392748</v>
      </c>
      <c r="N468">
        <f ca="1">qry_ProdData2_PDI_Cash_Exception_Application[[#This Row],[TODAY]]-qry_ProdData2_PDI_Cash_Exception_Application[[#This Row],[CHANGED ON]]</f>
        <v>9.7429282407392748</v>
      </c>
    </row>
    <row r="469" spans="1:14" x14ac:dyDescent="0.35">
      <c r="A469">
        <v>1008</v>
      </c>
      <c r="B469" t="s">
        <v>62</v>
      </c>
      <c r="C469" s="1">
        <v>45187.257071759261</v>
      </c>
      <c r="D469" t="str">
        <f ca="1">VLOOKUP(qry_ProdData2_PDI_Cash_Exception_Application[[#This Row],[TYPE]],#REF!,2,FALSE)</f>
        <v>type40</v>
      </c>
      <c r="E469">
        <v>-327.10000000000002</v>
      </c>
      <c r="F469" t="s">
        <v>49</v>
      </c>
      <c r="G469" s="1">
        <f>qry_ProdData2_PDI_Cash_Exception_Application[[#This Row],[INSERT DATE]]+1</f>
        <v>45188.257071759261</v>
      </c>
      <c r="H469" t="str">
        <f>VLOOKUP(qry_ProdData2_PDI_Cash_Exception_Application[[#This Row],[MARKET No]],'Site Allocation'!$B$2:$C$37,2,FALSE)</f>
        <v>Analyst2</v>
      </c>
      <c r="I469" s="4">
        <f t="shared" ca="1" si="7"/>
        <v>45203</v>
      </c>
      <c r="J469" s="42">
        <f ca="1">TODAY()-qry_ProdData2_PDI_Cash_Exception_Application[[#This Row],[INSERT DATE]]</f>
        <v>15.742928240739275</v>
      </c>
      <c r="K4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69">
        <f ca="1">qry_ProdData2_PDI_Cash_Exception_Application[[#This Row],[TODAY]]-qry_ProdData2_PDI_Cash_Exception_Application[[#This Row],[CHANGED ON]]</f>
        <v>14.742928240739275</v>
      </c>
      <c r="M469">
        <f ca="1">qry_ProdData2_PDI_Cash_Exception_Application[[#This Row],[TODAY]]-qry_ProdData2_PDI_Cash_Exception_Application[[#This Row],[CHANGED ON]]</f>
        <v>14.742928240739275</v>
      </c>
      <c r="N469">
        <f ca="1">qry_ProdData2_PDI_Cash_Exception_Application[[#This Row],[TODAY]]-qry_ProdData2_PDI_Cash_Exception_Application[[#This Row],[CHANGED ON]]</f>
        <v>14.742928240739275</v>
      </c>
    </row>
    <row r="470" spans="1:14" x14ac:dyDescent="0.35">
      <c r="A470">
        <v>1017</v>
      </c>
      <c r="B470" t="s">
        <v>71</v>
      </c>
      <c r="C470" s="1">
        <v>45188.257071759261</v>
      </c>
      <c r="D470" t="str">
        <f ca="1">VLOOKUP(qry_ProdData2_PDI_Cash_Exception_Application[[#This Row],[TYPE]],#REF!,2,FALSE)</f>
        <v>type54</v>
      </c>
      <c r="E470">
        <v>-0.46</v>
      </c>
      <c r="F470" t="s">
        <v>50</v>
      </c>
      <c r="G470" s="1">
        <f>qry_ProdData2_PDI_Cash_Exception_Application[[#This Row],[INSERT DATE]]+5</f>
        <v>45193.257071759261</v>
      </c>
      <c r="H470" t="str">
        <f>VLOOKUP(qry_ProdData2_PDI_Cash_Exception_Application[[#This Row],[MARKET No]],'Site Allocation'!$B$2:$C$37,2,FALSE)</f>
        <v>Analyst3</v>
      </c>
      <c r="I470" s="4">
        <f t="shared" ca="1" si="7"/>
        <v>45203</v>
      </c>
      <c r="J470" s="42">
        <f ca="1">TODAY()-qry_ProdData2_PDI_Cash_Exception_Application[[#This Row],[INSERT DATE]]</f>
        <v>14.742928240739275</v>
      </c>
      <c r="K4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70">
        <f ca="1">qry_ProdData2_PDI_Cash_Exception_Application[[#This Row],[TODAY]]-qry_ProdData2_PDI_Cash_Exception_Application[[#This Row],[CHANGED ON]]</f>
        <v>9.7429282407392748</v>
      </c>
      <c r="M470">
        <f ca="1">qry_ProdData2_PDI_Cash_Exception_Application[[#This Row],[TODAY]]-qry_ProdData2_PDI_Cash_Exception_Application[[#This Row],[CHANGED ON]]</f>
        <v>9.7429282407392748</v>
      </c>
      <c r="N470">
        <f ca="1">qry_ProdData2_PDI_Cash_Exception_Application[[#This Row],[TODAY]]-qry_ProdData2_PDI_Cash_Exception_Application[[#This Row],[CHANGED ON]]</f>
        <v>9.7429282407392748</v>
      </c>
    </row>
    <row r="471" spans="1:14" x14ac:dyDescent="0.35">
      <c r="A471">
        <v>1032</v>
      </c>
      <c r="B471" t="s">
        <v>86</v>
      </c>
      <c r="C471" s="1">
        <v>45182.257071759261</v>
      </c>
      <c r="D471" t="str">
        <f ca="1">VLOOKUP(qry_ProdData2_PDI_Cash_Exception_Application[[#This Row],[TYPE]],#REF!,2,FALSE)</f>
        <v>type40</v>
      </c>
      <c r="E471">
        <v>723.64</v>
      </c>
      <c r="F471" t="s">
        <v>47</v>
      </c>
      <c r="G471" s="1">
        <f>qry_ProdData2_PDI_Cash_Exception_Application[[#This Row],[INSERT DATE]]+2</f>
        <v>45184.257071759261</v>
      </c>
      <c r="H471" t="str">
        <f>VLOOKUP(qry_ProdData2_PDI_Cash_Exception_Application[[#This Row],[MARKET No]],'Site Allocation'!$B$2:$C$37,2,FALSE)</f>
        <v>Analyst6</v>
      </c>
      <c r="I471" s="4">
        <f t="shared" ca="1" si="7"/>
        <v>45203</v>
      </c>
      <c r="J471" s="42">
        <f ca="1">TODAY()-qry_ProdData2_PDI_Cash_Exception_Application[[#This Row],[INSERT DATE]]</f>
        <v>20.742928240739275</v>
      </c>
      <c r="K4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71">
        <f ca="1">qry_ProdData2_PDI_Cash_Exception_Application[[#This Row],[TODAY]]-qry_ProdData2_PDI_Cash_Exception_Application[[#This Row],[CHANGED ON]]</f>
        <v>18.742928240739275</v>
      </c>
      <c r="M471">
        <f ca="1">qry_ProdData2_PDI_Cash_Exception_Application[[#This Row],[TODAY]]-qry_ProdData2_PDI_Cash_Exception_Application[[#This Row],[CHANGED ON]]</f>
        <v>18.742928240739275</v>
      </c>
      <c r="N471">
        <f ca="1">qry_ProdData2_PDI_Cash_Exception_Application[[#This Row],[TODAY]]-qry_ProdData2_PDI_Cash_Exception_Application[[#This Row],[CHANGED ON]]</f>
        <v>18.742928240739275</v>
      </c>
    </row>
    <row r="472" spans="1:14" x14ac:dyDescent="0.35">
      <c r="A472">
        <v>1030</v>
      </c>
      <c r="B472" t="s">
        <v>84</v>
      </c>
      <c r="C472" s="1">
        <v>45189.257071759261</v>
      </c>
      <c r="D472" t="str">
        <f ca="1">VLOOKUP(qry_ProdData2_PDI_Cash_Exception_Application[[#This Row],[TYPE]],#REF!,2,FALSE)</f>
        <v>type24</v>
      </c>
      <c r="E472">
        <v>197.78</v>
      </c>
      <c r="F472" t="s">
        <v>52</v>
      </c>
      <c r="G472" s="1">
        <f>qry_ProdData2_PDI_Cash_Exception_Application[[#This Row],[INSERT DATE]]+5</f>
        <v>45194.257071759261</v>
      </c>
      <c r="H472" t="str">
        <f>VLOOKUP(qry_ProdData2_PDI_Cash_Exception_Application[[#This Row],[MARKET No]],'Site Allocation'!$B$2:$C$37,2,FALSE)</f>
        <v>Analyst6</v>
      </c>
      <c r="I472" s="4">
        <f t="shared" ca="1" si="7"/>
        <v>45203</v>
      </c>
      <c r="J472" s="42">
        <f ca="1">TODAY()-qry_ProdData2_PDI_Cash_Exception_Application[[#This Row],[INSERT DATE]]</f>
        <v>13.742928240739275</v>
      </c>
      <c r="K4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72">
        <f ca="1">qry_ProdData2_PDI_Cash_Exception_Application[[#This Row],[TODAY]]-qry_ProdData2_PDI_Cash_Exception_Application[[#This Row],[CHANGED ON]]</f>
        <v>8.7429282407392748</v>
      </c>
      <c r="M472">
        <f ca="1">qry_ProdData2_PDI_Cash_Exception_Application[[#This Row],[TODAY]]-qry_ProdData2_PDI_Cash_Exception_Application[[#This Row],[CHANGED ON]]</f>
        <v>8.7429282407392748</v>
      </c>
      <c r="N472">
        <f ca="1">qry_ProdData2_PDI_Cash_Exception_Application[[#This Row],[TODAY]]-qry_ProdData2_PDI_Cash_Exception_Application[[#This Row],[CHANGED ON]]</f>
        <v>8.7429282407392748</v>
      </c>
    </row>
    <row r="473" spans="1:14" x14ac:dyDescent="0.35">
      <c r="A473">
        <v>1029</v>
      </c>
      <c r="B473" t="s">
        <v>83</v>
      </c>
      <c r="C473" s="1">
        <v>45182.257071759261</v>
      </c>
      <c r="D473" t="str">
        <f ca="1">VLOOKUP(qry_ProdData2_PDI_Cash_Exception_Application[[#This Row],[TYPE]],#REF!,2,FALSE)</f>
        <v>type40</v>
      </c>
      <c r="E473">
        <v>-1399.46</v>
      </c>
      <c r="F473" t="s">
        <v>49</v>
      </c>
      <c r="G473" s="1">
        <f>qry_ProdData2_PDI_Cash_Exception_Application[[#This Row],[INSERT DATE]]+2</f>
        <v>45184.257071759261</v>
      </c>
      <c r="H473" t="str">
        <f>VLOOKUP(qry_ProdData2_PDI_Cash_Exception_Application[[#This Row],[MARKET No]],'Site Allocation'!$B$2:$C$37,2,FALSE)</f>
        <v>Analyst5</v>
      </c>
      <c r="I473" s="4">
        <f t="shared" ca="1" si="7"/>
        <v>45203</v>
      </c>
      <c r="J473" s="42">
        <f ca="1">TODAY()-qry_ProdData2_PDI_Cash_Exception_Application[[#This Row],[INSERT DATE]]</f>
        <v>20.742928240739275</v>
      </c>
      <c r="K4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73">
        <f ca="1">qry_ProdData2_PDI_Cash_Exception_Application[[#This Row],[TODAY]]-qry_ProdData2_PDI_Cash_Exception_Application[[#This Row],[CHANGED ON]]</f>
        <v>18.742928240739275</v>
      </c>
      <c r="M473">
        <f ca="1">qry_ProdData2_PDI_Cash_Exception_Application[[#This Row],[TODAY]]-qry_ProdData2_PDI_Cash_Exception_Application[[#This Row],[CHANGED ON]]</f>
        <v>18.742928240739275</v>
      </c>
      <c r="N473">
        <f ca="1">qry_ProdData2_PDI_Cash_Exception_Application[[#This Row],[TODAY]]-qry_ProdData2_PDI_Cash_Exception_Application[[#This Row],[CHANGED ON]]</f>
        <v>18.742928240739275</v>
      </c>
    </row>
    <row r="474" spans="1:14" x14ac:dyDescent="0.35">
      <c r="A474">
        <v>1011</v>
      </c>
      <c r="B474" t="s">
        <v>65</v>
      </c>
      <c r="C474" s="1">
        <v>45187.257071759261</v>
      </c>
      <c r="D474" t="str">
        <f ca="1">VLOOKUP(qry_ProdData2_PDI_Cash_Exception_Application[[#This Row],[TYPE]],#REF!,2,FALSE)</f>
        <v>type40</v>
      </c>
      <c r="E474">
        <v>342.07</v>
      </c>
      <c r="F474" t="s">
        <v>48</v>
      </c>
      <c r="G474" s="1">
        <f>qry_ProdData2_PDI_Cash_Exception_Application[[#This Row],[INSERT DATE]]+1</f>
        <v>45188.257071759261</v>
      </c>
      <c r="H474" t="str">
        <f>VLOOKUP(qry_ProdData2_PDI_Cash_Exception_Application[[#This Row],[MARKET No]],'Site Allocation'!$B$2:$C$37,2,FALSE)</f>
        <v>Analyst2</v>
      </c>
      <c r="I474" s="4">
        <f t="shared" ca="1" si="7"/>
        <v>45203</v>
      </c>
      <c r="J474" s="42">
        <f ca="1">TODAY()-qry_ProdData2_PDI_Cash_Exception_Application[[#This Row],[INSERT DATE]]</f>
        <v>15.742928240739275</v>
      </c>
      <c r="K4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74">
        <f ca="1">qry_ProdData2_PDI_Cash_Exception_Application[[#This Row],[TODAY]]-qry_ProdData2_PDI_Cash_Exception_Application[[#This Row],[CHANGED ON]]</f>
        <v>14.742928240739275</v>
      </c>
      <c r="M474">
        <f ca="1">qry_ProdData2_PDI_Cash_Exception_Application[[#This Row],[TODAY]]-qry_ProdData2_PDI_Cash_Exception_Application[[#This Row],[CHANGED ON]]</f>
        <v>14.742928240739275</v>
      </c>
      <c r="N474">
        <f ca="1">qry_ProdData2_PDI_Cash_Exception_Application[[#This Row],[TODAY]]-qry_ProdData2_PDI_Cash_Exception_Application[[#This Row],[CHANGED ON]]</f>
        <v>14.742928240739275</v>
      </c>
    </row>
    <row r="475" spans="1:14" x14ac:dyDescent="0.35">
      <c r="A475">
        <v>1005</v>
      </c>
      <c r="B475" t="s">
        <v>59</v>
      </c>
      <c r="C475" s="1">
        <v>45183.257071759261</v>
      </c>
      <c r="D475" t="str">
        <f ca="1">VLOOKUP(qry_ProdData2_PDI_Cash_Exception_Application[[#This Row],[TYPE]],#REF!,2,FALSE)</f>
        <v>type35</v>
      </c>
      <c r="E475">
        <v>300.89999999999998</v>
      </c>
      <c r="F475" t="s">
        <v>47</v>
      </c>
      <c r="G475" s="1">
        <f>qry_ProdData2_PDI_Cash_Exception_Application[[#This Row],[INSERT DATE]]+2</f>
        <v>45185.257071759261</v>
      </c>
      <c r="H475" t="str">
        <f>VLOOKUP(qry_ProdData2_PDI_Cash_Exception_Application[[#This Row],[MARKET No]],'Site Allocation'!$B$2:$C$37,2,FALSE)</f>
        <v>Analyst1</v>
      </c>
      <c r="I475" s="4">
        <f t="shared" ca="1" si="7"/>
        <v>45203</v>
      </c>
      <c r="J475" s="42">
        <f ca="1">TODAY()-qry_ProdData2_PDI_Cash_Exception_Application[[#This Row],[INSERT DATE]]</f>
        <v>19.742928240739275</v>
      </c>
      <c r="K4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75">
        <f ca="1">qry_ProdData2_PDI_Cash_Exception_Application[[#This Row],[TODAY]]-qry_ProdData2_PDI_Cash_Exception_Application[[#This Row],[CHANGED ON]]</f>
        <v>17.742928240739275</v>
      </c>
      <c r="M475">
        <f ca="1">qry_ProdData2_PDI_Cash_Exception_Application[[#This Row],[TODAY]]-qry_ProdData2_PDI_Cash_Exception_Application[[#This Row],[CHANGED ON]]</f>
        <v>17.742928240739275</v>
      </c>
      <c r="N475">
        <f ca="1">qry_ProdData2_PDI_Cash_Exception_Application[[#This Row],[TODAY]]-qry_ProdData2_PDI_Cash_Exception_Application[[#This Row],[CHANGED ON]]</f>
        <v>17.742928240739275</v>
      </c>
    </row>
    <row r="476" spans="1:14" x14ac:dyDescent="0.35">
      <c r="A476">
        <v>1015</v>
      </c>
      <c r="B476" t="s">
        <v>69</v>
      </c>
      <c r="C476" s="1">
        <v>45187.257071759261</v>
      </c>
      <c r="D476" t="str">
        <f ca="1">VLOOKUP(qry_ProdData2_PDI_Cash_Exception_Application[[#This Row],[TYPE]],#REF!,2,FALSE)</f>
        <v>type18</v>
      </c>
      <c r="E476">
        <v>436.92</v>
      </c>
      <c r="F476" t="s">
        <v>48</v>
      </c>
      <c r="G476" s="1">
        <f>qry_ProdData2_PDI_Cash_Exception_Application[[#This Row],[INSERT DATE]]+1</f>
        <v>45188.257071759261</v>
      </c>
      <c r="H476" t="str">
        <f>VLOOKUP(qry_ProdData2_PDI_Cash_Exception_Application[[#This Row],[MARKET No]],'Site Allocation'!$B$2:$C$37,2,FALSE)</f>
        <v>Analyst3</v>
      </c>
      <c r="I476" s="4">
        <f t="shared" ca="1" si="7"/>
        <v>45203</v>
      </c>
      <c r="J476" s="42">
        <f ca="1">TODAY()-qry_ProdData2_PDI_Cash_Exception_Application[[#This Row],[INSERT DATE]]</f>
        <v>15.742928240739275</v>
      </c>
      <c r="K4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76">
        <f ca="1">qry_ProdData2_PDI_Cash_Exception_Application[[#This Row],[TODAY]]-qry_ProdData2_PDI_Cash_Exception_Application[[#This Row],[CHANGED ON]]</f>
        <v>14.742928240739275</v>
      </c>
      <c r="M476">
        <f ca="1">qry_ProdData2_PDI_Cash_Exception_Application[[#This Row],[TODAY]]-qry_ProdData2_PDI_Cash_Exception_Application[[#This Row],[CHANGED ON]]</f>
        <v>14.742928240739275</v>
      </c>
      <c r="N476">
        <f ca="1">qry_ProdData2_PDI_Cash_Exception_Application[[#This Row],[TODAY]]-qry_ProdData2_PDI_Cash_Exception_Application[[#This Row],[CHANGED ON]]</f>
        <v>14.742928240739275</v>
      </c>
    </row>
    <row r="477" spans="1:14" x14ac:dyDescent="0.35">
      <c r="A477">
        <v>1022</v>
      </c>
      <c r="B477" t="s">
        <v>76</v>
      </c>
      <c r="C477" s="1">
        <v>45193.257071759261</v>
      </c>
      <c r="D477" t="str">
        <f ca="1">VLOOKUP(qry_ProdData2_PDI_Cash_Exception_Application[[#This Row],[TYPE]],#REF!,2,FALSE)</f>
        <v>type40</v>
      </c>
      <c r="E477">
        <v>584.36</v>
      </c>
      <c r="F477" t="s">
        <v>52</v>
      </c>
      <c r="G477" s="1">
        <f>qry_ProdData2_PDI_Cash_Exception_Application[[#This Row],[INSERT DATE]]+7</f>
        <v>45200.257071759261</v>
      </c>
      <c r="H477" t="str">
        <f>VLOOKUP(qry_ProdData2_PDI_Cash_Exception_Application[[#This Row],[MARKET No]],'Site Allocation'!$B$2:$C$37,2,FALSE)</f>
        <v>Analyst4</v>
      </c>
      <c r="I477" s="4">
        <f t="shared" ca="1" si="7"/>
        <v>45203</v>
      </c>
      <c r="J477" s="42">
        <f ca="1">TODAY()-qry_ProdData2_PDI_Cash_Exception_Application[[#This Row],[INSERT DATE]]</f>
        <v>9.7429282407392748</v>
      </c>
      <c r="K4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77">
        <f ca="1">qry_ProdData2_PDI_Cash_Exception_Application[[#This Row],[TODAY]]-qry_ProdData2_PDI_Cash_Exception_Application[[#This Row],[CHANGED ON]]</f>
        <v>2.7429282407392748</v>
      </c>
      <c r="M477">
        <f ca="1">qry_ProdData2_PDI_Cash_Exception_Application[[#This Row],[TODAY]]-qry_ProdData2_PDI_Cash_Exception_Application[[#This Row],[CHANGED ON]]</f>
        <v>2.7429282407392748</v>
      </c>
      <c r="N477">
        <f ca="1">qry_ProdData2_PDI_Cash_Exception_Application[[#This Row],[TODAY]]-qry_ProdData2_PDI_Cash_Exception_Application[[#This Row],[CHANGED ON]]</f>
        <v>2.7429282407392748</v>
      </c>
    </row>
    <row r="478" spans="1:14" x14ac:dyDescent="0.35">
      <c r="A478">
        <v>1020</v>
      </c>
      <c r="B478" t="s">
        <v>74</v>
      </c>
      <c r="C478" s="1">
        <v>45194.257071759261</v>
      </c>
      <c r="D478" t="str">
        <f ca="1">VLOOKUP(qry_ProdData2_PDI_Cash_Exception_Application[[#This Row],[TYPE]],#REF!,2,FALSE)</f>
        <v>type40</v>
      </c>
      <c r="E478">
        <v>1585.36</v>
      </c>
      <c r="F478" t="s">
        <v>50</v>
      </c>
      <c r="G478" s="1">
        <f>qry_ProdData2_PDI_Cash_Exception_Application[[#This Row],[INSERT DATE]]+7</f>
        <v>45201.257071759261</v>
      </c>
      <c r="H478" t="str">
        <f>VLOOKUP(qry_ProdData2_PDI_Cash_Exception_Application[[#This Row],[MARKET No]],'Site Allocation'!$B$2:$C$37,2,FALSE)</f>
        <v>Analyst4</v>
      </c>
      <c r="I478" s="4">
        <f t="shared" ca="1" si="7"/>
        <v>45203</v>
      </c>
      <c r="J478" s="42">
        <f ca="1">TODAY()-qry_ProdData2_PDI_Cash_Exception_Application[[#This Row],[INSERT DATE]]</f>
        <v>8.7429282407392748</v>
      </c>
      <c r="K4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478">
        <f ca="1">qry_ProdData2_PDI_Cash_Exception_Application[[#This Row],[TODAY]]-qry_ProdData2_PDI_Cash_Exception_Application[[#This Row],[CHANGED ON]]</f>
        <v>1.7429282407392748</v>
      </c>
      <c r="M478">
        <f ca="1">qry_ProdData2_PDI_Cash_Exception_Application[[#This Row],[TODAY]]-qry_ProdData2_PDI_Cash_Exception_Application[[#This Row],[CHANGED ON]]</f>
        <v>1.7429282407392748</v>
      </c>
      <c r="N478">
        <f ca="1">qry_ProdData2_PDI_Cash_Exception_Application[[#This Row],[TODAY]]-qry_ProdData2_PDI_Cash_Exception_Application[[#This Row],[CHANGED ON]]</f>
        <v>1.7429282407392748</v>
      </c>
    </row>
    <row r="479" spans="1:14" x14ac:dyDescent="0.35">
      <c r="A479">
        <v>1033</v>
      </c>
      <c r="B479" t="s">
        <v>87</v>
      </c>
      <c r="C479" s="1">
        <v>45189.257071759261</v>
      </c>
      <c r="D479" t="str">
        <f ca="1">VLOOKUP(qry_ProdData2_PDI_Cash_Exception_Application[[#This Row],[TYPE]],#REF!,2,FALSE)</f>
        <v>type40</v>
      </c>
      <c r="E479">
        <v>7246.88</v>
      </c>
      <c r="F479" t="s">
        <v>49</v>
      </c>
      <c r="G479" s="1">
        <f>qry_ProdData2_PDI_Cash_Exception_Application[[#This Row],[INSERT DATE]]+5</f>
        <v>45194.257071759261</v>
      </c>
      <c r="H479" t="str">
        <f>VLOOKUP(qry_ProdData2_PDI_Cash_Exception_Application[[#This Row],[MARKET No]],'Site Allocation'!$B$2:$C$37,2,FALSE)</f>
        <v>Analyst6</v>
      </c>
      <c r="I479" s="4">
        <f t="shared" ca="1" si="7"/>
        <v>45203</v>
      </c>
      <c r="J479" s="42">
        <f ca="1">TODAY()-qry_ProdData2_PDI_Cash_Exception_Application[[#This Row],[INSERT DATE]]</f>
        <v>13.742928240739275</v>
      </c>
      <c r="K4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79">
        <f ca="1">qry_ProdData2_PDI_Cash_Exception_Application[[#This Row],[TODAY]]-qry_ProdData2_PDI_Cash_Exception_Application[[#This Row],[CHANGED ON]]</f>
        <v>8.7429282407392748</v>
      </c>
      <c r="M479">
        <f ca="1">qry_ProdData2_PDI_Cash_Exception_Application[[#This Row],[TODAY]]-qry_ProdData2_PDI_Cash_Exception_Application[[#This Row],[CHANGED ON]]</f>
        <v>8.7429282407392748</v>
      </c>
      <c r="N479">
        <f ca="1">qry_ProdData2_PDI_Cash_Exception_Application[[#This Row],[TODAY]]-qry_ProdData2_PDI_Cash_Exception_Application[[#This Row],[CHANGED ON]]</f>
        <v>8.7429282407392748</v>
      </c>
    </row>
    <row r="480" spans="1:14" x14ac:dyDescent="0.35">
      <c r="A480">
        <v>1010</v>
      </c>
      <c r="B480" t="s">
        <v>64</v>
      </c>
      <c r="C480" s="1">
        <v>45196.257071759261</v>
      </c>
      <c r="D480" t="str">
        <f ca="1">VLOOKUP(qry_ProdData2_PDI_Cash_Exception_Application[[#This Row],[TYPE]],#REF!,2,FALSE)</f>
        <v>type7</v>
      </c>
      <c r="E480">
        <v>-12987.98</v>
      </c>
      <c r="F480" t="s">
        <v>50</v>
      </c>
      <c r="G480" s="1">
        <f>qry_ProdData2_PDI_Cash_Exception_Application[[#This Row],[INSERT DATE]]+7</f>
        <v>45203.257071759261</v>
      </c>
      <c r="H480" t="str">
        <f>VLOOKUP(qry_ProdData2_PDI_Cash_Exception_Application[[#This Row],[MARKET No]],'Site Allocation'!$B$2:$C$37,2,FALSE)</f>
        <v>Analyst2</v>
      </c>
      <c r="I480" s="4">
        <f t="shared" ca="1" si="7"/>
        <v>45203</v>
      </c>
      <c r="J480" s="42">
        <f ca="1">TODAY()-qry_ProdData2_PDI_Cash_Exception_Application[[#This Row],[INSERT DATE]]</f>
        <v>6.7429282407392748</v>
      </c>
      <c r="K4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480">
        <f ca="1">qry_ProdData2_PDI_Cash_Exception_Application[[#This Row],[TODAY]]-qry_ProdData2_PDI_Cash_Exception_Application[[#This Row],[CHANGED ON]]</f>
        <v>-0.25707175926072523</v>
      </c>
      <c r="M480">
        <f ca="1">qry_ProdData2_PDI_Cash_Exception_Application[[#This Row],[TODAY]]-qry_ProdData2_PDI_Cash_Exception_Application[[#This Row],[CHANGED ON]]</f>
        <v>-0.25707175926072523</v>
      </c>
      <c r="N480">
        <f ca="1">qry_ProdData2_PDI_Cash_Exception_Application[[#This Row],[TODAY]]-qry_ProdData2_PDI_Cash_Exception_Application[[#This Row],[CHANGED ON]]</f>
        <v>-0.25707175926072523</v>
      </c>
    </row>
    <row r="481" spans="1:14" x14ac:dyDescent="0.35">
      <c r="A481">
        <v>1029</v>
      </c>
      <c r="B481" t="s">
        <v>83</v>
      </c>
      <c r="C481" s="1">
        <v>45197.257071759261</v>
      </c>
      <c r="D481" t="str">
        <f ca="1">VLOOKUP(qry_ProdData2_PDI_Cash_Exception_Application[[#This Row],[TYPE]],#REF!,2,FALSE)</f>
        <v>type40</v>
      </c>
      <c r="E481">
        <v>-407.81</v>
      </c>
      <c r="F481" t="s">
        <v>50</v>
      </c>
      <c r="G481" s="1">
        <f>qry_ProdData2_PDI_Cash_Exception_Application[[#This Row],[INSERT DATE]]+7</f>
        <v>45204.257071759261</v>
      </c>
      <c r="H481" t="str">
        <f>VLOOKUP(qry_ProdData2_PDI_Cash_Exception_Application[[#This Row],[MARKET No]],'Site Allocation'!$B$2:$C$37,2,FALSE)</f>
        <v>Analyst5</v>
      </c>
      <c r="I481" s="4">
        <f t="shared" ca="1" si="7"/>
        <v>45203</v>
      </c>
      <c r="J481" s="42">
        <f ca="1">TODAY()-qry_ProdData2_PDI_Cash_Exception_Application[[#This Row],[INSERT DATE]]</f>
        <v>5.7429282407392748</v>
      </c>
      <c r="K4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481">
        <f ca="1">qry_ProdData2_PDI_Cash_Exception_Application[[#This Row],[TODAY]]-qry_ProdData2_PDI_Cash_Exception_Application[[#This Row],[CHANGED ON]]</f>
        <v>-1.2570717592607252</v>
      </c>
      <c r="M481">
        <f ca="1">qry_ProdData2_PDI_Cash_Exception_Application[[#This Row],[TODAY]]-qry_ProdData2_PDI_Cash_Exception_Application[[#This Row],[CHANGED ON]]</f>
        <v>-1.2570717592607252</v>
      </c>
      <c r="N481">
        <f ca="1">qry_ProdData2_PDI_Cash_Exception_Application[[#This Row],[TODAY]]-qry_ProdData2_PDI_Cash_Exception_Application[[#This Row],[CHANGED ON]]</f>
        <v>-1.2570717592607252</v>
      </c>
    </row>
    <row r="482" spans="1:14" x14ac:dyDescent="0.35">
      <c r="A482">
        <v>1008</v>
      </c>
      <c r="B482" t="s">
        <v>62</v>
      </c>
      <c r="C482" s="1">
        <v>45191.257071759261</v>
      </c>
      <c r="D482" t="str">
        <f ca="1">VLOOKUP(qry_ProdData2_PDI_Cash_Exception_Application[[#This Row],[TYPE]],#REF!,2,FALSE)</f>
        <v>type13</v>
      </c>
      <c r="E482">
        <v>21535.08</v>
      </c>
      <c r="F482" t="s">
        <v>47</v>
      </c>
      <c r="G482" s="1">
        <f>qry_ProdData2_PDI_Cash_Exception_Application[[#This Row],[INSERT DATE]]+2</f>
        <v>45193.257071759261</v>
      </c>
      <c r="H482" t="str">
        <f>VLOOKUP(qry_ProdData2_PDI_Cash_Exception_Application[[#This Row],[MARKET No]],'Site Allocation'!$B$2:$C$37,2,FALSE)</f>
        <v>Analyst2</v>
      </c>
      <c r="I482" s="4">
        <f t="shared" ca="1" si="7"/>
        <v>45203</v>
      </c>
      <c r="J482" s="42">
        <f ca="1">TODAY()-qry_ProdData2_PDI_Cash_Exception_Application[[#This Row],[INSERT DATE]]</f>
        <v>11.742928240739275</v>
      </c>
      <c r="K4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82">
        <f ca="1">qry_ProdData2_PDI_Cash_Exception_Application[[#This Row],[TODAY]]-qry_ProdData2_PDI_Cash_Exception_Application[[#This Row],[CHANGED ON]]</f>
        <v>9.7429282407392748</v>
      </c>
      <c r="M482">
        <f ca="1">qry_ProdData2_PDI_Cash_Exception_Application[[#This Row],[TODAY]]-qry_ProdData2_PDI_Cash_Exception_Application[[#This Row],[CHANGED ON]]</f>
        <v>9.7429282407392748</v>
      </c>
      <c r="N482">
        <f ca="1">qry_ProdData2_PDI_Cash_Exception_Application[[#This Row],[TODAY]]-qry_ProdData2_PDI_Cash_Exception_Application[[#This Row],[CHANGED ON]]</f>
        <v>9.7429282407392748</v>
      </c>
    </row>
    <row r="483" spans="1:14" x14ac:dyDescent="0.35">
      <c r="A483">
        <v>1004</v>
      </c>
      <c r="B483" t="s">
        <v>58</v>
      </c>
      <c r="C483" s="1">
        <v>45189.257071759261</v>
      </c>
      <c r="D483" t="str">
        <f ca="1">VLOOKUP(qry_ProdData2_PDI_Cash_Exception_Application[[#This Row],[TYPE]],#REF!,2,FALSE)</f>
        <v>type40</v>
      </c>
      <c r="E483">
        <v>2857.19</v>
      </c>
      <c r="F483" t="s">
        <v>48</v>
      </c>
      <c r="G483" s="1">
        <f>qry_ProdData2_PDI_Cash_Exception_Application[[#This Row],[INSERT DATE]]+1</f>
        <v>45190.257071759261</v>
      </c>
      <c r="H483" t="str">
        <f>VLOOKUP(qry_ProdData2_PDI_Cash_Exception_Application[[#This Row],[MARKET No]],'Site Allocation'!$B$2:$C$37,2,FALSE)</f>
        <v>Analyst1</v>
      </c>
      <c r="I483" s="4">
        <f t="shared" ca="1" si="7"/>
        <v>45203</v>
      </c>
      <c r="J483" s="42">
        <f ca="1">TODAY()-qry_ProdData2_PDI_Cash_Exception_Application[[#This Row],[INSERT DATE]]</f>
        <v>13.742928240739275</v>
      </c>
      <c r="K4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83">
        <f ca="1">qry_ProdData2_PDI_Cash_Exception_Application[[#This Row],[TODAY]]-qry_ProdData2_PDI_Cash_Exception_Application[[#This Row],[CHANGED ON]]</f>
        <v>12.742928240739275</v>
      </c>
      <c r="M483">
        <f ca="1">qry_ProdData2_PDI_Cash_Exception_Application[[#This Row],[TODAY]]-qry_ProdData2_PDI_Cash_Exception_Application[[#This Row],[CHANGED ON]]</f>
        <v>12.742928240739275</v>
      </c>
      <c r="N483">
        <f ca="1">qry_ProdData2_PDI_Cash_Exception_Application[[#This Row],[TODAY]]-qry_ProdData2_PDI_Cash_Exception_Application[[#This Row],[CHANGED ON]]</f>
        <v>12.742928240739275</v>
      </c>
    </row>
    <row r="484" spans="1:14" x14ac:dyDescent="0.35">
      <c r="A484">
        <v>1018</v>
      </c>
      <c r="B484" t="s">
        <v>72</v>
      </c>
      <c r="C484" s="1">
        <v>45189.257071759261</v>
      </c>
      <c r="D484" t="str">
        <f ca="1">VLOOKUP(qry_ProdData2_PDI_Cash_Exception_Application[[#This Row],[TYPE]],#REF!,2,FALSE)</f>
        <v>type13</v>
      </c>
      <c r="E484">
        <v>47681.57</v>
      </c>
      <c r="F484" t="s">
        <v>49</v>
      </c>
      <c r="G484" s="1">
        <f>qry_ProdData2_PDI_Cash_Exception_Application[[#This Row],[INSERT DATE]]+5</f>
        <v>45194.257071759261</v>
      </c>
      <c r="H484" t="str">
        <f>VLOOKUP(qry_ProdData2_PDI_Cash_Exception_Application[[#This Row],[MARKET No]],'Site Allocation'!$B$2:$C$37,2,FALSE)</f>
        <v>Analyst4</v>
      </c>
      <c r="I484" s="4">
        <f t="shared" ca="1" si="7"/>
        <v>45203</v>
      </c>
      <c r="J484" s="42">
        <f ca="1">TODAY()-qry_ProdData2_PDI_Cash_Exception_Application[[#This Row],[INSERT DATE]]</f>
        <v>13.742928240739275</v>
      </c>
      <c r="K4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84">
        <f ca="1">qry_ProdData2_PDI_Cash_Exception_Application[[#This Row],[TODAY]]-qry_ProdData2_PDI_Cash_Exception_Application[[#This Row],[CHANGED ON]]</f>
        <v>8.7429282407392748</v>
      </c>
      <c r="M484">
        <f ca="1">qry_ProdData2_PDI_Cash_Exception_Application[[#This Row],[TODAY]]-qry_ProdData2_PDI_Cash_Exception_Application[[#This Row],[CHANGED ON]]</f>
        <v>8.7429282407392748</v>
      </c>
      <c r="N484">
        <f ca="1">qry_ProdData2_PDI_Cash_Exception_Application[[#This Row],[TODAY]]-qry_ProdData2_PDI_Cash_Exception_Application[[#This Row],[CHANGED ON]]</f>
        <v>8.7429282407392748</v>
      </c>
    </row>
    <row r="485" spans="1:14" x14ac:dyDescent="0.35">
      <c r="A485">
        <v>1006</v>
      </c>
      <c r="B485" t="s">
        <v>60</v>
      </c>
      <c r="C485" s="1">
        <v>45189.257071759261</v>
      </c>
      <c r="D485" t="str">
        <f ca="1">VLOOKUP(qry_ProdData2_PDI_Cash_Exception_Application[[#This Row],[TYPE]],#REF!,2,FALSE)</f>
        <v>type40</v>
      </c>
      <c r="E485">
        <v>-406.29</v>
      </c>
      <c r="F485" t="s">
        <v>48</v>
      </c>
      <c r="G485" s="1">
        <f>qry_ProdData2_PDI_Cash_Exception_Application[[#This Row],[INSERT DATE]]+2</f>
        <v>45191.257071759261</v>
      </c>
      <c r="H485" t="str">
        <f>VLOOKUP(qry_ProdData2_PDI_Cash_Exception_Application[[#This Row],[MARKET No]],'Site Allocation'!$B$2:$C$37,2,FALSE)</f>
        <v>Analyst2</v>
      </c>
      <c r="I485" s="4">
        <f t="shared" ca="1" si="7"/>
        <v>45203</v>
      </c>
      <c r="J485" s="42">
        <f ca="1">TODAY()-qry_ProdData2_PDI_Cash_Exception_Application[[#This Row],[INSERT DATE]]</f>
        <v>13.742928240739275</v>
      </c>
      <c r="K4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85">
        <f ca="1">qry_ProdData2_PDI_Cash_Exception_Application[[#This Row],[TODAY]]-qry_ProdData2_PDI_Cash_Exception_Application[[#This Row],[CHANGED ON]]</f>
        <v>11.742928240739275</v>
      </c>
      <c r="M485">
        <f ca="1">qry_ProdData2_PDI_Cash_Exception_Application[[#This Row],[TODAY]]-qry_ProdData2_PDI_Cash_Exception_Application[[#This Row],[CHANGED ON]]</f>
        <v>11.742928240739275</v>
      </c>
      <c r="N485">
        <f ca="1">qry_ProdData2_PDI_Cash_Exception_Application[[#This Row],[TODAY]]-qry_ProdData2_PDI_Cash_Exception_Application[[#This Row],[CHANGED ON]]</f>
        <v>11.742928240739275</v>
      </c>
    </row>
    <row r="486" spans="1:14" x14ac:dyDescent="0.35">
      <c r="A486">
        <v>1000</v>
      </c>
      <c r="B486" t="s">
        <v>54</v>
      </c>
      <c r="C486" s="1">
        <v>45190.257071759261</v>
      </c>
      <c r="D486" t="str">
        <f ca="1">VLOOKUP(qry_ProdData2_PDI_Cash_Exception_Application[[#This Row],[TYPE]],#REF!,2,FALSE)</f>
        <v>type40</v>
      </c>
      <c r="E486">
        <v>1670</v>
      </c>
      <c r="F486" t="s">
        <v>48</v>
      </c>
      <c r="G486" s="1">
        <f>qry_ProdData2_PDI_Cash_Exception_Application[[#This Row],[INSERT DATE]]+2</f>
        <v>45192.257071759261</v>
      </c>
      <c r="H486" t="str">
        <f>VLOOKUP(qry_ProdData2_PDI_Cash_Exception_Application[[#This Row],[MARKET No]],'Site Allocation'!$B$2:$C$37,2,FALSE)</f>
        <v>Analyst1</v>
      </c>
      <c r="I486" s="4">
        <f t="shared" ca="1" si="7"/>
        <v>45203</v>
      </c>
      <c r="J486" s="42">
        <f ca="1">TODAY()-qry_ProdData2_PDI_Cash_Exception_Application[[#This Row],[INSERT DATE]]</f>
        <v>12.742928240739275</v>
      </c>
      <c r="K4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86">
        <f ca="1">qry_ProdData2_PDI_Cash_Exception_Application[[#This Row],[TODAY]]-qry_ProdData2_PDI_Cash_Exception_Application[[#This Row],[CHANGED ON]]</f>
        <v>10.742928240739275</v>
      </c>
      <c r="M486">
        <f ca="1">qry_ProdData2_PDI_Cash_Exception_Application[[#This Row],[TODAY]]-qry_ProdData2_PDI_Cash_Exception_Application[[#This Row],[CHANGED ON]]</f>
        <v>10.742928240739275</v>
      </c>
      <c r="N486">
        <f ca="1">qry_ProdData2_PDI_Cash_Exception_Application[[#This Row],[TODAY]]-qry_ProdData2_PDI_Cash_Exception_Application[[#This Row],[CHANGED ON]]</f>
        <v>10.742928240739275</v>
      </c>
    </row>
    <row r="487" spans="1:14" x14ac:dyDescent="0.35">
      <c r="A487">
        <v>1001</v>
      </c>
      <c r="B487" t="s">
        <v>55</v>
      </c>
      <c r="C487" s="1">
        <v>45180.257071759261</v>
      </c>
      <c r="D487" t="str">
        <f ca="1">VLOOKUP(qry_ProdData2_PDI_Cash_Exception_Application[[#This Row],[TYPE]],#REF!,2,FALSE)</f>
        <v>type17</v>
      </c>
      <c r="E487">
        <v>311.94</v>
      </c>
      <c r="F487" t="s">
        <v>51</v>
      </c>
      <c r="G487" s="1">
        <f>qry_ProdData2_PDI_Cash_Exception_Application[[#This Row],[INSERT DATE]]+5</f>
        <v>45185.257071759261</v>
      </c>
      <c r="H487" t="str">
        <f>VLOOKUP(qry_ProdData2_PDI_Cash_Exception_Application[[#This Row],[MARKET No]],'Site Allocation'!$B$2:$C$37,2,FALSE)</f>
        <v>Analyst1</v>
      </c>
      <c r="I487" s="4">
        <f t="shared" ca="1" si="7"/>
        <v>45203</v>
      </c>
      <c r="J487" s="42">
        <f ca="1">TODAY()-qry_ProdData2_PDI_Cash_Exception_Application[[#This Row],[INSERT DATE]]</f>
        <v>22.742928240739275</v>
      </c>
      <c r="K4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87">
        <f ca="1">qry_ProdData2_PDI_Cash_Exception_Application[[#This Row],[TODAY]]-qry_ProdData2_PDI_Cash_Exception_Application[[#This Row],[CHANGED ON]]</f>
        <v>17.742928240739275</v>
      </c>
      <c r="M487">
        <f ca="1">qry_ProdData2_PDI_Cash_Exception_Application[[#This Row],[TODAY]]-qry_ProdData2_PDI_Cash_Exception_Application[[#This Row],[CHANGED ON]]</f>
        <v>17.742928240739275</v>
      </c>
      <c r="N487">
        <f ca="1">qry_ProdData2_PDI_Cash_Exception_Application[[#This Row],[TODAY]]-qry_ProdData2_PDI_Cash_Exception_Application[[#This Row],[CHANGED ON]]</f>
        <v>17.742928240739275</v>
      </c>
    </row>
    <row r="488" spans="1:14" x14ac:dyDescent="0.35">
      <c r="A488">
        <v>1001</v>
      </c>
      <c r="B488" t="s">
        <v>55</v>
      </c>
      <c r="C488" s="1">
        <v>45190.257071759261</v>
      </c>
      <c r="D488" t="str">
        <f ca="1">VLOOKUP(qry_ProdData2_PDI_Cash_Exception_Application[[#This Row],[TYPE]],#REF!,2,FALSE)</f>
        <v>type41</v>
      </c>
      <c r="E488">
        <v>525.78</v>
      </c>
      <c r="F488" t="s">
        <v>48</v>
      </c>
      <c r="G488" s="1">
        <f>qry_ProdData2_PDI_Cash_Exception_Application[[#This Row],[INSERT DATE]]+5</f>
        <v>45195.257071759261</v>
      </c>
      <c r="H488" t="str">
        <f>VLOOKUP(qry_ProdData2_PDI_Cash_Exception_Application[[#This Row],[MARKET No]],'Site Allocation'!$B$2:$C$37,2,FALSE)</f>
        <v>Analyst1</v>
      </c>
      <c r="I488" s="4">
        <f t="shared" ca="1" si="7"/>
        <v>45203</v>
      </c>
      <c r="J488" s="42">
        <f ca="1">TODAY()-qry_ProdData2_PDI_Cash_Exception_Application[[#This Row],[INSERT DATE]]</f>
        <v>12.742928240739275</v>
      </c>
      <c r="K4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88">
        <f ca="1">qry_ProdData2_PDI_Cash_Exception_Application[[#This Row],[TODAY]]-qry_ProdData2_PDI_Cash_Exception_Application[[#This Row],[CHANGED ON]]</f>
        <v>7.7429282407392748</v>
      </c>
      <c r="M488">
        <f ca="1">qry_ProdData2_PDI_Cash_Exception_Application[[#This Row],[TODAY]]-qry_ProdData2_PDI_Cash_Exception_Application[[#This Row],[CHANGED ON]]</f>
        <v>7.7429282407392748</v>
      </c>
      <c r="N488">
        <f ca="1">qry_ProdData2_PDI_Cash_Exception_Application[[#This Row],[TODAY]]-qry_ProdData2_PDI_Cash_Exception_Application[[#This Row],[CHANGED ON]]</f>
        <v>7.7429282407392748</v>
      </c>
    </row>
    <row r="489" spans="1:14" x14ac:dyDescent="0.35">
      <c r="A489">
        <v>1027</v>
      </c>
      <c r="B489" t="s">
        <v>81</v>
      </c>
      <c r="C489" s="1">
        <v>45192.257071759261</v>
      </c>
      <c r="D489" t="str">
        <f ca="1">VLOOKUP(qry_ProdData2_PDI_Cash_Exception_Application[[#This Row],[TYPE]],#REF!,2,FALSE)</f>
        <v>type11</v>
      </c>
      <c r="E489">
        <v>60</v>
      </c>
      <c r="F489" t="s">
        <v>47</v>
      </c>
      <c r="G489" s="1">
        <f>qry_ProdData2_PDI_Cash_Exception_Application[[#This Row],[INSERT DATE]]+7</f>
        <v>45199.257071759261</v>
      </c>
      <c r="H489" t="str">
        <f>VLOOKUP(qry_ProdData2_PDI_Cash_Exception_Application[[#This Row],[MARKET No]],'Site Allocation'!$B$2:$C$37,2,FALSE)</f>
        <v>Analyst5</v>
      </c>
      <c r="I489" s="4">
        <f t="shared" ca="1" si="7"/>
        <v>45203</v>
      </c>
      <c r="J489" s="42">
        <f ca="1">TODAY()-qry_ProdData2_PDI_Cash_Exception_Application[[#This Row],[INSERT DATE]]</f>
        <v>10.742928240739275</v>
      </c>
      <c r="K4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89">
        <f ca="1">qry_ProdData2_PDI_Cash_Exception_Application[[#This Row],[TODAY]]-qry_ProdData2_PDI_Cash_Exception_Application[[#This Row],[CHANGED ON]]</f>
        <v>3.7429282407392748</v>
      </c>
      <c r="M489">
        <f ca="1">qry_ProdData2_PDI_Cash_Exception_Application[[#This Row],[TODAY]]-qry_ProdData2_PDI_Cash_Exception_Application[[#This Row],[CHANGED ON]]</f>
        <v>3.7429282407392748</v>
      </c>
      <c r="N489">
        <f ca="1">qry_ProdData2_PDI_Cash_Exception_Application[[#This Row],[TODAY]]-qry_ProdData2_PDI_Cash_Exception_Application[[#This Row],[CHANGED ON]]</f>
        <v>3.7429282407392748</v>
      </c>
    </row>
    <row r="490" spans="1:14" x14ac:dyDescent="0.35">
      <c r="A490">
        <v>1033</v>
      </c>
      <c r="B490" t="s">
        <v>87</v>
      </c>
      <c r="C490" s="1">
        <v>45181.257071759261</v>
      </c>
      <c r="D490" t="str">
        <f ca="1">VLOOKUP(qry_ProdData2_PDI_Cash_Exception_Application[[#This Row],[TYPE]],#REF!,2,FALSE)</f>
        <v>type40</v>
      </c>
      <c r="E490">
        <v>-2278.4499999999998</v>
      </c>
      <c r="F490" t="s">
        <v>49</v>
      </c>
      <c r="G490" s="1">
        <f>qry_ProdData2_PDI_Cash_Exception_Application[[#This Row],[INSERT DATE]]+1</f>
        <v>45182.257071759261</v>
      </c>
      <c r="H490" t="str">
        <f>VLOOKUP(qry_ProdData2_PDI_Cash_Exception_Application[[#This Row],[MARKET No]],'Site Allocation'!$B$2:$C$37,2,FALSE)</f>
        <v>Analyst6</v>
      </c>
      <c r="I490" s="4">
        <f t="shared" ca="1" si="7"/>
        <v>45203</v>
      </c>
      <c r="J490" s="42">
        <f ca="1">TODAY()-qry_ProdData2_PDI_Cash_Exception_Application[[#This Row],[INSERT DATE]]</f>
        <v>21.742928240739275</v>
      </c>
      <c r="K4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90">
        <f ca="1">qry_ProdData2_PDI_Cash_Exception_Application[[#This Row],[TODAY]]-qry_ProdData2_PDI_Cash_Exception_Application[[#This Row],[CHANGED ON]]</f>
        <v>20.742928240739275</v>
      </c>
      <c r="M490">
        <f ca="1">qry_ProdData2_PDI_Cash_Exception_Application[[#This Row],[TODAY]]-qry_ProdData2_PDI_Cash_Exception_Application[[#This Row],[CHANGED ON]]</f>
        <v>20.742928240739275</v>
      </c>
      <c r="N490">
        <f ca="1">qry_ProdData2_PDI_Cash_Exception_Application[[#This Row],[TODAY]]-qry_ProdData2_PDI_Cash_Exception_Application[[#This Row],[CHANGED ON]]</f>
        <v>20.742928240739275</v>
      </c>
    </row>
    <row r="491" spans="1:14" x14ac:dyDescent="0.35">
      <c r="A491">
        <v>1009</v>
      </c>
      <c r="B491" t="s">
        <v>63</v>
      </c>
      <c r="C491" s="1">
        <v>45191.257071759261</v>
      </c>
      <c r="D491" t="str">
        <f ca="1">VLOOKUP(qry_ProdData2_PDI_Cash_Exception_Application[[#This Row],[TYPE]],#REF!,2,FALSE)</f>
        <v>type40</v>
      </c>
      <c r="E491">
        <v>-338.34</v>
      </c>
      <c r="F491" t="s">
        <v>50</v>
      </c>
      <c r="G491" s="1">
        <f>qry_ProdData2_PDI_Cash_Exception_Application[[#This Row],[INSERT DATE]]+1</f>
        <v>45192.257071759261</v>
      </c>
      <c r="H491" t="str">
        <f>VLOOKUP(qry_ProdData2_PDI_Cash_Exception_Application[[#This Row],[MARKET No]],'Site Allocation'!$B$2:$C$37,2,FALSE)</f>
        <v>Analyst2</v>
      </c>
      <c r="I491" s="4">
        <f t="shared" ca="1" si="7"/>
        <v>45203</v>
      </c>
      <c r="J491" s="42">
        <f ca="1">TODAY()-qry_ProdData2_PDI_Cash_Exception_Application[[#This Row],[INSERT DATE]]</f>
        <v>11.742928240739275</v>
      </c>
      <c r="K4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91">
        <f ca="1">qry_ProdData2_PDI_Cash_Exception_Application[[#This Row],[TODAY]]-qry_ProdData2_PDI_Cash_Exception_Application[[#This Row],[CHANGED ON]]</f>
        <v>10.742928240739275</v>
      </c>
      <c r="M491">
        <f ca="1">qry_ProdData2_PDI_Cash_Exception_Application[[#This Row],[TODAY]]-qry_ProdData2_PDI_Cash_Exception_Application[[#This Row],[CHANGED ON]]</f>
        <v>10.742928240739275</v>
      </c>
      <c r="N491">
        <f ca="1">qry_ProdData2_PDI_Cash_Exception_Application[[#This Row],[TODAY]]-qry_ProdData2_PDI_Cash_Exception_Application[[#This Row],[CHANGED ON]]</f>
        <v>10.742928240739275</v>
      </c>
    </row>
    <row r="492" spans="1:14" x14ac:dyDescent="0.35">
      <c r="A492">
        <v>1000</v>
      </c>
      <c r="B492" t="s">
        <v>54</v>
      </c>
      <c r="C492" s="1">
        <v>45186.257071759261</v>
      </c>
      <c r="D492" t="str">
        <f ca="1">VLOOKUP(qry_ProdData2_PDI_Cash_Exception_Application[[#This Row],[TYPE]],#REF!,2,FALSE)</f>
        <v>type10</v>
      </c>
      <c r="E492">
        <v>40</v>
      </c>
      <c r="F492" t="s">
        <v>47</v>
      </c>
      <c r="G492" s="1">
        <f>qry_ProdData2_PDI_Cash_Exception_Application[[#This Row],[INSERT DATE]]+7</f>
        <v>45193.257071759261</v>
      </c>
      <c r="H492" t="str">
        <f>VLOOKUP(qry_ProdData2_PDI_Cash_Exception_Application[[#This Row],[MARKET No]],'Site Allocation'!$B$2:$C$37,2,FALSE)</f>
        <v>Analyst1</v>
      </c>
      <c r="I492" s="4">
        <f t="shared" ca="1" si="7"/>
        <v>45203</v>
      </c>
      <c r="J492" s="42">
        <f ca="1">TODAY()-qry_ProdData2_PDI_Cash_Exception_Application[[#This Row],[INSERT DATE]]</f>
        <v>16.742928240739275</v>
      </c>
      <c r="K4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92">
        <f ca="1">qry_ProdData2_PDI_Cash_Exception_Application[[#This Row],[TODAY]]-qry_ProdData2_PDI_Cash_Exception_Application[[#This Row],[CHANGED ON]]</f>
        <v>9.7429282407392748</v>
      </c>
      <c r="M492">
        <f ca="1">qry_ProdData2_PDI_Cash_Exception_Application[[#This Row],[TODAY]]-qry_ProdData2_PDI_Cash_Exception_Application[[#This Row],[CHANGED ON]]</f>
        <v>9.7429282407392748</v>
      </c>
      <c r="N492">
        <f ca="1">qry_ProdData2_PDI_Cash_Exception_Application[[#This Row],[TODAY]]-qry_ProdData2_PDI_Cash_Exception_Application[[#This Row],[CHANGED ON]]</f>
        <v>9.7429282407392748</v>
      </c>
    </row>
    <row r="493" spans="1:14" x14ac:dyDescent="0.35">
      <c r="A493">
        <v>1033</v>
      </c>
      <c r="B493" t="s">
        <v>87</v>
      </c>
      <c r="C493" s="1">
        <v>45193.257071759261</v>
      </c>
      <c r="D493" t="str">
        <f ca="1">VLOOKUP(qry_ProdData2_PDI_Cash_Exception_Application[[#This Row],[TYPE]],#REF!,2,FALSE)</f>
        <v>type32</v>
      </c>
      <c r="E493">
        <v>60393.63</v>
      </c>
      <c r="F493" t="s">
        <v>50</v>
      </c>
      <c r="G493" s="1">
        <f>qry_ProdData2_PDI_Cash_Exception_Application[[#This Row],[INSERT DATE]]+1</f>
        <v>45194.257071759261</v>
      </c>
      <c r="H493" t="str">
        <f>VLOOKUP(qry_ProdData2_PDI_Cash_Exception_Application[[#This Row],[MARKET No]],'Site Allocation'!$B$2:$C$37,2,FALSE)</f>
        <v>Analyst6</v>
      </c>
      <c r="I493" s="4">
        <f t="shared" ca="1" si="7"/>
        <v>45203</v>
      </c>
      <c r="J493" s="42">
        <f ca="1">TODAY()-qry_ProdData2_PDI_Cash_Exception_Application[[#This Row],[INSERT DATE]]</f>
        <v>9.7429282407392748</v>
      </c>
      <c r="K4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93">
        <f ca="1">qry_ProdData2_PDI_Cash_Exception_Application[[#This Row],[TODAY]]-qry_ProdData2_PDI_Cash_Exception_Application[[#This Row],[CHANGED ON]]</f>
        <v>8.7429282407392748</v>
      </c>
      <c r="M493">
        <f ca="1">qry_ProdData2_PDI_Cash_Exception_Application[[#This Row],[TODAY]]-qry_ProdData2_PDI_Cash_Exception_Application[[#This Row],[CHANGED ON]]</f>
        <v>8.7429282407392748</v>
      </c>
      <c r="N493">
        <f ca="1">qry_ProdData2_PDI_Cash_Exception_Application[[#This Row],[TODAY]]-qry_ProdData2_PDI_Cash_Exception_Application[[#This Row],[CHANGED ON]]</f>
        <v>8.7429282407392748</v>
      </c>
    </row>
    <row r="494" spans="1:14" x14ac:dyDescent="0.35">
      <c r="A494">
        <v>1007</v>
      </c>
      <c r="B494" t="s">
        <v>61</v>
      </c>
      <c r="C494" s="1">
        <v>45189.257071759261</v>
      </c>
      <c r="D494" t="str">
        <f ca="1">VLOOKUP(qry_ProdData2_PDI_Cash_Exception_Application[[#This Row],[TYPE]],#REF!,2,FALSE)</f>
        <v>type27</v>
      </c>
      <c r="E494">
        <v>734.21</v>
      </c>
      <c r="F494" t="s">
        <v>47</v>
      </c>
      <c r="G494" s="1">
        <f>qry_ProdData2_PDI_Cash_Exception_Application[[#This Row],[INSERT DATE]]+7</f>
        <v>45196.257071759261</v>
      </c>
      <c r="H494" t="str">
        <f>VLOOKUP(qry_ProdData2_PDI_Cash_Exception_Application[[#This Row],[MARKET No]],'Site Allocation'!$B$2:$C$37,2,FALSE)</f>
        <v>Analyst2</v>
      </c>
      <c r="I494" s="4">
        <f t="shared" ca="1" si="7"/>
        <v>45203</v>
      </c>
      <c r="J494" s="42">
        <f ca="1">TODAY()-qry_ProdData2_PDI_Cash_Exception_Application[[#This Row],[INSERT DATE]]</f>
        <v>13.742928240739275</v>
      </c>
      <c r="K4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94">
        <f ca="1">qry_ProdData2_PDI_Cash_Exception_Application[[#This Row],[TODAY]]-qry_ProdData2_PDI_Cash_Exception_Application[[#This Row],[CHANGED ON]]</f>
        <v>6.7429282407392748</v>
      </c>
      <c r="M494">
        <f ca="1">qry_ProdData2_PDI_Cash_Exception_Application[[#This Row],[TODAY]]-qry_ProdData2_PDI_Cash_Exception_Application[[#This Row],[CHANGED ON]]</f>
        <v>6.7429282407392748</v>
      </c>
      <c r="N494">
        <f ca="1">qry_ProdData2_PDI_Cash_Exception_Application[[#This Row],[TODAY]]-qry_ProdData2_PDI_Cash_Exception_Application[[#This Row],[CHANGED ON]]</f>
        <v>6.7429282407392748</v>
      </c>
    </row>
    <row r="495" spans="1:14" x14ac:dyDescent="0.35">
      <c r="A495">
        <v>1015</v>
      </c>
      <c r="B495" t="s">
        <v>69</v>
      </c>
      <c r="C495" s="1">
        <v>45183.257071759261</v>
      </c>
      <c r="D495" t="str">
        <f ca="1">VLOOKUP(qry_ProdData2_PDI_Cash_Exception_Application[[#This Row],[TYPE]],#REF!,2,FALSE)</f>
        <v>type40</v>
      </c>
      <c r="E495">
        <v>529.15</v>
      </c>
      <c r="F495" t="s">
        <v>48</v>
      </c>
      <c r="G495" s="1">
        <f>qry_ProdData2_PDI_Cash_Exception_Application[[#This Row],[INSERT DATE]]+7</f>
        <v>45190.257071759261</v>
      </c>
      <c r="H495" t="str">
        <f>VLOOKUP(qry_ProdData2_PDI_Cash_Exception_Application[[#This Row],[MARKET No]],'Site Allocation'!$B$2:$C$37,2,FALSE)</f>
        <v>Analyst3</v>
      </c>
      <c r="I495" s="4">
        <f t="shared" ca="1" si="7"/>
        <v>45203</v>
      </c>
      <c r="J495" s="42">
        <f ca="1">TODAY()-qry_ProdData2_PDI_Cash_Exception_Application[[#This Row],[INSERT DATE]]</f>
        <v>19.742928240739275</v>
      </c>
      <c r="K4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95">
        <f ca="1">qry_ProdData2_PDI_Cash_Exception_Application[[#This Row],[TODAY]]-qry_ProdData2_PDI_Cash_Exception_Application[[#This Row],[CHANGED ON]]</f>
        <v>12.742928240739275</v>
      </c>
      <c r="M495">
        <f ca="1">qry_ProdData2_PDI_Cash_Exception_Application[[#This Row],[TODAY]]-qry_ProdData2_PDI_Cash_Exception_Application[[#This Row],[CHANGED ON]]</f>
        <v>12.742928240739275</v>
      </c>
      <c r="N495">
        <f ca="1">qry_ProdData2_PDI_Cash_Exception_Application[[#This Row],[TODAY]]-qry_ProdData2_PDI_Cash_Exception_Application[[#This Row],[CHANGED ON]]</f>
        <v>12.742928240739275</v>
      </c>
    </row>
    <row r="496" spans="1:14" x14ac:dyDescent="0.35">
      <c r="A496">
        <v>1016</v>
      </c>
      <c r="B496" t="s">
        <v>70</v>
      </c>
      <c r="C496" s="1">
        <v>45183.257071759261</v>
      </c>
      <c r="D496" t="str">
        <f ca="1">VLOOKUP(qry_ProdData2_PDI_Cash_Exception_Application[[#This Row],[TYPE]],#REF!,2,FALSE)</f>
        <v>type13</v>
      </c>
      <c r="E496">
        <v>17687.259999999998</v>
      </c>
      <c r="F496" t="s">
        <v>51</v>
      </c>
      <c r="G496" s="1">
        <f>qry_ProdData2_PDI_Cash_Exception_Application[[#This Row],[INSERT DATE]]+7</f>
        <v>45190.257071759261</v>
      </c>
      <c r="H496" t="str">
        <f>VLOOKUP(qry_ProdData2_PDI_Cash_Exception_Application[[#This Row],[MARKET No]],'Site Allocation'!$B$2:$C$37,2,FALSE)</f>
        <v>Analyst3</v>
      </c>
      <c r="I496" s="4">
        <f t="shared" ca="1" si="7"/>
        <v>45203</v>
      </c>
      <c r="J496" s="42">
        <f ca="1">TODAY()-qry_ProdData2_PDI_Cash_Exception_Application[[#This Row],[INSERT DATE]]</f>
        <v>19.742928240739275</v>
      </c>
      <c r="K4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96">
        <f ca="1">qry_ProdData2_PDI_Cash_Exception_Application[[#This Row],[TODAY]]-qry_ProdData2_PDI_Cash_Exception_Application[[#This Row],[CHANGED ON]]</f>
        <v>12.742928240739275</v>
      </c>
      <c r="M496">
        <f ca="1">qry_ProdData2_PDI_Cash_Exception_Application[[#This Row],[TODAY]]-qry_ProdData2_PDI_Cash_Exception_Application[[#This Row],[CHANGED ON]]</f>
        <v>12.742928240739275</v>
      </c>
      <c r="N496">
        <f ca="1">qry_ProdData2_PDI_Cash_Exception_Application[[#This Row],[TODAY]]-qry_ProdData2_PDI_Cash_Exception_Application[[#This Row],[CHANGED ON]]</f>
        <v>12.742928240739275</v>
      </c>
    </row>
    <row r="497" spans="1:14" x14ac:dyDescent="0.35">
      <c r="A497">
        <v>1005</v>
      </c>
      <c r="B497" t="s">
        <v>59</v>
      </c>
      <c r="C497" s="1">
        <v>45179.257071759261</v>
      </c>
      <c r="D497" t="str">
        <f ca="1">VLOOKUP(qry_ProdData2_PDI_Cash_Exception_Application[[#This Row],[TYPE]],#REF!,2,FALSE)</f>
        <v>type40</v>
      </c>
      <c r="E497">
        <v>1010.18</v>
      </c>
      <c r="F497" t="s">
        <v>51</v>
      </c>
      <c r="G497" s="1">
        <f>qry_ProdData2_PDI_Cash_Exception_Application[[#This Row],[INSERT DATE]]+2</f>
        <v>45181.257071759261</v>
      </c>
      <c r="H497" t="str">
        <f>VLOOKUP(qry_ProdData2_PDI_Cash_Exception_Application[[#This Row],[MARKET No]],'Site Allocation'!$B$2:$C$37,2,FALSE)</f>
        <v>Analyst1</v>
      </c>
      <c r="I497" s="4">
        <f t="shared" ca="1" si="7"/>
        <v>45203</v>
      </c>
      <c r="J497" s="42">
        <f ca="1">TODAY()-qry_ProdData2_PDI_Cash_Exception_Application[[#This Row],[INSERT DATE]]</f>
        <v>23.742928240739275</v>
      </c>
      <c r="K4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97">
        <f ca="1">qry_ProdData2_PDI_Cash_Exception_Application[[#This Row],[TODAY]]-qry_ProdData2_PDI_Cash_Exception_Application[[#This Row],[CHANGED ON]]</f>
        <v>21.742928240739275</v>
      </c>
      <c r="M497">
        <f ca="1">qry_ProdData2_PDI_Cash_Exception_Application[[#This Row],[TODAY]]-qry_ProdData2_PDI_Cash_Exception_Application[[#This Row],[CHANGED ON]]</f>
        <v>21.742928240739275</v>
      </c>
      <c r="N497">
        <f ca="1">qry_ProdData2_PDI_Cash_Exception_Application[[#This Row],[TODAY]]-qry_ProdData2_PDI_Cash_Exception_Application[[#This Row],[CHANGED ON]]</f>
        <v>21.742928240739275</v>
      </c>
    </row>
    <row r="498" spans="1:14" x14ac:dyDescent="0.35">
      <c r="A498">
        <v>1032</v>
      </c>
      <c r="B498" t="s">
        <v>86</v>
      </c>
      <c r="C498" s="1">
        <v>45186.257071759261</v>
      </c>
      <c r="D498" t="str">
        <f ca="1">VLOOKUP(qry_ProdData2_PDI_Cash_Exception_Application[[#This Row],[TYPE]],#REF!,2,FALSE)</f>
        <v>type40</v>
      </c>
      <c r="E498">
        <v>-305.32</v>
      </c>
      <c r="F498" t="s">
        <v>48</v>
      </c>
      <c r="G498" s="1">
        <f>qry_ProdData2_PDI_Cash_Exception_Application[[#This Row],[INSERT DATE]]+7</f>
        <v>45193.257071759261</v>
      </c>
      <c r="H498" t="str">
        <f>VLOOKUP(qry_ProdData2_PDI_Cash_Exception_Application[[#This Row],[MARKET No]],'Site Allocation'!$B$2:$C$37,2,FALSE)</f>
        <v>Analyst6</v>
      </c>
      <c r="I498" s="4">
        <f t="shared" ca="1" si="7"/>
        <v>45203</v>
      </c>
      <c r="J498" s="42">
        <f ca="1">TODAY()-qry_ProdData2_PDI_Cash_Exception_Application[[#This Row],[INSERT DATE]]</f>
        <v>16.742928240739275</v>
      </c>
      <c r="K4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98">
        <f ca="1">qry_ProdData2_PDI_Cash_Exception_Application[[#This Row],[TODAY]]-qry_ProdData2_PDI_Cash_Exception_Application[[#This Row],[CHANGED ON]]</f>
        <v>9.7429282407392748</v>
      </c>
      <c r="M498">
        <f ca="1">qry_ProdData2_PDI_Cash_Exception_Application[[#This Row],[TODAY]]-qry_ProdData2_PDI_Cash_Exception_Application[[#This Row],[CHANGED ON]]</f>
        <v>9.7429282407392748</v>
      </c>
      <c r="N498">
        <f ca="1">qry_ProdData2_PDI_Cash_Exception_Application[[#This Row],[TODAY]]-qry_ProdData2_PDI_Cash_Exception_Application[[#This Row],[CHANGED ON]]</f>
        <v>9.7429282407392748</v>
      </c>
    </row>
    <row r="499" spans="1:14" x14ac:dyDescent="0.35">
      <c r="A499">
        <v>1022</v>
      </c>
      <c r="B499" t="s">
        <v>76</v>
      </c>
      <c r="C499" s="1">
        <v>45187.257071759261</v>
      </c>
      <c r="D499" t="str">
        <f ca="1">VLOOKUP(qry_ProdData2_PDI_Cash_Exception_Application[[#This Row],[TYPE]],#REF!,2,FALSE)</f>
        <v>type40</v>
      </c>
      <c r="E499">
        <v>-554.78</v>
      </c>
      <c r="F499" t="s">
        <v>49</v>
      </c>
      <c r="G499" s="1">
        <f>qry_ProdData2_PDI_Cash_Exception_Application[[#This Row],[INSERT DATE]]+1</f>
        <v>45188.257071759261</v>
      </c>
      <c r="H499" t="str">
        <f>VLOOKUP(qry_ProdData2_PDI_Cash_Exception_Application[[#This Row],[MARKET No]],'Site Allocation'!$B$2:$C$37,2,FALSE)</f>
        <v>Analyst4</v>
      </c>
      <c r="I499" s="4">
        <f t="shared" ca="1" si="7"/>
        <v>45203</v>
      </c>
      <c r="J499" s="42">
        <f ca="1">TODAY()-qry_ProdData2_PDI_Cash_Exception_Application[[#This Row],[INSERT DATE]]</f>
        <v>15.742928240739275</v>
      </c>
      <c r="K4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499">
        <f ca="1">qry_ProdData2_PDI_Cash_Exception_Application[[#This Row],[TODAY]]-qry_ProdData2_PDI_Cash_Exception_Application[[#This Row],[CHANGED ON]]</f>
        <v>14.742928240739275</v>
      </c>
      <c r="M499">
        <f ca="1">qry_ProdData2_PDI_Cash_Exception_Application[[#This Row],[TODAY]]-qry_ProdData2_PDI_Cash_Exception_Application[[#This Row],[CHANGED ON]]</f>
        <v>14.742928240739275</v>
      </c>
      <c r="N499">
        <f ca="1">qry_ProdData2_PDI_Cash_Exception_Application[[#This Row],[TODAY]]-qry_ProdData2_PDI_Cash_Exception_Application[[#This Row],[CHANGED ON]]</f>
        <v>14.742928240739275</v>
      </c>
    </row>
    <row r="500" spans="1:14" x14ac:dyDescent="0.35">
      <c r="A500">
        <v>1005</v>
      </c>
      <c r="B500" t="s">
        <v>59</v>
      </c>
      <c r="C500" s="1">
        <v>45190.257071759261</v>
      </c>
      <c r="D500" t="str">
        <f ca="1">VLOOKUP(qry_ProdData2_PDI_Cash_Exception_Application[[#This Row],[TYPE]],#REF!,2,FALSE)</f>
        <v>type42</v>
      </c>
      <c r="E500">
        <v>215</v>
      </c>
      <c r="F500" t="s">
        <v>47</v>
      </c>
      <c r="G500" s="1">
        <f>qry_ProdData2_PDI_Cash_Exception_Application[[#This Row],[INSERT DATE]]+1</f>
        <v>45191.257071759261</v>
      </c>
      <c r="H500" t="str">
        <f>VLOOKUP(qry_ProdData2_PDI_Cash_Exception_Application[[#This Row],[MARKET No]],'Site Allocation'!$B$2:$C$37,2,FALSE)</f>
        <v>Analyst1</v>
      </c>
      <c r="I500" s="4">
        <f t="shared" ca="1" si="7"/>
        <v>45203</v>
      </c>
      <c r="J500" s="42">
        <f ca="1">TODAY()-qry_ProdData2_PDI_Cash_Exception_Application[[#This Row],[INSERT DATE]]</f>
        <v>12.742928240739275</v>
      </c>
      <c r="K5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00">
        <f ca="1">qry_ProdData2_PDI_Cash_Exception_Application[[#This Row],[TODAY]]-qry_ProdData2_PDI_Cash_Exception_Application[[#This Row],[CHANGED ON]]</f>
        <v>11.742928240739275</v>
      </c>
      <c r="M500">
        <f ca="1">qry_ProdData2_PDI_Cash_Exception_Application[[#This Row],[TODAY]]-qry_ProdData2_PDI_Cash_Exception_Application[[#This Row],[CHANGED ON]]</f>
        <v>11.742928240739275</v>
      </c>
      <c r="N500">
        <f ca="1">qry_ProdData2_PDI_Cash_Exception_Application[[#This Row],[TODAY]]-qry_ProdData2_PDI_Cash_Exception_Application[[#This Row],[CHANGED ON]]</f>
        <v>11.742928240739275</v>
      </c>
    </row>
    <row r="501" spans="1:14" x14ac:dyDescent="0.35">
      <c r="A501">
        <v>1027</v>
      </c>
      <c r="B501" t="s">
        <v>81</v>
      </c>
      <c r="C501" s="1">
        <v>45183.257071759261</v>
      </c>
      <c r="D501" t="str">
        <f ca="1">VLOOKUP(qry_ProdData2_PDI_Cash_Exception_Application[[#This Row],[TYPE]],#REF!,2,FALSE)</f>
        <v>type40</v>
      </c>
      <c r="E501">
        <v>1079.7</v>
      </c>
      <c r="F501" t="s">
        <v>51</v>
      </c>
      <c r="G501" s="1">
        <f>qry_ProdData2_PDI_Cash_Exception_Application[[#This Row],[INSERT DATE]]+2</f>
        <v>45185.257071759261</v>
      </c>
      <c r="H501" t="str">
        <f>VLOOKUP(qry_ProdData2_PDI_Cash_Exception_Application[[#This Row],[MARKET No]],'Site Allocation'!$B$2:$C$37,2,FALSE)</f>
        <v>Analyst5</v>
      </c>
      <c r="I501" s="4">
        <f t="shared" ca="1" si="7"/>
        <v>45203</v>
      </c>
      <c r="J501" s="42">
        <f ca="1">TODAY()-qry_ProdData2_PDI_Cash_Exception_Application[[#This Row],[INSERT DATE]]</f>
        <v>19.742928240739275</v>
      </c>
      <c r="K5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01">
        <f ca="1">qry_ProdData2_PDI_Cash_Exception_Application[[#This Row],[TODAY]]-qry_ProdData2_PDI_Cash_Exception_Application[[#This Row],[CHANGED ON]]</f>
        <v>17.742928240739275</v>
      </c>
      <c r="M501">
        <f ca="1">qry_ProdData2_PDI_Cash_Exception_Application[[#This Row],[TODAY]]-qry_ProdData2_PDI_Cash_Exception_Application[[#This Row],[CHANGED ON]]</f>
        <v>17.742928240739275</v>
      </c>
      <c r="N501">
        <f ca="1">qry_ProdData2_PDI_Cash_Exception_Application[[#This Row],[TODAY]]-qry_ProdData2_PDI_Cash_Exception_Application[[#This Row],[CHANGED ON]]</f>
        <v>17.742928240739275</v>
      </c>
    </row>
    <row r="502" spans="1:14" x14ac:dyDescent="0.35">
      <c r="A502">
        <v>1015</v>
      </c>
      <c r="B502" t="s">
        <v>69</v>
      </c>
      <c r="C502" s="1">
        <v>45182.257071759261</v>
      </c>
      <c r="D502" t="str">
        <f ca="1">VLOOKUP(qry_ProdData2_PDI_Cash_Exception_Application[[#This Row],[TYPE]],#REF!,2,FALSE)</f>
        <v>type11</v>
      </c>
      <c r="E502">
        <v>74.760000000000005</v>
      </c>
      <c r="F502" t="s">
        <v>50</v>
      </c>
      <c r="G502" s="1">
        <f>qry_ProdData2_PDI_Cash_Exception_Application[[#This Row],[INSERT DATE]]+1</f>
        <v>45183.257071759261</v>
      </c>
      <c r="H502" t="str">
        <f>VLOOKUP(qry_ProdData2_PDI_Cash_Exception_Application[[#This Row],[MARKET No]],'Site Allocation'!$B$2:$C$37,2,FALSE)</f>
        <v>Analyst3</v>
      </c>
      <c r="I502" s="4">
        <f t="shared" ca="1" si="7"/>
        <v>45203</v>
      </c>
      <c r="J502" s="42">
        <f ca="1">TODAY()-qry_ProdData2_PDI_Cash_Exception_Application[[#This Row],[INSERT DATE]]</f>
        <v>20.742928240739275</v>
      </c>
      <c r="K5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02">
        <f ca="1">qry_ProdData2_PDI_Cash_Exception_Application[[#This Row],[TODAY]]-qry_ProdData2_PDI_Cash_Exception_Application[[#This Row],[CHANGED ON]]</f>
        <v>19.742928240739275</v>
      </c>
      <c r="M502">
        <f ca="1">qry_ProdData2_PDI_Cash_Exception_Application[[#This Row],[TODAY]]-qry_ProdData2_PDI_Cash_Exception_Application[[#This Row],[CHANGED ON]]</f>
        <v>19.742928240739275</v>
      </c>
      <c r="N502">
        <f ca="1">qry_ProdData2_PDI_Cash_Exception_Application[[#This Row],[TODAY]]-qry_ProdData2_PDI_Cash_Exception_Application[[#This Row],[CHANGED ON]]</f>
        <v>19.742928240739275</v>
      </c>
    </row>
    <row r="503" spans="1:14" x14ac:dyDescent="0.35">
      <c r="A503">
        <v>1005</v>
      </c>
      <c r="B503" t="s">
        <v>59</v>
      </c>
      <c r="C503" s="1">
        <v>45189.257071759261</v>
      </c>
      <c r="D503" t="str">
        <f ca="1">VLOOKUP(qry_ProdData2_PDI_Cash_Exception_Application[[#This Row],[TYPE]],#REF!,2,FALSE)</f>
        <v>type40</v>
      </c>
      <c r="E503">
        <v>899.86</v>
      </c>
      <c r="F503" t="s">
        <v>49</v>
      </c>
      <c r="G503" s="1">
        <f>qry_ProdData2_PDI_Cash_Exception_Application[[#This Row],[INSERT DATE]]+1</f>
        <v>45190.257071759261</v>
      </c>
      <c r="H503" t="str">
        <f>VLOOKUP(qry_ProdData2_PDI_Cash_Exception_Application[[#This Row],[MARKET No]],'Site Allocation'!$B$2:$C$37,2,FALSE)</f>
        <v>Analyst1</v>
      </c>
      <c r="I503" s="4">
        <f t="shared" ca="1" si="7"/>
        <v>45203</v>
      </c>
      <c r="J503" s="42">
        <f ca="1">TODAY()-qry_ProdData2_PDI_Cash_Exception_Application[[#This Row],[INSERT DATE]]</f>
        <v>13.742928240739275</v>
      </c>
      <c r="K5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03">
        <f ca="1">qry_ProdData2_PDI_Cash_Exception_Application[[#This Row],[TODAY]]-qry_ProdData2_PDI_Cash_Exception_Application[[#This Row],[CHANGED ON]]</f>
        <v>12.742928240739275</v>
      </c>
      <c r="M503">
        <f ca="1">qry_ProdData2_PDI_Cash_Exception_Application[[#This Row],[TODAY]]-qry_ProdData2_PDI_Cash_Exception_Application[[#This Row],[CHANGED ON]]</f>
        <v>12.742928240739275</v>
      </c>
      <c r="N503">
        <f ca="1">qry_ProdData2_PDI_Cash_Exception_Application[[#This Row],[TODAY]]-qry_ProdData2_PDI_Cash_Exception_Application[[#This Row],[CHANGED ON]]</f>
        <v>12.742928240739275</v>
      </c>
    </row>
    <row r="504" spans="1:14" x14ac:dyDescent="0.35">
      <c r="A504">
        <v>1002</v>
      </c>
      <c r="B504" t="s">
        <v>56</v>
      </c>
      <c r="C504" s="1">
        <v>45189.257071759261</v>
      </c>
      <c r="D504" t="str">
        <f ca="1">VLOOKUP(qry_ProdData2_PDI_Cash_Exception_Application[[#This Row],[TYPE]],#REF!,2,FALSE)</f>
        <v>type40</v>
      </c>
      <c r="E504">
        <v>546.94000000000005</v>
      </c>
      <c r="F504" t="s">
        <v>48</v>
      </c>
      <c r="G504" s="1">
        <f>qry_ProdData2_PDI_Cash_Exception_Application[[#This Row],[INSERT DATE]]+1</f>
        <v>45190.257071759261</v>
      </c>
      <c r="H504" t="str">
        <f>VLOOKUP(qry_ProdData2_PDI_Cash_Exception_Application[[#This Row],[MARKET No]],'Site Allocation'!$B$2:$C$37,2,FALSE)</f>
        <v>Analyst1</v>
      </c>
      <c r="I504" s="4">
        <f t="shared" ca="1" si="7"/>
        <v>45203</v>
      </c>
      <c r="J504" s="42">
        <f ca="1">TODAY()-qry_ProdData2_PDI_Cash_Exception_Application[[#This Row],[INSERT DATE]]</f>
        <v>13.742928240739275</v>
      </c>
      <c r="K5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04">
        <f ca="1">qry_ProdData2_PDI_Cash_Exception_Application[[#This Row],[TODAY]]-qry_ProdData2_PDI_Cash_Exception_Application[[#This Row],[CHANGED ON]]</f>
        <v>12.742928240739275</v>
      </c>
      <c r="M504">
        <f ca="1">qry_ProdData2_PDI_Cash_Exception_Application[[#This Row],[TODAY]]-qry_ProdData2_PDI_Cash_Exception_Application[[#This Row],[CHANGED ON]]</f>
        <v>12.742928240739275</v>
      </c>
      <c r="N504">
        <f ca="1">qry_ProdData2_PDI_Cash_Exception_Application[[#This Row],[TODAY]]-qry_ProdData2_PDI_Cash_Exception_Application[[#This Row],[CHANGED ON]]</f>
        <v>12.742928240739275</v>
      </c>
    </row>
    <row r="505" spans="1:14" x14ac:dyDescent="0.35">
      <c r="A505">
        <v>1010</v>
      </c>
      <c r="B505" t="s">
        <v>64</v>
      </c>
      <c r="C505" s="1">
        <v>45184.257071759261</v>
      </c>
      <c r="D505" t="str">
        <f ca="1">VLOOKUP(qry_ProdData2_PDI_Cash_Exception_Application[[#This Row],[TYPE]],#REF!,2,FALSE)</f>
        <v>type40</v>
      </c>
      <c r="E505">
        <v>2259.6</v>
      </c>
      <c r="F505" t="s">
        <v>51</v>
      </c>
      <c r="G505" s="1">
        <f>qry_ProdData2_PDI_Cash_Exception_Application[[#This Row],[INSERT DATE]]+2</f>
        <v>45186.257071759261</v>
      </c>
      <c r="H505" t="str">
        <f>VLOOKUP(qry_ProdData2_PDI_Cash_Exception_Application[[#This Row],[MARKET No]],'Site Allocation'!$B$2:$C$37,2,FALSE)</f>
        <v>Analyst2</v>
      </c>
      <c r="I505" s="4">
        <f t="shared" ca="1" si="7"/>
        <v>45203</v>
      </c>
      <c r="J505" s="42">
        <f ca="1">TODAY()-qry_ProdData2_PDI_Cash_Exception_Application[[#This Row],[INSERT DATE]]</f>
        <v>18.742928240739275</v>
      </c>
      <c r="K5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05">
        <f ca="1">qry_ProdData2_PDI_Cash_Exception_Application[[#This Row],[TODAY]]-qry_ProdData2_PDI_Cash_Exception_Application[[#This Row],[CHANGED ON]]</f>
        <v>16.742928240739275</v>
      </c>
      <c r="M505">
        <f ca="1">qry_ProdData2_PDI_Cash_Exception_Application[[#This Row],[TODAY]]-qry_ProdData2_PDI_Cash_Exception_Application[[#This Row],[CHANGED ON]]</f>
        <v>16.742928240739275</v>
      </c>
      <c r="N505">
        <f ca="1">qry_ProdData2_PDI_Cash_Exception_Application[[#This Row],[TODAY]]-qry_ProdData2_PDI_Cash_Exception_Application[[#This Row],[CHANGED ON]]</f>
        <v>16.742928240739275</v>
      </c>
    </row>
    <row r="506" spans="1:14" x14ac:dyDescent="0.35">
      <c r="A506">
        <v>1022</v>
      </c>
      <c r="B506" t="s">
        <v>76</v>
      </c>
      <c r="C506" s="1">
        <v>45184.257071759261</v>
      </c>
      <c r="D506" t="str">
        <f ca="1">VLOOKUP(qry_ProdData2_PDI_Cash_Exception_Application[[#This Row],[TYPE]],#REF!,2,FALSE)</f>
        <v>type26</v>
      </c>
      <c r="E506">
        <v>197.31</v>
      </c>
      <c r="F506" t="s">
        <v>50</v>
      </c>
      <c r="G506" s="1">
        <f>qry_ProdData2_PDI_Cash_Exception_Application[[#This Row],[INSERT DATE]]+1</f>
        <v>45185.257071759261</v>
      </c>
      <c r="H506" t="str">
        <f>VLOOKUP(qry_ProdData2_PDI_Cash_Exception_Application[[#This Row],[MARKET No]],'Site Allocation'!$B$2:$C$37,2,FALSE)</f>
        <v>Analyst4</v>
      </c>
      <c r="I506" s="4">
        <f t="shared" ca="1" si="7"/>
        <v>45203</v>
      </c>
      <c r="J506" s="42">
        <f ca="1">TODAY()-qry_ProdData2_PDI_Cash_Exception_Application[[#This Row],[INSERT DATE]]</f>
        <v>18.742928240739275</v>
      </c>
      <c r="K5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06">
        <f ca="1">qry_ProdData2_PDI_Cash_Exception_Application[[#This Row],[TODAY]]-qry_ProdData2_PDI_Cash_Exception_Application[[#This Row],[CHANGED ON]]</f>
        <v>17.742928240739275</v>
      </c>
      <c r="M506">
        <f ca="1">qry_ProdData2_PDI_Cash_Exception_Application[[#This Row],[TODAY]]-qry_ProdData2_PDI_Cash_Exception_Application[[#This Row],[CHANGED ON]]</f>
        <v>17.742928240739275</v>
      </c>
      <c r="N506">
        <f ca="1">qry_ProdData2_PDI_Cash_Exception_Application[[#This Row],[TODAY]]-qry_ProdData2_PDI_Cash_Exception_Application[[#This Row],[CHANGED ON]]</f>
        <v>17.742928240739275</v>
      </c>
    </row>
    <row r="507" spans="1:14" x14ac:dyDescent="0.35">
      <c r="A507">
        <v>1034</v>
      </c>
      <c r="B507" t="s">
        <v>88</v>
      </c>
      <c r="C507" s="1">
        <v>45185.257071759261</v>
      </c>
      <c r="D507" t="str">
        <f ca="1">VLOOKUP(qry_ProdData2_PDI_Cash_Exception_Application[[#This Row],[TYPE]],#REF!,2,FALSE)</f>
        <v>type15</v>
      </c>
      <c r="E507">
        <v>1932.6402</v>
      </c>
      <c r="F507" t="s">
        <v>52</v>
      </c>
      <c r="G507" s="1">
        <f>qry_ProdData2_PDI_Cash_Exception_Application[[#This Row],[INSERT DATE]]+1</f>
        <v>45186.257071759261</v>
      </c>
      <c r="H507" t="str">
        <f>VLOOKUP(qry_ProdData2_PDI_Cash_Exception_Application[[#This Row],[MARKET No]],'Site Allocation'!$B$2:$C$37,2,FALSE)</f>
        <v>Analyst6</v>
      </c>
      <c r="I507" s="4">
        <f t="shared" ca="1" si="7"/>
        <v>45203</v>
      </c>
      <c r="J507" s="42">
        <f ca="1">TODAY()-qry_ProdData2_PDI_Cash_Exception_Application[[#This Row],[INSERT DATE]]</f>
        <v>17.742928240739275</v>
      </c>
      <c r="K5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07">
        <f ca="1">qry_ProdData2_PDI_Cash_Exception_Application[[#This Row],[TODAY]]-qry_ProdData2_PDI_Cash_Exception_Application[[#This Row],[CHANGED ON]]</f>
        <v>16.742928240739275</v>
      </c>
      <c r="M507">
        <f ca="1">qry_ProdData2_PDI_Cash_Exception_Application[[#This Row],[TODAY]]-qry_ProdData2_PDI_Cash_Exception_Application[[#This Row],[CHANGED ON]]</f>
        <v>16.742928240739275</v>
      </c>
      <c r="N507">
        <f ca="1">qry_ProdData2_PDI_Cash_Exception_Application[[#This Row],[TODAY]]-qry_ProdData2_PDI_Cash_Exception_Application[[#This Row],[CHANGED ON]]</f>
        <v>16.742928240739275</v>
      </c>
    </row>
    <row r="508" spans="1:14" x14ac:dyDescent="0.35">
      <c r="A508">
        <v>1032</v>
      </c>
      <c r="B508" t="s">
        <v>86</v>
      </c>
      <c r="C508" s="1">
        <v>45185.257071759261</v>
      </c>
      <c r="D508" t="str">
        <f ca="1">VLOOKUP(qry_ProdData2_PDI_Cash_Exception_Application[[#This Row],[TYPE]],#REF!,2,FALSE)</f>
        <v>type13</v>
      </c>
      <c r="E508">
        <v>30257.99</v>
      </c>
      <c r="F508" t="s">
        <v>50</v>
      </c>
      <c r="G508" s="1">
        <f>qry_ProdData2_PDI_Cash_Exception_Application[[#This Row],[INSERT DATE]]+1</f>
        <v>45186.257071759261</v>
      </c>
      <c r="H508" t="str">
        <f>VLOOKUP(qry_ProdData2_PDI_Cash_Exception_Application[[#This Row],[MARKET No]],'Site Allocation'!$B$2:$C$37,2,FALSE)</f>
        <v>Analyst6</v>
      </c>
      <c r="I508" s="4">
        <f t="shared" ca="1" si="7"/>
        <v>45203</v>
      </c>
      <c r="J508" s="42">
        <f ca="1">TODAY()-qry_ProdData2_PDI_Cash_Exception_Application[[#This Row],[INSERT DATE]]</f>
        <v>17.742928240739275</v>
      </c>
      <c r="K5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08">
        <f ca="1">qry_ProdData2_PDI_Cash_Exception_Application[[#This Row],[TODAY]]-qry_ProdData2_PDI_Cash_Exception_Application[[#This Row],[CHANGED ON]]</f>
        <v>16.742928240739275</v>
      </c>
      <c r="M508">
        <f ca="1">qry_ProdData2_PDI_Cash_Exception_Application[[#This Row],[TODAY]]-qry_ProdData2_PDI_Cash_Exception_Application[[#This Row],[CHANGED ON]]</f>
        <v>16.742928240739275</v>
      </c>
      <c r="N508">
        <f ca="1">qry_ProdData2_PDI_Cash_Exception_Application[[#This Row],[TODAY]]-qry_ProdData2_PDI_Cash_Exception_Application[[#This Row],[CHANGED ON]]</f>
        <v>16.742928240739275</v>
      </c>
    </row>
    <row r="509" spans="1:14" x14ac:dyDescent="0.35">
      <c r="A509">
        <v>1000</v>
      </c>
      <c r="B509" t="s">
        <v>54</v>
      </c>
      <c r="C509" s="1">
        <v>45186.257071759261</v>
      </c>
      <c r="D509" t="str">
        <f ca="1">VLOOKUP(qry_ProdData2_PDI_Cash_Exception_Application[[#This Row],[TYPE]],#REF!,2,FALSE)</f>
        <v>type40</v>
      </c>
      <c r="E509">
        <v>319.39</v>
      </c>
      <c r="F509" t="s">
        <v>50</v>
      </c>
      <c r="G509" s="1">
        <f>qry_ProdData2_PDI_Cash_Exception_Application[[#This Row],[INSERT DATE]]+2</f>
        <v>45188.257071759261</v>
      </c>
      <c r="H509" t="str">
        <f>VLOOKUP(qry_ProdData2_PDI_Cash_Exception_Application[[#This Row],[MARKET No]],'Site Allocation'!$B$2:$C$37,2,FALSE)</f>
        <v>Analyst1</v>
      </c>
      <c r="I509" s="4">
        <f t="shared" ca="1" si="7"/>
        <v>45203</v>
      </c>
      <c r="J509" s="42">
        <f ca="1">TODAY()-qry_ProdData2_PDI_Cash_Exception_Application[[#This Row],[INSERT DATE]]</f>
        <v>16.742928240739275</v>
      </c>
      <c r="K5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09">
        <f ca="1">qry_ProdData2_PDI_Cash_Exception_Application[[#This Row],[TODAY]]-qry_ProdData2_PDI_Cash_Exception_Application[[#This Row],[CHANGED ON]]</f>
        <v>14.742928240739275</v>
      </c>
      <c r="M509">
        <f ca="1">qry_ProdData2_PDI_Cash_Exception_Application[[#This Row],[TODAY]]-qry_ProdData2_PDI_Cash_Exception_Application[[#This Row],[CHANGED ON]]</f>
        <v>14.742928240739275</v>
      </c>
      <c r="N509">
        <f ca="1">qry_ProdData2_PDI_Cash_Exception_Application[[#This Row],[TODAY]]-qry_ProdData2_PDI_Cash_Exception_Application[[#This Row],[CHANGED ON]]</f>
        <v>14.742928240739275</v>
      </c>
    </row>
    <row r="510" spans="1:14" x14ac:dyDescent="0.35">
      <c r="A510">
        <v>1018</v>
      </c>
      <c r="B510" t="s">
        <v>72</v>
      </c>
      <c r="C510" s="1">
        <v>45187.257071759261</v>
      </c>
      <c r="D510" t="str">
        <f ca="1">VLOOKUP(qry_ProdData2_PDI_Cash_Exception_Application[[#This Row],[TYPE]],#REF!,2,FALSE)</f>
        <v>type40</v>
      </c>
      <c r="E510">
        <v>507.38</v>
      </c>
      <c r="F510" t="s">
        <v>50</v>
      </c>
      <c r="G510" s="1">
        <f>qry_ProdData2_PDI_Cash_Exception_Application[[#This Row],[INSERT DATE]]+2</f>
        <v>45189.257071759261</v>
      </c>
      <c r="H510" t="str">
        <f>VLOOKUP(qry_ProdData2_PDI_Cash_Exception_Application[[#This Row],[MARKET No]],'Site Allocation'!$B$2:$C$37,2,FALSE)</f>
        <v>Analyst4</v>
      </c>
      <c r="I510" s="4">
        <f t="shared" ca="1" si="7"/>
        <v>45203</v>
      </c>
      <c r="J510" s="42">
        <f ca="1">TODAY()-qry_ProdData2_PDI_Cash_Exception_Application[[#This Row],[INSERT DATE]]</f>
        <v>15.742928240739275</v>
      </c>
      <c r="K5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10">
        <f ca="1">qry_ProdData2_PDI_Cash_Exception_Application[[#This Row],[TODAY]]-qry_ProdData2_PDI_Cash_Exception_Application[[#This Row],[CHANGED ON]]</f>
        <v>13.742928240739275</v>
      </c>
      <c r="M510">
        <f ca="1">qry_ProdData2_PDI_Cash_Exception_Application[[#This Row],[TODAY]]-qry_ProdData2_PDI_Cash_Exception_Application[[#This Row],[CHANGED ON]]</f>
        <v>13.742928240739275</v>
      </c>
      <c r="N510">
        <f ca="1">qry_ProdData2_PDI_Cash_Exception_Application[[#This Row],[TODAY]]-qry_ProdData2_PDI_Cash_Exception_Application[[#This Row],[CHANGED ON]]</f>
        <v>13.742928240739275</v>
      </c>
    </row>
    <row r="511" spans="1:14" x14ac:dyDescent="0.35">
      <c r="A511">
        <v>1000</v>
      </c>
      <c r="B511" t="s">
        <v>54</v>
      </c>
      <c r="C511" s="1">
        <v>45190.257071759261</v>
      </c>
      <c r="D511" t="str">
        <f ca="1">VLOOKUP(qry_ProdData2_PDI_Cash_Exception_Application[[#This Row],[TYPE]],#REF!,2,FALSE)</f>
        <v>type13</v>
      </c>
      <c r="E511">
        <v>49408.94</v>
      </c>
      <c r="F511" t="s">
        <v>49</v>
      </c>
      <c r="G511" s="1">
        <f>qry_ProdData2_PDI_Cash_Exception_Application[[#This Row],[INSERT DATE]]+2</f>
        <v>45192.257071759261</v>
      </c>
      <c r="H511" t="str">
        <f>VLOOKUP(qry_ProdData2_PDI_Cash_Exception_Application[[#This Row],[MARKET No]],'Site Allocation'!$B$2:$C$37,2,FALSE)</f>
        <v>Analyst1</v>
      </c>
      <c r="I511" s="4">
        <f t="shared" ca="1" si="7"/>
        <v>45203</v>
      </c>
      <c r="J511" s="42">
        <f ca="1">TODAY()-qry_ProdData2_PDI_Cash_Exception_Application[[#This Row],[INSERT DATE]]</f>
        <v>12.742928240739275</v>
      </c>
      <c r="K5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11">
        <f ca="1">qry_ProdData2_PDI_Cash_Exception_Application[[#This Row],[TODAY]]-qry_ProdData2_PDI_Cash_Exception_Application[[#This Row],[CHANGED ON]]</f>
        <v>10.742928240739275</v>
      </c>
      <c r="M511">
        <f ca="1">qry_ProdData2_PDI_Cash_Exception_Application[[#This Row],[TODAY]]-qry_ProdData2_PDI_Cash_Exception_Application[[#This Row],[CHANGED ON]]</f>
        <v>10.742928240739275</v>
      </c>
      <c r="N511">
        <f ca="1">qry_ProdData2_PDI_Cash_Exception_Application[[#This Row],[TODAY]]-qry_ProdData2_PDI_Cash_Exception_Application[[#This Row],[CHANGED ON]]</f>
        <v>10.742928240739275</v>
      </c>
    </row>
    <row r="512" spans="1:14" x14ac:dyDescent="0.35">
      <c r="A512">
        <v>1025</v>
      </c>
      <c r="B512" t="s">
        <v>79</v>
      </c>
      <c r="C512" s="1">
        <v>45192.257071759261</v>
      </c>
      <c r="D512" t="str">
        <f ca="1">VLOOKUP(qry_ProdData2_PDI_Cash_Exception_Application[[#This Row],[TYPE]],#REF!,2,FALSE)</f>
        <v>type40</v>
      </c>
      <c r="E512">
        <v>-849.71</v>
      </c>
      <c r="F512" t="s">
        <v>51</v>
      </c>
      <c r="G512" s="1">
        <f>qry_ProdData2_PDI_Cash_Exception_Application[[#This Row],[INSERT DATE]]+5</f>
        <v>45197.257071759261</v>
      </c>
      <c r="H512" t="str">
        <f>VLOOKUP(qry_ProdData2_PDI_Cash_Exception_Application[[#This Row],[MARKET No]],'Site Allocation'!$B$2:$C$37,2,FALSE)</f>
        <v>Analyst5</v>
      </c>
      <c r="I512" s="4">
        <f t="shared" ca="1" si="7"/>
        <v>45203</v>
      </c>
      <c r="J512" s="42">
        <f ca="1">TODAY()-qry_ProdData2_PDI_Cash_Exception_Application[[#This Row],[INSERT DATE]]</f>
        <v>10.742928240739275</v>
      </c>
      <c r="K5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12">
        <f ca="1">qry_ProdData2_PDI_Cash_Exception_Application[[#This Row],[TODAY]]-qry_ProdData2_PDI_Cash_Exception_Application[[#This Row],[CHANGED ON]]</f>
        <v>5.7429282407392748</v>
      </c>
      <c r="M512">
        <f ca="1">qry_ProdData2_PDI_Cash_Exception_Application[[#This Row],[TODAY]]-qry_ProdData2_PDI_Cash_Exception_Application[[#This Row],[CHANGED ON]]</f>
        <v>5.7429282407392748</v>
      </c>
      <c r="N512">
        <f ca="1">qry_ProdData2_PDI_Cash_Exception_Application[[#This Row],[TODAY]]-qry_ProdData2_PDI_Cash_Exception_Application[[#This Row],[CHANGED ON]]</f>
        <v>5.7429282407392748</v>
      </c>
    </row>
    <row r="513" spans="1:14" x14ac:dyDescent="0.35">
      <c r="A513">
        <v>1024</v>
      </c>
      <c r="B513" t="s">
        <v>78</v>
      </c>
      <c r="C513" s="1">
        <v>45189.257071759261</v>
      </c>
      <c r="D513" t="str">
        <f ca="1">VLOOKUP(qry_ProdData2_PDI_Cash_Exception_Application[[#This Row],[TYPE]],#REF!,2,FALSE)</f>
        <v>type8</v>
      </c>
      <c r="E513">
        <v>75</v>
      </c>
      <c r="F513" t="s">
        <v>47</v>
      </c>
      <c r="G513" s="1">
        <f>qry_ProdData2_PDI_Cash_Exception_Application[[#This Row],[INSERT DATE]]+1</f>
        <v>45190.257071759261</v>
      </c>
      <c r="H513" t="str">
        <f>VLOOKUP(qry_ProdData2_PDI_Cash_Exception_Application[[#This Row],[MARKET No]],'Site Allocation'!$B$2:$C$37,2,FALSE)</f>
        <v>Analyst5</v>
      </c>
      <c r="I513" s="4">
        <f t="shared" ca="1" si="7"/>
        <v>45203</v>
      </c>
      <c r="J513" s="42">
        <f ca="1">TODAY()-qry_ProdData2_PDI_Cash_Exception_Application[[#This Row],[INSERT DATE]]</f>
        <v>13.742928240739275</v>
      </c>
      <c r="K5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13">
        <f ca="1">qry_ProdData2_PDI_Cash_Exception_Application[[#This Row],[TODAY]]-qry_ProdData2_PDI_Cash_Exception_Application[[#This Row],[CHANGED ON]]</f>
        <v>12.742928240739275</v>
      </c>
      <c r="M513">
        <f ca="1">qry_ProdData2_PDI_Cash_Exception_Application[[#This Row],[TODAY]]-qry_ProdData2_PDI_Cash_Exception_Application[[#This Row],[CHANGED ON]]</f>
        <v>12.742928240739275</v>
      </c>
      <c r="N513">
        <f ca="1">qry_ProdData2_PDI_Cash_Exception_Application[[#This Row],[TODAY]]-qry_ProdData2_PDI_Cash_Exception_Application[[#This Row],[CHANGED ON]]</f>
        <v>12.742928240739275</v>
      </c>
    </row>
    <row r="514" spans="1:14" x14ac:dyDescent="0.35">
      <c r="A514">
        <v>1021</v>
      </c>
      <c r="B514" t="s">
        <v>75</v>
      </c>
      <c r="C514" s="1">
        <v>45190.257071759261</v>
      </c>
      <c r="D514" t="str">
        <f ca="1">VLOOKUP(qry_ProdData2_PDI_Cash_Exception_Application[[#This Row],[TYPE]],#REF!,2,FALSE)</f>
        <v>type7</v>
      </c>
      <c r="E514">
        <v>13225.94</v>
      </c>
      <c r="F514" t="s">
        <v>48</v>
      </c>
      <c r="G514" s="1">
        <f>qry_ProdData2_PDI_Cash_Exception_Application[[#This Row],[INSERT DATE]]+1</f>
        <v>45191.257071759261</v>
      </c>
      <c r="H514" t="str">
        <f>VLOOKUP(qry_ProdData2_PDI_Cash_Exception_Application[[#This Row],[MARKET No]],'Site Allocation'!$B$2:$C$37,2,FALSE)</f>
        <v>Analyst4</v>
      </c>
      <c r="I514" s="4">
        <f t="shared" ref="I514:I577" ca="1" si="8">TODAY()</f>
        <v>45203</v>
      </c>
      <c r="J514" s="42">
        <f ca="1">TODAY()-qry_ProdData2_PDI_Cash_Exception_Application[[#This Row],[INSERT DATE]]</f>
        <v>12.742928240739275</v>
      </c>
      <c r="K5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14">
        <f ca="1">qry_ProdData2_PDI_Cash_Exception_Application[[#This Row],[TODAY]]-qry_ProdData2_PDI_Cash_Exception_Application[[#This Row],[CHANGED ON]]</f>
        <v>11.742928240739275</v>
      </c>
      <c r="M514">
        <f ca="1">qry_ProdData2_PDI_Cash_Exception_Application[[#This Row],[TODAY]]-qry_ProdData2_PDI_Cash_Exception_Application[[#This Row],[CHANGED ON]]</f>
        <v>11.742928240739275</v>
      </c>
      <c r="N514">
        <f ca="1">qry_ProdData2_PDI_Cash_Exception_Application[[#This Row],[TODAY]]-qry_ProdData2_PDI_Cash_Exception_Application[[#This Row],[CHANGED ON]]</f>
        <v>11.742928240739275</v>
      </c>
    </row>
    <row r="515" spans="1:14" x14ac:dyDescent="0.35">
      <c r="A515">
        <v>1010</v>
      </c>
      <c r="B515" t="s">
        <v>64</v>
      </c>
      <c r="C515" s="1">
        <v>45189.257071759261</v>
      </c>
      <c r="D515" t="str">
        <f ca="1">VLOOKUP(qry_ProdData2_PDI_Cash_Exception_Application[[#This Row],[TYPE]],#REF!,2,FALSE)</f>
        <v>type40</v>
      </c>
      <c r="E515">
        <v>-8083.65</v>
      </c>
      <c r="F515" t="s">
        <v>51</v>
      </c>
      <c r="G515" s="1">
        <f>qry_ProdData2_PDI_Cash_Exception_Application[[#This Row],[INSERT DATE]]+7</f>
        <v>45196.257071759261</v>
      </c>
      <c r="H515" t="str">
        <f>VLOOKUP(qry_ProdData2_PDI_Cash_Exception_Application[[#This Row],[MARKET No]],'Site Allocation'!$B$2:$C$37,2,FALSE)</f>
        <v>Analyst2</v>
      </c>
      <c r="I515" s="4">
        <f t="shared" ca="1" si="8"/>
        <v>45203</v>
      </c>
      <c r="J515" s="42">
        <f ca="1">TODAY()-qry_ProdData2_PDI_Cash_Exception_Application[[#This Row],[INSERT DATE]]</f>
        <v>13.742928240739275</v>
      </c>
      <c r="K5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15">
        <f ca="1">qry_ProdData2_PDI_Cash_Exception_Application[[#This Row],[TODAY]]-qry_ProdData2_PDI_Cash_Exception_Application[[#This Row],[CHANGED ON]]</f>
        <v>6.7429282407392748</v>
      </c>
      <c r="M515">
        <f ca="1">qry_ProdData2_PDI_Cash_Exception_Application[[#This Row],[TODAY]]-qry_ProdData2_PDI_Cash_Exception_Application[[#This Row],[CHANGED ON]]</f>
        <v>6.7429282407392748</v>
      </c>
      <c r="N515">
        <f ca="1">qry_ProdData2_PDI_Cash_Exception_Application[[#This Row],[TODAY]]-qry_ProdData2_PDI_Cash_Exception_Application[[#This Row],[CHANGED ON]]</f>
        <v>6.7429282407392748</v>
      </c>
    </row>
    <row r="516" spans="1:14" x14ac:dyDescent="0.35">
      <c r="A516">
        <v>1033</v>
      </c>
      <c r="B516" t="s">
        <v>87</v>
      </c>
      <c r="C516" s="1">
        <v>45191.257071759261</v>
      </c>
      <c r="D516" t="str">
        <f ca="1">VLOOKUP(qry_ProdData2_PDI_Cash_Exception_Application[[#This Row],[TYPE]],#REF!,2,FALSE)</f>
        <v>type13</v>
      </c>
      <c r="E516">
        <v>38442.379999999997</v>
      </c>
      <c r="F516" t="s">
        <v>47</v>
      </c>
      <c r="G516" s="1">
        <f>qry_ProdData2_PDI_Cash_Exception_Application[[#This Row],[INSERT DATE]]+1</f>
        <v>45192.257071759261</v>
      </c>
      <c r="H516" t="str">
        <f>VLOOKUP(qry_ProdData2_PDI_Cash_Exception_Application[[#This Row],[MARKET No]],'Site Allocation'!$B$2:$C$37,2,FALSE)</f>
        <v>Analyst6</v>
      </c>
      <c r="I516" s="4">
        <f t="shared" ca="1" si="8"/>
        <v>45203</v>
      </c>
      <c r="J516" s="42">
        <f ca="1">TODAY()-qry_ProdData2_PDI_Cash_Exception_Application[[#This Row],[INSERT DATE]]</f>
        <v>11.742928240739275</v>
      </c>
      <c r="K5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16">
        <f ca="1">qry_ProdData2_PDI_Cash_Exception_Application[[#This Row],[TODAY]]-qry_ProdData2_PDI_Cash_Exception_Application[[#This Row],[CHANGED ON]]</f>
        <v>10.742928240739275</v>
      </c>
      <c r="M516">
        <f ca="1">qry_ProdData2_PDI_Cash_Exception_Application[[#This Row],[TODAY]]-qry_ProdData2_PDI_Cash_Exception_Application[[#This Row],[CHANGED ON]]</f>
        <v>10.742928240739275</v>
      </c>
      <c r="N516">
        <f ca="1">qry_ProdData2_PDI_Cash_Exception_Application[[#This Row],[TODAY]]-qry_ProdData2_PDI_Cash_Exception_Application[[#This Row],[CHANGED ON]]</f>
        <v>10.742928240739275</v>
      </c>
    </row>
    <row r="517" spans="1:14" x14ac:dyDescent="0.35">
      <c r="A517">
        <v>1019</v>
      </c>
      <c r="B517" t="s">
        <v>73</v>
      </c>
      <c r="C517" s="1">
        <v>45191.257071759261</v>
      </c>
      <c r="D517" t="str">
        <f ca="1">VLOOKUP(qry_ProdData2_PDI_Cash_Exception_Application[[#This Row],[TYPE]],#REF!,2,FALSE)</f>
        <v>type40</v>
      </c>
      <c r="E517">
        <v>-620.08000000000004</v>
      </c>
      <c r="F517" t="s">
        <v>52</v>
      </c>
      <c r="G517" s="1">
        <f>qry_ProdData2_PDI_Cash_Exception_Application[[#This Row],[INSERT DATE]]+2</f>
        <v>45193.257071759261</v>
      </c>
      <c r="H517" t="str">
        <f>VLOOKUP(qry_ProdData2_PDI_Cash_Exception_Application[[#This Row],[MARKET No]],'Site Allocation'!$B$2:$C$37,2,FALSE)</f>
        <v>Analyst4</v>
      </c>
      <c r="I517" s="4">
        <f t="shared" ca="1" si="8"/>
        <v>45203</v>
      </c>
      <c r="J517" s="42">
        <f ca="1">TODAY()-qry_ProdData2_PDI_Cash_Exception_Application[[#This Row],[INSERT DATE]]</f>
        <v>11.742928240739275</v>
      </c>
      <c r="K5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17">
        <f ca="1">qry_ProdData2_PDI_Cash_Exception_Application[[#This Row],[TODAY]]-qry_ProdData2_PDI_Cash_Exception_Application[[#This Row],[CHANGED ON]]</f>
        <v>9.7429282407392748</v>
      </c>
      <c r="M517">
        <f ca="1">qry_ProdData2_PDI_Cash_Exception_Application[[#This Row],[TODAY]]-qry_ProdData2_PDI_Cash_Exception_Application[[#This Row],[CHANGED ON]]</f>
        <v>9.7429282407392748</v>
      </c>
      <c r="N517">
        <f ca="1">qry_ProdData2_PDI_Cash_Exception_Application[[#This Row],[TODAY]]-qry_ProdData2_PDI_Cash_Exception_Application[[#This Row],[CHANGED ON]]</f>
        <v>9.7429282407392748</v>
      </c>
    </row>
    <row r="518" spans="1:14" x14ac:dyDescent="0.35">
      <c r="A518">
        <v>1031</v>
      </c>
      <c r="B518" t="s">
        <v>85</v>
      </c>
      <c r="C518" s="1">
        <v>45183.257071759261</v>
      </c>
      <c r="D518" t="str">
        <f ca="1">VLOOKUP(qry_ProdData2_PDI_Cash_Exception_Application[[#This Row],[TYPE]],#REF!,2,FALSE)</f>
        <v>type4</v>
      </c>
      <c r="E518">
        <v>4</v>
      </c>
      <c r="F518" t="s">
        <v>48</v>
      </c>
      <c r="G518" s="1">
        <f>qry_ProdData2_PDI_Cash_Exception_Application[[#This Row],[INSERT DATE]]+2</f>
        <v>45185.257071759261</v>
      </c>
      <c r="H518" t="str">
        <f>VLOOKUP(qry_ProdData2_PDI_Cash_Exception_Application[[#This Row],[MARKET No]],'Site Allocation'!$B$2:$C$37,2,FALSE)</f>
        <v>Analyst6</v>
      </c>
      <c r="I518" s="4">
        <f t="shared" ca="1" si="8"/>
        <v>45203</v>
      </c>
      <c r="J518" s="42">
        <f ca="1">TODAY()-qry_ProdData2_PDI_Cash_Exception_Application[[#This Row],[INSERT DATE]]</f>
        <v>19.742928240739275</v>
      </c>
      <c r="K5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18">
        <f ca="1">qry_ProdData2_PDI_Cash_Exception_Application[[#This Row],[TODAY]]-qry_ProdData2_PDI_Cash_Exception_Application[[#This Row],[CHANGED ON]]</f>
        <v>17.742928240739275</v>
      </c>
      <c r="M518">
        <f ca="1">qry_ProdData2_PDI_Cash_Exception_Application[[#This Row],[TODAY]]-qry_ProdData2_PDI_Cash_Exception_Application[[#This Row],[CHANGED ON]]</f>
        <v>17.742928240739275</v>
      </c>
      <c r="N518">
        <f ca="1">qry_ProdData2_PDI_Cash_Exception_Application[[#This Row],[TODAY]]-qry_ProdData2_PDI_Cash_Exception_Application[[#This Row],[CHANGED ON]]</f>
        <v>17.742928240739275</v>
      </c>
    </row>
    <row r="519" spans="1:14" x14ac:dyDescent="0.35">
      <c r="A519">
        <v>1025</v>
      </c>
      <c r="B519" t="s">
        <v>79</v>
      </c>
      <c r="C519" s="1">
        <v>45193.257071759261</v>
      </c>
      <c r="D519" t="str">
        <f ca="1">VLOOKUP(qry_ProdData2_PDI_Cash_Exception_Application[[#This Row],[TYPE]],#REF!,2,FALSE)</f>
        <v>type14</v>
      </c>
      <c r="E519">
        <v>0.4</v>
      </c>
      <c r="F519" t="s">
        <v>52</v>
      </c>
      <c r="G519" s="1">
        <f>qry_ProdData2_PDI_Cash_Exception_Application[[#This Row],[INSERT DATE]]+2</f>
        <v>45195.257071759261</v>
      </c>
      <c r="H519" t="str">
        <f>VLOOKUP(qry_ProdData2_PDI_Cash_Exception_Application[[#This Row],[MARKET No]],'Site Allocation'!$B$2:$C$37,2,FALSE)</f>
        <v>Analyst5</v>
      </c>
      <c r="I519" s="4">
        <f t="shared" ca="1" si="8"/>
        <v>45203</v>
      </c>
      <c r="J519" s="42">
        <f ca="1">TODAY()-qry_ProdData2_PDI_Cash_Exception_Application[[#This Row],[INSERT DATE]]</f>
        <v>9.7429282407392748</v>
      </c>
      <c r="K5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19">
        <f ca="1">qry_ProdData2_PDI_Cash_Exception_Application[[#This Row],[TODAY]]-qry_ProdData2_PDI_Cash_Exception_Application[[#This Row],[CHANGED ON]]</f>
        <v>7.7429282407392748</v>
      </c>
      <c r="M519">
        <f ca="1">qry_ProdData2_PDI_Cash_Exception_Application[[#This Row],[TODAY]]-qry_ProdData2_PDI_Cash_Exception_Application[[#This Row],[CHANGED ON]]</f>
        <v>7.7429282407392748</v>
      </c>
      <c r="N519">
        <f ca="1">qry_ProdData2_PDI_Cash_Exception_Application[[#This Row],[TODAY]]-qry_ProdData2_PDI_Cash_Exception_Application[[#This Row],[CHANGED ON]]</f>
        <v>7.7429282407392748</v>
      </c>
    </row>
    <row r="520" spans="1:14" x14ac:dyDescent="0.35">
      <c r="A520">
        <v>1026</v>
      </c>
      <c r="B520" t="s">
        <v>80</v>
      </c>
      <c r="C520" s="1">
        <v>45194.257071759261</v>
      </c>
      <c r="D520" t="str">
        <f ca="1">VLOOKUP(qry_ProdData2_PDI_Cash_Exception_Application[[#This Row],[TYPE]],#REF!,2,FALSE)</f>
        <v>type40</v>
      </c>
      <c r="E520">
        <v>-534.45000000000005</v>
      </c>
      <c r="F520" t="s">
        <v>52</v>
      </c>
      <c r="G520" s="1">
        <f>qry_ProdData2_PDI_Cash_Exception_Application[[#This Row],[INSERT DATE]]+2</f>
        <v>45196.257071759261</v>
      </c>
      <c r="H520" t="str">
        <f>VLOOKUP(qry_ProdData2_PDI_Cash_Exception_Application[[#This Row],[MARKET No]],'Site Allocation'!$B$2:$C$37,2,FALSE)</f>
        <v>Analyst5</v>
      </c>
      <c r="I520" s="4">
        <f t="shared" ca="1" si="8"/>
        <v>45203</v>
      </c>
      <c r="J520" s="42">
        <f ca="1">TODAY()-qry_ProdData2_PDI_Cash_Exception_Application[[#This Row],[INSERT DATE]]</f>
        <v>8.7429282407392748</v>
      </c>
      <c r="K5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520">
        <f ca="1">qry_ProdData2_PDI_Cash_Exception_Application[[#This Row],[TODAY]]-qry_ProdData2_PDI_Cash_Exception_Application[[#This Row],[CHANGED ON]]</f>
        <v>6.7429282407392748</v>
      </c>
      <c r="M520">
        <f ca="1">qry_ProdData2_PDI_Cash_Exception_Application[[#This Row],[TODAY]]-qry_ProdData2_PDI_Cash_Exception_Application[[#This Row],[CHANGED ON]]</f>
        <v>6.7429282407392748</v>
      </c>
      <c r="N520">
        <f ca="1">qry_ProdData2_PDI_Cash_Exception_Application[[#This Row],[TODAY]]-qry_ProdData2_PDI_Cash_Exception_Application[[#This Row],[CHANGED ON]]</f>
        <v>6.7429282407392748</v>
      </c>
    </row>
    <row r="521" spans="1:14" x14ac:dyDescent="0.35">
      <c r="A521">
        <v>1020</v>
      </c>
      <c r="B521" t="s">
        <v>74</v>
      </c>
      <c r="C521" s="1">
        <v>45195.257071759261</v>
      </c>
      <c r="D521" t="str">
        <f ca="1">VLOOKUP(qry_ProdData2_PDI_Cash_Exception_Application[[#This Row],[TYPE]],#REF!,2,FALSE)</f>
        <v>type7</v>
      </c>
      <c r="E521">
        <v>39158.300000000003</v>
      </c>
      <c r="F521" t="s">
        <v>50</v>
      </c>
      <c r="G521" s="1">
        <f>qry_ProdData2_PDI_Cash_Exception_Application[[#This Row],[INSERT DATE]]+2</f>
        <v>45197.257071759261</v>
      </c>
      <c r="H521" t="str">
        <f>VLOOKUP(qry_ProdData2_PDI_Cash_Exception_Application[[#This Row],[MARKET No]],'Site Allocation'!$B$2:$C$37,2,FALSE)</f>
        <v>Analyst4</v>
      </c>
      <c r="I521" s="4">
        <f t="shared" ca="1" si="8"/>
        <v>45203</v>
      </c>
      <c r="J521" s="42">
        <f ca="1">TODAY()-qry_ProdData2_PDI_Cash_Exception_Application[[#This Row],[INSERT DATE]]</f>
        <v>7.7429282407392748</v>
      </c>
      <c r="K5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521">
        <f ca="1">qry_ProdData2_PDI_Cash_Exception_Application[[#This Row],[TODAY]]-qry_ProdData2_PDI_Cash_Exception_Application[[#This Row],[CHANGED ON]]</f>
        <v>5.7429282407392748</v>
      </c>
      <c r="M521">
        <f ca="1">qry_ProdData2_PDI_Cash_Exception_Application[[#This Row],[TODAY]]-qry_ProdData2_PDI_Cash_Exception_Application[[#This Row],[CHANGED ON]]</f>
        <v>5.7429282407392748</v>
      </c>
      <c r="N521">
        <f ca="1">qry_ProdData2_PDI_Cash_Exception_Application[[#This Row],[TODAY]]-qry_ProdData2_PDI_Cash_Exception_Application[[#This Row],[CHANGED ON]]</f>
        <v>5.7429282407392748</v>
      </c>
    </row>
    <row r="522" spans="1:14" x14ac:dyDescent="0.35">
      <c r="A522">
        <v>1034</v>
      </c>
      <c r="B522" t="s">
        <v>88</v>
      </c>
      <c r="C522" s="1">
        <v>45187.257071759261</v>
      </c>
      <c r="D522" t="str">
        <f ca="1">VLOOKUP(qry_ProdData2_PDI_Cash_Exception_Application[[#This Row],[TYPE]],#REF!,2,FALSE)</f>
        <v>type40</v>
      </c>
      <c r="E522">
        <v>-2314.85</v>
      </c>
      <c r="F522" t="s">
        <v>47</v>
      </c>
      <c r="G522" s="1">
        <f>qry_ProdData2_PDI_Cash_Exception_Application[[#This Row],[INSERT DATE]]+2</f>
        <v>45189.257071759261</v>
      </c>
      <c r="H522" t="str">
        <f>VLOOKUP(qry_ProdData2_PDI_Cash_Exception_Application[[#This Row],[MARKET No]],'Site Allocation'!$B$2:$C$37,2,FALSE)</f>
        <v>Analyst6</v>
      </c>
      <c r="I522" s="4">
        <f t="shared" ca="1" si="8"/>
        <v>45203</v>
      </c>
      <c r="J522" s="42">
        <f ca="1">TODAY()-qry_ProdData2_PDI_Cash_Exception_Application[[#This Row],[INSERT DATE]]</f>
        <v>15.742928240739275</v>
      </c>
      <c r="K5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22">
        <f ca="1">qry_ProdData2_PDI_Cash_Exception_Application[[#This Row],[TODAY]]-qry_ProdData2_PDI_Cash_Exception_Application[[#This Row],[CHANGED ON]]</f>
        <v>13.742928240739275</v>
      </c>
      <c r="M522">
        <f ca="1">qry_ProdData2_PDI_Cash_Exception_Application[[#This Row],[TODAY]]-qry_ProdData2_PDI_Cash_Exception_Application[[#This Row],[CHANGED ON]]</f>
        <v>13.742928240739275</v>
      </c>
      <c r="N522">
        <f ca="1">qry_ProdData2_PDI_Cash_Exception_Application[[#This Row],[TODAY]]-qry_ProdData2_PDI_Cash_Exception_Application[[#This Row],[CHANGED ON]]</f>
        <v>13.742928240739275</v>
      </c>
    </row>
    <row r="523" spans="1:14" x14ac:dyDescent="0.35">
      <c r="A523">
        <v>1012</v>
      </c>
      <c r="B523" t="s">
        <v>66</v>
      </c>
      <c r="C523" s="1">
        <v>45185.257071759261</v>
      </c>
      <c r="D523" t="str">
        <f ca="1">VLOOKUP(qry_ProdData2_PDI_Cash_Exception_Application[[#This Row],[TYPE]],#REF!,2,FALSE)</f>
        <v>type13</v>
      </c>
      <c r="E523">
        <v>87399.47</v>
      </c>
      <c r="F523" t="s">
        <v>48</v>
      </c>
      <c r="G523" s="1">
        <f>qry_ProdData2_PDI_Cash_Exception_Application[[#This Row],[INSERT DATE]]+2</f>
        <v>45187.257071759261</v>
      </c>
      <c r="H523" t="str">
        <f>VLOOKUP(qry_ProdData2_PDI_Cash_Exception_Application[[#This Row],[MARKET No]],'Site Allocation'!$B$2:$C$37,2,FALSE)</f>
        <v>Analyst3</v>
      </c>
      <c r="I523" s="4">
        <f t="shared" ca="1" si="8"/>
        <v>45203</v>
      </c>
      <c r="J523" s="42">
        <f ca="1">TODAY()-qry_ProdData2_PDI_Cash_Exception_Application[[#This Row],[INSERT DATE]]</f>
        <v>17.742928240739275</v>
      </c>
      <c r="K5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23">
        <f ca="1">qry_ProdData2_PDI_Cash_Exception_Application[[#This Row],[TODAY]]-qry_ProdData2_PDI_Cash_Exception_Application[[#This Row],[CHANGED ON]]</f>
        <v>15.742928240739275</v>
      </c>
      <c r="M523">
        <f ca="1">qry_ProdData2_PDI_Cash_Exception_Application[[#This Row],[TODAY]]-qry_ProdData2_PDI_Cash_Exception_Application[[#This Row],[CHANGED ON]]</f>
        <v>15.742928240739275</v>
      </c>
      <c r="N523">
        <f ca="1">qry_ProdData2_PDI_Cash_Exception_Application[[#This Row],[TODAY]]-qry_ProdData2_PDI_Cash_Exception_Application[[#This Row],[CHANGED ON]]</f>
        <v>15.742928240739275</v>
      </c>
    </row>
    <row r="524" spans="1:14" x14ac:dyDescent="0.35">
      <c r="A524">
        <v>1008</v>
      </c>
      <c r="B524" t="s">
        <v>62</v>
      </c>
      <c r="C524" s="1">
        <v>45185.257071759261</v>
      </c>
      <c r="D524" t="str">
        <f ca="1">VLOOKUP(qry_ProdData2_PDI_Cash_Exception_Application[[#This Row],[TYPE]],#REF!,2,FALSE)</f>
        <v>type13</v>
      </c>
      <c r="E524">
        <v>26347.98</v>
      </c>
      <c r="F524" t="s">
        <v>50</v>
      </c>
      <c r="G524" s="1">
        <f>qry_ProdData2_PDI_Cash_Exception_Application[[#This Row],[INSERT DATE]]+2</f>
        <v>45187.257071759261</v>
      </c>
      <c r="H524" t="str">
        <f>VLOOKUP(qry_ProdData2_PDI_Cash_Exception_Application[[#This Row],[MARKET No]],'Site Allocation'!$B$2:$C$37,2,FALSE)</f>
        <v>Analyst2</v>
      </c>
      <c r="I524" s="4">
        <f t="shared" ca="1" si="8"/>
        <v>45203</v>
      </c>
      <c r="J524" s="42">
        <f ca="1">TODAY()-qry_ProdData2_PDI_Cash_Exception_Application[[#This Row],[INSERT DATE]]</f>
        <v>17.742928240739275</v>
      </c>
      <c r="K5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24">
        <f ca="1">qry_ProdData2_PDI_Cash_Exception_Application[[#This Row],[TODAY]]-qry_ProdData2_PDI_Cash_Exception_Application[[#This Row],[CHANGED ON]]</f>
        <v>15.742928240739275</v>
      </c>
      <c r="M524">
        <f ca="1">qry_ProdData2_PDI_Cash_Exception_Application[[#This Row],[TODAY]]-qry_ProdData2_PDI_Cash_Exception_Application[[#This Row],[CHANGED ON]]</f>
        <v>15.742928240739275</v>
      </c>
      <c r="N524">
        <f ca="1">qry_ProdData2_PDI_Cash_Exception_Application[[#This Row],[TODAY]]-qry_ProdData2_PDI_Cash_Exception_Application[[#This Row],[CHANGED ON]]</f>
        <v>15.742928240739275</v>
      </c>
    </row>
    <row r="525" spans="1:14" x14ac:dyDescent="0.35">
      <c r="A525">
        <v>1025</v>
      </c>
      <c r="B525" t="s">
        <v>79</v>
      </c>
      <c r="C525" s="1">
        <v>45183.257071759261</v>
      </c>
      <c r="D525" t="str">
        <f ca="1">VLOOKUP(qry_ProdData2_PDI_Cash_Exception_Application[[#This Row],[TYPE]],#REF!,2,FALSE)</f>
        <v>type40</v>
      </c>
      <c r="E525">
        <v>-2128.71</v>
      </c>
      <c r="F525" t="s">
        <v>51</v>
      </c>
      <c r="G525" s="1">
        <f>qry_ProdData2_PDI_Cash_Exception_Application[[#This Row],[INSERT DATE]]+1</f>
        <v>45184.257071759261</v>
      </c>
      <c r="H525" t="str">
        <f>VLOOKUP(qry_ProdData2_PDI_Cash_Exception_Application[[#This Row],[MARKET No]],'Site Allocation'!$B$2:$C$37,2,FALSE)</f>
        <v>Analyst5</v>
      </c>
      <c r="I525" s="4">
        <f t="shared" ca="1" si="8"/>
        <v>45203</v>
      </c>
      <c r="J525" s="42">
        <f ca="1">TODAY()-qry_ProdData2_PDI_Cash_Exception_Application[[#This Row],[INSERT DATE]]</f>
        <v>19.742928240739275</v>
      </c>
      <c r="K5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25">
        <f ca="1">qry_ProdData2_PDI_Cash_Exception_Application[[#This Row],[TODAY]]-qry_ProdData2_PDI_Cash_Exception_Application[[#This Row],[CHANGED ON]]</f>
        <v>18.742928240739275</v>
      </c>
      <c r="M525">
        <f ca="1">qry_ProdData2_PDI_Cash_Exception_Application[[#This Row],[TODAY]]-qry_ProdData2_PDI_Cash_Exception_Application[[#This Row],[CHANGED ON]]</f>
        <v>18.742928240739275</v>
      </c>
      <c r="N525">
        <f ca="1">qry_ProdData2_PDI_Cash_Exception_Application[[#This Row],[TODAY]]-qry_ProdData2_PDI_Cash_Exception_Application[[#This Row],[CHANGED ON]]</f>
        <v>18.742928240739275</v>
      </c>
    </row>
    <row r="526" spans="1:14" x14ac:dyDescent="0.35">
      <c r="A526">
        <v>1002</v>
      </c>
      <c r="B526" t="s">
        <v>56</v>
      </c>
      <c r="C526" s="1">
        <v>45187.257071759261</v>
      </c>
      <c r="D526" t="str">
        <f ca="1">VLOOKUP(qry_ProdData2_PDI_Cash_Exception_Application[[#This Row],[TYPE]],#REF!,2,FALSE)</f>
        <v>type13</v>
      </c>
      <c r="E526">
        <v>25091.84</v>
      </c>
      <c r="F526" t="s">
        <v>51</v>
      </c>
      <c r="G526" s="1">
        <f>qry_ProdData2_PDI_Cash_Exception_Application[[#This Row],[INSERT DATE]]+1</f>
        <v>45188.257071759261</v>
      </c>
      <c r="H526" t="str">
        <f>VLOOKUP(qry_ProdData2_PDI_Cash_Exception_Application[[#This Row],[MARKET No]],'Site Allocation'!$B$2:$C$37,2,FALSE)</f>
        <v>Analyst1</v>
      </c>
      <c r="I526" s="4">
        <f t="shared" ca="1" si="8"/>
        <v>45203</v>
      </c>
      <c r="J526" s="42">
        <f ca="1">TODAY()-qry_ProdData2_PDI_Cash_Exception_Application[[#This Row],[INSERT DATE]]</f>
        <v>15.742928240739275</v>
      </c>
      <c r="K5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26">
        <f ca="1">qry_ProdData2_PDI_Cash_Exception_Application[[#This Row],[TODAY]]-qry_ProdData2_PDI_Cash_Exception_Application[[#This Row],[CHANGED ON]]</f>
        <v>14.742928240739275</v>
      </c>
      <c r="M526">
        <f ca="1">qry_ProdData2_PDI_Cash_Exception_Application[[#This Row],[TODAY]]-qry_ProdData2_PDI_Cash_Exception_Application[[#This Row],[CHANGED ON]]</f>
        <v>14.742928240739275</v>
      </c>
      <c r="N526">
        <f ca="1">qry_ProdData2_PDI_Cash_Exception_Application[[#This Row],[TODAY]]-qry_ProdData2_PDI_Cash_Exception_Application[[#This Row],[CHANGED ON]]</f>
        <v>14.742928240739275</v>
      </c>
    </row>
    <row r="527" spans="1:14" x14ac:dyDescent="0.35">
      <c r="A527">
        <v>1029</v>
      </c>
      <c r="B527" t="s">
        <v>83</v>
      </c>
      <c r="C527" s="1">
        <v>45187.257071759261</v>
      </c>
      <c r="D527" t="str">
        <f ca="1">VLOOKUP(qry_ProdData2_PDI_Cash_Exception_Application[[#This Row],[TYPE]],#REF!,2,FALSE)</f>
        <v>type11</v>
      </c>
      <c r="E527">
        <v>100.5</v>
      </c>
      <c r="F527" t="s">
        <v>52</v>
      </c>
      <c r="G527" s="1">
        <f>qry_ProdData2_PDI_Cash_Exception_Application[[#This Row],[INSERT DATE]]+2</f>
        <v>45189.257071759261</v>
      </c>
      <c r="H527" t="str">
        <f>VLOOKUP(qry_ProdData2_PDI_Cash_Exception_Application[[#This Row],[MARKET No]],'Site Allocation'!$B$2:$C$37,2,FALSE)</f>
        <v>Analyst5</v>
      </c>
      <c r="I527" s="4">
        <f t="shared" ca="1" si="8"/>
        <v>45203</v>
      </c>
      <c r="J527" s="42">
        <f ca="1">TODAY()-qry_ProdData2_PDI_Cash_Exception_Application[[#This Row],[INSERT DATE]]</f>
        <v>15.742928240739275</v>
      </c>
      <c r="K5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27">
        <f ca="1">qry_ProdData2_PDI_Cash_Exception_Application[[#This Row],[TODAY]]-qry_ProdData2_PDI_Cash_Exception_Application[[#This Row],[CHANGED ON]]</f>
        <v>13.742928240739275</v>
      </c>
      <c r="M527">
        <f ca="1">qry_ProdData2_PDI_Cash_Exception_Application[[#This Row],[TODAY]]-qry_ProdData2_PDI_Cash_Exception_Application[[#This Row],[CHANGED ON]]</f>
        <v>13.742928240739275</v>
      </c>
      <c r="N527">
        <f ca="1">qry_ProdData2_PDI_Cash_Exception_Application[[#This Row],[TODAY]]-qry_ProdData2_PDI_Cash_Exception_Application[[#This Row],[CHANGED ON]]</f>
        <v>13.742928240739275</v>
      </c>
    </row>
    <row r="528" spans="1:14" x14ac:dyDescent="0.35">
      <c r="A528">
        <v>1006</v>
      </c>
      <c r="B528" t="s">
        <v>60</v>
      </c>
      <c r="C528" s="1">
        <v>45189.257071759261</v>
      </c>
      <c r="D528" t="str">
        <f ca="1">VLOOKUP(qry_ProdData2_PDI_Cash_Exception_Application[[#This Row],[TYPE]],#REF!,2,FALSE)</f>
        <v>type40</v>
      </c>
      <c r="E528">
        <v>368.07</v>
      </c>
      <c r="F528" t="s">
        <v>47</v>
      </c>
      <c r="G528" s="1">
        <f>qry_ProdData2_PDI_Cash_Exception_Application[[#This Row],[INSERT DATE]]+2</f>
        <v>45191.257071759261</v>
      </c>
      <c r="H528" t="str">
        <f>VLOOKUP(qry_ProdData2_PDI_Cash_Exception_Application[[#This Row],[MARKET No]],'Site Allocation'!$B$2:$C$37,2,FALSE)</f>
        <v>Analyst2</v>
      </c>
      <c r="I528" s="4">
        <f t="shared" ca="1" si="8"/>
        <v>45203</v>
      </c>
      <c r="J528" s="42">
        <f ca="1">TODAY()-qry_ProdData2_PDI_Cash_Exception_Application[[#This Row],[INSERT DATE]]</f>
        <v>13.742928240739275</v>
      </c>
      <c r="K5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28">
        <f ca="1">qry_ProdData2_PDI_Cash_Exception_Application[[#This Row],[TODAY]]-qry_ProdData2_PDI_Cash_Exception_Application[[#This Row],[CHANGED ON]]</f>
        <v>11.742928240739275</v>
      </c>
      <c r="M528">
        <f ca="1">qry_ProdData2_PDI_Cash_Exception_Application[[#This Row],[TODAY]]-qry_ProdData2_PDI_Cash_Exception_Application[[#This Row],[CHANGED ON]]</f>
        <v>11.742928240739275</v>
      </c>
      <c r="N528">
        <f ca="1">qry_ProdData2_PDI_Cash_Exception_Application[[#This Row],[TODAY]]-qry_ProdData2_PDI_Cash_Exception_Application[[#This Row],[CHANGED ON]]</f>
        <v>11.742928240739275</v>
      </c>
    </row>
    <row r="529" spans="1:14" x14ac:dyDescent="0.35">
      <c r="A529">
        <v>1014</v>
      </c>
      <c r="B529" t="s">
        <v>68</v>
      </c>
      <c r="C529" s="1">
        <v>45190.257071759261</v>
      </c>
      <c r="D529" t="str">
        <f ca="1">VLOOKUP(qry_ProdData2_PDI_Cash_Exception_Application[[#This Row],[TYPE]],#REF!,2,FALSE)</f>
        <v>type40</v>
      </c>
      <c r="E529">
        <v>6227.94</v>
      </c>
      <c r="F529" t="s">
        <v>51</v>
      </c>
      <c r="G529" s="1">
        <f>qry_ProdData2_PDI_Cash_Exception_Application[[#This Row],[INSERT DATE]]+1</f>
        <v>45191.257071759261</v>
      </c>
      <c r="H529" t="str">
        <f>VLOOKUP(qry_ProdData2_PDI_Cash_Exception_Application[[#This Row],[MARKET No]],'Site Allocation'!$B$2:$C$37,2,FALSE)</f>
        <v>Analyst3</v>
      </c>
      <c r="I529" s="4">
        <f t="shared" ca="1" si="8"/>
        <v>45203</v>
      </c>
      <c r="J529" s="42">
        <f ca="1">TODAY()-qry_ProdData2_PDI_Cash_Exception_Application[[#This Row],[INSERT DATE]]</f>
        <v>12.742928240739275</v>
      </c>
      <c r="K5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29">
        <f ca="1">qry_ProdData2_PDI_Cash_Exception_Application[[#This Row],[TODAY]]-qry_ProdData2_PDI_Cash_Exception_Application[[#This Row],[CHANGED ON]]</f>
        <v>11.742928240739275</v>
      </c>
      <c r="M529">
        <f ca="1">qry_ProdData2_PDI_Cash_Exception_Application[[#This Row],[TODAY]]-qry_ProdData2_PDI_Cash_Exception_Application[[#This Row],[CHANGED ON]]</f>
        <v>11.742928240739275</v>
      </c>
      <c r="N529">
        <f ca="1">qry_ProdData2_PDI_Cash_Exception_Application[[#This Row],[TODAY]]-qry_ProdData2_PDI_Cash_Exception_Application[[#This Row],[CHANGED ON]]</f>
        <v>11.742928240739275</v>
      </c>
    </row>
    <row r="530" spans="1:14" x14ac:dyDescent="0.35">
      <c r="A530">
        <v>1026</v>
      </c>
      <c r="B530" t="s">
        <v>80</v>
      </c>
      <c r="C530" s="1">
        <v>45185.257071759261</v>
      </c>
      <c r="D530" t="str">
        <f ca="1">VLOOKUP(qry_ProdData2_PDI_Cash_Exception_Application[[#This Row],[TYPE]],#REF!,2,FALSE)</f>
        <v>type40</v>
      </c>
      <c r="E530">
        <v>-646.08000000000004</v>
      </c>
      <c r="F530" t="s">
        <v>48</v>
      </c>
      <c r="G530" s="1">
        <f>qry_ProdData2_PDI_Cash_Exception_Application[[#This Row],[INSERT DATE]]+2</f>
        <v>45187.257071759261</v>
      </c>
      <c r="H530" t="str">
        <f>VLOOKUP(qry_ProdData2_PDI_Cash_Exception_Application[[#This Row],[MARKET No]],'Site Allocation'!$B$2:$C$37,2,FALSE)</f>
        <v>Analyst5</v>
      </c>
      <c r="I530" s="4">
        <f t="shared" ca="1" si="8"/>
        <v>45203</v>
      </c>
      <c r="J530" s="42">
        <f ca="1">TODAY()-qry_ProdData2_PDI_Cash_Exception_Application[[#This Row],[INSERT DATE]]</f>
        <v>17.742928240739275</v>
      </c>
      <c r="K5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30">
        <f ca="1">qry_ProdData2_PDI_Cash_Exception_Application[[#This Row],[TODAY]]-qry_ProdData2_PDI_Cash_Exception_Application[[#This Row],[CHANGED ON]]</f>
        <v>15.742928240739275</v>
      </c>
      <c r="M530">
        <f ca="1">qry_ProdData2_PDI_Cash_Exception_Application[[#This Row],[TODAY]]-qry_ProdData2_PDI_Cash_Exception_Application[[#This Row],[CHANGED ON]]</f>
        <v>15.742928240739275</v>
      </c>
      <c r="N530">
        <f ca="1">qry_ProdData2_PDI_Cash_Exception_Application[[#This Row],[TODAY]]-qry_ProdData2_PDI_Cash_Exception_Application[[#This Row],[CHANGED ON]]</f>
        <v>15.742928240739275</v>
      </c>
    </row>
    <row r="531" spans="1:14" x14ac:dyDescent="0.35">
      <c r="A531">
        <v>1004</v>
      </c>
      <c r="B531" t="s">
        <v>58</v>
      </c>
      <c r="C531" s="1">
        <v>45189.257071759261</v>
      </c>
      <c r="D531" t="str">
        <f ca="1">VLOOKUP(qry_ProdData2_PDI_Cash_Exception_Application[[#This Row],[TYPE]],#REF!,2,FALSE)</f>
        <v>type40</v>
      </c>
      <c r="E531">
        <v>-405.41</v>
      </c>
      <c r="F531" t="s">
        <v>47</v>
      </c>
      <c r="G531" s="1">
        <f>qry_ProdData2_PDI_Cash_Exception_Application[[#This Row],[INSERT DATE]]+2</f>
        <v>45191.257071759261</v>
      </c>
      <c r="H531" t="str">
        <f>VLOOKUP(qry_ProdData2_PDI_Cash_Exception_Application[[#This Row],[MARKET No]],'Site Allocation'!$B$2:$C$37,2,FALSE)</f>
        <v>Analyst1</v>
      </c>
      <c r="I531" s="4">
        <f t="shared" ca="1" si="8"/>
        <v>45203</v>
      </c>
      <c r="J531" s="42">
        <f ca="1">TODAY()-qry_ProdData2_PDI_Cash_Exception_Application[[#This Row],[INSERT DATE]]</f>
        <v>13.742928240739275</v>
      </c>
      <c r="K5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31">
        <f ca="1">qry_ProdData2_PDI_Cash_Exception_Application[[#This Row],[TODAY]]-qry_ProdData2_PDI_Cash_Exception_Application[[#This Row],[CHANGED ON]]</f>
        <v>11.742928240739275</v>
      </c>
      <c r="M531">
        <f ca="1">qry_ProdData2_PDI_Cash_Exception_Application[[#This Row],[TODAY]]-qry_ProdData2_PDI_Cash_Exception_Application[[#This Row],[CHANGED ON]]</f>
        <v>11.742928240739275</v>
      </c>
      <c r="N531">
        <f ca="1">qry_ProdData2_PDI_Cash_Exception_Application[[#This Row],[TODAY]]-qry_ProdData2_PDI_Cash_Exception_Application[[#This Row],[CHANGED ON]]</f>
        <v>11.742928240739275</v>
      </c>
    </row>
    <row r="532" spans="1:14" x14ac:dyDescent="0.35">
      <c r="A532">
        <v>1030</v>
      </c>
      <c r="B532" t="s">
        <v>84</v>
      </c>
      <c r="C532" s="1">
        <v>45190.257071759261</v>
      </c>
      <c r="D532" t="str">
        <f ca="1">VLOOKUP(qry_ProdData2_PDI_Cash_Exception_Application[[#This Row],[TYPE]],#REF!,2,FALSE)</f>
        <v>type29</v>
      </c>
      <c r="E532">
        <v>371.7</v>
      </c>
      <c r="F532" t="s">
        <v>52</v>
      </c>
      <c r="G532" s="1">
        <f>qry_ProdData2_PDI_Cash_Exception_Application[[#This Row],[INSERT DATE]]+5</f>
        <v>45195.257071759261</v>
      </c>
      <c r="H532" t="str">
        <f>VLOOKUP(qry_ProdData2_PDI_Cash_Exception_Application[[#This Row],[MARKET No]],'Site Allocation'!$B$2:$C$37,2,FALSE)</f>
        <v>Analyst6</v>
      </c>
      <c r="I532" s="4">
        <f t="shared" ca="1" si="8"/>
        <v>45203</v>
      </c>
      <c r="J532" s="42">
        <f ca="1">TODAY()-qry_ProdData2_PDI_Cash_Exception_Application[[#This Row],[INSERT DATE]]</f>
        <v>12.742928240739275</v>
      </c>
      <c r="K5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32">
        <f ca="1">qry_ProdData2_PDI_Cash_Exception_Application[[#This Row],[TODAY]]-qry_ProdData2_PDI_Cash_Exception_Application[[#This Row],[CHANGED ON]]</f>
        <v>7.7429282407392748</v>
      </c>
      <c r="M532">
        <f ca="1">qry_ProdData2_PDI_Cash_Exception_Application[[#This Row],[TODAY]]-qry_ProdData2_PDI_Cash_Exception_Application[[#This Row],[CHANGED ON]]</f>
        <v>7.7429282407392748</v>
      </c>
      <c r="N532">
        <f ca="1">qry_ProdData2_PDI_Cash_Exception_Application[[#This Row],[TODAY]]-qry_ProdData2_PDI_Cash_Exception_Application[[#This Row],[CHANGED ON]]</f>
        <v>7.7429282407392748</v>
      </c>
    </row>
    <row r="533" spans="1:14" x14ac:dyDescent="0.35">
      <c r="A533">
        <v>1008</v>
      </c>
      <c r="B533" t="s">
        <v>62</v>
      </c>
      <c r="C533" s="1">
        <v>45192.257071759261</v>
      </c>
      <c r="D533" t="str">
        <f ca="1">VLOOKUP(qry_ProdData2_PDI_Cash_Exception_Application[[#This Row],[TYPE]],#REF!,2,FALSE)</f>
        <v>type40</v>
      </c>
      <c r="E533">
        <v>-2030.88</v>
      </c>
      <c r="F533" t="s">
        <v>47</v>
      </c>
      <c r="G533" s="1">
        <f>qry_ProdData2_PDI_Cash_Exception_Application[[#This Row],[INSERT DATE]]+2</f>
        <v>45194.257071759261</v>
      </c>
      <c r="H533" t="str">
        <f>VLOOKUP(qry_ProdData2_PDI_Cash_Exception_Application[[#This Row],[MARKET No]],'Site Allocation'!$B$2:$C$37,2,FALSE)</f>
        <v>Analyst2</v>
      </c>
      <c r="I533" s="4">
        <f t="shared" ca="1" si="8"/>
        <v>45203</v>
      </c>
      <c r="J533" s="42">
        <f ca="1">TODAY()-qry_ProdData2_PDI_Cash_Exception_Application[[#This Row],[INSERT DATE]]</f>
        <v>10.742928240739275</v>
      </c>
      <c r="K5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33">
        <f ca="1">qry_ProdData2_PDI_Cash_Exception_Application[[#This Row],[TODAY]]-qry_ProdData2_PDI_Cash_Exception_Application[[#This Row],[CHANGED ON]]</f>
        <v>8.7429282407392748</v>
      </c>
      <c r="M533">
        <f ca="1">qry_ProdData2_PDI_Cash_Exception_Application[[#This Row],[TODAY]]-qry_ProdData2_PDI_Cash_Exception_Application[[#This Row],[CHANGED ON]]</f>
        <v>8.7429282407392748</v>
      </c>
      <c r="N533">
        <f ca="1">qry_ProdData2_PDI_Cash_Exception_Application[[#This Row],[TODAY]]-qry_ProdData2_PDI_Cash_Exception_Application[[#This Row],[CHANGED ON]]</f>
        <v>8.7429282407392748</v>
      </c>
    </row>
    <row r="534" spans="1:14" x14ac:dyDescent="0.35">
      <c r="A534">
        <v>1009</v>
      </c>
      <c r="B534" t="s">
        <v>63</v>
      </c>
      <c r="C534" s="1">
        <v>45191.257071759261</v>
      </c>
      <c r="D534" t="str">
        <f ca="1">VLOOKUP(qry_ProdData2_PDI_Cash_Exception_Application[[#This Row],[TYPE]],#REF!,2,FALSE)</f>
        <v>type13</v>
      </c>
      <c r="E534">
        <v>27078.78</v>
      </c>
      <c r="F534" t="s">
        <v>51</v>
      </c>
      <c r="G534" s="1">
        <f>qry_ProdData2_PDI_Cash_Exception_Application[[#This Row],[INSERT DATE]]+2</f>
        <v>45193.257071759261</v>
      </c>
      <c r="H534" t="str">
        <f>VLOOKUP(qry_ProdData2_PDI_Cash_Exception_Application[[#This Row],[MARKET No]],'Site Allocation'!$B$2:$C$37,2,FALSE)</f>
        <v>Analyst2</v>
      </c>
      <c r="I534" s="4">
        <f t="shared" ca="1" si="8"/>
        <v>45203</v>
      </c>
      <c r="J534" s="42">
        <f ca="1">TODAY()-qry_ProdData2_PDI_Cash_Exception_Application[[#This Row],[INSERT DATE]]</f>
        <v>11.742928240739275</v>
      </c>
      <c r="K5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34">
        <f ca="1">qry_ProdData2_PDI_Cash_Exception_Application[[#This Row],[TODAY]]-qry_ProdData2_PDI_Cash_Exception_Application[[#This Row],[CHANGED ON]]</f>
        <v>9.7429282407392748</v>
      </c>
      <c r="M534">
        <f ca="1">qry_ProdData2_PDI_Cash_Exception_Application[[#This Row],[TODAY]]-qry_ProdData2_PDI_Cash_Exception_Application[[#This Row],[CHANGED ON]]</f>
        <v>9.7429282407392748</v>
      </c>
      <c r="N534">
        <f ca="1">qry_ProdData2_PDI_Cash_Exception_Application[[#This Row],[TODAY]]-qry_ProdData2_PDI_Cash_Exception_Application[[#This Row],[CHANGED ON]]</f>
        <v>9.7429282407392748</v>
      </c>
    </row>
    <row r="535" spans="1:14" x14ac:dyDescent="0.35">
      <c r="A535">
        <v>1023</v>
      </c>
      <c r="B535" t="s">
        <v>77</v>
      </c>
      <c r="C535" s="1">
        <v>45182.257071759261</v>
      </c>
      <c r="D535" t="str">
        <f ca="1">VLOOKUP(qry_ProdData2_PDI_Cash_Exception_Application[[#This Row],[TYPE]],#REF!,2,FALSE)</f>
        <v>type40</v>
      </c>
      <c r="E535">
        <v>-5531.2</v>
      </c>
      <c r="F535" t="s">
        <v>51</v>
      </c>
      <c r="G535" s="1">
        <f>qry_ProdData2_PDI_Cash_Exception_Application[[#This Row],[INSERT DATE]]+5</f>
        <v>45187.257071759261</v>
      </c>
      <c r="H535" t="str">
        <f>VLOOKUP(qry_ProdData2_PDI_Cash_Exception_Application[[#This Row],[MARKET No]],'Site Allocation'!$B$2:$C$37,2,FALSE)</f>
        <v>Analyst4</v>
      </c>
      <c r="I535" s="4">
        <f t="shared" ca="1" si="8"/>
        <v>45203</v>
      </c>
      <c r="J535" s="42">
        <f ca="1">TODAY()-qry_ProdData2_PDI_Cash_Exception_Application[[#This Row],[INSERT DATE]]</f>
        <v>20.742928240739275</v>
      </c>
      <c r="K5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35">
        <f ca="1">qry_ProdData2_PDI_Cash_Exception_Application[[#This Row],[TODAY]]-qry_ProdData2_PDI_Cash_Exception_Application[[#This Row],[CHANGED ON]]</f>
        <v>15.742928240739275</v>
      </c>
      <c r="M535">
        <f ca="1">qry_ProdData2_PDI_Cash_Exception_Application[[#This Row],[TODAY]]-qry_ProdData2_PDI_Cash_Exception_Application[[#This Row],[CHANGED ON]]</f>
        <v>15.742928240739275</v>
      </c>
      <c r="N535">
        <f ca="1">qry_ProdData2_PDI_Cash_Exception_Application[[#This Row],[TODAY]]-qry_ProdData2_PDI_Cash_Exception_Application[[#This Row],[CHANGED ON]]</f>
        <v>15.742928240739275</v>
      </c>
    </row>
    <row r="536" spans="1:14" x14ac:dyDescent="0.35">
      <c r="A536">
        <v>1011</v>
      </c>
      <c r="B536" t="s">
        <v>65</v>
      </c>
      <c r="C536" s="1">
        <v>45183.257071759261</v>
      </c>
      <c r="D536" t="str">
        <f ca="1">VLOOKUP(qry_ProdData2_PDI_Cash_Exception_Application[[#This Row],[TYPE]],#REF!,2,FALSE)</f>
        <v>type24</v>
      </c>
      <c r="E536">
        <v>210.61</v>
      </c>
      <c r="F536" t="s">
        <v>51</v>
      </c>
      <c r="G536" s="1">
        <f>qry_ProdData2_PDI_Cash_Exception_Application[[#This Row],[INSERT DATE]]+5</f>
        <v>45188.257071759261</v>
      </c>
      <c r="H536" t="str">
        <f>VLOOKUP(qry_ProdData2_PDI_Cash_Exception_Application[[#This Row],[MARKET No]],'Site Allocation'!$B$2:$C$37,2,FALSE)</f>
        <v>Analyst2</v>
      </c>
      <c r="I536" s="4">
        <f t="shared" ca="1" si="8"/>
        <v>45203</v>
      </c>
      <c r="J536" s="42">
        <f ca="1">TODAY()-qry_ProdData2_PDI_Cash_Exception_Application[[#This Row],[INSERT DATE]]</f>
        <v>19.742928240739275</v>
      </c>
      <c r="K5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36">
        <f ca="1">qry_ProdData2_PDI_Cash_Exception_Application[[#This Row],[TODAY]]-qry_ProdData2_PDI_Cash_Exception_Application[[#This Row],[CHANGED ON]]</f>
        <v>14.742928240739275</v>
      </c>
      <c r="M536">
        <f ca="1">qry_ProdData2_PDI_Cash_Exception_Application[[#This Row],[TODAY]]-qry_ProdData2_PDI_Cash_Exception_Application[[#This Row],[CHANGED ON]]</f>
        <v>14.742928240739275</v>
      </c>
      <c r="N536">
        <f ca="1">qry_ProdData2_PDI_Cash_Exception_Application[[#This Row],[TODAY]]-qry_ProdData2_PDI_Cash_Exception_Application[[#This Row],[CHANGED ON]]</f>
        <v>14.742928240739275</v>
      </c>
    </row>
    <row r="537" spans="1:14" x14ac:dyDescent="0.35">
      <c r="A537">
        <v>1018</v>
      </c>
      <c r="B537" t="s">
        <v>72</v>
      </c>
      <c r="C537" s="1">
        <v>45188.257071759261</v>
      </c>
      <c r="D537" t="str">
        <f ca="1">VLOOKUP(qry_ProdData2_PDI_Cash_Exception_Application[[#This Row],[TYPE]],#REF!,2,FALSE)</f>
        <v>type35</v>
      </c>
      <c r="E537">
        <v>542.47</v>
      </c>
      <c r="F537" t="s">
        <v>48</v>
      </c>
      <c r="G537" s="1">
        <f>qry_ProdData2_PDI_Cash_Exception_Application[[#This Row],[INSERT DATE]]+2</f>
        <v>45190.257071759261</v>
      </c>
      <c r="H537" t="str">
        <f>VLOOKUP(qry_ProdData2_PDI_Cash_Exception_Application[[#This Row],[MARKET No]],'Site Allocation'!$B$2:$C$37,2,FALSE)</f>
        <v>Analyst4</v>
      </c>
      <c r="I537" s="4">
        <f t="shared" ca="1" si="8"/>
        <v>45203</v>
      </c>
      <c r="J537" s="42">
        <f ca="1">TODAY()-qry_ProdData2_PDI_Cash_Exception_Application[[#This Row],[INSERT DATE]]</f>
        <v>14.742928240739275</v>
      </c>
      <c r="K5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37">
        <f ca="1">qry_ProdData2_PDI_Cash_Exception_Application[[#This Row],[TODAY]]-qry_ProdData2_PDI_Cash_Exception_Application[[#This Row],[CHANGED ON]]</f>
        <v>12.742928240739275</v>
      </c>
      <c r="M537">
        <f ca="1">qry_ProdData2_PDI_Cash_Exception_Application[[#This Row],[TODAY]]-qry_ProdData2_PDI_Cash_Exception_Application[[#This Row],[CHANGED ON]]</f>
        <v>12.742928240739275</v>
      </c>
      <c r="N537">
        <f ca="1">qry_ProdData2_PDI_Cash_Exception_Application[[#This Row],[TODAY]]-qry_ProdData2_PDI_Cash_Exception_Application[[#This Row],[CHANGED ON]]</f>
        <v>12.742928240739275</v>
      </c>
    </row>
    <row r="538" spans="1:14" x14ac:dyDescent="0.35">
      <c r="A538">
        <v>1001</v>
      </c>
      <c r="B538" t="s">
        <v>55</v>
      </c>
      <c r="C538" s="1">
        <v>45190.257071759261</v>
      </c>
      <c r="D538" t="str">
        <f ca="1">VLOOKUP(qry_ProdData2_PDI_Cash_Exception_Application[[#This Row],[TYPE]],#REF!,2,FALSE)</f>
        <v>type13</v>
      </c>
      <c r="E538">
        <v>27884.07</v>
      </c>
      <c r="F538" t="s">
        <v>49</v>
      </c>
      <c r="G538" s="1">
        <f>qry_ProdData2_PDI_Cash_Exception_Application[[#This Row],[INSERT DATE]]+2</f>
        <v>45192.257071759261</v>
      </c>
      <c r="H538" t="str">
        <f>VLOOKUP(qry_ProdData2_PDI_Cash_Exception_Application[[#This Row],[MARKET No]],'Site Allocation'!$B$2:$C$37,2,FALSE)</f>
        <v>Analyst1</v>
      </c>
      <c r="I538" s="4">
        <f t="shared" ca="1" si="8"/>
        <v>45203</v>
      </c>
      <c r="J538" s="42">
        <f ca="1">TODAY()-qry_ProdData2_PDI_Cash_Exception_Application[[#This Row],[INSERT DATE]]</f>
        <v>12.742928240739275</v>
      </c>
      <c r="K5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38">
        <f ca="1">qry_ProdData2_PDI_Cash_Exception_Application[[#This Row],[TODAY]]-qry_ProdData2_PDI_Cash_Exception_Application[[#This Row],[CHANGED ON]]</f>
        <v>10.742928240739275</v>
      </c>
      <c r="M538">
        <f ca="1">qry_ProdData2_PDI_Cash_Exception_Application[[#This Row],[TODAY]]-qry_ProdData2_PDI_Cash_Exception_Application[[#This Row],[CHANGED ON]]</f>
        <v>10.742928240739275</v>
      </c>
      <c r="N538">
        <f ca="1">qry_ProdData2_PDI_Cash_Exception_Application[[#This Row],[TODAY]]-qry_ProdData2_PDI_Cash_Exception_Application[[#This Row],[CHANGED ON]]</f>
        <v>10.742928240739275</v>
      </c>
    </row>
    <row r="539" spans="1:14" x14ac:dyDescent="0.35">
      <c r="A539">
        <v>1018</v>
      </c>
      <c r="B539" t="s">
        <v>72</v>
      </c>
      <c r="C539" s="1">
        <v>45185.257071759261</v>
      </c>
      <c r="D539" t="str">
        <f ca="1">VLOOKUP(qry_ProdData2_PDI_Cash_Exception_Application[[#This Row],[TYPE]],#REF!,2,FALSE)</f>
        <v>type11</v>
      </c>
      <c r="E539">
        <v>100</v>
      </c>
      <c r="F539" t="s">
        <v>48</v>
      </c>
      <c r="G539" s="1">
        <f>qry_ProdData2_PDI_Cash_Exception_Application[[#This Row],[INSERT DATE]]+5</f>
        <v>45190.257071759261</v>
      </c>
      <c r="H539" t="str">
        <f>VLOOKUP(qry_ProdData2_PDI_Cash_Exception_Application[[#This Row],[MARKET No]],'Site Allocation'!$B$2:$C$37,2,FALSE)</f>
        <v>Analyst4</v>
      </c>
      <c r="I539" s="4">
        <f t="shared" ca="1" si="8"/>
        <v>45203</v>
      </c>
      <c r="J539" s="42">
        <f ca="1">TODAY()-qry_ProdData2_PDI_Cash_Exception_Application[[#This Row],[INSERT DATE]]</f>
        <v>17.742928240739275</v>
      </c>
      <c r="K5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39">
        <f ca="1">qry_ProdData2_PDI_Cash_Exception_Application[[#This Row],[TODAY]]-qry_ProdData2_PDI_Cash_Exception_Application[[#This Row],[CHANGED ON]]</f>
        <v>12.742928240739275</v>
      </c>
      <c r="M539">
        <f ca="1">qry_ProdData2_PDI_Cash_Exception_Application[[#This Row],[TODAY]]-qry_ProdData2_PDI_Cash_Exception_Application[[#This Row],[CHANGED ON]]</f>
        <v>12.742928240739275</v>
      </c>
      <c r="N539">
        <f ca="1">qry_ProdData2_PDI_Cash_Exception_Application[[#This Row],[TODAY]]-qry_ProdData2_PDI_Cash_Exception_Application[[#This Row],[CHANGED ON]]</f>
        <v>12.742928240739275</v>
      </c>
    </row>
    <row r="540" spans="1:14" x14ac:dyDescent="0.35">
      <c r="A540">
        <v>1029</v>
      </c>
      <c r="B540" t="s">
        <v>83</v>
      </c>
      <c r="C540" s="1">
        <v>45187.257071759261</v>
      </c>
      <c r="D540" t="str">
        <f ca="1">VLOOKUP(qry_ProdData2_PDI_Cash_Exception_Application[[#This Row],[TYPE]],#REF!,2,FALSE)</f>
        <v>type40</v>
      </c>
      <c r="E540">
        <v>6086.7</v>
      </c>
      <c r="F540" t="s">
        <v>48</v>
      </c>
      <c r="G540" s="1">
        <f>qry_ProdData2_PDI_Cash_Exception_Application[[#This Row],[INSERT DATE]]+7</f>
        <v>45194.257071759261</v>
      </c>
      <c r="H540" t="str">
        <f>VLOOKUP(qry_ProdData2_PDI_Cash_Exception_Application[[#This Row],[MARKET No]],'Site Allocation'!$B$2:$C$37,2,FALSE)</f>
        <v>Analyst5</v>
      </c>
      <c r="I540" s="4">
        <f t="shared" ca="1" si="8"/>
        <v>45203</v>
      </c>
      <c r="J540" s="42">
        <f ca="1">TODAY()-qry_ProdData2_PDI_Cash_Exception_Application[[#This Row],[INSERT DATE]]</f>
        <v>15.742928240739275</v>
      </c>
      <c r="K5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40">
        <f ca="1">qry_ProdData2_PDI_Cash_Exception_Application[[#This Row],[TODAY]]-qry_ProdData2_PDI_Cash_Exception_Application[[#This Row],[CHANGED ON]]</f>
        <v>8.7429282407392748</v>
      </c>
      <c r="M540">
        <f ca="1">qry_ProdData2_PDI_Cash_Exception_Application[[#This Row],[TODAY]]-qry_ProdData2_PDI_Cash_Exception_Application[[#This Row],[CHANGED ON]]</f>
        <v>8.7429282407392748</v>
      </c>
      <c r="N540">
        <f ca="1">qry_ProdData2_PDI_Cash_Exception_Application[[#This Row],[TODAY]]-qry_ProdData2_PDI_Cash_Exception_Application[[#This Row],[CHANGED ON]]</f>
        <v>8.7429282407392748</v>
      </c>
    </row>
    <row r="541" spans="1:14" x14ac:dyDescent="0.35">
      <c r="A541">
        <v>1014</v>
      </c>
      <c r="B541" t="s">
        <v>68</v>
      </c>
      <c r="C541" s="1">
        <v>45189.257071759261</v>
      </c>
      <c r="D541" t="str">
        <f ca="1">VLOOKUP(qry_ProdData2_PDI_Cash_Exception_Application[[#This Row],[TYPE]],#REF!,2,FALSE)</f>
        <v>type42</v>
      </c>
      <c r="E541">
        <v>635.25</v>
      </c>
      <c r="F541" t="s">
        <v>48</v>
      </c>
      <c r="G541" s="1">
        <f>qry_ProdData2_PDI_Cash_Exception_Application[[#This Row],[INSERT DATE]]+7</f>
        <v>45196.257071759261</v>
      </c>
      <c r="H541" t="str">
        <f>VLOOKUP(qry_ProdData2_PDI_Cash_Exception_Application[[#This Row],[MARKET No]],'Site Allocation'!$B$2:$C$37,2,FALSE)</f>
        <v>Analyst3</v>
      </c>
      <c r="I541" s="4">
        <f t="shared" ca="1" si="8"/>
        <v>45203</v>
      </c>
      <c r="J541" s="42">
        <f ca="1">TODAY()-qry_ProdData2_PDI_Cash_Exception_Application[[#This Row],[INSERT DATE]]</f>
        <v>13.742928240739275</v>
      </c>
      <c r="K5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41">
        <f ca="1">qry_ProdData2_PDI_Cash_Exception_Application[[#This Row],[TODAY]]-qry_ProdData2_PDI_Cash_Exception_Application[[#This Row],[CHANGED ON]]</f>
        <v>6.7429282407392748</v>
      </c>
      <c r="M541">
        <f ca="1">qry_ProdData2_PDI_Cash_Exception_Application[[#This Row],[TODAY]]-qry_ProdData2_PDI_Cash_Exception_Application[[#This Row],[CHANGED ON]]</f>
        <v>6.7429282407392748</v>
      </c>
      <c r="N541">
        <f ca="1">qry_ProdData2_PDI_Cash_Exception_Application[[#This Row],[TODAY]]-qry_ProdData2_PDI_Cash_Exception_Application[[#This Row],[CHANGED ON]]</f>
        <v>6.7429282407392748</v>
      </c>
    </row>
    <row r="542" spans="1:14" x14ac:dyDescent="0.35">
      <c r="A542">
        <v>1008</v>
      </c>
      <c r="B542" t="s">
        <v>62</v>
      </c>
      <c r="C542" s="1">
        <v>45181.257071759261</v>
      </c>
      <c r="D542" t="str">
        <f ca="1">VLOOKUP(qry_ProdData2_PDI_Cash_Exception_Application[[#This Row],[TYPE]],#REF!,2,FALSE)</f>
        <v>type20</v>
      </c>
      <c r="E542">
        <v>141.5</v>
      </c>
      <c r="F542" t="s">
        <v>52</v>
      </c>
      <c r="G542" s="1">
        <f>qry_ProdData2_PDI_Cash_Exception_Application[[#This Row],[INSERT DATE]]+7</f>
        <v>45188.257071759261</v>
      </c>
      <c r="H542" t="str">
        <f>VLOOKUP(qry_ProdData2_PDI_Cash_Exception_Application[[#This Row],[MARKET No]],'Site Allocation'!$B$2:$C$37,2,FALSE)</f>
        <v>Analyst2</v>
      </c>
      <c r="I542" s="4">
        <f t="shared" ca="1" si="8"/>
        <v>45203</v>
      </c>
      <c r="J542" s="42">
        <f ca="1">TODAY()-qry_ProdData2_PDI_Cash_Exception_Application[[#This Row],[INSERT DATE]]</f>
        <v>21.742928240739275</v>
      </c>
      <c r="K5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42">
        <f ca="1">qry_ProdData2_PDI_Cash_Exception_Application[[#This Row],[TODAY]]-qry_ProdData2_PDI_Cash_Exception_Application[[#This Row],[CHANGED ON]]</f>
        <v>14.742928240739275</v>
      </c>
      <c r="M542">
        <f ca="1">qry_ProdData2_PDI_Cash_Exception_Application[[#This Row],[TODAY]]-qry_ProdData2_PDI_Cash_Exception_Application[[#This Row],[CHANGED ON]]</f>
        <v>14.742928240739275</v>
      </c>
      <c r="N542">
        <f ca="1">qry_ProdData2_PDI_Cash_Exception_Application[[#This Row],[TODAY]]-qry_ProdData2_PDI_Cash_Exception_Application[[#This Row],[CHANGED ON]]</f>
        <v>14.742928240739275</v>
      </c>
    </row>
    <row r="543" spans="1:14" x14ac:dyDescent="0.35">
      <c r="A543">
        <v>1010</v>
      </c>
      <c r="B543" t="s">
        <v>64</v>
      </c>
      <c r="C543" s="1">
        <v>45192.257071759261</v>
      </c>
      <c r="D543" t="str">
        <f ca="1">VLOOKUP(qry_ProdData2_PDI_Cash_Exception_Application[[#This Row],[TYPE]],#REF!,2,FALSE)</f>
        <v>type42</v>
      </c>
      <c r="E543">
        <v>519</v>
      </c>
      <c r="F543" t="s">
        <v>48</v>
      </c>
      <c r="G543" s="1">
        <f>qry_ProdData2_PDI_Cash_Exception_Application[[#This Row],[INSERT DATE]]+7</f>
        <v>45199.257071759261</v>
      </c>
      <c r="H543" t="str">
        <f>VLOOKUP(qry_ProdData2_PDI_Cash_Exception_Application[[#This Row],[MARKET No]],'Site Allocation'!$B$2:$C$37,2,FALSE)</f>
        <v>Analyst2</v>
      </c>
      <c r="I543" s="4">
        <f t="shared" ca="1" si="8"/>
        <v>45203</v>
      </c>
      <c r="J543" s="42">
        <f ca="1">TODAY()-qry_ProdData2_PDI_Cash_Exception_Application[[#This Row],[INSERT DATE]]</f>
        <v>10.742928240739275</v>
      </c>
      <c r="K5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43">
        <f ca="1">qry_ProdData2_PDI_Cash_Exception_Application[[#This Row],[TODAY]]-qry_ProdData2_PDI_Cash_Exception_Application[[#This Row],[CHANGED ON]]</f>
        <v>3.7429282407392748</v>
      </c>
      <c r="M543">
        <f ca="1">qry_ProdData2_PDI_Cash_Exception_Application[[#This Row],[TODAY]]-qry_ProdData2_PDI_Cash_Exception_Application[[#This Row],[CHANGED ON]]</f>
        <v>3.7429282407392748</v>
      </c>
      <c r="N543">
        <f ca="1">qry_ProdData2_PDI_Cash_Exception_Application[[#This Row],[TODAY]]-qry_ProdData2_PDI_Cash_Exception_Application[[#This Row],[CHANGED ON]]</f>
        <v>3.7429282407392748</v>
      </c>
    </row>
    <row r="544" spans="1:14" x14ac:dyDescent="0.35">
      <c r="A544">
        <v>1011</v>
      </c>
      <c r="B544" t="s">
        <v>65</v>
      </c>
      <c r="C544" s="1">
        <v>45182.257071759261</v>
      </c>
      <c r="D544" t="str">
        <f ca="1">VLOOKUP(qry_ProdData2_PDI_Cash_Exception_Application[[#This Row],[TYPE]],#REF!,2,FALSE)</f>
        <v>type26</v>
      </c>
      <c r="E544">
        <v>8285.0400000000009</v>
      </c>
      <c r="F544" t="s">
        <v>50</v>
      </c>
      <c r="G544" s="1">
        <f>qry_ProdData2_PDI_Cash_Exception_Application[[#This Row],[INSERT DATE]]+7</f>
        <v>45189.257071759261</v>
      </c>
      <c r="H544" t="str">
        <f>VLOOKUP(qry_ProdData2_PDI_Cash_Exception_Application[[#This Row],[MARKET No]],'Site Allocation'!$B$2:$C$37,2,FALSE)</f>
        <v>Analyst2</v>
      </c>
      <c r="I544" s="4">
        <f t="shared" ca="1" si="8"/>
        <v>45203</v>
      </c>
      <c r="J544" s="42">
        <f ca="1">TODAY()-qry_ProdData2_PDI_Cash_Exception_Application[[#This Row],[INSERT DATE]]</f>
        <v>20.742928240739275</v>
      </c>
      <c r="K5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44">
        <f ca="1">qry_ProdData2_PDI_Cash_Exception_Application[[#This Row],[TODAY]]-qry_ProdData2_PDI_Cash_Exception_Application[[#This Row],[CHANGED ON]]</f>
        <v>13.742928240739275</v>
      </c>
      <c r="M544">
        <f ca="1">qry_ProdData2_PDI_Cash_Exception_Application[[#This Row],[TODAY]]-qry_ProdData2_PDI_Cash_Exception_Application[[#This Row],[CHANGED ON]]</f>
        <v>13.742928240739275</v>
      </c>
      <c r="N544">
        <f ca="1">qry_ProdData2_PDI_Cash_Exception_Application[[#This Row],[TODAY]]-qry_ProdData2_PDI_Cash_Exception_Application[[#This Row],[CHANGED ON]]</f>
        <v>13.742928240739275</v>
      </c>
    </row>
    <row r="545" spans="1:14" x14ac:dyDescent="0.35">
      <c r="A545">
        <v>1024</v>
      </c>
      <c r="B545" t="s">
        <v>78</v>
      </c>
      <c r="C545" s="1">
        <v>45183.257071759261</v>
      </c>
      <c r="D545" t="str">
        <f ca="1">VLOOKUP(qry_ProdData2_PDI_Cash_Exception_Application[[#This Row],[TYPE]],#REF!,2,FALSE)</f>
        <v>type33</v>
      </c>
      <c r="E545">
        <v>513.85</v>
      </c>
      <c r="F545" t="s">
        <v>50</v>
      </c>
      <c r="G545" s="1">
        <f>qry_ProdData2_PDI_Cash_Exception_Application[[#This Row],[INSERT DATE]]+7</f>
        <v>45190.257071759261</v>
      </c>
      <c r="H545" t="str">
        <f>VLOOKUP(qry_ProdData2_PDI_Cash_Exception_Application[[#This Row],[MARKET No]],'Site Allocation'!$B$2:$C$37,2,FALSE)</f>
        <v>Analyst5</v>
      </c>
      <c r="I545" s="4">
        <f t="shared" ca="1" si="8"/>
        <v>45203</v>
      </c>
      <c r="J545" s="42">
        <f ca="1">TODAY()-qry_ProdData2_PDI_Cash_Exception_Application[[#This Row],[INSERT DATE]]</f>
        <v>19.742928240739275</v>
      </c>
      <c r="K5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45">
        <f ca="1">qry_ProdData2_PDI_Cash_Exception_Application[[#This Row],[TODAY]]-qry_ProdData2_PDI_Cash_Exception_Application[[#This Row],[CHANGED ON]]</f>
        <v>12.742928240739275</v>
      </c>
      <c r="M545">
        <f ca="1">qry_ProdData2_PDI_Cash_Exception_Application[[#This Row],[TODAY]]-qry_ProdData2_PDI_Cash_Exception_Application[[#This Row],[CHANGED ON]]</f>
        <v>12.742928240739275</v>
      </c>
      <c r="N545">
        <f ca="1">qry_ProdData2_PDI_Cash_Exception_Application[[#This Row],[TODAY]]-qry_ProdData2_PDI_Cash_Exception_Application[[#This Row],[CHANGED ON]]</f>
        <v>12.742928240739275</v>
      </c>
    </row>
    <row r="546" spans="1:14" x14ac:dyDescent="0.35">
      <c r="A546">
        <v>1004</v>
      </c>
      <c r="B546" t="s">
        <v>58</v>
      </c>
      <c r="C546" s="1">
        <v>45183.257071759261</v>
      </c>
      <c r="D546" t="str">
        <f ca="1">VLOOKUP(qry_ProdData2_PDI_Cash_Exception_Application[[#This Row],[TYPE]],#REF!,2,FALSE)</f>
        <v>type17</v>
      </c>
      <c r="E546">
        <v>1403.02</v>
      </c>
      <c r="F546" t="s">
        <v>50</v>
      </c>
      <c r="G546" s="1">
        <f>qry_ProdData2_PDI_Cash_Exception_Application[[#This Row],[INSERT DATE]]+7</f>
        <v>45190.257071759261</v>
      </c>
      <c r="H546" t="str">
        <f>VLOOKUP(qry_ProdData2_PDI_Cash_Exception_Application[[#This Row],[MARKET No]],'Site Allocation'!$B$2:$C$37,2,FALSE)</f>
        <v>Analyst1</v>
      </c>
      <c r="I546" s="4">
        <f t="shared" ca="1" si="8"/>
        <v>45203</v>
      </c>
      <c r="J546" s="42">
        <f ca="1">TODAY()-qry_ProdData2_PDI_Cash_Exception_Application[[#This Row],[INSERT DATE]]</f>
        <v>19.742928240739275</v>
      </c>
      <c r="K5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46">
        <f ca="1">qry_ProdData2_PDI_Cash_Exception_Application[[#This Row],[TODAY]]-qry_ProdData2_PDI_Cash_Exception_Application[[#This Row],[CHANGED ON]]</f>
        <v>12.742928240739275</v>
      </c>
      <c r="M546">
        <f ca="1">qry_ProdData2_PDI_Cash_Exception_Application[[#This Row],[TODAY]]-qry_ProdData2_PDI_Cash_Exception_Application[[#This Row],[CHANGED ON]]</f>
        <v>12.742928240739275</v>
      </c>
      <c r="N546">
        <f ca="1">qry_ProdData2_PDI_Cash_Exception_Application[[#This Row],[TODAY]]-qry_ProdData2_PDI_Cash_Exception_Application[[#This Row],[CHANGED ON]]</f>
        <v>12.742928240739275</v>
      </c>
    </row>
    <row r="547" spans="1:14" x14ac:dyDescent="0.35">
      <c r="A547">
        <v>1029</v>
      </c>
      <c r="B547" t="s">
        <v>83</v>
      </c>
      <c r="C547" s="1">
        <v>45185.257071759261</v>
      </c>
      <c r="D547" t="str">
        <f ca="1">VLOOKUP(qry_ProdData2_PDI_Cash_Exception_Application[[#This Row],[TYPE]],#REF!,2,FALSE)</f>
        <v>type40</v>
      </c>
      <c r="E547">
        <v>503.77</v>
      </c>
      <c r="F547" t="s">
        <v>51</v>
      </c>
      <c r="G547" s="1">
        <f>qry_ProdData2_PDI_Cash_Exception_Application[[#This Row],[INSERT DATE]]+5</f>
        <v>45190.257071759261</v>
      </c>
      <c r="H547" t="str">
        <f>VLOOKUP(qry_ProdData2_PDI_Cash_Exception_Application[[#This Row],[MARKET No]],'Site Allocation'!$B$2:$C$37,2,FALSE)</f>
        <v>Analyst5</v>
      </c>
      <c r="I547" s="4">
        <f t="shared" ca="1" si="8"/>
        <v>45203</v>
      </c>
      <c r="J547" s="42">
        <f ca="1">TODAY()-qry_ProdData2_PDI_Cash_Exception_Application[[#This Row],[INSERT DATE]]</f>
        <v>17.742928240739275</v>
      </c>
      <c r="K5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47">
        <f ca="1">qry_ProdData2_PDI_Cash_Exception_Application[[#This Row],[TODAY]]-qry_ProdData2_PDI_Cash_Exception_Application[[#This Row],[CHANGED ON]]</f>
        <v>12.742928240739275</v>
      </c>
      <c r="M547">
        <f ca="1">qry_ProdData2_PDI_Cash_Exception_Application[[#This Row],[TODAY]]-qry_ProdData2_PDI_Cash_Exception_Application[[#This Row],[CHANGED ON]]</f>
        <v>12.742928240739275</v>
      </c>
      <c r="N547">
        <f ca="1">qry_ProdData2_PDI_Cash_Exception_Application[[#This Row],[TODAY]]-qry_ProdData2_PDI_Cash_Exception_Application[[#This Row],[CHANGED ON]]</f>
        <v>12.742928240739275</v>
      </c>
    </row>
    <row r="548" spans="1:14" x14ac:dyDescent="0.35">
      <c r="A548">
        <v>1022</v>
      </c>
      <c r="B548" t="s">
        <v>76</v>
      </c>
      <c r="C548" s="1">
        <v>45191.257071759261</v>
      </c>
      <c r="D548" t="str">
        <f ca="1">VLOOKUP(qry_ProdData2_PDI_Cash_Exception_Application[[#This Row],[TYPE]],#REF!,2,FALSE)</f>
        <v>type13</v>
      </c>
      <c r="E548">
        <v>32427.96</v>
      </c>
      <c r="F548" t="s">
        <v>49</v>
      </c>
      <c r="G548" s="1">
        <f>qry_ProdData2_PDI_Cash_Exception_Application[[#This Row],[INSERT DATE]]+2</f>
        <v>45193.257071759261</v>
      </c>
      <c r="H548" t="str">
        <f>VLOOKUP(qry_ProdData2_PDI_Cash_Exception_Application[[#This Row],[MARKET No]],'Site Allocation'!$B$2:$C$37,2,FALSE)</f>
        <v>Analyst4</v>
      </c>
      <c r="I548" s="4">
        <f t="shared" ca="1" si="8"/>
        <v>45203</v>
      </c>
      <c r="J548" s="42">
        <f ca="1">TODAY()-qry_ProdData2_PDI_Cash_Exception_Application[[#This Row],[INSERT DATE]]</f>
        <v>11.742928240739275</v>
      </c>
      <c r="K5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48">
        <f ca="1">qry_ProdData2_PDI_Cash_Exception_Application[[#This Row],[TODAY]]-qry_ProdData2_PDI_Cash_Exception_Application[[#This Row],[CHANGED ON]]</f>
        <v>9.7429282407392748</v>
      </c>
      <c r="M548">
        <f ca="1">qry_ProdData2_PDI_Cash_Exception_Application[[#This Row],[TODAY]]-qry_ProdData2_PDI_Cash_Exception_Application[[#This Row],[CHANGED ON]]</f>
        <v>9.7429282407392748</v>
      </c>
      <c r="N548">
        <f ca="1">qry_ProdData2_PDI_Cash_Exception_Application[[#This Row],[TODAY]]-qry_ProdData2_PDI_Cash_Exception_Application[[#This Row],[CHANGED ON]]</f>
        <v>9.7429282407392748</v>
      </c>
    </row>
    <row r="549" spans="1:14" x14ac:dyDescent="0.35">
      <c r="A549">
        <v>1020</v>
      </c>
      <c r="B549" t="s">
        <v>74</v>
      </c>
      <c r="C549" s="1">
        <v>45181.257071759261</v>
      </c>
      <c r="D549" t="str">
        <f ca="1">VLOOKUP(qry_ProdData2_PDI_Cash_Exception_Application[[#This Row],[TYPE]],#REF!,2,FALSE)</f>
        <v>type13</v>
      </c>
      <c r="E549">
        <v>18138.849999999999</v>
      </c>
      <c r="F549" t="s">
        <v>49</v>
      </c>
      <c r="G549" s="1">
        <f>qry_ProdData2_PDI_Cash_Exception_Application[[#This Row],[INSERT DATE]]+5</f>
        <v>45186.257071759261</v>
      </c>
      <c r="H549" t="str">
        <f>VLOOKUP(qry_ProdData2_PDI_Cash_Exception_Application[[#This Row],[MARKET No]],'Site Allocation'!$B$2:$C$37,2,FALSE)</f>
        <v>Analyst4</v>
      </c>
      <c r="I549" s="4">
        <f t="shared" ca="1" si="8"/>
        <v>45203</v>
      </c>
      <c r="J549" s="42">
        <f ca="1">TODAY()-qry_ProdData2_PDI_Cash_Exception_Application[[#This Row],[INSERT DATE]]</f>
        <v>21.742928240739275</v>
      </c>
      <c r="K5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49">
        <f ca="1">qry_ProdData2_PDI_Cash_Exception_Application[[#This Row],[TODAY]]-qry_ProdData2_PDI_Cash_Exception_Application[[#This Row],[CHANGED ON]]</f>
        <v>16.742928240739275</v>
      </c>
      <c r="M549">
        <f ca="1">qry_ProdData2_PDI_Cash_Exception_Application[[#This Row],[TODAY]]-qry_ProdData2_PDI_Cash_Exception_Application[[#This Row],[CHANGED ON]]</f>
        <v>16.742928240739275</v>
      </c>
      <c r="N549">
        <f ca="1">qry_ProdData2_PDI_Cash_Exception_Application[[#This Row],[TODAY]]-qry_ProdData2_PDI_Cash_Exception_Application[[#This Row],[CHANGED ON]]</f>
        <v>16.742928240739275</v>
      </c>
    </row>
    <row r="550" spans="1:14" x14ac:dyDescent="0.35">
      <c r="A550">
        <v>1026</v>
      </c>
      <c r="B550" t="s">
        <v>80</v>
      </c>
      <c r="C550" s="1">
        <v>45181.257071759261</v>
      </c>
      <c r="D550" t="str">
        <f ca="1">VLOOKUP(qry_ProdData2_PDI_Cash_Exception_Application[[#This Row],[TYPE]],#REF!,2,FALSE)</f>
        <v>type40</v>
      </c>
      <c r="E550">
        <v>1165.98</v>
      </c>
      <c r="F550" t="s">
        <v>47</v>
      </c>
      <c r="G550" s="1">
        <f>qry_ProdData2_PDI_Cash_Exception_Application[[#This Row],[INSERT DATE]]+2</f>
        <v>45183.257071759261</v>
      </c>
      <c r="H550" t="str">
        <f>VLOOKUP(qry_ProdData2_PDI_Cash_Exception_Application[[#This Row],[MARKET No]],'Site Allocation'!$B$2:$C$37,2,FALSE)</f>
        <v>Analyst5</v>
      </c>
      <c r="I550" s="4">
        <f t="shared" ca="1" si="8"/>
        <v>45203</v>
      </c>
      <c r="J550" s="42">
        <f ca="1">TODAY()-qry_ProdData2_PDI_Cash_Exception_Application[[#This Row],[INSERT DATE]]</f>
        <v>21.742928240739275</v>
      </c>
      <c r="K5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50">
        <f ca="1">qry_ProdData2_PDI_Cash_Exception_Application[[#This Row],[TODAY]]-qry_ProdData2_PDI_Cash_Exception_Application[[#This Row],[CHANGED ON]]</f>
        <v>19.742928240739275</v>
      </c>
      <c r="M550">
        <f ca="1">qry_ProdData2_PDI_Cash_Exception_Application[[#This Row],[TODAY]]-qry_ProdData2_PDI_Cash_Exception_Application[[#This Row],[CHANGED ON]]</f>
        <v>19.742928240739275</v>
      </c>
      <c r="N550">
        <f ca="1">qry_ProdData2_PDI_Cash_Exception_Application[[#This Row],[TODAY]]-qry_ProdData2_PDI_Cash_Exception_Application[[#This Row],[CHANGED ON]]</f>
        <v>19.742928240739275</v>
      </c>
    </row>
    <row r="551" spans="1:14" x14ac:dyDescent="0.35">
      <c r="A551">
        <v>1018</v>
      </c>
      <c r="B551" t="s">
        <v>72</v>
      </c>
      <c r="C551" s="1">
        <v>45191.257071759261</v>
      </c>
      <c r="D551" t="str">
        <f ca="1">VLOOKUP(qry_ProdData2_PDI_Cash_Exception_Application[[#This Row],[TYPE]],#REF!,2,FALSE)</f>
        <v>type40</v>
      </c>
      <c r="E551">
        <v>-4020.87</v>
      </c>
      <c r="F551" t="s">
        <v>51</v>
      </c>
      <c r="G551" s="1">
        <f>qry_ProdData2_PDI_Cash_Exception_Application[[#This Row],[INSERT DATE]]+1</f>
        <v>45192.257071759261</v>
      </c>
      <c r="H551" t="str">
        <f>VLOOKUP(qry_ProdData2_PDI_Cash_Exception_Application[[#This Row],[MARKET No]],'Site Allocation'!$B$2:$C$37,2,FALSE)</f>
        <v>Analyst4</v>
      </c>
      <c r="I551" s="4">
        <f t="shared" ca="1" si="8"/>
        <v>45203</v>
      </c>
      <c r="J551" s="42">
        <f ca="1">TODAY()-qry_ProdData2_PDI_Cash_Exception_Application[[#This Row],[INSERT DATE]]</f>
        <v>11.742928240739275</v>
      </c>
      <c r="K5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51">
        <f ca="1">qry_ProdData2_PDI_Cash_Exception_Application[[#This Row],[TODAY]]-qry_ProdData2_PDI_Cash_Exception_Application[[#This Row],[CHANGED ON]]</f>
        <v>10.742928240739275</v>
      </c>
      <c r="M551">
        <f ca="1">qry_ProdData2_PDI_Cash_Exception_Application[[#This Row],[TODAY]]-qry_ProdData2_PDI_Cash_Exception_Application[[#This Row],[CHANGED ON]]</f>
        <v>10.742928240739275</v>
      </c>
      <c r="N551">
        <f ca="1">qry_ProdData2_PDI_Cash_Exception_Application[[#This Row],[TODAY]]-qry_ProdData2_PDI_Cash_Exception_Application[[#This Row],[CHANGED ON]]</f>
        <v>10.742928240739275</v>
      </c>
    </row>
    <row r="552" spans="1:14" x14ac:dyDescent="0.35">
      <c r="A552">
        <v>1017</v>
      </c>
      <c r="B552" t="s">
        <v>71</v>
      </c>
      <c r="C552" s="1">
        <v>45189.257071759261</v>
      </c>
      <c r="D552" t="str">
        <f ca="1">VLOOKUP(qry_ProdData2_PDI_Cash_Exception_Application[[#This Row],[TYPE]],#REF!,2,FALSE)</f>
        <v>type40</v>
      </c>
      <c r="E552">
        <v>-661.21</v>
      </c>
      <c r="F552" t="s">
        <v>48</v>
      </c>
      <c r="G552" s="1">
        <f>qry_ProdData2_PDI_Cash_Exception_Application[[#This Row],[INSERT DATE]]+1</f>
        <v>45190.257071759261</v>
      </c>
      <c r="H552" t="str">
        <f>VLOOKUP(qry_ProdData2_PDI_Cash_Exception_Application[[#This Row],[MARKET No]],'Site Allocation'!$B$2:$C$37,2,FALSE)</f>
        <v>Analyst3</v>
      </c>
      <c r="I552" s="4">
        <f t="shared" ca="1" si="8"/>
        <v>45203</v>
      </c>
      <c r="J552" s="42">
        <f ca="1">TODAY()-qry_ProdData2_PDI_Cash_Exception_Application[[#This Row],[INSERT DATE]]</f>
        <v>13.742928240739275</v>
      </c>
      <c r="K5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52">
        <f ca="1">qry_ProdData2_PDI_Cash_Exception_Application[[#This Row],[TODAY]]-qry_ProdData2_PDI_Cash_Exception_Application[[#This Row],[CHANGED ON]]</f>
        <v>12.742928240739275</v>
      </c>
      <c r="M552">
        <f ca="1">qry_ProdData2_PDI_Cash_Exception_Application[[#This Row],[TODAY]]-qry_ProdData2_PDI_Cash_Exception_Application[[#This Row],[CHANGED ON]]</f>
        <v>12.742928240739275</v>
      </c>
      <c r="N552">
        <f ca="1">qry_ProdData2_PDI_Cash_Exception_Application[[#This Row],[TODAY]]-qry_ProdData2_PDI_Cash_Exception_Application[[#This Row],[CHANGED ON]]</f>
        <v>12.742928240739275</v>
      </c>
    </row>
    <row r="553" spans="1:14" x14ac:dyDescent="0.35">
      <c r="A553">
        <v>1031</v>
      </c>
      <c r="B553" t="s">
        <v>85</v>
      </c>
      <c r="C553" s="1">
        <v>45190.257071759261</v>
      </c>
      <c r="D553" t="str">
        <f ca="1">VLOOKUP(qry_ProdData2_PDI_Cash_Exception_Application[[#This Row],[TYPE]],#REF!,2,FALSE)</f>
        <v>type40</v>
      </c>
      <c r="E553">
        <v>-380.64</v>
      </c>
      <c r="F553" t="s">
        <v>48</v>
      </c>
      <c r="G553" s="1">
        <f>qry_ProdData2_PDI_Cash_Exception_Application[[#This Row],[INSERT DATE]]+5</f>
        <v>45195.257071759261</v>
      </c>
      <c r="H553" t="str">
        <f>VLOOKUP(qry_ProdData2_PDI_Cash_Exception_Application[[#This Row],[MARKET No]],'Site Allocation'!$B$2:$C$37,2,FALSE)</f>
        <v>Analyst6</v>
      </c>
      <c r="I553" s="4">
        <f t="shared" ca="1" si="8"/>
        <v>45203</v>
      </c>
      <c r="J553" s="42">
        <f ca="1">TODAY()-qry_ProdData2_PDI_Cash_Exception_Application[[#This Row],[INSERT DATE]]</f>
        <v>12.742928240739275</v>
      </c>
      <c r="K5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53">
        <f ca="1">qry_ProdData2_PDI_Cash_Exception_Application[[#This Row],[TODAY]]-qry_ProdData2_PDI_Cash_Exception_Application[[#This Row],[CHANGED ON]]</f>
        <v>7.7429282407392748</v>
      </c>
      <c r="M553">
        <f ca="1">qry_ProdData2_PDI_Cash_Exception_Application[[#This Row],[TODAY]]-qry_ProdData2_PDI_Cash_Exception_Application[[#This Row],[CHANGED ON]]</f>
        <v>7.7429282407392748</v>
      </c>
      <c r="N553">
        <f ca="1">qry_ProdData2_PDI_Cash_Exception_Application[[#This Row],[TODAY]]-qry_ProdData2_PDI_Cash_Exception_Application[[#This Row],[CHANGED ON]]</f>
        <v>7.7429282407392748</v>
      </c>
    </row>
    <row r="554" spans="1:14" x14ac:dyDescent="0.35">
      <c r="A554">
        <v>1009</v>
      </c>
      <c r="B554" t="s">
        <v>63</v>
      </c>
      <c r="C554" s="1">
        <v>45188.257071759261</v>
      </c>
      <c r="D554" t="str">
        <f ca="1">VLOOKUP(qry_ProdData2_PDI_Cash_Exception_Application[[#This Row],[TYPE]],#REF!,2,FALSE)</f>
        <v>type40</v>
      </c>
      <c r="E554">
        <v>-1219.48</v>
      </c>
      <c r="F554" t="s">
        <v>52</v>
      </c>
      <c r="G554" s="1">
        <f>qry_ProdData2_PDI_Cash_Exception_Application[[#This Row],[INSERT DATE]]+7</f>
        <v>45195.257071759261</v>
      </c>
      <c r="H554" t="str">
        <f>VLOOKUP(qry_ProdData2_PDI_Cash_Exception_Application[[#This Row],[MARKET No]],'Site Allocation'!$B$2:$C$37,2,FALSE)</f>
        <v>Analyst2</v>
      </c>
      <c r="I554" s="4">
        <f t="shared" ca="1" si="8"/>
        <v>45203</v>
      </c>
      <c r="J554" s="42">
        <f ca="1">TODAY()-qry_ProdData2_PDI_Cash_Exception_Application[[#This Row],[INSERT DATE]]</f>
        <v>14.742928240739275</v>
      </c>
      <c r="K5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54">
        <f ca="1">qry_ProdData2_PDI_Cash_Exception_Application[[#This Row],[TODAY]]-qry_ProdData2_PDI_Cash_Exception_Application[[#This Row],[CHANGED ON]]</f>
        <v>7.7429282407392748</v>
      </c>
      <c r="M554">
        <f ca="1">qry_ProdData2_PDI_Cash_Exception_Application[[#This Row],[TODAY]]-qry_ProdData2_PDI_Cash_Exception_Application[[#This Row],[CHANGED ON]]</f>
        <v>7.7429282407392748</v>
      </c>
      <c r="N554">
        <f ca="1">qry_ProdData2_PDI_Cash_Exception_Application[[#This Row],[TODAY]]-qry_ProdData2_PDI_Cash_Exception_Application[[#This Row],[CHANGED ON]]</f>
        <v>7.7429282407392748</v>
      </c>
    </row>
    <row r="555" spans="1:14" x14ac:dyDescent="0.35">
      <c r="A555">
        <v>1027</v>
      </c>
      <c r="B555" t="s">
        <v>81</v>
      </c>
      <c r="C555" s="1">
        <v>45192.257071759261</v>
      </c>
      <c r="D555" t="str">
        <f ca="1">VLOOKUP(qry_ProdData2_PDI_Cash_Exception_Application[[#This Row],[TYPE]],#REF!,2,FALSE)</f>
        <v>type40</v>
      </c>
      <c r="E555">
        <v>53.63</v>
      </c>
      <c r="F555" t="s">
        <v>48</v>
      </c>
      <c r="G555" s="1">
        <f>qry_ProdData2_PDI_Cash_Exception_Application[[#This Row],[INSERT DATE]]+5</f>
        <v>45197.257071759261</v>
      </c>
      <c r="H555" t="str">
        <f>VLOOKUP(qry_ProdData2_PDI_Cash_Exception_Application[[#This Row],[MARKET No]],'Site Allocation'!$B$2:$C$37,2,FALSE)</f>
        <v>Analyst5</v>
      </c>
      <c r="I555" s="4">
        <f t="shared" ca="1" si="8"/>
        <v>45203</v>
      </c>
      <c r="J555" s="42">
        <f ca="1">TODAY()-qry_ProdData2_PDI_Cash_Exception_Application[[#This Row],[INSERT DATE]]</f>
        <v>10.742928240739275</v>
      </c>
      <c r="K5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55">
        <f ca="1">qry_ProdData2_PDI_Cash_Exception_Application[[#This Row],[TODAY]]-qry_ProdData2_PDI_Cash_Exception_Application[[#This Row],[CHANGED ON]]</f>
        <v>5.7429282407392748</v>
      </c>
      <c r="M555">
        <f ca="1">qry_ProdData2_PDI_Cash_Exception_Application[[#This Row],[TODAY]]-qry_ProdData2_PDI_Cash_Exception_Application[[#This Row],[CHANGED ON]]</f>
        <v>5.7429282407392748</v>
      </c>
      <c r="N555">
        <f ca="1">qry_ProdData2_PDI_Cash_Exception_Application[[#This Row],[TODAY]]-qry_ProdData2_PDI_Cash_Exception_Application[[#This Row],[CHANGED ON]]</f>
        <v>5.7429282407392748</v>
      </c>
    </row>
    <row r="556" spans="1:14" x14ac:dyDescent="0.35">
      <c r="A556">
        <v>1018</v>
      </c>
      <c r="B556" t="s">
        <v>72</v>
      </c>
      <c r="C556" s="1">
        <v>45184.257071759261</v>
      </c>
      <c r="D556" t="str">
        <f ca="1">VLOOKUP(qry_ProdData2_PDI_Cash_Exception_Application[[#This Row],[TYPE]],#REF!,2,FALSE)</f>
        <v>type40</v>
      </c>
      <c r="E556">
        <v>-439.56</v>
      </c>
      <c r="F556" t="s">
        <v>47</v>
      </c>
      <c r="G556" s="1">
        <f>qry_ProdData2_PDI_Cash_Exception_Application[[#This Row],[INSERT DATE]]+5</f>
        <v>45189.257071759261</v>
      </c>
      <c r="H556" t="str">
        <f>VLOOKUP(qry_ProdData2_PDI_Cash_Exception_Application[[#This Row],[MARKET No]],'Site Allocation'!$B$2:$C$37,2,FALSE)</f>
        <v>Analyst4</v>
      </c>
      <c r="I556" s="4">
        <f t="shared" ca="1" si="8"/>
        <v>45203</v>
      </c>
      <c r="J556" s="42">
        <f ca="1">TODAY()-qry_ProdData2_PDI_Cash_Exception_Application[[#This Row],[INSERT DATE]]</f>
        <v>18.742928240739275</v>
      </c>
      <c r="K5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56">
        <f ca="1">qry_ProdData2_PDI_Cash_Exception_Application[[#This Row],[TODAY]]-qry_ProdData2_PDI_Cash_Exception_Application[[#This Row],[CHANGED ON]]</f>
        <v>13.742928240739275</v>
      </c>
      <c r="M556">
        <f ca="1">qry_ProdData2_PDI_Cash_Exception_Application[[#This Row],[TODAY]]-qry_ProdData2_PDI_Cash_Exception_Application[[#This Row],[CHANGED ON]]</f>
        <v>13.742928240739275</v>
      </c>
      <c r="N556">
        <f ca="1">qry_ProdData2_PDI_Cash_Exception_Application[[#This Row],[TODAY]]-qry_ProdData2_PDI_Cash_Exception_Application[[#This Row],[CHANGED ON]]</f>
        <v>13.742928240739275</v>
      </c>
    </row>
    <row r="557" spans="1:14" x14ac:dyDescent="0.35">
      <c r="A557">
        <v>1011</v>
      </c>
      <c r="B557" t="s">
        <v>65</v>
      </c>
      <c r="C557" s="1">
        <v>45182.257071759261</v>
      </c>
      <c r="D557" t="str">
        <f ca="1">VLOOKUP(qry_ProdData2_PDI_Cash_Exception_Application[[#This Row],[TYPE]],#REF!,2,FALSE)</f>
        <v>type13</v>
      </c>
      <c r="E557">
        <v>21285.47</v>
      </c>
      <c r="F557" t="s">
        <v>49</v>
      </c>
      <c r="G557" s="1">
        <f>qry_ProdData2_PDI_Cash_Exception_Application[[#This Row],[INSERT DATE]]+5</f>
        <v>45187.257071759261</v>
      </c>
      <c r="H557" t="str">
        <f>VLOOKUP(qry_ProdData2_PDI_Cash_Exception_Application[[#This Row],[MARKET No]],'Site Allocation'!$B$2:$C$37,2,FALSE)</f>
        <v>Analyst2</v>
      </c>
      <c r="I557" s="4">
        <f t="shared" ca="1" si="8"/>
        <v>45203</v>
      </c>
      <c r="J557" s="42">
        <f ca="1">TODAY()-qry_ProdData2_PDI_Cash_Exception_Application[[#This Row],[INSERT DATE]]</f>
        <v>20.742928240739275</v>
      </c>
      <c r="K5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57">
        <f ca="1">qry_ProdData2_PDI_Cash_Exception_Application[[#This Row],[TODAY]]-qry_ProdData2_PDI_Cash_Exception_Application[[#This Row],[CHANGED ON]]</f>
        <v>15.742928240739275</v>
      </c>
      <c r="M557">
        <f ca="1">qry_ProdData2_PDI_Cash_Exception_Application[[#This Row],[TODAY]]-qry_ProdData2_PDI_Cash_Exception_Application[[#This Row],[CHANGED ON]]</f>
        <v>15.742928240739275</v>
      </c>
      <c r="N557">
        <f ca="1">qry_ProdData2_PDI_Cash_Exception_Application[[#This Row],[TODAY]]-qry_ProdData2_PDI_Cash_Exception_Application[[#This Row],[CHANGED ON]]</f>
        <v>15.742928240739275</v>
      </c>
    </row>
    <row r="558" spans="1:14" x14ac:dyDescent="0.35">
      <c r="A558">
        <v>1009</v>
      </c>
      <c r="B558" t="s">
        <v>63</v>
      </c>
      <c r="C558" s="1">
        <v>45190.257071759261</v>
      </c>
      <c r="D558" t="str">
        <f ca="1">VLOOKUP(qry_ProdData2_PDI_Cash_Exception_Application[[#This Row],[TYPE]],#REF!,2,FALSE)</f>
        <v>type40</v>
      </c>
      <c r="E558">
        <v>3419.4</v>
      </c>
      <c r="F558" t="s">
        <v>50</v>
      </c>
      <c r="G558" s="1">
        <f>qry_ProdData2_PDI_Cash_Exception_Application[[#This Row],[INSERT DATE]]+1</f>
        <v>45191.257071759261</v>
      </c>
      <c r="H558" t="str">
        <f>VLOOKUP(qry_ProdData2_PDI_Cash_Exception_Application[[#This Row],[MARKET No]],'Site Allocation'!$B$2:$C$37,2,FALSE)</f>
        <v>Analyst2</v>
      </c>
      <c r="I558" s="4">
        <f t="shared" ca="1" si="8"/>
        <v>45203</v>
      </c>
      <c r="J558" s="42">
        <f ca="1">TODAY()-qry_ProdData2_PDI_Cash_Exception_Application[[#This Row],[INSERT DATE]]</f>
        <v>12.742928240739275</v>
      </c>
      <c r="K5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58">
        <f ca="1">qry_ProdData2_PDI_Cash_Exception_Application[[#This Row],[TODAY]]-qry_ProdData2_PDI_Cash_Exception_Application[[#This Row],[CHANGED ON]]</f>
        <v>11.742928240739275</v>
      </c>
      <c r="M558">
        <f ca="1">qry_ProdData2_PDI_Cash_Exception_Application[[#This Row],[TODAY]]-qry_ProdData2_PDI_Cash_Exception_Application[[#This Row],[CHANGED ON]]</f>
        <v>11.742928240739275</v>
      </c>
      <c r="N558">
        <f ca="1">qry_ProdData2_PDI_Cash_Exception_Application[[#This Row],[TODAY]]-qry_ProdData2_PDI_Cash_Exception_Application[[#This Row],[CHANGED ON]]</f>
        <v>11.742928240739275</v>
      </c>
    </row>
    <row r="559" spans="1:14" x14ac:dyDescent="0.35">
      <c r="A559">
        <v>1015</v>
      </c>
      <c r="B559" t="s">
        <v>69</v>
      </c>
      <c r="C559" s="1">
        <v>45187.257071759261</v>
      </c>
      <c r="D559" t="str">
        <f ca="1">VLOOKUP(qry_ProdData2_PDI_Cash_Exception_Application[[#This Row],[TYPE]],#REF!,2,FALSE)</f>
        <v>type40</v>
      </c>
      <c r="E559">
        <v>5961.22</v>
      </c>
      <c r="F559" t="s">
        <v>51</v>
      </c>
      <c r="G559" s="1">
        <f>qry_ProdData2_PDI_Cash_Exception_Application[[#This Row],[INSERT DATE]]+2</f>
        <v>45189.257071759261</v>
      </c>
      <c r="H559" t="str">
        <f>VLOOKUP(qry_ProdData2_PDI_Cash_Exception_Application[[#This Row],[MARKET No]],'Site Allocation'!$B$2:$C$37,2,FALSE)</f>
        <v>Analyst3</v>
      </c>
      <c r="I559" s="4">
        <f t="shared" ca="1" si="8"/>
        <v>45203</v>
      </c>
      <c r="J559" s="42">
        <f ca="1">TODAY()-qry_ProdData2_PDI_Cash_Exception_Application[[#This Row],[INSERT DATE]]</f>
        <v>15.742928240739275</v>
      </c>
      <c r="K5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59">
        <f ca="1">qry_ProdData2_PDI_Cash_Exception_Application[[#This Row],[TODAY]]-qry_ProdData2_PDI_Cash_Exception_Application[[#This Row],[CHANGED ON]]</f>
        <v>13.742928240739275</v>
      </c>
      <c r="M559">
        <f ca="1">qry_ProdData2_PDI_Cash_Exception_Application[[#This Row],[TODAY]]-qry_ProdData2_PDI_Cash_Exception_Application[[#This Row],[CHANGED ON]]</f>
        <v>13.742928240739275</v>
      </c>
      <c r="N559">
        <f ca="1">qry_ProdData2_PDI_Cash_Exception_Application[[#This Row],[TODAY]]-qry_ProdData2_PDI_Cash_Exception_Application[[#This Row],[CHANGED ON]]</f>
        <v>13.742928240739275</v>
      </c>
    </row>
    <row r="560" spans="1:14" x14ac:dyDescent="0.35">
      <c r="A560">
        <v>1007</v>
      </c>
      <c r="B560" t="s">
        <v>61</v>
      </c>
      <c r="C560" s="1">
        <v>45183.257071759261</v>
      </c>
      <c r="D560" t="str">
        <f ca="1">VLOOKUP(qry_ProdData2_PDI_Cash_Exception_Application[[#This Row],[TYPE]],#REF!,2,FALSE)</f>
        <v>type13</v>
      </c>
      <c r="E560">
        <v>14399</v>
      </c>
      <c r="F560" t="s">
        <v>49</v>
      </c>
      <c r="G560" s="1">
        <f>qry_ProdData2_PDI_Cash_Exception_Application[[#This Row],[INSERT DATE]]+7</f>
        <v>45190.257071759261</v>
      </c>
      <c r="H560" t="str">
        <f>VLOOKUP(qry_ProdData2_PDI_Cash_Exception_Application[[#This Row],[MARKET No]],'Site Allocation'!$B$2:$C$37,2,FALSE)</f>
        <v>Analyst2</v>
      </c>
      <c r="I560" s="4">
        <f t="shared" ca="1" si="8"/>
        <v>45203</v>
      </c>
      <c r="J560" s="42">
        <f ca="1">TODAY()-qry_ProdData2_PDI_Cash_Exception_Application[[#This Row],[INSERT DATE]]</f>
        <v>19.742928240739275</v>
      </c>
      <c r="K5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60">
        <f ca="1">qry_ProdData2_PDI_Cash_Exception_Application[[#This Row],[TODAY]]-qry_ProdData2_PDI_Cash_Exception_Application[[#This Row],[CHANGED ON]]</f>
        <v>12.742928240739275</v>
      </c>
      <c r="M560">
        <f ca="1">qry_ProdData2_PDI_Cash_Exception_Application[[#This Row],[TODAY]]-qry_ProdData2_PDI_Cash_Exception_Application[[#This Row],[CHANGED ON]]</f>
        <v>12.742928240739275</v>
      </c>
      <c r="N560">
        <f ca="1">qry_ProdData2_PDI_Cash_Exception_Application[[#This Row],[TODAY]]-qry_ProdData2_PDI_Cash_Exception_Application[[#This Row],[CHANGED ON]]</f>
        <v>12.742928240739275</v>
      </c>
    </row>
    <row r="561" spans="1:14" x14ac:dyDescent="0.35">
      <c r="A561">
        <v>1029</v>
      </c>
      <c r="B561" t="s">
        <v>83</v>
      </c>
      <c r="C561" s="1">
        <v>45185.257071759261</v>
      </c>
      <c r="D561" t="str">
        <f ca="1">VLOOKUP(qry_ProdData2_PDI_Cash_Exception_Application[[#This Row],[TYPE]],#REF!,2,FALSE)</f>
        <v>type40</v>
      </c>
      <c r="E561">
        <v>-493.21</v>
      </c>
      <c r="F561" t="s">
        <v>47</v>
      </c>
      <c r="G561" s="1">
        <f>qry_ProdData2_PDI_Cash_Exception_Application[[#This Row],[INSERT DATE]]+7</f>
        <v>45192.257071759261</v>
      </c>
      <c r="H561" t="str">
        <f>VLOOKUP(qry_ProdData2_PDI_Cash_Exception_Application[[#This Row],[MARKET No]],'Site Allocation'!$B$2:$C$37,2,FALSE)</f>
        <v>Analyst5</v>
      </c>
      <c r="I561" s="4">
        <f t="shared" ca="1" si="8"/>
        <v>45203</v>
      </c>
      <c r="J561" s="42">
        <f ca="1">TODAY()-qry_ProdData2_PDI_Cash_Exception_Application[[#This Row],[INSERT DATE]]</f>
        <v>17.742928240739275</v>
      </c>
      <c r="K5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61">
        <f ca="1">qry_ProdData2_PDI_Cash_Exception_Application[[#This Row],[TODAY]]-qry_ProdData2_PDI_Cash_Exception_Application[[#This Row],[CHANGED ON]]</f>
        <v>10.742928240739275</v>
      </c>
      <c r="M561">
        <f ca="1">qry_ProdData2_PDI_Cash_Exception_Application[[#This Row],[TODAY]]-qry_ProdData2_PDI_Cash_Exception_Application[[#This Row],[CHANGED ON]]</f>
        <v>10.742928240739275</v>
      </c>
      <c r="N561">
        <f ca="1">qry_ProdData2_PDI_Cash_Exception_Application[[#This Row],[TODAY]]-qry_ProdData2_PDI_Cash_Exception_Application[[#This Row],[CHANGED ON]]</f>
        <v>10.742928240739275</v>
      </c>
    </row>
    <row r="562" spans="1:14" x14ac:dyDescent="0.35">
      <c r="A562">
        <v>1033</v>
      </c>
      <c r="B562" t="s">
        <v>87</v>
      </c>
      <c r="C562" s="1">
        <v>45186.257071759261</v>
      </c>
      <c r="D562" t="str">
        <f ca="1">VLOOKUP(qry_ProdData2_PDI_Cash_Exception_Application[[#This Row],[TYPE]],#REF!,2,FALSE)</f>
        <v>type40</v>
      </c>
      <c r="E562">
        <v>723.25</v>
      </c>
      <c r="F562" t="s">
        <v>48</v>
      </c>
      <c r="G562" s="1">
        <f>qry_ProdData2_PDI_Cash_Exception_Application[[#This Row],[INSERT DATE]]+1</f>
        <v>45187.257071759261</v>
      </c>
      <c r="H562" t="str">
        <f>VLOOKUP(qry_ProdData2_PDI_Cash_Exception_Application[[#This Row],[MARKET No]],'Site Allocation'!$B$2:$C$37,2,FALSE)</f>
        <v>Analyst6</v>
      </c>
      <c r="I562" s="4">
        <f t="shared" ca="1" si="8"/>
        <v>45203</v>
      </c>
      <c r="J562" s="42">
        <f ca="1">TODAY()-qry_ProdData2_PDI_Cash_Exception_Application[[#This Row],[INSERT DATE]]</f>
        <v>16.742928240739275</v>
      </c>
      <c r="K5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62">
        <f ca="1">qry_ProdData2_PDI_Cash_Exception_Application[[#This Row],[TODAY]]-qry_ProdData2_PDI_Cash_Exception_Application[[#This Row],[CHANGED ON]]</f>
        <v>15.742928240739275</v>
      </c>
      <c r="M562">
        <f ca="1">qry_ProdData2_PDI_Cash_Exception_Application[[#This Row],[TODAY]]-qry_ProdData2_PDI_Cash_Exception_Application[[#This Row],[CHANGED ON]]</f>
        <v>15.742928240739275</v>
      </c>
      <c r="N562">
        <f ca="1">qry_ProdData2_PDI_Cash_Exception_Application[[#This Row],[TODAY]]-qry_ProdData2_PDI_Cash_Exception_Application[[#This Row],[CHANGED ON]]</f>
        <v>15.742928240739275</v>
      </c>
    </row>
    <row r="563" spans="1:14" x14ac:dyDescent="0.35">
      <c r="A563">
        <v>1025</v>
      </c>
      <c r="B563" t="s">
        <v>79</v>
      </c>
      <c r="C563" s="1">
        <v>45195.257071759261</v>
      </c>
      <c r="D563" t="str">
        <f ca="1">VLOOKUP(qry_ProdData2_PDI_Cash_Exception_Application[[#This Row],[TYPE]],#REF!,2,FALSE)</f>
        <v>type40</v>
      </c>
      <c r="E563">
        <v>-816.69</v>
      </c>
      <c r="F563" t="s">
        <v>50</v>
      </c>
      <c r="G563" s="1">
        <f>qry_ProdData2_PDI_Cash_Exception_Application[[#This Row],[INSERT DATE]]+1</f>
        <v>45196.257071759261</v>
      </c>
      <c r="H563" t="str">
        <f>VLOOKUP(qry_ProdData2_PDI_Cash_Exception_Application[[#This Row],[MARKET No]],'Site Allocation'!$B$2:$C$37,2,FALSE)</f>
        <v>Analyst5</v>
      </c>
      <c r="I563" s="4">
        <f t="shared" ca="1" si="8"/>
        <v>45203</v>
      </c>
      <c r="J563" s="42">
        <f ca="1">TODAY()-qry_ProdData2_PDI_Cash_Exception_Application[[#This Row],[INSERT DATE]]</f>
        <v>7.7429282407392748</v>
      </c>
      <c r="K5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563">
        <f ca="1">qry_ProdData2_PDI_Cash_Exception_Application[[#This Row],[TODAY]]-qry_ProdData2_PDI_Cash_Exception_Application[[#This Row],[CHANGED ON]]</f>
        <v>6.7429282407392748</v>
      </c>
      <c r="M563">
        <f ca="1">qry_ProdData2_PDI_Cash_Exception_Application[[#This Row],[TODAY]]-qry_ProdData2_PDI_Cash_Exception_Application[[#This Row],[CHANGED ON]]</f>
        <v>6.7429282407392748</v>
      </c>
      <c r="N563">
        <f ca="1">qry_ProdData2_PDI_Cash_Exception_Application[[#This Row],[TODAY]]-qry_ProdData2_PDI_Cash_Exception_Application[[#This Row],[CHANGED ON]]</f>
        <v>6.7429282407392748</v>
      </c>
    </row>
    <row r="564" spans="1:14" x14ac:dyDescent="0.35">
      <c r="A564">
        <v>1030</v>
      </c>
      <c r="B564" t="s">
        <v>84</v>
      </c>
      <c r="C564" s="1">
        <v>45185.257071759261</v>
      </c>
      <c r="D564" t="str">
        <f ca="1">VLOOKUP(qry_ProdData2_PDI_Cash_Exception_Application[[#This Row],[TYPE]],#REF!,2,FALSE)</f>
        <v>type13</v>
      </c>
      <c r="E564">
        <v>12068.93</v>
      </c>
      <c r="F564" t="s">
        <v>49</v>
      </c>
      <c r="G564" s="1">
        <f>qry_ProdData2_PDI_Cash_Exception_Application[[#This Row],[INSERT DATE]]+7</f>
        <v>45192.257071759261</v>
      </c>
      <c r="H564" t="str">
        <f>VLOOKUP(qry_ProdData2_PDI_Cash_Exception_Application[[#This Row],[MARKET No]],'Site Allocation'!$B$2:$C$37,2,FALSE)</f>
        <v>Analyst6</v>
      </c>
      <c r="I564" s="4">
        <f t="shared" ca="1" si="8"/>
        <v>45203</v>
      </c>
      <c r="J564" s="42">
        <f ca="1">TODAY()-qry_ProdData2_PDI_Cash_Exception_Application[[#This Row],[INSERT DATE]]</f>
        <v>17.742928240739275</v>
      </c>
      <c r="K5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64">
        <f ca="1">qry_ProdData2_PDI_Cash_Exception_Application[[#This Row],[TODAY]]-qry_ProdData2_PDI_Cash_Exception_Application[[#This Row],[CHANGED ON]]</f>
        <v>10.742928240739275</v>
      </c>
      <c r="M564">
        <f ca="1">qry_ProdData2_PDI_Cash_Exception_Application[[#This Row],[TODAY]]-qry_ProdData2_PDI_Cash_Exception_Application[[#This Row],[CHANGED ON]]</f>
        <v>10.742928240739275</v>
      </c>
      <c r="N564">
        <f ca="1">qry_ProdData2_PDI_Cash_Exception_Application[[#This Row],[TODAY]]-qry_ProdData2_PDI_Cash_Exception_Application[[#This Row],[CHANGED ON]]</f>
        <v>10.742928240739275</v>
      </c>
    </row>
    <row r="565" spans="1:14" x14ac:dyDescent="0.35">
      <c r="A565">
        <v>1001</v>
      </c>
      <c r="B565" t="s">
        <v>55</v>
      </c>
      <c r="C565" s="1">
        <v>45197.257071759261</v>
      </c>
      <c r="D565" t="str">
        <f ca="1">VLOOKUP(qry_ProdData2_PDI_Cash_Exception_Application[[#This Row],[TYPE]],#REF!,2,FALSE)</f>
        <v>type40</v>
      </c>
      <c r="E565">
        <v>-3207.97</v>
      </c>
      <c r="F565" t="s">
        <v>50</v>
      </c>
      <c r="G565" s="1">
        <f>qry_ProdData2_PDI_Cash_Exception_Application[[#This Row],[INSERT DATE]]+1</f>
        <v>45198.257071759261</v>
      </c>
      <c r="H565" t="str">
        <f>VLOOKUP(qry_ProdData2_PDI_Cash_Exception_Application[[#This Row],[MARKET No]],'Site Allocation'!$B$2:$C$37,2,FALSE)</f>
        <v>Analyst1</v>
      </c>
      <c r="I565" s="4">
        <f t="shared" ca="1" si="8"/>
        <v>45203</v>
      </c>
      <c r="J565" s="42">
        <f ca="1">TODAY()-qry_ProdData2_PDI_Cash_Exception_Application[[#This Row],[INSERT DATE]]</f>
        <v>5.7429282407392748</v>
      </c>
      <c r="K5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565">
        <f ca="1">qry_ProdData2_PDI_Cash_Exception_Application[[#This Row],[TODAY]]-qry_ProdData2_PDI_Cash_Exception_Application[[#This Row],[CHANGED ON]]</f>
        <v>4.7429282407392748</v>
      </c>
      <c r="M565">
        <f ca="1">qry_ProdData2_PDI_Cash_Exception_Application[[#This Row],[TODAY]]-qry_ProdData2_PDI_Cash_Exception_Application[[#This Row],[CHANGED ON]]</f>
        <v>4.7429282407392748</v>
      </c>
      <c r="N565">
        <f ca="1">qry_ProdData2_PDI_Cash_Exception_Application[[#This Row],[TODAY]]-qry_ProdData2_PDI_Cash_Exception_Application[[#This Row],[CHANGED ON]]</f>
        <v>4.7429282407392748</v>
      </c>
    </row>
    <row r="566" spans="1:14" x14ac:dyDescent="0.35">
      <c r="A566">
        <v>1009</v>
      </c>
      <c r="B566" t="s">
        <v>63</v>
      </c>
      <c r="C566" s="1">
        <v>45185.257071759261</v>
      </c>
      <c r="D566" t="str">
        <f ca="1">VLOOKUP(qry_ProdData2_PDI_Cash_Exception_Application[[#This Row],[TYPE]],#REF!,2,FALSE)</f>
        <v>type40</v>
      </c>
      <c r="E566">
        <v>-1352.45</v>
      </c>
      <c r="F566" t="s">
        <v>50</v>
      </c>
      <c r="G566" s="1">
        <f>qry_ProdData2_PDI_Cash_Exception_Application[[#This Row],[INSERT DATE]]+1</f>
        <v>45186.257071759261</v>
      </c>
      <c r="H566" t="str">
        <f>VLOOKUP(qry_ProdData2_PDI_Cash_Exception_Application[[#This Row],[MARKET No]],'Site Allocation'!$B$2:$C$37,2,FALSE)</f>
        <v>Analyst2</v>
      </c>
      <c r="I566" s="4">
        <f t="shared" ca="1" si="8"/>
        <v>45203</v>
      </c>
      <c r="J566" s="42">
        <f ca="1">TODAY()-qry_ProdData2_PDI_Cash_Exception_Application[[#This Row],[INSERT DATE]]</f>
        <v>17.742928240739275</v>
      </c>
      <c r="K5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66">
        <f ca="1">qry_ProdData2_PDI_Cash_Exception_Application[[#This Row],[TODAY]]-qry_ProdData2_PDI_Cash_Exception_Application[[#This Row],[CHANGED ON]]</f>
        <v>16.742928240739275</v>
      </c>
      <c r="M566">
        <f ca="1">qry_ProdData2_PDI_Cash_Exception_Application[[#This Row],[TODAY]]-qry_ProdData2_PDI_Cash_Exception_Application[[#This Row],[CHANGED ON]]</f>
        <v>16.742928240739275</v>
      </c>
      <c r="N566">
        <f ca="1">qry_ProdData2_PDI_Cash_Exception_Application[[#This Row],[TODAY]]-qry_ProdData2_PDI_Cash_Exception_Application[[#This Row],[CHANGED ON]]</f>
        <v>16.742928240739275</v>
      </c>
    </row>
    <row r="567" spans="1:14" x14ac:dyDescent="0.35">
      <c r="A567">
        <v>1031</v>
      </c>
      <c r="B567" t="s">
        <v>85</v>
      </c>
      <c r="C567" s="1">
        <v>45186.257071759261</v>
      </c>
      <c r="D567" t="str">
        <f ca="1">VLOOKUP(qry_ProdData2_PDI_Cash_Exception_Application[[#This Row],[TYPE]],#REF!,2,FALSE)</f>
        <v>type40</v>
      </c>
      <c r="E567">
        <v>1366.01</v>
      </c>
      <c r="F567" t="s">
        <v>50</v>
      </c>
      <c r="G567" s="1">
        <f>qry_ProdData2_PDI_Cash_Exception_Application[[#This Row],[INSERT DATE]]+1</f>
        <v>45187.257071759261</v>
      </c>
      <c r="H567" t="str">
        <f>VLOOKUP(qry_ProdData2_PDI_Cash_Exception_Application[[#This Row],[MARKET No]],'Site Allocation'!$B$2:$C$37,2,FALSE)</f>
        <v>Analyst6</v>
      </c>
      <c r="I567" s="4">
        <f t="shared" ca="1" si="8"/>
        <v>45203</v>
      </c>
      <c r="J567" s="42">
        <f ca="1">TODAY()-qry_ProdData2_PDI_Cash_Exception_Application[[#This Row],[INSERT DATE]]</f>
        <v>16.742928240739275</v>
      </c>
      <c r="K5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67">
        <f ca="1">qry_ProdData2_PDI_Cash_Exception_Application[[#This Row],[TODAY]]-qry_ProdData2_PDI_Cash_Exception_Application[[#This Row],[CHANGED ON]]</f>
        <v>15.742928240739275</v>
      </c>
      <c r="M567">
        <f ca="1">qry_ProdData2_PDI_Cash_Exception_Application[[#This Row],[TODAY]]-qry_ProdData2_PDI_Cash_Exception_Application[[#This Row],[CHANGED ON]]</f>
        <v>15.742928240739275</v>
      </c>
      <c r="N567">
        <f ca="1">qry_ProdData2_PDI_Cash_Exception_Application[[#This Row],[TODAY]]-qry_ProdData2_PDI_Cash_Exception_Application[[#This Row],[CHANGED ON]]</f>
        <v>15.742928240739275</v>
      </c>
    </row>
    <row r="568" spans="1:14" x14ac:dyDescent="0.35">
      <c r="A568">
        <v>1019</v>
      </c>
      <c r="B568" t="s">
        <v>73</v>
      </c>
      <c r="C568" s="1">
        <v>45186.257071759261</v>
      </c>
      <c r="D568" t="str">
        <f ca="1">VLOOKUP(qry_ProdData2_PDI_Cash_Exception_Application[[#This Row],[TYPE]],#REF!,2,FALSE)</f>
        <v>type40</v>
      </c>
      <c r="E568">
        <v>-1512.03</v>
      </c>
      <c r="F568" t="s">
        <v>47</v>
      </c>
      <c r="G568" s="1">
        <f>qry_ProdData2_PDI_Cash_Exception_Application[[#This Row],[INSERT DATE]]+7</f>
        <v>45193.257071759261</v>
      </c>
      <c r="H568" t="str">
        <f>VLOOKUP(qry_ProdData2_PDI_Cash_Exception_Application[[#This Row],[MARKET No]],'Site Allocation'!$B$2:$C$37,2,FALSE)</f>
        <v>Analyst4</v>
      </c>
      <c r="I568" s="4">
        <f t="shared" ca="1" si="8"/>
        <v>45203</v>
      </c>
      <c r="J568" s="42">
        <f ca="1">TODAY()-qry_ProdData2_PDI_Cash_Exception_Application[[#This Row],[INSERT DATE]]</f>
        <v>16.742928240739275</v>
      </c>
      <c r="K5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68">
        <f ca="1">qry_ProdData2_PDI_Cash_Exception_Application[[#This Row],[TODAY]]-qry_ProdData2_PDI_Cash_Exception_Application[[#This Row],[CHANGED ON]]</f>
        <v>9.7429282407392748</v>
      </c>
      <c r="M568">
        <f ca="1">qry_ProdData2_PDI_Cash_Exception_Application[[#This Row],[TODAY]]-qry_ProdData2_PDI_Cash_Exception_Application[[#This Row],[CHANGED ON]]</f>
        <v>9.7429282407392748</v>
      </c>
      <c r="N568">
        <f ca="1">qry_ProdData2_PDI_Cash_Exception_Application[[#This Row],[TODAY]]-qry_ProdData2_PDI_Cash_Exception_Application[[#This Row],[CHANGED ON]]</f>
        <v>9.7429282407392748</v>
      </c>
    </row>
    <row r="569" spans="1:14" x14ac:dyDescent="0.35">
      <c r="A569">
        <v>1024</v>
      </c>
      <c r="B569" t="s">
        <v>78</v>
      </c>
      <c r="C569" s="1">
        <v>45187.257071759261</v>
      </c>
      <c r="D569" t="str">
        <f ca="1">VLOOKUP(qry_ProdData2_PDI_Cash_Exception_Application[[#This Row],[TYPE]],#REF!,2,FALSE)</f>
        <v>type40</v>
      </c>
      <c r="E569">
        <v>-491.46</v>
      </c>
      <c r="F569" t="s">
        <v>49</v>
      </c>
      <c r="G569" s="1">
        <f>qry_ProdData2_PDI_Cash_Exception_Application[[#This Row],[INSERT DATE]]+7</f>
        <v>45194.257071759261</v>
      </c>
      <c r="H569" t="str">
        <f>VLOOKUP(qry_ProdData2_PDI_Cash_Exception_Application[[#This Row],[MARKET No]],'Site Allocation'!$B$2:$C$37,2,FALSE)</f>
        <v>Analyst5</v>
      </c>
      <c r="I569" s="4">
        <f t="shared" ca="1" si="8"/>
        <v>45203</v>
      </c>
      <c r="J569" s="42">
        <f ca="1">TODAY()-qry_ProdData2_PDI_Cash_Exception_Application[[#This Row],[INSERT DATE]]</f>
        <v>15.742928240739275</v>
      </c>
      <c r="K5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69">
        <f ca="1">qry_ProdData2_PDI_Cash_Exception_Application[[#This Row],[TODAY]]-qry_ProdData2_PDI_Cash_Exception_Application[[#This Row],[CHANGED ON]]</f>
        <v>8.7429282407392748</v>
      </c>
      <c r="M569">
        <f ca="1">qry_ProdData2_PDI_Cash_Exception_Application[[#This Row],[TODAY]]-qry_ProdData2_PDI_Cash_Exception_Application[[#This Row],[CHANGED ON]]</f>
        <v>8.7429282407392748</v>
      </c>
      <c r="N569">
        <f ca="1">qry_ProdData2_PDI_Cash_Exception_Application[[#This Row],[TODAY]]-qry_ProdData2_PDI_Cash_Exception_Application[[#This Row],[CHANGED ON]]</f>
        <v>8.7429282407392748</v>
      </c>
    </row>
    <row r="570" spans="1:14" x14ac:dyDescent="0.35">
      <c r="A570">
        <v>1028</v>
      </c>
      <c r="B570" t="s">
        <v>82</v>
      </c>
      <c r="C570" s="1">
        <v>45187.257071759261</v>
      </c>
      <c r="D570" t="str">
        <f ca="1">VLOOKUP(qry_ProdData2_PDI_Cash_Exception_Application[[#This Row],[TYPE]],#REF!,2,FALSE)</f>
        <v>type40</v>
      </c>
      <c r="E570">
        <v>-7543.95</v>
      </c>
      <c r="F570" t="s">
        <v>47</v>
      </c>
      <c r="G570" s="1">
        <f>qry_ProdData2_PDI_Cash_Exception_Application[[#This Row],[INSERT DATE]]+1</f>
        <v>45188.257071759261</v>
      </c>
      <c r="H570" t="str">
        <f>VLOOKUP(qry_ProdData2_PDI_Cash_Exception_Application[[#This Row],[MARKET No]],'Site Allocation'!$B$2:$C$37,2,FALSE)</f>
        <v>Analyst5</v>
      </c>
      <c r="I570" s="4">
        <f t="shared" ca="1" si="8"/>
        <v>45203</v>
      </c>
      <c r="J570" s="42">
        <f ca="1">TODAY()-qry_ProdData2_PDI_Cash_Exception_Application[[#This Row],[INSERT DATE]]</f>
        <v>15.742928240739275</v>
      </c>
      <c r="K5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70">
        <f ca="1">qry_ProdData2_PDI_Cash_Exception_Application[[#This Row],[TODAY]]-qry_ProdData2_PDI_Cash_Exception_Application[[#This Row],[CHANGED ON]]</f>
        <v>14.742928240739275</v>
      </c>
      <c r="M570">
        <f ca="1">qry_ProdData2_PDI_Cash_Exception_Application[[#This Row],[TODAY]]-qry_ProdData2_PDI_Cash_Exception_Application[[#This Row],[CHANGED ON]]</f>
        <v>14.742928240739275</v>
      </c>
      <c r="N570">
        <f ca="1">qry_ProdData2_PDI_Cash_Exception_Application[[#This Row],[TODAY]]-qry_ProdData2_PDI_Cash_Exception_Application[[#This Row],[CHANGED ON]]</f>
        <v>14.742928240739275</v>
      </c>
    </row>
    <row r="571" spans="1:14" x14ac:dyDescent="0.35">
      <c r="A571">
        <v>1017</v>
      </c>
      <c r="B571" t="s">
        <v>71</v>
      </c>
      <c r="C571" s="1">
        <v>45183.257071759261</v>
      </c>
      <c r="D571" t="str">
        <f ca="1">VLOOKUP(qry_ProdData2_PDI_Cash_Exception_Application[[#This Row],[TYPE]],#REF!,2,FALSE)</f>
        <v>type10</v>
      </c>
      <c r="E571">
        <v>40</v>
      </c>
      <c r="F571" t="s">
        <v>48</v>
      </c>
      <c r="G571" s="1">
        <f>qry_ProdData2_PDI_Cash_Exception_Application[[#This Row],[INSERT DATE]]+2</f>
        <v>45185.257071759261</v>
      </c>
      <c r="H571" t="str">
        <f>VLOOKUP(qry_ProdData2_PDI_Cash_Exception_Application[[#This Row],[MARKET No]],'Site Allocation'!$B$2:$C$37,2,FALSE)</f>
        <v>Analyst3</v>
      </c>
      <c r="I571" s="4">
        <f t="shared" ca="1" si="8"/>
        <v>45203</v>
      </c>
      <c r="J571" s="42">
        <f ca="1">TODAY()-qry_ProdData2_PDI_Cash_Exception_Application[[#This Row],[INSERT DATE]]</f>
        <v>19.742928240739275</v>
      </c>
      <c r="K5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71">
        <f ca="1">qry_ProdData2_PDI_Cash_Exception_Application[[#This Row],[TODAY]]-qry_ProdData2_PDI_Cash_Exception_Application[[#This Row],[CHANGED ON]]</f>
        <v>17.742928240739275</v>
      </c>
      <c r="M571">
        <f ca="1">qry_ProdData2_PDI_Cash_Exception_Application[[#This Row],[TODAY]]-qry_ProdData2_PDI_Cash_Exception_Application[[#This Row],[CHANGED ON]]</f>
        <v>17.742928240739275</v>
      </c>
      <c r="N571">
        <f ca="1">qry_ProdData2_PDI_Cash_Exception_Application[[#This Row],[TODAY]]-qry_ProdData2_PDI_Cash_Exception_Application[[#This Row],[CHANGED ON]]</f>
        <v>17.742928240739275</v>
      </c>
    </row>
    <row r="572" spans="1:14" x14ac:dyDescent="0.35">
      <c r="A572">
        <v>1008</v>
      </c>
      <c r="B572" t="s">
        <v>62</v>
      </c>
      <c r="C572" s="1">
        <v>45190.257071759261</v>
      </c>
      <c r="D572" t="str">
        <f ca="1">VLOOKUP(qry_ProdData2_PDI_Cash_Exception_Application[[#This Row],[TYPE]],#REF!,2,FALSE)</f>
        <v>type40</v>
      </c>
      <c r="E572">
        <v>-370.41</v>
      </c>
      <c r="F572" t="s">
        <v>47</v>
      </c>
      <c r="G572" s="1">
        <f>qry_ProdData2_PDI_Cash_Exception_Application[[#This Row],[INSERT DATE]]+2</f>
        <v>45192.257071759261</v>
      </c>
      <c r="H572" t="str">
        <f>VLOOKUP(qry_ProdData2_PDI_Cash_Exception_Application[[#This Row],[MARKET No]],'Site Allocation'!$B$2:$C$37,2,FALSE)</f>
        <v>Analyst2</v>
      </c>
      <c r="I572" s="4">
        <f t="shared" ca="1" si="8"/>
        <v>45203</v>
      </c>
      <c r="J572" s="42">
        <f ca="1">TODAY()-qry_ProdData2_PDI_Cash_Exception_Application[[#This Row],[INSERT DATE]]</f>
        <v>12.742928240739275</v>
      </c>
      <c r="K5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72">
        <f ca="1">qry_ProdData2_PDI_Cash_Exception_Application[[#This Row],[TODAY]]-qry_ProdData2_PDI_Cash_Exception_Application[[#This Row],[CHANGED ON]]</f>
        <v>10.742928240739275</v>
      </c>
      <c r="M572">
        <f ca="1">qry_ProdData2_PDI_Cash_Exception_Application[[#This Row],[TODAY]]-qry_ProdData2_PDI_Cash_Exception_Application[[#This Row],[CHANGED ON]]</f>
        <v>10.742928240739275</v>
      </c>
      <c r="N572">
        <f ca="1">qry_ProdData2_PDI_Cash_Exception_Application[[#This Row],[TODAY]]-qry_ProdData2_PDI_Cash_Exception_Application[[#This Row],[CHANGED ON]]</f>
        <v>10.742928240739275</v>
      </c>
    </row>
    <row r="573" spans="1:14" x14ac:dyDescent="0.35">
      <c r="A573">
        <v>1005</v>
      </c>
      <c r="B573" t="s">
        <v>59</v>
      </c>
      <c r="C573" s="1">
        <v>45185.257071759261</v>
      </c>
      <c r="D573" t="str">
        <f ca="1">VLOOKUP(qry_ProdData2_PDI_Cash_Exception_Application[[#This Row],[TYPE]],#REF!,2,FALSE)</f>
        <v>type8</v>
      </c>
      <c r="E573">
        <v>60</v>
      </c>
      <c r="F573" t="s">
        <v>48</v>
      </c>
      <c r="G573" s="1">
        <f>qry_ProdData2_PDI_Cash_Exception_Application[[#This Row],[INSERT DATE]]+2</f>
        <v>45187.257071759261</v>
      </c>
      <c r="H573" t="str">
        <f>VLOOKUP(qry_ProdData2_PDI_Cash_Exception_Application[[#This Row],[MARKET No]],'Site Allocation'!$B$2:$C$37,2,FALSE)</f>
        <v>Analyst1</v>
      </c>
      <c r="I573" s="4">
        <f t="shared" ca="1" si="8"/>
        <v>45203</v>
      </c>
      <c r="J573" s="42">
        <f ca="1">TODAY()-qry_ProdData2_PDI_Cash_Exception_Application[[#This Row],[INSERT DATE]]</f>
        <v>17.742928240739275</v>
      </c>
      <c r="K5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73">
        <f ca="1">qry_ProdData2_PDI_Cash_Exception_Application[[#This Row],[TODAY]]-qry_ProdData2_PDI_Cash_Exception_Application[[#This Row],[CHANGED ON]]</f>
        <v>15.742928240739275</v>
      </c>
      <c r="M573">
        <f ca="1">qry_ProdData2_PDI_Cash_Exception_Application[[#This Row],[TODAY]]-qry_ProdData2_PDI_Cash_Exception_Application[[#This Row],[CHANGED ON]]</f>
        <v>15.742928240739275</v>
      </c>
      <c r="N573">
        <f ca="1">qry_ProdData2_PDI_Cash_Exception_Application[[#This Row],[TODAY]]-qry_ProdData2_PDI_Cash_Exception_Application[[#This Row],[CHANGED ON]]</f>
        <v>15.742928240739275</v>
      </c>
    </row>
    <row r="574" spans="1:14" x14ac:dyDescent="0.35">
      <c r="A574">
        <v>1000</v>
      </c>
      <c r="B574" t="s">
        <v>54</v>
      </c>
      <c r="C574" s="1">
        <v>45188.257071759261</v>
      </c>
      <c r="D574" t="str">
        <f ca="1">VLOOKUP(qry_ProdData2_PDI_Cash_Exception_Application[[#This Row],[TYPE]],#REF!,2,FALSE)</f>
        <v>type40</v>
      </c>
      <c r="E574">
        <v>-519.13</v>
      </c>
      <c r="F574" t="s">
        <v>48</v>
      </c>
      <c r="G574" s="1">
        <f>qry_ProdData2_PDI_Cash_Exception_Application[[#This Row],[INSERT DATE]]+5</f>
        <v>45193.257071759261</v>
      </c>
      <c r="H574" t="str">
        <f>VLOOKUP(qry_ProdData2_PDI_Cash_Exception_Application[[#This Row],[MARKET No]],'Site Allocation'!$B$2:$C$37,2,FALSE)</f>
        <v>Analyst1</v>
      </c>
      <c r="I574" s="4">
        <f t="shared" ca="1" si="8"/>
        <v>45203</v>
      </c>
      <c r="J574" s="42">
        <f ca="1">TODAY()-qry_ProdData2_PDI_Cash_Exception_Application[[#This Row],[INSERT DATE]]</f>
        <v>14.742928240739275</v>
      </c>
      <c r="K5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74">
        <f ca="1">qry_ProdData2_PDI_Cash_Exception_Application[[#This Row],[TODAY]]-qry_ProdData2_PDI_Cash_Exception_Application[[#This Row],[CHANGED ON]]</f>
        <v>9.7429282407392748</v>
      </c>
      <c r="M574">
        <f ca="1">qry_ProdData2_PDI_Cash_Exception_Application[[#This Row],[TODAY]]-qry_ProdData2_PDI_Cash_Exception_Application[[#This Row],[CHANGED ON]]</f>
        <v>9.7429282407392748</v>
      </c>
      <c r="N574">
        <f ca="1">qry_ProdData2_PDI_Cash_Exception_Application[[#This Row],[TODAY]]-qry_ProdData2_PDI_Cash_Exception_Application[[#This Row],[CHANGED ON]]</f>
        <v>9.7429282407392748</v>
      </c>
    </row>
    <row r="575" spans="1:14" x14ac:dyDescent="0.35">
      <c r="A575">
        <v>1029</v>
      </c>
      <c r="B575" t="s">
        <v>83</v>
      </c>
      <c r="C575" s="1">
        <v>45179.257071759261</v>
      </c>
      <c r="D575" t="str">
        <f ca="1">VLOOKUP(qry_ProdData2_PDI_Cash_Exception_Application[[#This Row],[TYPE]],#REF!,2,FALSE)</f>
        <v>type40</v>
      </c>
      <c r="E575">
        <v>-429.99</v>
      </c>
      <c r="F575" t="s">
        <v>47</v>
      </c>
      <c r="G575" s="1">
        <f>qry_ProdData2_PDI_Cash_Exception_Application[[#This Row],[INSERT DATE]]+2</f>
        <v>45181.257071759261</v>
      </c>
      <c r="H575" t="str">
        <f>VLOOKUP(qry_ProdData2_PDI_Cash_Exception_Application[[#This Row],[MARKET No]],'Site Allocation'!$B$2:$C$37,2,FALSE)</f>
        <v>Analyst5</v>
      </c>
      <c r="I575" s="4">
        <f t="shared" ca="1" si="8"/>
        <v>45203</v>
      </c>
      <c r="J575" s="42">
        <f ca="1">TODAY()-qry_ProdData2_PDI_Cash_Exception_Application[[#This Row],[INSERT DATE]]</f>
        <v>23.742928240739275</v>
      </c>
      <c r="K5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75">
        <f ca="1">qry_ProdData2_PDI_Cash_Exception_Application[[#This Row],[TODAY]]-qry_ProdData2_PDI_Cash_Exception_Application[[#This Row],[CHANGED ON]]</f>
        <v>21.742928240739275</v>
      </c>
      <c r="M575">
        <f ca="1">qry_ProdData2_PDI_Cash_Exception_Application[[#This Row],[TODAY]]-qry_ProdData2_PDI_Cash_Exception_Application[[#This Row],[CHANGED ON]]</f>
        <v>21.742928240739275</v>
      </c>
      <c r="N575">
        <f ca="1">qry_ProdData2_PDI_Cash_Exception_Application[[#This Row],[TODAY]]-qry_ProdData2_PDI_Cash_Exception_Application[[#This Row],[CHANGED ON]]</f>
        <v>21.742928240739275</v>
      </c>
    </row>
    <row r="576" spans="1:14" x14ac:dyDescent="0.35">
      <c r="A576">
        <v>1028</v>
      </c>
      <c r="B576" t="s">
        <v>82</v>
      </c>
      <c r="C576" s="1">
        <v>45192.257071759261</v>
      </c>
      <c r="D576" t="str">
        <f ca="1">VLOOKUP(qry_ProdData2_PDI_Cash_Exception_Application[[#This Row],[TYPE]],#REF!,2,FALSE)</f>
        <v>type40</v>
      </c>
      <c r="E576">
        <v>783.51</v>
      </c>
      <c r="F576" t="s">
        <v>52</v>
      </c>
      <c r="G576" s="1">
        <f>qry_ProdData2_PDI_Cash_Exception_Application[[#This Row],[INSERT DATE]]+2</f>
        <v>45194.257071759261</v>
      </c>
      <c r="H576" t="str">
        <f>VLOOKUP(qry_ProdData2_PDI_Cash_Exception_Application[[#This Row],[MARKET No]],'Site Allocation'!$B$2:$C$37,2,FALSE)</f>
        <v>Analyst5</v>
      </c>
      <c r="I576" s="4">
        <f t="shared" ca="1" si="8"/>
        <v>45203</v>
      </c>
      <c r="J576" s="42">
        <f ca="1">TODAY()-qry_ProdData2_PDI_Cash_Exception_Application[[#This Row],[INSERT DATE]]</f>
        <v>10.742928240739275</v>
      </c>
      <c r="K5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76">
        <f ca="1">qry_ProdData2_PDI_Cash_Exception_Application[[#This Row],[TODAY]]-qry_ProdData2_PDI_Cash_Exception_Application[[#This Row],[CHANGED ON]]</f>
        <v>8.7429282407392748</v>
      </c>
      <c r="M576">
        <f ca="1">qry_ProdData2_PDI_Cash_Exception_Application[[#This Row],[TODAY]]-qry_ProdData2_PDI_Cash_Exception_Application[[#This Row],[CHANGED ON]]</f>
        <v>8.7429282407392748</v>
      </c>
      <c r="N576">
        <f ca="1">qry_ProdData2_PDI_Cash_Exception_Application[[#This Row],[TODAY]]-qry_ProdData2_PDI_Cash_Exception_Application[[#This Row],[CHANGED ON]]</f>
        <v>8.7429282407392748</v>
      </c>
    </row>
    <row r="577" spans="1:14" x14ac:dyDescent="0.35">
      <c r="A577">
        <v>1026</v>
      </c>
      <c r="B577" t="s">
        <v>80</v>
      </c>
      <c r="C577" s="1">
        <v>45187.257071759261</v>
      </c>
      <c r="D577" t="str">
        <f ca="1">VLOOKUP(qry_ProdData2_PDI_Cash_Exception_Application[[#This Row],[TYPE]],#REF!,2,FALSE)</f>
        <v>type38</v>
      </c>
      <c r="E577">
        <v>479.89</v>
      </c>
      <c r="F577" t="s">
        <v>49</v>
      </c>
      <c r="G577" s="1">
        <f>qry_ProdData2_PDI_Cash_Exception_Application[[#This Row],[INSERT DATE]]+1</f>
        <v>45188.257071759261</v>
      </c>
      <c r="H577" t="str">
        <f>VLOOKUP(qry_ProdData2_PDI_Cash_Exception_Application[[#This Row],[MARKET No]],'Site Allocation'!$B$2:$C$37,2,FALSE)</f>
        <v>Analyst5</v>
      </c>
      <c r="I577" s="4">
        <f t="shared" ca="1" si="8"/>
        <v>45203</v>
      </c>
      <c r="J577" s="42">
        <f ca="1">TODAY()-qry_ProdData2_PDI_Cash_Exception_Application[[#This Row],[INSERT DATE]]</f>
        <v>15.742928240739275</v>
      </c>
      <c r="K5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77">
        <f ca="1">qry_ProdData2_PDI_Cash_Exception_Application[[#This Row],[TODAY]]-qry_ProdData2_PDI_Cash_Exception_Application[[#This Row],[CHANGED ON]]</f>
        <v>14.742928240739275</v>
      </c>
      <c r="M577">
        <f ca="1">qry_ProdData2_PDI_Cash_Exception_Application[[#This Row],[TODAY]]-qry_ProdData2_PDI_Cash_Exception_Application[[#This Row],[CHANGED ON]]</f>
        <v>14.742928240739275</v>
      </c>
      <c r="N577">
        <f ca="1">qry_ProdData2_PDI_Cash_Exception_Application[[#This Row],[TODAY]]-qry_ProdData2_PDI_Cash_Exception_Application[[#This Row],[CHANGED ON]]</f>
        <v>14.742928240739275</v>
      </c>
    </row>
    <row r="578" spans="1:14" x14ac:dyDescent="0.35">
      <c r="A578">
        <v>1008</v>
      </c>
      <c r="B578" t="s">
        <v>62</v>
      </c>
      <c r="C578" s="1">
        <v>45190.257071759261</v>
      </c>
      <c r="D578" t="str">
        <f ca="1">VLOOKUP(qry_ProdData2_PDI_Cash_Exception_Application[[#This Row],[TYPE]],#REF!,2,FALSE)</f>
        <v>type40</v>
      </c>
      <c r="E578">
        <v>682.24</v>
      </c>
      <c r="F578" t="s">
        <v>51</v>
      </c>
      <c r="G578" s="1">
        <f>qry_ProdData2_PDI_Cash_Exception_Application[[#This Row],[INSERT DATE]]+2</f>
        <v>45192.257071759261</v>
      </c>
      <c r="H578" t="str">
        <f>VLOOKUP(qry_ProdData2_PDI_Cash_Exception_Application[[#This Row],[MARKET No]],'Site Allocation'!$B$2:$C$37,2,FALSE)</f>
        <v>Analyst2</v>
      </c>
      <c r="I578" s="4">
        <f t="shared" ref="I578:I641" ca="1" si="9">TODAY()</f>
        <v>45203</v>
      </c>
      <c r="J578" s="42">
        <f ca="1">TODAY()-qry_ProdData2_PDI_Cash_Exception_Application[[#This Row],[INSERT DATE]]</f>
        <v>12.742928240739275</v>
      </c>
      <c r="K5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78">
        <f ca="1">qry_ProdData2_PDI_Cash_Exception_Application[[#This Row],[TODAY]]-qry_ProdData2_PDI_Cash_Exception_Application[[#This Row],[CHANGED ON]]</f>
        <v>10.742928240739275</v>
      </c>
      <c r="M578">
        <f ca="1">qry_ProdData2_PDI_Cash_Exception_Application[[#This Row],[TODAY]]-qry_ProdData2_PDI_Cash_Exception_Application[[#This Row],[CHANGED ON]]</f>
        <v>10.742928240739275</v>
      </c>
      <c r="N578">
        <f ca="1">qry_ProdData2_PDI_Cash_Exception_Application[[#This Row],[TODAY]]-qry_ProdData2_PDI_Cash_Exception_Application[[#This Row],[CHANGED ON]]</f>
        <v>10.742928240739275</v>
      </c>
    </row>
    <row r="579" spans="1:14" x14ac:dyDescent="0.35">
      <c r="A579">
        <v>1025</v>
      </c>
      <c r="B579" t="s">
        <v>79</v>
      </c>
      <c r="C579" s="1">
        <v>45191.257071759261</v>
      </c>
      <c r="D579" t="str">
        <f ca="1">VLOOKUP(qry_ProdData2_PDI_Cash_Exception_Application[[#This Row],[TYPE]],#REF!,2,FALSE)</f>
        <v>type40</v>
      </c>
      <c r="E579">
        <v>8099.51</v>
      </c>
      <c r="F579" t="s">
        <v>49</v>
      </c>
      <c r="G579" s="1">
        <f>qry_ProdData2_PDI_Cash_Exception_Application[[#This Row],[INSERT DATE]]+1</f>
        <v>45192.257071759261</v>
      </c>
      <c r="H579" t="str">
        <f>VLOOKUP(qry_ProdData2_PDI_Cash_Exception_Application[[#This Row],[MARKET No]],'Site Allocation'!$B$2:$C$37,2,FALSE)</f>
        <v>Analyst5</v>
      </c>
      <c r="I579" s="4">
        <f t="shared" ca="1" si="9"/>
        <v>45203</v>
      </c>
      <c r="J579" s="42">
        <f ca="1">TODAY()-qry_ProdData2_PDI_Cash_Exception_Application[[#This Row],[INSERT DATE]]</f>
        <v>11.742928240739275</v>
      </c>
      <c r="K5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79">
        <f ca="1">qry_ProdData2_PDI_Cash_Exception_Application[[#This Row],[TODAY]]-qry_ProdData2_PDI_Cash_Exception_Application[[#This Row],[CHANGED ON]]</f>
        <v>10.742928240739275</v>
      </c>
      <c r="M579">
        <f ca="1">qry_ProdData2_PDI_Cash_Exception_Application[[#This Row],[TODAY]]-qry_ProdData2_PDI_Cash_Exception_Application[[#This Row],[CHANGED ON]]</f>
        <v>10.742928240739275</v>
      </c>
      <c r="N579">
        <f ca="1">qry_ProdData2_PDI_Cash_Exception_Application[[#This Row],[TODAY]]-qry_ProdData2_PDI_Cash_Exception_Application[[#This Row],[CHANGED ON]]</f>
        <v>10.742928240739275</v>
      </c>
    </row>
    <row r="580" spans="1:14" x14ac:dyDescent="0.35">
      <c r="A580">
        <v>1008</v>
      </c>
      <c r="B580" t="s">
        <v>62</v>
      </c>
      <c r="C580" s="1">
        <v>45179.257071759261</v>
      </c>
      <c r="D580" t="str">
        <f ca="1">VLOOKUP(qry_ProdData2_PDI_Cash_Exception_Application[[#This Row],[TYPE]],#REF!,2,FALSE)</f>
        <v>type40</v>
      </c>
      <c r="E580">
        <v>5</v>
      </c>
      <c r="F580" t="s">
        <v>48</v>
      </c>
      <c r="G580" s="1">
        <f>qry_ProdData2_PDI_Cash_Exception_Application[[#This Row],[INSERT DATE]]+7</f>
        <v>45186.257071759261</v>
      </c>
      <c r="H580" t="str">
        <f>VLOOKUP(qry_ProdData2_PDI_Cash_Exception_Application[[#This Row],[MARKET No]],'Site Allocation'!$B$2:$C$37,2,FALSE)</f>
        <v>Analyst2</v>
      </c>
      <c r="I580" s="4">
        <f t="shared" ca="1" si="9"/>
        <v>45203</v>
      </c>
      <c r="J580" s="42">
        <f ca="1">TODAY()-qry_ProdData2_PDI_Cash_Exception_Application[[#This Row],[INSERT DATE]]</f>
        <v>23.742928240739275</v>
      </c>
      <c r="K5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80">
        <f ca="1">qry_ProdData2_PDI_Cash_Exception_Application[[#This Row],[TODAY]]-qry_ProdData2_PDI_Cash_Exception_Application[[#This Row],[CHANGED ON]]</f>
        <v>16.742928240739275</v>
      </c>
      <c r="M580">
        <f ca="1">qry_ProdData2_PDI_Cash_Exception_Application[[#This Row],[TODAY]]-qry_ProdData2_PDI_Cash_Exception_Application[[#This Row],[CHANGED ON]]</f>
        <v>16.742928240739275</v>
      </c>
      <c r="N580">
        <f ca="1">qry_ProdData2_PDI_Cash_Exception_Application[[#This Row],[TODAY]]-qry_ProdData2_PDI_Cash_Exception_Application[[#This Row],[CHANGED ON]]</f>
        <v>16.742928240739275</v>
      </c>
    </row>
    <row r="581" spans="1:14" x14ac:dyDescent="0.35">
      <c r="A581">
        <v>1013</v>
      </c>
      <c r="B581" t="s">
        <v>67</v>
      </c>
      <c r="C581" s="1">
        <v>45197.257071759261</v>
      </c>
      <c r="D581" t="str">
        <f ca="1">VLOOKUP(qry_ProdData2_PDI_Cash_Exception_Application[[#This Row],[TYPE]],#REF!,2,FALSE)</f>
        <v>type40</v>
      </c>
      <c r="E581">
        <v>332.6</v>
      </c>
      <c r="F581" t="s">
        <v>52</v>
      </c>
      <c r="G581" s="1">
        <f>qry_ProdData2_PDI_Cash_Exception_Application[[#This Row],[INSERT DATE]]+2</f>
        <v>45199.257071759261</v>
      </c>
      <c r="H581" t="str">
        <f>VLOOKUP(qry_ProdData2_PDI_Cash_Exception_Application[[#This Row],[MARKET No]],'Site Allocation'!$B$2:$C$37,2,FALSE)</f>
        <v>Analyst3</v>
      </c>
      <c r="I581" s="4">
        <f t="shared" ca="1" si="9"/>
        <v>45203</v>
      </c>
      <c r="J581" s="42">
        <f ca="1">TODAY()-qry_ProdData2_PDI_Cash_Exception_Application[[#This Row],[INSERT DATE]]</f>
        <v>5.7429282407392748</v>
      </c>
      <c r="K5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581">
        <f ca="1">qry_ProdData2_PDI_Cash_Exception_Application[[#This Row],[TODAY]]-qry_ProdData2_PDI_Cash_Exception_Application[[#This Row],[CHANGED ON]]</f>
        <v>3.7429282407392748</v>
      </c>
      <c r="M581">
        <f ca="1">qry_ProdData2_PDI_Cash_Exception_Application[[#This Row],[TODAY]]-qry_ProdData2_PDI_Cash_Exception_Application[[#This Row],[CHANGED ON]]</f>
        <v>3.7429282407392748</v>
      </c>
      <c r="N581">
        <f ca="1">qry_ProdData2_PDI_Cash_Exception_Application[[#This Row],[TODAY]]-qry_ProdData2_PDI_Cash_Exception_Application[[#This Row],[CHANGED ON]]</f>
        <v>3.7429282407392748</v>
      </c>
    </row>
    <row r="582" spans="1:14" x14ac:dyDescent="0.35">
      <c r="A582">
        <v>1031</v>
      </c>
      <c r="B582" t="s">
        <v>85</v>
      </c>
      <c r="C582" s="1">
        <v>45179.257071759261</v>
      </c>
      <c r="D582" t="str">
        <f ca="1">VLOOKUP(qry_ProdData2_PDI_Cash_Exception_Application[[#This Row],[TYPE]],#REF!,2,FALSE)</f>
        <v>type40</v>
      </c>
      <c r="E582">
        <v>1636.57</v>
      </c>
      <c r="F582" t="s">
        <v>52</v>
      </c>
      <c r="G582" s="1">
        <f>qry_ProdData2_PDI_Cash_Exception_Application[[#This Row],[INSERT DATE]]+2</f>
        <v>45181.257071759261</v>
      </c>
      <c r="H582" t="str">
        <f>VLOOKUP(qry_ProdData2_PDI_Cash_Exception_Application[[#This Row],[MARKET No]],'Site Allocation'!$B$2:$C$37,2,FALSE)</f>
        <v>Analyst6</v>
      </c>
      <c r="I582" s="4">
        <f t="shared" ca="1" si="9"/>
        <v>45203</v>
      </c>
      <c r="J582" s="42">
        <f ca="1">TODAY()-qry_ProdData2_PDI_Cash_Exception_Application[[#This Row],[INSERT DATE]]</f>
        <v>23.742928240739275</v>
      </c>
      <c r="K5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82">
        <f ca="1">qry_ProdData2_PDI_Cash_Exception_Application[[#This Row],[TODAY]]-qry_ProdData2_PDI_Cash_Exception_Application[[#This Row],[CHANGED ON]]</f>
        <v>21.742928240739275</v>
      </c>
      <c r="M582">
        <f ca="1">qry_ProdData2_PDI_Cash_Exception_Application[[#This Row],[TODAY]]-qry_ProdData2_PDI_Cash_Exception_Application[[#This Row],[CHANGED ON]]</f>
        <v>21.742928240739275</v>
      </c>
      <c r="N582">
        <f ca="1">qry_ProdData2_PDI_Cash_Exception_Application[[#This Row],[TODAY]]-qry_ProdData2_PDI_Cash_Exception_Application[[#This Row],[CHANGED ON]]</f>
        <v>21.742928240739275</v>
      </c>
    </row>
    <row r="583" spans="1:14" x14ac:dyDescent="0.35">
      <c r="A583">
        <v>1010</v>
      </c>
      <c r="B583" t="s">
        <v>64</v>
      </c>
      <c r="C583" s="1">
        <v>45180.257071759261</v>
      </c>
      <c r="D583" t="str">
        <f ca="1">VLOOKUP(qry_ProdData2_PDI_Cash_Exception_Application[[#This Row],[TYPE]],#REF!,2,FALSE)</f>
        <v>type18</v>
      </c>
      <c r="E583">
        <v>499253.73</v>
      </c>
      <c r="F583" t="s">
        <v>50</v>
      </c>
      <c r="G583" s="1">
        <f>qry_ProdData2_PDI_Cash_Exception_Application[[#This Row],[INSERT DATE]]+2</f>
        <v>45182.257071759261</v>
      </c>
      <c r="H583" t="str">
        <f>VLOOKUP(qry_ProdData2_PDI_Cash_Exception_Application[[#This Row],[MARKET No]],'Site Allocation'!$B$2:$C$37,2,FALSE)</f>
        <v>Analyst2</v>
      </c>
      <c r="I583" s="4">
        <f t="shared" ca="1" si="9"/>
        <v>45203</v>
      </c>
      <c r="J583" s="42">
        <f ca="1">TODAY()-qry_ProdData2_PDI_Cash_Exception_Application[[#This Row],[INSERT DATE]]</f>
        <v>22.742928240739275</v>
      </c>
      <c r="K5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83">
        <f ca="1">qry_ProdData2_PDI_Cash_Exception_Application[[#This Row],[TODAY]]-qry_ProdData2_PDI_Cash_Exception_Application[[#This Row],[CHANGED ON]]</f>
        <v>20.742928240739275</v>
      </c>
      <c r="M583">
        <f ca="1">qry_ProdData2_PDI_Cash_Exception_Application[[#This Row],[TODAY]]-qry_ProdData2_PDI_Cash_Exception_Application[[#This Row],[CHANGED ON]]</f>
        <v>20.742928240739275</v>
      </c>
      <c r="N583">
        <f ca="1">qry_ProdData2_PDI_Cash_Exception_Application[[#This Row],[TODAY]]-qry_ProdData2_PDI_Cash_Exception_Application[[#This Row],[CHANGED ON]]</f>
        <v>20.742928240739275</v>
      </c>
    </row>
    <row r="584" spans="1:14" x14ac:dyDescent="0.35">
      <c r="A584">
        <v>1023</v>
      </c>
      <c r="B584" t="s">
        <v>77</v>
      </c>
      <c r="C584" s="1">
        <v>45185.257071759261</v>
      </c>
      <c r="D584" t="str">
        <f ca="1">VLOOKUP(qry_ProdData2_PDI_Cash_Exception_Application[[#This Row],[TYPE]],#REF!,2,FALSE)</f>
        <v>type40</v>
      </c>
      <c r="E584">
        <v>350.37</v>
      </c>
      <c r="F584" t="s">
        <v>51</v>
      </c>
      <c r="G584" s="1">
        <f>qry_ProdData2_PDI_Cash_Exception_Application[[#This Row],[INSERT DATE]]+2</f>
        <v>45187.257071759261</v>
      </c>
      <c r="H584" t="str">
        <f>VLOOKUP(qry_ProdData2_PDI_Cash_Exception_Application[[#This Row],[MARKET No]],'Site Allocation'!$B$2:$C$37,2,FALSE)</f>
        <v>Analyst4</v>
      </c>
      <c r="I584" s="4">
        <f t="shared" ca="1" si="9"/>
        <v>45203</v>
      </c>
      <c r="J584" s="42">
        <f ca="1">TODAY()-qry_ProdData2_PDI_Cash_Exception_Application[[#This Row],[INSERT DATE]]</f>
        <v>17.742928240739275</v>
      </c>
      <c r="K5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84">
        <f ca="1">qry_ProdData2_PDI_Cash_Exception_Application[[#This Row],[TODAY]]-qry_ProdData2_PDI_Cash_Exception_Application[[#This Row],[CHANGED ON]]</f>
        <v>15.742928240739275</v>
      </c>
      <c r="M584">
        <f ca="1">qry_ProdData2_PDI_Cash_Exception_Application[[#This Row],[TODAY]]-qry_ProdData2_PDI_Cash_Exception_Application[[#This Row],[CHANGED ON]]</f>
        <v>15.742928240739275</v>
      </c>
      <c r="N584">
        <f ca="1">qry_ProdData2_PDI_Cash_Exception_Application[[#This Row],[TODAY]]-qry_ProdData2_PDI_Cash_Exception_Application[[#This Row],[CHANGED ON]]</f>
        <v>15.742928240739275</v>
      </c>
    </row>
    <row r="585" spans="1:14" x14ac:dyDescent="0.35">
      <c r="A585">
        <v>1002</v>
      </c>
      <c r="B585" t="s">
        <v>56</v>
      </c>
      <c r="C585" s="1">
        <v>45182.257071759261</v>
      </c>
      <c r="D585" t="str">
        <f ca="1">VLOOKUP(qry_ProdData2_PDI_Cash_Exception_Application[[#This Row],[TYPE]],#REF!,2,FALSE)</f>
        <v>type40</v>
      </c>
      <c r="E585">
        <v>530.30999999999995</v>
      </c>
      <c r="F585" t="s">
        <v>52</v>
      </c>
      <c r="G585" s="1">
        <f>qry_ProdData2_PDI_Cash_Exception_Application[[#This Row],[INSERT DATE]]+2</f>
        <v>45184.257071759261</v>
      </c>
      <c r="H585" t="str">
        <f>VLOOKUP(qry_ProdData2_PDI_Cash_Exception_Application[[#This Row],[MARKET No]],'Site Allocation'!$B$2:$C$37,2,FALSE)</f>
        <v>Analyst1</v>
      </c>
      <c r="I585" s="4">
        <f t="shared" ca="1" si="9"/>
        <v>45203</v>
      </c>
      <c r="J585" s="42">
        <f ca="1">TODAY()-qry_ProdData2_PDI_Cash_Exception_Application[[#This Row],[INSERT DATE]]</f>
        <v>20.742928240739275</v>
      </c>
      <c r="K5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85">
        <f ca="1">qry_ProdData2_PDI_Cash_Exception_Application[[#This Row],[TODAY]]-qry_ProdData2_PDI_Cash_Exception_Application[[#This Row],[CHANGED ON]]</f>
        <v>18.742928240739275</v>
      </c>
      <c r="M585">
        <f ca="1">qry_ProdData2_PDI_Cash_Exception_Application[[#This Row],[TODAY]]-qry_ProdData2_PDI_Cash_Exception_Application[[#This Row],[CHANGED ON]]</f>
        <v>18.742928240739275</v>
      </c>
      <c r="N585">
        <f ca="1">qry_ProdData2_PDI_Cash_Exception_Application[[#This Row],[TODAY]]-qry_ProdData2_PDI_Cash_Exception_Application[[#This Row],[CHANGED ON]]</f>
        <v>18.742928240739275</v>
      </c>
    </row>
    <row r="586" spans="1:14" x14ac:dyDescent="0.35">
      <c r="A586">
        <v>1031</v>
      </c>
      <c r="B586" t="s">
        <v>85</v>
      </c>
      <c r="C586" s="1">
        <v>45182.257071759261</v>
      </c>
      <c r="D586" t="str">
        <f ca="1">VLOOKUP(qry_ProdData2_PDI_Cash_Exception_Application[[#This Row],[TYPE]],#REF!,2,FALSE)</f>
        <v>type40</v>
      </c>
      <c r="E586">
        <v>-909.12</v>
      </c>
      <c r="F586" t="s">
        <v>49</v>
      </c>
      <c r="G586" s="1">
        <f>qry_ProdData2_PDI_Cash_Exception_Application[[#This Row],[INSERT DATE]]+2</f>
        <v>45184.257071759261</v>
      </c>
      <c r="H586" t="str">
        <f>VLOOKUP(qry_ProdData2_PDI_Cash_Exception_Application[[#This Row],[MARKET No]],'Site Allocation'!$B$2:$C$37,2,FALSE)</f>
        <v>Analyst6</v>
      </c>
      <c r="I586" s="4">
        <f t="shared" ca="1" si="9"/>
        <v>45203</v>
      </c>
      <c r="J586" s="42">
        <f ca="1">TODAY()-qry_ProdData2_PDI_Cash_Exception_Application[[#This Row],[INSERT DATE]]</f>
        <v>20.742928240739275</v>
      </c>
      <c r="K5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86">
        <f ca="1">qry_ProdData2_PDI_Cash_Exception_Application[[#This Row],[TODAY]]-qry_ProdData2_PDI_Cash_Exception_Application[[#This Row],[CHANGED ON]]</f>
        <v>18.742928240739275</v>
      </c>
      <c r="M586">
        <f ca="1">qry_ProdData2_PDI_Cash_Exception_Application[[#This Row],[TODAY]]-qry_ProdData2_PDI_Cash_Exception_Application[[#This Row],[CHANGED ON]]</f>
        <v>18.742928240739275</v>
      </c>
      <c r="N586">
        <f ca="1">qry_ProdData2_PDI_Cash_Exception_Application[[#This Row],[TODAY]]-qry_ProdData2_PDI_Cash_Exception_Application[[#This Row],[CHANGED ON]]</f>
        <v>18.742928240739275</v>
      </c>
    </row>
    <row r="587" spans="1:14" x14ac:dyDescent="0.35">
      <c r="A587">
        <v>1022</v>
      </c>
      <c r="B587" t="s">
        <v>76</v>
      </c>
      <c r="C587" s="1">
        <v>45182.257071759261</v>
      </c>
      <c r="D587" t="str">
        <f ca="1">VLOOKUP(qry_ProdData2_PDI_Cash_Exception_Application[[#This Row],[TYPE]],#REF!,2,FALSE)</f>
        <v>type40</v>
      </c>
      <c r="E587">
        <v>-16102.22</v>
      </c>
      <c r="F587" t="s">
        <v>48</v>
      </c>
      <c r="G587" s="1">
        <f>qry_ProdData2_PDI_Cash_Exception_Application[[#This Row],[INSERT DATE]]+7</f>
        <v>45189.257071759261</v>
      </c>
      <c r="H587" t="str">
        <f>VLOOKUP(qry_ProdData2_PDI_Cash_Exception_Application[[#This Row],[MARKET No]],'Site Allocation'!$B$2:$C$37,2,FALSE)</f>
        <v>Analyst4</v>
      </c>
      <c r="I587" s="4">
        <f t="shared" ca="1" si="9"/>
        <v>45203</v>
      </c>
      <c r="J587" s="42">
        <f ca="1">TODAY()-qry_ProdData2_PDI_Cash_Exception_Application[[#This Row],[INSERT DATE]]</f>
        <v>20.742928240739275</v>
      </c>
      <c r="K5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87">
        <f ca="1">qry_ProdData2_PDI_Cash_Exception_Application[[#This Row],[TODAY]]-qry_ProdData2_PDI_Cash_Exception_Application[[#This Row],[CHANGED ON]]</f>
        <v>13.742928240739275</v>
      </c>
      <c r="M587">
        <f ca="1">qry_ProdData2_PDI_Cash_Exception_Application[[#This Row],[TODAY]]-qry_ProdData2_PDI_Cash_Exception_Application[[#This Row],[CHANGED ON]]</f>
        <v>13.742928240739275</v>
      </c>
      <c r="N587">
        <f ca="1">qry_ProdData2_PDI_Cash_Exception_Application[[#This Row],[TODAY]]-qry_ProdData2_PDI_Cash_Exception_Application[[#This Row],[CHANGED ON]]</f>
        <v>13.742928240739275</v>
      </c>
    </row>
    <row r="588" spans="1:14" x14ac:dyDescent="0.35">
      <c r="A588">
        <v>1004</v>
      </c>
      <c r="B588" t="s">
        <v>58</v>
      </c>
      <c r="C588" s="1">
        <v>45184.257071759261</v>
      </c>
      <c r="D588" t="str">
        <f ca="1">VLOOKUP(qry_ProdData2_PDI_Cash_Exception_Application[[#This Row],[TYPE]],#REF!,2,FALSE)</f>
        <v>type40</v>
      </c>
      <c r="E588">
        <v>301.77999999999997</v>
      </c>
      <c r="F588" t="s">
        <v>47</v>
      </c>
      <c r="G588" s="1">
        <f>qry_ProdData2_PDI_Cash_Exception_Application[[#This Row],[INSERT DATE]]+2</f>
        <v>45186.257071759261</v>
      </c>
      <c r="H588" t="str">
        <f>VLOOKUP(qry_ProdData2_PDI_Cash_Exception_Application[[#This Row],[MARKET No]],'Site Allocation'!$B$2:$C$37,2,FALSE)</f>
        <v>Analyst1</v>
      </c>
      <c r="I588" s="4">
        <f t="shared" ca="1" si="9"/>
        <v>45203</v>
      </c>
      <c r="J588" s="42">
        <f ca="1">TODAY()-qry_ProdData2_PDI_Cash_Exception_Application[[#This Row],[INSERT DATE]]</f>
        <v>18.742928240739275</v>
      </c>
      <c r="K5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88">
        <f ca="1">qry_ProdData2_PDI_Cash_Exception_Application[[#This Row],[TODAY]]-qry_ProdData2_PDI_Cash_Exception_Application[[#This Row],[CHANGED ON]]</f>
        <v>16.742928240739275</v>
      </c>
      <c r="M588">
        <f ca="1">qry_ProdData2_PDI_Cash_Exception_Application[[#This Row],[TODAY]]-qry_ProdData2_PDI_Cash_Exception_Application[[#This Row],[CHANGED ON]]</f>
        <v>16.742928240739275</v>
      </c>
      <c r="N588">
        <f ca="1">qry_ProdData2_PDI_Cash_Exception_Application[[#This Row],[TODAY]]-qry_ProdData2_PDI_Cash_Exception_Application[[#This Row],[CHANGED ON]]</f>
        <v>16.742928240739275</v>
      </c>
    </row>
    <row r="589" spans="1:14" x14ac:dyDescent="0.35">
      <c r="A589">
        <v>1034</v>
      </c>
      <c r="B589" t="s">
        <v>88</v>
      </c>
      <c r="C589" s="1">
        <v>45191.257071759261</v>
      </c>
      <c r="D589" t="str">
        <f ca="1">VLOOKUP(qry_ProdData2_PDI_Cash_Exception_Application[[#This Row],[TYPE]],#REF!,2,FALSE)</f>
        <v>type40</v>
      </c>
      <c r="E589">
        <v>400.08</v>
      </c>
      <c r="F589" t="s">
        <v>47</v>
      </c>
      <c r="G589" s="1">
        <f>qry_ProdData2_PDI_Cash_Exception_Application[[#This Row],[INSERT DATE]]+5</f>
        <v>45196.257071759261</v>
      </c>
      <c r="H589" t="str">
        <f>VLOOKUP(qry_ProdData2_PDI_Cash_Exception_Application[[#This Row],[MARKET No]],'Site Allocation'!$B$2:$C$37,2,FALSE)</f>
        <v>Analyst6</v>
      </c>
      <c r="I589" s="4">
        <f t="shared" ca="1" si="9"/>
        <v>45203</v>
      </c>
      <c r="J589" s="42">
        <f ca="1">TODAY()-qry_ProdData2_PDI_Cash_Exception_Application[[#This Row],[INSERT DATE]]</f>
        <v>11.742928240739275</v>
      </c>
      <c r="K5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89">
        <f ca="1">qry_ProdData2_PDI_Cash_Exception_Application[[#This Row],[TODAY]]-qry_ProdData2_PDI_Cash_Exception_Application[[#This Row],[CHANGED ON]]</f>
        <v>6.7429282407392748</v>
      </c>
      <c r="M589">
        <f ca="1">qry_ProdData2_PDI_Cash_Exception_Application[[#This Row],[TODAY]]-qry_ProdData2_PDI_Cash_Exception_Application[[#This Row],[CHANGED ON]]</f>
        <v>6.7429282407392748</v>
      </c>
      <c r="N589">
        <f ca="1">qry_ProdData2_PDI_Cash_Exception_Application[[#This Row],[TODAY]]-qry_ProdData2_PDI_Cash_Exception_Application[[#This Row],[CHANGED ON]]</f>
        <v>6.7429282407392748</v>
      </c>
    </row>
    <row r="590" spans="1:14" x14ac:dyDescent="0.35">
      <c r="A590">
        <v>1001</v>
      </c>
      <c r="B590" t="s">
        <v>55</v>
      </c>
      <c r="C590" s="1">
        <v>45184.257071759261</v>
      </c>
      <c r="D590" t="str">
        <f ca="1">VLOOKUP(qry_ProdData2_PDI_Cash_Exception_Application[[#This Row],[TYPE]],#REF!,2,FALSE)</f>
        <v>type40</v>
      </c>
      <c r="E590">
        <v>357.88</v>
      </c>
      <c r="F590" t="s">
        <v>52</v>
      </c>
      <c r="G590" s="1">
        <f>qry_ProdData2_PDI_Cash_Exception_Application[[#This Row],[INSERT DATE]]+2</f>
        <v>45186.257071759261</v>
      </c>
      <c r="H590" t="str">
        <f>VLOOKUP(qry_ProdData2_PDI_Cash_Exception_Application[[#This Row],[MARKET No]],'Site Allocation'!$B$2:$C$37,2,FALSE)</f>
        <v>Analyst1</v>
      </c>
      <c r="I590" s="4">
        <f t="shared" ca="1" si="9"/>
        <v>45203</v>
      </c>
      <c r="J590" s="42">
        <f ca="1">TODAY()-qry_ProdData2_PDI_Cash_Exception_Application[[#This Row],[INSERT DATE]]</f>
        <v>18.742928240739275</v>
      </c>
      <c r="K5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90">
        <f ca="1">qry_ProdData2_PDI_Cash_Exception_Application[[#This Row],[TODAY]]-qry_ProdData2_PDI_Cash_Exception_Application[[#This Row],[CHANGED ON]]</f>
        <v>16.742928240739275</v>
      </c>
      <c r="M590">
        <f ca="1">qry_ProdData2_PDI_Cash_Exception_Application[[#This Row],[TODAY]]-qry_ProdData2_PDI_Cash_Exception_Application[[#This Row],[CHANGED ON]]</f>
        <v>16.742928240739275</v>
      </c>
      <c r="N590">
        <f ca="1">qry_ProdData2_PDI_Cash_Exception_Application[[#This Row],[TODAY]]-qry_ProdData2_PDI_Cash_Exception_Application[[#This Row],[CHANGED ON]]</f>
        <v>16.742928240739275</v>
      </c>
    </row>
    <row r="591" spans="1:14" x14ac:dyDescent="0.35">
      <c r="A591">
        <v>1019</v>
      </c>
      <c r="B591" t="s">
        <v>73</v>
      </c>
      <c r="C591" s="1">
        <v>45185.257071759261</v>
      </c>
      <c r="D591" t="str">
        <f ca="1">VLOOKUP(qry_ProdData2_PDI_Cash_Exception_Application[[#This Row],[TYPE]],#REF!,2,FALSE)</f>
        <v>type40</v>
      </c>
      <c r="E591">
        <v>16102.2</v>
      </c>
      <c r="F591" t="s">
        <v>52</v>
      </c>
      <c r="G591" s="1">
        <f>qry_ProdData2_PDI_Cash_Exception_Application[[#This Row],[INSERT DATE]]+2</f>
        <v>45187.257071759261</v>
      </c>
      <c r="H591" t="str">
        <f>VLOOKUP(qry_ProdData2_PDI_Cash_Exception_Application[[#This Row],[MARKET No]],'Site Allocation'!$B$2:$C$37,2,FALSE)</f>
        <v>Analyst4</v>
      </c>
      <c r="I591" s="4">
        <f t="shared" ca="1" si="9"/>
        <v>45203</v>
      </c>
      <c r="J591" s="42">
        <f ca="1">TODAY()-qry_ProdData2_PDI_Cash_Exception_Application[[#This Row],[INSERT DATE]]</f>
        <v>17.742928240739275</v>
      </c>
      <c r="K5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91">
        <f ca="1">qry_ProdData2_PDI_Cash_Exception_Application[[#This Row],[TODAY]]-qry_ProdData2_PDI_Cash_Exception_Application[[#This Row],[CHANGED ON]]</f>
        <v>15.742928240739275</v>
      </c>
      <c r="M591">
        <f ca="1">qry_ProdData2_PDI_Cash_Exception_Application[[#This Row],[TODAY]]-qry_ProdData2_PDI_Cash_Exception_Application[[#This Row],[CHANGED ON]]</f>
        <v>15.742928240739275</v>
      </c>
      <c r="N591">
        <f ca="1">qry_ProdData2_PDI_Cash_Exception_Application[[#This Row],[TODAY]]-qry_ProdData2_PDI_Cash_Exception_Application[[#This Row],[CHANGED ON]]</f>
        <v>15.742928240739275</v>
      </c>
    </row>
    <row r="592" spans="1:14" x14ac:dyDescent="0.35">
      <c r="A592">
        <v>1032</v>
      </c>
      <c r="B592" t="s">
        <v>86</v>
      </c>
      <c r="C592" s="1">
        <v>45186.257071759261</v>
      </c>
      <c r="D592" t="str">
        <f ca="1">VLOOKUP(qry_ProdData2_PDI_Cash_Exception_Application[[#This Row],[TYPE]],#REF!,2,FALSE)</f>
        <v>type40</v>
      </c>
      <c r="E592">
        <v>-429.71</v>
      </c>
      <c r="F592" t="s">
        <v>47</v>
      </c>
      <c r="G592" s="1">
        <f>qry_ProdData2_PDI_Cash_Exception_Application[[#This Row],[INSERT DATE]]+1</f>
        <v>45187.257071759261</v>
      </c>
      <c r="H592" t="str">
        <f>VLOOKUP(qry_ProdData2_PDI_Cash_Exception_Application[[#This Row],[MARKET No]],'Site Allocation'!$B$2:$C$37,2,FALSE)</f>
        <v>Analyst6</v>
      </c>
      <c r="I592" s="4">
        <f t="shared" ca="1" si="9"/>
        <v>45203</v>
      </c>
      <c r="J592" s="42">
        <f ca="1">TODAY()-qry_ProdData2_PDI_Cash_Exception_Application[[#This Row],[INSERT DATE]]</f>
        <v>16.742928240739275</v>
      </c>
      <c r="K5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92">
        <f ca="1">qry_ProdData2_PDI_Cash_Exception_Application[[#This Row],[TODAY]]-qry_ProdData2_PDI_Cash_Exception_Application[[#This Row],[CHANGED ON]]</f>
        <v>15.742928240739275</v>
      </c>
      <c r="M592">
        <f ca="1">qry_ProdData2_PDI_Cash_Exception_Application[[#This Row],[TODAY]]-qry_ProdData2_PDI_Cash_Exception_Application[[#This Row],[CHANGED ON]]</f>
        <v>15.742928240739275</v>
      </c>
      <c r="N592">
        <f ca="1">qry_ProdData2_PDI_Cash_Exception_Application[[#This Row],[TODAY]]-qry_ProdData2_PDI_Cash_Exception_Application[[#This Row],[CHANGED ON]]</f>
        <v>15.742928240739275</v>
      </c>
    </row>
    <row r="593" spans="1:14" x14ac:dyDescent="0.35">
      <c r="A593">
        <v>1022</v>
      </c>
      <c r="B593" t="s">
        <v>76</v>
      </c>
      <c r="C593" s="1">
        <v>45185.257071759261</v>
      </c>
      <c r="D593" t="str">
        <f ca="1">VLOOKUP(qry_ProdData2_PDI_Cash_Exception_Application[[#This Row],[TYPE]],#REF!,2,FALSE)</f>
        <v>type40</v>
      </c>
      <c r="E593">
        <v>-24529.26</v>
      </c>
      <c r="F593" t="s">
        <v>48</v>
      </c>
      <c r="G593" s="1">
        <f>qry_ProdData2_PDI_Cash_Exception_Application[[#This Row],[INSERT DATE]]+1</f>
        <v>45186.257071759261</v>
      </c>
      <c r="H593" t="str">
        <f>VLOOKUP(qry_ProdData2_PDI_Cash_Exception_Application[[#This Row],[MARKET No]],'Site Allocation'!$B$2:$C$37,2,FALSE)</f>
        <v>Analyst4</v>
      </c>
      <c r="I593" s="4">
        <f t="shared" ca="1" si="9"/>
        <v>45203</v>
      </c>
      <c r="J593" s="42">
        <f ca="1">TODAY()-qry_ProdData2_PDI_Cash_Exception_Application[[#This Row],[INSERT DATE]]</f>
        <v>17.742928240739275</v>
      </c>
      <c r="K5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93">
        <f ca="1">qry_ProdData2_PDI_Cash_Exception_Application[[#This Row],[TODAY]]-qry_ProdData2_PDI_Cash_Exception_Application[[#This Row],[CHANGED ON]]</f>
        <v>16.742928240739275</v>
      </c>
      <c r="M593">
        <f ca="1">qry_ProdData2_PDI_Cash_Exception_Application[[#This Row],[TODAY]]-qry_ProdData2_PDI_Cash_Exception_Application[[#This Row],[CHANGED ON]]</f>
        <v>16.742928240739275</v>
      </c>
      <c r="N593">
        <f ca="1">qry_ProdData2_PDI_Cash_Exception_Application[[#This Row],[TODAY]]-qry_ProdData2_PDI_Cash_Exception_Application[[#This Row],[CHANGED ON]]</f>
        <v>16.742928240739275</v>
      </c>
    </row>
    <row r="594" spans="1:14" x14ac:dyDescent="0.35">
      <c r="A594">
        <v>1019</v>
      </c>
      <c r="B594" t="s">
        <v>73</v>
      </c>
      <c r="C594" s="1">
        <v>45188.257071759261</v>
      </c>
      <c r="D594" t="str">
        <f ca="1">VLOOKUP(qry_ProdData2_PDI_Cash_Exception_Application[[#This Row],[TYPE]],#REF!,2,FALSE)</f>
        <v>type40</v>
      </c>
      <c r="E594">
        <v>1598.44</v>
      </c>
      <c r="F594" t="s">
        <v>47</v>
      </c>
      <c r="G594" s="1">
        <f>qry_ProdData2_PDI_Cash_Exception_Application[[#This Row],[INSERT DATE]]+1</f>
        <v>45189.257071759261</v>
      </c>
      <c r="H594" t="str">
        <f>VLOOKUP(qry_ProdData2_PDI_Cash_Exception_Application[[#This Row],[MARKET No]],'Site Allocation'!$B$2:$C$37,2,FALSE)</f>
        <v>Analyst4</v>
      </c>
      <c r="I594" s="4">
        <f t="shared" ca="1" si="9"/>
        <v>45203</v>
      </c>
      <c r="J594" s="42">
        <f ca="1">TODAY()-qry_ProdData2_PDI_Cash_Exception_Application[[#This Row],[INSERT DATE]]</f>
        <v>14.742928240739275</v>
      </c>
      <c r="K5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94">
        <f ca="1">qry_ProdData2_PDI_Cash_Exception_Application[[#This Row],[TODAY]]-qry_ProdData2_PDI_Cash_Exception_Application[[#This Row],[CHANGED ON]]</f>
        <v>13.742928240739275</v>
      </c>
      <c r="M594">
        <f ca="1">qry_ProdData2_PDI_Cash_Exception_Application[[#This Row],[TODAY]]-qry_ProdData2_PDI_Cash_Exception_Application[[#This Row],[CHANGED ON]]</f>
        <v>13.742928240739275</v>
      </c>
      <c r="N594">
        <f ca="1">qry_ProdData2_PDI_Cash_Exception_Application[[#This Row],[TODAY]]-qry_ProdData2_PDI_Cash_Exception_Application[[#This Row],[CHANGED ON]]</f>
        <v>13.742928240739275</v>
      </c>
    </row>
    <row r="595" spans="1:14" x14ac:dyDescent="0.35">
      <c r="A595">
        <v>1009</v>
      </c>
      <c r="B595" t="s">
        <v>63</v>
      </c>
      <c r="C595" s="1">
        <v>45184.257071759261</v>
      </c>
      <c r="D595" t="str">
        <f ca="1">VLOOKUP(qry_ProdData2_PDI_Cash_Exception_Application[[#This Row],[TYPE]],#REF!,2,FALSE)</f>
        <v>type40</v>
      </c>
      <c r="E595">
        <v>4175.37</v>
      </c>
      <c r="F595" t="s">
        <v>47</v>
      </c>
      <c r="G595" s="1">
        <f>qry_ProdData2_PDI_Cash_Exception_Application[[#This Row],[INSERT DATE]]+2</f>
        <v>45186.257071759261</v>
      </c>
      <c r="H595" t="str">
        <f>VLOOKUP(qry_ProdData2_PDI_Cash_Exception_Application[[#This Row],[MARKET No]],'Site Allocation'!$B$2:$C$37,2,FALSE)</f>
        <v>Analyst2</v>
      </c>
      <c r="I595" s="4">
        <f t="shared" ca="1" si="9"/>
        <v>45203</v>
      </c>
      <c r="J595" s="42">
        <f ca="1">TODAY()-qry_ProdData2_PDI_Cash_Exception_Application[[#This Row],[INSERT DATE]]</f>
        <v>18.742928240739275</v>
      </c>
      <c r="K5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95">
        <f ca="1">qry_ProdData2_PDI_Cash_Exception_Application[[#This Row],[TODAY]]-qry_ProdData2_PDI_Cash_Exception_Application[[#This Row],[CHANGED ON]]</f>
        <v>16.742928240739275</v>
      </c>
      <c r="M595">
        <f ca="1">qry_ProdData2_PDI_Cash_Exception_Application[[#This Row],[TODAY]]-qry_ProdData2_PDI_Cash_Exception_Application[[#This Row],[CHANGED ON]]</f>
        <v>16.742928240739275</v>
      </c>
      <c r="N595">
        <f ca="1">qry_ProdData2_PDI_Cash_Exception_Application[[#This Row],[TODAY]]-qry_ProdData2_PDI_Cash_Exception_Application[[#This Row],[CHANGED ON]]</f>
        <v>16.742928240739275</v>
      </c>
    </row>
    <row r="596" spans="1:14" x14ac:dyDescent="0.35">
      <c r="A596">
        <v>1018</v>
      </c>
      <c r="B596" t="s">
        <v>72</v>
      </c>
      <c r="C596" s="1">
        <v>45188.257071759261</v>
      </c>
      <c r="D596" t="str">
        <f ca="1">VLOOKUP(qry_ProdData2_PDI_Cash_Exception_Application[[#This Row],[TYPE]],#REF!,2,FALSE)</f>
        <v>type12</v>
      </c>
      <c r="E596">
        <v>30</v>
      </c>
      <c r="F596" t="s">
        <v>52</v>
      </c>
      <c r="G596" s="1">
        <f>qry_ProdData2_PDI_Cash_Exception_Application[[#This Row],[INSERT DATE]]+5</f>
        <v>45193.257071759261</v>
      </c>
      <c r="H596" t="str">
        <f>VLOOKUP(qry_ProdData2_PDI_Cash_Exception_Application[[#This Row],[MARKET No]],'Site Allocation'!$B$2:$C$37,2,FALSE)</f>
        <v>Analyst4</v>
      </c>
      <c r="I596" s="4">
        <f t="shared" ca="1" si="9"/>
        <v>45203</v>
      </c>
      <c r="J596" s="42">
        <f ca="1">TODAY()-qry_ProdData2_PDI_Cash_Exception_Application[[#This Row],[INSERT DATE]]</f>
        <v>14.742928240739275</v>
      </c>
      <c r="K5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96">
        <f ca="1">qry_ProdData2_PDI_Cash_Exception_Application[[#This Row],[TODAY]]-qry_ProdData2_PDI_Cash_Exception_Application[[#This Row],[CHANGED ON]]</f>
        <v>9.7429282407392748</v>
      </c>
      <c r="M596">
        <f ca="1">qry_ProdData2_PDI_Cash_Exception_Application[[#This Row],[TODAY]]-qry_ProdData2_PDI_Cash_Exception_Application[[#This Row],[CHANGED ON]]</f>
        <v>9.7429282407392748</v>
      </c>
      <c r="N596">
        <f ca="1">qry_ProdData2_PDI_Cash_Exception_Application[[#This Row],[TODAY]]-qry_ProdData2_PDI_Cash_Exception_Application[[#This Row],[CHANGED ON]]</f>
        <v>9.7429282407392748</v>
      </c>
    </row>
    <row r="597" spans="1:14" x14ac:dyDescent="0.35">
      <c r="A597">
        <v>1016</v>
      </c>
      <c r="B597" t="s">
        <v>70</v>
      </c>
      <c r="C597" s="1">
        <v>45182.257071759261</v>
      </c>
      <c r="D597" t="str">
        <f ca="1">VLOOKUP(qry_ProdData2_PDI_Cash_Exception_Application[[#This Row],[TYPE]],#REF!,2,FALSE)</f>
        <v>type17</v>
      </c>
      <c r="E597">
        <v>353.8</v>
      </c>
      <c r="F597" t="s">
        <v>49</v>
      </c>
      <c r="G597" s="1">
        <f>qry_ProdData2_PDI_Cash_Exception_Application[[#This Row],[INSERT DATE]]+2</f>
        <v>45184.257071759261</v>
      </c>
      <c r="H597" t="str">
        <f>VLOOKUP(qry_ProdData2_PDI_Cash_Exception_Application[[#This Row],[MARKET No]],'Site Allocation'!$B$2:$C$37,2,FALSE)</f>
        <v>Analyst3</v>
      </c>
      <c r="I597" s="4">
        <f t="shared" ca="1" si="9"/>
        <v>45203</v>
      </c>
      <c r="J597" s="42">
        <f ca="1">TODAY()-qry_ProdData2_PDI_Cash_Exception_Application[[#This Row],[INSERT DATE]]</f>
        <v>20.742928240739275</v>
      </c>
      <c r="K5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97">
        <f ca="1">qry_ProdData2_PDI_Cash_Exception_Application[[#This Row],[TODAY]]-qry_ProdData2_PDI_Cash_Exception_Application[[#This Row],[CHANGED ON]]</f>
        <v>18.742928240739275</v>
      </c>
      <c r="M597">
        <f ca="1">qry_ProdData2_PDI_Cash_Exception_Application[[#This Row],[TODAY]]-qry_ProdData2_PDI_Cash_Exception_Application[[#This Row],[CHANGED ON]]</f>
        <v>18.742928240739275</v>
      </c>
      <c r="N597">
        <f ca="1">qry_ProdData2_PDI_Cash_Exception_Application[[#This Row],[TODAY]]-qry_ProdData2_PDI_Cash_Exception_Application[[#This Row],[CHANGED ON]]</f>
        <v>18.742928240739275</v>
      </c>
    </row>
    <row r="598" spans="1:14" x14ac:dyDescent="0.35">
      <c r="A598">
        <v>1032</v>
      </c>
      <c r="B598" t="s">
        <v>86</v>
      </c>
      <c r="C598" s="1">
        <v>45183.257071759261</v>
      </c>
      <c r="D598" t="str">
        <f ca="1">VLOOKUP(qry_ProdData2_PDI_Cash_Exception_Application[[#This Row],[TYPE]],#REF!,2,FALSE)</f>
        <v>type40</v>
      </c>
      <c r="E598">
        <v>419.78</v>
      </c>
      <c r="F598" t="s">
        <v>49</v>
      </c>
      <c r="G598" s="1">
        <f>qry_ProdData2_PDI_Cash_Exception_Application[[#This Row],[INSERT DATE]]+2</f>
        <v>45185.257071759261</v>
      </c>
      <c r="H598" t="str">
        <f>VLOOKUP(qry_ProdData2_PDI_Cash_Exception_Application[[#This Row],[MARKET No]],'Site Allocation'!$B$2:$C$37,2,FALSE)</f>
        <v>Analyst6</v>
      </c>
      <c r="I598" s="4">
        <f t="shared" ca="1" si="9"/>
        <v>45203</v>
      </c>
      <c r="J598" s="42">
        <f ca="1">TODAY()-qry_ProdData2_PDI_Cash_Exception_Application[[#This Row],[INSERT DATE]]</f>
        <v>19.742928240739275</v>
      </c>
      <c r="K5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98">
        <f ca="1">qry_ProdData2_PDI_Cash_Exception_Application[[#This Row],[TODAY]]-qry_ProdData2_PDI_Cash_Exception_Application[[#This Row],[CHANGED ON]]</f>
        <v>17.742928240739275</v>
      </c>
      <c r="M598">
        <f ca="1">qry_ProdData2_PDI_Cash_Exception_Application[[#This Row],[TODAY]]-qry_ProdData2_PDI_Cash_Exception_Application[[#This Row],[CHANGED ON]]</f>
        <v>17.742928240739275</v>
      </c>
      <c r="N598">
        <f ca="1">qry_ProdData2_PDI_Cash_Exception_Application[[#This Row],[TODAY]]-qry_ProdData2_PDI_Cash_Exception_Application[[#This Row],[CHANGED ON]]</f>
        <v>17.742928240739275</v>
      </c>
    </row>
    <row r="599" spans="1:14" x14ac:dyDescent="0.35">
      <c r="A599">
        <v>1007</v>
      </c>
      <c r="B599" t="s">
        <v>61</v>
      </c>
      <c r="C599" s="1">
        <v>45189.257071759261</v>
      </c>
      <c r="D599" t="str">
        <f ca="1">VLOOKUP(qry_ProdData2_PDI_Cash_Exception_Application[[#This Row],[TYPE]],#REF!,2,FALSE)</f>
        <v>type40</v>
      </c>
      <c r="E599">
        <v>16936.669999999998</v>
      </c>
      <c r="F599" t="s">
        <v>47</v>
      </c>
      <c r="G599" s="1">
        <f>qry_ProdData2_PDI_Cash_Exception_Application[[#This Row],[INSERT DATE]]+2</f>
        <v>45191.257071759261</v>
      </c>
      <c r="H599" t="str">
        <f>VLOOKUP(qry_ProdData2_PDI_Cash_Exception_Application[[#This Row],[MARKET No]],'Site Allocation'!$B$2:$C$37,2,FALSE)</f>
        <v>Analyst2</v>
      </c>
      <c r="I599" s="4">
        <f t="shared" ca="1" si="9"/>
        <v>45203</v>
      </c>
      <c r="J599" s="42">
        <f ca="1">TODAY()-qry_ProdData2_PDI_Cash_Exception_Application[[#This Row],[INSERT DATE]]</f>
        <v>13.742928240739275</v>
      </c>
      <c r="K5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599">
        <f ca="1">qry_ProdData2_PDI_Cash_Exception_Application[[#This Row],[TODAY]]-qry_ProdData2_PDI_Cash_Exception_Application[[#This Row],[CHANGED ON]]</f>
        <v>11.742928240739275</v>
      </c>
      <c r="M599">
        <f ca="1">qry_ProdData2_PDI_Cash_Exception_Application[[#This Row],[TODAY]]-qry_ProdData2_PDI_Cash_Exception_Application[[#This Row],[CHANGED ON]]</f>
        <v>11.742928240739275</v>
      </c>
      <c r="N599">
        <f ca="1">qry_ProdData2_PDI_Cash_Exception_Application[[#This Row],[TODAY]]-qry_ProdData2_PDI_Cash_Exception_Application[[#This Row],[CHANGED ON]]</f>
        <v>11.742928240739275</v>
      </c>
    </row>
    <row r="600" spans="1:14" x14ac:dyDescent="0.35">
      <c r="A600">
        <v>1010</v>
      </c>
      <c r="B600" t="s">
        <v>64</v>
      </c>
      <c r="C600" s="1">
        <v>45182.257071759261</v>
      </c>
      <c r="D600" t="str">
        <f ca="1">VLOOKUP(qry_ProdData2_PDI_Cash_Exception_Application[[#This Row],[TYPE]],#REF!,2,FALSE)</f>
        <v>type26</v>
      </c>
      <c r="E600">
        <v>106.65</v>
      </c>
      <c r="F600" t="s">
        <v>47</v>
      </c>
      <c r="G600" s="1">
        <f>qry_ProdData2_PDI_Cash_Exception_Application[[#This Row],[INSERT DATE]]+2</f>
        <v>45184.257071759261</v>
      </c>
      <c r="H600" t="str">
        <f>VLOOKUP(qry_ProdData2_PDI_Cash_Exception_Application[[#This Row],[MARKET No]],'Site Allocation'!$B$2:$C$37,2,FALSE)</f>
        <v>Analyst2</v>
      </c>
      <c r="I600" s="4">
        <f t="shared" ca="1" si="9"/>
        <v>45203</v>
      </c>
      <c r="J600" s="42">
        <f ca="1">TODAY()-qry_ProdData2_PDI_Cash_Exception_Application[[#This Row],[INSERT DATE]]</f>
        <v>20.742928240739275</v>
      </c>
      <c r="K6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00">
        <f ca="1">qry_ProdData2_PDI_Cash_Exception_Application[[#This Row],[TODAY]]-qry_ProdData2_PDI_Cash_Exception_Application[[#This Row],[CHANGED ON]]</f>
        <v>18.742928240739275</v>
      </c>
      <c r="M600">
        <f ca="1">qry_ProdData2_PDI_Cash_Exception_Application[[#This Row],[TODAY]]-qry_ProdData2_PDI_Cash_Exception_Application[[#This Row],[CHANGED ON]]</f>
        <v>18.742928240739275</v>
      </c>
      <c r="N600">
        <f ca="1">qry_ProdData2_PDI_Cash_Exception_Application[[#This Row],[TODAY]]-qry_ProdData2_PDI_Cash_Exception_Application[[#This Row],[CHANGED ON]]</f>
        <v>18.742928240739275</v>
      </c>
    </row>
    <row r="601" spans="1:14" x14ac:dyDescent="0.35">
      <c r="A601">
        <v>1029</v>
      </c>
      <c r="B601" t="s">
        <v>83</v>
      </c>
      <c r="C601" s="1">
        <v>45191.257071759261</v>
      </c>
      <c r="D601" t="str">
        <f ca="1">VLOOKUP(qry_ProdData2_PDI_Cash_Exception_Application[[#This Row],[TYPE]],#REF!,2,FALSE)</f>
        <v>type40</v>
      </c>
      <c r="E601">
        <v>1785</v>
      </c>
      <c r="F601" t="s">
        <v>50</v>
      </c>
      <c r="G601" s="1">
        <f>qry_ProdData2_PDI_Cash_Exception_Application[[#This Row],[INSERT DATE]]+5</f>
        <v>45196.257071759261</v>
      </c>
      <c r="H601" t="str">
        <f>VLOOKUP(qry_ProdData2_PDI_Cash_Exception_Application[[#This Row],[MARKET No]],'Site Allocation'!$B$2:$C$37,2,FALSE)</f>
        <v>Analyst5</v>
      </c>
      <c r="I601" s="4">
        <f t="shared" ca="1" si="9"/>
        <v>45203</v>
      </c>
      <c r="J601" s="42">
        <f ca="1">TODAY()-qry_ProdData2_PDI_Cash_Exception_Application[[#This Row],[INSERT DATE]]</f>
        <v>11.742928240739275</v>
      </c>
      <c r="K6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01">
        <f ca="1">qry_ProdData2_PDI_Cash_Exception_Application[[#This Row],[TODAY]]-qry_ProdData2_PDI_Cash_Exception_Application[[#This Row],[CHANGED ON]]</f>
        <v>6.7429282407392748</v>
      </c>
      <c r="M601">
        <f ca="1">qry_ProdData2_PDI_Cash_Exception_Application[[#This Row],[TODAY]]-qry_ProdData2_PDI_Cash_Exception_Application[[#This Row],[CHANGED ON]]</f>
        <v>6.7429282407392748</v>
      </c>
      <c r="N601">
        <f ca="1">qry_ProdData2_PDI_Cash_Exception_Application[[#This Row],[TODAY]]-qry_ProdData2_PDI_Cash_Exception_Application[[#This Row],[CHANGED ON]]</f>
        <v>6.7429282407392748</v>
      </c>
    </row>
    <row r="602" spans="1:14" x14ac:dyDescent="0.35">
      <c r="A602">
        <v>1003</v>
      </c>
      <c r="B602" t="s">
        <v>57</v>
      </c>
      <c r="C602" s="1">
        <v>45192.257071759261</v>
      </c>
      <c r="D602" t="str">
        <f ca="1">VLOOKUP(qry_ProdData2_PDI_Cash_Exception_Application[[#This Row],[TYPE]],#REF!,2,FALSE)</f>
        <v>type40</v>
      </c>
      <c r="E602">
        <v>24462.47</v>
      </c>
      <c r="F602" t="s">
        <v>50</v>
      </c>
      <c r="G602" s="1">
        <f>qry_ProdData2_PDI_Cash_Exception_Application[[#This Row],[INSERT DATE]]+5</f>
        <v>45197.257071759261</v>
      </c>
      <c r="H602" t="str">
        <f>VLOOKUP(qry_ProdData2_PDI_Cash_Exception_Application[[#This Row],[MARKET No]],'Site Allocation'!$B$2:$C$37,2,FALSE)</f>
        <v>Analyst1</v>
      </c>
      <c r="I602" s="4">
        <f t="shared" ca="1" si="9"/>
        <v>45203</v>
      </c>
      <c r="J602" s="42">
        <f ca="1">TODAY()-qry_ProdData2_PDI_Cash_Exception_Application[[#This Row],[INSERT DATE]]</f>
        <v>10.742928240739275</v>
      </c>
      <c r="K6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02">
        <f ca="1">qry_ProdData2_PDI_Cash_Exception_Application[[#This Row],[TODAY]]-qry_ProdData2_PDI_Cash_Exception_Application[[#This Row],[CHANGED ON]]</f>
        <v>5.7429282407392748</v>
      </c>
      <c r="M602">
        <f ca="1">qry_ProdData2_PDI_Cash_Exception_Application[[#This Row],[TODAY]]-qry_ProdData2_PDI_Cash_Exception_Application[[#This Row],[CHANGED ON]]</f>
        <v>5.7429282407392748</v>
      </c>
      <c r="N602">
        <f ca="1">qry_ProdData2_PDI_Cash_Exception_Application[[#This Row],[TODAY]]-qry_ProdData2_PDI_Cash_Exception_Application[[#This Row],[CHANGED ON]]</f>
        <v>5.7429282407392748</v>
      </c>
    </row>
    <row r="603" spans="1:14" x14ac:dyDescent="0.35">
      <c r="A603">
        <v>1028</v>
      </c>
      <c r="B603" t="s">
        <v>82</v>
      </c>
      <c r="C603" s="1">
        <v>45187.257071759261</v>
      </c>
      <c r="D603" t="str">
        <f ca="1">VLOOKUP(qry_ProdData2_PDI_Cash_Exception_Application[[#This Row],[TYPE]],#REF!,2,FALSE)</f>
        <v>type40</v>
      </c>
      <c r="E603">
        <v>-570.65</v>
      </c>
      <c r="F603" t="s">
        <v>48</v>
      </c>
      <c r="G603" s="1">
        <f>qry_ProdData2_PDI_Cash_Exception_Application[[#This Row],[INSERT DATE]]+1</f>
        <v>45188.257071759261</v>
      </c>
      <c r="H603" t="str">
        <f>VLOOKUP(qry_ProdData2_PDI_Cash_Exception_Application[[#This Row],[MARKET No]],'Site Allocation'!$B$2:$C$37,2,FALSE)</f>
        <v>Analyst5</v>
      </c>
      <c r="I603" s="4">
        <f t="shared" ca="1" si="9"/>
        <v>45203</v>
      </c>
      <c r="J603" s="42">
        <f ca="1">TODAY()-qry_ProdData2_PDI_Cash_Exception_Application[[#This Row],[INSERT DATE]]</f>
        <v>15.742928240739275</v>
      </c>
      <c r="K6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03">
        <f ca="1">qry_ProdData2_PDI_Cash_Exception_Application[[#This Row],[TODAY]]-qry_ProdData2_PDI_Cash_Exception_Application[[#This Row],[CHANGED ON]]</f>
        <v>14.742928240739275</v>
      </c>
      <c r="M603">
        <f ca="1">qry_ProdData2_PDI_Cash_Exception_Application[[#This Row],[TODAY]]-qry_ProdData2_PDI_Cash_Exception_Application[[#This Row],[CHANGED ON]]</f>
        <v>14.742928240739275</v>
      </c>
      <c r="N603">
        <f ca="1">qry_ProdData2_PDI_Cash_Exception_Application[[#This Row],[TODAY]]-qry_ProdData2_PDI_Cash_Exception_Application[[#This Row],[CHANGED ON]]</f>
        <v>14.742928240739275</v>
      </c>
    </row>
    <row r="604" spans="1:14" x14ac:dyDescent="0.35">
      <c r="A604">
        <v>1030</v>
      </c>
      <c r="B604" t="s">
        <v>84</v>
      </c>
      <c r="C604" s="1">
        <v>45190.257071759261</v>
      </c>
      <c r="D604" t="str">
        <f ca="1">VLOOKUP(qry_ProdData2_PDI_Cash_Exception_Application[[#This Row],[TYPE]],#REF!,2,FALSE)</f>
        <v>type41</v>
      </c>
      <c r="E604">
        <v>718.16</v>
      </c>
      <c r="F604" t="s">
        <v>48</v>
      </c>
      <c r="G604" s="1">
        <f>qry_ProdData2_PDI_Cash_Exception_Application[[#This Row],[INSERT DATE]]+2</f>
        <v>45192.257071759261</v>
      </c>
      <c r="H604" t="str">
        <f>VLOOKUP(qry_ProdData2_PDI_Cash_Exception_Application[[#This Row],[MARKET No]],'Site Allocation'!$B$2:$C$37,2,FALSE)</f>
        <v>Analyst6</v>
      </c>
      <c r="I604" s="4">
        <f t="shared" ca="1" si="9"/>
        <v>45203</v>
      </c>
      <c r="J604" s="42">
        <f ca="1">TODAY()-qry_ProdData2_PDI_Cash_Exception_Application[[#This Row],[INSERT DATE]]</f>
        <v>12.742928240739275</v>
      </c>
      <c r="K6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04">
        <f ca="1">qry_ProdData2_PDI_Cash_Exception_Application[[#This Row],[TODAY]]-qry_ProdData2_PDI_Cash_Exception_Application[[#This Row],[CHANGED ON]]</f>
        <v>10.742928240739275</v>
      </c>
      <c r="M604">
        <f ca="1">qry_ProdData2_PDI_Cash_Exception_Application[[#This Row],[TODAY]]-qry_ProdData2_PDI_Cash_Exception_Application[[#This Row],[CHANGED ON]]</f>
        <v>10.742928240739275</v>
      </c>
      <c r="N604">
        <f ca="1">qry_ProdData2_PDI_Cash_Exception_Application[[#This Row],[TODAY]]-qry_ProdData2_PDI_Cash_Exception_Application[[#This Row],[CHANGED ON]]</f>
        <v>10.742928240739275</v>
      </c>
    </row>
    <row r="605" spans="1:14" x14ac:dyDescent="0.35">
      <c r="A605">
        <v>1015</v>
      </c>
      <c r="B605" t="s">
        <v>69</v>
      </c>
      <c r="C605" s="1">
        <v>45189.257071759261</v>
      </c>
      <c r="D605" t="str">
        <f ca="1">VLOOKUP(qry_ProdData2_PDI_Cash_Exception_Application[[#This Row],[TYPE]],#REF!,2,FALSE)</f>
        <v>type13</v>
      </c>
      <c r="E605">
        <v>42035.44</v>
      </c>
      <c r="F605" t="s">
        <v>51</v>
      </c>
      <c r="G605" s="1">
        <f>qry_ProdData2_PDI_Cash_Exception_Application[[#This Row],[INSERT DATE]]+5</f>
        <v>45194.257071759261</v>
      </c>
      <c r="H605" t="str">
        <f>VLOOKUP(qry_ProdData2_PDI_Cash_Exception_Application[[#This Row],[MARKET No]],'Site Allocation'!$B$2:$C$37,2,FALSE)</f>
        <v>Analyst3</v>
      </c>
      <c r="I605" s="4">
        <f t="shared" ca="1" si="9"/>
        <v>45203</v>
      </c>
      <c r="J605" s="42">
        <f ca="1">TODAY()-qry_ProdData2_PDI_Cash_Exception_Application[[#This Row],[INSERT DATE]]</f>
        <v>13.742928240739275</v>
      </c>
      <c r="K6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05">
        <f ca="1">qry_ProdData2_PDI_Cash_Exception_Application[[#This Row],[TODAY]]-qry_ProdData2_PDI_Cash_Exception_Application[[#This Row],[CHANGED ON]]</f>
        <v>8.7429282407392748</v>
      </c>
      <c r="M605">
        <f ca="1">qry_ProdData2_PDI_Cash_Exception_Application[[#This Row],[TODAY]]-qry_ProdData2_PDI_Cash_Exception_Application[[#This Row],[CHANGED ON]]</f>
        <v>8.7429282407392748</v>
      </c>
      <c r="N605">
        <f ca="1">qry_ProdData2_PDI_Cash_Exception_Application[[#This Row],[TODAY]]-qry_ProdData2_PDI_Cash_Exception_Application[[#This Row],[CHANGED ON]]</f>
        <v>8.7429282407392748</v>
      </c>
    </row>
    <row r="606" spans="1:14" x14ac:dyDescent="0.35">
      <c r="A606">
        <v>1034</v>
      </c>
      <c r="B606" t="s">
        <v>88</v>
      </c>
      <c r="C606" s="1">
        <v>45196.257071759261</v>
      </c>
      <c r="D606" t="str">
        <f ca="1">VLOOKUP(qry_ProdData2_PDI_Cash_Exception_Application[[#This Row],[TYPE]],#REF!,2,FALSE)</f>
        <v>type40</v>
      </c>
      <c r="E606">
        <v>573.07000000000005</v>
      </c>
      <c r="F606" t="s">
        <v>52</v>
      </c>
      <c r="G606" s="1">
        <f>qry_ProdData2_PDI_Cash_Exception_Application[[#This Row],[INSERT DATE]]+7</f>
        <v>45203.257071759261</v>
      </c>
      <c r="H606" t="str">
        <f>VLOOKUP(qry_ProdData2_PDI_Cash_Exception_Application[[#This Row],[MARKET No]],'Site Allocation'!$B$2:$C$37,2,FALSE)</f>
        <v>Analyst6</v>
      </c>
      <c r="I606" s="4">
        <f t="shared" ca="1" si="9"/>
        <v>45203</v>
      </c>
      <c r="J606" s="42">
        <f ca="1">TODAY()-qry_ProdData2_PDI_Cash_Exception_Application[[#This Row],[INSERT DATE]]</f>
        <v>6.7429282407392748</v>
      </c>
      <c r="K6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606">
        <f ca="1">qry_ProdData2_PDI_Cash_Exception_Application[[#This Row],[TODAY]]-qry_ProdData2_PDI_Cash_Exception_Application[[#This Row],[CHANGED ON]]</f>
        <v>-0.25707175926072523</v>
      </c>
      <c r="M606">
        <f ca="1">qry_ProdData2_PDI_Cash_Exception_Application[[#This Row],[TODAY]]-qry_ProdData2_PDI_Cash_Exception_Application[[#This Row],[CHANGED ON]]</f>
        <v>-0.25707175926072523</v>
      </c>
      <c r="N606">
        <f ca="1">qry_ProdData2_PDI_Cash_Exception_Application[[#This Row],[TODAY]]-qry_ProdData2_PDI_Cash_Exception_Application[[#This Row],[CHANGED ON]]</f>
        <v>-0.25707175926072523</v>
      </c>
    </row>
    <row r="607" spans="1:14" x14ac:dyDescent="0.35">
      <c r="A607">
        <v>1001</v>
      </c>
      <c r="B607" t="s">
        <v>55</v>
      </c>
      <c r="C607" s="1">
        <v>45185.257071759261</v>
      </c>
      <c r="D607" t="str">
        <f ca="1">VLOOKUP(qry_ProdData2_PDI_Cash_Exception_Application[[#This Row],[TYPE]],#REF!,2,FALSE)</f>
        <v>type16</v>
      </c>
      <c r="E607">
        <v>-1536</v>
      </c>
      <c r="F607" t="s">
        <v>51</v>
      </c>
      <c r="G607" s="1">
        <f>qry_ProdData2_PDI_Cash_Exception_Application[[#This Row],[INSERT DATE]]+7</f>
        <v>45192.257071759261</v>
      </c>
      <c r="H607" t="str">
        <f>VLOOKUP(qry_ProdData2_PDI_Cash_Exception_Application[[#This Row],[MARKET No]],'Site Allocation'!$B$2:$C$37,2,FALSE)</f>
        <v>Analyst1</v>
      </c>
      <c r="I607" s="4">
        <f t="shared" ca="1" si="9"/>
        <v>45203</v>
      </c>
      <c r="J607" s="42">
        <f ca="1">TODAY()-qry_ProdData2_PDI_Cash_Exception_Application[[#This Row],[INSERT DATE]]</f>
        <v>17.742928240739275</v>
      </c>
      <c r="K6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07">
        <f ca="1">qry_ProdData2_PDI_Cash_Exception_Application[[#This Row],[TODAY]]-qry_ProdData2_PDI_Cash_Exception_Application[[#This Row],[CHANGED ON]]</f>
        <v>10.742928240739275</v>
      </c>
      <c r="M607">
        <f ca="1">qry_ProdData2_PDI_Cash_Exception_Application[[#This Row],[TODAY]]-qry_ProdData2_PDI_Cash_Exception_Application[[#This Row],[CHANGED ON]]</f>
        <v>10.742928240739275</v>
      </c>
      <c r="N607">
        <f ca="1">qry_ProdData2_PDI_Cash_Exception_Application[[#This Row],[TODAY]]-qry_ProdData2_PDI_Cash_Exception_Application[[#This Row],[CHANGED ON]]</f>
        <v>10.742928240739275</v>
      </c>
    </row>
    <row r="608" spans="1:14" x14ac:dyDescent="0.35">
      <c r="A608">
        <v>1002</v>
      </c>
      <c r="B608" t="s">
        <v>56</v>
      </c>
      <c r="C608" s="1">
        <v>45190.257071759261</v>
      </c>
      <c r="D608" t="str">
        <f ca="1">VLOOKUP(qry_ProdData2_PDI_Cash_Exception_Application[[#This Row],[TYPE]],#REF!,2,FALSE)</f>
        <v>type40</v>
      </c>
      <c r="E608">
        <v>36.36</v>
      </c>
      <c r="F608" t="s">
        <v>51</v>
      </c>
      <c r="G608" s="1">
        <f>qry_ProdData2_PDI_Cash_Exception_Application[[#This Row],[INSERT DATE]]+2</f>
        <v>45192.257071759261</v>
      </c>
      <c r="H608" t="str">
        <f>VLOOKUP(qry_ProdData2_PDI_Cash_Exception_Application[[#This Row],[MARKET No]],'Site Allocation'!$B$2:$C$37,2,FALSE)</f>
        <v>Analyst1</v>
      </c>
      <c r="I608" s="4">
        <f t="shared" ca="1" si="9"/>
        <v>45203</v>
      </c>
      <c r="J608" s="42">
        <f ca="1">TODAY()-qry_ProdData2_PDI_Cash_Exception_Application[[#This Row],[INSERT DATE]]</f>
        <v>12.742928240739275</v>
      </c>
      <c r="K6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08">
        <f ca="1">qry_ProdData2_PDI_Cash_Exception_Application[[#This Row],[TODAY]]-qry_ProdData2_PDI_Cash_Exception_Application[[#This Row],[CHANGED ON]]</f>
        <v>10.742928240739275</v>
      </c>
      <c r="M608">
        <f ca="1">qry_ProdData2_PDI_Cash_Exception_Application[[#This Row],[TODAY]]-qry_ProdData2_PDI_Cash_Exception_Application[[#This Row],[CHANGED ON]]</f>
        <v>10.742928240739275</v>
      </c>
      <c r="N608">
        <f ca="1">qry_ProdData2_PDI_Cash_Exception_Application[[#This Row],[TODAY]]-qry_ProdData2_PDI_Cash_Exception_Application[[#This Row],[CHANGED ON]]</f>
        <v>10.742928240739275</v>
      </c>
    </row>
    <row r="609" spans="1:14" x14ac:dyDescent="0.35">
      <c r="A609">
        <v>1008</v>
      </c>
      <c r="B609" t="s">
        <v>62</v>
      </c>
      <c r="C609" s="1">
        <v>45186.257071759261</v>
      </c>
      <c r="D609" t="str">
        <f ca="1">VLOOKUP(qry_ProdData2_PDI_Cash_Exception_Application[[#This Row],[TYPE]],#REF!,2,FALSE)</f>
        <v>type13</v>
      </c>
      <c r="E609">
        <v>25492.45</v>
      </c>
      <c r="F609" t="s">
        <v>52</v>
      </c>
      <c r="G609" s="1">
        <f>qry_ProdData2_PDI_Cash_Exception_Application[[#This Row],[INSERT DATE]]+7</f>
        <v>45193.257071759261</v>
      </c>
      <c r="H609" t="str">
        <f>VLOOKUP(qry_ProdData2_PDI_Cash_Exception_Application[[#This Row],[MARKET No]],'Site Allocation'!$B$2:$C$37,2,FALSE)</f>
        <v>Analyst2</v>
      </c>
      <c r="I609" s="4">
        <f t="shared" ca="1" si="9"/>
        <v>45203</v>
      </c>
      <c r="J609" s="42">
        <f ca="1">TODAY()-qry_ProdData2_PDI_Cash_Exception_Application[[#This Row],[INSERT DATE]]</f>
        <v>16.742928240739275</v>
      </c>
      <c r="K6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09">
        <f ca="1">qry_ProdData2_PDI_Cash_Exception_Application[[#This Row],[TODAY]]-qry_ProdData2_PDI_Cash_Exception_Application[[#This Row],[CHANGED ON]]</f>
        <v>9.7429282407392748</v>
      </c>
      <c r="M609">
        <f ca="1">qry_ProdData2_PDI_Cash_Exception_Application[[#This Row],[TODAY]]-qry_ProdData2_PDI_Cash_Exception_Application[[#This Row],[CHANGED ON]]</f>
        <v>9.7429282407392748</v>
      </c>
      <c r="N609">
        <f ca="1">qry_ProdData2_PDI_Cash_Exception_Application[[#This Row],[TODAY]]-qry_ProdData2_PDI_Cash_Exception_Application[[#This Row],[CHANGED ON]]</f>
        <v>9.7429282407392748</v>
      </c>
    </row>
    <row r="610" spans="1:14" x14ac:dyDescent="0.35">
      <c r="A610">
        <v>1018</v>
      </c>
      <c r="B610" t="s">
        <v>72</v>
      </c>
      <c r="C610" s="1">
        <v>45182.257071759261</v>
      </c>
      <c r="D610" t="str">
        <f ca="1">VLOOKUP(qry_ProdData2_PDI_Cash_Exception_Application[[#This Row],[TYPE]],#REF!,2,FALSE)</f>
        <v>type26</v>
      </c>
      <c r="E610">
        <v>149.85</v>
      </c>
      <c r="F610" t="s">
        <v>51</v>
      </c>
      <c r="G610" s="1">
        <f>qry_ProdData2_PDI_Cash_Exception_Application[[#This Row],[INSERT DATE]]+2</f>
        <v>45184.257071759261</v>
      </c>
      <c r="H610" t="str">
        <f>VLOOKUP(qry_ProdData2_PDI_Cash_Exception_Application[[#This Row],[MARKET No]],'Site Allocation'!$B$2:$C$37,2,FALSE)</f>
        <v>Analyst4</v>
      </c>
      <c r="I610" s="4">
        <f t="shared" ca="1" si="9"/>
        <v>45203</v>
      </c>
      <c r="J610" s="42">
        <f ca="1">TODAY()-qry_ProdData2_PDI_Cash_Exception_Application[[#This Row],[INSERT DATE]]</f>
        <v>20.742928240739275</v>
      </c>
      <c r="K6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10">
        <f ca="1">qry_ProdData2_PDI_Cash_Exception_Application[[#This Row],[TODAY]]-qry_ProdData2_PDI_Cash_Exception_Application[[#This Row],[CHANGED ON]]</f>
        <v>18.742928240739275</v>
      </c>
      <c r="M610">
        <f ca="1">qry_ProdData2_PDI_Cash_Exception_Application[[#This Row],[TODAY]]-qry_ProdData2_PDI_Cash_Exception_Application[[#This Row],[CHANGED ON]]</f>
        <v>18.742928240739275</v>
      </c>
      <c r="N610">
        <f ca="1">qry_ProdData2_PDI_Cash_Exception_Application[[#This Row],[TODAY]]-qry_ProdData2_PDI_Cash_Exception_Application[[#This Row],[CHANGED ON]]</f>
        <v>18.742928240739275</v>
      </c>
    </row>
    <row r="611" spans="1:14" x14ac:dyDescent="0.35">
      <c r="A611">
        <v>1008</v>
      </c>
      <c r="B611" t="s">
        <v>62</v>
      </c>
      <c r="C611" s="1">
        <v>45189.257071759261</v>
      </c>
      <c r="D611" t="str">
        <f ca="1">VLOOKUP(qry_ProdData2_PDI_Cash_Exception_Application[[#This Row],[TYPE]],#REF!,2,FALSE)</f>
        <v>type40</v>
      </c>
      <c r="E611">
        <v>14.78</v>
      </c>
      <c r="F611" t="s">
        <v>51</v>
      </c>
      <c r="G611" s="1">
        <f>qry_ProdData2_PDI_Cash_Exception_Application[[#This Row],[INSERT DATE]]+5</f>
        <v>45194.257071759261</v>
      </c>
      <c r="H611" t="str">
        <f>VLOOKUP(qry_ProdData2_PDI_Cash_Exception_Application[[#This Row],[MARKET No]],'Site Allocation'!$B$2:$C$37,2,FALSE)</f>
        <v>Analyst2</v>
      </c>
      <c r="I611" s="4">
        <f t="shared" ca="1" si="9"/>
        <v>45203</v>
      </c>
      <c r="J611" s="42">
        <f ca="1">TODAY()-qry_ProdData2_PDI_Cash_Exception_Application[[#This Row],[INSERT DATE]]</f>
        <v>13.742928240739275</v>
      </c>
      <c r="K6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11">
        <f ca="1">qry_ProdData2_PDI_Cash_Exception_Application[[#This Row],[TODAY]]-qry_ProdData2_PDI_Cash_Exception_Application[[#This Row],[CHANGED ON]]</f>
        <v>8.7429282407392748</v>
      </c>
      <c r="M611">
        <f ca="1">qry_ProdData2_PDI_Cash_Exception_Application[[#This Row],[TODAY]]-qry_ProdData2_PDI_Cash_Exception_Application[[#This Row],[CHANGED ON]]</f>
        <v>8.7429282407392748</v>
      </c>
      <c r="N611">
        <f ca="1">qry_ProdData2_PDI_Cash_Exception_Application[[#This Row],[TODAY]]-qry_ProdData2_PDI_Cash_Exception_Application[[#This Row],[CHANGED ON]]</f>
        <v>8.7429282407392748</v>
      </c>
    </row>
    <row r="612" spans="1:14" x14ac:dyDescent="0.35">
      <c r="A612">
        <v>1019</v>
      </c>
      <c r="B612" t="s">
        <v>73</v>
      </c>
      <c r="C612" s="1">
        <v>45184.257071759261</v>
      </c>
      <c r="D612" t="str">
        <f ca="1">VLOOKUP(qry_ProdData2_PDI_Cash_Exception_Application[[#This Row],[TYPE]],#REF!,2,FALSE)</f>
        <v>type54</v>
      </c>
      <c r="E612">
        <v>2000</v>
      </c>
      <c r="F612" t="s">
        <v>47</v>
      </c>
      <c r="G612" s="1">
        <f>qry_ProdData2_PDI_Cash_Exception_Application[[#This Row],[INSERT DATE]]+5</f>
        <v>45189.257071759261</v>
      </c>
      <c r="H612" t="str">
        <f>VLOOKUP(qry_ProdData2_PDI_Cash_Exception_Application[[#This Row],[MARKET No]],'Site Allocation'!$B$2:$C$37,2,FALSE)</f>
        <v>Analyst4</v>
      </c>
      <c r="I612" s="4">
        <f t="shared" ca="1" si="9"/>
        <v>45203</v>
      </c>
      <c r="J612" s="42">
        <f ca="1">TODAY()-qry_ProdData2_PDI_Cash_Exception_Application[[#This Row],[INSERT DATE]]</f>
        <v>18.742928240739275</v>
      </c>
      <c r="K6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12">
        <f ca="1">qry_ProdData2_PDI_Cash_Exception_Application[[#This Row],[TODAY]]-qry_ProdData2_PDI_Cash_Exception_Application[[#This Row],[CHANGED ON]]</f>
        <v>13.742928240739275</v>
      </c>
      <c r="M612">
        <f ca="1">qry_ProdData2_PDI_Cash_Exception_Application[[#This Row],[TODAY]]-qry_ProdData2_PDI_Cash_Exception_Application[[#This Row],[CHANGED ON]]</f>
        <v>13.742928240739275</v>
      </c>
      <c r="N612">
        <f ca="1">qry_ProdData2_PDI_Cash_Exception_Application[[#This Row],[TODAY]]-qry_ProdData2_PDI_Cash_Exception_Application[[#This Row],[CHANGED ON]]</f>
        <v>13.742928240739275</v>
      </c>
    </row>
    <row r="613" spans="1:14" x14ac:dyDescent="0.35">
      <c r="A613">
        <v>1020</v>
      </c>
      <c r="B613" t="s">
        <v>74</v>
      </c>
      <c r="C613" s="1">
        <v>45187.257071759261</v>
      </c>
      <c r="D613" t="str">
        <f ca="1">VLOOKUP(qry_ProdData2_PDI_Cash_Exception_Application[[#This Row],[TYPE]],#REF!,2,FALSE)</f>
        <v>type40</v>
      </c>
      <c r="E613">
        <v>40</v>
      </c>
      <c r="F613" t="s">
        <v>48</v>
      </c>
      <c r="G613" s="1">
        <f>qry_ProdData2_PDI_Cash_Exception_Application[[#This Row],[INSERT DATE]]+5</f>
        <v>45192.257071759261</v>
      </c>
      <c r="H613" t="str">
        <f>VLOOKUP(qry_ProdData2_PDI_Cash_Exception_Application[[#This Row],[MARKET No]],'Site Allocation'!$B$2:$C$37,2,FALSE)</f>
        <v>Analyst4</v>
      </c>
      <c r="I613" s="4">
        <f t="shared" ca="1" si="9"/>
        <v>45203</v>
      </c>
      <c r="J613" s="42">
        <f ca="1">TODAY()-qry_ProdData2_PDI_Cash_Exception_Application[[#This Row],[INSERT DATE]]</f>
        <v>15.742928240739275</v>
      </c>
      <c r="K6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13">
        <f ca="1">qry_ProdData2_PDI_Cash_Exception_Application[[#This Row],[TODAY]]-qry_ProdData2_PDI_Cash_Exception_Application[[#This Row],[CHANGED ON]]</f>
        <v>10.742928240739275</v>
      </c>
      <c r="M613">
        <f ca="1">qry_ProdData2_PDI_Cash_Exception_Application[[#This Row],[TODAY]]-qry_ProdData2_PDI_Cash_Exception_Application[[#This Row],[CHANGED ON]]</f>
        <v>10.742928240739275</v>
      </c>
      <c r="N613">
        <f ca="1">qry_ProdData2_PDI_Cash_Exception_Application[[#This Row],[TODAY]]-qry_ProdData2_PDI_Cash_Exception_Application[[#This Row],[CHANGED ON]]</f>
        <v>10.742928240739275</v>
      </c>
    </row>
    <row r="614" spans="1:14" x14ac:dyDescent="0.35">
      <c r="A614">
        <v>1012</v>
      </c>
      <c r="B614" t="s">
        <v>66</v>
      </c>
      <c r="C614" s="1">
        <v>45191.257071759261</v>
      </c>
      <c r="D614" t="str">
        <f ca="1">VLOOKUP(qry_ProdData2_PDI_Cash_Exception_Application[[#This Row],[TYPE]],#REF!,2,FALSE)</f>
        <v>type10</v>
      </c>
      <c r="E614">
        <v>171.37</v>
      </c>
      <c r="F614" t="s">
        <v>51</v>
      </c>
      <c r="G614" s="1">
        <f>qry_ProdData2_PDI_Cash_Exception_Application[[#This Row],[INSERT DATE]]+7</f>
        <v>45198.257071759261</v>
      </c>
      <c r="H614" t="str">
        <f>VLOOKUP(qry_ProdData2_PDI_Cash_Exception_Application[[#This Row],[MARKET No]],'Site Allocation'!$B$2:$C$37,2,FALSE)</f>
        <v>Analyst3</v>
      </c>
      <c r="I614" s="4">
        <f t="shared" ca="1" si="9"/>
        <v>45203</v>
      </c>
      <c r="J614" s="42">
        <f ca="1">TODAY()-qry_ProdData2_PDI_Cash_Exception_Application[[#This Row],[INSERT DATE]]</f>
        <v>11.742928240739275</v>
      </c>
      <c r="K6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14">
        <f ca="1">qry_ProdData2_PDI_Cash_Exception_Application[[#This Row],[TODAY]]-qry_ProdData2_PDI_Cash_Exception_Application[[#This Row],[CHANGED ON]]</f>
        <v>4.7429282407392748</v>
      </c>
      <c r="M614">
        <f ca="1">qry_ProdData2_PDI_Cash_Exception_Application[[#This Row],[TODAY]]-qry_ProdData2_PDI_Cash_Exception_Application[[#This Row],[CHANGED ON]]</f>
        <v>4.7429282407392748</v>
      </c>
      <c r="N614">
        <f ca="1">qry_ProdData2_PDI_Cash_Exception_Application[[#This Row],[TODAY]]-qry_ProdData2_PDI_Cash_Exception_Application[[#This Row],[CHANGED ON]]</f>
        <v>4.7429282407392748</v>
      </c>
    </row>
    <row r="615" spans="1:14" x14ac:dyDescent="0.35">
      <c r="A615">
        <v>1024</v>
      </c>
      <c r="B615" t="s">
        <v>78</v>
      </c>
      <c r="C615" s="1">
        <v>45190.257071759261</v>
      </c>
      <c r="D615" t="str">
        <f ca="1">VLOOKUP(qry_ProdData2_PDI_Cash_Exception_Application[[#This Row],[TYPE]],#REF!,2,FALSE)</f>
        <v>type40</v>
      </c>
      <c r="E615">
        <v>30</v>
      </c>
      <c r="F615" t="s">
        <v>48</v>
      </c>
      <c r="G615" s="1">
        <f>qry_ProdData2_PDI_Cash_Exception_Application[[#This Row],[INSERT DATE]]+7</f>
        <v>45197.257071759261</v>
      </c>
      <c r="H615" t="str">
        <f>VLOOKUP(qry_ProdData2_PDI_Cash_Exception_Application[[#This Row],[MARKET No]],'Site Allocation'!$B$2:$C$37,2,FALSE)</f>
        <v>Analyst5</v>
      </c>
      <c r="I615" s="4">
        <f t="shared" ca="1" si="9"/>
        <v>45203</v>
      </c>
      <c r="J615" s="42">
        <f ca="1">TODAY()-qry_ProdData2_PDI_Cash_Exception_Application[[#This Row],[INSERT DATE]]</f>
        <v>12.742928240739275</v>
      </c>
      <c r="K6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15">
        <f ca="1">qry_ProdData2_PDI_Cash_Exception_Application[[#This Row],[TODAY]]-qry_ProdData2_PDI_Cash_Exception_Application[[#This Row],[CHANGED ON]]</f>
        <v>5.7429282407392748</v>
      </c>
      <c r="M615">
        <f ca="1">qry_ProdData2_PDI_Cash_Exception_Application[[#This Row],[TODAY]]-qry_ProdData2_PDI_Cash_Exception_Application[[#This Row],[CHANGED ON]]</f>
        <v>5.7429282407392748</v>
      </c>
      <c r="N615">
        <f ca="1">qry_ProdData2_PDI_Cash_Exception_Application[[#This Row],[TODAY]]-qry_ProdData2_PDI_Cash_Exception_Application[[#This Row],[CHANGED ON]]</f>
        <v>5.7429282407392748</v>
      </c>
    </row>
    <row r="616" spans="1:14" x14ac:dyDescent="0.35">
      <c r="A616">
        <v>1015</v>
      </c>
      <c r="B616" t="s">
        <v>69</v>
      </c>
      <c r="C616" s="1">
        <v>45190.257071759261</v>
      </c>
      <c r="D616" t="str">
        <f ca="1">VLOOKUP(qry_ProdData2_PDI_Cash_Exception_Application[[#This Row],[TYPE]],#REF!,2,FALSE)</f>
        <v>type40</v>
      </c>
      <c r="E616">
        <v>-691.04</v>
      </c>
      <c r="F616" t="s">
        <v>50</v>
      </c>
      <c r="G616" s="1">
        <f>qry_ProdData2_PDI_Cash_Exception_Application[[#This Row],[INSERT DATE]]+7</f>
        <v>45197.257071759261</v>
      </c>
      <c r="H616" t="str">
        <f>VLOOKUP(qry_ProdData2_PDI_Cash_Exception_Application[[#This Row],[MARKET No]],'Site Allocation'!$B$2:$C$37,2,FALSE)</f>
        <v>Analyst3</v>
      </c>
      <c r="I616" s="4">
        <f t="shared" ca="1" si="9"/>
        <v>45203</v>
      </c>
      <c r="J616" s="42">
        <f ca="1">TODAY()-qry_ProdData2_PDI_Cash_Exception_Application[[#This Row],[INSERT DATE]]</f>
        <v>12.742928240739275</v>
      </c>
      <c r="K6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16">
        <f ca="1">qry_ProdData2_PDI_Cash_Exception_Application[[#This Row],[TODAY]]-qry_ProdData2_PDI_Cash_Exception_Application[[#This Row],[CHANGED ON]]</f>
        <v>5.7429282407392748</v>
      </c>
      <c r="M616">
        <f ca="1">qry_ProdData2_PDI_Cash_Exception_Application[[#This Row],[TODAY]]-qry_ProdData2_PDI_Cash_Exception_Application[[#This Row],[CHANGED ON]]</f>
        <v>5.7429282407392748</v>
      </c>
      <c r="N616">
        <f ca="1">qry_ProdData2_PDI_Cash_Exception_Application[[#This Row],[TODAY]]-qry_ProdData2_PDI_Cash_Exception_Application[[#This Row],[CHANGED ON]]</f>
        <v>5.7429282407392748</v>
      </c>
    </row>
    <row r="617" spans="1:14" x14ac:dyDescent="0.35">
      <c r="A617">
        <v>1023</v>
      </c>
      <c r="B617" t="s">
        <v>77</v>
      </c>
      <c r="C617" s="1">
        <v>45191.257071759261</v>
      </c>
      <c r="D617" t="str">
        <f ca="1">VLOOKUP(qry_ProdData2_PDI_Cash_Exception_Application[[#This Row],[TYPE]],#REF!,2,FALSE)</f>
        <v>type7</v>
      </c>
      <c r="E617">
        <v>-13226.63</v>
      </c>
      <c r="F617" t="s">
        <v>52</v>
      </c>
      <c r="G617" s="1">
        <f>qry_ProdData2_PDI_Cash_Exception_Application[[#This Row],[INSERT DATE]]+7</f>
        <v>45198.257071759261</v>
      </c>
      <c r="H617" t="str">
        <f>VLOOKUP(qry_ProdData2_PDI_Cash_Exception_Application[[#This Row],[MARKET No]],'Site Allocation'!$B$2:$C$37,2,FALSE)</f>
        <v>Analyst4</v>
      </c>
      <c r="I617" s="4">
        <f t="shared" ca="1" si="9"/>
        <v>45203</v>
      </c>
      <c r="J617" s="42">
        <f ca="1">TODAY()-qry_ProdData2_PDI_Cash_Exception_Application[[#This Row],[INSERT DATE]]</f>
        <v>11.742928240739275</v>
      </c>
      <c r="K6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17">
        <f ca="1">qry_ProdData2_PDI_Cash_Exception_Application[[#This Row],[TODAY]]-qry_ProdData2_PDI_Cash_Exception_Application[[#This Row],[CHANGED ON]]</f>
        <v>4.7429282407392748</v>
      </c>
      <c r="M617">
        <f ca="1">qry_ProdData2_PDI_Cash_Exception_Application[[#This Row],[TODAY]]-qry_ProdData2_PDI_Cash_Exception_Application[[#This Row],[CHANGED ON]]</f>
        <v>4.7429282407392748</v>
      </c>
      <c r="N617">
        <f ca="1">qry_ProdData2_PDI_Cash_Exception_Application[[#This Row],[TODAY]]-qry_ProdData2_PDI_Cash_Exception_Application[[#This Row],[CHANGED ON]]</f>
        <v>4.7429282407392748</v>
      </c>
    </row>
    <row r="618" spans="1:14" x14ac:dyDescent="0.35">
      <c r="A618">
        <v>1031</v>
      </c>
      <c r="B618" t="s">
        <v>85</v>
      </c>
      <c r="C618" s="1">
        <v>45185.257071759261</v>
      </c>
      <c r="D618" t="str">
        <f ca="1">VLOOKUP(qry_ProdData2_PDI_Cash_Exception_Application[[#This Row],[TYPE]],#REF!,2,FALSE)</f>
        <v>type8</v>
      </c>
      <c r="E618">
        <v>61.49</v>
      </c>
      <c r="F618" t="s">
        <v>47</v>
      </c>
      <c r="G618" s="1">
        <f>qry_ProdData2_PDI_Cash_Exception_Application[[#This Row],[INSERT DATE]]+5</f>
        <v>45190.257071759261</v>
      </c>
      <c r="H618" t="str">
        <f>VLOOKUP(qry_ProdData2_PDI_Cash_Exception_Application[[#This Row],[MARKET No]],'Site Allocation'!$B$2:$C$37,2,FALSE)</f>
        <v>Analyst6</v>
      </c>
      <c r="I618" s="4">
        <f t="shared" ca="1" si="9"/>
        <v>45203</v>
      </c>
      <c r="J618" s="42">
        <f ca="1">TODAY()-qry_ProdData2_PDI_Cash_Exception_Application[[#This Row],[INSERT DATE]]</f>
        <v>17.742928240739275</v>
      </c>
      <c r="K6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18">
        <f ca="1">qry_ProdData2_PDI_Cash_Exception_Application[[#This Row],[TODAY]]-qry_ProdData2_PDI_Cash_Exception_Application[[#This Row],[CHANGED ON]]</f>
        <v>12.742928240739275</v>
      </c>
      <c r="M618">
        <f ca="1">qry_ProdData2_PDI_Cash_Exception_Application[[#This Row],[TODAY]]-qry_ProdData2_PDI_Cash_Exception_Application[[#This Row],[CHANGED ON]]</f>
        <v>12.742928240739275</v>
      </c>
      <c r="N618">
        <f ca="1">qry_ProdData2_PDI_Cash_Exception_Application[[#This Row],[TODAY]]-qry_ProdData2_PDI_Cash_Exception_Application[[#This Row],[CHANGED ON]]</f>
        <v>12.742928240739275</v>
      </c>
    </row>
    <row r="619" spans="1:14" x14ac:dyDescent="0.35">
      <c r="A619">
        <v>1033</v>
      </c>
      <c r="B619" t="s">
        <v>87</v>
      </c>
      <c r="C619" s="1">
        <v>45184.257071759261</v>
      </c>
      <c r="D619" t="str">
        <f ca="1">VLOOKUP(qry_ProdData2_PDI_Cash_Exception_Application[[#This Row],[TYPE]],#REF!,2,FALSE)</f>
        <v>type40</v>
      </c>
      <c r="E619">
        <v>-3271.11</v>
      </c>
      <c r="F619" t="s">
        <v>51</v>
      </c>
      <c r="G619" s="1">
        <f>qry_ProdData2_PDI_Cash_Exception_Application[[#This Row],[INSERT DATE]]+1</f>
        <v>45185.257071759261</v>
      </c>
      <c r="H619" t="str">
        <f>VLOOKUP(qry_ProdData2_PDI_Cash_Exception_Application[[#This Row],[MARKET No]],'Site Allocation'!$B$2:$C$37,2,FALSE)</f>
        <v>Analyst6</v>
      </c>
      <c r="I619" s="4">
        <f t="shared" ca="1" si="9"/>
        <v>45203</v>
      </c>
      <c r="J619" s="42">
        <f ca="1">TODAY()-qry_ProdData2_PDI_Cash_Exception_Application[[#This Row],[INSERT DATE]]</f>
        <v>18.742928240739275</v>
      </c>
      <c r="K6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19">
        <f ca="1">qry_ProdData2_PDI_Cash_Exception_Application[[#This Row],[TODAY]]-qry_ProdData2_PDI_Cash_Exception_Application[[#This Row],[CHANGED ON]]</f>
        <v>17.742928240739275</v>
      </c>
      <c r="M619">
        <f ca="1">qry_ProdData2_PDI_Cash_Exception_Application[[#This Row],[TODAY]]-qry_ProdData2_PDI_Cash_Exception_Application[[#This Row],[CHANGED ON]]</f>
        <v>17.742928240739275</v>
      </c>
      <c r="N619">
        <f ca="1">qry_ProdData2_PDI_Cash_Exception_Application[[#This Row],[TODAY]]-qry_ProdData2_PDI_Cash_Exception_Application[[#This Row],[CHANGED ON]]</f>
        <v>17.742928240739275</v>
      </c>
    </row>
    <row r="620" spans="1:14" x14ac:dyDescent="0.35">
      <c r="A620">
        <v>1020</v>
      </c>
      <c r="B620" t="s">
        <v>74</v>
      </c>
      <c r="C620" s="1">
        <v>45189.257071759261</v>
      </c>
      <c r="D620" t="str">
        <f ca="1">VLOOKUP(qry_ProdData2_PDI_Cash_Exception_Application[[#This Row],[TYPE]],#REF!,2,FALSE)</f>
        <v>type13</v>
      </c>
      <c r="E620">
        <v>16755.689999999999</v>
      </c>
      <c r="F620" t="s">
        <v>51</v>
      </c>
      <c r="G620" s="1">
        <f>qry_ProdData2_PDI_Cash_Exception_Application[[#This Row],[INSERT DATE]]+2</f>
        <v>45191.257071759261</v>
      </c>
      <c r="H620" t="str">
        <f>VLOOKUP(qry_ProdData2_PDI_Cash_Exception_Application[[#This Row],[MARKET No]],'Site Allocation'!$B$2:$C$37,2,FALSE)</f>
        <v>Analyst4</v>
      </c>
      <c r="I620" s="4">
        <f t="shared" ca="1" si="9"/>
        <v>45203</v>
      </c>
      <c r="J620" s="42">
        <f ca="1">TODAY()-qry_ProdData2_PDI_Cash_Exception_Application[[#This Row],[INSERT DATE]]</f>
        <v>13.742928240739275</v>
      </c>
      <c r="K6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20">
        <f ca="1">qry_ProdData2_PDI_Cash_Exception_Application[[#This Row],[TODAY]]-qry_ProdData2_PDI_Cash_Exception_Application[[#This Row],[CHANGED ON]]</f>
        <v>11.742928240739275</v>
      </c>
      <c r="M620">
        <f ca="1">qry_ProdData2_PDI_Cash_Exception_Application[[#This Row],[TODAY]]-qry_ProdData2_PDI_Cash_Exception_Application[[#This Row],[CHANGED ON]]</f>
        <v>11.742928240739275</v>
      </c>
      <c r="N620">
        <f ca="1">qry_ProdData2_PDI_Cash_Exception_Application[[#This Row],[TODAY]]-qry_ProdData2_PDI_Cash_Exception_Application[[#This Row],[CHANGED ON]]</f>
        <v>11.742928240739275</v>
      </c>
    </row>
    <row r="621" spans="1:14" x14ac:dyDescent="0.35">
      <c r="A621">
        <v>1009</v>
      </c>
      <c r="B621" t="s">
        <v>63</v>
      </c>
      <c r="C621" s="1">
        <v>45185.257071759261</v>
      </c>
      <c r="D621" t="str">
        <f ca="1">VLOOKUP(qry_ProdData2_PDI_Cash_Exception_Application[[#This Row],[TYPE]],#REF!,2,FALSE)</f>
        <v>type40</v>
      </c>
      <c r="E621">
        <v>-670.85</v>
      </c>
      <c r="F621" t="s">
        <v>49</v>
      </c>
      <c r="G621" s="1">
        <f>qry_ProdData2_PDI_Cash_Exception_Application[[#This Row],[INSERT DATE]]+2</f>
        <v>45187.257071759261</v>
      </c>
      <c r="H621" t="str">
        <f>VLOOKUP(qry_ProdData2_PDI_Cash_Exception_Application[[#This Row],[MARKET No]],'Site Allocation'!$B$2:$C$37,2,FALSE)</f>
        <v>Analyst2</v>
      </c>
      <c r="I621" s="4">
        <f t="shared" ca="1" si="9"/>
        <v>45203</v>
      </c>
      <c r="J621" s="42">
        <f ca="1">TODAY()-qry_ProdData2_PDI_Cash_Exception_Application[[#This Row],[INSERT DATE]]</f>
        <v>17.742928240739275</v>
      </c>
      <c r="K6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21">
        <f ca="1">qry_ProdData2_PDI_Cash_Exception_Application[[#This Row],[TODAY]]-qry_ProdData2_PDI_Cash_Exception_Application[[#This Row],[CHANGED ON]]</f>
        <v>15.742928240739275</v>
      </c>
      <c r="M621">
        <f ca="1">qry_ProdData2_PDI_Cash_Exception_Application[[#This Row],[TODAY]]-qry_ProdData2_PDI_Cash_Exception_Application[[#This Row],[CHANGED ON]]</f>
        <v>15.742928240739275</v>
      </c>
      <c r="N621">
        <f ca="1">qry_ProdData2_PDI_Cash_Exception_Application[[#This Row],[TODAY]]-qry_ProdData2_PDI_Cash_Exception_Application[[#This Row],[CHANGED ON]]</f>
        <v>15.742928240739275</v>
      </c>
    </row>
    <row r="622" spans="1:14" x14ac:dyDescent="0.35">
      <c r="A622">
        <v>1029</v>
      </c>
      <c r="B622" t="s">
        <v>83</v>
      </c>
      <c r="C622" s="1">
        <v>45187.257071759261</v>
      </c>
      <c r="D622" t="str">
        <f ca="1">VLOOKUP(qry_ProdData2_PDI_Cash_Exception_Application[[#This Row],[TYPE]],#REF!,2,FALSE)</f>
        <v>type40</v>
      </c>
      <c r="E622">
        <v>4835.84</v>
      </c>
      <c r="F622" t="s">
        <v>51</v>
      </c>
      <c r="G622" s="1">
        <f>qry_ProdData2_PDI_Cash_Exception_Application[[#This Row],[INSERT DATE]]+2</f>
        <v>45189.257071759261</v>
      </c>
      <c r="H622" t="str">
        <f>VLOOKUP(qry_ProdData2_PDI_Cash_Exception_Application[[#This Row],[MARKET No]],'Site Allocation'!$B$2:$C$37,2,FALSE)</f>
        <v>Analyst5</v>
      </c>
      <c r="I622" s="4">
        <f t="shared" ca="1" si="9"/>
        <v>45203</v>
      </c>
      <c r="J622" s="42">
        <f ca="1">TODAY()-qry_ProdData2_PDI_Cash_Exception_Application[[#This Row],[INSERT DATE]]</f>
        <v>15.742928240739275</v>
      </c>
      <c r="K6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22">
        <f ca="1">qry_ProdData2_PDI_Cash_Exception_Application[[#This Row],[TODAY]]-qry_ProdData2_PDI_Cash_Exception_Application[[#This Row],[CHANGED ON]]</f>
        <v>13.742928240739275</v>
      </c>
      <c r="M622">
        <f ca="1">qry_ProdData2_PDI_Cash_Exception_Application[[#This Row],[TODAY]]-qry_ProdData2_PDI_Cash_Exception_Application[[#This Row],[CHANGED ON]]</f>
        <v>13.742928240739275</v>
      </c>
      <c r="N622">
        <f ca="1">qry_ProdData2_PDI_Cash_Exception_Application[[#This Row],[TODAY]]-qry_ProdData2_PDI_Cash_Exception_Application[[#This Row],[CHANGED ON]]</f>
        <v>13.742928240739275</v>
      </c>
    </row>
    <row r="623" spans="1:14" x14ac:dyDescent="0.35">
      <c r="A623">
        <v>1032</v>
      </c>
      <c r="B623" t="s">
        <v>86</v>
      </c>
      <c r="C623" s="1">
        <v>45191.257071759261</v>
      </c>
      <c r="D623" t="str">
        <f ca="1">VLOOKUP(qry_ProdData2_PDI_Cash_Exception_Application[[#This Row],[TYPE]],#REF!,2,FALSE)</f>
        <v>type13</v>
      </c>
      <c r="E623">
        <v>55235.040000000001</v>
      </c>
      <c r="F623" t="s">
        <v>47</v>
      </c>
      <c r="G623" s="1">
        <f>qry_ProdData2_PDI_Cash_Exception_Application[[#This Row],[INSERT DATE]]+5</f>
        <v>45196.257071759261</v>
      </c>
      <c r="H623" t="str">
        <f>VLOOKUP(qry_ProdData2_PDI_Cash_Exception_Application[[#This Row],[MARKET No]],'Site Allocation'!$B$2:$C$37,2,FALSE)</f>
        <v>Analyst6</v>
      </c>
      <c r="I623" s="4">
        <f t="shared" ca="1" si="9"/>
        <v>45203</v>
      </c>
      <c r="J623" s="42">
        <f ca="1">TODAY()-qry_ProdData2_PDI_Cash_Exception_Application[[#This Row],[INSERT DATE]]</f>
        <v>11.742928240739275</v>
      </c>
      <c r="K6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23">
        <f ca="1">qry_ProdData2_PDI_Cash_Exception_Application[[#This Row],[TODAY]]-qry_ProdData2_PDI_Cash_Exception_Application[[#This Row],[CHANGED ON]]</f>
        <v>6.7429282407392748</v>
      </c>
      <c r="M623">
        <f ca="1">qry_ProdData2_PDI_Cash_Exception_Application[[#This Row],[TODAY]]-qry_ProdData2_PDI_Cash_Exception_Application[[#This Row],[CHANGED ON]]</f>
        <v>6.7429282407392748</v>
      </c>
      <c r="N623">
        <f ca="1">qry_ProdData2_PDI_Cash_Exception_Application[[#This Row],[TODAY]]-qry_ProdData2_PDI_Cash_Exception_Application[[#This Row],[CHANGED ON]]</f>
        <v>6.7429282407392748</v>
      </c>
    </row>
    <row r="624" spans="1:14" x14ac:dyDescent="0.35">
      <c r="A624">
        <v>1000</v>
      </c>
      <c r="B624" t="s">
        <v>54</v>
      </c>
      <c r="C624" s="1">
        <v>45184.257071759261</v>
      </c>
      <c r="D624" t="str">
        <f ca="1">VLOOKUP(qry_ProdData2_PDI_Cash_Exception_Application[[#This Row],[TYPE]],#REF!,2,FALSE)</f>
        <v>type42</v>
      </c>
      <c r="E624">
        <v>230.3</v>
      </c>
      <c r="F624" t="s">
        <v>51</v>
      </c>
      <c r="G624" s="1">
        <f>qry_ProdData2_PDI_Cash_Exception_Application[[#This Row],[INSERT DATE]]+7</f>
        <v>45191.257071759261</v>
      </c>
      <c r="H624" t="str">
        <f>VLOOKUP(qry_ProdData2_PDI_Cash_Exception_Application[[#This Row],[MARKET No]],'Site Allocation'!$B$2:$C$37,2,FALSE)</f>
        <v>Analyst1</v>
      </c>
      <c r="I624" s="4">
        <f t="shared" ca="1" si="9"/>
        <v>45203</v>
      </c>
      <c r="J624" s="42">
        <f ca="1">TODAY()-qry_ProdData2_PDI_Cash_Exception_Application[[#This Row],[INSERT DATE]]</f>
        <v>18.742928240739275</v>
      </c>
      <c r="K6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24">
        <f ca="1">qry_ProdData2_PDI_Cash_Exception_Application[[#This Row],[TODAY]]-qry_ProdData2_PDI_Cash_Exception_Application[[#This Row],[CHANGED ON]]</f>
        <v>11.742928240739275</v>
      </c>
      <c r="M624">
        <f ca="1">qry_ProdData2_PDI_Cash_Exception_Application[[#This Row],[TODAY]]-qry_ProdData2_PDI_Cash_Exception_Application[[#This Row],[CHANGED ON]]</f>
        <v>11.742928240739275</v>
      </c>
      <c r="N624">
        <f ca="1">qry_ProdData2_PDI_Cash_Exception_Application[[#This Row],[TODAY]]-qry_ProdData2_PDI_Cash_Exception_Application[[#This Row],[CHANGED ON]]</f>
        <v>11.742928240739275</v>
      </c>
    </row>
    <row r="625" spans="1:14" x14ac:dyDescent="0.35">
      <c r="A625">
        <v>1017</v>
      </c>
      <c r="B625" t="s">
        <v>71</v>
      </c>
      <c r="C625" s="1">
        <v>45186.257071759261</v>
      </c>
      <c r="D625" t="str">
        <f ca="1">VLOOKUP(qry_ProdData2_PDI_Cash_Exception_Application[[#This Row],[TYPE]],#REF!,2,FALSE)</f>
        <v>type22</v>
      </c>
      <c r="E625">
        <v>1652.24</v>
      </c>
      <c r="F625" t="s">
        <v>47</v>
      </c>
      <c r="G625" s="1">
        <f>qry_ProdData2_PDI_Cash_Exception_Application[[#This Row],[INSERT DATE]]+7</f>
        <v>45193.257071759261</v>
      </c>
      <c r="H625" t="str">
        <f>VLOOKUP(qry_ProdData2_PDI_Cash_Exception_Application[[#This Row],[MARKET No]],'Site Allocation'!$B$2:$C$37,2,FALSE)</f>
        <v>Analyst3</v>
      </c>
      <c r="I625" s="4">
        <f t="shared" ca="1" si="9"/>
        <v>45203</v>
      </c>
      <c r="J625" s="42">
        <f ca="1">TODAY()-qry_ProdData2_PDI_Cash_Exception_Application[[#This Row],[INSERT DATE]]</f>
        <v>16.742928240739275</v>
      </c>
      <c r="K6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25">
        <f ca="1">qry_ProdData2_PDI_Cash_Exception_Application[[#This Row],[TODAY]]-qry_ProdData2_PDI_Cash_Exception_Application[[#This Row],[CHANGED ON]]</f>
        <v>9.7429282407392748</v>
      </c>
      <c r="M625">
        <f ca="1">qry_ProdData2_PDI_Cash_Exception_Application[[#This Row],[TODAY]]-qry_ProdData2_PDI_Cash_Exception_Application[[#This Row],[CHANGED ON]]</f>
        <v>9.7429282407392748</v>
      </c>
      <c r="N625">
        <f ca="1">qry_ProdData2_PDI_Cash_Exception_Application[[#This Row],[TODAY]]-qry_ProdData2_PDI_Cash_Exception_Application[[#This Row],[CHANGED ON]]</f>
        <v>9.7429282407392748</v>
      </c>
    </row>
    <row r="626" spans="1:14" x14ac:dyDescent="0.35">
      <c r="A626">
        <v>1011</v>
      </c>
      <c r="B626" t="s">
        <v>65</v>
      </c>
      <c r="C626" s="1">
        <v>45188.257071759261</v>
      </c>
      <c r="D626" t="str">
        <f ca="1">VLOOKUP(qry_ProdData2_PDI_Cash_Exception_Application[[#This Row],[TYPE]],#REF!,2,FALSE)</f>
        <v>type40</v>
      </c>
      <c r="E626">
        <v>-1579.04</v>
      </c>
      <c r="F626" t="s">
        <v>49</v>
      </c>
      <c r="G626" s="1">
        <f>qry_ProdData2_PDI_Cash_Exception_Application[[#This Row],[INSERT DATE]]+2</f>
        <v>45190.257071759261</v>
      </c>
      <c r="H626" t="str">
        <f>VLOOKUP(qry_ProdData2_PDI_Cash_Exception_Application[[#This Row],[MARKET No]],'Site Allocation'!$B$2:$C$37,2,FALSE)</f>
        <v>Analyst2</v>
      </c>
      <c r="I626" s="4">
        <f t="shared" ca="1" si="9"/>
        <v>45203</v>
      </c>
      <c r="J626" s="42">
        <f ca="1">TODAY()-qry_ProdData2_PDI_Cash_Exception_Application[[#This Row],[INSERT DATE]]</f>
        <v>14.742928240739275</v>
      </c>
      <c r="K6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26">
        <f ca="1">qry_ProdData2_PDI_Cash_Exception_Application[[#This Row],[TODAY]]-qry_ProdData2_PDI_Cash_Exception_Application[[#This Row],[CHANGED ON]]</f>
        <v>12.742928240739275</v>
      </c>
      <c r="M626">
        <f ca="1">qry_ProdData2_PDI_Cash_Exception_Application[[#This Row],[TODAY]]-qry_ProdData2_PDI_Cash_Exception_Application[[#This Row],[CHANGED ON]]</f>
        <v>12.742928240739275</v>
      </c>
      <c r="N626">
        <f ca="1">qry_ProdData2_PDI_Cash_Exception_Application[[#This Row],[TODAY]]-qry_ProdData2_PDI_Cash_Exception_Application[[#This Row],[CHANGED ON]]</f>
        <v>12.742928240739275</v>
      </c>
    </row>
    <row r="627" spans="1:14" x14ac:dyDescent="0.35">
      <c r="A627">
        <v>1007</v>
      </c>
      <c r="B627" t="s">
        <v>61</v>
      </c>
      <c r="C627" s="1">
        <v>45186.257071759261</v>
      </c>
      <c r="D627" t="str">
        <f ca="1">VLOOKUP(qry_ProdData2_PDI_Cash_Exception_Application[[#This Row],[TYPE]],#REF!,2,FALSE)</f>
        <v>type40</v>
      </c>
      <c r="E627">
        <v>1446.93</v>
      </c>
      <c r="F627" t="s">
        <v>51</v>
      </c>
      <c r="G627" s="1">
        <f>qry_ProdData2_PDI_Cash_Exception_Application[[#This Row],[INSERT DATE]]+7</f>
        <v>45193.257071759261</v>
      </c>
      <c r="H627" t="str">
        <f>VLOOKUP(qry_ProdData2_PDI_Cash_Exception_Application[[#This Row],[MARKET No]],'Site Allocation'!$B$2:$C$37,2,FALSE)</f>
        <v>Analyst2</v>
      </c>
      <c r="I627" s="4">
        <f t="shared" ca="1" si="9"/>
        <v>45203</v>
      </c>
      <c r="J627" s="42">
        <f ca="1">TODAY()-qry_ProdData2_PDI_Cash_Exception_Application[[#This Row],[INSERT DATE]]</f>
        <v>16.742928240739275</v>
      </c>
      <c r="K6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27">
        <f ca="1">qry_ProdData2_PDI_Cash_Exception_Application[[#This Row],[TODAY]]-qry_ProdData2_PDI_Cash_Exception_Application[[#This Row],[CHANGED ON]]</f>
        <v>9.7429282407392748</v>
      </c>
      <c r="M627">
        <f ca="1">qry_ProdData2_PDI_Cash_Exception_Application[[#This Row],[TODAY]]-qry_ProdData2_PDI_Cash_Exception_Application[[#This Row],[CHANGED ON]]</f>
        <v>9.7429282407392748</v>
      </c>
      <c r="N627">
        <f ca="1">qry_ProdData2_PDI_Cash_Exception_Application[[#This Row],[TODAY]]-qry_ProdData2_PDI_Cash_Exception_Application[[#This Row],[CHANGED ON]]</f>
        <v>9.7429282407392748</v>
      </c>
    </row>
    <row r="628" spans="1:14" x14ac:dyDescent="0.35">
      <c r="A628">
        <v>1026</v>
      </c>
      <c r="B628" t="s">
        <v>80</v>
      </c>
      <c r="C628" s="1">
        <v>45187.257071759261</v>
      </c>
      <c r="D628" t="str">
        <f ca="1">VLOOKUP(qry_ProdData2_PDI_Cash_Exception_Application[[#This Row],[TYPE]],#REF!,2,FALSE)</f>
        <v>type35</v>
      </c>
      <c r="E628">
        <v>547.02</v>
      </c>
      <c r="F628" t="s">
        <v>47</v>
      </c>
      <c r="G628" s="1">
        <f>qry_ProdData2_PDI_Cash_Exception_Application[[#This Row],[INSERT DATE]]+7</f>
        <v>45194.257071759261</v>
      </c>
      <c r="H628" t="str">
        <f>VLOOKUP(qry_ProdData2_PDI_Cash_Exception_Application[[#This Row],[MARKET No]],'Site Allocation'!$B$2:$C$37,2,FALSE)</f>
        <v>Analyst5</v>
      </c>
      <c r="I628" s="4">
        <f t="shared" ca="1" si="9"/>
        <v>45203</v>
      </c>
      <c r="J628" s="42">
        <f ca="1">TODAY()-qry_ProdData2_PDI_Cash_Exception_Application[[#This Row],[INSERT DATE]]</f>
        <v>15.742928240739275</v>
      </c>
      <c r="K6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28">
        <f ca="1">qry_ProdData2_PDI_Cash_Exception_Application[[#This Row],[TODAY]]-qry_ProdData2_PDI_Cash_Exception_Application[[#This Row],[CHANGED ON]]</f>
        <v>8.7429282407392748</v>
      </c>
      <c r="M628">
        <f ca="1">qry_ProdData2_PDI_Cash_Exception_Application[[#This Row],[TODAY]]-qry_ProdData2_PDI_Cash_Exception_Application[[#This Row],[CHANGED ON]]</f>
        <v>8.7429282407392748</v>
      </c>
      <c r="N628">
        <f ca="1">qry_ProdData2_PDI_Cash_Exception_Application[[#This Row],[TODAY]]-qry_ProdData2_PDI_Cash_Exception_Application[[#This Row],[CHANGED ON]]</f>
        <v>8.7429282407392748</v>
      </c>
    </row>
    <row r="629" spans="1:14" x14ac:dyDescent="0.35">
      <c r="A629">
        <v>1019</v>
      </c>
      <c r="B629" t="s">
        <v>73</v>
      </c>
      <c r="C629" s="1">
        <v>45191.257071759261</v>
      </c>
      <c r="D629" t="str">
        <f ca="1">VLOOKUP(qry_ProdData2_PDI_Cash_Exception_Application[[#This Row],[TYPE]],#REF!,2,FALSE)</f>
        <v>type8</v>
      </c>
      <c r="E629">
        <v>52.73</v>
      </c>
      <c r="F629" t="s">
        <v>47</v>
      </c>
      <c r="G629" s="1">
        <f>qry_ProdData2_PDI_Cash_Exception_Application[[#This Row],[INSERT DATE]]+7</f>
        <v>45198.257071759261</v>
      </c>
      <c r="H629" t="str">
        <f>VLOOKUP(qry_ProdData2_PDI_Cash_Exception_Application[[#This Row],[MARKET No]],'Site Allocation'!$B$2:$C$37,2,FALSE)</f>
        <v>Analyst4</v>
      </c>
      <c r="I629" s="4">
        <f t="shared" ca="1" si="9"/>
        <v>45203</v>
      </c>
      <c r="J629" s="42">
        <f ca="1">TODAY()-qry_ProdData2_PDI_Cash_Exception_Application[[#This Row],[INSERT DATE]]</f>
        <v>11.742928240739275</v>
      </c>
      <c r="K6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29">
        <f ca="1">qry_ProdData2_PDI_Cash_Exception_Application[[#This Row],[TODAY]]-qry_ProdData2_PDI_Cash_Exception_Application[[#This Row],[CHANGED ON]]</f>
        <v>4.7429282407392748</v>
      </c>
      <c r="M629">
        <f ca="1">qry_ProdData2_PDI_Cash_Exception_Application[[#This Row],[TODAY]]-qry_ProdData2_PDI_Cash_Exception_Application[[#This Row],[CHANGED ON]]</f>
        <v>4.7429282407392748</v>
      </c>
      <c r="N629">
        <f ca="1">qry_ProdData2_PDI_Cash_Exception_Application[[#This Row],[TODAY]]-qry_ProdData2_PDI_Cash_Exception_Application[[#This Row],[CHANGED ON]]</f>
        <v>4.7429282407392748</v>
      </c>
    </row>
    <row r="630" spans="1:14" x14ac:dyDescent="0.35">
      <c r="A630">
        <v>1031</v>
      </c>
      <c r="B630" t="s">
        <v>85</v>
      </c>
      <c r="C630" s="1">
        <v>45183.257071759261</v>
      </c>
      <c r="D630" t="str">
        <f ca="1">VLOOKUP(qry_ProdData2_PDI_Cash_Exception_Application[[#This Row],[TYPE]],#REF!,2,FALSE)</f>
        <v>type40</v>
      </c>
      <c r="E630">
        <v>379.04</v>
      </c>
      <c r="F630" t="s">
        <v>48</v>
      </c>
      <c r="G630" s="1">
        <f>qry_ProdData2_PDI_Cash_Exception_Application[[#This Row],[INSERT DATE]]+7</f>
        <v>45190.257071759261</v>
      </c>
      <c r="H630" t="str">
        <f>VLOOKUP(qry_ProdData2_PDI_Cash_Exception_Application[[#This Row],[MARKET No]],'Site Allocation'!$B$2:$C$37,2,FALSE)</f>
        <v>Analyst6</v>
      </c>
      <c r="I630" s="4">
        <f t="shared" ca="1" si="9"/>
        <v>45203</v>
      </c>
      <c r="J630" s="42">
        <f ca="1">TODAY()-qry_ProdData2_PDI_Cash_Exception_Application[[#This Row],[INSERT DATE]]</f>
        <v>19.742928240739275</v>
      </c>
      <c r="K6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30">
        <f ca="1">qry_ProdData2_PDI_Cash_Exception_Application[[#This Row],[TODAY]]-qry_ProdData2_PDI_Cash_Exception_Application[[#This Row],[CHANGED ON]]</f>
        <v>12.742928240739275</v>
      </c>
      <c r="M630">
        <f ca="1">qry_ProdData2_PDI_Cash_Exception_Application[[#This Row],[TODAY]]-qry_ProdData2_PDI_Cash_Exception_Application[[#This Row],[CHANGED ON]]</f>
        <v>12.742928240739275</v>
      </c>
      <c r="N630">
        <f ca="1">qry_ProdData2_PDI_Cash_Exception_Application[[#This Row],[TODAY]]-qry_ProdData2_PDI_Cash_Exception_Application[[#This Row],[CHANGED ON]]</f>
        <v>12.742928240739275</v>
      </c>
    </row>
    <row r="631" spans="1:14" x14ac:dyDescent="0.35">
      <c r="A631">
        <v>1016</v>
      </c>
      <c r="B631" t="s">
        <v>70</v>
      </c>
      <c r="C631" s="1">
        <v>45184.257071759261</v>
      </c>
      <c r="D631" t="str">
        <f ca="1">VLOOKUP(qry_ProdData2_PDI_Cash_Exception_Application[[#This Row],[TYPE]],#REF!,2,FALSE)</f>
        <v>type36</v>
      </c>
      <c r="E631">
        <v>246.54</v>
      </c>
      <c r="F631" t="s">
        <v>50</v>
      </c>
      <c r="G631" s="1">
        <f>qry_ProdData2_PDI_Cash_Exception_Application[[#This Row],[INSERT DATE]]+1</f>
        <v>45185.257071759261</v>
      </c>
      <c r="H631" t="str">
        <f>VLOOKUP(qry_ProdData2_PDI_Cash_Exception_Application[[#This Row],[MARKET No]],'Site Allocation'!$B$2:$C$37,2,FALSE)</f>
        <v>Analyst3</v>
      </c>
      <c r="I631" s="4">
        <f t="shared" ca="1" si="9"/>
        <v>45203</v>
      </c>
      <c r="J631" s="42">
        <f ca="1">TODAY()-qry_ProdData2_PDI_Cash_Exception_Application[[#This Row],[INSERT DATE]]</f>
        <v>18.742928240739275</v>
      </c>
      <c r="K6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31">
        <f ca="1">qry_ProdData2_PDI_Cash_Exception_Application[[#This Row],[TODAY]]-qry_ProdData2_PDI_Cash_Exception_Application[[#This Row],[CHANGED ON]]</f>
        <v>17.742928240739275</v>
      </c>
      <c r="M631">
        <f ca="1">qry_ProdData2_PDI_Cash_Exception_Application[[#This Row],[TODAY]]-qry_ProdData2_PDI_Cash_Exception_Application[[#This Row],[CHANGED ON]]</f>
        <v>17.742928240739275</v>
      </c>
      <c r="N631">
        <f ca="1">qry_ProdData2_PDI_Cash_Exception_Application[[#This Row],[TODAY]]-qry_ProdData2_PDI_Cash_Exception_Application[[#This Row],[CHANGED ON]]</f>
        <v>17.742928240739275</v>
      </c>
    </row>
    <row r="632" spans="1:14" x14ac:dyDescent="0.35">
      <c r="A632">
        <v>1026</v>
      </c>
      <c r="B632" t="s">
        <v>80</v>
      </c>
      <c r="C632" s="1">
        <v>45184.257071759261</v>
      </c>
      <c r="D632" t="str">
        <f ca="1">VLOOKUP(qry_ProdData2_PDI_Cash_Exception_Application[[#This Row],[TYPE]],#REF!,2,FALSE)</f>
        <v>type29</v>
      </c>
      <c r="E632">
        <v>306.60000000000002</v>
      </c>
      <c r="F632" t="s">
        <v>52</v>
      </c>
      <c r="G632" s="1">
        <f>qry_ProdData2_PDI_Cash_Exception_Application[[#This Row],[INSERT DATE]]+1</f>
        <v>45185.257071759261</v>
      </c>
      <c r="H632" t="str">
        <f>VLOOKUP(qry_ProdData2_PDI_Cash_Exception_Application[[#This Row],[MARKET No]],'Site Allocation'!$B$2:$C$37,2,FALSE)</f>
        <v>Analyst5</v>
      </c>
      <c r="I632" s="4">
        <f t="shared" ca="1" si="9"/>
        <v>45203</v>
      </c>
      <c r="J632" s="42">
        <f ca="1">TODAY()-qry_ProdData2_PDI_Cash_Exception_Application[[#This Row],[INSERT DATE]]</f>
        <v>18.742928240739275</v>
      </c>
      <c r="K6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32">
        <f ca="1">qry_ProdData2_PDI_Cash_Exception_Application[[#This Row],[TODAY]]-qry_ProdData2_PDI_Cash_Exception_Application[[#This Row],[CHANGED ON]]</f>
        <v>17.742928240739275</v>
      </c>
      <c r="M632">
        <f ca="1">qry_ProdData2_PDI_Cash_Exception_Application[[#This Row],[TODAY]]-qry_ProdData2_PDI_Cash_Exception_Application[[#This Row],[CHANGED ON]]</f>
        <v>17.742928240739275</v>
      </c>
      <c r="N632">
        <f ca="1">qry_ProdData2_PDI_Cash_Exception_Application[[#This Row],[TODAY]]-qry_ProdData2_PDI_Cash_Exception_Application[[#This Row],[CHANGED ON]]</f>
        <v>17.742928240739275</v>
      </c>
    </row>
    <row r="633" spans="1:14" x14ac:dyDescent="0.35">
      <c r="A633">
        <v>1028</v>
      </c>
      <c r="B633" t="s">
        <v>82</v>
      </c>
      <c r="C633" s="1">
        <v>45190.257071759261</v>
      </c>
      <c r="D633" t="str">
        <f ca="1">VLOOKUP(qry_ProdData2_PDI_Cash_Exception_Application[[#This Row],[TYPE]],#REF!,2,FALSE)</f>
        <v>type7</v>
      </c>
      <c r="E633">
        <v>1375.46</v>
      </c>
      <c r="F633" t="s">
        <v>48</v>
      </c>
      <c r="G633" s="1">
        <f>qry_ProdData2_PDI_Cash_Exception_Application[[#This Row],[INSERT DATE]]+7</f>
        <v>45197.257071759261</v>
      </c>
      <c r="H633" t="str">
        <f>VLOOKUP(qry_ProdData2_PDI_Cash_Exception_Application[[#This Row],[MARKET No]],'Site Allocation'!$B$2:$C$37,2,FALSE)</f>
        <v>Analyst5</v>
      </c>
      <c r="I633" s="4">
        <f t="shared" ca="1" si="9"/>
        <v>45203</v>
      </c>
      <c r="J633" s="42">
        <f ca="1">TODAY()-qry_ProdData2_PDI_Cash_Exception_Application[[#This Row],[INSERT DATE]]</f>
        <v>12.742928240739275</v>
      </c>
      <c r="K6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33">
        <f ca="1">qry_ProdData2_PDI_Cash_Exception_Application[[#This Row],[TODAY]]-qry_ProdData2_PDI_Cash_Exception_Application[[#This Row],[CHANGED ON]]</f>
        <v>5.7429282407392748</v>
      </c>
      <c r="M633">
        <f ca="1">qry_ProdData2_PDI_Cash_Exception_Application[[#This Row],[TODAY]]-qry_ProdData2_PDI_Cash_Exception_Application[[#This Row],[CHANGED ON]]</f>
        <v>5.7429282407392748</v>
      </c>
      <c r="N633">
        <f ca="1">qry_ProdData2_PDI_Cash_Exception_Application[[#This Row],[TODAY]]-qry_ProdData2_PDI_Cash_Exception_Application[[#This Row],[CHANGED ON]]</f>
        <v>5.7429282407392748</v>
      </c>
    </row>
    <row r="634" spans="1:14" x14ac:dyDescent="0.35">
      <c r="A634">
        <v>1019</v>
      </c>
      <c r="B634" t="s">
        <v>73</v>
      </c>
      <c r="C634" s="1">
        <v>45187.257071759261</v>
      </c>
      <c r="D634" t="str">
        <f ca="1">VLOOKUP(qry_ProdData2_PDI_Cash_Exception_Application[[#This Row],[TYPE]],#REF!,2,FALSE)</f>
        <v>type40</v>
      </c>
      <c r="E634">
        <v>-1067.69</v>
      </c>
      <c r="F634" t="s">
        <v>48</v>
      </c>
      <c r="G634" s="1">
        <f>qry_ProdData2_PDI_Cash_Exception_Application[[#This Row],[INSERT DATE]]+1</f>
        <v>45188.257071759261</v>
      </c>
      <c r="H634" t="str">
        <f>VLOOKUP(qry_ProdData2_PDI_Cash_Exception_Application[[#This Row],[MARKET No]],'Site Allocation'!$B$2:$C$37,2,FALSE)</f>
        <v>Analyst4</v>
      </c>
      <c r="I634" s="4">
        <f t="shared" ca="1" si="9"/>
        <v>45203</v>
      </c>
      <c r="J634" s="42">
        <f ca="1">TODAY()-qry_ProdData2_PDI_Cash_Exception_Application[[#This Row],[INSERT DATE]]</f>
        <v>15.742928240739275</v>
      </c>
      <c r="K6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34">
        <f ca="1">qry_ProdData2_PDI_Cash_Exception_Application[[#This Row],[TODAY]]-qry_ProdData2_PDI_Cash_Exception_Application[[#This Row],[CHANGED ON]]</f>
        <v>14.742928240739275</v>
      </c>
      <c r="M634">
        <f ca="1">qry_ProdData2_PDI_Cash_Exception_Application[[#This Row],[TODAY]]-qry_ProdData2_PDI_Cash_Exception_Application[[#This Row],[CHANGED ON]]</f>
        <v>14.742928240739275</v>
      </c>
      <c r="N634">
        <f ca="1">qry_ProdData2_PDI_Cash_Exception_Application[[#This Row],[TODAY]]-qry_ProdData2_PDI_Cash_Exception_Application[[#This Row],[CHANGED ON]]</f>
        <v>14.742928240739275</v>
      </c>
    </row>
    <row r="635" spans="1:14" x14ac:dyDescent="0.35">
      <c r="A635">
        <v>1013</v>
      </c>
      <c r="B635" t="s">
        <v>67</v>
      </c>
      <c r="C635" s="1">
        <v>45186.257071759261</v>
      </c>
      <c r="D635" t="str">
        <f ca="1">VLOOKUP(qry_ProdData2_PDI_Cash_Exception_Application[[#This Row],[TYPE]],#REF!,2,FALSE)</f>
        <v>type40</v>
      </c>
      <c r="E635">
        <v>-600.03</v>
      </c>
      <c r="F635" t="s">
        <v>50</v>
      </c>
      <c r="G635" s="1">
        <f>qry_ProdData2_PDI_Cash_Exception_Application[[#This Row],[INSERT DATE]]+1</f>
        <v>45187.257071759261</v>
      </c>
      <c r="H635" t="str">
        <f>VLOOKUP(qry_ProdData2_PDI_Cash_Exception_Application[[#This Row],[MARKET No]],'Site Allocation'!$B$2:$C$37,2,FALSE)</f>
        <v>Analyst3</v>
      </c>
      <c r="I635" s="4">
        <f t="shared" ca="1" si="9"/>
        <v>45203</v>
      </c>
      <c r="J635" s="42">
        <f ca="1">TODAY()-qry_ProdData2_PDI_Cash_Exception_Application[[#This Row],[INSERT DATE]]</f>
        <v>16.742928240739275</v>
      </c>
      <c r="K6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35">
        <f ca="1">qry_ProdData2_PDI_Cash_Exception_Application[[#This Row],[TODAY]]-qry_ProdData2_PDI_Cash_Exception_Application[[#This Row],[CHANGED ON]]</f>
        <v>15.742928240739275</v>
      </c>
      <c r="M635">
        <f ca="1">qry_ProdData2_PDI_Cash_Exception_Application[[#This Row],[TODAY]]-qry_ProdData2_PDI_Cash_Exception_Application[[#This Row],[CHANGED ON]]</f>
        <v>15.742928240739275</v>
      </c>
      <c r="N635">
        <f ca="1">qry_ProdData2_PDI_Cash_Exception_Application[[#This Row],[TODAY]]-qry_ProdData2_PDI_Cash_Exception_Application[[#This Row],[CHANGED ON]]</f>
        <v>15.742928240739275</v>
      </c>
    </row>
    <row r="636" spans="1:14" x14ac:dyDescent="0.35">
      <c r="A636">
        <v>1020</v>
      </c>
      <c r="B636" t="s">
        <v>74</v>
      </c>
      <c r="C636" s="1">
        <v>45187.257071759261</v>
      </c>
      <c r="D636" t="str">
        <f ca="1">VLOOKUP(qry_ProdData2_PDI_Cash_Exception_Application[[#This Row],[TYPE]],#REF!,2,FALSE)</f>
        <v>type40</v>
      </c>
      <c r="E636">
        <v>306.27999999999997</v>
      </c>
      <c r="F636" t="s">
        <v>50</v>
      </c>
      <c r="G636" s="1">
        <f>qry_ProdData2_PDI_Cash_Exception_Application[[#This Row],[INSERT DATE]]+1</f>
        <v>45188.257071759261</v>
      </c>
      <c r="H636" t="str">
        <f>VLOOKUP(qry_ProdData2_PDI_Cash_Exception_Application[[#This Row],[MARKET No]],'Site Allocation'!$B$2:$C$37,2,FALSE)</f>
        <v>Analyst4</v>
      </c>
      <c r="I636" s="4">
        <f t="shared" ca="1" si="9"/>
        <v>45203</v>
      </c>
      <c r="J636" s="42">
        <f ca="1">TODAY()-qry_ProdData2_PDI_Cash_Exception_Application[[#This Row],[INSERT DATE]]</f>
        <v>15.742928240739275</v>
      </c>
      <c r="K6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36">
        <f ca="1">qry_ProdData2_PDI_Cash_Exception_Application[[#This Row],[TODAY]]-qry_ProdData2_PDI_Cash_Exception_Application[[#This Row],[CHANGED ON]]</f>
        <v>14.742928240739275</v>
      </c>
      <c r="M636">
        <f ca="1">qry_ProdData2_PDI_Cash_Exception_Application[[#This Row],[TODAY]]-qry_ProdData2_PDI_Cash_Exception_Application[[#This Row],[CHANGED ON]]</f>
        <v>14.742928240739275</v>
      </c>
      <c r="N636">
        <f ca="1">qry_ProdData2_PDI_Cash_Exception_Application[[#This Row],[TODAY]]-qry_ProdData2_PDI_Cash_Exception_Application[[#This Row],[CHANGED ON]]</f>
        <v>14.742928240739275</v>
      </c>
    </row>
    <row r="637" spans="1:14" x14ac:dyDescent="0.35">
      <c r="A637">
        <v>1032</v>
      </c>
      <c r="B637" t="s">
        <v>86</v>
      </c>
      <c r="C637" s="1">
        <v>45189.257071759261</v>
      </c>
      <c r="D637" t="str">
        <f ca="1">VLOOKUP(qry_ProdData2_PDI_Cash_Exception_Application[[#This Row],[TYPE]],#REF!,2,FALSE)</f>
        <v>type40</v>
      </c>
      <c r="E637">
        <v>-404.36</v>
      </c>
      <c r="F637" t="s">
        <v>49</v>
      </c>
      <c r="G637" s="1">
        <f>qry_ProdData2_PDI_Cash_Exception_Application[[#This Row],[INSERT DATE]]+2</f>
        <v>45191.257071759261</v>
      </c>
      <c r="H637" t="str">
        <f>VLOOKUP(qry_ProdData2_PDI_Cash_Exception_Application[[#This Row],[MARKET No]],'Site Allocation'!$B$2:$C$37,2,FALSE)</f>
        <v>Analyst6</v>
      </c>
      <c r="I637" s="4">
        <f t="shared" ca="1" si="9"/>
        <v>45203</v>
      </c>
      <c r="J637" s="42">
        <f ca="1">TODAY()-qry_ProdData2_PDI_Cash_Exception_Application[[#This Row],[INSERT DATE]]</f>
        <v>13.742928240739275</v>
      </c>
      <c r="K6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37">
        <f ca="1">qry_ProdData2_PDI_Cash_Exception_Application[[#This Row],[TODAY]]-qry_ProdData2_PDI_Cash_Exception_Application[[#This Row],[CHANGED ON]]</f>
        <v>11.742928240739275</v>
      </c>
      <c r="M637">
        <f ca="1">qry_ProdData2_PDI_Cash_Exception_Application[[#This Row],[TODAY]]-qry_ProdData2_PDI_Cash_Exception_Application[[#This Row],[CHANGED ON]]</f>
        <v>11.742928240739275</v>
      </c>
      <c r="N637">
        <f ca="1">qry_ProdData2_PDI_Cash_Exception_Application[[#This Row],[TODAY]]-qry_ProdData2_PDI_Cash_Exception_Application[[#This Row],[CHANGED ON]]</f>
        <v>11.742928240739275</v>
      </c>
    </row>
    <row r="638" spans="1:14" x14ac:dyDescent="0.35">
      <c r="A638">
        <v>1013</v>
      </c>
      <c r="B638" t="s">
        <v>67</v>
      </c>
      <c r="C638" s="1">
        <v>45182.257071759261</v>
      </c>
      <c r="D638" t="str">
        <f ca="1">VLOOKUP(qry_ProdData2_PDI_Cash_Exception_Application[[#This Row],[TYPE]],#REF!,2,FALSE)</f>
        <v>type40</v>
      </c>
      <c r="E638">
        <v>790.45</v>
      </c>
      <c r="F638" t="s">
        <v>48</v>
      </c>
      <c r="G638" s="1">
        <f>qry_ProdData2_PDI_Cash_Exception_Application[[#This Row],[INSERT DATE]]+1</f>
        <v>45183.257071759261</v>
      </c>
      <c r="H638" t="str">
        <f>VLOOKUP(qry_ProdData2_PDI_Cash_Exception_Application[[#This Row],[MARKET No]],'Site Allocation'!$B$2:$C$37,2,FALSE)</f>
        <v>Analyst3</v>
      </c>
      <c r="I638" s="4">
        <f t="shared" ca="1" si="9"/>
        <v>45203</v>
      </c>
      <c r="J638" s="42">
        <f ca="1">TODAY()-qry_ProdData2_PDI_Cash_Exception_Application[[#This Row],[INSERT DATE]]</f>
        <v>20.742928240739275</v>
      </c>
      <c r="K6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38">
        <f ca="1">qry_ProdData2_PDI_Cash_Exception_Application[[#This Row],[TODAY]]-qry_ProdData2_PDI_Cash_Exception_Application[[#This Row],[CHANGED ON]]</f>
        <v>19.742928240739275</v>
      </c>
      <c r="M638">
        <f ca="1">qry_ProdData2_PDI_Cash_Exception_Application[[#This Row],[TODAY]]-qry_ProdData2_PDI_Cash_Exception_Application[[#This Row],[CHANGED ON]]</f>
        <v>19.742928240739275</v>
      </c>
      <c r="N638">
        <f ca="1">qry_ProdData2_PDI_Cash_Exception_Application[[#This Row],[TODAY]]-qry_ProdData2_PDI_Cash_Exception_Application[[#This Row],[CHANGED ON]]</f>
        <v>19.742928240739275</v>
      </c>
    </row>
    <row r="639" spans="1:14" x14ac:dyDescent="0.35">
      <c r="A639">
        <v>1008</v>
      </c>
      <c r="B639" t="s">
        <v>62</v>
      </c>
      <c r="C639" s="1">
        <v>45189.257071759261</v>
      </c>
      <c r="D639" t="str">
        <f ca="1">VLOOKUP(qry_ProdData2_PDI_Cash_Exception_Application[[#This Row],[TYPE]],#REF!,2,FALSE)</f>
        <v>type52</v>
      </c>
      <c r="E639">
        <v>64.260000000000005</v>
      </c>
      <c r="F639" t="s">
        <v>49</v>
      </c>
      <c r="G639" s="1">
        <f>qry_ProdData2_PDI_Cash_Exception_Application[[#This Row],[INSERT DATE]]+2</f>
        <v>45191.257071759261</v>
      </c>
      <c r="H639" t="str">
        <f>VLOOKUP(qry_ProdData2_PDI_Cash_Exception_Application[[#This Row],[MARKET No]],'Site Allocation'!$B$2:$C$37,2,FALSE)</f>
        <v>Analyst2</v>
      </c>
      <c r="I639" s="4">
        <f t="shared" ca="1" si="9"/>
        <v>45203</v>
      </c>
      <c r="J639" s="42">
        <f ca="1">TODAY()-qry_ProdData2_PDI_Cash_Exception_Application[[#This Row],[INSERT DATE]]</f>
        <v>13.742928240739275</v>
      </c>
      <c r="K6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39">
        <f ca="1">qry_ProdData2_PDI_Cash_Exception_Application[[#This Row],[TODAY]]-qry_ProdData2_PDI_Cash_Exception_Application[[#This Row],[CHANGED ON]]</f>
        <v>11.742928240739275</v>
      </c>
      <c r="M639">
        <f ca="1">qry_ProdData2_PDI_Cash_Exception_Application[[#This Row],[TODAY]]-qry_ProdData2_PDI_Cash_Exception_Application[[#This Row],[CHANGED ON]]</f>
        <v>11.742928240739275</v>
      </c>
      <c r="N639">
        <f ca="1">qry_ProdData2_PDI_Cash_Exception_Application[[#This Row],[TODAY]]-qry_ProdData2_PDI_Cash_Exception_Application[[#This Row],[CHANGED ON]]</f>
        <v>11.742928240739275</v>
      </c>
    </row>
    <row r="640" spans="1:14" x14ac:dyDescent="0.35">
      <c r="A640">
        <v>1030</v>
      </c>
      <c r="B640" t="s">
        <v>84</v>
      </c>
      <c r="C640" s="1">
        <v>45192.257071759261</v>
      </c>
      <c r="D640" t="str">
        <f ca="1">VLOOKUP(qry_ProdData2_PDI_Cash_Exception_Application[[#This Row],[TYPE]],#REF!,2,FALSE)</f>
        <v>type13</v>
      </c>
      <c r="E640">
        <v>20544.419999999998</v>
      </c>
      <c r="F640" t="s">
        <v>51</v>
      </c>
      <c r="G640" s="1">
        <f>qry_ProdData2_PDI_Cash_Exception_Application[[#This Row],[INSERT DATE]]+1</f>
        <v>45193.257071759261</v>
      </c>
      <c r="H640" t="str">
        <f>VLOOKUP(qry_ProdData2_PDI_Cash_Exception_Application[[#This Row],[MARKET No]],'Site Allocation'!$B$2:$C$37,2,FALSE)</f>
        <v>Analyst6</v>
      </c>
      <c r="I640" s="4">
        <f t="shared" ca="1" si="9"/>
        <v>45203</v>
      </c>
      <c r="J640" s="42">
        <f ca="1">TODAY()-qry_ProdData2_PDI_Cash_Exception_Application[[#This Row],[INSERT DATE]]</f>
        <v>10.742928240739275</v>
      </c>
      <c r="K6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40">
        <f ca="1">qry_ProdData2_PDI_Cash_Exception_Application[[#This Row],[TODAY]]-qry_ProdData2_PDI_Cash_Exception_Application[[#This Row],[CHANGED ON]]</f>
        <v>9.7429282407392748</v>
      </c>
      <c r="M640">
        <f ca="1">qry_ProdData2_PDI_Cash_Exception_Application[[#This Row],[TODAY]]-qry_ProdData2_PDI_Cash_Exception_Application[[#This Row],[CHANGED ON]]</f>
        <v>9.7429282407392748</v>
      </c>
      <c r="N640">
        <f ca="1">qry_ProdData2_PDI_Cash_Exception_Application[[#This Row],[TODAY]]-qry_ProdData2_PDI_Cash_Exception_Application[[#This Row],[CHANGED ON]]</f>
        <v>9.7429282407392748</v>
      </c>
    </row>
    <row r="641" spans="1:14" x14ac:dyDescent="0.35">
      <c r="A641">
        <v>1002</v>
      </c>
      <c r="B641" t="s">
        <v>56</v>
      </c>
      <c r="C641" s="1">
        <v>45190.257071759261</v>
      </c>
      <c r="D641" t="str">
        <f ca="1">VLOOKUP(qry_ProdData2_PDI_Cash_Exception_Application[[#This Row],[TYPE]],#REF!,2,FALSE)</f>
        <v>type8</v>
      </c>
      <c r="E641">
        <v>64.95</v>
      </c>
      <c r="F641" t="s">
        <v>49</v>
      </c>
      <c r="G641" s="1">
        <f>qry_ProdData2_PDI_Cash_Exception_Application[[#This Row],[INSERT DATE]]+2</f>
        <v>45192.257071759261</v>
      </c>
      <c r="H641" t="str">
        <f>VLOOKUP(qry_ProdData2_PDI_Cash_Exception_Application[[#This Row],[MARKET No]],'Site Allocation'!$B$2:$C$37,2,FALSE)</f>
        <v>Analyst1</v>
      </c>
      <c r="I641" s="4">
        <f t="shared" ca="1" si="9"/>
        <v>45203</v>
      </c>
      <c r="J641" s="42">
        <f ca="1">TODAY()-qry_ProdData2_PDI_Cash_Exception_Application[[#This Row],[INSERT DATE]]</f>
        <v>12.742928240739275</v>
      </c>
      <c r="K6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41">
        <f ca="1">qry_ProdData2_PDI_Cash_Exception_Application[[#This Row],[TODAY]]-qry_ProdData2_PDI_Cash_Exception_Application[[#This Row],[CHANGED ON]]</f>
        <v>10.742928240739275</v>
      </c>
      <c r="M641">
        <f ca="1">qry_ProdData2_PDI_Cash_Exception_Application[[#This Row],[TODAY]]-qry_ProdData2_PDI_Cash_Exception_Application[[#This Row],[CHANGED ON]]</f>
        <v>10.742928240739275</v>
      </c>
      <c r="N641">
        <f ca="1">qry_ProdData2_PDI_Cash_Exception_Application[[#This Row],[TODAY]]-qry_ProdData2_PDI_Cash_Exception_Application[[#This Row],[CHANGED ON]]</f>
        <v>10.742928240739275</v>
      </c>
    </row>
    <row r="642" spans="1:14" x14ac:dyDescent="0.35">
      <c r="A642">
        <v>1014</v>
      </c>
      <c r="B642" t="s">
        <v>68</v>
      </c>
      <c r="C642" s="1">
        <v>45190.257071759261</v>
      </c>
      <c r="D642" t="str">
        <f ca="1">VLOOKUP(qry_ProdData2_PDI_Cash_Exception_Application[[#This Row],[TYPE]],#REF!,2,FALSE)</f>
        <v>type13</v>
      </c>
      <c r="E642">
        <v>26989.24</v>
      </c>
      <c r="F642" t="s">
        <v>50</v>
      </c>
      <c r="G642" s="1">
        <f>qry_ProdData2_PDI_Cash_Exception_Application[[#This Row],[INSERT DATE]]+2</f>
        <v>45192.257071759261</v>
      </c>
      <c r="H642" t="str">
        <f>VLOOKUP(qry_ProdData2_PDI_Cash_Exception_Application[[#This Row],[MARKET No]],'Site Allocation'!$B$2:$C$37,2,FALSE)</f>
        <v>Analyst3</v>
      </c>
      <c r="I642" s="4">
        <f t="shared" ref="I642:I705" ca="1" si="10">TODAY()</f>
        <v>45203</v>
      </c>
      <c r="J642" s="42">
        <f ca="1">TODAY()-qry_ProdData2_PDI_Cash_Exception_Application[[#This Row],[INSERT DATE]]</f>
        <v>12.742928240739275</v>
      </c>
      <c r="K6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42">
        <f ca="1">qry_ProdData2_PDI_Cash_Exception_Application[[#This Row],[TODAY]]-qry_ProdData2_PDI_Cash_Exception_Application[[#This Row],[CHANGED ON]]</f>
        <v>10.742928240739275</v>
      </c>
      <c r="M642">
        <f ca="1">qry_ProdData2_PDI_Cash_Exception_Application[[#This Row],[TODAY]]-qry_ProdData2_PDI_Cash_Exception_Application[[#This Row],[CHANGED ON]]</f>
        <v>10.742928240739275</v>
      </c>
      <c r="N642">
        <f ca="1">qry_ProdData2_PDI_Cash_Exception_Application[[#This Row],[TODAY]]-qry_ProdData2_PDI_Cash_Exception_Application[[#This Row],[CHANGED ON]]</f>
        <v>10.742928240739275</v>
      </c>
    </row>
    <row r="643" spans="1:14" x14ac:dyDescent="0.35">
      <c r="A643">
        <v>1010</v>
      </c>
      <c r="B643" t="s">
        <v>64</v>
      </c>
      <c r="C643" s="1">
        <v>45179.257071759261</v>
      </c>
      <c r="D643" t="str">
        <f ca="1">VLOOKUP(qry_ProdData2_PDI_Cash_Exception_Application[[#This Row],[TYPE]],#REF!,2,FALSE)</f>
        <v>type40</v>
      </c>
      <c r="E643">
        <v>554.17999999999995</v>
      </c>
      <c r="F643" t="s">
        <v>47</v>
      </c>
      <c r="G643" s="1">
        <f>qry_ProdData2_PDI_Cash_Exception_Application[[#This Row],[INSERT DATE]]+1</f>
        <v>45180.257071759261</v>
      </c>
      <c r="H643" t="str">
        <f>VLOOKUP(qry_ProdData2_PDI_Cash_Exception_Application[[#This Row],[MARKET No]],'Site Allocation'!$B$2:$C$37,2,FALSE)</f>
        <v>Analyst2</v>
      </c>
      <c r="I643" s="4">
        <f t="shared" ca="1" si="10"/>
        <v>45203</v>
      </c>
      <c r="J643" s="42">
        <f ca="1">TODAY()-qry_ProdData2_PDI_Cash_Exception_Application[[#This Row],[INSERT DATE]]</f>
        <v>23.742928240739275</v>
      </c>
      <c r="K6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43">
        <f ca="1">qry_ProdData2_PDI_Cash_Exception_Application[[#This Row],[TODAY]]-qry_ProdData2_PDI_Cash_Exception_Application[[#This Row],[CHANGED ON]]</f>
        <v>22.742928240739275</v>
      </c>
      <c r="M643">
        <f ca="1">qry_ProdData2_PDI_Cash_Exception_Application[[#This Row],[TODAY]]-qry_ProdData2_PDI_Cash_Exception_Application[[#This Row],[CHANGED ON]]</f>
        <v>22.742928240739275</v>
      </c>
      <c r="N643">
        <f ca="1">qry_ProdData2_PDI_Cash_Exception_Application[[#This Row],[TODAY]]-qry_ProdData2_PDI_Cash_Exception_Application[[#This Row],[CHANGED ON]]</f>
        <v>22.742928240739275</v>
      </c>
    </row>
    <row r="644" spans="1:14" x14ac:dyDescent="0.35">
      <c r="A644">
        <v>1012</v>
      </c>
      <c r="B644" t="s">
        <v>66</v>
      </c>
      <c r="C644" s="1">
        <v>45182.257071759261</v>
      </c>
      <c r="D644" t="str">
        <f ca="1">VLOOKUP(qry_ProdData2_PDI_Cash_Exception_Application[[#This Row],[TYPE]],#REF!,2,FALSE)</f>
        <v>type35</v>
      </c>
      <c r="E644">
        <v>315.82</v>
      </c>
      <c r="F644" t="s">
        <v>47</v>
      </c>
      <c r="G644" s="1">
        <f>qry_ProdData2_PDI_Cash_Exception_Application[[#This Row],[INSERT DATE]]+1</f>
        <v>45183.257071759261</v>
      </c>
      <c r="H644" t="str">
        <f>VLOOKUP(qry_ProdData2_PDI_Cash_Exception_Application[[#This Row],[MARKET No]],'Site Allocation'!$B$2:$C$37,2,FALSE)</f>
        <v>Analyst3</v>
      </c>
      <c r="I644" s="4">
        <f t="shared" ca="1" si="10"/>
        <v>45203</v>
      </c>
      <c r="J644" s="42">
        <f ca="1">TODAY()-qry_ProdData2_PDI_Cash_Exception_Application[[#This Row],[INSERT DATE]]</f>
        <v>20.742928240739275</v>
      </c>
      <c r="K6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44">
        <f ca="1">qry_ProdData2_PDI_Cash_Exception_Application[[#This Row],[TODAY]]-qry_ProdData2_PDI_Cash_Exception_Application[[#This Row],[CHANGED ON]]</f>
        <v>19.742928240739275</v>
      </c>
      <c r="M644">
        <f ca="1">qry_ProdData2_PDI_Cash_Exception_Application[[#This Row],[TODAY]]-qry_ProdData2_PDI_Cash_Exception_Application[[#This Row],[CHANGED ON]]</f>
        <v>19.742928240739275</v>
      </c>
      <c r="N644">
        <f ca="1">qry_ProdData2_PDI_Cash_Exception_Application[[#This Row],[TODAY]]-qry_ProdData2_PDI_Cash_Exception_Application[[#This Row],[CHANGED ON]]</f>
        <v>19.742928240739275</v>
      </c>
    </row>
    <row r="645" spans="1:14" x14ac:dyDescent="0.35">
      <c r="A645">
        <v>1015</v>
      </c>
      <c r="B645" t="s">
        <v>69</v>
      </c>
      <c r="C645" s="1">
        <v>45192.257071759261</v>
      </c>
      <c r="D645" t="str">
        <f ca="1">VLOOKUP(qry_ProdData2_PDI_Cash_Exception_Application[[#This Row],[TYPE]],#REF!,2,FALSE)</f>
        <v>type40</v>
      </c>
      <c r="E645">
        <v>-549.4</v>
      </c>
      <c r="F645" t="s">
        <v>51</v>
      </c>
      <c r="G645" s="1">
        <f>qry_ProdData2_PDI_Cash_Exception_Application[[#This Row],[INSERT DATE]]+2</f>
        <v>45194.257071759261</v>
      </c>
      <c r="H645" t="str">
        <f>VLOOKUP(qry_ProdData2_PDI_Cash_Exception_Application[[#This Row],[MARKET No]],'Site Allocation'!$B$2:$C$37,2,FALSE)</f>
        <v>Analyst3</v>
      </c>
      <c r="I645" s="4">
        <f t="shared" ca="1" si="10"/>
        <v>45203</v>
      </c>
      <c r="J645" s="42">
        <f ca="1">TODAY()-qry_ProdData2_PDI_Cash_Exception_Application[[#This Row],[INSERT DATE]]</f>
        <v>10.742928240739275</v>
      </c>
      <c r="K6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45">
        <f ca="1">qry_ProdData2_PDI_Cash_Exception_Application[[#This Row],[TODAY]]-qry_ProdData2_PDI_Cash_Exception_Application[[#This Row],[CHANGED ON]]</f>
        <v>8.7429282407392748</v>
      </c>
      <c r="M645">
        <f ca="1">qry_ProdData2_PDI_Cash_Exception_Application[[#This Row],[TODAY]]-qry_ProdData2_PDI_Cash_Exception_Application[[#This Row],[CHANGED ON]]</f>
        <v>8.7429282407392748</v>
      </c>
      <c r="N645">
        <f ca="1">qry_ProdData2_PDI_Cash_Exception_Application[[#This Row],[TODAY]]-qry_ProdData2_PDI_Cash_Exception_Application[[#This Row],[CHANGED ON]]</f>
        <v>8.7429282407392748</v>
      </c>
    </row>
    <row r="646" spans="1:14" x14ac:dyDescent="0.35">
      <c r="A646">
        <v>1022</v>
      </c>
      <c r="B646" t="s">
        <v>76</v>
      </c>
      <c r="C646" s="1">
        <v>45185.257071759261</v>
      </c>
      <c r="D646" t="str">
        <f ca="1">VLOOKUP(qry_ProdData2_PDI_Cash_Exception_Application[[#This Row],[TYPE]],#REF!,2,FALSE)</f>
        <v>type13</v>
      </c>
      <c r="E646">
        <v>22227.96</v>
      </c>
      <c r="F646" t="s">
        <v>51</v>
      </c>
      <c r="G646" s="1">
        <f>qry_ProdData2_PDI_Cash_Exception_Application[[#This Row],[INSERT DATE]]+2</f>
        <v>45187.257071759261</v>
      </c>
      <c r="H646" t="str">
        <f>VLOOKUP(qry_ProdData2_PDI_Cash_Exception_Application[[#This Row],[MARKET No]],'Site Allocation'!$B$2:$C$37,2,FALSE)</f>
        <v>Analyst4</v>
      </c>
      <c r="I646" s="4">
        <f t="shared" ca="1" si="10"/>
        <v>45203</v>
      </c>
      <c r="J646" s="42">
        <f ca="1">TODAY()-qry_ProdData2_PDI_Cash_Exception_Application[[#This Row],[INSERT DATE]]</f>
        <v>17.742928240739275</v>
      </c>
      <c r="K6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46">
        <f ca="1">qry_ProdData2_PDI_Cash_Exception_Application[[#This Row],[TODAY]]-qry_ProdData2_PDI_Cash_Exception_Application[[#This Row],[CHANGED ON]]</f>
        <v>15.742928240739275</v>
      </c>
      <c r="M646">
        <f ca="1">qry_ProdData2_PDI_Cash_Exception_Application[[#This Row],[TODAY]]-qry_ProdData2_PDI_Cash_Exception_Application[[#This Row],[CHANGED ON]]</f>
        <v>15.742928240739275</v>
      </c>
      <c r="N646">
        <f ca="1">qry_ProdData2_PDI_Cash_Exception_Application[[#This Row],[TODAY]]-qry_ProdData2_PDI_Cash_Exception_Application[[#This Row],[CHANGED ON]]</f>
        <v>15.742928240739275</v>
      </c>
    </row>
    <row r="647" spans="1:14" x14ac:dyDescent="0.35">
      <c r="A647">
        <v>1002</v>
      </c>
      <c r="B647" t="s">
        <v>56</v>
      </c>
      <c r="C647" s="1">
        <v>45183.257071759261</v>
      </c>
      <c r="D647" t="str">
        <f ca="1">VLOOKUP(qry_ProdData2_PDI_Cash_Exception_Application[[#This Row],[TYPE]],#REF!,2,FALSE)</f>
        <v>type40</v>
      </c>
      <c r="E647">
        <v>1561.95</v>
      </c>
      <c r="F647" t="s">
        <v>48</v>
      </c>
      <c r="G647" s="1">
        <f>qry_ProdData2_PDI_Cash_Exception_Application[[#This Row],[INSERT DATE]]+1</f>
        <v>45184.257071759261</v>
      </c>
      <c r="H647" t="str">
        <f>VLOOKUP(qry_ProdData2_PDI_Cash_Exception_Application[[#This Row],[MARKET No]],'Site Allocation'!$B$2:$C$37,2,FALSE)</f>
        <v>Analyst1</v>
      </c>
      <c r="I647" s="4">
        <f t="shared" ca="1" si="10"/>
        <v>45203</v>
      </c>
      <c r="J647" s="42">
        <f ca="1">TODAY()-qry_ProdData2_PDI_Cash_Exception_Application[[#This Row],[INSERT DATE]]</f>
        <v>19.742928240739275</v>
      </c>
      <c r="K6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47">
        <f ca="1">qry_ProdData2_PDI_Cash_Exception_Application[[#This Row],[TODAY]]-qry_ProdData2_PDI_Cash_Exception_Application[[#This Row],[CHANGED ON]]</f>
        <v>18.742928240739275</v>
      </c>
      <c r="M647">
        <f ca="1">qry_ProdData2_PDI_Cash_Exception_Application[[#This Row],[TODAY]]-qry_ProdData2_PDI_Cash_Exception_Application[[#This Row],[CHANGED ON]]</f>
        <v>18.742928240739275</v>
      </c>
      <c r="N647">
        <f ca="1">qry_ProdData2_PDI_Cash_Exception_Application[[#This Row],[TODAY]]-qry_ProdData2_PDI_Cash_Exception_Application[[#This Row],[CHANGED ON]]</f>
        <v>18.742928240739275</v>
      </c>
    </row>
    <row r="648" spans="1:14" x14ac:dyDescent="0.35">
      <c r="A648">
        <v>1003</v>
      </c>
      <c r="B648" t="s">
        <v>57</v>
      </c>
      <c r="C648" s="1">
        <v>45185.257071759261</v>
      </c>
      <c r="D648" t="str">
        <f ca="1">VLOOKUP(qry_ProdData2_PDI_Cash_Exception_Application[[#This Row],[TYPE]],#REF!,2,FALSE)</f>
        <v>type13</v>
      </c>
      <c r="E648">
        <v>22126.53</v>
      </c>
      <c r="F648" t="s">
        <v>48</v>
      </c>
      <c r="G648" s="1">
        <f>qry_ProdData2_PDI_Cash_Exception_Application[[#This Row],[INSERT DATE]]+2</f>
        <v>45187.257071759261</v>
      </c>
      <c r="H648" t="str">
        <f>VLOOKUP(qry_ProdData2_PDI_Cash_Exception_Application[[#This Row],[MARKET No]],'Site Allocation'!$B$2:$C$37,2,FALSE)</f>
        <v>Analyst1</v>
      </c>
      <c r="I648" s="4">
        <f t="shared" ca="1" si="10"/>
        <v>45203</v>
      </c>
      <c r="J648" s="42">
        <f ca="1">TODAY()-qry_ProdData2_PDI_Cash_Exception_Application[[#This Row],[INSERT DATE]]</f>
        <v>17.742928240739275</v>
      </c>
      <c r="K6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48">
        <f ca="1">qry_ProdData2_PDI_Cash_Exception_Application[[#This Row],[TODAY]]-qry_ProdData2_PDI_Cash_Exception_Application[[#This Row],[CHANGED ON]]</f>
        <v>15.742928240739275</v>
      </c>
      <c r="M648">
        <f ca="1">qry_ProdData2_PDI_Cash_Exception_Application[[#This Row],[TODAY]]-qry_ProdData2_PDI_Cash_Exception_Application[[#This Row],[CHANGED ON]]</f>
        <v>15.742928240739275</v>
      </c>
      <c r="N648">
        <f ca="1">qry_ProdData2_PDI_Cash_Exception_Application[[#This Row],[TODAY]]-qry_ProdData2_PDI_Cash_Exception_Application[[#This Row],[CHANGED ON]]</f>
        <v>15.742928240739275</v>
      </c>
    </row>
    <row r="649" spans="1:14" x14ac:dyDescent="0.35">
      <c r="A649">
        <v>1003</v>
      </c>
      <c r="B649" t="s">
        <v>57</v>
      </c>
      <c r="C649" s="1">
        <v>45186.257071759261</v>
      </c>
      <c r="D649" t="str">
        <f ca="1">VLOOKUP(qry_ProdData2_PDI_Cash_Exception_Application[[#This Row],[TYPE]],#REF!,2,FALSE)</f>
        <v>type40</v>
      </c>
      <c r="E649">
        <v>746.13</v>
      </c>
      <c r="F649" t="s">
        <v>51</v>
      </c>
      <c r="G649" s="1">
        <f>qry_ProdData2_PDI_Cash_Exception_Application[[#This Row],[INSERT DATE]]+2</f>
        <v>45188.257071759261</v>
      </c>
      <c r="H649" t="str">
        <f>VLOOKUP(qry_ProdData2_PDI_Cash_Exception_Application[[#This Row],[MARKET No]],'Site Allocation'!$B$2:$C$37,2,FALSE)</f>
        <v>Analyst1</v>
      </c>
      <c r="I649" s="4">
        <f t="shared" ca="1" si="10"/>
        <v>45203</v>
      </c>
      <c r="J649" s="42">
        <f ca="1">TODAY()-qry_ProdData2_PDI_Cash_Exception_Application[[#This Row],[INSERT DATE]]</f>
        <v>16.742928240739275</v>
      </c>
      <c r="K6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49">
        <f ca="1">qry_ProdData2_PDI_Cash_Exception_Application[[#This Row],[TODAY]]-qry_ProdData2_PDI_Cash_Exception_Application[[#This Row],[CHANGED ON]]</f>
        <v>14.742928240739275</v>
      </c>
      <c r="M649">
        <f ca="1">qry_ProdData2_PDI_Cash_Exception_Application[[#This Row],[TODAY]]-qry_ProdData2_PDI_Cash_Exception_Application[[#This Row],[CHANGED ON]]</f>
        <v>14.742928240739275</v>
      </c>
      <c r="N649">
        <f ca="1">qry_ProdData2_PDI_Cash_Exception_Application[[#This Row],[TODAY]]-qry_ProdData2_PDI_Cash_Exception_Application[[#This Row],[CHANGED ON]]</f>
        <v>14.742928240739275</v>
      </c>
    </row>
    <row r="650" spans="1:14" x14ac:dyDescent="0.35">
      <c r="A650">
        <v>1014</v>
      </c>
      <c r="B650" t="s">
        <v>68</v>
      </c>
      <c r="C650" s="1">
        <v>45190.257071759261</v>
      </c>
      <c r="D650" t="str">
        <f ca="1">VLOOKUP(qry_ProdData2_PDI_Cash_Exception_Application[[#This Row],[TYPE]],#REF!,2,FALSE)</f>
        <v>type40</v>
      </c>
      <c r="E650">
        <v>-592.87</v>
      </c>
      <c r="F650" t="s">
        <v>48</v>
      </c>
      <c r="G650" s="1">
        <f>qry_ProdData2_PDI_Cash_Exception_Application[[#This Row],[INSERT DATE]]+2</f>
        <v>45192.257071759261</v>
      </c>
      <c r="H650" t="str">
        <f>VLOOKUP(qry_ProdData2_PDI_Cash_Exception_Application[[#This Row],[MARKET No]],'Site Allocation'!$B$2:$C$37,2,FALSE)</f>
        <v>Analyst3</v>
      </c>
      <c r="I650" s="4">
        <f t="shared" ca="1" si="10"/>
        <v>45203</v>
      </c>
      <c r="J650" s="42">
        <f ca="1">TODAY()-qry_ProdData2_PDI_Cash_Exception_Application[[#This Row],[INSERT DATE]]</f>
        <v>12.742928240739275</v>
      </c>
      <c r="K6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50">
        <f ca="1">qry_ProdData2_PDI_Cash_Exception_Application[[#This Row],[TODAY]]-qry_ProdData2_PDI_Cash_Exception_Application[[#This Row],[CHANGED ON]]</f>
        <v>10.742928240739275</v>
      </c>
      <c r="M650">
        <f ca="1">qry_ProdData2_PDI_Cash_Exception_Application[[#This Row],[TODAY]]-qry_ProdData2_PDI_Cash_Exception_Application[[#This Row],[CHANGED ON]]</f>
        <v>10.742928240739275</v>
      </c>
      <c r="N650">
        <f ca="1">qry_ProdData2_PDI_Cash_Exception_Application[[#This Row],[TODAY]]-qry_ProdData2_PDI_Cash_Exception_Application[[#This Row],[CHANGED ON]]</f>
        <v>10.742928240739275</v>
      </c>
    </row>
    <row r="651" spans="1:14" x14ac:dyDescent="0.35">
      <c r="A651">
        <v>1011</v>
      </c>
      <c r="B651" t="s">
        <v>65</v>
      </c>
      <c r="C651" s="1">
        <v>45184.257071759261</v>
      </c>
      <c r="D651" t="str">
        <f ca="1">VLOOKUP(qry_ProdData2_PDI_Cash_Exception_Application[[#This Row],[TYPE]],#REF!,2,FALSE)</f>
        <v>type40</v>
      </c>
      <c r="E651">
        <v>311.95999999999998</v>
      </c>
      <c r="F651" t="s">
        <v>47</v>
      </c>
      <c r="G651" s="1">
        <f>qry_ProdData2_PDI_Cash_Exception_Application[[#This Row],[INSERT DATE]]+1</f>
        <v>45185.257071759261</v>
      </c>
      <c r="H651" t="str">
        <f>VLOOKUP(qry_ProdData2_PDI_Cash_Exception_Application[[#This Row],[MARKET No]],'Site Allocation'!$B$2:$C$37,2,FALSE)</f>
        <v>Analyst2</v>
      </c>
      <c r="I651" s="4">
        <f t="shared" ca="1" si="10"/>
        <v>45203</v>
      </c>
      <c r="J651" s="42">
        <f ca="1">TODAY()-qry_ProdData2_PDI_Cash_Exception_Application[[#This Row],[INSERT DATE]]</f>
        <v>18.742928240739275</v>
      </c>
      <c r="K6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51">
        <f ca="1">qry_ProdData2_PDI_Cash_Exception_Application[[#This Row],[TODAY]]-qry_ProdData2_PDI_Cash_Exception_Application[[#This Row],[CHANGED ON]]</f>
        <v>17.742928240739275</v>
      </c>
      <c r="M651">
        <f ca="1">qry_ProdData2_PDI_Cash_Exception_Application[[#This Row],[TODAY]]-qry_ProdData2_PDI_Cash_Exception_Application[[#This Row],[CHANGED ON]]</f>
        <v>17.742928240739275</v>
      </c>
      <c r="N651">
        <f ca="1">qry_ProdData2_PDI_Cash_Exception_Application[[#This Row],[TODAY]]-qry_ProdData2_PDI_Cash_Exception_Application[[#This Row],[CHANGED ON]]</f>
        <v>17.742928240739275</v>
      </c>
    </row>
    <row r="652" spans="1:14" x14ac:dyDescent="0.35">
      <c r="A652">
        <v>1028</v>
      </c>
      <c r="B652" t="s">
        <v>82</v>
      </c>
      <c r="C652" s="1">
        <v>45186.257071759261</v>
      </c>
      <c r="D652" t="str">
        <f ca="1">VLOOKUP(qry_ProdData2_PDI_Cash_Exception_Application[[#This Row],[TYPE]],#REF!,2,FALSE)</f>
        <v>type54</v>
      </c>
      <c r="E652">
        <v>300.02</v>
      </c>
      <c r="F652" t="s">
        <v>48</v>
      </c>
      <c r="G652" s="1">
        <f>qry_ProdData2_PDI_Cash_Exception_Application[[#This Row],[INSERT DATE]]+2</f>
        <v>45188.257071759261</v>
      </c>
      <c r="H652" t="str">
        <f>VLOOKUP(qry_ProdData2_PDI_Cash_Exception_Application[[#This Row],[MARKET No]],'Site Allocation'!$B$2:$C$37,2,FALSE)</f>
        <v>Analyst5</v>
      </c>
      <c r="I652" s="4">
        <f t="shared" ca="1" si="10"/>
        <v>45203</v>
      </c>
      <c r="J652" s="42">
        <f ca="1">TODAY()-qry_ProdData2_PDI_Cash_Exception_Application[[#This Row],[INSERT DATE]]</f>
        <v>16.742928240739275</v>
      </c>
      <c r="K6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52">
        <f ca="1">qry_ProdData2_PDI_Cash_Exception_Application[[#This Row],[TODAY]]-qry_ProdData2_PDI_Cash_Exception_Application[[#This Row],[CHANGED ON]]</f>
        <v>14.742928240739275</v>
      </c>
      <c r="M652">
        <f ca="1">qry_ProdData2_PDI_Cash_Exception_Application[[#This Row],[TODAY]]-qry_ProdData2_PDI_Cash_Exception_Application[[#This Row],[CHANGED ON]]</f>
        <v>14.742928240739275</v>
      </c>
      <c r="N652">
        <f ca="1">qry_ProdData2_PDI_Cash_Exception_Application[[#This Row],[TODAY]]-qry_ProdData2_PDI_Cash_Exception_Application[[#This Row],[CHANGED ON]]</f>
        <v>14.742928240739275</v>
      </c>
    </row>
    <row r="653" spans="1:14" x14ac:dyDescent="0.35">
      <c r="A653">
        <v>1034</v>
      </c>
      <c r="B653" t="s">
        <v>88</v>
      </c>
      <c r="C653" s="1">
        <v>45187.257071759261</v>
      </c>
      <c r="D653" t="str">
        <f ca="1">VLOOKUP(qry_ProdData2_PDI_Cash_Exception_Application[[#This Row],[TYPE]],#REF!,2,FALSE)</f>
        <v>type35</v>
      </c>
      <c r="E653">
        <v>430.4</v>
      </c>
      <c r="F653" t="s">
        <v>52</v>
      </c>
      <c r="G653" s="1">
        <f>qry_ProdData2_PDI_Cash_Exception_Application[[#This Row],[INSERT DATE]]+2</f>
        <v>45189.257071759261</v>
      </c>
      <c r="H653" t="str">
        <f>VLOOKUP(qry_ProdData2_PDI_Cash_Exception_Application[[#This Row],[MARKET No]],'Site Allocation'!$B$2:$C$37,2,FALSE)</f>
        <v>Analyst6</v>
      </c>
      <c r="I653" s="4">
        <f t="shared" ca="1" si="10"/>
        <v>45203</v>
      </c>
      <c r="J653" s="42">
        <f ca="1">TODAY()-qry_ProdData2_PDI_Cash_Exception_Application[[#This Row],[INSERT DATE]]</f>
        <v>15.742928240739275</v>
      </c>
      <c r="K6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53">
        <f ca="1">qry_ProdData2_PDI_Cash_Exception_Application[[#This Row],[TODAY]]-qry_ProdData2_PDI_Cash_Exception_Application[[#This Row],[CHANGED ON]]</f>
        <v>13.742928240739275</v>
      </c>
      <c r="M653">
        <f ca="1">qry_ProdData2_PDI_Cash_Exception_Application[[#This Row],[TODAY]]-qry_ProdData2_PDI_Cash_Exception_Application[[#This Row],[CHANGED ON]]</f>
        <v>13.742928240739275</v>
      </c>
      <c r="N653">
        <f ca="1">qry_ProdData2_PDI_Cash_Exception_Application[[#This Row],[TODAY]]-qry_ProdData2_PDI_Cash_Exception_Application[[#This Row],[CHANGED ON]]</f>
        <v>13.742928240739275</v>
      </c>
    </row>
    <row r="654" spans="1:14" x14ac:dyDescent="0.35">
      <c r="A654">
        <v>1005</v>
      </c>
      <c r="B654" t="s">
        <v>59</v>
      </c>
      <c r="C654" s="1">
        <v>45188.257071759261</v>
      </c>
      <c r="D654" t="str">
        <f ca="1">VLOOKUP(qry_ProdData2_PDI_Cash_Exception_Application[[#This Row],[TYPE]],#REF!,2,FALSE)</f>
        <v>type8</v>
      </c>
      <c r="E654">
        <v>60</v>
      </c>
      <c r="F654" t="s">
        <v>50</v>
      </c>
      <c r="G654" s="1">
        <f>qry_ProdData2_PDI_Cash_Exception_Application[[#This Row],[INSERT DATE]]+2</f>
        <v>45190.257071759261</v>
      </c>
      <c r="H654" t="str">
        <f>VLOOKUP(qry_ProdData2_PDI_Cash_Exception_Application[[#This Row],[MARKET No]],'Site Allocation'!$B$2:$C$37,2,FALSE)</f>
        <v>Analyst1</v>
      </c>
      <c r="I654" s="4">
        <f t="shared" ca="1" si="10"/>
        <v>45203</v>
      </c>
      <c r="J654" s="42">
        <f ca="1">TODAY()-qry_ProdData2_PDI_Cash_Exception_Application[[#This Row],[INSERT DATE]]</f>
        <v>14.742928240739275</v>
      </c>
      <c r="K6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54">
        <f ca="1">qry_ProdData2_PDI_Cash_Exception_Application[[#This Row],[TODAY]]-qry_ProdData2_PDI_Cash_Exception_Application[[#This Row],[CHANGED ON]]</f>
        <v>12.742928240739275</v>
      </c>
      <c r="M654">
        <f ca="1">qry_ProdData2_PDI_Cash_Exception_Application[[#This Row],[TODAY]]-qry_ProdData2_PDI_Cash_Exception_Application[[#This Row],[CHANGED ON]]</f>
        <v>12.742928240739275</v>
      </c>
      <c r="N654">
        <f ca="1">qry_ProdData2_PDI_Cash_Exception_Application[[#This Row],[TODAY]]-qry_ProdData2_PDI_Cash_Exception_Application[[#This Row],[CHANGED ON]]</f>
        <v>12.742928240739275</v>
      </c>
    </row>
    <row r="655" spans="1:14" x14ac:dyDescent="0.35">
      <c r="A655">
        <v>1024</v>
      </c>
      <c r="B655" t="s">
        <v>78</v>
      </c>
      <c r="C655" s="1">
        <v>45187.257071759261</v>
      </c>
      <c r="D655" t="str">
        <f ca="1">VLOOKUP(qry_ProdData2_PDI_Cash_Exception_Application[[#This Row],[TYPE]],#REF!,2,FALSE)</f>
        <v>type13</v>
      </c>
      <c r="E655">
        <v>16542.48</v>
      </c>
      <c r="F655" t="s">
        <v>48</v>
      </c>
      <c r="G655" s="1">
        <f>qry_ProdData2_PDI_Cash_Exception_Application[[#This Row],[INSERT DATE]]+2</f>
        <v>45189.257071759261</v>
      </c>
      <c r="H655" t="str">
        <f>VLOOKUP(qry_ProdData2_PDI_Cash_Exception_Application[[#This Row],[MARKET No]],'Site Allocation'!$B$2:$C$37,2,FALSE)</f>
        <v>Analyst5</v>
      </c>
      <c r="I655" s="4">
        <f t="shared" ca="1" si="10"/>
        <v>45203</v>
      </c>
      <c r="J655" s="42">
        <f ca="1">TODAY()-qry_ProdData2_PDI_Cash_Exception_Application[[#This Row],[INSERT DATE]]</f>
        <v>15.742928240739275</v>
      </c>
      <c r="K6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55">
        <f ca="1">qry_ProdData2_PDI_Cash_Exception_Application[[#This Row],[TODAY]]-qry_ProdData2_PDI_Cash_Exception_Application[[#This Row],[CHANGED ON]]</f>
        <v>13.742928240739275</v>
      </c>
      <c r="M655">
        <f ca="1">qry_ProdData2_PDI_Cash_Exception_Application[[#This Row],[TODAY]]-qry_ProdData2_PDI_Cash_Exception_Application[[#This Row],[CHANGED ON]]</f>
        <v>13.742928240739275</v>
      </c>
      <c r="N655">
        <f ca="1">qry_ProdData2_PDI_Cash_Exception_Application[[#This Row],[TODAY]]-qry_ProdData2_PDI_Cash_Exception_Application[[#This Row],[CHANGED ON]]</f>
        <v>13.742928240739275</v>
      </c>
    </row>
    <row r="656" spans="1:14" x14ac:dyDescent="0.35">
      <c r="A656">
        <v>1007</v>
      </c>
      <c r="B656" t="s">
        <v>61</v>
      </c>
      <c r="C656" s="1">
        <v>45184.257071759261</v>
      </c>
      <c r="D656" t="str">
        <f ca="1">VLOOKUP(qry_ProdData2_PDI_Cash_Exception_Application[[#This Row],[TYPE]],#REF!,2,FALSE)</f>
        <v>type40</v>
      </c>
      <c r="E656">
        <v>10</v>
      </c>
      <c r="F656" t="s">
        <v>47</v>
      </c>
      <c r="G656" s="1">
        <f>qry_ProdData2_PDI_Cash_Exception_Application[[#This Row],[INSERT DATE]]+2</f>
        <v>45186.257071759261</v>
      </c>
      <c r="H656" t="str">
        <f>VLOOKUP(qry_ProdData2_PDI_Cash_Exception_Application[[#This Row],[MARKET No]],'Site Allocation'!$B$2:$C$37,2,FALSE)</f>
        <v>Analyst2</v>
      </c>
      <c r="I656" s="4">
        <f t="shared" ca="1" si="10"/>
        <v>45203</v>
      </c>
      <c r="J656" s="42">
        <f ca="1">TODAY()-qry_ProdData2_PDI_Cash_Exception_Application[[#This Row],[INSERT DATE]]</f>
        <v>18.742928240739275</v>
      </c>
      <c r="K6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56">
        <f ca="1">qry_ProdData2_PDI_Cash_Exception_Application[[#This Row],[TODAY]]-qry_ProdData2_PDI_Cash_Exception_Application[[#This Row],[CHANGED ON]]</f>
        <v>16.742928240739275</v>
      </c>
      <c r="M656">
        <f ca="1">qry_ProdData2_PDI_Cash_Exception_Application[[#This Row],[TODAY]]-qry_ProdData2_PDI_Cash_Exception_Application[[#This Row],[CHANGED ON]]</f>
        <v>16.742928240739275</v>
      </c>
      <c r="N656">
        <f ca="1">qry_ProdData2_PDI_Cash_Exception_Application[[#This Row],[TODAY]]-qry_ProdData2_PDI_Cash_Exception_Application[[#This Row],[CHANGED ON]]</f>
        <v>16.742928240739275</v>
      </c>
    </row>
    <row r="657" spans="1:14" x14ac:dyDescent="0.35">
      <c r="A657">
        <v>1008</v>
      </c>
      <c r="B657" t="s">
        <v>62</v>
      </c>
      <c r="C657" s="1">
        <v>45187.257071759261</v>
      </c>
      <c r="D657" t="str">
        <f ca="1">VLOOKUP(qry_ProdData2_PDI_Cash_Exception_Application[[#This Row],[TYPE]],#REF!,2,FALSE)</f>
        <v>type40</v>
      </c>
      <c r="E657">
        <v>101.82</v>
      </c>
      <c r="F657" t="s">
        <v>47</v>
      </c>
      <c r="G657" s="1">
        <f>qry_ProdData2_PDI_Cash_Exception_Application[[#This Row],[INSERT DATE]]+2</f>
        <v>45189.257071759261</v>
      </c>
      <c r="H657" t="str">
        <f>VLOOKUP(qry_ProdData2_PDI_Cash_Exception_Application[[#This Row],[MARKET No]],'Site Allocation'!$B$2:$C$37,2,FALSE)</f>
        <v>Analyst2</v>
      </c>
      <c r="I657" s="4">
        <f t="shared" ca="1" si="10"/>
        <v>45203</v>
      </c>
      <c r="J657" s="42">
        <f ca="1">TODAY()-qry_ProdData2_PDI_Cash_Exception_Application[[#This Row],[INSERT DATE]]</f>
        <v>15.742928240739275</v>
      </c>
      <c r="K6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57">
        <f ca="1">qry_ProdData2_PDI_Cash_Exception_Application[[#This Row],[TODAY]]-qry_ProdData2_PDI_Cash_Exception_Application[[#This Row],[CHANGED ON]]</f>
        <v>13.742928240739275</v>
      </c>
      <c r="M657">
        <f ca="1">qry_ProdData2_PDI_Cash_Exception_Application[[#This Row],[TODAY]]-qry_ProdData2_PDI_Cash_Exception_Application[[#This Row],[CHANGED ON]]</f>
        <v>13.742928240739275</v>
      </c>
      <c r="N657">
        <f ca="1">qry_ProdData2_PDI_Cash_Exception_Application[[#This Row],[TODAY]]-qry_ProdData2_PDI_Cash_Exception_Application[[#This Row],[CHANGED ON]]</f>
        <v>13.742928240739275</v>
      </c>
    </row>
    <row r="658" spans="1:14" x14ac:dyDescent="0.35">
      <c r="A658">
        <v>1022</v>
      </c>
      <c r="B658" t="s">
        <v>76</v>
      </c>
      <c r="C658" s="1">
        <v>45187.257071759261</v>
      </c>
      <c r="D658" t="str">
        <f ca="1">VLOOKUP(qry_ProdData2_PDI_Cash_Exception_Application[[#This Row],[TYPE]],#REF!,2,FALSE)</f>
        <v>type38</v>
      </c>
      <c r="E658">
        <v>156.47999999999999</v>
      </c>
      <c r="F658" t="s">
        <v>49</v>
      </c>
      <c r="G658" s="1">
        <f>qry_ProdData2_PDI_Cash_Exception_Application[[#This Row],[INSERT DATE]]+7</f>
        <v>45194.257071759261</v>
      </c>
      <c r="H658" t="str">
        <f>VLOOKUP(qry_ProdData2_PDI_Cash_Exception_Application[[#This Row],[MARKET No]],'Site Allocation'!$B$2:$C$37,2,FALSE)</f>
        <v>Analyst4</v>
      </c>
      <c r="I658" s="4">
        <f t="shared" ca="1" si="10"/>
        <v>45203</v>
      </c>
      <c r="J658" s="42">
        <f ca="1">TODAY()-qry_ProdData2_PDI_Cash_Exception_Application[[#This Row],[INSERT DATE]]</f>
        <v>15.742928240739275</v>
      </c>
      <c r="K6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58">
        <f ca="1">qry_ProdData2_PDI_Cash_Exception_Application[[#This Row],[TODAY]]-qry_ProdData2_PDI_Cash_Exception_Application[[#This Row],[CHANGED ON]]</f>
        <v>8.7429282407392748</v>
      </c>
      <c r="M658">
        <f ca="1">qry_ProdData2_PDI_Cash_Exception_Application[[#This Row],[TODAY]]-qry_ProdData2_PDI_Cash_Exception_Application[[#This Row],[CHANGED ON]]</f>
        <v>8.7429282407392748</v>
      </c>
      <c r="N658">
        <f ca="1">qry_ProdData2_PDI_Cash_Exception_Application[[#This Row],[TODAY]]-qry_ProdData2_PDI_Cash_Exception_Application[[#This Row],[CHANGED ON]]</f>
        <v>8.7429282407392748</v>
      </c>
    </row>
    <row r="659" spans="1:14" x14ac:dyDescent="0.35">
      <c r="A659">
        <v>1012</v>
      </c>
      <c r="B659" t="s">
        <v>66</v>
      </c>
      <c r="C659" s="1">
        <v>45189.257071759261</v>
      </c>
      <c r="D659" t="str">
        <f ca="1">VLOOKUP(qry_ProdData2_PDI_Cash_Exception_Application[[#This Row],[TYPE]],#REF!,2,FALSE)</f>
        <v>type40</v>
      </c>
      <c r="E659">
        <v>-699.37</v>
      </c>
      <c r="F659" t="s">
        <v>49</v>
      </c>
      <c r="G659" s="1">
        <f>qry_ProdData2_PDI_Cash_Exception_Application[[#This Row],[INSERT DATE]]+7</f>
        <v>45196.257071759261</v>
      </c>
      <c r="H659" t="str">
        <f>VLOOKUP(qry_ProdData2_PDI_Cash_Exception_Application[[#This Row],[MARKET No]],'Site Allocation'!$B$2:$C$37,2,FALSE)</f>
        <v>Analyst3</v>
      </c>
      <c r="I659" s="4">
        <f t="shared" ca="1" si="10"/>
        <v>45203</v>
      </c>
      <c r="J659" s="42">
        <f ca="1">TODAY()-qry_ProdData2_PDI_Cash_Exception_Application[[#This Row],[INSERT DATE]]</f>
        <v>13.742928240739275</v>
      </c>
      <c r="K6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59">
        <f ca="1">qry_ProdData2_PDI_Cash_Exception_Application[[#This Row],[TODAY]]-qry_ProdData2_PDI_Cash_Exception_Application[[#This Row],[CHANGED ON]]</f>
        <v>6.7429282407392748</v>
      </c>
      <c r="M659">
        <f ca="1">qry_ProdData2_PDI_Cash_Exception_Application[[#This Row],[TODAY]]-qry_ProdData2_PDI_Cash_Exception_Application[[#This Row],[CHANGED ON]]</f>
        <v>6.7429282407392748</v>
      </c>
      <c r="N659">
        <f ca="1">qry_ProdData2_PDI_Cash_Exception_Application[[#This Row],[TODAY]]-qry_ProdData2_PDI_Cash_Exception_Application[[#This Row],[CHANGED ON]]</f>
        <v>6.7429282407392748</v>
      </c>
    </row>
    <row r="660" spans="1:14" x14ac:dyDescent="0.35">
      <c r="A660">
        <v>1012</v>
      </c>
      <c r="B660" t="s">
        <v>66</v>
      </c>
      <c r="C660" s="1">
        <v>45189.257071759261</v>
      </c>
      <c r="D660" t="str">
        <f ca="1">VLOOKUP(qry_ProdData2_PDI_Cash_Exception_Application[[#This Row],[TYPE]],#REF!,2,FALSE)</f>
        <v>type13</v>
      </c>
      <c r="E660">
        <v>18798.29</v>
      </c>
      <c r="F660" t="s">
        <v>48</v>
      </c>
      <c r="G660" s="1">
        <f>qry_ProdData2_PDI_Cash_Exception_Application[[#This Row],[INSERT DATE]]+2</f>
        <v>45191.257071759261</v>
      </c>
      <c r="H660" t="str">
        <f>VLOOKUP(qry_ProdData2_PDI_Cash_Exception_Application[[#This Row],[MARKET No]],'Site Allocation'!$B$2:$C$37,2,FALSE)</f>
        <v>Analyst3</v>
      </c>
      <c r="I660" s="4">
        <f t="shared" ca="1" si="10"/>
        <v>45203</v>
      </c>
      <c r="J660" s="42">
        <f ca="1">TODAY()-qry_ProdData2_PDI_Cash_Exception_Application[[#This Row],[INSERT DATE]]</f>
        <v>13.742928240739275</v>
      </c>
      <c r="K6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60">
        <f ca="1">qry_ProdData2_PDI_Cash_Exception_Application[[#This Row],[TODAY]]-qry_ProdData2_PDI_Cash_Exception_Application[[#This Row],[CHANGED ON]]</f>
        <v>11.742928240739275</v>
      </c>
      <c r="M660">
        <f ca="1">qry_ProdData2_PDI_Cash_Exception_Application[[#This Row],[TODAY]]-qry_ProdData2_PDI_Cash_Exception_Application[[#This Row],[CHANGED ON]]</f>
        <v>11.742928240739275</v>
      </c>
      <c r="N660">
        <f ca="1">qry_ProdData2_PDI_Cash_Exception_Application[[#This Row],[TODAY]]-qry_ProdData2_PDI_Cash_Exception_Application[[#This Row],[CHANGED ON]]</f>
        <v>11.742928240739275</v>
      </c>
    </row>
    <row r="661" spans="1:14" x14ac:dyDescent="0.35">
      <c r="A661">
        <v>1026</v>
      </c>
      <c r="B661" t="s">
        <v>80</v>
      </c>
      <c r="C661" s="1">
        <v>45191.257071759261</v>
      </c>
      <c r="D661" t="str">
        <f ca="1">VLOOKUP(qry_ProdData2_PDI_Cash_Exception_Application[[#This Row],[TYPE]],#REF!,2,FALSE)</f>
        <v>type40</v>
      </c>
      <c r="E661">
        <v>10.97</v>
      </c>
      <c r="F661" t="s">
        <v>51</v>
      </c>
      <c r="G661" s="1">
        <f>qry_ProdData2_PDI_Cash_Exception_Application[[#This Row],[INSERT DATE]]+5</f>
        <v>45196.257071759261</v>
      </c>
      <c r="H661" t="str">
        <f>VLOOKUP(qry_ProdData2_PDI_Cash_Exception_Application[[#This Row],[MARKET No]],'Site Allocation'!$B$2:$C$37,2,FALSE)</f>
        <v>Analyst5</v>
      </c>
      <c r="I661" s="4">
        <f t="shared" ca="1" si="10"/>
        <v>45203</v>
      </c>
      <c r="J661" s="42">
        <f ca="1">TODAY()-qry_ProdData2_PDI_Cash_Exception_Application[[#This Row],[INSERT DATE]]</f>
        <v>11.742928240739275</v>
      </c>
      <c r="K6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61">
        <f ca="1">qry_ProdData2_PDI_Cash_Exception_Application[[#This Row],[TODAY]]-qry_ProdData2_PDI_Cash_Exception_Application[[#This Row],[CHANGED ON]]</f>
        <v>6.7429282407392748</v>
      </c>
      <c r="M661">
        <f ca="1">qry_ProdData2_PDI_Cash_Exception_Application[[#This Row],[TODAY]]-qry_ProdData2_PDI_Cash_Exception_Application[[#This Row],[CHANGED ON]]</f>
        <v>6.7429282407392748</v>
      </c>
      <c r="N661">
        <f ca="1">qry_ProdData2_PDI_Cash_Exception_Application[[#This Row],[TODAY]]-qry_ProdData2_PDI_Cash_Exception_Application[[#This Row],[CHANGED ON]]</f>
        <v>6.7429282407392748</v>
      </c>
    </row>
    <row r="662" spans="1:14" x14ac:dyDescent="0.35">
      <c r="A662">
        <v>1002</v>
      </c>
      <c r="B662" t="s">
        <v>56</v>
      </c>
      <c r="C662" s="1">
        <v>45180.257071759261</v>
      </c>
      <c r="D662" t="str">
        <f ca="1">VLOOKUP(qry_ProdData2_PDI_Cash_Exception_Application[[#This Row],[TYPE]],#REF!,2,FALSE)</f>
        <v>type40</v>
      </c>
      <c r="E662">
        <v>4241.4799999999996</v>
      </c>
      <c r="F662" t="s">
        <v>49</v>
      </c>
      <c r="G662" s="1">
        <f>qry_ProdData2_PDI_Cash_Exception_Application[[#This Row],[INSERT DATE]]+7</f>
        <v>45187.257071759261</v>
      </c>
      <c r="H662" t="str">
        <f>VLOOKUP(qry_ProdData2_PDI_Cash_Exception_Application[[#This Row],[MARKET No]],'Site Allocation'!$B$2:$C$37,2,FALSE)</f>
        <v>Analyst1</v>
      </c>
      <c r="I662" s="4">
        <f t="shared" ca="1" si="10"/>
        <v>45203</v>
      </c>
      <c r="J662" s="42">
        <f ca="1">TODAY()-qry_ProdData2_PDI_Cash_Exception_Application[[#This Row],[INSERT DATE]]</f>
        <v>22.742928240739275</v>
      </c>
      <c r="K6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62">
        <f ca="1">qry_ProdData2_PDI_Cash_Exception_Application[[#This Row],[TODAY]]-qry_ProdData2_PDI_Cash_Exception_Application[[#This Row],[CHANGED ON]]</f>
        <v>15.742928240739275</v>
      </c>
      <c r="M662">
        <f ca="1">qry_ProdData2_PDI_Cash_Exception_Application[[#This Row],[TODAY]]-qry_ProdData2_PDI_Cash_Exception_Application[[#This Row],[CHANGED ON]]</f>
        <v>15.742928240739275</v>
      </c>
      <c r="N662">
        <f ca="1">qry_ProdData2_PDI_Cash_Exception_Application[[#This Row],[TODAY]]-qry_ProdData2_PDI_Cash_Exception_Application[[#This Row],[CHANGED ON]]</f>
        <v>15.742928240739275</v>
      </c>
    </row>
    <row r="663" spans="1:14" x14ac:dyDescent="0.35">
      <c r="A663">
        <v>1013</v>
      </c>
      <c r="B663" t="s">
        <v>67</v>
      </c>
      <c r="C663" s="1">
        <v>45195.257071759261</v>
      </c>
      <c r="D663" t="str">
        <f ca="1">VLOOKUP(qry_ProdData2_PDI_Cash_Exception_Application[[#This Row],[TYPE]],#REF!,2,FALSE)</f>
        <v>type40</v>
      </c>
      <c r="E663">
        <v>-762.17</v>
      </c>
      <c r="F663" t="s">
        <v>52</v>
      </c>
      <c r="G663" s="1">
        <f>qry_ProdData2_PDI_Cash_Exception_Application[[#This Row],[INSERT DATE]]+5</f>
        <v>45200.257071759261</v>
      </c>
      <c r="H663" t="str">
        <f>VLOOKUP(qry_ProdData2_PDI_Cash_Exception_Application[[#This Row],[MARKET No]],'Site Allocation'!$B$2:$C$37,2,FALSE)</f>
        <v>Analyst3</v>
      </c>
      <c r="I663" s="4">
        <f t="shared" ca="1" si="10"/>
        <v>45203</v>
      </c>
      <c r="J663" s="42">
        <f ca="1">TODAY()-qry_ProdData2_PDI_Cash_Exception_Application[[#This Row],[INSERT DATE]]</f>
        <v>7.7429282407392748</v>
      </c>
      <c r="K6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663">
        <f ca="1">qry_ProdData2_PDI_Cash_Exception_Application[[#This Row],[TODAY]]-qry_ProdData2_PDI_Cash_Exception_Application[[#This Row],[CHANGED ON]]</f>
        <v>2.7429282407392748</v>
      </c>
      <c r="M663">
        <f ca="1">qry_ProdData2_PDI_Cash_Exception_Application[[#This Row],[TODAY]]-qry_ProdData2_PDI_Cash_Exception_Application[[#This Row],[CHANGED ON]]</f>
        <v>2.7429282407392748</v>
      </c>
      <c r="N663">
        <f ca="1">qry_ProdData2_PDI_Cash_Exception_Application[[#This Row],[TODAY]]-qry_ProdData2_PDI_Cash_Exception_Application[[#This Row],[CHANGED ON]]</f>
        <v>2.7429282407392748</v>
      </c>
    </row>
    <row r="664" spans="1:14" x14ac:dyDescent="0.35">
      <c r="A664">
        <v>1034</v>
      </c>
      <c r="B664" t="s">
        <v>88</v>
      </c>
      <c r="C664" s="1">
        <v>45187.257071759261</v>
      </c>
      <c r="D664" t="str">
        <f ca="1">VLOOKUP(qry_ProdData2_PDI_Cash_Exception_Application[[#This Row],[TYPE]],#REF!,2,FALSE)</f>
        <v>type40</v>
      </c>
      <c r="E664">
        <v>421.25</v>
      </c>
      <c r="F664" t="s">
        <v>51</v>
      </c>
      <c r="G664" s="1">
        <f>qry_ProdData2_PDI_Cash_Exception_Application[[#This Row],[INSERT DATE]]+7</f>
        <v>45194.257071759261</v>
      </c>
      <c r="H664" t="str">
        <f>VLOOKUP(qry_ProdData2_PDI_Cash_Exception_Application[[#This Row],[MARKET No]],'Site Allocation'!$B$2:$C$37,2,FALSE)</f>
        <v>Analyst6</v>
      </c>
      <c r="I664" s="4">
        <f t="shared" ca="1" si="10"/>
        <v>45203</v>
      </c>
      <c r="J664" s="42">
        <f ca="1">TODAY()-qry_ProdData2_PDI_Cash_Exception_Application[[#This Row],[INSERT DATE]]</f>
        <v>15.742928240739275</v>
      </c>
      <c r="K6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64">
        <f ca="1">qry_ProdData2_PDI_Cash_Exception_Application[[#This Row],[TODAY]]-qry_ProdData2_PDI_Cash_Exception_Application[[#This Row],[CHANGED ON]]</f>
        <v>8.7429282407392748</v>
      </c>
      <c r="M664">
        <f ca="1">qry_ProdData2_PDI_Cash_Exception_Application[[#This Row],[TODAY]]-qry_ProdData2_PDI_Cash_Exception_Application[[#This Row],[CHANGED ON]]</f>
        <v>8.7429282407392748</v>
      </c>
      <c r="N664">
        <f ca="1">qry_ProdData2_PDI_Cash_Exception_Application[[#This Row],[TODAY]]-qry_ProdData2_PDI_Cash_Exception_Application[[#This Row],[CHANGED ON]]</f>
        <v>8.7429282407392748</v>
      </c>
    </row>
    <row r="665" spans="1:14" x14ac:dyDescent="0.35">
      <c r="A665">
        <v>1000</v>
      </c>
      <c r="B665" t="s">
        <v>54</v>
      </c>
      <c r="C665" s="1">
        <v>45189.257071759261</v>
      </c>
      <c r="D665" t="str">
        <f ca="1">VLOOKUP(qry_ProdData2_PDI_Cash_Exception_Application[[#This Row],[TYPE]],#REF!,2,FALSE)</f>
        <v>type13</v>
      </c>
      <c r="E665">
        <v>12868</v>
      </c>
      <c r="F665" t="s">
        <v>48</v>
      </c>
      <c r="G665" s="1">
        <f>qry_ProdData2_PDI_Cash_Exception_Application[[#This Row],[INSERT DATE]]+5</f>
        <v>45194.257071759261</v>
      </c>
      <c r="H665" t="str">
        <f>VLOOKUP(qry_ProdData2_PDI_Cash_Exception_Application[[#This Row],[MARKET No]],'Site Allocation'!$B$2:$C$37,2,FALSE)</f>
        <v>Analyst1</v>
      </c>
      <c r="I665" s="4">
        <f t="shared" ca="1" si="10"/>
        <v>45203</v>
      </c>
      <c r="J665" s="42">
        <f ca="1">TODAY()-qry_ProdData2_PDI_Cash_Exception_Application[[#This Row],[INSERT DATE]]</f>
        <v>13.742928240739275</v>
      </c>
      <c r="K6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65">
        <f ca="1">qry_ProdData2_PDI_Cash_Exception_Application[[#This Row],[TODAY]]-qry_ProdData2_PDI_Cash_Exception_Application[[#This Row],[CHANGED ON]]</f>
        <v>8.7429282407392748</v>
      </c>
      <c r="M665">
        <f ca="1">qry_ProdData2_PDI_Cash_Exception_Application[[#This Row],[TODAY]]-qry_ProdData2_PDI_Cash_Exception_Application[[#This Row],[CHANGED ON]]</f>
        <v>8.7429282407392748</v>
      </c>
      <c r="N665">
        <f ca="1">qry_ProdData2_PDI_Cash_Exception_Application[[#This Row],[TODAY]]-qry_ProdData2_PDI_Cash_Exception_Application[[#This Row],[CHANGED ON]]</f>
        <v>8.7429282407392748</v>
      </c>
    </row>
    <row r="666" spans="1:14" x14ac:dyDescent="0.35">
      <c r="A666">
        <v>1026</v>
      </c>
      <c r="B666" t="s">
        <v>80</v>
      </c>
      <c r="C666" s="1">
        <v>45188.257071759261</v>
      </c>
      <c r="D666" t="str">
        <f ca="1">VLOOKUP(qry_ProdData2_PDI_Cash_Exception_Application[[#This Row],[TYPE]],#REF!,2,FALSE)</f>
        <v>type40</v>
      </c>
      <c r="E666">
        <v>2592.0700000000002</v>
      </c>
      <c r="F666" t="s">
        <v>51</v>
      </c>
      <c r="G666" s="1">
        <f>qry_ProdData2_PDI_Cash_Exception_Application[[#This Row],[INSERT DATE]]+7</f>
        <v>45195.257071759261</v>
      </c>
      <c r="H666" t="str">
        <f>VLOOKUP(qry_ProdData2_PDI_Cash_Exception_Application[[#This Row],[MARKET No]],'Site Allocation'!$B$2:$C$37,2,FALSE)</f>
        <v>Analyst5</v>
      </c>
      <c r="I666" s="4">
        <f t="shared" ca="1" si="10"/>
        <v>45203</v>
      </c>
      <c r="J666" s="42">
        <f ca="1">TODAY()-qry_ProdData2_PDI_Cash_Exception_Application[[#This Row],[INSERT DATE]]</f>
        <v>14.742928240739275</v>
      </c>
      <c r="K6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66">
        <f ca="1">qry_ProdData2_PDI_Cash_Exception_Application[[#This Row],[TODAY]]-qry_ProdData2_PDI_Cash_Exception_Application[[#This Row],[CHANGED ON]]</f>
        <v>7.7429282407392748</v>
      </c>
      <c r="M666">
        <f ca="1">qry_ProdData2_PDI_Cash_Exception_Application[[#This Row],[TODAY]]-qry_ProdData2_PDI_Cash_Exception_Application[[#This Row],[CHANGED ON]]</f>
        <v>7.7429282407392748</v>
      </c>
      <c r="N666">
        <f ca="1">qry_ProdData2_PDI_Cash_Exception_Application[[#This Row],[TODAY]]-qry_ProdData2_PDI_Cash_Exception_Application[[#This Row],[CHANGED ON]]</f>
        <v>7.7429282407392748</v>
      </c>
    </row>
    <row r="667" spans="1:14" x14ac:dyDescent="0.35">
      <c r="A667">
        <v>1035</v>
      </c>
      <c r="B667" t="s">
        <v>89</v>
      </c>
      <c r="C667" s="1">
        <v>45189.257071759261</v>
      </c>
      <c r="D667" t="str">
        <f ca="1">VLOOKUP(qry_ProdData2_PDI_Cash_Exception_Application[[#This Row],[TYPE]],#REF!,2,FALSE)</f>
        <v>type40</v>
      </c>
      <c r="E667">
        <v>990.94</v>
      </c>
      <c r="F667" t="s">
        <v>51</v>
      </c>
      <c r="G667" s="1">
        <f>qry_ProdData2_PDI_Cash_Exception_Application[[#This Row],[INSERT DATE]]+1</f>
        <v>45190.257071759261</v>
      </c>
      <c r="H667" t="str">
        <f>VLOOKUP(qry_ProdData2_PDI_Cash_Exception_Application[[#This Row],[MARKET No]],'Site Allocation'!$B$2:$C$37,2,FALSE)</f>
        <v>Analyst6</v>
      </c>
      <c r="I667" s="4">
        <f t="shared" ca="1" si="10"/>
        <v>45203</v>
      </c>
      <c r="J667" s="42">
        <f ca="1">TODAY()-qry_ProdData2_PDI_Cash_Exception_Application[[#This Row],[INSERT DATE]]</f>
        <v>13.742928240739275</v>
      </c>
      <c r="K6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67">
        <f ca="1">qry_ProdData2_PDI_Cash_Exception_Application[[#This Row],[TODAY]]-qry_ProdData2_PDI_Cash_Exception_Application[[#This Row],[CHANGED ON]]</f>
        <v>12.742928240739275</v>
      </c>
      <c r="M667">
        <f ca="1">qry_ProdData2_PDI_Cash_Exception_Application[[#This Row],[TODAY]]-qry_ProdData2_PDI_Cash_Exception_Application[[#This Row],[CHANGED ON]]</f>
        <v>12.742928240739275</v>
      </c>
      <c r="N667">
        <f ca="1">qry_ProdData2_PDI_Cash_Exception_Application[[#This Row],[TODAY]]-qry_ProdData2_PDI_Cash_Exception_Application[[#This Row],[CHANGED ON]]</f>
        <v>12.742928240739275</v>
      </c>
    </row>
    <row r="668" spans="1:14" x14ac:dyDescent="0.35">
      <c r="A668">
        <v>1020</v>
      </c>
      <c r="B668" t="s">
        <v>74</v>
      </c>
      <c r="C668" s="1">
        <v>45189.257071759261</v>
      </c>
      <c r="D668" t="str">
        <f ca="1">VLOOKUP(qry_ProdData2_PDI_Cash_Exception_Application[[#This Row],[TYPE]],#REF!,2,FALSE)</f>
        <v>type40</v>
      </c>
      <c r="E668">
        <v>354.87</v>
      </c>
      <c r="F668" t="s">
        <v>49</v>
      </c>
      <c r="G668" s="1">
        <f>qry_ProdData2_PDI_Cash_Exception_Application[[#This Row],[INSERT DATE]]+1</f>
        <v>45190.257071759261</v>
      </c>
      <c r="H668" t="str">
        <f>VLOOKUP(qry_ProdData2_PDI_Cash_Exception_Application[[#This Row],[MARKET No]],'Site Allocation'!$B$2:$C$37,2,FALSE)</f>
        <v>Analyst4</v>
      </c>
      <c r="I668" s="4">
        <f t="shared" ca="1" si="10"/>
        <v>45203</v>
      </c>
      <c r="J668" s="42">
        <f ca="1">TODAY()-qry_ProdData2_PDI_Cash_Exception_Application[[#This Row],[INSERT DATE]]</f>
        <v>13.742928240739275</v>
      </c>
      <c r="K6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68">
        <f ca="1">qry_ProdData2_PDI_Cash_Exception_Application[[#This Row],[TODAY]]-qry_ProdData2_PDI_Cash_Exception_Application[[#This Row],[CHANGED ON]]</f>
        <v>12.742928240739275</v>
      </c>
      <c r="M668">
        <f ca="1">qry_ProdData2_PDI_Cash_Exception_Application[[#This Row],[TODAY]]-qry_ProdData2_PDI_Cash_Exception_Application[[#This Row],[CHANGED ON]]</f>
        <v>12.742928240739275</v>
      </c>
      <c r="N668">
        <f ca="1">qry_ProdData2_PDI_Cash_Exception_Application[[#This Row],[TODAY]]-qry_ProdData2_PDI_Cash_Exception_Application[[#This Row],[CHANGED ON]]</f>
        <v>12.742928240739275</v>
      </c>
    </row>
    <row r="669" spans="1:14" x14ac:dyDescent="0.35">
      <c r="A669">
        <v>1009</v>
      </c>
      <c r="B669" t="s">
        <v>63</v>
      </c>
      <c r="C669" s="1">
        <v>45182.257071759261</v>
      </c>
      <c r="D669" t="str">
        <f ca="1">VLOOKUP(qry_ProdData2_PDI_Cash_Exception_Application[[#This Row],[TYPE]],#REF!,2,FALSE)</f>
        <v>type13</v>
      </c>
      <c r="E669">
        <v>12793.68</v>
      </c>
      <c r="F669" t="s">
        <v>52</v>
      </c>
      <c r="G669" s="1">
        <f>qry_ProdData2_PDI_Cash_Exception_Application[[#This Row],[INSERT DATE]]+5</f>
        <v>45187.257071759261</v>
      </c>
      <c r="H669" t="str">
        <f>VLOOKUP(qry_ProdData2_PDI_Cash_Exception_Application[[#This Row],[MARKET No]],'Site Allocation'!$B$2:$C$37,2,FALSE)</f>
        <v>Analyst2</v>
      </c>
      <c r="I669" s="4">
        <f t="shared" ca="1" si="10"/>
        <v>45203</v>
      </c>
      <c r="J669" s="42">
        <f ca="1">TODAY()-qry_ProdData2_PDI_Cash_Exception_Application[[#This Row],[INSERT DATE]]</f>
        <v>20.742928240739275</v>
      </c>
      <c r="K6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69">
        <f ca="1">qry_ProdData2_PDI_Cash_Exception_Application[[#This Row],[TODAY]]-qry_ProdData2_PDI_Cash_Exception_Application[[#This Row],[CHANGED ON]]</f>
        <v>15.742928240739275</v>
      </c>
      <c r="M669">
        <f ca="1">qry_ProdData2_PDI_Cash_Exception_Application[[#This Row],[TODAY]]-qry_ProdData2_PDI_Cash_Exception_Application[[#This Row],[CHANGED ON]]</f>
        <v>15.742928240739275</v>
      </c>
      <c r="N669">
        <f ca="1">qry_ProdData2_PDI_Cash_Exception_Application[[#This Row],[TODAY]]-qry_ProdData2_PDI_Cash_Exception_Application[[#This Row],[CHANGED ON]]</f>
        <v>15.742928240739275</v>
      </c>
    </row>
    <row r="670" spans="1:14" x14ac:dyDescent="0.35">
      <c r="A670">
        <v>1031</v>
      </c>
      <c r="B670" t="s">
        <v>85</v>
      </c>
      <c r="C670" s="1">
        <v>45189.257071759261</v>
      </c>
      <c r="D670" t="str">
        <f ca="1">VLOOKUP(qry_ProdData2_PDI_Cash_Exception_Application[[#This Row],[TYPE]],#REF!,2,FALSE)</f>
        <v>type40</v>
      </c>
      <c r="E670">
        <v>-545.95000000000005</v>
      </c>
      <c r="F670" t="s">
        <v>49</v>
      </c>
      <c r="G670" s="1">
        <f>qry_ProdData2_PDI_Cash_Exception_Application[[#This Row],[INSERT DATE]]+1</f>
        <v>45190.257071759261</v>
      </c>
      <c r="H670" t="str">
        <f>VLOOKUP(qry_ProdData2_PDI_Cash_Exception_Application[[#This Row],[MARKET No]],'Site Allocation'!$B$2:$C$37,2,FALSE)</f>
        <v>Analyst6</v>
      </c>
      <c r="I670" s="4">
        <f t="shared" ca="1" si="10"/>
        <v>45203</v>
      </c>
      <c r="J670" s="42">
        <f ca="1">TODAY()-qry_ProdData2_PDI_Cash_Exception_Application[[#This Row],[INSERT DATE]]</f>
        <v>13.742928240739275</v>
      </c>
      <c r="K6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70">
        <f ca="1">qry_ProdData2_PDI_Cash_Exception_Application[[#This Row],[TODAY]]-qry_ProdData2_PDI_Cash_Exception_Application[[#This Row],[CHANGED ON]]</f>
        <v>12.742928240739275</v>
      </c>
      <c r="M670">
        <f ca="1">qry_ProdData2_PDI_Cash_Exception_Application[[#This Row],[TODAY]]-qry_ProdData2_PDI_Cash_Exception_Application[[#This Row],[CHANGED ON]]</f>
        <v>12.742928240739275</v>
      </c>
      <c r="N670">
        <f ca="1">qry_ProdData2_PDI_Cash_Exception_Application[[#This Row],[TODAY]]-qry_ProdData2_PDI_Cash_Exception_Application[[#This Row],[CHANGED ON]]</f>
        <v>12.742928240739275</v>
      </c>
    </row>
    <row r="671" spans="1:14" x14ac:dyDescent="0.35">
      <c r="A671">
        <v>1015</v>
      </c>
      <c r="B671" t="s">
        <v>69</v>
      </c>
      <c r="C671" s="1">
        <v>45190.257071759261</v>
      </c>
      <c r="D671" t="str">
        <f ca="1">VLOOKUP(qry_ProdData2_PDI_Cash_Exception_Application[[#This Row],[TYPE]],#REF!,2,FALSE)</f>
        <v>type40</v>
      </c>
      <c r="E671">
        <v>755.14</v>
      </c>
      <c r="F671" t="s">
        <v>51</v>
      </c>
      <c r="G671" s="1">
        <f>qry_ProdData2_PDI_Cash_Exception_Application[[#This Row],[INSERT DATE]]+1</f>
        <v>45191.257071759261</v>
      </c>
      <c r="H671" t="str">
        <f>VLOOKUP(qry_ProdData2_PDI_Cash_Exception_Application[[#This Row],[MARKET No]],'Site Allocation'!$B$2:$C$37,2,FALSE)</f>
        <v>Analyst3</v>
      </c>
      <c r="I671" s="4">
        <f t="shared" ca="1" si="10"/>
        <v>45203</v>
      </c>
      <c r="J671" s="42">
        <f ca="1">TODAY()-qry_ProdData2_PDI_Cash_Exception_Application[[#This Row],[INSERT DATE]]</f>
        <v>12.742928240739275</v>
      </c>
      <c r="K6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71">
        <f ca="1">qry_ProdData2_PDI_Cash_Exception_Application[[#This Row],[TODAY]]-qry_ProdData2_PDI_Cash_Exception_Application[[#This Row],[CHANGED ON]]</f>
        <v>11.742928240739275</v>
      </c>
      <c r="M671">
        <f ca="1">qry_ProdData2_PDI_Cash_Exception_Application[[#This Row],[TODAY]]-qry_ProdData2_PDI_Cash_Exception_Application[[#This Row],[CHANGED ON]]</f>
        <v>11.742928240739275</v>
      </c>
      <c r="N671">
        <f ca="1">qry_ProdData2_PDI_Cash_Exception_Application[[#This Row],[TODAY]]-qry_ProdData2_PDI_Cash_Exception_Application[[#This Row],[CHANGED ON]]</f>
        <v>11.742928240739275</v>
      </c>
    </row>
    <row r="672" spans="1:14" x14ac:dyDescent="0.35">
      <c r="A672">
        <v>1007</v>
      </c>
      <c r="B672" t="s">
        <v>61</v>
      </c>
      <c r="C672" s="1">
        <v>45190.257071759261</v>
      </c>
      <c r="D672" t="str">
        <f ca="1">VLOOKUP(qry_ProdData2_PDI_Cash_Exception_Application[[#This Row],[TYPE]],#REF!,2,FALSE)</f>
        <v>type40</v>
      </c>
      <c r="E672">
        <v>-426.42</v>
      </c>
      <c r="F672" t="s">
        <v>49</v>
      </c>
      <c r="G672" s="1">
        <f>qry_ProdData2_PDI_Cash_Exception_Application[[#This Row],[INSERT DATE]]+1</f>
        <v>45191.257071759261</v>
      </c>
      <c r="H672" t="str">
        <f>VLOOKUP(qry_ProdData2_PDI_Cash_Exception_Application[[#This Row],[MARKET No]],'Site Allocation'!$B$2:$C$37,2,FALSE)</f>
        <v>Analyst2</v>
      </c>
      <c r="I672" s="4">
        <f t="shared" ca="1" si="10"/>
        <v>45203</v>
      </c>
      <c r="J672" s="42">
        <f ca="1">TODAY()-qry_ProdData2_PDI_Cash_Exception_Application[[#This Row],[INSERT DATE]]</f>
        <v>12.742928240739275</v>
      </c>
      <c r="K6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72">
        <f ca="1">qry_ProdData2_PDI_Cash_Exception_Application[[#This Row],[TODAY]]-qry_ProdData2_PDI_Cash_Exception_Application[[#This Row],[CHANGED ON]]</f>
        <v>11.742928240739275</v>
      </c>
      <c r="M672">
        <f ca="1">qry_ProdData2_PDI_Cash_Exception_Application[[#This Row],[TODAY]]-qry_ProdData2_PDI_Cash_Exception_Application[[#This Row],[CHANGED ON]]</f>
        <v>11.742928240739275</v>
      </c>
      <c r="N672">
        <f ca="1">qry_ProdData2_PDI_Cash_Exception_Application[[#This Row],[TODAY]]-qry_ProdData2_PDI_Cash_Exception_Application[[#This Row],[CHANGED ON]]</f>
        <v>11.742928240739275</v>
      </c>
    </row>
    <row r="673" spans="1:14" x14ac:dyDescent="0.35">
      <c r="A673">
        <v>1008</v>
      </c>
      <c r="B673" t="s">
        <v>62</v>
      </c>
      <c r="C673" s="1">
        <v>45184.257071759261</v>
      </c>
      <c r="D673" t="str">
        <f ca="1">VLOOKUP(qry_ProdData2_PDI_Cash_Exception_Application[[#This Row],[TYPE]],#REF!,2,FALSE)</f>
        <v>type13</v>
      </c>
      <c r="E673">
        <v>19061.79</v>
      </c>
      <c r="F673" t="s">
        <v>50</v>
      </c>
      <c r="G673" s="1">
        <f>qry_ProdData2_PDI_Cash_Exception_Application[[#This Row],[INSERT DATE]]+7</f>
        <v>45191.257071759261</v>
      </c>
      <c r="H673" t="str">
        <f>VLOOKUP(qry_ProdData2_PDI_Cash_Exception_Application[[#This Row],[MARKET No]],'Site Allocation'!$B$2:$C$37,2,FALSE)</f>
        <v>Analyst2</v>
      </c>
      <c r="I673" s="4">
        <f t="shared" ca="1" si="10"/>
        <v>45203</v>
      </c>
      <c r="J673" s="42">
        <f ca="1">TODAY()-qry_ProdData2_PDI_Cash_Exception_Application[[#This Row],[INSERT DATE]]</f>
        <v>18.742928240739275</v>
      </c>
      <c r="K6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73">
        <f ca="1">qry_ProdData2_PDI_Cash_Exception_Application[[#This Row],[TODAY]]-qry_ProdData2_PDI_Cash_Exception_Application[[#This Row],[CHANGED ON]]</f>
        <v>11.742928240739275</v>
      </c>
      <c r="M673">
        <f ca="1">qry_ProdData2_PDI_Cash_Exception_Application[[#This Row],[TODAY]]-qry_ProdData2_PDI_Cash_Exception_Application[[#This Row],[CHANGED ON]]</f>
        <v>11.742928240739275</v>
      </c>
      <c r="N673">
        <f ca="1">qry_ProdData2_PDI_Cash_Exception_Application[[#This Row],[TODAY]]-qry_ProdData2_PDI_Cash_Exception_Application[[#This Row],[CHANGED ON]]</f>
        <v>11.742928240739275</v>
      </c>
    </row>
    <row r="674" spans="1:14" x14ac:dyDescent="0.35">
      <c r="A674">
        <v>1001</v>
      </c>
      <c r="B674" t="s">
        <v>55</v>
      </c>
      <c r="C674" s="1">
        <v>45184.257071759261</v>
      </c>
      <c r="D674" t="str">
        <f ca="1">VLOOKUP(qry_ProdData2_PDI_Cash_Exception_Application[[#This Row],[TYPE]],#REF!,2,FALSE)</f>
        <v>type13</v>
      </c>
      <c r="E674">
        <v>30494.05</v>
      </c>
      <c r="F674" t="s">
        <v>52</v>
      </c>
      <c r="G674" s="1">
        <f>qry_ProdData2_PDI_Cash_Exception_Application[[#This Row],[INSERT DATE]]+7</f>
        <v>45191.257071759261</v>
      </c>
      <c r="H674" t="str">
        <f>VLOOKUP(qry_ProdData2_PDI_Cash_Exception_Application[[#This Row],[MARKET No]],'Site Allocation'!$B$2:$C$37,2,FALSE)</f>
        <v>Analyst1</v>
      </c>
      <c r="I674" s="4">
        <f t="shared" ca="1" si="10"/>
        <v>45203</v>
      </c>
      <c r="J674" s="42">
        <f ca="1">TODAY()-qry_ProdData2_PDI_Cash_Exception_Application[[#This Row],[INSERT DATE]]</f>
        <v>18.742928240739275</v>
      </c>
      <c r="K6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74">
        <f ca="1">qry_ProdData2_PDI_Cash_Exception_Application[[#This Row],[TODAY]]-qry_ProdData2_PDI_Cash_Exception_Application[[#This Row],[CHANGED ON]]</f>
        <v>11.742928240739275</v>
      </c>
      <c r="M674">
        <f ca="1">qry_ProdData2_PDI_Cash_Exception_Application[[#This Row],[TODAY]]-qry_ProdData2_PDI_Cash_Exception_Application[[#This Row],[CHANGED ON]]</f>
        <v>11.742928240739275</v>
      </c>
      <c r="N674">
        <f ca="1">qry_ProdData2_PDI_Cash_Exception_Application[[#This Row],[TODAY]]-qry_ProdData2_PDI_Cash_Exception_Application[[#This Row],[CHANGED ON]]</f>
        <v>11.742928240739275</v>
      </c>
    </row>
    <row r="675" spans="1:14" x14ac:dyDescent="0.35">
      <c r="A675">
        <v>1009</v>
      </c>
      <c r="B675" t="s">
        <v>63</v>
      </c>
      <c r="C675" s="1">
        <v>45185.257071759261</v>
      </c>
      <c r="D675" t="str">
        <f ca="1">VLOOKUP(qry_ProdData2_PDI_Cash_Exception_Application[[#This Row],[TYPE]],#REF!,2,FALSE)</f>
        <v>type15</v>
      </c>
      <c r="E675">
        <v>1166.5999999999999</v>
      </c>
      <c r="F675" t="s">
        <v>49</v>
      </c>
      <c r="G675" s="1">
        <f>qry_ProdData2_PDI_Cash_Exception_Application[[#This Row],[INSERT DATE]]+2</f>
        <v>45187.257071759261</v>
      </c>
      <c r="H675" t="str">
        <f>VLOOKUP(qry_ProdData2_PDI_Cash_Exception_Application[[#This Row],[MARKET No]],'Site Allocation'!$B$2:$C$37,2,FALSE)</f>
        <v>Analyst2</v>
      </c>
      <c r="I675" s="4">
        <f t="shared" ca="1" si="10"/>
        <v>45203</v>
      </c>
      <c r="J675" s="42">
        <f ca="1">TODAY()-qry_ProdData2_PDI_Cash_Exception_Application[[#This Row],[INSERT DATE]]</f>
        <v>17.742928240739275</v>
      </c>
      <c r="K6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75">
        <f ca="1">qry_ProdData2_PDI_Cash_Exception_Application[[#This Row],[TODAY]]-qry_ProdData2_PDI_Cash_Exception_Application[[#This Row],[CHANGED ON]]</f>
        <v>15.742928240739275</v>
      </c>
      <c r="M675">
        <f ca="1">qry_ProdData2_PDI_Cash_Exception_Application[[#This Row],[TODAY]]-qry_ProdData2_PDI_Cash_Exception_Application[[#This Row],[CHANGED ON]]</f>
        <v>15.742928240739275</v>
      </c>
      <c r="N675">
        <f ca="1">qry_ProdData2_PDI_Cash_Exception_Application[[#This Row],[TODAY]]-qry_ProdData2_PDI_Cash_Exception_Application[[#This Row],[CHANGED ON]]</f>
        <v>15.742928240739275</v>
      </c>
    </row>
    <row r="676" spans="1:14" x14ac:dyDescent="0.35">
      <c r="A676">
        <v>1021</v>
      </c>
      <c r="B676" t="s">
        <v>75</v>
      </c>
      <c r="C676" s="1">
        <v>45185.257071759261</v>
      </c>
      <c r="D676" t="str">
        <f ca="1">VLOOKUP(qry_ProdData2_PDI_Cash_Exception_Application[[#This Row],[TYPE]],#REF!,2,FALSE)</f>
        <v>type13</v>
      </c>
      <c r="E676">
        <v>84866.05</v>
      </c>
      <c r="F676" t="s">
        <v>52</v>
      </c>
      <c r="G676" s="1">
        <f>qry_ProdData2_PDI_Cash_Exception_Application[[#This Row],[INSERT DATE]]+7</f>
        <v>45192.257071759261</v>
      </c>
      <c r="H676" t="str">
        <f>VLOOKUP(qry_ProdData2_PDI_Cash_Exception_Application[[#This Row],[MARKET No]],'Site Allocation'!$B$2:$C$37,2,FALSE)</f>
        <v>Analyst4</v>
      </c>
      <c r="I676" s="4">
        <f t="shared" ca="1" si="10"/>
        <v>45203</v>
      </c>
      <c r="J676" s="42">
        <f ca="1">TODAY()-qry_ProdData2_PDI_Cash_Exception_Application[[#This Row],[INSERT DATE]]</f>
        <v>17.742928240739275</v>
      </c>
      <c r="K6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76">
        <f ca="1">qry_ProdData2_PDI_Cash_Exception_Application[[#This Row],[TODAY]]-qry_ProdData2_PDI_Cash_Exception_Application[[#This Row],[CHANGED ON]]</f>
        <v>10.742928240739275</v>
      </c>
      <c r="M676">
        <f ca="1">qry_ProdData2_PDI_Cash_Exception_Application[[#This Row],[TODAY]]-qry_ProdData2_PDI_Cash_Exception_Application[[#This Row],[CHANGED ON]]</f>
        <v>10.742928240739275</v>
      </c>
      <c r="N676">
        <f ca="1">qry_ProdData2_PDI_Cash_Exception_Application[[#This Row],[TODAY]]-qry_ProdData2_PDI_Cash_Exception_Application[[#This Row],[CHANGED ON]]</f>
        <v>10.742928240739275</v>
      </c>
    </row>
    <row r="677" spans="1:14" x14ac:dyDescent="0.35">
      <c r="A677">
        <v>1015</v>
      </c>
      <c r="B677" t="s">
        <v>69</v>
      </c>
      <c r="C677" s="1">
        <v>45186.257071759261</v>
      </c>
      <c r="D677" t="str">
        <f ca="1">VLOOKUP(qry_ProdData2_PDI_Cash_Exception_Application[[#This Row],[TYPE]],#REF!,2,FALSE)</f>
        <v>type40</v>
      </c>
      <c r="E677">
        <v>424.94</v>
      </c>
      <c r="F677" t="s">
        <v>52</v>
      </c>
      <c r="G677" s="1">
        <f>qry_ProdData2_PDI_Cash_Exception_Application[[#This Row],[INSERT DATE]]+7</f>
        <v>45193.257071759261</v>
      </c>
      <c r="H677" t="str">
        <f>VLOOKUP(qry_ProdData2_PDI_Cash_Exception_Application[[#This Row],[MARKET No]],'Site Allocation'!$B$2:$C$37,2,FALSE)</f>
        <v>Analyst3</v>
      </c>
      <c r="I677" s="4">
        <f t="shared" ca="1" si="10"/>
        <v>45203</v>
      </c>
      <c r="J677" s="42">
        <f ca="1">TODAY()-qry_ProdData2_PDI_Cash_Exception_Application[[#This Row],[INSERT DATE]]</f>
        <v>16.742928240739275</v>
      </c>
      <c r="K6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77">
        <f ca="1">qry_ProdData2_PDI_Cash_Exception_Application[[#This Row],[TODAY]]-qry_ProdData2_PDI_Cash_Exception_Application[[#This Row],[CHANGED ON]]</f>
        <v>9.7429282407392748</v>
      </c>
      <c r="M677">
        <f ca="1">qry_ProdData2_PDI_Cash_Exception_Application[[#This Row],[TODAY]]-qry_ProdData2_PDI_Cash_Exception_Application[[#This Row],[CHANGED ON]]</f>
        <v>9.7429282407392748</v>
      </c>
      <c r="N677">
        <f ca="1">qry_ProdData2_PDI_Cash_Exception_Application[[#This Row],[TODAY]]-qry_ProdData2_PDI_Cash_Exception_Application[[#This Row],[CHANGED ON]]</f>
        <v>9.7429282407392748</v>
      </c>
    </row>
    <row r="678" spans="1:14" x14ac:dyDescent="0.35">
      <c r="A678">
        <v>1023</v>
      </c>
      <c r="B678" t="s">
        <v>77</v>
      </c>
      <c r="C678" s="1">
        <v>45187.257071759261</v>
      </c>
      <c r="D678" t="str">
        <f ca="1">VLOOKUP(qry_ProdData2_PDI_Cash_Exception_Application[[#This Row],[TYPE]],#REF!,2,FALSE)</f>
        <v>type40</v>
      </c>
      <c r="E678">
        <v>377.8</v>
      </c>
      <c r="F678" t="s">
        <v>52</v>
      </c>
      <c r="G678" s="1">
        <f>qry_ProdData2_PDI_Cash_Exception_Application[[#This Row],[INSERT DATE]]+7</f>
        <v>45194.257071759261</v>
      </c>
      <c r="H678" t="str">
        <f>VLOOKUP(qry_ProdData2_PDI_Cash_Exception_Application[[#This Row],[MARKET No]],'Site Allocation'!$B$2:$C$37,2,FALSE)</f>
        <v>Analyst4</v>
      </c>
      <c r="I678" s="4">
        <f t="shared" ca="1" si="10"/>
        <v>45203</v>
      </c>
      <c r="J678" s="42">
        <f ca="1">TODAY()-qry_ProdData2_PDI_Cash_Exception_Application[[#This Row],[INSERT DATE]]</f>
        <v>15.742928240739275</v>
      </c>
      <c r="K6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78">
        <f ca="1">qry_ProdData2_PDI_Cash_Exception_Application[[#This Row],[TODAY]]-qry_ProdData2_PDI_Cash_Exception_Application[[#This Row],[CHANGED ON]]</f>
        <v>8.7429282407392748</v>
      </c>
      <c r="M678">
        <f ca="1">qry_ProdData2_PDI_Cash_Exception_Application[[#This Row],[TODAY]]-qry_ProdData2_PDI_Cash_Exception_Application[[#This Row],[CHANGED ON]]</f>
        <v>8.7429282407392748</v>
      </c>
      <c r="N678">
        <f ca="1">qry_ProdData2_PDI_Cash_Exception_Application[[#This Row],[TODAY]]-qry_ProdData2_PDI_Cash_Exception_Application[[#This Row],[CHANGED ON]]</f>
        <v>8.7429282407392748</v>
      </c>
    </row>
    <row r="679" spans="1:14" x14ac:dyDescent="0.35">
      <c r="A679">
        <v>1003</v>
      </c>
      <c r="B679" t="s">
        <v>57</v>
      </c>
      <c r="C679" s="1">
        <v>45187.257071759261</v>
      </c>
      <c r="D679" t="str">
        <f ca="1">VLOOKUP(qry_ProdData2_PDI_Cash_Exception_Application[[#This Row],[TYPE]],#REF!,2,FALSE)</f>
        <v>type40</v>
      </c>
      <c r="E679">
        <v>307.77999999999997</v>
      </c>
      <c r="F679" t="s">
        <v>49</v>
      </c>
      <c r="G679" s="1">
        <f>qry_ProdData2_PDI_Cash_Exception_Application[[#This Row],[INSERT DATE]]+2</f>
        <v>45189.257071759261</v>
      </c>
      <c r="H679" t="str">
        <f>VLOOKUP(qry_ProdData2_PDI_Cash_Exception_Application[[#This Row],[MARKET No]],'Site Allocation'!$B$2:$C$37,2,FALSE)</f>
        <v>Analyst1</v>
      </c>
      <c r="I679" s="4">
        <f t="shared" ca="1" si="10"/>
        <v>45203</v>
      </c>
      <c r="J679" s="42">
        <f ca="1">TODAY()-qry_ProdData2_PDI_Cash_Exception_Application[[#This Row],[INSERT DATE]]</f>
        <v>15.742928240739275</v>
      </c>
      <c r="K6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79">
        <f ca="1">qry_ProdData2_PDI_Cash_Exception_Application[[#This Row],[TODAY]]-qry_ProdData2_PDI_Cash_Exception_Application[[#This Row],[CHANGED ON]]</f>
        <v>13.742928240739275</v>
      </c>
      <c r="M679">
        <f ca="1">qry_ProdData2_PDI_Cash_Exception_Application[[#This Row],[TODAY]]-qry_ProdData2_PDI_Cash_Exception_Application[[#This Row],[CHANGED ON]]</f>
        <v>13.742928240739275</v>
      </c>
      <c r="N679">
        <f ca="1">qry_ProdData2_PDI_Cash_Exception_Application[[#This Row],[TODAY]]-qry_ProdData2_PDI_Cash_Exception_Application[[#This Row],[CHANGED ON]]</f>
        <v>13.742928240739275</v>
      </c>
    </row>
    <row r="680" spans="1:14" x14ac:dyDescent="0.35">
      <c r="A680">
        <v>1033</v>
      </c>
      <c r="B680" t="s">
        <v>87</v>
      </c>
      <c r="C680" s="1">
        <v>45188.257071759261</v>
      </c>
      <c r="D680" t="str">
        <f ca="1">VLOOKUP(qry_ProdData2_PDI_Cash_Exception_Application[[#This Row],[TYPE]],#REF!,2,FALSE)</f>
        <v>type40</v>
      </c>
      <c r="E680">
        <v>-447</v>
      </c>
      <c r="F680" t="s">
        <v>50</v>
      </c>
      <c r="G680" s="1">
        <f>qry_ProdData2_PDI_Cash_Exception_Application[[#This Row],[INSERT DATE]]+7</f>
        <v>45195.257071759261</v>
      </c>
      <c r="H680" t="str">
        <f>VLOOKUP(qry_ProdData2_PDI_Cash_Exception_Application[[#This Row],[MARKET No]],'Site Allocation'!$B$2:$C$37,2,FALSE)</f>
        <v>Analyst6</v>
      </c>
      <c r="I680" s="4">
        <f t="shared" ca="1" si="10"/>
        <v>45203</v>
      </c>
      <c r="J680" s="42">
        <f ca="1">TODAY()-qry_ProdData2_PDI_Cash_Exception_Application[[#This Row],[INSERT DATE]]</f>
        <v>14.742928240739275</v>
      </c>
      <c r="K6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80">
        <f ca="1">qry_ProdData2_PDI_Cash_Exception_Application[[#This Row],[TODAY]]-qry_ProdData2_PDI_Cash_Exception_Application[[#This Row],[CHANGED ON]]</f>
        <v>7.7429282407392748</v>
      </c>
      <c r="M680">
        <f ca="1">qry_ProdData2_PDI_Cash_Exception_Application[[#This Row],[TODAY]]-qry_ProdData2_PDI_Cash_Exception_Application[[#This Row],[CHANGED ON]]</f>
        <v>7.7429282407392748</v>
      </c>
      <c r="N680">
        <f ca="1">qry_ProdData2_PDI_Cash_Exception_Application[[#This Row],[TODAY]]-qry_ProdData2_PDI_Cash_Exception_Application[[#This Row],[CHANGED ON]]</f>
        <v>7.7429282407392748</v>
      </c>
    </row>
    <row r="681" spans="1:14" x14ac:dyDescent="0.35">
      <c r="A681">
        <v>1029</v>
      </c>
      <c r="B681" t="s">
        <v>83</v>
      </c>
      <c r="C681" s="1">
        <v>45180.257071759261</v>
      </c>
      <c r="D681" t="str">
        <f ca="1">VLOOKUP(qry_ProdData2_PDI_Cash_Exception_Application[[#This Row],[TYPE]],#REF!,2,FALSE)</f>
        <v>type13</v>
      </c>
      <c r="E681">
        <v>24432.93</v>
      </c>
      <c r="F681" t="s">
        <v>48</v>
      </c>
      <c r="G681" s="1">
        <f>qry_ProdData2_PDI_Cash_Exception_Application[[#This Row],[INSERT DATE]]+5</f>
        <v>45185.257071759261</v>
      </c>
      <c r="H681" t="str">
        <f>VLOOKUP(qry_ProdData2_PDI_Cash_Exception_Application[[#This Row],[MARKET No]],'Site Allocation'!$B$2:$C$37,2,FALSE)</f>
        <v>Analyst5</v>
      </c>
      <c r="I681" s="4">
        <f t="shared" ca="1" si="10"/>
        <v>45203</v>
      </c>
      <c r="J681" s="42">
        <f ca="1">TODAY()-qry_ProdData2_PDI_Cash_Exception_Application[[#This Row],[INSERT DATE]]</f>
        <v>22.742928240739275</v>
      </c>
      <c r="K6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81">
        <f ca="1">qry_ProdData2_PDI_Cash_Exception_Application[[#This Row],[TODAY]]-qry_ProdData2_PDI_Cash_Exception_Application[[#This Row],[CHANGED ON]]</f>
        <v>17.742928240739275</v>
      </c>
      <c r="M681">
        <f ca="1">qry_ProdData2_PDI_Cash_Exception_Application[[#This Row],[TODAY]]-qry_ProdData2_PDI_Cash_Exception_Application[[#This Row],[CHANGED ON]]</f>
        <v>17.742928240739275</v>
      </c>
      <c r="N681">
        <f ca="1">qry_ProdData2_PDI_Cash_Exception_Application[[#This Row],[TODAY]]-qry_ProdData2_PDI_Cash_Exception_Application[[#This Row],[CHANGED ON]]</f>
        <v>17.742928240739275</v>
      </c>
    </row>
    <row r="682" spans="1:14" x14ac:dyDescent="0.35">
      <c r="A682">
        <v>1010</v>
      </c>
      <c r="B682" t="s">
        <v>64</v>
      </c>
      <c r="C682" s="1">
        <v>45189.257071759261</v>
      </c>
      <c r="D682" t="str">
        <f ca="1">VLOOKUP(qry_ProdData2_PDI_Cash_Exception_Application[[#This Row],[TYPE]],#REF!,2,FALSE)</f>
        <v>type13</v>
      </c>
      <c r="E682">
        <v>15762</v>
      </c>
      <c r="F682" t="s">
        <v>47</v>
      </c>
      <c r="G682" s="1">
        <f>qry_ProdData2_PDI_Cash_Exception_Application[[#This Row],[INSERT DATE]]+5</f>
        <v>45194.257071759261</v>
      </c>
      <c r="H682" t="str">
        <f>VLOOKUP(qry_ProdData2_PDI_Cash_Exception_Application[[#This Row],[MARKET No]],'Site Allocation'!$B$2:$C$37,2,FALSE)</f>
        <v>Analyst2</v>
      </c>
      <c r="I682" s="4">
        <f t="shared" ca="1" si="10"/>
        <v>45203</v>
      </c>
      <c r="J682" s="42">
        <f ca="1">TODAY()-qry_ProdData2_PDI_Cash_Exception_Application[[#This Row],[INSERT DATE]]</f>
        <v>13.742928240739275</v>
      </c>
      <c r="K6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82">
        <f ca="1">qry_ProdData2_PDI_Cash_Exception_Application[[#This Row],[TODAY]]-qry_ProdData2_PDI_Cash_Exception_Application[[#This Row],[CHANGED ON]]</f>
        <v>8.7429282407392748</v>
      </c>
      <c r="M682">
        <f ca="1">qry_ProdData2_PDI_Cash_Exception_Application[[#This Row],[TODAY]]-qry_ProdData2_PDI_Cash_Exception_Application[[#This Row],[CHANGED ON]]</f>
        <v>8.7429282407392748</v>
      </c>
      <c r="N682">
        <f ca="1">qry_ProdData2_PDI_Cash_Exception_Application[[#This Row],[TODAY]]-qry_ProdData2_PDI_Cash_Exception_Application[[#This Row],[CHANGED ON]]</f>
        <v>8.7429282407392748</v>
      </c>
    </row>
    <row r="683" spans="1:14" x14ac:dyDescent="0.35">
      <c r="A683">
        <v>1020</v>
      </c>
      <c r="B683" t="s">
        <v>74</v>
      </c>
      <c r="C683" s="1">
        <v>45190.257071759261</v>
      </c>
      <c r="D683" t="str">
        <f ca="1">VLOOKUP(qry_ProdData2_PDI_Cash_Exception_Application[[#This Row],[TYPE]],#REF!,2,FALSE)</f>
        <v>type42</v>
      </c>
      <c r="E683">
        <v>226</v>
      </c>
      <c r="F683" t="s">
        <v>52</v>
      </c>
      <c r="G683" s="1">
        <f>qry_ProdData2_PDI_Cash_Exception_Application[[#This Row],[INSERT DATE]]+7</f>
        <v>45197.257071759261</v>
      </c>
      <c r="H683" t="str">
        <f>VLOOKUP(qry_ProdData2_PDI_Cash_Exception_Application[[#This Row],[MARKET No]],'Site Allocation'!$B$2:$C$37,2,FALSE)</f>
        <v>Analyst4</v>
      </c>
      <c r="I683" s="4">
        <f t="shared" ca="1" si="10"/>
        <v>45203</v>
      </c>
      <c r="J683" s="42">
        <f ca="1">TODAY()-qry_ProdData2_PDI_Cash_Exception_Application[[#This Row],[INSERT DATE]]</f>
        <v>12.742928240739275</v>
      </c>
      <c r="K6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83">
        <f ca="1">qry_ProdData2_PDI_Cash_Exception_Application[[#This Row],[TODAY]]-qry_ProdData2_PDI_Cash_Exception_Application[[#This Row],[CHANGED ON]]</f>
        <v>5.7429282407392748</v>
      </c>
      <c r="M683">
        <f ca="1">qry_ProdData2_PDI_Cash_Exception_Application[[#This Row],[TODAY]]-qry_ProdData2_PDI_Cash_Exception_Application[[#This Row],[CHANGED ON]]</f>
        <v>5.7429282407392748</v>
      </c>
      <c r="N683">
        <f ca="1">qry_ProdData2_PDI_Cash_Exception_Application[[#This Row],[TODAY]]-qry_ProdData2_PDI_Cash_Exception_Application[[#This Row],[CHANGED ON]]</f>
        <v>5.7429282407392748</v>
      </c>
    </row>
    <row r="684" spans="1:14" x14ac:dyDescent="0.35">
      <c r="A684">
        <v>1008</v>
      </c>
      <c r="B684" t="s">
        <v>62</v>
      </c>
      <c r="C684" s="1">
        <v>45183.257071759261</v>
      </c>
      <c r="D684" t="str">
        <f ca="1">VLOOKUP(qry_ProdData2_PDI_Cash_Exception_Application[[#This Row],[TYPE]],#REF!,2,FALSE)</f>
        <v>type13</v>
      </c>
      <c r="E684">
        <v>51724.56</v>
      </c>
      <c r="F684" t="s">
        <v>48</v>
      </c>
      <c r="G684" s="1">
        <f>qry_ProdData2_PDI_Cash_Exception_Application[[#This Row],[INSERT DATE]]+5</f>
        <v>45188.257071759261</v>
      </c>
      <c r="H684" t="str">
        <f>VLOOKUP(qry_ProdData2_PDI_Cash_Exception_Application[[#This Row],[MARKET No]],'Site Allocation'!$B$2:$C$37,2,FALSE)</f>
        <v>Analyst2</v>
      </c>
      <c r="I684" s="4">
        <f t="shared" ca="1" si="10"/>
        <v>45203</v>
      </c>
      <c r="J684" s="42">
        <f ca="1">TODAY()-qry_ProdData2_PDI_Cash_Exception_Application[[#This Row],[INSERT DATE]]</f>
        <v>19.742928240739275</v>
      </c>
      <c r="K6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84">
        <f ca="1">qry_ProdData2_PDI_Cash_Exception_Application[[#This Row],[TODAY]]-qry_ProdData2_PDI_Cash_Exception_Application[[#This Row],[CHANGED ON]]</f>
        <v>14.742928240739275</v>
      </c>
      <c r="M684">
        <f ca="1">qry_ProdData2_PDI_Cash_Exception_Application[[#This Row],[TODAY]]-qry_ProdData2_PDI_Cash_Exception_Application[[#This Row],[CHANGED ON]]</f>
        <v>14.742928240739275</v>
      </c>
      <c r="N684">
        <f ca="1">qry_ProdData2_PDI_Cash_Exception_Application[[#This Row],[TODAY]]-qry_ProdData2_PDI_Cash_Exception_Application[[#This Row],[CHANGED ON]]</f>
        <v>14.742928240739275</v>
      </c>
    </row>
    <row r="685" spans="1:14" x14ac:dyDescent="0.35">
      <c r="A685">
        <v>1000</v>
      </c>
      <c r="B685" t="s">
        <v>54</v>
      </c>
      <c r="C685" s="1">
        <v>45190.257071759261</v>
      </c>
      <c r="D685" t="str">
        <f ca="1">VLOOKUP(qry_ProdData2_PDI_Cash_Exception_Application[[#This Row],[TYPE]],#REF!,2,FALSE)</f>
        <v>type40</v>
      </c>
      <c r="E685">
        <v>901.78</v>
      </c>
      <c r="F685" t="s">
        <v>47</v>
      </c>
      <c r="G685" s="1">
        <f>qry_ProdData2_PDI_Cash_Exception_Application[[#This Row],[INSERT DATE]]+7</f>
        <v>45197.257071759261</v>
      </c>
      <c r="H685" t="str">
        <f>VLOOKUP(qry_ProdData2_PDI_Cash_Exception_Application[[#This Row],[MARKET No]],'Site Allocation'!$B$2:$C$37,2,FALSE)</f>
        <v>Analyst1</v>
      </c>
      <c r="I685" s="4">
        <f t="shared" ca="1" si="10"/>
        <v>45203</v>
      </c>
      <c r="J685" s="42">
        <f ca="1">TODAY()-qry_ProdData2_PDI_Cash_Exception_Application[[#This Row],[INSERT DATE]]</f>
        <v>12.742928240739275</v>
      </c>
      <c r="K6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85">
        <f ca="1">qry_ProdData2_PDI_Cash_Exception_Application[[#This Row],[TODAY]]-qry_ProdData2_PDI_Cash_Exception_Application[[#This Row],[CHANGED ON]]</f>
        <v>5.7429282407392748</v>
      </c>
      <c r="M685">
        <f ca="1">qry_ProdData2_PDI_Cash_Exception_Application[[#This Row],[TODAY]]-qry_ProdData2_PDI_Cash_Exception_Application[[#This Row],[CHANGED ON]]</f>
        <v>5.7429282407392748</v>
      </c>
      <c r="N685">
        <f ca="1">qry_ProdData2_PDI_Cash_Exception_Application[[#This Row],[TODAY]]-qry_ProdData2_PDI_Cash_Exception_Application[[#This Row],[CHANGED ON]]</f>
        <v>5.7429282407392748</v>
      </c>
    </row>
    <row r="686" spans="1:14" x14ac:dyDescent="0.35">
      <c r="A686">
        <v>1012</v>
      </c>
      <c r="B686" t="s">
        <v>66</v>
      </c>
      <c r="C686" s="1">
        <v>45184.257071759261</v>
      </c>
      <c r="D686" t="str">
        <f ca="1">VLOOKUP(qry_ProdData2_PDI_Cash_Exception_Application[[#This Row],[TYPE]],#REF!,2,FALSE)</f>
        <v>type7</v>
      </c>
      <c r="E686">
        <v>1186.81</v>
      </c>
      <c r="F686" t="s">
        <v>48</v>
      </c>
      <c r="G686" s="1">
        <f>qry_ProdData2_PDI_Cash_Exception_Application[[#This Row],[INSERT DATE]]+7</f>
        <v>45191.257071759261</v>
      </c>
      <c r="H686" t="str">
        <f>VLOOKUP(qry_ProdData2_PDI_Cash_Exception_Application[[#This Row],[MARKET No]],'Site Allocation'!$B$2:$C$37,2,FALSE)</f>
        <v>Analyst3</v>
      </c>
      <c r="I686" s="4">
        <f t="shared" ca="1" si="10"/>
        <v>45203</v>
      </c>
      <c r="J686" s="42">
        <f ca="1">TODAY()-qry_ProdData2_PDI_Cash_Exception_Application[[#This Row],[INSERT DATE]]</f>
        <v>18.742928240739275</v>
      </c>
      <c r="K6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86">
        <f ca="1">qry_ProdData2_PDI_Cash_Exception_Application[[#This Row],[TODAY]]-qry_ProdData2_PDI_Cash_Exception_Application[[#This Row],[CHANGED ON]]</f>
        <v>11.742928240739275</v>
      </c>
      <c r="M686">
        <f ca="1">qry_ProdData2_PDI_Cash_Exception_Application[[#This Row],[TODAY]]-qry_ProdData2_PDI_Cash_Exception_Application[[#This Row],[CHANGED ON]]</f>
        <v>11.742928240739275</v>
      </c>
      <c r="N686">
        <f ca="1">qry_ProdData2_PDI_Cash_Exception_Application[[#This Row],[TODAY]]-qry_ProdData2_PDI_Cash_Exception_Application[[#This Row],[CHANGED ON]]</f>
        <v>11.742928240739275</v>
      </c>
    </row>
    <row r="687" spans="1:14" x14ac:dyDescent="0.35">
      <c r="A687">
        <v>1033</v>
      </c>
      <c r="B687" t="s">
        <v>87</v>
      </c>
      <c r="C687" s="1">
        <v>45185.257071759261</v>
      </c>
      <c r="D687" t="str">
        <f ca="1">VLOOKUP(qry_ProdData2_PDI_Cash_Exception_Application[[#This Row],[TYPE]],#REF!,2,FALSE)</f>
        <v>type40</v>
      </c>
      <c r="E687">
        <v>-350.56</v>
      </c>
      <c r="F687" t="s">
        <v>47</v>
      </c>
      <c r="G687" s="1">
        <f>qry_ProdData2_PDI_Cash_Exception_Application[[#This Row],[INSERT DATE]]+1</f>
        <v>45186.257071759261</v>
      </c>
      <c r="H687" t="str">
        <f>VLOOKUP(qry_ProdData2_PDI_Cash_Exception_Application[[#This Row],[MARKET No]],'Site Allocation'!$B$2:$C$37,2,FALSE)</f>
        <v>Analyst6</v>
      </c>
      <c r="I687" s="4">
        <f t="shared" ca="1" si="10"/>
        <v>45203</v>
      </c>
      <c r="J687" s="42">
        <f ca="1">TODAY()-qry_ProdData2_PDI_Cash_Exception_Application[[#This Row],[INSERT DATE]]</f>
        <v>17.742928240739275</v>
      </c>
      <c r="K6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87">
        <f ca="1">qry_ProdData2_PDI_Cash_Exception_Application[[#This Row],[TODAY]]-qry_ProdData2_PDI_Cash_Exception_Application[[#This Row],[CHANGED ON]]</f>
        <v>16.742928240739275</v>
      </c>
      <c r="M687">
        <f ca="1">qry_ProdData2_PDI_Cash_Exception_Application[[#This Row],[TODAY]]-qry_ProdData2_PDI_Cash_Exception_Application[[#This Row],[CHANGED ON]]</f>
        <v>16.742928240739275</v>
      </c>
      <c r="N687">
        <f ca="1">qry_ProdData2_PDI_Cash_Exception_Application[[#This Row],[TODAY]]-qry_ProdData2_PDI_Cash_Exception_Application[[#This Row],[CHANGED ON]]</f>
        <v>16.742928240739275</v>
      </c>
    </row>
    <row r="688" spans="1:14" x14ac:dyDescent="0.35">
      <c r="A688">
        <v>1000</v>
      </c>
      <c r="B688" t="s">
        <v>54</v>
      </c>
      <c r="C688" s="1">
        <v>45188.257071759261</v>
      </c>
      <c r="D688" t="str">
        <f ca="1">VLOOKUP(qry_ProdData2_PDI_Cash_Exception_Application[[#This Row],[TYPE]],#REF!,2,FALSE)</f>
        <v>type40</v>
      </c>
      <c r="E688">
        <v>-702.19</v>
      </c>
      <c r="F688" t="s">
        <v>51</v>
      </c>
      <c r="G688" s="1">
        <f>qry_ProdData2_PDI_Cash_Exception_Application[[#This Row],[INSERT DATE]]+2</f>
        <v>45190.257071759261</v>
      </c>
      <c r="H688" t="str">
        <f>VLOOKUP(qry_ProdData2_PDI_Cash_Exception_Application[[#This Row],[MARKET No]],'Site Allocation'!$B$2:$C$37,2,FALSE)</f>
        <v>Analyst1</v>
      </c>
      <c r="I688" s="4">
        <f t="shared" ca="1" si="10"/>
        <v>45203</v>
      </c>
      <c r="J688" s="42">
        <f ca="1">TODAY()-qry_ProdData2_PDI_Cash_Exception_Application[[#This Row],[INSERT DATE]]</f>
        <v>14.742928240739275</v>
      </c>
      <c r="K6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88">
        <f ca="1">qry_ProdData2_PDI_Cash_Exception_Application[[#This Row],[TODAY]]-qry_ProdData2_PDI_Cash_Exception_Application[[#This Row],[CHANGED ON]]</f>
        <v>12.742928240739275</v>
      </c>
      <c r="M688">
        <f ca="1">qry_ProdData2_PDI_Cash_Exception_Application[[#This Row],[TODAY]]-qry_ProdData2_PDI_Cash_Exception_Application[[#This Row],[CHANGED ON]]</f>
        <v>12.742928240739275</v>
      </c>
      <c r="N688">
        <f ca="1">qry_ProdData2_PDI_Cash_Exception_Application[[#This Row],[TODAY]]-qry_ProdData2_PDI_Cash_Exception_Application[[#This Row],[CHANGED ON]]</f>
        <v>12.742928240739275</v>
      </c>
    </row>
    <row r="689" spans="1:14" x14ac:dyDescent="0.35">
      <c r="A689">
        <v>1034</v>
      </c>
      <c r="B689" t="s">
        <v>88</v>
      </c>
      <c r="C689" s="1">
        <v>45190.257071759261</v>
      </c>
      <c r="D689" t="str">
        <f ca="1">VLOOKUP(qry_ProdData2_PDI_Cash_Exception_Application[[#This Row],[TYPE]],#REF!,2,FALSE)</f>
        <v>type40</v>
      </c>
      <c r="E689">
        <v>-469.84</v>
      </c>
      <c r="F689" t="s">
        <v>47</v>
      </c>
      <c r="G689" s="1">
        <f>qry_ProdData2_PDI_Cash_Exception_Application[[#This Row],[INSERT DATE]]+1</f>
        <v>45191.257071759261</v>
      </c>
      <c r="H689" t="str">
        <f>VLOOKUP(qry_ProdData2_PDI_Cash_Exception_Application[[#This Row],[MARKET No]],'Site Allocation'!$B$2:$C$37,2,FALSE)</f>
        <v>Analyst6</v>
      </c>
      <c r="I689" s="4">
        <f t="shared" ca="1" si="10"/>
        <v>45203</v>
      </c>
      <c r="J689" s="42">
        <f ca="1">TODAY()-qry_ProdData2_PDI_Cash_Exception_Application[[#This Row],[INSERT DATE]]</f>
        <v>12.742928240739275</v>
      </c>
      <c r="K6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89">
        <f ca="1">qry_ProdData2_PDI_Cash_Exception_Application[[#This Row],[TODAY]]-qry_ProdData2_PDI_Cash_Exception_Application[[#This Row],[CHANGED ON]]</f>
        <v>11.742928240739275</v>
      </c>
      <c r="M689">
        <f ca="1">qry_ProdData2_PDI_Cash_Exception_Application[[#This Row],[TODAY]]-qry_ProdData2_PDI_Cash_Exception_Application[[#This Row],[CHANGED ON]]</f>
        <v>11.742928240739275</v>
      </c>
      <c r="N689">
        <f ca="1">qry_ProdData2_PDI_Cash_Exception_Application[[#This Row],[TODAY]]-qry_ProdData2_PDI_Cash_Exception_Application[[#This Row],[CHANGED ON]]</f>
        <v>11.742928240739275</v>
      </c>
    </row>
    <row r="690" spans="1:14" x14ac:dyDescent="0.35">
      <c r="A690">
        <v>1022</v>
      </c>
      <c r="B690" t="s">
        <v>76</v>
      </c>
      <c r="C690" s="1">
        <v>45196.257071759261</v>
      </c>
      <c r="D690" t="str">
        <f ca="1">VLOOKUP(qry_ProdData2_PDI_Cash_Exception_Application[[#This Row],[TYPE]],#REF!,2,FALSE)</f>
        <v>type19</v>
      </c>
      <c r="E690">
        <v>433.27</v>
      </c>
      <c r="F690" t="s">
        <v>52</v>
      </c>
      <c r="G690" s="1">
        <f>qry_ProdData2_PDI_Cash_Exception_Application[[#This Row],[INSERT DATE]]+1</f>
        <v>45197.257071759261</v>
      </c>
      <c r="H690" t="str">
        <f>VLOOKUP(qry_ProdData2_PDI_Cash_Exception_Application[[#This Row],[MARKET No]],'Site Allocation'!$B$2:$C$37,2,FALSE)</f>
        <v>Analyst4</v>
      </c>
      <c r="I690" s="4">
        <f t="shared" ca="1" si="10"/>
        <v>45203</v>
      </c>
      <c r="J690" s="42">
        <f ca="1">TODAY()-qry_ProdData2_PDI_Cash_Exception_Application[[#This Row],[INSERT DATE]]</f>
        <v>6.7429282407392748</v>
      </c>
      <c r="K6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690">
        <f ca="1">qry_ProdData2_PDI_Cash_Exception_Application[[#This Row],[TODAY]]-qry_ProdData2_PDI_Cash_Exception_Application[[#This Row],[CHANGED ON]]</f>
        <v>5.7429282407392748</v>
      </c>
      <c r="M690">
        <f ca="1">qry_ProdData2_PDI_Cash_Exception_Application[[#This Row],[TODAY]]-qry_ProdData2_PDI_Cash_Exception_Application[[#This Row],[CHANGED ON]]</f>
        <v>5.7429282407392748</v>
      </c>
      <c r="N690">
        <f ca="1">qry_ProdData2_PDI_Cash_Exception_Application[[#This Row],[TODAY]]-qry_ProdData2_PDI_Cash_Exception_Application[[#This Row],[CHANGED ON]]</f>
        <v>5.7429282407392748</v>
      </c>
    </row>
    <row r="691" spans="1:14" x14ac:dyDescent="0.35">
      <c r="A691">
        <v>1003</v>
      </c>
      <c r="B691" t="s">
        <v>57</v>
      </c>
      <c r="C691" s="1">
        <v>45179.257071759261</v>
      </c>
      <c r="D691" t="str">
        <f ca="1">VLOOKUP(qry_ProdData2_PDI_Cash_Exception_Application[[#This Row],[TYPE]],#REF!,2,FALSE)</f>
        <v>type40</v>
      </c>
      <c r="E691">
        <v>540.44000000000005</v>
      </c>
      <c r="F691" t="s">
        <v>51</v>
      </c>
      <c r="G691" s="1">
        <f>qry_ProdData2_PDI_Cash_Exception_Application[[#This Row],[INSERT DATE]]+5</f>
        <v>45184.257071759261</v>
      </c>
      <c r="H691" t="str">
        <f>VLOOKUP(qry_ProdData2_PDI_Cash_Exception_Application[[#This Row],[MARKET No]],'Site Allocation'!$B$2:$C$37,2,FALSE)</f>
        <v>Analyst1</v>
      </c>
      <c r="I691" s="4">
        <f t="shared" ca="1" si="10"/>
        <v>45203</v>
      </c>
      <c r="J691" s="42">
        <f ca="1">TODAY()-qry_ProdData2_PDI_Cash_Exception_Application[[#This Row],[INSERT DATE]]</f>
        <v>23.742928240739275</v>
      </c>
      <c r="K6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91">
        <f ca="1">qry_ProdData2_PDI_Cash_Exception_Application[[#This Row],[TODAY]]-qry_ProdData2_PDI_Cash_Exception_Application[[#This Row],[CHANGED ON]]</f>
        <v>18.742928240739275</v>
      </c>
      <c r="M691">
        <f ca="1">qry_ProdData2_PDI_Cash_Exception_Application[[#This Row],[TODAY]]-qry_ProdData2_PDI_Cash_Exception_Application[[#This Row],[CHANGED ON]]</f>
        <v>18.742928240739275</v>
      </c>
      <c r="N691">
        <f ca="1">qry_ProdData2_PDI_Cash_Exception_Application[[#This Row],[TODAY]]-qry_ProdData2_PDI_Cash_Exception_Application[[#This Row],[CHANGED ON]]</f>
        <v>18.742928240739275</v>
      </c>
    </row>
    <row r="692" spans="1:14" x14ac:dyDescent="0.35">
      <c r="A692">
        <v>1025</v>
      </c>
      <c r="B692" t="s">
        <v>79</v>
      </c>
      <c r="C692" s="1">
        <v>45185.257071759261</v>
      </c>
      <c r="D692" t="str">
        <f ca="1">VLOOKUP(qry_ProdData2_PDI_Cash_Exception_Application[[#This Row],[TYPE]],#REF!,2,FALSE)</f>
        <v>type46</v>
      </c>
      <c r="E692">
        <v>88.42</v>
      </c>
      <c r="F692" t="s">
        <v>50</v>
      </c>
      <c r="G692" s="1">
        <f>qry_ProdData2_PDI_Cash_Exception_Application[[#This Row],[INSERT DATE]]+1</f>
        <v>45186.257071759261</v>
      </c>
      <c r="H692" t="str">
        <f>VLOOKUP(qry_ProdData2_PDI_Cash_Exception_Application[[#This Row],[MARKET No]],'Site Allocation'!$B$2:$C$37,2,FALSE)</f>
        <v>Analyst5</v>
      </c>
      <c r="I692" s="4">
        <f t="shared" ca="1" si="10"/>
        <v>45203</v>
      </c>
      <c r="J692" s="42">
        <f ca="1">TODAY()-qry_ProdData2_PDI_Cash_Exception_Application[[#This Row],[INSERT DATE]]</f>
        <v>17.742928240739275</v>
      </c>
      <c r="K6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92">
        <f ca="1">qry_ProdData2_PDI_Cash_Exception_Application[[#This Row],[TODAY]]-qry_ProdData2_PDI_Cash_Exception_Application[[#This Row],[CHANGED ON]]</f>
        <v>16.742928240739275</v>
      </c>
      <c r="M692">
        <f ca="1">qry_ProdData2_PDI_Cash_Exception_Application[[#This Row],[TODAY]]-qry_ProdData2_PDI_Cash_Exception_Application[[#This Row],[CHANGED ON]]</f>
        <v>16.742928240739275</v>
      </c>
      <c r="N692">
        <f ca="1">qry_ProdData2_PDI_Cash_Exception_Application[[#This Row],[TODAY]]-qry_ProdData2_PDI_Cash_Exception_Application[[#This Row],[CHANGED ON]]</f>
        <v>16.742928240739275</v>
      </c>
    </row>
    <row r="693" spans="1:14" x14ac:dyDescent="0.35">
      <c r="A693">
        <v>1027</v>
      </c>
      <c r="B693" t="s">
        <v>81</v>
      </c>
      <c r="C693" s="1">
        <v>45185.257071759261</v>
      </c>
      <c r="D693" t="str">
        <f ca="1">VLOOKUP(qry_ProdData2_PDI_Cash_Exception_Application[[#This Row],[TYPE]],#REF!,2,FALSE)</f>
        <v>type40</v>
      </c>
      <c r="E693">
        <v>520.85</v>
      </c>
      <c r="F693" t="s">
        <v>48</v>
      </c>
      <c r="G693" s="1">
        <f>qry_ProdData2_PDI_Cash_Exception_Application[[#This Row],[INSERT DATE]]+7</f>
        <v>45192.257071759261</v>
      </c>
      <c r="H693" t="str">
        <f>VLOOKUP(qry_ProdData2_PDI_Cash_Exception_Application[[#This Row],[MARKET No]],'Site Allocation'!$B$2:$C$37,2,FALSE)</f>
        <v>Analyst5</v>
      </c>
      <c r="I693" s="4">
        <f t="shared" ca="1" si="10"/>
        <v>45203</v>
      </c>
      <c r="J693" s="42">
        <f ca="1">TODAY()-qry_ProdData2_PDI_Cash_Exception_Application[[#This Row],[INSERT DATE]]</f>
        <v>17.742928240739275</v>
      </c>
      <c r="K6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93">
        <f ca="1">qry_ProdData2_PDI_Cash_Exception_Application[[#This Row],[TODAY]]-qry_ProdData2_PDI_Cash_Exception_Application[[#This Row],[CHANGED ON]]</f>
        <v>10.742928240739275</v>
      </c>
      <c r="M693">
        <f ca="1">qry_ProdData2_PDI_Cash_Exception_Application[[#This Row],[TODAY]]-qry_ProdData2_PDI_Cash_Exception_Application[[#This Row],[CHANGED ON]]</f>
        <v>10.742928240739275</v>
      </c>
      <c r="N693">
        <f ca="1">qry_ProdData2_PDI_Cash_Exception_Application[[#This Row],[TODAY]]-qry_ProdData2_PDI_Cash_Exception_Application[[#This Row],[CHANGED ON]]</f>
        <v>10.742928240739275</v>
      </c>
    </row>
    <row r="694" spans="1:14" x14ac:dyDescent="0.35">
      <c r="A694">
        <v>1007</v>
      </c>
      <c r="B694" t="s">
        <v>61</v>
      </c>
      <c r="C694" s="1">
        <v>45189.257071759261</v>
      </c>
      <c r="D694" t="str">
        <f ca="1">VLOOKUP(qry_ProdData2_PDI_Cash_Exception_Application[[#This Row],[TYPE]],#REF!,2,FALSE)</f>
        <v>type40</v>
      </c>
      <c r="E694">
        <v>1507.85</v>
      </c>
      <c r="F694" t="s">
        <v>49</v>
      </c>
      <c r="G694" s="1">
        <f>qry_ProdData2_PDI_Cash_Exception_Application[[#This Row],[INSERT DATE]]+2</f>
        <v>45191.257071759261</v>
      </c>
      <c r="H694" t="str">
        <f>VLOOKUP(qry_ProdData2_PDI_Cash_Exception_Application[[#This Row],[MARKET No]],'Site Allocation'!$B$2:$C$37,2,FALSE)</f>
        <v>Analyst2</v>
      </c>
      <c r="I694" s="4">
        <f t="shared" ca="1" si="10"/>
        <v>45203</v>
      </c>
      <c r="J694" s="42">
        <f ca="1">TODAY()-qry_ProdData2_PDI_Cash_Exception_Application[[#This Row],[INSERT DATE]]</f>
        <v>13.742928240739275</v>
      </c>
      <c r="K6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94">
        <f ca="1">qry_ProdData2_PDI_Cash_Exception_Application[[#This Row],[TODAY]]-qry_ProdData2_PDI_Cash_Exception_Application[[#This Row],[CHANGED ON]]</f>
        <v>11.742928240739275</v>
      </c>
      <c r="M694">
        <f ca="1">qry_ProdData2_PDI_Cash_Exception_Application[[#This Row],[TODAY]]-qry_ProdData2_PDI_Cash_Exception_Application[[#This Row],[CHANGED ON]]</f>
        <v>11.742928240739275</v>
      </c>
      <c r="N694">
        <f ca="1">qry_ProdData2_PDI_Cash_Exception_Application[[#This Row],[TODAY]]-qry_ProdData2_PDI_Cash_Exception_Application[[#This Row],[CHANGED ON]]</f>
        <v>11.742928240739275</v>
      </c>
    </row>
    <row r="695" spans="1:14" x14ac:dyDescent="0.35">
      <c r="A695">
        <v>1034</v>
      </c>
      <c r="B695" t="s">
        <v>88</v>
      </c>
      <c r="C695" s="1">
        <v>45187.257071759261</v>
      </c>
      <c r="D695" t="str">
        <f ca="1">VLOOKUP(qry_ProdData2_PDI_Cash_Exception_Application[[#This Row],[TYPE]],#REF!,2,FALSE)</f>
        <v>type13</v>
      </c>
      <c r="E695">
        <v>24470.9</v>
      </c>
      <c r="F695" t="s">
        <v>47</v>
      </c>
      <c r="G695" s="1">
        <f>qry_ProdData2_PDI_Cash_Exception_Application[[#This Row],[INSERT DATE]]+1</f>
        <v>45188.257071759261</v>
      </c>
      <c r="H695" t="str">
        <f>VLOOKUP(qry_ProdData2_PDI_Cash_Exception_Application[[#This Row],[MARKET No]],'Site Allocation'!$B$2:$C$37,2,FALSE)</f>
        <v>Analyst6</v>
      </c>
      <c r="I695" s="4">
        <f t="shared" ca="1" si="10"/>
        <v>45203</v>
      </c>
      <c r="J695" s="42">
        <f ca="1">TODAY()-qry_ProdData2_PDI_Cash_Exception_Application[[#This Row],[INSERT DATE]]</f>
        <v>15.742928240739275</v>
      </c>
      <c r="K6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95">
        <f ca="1">qry_ProdData2_PDI_Cash_Exception_Application[[#This Row],[TODAY]]-qry_ProdData2_PDI_Cash_Exception_Application[[#This Row],[CHANGED ON]]</f>
        <v>14.742928240739275</v>
      </c>
      <c r="M695">
        <f ca="1">qry_ProdData2_PDI_Cash_Exception_Application[[#This Row],[TODAY]]-qry_ProdData2_PDI_Cash_Exception_Application[[#This Row],[CHANGED ON]]</f>
        <v>14.742928240739275</v>
      </c>
      <c r="N695">
        <f ca="1">qry_ProdData2_PDI_Cash_Exception_Application[[#This Row],[TODAY]]-qry_ProdData2_PDI_Cash_Exception_Application[[#This Row],[CHANGED ON]]</f>
        <v>14.742928240739275</v>
      </c>
    </row>
    <row r="696" spans="1:14" x14ac:dyDescent="0.35">
      <c r="A696">
        <v>1010</v>
      </c>
      <c r="B696" t="s">
        <v>64</v>
      </c>
      <c r="C696" s="1">
        <v>45188.257071759261</v>
      </c>
      <c r="D696" t="str">
        <f ca="1">VLOOKUP(qry_ProdData2_PDI_Cash_Exception_Application[[#This Row],[TYPE]],#REF!,2,FALSE)</f>
        <v>type52</v>
      </c>
      <c r="E696">
        <v>353.07</v>
      </c>
      <c r="F696" t="s">
        <v>52</v>
      </c>
      <c r="G696" s="1">
        <f>qry_ProdData2_PDI_Cash_Exception_Application[[#This Row],[INSERT DATE]]+1</f>
        <v>45189.257071759261</v>
      </c>
      <c r="H696" t="str">
        <f>VLOOKUP(qry_ProdData2_PDI_Cash_Exception_Application[[#This Row],[MARKET No]],'Site Allocation'!$B$2:$C$37,2,FALSE)</f>
        <v>Analyst2</v>
      </c>
      <c r="I696" s="4">
        <f t="shared" ca="1" si="10"/>
        <v>45203</v>
      </c>
      <c r="J696" s="42">
        <f ca="1">TODAY()-qry_ProdData2_PDI_Cash_Exception_Application[[#This Row],[INSERT DATE]]</f>
        <v>14.742928240739275</v>
      </c>
      <c r="K6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96">
        <f ca="1">qry_ProdData2_PDI_Cash_Exception_Application[[#This Row],[TODAY]]-qry_ProdData2_PDI_Cash_Exception_Application[[#This Row],[CHANGED ON]]</f>
        <v>13.742928240739275</v>
      </c>
      <c r="M696">
        <f ca="1">qry_ProdData2_PDI_Cash_Exception_Application[[#This Row],[TODAY]]-qry_ProdData2_PDI_Cash_Exception_Application[[#This Row],[CHANGED ON]]</f>
        <v>13.742928240739275</v>
      </c>
      <c r="N696">
        <f ca="1">qry_ProdData2_PDI_Cash_Exception_Application[[#This Row],[TODAY]]-qry_ProdData2_PDI_Cash_Exception_Application[[#This Row],[CHANGED ON]]</f>
        <v>13.742928240739275</v>
      </c>
    </row>
    <row r="697" spans="1:14" x14ac:dyDescent="0.35">
      <c r="A697">
        <v>1024</v>
      </c>
      <c r="B697" t="s">
        <v>78</v>
      </c>
      <c r="C697" s="1">
        <v>45187.257071759261</v>
      </c>
      <c r="D697" t="str">
        <f ca="1">VLOOKUP(qry_ProdData2_PDI_Cash_Exception_Application[[#This Row],[TYPE]],#REF!,2,FALSE)</f>
        <v>type13</v>
      </c>
      <c r="E697">
        <v>24991.93</v>
      </c>
      <c r="F697" t="s">
        <v>47</v>
      </c>
      <c r="G697" s="1">
        <f>qry_ProdData2_PDI_Cash_Exception_Application[[#This Row],[INSERT DATE]]+1</f>
        <v>45188.257071759261</v>
      </c>
      <c r="H697" t="str">
        <f>VLOOKUP(qry_ProdData2_PDI_Cash_Exception_Application[[#This Row],[MARKET No]],'Site Allocation'!$B$2:$C$37,2,FALSE)</f>
        <v>Analyst5</v>
      </c>
      <c r="I697" s="4">
        <f t="shared" ca="1" si="10"/>
        <v>45203</v>
      </c>
      <c r="J697" s="42">
        <f ca="1">TODAY()-qry_ProdData2_PDI_Cash_Exception_Application[[#This Row],[INSERT DATE]]</f>
        <v>15.742928240739275</v>
      </c>
      <c r="K6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97">
        <f ca="1">qry_ProdData2_PDI_Cash_Exception_Application[[#This Row],[TODAY]]-qry_ProdData2_PDI_Cash_Exception_Application[[#This Row],[CHANGED ON]]</f>
        <v>14.742928240739275</v>
      </c>
      <c r="M697">
        <f ca="1">qry_ProdData2_PDI_Cash_Exception_Application[[#This Row],[TODAY]]-qry_ProdData2_PDI_Cash_Exception_Application[[#This Row],[CHANGED ON]]</f>
        <v>14.742928240739275</v>
      </c>
      <c r="N697">
        <f ca="1">qry_ProdData2_PDI_Cash_Exception_Application[[#This Row],[TODAY]]-qry_ProdData2_PDI_Cash_Exception_Application[[#This Row],[CHANGED ON]]</f>
        <v>14.742928240739275</v>
      </c>
    </row>
    <row r="698" spans="1:14" x14ac:dyDescent="0.35">
      <c r="A698">
        <v>1030</v>
      </c>
      <c r="B698" t="s">
        <v>84</v>
      </c>
      <c r="C698" s="1">
        <v>45192.257071759261</v>
      </c>
      <c r="D698" t="str">
        <f ca="1">VLOOKUP(qry_ProdData2_PDI_Cash_Exception_Application[[#This Row],[TYPE]],#REF!,2,FALSE)</f>
        <v>type13</v>
      </c>
      <c r="E698">
        <v>21616.55</v>
      </c>
      <c r="F698" t="s">
        <v>47</v>
      </c>
      <c r="G698" s="1">
        <f>qry_ProdData2_PDI_Cash_Exception_Application[[#This Row],[INSERT DATE]]+2</f>
        <v>45194.257071759261</v>
      </c>
      <c r="H698" t="str">
        <f>VLOOKUP(qry_ProdData2_PDI_Cash_Exception_Application[[#This Row],[MARKET No]],'Site Allocation'!$B$2:$C$37,2,FALSE)</f>
        <v>Analyst6</v>
      </c>
      <c r="I698" s="4">
        <f t="shared" ca="1" si="10"/>
        <v>45203</v>
      </c>
      <c r="J698" s="42">
        <f ca="1">TODAY()-qry_ProdData2_PDI_Cash_Exception_Application[[#This Row],[INSERT DATE]]</f>
        <v>10.742928240739275</v>
      </c>
      <c r="K6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98">
        <f ca="1">qry_ProdData2_PDI_Cash_Exception_Application[[#This Row],[TODAY]]-qry_ProdData2_PDI_Cash_Exception_Application[[#This Row],[CHANGED ON]]</f>
        <v>8.7429282407392748</v>
      </c>
      <c r="M698">
        <f ca="1">qry_ProdData2_PDI_Cash_Exception_Application[[#This Row],[TODAY]]-qry_ProdData2_PDI_Cash_Exception_Application[[#This Row],[CHANGED ON]]</f>
        <v>8.7429282407392748</v>
      </c>
      <c r="N698">
        <f ca="1">qry_ProdData2_PDI_Cash_Exception_Application[[#This Row],[TODAY]]-qry_ProdData2_PDI_Cash_Exception_Application[[#This Row],[CHANGED ON]]</f>
        <v>8.7429282407392748</v>
      </c>
    </row>
    <row r="699" spans="1:14" x14ac:dyDescent="0.35">
      <c r="A699">
        <v>1028</v>
      </c>
      <c r="B699" t="s">
        <v>82</v>
      </c>
      <c r="C699" s="1">
        <v>45190.257071759261</v>
      </c>
      <c r="D699" t="str">
        <f ca="1">VLOOKUP(qry_ProdData2_PDI_Cash_Exception_Application[[#This Row],[TYPE]],#REF!,2,FALSE)</f>
        <v>type13</v>
      </c>
      <c r="E699">
        <v>40307.83</v>
      </c>
      <c r="F699" t="s">
        <v>50</v>
      </c>
      <c r="G699" s="1">
        <f>qry_ProdData2_PDI_Cash_Exception_Application[[#This Row],[INSERT DATE]]+1</f>
        <v>45191.257071759261</v>
      </c>
      <c r="H699" t="str">
        <f>VLOOKUP(qry_ProdData2_PDI_Cash_Exception_Application[[#This Row],[MARKET No]],'Site Allocation'!$B$2:$C$37,2,FALSE)</f>
        <v>Analyst5</v>
      </c>
      <c r="I699" s="4">
        <f t="shared" ca="1" si="10"/>
        <v>45203</v>
      </c>
      <c r="J699" s="42">
        <f ca="1">TODAY()-qry_ProdData2_PDI_Cash_Exception_Application[[#This Row],[INSERT DATE]]</f>
        <v>12.742928240739275</v>
      </c>
      <c r="K6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699">
        <f ca="1">qry_ProdData2_PDI_Cash_Exception_Application[[#This Row],[TODAY]]-qry_ProdData2_PDI_Cash_Exception_Application[[#This Row],[CHANGED ON]]</f>
        <v>11.742928240739275</v>
      </c>
      <c r="M699">
        <f ca="1">qry_ProdData2_PDI_Cash_Exception_Application[[#This Row],[TODAY]]-qry_ProdData2_PDI_Cash_Exception_Application[[#This Row],[CHANGED ON]]</f>
        <v>11.742928240739275</v>
      </c>
      <c r="N699">
        <f ca="1">qry_ProdData2_PDI_Cash_Exception_Application[[#This Row],[TODAY]]-qry_ProdData2_PDI_Cash_Exception_Application[[#This Row],[CHANGED ON]]</f>
        <v>11.742928240739275</v>
      </c>
    </row>
    <row r="700" spans="1:14" x14ac:dyDescent="0.35">
      <c r="A700">
        <v>1008</v>
      </c>
      <c r="B700" t="s">
        <v>62</v>
      </c>
      <c r="C700" s="1">
        <v>45190.257071759261</v>
      </c>
      <c r="D700" t="str">
        <f ca="1">VLOOKUP(qry_ProdData2_PDI_Cash_Exception_Application[[#This Row],[TYPE]],#REF!,2,FALSE)</f>
        <v>type40</v>
      </c>
      <c r="E700">
        <v>462.04</v>
      </c>
      <c r="F700" t="s">
        <v>52</v>
      </c>
      <c r="G700" s="1">
        <f>qry_ProdData2_PDI_Cash_Exception_Application[[#This Row],[INSERT DATE]]+1</f>
        <v>45191.257071759261</v>
      </c>
      <c r="H700" t="str">
        <f>VLOOKUP(qry_ProdData2_PDI_Cash_Exception_Application[[#This Row],[MARKET No]],'Site Allocation'!$B$2:$C$37,2,FALSE)</f>
        <v>Analyst2</v>
      </c>
      <c r="I700" s="4">
        <f t="shared" ca="1" si="10"/>
        <v>45203</v>
      </c>
      <c r="J700" s="42">
        <f ca="1">TODAY()-qry_ProdData2_PDI_Cash_Exception_Application[[#This Row],[INSERT DATE]]</f>
        <v>12.742928240739275</v>
      </c>
      <c r="K7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00">
        <f ca="1">qry_ProdData2_PDI_Cash_Exception_Application[[#This Row],[TODAY]]-qry_ProdData2_PDI_Cash_Exception_Application[[#This Row],[CHANGED ON]]</f>
        <v>11.742928240739275</v>
      </c>
      <c r="M700">
        <f ca="1">qry_ProdData2_PDI_Cash_Exception_Application[[#This Row],[TODAY]]-qry_ProdData2_PDI_Cash_Exception_Application[[#This Row],[CHANGED ON]]</f>
        <v>11.742928240739275</v>
      </c>
      <c r="N700">
        <f ca="1">qry_ProdData2_PDI_Cash_Exception_Application[[#This Row],[TODAY]]-qry_ProdData2_PDI_Cash_Exception_Application[[#This Row],[CHANGED ON]]</f>
        <v>11.742928240739275</v>
      </c>
    </row>
    <row r="701" spans="1:14" x14ac:dyDescent="0.35">
      <c r="A701">
        <v>1005</v>
      </c>
      <c r="B701" t="s">
        <v>59</v>
      </c>
      <c r="C701" s="1">
        <v>45190.257071759261</v>
      </c>
      <c r="D701" t="str">
        <f ca="1">VLOOKUP(qry_ProdData2_PDI_Cash_Exception_Application[[#This Row],[TYPE]],#REF!,2,FALSE)</f>
        <v>type40</v>
      </c>
      <c r="E701">
        <v>648.08000000000004</v>
      </c>
      <c r="F701" t="s">
        <v>49</v>
      </c>
      <c r="G701" s="1">
        <f>qry_ProdData2_PDI_Cash_Exception_Application[[#This Row],[INSERT DATE]]+2</f>
        <v>45192.257071759261</v>
      </c>
      <c r="H701" t="str">
        <f>VLOOKUP(qry_ProdData2_PDI_Cash_Exception_Application[[#This Row],[MARKET No]],'Site Allocation'!$B$2:$C$37,2,FALSE)</f>
        <v>Analyst1</v>
      </c>
      <c r="I701" s="4">
        <f t="shared" ca="1" si="10"/>
        <v>45203</v>
      </c>
      <c r="J701" s="42">
        <f ca="1">TODAY()-qry_ProdData2_PDI_Cash_Exception_Application[[#This Row],[INSERT DATE]]</f>
        <v>12.742928240739275</v>
      </c>
      <c r="K7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01">
        <f ca="1">qry_ProdData2_PDI_Cash_Exception_Application[[#This Row],[TODAY]]-qry_ProdData2_PDI_Cash_Exception_Application[[#This Row],[CHANGED ON]]</f>
        <v>10.742928240739275</v>
      </c>
      <c r="M701">
        <f ca="1">qry_ProdData2_PDI_Cash_Exception_Application[[#This Row],[TODAY]]-qry_ProdData2_PDI_Cash_Exception_Application[[#This Row],[CHANGED ON]]</f>
        <v>10.742928240739275</v>
      </c>
      <c r="N701">
        <f ca="1">qry_ProdData2_PDI_Cash_Exception_Application[[#This Row],[TODAY]]-qry_ProdData2_PDI_Cash_Exception_Application[[#This Row],[CHANGED ON]]</f>
        <v>10.742928240739275</v>
      </c>
    </row>
    <row r="702" spans="1:14" x14ac:dyDescent="0.35">
      <c r="A702">
        <v>1013</v>
      </c>
      <c r="B702" t="s">
        <v>67</v>
      </c>
      <c r="C702" s="1">
        <v>45182.257071759261</v>
      </c>
      <c r="D702" t="str">
        <f ca="1">VLOOKUP(qry_ProdData2_PDI_Cash_Exception_Application[[#This Row],[TYPE]],#REF!,2,FALSE)</f>
        <v>type40</v>
      </c>
      <c r="E702">
        <v>1970.09</v>
      </c>
      <c r="F702" t="s">
        <v>47</v>
      </c>
      <c r="G702" s="1">
        <f>qry_ProdData2_PDI_Cash_Exception_Application[[#This Row],[INSERT DATE]]+2</f>
        <v>45184.257071759261</v>
      </c>
      <c r="H702" t="str">
        <f>VLOOKUP(qry_ProdData2_PDI_Cash_Exception_Application[[#This Row],[MARKET No]],'Site Allocation'!$B$2:$C$37,2,FALSE)</f>
        <v>Analyst3</v>
      </c>
      <c r="I702" s="4">
        <f t="shared" ca="1" si="10"/>
        <v>45203</v>
      </c>
      <c r="J702" s="42">
        <f ca="1">TODAY()-qry_ProdData2_PDI_Cash_Exception_Application[[#This Row],[INSERT DATE]]</f>
        <v>20.742928240739275</v>
      </c>
      <c r="K7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02">
        <f ca="1">qry_ProdData2_PDI_Cash_Exception_Application[[#This Row],[TODAY]]-qry_ProdData2_PDI_Cash_Exception_Application[[#This Row],[CHANGED ON]]</f>
        <v>18.742928240739275</v>
      </c>
      <c r="M702">
        <f ca="1">qry_ProdData2_PDI_Cash_Exception_Application[[#This Row],[TODAY]]-qry_ProdData2_PDI_Cash_Exception_Application[[#This Row],[CHANGED ON]]</f>
        <v>18.742928240739275</v>
      </c>
      <c r="N702">
        <f ca="1">qry_ProdData2_PDI_Cash_Exception_Application[[#This Row],[TODAY]]-qry_ProdData2_PDI_Cash_Exception_Application[[#This Row],[CHANGED ON]]</f>
        <v>18.742928240739275</v>
      </c>
    </row>
    <row r="703" spans="1:14" x14ac:dyDescent="0.35">
      <c r="A703">
        <v>1000</v>
      </c>
      <c r="B703" t="s">
        <v>54</v>
      </c>
      <c r="C703" s="1">
        <v>45187.257071759261</v>
      </c>
      <c r="D703" t="str">
        <f ca="1">VLOOKUP(qry_ProdData2_PDI_Cash_Exception_Application[[#This Row],[TYPE]],#REF!,2,FALSE)</f>
        <v>type20</v>
      </c>
      <c r="E703">
        <v>9415</v>
      </c>
      <c r="F703" t="s">
        <v>48</v>
      </c>
      <c r="G703" s="1">
        <f>qry_ProdData2_PDI_Cash_Exception_Application[[#This Row],[INSERT DATE]]+7</f>
        <v>45194.257071759261</v>
      </c>
      <c r="H703" t="str">
        <f>VLOOKUP(qry_ProdData2_PDI_Cash_Exception_Application[[#This Row],[MARKET No]],'Site Allocation'!$B$2:$C$37,2,FALSE)</f>
        <v>Analyst1</v>
      </c>
      <c r="I703" s="4">
        <f t="shared" ca="1" si="10"/>
        <v>45203</v>
      </c>
      <c r="J703" s="42">
        <f ca="1">TODAY()-qry_ProdData2_PDI_Cash_Exception_Application[[#This Row],[INSERT DATE]]</f>
        <v>15.742928240739275</v>
      </c>
      <c r="K7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03">
        <f ca="1">qry_ProdData2_PDI_Cash_Exception_Application[[#This Row],[TODAY]]-qry_ProdData2_PDI_Cash_Exception_Application[[#This Row],[CHANGED ON]]</f>
        <v>8.7429282407392748</v>
      </c>
      <c r="M703">
        <f ca="1">qry_ProdData2_PDI_Cash_Exception_Application[[#This Row],[TODAY]]-qry_ProdData2_PDI_Cash_Exception_Application[[#This Row],[CHANGED ON]]</f>
        <v>8.7429282407392748</v>
      </c>
      <c r="N703">
        <f ca="1">qry_ProdData2_PDI_Cash_Exception_Application[[#This Row],[TODAY]]-qry_ProdData2_PDI_Cash_Exception_Application[[#This Row],[CHANGED ON]]</f>
        <v>8.7429282407392748</v>
      </c>
    </row>
    <row r="704" spans="1:14" x14ac:dyDescent="0.35">
      <c r="A704">
        <v>1001</v>
      </c>
      <c r="B704" t="s">
        <v>55</v>
      </c>
      <c r="C704" s="1">
        <v>45194.257071759261</v>
      </c>
      <c r="D704" t="str">
        <f ca="1">VLOOKUP(qry_ProdData2_PDI_Cash_Exception_Application[[#This Row],[TYPE]],#REF!,2,FALSE)</f>
        <v>type46</v>
      </c>
      <c r="E704">
        <v>205.6</v>
      </c>
      <c r="F704" t="s">
        <v>50</v>
      </c>
      <c r="G704" s="1">
        <f>qry_ProdData2_PDI_Cash_Exception_Application[[#This Row],[INSERT DATE]]+1</f>
        <v>45195.257071759261</v>
      </c>
      <c r="H704" t="str">
        <f>VLOOKUP(qry_ProdData2_PDI_Cash_Exception_Application[[#This Row],[MARKET No]],'Site Allocation'!$B$2:$C$37,2,FALSE)</f>
        <v>Analyst1</v>
      </c>
      <c r="I704" s="4">
        <f t="shared" ca="1" si="10"/>
        <v>45203</v>
      </c>
      <c r="J704" s="42">
        <f ca="1">TODAY()-qry_ProdData2_PDI_Cash_Exception_Application[[#This Row],[INSERT DATE]]</f>
        <v>8.7429282407392748</v>
      </c>
      <c r="K7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704">
        <f ca="1">qry_ProdData2_PDI_Cash_Exception_Application[[#This Row],[TODAY]]-qry_ProdData2_PDI_Cash_Exception_Application[[#This Row],[CHANGED ON]]</f>
        <v>7.7429282407392748</v>
      </c>
      <c r="M704">
        <f ca="1">qry_ProdData2_PDI_Cash_Exception_Application[[#This Row],[TODAY]]-qry_ProdData2_PDI_Cash_Exception_Application[[#This Row],[CHANGED ON]]</f>
        <v>7.7429282407392748</v>
      </c>
      <c r="N704">
        <f ca="1">qry_ProdData2_PDI_Cash_Exception_Application[[#This Row],[TODAY]]-qry_ProdData2_PDI_Cash_Exception_Application[[#This Row],[CHANGED ON]]</f>
        <v>7.7429282407392748</v>
      </c>
    </row>
    <row r="705" spans="1:14" x14ac:dyDescent="0.35">
      <c r="A705">
        <v>1000</v>
      </c>
      <c r="B705" t="s">
        <v>54</v>
      </c>
      <c r="C705" s="1">
        <v>45195.257071759261</v>
      </c>
      <c r="D705" t="str">
        <f ca="1">VLOOKUP(qry_ProdData2_PDI_Cash_Exception_Application[[#This Row],[TYPE]],#REF!,2,FALSE)</f>
        <v>type40</v>
      </c>
      <c r="E705">
        <v>7379.17</v>
      </c>
      <c r="F705" t="s">
        <v>52</v>
      </c>
      <c r="G705" s="1">
        <f>qry_ProdData2_PDI_Cash_Exception_Application[[#This Row],[INSERT DATE]]+1</f>
        <v>45196.257071759261</v>
      </c>
      <c r="H705" t="str">
        <f>VLOOKUP(qry_ProdData2_PDI_Cash_Exception_Application[[#This Row],[MARKET No]],'Site Allocation'!$B$2:$C$37,2,FALSE)</f>
        <v>Analyst1</v>
      </c>
      <c r="I705" s="4">
        <f t="shared" ca="1" si="10"/>
        <v>45203</v>
      </c>
      <c r="J705" s="42">
        <f ca="1">TODAY()-qry_ProdData2_PDI_Cash_Exception_Application[[#This Row],[INSERT DATE]]</f>
        <v>7.7429282407392748</v>
      </c>
      <c r="K7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705">
        <f ca="1">qry_ProdData2_PDI_Cash_Exception_Application[[#This Row],[TODAY]]-qry_ProdData2_PDI_Cash_Exception_Application[[#This Row],[CHANGED ON]]</f>
        <v>6.7429282407392748</v>
      </c>
      <c r="M705">
        <f ca="1">qry_ProdData2_PDI_Cash_Exception_Application[[#This Row],[TODAY]]-qry_ProdData2_PDI_Cash_Exception_Application[[#This Row],[CHANGED ON]]</f>
        <v>6.7429282407392748</v>
      </c>
      <c r="N705">
        <f ca="1">qry_ProdData2_PDI_Cash_Exception_Application[[#This Row],[TODAY]]-qry_ProdData2_PDI_Cash_Exception_Application[[#This Row],[CHANGED ON]]</f>
        <v>6.7429282407392748</v>
      </c>
    </row>
    <row r="706" spans="1:14" x14ac:dyDescent="0.35">
      <c r="A706">
        <v>1002</v>
      </c>
      <c r="B706" t="s">
        <v>56</v>
      </c>
      <c r="C706" s="1">
        <v>45196.257071759261</v>
      </c>
      <c r="D706" t="str">
        <f ca="1">VLOOKUP(qry_ProdData2_PDI_Cash_Exception_Application[[#This Row],[TYPE]],#REF!,2,FALSE)</f>
        <v>type40</v>
      </c>
      <c r="E706">
        <v>-1439.02</v>
      </c>
      <c r="F706" t="s">
        <v>50</v>
      </c>
      <c r="G706" s="1">
        <f>qry_ProdData2_PDI_Cash_Exception_Application[[#This Row],[INSERT DATE]]+1</f>
        <v>45197.257071759261</v>
      </c>
      <c r="H706" t="str">
        <f>VLOOKUP(qry_ProdData2_PDI_Cash_Exception_Application[[#This Row],[MARKET No]],'Site Allocation'!$B$2:$C$37,2,FALSE)</f>
        <v>Analyst1</v>
      </c>
      <c r="I706" s="4">
        <f t="shared" ref="I706:I769" ca="1" si="11">TODAY()</f>
        <v>45203</v>
      </c>
      <c r="J706" s="42">
        <f ca="1">TODAY()-qry_ProdData2_PDI_Cash_Exception_Application[[#This Row],[INSERT DATE]]</f>
        <v>6.7429282407392748</v>
      </c>
      <c r="K7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706">
        <f ca="1">qry_ProdData2_PDI_Cash_Exception_Application[[#This Row],[TODAY]]-qry_ProdData2_PDI_Cash_Exception_Application[[#This Row],[CHANGED ON]]</f>
        <v>5.7429282407392748</v>
      </c>
      <c r="M706">
        <f ca="1">qry_ProdData2_PDI_Cash_Exception_Application[[#This Row],[TODAY]]-qry_ProdData2_PDI_Cash_Exception_Application[[#This Row],[CHANGED ON]]</f>
        <v>5.7429282407392748</v>
      </c>
      <c r="N706">
        <f ca="1">qry_ProdData2_PDI_Cash_Exception_Application[[#This Row],[TODAY]]-qry_ProdData2_PDI_Cash_Exception_Application[[#This Row],[CHANGED ON]]</f>
        <v>5.7429282407392748</v>
      </c>
    </row>
    <row r="707" spans="1:14" x14ac:dyDescent="0.35">
      <c r="A707">
        <v>1001</v>
      </c>
      <c r="B707" t="s">
        <v>55</v>
      </c>
      <c r="C707" s="1">
        <v>45189.257071759261</v>
      </c>
      <c r="D707" t="str">
        <f ca="1">VLOOKUP(qry_ProdData2_PDI_Cash_Exception_Application[[#This Row],[TYPE]],#REF!,2,FALSE)</f>
        <v>type40</v>
      </c>
      <c r="E707">
        <v>-341.56</v>
      </c>
      <c r="F707" t="s">
        <v>47</v>
      </c>
      <c r="G707" s="1">
        <f>qry_ProdData2_PDI_Cash_Exception_Application[[#This Row],[INSERT DATE]]+2</f>
        <v>45191.257071759261</v>
      </c>
      <c r="H707" t="str">
        <f>VLOOKUP(qry_ProdData2_PDI_Cash_Exception_Application[[#This Row],[MARKET No]],'Site Allocation'!$B$2:$C$37,2,FALSE)</f>
        <v>Analyst1</v>
      </c>
      <c r="I707" s="4">
        <f t="shared" ca="1" si="11"/>
        <v>45203</v>
      </c>
      <c r="J707" s="42">
        <f ca="1">TODAY()-qry_ProdData2_PDI_Cash_Exception_Application[[#This Row],[INSERT DATE]]</f>
        <v>13.742928240739275</v>
      </c>
      <c r="K7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07">
        <f ca="1">qry_ProdData2_PDI_Cash_Exception_Application[[#This Row],[TODAY]]-qry_ProdData2_PDI_Cash_Exception_Application[[#This Row],[CHANGED ON]]</f>
        <v>11.742928240739275</v>
      </c>
      <c r="M707">
        <f ca="1">qry_ProdData2_PDI_Cash_Exception_Application[[#This Row],[TODAY]]-qry_ProdData2_PDI_Cash_Exception_Application[[#This Row],[CHANGED ON]]</f>
        <v>11.742928240739275</v>
      </c>
      <c r="N707">
        <f ca="1">qry_ProdData2_PDI_Cash_Exception_Application[[#This Row],[TODAY]]-qry_ProdData2_PDI_Cash_Exception_Application[[#This Row],[CHANGED ON]]</f>
        <v>11.742928240739275</v>
      </c>
    </row>
    <row r="708" spans="1:14" x14ac:dyDescent="0.35">
      <c r="A708">
        <v>1023</v>
      </c>
      <c r="B708" t="s">
        <v>77</v>
      </c>
      <c r="C708" s="1">
        <v>45180.257071759261</v>
      </c>
      <c r="D708" t="str">
        <f ca="1">VLOOKUP(qry_ProdData2_PDI_Cash_Exception_Application[[#This Row],[TYPE]],#REF!,2,FALSE)</f>
        <v>type7</v>
      </c>
      <c r="E708">
        <v>-1317.19</v>
      </c>
      <c r="F708" t="s">
        <v>51</v>
      </c>
      <c r="G708" s="1">
        <f>qry_ProdData2_PDI_Cash_Exception_Application[[#This Row],[INSERT DATE]]+5</f>
        <v>45185.257071759261</v>
      </c>
      <c r="H708" t="str">
        <f>VLOOKUP(qry_ProdData2_PDI_Cash_Exception_Application[[#This Row],[MARKET No]],'Site Allocation'!$B$2:$C$37,2,FALSE)</f>
        <v>Analyst4</v>
      </c>
      <c r="I708" s="4">
        <f t="shared" ca="1" si="11"/>
        <v>45203</v>
      </c>
      <c r="J708" s="42">
        <f ca="1">TODAY()-qry_ProdData2_PDI_Cash_Exception_Application[[#This Row],[INSERT DATE]]</f>
        <v>22.742928240739275</v>
      </c>
      <c r="K7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08">
        <f ca="1">qry_ProdData2_PDI_Cash_Exception_Application[[#This Row],[TODAY]]-qry_ProdData2_PDI_Cash_Exception_Application[[#This Row],[CHANGED ON]]</f>
        <v>17.742928240739275</v>
      </c>
      <c r="M708">
        <f ca="1">qry_ProdData2_PDI_Cash_Exception_Application[[#This Row],[TODAY]]-qry_ProdData2_PDI_Cash_Exception_Application[[#This Row],[CHANGED ON]]</f>
        <v>17.742928240739275</v>
      </c>
      <c r="N708">
        <f ca="1">qry_ProdData2_PDI_Cash_Exception_Application[[#This Row],[TODAY]]-qry_ProdData2_PDI_Cash_Exception_Application[[#This Row],[CHANGED ON]]</f>
        <v>17.742928240739275</v>
      </c>
    </row>
    <row r="709" spans="1:14" x14ac:dyDescent="0.35">
      <c r="A709">
        <v>1008</v>
      </c>
      <c r="B709" t="s">
        <v>62</v>
      </c>
      <c r="C709" s="1">
        <v>45180.257071759261</v>
      </c>
      <c r="D709" t="str">
        <f ca="1">VLOOKUP(qry_ProdData2_PDI_Cash_Exception_Application[[#This Row],[TYPE]],#REF!,2,FALSE)</f>
        <v>type40</v>
      </c>
      <c r="E709">
        <v>1314.74</v>
      </c>
      <c r="F709" t="s">
        <v>50</v>
      </c>
      <c r="G709" s="1">
        <f>qry_ProdData2_PDI_Cash_Exception_Application[[#This Row],[INSERT DATE]]+2</f>
        <v>45182.257071759261</v>
      </c>
      <c r="H709" t="str">
        <f>VLOOKUP(qry_ProdData2_PDI_Cash_Exception_Application[[#This Row],[MARKET No]],'Site Allocation'!$B$2:$C$37,2,FALSE)</f>
        <v>Analyst2</v>
      </c>
      <c r="I709" s="4">
        <f t="shared" ca="1" si="11"/>
        <v>45203</v>
      </c>
      <c r="J709" s="42">
        <f ca="1">TODAY()-qry_ProdData2_PDI_Cash_Exception_Application[[#This Row],[INSERT DATE]]</f>
        <v>22.742928240739275</v>
      </c>
      <c r="K7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09">
        <f ca="1">qry_ProdData2_PDI_Cash_Exception_Application[[#This Row],[TODAY]]-qry_ProdData2_PDI_Cash_Exception_Application[[#This Row],[CHANGED ON]]</f>
        <v>20.742928240739275</v>
      </c>
      <c r="M709">
        <f ca="1">qry_ProdData2_PDI_Cash_Exception_Application[[#This Row],[TODAY]]-qry_ProdData2_PDI_Cash_Exception_Application[[#This Row],[CHANGED ON]]</f>
        <v>20.742928240739275</v>
      </c>
      <c r="N709">
        <f ca="1">qry_ProdData2_PDI_Cash_Exception_Application[[#This Row],[TODAY]]-qry_ProdData2_PDI_Cash_Exception_Application[[#This Row],[CHANGED ON]]</f>
        <v>20.742928240739275</v>
      </c>
    </row>
    <row r="710" spans="1:14" x14ac:dyDescent="0.35">
      <c r="A710">
        <v>1030</v>
      </c>
      <c r="B710" t="s">
        <v>84</v>
      </c>
      <c r="C710" s="1">
        <v>45190.257071759261</v>
      </c>
      <c r="D710" t="str">
        <f ca="1">VLOOKUP(qry_ProdData2_PDI_Cash_Exception_Application[[#This Row],[TYPE]],#REF!,2,FALSE)</f>
        <v>type40</v>
      </c>
      <c r="E710">
        <v>399.41</v>
      </c>
      <c r="F710" t="s">
        <v>47</v>
      </c>
      <c r="G710" s="1">
        <f>qry_ProdData2_PDI_Cash_Exception_Application[[#This Row],[INSERT DATE]]+2</f>
        <v>45192.257071759261</v>
      </c>
      <c r="H710" t="str">
        <f>VLOOKUP(qry_ProdData2_PDI_Cash_Exception_Application[[#This Row],[MARKET No]],'Site Allocation'!$B$2:$C$37,2,FALSE)</f>
        <v>Analyst6</v>
      </c>
      <c r="I710" s="4">
        <f t="shared" ca="1" si="11"/>
        <v>45203</v>
      </c>
      <c r="J710" s="42">
        <f ca="1">TODAY()-qry_ProdData2_PDI_Cash_Exception_Application[[#This Row],[INSERT DATE]]</f>
        <v>12.742928240739275</v>
      </c>
      <c r="K7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10">
        <f ca="1">qry_ProdData2_PDI_Cash_Exception_Application[[#This Row],[TODAY]]-qry_ProdData2_PDI_Cash_Exception_Application[[#This Row],[CHANGED ON]]</f>
        <v>10.742928240739275</v>
      </c>
      <c r="M710">
        <f ca="1">qry_ProdData2_PDI_Cash_Exception_Application[[#This Row],[TODAY]]-qry_ProdData2_PDI_Cash_Exception_Application[[#This Row],[CHANGED ON]]</f>
        <v>10.742928240739275</v>
      </c>
      <c r="N710">
        <f ca="1">qry_ProdData2_PDI_Cash_Exception_Application[[#This Row],[TODAY]]-qry_ProdData2_PDI_Cash_Exception_Application[[#This Row],[CHANGED ON]]</f>
        <v>10.742928240739275</v>
      </c>
    </row>
    <row r="711" spans="1:14" x14ac:dyDescent="0.35">
      <c r="A711">
        <v>1034</v>
      </c>
      <c r="B711" t="s">
        <v>88</v>
      </c>
      <c r="C711" s="1">
        <v>45181.257071759261</v>
      </c>
      <c r="D711" t="str">
        <f ca="1">VLOOKUP(qry_ProdData2_PDI_Cash_Exception_Application[[#This Row],[TYPE]],#REF!,2,FALSE)</f>
        <v>type40</v>
      </c>
      <c r="E711">
        <v>50</v>
      </c>
      <c r="F711" t="s">
        <v>49</v>
      </c>
      <c r="G711" s="1">
        <f>qry_ProdData2_PDI_Cash_Exception_Application[[#This Row],[INSERT DATE]]+5</f>
        <v>45186.257071759261</v>
      </c>
      <c r="H711" t="str">
        <f>VLOOKUP(qry_ProdData2_PDI_Cash_Exception_Application[[#This Row],[MARKET No]],'Site Allocation'!$B$2:$C$37,2,FALSE)</f>
        <v>Analyst6</v>
      </c>
      <c r="I711" s="4">
        <f t="shared" ca="1" si="11"/>
        <v>45203</v>
      </c>
      <c r="J711" s="42">
        <f ca="1">TODAY()-qry_ProdData2_PDI_Cash_Exception_Application[[#This Row],[INSERT DATE]]</f>
        <v>21.742928240739275</v>
      </c>
      <c r="K7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11">
        <f ca="1">qry_ProdData2_PDI_Cash_Exception_Application[[#This Row],[TODAY]]-qry_ProdData2_PDI_Cash_Exception_Application[[#This Row],[CHANGED ON]]</f>
        <v>16.742928240739275</v>
      </c>
      <c r="M711">
        <f ca="1">qry_ProdData2_PDI_Cash_Exception_Application[[#This Row],[TODAY]]-qry_ProdData2_PDI_Cash_Exception_Application[[#This Row],[CHANGED ON]]</f>
        <v>16.742928240739275</v>
      </c>
      <c r="N711">
        <f ca="1">qry_ProdData2_PDI_Cash_Exception_Application[[#This Row],[TODAY]]-qry_ProdData2_PDI_Cash_Exception_Application[[#This Row],[CHANGED ON]]</f>
        <v>16.742928240739275</v>
      </c>
    </row>
    <row r="712" spans="1:14" x14ac:dyDescent="0.35">
      <c r="A712">
        <v>1000</v>
      </c>
      <c r="B712" t="s">
        <v>54</v>
      </c>
      <c r="C712" s="1">
        <v>45183.257071759261</v>
      </c>
      <c r="D712" t="str">
        <f ca="1">VLOOKUP(qry_ProdData2_PDI_Cash_Exception_Application[[#This Row],[TYPE]],#REF!,2,FALSE)</f>
        <v>type40</v>
      </c>
      <c r="E712">
        <v>389.14</v>
      </c>
      <c r="F712" t="s">
        <v>49</v>
      </c>
      <c r="G712" s="1">
        <f>qry_ProdData2_PDI_Cash_Exception_Application[[#This Row],[INSERT DATE]]+5</f>
        <v>45188.257071759261</v>
      </c>
      <c r="H712" t="str">
        <f>VLOOKUP(qry_ProdData2_PDI_Cash_Exception_Application[[#This Row],[MARKET No]],'Site Allocation'!$B$2:$C$37,2,FALSE)</f>
        <v>Analyst1</v>
      </c>
      <c r="I712" s="4">
        <f t="shared" ca="1" si="11"/>
        <v>45203</v>
      </c>
      <c r="J712" s="42">
        <f ca="1">TODAY()-qry_ProdData2_PDI_Cash_Exception_Application[[#This Row],[INSERT DATE]]</f>
        <v>19.742928240739275</v>
      </c>
      <c r="K7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12">
        <f ca="1">qry_ProdData2_PDI_Cash_Exception_Application[[#This Row],[TODAY]]-qry_ProdData2_PDI_Cash_Exception_Application[[#This Row],[CHANGED ON]]</f>
        <v>14.742928240739275</v>
      </c>
      <c r="M712">
        <f ca="1">qry_ProdData2_PDI_Cash_Exception_Application[[#This Row],[TODAY]]-qry_ProdData2_PDI_Cash_Exception_Application[[#This Row],[CHANGED ON]]</f>
        <v>14.742928240739275</v>
      </c>
      <c r="N712">
        <f ca="1">qry_ProdData2_PDI_Cash_Exception_Application[[#This Row],[TODAY]]-qry_ProdData2_PDI_Cash_Exception_Application[[#This Row],[CHANGED ON]]</f>
        <v>14.742928240739275</v>
      </c>
    </row>
    <row r="713" spans="1:14" x14ac:dyDescent="0.35">
      <c r="A713">
        <v>1012</v>
      </c>
      <c r="B713" t="s">
        <v>66</v>
      </c>
      <c r="C713" s="1">
        <v>45186.257071759261</v>
      </c>
      <c r="D713" t="str">
        <f ca="1">VLOOKUP(qry_ProdData2_PDI_Cash_Exception_Application[[#This Row],[TYPE]],#REF!,2,FALSE)</f>
        <v>type40</v>
      </c>
      <c r="E713">
        <v>3088.68</v>
      </c>
      <c r="F713" t="s">
        <v>49</v>
      </c>
      <c r="G713" s="1">
        <f>qry_ProdData2_PDI_Cash_Exception_Application[[#This Row],[INSERT DATE]]+7</f>
        <v>45193.257071759261</v>
      </c>
      <c r="H713" t="str">
        <f>VLOOKUP(qry_ProdData2_PDI_Cash_Exception_Application[[#This Row],[MARKET No]],'Site Allocation'!$B$2:$C$37,2,FALSE)</f>
        <v>Analyst3</v>
      </c>
      <c r="I713" s="4">
        <f t="shared" ca="1" si="11"/>
        <v>45203</v>
      </c>
      <c r="J713" s="42">
        <f ca="1">TODAY()-qry_ProdData2_PDI_Cash_Exception_Application[[#This Row],[INSERT DATE]]</f>
        <v>16.742928240739275</v>
      </c>
      <c r="K7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13">
        <f ca="1">qry_ProdData2_PDI_Cash_Exception_Application[[#This Row],[TODAY]]-qry_ProdData2_PDI_Cash_Exception_Application[[#This Row],[CHANGED ON]]</f>
        <v>9.7429282407392748</v>
      </c>
      <c r="M713">
        <f ca="1">qry_ProdData2_PDI_Cash_Exception_Application[[#This Row],[TODAY]]-qry_ProdData2_PDI_Cash_Exception_Application[[#This Row],[CHANGED ON]]</f>
        <v>9.7429282407392748</v>
      </c>
      <c r="N713">
        <f ca="1">qry_ProdData2_PDI_Cash_Exception_Application[[#This Row],[TODAY]]-qry_ProdData2_PDI_Cash_Exception_Application[[#This Row],[CHANGED ON]]</f>
        <v>9.7429282407392748</v>
      </c>
    </row>
    <row r="714" spans="1:14" x14ac:dyDescent="0.35">
      <c r="A714">
        <v>1032</v>
      </c>
      <c r="B714" t="s">
        <v>86</v>
      </c>
      <c r="C714" s="1">
        <v>45187.257071759261</v>
      </c>
      <c r="D714" t="str">
        <f ca="1">VLOOKUP(qry_ProdData2_PDI_Cash_Exception_Application[[#This Row],[TYPE]],#REF!,2,FALSE)</f>
        <v>type40</v>
      </c>
      <c r="E714">
        <v>-910.22</v>
      </c>
      <c r="F714" t="s">
        <v>51</v>
      </c>
      <c r="G714" s="1">
        <f>qry_ProdData2_PDI_Cash_Exception_Application[[#This Row],[INSERT DATE]]+7</f>
        <v>45194.257071759261</v>
      </c>
      <c r="H714" t="str">
        <f>VLOOKUP(qry_ProdData2_PDI_Cash_Exception_Application[[#This Row],[MARKET No]],'Site Allocation'!$B$2:$C$37,2,FALSE)</f>
        <v>Analyst6</v>
      </c>
      <c r="I714" s="4">
        <f t="shared" ca="1" si="11"/>
        <v>45203</v>
      </c>
      <c r="J714" s="42">
        <f ca="1">TODAY()-qry_ProdData2_PDI_Cash_Exception_Application[[#This Row],[INSERT DATE]]</f>
        <v>15.742928240739275</v>
      </c>
      <c r="K7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14">
        <f ca="1">qry_ProdData2_PDI_Cash_Exception_Application[[#This Row],[TODAY]]-qry_ProdData2_PDI_Cash_Exception_Application[[#This Row],[CHANGED ON]]</f>
        <v>8.7429282407392748</v>
      </c>
      <c r="M714">
        <f ca="1">qry_ProdData2_PDI_Cash_Exception_Application[[#This Row],[TODAY]]-qry_ProdData2_PDI_Cash_Exception_Application[[#This Row],[CHANGED ON]]</f>
        <v>8.7429282407392748</v>
      </c>
      <c r="N714">
        <f ca="1">qry_ProdData2_PDI_Cash_Exception_Application[[#This Row],[TODAY]]-qry_ProdData2_PDI_Cash_Exception_Application[[#This Row],[CHANGED ON]]</f>
        <v>8.7429282407392748</v>
      </c>
    </row>
    <row r="715" spans="1:14" x14ac:dyDescent="0.35">
      <c r="A715">
        <v>1004</v>
      </c>
      <c r="B715" t="s">
        <v>58</v>
      </c>
      <c r="C715" s="1">
        <v>45186.257071759261</v>
      </c>
      <c r="D715" t="str">
        <f ca="1">VLOOKUP(qry_ProdData2_PDI_Cash_Exception_Application[[#This Row],[TYPE]],#REF!,2,FALSE)</f>
        <v>type40</v>
      </c>
      <c r="E715">
        <v>-975.03</v>
      </c>
      <c r="F715" t="s">
        <v>51</v>
      </c>
      <c r="G715" s="1">
        <f>qry_ProdData2_PDI_Cash_Exception_Application[[#This Row],[INSERT DATE]]+1</f>
        <v>45187.257071759261</v>
      </c>
      <c r="H715" t="str">
        <f>VLOOKUP(qry_ProdData2_PDI_Cash_Exception_Application[[#This Row],[MARKET No]],'Site Allocation'!$B$2:$C$37,2,FALSE)</f>
        <v>Analyst1</v>
      </c>
      <c r="I715" s="4">
        <f t="shared" ca="1" si="11"/>
        <v>45203</v>
      </c>
      <c r="J715" s="42">
        <f ca="1">TODAY()-qry_ProdData2_PDI_Cash_Exception_Application[[#This Row],[INSERT DATE]]</f>
        <v>16.742928240739275</v>
      </c>
      <c r="K7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15">
        <f ca="1">qry_ProdData2_PDI_Cash_Exception_Application[[#This Row],[TODAY]]-qry_ProdData2_PDI_Cash_Exception_Application[[#This Row],[CHANGED ON]]</f>
        <v>15.742928240739275</v>
      </c>
      <c r="M715">
        <f ca="1">qry_ProdData2_PDI_Cash_Exception_Application[[#This Row],[TODAY]]-qry_ProdData2_PDI_Cash_Exception_Application[[#This Row],[CHANGED ON]]</f>
        <v>15.742928240739275</v>
      </c>
      <c r="N715">
        <f ca="1">qry_ProdData2_PDI_Cash_Exception_Application[[#This Row],[TODAY]]-qry_ProdData2_PDI_Cash_Exception_Application[[#This Row],[CHANGED ON]]</f>
        <v>15.742928240739275</v>
      </c>
    </row>
    <row r="716" spans="1:14" x14ac:dyDescent="0.35">
      <c r="A716">
        <v>1001</v>
      </c>
      <c r="B716" t="s">
        <v>55</v>
      </c>
      <c r="C716" s="1">
        <v>45186.257071759261</v>
      </c>
      <c r="D716" t="str">
        <f ca="1">VLOOKUP(qry_ProdData2_PDI_Cash_Exception_Application[[#This Row],[TYPE]],#REF!,2,FALSE)</f>
        <v>type40</v>
      </c>
      <c r="E716">
        <v>477.63</v>
      </c>
      <c r="F716" t="s">
        <v>47</v>
      </c>
      <c r="G716" s="1">
        <f>qry_ProdData2_PDI_Cash_Exception_Application[[#This Row],[INSERT DATE]]+7</f>
        <v>45193.257071759261</v>
      </c>
      <c r="H716" t="str">
        <f>VLOOKUP(qry_ProdData2_PDI_Cash_Exception_Application[[#This Row],[MARKET No]],'Site Allocation'!$B$2:$C$37,2,FALSE)</f>
        <v>Analyst1</v>
      </c>
      <c r="I716" s="4">
        <f t="shared" ca="1" si="11"/>
        <v>45203</v>
      </c>
      <c r="J716" s="42">
        <f ca="1">TODAY()-qry_ProdData2_PDI_Cash_Exception_Application[[#This Row],[INSERT DATE]]</f>
        <v>16.742928240739275</v>
      </c>
      <c r="K7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16">
        <f ca="1">qry_ProdData2_PDI_Cash_Exception_Application[[#This Row],[TODAY]]-qry_ProdData2_PDI_Cash_Exception_Application[[#This Row],[CHANGED ON]]</f>
        <v>9.7429282407392748</v>
      </c>
      <c r="M716">
        <f ca="1">qry_ProdData2_PDI_Cash_Exception_Application[[#This Row],[TODAY]]-qry_ProdData2_PDI_Cash_Exception_Application[[#This Row],[CHANGED ON]]</f>
        <v>9.7429282407392748</v>
      </c>
      <c r="N716">
        <f ca="1">qry_ProdData2_PDI_Cash_Exception_Application[[#This Row],[TODAY]]-qry_ProdData2_PDI_Cash_Exception_Application[[#This Row],[CHANGED ON]]</f>
        <v>9.7429282407392748</v>
      </c>
    </row>
    <row r="717" spans="1:14" x14ac:dyDescent="0.35">
      <c r="A717">
        <v>1007</v>
      </c>
      <c r="B717" t="s">
        <v>61</v>
      </c>
      <c r="C717" s="1">
        <v>45188.257071759261</v>
      </c>
      <c r="D717" t="str">
        <f ca="1">VLOOKUP(qry_ProdData2_PDI_Cash_Exception_Application[[#This Row],[TYPE]],#REF!,2,FALSE)</f>
        <v>type40</v>
      </c>
      <c r="E717">
        <v>503.38</v>
      </c>
      <c r="F717" t="s">
        <v>47</v>
      </c>
      <c r="G717" s="1">
        <f>qry_ProdData2_PDI_Cash_Exception_Application[[#This Row],[INSERT DATE]]+7</f>
        <v>45195.257071759261</v>
      </c>
      <c r="H717" t="str">
        <f>VLOOKUP(qry_ProdData2_PDI_Cash_Exception_Application[[#This Row],[MARKET No]],'Site Allocation'!$B$2:$C$37,2,FALSE)</f>
        <v>Analyst2</v>
      </c>
      <c r="I717" s="4">
        <f t="shared" ca="1" si="11"/>
        <v>45203</v>
      </c>
      <c r="J717" s="42">
        <f ca="1">TODAY()-qry_ProdData2_PDI_Cash_Exception_Application[[#This Row],[INSERT DATE]]</f>
        <v>14.742928240739275</v>
      </c>
      <c r="K7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17">
        <f ca="1">qry_ProdData2_PDI_Cash_Exception_Application[[#This Row],[TODAY]]-qry_ProdData2_PDI_Cash_Exception_Application[[#This Row],[CHANGED ON]]</f>
        <v>7.7429282407392748</v>
      </c>
      <c r="M717">
        <f ca="1">qry_ProdData2_PDI_Cash_Exception_Application[[#This Row],[TODAY]]-qry_ProdData2_PDI_Cash_Exception_Application[[#This Row],[CHANGED ON]]</f>
        <v>7.7429282407392748</v>
      </c>
      <c r="N717">
        <f ca="1">qry_ProdData2_PDI_Cash_Exception_Application[[#This Row],[TODAY]]-qry_ProdData2_PDI_Cash_Exception_Application[[#This Row],[CHANGED ON]]</f>
        <v>7.7429282407392748</v>
      </c>
    </row>
    <row r="718" spans="1:14" x14ac:dyDescent="0.35">
      <c r="A718">
        <v>1022</v>
      </c>
      <c r="B718" t="s">
        <v>76</v>
      </c>
      <c r="C718" s="1">
        <v>45189.257071759261</v>
      </c>
      <c r="D718" t="str">
        <f ca="1">VLOOKUP(qry_ProdData2_PDI_Cash_Exception_Application[[#This Row],[TYPE]],#REF!,2,FALSE)</f>
        <v>type40</v>
      </c>
      <c r="E718">
        <v>961.75</v>
      </c>
      <c r="F718" t="s">
        <v>49</v>
      </c>
      <c r="G718" s="1">
        <f>qry_ProdData2_PDI_Cash_Exception_Application[[#This Row],[INSERT DATE]]+7</f>
        <v>45196.257071759261</v>
      </c>
      <c r="H718" t="str">
        <f>VLOOKUP(qry_ProdData2_PDI_Cash_Exception_Application[[#This Row],[MARKET No]],'Site Allocation'!$B$2:$C$37,2,FALSE)</f>
        <v>Analyst4</v>
      </c>
      <c r="I718" s="4">
        <f t="shared" ca="1" si="11"/>
        <v>45203</v>
      </c>
      <c r="J718" s="42">
        <f ca="1">TODAY()-qry_ProdData2_PDI_Cash_Exception_Application[[#This Row],[INSERT DATE]]</f>
        <v>13.742928240739275</v>
      </c>
      <c r="K7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18">
        <f ca="1">qry_ProdData2_PDI_Cash_Exception_Application[[#This Row],[TODAY]]-qry_ProdData2_PDI_Cash_Exception_Application[[#This Row],[CHANGED ON]]</f>
        <v>6.7429282407392748</v>
      </c>
      <c r="M718">
        <f ca="1">qry_ProdData2_PDI_Cash_Exception_Application[[#This Row],[TODAY]]-qry_ProdData2_PDI_Cash_Exception_Application[[#This Row],[CHANGED ON]]</f>
        <v>6.7429282407392748</v>
      </c>
      <c r="N718">
        <f ca="1">qry_ProdData2_PDI_Cash_Exception_Application[[#This Row],[TODAY]]-qry_ProdData2_PDI_Cash_Exception_Application[[#This Row],[CHANGED ON]]</f>
        <v>6.7429282407392748</v>
      </c>
    </row>
    <row r="719" spans="1:14" x14ac:dyDescent="0.35">
      <c r="A719">
        <v>1023</v>
      </c>
      <c r="B719" t="s">
        <v>77</v>
      </c>
      <c r="C719" s="1">
        <v>45189.257071759261</v>
      </c>
      <c r="D719" t="str">
        <f ca="1">VLOOKUP(qry_ProdData2_PDI_Cash_Exception_Application[[#This Row],[TYPE]],#REF!,2,FALSE)</f>
        <v>type21</v>
      </c>
      <c r="E719">
        <v>372.29</v>
      </c>
      <c r="F719" t="s">
        <v>47</v>
      </c>
      <c r="G719" s="1">
        <f>qry_ProdData2_PDI_Cash_Exception_Application[[#This Row],[INSERT DATE]]+7</f>
        <v>45196.257071759261</v>
      </c>
      <c r="H719" t="str">
        <f>VLOOKUP(qry_ProdData2_PDI_Cash_Exception_Application[[#This Row],[MARKET No]],'Site Allocation'!$B$2:$C$37,2,FALSE)</f>
        <v>Analyst4</v>
      </c>
      <c r="I719" s="4">
        <f t="shared" ca="1" si="11"/>
        <v>45203</v>
      </c>
      <c r="J719" s="42">
        <f ca="1">TODAY()-qry_ProdData2_PDI_Cash_Exception_Application[[#This Row],[INSERT DATE]]</f>
        <v>13.742928240739275</v>
      </c>
      <c r="K7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19">
        <f ca="1">qry_ProdData2_PDI_Cash_Exception_Application[[#This Row],[TODAY]]-qry_ProdData2_PDI_Cash_Exception_Application[[#This Row],[CHANGED ON]]</f>
        <v>6.7429282407392748</v>
      </c>
      <c r="M719">
        <f ca="1">qry_ProdData2_PDI_Cash_Exception_Application[[#This Row],[TODAY]]-qry_ProdData2_PDI_Cash_Exception_Application[[#This Row],[CHANGED ON]]</f>
        <v>6.7429282407392748</v>
      </c>
      <c r="N719">
        <f ca="1">qry_ProdData2_PDI_Cash_Exception_Application[[#This Row],[TODAY]]-qry_ProdData2_PDI_Cash_Exception_Application[[#This Row],[CHANGED ON]]</f>
        <v>6.7429282407392748</v>
      </c>
    </row>
    <row r="720" spans="1:14" x14ac:dyDescent="0.35">
      <c r="A720">
        <v>1023</v>
      </c>
      <c r="B720" t="s">
        <v>77</v>
      </c>
      <c r="C720" s="1">
        <v>45181.257071759261</v>
      </c>
      <c r="D720" t="str">
        <f ca="1">VLOOKUP(qry_ProdData2_PDI_Cash_Exception_Application[[#This Row],[TYPE]],#REF!,2,FALSE)</f>
        <v>type8</v>
      </c>
      <c r="E720">
        <v>65.27</v>
      </c>
      <c r="F720" t="s">
        <v>47</v>
      </c>
      <c r="G720" s="1">
        <f>qry_ProdData2_PDI_Cash_Exception_Application[[#This Row],[INSERT DATE]]+7</f>
        <v>45188.257071759261</v>
      </c>
      <c r="H720" t="str">
        <f>VLOOKUP(qry_ProdData2_PDI_Cash_Exception_Application[[#This Row],[MARKET No]],'Site Allocation'!$B$2:$C$37,2,FALSE)</f>
        <v>Analyst4</v>
      </c>
      <c r="I720" s="4">
        <f t="shared" ca="1" si="11"/>
        <v>45203</v>
      </c>
      <c r="J720" s="42">
        <f ca="1">TODAY()-qry_ProdData2_PDI_Cash_Exception_Application[[#This Row],[INSERT DATE]]</f>
        <v>21.742928240739275</v>
      </c>
      <c r="K7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20">
        <f ca="1">qry_ProdData2_PDI_Cash_Exception_Application[[#This Row],[TODAY]]-qry_ProdData2_PDI_Cash_Exception_Application[[#This Row],[CHANGED ON]]</f>
        <v>14.742928240739275</v>
      </c>
      <c r="M720">
        <f ca="1">qry_ProdData2_PDI_Cash_Exception_Application[[#This Row],[TODAY]]-qry_ProdData2_PDI_Cash_Exception_Application[[#This Row],[CHANGED ON]]</f>
        <v>14.742928240739275</v>
      </c>
      <c r="N720">
        <f ca="1">qry_ProdData2_PDI_Cash_Exception_Application[[#This Row],[TODAY]]-qry_ProdData2_PDI_Cash_Exception_Application[[#This Row],[CHANGED ON]]</f>
        <v>14.742928240739275</v>
      </c>
    </row>
    <row r="721" spans="1:14" x14ac:dyDescent="0.35">
      <c r="A721">
        <v>1004</v>
      </c>
      <c r="B721" t="s">
        <v>58</v>
      </c>
      <c r="C721" s="1">
        <v>45187.257071759261</v>
      </c>
      <c r="D721" t="str">
        <f ca="1">VLOOKUP(qry_ProdData2_PDI_Cash_Exception_Application[[#This Row],[TYPE]],#REF!,2,FALSE)</f>
        <v>type19</v>
      </c>
      <c r="E721">
        <v>494.37</v>
      </c>
      <c r="F721" t="s">
        <v>50</v>
      </c>
      <c r="G721" s="1">
        <f>qry_ProdData2_PDI_Cash_Exception_Application[[#This Row],[INSERT DATE]]+2</f>
        <v>45189.257071759261</v>
      </c>
      <c r="H721" t="str">
        <f>VLOOKUP(qry_ProdData2_PDI_Cash_Exception_Application[[#This Row],[MARKET No]],'Site Allocation'!$B$2:$C$37,2,FALSE)</f>
        <v>Analyst1</v>
      </c>
      <c r="I721" s="4">
        <f t="shared" ca="1" si="11"/>
        <v>45203</v>
      </c>
      <c r="J721" s="42">
        <f ca="1">TODAY()-qry_ProdData2_PDI_Cash_Exception_Application[[#This Row],[INSERT DATE]]</f>
        <v>15.742928240739275</v>
      </c>
      <c r="K7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21">
        <f ca="1">qry_ProdData2_PDI_Cash_Exception_Application[[#This Row],[TODAY]]-qry_ProdData2_PDI_Cash_Exception_Application[[#This Row],[CHANGED ON]]</f>
        <v>13.742928240739275</v>
      </c>
      <c r="M721">
        <f ca="1">qry_ProdData2_PDI_Cash_Exception_Application[[#This Row],[TODAY]]-qry_ProdData2_PDI_Cash_Exception_Application[[#This Row],[CHANGED ON]]</f>
        <v>13.742928240739275</v>
      </c>
      <c r="N721">
        <f ca="1">qry_ProdData2_PDI_Cash_Exception_Application[[#This Row],[TODAY]]-qry_ProdData2_PDI_Cash_Exception_Application[[#This Row],[CHANGED ON]]</f>
        <v>13.742928240739275</v>
      </c>
    </row>
    <row r="722" spans="1:14" x14ac:dyDescent="0.35">
      <c r="A722">
        <v>1027</v>
      </c>
      <c r="B722" t="s">
        <v>81</v>
      </c>
      <c r="C722" s="1">
        <v>45190.257071759261</v>
      </c>
      <c r="D722" t="str">
        <f ca="1">VLOOKUP(qry_ProdData2_PDI_Cash_Exception_Application[[#This Row],[TYPE]],#REF!,2,FALSE)</f>
        <v>type13</v>
      </c>
      <c r="E722">
        <v>22921.83</v>
      </c>
      <c r="F722" t="s">
        <v>49</v>
      </c>
      <c r="G722" s="1">
        <f>qry_ProdData2_PDI_Cash_Exception_Application[[#This Row],[INSERT DATE]]+7</f>
        <v>45197.257071759261</v>
      </c>
      <c r="H722" t="str">
        <f>VLOOKUP(qry_ProdData2_PDI_Cash_Exception_Application[[#This Row],[MARKET No]],'Site Allocation'!$B$2:$C$37,2,FALSE)</f>
        <v>Analyst5</v>
      </c>
      <c r="I722" s="4">
        <f t="shared" ca="1" si="11"/>
        <v>45203</v>
      </c>
      <c r="J722" s="42">
        <f ca="1">TODAY()-qry_ProdData2_PDI_Cash_Exception_Application[[#This Row],[INSERT DATE]]</f>
        <v>12.742928240739275</v>
      </c>
      <c r="K7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22">
        <f ca="1">qry_ProdData2_PDI_Cash_Exception_Application[[#This Row],[TODAY]]-qry_ProdData2_PDI_Cash_Exception_Application[[#This Row],[CHANGED ON]]</f>
        <v>5.7429282407392748</v>
      </c>
      <c r="M722">
        <f ca="1">qry_ProdData2_PDI_Cash_Exception_Application[[#This Row],[TODAY]]-qry_ProdData2_PDI_Cash_Exception_Application[[#This Row],[CHANGED ON]]</f>
        <v>5.7429282407392748</v>
      </c>
      <c r="N722">
        <f ca="1">qry_ProdData2_PDI_Cash_Exception_Application[[#This Row],[TODAY]]-qry_ProdData2_PDI_Cash_Exception_Application[[#This Row],[CHANGED ON]]</f>
        <v>5.7429282407392748</v>
      </c>
    </row>
    <row r="723" spans="1:14" x14ac:dyDescent="0.35">
      <c r="A723">
        <v>1013</v>
      </c>
      <c r="B723" t="s">
        <v>67</v>
      </c>
      <c r="C723" s="1">
        <v>45179.257071759261</v>
      </c>
      <c r="D723" t="str">
        <f ca="1">VLOOKUP(qry_ProdData2_PDI_Cash_Exception_Application[[#This Row],[TYPE]],#REF!,2,FALSE)</f>
        <v>type40</v>
      </c>
      <c r="E723">
        <v>30</v>
      </c>
      <c r="F723" t="s">
        <v>49</v>
      </c>
      <c r="G723" s="1">
        <f>qry_ProdData2_PDI_Cash_Exception_Application[[#This Row],[INSERT DATE]]+1</f>
        <v>45180.257071759261</v>
      </c>
      <c r="H723" t="str">
        <f>VLOOKUP(qry_ProdData2_PDI_Cash_Exception_Application[[#This Row],[MARKET No]],'Site Allocation'!$B$2:$C$37,2,FALSE)</f>
        <v>Analyst3</v>
      </c>
      <c r="I723" s="4">
        <f t="shared" ca="1" si="11"/>
        <v>45203</v>
      </c>
      <c r="J723" s="42">
        <f ca="1">TODAY()-qry_ProdData2_PDI_Cash_Exception_Application[[#This Row],[INSERT DATE]]</f>
        <v>23.742928240739275</v>
      </c>
      <c r="K7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23">
        <f ca="1">qry_ProdData2_PDI_Cash_Exception_Application[[#This Row],[TODAY]]-qry_ProdData2_PDI_Cash_Exception_Application[[#This Row],[CHANGED ON]]</f>
        <v>22.742928240739275</v>
      </c>
      <c r="M723">
        <f ca="1">qry_ProdData2_PDI_Cash_Exception_Application[[#This Row],[TODAY]]-qry_ProdData2_PDI_Cash_Exception_Application[[#This Row],[CHANGED ON]]</f>
        <v>22.742928240739275</v>
      </c>
      <c r="N723">
        <f ca="1">qry_ProdData2_PDI_Cash_Exception_Application[[#This Row],[TODAY]]-qry_ProdData2_PDI_Cash_Exception_Application[[#This Row],[CHANGED ON]]</f>
        <v>22.742928240739275</v>
      </c>
    </row>
    <row r="724" spans="1:14" x14ac:dyDescent="0.35">
      <c r="A724">
        <v>1032</v>
      </c>
      <c r="B724" t="s">
        <v>86</v>
      </c>
      <c r="C724" s="1">
        <v>45180.257071759261</v>
      </c>
      <c r="D724" t="str">
        <f ca="1">VLOOKUP(qry_ProdData2_PDI_Cash_Exception_Application[[#This Row],[TYPE]],#REF!,2,FALSE)</f>
        <v>type7</v>
      </c>
      <c r="E724">
        <v>-1374.46</v>
      </c>
      <c r="F724" t="s">
        <v>49</v>
      </c>
      <c r="G724" s="1">
        <f>qry_ProdData2_PDI_Cash_Exception_Application[[#This Row],[INSERT DATE]]+1</f>
        <v>45181.257071759261</v>
      </c>
      <c r="H724" t="str">
        <f>VLOOKUP(qry_ProdData2_PDI_Cash_Exception_Application[[#This Row],[MARKET No]],'Site Allocation'!$B$2:$C$37,2,FALSE)</f>
        <v>Analyst6</v>
      </c>
      <c r="I724" s="4">
        <f t="shared" ca="1" si="11"/>
        <v>45203</v>
      </c>
      <c r="J724" s="42">
        <f ca="1">TODAY()-qry_ProdData2_PDI_Cash_Exception_Application[[#This Row],[INSERT DATE]]</f>
        <v>22.742928240739275</v>
      </c>
      <c r="K7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24">
        <f ca="1">qry_ProdData2_PDI_Cash_Exception_Application[[#This Row],[TODAY]]-qry_ProdData2_PDI_Cash_Exception_Application[[#This Row],[CHANGED ON]]</f>
        <v>21.742928240739275</v>
      </c>
      <c r="M724">
        <f ca="1">qry_ProdData2_PDI_Cash_Exception_Application[[#This Row],[TODAY]]-qry_ProdData2_PDI_Cash_Exception_Application[[#This Row],[CHANGED ON]]</f>
        <v>21.742928240739275</v>
      </c>
      <c r="N724">
        <f ca="1">qry_ProdData2_PDI_Cash_Exception_Application[[#This Row],[TODAY]]-qry_ProdData2_PDI_Cash_Exception_Application[[#This Row],[CHANGED ON]]</f>
        <v>21.742928240739275</v>
      </c>
    </row>
    <row r="725" spans="1:14" x14ac:dyDescent="0.35">
      <c r="A725">
        <v>1034</v>
      </c>
      <c r="B725" t="s">
        <v>88</v>
      </c>
      <c r="C725" s="1">
        <v>45184.257071759261</v>
      </c>
      <c r="D725" t="str">
        <f ca="1">VLOOKUP(qry_ProdData2_PDI_Cash_Exception_Application[[#This Row],[TYPE]],#REF!,2,FALSE)</f>
        <v>type40</v>
      </c>
      <c r="E725">
        <v>-1175.52</v>
      </c>
      <c r="F725" t="s">
        <v>49</v>
      </c>
      <c r="G725" s="1">
        <f>qry_ProdData2_PDI_Cash_Exception_Application[[#This Row],[INSERT DATE]]+2</f>
        <v>45186.257071759261</v>
      </c>
      <c r="H725" t="str">
        <f>VLOOKUP(qry_ProdData2_PDI_Cash_Exception_Application[[#This Row],[MARKET No]],'Site Allocation'!$B$2:$C$37,2,FALSE)</f>
        <v>Analyst6</v>
      </c>
      <c r="I725" s="4">
        <f t="shared" ca="1" si="11"/>
        <v>45203</v>
      </c>
      <c r="J725" s="42">
        <f ca="1">TODAY()-qry_ProdData2_PDI_Cash_Exception_Application[[#This Row],[INSERT DATE]]</f>
        <v>18.742928240739275</v>
      </c>
      <c r="K7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25">
        <f ca="1">qry_ProdData2_PDI_Cash_Exception_Application[[#This Row],[TODAY]]-qry_ProdData2_PDI_Cash_Exception_Application[[#This Row],[CHANGED ON]]</f>
        <v>16.742928240739275</v>
      </c>
      <c r="M725">
        <f ca="1">qry_ProdData2_PDI_Cash_Exception_Application[[#This Row],[TODAY]]-qry_ProdData2_PDI_Cash_Exception_Application[[#This Row],[CHANGED ON]]</f>
        <v>16.742928240739275</v>
      </c>
      <c r="N725">
        <f ca="1">qry_ProdData2_PDI_Cash_Exception_Application[[#This Row],[TODAY]]-qry_ProdData2_PDI_Cash_Exception_Application[[#This Row],[CHANGED ON]]</f>
        <v>16.742928240739275</v>
      </c>
    </row>
    <row r="726" spans="1:14" x14ac:dyDescent="0.35">
      <c r="A726">
        <v>1012</v>
      </c>
      <c r="B726" t="s">
        <v>66</v>
      </c>
      <c r="C726" s="1">
        <v>45190.257071759261</v>
      </c>
      <c r="D726" t="str">
        <f ca="1">VLOOKUP(qry_ProdData2_PDI_Cash_Exception_Application[[#This Row],[TYPE]],#REF!,2,FALSE)</f>
        <v>type40</v>
      </c>
      <c r="E726">
        <v>-718.9</v>
      </c>
      <c r="F726" t="s">
        <v>50</v>
      </c>
      <c r="G726" s="1">
        <f>qry_ProdData2_PDI_Cash_Exception_Application[[#This Row],[INSERT DATE]]+2</f>
        <v>45192.257071759261</v>
      </c>
      <c r="H726" t="str">
        <f>VLOOKUP(qry_ProdData2_PDI_Cash_Exception_Application[[#This Row],[MARKET No]],'Site Allocation'!$B$2:$C$37,2,FALSE)</f>
        <v>Analyst3</v>
      </c>
      <c r="I726" s="4">
        <f t="shared" ca="1" si="11"/>
        <v>45203</v>
      </c>
      <c r="J726" s="42">
        <f ca="1">TODAY()-qry_ProdData2_PDI_Cash_Exception_Application[[#This Row],[INSERT DATE]]</f>
        <v>12.742928240739275</v>
      </c>
      <c r="K7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26">
        <f ca="1">qry_ProdData2_PDI_Cash_Exception_Application[[#This Row],[TODAY]]-qry_ProdData2_PDI_Cash_Exception_Application[[#This Row],[CHANGED ON]]</f>
        <v>10.742928240739275</v>
      </c>
      <c r="M726">
        <f ca="1">qry_ProdData2_PDI_Cash_Exception_Application[[#This Row],[TODAY]]-qry_ProdData2_PDI_Cash_Exception_Application[[#This Row],[CHANGED ON]]</f>
        <v>10.742928240739275</v>
      </c>
      <c r="N726">
        <f ca="1">qry_ProdData2_PDI_Cash_Exception_Application[[#This Row],[TODAY]]-qry_ProdData2_PDI_Cash_Exception_Application[[#This Row],[CHANGED ON]]</f>
        <v>10.742928240739275</v>
      </c>
    </row>
    <row r="727" spans="1:14" x14ac:dyDescent="0.35">
      <c r="A727">
        <v>1005</v>
      </c>
      <c r="B727" t="s">
        <v>59</v>
      </c>
      <c r="C727" s="1">
        <v>45191.257071759261</v>
      </c>
      <c r="D727" t="str">
        <f ca="1">VLOOKUP(qry_ProdData2_PDI_Cash_Exception_Application[[#This Row],[TYPE]],#REF!,2,FALSE)</f>
        <v>type40</v>
      </c>
      <c r="E727">
        <v>-401.02</v>
      </c>
      <c r="F727" t="s">
        <v>52</v>
      </c>
      <c r="G727" s="1">
        <f>qry_ProdData2_PDI_Cash_Exception_Application[[#This Row],[INSERT DATE]]+2</f>
        <v>45193.257071759261</v>
      </c>
      <c r="H727" t="str">
        <f>VLOOKUP(qry_ProdData2_PDI_Cash_Exception_Application[[#This Row],[MARKET No]],'Site Allocation'!$B$2:$C$37,2,FALSE)</f>
        <v>Analyst1</v>
      </c>
      <c r="I727" s="4">
        <f t="shared" ca="1" si="11"/>
        <v>45203</v>
      </c>
      <c r="J727" s="42">
        <f ca="1">TODAY()-qry_ProdData2_PDI_Cash_Exception_Application[[#This Row],[INSERT DATE]]</f>
        <v>11.742928240739275</v>
      </c>
      <c r="K7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27">
        <f ca="1">qry_ProdData2_PDI_Cash_Exception_Application[[#This Row],[TODAY]]-qry_ProdData2_PDI_Cash_Exception_Application[[#This Row],[CHANGED ON]]</f>
        <v>9.7429282407392748</v>
      </c>
      <c r="M727">
        <f ca="1">qry_ProdData2_PDI_Cash_Exception_Application[[#This Row],[TODAY]]-qry_ProdData2_PDI_Cash_Exception_Application[[#This Row],[CHANGED ON]]</f>
        <v>9.7429282407392748</v>
      </c>
      <c r="N727">
        <f ca="1">qry_ProdData2_PDI_Cash_Exception_Application[[#This Row],[TODAY]]-qry_ProdData2_PDI_Cash_Exception_Application[[#This Row],[CHANGED ON]]</f>
        <v>9.7429282407392748</v>
      </c>
    </row>
    <row r="728" spans="1:14" x14ac:dyDescent="0.35">
      <c r="A728">
        <v>1023</v>
      </c>
      <c r="B728" t="s">
        <v>77</v>
      </c>
      <c r="C728" s="1">
        <v>45187.257071759261</v>
      </c>
      <c r="D728" t="str">
        <f ca="1">VLOOKUP(qry_ProdData2_PDI_Cash_Exception_Application[[#This Row],[TYPE]],#REF!,2,FALSE)</f>
        <v>type7</v>
      </c>
      <c r="E728">
        <v>-1462.28</v>
      </c>
      <c r="F728" t="s">
        <v>51</v>
      </c>
      <c r="G728" s="1">
        <f>qry_ProdData2_PDI_Cash_Exception_Application[[#This Row],[INSERT DATE]]+1</f>
        <v>45188.257071759261</v>
      </c>
      <c r="H728" t="str">
        <f>VLOOKUP(qry_ProdData2_PDI_Cash_Exception_Application[[#This Row],[MARKET No]],'Site Allocation'!$B$2:$C$37,2,FALSE)</f>
        <v>Analyst4</v>
      </c>
      <c r="I728" s="4">
        <f t="shared" ca="1" si="11"/>
        <v>45203</v>
      </c>
      <c r="J728" s="42">
        <f ca="1">TODAY()-qry_ProdData2_PDI_Cash_Exception_Application[[#This Row],[INSERT DATE]]</f>
        <v>15.742928240739275</v>
      </c>
      <c r="K7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28">
        <f ca="1">qry_ProdData2_PDI_Cash_Exception_Application[[#This Row],[TODAY]]-qry_ProdData2_PDI_Cash_Exception_Application[[#This Row],[CHANGED ON]]</f>
        <v>14.742928240739275</v>
      </c>
      <c r="M728">
        <f ca="1">qry_ProdData2_PDI_Cash_Exception_Application[[#This Row],[TODAY]]-qry_ProdData2_PDI_Cash_Exception_Application[[#This Row],[CHANGED ON]]</f>
        <v>14.742928240739275</v>
      </c>
      <c r="N728">
        <f ca="1">qry_ProdData2_PDI_Cash_Exception_Application[[#This Row],[TODAY]]-qry_ProdData2_PDI_Cash_Exception_Application[[#This Row],[CHANGED ON]]</f>
        <v>14.742928240739275</v>
      </c>
    </row>
    <row r="729" spans="1:14" x14ac:dyDescent="0.35">
      <c r="A729">
        <v>1028</v>
      </c>
      <c r="B729" t="s">
        <v>82</v>
      </c>
      <c r="C729" s="1">
        <v>45182.257071759261</v>
      </c>
      <c r="D729" t="str">
        <f ca="1">VLOOKUP(qry_ProdData2_PDI_Cash_Exception_Application[[#This Row],[TYPE]],#REF!,2,FALSE)</f>
        <v>type13</v>
      </c>
      <c r="E729">
        <v>21634.63</v>
      </c>
      <c r="F729" t="s">
        <v>47</v>
      </c>
      <c r="G729" s="1">
        <f>qry_ProdData2_PDI_Cash_Exception_Application[[#This Row],[INSERT DATE]]+1</f>
        <v>45183.257071759261</v>
      </c>
      <c r="H729" t="str">
        <f>VLOOKUP(qry_ProdData2_PDI_Cash_Exception_Application[[#This Row],[MARKET No]],'Site Allocation'!$B$2:$C$37,2,FALSE)</f>
        <v>Analyst5</v>
      </c>
      <c r="I729" s="4">
        <f t="shared" ca="1" si="11"/>
        <v>45203</v>
      </c>
      <c r="J729" s="42">
        <f ca="1">TODAY()-qry_ProdData2_PDI_Cash_Exception_Application[[#This Row],[INSERT DATE]]</f>
        <v>20.742928240739275</v>
      </c>
      <c r="K7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29">
        <f ca="1">qry_ProdData2_PDI_Cash_Exception_Application[[#This Row],[TODAY]]-qry_ProdData2_PDI_Cash_Exception_Application[[#This Row],[CHANGED ON]]</f>
        <v>19.742928240739275</v>
      </c>
      <c r="M729">
        <f ca="1">qry_ProdData2_PDI_Cash_Exception_Application[[#This Row],[TODAY]]-qry_ProdData2_PDI_Cash_Exception_Application[[#This Row],[CHANGED ON]]</f>
        <v>19.742928240739275</v>
      </c>
      <c r="N729">
        <f ca="1">qry_ProdData2_PDI_Cash_Exception_Application[[#This Row],[TODAY]]-qry_ProdData2_PDI_Cash_Exception_Application[[#This Row],[CHANGED ON]]</f>
        <v>19.742928240739275</v>
      </c>
    </row>
    <row r="730" spans="1:14" x14ac:dyDescent="0.35">
      <c r="A730">
        <v>1017</v>
      </c>
      <c r="B730" t="s">
        <v>71</v>
      </c>
      <c r="C730" s="1">
        <v>45186.257071759261</v>
      </c>
      <c r="D730" t="str">
        <f ca="1">VLOOKUP(qry_ProdData2_PDI_Cash_Exception_Application[[#This Row],[TYPE]],#REF!,2,FALSE)</f>
        <v>type13</v>
      </c>
      <c r="E730">
        <v>26699.119999999999</v>
      </c>
      <c r="F730" t="s">
        <v>49</v>
      </c>
      <c r="G730" s="1">
        <f>qry_ProdData2_PDI_Cash_Exception_Application[[#This Row],[INSERT DATE]]+2</f>
        <v>45188.257071759261</v>
      </c>
      <c r="H730" t="str">
        <f>VLOOKUP(qry_ProdData2_PDI_Cash_Exception_Application[[#This Row],[MARKET No]],'Site Allocation'!$B$2:$C$37,2,FALSE)</f>
        <v>Analyst3</v>
      </c>
      <c r="I730" s="4">
        <f t="shared" ca="1" si="11"/>
        <v>45203</v>
      </c>
      <c r="J730" s="42">
        <f ca="1">TODAY()-qry_ProdData2_PDI_Cash_Exception_Application[[#This Row],[INSERT DATE]]</f>
        <v>16.742928240739275</v>
      </c>
      <c r="K7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30">
        <f ca="1">qry_ProdData2_PDI_Cash_Exception_Application[[#This Row],[TODAY]]-qry_ProdData2_PDI_Cash_Exception_Application[[#This Row],[CHANGED ON]]</f>
        <v>14.742928240739275</v>
      </c>
      <c r="M730">
        <f ca="1">qry_ProdData2_PDI_Cash_Exception_Application[[#This Row],[TODAY]]-qry_ProdData2_PDI_Cash_Exception_Application[[#This Row],[CHANGED ON]]</f>
        <v>14.742928240739275</v>
      </c>
      <c r="N730">
        <f ca="1">qry_ProdData2_PDI_Cash_Exception_Application[[#This Row],[TODAY]]-qry_ProdData2_PDI_Cash_Exception_Application[[#This Row],[CHANGED ON]]</f>
        <v>14.742928240739275</v>
      </c>
    </row>
    <row r="731" spans="1:14" x14ac:dyDescent="0.35">
      <c r="A731">
        <v>1007</v>
      </c>
      <c r="B731" t="s">
        <v>61</v>
      </c>
      <c r="C731" s="1">
        <v>45192.257071759261</v>
      </c>
      <c r="D731" t="str">
        <f ca="1">VLOOKUP(qry_ProdData2_PDI_Cash_Exception_Application[[#This Row],[TYPE]],#REF!,2,FALSE)</f>
        <v>type40</v>
      </c>
      <c r="E731">
        <v>96.53</v>
      </c>
      <c r="F731" t="s">
        <v>49</v>
      </c>
      <c r="G731" s="1">
        <f>qry_ProdData2_PDI_Cash_Exception_Application[[#This Row],[INSERT DATE]]+2</f>
        <v>45194.257071759261</v>
      </c>
      <c r="H731" t="str">
        <f>VLOOKUP(qry_ProdData2_PDI_Cash_Exception_Application[[#This Row],[MARKET No]],'Site Allocation'!$B$2:$C$37,2,FALSE)</f>
        <v>Analyst2</v>
      </c>
      <c r="I731" s="4">
        <f t="shared" ca="1" si="11"/>
        <v>45203</v>
      </c>
      <c r="J731" s="42">
        <f ca="1">TODAY()-qry_ProdData2_PDI_Cash_Exception_Application[[#This Row],[INSERT DATE]]</f>
        <v>10.742928240739275</v>
      </c>
      <c r="K7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31">
        <f ca="1">qry_ProdData2_PDI_Cash_Exception_Application[[#This Row],[TODAY]]-qry_ProdData2_PDI_Cash_Exception_Application[[#This Row],[CHANGED ON]]</f>
        <v>8.7429282407392748</v>
      </c>
      <c r="M731">
        <f ca="1">qry_ProdData2_PDI_Cash_Exception_Application[[#This Row],[TODAY]]-qry_ProdData2_PDI_Cash_Exception_Application[[#This Row],[CHANGED ON]]</f>
        <v>8.7429282407392748</v>
      </c>
      <c r="N731">
        <f ca="1">qry_ProdData2_PDI_Cash_Exception_Application[[#This Row],[TODAY]]-qry_ProdData2_PDI_Cash_Exception_Application[[#This Row],[CHANGED ON]]</f>
        <v>8.7429282407392748</v>
      </c>
    </row>
    <row r="732" spans="1:14" x14ac:dyDescent="0.35">
      <c r="A732">
        <v>1023</v>
      </c>
      <c r="B732" t="s">
        <v>77</v>
      </c>
      <c r="C732" s="1">
        <v>45188.257071759261</v>
      </c>
      <c r="D732" t="str">
        <f ca="1">VLOOKUP(qry_ProdData2_PDI_Cash_Exception_Application[[#This Row],[TYPE]],#REF!,2,FALSE)</f>
        <v>type42</v>
      </c>
      <c r="E732">
        <v>267.27</v>
      </c>
      <c r="F732" t="s">
        <v>48</v>
      </c>
      <c r="G732" s="1">
        <f>qry_ProdData2_PDI_Cash_Exception_Application[[#This Row],[INSERT DATE]]+1</f>
        <v>45189.257071759261</v>
      </c>
      <c r="H732" t="str">
        <f>VLOOKUP(qry_ProdData2_PDI_Cash_Exception_Application[[#This Row],[MARKET No]],'Site Allocation'!$B$2:$C$37,2,FALSE)</f>
        <v>Analyst4</v>
      </c>
      <c r="I732" s="4">
        <f t="shared" ca="1" si="11"/>
        <v>45203</v>
      </c>
      <c r="J732" s="42">
        <f ca="1">TODAY()-qry_ProdData2_PDI_Cash_Exception_Application[[#This Row],[INSERT DATE]]</f>
        <v>14.742928240739275</v>
      </c>
      <c r="K7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32">
        <f ca="1">qry_ProdData2_PDI_Cash_Exception_Application[[#This Row],[TODAY]]-qry_ProdData2_PDI_Cash_Exception_Application[[#This Row],[CHANGED ON]]</f>
        <v>13.742928240739275</v>
      </c>
      <c r="M732">
        <f ca="1">qry_ProdData2_PDI_Cash_Exception_Application[[#This Row],[TODAY]]-qry_ProdData2_PDI_Cash_Exception_Application[[#This Row],[CHANGED ON]]</f>
        <v>13.742928240739275</v>
      </c>
      <c r="N732">
        <f ca="1">qry_ProdData2_PDI_Cash_Exception_Application[[#This Row],[TODAY]]-qry_ProdData2_PDI_Cash_Exception_Application[[#This Row],[CHANGED ON]]</f>
        <v>13.742928240739275</v>
      </c>
    </row>
    <row r="733" spans="1:14" x14ac:dyDescent="0.35">
      <c r="A733">
        <v>1030</v>
      </c>
      <c r="B733" t="s">
        <v>84</v>
      </c>
      <c r="C733" s="1">
        <v>45191.257071759261</v>
      </c>
      <c r="D733" t="str">
        <f ca="1">VLOOKUP(qry_ProdData2_PDI_Cash_Exception_Application[[#This Row],[TYPE]],#REF!,2,FALSE)</f>
        <v>type40</v>
      </c>
      <c r="E733">
        <v>440.81</v>
      </c>
      <c r="F733" t="s">
        <v>48</v>
      </c>
      <c r="G733" s="1">
        <f>qry_ProdData2_PDI_Cash_Exception_Application[[#This Row],[INSERT DATE]]+1</f>
        <v>45192.257071759261</v>
      </c>
      <c r="H733" t="str">
        <f>VLOOKUP(qry_ProdData2_PDI_Cash_Exception_Application[[#This Row],[MARKET No]],'Site Allocation'!$B$2:$C$37,2,FALSE)</f>
        <v>Analyst6</v>
      </c>
      <c r="I733" s="4">
        <f t="shared" ca="1" si="11"/>
        <v>45203</v>
      </c>
      <c r="J733" s="42">
        <f ca="1">TODAY()-qry_ProdData2_PDI_Cash_Exception_Application[[#This Row],[INSERT DATE]]</f>
        <v>11.742928240739275</v>
      </c>
      <c r="K7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33">
        <f ca="1">qry_ProdData2_PDI_Cash_Exception_Application[[#This Row],[TODAY]]-qry_ProdData2_PDI_Cash_Exception_Application[[#This Row],[CHANGED ON]]</f>
        <v>10.742928240739275</v>
      </c>
      <c r="M733">
        <f ca="1">qry_ProdData2_PDI_Cash_Exception_Application[[#This Row],[TODAY]]-qry_ProdData2_PDI_Cash_Exception_Application[[#This Row],[CHANGED ON]]</f>
        <v>10.742928240739275</v>
      </c>
      <c r="N733">
        <f ca="1">qry_ProdData2_PDI_Cash_Exception_Application[[#This Row],[TODAY]]-qry_ProdData2_PDI_Cash_Exception_Application[[#This Row],[CHANGED ON]]</f>
        <v>10.742928240739275</v>
      </c>
    </row>
    <row r="734" spans="1:14" x14ac:dyDescent="0.35">
      <c r="A734">
        <v>1007</v>
      </c>
      <c r="B734" t="s">
        <v>61</v>
      </c>
      <c r="C734" s="1">
        <v>45185.257071759261</v>
      </c>
      <c r="D734" t="str">
        <f ca="1">VLOOKUP(qry_ProdData2_PDI_Cash_Exception_Application[[#This Row],[TYPE]],#REF!,2,FALSE)</f>
        <v>type40</v>
      </c>
      <c r="E734">
        <v>4.25</v>
      </c>
      <c r="F734" t="s">
        <v>50</v>
      </c>
      <c r="G734" s="1">
        <f>qry_ProdData2_PDI_Cash_Exception_Application[[#This Row],[INSERT DATE]]+5</f>
        <v>45190.257071759261</v>
      </c>
      <c r="H734" t="str">
        <f>VLOOKUP(qry_ProdData2_PDI_Cash_Exception_Application[[#This Row],[MARKET No]],'Site Allocation'!$B$2:$C$37,2,FALSE)</f>
        <v>Analyst2</v>
      </c>
      <c r="I734" s="4">
        <f t="shared" ca="1" si="11"/>
        <v>45203</v>
      </c>
      <c r="J734" s="42">
        <f ca="1">TODAY()-qry_ProdData2_PDI_Cash_Exception_Application[[#This Row],[INSERT DATE]]</f>
        <v>17.742928240739275</v>
      </c>
      <c r="K7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34">
        <f ca="1">qry_ProdData2_PDI_Cash_Exception_Application[[#This Row],[TODAY]]-qry_ProdData2_PDI_Cash_Exception_Application[[#This Row],[CHANGED ON]]</f>
        <v>12.742928240739275</v>
      </c>
      <c r="M734">
        <f ca="1">qry_ProdData2_PDI_Cash_Exception_Application[[#This Row],[TODAY]]-qry_ProdData2_PDI_Cash_Exception_Application[[#This Row],[CHANGED ON]]</f>
        <v>12.742928240739275</v>
      </c>
      <c r="N734">
        <f ca="1">qry_ProdData2_PDI_Cash_Exception_Application[[#This Row],[TODAY]]-qry_ProdData2_PDI_Cash_Exception_Application[[#This Row],[CHANGED ON]]</f>
        <v>12.742928240739275</v>
      </c>
    </row>
    <row r="735" spans="1:14" x14ac:dyDescent="0.35">
      <c r="A735">
        <v>1018</v>
      </c>
      <c r="B735" t="s">
        <v>72</v>
      </c>
      <c r="C735" s="1">
        <v>45186.257071759261</v>
      </c>
      <c r="D735" t="str">
        <f ca="1">VLOOKUP(qry_ProdData2_PDI_Cash_Exception_Application[[#This Row],[TYPE]],#REF!,2,FALSE)</f>
        <v>type40</v>
      </c>
      <c r="E735">
        <v>51.57</v>
      </c>
      <c r="F735" t="s">
        <v>50</v>
      </c>
      <c r="G735" s="1">
        <f>qry_ProdData2_PDI_Cash_Exception_Application[[#This Row],[INSERT DATE]]+5</f>
        <v>45191.257071759261</v>
      </c>
      <c r="H735" t="str">
        <f>VLOOKUP(qry_ProdData2_PDI_Cash_Exception_Application[[#This Row],[MARKET No]],'Site Allocation'!$B$2:$C$37,2,FALSE)</f>
        <v>Analyst4</v>
      </c>
      <c r="I735" s="4">
        <f t="shared" ca="1" si="11"/>
        <v>45203</v>
      </c>
      <c r="J735" s="42">
        <f ca="1">TODAY()-qry_ProdData2_PDI_Cash_Exception_Application[[#This Row],[INSERT DATE]]</f>
        <v>16.742928240739275</v>
      </c>
      <c r="K7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35">
        <f ca="1">qry_ProdData2_PDI_Cash_Exception_Application[[#This Row],[TODAY]]-qry_ProdData2_PDI_Cash_Exception_Application[[#This Row],[CHANGED ON]]</f>
        <v>11.742928240739275</v>
      </c>
      <c r="M735">
        <f ca="1">qry_ProdData2_PDI_Cash_Exception_Application[[#This Row],[TODAY]]-qry_ProdData2_PDI_Cash_Exception_Application[[#This Row],[CHANGED ON]]</f>
        <v>11.742928240739275</v>
      </c>
      <c r="N735">
        <f ca="1">qry_ProdData2_PDI_Cash_Exception_Application[[#This Row],[TODAY]]-qry_ProdData2_PDI_Cash_Exception_Application[[#This Row],[CHANGED ON]]</f>
        <v>11.742928240739275</v>
      </c>
    </row>
    <row r="736" spans="1:14" x14ac:dyDescent="0.35">
      <c r="A736">
        <v>1029</v>
      </c>
      <c r="B736" t="s">
        <v>83</v>
      </c>
      <c r="C736" s="1">
        <v>45187.257071759261</v>
      </c>
      <c r="D736" t="str">
        <f ca="1">VLOOKUP(qry_ProdData2_PDI_Cash_Exception_Application[[#This Row],[TYPE]],#REF!,2,FALSE)</f>
        <v>type40</v>
      </c>
      <c r="E736">
        <v>14140.95</v>
      </c>
      <c r="F736" t="s">
        <v>52</v>
      </c>
      <c r="G736" s="1">
        <f>qry_ProdData2_PDI_Cash_Exception_Application[[#This Row],[INSERT DATE]]+5</f>
        <v>45192.257071759261</v>
      </c>
      <c r="H736" t="str">
        <f>VLOOKUP(qry_ProdData2_PDI_Cash_Exception_Application[[#This Row],[MARKET No]],'Site Allocation'!$B$2:$C$37,2,FALSE)</f>
        <v>Analyst5</v>
      </c>
      <c r="I736" s="4">
        <f t="shared" ca="1" si="11"/>
        <v>45203</v>
      </c>
      <c r="J736" s="42">
        <f ca="1">TODAY()-qry_ProdData2_PDI_Cash_Exception_Application[[#This Row],[INSERT DATE]]</f>
        <v>15.742928240739275</v>
      </c>
      <c r="K7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36">
        <f ca="1">qry_ProdData2_PDI_Cash_Exception_Application[[#This Row],[TODAY]]-qry_ProdData2_PDI_Cash_Exception_Application[[#This Row],[CHANGED ON]]</f>
        <v>10.742928240739275</v>
      </c>
      <c r="M736">
        <f ca="1">qry_ProdData2_PDI_Cash_Exception_Application[[#This Row],[TODAY]]-qry_ProdData2_PDI_Cash_Exception_Application[[#This Row],[CHANGED ON]]</f>
        <v>10.742928240739275</v>
      </c>
      <c r="N736">
        <f ca="1">qry_ProdData2_PDI_Cash_Exception_Application[[#This Row],[TODAY]]-qry_ProdData2_PDI_Cash_Exception_Application[[#This Row],[CHANGED ON]]</f>
        <v>10.742928240739275</v>
      </c>
    </row>
    <row r="737" spans="1:14" x14ac:dyDescent="0.35">
      <c r="A737">
        <v>1026</v>
      </c>
      <c r="B737" t="s">
        <v>80</v>
      </c>
      <c r="C737" s="1">
        <v>45188.257071759261</v>
      </c>
      <c r="D737" t="str">
        <f ca="1">VLOOKUP(qry_ProdData2_PDI_Cash_Exception_Application[[#This Row],[TYPE]],#REF!,2,FALSE)</f>
        <v>type13</v>
      </c>
      <c r="E737">
        <v>23162.85</v>
      </c>
      <c r="F737" t="s">
        <v>49</v>
      </c>
      <c r="G737" s="1">
        <f>qry_ProdData2_PDI_Cash_Exception_Application[[#This Row],[INSERT DATE]]+5</f>
        <v>45193.257071759261</v>
      </c>
      <c r="H737" t="str">
        <f>VLOOKUP(qry_ProdData2_PDI_Cash_Exception_Application[[#This Row],[MARKET No]],'Site Allocation'!$B$2:$C$37,2,FALSE)</f>
        <v>Analyst5</v>
      </c>
      <c r="I737" s="4">
        <f t="shared" ca="1" si="11"/>
        <v>45203</v>
      </c>
      <c r="J737" s="42">
        <f ca="1">TODAY()-qry_ProdData2_PDI_Cash_Exception_Application[[#This Row],[INSERT DATE]]</f>
        <v>14.742928240739275</v>
      </c>
      <c r="K7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37">
        <f ca="1">qry_ProdData2_PDI_Cash_Exception_Application[[#This Row],[TODAY]]-qry_ProdData2_PDI_Cash_Exception_Application[[#This Row],[CHANGED ON]]</f>
        <v>9.7429282407392748</v>
      </c>
      <c r="M737">
        <f ca="1">qry_ProdData2_PDI_Cash_Exception_Application[[#This Row],[TODAY]]-qry_ProdData2_PDI_Cash_Exception_Application[[#This Row],[CHANGED ON]]</f>
        <v>9.7429282407392748</v>
      </c>
      <c r="N737">
        <f ca="1">qry_ProdData2_PDI_Cash_Exception_Application[[#This Row],[TODAY]]-qry_ProdData2_PDI_Cash_Exception_Application[[#This Row],[CHANGED ON]]</f>
        <v>9.7429282407392748</v>
      </c>
    </row>
    <row r="738" spans="1:14" x14ac:dyDescent="0.35">
      <c r="A738">
        <v>1011</v>
      </c>
      <c r="B738" t="s">
        <v>65</v>
      </c>
      <c r="C738" s="1">
        <v>45188.257071759261</v>
      </c>
      <c r="D738" t="str">
        <f ca="1">VLOOKUP(qry_ProdData2_PDI_Cash_Exception_Application[[#This Row],[TYPE]],#REF!,2,FALSE)</f>
        <v>type40</v>
      </c>
      <c r="E738">
        <v>-357.69</v>
      </c>
      <c r="F738" t="s">
        <v>52</v>
      </c>
      <c r="G738" s="1">
        <f>qry_ProdData2_PDI_Cash_Exception_Application[[#This Row],[INSERT DATE]]+7</f>
        <v>45195.257071759261</v>
      </c>
      <c r="H738" t="str">
        <f>VLOOKUP(qry_ProdData2_PDI_Cash_Exception_Application[[#This Row],[MARKET No]],'Site Allocation'!$B$2:$C$37,2,FALSE)</f>
        <v>Analyst2</v>
      </c>
      <c r="I738" s="4">
        <f t="shared" ca="1" si="11"/>
        <v>45203</v>
      </c>
      <c r="J738" s="42">
        <f ca="1">TODAY()-qry_ProdData2_PDI_Cash_Exception_Application[[#This Row],[INSERT DATE]]</f>
        <v>14.742928240739275</v>
      </c>
      <c r="K7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38">
        <f ca="1">qry_ProdData2_PDI_Cash_Exception_Application[[#This Row],[TODAY]]-qry_ProdData2_PDI_Cash_Exception_Application[[#This Row],[CHANGED ON]]</f>
        <v>7.7429282407392748</v>
      </c>
      <c r="M738">
        <f ca="1">qry_ProdData2_PDI_Cash_Exception_Application[[#This Row],[TODAY]]-qry_ProdData2_PDI_Cash_Exception_Application[[#This Row],[CHANGED ON]]</f>
        <v>7.7429282407392748</v>
      </c>
      <c r="N738">
        <f ca="1">qry_ProdData2_PDI_Cash_Exception_Application[[#This Row],[TODAY]]-qry_ProdData2_PDI_Cash_Exception_Application[[#This Row],[CHANGED ON]]</f>
        <v>7.7429282407392748</v>
      </c>
    </row>
    <row r="739" spans="1:14" x14ac:dyDescent="0.35">
      <c r="A739">
        <v>1027</v>
      </c>
      <c r="B739" t="s">
        <v>81</v>
      </c>
      <c r="C739" s="1">
        <v>45192.257071759261</v>
      </c>
      <c r="D739" t="str">
        <f ca="1">VLOOKUP(qry_ProdData2_PDI_Cash_Exception_Application[[#This Row],[TYPE]],#REF!,2,FALSE)</f>
        <v>type40</v>
      </c>
      <c r="E739">
        <v>-687.75</v>
      </c>
      <c r="F739" t="s">
        <v>49</v>
      </c>
      <c r="G739" s="1">
        <f>qry_ProdData2_PDI_Cash_Exception_Application[[#This Row],[INSERT DATE]]+7</f>
        <v>45199.257071759261</v>
      </c>
      <c r="H739" t="str">
        <f>VLOOKUP(qry_ProdData2_PDI_Cash_Exception_Application[[#This Row],[MARKET No]],'Site Allocation'!$B$2:$C$37,2,FALSE)</f>
        <v>Analyst5</v>
      </c>
      <c r="I739" s="4">
        <f t="shared" ca="1" si="11"/>
        <v>45203</v>
      </c>
      <c r="J739" s="42">
        <f ca="1">TODAY()-qry_ProdData2_PDI_Cash_Exception_Application[[#This Row],[INSERT DATE]]</f>
        <v>10.742928240739275</v>
      </c>
      <c r="K7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39">
        <f ca="1">qry_ProdData2_PDI_Cash_Exception_Application[[#This Row],[TODAY]]-qry_ProdData2_PDI_Cash_Exception_Application[[#This Row],[CHANGED ON]]</f>
        <v>3.7429282407392748</v>
      </c>
      <c r="M739">
        <f ca="1">qry_ProdData2_PDI_Cash_Exception_Application[[#This Row],[TODAY]]-qry_ProdData2_PDI_Cash_Exception_Application[[#This Row],[CHANGED ON]]</f>
        <v>3.7429282407392748</v>
      </c>
      <c r="N739">
        <f ca="1">qry_ProdData2_PDI_Cash_Exception_Application[[#This Row],[TODAY]]-qry_ProdData2_PDI_Cash_Exception_Application[[#This Row],[CHANGED ON]]</f>
        <v>3.7429282407392748</v>
      </c>
    </row>
    <row r="740" spans="1:14" x14ac:dyDescent="0.35">
      <c r="A740">
        <v>1003</v>
      </c>
      <c r="B740" t="s">
        <v>57</v>
      </c>
      <c r="C740" s="1">
        <v>45190.257071759261</v>
      </c>
      <c r="D740" t="str">
        <f ca="1">VLOOKUP(qry_ProdData2_PDI_Cash_Exception_Application[[#This Row],[TYPE]],#REF!,2,FALSE)</f>
        <v>type40</v>
      </c>
      <c r="E740">
        <v>-741.95</v>
      </c>
      <c r="F740" t="s">
        <v>51</v>
      </c>
      <c r="G740" s="1">
        <f>qry_ProdData2_PDI_Cash_Exception_Application[[#This Row],[INSERT DATE]]+1</f>
        <v>45191.257071759261</v>
      </c>
      <c r="H740" t="str">
        <f>VLOOKUP(qry_ProdData2_PDI_Cash_Exception_Application[[#This Row],[MARKET No]],'Site Allocation'!$B$2:$C$37,2,FALSE)</f>
        <v>Analyst1</v>
      </c>
      <c r="I740" s="4">
        <f t="shared" ca="1" si="11"/>
        <v>45203</v>
      </c>
      <c r="J740" s="42">
        <f ca="1">TODAY()-qry_ProdData2_PDI_Cash_Exception_Application[[#This Row],[INSERT DATE]]</f>
        <v>12.742928240739275</v>
      </c>
      <c r="K7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40">
        <f ca="1">qry_ProdData2_PDI_Cash_Exception_Application[[#This Row],[TODAY]]-qry_ProdData2_PDI_Cash_Exception_Application[[#This Row],[CHANGED ON]]</f>
        <v>11.742928240739275</v>
      </c>
      <c r="M740">
        <f ca="1">qry_ProdData2_PDI_Cash_Exception_Application[[#This Row],[TODAY]]-qry_ProdData2_PDI_Cash_Exception_Application[[#This Row],[CHANGED ON]]</f>
        <v>11.742928240739275</v>
      </c>
      <c r="N740">
        <f ca="1">qry_ProdData2_PDI_Cash_Exception_Application[[#This Row],[TODAY]]-qry_ProdData2_PDI_Cash_Exception_Application[[#This Row],[CHANGED ON]]</f>
        <v>11.742928240739275</v>
      </c>
    </row>
    <row r="741" spans="1:14" x14ac:dyDescent="0.35">
      <c r="A741">
        <v>1005</v>
      </c>
      <c r="B741" t="s">
        <v>59</v>
      </c>
      <c r="C741" s="1">
        <v>45185.257071759261</v>
      </c>
      <c r="D741" t="str">
        <f ca="1">VLOOKUP(qry_ProdData2_PDI_Cash_Exception_Application[[#This Row],[TYPE]],#REF!,2,FALSE)</f>
        <v>type40</v>
      </c>
      <c r="E741">
        <v>-383.34</v>
      </c>
      <c r="F741" t="s">
        <v>47</v>
      </c>
      <c r="G741" s="1">
        <f>qry_ProdData2_PDI_Cash_Exception_Application[[#This Row],[INSERT DATE]]+1</f>
        <v>45186.257071759261</v>
      </c>
      <c r="H741" t="str">
        <f>VLOOKUP(qry_ProdData2_PDI_Cash_Exception_Application[[#This Row],[MARKET No]],'Site Allocation'!$B$2:$C$37,2,FALSE)</f>
        <v>Analyst1</v>
      </c>
      <c r="I741" s="4">
        <f t="shared" ca="1" si="11"/>
        <v>45203</v>
      </c>
      <c r="J741" s="42">
        <f ca="1">TODAY()-qry_ProdData2_PDI_Cash_Exception_Application[[#This Row],[INSERT DATE]]</f>
        <v>17.742928240739275</v>
      </c>
      <c r="K7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41">
        <f ca="1">qry_ProdData2_PDI_Cash_Exception_Application[[#This Row],[TODAY]]-qry_ProdData2_PDI_Cash_Exception_Application[[#This Row],[CHANGED ON]]</f>
        <v>16.742928240739275</v>
      </c>
      <c r="M741">
        <f ca="1">qry_ProdData2_PDI_Cash_Exception_Application[[#This Row],[TODAY]]-qry_ProdData2_PDI_Cash_Exception_Application[[#This Row],[CHANGED ON]]</f>
        <v>16.742928240739275</v>
      </c>
      <c r="N741">
        <f ca="1">qry_ProdData2_PDI_Cash_Exception_Application[[#This Row],[TODAY]]-qry_ProdData2_PDI_Cash_Exception_Application[[#This Row],[CHANGED ON]]</f>
        <v>16.742928240739275</v>
      </c>
    </row>
    <row r="742" spans="1:14" x14ac:dyDescent="0.35">
      <c r="A742">
        <v>1014</v>
      </c>
      <c r="B742" t="s">
        <v>68</v>
      </c>
      <c r="C742" s="1">
        <v>45190.257071759261</v>
      </c>
      <c r="D742" t="str">
        <f ca="1">VLOOKUP(qry_ProdData2_PDI_Cash_Exception_Application[[#This Row],[TYPE]],#REF!,2,FALSE)</f>
        <v>type40</v>
      </c>
      <c r="E742">
        <v>-1823.24</v>
      </c>
      <c r="F742" t="s">
        <v>50</v>
      </c>
      <c r="G742" s="1">
        <f>qry_ProdData2_PDI_Cash_Exception_Application[[#This Row],[INSERT DATE]]+7</f>
        <v>45197.257071759261</v>
      </c>
      <c r="H742" t="str">
        <f>VLOOKUP(qry_ProdData2_PDI_Cash_Exception_Application[[#This Row],[MARKET No]],'Site Allocation'!$B$2:$C$37,2,FALSE)</f>
        <v>Analyst3</v>
      </c>
      <c r="I742" s="4">
        <f t="shared" ca="1" si="11"/>
        <v>45203</v>
      </c>
      <c r="J742" s="42">
        <f ca="1">TODAY()-qry_ProdData2_PDI_Cash_Exception_Application[[#This Row],[INSERT DATE]]</f>
        <v>12.742928240739275</v>
      </c>
      <c r="K7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42">
        <f ca="1">qry_ProdData2_PDI_Cash_Exception_Application[[#This Row],[TODAY]]-qry_ProdData2_PDI_Cash_Exception_Application[[#This Row],[CHANGED ON]]</f>
        <v>5.7429282407392748</v>
      </c>
      <c r="M742">
        <f ca="1">qry_ProdData2_PDI_Cash_Exception_Application[[#This Row],[TODAY]]-qry_ProdData2_PDI_Cash_Exception_Application[[#This Row],[CHANGED ON]]</f>
        <v>5.7429282407392748</v>
      </c>
      <c r="N742">
        <f ca="1">qry_ProdData2_PDI_Cash_Exception_Application[[#This Row],[TODAY]]-qry_ProdData2_PDI_Cash_Exception_Application[[#This Row],[CHANGED ON]]</f>
        <v>5.7429282407392748</v>
      </c>
    </row>
    <row r="743" spans="1:14" x14ac:dyDescent="0.35">
      <c r="A743">
        <v>1011</v>
      </c>
      <c r="B743" t="s">
        <v>65</v>
      </c>
      <c r="C743" s="1">
        <v>45191.257071759261</v>
      </c>
      <c r="D743" t="str">
        <f ca="1">VLOOKUP(qry_ProdData2_PDI_Cash_Exception_Application[[#This Row],[TYPE]],#REF!,2,FALSE)</f>
        <v>type40</v>
      </c>
      <c r="E743">
        <v>-3471.57</v>
      </c>
      <c r="F743" t="s">
        <v>50</v>
      </c>
      <c r="G743" s="1">
        <f>qry_ProdData2_PDI_Cash_Exception_Application[[#This Row],[INSERT DATE]]+7</f>
        <v>45198.257071759261</v>
      </c>
      <c r="H743" t="str">
        <f>VLOOKUP(qry_ProdData2_PDI_Cash_Exception_Application[[#This Row],[MARKET No]],'Site Allocation'!$B$2:$C$37,2,FALSE)</f>
        <v>Analyst2</v>
      </c>
      <c r="I743" s="4">
        <f t="shared" ca="1" si="11"/>
        <v>45203</v>
      </c>
      <c r="J743" s="42">
        <f ca="1">TODAY()-qry_ProdData2_PDI_Cash_Exception_Application[[#This Row],[INSERT DATE]]</f>
        <v>11.742928240739275</v>
      </c>
      <c r="K7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43">
        <f ca="1">qry_ProdData2_PDI_Cash_Exception_Application[[#This Row],[TODAY]]-qry_ProdData2_PDI_Cash_Exception_Application[[#This Row],[CHANGED ON]]</f>
        <v>4.7429282407392748</v>
      </c>
      <c r="M743">
        <f ca="1">qry_ProdData2_PDI_Cash_Exception_Application[[#This Row],[TODAY]]-qry_ProdData2_PDI_Cash_Exception_Application[[#This Row],[CHANGED ON]]</f>
        <v>4.7429282407392748</v>
      </c>
      <c r="N743">
        <f ca="1">qry_ProdData2_PDI_Cash_Exception_Application[[#This Row],[TODAY]]-qry_ProdData2_PDI_Cash_Exception_Application[[#This Row],[CHANGED ON]]</f>
        <v>4.7429282407392748</v>
      </c>
    </row>
    <row r="744" spans="1:14" x14ac:dyDescent="0.35">
      <c r="A744">
        <v>1008</v>
      </c>
      <c r="B744" t="s">
        <v>62</v>
      </c>
      <c r="C744" s="1">
        <v>45192.257071759261</v>
      </c>
      <c r="D744" t="str">
        <f ca="1">VLOOKUP(qry_ProdData2_PDI_Cash_Exception_Application[[#This Row],[TYPE]],#REF!,2,FALSE)</f>
        <v>type40</v>
      </c>
      <c r="E744">
        <v>-394.4</v>
      </c>
      <c r="F744" t="s">
        <v>50</v>
      </c>
      <c r="G744" s="1">
        <f>qry_ProdData2_PDI_Cash_Exception_Application[[#This Row],[INSERT DATE]]+7</f>
        <v>45199.257071759261</v>
      </c>
      <c r="H744" t="str">
        <f>VLOOKUP(qry_ProdData2_PDI_Cash_Exception_Application[[#This Row],[MARKET No]],'Site Allocation'!$B$2:$C$37,2,FALSE)</f>
        <v>Analyst2</v>
      </c>
      <c r="I744" s="4">
        <f t="shared" ca="1" si="11"/>
        <v>45203</v>
      </c>
      <c r="J744" s="42">
        <f ca="1">TODAY()-qry_ProdData2_PDI_Cash_Exception_Application[[#This Row],[INSERT DATE]]</f>
        <v>10.742928240739275</v>
      </c>
      <c r="K7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44">
        <f ca="1">qry_ProdData2_PDI_Cash_Exception_Application[[#This Row],[TODAY]]-qry_ProdData2_PDI_Cash_Exception_Application[[#This Row],[CHANGED ON]]</f>
        <v>3.7429282407392748</v>
      </c>
      <c r="M744">
        <f ca="1">qry_ProdData2_PDI_Cash_Exception_Application[[#This Row],[TODAY]]-qry_ProdData2_PDI_Cash_Exception_Application[[#This Row],[CHANGED ON]]</f>
        <v>3.7429282407392748</v>
      </c>
      <c r="N744">
        <f ca="1">qry_ProdData2_PDI_Cash_Exception_Application[[#This Row],[TODAY]]-qry_ProdData2_PDI_Cash_Exception_Application[[#This Row],[CHANGED ON]]</f>
        <v>3.7429282407392748</v>
      </c>
    </row>
    <row r="745" spans="1:14" x14ac:dyDescent="0.35">
      <c r="A745">
        <v>1003</v>
      </c>
      <c r="B745" t="s">
        <v>57</v>
      </c>
      <c r="C745" s="1">
        <v>45180.257071759261</v>
      </c>
      <c r="D745" t="str">
        <f ca="1">VLOOKUP(qry_ProdData2_PDI_Cash_Exception_Application[[#This Row],[TYPE]],#REF!,2,FALSE)</f>
        <v>type7</v>
      </c>
      <c r="E745">
        <v>1257.94</v>
      </c>
      <c r="F745" t="s">
        <v>51</v>
      </c>
      <c r="G745" s="1">
        <f>qry_ProdData2_PDI_Cash_Exception_Application[[#This Row],[INSERT DATE]]+2</f>
        <v>45182.257071759261</v>
      </c>
      <c r="H745" t="str">
        <f>VLOOKUP(qry_ProdData2_PDI_Cash_Exception_Application[[#This Row],[MARKET No]],'Site Allocation'!$B$2:$C$37,2,FALSE)</f>
        <v>Analyst1</v>
      </c>
      <c r="I745" s="4">
        <f t="shared" ca="1" si="11"/>
        <v>45203</v>
      </c>
      <c r="J745" s="42">
        <f ca="1">TODAY()-qry_ProdData2_PDI_Cash_Exception_Application[[#This Row],[INSERT DATE]]</f>
        <v>22.742928240739275</v>
      </c>
      <c r="K7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45">
        <f ca="1">qry_ProdData2_PDI_Cash_Exception_Application[[#This Row],[TODAY]]-qry_ProdData2_PDI_Cash_Exception_Application[[#This Row],[CHANGED ON]]</f>
        <v>20.742928240739275</v>
      </c>
      <c r="M745">
        <f ca="1">qry_ProdData2_PDI_Cash_Exception_Application[[#This Row],[TODAY]]-qry_ProdData2_PDI_Cash_Exception_Application[[#This Row],[CHANGED ON]]</f>
        <v>20.742928240739275</v>
      </c>
      <c r="N745">
        <f ca="1">qry_ProdData2_PDI_Cash_Exception_Application[[#This Row],[TODAY]]-qry_ProdData2_PDI_Cash_Exception_Application[[#This Row],[CHANGED ON]]</f>
        <v>20.742928240739275</v>
      </c>
    </row>
    <row r="746" spans="1:14" x14ac:dyDescent="0.35">
      <c r="A746">
        <v>1009</v>
      </c>
      <c r="B746" t="s">
        <v>63</v>
      </c>
      <c r="C746" s="1">
        <v>45183.257071759261</v>
      </c>
      <c r="D746" t="str">
        <f ca="1">VLOOKUP(qry_ProdData2_PDI_Cash_Exception_Application[[#This Row],[TYPE]],#REF!,2,FALSE)</f>
        <v>type7</v>
      </c>
      <c r="E746">
        <v>1462.28</v>
      </c>
      <c r="F746" t="s">
        <v>51</v>
      </c>
      <c r="G746" s="1">
        <f>qry_ProdData2_PDI_Cash_Exception_Application[[#This Row],[INSERT DATE]]+2</f>
        <v>45185.257071759261</v>
      </c>
      <c r="H746" t="str">
        <f>VLOOKUP(qry_ProdData2_PDI_Cash_Exception_Application[[#This Row],[MARKET No]],'Site Allocation'!$B$2:$C$37,2,FALSE)</f>
        <v>Analyst2</v>
      </c>
      <c r="I746" s="4">
        <f t="shared" ca="1" si="11"/>
        <v>45203</v>
      </c>
      <c r="J746" s="42">
        <f ca="1">TODAY()-qry_ProdData2_PDI_Cash_Exception_Application[[#This Row],[INSERT DATE]]</f>
        <v>19.742928240739275</v>
      </c>
      <c r="K7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46">
        <f ca="1">qry_ProdData2_PDI_Cash_Exception_Application[[#This Row],[TODAY]]-qry_ProdData2_PDI_Cash_Exception_Application[[#This Row],[CHANGED ON]]</f>
        <v>17.742928240739275</v>
      </c>
      <c r="M746">
        <f ca="1">qry_ProdData2_PDI_Cash_Exception_Application[[#This Row],[TODAY]]-qry_ProdData2_PDI_Cash_Exception_Application[[#This Row],[CHANGED ON]]</f>
        <v>17.742928240739275</v>
      </c>
      <c r="N746">
        <f ca="1">qry_ProdData2_PDI_Cash_Exception_Application[[#This Row],[TODAY]]-qry_ProdData2_PDI_Cash_Exception_Application[[#This Row],[CHANGED ON]]</f>
        <v>17.742928240739275</v>
      </c>
    </row>
    <row r="747" spans="1:14" x14ac:dyDescent="0.35">
      <c r="A747">
        <v>1012</v>
      </c>
      <c r="B747" t="s">
        <v>66</v>
      </c>
      <c r="C747" s="1">
        <v>45195.257071759261</v>
      </c>
      <c r="D747" t="str">
        <f ca="1">VLOOKUP(qry_ProdData2_PDI_Cash_Exception_Application[[#This Row],[TYPE]],#REF!,2,FALSE)</f>
        <v>type40</v>
      </c>
      <c r="E747">
        <v>6848.69</v>
      </c>
      <c r="F747" t="s">
        <v>52</v>
      </c>
      <c r="G747" s="1">
        <f>qry_ProdData2_PDI_Cash_Exception_Application[[#This Row],[INSERT DATE]]+7</f>
        <v>45202.257071759261</v>
      </c>
      <c r="H747" t="str">
        <f>VLOOKUP(qry_ProdData2_PDI_Cash_Exception_Application[[#This Row],[MARKET No]],'Site Allocation'!$B$2:$C$37,2,FALSE)</f>
        <v>Analyst3</v>
      </c>
      <c r="I747" s="4">
        <f t="shared" ca="1" si="11"/>
        <v>45203</v>
      </c>
      <c r="J747" s="42">
        <f ca="1">TODAY()-qry_ProdData2_PDI_Cash_Exception_Application[[#This Row],[INSERT DATE]]</f>
        <v>7.7429282407392748</v>
      </c>
      <c r="K7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747">
        <f ca="1">qry_ProdData2_PDI_Cash_Exception_Application[[#This Row],[TODAY]]-qry_ProdData2_PDI_Cash_Exception_Application[[#This Row],[CHANGED ON]]</f>
        <v>0.74292824073927477</v>
      </c>
      <c r="M747">
        <f ca="1">qry_ProdData2_PDI_Cash_Exception_Application[[#This Row],[TODAY]]-qry_ProdData2_PDI_Cash_Exception_Application[[#This Row],[CHANGED ON]]</f>
        <v>0.74292824073927477</v>
      </c>
      <c r="N747">
        <f ca="1">qry_ProdData2_PDI_Cash_Exception_Application[[#This Row],[TODAY]]-qry_ProdData2_PDI_Cash_Exception_Application[[#This Row],[CHANGED ON]]</f>
        <v>0.74292824073927477</v>
      </c>
    </row>
    <row r="748" spans="1:14" x14ac:dyDescent="0.35">
      <c r="A748">
        <v>1003</v>
      </c>
      <c r="B748" t="s">
        <v>57</v>
      </c>
      <c r="C748" s="1">
        <v>45180.257071759261</v>
      </c>
      <c r="D748" t="str">
        <f ca="1">VLOOKUP(qry_ProdData2_PDI_Cash_Exception_Application[[#This Row],[TYPE]],#REF!,2,FALSE)</f>
        <v>type40</v>
      </c>
      <c r="E748">
        <v>-307.97000000000003</v>
      </c>
      <c r="F748" t="s">
        <v>49</v>
      </c>
      <c r="G748" s="1">
        <f>qry_ProdData2_PDI_Cash_Exception_Application[[#This Row],[INSERT DATE]]+7</f>
        <v>45187.257071759261</v>
      </c>
      <c r="H748" t="str">
        <f>VLOOKUP(qry_ProdData2_PDI_Cash_Exception_Application[[#This Row],[MARKET No]],'Site Allocation'!$B$2:$C$37,2,FALSE)</f>
        <v>Analyst1</v>
      </c>
      <c r="I748" s="4">
        <f t="shared" ca="1" si="11"/>
        <v>45203</v>
      </c>
      <c r="J748" s="42">
        <f ca="1">TODAY()-qry_ProdData2_PDI_Cash_Exception_Application[[#This Row],[INSERT DATE]]</f>
        <v>22.742928240739275</v>
      </c>
      <c r="K7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48">
        <f ca="1">qry_ProdData2_PDI_Cash_Exception_Application[[#This Row],[TODAY]]-qry_ProdData2_PDI_Cash_Exception_Application[[#This Row],[CHANGED ON]]</f>
        <v>15.742928240739275</v>
      </c>
      <c r="M748">
        <f ca="1">qry_ProdData2_PDI_Cash_Exception_Application[[#This Row],[TODAY]]-qry_ProdData2_PDI_Cash_Exception_Application[[#This Row],[CHANGED ON]]</f>
        <v>15.742928240739275</v>
      </c>
      <c r="N748">
        <f ca="1">qry_ProdData2_PDI_Cash_Exception_Application[[#This Row],[TODAY]]-qry_ProdData2_PDI_Cash_Exception_Application[[#This Row],[CHANGED ON]]</f>
        <v>15.742928240739275</v>
      </c>
    </row>
    <row r="749" spans="1:14" x14ac:dyDescent="0.35">
      <c r="A749">
        <v>1020</v>
      </c>
      <c r="B749" t="s">
        <v>74</v>
      </c>
      <c r="C749" s="1">
        <v>45188.257071759261</v>
      </c>
      <c r="D749" t="str">
        <f ca="1">VLOOKUP(qry_ProdData2_PDI_Cash_Exception_Application[[#This Row],[TYPE]],#REF!,2,FALSE)</f>
        <v>type40</v>
      </c>
      <c r="E749">
        <v>-467.35</v>
      </c>
      <c r="F749" t="s">
        <v>51</v>
      </c>
      <c r="G749" s="1">
        <f>qry_ProdData2_PDI_Cash_Exception_Application[[#This Row],[INSERT DATE]]+2</f>
        <v>45190.257071759261</v>
      </c>
      <c r="H749" t="str">
        <f>VLOOKUP(qry_ProdData2_PDI_Cash_Exception_Application[[#This Row],[MARKET No]],'Site Allocation'!$B$2:$C$37,2,FALSE)</f>
        <v>Analyst4</v>
      </c>
      <c r="I749" s="4">
        <f t="shared" ca="1" si="11"/>
        <v>45203</v>
      </c>
      <c r="J749" s="42">
        <f ca="1">TODAY()-qry_ProdData2_PDI_Cash_Exception_Application[[#This Row],[INSERT DATE]]</f>
        <v>14.742928240739275</v>
      </c>
      <c r="K7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49">
        <f ca="1">qry_ProdData2_PDI_Cash_Exception_Application[[#This Row],[TODAY]]-qry_ProdData2_PDI_Cash_Exception_Application[[#This Row],[CHANGED ON]]</f>
        <v>12.742928240739275</v>
      </c>
      <c r="M749">
        <f ca="1">qry_ProdData2_PDI_Cash_Exception_Application[[#This Row],[TODAY]]-qry_ProdData2_PDI_Cash_Exception_Application[[#This Row],[CHANGED ON]]</f>
        <v>12.742928240739275</v>
      </c>
      <c r="N749">
        <f ca="1">qry_ProdData2_PDI_Cash_Exception_Application[[#This Row],[TODAY]]-qry_ProdData2_PDI_Cash_Exception_Application[[#This Row],[CHANGED ON]]</f>
        <v>12.742928240739275</v>
      </c>
    </row>
    <row r="750" spans="1:14" x14ac:dyDescent="0.35">
      <c r="A750">
        <v>1033</v>
      </c>
      <c r="B750" t="s">
        <v>87</v>
      </c>
      <c r="C750" s="1">
        <v>45185.257071759261</v>
      </c>
      <c r="D750" t="str">
        <f ca="1">VLOOKUP(qry_ProdData2_PDI_Cash_Exception_Application[[#This Row],[TYPE]],#REF!,2,FALSE)</f>
        <v>type13</v>
      </c>
      <c r="E750">
        <v>50374.76</v>
      </c>
      <c r="F750" t="s">
        <v>47</v>
      </c>
      <c r="G750" s="1">
        <f>qry_ProdData2_PDI_Cash_Exception_Application[[#This Row],[INSERT DATE]]+2</f>
        <v>45187.257071759261</v>
      </c>
      <c r="H750" t="str">
        <f>VLOOKUP(qry_ProdData2_PDI_Cash_Exception_Application[[#This Row],[MARKET No]],'Site Allocation'!$B$2:$C$37,2,FALSE)</f>
        <v>Analyst6</v>
      </c>
      <c r="I750" s="4">
        <f t="shared" ca="1" si="11"/>
        <v>45203</v>
      </c>
      <c r="J750" s="42">
        <f ca="1">TODAY()-qry_ProdData2_PDI_Cash_Exception_Application[[#This Row],[INSERT DATE]]</f>
        <v>17.742928240739275</v>
      </c>
      <c r="K7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50">
        <f ca="1">qry_ProdData2_PDI_Cash_Exception_Application[[#This Row],[TODAY]]-qry_ProdData2_PDI_Cash_Exception_Application[[#This Row],[CHANGED ON]]</f>
        <v>15.742928240739275</v>
      </c>
      <c r="M750">
        <f ca="1">qry_ProdData2_PDI_Cash_Exception_Application[[#This Row],[TODAY]]-qry_ProdData2_PDI_Cash_Exception_Application[[#This Row],[CHANGED ON]]</f>
        <v>15.742928240739275</v>
      </c>
      <c r="N750">
        <f ca="1">qry_ProdData2_PDI_Cash_Exception_Application[[#This Row],[TODAY]]-qry_ProdData2_PDI_Cash_Exception_Application[[#This Row],[CHANGED ON]]</f>
        <v>15.742928240739275</v>
      </c>
    </row>
    <row r="751" spans="1:14" x14ac:dyDescent="0.35">
      <c r="A751">
        <v>1005</v>
      </c>
      <c r="B751" t="s">
        <v>59</v>
      </c>
      <c r="C751" s="1">
        <v>45183.257071759261</v>
      </c>
      <c r="D751" t="str">
        <f ca="1">VLOOKUP(qry_ProdData2_PDI_Cash_Exception_Application[[#This Row],[TYPE]],#REF!,2,FALSE)</f>
        <v>type40</v>
      </c>
      <c r="E751">
        <v>9.02</v>
      </c>
      <c r="F751" t="s">
        <v>49</v>
      </c>
      <c r="G751" s="1">
        <f>qry_ProdData2_PDI_Cash_Exception_Application[[#This Row],[INSERT DATE]]+7</f>
        <v>45190.257071759261</v>
      </c>
      <c r="H751" t="str">
        <f>VLOOKUP(qry_ProdData2_PDI_Cash_Exception_Application[[#This Row],[MARKET No]],'Site Allocation'!$B$2:$C$37,2,FALSE)</f>
        <v>Analyst1</v>
      </c>
      <c r="I751" s="4">
        <f t="shared" ca="1" si="11"/>
        <v>45203</v>
      </c>
      <c r="J751" s="42">
        <f ca="1">TODAY()-qry_ProdData2_PDI_Cash_Exception_Application[[#This Row],[INSERT DATE]]</f>
        <v>19.742928240739275</v>
      </c>
      <c r="K7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51">
        <f ca="1">qry_ProdData2_PDI_Cash_Exception_Application[[#This Row],[TODAY]]-qry_ProdData2_PDI_Cash_Exception_Application[[#This Row],[CHANGED ON]]</f>
        <v>12.742928240739275</v>
      </c>
      <c r="M751">
        <f ca="1">qry_ProdData2_PDI_Cash_Exception_Application[[#This Row],[TODAY]]-qry_ProdData2_PDI_Cash_Exception_Application[[#This Row],[CHANGED ON]]</f>
        <v>12.742928240739275</v>
      </c>
      <c r="N751">
        <f ca="1">qry_ProdData2_PDI_Cash_Exception_Application[[#This Row],[TODAY]]-qry_ProdData2_PDI_Cash_Exception_Application[[#This Row],[CHANGED ON]]</f>
        <v>12.742928240739275</v>
      </c>
    </row>
    <row r="752" spans="1:14" x14ac:dyDescent="0.35">
      <c r="A752">
        <v>1012</v>
      </c>
      <c r="B752" t="s">
        <v>66</v>
      </c>
      <c r="C752" s="1">
        <v>45181.257071759261</v>
      </c>
      <c r="D752" t="str">
        <f ca="1">VLOOKUP(qry_ProdData2_PDI_Cash_Exception_Application[[#This Row],[TYPE]],#REF!,2,FALSE)</f>
        <v>type40</v>
      </c>
      <c r="E752">
        <v>-856.01</v>
      </c>
      <c r="F752" t="s">
        <v>50</v>
      </c>
      <c r="G752" s="1">
        <f>qry_ProdData2_PDI_Cash_Exception_Application[[#This Row],[INSERT DATE]]+7</f>
        <v>45188.257071759261</v>
      </c>
      <c r="H752" t="str">
        <f>VLOOKUP(qry_ProdData2_PDI_Cash_Exception_Application[[#This Row],[MARKET No]],'Site Allocation'!$B$2:$C$37,2,FALSE)</f>
        <v>Analyst3</v>
      </c>
      <c r="I752" s="4">
        <f t="shared" ca="1" si="11"/>
        <v>45203</v>
      </c>
      <c r="J752" s="42">
        <f ca="1">TODAY()-qry_ProdData2_PDI_Cash_Exception_Application[[#This Row],[INSERT DATE]]</f>
        <v>21.742928240739275</v>
      </c>
      <c r="K7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52">
        <f ca="1">qry_ProdData2_PDI_Cash_Exception_Application[[#This Row],[TODAY]]-qry_ProdData2_PDI_Cash_Exception_Application[[#This Row],[CHANGED ON]]</f>
        <v>14.742928240739275</v>
      </c>
      <c r="M752">
        <f ca="1">qry_ProdData2_PDI_Cash_Exception_Application[[#This Row],[TODAY]]-qry_ProdData2_PDI_Cash_Exception_Application[[#This Row],[CHANGED ON]]</f>
        <v>14.742928240739275</v>
      </c>
      <c r="N752">
        <f ca="1">qry_ProdData2_PDI_Cash_Exception_Application[[#This Row],[TODAY]]-qry_ProdData2_PDI_Cash_Exception_Application[[#This Row],[CHANGED ON]]</f>
        <v>14.742928240739275</v>
      </c>
    </row>
    <row r="753" spans="1:14" x14ac:dyDescent="0.35">
      <c r="A753">
        <v>1007</v>
      </c>
      <c r="B753" t="s">
        <v>61</v>
      </c>
      <c r="C753" s="1">
        <v>45182.257071759261</v>
      </c>
      <c r="D753" t="str">
        <f ca="1">VLOOKUP(qry_ProdData2_PDI_Cash_Exception_Application[[#This Row],[TYPE]],#REF!,2,FALSE)</f>
        <v>type40</v>
      </c>
      <c r="E753">
        <v>-817.62</v>
      </c>
      <c r="F753" t="s">
        <v>52</v>
      </c>
      <c r="G753" s="1">
        <f>qry_ProdData2_PDI_Cash_Exception_Application[[#This Row],[INSERT DATE]]+7</f>
        <v>45189.257071759261</v>
      </c>
      <c r="H753" t="str">
        <f>VLOOKUP(qry_ProdData2_PDI_Cash_Exception_Application[[#This Row],[MARKET No]],'Site Allocation'!$B$2:$C$37,2,FALSE)</f>
        <v>Analyst2</v>
      </c>
      <c r="I753" s="4">
        <f t="shared" ca="1" si="11"/>
        <v>45203</v>
      </c>
      <c r="J753" s="42">
        <f ca="1">TODAY()-qry_ProdData2_PDI_Cash_Exception_Application[[#This Row],[INSERT DATE]]</f>
        <v>20.742928240739275</v>
      </c>
      <c r="K7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53">
        <f ca="1">qry_ProdData2_PDI_Cash_Exception_Application[[#This Row],[TODAY]]-qry_ProdData2_PDI_Cash_Exception_Application[[#This Row],[CHANGED ON]]</f>
        <v>13.742928240739275</v>
      </c>
      <c r="M753">
        <f ca="1">qry_ProdData2_PDI_Cash_Exception_Application[[#This Row],[TODAY]]-qry_ProdData2_PDI_Cash_Exception_Application[[#This Row],[CHANGED ON]]</f>
        <v>13.742928240739275</v>
      </c>
      <c r="N753">
        <f ca="1">qry_ProdData2_PDI_Cash_Exception_Application[[#This Row],[TODAY]]-qry_ProdData2_PDI_Cash_Exception_Application[[#This Row],[CHANGED ON]]</f>
        <v>13.742928240739275</v>
      </c>
    </row>
    <row r="754" spans="1:14" x14ac:dyDescent="0.35">
      <c r="A754">
        <v>1027</v>
      </c>
      <c r="B754" t="s">
        <v>81</v>
      </c>
      <c r="C754" s="1">
        <v>45182.257071759261</v>
      </c>
      <c r="D754" t="str">
        <f ca="1">VLOOKUP(qry_ProdData2_PDI_Cash_Exception_Application[[#This Row],[TYPE]],#REF!,2,FALSE)</f>
        <v>type40</v>
      </c>
      <c r="E754">
        <v>9229.68</v>
      </c>
      <c r="F754" t="s">
        <v>50</v>
      </c>
      <c r="G754" s="1">
        <f>qry_ProdData2_PDI_Cash_Exception_Application[[#This Row],[INSERT DATE]]+7</f>
        <v>45189.257071759261</v>
      </c>
      <c r="H754" t="str">
        <f>VLOOKUP(qry_ProdData2_PDI_Cash_Exception_Application[[#This Row],[MARKET No]],'Site Allocation'!$B$2:$C$37,2,FALSE)</f>
        <v>Analyst5</v>
      </c>
      <c r="I754" s="4">
        <f t="shared" ca="1" si="11"/>
        <v>45203</v>
      </c>
      <c r="J754" s="42">
        <f ca="1">TODAY()-qry_ProdData2_PDI_Cash_Exception_Application[[#This Row],[INSERT DATE]]</f>
        <v>20.742928240739275</v>
      </c>
      <c r="K7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54">
        <f ca="1">qry_ProdData2_PDI_Cash_Exception_Application[[#This Row],[TODAY]]-qry_ProdData2_PDI_Cash_Exception_Application[[#This Row],[CHANGED ON]]</f>
        <v>13.742928240739275</v>
      </c>
      <c r="M754">
        <f ca="1">qry_ProdData2_PDI_Cash_Exception_Application[[#This Row],[TODAY]]-qry_ProdData2_PDI_Cash_Exception_Application[[#This Row],[CHANGED ON]]</f>
        <v>13.742928240739275</v>
      </c>
      <c r="N754">
        <f ca="1">qry_ProdData2_PDI_Cash_Exception_Application[[#This Row],[TODAY]]-qry_ProdData2_PDI_Cash_Exception_Application[[#This Row],[CHANGED ON]]</f>
        <v>13.742928240739275</v>
      </c>
    </row>
    <row r="755" spans="1:14" x14ac:dyDescent="0.35">
      <c r="A755">
        <v>1016</v>
      </c>
      <c r="B755" t="s">
        <v>70</v>
      </c>
      <c r="C755" s="1">
        <v>45189.257071759261</v>
      </c>
      <c r="D755" t="str">
        <f ca="1">VLOOKUP(qry_ProdData2_PDI_Cash_Exception_Application[[#This Row],[TYPE]],#REF!,2,FALSE)</f>
        <v>type13</v>
      </c>
      <c r="E755">
        <v>16692</v>
      </c>
      <c r="F755" t="s">
        <v>51</v>
      </c>
      <c r="G755" s="1">
        <f>qry_ProdData2_PDI_Cash_Exception_Application[[#This Row],[INSERT DATE]]+2</f>
        <v>45191.257071759261</v>
      </c>
      <c r="H755" t="str">
        <f>VLOOKUP(qry_ProdData2_PDI_Cash_Exception_Application[[#This Row],[MARKET No]],'Site Allocation'!$B$2:$C$37,2,FALSE)</f>
        <v>Analyst3</v>
      </c>
      <c r="I755" s="4">
        <f t="shared" ca="1" si="11"/>
        <v>45203</v>
      </c>
      <c r="J755" s="42">
        <f ca="1">TODAY()-qry_ProdData2_PDI_Cash_Exception_Application[[#This Row],[INSERT DATE]]</f>
        <v>13.742928240739275</v>
      </c>
      <c r="K7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55">
        <f ca="1">qry_ProdData2_PDI_Cash_Exception_Application[[#This Row],[TODAY]]-qry_ProdData2_PDI_Cash_Exception_Application[[#This Row],[CHANGED ON]]</f>
        <v>11.742928240739275</v>
      </c>
      <c r="M755">
        <f ca="1">qry_ProdData2_PDI_Cash_Exception_Application[[#This Row],[TODAY]]-qry_ProdData2_PDI_Cash_Exception_Application[[#This Row],[CHANGED ON]]</f>
        <v>11.742928240739275</v>
      </c>
      <c r="N755">
        <f ca="1">qry_ProdData2_PDI_Cash_Exception_Application[[#This Row],[TODAY]]-qry_ProdData2_PDI_Cash_Exception_Application[[#This Row],[CHANGED ON]]</f>
        <v>11.742928240739275</v>
      </c>
    </row>
    <row r="756" spans="1:14" x14ac:dyDescent="0.35">
      <c r="A756">
        <v>1018</v>
      </c>
      <c r="B756" t="s">
        <v>72</v>
      </c>
      <c r="C756" s="1">
        <v>45192.257071759261</v>
      </c>
      <c r="D756" t="str">
        <f ca="1">VLOOKUP(qry_ProdData2_PDI_Cash_Exception_Application[[#This Row],[TYPE]],#REF!,2,FALSE)</f>
        <v>type40</v>
      </c>
      <c r="E756">
        <v>-415.71</v>
      </c>
      <c r="F756" t="s">
        <v>48</v>
      </c>
      <c r="G756" s="1">
        <f>qry_ProdData2_PDI_Cash_Exception_Application[[#This Row],[INSERT DATE]]+1</f>
        <v>45193.257071759261</v>
      </c>
      <c r="H756" t="str">
        <f>VLOOKUP(qry_ProdData2_PDI_Cash_Exception_Application[[#This Row],[MARKET No]],'Site Allocation'!$B$2:$C$37,2,FALSE)</f>
        <v>Analyst4</v>
      </c>
      <c r="I756" s="4">
        <f t="shared" ca="1" si="11"/>
        <v>45203</v>
      </c>
      <c r="J756" s="42">
        <f ca="1">TODAY()-qry_ProdData2_PDI_Cash_Exception_Application[[#This Row],[INSERT DATE]]</f>
        <v>10.742928240739275</v>
      </c>
      <c r="K7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56">
        <f ca="1">qry_ProdData2_PDI_Cash_Exception_Application[[#This Row],[TODAY]]-qry_ProdData2_PDI_Cash_Exception_Application[[#This Row],[CHANGED ON]]</f>
        <v>9.7429282407392748</v>
      </c>
      <c r="M756">
        <f ca="1">qry_ProdData2_PDI_Cash_Exception_Application[[#This Row],[TODAY]]-qry_ProdData2_PDI_Cash_Exception_Application[[#This Row],[CHANGED ON]]</f>
        <v>9.7429282407392748</v>
      </c>
      <c r="N756">
        <f ca="1">qry_ProdData2_PDI_Cash_Exception_Application[[#This Row],[TODAY]]-qry_ProdData2_PDI_Cash_Exception_Application[[#This Row],[CHANGED ON]]</f>
        <v>9.7429282407392748</v>
      </c>
    </row>
    <row r="757" spans="1:14" x14ac:dyDescent="0.35">
      <c r="A757">
        <v>1011</v>
      </c>
      <c r="B757" t="s">
        <v>65</v>
      </c>
      <c r="C757" s="1">
        <v>45184.257071759261</v>
      </c>
      <c r="D757" t="str">
        <f ca="1">VLOOKUP(qry_ProdData2_PDI_Cash_Exception_Application[[#This Row],[TYPE]],#REF!,2,FALSE)</f>
        <v>type40</v>
      </c>
      <c r="E757">
        <v>-323.44</v>
      </c>
      <c r="F757" t="s">
        <v>52</v>
      </c>
      <c r="G757" s="1">
        <f>qry_ProdData2_PDI_Cash_Exception_Application[[#This Row],[INSERT DATE]]+1</f>
        <v>45185.257071759261</v>
      </c>
      <c r="H757" t="str">
        <f>VLOOKUP(qry_ProdData2_PDI_Cash_Exception_Application[[#This Row],[MARKET No]],'Site Allocation'!$B$2:$C$37,2,FALSE)</f>
        <v>Analyst2</v>
      </c>
      <c r="I757" s="4">
        <f t="shared" ca="1" si="11"/>
        <v>45203</v>
      </c>
      <c r="J757" s="42">
        <f ca="1">TODAY()-qry_ProdData2_PDI_Cash_Exception_Application[[#This Row],[INSERT DATE]]</f>
        <v>18.742928240739275</v>
      </c>
      <c r="K7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57">
        <f ca="1">qry_ProdData2_PDI_Cash_Exception_Application[[#This Row],[TODAY]]-qry_ProdData2_PDI_Cash_Exception_Application[[#This Row],[CHANGED ON]]</f>
        <v>17.742928240739275</v>
      </c>
      <c r="M757">
        <f ca="1">qry_ProdData2_PDI_Cash_Exception_Application[[#This Row],[TODAY]]-qry_ProdData2_PDI_Cash_Exception_Application[[#This Row],[CHANGED ON]]</f>
        <v>17.742928240739275</v>
      </c>
      <c r="N757">
        <f ca="1">qry_ProdData2_PDI_Cash_Exception_Application[[#This Row],[TODAY]]-qry_ProdData2_PDI_Cash_Exception_Application[[#This Row],[CHANGED ON]]</f>
        <v>17.742928240739275</v>
      </c>
    </row>
    <row r="758" spans="1:14" x14ac:dyDescent="0.35">
      <c r="A758">
        <v>1030</v>
      </c>
      <c r="B758" t="s">
        <v>84</v>
      </c>
      <c r="C758" s="1">
        <v>45187.257071759261</v>
      </c>
      <c r="D758" t="str">
        <f ca="1">VLOOKUP(qry_ProdData2_PDI_Cash_Exception_Application[[#This Row],[TYPE]],#REF!,2,FALSE)</f>
        <v>type40</v>
      </c>
      <c r="E758">
        <v>-750.18</v>
      </c>
      <c r="F758" t="s">
        <v>47</v>
      </c>
      <c r="G758" s="1">
        <f>qry_ProdData2_PDI_Cash_Exception_Application[[#This Row],[INSERT DATE]]+2</f>
        <v>45189.257071759261</v>
      </c>
      <c r="H758" t="str">
        <f>VLOOKUP(qry_ProdData2_PDI_Cash_Exception_Application[[#This Row],[MARKET No]],'Site Allocation'!$B$2:$C$37,2,FALSE)</f>
        <v>Analyst6</v>
      </c>
      <c r="I758" s="4">
        <f t="shared" ca="1" si="11"/>
        <v>45203</v>
      </c>
      <c r="J758" s="42">
        <f ca="1">TODAY()-qry_ProdData2_PDI_Cash_Exception_Application[[#This Row],[INSERT DATE]]</f>
        <v>15.742928240739275</v>
      </c>
      <c r="K7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58">
        <f ca="1">qry_ProdData2_PDI_Cash_Exception_Application[[#This Row],[TODAY]]-qry_ProdData2_PDI_Cash_Exception_Application[[#This Row],[CHANGED ON]]</f>
        <v>13.742928240739275</v>
      </c>
      <c r="M758">
        <f ca="1">qry_ProdData2_PDI_Cash_Exception_Application[[#This Row],[TODAY]]-qry_ProdData2_PDI_Cash_Exception_Application[[#This Row],[CHANGED ON]]</f>
        <v>13.742928240739275</v>
      </c>
      <c r="N758">
        <f ca="1">qry_ProdData2_PDI_Cash_Exception_Application[[#This Row],[TODAY]]-qry_ProdData2_PDI_Cash_Exception_Application[[#This Row],[CHANGED ON]]</f>
        <v>13.742928240739275</v>
      </c>
    </row>
    <row r="759" spans="1:14" x14ac:dyDescent="0.35">
      <c r="A759">
        <v>1005</v>
      </c>
      <c r="B759" t="s">
        <v>59</v>
      </c>
      <c r="C759" s="1">
        <v>45185.257071759261</v>
      </c>
      <c r="D759" t="str">
        <f ca="1">VLOOKUP(qry_ProdData2_PDI_Cash_Exception_Application[[#This Row],[TYPE]],#REF!,2,FALSE)</f>
        <v>type40</v>
      </c>
      <c r="E759">
        <v>1207.68</v>
      </c>
      <c r="F759" t="s">
        <v>52</v>
      </c>
      <c r="G759" s="1">
        <f>qry_ProdData2_PDI_Cash_Exception_Application[[#This Row],[INSERT DATE]]+1</f>
        <v>45186.257071759261</v>
      </c>
      <c r="H759" t="str">
        <f>VLOOKUP(qry_ProdData2_PDI_Cash_Exception_Application[[#This Row],[MARKET No]],'Site Allocation'!$B$2:$C$37,2,FALSE)</f>
        <v>Analyst1</v>
      </c>
      <c r="I759" s="4">
        <f t="shared" ca="1" si="11"/>
        <v>45203</v>
      </c>
      <c r="J759" s="42">
        <f ca="1">TODAY()-qry_ProdData2_PDI_Cash_Exception_Application[[#This Row],[INSERT DATE]]</f>
        <v>17.742928240739275</v>
      </c>
      <c r="K7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59">
        <f ca="1">qry_ProdData2_PDI_Cash_Exception_Application[[#This Row],[TODAY]]-qry_ProdData2_PDI_Cash_Exception_Application[[#This Row],[CHANGED ON]]</f>
        <v>16.742928240739275</v>
      </c>
      <c r="M759">
        <f ca="1">qry_ProdData2_PDI_Cash_Exception_Application[[#This Row],[TODAY]]-qry_ProdData2_PDI_Cash_Exception_Application[[#This Row],[CHANGED ON]]</f>
        <v>16.742928240739275</v>
      </c>
      <c r="N759">
        <f ca="1">qry_ProdData2_PDI_Cash_Exception_Application[[#This Row],[TODAY]]-qry_ProdData2_PDI_Cash_Exception_Application[[#This Row],[CHANGED ON]]</f>
        <v>16.742928240739275</v>
      </c>
    </row>
    <row r="760" spans="1:14" x14ac:dyDescent="0.35">
      <c r="A760">
        <v>1014</v>
      </c>
      <c r="B760" t="s">
        <v>68</v>
      </c>
      <c r="C760" s="1">
        <v>45180.257071759261</v>
      </c>
      <c r="D760" t="str">
        <f ca="1">VLOOKUP(qry_ProdData2_PDI_Cash_Exception_Application[[#This Row],[TYPE]],#REF!,2,FALSE)</f>
        <v>type13</v>
      </c>
      <c r="E760">
        <v>25113</v>
      </c>
      <c r="F760" t="s">
        <v>48</v>
      </c>
      <c r="G760" s="1">
        <f>qry_ProdData2_PDI_Cash_Exception_Application[[#This Row],[INSERT DATE]]+1</f>
        <v>45181.257071759261</v>
      </c>
      <c r="H760" t="str">
        <f>VLOOKUP(qry_ProdData2_PDI_Cash_Exception_Application[[#This Row],[MARKET No]],'Site Allocation'!$B$2:$C$37,2,FALSE)</f>
        <v>Analyst3</v>
      </c>
      <c r="I760" s="4">
        <f t="shared" ca="1" si="11"/>
        <v>45203</v>
      </c>
      <c r="J760" s="42">
        <f ca="1">TODAY()-qry_ProdData2_PDI_Cash_Exception_Application[[#This Row],[INSERT DATE]]</f>
        <v>22.742928240739275</v>
      </c>
      <c r="K7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60">
        <f ca="1">qry_ProdData2_PDI_Cash_Exception_Application[[#This Row],[TODAY]]-qry_ProdData2_PDI_Cash_Exception_Application[[#This Row],[CHANGED ON]]</f>
        <v>21.742928240739275</v>
      </c>
      <c r="M760">
        <f ca="1">qry_ProdData2_PDI_Cash_Exception_Application[[#This Row],[TODAY]]-qry_ProdData2_PDI_Cash_Exception_Application[[#This Row],[CHANGED ON]]</f>
        <v>21.742928240739275</v>
      </c>
      <c r="N760">
        <f ca="1">qry_ProdData2_PDI_Cash_Exception_Application[[#This Row],[TODAY]]-qry_ProdData2_PDI_Cash_Exception_Application[[#This Row],[CHANGED ON]]</f>
        <v>21.742928240739275</v>
      </c>
    </row>
    <row r="761" spans="1:14" x14ac:dyDescent="0.35">
      <c r="A761">
        <v>1028</v>
      </c>
      <c r="B761" t="s">
        <v>82</v>
      </c>
      <c r="C761" s="1">
        <v>45186.257071759261</v>
      </c>
      <c r="D761" t="str">
        <f ca="1">VLOOKUP(qry_ProdData2_PDI_Cash_Exception_Application[[#This Row],[TYPE]],#REF!,2,FALSE)</f>
        <v>type40</v>
      </c>
      <c r="E761">
        <v>-2735.92</v>
      </c>
      <c r="F761" t="s">
        <v>52</v>
      </c>
      <c r="G761" s="1">
        <f>qry_ProdData2_PDI_Cash_Exception_Application[[#This Row],[INSERT DATE]]+1</f>
        <v>45187.257071759261</v>
      </c>
      <c r="H761" t="str">
        <f>VLOOKUP(qry_ProdData2_PDI_Cash_Exception_Application[[#This Row],[MARKET No]],'Site Allocation'!$B$2:$C$37,2,FALSE)</f>
        <v>Analyst5</v>
      </c>
      <c r="I761" s="4">
        <f t="shared" ca="1" si="11"/>
        <v>45203</v>
      </c>
      <c r="J761" s="42">
        <f ca="1">TODAY()-qry_ProdData2_PDI_Cash_Exception_Application[[#This Row],[INSERT DATE]]</f>
        <v>16.742928240739275</v>
      </c>
      <c r="K7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61">
        <f ca="1">qry_ProdData2_PDI_Cash_Exception_Application[[#This Row],[TODAY]]-qry_ProdData2_PDI_Cash_Exception_Application[[#This Row],[CHANGED ON]]</f>
        <v>15.742928240739275</v>
      </c>
      <c r="M761">
        <f ca="1">qry_ProdData2_PDI_Cash_Exception_Application[[#This Row],[TODAY]]-qry_ProdData2_PDI_Cash_Exception_Application[[#This Row],[CHANGED ON]]</f>
        <v>15.742928240739275</v>
      </c>
      <c r="N761">
        <f ca="1">qry_ProdData2_PDI_Cash_Exception_Application[[#This Row],[TODAY]]-qry_ProdData2_PDI_Cash_Exception_Application[[#This Row],[CHANGED ON]]</f>
        <v>15.742928240739275</v>
      </c>
    </row>
    <row r="762" spans="1:14" x14ac:dyDescent="0.35">
      <c r="A762">
        <v>1006</v>
      </c>
      <c r="B762" t="s">
        <v>60</v>
      </c>
      <c r="C762" s="1">
        <v>45190.257071759261</v>
      </c>
      <c r="D762" t="str">
        <f ca="1">VLOOKUP(qry_ProdData2_PDI_Cash_Exception_Application[[#This Row],[TYPE]],#REF!,2,FALSE)</f>
        <v>type40</v>
      </c>
      <c r="E762">
        <v>-654.74</v>
      </c>
      <c r="F762" t="s">
        <v>51</v>
      </c>
      <c r="G762" s="1">
        <f>qry_ProdData2_PDI_Cash_Exception_Application[[#This Row],[INSERT DATE]]+2</f>
        <v>45192.257071759261</v>
      </c>
      <c r="H762" t="str">
        <f>VLOOKUP(qry_ProdData2_PDI_Cash_Exception_Application[[#This Row],[MARKET No]],'Site Allocation'!$B$2:$C$37,2,FALSE)</f>
        <v>Analyst2</v>
      </c>
      <c r="I762" s="4">
        <f t="shared" ca="1" si="11"/>
        <v>45203</v>
      </c>
      <c r="J762" s="42">
        <f ca="1">TODAY()-qry_ProdData2_PDI_Cash_Exception_Application[[#This Row],[INSERT DATE]]</f>
        <v>12.742928240739275</v>
      </c>
      <c r="K7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62">
        <f ca="1">qry_ProdData2_PDI_Cash_Exception_Application[[#This Row],[TODAY]]-qry_ProdData2_PDI_Cash_Exception_Application[[#This Row],[CHANGED ON]]</f>
        <v>10.742928240739275</v>
      </c>
      <c r="M762">
        <f ca="1">qry_ProdData2_PDI_Cash_Exception_Application[[#This Row],[TODAY]]-qry_ProdData2_PDI_Cash_Exception_Application[[#This Row],[CHANGED ON]]</f>
        <v>10.742928240739275</v>
      </c>
      <c r="N762">
        <f ca="1">qry_ProdData2_PDI_Cash_Exception_Application[[#This Row],[TODAY]]-qry_ProdData2_PDI_Cash_Exception_Application[[#This Row],[CHANGED ON]]</f>
        <v>10.742928240739275</v>
      </c>
    </row>
    <row r="763" spans="1:14" x14ac:dyDescent="0.35">
      <c r="A763">
        <v>1015</v>
      </c>
      <c r="B763" t="s">
        <v>69</v>
      </c>
      <c r="C763" s="1">
        <v>45187.257071759261</v>
      </c>
      <c r="D763" t="str">
        <f ca="1">VLOOKUP(qry_ProdData2_PDI_Cash_Exception_Application[[#This Row],[TYPE]],#REF!,2,FALSE)</f>
        <v>type40</v>
      </c>
      <c r="E763">
        <v>-15418.95</v>
      </c>
      <c r="F763" t="s">
        <v>52</v>
      </c>
      <c r="G763" s="1">
        <f>qry_ProdData2_PDI_Cash_Exception_Application[[#This Row],[INSERT DATE]]+1</f>
        <v>45188.257071759261</v>
      </c>
      <c r="H763" t="str">
        <f>VLOOKUP(qry_ProdData2_PDI_Cash_Exception_Application[[#This Row],[MARKET No]],'Site Allocation'!$B$2:$C$37,2,FALSE)</f>
        <v>Analyst3</v>
      </c>
      <c r="I763" s="4">
        <f t="shared" ca="1" si="11"/>
        <v>45203</v>
      </c>
      <c r="J763" s="42">
        <f ca="1">TODAY()-qry_ProdData2_PDI_Cash_Exception_Application[[#This Row],[INSERT DATE]]</f>
        <v>15.742928240739275</v>
      </c>
      <c r="K7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63">
        <f ca="1">qry_ProdData2_PDI_Cash_Exception_Application[[#This Row],[TODAY]]-qry_ProdData2_PDI_Cash_Exception_Application[[#This Row],[CHANGED ON]]</f>
        <v>14.742928240739275</v>
      </c>
      <c r="M763">
        <f ca="1">qry_ProdData2_PDI_Cash_Exception_Application[[#This Row],[TODAY]]-qry_ProdData2_PDI_Cash_Exception_Application[[#This Row],[CHANGED ON]]</f>
        <v>14.742928240739275</v>
      </c>
      <c r="N763">
        <f ca="1">qry_ProdData2_PDI_Cash_Exception_Application[[#This Row],[TODAY]]-qry_ProdData2_PDI_Cash_Exception_Application[[#This Row],[CHANGED ON]]</f>
        <v>14.742928240739275</v>
      </c>
    </row>
    <row r="764" spans="1:14" x14ac:dyDescent="0.35">
      <c r="A764">
        <v>1034</v>
      </c>
      <c r="B764" t="s">
        <v>88</v>
      </c>
      <c r="C764" s="1">
        <v>45181.257071759261</v>
      </c>
      <c r="D764" t="str">
        <f ca="1">VLOOKUP(qry_ProdData2_PDI_Cash_Exception_Application[[#This Row],[TYPE]],#REF!,2,FALSE)</f>
        <v>type32</v>
      </c>
      <c r="E764">
        <v>16011.39</v>
      </c>
      <c r="F764" t="s">
        <v>48</v>
      </c>
      <c r="G764" s="1">
        <f>qry_ProdData2_PDI_Cash_Exception_Application[[#This Row],[INSERT DATE]]+2</f>
        <v>45183.257071759261</v>
      </c>
      <c r="H764" t="str">
        <f>VLOOKUP(qry_ProdData2_PDI_Cash_Exception_Application[[#This Row],[MARKET No]],'Site Allocation'!$B$2:$C$37,2,FALSE)</f>
        <v>Analyst6</v>
      </c>
      <c r="I764" s="4">
        <f t="shared" ca="1" si="11"/>
        <v>45203</v>
      </c>
      <c r="J764" s="42">
        <f ca="1">TODAY()-qry_ProdData2_PDI_Cash_Exception_Application[[#This Row],[INSERT DATE]]</f>
        <v>21.742928240739275</v>
      </c>
      <c r="K7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64">
        <f ca="1">qry_ProdData2_PDI_Cash_Exception_Application[[#This Row],[TODAY]]-qry_ProdData2_PDI_Cash_Exception_Application[[#This Row],[CHANGED ON]]</f>
        <v>19.742928240739275</v>
      </c>
      <c r="M764">
        <f ca="1">qry_ProdData2_PDI_Cash_Exception_Application[[#This Row],[TODAY]]-qry_ProdData2_PDI_Cash_Exception_Application[[#This Row],[CHANGED ON]]</f>
        <v>19.742928240739275</v>
      </c>
      <c r="N764">
        <f ca="1">qry_ProdData2_PDI_Cash_Exception_Application[[#This Row],[TODAY]]-qry_ProdData2_PDI_Cash_Exception_Application[[#This Row],[CHANGED ON]]</f>
        <v>19.742928240739275</v>
      </c>
    </row>
    <row r="765" spans="1:14" x14ac:dyDescent="0.35">
      <c r="A765">
        <v>1024</v>
      </c>
      <c r="B765" t="s">
        <v>78</v>
      </c>
      <c r="C765" s="1">
        <v>45187.257071759261</v>
      </c>
      <c r="D765" t="str">
        <f ca="1">VLOOKUP(qry_ProdData2_PDI_Cash_Exception_Application[[#This Row],[TYPE]],#REF!,2,FALSE)</f>
        <v>type10</v>
      </c>
      <c r="E765">
        <v>35</v>
      </c>
      <c r="F765" t="s">
        <v>49</v>
      </c>
      <c r="G765" s="1">
        <f>qry_ProdData2_PDI_Cash_Exception_Application[[#This Row],[INSERT DATE]]+1</f>
        <v>45188.257071759261</v>
      </c>
      <c r="H765" t="str">
        <f>VLOOKUP(qry_ProdData2_PDI_Cash_Exception_Application[[#This Row],[MARKET No]],'Site Allocation'!$B$2:$C$37,2,FALSE)</f>
        <v>Analyst5</v>
      </c>
      <c r="I765" s="4">
        <f t="shared" ca="1" si="11"/>
        <v>45203</v>
      </c>
      <c r="J765" s="42">
        <f ca="1">TODAY()-qry_ProdData2_PDI_Cash_Exception_Application[[#This Row],[INSERT DATE]]</f>
        <v>15.742928240739275</v>
      </c>
      <c r="K7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65">
        <f ca="1">qry_ProdData2_PDI_Cash_Exception_Application[[#This Row],[TODAY]]-qry_ProdData2_PDI_Cash_Exception_Application[[#This Row],[CHANGED ON]]</f>
        <v>14.742928240739275</v>
      </c>
      <c r="M765">
        <f ca="1">qry_ProdData2_PDI_Cash_Exception_Application[[#This Row],[TODAY]]-qry_ProdData2_PDI_Cash_Exception_Application[[#This Row],[CHANGED ON]]</f>
        <v>14.742928240739275</v>
      </c>
      <c r="N765">
        <f ca="1">qry_ProdData2_PDI_Cash_Exception_Application[[#This Row],[TODAY]]-qry_ProdData2_PDI_Cash_Exception_Application[[#This Row],[CHANGED ON]]</f>
        <v>14.742928240739275</v>
      </c>
    </row>
    <row r="766" spans="1:14" x14ac:dyDescent="0.35">
      <c r="A766">
        <v>1025</v>
      </c>
      <c r="B766" t="s">
        <v>79</v>
      </c>
      <c r="C766" s="1">
        <v>45188.257071759261</v>
      </c>
      <c r="D766" t="str">
        <f ca="1">VLOOKUP(qry_ProdData2_PDI_Cash_Exception_Application[[#This Row],[TYPE]],#REF!,2,FALSE)</f>
        <v>type40</v>
      </c>
      <c r="E766">
        <v>418.65</v>
      </c>
      <c r="F766" t="s">
        <v>49</v>
      </c>
      <c r="G766" s="1">
        <f>qry_ProdData2_PDI_Cash_Exception_Application[[#This Row],[INSERT DATE]]+1</f>
        <v>45189.257071759261</v>
      </c>
      <c r="H766" t="str">
        <f>VLOOKUP(qry_ProdData2_PDI_Cash_Exception_Application[[#This Row],[MARKET No]],'Site Allocation'!$B$2:$C$37,2,FALSE)</f>
        <v>Analyst5</v>
      </c>
      <c r="I766" s="4">
        <f t="shared" ca="1" si="11"/>
        <v>45203</v>
      </c>
      <c r="J766" s="42">
        <f ca="1">TODAY()-qry_ProdData2_PDI_Cash_Exception_Application[[#This Row],[INSERT DATE]]</f>
        <v>14.742928240739275</v>
      </c>
      <c r="K7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66">
        <f ca="1">qry_ProdData2_PDI_Cash_Exception_Application[[#This Row],[TODAY]]-qry_ProdData2_PDI_Cash_Exception_Application[[#This Row],[CHANGED ON]]</f>
        <v>13.742928240739275</v>
      </c>
      <c r="M766">
        <f ca="1">qry_ProdData2_PDI_Cash_Exception_Application[[#This Row],[TODAY]]-qry_ProdData2_PDI_Cash_Exception_Application[[#This Row],[CHANGED ON]]</f>
        <v>13.742928240739275</v>
      </c>
      <c r="N766">
        <f ca="1">qry_ProdData2_PDI_Cash_Exception_Application[[#This Row],[TODAY]]-qry_ProdData2_PDI_Cash_Exception_Application[[#This Row],[CHANGED ON]]</f>
        <v>13.742928240739275</v>
      </c>
    </row>
    <row r="767" spans="1:14" x14ac:dyDescent="0.35">
      <c r="A767">
        <v>1006</v>
      </c>
      <c r="B767" t="s">
        <v>60</v>
      </c>
      <c r="C767" s="1">
        <v>45191.257071759261</v>
      </c>
      <c r="D767" t="str">
        <f ca="1">VLOOKUP(qry_ProdData2_PDI_Cash_Exception_Application[[#This Row],[TYPE]],#REF!,2,FALSE)</f>
        <v>type40</v>
      </c>
      <c r="E767">
        <v>-351.86</v>
      </c>
      <c r="F767" t="s">
        <v>51</v>
      </c>
      <c r="G767" s="1">
        <f>qry_ProdData2_PDI_Cash_Exception_Application[[#This Row],[INSERT DATE]]+2</f>
        <v>45193.257071759261</v>
      </c>
      <c r="H767" t="str">
        <f>VLOOKUP(qry_ProdData2_PDI_Cash_Exception_Application[[#This Row],[MARKET No]],'Site Allocation'!$B$2:$C$37,2,FALSE)</f>
        <v>Analyst2</v>
      </c>
      <c r="I767" s="4">
        <f t="shared" ca="1" si="11"/>
        <v>45203</v>
      </c>
      <c r="J767" s="42">
        <f ca="1">TODAY()-qry_ProdData2_PDI_Cash_Exception_Application[[#This Row],[INSERT DATE]]</f>
        <v>11.742928240739275</v>
      </c>
      <c r="K7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67">
        <f ca="1">qry_ProdData2_PDI_Cash_Exception_Application[[#This Row],[TODAY]]-qry_ProdData2_PDI_Cash_Exception_Application[[#This Row],[CHANGED ON]]</f>
        <v>9.7429282407392748</v>
      </c>
      <c r="M767">
        <f ca="1">qry_ProdData2_PDI_Cash_Exception_Application[[#This Row],[TODAY]]-qry_ProdData2_PDI_Cash_Exception_Application[[#This Row],[CHANGED ON]]</f>
        <v>9.7429282407392748</v>
      </c>
      <c r="N767">
        <f ca="1">qry_ProdData2_PDI_Cash_Exception_Application[[#This Row],[TODAY]]-qry_ProdData2_PDI_Cash_Exception_Application[[#This Row],[CHANGED ON]]</f>
        <v>9.7429282407392748</v>
      </c>
    </row>
    <row r="768" spans="1:14" x14ac:dyDescent="0.35">
      <c r="A768">
        <v>1003</v>
      </c>
      <c r="B768" t="s">
        <v>57</v>
      </c>
      <c r="C768" s="1">
        <v>45192.257071759261</v>
      </c>
      <c r="D768" t="str">
        <f ca="1">VLOOKUP(qry_ProdData2_PDI_Cash_Exception_Application[[#This Row],[TYPE]],#REF!,2,FALSE)</f>
        <v>type40</v>
      </c>
      <c r="E768">
        <v>315.10000000000002</v>
      </c>
      <c r="F768" t="s">
        <v>49</v>
      </c>
      <c r="G768" s="1">
        <f>qry_ProdData2_PDI_Cash_Exception_Application[[#This Row],[INSERT DATE]]+1</f>
        <v>45193.257071759261</v>
      </c>
      <c r="H768" t="str">
        <f>VLOOKUP(qry_ProdData2_PDI_Cash_Exception_Application[[#This Row],[MARKET No]],'Site Allocation'!$B$2:$C$37,2,FALSE)</f>
        <v>Analyst1</v>
      </c>
      <c r="I768" s="4">
        <f t="shared" ca="1" si="11"/>
        <v>45203</v>
      </c>
      <c r="J768" s="42">
        <f ca="1">TODAY()-qry_ProdData2_PDI_Cash_Exception_Application[[#This Row],[INSERT DATE]]</f>
        <v>10.742928240739275</v>
      </c>
      <c r="K7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68">
        <f ca="1">qry_ProdData2_PDI_Cash_Exception_Application[[#This Row],[TODAY]]-qry_ProdData2_PDI_Cash_Exception_Application[[#This Row],[CHANGED ON]]</f>
        <v>9.7429282407392748</v>
      </c>
      <c r="M768">
        <f ca="1">qry_ProdData2_PDI_Cash_Exception_Application[[#This Row],[TODAY]]-qry_ProdData2_PDI_Cash_Exception_Application[[#This Row],[CHANGED ON]]</f>
        <v>9.7429282407392748</v>
      </c>
      <c r="N768">
        <f ca="1">qry_ProdData2_PDI_Cash_Exception_Application[[#This Row],[TODAY]]-qry_ProdData2_PDI_Cash_Exception_Application[[#This Row],[CHANGED ON]]</f>
        <v>9.7429282407392748</v>
      </c>
    </row>
    <row r="769" spans="1:14" x14ac:dyDescent="0.35">
      <c r="A769">
        <v>1002</v>
      </c>
      <c r="B769" t="s">
        <v>56</v>
      </c>
      <c r="C769" s="1">
        <v>45189.257071759261</v>
      </c>
      <c r="D769" t="str">
        <f ca="1">VLOOKUP(qry_ProdData2_PDI_Cash_Exception_Application[[#This Row],[TYPE]],#REF!,2,FALSE)</f>
        <v>type40</v>
      </c>
      <c r="E769">
        <v>949.86</v>
      </c>
      <c r="F769" t="s">
        <v>47</v>
      </c>
      <c r="G769" s="1">
        <f>qry_ProdData2_PDI_Cash_Exception_Application[[#This Row],[INSERT DATE]]+2</f>
        <v>45191.257071759261</v>
      </c>
      <c r="H769" t="str">
        <f>VLOOKUP(qry_ProdData2_PDI_Cash_Exception_Application[[#This Row],[MARKET No]],'Site Allocation'!$B$2:$C$37,2,FALSE)</f>
        <v>Analyst1</v>
      </c>
      <c r="I769" s="4">
        <f t="shared" ca="1" si="11"/>
        <v>45203</v>
      </c>
      <c r="J769" s="42">
        <f ca="1">TODAY()-qry_ProdData2_PDI_Cash_Exception_Application[[#This Row],[INSERT DATE]]</f>
        <v>13.742928240739275</v>
      </c>
      <c r="K7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69">
        <f ca="1">qry_ProdData2_PDI_Cash_Exception_Application[[#This Row],[TODAY]]-qry_ProdData2_PDI_Cash_Exception_Application[[#This Row],[CHANGED ON]]</f>
        <v>11.742928240739275</v>
      </c>
      <c r="M769">
        <f ca="1">qry_ProdData2_PDI_Cash_Exception_Application[[#This Row],[TODAY]]-qry_ProdData2_PDI_Cash_Exception_Application[[#This Row],[CHANGED ON]]</f>
        <v>11.742928240739275</v>
      </c>
      <c r="N769">
        <f ca="1">qry_ProdData2_PDI_Cash_Exception_Application[[#This Row],[TODAY]]-qry_ProdData2_PDI_Cash_Exception_Application[[#This Row],[CHANGED ON]]</f>
        <v>11.742928240739275</v>
      </c>
    </row>
    <row r="770" spans="1:14" x14ac:dyDescent="0.35">
      <c r="A770">
        <v>1023</v>
      </c>
      <c r="B770" t="s">
        <v>77</v>
      </c>
      <c r="C770" s="1">
        <v>45192.257071759261</v>
      </c>
      <c r="D770" t="str">
        <f ca="1">VLOOKUP(qry_ProdData2_PDI_Cash_Exception_Application[[#This Row],[TYPE]],#REF!,2,FALSE)</f>
        <v>type40</v>
      </c>
      <c r="E770">
        <v>511.22</v>
      </c>
      <c r="F770" t="s">
        <v>52</v>
      </c>
      <c r="G770" s="1">
        <f>qry_ProdData2_PDI_Cash_Exception_Application[[#This Row],[INSERT DATE]]+1</f>
        <v>45193.257071759261</v>
      </c>
      <c r="H770" t="str">
        <f>VLOOKUP(qry_ProdData2_PDI_Cash_Exception_Application[[#This Row],[MARKET No]],'Site Allocation'!$B$2:$C$37,2,FALSE)</f>
        <v>Analyst4</v>
      </c>
      <c r="I770" s="4">
        <f t="shared" ref="I770:I833" ca="1" si="12">TODAY()</f>
        <v>45203</v>
      </c>
      <c r="J770" s="42">
        <f ca="1">TODAY()-qry_ProdData2_PDI_Cash_Exception_Application[[#This Row],[INSERT DATE]]</f>
        <v>10.742928240739275</v>
      </c>
      <c r="K7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70">
        <f ca="1">qry_ProdData2_PDI_Cash_Exception_Application[[#This Row],[TODAY]]-qry_ProdData2_PDI_Cash_Exception_Application[[#This Row],[CHANGED ON]]</f>
        <v>9.7429282407392748</v>
      </c>
      <c r="M770">
        <f ca="1">qry_ProdData2_PDI_Cash_Exception_Application[[#This Row],[TODAY]]-qry_ProdData2_PDI_Cash_Exception_Application[[#This Row],[CHANGED ON]]</f>
        <v>9.7429282407392748</v>
      </c>
      <c r="N770">
        <f ca="1">qry_ProdData2_PDI_Cash_Exception_Application[[#This Row],[TODAY]]-qry_ProdData2_PDI_Cash_Exception_Application[[#This Row],[CHANGED ON]]</f>
        <v>9.7429282407392748</v>
      </c>
    </row>
    <row r="771" spans="1:14" x14ac:dyDescent="0.35">
      <c r="A771">
        <v>1026</v>
      </c>
      <c r="B771" t="s">
        <v>80</v>
      </c>
      <c r="C771" s="1">
        <v>45193.257071759261</v>
      </c>
      <c r="D771" t="str">
        <f ca="1">VLOOKUP(qry_ProdData2_PDI_Cash_Exception_Application[[#This Row],[TYPE]],#REF!,2,FALSE)</f>
        <v>type40</v>
      </c>
      <c r="E771">
        <v>-304.72000000000003</v>
      </c>
      <c r="F771" t="s">
        <v>50</v>
      </c>
      <c r="G771" s="1">
        <f>qry_ProdData2_PDI_Cash_Exception_Application[[#This Row],[INSERT DATE]]+1</f>
        <v>45194.257071759261</v>
      </c>
      <c r="H771" t="str">
        <f>VLOOKUP(qry_ProdData2_PDI_Cash_Exception_Application[[#This Row],[MARKET No]],'Site Allocation'!$B$2:$C$37,2,FALSE)</f>
        <v>Analyst5</v>
      </c>
      <c r="I771" s="4">
        <f t="shared" ca="1" si="12"/>
        <v>45203</v>
      </c>
      <c r="J771" s="42">
        <f ca="1">TODAY()-qry_ProdData2_PDI_Cash_Exception_Application[[#This Row],[INSERT DATE]]</f>
        <v>9.7429282407392748</v>
      </c>
      <c r="K7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71">
        <f ca="1">qry_ProdData2_PDI_Cash_Exception_Application[[#This Row],[TODAY]]-qry_ProdData2_PDI_Cash_Exception_Application[[#This Row],[CHANGED ON]]</f>
        <v>8.7429282407392748</v>
      </c>
      <c r="M771">
        <f ca="1">qry_ProdData2_PDI_Cash_Exception_Application[[#This Row],[TODAY]]-qry_ProdData2_PDI_Cash_Exception_Application[[#This Row],[CHANGED ON]]</f>
        <v>8.7429282407392748</v>
      </c>
      <c r="N771">
        <f ca="1">qry_ProdData2_PDI_Cash_Exception_Application[[#This Row],[TODAY]]-qry_ProdData2_PDI_Cash_Exception_Application[[#This Row],[CHANGED ON]]</f>
        <v>8.7429282407392748</v>
      </c>
    </row>
    <row r="772" spans="1:14" x14ac:dyDescent="0.35">
      <c r="A772">
        <v>1003</v>
      </c>
      <c r="B772" t="s">
        <v>57</v>
      </c>
      <c r="C772" s="1">
        <v>45194.257071759261</v>
      </c>
      <c r="D772" t="str">
        <f ca="1">VLOOKUP(qry_ProdData2_PDI_Cash_Exception_Application[[#This Row],[TYPE]],#REF!,2,FALSE)</f>
        <v>type40</v>
      </c>
      <c r="E772">
        <v>820.99</v>
      </c>
      <c r="F772" t="s">
        <v>52</v>
      </c>
      <c r="G772" s="1">
        <f>qry_ProdData2_PDI_Cash_Exception_Application[[#This Row],[INSERT DATE]]+1</f>
        <v>45195.257071759261</v>
      </c>
      <c r="H772" t="str">
        <f>VLOOKUP(qry_ProdData2_PDI_Cash_Exception_Application[[#This Row],[MARKET No]],'Site Allocation'!$B$2:$C$37,2,FALSE)</f>
        <v>Analyst1</v>
      </c>
      <c r="I772" s="4">
        <f t="shared" ca="1" si="12"/>
        <v>45203</v>
      </c>
      <c r="J772" s="42">
        <f ca="1">TODAY()-qry_ProdData2_PDI_Cash_Exception_Application[[#This Row],[INSERT DATE]]</f>
        <v>8.7429282407392748</v>
      </c>
      <c r="K7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772">
        <f ca="1">qry_ProdData2_PDI_Cash_Exception_Application[[#This Row],[TODAY]]-qry_ProdData2_PDI_Cash_Exception_Application[[#This Row],[CHANGED ON]]</f>
        <v>7.7429282407392748</v>
      </c>
      <c r="M772">
        <f ca="1">qry_ProdData2_PDI_Cash_Exception_Application[[#This Row],[TODAY]]-qry_ProdData2_PDI_Cash_Exception_Application[[#This Row],[CHANGED ON]]</f>
        <v>7.7429282407392748</v>
      </c>
      <c r="N772">
        <f ca="1">qry_ProdData2_PDI_Cash_Exception_Application[[#This Row],[TODAY]]-qry_ProdData2_PDI_Cash_Exception_Application[[#This Row],[CHANGED ON]]</f>
        <v>7.7429282407392748</v>
      </c>
    </row>
    <row r="773" spans="1:14" x14ac:dyDescent="0.35">
      <c r="A773">
        <v>1035</v>
      </c>
      <c r="B773" t="s">
        <v>89</v>
      </c>
      <c r="C773" s="1">
        <v>45195.257071759261</v>
      </c>
      <c r="D773" t="str">
        <f ca="1">VLOOKUP(qry_ProdData2_PDI_Cash_Exception_Application[[#This Row],[TYPE]],#REF!,2,FALSE)</f>
        <v>type54</v>
      </c>
      <c r="E773">
        <v>9.01</v>
      </c>
      <c r="F773" t="s">
        <v>52</v>
      </c>
      <c r="G773" s="1">
        <f>qry_ProdData2_PDI_Cash_Exception_Application[[#This Row],[INSERT DATE]]+2</f>
        <v>45197.257071759261</v>
      </c>
      <c r="H773" t="str">
        <f>VLOOKUP(qry_ProdData2_PDI_Cash_Exception_Application[[#This Row],[MARKET No]],'Site Allocation'!$B$2:$C$37,2,FALSE)</f>
        <v>Analyst6</v>
      </c>
      <c r="I773" s="4">
        <f t="shared" ca="1" si="12"/>
        <v>45203</v>
      </c>
      <c r="J773" s="42">
        <f ca="1">TODAY()-qry_ProdData2_PDI_Cash_Exception_Application[[#This Row],[INSERT DATE]]</f>
        <v>7.7429282407392748</v>
      </c>
      <c r="K7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773">
        <f ca="1">qry_ProdData2_PDI_Cash_Exception_Application[[#This Row],[TODAY]]-qry_ProdData2_PDI_Cash_Exception_Application[[#This Row],[CHANGED ON]]</f>
        <v>5.7429282407392748</v>
      </c>
      <c r="M773">
        <f ca="1">qry_ProdData2_PDI_Cash_Exception_Application[[#This Row],[TODAY]]-qry_ProdData2_PDI_Cash_Exception_Application[[#This Row],[CHANGED ON]]</f>
        <v>5.7429282407392748</v>
      </c>
      <c r="N773">
        <f ca="1">qry_ProdData2_PDI_Cash_Exception_Application[[#This Row],[TODAY]]-qry_ProdData2_PDI_Cash_Exception_Application[[#This Row],[CHANGED ON]]</f>
        <v>5.7429282407392748</v>
      </c>
    </row>
    <row r="774" spans="1:14" x14ac:dyDescent="0.35">
      <c r="A774">
        <v>1023</v>
      </c>
      <c r="B774" t="s">
        <v>77</v>
      </c>
      <c r="C774" s="1">
        <v>45182.257071759261</v>
      </c>
      <c r="D774" t="str">
        <f ca="1">VLOOKUP(qry_ProdData2_PDI_Cash_Exception_Application[[#This Row],[TYPE]],#REF!,2,FALSE)</f>
        <v>type13</v>
      </c>
      <c r="E774">
        <v>16724.98</v>
      </c>
      <c r="F774" t="s">
        <v>48</v>
      </c>
      <c r="G774" s="1">
        <f>qry_ProdData2_PDI_Cash_Exception_Application[[#This Row],[INSERT DATE]]+2</f>
        <v>45184.257071759261</v>
      </c>
      <c r="H774" t="str">
        <f>VLOOKUP(qry_ProdData2_PDI_Cash_Exception_Application[[#This Row],[MARKET No]],'Site Allocation'!$B$2:$C$37,2,FALSE)</f>
        <v>Analyst4</v>
      </c>
      <c r="I774" s="4">
        <f t="shared" ca="1" si="12"/>
        <v>45203</v>
      </c>
      <c r="J774" s="42">
        <f ca="1">TODAY()-qry_ProdData2_PDI_Cash_Exception_Application[[#This Row],[INSERT DATE]]</f>
        <v>20.742928240739275</v>
      </c>
      <c r="K7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74">
        <f ca="1">qry_ProdData2_PDI_Cash_Exception_Application[[#This Row],[TODAY]]-qry_ProdData2_PDI_Cash_Exception_Application[[#This Row],[CHANGED ON]]</f>
        <v>18.742928240739275</v>
      </c>
      <c r="M774">
        <f ca="1">qry_ProdData2_PDI_Cash_Exception_Application[[#This Row],[TODAY]]-qry_ProdData2_PDI_Cash_Exception_Application[[#This Row],[CHANGED ON]]</f>
        <v>18.742928240739275</v>
      </c>
      <c r="N774">
        <f ca="1">qry_ProdData2_PDI_Cash_Exception_Application[[#This Row],[TODAY]]-qry_ProdData2_PDI_Cash_Exception_Application[[#This Row],[CHANGED ON]]</f>
        <v>18.742928240739275</v>
      </c>
    </row>
    <row r="775" spans="1:14" x14ac:dyDescent="0.35">
      <c r="A775">
        <v>1007</v>
      </c>
      <c r="B775" t="s">
        <v>61</v>
      </c>
      <c r="C775" s="1">
        <v>45189.257071759261</v>
      </c>
      <c r="D775" t="str">
        <f ca="1">VLOOKUP(qry_ProdData2_PDI_Cash_Exception_Application[[#This Row],[TYPE]],#REF!,2,FALSE)</f>
        <v>type40</v>
      </c>
      <c r="E775">
        <v>580.46</v>
      </c>
      <c r="F775" t="s">
        <v>51</v>
      </c>
      <c r="G775" s="1">
        <f>qry_ProdData2_PDI_Cash_Exception_Application[[#This Row],[INSERT DATE]]+7</f>
        <v>45196.257071759261</v>
      </c>
      <c r="H775" t="str">
        <f>VLOOKUP(qry_ProdData2_PDI_Cash_Exception_Application[[#This Row],[MARKET No]],'Site Allocation'!$B$2:$C$37,2,FALSE)</f>
        <v>Analyst2</v>
      </c>
      <c r="I775" s="4">
        <f t="shared" ca="1" si="12"/>
        <v>45203</v>
      </c>
      <c r="J775" s="42">
        <f ca="1">TODAY()-qry_ProdData2_PDI_Cash_Exception_Application[[#This Row],[INSERT DATE]]</f>
        <v>13.742928240739275</v>
      </c>
      <c r="K7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75">
        <f ca="1">qry_ProdData2_PDI_Cash_Exception_Application[[#This Row],[TODAY]]-qry_ProdData2_PDI_Cash_Exception_Application[[#This Row],[CHANGED ON]]</f>
        <v>6.7429282407392748</v>
      </c>
      <c r="M775">
        <f ca="1">qry_ProdData2_PDI_Cash_Exception_Application[[#This Row],[TODAY]]-qry_ProdData2_PDI_Cash_Exception_Application[[#This Row],[CHANGED ON]]</f>
        <v>6.7429282407392748</v>
      </c>
      <c r="N775">
        <f ca="1">qry_ProdData2_PDI_Cash_Exception_Application[[#This Row],[TODAY]]-qry_ProdData2_PDI_Cash_Exception_Application[[#This Row],[CHANGED ON]]</f>
        <v>6.7429282407392748</v>
      </c>
    </row>
    <row r="776" spans="1:14" x14ac:dyDescent="0.35">
      <c r="A776">
        <v>1014</v>
      </c>
      <c r="B776" t="s">
        <v>68</v>
      </c>
      <c r="C776" s="1">
        <v>45179.257071759261</v>
      </c>
      <c r="D776" t="str">
        <f ca="1">VLOOKUP(qry_ProdData2_PDI_Cash_Exception_Application[[#This Row],[TYPE]],#REF!,2,FALSE)</f>
        <v>type40</v>
      </c>
      <c r="E776">
        <v>131</v>
      </c>
      <c r="F776" t="s">
        <v>49</v>
      </c>
      <c r="G776" s="1">
        <f>qry_ProdData2_PDI_Cash_Exception_Application[[#This Row],[INSERT DATE]]+2</f>
        <v>45181.257071759261</v>
      </c>
      <c r="H776" t="str">
        <f>VLOOKUP(qry_ProdData2_PDI_Cash_Exception_Application[[#This Row],[MARKET No]],'Site Allocation'!$B$2:$C$37,2,FALSE)</f>
        <v>Analyst3</v>
      </c>
      <c r="I776" s="4">
        <f t="shared" ca="1" si="12"/>
        <v>45203</v>
      </c>
      <c r="J776" s="42">
        <f ca="1">TODAY()-qry_ProdData2_PDI_Cash_Exception_Application[[#This Row],[INSERT DATE]]</f>
        <v>23.742928240739275</v>
      </c>
      <c r="K7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76">
        <f ca="1">qry_ProdData2_PDI_Cash_Exception_Application[[#This Row],[TODAY]]-qry_ProdData2_PDI_Cash_Exception_Application[[#This Row],[CHANGED ON]]</f>
        <v>21.742928240739275</v>
      </c>
      <c r="M776">
        <f ca="1">qry_ProdData2_PDI_Cash_Exception_Application[[#This Row],[TODAY]]-qry_ProdData2_PDI_Cash_Exception_Application[[#This Row],[CHANGED ON]]</f>
        <v>21.742928240739275</v>
      </c>
      <c r="N776">
        <f ca="1">qry_ProdData2_PDI_Cash_Exception_Application[[#This Row],[TODAY]]-qry_ProdData2_PDI_Cash_Exception_Application[[#This Row],[CHANGED ON]]</f>
        <v>21.742928240739275</v>
      </c>
    </row>
    <row r="777" spans="1:14" x14ac:dyDescent="0.35">
      <c r="A777">
        <v>1022</v>
      </c>
      <c r="B777" t="s">
        <v>76</v>
      </c>
      <c r="C777" s="1">
        <v>45191.257071759261</v>
      </c>
      <c r="D777" t="str">
        <f ca="1">VLOOKUP(qry_ProdData2_PDI_Cash_Exception_Application[[#This Row],[TYPE]],#REF!,2,FALSE)</f>
        <v>type40</v>
      </c>
      <c r="E777">
        <v>356.79</v>
      </c>
      <c r="F777" t="s">
        <v>47</v>
      </c>
      <c r="G777" s="1">
        <f>qry_ProdData2_PDI_Cash_Exception_Application[[#This Row],[INSERT DATE]]+2</f>
        <v>45193.257071759261</v>
      </c>
      <c r="H777" t="str">
        <f>VLOOKUP(qry_ProdData2_PDI_Cash_Exception_Application[[#This Row],[MARKET No]],'Site Allocation'!$B$2:$C$37,2,FALSE)</f>
        <v>Analyst4</v>
      </c>
      <c r="I777" s="4">
        <f t="shared" ca="1" si="12"/>
        <v>45203</v>
      </c>
      <c r="J777" s="42">
        <f ca="1">TODAY()-qry_ProdData2_PDI_Cash_Exception_Application[[#This Row],[INSERT DATE]]</f>
        <v>11.742928240739275</v>
      </c>
      <c r="K7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77">
        <f ca="1">qry_ProdData2_PDI_Cash_Exception_Application[[#This Row],[TODAY]]-qry_ProdData2_PDI_Cash_Exception_Application[[#This Row],[CHANGED ON]]</f>
        <v>9.7429282407392748</v>
      </c>
      <c r="M777">
        <f ca="1">qry_ProdData2_PDI_Cash_Exception_Application[[#This Row],[TODAY]]-qry_ProdData2_PDI_Cash_Exception_Application[[#This Row],[CHANGED ON]]</f>
        <v>9.7429282407392748</v>
      </c>
      <c r="N777">
        <f ca="1">qry_ProdData2_PDI_Cash_Exception_Application[[#This Row],[TODAY]]-qry_ProdData2_PDI_Cash_Exception_Application[[#This Row],[CHANGED ON]]</f>
        <v>9.7429282407392748</v>
      </c>
    </row>
    <row r="778" spans="1:14" x14ac:dyDescent="0.35">
      <c r="A778">
        <v>1024</v>
      </c>
      <c r="B778" t="s">
        <v>78</v>
      </c>
      <c r="C778" s="1">
        <v>45181.257071759261</v>
      </c>
      <c r="D778" t="str">
        <f ca="1">VLOOKUP(qry_ProdData2_PDI_Cash_Exception_Application[[#This Row],[TYPE]],#REF!,2,FALSE)</f>
        <v>type40</v>
      </c>
      <c r="E778">
        <v>-312.3</v>
      </c>
      <c r="F778" t="s">
        <v>49</v>
      </c>
      <c r="G778" s="1">
        <f>qry_ProdData2_PDI_Cash_Exception_Application[[#This Row],[INSERT DATE]]+2</f>
        <v>45183.257071759261</v>
      </c>
      <c r="H778" t="str">
        <f>VLOOKUP(qry_ProdData2_PDI_Cash_Exception_Application[[#This Row],[MARKET No]],'Site Allocation'!$B$2:$C$37,2,FALSE)</f>
        <v>Analyst5</v>
      </c>
      <c r="I778" s="4">
        <f t="shared" ca="1" si="12"/>
        <v>45203</v>
      </c>
      <c r="J778" s="42">
        <f ca="1">TODAY()-qry_ProdData2_PDI_Cash_Exception_Application[[#This Row],[INSERT DATE]]</f>
        <v>21.742928240739275</v>
      </c>
      <c r="K7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78">
        <f ca="1">qry_ProdData2_PDI_Cash_Exception_Application[[#This Row],[TODAY]]-qry_ProdData2_PDI_Cash_Exception_Application[[#This Row],[CHANGED ON]]</f>
        <v>19.742928240739275</v>
      </c>
      <c r="M778">
        <f ca="1">qry_ProdData2_PDI_Cash_Exception_Application[[#This Row],[TODAY]]-qry_ProdData2_PDI_Cash_Exception_Application[[#This Row],[CHANGED ON]]</f>
        <v>19.742928240739275</v>
      </c>
      <c r="N778">
        <f ca="1">qry_ProdData2_PDI_Cash_Exception_Application[[#This Row],[TODAY]]-qry_ProdData2_PDI_Cash_Exception_Application[[#This Row],[CHANGED ON]]</f>
        <v>19.742928240739275</v>
      </c>
    </row>
    <row r="779" spans="1:14" x14ac:dyDescent="0.35">
      <c r="A779">
        <v>1017</v>
      </c>
      <c r="B779" t="s">
        <v>71</v>
      </c>
      <c r="C779" s="1">
        <v>45187.257071759261</v>
      </c>
      <c r="D779" t="str">
        <f ca="1">VLOOKUP(qry_ProdData2_PDI_Cash_Exception_Application[[#This Row],[TYPE]],#REF!,2,FALSE)</f>
        <v>type40</v>
      </c>
      <c r="E779">
        <v>407.67</v>
      </c>
      <c r="F779" t="s">
        <v>52</v>
      </c>
      <c r="G779" s="1">
        <f>qry_ProdData2_PDI_Cash_Exception_Application[[#This Row],[INSERT DATE]]+2</f>
        <v>45189.257071759261</v>
      </c>
      <c r="H779" t="str">
        <f>VLOOKUP(qry_ProdData2_PDI_Cash_Exception_Application[[#This Row],[MARKET No]],'Site Allocation'!$B$2:$C$37,2,FALSE)</f>
        <v>Analyst3</v>
      </c>
      <c r="I779" s="4">
        <f t="shared" ca="1" si="12"/>
        <v>45203</v>
      </c>
      <c r="J779" s="42">
        <f ca="1">TODAY()-qry_ProdData2_PDI_Cash_Exception_Application[[#This Row],[INSERT DATE]]</f>
        <v>15.742928240739275</v>
      </c>
      <c r="K7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79">
        <f ca="1">qry_ProdData2_PDI_Cash_Exception_Application[[#This Row],[TODAY]]-qry_ProdData2_PDI_Cash_Exception_Application[[#This Row],[CHANGED ON]]</f>
        <v>13.742928240739275</v>
      </c>
      <c r="M779">
        <f ca="1">qry_ProdData2_PDI_Cash_Exception_Application[[#This Row],[TODAY]]-qry_ProdData2_PDI_Cash_Exception_Application[[#This Row],[CHANGED ON]]</f>
        <v>13.742928240739275</v>
      </c>
      <c r="N779">
        <f ca="1">qry_ProdData2_PDI_Cash_Exception_Application[[#This Row],[TODAY]]-qry_ProdData2_PDI_Cash_Exception_Application[[#This Row],[CHANGED ON]]</f>
        <v>13.742928240739275</v>
      </c>
    </row>
    <row r="780" spans="1:14" x14ac:dyDescent="0.35">
      <c r="A780">
        <v>1019</v>
      </c>
      <c r="B780" t="s">
        <v>73</v>
      </c>
      <c r="C780" s="1">
        <v>45182.257071759261</v>
      </c>
      <c r="D780" t="str">
        <f ca="1">VLOOKUP(qry_ProdData2_PDI_Cash_Exception_Application[[#This Row],[TYPE]],#REF!,2,FALSE)</f>
        <v>type40</v>
      </c>
      <c r="E780">
        <v>10</v>
      </c>
      <c r="F780" t="s">
        <v>47</v>
      </c>
      <c r="G780" s="1">
        <f>qry_ProdData2_PDI_Cash_Exception_Application[[#This Row],[INSERT DATE]]+5</f>
        <v>45187.257071759261</v>
      </c>
      <c r="H780" t="str">
        <f>VLOOKUP(qry_ProdData2_PDI_Cash_Exception_Application[[#This Row],[MARKET No]],'Site Allocation'!$B$2:$C$37,2,FALSE)</f>
        <v>Analyst4</v>
      </c>
      <c r="I780" s="4">
        <f t="shared" ca="1" si="12"/>
        <v>45203</v>
      </c>
      <c r="J780" s="42">
        <f ca="1">TODAY()-qry_ProdData2_PDI_Cash_Exception_Application[[#This Row],[INSERT DATE]]</f>
        <v>20.742928240739275</v>
      </c>
      <c r="K7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80">
        <f ca="1">qry_ProdData2_PDI_Cash_Exception_Application[[#This Row],[TODAY]]-qry_ProdData2_PDI_Cash_Exception_Application[[#This Row],[CHANGED ON]]</f>
        <v>15.742928240739275</v>
      </c>
      <c r="M780">
        <f ca="1">qry_ProdData2_PDI_Cash_Exception_Application[[#This Row],[TODAY]]-qry_ProdData2_PDI_Cash_Exception_Application[[#This Row],[CHANGED ON]]</f>
        <v>15.742928240739275</v>
      </c>
      <c r="N780">
        <f ca="1">qry_ProdData2_PDI_Cash_Exception_Application[[#This Row],[TODAY]]-qry_ProdData2_PDI_Cash_Exception_Application[[#This Row],[CHANGED ON]]</f>
        <v>15.742928240739275</v>
      </c>
    </row>
    <row r="781" spans="1:14" x14ac:dyDescent="0.35">
      <c r="A781">
        <v>1011</v>
      </c>
      <c r="B781" t="s">
        <v>65</v>
      </c>
      <c r="C781" s="1">
        <v>45189.257071759261</v>
      </c>
      <c r="D781" t="str">
        <f ca="1">VLOOKUP(qry_ProdData2_PDI_Cash_Exception_Application[[#This Row],[TYPE]],#REF!,2,FALSE)</f>
        <v>type40</v>
      </c>
      <c r="E781">
        <v>-423.99</v>
      </c>
      <c r="F781" t="s">
        <v>52</v>
      </c>
      <c r="G781" s="1">
        <f>qry_ProdData2_PDI_Cash_Exception_Application[[#This Row],[INSERT DATE]]+2</f>
        <v>45191.257071759261</v>
      </c>
      <c r="H781" t="str">
        <f>VLOOKUP(qry_ProdData2_PDI_Cash_Exception_Application[[#This Row],[MARKET No]],'Site Allocation'!$B$2:$C$37,2,FALSE)</f>
        <v>Analyst2</v>
      </c>
      <c r="I781" s="4">
        <f t="shared" ca="1" si="12"/>
        <v>45203</v>
      </c>
      <c r="J781" s="42">
        <f ca="1">TODAY()-qry_ProdData2_PDI_Cash_Exception_Application[[#This Row],[INSERT DATE]]</f>
        <v>13.742928240739275</v>
      </c>
      <c r="K7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81">
        <f ca="1">qry_ProdData2_PDI_Cash_Exception_Application[[#This Row],[TODAY]]-qry_ProdData2_PDI_Cash_Exception_Application[[#This Row],[CHANGED ON]]</f>
        <v>11.742928240739275</v>
      </c>
      <c r="M781">
        <f ca="1">qry_ProdData2_PDI_Cash_Exception_Application[[#This Row],[TODAY]]-qry_ProdData2_PDI_Cash_Exception_Application[[#This Row],[CHANGED ON]]</f>
        <v>11.742928240739275</v>
      </c>
      <c r="N781">
        <f ca="1">qry_ProdData2_PDI_Cash_Exception_Application[[#This Row],[TODAY]]-qry_ProdData2_PDI_Cash_Exception_Application[[#This Row],[CHANGED ON]]</f>
        <v>11.742928240739275</v>
      </c>
    </row>
    <row r="782" spans="1:14" x14ac:dyDescent="0.35">
      <c r="A782">
        <v>1008</v>
      </c>
      <c r="B782" t="s">
        <v>62</v>
      </c>
      <c r="C782" s="1">
        <v>45183.257071759261</v>
      </c>
      <c r="D782" t="str">
        <f ca="1">VLOOKUP(qry_ProdData2_PDI_Cash_Exception_Application[[#This Row],[TYPE]],#REF!,2,FALSE)</f>
        <v>type13</v>
      </c>
      <c r="E782">
        <v>20188.849999999999</v>
      </c>
      <c r="F782" t="s">
        <v>49</v>
      </c>
      <c r="G782" s="1">
        <f>qry_ProdData2_PDI_Cash_Exception_Application[[#This Row],[INSERT DATE]]+2</f>
        <v>45185.257071759261</v>
      </c>
      <c r="H782" t="str">
        <f>VLOOKUP(qry_ProdData2_PDI_Cash_Exception_Application[[#This Row],[MARKET No]],'Site Allocation'!$B$2:$C$37,2,FALSE)</f>
        <v>Analyst2</v>
      </c>
      <c r="I782" s="4">
        <f t="shared" ca="1" si="12"/>
        <v>45203</v>
      </c>
      <c r="J782" s="42">
        <f ca="1">TODAY()-qry_ProdData2_PDI_Cash_Exception_Application[[#This Row],[INSERT DATE]]</f>
        <v>19.742928240739275</v>
      </c>
      <c r="K7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82">
        <f ca="1">qry_ProdData2_PDI_Cash_Exception_Application[[#This Row],[TODAY]]-qry_ProdData2_PDI_Cash_Exception_Application[[#This Row],[CHANGED ON]]</f>
        <v>17.742928240739275</v>
      </c>
      <c r="M782">
        <f ca="1">qry_ProdData2_PDI_Cash_Exception_Application[[#This Row],[TODAY]]-qry_ProdData2_PDI_Cash_Exception_Application[[#This Row],[CHANGED ON]]</f>
        <v>17.742928240739275</v>
      </c>
      <c r="N782">
        <f ca="1">qry_ProdData2_PDI_Cash_Exception_Application[[#This Row],[TODAY]]-qry_ProdData2_PDI_Cash_Exception_Application[[#This Row],[CHANGED ON]]</f>
        <v>17.742928240739275</v>
      </c>
    </row>
    <row r="783" spans="1:14" x14ac:dyDescent="0.35">
      <c r="A783">
        <v>1002</v>
      </c>
      <c r="B783" t="s">
        <v>56</v>
      </c>
      <c r="C783" s="1">
        <v>45187.257071759261</v>
      </c>
      <c r="D783" t="str">
        <f ca="1">VLOOKUP(qry_ProdData2_PDI_Cash_Exception_Application[[#This Row],[TYPE]],#REF!,2,FALSE)</f>
        <v>type13</v>
      </c>
      <c r="E783">
        <v>51224.56</v>
      </c>
      <c r="F783" t="s">
        <v>49</v>
      </c>
      <c r="G783" s="1">
        <f>qry_ProdData2_PDI_Cash_Exception_Application[[#This Row],[INSERT DATE]]+5</f>
        <v>45192.257071759261</v>
      </c>
      <c r="H783" t="str">
        <f>VLOOKUP(qry_ProdData2_PDI_Cash_Exception_Application[[#This Row],[MARKET No]],'Site Allocation'!$B$2:$C$37,2,FALSE)</f>
        <v>Analyst1</v>
      </c>
      <c r="I783" s="4">
        <f t="shared" ca="1" si="12"/>
        <v>45203</v>
      </c>
      <c r="J783" s="42">
        <f ca="1">TODAY()-qry_ProdData2_PDI_Cash_Exception_Application[[#This Row],[INSERT DATE]]</f>
        <v>15.742928240739275</v>
      </c>
      <c r="K7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83">
        <f ca="1">qry_ProdData2_PDI_Cash_Exception_Application[[#This Row],[TODAY]]-qry_ProdData2_PDI_Cash_Exception_Application[[#This Row],[CHANGED ON]]</f>
        <v>10.742928240739275</v>
      </c>
      <c r="M783">
        <f ca="1">qry_ProdData2_PDI_Cash_Exception_Application[[#This Row],[TODAY]]-qry_ProdData2_PDI_Cash_Exception_Application[[#This Row],[CHANGED ON]]</f>
        <v>10.742928240739275</v>
      </c>
      <c r="N783">
        <f ca="1">qry_ProdData2_PDI_Cash_Exception_Application[[#This Row],[TODAY]]-qry_ProdData2_PDI_Cash_Exception_Application[[#This Row],[CHANGED ON]]</f>
        <v>10.742928240739275</v>
      </c>
    </row>
    <row r="784" spans="1:14" x14ac:dyDescent="0.35">
      <c r="A784">
        <v>1018</v>
      </c>
      <c r="B784" t="s">
        <v>72</v>
      </c>
      <c r="C784" s="1">
        <v>45190.257071759261</v>
      </c>
      <c r="D784" t="str">
        <f ca="1">VLOOKUP(qry_ProdData2_PDI_Cash_Exception_Application[[#This Row],[TYPE]],#REF!,2,FALSE)</f>
        <v>type40</v>
      </c>
      <c r="E784">
        <v>590.89</v>
      </c>
      <c r="F784" t="s">
        <v>50</v>
      </c>
      <c r="G784" s="1">
        <f>qry_ProdData2_PDI_Cash_Exception_Application[[#This Row],[INSERT DATE]]+2</f>
        <v>45192.257071759261</v>
      </c>
      <c r="H784" t="str">
        <f>VLOOKUP(qry_ProdData2_PDI_Cash_Exception_Application[[#This Row],[MARKET No]],'Site Allocation'!$B$2:$C$37,2,FALSE)</f>
        <v>Analyst4</v>
      </c>
      <c r="I784" s="4">
        <f t="shared" ca="1" si="12"/>
        <v>45203</v>
      </c>
      <c r="J784" s="42">
        <f ca="1">TODAY()-qry_ProdData2_PDI_Cash_Exception_Application[[#This Row],[INSERT DATE]]</f>
        <v>12.742928240739275</v>
      </c>
      <c r="K7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84">
        <f ca="1">qry_ProdData2_PDI_Cash_Exception_Application[[#This Row],[TODAY]]-qry_ProdData2_PDI_Cash_Exception_Application[[#This Row],[CHANGED ON]]</f>
        <v>10.742928240739275</v>
      </c>
      <c r="M784">
        <f ca="1">qry_ProdData2_PDI_Cash_Exception_Application[[#This Row],[TODAY]]-qry_ProdData2_PDI_Cash_Exception_Application[[#This Row],[CHANGED ON]]</f>
        <v>10.742928240739275</v>
      </c>
      <c r="N784">
        <f ca="1">qry_ProdData2_PDI_Cash_Exception_Application[[#This Row],[TODAY]]-qry_ProdData2_PDI_Cash_Exception_Application[[#This Row],[CHANGED ON]]</f>
        <v>10.742928240739275</v>
      </c>
    </row>
    <row r="785" spans="1:14" x14ac:dyDescent="0.35">
      <c r="A785">
        <v>1005</v>
      </c>
      <c r="B785" t="s">
        <v>59</v>
      </c>
      <c r="C785" s="1">
        <v>45179.257071759261</v>
      </c>
      <c r="D785" t="str">
        <f ca="1">VLOOKUP(qry_ProdData2_PDI_Cash_Exception_Application[[#This Row],[TYPE]],#REF!,2,FALSE)</f>
        <v>type40</v>
      </c>
      <c r="E785">
        <v>-704.09</v>
      </c>
      <c r="F785" t="s">
        <v>51</v>
      </c>
      <c r="G785" s="1">
        <f>qry_ProdData2_PDI_Cash_Exception_Application[[#This Row],[INSERT DATE]]+7</f>
        <v>45186.257071759261</v>
      </c>
      <c r="H785" t="str">
        <f>VLOOKUP(qry_ProdData2_PDI_Cash_Exception_Application[[#This Row],[MARKET No]],'Site Allocation'!$B$2:$C$37,2,FALSE)</f>
        <v>Analyst1</v>
      </c>
      <c r="I785" s="4">
        <f t="shared" ca="1" si="12"/>
        <v>45203</v>
      </c>
      <c r="J785" s="42">
        <f ca="1">TODAY()-qry_ProdData2_PDI_Cash_Exception_Application[[#This Row],[INSERT DATE]]</f>
        <v>23.742928240739275</v>
      </c>
      <c r="K7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85">
        <f ca="1">qry_ProdData2_PDI_Cash_Exception_Application[[#This Row],[TODAY]]-qry_ProdData2_PDI_Cash_Exception_Application[[#This Row],[CHANGED ON]]</f>
        <v>16.742928240739275</v>
      </c>
      <c r="M785">
        <f ca="1">qry_ProdData2_PDI_Cash_Exception_Application[[#This Row],[TODAY]]-qry_ProdData2_PDI_Cash_Exception_Application[[#This Row],[CHANGED ON]]</f>
        <v>16.742928240739275</v>
      </c>
      <c r="N785">
        <f ca="1">qry_ProdData2_PDI_Cash_Exception_Application[[#This Row],[TODAY]]-qry_ProdData2_PDI_Cash_Exception_Application[[#This Row],[CHANGED ON]]</f>
        <v>16.742928240739275</v>
      </c>
    </row>
    <row r="786" spans="1:14" x14ac:dyDescent="0.35">
      <c r="A786">
        <v>1004</v>
      </c>
      <c r="B786" t="s">
        <v>58</v>
      </c>
      <c r="C786" s="1">
        <v>45192.257071759261</v>
      </c>
      <c r="D786" t="str">
        <f ca="1">VLOOKUP(qry_ProdData2_PDI_Cash_Exception_Application[[#This Row],[TYPE]],#REF!,2,FALSE)</f>
        <v>type40</v>
      </c>
      <c r="E786">
        <v>-307.33999999999997</v>
      </c>
      <c r="F786" t="s">
        <v>52</v>
      </c>
      <c r="G786" s="1">
        <f>qry_ProdData2_PDI_Cash_Exception_Application[[#This Row],[INSERT DATE]]+2</f>
        <v>45194.257071759261</v>
      </c>
      <c r="H786" t="str">
        <f>VLOOKUP(qry_ProdData2_PDI_Cash_Exception_Application[[#This Row],[MARKET No]],'Site Allocation'!$B$2:$C$37,2,FALSE)</f>
        <v>Analyst1</v>
      </c>
      <c r="I786" s="4">
        <f t="shared" ca="1" si="12"/>
        <v>45203</v>
      </c>
      <c r="J786" s="42">
        <f ca="1">TODAY()-qry_ProdData2_PDI_Cash_Exception_Application[[#This Row],[INSERT DATE]]</f>
        <v>10.742928240739275</v>
      </c>
      <c r="K7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86">
        <f ca="1">qry_ProdData2_PDI_Cash_Exception_Application[[#This Row],[TODAY]]-qry_ProdData2_PDI_Cash_Exception_Application[[#This Row],[CHANGED ON]]</f>
        <v>8.7429282407392748</v>
      </c>
      <c r="M786">
        <f ca="1">qry_ProdData2_PDI_Cash_Exception_Application[[#This Row],[TODAY]]-qry_ProdData2_PDI_Cash_Exception_Application[[#This Row],[CHANGED ON]]</f>
        <v>8.7429282407392748</v>
      </c>
      <c r="N786">
        <f ca="1">qry_ProdData2_PDI_Cash_Exception_Application[[#This Row],[TODAY]]-qry_ProdData2_PDI_Cash_Exception_Application[[#This Row],[CHANGED ON]]</f>
        <v>8.7429282407392748</v>
      </c>
    </row>
    <row r="787" spans="1:14" x14ac:dyDescent="0.35">
      <c r="A787">
        <v>1023</v>
      </c>
      <c r="B787" t="s">
        <v>77</v>
      </c>
      <c r="C787" s="1">
        <v>45193.257071759261</v>
      </c>
      <c r="D787" t="str">
        <f ca="1">VLOOKUP(qry_ProdData2_PDI_Cash_Exception_Application[[#This Row],[TYPE]],#REF!,2,FALSE)</f>
        <v>type40</v>
      </c>
      <c r="E787">
        <v>7066.06</v>
      </c>
      <c r="F787" t="s">
        <v>50</v>
      </c>
      <c r="G787" s="1">
        <f>qry_ProdData2_PDI_Cash_Exception_Application[[#This Row],[INSERT DATE]]+2</f>
        <v>45195.257071759261</v>
      </c>
      <c r="H787" t="str">
        <f>VLOOKUP(qry_ProdData2_PDI_Cash_Exception_Application[[#This Row],[MARKET No]],'Site Allocation'!$B$2:$C$37,2,FALSE)</f>
        <v>Analyst4</v>
      </c>
      <c r="I787" s="4">
        <f t="shared" ca="1" si="12"/>
        <v>45203</v>
      </c>
      <c r="J787" s="42">
        <f ca="1">TODAY()-qry_ProdData2_PDI_Cash_Exception_Application[[#This Row],[INSERT DATE]]</f>
        <v>9.7429282407392748</v>
      </c>
      <c r="K7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87">
        <f ca="1">qry_ProdData2_PDI_Cash_Exception_Application[[#This Row],[TODAY]]-qry_ProdData2_PDI_Cash_Exception_Application[[#This Row],[CHANGED ON]]</f>
        <v>7.7429282407392748</v>
      </c>
      <c r="M787">
        <f ca="1">qry_ProdData2_PDI_Cash_Exception_Application[[#This Row],[TODAY]]-qry_ProdData2_PDI_Cash_Exception_Application[[#This Row],[CHANGED ON]]</f>
        <v>7.7429282407392748</v>
      </c>
      <c r="N787">
        <f ca="1">qry_ProdData2_PDI_Cash_Exception_Application[[#This Row],[TODAY]]-qry_ProdData2_PDI_Cash_Exception_Application[[#This Row],[CHANGED ON]]</f>
        <v>7.7429282407392748</v>
      </c>
    </row>
    <row r="788" spans="1:14" x14ac:dyDescent="0.35">
      <c r="A788">
        <v>1000</v>
      </c>
      <c r="B788" t="s">
        <v>54</v>
      </c>
      <c r="C788" s="1">
        <v>45183.257071759261</v>
      </c>
      <c r="D788" t="str">
        <f ca="1">VLOOKUP(qry_ProdData2_PDI_Cash_Exception_Application[[#This Row],[TYPE]],#REF!,2,FALSE)</f>
        <v>type13</v>
      </c>
      <c r="E788">
        <v>35114.19</v>
      </c>
      <c r="F788" t="s">
        <v>51</v>
      </c>
      <c r="G788" s="1">
        <f>qry_ProdData2_PDI_Cash_Exception_Application[[#This Row],[INSERT DATE]]+1</f>
        <v>45184.257071759261</v>
      </c>
      <c r="H788" t="str">
        <f>VLOOKUP(qry_ProdData2_PDI_Cash_Exception_Application[[#This Row],[MARKET No]],'Site Allocation'!$B$2:$C$37,2,FALSE)</f>
        <v>Analyst1</v>
      </c>
      <c r="I788" s="4">
        <f t="shared" ca="1" si="12"/>
        <v>45203</v>
      </c>
      <c r="J788" s="42">
        <f ca="1">TODAY()-qry_ProdData2_PDI_Cash_Exception_Application[[#This Row],[INSERT DATE]]</f>
        <v>19.742928240739275</v>
      </c>
      <c r="K7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88">
        <f ca="1">qry_ProdData2_PDI_Cash_Exception_Application[[#This Row],[TODAY]]-qry_ProdData2_PDI_Cash_Exception_Application[[#This Row],[CHANGED ON]]</f>
        <v>18.742928240739275</v>
      </c>
      <c r="M788">
        <f ca="1">qry_ProdData2_PDI_Cash_Exception_Application[[#This Row],[TODAY]]-qry_ProdData2_PDI_Cash_Exception_Application[[#This Row],[CHANGED ON]]</f>
        <v>18.742928240739275</v>
      </c>
      <c r="N788">
        <f ca="1">qry_ProdData2_PDI_Cash_Exception_Application[[#This Row],[TODAY]]-qry_ProdData2_PDI_Cash_Exception_Application[[#This Row],[CHANGED ON]]</f>
        <v>18.742928240739275</v>
      </c>
    </row>
    <row r="789" spans="1:14" x14ac:dyDescent="0.35">
      <c r="A789">
        <v>1016</v>
      </c>
      <c r="B789" t="s">
        <v>70</v>
      </c>
      <c r="C789" s="1">
        <v>45195.257071759261</v>
      </c>
      <c r="D789" t="str">
        <f ca="1">VLOOKUP(qry_ProdData2_PDI_Cash_Exception_Application[[#This Row],[TYPE]],#REF!,2,FALSE)</f>
        <v>type40</v>
      </c>
      <c r="E789">
        <v>462.22</v>
      </c>
      <c r="F789" t="s">
        <v>50</v>
      </c>
      <c r="G789" s="1">
        <f>qry_ProdData2_PDI_Cash_Exception_Application[[#This Row],[INSERT DATE]]+2</f>
        <v>45197.257071759261</v>
      </c>
      <c r="H789" t="str">
        <f>VLOOKUP(qry_ProdData2_PDI_Cash_Exception_Application[[#This Row],[MARKET No]],'Site Allocation'!$B$2:$C$37,2,FALSE)</f>
        <v>Analyst3</v>
      </c>
      <c r="I789" s="4">
        <f t="shared" ca="1" si="12"/>
        <v>45203</v>
      </c>
      <c r="J789" s="42">
        <f ca="1">TODAY()-qry_ProdData2_PDI_Cash_Exception_Application[[#This Row],[INSERT DATE]]</f>
        <v>7.7429282407392748</v>
      </c>
      <c r="K7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789">
        <f ca="1">qry_ProdData2_PDI_Cash_Exception_Application[[#This Row],[TODAY]]-qry_ProdData2_PDI_Cash_Exception_Application[[#This Row],[CHANGED ON]]</f>
        <v>5.7429282407392748</v>
      </c>
      <c r="M789">
        <f ca="1">qry_ProdData2_PDI_Cash_Exception_Application[[#This Row],[TODAY]]-qry_ProdData2_PDI_Cash_Exception_Application[[#This Row],[CHANGED ON]]</f>
        <v>5.7429282407392748</v>
      </c>
      <c r="N789">
        <f ca="1">qry_ProdData2_PDI_Cash_Exception_Application[[#This Row],[TODAY]]-qry_ProdData2_PDI_Cash_Exception_Application[[#This Row],[CHANGED ON]]</f>
        <v>5.7429282407392748</v>
      </c>
    </row>
    <row r="790" spans="1:14" x14ac:dyDescent="0.35">
      <c r="A790">
        <v>1007</v>
      </c>
      <c r="B790" t="s">
        <v>61</v>
      </c>
      <c r="C790" s="1">
        <v>45183.257071759261</v>
      </c>
      <c r="D790" t="str">
        <f ca="1">VLOOKUP(qry_ProdData2_PDI_Cash_Exception_Application[[#This Row],[TYPE]],#REF!,2,FALSE)</f>
        <v>type13</v>
      </c>
      <c r="E790">
        <v>12633.5</v>
      </c>
      <c r="F790" t="s">
        <v>48</v>
      </c>
      <c r="G790" s="1">
        <f>qry_ProdData2_PDI_Cash_Exception_Application[[#This Row],[INSERT DATE]]+2</f>
        <v>45185.257071759261</v>
      </c>
      <c r="H790" t="str">
        <f>VLOOKUP(qry_ProdData2_PDI_Cash_Exception_Application[[#This Row],[MARKET No]],'Site Allocation'!$B$2:$C$37,2,FALSE)</f>
        <v>Analyst2</v>
      </c>
      <c r="I790" s="4">
        <f t="shared" ca="1" si="12"/>
        <v>45203</v>
      </c>
      <c r="J790" s="42">
        <f ca="1">TODAY()-qry_ProdData2_PDI_Cash_Exception_Application[[#This Row],[INSERT DATE]]</f>
        <v>19.742928240739275</v>
      </c>
      <c r="K7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90">
        <f ca="1">qry_ProdData2_PDI_Cash_Exception_Application[[#This Row],[TODAY]]-qry_ProdData2_PDI_Cash_Exception_Application[[#This Row],[CHANGED ON]]</f>
        <v>17.742928240739275</v>
      </c>
      <c r="M790">
        <f ca="1">qry_ProdData2_PDI_Cash_Exception_Application[[#This Row],[TODAY]]-qry_ProdData2_PDI_Cash_Exception_Application[[#This Row],[CHANGED ON]]</f>
        <v>17.742928240739275</v>
      </c>
      <c r="N790">
        <f ca="1">qry_ProdData2_PDI_Cash_Exception_Application[[#This Row],[TODAY]]-qry_ProdData2_PDI_Cash_Exception_Application[[#This Row],[CHANGED ON]]</f>
        <v>17.742928240739275</v>
      </c>
    </row>
    <row r="791" spans="1:14" x14ac:dyDescent="0.35">
      <c r="A791">
        <v>1016</v>
      </c>
      <c r="B791" t="s">
        <v>70</v>
      </c>
      <c r="C791" s="1">
        <v>45183.257071759261</v>
      </c>
      <c r="D791" t="str">
        <f ca="1">VLOOKUP(qry_ProdData2_PDI_Cash_Exception_Application[[#This Row],[TYPE]],#REF!,2,FALSE)</f>
        <v>type22</v>
      </c>
      <c r="E791">
        <v>584.08000000000004</v>
      </c>
      <c r="F791" t="s">
        <v>47</v>
      </c>
      <c r="G791" s="1">
        <f>qry_ProdData2_PDI_Cash_Exception_Application[[#This Row],[INSERT DATE]]+7</f>
        <v>45190.257071759261</v>
      </c>
      <c r="H791" t="str">
        <f>VLOOKUP(qry_ProdData2_PDI_Cash_Exception_Application[[#This Row],[MARKET No]],'Site Allocation'!$B$2:$C$37,2,FALSE)</f>
        <v>Analyst3</v>
      </c>
      <c r="I791" s="4">
        <f t="shared" ca="1" si="12"/>
        <v>45203</v>
      </c>
      <c r="J791" s="42">
        <f ca="1">TODAY()-qry_ProdData2_PDI_Cash_Exception_Application[[#This Row],[INSERT DATE]]</f>
        <v>19.742928240739275</v>
      </c>
      <c r="K7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91">
        <f ca="1">qry_ProdData2_PDI_Cash_Exception_Application[[#This Row],[TODAY]]-qry_ProdData2_PDI_Cash_Exception_Application[[#This Row],[CHANGED ON]]</f>
        <v>12.742928240739275</v>
      </c>
      <c r="M791">
        <f ca="1">qry_ProdData2_PDI_Cash_Exception_Application[[#This Row],[TODAY]]-qry_ProdData2_PDI_Cash_Exception_Application[[#This Row],[CHANGED ON]]</f>
        <v>12.742928240739275</v>
      </c>
      <c r="N791">
        <f ca="1">qry_ProdData2_PDI_Cash_Exception_Application[[#This Row],[TODAY]]-qry_ProdData2_PDI_Cash_Exception_Application[[#This Row],[CHANGED ON]]</f>
        <v>12.742928240739275</v>
      </c>
    </row>
    <row r="792" spans="1:14" x14ac:dyDescent="0.35">
      <c r="A792">
        <v>1011</v>
      </c>
      <c r="B792" t="s">
        <v>65</v>
      </c>
      <c r="C792" s="1">
        <v>45185.257071759261</v>
      </c>
      <c r="D792" t="str">
        <f ca="1">VLOOKUP(qry_ProdData2_PDI_Cash_Exception_Application[[#This Row],[TYPE]],#REF!,2,FALSE)</f>
        <v>type40</v>
      </c>
      <c r="E792">
        <v>-419.54</v>
      </c>
      <c r="F792" t="s">
        <v>48</v>
      </c>
      <c r="G792" s="1">
        <f>qry_ProdData2_PDI_Cash_Exception_Application[[#This Row],[INSERT DATE]]+5</f>
        <v>45190.257071759261</v>
      </c>
      <c r="H792" t="str">
        <f>VLOOKUP(qry_ProdData2_PDI_Cash_Exception_Application[[#This Row],[MARKET No]],'Site Allocation'!$B$2:$C$37,2,FALSE)</f>
        <v>Analyst2</v>
      </c>
      <c r="I792" s="4">
        <f t="shared" ca="1" si="12"/>
        <v>45203</v>
      </c>
      <c r="J792" s="42">
        <f ca="1">TODAY()-qry_ProdData2_PDI_Cash_Exception_Application[[#This Row],[INSERT DATE]]</f>
        <v>17.742928240739275</v>
      </c>
      <c r="K7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92">
        <f ca="1">qry_ProdData2_PDI_Cash_Exception_Application[[#This Row],[TODAY]]-qry_ProdData2_PDI_Cash_Exception_Application[[#This Row],[CHANGED ON]]</f>
        <v>12.742928240739275</v>
      </c>
      <c r="M792">
        <f ca="1">qry_ProdData2_PDI_Cash_Exception_Application[[#This Row],[TODAY]]-qry_ProdData2_PDI_Cash_Exception_Application[[#This Row],[CHANGED ON]]</f>
        <v>12.742928240739275</v>
      </c>
      <c r="N792">
        <f ca="1">qry_ProdData2_PDI_Cash_Exception_Application[[#This Row],[TODAY]]-qry_ProdData2_PDI_Cash_Exception_Application[[#This Row],[CHANGED ON]]</f>
        <v>12.742928240739275</v>
      </c>
    </row>
    <row r="793" spans="1:14" x14ac:dyDescent="0.35">
      <c r="A793">
        <v>1032</v>
      </c>
      <c r="B793" t="s">
        <v>86</v>
      </c>
      <c r="C793" s="1">
        <v>45180.257071759261</v>
      </c>
      <c r="D793" t="str">
        <f ca="1">VLOOKUP(qry_ProdData2_PDI_Cash_Exception_Application[[#This Row],[TYPE]],#REF!,2,FALSE)</f>
        <v>type40</v>
      </c>
      <c r="E793">
        <v>2.4900000000000002</v>
      </c>
      <c r="F793" t="s">
        <v>52</v>
      </c>
      <c r="G793" s="1">
        <f>qry_ProdData2_PDI_Cash_Exception_Application[[#This Row],[INSERT DATE]]+2</f>
        <v>45182.257071759261</v>
      </c>
      <c r="H793" t="str">
        <f>VLOOKUP(qry_ProdData2_PDI_Cash_Exception_Application[[#This Row],[MARKET No]],'Site Allocation'!$B$2:$C$37,2,FALSE)</f>
        <v>Analyst6</v>
      </c>
      <c r="I793" s="4">
        <f t="shared" ca="1" si="12"/>
        <v>45203</v>
      </c>
      <c r="J793" s="42">
        <f ca="1">TODAY()-qry_ProdData2_PDI_Cash_Exception_Application[[#This Row],[INSERT DATE]]</f>
        <v>22.742928240739275</v>
      </c>
      <c r="K7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93">
        <f ca="1">qry_ProdData2_PDI_Cash_Exception_Application[[#This Row],[TODAY]]-qry_ProdData2_PDI_Cash_Exception_Application[[#This Row],[CHANGED ON]]</f>
        <v>20.742928240739275</v>
      </c>
      <c r="M793">
        <f ca="1">qry_ProdData2_PDI_Cash_Exception_Application[[#This Row],[TODAY]]-qry_ProdData2_PDI_Cash_Exception_Application[[#This Row],[CHANGED ON]]</f>
        <v>20.742928240739275</v>
      </c>
      <c r="N793">
        <f ca="1">qry_ProdData2_PDI_Cash_Exception_Application[[#This Row],[TODAY]]-qry_ProdData2_PDI_Cash_Exception_Application[[#This Row],[CHANGED ON]]</f>
        <v>20.742928240739275</v>
      </c>
    </row>
    <row r="794" spans="1:14" x14ac:dyDescent="0.35">
      <c r="A794">
        <v>1017</v>
      </c>
      <c r="B794" t="s">
        <v>71</v>
      </c>
      <c r="C794" s="1">
        <v>45189.257071759261</v>
      </c>
      <c r="D794" t="str">
        <f ca="1">VLOOKUP(qry_ProdData2_PDI_Cash_Exception_Application[[#This Row],[TYPE]],#REF!,2,FALSE)</f>
        <v>type25</v>
      </c>
      <c r="E794">
        <v>212.88</v>
      </c>
      <c r="F794" t="s">
        <v>49</v>
      </c>
      <c r="G794" s="1">
        <f>qry_ProdData2_PDI_Cash_Exception_Application[[#This Row],[INSERT DATE]]+5</f>
        <v>45194.257071759261</v>
      </c>
      <c r="H794" t="str">
        <f>VLOOKUP(qry_ProdData2_PDI_Cash_Exception_Application[[#This Row],[MARKET No]],'Site Allocation'!$B$2:$C$37,2,FALSE)</f>
        <v>Analyst3</v>
      </c>
      <c r="I794" s="4">
        <f t="shared" ca="1" si="12"/>
        <v>45203</v>
      </c>
      <c r="J794" s="42">
        <f ca="1">TODAY()-qry_ProdData2_PDI_Cash_Exception_Application[[#This Row],[INSERT DATE]]</f>
        <v>13.742928240739275</v>
      </c>
      <c r="K7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94">
        <f ca="1">qry_ProdData2_PDI_Cash_Exception_Application[[#This Row],[TODAY]]-qry_ProdData2_PDI_Cash_Exception_Application[[#This Row],[CHANGED ON]]</f>
        <v>8.7429282407392748</v>
      </c>
      <c r="M794">
        <f ca="1">qry_ProdData2_PDI_Cash_Exception_Application[[#This Row],[TODAY]]-qry_ProdData2_PDI_Cash_Exception_Application[[#This Row],[CHANGED ON]]</f>
        <v>8.7429282407392748</v>
      </c>
      <c r="N794">
        <f ca="1">qry_ProdData2_PDI_Cash_Exception_Application[[#This Row],[TODAY]]-qry_ProdData2_PDI_Cash_Exception_Application[[#This Row],[CHANGED ON]]</f>
        <v>8.7429282407392748</v>
      </c>
    </row>
    <row r="795" spans="1:14" x14ac:dyDescent="0.35">
      <c r="A795">
        <v>1035</v>
      </c>
      <c r="B795" t="s">
        <v>89</v>
      </c>
      <c r="C795" s="1">
        <v>45190.257071759261</v>
      </c>
      <c r="D795" t="str">
        <f ca="1">VLOOKUP(qry_ProdData2_PDI_Cash_Exception_Application[[#This Row],[TYPE]],#REF!,2,FALSE)</f>
        <v>type13</v>
      </c>
      <c r="E795">
        <v>20610.47</v>
      </c>
      <c r="F795" t="s">
        <v>51</v>
      </c>
      <c r="G795" s="1">
        <f>qry_ProdData2_PDI_Cash_Exception_Application[[#This Row],[INSERT DATE]]+1</f>
        <v>45191.257071759261</v>
      </c>
      <c r="H795" t="str">
        <f>VLOOKUP(qry_ProdData2_PDI_Cash_Exception_Application[[#This Row],[MARKET No]],'Site Allocation'!$B$2:$C$37,2,FALSE)</f>
        <v>Analyst6</v>
      </c>
      <c r="I795" s="4">
        <f t="shared" ca="1" si="12"/>
        <v>45203</v>
      </c>
      <c r="J795" s="42">
        <f ca="1">TODAY()-qry_ProdData2_PDI_Cash_Exception_Application[[#This Row],[INSERT DATE]]</f>
        <v>12.742928240739275</v>
      </c>
      <c r="K7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95">
        <f ca="1">qry_ProdData2_PDI_Cash_Exception_Application[[#This Row],[TODAY]]-qry_ProdData2_PDI_Cash_Exception_Application[[#This Row],[CHANGED ON]]</f>
        <v>11.742928240739275</v>
      </c>
      <c r="M795">
        <f ca="1">qry_ProdData2_PDI_Cash_Exception_Application[[#This Row],[TODAY]]-qry_ProdData2_PDI_Cash_Exception_Application[[#This Row],[CHANGED ON]]</f>
        <v>11.742928240739275</v>
      </c>
      <c r="N795">
        <f ca="1">qry_ProdData2_PDI_Cash_Exception_Application[[#This Row],[TODAY]]-qry_ProdData2_PDI_Cash_Exception_Application[[#This Row],[CHANGED ON]]</f>
        <v>11.742928240739275</v>
      </c>
    </row>
    <row r="796" spans="1:14" x14ac:dyDescent="0.35">
      <c r="A796">
        <v>1010</v>
      </c>
      <c r="B796" t="s">
        <v>64</v>
      </c>
      <c r="C796" s="1">
        <v>45187.257071759261</v>
      </c>
      <c r="D796" t="str">
        <f ca="1">VLOOKUP(qry_ProdData2_PDI_Cash_Exception_Application[[#This Row],[TYPE]],#REF!,2,FALSE)</f>
        <v>type19</v>
      </c>
      <c r="E796">
        <v>306.33</v>
      </c>
      <c r="F796" t="s">
        <v>48</v>
      </c>
      <c r="G796" s="1">
        <f>qry_ProdData2_PDI_Cash_Exception_Application[[#This Row],[INSERT DATE]]+5</f>
        <v>45192.257071759261</v>
      </c>
      <c r="H796" t="str">
        <f>VLOOKUP(qry_ProdData2_PDI_Cash_Exception_Application[[#This Row],[MARKET No]],'Site Allocation'!$B$2:$C$37,2,FALSE)</f>
        <v>Analyst2</v>
      </c>
      <c r="I796" s="4">
        <f t="shared" ca="1" si="12"/>
        <v>45203</v>
      </c>
      <c r="J796" s="42">
        <f ca="1">TODAY()-qry_ProdData2_PDI_Cash_Exception_Application[[#This Row],[INSERT DATE]]</f>
        <v>15.742928240739275</v>
      </c>
      <c r="K7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96">
        <f ca="1">qry_ProdData2_PDI_Cash_Exception_Application[[#This Row],[TODAY]]-qry_ProdData2_PDI_Cash_Exception_Application[[#This Row],[CHANGED ON]]</f>
        <v>10.742928240739275</v>
      </c>
      <c r="M796">
        <f ca="1">qry_ProdData2_PDI_Cash_Exception_Application[[#This Row],[TODAY]]-qry_ProdData2_PDI_Cash_Exception_Application[[#This Row],[CHANGED ON]]</f>
        <v>10.742928240739275</v>
      </c>
      <c r="N796">
        <f ca="1">qry_ProdData2_PDI_Cash_Exception_Application[[#This Row],[TODAY]]-qry_ProdData2_PDI_Cash_Exception_Application[[#This Row],[CHANGED ON]]</f>
        <v>10.742928240739275</v>
      </c>
    </row>
    <row r="797" spans="1:14" x14ac:dyDescent="0.35">
      <c r="A797">
        <v>1027</v>
      </c>
      <c r="B797" t="s">
        <v>81</v>
      </c>
      <c r="C797" s="1">
        <v>45188.257071759261</v>
      </c>
      <c r="D797" t="str">
        <f ca="1">VLOOKUP(qry_ProdData2_PDI_Cash_Exception_Application[[#This Row],[TYPE]],#REF!,2,FALSE)</f>
        <v>type40</v>
      </c>
      <c r="E797">
        <v>20</v>
      </c>
      <c r="F797" t="s">
        <v>51</v>
      </c>
      <c r="G797" s="1">
        <f>qry_ProdData2_PDI_Cash_Exception_Application[[#This Row],[INSERT DATE]]+2</f>
        <v>45190.257071759261</v>
      </c>
      <c r="H797" t="str">
        <f>VLOOKUP(qry_ProdData2_PDI_Cash_Exception_Application[[#This Row],[MARKET No]],'Site Allocation'!$B$2:$C$37,2,FALSE)</f>
        <v>Analyst5</v>
      </c>
      <c r="I797" s="4">
        <f t="shared" ca="1" si="12"/>
        <v>45203</v>
      </c>
      <c r="J797" s="42">
        <f ca="1">TODAY()-qry_ProdData2_PDI_Cash_Exception_Application[[#This Row],[INSERT DATE]]</f>
        <v>14.742928240739275</v>
      </c>
      <c r="K7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97">
        <f ca="1">qry_ProdData2_PDI_Cash_Exception_Application[[#This Row],[TODAY]]-qry_ProdData2_PDI_Cash_Exception_Application[[#This Row],[CHANGED ON]]</f>
        <v>12.742928240739275</v>
      </c>
      <c r="M797">
        <f ca="1">qry_ProdData2_PDI_Cash_Exception_Application[[#This Row],[TODAY]]-qry_ProdData2_PDI_Cash_Exception_Application[[#This Row],[CHANGED ON]]</f>
        <v>12.742928240739275</v>
      </c>
      <c r="N797">
        <f ca="1">qry_ProdData2_PDI_Cash_Exception_Application[[#This Row],[TODAY]]-qry_ProdData2_PDI_Cash_Exception_Application[[#This Row],[CHANGED ON]]</f>
        <v>12.742928240739275</v>
      </c>
    </row>
    <row r="798" spans="1:14" x14ac:dyDescent="0.35">
      <c r="A798">
        <v>1017</v>
      </c>
      <c r="B798" t="s">
        <v>71</v>
      </c>
      <c r="C798" s="1">
        <v>45190.257071759261</v>
      </c>
      <c r="D798" t="str">
        <f ca="1">VLOOKUP(qry_ProdData2_PDI_Cash_Exception_Application[[#This Row],[TYPE]],#REF!,2,FALSE)</f>
        <v>type40</v>
      </c>
      <c r="E798">
        <v>64</v>
      </c>
      <c r="F798" t="s">
        <v>49</v>
      </c>
      <c r="G798" s="1">
        <f>qry_ProdData2_PDI_Cash_Exception_Application[[#This Row],[INSERT DATE]]+5</f>
        <v>45195.257071759261</v>
      </c>
      <c r="H798" t="str">
        <f>VLOOKUP(qry_ProdData2_PDI_Cash_Exception_Application[[#This Row],[MARKET No]],'Site Allocation'!$B$2:$C$37,2,FALSE)</f>
        <v>Analyst3</v>
      </c>
      <c r="I798" s="4">
        <f t="shared" ca="1" si="12"/>
        <v>45203</v>
      </c>
      <c r="J798" s="42">
        <f ca="1">TODAY()-qry_ProdData2_PDI_Cash_Exception_Application[[#This Row],[INSERT DATE]]</f>
        <v>12.742928240739275</v>
      </c>
      <c r="K7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98">
        <f ca="1">qry_ProdData2_PDI_Cash_Exception_Application[[#This Row],[TODAY]]-qry_ProdData2_PDI_Cash_Exception_Application[[#This Row],[CHANGED ON]]</f>
        <v>7.7429282407392748</v>
      </c>
      <c r="M798">
        <f ca="1">qry_ProdData2_PDI_Cash_Exception_Application[[#This Row],[TODAY]]-qry_ProdData2_PDI_Cash_Exception_Application[[#This Row],[CHANGED ON]]</f>
        <v>7.7429282407392748</v>
      </c>
      <c r="N798">
        <f ca="1">qry_ProdData2_PDI_Cash_Exception_Application[[#This Row],[TODAY]]-qry_ProdData2_PDI_Cash_Exception_Application[[#This Row],[CHANGED ON]]</f>
        <v>7.7429282407392748</v>
      </c>
    </row>
    <row r="799" spans="1:14" x14ac:dyDescent="0.35">
      <c r="A799">
        <v>1013</v>
      </c>
      <c r="B799" t="s">
        <v>67</v>
      </c>
      <c r="C799" s="1">
        <v>45184.257071759261</v>
      </c>
      <c r="D799" t="str">
        <f ca="1">VLOOKUP(qry_ProdData2_PDI_Cash_Exception_Application[[#This Row],[TYPE]],#REF!,2,FALSE)</f>
        <v>type40</v>
      </c>
      <c r="E799">
        <v>-415.89</v>
      </c>
      <c r="F799" t="s">
        <v>47</v>
      </c>
      <c r="G799" s="1">
        <f>qry_ProdData2_PDI_Cash_Exception_Application[[#This Row],[INSERT DATE]]+1</f>
        <v>45185.257071759261</v>
      </c>
      <c r="H799" t="str">
        <f>VLOOKUP(qry_ProdData2_PDI_Cash_Exception_Application[[#This Row],[MARKET No]],'Site Allocation'!$B$2:$C$37,2,FALSE)</f>
        <v>Analyst3</v>
      </c>
      <c r="I799" s="4">
        <f t="shared" ca="1" si="12"/>
        <v>45203</v>
      </c>
      <c r="J799" s="42">
        <f ca="1">TODAY()-qry_ProdData2_PDI_Cash_Exception_Application[[#This Row],[INSERT DATE]]</f>
        <v>18.742928240739275</v>
      </c>
      <c r="K7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799">
        <f ca="1">qry_ProdData2_PDI_Cash_Exception_Application[[#This Row],[TODAY]]-qry_ProdData2_PDI_Cash_Exception_Application[[#This Row],[CHANGED ON]]</f>
        <v>17.742928240739275</v>
      </c>
      <c r="M799">
        <f ca="1">qry_ProdData2_PDI_Cash_Exception_Application[[#This Row],[TODAY]]-qry_ProdData2_PDI_Cash_Exception_Application[[#This Row],[CHANGED ON]]</f>
        <v>17.742928240739275</v>
      </c>
      <c r="N799">
        <f ca="1">qry_ProdData2_PDI_Cash_Exception_Application[[#This Row],[TODAY]]-qry_ProdData2_PDI_Cash_Exception_Application[[#This Row],[CHANGED ON]]</f>
        <v>17.742928240739275</v>
      </c>
    </row>
    <row r="800" spans="1:14" x14ac:dyDescent="0.35">
      <c r="A800">
        <v>1021</v>
      </c>
      <c r="B800" t="s">
        <v>75</v>
      </c>
      <c r="C800" s="1">
        <v>45184.257071759261</v>
      </c>
      <c r="D800" t="str">
        <f ca="1">VLOOKUP(qry_ProdData2_PDI_Cash_Exception_Application[[#This Row],[TYPE]],#REF!,2,FALSE)</f>
        <v>type40</v>
      </c>
      <c r="E800">
        <v>-6459.62</v>
      </c>
      <c r="F800" t="s">
        <v>50</v>
      </c>
      <c r="G800" s="1">
        <f>qry_ProdData2_PDI_Cash_Exception_Application[[#This Row],[INSERT DATE]]+5</f>
        <v>45189.257071759261</v>
      </c>
      <c r="H800" t="str">
        <f>VLOOKUP(qry_ProdData2_PDI_Cash_Exception_Application[[#This Row],[MARKET No]],'Site Allocation'!$B$2:$C$37,2,FALSE)</f>
        <v>Analyst4</v>
      </c>
      <c r="I800" s="4">
        <f t="shared" ca="1" si="12"/>
        <v>45203</v>
      </c>
      <c r="J800" s="42">
        <f ca="1">TODAY()-qry_ProdData2_PDI_Cash_Exception_Application[[#This Row],[INSERT DATE]]</f>
        <v>18.742928240739275</v>
      </c>
      <c r="K8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00">
        <f ca="1">qry_ProdData2_PDI_Cash_Exception_Application[[#This Row],[TODAY]]-qry_ProdData2_PDI_Cash_Exception_Application[[#This Row],[CHANGED ON]]</f>
        <v>13.742928240739275</v>
      </c>
      <c r="M800">
        <f ca="1">qry_ProdData2_PDI_Cash_Exception_Application[[#This Row],[TODAY]]-qry_ProdData2_PDI_Cash_Exception_Application[[#This Row],[CHANGED ON]]</f>
        <v>13.742928240739275</v>
      </c>
      <c r="N800">
        <f ca="1">qry_ProdData2_PDI_Cash_Exception_Application[[#This Row],[TODAY]]-qry_ProdData2_PDI_Cash_Exception_Application[[#This Row],[CHANGED ON]]</f>
        <v>13.742928240739275</v>
      </c>
    </row>
    <row r="801" spans="1:14" x14ac:dyDescent="0.35">
      <c r="A801">
        <v>1032</v>
      </c>
      <c r="B801" t="s">
        <v>86</v>
      </c>
      <c r="C801" s="1">
        <v>45188.257071759261</v>
      </c>
      <c r="D801" t="str">
        <f ca="1">VLOOKUP(qry_ProdData2_PDI_Cash_Exception_Application[[#This Row],[TYPE]],#REF!,2,FALSE)</f>
        <v>type40</v>
      </c>
      <c r="E801">
        <v>680.58</v>
      </c>
      <c r="F801" t="s">
        <v>48</v>
      </c>
      <c r="G801" s="1">
        <f>qry_ProdData2_PDI_Cash_Exception_Application[[#This Row],[INSERT DATE]]+5</f>
        <v>45193.257071759261</v>
      </c>
      <c r="H801" t="str">
        <f>VLOOKUP(qry_ProdData2_PDI_Cash_Exception_Application[[#This Row],[MARKET No]],'Site Allocation'!$B$2:$C$37,2,FALSE)</f>
        <v>Analyst6</v>
      </c>
      <c r="I801" s="4">
        <f t="shared" ca="1" si="12"/>
        <v>45203</v>
      </c>
      <c r="J801" s="42">
        <f ca="1">TODAY()-qry_ProdData2_PDI_Cash_Exception_Application[[#This Row],[INSERT DATE]]</f>
        <v>14.742928240739275</v>
      </c>
      <c r="K8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01">
        <f ca="1">qry_ProdData2_PDI_Cash_Exception_Application[[#This Row],[TODAY]]-qry_ProdData2_PDI_Cash_Exception_Application[[#This Row],[CHANGED ON]]</f>
        <v>9.7429282407392748</v>
      </c>
      <c r="M801">
        <f ca="1">qry_ProdData2_PDI_Cash_Exception_Application[[#This Row],[TODAY]]-qry_ProdData2_PDI_Cash_Exception_Application[[#This Row],[CHANGED ON]]</f>
        <v>9.7429282407392748</v>
      </c>
      <c r="N801">
        <f ca="1">qry_ProdData2_PDI_Cash_Exception_Application[[#This Row],[TODAY]]-qry_ProdData2_PDI_Cash_Exception_Application[[#This Row],[CHANGED ON]]</f>
        <v>9.7429282407392748</v>
      </c>
    </row>
    <row r="802" spans="1:14" x14ac:dyDescent="0.35">
      <c r="A802">
        <v>1013</v>
      </c>
      <c r="B802" t="s">
        <v>67</v>
      </c>
      <c r="C802" s="1">
        <v>45189.257071759261</v>
      </c>
      <c r="D802" t="str">
        <f ca="1">VLOOKUP(qry_ProdData2_PDI_Cash_Exception_Application[[#This Row],[TYPE]],#REF!,2,FALSE)</f>
        <v>type40</v>
      </c>
      <c r="E802">
        <v>-722.63</v>
      </c>
      <c r="F802" t="s">
        <v>51</v>
      </c>
      <c r="G802" s="1">
        <f>qry_ProdData2_PDI_Cash_Exception_Application[[#This Row],[INSERT DATE]]+2</f>
        <v>45191.257071759261</v>
      </c>
      <c r="H802" t="str">
        <f>VLOOKUP(qry_ProdData2_PDI_Cash_Exception_Application[[#This Row],[MARKET No]],'Site Allocation'!$B$2:$C$37,2,FALSE)</f>
        <v>Analyst3</v>
      </c>
      <c r="I802" s="4">
        <f t="shared" ca="1" si="12"/>
        <v>45203</v>
      </c>
      <c r="J802" s="42">
        <f ca="1">TODAY()-qry_ProdData2_PDI_Cash_Exception_Application[[#This Row],[INSERT DATE]]</f>
        <v>13.742928240739275</v>
      </c>
      <c r="K8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02">
        <f ca="1">qry_ProdData2_PDI_Cash_Exception_Application[[#This Row],[TODAY]]-qry_ProdData2_PDI_Cash_Exception_Application[[#This Row],[CHANGED ON]]</f>
        <v>11.742928240739275</v>
      </c>
      <c r="M802">
        <f ca="1">qry_ProdData2_PDI_Cash_Exception_Application[[#This Row],[TODAY]]-qry_ProdData2_PDI_Cash_Exception_Application[[#This Row],[CHANGED ON]]</f>
        <v>11.742928240739275</v>
      </c>
      <c r="N802">
        <f ca="1">qry_ProdData2_PDI_Cash_Exception_Application[[#This Row],[TODAY]]-qry_ProdData2_PDI_Cash_Exception_Application[[#This Row],[CHANGED ON]]</f>
        <v>11.742928240739275</v>
      </c>
    </row>
    <row r="803" spans="1:14" x14ac:dyDescent="0.35">
      <c r="A803">
        <v>1014</v>
      </c>
      <c r="B803" t="s">
        <v>68</v>
      </c>
      <c r="C803" s="1">
        <v>45183.257071759261</v>
      </c>
      <c r="D803" t="str">
        <f ca="1">VLOOKUP(qry_ProdData2_PDI_Cash_Exception_Application[[#This Row],[TYPE]],#REF!,2,FALSE)</f>
        <v>type40</v>
      </c>
      <c r="E803">
        <v>7.58</v>
      </c>
      <c r="F803" t="s">
        <v>49</v>
      </c>
      <c r="G803" s="1">
        <f>qry_ProdData2_PDI_Cash_Exception_Application[[#This Row],[INSERT DATE]]+1</f>
        <v>45184.257071759261</v>
      </c>
      <c r="H803" t="str">
        <f>VLOOKUP(qry_ProdData2_PDI_Cash_Exception_Application[[#This Row],[MARKET No]],'Site Allocation'!$B$2:$C$37,2,FALSE)</f>
        <v>Analyst3</v>
      </c>
      <c r="I803" s="4">
        <f t="shared" ca="1" si="12"/>
        <v>45203</v>
      </c>
      <c r="J803" s="42">
        <f ca="1">TODAY()-qry_ProdData2_PDI_Cash_Exception_Application[[#This Row],[INSERT DATE]]</f>
        <v>19.742928240739275</v>
      </c>
      <c r="K8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03">
        <f ca="1">qry_ProdData2_PDI_Cash_Exception_Application[[#This Row],[TODAY]]-qry_ProdData2_PDI_Cash_Exception_Application[[#This Row],[CHANGED ON]]</f>
        <v>18.742928240739275</v>
      </c>
      <c r="M803">
        <f ca="1">qry_ProdData2_PDI_Cash_Exception_Application[[#This Row],[TODAY]]-qry_ProdData2_PDI_Cash_Exception_Application[[#This Row],[CHANGED ON]]</f>
        <v>18.742928240739275</v>
      </c>
      <c r="N803">
        <f ca="1">qry_ProdData2_PDI_Cash_Exception_Application[[#This Row],[TODAY]]-qry_ProdData2_PDI_Cash_Exception_Application[[#This Row],[CHANGED ON]]</f>
        <v>18.742928240739275</v>
      </c>
    </row>
    <row r="804" spans="1:14" x14ac:dyDescent="0.35">
      <c r="A804">
        <v>1025</v>
      </c>
      <c r="B804" t="s">
        <v>79</v>
      </c>
      <c r="C804" s="1">
        <v>45187.257071759261</v>
      </c>
      <c r="D804" t="str">
        <f ca="1">VLOOKUP(qry_ProdData2_PDI_Cash_Exception_Application[[#This Row],[TYPE]],#REF!,2,FALSE)</f>
        <v>type40</v>
      </c>
      <c r="E804">
        <v>-3466.88</v>
      </c>
      <c r="F804" t="s">
        <v>52</v>
      </c>
      <c r="G804" s="1">
        <f>qry_ProdData2_PDI_Cash_Exception_Application[[#This Row],[INSERT DATE]]+7</f>
        <v>45194.257071759261</v>
      </c>
      <c r="H804" t="str">
        <f>VLOOKUP(qry_ProdData2_PDI_Cash_Exception_Application[[#This Row],[MARKET No]],'Site Allocation'!$B$2:$C$37,2,FALSE)</f>
        <v>Analyst5</v>
      </c>
      <c r="I804" s="4">
        <f t="shared" ca="1" si="12"/>
        <v>45203</v>
      </c>
      <c r="J804" s="42">
        <f ca="1">TODAY()-qry_ProdData2_PDI_Cash_Exception_Application[[#This Row],[INSERT DATE]]</f>
        <v>15.742928240739275</v>
      </c>
      <c r="K8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04">
        <f ca="1">qry_ProdData2_PDI_Cash_Exception_Application[[#This Row],[TODAY]]-qry_ProdData2_PDI_Cash_Exception_Application[[#This Row],[CHANGED ON]]</f>
        <v>8.7429282407392748</v>
      </c>
      <c r="M804">
        <f ca="1">qry_ProdData2_PDI_Cash_Exception_Application[[#This Row],[TODAY]]-qry_ProdData2_PDI_Cash_Exception_Application[[#This Row],[CHANGED ON]]</f>
        <v>8.7429282407392748</v>
      </c>
      <c r="N804">
        <f ca="1">qry_ProdData2_PDI_Cash_Exception_Application[[#This Row],[TODAY]]-qry_ProdData2_PDI_Cash_Exception_Application[[#This Row],[CHANGED ON]]</f>
        <v>8.7429282407392748</v>
      </c>
    </row>
    <row r="805" spans="1:14" x14ac:dyDescent="0.35">
      <c r="A805">
        <v>1034</v>
      </c>
      <c r="B805" t="s">
        <v>88</v>
      </c>
      <c r="C805" s="1">
        <v>45191.257071759261</v>
      </c>
      <c r="D805" t="str">
        <f ca="1">VLOOKUP(qry_ProdData2_PDI_Cash_Exception_Application[[#This Row],[TYPE]],#REF!,2,FALSE)</f>
        <v>type40</v>
      </c>
      <c r="E805">
        <v>-715.64</v>
      </c>
      <c r="F805" t="s">
        <v>48</v>
      </c>
      <c r="G805" s="1">
        <f>qry_ProdData2_PDI_Cash_Exception_Application[[#This Row],[INSERT DATE]]+5</f>
        <v>45196.257071759261</v>
      </c>
      <c r="H805" t="str">
        <f>VLOOKUP(qry_ProdData2_PDI_Cash_Exception_Application[[#This Row],[MARKET No]],'Site Allocation'!$B$2:$C$37,2,FALSE)</f>
        <v>Analyst6</v>
      </c>
      <c r="I805" s="4">
        <f t="shared" ca="1" si="12"/>
        <v>45203</v>
      </c>
      <c r="J805" s="42">
        <f ca="1">TODAY()-qry_ProdData2_PDI_Cash_Exception_Application[[#This Row],[INSERT DATE]]</f>
        <v>11.742928240739275</v>
      </c>
      <c r="K8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05">
        <f ca="1">qry_ProdData2_PDI_Cash_Exception_Application[[#This Row],[TODAY]]-qry_ProdData2_PDI_Cash_Exception_Application[[#This Row],[CHANGED ON]]</f>
        <v>6.7429282407392748</v>
      </c>
      <c r="M805">
        <f ca="1">qry_ProdData2_PDI_Cash_Exception_Application[[#This Row],[TODAY]]-qry_ProdData2_PDI_Cash_Exception_Application[[#This Row],[CHANGED ON]]</f>
        <v>6.7429282407392748</v>
      </c>
      <c r="N805">
        <f ca="1">qry_ProdData2_PDI_Cash_Exception_Application[[#This Row],[TODAY]]-qry_ProdData2_PDI_Cash_Exception_Application[[#This Row],[CHANGED ON]]</f>
        <v>6.7429282407392748</v>
      </c>
    </row>
    <row r="806" spans="1:14" x14ac:dyDescent="0.35">
      <c r="A806">
        <v>1010</v>
      </c>
      <c r="B806" t="s">
        <v>64</v>
      </c>
      <c r="C806" s="1">
        <v>45188.257071759261</v>
      </c>
      <c r="D806" t="str">
        <f ca="1">VLOOKUP(qry_ProdData2_PDI_Cash_Exception_Application[[#This Row],[TYPE]],#REF!,2,FALSE)</f>
        <v>type40</v>
      </c>
      <c r="E806">
        <v>-15655.14</v>
      </c>
      <c r="F806" t="s">
        <v>50</v>
      </c>
      <c r="G806" s="1">
        <f>qry_ProdData2_PDI_Cash_Exception_Application[[#This Row],[INSERT DATE]]+7</f>
        <v>45195.257071759261</v>
      </c>
      <c r="H806" t="str">
        <f>VLOOKUP(qry_ProdData2_PDI_Cash_Exception_Application[[#This Row],[MARKET No]],'Site Allocation'!$B$2:$C$37,2,FALSE)</f>
        <v>Analyst2</v>
      </c>
      <c r="I806" s="4">
        <f t="shared" ca="1" si="12"/>
        <v>45203</v>
      </c>
      <c r="J806" s="42">
        <f ca="1">TODAY()-qry_ProdData2_PDI_Cash_Exception_Application[[#This Row],[INSERT DATE]]</f>
        <v>14.742928240739275</v>
      </c>
      <c r="K8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06">
        <f ca="1">qry_ProdData2_PDI_Cash_Exception_Application[[#This Row],[TODAY]]-qry_ProdData2_PDI_Cash_Exception_Application[[#This Row],[CHANGED ON]]</f>
        <v>7.7429282407392748</v>
      </c>
      <c r="M806">
        <f ca="1">qry_ProdData2_PDI_Cash_Exception_Application[[#This Row],[TODAY]]-qry_ProdData2_PDI_Cash_Exception_Application[[#This Row],[CHANGED ON]]</f>
        <v>7.7429282407392748</v>
      </c>
      <c r="N806">
        <f ca="1">qry_ProdData2_PDI_Cash_Exception_Application[[#This Row],[TODAY]]-qry_ProdData2_PDI_Cash_Exception_Application[[#This Row],[CHANGED ON]]</f>
        <v>7.7429282407392748</v>
      </c>
    </row>
    <row r="807" spans="1:14" x14ac:dyDescent="0.35">
      <c r="A807">
        <v>1025</v>
      </c>
      <c r="B807" t="s">
        <v>79</v>
      </c>
      <c r="C807" s="1">
        <v>45189.257071759261</v>
      </c>
      <c r="D807" t="str">
        <f ca="1">VLOOKUP(qry_ProdData2_PDI_Cash_Exception_Application[[#This Row],[TYPE]],#REF!,2,FALSE)</f>
        <v>type40</v>
      </c>
      <c r="E807">
        <v>1656.52</v>
      </c>
      <c r="F807" t="s">
        <v>50</v>
      </c>
      <c r="G807" s="1">
        <f>qry_ProdData2_PDI_Cash_Exception_Application[[#This Row],[INSERT DATE]]+7</f>
        <v>45196.257071759261</v>
      </c>
      <c r="H807" t="str">
        <f>VLOOKUP(qry_ProdData2_PDI_Cash_Exception_Application[[#This Row],[MARKET No]],'Site Allocation'!$B$2:$C$37,2,FALSE)</f>
        <v>Analyst5</v>
      </c>
      <c r="I807" s="4">
        <f t="shared" ca="1" si="12"/>
        <v>45203</v>
      </c>
      <c r="J807" s="42">
        <f ca="1">TODAY()-qry_ProdData2_PDI_Cash_Exception_Application[[#This Row],[INSERT DATE]]</f>
        <v>13.742928240739275</v>
      </c>
      <c r="K8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07">
        <f ca="1">qry_ProdData2_PDI_Cash_Exception_Application[[#This Row],[TODAY]]-qry_ProdData2_PDI_Cash_Exception_Application[[#This Row],[CHANGED ON]]</f>
        <v>6.7429282407392748</v>
      </c>
      <c r="M807">
        <f ca="1">qry_ProdData2_PDI_Cash_Exception_Application[[#This Row],[TODAY]]-qry_ProdData2_PDI_Cash_Exception_Application[[#This Row],[CHANGED ON]]</f>
        <v>6.7429282407392748</v>
      </c>
      <c r="N807">
        <f ca="1">qry_ProdData2_PDI_Cash_Exception_Application[[#This Row],[TODAY]]-qry_ProdData2_PDI_Cash_Exception_Application[[#This Row],[CHANGED ON]]</f>
        <v>6.7429282407392748</v>
      </c>
    </row>
    <row r="808" spans="1:14" x14ac:dyDescent="0.35">
      <c r="A808">
        <v>1005</v>
      </c>
      <c r="B808" t="s">
        <v>59</v>
      </c>
      <c r="C808" s="1">
        <v>45187.257071759261</v>
      </c>
      <c r="D808" t="str">
        <f ca="1">VLOOKUP(qry_ProdData2_PDI_Cash_Exception_Application[[#This Row],[TYPE]],#REF!,2,FALSE)</f>
        <v>type13</v>
      </c>
      <c r="E808">
        <v>19624.849999999999</v>
      </c>
      <c r="F808" t="s">
        <v>49</v>
      </c>
      <c r="G808" s="1">
        <f>qry_ProdData2_PDI_Cash_Exception_Application[[#This Row],[INSERT DATE]]+2</f>
        <v>45189.257071759261</v>
      </c>
      <c r="H808" t="str">
        <f>VLOOKUP(qry_ProdData2_PDI_Cash_Exception_Application[[#This Row],[MARKET No]],'Site Allocation'!$B$2:$C$37,2,FALSE)</f>
        <v>Analyst1</v>
      </c>
      <c r="I808" s="4">
        <f t="shared" ca="1" si="12"/>
        <v>45203</v>
      </c>
      <c r="J808" s="42">
        <f ca="1">TODAY()-qry_ProdData2_PDI_Cash_Exception_Application[[#This Row],[INSERT DATE]]</f>
        <v>15.742928240739275</v>
      </c>
      <c r="K8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08">
        <f ca="1">qry_ProdData2_PDI_Cash_Exception_Application[[#This Row],[TODAY]]-qry_ProdData2_PDI_Cash_Exception_Application[[#This Row],[CHANGED ON]]</f>
        <v>13.742928240739275</v>
      </c>
      <c r="M808">
        <f ca="1">qry_ProdData2_PDI_Cash_Exception_Application[[#This Row],[TODAY]]-qry_ProdData2_PDI_Cash_Exception_Application[[#This Row],[CHANGED ON]]</f>
        <v>13.742928240739275</v>
      </c>
      <c r="N808">
        <f ca="1">qry_ProdData2_PDI_Cash_Exception_Application[[#This Row],[TODAY]]-qry_ProdData2_PDI_Cash_Exception_Application[[#This Row],[CHANGED ON]]</f>
        <v>13.742928240739275</v>
      </c>
    </row>
    <row r="809" spans="1:14" x14ac:dyDescent="0.35">
      <c r="A809">
        <v>1023</v>
      </c>
      <c r="B809" t="s">
        <v>77</v>
      </c>
      <c r="C809" s="1">
        <v>45190.257071759261</v>
      </c>
      <c r="D809" t="str">
        <f ca="1">VLOOKUP(qry_ProdData2_PDI_Cash_Exception_Application[[#This Row],[TYPE]],#REF!,2,FALSE)</f>
        <v>type40</v>
      </c>
      <c r="E809">
        <v>-711.64</v>
      </c>
      <c r="F809" t="s">
        <v>48</v>
      </c>
      <c r="G809" s="1">
        <f>qry_ProdData2_PDI_Cash_Exception_Application[[#This Row],[INSERT DATE]]+5</f>
        <v>45195.257071759261</v>
      </c>
      <c r="H809" t="str">
        <f>VLOOKUP(qry_ProdData2_PDI_Cash_Exception_Application[[#This Row],[MARKET No]],'Site Allocation'!$B$2:$C$37,2,FALSE)</f>
        <v>Analyst4</v>
      </c>
      <c r="I809" s="4">
        <f t="shared" ca="1" si="12"/>
        <v>45203</v>
      </c>
      <c r="J809" s="42">
        <f ca="1">TODAY()-qry_ProdData2_PDI_Cash_Exception_Application[[#This Row],[INSERT DATE]]</f>
        <v>12.742928240739275</v>
      </c>
      <c r="K8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09">
        <f ca="1">qry_ProdData2_PDI_Cash_Exception_Application[[#This Row],[TODAY]]-qry_ProdData2_PDI_Cash_Exception_Application[[#This Row],[CHANGED ON]]</f>
        <v>7.7429282407392748</v>
      </c>
      <c r="M809">
        <f ca="1">qry_ProdData2_PDI_Cash_Exception_Application[[#This Row],[TODAY]]-qry_ProdData2_PDI_Cash_Exception_Application[[#This Row],[CHANGED ON]]</f>
        <v>7.7429282407392748</v>
      </c>
      <c r="N809">
        <f ca="1">qry_ProdData2_PDI_Cash_Exception_Application[[#This Row],[TODAY]]-qry_ProdData2_PDI_Cash_Exception_Application[[#This Row],[CHANGED ON]]</f>
        <v>7.7429282407392748</v>
      </c>
    </row>
    <row r="810" spans="1:14" x14ac:dyDescent="0.35">
      <c r="A810">
        <v>1035</v>
      </c>
      <c r="B810" t="s">
        <v>89</v>
      </c>
      <c r="C810" s="1">
        <v>45185.257071759261</v>
      </c>
      <c r="D810" t="str">
        <f ca="1">VLOOKUP(qry_ProdData2_PDI_Cash_Exception_Application[[#This Row],[TYPE]],#REF!,2,FALSE)</f>
        <v>type40</v>
      </c>
      <c r="E810">
        <v>1049.74</v>
      </c>
      <c r="F810" t="s">
        <v>49</v>
      </c>
      <c r="G810" s="1">
        <f>qry_ProdData2_PDI_Cash_Exception_Application[[#This Row],[INSERT DATE]]+2</f>
        <v>45187.257071759261</v>
      </c>
      <c r="H810" t="str">
        <f>VLOOKUP(qry_ProdData2_PDI_Cash_Exception_Application[[#This Row],[MARKET No]],'Site Allocation'!$B$2:$C$37,2,FALSE)</f>
        <v>Analyst6</v>
      </c>
      <c r="I810" s="4">
        <f t="shared" ca="1" si="12"/>
        <v>45203</v>
      </c>
      <c r="J810" s="42">
        <f ca="1">TODAY()-qry_ProdData2_PDI_Cash_Exception_Application[[#This Row],[INSERT DATE]]</f>
        <v>17.742928240739275</v>
      </c>
      <c r="K8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10">
        <f ca="1">qry_ProdData2_PDI_Cash_Exception_Application[[#This Row],[TODAY]]-qry_ProdData2_PDI_Cash_Exception_Application[[#This Row],[CHANGED ON]]</f>
        <v>15.742928240739275</v>
      </c>
      <c r="M810">
        <f ca="1">qry_ProdData2_PDI_Cash_Exception_Application[[#This Row],[TODAY]]-qry_ProdData2_PDI_Cash_Exception_Application[[#This Row],[CHANGED ON]]</f>
        <v>15.742928240739275</v>
      </c>
      <c r="N810">
        <f ca="1">qry_ProdData2_PDI_Cash_Exception_Application[[#This Row],[TODAY]]-qry_ProdData2_PDI_Cash_Exception_Application[[#This Row],[CHANGED ON]]</f>
        <v>15.742928240739275</v>
      </c>
    </row>
    <row r="811" spans="1:14" x14ac:dyDescent="0.35">
      <c r="A811">
        <v>1000</v>
      </c>
      <c r="B811" t="s">
        <v>54</v>
      </c>
      <c r="C811" s="1">
        <v>45191.257071759261</v>
      </c>
      <c r="D811" t="str">
        <f ca="1">VLOOKUP(qry_ProdData2_PDI_Cash_Exception_Application[[#This Row],[TYPE]],#REF!,2,FALSE)</f>
        <v>type40</v>
      </c>
      <c r="E811">
        <v>-361.11</v>
      </c>
      <c r="F811" t="s">
        <v>50</v>
      </c>
      <c r="G811" s="1">
        <f>qry_ProdData2_PDI_Cash_Exception_Application[[#This Row],[INSERT DATE]]+7</f>
        <v>45198.257071759261</v>
      </c>
      <c r="H811" t="str">
        <f>VLOOKUP(qry_ProdData2_PDI_Cash_Exception_Application[[#This Row],[MARKET No]],'Site Allocation'!$B$2:$C$37,2,FALSE)</f>
        <v>Analyst1</v>
      </c>
      <c r="I811" s="4">
        <f t="shared" ca="1" si="12"/>
        <v>45203</v>
      </c>
      <c r="J811" s="42">
        <f ca="1">TODAY()-qry_ProdData2_PDI_Cash_Exception_Application[[#This Row],[INSERT DATE]]</f>
        <v>11.742928240739275</v>
      </c>
      <c r="K8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11">
        <f ca="1">qry_ProdData2_PDI_Cash_Exception_Application[[#This Row],[TODAY]]-qry_ProdData2_PDI_Cash_Exception_Application[[#This Row],[CHANGED ON]]</f>
        <v>4.7429282407392748</v>
      </c>
      <c r="M811">
        <f ca="1">qry_ProdData2_PDI_Cash_Exception_Application[[#This Row],[TODAY]]-qry_ProdData2_PDI_Cash_Exception_Application[[#This Row],[CHANGED ON]]</f>
        <v>4.7429282407392748</v>
      </c>
      <c r="N811">
        <f ca="1">qry_ProdData2_PDI_Cash_Exception_Application[[#This Row],[TODAY]]-qry_ProdData2_PDI_Cash_Exception_Application[[#This Row],[CHANGED ON]]</f>
        <v>4.7429282407392748</v>
      </c>
    </row>
    <row r="812" spans="1:14" x14ac:dyDescent="0.35">
      <c r="A812">
        <v>1027</v>
      </c>
      <c r="B812" t="s">
        <v>81</v>
      </c>
      <c r="C812" s="1">
        <v>45192.257071759261</v>
      </c>
      <c r="D812" t="str">
        <f ca="1">VLOOKUP(qry_ProdData2_PDI_Cash_Exception_Application[[#This Row],[TYPE]],#REF!,2,FALSE)</f>
        <v>type40</v>
      </c>
      <c r="E812">
        <v>306.47000000000003</v>
      </c>
      <c r="F812" t="s">
        <v>50</v>
      </c>
      <c r="G812" s="1">
        <f>qry_ProdData2_PDI_Cash_Exception_Application[[#This Row],[INSERT DATE]]+7</f>
        <v>45199.257071759261</v>
      </c>
      <c r="H812" t="str">
        <f>VLOOKUP(qry_ProdData2_PDI_Cash_Exception_Application[[#This Row],[MARKET No]],'Site Allocation'!$B$2:$C$37,2,FALSE)</f>
        <v>Analyst5</v>
      </c>
      <c r="I812" s="4">
        <f t="shared" ca="1" si="12"/>
        <v>45203</v>
      </c>
      <c r="J812" s="42">
        <f ca="1">TODAY()-qry_ProdData2_PDI_Cash_Exception_Application[[#This Row],[INSERT DATE]]</f>
        <v>10.742928240739275</v>
      </c>
      <c r="K8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12">
        <f ca="1">qry_ProdData2_PDI_Cash_Exception_Application[[#This Row],[TODAY]]-qry_ProdData2_PDI_Cash_Exception_Application[[#This Row],[CHANGED ON]]</f>
        <v>3.7429282407392748</v>
      </c>
      <c r="M812">
        <f ca="1">qry_ProdData2_PDI_Cash_Exception_Application[[#This Row],[TODAY]]-qry_ProdData2_PDI_Cash_Exception_Application[[#This Row],[CHANGED ON]]</f>
        <v>3.7429282407392748</v>
      </c>
      <c r="N812">
        <f ca="1">qry_ProdData2_PDI_Cash_Exception_Application[[#This Row],[TODAY]]-qry_ProdData2_PDI_Cash_Exception_Application[[#This Row],[CHANGED ON]]</f>
        <v>3.7429282407392748</v>
      </c>
    </row>
    <row r="813" spans="1:14" x14ac:dyDescent="0.35">
      <c r="A813">
        <v>1010</v>
      </c>
      <c r="B813" t="s">
        <v>64</v>
      </c>
      <c r="C813" s="1">
        <v>45189.257071759261</v>
      </c>
      <c r="D813" t="str">
        <f ca="1">VLOOKUP(qry_ProdData2_PDI_Cash_Exception_Application[[#This Row],[TYPE]],#REF!,2,FALSE)</f>
        <v>type40</v>
      </c>
      <c r="E813">
        <v>-397.39</v>
      </c>
      <c r="F813" t="s">
        <v>49</v>
      </c>
      <c r="G813" s="1">
        <f>qry_ProdData2_PDI_Cash_Exception_Application[[#This Row],[INSERT DATE]]+2</f>
        <v>45191.257071759261</v>
      </c>
      <c r="H813" t="str">
        <f>VLOOKUP(qry_ProdData2_PDI_Cash_Exception_Application[[#This Row],[MARKET No]],'Site Allocation'!$B$2:$C$37,2,FALSE)</f>
        <v>Analyst2</v>
      </c>
      <c r="I813" s="4">
        <f t="shared" ca="1" si="12"/>
        <v>45203</v>
      </c>
      <c r="J813" s="42">
        <f ca="1">TODAY()-qry_ProdData2_PDI_Cash_Exception_Application[[#This Row],[INSERT DATE]]</f>
        <v>13.742928240739275</v>
      </c>
      <c r="K8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13">
        <f ca="1">qry_ProdData2_PDI_Cash_Exception_Application[[#This Row],[TODAY]]-qry_ProdData2_PDI_Cash_Exception_Application[[#This Row],[CHANGED ON]]</f>
        <v>11.742928240739275</v>
      </c>
      <c r="M813">
        <f ca="1">qry_ProdData2_PDI_Cash_Exception_Application[[#This Row],[TODAY]]-qry_ProdData2_PDI_Cash_Exception_Application[[#This Row],[CHANGED ON]]</f>
        <v>11.742928240739275</v>
      </c>
      <c r="N813">
        <f ca="1">qry_ProdData2_PDI_Cash_Exception_Application[[#This Row],[TODAY]]-qry_ProdData2_PDI_Cash_Exception_Application[[#This Row],[CHANGED ON]]</f>
        <v>11.742928240739275</v>
      </c>
    </row>
    <row r="814" spans="1:14" x14ac:dyDescent="0.35">
      <c r="A814">
        <v>1014</v>
      </c>
      <c r="B814" t="s">
        <v>68</v>
      </c>
      <c r="C814" s="1">
        <v>45190.257071759261</v>
      </c>
      <c r="D814" t="str">
        <f ca="1">VLOOKUP(qry_ProdData2_PDI_Cash_Exception_Application[[#This Row],[TYPE]],#REF!,2,FALSE)</f>
        <v>type40</v>
      </c>
      <c r="E814">
        <v>779.06</v>
      </c>
      <c r="F814" t="s">
        <v>51</v>
      </c>
      <c r="G814" s="1">
        <f>qry_ProdData2_PDI_Cash_Exception_Application[[#This Row],[INSERT DATE]]+2</f>
        <v>45192.257071759261</v>
      </c>
      <c r="H814" t="str">
        <f>VLOOKUP(qry_ProdData2_PDI_Cash_Exception_Application[[#This Row],[MARKET No]],'Site Allocation'!$B$2:$C$37,2,FALSE)</f>
        <v>Analyst3</v>
      </c>
      <c r="I814" s="4">
        <f t="shared" ca="1" si="12"/>
        <v>45203</v>
      </c>
      <c r="J814" s="42">
        <f ca="1">TODAY()-qry_ProdData2_PDI_Cash_Exception_Application[[#This Row],[INSERT DATE]]</f>
        <v>12.742928240739275</v>
      </c>
      <c r="K8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14">
        <f ca="1">qry_ProdData2_PDI_Cash_Exception_Application[[#This Row],[TODAY]]-qry_ProdData2_PDI_Cash_Exception_Application[[#This Row],[CHANGED ON]]</f>
        <v>10.742928240739275</v>
      </c>
      <c r="M814">
        <f ca="1">qry_ProdData2_PDI_Cash_Exception_Application[[#This Row],[TODAY]]-qry_ProdData2_PDI_Cash_Exception_Application[[#This Row],[CHANGED ON]]</f>
        <v>10.742928240739275</v>
      </c>
      <c r="N814">
        <f ca="1">qry_ProdData2_PDI_Cash_Exception_Application[[#This Row],[TODAY]]-qry_ProdData2_PDI_Cash_Exception_Application[[#This Row],[CHANGED ON]]</f>
        <v>10.742928240739275</v>
      </c>
    </row>
    <row r="815" spans="1:14" x14ac:dyDescent="0.35">
      <c r="A815">
        <v>1014</v>
      </c>
      <c r="B815" t="s">
        <v>68</v>
      </c>
      <c r="C815" s="1">
        <v>45186.257071759261</v>
      </c>
      <c r="D815" t="str">
        <f ca="1">VLOOKUP(qry_ProdData2_PDI_Cash_Exception_Application[[#This Row],[TYPE]],#REF!,2,FALSE)</f>
        <v>type23</v>
      </c>
      <c r="E815">
        <v>364.67</v>
      </c>
      <c r="F815" t="s">
        <v>51</v>
      </c>
      <c r="G815" s="1">
        <f>qry_ProdData2_PDI_Cash_Exception_Application[[#This Row],[INSERT DATE]]+5</f>
        <v>45191.257071759261</v>
      </c>
      <c r="H815" t="str">
        <f>VLOOKUP(qry_ProdData2_PDI_Cash_Exception_Application[[#This Row],[MARKET No]],'Site Allocation'!$B$2:$C$37,2,FALSE)</f>
        <v>Analyst3</v>
      </c>
      <c r="I815" s="4">
        <f t="shared" ca="1" si="12"/>
        <v>45203</v>
      </c>
      <c r="J815" s="42">
        <f ca="1">TODAY()-qry_ProdData2_PDI_Cash_Exception_Application[[#This Row],[INSERT DATE]]</f>
        <v>16.742928240739275</v>
      </c>
      <c r="K8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15">
        <f ca="1">qry_ProdData2_PDI_Cash_Exception_Application[[#This Row],[TODAY]]-qry_ProdData2_PDI_Cash_Exception_Application[[#This Row],[CHANGED ON]]</f>
        <v>11.742928240739275</v>
      </c>
      <c r="M815">
        <f ca="1">qry_ProdData2_PDI_Cash_Exception_Application[[#This Row],[TODAY]]-qry_ProdData2_PDI_Cash_Exception_Application[[#This Row],[CHANGED ON]]</f>
        <v>11.742928240739275</v>
      </c>
      <c r="N815">
        <f ca="1">qry_ProdData2_PDI_Cash_Exception_Application[[#This Row],[TODAY]]-qry_ProdData2_PDI_Cash_Exception_Application[[#This Row],[CHANGED ON]]</f>
        <v>11.742928240739275</v>
      </c>
    </row>
    <row r="816" spans="1:14" x14ac:dyDescent="0.35">
      <c r="A816">
        <v>1022</v>
      </c>
      <c r="B816" t="s">
        <v>76</v>
      </c>
      <c r="C816" s="1">
        <v>45183.257071759261</v>
      </c>
      <c r="D816" t="str">
        <f ca="1">VLOOKUP(qry_ProdData2_PDI_Cash_Exception_Application[[#This Row],[TYPE]],#REF!,2,FALSE)</f>
        <v>type40</v>
      </c>
      <c r="E816">
        <v>359.46</v>
      </c>
      <c r="F816" t="s">
        <v>49</v>
      </c>
      <c r="G816" s="1">
        <f>qry_ProdData2_PDI_Cash_Exception_Application[[#This Row],[INSERT DATE]]+7</f>
        <v>45190.257071759261</v>
      </c>
      <c r="H816" t="str">
        <f>VLOOKUP(qry_ProdData2_PDI_Cash_Exception_Application[[#This Row],[MARKET No]],'Site Allocation'!$B$2:$C$37,2,FALSE)</f>
        <v>Analyst4</v>
      </c>
      <c r="I816" s="4">
        <f t="shared" ca="1" si="12"/>
        <v>45203</v>
      </c>
      <c r="J816" s="42">
        <f ca="1">TODAY()-qry_ProdData2_PDI_Cash_Exception_Application[[#This Row],[INSERT DATE]]</f>
        <v>19.742928240739275</v>
      </c>
      <c r="K8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16">
        <f ca="1">qry_ProdData2_PDI_Cash_Exception_Application[[#This Row],[TODAY]]-qry_ProdData2_PDI_Cash_Exception_Application[[#This Row],[CHANGED ON]]</f>
        <v>12.742928240739275</v>
      </c>
      <c r="M816">
        <f ca="1">qry_ProdData2_PDI_Cash_Exception_Application[[#This Row],[TODAY]]-qry_ProdData2_PDI_Cash_Exception_Application[[#This Row],[CHANGED ON]]</f>
        <v>12.742928240739275</v>
      </c>
      <c r="N816">
        <f ca="1">qry_ProdData2_PDI_Cash_Exception_Application[[#This Row],[TODAY]]-qry_ProdData2_PDI_Cash_Exception_Application[[#This Row],[CHANGED ON]]</f>
        <v>12.742928240739275</v>
      </c>
    </row>
    <row r="817" spans="1:14" x14ac:dyDescent="0.35">
      <c r="A817">
        <v>1014</v>
      </c>
      <c r="B817" t="s">
        <v>68</v>
      </c>
      <c r="C817" s="1">
        <v>45197.257071759261</v>
      </c>
      <c r="D817" t="str">
        <f ca="1">VLOOKUP(qry_ProdData2_PDI_Cash_Exception_Application[[#This Row],[TYPE]],#REF!,2,FALSE)</f>
        <v>type40</v>
      </c>
      <c r="E817">
        <v>-459.45</v>
      </c>
      <c r="F817" t="s">
        <v>50</v>
      </c>
      <c r="G817" s="1">
        <f>qry_ProdData2_PDI_Cash_Exception_Application[[#This Row],[INSERT DATE]]+7</f>
        <v>45204.257071759261</v>
      </c>
      <c r="H817" t="str">
        <f>VLOOKUP(qry_ProdData2_PDI_Cash_Exception_Application[[#This Row],[MARKET No]],'Site Allocation'!$B$2:$C$37,2,FALSE)</f>
        <v>Analyst3</v>
      </c>
      <c r="I817" s="4">
        <f t="shared" ca="1" si="12"/>
        <v>45203</v>
      </c>
      <c r="J817" s="42">
        <f ca="1">TODAY()-qry_ProdData2_PDI_Cash_Exception_Application[[#This Row],[INSERT DATE]]</f>
        <v>5.7429282407392748</v>
      </c>
      <c r="K8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817">
        <f ca="1">qry_ProdData2_PDI_Cash_Exception_Application[[#This Row],[TODAY]]-qry_ProdData2_PDI_Cash_Exception_Application[[#This Row],[CHANGED ON]]</f>
        <v>-1.2570717592607252</v>
      </c>
      <c r="M817">
        <f ca="1">qry_ProdData2_PDI_Cash_Exception_Application[[#This Row],[TODAY]]-qry_ProdData2_PDI_Cash_Exception_Application[[#This Row],[CHANGED ON]]</f>
        <v>-1.2570717592607252</v>
      </c>
      <c r="N817">
        <f ca="1">qry_ProdData2_PDI_Cash_Exception_Application[[#This Row],[TODAY]]-qry_ProdData2_PDI_Cash_Exception_Application[[#This Row],[CHANGED ON]]</f>
        <v>-1.2570717592607252</v>
      </c>
    </row>
    <row r="818" spans="1:14" x14ac:dyDescent="0.35">
      <c r="A818">
        <v>1001</v>
      </c>
      <c r="B818" t="s">
        <v>55</v>
      </c>
      <c r="C818" s="1">
        <v>45185.257071759261</v>
      </c>
      <c r="D818" t="str">
        <f ca="1">VLOOKUP(qry_ProdData2_PDI_Cash_Exception_Application[[#This Row],[TYPE]],#REF!,2,FALSE)</f>
        <v>type13</v>
      </c>
      <c r="E818">
        <v>21002.32</v>
      </c>
      <c r="F818" t="s">
        <v>52</v>
      </c>
      <c r="G818" s="1">
        <f>qry_ProdData2_PDI_Cash_Exception_Application[[#This Row],[INSERT DATE]]+7</f>
        <v>45192.257071759261</v>
      </c>
      <c r="H818" t="str">
        <f>VLOOKUP(qry_ProdData2_PDI_Cash_Exception_Application[[#This Row],[MARKET No]],'Site Allocation'!$B$2:$C$37,2,FALSE)</f>
        <v>Analyst1</v>
      </c>
      <c r="I818" s="4">
        <f t="shared" ca="1" si="12"/>
        <v>45203</v>
      </c>
      <c r="J818" s="42">
        <f ca="1">TODAY()-qry_ProdData2_PDI_Cash_Exception_Application[[#This Row],[INSERT DATE]]</f>
        <v>17.742928240739275</v>
      </c>
      <c r="K8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18">
        <f ca="1">qry_ProdData2_PDI_Cash_Exception_Application[[#This Row],[TODAY]]-qry_ProdData2_PDI_Cash_Exception_Application[[#This Row],[CHANGED ON]]</f>
        <v>10.742928240739275</v>
      </c>
      <c r="M818">
        <f ca="1">qry_ProdData2_PDI_Cash_Exception_Application[[#This Row],[TODAY]]-qry_ProdData2_PDI_Cash_Exception_Application[[#This Row],[CHANGED ON]]</f>
        <v>10.742928240739275</v>
      </c>
      <c r="N818">
        <f ca="1">qry_ProdData2_PDI_Cash_Exception_Application[[#This Row],[TODAY]]-qry_ProdData2_PDI_Cash_Exception_Application[[#This Row],[CHANGED ON]]</f>
        <v>10.742928240739275</v>
      </c>
    </row>
    <row r="819" spans="1:14" x14ac:dyDescent="0.35">
      <c r="A819">
        <v>1017</v>
      </c>
      <c r="B819" t="s">
        <v>71</v>
      </c>
      <c r="C819" s="1">
        <v>45186.257071759261</v>
      </c>
      <c r="D819" t="str">
        <f ca="1">VLOOKUP(qry_ProdData2_PDI_Cash_Exception_Application[[#This Row],[TYPE]],#REF!,2,FALSE)</f>
        <v>type13</v>
      </c>
      <c r="E819">
        <v>14264.36</v>
      </c>
      <c r="F819" t="s">
        <v>50</v>
      </c>
      <c r="G819" s="1">
        <f>qry_ProdData2_PDI_Cash_Exception_Application[[#This Row],[INSERT DATE]]+7</f>
        <v>45193.257071759261</v>
      </c>
      <c r="H819" t="str">
        <f>VLOOKUP(qry_ProdData2_PDI_Cash_Exception_Application[[#This Row],[MARKET No]],'Site Allocation'!$B$2:$C$37,2,FALSE)</f>
        <v>Analyst3</v>
      </c>
      <c r="I819" s="4">
        <f t="shared" ca="1" si="12"/>
        <v>45203</v>
      </c>
      <c r="J819" s="42">
        <f ca="1">TODAY()-qry_ProdData2_PDI_Cash_Exception_Application[[#This Row],[INSERT DATE]]</f>
        <v>16.742928240739275</v>
      </c>
      <c r="K8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19">
        <f ca="1">qry_ProdData2_PDI_Cash_Exception_Application[[#This Row],[TODAY]]-qry_ProdData2_PDI_Cash_Exception_Application[[#This Row],[CHANGED ON]]</f>
        <v>9.7429282407392748</v>
      </c>
      <c r="M819">
        <f ca="1">qry_ProdData2_PDI_Cash_Exception_Application[[#This Row],[TODAY]]-qry_ProdData2_PDI_Cash_Exception_Application[[#This Row],[CHANGED ON]]</f>
        <v>9.7429282407392748</v>
      </c>
      <c r="N819">
        <f ca="1">qry_ProdData2_PDI_Cash_Exception_Application[[#This Row],[TODAY]]-qry_ProdData2_PDI_Cash_Exception_Application[[#This Row],[CHANGED ON]]</f>
        <v>9.7429282407392748</v>
      </c>
    </row>
    <row r="820" spans="1:14" x14ac:dyDescent="0.35">
      <c r="A820">
        <v>1017</v>
      </c>
      <c r="B820" t="s">
        <v>71</v>
      </c>
      <c r="C820" s="1">
        <v>45191.257071759261</v>
      </c>
      <c r="D820" t="str">
        <f ca="1">VLOOKUP(qry_ProdData2_PDI_Cash_Exception_Application[[#This Row],[TYPE]],#REF!,2,FALSE)</f>
        <v>type40</v>
      </c>
      <c r="E820">
        <v>-6678.98</v>
      </c>
      <c r="F820" t="s">
        <v>48</v>
      </c>
      <c r="G820" s="1">
        <f>qry_ProdData2_PDI_Cash_Exception_Application[[#This Row],[INSERT DATE]]+7</f>
        <v>45198.257071759261</v>
      </c>
      <c r="H820" t="str">
        <f>VLOOKUP(qry_ProdData2_PDI_Cash_Exception_Application[[#This Row],[MARKET No]],'Site Allocation'!$B$2:$C$37,2,FALSE)</f>
        <v>Analyst3</v>
      </c>
      <c r="I820" s="4">
        <f t="shared" ca="1" si="12"/>
        <v>45203</v>
      </c>
      <c r="J820" s="42">
        <f ca="1">TODAY()-qry_ProdData2_PDI_Cash_Exception_Application[[#This Row],[INSERT DATE]]</f>
        <v>11.742928240739275</v>
      </c>
      <c r="K8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20">
        <f ca="1">qry_ProdData2_PDI_Cash_Exception_Application[[#This Row],[TODAY]]-qry_ProdData2_PDI_Cash_Exception_Application[[#This Row],[CHANGED ON]]</f>
        <v>4.7429282407392748</v>
      </c>
      <c r="M820">
        <f ca="1">qry_ProdData2_PDI_Cash_Exception_Application[[#This Row],[TODAY]]-qry_ProdData2_PDI_Cash_Exception_Application[[#This Row],[CHANGED ON]]</f>
        <v>4.7429282407392748</v>
      </c>
      <c r="N820">
        <f ca="1">qry_ProdData2_PDI_Cash_Exception_Application[[#This Row],[TODAY]]-qry_ProdData2_PDI_Cash_Exception_Application[[#This Row],[CHANGED ON]]</f>
        <v>4.7429282407392748</v>
      </c>
    </row>
    <row r="821" spans="1:14" x14ac:dyDescent="0.35">
      <c r="A821">
        <v>1020</v>
      </c>
      <c r="B821" t="s">
        <v>74</v>
      </c>
      <c r="C821" s="1">
        <v>45187.257071759261</v>
      </c>
      <c r="D821" t="str">
        <f ca="1">VLOOKUP(qry_ProdData2_PDI_Cash_Exception_Application[[#This Row],[TYPE]],#REF!,2,FALSE)</f>
        <v>type40</v>
      </c>
      <c r="E821">
        <v>-647.55999999999995</v>
      </c>
      <c r="F821" t="s">
        <v>50</v>
      </c>
      <c r="G821" s="1">
        <f>qry_ProdData2_PDI_Cash_Exception_Application[[#This Row],[INSERT DATE]]+1</f>
        <v>45188.257071759261</v>
      </c>
      <c r="H821" t="str">
        <f>VLOOKUP(qry_ProdData2_PDI_Cash_Exception_Application[[#This Row],[MARKET No]],'Site Allocation'!$B$2:$C$37,2,FALSE)</f>
        <v>Analyst4</v>
      </c>
      <c r="I821" s="4">
        <f t="shared" ca="1" si="12"/>
        <v>45203</v>
      </c>
      <c r="J821" s="42">
        <f ca="1">TODAY()-qry_ProdData2_PDI_Cash_Exception_Application[[#This Row],[INSERT DATE]]</f>
        <v>15.742928240739275</v>
      </c>
      <c r="K8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21">
        <f ca="1">qry_ProdData2_PDI_Cash_Exception_Application[[#This Row],[TODAY]]-qry_ProdData2_PDI_Cash_Exception_Application[[#This Row],[CHANGED ON]]</f>
        <v>14.742928240739275</v>
      </c>
      <c r="M821">
        <f ca="1">qry_ProdData2_PDI_Cash_Exception_Application[[#This Row],[TODAY]]-qry_ProdData2_PDI_Cash_Exception_Application[[#This Row],[CHANGED ON]]</f>
        <v>14.742928240739275</v>
      </c>
      <c r="N821">
        <f ca="1">qry_ProdData2_PDI_Cash_Exception_Application[[#This Row],[TODAY]]-qry_ProdData2_PDI_Cash_Exception_Application[[#This Row],[CHANGED ON]]</f>
        <v>14.742928240739275</v>
      </c>
    </row>
    <row r="822" spans="1:14" x14ac:dyDescent="0.35">
      <c r="A822">
        <v>1004</v>
      </c>
      <c r="B822" t="s">
        <v>58</v>
      </c>
      <c r="C822" s="1">
        <v>45188.257071759261</v>
      </c>
      <c r="D822" t="str">
        <f ca="1">VLOOKUP(qry_ProdData2_PDI_Cash_Exception_Application[[#This Row],[TYPE]],#REF!,2,FALSE)</f>
        <v>type40</v>
      </c>
      <c r="E822">
        <v>-407.64</v>
      </c>
      <c r="F822" t="s">
        <v>52</v>
      </c>
      <c r="G822" s="1">
        <f>qry_ProdData2_PDI_Cash_Exception_Application[[#This Row],[INSERT DATE]]+1</f>
        <v>45189.257071759261</v>
      </c>
      <c r="H822" t="str">
        <f>VLOOKUP(qry_ProdData2_PDI_Cash_Exception_Application[[#This Row],[MARKET No]],'Site Allocation'!$B$2:$C$37,2,FALSE)</f>
        <v>Analyst1</v>
      </c>
      <c r="I822" s="4">
        <f t="shared" ca="1" si="12"/>
        <v>45203</v>
      </c>
      <c r="J822" s="42">
        <f ca="1">TODAY()-qry_ProdData2_PDI_Cash_Exception_Application[[#This Row],[INSERT DATE]]</f>
        <v>14.742928240739275</v>
      </c>
      <c r="K8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22">
        <f ca="1">qry_ProdData2_PDI_Cash_Exception_Application[[#This Row],[TODAY]]-qry_ProdData2_PDI_Cash_Exception_Application[[#This Row],[CHANGED ON]]</f>
        <v>13.742928240739275</v>
      </c>
      <c r="M822">
        <f ca="1">qry_ProdData2_PDI_Cash_Exception_Application[[#This Row],[TODAY]]-qry_ProdData2_PDI_Cash_Exception_Application[[#This Row],[CHANGED ON]]</f>
        <v>13.742928240739275</v>
      </c>
      <c r="N822">
        <f ca="1">qry_ProdData2_PDI_Cash_Exception_Application[[#This Row],[TODAY]]-qry_ProdData2_PDI_Cash_Exception_Application[[#This Row],[CHANGED ON]]</f>
        <v>13.742928240739275</v>
      </c>
    </row>
    <row r="823" spans="1:14" x14ac:dyDescent="0.35">
      <c r="A823">
        <v>1002</v>
      </c>
      <c r="B823" t="s">
        <v>56</v>
      </c>
      <c r="C823" s="1">
        <v>45185.257071759261</v>
      </c>
      <c r="D823" t="str">
        <f ca="1">VLOOKUP(qry_ProdData2_PDI_Cash_Exception_Application[[#This Row],[TYPE]],#REF!,2,FALSE)</f>
        <v>type40</v>
      </c>
      <c r="E823">
        <v>-836.11</v>
      </c>
      <c r="F823" t="s">
        <v>47</v>
      </c>
      <c r="G823" s="1">
        <f>qry_ProdData2_PDI_Cash_Exception_Application[[#This Row],[INSERT DATE]]+1</f>
        <v>45186.257071759261</v>
      </c>
      <c r="H823" t="str">
        <f>VLOOKUP(qry_ProdData2_PDI_Cash_Exception_Application[[#This Row],[MARKET No]],'Site Allocation'!$B$2:$C$37,2,FALSE)</f>
        <v>Analyst1</v>
      </c>
      <c r="I823" s="4">
        <f t="shared" ca="1" si="12"/>
        <v>45203</v>
      </c>
      <c r="J823" s="42">
        <f ca="1">TODAY()-qry_ProdData2_PDI_Cash_Exception_Application[[#This Row],[INSERT DATE]]</f>
        <v>17.742928240739275</v>
      </c>
      <c r="K8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23">
        <f ca="1">qry_ProdData2_PDI_Cash_Exception_Application[[#This Row],[TODAY]]-qry_ProdData2_PDI_Cash_Exception_Application[[#This Row],[CHANGED ON]]</f>
        <v>16.742928240739275</v>
      </c>
      <c r="M823">
        <f ca="1">qry_ProdData2_PDI_Cash_Exception_Application[[#This Row],[TODAY]]-qry_ProdData2_PDI_Cash_Exception_Application[[#This Row],[CHANGED ON]]</f>
        <v>16.742928240739275</v>
      </c>
      <c r="N823">
        <f ca="1">qry_ProdData2_PDI_Cash_Exception_Application[[#This Row],[TODAY]]-qry_ProdData2_PDI_Cash_Exception_Application[[#This Row],[CHANGED ON]]</f>
        <v>16.742928240739275</v>
      </c>
    </row>
    <row r="824" spans="1:14" x14ac:dyDescent="0.35">
      <c r="A824">
        <v>1019</v>
      </c>
      <c r="B824" t="s">
        <v>73</v>
      </c>
      <c r="C824" s="1">
        <v>45189.257071759261</v>
      </c>
      <c r="D824" t="str">
        <f ca="1">VLOOKUP(qry_ProdData2_PDI_Cash_Exception_Application[[#This Row],[TYPE]],#REF!,2,FALSE)</f>
        <v>type17</v>
      </c>
      <c r="E824">
        <v>502.84</v>
      </c>
      <c r="F824" t="s">
        <v>50</v>
      </c>
      <c r="G824" s="1">
        <f>qry_ProdData2_PDI_Cash_Exception_Application[[#This Row],[INSERT DATE]]+1</f>
        <v>45190.257071759261</v>
      </c>
      <c r="H824" t="str">
        <f>VLOOKUP(qry_ProdData2_PDI_Cash_Exception_Application[[#This Row],[MARKET No]],'Site Allocation'!$B$2:$C$37,2,FALSE)</f>
        <v>Analyst4</v>
      </c>
      <c r="I824" s="4">
        <f t="shared" ca="1" si="12"/>
        <v>45203</v>
      </c>
      <c r="J824" s="42">
        <f ca="1">TODAY()-qry_ProdData2_PDI_Cash_Exception_Application[[#This Row],[INSERT DATE]]</f>
        <v>13.742928240739275</v>
      </c>
      <c r="K8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24">
        <f ca="1">qry_ProdData2_PDI_Cash_Exception_Application[[#This Row],[TODAY]]-qry_ProdData2_PDI_Cash_Exception_Application[[#This Row],[CHANGED ON]]</f>
        <v>12.742928240739275</v>
      </c>
      <c r="M824">
        <f ca="1">qry_ProdData2_PDI_Cash_Exception_Application[[#This Row],[TODAY]]-qry_ProdData2_PDI_Cash_Exception_Application[[#This Row],[CHANGED ON]]</f>
        <v>12.742928240739275</v>
      </c>
      <c r="N824">
        <f ca="1">qry_ProdData2_PDI_Cash_Exception_Application[[#This Row],[TODAY]]-qry_ProdData2_PDI_Cash_Exception_Application[[#This Row],[CHANGED ON]]</f>
        <v>12.742928240739275</v>
      </c>
    </row>
    <row r="825" spans="1:14" x14ac:dyDescent="0.35">
      <c r="A825">
        <v>1025</v>
      </c>
      <c r="B825" t="s">
        <v>79</v>
      </c>
      <c r="C825" s="1">
        <v>45190.257071759261</v>
      </c>
      <c r="D825" t="str">
        <f ca="1">VLOOKUP(qry_ProdData2_PDI_Cash_Exception_Application[[#This Row],[TYPE]],#REF!,2,FALSE)</f>
        <v>type40</v>
      </c>
      <c r="E825">
        <v>-27152.27</v>
      </c>
      <c r="F825" t="s">
        <v>52</v>
      </c>
      <c r="G825" s="1">
        <f>qry_ProdData2_PDI_Cash_Exception_Application[[#This Row],[INSERT DATE]]+1</f>
        <v>45191.257071759261</v>
      </c>
      <c r="H825" t="str">
        <f>VLOOKUP(qry_ProdData2_PDI_Cash_Exception_Application[[#This Row],[MARKET No]],'Site Allocation'!$B$2:$C$37,2,FALSE)</f>
        <v>Analyst5</v>
      </c>
      <c r="I825" s="4">
        <f t="shared" ca="1" si="12"/>
        <v>45203</v>
      </c>
      <c r="J825" s="42">
        <f ca="1">TODAY()-qry_ProdData2_PDI_Cash_Exception_Application[[#This Row],[INSERT DATE]]</f>
        <v>12.742928240739275</v>
      </c>
      <c r="K8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25">
        <f ca="1">qry_ProdData2_PDI_Cash_Exception_Application[[#This Row],[TODAY]]-qry_ProdData2_PDI_Cash_Exception_Application[[#This Row],[CHANGED ON]]</f>
        <v>11.742928240739275</v>
      </c>
      <c r="M825">
        <f ca="1">qry_ProdData2_PDI_Cash_Exception_Application[[#This Row],[TODAY]]-qry_ProdData2_PDI_Cash_Exception_Application[[#This Row],[CHANGED ON]]</f>
        <v>11.742928240739275</v>
      </c>
      <c r="N825">
        <f ca="1">qry_ProdData2_PDI_Cash_Exception_Application[[#This Row],[TODAY]]-qry_ProdData2_PDI_Cash_Exception_Application[[#This Row],[CHANGED ON]]</f>
        <v>11.742928240739275</v>
      </c>
    </row>
    <row r="826" spans="1:14" x14ac:dyDescent="0.35">
      <c r="A826">
        <v>1020</v>
      </c>
      <c r="B826" t="s">
        <v>74</v>
      </c>
      <c r="C826" s="1">
        <v>45192.257071759261</v>
      </c>
      <c r="D826" t="str">
        <f ca="1">VLOOKUP(qry_ProdData2_PDI_Cash_Exception_Application[[#This Row],[TYPE]],#REF!,2,FALSE)</f>
        <v>type40</v>
      </c>
      <c r="E826">
        <v>7.11</v>
      </c>
      <c r="F826" t="s">
        <v>48</v>
      </c>
      <c r="G826" s="1">
        <f>qry_ProdData2_PDI_Cash_Exception_Application[[#This Row],[INSERT DATE]]+1</f>
        <v>45193.257071759261</v>
      </c>
      <c r="H826" t="str">
        <f>VLOOKUP(qry_ProdData2_PDI_Cash_Exception_Application[[#This Row],[MARKET No]],'Site Allocation'!$B$2:$C$37,2,FALSE)</f>
        <v>Analyst4</v>
      </c>
      <c r="I826" s="4">
        <f t="shared" ca="1" si="12"/>
        <v>45203</v>
      </c>
      <c r="J826" s="42">
        <f ca="1">TODAY()-qry_ProdData2_PDI_Cash_Exception_Application[[#This Row],[INSERT DATE]]</f>
        <v>10.742928240739275</v>
      </c>
      <c r="K8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26">
        <f ca="1">qry_ProdData2_PDI_Cash_Exception_Application[[#This Row],[TODAY]]-qry_ProdData2_PDI_Cash_Exception_Application[[#This Row],[CHANGED ON]]</f>
        <v>9.7429282407392748</v>
      </c>
      <c r="M826">
        <f ca="1">qry_ProdData2_PDI_Cash_Exception_Application[[#This Row],[TODAY]]-qry_ProdData2_PDI_Cash_Exception_Application[[#This Row],[CHANGED ON]]</f>
        <v>9.7429282407392748</v>
      </c>
      <c r="N826">
        <f ca="1">qry_ProdData2_PDI_Cash_Exception_Application[[#This Row],[TODAY]]-qry_ProdData2_PDI_Cash_Exception_Application[[#This Row],[CHANGED ON]]</f>
        <v>9.7429282407392748</v>
      </c>
    </row>
    <row r="827" spans="1:14" x14ac:dyDescent="0.35">
      <c r="A827">
        <v>1022</v>
      </c>
      <c r="B827" t="s">
        <v>76</v>
      </c>
      <c r="C827" s="1">
        <v>45188.257071759261</v>
      </c>
      <c r="D827" t="str">
        <f ca="1">VLOOKUP(qry_ProdData2_PDI_Cash_Exception_Application[[#This Row],[TYPE]],#REF!,2,FALSE)</f>
        <v>type13</v>
      </c>
      <c r="E827">
        <v>16284.71</v>
      </c>
      <c r="F827" t="s">
        <v>51</v>
      </c>
      <c r="G827" s="1">
        <f>qry_ProdData2_PDI_Cash_Exception_Application[[#This Row],[INSERT DATE]]+7</f>
        <v>45195.257071759261</v>
      </c>
      <c r="H827" t="str">
        <f>VLOOKUP(qry_ProdData2_PDI_Cash_Exception_Application[[#This Row],[MARKET No]],'Site Allocation'!$B$2:$C$37,2,FALSE)</f>
        <v>Analyst4</v>
      </c>
      <c r="I827" s="4">
        <f t="shared" ca="1" si="12"/>
        <v>45203</v>
      </c>
      <c r="J827" s="42">
        <f ca="1">TODAY()-qry_ProdData2_PDI_Cash_Exception_Application[[#This Row],[INSERT DATE]]</f>
        <v>14.742928240739275</v>
      </c>
      <c r="K8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27">
        <f ca="1">qry_ProdData2_PDI_Cash_Exception_Application[[#This Row],[TODAY]]-qry_ProdData2_PDI_Cash_Exception_Application[[#This Row],[CHANGED ON]]</f>
        <v>7.7429282407392748</v>
      </c>
      <c r="M827">
        <f ca="1">qry_ProdData2_PDI_Cash_Exception_Application[[#This Row],[TODAY]]-qry_ProdData2_PDI_Cash_Exception_Application[[#This Row],[CHANGED ON]]</f>
        <v>7.7429282407392748</v>
      </c>
      <c r="N827">
        <f ca="1">qry_ProdData2_PDI_Cash_Exception_Application[[#This Row],[TODAY]]-qry_ProdData2_PDI_Cash_Exception_Application[[#This Row],[CHANGED ON]]</f>
        <v>7.7429282407392748</v>
      </c>
    </row>
    <row r="828" spans="1:14" x14ac:dyDescent="0.35">
      <c r="A828">
        <v>1013</v>
      </c>
      <c r="B828" t="s">
        <v>67</v>
      </c>
      <c r="C828" s="1">
        <v>45192.257071759261</v>
      </c>
      <c r="D828" t="str">
        <f ca="1">VLOOKUP(qry_ProdData2_PDI_Cash_Exception_Application[[#This Row],[TYPE]],#REF!,2,FALSE)</f>
        <v>type40</v>
      </c>
      <c r="E828">
        <v>-4356.5200000000004</v>
      </c>
      <c r="F828" t="s">
        <v>50</v>
      </c>
      <c r="G828" s="1">
        <f>qry_ProdData2_PDI_Cash_Exception_Application[[#This Row],[INSERT DATE]]+1</f>
        <v>45193.257071759261</v>
      </c>
      <c r="H828" t="str">
        <f>VLOOKUP(qry_ProdData2_PDI_Cash_Exception_Application[[#This Row],[MARKET No]],'Site Allocation'!$B$2:$C$37,2,FALSE)</f>
        <v>Analyst3</v>
      </c>
      <c r="I828" s="4">
        <f t="shared" ca="1" si="12"/>
        <v>45203</v>
      </c>
      <c r="J828" s="42">
        <f ca="1">TODAY()-qry_ProdData2_PDI_Cash_Exception_Application[[#This Row],[INSERT DATE]]</f>
        <v>10.742928240739275</v>
      </c>
      <c r="K8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28">
        <f ca="1">qry_ProdData2_PDI_Cash_Exception_Application[[#This Row],[TODAY]]-qry_ProdData2_PDI_Cash_Exception_Application[[#This Row],[CHANGED ON]]</f>
        <v>9.7429282407392748</v>
      </c>
      <c r="M828">
        <f ca="1">qry_ProdData2_PDI_Cash_Exception_Application[[#This Row],[TODAY]]-qry_ProdData2_PDI_Cash_Exception_Application[[#This Row],[CHANGED ON]]</f>
        <v>9.7429282407392748</v>
      </c>
      <c r="N828">
        <f ca="1">qry_ProdData2_PDI_Cash_Exception_Application[[#This Row],[TODAY]]-qry_ProdData2_PDI_Cash_Exception_Application[[#This Row],[CHANGED ON]]</f>
        <v>9.7429282407392748</v>
      </c>
    </row>
    <row r="829" spans="1:14" x14ac:dyDescent="0.35">
      <c r="A829">
        <v>1027</v>
      </c>
      <c r="B829" t="s">
        <v>81</v>
      </c>
      <c r="C829" s="1">
        <v>45189.257071759261</v>
      </c>
      <c r="D829" t="str">
        <f ca="1">VLOOKUP(qry_ProdData2_PDI_Cash_Exception_Application[[#This Row],[TYPE]],#REF!,2,FALSE)</f>
        <v>type13</v>
      </c>
      <c r="E829">
        <v>17733.02</v>
      </c>
      <c r="F829" t="s">
        <v>51</v>
      </c>
      <c r="G829" s="1">
        <f>qry_ProdData2_PDI_Cash_Exception_Application[[#This Row],[INSERT DATE]]+7</f>
        <v>45196.257071759261</v>
      </c>
      <c r="H829" t="str">
        <f>VLOOKUP(qry_ProdData2_PDI_Cash_Exception_Application[[#This Row],[MARKET No]],'Site Allocation'!$B$2:$C$37,2,FALSE)</f>
        <v>Analyst5</v>
      </c>
      <c r="I829" s="4">
        <f t="shared" ca="1" si="12"/>
        <v>45203</v>
      </c>
      <c r="J829" s="42">
        <f ca="1">TODAY()-qry_ProdData2_PDI_Cash_Exception_Application[[#This Row],[INSERT DATE]]</f>
        <v>13.742928240739275</v>
      </c>
      <c r="K8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29">
        <f ca="1">qry_ProdData2_PDI_Cash_Exception_Application[[#This Row],[TODAY]]-qry_ProdData2_PDI_Cash_Exception_Application[[#This Row],[CHANGED ON]]</f>
        <v>6.7429282407392748</v>
      </c>
      <c r="M829">
        <f ca="1">qry_ProdData2_PDI_Cash_Exception_Application[[#This Row],[TODAY]]-qry_ProdData2_PDI_Cash_Exception_Application[[#This Row],[CHANGED ON]]</f>
        <v>6.7429282407392748</v>
      </c>
      <c r="N829">
        <f ca="1">qry_ProdData2_PDI_Cash_Exception_Application[[#This Row],[TODAY]]-qry_ProdData2_PDI_Cash_Exception_Application[[#This Row],[CHANGED ON]]</f>
        <v>6.7429282407392748</v>
      </c>
    </row>
    <row r="830" spans="1:14" x14ac:dyDescent="0.35">
      <c r="A830">
        <v>1018</v>
      </c>
      <c r="B830" t="s">
        <v>72</v>
      </c>
      <c r="C830" s="1">
        <v>45187.257071759261</v>
      </c>
      <c r="D830" t="str">
        <f ca="1">VLOOKUP(qry_ProdData2_PDI_Cash_Exception_Application[[#This Row],[TYPE]],#REF!,2,FALSE)</f>
        <v>type40</v>
      </c>
      <c r="E830">
        <v>-317.18</v>
      </c>
      <c r="F830" t="s">
        <v>49</v>
      </c>
      <c r="G830" s="1">
        <f>qry_ProdData2_PDI_Cash_Exception_Application[[#This Row],[INSERT DATE]]+7</f>
        <v>45194.257071759261</v>
      </c>
      <c r="H830" t="str">
        <f>VLOOKUP(qry_ProdData2_PDI_Cash_Exception_Application[[#This Row],[MARKET No]],'Site Allocation'!$B$2:$C$37,2,FALSE)</f>
        <v>Analyst4</v>
      </c>
      <c r="I830" s="4">
        <f t="shared" ca="1" si="12"/>
        <v>45203</v>
      </c>
      <c r="J830" s="42">
        <f ca="1">TODAY()-qry_ProdData2_PDI_Cash_Exception_Application[[#This Row],[INSERT DATE]]</f>
        <v>15.742928240739275</v>
      </c>
      <c r="K8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30">
        <f ca="1">qry_ProdData2_PDI_Cash_Exception_Application[[#This Row],[TODAY]]-qry_ProdData2_PDI_Cash_Exception_Application[[#This Row],[CHANGED ON]]</f>
        <v>8.7429282407392748</v>
      </c>
      <c r="M830">
        <f ca="1">qry_ProdData2_PDI_Cash_Exception_Application[[#This Row],[TODAY]]-qry_ProdData2_PDI_Cash_Exception_Application[[#This Row],[CHANGED ON]]</f>
        <v>8.7429282407392748</v>
      </c>
      <c r="N830">
        <f ca="1">qry_ProdData2_PDI_Cash_Exception_Application[[#This Row],[TODAY]]-qry_ProdData2_PDI_Cash_Exception_Application[[#This Row],[CHANGED ON]]</f>
        <v>8.7429282407392748</v>
      </c>
    </row>
    <row r="831" spans="1:14" x14ac:dyDescent="0.35">
      <c r="A831">
        <v>1035</v>
      </c>
      <c r="B831" t="s">
        <v>89</v>
      </c>
      <c r="C831" s="1">
        <v>45189.257071759261</v>
      </c>
      <c r="D831" t="str">
        <f ca="1">VLOOKUP(qry_ProdData2_PDI_Cash_Exception_Application[[#This Row],[TYPE]],#REF!,2,FALSE)</f>
        <v>type40</v>
      </c>
      <c r="E831">
        <v>375.37</v>
      </c>
      <c r="F831" t="s">
        <v>47</v>
      </c>
      <c r="G831" s="1">
        <f>qry_ProdData2_PDI_Cash_Exception_Application[[#This Row],[INSERT DATE]]+1</f>
        <v>45190.257071759261</v>
      </c>
      <c r="H831" t="str">
        <f>VLOOKUP(qry_ProdData2_PDI_Cash_Exception_Application[[#This Row],[MARKET No]],'Site Allocation'!$B$2:$C$37,2,FALSE)</f>
        <v>Analyst6</v>
      </c>
      <c r="I831" s="4">
        <f t="shared" ca="1" si="12"/>
        <v>45203</v>
      </c>
      <c r="J831" s="42">
        <f ca="1">TODAY()-qry_ProdData2_PDI_Cash_Exception_Application[[#This Row],[INSERT DATE]]</f>
        <v>13.742928240739275</v>
      </c>
      <c r="K8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31">
        <f ca="1">qry_ProdData2_PDI_Cash_Exception_Application[[#This Row],[TODAY]]-qry_ProdData2_PDI_Cash_Exception_Application[[#This Row],[CHANGED ON]]</f>
        <v>12.742928240739275</v>
      </c>
      <c r="M831">
        <f ca="1">qry_ProdData2_PDI_Cash_Exception_Application[[#This Row],[TODAY]]-qry_ProdData2_PDI_Cash_Exception_Application[[#This Row],[CHANGED ON]]</f>
        <v>12.742928240739275</v>
      </c>
      <c r="N831">
        <f ca="1">qry_ProdData2_PDI_Cash_Exception_Application[[#This Row],[TODAY]]-qry_ProdData2_PDI_Cash_Exception_Application[[#This Row],[CHANGED ON]]</f>
        <v>12.742928240739275</v>
      </c>
    </row>
    <row r="832" spans="1:14" x14ac:dyDescent="0.35">
      <c r="A832">
        <v>1008</v>
      </c>
      <c r="B832" t="s">
        <v>62</v>
      </c>
      <c r="C832" s="1">
        <v>45190.257071759261</v>
      </c>
      <c r="D832" t="str">
        <f ca="1">VLOOKUP(qry_ProdData2_PDI_Cash_Exception_Application[[#This Row],[TYPE]],#REF!,2,FALSE)</f>
        <v>type54</v>
      </c>
      <c r="E832">
        <v>-1027.94</v>
      </c>
      <c r="F832" t="s">
        <v>49</v>
      </c>
      <c r="G832" s="1">
        <f>qry_ProdData2_PDI_Cash_Exception_Application[[#This Row],[INSERT DATE]]+1</f>
        <v>45191.257071759261</v>
      </c>
      <c r="H832" t="str">
        <f>VLOOKUP(qry_ProdData2_PDI_Cash_Exception_Application[[#This Row],[MARKET No]],'Site Allocation'!$B$2:$C$37,2,FALSE)</f>
        <v>Analyst2</v>
      </c>
      <c r="I832" s="4">
        <f t="shared" ca="1" si="12"/>
        <v>45203</v>
      </c>
      <c r="J832" s="42">
        <f ca="1">TODAY()-qry_ProdData2_PDI_Cash_Exception_Application[[#This Row],[INSERT DATE]]</f>
        <v>12.742928240739275</v>
      </c>
      <c r="K8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32">
        <f ca="1">qry_ProdData2_PDI_Cash_Exception_Application[[#This Row],[TODAY]]-qry_ProdData2_PDI_Cash_Exception_Application[[#This Row],[CHANGED ON]]</f>
        <v>11.742928240739275</v>
      </c>
      <c r="M832">
        <f ca="1">qry_ProdData2_PDI_Cash_Exception_Application[[#This Row],[TODAY]]-qry_ProdData2_PDI_Cash_Exception_Application[[#This Row],[CHANGED ON]]</f>
        <v>11.742928240739275</v>
      </c>
      <c r="N832">
        <f ca="1">qry_ProdData2_PDI_Cash_Exception_Application[[#This Row],[TODAY]]-qry_ProdData2_PDI_Cash_Exception_Application[[#This Row],[CHANGED ON]]</f>
        <v>11.742928240739275</v>
      </c>
    </row>
    <row r="833" spans="1:14" x14ac:dyDescent="0.35">
      <c r="A833">
        <v>1016</v>
      </c>
      <c r="B833" t="s">
        <v>70</v>
      </c>
      <c r="C833" s="1">
        <v>45191.257071759261</v>
      </c>
      <c r="D833" t="str">
        <f ca="1">VLOOKUP(qry_ProdData2_PDI_Cash_Exception_Application[[#This Row],[TYPE]],#REF!,2,FALSE)</f>
        <v>type40</v>
      </c>
      <c r="E833">
        <v>1204.68</v>
      </c>
      <c r="F833" t="s">
        <v>49</v>
      </c>
      <c r="G833" s="1">
        <f>qry_ProdData2_PDI_Cash_Exception_Application[[#This Row],[INSERT DATE]]+1</f>
        <v>45192.257071759261</v>
      </c>
      <c r="H833" t="str">
        <f>VLOOKUP(qry_ProdData2_PDI_Cash_Exception_Application[[#This Row],[MARKET No]],'Site Allocation'!$B$2:$C$37,2,FALSE)</f>
        <v>Analyst3</v>
      </c>
      <c r="I833" s="4">
        <f t="shared" ca="1" si="12"/>
        <v>45203</v>
      </c>
      <c r="J833" s="42">
        <f ca="1">TODAY()-qry_ProdData2_PDI_Cash_Exception_Application[[#This Row],[INSERT DATE]]</f>
        <v>11.742928240739275</v>
      </c>
      <c r="K8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33">
        <f ca="1">qry_ProdData2_PDI_Cash_Exception_Application[[#This Row],[TODAY]]-qry_ProdData2_PDI_Cash_Exception_Application[[#This Row],[CHANGED ON]]</f>
        <v>10.742928240739275</v>
      </c>
      <c r="M833">
        <f ca="1">qry_ProdData2_PDI_Cash_Exception_Application[[#This Row],[TODAY]]-qry_ProdData2_PDI_Cash_Exception_Application[[#This Row],[CHANGED ON]]</f>
        <v>10.742928240739275</v>
      </c>
      <c r="N833">
        <f ca="1">qry_ProdData2_PDI_Cash_Exception_Application[[#This Row],[TODAY]]-qry_ProdData2_PDI_Cash_Exception_Application[[#This Row],[CHANGED ON]]</f>
        <v>10.742928240739275</v>
      </c>
    </row>
    <row r="834" spans="1:14" x14ac:dyDescent="0.35">
      <c r="A834">
        <v>1033</v>
      </c>
      <c r="B834" t="s">
        <v>87</v>
      </c>
      <c r="C834" s="1">
        <v>45188.257071759261</v>
      </c>
      <c r="D834" t="str">
        <f ca="1">VLOOKUP(qry_ProdData2_PDI_Cash_Exception_Application[[#This Row],[TYPE]],#REF!,2,FALSE)</f>
        <v>type13</v>
      </c>
      <c r="E834">
        <v>12803.54</v>
      </c>
      <c r="F834" t="s">
        <v>49</v>
      </c>
      <c r="G834" s="1">
        <f>qry_ProdData2_PDI_Cash_Exception_Application[[#This Row],[INSERT DATE]]+1</f>
        <v>45189.257071759261</v>
      </c>
      <c r="H834" t="str">
        <f>VLOOKUP(qry_ProdData2_PDI_Cash_Exception_Application[[#This Row],[MARKET No]],'Site Allocation'!$B$2:$C$37,2,FALSE)</f>
        <v>Analyst6</v>
      </c>
      <c r="I834" s="4">
        <f t="shared" ref="I834:I897" ca="1" si="13">TODAY()</f>
        <v>45203</v>
      </c>
      <c r="J834" s="42">
        <f ca="1">TODAY()-qry_ProdData2_PDI_Cash_Exception_Application[[#This Row],[INSERT DATE]]</f>
        <v>14.742928240739275</v>
      </c>
      <c r="K8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34">
        <f ca="1">qry_ProdData2_PDI_Cash_Exception_Application[[#This Row],[TODAY]]-qry_ProdData2_PDI_Cash_Exception_Application[[#This Row],[CHANGED ON]]</f>
        <v>13.742928240739275</v>
      </c>
      <c r="M834">
        <f ca="1">qry_ProdData2_PDI_Cash_Exception_Application[[#This Row],[TODAY]]-qry_ProdData2_PDI_Cash_Exception_Application[[#This Row],[CHANGED ON]]</f>
        <v>13.742928240739275</v>
      </c>
      <c r="N834">
        <f ca="1">qry_ProdData2_PDI_Cash_Exception_Application[[#This Row],[TODAY]]-qry_ProdData2_PDI_Cash_Exception_Application[[#This Row],[CHANGED ON]]</f>
        <v>13.742928240739275</v>
      </c>
    </row>
    <row r="835" spans="1:14" x14ac:dyDescent="0.35">
      <c r="A835">
        <v>1005</v>
      </c>
      <c r="B835" t="s">
        <v>59</v>
      </c>
      <c r="C835" s="1">
        <v>45181.257071759261</v>
      </c>
      <c r="D835" t="str">
        <f ca="1">VLOOKUP(qry_ProdData2_PDI_Cash_Exception_Application[[#This Row],[TYPE]],#REF!,2,FALSE)</f>
        <v>type40</v>
      </c>
      <c r="E835">
        <v>-2126.13</v>
      </c>
      <c r="F835" t="s">
        <v>50</v>
      </c>
      <c r="G835" s="1">
        <f>qry_ProdData2_PDI_Cash_Exception_Application[[#This Row],[INSERT DATE]]+1</f>
        <v>45182.257071759261</v>
      </c>
      <c r="H835" t="str">
        <f>VLOOKUP(qry_ProdData2_PDI_Cash_Exception_Application[[#This Row],[MARKET No]],'Site Allocation'!$B$2:$C$37,2,FALSE)</f>
        <v>Analyst1</v>
      </c>
      <c r="I835" s="4">
        <f t="shared" ca="1" si="13"/>
        <v>45203</v>
      </c>
      <c r="J835" s="42">
        <f ca="1">TODAY()-qry_ProdData2_PDI_Cash_Exception_Application[[#This Row],[INSERT DATE]]</f>
        <v>21.742928240739275</v>
      </c>
      <c r="K8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35">
        <f ca="1">qry_ProdData2_PDI_Cash_Exception_Application[[#This Row],[TODAY]]-qry_ProdData2_PDI_Cash_Exception_Application[[#This Row],[CHANGED ON]]</f>
        <v>20.742928240739275</v>
      </c>
      <c r="M835">
        <f ca="1">qry_ProdData2_PDI_Cash_Exception_Application[[#This Row],[TODAY]]-qry_ProdData2_PDI_Cash_Exception_Application[[#This Row],[CHANGED ON]]</f>
        <v>20.742928240739275</v>
      </c>
      <c r="N835">
        <f ca="1">qry_ProdData2_PDI_Cash_Exception_Application[[#This Row],[TODAY]]-qry_ProdData2_PDI_Cash_Exception_Application[[#This Row],[CHANGED ON]]</f>
        <v>20.742928240739275</v>
      </c>
    </row>
    <row r="836" spans="1:14" x14ac:dyDescent="0.35">
      <c r="A836">
        <v>1032</v>
      </c>
      <c r="B836" t="s">
        <v>86</v>
      </c>
      <c r="C836" s="1">
        <v>45180.257071759261</v>
      </c>
      <c r="D836" t="str">
        <f ca="1">VLOOKUP(qry_ProdData2_PDI_Cash_Exception_Application[[#This Row],[TYPE]],#REF!,2,FALSE)</f>
        <v>type40</v>
      </c>
      <c r="E836">
        <v>542</v>
      </c>
      <c r="F836" t="s">
        <v>47</v>
      </c>
      <c r="G836" s="1">
        <f>qry_ProdData2_PDI_Cash_Exception_Application[[#This Row],[INSERT DATE]]+1</f>
        <v>45181.257071759261</v>
      </c>
      <c r="H836" t="str">
        <f>VLOOKUP(qry_ProdData2_PDI_Cash_Exception_Application[[#This Row],[MARKET No]],'Site Allocation'!$B$2:$C$37,2,FALSE)</f>
        <v>Analyst6</v>
      </c>
      <c r="I836" s="4">
        <f t="shared" ca="1" si="13"/>
        <v>45203</v>
      </c>
      <c r="J836" s="42">
        <f ca="1">TODAY()-qry_ProdData2_PDI_Cash_Exception_Application[[#This Row],[INSERT DATE]]</f>
        <v>22.742928240739275</v>
      </c>
      <c r="K8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36">
        <f ca="1">qry_ProdData2_PDI_Cash_Exception_Application[[#This Row],[TODAY]]-qry_ProdData2_PDI_Cash_Exception_Application[[#This Row],[CHANGED ON]]</f>
        <v>21.742928240739275</v>
      </c>
      <c r="M836">
        <f ca="1">qry_ProdData2_PDI_Cash_Exception_Application[[#This Row],[TODAY]]-qry_ProdData2_PDI_Cash_Exception_Application[[#This Row],[CHANGED ON]]</f>
        <v>21.742928240739275</v>
      </c>
      <c r="N836">
        <f ca="1">qry_ProdData2_PDI_Cash_Exception_Application[[#This Row],[TODAY]]-qry_ProdData2_PDI_Cash_Exception_Application[[#This Row],[CHANGED ON]]</f>
        <v>21.742928240739275</v>
      </c>
    </row>
    <row r="837" spans="1:14" x14ac:dyDescent="0.35">
      <c r="A837">
        <v>1003</v>
      </c>
      <c r="B837" t="s">
        <v>57</v>
      </c>
      <c r="C837" s="1">
        <v>45182.257071759261</v>
      </c>
      <c r="D837" t="str">
        <f ca="1">VLOOKUP(qry_ProdData2_PDI_Cash_Exception_Application[[#This Row],[TYPE]],#REF!,2,FALSE)</f>
        <v>type40</v>
      </c>
      <c r="E837">
        <v>309.31</v>
      </c>
      <c r="F837" t="s">
        <v>52</v>
      </c>
      <c r="G837" s="1">
        <f>qry_ProdData2_PDI_Cash_Exception_Application[[#This Row],[INSERT DATE]]+1</f>
        <v>45183.257071759261</v>
      </c>
      <c r="H837" t="str">
        <f>VLOOKUP(qry_ProdData2_PDI_Cash_Exception_Application[[#This Row],[MARKET No]],'Site Allocation'!$B$2:$C$37,2,FALSE)</f>
        <v>Analyst1</v>
      </c>
      <c r="I837" s="4">
        <f t="shared" ca="1" si="13"/>
        <v>45203</v>
      </c>
      <c r="J837" s="42">
        <f ca="1">TODAY()-qry_ProdData2_PDI_Cash_Exception_Application[[#This Row],[INSERT DATE]]</f>
        <v>20.742928240739275</v>
      </c>
      <c r="K8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37">
        <f ca="1">qry_ProdData2_PDI_Cash_Exception_Application[[#This Row],[TODAY]]-qry_ProdData2_PDI_Cash_Exception_Application[[#This Row],[CHANGED ON]]</f>
        <v>19.742928240739275</v>
      </c>
      <c r="M837">
        <f ca="1">qry_ProdData2_PDI_Cash_Exception_Application[[#This Row],[TODAY]]-qry_ProdData2_PDI_Cash_Exception_Application[[#This Row],[CHANGED ON]]</f>
        <v>19.742928240739275</v>
      </c>
      <c r="N837">
        <f ca="1">qry_ProdData2_PDI_Cash_Exception_Application[[#This Row],[TODAY]]-qry_ProdData2_PDI_Cash_Exception_Application[[#This Row],[CHANGED ON]]</f>
        <v>19.742928240739275</v>
      </c>
    </row>
    <row r="838" spans="1:14" x14ac:dyDescent="0.35">
      <c r="A838">
        <v>1008</v>
      </c>
      <c r="B838" t="s">
        <v>62</v>
      </c>
      <c r="C838" s="1">
        <v>45189.257071759261</v>
      </c>
      <c r="D838" t="str">
        <f ca="1">VLOOKUP(qry_ProdData2_PDI_Cash_Exception_Application[[#This Row],[TYPE]],#REF!,2,FALSE)</f>
        <v>type40</v>
      </c>
      <c r="E838">
        <v>-696.67</v>
      </c>
      <c r="F838" t="s">
        <v>48</v>
      </c>
      <c r="G838" s="1">
        <f>qry_ProdData2_PDI_Cash_Exception_Application[[#This Row],[INSERT DATE]]+1</f>
        <v>45190.257071759261</v>
      </c>
      <c r="H838" t="str">
        <f>VLOOKUP(qry_ProdData2_PDI_Cash_Exception_Application[[#This Row],[MARKET No]],'Site Allocation'!$B$2:$C$37,2,FALSE)</f>
        <v>Analyst2</v>
      </c>
      <c r="I838" s="4">
        <f t="shared" ca="1" si="13"/>
        <v>45203</v>
      </c>
      <c r="J838" s="42">
        <f ca="1">TODAY()-qry_ProdData2_PDI_Cash_Exception_Application[[#This Row],[INSERT DATE]]</f>
        <v>13.742928240739275</v>
      </c>
      <c r="K8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38">
        <f ca="1">qry_ProdData2_PDI_Cash_Exception_Application[[#This Row],[TODAY]]-qry_ProdData2_PDI_Cash_Exception_Application[[#This Row],[CHANGED ON]]</f>
        <v>12.742928240739275</v>
      </c>
      <c r="M838">
        <f ca="1">qry_ProdData2_PDI_Cash_Exception_Application[[#This Row],[TODAY]]-qry_ProdData2_PDI_Cash_Exception_Application[[#This Row],[CHANGED ON]]</f>
        <v>12.742928240739275</v>
      </c>
      <c r="N838">
        <f ca="1">qry_ProdData2_PDI_Cash_Exception_Application[[#This Row],[TODAY]]-qry_ProdData2_PDI_Cash_Exception_Application[[#This Row],[CHANGED ON]]</f>
        <v>12.742928240739275</v>
      </c>
    </row>
    <row r="839" spans="1:14" x14ac:dyDescent="0.35">
      <c r="A839">
        <v>1031</v>
      </c>
      <c r="B839" t="s">
        <v>85</v>
      </c>
      <c r="C839" s="1">
        <v>45183.257071759261</v>
      </c>
      <c r="D839" t="str">
        <f ca="1">VLOOKUP(qry_ProdData2_PDI_Cash_Exception_Application[[#This Row],[TYPE]],#REF!,2,FALSE)</f>
        <v>type40</v>
      </c>
      <c r="E839">
        <v>3570.76</v>
      </c>
      <c r="F839" t="s">
        <v>52</v>
      </c>
      <c r="G839" s="1">
        <f>qry_ProdData2_PDI_Cash_Exception_Application[[#This Row],[INSERT DATE]]+2</f>
        <v>45185.257071759261</v>
      </c>
      <c r="H839" t="str">
        <f>VLOOKUP(qry_ProdData2_PDI_Cash_Exception_Application[[#This Row],[MARKET No]],'Site Allocation'!$B$2:$C$37,2,FALSE)</f>
        <v>Analyst6</v>
      </c>
      <c r="I839" s="4">
        <f t="shared" ca="1" si="13"/>
        <v>45203</v>
      </c>
      <c r="J839" s="42">
        <f ca="1">TODAY()-qry_ProdData2_PDI_Cash_Exception_Application[[#This Row],[INSERT DATE]]</f>
        <v>19.742928240739275</v>
      </c>
      <c r="K8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39">
        <f ca="1">qry_ProdData2_PDI_Cash_Exception_Application[[#This Row],[TODAY]]-qry_ProdData2_PDI_Cash_Exception_Application[[#This Row],[CHANGED ON]]</f>
        <v>17.742928240739275</v>
      </c>
      <c r="M839">
        <f ca="1">qry_ProdData2_PDI_Cash_Exception_Application[[#This Row],[TODAY]]-qry_ProdData2_PDI_Cash_Exception_Application[[#This Row],[CHANGED ON]]</f>
        <v>17.742928240739275</v>
      </c>
      <c r="N839">
        <f ca="1">qry_ProdData2_PDI_Cash_Exception_Application[[#This Row],[TODAY]]-qry_ProdData2_PDI_Cash_Exception_Application[[#This Row],[CHANGED ON]]</f>
        <v>17.742928240739275</v>
      </c>
    </row>
    <row r="840" spans="1:14" x14ac:dyDescent="0.35">
      <c r="A840">
        <v>1015</v>
      </c>
      <c r="B840" t="s">
        <v>69</v>
      </c>
      <c r="C840" s="1">
        <v>45180.257071759261</v>
      </c>
      <c r="D840" t="str">
        <f ca="1">VLOOKUP(qry_ProdData2_PDI_Cash_Exception_Application[[#This Row],[TYPE]],#REF!,2,FALSE)</f>
        <v>type40</v>
      </c>
      <c r="E840">
        <v>6</v>
      </c>
      <c r="F840" t="s">
        <v>49</v>
      </c>
      <c r="G840" s="1">
        <f>qry_ProdData2_PDI_Cash_Exception_Application[[#This Row],[INSERT DATE]]+2</f>
        <v>45182.257071759261</v>
      </c>
      <c r="H840" t="str">
        <f>VLOOKUP(qry_ProdData2_PDI_Cash_Exception_Application[[#This Row],[MARKET No]],'Site Allocation'!$B$2:$C$37,2,FALSE)</f>
        <v>Analyst3</v>
      </c>
      <c r="I840" s="4">
        <f t="shared" ca="1" si="13"/>
        <v>45203</v>
      </c>
      <c r="J840" s="42">
        <f ca="1">TODAY()-qry_ProdData2_PDI_Cash_Exception_Application[[#This Row],[INSERT DATE]]</f>
        <v>22.742928240739275</v>
      </c>
      <c r="K8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40">
        <f ca="1">qry_ProdData2_PDI_Cash_Exception_Application[[#This Row],[TODAY]]-qry_ProdData2_PDI_Cash_Exception_Application[[#This Row],[CHANGED ON]]</f>
        <v>20.742928240739275</v>
      </c>
      <c r="M840">
        <f ca="1">qry_ProdData2_PDI_Cash_Exception_Application[[#This Row],[TODAY]]-qry_ProdData2_PDI_Cash_Exception_Application[[#This Row],[CHANGED ON]]</f>
        <v>20.742928240739275</v>
      </c>
      <c r="N840">
        <f ca="1">qry_ProdData2_PDI_Cash_Exception_Application[[#This Row],[TODAY]]-qry_ProdData2_PDI_Cash_Exception_Application[[#This Row],[CHANGED ON]]</f>
        <v>20.742928240739275</v>
      </c>
    </row>
    <row r="841" spans="1:14" x14ac:dyDescent="0.35">
      <c r="A841">
        <v>1013</v>
      </c>
      <c r="B841" t="s">
        <v>67</v>
      </c>
      <c r="C841" s="1">
        <v>45182.257071759261</v>
      </c>
      <c r="D841" t="str">
        <f ca="1">VLOOKUP(qry_ProdData2_PDI_Cash_Exception_Application[[#This Row],[TYPE]],#REF!,2,FALSE)</f>
        <v>type40</v>
      </c>
      <c r="E841">
        <v>-349.62</v>
      </c>
      <c r="F841" t="s">
        <v>47</v>
      </c>
      <c r="G841" s="1">
        <f>qry_ProdData2_PDI_Cash_Exception_Application[[#This Row],[INSERT DATE]]+1</f>
        <v>45183.257071759261</v>
      </c>
      <c r="H841" t="str">
        <f>VLOOKUP(qry_ProdData2_PDI_Cash_Exception_Application[[#This Row],[MARKET No]],'Site Allocation'!$B$2:$C$37,2,FALSE)</f>
        <v>Analyst3</v>
      </c>
      <c r="I841" s="4">
        <f t="shared" ca="1" si="13"/>
        <v>45203</v>
      </c>
      <c r="J841" s="42">
        <f ca="1">TODAY()-qry_ProdData2_PDI_Cash_Exception_Application[[#This Row],[INSERT DATE]]</f>
        <v>20.742928240739275</v>
      </c>
      <c r="K8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41">
        <f ca="1">qry_ProdData2_PDI_Cash_Exception_Application[[#This Row],[TODAY]]-qry_ProdData2_PDI_Cash_Exception_Application[[#This Row],[CHANGED ON]]</f>
        <v>19.742928240739275</v>
      </c>
      <c r="M841">
        <f ca="1">qry_ProdData2_PDI_Cash_Exception_Application[[#This Row],[TODAY]]-qry_ProdData2_PDI_Cash_Exception_Application[[#This Row],[CHANGED ON]]</f>
        <v>19.742928240739275</v>
      </c>
      <c r="N841">
        <f ca="1">qry_ProdData2_PDI_Cash_Exception_Application[[#This Row],[TODAY]]-qry_ProdData2_PDI_Cash_Exception_Application[[#This Row],[CHANGED ON]]</f>
        <v>19.742928240739275</v>
      </c>
    </row>
    <row r="842" spans="1:14" x14ac:dyDescent="0.35">
      <c r="A842">
        <v>1009</v>
      </c>
      <c r="B842" t="s">
        <v>63</v>
      </c>
      <c r="C842" s="1">
        <v>45183.257071759261</v>
      </c>
      <c r="D842" t="str">
        <f ca="1">VLOOKUP(qry_ProdData2_PDI_Cash_Exception_Application[[#This Row],[TYPE]],#REF!,2,FALSE)</f>
        <v>type18</v>
      </c>
      <c r="E842">
        <v>376.74</v>
      </c>
      <c r="F842" t="s">
        <v>47</v>
      </c>
      <c r="G842" s="1">
        <f>qry_ProdData2_PDI_Cash_Exception_Application[[#This Row],[INSERT DATE]]+2</f>
        <v>45185.257071759261</v>
      </c>
      <c r="H842" t="str">
        <f>VLOOKUP(qry_ProdData2_PDI_Cash_Exception_Application[[#This Row],[MARKET No]],'Site Allocation'!$B$2:$C$37,2,FALSE)</f>
        <v>Analyst2</v>
      </c>
      <c r="I842" s="4">
        <f t="shared" ca="1" si="13"/>
        <v>45203</v>
      </c>
      <c r="J842" s="42">
        <f ca="1">TODAY()-qry_ProdData2_PDI_Cash_Exception_Application[[#This Row],[INSERT DATE]]</f>
        <v>19.742928240739275</v>
      </c>
      <c r="K8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42">
        <f ca="1">qry_ProdData2_PDI_Cash_Exception_Application[[#This Row],[TODAY]]-qry_ProdData2_PDI_Cash_Exception_Application[[#This Row],[CHANGED ON]]</f>
        <v>17.742928240739275</v>
      </c>
      <c r="M842">
        <f ca="1">qry_ProdData2_PDI_Cash_Exception_Application[[#This Row],[TODAY]]-qry_ProdData2_PDI_Cash_Exception_Application[[#This Row],[CHANGED ON]]</f>
        <v>17.742928240739275</v>
      </c>
      <c r="N842">
        <f ca="1">qry_ProdData2_PDI_Cash_Exception_Application[[#This Row],[TODAY]]-qry_ProdData2_PDI_Cash_Exception_Application[[#This Row],[CHANGED ON]]</f>
        <v>17.742928240739275</v>
      </c>
    </row>
    <row r="843" spans="1:14" x14ac:dyDescent="0.35">
      <c r="A843">
        <v>1005</v>
      </c>
      <c r="B843" t="s">
        <v>59</v>
      </c>
      <c r="C843" s="1">
        <v>45185.257071759261</v>
      </c>
      <c r="D843" t="str">
        <f ca="1">VLOOKUP(qry_ProdData2_PDI_Cash_Exception_Application[[#This Row],[TYPE]],#REF!,2,FALSE)</f>
        <v>type40</v>
      </c>
      <c r="E843">
        <v>410.03</v>
      </c>
      <c r="F843" t="s">
        <v>50</v>
      </c>
      <c r="G843" s="1">
        <f>qry_ProdData2_PDI_Cash_Exception_Application[[#This Row],[INSERT DATE]]+2</f>
        <v>45187.257071759261</v>
      </c>
      <c r="H843" t="str">
        <f>VLOOKUP(qry_ProdData2_PDI_Cash_Exception_Application[[#This Row],[MARKET No]],'Site Allocation'!$B$2:$C$37,2,FALSE)</f>
        <v>Analyst1</v>
      </c>
      <c r="I843" s="4">
        <f t="shared" ca="1" si="13"/>
        <v>45203</v>
      </c>
      <c r="J843" s="42">
        <f ca="1">TODAY()-qry_ProdData2_PDI_Cash_Exception_Application[[#This Row],[INSERT DATE]]</f>
        <v>17.742928240739275</v>
      </c>
      <c r="K8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43">
        <f ca="1">qry_ProdData2_PDI_Cash_Exception_Application[[#This Row],[TODAY]]-qry_ProdData2_PDI_Cash_Exception_Application[[#This Row],[CHANGED ON]]</f>
        <v>15.742928240739275</v>
      </c>
      <c r="M843">
        <f ca="1">qry_ProdData2_PDI_Cash_Exception_Application[[#This Row],[TODAY]]-qry_ProdData2_PDI_Cash_Exception_Application[[#This Row],[CHANGED ON]]</f>
        <v>15.742928240739275</v>
      </c>
      <c r="N843">
        <f ca="1">qry_ProdData2_PDI_Cash_Exception_Application[[#This Row],[TODAY]]-qry_ProdData2_PDI_Cash_Exception_Application[[#This Row],[CHANGED ON]]</f>
        <v>15.742928240739275</v>
      </c>
    </row>
    <row r="844" spans="1:14" x14ac:dyDescent="0.35">
      <c r="A844">
        <v>1016</v>
      </c>
      <c r="B844" t="s">
        <v>70</v>
      </c>
      <c r="C844" s="1">
        <v>45181.257071759261</v>
      </c>
      <c r="D844" t="str">
        <f ca="1">VLOOKUP(qry_ProdData2_PDI_Cash_Exception_Application[[#This Row],[TYPE]],#REF!,2,FALSE)</f>
        <v>type40</v>
      </c>
      <c r="E844">
        <v>-364.16</v>
      </c>
      <c r="F844" t="s">
        <v>49</v>
      </c>
      <c r="G844" s="1">
        <f>qry_ProdData2_PDI_Cash_Exception_Application[[#This Row],[INSERT DATE]]+2</f>
        <v>45183.257071759261</v>
      </c>
      <c r="H844" t="str">
        <f>VLOOKUP(qry_ProdData2_PDI_Cash_Exception_Application[[#This Row],[MARKET No]],'Site Allocation'!$B$2:$C$37,2,FALSE)</f>
        <v>Analyst3</v>
      </c>
      <c r="I844" s="4">
        <f t="shared" ca="1" si="13"/>
        <v>45203</v>
      </c>
      <c r="J844" s="42">
        <f ca="1">TODAY()-qry_ProdData2_PDI_Cash_Exception_Application[[#This Row],[INSERT DATE]]</f>
        <v>21.742928240739275</v>
      </c>
      <c r="K8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44">
        <f ca="1">qry_ProdData2_PDI_Cash_Exception_Application[[#This Row],[TODAY]]-qry_ProdData2_PDI_Cash_Exception_Application[[#This Row],[CHANGED ON]]</f>
        <v>19.742928240739275</v>
      </c>
      <c r="M844">
        <f ca="1">qry_ProdData2_PDI_Cash_Exception_Application[[#This Row],[TODAY]]-qry_ProdData2_PDI_Cash_Exception_Application[[#This Row],[CHANGED ON]]</f>
        <v>19.742928240739275</v>
      </c>
      <c r="N844">
        <f ca="1">qry_ProdData2_PDI_Cash_Exception_Application[[#This Row],[TODAY]]-qry_ProdData2_PDI_Cash_Exception_Application[[#This Row],[CHANGED ON]]</f>
        <v>19.742928240739275</v>
      </c>
    </row>
    <row r="845" spans="1:14" x14ac:dyDescent="0.35">
      <c r="A845">
        <v>1033</v>
      </c>
      <c r="B845" t="s">
        <v>87</v>
      </c>
      <c r="C845" s="1">
        <v>45190.257071759261</v>
      </c>
      <c r="D845" t="str">
        <f ca="1">VLOOKUP(qry_ProdData2_PDI_Cash_Exception_Application[[#This Row],[TYPE]],#REF!,2,FALSE)</f>
        <v>type13</v>
      </c>
      <c r="E845">
        <v>23106.09</v>
      </c>
      <c r="F845" t="s">
        <v>51</v>
      </c>
      <c r="G845" s="1">
        <f>qry_ProdData2_PDI_Cash_Exception_Application[[#This Row],[INSERT DATE]]+7</f>
        <v>45197.257071759261</v>
      </c>
      <c r="H845" t="str">
        <f>VLOOKUP(qry_ProdData2_PDI_Cash_Exception_Application[[#This Row],[MARKET No]],'Site Allocation'!$B$2:$C$37,2,FALSE)</f>
        <v>Analyst6</v>
      </c>
      <c r="I845" s="4">
        <f t="shared" ca="1" si="13"/>
        <v>45203</v>
      </c>
      <c r="J845" s="42">
        <f ca="1">TODAY()-qry_ProdData2_PDI_Cash_Exception_Application[[#This Row],[INSERT DATE]]</f>
        <v>12.742928240739275</v>
      </c>
      <c r="K8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45">
        <f ca="1">qry_ProdData2_PDI_Cash_Exception_Application[[#This Row],[TODAY]]-qry_ProdData2_PDI_Cash_Exception_Application[[#This Row],[CHANGED ON]]</f>
        <v>5.7429282407392748</v>
      </c>
      <c r="M845">
        <f ca="1">qry_ProdData2_PDI_Cash_Exception_Application[[#This Row],[TODAY]]-qry_ProdData2_PDI_Cash_Exception_Application[[#This Row],[CHANGED ON]]</f>
        <v>5.7429282407392748</v>
      </c>
      <c r="N845">
        <f ca="1">qry_ProdData2_PDI_Cash_Exception_Application[[#This Row],[TODAY]]-qry_ProdData2_PDI_Cash_Exception_Application[[#This Row],[CHANGED ON]]</f>
        <v>5.7429282407392748</v>
      </c>
    </row>
    <row r="846" spans="1:14" x14ac:dyDescent="0.35">
      <c r="A846">
        <v>1004</v>
      </c>
      <c r="B846" t="s">
        <v>58</v>
      </c>
      <c r="C846" s="1">
        <v>45187.257071759261</v>
      </c>
      <c r="D846" t="str">
        <f ca="1">VLOOKUP(qry_ProdData2_PDI_Cash_Exception_Application[[#This Row],[TYPE]],#REF!,2,FALSE)</f>
        <v>type40</v>
      </c>
      <c r="E846">
        <v>-1455.53</v>
      </c>
      <c r="F846" t="s">
        <v>50</v>
      </c>
      <c r="G846" s="1">
        <f>qry_ProdData2_PDI_Cash_Exception_Application[[#This Row],[INSERT DATE]]+2</f>
        <v>45189.257071759261</v>
      </c>
      <c r="H846" t="str">
        <f>VLOOKUP(qry_ProdData2_PDI_Cash_Exception_Application[[#This Row],[MARKET No]],'Site Allocation'!$B$2:$C$37,2,FALSE)</f>
        <v>Analyst1</v>
      </c>
      <c r="I846" s="4">
        <f t="shared" ca="1" si="13"/>
        <v>45203</v>
      </c>
      <c r="J846" s="42">
        <f ca="1">TODAY()-qry_ProdData2_PDI_Cash_Exception_Application[[#This Row],[INSERT DATE]]</f>
        <v>15.742928240739275</v>
      </c>
      <c r="K8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46">
        <f ca="1">qry_ProdData2_PDI_Cash_Exception_Application[[#This Row],[TODAY]]-qry_ProdData2_PDI_Cash_Exception_Application[[#This Row],[CHANGED ON]]</f>
        <v>13.742928240739275</v>
      </c>
      <c r="M846">
        <f ca="1">qry_ProdData2_PDI_Cash_Exception_Application[[#This Row],[TODAY]]-qry_ProdData2_PDI_Cash_Exception_Application[[#This Row],[CHANGED ON]]</f>
        <v>13.742928240739275</v>
      </c>
      <c r="N846">
        <f ca="1">qry_ProdData2_PDI_Cash_Exception_Application[[#This Row],[TODAY]]-qry_ProdData2_PDI_Cash_Exception_Application[[#This Row],[CHANGED ON]]</f>
        <v>13.742928240739275</v>
      </c>
    </row>
    <row r="847" spans="1:14" x14ac:dyDescent="0.35">
      <c r="A847">
        <v>1011</v>
      </c>
      <c r="B847" t="s">
        <v>65</v>
      </c>
      <c r="C847" s="1">
        <v>45188.257071759261</v>
      </c>
      <c r="D847" t="str">
        <f ca="1">VLOOKUP(qry_ProdData2_PDI_Cash_Exception_Application[[#This Row],[TYPE]],#REF!,2,FALSE)</f>
        <v>type13</v>
      </c>
      <c r="E847">
        <v>29484.69</v>
      </c>
      <c r="F847" t="s">
        <v>50</v>
      </c>
      <c r="G847" s="1">
        <f>qry_ProdData2_PDI_Cash_Exception_Application[[#This Row],[INSERT DATE]]+2</f>
        <v>45190.257071759261</v>
      </c>
      <c r="H847" t="str">
        <f>VLOOKUP(qry_ProdData2_PDI_Cash_Exception_Application[[#This Row],[MARKET No]],'Site Allocation'!$B$2:$C$37,2,FALSE)</f>
        <v>Analyst2</v>
      </c>
      <c r="I847" s="4">
        <f t="shared" ca="1" si="13"/>
        <v>45203</v>
      </c>
      <c r="J847" s="42">
        <f ca="1">TODAY()-qry_ProdData2_PDI_Cash_Exception_Application[[#This Row],[INSERT DATE]]</f>
        <v>14.742928240739275</v>
      </c>
      <c r="K8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47">
        <f ca="1">qry_ProdData2_PDI_Cash_Exception_Application[[#This Row],[TODAY]]-qry_ProdData2_PDI_Cash_Exception_Application[[#This Row],[CHANGED ON]]</f>
        <v>12.742928240739275</v>
      </c>
      <c r="M847">
        <f ca="1">qry_ProdData2_PDI_Cash_Exception_Application[[#This Row],[TODAY]]-qry_ProdData2_PDI_Cash_Exception_Application[[#This Row],[CHANGED ON]]</f>
        <v>12.742928240739275</v>
      </c>
      <c r="N847">
        <f ca="1">qry_ProdData2_PDI_Cash_Exception_Application[[#This Row],[TODAY]]-qry_ProdData2_PDI_Cash_Exception_Application[[#This Row],[CHANGED ON]]</f>
        <v>12.742928240739275</v>
      </c>
    </row>
    <row r="848" spans="1:14" x14ac:dyDescent="0.35">
      <c r="A848">
        <v>1016</v>
      </c>
      <c r="B848" t="s">
        <v>70</v>
      </c>
      <c r="C848" s="1">
        <v>45189.257071759261</v>
      </c>
      <c r="D848" t="str">
        <f ca="1">VLOOKUP(qry_ProdData2_PDI_Cash_Exception_Application[[#This Row],[TYPE]],#REF!,2,FALSE)</f>
        <v>type40</v>
      </c>
      <c r="E848">
        <v>348.98</v>
      </c>
      <c r="F848" t="s">
        <v>52</v>
      </c>
      <c r="G848" s="1">
        <f>qry_ProdData2_PDI_Cash_Exception_Application[[#This Row],[INSERT DATE]]+2</f>
        <v>45191.257071759261</v>
      </c>
      <c r="H848" t="str">
        <f>VLOOKUP(qry_ProdData2_PDI_Cash_Exception_Application[[#This Row],[MARKET No]],'Site Allocation'!$B$2:$C$37,2,FALSE)</f>
        <v>Analyst3</v>
      </c>
      <c r="I848" s="4">
        <f t="shared" ca="1" si="13"/>
        <v>45203</v>
      </c>
      <c r="J848" s="42">
        <f ca="1">TODAY()-qry_ProdData2_PDI_Cash_Exception_Application[[#This Row],[INSERT DATE]]</f>
        <v>13.742928240739275</v>
      </c>
      <c r="K8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48">
        <f ca="1">qry_ProdData2_PDI_Cash_Exception_Application[[#This Row],[TODAY]]-qry_ProdData2_PDI_Cash_Exception_Application[[#This Row],[CHANGED ON]]</f>
        <v>11.742928240739275</v>
      </c>
      <c r="M848">
        <f ca="1">qry_ProdData2_PDI_Cash_Exception_Application[[#This Row],[TODAY]]-qry_ProdData2_PDI_Cash_Exception_Application[[#This Row],[CHANGED ON]]</f>
        <v>11.742928240739275</v>
      </c>
      <c r="N848">
        <f ca="1">qry_ProdData2_PDI_Cash_Exception_Application[[#This Row],[TODAY]]-qry_ProdData2_PDI_Cash_Exception_Application[[#This Row],[CHANGED ON]]</f>
        <v>11.742928240739275</v>
      </c>
    </row>
    <row r="849" spans="1:14" x14ac:dyDescent="0.35">
      <c r="A849">
        <v>1032</v>
      </c>
      <c r="B849" t="s">
        <v>86</v>
      </c>
      <c r="C849" s="1">
        <v>45189.257071759261</v>
      </c>
      <c r="D849" t="str">
        <f ca="1">VLOOKUP(qry_ProdData2_PDI_Cash_Exception_Application[[#This Row],[TYPE]],#REF!,2,FALSE)</f>
        <v>type41</v>
      </c>
      <c r="E849">
        <v>2166.3200000000002</v>
      </c>
      <c r="F849" t="s">
        <v>52</v>
      </c>
      <c r="G849" s="1">
        <f>qry_ProdData2_PDI_Cash_Exception_Application[[#This Row],[INSERT DATE]]+2</f>
        <v>45191.257071759261</v>
      </c>
      <c r="H849" t="str">
        <f>VLOOKUP(qry_ProdData2_PDI_Cash_Exception_Application[[#This Row],[MARKET No]],'Site Allocation'!$B$2:$C$37,2,FALSE)</f>
        <v>Analyst6</v>
      </c>
      <c r="I849" s="4">
        <f t="shared" ca="1" si="13"/>
        <v>45203</v>
      </c>
      <c r="J849" s="42">
        <f ca="1">TODAY()-qry_ProdData2_PDI_Cash_Exception_Application[[#This Row],[INSERT DATE]]</f>
        <v>13.742928240739275</v>
      </c>
      <c r="K8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49">
        <f ca="1">qry_ProdData2_PDI_Cash_Exception_Application[[#This Row],[TODAY]]-qry_ProdData2_PDI_Cash_Exception_Application[[#This Row],[CHANGED ON]]</f>
        <v>11.742928240739275</v>
      </c>
      <c r="M849">
        <f ca="1">qry_ProdData2_PDI_Cash_Exception_Application[[#This Row],[TODAY]]-qry_ProdData2_PDI_Cash_Exception_Application[[#This Row],[CHANGED ON]]</f>
        <v>11.742928240739275</v>
      </c>
      <c r="N849">
        <f ca="1">qry_ProdData2_PDI_Cash_Exception_Application[[#This Row],[TODAY]]-qry_ProdData2_PDI_Cash_Exception_Application[[#This Row],[CHANGED ON]]</f>
        <v>11.742928240739275</v>
      </c>
    </row>
    <row r="850" spans="1:14" x14ac:dyDescent="0.35">
      <c r="A850">
        <v>1033</v>
      </c>
      <c r="B850" t="s">
        <v>87</v>
      </c>
      <c r="C850" s="1">
        <v>45187.257071759261</v>
      </c>
      <c r="D850" t="str">
        <f ca="1">VLOOKUP(qry_ProdData2_PDI_Cash_Exception_Application[[#This Row],[TYPE]],#REF!,2,FALSE)</f>
        <v>type46</v>
      </c>
      <c r="E850">
        <v>1.99</v>
      </c>
      <c r="F850" t="s">
        <v>48</v>
      </c>
      <c r="G850" s="1">
        <f>qry_ProdData2_PDI_Cash_Exception_Application[[#This Row],[INSERT DATE]]+2</f>
        <v>45189.257071759261</v>
      </c>
      <c r="H850" t="str">
        <f>VLOOKUP(qry_ProdData2_PDI_Cash_Exception_Application[[#This Row],[MARKET No]],'Site Allocation'!$B$2:$C$37,2,FALSE)</f>
        <v>Analyst6</v>
      </c>
      <c r="I850" s="4">
        <f t="shared" ca="1" si="13"/>
        <v>45203</v>
      </c>
      <c r="J850" s="42">
        <f ca="1">TODAY()-qry_ProdData2_PDI_Cash_Exception_Application[[#This Row],[INSERT DATE]]</f>
        <v>15.742928240739275</v>
      </c>
      <c r="K8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50">
        <f ca="1">qry_ProdData2_PDI_Cash_Exception_Application[[#This Row],[TODAY]]-qry_ProdData2_PDI_Cash_Exception_Application[[#This Row],[CHANGED ON]]</f>
        <v>13.742928240739275</v>
      </c>
      <c r="M850">
        <f ca="1">qry_ProdData2_PDI_Cash_Exception_Application[[#This Row],[TODAY]]-qry_ProdData2_PDI_Cash_Exception_Application[[#This Row],[CHANGED ON]]</f>
        <v>13.742928240739275</v>
      </c>
      <c r="N850">
        <f ca="1">qry_ProdData2_PDI_Cash_Exception_Application[[#This Row],[TODAY]]-qry_ProdData2_PDI_Cash_Exception_Application[[#This Row],[CHANGED ON]]</f>
        <v>13.742928240739275</v>
      </c>
    </row>
    <row r="851" spans="1:14" x14ac:dyDescent="0.35">
      <c r="A851">
        <v>1009</v>
      </c>
      <c r="B851" t="s">
        <v>63</v>
      </c>
      <c r="C851" s="1">
        <v>45187.257071759261</v>
      </c>
      <c r="D851" t="str">
        <f ca="1">VLOOKUP(qry_ProdData2_PDI_Cash_Exception_Application[[#This Row],[TYPE]],#REF!,2,FALSE)</f>
        <v>type40</v>
      </c>
      <c r="E851">
        <v>1008.83</v>
      </c>
      <c r="F851" t="s">
        <v>51</v>
      </c>
      <c r="G851" s="1">
        <f>qry_ProdData2_PDI_Cash_Exception_Application[[#This Row],[INSERT DATE]]+7</f>
        <v>45194.257071759261</v>
      </c>
      <c r="H851" t="str">
        <f>VLOOKUP(qry_ProdData2_PDI_Cash_Exception_Application[[#This Row],[MARKET No]],'Site Allocation'!$B$2:$C$37,2,FALSE)</f>
        <v>Analyst2</v>
      </c>
      <c r="I851" s="4">
        <f t="shared" ca="1" si="13"/>
        <v>45203</v>
      </c>
      <c r="J851" s="42">
        <f ca="1">TODAY()-qry_ProdData2_PDI_Cash_Exception_Application[[#This Row],[INSERT DATE]]</f>
        <v>15.742928240739275</v>
      </c>
      <c r="K8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51">
        <f ca="1">qry_ProdData2_PDI_Cash_Exception_Application[[#This Row],[TODAY]]-qry_ProdData2_PDI_Cash_Exception_Application[[#This Row],[CHANGED ON]]</f>
        <v>8.7429282407392748</v>
      </c>
      <c r="M851">
        <f ca="1">qry_ProdData2_PDI_Cash_Exception_Application[[#This Row],[TODAY]]-qry_ProdData2_PDI_Cash_Exception_Application[[#This Row],[CHANGED ON]]</f>
        <v>8.7429282407392748</v>
      </c>
      <c r="N851">
        <f ca="1">qry_ProdData2_PDI_Cash_Exception_Application[[#This Row],[TODAY]]-qry_ProdData2_PDI_Cash_Exception_Application[[#This Row],[CHANGED ON]]</f>
        <v>8.7429282407392748</v>
      </c>
    </row>
    <row r="852" spans="1:14" x14ac:dyDescent="0.35">
      <c r="A852">
        <v>1000</v>
      </c>
      <c r="B852" t="s">
        <v>54</v>
      </c>
      <c r="C852" s="1">
        <v>45185.257071759261</v>
      </c>
      <c r="D852" t="str">
        <f ca="1">VLOOKUP(qry_ProdData2_PDI_Cash_Exception_Application[[#This Row],[TYPE]],#REF!,2,FALSE)</f>
        <v>type7</v>
      </c>
      <c r="E852">
        <v>-1521.01</v>
      </c>
      <c r="F852" t="s">
        <v>47</v>
      </c>
      <c r="G852" s="1">
        <f>qry_ProdData2_PDI_Cash_Exception_Application[[#This Row],[INSERT DATE]]+2</f>
        <v>45187.257071759261</v>
      </c>
      <c r="H852" t="str">
        <f>VLOOKUP(qry_ProdData2_PDI_Cash_Exception_Application[[#This Row],[MARKET No]],'Site Allocation'!$B$2:$C$37,2,FALSE)</f>
        <v>Analyst1</v>
      </c>
      <c r="I852" s="4">
        <f t="shared" ca="1" si="13"/>
        <v>45203</v>
      </c>
      <c r="J852" s="42">
        <f ca="1">TODAY()-qry_ProdData2_PDI_Cash_Exception_Application[[#This Row],[INSERT DATE]]</f>
        <v>17.742928240739275</v>
      </c>
      <c r="K8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52">
        <f ca="1">qry_ProdData2_PDI_Cash_Exception_Application[[#This Row],[TODAY]]-qry_ProdData2_PDI_Cash_Exception_Application[[#This Row],[CHANGED ON]]</f>
        <v>15.742928240739275</v>
      </c>
      <c r="M852">
        <f ca="1">qry_ProdData2_PDI_Cash_Exception_Application[[#This Row],[TODAY]]-qry_ProdData2_PDI_Cash_Exception_Application[[#This Row],[CHANGED ON]]</f>
        <v>15.742928240739275</v>
      </c>
      <c r="N852">
        <f ca="1">qry_ProdData2_PDI_Cash_Exception_Application[[#This Row],[TODAY]]-qry_ProdData2_PDI_Cash_Exception_Application[[#This Row],[CHANGED ON]]</f>
        <v>15.742928240739275</v>
      </c>
    </row>
    <row r="853" spans="1:14" x14ac:dyDescent="0.35">
      <c r="A853">
        <v>1001</v>
      </c>
      <c r="B853" t="s">
        <v>55</v>
      </c>
      <c r="C853" s="1">
        <v>45185.257071759261</v>
      </c>
      <c r="D853" t="str">
        <f ca="1">VLOOKUP(qry_ProdData2_PDI_Cash_Exception_Application[[#This Row],[TYPE]],#REF!,2,FALSE)</f>
        <v>type40</v>
      </c>
      <c r="E853">
        <v>-355.78</v>
      </c>
      <c r="F853" t="s">
        <v>49</v>
      </c>
      <c r="G853" s="1">
        <f>qry_ProdData2_PDI_Cash_Exception_Application[[#This Row],[INSERT DATE]]+7</f>
        <v>45192.257071759261</v>
      </c>
      <c r="H853" t="str">
        <f>VLOOKUP(qry_ProdData2_PDI_Cash_Exception_Application[[#This Row],[MARKET No]],'Site Allocation'!$B$2:$C$37,2,FALSE)</f>
        <v>Analyst1</v>
      </c>
      <c r="I853" s="4">
        <f t="shared" ca="1" si="13"/>
        <v>45203</v>
      </c>
      <c r="J853" s="42">
        <f ca="1">TODAY()-qry_ProdData2_PDI_Cash_Exception_Application[[#This Row],[INSERT DATE]]</f>
        <v>17.742928240739275</v>
      </c>
      <c r="K8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53">
        <f ca="1">qry_ProdData2_PDI_Cash_Exception_Application[[#This Row],[TODAY]]-qry_ProdData2_PDI_Cash_Exception_Application[[#This Row],[CHANGED ON]]</f>
        <v>10.742928240739275</v>
      </c>
      <c r="M853">
        <f ca="1">qry_ProdData2_PDI_Cash_Exception_Application[[#This Row],[TODAY]]-qry_ProdData2_PDI_Cash_Exception_Application[[#This Row],[CHANGED ON]]</f>
        <v>10.742928240739275</v>
      </c>
      <c r="N853">
        <f ca="1">qry_ProdData2_PDI_Cash_Exception_Application[[#This Row],[TODAY]]-qry_ProdData2_PDI_Cash_Exception_Application[[#This Row],[CHANGED ON]]</f>
        <v>10.742928240739275</v>
      </c>
    </row>
    <row r="854" spans="1:14" x14ac:dyDescent="0.35">
      <c r="A854">
        <v>1001</v>
      </c>
      <c r="B854" t="s">
        <v>55</v>
      </c>
      <c r="C854" s="1">
        <v>45193.257071759261</v>
      </c>
      <c r="D854" t="str">
        <f ca="1">VLOOKUP(qry_ProdData2_PDI_Cash_Exception_Application[[#This Row],[TYPE]],#REF!,2,FALSE)</f>
        <v>type40</v>
      </c>
      <c r="E854">
        <v>-10382.959999999999</v>
      </c>
      <c r="F854" t="s">
        <v>52</v>
      </c>
      <c r="G854" s="1">
        <f>qry_ProdData2_PDI_Cash_Exception_Application[[#This Row],[INSERT DATE]]+2</f>
        <v>45195.257071759261</v>
      </c>
      <c r="H854" t="str">
        <f>VLOOKUP(qry_ProdData2_PDI_Cash_Exception_Application[[#This Row],[MARKET No]],'Site Allocation'!$B$2:$C$37,2,FALSE)</f>
        <v>Analyst1</v>
      </c>
      <c r="I854" s="4">
        <f t="shared" ca="1" si="13"/>
        <v>45203</v>
      </c>
      <c r="J854" s="42">
        <f ca="1">TODAY()-qry_ProdData2_PDI_Cash_Exception_Application[[#This Row],[INSERT DATE]]</f>
        <v>9.7429282407392748</v>
      </c>
      <c r="K8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54">
        <f ca="1">qry_ProdData2_PDI_Cash_Exception_Application[[#This Row],[TODAY]]-qry_ProdData2_PDI_Cash_Exception_Application[[#This Row],[CHANGED ON]]</f>
        <v>7.7429282407392748</v>
      </c>
      <c r="M854">
        <f ca="1">qry_ProdData2_PDI_Cash_Exception_Application[[#This Row],[TODAY]]-qry_ProdData2_PDI_Cash_Exception_Application[[#This Row],[CHANGED ON]]</f>
        <v>7.7429282407392748</v>
      </c>
      <c r="N854">
        <f ca="1">qry_ProdData2_PDI_Cash_Exception_Application[[#This Row],[TODAY]]-qry_ProdData2_PDI_Cash_Exception_Application[[#This Row],[CHANGED ON]]</f>
        <v>7.7429282407392748</v>
      </c>
    </row>
    <row r="855" spans="1:14" x14ac:dyDescent="0.35">
      <c r="A855">
        <v>1006</v>
      </c>
      <c r="B855" t="s">
        <v>60</v>
      </c>
      <c r="C855" s="1">
        <v>45194.257071759261</v>
      </c>
      <c r="D855" t="str">
        <f ca="1">VLOOKUP(qry_ProdData2_PDI_Cash_Exception_Application[[#This Row],[TYPE]],#REF!,2,FALSE)</f>
        <v>type40</v>
      </c>
      <c r="E855">
        <v>365.1</v>
      </c>
      <c r="F855" t="s">
        <v>50</v>
      </c>
      <c r="G855" s="1">
        <f>qry_ProdData2_PDI_Cash_Exception_Application[[#This Row],[INSERT DATE]]+2</f>
        <v>45196.257071759261</v>
      </c>
      <c r="H855" t="str">
        <f>VLOOKUP(qry_ProdData2_PDI_Cash_Exception_Application[[#This Row],[MARKET No]],'Site Allocation'!$B$2:$C$37,2,FALSE)</f>
        <v>Analyst2</v>
      </c>
      <c r="I855" s="4">
        <f t="shared" ca="1" si="13"/>
        <v>45203</v>
      </c>
      <c r="J855" s="42">
        <f ca="1">TODAY()-qry_ProdData2_PDI_Cash_Exception_Application[[#This Row],[INSERT DATE]]</f>
        <v>8.7429282407392748</v>
      </c>
      <c r="K8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855">
        <f ca="1">qry_ProdData2_PDI_Cash_Exception_Application[[#This Row],[TODAY]]-qry_ProdData2_PDI_Cash_Exception_Application[[#This Row],[CHANGED ON]]</f>
        <v>6.7429282407392748</v>
      </c>
      <c r="M855">
        <f ca="1">qry_ProdData2_PDI_Cash_Exception_Application[[#This Row],[TODAY]]-qry_ProdData2_PDI_Cash_Exception_Application[[#This Row],[CHANGED ON]]</f>
        <v>6.7429282407392748</v>
      </c>
      <c r="N855">
        <f ca="1">qry_ProdData2_PDI_Cash_Exception_Application[[#This Row],[TODAY]]-qry_ProdData2_PDI_Cash_Exception_Application[[#This Row],[CHANGED ON]]</f>
        <v>6.7429282407392748</v>
      </c>
    </row>
    <row r="856" spans="1:14" x14ac:dyDescent="0.35">
      <c r="A856">
        <v>1019</v>
      </c>
      <c r="B856" t="s">
        <v>73</v>
      </c>
      <c r="C856" s="1">
        <v>45186.257071759261</v>
      </c>
      <c r="D856" t="str">
        <f ca="1">VLOOKUP(qry_ProdData2_PDI_Cash_Exception_Application[[#This Row],[TYPE]],#REF!,2,FALSE)</f>
        <v>type40</v>
      </c>
      <c r="E856">
        <v>341.22</v>
      </c>
      <c r="F856" t="s">
        <v>49</v>
      </c>
      <c r="G856" s="1">
        <f>qry_ProdData2_PDI_Cash_Exception_Application[[#This Row],[INSERT DATE]]+7</f>
        <v>45193.257071759261</v>
      </c>
      <c r="H856" t="str">
        <f>VLOOKUP(qry_ProdData2_PDI_Cash_Exception_Application[[#This Row],[MARKET No]],'Site Allocation'!$B$2:$C$37,2,FALSE)</f>
        <v>Analyst4</v>
      </c>
      <c r="I856" s="4">
        <f t="shared" ca="1" si="13"/>
        <v>45203</v>
      </c>
      <c r="J856" s="42">
        <f ca="1">TODAY()-qry_ProdData2_PDI_Cash_Exception_Application[[#This Row],[INSERT DATE]]</f>
        <v>16.742928240739275</v>
      </c>
      <c r="K8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56">
        <f ca="1">qry_ProdData2_PDI_Cash_Exception_Application[[#This Row],[TODAY]]-qry_ProdData2_PDI_Cash_Exception_Application[[#This Row],[CHANGED ON]]</f>
        <v>9.7429282407392748</v>
      </c>
      <c r="M856">
        <f ca="1">qry_ProdData2_PDI_Cash_Exception_Application[[#This Row],[TODAY]]-qry_ProdData2_PDI_Cash_Exception_Application[[#This Row],[CHANGED ON]]</f>
        <v>9.7429282407392748</v>
      </c>
      <c r="N856">
        <f ca="1">qry_ProdData2_PDI_Cash_Exception_Application[[#This Row],[TODAY]]-qry_ProdData2_PDI_Cash_Exception_Application[[#This Row],[CHANGED ON]]</f>
        <v>9.7429282407392748</v>
      </c>
    </row>
    <row r="857" spans="1:14" x14ac:dyDescent="0.35">
      <c r="A857">
        <v>1023</v>
      </c>
      <c r="B857" t="s">
        <v>77</v>
      </c>
      <c r="C857" s="1">
        <v>45196.257071759261</v>
      </c>
      <c r="D857" t="str">
        <f ca="1">VLOOKUP(qry_ProdData2_PDI_Cash_Exception_Application[[#This Row],[TYPE]],#REF!,2,FALSE)</f>
        <v>type22</v>
      </c>
      <c r="E857">
        <v>2406.5500000000002</v>
      </c>
      <c r="F857" t="s">
        <v>50</v>
      </c>
      <c r="G857" s="1">
        <f>qry_ProdData2_PDI_Cash_Exception_Application[[#This Row],[INSERT DATE]]+2</f>
        <v>45198.257071759261</v>
      </c>
      <c r="H857" t="str">
        <f>VLOOKUP(qry_ProdData2_PDI_Cash_Exception_Application[[#This Row],[MARKET No]],'Site Allocation'!$B$2:$C$37,2,FALSE)</f>
        <v>Analyst4</v>
      </c>
      <c r="I857" s="4">
        <f t="shared" ca="1" si="13"/>
        <v>45203</v>
      </c>
      <c r="J857" s="42">
        <f ca="1">TODAY()-qry_ProdData2_PDI_Cash_Exception_Application[[#This Row],[INSERT DATE]]</f>
        <v>6.7429282407392748</v>
      </c>
      <c r="K8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857">
        <f ca="1">qry_ProdData2_PDI_Cash_Exception_Application[[#This Row],[TODAY]]-qry_ProdData2_PDI_Cash_Exception_Application[[#This Row],[CHANGED ON]]</f>
        <v>4.7429282407392748</v>
      </c>
      <c r="M857">
        <f ca="1">qry_ProdData2_PDI_Cash_Exception_Application[[#This Row],[TODAY]]-qry_ProdData2_PDI_Cash_Exception_Application[[#This Row],[CHANGED ON]]</f>
        <v>4.7429282407392748</v>
      </c>
      <c r="N857">
        <f ca="1">qry_ProdData2_PDI_Cash_Exception_Application[[#This Row],[TODAY]]-qry_ProdData2_PDI_Cash_Exception_Application[[#This Row],[CHANGED ON]]</f>
        <v>4.7429282407392748</v>
      </c>
    </row>
    <row r="858" spans="1:14" x14ac:dyDescent="0.35">
      <c r="A858">
        <v>1030</v>
      </c>
      <c r="B858" t="s">
        <v>84</v>
      </c>
      <c r="C858" s="1">
        <v>45185.257071759261</v>
      </c>
      <c r="D858" t="str">
        <f ca="1">VLOOKUP(qry_ProdData2_PDI_Cash_Exception_Application[[#This Row],[TYPE]],#REF!,2,FALSE)</f>
        <v>type7</v>
      </c>
      <c r="E858">
        <v>-1696.39</v>
      </c>
      <c r="F858" t="s">
        <v>47</v>
      </c>
      <c r="G858" s="1">
        <f>qry_ProdData2_PDI_Cash_Exception_Application[[#This Row],[INSERT DATE]]+2</f>
        <v>45187.257071759261</v>
      </c>
      <c r="H858" t="str">
        <f>VLOOKUP(qry_ProdData2_PDI_Cash_Exception_Application[[#This Row],[MARKET No]],'Site Allocation'!$B$2:$C$37,2,FALSE)</f>
        <v>Analyst6</v>
      </c>
      <c r="I858" s="4">
        <f t="shared" ca="1" si="13"/>
        <v>45203</v>
      </c>
      <c r="J858" s="42">
        <f ca="1">TODAY()-qry_ProdData2_PDI_Cash_Exception_Application[[#This Row],[INSERT DATE]]</f>
        <v>17.742928240739275</v>
      </c>
      <c r="K8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58">
        <f ca="1">qry_ProdData2_PDI_Cash_Exception_Application[[#This Row],[TODAY]]-qry_ProdData2_PDI_Cash_Exception_Application[[#This Row],[CHANGED ON]]</f>
        <v>15.742928240739275</v>
      </c>
      <c r="M858">
        <f ca="1">qry_ProdData2_PDI_Cash_Exception_Application[[#This Row],[TODAY]]-qry_ProdData2_PDI_Cash_Exception_Application[[#This Row],[CHANGED ON]]</f>
        <v>15.742928240739275</v>
      </c>
      <c r="N858">
        <f ca="1">qry_ProdData2_PDI_Cash_Exception_Application[[#This Row],[TODAY]]-qry_ProdData2_PDI_Cash_Exception_Application[[#This Row],[CHANGED ON]]</f>
        <v>15.742928240739275</v>
      </c>
    </row>
    <row r="859" spans="1:14" x14ac:dyDescent="0.35">
      <c r="A859">
        <v>1007</v>
      </c>
      <c r="B859" t="s">
        <v>61</v>
      </c>
      <c r="C859" s="1">
        <v>45181.257071759261</v>
      </c>
      <c r="D859" t="str">
        <f ca="1">VLOOKUP(qry_ProdData2_PDI_Cash_Exception_Application[[#This Row],[TYPE]],#REF!,2,FALSE)</f>
        <v>type40</v>
      </c>
      <c r="E859">
        <v>5955.63</v>
      </c>
      <c r="F859" t="s">
        <v>51</v>
      </c>
      <c r="G859" s="1">
        <f>qry_ProdData2_PDI_Cash_Exception_Application[[#This Row],[INSERT DATE]]+1</f>
        <v>45182.257071759261</v>
      </c>
      <c r="H859" t="str">
        <f>VLOOKUP(qry_ProdData2_PDI_Cash_Exception_Application[[#This Row],[MARKET No]],'Site Allocation'!$B$2:$C$37,2,FALSE)</f>
        <v>Analyst2</v>
      </c>
      <c r="I859" s="4">
        <f t="shared" ca="1" si="13"/>
        <v>45203</v>
      </c>
      <c r="J859" s="42">
        <f ca="1">TODAY()-qry_ProdData2_PDI_Cash_Exception_Application[[#This Row],[INSERT DATE]]</f>
        <v>21.742928240739275</v>
      </c>
      <c r="K8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59">
        <f ca="1">qry_ProdData2_PDI_Cash_Exception_Application[[#This Row],[TODAY]]-qry_ProdData2_PDI_Cash_Exception_Application[[#This Row],[CHANGED ON]]</f>
        <v>20.742928240739275</v>
      </c>
      <c r="M859">
        <f ca="1">qry_ProdData2_PDI_Cash_Exception_Application[[#This Row],[TODAY]]-qry_ProdData2_PDI_Cash_Exception_Application[[#This Row],[CHANGED ON]]</f>
        <v>20.742928240739275</v>
      </c>
      <c r="N859">
        <f ca="1">qry_ProdData2_PDI_Cash_Exception_Application[[#This Row],[TODAY]]-qry_ProdData2_PDI_Cash_Exception_Application[[#This Row],[CHANGED ON]]</f>
        <v>20.742928240739275</v>
      </c>
    </row>
    <row r="860" spans="1:14" x14ac:dyDescent="0.35">
      <c r="A860">
        <v>1023</v>
      </c>
      <c r="B860" t="s">
        <v>77</v>
      </c>
      <c r="C860" s="1">
        <v>45188.257071759261</v>
      </c>
      <c r="D860" t="str">
        <f ca="1">VLOOKUP(qry_ProdData2_PDI_Cash_Exception_Application[[#This Row],[TYPE]],#REF!,2,FALSE)</f>
        <v>type40</v>
      </c>
      <c r="E860">
        <v>-1324.73</v>
      </c>
      <c r="F860" t="s">
        <v>47</v>
      </c>
      <c r="G860" s="1">
        <f>qry_ProdData2_PDI_Cash_Exception_Application[[#This Row],[INSERT DATE]]+2</f>
        <v>45190.257071759261</v>
      </c>
      <c r="H860" t="str">
        <f>VLOOKUP(qry_ProdData2_PDI_Cash_Exception_Application[[#This Row],[MARKET No]],'Site Allocation'!$B$2:$C$37,2,FALSE)</f>
        <v>Analyst4</v>
      </c>
      <c r="I860" s="4">
        <f t="shared" ca="1" si="13"/>
        <v>45203</v>
      </c>
      <c r="J860" s="42">
        <f ca="1">TODAY()-qry_ProdData2_PDI_Cash_Exception_Application[[#This Row],[INSERT DATE]]</f>
        <v>14.742928240739275</v>
      </c>
      <c r="K8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60">
        <f ca="1">qry_ProdData2_PDI_Cash_Exception_Application[[#This Row],[TODAY]]-qry_ProdData2_PDI_Cash_Exception_Application[[#This Row],[CHANGED ON]]</f>
        <v>12.742928240739275</v>
      </c>
      <c r="M860">
        <f ca="1">qry_ProdData2_PDI_Cash_Exception_Application[[#This Row],[TODAY]]-qry_ProdData2_PDI_Cash_Exception_Application[[#This Row],[CHANGED ON]]</f>
        <v>12.742928240739275</v>
      </c>
      <c r="N860">
        <f ca="1">qry_ProdData2_PDI_Cash_Exception_Application[[#This Row],[TODAY]]-qry_ProdData2_PDI_Cash_Exception_Application[[#This Row],[CHANGED ON]]</f>
        <v>12.742928240739275</v>
      </c>
    </row>
    <row r="861" spans="1:14" x14ac:dyDescent="0.35">
      <c r="A861">
        <v>1003</v>
      </c>
      <c r="B861" t="s">
        <v>57</v>
      </c>
      <c r="C861" s="1">
        <v>45185.257071759261</v>
      </c>
      <c r="D861" t="str">
        <f ca="1">VLOOKUP(qry_ProdData2_PDI_Cash_Exception_Application[[#This Row],[TYPE]],#REF!,2,FALSE)</f>
        <v>type40</v>
      </c>
      <c r="E861">
        <v>525.89</v>
      </c>
      <c r="F861" t="s">
        <v>47</v>
      </c>
      <c r="G861" s="1">
        <f>qry_ProdData2_PDI_Cash_Exception_Application[[#This Row],[INSERT DATE]]+2</f>
        <v>45187.257071759261</v>
      </c>
      <c r="H861" t="str">
        <f>VLOOKUP(qry_ProdData2_PDI_Cash_Exception_Application[[#This Row],[MARKET No]],'Site Allocation'!$B$2:$C$37,2,FALSE)</f>
        <v>Analyst1</v>
      </c>
      <c r="I861" s="4">
        <f t="shared" ca="1" si="13"/>
        <v>45203</v>
      </c>
      <c r="J861" s="42">
        <f ca="1">TODAY()-qry_ProdData2_PDI_Cash_Exception_Application[[#This Row],[INSERT DATE]]</f>
        <v>17.742928240739275</v>
      </c>
      <c r="K8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61">
        <f ca="1">qry_ProdData2_PDI_Cash_Exception_Application[[#This Row],[TODAY]]-qry_ProdData2_PDI_Cash_Exception_Application[[#This Row],[CHANGED ON]]</f>
        <v>15.742928240739275</v>
      </c>
      <c r="M861">
        <f ca="1">qry_ProdData2_PDI_Cash_Exception_Application[[#This Row],[TODAY]]-qry_ProdData2_PDI_Cash_Exception_Application[[#This Row],[CHANGED ON]]</f>
        <v>15.742928240739275</v>
      </c>
      <c r="N861">
        <f ca="1">qry_ProdData2_PDI_Cash_Exception_Application[[#This Row],[TODAY]]-qry_ProdData2_PDI_Cash_Exception_Application[[#This Row],[CHANGED ON]]</f>
        <v>15.742928240739275</v>
      </c>
    </row>
    <row r="862" spans="1:14" x14ac:dyDescent="0.35">
      <c r="A862">
        <v>1029</v>
      </c>
      <c r="B862" t="s">
        <v>83</v>
      </c>
      <c r="C862" s="1">
        <v>45190.257071759261</v>
      </c>
      <c r="D862" t="str">
        <f ca="1">VLOOKUP(qry_ProdData2_PDI_Cash_Exception_Application[[#This Row],[TYPE]],#REF!,2,FALSE)</f>
        <v>type42</v>
      </c>
      <c r="E862">
        <v>230</v>
      </c>
      <c r="F862" t="s">
        <v>48</v>
      </c>
      <c r="G862" s="1">
        <f>qry_ProdData2_PDI_Cash_Exception_Application[[#This Row],[INSERT DATE]]+2</f>
        <v>45192.257071759261</v>
      </c>
      <c r="H862" t="str">
        <f>VLOOKUP(qry_ProdData2_PDI_Cash_Exception_Application[[#This Row],[MARKET No]],'Site Allocation'!$B$2:$C$37,2,FALSE)</f>
        <v>Analyst5</v>
      </c>
      <c r="I862" s="4">
        <f t="shared" ca="1" si="13"/>
        <v>45203</v>
      </c>
      <c r="J862" s="42">
        <f ca="1">TODAY()-qry_ProdData2_PDI_Cash_Exception_Application[[#This Row],[INSERT DATE]]</f>
        <v>12.742928240739275</v>
      </c>
      <c r="K8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62">
        <f ca="1">qry_ProdData2_PDI_Cash_Exception_Application[[#This Row],[TODAY]]-qry_ProdData2_PDI_Cash_Exception_Application[[#This Row],[CHANGED ON]]</f>
        <v>10.742928240739275</v>
      </c>
      <c r="M862">
        <f ca="1">qry_ProdData2_PDI_Cash_Exception_Application[[#This Row],[TODAY]]-qry_ProdData2_PDI_Cash_Exception_Application[[#This Row],[CHANGED ON]]</f>
        <v>10.742928240739275</v>
      </c>
      <c r="N862">
        <f ca="1">qry_ProdData2_PDI_Cash_Exception_Application[[#This Row],[TODAY]]-qry_ProdData2_PDI_Cash_Exception_Application[[#This Row],[CHANGED ON]]</f>
        <v>10.742928240739275</v>
      </c>
    </row>
    <row r="863" spans="1:14" x14ac:dyDescent="0.35">
      <c r="A863">
        <v>1018</v>
      </c>
      <c r="B863" t="s">
        <v>72</v>
      </c>
      <c r="C863" s="1">
        <v>45187.257071759261</v>
      </c>
      <c r="D863" t="str">
        <f ca="1">VLOOKUP(qry_ProdData2_PDI_Cash_Exception_Application[[#This Row],[TYPE]],#REF!,2,FALSE)</f>
        <v>type40</v>
      </c>
      <c r="E863">
        <v>1394.99</v>
      </c>
      <c r="F863" t="s">
        <v>49</v>
      </c>
      <c r="G863" s="1">
        <f>qry_ProdData2_PDI_Cash_Exception_Application[[#This Row],[INSERT DATE]]+7</f>
        <v>45194.257071759261</v>
      </c>
      <c r="H863" t="str">
        <f>VLOOKUP(qry_ProdData2_PDI_Cash_Exception_Application[[#This Row],[MARKET No]],'Site Allocation'!$B$2:$C$37,2,FALSE)</f>
        <v>Analyst4</v>
      </c>
      <c r="I863" s="4">
        <f t="shared" ca="1" si="13"/>
        <v>45203</v>
      </c>
      <c r="J863" s="42">
        <f ca="1">TODAY()-qry_ProdData2_PDI_Cash_Exception_Application[[#This Row],[INSERT DATE]]</f>
        <v>15.742928240739275</v>
      </c>
      <c r="K8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63">
        <f ca="1">qry_ProdData2_PDI_Cash_Exception_Application[[#This Row],[TODAY]]-qry_ProdData2_PDI_Cash_Exception_Application[[#This Row],[CHANGED ON]]</f>
        <v>8.7429282407392748</v>
      </c>
      <c r="M863">
        <f ca="1">qry_ProdData2_PDI_Cash_Exception_Application[[#This Row],[TODAY]]-qry_ProdData2_PDI_Cash_Exception_Application[[#This Row],[CHANGED ON]]</f>
        <v>8.7429282407392748</v>
      </c>
      <c r="N863">
        <f ca="1">qry_ProdData2_PDI_Cash_Exception_Application[[#This Row],[TODAY]]-qry_ProdData2_PDI_Cash_Exception_Application[[#This Row],[CHANGED ON]]</f>
        <v>8.7429282407392748</v>
      </c>
    </row>
    <row r="864" spans="1:14" x14ac:dyDescent="0.35">
      <c r="A864">
        <v>1022</v>
      </c>
      <c r="B864" t="s">
        <v>76</v>
      </c>
      <c r="C864" s="1">
        <v>45184.257071759261</v>
      </c>
      <c r="D864" t="str">
        <f ca="1">VLOOKUP(qry_ProdData2_PDI_Cash_Exception_Application[[#This Row],[TYPE]],#REF!,2,FALSE)</f>
        <v>type40</v>
      </c>
      <c r="E864">
        <v>-564.96</v>
      </c>
      <c r="F864" t="s">
        <v>51</v>
      </c>
      <c r="G864" s="1">
        <f>qry_ProdData2_PDI_Cash_Exception_Application[[#This Row],[INSERT DATE]]+2</f>
        <v>45186.257071759261</v>
      </c>
      <c r="H864" t="str">
        <f>VLOOKUP(qry_ProdData2_PDI_Cash_Exception_Application[[#This Row],[MARKET No]],'Site Allocation'!$B$2:$C$37,2,FALSE)</f>
        <v>Analyst4</v>
      </c>
      <c r="I864" s="4">
        <f t="shared" ca="1" si="13"/>
        <v>45203</v>
      </c>
      <c r="J864" s="42">
        <f ca="1">TODAY()-qry_ProdData2_PDI_Cash_Exception_Application[[#This Row],[INSERT DATE]]</f>
        <v>18.742928240739275</v>
      </c>
      <c r="K8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64">
        <f ca="1">qry_ProdData2_PDI_Cash_Exception_Application[[#This Row],[TODAY]]-qry_ProdData2_PDI_Cash_Exception_Application[[#This Row],[CHANGED ON]]</f>
        <v>16.742928240739275</v>
      </c>
      <c r="M864">
        <f ca="1">qry_ProdData2_PDI_Cash_Exception_Application[[#This Row],[TODAY]]-qry_ProdData2_PDI_Cash_Exception_Application[[#This Row],[CHANGED ON]]</f>
        <v>16.742928240739275</v>
      </c>
      <c r="N864">
        <f ca="1">qry_ProdData2_PDI_Cash_Exception_Application[[#This Row],[TODAY]]-qry_ProdData2_PDI_Cash_Exception_Application[[#This Row],[CHANGED ON]]</f>
        <v>16.742928240739275</v>
      </c>
    </row>
    <row r="865" spans="1:14" x14ac:dyDescent="0.35">
      <c r="A865">
        <v>1020</v>
      </c>
      <c r="B865" t="s">
        <v>74</v>
      </c>
      <c r="C865" s="1">
        <v>45189.257071759261</v>
      </c>
      <c r="D865" t="str">
        <f ca="1">VLOOKUP(qry_ProdData2_PDI_Cash_Exception_Application[[#This Row],[TYPE]],#REF!,2,FALSE)</f>
        <v>type13</v>
      </c>
      <c r="E865">
        <v>25055.200000000001</v>
      </c>
      <c r="F865" t="s">
        <v>52</v>
      </c>
      <c r="G865" s="1">
        <f>qry_ProdData2_PDI_Cash_Exception_Application[[#This Row],[INSERT DATE]]+5</f>
        <v>45194.257071759261</v>
      </c>
      <c r="H865" t="str">
        <f>VLOOKUP(qry_ProdData2_PDI_Cash_Exception_Application[[#This Row],[MARKET No]],'Site Allocation'!$B$2:$C$37,2,FALSE)</f>
        <v>Analyst4</v>
      </c>
      <c r="I865" s="4">
        <f t="shared" ca="1" si="13"/>
        <v>45203</v>
      </c>
      <c r="J865" s="42">
        <f ca="1">TODAY()-qry_ProdData2_PDI_Cash_Exception_Application[[#This Row],[INSERT DATE]]</f>
        <v>13.742928240739275</v>
      </c>
      <c r="K8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65">
        <f ca="1">qry_ProdData2_PDI_Cash_Exception_Application[[#This Row],[TODAY]]-qry_ProdData2_PDI_Cash_Exception_Application[[#This Row],[CHANGED ON]]</f>
        <v>8.7429282407392748</v>
      </c>
      <c r="M865">
        <f ca="1">qry_ProdData2_PDI_Cash_Exception_Application[[#This Row],[TODAY]]-qry_ProdData2_PDI_Cash_Exception_Application[[#This Row],[CHANGED ON]]</f>
        <v>8.7429282407392748</v>
      </c>
      <c r="N865">
        <f ca="1">qry_ProdData2_PDI_Cash_Exception_Application[[#This Row],[TODAY]]-qry_ProdData2_PDI_Cash_Exception_Application[[#This Row],[CHANGED ON]]</f>
        <v>8.7429282407392748</v>
      </c>
    </row>
    <row r="866" spans="1:14" x14ac:dyDescent="0.35">
      <c r="A866">
        <v>1022</v>
      </c>
      <c r="B866" t="s">
        <v>76</v>
      </c>
      <c r="C866" s="1">
        <v>45190.257071759261</v>
      </c>
      <c r="D866" t="str">
        <f ca="1">VLOOKUP(qry_ProdData2_PDI_Cash_Exception_Application[[#This Row],[TYPE]],#REF!,2,FALSE)</f>
        <v>type40</v>
      </c>
      <c r="E866">
        <v>-313.7</v>
      </c>
      <c r="F866" t="s">
        <v>52</v>
      </c>
      <c r="G866" s="1">
        <f>qry_ProdData2_PDI_Cash_Exception_Application[[#This Row],[INSERT DATE]]+5</f>
        <v>45195.257071759261</v>
      </c>
      <c r="H866" t="str">
        <f>VLOOKUP(qry_ProdData2_PDI_Cash_Exception_Application[[#This Row],[MARKET No]],'Site Allocation'!$B$2:$C$37,2,FALSE)</f>
        <v>Analyst4</v>
      </c>
      <c r="I866" s="4">
        <f t="shared" ca="1" si="13"/>
        <v>45203</v>
      </c>
      <c r="J866" s="42">
        <f ca="1">TODAY()-qry_ProdData2_PDI_Cash_Exception_Application[[#This Row],[INSERT DATE]]</f>
        <v>12.742928240739275</v>
      </c>
      <c r="K8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66">
        <f ca="1">qry_ProdData2_PDI_Cash_Exception_Application[[#This Row],[TODAY]]-qry_ProdData2_PDI_Cash_Exception_Application[[#This Row],[CHANGED ON]]</f>
        <v>7.7429282407392748</v>
      </c>
      <c r="M866">
        <f ca="1">qry_ProdData2_PDI_Cash_Exception_Application[[#This Row],[TODAY]]-qry_ProdData2_PDI_Cash_Exception_Application[[#This Row],[CHANGED ON]]</f>
        <v>7.7429282407392748</v>
      </c>
      <c r="N866">
        <f ca="1">qry_ProdData2_PDI_Cash_Exception_Application[[#This Row],[TODAY]]-qry_ProdData2_PDI_Cash_Exception_Application[[#This Row],[CHANGED ON]]</f>
        <v>7.7429282407392748</v>
      </c>
    </row>
    <row r="867" spans="1:14" x14ac:dyDescent="0.35">
      <c r="A867">
        <v>1026</v>
      </c>
      <c r="B867" t="s">
        <v>80</v>
      </c>
      <c r="C867" s="1">
        <v>45190.257071759261</v>
      </c>
      <c r="D867" t="str">
        <f ca="1">VLOOKUP(qry_ProdData2_PDI_Cash_Exception_Application[[#This Row],[TYPE]],#REF!,2,FALSE)</f>
        <v>type7</v>
      </c>
      <c r="E867">
        <v>-1194.56</v>
      </c>
      <c r="F867" t="s">
        <v>50</v>
      </c>
      <c r="G867" s="1">
        <f>qry_ProdData2_PDI_Cash_Exception_Application[[#This Row],[INSERT DATE]]+5</f>
        <v>45195.257071759261</v>
      </c>
      <c r="H867" t="str">
        <f>VLOOKUP(qry_ProdData2_PDI_Cash_Exception_Application[[#This Row],[MARKET No]],'Site Allocation'!$B$2:$C$37,2,FALSE)</f>
        <v>Analyst5</v>
      </c>
      <c r="I867" s="4">
        <f t="shared" ca="1" si="13"/>
        <v>45203</v>
      </c>
      <c r="J867" s="42">
        <f ca="1">TODAY()-qry_ProdData2_PDI_Cash_Exception_Application[[#This Row],[INSERT DATE]]</f>
        <v>12.742928240739275</v>
      </c>
      <c r="K8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67">
        <f ca="1">qry_ProdData2_PDI_Cash_Exception_Application[[#This Row],[TODAY]]-qry_ProdData2_PDI_Cash_Exception_Application[[#This Row],[CHANGED ON]]</f>
        <v>7.7429282407392748</v>
      </c>
      <c r="M867">
        <f ca="1">qry_ProdData2_PDI_Cash_Exception_Application[[#This Row],[TODAY]]-qry_ProdData2_PDI_Cash_Exception_Application[[#This Row],[CHANGED ON]]</f>
        <v>7.7429282407392748</v>
      </c>
      <c r="N867">
        <f ca="1">qry_ProdData2_PDI_Cash_Exception_Application[[#This Row],[TODAY]]-qry_ProdData2_PDI_Cash_Exception_Application[[#This Row],[CHANGED ON]]</f>
        <v>7.7429282407392748</v>
      </c>
    </row>
    <row r="868" spans="1:14" x14ac:dyDescent="0.35">
      <c r="A868">
        <v>1030</v>
      </c>
      <c r="B868" t="s">
        <v>84</v>
      </c>
      <c r="C868" s="1">
        <v>45190.257071759261</v>
      </c>
      <c r="D868" t="str">
        <f ca="1">VLOOKUP(qry_ProdData2_PDI_Cash_Exception_Application[[#This Row],[TYPE]],#REF!,2,FALSE)</f>
        <v>type40</v>
      </c>
      <c r="E868">
        <v>447.92</v>
      </c>
      <c r="F868" t="s">
        <v>47</v>
      </c>
      <c r="G868" s="1">
        <f>qry_ProdData2_PDI_Cash_Exception_Application[[#This Row],[INSERT DATE]]+5</f>
        <v>45195.257071759261</v>
      </c>
      <c r="H868" t="str">
        <f>VLOOKUP(qry_ProdData2_PDI_Cash_Exception_Application[[#This Row],[MARKET No]],'Site Allocation'!$B$2:$C$37,2,FALSE)</f>
        <v>Analyst6</v>
      </c>
      <c r="I868" s="4">
        <f t="shared" ca="1" si="13"/>
        <v>45203</v>
      </c>
      <c r="J868" s="42">
        <f ca="1">TODAY()-qry_ProdData2_PDI_Cash_Exception_Application[[#This Row],[INSERT DATE]]</f>
        <v>12.742928240739275</v>
      </c>
      <c r="K8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68">
        <f ca="1">qry_ProdData2_PDI_Cash_Exception_Application[[#This Row],[TODAY]]-qry_ProdData2_PDI_Cash_Exception_Application[[#This Row],[CHANGED ON]]</f>
        <v>7.7429282407392748</v>
      </c>
      <c r="M868">
        <f ca="1">qry_ProdData2_PDI_Cash_Exception_Application[[#This Row],[TODAY]]-qry_ProdData2_PDI_Cash_Exception_Application[[#This Row],[CHANGED ON]]</f>
        <v>7.7429282407392748</v>
      </c>
      <c r="N868">
        <f ca="1">qry_ProdData2_PDI_Cash_Exception_Application[[#This Row],[TODAY]]-qry_ProdData2_PDI_Cash_Exception_Application[[#This Row],[CHANGED ON]]</f>
        <v>7.7429282407392748</v>
      </c>
    </row>
    <row r="869" spans="1:14" x14ac:dyDescent="0.35">
      <c r="A869">
        <v>1001</v>
      </c>
      <c r="B869" t="s">
        <v>55</v>
      </c>
      <c r="C869" s="1">
        <v>45191.257071759261</v>
      </c>
      <c r="D869" t="str">
        <f ca="1">VLOOKUP(qry_ProdData2_PDI_Cash_Exception_Application[[#This Row],[TYPE]],#REF!,2,FALSE)</f>
        <v>type40</v>
      </c>
      <c r="E869">
        <v>686.99</v>
      </c>
      <c r="F869" t="s">
        <v>49</v>
      </c>
      <c r="G869" s="1">
        <f>qry_ProdData2_PDI_Cash_Exception_Application[[#This Row],[INSERT DATE]]+7</f>
        <v>45198.257071759261</v>
      </c>
      <c r="H869" t="str">
        <f>VLOOKUP(qry_ProdData2_PDI_Cash_Exception_Application[[#This Row],[MARKET No]],'Site Allocation'!$B$2:$C$37,2,FALSE)</f>
        <v>Analyst1</v>
      </c>
      <c r="I869" s="4">
        <f t="shared" ca="1" si="13"/>
        <v>45203</v>
      </c>
      <c r="J869" s="42">
        <f ca="1">TODAY()-qry_ProdData2_PDI_Cash_Exception_Application[[#This Row],[INSERT DATE]]</f>
        <v>11.742928240739275</v>
      </c>
      <c r="K8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69">
        <f ca="1">qry_ProdData2_PDI_Cash_Exception_Application[[#This Row],[TODAY]]-qry_ProdData2_PDI_Cash_Exception_Application[[#This Row],[CHANGED ON]]</f>
        <v>4.7429282407392748</v>
      </c>
      <c r="M869">
        <f ca="1">qry_ProdData2_PDI_Cash_Exception_Application[[#This Row],[TODAY]]-qry_ProdData2_PDI_Cash_Exception_Application[[#This Row],[CHANGED ON]]</f>
        <v>4.7429282407392748</v>
      </c>
      <c r="N869">
        <f ca="1">qry_ProdData2_PDI_Cash_Exception_Application[[#This Row],[TODAY]]-qry_ProdData2_PDI_Cash_Exception_Application[[#This Row],[CHANGED ON]]</f>
        <v>4.7429282407392748</v>
      </c>
    </row>
    <row r="870" spans="1:14" x14ac:dyDescent="0.35">
      <c r="A870">
        <v>1006</v>
      </c>
      <c r="B870" t="s">
        <v>60</v>
      </c>
      <c r="C870" s="1">
        <v>45184.257071759261</v>
      </c>
      <c r="D870" t="str">
        <f ca="1">VLOOKUP(qry_ProdData2_PDI_Cash_Exception_Application[[#This Row],[TYPE]],#REF!,2,FALSE)</f>
        <v>type40</v>
      </c>
      <c r="E870">
        <v>-2107.62</v>
      </c>
      <c r="F870" t="s">
        <v>49</v>
      </c>
      <c r="G870" s="1">
        <f>qry_ProdData2_PDI_Cash_Exception_Application[[#This Row],[INSERT DATE]]+1</f>
        <v>45185.257071759261</v>
      </c>
      <c r="H870" t="str">
        <f>VLOOKUP(qry_ProdData2_PDI_Cash_Exception_Application[[#This Row],[MARKET No]],'Site Allocation'!$B$2:$C$37,2,FALSE)</f>
        <v>Analyst2</v>
      </c>
      <c r="I870" s="4">
        <f t="shared" ca="1" si="13"/>
        <v>45203</v>
      </c>
      <c r="J870" s="42">
        <f ca="1">TODAY()-qry_ProdData2_PDI_Cash_Exception_Application[[#This Row],[INSERT DATE]]</f>
        <v>18.742928240739275</v>
      </c>
      <c r="K8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70">
        <f ca="1">qry_ProdData2_PDI_Cash_Exception_Application[[#This Row],[TODAY]]-qry_ProdData2_PDI_Cash_Exception_Application[[#This Row],[CHANGED ON]]</f>
        <v>17.742928240739275</v>
      </c>
      <c r="M870">
        <f ca="1">qry_ProdData2_PDI_Cash_Exception_Application[[#This Row],[TODAY]]-qry_ProdData2_PDI_Cash_Exception_Application[[#This Row],[CHANGED ON]]</f>
        <v>17.742928240739275</v>
      </c>
      <c r="N870">
        <f ca="1">qry_ProdData2_PDI_Cash_Exception_Application[[#This Row],[TODAY]]-qry_ProdData2_PDI_Cash_Exception_Application[[#This Row],[CHANGED ON]]</f>
        <v>17.742928240739275</v>
      </c>
    </row>
    <row r="871" spans="1:14" x14ac:dyDescent="0.35">
      <c r="A871">
        <v>1002</v>
      </c>
      <c r="B871" t="s">
        <v>56</v>
      </c>
      <c r="C871" s="1">
        <v>45190.257071759261</v>
      </c>
      <c r="D871" t="str">
        <f ca="1">VLOOKUP(qry_ProdData2_PDI_Cash_Exception_Application[[#This Row],[TYPE]],#REF!,2,FALSE)</f>
        <v>type40</v>
      </c>
      <c r="E871">
        <v>4458.1000000000004</v>
      </c>
      <c r="F871" t="s">
        <v>47</v>
      </c>
      <c r="G871" s="1">
        <f>qry_ProdData2_PDI_Cash_Exception_Application[[#This Row],[INSERT DATE]]+7</f>
        <v>45197.257071759261</v>
      </c>
      <c r="H871" t="str">
        <f>VLOOKUP(qry_ProdData2_PDI_Cash_Exception_Application[[#This Row],[MARKET No]],'Site Allocation'!$B$2:$C$37,2,FALSE)</f>
        <v>Analyst1</v>
      </c>
      <c r="I871" s="4">
        <f t="shared" ca="1" si="13"/>
        <v>45203</v>
      </c>
      <c r="J871" s="42">
        <f ca="1">TODAY()-qry_ProdData2_PDI_Cash_Exception_Application[[#This Row],[INSERT DATE]]</f>
        <v>12.742928240739275</v>
      </c>
      <c r="K8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71">
        <f ca="1">qry_ProdData2_PDI_Cash_Exception_Application[[#This Row],[TODAY]]-qry_ProdData2_PDI_Cash_Exception_Application[[#This Row],[CHANGED ON]]</f>
        <v>5.7429282407392748</v>
      </c>
      <c r="M871">
        <f ca="1">qry_ProdData2_PDI_Cash_Exception_Application[[#This Row],[TODAY]]-qry_ProdData2_PDI_Cash_Exception_Application[[#This Row],[CHANGED ON]]</f>
        <v>5.7429282407392748</v>
      </c>
      <c r="N871">
        <f ca="1">qry_ProdData2_PDI_Cash_Exception_Application[[#This Row],[TODAY]]-qry_ProdData2_PDI_Cash_Exception_Application[[#This Row],[CHANGED ON]]</f>
        <v>5.7429282407392748</v>
      </c>
    </row>
    <row r="872" spans="1:14" x14ac:dyDescent="0.35">
      <c r="A872">
        <v>1032</v>
      </c>
      <c r="B872" t="s">
        <v>86</v>
      </c>
      <c r="C872" s="1">
        <v>45189.257071759261</v>
      </c>
      <c r="D872" t="str">
        <f ca="1">VLOOKUP(qry_ProdData2_PDI_Cash_Exception_Application[[#This Row],[TYPE]],#REF!,2,FALSE)</f>
        <v>type40</v>
      </c>
      <c r="E872">
        <v>-1127.02</v>
      </c>
      <c r="F872" t="s">
        <v>49</v>
      </c>
      <c r="G872" s="1">
        <f>qry_ProdData2_PDI_Cash_Exception_Application[[#This Row],[INSERT DATE]]+1</f>
        <v>45190.257071759261</v>
      </c>
      <c r="H872" t="str">
        <f>VLOOKUP(qry_ProdData2_PDI_Cash_Exception_Application[[#This Row],[MARKET No]],'Site Allocation'!$B$2:$C$37,2,FALSE)</f>
        <v>Analyst6</v>
      </c>
      <c r="I872" s="4">
        <f t="shared" ca="1" si="13"/>
        <v>45203</v>
      </c>
      <c r="J872" s="42">
        <f ca="1">TODAY()-qry_ProdData2_PDI_Cash_Exception_Application[[#This Row],[INSERT DATE]]</f>
        <v>13.742928240739275</v>
      </c>
      <c r="K8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72">
        <f ca="1">qry_ProdData2_PDI_Cash_Exception_Application[[#This Row],[TODAY]]-qry_ProdData2_PDI_Cash_Exception_Application[[#This Row],[CHANGED ON]]</f>
        <v>12.742928240739275</v>
      </c>
      <c r="M872">
        <f ca="1">qry_ProdData2_PDI_Cash_Exception_Application[[#This Row],[TODAY]]-qry_ProdData2_PDI_Cash_Exception_Application[[#This Row],[CHANGED ON]]</f>
        <v>12.742928240739275</v>
      </c>
      <c r="N872">
        <f ca="1">qry_ProdData2_PDI_Cash_Exception_Application[[#This Row],[TODAY]]-qry_ProdData2_PDI_Cash_Exception_Application[[#This Row],[CHANGED ON]]</f>
        <v>12.742928240739275</v>
      </c>
    </row>
    <row r="873" spans="1:14" x14ac:dyDescent="0.35">
      <c r="A873">
        <v>1009</v>
      </c>
      <c r="B873" t="s">
        <v>63</v>
      </c>
      <c r="C873" s="1">
        <v>45192.257071759261</v>
      </c>
      <c r="D873" t="str">
        <f ca="1">VLOOKUP(qry_ProdData2_PDI_Cash_Exception_Application[[#This Row],[TYPE]],#REF!,2,FALSE)</f>
        <v>type13</v>
      </c>
      <c r="E873">
        <v>25348.66</v>
      </c>
      <c r="F873" t="s">
        <v>47</v>
      </c>
      <c r="G873" s="1">
        <f>qry_ProdData2_PDI_Cash_Exception_Application[[#This Row],[INSERT DATE]]+7</f>
        <v>45199.257071759261</v>
      </c>
      <c r="H873" t="str">
        <f>VLOOKUP(qry_ProdData2_PDI_Cash_Exception_Application[[#This Row],[MARKET No]],'Site Allocation'!$B$2:$C$37,2,FALSE)</f>
        <v>Analyst2</v>
      </c>
      <c r="I873" s="4">
        <f t="shared" ca="1" si="13"/>
        <v>45203</v>
      </c>
      <c r="J873" s="42">
        <f ca="1">TODAY()-qry_ProdData2_PDI_Cash_Exception_Application[[#This Row],[INSERT DATE]]</f>
        <v>10.742928240739275</v>
      </c>
      <c r="K8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73">
        <f ca="1">qry_ProdData2_PDI_Cash_Exception_Application[[#This Row],[TODAY]]-qry_ProdData2_PDI_Cash_Exception_Application[[#This Row],[CHANGED ON]]</f>
        <v>3.7429282407392748</v>
      </c>
      <c r="M873">
        <f ca="1">qry_ProdData2_PDI_Cash_Exception_Application[[#This Row],[TODAY]]-qry_ProdData2_PDI_Cash_Exception_Application[[#This Row],[CHANGED ON]]</f>
        <v>3.7429282407392748</v>
      </c>
      <c r="N873">
        <f ca="1">qry_ProdData2_PDI_Cash_Exception_Application[[#This Row],[TODAY]]-qry_ProdData2_PDI_Cash_Exception_Application[[#This Row],[CHANGED ON]]</f>
        <v>3.7429282407392748</v>
      </c>
    </row>
    <row r="874" spans="1:14" x14ac:dyDescent="0.35">
      <c r="A874">
        <v>1035</v>
      </c>
      <c r="B874" t="s">
        <v>89</v>
      </c>
      <c r="C874" s="1">
        <v>45190.257071759261</v>
      </c>
      <c r="D874" t="str">
        <f ca="1">VLOOKUP(qry_ProdData2_PDI_Cash_Exception_Application[[#This Row],[TYPE]],#REF!,2,FALSE)</f>
        <v>type40</v>
      </c>
      <c r="E874">
        <v>-500.12</v>
      </c>
      <c r="F874" t="s">
        <v>51</v>
      </c>
      <c r="G874" s="1">
        <f>qry_ProdData2_PDI_Cash_Exception_Application[[#This Row],[INSERT DATE]]+2</f>
        <v>45192.257071759261</v>
      </c>
      <c r="H874" t="str">
        <f>VLOOKUP(qry_ProdData2_PDI_Cash_Exception_Application[[#This Row],[MARKET No]],'Site Allocation'!$B$2:$C$37,2,FALSE)</f>
        <v>Analyst6</v>
      </c>
      <c r="I874" s="4">
        <f t="shared" ca="1" si="13"/>
        <v>45203</v>
      </c>
      <c r="J874" s="42">
        <f ca="1">TODAY()-qry_ProdData2_PDI_Cash_Exception_Application[[#This Row],[INSERT DATE]]</f>
        <v>12.742928240739275</v>
      </c>
      <c r="K8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74">
        <f ca="1">qry_ProdData2_PDI_Cash_Exception_Application[[#This Row],[TODAY]]-qry_ProdData2_PDI_Cash_Exception_Application[[#This Row],[CHANGED ON]]</f>
        <v>10.742928240739275</v>
      </c>
      <c r="M874">
        <f ca="1">qry_ProdData2_PDI_Cash_Exception_Application[[#This Row],[TODAY]]-qry_ProdData2_PDI_Cash_Exception_Application[[#This Row],[CHANGED ON]]</f>
        <v>10.742928240739275</v>
      </c>
      <c r="N874">
        <f ca="1">qry_ProdData2_PDI_Cash_Exception_Application[[#This Row],[TODAY]]-qry_ProdData2_PDI_Cash_Exception_Application[[#This Row],[CHANGED ON]]</f>
        <v>10.742928240739275</v>
      </c>
    </row>
    <row r="875" spans="1:14" x14ac:dyDescent="0.35">
      <c r="A875">
        <v>1023</v>
      </c>
      <c r="B875" t="s">
        <v>77</v>
      </c>
      <c r="C875" s="1">
        <v>45184.257071759261</v>
      </c>
      <c r="D875" t="str">
        <f ca="1">VLOOKUP(qry_ProdData2_PDI_Cash_Exception_Application[[#This Row],[TYPE]],#REF!,2,FALSE)</f>
        <v>type40</v>
      </c>
      <c r="E875">
        <v>443.98</v>
      </c>
      <c r="F875" t="s">
        <v>47</v>
      </c>
      <c r="G875" s="1">
        <f>qry_ProdData2_PDI_Cash_Exception_Application[[#This Row],[INSERT DATE]]+1</f>
        <v>45185.257071759261</v>
      </c>
      <c r="H875" t="str">
        <f>VLOOKUP(qry_ProdData2_PDI_Cash_Exception_Application[[#This Row],[MARKET No]],'Site Allocation'!$B$2:$C$37,2,FALSE)</f>
        <v>Analyst4</v>
      </c>
      <c r="I875" s="4">
        <f t="shared" ca="1" si="13"/>
        <v>45203</v>
      </c>
      <c r="J875" s="42">
        <f ca="1">TODAY()-qry_ProdData2_PDI_Cash_Exception_Application[[#This Row],[INSERT DATE]]</f>
        <v>18.742928240739275</v>
      </c>
      <c r="K8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75">
        <f ca="1">qry_ProdData2_PDI_Cash_Exception_Application[[#This Row],[TODAY]]-qry_ProdData2_PDI_Cash_Exception_Application[[#This Row],[CHANGED ON]]</f>
        <v>17.742928240739275</v>
      </c>
      <c r="M875">
        <f ca="1">qry_ProdData2_PDI_Cash_Exception_Application[[#This Row],[TODAY]]-qry_ProdData2_PDI_Cash_Exception_Application[[#This Row],[CHANGED ON]]</f>
        <v>17.742928240739275</v>
      </c>
      <c r="N875">
        <f ca="1">qry_ProdData2_PDI_Cash_Exception_Application[[#This Row],[TODAY]]-qry_ProdData2_PDI_Cash_Exception_Application[[#This Row],[CHANGED ON]]</f>
        <v>17.742928240739275</v>
      </c>
    </row>
    <row r="876" spans="1:14" x14ac:dyDescent="0.35">
      <c r="A876">
        <v>1004</v>
      </c>
      <c r="B876" t="s">
        <v>58</v>
      </c>
      <c r="C876" s="1">
        <v>45186.257071759261</v>
      </c>
      <c r="D876" t="str">
        <f ca="1">VLOOKUP(qry_ProdData2_PDI_Cash_Exception_Application[[#This Row],[TYPE]],#REF!,2,FALSE)</f>
        <v>type40</v>
      </c>
      <c r="E876">
        <v>-434.21</v>
      </c>
      <c r="F876" t="s">
        <v>49</v>
      </c>
      <c r="G876" s="1">
        <f>qry_ProdData2_PDI_Cash_Exception_Application[[#This Row],[INSERT DATE]]+2</f>
        <v>45188.257071759261</v>
      </c>
      <c r="H876" t="str">
        <f>VLOOKUP(qry_ProdData2_PDI_Cash_Exception_Application[[#This Row],[MARKET No]],'Site Allocation'!$B$2:$C$37,2,FALSE)</f>
        <v>Analyst1</v>
      </c>
      <c r="I876" s="4">
        <f t="shared" ca="1" si="13"/>
        <v>45203</v>
      </c>
      <c r="J876" s="42">
        <f ca="1">TODAY()-qry_ProdData2_PDI_Cash_Exception_Application[[#This Row],[INSERT DATE]]</f>
        <v>16.742928240739275</v>
      </c>
      <c r="K8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76">
        <f ca="1">qry_ProdData2_PDI_Cash_Exception_Application[[#This Row],[TODAY]]-qry_ProdData2_PDI_Cash_Exception_Application[[#This Row],[CHANGED ON]]</f>
        <v>14.742928240739275</v>
      </c>
      <c r="M876">
        <f ca="1">qry_ProdData2_PDI_Cash_Exception_Application[[#This Row],[TODAY]]-qry_ProdData2_PDI_Cash_Exception_Application[[#This Row],[CHANGED ON]]</f>
        <v>14.742928240739275</v>
      </c>
      <c r="N876">
        <f ca="1">qry_ProdData2_PDI_Cash_Exception_Application[[#This Row],[TODAY]]-qry_ProdData2_PDI_Cash_Exception_Application[[#This Row],[CHANGED ON]]</f>
        <v>14.742928240739275</v>
      </c>
    </row>
    <row r="877" spans="1:14" x14ac:dyDescent="0.35">
      <c r="A877">
        <v>1005</v>
      </c>
      <c r="B877" t="s">
        <v>59</v>
      </c>
      <c r="C877" s="1">
        <v>45181.257071759261</v>
      </c>
      <c r="D877" t="str">
        <f ca="1">VLOOKUP(qry_ProdData2_PDI_Cash_Exception_Application[[#This Row],[TYPE]],#REF!,2,FALSE)</f>
        <v>type40</v>
      </c>
      <c r="E877">
        <v>-741.48</v>
      </c>
      <c r="F877" t="s">
        <v>52</v>
      </c>
      <c r="G877" s="1">
        <f>qry_ProdData2_PDI_Cash_Exception_Application[[#This Row],[INSERT DATE]]+7</f>
        <v>45188.257071759261</v>
      </c>
      <c r="H877" t="str">
        <f>VLOOKUP(qry_ProdData2_PDI_Cash_Exception_Application[[#This Row],[MARKET No]],'Site Allocation'!$B$2:$C$37,2,FALSE)</f>
        <v>Analyst1</v>
      </c>
      <c r="I877" s="4">
        <f t="shared" ca="1" si="13"/>
        <v>45203</v>
      </c>
      <c r="J877" s="42">
        <f ca="1">TODAY()-qry_ProdData2_PDI_Cash_Exception_Application[[#This Row],[INSERT DATE]]</f>
        <v>21.742928240739275</v>
      </c>
      <c r="K8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77">
        <f ca="1">qry_ProdData2_PDI_Cash_Exception_Application[[#This Row],[TODAY]]-qry_ProdData2_PDI_Cash_Exception_Application[[#This Row],[CHANGED ON]]</f>
        <v>14.742928240739275</v>
      </c>
      <c r="M877">
        <f ca="1">qry_ProdData2_PDI_Cash_Exception_Application[[#This Row],[TODAY]]-qry_ProdData2_PDI_Cash_Exception_Application[[#This Row],[CHANGED ON]]</f>
        <v>14.742928240739275</v>
      </c>
      <c r="N877">
        <f ca="1">qry_ProdData2_PDI_Cash_Exception_Application[[#This Row],[TODAY]]-qry_ProdData2_PDI_Cash_Exception_Application[[#This Row],[CHANGED ON]]</f>
        <v>14.742928240739275</v>
      </c>
    </row>
    <row r="878" spans="1:14" x14ac:dyDescent="0.35">
      <c r="A878">
        <v>1001</v>
      </c>
      <c r="B878" t="s">
        <v>55</v>
      </c>
      <c r="C878" s="1">
        <v>45188.257071759261</v>
      </c>
      <c r="D878" t="str">
        <f ca="1">VLOOKUP(qry_ProdData2_PDI_Cash_Exception_Application[[#This Row],[TYPE]],#REF!,2,FALSE)</f>
        <v>type28</v>
      </c>
      <c r="E878">
        <v>175.6</v>
      </c>
      <c r="F878" t="s">
        <v>47</v>
      </c>
      <c r="G878" s="1">
        <f>qry_ProdData2_PDI_Cash_Exception_Application[[#This Row],[INSERT DATE]]+2</f>
        <v>45190.257071759261</v>
      </c>
      <c r="H878" t="str">
        <f>VLOOKUP(qry_ProdData2_PDI_Cash_Exception_Application[[#This Row],[MARKET No]],'Site Allocation'!$B$2:$C$37,2,FALSE)</f>
        <v>Analyst1</v>
      </c>
      <c r="I878" s="4">
        <f t="shared" ca="1" si="13"/>
        <v>45203</v>
      </c>
      <c r="J878" s="42">
        <f ca="1">TODAY()-qry_ProdData2_PDI_Cash_Exception_Application[[#This Row],[INSERT DATE]]</f>
        <v>14.742928240739275</v>
      </c>
      <c r="K8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78">
        <f ca="1">qry_ProdData2_PDI_Cash_Exception_Application[[#This Row],[TODAY]]-qry_ProdData2_PDI_Cash_Exception_Application[[#This Row],[CHANGED ON]]</f>
        <v>12.742928240739275</v>
      </c>
      <c r="M878">
        <f ca="1">qry_ProdData2_PDI_Cash_Exception_Application[[#This Row],[TODAY]]-qry_ProdData2_PDI_Cash_Exception_Application[[#This Row],[CHANGED ON]]</f>
        <v>12.742928240739275</v>
      </c>
      <c r="N878">
        <f ca="1">qry_ProdData2_PDI_Cash_Exception_Application[[#This Row],[TODAY]]-qry_ProdData2_PDI_Cash_Exception_Application[[#This Row],[CHANGED ON]]</f>
        <v>12.742928240739275</v>
      </c>
    </row>
    <row r="879" spans="1:14" x14ac:dyDescent="0.35">
      <c r="A879">
        <v>1008</v>
      </c>
      <c r="B879" t="s">
        <v>62</v>
      </c>
      <c r="C879" s="1">
        <v>45190.257071759261</v>
      </c>
      <c r="D879" t="str">
        <f ca="1">VLOOKUP(qry_ProdData2_PDI_Cash_Exception_Application[[#This Row],[TYPE]],#REF!,2,FALSE)</f>
        <v>type54</v>
      </c>
      <c r="E879">
        <v>-653.67999999999995</v>
      </c>
      <c r="F879" t="s">
        <v>48</v>
      </c>
      <c r="G879" s="1">
        <f>qry_ProdData2_PDI_Cash_Exception_Application[[#This Row],[INSERT DATE]]+2</f>
        <v>45192.257071759261</v>
      </c>
      <c r="H879" t="str">
        <f>VLOOKUP(qry_ProdData2_PDI_Cash_Exception_Application[[#This Row],[MARKET No]],'Site Allocation'!$B$2:$C$37,2,FALSE)</f>
        <v>Analyst2</v>
      </c>
      <c r="I879" s="4">
        <f t="shared" ca="1" si="13"/>
        <v>45203</v>
      </c>
      <c r="J879" s="42">
        <f ca="1">TODAY()-qry_ProdData2_PDI_Cash_Exception_Application[[#This Row],[INSERT DATE]]</f>
        <v>12.742928240739275</v>
      </c>
      <c r="K8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79">
        <f ca="1">qry_ProdData2_PDI_Cash_Exception_Application[[#This Row],[TODAY]]-qry_ProdData2_PDI_Cash_Exception_Application[[#This Row],[CHANGED ON]]</f>
        <v>10.742928240739275</v>
      </c>
      <c r="M879">
        <f ca="1">qry_ProdData2_PDI_Cash_Exception_Application[[#This Row],[TODAY]]-qry_ProdData2_PDI_Cash_Exception_Application[[#This Row],[CHANGED ON]]</f>
        <v>10.742928240739275</v>
      </c>
      <c r="N879">
        <f ca="1">qry_ProdData2_PDI_Cash_Exception_Application[[#This Row],[TODAY]]-qry_ProdData2_PDI_Cash_Exception_Application[[#This Row],[CHANGED ON]]</f>
        <v>10.742928240739275</v>
      </c>
    </row>
    <row r="880" spans="1:14" x14ac:dyDescent="0.35">
      <c r="A880">
        <v>1026</v>
      </c>
      <c r="B880" t="s">
        <v>80</v>
      </c>
      <c r="C880" s="1">
        <v>45187.257071759261</v>
      </c>
      <c r="D880" t="str">
        <f ca="1">VLOOKUP(qry_ProdData2_PDI_Cash_Exception_Application[[#This Row],[TYPE]],#REF!,2,FALSE)</f>
        <v>type40</v>
      </c>
      <c r="E880">
        <v>2311.09</v>
      </c>
      <c r="F880" t="s">
        <v>49</v>
      </c>
      <c r="G880" s="1">
        <f>qry_ProdData2_PDI_Cash_Exception_Application[[#This Row],[INSERT DATE]]+2</f>
        <v>45189.257071759261</v>
      </c>
      <c r="H880" t="str">
        <f>VLOOKUP(qry_ProdData2_PDI_Cash_Exception_Application[[#This Row],[MARKET No]],'Site Allocation'!$B$2:$C$37,2,FALSE)</f>
        <v>Analyst5</v>
      </c>
      <c r="I880" s="4">
        <f t="shared" ca="1" si="13"/>
        <v>45203</v>
      </c>
      <c r="J880" s="42">
        <f ca="1">TODAY()-qry_ProdData2_PDI_Cash_Exception_Application[[#This Row],[INSERT DATE]]</f>
        <v>15.742928240739275</v>
      </c>
      <c r="K8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80">
        <f ca="1">qry_ProdData2_PDI_Cash_Exception_Application[[#This Row],[TODAY]]-qry_ProdData2_PDI_Cash_Exception_Application[[#This Row],[CHANGED ON]]</f>
        <v>13.742928240739275</v>
      </c>
      <c r="M880">
        <f ca="1">qry_ProdData2_PDI_Cash_Exception_Application[[#This Row],[TODAY]]-qry_ProdData2_PDI_Cash_Exception_Application[[#This Row],[CHANGED ON]]</f>
        <v>13.742928240739275</v>
      </c>
      <c r="N880">
        <f ca="1">qry_ProdData2_PDI_Cash_Exception_Application[[#This Row],[TODAY]]-qry_ProdData2_PDI_Cash_Exception_Application[[#This Row],[CHANGED ON]]</f>
        <v>13.742928240739275</v>
      </c>
    </row>
    <row r="881" spans="1:14" x14ac:dyDescent="0.35">
      <c r="A881">
        <v>1032</v>
      </c>
      <c r="B881" t="s">
        <v>86</v>
      </c>
      <c r="C881" s="1">
        <v>45179.257071759261</v>
      </c>
      <c r="D881" t="str">
        <f ca="1">VLOOKUP(qry_ProdData2_PDI_Cash_Exception_Application[[#This Row],[TYPE]],#REF!,2,FALSE)</f>
        <v>type13</v>
      </c>
      <c r="E881">
        <v>29089</v>
      </c>
      <c r="F881" t="s">
        <v>48</v>
      </c>
      <c r="G881" s="1">
        <f>qry_ProdData2_PDI_Cash_Exception_Application[[#This Row],[INSERT DATE]]+5</f>
        <v>45184.257071759261</v>
      </c>
      <c r="H881" t="str">
        <f>VLOOKUP(qry_ProdData2_PDI_Cash_Exception_Application[[#This Row],[MARKET No]],'Site Allocation'!$B$2:$C$37,2,FALSE)</f>
        <v>Analyst6</v>
      </c>
      <c r="I881" s="4">
        <f t="shared" ca="1" si="13"/>
        <v>45203</v>
      </c>
      <c r="J881" s="42">
        <f ca="1">TODAY()-qry_ProdData2_PDI_Cash_Exception_Application[[#This Row],[INSERT DATE]]</f>
        <v>23.742928240739275</v>
      </c>
      <c r="K8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81">
        <f ca="1">qry_ProdData2_PDI_Cash_Exception_Application[[#This Row],[TODAY]]-qry_ProdData2_PDI_Cash_Exception_Application[[#This Row],[CHANGED ON]]</f>
        <v>18.742928240739275</v>
      </c>
      <c r="M881">
        <f ca="1">qry_ProdData2_PDI_Cash_Exception_Application[[#This Row],[TODAY]]-qry_ProdData2_PDI_Cash_Exception_Application[[#This Row],[CHANGED ON]]</f>
        <v>18.742928240739275</v>
      </c>
      <c r="N881">
        <f ca="1">qry_ProdData2_PDI_Cash_Exception_Application[[#This Row],[TODAY]]-qry_ProdData2_PDI_Cash_Exception_Application[[#This Row],[CHANGED ON]]</f>
        <v>18.742928240739275</v>
      </c>
    </row>
    <row r="882" spans="1:14" x14ac:dyDescent="0.35">
      <c r="A882">
        <v>1034</v>
      </c>
      <c r="B882" t="s">
        <v>88</v>
      </c>
      <c r="C882" s="1">
        <v>45185.257071759261</v>
      </c>
      <c r="D882" t="str">
        <f ca="1">VLOOKUP(qry_ProdData2_PDI_Cash_Exception_Application[[#This Row],[TYPE]],#REF!,2,FALSE)</f>
        <v>type40</v>
      </c>
      <c r="E882">
        <v>540.04999999999995</v>
      </c>
      <c r="F882" t="s">
        <v>47</v>
      </c>
      <c r="G882" s="1">
        <f>qry_ProdData2_PDI_Cash_Exception_Application[[#This Row],[INSERT DATE]]+2</f>
        <v>45187.257071759261</v>
      </c>
      <c r="H882" t="str">
        <f>VLOOKUP(qry_ProdData2_PDI_Cash_Exception_Application[[#This Row],[MARKET No]],'Site Allocation'!$B$2:$C$37,2,FALSE)</f>
        <v>Analyst6</v>
      </c>
      <c r="I882" s="4">
        <f t="shared" ca="1" si="13"/>
        <v>45203</v>
      </c>
      <c r="J882" s="42">
        <f ca="1">TODAY()-qry_ProdData2_PDI_Cash_Exception_Application[[#This Row],[INSERT DATE]]</f>
        <v>17.742928240739275</v>
      </c>
      <c r="K8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82">
        <f ca="1">qry_ProdData2_PDI_Cash_Exception_Application[[#This Row],[TODAY]]-qry_ProdData2_PDI_Cash_Exception_Application[[#This Row],[CHANGED ON]]</f>
        <v>15.742928240739275</v>
      </c>
      <c r="M882">
        <f ca="1">qry_ProdData2_PDI_Cash_Exception_Application[[#This Row],[TODAY]]-qry_ProdData2_PDI_Cash_Exception_Application[[#This Row],[CHANGED ON]]</f>
        <v>15.742928240739275</v>
      </c>
      <c r="N882">
        <f ca="1">qry_ProdData2_PDI_Cash_Exception_Application[[#This Row],[TODAY]]-qry_ProdData2_PDI_Cash_Exception_Application[[#This Row],[CHANGED ON]]</f>
        <v>15.742928240739275</v>
      </c>
    </row>
    <row r="883" spans="1:14" x14ac:dyDescent="0.35">
      <c r="A883">
        <v>1001</v>
      </c>
      <c r="B883" t="s">
        <v>55</v>
      </c>
      <c r="C883" s="1">
        <v>45188.257071759261</v>
      </c>
      <c r="D883" t="str">
        <f ca="1">VLOOKUP(qry_ProdData2_PDI_Cash_Exception_Application[[#This Row],[TYPE]],#REF!,2,FALSE)</f>
        <v>type13</v>
      </c>
      <c r="E883">
        <v>44089.47</v>
      </c>
      <c r="F883" t="s">
        <v>47</v>
      </c>
      <c r="G883" s="1">
        <f>qry_ProdData2_PDI_Cash_Exception_Application[[#This Row],[INSERT DATE]]+2</f>
        <v>45190.257071759261</v>
      </c>
      <c r="H883" t="str">
        <f>VLOOKUP(qry_ProdData2_PDI_Cash_Exception_Application[[#This Row],[MARKET No]],'Site Allocation'!$B$2:$C$37,2,FALSE)</f>
        <v>Analyst1</v>
      </c>
      <c r="I883" s="4">
        <f t="shared" ca="1" si="13"/>
        <v>45203</v>
      </c>
      <c r="J883" s="42">
        <f ca="1">TODAY()-qry_ProdData2_PDI_Cash_Exception_Application[[#This Row],[INSERT DATE]]</f>
        <v>14.742928240739275</v>
      </c>
      <c r="K8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83">
        <f ca="1">qry_ProdData2_PDI_Cash_Exception_Application[[#This Row],[TODAY]]-qry_ProdData2_PDI_Cash_Exception_Application[[#This Row],[CHANGED ON]]</f>
        <v>12.742928240739275</v>
      </c>
      <c r="M883">
        <f ca="1">qry_ProdData2_PDI_Cash_Exception_Application[[#This Row],[TODAY]]-qry_ProdData2_PDI_Cash_Exception_Application[[#This Row],[CHANGED ON]]</f>
        <v>12.742928240739275</v>
      </c>
      <c r="N883">
        <f ca="1">qry_ProdData2_PDI_Cash_Exception_Application[[#This Row],[TODAY]]-qry_ProdData2_PDI_Cash_Exception_Application[[#This Row],[CHANGED ON]]</f>
        <v>12.742928240739275</v>
      </c>
    </row>
    <row r="884" spans="1:14" x14ac:dyDescent="0.35">
      <c r="A884">
        <v>1019</v>
      </c>
      <c r="B884" t="s">
        <v>73</v>
      </c>
      <c r="C884" s="1">
        <v>45184.257071759261</v>
      </c>
      <c r="D884" t="str">
        <f ca="1">VLOOKUP(qry_ProdData2_PDI_Cash_Exception_Application[[#This Row],[TYPE]],#REF!,2,FALSE)</f>
        <v>type13</v>
      </c>
      <c r="E884">
        <v>15262</v>
      </c>
      <c r="F884" t="s">
        <v>48</v>
      </c>
      <c r="G884" s="1">
        <f>qry_ProdData2_PDI_Cash_Exception_Application[[#This Row],[INSERT DATE]]+5</f>
        <v>45189.257071759261</v>
      </c>
      <c r="H884" t="str">
        <f>VLOOKUP(qry_ProdData2_PDI_Cash_Exception_Application[[#This Row],[MARKET No]],'Site Allocation'!$B$2:$C$37,2,FALSE)</f>
        <v>Analyst4</v>
      </c>
      <c r="I884" s="4">
        <f t="shared" ca="1" si="13"/>
        <v>45203</v>
      </c>
      <c r="J884" s="42">
        <f ca="1">TODAY()-qry_ProdData2_PDI_Cash_Exception_Application[[#This Row],[INSERT DATE]]</f>
        <v>18.742928240739275</v>
      </c>
      <c r="K8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84">
        <f ca="1">qry_ProdData2_PDI_Cash_Exception_Application[[#This Row],[TODAY]]-qry_ProdData2_PDI_Cash_Exception_Application[[#This Row],[CHANGED ON]]</f>
        <v>13.742928240739275</v>
      </c>
      <c r="M884">
        <f ca="1">qry_ProdData2_PDI_Cash_Exception_Application[[#This Row],[TODAY]]-qry_ProdData2_PDI_Cash_Exception_Application[[#This Row],[CHANGED ON]]</f>
        <v>13.742928240739275</v>
      </c>
      <c r="N884">
        <f ca="1">qry_ProdData2_PDI_Cash_Exception_Application[[#This Row],[TODAY]]-qry_ProdData2_PDI_Cash_Exception_Application[[#This Row],[CHANGED ON]]</f>
        <v>13.742928240739275</v>
      </c>
    </row>
    <row r="885" spans="1:14" x14ac:dyDescent="0.35">
      <c r="A885">
        <v>1012</v>
      </c>
      <c r="B885" t="s">
        <v>66</v>
      </c>
      <c r="C885" s="1">
        <v>45187.257071759261</v>
      </c>
      <c r="D885" t="str">
        <f ca="1">VLOOKUP(qry_ProdData2_PDI_Cash_Exception_Application[[#This Row],[TYPE]],#REF!,2,FALSE)</f>
        <v>type40</v>
      </c>
      <c r="E885">
        <v>-540.36</v>
      </c>
      <c r="F885" t="s">
        <v>51</v>
      </c>
      <c r="G885" s="1">
        <f>qry_ProdData2_PDI_Cash_Exception_Application[[#This Row],[INSERT DATE]]+5</f>
        <v>45192.257071759261</v>
      </c>
      <c r="H885" t="str">
        <f>VLOOKUP(qry_ProdData2_PDI_Cash_Exception_Application[[#This Row],[MARKET No]],'Site Allocation'!$B$2:$C$37,2,FALSE)</f>
        <v>Analyst3</v>
      </c>
      <c r="I885" s="4">
        <f t="shared" ca="1" si="13"/>
        <v>45203</v>
      </c>
      <c r="J885" s="42">
        <f ca="1">TODAY()-qry_ProdData2_PDI_Cash_Exception_Application[[#This Row],[INSERT DATE]]</f>
        <v>15.742928240739275</v>
      </c>
      <c r="K8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85">
        <f ca="1">qry_ProdData2_PDI_Cash_Exception_Application[[#This Row],[TODAY]]-qry_ProdData2_PDI_Cash_Exception_Application[[#This Row],[CHANGED ON]]</f>
        <v>10.742928240739275</v>
      </c>
      <c r="M885">
        <f ca="1">qry_ProdData2_PDI_Cash_Exception_Application[[#This Row],[TODAY]]-qry_ProdData2_PDI_Cash_Exception_Application[[#This Row],[CHANGED ON]]</f>
        <v>10.742928240739275</v>
      </c>
      <c r="N885">
        <f ca="1">qry_ProdData2_PDI_Cash_Exception_Application[[#This Row],[TODAY]]-qry_ProdData2_PDI_Cash_Exception_Application[[#This Row],[CHANGED ON]]</f>
        <v>10.742928240739275</v>
      </c>
    </row>
    <row r="886" spans="1:14" x14ac:dyDescent="0.35">
      <c r="A886">
        <v>1010</v>
      </c>
      <c r="B886" t="s">
        <v>64</v>
      </c>
      <c r="C886" s="1">
        <v>45186.257071759261</v>
      </c>
      <c r="D886" t="str">
        <f ca="1">VLOOKUP(qry_ProdData2_PDI_Cash_Exception_Application[[#This Row],[TYPE]],#REF!,2,FALSE)</f>
        <v>type40</v>
      </c>
      <c r="E886">
        <v>2087.7399999999998</v>
      </c>
      <c r="F886" t="s">
        <v>50</v>
      </c>
      <c r="G886" s="1">
        <f>qry_ProdData2_PDI_Cash_Exception_Application[[#This Row],[INSERT DATE]]+7</f>
        <v>45193.257071759261</v>
      </c>
      <c r="H886" t="str">
        <f>VLOOKUP(qry_ProdData2_PDI_Cash_Exception_Application[[#This Row],[MARKET No]],'Site Allocation'!$B$2:$C$37,2,FALSE)</f>
        <v>Analyst2</v>
      </c>
      <c r="I886" s="4">
        <f t="shared" ca="1" si="13"/>
        <v>45203</v>
      </c>
      <c r="J886" s="42">
        <f ca="1">TODAY()-qry_ProdData2_PDI_Cash_Exception_Application[[#This Row],[INSERT DATE]]</f>
        <v>16.742928240739275</v>
      </c>
      <c r="K8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86">
        <f ca="1">qry_ProdData2_PDI_Cash_Exception_Application[[#This Row],[TODAY]]-qry_ProdData2_PDI_Cash_Exception_Application[[#This Row],[CHANGED ON]]</f>
        <v>9.7429282407392748</v>
      </c>
      <c r="M886">
        <f ca="1">qry_ProdData2_PDI_Cash_Exception_Application[[#This Row],[TODAY]]-qry_ProdData2_PDI_Cash_Exception_Application[[#This Row],[CHANGED ON]]</f>
        <v>9.7429282407392748</v>
      </c>
      <c r="N886">
        <f ca="1">qry_ProdData2_PDI_Cash_Exception_Application[[#This Row],[TODAY]]-qry_ProdData2_PDI_Cash_Exception_Application[[#This Row],[CHANGED ON]]</f>
        <v>9.7429282407392748</v>
      </c>
    </row>
    <row r="887" spans="1:14" x14ac:dyDescent="0.35">
      <c r="A887">
        <v>1009</v>
      </c>
      <c r="B887" t="s">
        <v>63</v>
      </c>
      <c r="C887" s="1">
        <v>45189.257071759261</v>
      </c>
      <c r="D887" t="str">
        <f ca="1">VLOOKUP(qry_ProdData2_PDI_Cash_Exception_Application[[#This Row],[TYPE]],#REF!,2,FALSE)</f>
        <v>type40</v>
      </c>
      <c r="E887">
        <v>-686.38</v>
      </c>
      <c r="F887" t="s">
        <v>49</v>
      </c>
      <c r="G887" s="1">
        <f>qry_ProdData2_PDI_Cash_Exception_Application[[#This Row],[INSERT DATE]]+2</f>
        <v>45191.257071759261</v>
      </c>
      <c r="H887" t="str">
        <f>VLOOKUP(qry_ProdData2_PDI_Cash_Exception_Application[[#This Row],[MARKET No]],'Site Allocation'!$B$2:$C$37,2,FALSE)</f>
        <v>Analyst2</v>
      </c>
      <c r="I887" s="4">
        <f t="shared" ca="1" si="13"/>
        <v>45203</v>
      </c>
      <c r="J887" s="42">
        <f ca="1">TODAY()-qry_ProdData2_PDI_Cash_Exception_Application[[#This Row],[INSERT DATE]]</f>
        <v>13.742928240739275</v>
      </c>
      <c r="K8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87">
        <f ca="1">qry_ProdData2_PDI_Cash_Exception_Application[[#This Row],[TODAY]]-qry_ProdData2_PDI_Cash_Exception_Application[[#This Row],[CHANGED ON]]</f>
        <v>11.742928240739275</v>
      </c>
      <c r="M887">
        <f ca="1">qry_ProdData2_PDI_Cash_Exception_Application[[#This Row],[TODAY]]-qry_ProdData2_PDI_Cash_Exception_Application[[#This Row],[CHANGED ON]]</f>
        <v>11.742928240739275</v>
      </c>
      <c r="N887">
        <f ca="1">qry_ProdData2_PDI_Cash_Exception_Application[[#This Row],[TODAY]]-qry_ProdData2_PDI_Cash_Exception_Application[[#This Row],[CHANGED ON]]</f>
        <v>11.742928240739275</v>
      </c>
    </row>
    <row r="888" spans="1:14" x14ac:dyDescent="0.35">
      <c r="A888">
        <v>1004</v>
      </c>
      <c r="B888" t="s">
        <v>58</v>
      </c>
      <c r="C888" s="1">
        <v>45192.257071759261</v>
      </c>
      <c r="D888" t="str">
        <f ca="1">VLOOKUP(qry_ProdData2_PDI_Cash_Exception_Application[[#This Row],[TYPE]],#REF!,2,FALSE)</f>
        <v>type6</v>
      </c>
      <c r="E888">
        <v>67</v>
      </c>
      <c r="F888" t="s">
        <v>47</v>
      </c>
      <c r="G888" s="1">
        <f>qry_ProdData2_PDI_Cash_Exception_Application[[#This Row],[INSERT DATE]]+2</f>
        <v>45194.257071759261</v>
      </c>
      <c r="H888" t="str">
        <f>VLOOKUP(qry_ProdData2_PDI_Cash_Exception_Application[[#This Row],[MARKET No]],'Site Allocation'!$B$2:$C$37,2,FALSE)</f>
        <v>Analyst1</v>
      </c>
      <c r="I888" s="4">
        <f t="shared" ca="1" si="13"/>
        <v>45203</v>
      </c>
      <c r="J888" s="42">
        <f ca="1">TODAY()-qry_ProdData2_PDI_Cash_Exception_Application[[#This Row],[INSERT DATE]]</f>
        <v>10.742928240739275</v>
      </c>
      <c r="K8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88">
        <f ca="1">qry_ProdData2_PDI_Cash_Exception_Application[[#This Row],[TODAY]]-qry_ProdData2_PDI_Cash_Exception_Application[[#This Row],[CHANGED ON]]</f>
        <v>8.7429282407392748</v>
      </c>
      <c r="M888">
        <f ca="1">qry_ProdData2_PDI_Cash_Exception_Application[[#This Row],[TODAY]]-qry_ProdData2_PDI_Cash_Exception_Application[[#This Row],[CHANGED ON]]</f>
        <v>8.7429282407392748</v>
      </c>
      <c r="N888">
        <f ca="1">qry_ProdData2_PDI_Cash_Exception_Application[[#This Row],[TODAY]]-qry_ProdData2_PDI_Cash_Exception_Application[[#This Row],[CHANGED ON]]</f>
        <v>8.7429282407392748</v>
      </c>
    </row>
    <row r="889" spans="1:14" x14ac:dyDescent="0.35">
      <c r="A889">
        <v>1017</v>
      </c>
      <c r="B889" t="s">
        <v>71</v>
      </c>
      <c r="C889" s="1">
        <v>45190.257071759261</v>
      </c>
      <c r="D889" t="str">
        <f ca="1">VLOOKUP(qry_ProdData2_PDI_Cash_Exception_Application[[#This Row],[TYPE]],#REF!,2,FALSE)</f>
        <v>type40</v>
      </c>
      <c r="E889">
        <v>-475.65</v>
      </c>
      <c r="F889" t="s">
        <v>49</v>
      </c>
      <c r="G889" s="1">
        <f>qry_ProdData2_PDI_Cash_Exception_Application[[#This Row],[INSERT DATE]]+7</f>
        <v>45197.257071759261</v>
      </c>
      <c r="H889" t="str">
        <f>VLOOKUP(qry_ProdData2_PDI_Cash_Exception_Application[[#This Row],[MARKET No]],'Site Allocation'!$B$2:$C$37,2,FALSE)</f>
        <v>Analyst3</v>
      </c>
      <c r="I889" s="4">
        <f t="shared" ca="1" si="13"/>
        <v>45203</v>
      </c>
      <c r="J889" s="42">
        <f ca="1">TODAY()-qry_ProdData2_PDI_Cash_Exception_Application[[#This Row],[INSERT DATE]]</f>
        <v>12.742928240739275</v>
      </c>
      <c r="K8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89">
        <f ca="1">qry_ProdData2_PDI_Cash_Exception_Application[[#This Row],[TODAY]]-qry_ProdData2_PDI_Cash_Exception_Application[[#This Row],[CHANGED ON]]</f>
        <v>5.7429282407392748</v>
      </c>
      <c r="M889">
        <f ca="1">qry_ProdData2_PDI_Cash_Exception_Application[[#This Row],[TODAY]]-qry_ProdData2_PDI_Cash_Exception_Application[[#This Row],[CHANGED ON]]</f>
        <v>5.7429282407392748</v>
      </c>
      <c r="N889">
        <f ca="1">qry_ProdData2_PDI_Cash_Exception_Application[[#This Row],[TODAY]]-qry_ProdData2_PDI_Cash_Exception_Application[[#This Row],[CHANGED ON]]</f>
        <v>5.7429282407392748</v>
      </c>
    </row>
    <row r="890" spans="1:14" x14ac:dyDescent="0.35">
      <c r="A890">
        <v>1001</v>
      </c>
      <c r="B890" t="s">
        <v>55</v>
      </c>
      <c r="C890" s="1">
        <v>45179.257071759261</v>
      </c>
      <c r="D890" t="str">
        <f ca="1">VLOOKUP(qry_ProdData2_PDI_Cash_Exception_Application[[#This Row],[TYPE]],#REF!,2,FALSE)</f>
        <v>type13</v>
      </c>
      <c r="E890">
        <v>27938.36</v>
      </c>
      <c r="F890" t="s">
        <v>47</v>
      </c>
      <c r="G890" s="1">
        <f>qry_ProdData2_PDI_Cash_Exception_Application[[#This Row],[INSERT DATE]]+5</f>
        <v>45184.257071759261</v>
      </c>
      <c r="H890" t="str">
        <f>VLOOKUP(qry_ProdData2_PDI_Cash_Exception_Application[[#This Row],[MARKET No]],'Site Allocation'!$B$2:$C$37,2,FALSE)</f>
        <v>Analyst1</v>
      </c>
      <c r="I890" s="4">
        <f t="shared" ca="1" si="13"/>
        <v>45203</v>
      </c>
      <c r="J890" s="42">
        <f ca="1">TODAY()-qry_ProdData2_PDI_Cash_Exception_Application[[#This Row],[INSERT DATE]]</f>
        <v>23.742928240739275</v>
      </c>
      <c r="K8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90">
        <f ca="1">qry_ProdData2_PDI_Cash_Exception_Application[[#This Row],[TODAY]]-qry_ProdData2_PDI_Cash_Exception_Application[[#This Row],[CHANGED ON]]</f>
        <v>18.742928240739275</v>
      </c>
      <c r="M890">
        <f ca="1">qry_ProdData2_PDI_Cash_Exception_Application[[#This Row],[TODAY]]-qry_ProdData2_PDI_Cash_Exception_Application[[#This Row],[CHANGED ON]]</f>
        <v>18.742928240739275</v>
      </c>
      <c r="N890">
        <f ca="1">qry_ProdData2_PDI_Cash_Exception_Application[[#This Row],[TODAY]]-qry_ProdData2_PDI_Cash_Exception_Application[[#This Row],[CHANGED ON]]</f>
        <v>18.742928240739275</v>
      </c>
    </row>
    <row r="891" spans="1:14" x14ac:dyDescent="0.35">
      <c r="A891">
        <v>1001</v>
      </c>
      <c r="B891" t="s">
        <v>55</v>
      </c>
      <c r="C891" s="1">
        <v>45189.257071759261</v>
      </c>
      <c r="D891" t="str">
        <f ca="1">VLOOKUP(qry_ProdData2_PDI_Cash_Exception_Application[[#This Row],[TYPE]],#REF!,2,FALSE)</f>
        <v>type40</v>
      </c>
      <c r="E891">
        <v>-382.16</v>
      </c>
      <c r="F891" t="s">
        <v>50</v>
      </c>
      <c r="G891" s="1">
        <f>qry_ProdData2_PDI_Cash_Exception_Application[[#This Row],[INSERT DATE]]+1</f>
        <v>45190.257071759261</v>
      </c>
      <c r="H891" t="str">
        <f>VLOOKUP(qry_ProdData2_PDI_Cash_Exception_Application[[#This Row],[MARKET No]],'Site Allocation'!$B$2:$C$37,2,FALSE)</f>
        <v>Analyst1</v>
      </c>
      <c r="I891" s="4">
        <f t="shared" ca="1" si="13"/>
        <v>45203</v>
      </c>
      <c r="J891" s="42">
        <f ca="1">TODAY()-qry_ProdData2_PDI_Cash_Exception_Application[[#This Row],[INSERT DATE]]</f>
        <v>13.742928240739275</v>
      </c>
      <c r="K8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91">
        <f ca="1">qry_ProdData2_PDI_Cash_Exception_Application[[#This Row],[TODAY]]-qry_ProdData2_PDI_Cash_Exception_Application[[#This Row],[CHANGED ON]]</f>
        <v>12.742928240739275</v>
      </c>
      <c r="M891">
        <f ca="1">qry_ProdData2_PDI_Cash_Exception_Application[[#This Row],[TODAY]]-qry_ProdData2_PDI_Cash_Exception_Application[[#This Row],[CHANGED ON]]</f>
        <v>12.742928240739275</v>
      </c>
      <c r="N891">
        <f ca="1">qry_ProdData2_PDI_Cash_Exception_Application[[#This Row],[TODAY]]-qry_ProdData2_PDI_Cash_Exception_Application[[#This Row],[CHANGED ON]]</f>
        <v>12.742928240739275</v>
      </c>
    </row>
    <row r="892" spans="1:14" x14ac:dyDescent="0.35">
      <c r="A892">
        <v>1035</v>
      </c>
      <c r="B892" t="s">
        <v>89</v>
      </c>
      <c r="C892" s="1">
        <v>45190.257071759261</v>
      </c>
      <c r="D892" t="str">
        <f ca="1">VLOOKUP(qry_ProdData2_PDI_Cash_Exception_Application[[#This Row],[TYPE]],#REF!,2,FALSE)</f>
        <v>type40</v>
      </c>
      <c r="E892">
        <v>-503.21</v>
      </c>
      <c r="F892" t="s">
        <v>50</v>
      </c>
      <c r="G892" s="1">
        <f>qry_ProdData2_PDI_Cash_Exception_Application[[#This Row],[INSERT DATE]]+1</f>
        <v>45191.257071759261</v>
      </c>
      <c r="H892" t="str">
        <f>VLOOKUP(qry_ProdData2_PDI_Cash_Exception_Application[[#This Row],[MARKET No]],'Site Allocation'!$B$2:$C$37,2,FALSE)</f>
        <v>Analyst6</v>
      </c>
      <c r="I892" s="4">
        <f t="shared" ca="1" si="13"/>
        <v>45203</v>
      </c>
      <c r="J892" s="42">
        <f ca="1">TODAY()-qry_ProdData2_PDI_Cash_Exception_Application[[#This Row],[INSERT DATE]]</f>
        <v>12.742928240739275</v>
      </c>
      <c r="K8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92">
        <f ca="1">qry_ProdData2_PDI_Cash_Exception_Application[[#This Row],[TODAY]]-qry_ProdData2_PDI_Cash_Exception_Application[[#This Row],[CHANGED ON]]</f>
        <v>11.742928240739275</v>
      </c>
      <c r="M892">
        <f ca="1">qry_ProdData2_PDI_Cash_Exception_Application[[#This Row],[TODAY]]-qry_ProdData2_PDI_Cash_Exception_Application[[#This Row],[CHANGED ON]]</f>
        <v>11.742928240739275</v>
      </c>
      <c r="N892">
        <f ca="1">qry_ProdData2_PDI_Cash_Exception_Application[[#This Row],[TODAY]]-qry_ProdData2_PDI_Cash_Exception_Application[[#This Row],[CHANGED ON]]</f>
        <v>11.742928240739275</v>
      </c>
    </row>
    <row r="893" spans="1:14" x14ac:dyDescent="0.35">
      <c r="A893">
        <v>1023</v>
      </c>
      <c r="B893" t="s">
        <v>77</v>
      </c>
      <c r="C893" s="1">
        <v>45187.257071759261</v>
      </c>
      <c r="D893" t="str">
        <f ca="1">VLOOKUP(qry_ProdData2_PDI_Cash_Exception_Application[[#This Row],[TYPE]],#REF!,2,FALSE)</f>
        <v>type40</v>
      </c>
      <c r="E893">
        <v>-632.11</v>
      </c>
      <c r="F893" t="s">
        <v>48</v>
      </c>
      <c r="G893" s="1">
        <f>qry_ProdData2_PDI_Cash_Exception_Application[[#This Row],[INSERT DATE]]+7</f>
        <v>45194.257071759261</v>
      </c>
      <c r="H893" t="str">
        <f>VLOOKUP(qry_ProdData2_PDI_Cash_Exception_Application[[#This Row],[MARKET No]],'Site Allocation'!$B$2:$C$37,2,FALSE)</f>
        <v>Analyst4</v>
      </c>
      <c r="I893" s="4">
        <f t="shared" ca="1" si="13"/>
        <v>45203</v>
      </c>
      <c r="J893" s="42">
        <f ca="1">TODAY()-qry_ProdData2_PDI_Cash_Exception_Application[[#This Row],[INSERT DATE]]</f>
        <v>15.742928240739275</v>
      </c>
      <c r="K8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93">
        <f ca="1">qry_ProdData2_PDI_Cash_Exception_Application[[#This Row],[TODAY]]-qry_ProdData2_PDI_Cash_Exception_Application[[#This Row],[CHANGED ON]]</f>
        <v>8.7429282407392748</v>
      </c>
      <c r="M893">
        <f ca="1">qry_ProdData2_PDI_Cash_Exception_Application[[#This Row],[TODAY]]-qry_ProdData2_PDI_Cash_Exception_Application[[#This Row],[CHANGED ON]]</f>
        <v>8.7429282407392748</v>
      </c>
      <c r="N893">
        <f ca="1">qry_ProdData2_PDI_Cash_Exception_Application[[#This Row],[TODAY]]-qry_ProdData2_PDI_Cash_Exception_Application[[#This Row],[CHANGED ON]]</f>
        <v>8.7429282407392748</v>
      </c>
    </row>
    <row r="894" spans="1:14" x14ac:dyDescent="0.35">
      <c r="A894">
        <v>1017</v>
      </c>
      <c r="B894" t="s">
        <v>71</v>
      </c>
      <c r="C894" s="1">
        <v>45191.257071759261</v>
      </c>
      <c r="D894" t="str">
        <f ca="1">VLOOKUP(qry_ProdData2_PDI_Cash_Exception_Application[[#This Row],[TYPE]],#REF!,2,FALSE)</f>
        <v>type40</v>
      </c>
      <c r="E894">
        <v>876.47</v>
      </c>
      <c r="F894" t="s">
        <v>52</v>
      </c>
      <c r="G894" s="1">
        <f>qry_ProdData2_PDI_Cash_Exception_Application[[#This Row],[INSERT DATE]]+1</f>
        <v>45192.257071759261</v>
      </c>
      <c r="H894" t="str">
        <f>VLOOKUP(qry_ProdData2_PDI_Cash_Exception_Application[[#This Row],[MARKET No]],'Site Allocation'!$B$2:$C$37,2,FALSE)</f>
        <v>Analyst3</v>
      </c>
      <c r="I894" s="4">
        <f t="shared" ca="1" si="13"/>
        <v>45203</v>
      </c>
      <c r="J894" s="42">
        <f ca="1">TODAY()-qry_ProdData2_PDI_Cash_Exception_Application[[#This Row],[INSERT DATE]]</f>
        <v>11.742928240739275</v>
      </c>
      <c r="K8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94">
        <f ca="1">qry_ProdData2_PDI_Cash_Exception_Application[[#This Row],[TODAY]]-qry_ProdData2_PDI_Cash_Exception_Application[[#This Row],[CHANGED ON]]</f>
        <v>10.742928240739275</v>
      </c>
      <c r="M894">
        <f ca="1">qry_ProdData2_PDI_Cash_Exception_Application[[#This Row],[TODAY]]-qry_ProdData2_PDI_Cash_Exception_Application[[#This Row],[CHANGED ON]]</f>
        <v>10.742928240739275</v>
      </c>
      <c r="N894">
        <f ca="1">qry_ProdData2_PDI_Cash_Exception_Application[[#This Row],[TODAY]]-qry_ProdData2_PDI_Cash_Exception_Application[[#This Row],[CHANGED ON]]</f>
        <v>10.742928240739275</v>
      </c>
    </row>
    <row r="895" spans="1:14" x14ac:dyDescent="0.35">
      <c r="A895">
        <v>1026</v>
      </c>
      <c r="B895" t="s">
        <v>80</v>
      </c>
      <c r="C895" s="1">
        <v>45190.257071759261</v>
      </c>
      <c r="D895" t="str">
        <f ca="1">VLOOKUP(qry_ProdData2_PDI_Cash_Exception_Application[[#This Row],[TYPE]],#REF!,2,FALSE)</f>
        <v>type26</v>
      </c>
      <c r="E895">
        <v>266.94</v>
      </c>
      <c r="F895" t="s">
        <v>49</v>
      </c>
      <c r="G895" s="1">
        <f>qry_ProdData2_PDI_Cash_Exception_Application[[#This Row],[INSERT DATE]]+7</f>
        <v>45197.257071759261</v>
      </c>
      <c r="H895" t="str">
        <f>VLOOKUP(qry_ProdData2_PDI_Cash_Exception_Application[[#This Row],[MARKET No]],'Site Allocation'!$B$2:$C$37,2,FALSE)</f>
        <v>Analyst5</v>
      </c>
      <c r="I895" s="4">
        <f t="shared" ca="1" si="13"/>
        <v>45203</v>
      </c>
      <c r="J895" s="42">
        <f ca="1">TODAY()-qry_ProdData2_PDI_Cash_Exception_Application[[#This Row],[INSERT DATE]]</f>
        <v>12.742928240739275</v>
      </c>
      <c r="K8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95">
        <f ca="1">qry_ProdData2_PDI_Cash_Exception_Application[[#This Row],[TODAY]]-qry_ProdData2_PDI_Cash_Exception_Application[[#This Row],[CHANGED ON]]</f>
        <v>5.7429282407392748</v>
      </c>
      <c r="M895">
        <f ca="1">qry_ProdData2_PDI_Cash_Exception_Application[[#This Row],[TODAY]]-qry_ProdData2_PDI_Cash_Exception_Application[[#This Row],[CHANGED ON]]</f>
        <v>5.7429282407392748</v>
      </c>
      <c r="N895">
        <f ca="1">qry_ProdData2_PDI_Cash_Exception_Application[[#This Row],[TODAY]]-qry_ProdData2_PDI_Cash_Exception_Application[[#This Row],[CHANGED ON]]</f>
        <v>5.7429282407392748</v>
      </c>
    </row>
    <row r="896" spans="1:14" x14ac:dyDescent="0.35">
      <c r="A896">
        <v>1032</v>
      </c>
      <c r="B896" t="s">
        <v>86</v>
      </c>
      <c r="C896" s="1">
        <v>45190.257071759261</v>
      </c>
      <c r="D896" t="str">
        <f ca="1">VLOOKUP(qry_ProdData2_PDI_Cash_Exception_Application[[#This Row],[TYPE]],#REF!,2,FALSE)</f>
        <v>type40</v>
      </c>
      <c r="E896">
        <v>-696.65</v>
      </c>
      <c r="F896" t="s">
        <v>51</v>
      </c>
      <c r="G896" s="1">
        <f>qry_ProdData2_PDI_Cash_Exception_Application[[#This Row],[INSERT DATE]]+5</f>
        <v>45195.257071759261</v>
      </c>
      <c r="H896" t="str">
        <f>VLOOKUP(qry_ProdData2_PDI_Cash_Exception_Application[[#This Row],[MARKET No]],'Site Allocation'!$B$2:$C$37,2,FALSE)</f>
        <v>Analyst6</v>
      </c>
      <c r="I896" s="4">
        <f t="shared" ca="1" si="13"/>
        <v>45203</v>
      </c>
      <c r="J896" s="42">
        <f ca="1">TODAY()-qry_ProdData2_PDI_Cash_Exception_Application[[#This Row],[INSERT DATE]]</f>
        <v>12.742928240739275</v>
      </c>
      <c r="K8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96">
        <f ca="1">qry_ProdData2_PDI_Cash_Exception_Application[[#This Row],[TODAY]]-qry_ProdData2_PDI_Cash_Exception_Application[[#This Row],[CHANGED ON]]</f>
        <v>7.7429282407392748</v>
      </c>
      <c r="M896">
        <f ca="1">qry_ProdData2_PDI_Cash_Exception_Application[[#This Row],[TODAY]]-qry_ProdData2_PDI_Cash_Exception_Application[[#This Row],[CHANGED ON]]</f>
        <v>7.7429282407392748</v>
      </c>
      <c r="N896">
        <f ca="1">qry_ProdData2_PDI_Cash_Exception_Application[[#This Row],[TODAY]]-qry_ProdData2_PDI_Cash_Exception_Application[[#This Row],[CHANGED ON]]</f>
        <v>7.7429282407392748</v>
      </c>
    </row>
    <row r="897" spans="1:14" x14ac:dyDescent="0.35">
      <c r="A897">
        <v>1010</v>
      </c>
      <c r="B897" t="s">
        <v>64</v>
      </c>
      <c r="C897" s="1">
        <v>45184.257071759261</v>
      </c>
      <c r="D897" t="str">
        <f ca="1">VLOOKUP(qry_ProdData2_PDI_Cash_Exception_Application[[#This Row],[TYPE]],#REF!,2,FALSE)</f>
        <v>type5</v>
      </c>
      <c r="E897">
        <v>572.42999999999995</v>
      </c>
      <c r="F897" t="s">
        <v>47</v>
      </c>
      <c r="G897" s="1">
        <f>qry_ProdData2_PDI_Cash_Exception_Application[[#This Row],[INSERT DATE]]+5</f>
        <v>45189.257071759261</v>
      </c>
      <c r="H897" t="str">
        <f>VLOOKUP(qry_ProdData2_PDI_Cash_Exception_Application[[#This Row],[MARKET No]],'Site Allocation'!$B$2:$C$37,2,FALSE)</f>
        <v>Analyst2</v>
      </c>
      <c r="I897" s="4">
        <f t="shared" ca="1" si="13"/>
        <v>45203</v>
      </c>
      <c r="J897" s="42">
        <f ca="1">TODAY()-qry_ProdData2_PDI_Cash_Exception_Application[[#This Row],[INSERT DATE]]</f>
        <v>18.742928240739275</v>
      </c>
      <c r="K8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97">
        <f ca="1">qry_ProdData2_PDI_Cash_Exception_Application[[#This Row],[TODAY]]-qry_ProdData2_PDI_Cash_Exception_Application[[#This Row],[CHANGED ON]]</f>
        <v>13.742928240739275</v>
      </c>
      <c r="M897">
        <f ca="1">qry_ProdData2_PDI_Cash_Exception_Application[[#This Row],[TODAY]]-qry_ProdData2_PDI_Cash_Exception_Application[[#This Row],[CHANGED ON]]</f>
        <v>13.742928240739275</v>
      </c>
      <c r="N897">
        <f ca="1">qry_ProdData2_PDI_Cash_Exception_Application[[#This Row],[TODAY]]-qry_ProdData2_PDI_Cash_Exception_Application[[#This Row],[CHANGED ON]]</f>
        <v>13.742928240739275</v>
      </c>
    </row>
    <row r="898" spans="1:14" x14ac:dyDescent="0.35">
      <c r="A898">
        <v>1018</v>
      </c>
      <c r="B898" t="s">
        <v>72</v>
      </c>
      <c r="C898" s="1">
        <v>45190.257071759261</v>
      </c>
      <c r="D898" t="str">
        <f ca="1">VLOOKUP(qry_ProdData2_PDI_Cash_Exception_Application[[#This Row],[TYPE]],#REF!,2,FALSE)</f>
        <v>type40</v>
      </c>
      <c r="E898">
        <v>-704.24</v>
      </c>
      <c r="F898" t="s">
        <v>49</v>
      </c>
      <c r="G898" s="1">
        <f>qry_ProdData2_PDI_Cash_Exception_Application[[#This Row],[INSERT DATE]]+1</f>
        <v>45191.257071759261</v>
      </c>
      <c r="H898" t="str">
        <f>VLOOKUP(qry_ProdData2_PDI_Cash_Exception_Application[[#This Row],[MARKET No]],'Site Allocation'!$B$2:$C$37,2,FALSE)</f>
        <v>Analyst4</v>
      </c>
      <c r="I898" s="4">
        <f t="shared" ref="I898:I961" ca="1" si="14">TODAY()</f>
        <v>45203</v>
      </c>
      <c r="J898" s="42">
        <f ca="1">TODAY()-qry_ProdData2_PDI_Cash_Exception_Application[[#This Row],[INSERT DATE]]</f>
        <v>12.742928240739275</v>
      </c>
      <c r="K8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98">
        <f ca="1">qry_ProdData2_PDI_Cash_Exception_Application[[#This Row],[TODAY]]-qry_ProdData2_PDI_Cash_Exception_Application[[#This Row],[CHANGED ON]]</f>
        <v>11.742928240739275</v>
      </c>
      <c r="M898">
        <f ca="1">qry_ProdData2_PDI_Cash_Exception_Application[[#This Row],[TODAY]]-qry_ProdData2_PDI_Cash_Exception_Application[[#This Row],[CHANGED ON]]</f>
        <v>11.742928240739275</v>
      </c>
      <c r="N898">
        <f ca="1">qry_ProdData2_PDI_Cash_Exception_Application[[#This Row],[TODAY]]-qry_ProdData2_PDI_Cash_Exception_Application[[#This Row],[CHANGED ON]]</f>
        <v>11.742928240739275</v>
      </c>
    </row>
    <row r="899" spans="1:14" x14ac:dyDescent="0.35">
      <c r="A899">
        <v>1024</v>
      </c>
      <c r="B899" t="s">
        <v>78</v>
      </c>
      <c r="C899" s="1">
        <v>45183.257071759261</v>
      </c>
      <c r="D899" t="str">
        <f ca="1">VLOOKUP(qry_ProdData2_PDI_Cash_Exception_Application[[#This Row],[TYPE]],#REF!,2,FALSE)</f>
        <v>type40</v>
      </c>
      <c r="E899">
        <v>304.87</v>
      </c>
      <c r="F899" t="s">
        <v>49</v>
      </c>
      <c r="G899" s="1">
        <f>qry_ProdData2_PDI_Cash_Exception_Application[[#This Row],[INSERT DATE]]+2</f>
        <v>45185.257071759261</v>
      </c>
      <c r="H899" t="str">
        <f>VLOOKUP(qry_ProdData2_PDI_Cash_Exception_Application[[#This Row],[MARKET No]],'Site Allocation'!$B$2:$C$37,2,FALSE)</f>
        <v>Analyst5</v>
      </c>
      <c r="I899" s="4">
        <f t="shared" ca="1" si="14"/>
        <v>45203</v>
      </c>
      <c r="J899" s="42">
        <f ca="1">TODAY()-qry_ProdData2_PDI_Cash_Exception_Application[[#This Row],[INSERT DATE]]</f>
        <v>19.742928240739275</v>
      </c>
      <c r="K8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899">
        <f ca="1">qry_ProdData2_PDI_Cash_Exception_Application[[#This Row],[TODAY]]-qry_ProdData2_PDI_Cash_Exception_Application[[#This Row],[CHANGED ON]]</f>
        <v>17.742928240739275</v>
      </c>
      <c r="M899">
        <f ca="1">qry_ProdData2_PDI_Cash_Exception_Application[[#This Row],[TODAY]]-qry_ProdData2_PDI_Cash_Exception_Application[[#This Row],[CHANGED ON]]</f>
        <v>17.742928240739275</v>
      </c>
      <c r="N899">
        <f ca="1">qry_ProdData2_PDI_Cash_Exception_Application[[#This Row],[TODAY]]-qry_ProdData2_PDI_Cash_Exception_Application[[#This Row],[CHANGED ON]]</f>
        <v>17.742928240739275</v>
      </c>
    </row>
    <row r="900" spans="1:14" x14ac:dyDescent="0.35">
      <c r="A900">
        <v>1022</v>
      </c>
      <c r="B900" t="s">
        <v>76</v>
      </c>
      <c r="C900" s="1">
        <v>45197.257071759261</v>
      </c>
      <c r="D900" t="str">
        <f ca="1">VLOOKUP(qry_ProdData2_PDI_Cash_Exception_Application[[#This Row],[TYPE]],#REF!,2,FALSE)</f>
        <v>type40</v>
      </c>
      <c r="E900">
        <v>-707.5</v>
      </c>
      <c r="F900" t="s">
        <v>52</v>
      </c>
      <c r="G900" s="1">
        <f>qry_ProdData2_PDI_Cash_Exception_Application[[#This Row],[INSERT DATE]]+1</f>
        <v>45198.257071759261</v>
      </c>
      <c r="H900" t="str">
        <f>VLOOKUP(qry_ProdData2_PDI_Cash_Exception_Application[[#This Row],[MARKET No]],'Site Allocation'!$B$2:$C$37,2,FALSE)</f>
        <v>Analyst4</v>
      </c>
      <c r="I900" s="4">
        <f t="shared" ca="1" si="14"/>
        <v>45203</v>
      </c>
      <c r="J900" s="42">
        <f ca="1">TODAY()-qry_ProdData2_PDI_Cash_Exception_Application[[#This Row],[INSERT DATE]]</f>
        <v>5.7429282407392748</v>
      </c>
      <c r="K9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900">
        <f ca="1">qry_ProdData2_PDI_Cash_Exception_Application[[#This Row],[TODAY]]-qry_ProdData2_PDI_Cash_Exception_Application[[#This Row],[CHANGED ON]]</f>
        <v>4.7429282407392748</v>
      </c>
      <c r="M900">
        <f ca="1">qry_ProdData2_PDI_Cash_Exception_Application[[#This Row],[TODAY]]-qry_ProdData2_PDI_Cash_Exception_Application[[#This Row],[CHANGED ON]]</f>
        <v>4.7429282407392748</v>
      </c>
      <c r="N900">
        <f ca="1">qry_ProdData2_PDI_Cash_Exception_Application[[#This Row],[TODAY]]-qry_ProdData2_PDI_Cash_Exception_Application[[#This Row],[CHANGED ON]]</f>
        <v>4.7429282407392748</v>
      </c>
    </row>
    <row r="901" spans="1:14" x14ac:dyDescent="0.35">
      <c r="A901">
        <v>1014</v>
      </c>
      <c r="B901" t="s">
        <v>68</v>
      </c>
      <c r="C901" s="1">
        <v>45185.257071759261</v>
      </c>
      <c r="D901" t="str">
        <f ca="1">VLOOKUP(qry_ProdData2_PDI_Cash_Exception_Application[[#This Row],[TYPE]],#REF!,2,FALSE)</f>
        <v>type40</v>
      </c>
      <c r="E901">
        <v>484.08</v>
      </c>
      <c r="F901" t="s">
        <v>50</v>
      </c>
      <c r="G901" s="1">
        <f>qry_ProdData2_PDI_Cash_Exception_Application[[#This Row],[INSERT DATE]]+1</f>
        <v>45186.257071759261</v>
      </c>
      <c r="H901" t="str">
        <f>VLOOKUP(qry_ProdData2_PDI_Cash_Exception_Application[[#This Row],[MARKET No]],'Site Allocation'!$B$2:$C$37,2,FALSE)</f>
        <v>Analyst3</v>
      </c>
      <c r="I901" s="4">
        <f t="shared" ca="1" si="14"/>
        <v>45203</v>
      </c>
      <c r="J901" s="42">
        <f ca="1">TODAY()-qry_ProdData2_PDI_Cash_Exception_Application[[#This Row],[INSERT DATE]]</f>
        <v>17.742928240739275</v>
      </c>
      <c r="K9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01">
        <f ca="1">qry_ProdData2_PDI_Cash_Exception_Application[[#This Row],[TODAY]]-qry_ProdData2_PDI_Cash_Exception_Application[[#This Row],[CHANGED ON]]</f>
        <v>16.742928240739275</v>
      </c>
      <c r="M901">
        <f ca="1">qry_ProdData2_PDI_Cash_Exception_Application[[#This Row],[TODAY]]-qry_ProdData2_PDI_Cash_Exception_Application[[#This Row],[CHANGED ON]]</f>
        <v>16.742928240739275</v>
      </c>
      <c r="N901">
        <f ca="1">qry_ProdData2_PDI_Cash_Exception_Application[[#This Row],[TODAY]]-qry_ProdData2_PDI_Cash_Exception_Application[[#This Row],[CHANGED ON]]</f>
        <v>16.742928240739275</v>
      </c>
    </row>
    <row r="902" spans="1:14" x14ac:dyDescent="0.35">
      <c r="A902">
        <v>1006</v>
      </c>
      <c r="B902" t="s">
        <v>60</v>
      </c>
      <c r="C902" s="1">
        <v>45189.257071759261</v>
      </c>
      <c r="D902" t="str">
        <f ca="1">VLOOKUP(qry_ProdData2_PDI_Cash_Exception_Application[[#This Row],[TYPE]],#REF!,2,FALSE)</f>
        <v>type40</v>
      </c>
      <c r="E902">
        <v>909.34</v>
      </c>
      <c r="F902" t="s">
        <v>48</v>
      </c>
      <c r="G902" s="1">
        <f>qry_ProdData2_PDI_Cash_Exception_Application[[#This Row],[INSERT DATE]]+7</f>
        <v>45196.257071759261</v>
      </c>
      <c r="H902" t="str">
        <f>VLOOKUP(qry_ProdData2_PDI_Cash_Exception_Application[[#This Row],[MARKET No]],'Site Allocation'!$B$2:$C$37,2,FALSE)</f>
        <v>Analyst2</v>
      </c>
      <c r="I902" s="4">
        <f t="shared" ca="1" si="14"/>
        <v>45203</v>
      </c>
      <c r="J902" s="42">
        <f ca="1">TODAY()-qry_ProdData2_PDI_Cash_Exception_Application[[#This Row],[INSERT DATE]]</f>
        <v>13.742928240739275</v>
      </c>
      <c r="K9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02">
        <f ca="1">qry_ProdData2_PDI_Cash_Exception_Application[[#This Row],[TODAY]]-qry_ProdData2_PDI_Cash_Exception_Application[[#This Row],[CHANGED ON]]</f>
        <v>6.7429282407392748</v>
      </c>
      <c r="M902">
        <f ca="1">qry_ProdData2_PDI_Cash_Exception_Application[[#This Row],[TODAY]]-qry_ProdData2_PDI_Cash_Exception_Application[[#This Row],[CHANGED ON]]</f>
        <v>6.7429282407392748</v>
      </c>
      <c r="N902">
        <f ca="1">qry_ProdData2_PDI_Cash_Exception_Application[[#This Row],[TODAY]]-qry_ProdData2_PDI_Cash_Exception_Application[[#This Row],[CHANGED ON]]</f>
        <v>6.7429282407392748</v>
      </c>
    </row>
    <row r="903" spans="1:14" x14ac:dyDescent="0.35">
      <c r="A903">
        <v>1017</v>
      </c>
      <c r="B903" t="s">
        <v>71</v>
      </c>
      <c r="C903" s="1">
        <v>45187.257071759261</v>
      </c>
      <c r="D903" t="str">
        <f ca="1">VLOOKUP(qry_ProdData2_PDI_Cash_Exception_Application[[#This Row],[TYPE]],#REF!,2,FALSE)</f>
        <v>type40</v>
      </c>
      <c r="E903">
        <v>635.19000000000005</v>
      </c>
      <c r="F903" t="s">
        <v>50</v>
      </c>
      <c r="G903" s="1">
        <f>qry_ProdData2_PDI_Cash_Exception_Application[[#This Row],[INSERT DATE]]+1</f>
        <v>45188.257071759261</v>
      </c>
      <c r="H903" t="str">
        <f>VLOOKUP(qry_ProdData2_PDI_Cash_Exception_Application[[#This Row],[MARKET No]],'Site Allocation'!$B$2:$C$37,2,FALSE)</f>
        <v>Analyst3</v>
      </c>
      <c r="I903" s="4">
        <f t="shared" ca="1" si="14"/>
        <v>45203</v>
      </c>
      <c r="J903" s="42">
        <f ca="1">TODAY()-qry_ProdData2_PDI_Cash_Exception_Application[[#This Row],[INSERT DATE]]</f>
        <v>15.742928240739275</v>
      </c>
      <c r="K9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03">
        <f ca="1">qry_ProdData2_PDI_Cash_Exception_Application[[#This Row],[TODAY]]-qry_ProdData2_PDI_Cash_Exception_Application[[#This Row],[CHANGED ON]]</f>
        <v>14.742928240739275</v>
      </c>
      <c r="M903">
        <f ca="1">qry_ProdData2_PDI_Cash_Exception_Application[[#This Row],[TODAY]]-qry_ProdData2_PDI_Cash_Exception_Application[[#This Row],[CHANGED ON]]</f>
        <v>14.742928240739275</v>
      </c>
      <c r="N903">
        <f ca="1">qry_ProdData2_PDI_Cash_Exception_Application[[#This Row],[TODAY]]-qry_ProdData2_PDI_Cash_Exception_Application[[#This Row],[CHANGED ON]]</f>
        <v>14.742928240739275</v>
      </c>
    </row>
    <row r="904" spans="1:14" x14ac:dyDescent="0.35">
      <c r="A904">
        <v>1032</v>
      </c>
      <c r="B904" t="s">
        <v>86</v>
      </c>
      <c r="C904" s="1">
        <v>45190.257071759261</v>
      </c>
      <c r="D904" t="str">
        <f ca="1">VLOOKUP(qry_ProdData2_PDI_Cash_Exception_Application[[#This Row],[TYPE]],#REF!,2,FALSE)</f>
        <v>type40</v>
      </c>
      <c r="E904">
        <v>-1038.04</v>
      </c>
      <c r="F904" t="s">
        <v>48</v>
      </c>
      <c r="G904" s="1">
        <f>qry_ProdData2_PDI_Cash_Exception_Application[[#This Row],[INSERT DATE]]+1</f>
        <v>45191.257071759261</v>
      </c>
      <c r="H904" t="str">
        <f>VLOOKUP(qry_ProdData2_PDI_Cash_Exception_Application[[#This Row],[MARKET No]],'Site Allocation'!$B$2:$C$37,2,FALSE)</f>
        <v>Analyst6</v>
      </c>
      <c r="I904" s="4">
        <f t="shared" ca="1" si="14"/>
        <v>45203</v>
      </c>
      <c r="J904" s="42">
        <f ca="1">TODAY()-qry_ProdData2_PDI_Cash_Exception_Application[[#This Row],[INSERT DATE]]</f>
        <v>12.742928240739275</v>
      </c>
      <c r="K9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04">
        <f ca="1">qry_ProdData2_PDI_Cash_Exception_Application[[#This Row],[TODAY]]-qry_ProdData2_PDI_Cash_Exception_Application[[#This Row],[CHANGED ON]]</f>
        <v>11.742928240739275</v>
      </c>
      <c r="M904">
        <f ca="1">qry_ProdData2_PDI_Cash_Exception_Application[[#This Row],[TODAY]]-qry_ProdData2_PDI_Cash_Exception_Application[[#This Row],[CHANGED ON]]</f>
        <v>11.742928240739275</v>
      </c>
      <c r="N904">
        <f ca="1">qry_ProdData2_PDI_Cash_Exception_Application[[#This Row],[TODAY]]-qry_ProdData2_PDI_Cash_Exception_Application[[#This Row],[CHANGED ON]]</f>
        <v>11.742928240739275</v>
      </c>
    </row>
    <row r="905" spans="1:14" x14ac:dyDescent="0.35">
      <c r="A905">
        <v>1009</v>
      </c>
      <c r="B905" t="s">
        <v>63</v>
      </c>
      <c r="C905" s="1">
        <v>45188.257071759261</v>
      </c>
      <c r="D905" t="str">
        <f ca="1">VLOOKUP(qry_ProdData2_PDI_Cash_Exception_Application[[#This Row],[TYPE]],#REF!,2,FALSE)</f>
        <v>type40</v>
      </c>
      <c r="E905">
        <v>374.33</v>
      </c>
      <c r="F905" t="s">
        <v>52</v>
      </c>
      <c r="G905" s="1">
        <f>qry_ProdData2_PDI_Cash_Exception_Application[[#This Row],[INSERT DATE]]+2</f>
        <v>45190.257071759261</v>
      </c>
      <c r="H905" t="str">
        <f>VLOOKUP(qry_ProdData2_PDI_Cash_Exception_Application[[#This Row],[MARKET No]],'Site Allocation'!$B$2:$C$37,2,FALSE)</f>
        <v>Analyst2</v>
      </c>
      <c r="I905" s="4">
        <f t="shared" ca="1" si="14"/>
        <v>45203</v>
      </c>
      <c r="J905" s="42">
        <f ca="1">TODAY()-qry_ProdData2_PDI_Cash_Exception_Application[[#This Row],[INSERT DATE]]</f>
        <v>14.742928240739275</v>
      </c>
      <c r="K9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05">
        <f ca="1">qry_ProdData2_PDI_Cash_Exception_Application[[#This Row],[TODAY]]-qry_ProdData2_PDI_Cash_Exception_Application[[#This Row],[CHANGED ON]]</f>
        <v>12.742928240739275</v>
      </c>
      <c r="M905">
        <f ca="1">qry_ProdData2_PDI_Cash_Exception_Application[[#This Row],[TODAY]]-qry_ProdData2_PDI_Cash_Exception_Application[[#This Row],[CHANGED ON]]</f>
        <v>12.742928240739275</v>
      </c>
      <c r="N905">
        <f ca="1">qry_ProdData2_PDI_Cash_Exception_Application[[#This Row],[TODAY]]-qry_ProdData2_PDI_Cash_Exception_Application[[#This Row],[CHANGED ON]]</f>
        <v>12.742928240739275</v>
      </c>
    </row>
    <row r="906" spans="1:14" x14ac:dyDescent="0.35">
      <c r="A906">
        <v>1019</v>
      </c>
      <c r="B906" t="s">
        <v>73</v>
      </c>
      <c r="C906" s="1">
        <v>45190.257071759261</v>
      </c>
      <c r="D906" t="str">
        <f ca="1">VLOOKUP(qry_ProdData2_PDI_Cash_Exception_Application[[#This Row],[TYPE]],#REF!,2,FALSE)</f>
        <v>type40</v>
      </c>
      <c r="E906">
        <v>475.09</v>
      </c>
      <c r="F906" t="s">
        <v>48</v>
      </c>
      <c r="G906" s="1">
        <f>qry_ProdData2_PDI_Cash_Exception_Application[[#This Row],[INSERT DATE]]+5</f>
        <v>45195.257071759261</v>
      </c>
      <c r="H906" t="str">
        <f>VLOOKUP(qry_ProdData2_PDI_Cash_Exception_Application[[#This Row],[MARKET No]],'Site Allocation'!$B$2:$C$37,2,FALSE)</f>
        <v>Analyst4</v>
      </c>
      <c r="I906" s="4">
        <f t="shared" ca="1" si="14"/>
        <v>45203</v>
      </c>
      <c r="J906" s="42">
        <f ca="1">TODAY()-qry_ProdData2_PDI_Cash_Exception_Application[[#This Row],[INSERT DATE]]</f>
        <v>12.742928240739275</v>
      </c>
      <c r="K9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06">
        <f ca="1">qry_ProdData2_PDI_Cash_Exception_Application[[#This Row],[TODAY]]-qry_ProdData2_PDI_Cash_Exception_Application[[#This Row],[CHANGED ON]]</f>
        <v>7.7429282407392748</v>
      </c>
      <c r="M906">
        <f ca="1">qry_ProdData2_PDI_Cash_Exception_Application[[#This Row],[TODAY]]-qry_ProdData2_PDI_Cash_Exception_Application[[#This Row],[CHANGED ON]]</f>
        <v>7.7429282407392748</v>
      </c>
      <c r="N906">
        <f ca="1">qry_ProdData2_PDI_Cash_Exception_Application[[#This Row],[TODAY]]-qry_ProdData2_PDI_Cash_Exception_Application[[#This Row],[CHANGED ON]]</f>
        <v>7.7429282407392748</v>
      </c>
    </row>
    <row r="907" spans="1:14" x14ac:dyDescent="0.35">
      <c r="A907">
        <v>1027</v>
      </c>
      <c r="B907" t="s">
        <v>81</v>
      </c>
      <c r="C907" s="1">
        <v>45179.257071759261</v>
      </c>
      <c r="D907" t="str">
        <f ca="1">VLOOKUP(qry_ProdData2_PDI_Cash_Exception_Application[[#This Row],[TYPE]],#REF!,2,FALSE)</f>
        <v>type40</v>
      </c>
      <c r="E907">
        <v>-502.61</v>
      </c>
      <c r="F907" t="s">
        <v>48</v>
      </c>
      <c r="G907" s="1">
        <f>qry_ProdData2_PDI_Cash_Exception_Application[[#This Row],[INSERT DATE]]+7</f>
        <v>45186.257071759261</v>
      </c>
      <c r="H907" t="str">
        <f>VLOOKUP(qry_ProdData2_PDI_Cash_Exception_Application[[#This Row],[MARKET No]],'Site Allocation'!$B$2:$C$37,2,FALSE)</f>
        <v>Analyst5</v>
      </c>
      <c r="I907" s="4">
        <f t="shared" ca="1" si="14"/>
        <v>45203</v>
      </c>
      <c r="J907" s="42">
        <f ca="1">TODAY()-qry_ProdData2_PDI_Cash_Exception_Application[[#This Row],[INSERT DATE]]</f>
        <v>23.742928240739275</v>
      </c>
      <c r="K9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07">
        <f ca="1">qry_ProdData2_PDI_Cash_Exception_Application[[#This Row],[TODAY]]-qry_ProdData2_PDI_Cash_Exception_Application[[#This Row],[CHANGED ON]]</f>
        <v>16.742928240739275</v>
      </c>
      <c r="M907">
        <f ca="1">qry_ProdData2_PDI_Cash_Exception_Application[[#This Row],[TODAY]]-qry_ProdData2_PDI_Cash_Exception_Application[[#This Row],[CHANGED ON]]</f>
        <v>16.742928240739275</v>
      </c>
      <c r="N907">
        <f ca="1">qry_ProdData2_PDI_Cash_Exception_Application[[#This Row],[TODAY]]-qry_ProdData2_PDI_Cash_Exception_Application[[#This Row],[CHANGED ON]]</f>
        <v>16.742928240739275</v>
      </c>
    </row>
    <row r="908" spans="1:14" x14ac:dyDescent="0.35">
      <c r="A908">
        <v>1020</v>
      </c>
      <c r="B908" t="s">
        <v>74</v>
      </c>
      <c r="C908" s="1">
        <v>45191.257071759261</v>
      </c>
      <c r="D908" t="str">
        <f ca="1">VLOOKUP(qry_ProdData2_PDI_Cash_Exception_Application[[#This Row],[TYPE]],#REF!,2,FALSE)</f>
        <v>type40</v>
      </c>
      <c r="E908">
        <v>691.05</v>
      </c>
      <c r="F908" t="s">
        <v>51</v>
      </c>
      <c r="G908" s="1">
        <f>qry_ProdData2_PDI_Cash_Exception_Application[[#This Row],[INSERT DATE]]+5</f>
        <v>45196.257071759261</v>
      </c>
      <c r="H908" t="str">
        <f>VLOOKUP(qry_ProdData2_PDI_Cash_Exception_Application[[#This Row],[MARKET No]],'Site Allocation'!$B$2:$C$37,2,FALSE)</f>
        <v>Analyst4</v>
      </c>
      <c r="I908" s="4">
        <f t="shared" ca="1" si="14"/>
        <v>45203</v>
      </c>
      <c r="J908" s="42">
        <f ca="1">TODAY()-qry_ProdData2_PDI_Cash_Exception_Application[[#This Row],[INSERT DATE]]</f>
        <v>11.742928240739275</v>
      </c>
      <c r="K9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08">
        <f ca="1">qry_ProdData2_PDI_Cash_Exception_Application[[#This Row],[TODAY]]-qry_ProdData2_PDI_Cash_Exception_Application[[#This Row],[CHANGED ON]]</f>
        <v>6.7429282407392748</v>
      </c>
      <c r="M908">
        <f ca="1">qry_ProdData2_PDI_Cash_Exception_Application[[#This Row],[TODAY]]-qry_ProdData2_PDI_Cash_Exception_Application[[#This Row],[CHANGED ON]]</f>
        <v>6.7429282407392748</v>
      </c>
      <c r="N908">
        <f ca="1">qry_ProdData2_PDI_Cash_Exception_Application[[#This Row],[TODAY]]-qry_ProdData2_PDI_Cash_Exception_Application[[#This Row],[CHANGED ON]]</f>
        <v>6.7429282407392748</v>
      </c>
    </row>
    <row r="909" spans="1:14" x14ac:dyDescent="0.35">
      <c r="A909">
        <v>1007</v>
      </c>
      <c r="B909" t="s">
        <v>61</v>
      </c>
      <c r="C909" s="1">
        <v>45185.257071759261</v>
      </c>
      <c r="D909" t="str">
        <f ca="1">VLOOKUP(qry_ProdData2_PDI_Cash_Exception_Application[[#This Row],[TYPE]],#REF!,2,FALSE)</f>
        <v>type13</v>
      </c>
      <c r="E909">
        <v>21343.35</v>
      </c>
      <c r="F909" t="s">
        <v>47</v>
      </c>
      <c r="G909" s="1">
        <f>qry_ProdData2_PDI_Cash_Exception_Application[[#This Row],[INSERT DATE]]+7</f>
        <v>45192.257071759261</v>
      </c>
      <c r="H909" t="str">
        <f>VLOOKUP(qry_ProdData2_PDI_Cash_Exception_Application[[#This Row],[MARKET No]],'Site Allocation'!$B$2:$C$37,2,FALSE)</f>
        <v>Analyst2</v>
      </c>
      <c r="I909" s="4">
        <f t="shared" ca="1" si="14"/>
        <v>45203</v>
      </c>
      <c r="J909" s="42">
        <f ca="1">TODAY()-qry_ProdData2_PDI_Cash_Exception_Application[[#This Row],[INSERT DATE]]</f>
        <v>17.742928240739275</v>
      </c>
      <c r="K9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09">
        <f ca="1">qry_ProdData2_PDI_Cash_Exception_Application[[#This Row],[TODAY]]-qry_ProdData2_PDI_Cash_Exception_Application[[#This Row],[CHANGED ON]]</f>
        <v>10.742928240739275</v>
      </c>
      <c r="M909">
        <f ca="1">qry_ProdData2_PDI_Cash_Exception_Application[[#This Row],[TODAY]]-qry_ProdData2_PDI_Cash_Exception_Application[[#This Row],[CHANGED ON]]</f>
        <v>10.742928240739275</v>
      </c>
      <c r="N909">
        <f ca="1">qry_ProdData2_PDI_Cash_Exception_Application[[#This Row],[TODAY]]-qry_ProdData2_PDI_Cash_Exception_Application[[#This Row],[CHANGED ON]]</f>
        <v>10.742928240739275</v>
      </c>
    </row>
    <row r="910" spans="1:14" x14ac:dyDescent="0.35">
      <c r="A910">
        <v>1022</v>
      </c>
      <c r="B910" t="s">
        <v>76</v>
      </c>
      <c r="C910" s="1">
        <v>45191.257071759261</v>
      </c>
      <c r="D910" t="str">
        <f ca="1">VLOOKUP(qry_ProdData2_PDI_Cash_Exception_Application[[#This Row],[TYPE]],#REF!,2,FALSE)</f>
        <v>type40</v>
      </c>
      <c r="E910">
        <v>-941.66</v>
      </c>
      <c r="F910" t="s">
        <v>50</v>
      </c>
      <c r="G910" s="1">
        <f>qry_ProdData2_PDI_Cash_Exception_Application[[#This Row],[INSERT DATE]]+2</f>
        <v>45193.257071759261</v>
      </c>
      <c r="H910" t="str">
        <f>VLOOKUP(qry_ProdData2_PDI_Cash_Exception_Application[[#This Row],[MARKET No]],'Site Allocation'!$B$2:$C$37,2,FALSE)</f>
        <v>Analyst4</v>
      </c>
      <c r="I910" s="4">
        <f t="shared" ca="1" si="14"/>
        <v>45203</v>
      </c>
      <c r="J910" s="42">
        <f ca="1">TODAY()-qry_ProdData2_PDI_Cash_Exception_Application[[#This Row],[INSERT DATE]]</f>
        <v>11.742928240739275</v>
      </c>
      <c r="K9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10">
        <f ca="1">qry_ProdData2_PDI_Cash_Exception_Application[[#This Row],[TODAY]]-qry_ProdData2_PDI_Cash_Exception_Application[[#This Row],[CHANGED ON]]</f>
        <v>9.7429282407392748</v>
      </c>
      <c r="M910">
        <f ca="1">qry_ProdData2_PDI_Cash_Exception_Application[[#This Row],[TODAY]]-qry_ProdData2_PDI_Cash_Exception_Application[[#This Row],[CHANGED ON]]</f>
        <v>9.7429282407392748</v>
      </c>
      <c r="N910">
        <f ca="1">qry_ProdData2_PDI_Cash_Exception_Application[[#This Row],[TODAY]]-qry_ProdData2_PDI_Cash_Exception_Application[[#This Row],[CHANGED ON]]</f>
        <v>9.7429282407392748</v>
      </c>
    </row>
    <row r="911" spans="1:14" x14ac:dyDescent="0.35">
      <c r="A911">
        <v>1019</v>
      </c>
      <c r="B911" t="s">
        <v>73</v>
      </c>
      <c r="C911" s="1">
        <v>45192.257071759261</v>
      </c>
      <c r="D911" t="str">
        <f ca="1">VLOOKUP(qry_ProdData2_PDI_Cash_Exception_Application[[#This Row],[TYPE]],#REF!,2,FALSE)</f>
        <v>type40</v>
      </c>
      <c r="E911">
        <v>1163.6500000000001</v>
      </c>
      <c r="F911" t="s">
        <v>52</v>
      </c>
      <c r="G911" s="1">
        <f>qry_ProdData2_PDI_Cash_Exception_Application[[#This Row],[INSERT DATE]]+2</f>
        <v>45194.257071759261</v>
      </c>
      <c r="H911" t="str">
        <f>VLOOKUP(qry_ProdData2_PDI_Cash_Exception_Application[[#This Row],[MARKET No]],'Site Allocation'!$B$2:$C$37,2,FALSE)</f>
        <v>Analyst4</v>
      </c>
      <c r="I911" s="4">
        <f t="shared" ca="1" si="14"/>
        <v>45203</v>
      </c>
      <c r="J911" s="42">
        <f ca="1">TODAY()-qry_ProdData2_PDI_Cash_Exception_Application[[#This Row],[INSERT DATE]]</f>
        <v>10.742928240739275</v>
      </c>
      <c r="K9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11">
        <f ca="1">qry_ProdData2_PDI_Cash_Exception_Application[[#This Row],[TODAY]]-qry_ProdData2_PDI_Cash_Exception_Application[[#This Row],[CHANGED ON]]</f>
        <v>8.7429282407392748</v>
      </c>
      <c r="M911">
        <f ca="1">qry_ProdData2_PDI_Cash_Exception_Application[[#This Row],[TODAY]]-qry_ProdData2_PDI_Cash_Exception_Application[[#This Row],[CHANGED ON]]</f>
        <v>8.7429282407392748</v>
      </c>
      <c r="N911">
        <f ca="1">qry_ProdData2_PDI_Cash_Exception_Application[[#This Row],[TODAY]]-qry_ProdData2_PDI_Cash_Exception_Application[[#This Row],[CHANGED ON]]</f>
        <v>8.7429282407392748</v>
      </c>
    </row>
    <row r="912" spans="1:14" x14ac:dyDescent="0.35">
      <c r="A912">
        <v>1003</v>
      </c>
      <c r="B912" t="s">
        <v>57</v>
      </c>
      <c r="C912" s="1">
        <v>45193.257071759261</v>
      </c>
      <c r="D912" t="str">
        <f ca="1">VLOOKUP(qry_ProdData2_PDI_Cash_Exception_Application[[#This Row],[TYPE]],#REF!,2,FALSE)</f>
        <v>type40</v>
      </c>
      <c r="E912">
        <v>-907.24</v>
      </c>
      <c r="F912" t="s">
        <v>50</v>
      </c>
      <c r="G912" s="1">
        <f>qry_ProdData2_PDI_Cash_Exception_Application[[#This Row],[INSERT DATE]]+2</f>
        <v>45195.257071759261</v>
      </c>
      <c r="H912" t="str">
        <f>VLOOKUP(qry_ProdData2_PDI_Cash_Exception_Application[[#This Row],[MARKET No]],'Site Allocation'!$B$2:$C$37,2,FALSE)</f>
        <v>Analyst1</v>
      </c>
      <c r="I912" s="4">
        <f t="shared" ca="1" si="14"/>
        <v>45203</v>
      </c>
      <c r="J912" s="42">
        <f ca="1">TODAY()-qry_ProdData2_PDI_Cash_Exception_Application[[#This Row],[INSERT DATE]]</f>
        <v>9.7429282407392748</v>
      </c>
      <c r="K9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12">
        <f ca="1">qry_ProdData2_PDI_Cash_Exception_Application[[#This Row],[TODAY]]-qry_ProdData2_PDI_Cash_Exception_Application[[#This Row],[CHANGED ON]]</f>
        <v>7.7429282407392748</v>
      </c>
      <c r="M912">
        <f ca="1">qry_ProdData2_PDI_Cash_Exception_Application[[#This Row],[TODAY]]-qry_ProdData2_PDI_Cash_Exception_Application[[#This Row],[CHANGED ON]]</f>
        <v>7.7429282407392748</v>
      </c>
      <c r="N912">
        <f ca="1">qry_ProdData2_PDI_Cash_Exception_Application[[#This Row],[TODAY]]-qry_ProdData2_PDI_Cash_Exception_Application[[#This Row],[CHANGED ON]]</f>
        <v>7.7429282407392748</v>
      </c>
    </row>
    <row r="913" spans="1:14" x14ac:dyDescent="0.35">
      <c r="A913">
        <v>1016</v>
      </c>
      <c r="B913" t="s">
        <v>70</v>
      </c>
      <c r="C913" s="1">
        <v>45186.257071759261</v>
      </c>
      <c r="D913" t="str">
        <f ca="1">VLOOKUP(qry_ProdData2_PDI_Cash_Exception_Application[[#This Row],[TYPE]],#REF!,2,FALSE)</f>
        <v>type13</v>
      </c>
      <c r="E913">
        <v>26246.14</v>
      </c>
      <c r="F913" t="s">
        <v>47</v>
      </c>
      <c r="G913" s="1">
        <f>qry_ProdData2_PDI_Cash_Exception_Application[[#This Row],[INSERT DATE]]+7</f>
        <v>45193.257071759261</v>
      </c>
      <c r="H913" t="str">
        <f>VLOOKUP(qry_ProdData2_PDI_Cash_Exception_Application[[#This Row],[MARKET No]],'Site Allocation'!$B$2:$C$37,2,FALSE)</f>
        <v>Analyst3</v>
      </c>
      <c r="I913" s="4">
        <f t="shared" ca="1" si="14"/>
        <v>45203</v>
      </c>
      <c r="J913" s="42">
        <f ca="1">TODAY()-qry_ProdData2_PDI_Cash_Exception_Application[[#This Row],[INSERT DATE]]</f>
        <v>16.742928240739275</v>
      </c>
      <c r="K9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13">
        <f ca="1">qry_ProdData2_PDI_Cash_Exception_Application[[#This Row],[TODAY]]-qry_ProdData2_PDI_Cash_Exception_Application[[#This Row],[CHANGED ON]]</f>
        <v>9.7429282407392748</v>
      </c>
      <c r="M913">
        <f ca="1">qry_ProdData2_PDI_Cash_Exception_Application[[#This Row],[TODAY]]-qry_ProdData2_PDI_Cash_Exception_Application[[#This Row],[CHANGED ON]]</f>
        <v>9.7429282407392748</v>
      </c>
      <c r="N913">
        <f ca="1">qry_ProdData2_PDI_Cash_Exception_Application[[#This Row],[TODAY]]-qry_ProdData2_PDI_Cash_Exception_Application[[#This Row],[CHANGED ON]]</f>
        <v>9.7429282407392748</v>
      </c>
    </row>
    <row r="914" spans="1:14" x14ac:dyDescent="0.35">
      <c r="A914">
        <v>1004</v>
      </c>
      <c r="B914" t="s">
        <v>58</v>
      </c>
      <c r="C914" s="1">
        <v>45195.257071759261</v>
      </c>
      <c r="D914" t="str">
        <f ca="1">VLOOKUP(qry_ProdData2_PDI_Cash_Exception_Application[[#This Row],[TYPE]],#REF!,2,FALSE)</f>
        <v>type40</v>
      </c>
      <c r="E914">
        <v>750.49</v>
      </c>
      <c r="F914" t="s">
        <v>52</v>
      </c>
      <c r="G914" s="1">
        <f>qry_ProdData2_PDI_Cash_Exception_Application[[#This Row],[INSERT DATE]]+2</f>
        <v>45197.257071759261</v>
      </c>
      <c r="H914" t="str">
        <f>VLOOKUP(qry_ProdData2_PDI_Cash_Exception_Application[[#This Row],[MARKET No]],'Site Allocation'!$B$2:$C$37,2,FALSE)</f>
        <v>Analyst1</v>
      </c>
      <c r="I914" s="4">
        <f t="shared" ca="1" si="14"/>
        <v>45203</v>
      </c>
      <c r="J914" s="42">
        <f ca="1">TODAY()-qry_ProdData2_PDI_Cash_Exception_Application[[#This Row],[INSERT DATE]]</f>
        <v>7.7429282407392748</v>
      </c>
      <c r="K9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914">
        <f ca="1">qry_ProdData2_PDI_Cash_Exception_Application[[#This Row],[TODAY]]-qry_ProdData2_PDI_Cash_Exception_Application[[#This Row],[CHANGED ON]]</f>
        <v>5.7429282407392748</v>
      </c>
      <c r="M914">
        <f ca="1">qry_ProdData2_PDI_Cash_Exception_Application[[#This Row],[TODAY]]-qry_ProdData2_PDI_Cash_Exception_Application[[#This Row],[CHANGED ON]]</f>
        <v>5.7429282407392748</v>
      </c>
      <c r="N914">
        <f ca="1">qry_ProdData2_PDI_Cash_Exception_Application[[#This Row],[TODAY]]-qry_ProdData2_PDI_Cash_Exception_Application[[#This Row],[CHANGED ON]]</f>
        <v>5.7429282407392748</v>
      </c>
    </row>
    <row r="915" spans="1:14" x14ac:dyDescent="0.35">
      <c r="A915">
        <v>1010</v>
      </c>
      <c r="B915" t="s">
        <v>64</v>
      </c>
      <c r="C915" s="1">
        <v>45196.257071759261</v>
      </c>
      <c r="D915" t="str">
        <f ca="1">VLOOKUP(qry_ProdData2_PDI_Cash_Exception_Application[[#This Row],[TYPE]],#REF!,2,FALSE)</f>
        <v>type40</v>
      </c>
      <c r="E915">
        <v>20.16</v>
      </c>
      <c r="F915" t="s">
        <v>52</v>
      </c>
      <c r="G915" s="1">
        <f>qry_ProdData2_PDI_Cash_Exception_Application[[#This Row],[INSERT DATE]]+2</f>
        <v>45198.257071759261</v>
      </c>
      <c r="H915" t="str">
        <f>VLOOKUP(qry_ProdData2_PDI_Cash_Exception_Application[[#This Row],[MARKET No]],'Site Allocation'!$B$2:$C$37,2,FALSE)</f>
        <v>Analyst2</v>
      </c>
      <c r="I915" s="4">
        <f t="shared" ca="1" si="14"/>
        <v>45203</v>
      </c>
      <c r="J915" s="42">
        <f ca="1">TODAY()-qry_ProdData2_PDI_Cash_Exception_Application[[#This Row],[INSERT DATE]]</f>
        <v>6.7429282407392748</v>
      </c>
      <c r="K9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915">
        <f ca="1">qry_ProdData2_PDI_Cash_Exception_Application[[#This Row],[TODAY]]-qry_ProdData2_PDI_Cash_Exception_Application[[#This Row],[CHANGED ON]]</f>
        <v>4.7429282407392748</v>
      </c>
      <c r="M915">
        <f ca="1">qry_ProdData2_PDI_Cash_Exception_Application[[#This Row],[TODAY]]-qry_ProdData2_PDI_Cash_Exception_Application[[#This Row],[CHANGED ON]]</f>
        <v>4.7429282407392748</v>
      </c>
      <c r="N915">
        <f ca="1">qry_ProdData2_PDI_Cash_Exception_Application[[#This Row],[TODAY]]-qry_ProdData2_PDI_Cash_Exception_Application[[#This Row],[CHANGED ON]]</f>
        <v>4.7429282407392748</v>
      </c>
    </row>
    <row r="916" spans="1:14" x14ac:dyDescent="0.35">
      <c r="A916">
        <v>1026</v>
      </c>
      <c r="B916" t="s">
        <v>80</v>
      </c>
      <c r="C916" s="1">
        <v>45183.257071759261</v>
      </c>
      <c r="D916" t="str">
        <f ca="1">VLOOKUP(qry_ProdData2_PDI_Cash_Exception_Application[[#This Row],[TYPE]],#REF!,2,FALSE)</f>
        <v>type40</v>
      </c>
      <c r="E916">
        <v>-666.29</v>
      </c>
      <c r="F916" t="s">
        <v>51</v>
      </c>
      <c r="G916" s="1">
        <f>qry_ProdData2_PDI_Cash_Exception_Application[[#This Row],[INSERT DATE]]+7</f>
        <v>45190.257071759261</v>
      </c>
      <c r="H916" t="str">
        <f>VLOOKUP(qry_ProdData2_PDI_Cash_Exception_Application[[#This Row],[MARKET No]],'Site Allocation'!$B$2:$C$37,2,FALSE)</f>
        <v>Analyst5</v>
      </c>
      <c r="I916" s="4">
        <f t="shared" ca="1" si="14"/>
        <v>45203</v>
      </c>
      <c r="J916" s="42">
        <f ca="1">TODAY()-qry_ProdData2_PDI_Cash_Exception_Application[[#This Row],[INSERT DATE]]</f>
        <v>19.742928240739275</v>
      </c>
      <c r="K9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16">
        <f ca="1">qry_ProdData2_PDI_Cash_Exception_Application[[#This Row],[TODAY]]-qry_ProdData2_PDI_Cash_Exception_Application[[#This Row],[CHANGED ON]]</f>
        <v>12.742928240739275</v>
      </c>
      <c r="M916">
        <f ca="1">qry_ProdData2_PDI_Cash_Exception_Application[[#This Row],[TODAY]]-qry_ProdData2_PDI_Cash_Exception_Application[[#This Row],[CHANGED ON]]</f>
        <v>12.742928240739275</v>
      </c>
      <c r="N916">
        <f ca="1">qry_ProdData2_PDI_Cash_Exception_Application[[#This Row],[TODAY]]-qry_ProdData2_PDI_Cash_Exception_Application[[#This Row],[CHANGED ON]]</f>
        <v>12.742928240739275</v>
      </c>
    </row>
    <row r="917" spans="1:14" x14ac:dyDescent="0.35">
      <c r="A917">
        <v>1033</v>
      </c>
      <c r="B917" t="s">
        <v>87</v>
      </c>
      <c r="C917" s="1">
        <v>45184.257071759261</v>
      </c>
      <c r="D917" t="str">
        <f ca="1">VLOOKUP(qry_ProdData2_PDI_Cash_Exception_Application[[#This Row],[TYPE]],#REF!,2,FALSE)</f>
        <v>type40</v>
      </c>
      <c r="E917">
        <v>366.97</v>
      </c>
      <c r="F917" t="s">
        <v>49</v>
      </c>
      <c r="G917" s="1">
        <f>qry_ProdData2_PDI_Cash_Exception_Application[[#This Row],[INSERT DATE]]+2</f>
        <v>45186.257071759261</v>
      </c>
      <c r="H917" t="str">
        <f>VLOOKUP(qry_ProdData2_PDI_Cash_Exception_Application[[#This Row],[MARKET No]],'Site Allocation'!$B$2:$C$37,2,FALSE)</f>
        <v>Analyst6</v>
      </c>
      <c r="I917" s="4">
        <f t="shared" ca="1" si="14"/>
        <v>45203</v>
      </c>
      <c r="J917" s="42">
        <f ca="1">TODAY()-qry_ProdData2_PDI_Cash_Exception_Application[[#This Row],[INSERT DATE]]</f>
        <v>18.742928240739275</v>
      </c>
      <c r="K9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17">
        <f ca="1">qry_ProdData2_PDI_Cash_Exception_Application[[#This Row],[TODAY]]-qry_ProdData2_PDI_Cash_Exception_Application[[#This Row],[CHANGED ON]]</f>
        <v>16.742928240739275</v>
      </c>
      <c r="M917">
        <f ca="1">qry_ProdData2_PDI_Cash_Exception_Application[[#This Row],[TODAY]]-qry_ProdData2_PDI_Cash_Exception_Application[[#This Row],[CHANGED ON]]</f>
        <v>16.742928240739275</v>
      </c>
      <c r="N917">
        <f ca="1">qry_ProdData2_PDI_Cash_Exception_Application[[#This Row],[TODAY]]-qry_ProdData2_PDI_Cash_Exception_Application[[#This Row],[CHANGED ON]]</f>
        <v>16.742928240739275</v>
      </c>
    </row>
    <row r="918" spans="1:14" x14ac:dyDescent="0.35">
      <c r="A918">
        <v>1006</v>
      </c>
      <c r="B918" t="s">
        <v>60</v>
      </c>
      <c r="C918" s="1">
        <v>45181.257071759261</v>
      </c>
      <c r="D918" t="str">
        <f ca="1">VLOOKUP(qry_ProdData2_PDI_Cash_Exception_Application[[#This Row],[TYPE]],#REF!,2,FALSE)</f>
        <v>type38</v>
      </c>
      <c r="E918">
        <v>221.91</v>
      </c>
      <c r="F918" t="s">
        <v>48</v>
      </c>
      <c r="G918" s="1">
        <f>qry_ProdData2_PDI_Cash_Exception_Application[[#This Row],[INSERT DATE]]+7</f>
        <v>45188.257071759261</v>
      </c>
      <c r="H918" t="str">
        <f>VLOOKUP(qry_ProdData2_PDI_Cash_Exception_Application[[#This Row],[MARKET No]],'Site Allocation'!$B$2:$C$37,2,FALSE)</f>
        <v>Analyst2</v>
      </c>
      <c r="I918" s="4">
        <f t="shared" ca="1" si="14"/>
        <v>45203</v>
      </c>
      <c r="J918" s="42">
        <f ca="1">TODAY()-qry_ProdData2_PDI_Cash_Exception_Application[[#This Row],[INSERT DATE]]</f>
        <v>21.742928240739275</v>
      </c>
      <c r="K9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18">
        <f ca="1">qry_ProdData2_PDI_Cash_Exception_Application[[#This Row],[TODAY]]-qry_ProdData2_PDI_Cash_Exception_Application[[#This Row],[CHANGED ON]]</f>
        <v>14.742928240739275</v>
      </c>
      <c r="M918">
        <f ca="1">qry_ProdData2_PDI_Cash_Exception_Application[[#This Row],[TODAY]]-qry_ProdData2_PDI_Cash_Exception_Application[[#This Row],[CHANGED ON]]</f>
        <v>14.742928240739275</v>
      </c>
      <c r="N918">
        <f ca="1">qry_ProdData2_PDI_Cash_Exception_Application[[#This Row],[TODAY]]-qry_ProdData2_PDI_Cash_Exception_Application[[#This Row],[CHANGED ON]]</f>
        <v>14.742928240739275</v>
      </c>
    </row>
    <row r="919" spans="1:14" x14ac:dyDescent="0.35">
      <c r="A919">
        <v>1003</v>
      </c>
      <c r="B919" t="s">
        <v>57</v>
      </c>
      <c r="C919" s="1">
        <v>45187.257071759261</v>
      </c>
      <c r="D919" t="str">
        <f ca="1">VLOOKUP(qry_ProdData2_PDI_Cash_Exception_Application[[#This Row],[TYPE]],#REF!,2,FALSE)</f>
        <v>type40</v>
      </c>
      <c r="E919">
        <v>-387.32</v>
      </c>
      <c r="F919" t="s">
        <v>49</v>
      </c>
      <c r="G919" s="1">
        <f>qry_ProdData2_PDI_Cash_Exception_Application[[#This Row],[INSERT DATE]]+2</f>
        <v>45189.257071759261</v>
      </c>
      <c r="H919" t="str">
        <f>VLOOKUP(qry_ProdData2_PDI_Cash_Exception_Application[[#This Row],[MARKET No]],'Site Allocation'!$B$2:$C$37,2,FALSE)</f>
        <v>Analyst1</v>
      </c>
      <c r="I919" s="4">
        <f t="shared" ca="1" si="14"/>
        <v>45203</v>
      </c>
      <c r="J919" s="42">
        <f ca="1">TODAY()-qry_ProdData2_PDI_Cash_Exception_Application[[#This Row],[INSERT DATE]]</f>
        <v>15.742928240739275</v>
      </c>
      <c r="K9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19">
        <f ca="1">qry_ProdData2_PDI_Cash_Exception_Application[[#This Row],[TODAY]]-qry_ProdData2_PDI_Cash_Exception_Application[[#This Row],[CHANGED ON]]</f>
        <v>13.742928240739275</v>
      </c>
      <c r="M919">
        <f ca="1">qry_ProdData2_PDI_Cash_Exception_Application[[#This Row],[TODAY]]-qry_ProdData2_PDI_Cash_Exception_Application[[#This Row],[CHANGED ON]]</f>
        <v>13.742928240739275</v>
      </c>
      <c r="N919">
        <f ca="1">qry_ProdData2_PDI_Cash_Exception_Application[[#This Row],[TODAY]]-qry_ProdData2_PDI_Cash_Exception_Application[[#This Row],[CHANGED ON]]</f>
        <v>13.742928240739275</v>
      </c>
    </row>
    <row r="920" spans="1:14" x14ac:dyDescent="0.35">
      <c r="A920">
        <v>1002</v>
      </c>
      <c r="B920" t="s">
        <v>56</v>
      </c>
      <c r="C920" s="1">
        <v>45182.257071759261</v>
      </c>
      <c r="D920" t="str">
        <f ca="1">VLOOKUP(qry_ProdData2_PDI_Cash_Exception_Application[[#This Row],[TYPE]],#REF!,2,FALSE)</f>
        <v>type40</v>
      </c>
      <c r="E920">
        <v>17.829999999999998</v>
      </c>
      <c r="F920" t="s">
        <v>52</v>
      </c>
      <c r="G920" s="1">
        <f>qry_ProdData2_PDI_Cash_Exception_Application[[#This Row],[INSERT DATE]]+2</f>
        <v>45184.257071759261</v>
      </c>
      <c r="H920" t="str">
        <f>VLOOKUP(qry_ProdData2_PDI_Cash_Exception_Application[[#This Row],[MARKET No]],'Site Allocation'!$B$2:$C$37,2,FALSE)</f>
        <v>Analyst1</v>
      </c>
      <c r="I920" s="4">
        <f t="shared" ca="1" si="14"/>
        <v>45203</v>
      </c>
      <c r="J920" s="42">
        <f ca="1">TODAY()-qry_ProdData2_PDI_Cash_Exception_Application[[#This Row],[INSERT DATE]]</f>
        <v>20.742928240739275</v>
      </c>
      <c r="K9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20">
        <f ca="1">qry_ProdData2_PDI_Cash_Exception_Application[[#This Row],[TODAY]]-qry_ProdData2_PDI_Cash_Exception_Application[[#This Row],[CHANGED ON]]</f>
        <v>18.742928240739275</v>
      </c>
      <c r="M920">
        <f ca="1">qry_ProdData2_PDI_Cash_Exception_Application[[#This Row],[TODAY]]-qry_ProdData2_PDI_Cash_Exception_Application[[#This Row],[CHANGED ON]]</f>
        <v>18.742928240739275</v>
      </c>
      <c r="N920">
        <f ca="1">qry_ProdData2_PDI_Cash_Exception_Application[[#This Row],[TODAY]]-qry_ProdData2_PDI_Cash_Exception_Application[[#This Row],[CHANGED ON]]</f>
        <v>18.742928240739275</v>
      </c>
    </row>
    <row r="921" spans="1:14" x14ac:dyDescent="0.35">
      <c r="A921">
        <v>1024</v>
      </c>
      <c r="B921" t="s">
        <v>78</v>
      </c>
      <c r="C921" s="1">
        <v>45189.257071759261</v>
      </c>
      <c r="D921" t="str">
        <f ca="1">VLOOKUP(qry_ProdData2_PDI_Cash_Exception_Application[[#This Row],[TYPE]],#REF!,2,FALSE)</f>
        <v>type40</v>
      </c>
      <c r="E921">
        <v>-4257.59</v>
      </c>
      <c r="F921" t="s">
        <v>51</v>
      </c>
      <c r="G921" s="1">
        <f>qry_ProdData2_PDI_Cash_Exception_Application[[#This Row],[INSERT DATE]]+1</f>
        <v>45190.257071759261</v>
      </c>
      <c r="H921" t="str">
        <f>VLOOKUP(qry_ProdData2_PDI_Cash_Exception_Application[[#This Row],[MARKET No]],'Site Allocation'!$B$2:$C$37,2,FALSE)</f>
        <v>Analyst5</v>
      </c>
      <c r="I921" s="4">
        <f t="shared" ca="1" si="14"/>
        <v>45203</v>
      </c>
      <c r="J921" s="42">
        <f ca="1">TODAY()-qry_ProdData2_PDI_Cash_Exception_Application[[#This Row],[INSERT DATE]]</f>
        <v>13.742928240739275</v>
      </c>
      <c r="K9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21">
        <f ca="1">qry_ProdData2_PDI_Cash_Exception_Application[[#This Row],[TODAY]]-qry_ProdData2_PDI_Cash_Exception_Application[[#This Row],[CHANGED ON]]</f>
        <v>12.742928240739275</v>
      </c>
      <c r="M921">
        <f ca="1">qry_ProdData2_PDI_Cash_Exception_Application[[#This Row],[TODAY]]-qry_ProdData2_PDI_Cash_Exception_Application[[#This Row],[CHANGED ON]]</f>
        <v>12.742928240739275</v>
      </c>
      <c r="N921">
        <f ca="1">qry_ProdData2_PDI_Cash_Exception_Application[[#This Row],[TODAY]]-qry_ProdData2_PDI_Cash_Exception_Application[[#This Row],[CHANGED ON]]</f>
        <v>12.742928240739275</v>
      </c>
    </row>
    <row r="922" spans="1:14" x14ac:dyDescent="0.35">
      <c r="A922">
        <v>1031</v>
      </c>
      <c r="B922" t="s">
        <v>85</v>
      </c>
      <c r="C922" s="1">
        <v>45187.257071759261</v>
      </c>
      <c r="D922" t="str">
        <f ca="1">VLOOKUP(qry_ProdData2_PDI_Cash_Exception_Application[[#This Row],[TYPE]],#REF!,2,FALSE)</f>
        <v>type40</v>
      </c>
      <c r="E922">
        <v>-1004.3</v>
      </c>
      <c r="F922" t="s">
        <v>49</v>
      </c>
      <c r="G922" s="1">
        <f>qry_ProdData2_PDI_Cash_Exception_Application[[#This Row],[INSERT DATE]]+2</f>
        <v>45189.257071759261</v>
      </c>
      <c r="H922" t="str">
        <f>VLOOKUP(qry_ProdData2_PDI_Cash_Exception_Application[[#This Row],[MARKET No]],'Site Allocation'!$B$2:$C$37,2,FALSE)</f>
        <v>Analyst6</v>
      </c>
      <c r="I922" s="4">
        <f t="shared" ca="1" si="14"/>
        <v>45203</v>
      </c>
      <c r="J922" s="42">
        <f ca="1">TODAY()-qry_ProdData2_PDI_Cash_Exception_Application[[#This Row],[INSERT DATE]]</f>
        <v>15.742928240739275</v>
      </c>
      <c r="K9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22">
        <f ca="1">qry_ProdData2_PDI_Cash_Exception_Application[[#This Row],[TODAY]]-qry_ProdData2_PDI_Cash_Exception_Application[[#This Row],[CHANGED ON]]</f>
        <v>13.742928240739275</v>
      </c>
      <c r="M922">
        <f ca="1">qry_ProdData2_PDI_Cash_Exception_Application[[#This Row],[TODAY]]-qry_ProdData2_PDI_Cash_Exception_Application[[#This Row],[CHANGED ON]]</f>
        <v>13.742928240739275</v>
      </c>
      <c r="N922">
        <f ca="1">qry_ProdData2_PDI_Cash_Exception_Application[[#This Row],[TODAY]]-qry_ProdData2_PDI_Cash_Exception_Application[[#This Row],[CHANGED ON]]</f>
        <v>13.742928240739275</v>
      </c>
    </row>
    <row r="923" spans="1:14" x14ac:dyDescent="0.35">
      <c r="A923">
        <v>1029</v>
      </c>
      <c r="B923" t="s">
        <v>83</v>
      </c>
      <c r="C923" s="1">
        <v>45184.257071759261</v>
      </c>
      <c r="D923" t="str">
        <f ca="1">VLOOKUP(qry_ProdData2_PDI_Cash_Exception_Application[[#This Row],[TYPE]],#REF!,2,FALSE)</f>
        <v>type38</v>
      </c>
      <c r="E923">
        <v>309.06</v>
      </c>
      <c r="F923" t="s">
        <v>48</v>
      </c>
      <c r="G923" s="1">
        <f>qry_ProdData2_PDI_Cash_Exception_Application[[#This Row],[INSERT DATE]]+7</f>
        <v>45191.257071759261</v>
      </c>
      <c r="H923" t="str">
        <f>VLOOKUP(qry_ProdData2_PDI_Cash_Exception_Application[[#This Row],[MARKET No]],'Site Allocation'!$B$2:$C$37,2,FALSE)</f>
        <v>Analyst5</v>
      </c>
      <c r="I923" s="4">
        <f t="shared" ca="1" si="14"/>
        <v>45203</v>
      </c>
      <c r="J923" s="42">
        <f ca="1">TODAY()-qry_ProdData2_PDI_Cash_Exception_Application[[#This Row],[INSERT DATE]]</f>
        <v>18.742928240739275</v>
      </c>
      <c r="K9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23">
        <f ca="1">qry_ProdData2_PDI_Cash_Exception_Application[[#This Row],[TODAY]]-qry_ProdData2_PDI_Cash_Exception_Application[[#This Row],[CHANGED ON]]</f>
        <v>11.742928240739275</v>
      </c>
      <c r="M923">
        <f ca="1">qry_ProdData2_PDI_Cash_Exception_Application[[#This Row],[TODAY]]-qry_ProdData2_PDI_Cash_Exception_Application[[#This Row],[CHANGED ON]]</f>
        <v>11.742928240739275</v>
      </c>
      <c r="N923">
        <f ca="1">qry_ProdData2_PDI_Cash_Exception_Application[[#This Row],[TODAY]]-qry_ProdData2_PDI_Cash_Exception_Application[[#This Row],[CHANGED ON]]</f>
        <v>11.742928240739275</v>
      </c>
    </row>
    <row r="924" spans="1:14" x14ac:dyDescent="0.35">
      <c r="A924">
        <v>1030</v>
      </c>
      <c r="B924" t="s">
        <v>84</v>
      </c>
      <c r="C924" s="1">
        <v>45184.257071759261</v>
      </c>
      <c r="D924" t="str">
        <f ca="1">VLOOKUP(qry_ProdData2_PDI_Cash_Exception_Application[[#This Row],[TYPE]],#REF!,2,FALSE)</f>
        <v>type13</v>
      </c>
      <c r="E924">
        <v>21035.93</v>
      </c>
      <c r="F924" t="s">
        <v>52</v>
      </c>
      <c r="G924" s="1">
        <f>qry_ProdData2_PDI_Cash_Exception_Application[[#This Row],[INSERT DATE]]+2</f>
        <v>45186.257071759261</v>
      </c>
      <c r="H924" t="str">
        <f>VLOOKUP(qry_ProdData2_PDI_Cash_Exception_Application[[#This Row],[MARKET No]],'Site Allocation'!$B$2:$C$37,2,FALSE)</f>
        <v>Analyst6</v>
      </c>
      <c r="I924" s="4">
        <f t="shared" ca="1" si="14"/>
        <v>45203</v>
      </c>
      <c r="J924" s="42">
        <f ca="1">TODAY()-qry_ProdData2_PDI_Cash_Exception_Application[[#This Row],[INSERT DATE]]</f>
        <v>18.742928240739275</v>
      </c>
      <c r="K9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24">
        <f ca="1">qry_ProdData2_PDI_Cash_Exception_Application[[#This Row],[TODAY]]-qry_ProdData2_PDI_Cash_Exception_Application[[#This Row],[CHANGED ON]]</f>
        <v>16.742928240739275</v>
      </c>
      <c r="M924">
        <f ca="1">qry_ProdData2_PDI_Cash_Exception_Application[[#This Row],[TODAY]]-qry_ProdData2_PDI_Cash_Exception_Application[[#This Row],[CHANGED ON]]</f>
        <v>16.742928240739275</v>
      </c>
      <c r="N924">
        <f ca="1">qry_ProdData2_PDI_Cash_Exception_Application[[#This Row],[TODAY]]-qry_ProdData2_PDI_Cash_Exception_Application[[#This Row],[CHANGED ON]]</f>
        <v>16.742928240739275</v>
      </c>
    </row>
    <row r="925" spans="1:14" x14ac:dyDescent="0.35">
      <c r="A925">
        <v>1031</v>
      </c>
      <c r="B925" t="s">
        <v>85</v>
      </c>
      <c r="C925" s="1">
        <v>45185.257071759261</v>
      </c>
      <c r="D925" t="str">
        <f ca="1">VLOOKUP(qry_ProdData2_PDI_Cash_Exception_Application[[#This Row],[TYPE]],#REF!,2,FALSE)</f>
        <v>type40</v>
      </c>
      <c r="E925">
        <v>-387.77</v>
      </c>
      <c r="F925" t="s">
        <v>48</v>
      </c>
      <c r="G925" s="1">
        <f>qry_ProdData2_PDI_Cash_Exception_Application[[#This Row],[INSERT DATE]]+7</f>
        <v>45192.257071759261</v>
      </c>
      <c r="H925" t="str">
        <f>VLOOKUP(qry_ProdData2_PDI_Cash_Exception_Application[[#This Row],[MARKET No]],'Site Allocation'!$B$2:$C$37,2,FALSE)</f>
        <v>Analyst6</v>
      </c>
      <c r="I925" s="4">
        <f t="shared" ca="1" si="14"/>
        <v>45203</v>
      </c>
      <c r="J925" s="42">
        <f ca="1">TODAY()-qry_ProdData2_PDI_Cash_Exception_Application[[#This Row],[INSERT DATE]]</f>
        <v>17.742928240739275</v>
      </c>
      <c r="K9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25">
        <f ca="1">qry_ProdData2_PDI_Cash_Exception_Application[[#This Row],[TODAY]]-qry_ProdData2_PDI_Cash_Exception_Application[[#This Row],[CHANGED ON]]</f>
        <v>10.742928240739275</v>
      </c>
      <c r="M925">
        <f ca="1">qry_ProdData2_PDI_Cash_Exception_Application[[#This Row],[TODAY]]-qry_ProdData2_PDI_Cash_Exception_Application[[#This Row],[CHANGED ON]]</f>
        <v>10.742928240739275</v>
      </c>
      <c r="N925">
        <f ca="1">qry_ProdData2_PDI_Cash_Exception_Application[[#This Row],[TODAY]]-qry_ProdData2_PDI_Cash_Exception_Application[[#This Row],[CHANGED ON]]</f>
        <v>10.742928240739275</v>
      </c>
    </row>
    <row r="926" spans="1:14" x14ac:dyDescent="0.35">
      <c r="A926">
        <v>1035</v>
      </c>
      <c r="B926" t="s">
        <v>89</v>
      </c>
      <c r="C926" s="1">
        <v>45186.257071759261</v>
      </c>
      <c r="D926" t="str">
        <f ca="1">VLOOKUP(qry_ProdData2_PDI_Cash_Exception_Application[[#This Row],[TYPE]],#REF!,2,FALSE)</f>
        <v>type2</v>
      </c>
      <c r="E926">
        <v>1796</v>
      </c>
      <c r="F926" t="s">
        <v>47</v>
      </c>
      <c r="G926" s="1">
        <f>qry_ProdData2_PDI_Cash_Exception_Application[[#This Row],[INSERT DATE]]+1</f>
        <v>45187.257071759261</v>
      </c>
      <c r="H926" t="str">
        <f>VLOOKUP(qry_ProdData2_PDI_Cash_Exception_Application[[#This Row],[MARKET No]],'Site Allocation'!$B$2:$C$37,2,FALSE)</f>
        <v>Analyst6</v>
      </c>
      <c r="I926" s="4">
        <f t="shared" ca="1" si="14"/>
        <v>45203</v>
      </c>
      <c r="J926" s="42">
        <f ca="1">TODAY()-qry_ProdData2_PDI_Cash_Exception_Application[[#This Row],[INSERT DATE]]</f>
        <v>16.742928240739275</v>
      </c>
      <c r="K9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26">
        <f ca="1">qry_ProdData2_PDI_Cash_Exception_Application[[#This Row],[TODAY]]-qry_ProdData2_PDI_Cash_Exception_Application[[#This Row],[CHANGED ON]]</f>
        <v>15.742928240739275</v>
      </c>
      <c r="M926">
        <f ca="1">qry_ProdData2_PDI_Cash_Exception_Application[[#This Row],[TODAY]]-qry_ProdData2_PDI_Cash_Exception_Application[[#This Row],[CHANGED ON]]</f>
        <v>15.742928240739275</v>
      </c>
      <c r="N926">
        <f ca="1">qry_ProdData2_PDI_Cash_Exception_Application[[#This Row],[TODAY]]-qry_ProdData2_PDI_Cash_Exception_Application[[#This Row],[CHANGED ON]]</f>
        <v>15.742928240739275</v>
      </c>
    </row>
    <row r="927" spans="1:14" x14ac:dyDescent="0.35">
      <c r="A927">
        <v>1024</v>
      </c>
      <c r="B927" t="s">
        <v>78</v>
      </c>
      <c r="C927" s="1">
        <v>45185.257071759261</v>
      </c>
      <c r="D927" t="str">
        <f ca="1">VLOOKUP(qry_ProdData2_PDI_Cash_Exception_Application[[#This Row],[TYPE]],#REF!,2,FALSE)</f>
        <v>type40</v>
      </c>
      <c r="E927">
        <v>370.05</v>
      </c>
      <c r="F927" t="s">
        <v>48</v>
      </c>
      <c r="G927" s="1">
        <f>qry_ProdData2_PDI_Cash_Exception_Application[[#This Row],[INSERT DATE]]+1</f>
        <v>45186.257071759261</v>
      </c>
      <c r="H927" t="str">
        <f>VLOOKUP(qry_ProdData2_PDI_Cash_Exception_Application[[#This Row],[MARKET No]],'Site Allocation'!$B$2:$C$37,2,FALSE)</f>
        <v>Analyst5</v>
      </c>
      <c r="I927" s="4">
        <f t="shared" ca="1" si="14"/>
        <v>45203</v>
      </c>
      <c r="J927" s="42">
        <f ca="1">TODAY()-qry_ProdData2_PDI_Cash_Exception_Application[[#This Row],[INSERT DATE]]</f>
        <v>17.742928240739275</v>
      </c>
      <c r="K9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27">
        <f ca="1">qry_ProdData2_PDI_Cash_Exception_Application[[#This Row],[TODAY]]-qry_ProdData2_PDI_Cash_Exception_Application[[#This Row],[CHANGED ON]]</f>
        <v>16.742928240739275</v>
      </c>
      <c r="M927">
        <f ca="1">qry_ProdData2_PDI_Cash_Exception_Application[[#This Row],[TODAY]]-qry_ProdData2_PDI_Cash_Exception_Application[[#This Row],[CHANGED ON]]</f>
        <v>16.742928240739275</v>
      </c>
      <c r="N927">
        <f ca="1">qry_ProdData2_PDI_Cash_Exception_Application[[#This Row],[TODAY]]-qry_ProdData2_PDI_Cash_Exception_Application[[#This Row],[CHANGED ON]]</f>
        <v>16.742928240739275</v>
      </c>
    </row>
    <row r="928" spans="1:14" x14ac:dyDescent="0.35">
      <c r="A928">
        <v>1003</v>
      </c>
      <c r="B928" t="s">
        <v>57</v>
      </c>
      <c r="C928" s="1">
        <v>45186.257071759261</v>
      </c>
      <c r="D928" t="str">
        <f ca="1">VLOOKUP(qry_ProdData2_PDI_Cash_Exception_Application[[#This Row],[TYPE]],#REF!,2,FALSE)</f>
        <v>type13</v>
      </c>
      <c r="E928">
        <v>23574.63</v>
      </c>
      <c r="F928" t="s">
        <v>50</v>
      </c>
      <c r="G928" s="1">
        <f>qry_ProdData2_PDI_Cash_Exception_Application[[#This Row],[INSERT DATE]]+5</f>
        <v>45191.257071759261</v>
      </c>
      <c r="H928" t="str">
        <f>VLOOKUP(qry_ProdData2_PDI_Cash_Exception_Application[[#This Row],[MARKET No]],'Site Allocation'!$B$2:$C$37,2,FALSE)</f>
        <v>Analyst1</v>
      </c>
      <c r="I928" s="4">
        <f t="shared" ca="1" si="14"/>
        <v>45203</v>
      </c>
      <c r="J928" s="42">
        <f ca="1">TODAY()-qry_ProdData2_PDI_Cash_Exception_Application[[#This Row],[INSERT DATE]]</f>
        <v>16.742928240739275</v>
      </c>
      <c r="K9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28">
        <f ca="1">qry_ProdData2_PDI_Cash_Exception_Application[[#This Row],[TODAY]]-qry_ProdData2_PDI_Cash_Exception_Application[[#This Row],[CHANGED ON]]</f>
        <v>11.742928240739275</v>
      </c>
      <c r="M928">
        <f ca="1">qry_ProdData2_PDI_Cash_Exception_Application[[#This Row],[TODAY]]-qry_ProdData2_PDI_Cash_Exception_Application[[#This Row],[CHANGED ON]]</f>
        <v>11.742928240739275</v>
      </c>
      <c r="N928">
        <f ca="1">qry_ProdData2_PDI_Cash_Exception_Application[[#This Row],[TODAY]]-qry_ProdData2_PDI_Cash_Exception_Application[[#This Row],[CHANGED ON]]</f>
        <v>11.742928240739275</v>
      </c>
    </row>
    <row r="929" spans="1:14" x14ac:dyDescent="0.35">
      <c r="A929">
        <v>1002</v>
      </c>
      <c r="B929" t="s">
        <v>56</v>
      </c>
      <c r="C929" s="1">
        <v>45186.257071759261</v>
      </c>
      <c r="D929" t="str">
        <f ca="1">VLOOKUP(qry_ProdData2_PDI_Cash_Exception_Application[[#This Row],[TYPE]],#REF!,2,FALSE)</f>
        <v>type40</v>
      </c>
      <c r="E929">
        <v>1025.1300000000001</v>
      </c>
      <c r="F929" t="s">
        <v>48</v>
      </c>
      <c r="G929" s="1">
        <f>qry_ProdData2_PDI_Cash_Exception_Application[[#This Row],[INSERT DATE]]+2</f>
        <v>45188.257071759261</v>
      </c>
      <c r="H929" t="str">
        <f>VLOOKUP(qry_ProdData2_PDI_Cash_Exception_Application[[#This Row],[MARKET No]],'Site Allocation'!$B$2:$C$37,2,FALSE)</f>
        <v>Analyst1</v>
      </c>
      <c r="I929" s="4">
        <f t="shared" ca="1" si="14"/>
        <v>45203</v>
      </c>
      <c r="J929" s="42">
        <f ca="1">TODAY()-qry_ProdData2_PDI_Cash_Exception_Application[[#This Row],[INSERT DATE]]</f>
        <v>16.742928240739275</v>
      </c>
      <c r="K9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29">
        <f ca="1">qry_ProdData2_PDI_Cash_Exception_Application[[#This Row],[TODAY]]-qry_ProdData2_PDI_Cash_Exception_Application[[#This Row],[CHANGED ON]]</f>
        <v>14.742928240739275</v>
      </c>
      <c r="M929">
        <f ca="1">qry_ProdData2_PDI_Cash_Exception_Application[[#This Row],[TODAY]]-qry_ProdData2_PDI_Cash_Exception_Application[[#This Row],[CHANGED ON]]</f>
        <v>14.742928240739275</v>
      </c>
      <c r="N929">
        <f ca="1">qry_ProdData2_PDI_Cash_Exception_Application[[#This Row],[TODAY]]-qry_ProdData2_PDI_Cash_Exception_Application[[#This Row],[CHANGED ON]]</f>
        <v>14.742928240739275</v>
      </c>
    </row>
    <row r="930" spans="1:14" x14ac:dyDescent="0.35">
      <c r="A930">
        <v>1016</v>
      </c>
      <c r="B930" t="s">
        <v>70</v>
      </c>
      <c r="C930" s="1">
        <v>45190.257071759261</v>
      </c>
      <c r="D930" t="str">
        <f ca="1">VLOOKUP(qry_ProdData2_PDI_Cash_Exception_Application[[#This Row],[TYPE]],#REF!,2,FALSE)</f>
        <v>type13</v>
      </c>
      <c r="E930">
        <v>15307.42</v>
      </c>
      <c r="F930" t="s">
        <v>49</v>
      </c>
      <c r="G930" s="1">
        <f>qry_ProdData2_PDI_Cash_Exception_Application[[#This Row],[INSERT DATE]]+7</f>
        <v>45197.257071759261</v>
      </c>
      <c r="H930" t="str">
        <f>VLOOKUP(qry_ProdData2_PDI_Cash_Exception_Application[[#This Row],[MARKET No]],'Site Allocation'!$B$2:$C$37,2,FALSE)</f>
        <v>Analyst3</v>
      </c>
      <c r="I930" s="4">
        <f t="shared" ca="1" si="14"/>
        <v>45203</v>
      </c>
      <c r="J930" s="42">
        <f ca="1">TODAY()-qry_ProdData2_PDI_Cash_Exception_Application[[#This Row],[INSERT DATE]]</f>
        <v>12.742928240739275</v>
      </c>
      <c r="K9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30">
        <f ca="1">qry_ProdData2_PDI_Cash_Exception_Application[[#This Row],[TODAY]]-qry_ProdData2_PDI_Cash_Exception_Application[[#This Row],[CHANGED ON]]</f>
        <v>5.7429282407392748</v>
      </c>
      <c r="M930">
        <f ca="1">qry_ProdData2_PDI_Cash_Exception_Application[[#This Row],[TODAY]]-qry_ProdData2_PDI_Cash_Exception_Application[[#This Row],[CHANGED ON]]</f>
        <v>5.7429282407392748</v>
      </c>
      <c r="N930">
        <f ca="1">qry_ProdData2_PDI_Cash_Exception_Application[[#This Row],[TODAY]]-qry_ProdData2_PDI_Cash_Exception_Application[[#This Row],[CHANGED ON]]</f>
        <v>5.7429282407392748</v>
      </c>
    </row>
    <row r="931" spans="1:14" x14ac:dyDescent="0.35">
      <c r="A931">
        <v>1026</v>
      </c>
      <c r="B931" t="s">
        <v>80</v>
      </c>
      <c r="C931" s="1">
        <v>45187.257071759261</v>
      </c>
      <c r="D931" t="str">
        <f ca="1">VLOOKUP(qry_ProdData2_PDI_Cash_Exception_Application[[#This Row],[TYPE]],#REF!,2,FALSE)</f>
        <v>type40</v>
      </c>
      <c r="E931">
        <v>-1353.38</v>
      </c>
      <c r="F931" t="s">
        <v>48</v>
      </c>
      <c r="G931" s="1">
        <f>qry_ProdData2_PDI_Cash_Exception_Application[[#This Row],[INSERT DATE]]+5</f>
        <v>45192.257071759261</v>
      </c>
      <c r="H931" t="str">
        <f>VLOOKUP(qry_ProdData2_PDI_Cash_Exception_Application[[#This Row],[MARKET No]],'Site Allocation'!$B$2:$C$37,2,FALSE)</f>
        <v>Analyst5</v>
      </c>
      <c r="I931" s="4">
        <f t="shared" ca="1" si="14"/>
        <v>45203</v>
      </c>
      <c r="J931" s="42">
        <f ca="1">TODAY()-qry_ProdData2_PDI_Cash_Exception_Application[[#This Row],[INSERT DATE]]</f>
        <v>15.742928240739275</v>
      </c>
      <c r="K9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31">
        <f ca="1">qry_ProdData2_PDI_Cash_Exception_Application[[#This Row],[TODAY]]-qry_ProdData2_PDI_Cash_Exception_Application[[#This Row],[CHANGED ON]]</f>
        <v>10.742928240739275</v>
      </c>
      <c r="M931">
        <f ca="1">qry_ProdData2_PDI_Cash_Exception_Application[[#This Row],[TODAY]]-qry_ProdData2_PDI_Cash_Exception_Application[[#This Row],[CHANGED ON]]</f>
        <v>10.742928240739275</v>
      </c>
      <c r="N931">
        <f ca="1">qry_ProdData2_PDI_Cash_Exception_Application[[#This Row],[TODAY]]-qry_ProdData2_PDI_Cash_Exception_Application[[#This Row],[CHANGED ON]]</f>
        <v>10.742928240739275</v>
      </c>
    </row>
    <row r="932" spans="1:14" x14ac:dyDescent="0.35">
      <c r="A932">
        <v>1027</v>
      </c>
      <c r="B932" t="s">
        <v>81</v>
      </c>
      <c r="C932" s="1">
        <v>45183.257071759261</v>
      </c>
      <c r="D932" t="str">
        <f ca="1">VLOOKUP(qry_ProdData2_PDI_Cash_Exception_Application[[#This Row],[TYPE]],#REF!,2,FALSE)</f>
        <v>type40</v>
      </c>
      <c r="E932">
        <v>-503.59</v>
      </c>
      <c r="F932" t="s">
        <v>49</v>
      </c>
      <c r="G932" s="1">
        <f>qry_ProdData2_PDI_Cash_Exception_Application[[#This Row],[INSERT DATE]]+7</f>
        <v>45190.257071759261</v>
      </c>
      <c r="H932" t="str">
        <f>VLOOKUP(qry_ProdData2_PDI_Cash_Exception_Application[[#This Row],[MARKET No]],'Site Allocation'!$B$2:$C$37,2,FALSE)</f>
        <v>Analyst5</v>
      </c>
      <c r="I932" s="4">
        <f t="shared" ca="1" si="14"/>
        <v>45203</v>
      </c>
      <c r="J932" s="42">
        <f ca="1">TODAY()-qry_ProdData2_PDI_Cash_Exception_Application[[#This Row],[INSERT DATE]]</f>
        <v>19.742928240739275</v>
      </c>
      <c r="K9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32">
        <f ca="1">qry_ProdData2_PDI_Cash_Exception_Application[[#This Row],[TODAY]]-qry_ProdData2_PDI_Cash_Exception_Application[[#This Row],[CHANGED ON]]</f>
        <v>12.742928240739275</v>
      </c>
      <c r="M932">
        <f ca="1">qry_ProdData2_PDI_Cash_Exception_Application[[#This Row],[TODAY]]-qry_ProdData2_PDI_Cash_Exception_Application[[#This Row],[CHANGED ON]]</f>
        <v>12.742928240739275</v>
      </c>
      <c r="N932">
        <f ca="1">qry_ProdData2_PDI_Cash_Exception_Application[[#This Row],[TODAY]]-qry_ProdData2_PDI_Cash_Exception_Application[[#This Row],[CHANGED ON]]</f>
        <v>12.742928240739275</v>
      </c>
    </row>
    <row r="933" spans="1:14" x14ac:dyDescent="0.35">
      <c r="A933">
        <v>1019</v>
      </c>
      <c r="B933" t="s">
        <v>73</v>
      </c>
      <c r="C933" s="1">
        <v>45190.257071759261</v>
      </c>
      <c r="D933" t="str">
        <f ca="1">VLOOKUP(qry_ProdData2_PDI_Cash_Exception_Application[[#This Row],[TYPE]],#REF!,2,FALSE)</f>
        <v>type40</v>
      </c>
      <c r="E933">
        <v>-5434.58</v>
      </c>
      <c r="F933" t="s">
        <v>51</v>
      </c>
      <c r="G933" s="1">
        <f>qry_ProdData2_PDI_Cash_Exception_Application[[#This Row],[INSERT DATE]]+1</f>
        <v>45191.257071759261</v>
      </c>
      <c r="H933" t="str">
        <f>VLOOKUP(qry_ProdData2_PDI_Cash_Exception_Application[[#This Row],[MARKET No]],'Site Allocation'!$B$2:$C$37,2,FALSE)</f>
        <v>Analyst4</v>
      </c>
      <c r="I933" s="4">
        <f t="shared" ca="1" si="14"/>
        <v>45203</v>
      </c>
      <c r="J933" s="42">
        <f ca="1">TODAY()-qry_ProdData2_PDI_Cash_Exception_Application[[#This Row],[INSERT DATE]]</f>
        <v>12.742928240739275</v>
      </c>
      <c r="K9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33">
        <f ca="1">qry_ProdData2_PDI_Cash_Exception_Application[[#This Row],[TODAY]]-qry_ProdData2_PDI_Cash_Exception_Application[[#This Row],[CHANGED ON]]</f>
        <v>11.742928240739275</v>
      </c>
      <c r="M933">
        <f ca="1">qry_ProdData2_PDI_Cash_Exception_Application[[#This Row],[TODAY]]-qry_ProdData2_PDI_Cash_Exception_Application[[#This Row],[CHANGED ON]]</f>
        <v>11.742928240739275</v>
      </c>
      <c r="N933">
        <f ca="1">qry_ProdData2_PDI_Cash_Exception_Application[[#This Row],[TODAY]]-qry_ProdData2_PDI_Cash_Exception_Application[[#This Row],[CHANGED ON]]</f>
        <v>11.742928240739275</v>
      </c>
    </row>
    <row r="934" spans="1:14" x14ac:dyDescent="0.35">
      <c r="A934">
        <v>1003</v>
      </c>
      <c r="B934" t="s">
        <v>57</v>
      </c>
      <c r="C934" s="1">
        <v>45184.257071759261</v>
      </c>
      <c r="D934" t="str">
        <f ca="1">VLOOKUP(qry_ProdData2_PDI_Cash_Exception_Application[[#This Row],[TYPE]],#REF!,2,FALSE)</f>
        <v>type13</v>
      </c>
      <c r="E934">
        <v>29008.97</v>
      </c>
      <c r="F934" t="s">
        <v>49</v>
      </c>
      <c r="G934" s="1">
        <f>qry_ProdData2_PDI_Cash_Exception_Application[[#This Row],[INSERT DATE]]+1</f>
        <v>45185.257071759261</v>
      </c>
      <c r="H934" t="str">
        <f>VLOOKUP(qry_ProdData2_PDI_Cash_Exception_Application[[#This Row],[MARKET No]],'Site Allocation'!$B$2:$C$37,2,FALSE)</f>
        <v>Analyst1</v>
      </c>
      <c r="I934" s="4">
        <f t="shared" ca="1" si="14"/>
        <v>45203</v>
      </c>
      <c r="J934" s="42">
        <f ca="1">TODAY()-qry_ProdData2_PDI_Cash_Exception_Application[[#This Row],[INSERT DATE]]</f>
        <v>18.742928240739275</v>
      </c>
      <c r="K9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34">
        <f ca="1">qry_ProdData2_PDI_Cash_Exception_Application[[#This Row],[TODAY]]-qry_ProdData2_PDI_Cash_Exception_Application[[#This Row],[CHANGED ON]]</f>
        <v>17.742928240739275</v>
      </c>
      <c r="M934">
        <f ca="1">qry_ProdData2_PDI_Cash_Exception_Application[[#This Row],[TODAY]]-qry_ProdData2_PDI_Cash_Exception_Application[[#This Row],[CHANGED ON]]</f>
        <v>17.742928240739275</v>
      </c>
      <c r="N934">
        <f ca="1">qry_ProdData2_PDI_Cash_Exception_Application[[#This Row],[TODAY]]-qry_ProdData2_PDI_Cash_Exception_Application[[#This Row],[CHANGED ON]]</f>
        <v>17.742928240739275</v>
      </c>
    </row>
    <row r="935" spans="1:14" x14ac:dyDescent="0.35">
      <c r="A935">
        <v>1031</v>
      </c>
      <c r="B935" t="s">
        <v>85</v>
      </c>
      <c r="C935" s="1">
        <v>45187.257071759261</v>
      </c>
      <c r="D935" t="str">
        <f ca="1">VLOOKUP(qry_ProdData2_PDI_Cash_Exception_Application[[#This Row],[TYPE]],#REF!,2,FALSE)</f>
        <v>type40</v>
      </c>
      <c r="E935">
        <v>-558.64</v>
      </c>
      <c r="F935" t="s">
        <v>47</v>
      </c>
      <c r="G935" s="1">
        <f>qry_ProdData2_PDI_Cash_Exception_Application[[#This Row],[INSERT DATE]]+1</f>
        <v>45188.257071759261</v>
      </c>
      <c r="H935" t="str">
        <f>VLOOKUP(qry_ProdData2_PDI_Cash_Exception_Application[[#This Row],[MARKET No]],'Site Allocation'!$B$2:$C$37,2,FALSE)</f>
        <v>Analyst6</v>
      </c>
      <c r="I935" s="4">
        <f t="shared" ca="1" si="14"/>
        <v>45203</v>
      </c>
      <c r="J935" s="42">
        <f ca="1">TODAY()-qry_ProdData2_PDI_Cash_Exception_Application[[#This Row],[INSERT DATE]]</f>
        <v>15.742928240739275</v>
      </c>
      <c r="K9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35">
        <f ca="1">qry_ProdData2_PDI_Cash_Exception_Application[[#This Row],[TODAY]]-qry_ProdData2_PDI_Cash_Exception_Application[[#This Row],[CHANGED ON]]</f>
        <v>14.742928240739275</v>
      </c>
      <c r="M935">
        <f ca="1">qry_ProdData2_PDI_Cash_Exception_Application[[#This Row],[TODAY]]-qry_ProdData2_PDI_Cash_Exception_Application[[#This Row],[CHANGED ON]]</f>
        <v>14.742928240739275</v>
      </c>
      <c r="N935">
        <f ca="1">qry_ProdData2_PDI_Cash_Exception_Application[[#This Row],[TODAY]]-qry_ProdData2_PDI_Cash_Exception_Application[[#This Row],[CHANGED ON]]</f>
        <v>14.742928240739275</v>
      </c>
    </row>
    <row r="936" spans="1:14" x14ac:dyDescent="0.35">
      <c r="A936">
        <v>1017</v>
      </c>
      <c r="B936" t="s">
        <v>71</v>
      </c>
      <c r="C936" s="1">
        <v>45191.257071759261</v>
      </c>
      <c r="D936" t="str">
        <f ca="1">VLOOKUP(qry_ProdData2_PDI_Cash_Exception_Application[[#This Row],[TYPE]],#REF!,2,FALSE)</f>
        <v>type40</v>
      </c>
      <c r="E936">
        <v>-2523.94</v>
      </c>
      <c r="F936" t="s">
        <v>48</v>
      </c>
      <c r="G936" s="1">
        <f>qry_ProdData2_PDI_Cash_Exception_Application[[#This Row],[INSERT DATE]]+5</f>
        <v>45196.257071759261</v>
      </c>
      <c r="H936" t="str">
        <f>VLOOKUP(qry_ProdData2_PDI_Cash_Exception_Application[[#This Row],[MARKET No]],'Site Allocation'!$B$2:$C$37,2,FALSE)</f>
        <v>Analyst3</v>
      </c>
      <c r="I936" s="4">
        <f t="shared" ca="1" si="14"/>
        <v>45203</v>
      </c>
      <c r="J936" s="42">
        <f ca="1">TODAY()-qry_ProdData2_PDI_Cash_Exception_Application[[#This Row],[INSERT DATE]]</f>
        <v>11.742928240739275</v>
      </c>
      <c r="K9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36">
        <f ca="1">qry_ProdData2_PDI_Cash_Exception_Application[[#This Row],[TODAY]]-qry_ProdData2_PDI_Cash_Exception_Application[[#This Row],[CHANGED ON]]</f>
        <v>6.7429282407392748</v>
      </c>
      <c r="M936">
        <f ca="1">qry_ProdData2_PDI_Cash_Exception_Application[[#This Row],[TODAY]]-qry_ProdData2_PDI_Cash_Exception_Application[[#This Row],[CHANGED ON]]</f>
        <v>6.7429282407392748</v>
      </c>
      <c r="N936">
        <f ca="1">qry_ProdData2_PDI_Cash_Exception_Application[[#This Row],[TODAY]]-qry_ProdData2_PDI_Cash_Exception_Application[[#This Row],[CHANGED ON]]</f>
        <v>6.7429282407392748</v>
      </c>
    </row>
    <row r="937" spans="1:14" x14ac:dyDescent="0.35">
      <c r="A937">
        <v>1016</v>
      </c>
      <c r="B937" t="s">
        <v>70</v>
      </c>
      <c r="C937" s="1">
        <v>45191.257071759261</v>
      </c>
      <c r="D937" t="str">
        <f ca="1">VLOOKUP(qry_ProdData2_PDI_Cash_Exception_Application[[#This Row],[TYPE]],#REF!,2,FALSE)</f>
        <v>type13</v>
      </c>
      <c r="E937">
        <v>45166.85</v>
      </c>
      <c r="F937" t="s">
        <v>48</v>
      </c>
      <c r="G937" s="1">
        <f>qry_ProdData2_PDI_Cash_Exception_Application[[#This Row],[INSERT DATE]]+5</f>
        <v>45196.257071759261</v>
      </c>
      <c r="H937" t="str">
        <f>VLOOKUP(qry_ProdData2_PDI_Cash_Exception_Application[[#This Row],[MARKET No]],'Site Allocation'!$B$2:$C$37,2,FALSE)</f>
        <v>Analyst3</v>
      </c>
      <c r="I937" s="4">
        <f t="shared" ca="1" si="14"/>
        <v>45203</v>
      </c>
      <c r="J937" s="42">
        <f ca="1">TODAY()-qry_ProdData2_PDI_Cash_Exception_Application[[#This Row],[INSERT DATE]]</f>
        <v>11.742928240739275</v>
      </c>
      <c r="K9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37">
        <f ca="1">qry_ProdData2_PDI_Cash_Exception_Application[[#This Row],[TODAY]]-qry_ProdData2_PDI_Cash_Exception_Application[[#This Row],[CHANGED ON]]</f>
        <v>6.7429282407392748</v>
      </c>
      <c r="M937">
        <f ca="1">qry_ProdData2_PDI_Cash_Exception_Application[[#This Row],[TODAY]]-qry_ProdData2_PDI_Cash_Exception_Application[[#This Row],[CHANGED ON]]</f>
        <v>6.7429282407392748</v>
      </c>
      <c r="N937">
        <f ca="1">qry_ProdData2_PDI_Cash_Exception_Application[[#This Row],[TODAY]]-qry_ProdData2_PDI_Cash_Exception_Application[[#This Row],[CHANGED ON]]</f>
        <v>6.7429282407392748</v>
      </c>
    </row>
    <row r="938" spans="1:14" x14ac:dyDescent="0.35">
      <c r="A938">
        <v>1017</v>
      </c>
      <c r="B938" t="s">
        <v>71</v>
      </c>
      <c r="C938" s="1">
        <v>45193.257071759261</v>
      </c>
      <c r="D938" t="str">
        <f ca="1">VLOOKUP(qry_ProdData2_PDI_Cash_Exception_Application[[#This Row],[TYPE]],#REF!,2,FALSE)</f>
        <v>type40</v>
      </c>
      <c r="E938">
        <v>323.43</v>
      </c>
      <c r="F938" t="s">
        <v>52</v>
      </c>
      <c r="G938" s="1">
        <f>qry_ProdData2_PDI_Cash_Exception_Application[[#This Row],[INSERT DATE]]+7</f>
        <v>45200.257071759261</v>
      </c>
      <c r="H938" t="str">
        <f>VLOOKUP(qry_ProdData2_PDI_Cash_Exception_Application[[#This Row],[MARKET No]],'Site Allocation'!$B$2:$C$37,2,FALSE)</f>
        <v>Analyst3</v>
      </c>
      <c r="I938" s="4">
        <f t="shared" ca="1" si="14"/>
        <v>45203</v>
      </c>
      <c r="J938" s="42">
        <f ca="1">TODAY()-qry_ProdData2_PDI_Cash_Exception_Application[[#This Row],[INSERT DATE]]</f>
        <v>9.7429282407392748</v>
      </c>
      <c r="K9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38">
        <f ca="1">qry_ProdData2_PDI_Cash_Exception_Application[[#This Row],[TODAY]]-qry_ProdData2_PDI_Cash_Exception_Application[[#This Row],[CHANGED ON]]</f>
        <v>2.7429282407392748</v>
      </c>
      <c r="M938">
        <f ca="1">qry_ProdData2_PDI_Cash_Exception_Application[[#This Row],[TODAY]]-qry_ProdData2_PDI_Cash_Exception_Application[[#This Row],[CHANGED ON]]</f>
        <v>2.7429282407392748</v>
      </c>
      <c r="N938">
        <f ca="1">qry_ProdData2_PDI_Cash_Exception_Application[[#This Row],[TODAY]]-qry_ProdData2_PDI_Cash_Exception_Application[[#This Row],[CHANGED ON]]</f>
        <v>2.7429282407392748</v>
      </c>
    </row>
    <row r="939" spans="1:14" x14ac:dyDescent="0.35">
      <c r="A939">
        <v>1013</v>
      </c>
      <c r="B939" t="s">
        <v>67</v>
      </c>
      <c r="C939" s="1">
        <v>45190.257071759261</v>
      </c>
      <c r="D939" t="str">
        <f ca="1">VLOOKUP(qry_ProdData2_PDI_Cash_Exception_Application[[#This Row],[TYPE]],#REF!,2,FALSE)</f>
        <v>type17</v>
      </c>
      <c r="E939">
        <v>363.35</v>
      </c>
      <c r="F939" t="s">
        <v>51</v>
      </c>
      <c r="G939" s="1">
        <f>qry_ProdData2_PDI_Cash_Exception_Application[[#This Row],[INSERT DATE]]+1</f>
        <v>45191.257071759261</v>
      </c>
      <c r="H939" t="str">
        <f>VLOOKUP(qry_ProdData2_PDI_Cash_Exception_Application[[#This Row],[MARKET No]],'Site Allocation'!$B$2:$C$37,2,FALSE)</f>
        <v>Analyst3</v>
      </c>
      <c r="I939" s="4">
        <f t="shared" ca="1" si="14"/>
        <v>45203</v>
      </c>
      <c r="J939" s="42">
        <f ca="1">TODAY()-qry_ProdData2_PDI_Cash_Exception_Application[[#This Row],[INSERT DATE]]</f>
        <v>12.742928240739275</v>
      </c>
      <c r="K9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39">
        <f ca="1">qry_ProdData2_PDI_Cash_Exception_Application[[#This Row],[TODAY]]-qry_ProdData2_PDI_Cash_Exception_Application[[#This Row],[CHANGED ON]]</f>
        <v>11.742928240739275</v>
      </c>
      <c r="M939">
        <f ca="1">qry_ProdData2_PDI_Cash_Exception_Application[[#This Row],[TODAY]]-qry_ProdData2_PDI_Cash_Exception_Application[[#This Row],[CHANGED ON]]</f>
        <v>11.742928240739275</v>
      </c>
      <c r="N939">
        <f ca="1">qry_ProdData2_PDI_Cash_Exception_Application[[#This Row],[TODAY]]-qry_ProdData2_PDI_Cash_Exception_Application[[#This Row],[CHANGED ON]]</f>
        <v>11.742928240739275</v>
      </c>
    </row>
    <row r="940" spans="1:14" x14ac:dyDescent="0.35">
      <c r="A940">
        <v>1000</v>
      </c>
      <c r="B940" t="s">
        <v>54</v>
      </c>
      <c r="C940" s="1">
        <v>45195.257071759261</v>
      </c>
      <c r="D940" t="str">
        <f ca="1">VLOOKUP(qry_ProdData2_PDI_Cash_Exception_Application[[#This Row],[TYPE]],#REF!,2,FALSE)</f>
        <v>type40</v>
      </c>
      <c r="E940">
        <v>-384.93</v>
      </c>
      <c r="F940" t="s">
        <v>52</v>
      </c>
      <c r="G940" s="1">
        <f>qry_ProdData2_PDI_Cash_Exception_Application[[#This Row],[INSERT DATE]]+7</f>
        <v>45202.257071759261</v>
      </c>
      <c r="H940" t="str">
        <f>VLOOKUP(qry_ProdData2_PDI_Cash_Exception_Application[[#This Row],[MARKET No]],'Site Allocation'!$B$2:$C$37,2,FALSE)</f>
        <v>Analyst1</v>
      </c>
      <c r="I940" s="4">
        <f t="shared" ca="1" si="14"/>
        <v>45203</v>
      </c>
      <c r="J940" s="42">
        <f ca="1">TODAY()-qry_ProdData2_PDI_Cash_Exception_Application[[#This Row],[INSERT DATE]]</f>
        <v>7.7429282407392748</v>
      </c>
      <c r="K9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940">
        <f ca="1">qry_ProdData2_PDI_Cash_Exception_Application[[#This Row],[TODAY]]-qry_ProdData2_PDI_Cash_Exception_Application[[#This Row],[CHANGED ON]]</f>
        <v>0.74292824073927477</v>
      </c>
      <c r="M940">
        <f ca="1">qry_ProdData2_PDI_Cash_Exception_Application[[#This Row],[TODAY]]-qry_ProdData2_PDI_Cash_Exception_Application[[#This Row],[CHANGED ON]]</f>
        <v>0.74292824073927477</v>
      </c>
      <c r="N940">
        <f ca="1">qry_ProdData2_PDI_Cash_Exception_Application[[#This Row],[TODAY]]-qry_ProdData2_PDI_Cash_Exception_Application[[#This Row],[CHANGED ON]]</f>
        <v>0.74292824073927477</v>
      </c>
    </row>
    <row r="941" spans="1:14" x14ac:dyDescent="0.35">
      <c r="A941">
        <v>1019</v>
      </c>
      <c r="B941" t="s">
        <v>73</v>
      </c>
      <c r="C941" s="1">
        <v>45190.257071759261</v>
      </c>
      <c r="D941" t="str">
        <f ca="1">VLOOKUP(qry_ProdData2_PDI_Cash_Exception_Application[[#This Row],[TYPE]],#REF!,2,FALSE)</f>
        <v>type40</v>
      </c>
      <c r="E941">
        <v>354.53</v>
      </c>
      <c r="F941" t="s">
        <v>51</v>
      </c>
      <c r="G941" s="1">
        <f>qry_ProdData2_PDI_Cash_Exception_Application[[#This Row],[INSERT DATE]]+2</f>
        <v>45192.257071759261</v>
      </c>
      <c r="H941" t="str">
        <f>VLOOKUP(qry_ProdData2_PDI_Cash_Exception_Application[[#This Row],[MARKET No]],'Site Allocation'!$B$2:$C$37,2,FALSE)</f>
        <v>Analyst4</v>
      </c>
      <c r="I941" s="4">
        <f t="shared" ca="1" si="14"/>
        <v>45203</v>
      </c>
      <c r="J941" s="42">
        <f ca="1">TODAY()-qry_ProdData2_PDI_Cash_Exception_Application[[#This Row],[INSERT DATE]]</f>
        <v>12.742928240739275</v>
      </c>
      <c r="K9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41">
        <f ca="1">qry_ProdData2_PDI_Cash_Exception_Application[[#This Row],[TODAY]]-qry_ProdData2_PDI_Cash_Exception_Application[[#This Row],[CHANGED ON]]</f>
        <v>10.742928240739275</v>
      </c>
      <c r="M941">
        <f ca="1">qry_ProdData2_PDI_Cash_Exception_Application[[#This Row],[TODAY]]-qry_ProdData2_PDI_Cash_Exception_Application[[#This Row],[CHANGED ON]]</f>
        <v>10.742928240739275</v>
      </c>
      <c r="N941">
        <f ca="1">qry_ProdData2_PDI_Cash_Exception_Application[[#This Row],[TODAY]]-qry_ProdData2_PDI_Cash_Exception_Application[[#This Row],[CHANGED ON]]</f>
        <v>10.742928240739275</v>
      </c>
    </row>
    <row r="942" spans="1:14" x14ac:dyDescent="0.35">
      <c r="A942">
        <v>1023</v>
      </c>
      <c r="B942" t="s">
        <v>77</v>
      </c>
      <c r="C942" s="1">
        <v>45182.257071759261</v>
      </c>
      <c r="D942" t="str">
        <f ca="1">VLOOKUP(qry_ProdData2_PDI_Cash_Exception_Application[[#This Row],[TYPE]],#REF!,2,FALSE)</f>
        <v>type4</v>
      </c>
      <c r="E942">
        <v>2</v>
      </c>
      <c r="F942" t="s">
        <v>48</v>
      </c>
      <c r="G942" s="1">
        <f>qry_ProdData2_PDI_Cash_Exception_Application[[#This Row],[INSERT DATE]]+7</f>
        <v>45189.257071759261</v>
      </c>
      <c r="H942" t="str">
        <f>VLOOKUP(qry_ProdData2_PDI_Cash_Exception_Application[[#This Row],[MARKET No]],'Site Allocation'!$B$2:$C$37,2,FALSE)</f>
        <v>Analyst4</v>
      </c>
      <c r="I942" s="4">
        <f t="shared" ca="1" si="14"/>
        <v>45203</v>
      </c>
      <c r="J942" s="42">
        <f ca="1">TODAY()-qry_ProdData2_PDI_Cash_Exception_Application[[#This Row],[INSERT DATE]]</f>
        <v>20.742928240739275</v>
      </c>
      <c r="K9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42">
        <f ca="1">qry_ProdData2_PDI_Cash_Exception_Application[[#This Row],[TODAY]]-qry_ProdData2_PDI_Cash_Exception_Application[[#This Row],[CHANGED ON]]</f>
        <v>13.742928240739275</v>
      </c>
      <c r="M942">
        <f ca="1">qry_ProdData2_PDI_Cash_Exception_Application[[#This Row],[TODAY]]-qry_ProdData2_PDI_Cash_Exception_Application[[#This Row],[CHANGED ON]]</f>
        <v>13.742928240739275</v>
      </c>
      <c r="N942">
        <f ca="1">qry_ProdData2_PDI_Cash_Exception_Application[[#This Row],[TODAY]]-qry_ProdData2_PDI_Cash_Exception_Application[[#This Row],[CHANGED ON]]</f>
        <v>13.742928240739275</v>
      </c>
    </row>
    <row r="943" spans="1:14" x14ac:dyDescent="0.35">
      <c r="A943">
        <v>1007</v>
      </c>
      <c r="B943" t="s">
        <v>61</v>
      </c>
      <c r="C943" s="1">
        <v>45185.257071759261</v>
      </c>
      <c r="D943" t="str">
        <f ca="1">VLOOKUP(qry_ProdData2_PDI_Cash_Exception_Application[[#This Row],[TYPE]],#REF!,2,FALSE)</f>
        <v>type9</v>
      </c>
      <c r="E943">
        <v>6625</v>
      </c>
      <c r="F943" t="s">
        <v>50</v>
      </c>
      <c r="G943" s="1">
        <f>qry_ProdData2_PDI_Cash_Exception_Application[[#This Row],[INSERT DATE]]+7</f>
        <v>45192.257071759261</v>
      </c>
      <c r="H943" t="str">
        <f>VLOOKUP(qry_ProdData2_PDI_Cash_Exception_Application[[#This Row],[MARKET No]],'Site Allocation'!$B$2:$C$37,2,FALSE)</f>
        <v>Analyst2</v>
      </c>
      <c r="I943" s="4">
        <f t="shared" ca="1" si="14"/>
        <v>45203</v>
      </c>
      <c r="J943" s="42">
        <f ca="1">TODAY()-qry_ProdData2_PDI_Cash_Exception_Application[[#This Row],[INSERT DATE]]</f>
        <v>17.742928240739275</v>
      </c>
      <c r="K9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43">
        <f ca="1">qry_ProdData2_PDI_Cash_Exception_Application[[#This Row],[TODAY]]-qry_ProdData2_PDI_Cash_Exception_Application[[#This Row],[CHANGED ON]]</f>
        <v>10.742928240739275</v>
      </c>
      <c r="M943">
        <f ca="1">qry_ProdData2_PDI_Cash_Exception_Application[[#This Row],[TODAY]]-qry_ProdData2_PDI_Cash_Exception_Application[[#This Row],[CHANGED ON]]</f>
        <v>10.742928240739275</v>
      </c>
      <c r="N943">
        <f ca="1">qry_ProdData2_PDI_Cash_Exception_Application[[#This Row],[TODAY]]-qry_ProdData2_PDI_Cash_Exception_Application[[#This Row],[CHANGED ON]]</f>
        <v>10.742928240739275</v>
      </c>
    </row>
    <row r="944" spans="1:14" x14ac:dyDescent="0.35">
      <c r="A944">
        <v>1034</v>
      </c>
      <c r="B944" t="s">
        <v>88</v>
      </c>
      <c r="C944" s="1">
        <v>45186.257071759261</v>
      </c>
      <c r="D944" t="str">
        <f ca="1">VLOOKUP(qry_ProdData2_PDI_Cash_Exception_Application[[#This Row],[TYPE]],#REF!,2,FALSE)</f>
        <v>type40</v>
      </c>
      <c r="E944">
        <v>-358.47</v>
      </c>
      <c r="F944" t="s">
        <v>52</v>
      </c>
      <c r="G944" s="1">
        <f>qry_ProdData2_PDI_Cash_Exception_Application[[#This Row],[INSERT DATE]]+7</f>
        <v>45193.257071759261</v>
      </c>
      <c r="H944" t="str">
        <f>VLOOKUP(qry_ProdData2_PDI_Cash_Exception_Application[[#This Row],[MARKET No]],'Site Allocation'!$B$2:$C$37,2,FALSE)</f>
        <v>Analyst6</v>
      </c>
      <c r="I944" s="4">
        <f t="shared" ca="1" si="14"/>
        <v>45203</v>
      </c>
      <c r="J944" s="42">
        <f ca="1">TODAY()-qry_ProdData2_PDI_Cash_Exception_Application[[#This Row],[INSERT DATE]]</f>
        <v>16.742928240739275</v>
      </c>
      <c r="K9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44">
        <f ca="1">qry_ProdData2_PDI_Cash_Exception_Application[[#This Row],[TODAY]]-qry_ProdData2_PDI_Cash_Exception_Application[[#This Row],[CHANGED ON]]</f>
        <v>9.7429282407392748</v>
      </c>
      <c r="M944">
        <f ca="1">qry_ProdData2_PDI_Cash_Exception_Application[[#This Row],[TODAY]]-qry_ProdData2_PDI_Cash_Exception_Application[[#This Row],[CHANGED ON]]</f>
        <v>9.7429282407392748</v>
      </c>
      <c r="N944">
        <f ca="1">qry_ProdData2_PDI_Cash_Exception_Application[[#This Row],[TODAY]]-qry_ProdData2_PDI_Cash_Exception_Application[[#This Row],[CHANGED ON]]</f>
        <v>9.7429282407392748</v>
      </c>
    </row>
    <row r="945" spans="1:14" x14ac:dyDescent="0.35">
      <c r="A945">
        <v>1026</v>
      </c>
      <c r="B945" t="s">
        <v>80</v>
      </c>
      <c r="C945" s="1">
        <v>45190.257071759261</v>
      </c>
      <c r="D945" t="str">
        <f ca="1">VLOOKUP(qry_ProdData2_PDI_Cash_Exception_Application[[#This Row],[TYPE]],#REF!,2,FALSE)</f>
        <v>type40</v>
      </c>
      <c r="E945">
        <v>-1812.55</v>
      </c>
      <c r="F945" t="s">
        <v>47</v>
      </c>
      <c r="G945" s="1">
        <f>qry_ProdData2_PDI_Cash_Exception_Application[[#This Row],[INSERT DATE]]+2</f>
        <v>45192.257071759261</v>
      </c>
      <c r="H945" t="str">
        <f>VLOOKUP(qry_ProdData2_PDI_Cash_Exception_Application[[#This Row],[MARKET No]],'Site Allocation'!$B$2:$C$37,2,FALSE)</f>
        <v>Analyst5</v>
      </c>
      <c r="I945" s="4">
        <f t="shared" ca="1" si="14"/>
        <v>45203</v>
      </c>
      <c r="J945" s="42">
        <f ca="1">TODAY()-qry_ProdData2_PDI_Cash_Exception_Application[[#This Row],[INSERT DATE]]</f>
        <v>12.742928240739275</v>
      </c>
      <c r="K9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45">
        <f ca="1">qry_ProdData2_PDI_Cash_Exception_Application[[#This Row],[TODAY]]-qry_ProdData2_PDI_Cash_Exception_Application[[#This Row],[CHANGED ON]]</f>
        <v>10.742928240739275</v>
      </c>
      <c r="M945">
        <f ca="1">qry_ProdData2_PDI_Cash_Exception_Application[[#This Row],[TODAY]]-qry_ProdData2_PDI_Cash_Exception_Application[[#This Row],[CHANGED ON]]</f>
        <v>10.742928240739275</v>
      </c>
      <c r="N945">
        <f ca="1">qry_ProdData2_PDI_Cash_Exception_Application[[#This Row],[TODAY]]-qry_ProdData2_PDI_Cash_Exception_Application[[#This Row],[CHANGED ON]]</f>
        <v>10.742928240739275</v>
      </c>
    </row>
    <row r="946" spans="1:14" x14ac:dyDescent="0.35">
      <c r="A946">
        <v>1029</v>
      </c>
      <c r="B946" t="s">
        <v>83</v>
      </c>
      <c r="C946" s="1">
        <v>45182.257071759261</v>
      </c>
      <c r="D946" t="str">
        <f ca="1">VLOOKUP(qry_ProdData2_PDI_Cash_Exception_Application[[#This Row],[TYPE]],#REF!,2,FALSE)</f>
        <v>type40</v>
      </c>
      <c r="E946">
        <v>-941.25</v>
      </c>
      <c r="F946" t="s">
        <v>47</v>
      </c>
      <c r="G946" s="1">
        <f>qry_ProdData2_PDI_Cash_Exception_Application[[#This Row],[INSERT DATE]]+2</f>
        <v>45184.257071759261</v>
      </c>
      <c r="H946" t="str">
        <f>VLOOKUP(qry_ProdData2_PDI_Cash_Exception_Application[[#This Row],[MARKET No]],'Site Allocation'!$B$2:$C$37,2,FALSE)</f>
        <v>Analyst5</v>
      </c>
      <c r="I946" s="4">
        <f t="shared" ca="1" si="14"/>
        <v>45203</v>
      </c>
      <c r="J946" s="42">
        <f ca="1">TODAY()-qry_ProdData2_PDI_Cash_Exception_Application[[#This Row],[INSERT DATE]]</f>
        <v>20.742928240739275</v>
      </c>
      <c r="K9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46">
        <f ca="1">qry_ProdData2_PDI_Cash_Exception_Application[[#This Row],[TODAY]]-qry_ProdData2_PDI_Cash_Exception_Application[[#This Row],[CHANGED ON]]</f>
        <v>18.742928240739275</v>
      </c>
      <c r="M946">
        <f ca="1">qry_ProdData2_PDI_Cash_Exception_Application[[#This Row],[TODAY]]-qry_ProdData2_PDI_Cash_Exception_Application[[#This Row],[CHANGED ON]]</f>
        <v>18.742928240739275</v>
      </c>
      <c r="N946">
        <f ca="1">qry_ProdData2_PDI_Cash_Exception_Application[[#This Row],[TODAY]]-qry_ProdData2_PDI_Cash_Exception_Application[[#This Row],[CHANGED ON]]</f>
        <v>18.742928240739275</v>
      </c>
    </row>
    <row r="947" spans="1:14" x14ac:dyDescent="0.35">
      <c r="A947">
        <v>1001</v>
      </c>
      <c r="B947" t="s">
        <v>55</v>
      </c>
      <c r="C947" s="1">
        <v>45188.257071759261</v>
      </c>
      <c r="D947" t="str">
        <f ca="1">VLOOKUP(qry_ProdData2_PDI_Cash_Exception_Application[[#This Row],[TYPE]],#REF!,2,FALSE)</f>
        <v>type35</v>
      </c>
      <c r="E947">
        <v>1262.02</v>
      </c>
      <c r="F947" t="s">
        <v>52</v>
      </c>
      <c r="G947" s="1">
        <f>qry_ProdData2_PDI_Cash_Exception_Application[[#This Row],[INSERT DATE]]+7</f>
        <v>45195.257071759261</v>
      </c>
      <c r="H947" t="str">
        <f>VLOOKUP(qry_ProdData2_PDI_Cash_Exception_Application[[#This Row],[MARKET No]],'Site Allocation'!$B$2:$C$37,2,FALSE)</f>
        <v>Analyst1</v>
      </c>
      <c r="I947" s="4">
        <f t="shared" ca="1" si="14"/>
        <v>45203</v>
      </c>
      <c r="J947" s="42">
        <f ca="1">TODAY()-qry_ProdData2_PDI_Cash_Exception_Application[[#This Row],[INSERT DATE]]</f>
        <v>14.742928240739275</v>
      </c>
      <c r="K9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47">
        <f ca="1">qry_ProdData2_PDI_Cash_Exception_Application[[#This Row],[TODAY]]-qry_ProdData2_PDI_Cash_Exception_Application[[#This Row],[CHANGED ON]]</f>
        <v>7.7429282407392748</v>
      </c>
      <c r="M947">
        <f ca="1">qry_ProdData2_PDI_Cash_Exception_Application[[#This Row],[TODAY]]-qry_ProdData2_PDI_Cash_Exception_Application[[#This Row],[CHANGED ON]]</f>
        <v>7.7429282407392748</v>
      </c>
      <c r="N947">
        <f ca="1">qry_ProdData2_PDI_Cash_Exception_Application[[#This Row],[TODAY]]-qry_ProdData2_PDI_Cash_Exception_Application[[#This Row],[CHANGED ON]]</f>
        <v>7.7429282407392748</v>
      </c>
    </row>
    <row r="948" spans="1:14" x14ac:dyDescent="0.35">
      <c r="A948">
        <v>1024</v>
      </c>
      <c r="B948" t="s">
        <v>78</v>
      </c>
      <c r="C948" s="1">
        <v>45189.257071759261</v>
      </c>
      <c r="D948" t="str">
        <f ca="1">VLOOKUP(qry_ProdData2_PDI_Cash_Exception_Application[[#This Row],[TYPE]],#REF!,2,FALSE)</f>
        <v>type40</v>
      </c>
      <c r="E948">
        <v>345.5</v>
      </c>
      <c r="F948" t="s">
        <v>50</v>
      </c>
      <c r="G948" s="1">
        <f>qry_ProdData2_PDI_Cash_Exception_Application[[#This Row],[INSERT DATE]]+7</f>
        <v>45196.257071759261</v>
      </c>
      <c r="H948" t="str">
        <f>VLOOKUP(qry_ProdData2_PDI_Cash_Exception_Application[[#This Row],[MARKET No]],'Site Allocation'!$B$2:$C$37,2,FALSE)</f>
        <v>Analyst5</v>
      </c>
      <c r="I948" s="4">
        <f t="shared" ca="1" si="14"/>
        <v>45203</v>
      </c>
      <c r="J948" s="42">
        <f ca="1">TODAY()-qry_ProdData2_PDI_Cash_Exception_Application[[#This Row],[INSERT DATE]]</f>
        <v>13.742928240739275</v>
      </c>
      <c r="K9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48">
        <f ca="1">qry_ProdData2_PDI_Cash_Exception_Application[[#This Row],[TODAY]]-qry_ProdData2_PDI_Cash_Exception_Application[[#This Row],[CHANGED ON]]</f>
        <v>6.7429282407392748</v>
      </c>
      <c r="M948">
        <f ca="1">qry_ProdData2_PDI_Cash_Exception_Application[[#This Row],[TODAY]]-qry_ProdData2_PDI_Cash_Exception_Application[[#This Row],[CHANGED ON]]</f>
        <v>6.7429282407392748</v>
      </c>
      <c r="N948">
        <f ca="1">qry_ProdData2_PDI_Cash_Exception_Application[[#This Row],[TODAY]]-qry_ProdData2_PDI_Cash_Exception_Application[[#This Row],[CHANGED ON]]</f>
        <v>6.7429282407392748</v>
      </c>
    </row>
    <row r="949" spans="1:14" x14ac:dyDescent="0.35">
      <c r="A949">
        <v>1013</v>
      </c>
      <c r="B949" t="s">
        <v>67</v>
      </c>
      <c r="C949" s="1">
        <v>45189.257071759261</v>
      </c>
      <c r="D949" t="str">
        <f ca="1">VLOOKUP(qry_ProdData2_PDI_Cash_Exception_Application[[#This Row],[TYPE]],#REF!,2,FALSE)</f>
        <v>type7</v>
      </c>
      <c r="E949">
        <v>-1527.83</v>
      </c>
      <c r="F949" t="s">
        <v>50</v>
      </c>
      <c r="G949" s="1">
        <f>qry_ProdData2_PDI_Cash_Exception_Application[[#This Row],[INSERT DATE]]+7</f>
        <v>45196.257071759261</v>
      </c>
      <c r="H949" t="str">
        <f>VLOOKUP(qry_ProdData2_PDI_Cash_Exception_Application[[#This Row],[MARKET No]],'Site Allocation'!$B$2:$C$37,2,FALSE)</f>
        <v>Analyst3</v>
      </c>
      <c r="I949" s="4">
        <f t="shared" ca="1" si="14"/>
        <v>45203</v>
      </c>
      <c r="J949" s="42">
        <f ca="1">TODAY()-qry_ProdData2_PDI_Cash_Exception_Application[[#This Row],[INSERT DATE]]</f>
        <v>13.742928240739275</v>
      </c>
      <c r="K9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49">
        <f ca="1">qry_ProdData2_PDI_Cash_Exception_Application[[#This Row],[TODAY]]-qry_ProdData2_PDI_Cash_Exception_Application[[#This Row],[CHANGED ON]]</f>
        <v>6.7429282407392748</v>
      </c>
      <c r="M949">
        <f ca="1">qry_ProdData2_PDI_Cash_Exception_Application[[#This Row],[TODAY]]-qry_ProdData2_PDI_Cash_Exception_Application[[#This Row],[CHANGED ON]]</f>
        <v>6.7429282407392748</v>
      </c>
      <c r="N949">
        <f ca="1">qry_ProdData2_PDI_Cash_Exception_Application[[#This Row],[TODAY]]-qry_ProdData2_PDI_Cash_Exception_Application[[#This Row],[CHANGED ON]]</f>
        <v>6.7429282407392748</v>
      </c>
    </row>
    <row r="950" spans="1:14" x14ac:dyDescent="0.35">
      <c r="A950">
        <v>1017</v>
      </c>
      <c r="B950" t="s">
        <v>71</v>
      </c>
      <c r="C950" s="1">
        <v>45190.257071759261</v>
      </c>
      <c r="D950" t="str">
        <f ca="1">VLOOKUP(qry_ProdData2_PDI_Cash_Exception_Application[[#This Row],[TYPE]],#REF!,2,FALSE)</f>
        <v>type40</v>
      </c>
      <c r="E950">
        <v>334.26</v>
      </c>
      <c r="F950" t="s">
        <v>50</v>
      </c>
      <c r="G950" s="1">
        <f>qry_ProdData2_PDI_Cash_Exception_Application[[#This Row],[INSERT DATE]]+7</f>
        <v>45197.257071759261</v>
      </c>
      <c r="H950" t="str">
        <f>VLOOKUP(qry_ProdData2_PDI_Cash_Exception_Application[[#This Row],[MARKET No]],'Site Allocation'!$B$2:$C$37,2,FALSE)</f>
        <v>Analyst3</v>
      </c>
      <c r="I950" s="4">
        <f t="shared" ca="1" si="14"/>
        <v>45203</v>
      </c>
      <c r="J950" s="42">
        <f ca="1">TODAY()-qry_ProdData2_PDI_Cash_Exception_Application[[#This Row],[INSERT DATE]]</f>
        <v>12.742928240739275</v>
      </c>
      <c r="K9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50">
        <f ca="1">qry_ProdData2_PDI_Cash_Exception_Application[[#This Row],[TODAY]]-qry_ProdData2_PDI_Cash_Exception_Application[[#This Row],[CHANGED ON]]</f>
        <v>5.7429282407392748</v>
      </c>
      <c r="M950">
        <f ca="1">qry_ProdData2_PDI_Cash_Exception_Application[[#This Row],[TODAY]]-qry_ProdData2_PDI_Cash_Exception_Application[[#This Row],[CHANGED ON]]</f>
        <v>5.7429282407392748</v>
      </c>
      <c r="N950">
        <f ca="1">qry_ProdData2_PDI_Cash_Exception_Application[[#This Row],[TODAY]]-qry_ProdData2_PDI_Cash_Exception_Application[[#This Row],[CHANGED ON]]</f>
        <v>5.7429282407392748</v>
      </c>
    </row>
    <row r="951" spans="1:14" x14ac:dyDescent="0.35">
      <c r="A951">
        <v>1028</v>
      </c>
      <c r="B951" t="s">
        <v>82</v>
      </c>
      <c r="C951" s="1">
        <v>45190.257071759261</v>
      </c>
      <c r="D951" t="str">
        <f ca="1">VLOOKUP(qry_ProdData2_PDI_Cash_Exception_Application[[#This Row],[TYPE]],#REF!,2,FALSE)</f>
        <v>type40</v>
      </c>
      <c r="E951">
        <v>491.03</v>
      </c>
      <c r="F951" t="s">
        <v>52</v>
      </c>
      <c r="G951" s="1">
        <f>qry_ProdData2_PDI_Cash_Exception_Application[[#This Row],[INSERT DATE]]+7</f>
        <v>45197.257071759261</v>
      </c>
      <c r="H951" t="str">
        <f>VLOOKUP(qry_ProdData2_PDI_Cash_Exception_Application[[#This Row],[MARKET No]],'Site Allocation'!$B$2:$C$37,2,FALSE)</f>
        <v>Analyst5</v>
      </c>
      <c r="I951" s="4">
        <f t="shared" ca="1" si="14"/>
        <v>45203</v>
      </c>
      <c r="J951" s="42">
        <f ca="1">TODAY()-qry_ProdData2_PDI_Cash_Exception_Application[[#This Row],[INSERT DATE]]</f>
        <v>12.742928240739275</v>
      </c>
      <c r="K9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51">
        <f ca="1">qry_ProdData2_PDI_Cash_Exception_Application[[#This Row],[TODAY]]-qry_ProdData2_PDI_Cash_Exception_Application[[#This Row],[CHANGED ON]]</f>
        <v>5.7429282407392748</v>
      </c>
      <c r="M951">
        <f ca="1">qry_ProdData2_PDI_Cash_Exception_Application[[#This Row],[TODAY]]-qry_ProdData2_PDI_Cash_Exception_Application[[#This Row],[CHANGED ON]]</f>
        <v>5.7429282407392748</v>
      </c>
      <c r="N951">
        <f ca="1">qry_ProdData2_PDI_Cash_Exception_Application[[#This Row],[TODAY]]-qry_ProdData2_PDI_Cash_Exception_Application[[#This Row],[CHANGED ON]]</f>
        <v>5.7429282407392748</v>
      </c>
    </row>
    <row r="952" spans="1:14" x14ac:dyDescent="0.35">
      <c r="A952">
        <v>1001</v>
      </c>
      <c r="B952" t="s">
        <v>55</v>
      </c>
      <c r="C952" s="1">
        <v>45191.257071759261</v>
      </c>
      <c r="D952" t="str">
        <f ca="1">VLOOKUP(qry_ProdData2_PDI_Cash_Exception_Application[[#This Row],[TYPE]],#REF!,2,FALSE)</f>
        <v>type40</v>
      </c>
      <c r="E952">
        <v>-456.5</v>
      </c>
      <c r="F952" t="s">
        <v>51</v>
      </c>
      <c r="G952" s="1">
        <f>qry_ProdData2_PDI_Cash_Exception_Application[[#This Row],[INSERT DATE]]+2</f>
        <v>45193.257071759261</v>
      </c>
      <c r="H952" t="str">
        <f>VLOOKUP(qry_ProdData2_PDI_Cash_Exception_Application[[#This Row],[MARKET No]],'Site Allocation'!$B$2:$C$37,2,FALSE)</f>
        <v>Analyst1</v>
      </c>
      <c r="I952" s="4">
        <f t="shared" ca="1" si="14"/>
        <v>45203</v>
      </c>
      <c r="J952" s="42">
        <f ca="1">TODAY()-qry_ProdData2_PDI_Cash_Exception_Application[[#This Row],[INSERT DATE]]</f>
        <v>11.742928240739275</v>
      </c>
      <c r="K9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52">
        <f ca="1">qry_ProdData2_PDI_Cash_Exception_Application[[#This Row],[TODAY]]-qry_ProdData2_PDI_Cash_Exception_Application[[#This Row],[CHANGED ON]]</f>
        <v>9.7429282407392748</v>
      </c>
      <c r="M952">
        <f ca="1">qry_ProdData2_PDI_Cash_Exception_Application[[#This Row],[TODAY]]-qry_ProdData2_PDI_Cash_Exception_Application[[#This Row],[CHANGED ON]]</f>
        <v>9.7429282407392748</v>
      </c>
      <c r="N952">
        <f ca="1">qry_ProdData2_PDI_Cash_Exception_Application[[#This Row],[TODAY]]-qry_ProdData2_PDI_Cash_Exception_Application[[#This Row],[CHANGED ON]]</f>
        <v>9.7429282407392748</v>
      </c>
    </row>
    <row r="953" spans="1:14" x14ac:dyDescent="0.35">
      <c r="A953">
        <v>1026</v>
      </c>
      <c r="B953" t="s">
        <v>80</v>
      </c>
      <c r="C953" s="1">
        <v>45186.257071759261</v>
      </c>
      <c r="D953" t="str">
        <f ca="1">VLOOKUP(qry_ProdData2_PDI_Cash_Exception_Application[[#This Row],[TYPE]],#REF!,2,FALSE)</f>
        <v>type40</v>
      </c>
      <c r="E953">
        <v>529.05999999999995</v>
      </c>
      <c r="F953" t="s">
        <v>47</v>
      </c>
      <c r="G953" s="1">
        <f>qry_ProdData2_PDI_Cash_Exception_Application[[#This Row],[INSERT DATE]]+2</f>
        <v>45188.257071759261</v>
      </c>
      <c r="H953" t="str">
        <f>VLOOKUP(qry_ProdData2_PDI_Cash_Exception_Application[[#This Row],[MARKET No]],'Site Allocation'!$B$2:$C$37,2,FALSE)</f>
        <v>Analyst5</v>
      </c>
      <c r="I953" s="4">
        <f t="shared" ca="1" si="14"/>
        <v>45203</v>
      </c>
      <c r="J953" s="42">
        <f ca="1">TODAY()-qry_ProdData2_PDI_Cash_Exception_Application[[#This Row],[INSERT DATE]]</f>
        <v>16.742928240739275</v>
      </c>
      <c r="K9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53">
        <f ca="1">qry_ProdData2_PDI_Cash_Exception_Application[[#This Row],[TODAY]]-qry_ProdData2_PDI_Cash_Exception_Application[[#This Row],[CHANGED ON]]</f>
        <v>14.742928240739275</v>
      </c>
      <c r="M953">
        <f ca="1">qry_ProdData2_PDI_Cash_Exception_Application[[#This Row],[TODAY]]-qry_ProdData2_PDI_Cash_Exception_Application[[#This Row],[CHANGED ON]]</f>
        <v>14.742928240739275</v>
      </c>
      <c r="N953">
        <f ca="1">qry_ProdData2_PDI_Cash_Exception_Application[[#This Row],[TODAY]]-qry_ProdData2_PDI_Cash_Exception_Application[[#This Row],[CHANGED ON]]</f>
        <v>14.742928240739275</v>
      </c>
    </row>
    <row r="954" spans="1:14" x14ac:dyDescent="0.35">
      <c r="A954">
        <v>1003</v>
      </c>
      <c r="B954" t="s">
        <v>57</v>
      </c>
      <c r="C954" s="1">
        <v>45193.257071759261</v>
      </c>
      <c r="D954" t="str">
        <f ca="1">VLOOKUP(qry_ProdData2_PDI_Cash_Exception_Application[[#This Row],[TYPE]],#REF!,2,FALSE)</f>
        <v>type40</v>
      </c>
      <c r="E954">
        <v>-302.82</v>
      </c>
      <c r="F954" t="s">
        <v>52</v>
      </c>
      <c r="G954" s="1">
        <f>qry_ProdData2_PDI_Cash_Exception_Application[[#This Row],[INSERT DATE]]+1</f>
        <v>45194.257071759261</v>
      </c>
      <c r="H954" t="str">
        <f>VLOOKUP(qry_ProdData2_PDI_Cash_Exception_Application[[#This Row],[MARKET No]],'Site Allocation'!$B$2:$C$37,2,FALSE)</f>
        <v>Analyst1</v>
      </c>
      <c r="I954" s="4">
        <f t="shared" ca="1" si="14"/>
        <v>45203</v>
      </c>
      <c r="J954" s="42">
        <f ca="1">TODAY()-qry_ProdData2_PDI_Cash_Exception_Application[[#This Row],[INSERT DATE]]</f>
        <v>9.7429282407392748</v>
      </c>
      <c r="K9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54">
        <f ca="1">qry_ProdData2_PDI_Cash_Exception_Application[[#This Row],[TODAY]]-qry_ProdData2_PDI_Cash_Exception_Application[[#This Row],[CHANGED ON]]</f>
        <v>8.7429282407392748</v>
      </c>
      <c r="M954">
        <f ca="1">qry_ProdData2_PDI_Cash_Exception_Application[[#This Row],[TODAY]]-qry_ProdData2_PDI_Cash_Exception_Application[[#This Row],[CHANGED ON]]</f>
        <v>8.7429282407392748</v>
      </c>
      <c r="N954">
        <f ca="1">qry_ProdData2_PDI_Cash_Exception_Application[[#This Row],[TODAY]]-qry_ProdData2_PDI_Cash_Exception_Application[[#This Row],[CHANGED ON]]</f>
        <v>8.7429282407392748</v>
      </c>
    </row>
    <row r="955" spans="1:14" x14ac:dyDescent="0.35">
      <c r="A955">
        <v>1027</v>
      </c>
      <c r="B955" t="s">
        <v>81</v>
      </c>
      <c r="C955" s="1">
        <v>45179.257071759261</v>
      </c>
      <c r="D955" t="str">
        <f ca="1">VLOOKUP(qry_ProdData2_PDI_Cash_Exception_Application[[#This Row],[TYPE]],#REF!,2,FALSE)</f>
        <v>type40</v>
      </c>
      <c r="E955">
        <v>-396.51</v>
      </c>
      <c r="F955" t="s">
        <v>51</v>
      </c>
      <c r="G955" s="1">
        <f>qry_ProdData2_PDI_Cash_Exception_Application[[#This Row],[INSERT DATE]]+2</f>
        <v>45181.257071759261</v>
      </c>
      <c r="H955" t="str">
        <f>VLOOKUP(qry_ProdData2_PDI_Cash_Exception_Application[[#This Row],[MARKET No]],'Site Allocation'!$B$2:$C$37,2,FALSE)</f>
        <v>Analyst5</v>
      </c>
      <c r="I955" s="4">
        <f t="shared" ca="1" si="14"/>
        <v>45203</v>
      </c>
      <c r="J955" s="42">
        <f ca="1">TODAY()-qry_ProdData2_PDI_Cash_Exception_Application[[#This Row],[INSERT DATE]]</f>
        <v>23.742928240739275</v>
      </c>
      <c r="K9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55">
        <f ca="1">qry_ProdData2_PDI_Cash_Exception_Application[[#This Row],[TODAY]]-qry_ProdData2_PDI_Cash_Exception_Application[[#This Row],[CHANGED ON]]</f>
        <v>21.742928240739275</v>
      </c>
      <c r="M955">
        <f ca="1">qry_ProdData2_PDI_Cash_Exception_Application[[#This Row],[TODAY]]-qry_ProdData2_PDI_Cash_Exception_Application[[#This Row],[CHANGED ON]]</f>
        <v>21.742928240739275</v>
      </c>
      <c r="N955">
        <f ca="1">qry_ProdData2_PDI_Cash_Exception_Application[[#This Row],[TODAY]]-qry_ProdData2_PDI_Cash_Exception_Application[[#This Row],[CHANGED ON]]</f>
        <v>21.742928240739275</v>
      </c>
    </row>
    <row r="956" spans="1:14" x14ac:dyDescent="0.35">
      <c r="A956">
        <v>1010</v>
      </c>
      <c r="B956" t="s">
        <v>64</v>
      </c>
      <c r="C956" s="1">
        <v>45186.257071759261</v>
      </c>
      <c r="D956" t="str">
        <f ca="1">VLOOKUP(qry_ProdData2_PDI_Cash_Exception_Application[[#This Row],[TYPE]],#REF!,2,FALSE)</f>
        <v>type40</v>
      </c>
      <c r="E956">
        <v>25.13</v>
      </c>
      <c r="F956" t="s">
        <v>47</v>
      </c>
      <c r="G956" s="1">
        <f>qry_ProdData2_PDI_Cash_Exception_Application[[#This Row],[INSERT DATE]]+5</f>
        <v>45191.257071759261</v>
      </c>
      <c r="H956" t="str">
        <f>VLOOKUP(qry_ProdData2_PDI_Cash_Exception_Application[[#This Row],[MARKET No]],'Site Allocation'!$B$2:$C$37,2,FALSE)</f>
        <v>Analyst2</v>
      </c>
      <c r="I956" s="4">
        <f t="shared" ca="1" si="14"/>
        <v>45203</v>
      </c>
      <c r="J956" s="42">
        <f ca="1">TODAY()-qry_ProdData2_PDI_Cash_Exception_Application[[#This Row],[INSERT DATE]]</f>
        <v>16.742928240739275</v>
      </c>
      <c r="K9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56">
        <f ca="1">qry_ProdData2_PDI_Cash_Exception_Application[[#This Row],[TODAY]]-qry_ProdData2_PDI_Cash_Exception_Application[[#This Row],[CHANGED ON]]</f>
        <v>11.742928240739275</v>
      </c>
      <c r="M956">
        <f ca="1">qry_ProdData2_PDI_Cash_Exception_Application[[#This Row],[TODAY]]-qry_ProdData2_PDI_Cash_Exception_Application[[#This Row],[CHANGED ON]]</f>
        <v>11.742928240739275</v>
      </c>
      <c r="N956">
        <f ca="1">qry_ProdData2_PDI_Cash_Exception_Application[[#This Row],[TODAY]]-qry_ProdData2_PDI_Cash_Exception_Application[[#This Row],[CHANGED ON]]</f>
        <v>11.742928240739275</v>
      </c>
    </row>
    <row r="957" spans="1:14" x14ac:dyDescent="0.35">
      <c r="A957">
        <v>1000</v>
      </c>
      <c r="B957" t="s">
        <v>54</v>
      </c>
      <c r="C957" s="1">
        <v>45189.257071759261</v>
      </c>
      <c r="D957" t="str">
        <f ca="1">VLOOKUP(qry_ProdData2_PDI_Cash_Exception_Application[[#This Row],[TYPE]],#REF!,2,FALSE)</f>
        <v>type10</v>
      </c>
      <c r="E957">
        <v>55</v>
      </c>
      <c r="F957" t="s">
        <v>47</v>
      </c>
      <c r="G957" s="1">
        <f>qry_ProdData2_PDI_Cash_Exception_Application[[#This Row],[INSERT DATE]]+5</f>
        <v>45194.257071759261</v>
      </c>
      <c r="H957" t="str">
        <f>VLOOKUP(qry_ProdData2_PDI_Cash_Exception_Application[[#This Row],[MARKET No]],'Site Allocation'!$B$2:$C$37,2,FALSE)</f>
        <v>Analyst1</v>
      </c>
      <c r="I957" s="4">
        <f t="shared" ca="1" si="14"/>
        <v>45203</v>
      </c>
      <c r="J957" s="42">
        <f ca="1">TODAY()-qry_ProdData2_PDI_Cash_Exception_Application[[#This Row],[INSERT DATE]]</f>
        <v>13.742928240739275</v>
      </c>
      <c r="K9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57">
        <f ca="1">qry_ProdData2_PDI_Cash_Exception_Application[[#This Row],[TODAY]]-qry_ProdData2_PDI_Cash_Exception_Application[[#This Row],[CHANGED ON]]</f>
        <v>8.7429282407392748</v>
      </c>
      <c r="M957">
        <f ca="1">qry_ProdData2_PDI_Cash_Exception_Application[[#This Row],[TODAY]]-qry_ProdData2_PDI_Cash_Exception_Application[[#This Row],[CHANGED ON]]</f>
        <v>8.7429282407392748</v>
      </c>
      <c r="N957">
        <f ca="1">qry_ProdData2_PDI_Cash_Exception_Application[[#This Row],[TODAY]]-qry_ProdData2_PDI_Cash_Exception_Application[[#This Row],[CHANGED ON]]</f>
        <v>8.7429282407392748</v>
      </c>
    </row>
    <row r="958" spans="1:14" x14ac:dyDescent="0.35">
      <c r="A958">
        <v>1004</v>
      </c>
      <c r="B958" t="s">
        <v>58</v>
      </c>
      <c r="C958" s="1">
        <v>45197.257071759261</v>
      </c>
      <c r="D958" t="str">
        <f ca="1">VLOOKUP(qry_ProdData2_PDI_Cash_Exception_Application[[#This Row],[TYPE]],#REF!,2,FALSE)</f>
        <v>type40</v>
      </c>
      <c r="E958">
        <v>-450.46</v>
      </c>
      <c r="F958" t="s">
        <v>50</v>
      </c>
      <c r="G958" s="1">
        <f>qry_ProdData2_PDI_Cash_Exception_Application[[#This Row],[INSERT DATE]]+1</f>
        <v>45198.257071759261</v>
      </c>
      <c r="H958" t="str">
        <f>VLOOKUP(qry_ProdData2_PDI_Cash_Exception_Application[[#This Row],[MARKET No]],'Site Allocation'!$B$2:$C$37,2,FALSE)</f>
        <v>Analyst1</v>
      </c>
      <c r="I958" s="4">
        <f t="shared" ca="1" si="14"/>
        <v>45203</v>
      </c>
      <c r="J958" s="42">
        <f ca="1">TODAY()-qry_ProdData2_PDI_Cash_Exception_Application[[#This Row],[INSERT DATE]]</f>
        <v>5.7429282407392748</v>
      </c>
      <c r="K9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958">
        <f ca="1">qry_ProdData2_PDI_Cash_Exception_Application[[#This Row],[TODAY]]-qry_ProdData2_PDI_Cash_Exception_Application[[#This Row],[CHANGED ON]]</f>
        <v>4.7429282407392748</v>
      </c>
      <c r="M958">
        <f ca="1">qry_ProdData2_PDI_Cash_Exception_Application[[#This Row],[TODAY]]-qry_ProdData2_PDI_Cash_Exception_Application[[#This Row],[CHANGED ON]]</f>
        <v>4.7429282407392748</v>
      </c>
      <c r="N958">
        <f ca="1">qry_ProdData2_PDI_Cash_Exception_Application[[#This Row],[TODAY]]-qry_ProdData2_PDI_Cash_Exception_Application[[#This Row],[CHANGED ON]]</f>
        <v>4.7429282407392748</v>
      </c>
    </row>
    <row r="959" spans="1:14" x14ac:dyDescent="0.35">
      <c r="A959">
        <v>1008</v>
      </c>
      <c r="B959" t="s">
        <v>62</v>
      </c>
      <c r="C959" s="1">
        <v>45179.257071759261</v>
      </c>
      <c r="D959" t="str">
        <f ca="1">VLOOKUP(qry_ProdData2_PDI_Cash_Exception_Application[[#This Row],[TYPE]],#REF!,2,FALSE)</f>
        <v>type40</v>
      </c>
      <c r="E959">
        <v>977.44</v>
      </c>
      <c r="F959" t="s">
        <v>50</v>
      </c>
      <c r="G959" s="1">
        <f>qry_ProdData2_PDI_Cash_Exception_Application[[#This Row],[INSERT DATE]]+1</f>
        <v>45180.257071759261</v>
      </c>
      <c r="H959" t="str">
        <f>VLOOKUP(qry_ProdData2_PDI_Cash_Exception_Application[[#This Row],[MARKET No]],'Site Allocation'!$B$2:$C$37,2,FALSE)</f>
        <v>Analyst2</v>
      </c>
      <c r="I959" s="4">
        <f t="shared" ca="1" si="14"/>
        <v>45203</v>
      </c>
      <c r="J959" s="42">
        <f ca="1">TODAY()-qry_ProdData2_PDI_Cash_Exception_Application[[#This Row],[INSERT DATE]]</f>
        <v>23.742928240739275</v>
      </c>
      <c r="K9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59">
        <f ca="1">qry_ProdData2_PDI_Cash_Exception_Application[[#This Row],[TODAY]]-qry_ProdData2_PDI_Cash_Exception_Application[[#This Row],[CHANGED ON]]</f>
        <v>22.742928240739275</v>
      </c>
      <c r="M959">
        <f ca="1">qry_ProdData2_PDI_Cash_Exception_Application[[#This Row],[TODAY]]-qry_ProdData2_PDI_Cash_Exception_Application[[#This Row],[CHANGED ON]]</f>
        <v>22.742928240739275</v>
      </c>
      <c r="N959">
        <f ca="1">qry_ProdData2_PDI_Cash_Exception_Application[[#This Row],[TODAY]]-qry_ProdData2_PDI_Cash_Exception_Application[[#This Row],[CHANGED ON]]</f>
        <v>22.742928240739275</v>
      </c>
    </row>
    <row r="960" spans="1:14" x14ac:dyDescent="0.35">
      <c r="A960">
        <v>1003</v>
      </c>
      <c r="B960" t="s">
        <v>57</v>
      </c>
      <c r="C960" s="1">
        <v>45187.257071759261</v>
      </c>
      <c r="D960" t="str">
        <f ca="1">VLOOKUP(qry_ProdData2_PDI_Cash_Exception_Application[[#This Row],[TYPE]],#REF!,2,FALSE)</f>
        <v>type13</v>
      </c>
      <c r="E960">
        <v>27124</v>
      </c>
      <c r="F960" t="s">
        <v>48</v>
      </c>
      <c r="G960" s="1">
        <f>qry_ProdData2_PDI_Cash_Exception_Application[[#This Row],[INSERT DATE]]+1</f>
        <v>45188.257071759261</v>
      </c>
      <c r="H960" t="str">
        <f>VLOOKUP(qry_ProdData2_PDI_Cash_Exception_Application[[#This Row],[MARKET No]],'Site Allocation'!$B$2:$C$37,2,FALSE)</f>
        <v>Analyst1</v>
      </c>
      <c r="I960" s="4">
        <f t="shared" ca="1" si="14"/>
        <v>45203</v>
      </c>
      <c r="J960" s="42">
        <f ca="1">TODAY()-qry_ProdData2_PDI_Cash_Exception_Application[[#This Row],[INSERT DATE]]</f>
        <v>15.742928240739275</v>
      </c>
      <c r="K9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60">
        <f ca="1">qry_ProdData2_PDI_Cash_Exception_Application[[#This Row],[TODAY]]-qry_ProdData2_PDI_Cash_Exception_Application[[#This Row],[CHANGED ON]]</f>
        <v>14.742928240739275</v>
      </c>
      <c r="M960">
        <f ca="1">qry_ProdData2_PDI_Cash_Exception_Application[[#This Row],[TODAY]]-qry_ProdData2_PDI_Cash_Exception_Application[[#This Row],[CHANGED ON]]</f>
        <v>14.742928240739275</v>
      </c>
      <c r="N960">
        <f ca="1">qry_ProdData2_PDI_Cash_Exception_Application[[#This Row],[TODAY]]-qry_ProdData2_PDI_Cash_Exception_Application[[#This Row],[CHANGED ON]]</f>
        <v>14.742928240739275</v>
      </c>
    </row>
    <row r="961" spans="1:14" x14ac:dyDescent="0.35">
      <c r="A961">
        <v>1035</v>
      </c>
      <c r="B961" t="s">
        <v>89</v>
      </c>
      <c r="C961" s="1">
        <v>45188.257071759261</v>
      </c>
      <c r="D961" t="str">
        <f ca="1">VLOOKUP(qry_ProdData2_PDI_Cash_Exception_Application[[#This Row],[TYPE]],#REF!,2,FALSE)</f>
        <v>type40</v>
      </c>
      <c r="E961">
        <v>1107.4100000000001</v>
      </c>
      <c r="F961" t="s">
        <v>48</v>
      </c>
      <c r="G961" s="1">
        <f>qry_ProdData2_PDI_Cash_Exception_Application[[#This Row],[INSERT DATE]]+1</f>
        <v>45189.257071759261</v>
      </c>
      <c r="H961" t="str">
        <f>VLOOKUP(qry_ProdData2_PDI_Cash_Exception_Application[[#This Row],[MARKET No]],'Site Allocation'!$B$2:$C$37,2,FALSE)</f>
        <v>Analyst6</v>
      </c>
      <c r="I961" s="4">
        <f t="shared" ca="1" si="14"/>
        <v>45203</v>
      </c>
      <c r="J961" s="42">
        <f ca="1">TODAY()-qry_ProdData2_PDI_Cash_Exception_Application[[#This Row],[INSERT DATE]]</f>
        <v>14.742928240739275</v>
      </c>
      <c r="K9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61">
        <f ca="1">qry_ProdData2_PDI_Cash_Exception_Application[[#This Row],[TODAY]]-qry_ProdData2_PDI_Cash_Exception_Application[[#This Row],[CHANGED ON]]</f>
        <v>13.742928240739275</v>
      </c>
      <c r="M961">
        <f ca="1">qry_ProdData2_PDI_Cash_Exception_Application[[#This Row],[TODAY]]-qry_ProdData2_PDI_Cash_Exception_Application[[#This Row],[CHANGED ON]]</f>
        <v>13.742928240739275</v>
      </c>
      <c r="N961">
        <f ca="1">qry_ProdData2_PDI_Cash_Exception_Application[[#This Row],[TODAY]]-qry_ProdData2_PDI_Cash_Exception_Application[[#This Row],[CHANGED ON]]</f>
        <v>13.742928240739275</v>
      </c>
    </row>
    <row r="962" spans="1:14" x14ac:dyDescent="0.35">
      <c r="A962">
        <v>1019</v>
      </c>
      <c r="B962" t="s">
        <v>73</v>
      </c>
      <c r="C962" s="1">
        <v>45192.257071759261</v>
      </c>
      <c r="D962" t="str">
        <f ca="1">VLOOKUP(qry_ProdData2_PDI_Cash_Exception_Application[[#This Row],[TYPE]],#REF!,2,FALSE)</f>
        <v>type22</v>
      </c>
      <c r="E962">
        <v>1049.4100000000001</v>
      </c>
      <c r="F962" t="s">
        <v>47</v>
      </c>
      <c r="G962" s="1">
        <f>qry_ProdData2_PDI_Cash_Exception_Application[[#This Row],[INSERT DATE]]+5</f>
        <v>45197.257071759261</v>
      </c>
      <c r="H962" t="str">
        <f>VLOOKUP(qry_ProdData2_PDI_Cash_Exception_Application[[#This Row],[MARKET No]],'Site Allocation'!$B$2:$C$37,2,FALSE)</f>
        <v>Analyst4</v>
      </c>
      <c r="I962" s="4">
        <f t="shared" ref="I962:I1025" ca="1" si="15">TODAY()</f>
        <v>45203</v>
      </c>
      <c r="J962" s="42">
        <f ca="1">TODAY()-qry_ProdData2_PDI_Cash_Exception_Application[[#This Row],[INSERT DATE]]</f>
        <v>10.742928240739275</v>
      </c>
      <c r="K9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62">
        <f ca="1">qry_ProdData2_PDI_Cash_Exception_Application[[#This Row],[TODAY]]-qry_ProdData2_PDI_Cash_Exception_Application[[#This Row],[CHANGED ON]]</f>
        <v>5.7429282407392748</v>
      </c>
      <c r="M962">
        <f ca="1">qry_ProdData2_PDI_Cash_Exception_Application[[#This Row],[TODAY]]-qry_ProdData2_PDI_Cash_Exception_Application[[#This Row],[CHANGED ON]]</f>
        <v>5.7429282407392748</v>
      </c>
      <c r="N962">
        <f ca="1">qry_ProdData2_PDI_Cash_Exception_Application[[#This Row],[TODAY]]-qry_ProdData2_PDI_Cash_Exception_Application[[#This Row],[CHANGED ON]]</f>
        <v>5.7429282407392748</v>
      </c>
    </row>
    <row r="963" spans="1:14" x14ac:dyDescent="0.35">
      <c r="A963">
        <v>1032</v>
      </c>
      <c r="B963" t="s">
        <v>86</v>
      </c>
      <c r="C963" s="1">
        <v>45189.257071759261</v>
      </c>
      <c r="D963" t="str">
        <f ca="1">VLOOKUP(qry_ProdData2_PDI_Cash_Exception_Application[[#This Row],[TYPE]],#REF!,2,FALSE)</f>
        <v>type40</v>
      </c>
      <c r="E963">
        <v>-306.45</v>
      </c>
      <c r="F963" t="s">
        <v>48</v>
      </c>
      <c r="G963" s="1">
        <f>qry_ProdData2_PDI_Cash_Exception_Application[[#This Row],[INSERT DATE]]+1</f>
        <v>45190.257071759261</v>
      </c>
      <c r="H963" t="str">
        <f>VLOOKUP(qry_ProdData2_PDI_Cash_Exception_Application[[#This Row],[MARKET No]],'Site Allocation'!$B$2:$C$37,2,FALSE)</f>
        <v>Analyst6</v>
      </c>
      <c r="I963" s="4">
        <f t="shared" ca="1" si="15"/>
        <v>45203</v>
      </c>
      <c r="J963" s="42">
        <f ca="1">TODAY()-qry_ProdData2_PDI_Cash_Exception_Application[[#This Row],[INSERT DATE]]</f>
        <v>13.742928240739275</v>
      </c>
      <c r="K9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63">
        <f ca="1">qry_ProdData2_PDI_Cash_Exception_Application[[#This Row],[TODAY]]-qry_ProdData2_PDI_Cash_Exception_Application[[#This Row],[CHANGED ON]]</f>
        <v>12.742928240739275</v>
      </c>
      <c r="M963">
        <f ca="1">qry_ProdData2_PDI_Cash_Exception_Application[[#This Row],[TODAY]]-qry_ProdData2_PDI_Cash_Exception_Application[[#This Row],[CHANGED ON]]</f>
        <v>12.742928240739275</v>
      </c>
      <c r="N963">
        <f ca="1">qry_ProdData2_PDI_Cash_Exception_Application[[#This Row],[TODAY]]-qry_ProdData2_PDI_Cash_Exception_Application[[#This Row],[CHANGED ON]]</f>
        <v>12.742928240739275</v>
      </c>
    </row>
    <row r="964" spans="1:14" x14ac:dyDescent="0.35">
      <c r="A964">
        <v>1004</v>
      </c>
      <c r="B964" t="s">
        <v>58</v>
      </c>
      <c r="C964" s="1">
        <v>45185.257071759261</v>
      </c>
      <c r="D964" t="str">
        <f ca="1">VLOOKUP(qry_ProdData2_PDI_Cash_Exception_Application[[#This Row],[TYPE]],#REF!,2,FALSE)</f>
        <v>type40</v>
      </c>
      <c r="E964">
        <v>1227.1300000000001</v>
      </c>
      <c r="F964" t="s">
        <v>48</v>
      </c>
      <c r="G964" s="1">
        <f>qry_ProdData2_PDI_Cash_Exception_Application[[#This Row],[INSERT DATE]]+2</f>
        <v>45187.257071759261</v>
      </c>
      <c r="H964" t="str">
        <f>VLOOKUP(qry_ProdData2_PDI_Cash_Exception_Application[[#This Row],[MARKET No]],'Site Allocation'!$B$2:$C$37,2,FALSE)</f>
        <v>Analyst1</v>
      </c>
      <c r="I964" s="4">
        <f t="shared" ca="1" si="15"/>
        <v>45203</v>
      </c>
      <c r="J964" s="42">
        <f ca="1">TODAY()-qry_ProdData2_PDI_Cash_Exception_Application[[#This Row],[INSERT DATE]]</f>
        <v>17.742928240739275</v>
      </c>
      <c r="K9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64">
        <f ca="1">qry_ProdData2_PDI_Cash_Exception_Application[[#This Row],[TODAY]]-qry_ProdData2_PDI_Cash_Exception_Application[[#This Row],[CHANGED ON]]</f>
        <v>15.742928240739275</v>
      </c>
      <c r="M964">
        <f ca="1">qry_ProdData2_PDI_Cash_Exception_Application[[#This Row],[TODAY]]-qry_ProdData2_PDI_Cash_Exception_Application[[#This Row],[CHANGED ON]]</f>
        <v>15.742928240739275</v>
      </c>
      <c r="N964">
        <f ca="1">qry_ProdData2_PDI_Cash_Exception_Application[[#This Row],[TODAY]]-qry_ProdData2_PDI_Cash_Exception_Application[[#This Row],[CHANGED ON]]</f>
        <v>15.742928240739275</v>
      </c>
    </row>
    <row r="965" spans="1:14" x14ac:dyDescent="0.35">
      <c r="A965">
        <v>1020</v>
      </c>
      <c r="B965" t="s">
        <v>74</v>
      </c>
      <c r="C965" s="1">
        <v>45187.257071759261</v>
      </c>
      <c r="D965" t="str">
        <f ca="1">VLOOKUP(qry_ProdData2_PDI_Cash_Exception_Application[[#This Row],[TYPE]],#REF!,2,FALSE)</f>
        <v>type40</v>
      </c>
      <c r="E965">
        <v>-543.29</v>
      </c>
      <c r="F965" t="s">
        <v>49</v>
      </c>
      <c r="G965" s="1">
        <f>qry_ProdData2_PDI_Cash_Exception_Application[[#This Row],[INSERT DATE]]+1</f>
        <v>45188.257071759261</v>
      </c>
      <c r="H965" t="str">
        <f>VLOOKUP(qry_ProdData2_PDI_Cash_Exception_Application[[#This Row],[MARKET No]],'Site Allocation'!$B$2:$C$37,2,FALSE)</f>
        <v>Analyst4</v>
      </c>
      <c r="I965" s="4">
        <f t="shared" ca="1" si="15"/>
        <v>45203</v>
      </c>
      <c r="J965" s="42">
        <f ca="1">TODAY()-qry_ProdData2_PDI_Cash_Exception_Application[[#This Row],[INSERT DATE]]</f>
        <v>15.742928240739275</v>
      </c>
      <c r="K9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65">
        <f ca="1">qry_ProdData2_PDI_Cash_Exception_Application[[#This Row],[TODAY]]-qry_ProdData2_PDI_Cash_Exception_Application[[#This Row],[CHANGED ON]]</f>
        <v>14.742928240739275</v>
      </c>
      <c r="M965">
        <f ca="1">qry_ProdData2_PDI_Cash_Exception_Application[[#This Row],[TODAY]]-qry_ProdData2_PDI_Cash_Exception_Application[[#This Row],[CHANGED ON]]</f>
        <v>14.742928240739275</v>
      </c>
      <c r="N965">
        <f ca="1">qry_ProdData2_PDI_Cash_Exception_Application[[#This Row],[TODAY]]-qry_ProdData2_PDI_Cash_Exception_Application[[#This Row],[CHANGED ON]]</f>
        <v>14.742928240739275</v>
      </c>
    </row>
    <row r="966" spans="1:14" x14ac:dyDescent="0.35">
      <c r="A966">
        <v>1013</v>
      </c>
      <c r="B966" t="s">
        <v>67</v>
      </c>
      <c r="C966" s="1">
        <v>45184.257071759261</v>
      </c>
      <c r="D966" t="str">
        <f ca="1">VLOOKUP(qry_ProdData2_PDI_Cash_Exception_Application[[#This Row],[TYPE]],#REF!,2,FALSE)</f>
        <v>type40</v>
      </c>
      <c r="E966">
        <v>-424.12</v>
      </c>
      <c r="F966" t="s">
        <v>52</v>
      </c>
      <c r="G966" s="1">
        <f>qry_ProdData2_PDI_Cash_Exception_Application[[#This Row],[INSERT DATE]]+1</f>
        <v>45185.257071759261</v>
      </c>
      <c r="H966" t="str">
        <f>VLOOKUP(qry_ProdData2_PDI_Cash_Exception_Application[[#This Row],[MARKET No]],'Site Allocation'!$B$2:$C$37,2,FALSE)</f>
        <v>Analyst3</v>
      </c>
      <c r="I966" s="4">
        <f t="shared" ca="1" si="15"/>
        <v>45203</v>
      </c>
      <c r="J966" s="42">
        <f ca="1">TODAY()-qry_ProdData2_PDI_Cash_Exception_Application[[#This Row],[INSERT DATE]]</f>
        <v>18.742928240739275</v>
      </c>
      <c r="K9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66">
        <f ca="1">qry_ProdData2_PDI_Cash_Exception_Application[[#This Row],[TODAY]]-qry_ProdData2_PDI_Cash_Exception_Application[[#This Row],[CHANGED ON]]</f>
        <v>17.742928240739275</v>
      </c>
      <c r="M966">
        <f ca="1">qry_ProdData2_PDI_Cash_Exception_Application[[#This Row],[TODAY]]-qry_ProdData2_PDI_Cash_Exception_Application[[#This Row],[CHANGED ON]]</f>
        <v>17.742928240739275</v>
      </c>
      <c r="N966">
        <f ca="1">qry_ProdData2_PDI_Cash_Exception_Application[[#This Row],[TODAY]]-qry_ProdData2_PDI_Cash_Exception_Application[[#This Row],[CHANGED ON]]</f>
        <v>17.742928240739275</v>
      </c>
    </row>
    <row r="967" spans="1:14" x14ac:dyDescent="0.35">
      <c r="A967">
        <v>1018</v>
      </c>
      <c r="B967" t="s">
        <v>72</v>
      </c>
      <c r="C967" s="1">
        <v>45180.257071759261</v>
      </c>
      <c r="D967" t="str">
        <f ca="1">VLOOKUP(qry_ProdData2_PDI_Cash_Exception_Application[[#This Row],[TYPE]],#REF!,2,FALSE)</f>
        <v>type7</v>
      </c>
      <c r="E967">
        <v>1210.55</v>
      </c>
      <c r="F967" t="s">
        <v>51</v>
      </c>
      <c r="G967" s="1">
        <f>qry_ProdData2_PDI_Cash_Exception_Application[[#This Row],[INSERT DATE]]+2</f>
        <v>45182.257071759261</v>
      </c>
      <c r="H967" t="str">
        <f>VLOOKUP(qry_ProdData2_PDI_Cash_Exception_Application[[#This Row],[MARKET No]],'Site Allocation'!$B$2:$C$37,2,FALSE)</f>
        <v>Analyst4</v>
      </c>
      <c r="I967" s="4">
        <f t="shared" ca="1" si="15"/>
        <v>45203</v>
      </c>
      <c r="J967" s="42">
        <f ca="1">TODAY()-qry_ProdData2_PDI_Cash_Exception_Application[[#This Row],[INSERT DATE]]</f>
        <v>22.742928240739275</v>
      </c>
      <c r="K9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67">
        <f ca="1">qry_ProdData2_PDI_Cash_Exception_Application[[#This Row],[TODAY]]-qry_ProdData2_PDI_Cash_Exception_Application[[#This Row],[CHANGED ON]]</f>
        <v>20.742928240739275</v>
      </c>
      <c r="M967">
        <f ca="1">qry_ProdData2_PDI_Cash_Exception_Application[[#This Row],[TODAY]]-qry_ProdData2_PDI_Cash_Exception_Application[[#This Row],[CHANGED ON]]</f>
        <v>20.742928240739275</v>
      </c>
      <c r="N967">
        <f ca="1">qry_ProdData2_PDI_Cash_Exception_Application[[#This Row],[TODAY]]-qry_ProdData2_PDI_Cash_Exception_Application[[#This Row],[CHANGED ON]]</f>
        <v>20.742928240739275</v>
      </c>
    </row>
    <row r="968" spans="1:14" x14ac:dyDescent="0.35">
      <c r="A968">
        <v>1001</v>
      </c>
      <c r="B968" t="s">
        <v>55</v>
      </c>
      <c r="C968" s="1">
        <v>45185.257071759261</v>
      </c>
      <c r="D968" t="str">
        <f ca="1">VLOOKUP(qry_ProdData2_PDI_Cash_Exception_Application[[#This Row],[TYPE]],#REF!,2,FALSE)</f>
        <v>type40</v>
      </c>
      <c r="E968">
        <v>-1238.5899999999999</v>
      </c>
      <c r="F968" t="s">
        <v>50</v>
      </c>
      <c r="G968" s="1">
        <f>qry_ProdData2_PDI_Cash_Exception_Application[[#This Row],[INSERT DATE]]+1</f>
        <v>45186.257071759261</v>
      </c>
      <c r="H968" t="str">
        <f>VLOOKUP(qry_ProdData2_PDI_Cash_Exception_Application[[#This Row],[MARKET No]],'Site Allocation'!$B$2:$C$37,2,FALSE)</f>
        <v>Analyst1</v>
      </c>
      <c r="I968" s="4">
        <f t="shared" ca="1" si="15"/>
        <v>45203</v>
      </c>
      <c r="J968" s="42">
        <f ca="1">TODAY()-qry_ProdData2_PDI_Cash_Exception_Application[[#This Row],[INSERT DATE]]</f>
        <v>17.742928240739275</v>
      </c>
      <c r="K9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68">
        <f ca="1">qry_ProdData2_PDI_Cash_Exception_Application[[#This Row],[TODAY]]-qry_ProdData2_PDI_Cash_Exception_Application[[#This Row],[CHANGED ON]]</f>
        <v>16.742928240739275</v>
      </c>
      <c r="M968">
        <f ca="1">qry_ProdData2_PDI_Cash_Exception_Application[[#This Row],[TODAY]]-qry_ProdData2_PDI_Cash_Exception_Application[[#This Row],[CHANGED ON]]</f>
        <v>16.742928240739275</v>
      </c>
      <c r="N968">
        <f ca="1">qry_ProdData2_PDI_Cash_Exception_Application[[#This Row],[TODAY]]-qry_ProdData2_PDI_Cash_Exception_Application[[#This Row],[CHANGED ON]]</f>
        <v>16.742928240739275</v>
      </c>
    </row>
    <row r="969" spans="1:14" x14ac:dyDescent="0.35">
      <c r="A969">
        <v>1018</v>
      </c>
      <c r="B969" t="s">
        <v>72</v>
      </c>
      <c r="C969" s="1">
        <v>45185.257071759261</v>
      </c>
      <c r="D969" t="str">
        <f ca="1">VLOOKUP(qry_ProdData2_PDI_Cash_Exception_Application[[#This Row],[TYPE]],#REF!,2,FALSE)</f>
        <v>type40</v>
      </c>
      <c r="E969">
        <v>3</v>
      </c>
      <c r="F969" t="s">
        <v>48</v>
      </c>
      <c r="G969" s="1">
        <f>qry_ProdData2_PDI_Cash_Exception_Application[[#This Row],[INSERT DATE]]+5</f>
        <v>45190.257071759261</v>
      </c>
      <c r="H969" t="str">
        <f>VLOOKUP(qry_ProdData2_PDI_Cash_Exception_Application[[#This Row],[MARKET No]],'Site Allocation'!$B$2:$C$37,2,FALSE)</f>
        <v>Analyst4</v>
      </c>
      <c r="I969" s="4">
        <f t="shared" ca="1" si="15"/>
        <v>45203</v>
      </c>
      <c r="J969" s="42">
        <f ca="1">TODAY()-qry_ProdData2_PDI_Cash_Exception_Application[[#This Row],[INSERT DATE]]</f>
        <v>17.742928240739275</v>
      </c>
      <c r="K9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69">
        <f ca="1">qry_ProdData2_PDI_Cash_Exception_Application[[#This Row],[TODAY]]-qry_ProdData2_PDI_Cash_Exception_Application[[#This Row],[CHANGED ON]]</f>
        <v>12.742928240739275</v>
      </c>
      <c r="M969">
        <f ca="1">qry_ProdData2_PDI_Cash_Exception_Application[[#This Row],[TODAY]]-qry_ProdData2_PDI_Cash_Exception_Application[[#This Row],[CHANGED ON]]</f>
        <v>12.742928240739275</v>
      </c>
      <c r="N969">
        <f ca="1">qry_ProdData2_PDI_Cash_Exception_Application[[#This Row],[TODAY]]-qry_ProdData2_PDI_Cash_Exception_Application[[#This Row],[CHANGED ON]]</f>
        <v>12.742928240739275</v>
      </c>
    </row>
    <row r="970" spans="1:14" x14ac:dyDescent="0.35">
      <c r="A970">
        <v>1027</v>
      </c>
      <c r="B970" t="s">
        <v>81</v>
      </c>
      <c r="C970" s="1">
        <v>45186.257071759261</v>
      </c>
      <c r="D970" t="str">
        <f ca="1">VLOOKUP(qry_ProdData2_PDI_Cash_Exception_Application[[#This Row],[TYPE]],#REF!,2,FALSE)</f>
        <v>type40</v>
      </c>
      <c r="E970">
        <v>339.31</v>
      </c>
      <c r="F970" t="s">
        <v>52</v>
      </c>
      <c r="G970" s="1">
        <f>qry_ProdData2_PDI_Cash_Exception_Application[[#This Row],[INSERT DATE]]+1</f>
        <v>45187.257071759261</v>
      </c>
      <c r="H970" t="str">
        <f>VLOOKUP(qry_ProdData2_PDI_Cash_Exception_Application[[#This Row],[MARKET No]],'Site Allocation'!$B$2:$C$37,2,FALSE)</f>
        <v>Analyst5</v>
      </c>
      <c r="I970" s="4">
        <f t="shared" ca="1" si="15"/>
        <v>45203</v>
      </c>
      <c r="J970" s="42">
        <f ca="1">TODAY()-qry_ProdData2_PDI_Cash_Exception_Application[[#This Row],[INSERT DATE]]</f>
        <v>16.742928240739275</v>
      </c>
      <c r="K9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70">
        <f ca="1">qry_ProdData2_PDI_Cash_Exception_Application[[#This Row],[TODAY]]-qry_ProdData2_PDI_Cash_Exception_Application[[#This Row],[CHANGED ON]]</f>
        <v>15.742928240739275</v>
      </c>
      <c r="M970">
        <f ca="1">qry_ProdData2_PDI_Cash_Exception_Application[[#This Row],[TODAY]]-qry_ProdData2_PDI_Cash_Exception_Application[[#This Row],[CHANGED ON]]</f>
        <v>15.742928240739275</v>
      </c>
      <c r="N970">
        <f ca="1">qry_ProdData2_PDI_Cash_Exception_Application[[#This Row],[TODAY]]-qry_ProdData2_PDI_Cash_Exception_Application[[#This Row],[CHANGED ON]]</f>
        <v>15.742928240739275</v>
      </c>
    </row>
    <row r="971" spans="1:14" x14ac:dyDescent="0.35">
      <c r="A971">
        <v>1006</v>
      </c>
      <c r="B971" t="s">
        <v>60</v>
      </c>
      <c r="C971" s="1">
        <v>45188.257071759261</v>
      </c>
      <c r="D971" t="str">
        <f ca="1">VLOOKUP(qry_ProdData2_PDI_Cash_Exception_Application[[#This Row],[TYPE]],#REF!,2,FALSE)</f>
        <v>type13</v>
      </c>
      <c r="E971">
        <v>19399.14</v>
      </c>
      <c r="F971" t="s">
        <v>48</v>
      </c>
      <c r="G971" s="1">
        <f>qry_ProdData2_PDI_Cash_Exception_Application[[#This Row],[INSERT DATE]]+7</f>
        <v>45195.257071759261</v>
      </c>
      <c r="H971" t="str">
        <f>VLOOKUP(qry_ProdData2_PDI_Cash_Exception_Application[[#This Row],[MARKET No]],'Site Allocation'!$B$2:$C$37,2,FALSE)</f>
        <v>Analyst2</v>
      </c>
      <c r="I971" s="4">
        <f t="shared" ca="1" si="15"/>
        <v>45203</v>
      </c>
      <c r="J971" s="42">
        <f ca="1">TODAY()-qry_ProdData2_PDI_Cash_Exception_Application[[#This Row],[INSERT DATE]]</f>
        <v>14.742928240739275</v>
      </c>
      <c r="K9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71">
        <f ca="1">qry_ProdData2_PDI_Cash_Exception_Application[[#This Row],[TODAY]]-qry_ProdData2_PDI_Cash_Exception_Application[[#This Row],[CHANGED ON]]</f>
        <v>7.7429282407392748</v>
      </c>
      <c r="M971">
        <f ca="1">qry_ProdData2_PDI_Cash_Exception_Application[[#This Row],[TODAY]]-qry_ProdData2_PDI_Cash_Exception_Application[[#This Row],[CHANGED ON]]</f>
        <v>7.7429282407392748</v>
      </c>
      <c r="N971">
        <f ca="1">qry_ProdData2_PDI_Cash_Exception_Application[[#This Row],[TODAY]]-qry_ProdData2_PDI_Cash_Exception_Application[[#This Row],[CHANGED ON]]</f>
        <v>7.7429282407392748</v>
      </c>
    </row>
    <row r="972" spans="1:14" x14ac:dyDescent="0.35">
      <c r="A972">
        <v>1032</v>
      </c>
      <c r="B972" t="s">
        <v>86</v>
      </c>
      <c r="C972" s="1">
        <v>45189.257071759261</v>
      </c>
      <c r="D972" t="str">
        <f ca="1">VLOOKUP(qry_ProdData2_PDI_Cash_Exception_Application[[#This Row],[TYPE]],#REF!,2,FALSE)</f>
        <v>type13</v>
      </c>
      <c r="E972">
        <v>19399.61</v>
      </c>
      <c r="F972" t="s">
        <v>49</v>
      </c>
      <c r="G972" s="1">
        <f>qry_ProdData2_PDI_Cash_Exception_Application[[#This Row],[INSERT DATE]]+1</f>
        <v>45190.257071759261</v>
      </c>
      <c r="H972" t="str">
        <f>VLOOKUP(qry_ProdData2_PDI_Cash_Exception_Application[[#This Row],[MARKET No]],'Site Allocation'!$B$2:$C$37,2,FALSE)</f>
        <v>Analyst6</v>
      </c>
      <c r="I972" s="4">
        <f t="shared" ca="1" si="15"/>
        <v>45203</v>
      </c>
      <c r="J972" s="42">
        <f ca="1">TODAY()-qry_ProdData2_PDI_Cash_Exception_Application[[#This Row],[INSERT DATE]]</f>
        <v>13.742928240739275</v>
      </c>
      <c r="K9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72">
        <f ca="1">qry_ProdData2_PDI_Cash_Exception_Application[[#This Row],[TODAY]]-qry_ProdData2_PDI_Cash_Exception_Application[[#This Row],[CHANGED ON]]</f>
        <v>12.742928240739275</v>
      </c>
      <c r="M972">
        <f ca="1">qry_ProdData2_PDI_Cash_Exception_Application[[#This Row],[TODAY]]-qry_ProdData2_PDI_Cash_Exception_Application[[#This Row],[CHANGED ON]]</f>
        <v>12.742928240739275</v>
      </c>
      <c r="N972">
        <f ca="1">qry_ProdData2_PDI_Cash_Exception_Application[[#This Row],[TODAY]]-qry_ProdData2_PDI_Cash_Exception_Application[[#This Row],[CHANGED ON]]</f>
        <v>12.742928240739275</v>
      </c>
    </row>
    <row r="973" spans="1:14" x14ac:dyDescent="0.35">
      <c r="A973">
        <v>1034</v>
      </c>
      <c r="B973" t="s">
        <v>88</v>
      </c>
      <c r="C973" s="1">
        <v>45190.257071759261</v>
      </c>
      <c r="D973" t="str">
        <f ca="1">VLOOKUP(qry_ProdData2_PDI_Cash_Exception_Application[[#This Row],[TYPE]],#REF!,2,FALSE)</f>
        <v>type13</v>
      </c>
      <c r="E973">
        <v>37300.949999999997</v>
      </c>
      <c r="F973" t="s">
        <v>48</v>
      </c>
      <c r="G973" s="1">
        <f>qry_ProdData2_PDI_Cash_Exception_Application[[#This Row],[INSERT DATE]]+1</f>
        <v>45191.257071759261</v>
      </c>
      <c r="H973" t="str">
        <f>VLOOKUP(qry_ProdData2_PDI_Cash_Exception_Application[[#This Row],[MARKET No]],'Site Allocation'!$B$2:$C$37,2,FALSE)</f>
        <v>Analyst6</v>
      </c>
      <c r="I973" s="4">
        <f t="shared" ca="1" si="15"/>
        <v>45203</v>
      </c>
      <c r="J973" s="42">
        <f ca="1">TODAY()-qry_ProdData2_PDI_Cash_Exception_Application[[#This Row],[INSERT DATE]]</f>
        <v>12.742928240739275</v>
      </c>
      <c r="K9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73">
        <f ca="1">qry_ProdData2_PDI_Cash_Exception_Application[[#This Row],[TODAY]]-qry_ProdData2_PDI_Cash_Exception_Application[[#This Row],[CHANGED ON]]</f>
        <v>11.742928240739275</v>
      </c>
      <c r="M973">
        <f ca="1">qry_ProdData2_PDI_Cash_Exception_Application[[#This Row],[TODAY]]-qry_ProdData2_PDI_Cash_Exception_Application[[#This Row],[CHANGED ON]]</f>
        <v>11.742928240739275</v>
      </c>
      <c r="N973">
        <f ca="1">qry_ProdData2_PDI_Cash_Exception_Application[[#This Row],[TODAY]]-qry_ProdData2_PDI_Cash_Exception_Application[[#This Row],[CHANGED ON]]</f>
        <v>11.742928240739275</v>
      </c>
    </row>
    <row r="974" spans="1:14" x14ac:dyDescent="0.35">
      <c r="A974">
        <v>1005</v>
      </c>
      <c r="B974" t="s">
        <v>59</v>
      </c>
      <c r="C974" s="1">
        <v>45183.257071759261</v>
      </c>
      <c r="D974" t="str">
        <f ca="1">VLOOKUP(qry_ProdData2_PDI_Cash_Exception_Application[[#This Row],[TYPE]],#REF!,2,FALSE)</f>
        <v>type40</v>
      </c>
      <c r="E974">
        <v>7885.71</v>
      </c>
      <c r="F974" t="s">
        <v>47</v>
      </c>
      <c r="G974" s="1">
        <f>qry_ProdData2_PDI_Cash_Exception_Application[[#This Row],[INSERT DATE]]+7</f>
        <v>45190.257071759261</v>
      </c>
      <c r="H974" t="str">
        <f>VLOOKUP(qry_ProdData2_PDI_Cash_Exception_Application[[#This Row],[MARKET No]],'Site Allocation'!$B$2:$C$37,2,FALSE)</f>
        <v>Analyst1</v>
      </c>
      <c r="I974" s="4">
        <f t="shared" ca="1" si="15"/>
        <v>45203</v>
      </c>
      <c r="J974" s="42">
        <f ca="1">TODAY()-qry_ProdData2_PDI_Cash_Exception_Application[[#This Row],[INSERT DATE]]</f>
        <v>19.742928240739275</v>
      </c>
      <c r="K9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74">
        <f ca="1">qry_ProdData2_PDI_Cash_Exception_Application[[#This Row],[TODAY]]-qry_ProdData2_PDI_Cash_Exception_Application[[#This Row],[CHANGED ON]]</f>
        <v>12.742928240739275</v>
      </c>
      <c r="M974">
        <f ca="1">qry_ProdData2_PDI_Cash_Exception_Application[[#This Row],[TODAY]]-qry_ProdData2_PDI_Cash_Exception_Application[[#This Row],[CHANGED ON]]</f>
        <v>12.742928240739275</v>
      </c>
      <c r="N974">
        <f ca="1">qry_ProdData2_PDI_Cash_Exception_Application[[#This Row],[TODAY]]-qry_ProdData2_PDI_Cash_Exception_Application[[#This Row],[CHANGED ON]]</f>
        <v>12.742928240739275</v>
      </c>
    </row>
    <row r="975" spans="1:14" x14ac:dyDescent="0.35">
      <c r="A975">
        <v>1018</v>
      </c>
      <c r="B975" t="s">
        <v>72</v>
      </c>
      <c r="C975" s="1">
        <v>45185.257071759261</v>
      </c>
      <c r="D975" t="str">
        <f ca="1">VLOOKUP(qry_ProdData2_PDI_Cash_Exception_Application[[#This Row],[TYPE]],#REF!,2,FALSE)</f>
        <v>type40</v>
      </c>
      <c r="E975">
        <v>-447.15</v>
      </c>
      <c r="F975" t="s">
        <v>51</v>
      </c>
      <c r="G975" s="1">
        <f>qry_ProdData2_PDI_Cash_Exception_Application[[#This Row],[INSERT DATE]]+5</f>
        <v>45190.257071759261</v>
      </c>
      <c r="H975" t="str">
        <f>VLOOKUP(qry_ProdData2_PDI_Cash_Exception_Application[[#This Row],[MARKET No]],'Site Allocation'!$B$2:$C$37,2,FALSE)</f>
        <v>Analyst4</v>
      </c>
      <c r="I975" s="4">
        <f t="shared" ca="1" si="15"/>
        <v>45203</v>
      </c>
      <c r="J975" s="42">
        <f ca="1">TODAY()-qry_ProdData2_PDI_Cash_Exception_Application[[#This Row],[INSERT DATE]]</f>
        <v>17.742928240739275</v>
      </c>
      <c r="K9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75">
        <f ca="1">qry_ProdData2_PDI_Cash_Exception_Application[[#This Row],[TODAY]]-qry_ProdData2_PDI_Cash_Exception_Application[[#This Row],[CHANGED ON]]</f>
        <v>12.742928240739275</v>
      </c>
      <c r="M975">
        <f ca="1">qry_ProdData2_PDI_Cash_Exception_Application[[#This Row],[TODAY]]-qry_ProdData2_PDI_Cash_Exception_Application[[#This Row],[CHANGED ON]]</f>
        <v>12.742928240739275</v>
      </c>
      <c r="N975">
        <f ca="1">qry_ProdData2_PDI_Cash_Exception_Application[[#This Row],[TODAY]]-qry_ProdData2_PDI_Cash_Exception_Application[[#This Row],[CHANGED ON]]</f>
        <v>12.742928240739275</v>
      </c>
    </row>
    <row r="976" spans="1:14" x14ac:dyDescent="0.35">
      <c r="A976">
        <v>1022</v>
      </c>
      <c r="B976" t="s">
        <v>76</v>
      </c>
      <c r="C976" s="1">
        <v>45190.257071759261</v>
      </c>
      <c r="D976" t="str">
        <f ca="1">VLOOKUP(qry_ProdData2_PDI_Cash_Exception_Application[[#This Row],[TYPE]],#REF!,2,FALSE)</f>
        <v>type13</v>
      </c>
      <c r="E976">
        <v>15814</v>
      </c>
      <c r="F976" t="s">
        <v>50</v>
      </c>
      <c r="G976" s="1">
        <f>qry_ProdData2_PDI_Cash_Exception_Application[[#This Row],[INSERT DATE]]+2</f>
        <v>45192.257071759261</v>
      </c>
      <c r="H976" t="str">
        <f>VLOOKUP(qry_ProdData2_PDI_Cash_Exception_Application[[#This Row],[MARKET No]],'Site Allocation'!$B$2:$C$37,2,FALSE)</f>
        <v>Analyst4</v>
      </c>
      <c r="I976" s="4">
        <f t="shared" ca="1" si="15"/>
        <v>45203</v>
      </c>
      <c r="J976" s="42">
        <f ca="1">TODAY()-qry_ProdData2_PDI_Cash_Exception_Application[[#This Row],[INSERT DATE]]</f>
        <v>12.742928240739275</v>
      </c>
      <c r="K9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76">
        <f ca="1">qry_ProdData2_PDI_Cash_Exception_Application[[#This Row],[TODAY]]-qry_ProdData2_PDI_Cash_Exception_Application[[#This Row],[CHANGED ON]]</f>
        <v>10.742928240739275</v>
      </c>
      <c r="M976">
        <f ca="1">qry_ProdData2_PDI_Cash_Exception_Application[[#This Row],[TODAY]]-qry_ProdData2_PDI_Cash_Exception_Application[[#This Row],[CHANGED ON]]</f>
        <v>10.742928240739275</v>
      </c>
      <c r="N976">
        <f ca="1">qry_ProdData2_PDI_Cash_Exception_Application[[#This Row],[TODAY]]-qry_ProdData2_PDI_Cash_Exception_Application[[#This Row],[CHANGED ON]]</f>
        <v>10.742928240739275</v>
      </c>
    </row>
    <row r="977" spans="1:14" x14ac:dyDescent="0.35">
      <c r="A977">
        <v>1019</v>
      </c>
      <c r="B977" t="s">
        <v>73</v>
      </c>
      <c r="C977" s="1">
        <v>45184.257071759261</v>
      </c>
      <c r="D977" t="str">
        <f ca="1">VLOOKUP(qry_ProdData2_PDI_Cash_Exception_Application[[#This Row],[TYPE]],#REF!,2,FALSE)</f>
        <v>type40</v>
      </c>
      <c r="E977">
        <v>-1337.05</v>
      </c>
      <c r="F977" t="s">
        <v>47</v>
      </c>
      <c r="G977" s="1">
        <f>qry_ProdData2_PDI_Cash_Exception_Application[[#This Row],[INSERT DATE]]+7</f>
        <v>45191.257071759261</v>
      </c>
      <c r="H977" t="str">
        <f>VLOOKUP(qry_ProdData2_PDI_Cash_Exception_Application[[#This Row],[MARKET No]],'Site Allocation'!$B$2:$C$37,2,FALSE)</f>
        <v>Analyst4</v>
      </c>
      <c r="I977" s="4">
        <f t="shared" ca="1" si="15"/>
        <v>45203</v>
      </c>
      <c r="J977" s="42">
        <f ca="1">TODAY()-qry_ProdData2_PDI_Cash_Exception_Application[[#This Row],[INSERT DATE]]</f>
        <v>18.742928240739275</v>
      </c>
      <c r="K9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77">
        <f ca="1">qry_ProdData2_PDI_Cash_Exception_Application[[#This Row],[TODAY]]-qry_ProdData2_PDI_Cash_Exception_Application[[#This Row],[CHANGED ON]]</f>
        <v>11.742928240739275</v>
      </c>
      <c r="M977">
        <f ca="1">qry_ProdData2_PDI_Cash_Exception_Application[[#This Row],[TODAY]]-qry_ProdData2_PDI_Cash_Exception_Application[[#This Row],[CHANGED ON]]</f>
        <v>11.742928240739275</v>
      </c>
      <c r="N977">
        <f ca="1">qry_ProdData2_PDI_Cash_Exception_Application[[#This Row],[TODAY]]-qry_ProdData2_PDI_Cash_Exception_Application[[#This Row],[CHANGED ON]]</f>
        <v>11.742928240739275</v>
      </c>
    </row>
    <row r="978" spans="1:14" x14ac:dyDescent="0.35">
      <c r="A978">
        <v>1031</v>
      </c>
      <c r="B978" t="s">
        <v>85</v>
      </c>
      <c r="C978" s="1">
        <v>45182.257071759261</v>
      </c>
      <c r="D978" t="str">
        <f ca="1">VLOOKUP(qry_ProdData2_PDI_Cash_Exception_Application[[#This Row],[TYPE]],#REF!,2,FALSE)</f>
        <v>type40</v>
      </c>
      <c r="E978">
        <v>11155.34</v>
      </c>
      <c r="F978" t="s">
        <v>48</v>
      </c>
      <c r="G978" s="1">
        <f>qry_ProdData2_PDI_Cash_Exception_Application[[#This Row],[INSERT DATE]]+1</f>
        <v>45183.257071759261</v>
      </c>
      <c r="H978" t="str">
        <f>VLOOKUP(qry_ProdData2_PDI_Cash_Exception_Application[[#This Row],[MARKET No]],'Site Allocation'!$B$2:$C$37,2,FALSE)</f>
        <v>Analyst6</v>
      </c>
      <c r="I978" s="4">
        <f t="shared" ca="1" si="15"/>
        <v>45203</v>
      </c>
      <c r="J978" s="42">
        <f ca="1">TODAY()-qry_ProdData2_PDI_Cash_Exception_Application[[#This Row],[INSERT DATE]]</f>
        <v>20.742928240739275</v>
      </c>
      <c r="K9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78">
        <f ca="1">qry_ProdData2_PDI_Cash_Exception_Application[[#This Row],[TODAY]]-qry_ProdData2_PDI_Cash_Exception_Application[[#This Row],[CHANGED ON]]</f>
        <v>19.742928240739275</v>
      </c>
      <c r="M978">
        <f ca="1">qry_ProdData2_PDI_Cash_Exception_Application[[#This Row],[TODAY]]-qry_ProdData2_PDI_Cash_Exception_Application[[#This Row],[CHANGED ON]]</f>
        <v>19.742928240739275</v>
      </c>
      <c r="N978">
        <f ca="1">qry_ProdData2_PDI_Cash_Exception_Application[[#This Row],[TODAY]]-qry_ProdData2_PDI_Cash_Exception_Application[[#This Row],[CHANGED ON]]</f>
        <v>19.742928240739275</v>
      </c>
    </row>
    <row r="979" spans="1:14" x14ac:dyDescent="0.35">
      <c r="A979">
        <v>1011</v>
      </c>
      <c r="B979" t="s">
        <v>65</v>
      </c>
      <c r="C979" s="1">
        <v>45192.257071759261</v>
      </c>
      <c r="D979" t="str">
        <f ca="1">VLOOKUP(qry_ProdData2_PDI_Cash_Exception_Application[[#This Row],[TYPE]],#REF!,2,FALSE)</f>
        <v>type13</v>
      </c>
      <c r="E979">
        <v>20532.310000000001</v>
      </c>
      <c r="F979" t="s">
        <v>52</v>
      </c>
      <c r="G979" s="1">
        <f>qry_ProdData2_PDI_Cash_Exception_Application[[#This Row],[INSERT DATE]]+2</f>
        <v>45194.257071759261</v>
      </c>
      <c r="H979" t="str">
        <f>VLOOKUP(qry_ProdData2_PDI_Cash_Exception_Application[[#This Row],[MARKET No]],'Site Allocation'!$B$2:$C$37,2,FALSE)</f>
        <v>Analyst2</v>
      </c>
      <c r="I979" s="4">
        <f t="shared" ca="1" si="15"/>
        <v>45203</v>
      </c>
      <c r="J979" s="42">
        <f ca="1">TODAY()-qry_ProdData2_PDI_Cash_Exception_Application[[#This Row],[INSERT DATE]]</f>
        <v>10.742928240739275</v>
      </c>
      <c r="K9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79">
        <f ca="1">qry_ProdData2_PDI_Cash_Exception_Application[[#This Row],[TODAY]]-qry_ProdData2_PDI_Cash_Exception_Application[[#This Row],[CHANGED ON]]</f>
        <v>8.7429282407392748</v>
      </c>
      <c r="M979">
        <f ca="1">qry_ProdData2_PDI_Cash_Exception_Application[[#This Row],[TODAY]]-qry_ProdData2_PDI_Cash_Exception_Application[[#This Row],[CHANGED ON]]</f>
        <v>8.7429282407392748</v>
      </c>
      <c r="N979">
        <f ca="1">qry_ProdData2_PDI_Cash_Exception_Application[[#This Row],[TODAY]]-qry_ProdData2_PDI_Cash_Exception_Application[[#This Row],[CHANGED ON]]</f>
        <v>8.7429282407392748</v>
      </c>
    </row>
    <row r="980" spans="1:14" x14ac:dyDescent="0.35">
      <c r="A980">
        <v>1004</v>
      </c>
      <c r="B980" t="s">
        <v>58</v>
      </c>
      <c r="C980" s="1">
        <v>45193.257071759261</v>
      </c>
      <c r="D980" t="str">
        <f ca="1">VLOOKUP(qry_ProdData2_PDI_Cash_Exception_Application[[#This Row],[TYPE]],#REF!,2,FALSE)</f>
        <v>type13</v>
      </c>
      <c r="E980">
        <v>28293.279999999999</v>
      </c>
      <c r="F980" t="s">
        <v>50</v>
      </c>
      <c r="G980" s="1">
        <f>qry_ProdData2_PDI_Cash_Exception_Application[[#This Row],[INSERT DATE]]+2</f>
        <v>45195.257071759261</v>
      </c>
      <c r="H980" t="str">
        <f>VLOOKUP(qry_ProdData2_PDI_Cash_Exception_Application[[#This Row],[MARKET No]],'Site Allocation'!$B$2:$C$37,2,FALSE)</f>
        <v>Analyst1</v>
      </c>
      <c r="I980" s="4">
        <f t="shared" ca="1" si="15"/>
        <v>45203</v>
      </c>
      <c r="J980" s="42">
        <f ca="1">TODAY()-qry_ProdData2_PDI_Cash_Exception_Application[[#This Row],[INSERT DATE]]</f>
        <v>9.7429282407392748</v>
      </c>
      <c r="K9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80">
        <f ca="1">qry_ProdData2_PDI_Cash_Exception_Application[[#This Row],[TODAY]]-qry_ProdData2_PDI_Cash_Exception_Application[[#This Row],[CHANGED ON]]</f>
        <v>7.7429282407392748</v>
      </c>
      <c r="M980">
        <f ca="1">qry_ProdData2_PDI_Cash_Exception_Application[[#This Row],[TODAY]]-qry_ProdData2_PDI_Cash_Exception_Application[[#This Row],[CHANGED ON]]</f>
        <v>7.7429282407392748</v>
      </c>
      <c r="N980">
        <f ca="1">qry_ProdData2_PDI_Cash_Exception_Application[[#This Row],[TODAY]]-qry_ProdData2_PDI_Cash_Exception_Application[[#This Row],[CHANGED ON]]</f>
        <v>7.7429282407392748</v>
      </c>
    </row>
    <row r="981" spans="1:14" x14ac:dyDescent="0.35">
      <c r="A981">
        <v>1030</v>
      </c>
      <c r="B981" t="s">
        <v>84</v>
      </c>
      <c r="C981" s="1">
        <v>45185.257071759261</v>
      </c>
      <c r="D981" t="str">
        <f ca="1">VLOOKUP(qry_ProdData2_PDI_Cash_Exception_Application[[#This Row],[TYPE]],#REF!,2,FALSE)</f>
        <v>type40</v>
      </c>
      <c r="E981">
        <v>1234.3699999999999</v>
      </c>
      <c r="F981" t="s">
        <v>47</v>
      </c>
      <c r="G981" s="1">
        <f>qry_ProdData2_PDI_Cash_Exception_Application[[#This Row],[INSERT DATE]]+7</f>
        <v>45192.257071759261</v>
      </c>
      <c r="H981" t="str">
        <f>VLOOKUP(qry_ProdData2_PDI_Cash_Exception_Application[[#This Row],[MARKET No]],'Site Allocation'!$B$2:$C$37,2,FALSE)</f>
        <v>Analyst6</v>
      </c>
      <c r="I981" s="4">
        <f t="shared" ca="1" si="15"/>
        <v>45203</v>
      </c>
      <c r="J981" s="42">
        <f ca="1">TODAY()-qry_ProdData2_PDI_Cash_Exception_Application[[#This Row],[INSERT DATE]]</f>
        <v>17.742928240739275</v>
      </c>
      <c r="K9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81">
        <f ca="1">qry_ProdData2_PDI_Cash_Exception_Application[[#This Row],[TODAY]]-qry_ProdData2_PDI_Cash_Exception_Application[[#This Row],[CHANGED ON]]</f>
        <v>10.742928240739275</v>
      </c>
      <c r="M981">
        <f ca="1">qry_ProdData2_PDI_Cash_Exception_Application[[#This Row],[TODAY]]-qry_ProdData2_PDI_Cash_Exception_Application[[#This Row],[CHANGED ON]]</f>
        <v>10.742928240739275</v>
      </c>
      <c r="N981">
        <f ca="1">qry_ProdData2_PDI_Cash_Exception_Application[[#This Row],[TODAY]]-qry_ProdData2_PDI_Cash_Exception_Application[[#This Row],[CHANGED ON]]</f>
        <v>10.742928240739275</v>
      </c>
    </row>
    <row r="982" spans="1:14" x14ac:dyDescent="0.35">
      <c r="A982">
        <v>1011</v>
      </c>
      <c r="B982" t="s">
        <v>65</v>
      </c>
      <c r="C982" s="1">
        <v>45187.257071759261</v>
      </c>
      <c r="D982" t="str">
        <f ca="1">VLOOKUP(qry_ProdData2_PDI_Cash_Exception_Application[[#This Row],[TYPE]],#REF!,2,FALSE)</f>
        <v>type40</v>
      </c>
      <c r="E982">
        <v>5</v>
      </c>
      <c r="F982" t="s">
        <v>51</v>
      </c>
      <c r="G982" s="1">
        <f>qry_ProdData2_PDI_Cash_Exception_Application[[#This Row],[INSERT DATE]]+5</f>
        <v>45192.257071759261</v>
      </c>
      <c r="H982" t="str">
        <f>VLOOKUP(qry_ProdData2_PDI_Cash_Exception_Application[[#This Row],[MARKET No]],'Site Allocation'!$B$2:$C$37,2,FALSE)</f>
        <v>Analyst2</v>
      </c>
      <c r="I982" s="4">
        <f t="shared" ca="1" si="15"/>
        <v>45203</v>
      </c>
      <c r="J982" s="42">
        <f ca="1">TODAY()-qry_ProdData2_PDI_Cash_Exception_Application[[#This Row],[INSERT DATE]]</f>
        <v>15.742928240739275</v>
      </c>
      <c r="K9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82">
        <f ca="1">qry_ProdData2_PDI_Cash_Exception_Application[[#This Row],[TODAY]]-qry_ProdData2_PDI_Cash_Exception_Application[[#This Row],[CHANGED ON]]</f>
        <v>10.742928240739275</v>
      </c>
      <c r="M982">
        <f ca="1">qry_ProdData2_PDI_Cash_Exception_Application[[#This Row],[TODAY]]-qry_ProdData2_PDI_Cash_Exception_Application[[#This Row],[CHANGED ON]]</f>
        <v>10.742928240739275</v>
      </c>
      <c r="N982">
        <f ca="1">qry_ProdData2_PDI_Cash_Exception_Application[[#This Row],[TODAY]]-qry_ProdData2_PDI_Cash_Exception_Application[[#This Row],[CHANGED ON]]</f>
        <v>10.742928240739275</v>
      </c>
    </row>
    <row r="983" spans="1:14" x14ac:dyDescent="0.35">
      <c r="A983">
        <v>1020</v>
      </c>
      <c r="B983" t="s">
        <v>74</v>
      </c>
      <c r="C983" s="1">
        <v>45185.257071759261</v>
      </c>
      <c r="D983" t="str">
        <f ca="1">VLOOKUP(qry_ProdData2_PDI_Cash_Exception_Application[[#This Row],[TYPE]],#REF!,2,FALSE)</f>
        <v>type40</v>
      </c>
      <c r="E983">
        <v>-360.83</v>
      </c>
      <c r="F983" t="s">
        <v>47</v>
      </c>
      <c r="G983" s="1">
        <f>qry_ProdData2_PDI_Cash_Exception_Application[[#This Row],[INSERT DATE]]+1</f>
        <v>45186.257071759261</v>
      </c>
      <c r="H983" t="str">
        <f>VLOOKUP(qry_ProdData2_PDI_Cash_Exception_Application[[#This Row],[MARKET No]],'Site Allocation'!$B$2:$C$37,2,FALSE)</f>
        <v>Analyst4</v>
      </c>
      <c r="I983" s="4">
        <f t="shared" ca="1" si="15"/>
        <v>45203</v>
      </c>
      <c r="J983" s="42">
        <f ca="1">TODAY()-qry_ProdData2_PDI_Cash_Exception_Application[[#This Row],[INSERT DATE]]</f>
        <v>17.742928240739275</v>
      </c>
      <c r="K9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83">
        <f ca="1">qry_ProdData2_PDI_Cash_Exception_Application[[#This Row],[TODAY]]-qry_ProdData2_PDI_Cash_Exception_Application[[#This Row],[CHANGED ON]]</f>
        <v>16.742928240739275</v>
      </c>
      <c r="M983">
        <f ca="1">qry_ProdData2_PDI_Cash_Exception_Application[[#This Row],[TODAY]]-qry_ProdData2_PDI_Cash_Exception_Application[[#This Row],[CHANGED ON]]</f>
        <v>16.742928240739275</v>
      </c>
      <c r="N983">
        <f ca="1">qry_ProdData2_PDI_Cash_Exception_Application[[#This Row],[TODAY]]-qry_ProdData2_PDI_Cash_Exception_Application[[#This Row],[CHANGED ON]]</f>
        <v>16.742928240739275</v>
      </c>
    </row>
    <row r="984" spans="1:14" x14ac:dyDescent="0.35">
      <c r="A984">
        <v>1009</v>
      </c>
      <c r="B984" t="s">
        <v>63</v>
      </c>
      <c r="C984" s="1">
        <v>45197.257071759261</v>
      </c>
      <c r="D984" t="str">
        <f ca="1">VLOOKUP(qry_ProdData2_PDI_Cash_Exception_Application[[#This Row],[TYPE]],#REF!,2,FALSE)</f>
        <v>type40</v>
      </c>
      <c r="E984">
        <v>-1015.69</v>
      </c>
      <c r="F984" t="s">
        <v>50</v>
      </c>
      <c r="G984" s="1">
        <f>qry_ProdData2_PDI_Cash_Exception_Application[[#This Row],[INSERT DATE]]+2</f>
        <v>45199.257071759261</v>
      </c>
      <c r="H984" t="str">
        <f>VLOOKUP(qry_ProdData2_PDI_Cash_Exception_Application[[#This Row],[MARKET No]],'Site Allocation'!$B$2:$C$37,2,FALSE)</f>
        <v>Analyst2</v>
      </c>
      <c r="I984" s="4">
        <f t="shared" ca="1" si="15"/>
        <v>45203</v>
      </c>
      <c r="J984" s="42">
        <f ca="1">TODAY()-qry_ProdData2_PDI_Cash_Exception_Application[[#This Row],[INSERT DATE]]</f>
        <v>5.7429282407392748</v>
      </c>
      <c r="K9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984">
        <f ca="1">qry_ProdData2_PDI_Cash_Exception_Application[[#This Row],[TODAY]]-qry_ProdData2_PDI_Cash_Exception_Application[[#This Row],[CHANGED ON]]</f>
        <v>3.7429282407392748</v>
      </c>
      <c r="M984">
        <f ca="1">qry_ProdData2_PDI_Cash_Exception_Application[[#This Row],[TODAY]]-qry_ProdData2_PDI_Cash_Exception_Application[[#This Row],[CHANGED ON]]</f>
        <v>3.7429282407392748</v>
      </c>
      <c r="N984">
        <f ca="1">qry_ProdData2_PDI_Cash_Exception_Application[[#This Row],[TODAY]]-qry_ProdData2_PDI_Cash_Exception_Application[[#This Row],[CHANGED ON]]</f>
        <v>3.7429282407392748</v>
      </c>
    </row>
    <row r="985" spans="1:14" x14ac:dyDescent="0.35">
      <c r="A985">
        <v>1035</v>
      </c>
      <c r="B985" t="s">
        <v>89</v>
      </c>
      <c r="C985" s="1">
        <v>45191.257071759261</v>
      </c>
      <c r="D985" t="str">
        <f ca="1">VLOOKUP(qry_ProdData2_PDI_Cash_Exception_Application[[#This Row],[TYPE]],#REF!,2,FALSE)</f>
        <v>type13</v>
      </c>
      <c r="E985">
        <v>20526.48</v>
      </c>
      <c r="F985" t="s">
        <v>49</v>
      </c>
      <c r="G985" s="1">
        <f>qry_ProdData2_PDI_Cash_Exception_Application[[#This Row],[INSERT DATE]]+1</f>
        <v>45192.257071759261</v>
      </c>
      <c r="H985" t="str">
        <f>VLOOKUP(qry_ProdData2_PDI_Cash_Exception_Application[[#This Row],[MARKET No]],'Site Allocation'!$B$2:$C$37,2,FALSE)</f>
        <v>Analyst6</v>
      </c>
      <c r="I985" s="4">
        <f t="shared" ca="1" si="15"/>
        <v>45203</v>
      </c>
      <c r="J985" s="42">
        <f ca="1">TODAY()-qry_ProdData2_PDI_Cash_Exception_Application[[#This Row],[INSERT DATE]]</f>
        <v>11.742928240739275</v>
      </c>
      <c r="K9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85">
        <f ca="1">qry_ProdData2_PDI_Cash_Exception_Application[[#This Row],[TODAY]]-qry_ProdData2_PDI_Cash_Exception_Application[[#This Row],[CHANGED ON]]</f>
        <v>10.742928240739275</v>
      </c>
      <c r="M985">
        <f ca="1">qry_ProdData2_PDI_Cash_Exception_Application[[#This Row],[TODAY]]-qry_ProdData2_PDI_Cash_Exception_Application[[#This Row],[CHANGED ON]]</f>
        <v>10.742928240739275</v>
      </c>
      <c r="N985">
        <f ca="1">qry_ProdData2_PDI_Cash_Exception_Application[[#This Row],[TODAY]]-qry_ProdData2_PDI_Cash_Exception_Application[[#This Row],[CHANGED ON]]</f>
        <v>10.742928240739275</v>
      </c>
    </row>
    <row r="986" spans="1:14" x14ac:dyDescent="0.35">
      <c r="A986">
        <v>1015</v>
      </c>
      <c r="B986" t="s">
        <v>69</v>
      </c>
      <c r="C986" s="1">
        <v>45186.257071759261</v>
      </c>
      <c r="D986" t="str">
        <f ca="1">VLOOKUP(qry_ProdData2_PDI_Cash_Exception_Application[[#This Row],[TYPE]],#REF!,2,FALSE)</f>
        <v>type40</v>
      </c>
      <c r="E986">
        <v>-3789.09</v>
      </c>
      <c r="F986" t="s">
        <v>47</v>
      </c>
      <c r="G986" s="1">
        <f>qry_ProdData2_PDI_Cash_Exception_Application[[#This Row],[INSERT DATE]]+2</f>
        <v>45188.257071759261</v>
      </c>
      <c r="H986" t="str">
        <f>VLOOKUP(qry_ProdData2_PDI_Cash_Exception_Application[[#This Row],[MARKET No]],'Site Allocation'!$B$2:$C$37,2,FALSE)</f>
        <v>Analyst3</v>
      </c>
      <c r="I986" s="4">
        <f t="shared" ca="1" si="15"/>
        <v>45203</v>
      </c>
      <c r="J986" s="42">
        <f ca="1">TODAY()-qry_ProdData2_PDI_Cash_Exception_Application[[#This Row],[INSERT DATE]]</f>
        <v>16.742928240739275</v>
      </c>
      <c r="K9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86">
        <f ca="1">qry_ProdData2_PDI_Cash_Exception_Application[[#This Row],[TODAY]]-qry_ProdData2_PDI_Cash_Exception_Application[[#This Row],[CHANGED ON]]</f>
        <v>14.742928240739275</v>
      </c>
      <c r="M986">
        <f ca="1">qry_ProdData2_PDI_Cash_Exception_Application[[#This Row],[TODAY]]-qry_ProdData2_PDI_Cash_Exception_Application[[#This Row],[CHANGED ON]]</f>
        <v>14.742928240739275</v>
      </c>
      <c r="N986">
        <f ca="1">qry_ProdData2_PDI_Cash_Exception_Application[[#This Row],[TODAY]]-qry_ProdData2_PDI_Cash_Exception_Application[[#This Row],[CHANGED ON]]</f>
        <v>14.742928240739275</v>
      </c>
    </row>
    <row r="987" spans="1:14" x14ac:dyDescent="0.35">
      <c r="A987">
        <v>1032</v>
      </c>
      <c r="B987" t="s">
        <v>86</v>
      </c>
      <c r="C987" s="1">
        <v>45187.257071759261</v>
      </c>
      <c r="D987" t="str">
        <f ca="1">VLOOKUP(qry_ProdData2_PDI_Cash_Exception_Application[[#This Row],[TYPE]],#REF!,2,FALSE)</f>
        <v>type40</v>
      </c>
      <c r="E987">
        <v>-514.76</v>
      </c>
      <c r="F987" t="s">
        <v>50</v>
      </c>
      <c r="G987" s="1">
        <f>qry_ProdData2_PDI_Cash_Exception_Application[[#This Row],[INSERT DATE]]+2</f>
        <v>45189.257071759261</v>
      </c>
      <c r="H987" t="str">
        <f>VLOOKUP(qry_ProdData2_PDI_Cash_Exception_Application[[#This Row],[MARKET No]],'Site Allocation'!$B$2:$C$37,2,FALSE)</f>
        <v>Analyst6</v>
      </c>
      <c r="I987" s="4">
        <f t="shared" ca="1" si="15"/>
        <v>45203</v>
      </c>
      <c r="J987" s="42">
        <f ca="1">TODAY()-qry_ProdData2_PDI_Cash_Exception_Application[[#This Row],[INSERT DATE]]</f>
        <v>15.742928240739275</v>
      </c>
      <c r="K9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87">
        <f ca="1">qry_ProdData2_PDI_Cash_Exception_Application[[#This Row],[TODAY]]-qry_ProdData2_PDI_Cash_Exception_Application[[#This Row],[CHANGED ON]]</f>
        <v>13.742928240739275</v>
      </c>
      <c r="M987">
        <f ca="1">qry_ProdData2_PDI_Cash_Exception_Application[[#This Row],[TODAY]]-qry_ProdData2_PDI_Cash_Exception_Application[[#This Row],[CHANGED ON]]</f>
        <v>13.742928240739275</v>
      </c>
      <c r="N987">
        <f ca="1">qry_ProdData2_PDI_Cash_Exception_Application[[#This Row],[TODAY]]-qry_ProdData2_PDI_Cash_Exception_Application[[#This Row],[CHANGED ON]]</f>
        <v>13.742928240739275</v>
      </c>
    </row>
    <row r="988" spans="1:14" x14ac:dyDescent="0.35">
      <c r="A988">
        <v>1004</v>
      </c>
      <c r="B988" t="s">
        <v>58</v>
      </c>
      <c r="C988" s="1">
        <v>45189.257071759261</v>
      </c>
      <c r="D988" t="str">
        <f ca="1">VLOOKUP(qry_ProdData2_PDI_Cash_Exception_Application[[#This Row],[TYPE]],#REF!,2,FALSE)</f>
        <v>type28</v>
      </c>
      <c r="E988">
        <v>1181.07</v>
      </c>
      <c r="F988" t="s">
        <v>51</v>
      </c>
      <c r="G988" s="1">
        <f>qry_ProdData2_PDI_Cash_Exception_Application[[#This Row],[INSERT DATE]]+7</f>
        <v>45196.257071759261</v>
      </c>
      <c r="H988" t="str">
        <f>VLOOKUP(qry_ProdData2_PDI_Cash_Exception_Application[[#This Row],[MARKET No]],'Site Allocation'!$B$2:$C$37,2,FALSE)</f>
        <v>Analyst1</v>
      </c>
      <c r="I988" s="4">
        <f t="shared" ca="1" si="15"/>
        <v>45203</v>
      </c>
      <c r="J988" s="42">
        <f ca="1">TODAY()-qry_ProdData2_PDI_Cash_Exception_Application[[#This Row],[INSERT DATE]]</f>
        <v>13.742928240739275</v>
      </c>
      <c r="K9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88">
        <f ca="1">qry_ProdData2_PDI_Cash_Exception_Application[[#This Row],[TODAY]]-qry_ProdData2_PDI_Cash_Exception_Application[[#This Row],[CHANGED ON]]</f>
        <v>6.7429282407392748</v>
      </c>
      <c r="M988">
        <f ca="1">qry_ProdData2_PDI_Cash_Exception_Application[[#This Row],[TODAY]]-qry_ProdData2_PDI_Cash_Exception_Application[[#This Row],[CHANGED ON]]</f>
        <v>6.7429282407392748</v>
      </c>
      <c r="N988">
        <f ca="1">qry_ProdData2_PDI_Cash_Exception_Application[[#This Row],[TODAY]]-qry_ProdData2_PDI_Cash_Exception_Application[[#This Row],[CHANGED ON]]</f>
        <v>6.7429282407392748</v>
      </c>
    </row>
    <row r="989" spans="1:14" x14ac:dyDescent="0.35">
      <c r="A989">
        <v>1035</v>
      </c>
      <c r="B989" t="s">
        <v>89</v>
      </c>
      <c r="C989" s="1">
        <v>45185.257071759261</v>
      </c>
      <c r="D989" t="str">
        <f ca="1">VLOOKUP(qry_ProdData2_PDI_Cash_Exception_Application[[#This Row],[TYPE]],#REF!,2,FALSE)</f>
        <v>type40</v>
      </c>
      <c r="E989">
        <v>-1259.8699999999999</v>
      </c>
      <c r="F989" t="s">
        <v>47</v>
      </c>
      <c r="G989" s="1">
        <f>qry_ProdData2_PDI_Cash_Exception_Application[[#This Row],[INSERT DATE]]+7</f>
        <v>45192.257071759261</v>
      </c>
      <c r="H989" t="str">
        <f>VLOOKUP(qry_ProdData2_PDI_Cash_Exception_Application[[#This Row],[MARKET No]],'Site Allocation'!$B$2:$C$37,2,FALSE)</f>
        <v>Analyst6</v>
      </c>
      <c r="I989" s="4">
        <f t="shared" ca="1" si="15"/>
        <v>45203</v>
      </c>
      <c r="J989" s="42">
        <f ca="1">TODAY()-qry_ProdData2_PDI_Cash_Exception_Application[[#This Row],[INSERT DATE]]</f>
        <v>17.742928240739275</v>
      </c>
      <c r="K9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89">
        <f ca="1">qry_ProdData2_PDI_Cash_Exception_Application[[#This Row],[TODAY]]-qry_ProdData2_PDI_Cash_Exception_Application[[#This Row],[CHANGED ON]]</f>
        <v>10.742928240739275</v>
      </c>
      <c r="M989">
        <f ca="1">qry_ProdData2_PDI_Cash_Exception_Application[[#This Row],[TODAY]]-qry_ProdData2_PDI_Cash_Exception_Application[[#This Row],[CHANGED ON]]</f>
        <v>10.742928240739275</v>
      </c>
      <c r="N989">
        <f ca="1">qry_ProdData2_PDI_Cash_Exception_Application[[#This Row],[TODAY]]-qry_ProdData2_PDI_Cash_Exception_Application[[#This Row],[CHANGED ON]]</f>
        <v>10.742928240739275</v>
      </c>
    </row>
    <row r="990" spans="1:14" x14ac:dyDescent="0.35">
      <c r="A990">
        <v>1017</v>
      </c>
      <c r="B990" t="s">
        <v>71</v>
      </c>
      <c r="C990" s="1">
        <v>45192.257071759261</v>
      </c>
      <c r="D990" t="str">
        <f ca="1">VLOOKUP(qry_ProdData2_PDI_Cash_Exception_Application[[#This Row],[TYPE]],#REF!,2,FALSE)</f>
        <v>type13</v>
      </c>
      <c r="E990">
        <v>16955.73</v>
      </c>
      <c r="F990" t="s">
        <v>49</v>
      </c>
      <c r="G990" s="1">
        <f>qry_ProdData2_PDI_Cash_Exception_Application[[#This Row],[INSERT DATE]]+1</f>
        <v>45193.257071759261</v>
      </c>
      <c r="H990" t="str">
        <f>VLOOKUP(qry_ProdData2_PDI_Cash_Exception_Application[[#This Row],[MARKET No]],'Site Allocation'!$B$2:$C$37,2,FALSE)</f>
        <v>Analyst3</v>
      </c>
      <c r="I990" s="4">
        <f t="shared" ca="1" si="15"/>
        <v>45203</v>
      </c>
      <c r="J990" s="42">
        <f ca="1">TODAY()-qry_ProdData2_PDI_Cash_Exception_Application[[#This Row],[INSERT DATE]]</f>
        <v>10.742928240739275</v>
      </c>
      <c r="K9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90">
        <f ca="1">qry_ProdData2_PDI_Cash_Exception_Application[[#This Row],[TODAY]]-qry_ProdData2_PDI_Cash_Exception_Application[[#This Row],[CHANGED ON]]</f>
        <v>9.7429282407392748</v>
      </c>
      <c r="M990">
        <f ca="1">qry_ProdData2_PDI_Cash_Exception_Application[[#This Row],[TODAY]]-qry_ProdData2_PDI_Cash_Exception_Application[[#This Row],[CHANGED ON]]</f>
        <v>9.7429282407392748</v>
      </c>
      <c r="N990">
        <f ca="1">qry_ProdData2_PDI_Cash_Exception_Application[[#This Row],[TODAY]]-qry_ProdData2_PDI_Cash_Exception_Application[[#This Row],[CHANGED ON]]</f>
        <v>9.7429282407392748</v>
      </c>
    </row>
    <row r="991" spans="1:14" x14ac:dyDescent="0.35">
      <c r="A991">
        <v>1032</v>
      </c>
      <c r="B991" t="s">
        <v>86</v>
      </c>
      <c r="C991" s="1">
        <v>45189.257071759261</v>
      </c>
      <c r="D991" t="str">
        <f ca="1">VLOOKUP(qry_ProdData2_PDI_Cash_Exception_Application[[#This Row],[TYPE]],#REF!,2,FALSE)</f>
        <v>type40</v>
      </c>
      <c r="E991">
        <v>-694.68</v>
      </c>
      <c r="F991" t="s">
        <v>47</v>
      </c>
      <c r="G991" s="1">
        <f>qry_ProdData2_PDI_Cash_Exception_Application[[#This Row],[INSERT DATE]]+1</f>
        <v>45190.257071759261</v>
      </c>
      <c r="H991" t="str">
        <f>VLOOKUP(qry_ProdData2_PDI_Cash_Exception_Application[[#This Row],[MARKET No]],'Site Allocation'!$B$2:$C$37,2,FALSE)</f>
        <v>Analyst6</v>
      </c>
      <c r="I991" s="4">
        <f t="shared" ca="1" si="15"/>
        <v>45203</v>
      </c>
      <c r="J991" s="42">
        <f ca="1">TODAY()-qry_ProdData2_PDI_Cash_Exception_Application[[#This Row],[INSERT DATE]]</f>
        <v>13.742928240739275</v>
      </c>
      <c r="K9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91">
        <f ca="1">qry_ProdData2_PDI_Cash_Exception_Application[[#This Row],[TODAY]]-qry_ProdData2_PDI_Cash_Exception_Application[[#This Row],[CHANGED ON]]</f>
        <v>12.742928240739275</v>
      </c>
      <c r="M991">
        <f ca="1">qry_ProdData2_PDI_Cash_Exception_Application[[#This Row],[TODAY]]-qry_ProdData2_PDI_Cash_Exception_Application[[#This Row],[CHANGED ON]]</f>
        <v>12.742928240739275</v>
      </c>
      <c r="N991">
        <f ca="1">qry_ProdData2_PDI_Cash_Exception_Application[[#This Row],[TODAY]]-qry_ProdData2_PDI_Cash_Exception_Application[[#This Row],[CHANGED ON]]</f>
        <v>12.742928240739275</v>
      </c>
    </row>
    <row r="992" spans="1:14" x14ac:dyDescent="0.35">
      <c r="A992">
        <v>1027</v>
      </c>
      <c r="B992" t="s">
        <v>81</v>
      </c>
      <c r="C992" s="1">
        <v>45190.257071759261</v>
      </c>
      <c r="D992" t="str">
        <f ca="1">VLOOKUP(qry_ProdData2_PDI_Cash_Exception_Application[[#This Row],[TYPE]],#REF!,2,FALSE)</f>
        <v>type40</v>
      </c>
      <c r="E992">
        <v>-597.29</v>
      </c>
      <c r="F992" t="s">
        <v>52</v>
      </c>
      <c r="G992" s="1">
        <f>qry_ProdData2_PDI_Cash_Exception_Application[[#This Row],[INSERT DATE]]+5</f>
        <v>45195.257071759261</v>
      </c>
      <c r="H992" t="str">
        <f>VLOOKUP(qry_ProdData2_PDI_Cash_Exception_Application[[#This Row],[MARKET No]],'Site Allocation'!$B$2:$C$37,2,FALSE)</f>
        <v>Analyst5</v>
      </c>
      <c r="I992" s="4">
        <f t="shared" ca="1" si="15"/>
        <v>45203</v>
      </c>
      <c r="J992" s="42">
        <f ca="1">TODAY()-qry_ProdData2_PDI_Cash_Exception_Application[[#This Row],[INSERT DATE]]</f>
        <v>12.742928240739275</v>
      </c>
      <c r="K9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92">
        <f ca="1">qry_ProdData2_PDI_Cash_Exception_Application[[#This Row],[TODAY]]-qry_ProdData2_PDI_Cash_Exception_Application[[#This Row],[CHANGED ON]]</f>
        <v>7.7429282407392748</v>
      </c>
      <c r="M992">
        <f ca="1">qry_ProdData2_PDI_Cash_Exception_Application[[#This Row],[TODAY]]-qry_ProdData2_PDI_Cash_Exception_Application[[#This Row],[CHANGED ON]]</f>
        <v>7.7429282407392748</v>
      </c>
      <c r="N992">
        <f ca="1">qry_ProdData2_PDI_Cash_Exception_Application[[#This Row],[TODAY]]-qry_ProdData2_PDI_Cash_Exception_Application[[#This Row],[CHANGED ON]]</f>
        <v>7.7429282407392748</v>
      </c>
    </row>
    <row r="993" spans="1:14" x14ac:dyDescent="0.35">
      <c r="A993">
        <v>1033</v>
      </c>
      <c r="B993" t="s">
        <v>87</v>
      </c>
      <c r="C993" s="1">
        <v>45191.257071759261</v>
      </c>
      <c r="D993" t="str">
        <f ca="1">VLOOKUP(qry_ProdData2_PDI_Cash_Exception_Application[[#This Row],[TYPE]],#REF!,2,FALSE)</f>
        <v>type40</v>
      </c>
      <c r="E993">
        <v>-4969.17</v>
      </c>
      <c r="F993" t="s">
        <v>48</v>
      </c>
      <c r="G993" s="1">
        <f>qry_ProdData2_PDI_Cash_Exception_Application[[#This Row],[INSERT DATE]]+1</f>
        <v>45192.257071759261</v>
      </c>
      <c r="H993" t="str">
        <f>VLOOKUP(qry_ProdData2_PDI_Cash_Exception_Application[[#This Row],[MARKET No]],'Site Allocation'!$B$2:$C$37,2,FALSE)</f>
        <v>Analyst6</v>
      </c>
      <c r="I993" s="4">
        <f t="shared" ca="1" si="15"/>
        <v>45203</v>
      </c>
      <c r="J993" s="42">
        <f ca="1">TODAY()-qry_ProdData2_PDI_Cash_Exception_Application[[#This Row],[INSERT DATE]]</f>
        <v>11.742928240739275</v>
      </c>
      <c r="K9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93">
        <f ca="1">qry_ProdData2_PDI_Cash_Exception_Application[[#This Row],[TODAY]]-qry_ProdData2_PDI_Cash_Exception_Application[[#This Row],[CHANGED ON]]</f>
        <v>10.742928240739275</v>
      </c>
      <c r="M993">
        <f ca="1">qry_ProdData2_PDI_Cash_Exception_Application[[#This Row],[TODAY]]-qry_ProdData2_PDI_Cash_Exception_Application[[#This Row],[CHANGED ON]]</f>
        <v>10.742928240739275</v>
      </c>
      <c r="N993">
        <f ca="1">qry_ProdData2_PDI_Cash_Exception_Application[[#This Row],[TODAY]]-qry_ProdData2_PDI_Cash_Exception_Application[[#This Row],[CHANGED ON]]</f>
        <v>10.742928240739275</v>
      </c>
    </row>
    <row r="994" spans="1:14" x14ac:dyDescent="0.35">
      <c r="A994">
        <v>1034</v>
      </c>
      <c r="B994" t="s">
        <v>88</v>
      </c>
      <c r="C994" s="1">
        <v>45192.257071759261</v>
      </c>
      <c r="D994" t="str">
        <f ca="1">VLOOKUP(qry_ProdData2_PDI_Cash_Exception_Application[[#This Row],[TYPE]],#REF!,2,FALSE)</f>
        <v>type40</v>
      </c>
      <c r="E994">
        <v>-785.66</v>
      </c>
      <c r="F994" t="s">
        <v>48</v>
      </c>
      <c r="G994" s="1">
        <f>qry_ProdData2_PDI_Cash_Exception_Application[[#This Row],[INSERT DATE]]+1</f>
        <v>45193.257071759261</v>
      </c>
      <c r="H994" t="str">
        <f>VLOOKUP(qry_ProdData2_PDI_Cash_Exception_Application[[#This Row],[MARKET No]],'Site Allocation'!$B$2:$C$37,2,FALSE)</f>
        <v>Analyst6</v>
      </c>
      <c r="I994" s="4">
        <f t="shared" ca="1" si="15"/>
        <v>45203</v>
      </c>
      <c r="J994" s="42">
        <f ca="1">TODAY()-qry_ProdData2_PDI_Cash_Exception_Application[[#This Row],[INSERT DATE]]</f>
        <v>10.742928240739275</v>
      </c>
      <c r="K9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94">
        <f ca="1">qry_ProdData2_PDI_Cash_Exception_Application[[#This Row],[TODAY]]-qry_ProdData2_PDI_Cash_Exception_Application[[#This Row],[CHANGED ON]]</f>
        <v>9.7429282407392748</v>
      </c>
      <c r="M994">
        <f ca="1">qry_ProdData2_PDI_Cash_Exception_Application[[#This Row],[TODAY]]-qry_ProdData2_PDI_Cash_Exception_Application[[#This Row],[CHANGED ON]]</f>
        <v>9.7429282407392748</v>
      </c>
      <c r="N994">
        <f ca="1">qry_ProdData2_PDI_Cash_Exception_Application[[#This Row],[TODAY]]-qry_ProdData2_PDI_Cash_Exception_Application[[#This Row],[CHANGED ON]]</f>
        <v>9.7429282407392748</v>
      </c>
    </row>
    <row r="995" spans="1:14" x14ac:dyDescent="0.35">
      <c r="A995">
        <v>1007</v>
      </c>
      <c r="B995" t="s">
        <v>61</v>
      </c>
      <c r="C995" s="1">
        <v>45192.257071759261</v>
      </c>
      <c r="D995" t="str">
        <f ca="1">VLOOKUP(qry_ProdData2_PDI_Cash_Exception_Application[[#This Row],[TYPE]],#REF!,2,FALSE)</f>
        <v>type40</v>
      </c>
      <c r="E995">
        <v>1131.19</v>
      </c>
      <c r="F995" t="s">
        <v>48</v>
      </c>
      <c r="G995" s="1">
        <f>qry_ProdData2_PDI_Cash_Exception_Application[[#This Row],[INSERT DATE]]+2</f>
        <v>45194.257071759261</v>
      </c>
      <c r="H995" t="str">
        <f>VLOOKUP(qry_ProdData2_PDI_Cash_Exception_Application[[#This Row],[MARKET No]],'Site Allocation'!$B$2:$C$37,2,FALSE)</f>
        <v>Analyst2</v>
      </c>
      <c r="I995" s="4">
        <f t="shared" ca="1" si="15"/>
        <v>45203</v>
      </c>
      <c r="J995" s="42">
        <f ca="1">TODAY()-qry_ProdData2_PDI_Cash_Exception_Application[[#This Row],[INSERT DATE]]</f>
        <v>10.742928240739275</v>
      </c>
      <c r="K9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95">
        <f ca="1">qry_ProdData2_PDI_Cash_Exception_Application[[#This Row],[TODAY]]-qry_ProdData2_PDI_Cash_Exception_Application[[#This Row],[CHANGED ON]]</f>
        <v>8.7429282407392748</v>
      </c>
      <c r="M995">
        <f ca="1">qry_ProdData2_PDI_Cash_Exception_Application[[#This Row],[TODAY]]-qry_ProdData2_PDI_Cash_Exception_Application[[#This Row],[CHANGED ON]]</f>
        <v>8.7429282407392748</v>
      </c>
      <c r="N995">
        <f ca="1">qry_ProdData2_PDI_Cash_Exception_Application[[#This Row],[TODAY]]-qry_ProdData2_PDI_Cash_Exception_Application[[#This Row],[CHANGED ON]]</f>
        <v>8.7429282407392748</v>
      </c>
    </row>
    <row r="996" spans="1:14" x14ac:dyDescent="0.35">
      <c r="A996">
        <v>1008</v>
      </c>
      <c r="B996" t="s">
        <v>62</v>
      </c>
      <c r="C996" s="1">
        <v>45179.257071759261</v>
      </c>
      <c r="D996" t="str">
        <f ca="1">VLOOKUP(qry_ProdData2_PDI_Cash_Exception_Application[[#This Row],[TYPE]],#REF!,2,FALSE)</f>
        <v>type40</v>
      </c>
      <c r="E996">
        <v>-476.12</v>
      </c>
      <c r="F996" t="s">
        <v>48</v>
      </c>
      <c r="G996" s="1">
        <f>qry_ProdData2_PDI_Cash_Exception_Application[[#This Row],[INSERT DATE]]+2</f>
        <v>45181.257071759261</v>
      </c>
      <c r="H996" t="str">
        <f>VLOOKUP(qry_ProdData2_PDI_Cash_Exception_Application[[#This Row],[MARKET No]],'Site Allocation'!$B$2:$C$37,2,FALSE)</f>
        <v>Analyst2</v>
      </c>
      <c r="I996" s="4">
        <f t="shared" ca="1" si="15"/>
        <v>45203</v>
      </c>
      <c r="J996" s="42">
        <f ca="1">TODAY()-qry_ProdData2_PDI_Cash_Exception_Application[[#This Row],[INSERT DATE]]</f>
        <v>23.742928240739275</v>
      </c>
      <c r="K9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96">
        <f ca="1">qry_ProdData2_PDI_Cash_Exception_Application[[#This Row],[TODAY]]-qry_ProdData2_PDI_Cash_Exception_Application[[#This Row],[CHANGED ON]]</f>
        <v>21.742928240739275</v>
      </c>
      <c r="M996">
        <f ca="1">qry_ProdData2_PDI_Cash_Exception_Application[[#This Row],[TODAY]]-qry_ProdData2_PDI_Cash_Exception_Application[[#This Row],[CHANGED ON]]</f>
        <v>21.742928240739275</v>
      </c>
      <c r="N996">
        <f ca="1">qry_ProdData2_PDI_Cash_Exception_Application[[#This Row],[TODAY]]-qry_ProdData2_PDI_Cash_Exception_Application[[#This Row],[CHANGED ON]]</f>
        <v>21.742928240739275</v>
      </c>
    </row>
    <row r="997" spans="1:14" x14ac:dyDescent="0.35">
      <c r="A997">
        <v>1026</v>
      </c>
      <c r="B997" t="s">
        <v>80</v>
      </c>
      <c r="C997" s="1">
        <v>45182.257071759261</v>
      </c>
      <c r="D997" t="str">
        <f ca="1">VLOOKUP(qry_ProdData2_PDI_Cash_Exception_Application[[#This Row],[TYPE]],#REF!,2,FALSE)</f>
        <v>type40</v>
      </c>
      <c r="E997">
        <v>628.04</v>
      </c>
      <c r="F997" t="s">
        <v>48</v>
      </c>
      <c r="G997" s="1">
        <f>qry_ProdData2_PDI_Cash_Exception_Application[[#This Row],[INSERT DATE]]+2</f>
        <v>45184.257071759261</v>
      </c>
      <c r="H997" t="str">
        <f>VLOOKUP(qry_ProdData2_PDI_Cash_Exception_Application[[#This Row],[MARKET No]],'Site Allocation'!$B$2:$C$37,2,FALSE)</f>
        <v>Analyst5</v>
      </c>
      <c r="I997" s="4">
        <f t="shared" ca="1" si="15"/>
        <v>45203</v>
      </c>
      <c r="J997" s="42">
        <f ca="1">TODAY()-qry_ProdData2_PDI_Cash_Exception_Application[[#This Row],[INSERT DATE]]</f>
        <v>20.742928240739275</v>
      </c>
      <c r="K9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97">
        <f ca="1">qry_ProdData2_PDI_Cash_Exception_Application[[#This Row],[TODAY]]-qry_ProdData2_PDI_Cash_Exception_Application[[#This Row],[CHANGED ON]]</f>
        <v>18.742928240739275</v>
      </c>
      <c r="M997">
        <f ca="1">qry_ProdData2_PDI_Cash_Exception_Application[[#This Row],[TODAY]]-qry_ProdData2_PDI_Cash_Exception_Application[[#This Row],[CHANGED ON]]</f>
        <v>18.742928240739275</v>
      </c>
      <c r="N997">
        <f ca="1">qry_ProdData2_PDI_Cash_Exception_Application[[#This Row],[TODAY]]-qry_ProdData2_PDI_Cash_Exception_Application[[#This Row],[CHANGED ON]]</f>
        <v>18.742928240739275</v>
      </c>
    </row>
    <row r="998" spans="1:14" x14ac:dyDescent="0.35">
      <c r="A998">
        <v>1030</v>
      </c>
      <c r="B998" t="s">
        <v>84</v>
      </c>
      <c r="C998" s="1">
        <v>45190.257071759261</v>
      </c>
      <c r="D998" t="str">
        <f ca="1">VLOOKUP(qry_ProdData2_PDI_Cash_Exception_Application[[#This Row],[TYPE]],#REF!,2,FALSE)</f>
        <v>type47</v>
      </c>
      <c r="E998">
        <v>2</v>
      </c>
      <c r="F998" t="s">
        <v>51</v>
      </c>
      <c r="G998" s="1">
        <f>qry_ProdData2_PDI_Cash_Exception_Application[[#This Row],[INSERT DATE]]+7</f>
        <v>45197.257071759261</v>
      </c>
      <c r="H998" t="str">
        <f>VLOOKUP(qry_ProdData2_PDI_Cash_Exception_Application[[#This Row],[MARKET No]],'Site Allocation'!$B$2:$C$37,2,FALSE)</f>
        <v>Analyst6</v>
      </c>
      <c r="I998" s="4">
        <f t="shared" ca="1" si="15"/>
        <v>45203</v>
      </c>
      <c r="J998" s="42">
        <f ca="1">TODAY()-qry_ProdData2_PDI_Cash_Exception_Application[[#This Row],[INSERT DATE]]</f>
        <v>12.742928240739275</v>
      </c>
      <c r="K9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98">
        <f ca="1">qry_ProdData2_PDI_Cash_Exception_Application[[#This Row],[TODAY]]-qry_ProdData2_PDI_Cash_Exception_Application[[#This Row],[CHANGED ON]]</f>
        <v>5.7429282407392748</v>
      </c>
      <c r="M998">
        <f ca="1">qry_ProdData2_PDI_Cash_Exception_Application[[#This Row],[TODAY]]-qry_ProdData2_PDI_Cash_Exception_Application[[#This Row],[CHANGED ON]]</f>
        <v>5.7429282407392748</v>
      </c>
      <c r="N998">
        <f ca="1">qry_ProdData2_PDI_Cash_Exception_Application[[#This Row],[TODAY]]-qry_ProdData2_PDI_Cash_Exception_Application[[#This Row],[CHANGED ON]]</f>
        <v>5.7429282407392748</v>
      </c>
    </row>
    <row r="999" spans="1:14" x14ac:dyDescent="0.35">
      <c r="A999">
        <v>1003</v>
      </c>
      <c r="B999" t="s">
        <v>57</v>
      </c>
      <c r="C999" s="1">
        <v>45179.257071759261</v>
      </c>
      <c r="D999" t="str">
        <f ca="1">VLOOKUP(qry_ProdData2_PDI_Cash_Exception_Application[[#This Row],[TYPE]],#REF!,2,FALSE)</f>
        <v>type38</v>
      </c>
      <c r="E999">
        <v>166.6</v>
      </c>
      <c r="F999" t="s">
        <v>47</v>
      </c>
      <c r="G999" s="1">
        <f>qry_ProdData2_PDI_Cash_Exception_Application[[#This Row],[INSERT DATE]]+2</f>
        <v>45181.257071759261</v>
      </c>
      <c r="H999" t="str">
        <f>VLOOKUP(qry_ProdData2_PDI_Cash_Exception_Application[[#This Row],[MARKET No]],'Site Allocation'!$B$2:$C$37,2,FALSE)</f>
        <v>Analyst1</v>
      </c>
      <c r="I999" s="4">
        <f t="shared" ca="1" si="15"/>
        <v>45203</v>
      </c>
      <c r="J999" s="42">
        <f ca="1">TODAY()-qry_ProdData2_PDI_Cash_Exception_Application[[#This Row],[INSERT DATE]]</f>
        <v>23.742928240739275</v>
      </c>
      <c r="K9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999">
        <f ca="1">qry_ProdData2_PDI_Cash_Exception_Application[[#This Row],[TODAY]]-qry_ProdData2_PDI_Cash_Exception_Application[[#This Row],[CHANGED ON]]</f>
        <v>21.742928240739275</v>
      </c>
      <c r="M999">
        <f ca="1">qry_ProdData2_PDI_Cash_Exception_Application[[#This Row],[TODAY]]-qry_ProdData2_PDI_Cash_Exception_Application[[#This Row],[CHANGED ON]]</f>
        <v>21.742928240739275</v>
      </c>
      <c r="N999">
        <f ca="1">qry_ProdData2_PDI_Cash_Exception_Application[[#This Row],[TODAY]]-qry_ProdData2_PDI_Cash_Exception_Application[[#This Row],[CHANGED ON]]</f>
        <v>21.742928240739275</v>
      </c>
    </row>
    <row r="1000" spans="1:14" x14ac:dyDescent="0.35">
      <c r="A1000">
        <v>1031</v>
      </c>
      <c r="B1000" t="s">
        <v>85</v>
      </c>
      <c r="C1000" s="1">
        <v>45179.257071759261</v>
      </c>
      <c r="D1000" t="str">
        <f ca="1">VLOOKUP(qry_ProdData2_PDI_Cash_Exception_Application[[#This Row],[TYPE]],#REF!,2,FALSE)</f>
        <v>type40</v>
      </c>
      <c r="E1000">
        <v>-465.68</v>
      </c>
      <c r="F1000" t="s">
        <v>51</v>
      </c>
      <c r="G1000" s="1">
        <f>qry_ProdData2_PDI_Cash_Exception_Application[[#This Row],[INSERT DATE]]+1</f>
        <v>45180.257071759261</v>
      </c>
      <c r="H1000" t="str">
        <f>VLOOKUP(qry_ProdData2_PDI_Cash_Exception_Application[[#This Row],[MARKET No]],'Site Allocation'!$B$2:$C$37,2,FALSE)</f>
        <v>Analyst6</v>
      </c>
      <c r="I1000" s="4">
        <f t="shared" ca="1" si="15"/>
        <v>45203</v>
      </c>
      <c r="J1000" s="42">
        <f ca="1">TODAY()-qry_ProdData2_PDI_Cash_Exception_Application[[#This Row],[INSERT DATE]]</f>
        <v>23.742928240739275</v>
      </c>
      <c r="K10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00">
        <f ca="1">qry_ProdData2_PDI_Cash_Exception_Application[[#This Row],[TODAY]]-qry_ProdData2_PDI_Cash_Exception_Application[[#This Row],[CHANGED ON]]</f>
        <v>22.742928240739275</v>
      </c>
      <c r="M1000">
        <f ca="1">qry_ProdData2_PDI_Cash_Exception_Application[[#This Row],[TODAY]]-qry_ProdData2_PDI_Cash_Exception_Application[[#This Row],[CHANGED ON]]</f>
        <v>22.742928240739275</v>
      </c>
      <c r="N1000">
        <f ca="1">qry_ProdData2_PDI_Cash_Exception_Application[[#This Row],[TODAY]]-qry_ProdData2_PDI_Cash_Exception_Application[[#This Row],[CHANGED ON]]</f>
        <v>22.742928240739275</v>
      </c>
    </row>
    <row r="1001" spans="1:14" x14ac:dyDescent="0.35">
      <c r="A1001">
        <v>1024</v>
      </c>
      <c r="B1001" t="s">
        <v>78</v>
      </c>
      <c r="C1001" s="1">
        <v>45179.257071759261</v>
      </c>
      <c r="D1001" t="str">
        <f ca="1">VLOOKUP(qry_ProdData2_PDI_Cash_Exception_Application[[#This Row],[TYPE]],#REF!,2,FALSE)</f>
        <v>type40</v>
      </c>
      <c r="E1001">
        <v>30</v>
      </c>
      <c r="F1001" t="s">
        <v>52</v>
      </c>
      <c r="G1001" s="1">
        <f>qry_ProdData2_PDI_Cash_Exception_Application[[#This Row],[INSERT DATE]]+7</f>
        <v>45186.257071759261</v>
      </c>
      <c r="H1001" t="str">
        <f>VLOOKUP(qry_ProdData2_PDI_Cash_Exception_Application[[#This Row],[MARKET No]],'Site Allocation'!$B$2:$C$37,2,FALSE)</f>
        <v>Analyst5</v>
      </c>
      <c r="I1001" s="4">
        <f t="shared" ca="1" si="15"/>
        <v>45203</v>
      </c>
      <c r="J1001" s="42">
        <f ca="1">TODAY()-qry_ProdData2_PDI_Cash_Exception_Application[[#This Row],[INSERT DATE]]</f>
        <v>23.742928240739275</v>
      </c>
      <c r="K10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01">
        <f ca="1">qry_ProdData2_PDI_Cash_Exception_Application[[#This Row],[TODAY]]-qry_ProdData2_PDI_Cash_Exception_Application[[#This Row],[CHANGED ON]]</f>
        <v>16.742928240739275</v>
      </c>
      <c r="M1001">
        <f ca="1">qry_ProdData2_PDI_Cash_Exception_Application[[#This Row],[TODAY]]-qry_ProdData2_PDI_Cash_Exception_Application[[#This Row],[CHANGED ON]]</f>
        <v>16.742928240739275</v>
      </c>
      <c r="N1001">
        <f ca="1">qry_ProdData2_PDI_Cash_Exception_Application[[#This Row],[TODAY]]-qry_ProdData2_PDI_Cash_Exception_Application[[#This Row],[CHANGED ON]]</f>
        <v>16.742928240739275</v>
      </c>
    </row>
    <row r="1002" spans="1:14" x14ac:dyDescent="0.35">
      <c r="A1002">
        <v>1012</v>
      </c>
      <c r="B1002" t="s">
        <v>66</v>
      </c>
      <c r="C1002" s="1">
        <v>45180.257071759261</v>
      </c>
      <c r="D1002" t="str">
        <f ca="1">VLOOKUP(qry_ProdData2_PDI_Cash_Exception_Application[[#This Row],[TYPE]],#REF!,2,FALSE)</f>
        <v>type38</v>
      </c>
      <c r="E1002">
        <v>249</v>
      </c>
      <c r="F1002" t="s">
        <v>50</v>
      </c>
      <c r="G1002" s="1">
        <f>qry_ProdData2_PDI_Cash_Exception_Application[[#This Row],[INSERT DATE]]+7</f>
        <v>45187.257071759261</v>
      </c>
      <c r="H1002" t="str">
        <f>VLOOKUP(qry_ProdData2_PDI_Cash_Exception_Application[[#This Row],[MARKET No]],'Site Allocation'!$B$2:$C$37,2,FALSE)</f>
        <v>Analyst3</v>
      </c>
      <c r="I1002" s="4">
        <f t="shared" ca="1" si="15"/>
        <v>45203</v>
      </c>
      <c r="J1002" s="42">
        <f ca="1">TODAY()-qry_ProdData2_PDI_Cash_Exception_Application[[#This Row],[INSERT DATE]]</f>
        <v>22.742928240739275</v>
      </c>
      <c r="K10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02">
        <f ca="1">qry_ProdData2_PDI_Cash_Exception_Application[[#This Row],[TODAY]]-qry_ProdData2_PDI_Cash_Exception_Application[[#This Row],[CHANGED ON]]</f>
        <v>15.742928240739275</v>
      </c>
      <c r="M1002">
        <f ca="1">qry_ProdData2_PDI_Cash_Exception_Application[[#This Row],[TODAY]]-qry_ProdData2_PDI_Cash_Exception_Application[[#This Row],[CHANGED ON]]</f>
        <v>15.742928240739275</v>
      </c>
      <c r="N1002">
        <f ca="1">qry_ProdData2_PDI_Cash_Exception_Application[[#This Row],[TODAY]]-qry_ProdData2_PDI_Cash_Exception_Application[[#This Row],[CHANGED ON]]</f>
        <v>15.742928240739275</v>
      </c>
    </row>
    <row r="1003" spans="1:14" x14ac:dyDescent="0.35">
      <c r="A1003">
        <v>1009</v>
      </c>
      <c r="B1003" t="s">
        <v>63</v>
      </c>
      <c r="C1003" s="1">
        <v>45182.257071759261</v>
      </c>
      <c r="D1003" t="str">
        <f ca="1">VLOOKUP(qry_ProdData2_PDI_Cash_Exception_Application[[#This Row],[TYPE]],#REF!,2,FALSE)</f>
        <v>type15</v>
      </c>
      <c r="E1003">
        <v>-4512</v>
      </c>
      <c r="F1003" t="s">
        <v>47</v>
      </c>
      <c r="G1003" s="1">
        <f>qry_ProdData2_PDI_Cash_Exception_Application[[#This Row],[INSERT DATE]]+2</f>
        <v>45184.257071759261</v>
      </c>
      <c r="H1003" t="str">
        <f>VLOOKUP(qry_ProdData2_PDI_Cash_Exception_Application[[#This Row],[MARKET No]],'Site Allocation'!$B$2:$C$37,2,FALSE)</f>
        <v>Analyst2</v>
      </c>
      <c r="I1003" s="4">
        <f t="shared" ca="1" si="15"/>
        <v>45203</v>
      </c>
      <c r="J1003" s="42">
        <f ca="1">TODAY()-qry_ProdData2_PDI_Cash_Exception_Application[[#This Row],[INSERT DATE]]</f>
        <v>20.742928240739275</v>
      </c>
      <c r="K10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03">
        <f ca="1">qry_ProdData2_PDI_Cash_Exception_Application[[#This Row],[TODAY]]-qry_ProdData2_PDI_Cash_Exception_Application[[#This Row],[CHANGED ON]]</f>
        <v>18.742928240739275</v>
      </c>
      <c r="M1003">
        <f ca="1">qry_ProdData2_PDI_Cash_Exception_Application[[#This Row],[TODAY]]-qry_ProdData2_PDI_Cash_Exception_Application[[#This Row],[CHANGED ON]]</f>
        <v>18.742928240739275</v>
      </c>
      <c r="N1003">
        <f ca="1">qry_ProdData2_PDI_Cash_Exception_Application[[#This Row],[TODAY]]-qry_ProdData2_PDI_Cash_Exception_Application[[#This Row],[CHANGED ON]]</f>
        <v>18.742928240739275</v>
      </c>
    </row>
    <row r="1004" spans="1:14" x14ac:dyDescent="0.35">
      <c r="A1004">
        <v>1014</v>
      </c>
      <c r="B1004" t="s">
        <v>68</v>
      </c>
      <c r="C1004" s="1">
        <v>45183.257071759261</v>
      </c>
      <c r="D1004" t="str">
        <f ca="1">VLOOKUP(qry_ProdData2_PDI_Cash_Exception_Application[[#This Row],[TYPE]],#REF!,2,FALSE)</f>
        <v>type40</v>
      </c>
      <c r="E1004">
        <v>-8354</v>
      </c>
      <c r="F1004" t="s">
        <v>47</v>
      </c>
      <c r="G1004" s="1">
        <f>qry_ProdData2_PDI_Cash_Exception_Application[[#This Row],[INSERT DATE]]+2</f>
        <v>45185.257071759261</v>
      </c>
      <c r="H1004" t="str">
        <f>VLOOKUP(qry_ProdData2_PDI_Cash_Exception_Application[[#This Row],[MARKET No]],'Site Allocation'!$B$2:$C$37,2,FALSE)</f>
        <v>Analyst3</v>
      </c>
      <c r="I1004" s="4">
        <f t="shared" ca="1" si="15"/>
        <v>45203</v>
      </c>
      <c r="J1004" s="42">
        <f ca="1">TODAY()-qry_ProdData2_PDI_Cash_Exception_Application[[#This Row],[INSERT DATE]]</f>
        <v>19.742928240739275</v>
      </c>
      <c r="K10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04">
        <f ca="1">qry_ProdData2_PDI_Cash_Exception_Application[[#This Row],[TODAY]]-qry_ProdData2_PDI_Cash_Exception_Application[[#This Row],[CHANGED ON]]</f>
        <v>17.742928240739275</v>
      </c>
      <c r="M1004">
        <f ca="1">qry_ProdData2_PDI_Cash_Exception_Application[[#This Row],[TODAY]]-qry_ProdData2_PDI_Cash_Exception_Application[[#This Row],[CHANGED ON]]</f>
        <v>17.742928240739275</v>
      </c>
      <c r="N1004">
        <f ca="1">qry_ProdData2_PDI_Cash_Exception_Application[[#This Row],[TODAY]]-qry_ProdData2_PDI_Cash_Exception_Application[[#This Row],[CHANGED ON]]</f>
        <v>17.742928240739275</v>
      </c>
    </row>
    <row r="1005" spans="1:14" x14ac:dyDescent="0.35">
      <c r="A1005">
        <v>1020</v>
      </c>
      <c r="B1005" t="s">
        <v>74</v>
      </c>
      <c r="C1005" s="1">
        <v>45182.257071759261</v>
      </c>
      <c r="D1005" t="str">
        <f ca="1">VLOOKUP(qry_ProdData2_PDI_Cash_Exception_Application[[#This Row],[TYPE]],#REF!,2,FALSE)</f>
        <v>type40</v>
      </c>
      <c r="E1005">
        <v>352.31</v>
      </c>
      <c r="F1005" t="s">
        <v>52</v>
      </c>
      <c r="G1005" s="1">
        <f>qry_ProdData2_PDI_Cash_Exception_Application[[#This Row],[INSERT DATE]]+7</f>
        <v>45189.257071759261</v>
      </c>
      <c r="H1005" t="str">
        <f>VLOOKUP(qry_ProdData2_PDI_Cash_Exception_Application[[#This Row],[MARKET No]],'Site Allocation'!$B$2:$C$37,2,FALSE)</f>
        <v>Analyst4</v>
      </c>
      <c r="I1005" s="4">
        <f t="shared" ca="1" si="15"/>
        <v>45203</v>
      </c>
      <c r="J1005" s="42">
        <f ca="1">TODAY()-qry_ProdData2_PDI_Cash_Exception_Application[[#This Row],[INSERT DATE]]</f>
        <v>20.742928240739275</v>
      </c>
      <c r="K10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05">
        <f ca="1">qry_ProdData2_PDI_Cash_Exception_Application[[#This Row],[TODAY]]-qry_ProdData2_PDI_Cash_Exception_Application[[#This Row],[CHANGED ON]]</f>
        <v>13.742928240739275</v>
      </c>
      <c r="M1005">
        <f ca="1">qry_ProdData2_PDI_Cash_Exception_Application[[#This Row],[TODAY]]-qry_ProdData2_PDI_Cash_Exception_Application[[#This Row],[CHANGED ON]]</f>
        <v>13.742928240739275</v>
      </c>
      <c r="N1005">
        <f ca="1">qry_ProdData2_PDI_Cash_Exception_Application[[#This Row],[TODAY]]-qry_ProdData2_PDI_Cash_Exception_Application[[#This Row],[CHANGED ON]]</f>
        <v>13.742928240739275</v>
      </c>
    </row>
    <row r="1006" spans="1:14" x14ac:dyDescent="0.35">
      <c r="A1006">
        <v>1009</v>
      </c>
      <c r="B1006" t="s">
        <v>63</v>
      </c>
      <c r="C1006" s="1">
        <v>45187.257071759261</v>
      </c>
      <c r="D1006" t="str">
        <f ca="1">VLOOKUP(qry_ProdData2_PDI_Cash_Exception_Application[[#This Row],[TYPE]],#REF!,2,FALSE)</f>
        <v>type40</v>
      </c>
      <c r="E1006">
        <v>-1256.94</v>
      </c>
      <c r="F1006" t="s">
        <v>49</v>
      </c>
      <c r="G1006" s="1">
        <f>qry_ProdData2_PDI_Cash_Exception_Application[[#This Row],[INSERT DATE]]+2</f>
        <v>45189.257071759261</v>
      </c>
      <c r="H1006" t="str">
        <f>VLOOKUP(qry_ProdData2_PDI_Cash_Exception_Application[[#This Row],[MARKET No]],'Site Allocation'!$B$2:$C$37,2,FALSE)</f>
        <v>Analyst2</v>
      </c>
      <c r="I1006" s="4">
        <f t="shared" ca="1" si="15"/>
        <v>45203</v>
      </c>
      <c r="J1006" s="42">
        <f ca="1">TODAY()-qry_ProdData2_PDI_Cash_Exception_Application[[#This Row],[INSERT DATE]]</f>
        <v>15.742928240739275</v>
      </c>
      <c r="K10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06">
        <f ca="1">qry_ProdData2_PDI_Cash_Exception_Application[[#This Row],[TODAY]]-qry_ProdData2_PDI_Cash_Exception_Application[[#This Row],[CHANGED ON]]</f>
        <v>13.742928240739275</v>
      </c>
      <c r="M1006">
        <f ca="1">qry_ProdData2_PDI_Cash_Exception_Application[[#This Row],[TODAY]]-qry_ProdData2_PDI_Cash_Exception_Application[[#This Row],[CHANGED ON]]</f>
        <v>13.742928240739275</v>
      </c>
      <c r="N1006">
        <f ca="1">qry_ProdData2_PDI_Cash_Exception_Application[[#This Row],[TODAY]]-qry_ProdData2_PDI_Cash_Exception_Application[[#This Row],[CHANGED ON]]</f>
        <v>13.742928240739275</v>
      </c>
    </row>
    <row r="1007" spans="1:14" x14ac:dyDescent="0.35">
      <c r="A1007">
        <v>1023</v>
      </c>
      <c r="B1007" t="s">
        <v>77</v>
      </c>
      <c r="C1007" s="1">
        <v>45183.257071759261</v>
      </c>
      <c r="D1007" t="str">
        <f ca="1">VLOOKUP(qry_ProdData2_PDI_Cash_Exception_Application[[#This Row],[TYPE]],#REF!,2,FALSE)</f>
        <v>type40</v>
      </c>
      <c r="E1007">
        <v>-926.77</v>
      </c>
      <c r="F1007" t="s">
        <v>50</v>
      </c>
      <c r="G1007" s="1">
        <f>qry_ProdData2_PDI_Cash_Exception_Application[[#This Row],[INSERT DATE]]+7</f>
        <v>45190.257071759261</v>
      </c>
      <c r="H1007" t="str">
        <f>VLOOKUP(qry_ProdData2_PDI_Cash_Exception_Application[[#This Row],[MARKET No]],'Site Allocation'!$B$2:$C$37,2,FALSE)</f>
        <v>Analyst4</v>
      </c>
      <c r="I1007" s="4">
        <f t="shared" ca="1" si="15"/>
        <v>45203</v>
      </c>
      <c r="J1007" s="42">
        <f ca="1">TODAY()-qry_ProdData2_PDI_Cash_Exception_Application[[#This Row],[INSERT DATE]]</f>
        <v>19.742928240739275</v>
      </c>
      <c r="K10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07">
        <f ca="1">qry_ProdData2_PDI_Cash_Exception_Application[[#This Row],[TODAY]]-qry_ProdData2_PDI_Cash_Exception_Application[[#This Row],[CHANGED ON]]</f>
        <v>12.742928240739275</v>
      </c>
      <c r="M1007">
        <f ca="1">qry_ProdData2_PDI_Cash_Exception_Application[[#This Row],[TODAY]]-qry_ProdData2_PDI_Cash_Exception_Application[[#This Row],[CHANGED ON]]</f>
        <v>12.742928240739275</v>
      </c>
      <c r="N1007">
        <f ca="1">qry_ProdData2_PDI_Cash_Exception_Application[[#This Row],[TODAY]]-qry_ProdData2_PDI_Cash_Exception_Application[[#This Row],[CHANGED ON]]</f>
        <v>12.742928240739275</v>
      </c>
    </row>
    <row r="1008" spans="1:14" x14ac:dyDescent="0.35">
      <c r="A1008">
        <v>1026</v>
      </c>
      <c r="B1008" t="s">
        <v>80</v>
      </c>
      <c r="C1008" s="1">
        <v>45184.257071759261</v>
      </c>
      <c r="D1008" t="str">
        <f ca="1">VLOOKUP(qry_ProdData2_PDI_Cash_Exception_Application[[#This Row],[TYPE]],#REF!,2,FALSE)</f>
        <v>type10</v>
      </c>
      <c r="E1008">
        <v>39.46</v>
      </c>
      <c r="F1008" t="s">
        <v>50</v>
      </c>
      <c r="G1008" s="1">
        <f>qry_ProdData2_PDI_Cash_Exception_Application[[#This Row],[INSERT DATE]]+7</f>
        <v>45191.257071759261</v>
      </c>
      <c r="H1008" t="str">
        <f>VLOOKUP(qry_ProdData2_PDI_Cash_Exception_Application[[#This Row],[MARKET No]],'Site Allocation'!$B$2:$C$37,2,FALSE)</f>
        <v>Analyst5</v>
      </c>
      <c r="I1008" s="4">
        <f t="shared" ca="1" si="15"/>
        <v>45203</v>
      </c>
      <c r="J1008" s="42">
        <f ca="1">TODAY()-qry_ProdData2_PDI_Cash_Exception_Application[[#This Row],[INSERT DATE]]</f>
        <v>18.742928240739275</v>
      </c>
      <c r="K10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08">
        <f ca="1">qry_ProdData2_PDI_Cash_Exception_Application[[#This Row],[TODAY]]-qry_ProdData2_PDI_Cash_Exception_Application[[#This Row],[CHANGED ON]]</f>
        <v>11.742928240739275</v>
      </c>
      <c r="M1008">
        <f ca="1">qry_ProdData2_PDI_Cash_Exception_Application[[#This Row],[TODAY]]-qry_ProdData2_PDI_Cash_Exception_Application[[#This Row],[CHANGED ON]]</f>
        <v>11.742928240739275</v>
      </c>
      <c r="N1008">
        <f ca="1">qry_ProdData2_PDI_Cash_Exception_Application[[#This Row],[TODAY]]-qry_ProdData2_PDI_Cash_Exception_Application[[#This Row],[CHANGED ON]]</f>
        <v>11.742928240739275</v>
      </c>
    </row>
    <row r="1009" spans="1:14" x14ac:dyDescent="0.35">
      <c r="A1009">
        <v>1031</v>
      </c>
      <c r="B1009" t="s">
        <v>85</v>
      </c>
      <c r="C1009" s="1">
        <v>45182.257071759261</v>
      </c>
      <c r="D1009" t="str">
        <f ca="1">VLOOKUP(qry_ProdData2_PDI_Cash_Exception_Application[[#This Row],[TYPE]],#REF!,2,FALSE)</f>
        <v>type40</v>
      </c>
      <c r="E1009">
        <v>565.38</v>
      </c>
      <c r="F1009" t="s">
        <v>51</v>
      </c>
      <c r="G1009" s="1">
        <f>qry_ProdData2_PDI_Cash_Exception_Application[[#This Row],[INSERT DATE]]+1</f>
        <v>45183.257071759261</v>
      </c>
      <c r="H1009" t="str">
        <f>VLOOKUP(qry_ProdData2_PDI_Cash_Exception_Application[[#This Row],[MARKET No]],'Site Allocation'!$B$2:$C$37,2,FALSE)</f>
        <v>Analyst6</v>
      </c>
      <c r="I1009" s="4">
        <f t="shared" ca="1" si="15"/>
        <v>45203</v>
      </c>
      <c r="J1009" s="42">
        <f ca="1">TODAY()-qry_ProdData2_PDI_Cash_Exception_Application[[#This Row],[INSERT DATE]]</f>
        <v>20.742928240739275</v>
      </c>
      <c r="K10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09">
        <f ca="1">qry_ProdData2_PDI_Cash_Exception_Application[[#This Row],[TODAY]]-qry_ProdData2_PDI_Cash_Exception_Application[[#This Row],[CHANGED ON]]</f>
        <v>19.742928240739275</v>
      </c>
      <c r="M1009">
        <f ca="1">qry_ProdData2_PDI_Cash_Exception_Application[[#This Row],[TODAY]]-qry_ProdData2_PDI_Cash_Exception_Application[[#This Row],[CHANGED ON]]</f>
        <v>19.742928240739275</v>
      </c>
      <c r="N1009">
        <f ca="1">qry_ProdData2_PDI_Cash_Exception_Application[[#This Row],[TODAY]]-qry_ProdData2_PDI_Cash_Exception_Application[[#This Row],[CHANGED ON]]</f>
        <v>19.742928240739275</v>
      </c>
    </row>
    <row r="1010" spans="1:14" x14ac:dyDescent="0.35">
      <c r="A1010">
        <v>1029</v>
      </c>
      <c r="B1010" t="s">
        <v>83</v>
      </c>
      <c r="C1010" s="1">
        <v>45192.257071759261</v>
      </c>
      <c r="D1010" t="str">
        <f ca="1">VLOOKUP(qry_ProdData2_PDI_Cash_Exception_Application[[#This Row],[TYPE]],#REF!,2,FALSE)</f>
        <v>type13</v>
      </c>
      <c r="E1010">
        <v>33265.480000000003</v>
      </c>
      <c r="F1010" t="s">
        <v>47</v>
      </c>
      <c r="G1010" s="1">
        <f>qry_ProdData2_PDI_Cash_Exception_Application[[#This Row],[INSERT DATE]]+5</f>
        <v>45197.257071759261</v>
      </c>
      <c r="H1010" t="str">
        <f>VLOOKUP(qry_ProdData2_PDI_Cash_Exception_Application[[#This Row],[MARKET No]],'Site Allocation'!$B$2:$C$37,2,FALSE)</f>
        <v>Analyst5</v>
      </c>
      <c r="I1010" s="4">
        <f t="shared" ca="1" si="15"/>
        <v>45203</v>
      </c>
      <c r="J1010" s="42">
        <f ca="1">TODAY()-qry_ProdData2_PDI_Cash_Exception_Application[[#This Row],[INSERT DATE]]</f>
        <v>10.742928240739275</v>
      </c>
      <c r="K10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10">
        <f ca="1">qry_ProdData2_PDI_Cash_Exception_Application[[#This Row],[TODAY]]-qry_ProdData2_PDI_Cash_Exception_Application[[#This Row],[CHANGED ON]]</f>
        <v>5.7429282407392748</v>
      </c>
      <c r="M1010">
        <f ca="1">qry_ProdData2_PDI_Cash_Exception_Application[[#This Row],[TODAY]]-qry_ProdData2_PDI_Cash_Exception_Application[[#This Row],[CHANGED ON]]</f>
        <v>5.7429282407392748</v>
      </c>
      <c r="N1010">
        <f ca="1">qry_ProdData2_PDI_Cash_Exception_Application[[#This Row],[TODAY]]-qry_ProdData2_PDI_Cash_Exception_Application[[#This Row],[CHANGED ON]]</f>
        <v>5.7429282407392748</v>
      </c>
    </row>
    <row r="1011" spans="1:14" x14ac:dyDescent="0.35">
      <c r="A1011">
        <v>1007</v>
      </c>
      <c r="B1011" t="s">
        <v>61</v>
      </c>
      <c r="C1011" s="1">
        <v>45184.257071759261</v>
      </c>
      <c r="D1011" t="str">
        <f ca="1">VLOOKUP(qry_ProdData2_PDI_Cash_Exception_Application[[#This Row],[TYPE]],#REF!,2,FALSE)</f>
        <v>type13</v>
      </c>
      <c r="E1011">
        <v>32014.639999999999</v>
      </c>
      <c r="F1011" t="s">
        <v>47</v>
      </c>
      <c r="G1011" s="1">
        <f>qry_ProdData2_PDI_Cash_Exception_Application[[#This Row],[INSERT DATE]]+5</f>
        <v>45189.257071759261</v>
      </c>
      <c r="H1011" t="str">
        <f>VLOOKUP(qry_ProdData2_PDI_Cash_Exception_Application[[#This Row],[MARKET No]],'Site Allocation'!$B$2:$C$37,2,FALSE)</f>
        <v>Analyst2</v>
      </c>
      <c r="I1011" s="4">
        <f t="shared" ca="1" si="15"/>
        <v>45203</v>
      </c>
      <c r="J1011" s="42">
        <f ca="1">TODAY()-qry_ProdData2_PDI_Cash_Exception_Application[[#This Row],[INSERT DATE]]</f>
        <v>18.742928240739275</v>
      </c>
      <c r="K10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11">
        <f ca="1">qry_ProdData2_PDI_Cash_Exception_Application[[#This Row],[TODAY]]-qry_ProdData2_PDI_Cash_Exception_Application[[#This Row],[CHANGED ON]]</f>
        <v>13.742928240739275</v>
      </c>
      <c r="M1011">
        <f ca="1">qry_ProdData2_PDI_Cash_Exception_Application[[#This Row],[TODAY]]-qry_ProdData2_PDI_Cash_Exception_Application[[#This Row],[CHANGED ON]]</f>
        <v>13.742928240739275</v>
      </c>
      <c r="N1011">
        <f ca="1">qry_ProdData2_PDI_Cash_Exception_Application[[#This Row],[TODAY]]-qry_ProdData2_PDI_Cash_Exception_Application[[#This Row],[CHANGED ON]]</f>
        <v>13.742928240739275</v>
      </c>
    </row>
    <row r="1012" spans="1:14" x14ac:dyDescent="0.35">
      <c r="A1012">
        <v>1023</v>
      </c>
      <c r="B1012" t="s">
        <v>77</v>
      </c>
      <c r="C1012" s="1">
        <v>45190.257071759261</v>
      </c>
      <c r="D1012" t="str">
        <f ca="1">VLOOKUP(qry_ProdData2_PDI_Cash_Exception_Application[[#This Row],[TYPE]],#REF!,2,FALSE)</f>
        <v>type40</v>
      </c>
      <c r="E1012">
        <v>-421.6</v>
      </c>
      <c r="F1012" t="s">
        <v>51</v>
      </c>
      <c r="G1012" s="1">
        <f>qry_ProdData2_PDI_Cash_Exception_Application[[#This Row],[INSERT DATE]]+2</f>
        <v>45192.257071759261</v>
      </c>
      <c r="H1012" t="str">
        <f>VLOOKUP(qry_ProdData2_PDI_Cash_Exception_Application[[#This Row],[MARKET No]],'Site Allocation'!$B$2:$C$37,2,FALSE)</f>
        <v>Analyst4</v>
      </c>
      <c r="I1012" s="4">
        <f t="shared" ca="1" si="15"/>
        <v>45203</v>
      </c>
      <c r="J1012" s="42">
        <f ca="1">TODAY()-qry_ProdData2_PDI_Cash_Exception_Application[[#This Row],[INSERT DATE]]</f>
        <v>12.742928240739275</v>
      </c>
      <c r="K10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12">
        <f ca="1">qry_ProdData2_PDI_Cash_Exception_Application[[#This Row],[TODAY]]-qry_ProdData2_PDI_Cash_Exception_Application[[#This Row],[CHANGED ON]]</f>
        <v>10.742928240739275</v>
      </c>
      <c r="M1012">
        <f ca="1">qry_ProdData2_PDI_Cash_Exception_Application[[#This Row],[TODAY]]-qry_ProdData2_PDI_Cash_Exception_Application[[#This Row],[CHANGED ON]]</f>
        <v>10.742928240739275</v>
      </c>
      <c r="N1012">
        <f ca="1">qry_ProdData2_PDI_Cash_Exception_Application[[#This Row],[TODAY]]-qry_ProdData2_PDI_Cash_Exception_Application[[#This Row],[CHANGED ON]]</f>
        <v>10.742928240739275</v>
      </c>
    </row>
    <row r="1013" spans="1:14" x14ac:dyDescent="0.35">
      <c r="A1013">
        <v>1017</v>
      </c>
      <c r="B1013" t="s">
        <v>71</v>
      </c>
      <c r="C1013" s="1">
        <v>45187.257071759261</v>
      </c>
      <c r="D1013" t="str">
        <f ca="1">VLOOKUP(qry_ProdData2_PDI_Cash_Exception_Application[[#This Row],[TYPE]],#REF!,2,FALSE)</f>
        <v>type13</v>
      </c>
      <c r="E1013">
        <v>35282.83</v>
      </c>
      <c r="F1013" t="s">
        <v>49</v>
      </c>
      <c r="G1013" s="1">
        <f>qry_ProdData2_PDI_Cash_Exception_Application[[#This Row],[INSERT DATE]]+2</f>
        <v>45189.257071759261</v>
      </c>
      <c r="H1013" t="str">
        <f>VLOOKUP(qry_ProdData2_PDI_Cash_Exception_Application[[#This Row],[MARKET No]],'Site Allocation'!$B$2:$C$37,2,FALSE)</f>
        <v>Analyst3</v>
      </c>
      <c r="I1013" s="4">
        <f t="shared" ca="1" si="15"/>
        <v>45203</v>
      </c>
      <c r="J1013" s="42">
        <f ca="1">TODAY()-qry_ProdData2_PDI_Cash_Exception_Application[[#This Row],[INSERT DATE]]</f>
        <v>15.742928240739275</v>
      </c>
      <c r="K10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13">
        <f ca="1">qry_ProdData2_PDI_Cash_Exception_Application[[#This Row],[TODAY]]-qry_ProdData2_PDI_Cash_Exception_Application[[#This Row],[CHANGED ON]]</f>
        <v>13.742928240739275</v>
      </c>
      <c r="M1013">
        <f ca="1">qry_ProdData2_PDI_Cash_Exception_Application[[#This Row],[TODAY]]-qry_ProdData2_PDI_Cash_Exception_Application[[#This Row],[CHANGED ON]]</f>
        <v>13.742928240739275</v>
      </c>
      <c r="N1013">
        <f ca="1">qry_ProdData2_PDI_Cash_Exception_Application[[#This Row],[TODAY]]-qry_ProdData2_PDI_Cash_Exception_Application[[#This Row],[CHANGED ON]]</f>
        <v>13.742928240739275</v>
      </c>
    </row>
    <row r="1014" spans="1:14" x14ac:dyDescent="0.35">
      <c r="A1014">
        <v>1010</v>
      </c>
      <c r="B1014" t="s">
        <v>64</v>
      </c>
      <c r="C1014" s="1">
        <v>45186.257071759261</v>
      </c>
      <c r="D1014" t="str">
        <f ca="1">VLOOKUP(qry_ProdData2_PDI_Cash_Exception_Application[[#This Row],[TYPE]],#REF!,2,FALSE)</f>
        <v>type40</v>
      </c>
      <c r="E1014">
        <v>-393.59</v>
      </c>
      <c r="F1014" t="s">
        <v>47</v>
      </c>
      <c r="G1014" s="1">
        <f>qry_ProdData2_PDI_Cash_Exception_Application[[#This Row],[INSERT DATE]]+7</f>
        <v>45193.257071759261</v>
      </c>
      <c r="H1014" t="str">
        <f>VLOOKUP(qry_ProdData2_PDI_Cash_Exception_Application[[#This Row],[MARKET No]],'Site Allocation'!$B$2:$C$37,2,FALSE)</f>
        <v>Analyst2</v>
      </c>
      <c r="I1014" s="4">
        <f t="shared" ca="1" si="15"/>
        <v>45203</v>
      </c>
      <c r="J1014" s="42">
        <f ca="1">TODAY()-qry_ProdData2_PDI_Cash_Exception_Application[[#This Row],[INSERT DATE]]</f>
        <v>16.742928240739275</v>
      </c>
      <c r="K10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14">
        <f ca="1">qry_ProdData2_PDI_Cash_Exception_Application[[#This Row],[TODAY]]-qry_ProdData2_PDI_Cash_Exception_Application[[#This Row],[CHANGED ON]]</f>
        <v>9.7429282407392748</v>
      </c>
      <c r="M1014">
        <f ca="1">qry_ProdData2_PDI_Cash_Exception_Application[[#This Row],[TODAY]]-qry_ProdData2_PDI_Cash_Exception_Application[[#This Row],[CHANGED ON]]</f>
        <v>9.7429282407392748</v>
      </c>
      <c r="N1014">
        <f ca="1">qry_ProdData2_PDI_Cash_Exception_Application[[#This Row],[TODAY]]-qry_ProdData2_PDI_Cash_Exception_Application[[#This Row],[CHANGED ON]]</f>
        <v>9.7429282407392748</v>
      </c>
    </row>
    <row r="1015" spans="1:14" x14ac:dyDescent="0.35">
      <c r="A1015">
        <v>1003</v>
      </c>
      <c r="B1015" t="s">
        <v>57</v>
      </c>
      <c r="C1015" s="1">
        <v>45188.257071759261</v>
      </c>
      <c r="D1015" t="str">
        <f ca="1">VLOOKUP(qry_ProdData2_PDI_Cash_Exception_Application[[#This Row],[TYPE]],#REF!,2,FALSE)</f>
        <v>type13</v>
      </c>
      <c r="E1015">
        <v>35927.99</v>
      </c>
      <c r="F1015" t="s">
        <v>52</v>
      </c>
      <c r="G1015" s="1">
        <f>qry_ProdData2_PDI_Cash_Exception_Application[[#This Row],[INSERT DATE]]+7</f>
        <v>45195.257071759261</v>
      </c>
      <c r="H1015" t="str">
        <f>VLOOKUP(qry_ProdData2_PDI_Cash_Exception_Application[[#This Row],[MARKET No]],'Site Allocation'!$B$2:$C$37,2,FALSE)</f>
        <v>Analyst1</v>
      </c>
      <c r="I1015" s="4">
        <f t="shared" ca="1" si="15"/>
        <v>45203</v>
      </c>
      <c r="J1015" s="42">
        <f ca="1">TODAY()-qry_ProdData2_PDI_Cash_Exception_Application[[#This Row],[INSERT DATE]]</f>
        <v>14.742928240739275</v>
      </c>
      <c r="K10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15">
        <f ca="1">qry_ProdData2_PDI_Cash_Exception_Application[[#This Row],[TODAY]]-qry_ProdData2_PDI_Cash_Exception_Application[[#This Row],[CHANGED ON]]</f>
        <v>7.7429282407392748</v>
      </c>
      <c r="M1015">
        <f ca="1">qry_ProdData2_PDI_Cash_Exception_Application[[#This Row],[TODAY]]-qry_ProdData2_PDI_Cash_Exception_Application[[#This Row],[CHANGED ON]]</f>
        <v>7.7429282407392748</v>
      </c>
      <c r="N1015">
        <f ca="1">qry_ProdData2_PDI_Cash_Exception_Application[[#This Row],[TODAY]]-qry_ProdData2_PDI_Cash_Exception_Application[[#This Row],[CHANGED ON]]</f>
        <v>7.7429282407392748</v>
      </c>
    </row>
    <row r="1016" spans="1:14" x14ac:dyDescent="0.35">
      <c r="A1016">
        <v>1006</v>
      </c>
      <c r="B1016" t="s">
        <v>60</v>
      </c>
      <c r="C1016" s="1">
        <v>45183.257071759261</v>
      </c>
      <c r="D1016" t="str">
        <f ca="1">VLOOKUP(qry_ProdData2_PDI_Cash_Exception_Application[[#This Row],[TYPE]],#REF!,2,FALSE)</f>
        <v>type40</v>
      </c>
      <c r="E1016">
        <v>498.56</v>
      </c>
      <c r="F1016" t="s">
        <v>48</v>
      </c>
      <c r="G1016" s="1">
        <f>qry_ProdData2_PDI_Cash_Exception_Application[[#This Row],[INSERT DATE]]+2</f>
        <v>45185.257071759261</v>
      </c>
      <c r="H1016" t="str">
        <f>VLOOKUP(qry_ProdData2_PDI_Cash_Exception_Application[[#This Row],[MARKET No]],'Site Allocation'!$B$2:$C$37,2,FALSE)</f>
        <v>Analyst2</v>
      </c>
      <c r="I1016" s="4">
        <f t="shared" ca="1" si="15"/>
        <v>45203</v>
      </c>
      <c r="J1016" s="42">
        <f ca="1">TODAY()-qry_ProdData2_PDI_Cash_Exception_Application[[#This Row],[INSERT DATE]]</f>
        <v>19.742928240739275</v>
      </c>
      <c r="K10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16">
        <f ca="1">qry_ProdData2_PDI_Cash_Exception_Application[[#This Row],[TODAY]]-qry_ProdData2_PDI_Cash_Exception_Application[[#This Row],[CHANGED ON]]</f>
        <v>17.742928240739275</v>
      </c>
      <c r="M1016">
        <f ca="1">qry_ProdData2_PDI_Cash_Exception_Application[[#This Row],[TODAY]]-qry_ProdData2_PDI_Cash_Exception_Application[[#This Row],[CHANGED ON]]</f>
        <v>17.742928240739275</v>
      </c>
      <c r="N1016">
        <f ca="1">qry_ProdData2_PDI_Cash_Exception_Application[[#This Row],[TODAY]]-qry_ProdData2_PDI_Cash_Exception_Application[[#This Row],[CHANGED ON]]</f>
        <v>17.742928240739275</v>
      </c>
    </row>
    <row r="1017" spans="1:14" x14ac:dyDescent="0.35">
      <c r="A1017">
        <v>1024</v>
      </c>
      <c r="B1017" t="s">
        <v>78</v>
      </c>
      <c r="C1017" s="1">
        <v>45189.257071759261</v>
      </c>
      <c r="D1017" t="str">
        <f ca="1">VLOOKUP(qry_ProdData2_PDI_Cash_Exception_Application[[#This Row],[TYPE]],#REF!,2,FALSE)</f>
        <v>type40</v>
      </c>
      <c r="E1017">
        <v>-998.87</v>
      </c>
      <c r="F1017" t="s">
        <v>52</v>
      </c>
      <c r="G1017" s="1">
        <f>qry_ProdData2_PDI_Cash_Exception_Application[[#This Row],[INSERT DATE]]+7</f>
        <v>45196.257071759261</v>
      </c>
      <c r="H1017" t="str">
        <f>VLOOKUP(qry_ProdData2_PDI_Cash_Exception_Application[[#This Row],[MARKET No]],'Site Allocation'!$B$2:$C$37,2,FALSE)</f>
        <v>Analyst5</v>
      </c>
      <c r="I1017" s="4">
        <f t="shared" ca="1" si="15"/>
        <v>45203</v>
      </c>
      <c r="J1017" s="42">
        <f ca="1">TODAY()-qry_ProdData2_PDI_Cash_Exception_Application[[#This Row],[INSERT DATE]]</f>
        <v>13.742928240739275</v>
      </c>
      <c r="K10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17">
        <f ca="1">qry_ProdData2_PDI_Cash_Exception_Application[[#This Row],[TODAY]]-qry_ProdData2_PDI_Cash_Exception_Application[[#This Row],[CHANGED ON]]</f>
        <v>6.7429282407392748</v>
      </c>
      <c r="M1017">
        <f ca="1">qry_ProdData2_PDI_Cash_Exception_Application[[#This Row],[TODAY]]-qry_ProdData2_PDI_Cash_Exception_Application[[#This Row],[CHANGED ON]]</f>
        <v>6.7429282407392748</v>
      </c>
      <c r="N1017">
        <f ca="1">qry_ProdData2_PDI_Cash_Exception_Application[[#This Row],[TODAY]]-qry_ProdData2_PDI_Cash_Exception_Application[[#This Row],[CHANGED ON]]</f>
        <v>6.7429282407392748</v>
      </c>
    </row>
    <row r="1018" spans="1:14" x14ac:dyDescent="0.35">
      <c r="A1018">
        <v>1032</v>
      </c>
      <c r="B1018" t="s">
        <v>86</v>
      </c>
      <c r="C1018" s="1">
        <v>45190.257071759261</v>
      </c>
      <c r="D1018" t="str">
        <f ca="1">VLOOKUP(qry_ProdData2_PDI_Cash_Exception_Application[[#This Row],[TYPE]],#REF!,2,FALSE)</f>
        <v>type40</v>
      </c>
      <c r="E1018">
        <v>550.96</v>
      </c>
      <c r="F1018" t="s">
        <v>50</v>
      </c>
      <c r="G1018" s="1">
        <f>qry_ProdData2_PDI_Cash_Exception_Application[[#This Row],[INSERT DATE]]+7</f>
        <v>45197.257071759261</v>
      </c>
      <c r="H1018" t="str">
        <f>VLOOKUP(qry_ProdData2_PDI_Cash_Exception_Application[[#This Row],[MARKET No]],'Site Allocation'!$B$2:$C$37,2,FALSE)</f>
        <v>Analyst6</v>
      </c>
      <c r="I1018" s="4">
        <f t="shared" ca="1" si="15"/>
        <v>45203</v>
      </c>
      <c r="J1018" s="42">
        <f ca="1">TODAY()-qry_ProdData2_PDI_Cash_Exception_Application[[#This Row],[INSERT DATE]]</f>
        <v>12.742928240739275</v>
      </c>
      <c r="K10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18">
        <f ca="1">qry_ProdData2_PDI_Cash_Exception_Application[[#This Row],[TODAY]]-qry_ProdData2_PDI_Cash_Exception_Application[[#This Row],[CHANGED ON]]</f>
        <v>5.7429282407392748</v>
      </c>
      <c r="M1018">
        <f ca="1">qry_ProdData2_PDI_Cash_Exception_Application[[#This Row],[TODAY]]-qry_ProdData2_PDI_Cash_Exception_Application[[#This Row],[CHANGED ON]]</f>
        <v>5.7429282407392748</v>
      </c>
      <c r="N1018">
        <f ca="1">qry_ProdData2_PDI_Cash_Exception_Application[[#This Row],[TODAY]]-qry_ProdData2_PDI_Cash_Exception_Application[[#This Row],[CHANGED ON]]</f>
        <v>5.7429282407392748</v>
      </c>
    </row>
    <row r="1019" spans="1:14" x14ac:dyDescent="0.35">
      <c r="A1019">
        <v>1021</v>
      </c>
      <c r="B1019" t="s">
        <v>75</v>
      </c>
      <c r="C1019" s="1">
        <v>45191.257071759261</v>
      </c>
      <c r="D1019" t="str">
        <f ca="1">VLOOKUP(qry_ProdData2_PDI_Cash_Exception_Application[[#This Row],[TYPE]],#REF!,2,FALSE)</f>
        <v>type40</v>
      </c>
      <c r="E1019">
        <v>-807.06</v>
      </c>
      <c r="F1019" t="s">
        <v>49</v>
      </c>
      <c r="G1019" s="1">
        <f>qry_ProdData2_PDI_Cash_Exception_Application[[#This Row],[INSERT DATE]]+2</f>
        <v>45193.257071759261</v>
      </c>
      <c r="H1019" t="str">
        <f>VLOOKUP(qry_ProdData2_PDI_Cash_Exception_Application[[#This Row],[MARKET No]],'Site Allocation'!$B$2:$C$37,2,FALSE)</f>
        <v>Analyst4</v>
      </c>
      <c r="I1019" s="4">
        <f t="shared" ca="1" si="15"/>
        <v>45203</v>
      </c>
      <c r="J1019" s="42">
        <f ca="1">TODAY()-qry_ProdData2_PDI_Cash_Exception_Application[[#This Row],[INSERT DATE]]</f>
        <v>11.742928240739275</v>
      </c>
      <c r="K10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19">
        <f ca="1">qry_ProdData2_PDI_Cash_Exception_Application[[#This Row],[TODAY]]-qry_ProdData2_PDI_Cash_Exception_Application[[#This Row],[CHANGED ON]]</f>
        <v>9.7429282407392748</v>
      </c>
      <c r="M1019">
        <f ca="1">qry_ProdData2_PDI_Cash_Exception_Application[[#This Row],[TODAY]]-qry_ProdData2_PDI_Cash_Exception_Application[[#This Row],[CHANGED ON]]</f>
        <v>9.7429282407392748</v>
      </c>
      <c r="N1019">
        <f ca="1">qry_ProdData2_PDI_Cash_Exception_Application[[#This Row],[TODAY]]-qry_ProdData2_PDI_Cash_Exception_Application[[#This Row],[CHANGED ON]]</f>
        <v>9.7429282407392748</v>
      </c>
    </row>
    <row r="1020" spans="1:14" x14ac:dyDescent="0.35">
      <c r="A1020">
        <v>1017</v>
      </c>
      <c r="B1020" t="s">
        <v>71</v>
      </c>
      <c r="C1020" s="1">
        <v>45182.257071759261</v>
      </c>
      <c r="D1020" t="str">
        <f ca="1">VLOOKUP(qry_ProdData2_PDI_Cash_Exception_Application[[#This Row],[TYPE]],#REF!,2,FALSE)</f>
        <v>type40</v>
      </c>
      <c r="E1020">
        <v>10.99</v>
      </c>
      <c r="F1020" t="s">
        <v>49</v>
      </c>
      <c r="G1020" s="1">
        <f>qry_ProdData2_PDI_Cash_Exception_Application[[#This Row],[INSERT DATE]]+5</f>
        <v>45187.257071759261</v>
      </c>
      <c r="H1020" t="str">
        <f>VLOOKUP(qry_ProdData2_PDI_Cash_Exception_Application[[#This Row],[MARKET No]],'Site Allocation'!$B$2:$C$37,2,FALSE)</f>
        <v>Analyst3</v>
      </c>
      <c r="I1020" s="4">
        <f t="shared" ca="1" si="15"/>
        <v>45203</v>
      </c>
      <c r="J1020" s="42">
        <f ca="1">TODAY()-qry_ProdData2_PDI_Cash_Exception_Application[[#This Row],[INSERT DATE]]</f>
        <v>20.742928240739275</v>
      </c>
      <c r="K10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20">
        <f ca="1">qry_ProdData2_PDI_Cash_Exception_Application[[#This Row],[TODAY]]-qry_ProdData2_PDI_Cash_Exception_Application[[#This Row],[CHANGED ON]]</f>
        <v>15.742928240739275</v>
      </c>
      <c r="M1020">
        <f ca="1">qry_ProdData2_PDI_Cash_Exception_Application[[#This Row],[TODAY]]-qry_ProdData2_PDI_Cash_Exception_Application[[#This Row],[CHANGED ON]]</f>
        <v>15.742928240739275</v>
      </c>
      <c r="N1020">
        <f ca="1">qry_ProdData2_PDI_Cash_Exception_Application[[#This Row],[TODAY]]-qry_ProdData2_PDI_Cash_Exception_Application[[#This Row],[CHANGED ON]]</f>
        <v>15.742928240739275</v>
      </c>
    </row>
    <row r="1021" spans="1:14" x14ac:dyDescent="0.35">
      <c r="A1021">
        <v>1006</v>
      </c>
      <c r="B1021" t="s">
        <v>60</v>
      </c>
      <c r="C1021" s="1">
        <v>45190.257071759261</v>
      </c>
      <c r="D1021" t="str">
        <f ca="1">VLOOKUP(qry_ProdData2_PDI_Cash_Exception_Application[[#This Row],[TYPE]],#REF!,2,FALSE)</f>
        <v>type40</v>
      </c>
      <c r="E1021">
        <v>1065.53</v>
      </c>
      <c r="F1021" t="s">
        <v>51</v>
      </c>
      <c r="G1021" s="1">
        <f>qry_ProdData2_PDI_Cash_Exception_Application[[#This Row],[INSERT DATE]]+2</f>
        <v>45192.257071759261</v>
      </c>
      <c r="H1021" t="str">
        <f>VLOOKUP(qry_ProdData2_PDI_Cash_Exception_Application[[#This Row],[MARKET No]],'Site Allocation'!$B$2:$C$37,2,FALSE)</f>
        <v>Analyst2</v>
      </c>
      <c r="I1021" s="4">
        <f t="shared" ca="1" si="15"/>
        <v>45203</v>
      </c>
      <c r="J1021" s="42">
        <f ca="1">TODAY()-qry_ProdData2_PDI_Cash_Exception_Application[[#This Row],[INSERT DATE]]</f>
        <v>12.742928240739275</v>
      </c>
      <c r="K10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21">
        <f ca="1">qry_ProdData2_PDI_Cash_Exception_Application[[#This Row],[TODAY]]-qry_ProdData2_PDI_Cash_Exception_Application[[#This Row],[CHANGED ON]]</f>
        <v>10.742928240739275</v>
      </c>
      <c r="M1021">
        <f ca="1">qry_ProdData2_PDI_Cash_Exception_Application[[#This Row],[TODAY]]-qry_ProdData2_PDI_Cash_Exception_Application[[#This Row],[CHANGED ON]]</f>
        <v>10.742928240739275</v>
      </c>
      <c r="N1021">
        <f ca="1">qry_ProdData2_PDI_Cash_Exception_Application[[#This Row],[TODAY]]-qry_ProdData2_PDI_Cash_Exception_Application[[#This Row],[CHANGED ON]]</f>
        <v>10.742928240739275</v>
      </c>
    </row>
    <row r="1022" spans="1:14" x14ac:dyDescent="0.35">
      <c r="A1022">
        <v>1020</v>
      </c>
      <c r="B1022" t="s">
        <v>74</v>
      </c>
      <c r="C1022" s="1">
        <v>45193.257071759261</v>
      </c>
      <c r="D1022" t="str">
        <f ca="1">VLOOKUP(qry_ProdData2_PDI_Cash_Exception_Application[[#This Row],[TYPE]],#REF!,2,FALSE)</f>
        <v>type41</v>
      </c>
      <c r="E1022">
        <v>298.86</v>
      </c>
      <c r="F1022" t="s">
        <v>52</v>
      </c>
      <c r="G1022" s="1">
        <f>qry_ProdData2_PDI_Cash_Exception_Application[[#This Row],[INSERT DATE]]+1</f>
        <v>45194.257071759261</v>
      </c>
      <c r="H1022" t="str">
        <f>VLOOKUP(qry_ProdData2_PDI_Cash_Exception_Application[[#This Row],[MARKET No]],'Site Allocation'!$B$2:$C$37,2,FALSE)</f>
        <v>Analyst4</v>
      </c>
      <c r="I1022" s="4">
        <f t="shared" ca="1" si="15"/>
        <v>45203</v>
      </c>
      <c r="J1022" s="42">
        <f ca="1">TODAY()-qry_ProdData2_PDI_Cash_Exception_Application[[#This Row],[INSERT DATE]]</f>
        <v>9.7429282407392748</v>
      </c>
      <c r="K10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22">
        <f ca="1">qry_ProdData2_PDI_Cash_Exception_Application[[#This Row],[TODAY]]-qry_ProdData2_PDI_Cash_Exception_Application[[#This Row],[CHANGED ON]]</f>
        <v>8.7429282407392748</v>
      </c>
      <c r="M1022">
        <f ca="1">qry_ProdData2_PDI_Cash_Exception_Application[[#This Row],[TODAY]]-qry_ProdData2_PDI_Cash_Exception_Application[[#This Row],[CHANGED ON]]</f>
        <v>8.7429282407392748</v>
      </c>
      <c r="N1022">
        <f ca="1">qry_ProdData2_PDI_Cash_Exception_Application[[#This Row],[TODAY]]-qry_ProdData2_PDI_Cash_Exception_Application[[#This Row],[CHANGED ON]]</f>
        <v>8.7429282407392748</v>
      </c>
    </row>
    <row r="1023" spans="1:14" x14ac:dyDescent="0.35">
      <c r="A1023">
        <v>1032</v>
      </c>
      <c r="B1023" t="s">
        <v>86</v>
      </c>
      <c r="C1023" s="1">
        <v>45194.257071759261</v>
      </c>
      <c r="D1023" t="str">
        <f ca="1">VLOOKUP(qry_ProdData2_PDI_Cash_Exception_Application[[#This Row],[TYPE]],#REF!,2,FALSE)</f>
        <v>type40</v>
      </c>
      <c r="E1023">
        <v>1412.09</v>
      </c>
      <c r="F1023" t="s">
        <v>52</v>
      </c>
      <c r="G1023" s="1">
        <f>qry_ProdData2_PDI_Cash_Exception_Application[[#This Row],[INSERT DATE]]+1</f>
        <v>45195.257071759261</v>
      </c>
      <c r="H1023" t="str">
        <f>VLOOKUP(qry_ProdData2_PDI_Cash_Exception_Application[[#This Row],[MARKET No]],'Site Allocation'!$B$2:$C$37,2,FALSE)</f>
        <v>Analyst6</v>
      </c>
      <c r="I1023" s="4">
        <f t="shared" ca="1" si="15"/>
        <v>45203</v>
      </c>
      <c r="J1023" s="42">
        <f ca="1">TODAY()-qry_ProdData2_PDI_Cash_Exception_Application[[#This Row],[INSERT DATE]]</f>
        <v>8.7429282407392748</v>
      </c>
      <c r="K10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023">
        <f ca="1">qry_ProdData2_PDI_Cash_Exception_Application[[#This Row],[TODAY]]-qry_ProdData2_PDI_Cash_Exception_Application[[#This Row],[CHANGED ON]]</f>
        <v>7.7429282407392748</v>
      </c>
      <c r="M1023">
        <f ca="1">qry_ProdData2_PDI_Cash_Exception_Application[[#This Row],[TODAY]]-qry_ProdData2_PDI_Cash_Exception_Application[[#This Row],[CHANGED ON]]</f>
        <v>7.7429282407392748</v>
      </c>
      <c r="N1023">
        <f ca="1">qry_ProdData2_PDI_Cash_Exception_Application[[#This Row],[TODAY]]-qry_ProdData2_PDI_Cash_Exception_Application[[#This Row],[CHANGED ON]]</f>
        <v>7.7429282407392748</v>
      </c>
    </row>
    <row r="1024" spans="1:14" x14ac:dyDescent="0.35">
      <c r="A1024">
        <v>1026</v>
      </c>
      <c r="B1024" t="s">
        <v>80</v>
      </c>
      <c r="C1024" s="1">
        <v>45191.257071759261</v>
      </c>
      <c r="D1024" t="str">
        <f ca="1">VLOOKUP(qry_ProdData2_PDI_Cash_Exception_Application[[#This Row],[TYPE]],#REF!,2,FALSE)</f>
        <v>type40</v>
      </c>
      <c r="E1024">
        <v>-816.03</v>
      </c>
      <c r="F1024" t="s">
        <v>51</v>
      </c>
      <c r="G1024" s="1">
        <f>qry_ProdData2_PDI_Cash_Exception_Application[[#This Row],[INSERT DATE]]+2</f>
        <v>45193.257071759261</v>
      </c>
      <c r="H1024" t="str">
        <f>VLOOKUP(qry_ProdData2_PDI_Cash_Exception_Application[[#This Row],[MARKET No]],'Site Allocation'!$B$2:$C$37,2,FALSE)</f>
        <v>Analyst5</v>
      </c>
      <c r="I1024" s="4">
        <f t="shared" ca="1" si="15"/>
        <v>45203</v>
      </c>
      <c r="J1024" s="42">
        <f ca="1">TODAY()-qry_ProdData2_PDI_Cash_Exception_Application[[#This Row],[INSERT DATE]]</f>
        <v>11.742928240739275</v>
      </c>
      <c r="K10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24">
        <f ca="1">qry_ProdData2_PDI_Cash_Exception_Application[[#This Row],[TODAY]]-qry_ProdData2_PDI_Cash_Exception_Application[[#This Row],[CHANGED ON]]</f>
        <v>9.7429282407392748</v>
      </c>
      <c r="M1024">
        <f ca="1">qry_ProdData2_PDI_Cash_Exception_Application[[#This Row],[TODAY]]-qry_ProdData2_PDI_Cash_Exception_Application[[#This Row],[CHANGED ON]]</f>
        <v>9.7429282407392748</v>
      </c>
      <c r="N1024">
        <f ca="1">qry_ProdData2_PDI_Cash_Exception_Application[[#This Row],[TODAY]]-qry_ProdData2_PDI_Cash_Exception_Application[[#This Row],[CHANGED ON]]</f>
        <v>9.7429282407392748</v>
      </c>
    </row>
    <row r="1025" spans="1:14" x14ac:dyDescent="0.35">
      <c r="A1025">
        <v>1031</v>
      </c>
      <c r="B1025" t="s">
        <v>85</v>
      </c>
      <c r="C1025" s="1">
        <v>45184.257071759261</v>
      </c>
      <c r="D1025" t="str">
        <f ca="1">VLOOKUP(qry_ProdData2_PDI_Cash_Exception_Application[[#This Row],[TYPE]],#REF!,2,FALSE)</f>
        <v>type17</v>
      </c>
      <c r="E1025">
        <v>1138.33</v>
      </c>
      <c r="F1025" t="s">
        <v>49</v>
      </c>
      <c r="G1025" s="1">
        <f>qry_ProdData2_PDI_Cash_Exception_Application[[#This Row],[INSERT DATE]]+5</f>
        <v>45189.257071759261</v>
      </c>
      <c r="H1025" t="str">
        <f>VLOOKUP(qry_ProdData2_PDI_Cash_Exception_Application[[#This Row],[MARKET No]],'Site Allocation'!$B$2:$C$37,2,FALSE)</f>
        <v>Analyst6</v>
      </c>
      <c r="I1025" s="4">
        <f t="shared" ca="1" si="15"/>
        <v>45203</v>
      </c>
      <c r="J1025" s="42">
        <f ca="1">TODAY()-qry_ProdData2_PDI_Cash_Exception_Application[[#This Row],[INSERT DATE]]</f>
        <v>18.742928240739275</v>
      </c>
      <c r="K10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25">
        <f ca="1">qry_ProdData2_PDI_Cash_Exception_Application[[#This Row],[TODAY]]-qry_ProdData2_PDI_Cash_Exception_Application[[#This Row],[CHANGED ON]]</f>
        <v>13.742928240739275</v>
      </c>
      <c r="M1025">
        <f ca="1">qry_ProdData2_PDI_Cash_Exception_Application[[#This Row],[TODAY]]-qry_ProdData2_PDI_Cash_Exception_Application[[#This Row],[CHANGED ON]]</f>
        <v>13.742928240739275</v>
      </c>
      <c r="N1025">
        <f ca="1">qry_ProdData2_PDI_Cash_Exception_Application[[#This Row],[TODAY]]-qry_ProdData2_PDI_Cash_Exception_Application[[#This Row],[CHANGED ON]]</f>
        <v>13.742928240739275</v>
      </c>
    </row>
    <row r="1026" spans="1:14" x14ac:dyDescent="0.35">
      <c r="A1026">
        <v>1009</v>
      </c>
      <c r="B1026" t="s">
        <v>63</v>
      </c>
      <c r="C1026" s="1">
        <v>45183.257071759261</v>
      </c>
      <c r="D1026" t="str">
        <f ca="1">VLOOKUP(qry_ProdData2_PDI_Cash_Exception_Application[[#This Row],[TYPE]],#REF!,2,FALSE)</f>
        <v>type40</v>
      </c>
      <c r="E1026">
        <v>3090.9</v>
      </c>
      <c r="F1026" t="s">
        <v>48</v>
      </c>
      <c r="G1026" s="1">
        <f>qry_ProdData2_PDI_Cash_Exception_Application[[#This Row],[INSERT DATE]]+2</f>
        <v>45185.257071759261</v>
      </c>
      <c r="H1026" t="str">
        <f>VLOOKUP(qry_ProdData2_PDI_Cash_Exception_Application[[#This Row],[MARKET No]],'Site Allocation'!$B$2:$C$37,2,FALSE)</f>
        <v>Analyst2</v>
      </c>
      <c r="I1026" s="4">
        <f t="shared" ref="I1026:I1089" ca="1" si="16">TODAY()</f>
        <v>45203</v>
      </c>
      <c r="J1026" s="42">
        <f ca="1">TODAY()-qry_ProdData2_PDI_Cash_Exception_Application[[#This Row],[INSERT DATE]]</f>
        <v>19.742928240739275</v>
      </c>
      <c r="K10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26">
        <f ca="1">qry_ProdData2_PDI_Cash_Exception_Application[[#This Row],[TODAY]]-qry_ProdData2_PDI_Cash_Exception_Application[[#This Row],[CHANGED ON]]</f>
        <v>17.742928240739275</v>
      </c>
      <c r="M1026">
        <f ca="1">qry_ProdData2_PDI_Cash_Exception_Application[[#This Row],[TODAY]]-qry_ProdData2_PDI_Cash_Exception_Application[[#This Row],[CHANGED ON]]</f>
        <v>17.742928240739275</v>
      </c>
      <c r="N1026">
        <f ca="1">qry_ProdData2_PDI_Cash_Exception_Application[[#This Row],[TODAY]]-qry_ProdData2_PDI_Cash_Exception_Application[[#This Row],[CHANGED ON]]</f>
        <v>17.742928240739275</v>
      </c>
    </row>
    <row r="1027" spans="1:14" x14ac:dyDescent="0.35">
      <c r="A1027">
        <v>1018</v>
      </c>
      <c r="B1027" t="s">
        <v>72</v>
      </c>
      <c r="C1027" s="1">
        <v>45185.257071759261</v>
      </c>
      <c r="D1027" t="str">
        <f ca="1">VLOOKUP(qry_ProdData2_PDI_Cash_Exception_Application[[#This Row],[TYPE]],#REF!,2,FALSE)</f>
        <v>type54</v>
      </c>
      <c r="E1027">
        <v>-203.91</v>
      </c>
      <c r="F1027" t="s">
        <v>52</v>
      </c>
      <c r="G1027" s="1">
        <f>qry_ProdData2_PDI_Cash_Exception_Application[[#This Row],[INSERT DATE]]+1</f>
        <v>45186.257071759261</v>
      </c>
      <c r="H1027" t="str">
        <f>VLOOKUP(qry_ProdData2_PDI_Cash_Exception_Application[[#This Row],[MARKET No]],'Site Allocation'!$B$2:$C$37,2,FALSE)</f>
        <v>Analyst4</v>
      </c>
      <c r="I1027" s="4">
        <f t="shared" ca="1" si="16"/>
        <v>45203</v>
      </c>
      <c r="J1027" s="42">
        <f ca="1">TODAY()-qry_ProdData2_PDI_Cash_Exception_Application[[#This Row],[INSERT DATE]]</f>
        <v>17.742928240739275</v>
      </c>
      <c r="K10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27">
        <f ca="1">qry_ProdData2_PDI_Cash_Exception_Application[[#This Row],[TODAY]]-qry_ProdData2_PDI_Cash_Exception_Application[[#This Row],[CHANGED ON]]</f>
        <v>16.742928240739275</v>
      </c>
      <c r="M1027">
        <f ca="1">qry_ProdData2_PDI_Cash_Exception_Application[[#This Row],[TODAY]]-qry_ProdData2_PDI_Cash_Exception_Application[[#This Row],[CHANGED ON]]</f>
        <v>16.742928240739275</v>
      </c>
      <c r="N1027">
        <f ca="1">qry_ProdData2_PDI_Cash_Exception_Application[[#This Row],[TODAY]]-qry_ProdData2_PDI_Cash_Exception_Application[[#This Row],[CHANGED ON]]</f>
        <v>16.742928240739275</v>
      </c>
    </row>
    <row r="1028" spans="1:14" x14ac:dyDescent="0.35">
      <c r="A1028">
        <v>1012</v>
      </c>
      <c r="B1028" t="s">
        <v>66</v>
      </c>
      <c r="C1028" s="1">
        <v>45186.257071759261</v>
      </c>
      <c r="D1028" t="str">
        <f ca="1">VLOOKUP(qry_ProdData2_PDI_Cash_Exception_Application[[#This Row],[TYPE]],#REF!,2,FALSE)</f>
        <v>type13</v>
      </c>
      <c r="E1028">
        <v>19240.849999999999</v>
      </c>
      <c r="F1028" t="s">
        <v>52</v>
      </c>
      <c r="G1028" s="1">
        <f>qry_ProdData2_PDI_Cash_Exception_Application[[#This Row],[INSERT DATE]]+1</f>
        <v>45187.257071759261</v>
      </c>
      <c r="H1028" t="str">
        <f>VLOOKUP(qry_ProdData2_PDI_Cash_Exception_Application[[#This Row],[MARKET No]],'Site Allocation'!$B$2:$C$37,2,FALSE)</f>
        <v>Analyst3</v>
      </c>
      <c r="I1028" s="4">
        <f t="shared" ca="1" si="16"/>
        <v>45203</v>
      </c>
      <c r="J1028" s="42">
        <f ca="1">TODAY()-qry_ProdData2_PDI_Cash_Exception_Application[[#This Row],[INSERT DATE]]</f>
        <v>16.742928240739275</v>
      </c>
      <c r="K10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28">
        <f ca="1">qry_ProdData2_PDI_Cash_Exception_Application[[#This Row],[TODAY]]-qry_ProdData2_PDI_Cash_Exception_Application[[#This Row],[CHANGED ON]]</f>
        <v>15.742928240739275</v>
      </c>
      <c r="M1028">
        <f ca="1">qry_ProdData2_PDI_Cash_Exception_Application[[#This Row],[TODAY]]-qry_ProdData2_PDI_Cash_Exception_Application[[#This Row],[CHANGED ON]]</f>
        <v>15.742928240739275</v>
      </c>
      <c r="N1028">
        <f ca="1">qry_ProdData2_PDI_Cash_Exception_Application[[#This Row],[TODAY]]-qry_ProdData2_PDI_Cash_Exception_Application[[#This Row],[CHANGED ON]]</f>
        <v>15.742928240739275</v>
      </c>
    </row>
    <row r="1029" spans="1:14" x14ac:dyDescent="0.35">
      <c r="A1029">
        <v>1031</v>
      </c>
      <c r="B1029" t="s">
        <v>85</v>
      </c>
      <c r="C1029" s="1">
        <v>45187.257071759261</v>
      </c>
      <c r="D1029" t="str">
        <f ca="1">VLOOKUP(qry_ProdData2_PDI_Cash_Exception_Application[[#This Row],[TYPE]],#REF!,2,FALSE)</f>
        <v>type13</v>
      </c>
      <c r="E1029">
        <v>16313.32</v>
      </c>
      <c r="F1029" t="s">
        <v>50</v>
      </c>
      <c r="G1029" s="1">
        <f>qry_ProdData2_PDI_Cash_Exception_Application[[#This Row],[INSERT DATE]]+1</f>
        <v>45188.257071759261</v>
      </c>
      <c r="H1029" t="str">
        <f>VLOOKUP(qry_ProdData2_PDI_Cash_Exception_Application[[#This Row],[MARKET No]],'Site Allocation'!$B$2:$C$37,2,FALSE)</f>
        <v>Analyst6</v>
      </c>
      <c r="I1029" s="4">
        <f t="shared" ca="1" si="16"/>
        <v>45203</v>
      </c>
      <c r="J1029" s="42">
        <f ca="1">TODAY()-qry_ProdData2_PDI_Cash_Exception_Application[[#This Row],[INSERT DATE]]</f>
        <v>15.742928240739275</v>
      </c>
      <c r="K10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29">
        <f ca="1">qry_ProdData2_PDI_Cash_Exception_Application[[#This Row],[TODAY]]-qry_ProdData2_PDI_Cash_Exception_Application[[#This Row],[CHANGED ON]]</f>
        <v>14.742928240739275</v>
      </c>
      <c r="M1029">
        <f ca="1">qry_ProdData2_PDI_Cash_Exception_Application[[#This Row],[TODAY]]-qry_ProdData2_PDI_Cash_Exception_Application[[#This Row],[CHANGED ON]]</f>
        <v>14.742928240739275</v>
      </c>
      <c r="N1029">
        <f ca="1">qry_ProdData2_PDI_Cash_Exception_Application[[#This Row],[TODAY]]-qry_ProdData2_PDI_Cash_Exception_Application[[#This Row],[CHANGED ON]]</f>
        <v>14.742928240739275</v>
      </c>
    </row>
    <row r="1030" spans="1:14" x14ac:dyDescent="0.35">
      <c r="A1030">
        <v>1017</v>
      </c>
      <c r="B1030" t="s">
        <v>71</v>
      </c>
      <c r="C1030" s="1">
        <v>45184.257071759261</v>
      </c>
      <c r="D1030" t="str">
        <f ca="1">VLOOKUP(qry_ProdData2_PDI_Cash_Exception_Application[[#This Row],[TYPE]],#REF!,2,FALSE)</f>
        <v>type40</v>
      </c>
      <c r="E1030">
        <v>6854.09</v>
      </c>
      <c r="F1030" t="s">
        <v>48</v>
      </c>
      <c r="G1030" s="1">
        <f>qry_ProdData2_PDI_Cash_Exception_Application[[#This Row],[INSERT DATE]]+2</f>
        <v>45186.257071759261</v>
      </c>
      <c r="H1030" t="str">
        <f>VLOOKUP(qry_ProdData2_PDI_Cash_Exception_Application[[#This Row],[MARKET No]],'Site Allocation'!$B$2:$C$37,2,FALSE)</f>
        <v>Analyst3</v>
      </c>
      <c r="I1030" s="4">
        <f t="shared" ca="1" si="16"/>
        <v>45203</v>
      </c>
      <c r="J1030" s="42">
        <f ca="1">TODAY()-qry_ProdData2_PDI_Cash_Exception_Application[[#This Row],[INSERT DATE]]</f>
        <v>18.742928240739275</v>
      </c>
      <c r="K10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30">
        <f ca="1">qry_ProdData2_PDI_Cash_Exception_Application[[#This Row],[TODAY]]-qry_ProdData2_PDI_Cash_Exception_Application[[#This Row],[CHANGED ON]]</f>
        <v>16.742928240739275</v>
      </c>
      <c r="M1030">
        <f ca="1">qry_ProdData2_PDI_Cash_Exception_Application[[#This Row],[TODAY]]-qry_ProdData2_PDI_Cash_Exception_Application[[#This Row],[CHANGED ON]]</f>
        <v>16.742928240739275</v>
      </c>
      <c r="N1030">
        <f ca="1">qry_ProdData2_PDI_Cash_Exception_Application[[#This Row],[TODAY]]-qry_ProdData2_PDI_Cash_Exception_Application[[#This Row],[CHANGED ON]]</f>
        <v>16.742928240739275</v>
      </c>
    </row>
    <row r="1031" spans="1:14" x14ac:dyDescent="0.35">
      <c r="A1031">
        <v>1022</v>
      </c>
      <c r="B1031" t="s">
        <v>76</v>
      </c>
      <c r="C1031" s="1">
        <v>45187.257071759261</v>
      </c>
      <c r="D1031" t="str">
        <f ca="1">VLOOKUP(qry_ProdData2_PDI_Cash_Exception_Application[[#This Row],[TYPE]],#REF!,2,FALSE)</f>
        <v>type13</v>
      </c>
      <c r="E1031">
        <v>20748.849999999999</v>
      </c>
      <c r="F1031" t="s">
        <v>49</v>
      </c>
      <c r="G1031" s="1">
        <f>qry_ProdData2_PDI_Cash_Exception_Application[[#This Row],[INSERT DATE]]+7</f>
        <v>45194.257071759261</v>
      </c>
      <c r="H1031" t="str">
        <f>VLOOKUP(qry_ProdData2_PDI_Cash_Exception_Application[[#This Row],[MARKET No]],'Site Allocation'!$B$2:$C$37,2,FALSE)</f>
        <v>Analyst4</v>
      </c>
      <c r="I1031" s="4">
        <f t="shared" ca="1" si="16"/>
        <v>45203</v>
      </c>
      <c r="J1031" s="42">
        <f ca="1">TODAY()-qry_ProdData2_PDI_Cash_Exception_Application[[#This Row],[INSERT DATE]]</f>
        <v>15.742928240739275</v>
      </c>
      <c r="K10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31">
        <f ca="1">qry_ProdData2_PDI_Cash_Exception_Application[[#This Row],[TODAY]]-qry_ProdData2_PDI_Cash_Exception_Application[[#This Row],[CHANGED ON]]</f>
        <v>8.7429282407392748</v>
      </c>
      <c r="M1031">
        <f ca="1">qry_ProdData2_PDI_Cash_Exception_Application[[#This Row],[TODAY]]-qry_ProdData2_PDI_Cash_Exception_Application[[#This Row],[CHANGED ON]]</f>
        <v>8.7429282407392748</v>
      </c>
      <c r="N1031">
        <f ca="1">qry_ProdData2_PDI_Cash_Exception_Application[[#This Row],[TODAY]]-qry_ProdData2_PDI_Cash_Exception_Application[[#This Row],[CHANGED ON]]</f>
        <v>8.7429282407392748</v>
      </c>
    </row>
    <row r="1032" spans="1:14" x14ac:dyDescent="0.35">
      <c r="A1032">
        <v>1019</v>
      </c>
      <c r="B1032" t="s">
        <v>73</v>
      </c>
      <c r="C1032" s="1">
        <v>45189.257071759261</v>
      </c>
      <c r="D1032" t="str">
        <f ca="1">VLOOKUP(qry_ProdData2_PDI_Cash_Exception_Application[[#This Row],[TYPE]],#REF!,2,FALSE)</f>
        <v>type13</v>
      </c>
      <c r="E1032">
        <v>12170</v>
      </c>
      <c r="F1032" t="s">
        <v>50</v>
      </c>
      <c r="G1032" s="1">
        <f>qry_ProdData2_PDI_Cash_Exception_Application[[#This Row],[INSERT DATE]]+1</f>
        <v>45190.257071759261</v>
      </c>
      <c r="H1032" t="str">
        <f>VLOOKUP(qry_ProdData2_PDI_Cash_Exception_Application[[#This Row],[MARKET No]],'Site Allocation'!$B$2:$C$37,2,FALSE)</f>
        <v>Analyst4</v>
      </c>
      <c r="I1032" s="4">
        <f t="shared" ca="1" si="16"/>
        <v>45203</v>
      </c>
      <c r="J1032" s="42">
        <f ca="1">TODAY()-qry_ProdData2_PDI_Cash_Exception_Application[[#This Row],[INSERT DATE]]</f>
        <v>13.742928240739275</v>
      </c>
      <c r="K10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32">
        <f ca="1">qry_ProdData2_PDI_Cash_Exception_Application[[#This Row],[TODAY]]-qry_ProdData2_PDI_Cash_Exception_Application[[#This Row],[CHANGED ON]]</f>
        <v>12.742928240739275</v>
      </c>
      <c r="M1032">
        <f ca="1">qry_ProdData2_PDI_Cash_Exception_Application[[#This Row],[TODAY]]-qry_ProdData2_PDI_Cash_Exception_Application[[#This Row],[CHANGED ON]]</f>
        <v>12.742928240739275</v>
      </c>
      <c r="N1032">
        <f ca="1">qry_ProdData2_PDI_Cash_Exception_Application[[#This Row],[TODAY]]-qry_ProdData2_PDI_Cash_Exception_Application[[#This Row],[CHANGED ON]]</f>
        <v>12.742928240739275</v>
      </c>
    </row>
    <row r="1033" spans="1:14" x14ac:dyDescent="0.35">
      <c r="A1033">
        <v>1034</v>
      </c>
      <c r="B1033" t="s">
        <v>88</v>
      </c>
      <c r="C1033" s="1">
        <v>45188.257071759261</v>
      </c>
      <c r="D1033" t="str">
        <f ca="1">VLOOKUP(qry_ProdData2_PDI_Cash_Exception_Application[[#This Row],[TYPE]],#REF!,2,FALSE)</f>
        <v>type40</v>
      </c>
      <c r="E1033">
        <v>-3199.68</v>
      </c>
      <c r="F1033" t="s">
        <v>47</v>
      </c>
      <c r="G1033" s="1">
        <f>qry_ProdData2_PDI_Cash_Exception_Application[[#This Row],[INSERT DATE]]+7</f>
        <v>45195.257071759261</v>
      </c>
      <c r="H1033" t="str">
        <f>VLOOKUP(qry_ProdData2_PDI_Cash_Exception_Application[[#This Row],[MARKET No]],'Site Allocation'!$B$2:$C$37,2,FALSE)</f>
        <v>Analyst6</v>
      </c>
      <c r="I1033" s="4">
        <f t="shared" ca="1" si="16"/>
        <v>45203</v>
      </c>
      <c r="J1033" s="42">
        <f ca="1">TODAY()-qry_ProdData2_PDI_Cash_Exception_Application[[#This Row],[INSERT DATE]]</f>
        <v>14.742928240739275</v>
      </c>
      <c r="K10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33">
        <f ca="1">qry_ProdData2_PDI_Cash_Exception_Application[[#This Row],[TODAY]]-qry_ProdData2_PDI_Cash_Exception_Application[[#This Row],[CHANGED ON]]</f>
        <v>7.7429282407392748</v>
      </c>
      <c r="M1033">
        <f ca="1">qry_ProdData2_PDI_Cash_Exception_Application[[#This Row],[TODAY]]-qry_ProdData2_PDI_Cash_Exception_Application[[#This Row],[CHANGED ON]]</f>
        <v>7.7429282407392748</v>
      </c>
      <c r="N1033">
        <f ca="1">qry_ProdData2_PDI_Cash_Exception_Application[[#This Row],[TODAY]]-qry_ProdData2_PDI_Cash_Exception_Application[[#This Row],[CHANGED ON]]</f>
        <v>7.7429282407392748</v>
      </c>
    </row>
    <row r="1034" spans="1:14" x14ac:dyDescent="0.35">
      <c r="A1034">
        <v>1031</v>
      </c>
      <c r="B1034" t="s">
        <v>85</v>
      </c>
      <c r="C1034" s="1">
        <v>45185.257071759261</v>
      </c>
      <c r="D1034" t="str">
        <f ca="1">VLOOKUP(qry_ProdData2_PDI_Cash_Exception_Application[[#This Row],[TYPE]],#REF!,2,FALSE)</f>
        <v>type40</v>
      </c>
      <c r="E1034">
        <v>-5376.86</v>
      </c>
      <c r="F1034" t="s">
        <v>48</v>
      </c>
      <c r="G1034" s="1">
        <f>qry_ProdData2_PDI_Cash_Exception_Application[[#This Row],[INSERT DATE]]+2</f>
        <v>45187.257071759261</v>
      </c>
      <c r="H1034" t="str">
        <f>VLOOKUP(qry_ProdData2_PDI_Cash_Exception_Application[[#This Row],[MARKET No]],'Site Allocation'!$B$2:$C$37,2,FALSE)</f>
        <v>Analyst6</v>
      </c>
      <c r="I1034" s="4">
        <f t="shared" ca="1" si="16"/>
        <v>45203</v>
      </c>
      <c r="J1034" s="42">
        <f ca="1">TODAY()-qry_ProdData2_PDI_Cash_Exception_Application[[#This Row],[INSERT DATE]]</f>
        <v>17.742928240739275</v>
      </c>
      <c r="K10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34">
        <f ca="1">qry_ProdData2_PDI_Cash_Exception_Application[[#This Row],[TODAY]]-qry_ProdData2_PDI_Cash_Exception_Application[[#This Row],[CHANGED ON]]</f>
        <v>15.742928240739275</v>
      </c>
      <c r="M1034">
        <f ca="1">qry_ProdData2_PDI_Cash_Exception_Application[[#This Row],[TODAY]]-qry_ProdData2_PDI_Cash_Exception_Application[[#This Row],[CHANGED ON]]</f>
        <v>15.742928240739275</v>
      </c>
      <c r="N1034">
        <f ca="1">qry_ProdData2_PDI_Cash_Exception_Application[[#This Row],[TODAY]]-qry_ProdData2_PDI_Cash_Exception_Application[[#This Row],[CHANGED ON]]</f>
        <v>15.742928240739275</v>
      </c>
    </row>
    <row r="1035" spans="1:14" x14ac:dyDescent="0.35">
      <c r="A1035">
        <v>1024</v>
      </c>
      <c r="B1035" t="s">
        <v>78</v>
      </c>
      <c r="C1035" s="1">
        <v>45187.257071759261</v>
      </c>
      <c r="D1035" t="str">
        <f ca="1">VLOOKUP(qry_ProdData2_PDI_Cash_Exception_Application[[#This Row],[TYPE]],#REF!,2,FALSE)</f>
        <v>type40</v>
      </c>
      <c r="E1035">
        <v>321.99</v>
      </c>
      <c r="F1035" t="s">
        <v>48</v>
      </c>
      <c r="G1035" s="1">
        <f>qry_ProdData2_PDI_Cash_Exception_Application[[#This Row],[INSERT DATE]]+2</f>
        <v>45189.257071759261</v>
      </c>
      <c r="H1035" t="str">
        <f>VLOOKUP(qry_ProdData2_PDI_Cash_Exception_Application[[#This Row],[MARKET No]],'Site Allocation'!$B$2:$C$37,2,FALSE)</f>
        <v>Analyst5</v>
      </c>
      <c r="I1035" s="4">
        <f t="shared" ca="1" si="16"/>
        <v>45203</v>
      </c>
      <c r="J1035" s="42">
        <f ca="1">TODAY()-qry_ProdData2_PDI_Cash_Exception_Application[[#This Row],[INSERT DATE]]</f>
        <v>15.742928240739275</v>
      </c>
      <c r="K10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35">
        <f ca="1">qry_ProdData2_PDI_Cash_Exception_Application[[#This Row],[TODAY]]-qry_ProdData2_PDI_Cash_Exception_Application[[#This Row],[CHANGED ON]]</f>
        <v>13.742928240739275</v>
      </c>
      <c r="M1035">
        <f ca="1">qry_ProdData2_PDI_Cash_Exception_Application[[#This Row],[TODAY]]-qry_ProdData2_PDI_Cash_Exception_Application[[#This Row],[CHANGED ON]]</f>
        <v>13.742928240739275</v>
      </c>
      <c r="N1035">
        <f ca="1">qry_ProdData2_PDI_Cash_Exception_Application[[#This Row],[TODAY]]-qry_ProdData2_PDI_Cash_Exception_Application[[#This Row],[CHANGED ON]]</f>
        <v>13.742928240739275</v>
      </c>
    </row>
    <row r="1036" spans="1:14" x14ac:dyDescent="0.35">
      <c r="A1036">
        <v>1013</v>
      </c>
      <c r="B1036" t="s">
        <v>67</v>
      </c>
      <c r="C1036" s="1">
        <v>45189.257071759261</v>
      </c>
      <c r="D1036" t="str">
        <f ca="1">VLOOKUP(qry_ProdData2_PDI_Cash_Exception_Application[[#This Row],[TYPE]],#REF!,2,FALSE)</f>
        <v>type40</v>
      </c>
      <c r="E1036">
        <v>-542.41</v>
      </c>
      <c r="F1036" t="s">
        <v>47</v>
      </c>
      <c r="G1036" s="1">
        <f>qry_ProdData2_PDI_Cash_Exception_Application[[#This Row],[INSERT DATE]]+7</f>
        <v>45196.257071759261</v>
      </c>
      <c r="H1036" t="str">
        <f>VLOOKUP(qry_ProdData2_PDI_Cash_Exception_Application[[#This Row],[MARKET No]],'Site Allocation'!$B$2:$C$37,2,FALSE)</f>
        <v>Analyst3</v>
      </c>
      <c r="I1036" s="4">
        <f t="shared" ca="1" si="16"/>
        <v>45203</v>
      </c>
      <c r="J1036" s="42">
        <f ca="1">TODAY()-qry_ProdData2_PDI_Cash_Exception_Application[[#This Row],[INSERT DATE]]</f>
        <v>13.742928240739275</v>
      </c>
      <c r="K10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36">
        <f ca="1">qry_ProdData2_PDI_Cash_Exception_Application[[#This Row],[TODAY]]-qry_ProdData2_PDI_Cash_Exception_Application[[#This Row],[CHANGED ON]]</f>
        <v>6.7429282407392748</v>
      </c>
      <c r="M1036">
        <f ca="1">qry_ProdData2_PDI_Cash_Exception_Application[[#This Row],[TODAY]]-qry_ProdData2_PDI_Cash_Exception_Application[[#This Row],[CHANGED ON]]</f>
        <v>6.7429282407392748</v>
      </c>
      <c r="N1036">
        <f ca="1">qry_ProdData2_PDI_Cash_Exception_Application[[#This Row],[TODAY]]-qry_ProdData2_PDI_Cash_Exception_Application[[#This Row],[CHANGED ON]]</f>
        <v>6.7429282407392748</v>
      </c>
    </row>
    <row r="1037" spans="1:14" x14ac:dyDescent="0.35">
      <c r="A1037">
        <v>1024</v>
      </c>
      <c r="B1037" t="s">
        <v>78</v>
      </c>
      <c r="C1037" s="1">
        <v>45192.257071759261</v>
      </c>
      <c r="D1037" t="str">
        <f ca="1">VLOOKUP(qry_ProdData2_PDI_Cash_Exception_Application[[#This Row],[TYPE]],#REF!,2,FALSE)</f>
        <v>type40</v>
      </c>
      <c r="E1037">
        <v>-567.58000000000004</v>
      </c>
      <c r="F1037" t="s">
        <v>51</v>
      </c>
      <c r="G1037" s="1">
        <f>qry_ProdData2_PDI_Cash_Exception_Application[[#This Row],[INSERT DATE]]+2</f>
        <v>45194.257071759261</v>
      </c>
      <c r="H1037" t="str">
        <f>VLOOKUP(qry_ProdData2_PDI_Cash_Exception_Application[[#This Row],[MARKET No]],'Site Allocation'!$B$2:$C$37,2,FALSE)</f>
        <v>Analyst5</v>
      </c>
      <c r="I1037" s="4">
        <f t="shared" ca="1" si="16"/>
        <v>45203</v>
      </c>
      <c r="J1037" s="42">
        <f ca="1">TODAY()-qry_ProdData2_PDI_Cash_Exception_Application[[#This Row],[INSERT DATE]]</f>
        <v>10.742928240739275</v>
      </c>
      <c r="K10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37">
        <f ca="1">qry_ProdData2_PDI_Cash_Exception_Application[[#This Row],[TODAY]]-qry_ProdData2_PDI_Cash_Exception_Application[[#This Row],[CHANGED ON]]</f>
        <v>8.7429282407392748</v>
      </c>
      <c r="M1037">
        <f ca="1">qry_ProdData2_PDI_Cash_Exception_Application[[#This Row],[TODAY]]-qry_ProdData2_PDI_Cash_Exception_Application[[#This Row],[CHANGED ON]]</f>
        <v>8.7429282407392748</v>
      </c>
      <c r="N1037">
        <f ca="1">qry_ProdData2_PDI_Cash_Exception_Application[[#This Row],[TODAY]]-qry_ProdData2_PDI_Cash_Exception_Application[[#This Row],[CHANGED ON]]</f>
        <v>8.7429282407392748</v>
      </c>
    </row>
    <row r="1038" spans="1:14" x14ac:dyDescent="0.35">
      <c r="A1038">
        <v>1013</v>
      </c>
      <c r="B1038" t="s">
        <v>67</v>
      </c>
      <c r="C1038" s="1">
        <v>45189.257071759261</v>
      </c>
      <c r="D1038" t="str">
        <f ca="1">VLOOKUP(qry_ProdData2_PDI_Cash_Exception_Application[[#This Row],[TYPE]],#REF!,2,FALSE)</f>
        <v>type40</v>
      </c>
      <c r="E1038">
        <v>1535.81</v>
      </c>
      <c r="F1038" t="s">
        <v>47</v>
      </c>
      <c r="G1038" s="1">
        <f>qry_ProdData2_PDI_Cash_Exception_Application[[#This Row],[INSERT DATE]]+7</f>
        <v>45196.257071759261</v>
      </c>
      <c r="H1038" t="str">
        <f>VLOOKUP(qry_ProdData2_PDI_Cash_Exception_Application[[#This Row],[MARKET No]],'Site Allocation'!$B$2:$C$37,2,FALSE)</f>
        <v>Analyst3</v>
      </c>
      <c r="I1038" s="4">
        <f t="shared" ca="1" si="16"/>
        <v>45203</v>
      </c>
      <c r="J1038" s="42">
        <f ca="1">TODAY()-qry_ProdData2_PDI_Cash_Exception_Application[[#This Row],[INSERT DATE]]</f>
        <v>13.742928240739275</v>
      </c>
      <c r="K10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38">
        <f ca="1">qry_ProdData2_PDI_Cash_Exception_Application[[#This Row],[TODAY]]-qry_ProdData2_PDI_Cash_Exception_Application[[#This Row],[CHANGED ON]]</f>
        <v>6.7429282407392748</v>
      </c>
      <c r="M1038">
        <f ca="1">qry_ProdData2_PDI_Cash_Exception_Application[[#This Row],[TODAY]]-qry_ProdData2_PDI_Cash_Exception_Application[[#This Row],[CHANGED ON]]</f>
        <v>6.7429282407392748</v>
      </c>
      <c r="N1038">
        <f ca="1">qry_ProdData2_PDI_Cash_Exception_Application[[#This Row],[TODAY]]-qry_ProdData2_PDI_Cash_Exception_Application[[#This Row],[CHANGED ON]]</f>
        <v>6.7429282407392748</v>
      </c>
    </row>
    <row r="1039" spans="1:14" x14ac:dyDescent="0.35">
      <c r="A1039">
        <v>1019</v>
      </c>
      <c r="B1039" t="s">
        <v>73</v>
      </c>
      <c r="C1039" s="1">
        <v>45190.257071759261</v>
      </c>
      <c r="D1039" t="str">
        <f ca="1">VLOOKUP(qry_ProdData2_PDI_Cash_Exception_Application[[#This Row],[TYPE]],#REF!,2,FALSE)</f>
        <v>type13</v>
      </c>
      <c r="E1039">
        <v>13107</v>
      </c>
      <c r="F1039" t="s">
        <v>49</v>
      </c>
      <c r="G1039" s="1">
        <f>qry_ProdData2_PDI_Cash_Exception_Application[[#This Row],[INSERT DATE]]+7</f>
        <v>45197.257071759261</v>
      </c>
      <c r="H1039" t="str">
        <f>VLOOKUP(qry_ProdData2_PDI_Cash_Exception_Application[[#This Row],[MARKET No]],'Site Allocation'!$B$2:$C$37,2,FALSE)</f>
        <v>Analyst4</v>
      </c>
      <c r="I1039" s="4">
        <f t="shared" ca="1" si="16"/>
        <v>45203</v>
      </c>
      <c r="J1039" s="42">
        <f ca="1">TODAY()-qry_ProdData2_PDI_Cash_Exception_Application[[#This Row],[INSERT DATE]]</f>
        <v>12.742928240739275</v>
      </c>
      <c r="K10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39">
        <f ca="1">qry_ProdData2_PDI_Cash_Exception_Application[[#This Row],[TODAY]]-qry_ProdData2_PDI_Cash_Exception_Application[[#This Row],[CHANGED ON]]</f>
        <v>5.7429282407392748</v>
      </c>
      <c r="M1039">
        <f ca="1">qry_ProdData2_PDI_Cash_Exception_Application[[#This Row],[TODAY]]-qry_ProdData2_PDI_Cash_Exception_Application[[#This Row],[CHANGED ON]]</f>
        <v>5.7429282407392748</v>
      </c>
      <c r="N1039">
        <f ca="1">qry_ProdData2_PDI_Cash_Exception_Application[[#This Row],[TODAY]]-qry_ProdData2_PDI_Cash_Exception_Application[[#This Row],[CHANGED ON]]</f>
        <v>5.7429282407392748</v>
      </c>
    </row>
    <row r="1040" spans="1:14" x14ac:dyDescent="0.35">
      <c r="A1040">
        <v>1031</v>
      </c>
      <c r="B1040" t="s">
        <v>85</v>
      </c>
      <c r="C1040" s="1">
        <v>45189.257071759261</v>
      </c>
      <c r="D1040" t="str">
        <f ca="1">VLOOKUP(qry_ProdData2_PDI_Cash_Exception_Application[[#This Row],[TYPE]],#REF!,2,FALSE)</f>
        <v>type7</v>
      </c>
      <c r="E1040">
        <v>-2284.96</v>
      </c>
      <c r="F1040" t="s">
        <v>48</v>
      </c>
      <c r="G1040" s="1">
        <f>qry_ProdData2_PDI_Cash_Exception_Application[[#This Row],[INSERT DATE]]+5</f>
        <v>45194.257071759261</v>
      </c>
      <c r="H1040" t="str">
        <f>VLOOKUP(qry_ProdData2_PDI_Cash_Exception_Application[[#This Row],[MARKET No]],'Site Allocation'!$B$2:$C$37,2,FALSE)</f>
        <v>Analyst6</v>
      </c>
      <c r="I1040" s="4">
        <f t="shared" ca="1" si="16"/>
        <v>45203</v>
      </c>
      <c r="J1040" s="42">
        <f ca="1">TODAY()-qry_ProdData2_PDI_Cash_Exception_Application[[#This Row],[INSERT DATE]]</f>
        <v>13.742928240739275</v>
      </c>
      <c r="K10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40">
        <f ca="1">qry_ProdData2_PDI_Cash_Exception_Application[[#This Row],[TODAY]]-qry_ProdData2_PDI_Cash_Exception_Application[[#This Row],[CHANGED ON]]</f>
        <v>8.7429282407392748</v>
      </c>
      <c r="M1040">
        <f ca="1">qry_ProdData2_PDI_Cash_Exception_Application[[#This Row],[TODAY]]-qry_ProdData2_PDI_Cash_Exception_Application[[#This Row],[CHANGED ON]]</f>
        <v>8.7429282407392748</v>
      </c>
      <c r="N1040">
        <f ca="1">qry_ProdData2_PDI_Cash_Exception_Application[[#This Row],[TODAY]]-qry_ProdData2_PDI_Cash_Exception_Application[[#This Row],[CHANGED ON]]</f>
        <v>8.7429282407392748</v>
      </c>
    </row>
    <row r="1041" spans="1:14" x14ac:dyDescent="0.35">
      <c r="A1041">
        <v>1035</v>
      </c>
      <c r="B1041" t="s">
        <v>89</v>
      </c>
      <c r="C1041" s="1">
        <v>45189.257071759261</v>
      </c>
      <c r="D1041" t="str">
        <f ca="1">VLOOKUP(qry_ProdData2_PDI_Cash_Exception_Application[[#This Row],[TYPE]],#REF!,2,FALSE)</f>
        <v>type13</v>
      </c>
      <c r="E1041">
        <v>25043.72</v>
      </c>
      <c r="F1041" t="s">
        <v>49</v>
      </c>
      <c r="G1041" s="1">
        <f>qry_ProdData2_PDI_Cash_Exception_Application[[#This Row],[INSERT DATE]]+1</f>
        <v>45190.257071759261</v>
      </c>
      <c r="H1041" t="str">
        <f>VLOOKUP(qry_ProdData2_PDI_Cash_Exception_Application[[#This Row],[MARKET No]],'Site Allocation'!$B$2:$C$37,2,FALSE)</f>
        <v>Analyst6</v>
      </c>
      <c r="I1041" s="4">
        <f t="shared" ca="1" si="16"/>
        <v>45203</v>
      </c>
      <c r="J1041" s="42">
        <f ca="1">TODAY()-qry_ProdData2_PDI_Cash_Exception_Application[[#This Row],[INSERT DATE]]</f>
        <v>13.742928240739275</v>
      </c>
      <c r="K10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41">
        <f ca="1">qry_ProdData2_PDI_Cash_Exception_Application[[#This Row],[TODAY]]-qry_ProdData2_PDI_Cash_Exception_Application[[#This Row],[CHANGED ON]]</f>
        <v>12.742928240739275</v>
      </c>
      <c r="M1041">
        <f ca="1">qry_ProdData2_PDI_Cash_Exception_Application[[#This Row],[TODAY]]-qry_ProdData2_PDI_Cash_Exception_Application[[#This Row],[CHANGED ON]]</f>
        <v>12.742928240739275</v>
      </c>
      <c r="N1041">
        <f ca="1">qry_ProdData2_PDI_Cash_Exception_Application[[#This Row],[TODAY]]-qry_ProdData2_PDI_Cash_Exception_Application[[#This Row],[CHANGED ON]]</f>
        <v>12.742928240739275</v>
      </c>
    </row>
    <row r="1042" spans="1:14" x14ac:dyDescent="0.35">
      <c r="A1042">
        <v>1019</v>
      </c>
      <c r="B1042" t="s">
        <v>73</v>
      </c>
      <c r="C1042" s="1">
        <v>45197.257071759261</v>
      </c>
      <c r="D1042" t="str">
        <f ca="1">VLOOKUP(qry_ProdData2_PDI_Cash_Exception_Application[[#This Row],[TYPE]],#REF!,2,FALSE)</f>
        <v>type40</v>
      </c>
      <c r="E1042">
        <v>4.7300000000000004</v>
      </c>
      <c r="F1042" t="s">
        <v>50</v>
      </c>
      <c r="G1042" s="1">
        <f>qry_ProdData2_PDI_Cash_Exception_Application[[#This Row],[INSERT DATE]]+2</f>
        <v>45199.257071759261</v>
      </c>
      <c r="H1042" t="str">
        <f>VLOOKUP(qry_ProdData2_PDI_Cash_Exception_Application[[#This Row],[MARKET No]],'Site Allocation'!$B$2:$C$37,2,FALSE)</f>
        <v>Analyst4</v>
      </c>
      <c r="I1042" s="4">
        <f t="shared" ca="1" si="16"/>
        <v>45203</v>
      </c>
      <c r="J1042" s="42">
        <f ca="1">TODAY()-qry_ProdData2_PDI_Cash_Exception_Application[[#This Row],[INSERT DATE]]</f>
        <v>5.7429282407392748</v>
      </c>
      <c r="K10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042">
        <f ca="1">qry_ProdData2_PDI_Cash_Exception_Application[[#This Row],[TODAY]]-qry_ProdData2_PDI_Cash_Exception_Application[[#This Row],[CHANGED ON]]</f>
        <v>3.7429282407392748</v>
      </c>
      <c r="M1042">
        <f ca="1">qry_ProdData2_PDI_Cash_Exception_Application[[#This Row],[TODAY]]-qry_ProdData2_PDI_Cash_Exception_Application[[#This Row],[CHANGED ON]]</f>
        <v>3.7429282407392748</v>
      </c>
      <c r="N1042">
        <f ca="1">qry_ProdData2_PDI_Cash_Exception_Application[[#This Row],[TODAY]]-qry_ProdData2_PDI_Cash_Exception_Application[[#This Row],[CHANGED ON]]</f>
        <v>3.7429282407392748</v>
      </c>
    </row>
    <row r="1043" spans="1:14" x14ac:dyDescent="0.35">
      <c r="A1043">
        <v>1014</v>
      </c>
      <c r="B1043" t="s">
        <v>68</v>
      </c>
      <c r="C1043" s="1">
        <v>45190.257071759261</v>
      </c>
      <c r="D1043" t="str">
        <f ca="1">VLOOKUP(qry_ProdData2_PDI_Cash_Exception_Application[[#This Row],[TYPE]],#REF!,2,FALSE)</f>
        <v>type40</v>
      </c>
      <c r="E1043">
        <v>-1203.5999999999999</v>
      </c>
      <c r="F1043" t="s">
        <v>48</v>
      </c>
      <c r="G1043" s="1">
        <f>qry_ProdData2_PDI_Cash_Exception_Application[[#This Row],[INSERT DATE]]+7</f>
        <v>45197.257071759261</v>
      </c>
      <c r="H1043" t="str">
        <f>VLOOKUP(qry_ProdData2_PDI_Cash_Exception_Application[[#This Row],[MARKET No]],'Site Allocation'!$B$2:$C$37,2,FALSE)</f>
        <v>Analyst3</v>
      </c>
      <c r="I1043" s="4">
        <f t="shared" ca="1" si="16"/>
        <v>45203</v>
      </c>
      <c r="J1043" s="42">
        <f ca="1">TODAY()-qry_ProdData2_PDI_Cash_Exception_Application[[#This Row],[INSERT DATE]]</f>
        <v>12.742928240739275</v>
      </c>
      <c r="K10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43">
        <f ca="1">qry_ProdData2_PDI_Cash_Exception_Application[[#This Row],[TODAY]]-qry_ProdData2_PDI_Cash_Exception_Application[[#This Row],[CHANGED ON]]</f>
        <v>5.7429282407392748</v>
      </c>
      <c r="M1043">
        <f ca="1">qry_ProdData2_PDI_Cash_Exception_Application[[#This Row],[TODAY]]-qry_ProdData2_PDI_Cash_Exception_Application[[#This Row],[CHANGED ON]]</f>
        <v>5.7429282407392748</v>
      </c>
      <c r="N1043">
        <f ca="1">qry_ProdData2_PDI_Cash_Exception_Application[[#This Row],[TODAY]]-qry_ProdData2_PDI_Cash_Exception_Application[[#This Row],[CHANGED ON]]</f>
        <v>5.7429282407392748</v>
      </c>
    </row>
    <row r="1044" spans="1:14" x14ac:dyDescent="0.35">
      <c r="A1044">
        <v>1000</v>
      </c>
      <c r="B1044" t="s">
        <v>54</v>
      </c>
      <c r="C1044" s="1">
        <v>45190.257071759261</v>
      </c>
      <c r="D1044" t="str">
        <f ca="1">VLOOKUP(qry_ProdData2_PDI_Cash_Exception_Application[[#This Row],[TYPE]],#REF!,2,FALSE)</f>
        <v>type16</v>
      </c>
      <c r="E1044">
        <v>4094</v>
      </c>
      <c r="F1044" t="s">
        <v>49</v>
      </c>
      <c r="G1044" s="1">
        <f>qry_ProdData2_PDI_Cash_Exception_Application[[#This Row],[INSERT DATE]]+1</f>
        <v>45191.257071759261</v>
      </c>
      <c r="H1044" t="str">
        <f>VLOOKUP(qry_ProdData2_PDI_Cash_Exception_Application[[#This Row],[MARKET No]],'Site Allocation'!$B$2:$C$37,2,FALSE)</f>
        <v>Analyst1</v>
      </c>
      <c r="I1044" s="4">
        <f t="shared" ca="1" si="16"/>
        <v>45203</v>
      </c>
      <c r="J1044" s="42">
        <f ca="1">TODAY()-qry_ProdData2_PDI_Cash_Exception_Application[[#This Row],[INSERT DATE]]</f>
        <v>12.742928240739275</v>
      </c>
      <c r="K10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44">
        <f ca="1">qry_ProdData2_PDI_Cash_Exception_Application[[#This Row],[TODAY]]-qry_ProdData2_PDI_Cash_Exception_Application[[#This Row],[CHANGED ON]]</f>
        <v>11.742928240739275</v>
      </c>
      <c r="M1044">
        <f ca="1">qry_ProdData2_PDI_Cash_Exception_Application[[#This Row],[TODAY]]-qry_ProdData2_PDI_Cash_Exception_Application[[#This Row],[CHANGED ON]]</f>
        <v>11.742928240739275</v>
      </c>
      <c r="N1044">
        <f ca="1">qry_ProdData2_PDI_Cash_Exception_Application[[#This Row],[TODAY]]-qry_ProdData2_PDI_Cash_Exception_Application[[#This Row],[CHANGED ON]]</f>
        <v>11.742928240739275</v>
      </c>
    </row>
    <row r="1045" spans="1:14" x14ac:dyDescent="0.35">
      <c r="A1045">
        <v>1035</v>
      </c>
      <c r="B1045" t="s">
        <v>89</v>
      </c>
      <c r="C1045" s="1">
        <v>45191.257071759261</v>
      </c>
      <c r="D1045" t="str">
        <f ca="1">VLOOKUP(qry_ProdData2_PDI_Cash_Exception_Application[[#This Row],[TYPE]],#REF!,2,FALSE)</f>
        <v>type13</v>
      </c>
      <c r="E1045">
        <v>34808.980000000003</v>
      </c>
      <c r="F1045" t="s">
        <v>49</v>
      </c>
      <c r="G1045" s="1">
        <f>qry_ProdData2_PDI_Cash_Exception_Application[[#This Row],[INSERT DATE]]+1</f>
        <v>45192.257071759261</v>
      </c>
      <c r="H1045" t="str">
        <f>VLOOKUP(qry_ProdData2_PDI_Cash_Exception_Application[[#This Row],[MARKET No]],'Site Allocation'!$B$2:$C$37,2,FALSE)</f>
        <v>Analyst6</v>
      </c>
      <c r="I1045" s="4">
        <f t="shared" ca="1" si="16"/>
        <v>45203</v>
      </c>
      <c r="J1045" s="42">
        <f ca="1">TODAY()-qry_ProdData2_PDI_Cash_Exception_Application[[#This Row],[INSERT DATE]]</f>
        <v>11.742928240739275</v>
      </c>
      <c r="K10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45">
        <f ca="1">qry_ProdData2_PDI_Cash_Exception_Application[[#This Row],[TODAY]]-qry_ProdData2_PDI_Cash_Exception_Application[[#This Row],[CHANGED ON]]</f>
        <v>10.742928240739275</v>
      </c>
      <c r="M1045">
        <f ca="1">qry_ProdData2_PDI_Cash_Exception_Application[[#This Row],[TODAY]]-qry_ProdData2_PDI_Cash_Exception_Application[[#This Row],[CHANGED ON]]</f>
        <v>10.742928240739275</v>
      </c>
      <c r="N1045">
        <f ca="1">qry_ProdData2_PDI_Cash_Exception_Application[[#This Row],[TODAY]]-qry_ProdData2_PDI_Cash_Exception_Application[[#This Row],[CHANGED ON]]</f>
        <v>10.742928240739275</v>
      </c>
    </row>
    <row r="1046" spans="1:14" x14ac:dyDescent="0.35">
      <c r="A1046">
        <v>1004</v>
      </c>
      <c r="B1046" t="s">
        <v>58</v>
      </c>
      <c r="C1046" s="1">
        <v>45182.257071759261</v>
      </c>
      <c r="D1046" t="str">
        <f ca="1">VLOOKUP(qry_ProdData2_PDI_Cash_Exception_Application[[#This Row],[TYPE]],#REF!,2,FALSE)</f>
        <v>type40</v>
      </c>
      <c r="E1046">
        <v>-366.11</v>
      </c>
      <c r="F1046" t="s">
        <v>50</v>
      </c>
      <c r="G1046" s="1">
        <f>qry_ProdData2_PDI_Cash_Exception_Application[[#This Row],[INSERT DATE]]+2</f>
        <v>45184.257071759261</v>
      </c>
      <c r="H1046" t="str">
        <f>VLOOKUP(qry_ProdData2_PDI_Cash_Exception_Application[[#This Row],[MARKET No]],'Site Allocation'!$B$2:$C$37,2,FALSE)</f>
        <v>Analyst1</v>
      </c>
      <c r="I1046" s="4">
        <f t="shared" ca="1" si="16"/>
        <v>45203</v>
      </c>
      <c r="J1046" s="42">
        <f ca="1">TODAY()-qry_ProdData2_PDI_Cash_Exception_Application[[#This Row],[INSERT DATE]]</f>
        <v>20.742928240739275</v>
      </c>
      <c r="K10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46">
        <f ca="1">qry_ProdData2_PDI_Cash_Exception_Application[[#This Row],[TODAY]]-qry_ProdData2_PDI_Cash_Exception_Application[[#This Row],[CHANGED ON]]</f>
        <v>18.742928240739275</v>
      </c>
      <c r="M1046">
        <f ca="1">qry_ProdData2_PDI_Cash_Exception_Application[[#This Row],[TODAY]]-qry_ProdData2_PDI_Cash_Exception_Application[[#This Row],[CHANGED ON]]</f>
        <v>18.742928240739275</v>
      </c>
      <c r="N1046">
        <f ca="1">qry_ProdData2_PDI_Cash_Exception_Application[[#This Row],[TODAY]]-qry_ProdData2_PDI_Cash_Exception_Application[[#This Row],[CHANGED ON]]</f>
        <v>18.742928240739275</v>
      </c>
    </row>
    <row r="1047" spans="1:14" x14ac:dyDescent="0.35">
      <c r="A1047">
        <v>1018</v>
      </c>
      <c r="B1047" t="s">
        <v>72</v>
      </c>
      <c r="C1047" s="1">
        <v>45190.257071759261</v>
      </c>
      <c r="D1047" t="str">
        <f ca="1">VLOOKUP(qry_ProdData2_PDI_Cash_Exception_Application[[#This Row],[TYPE]],#REF!,2,FALSE)</f>
        <v>type40</v>
      </c>
      <c r="E1047">
        <v>-533.95000000000005</v>
      </c>
      <c r="F1047" t="s">
        <v>47</v>
      </c>
      <c r="G1047" s="1">
        <f>qry_ProdData2_PDI_Cash_Exception_Application[[#This Row],[INSERT DATE]]+7</f>
        <v>45197.257071759261</v>
      </c>
      <c r="H1047" t="str">
        <f>VLOOKUP(qry_ProdData2_PDI_Cash_Exception_Application[[#This Row],[MARKET No]],'Site Allocation'!$B$2:$C$37,2,FALSE)</f>
        <v>Analyst4</v>
      </c>
      <c r="I1047" s="4">
        <f t="shared" ca="1" si="16"/>
        <v>45203</v>
      </c>
      <c r="J1047" s="42">
        <f ca="1">TODAY()-qry_ProdData2_PDI_Cash_Exception_Application[[#This Row],[INSERT DATE]]</f>
        <v>12.742928240739275</v>
      </c>
      <c r="K10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47">
        <f ca="1">qry_ProdData2_PDI_Cash_Exception_Application[[#This Row],[TODAY]]-qry_ProdData2_PDI_Cash_Exception_Application[[#This Row],[CHANGED ON]]</f>
        <v>5.7429282407392748</v>
      </c>
      <c r="M1047">
        <f ca="1">qry_ProdData2_PDI_Cash_Exception_Application[[#This Row],[TODAY]]-qry_ProdData2_PDI_Cash_Exception_Application[[#This Row],[CHANGED ON]]</f>
        <v>5.7429282407392748</v>
      </c>
      <c r="N1047">
        <f ca="1">qry_ProdData2_PDI_Cash_Exception_Application[[#This Row],[TODAY]]-qry_ProdData2_PDI_Cash_Exception_Application[[#This Row],[CHANGED ON]]</f>
        <v>5.7429282407392748</v>
      </c>
    </row>
    <row r="1048" spans="1:14" x14ac:dyDescent="0.35">
      <c r="A1048">
        <v>1020</v>
      </c>
      <c r="B1048" t="s">
        <v>74</v>
      </c>
      <c r="C1048" s="1">
        <v>45192.257071759261</v>
      </c>
      <c r="D1048" t="str">
        <f ca="1">VLOOKUP(qry_ProdData2_PDI_Cash_Exception_Application[[#This Row],[TYPE]],#REF!,2,FALSE)</f>
        <v>type40</v>
      </c>
      <c r="E1048">
        <v>1091.03</v>
      </c>
      <c r="F1048" t="s">
        <v>47</v>
      </c>
      <c r="G1048" s="1">
        <f>qry_ProdData2_PDI_Cash_Exception_Application[[#This Row],[INSERT DATE]]+7</f>
        <v>45199.257071759261</v>
      </c>
      <c r="H1048" t="str">
        <f>VLOOKUP(qry_ProdData2_PDI_Cash_Exception_Application[[#This Row],[MARKET No]],'Site Allocation'!$B$2:$C$37,2,FALSE)</f>
        <v>Analyst4</v>
      </c>
      <c r="I1048" s="4">
        <f t="shared" ca="1" si="16"/>
        <v>45203</v>
      </c>
      <c r="J1048" s="42">
        <f ca="1">TODAY()-qry_ProdData2_PDI_Cash_Exception_Application[[#This Row],[INSERT DATE]]</f>
        <v>10.742928240739275</v>
      </c>
      <c r="K10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48">
        <f ca="1">qry_ProdData2_PDI_Cash_Exception_Application[[#This Row],[TODAY]]-qry_ProdData2_PDI_Cash_Exception_Application[[#This Row],[CHANGED ON]]</f>
        <v>3.7429282407392748</v>
      </c>
      <c r="M1048">
        <f ca="1">qry_ProdData2_PDI_Cash_Exception_Application[[#This Row],[TODAY]]-qry_ProdData2_PDI_Cash_Exception_Application[[#This Row],[CHANGED ON]]</f>
        <v>3.7429282407392748</v>
      </c>
      <c r="N1048">
        <f ca="1">qry_ProdData2_PDI_Cash_Exception_Application[[#This Row],[TODAY]]-qry_ProdData2_PDI_Cash_Exception_Application[[#This Row],[CHANGED ON]]</f>
        <v>3.7429282407392748</v>
      </c>
    </row>
    <row r="1049" spans="1:14" x14ac:dyDescent="0.35">
      <c r="A1049">
        <v>1022</v>
      </c>
      <c r="B1049" t="s">
        <v>76</v>
      </c>
      <c r="C1049" s="1">
        <v>45183.257071759261</v>
      </c>
      <c r="D1049" t="str">
        <f ca="1">VLOOKUP(qry_ProdData2_PDI_Cash_Exception_Application[[#This Row],[TYPE]],#REF!,2,FALSE)</f>
        <v>type10</v>
      </c>
      <c r="E1049">
        <v>25</v>
      </c>
      <c r="F1049" t="s">
        <v>52</v>
      </c>
      <c r="G1049" s="1">
        <f>qry_ProdData2_PDI_Cash_Exception_Application[[#This Row],[INSERT DATE]]+2</f>
        <v>45185.257071759261</v>
      </c>
      <c r="H1049" t="str">
        <f>VLOOKUP(qry_ProdData2_PDI_Cash_Exception_Application[[#This Row],[MARKET No]],'Site Allocation'!$B$2:$C$37,2,FALSE)</f>
        <v>Analyst4</v>
      </c>
      <c r="I1049" s="4">
        <f t="shared" ca="1" si="16"/>
        <v>45203</v>
      </c>
      <c r="J1049" s="42">
        <f ca="1">TODAY()-qry_ProdData2_PDI_Cash_Exception_Application[[#This Row],[INSERT DATE]]</f>
        <v>19.742928240739275</v>
      </c>
      <c r="K10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49">
        <f ca="1">qry_ProdData2_PDI_Cash_Exception_Application[[#This Row],[TODAY]]-qry_ProdData2_PDI_Cash_Exception_Application[[#This Row],[CHANGED ON]]</f>
        <v>17.742928240739275</v>
      </c>
      <c r="M1049">
        <f ca="1">qry_ProdData2_PDI_Cash_Exception_Application[[#This Row],[TODAY]]-qry_ProdData2_PDI_Cash_Exception_Application[[#This Row],[CHANGED ON]]</f>
        <v>17.742928240739275</v>
      </c>
      <c r="N1049">
        <f ca="1">qry_ProdData2_PDI_Cash_Exception_Application[[#This Row],[TODAY]]-qry_ProdData2_PDI_Cash_Exception_Application[[#This Row],[CHANGED ON]]</f>
        <v>17.742928240739275</v>
      </c>
    </row>
    <row r="1050" spans="1:14" x14ac:dyDescent="0.35">
      <c r="A1050">
        <v>1025</v>
      </c>
      <c r="B1050" t="s">
        <v>79</v>
      </c>
      <c r="C1050" s="1">
        <v>45186.257071759261</v>
      </c>
      <c r="D1050" t="str">
        <f ca="1">VLOOKUP(qry_ProdData2_PDI_Cash_Exception_Application[[#This Row],[TYPE]],#REF!,2,FALSE)</f>
        <v>type40</v>
      </c>
      <c r="E1050">
        <v>-1161.02</v>
      </c>
      <c r="F1050" t="s">
        <v>48</v>
      </c>
      <c r="G1050" s="1">
        <f>qry_ProdData2_PDI_Cash_Exception_Application[[#This Row],[INSERT DATE]]+7</f>
        <v>45193.257071759261</v>
      </c>
      <c r="H1050" t="str">
        <f>VLOOKUP(qry_ProdData2_PDI_Cash_Exception_Application[[#This Row],[MARKET No]],'Site Allocation'!$B$2:$C$37,2,FALSE)</f>
        <v>Analyst5</v>
      </c>
      <c r="I1050" s="4">
        <f t="shared" ca="1" si="16"/>
        <v>45203</v>
      </c>
      <c r="J1050" s="42">
        <f ca="1">TODAY()-qry_ProdData2_PDI_Cash_Exception_Application[[#This Row],[INSERT DATE]]</f>
        <v>16.742928240739275</v>
      </c>
      <c r="K10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50">
        <f ca="1">qry_ProdData2_PDI_Cash_Exception_Application[[#This Row],[TODAY]]-qry_ProdData2_PDI_Cash_Exception_Application[[#This Row],[CHANGED ON]]</f>
        <v>9.7429282407392748</v>
      </c>
      <c r="M1050">
        <f ca="1">qry_ProdData2_PDI_Cash_Exception_Application[[#This Row],[TODAY]]-qry_ProdData2_PDI_Cash_Exception_Application[[#This Row],[CHANGED ON]]</f>
        <v>9.7429282407392748</v>
      </c>
      <c r="N1050">
        <f ca="1">qry_ProdData2_PDI_Cash_Exception_Application[[#This Row],[TODAY]]-qry_ProdData2_PDI_Cash_Exception_Application[[#This Row],[CHANGED ON]]</f>
        <v>9.7429282407392748</v>
      </c>
    </row>
    <row r="1051" spans="1:14" x14ac:dyDescent="0.35">
      <c r="A1051">
        <v>1002</v>
      </c>
      <c r="B1051" t="s">
        <v>56</v>
      </c>
      <c r="C1051" s="1">
        <v>45187.257071759261</v>
      </c>
      <c r="D1051" t="str">
        <f ca="1">VLOOKUP(qry_ProdData2_PDI_Cash_Exception_Application[[#This Row],[TYPE]],#REF!,2,FALSE)</f>
        <v>type40</v>
      </c>
      <c r="E1051">
        <v>364.29</v>
      </c>
      <c r="F1051" t="s">
        <v>47</v>
      </c>
      <c r="G1051" s="1">
        <f>qry_ProdData2_PDI_Cash_Exception_Application[[#This Row],[INSERT DATE]]+2</f>
        <v>45189.257071759261</v>
      </c>
      <c r="H1051" t="str">
        <f>VLOOKUP(qry_ProdData2_PDI_Cash_Exception_Application[[#This Row],[MARKET No]],'Site Allocation'!$B$2:$C$37,2,FALSE)</f>
        <v>Analyst1</v>
      </c>
      <c r="I1051" s="4">
        <f t="shared" ca="1" si="16"/>
        <v>45203</v>
      </c>
      <c r="J1051" s="42">
        <f ca="1">TODAY()-qry_ProdData2_PDI_Cash_Exception_Application[[#This Row],[INSERT DATE]]</f>
        <v>15.742928240739275</v>
      </c>
      <c r="K10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51">
        <f ca="1">qry_ProdData2_PDI_Cash_Exception_Application[[#This Row],[TODAY]]-qry_ProdData2_PDI_Cash_Exception_Application[[#This Row],[CHANGED ON]]</f>
        <v>13.742928240739275</v>
      </c>
      <c r="M1051">
        <f ca="1">qry_ProdData2_PDI_Cash_Exception_Application[[#This Row],[TODAY]]-qry_ProdData2_PDI_Cash_Exception_Application[[#This Row],[CHANGED ON]]</f>
        <v>13.742928240739275</v>
      </c>
      <c r="N1051">
        <f ca="1">qry_ProdData2_PDI_Cash_Exception_Application[[#This Row],[TODAY]]-qry_ProdData2_PDI_Cash_Exception_Application[[#This Row],[CHANGED ON]]</f>
        <v>13.742928240739275</v>
      </c>
    </row>
    <row r="1052" spans="1:14" x14ac:dyDescent="0.35">
      <c r="A1052">
        <v>1001</v>
      </c>
      <c r="B1052" t="s">
        <v>55</v>
      </c>
      <c r="C1052" s="1">
        <v>45186.257071759261</v>
      </c>
      <c r="D1052" t="str">
        <f ca="1">VLOOKUP(qry_ProdData2_PDI_Cash_Exception_Application[[#This Row],[TYPE]],#REF!,2,FALSE)</f>
        <v>type40</v>
      </c>
      <c r="E1052">
        <v>-1116.94</v>
      </c>
      <c r="F1052" t="s">
        <v>51</v>
      </c>
      <c r="G1052" s="1">
        <f>qry_ProdData2_PDI_Cash_Exception_Application[[#This Row],[INSERT DATE]]+2</f>
        <v>45188.257071759261</v>
      </c>
      <c r="H1052" t="str">
        <f>VLOOKUP(qry_ProdData2_PDI_Cash_Exception_Application[[#This Row],[MARKET No]],'Site Allocation'!$B$2:$C$37,2,FALSE)</f>
        <v>Analyst1</v>
      </c>
      <c r="I1052" s="4">
        <f t="shared" ca="1" si="16"/>
        <v>45203</v>
      </c>
      <c r="J1052" s="42">
        <f ca="1">TODAY()-qry_ProdData2_PDI_Cash_Exception_Application[[#This Row],[INSERT DATE]]</f>
        <v>16.742928240739275</v>
      </c>
      <c r="K10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52">
        <f ca="1">qry_ProdData2_PDI_Cash_Exception_Application[[#This Row],[TODAY]]-qry_ProdData2_PDI_Cash_Exception_Application[[#This Row],[CHANGED ON]]</f>
        <v>14.742928240739275</v>
      </c>
      <c r="M1052">
        <f ca="1">qry_ProdData2_PDI_Cash_Exception_Application[[#This Row],[TODAY]]-qry_ProdData2_PDI_Cash_Exception_Application[[#This Row],[CHANGED ON]]</f>
        <v>14.742928240739275</v>
      </c>
      <c r="N1052">
        <f ca="1">qry_ProdData2_PDI_Cash_Exception_Application[[#This Row],[TODAY]]-qry_ProdData2_PDI_Cash_Exception_Application[[#This Row],[CHANGED ON]]</f>
        <v>14.742928240739275</v>
      </c>
    </row>
    <row r="1053" spans="1:14" x14ac:dyDescent="0.35">
      <c r="A1053">
        <v>1011</v>
      </c>
      <c r="B1053" t="s">
        <v>65</v>
      </c>
      <c r="C1053" s="1">
        <v>45187.257071759261</v>
      </c>
      <c r="D1053" t="str">
        <f ca="1">VLOOKUP(qry_ProdData2_PDI_Cash_Exception_Application[[#This Row],[TYPE]],#REF!,2,FALSE)</f>
        <v>type40</v>
      </c>
      <c r="E1053">
        <v>-1000.11</v>
      </c>
      <c r="F1053" t="s">
        <v>47</v>
      </c>
      <c r="G1053" s="1">
        <f>qry_ProdData2_PDI_Cash_Exception_Application[[#This Row],[INSERT DATE]]+2</f>
        <v>45189.257071759261</v>
      </c>
      <c r="H1053" t="str">
        <f>VLOOKUP(qry_ProdData2_PDI_Cash_Exception_Application[[#This Row],[MARKET No]],'Site Allocation'!$B$2:$C$37,2,FALSE)</f>
        <v>Analyst2</v>
      </c>
      <c r="I1053" s="4">
        <f t="shared" ca="1" si="16"/>
        <v>45203</v>
      </c>
      <c r="J1053" s="42">
        <f ca="1">TODAY()-qry_ProdData2_PDI_Cash_Exception_Application[[#This Row],[INSERT DATE]]</f>
        <v>15.742928240739275</v>
      </c>
      <c r="K10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53">
        <f ca="1">qry_ProdData2_PDI_Cash_Exception_Application[[#This Row],[TODAY]]-qry_ProdData2_PDI_Cash_Exception_Application[[#This Row],[CHANGED ON]]</f>
        <v>13.742928240739275</v>
      </c>
      <c r="M1053">
        <f ca="1">qry_ProdData2_PDI_Cash_Exception_Application[[#This Row],[TODAY]]-qry_ProdData2_PDI_Cash_Exception_Application[[#This Row],[CHANGED ON]]</f>
        <v>13.742928240739275</v>
      </c>
      <c r="N1053">
        <f ca="1">qry_ProdData2_PDI_Cash_Exception_Application[[#This Row],[TODAY]]-qry_ProdData2_PDI_Cash_Exception_Application[[#This Row],[CHANGED ON]]</f>
        <v>13.742928240739275</v>
      </c>
    </row>
    <row r="1054" spans="1:14" x14ac:dyDescent="0.35">
      <c r="A1054">
        <v>1028</v>
      </c>
      <c r="B1054" t="s">
        <v>82</v>
      </c>
      <c r="C1054" s="1">
        <v>45187.257071759261</v>
      </c>
      <c r="D1054" t="str">
        <f ca="1">VLOOKUP(qry_ProdData2_PDI_Cash_Exception_Application[[#This Row],[TYPE]],#REF!,2,FALSE)</f>
        <v>type40</v>
      </c>
      <c r="E1054">
        <v>537.13</v>
      </c>
      <c r="F1054" t="s">
        <v>51</v>
      </c>
      <c r="G1054" s="1">
        <f>qry_ProdData2_PDI_Cash_Exception_Application[[#This Row],[INSERT DATE]]+2</f>
        <v>45189.257071759261</v>
      </c>
      <c r="H1054" t="str">
        <f>VLOOKUP(qry_ProdData2_PDI_Cash_Exception_Application[[#This Row],[MARKET No]],'Site Allocation'!$B$2:$C$37,2,FALSE)</f>
        <v>Analyst5</v>
      </c>
      <c r="I1054" s="4">
        <f t="shared" ca="1" si="16"/>
        <v>45203</v>
      </c>
      <c r="J1054" s="42">
        <f ca="1">TODAY()-qry_ProdData2_PDI_Cash_Exception_Application[[#This Row],[INSERT DATE]]</f>
        <v>15.742928240739275</v>
      </c>
      <c r="K10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54">
        <f ca="1">qry_ProdData2_PDI_Cash_Exception_Application[[#This Row],[TODAY]]-qry_ProdData2_PDI_Cash_Exception_Application[[#This Row],[CHANGED ON]]</f>
        <v>13.742928240739275</v>
      </c>
      <c r="M1054">
        <f ca="1">qry_ProdData2_PDI_Cash_Exception_Application[[#This Row],[TODAY]]-qry_ProdData2_PDI_Cash_Exception_Application[[#This Row],[CHANGED ON]]</f>
        <v>13.742928240739275</v>
      </c>
      <c r="N1054">
        <f ca="1">qry_ProdData2_PDI_Cash_Exception_Application[[#This Row],[TODAY]]-qry_ProdData2_PDI_Cash_Exception_Application[[#This Row],[CHANGED ON]]</f>
        <v>13.742928240739275</v>
      </c>
    </row>
    <row r="1055" spans="1:14" x14ac:dyDescent="0.35">
      <c r="A1055">
        <v>1007</v>
      </c>
      <c r="B1055" t="s">
        <v>61</v>
      </c>
      <c r="C1055" s="1">
        <v>45185.257071759261</v>
      </c>
      <c r="D1055" t="str">
        <f ca="1">VLOOKUP(qry_ProdData2_PDI_Cash_Exception_Application[[#This Row],[TYPE]],#REF!,2,FALSE)</f>
        <v>type40</v>
      </c>
      <c r="E1055">
        <v>305.04000000000002</v>
      </c>
      <c r="F1055" t="s">
        <v>48</v>
      </c>
      <c r="G1055" s="1">
        <f>qry_ProdData2_PDI_Cash_Exception_Application[[#This Row],[INSERT DATE]]+2</f>
        <v>45187.257071759261</v>
      </c>
      <c r="H1055" t="str">
        <f>VLOOKUP(qry_ProdData2_PDI_Cash_Exception_Application[[#This Row],[MARKET No]],'Site Allocation'!$B$2:$C$37,2,FALSE)</f>
        <v>Analyst2</v>
      </c>
      <c r="I1055" s="4">
        <f t="shared" ca="1" si="16"/>
        <v>45203</v>
      </c>
      <c r="J1055" s="42">
        <f ca="1">TODAY()-qry_ProdData2_PDI_Cash_Exception_Application[[#This Row],[INSERT DATE]]</f>
        <v>17.742928240739275</v>
      </c>
      <c r="K10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55">
        <f ca="1">qry_ProdData2_PDI_Cash_Exception_Application[[#This Row],[TODAY]]-qry_ProdData2_PDI_Cash_Exception_Application[[#This Row],[CHANGED ON]]</f>
        <v>15.742928240739275</v>
      </c>
      <c r="M1055">
        <f ca="1">qry_ProdData2_PDI_Cash_Exception_Application[[#This Row],[TODAY]]-qry_ProdData2_PDI_Cash_Exception_Application[[#This Row],[CHANGED ON]]</f>
        <v>15.742928240739275</v>
      </c>
      <c r="N1055">
        <f ca="1">qry_ProdData2_PDI_Cash_Exception_Application[[#This Row],[TODAY]]-qry_ProdData2_PDI_Cash_Exception_Application[[#This Row],[CHANGED ON]]</f>
        <v>15.742928240739275</v>
      </c>
    </row>
    <row r="1056" spans="1:14" x14ac:dyDescent="0.35">
      <c r="A1056">
        <v>1025</v>
      </c>
      <c r="B1056" t="s">
        <v>79</v>
      </c>
      <c r="C1056" s="1">
        <v>45187.257071759261</v>
      </c>
      <c r="D1056" t="str">
        <f ca="1">VLOOKUP(qry_ProdData2_PDI_Cash_Exception_Application[[#This Row],[TYPE]],#REF!,2,FALSE)</f>
        <v>type40</v>
      </c>
      <c r="E1056">
        <v>-958.69</v>
      </c>
      <c r="F1056" t="s">
        <v>52</v>
      </c>
      <c r="G1056" s="1">
        <f>qry_ProdData2_PDI_Cash_Exception_Application[[#This Row],[INSERT DATE]]+2</f>
        <v>45189.257071759261</v>
      </c>
      <c r="H1056" t="str">
        <f>VLOOKUP(qry_ProdData2_PDI_Cash_Exception_Application[[#This Row],[MARKET No]],'Site Allocation'!$B$2:$C$37,2,FALSE)</f>
        <v>Analyst5</v>
      </c>
      <c r="I1056" s="4">
        <f t="shared" ca="1" si="16"/>
        <v>45203</v>
      </c>
      <c r="J1056" s="42">
        <f ca="1">TODAY()-qry_ProdData2_PDI_Cash_Exception_Application[[#This Row],[INSERT DATE]]</f>
        <v>15.742928240739275</v>
      </c>
      <c r="K10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56">
        <f ca="1">qry_ProdData2_PDI_Cash_Exception_Application[[#This Row],[TODAY]]-qry_ProdData2_PDI_Cash_Exception_Application[[#This Row],[CHANGED ON]]</f>
        <v>13.742928240739275</v>
      </c>
      <c r="M1056">
        <f ca="1">qry_ProdData2_PDI_Cash_Exception_Application[[#This Row],[TODAY]]-qry_ProdData2_PDI_Cash_Exception_Application[[#This Row],[CHANGED ON]]</f>
        <v>13.742928240739275</v>
      </c>
      <c r="N1056">
        <f ca="1">qry_ProdData2_PDI_Cash_Exception_Application[[#This Row],[TODAY]]-qry_ProdData2_PDI_Cash_Exception_Application[[#This Row],[CHANGED ON]]</f>
        <v>13.742928240739275</v>
      </c>
    </row>
    <row r="1057" spans="1:14" x14ac:dyDescent="0.35">
      <c r="A1057">
        <v>1008</v>
      </c>
      <c r="B1057" t="s">
        <v>62</v>
      </c>
      <c r="C1057" s="1">
        <v>45188.257071759261</v>
      </c>
      <c r="D1057" t="str">
        <f ca="1">VLOOKUP(qry_ProdData2_PDI_Cash_Exception_Application[[#This Row],[TYPE]],#REF!,2,FALSE)</f>
        <v>type13</v>
      </c>
      <c r="E1057">
        <v>23262.49</v>
      </c>
      <c r="F1057" t="s">
        <v>50</v>
      </c>
      <c r="G1057" s="1">
        <f>qry_ProdData2_PDI_Cash_Exception_Application[[#This Row],[INSERT DATE]]+2</f>
        <v>45190.257071759261</v>
      </c>
      <c r="H1057" t="str">
        <f>VLOOKUP(qry_ProdData2_PDI_Cash_Exception_Application[[#This Row],[MARKET No]],'Site Allocation'!$B$2:$C$37,2,FALSE)</f>
        <v>Analyst2</v>
      </c>
      <c r="I1057" s="4">
        <f t="shared" ca="1" si="16"/>
        <v>45203</v>
      </c>
      <c r="J1057" s="42">
        <f ca="1">TODAY()-qry_ProdData2_PDI_Cash_Exception_Application[[#This Row],[INSERT DATE]]</f>
        <v>14.742928240739275</v>
      </c>
      <c r="K10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57">
        <f ca="1">qry_ProdData2_PDI_Cash_Exception_Application[[#This Row],[TODAY]]-qry_ProdData2_PDI_Cash_Exception_Application[[#This Row],[CHANGED ON]]</f>
        <v>12.742928240739275</v>
      </c>
      <c r="M1057">
        <f ca="1">qry_ProdData2_PDI_Cash_Exception_Application[[#This Row],[TODAY]]-qry_ProdData2_PDI_Cash_Exception_Application[[#This Row],[CHANGED ON]]</f>
        <v>12.742928240739275</v>
      </c>
      <c r="N1057">
        <f ca="1">qry_ProdData2_PDI_Cash_Exception_Application[[#This Row],[TODAY]]-qry_ProdData2_PDI_Cash_Exception_Application[[#This Row],[CHANGED ON]]</f>
        <v>12.742928240739275</v>
      </c>
    </row>
    <row r="1058" spans="1:14" x14ac:dyDescent="0.35">
      <c r="A1058">
        <v>1021</v>
      </c>
      <c r="B1058" t="s">
        <v>75</v>
      </c>
      <c r="C1058" s="1">
        <v>45190.257071759261</v>
      </c>
      <c r="D1058" t="str">
        <f ca="1">VLOOKUP(qry_ProdData2_PDI_Cash_Exception_Application[[#This Row],[TYPE]],#REF!,2,FALSE)</f>
        <v>type40</v>
      </c>
      <c r="E1058">
        <v>-431.97</v>
      </c>
      <c r="F1058" t="s">
        <v>47</v>
      </c>
      <c r="G1058" s="1">
        <f>qry_ProdData2_PDI_Cash_Exception_Application[[#This Row],[INSERT DATE]]+5</f>
        <v>45195.257071759261</v>
      </c>
      <c r="H1058" t="str">
        <f>VLOOKUP(qry_ProdData2_PDI_Cash_Exception_Application[[#This Row],[MARKET No]],'Site Allocation'!$B$2:$C$37,2,FALSE)</f>
        <v>Analyst4</v>
      </c>
      <c r="I1058" s="4">
        <f t="shared" ca="1" si="16"/>
        <v>45203</v>
      </c>
      <c r="J1058" s="42">
        <f ca="1">TODAY()-qry_ProdData2_PDI_Cash_Exception_Application[[#This Row],[INSERT DATE]]</f>
        <v>12.742928240739275</v>
      </c>
      <c r="K10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58">
        <f ca="1">qry_ProdData2_PDI_Cash_Exception_Application[[#This Row],[TODAY]]-qry_ProdData2_PDI_Cash_Exception_Application[[#This Row],[CHANGED ON]]</f>
        <v>7.7429282407392748</v>
      </c>
      <c r="M1058">
        <f ca="1">qry_ProdData2_PDI_Cash_Exception_Application[[#This Row],[TODAY]]-qry_ProdData2_PDI_Cash_Exception_Application[[#This Row],[CHANGED ON]]</f>
        <v>7.7429282407392748</v>
      </c>
      <c r="N1058">
        <f ca="1">qry_ProdData2_PDI_Cash_Exception_Application[[#This Row],[TODAY]]-qry_ProdData2_PDI_Cash_Exception_Application[[#This Row],[CHANGED ON]]</f>
        <v>7.7429282407392748</v>
      </c>
    </row>
    <row r="1059" spans="1:14" x14ac:dyDescent="0.35">
      <c r="A1059">
        <v>1011</v>
      </c>
      <c r="B1059" t="s">
        <v>65</v>
      </c>
      <c r="C1059" s="1">
        <v>45185.257071759261</v>
      </c>
      <c r="D1059" t="str">
        <f ca="1">VLOOKUP(qry_ProdData2_PDI_Cash_Exception_Application[[#This Row],[TYPE]],#REF!,2,FALSE)</f>
        <v>type32</v>
      </c>
      <c r="E1059">
        <v>480388.4</v>
      </c>
      <c r="F1059" t="s">
        <v>48</v>
      </c>
      <c r="G1059" s="1">
        <f>qry_ProdData2_PDI_Cash_Exception_Application[[#This Row],[INSERT DATE]]+2</f>
        <v>45187.257071759261</v>
      </c>
      <c r="H1059" t="str">
        <f>VLOOKUP(qry_ProdData2_PDI_Cash_Exception_Application[[#This Row],[MARKET No]],'Site Allocation'!$B$2:$C$37,2,FALSE)</f>
        <v>Analyst2</v>
      </c>
      <c r="I1059" s="4">
        <f t="shared" ca="1" si="16"/>
        <v>45203</v>
      </c>
      <c r="J1059" s="42">
        <f ca="1">TODAY()-qry_ProdData2_PDI_Cash_Exception_Application[[#This Row],[INSERT DATE]]</f>
        <v>17.742928240739275</v>
      </c>
      <c r="K10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59">
        <f ca="1">qry_ProdData2_PDI_Cash_Exception_Application[[#This Row],[TODAY]]-qry_ProdData2_PDI_Cash_Exception_Application[[#This Row],[CHANGED ON]]</f>
        <v>15.742928240739275</v>
      </c>
      <c r="M1059">
        <f ca="1">qry_ProdData2_PDI_Cash_Exception_Application[[#This Row],[TODAY]]-qry_ProdData2_PDI_Cash_Exception_Application[[#This Row],[CHANGED ON]]</f>
        <v>15.742928240739275</v>
      </c>
      <c r="N1059">
        <f ca="1">qry_ProdData2_PDI_Cash_Exception_Application[[#This Row],[TODAY]]-qry_ProdData2_PDI_Cash_Exception_Application[[#This Row],[CHANGED ON]]</f>
        <v>15.742928240739275</v>
      </c>
    </row>
    <row r="1060" spans="1:14" x14ac:dyDescent="0.35">
      <c r="A1060">
        <v>1014</v>
      </c>
      <c r="B1060" t="s">
        <v>68</v>
      </c>
      <c r="C1060" s="1">
        <v>45190.257071759261</v>
      </c>
      <c r="D1060" t="str">
        <f ca="1">VLOOKUP(qry_ProdData2_PDI_Cash_Exception_Application[[#This Row],[TYPE]],#REF!,2,FALSE)</f>
        <v>type40</v>
      </c>
      <c r="E1060">
        <v>-1152.4100000000001</v>
      </c>
      <c r="F1060" t="s">
        <v>50</v>
      </c>
      <c r="G1060" s="1">
        <f>qry_ProdData2_PDI_Cash_Exception_Application[[#This Row],[INSERT DATE]]+5</f>
        <v>45195.257071759261</v>
      </c>
      <c r="H1060" t="str">
        <f>VLOOKUP(qry_ProdData2_PDI_Cash_Exception_Application[[#This Row],[MARKET No]],'Site Allocation'!$B$2:$C$37,2,FALSE)</f>
        <v>Analyst3</v>
      </c>
      <c r="I1060" s="4">
        <f t="shared" ca="1" si="16"/>
        <v>45203</v>
      </c>
      <c r="J1060" s="42">
        <f ca="1">TODAY()-qry_ProdData2_PDI_Cash_Exception_Application[[#This Row],[INSERT DATE]]</f>
        <v>12.742928240739275</v>
      </c>
      <c r="K10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60">
        <f ca="1">qry_ProdData2_PDI_Cash_Exception_Application[[#This Row],[TODAY]]-qry_ProdData2_PDI_Cash_Exception_Application[[#This Row],[CHANGED ON]]</f>
        <v>7.7429282407392748</v>
      </c>
      <c r="M1060">
        <f ca="1">qry_ProdData2_PDI_Cash_Exception_Application[[#This Row],[TODAY]]-qry_ProdData2_PDI_Cash_Exception_Application[[#This Row],[CHANGED ON]]</f>
        <v>7.7429282407392748</v>
      </c>
      <c r="N1060">
        <f ca="1">qry_ProdData2_PDI_Cash_Exception_Application[[#This Row],[TODAY]]-qry_ProdData2_PDI_Cash_Exception_Application[[#This Row],[CHANGED ON]]</f>
        <v>7.7429282407392748</v>
      </c>
    </row>
    <row r="1061" spans="1:14" x14ac:dyDescent="0.35">
      <c r="A1061">
        <v>1002</v>
      </c>
      <c r="B1061" t="s">
        <v>56</v>
      </c>
      <c r="C1061" s="1">
        <v>45187.257071759261</v>
      </c>
      <c r="D1061" t="str">
        <f ca="1">VLOOKUP(qry_ProdData2_PDI_Cash_Exception_Application[[#This Row],[TYPE]],#REF!,2,FALSE)</f>
        <v>type40</v>
      </c>
      <c r="E1061">
        <v>603.83000000000004</v>
      </c>
      <c r="F1061" t="s">
        <v>48</v>
      </c>
      <c r="G1061" s="1">
        <f>qry_ProdData2_PDI_Cash_Exception_Application[[#This Row],[INSERT DATE]]+2</f>
        <v>45189.257071759261</v>
      </c>
      <c r="H1061" t="str">
        <f>VLOOKUP(qry_ProdData2_PDI_Cash_Exception_Application[[#This Row],[MARKET No]],'Site Allocation'!$B$2:$C$37,2,FALSE)</f>
        <v>Analyst1</v>
      </c>
      <c r="I1061" s="4">
        <f t="shared" ca="1" si="16"/>
        <v>45203</v>
      </c>
      <c r="J1061" s="42">
        <f ca="1">TODAY()-qry_ProdData2_PDI_Cash_Exception_Application[[#This Row],[INSERT DATE]]</f>
        <v>15.742928240739275</v>
      </c>
      <c r="K10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61">
        <f ca="1">qry_ProdData2_PDI_Cash_Exception_Application[[#This Row],[TODAY]]-qry_ProdData2_PDI_Cash_Exception_Application[[#This Row],[CHANGED ON]]</f>
        <v>13.742928240739275</v>
      </c>
      <c r="M1061">
        <f ca="1">qry_ProdData2_PDI_Cash_Exception_Application[[#This Row],[TODAY]]-qry_ProdData2_PDI_Cash_Exception_Application[[#This Row],[CHANGED ON]]</f>
        <v>13.742928240739275</v>
      </c>
      <c r="N1061">
        <f ca="1">qry_ProdData2_PDI_Cash_Exception_Application[[#This Row],[TODAY]]-qry_ProdData2_PDI_Cash_Exception_Application[[#This Row],[CHANGED ON]]</f>
        <v>13.742928240739275</v>
      </c>
    </row>
    <row r="1062" spans="1:14" x14ac:dyDescent="0.35">
      <c r="A1062">
        <v>1004</v>
      </c>
      <c r="B1062" t="s">
        <v>58</v>
      </c>
      <c r="C1062" s="1">
        <v>45179.257071759261</v>
      </c>
      <c r="D1062" t="str">
        <f ca="1">VLOOKUP(qry_ProdData2_PDI_Cash_Exception_Application[[#This Row],[TYPE]],#REF!,2,FALSE)</f>
        <v>type26</v>
      </c>
      <c r="E1062">
        <v>409.84</v>
      </c>
      <c r="F1062" t="s">
        <v>51</v>
      </c>
      <c r="G1062" s="1">
        <f>qry_ProdData2_PDI_Cash_Exception_Application[[#This Row],[INSERT DATE]]+7</f>
        <v>45186.257071759261</v>
      </c>
      <c r="H1062" t="str">
        <f>VLOOKUP(qry_ProdData2_PDI_Cash_Exception_Application[[#This Row],[MARKET No]],'Site Allocation'!$B$2:$C$37,2,FALSE)</f>
        <v>Analyst1</v>
      </c>
      <c r="I1062" s="4">
        <f t="shared" ca="1" si="16"/>
        <v>45203</v>
      </c>
      <c r="J1062" s="42">
        <f ca="1">TODAY()-qry_ProdData2_PDI_Cash_Exception_Application[[#This Row],[INSERT DATE]]</f>
        <v>23.742928240739275</v>
      </c>
      <c r="K10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62">
        <f ca="1">qry_ProdData2_PDI_Cash_Exception_Application[[#This Row],[TODAY]]-qry_ProdData2_PDI_Cash_Exception_Application[[#This Row],[CHANGED ON]]</f>
        <v>16.742928240739275</v>
      </c>
      <c r="M1062">
        <f ca="1">qry_ProdData2_PDI_Cash_Exception_Application[[#This Row],[TODAY]]-qry_ProdData2_PDI_Cash_Exception_Application[[#This Row],[CHANGED ON]]</f>
        <v>16.742928240739275</v>
      </c>
      <c r="N1062">
        <f ca="1">qry_ProdData2_PDI_Cash_Exception_Application[[#This Row],[TODAY]]-qry_ProdData2_PDI_Cash_Exception_Application[[#This Row],[CHANGED ON]]</f>
        <v>16.742928240739275</v>
      </c>
    </row>
    <row r="1063" spans="1:14" x14ac:dyDescent="0.35">
      <c r="A1063">
        <v>1013</v>
      </c>
      <c r="B1063" t="s">
        <v>67</v>
      </c>
      <c r="C1063" s="1">
        <v>45192.257071759261</v>
      </c>
      <c r="D1063" t="str">
        <f ca="1">VLOOKUP(qry_ProdData2_PDI_Cash_Exception_Application[[#This Row],[TYPE]],#REF!,2,FALSE)</f>
        <v>type13</v>
      </c>
      <c r="E1063">
        <v>18521.849999999999</v>
      </c>
      <c r="F1063" t="s">
        <v>52</v>
      </c>
      <c r="G1063" s="1">
        <f>qry_ProdData2_PDI_Cash_Exception_Application[[#This Row],[INSERT DATE]]+5</f>
        <v>45197.257071759261</v>
      </c>
      <c r="H1063" t="str">
        <f>VLOOKUP(qry_ProdData2_PDI_Cash_Exception_Application[[#This Row],[MARKET No]],'Site Allocation'!$B$2:$C$37,2,FALSE)</f>
        <v>Analyst3</v>
      </c>
      <c r="I1063" s="4">
        <f t="shared" ca="1" si="16"/>
        <v>45203</v>
      </c>
      <c r="J1063" s="42">
        <f ca="1">TODAY()-qry_ProdData2_PDI_Cash_Exception_Application[[#This Row],[INSERT DATE]]</f>
        <v>10.742928240739275</v>
      </c>
      <c r="K10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63">
        <f ca="1">qry_ProdData2_PDI_Cash_Exception_Application[[#This Row],[TODAY]]-qry_ProdData2_PDI_Cash_Exception_Application[[#This Row],[CHANGED ON]]</f>
        <v>5.7429282407392748</v>
      </c>
      <c r="M1063">
        <f ca="1">qry_ProdData2_PDI_Cash_Exception_Application[[#This Row],[TODAY]]-qry_ProdData2_PDI_Cash_Exception_Application[[#This Row],[CHANGED ON]]</f>
        <v>5.7429282407392748</v>
      </c>
      <c r="N1063">
        <f ca="1">qry_ProdData2_PDI_Cash_Exception_Application[[#This Row],[TODAY]]-qry_ProdData2_PDI_Cash_Exception_Application[[#This Row],[CHANGED ON]]</f>
        <v>5.7429282407392748</v>
      </c>
    </row>
    <row r="1064" spans="1:14" x14ac:dyDescent="0.35">
      <c r="A1064">
        <v>1032</v>
      </c>
      <c r="B1064" t="s">
        <v>86</v>
      </c>
      <c r="C1064" s="1">
        <v>45180.257071759261</v>
      </c>
      <c r="D1064" t="str">
        <f ca="1">VLOOKUP(qry_ProdData2_PDI_Cash_Exception_Application[[#This Row],[TYPE]],#REF!,2,FALSE)</f>
        <v>type4</v>
      </c>
      <c r="E1064">
        <v>6</v>
      </c>
      <c r="F1064" t="s">
        <v>51</v>
      </c>
      <c r="G1064" s="1">
        <f>qry_ProdData2_PDI_Cash_Exception_Application[[#This Row],[INSERT DATE]]+7</f>
        <v>45187.257071759261</v>
      </c>
      <c r="H1064" t="str">
        <f>VLOOKUP(qry_ProdData2_PDI_Cash_Exception_Application[[#This Row],[MARKET No]],'Site Allocation'!$B$2:$C$37,2,FALSE)</f>
        <v>Analyst6</v>
      </c>
      <c r="I1064" s="4">
        <f t="shared" ca="1" si="16"/>
        <v>45203</v>
      </c>
      <c r="J1064" s="42">
        <f ca="1">TODAY()-qry_ProdData2_PDI_Cash_Exception_Application[[#This Row],[INSERT DATE]]</f>
        <v>22.742928240739275</v>
      </c>
      <c r="K10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64">
        <f ca="1">qry_ProdData2_PDI_Cash_Exception_Application[[#This Row],[TODAY]]-qry_ProdData2_PDI_Cash_Exception_Application[[#This Row],[CHANGED ON]]</f>
        <v>15.742928240739275</v>
      </c>
      <c r="M1064">
        <f ca="1">qry_ProdData2_PDI_Cash_Exception_Application[[#This Row],[TODAY]]-qry_ProdData2_PDI_Cash_Exception_Application[[#This Row],[CHANGED ON]]</f>
        <v>15.742928240739275</v>
      </c>
      <c r="N1064">
        <f ca="1">qry_ProdData2_PDI_Cash_Exception_Application[[#This Row],[TODAY]]-qry_ProdData2_PDI_Cash_Exception_Application[[#This Row],[CHANGED ON]]</f>
        <v>15.742928240739275</v>
      </c>
    </row>
    <row r="1065" spans="1:14" x14ac:dyDescent="0.35">
      <c r="A1065">
        <v>1021</v>
      </c>
      <c r="B1065" t="s">
        <v>75</v>
      </c>
      <c r="C1065" s="1">
        <v>45180.257071759261</v>
      </c>
      <c r="D1065" t="str">
        <f ca="1">VLOOKUP(qry_ProdData2_PDI_Cash_Exception_Application[[#This Row],[TYPE]],#REF!,2,FALSE)</f>
        <v>type40</v>
      </c>
      <c r="E1065">
        <v>-476.23</v>
      </c>
      <c r="F1065" t="s">
        <v>49</v>
      </c>
      <c r="G1065" s="1">
        <f>qry_ProdData2_PDI_Cash_Exception_Application[[#This Row],[INSERT DATE]]+1</f>
        <v>45181.257071759261</v>
      </c>
      <c r="H1065" t="str">
        <f>VLOOKUP(qry_ProdData2_PDI_Cash_Exception_Application[[#This Row],[MARKET No]],'Site Allocation'!$B$2:$C$37,2,FALSE)</f>
        <v>Analyst4</v>
      </c>
      <c r="I1065" s="4">
        <f t="shared" ca="1" si="16"/>
        <v>45203</v>
      </c>
      <c r="J1065" s="42">
        <f ca="1">TODAY()-qry_ProdData2_PDI_Cash_Exception_Application[[#This Row],[INSERT DATE]]</f>
        <v>22.742928240739275</v>
      </c>
      <c r="K10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65">
        <f ca="1">qry_ProdData2_PDI_Cash_Exception_Application[[#This Row],[TODAY]]-qry_ProdData2_PDI_Cash_Exception_Application[[#This Row],[CHANGED ON]]</f>
        <v>21.742928240739275</v>
      </c>
      <c r="M1065">
        <f ca="1">qry_ProdData2_PDI_Cash_Exception_Application[[#This Row],[TODAY]]-qry_ProdData2_PDI_Cash_Exception_Application[[#This Row],[CHANGED ON]]</f>
        <v>21.742928240739275</v>
      </c>
      <c r="N1065">
        <f ca="1">qry_ProdData2_PDI_Cash_Exception_Application[[#This Row],[TODAY]]-qry_ProdData2_PDI_Cash_Exception_Application[[#This Row],[CHANGED ON]]</f>
        <v>21.742928240739275</v>
      </c>
    </row>
    <row r="1066" spans="1:14" x14ac:dyDescent="0.35">
      <c r="A1066">
        <v>1012</v>
      </c>
      <c r="B1066" t="s">
        <v>66</v>
      </c>
      <c r="C1066" s="1">
        <v>45187.257071759261</v>
      </c>
      <c r="D1066" t="str">
        <f ca="1">VLOOKUP(qry_ProdData2_PDI_Cash_Exception_Application[[#This Row],[TYPE]],#REF!,2,FALSE)</f>
        <v>type40</v>
      </c>
      <c r="E1066">
        <v>436.4</v>
      </c>
      <c r="F1066" t="s">
        <v>48</v>
      </c>
      <c r="G1066" s="1">
        <f>qry_ProdData2_PDI_Cash_Exception_Application[[#This Row],[INSERT DATE]]+5</f>
        <v>45192.257071759261</v>
      </c>
      <c r="H1066" t="str">
        <f>VLOOKUP(qry_ProdData2_PDI_Cash_Exception_Application[[#This Row],[MARKET No]],'Site Allocation'!$B$2:$C$37,2,FALSE)</f>
        <v>Analyst3</v>
      </c>
      <c r="I1066" s="4">
        <f t="shared" ca="1" si="16"/>
        <v>45203</v>
      </c>
      <c r="J1066" s="42">
        <f ca="1">TODAY()-qry_ProdData2_PDI_Cash_Exception_Application[[#This Row],[INSERT DATE]]</f>
        <v>15.742928240739275</v>
      </c>
      <c r="K10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66">
        <f ca="1">qry_ProdData2_PDI_Cash_Exception_Application[[#This Row],[TODAY]]-qry_ProdData2_PDI_Cash_Exception_Application[[#This Row],[CHANGED ON]]</f>
        <v>10.742928240739275</v>
      </c>
      <c r="M1066">
        <f ca="1">qry_ProdData2_PDI_Cash_Exception_Application[[#This Row],[TODAY]]-qry_ProdData2_PDI_Cash_Exception_Application[[#This Row],[CHANGED ON]]</f>
        <v>10.742928240739275</v>
      </c>
      <c r="N1066">
        <f ca="1">qry_ProdData2_PDI_Cash_Exception_Application[[#This Row],[TODAY]]-qry_ProdData2_PDI_Cash_Exception_Application[[#This Row],[CHANGED ON]]</f>
        <v>10.742928240739275</v>
      </c>
    </row>
    <row r="1067" spans="1:14" x14ac:dyDescent="0.35">
      <c r="A1067">
        <v>1014</v>
      </c>
      <c r="B1067" t="s">
        <v>68</v>
      </c>
      <c r="C1067" s="1">
        <v>45196.257071759261</v>
      </c>
      <c r="D1067" t="str">
        <f ca="1">VLOOKUP(qry_ProdData2_PDI_Cash_Exception_Application[[#This Row],[TYPE]],#REF!,2,FALSE)</f>
        <v>type13</v>
      </c>
      <c r="E1067">
        <v>22873.94</v>
      </c>
      <c r="F1067" t="s">
        <v>52</v>
      </c>
      <c r="G1067" s="1">
        <f>qry_ProdData2_PDI_Cash_Exception_Application[[#This Row],[INSERT DATE]]+7</f>
        <v>45203.257071759261</v>
      </c>
      <c r="H1067" t="str">
        <f>VLOOKUP(qry_ProdData2_PDI_Cash_Exception_Application[[#This Row],[MARKET No]],'Site Allocation'!$B$2:$C$37,2,FALSE)</f>
        <v>Analyst3</v>
      </c>
      <c r="I1067" s="4">
        <f t="shared" ca="1" si="16"/>
        <v>45203</v>
      </c>
      <c r="J1067" s="42">
        <f ca="1">TODAY()-qry_ProdData2_PDI_Cash_Exception_Application[[#This Row],[INSERT DATE]]</f>
        <v>6.7429282407392748</v>
      </c>
      <c r="K10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067">
        <f ca="1">qry_ProdData2_PDI_Cash_Exception_Application[[#This Row],[TODAY]]-qry_ProdData2_PDI_Cash_Exception_Application[[#This Row],[CHANGED ON]]</f>
        <v>-0.25707175926072523</v>
      </c>
      <c r="M1067">
        <f ca="1">qry_ProdData2_PDI_Cash_Exception_Application[[#This Row],[TODAY]]-qry_ProdData2_PDI_Cash_Exception_Application[[#This Row],[CHANGED ON]]</f>
        <v>-0.25707175926072523</v>
      </c>
      <c r="N1067">
        <f ca="1">qry_ProdData2_PDI_Cash_Exception_Application[[#This Row],[TODAY]]-qry_ProdData2_PDI_Cash_Exception_Application[[#This Row],[CHANGED ON]]</f>
        <v>-0.25707175926072523</v>
      </c>
    </row>
    <row r="1068" spans="1:14" x14ac:dyDescent="0.35">
      <c r="A1068">
        <v>1006</v>
      </c>
      <c r="B1068" t="s">
        <v>60</v>
      </c>
      <c r="C1068" s="1">
        <v>45186.257071759261</v>
      </c>
      <c r="D1068" t="str">
        <f ca="1">VLOOKUP(qry_ProdData2_PDI_Cash_Exception_Application[[#This Row],[TYPE]],#REF!,2,FALSE)</f>
        <v>type40</v>
      </c>
      <c r="E1068">
        <v>-486.01</v>
      </c>
      <c r="F1068" t="s">
        <v>49</v>
      </c>
      <c r="G1068" s="1">
        <f>qry_ProdData2_PDI_Cash_Exception_Application[[#This Row],[INSERT DATE]]+2</f>
        <v>45188.257071759261</v>
      </c>
      <c r="H1068" t="str">
        <f>VLOOKUP(qry_ProdData2_PDI_Cash_Exception_Application[[#This Row],[MARKET No]],'Site Allocation'!$B$2:$C$37,2,FALSE)</f>
        <v>Analyst2</v>
      </c>
      <c r="I1068" s="4">
        <f t="shared" ca="1" si="16"/>
        <v>45203</v>
      </c>
      <c r="J1068" s="42">
        <f ca="1">TODAY()-qry_ProdData2_PDI_Cash_Exception_Application[[#This Row],[INSERT DATE]]</f>
        <v>16.742928240739275</v>
      </c>
      <c r="K10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68">
        <f ca="1">qry_ProdData2_PDI_Cash_Exception_Application[[#This Row],[TODAY]]-qry_ProdData2_PDI_Cash_Exception_Application[[#This Row],[CHANGED ON]]</f>
        <v>14.742928240739275</v>
      </c>
      <c r="M1068">
        <f ca="1">qry_ProdData2_PDI_Cash_Exception_Application[[#This Row],[TODAY]]-qry_ProdData2_PDI_Cash_Exception_Application[[#This Row],[CHANGED ON]]</f>
        <v>14.742928240739275</v>
      </c>
      <c r="N1068">
        <f ca="1">qry_ProdData2_PDI_Cash_Exception_Application[[#This Row],[TODAY]]-qry_ProdData2_PDI_Cash_Exception_Application[[#This Row],[CHANGED ON]]</f>
        <v>14.742928240739275</v>
      </c>
    </row>
    <row r="1069" spans="1:14" x14ac:dyDescent="0.35">
      <c r="A1069">
        <v>1026</v>
      </c>
      <c r="B1069" t="s">
        <v>80</v>
      </c>
      <c r="C1069" s="1">
        <v>45187.257071759261</v>
      </c>
      <c r="D1069" t="str">
        <f ca="1">VLOOKUP(qry_ProdData2_PDI_Cash_Exception_Application[[#This Row],[TYPE]],#REF!,2,FALSE)</f>
        <v>type40</v>
      </c>
      <c r="E1069">
        <v>-408.13</v>
      </c>
      <c r="F1069" t="s">
        <v>49</v>
      </c>
      <c r="G1069" s="1">
        <f>qry_ProdData2_PDI_Cash_Exception_Application[[#This Row],[INSERT DATE]]+2</f>
        <v>45189.257071759261</v>
      </c>
      <c r="H1069" t="str">
        <f>VLOOKUP(qry_ProdData2_PDI_Cash_Exception_Application[[#This Row],[MARKET No]],'Site Allocation'!$B$2:$C$37,2,FALSE)</f>
        <v>Analyst5</v>
      </c>
      <c r="I1069" s="4">
        <f t="shared" ca="1" si="16"/>
        <v>45203</v>
      </c>
      <c r="J1069" s="42">
        <f ca="1">TODAY()-qry_ProdData2_PDI_Cash_Exception_Application[[#This Row],[INSERT DATE]]</f>
        <v>15.742928240739275</v>
      </c>
      <c r="K10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69">
        <f ca="1">qry_ProdData2_PDI_Cash_Exception_Application[[#This Row],[TODAY]]-qry_ProdData2_PDI_Cash_Exception_Application[[#This Row],[CHANGED ON]]</f>
        <v>13.742928240739275</v>
      </c>
      <c r="M1069">
        <f ca="1">qry_ProdData2_PDI_Cash_Exception_Application[[#This Row],[TODAY]]-qry_ProdData2_PDI_Cash_Exception_Application[[#This Row],[CHANGED ON]]</f>
        <v>13.742928240739275</v>
      </c>
      <c r="N1069">
        <f ca="1">qry_ProdData2_PDI_Cash_Exception_Application[[#This Row],[TODAY]]-qry_ProdData2_PDI_Cash_Exception_Application[[#This Row],[CHANGED ON]]</f>
        <v>13.742928240739275</v>
      </c>
    </row>
    <row r="1070" spans="1:14" x14ac:dyDescent="0.35">
      <c r="A1070">
        <v>1007</v>
      </c>
      <c r="B1070" t="s">
        <v>61</v>
      </c>
      <c r="C1070" s="1">
        <v>45191.257071759261</v>
      </c>
      <c r="D1070" t="str">
        <f ca="1">VLOOKUP(qry_ProdData2_PDI_Cash_Exception_Application[[#This Row],[TYPE]],#REF!,2,FALSE)</f>
        <v>type40</v>
      </c>
      <c r="E1070">
        <v>-330.81</v>
      </c>
      <c r="F1070" t="s">
        <v>49</v>
      </c>
      <c r="G1070" s="1">
        <f>qry_ProdData2_PDI_Cash_Exception_Application[[#This Row],[INSERT DATE]]+2</f>
        <v>45193.257071759261</v>
      </c>
      <c r="H1070" t="str">
        <f>VLOOKUP(qry_ProdData2_PDI_Cash_Exception_Application[[#This Row],[MARKET No]],'Site Allocation'!$B$2:$C$37,2,FALSE)</f>
        <v>Analyst2</v>
      </c>
      <c r="I1070" s="4">
        <f t="shared" ca="1" si="16"/>
        <v>45203</v>
      </c>
      <c r="J1070" s="42">
        <f ca="1">TODAY()-qry_ProdData2_PDI_Cash_Exception_Application[[#This Row],[INSERT DATE]]</f>
        <v>11.742928240739275</v>
      </c>
      <c r="K10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70">
        <f ca="1">qry_ProdData2_PDI_Cash_Exception_Application[[#This Row],[TODAY]]-qry_ProdData2_PDI_Cash_Exception_Application[[#This Row],[CHANGED ON]]</f>
        <v>9.7429282407392748</v>
      </c>
      <c r="M1070">
        <f ca="1">qry_ProdData2_PDI_Cash_Exception_Application[[#This Row],[TODAY]]-qry_ProdData2_PDI_Cash_Exception_Application[[#This Row],[CHANGED ON]]</f>
        <v>9.7429282407392748</v>
      </c>
      <c r="N1070">
        <f ca="1">qry_ProdData2_PDI_Cash_Exception_Application[[#This Row],[TODAY]]-qry_ProdData2_PDI_Cash_Exception_Application[[#This Row],[CHANGED ON]]</f>
        <v>9.7429282407392748</v>
      </c>
    </row>
    <row r="1071" spans="1:14" x14ac:dyDescent="0.35">
      <c r="A1071">
        <v>1019</v>
      </c>
      <c r="B1071" t="s">
        <v>73</v>
      </c>
      <c r="C1071" s="1">
        <v>45185.257071759261</v>
      </c>
      <c r="D1071" t="str">
        <f ca="1">VLOOKUP(qry_ProdData2_PDI_Cash_Exception_Application[[#This Row],[TYPE]],#REF!,2,FALSE)</f>
        <v>type40</v>
      </c>
      <c r="E1071">
        <v>551.69000000000005</v>
      </c>
      <c r="F1071" t="s">
        <v>51</v>
      </c>
      <c r="G1071" s="1">
        <f>qry_ProdData2_PDI_Cash_Exception_Application[[#This Row],[INSERT DATE]]+7</f>
        <v>45192.257071759261</v>
      </c>
      <c r="H1071" t="str">
        <f>VLOOKUP(qry_ProdData2_PDI_Cash_Exception_Application[[#This Row],[MARKET No]],'Site Allocation'!$B$2:$C$37,2,FALSE)</f>
        <v>Analyst4</v>
      </c>
      <c r="I1071" s="4">
        <f t="shared" ca="1" si="16"/>
        <v>45203</v>
      </c>
      <c r="J1071" s="42">
        <f ca="1">TODAY()-qry_ProdData2_PDI_Cash_Exception_Application[[#This Row],[INSERT DATE]]</f>
        <v>17.742928240739275</v>
      </c>
      <c r="K10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71">
        <f ca="1">qry_ProdData2_PDI_Cash_Exception_Application[[#This Row],[TODAY]]-qry_ProdData2_PDI_Cash_Exception_Application[[#This Row],[CHANGED ON]]</f>
        <v>10.742928240739275</v>
      </c>
      <c r="M1071">
        <f ca="1">qry_ProdData2_PDI_Cash_Exception_Application[[#This Row],[TODAY]]-qry_ProdData2_PDI_Cash_Exception_Application[[#This Row],[CHANGED ON]]</f>
        <v>10.742928240739275</v>
      </c>
      <c r="N1071">
        <f ca="1">qry_ProdData2_PDI_Cash_Exception_Application[[#This Row],[TODAY]]-qry_ProdData2_PDI_Cash_Exception_Application[[#This Row],[CHANGED ON]]</f>
        <v>10.742928240739275</v>
      </c>
    </row>
    <row r="1072" spans="1:14" x14ac:dyDescent="0.35">
      <c r="A1072">
        <v>1016</v>
      </c>
      <c r="B1072" t="s">
        <v>70</v>
      </c>
      <c r="C1072" s="1">
        <v>45185.257071759261</v>
      </c>
      <c r="D1072" t="str">
        <f ca="1">VLOOKUP(qry_ProdData2_PDI_Cash_Exception_Application[[#This Row],[TYPE]],#REF!,2,FALSE)</f>
        <v>type15</v>
      </c>
      <c r="E1072">
        <v>1137.1500000000001</v>
      </c>
      <c r="F1072" t="s">
        <v>49</v>
      </c>
      <c r="G1072" s="1">
        <f>qry_ProdData2_PDI_Cash_Exception_Application[[#This Row],[INSERT DATE]]+2</f>
        <v>45187.257071759261</v>
      </c>
      <c r="H1072" t="str">
        <f>VLOOKUP(qry_ProdData2_PDI_Cash_Exception_Application[[#This Row],[MARKET No]],'Site Allocation'!$B$2:$C$37,2,FALSE)</f>
        <v>Analyst3</v>
      </c>
      <c r="I1072" s="4">
        <f t="shared" ca="1" si="16"/>
        <v>45203</v>
      </c>
      <c r="J1072" s="42">
        <f ca="1">TODAY()-qry_ProdData2_PDI_Cash_Exception_Application[[#This Row],[INSERT DATE]]</f>
        <v>17.742928240739275</v>
      </c>
      <c r="K10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72">
        <f ca="1">qry_ProdData2_PDI_Cash_Exception_Application[[#This Row],[TODAY]]-qry_ProdData2_PDI_Cash_Exception_Application[[#This Row],[CHANGED ON]]</f>
        <v>15.742928240739275</v>
      </c>
      <c r="M1072">
        <f ca="1">qry_ProdData2_PDI_Cash_Exception_Application[[#This Row],[TODAY]]-qry_ProdData2_PDI_Cash_Exception_Application[[#This Row],[CHANGED ON]]</f>
        <v>15.742928240739275</v>
      </c>
      <c r="N1072">
        <f ca="1">qry_ProdData2_PDI_Cash_Exception_Application[[#This Row],[TODAY]]-qry_ProdData2_PDI_Cash_Exception_Application[[#This Row],[CHANGED ON]]</f>
        <v>15.742928240739275</v>
      </c>
    </row>
    <row r="1073" spans="1:14" x14ac:dyDescent="0.35">
      <c r="A1073">
        <v>1008</v>
      </c>
      <c r="B1073" t="s">
        <v>62</v>
      </c>
      <c r="C1073" s="1">
        <v>45191.257071759261</v>
      </c>
      <c r="D1073" t="str">
        <f ca="1">VLOOKUP(qry_ProdData2_PDI_Cash_Exception_Application[[#This Row],[TYPE]],#REF!,2,FALSE)</f>
        <v>type40</v>
      </c>
      <c r="E1073">
        <v>318.20999999999998</v>
      </c>
      <c r="F1073" t="s">
        <v>51</v>
      </c>
      <c r="G1073" s="1">
        <f>qry_ProdData2_PDI_Cash_Exception_Application[[#This Row],[INSERT DATE]]+1</f>
        <v>45192.257071759261</v>
      </c>
      <c r="H1073" t="str">
        <f>VLOOKUP(qry_ProdData2_PDI_Cash_Exception_Application[[#This Row],[MARKET No]],'Site Allocation'!$B$2:$C$37,2,FALSE)</f>
        <v>Analyst2</v>
      </c>
      <c r="I1073" s="4">
        <f t="shared" ca="1" si="16"/>
        <v>45203</v>
      </c>
      <c r="J1073" s="42">
        <f ca="1">TODAY()-qry_ProdData2_PDI_Cash_Exception_Application[[#This Row],[INSERT DATE]]</f>
        <v>11.742928240739275</v>
      </c>
      <c r="K10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73">
        <f ca="1">qry_ProdData2_PDI_Cash_Exception_Application[[#This Row],[TODAY]]-qry_ProdData2_PDI_Cash_Exception_Application[[#This Row],[CHANGED ON]]</f>
        <v>10.742928240739275</v>
      </c>
      <c r="M1073">
        <f ca="1">qry_ProdData2_PDI_Cash_Exception_Application[[#This Row],[TODAY]]-qry_ProdData2_PDI_Cash_Exception_Application[[#This Row],[CHANGED ON]]</f>
        <v>10.742928240739275</v>
      </c>
      <c r="N1073">
        <f ca="1">qry_ProdData2_PDI_Cash_Exception_Application[[#This Row],[TODAY]]-qry_ProdData2_PDI_Cash_Exception_Application[[#This Row],[CHANGED ON]]</f>
        <v>10.742928240739275</v>
      </c>
    </row>
    <row r="1074" spans="1:14" x14ac:dyDescent="0.35">
      <c r="A1074">
        <v>1010</v>
      </c>
      <c r="B1074" t="s">
        <v>64</v>
      </c>
      <c r="C1074" s="1">
        <v>45189.257071759261</v>
      </c>
      <c r="D1074" t="str">
        <f ca="1">VLOOKUP(qry_ProdData2_PDI_Cash_Exception_Application[[#This Row],[TYPE]],#REF!,2,FALSE)</f>
        <v>type13</v>
      </c>
      <c r="E1074">
        <v>18709.490000000002</v>
      </c>
      <c r="F1074" t="s">
        <v>50</v>
      </c>
      <c r="G1074" s="1">
        <f>qry_ProdData2_PDI_Cash_Exception_Application[[#This Row],[INSERT DATE]]+7</f>
        <v>45196.257071759261</v>
      </c>
      <c r="H1074" t="str">
        <f>VLOOKUP(qry_ProdData2_PDI_Cash_Exception_Application[[#This Row],[MARKET No]],'Site Allocation'!$B$2:$C$37,2,FALSE)</f>
        <v>Analyst2</v>
      </c>
      <c r="I1074" s="4">
        <f t="shared" ca="1" si="16"/>
        <v>45203</v>
      </c>
      <c r="J1074" s="42">
        <f ca="1">TODAY()-qry_ProdData2_PDI_Cash_Exception_Application[[#This Row],[INSERT DATE]]</f>
        <v>13.742928240739275</v>
      </c>
      <c r="K10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74">
        <f ca="1">qry_ProdData2_PDI_Cash_Exception_Application[[#This Row],[TODAY]]-qry_ProdData2_PDI_Cash_Exception_Application[[#This Row],[CHANGED ON]]</f>
        <v>6.7429282407392748</v>
      </c>
      <c r="M1074">
        <f ca="1">qry_ProdData2_PDI_Cash_Exception_Application[[#This Row],[TODAY]]-qry_ProdData2_PDI_Cash_Exception_Application[[#This Row],[CHANGED ON]]</f>
        <v>6.7429282407392748</v>
      </c>
      <c r="N1074">
        <f ca="1">qry_ProdData2_PDI_Cash_Exception_Application[[#This Row],[TODAY]]-qry_ProdData2_PDI_Cash_Exception_Application[[#This Row],[CHANGED ON]]</f>
        <v>6.7429282407392748</v>
      </c>
    </row>
    <row r="1075" spans="1:14" x14ac:dyDescent="0.35">
      <c r="A1075">
        <v>1031</v>
      </c>
      <c r="B1075" t="s">
        <v>85</v>
      </c>
      <c r="C1075" s="1">
        <v>45189.257071759261</v>
      </c>
      <c r="D1075" t="str">
        <f ca="1">VLOOKUP(qry_ProdData2_PDI_Cash_Exception_Application[[#This Row],[TYPE]],#REF!,2,FALSE)</f>
        <v>type40</v>
      </c>
      <c r="E1075">
        <v>-907.71</v>
      </c>
      <c r="F1075" t="s">
        <v>52</v>
      </c>
      <c r="G1075" s="1">
        <f>qry_ProdData2_PDI_Cash_Exception_Application[[#This Row],[INSERT DATE]]+7</f>
        <v>45196.257071759261</v>
      </c>
      <c r="H1075" t="str">
        <f>VLOOKUP(qry_ProdData2_PDI_Cash_Exception_Application[[#This Row],[MARKET No]],'Site Allocation'!$B$2:$C$37,2,FALSE)</f>
        <v>Analyst6</v>
      </c>
      <c r="I1075" s="4">
        <f t="shared" ca="1" si="16"/>
        <v>45203</v>
      </c>
      <c r="J1075" s="42">
        <f ca="1">TODAY()-qry_ProdData2_PDI_Cash_Exception_Application[[#This Row],[INSERT DATE]]</f>
        <v>13.742928240739275</v>
      </c>
      <c r="K10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75">
        <f ca="1">qry_ProdData2_PDI_Cash_Exception_Application[[#This Row],[TODAY]]-qry_ProdData2_PDI_Cash_Exception_Application[[#This Row],[CHANGED ON]]</f>
        <v>6.7429282407392748</v>
      </c>
      <c r="M1075">
        <f ca="1">qry_ProdData2_PDI_Cash_Exception_Application[[#This Row],[TODAY]]-qry_ProdData2_PDI_Cash_Exception_Application[[#This Row],[CHANGED ON]]</f>
        <v>6.7429282407392748</v>
      </c>
      <c r="N1075">
        <f ca="1">qry_ProdData2_PDI_Cash_Exception_Application[[#This Row],[TODAY]]-qry_ProdData2_PDI_Cash_Exception_Application[[#This Row],[CHANGED ON]]</f>
        <v>6.7429282407392748</v>
      </c>
    </row>
    <row r="1076" spans="1:14" x14ac:dyDescent="0.35">
      <c r="A1076">
        <v>1020</v>
      </c>
      <c r="B1076" t="s">
        <v>74</v>
      </c>
      <c r="C1076" s="1">
        <v>45189.257071759261</v>
      </c>
      <c r="D1076" t="str">
        <f ca="1">VLOOKUP(qry_ProdData2_PDI_Cash_Exception_Application[[#This Row],[TYPE]],#REF!,2,FALSE)</f>
        <v>type40</v>
      </c>
      <c r="E1076">
        <v>-1830.92</v>
      </c>
      <c r="F1076" t="s">
        <v>48</v>
      </c>
      <c r="G1076" s="1">
        <f>qry_ProdData2_PDI_Cash_Exception_Application[[#This Row],[INSERT DATE]]+5</f>
        <v>45194.257071759261</v>
      </c>
      <c r="H1076" t="str">
        <f>VLOOKUP(qry_ProdData2_PDI_Cash_Exception_Application[[#This Row],[MARKET No]],'Site Allocation'!$B$2:$C$37,2,FALSE)</f>
        <v>Analyst4</v>
      </c>
      <c r="I1076" s="4">
        <f t="shared" ca="1" si="16"/>
        <v>45203</v>
      </c>
      <c r="J1076" s="42">
        <f ca="1">TODAY()-qry_ProdData2_PDI_Cash_Exception_Application[[#This Row],[INSERT DATE]]</f>
        <v>13.742928240739275</v>
      </c>
      <c r="K10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76">
        <f ca="1">qry_ProdData2_PDI_Cash_Exception_Application[[#This Row],[TODAY]]-qry_ProdData2_PDI_Cash_Exception_Application[[#This Row],[CHANGED ON]]</f>
        <v>8.7429282407392748</v>
      </c>
      <c r="M1076">
        <f ca="1">qry_ProdData2_PDI_Cash_Exception_Application[[#This Row],[TODAY]]-qry_ProdData2_PDI_Cash_Exception_Application[[#This Row],[CHANGED ON]]</f>
        <v>8.7429282407392748</v>
      </c>
      <c r="N1076">
        <f ca="1">qry_ProdData2_PDI_Cash_Exception_Application[[#This Row],[TODAY]]-qry_ProdData2_PDI_Cash_Exception_Application[[#This Row],[CHANGED ON]]</f>
        <v>8.7429282407392748</v>
      </c>
    </row>
    <row r="1077" spans="1:14" x14ac:dyDescent="0.35">
      <c r="A1077">
        <v>1009</v>
      </c>
      <c r="B1077" t="s">
        <v>63</v>
      </c>
      <c r="C1077" s="1">
        <v>45190.257071759261</v>
      </c>
      <c r="D1077" t="str">
        <f ca="1">VLOOKUP(qry_ProdData2_PDI_Cash_Exception_Application[[#This Row],[TYPE]],#REF!,2,FALSE)</f>
        <v>type40</v>
      </c>
      <c r="E1077">
        <v>606.30999999999995</v>
      </c>
      <c r="F1077" t="s">
        <v>50</v>
      </c>
      <c r="G1077" s="1">
        <f>qry_ProdData2_PDI_Cash_Exception_Application[[#This Row],[INSERT DATE]]+7</f>
        <v>45197.257071759261</v>
      </c>
      <c r="H1077" t="str">
        <f>VLOOKUP(qry_ProdData2_PDI_Cash_Exception_Application[[#This Row],[MARKET No]],'Site Allocation'!$B$2:$C$37,2,FALSE)</f>
        <v>Analyst2</v>
      </c>
      <c r="I1077" s="4">
        <f t="shared" ca="1" si="16"/>
        <v>45203</v>
      </c>
      <c r="J1077" s="42">
        <f ca="1">TODAY()-qry_ProdData2_PDI_Cash_Exception_Application[[#This Row],[INSERT DATE]]</f>
        <v>12.742928240739275</v>
      </c>
      <c r="K10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77">
        <f ca="1">qry_ProdData2_PDI_Cash_Exception_Application[[#This Row],[TODAY]]-qry_ProdData2_PDI_Cash_Exception_Application[[#This Row],[CHANGED ON]]</f>
        <v>5.7429282407392748</v>
      </c>
      <c r="M1077">
        <f ca="1">qry_ProdData2_PDI_Cash_Exception_Application[[#This Row],[TODAY]]-qry_ProdData2_PDI_Cash_Exception_Application[[#This Row],[CHANGED ON]]</f>
        <v>5.7429282407392748</v>
      </c>
      <c r="N1077">
        <f ca="1">qry_ProdData2_PDI_Cash_Exception_Application[[#This Row],[TODAY]]-qry_ProdData2_PDI_Cash_Exception_Application[[#This Row],[CHANGED ON]]</f>
        <v>5.7429282407392748</v>
      </c>
    </row>
    <row r="1078" spans="1:14" x14ac:dyDescent="0.35">
      <c r="A1078">
        <v>1014</v>
      </c>
      <c r="B1078" t="s">
        <v>68</v>
      </c>
      <c r="C1078" s="1">
        <v>45180.257071759261</v>
      </c>
      <c r="D1078" t="str">
        <f ca="1">VLOOKUP(qry_ProdData2_PDI_Cash_Exception_Application[[#This Row],[TYPE]],#REF!,2,FALSE)</f>
        <v>type40</v>
      </c>
      <c r="E1078">
        <v>-862.82</v>
      </c>
      <c r="F1078" t="s">
        <v>49</v>
      </c>
      <c r="G1078" s="1">
        <f>qry_ProdData2_PDI_Cash_Exception_Application[[#This Row],[INSERT DATE]]+7</f>
        <v>45187.257071759261</v>
      </c>
      <c r="H1078" t="str">
        <f>VLOOKUP(qry_ProdData2_PDI_Cash_Exception_Application[[#This Row],[MARKET No]],'Site Allocation'!$B$2:$C$37,2,FALSE)</f>
        <v>Analyst3</v>
      </c>
      <c r="I1078" s="4">
        <f t="shared" ca="1" si="16"/>
        <v>45203</v>
      </c>
      <c r="J1078" s="42">
        <f ca="1">TODAY()-qry_ProdData2_PDI_Cash_Exception_Application[[#This Row],[INSERT DATE]]</f>
        <v>22.742928240739275</v>
      </c>
      <c r="K10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78">
        <f ca="1">qry_ProdData2_PDI_Cash_Exception_Application[[#This Row],[TODAY]]-qry_ProdData2_PDI_Cash_Exception_Application[[#This Row],[CHANGED ON]]</f>
        <v>15.742928240739275</v>
      </c>
      <c r="M1078">
        <f ca="1">qry_ProdData2_PDI_Cash_Exception_Application[[#This Row],[TODAY]]-qry_ProdData2_PDI_Cash_Exception_Application[[#This Row],[CHANGED ON]]</f>
        <v>15.742928240739275</v>
      </c>
      <c r="N1078">
        <f ca="1">qry_ProdData2_PDI_Cash_Exception_Application[[#This Row],[TODAY]]-qry_ProdData2_PDI_Cash_Exception_Application[[#This Row],[CHANGED ON]]</f>
        <v>15.742928240739275</v>
      </c>
    </row>
    <row r="1079" spans="1:14" x14ac:dyDescent="0.35">
      <c r="A1079">
        <v>1019</v>
      </c>
      <c r="B1079" t="s">
        <v>73</v>
      </c>
      <c r="C1079" s="1">
        <v>45192.257071759261</v>
      </c>
      <c r="D1079" t="str">
        <f ca="1">VLOOKUP(qry_ProdData2_PDI_Cash_Exception_Application[[#This Row],[TYPE]],#REF!,2,FALSE)</f>
        <v>type40</v>
      </c>
      <c r="E1079">
        <v>-342.07</v>
      </c>
      <c r="F1079" t="s">
        <v>50</v>
      </c>
      <c r="G1079" s="1">
        <f>qry_ProdData2_PDI_Cash_Exception_Application[[#This Row],[INSERT DATE]]+7</f>
        <v>45199.257071759261</v>
      </c>
      <c r="H1079" t="str">
        <f>VLOOKUP(qry_ProdData2_PDI_Cash_Exception_Application[[#This Row],[MARKET No]],'Site Allocation'!$B$2:$C$37,2,FALSE)</f>
        <v>Analyst4</v>
      </c>
      <c r="I1079" s="4">
        <f t="shared" ca="1" si="16"/>
        <v>45203</v>
      </c>
      <c r="J1079" s="42">
        <f ca="1">TODAY()-qry_ProdData2_PDI_Cash_Exception_Application[[#This Row],[INSERT DATE]]</f>
        <v>10.742928240739275</v>
      </c>
      <c r="K10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79">
        <f ca="1">qry_ProdData2_PDI_Cash_Exception_Application[[#This Row],[TODAY]]-qry_ProdData2_PDI_Cash_Exception_Application[[#This Row],[CHANGED ON]]</f>
        <v>3.7429282407392748</v>
      </c>
      <c r="M1079">
        <f ca="1">qry_ProdData2_PDI_Cash_Exception_Application[[#This Row],[TODAY]]-qry_ProdData2_PDI_Cash_Exception_Application[[#This Row],[CHANGED ON]]</f>
        <v>3.7429282407392748</v>
      </c>
      <c r="N1079">
        <f ca="1">qry_ProdData2_PDI_Cash_Exception_Application[[#This Row],[TODAY]]-qry_ProdData2_PDI_Cash_Exception_Application[[#This Row],[CHANGED ON]]</f>
        <v>3.7429282407392748</v>
      </c>
    </row>
    <row r="1080" spans="1:14" x14ac:dyDescent="0.35">
      <c r="A1080">
        <v>1015</v>
      </c>
      <c r="B1080" t="s">
        <v>69</v>
      </c>
      <c r="C1080" s="1">
        <v>45192.257071759261</v>
      </c>
      <c r="D1080" t="str">
        <f ca="1">VLOOKUP(qry_ProdData2_PDI_Cash_Exception_Application[[#This Row],[TYPE]],#REF!,2,FALSE)</f>
        <v>type40</v>
      </c>
      <c r="E1080">
        <v>-8527.8700000000008</v>
      </c>
      <c r="F1080" t="s">
        <v>51</v>
      </c>
      <c r="G1080" s="1">
        <f>qry_ProdData2_PDI_Cash_Exception_Application[[#This Row],[INSERT DATE]]+2</f>
        <v>45194.257071759261</v>
      </c>
      <c r="H1080" t="str">
        <f>VLOOKUP(qry_ProdData2_PDI_Cash_Exception_Application[[#This Row],[MARKET No]],'Site Allocation'!$B$2:$C$37,2,FALSE)</f>
        <v>Analyst3</v>
      </c>
      <c r="I1080" s="4">
        <f t="shared" ca="1" si="16"/>
        <v>45203</v>
      </c>
      <c r="J1080" s="42">
        <f ca="1">TODAY()-qry_ProdData2_PDI_Cash_Exception_Application[[#This Row],[INSERT DATE]]</f>
        <v>10.742928240739275</v>
      </c>
      <c r="K10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80">
        <f ca="1">qry_ProdData2_PDI_Cash_Exception_Application[[#This Row],[TODAY]]-qry_ProdData2_PDI_Cash_Exception_Application[[#This Row],[CHANGED ON]]</f>
        <v>8.7429282407392748</v>
      </c>
      <c r="M1080">
        <f ca="1">qry_ProdData2_PDI_Cash_Exception_Application[[#This Row],[TODAY]]-qry_ProdData2_PDI_Cash_Exception_Application[[#This Row],[CHANGED ON]]</f>
        <v>8.7429282407392748</v>
      </c>
      <c r="N1080">
        <f ca="1">qry_ProdData2_PDI_Cash_Exception_Application[[#This Row],[TODAY]]-qry_ProdData2_PDI_Cash_Exception_Application[[#This Row],[CHANGED ON]]</f>
        <v>8.7429282407392748</v>
      </c>
    </row>
    <row r="1081" spans="1:14" x14ac:dyDescent="0.35">
      <c r="A1081">
        <v>1004</v>
      </c>
      <c r="B1081" t="s">
        <v>58</v>
      </c>
      <c r="C1081" s="1">
        <v>45194.257071759261</v>
      </c>
      <c r="D1081" t="str">
        <f ca="1">VLOOKUP(qry_ProdData2_PDI_Cash_Exception_Application[[#This Row],[TYPE]],#REF!,2,FALSE)</f>
        <v>type40</v>
      </c>
      <c r="E1081">
        <v>-851.93</v>
      </c>
      <c r="F1081" t="s">
        <v>52</v>
      </c>
      <c r="G1081" s="1">
        <f>qry_ProdData2_PDI_Cash_Exception_Application[[#This Row],[INSERT DATE]]+7</f>
        <v>45201.257071759261</v>
      </c>
      <c r="H1081" t="str">
        <f>VLOOKUP(qry_ProdData2_PDI_Cash_Exception_Application[[#This Row],[MARKET No]],'Site Allocation'!$B$2:$C$37,2,FALSE)</f>
        <v>Analyst1</v>
      </c>
      <c r="I1081" s="4">
        <f t="shared" ca="1" si="16"/>
        <v>45203</v>
      </c>
      <c r="J1081" s="42">
        <f ca="1">TODAY()-qry_ProdData2_PDI_Cash_Exception_Application[[#This Row],[INSERT DATE]]</f>
        <v>8.7429282407392748</v>
      </c>
      <c r="K10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081">
        <f ca="1">qry_ProdData2_PDI_Cash_Exception_Application[[#This Row],[TODAY]]-qry_ProdData2_PDI_Cash_Exception_Application[[#This Row],[CHANGED ON]]</f>
        <v>1.7429282407392748</v>
      </c>
      <c r="M1081">
        <f ca="1">qry_ProdData2_PDI_Cash_Exception_Application[[#This Row],[TODAY]]-qry_ProdData2_PDI_Cash_Exception_Application[[#This Row],[CHANGED ON]]</f>
        <v>1.7429282407392748</v>
      </c>
      <c r="N1081">
        <f ca="1">qry_ProdData2_PDI_Cash_Exception_Application[[#This Row],[TODAY]]-qry_ProdData2_PDI_Cash_Exception_Application[[#This Row],[CHANGED ON]]</f>
        <v>1.7429282407392748</v>
      </c>
    </row>
    <row r="1082" spans="1:14" x14ac:dyDescent="0.35">
      <c r="A1082">
        <v>1003</v>
      </c>
      <c r="B1082" t="s">
        <v>57</v>
      </c>
      <c r="C1082" s="1">
        <v>45181.257071759261</v>
      </c>
      <c r="D1082" t="str">
        <f ca="1">VLOOKUP(qry_ProdData2_PDI_Cash_Exception_Application[[#This Row],[TYPE]],#REF!,2,FALSE)</f>
        <v>type40</v>
      </c>
      <c r="E1082">
        <v>-352.02</v>
      </c>
      <c r="F1082" t="s">
        <v>47</v>
      </c>
      <c r="G1082" s="1">
        <f>qry_ProdData2_PDI_Cash_Exception_Application[[#This Row],[INSERT DATE]]+5</f>
        <v>45186.257071759261</v>
      </c>
      <c r="H1082" t="str">
        <f>VLOOKUP(qry_ProdData2_PDI_Cash_Exception_Application[[#This Row],[MARKET No]],'Site Allocation'!$B$2:$C$37,2,FALSE)</f>
        <v>Analyst1</v>
      </c>
      <c r="I1082" s="4">
        <f t="shared" ca="1" si="16"/>
        <v>45203</v>
      </c>
      <c r="J1082" s="42">
        <f ca="1">TODAY()-qry_ProdData2_PDI_Cash_Exception_Application[[#This Row],[INSERT DATE]]</f>
        <v>21.742928240739275</v>
      </c>
      <c r="K10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82">
        <f ca="1">qry_ProdData2_PDI_Cash_Exception_Application[[#This Row],[TODAY]]-qry_ProdData2_PDI_Cash_Exception_Application[[#This Row],[CHANGED ON]]</f>
        <v>16.742928240739275</v>
      </c>
      <c r="M1082">
        <f ca="1">qry_ProdData2_PDI_Cash_Exception_Application[[#This Row],[TODAY]]-qry_ProdData2_PDI_Cash_Exception_Application[[#This Row],[CHANGED ON]]</f>
        <v>16.742928240739275</v>
      </c>
      <c r="N1082">
        <f ca="1">qry_ProdData2_PDI_Cash_Exception_Application[[#This Row],[TODAY]]-qry_ProdData2_PDI_Cash_Exception_Application[[#This Row],[CHANGED ON]]</f>
        <v>16.742928240739275</v>
      </c>
    </row>
    <row r="1083" spans="1:14" x14ac:dyDescent="0.35">
      <c r="A1083">
        <v>1018</v>
      </c>
      <c r="B1083" t="s">
        <v>72</v>
      </c>
      <c r="C1083" s="1">
        <v>45185.257071759261</v>
      </c>
      <c r="D1083" t="str">
        <f ca="1">VLOOKUP(qry_ProdData2_PDI_Cash_Exception_Application[[#This Row],[TYPE]],#REF!,2,FALSE)</f>
        <v>type13</v>
      </c>
      <c r="E1083">
        <v>32909.9</v>
      </c>
      <c r="F1083" t="s">
        <v>49</v>
      </c>
      <c r="G1083" s="1">
        <f>qry_ProdData2_PDI_Cash_Exception_Application[[#This Row],[INSERT DATE]]+1</f>
        <v>45186.257071759261</v>
      </c>
      <c r="H1083" t="str">
        <f>VLOOKUP(qry_ProdData2_PDI_Cash_Exception_Application[[#This Row],[MARKET No]],'Site Allocation'!$B$2:$C$37,2,FALSE)</f>
        <v>Analyst4</v>
      </c>
      <c r="I1083" s="4">
        <f t="shared" ca="1" si="16"/>
        <v>45203</v>
      </c>
      <c r="J1083" s="42">
        <f ca="1">TODAY()-qry_ProdData2_PDI_Cash_Exception_Application[[#This Row],[INSERT DATE]]</f>
        <v>17.742928240739275</v>
      </c>
      <c r="K10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83">
        <f ca="1">qry_ProdData2_PDI_Cash_Exception_Application[[#This Row],[TODAY]]-qry_ProdData2_PDI_Cash_Exception_Application[[#This Row],[CHANGED ON]]</f>
        <v>16.742928240739275</v>
      </c>
      <c r="M1083">
        <f ca="1">qry_ProdData2_PDI_Cash_Exception_Application[[#This Row],[TODAY]]-qry_ProdData2_PDI_Cash_Exception_Application[[#This Row],[CHANGED ON]]</f>
        <v>16.742928240739275</v>
      </c>
      <c r="N1083">
        <f ca="1">qry_ProdData2_PDI_Cash_Exception_Application[[#This Row],[TODAY]]-qry_ProdData2_PDI_Cash_Exception_Application[[#This Row],[CHANGED ON]]</f>
        <v>16.742928240739275</v>
      </c>
    </row>
    <row r="1084" spans="1:14" x14ac:dyDescent="0.35">
      <c r="A1084">
        <v>1030</v>
      </c>
      <c r="B1084" t="s">
        <v>84</v>
      </c>
      <c r="C1084" s="1">
        <v>45183.257071759261</v>
      </c>
      <c r="D1084" t="str">
        <f ca="1">VLOOKUP(qry_ProdData2_PDI_Cash_Exception_Application[[#This Row],[TYPE]],#REF!,2,FALSE)</f>
        <v>type13</v>
      </c>
      <c r="E1084">
        <v>28935.919999999998</v>
      </c>
      <c r="F1084" t="s">
        <v>48</v>
      </c>
      <c r="G1084" s="1">
        <f>qry_ProdData2_PDI_Cash_Exception_Application[[#This Row],[INSERT DATE]]+7</f>
        <v>45190.257071759261</v>
      </c>
      <c r="H1084" t="str">
        <f>VLOOKUP(qry_ProdData2_PDI_Cash_Exception_Application[[#This Row],[MARKET No]],'Site Allocation'!$B$2:$C$37,2,FALSE)</f>
        <v>Analyst6</v>
      </c>
      <c r="I1084" s="4">
        <f t="shared" ca="1" si="16"/>
        <v>45203</v>
      </c>
      <c r="J1084" s="42">
        <f ca="1">TODAY()-qry_ProdData2_PDI_Cash_Exception_Application[[#This Row],[INSERT DATE]]</f>
        <v>19.742928240739275</v>
      </c>
      <c r="K10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84">
        <f ca="1">qry_ProdData2_PDI_Cash_Exception_Application[[#This Row],[TODAY]]-qry_ProdData2_PDI_Cash_Exception_Application[[#This Row],[CHANGED ON]]</f>
        <v>12.742928240739275</v>
      </c>
      <c r="M1084">
        <f ca="1">qry_ProdData2_PDI_Cash_Exception_Application[[#This Row],[TODAY]]-qry_ProdData2_PDI_Cash_Exception_Application[[#This Row],[CHANGED ON]]</f>
        <v>12.742928240739275</v>
      </c>
      <c r="N1084">
        <f ca="1">qry_ProdData2_PDI_Cash_Exception_Application[[#This Row],[TODAY]]-qry_ProdData2_PDI_Cash_Exception_Application[[#This Row],[CHANGED ON]]</f>
        <v>12.742928240739275</v>
      </c>
    </row>
    <row r="1085" spans="1:14" x14ac:dyDescent="0.35">
      <c r="A1085">
        <v>1028</v>
      </c>
      <c r="B1085" t="s">
        <v>82</v>
      </c>
      <c r="C1085" s="1">
        <v>45183.257071759261</v>
      </c>
      <c r="D1085" t="str">
        <f ca="1">VLOOKUP(qry_ProdData2_PDI_Cash_Exception_Application[[#This Row],[TYPE]],#REF!,2,FALSE)</f>
        <v>type40</v>
      </c>
      <c r="E1085">
        <v>999.37</v>
      </c>
      <c r="F1085" t="s">
        <v>48</v>
      </c>
      <c r="G1085" s="1">
        <f>qry_ProdData2_PDI_Cash_Exception_Application[[#This Row],[INSERT DATE]]+1</f>
        <v>45184.257071759261</v>
      </c>
      <c r="H1085" t="str">
        <f>VLOOKUP(qry_ProdData2_PDI_Cash_Exception_Application[[#This Row],[MARKET No]],'Site Allocation'!$B$2:$C$37,2,FALSE)</f>
        <v>Analyst5</v>
      </c>
      <c r="I1085" s="4">
        <f t="shared" ca="1" si="16"/>
        <v>45203</v>
      </c>
      <c r="J1085" s="42">
        <f ca="1">TODAY()-qry_ProdData2_PDI_Cash_Exception_Application[[#This Row],[INSERT DATE]]</f>
        <v>19.742928240739275</v>
      </c>
      <c r="K10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85">
        <f ca="1">qry_ProdData2_PDI_Cash_Exception_Application[[#This Row],[TODAY]]-qry_ProdData2_PDI_Cash_Exception_Application[[#This Row],[CHANGED ON]]</f>
        <v>18.742928240739275</v>
      </c>
      <c r="M1085">
        <f ca="1">qry_ProdData2_PDI_Cash_Exception_Application[[#This Row],[TODAY]]-qry_ProdData2_PDI_Cash_Exception_Application[[#This Row],[CHANGED ON]]</f>
        <v>18.742928240739275</v>
      </c>
      <c r="N1085">
        <f ca="1">qry_ProdData2_PDI_Cash_Exception_Application[[#This Row],[TODAY]]-qry_ProdData2_PDI_Cash_Exception_Application[[#This Row],[CHANGED ON]]</f>
        <v>18.742928240739275</v>
      </c>
    </row>
    <row r="1086" spans="1:14" x14ac:dyDescent="0.35">
      <c r="A1086">
        <v>1000</v>
      </c>
      <c r="B1086" t="s">
        <v>54</v>
      </c>
      <c r="C1086" s="1">
        <v>45188.257071759261</v>
      </c>
      <c r="D1086" t="str">
        <f ca="1">VLOOKUP(qry_ProdData2_PDI_Cash_Exception_Application[[#This Row],[TYPE]],#REF!,2,FALSE)</f>
        <v>type40</v>
      </c>
      <c r="E1086">
        <v>-730.84</v>
      </c>
      <c r="F1086" t="s">
        <v>47</v>
      </c>
      <c r="G1086" s="1">
        <f>qry_ProdData2_PDI_Cash_Exception_Application[[#This Row],[INSERT DATE]]+7</f>
        <v>45195.257071759261</v>
      </c>
      <c r="H1086" t="str">
        <f>VLOOKUP(qry_ProdData2_PDI_Cash_Exception_Application[[#This Row],[MARKET No]],'Site Allocation'!$B$2:$C$37,2,FALSE)</f>
        <v>Analyst1</v>
      </c>
      <c r="I1086" s="4">
        <f t="shared" ca="1" si="16"/>
        <v>45203</v>
      </c>
      <c r="J1086" s="42">
        <f ca="1">TODAY()-qry_ProdData2_PDI_Cash_Exception_Application[[#This Row],[INSERT DATE]]</f>
        <v>14.742928240739275</v>
      </c>
      <c r="K10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86">
        <f ca="1">qry_ProdData2_PDI_Cash_Exception_Application[[#This Row],[TODAY]]-qry_ProdData2_PDI_Cash_Exception_Application[[#This Row],[CHANGED ON]]</f>
        <v>7.7429282407392748</v>
      </c>
      <c r="M1086">
        <f ca="1">qry_ProdData2_PDI_Cash_Exception_Application[[#This Row],[TODAY]]-qry_ProdData2_PDI_Cash_Exception_Application[[#This Row],[CHANGED ON]]</f>
        <v>7.7429282407392748</v>
      </c>
      <c r="N1086">
        <f ca="1">qry_ProdData2_PDI_Cash_Exception_Application[[#This Row],[TODAY]]-qry_ProdData2_PDI_Cash_Exception_Application[[#This Row],[CHANGED ON]]</f>
        <v>7.7429282407392748</v>
      </c>
    </row>
    <row r="1087" spans="1:14" x14ac:dyDescent="0.35">
      <c r="A1087">
        <v>1008</v>
      </c>
      <c r="B1087" t="s">
        <v>62</v>
      </c>
      <c r="C1087" s="1">
        <v>45181.257071759261</v>
      </c>
      <c r="D1087" t="str">
        <f ca="1">VLOOKUP(qry_ProdData2_PDI_Cash_Exception_Application[[#This Row],[TYPE]],#REF!,2,FALSE)</f>
        <v>type40</v>
      </c>
      <c r="E1087">
        <v>-1105.8699999999999</v>
      </c>
      <c r="F1087" t="s">
        <v>52</v>
      </c>
      <c r="G1087" s="1">
        <f>qry_ProdData2_PDI_Cash_Exception_Application[[#This Row],[INSERT DATE]]+1</f>
        <v>45182.257071759261</v>
      </c>
      <c r="H1087" t="str">
        <f>VLOOKUP(qry_ProdData2_PDI_Cash_Exception_Application[[#This Row],[MARKET No]],'Site Allocation'!$B$2:$C$37,2,FALSE)</f>
        <v>Analyst2</v>
      </c>
      <c r="I1087" s="4">
        <f t="shared" ca="1" si="16"/>
        <v>45203</v>
      </c>
      <c r="J1087" s="42">
        <f ca="1">TODAY()-qry_ProdData2_PDI_Cash_Exception_Application[[#This Row],[INSERT DATE]]</f>
        <v>21.742928240739275</v>
      </c>
      <c r="K10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87">
        <f ca="1">qry_ProdData2_PDI_Cash_Exception_Application[[#This Row],[TODAY]]-qry_ProdData2_PDI_Cash_Exception_Application[[#This Row],[CHANGED ON]]</f>
        <v>20.742928240739275</v>
      </c>
      <c r="M1087">
        <f ca="1">qry_ProdData2_PDI_Cash_Exception_Application[[#This Row],[TODAY]]-qry_ProdData2_PDI_Cash_Exception_Application[[#This Row],[CHANGED ON]]</f>
        <v>20.742928240739275</v>
      </c>
      <c r="N1087">
        <f ca="1">qry_ProdData2_PDI_Cash_Exception_Application[[#This Row],[TODAY]]-qry_ProdData2_PDI_Cash_Exception_Application[[#This Row],[CHANGED ON]]</f>
        <v>20.742928240739275</v>
      </c>
    </row>
    <row r="1088" spans="1:14" x14ac:dyDescent="0.35">
      <c r="A1088">
        <v>1018</v>
      </c>
      <c r="B1088" t="s">
        <v>72</v>
      </c>
      <c r="C1088" s="1">
        <v>45182.257071759261</v>
      </c>
      <c r="D1088" t="str">
        <f ca="1">VLOOKUP(qry_ProdData2_PDI_Cash_Exception_Application[[#This Row],[TYPE]],#REF!,2,FALSE)</f>
        <v>type40</v>
      </c>
      <c r="E1088">
        <v>-450.67</v>
      </c>
      <c r="F1088" t="s">
        <v>52</v>
      </c>
      <c r="G1088" s="1">
        <f>qry_ProdData2_PDI_Cash_Exception_Application[[#This Row],[INSERT DATE]]+1</f>
        <v>45183.257071759261</v>
      </c>
      <c r="H1088" t="str">
        <f>VLOOKUP(qry_ProdData2_PDI_Cash_Exception_Application[[#This Row],[MARKET No]],'Site Allocation'!$B$2:$C$37,2,FALSE)</f>
        <v>Analyst4</v>
      </c>
      <c r="I1088" s="4">
        <f t="shared" ca="1" si="16"/>
        <v>45203</v>
      </c>
      <c r="J1088" s="42">
        <f ca="1">TODAY()-qry_ProdData2_PDI_Cash_Exception_Application[[#This Row],[INSERT DATE]]</f>
        <v>20.742928240739275</v>
      </c>
      <c r="K10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88">
        <f ca="1">qry_ProdData2_PDI_Cash_Exception_Application[[#This Row],[TODAY]]-qry_ProdData2_PDI_Cash_Exception_Application[[#This Row],[CHANGED ON]]</f>
        <v>19.742928240739275</v>
      </c>
      <c r="M1088">
        <f ca="1">qry_ProdData2_PDI_Cash_Exception_Application[[#This Row],[TODAY]]-qry_ProdData2_PDI_Cash_Exception_Application[[#This Row],[CHANGED ON]]</f>
        <v>19.742928240739275</v>
      </c>
      <c r="N1088">
        <f ca="1">qry_ProdData2_PDI_Cash_Exception_Application[[#This Row],[TODAY]]-qry_ProdData2_PDI_Cash_Exception_Application[[#This Row],[CHANGED ON]]</f>
        <v>19.742928240739275</v>
      </c>
    </row>
    <row r="1089" spans="1:14" x14ac:dyDescent="0.35">
      <c r="A1089">
        <v>1027</v>
      </c>
      <c r="B1089" t="s">
        <v>81</v>
      </c>
      <c r="C1089" s="1">
        <v>45187.257071759261</v>
      </c>
      <c r="D1089" t="str">
        <f ca="1">VLOOKUP(qry_ProdData2_PDI_Cash_Exception_Application[[#This Row],[TYPE]],#REF!,2,FALSE)</f>
        <v>type48</v>
      </c>
      <c r="E1089">
        <v>-1031.06</v>
      </c>
      <c r="F1089" t="s">
        <v>47</v>
      </c>
      <c r="G1089" s="1">
        <f>qry_ProdData2_PDI_Cash_Exception_Application[[#This Row],[INSERT DATE]]+1</f>
        <v>45188.257071759261</v>
      </c>
      <c r="H1089" t="str">
        <f>VLOOKUP(qry_ProdData2_PDI_Cash_Exception_Application[[#This Row],[MARKET No]],'Site Allocation'!$B$2:$C$37,2,FALSE)</f>
        <v>Analyst5</v>
      </c>
      <c r="I1089" s="4">
        <f t="shared" ca="1" si="16"/>
        <v>45203</v>
      </c>
      <c r="J1089" s="42">
        <f ca="1">TODAY()-qry_ProdData2_PDI_Cash_Exception_Application[[#This Row],[INSERT DATE]]</f>
        <v>15.742928240739275</v>
      </c>
      <c r="K10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89">
        <f ca="1">qry_ProdData2_PDI_Cash_Exception_Application[[#This Row],[TODAY]]-qry_ProdData2_PDI_Cash_Exception_Application[[#This Row],[CHANGED ON]]</f>
        <v>14.742928240739275</v>
      </c>
      <c r="M1089">
        <f ca="1">qry_ProdData2_PDI_Cash_Exception_Application[[#This Row],[TODAY]]-qry_ProdData2_PDI_Cash_Exception_Application[[#This Row],[CHANGED ON]]</f>
        <v>14.742928240739275</v>
      </c>
      <c r="N1089">
        <f ca="1">qry_ProdData2_PDI_Cash_Exception_Application[[#This Row],[TODAY]]-qry_ProdData2_PDI_Cash_Exception_Application[[#This Row],[CHANGED ON]]</f>
        <v>14.742928240739275</v>
      </c>
    </row>
    <row r="1090" spans="1:14" x14ac:dyDescent="0.35">
      <c r="A1090">
        <v>1020</v>
      </c>
      <c r="B1090" t="s">
        <v>74</v>
      </c>
      <c r="C1090" s="1">
        <v>45183.257071759261</v>
      </c>
      <c r="D1090" t="str">
        <f ca="1">VLOOKUP(qry_ProdData2_PDI_Cash_Exception_Application[[#This Row],[TYPE]],#REF!,2,FALSE)</f>
        <v>type40</v>
      </c>
      <c r="E1090">
        <v>-1663.61</v>
      </c>
      <c r="F1090" t="s">
        <v>52</v>
      </c>
      <c r="G1090" s="1">
        <f>qry_ProdData2_PDI_Cash_Exception_Application[[#This Row],[INSERT DATE]]+1</f>
        <v>45184.257071759261</v>
      </c>
      <c r="H1090" t="str">
        <f>VLOOKUP(qry_ProdData2_PDI_Cash_Exception_Application[[#This Row],[MARKET No]],'Site Allocation'!$B$2:$C$37,2,FALSE)</f>
        <v>Analyst4</v>
      </c>
      <c r="I1090" s="4">
        <f t="shared" ref="I1090:I1153" ca="1" si="17">TODAY()</f>
        <v>45203</v>
      </c>
      <c r="J1090" s="42">
        <f ca="1">TODAY()-qry_ProdData2_PDI_Cash_Exception_Application[[#This Row],[INSERT DATE]]</f>
        <v>19.742928240739275</v>
      </c>
      <c r="K10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90">
        <f ca="1">qry_ProdData2_PDI_Cash_Exception_Application[[#This Row],[TODAY]]-qry_ProdData2_PDI_Cash_Exception_Application[[#This Row],[CHANGED ON]]</f>
        <v>18.742928240739275</v>
      </c>
      <c r="M1090">
        <f ca="1">qry_ProdData2_PDI_Cash_Exception_Application[[#This Row],[TODAY]]-qry_ProdData2_PDI_Cash_Exception_Application[[#This Row],[CHANGED ON]]</f>
        <v>18.742928240739275</v>
      </c>
      <c r="N1090">
        <f ca="1">qry_ProdData2_PDI_Cash_Exception_Application[[#This Row],[TODAY]]-qry_ProdData2_PDI_Cash_Exception_Application[[#This Row],[CHANGED ON]]</f>
        <v>18.742928240739275</v>
      </c>
    </row>
    <row r="1091" spans="1:14" x14ac:dyDescent="0.35">
      <c r="A1091">
        <v>1008</v>
      </c>
      <c r="B1091" t="s">
        <v>62</v>
      </c>
      <c r="C1091" s="1">
        <v>45184.257071759261</v>
      </c>
      <c r="D1091" t="str">
        <f ca="1">VLOOKUP(qry_ProdData2_PDI_Cash_Exception_Application[[#This Row],[TYPE]],#REF!,2,FALSE)</f>
        <v>type40</v>
      </c>
      <c r="E1091">
        <v>7849.73</v>
      </c>
      <c r="F1091" t="s">
        <v>47</v>
      </c>
      <c r="G1091" s="1">
        <f>qry_ProdData2_PDI_Cash_Exception_Application[[#This Row],[INSERT DATE]]+2</f>
        <v>45186.257071759261</v>
      </c>
      <c r="H1091" t="str">
        <f>VLOOKUP(qry_ProdData2_PDI_Cash_Exception_Application[[#This Row],[MARKET No]],'Site Allocation'!$B$2:$C$37,2,FALSE)</f>
        <v>Analyst2</v>
      </c>
      <c r="I1091" s="4">
        <f t="shared" ca="1" si="17"/>
        <v>45203</v>
      </c>
      <c r="J1091" s="42">
        <f ca="1">TODAY()-qry_ProdData2_PDI_Cash_Exception_Application[[#This Row],[INSERT DATE]]</f>
        <v>18.742928240739275</v>
      </c>
      <c r="K10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91">
        <f ca="1">qry_ProdData2_PDI_Cash_Exception_Application[[#This Row],[TODAY]]-qry_ProdData2_PDI_Cash_Exception_Application[[#This Row],[CHANGED ON]]</f>
        <v>16.742928240739275</v>
      </c>
      <c r="M1091">
        <f ca="1">qry_ProdData2_PDI_Cash_Exception_Application[[#This Row],[TODAY]]-qry_ProdData2_PDI_Cash_Exception_Application[[#This Row],[CHANGED ON]]</f>
        <v>16.742928240739275</v>
      </c>
      <c r="N1091">
        <f ca="1">qry_ProdData2_PDI_Cash_Exception_Application[[#This Row],[TODAY]]-qry_ProdData2_PDI_Cash_Exception_Application[[#This Row],[CHANGED ON]]</f>
        <v>16.742928240739275</v>
      </c>
    </row>
    <row r="1092" spans="1:14" x14ac:dyDescent="0.35">
      <c r="A1092">
        <v>1011</v>
      </c>
      <c r="B1092" t="s">
        <v>65</v>
      </c>
      <c r="C1092" s="1">
        <v>45187.257071759261</v>
      </c>
      <c r="D1092" t="str">
        <f ca="1">VLOOKUP(qry_ProdData2_PDI_Cash_Exception_Application[[#This Row],[TYPE]],#REF!,2,FALSE)</f>
        <v>type38</v>
      </c>
      <c r="E1092">
        <v>234.05</v>
      </c>
      <c r="F1092" t="s">
        <v>49</v>
      </c>
      <c r="G1092" s="1">
        <f>qry_ProdData2_PDI_Cash_Exception_Application[[#This Row],[INSERT DATE]]+1</f>
        <v>45188.257071759261</v>
      </c>
      <c r="H1092" t="str">
        <f>VLOOKUP(qry_ProdData2_PDI_Cash_Exception_Application[[#This Row],[MARKET No]],'Site Allocation'!$B$2:$C$37,2,FALSE)</f>
        <v>Analyst2</v>
      </c>
      <c r="I1092" s="4">
        <f t="shared" ca="1" si="17"/>
        <v>45203</v>
      </c>
      <c r="J1092" s="42">
        <f ca="1">TODAY()-qry_ProdData2_PDI_Cash_Exception_Application[[#This Row],[INSERT DATE]]</f>
        <v>15.742928240739275</v>
      </c>
      <c r="K10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92">
        <f ca="1">qry_ProdData2_PDI_Cash_Exception_Application[[#This Row],[TODAY]]-qry_ProdData2_PDI_Cash_Exception_Application[[#This Row],[CHANGED ON]]</f>
        <v>14.742928240739275</v>
      </c>
      <c r="M1092">
        <f ca="1">qry_ProdData2_PDI_Cash_Exception_Application[[#This Row],[TODAY]]-qry_ProdData2_PDI_Cash_Exception_Application[[#This Row],[CHANGED ON]]</f>
        <v>14.742928240739275</v>
      </c>
      <c r="N1092">
        <f ca="1">qry_ProdData2_PDI_Cash_Exception_Application[[#This Row],[TODAY]]-qry_ProdData2_PDI_Cash_Exception_Application[[#This Row],[CHANGED ON]]</f>
        <v>14.742928240739275</v>
      </c>
    </row>
    <row r="1093" spans="1:14" x14ac:dyDescent="0.35">
      <c r="A1093">
        <v>1008</v>
      </c>
      <c r="B1093" t="s">
        <v>62</v>
      </c>
      <c r="C1093" s="1">
        <v>45184.257071759261</v>
      </c>
      <c r="D1093" t="str">
        <f ca="1">VLOOKUP(qry_ProdData2_PDI_Cash_Exception_Application[[#This Row],[TYPE]],#REF!,2,FALSE)</f>
        <v>type40</v>
      </c>
      <c r="E1093">
        <v>-2087.62</v>
      </c>
      <c r="F1093" t="s">
        <v>50</v>
      </c>
      <c r="G1093" s="1">
        <f>qry_ProdData2_PDI_Cash_Exception_Application[[#This Row],[INSERT DATE]]+1</f>
        <v>45185.257071759261</v>
      </c>
      <c r="H1093" t="str">
        <f>VLOOKUP(qry_ProdData2_PDI_Cash_Exception_Application[[#This Row],[MARKET No]],'Site Allocation'!$B$2:$C$37,2,FALSE)</f>
        <v>Analyst2</v>
      </c>
      <c r="I1093" s="4">
        <f t="shared" ca="1" si="17"/>
        <v>45203</v>
      </c>
      <c r="J1093" s="42">
        <f ca="1">TODAY()-qry_ProdData2_PDI_Cash_Exception_Application[[#This Row],[INSERT DATE]]</f>
        <v>18.742928240739275</v>
      </c>
      <c r="K10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93">
        <f ca="1">qry_ProdData2_PDI_Cash_Exception_Application[[#This Row],[TODAY]]-qry_ProdData2_PDI_Cash_Exception_Application[[#This Row],[CHANGED ON]]</f>
        <v>17.742928240739275</v>
      </c>
      <c r="M1093">
        <f ca="1">qry_ProdData2_PDI_Cash_Exception_Application[[#This Row],[TODAY]]-qry_ProdData2_PDI_Cash_Exception_Application[[#This Row],[CHANGED ON]]</f>
        <v>17.742928240739275</v>
      </c>
      <c r="N1093">
        <f ca="1">qry_ProdData2_PDI_Cash_Exception_Application[[#This Row],[TODAY]]-qry_ProdData2_PDI_Cash_Exception_Application[[#This Row],[CHANGED ON]]</f>
        <v>17.742928240739275</v>
      </c>
    </row>
    <row r="1094" spans="1:14" x14ac:dyDescent="0.35">
      <c r="A1094">
        <v>1016</v>
      </c>
      <c r="B1094" t="s">
        <v>70</v>
      </c>
      <c r="C1094" s="1">
        <v>45188.257071759261</v>
      </c>
      <c r="D1094" t="str">
        <f ca="1">VLOOKUP(qry_ProdData2_PDI_Cash_Exception_Application[[#This Row],[TYPE]],#REF!,2,FALSE)</f>
        <v>type40</v>
      </c>
      <c r="E1094">
        <v>-340.69</v>
      </c>
      <c r="F1094" t="s">
        <v>47</v>
      </c>
      <c r="G1094" s="1">
        <f>qry_ProdData2_PDI_Cash_Exception_Application[[#This Row],[INSERT DATE]]+2</f>
        <v>45190.257071759261</v>
      </c>
      <c r="H1094" t="str">
        <f>VLOOKUP(qry_ProdData2_PDI_Cash_Exception_Application[[#This Row],[MARKET No]],'Site Allocation'!$B$2:$C$37,2,FALSE)</f>
        <v>Analyst3</v>
      </c>
      <c r="I1094" s="4">
        <f t="shared" ca="1" si="17"/>
        <v>45203</v>
      </c>
      <c r="J1094" s="42">
        <f ca="1">TODAY()-qry_ProdData2_PDI_Cash_Exception_Application[[#This Row],[INSERT DATE]]</f>
        <v>14.742928240739275</v>
      </c>
      <c r="K10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94">
        <f ca="1">qry_ProdData2_PDI_Cash_Exception_Application[[#This Row],[TODAY]]-qry_ProdData2_PDI_Cash_Exception_Application[[#This Row],[CHANGED ON]]</f>
        <v>12.742928240739275</v>
      </c>
      <c r="M1094">
        <f ca="1">qry_ProdData2_PDI_Cash_Exception_Application[[#This Row],[TODAY]]-qry_ProdData2_PDI_Cash_Exception_Application[[#This Row],[CHANGED ON]]</f>
        <v>12.742928240739275</v>
      </c>
      <c r="N1094">
        <f ca="1">qry_ProdData2_PDI_Cash_Exception_Application[[#This Row],[TODAY]]-qry_ProdData2_PDI_Cash_Exception_Application[[#This Row],[CHANGED ON]]</f>
        <v>12.742928240739275</v>
      </c>
    </row>
    <row r="1095" spans="1:14" x14ac:dyDescent="0.35">
      <c r="A1095">
        <v>1008</v>
      </c>
      <c r="B1095" t="s">
        <v>62</v>
      </c>
      <c r="C1095" s="1">
        <v>45180.257071759261</v>
      </c>
      <c r="D1095" t="str">
        <f ca="1">VLOOKUP(qry_ProdData2_PDI_Cash_Exception_Application[[#This Row],[TYPE]],#REF!,2,FALSE)</f>
        <v>type13</v>
      </c>
      <c r="E1095">
        <v>30894.45</v>
      </c>
      <c r="F1095" t="s">
        <v>47</v>
      </c>
      <c r="G1095" s="1">
        <f>qry_ProdData2_PDI_Cash_Exception_Application[[#This Row],[INSERT DATE]]+5</f>
        <v>45185.257071759261</v>
      </c>
      <c r="H1095" t="str">
        <f>VLOOKUP(qry_ProdData2_PDI_Cash_Exception_Application[[#This Row],[MARKET No]],'Site Allocation'!$B$2:$C$37,2,FALSE)</f>
        <v>Analyst2</v>
      </c>
      <c r="I1095" s="4">
        <f t="shared" ca="1" si="17"/>
        <v>45203</v>
      </c>
      <c r="J1095" s="42">
        <f ca="1">TODAY()-qry_ProdData2_PDI_Cash_Exception_Application[[#This Row],[INSERT DATE]]</f>
        <v>22.742928240739275</v>
      </c>
      <c r="K10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95">
        <f ca="1">qry_ProdData2_PDI_Cash_Exception_Application[[#This Row],[TODAY]]-qry_ProdData2_PDI_Cash_Exception_Application[[#This Row],[CHANGED ON]]</f>
        <v>17.742928240739275</v>
      </c>
      <c r="M1095">
        <f ca="1">qry_ProdData2_PDI_Cash_Exception_Application[[#This Row],[TODAY]]-qry_ProdData2_PDI_Cash_Exception_Application[[#This Row],[CHANGED ON]]</f>
        <v>17.742928240739275</v>
      </c>
      <c r="N1095">
        <f ca="1">qry_ProdData2_PDI_Cash_Exception_Application[[#This Row],[TODAY]]-qry_ProdData2_PDI_Cash_Exception_Application[[#This Row],[CHANGED ON]]</f>
        <v>17.742928240739275</v>
      </c>
    </row>
    <row r="1096" spans="1:14" x14ac:dyDescent="0.35">
      <c r="A1096">
        <v>1017</v>
      </c>
      <c r="B1096" t="s">
        <v>71</v>
      </c>
      <c r="C1096" s="1">
        <v>45186.257071759261</v>
      </c>
      <c r="D1096" t="str">
        <f ca="1">VLOOKUP(qry_ProdData2_PDI_Cash_Exception_Application[[#This Row],[TYPE]],#REF!,2,FALSE)</f>
        <v>type40</v>
      </c>
      <c r="E1096">
        <v>-1836.58</v>
      </c>
      <c r="F1096" t="s">
        <v>50</v>
      </c>
      <c r="G1096" s="1">
        <f>qry_ProdData2_PDI_Cash_Exception_Application[[#This Row],[INSERT DATE]]+1</f>
        <v>45187.257071759261</v>
      </c>
      <c r="H1096" t="str">
        <f>VLOOKUP(qry_ProdData2_PDI_Cash_Exception_Application[[#This Row],[MARKET No]],'Site Allocation'!$B$2:$C$37,2,FALSE)</f>
        <v>Analyst3</v>
      </c>
      <c r="I1096" s="4">
        <f t="shared" ca="1" si="17"/>
        <v>45203</v>
      </c>
      <c r="J1096" s="42">
        <f ca="1">TODAY()-qry_ProdData2_PDI_Cash_Exception_Application[[#This Row],[INSERT DATE]]</f>
        <v>16.742928240739275</v>
      </c>
      <c r="K10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96">
        <f ca="1">qry_ProdData2_PDI_Cash_Exception_Application[[#This Row],[TODAY]]-qry_ProdData2_PDI_Cash_Exception_Application[[#This Row],[CHANGED ON]]</f>
        <v>15.742928240739275</v>
      </c>
      <c r="M1096">
        <f ca="1">qry_ProdData2_PDI_Cash_Exception_Application[[#This Row],[TODAY]]-qry_ProdData2_PDI_Cash_Exception_Application[[#This Row],[CHANGED ON]]</f>
        <v>15.742928240739275</v>
      </c>
      <c r="N1096">
        <f ca="1">qry_ProdData2_PDI_Cash_Exception_Application[[#This Row],[TODAY]]-qry_ProdData2_PDI_Cash_Exception_Application[[#This Row],[CHANGED ON]]</f>
        <v>15.742928240739275</v>
      </c>
    </row>
    <row r="1097" spans="1:14" x14ac:dyDescent="0.35">
      <c r="A1097">
        <v>1023</v>
      </c>
      <c r="B1097" t="s">
        <v>77</v>
      </c>
      <c r="C1097" s="1">
        <v>45187.257071759261</v>
      </c>
      <c r="D1097" t="str">
        <f ca="1">VLOOKUP(qry_ProdData2_PDI_Cash_Exception_Application[[#This Row],[TYPE]],#REF!,2,FALSE)</f>
        <v>type40</v>
      </c>
      <c r="E1097">
        <v>-368.56</v>
      </c>
      <c r="F1097" t="s">
        <v>52</v>
      </c>
      <c r="G1097" s="1">
        <f>qry_ProdData2_PDI_Cash_Exception_Application[[#This Row],[INSERT DATE]]+1</f>
        <v>45188.257071759261</v>
      </c>
      <c r="H1097" t="str">
        <f>VLOOKUP(qry_ProdData2_PDI_Cash_Exception_Application[[#This Row],[MARKET No]],'Site Allocation'!$B$2:$C$37,2,FALSE)</f>
        <v>Analyst4</v>
      </c>
      <c r="I1097" s="4">
        <f t="shared" ca="1" si="17"/>
        <v>45203</v>
      </c>
      <c r="J1097" s="42">
        <f ca="1">TODAY()-qry_ProdData2_PDI_Cash_Exception_Application[[#This Row],[INSERT DATE]]</f>
        <v>15.742928240739275</v>
      </c>
      <c r="K10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97">
        <f ca="1">qry_ProdData2_PDI_Cash_Exception_Application[[#This Row],[TODAY]]-qry_ProdData2_PDI_Cash_Exception_Application[[#This Row],[CHANGED ON]]</f>
        <v>14.742928240739275</v>
      </c>
      <c r="M1097">
        <f ca="1">qry_ProdData2_PDI_Cash_Exception_Application[[#This Row],[TODAY]]-qry_ProdData2_PDI_Cash_Exception_Application[[#This Row],[CHANGED ON]]</f>
        <v>14.742928240739275</v>
      </c>
      <c r="N1097">
        <f ca="1">qry_ProdData2_PDI_Cash_Exception_Application[[#This Row],[TODAY]]-qry_ProdData2_PDI_Cash_Exception_Application[[#This Row],[CHANGED ON]]</f>
        <v>14.742928240739275</v>
      </c>
    </row>
    <row r="1098" spans="1:14" x14ac:dyDescent="0.35">
      <c r="A1098">
        <v>1008</v>
      </c>
      <c r="B1098" t="s">
        <v>62</v>
      </c>
      <c r="C1098" s="1">
        <v>45187.257071759261</v>
      </c>
      <c r="D1098" t="str">
        <f ca="1">VLOOKUP(qry_ProdData2_PDI_Cash_Exception_Application[[#This Row],[TYPE]],#REF!,2,FALSE)</f>
        <v>type40</v>
      </c>
      <c r="E1098">
        <v>-540.87</v>
      </c>
      <c r="F1098" t="s">
        <v>50</v>
      </c>
      <c r="G1098" s="1">
        <f>qry_ProdData2_PDI_Cash_Exception_Application[[#This Row],[INSERT DATE]]+1</f>
        <v>45188.257071759261</v>
      </c>
      <c r="H1098" t="str">
        <f>VLOOKUP(qry_ProdData2_PDI_Cash_Exception_Application[[#This Row],[MARKET No]],'Site Allocation'!$B$2:$C$37,2,FALSE)</f>
        <v>Analyst2</v>
      </c>
      <c r="I1098" s="4">
        <f t="shared" ca="1" si="17"/>
        <v>45203</v>
      </c>
      <c r="J1098" s="42">
        <f ca="1">TODAY()-qry_ProdData2_PDI_Cash_Exception_Application[[#This Row],[INSERT DATE]]</f>
        <v>15.742928240739275</v>
      </c>
      <c r="K10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98">
        <f ca="1">qry_ProdData2_PDI_Cash_Exception_Application[[#This Row],[TODAY]]-qry_ProdData2_PDI_Cash_Exception_Application[[#This Row],[CHANGED ON]]</f>
        <v>14.742928240739275</v>
      </c>
      <c r="M1098">
        <f ca="1">qry_ProdData2_PDI_Cash_Exception_Application[[#This Row],[TODAY]]-qry_ProdData2_PDI_Cash_Exception_Application[[#This Row],[CHANGED ON]]</f>
        <v>14.742928240739275</v>
      </c>
      <c r="N1098">
        <f ca="1">qry_ProdData2_PDI_Cash_Exception_Application[[#This Row],[TODAY]]-qry_ProdData2_PDI_Cash_Exception_Application[[#This Row],[CHANGED ON]]</f>
        <v>14.742928240739275</v>
      </c>
    </row>
    <row r="1099" spans="1:14" x14ac:dyDescent="0.35">
      <c r="A1099">
        <v>1003</v>
      </c>
      <c r="B1099" t="s">
        <v>57</v>
      </c>
      <c r="C1099" s="1">
        <v>45181.257071759261</v>
      </c>
      <c r="D1099" t="str">
        <f ca="1">VLOOKUP(qry_ProdData2_PDI_Cash_Exception_Application[[#This Row],[TYPE]],#REF!,2,FALSE)</f>
        <v>type40</v>
      </c>
      <c r="E1099">
        <v>-3335.34</v>
      </c>
      <c r="F1099" t="s">
        <v>47</v>
      </c>
      <c r="G1099" s="1">
        <f>qry_ProdData2_PDI_Cash_Exception_Application[[#This Row],[INSERT DATE]]+7</f>
        <v>45188.257071759261</v>
      </c>
      <c r="H1099" t="str">
        <f>VLOOKUP(qry_ProdData2_PDI_Cash_Exception_Application[[#This Row],[MARKET No]],'Site Allocation'!$B$2:$C$37,2,FALSE)</f>
        <v>Analyst1</v>
      </c>
      <c r="I1099" s="4">
        <f t="shared" ca="1" si="17"/>
        <v>45203</v>
      </c>
      <c r="J1099" s="42">
        <f ca="1">TODAY()-qry_ProdData2_PDI_Cash_Exception_Application[[#This Row],[INSERT DATE]]</f>
        <v>21.742928240739275</v>
      </c>
      <c r="K10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099">
        <f ca="1">qry_ProdData2_PDI_Cash_Exception_Application[[#This Row],[TODAY]]-qry_ProdData2_PDI_Cash_Exception_Application[[#This Row],[CHANGED ON]]</f>
        <v>14.742928240739275</v>
      </c>
      <c r="M1099">
        <f ca="1">qry_ProdData2_PDI_Cash_Exception_Application[[#This Row],[TODAY]]-qry_ProdData2_PDI_Cash_Exception_Application[[#This Row],[CHANGED ON]]</f>
        <v>14.742928240739275</v>
      </c>
      <c r="N1099">
        <f ca="1">qry_ProdData2_PDI_Cash_Exception_Application[[#This Row],[TODAY]]-qry_ProdData2_PDI_Cash_Exception_Application[[#This Row],[CHANGED ON]]</f>
        <v>14.742928240739275</v>
      </c>
    </row>
    <row r="1100" spans="1:14" x14ac:dyDescent="0.35">
      <c r="A1100">
        <v>1004</v>
      </c>
      <c r="B1100" t="s">
        <v>58</v>
      </c>
      <c r="C1100" s="1">
        <v>45181.257071759261</v>
      </c>
      <c r="D1100" t="str">
        <f ca="1">VLOOKUP(qry_ProdData2_PDI_Cash_Exception_Application[[#This Row],[TYPE]],#REF!,2,FALSE)</f>
        <v>type7</v>
      </c>
      <c r="E1100">
        <v>1860.42</v>
      </c>
      <c r="F1100" t="s">
        <v>49</v>
      </c>
      <c r="G1100" s="1">
        <f>qry_ProdData2_PDI_Cash_Exception_Application[[#This Row],[INSERT DATE]]+2</f>
        <v>45183.257071759261</v>
      </c>
      <c r="H1100" t="str">
        <f>VLOOKUP(qry_ProdData2_PDI_Cash_Exception_Application[[#This Row],[MARKET No]],'Site Allocation'!$B$2:$C$37,2,FALSE)</f>
        <v>Analyst1</v>
      </c>
      <c r="I1100" s="4">
        <f t="shared" ca="1" si="17"/>
        <v>45203</v>
      </c>
      <c r="J1100" s="42">
        <f ca="1">TODAY()-qry_ProdData2_PDI_Cash_Exception_Application[[#This Row],[INSERT DATE]]</f>
        <v>21.742928240739275</v>
      </c>
      <c r="K11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00">
        <f ca="1">qry_ProdData2_PDI_Cash_Exception_Application[[#This Row],[TODAY]]-qry_ProdData2_PDI_Cash_Exception_Application[[#This Row],[CHANGED ON]]</f>
        <v>19.742928240739275</v>
      </c>
      <c r="M1100">
        <f ca="1">qry_ProdData2_PDI_Cash_Exception_Application[[#This Row],[TODAY]]-qry_ProdData2_PDI_Cash_Exception_Application[[#This Row],[CHANGED ON]]</f>
        <v>19.742928240739275</v>
      </c>
      <c r="N1100">
        <f ca="1">qry_ProdData2_PDI_Cash_Exception_Application[[#This Row],[TODAY]]-qry_ProdData2_PDI_Cash_Exception_Application[[#This Row],[CHANGED ON]]</f>
        <v>19.742928240739275</v>
      </c>
    </row>
    <row r="1101" spans="1:14" x14ac:dyDescent="0.35">
      <c r="A1101">
        <v>1004</v>
      </c>
      <c r="B1101" t="s">
        <v>58</v>
      </c>
      <c r="C1101" s="1">
        <v>45182.257071759261</v>
      </c>
      <c r="D1101" t="str">
        <f ca="1">VLOOKUP(qry_ProdData2_PDI_Cash_Exception_Application[[#This Row],[TYPE]],#REF!,2,FALSE)</f>
        <v>type40</v>
      </c>
      <c r="E1101">
        <v>2892</v>
      </c>
      <c r="F1101" t="s">
        <v>51</v>
      </c>
      <c r="G1101" s="1">
        <f>qry_ProdData2_PDI_Cash_Exception_Application[[#This Row],[INSERT DATE]]+2</f>
        <v>45184.257071759261</v>
      </c>
      <c r="H1101" t="str">
        <f>VLOOKUP(qry_ProdData2_PDI_Cash_Exception_Application[[#This Row],[MARKET No]],'Site Allocation'!$B$2:$C$37,2,FALSE)</f>
        <v>Analyst1</v>
      </c>
      <c r="I1101" s="4">
        <f t="shared" ca="1" si="17"/>
        <v>45203</v>
      </c>
      <c r="J1101" s="42">
        <f ca="1">TODAY()-qry_ProdData2_PDI_Cash_Exception_Application[[#This Row],[INSERT DATE]]</f>
        <v>20.742928240739275</v>
      </c>
      <c r="K11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01">
        <f ca="1">qry_ProdData2_PDI_Cash_Exception_Application[[#This Row],[TODAY]]-qry_ProdData2_PDI_Cash_Exception_Application[[#This Row],[CHANGED ON]]</f>
        <v>18.742928240739275</v>
      </c>
      <c r="M1101">
        <f ca="1">qry_ProdData2_PDI_Cash_Exception_Application[[#This Row],[TODAY]]-qry_ProdData2_PDI_Cash_Exception_Application[[#This Row],[CHANGED ON]]</f>
        <v>18.742928240739275</v>
      </c>
      <c r="N1101">
        <f ca="1">qry_ProdData2_PDI_Cash_Exception_Application[[#This Row],[TODAY]]-qry_ProdData2_PDI_Cash_Exception_Application[[#This Row],[CHANGED ON]]</f>
        <v>18.742928240739275</v>
      </c>
    </row>
    <row r="1102" spans="1:14" x14ac:dyDescent="0.35">
      <c r="A1102">
        <v>1035</v>
      </c>
      <c r="B1102" t="s">
        <v>89</v>
      </c>
      <c r="C1102" s="1">
        <v>45185.257071759261</v>
      </c>
      <c r="D1102" t="str">
        <f ca="1">VLOOKUP(qry_ProdData2_PDI_Cash_Exception_Application[[#This Row],[TYPE]],#REF!,2,FALSE)</f>
        <v>type40</v>
      </c>
      <c r="E1102">
        <v>854.49</v>
      </c>
      <c r="F1102" t="s">
        <v>51</v>
      </c>
      <c r="G1102" s="1">
        <f>qry_ProdData2_PDI_Cash_Exception_Application[[#This Row],[INSERT DATE]]+2</f>
        <v>45187.257071759261</v>
      </c>
      <c r="H1102" t="str">
        <f>VLOOKUP(qry_ProdData2_PDI_Cash_Exception_Application[[#This Row],[MARKET No]],'Site Allocation'!$B$2:$C$37,2,FALSE)</f>
        <v>Analyst6</v>
      </c>
      <c r="I1102" s="4">
        <f t="shared" ca="1" si="17"/>
        <v>45203</v>
      </c>
      <c r="J1102" s="42">
        <f ca="1">TODAY()-qry_ProdData2_PDI_Cash_Exception_Application[[#This Row],[INSERT DATE]]</f>
        <v>17.742928240739275</v>
      </c>
      <c r="K11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02">
        <f ca="1">qry_ProdData2_PDI_Cash_Exception_Application[[#This Row],[TODAY]]-qry_ProdData2_PDI_Cash_Exception_Application[[#This Row],[CHANGED ON]]</f>
        <v>15.742928240739275</v>
      </c>
      <c r="M1102">
        <f ca="1">qry_ProdData2_PDI_Cash_Exception_Application[[#This Row],[TODAY]]-qry_ProdData2_PDI_Cash_Exception_Application[[#This Row],[CHANGED ON]]</f>
        <v>15.742928240739275</v>
      </c>
      <c r="N1102">
        <f ca="1">qry_ProdData2_PDI_Cash_Exception_Application[[#This Row],[TODAY]]-qry_ProdData2_PDI_Cash_Exception_Application[[#This Row],[CHANGED ON]]</f>
        <v>15.742928240739275</v>
      </c>
    </row>
    <row r="1103" spans="1:14" x14ac:dyDescent="0.35">
      <c r="A1103">
        <v>1006</v>
      </c>
      <c r="B1103" t="s">
        <v>60</v>
      </c>
      <c r="C1103" s="1">
        <v>45190.257071759261</v>
      </c>
      <c r="D1103" t="str">
        <f ca="1">VLOOKUP(qry_ProdData2_PDI_Cash_Exception_Application[[#This Row],[TYPE]],#REF!,2,FALSE)</f>
        <v>type40</v>
      </c>
      <c r="E1103">
        <v>-407.52</v>
      </c>
      <c r="F1103" t="s">
        <v>50</v>
      </c>
      <c r="G1103" s="1">
        <f>qry_ProdData2_PDI_Cash_Exception_Application[[#This Row],[INSERT DATE]]+2</f>
        <v>45192.257071759261</v>
      </c>
      <c r="H1103" t="str">
        <f>VLOOKUP(qry_ProdData2_PDI_Cash_Exception_Application[[#This Row],[MARKET No]],'Site Allocation'!$B$2:$C$37,2,FALSE)</f>
        <v>Analyst2</v>
      </c>
      <c r="I1103" s="4">
        <f t="shared" ca="1" si="17"/>
        <v>45203</v>
      </c>
      <c r="J1103" s="42">
        <f ca="1">TODAY()-qry_ProdData2_PDI_Cash_Exception_Application[[#This Row],[INSERT DATE]]</f>
        <v>12.742928240739275</v>
      </c>
      <c r="K11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03">
        <f ca="1">qry_ProdData2_PDI_Cash_Exception_Application[[#This Row],[TODAY]]-qry_ProdData2_PDI_Cash_Exception_Application[[#This Row],[CHANGED ON]]</f>
        <v>10.742928240739275</v>
      </c>
      <c r="M1103">
        <f ca="1">qry_ProdData2_PDI_Cash_Exception_Application[[#This Row],[TODAY]]-qry_ProdData2_PDI_Cash_Exception_Application[[#This Row],[CHANGED ON]]</f>
        <v>10.742928240739275</v>
      </c>
      <c r="N1103">
        <f ca="1">qry_ProdData2_PDI_Cash_Exception_Application[[#This Row],[TODAY]]-qry_ProdData2_PDI_Cash_Exception_Application[[#This Row],[CHANGED ON]]</f>
        <v>10.742928240739275</v>
      </c>
    </row>
    <row r="1104" spans="1:14" x14ac:dyDescent="0.35">
      <c r="A1104">
        <v>1021</v>
      </c>
      <c r="B1104" t="s">
        <v>75</v>
      </c>
      <c r="C1104" s="1">
        <v>45191.257071759261</v>
      </c>
      <c r="D1104" t="str">
        <f ca="1">VLOOKUP(qry_ProdData2_PDI_Cash_Exception_Application[[#This Row],[TYPE]],#REF!,2,FALSE)</f>
        <v>type40</v>
      </c>
      <c r="E1104">
        <v>-1176.8699999999999</v>
      </c>
      <c r="F1104" t="s">
        <v>52</v>
      </c>
      <c r="G1104" s="1">
        <f>qry_ProdData2_PDI_Cash_Exception_Application[[#This Row],[INSERT DATE]]+2</f>
        <v>45193.257071759261</v>
      </c>
      <c r="H1104" t="str">
        <f>VLOOKUP(qry_ProdData2_PDI_Cash_Exception_Application[[#This Row],[MARKET No]],'Site Allocation'!$B$2:$C$37,2,FALSE)</f>
        <v>Analyst4</v>
      </c>
      <c r="I1104" s="4">
        <f t="shared" ca="1" si="17"/>
        <v>45203</v>
      </c>
      <c r="J1104" s="42">
        <f ca="1">TODAY()-qry_ProdData2_PDI_Cash_Exception_Application[[#This Row],[INSERT DATE]]</f>
        <v>11.742928240739275</v>
      </c>
      <c r="K11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04">
        <f ca="1">qry_ProdData2_PDI_Cash_Exception_Application[[#This Row],[TODAY]]-qry_ProdData2_PDI_Cash_Exception_Application[[#This Row],[CHANGED ON]]</f>
        <v>9.7429282407392748</v>
      </c>
      <c r="M1104">
        <f ca="1">qry_ProdData2_PDI_Cash_Exception_Application[[#This Row],[TODAY]]-qry_ProdData2_PDI_Cash_Exception_Application[[#This Row],[CHANGED ON]]</f>
        <v>9.7429282407392748</v>
      </c>
      <c r="N1104">
        <f ca="1">qry_ProdData2_PDI_Cash_Exception_Application[[#This Row],[TODAY]]-qry_ProdData2_PDI_Cash_Exception_Application[[#This Row],[CHANGED ON]]</f>
        <v>9.7429282407392748</v>
      </c>
    </row>
    <row r="1105" spans="1:14" x14ac:dyDescent="0.35">
      <c r="A1105">
        <v>1022</v>
      </c>
      <c r="B1105" t="s">
        <v>76</v>
      </c>
      <c r="C1105" s="1">
        <v>45192.257071759261</v>
      </c>
      <c r="D1105" t="str">
        <f ca="1">VLOOKUP(qry_ProdData2_PDI_Cash_Exception_Application[[#This Row],[TYPE]],#REF!,2,FALSE)</f>
        <v>type40</v>
      </c>
      <c r="E1105">
        <v>-304.52999999999997</v>
      </c>
      <c r="F1105" t="s">
        <v>50</v>
      </c>
      <c r="G1105" s="1">
        <f>qry_ProdData2_PDI_Cash_Exception_Application[[#This Row],[INSERT DATE]]+2</f>
        <v>45194.257071759261</v>
      </c>
      <c r="H1105" t="str">
        <f>VLOOKUP(qry_ProdData2_PDI_Cash_Exception_Application[[#This Row],[MARKET No]],'Site Allocation'!$B$2:$C$37,2,FALSE)</f>
        <v>Analyst4</v>
      </c>
      <c r="I1105" s="4">
        <f t="shared" ca="1" si="17"/>
        <v>45203</v>
      </c>
      <c r="J1105" s="42">
        <f ca="1">TODAY()-qry_ProdData2_PDI_Cash_Exception_Application[[#This Row],[INSERT DATE]]</f>
        <v>10.742928240739275</v>
      </c>
      <c r="K11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05">
        <f ca="1">qry_ProdData2_PDI_Cash_Exception_Application[[#This Row],[TODAY]]-qry_ProdData2_PDI_Cash_Exception_Application[[#This Row],[CHANGED ON]]</f>
        <v>8.7429282407392748</v>
      </c>
      <c r="M1105">
        <f ca="1">qry_ProdData2_PDI_Cash_Exception_Application[[#This Row],[TODAY]]-qry_ProdData2_PDI_Cash_Exception_Application[[#This Row],[CHANGED ON]]</f>
        <v>8.7429282407392748</v>
      </c>
      <c r="N1105">
        <f ca="1">qry_ProdData2_PDI_Cash_Exception_Application[[#This Row],[TODAY]]-qry_ProdData2_PDI_Cash_Exception_Application[[#This Row],[CHANGED ON]]</f>
        <v>8.7429282407392748</v>
      </c>
    </row>
    <row r="1106" spans="1:14" x14ac:dyDescent="0.35">
      <c r="A1106">
        <v>1021</v>
      </c>
      <c r="B1106" t="s">
        <v>75</v>
      </c>
      <c r="C1106" s="1">
        <v>45193.257071759261</v>
      </c>
      <c r="D1106" t="str">
        <f ca="1">VLOOKUP(qry_ProdData2_PDI_Cash_Exception_Application[[#This Row],[TYPE]],#REF!,2,FALSE)</f>
        <v>type40</v>
      </c>
      <c r="E1106">
        <v>456.89</v>
      </c>
      <c r="F1106" t="s">
        <v>52</v>
      </c>
      <c r="G1106" s="1">
        <f>qry_ProdData2_PDI_Cash_Exception_Application[[#This Row],[INSERT DATE]]+2</f>
        <v>45195.257071759261</v>
      </c>
      <c r="H1106" t="str">
        <f>VLOOKUP(qry_ProdData2_PDI_Cash_Exception_Application[[#This Row],[MARKET No]],'Site Allocation'!$B$2:$C$37,2,FALSE)</f>
        <v>Analyst4</v>
      </c>
      <c r="I1106" s="4">
        <f t="shared" ca="1" si="17"/>
        <v>45203</v>
      </c>
      <c r="J1106" s="42">
        <f ca="1">TODAY()-qry_ProdData2_PDI_Cash_Exception_Application[[#This Row],[INSERT DATE]]</f>
        <v>9.7429282407392748</v>
      </c>
      <c r="K11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06">
        <f ca="1">qry_ProdData2_PDI_Cash_Exception_Application[[#This Row],[TODAY]]-qry_ProdData2_PDI_Cash_Exception_Application[[#This Row],[CHANGED ON]]</f>
        <v>7.7429282407392748</v>
      </c>
      <c r="M1106">
        <f ca="1">qry_ProdData2_PDI_Cash_Exception_Application[[#This Row],[TODAY]]-qry_ProdData2_PDI_Cash_Exception_Application[[#This Row],[CHANGED ON]]</f>
        <v>7.7429282407392748</v>
      </c>
      <c r="N1106">
        <f ca="1">qry_ProdData2_PDI_Cash_Exception_Application[[#This Row],[TODAY]]-qry_ProdData2_PDI_Cash_Exception_Application[[#This Row],[CHANGED ON]]</f>
        <v>7.7429282407392748</v>
      </c>
    </row>
    <row r="1107" spans="1:14" x14ac:dyDescent="0.35">
      <c r="A1107">
        <v>1032</v>
      </c>
      <c r="B1107" t="s">
        <v>86</v>
      </c>
      <c r="C1107" s="1">
        <v>45194.257071759261</v>
      </c>
      <c r="D1107" t="str">
        <f ca="1">VLOOKUP(qry_ProdData2_PDI_Cash_Exception_Application[[#This Row],[TYPE]],#REF!,2,FALSE)</f>
        <v>type40</v>
      </c>
      <c r="E1107">
        <v>-1647.95</v>
      </c>
      <c r="F1107" t="s">
        <v>52</v>
      </c>
      <c r="G1107" s="1">
        <f>qry_ProdData2_PDI_Cash_Exception_Application[[#This Row],[INSERT DATE]]+2</f>
        <v>45196.257071759261</v>
      </c>
      <c r="H1107" t="str">
        <f>VLOOKUP(qry_ProdData2_PDI_Cash_Exception_Application[[#This Row],[MARKET No]],'Site Allocation'!$B$2:$C$37,2,FALSE)</f>
        <v>Analyst6</v>
      </c>
      <c r="I1107" s="4">
        <f t="shared" ca="1" si="17"/>
        <v>45203</v>
      </c>
      <c r="J1107" s="42">
        <f ca="1">TODAY()-qry_ProdData2_PDI_Cash_Exception_Application[[#This Row],[INSERT DATE]]</f>
        <v>8.7429282407392748</v>
      </c>
      <c r="K11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107">
        <f ca="1">qry_ProdData2_PDI_Cash_Exception_Application[[#This Row],[TODAY]]-qry_ProdData2_PDI_Cash_Exception_Application[[#This Row],[CHANGED ON]]</f>
        <v>6.7429282407392748</v>
      </c>
      <c r="M1107">
        <f ca="1">qry_ProdData2_PDI_Cash_Exception_Application[[#This Row],[TODAY]]-qry_ProdData2_PDI_Cash_Exception_Application[[#This Row],[CHANGED ON]]</f>
        <v>6.7429282407392748</v>
      </c>
      <c r="N1107">
        <f ca="1">qry_ProdData2_PDI_Cash_Exception_Application[[#This Row],[TODAY]]-qry_ProdData2_PDI_Cash_Exception_Application[[#This Row],[CHANGED ON]]</f>
        <v>6.7429282407392748</v>
      </c>
    </row>
    <row r="1108" spans="1:14" x14ac:dyDescent="0.35">
      <c r="A1108">
        <v>1014</v>
      </c>
      <c r="B1108" t="s">
        <v>68</v>
      </c>
      <c r="C1108" s="1">
        <v>45186.257071759261</v>
      </c>
      <c r="D1108" t="str">
        <f ca="1">VLOOKUP(qry_ProdData2_PDI_Cash_Exception_Application[[#This Row],[TYPE]],#REF!,2,FALSE)</f>
        <v>type13</v>
      </c>
      <c r="E1108">
        <v>25653.66</v>
      </c>
      <c r="F1108" t="s">
        <v>51</v>
      </c>
      <c r="G1108" s="1">
        <f>qry_ProdData2_PDI_Cash_Exception_Application[[#This Row],[INSERT DATE]]+7</f>
        <v>45193.257071759261</v>
      </c>
      <c r="H1108" t="str">
        <f>VLOOKUP(qry_ProdData2_PDI_Cash_Exception_Application[[#This Row],[MARKET No]],'Site Allocation'!$B$2:$C$37,2,FALSE)</f>
        <v>Analyst3</v>
      </c>
      <c r="I1108" s="4">
        <f t="shared" ca="1" si="17"/>
        <v>45203</v>
      </c>
      <c r="J1108" s="42">
        <f ca="1">TODAY()-qry_ProdData2_PDI_Cash_Exception_Application[[#This Row],[INSERT DATE]]</f>
        <v>16.742928240739275</v>
      </c>
      <c r="K11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08">
        <f ca="1">qry_ProdData2_PDI_Cash_Exception_Application[[#This Row],[TODAY]]-qry_ProdData2_PDI_Cash_Exception_Application[[#This Row],[CHANGED ON]]</f>
        <v>9.7429282407392748</v>
      </c>
      <c r="M1108">
        <f ca="1">qry_ProdData2_PDI_Cash_Exception_Application[[#This Row],[TODAY]]-qry_ProdData2_PDI_Cash_Exception_Application[[#This Row],[CHANGED ON]]</f>
        <v>9.7429282407392748</v>
      </c>
      <c r="N1108">
        <f ca="1">qry_ProdData2_PDI_Cash_Exception_Application[[#This Row],[TODAY]]-qry_ProdData2_PDI_Cash_Exception_Application[[#This Row],[CHANGED ON]]</f>
        <v>9.7429282407392748</v>
      </c>
    </row>
    <row r="1109" spans="1:14" x14ac:dyDescent="0.35">
      <c r="A1109">
        <v>1034</v>
      </c>
      <c r="B1109" t="s">
        <v>88</v>
      </c>
      <c r="C1109" s="1">
        <v>45183.257071759261</v>
      </c>
      <c r="D1109" t="str">
        <f ca="1">VLOOKUP(qry_ProdData2_PDI_Cash_Exception_Application[[#This Row],[TYPE]],#REF!,2,FALSE)</f>
        <v>type40</v>
      </c>
      <c r="E1109">
        <v>-732.68</v>
      </c>
      <c r="F1109" t="s">
        <v>47</v>
      </c>
      <c r="G1109" s="1">
        <f>qry_ProdData2_PDI_Cash_Exception_Application[[#This Row],[INSERT DATE]]+7</f>
        <v>45190.257071759261</v>
      </c>
      <c r="H1109" t="str">
        <f>VLOOKUP(qry_ProdData2_PDI_Cash_Exception_Application[[#This Row],[MARKET No]],'Site Allocation'!$B$2:$C$37,2,FALSE)</f>
        <v>Analyst6</v>
      </c>
      <c r="I1109" s="4">
        <f t="shared" ca="1" si="17"/>
        <v>45203</v>
      </c>
      <c r="J1109" s="42">
        <f ca="1">TODAY()-qry_ProdData2_PDI_Cash_Exception_Application[[#This Row],[INSERT DATE]]</f>
        <v>19.742928240739275</v>
      </c>
      <c r="K11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09">
        <f ca="1">qry_ProdData2_PDI_Cash_Exception_Application[[#This Row],[TODAY]]-qry_ProdData2_PDI_Cash_Exception_Application[[#This Row],[CHANGED ON]]</f>
        <v>12.742928240739275</v>
      </c>
      <c r="M1109">
        <f ca="1">qry_ProdData2_PDI_Cash_Exception_Application[[#This Row],[TODAY]]-qry_ProdData2_PDI_Cash_Exception_Application[[#This Row],[CHANGED ON]]</f>
        <v>12.742928240739275</v>
      </c>
      <c r="N1109">
        <f ca="1">qry_ProdData2_PDI_Cash_Exception_Application[[#This Row],[TODAY]]-qry_ProdData2_PDI_Cash_Exception_Application[[#This Row],[CHANGED ON]]</f>
        <v>12.742928240739275</v>
      </c>
    </row>
    <row r="1110" spans="1:14" x14ac:dyDescent="0.35">
      <c r="A1110">
        <v>1026</v>
      </c>
      <c r="B1110" t="s">
        <v>80</v>
      </c>
      <c r="C1110" s="1">
        <v>45185.257071759261</v>
      </c>
      <c r="D1110" t="str">
        <f ca="1">VLOOKUP(qry_ProdData2_PDI_Cash_Exception_Application[[#This Row],[TYPE]],#REF!,2,FALSE)</f>
        <v>type40</v>
      </c>
      <c r="E1110">
        <v>5449.33</v>
      </c>
      <c r="F1110" t="s">
        <v>48</v>
      </c>
      <c r="G1110" s="1">
        <f>qry_ProdData2_PDI_Cash_Exception_Application[[#This Row],[INSERT DATE]]+2</f>
        <v>45187.257071759261</v>
      </c>
      <c r="H1110" t="str">
        <f>VLOOKUP(qry_ProdData2_PDI_Cash_Exception_Application[[#This Row],[MARKET No]],'Site Allocation'!$B$2:$C$37,2,FALSE)</f>
        <v>Analyst5</v>
      </c>
      <c r="I1110" s="4">
        <f t="shared" ca="1" si="17"/>
        <v>45203</v>
      </c>
      <c r="J1110" s="42">
        <f ca="1">TODAY()-qry_ProdData2_PDI_Cash_Exception_Application[[#This Row],[INSERT DATE]]</f>
        <v>17.742928240739275</v>
      </c>
      <c r="K11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10">
        <f ca="1">qry_ProdData2_PDI_Cash_Exception_Application[[#This Row],[TODAY]]-qry_ProdData2_PDI_Cash_Exception_Application[[#This Row],[CHANGED ON]]</f>
        <v>15.742928240739275</v>
      </c>
      <c r="M1110">
        <f ca="1">qry_ProdData2_PDI_Cash_Exception_Application[[#This Row],[TODAY]]-qry_ProdData2_PDI_Cash_Exception_Application[[#This Row],[CHANGED ON]]</f>
        <v>15.742928240739275</v>
      </c>
      <c r="N1110">
        <f ca="1">qry_ProdData2_PDI_Cash_Exception_Application[[#This Row],[TODAY]]-qry_ProdData2_PDI_Cash_Exception_Application[[#This Row],[CHANGED ON]]</f>
        <v>15.742928240739275</v>
      </c>
    </row>
    <row r="1111" spans="1:14" x14ac:dyDescent="0.35">
      <c r="A1111">
        <v>1025</v>
      </c>
      <c r="B1111" t="s">
        <v>79</v>
      </c>
      <c r="C1111" s="1">
        <v>45187.257071759261</v>
      </c>
      <c r="D1111" t="str">
        <f ca="1">VLOOKUP(qry_ProdData2_PDI_Cash_Exception_Application[[#This Row],[TYPE]],#REF!,2,FALSE)</f>
        <v>type40</v>
      </c>
      <c r="E1111">
        <v>564.35</v>
      </c>
      <c r="F1111" t="s">
        <v>47</v>
      </c>
      <c r="G1111" s="1">
        <f>qry_ProdData2_PDI_Cash_Exception_Application[[#This Row],[INSERT DATE]]+7</f>
        <v>45194.257071759261</v>
      </c>
      <c r="H1111" t="str">
        <f>VLOOKUP(qry_ProdData2_PDI_Cash_Exception_Application[[#This Row],[MARKET No]],'Site Allocation'!$B$2:$C$37,2,FALSE)</f>
        <v>Analyst5</v>
      </c>
      <c r="I1111" s="4">
        <f t="shared" ca="1" si="17"/>
        <v>45203</v>
      </c>
      <c r="J1111" s="42">
        <f ca="1">TODAY()-qry_ProdData2_PDI_Cash_Exception_Application[[#This Row],[INSERT DATE]]</f>
        <v>15.742928240739275</v>
      </c>
      <c r="K11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11">
        <f ca="1">qry_ProdData2_PDI_Cash_Exception_Application[[#This Row],[TODAY]]-qry_ProdData2_PDI_Cash_Exception_Application[[#This Row],[CHANGED ON]]</f>
        <v>8.7429282407392748</v>
      </c>
      <c r="M1111">
        <f ca="1">qry_ProdData2_PDI_Cash_Exception_Application[[#This Row],[TODAY]]-qry_ProdData2_PDI_Cash_Exception_Application[[#This Row],[CHANGED ON]]</f>
        <v>8.7429282407392748</v>
      </c>
      <c r="N1111">
        <f ca="1">qry_ProdData2_PDI_Cash_Exception_Application[[#This Row],[TODAY]]-qry_ProdData2_PDI_Cash_Exception_Application[[#This Row],[CHANGED ON]]</f>
        <v>8.7429282407392748</v>
      </c>
    </row>
    <row r="1112" spans="1:14" x14ac:dyDescent="0.35">
      <c r="A1112">
        <v>1028</v>
      </c>
      <c r="B1112" t="s">
        <v>82</v>
      </c>
      <c r="C1112" s="1">
        <v>45184.257071759261</v>
      </c>
      <c r="D1112" t="str">
        <f ca="1">VLOOKUP(qry_ProdData2_PDI_Cash_Exception_Application[[#This Row],[TYPE]],#REF!,2,FALSE)</f>
        <v>type40</v>
      </c>
      <c r="E1112">
        <v>-694.93</v>
      </c>
      <c r="F1112" t="s">
        <v>49</v>
      </c>
      <c r="G1112" s="1">
        <f>qry_ProdData2_PDI_Cash_Exception_Application[[#This Row],[INSERT DATE]]+2</f>
        <v>45186.257071759261</v>
      </c>
      <c r="H1112" t="str">
        <f>VLOOKUP(qry_ProdData2_PDI_Cash_Exception_Application[[#This Row],[MARKET No]],'Site Allocation'!$B$2:$C$37,2,FALSE)</f>
        <v>Analyst5</v>
      </c>
      <c r="I1112" s="4">
        <f t="shared" ca="1" si="17"/>
        <v>45203</v>
      </c>
      <c r="J1112" s="42">
        <f ca="1">TODAY()-qry_ProdData2_PDI_Cash_Exception_Application[[#This Row],[INSERT DATE]]</f>
        <v>18.742928240739275</v>
      </c>
      <c r="K11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12">
        <f ca="1">qry_ProdData2_PDI_Cash_Exception_Application[[#This Row],[TODAY]]-qry_ProdData2_PDI_Cash_Exception_Application[[#This Row],[CHANGED ON]]</f>
        <v>16.742928240739275</v>
      </c>
      <c r="M1112">
        <f ca="1">qry_ProdData2_PDI_Cash_Exception_Application[[#This Row],[TODAY]]-qry_ProdData2_PDI_Cash_Exception_Application[[#This Row],[CHANGED ON]]</f>
        <v>16.742928240739275</v>
      </c>
      <c r="N1112">
        <f ca="1">qry_ProdData2_PDI_Cash_Exception_Application[[#This Row],[TODAY]]-qry_ProdData2_PDI_Cash_Exception_Application[[#This Row],[CHANGED ON]]</f>
        <v>16.742928240739275</v>
      </c>
    </row>
    <row r="1113" spans="1:14" x14ac:dyDescent="0.35">
      <c r="A1113">
        <v>1005</v>
      </c>
      <c r="B1113" t="s">
        <v>59</v>
      </c>
      <c r="C1113" s="1">
        <v>45187.257071759261</v>
      </c>
      <c r="D1113" t="str">
        <f ca="1">VLOOKUP(qry_ProdData2_PDI_Cash_Exception_Application[[#This Row],[TYPE]],#REF!,2,FALSE)</f>
        <v>type40</v>
      </c>
      <c r="E1113">
        <v>2501.08</v>
      </c>
      <c r="F1113" t="s">
        <v>50</v>
      </c>
      <c r="G1113" s="1">
        <f>qry_ProdData2_PDI_Cash_Exception_Application[[#This Row],[INSERT DATE]]+2</f>
        <v>45189.257071759261</v>
      </c>
      <c r="H1113" t="str">
        <f>VLOOKUP(qry_ProdData2_PDI_Cash_Exception_Application[[#This Row],[MARKET No]],'Site Allocation'!$B$2:$C$37,2,FALSE)</f>
        <v>Analyst1</v>
      </c>
      <c r="I1113" s="4">
        <f t="shared" ca="1" si="17"/>
        <v>45203</v>
      </c>
      <c r="J1113" s="42">
        <f ca="1">TODAY()-qry_ProdData2_PDI_Cash_Exception_Application[[#This Row],[INSERT DATE]]</f>
        <v>15.742928240739275</v>
      </c>
      <c r="K11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13">
        <f ca="1">qry_ProdData2_PDI_Cash_Exception_Application[[#This Row],[TODAY]]-qry_ProdData2_PDI_Cash_Exception_Application[[#This Row],[CHANGED ON]]</f>
        <v>13.742928240739275</v>
      </c>
      <c r="M1113">
        <f ca="1">qry_ProdData2_PDI_Cash_Exception_Application[[#This Row],[TODAY]]-qry_ProdData2_PDI_Cash_Exception_Application[[#This Row],[CHANGED ON]]</f>
        <v>13.742928240739275</v>
      </c>
      <c r="N1113">
        <f ca="1">qry_ProdData2_PDI_Cash_Exception_Application[[#This Row],[TODAY]]-qry_ProdData2_PDI_Cash_Exception_Application[[#This Row],[CHANGED ON]]</f>
        <v>13.742928240739275</v>
      </c>
    </row>
    <row r="1114" spans="1:14" x14ac:dyDescent="0.35">
      <c r="A1114">
        <v>1022</v>
      </c>
      <c r="B1114" t="s">
        <v>76</v>
      </c>
      <c r="C1114" s="1">
        <v>45191.257071759261</v>
      </c>
      <c r="D1114" t="str">
        <f ca="1">VLOOKUP(qry_ProdData2_PDI_Cash_Exception_Application[[#This Row],[TYPE]],#REF!,2,FALSE)</f>
        <v>type40</v>
      </c>
      <c r="E1114">
        <v>-1066.3900000000001</v>
      </c>
      <c r="F1114" t="s">
        <v>49</v>
      </c>
      <c r="G1114" s="1">
        <f>qry_ProdData2_PDI_Cash_Exception_Application[[#This Row],[INSERT DATE]]+7</f>
        <v>45198.257071759261</v>
      </c>
      <c r="H1114" t="str">
        <f>VLOOKUP(qry_ProdData2_PDI_Cash_Exception_Application[[#This Row],[MARKET No]],'Site Allocation'!$B$2:$C$37,2,FALSE)</f>
        <v>Analyst4</v>
      </c>
      <c r="I1114" s="4">
        <f t="shared" ca="1" si="17"/>
        <v>45203</v>
      </c>
      <c r="J1114" s="42">
        <f ca="1">TODAY()-qry_ProdData2_PDI_Cash_Exception_Application[[#This Row],[INSERT DATE]]</f>
        <v>11.742928240739275</v>
      </c>
      <c r="K11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14">
        <f ca="1">qry_ProdData2_PDI_Cash_Exception_Application[[#This Row],[TODAY]]-qry_ProdData2_PDI_Cash_Exception_Application[[#This Row],[CHANGED ON]]</f>
        <v>4.7429282407392748</v>
      </c>
      <c r="M1114">
        <f ca="1">qry_ProdData2_PDI_Cash_Exception_Application[[#This Row],[TODAY]]-qry_ProdData2_PDI_Cash_Exception_Application[[#This Row],[CHANGED ON]]</f>
        <v>4.7429282407392748</v>
      </c>
      <c r="N1114">
        <f ca="1">qry_ProdData2_PDI_Cash_Exception_Application[[#This Row],[TODAY]]-qry_ProdData2_PDI_Cash_Exception_Application[[#This Row],[CHANGED ON]]</f>
        <v>4.7429282407392748</v>
      </c>
    </row>
    <row r="1115" spans="1:14" x14ac:dyDescent="0.35">
      <c r="A1115">
        <v>1006</v>
      </c>
      <c r="B1115" t="s">
        <v>60</v>
      </c>
      <c r="C1115" s="1">
        <v>45183.257071759261</v>
      </c>
      <c r="D1115" t="str">
        <f ca="1">VLOOKUP(qry_ProdData2_PDI_Cash_Exception_Application[[#This Row],[TYPE]],#REF!,2,FALSE)</f>
        <v>type40</v>
      </c>
      <c r="E1115">
        <v>476.95</v>
      </c>
      <c r="F1115" t="s">
        <v>51</v>
      </c>
      <c r="G1115" s="1">
        <f>qry_ProdData2_PDI_Cash_Exception_Application[[#This Row],[INSERT DATE]]+1</f>
        <v>45184.257071759261</v>
      </c>
      <c r="H1115" t="str">
        <f>VLOOKUP(qry_ProdData2_PDI_Cash_Exception_Application[[#This Row],[MARKET No]],'Site Allocation'!$B$2:$C$37,2,FALSE)</f>
        <v>Analyst2</v>
      </c>
      <c r="I1115" s="4">
        <f t="shared" ca="1" si="17"/>
        <v>45203</v>
      </c>
      <c r="J1115" s="42">
        <f ca="1">TODAY()-qry_ProdData2_PDI_Cash_Exception_Application[[#This Row],[INSERT DATE]]</f>
        <v>19.742928240739275</v>
      </c>
      <c r="K11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15">
        <f ca="1">qry_ProdData2_PDI_Cash_Exception_Application[[#This Row],[TODAY]]-qry_ProdData2_PDI_Cash_Exception_Application[[#This Row],[CHANGED ON]]</f>
        <v>18.742928240739275</v>
      </c>
      <c r="M1115">
        <f ca="1">qry_ProdData2_PDI_Cash_Exception_Application[[#This Row],[TODAY]]-qry_ProdData2_PDI_Cash_Exception_Application[[#This Row],[CHANGED ON]]</f>
        <v>18.742928240739275</v>
      </c>
      <c r="N1115">
        <f ca="1">qry_ProdData2_PDI_Cash_Exception_Application[[#This Row],[TODAY]]-qry_ProdData2_PDI_Cash_Exception_Application[[#This Row],[CHANGED ON]]</f>
        <v>18.742928240739275</v>
      </c>
    </row>
    <row r="1116" spans="1:14" x14ac:dyDescent="0.35">
      <c r="A1116">
        <v>1023</v>
      </c>
      <c r="B1116" t="s">
        <v>77</v>
      </c>
      <c r="C1116" s="1">
        <v>45189.257071759261</v>
      </c>
      <c r="D1116" t="str">
        <f ca="1">VLOOKUP(qry_ProdData2_PDI_Cash_Exception_Application[[#This Row],[TYPE]],#REF!,2,FALSE)</f>
        <v>type40</v>
      </c>
      <c r="E1116">
        <v>16.579999999999998</v>
      </c>
      <c r="F1116" t="s">
        <v>49</v>
      </c>
      <c r="G1116" s="1">
        <f>qry_ProdData2_PDI_Cash_Exception_Application[[#This Row],[INSERT DATE]]+7</f>
        <v>45196.257071759261</v>
      </c>
      <c r="H1116" t="str">
        <f>VLOOKUP(qry_ProdData2_PDI_Cash_Exception_Application[[#This Row],[MARKET No]],'Site Allocation'!$B$2:$C$37,2,FALSE)</f>
        <v>Analyst4</v>
      </c>
      <c r="I1116" s="4">
        <f t="shared" ca="1" si="17"/>
        <v>45203</v>
      </c>
      <c r="J1116" s="42">
        <f ca="1">TODAY()-qry_ProdData2_PDI_Cash_Exception_Application[[#This Row],[INSERT DATE]]</f>
        <v>13.742928240739275</v>
      </c>
      <c r="K11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16">
        <f ca="1">qry_ProdData2_PDI_Cash_Exception_Application[[#This Row],[TODAY]]-qry_ProdData2_PDI_Cash_Exception_Application[[#This Row],[CHANGED ON]]</f>
        <v>6.7429282407392748</v>
      </c>
      <c r="M1116">
        <f ca="1">qry_ProdData2_PDI_Cash_Exception_Application[[#This Row],[TODAY]]-qry_ProdData2_PDI_Cash_Exception_Application[[#This Row],[CHANGED ON]]</f>
        <v>6.7429282407392748</v>
      </c>
      <c r="N1116">
        <f ca="1">qry_ProdData2_PDI_Cash_Exception_Application[[#This Row],[TODAY]]-qry_ProdData2_PDI_Cash_Exception_Application[[#This Row],[CHANGED ON]]</f>
        <v>6.7429282407392748</v>
      </c>
    </row>
    <row r="1117" spans="1:14" x14ac:dyDescent="0.35">
      <c r="A1117">
        <v>1034</v>
      </c>
      <c r="B1117" t="s">
        <v>88</v>
      </c>
      <c r="C1117" s="1">
        <v>45189.257071759261</v>
      </c>
      <c r="D1117" t="str">
        <f ca="1">VLOOKUP(qry_ProdData2_PDI_Cash_Exception_Application[[#This Row],[TYPE]],#REF!,2,FALSE)</f>
        <v>type7</v>
      </c>
      <c r="E1117">
        <v>-1393.72</v>
      </c>
      <c r="F1117" t="s">
        <v>52</v>
      </c>
      <c r="G1117" s="1">
        <f>qry_ProdData2_PDI_Cash_Exception_Application[[#This Row],[INSERT DATE]]+2</f>
        <v>45191.257071759261</v>
      </c>
      <c r="H1117" t="str">
        <f>VLOOKUP(qry_ProdData2_PDI_Cash_Exception_Application[[#This Row],[MARKET No]],'Site Allocation'!$B$2:$C$37,2,FALSE)</f>
        <v>Analyst6</v>
      </c>
      <c r="I1117" s="4">
        <f t="shared" ca="1" si="17"/>
        <v>45203</v>
      </c>
      <c r="J1117" s="42">
        <f ca="1">TODAY()-qry_ProdData2_PDI_Cash_Exception_Application[[#This Row],[INSERT DATE]]</f>
        <v>13.742928240739275</v>
      </c>
      <c r="K11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17">
        <f ca="1">qry_ProdData2_PDI_Cash_Exception_Application[[#This Row],[TODAY]]-qry_ProdData2_PDI_Cash_Exception_Application[[#This Row],[CHANGED ON]]</f>
        <v>11.742928240739275</v>
      </c>
      <c r="M1117">
        <f ca="1">qry_ProdData2_PDI_Cash_Exception_Application[[#This Row],[TODAY]]-qry_ProdData2_PDI_Cash_Exception_Application[[#This Row],[CHANGED ON]]</f>
        <v>11.742928240739275</v>
      </c>
      <c r="N1117">
        <f ca="1">qry_ProdData2_PDI_Cash_Exception_Application[[#This Row],[TODAY]]-qry_ProdData2_PDI_Cash_Exception_Application[[#This Row],[CHANGED ON]]</f>
        <v>11.742928240739275</v>
      </c>
    </row>
    <row r="1118" spans="1:14" x14ac:dyDescent="0.35">
      <c r="A1118">
        <v>1022</v>
      </c>
      <c r="B1118" t="s">
        <v>76</v>
      </c>
      <c r="C1118" s="1">
        <v>45190.257071759261</v>
      </c>
      <c r="D1118" t="str">
        <f ca="1">VLOOKUP(qry_ProdData2_PDI_Cash_Exception_Application[[#This Row],[TYPE]],#REF!,2,FALSE)</f>
        <v>type40</v>
      </c>
      <c r="E1118">
        <v>947.09</v>
      </c>
      <c r="F1118" t="s">
        <v>47</v>
      </c>
      <c r="G1118" s="1">
        <f>qry_ProdData2_PDI_Cash_Exception_Application[[#This Row],[INSERT DATE]]+1</f>
        <v>45191.257071759261</v>
      </c>
      <c r="H1118" t="str">
        <f>VLOOKUP(qry_ProdData2_PDI_Cash_Exception_Application[[#This Row],[MARKET No]],'Site Allocation'!$B$2:$C$37,2,FALSE)</f>
        <v>Analyst4</v>
      </c>
      <c r="I1118" s="4">
        <f t="shared" ca="1" si="17"/>
        <v>45203</v>
      </c>
      <c r="J1118" s="42">
        <f ca="1">TODAY()-qry_ProdData2_PDI_Cash_Exception_Application[[#This Row],[INSERT DATE]]</f>
        <v>12.742928240739275</v>
      </c>
      <c r="K11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18">
        <f ca="1">qry_ProdData2_PDI_Cash_Exception_Application[[#This Row],[TODAY]]-qry_ProdData2_PDI_Cash_Exception_Application[[#This Row],[CHANGED ON]]</f>
        <v>11.742928240739275</v>
      </c>
      <c r="M1118">
        <f ca="1">qry_ProdData2_PDI_Cash_Exception_Application[[#This Row],[TODAY]]-qry_ProdData2_PDI_Cash_Exception_Application[[#This Row],[CHANGED ON]]</f>
        <v>11.742928240739275</v>
      </c>
      <c r="N1118">
        <f ca="1">qry_ProdData2_PDI_Cash_Exception_Application[[#This Row],[TODAY]]-qry_ProdData2_PDI_Cash_Exception_Application[[#This Row],[CHANGED ON]]</f>
        <v>11.742928240739275</v>
      </c>
    </row>
    <row r="1119" spans="1:14" x14ac:dyDescent="0.35">
      <c r="A1119">
        <v>1027</v>
      </c>
      <c r="B1119" t="s">
        <v>81</v>
      </c>
      <c r="C1119" s="1">
        <v>45190.257071759261</v>
      </c>
      <c r="D1119" t="str">
        <f ca="1">VLOOKUP(qry_ProdData2_PDI_Cash_Exception_Application[[#This Row],[TYPE]],#REF!,2,FALSE)</f>
        <v>type40</v>
      </c>
      <c r="E1119">
        <v>324.20999999999998</v>
      </c>
      <c r="F1119" t="s">
        <v>47</v>
      </c>
      <c r="G1119" s="1">
        <f>qry_ProdData2_PDI_Cash_Exception_Application[[#This Row],[INSERT DATE]]+1</f>
        <v>45191.257071759261</v>
      </c>
      <c r="H1119" t="str">
        <f>VLOOKUP(qry_ProdData2_PDI_Cash_Exception_Application[[#This Row],[MARKET No]],'Site Allocation'!$B$2:$C$37,2,FALSE)</f>
        <v>Analyst5</v>
      </c>
      <c r="I1119" s="4">
        <f t="shared" ca="1" si="17"/>
        <v>45203</v>
      </c>
      <c r="J1119" s="42">
        <f ca="1">TODAY()-qry_ProdData2_PDI_Cash_Exception_Application[[#This Row],[INSERT DATE]]</f>
        <v>12.742928240739275</v>
      </c>
      <c r="K11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19">
        <f ca="1">qry_ProdData2_PDI_Cash_Exception_Application[[#This Row],[TODAY]]-qry_ProdData2_PDI_Cash_Exception_Application[[#This Row],[CHANGED ON]]</f>
        <v>11.742928240739275</v>
      </c>
      <c r="M1119">
        <f ca="1">qry_ProdData2_PDI_Cash_Exception_Application[[#This Row],[TODAY]]-qry_ProdData2_PDI_Cash_Exception_Application[[#This Row],[CHANGED ON]]</f>
        <v>11.742928240739275</v>
      </c>
      <c r="N1119">
        <f ca="1">qry_ProdData2_PDI_Cash_Exception_Application[[#This Row],[TODAY]]-qry_ProdData2_PDI_Cash_Exception_Application[[#This Row],[CHANGED ON]]</f>
        <v>11.742928240739275</v>
      </c>
    </row>
    <row r="1120" spans="1:14" x14ac:dyDescent="0.35">
      <c r="A1120">
        <v>1022</v>
      </c>
      <c r="B1120" t="s">
        <v>76</v>
      </c>
      <c r="C1120" s="1">
        <v>45191.257071759261</v>
      </c>
      <c r="D1120" t="str">
        <f ca="1">VLOOKUP(qry_ProdData2_PDI_Cash_Exception_Application[[#This Row],[TYPE]],#REF!,2,FALSE)</f>
        <v>type40</v>
      </c>
      <c r="E1120">
        <v>1217.94</v>
      </c>
      <c r="F1120" t="s">
        <v>50</v>
      </c>
      <c r="G1120" s="1">
        <f>qry_ProdData2_PDI_Cash_Exception_Application[[#This Row],[INSERT DATE]]+2</f>
        <v>45193.257071759261</v>
      </c>
      <c r="H1120" t="str">
        <f>VLOOKUP(qry_ProdData2_PDI_Cash_Exception_Application[[#This Row],[MARKET No]],'Site Allocation'!$B$2:$C$37,2,FALSE)</f>
        <v>Analyst4</v>
      </c>
      <c r="I1120" s="4">
        <f t="shared" ca="1" si="17"/>
        <v>45203</v>
      </c>
      <c r="J1120" s="42">
        <f ca="1">TODAY()-qry_ProdData2_PDI_Cash_Exception_Application[[#This Row],[INSERT DATE]]</f>
        <v>11.742928240739275</v>
      </c>
      <c r="K11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20">
        <f ca="1">qry_ProdData2_PDI_Cash_Exception_Application[[#This Row],[TODAY]]-qry_ProdData2_PDI_Cash_Exception_Application[[#This Row],[CHANGED ON]]</f>
        <v>9.7429282407392748</v>
      </c>
      <c r="M1120">
        <f ca="1">qry_ProdData2_PDI_Cash_Exception_Application[[#This Row],[TODAY]]-qry_ProdData2_PDI_Cash_Exception_Application[[#This Row],[CHANGED ON]]</f>
        <v>9.7429282407392748</v>
      </c>
      <c r="N1120">
        <f ca="1">qry_ProdData2_PDI_Cash_Exception_Application[[#This Row],[TODAY]]-qry_ProdData2_PDI_Cash_Exception_Application[[#This Row],[CHANGED ON]]</f>
        <v>9.7429282407392748</v>
      </c>
    </row>
    <row r="1121" spans="1:14" x14ac:dyDescent="0.35">
      <c r="A1121">
        <v>1003</v>
      </c>
      <c r="B1121" t="s">
        <v>57</v>
      </c>
      <c r="C1121" s="1">
        <v>45192.257071759261</v>
      </c>
      <c r="D1121" t="str">
        <f ca="1">VLOOKUP(qry_ProdData2_PDI_Cash_Exception_Application[[#This Row],[TYPE]],#REF!,2,FALSE)</f>
        <v>type40</v>
      </c>
      <c r="E1121">
        <v>-447.11</v>
      </c>
      <c r="F1121" t="s">
        <v>47</v>
      </c>
      <c r="G1121" s="1">
        <f>qry_ProdData2_PDI_Cash_Exception_Application[[#This Row],[INSERT DATE]]+2</f>
        <v>45194.257071759261</v>
      </c>
      <c r="H1121" t="str">
        <f>VLOOKUP(qry_ProdData2_PDI_Cash_Exception_Application[[#This Row],[MARKET No]],'Site Allocation'!$B$2:$C$37,2,FALSE)</f>
        <v>Analyst1</v>
      </c>
      <c r="I1121" s="4">
        <f t="shared" ca="1" si="17"/>
        <v>45203</v>
      </c>
      <c r="J1121" s="42">
        <f ca="1">TODAY()-qry_ProdData2_PDI_Cash_Exception_Application[[#This Row],[INSERT DATE]]</f>
        <v>10.742928240739275</v>
      </c>
      <c r="K11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21">
        <f ca="1">qry_ProdData2_PDI_Cash_Exception_Application[[#This Row],[TODAY]]-qry_ProdData2_PDI_Cash_Exception_Application[[#This Row],[CHANGED ON]]</f>
        <v>8.7429282407392748</v>
      </c>
      <c r="M1121">
        <f ca="1">qry_ProdData2_PDI_Cash_Exception_Application[[#This Row],[TODAY]]-qry_ProdData2_PDI_Cash_Exception_Application[[#This Row],[CHANGED ON]]</f>
        <v>8.7429282407392748</v>
      </c>
      <c r="N1121">
        <f ca="1">qry_ProdData2_PDI_Cash_Exception_Application[[#This Row],[TODAY]]-qry_ProdData2_PDI_Cash_Exception_Application[[#This Row],[CHANGED ON]]</f>
        <v>8.7429282407392748</v>
      </c>
    </row>
    <row r="1122" spans="1:14" x14ac:dyDescent="0.35">
      <c r="A1122">
        <v>1002</v>
      </c>
      <c r="B1122" t="s">
        <v>56</v>
      </c>
      <c r="C1122" s="1">
        <v>45181.257071759261</v>
      </c>
      <c r="D1122" t="str">
        <f ca="1">VLOOKUP(qry_ProdData2_PDI_Cash_Exception_Application[[#This Row],[TYPE]],#REF!,2,FALSE)</f>
        <v>type40</v>
      </c>
      <c r="E1122">
        <v>-1341.11</v>
      </c>
      <c r="F1122" t="s">
        <v>47</v>
      </c>
      <c r="G1122" s="1">
        <f>qry_ProdData2_PDI_Cash_Exception_Application[[#This Row],[INSERT DATE]]+5</f>
        <v>45186.257071759261</v>
      </c>
      <c r="H1122" t="str">
        <f>VLOOKUP(qry_ProdData2_PDI_Cash_Exception_Application[[#This Row],[MARKET No]],'Site Allocation'!$B$2:$C$37,2,FALSE)</f>
        <v>Analyst1</v>
      </c>
      <c r="I1122" s="4">
        <f t="shared" ca="1" si="17"/>
        <v>45203</v>
      </c>
      <c r="J1122" s="42">
        <f ca="1">TODAY()-qry_ProdData2_PDI_Cash_Exception_Application[[#This Row],[INSERT DATE]]</f>
        <v>21.742928240739275</v>
      </c>
      <c r="K11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22">
        <f ca="1">qry_ProdData2_PDI_Cash_Exception_Application[[#This Row],[TODAY]]-qry_ProdData2_PDI_Cash_Exception_Application[[#This Row],[CHANGED ON]]</f>
        <v>16.742928240739275</v>
      </c>
      <c r="M1122">
        <f ca="1">qry_ProdData2_PDI_Cash_Exception_Application[[#This Row],[TODAY]]-qry_ProdData2_PDI_Cash_Exception_Application[[#This Row],[CHANGED ON]]</f>
        <v>16.742928240739275</v>
      </c>
      <c r="N1122">
        <f ca="1">qry_ProdData2_PDI_Cash_Exception_Application[[#This Row],[TODAY]]-qry_ProdData2_PDI_Cash_Exception_Application[[#This Row],[CHANGED ON]]</f>
        <v>16.742928240739275</v>
      </c>
    </row>
    <row r="1123" spans="1:14" x14ac:dyDescent="0.35">
      <c r="A1123">
        <v>1021</v>
      </c>
      <c r="B1123" t="s">
        <v>75</v>
      </c>
      <c r="C1123" s="1">
        <v>45183.257071759261</v>
      </c>
      <c r="D1123" t="str">
        <f ca="1">VLOOKUP(qry_ProdData2_PDI_Cash_Exception_Application[[#This Row],[TYPE]],#REF!,2,FALSE)</f>
        <v>type41</v>
      </c>
      <c r="E1123">
        <v>590.98</v>
      </c>
      <c r="F1123" t="s">
        <v>51</v>
      </c>
      <c r="G1123" s="1">
        <f>qry_ProdData2_PDI_Cash_Exception_Application[[#This Row],[INSERT DATE]]+1</f>
        <v>45184.257071759261</v>
      </c>
      <c r="H1123" t="str">
        <f>VLOOKUP(qry_ProdData2_PDI_Cash_Exception_Application[[#This Row],[MARKET No]],'Site Allocation'!$B$2:$C$37,2,FALSE)</f>
        <v>Analyst4</v>
      </c>
      <c r="I1123" s="4">
        <f t="shared" ca="1" si="17"/>
        <v>45203</v>
      </c>
      <c r="J1123" s="42">
        <f ca="1">TODAY()-qry_ProdData2_PDI_Cash_Exception_Application[[#This Row],[INSERT DATE]]</f>
        <v>19.742928240739275</v>
      </c>
      <c r="K11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23">
        <f ca="1">qry_ProdData2_PDI_Cash_Exception_Application[[#This Row],[TODAY]]-qry_ProdData2_PDI_Cash_Exception_Application[[#This Row],[CHANGED ON]]</f>
        <v>18.742928240739275</v>
      </c>
      <c r="M1123">
        <f ca="1">qry_ProdData2_PDI_Cash_Exception_Application[[#This Row],[TODAY]]-qry_ProdData2_PDI_Cash_Exception_Application[[#This Row],[CHANGED ON]]</f>
        <v>18.742928240739275</v>
      </c>
      <c r="N1123">
        <f ca="1">qry_ProdData2_PDI_Cash_Exception_Application[[#This Row],[TODAY]]-qry_ProdData2_PDI_Cash_Exception_Application[[#This Row],[CHANGED ON]]</f>
        <v>18.742928240739275</v>
      </c>
    </row>
    <row r="1124" spans="1:14" x14ac:dyDescent="0.35">
      <c r="A1124">
        <v>1005</v>
      </c>
      <c r="B1124" t="s">
        <v>59</v>
      </c>
      <c r="C1124" s="1">
        <v>45195.257071759261</v>
      </c>
      <c r="D1124" t="str">
        <f ca="1">VLOOKUP(qry_ProdData2_PDI_Cash_Exception_Application[[#This Row],[TYPE]],#REF!,2,FALSE)</f>
        <v>type40</v>
      </c>
      <c r="E1124">
        <v>-405.15</v>
      </c>
      <c r="F1124" t="s">
        <v>52</v>
      </c>
      <c r="G1124" s="1">
        <f>qry_ProdData2_PDI_Cash_Exception_Application[[#This Row],[INSERT DATE]]+5</f>
        <v>45200.257071759261</v>
      </c>
      <c r="H1124" t="str">
        <f>VLOOKUP(qry_ProdData2_PDI_Cash_Exception_Application[[#This Row],[MARKET No]],'Site Allocation'!$B$2:$C$37,2,FALSE)</f>
        <v>Analyst1</v>
      </c>
      <c r="I1124" s="4">
        <f t="shared" ca="1" si="17"/>
        <v>45203</v>
      </c>
      <c r="J1124" s="42">
        <f ca="1">TODAY()-qry_ProdData2_PDI_Cash_Exception_Application[[#This Row],[INSERT DATE]]</f>
        <v>7.7429282407392748</v>
      </c>
      <c r="K11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124">
        <f ca="1">qry_ProdData2_PDI_Cash_Exception_Application[[#This Row],[TODAY]]-qry_ProdData2_PDI_Cash_Exception_Application[[#This Row],[CHANGED ON]]</f>
        <v>2.7429282407392748</v>
      </c>
      <c r="M1124">
        <f ca="1">qry_ProdData2_PDI_Cash_Exception_Application[[#This Row],[TODAY]]-qry_ProdData2_PDI_Cash_Exception_Application[[#This Row],[CHANGED ON]]</f>
        <v>2.7429282407392748</v>
      </c>
      <c r="N1124">
        <f ca="1">qry_ProdData2_PDI_Cash_Exception_Application[[#This Row],[TODAY]]-qry_ProdData2_PDI_Cash_Exception_Application[[#This Row],[CHANGED ON]]</f>
        <v>2.7429282407392748</v>
      </c>
    </row>
    <row r="1125" spans="1:14" x14ac:dyDescent="0.35">
      <c r="A1125">
        <v>1010</v>
      </c>
      <c r="B1125" t="s">
        <v>64</v>
      </c>
      <c r="C1125" s="1">
        <v>45180.257071759261</v>
      </c>
      <c r="D1125" t="str">
        <f ca="1">VLOOKUP(qry_ProdData2_PDI_Cash_Exception_Application[[#This Row],[TYPE]],#REF!,2,FALSE)</f>
        <v>type40</v>
      </c>
      <c r="E1125">
        <v>674.5</v>
      </c>
      <c r="F1125" t="s">
        <v>49</v>
      </c>
      <c r="G1125" s="1">
        <f>qry_ProdData2_PDI_Cash_Exception_Application[[#This Row],[INSERT DATE]]+1</f>
        <v>45181.257071759261</v>
      </c>
      <c r="H1125" t="str">
        <f>VLOOKUP(qry_ProdData2_PDI_Cash_Exception_Application[[#This Row],[MARKET No]],'Site Allocation'!$B$2:$C$37,2,FALSE)</f>
        <v>Analyst2</v>
      </c>
      <c r="I1125" s="4">
        <f t="shared" ca="1" si="17"/>
        <v>45203</v>
      </c>
      <c r="J1125" s="42">
        <f ca="1">TODAY()-qry_ProdData2_PDI_Cash_Exception_Application[[#This Row],[INSERT DATE]]</f>
        <v>22.742928240739275</v>
      </c>
      <c r="K11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25">
        <f ca="1">qry_ProdData2_PDI_Cash_Exception_Application[[#This Row],[TODAY]]-qry_ProdData2_PDI_Cash_Exception_Application[[#This Row],[CHANGED ON]]</f>
        <v>21.742928240739275</v>
      </c>
      <c r="M1125">
        <f ca="1">qry_ProdData2_PDI_Cash_Exception_Application[[#This Row],[TODAY]]-qry_ProdData2_PDI_Cash_Exception_Application[[#This Row],[CHANGED ON]]</f>
        <v>21.742928240739275</v>
      </c>
      <c r="N1125">
        <f ca="1">qry_ProdData2_PDI_Cash_Exception_Application[[#This Row],[TODAY]]-qry_ProdData2_PDI_Cash_Exception_Application[[#This Row],[CHANGED ON]]</f>
        <v>21.742928240739275</v>
      </c>
    </row>
    <row r="1126" spans="1:14" x14ac:dyDescent="0.35">
      <c r="A1126">
        <v>1016</v>
      </c>
      <c r="B1126" t="s">
        <v>70</v>
      </c>
      <c r="C1126" s="1">
        <v>45186.257071759261</v>
      </c>
      <c r="D1126" t="str">
        <f ca="1">VLOOKUP(qry_ProdData2_PDI_Cash_Exception_Application[[#This Row],[TYPE]],#REF!,2,FALSE)</f>
        <v>type40</v>
      </c>
      <c r="E1126">
        <v>13.81</v>
      </c>
      <c r="F1126" t="s">
        <v>47</v>
      </c>
      <c r="G1126" s="1">
        <f>qry_ProdData2_PDI_Cash_Exception_Application[[#This Row],[INSERT DATE]]+7</f>
        <v>45193.257071759261</v>
      </c>
      <c r="H1126" t="str">
        <f>VLOOKUP(qry_ProdData2_PDI_Cash_Exception_Application[[#This Row],[MARKET No]],'Site Allocation'!$B$2:$C$37,2,FALSE)</f>
        <v>Analyst3</v>
      </c>
      <c r="I1126" s="4">
        <f t="shared" ca="1" si="17"/>
        <v>45203</v>
      </c>
      <c r="J1126" s="42">
        <f ca="1">TODAY()-qry_ProdData2_PDI_Cash_Exception_Application[[#This Row],[INSERT DATE]]</f>
        <v>16.742928240739275</v>
      </c>
      <c r="K11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26">
        <f ca="1">qry_ProdData2_PDI_Cash_Exception_Application[[#This Row],[TODAY]]-qry_ProdData2_PDI_Cash_Exception_Application[[#This Row],[CHANGED ON]]</f>
        <v>9.7429282407392748</v>
      </c>
      <c r="M1126">
        <f ca="1">qry_ProdData2_PDI_Cash_Exception_Application[[#This Row],[TODAY]]-qry_ProdData2_PDI_Cash_Exception_Application[[#This Row],[CHANGED ON]]</f>
        <v>9.7429282407392748</v>
      </c>
      <c r="N1126">
        <f ca="1">qry_ProdData2_PDI_Cash_Exception_Application[[#This Row],[TODAY]]-qry_ProdData2_PDI_Cash_Exception_Application[[#This Row],[CHANGED ON]]</f>
        <v>9.7429282407392748</v>
      </c>
    </row>
    <row r="1127" spans="1:14" x14ac:dyDescent="0.35">
      <c r="A1127">
        <v>1029</v>
      </c>
      <c r="B1127" t="s">
        <v>83</v>
      </c>
      <c r="C1127" s="1">
        <v>45184.257071759261</v>
      </c>
      <c r="D1127" t="str">
        <f ca="1">VLOOKUP(qry_ProdData2_PDI_Cash_Exception_Application[[#This Row],[TYPE]],#REF!,2,FALSE)</f>
        <v>type52</v>
      </c>
      <c r="E1127">
        <v>116.53</v>
      </c>
      <c r="F1127" t="s">
        <v>51</v>
      </c>
      <c r="G1127" s="1">
        <f>qry_ProdData2_PDI_Cash_Exception_Application[[#This Row],[INSERT DATE]]+1</f>
        <v>45185.257071759261</v>
      </c>
      <c r="H1127" t="str">
        <f>VLOOKUP(qry_ProdData2_PDI_Cash_Exception_Application[[#This Row],[MARKET No]],'Site Allocation'!$B$2:$C$37,2,FALSE)</f>
        <v>Analyst5</v>
      </c>
      <c r="I1127" s="4">
        <f t="shared" ca="1" si="17"/>
        <v>45203</v>
      </c>
      <c r="J1127" s="42">
        <f ca="1">TODAY()-qry_ProdData2_PDI_Cash_Exception_Application[[#This Row],[INSERT DATE]]</f>
        <v>18.742928240739275</v>
      </c>
      <c r="K11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27">
        <f ca="1">qry_ProdData2_PDI_Cash_Exception_Application[[#This Row],[TODAY]]-qry_ProdData2_PDI_Cash_Exception_Application[[#This Row],[CHANGED ON]]</f>
        <v>17.742928240739275</v>
      </c>
      <c r="M1127">
        <f ca="1">qry_ProdData2_PDI_Cash_Exception_Application[[#This Row],[TODAY]]-qry_ProdData2_PDI_Cash_Exception_Application[[#This Row],[CHANGED ON]]</f>
        <v>17.742928240739275</v>
      </c>
      <c r="N1127">
        <f ca="1">qry_ProdData2_PDI_Cash_Exception_Application[[#This Row],[TODAY]]-qry_ProdData2_PDI_Cash_Exception_Application[[#This Row],[CHANGED ON]]</f>
        <v>17.742928240739275</v>
      </c>
    </row>
    <row r="1128" spans="1:14" x14ac:dyDescent="0.35">
      <c r="A1128">
        <v>1021</v>
      </c>
      <c r="B1128" t="s">
        <v>75</v>
      </c>
      <c r="C1128" s="1">
        <v>45184.257071759261</v>
      </c>
      <c r="D1128" t="str">
        <f ca="1">VLOOKUP(qry_ProdData2_PDI_Cash_Exception_Application[[#This Row],[TYPE]],#REF!,2,FALSE)</f>
        <v>type40</v>
      </c>
      <c r="E1128">
        <v>61.61</v>
      </c>
      <c r="F1128" t="s">
        <v>51</v>
      </c>
      <c r="G1128" s="1">
        <f>qry_ProdData2_PDI_Cash_Exception_Application[[#This Row],[INSERT DATE]]+1</f>
        <v>45185.257071759261</v>
      </c>
      <c r="H1128" t="str">
        <f>VLOOKUP(qry_ProdData2_PDI_Cash_Exception_Application[[#This Row],[MARKET No]],'Site Allocation'!$B$2:$C$37,2,FALSE)</f>
        <v>Analyst4</v>
      </c>
      <c r="I1128" s="4">
        <f t="shared" ca="1" si="17"/>
        <v>45203</v>
      </c>
      <c r="J1128" s="42">
        <f ca="1">TODAY()-qry_ProdData2_PDI_Cash_Exception_Application[[#This Row],[INSERT DATE]]</f>
        <v>18.742928240739275</v>
      </c>
      <c r="K11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28">
        <f ca="1">qry_ProdData2_PDI_Cash_Exception_Application[[#This Row],[TODAY]]-qry_ProdData2_PDI_Cash_Exception_Application[[#This Row],[CHANGED ON]]</f>
        <v>17.742928240739275</v>
      </c>
      <c r="M1128">
        <f ca="1">qry_ProdData2_PDI_Cash_Exception_Application[[#This Row],[TODAY]]-qry_ProdData2_PDI_Cash_Exception_Application[[#This Row],[CHANGED ON]]</f>
        <v>17.742928240739275</v>
      </c>
      <c r="N1128">
        <f ca="1">qry_ProdData2_PDI_Cash_Exception_Application[[#This Row],[TODAY]]-qry_ProdData2_PDI_Cash_Exception_Application[[#This Row],[CHANGED ON]]</f>
        <v>17.742928240739275</v>
      </c>
    </row>
    <row r="1129" spans="1:14" x14ac:dyDescent="0.35">
      <c r="A1129">
        <v>1003</v>
      </c>
      <c r="B1129" t="s">
        <v>57</v>
      </c>
      <c r="C1129" s="1">
        <v>45187.257071759261</v>
      </c>
      <c r="D1129" t="str">
        <f ca="1">VLOOKUP(qry_ProdData2_PDI_Cash_Exception_Application[[#This Row],[TYPE]],#REF!,2,FALSE)</f>
        <v>type40</v>
      </c>
      <c r="E1129">
        <v>1365.8</v>
      </c>
      <c r="F1129" t="s">
        <v>48</v>
      </c>
      <c r="G1129" s="1">
        <f>qry_ProdData2_PDI_Cash_Exception_Application[[#This Row],[INSERT DATE]]+2</f>
        <v>45189.257071759261</v>
      </c>
      <c r="H1129" t="str">
        <f>VLOOKUP(qry_ProdData2_PDI_Cash_Exception_Application[[#This Row],[MARKET No]],'Site Allocation'!$B$2:$C$37,2,FALSE)</f>
        <v>Analyst1</v>
      </c>
      <c r="I1129" s="4">
        <f t="shared" ca="1" si="17"/>
        <v>45203</v>
      </c>
      <c r="J1129" s="42">
        <f ca="1">TODAY()-qry_ProdData2_PDI_Cash_Exception_Application[[#This Row],[INSERT DATE]]</f>
        <v>15.742928240739275</v>
      </c>
      <c r="K11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29">
        <f ca="1">qry_ProdData2_PDI_Cash_Exception_Application[[#This Row],[TODAY]]-qry_ProdData2_PDI_Cash_Exception_Application[[#This Row],[CHANGED ON]]</f>
        <v>13.742928240739275</v>
      </c>
      <c r="M1129">
        <f ca="1">qry_ProdData2_PDI_Cash_Exception_Application[[#This Row],[TODAY]]-qry_ProdData2_PDI_Cash_Exception_Application[[#This Row],[CHANGED ON]]</f>
        <v>13.742928240739275</v>
      </c>
      <c r="N1129">
        <f ca="1">qry_ProdData2_PDI_Cash_Exception_Application[[#This Row],[TODAY]]-qry_ProdData2_PDI_Cash_Exception_Application[[#This Row],[CHANGED ON]]</f>
        <v>13.742928240739275</v>
      </c>
    </row>
    <row r="1130" spans="1:14" x14ac:dyDescent="0.35">
      <c r="A1130">
        <v>1004</v>
      </c>
      <c r="B1130" t="s">
        <v>58</v>
      </c>
      <c r="C1130" s="1">
        <v>45182.257071759261</v>
      </c>
      <c r="D1130" t="str">
        <f ca="1">VLOOKUP(qry_ProdData2_PDI_Cash_Exception_Application[[#This Row],[TYPE]],#REF!,2,FALSE)</f>
        <v>type7</v>
      </c>
      <c r="E1130">
        <v>1393.72</v>
      </c>
      <c r="F1130" t="s">
        <v>50</v>
      </c>
      <c r="G1130" s="1">
        <f>qry_ProdData2_PDI_Cash_Exception_Application[[#This Row],[INSERT DATE]]+5</f>
        <v>45187.257071759261</v>
      </c>
      <c r="H1130" t="str">
        <f>VLOOKUP(qry_ProdData2_PDI_Cash_Exception_Application[[#This Row],[MARKET No]],'Site Allocation'!$B$2:$C$37,2,FALSE)</f>
        <v>Analyst1</v>
      </c>
      <c r="I1130" s="4">
        <f t="shared" ca="1" si="17"/>
        <v>45203</v>
      </c>
      <c r="J1130" s="42">
        <f ca="1">TODAY()-qry_ProdData2_PDI_Cash_Exception_Application[[#This Row],[INSERT DATE]]</f>
        <v>20.742928240739275</v>
      </c>
      <c r="K11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30">
        <f ca="1">qry_ProdData2_PDI_Cash_Exception_Application[[#This Row],[TODAY]]-qry_ProdData2_PDI_Cash_Exception_Application[[#This Row],[CHANGED ON]]</f>
        <v>15.742928240739275</v>
      </c>
      <c r="M1130">
        <f ca="1">qry_ProdData2_PDI_Cash_Exception_Application[[#This Row],[TODAY]]-qry_ProdData2_PDI_Cash_Exception_Application[[#This Row],[CHANGED ON]]</f>
        <v>15.742928240739275</v>
      </c>
      <c r="N1130">
        <f ca="1">qry_ProdData2_PDI_Cash_Exception_Application[[#This Row],[TODAY]]-qry_ProdData2_PDI_Cash_Exception_Application[[#This Row],[CHANGED ON]]</f>
        <v>15.742928240739275</v>
      </c>
    </row>
    <row r="1131" spans="1:14" x14ac:dyDescent="0.35">
      <c r="A1131">
        <v>1028</v>
      </c>
      <c r="B1131" t="s">
        <v>82</v>
      </c>
      <c r="C1131" s="1">
        <v>45182.257071759261</v>
      </c>
      <c r="D1131" t="str">
        <f ca="1">VLOOKUP(qry_ProdData2_PDI_Cash_Exception_Application[[#This Row],[TYPE]],#REF!,2,FALSE)</f>
        <v>type7</v>
      </c>
      <c r="E1131">
        <v>1696.39</v>
      </c>
      <c r="F1131" t="s">
        <v>50</v>
      </c>
      <c r="G1131" s="1">
        <f>qry_ProdData2_PDI_Cash_Exception_Application[[#This Row],[INSERT DATE]]+5</f>
        <v>45187.257071759261</v>
      </c>
      <c r="H1131" t="str">
        <f>VLOOKUP(qry_ProdData2_PDI_Cash_Exception_Application[[#This Row],[MARKET No]],'Site Allocation'!$B$2:$C$37,2,FALSE)</f>
        <v>Analyst5</v>
      </c>
      <c r="I1131" s="4">
        <f t="shared" ca="1" si="17"/>
        <v>45203</v>
      </c>
      <c r="J1131" s="42">
        <f ca="1">TODAY()-qry_ProdData2_PDI_Cash_Exception_Application[[#This Row],[INSERT DATE]]</f>
        <v>20.742928240739275</v>
      </c>
      <c r="K11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31">
        <f ca="1">qry_ProdData2_PDI_Cash_Exception_Application[[#This Row],[TODAY]]-qry_ProdData2_PDI_Cash_Exception_Application[[#This Row],[CHANGED ON]]</f>
        <v>15.742928240739275</v>
      </c>
      <c r="M1131">
        <f ca="1">qry_ProdData2_PDI_Cash_Exception_Application[[#This Row],[TODAY]]-qry_ProdData2_PDI_Cash_Exception_Application[[#This Row],[CHANGED ON]]</f>
        <v>15.742928240739275</v>
      </c>
      <c r="N1131">
        <f ca="1">qry_ProdData2_PDI_Cash_Exception_Application[[#This Row],[TODAY]]-qry_ProdData2_PDI_Cash_Exception_Application[[#This Row],[CHANGED ON]]</f>
        <v>15.742928240739275</v>
      </c>
    </row>
    <row r="1132" spans="1:14" x14ac:dyDescent="0.35">
      <c r="A1132">
        <v>1029</v>
      </c>
      <c r="B1132" t="s">
        <v>83</v>
      </c>
      <c r="C1132" s="1">
        <v>45183.257071759261</v>
      </c>
      <c r="D1132" t="str">
        <f ca="1">VLOOKUP(qry_ProdData2_PDI_Cash_Exception_Application[[#This Row],[TYPE]],#REF!,2,FALSE)</f>
        <v>type40</v>
      </c>
      <c r="E1132">
        <v>-1225.97</v>
      </c>
      <c r="F1132" t="s">
        <v>50</v>
      </c>
      <c r="G1132" s="1">
        <f>qry_ProdData2_PDI_Cash_Exception_Application[[#This Row],[INSERT DATE]]+5</f>
        <v>45188.257071759261</v>
      </c>
      <c r="H1132" t="str">
        <f>VLOOKUP(qry_ProdData2_PDI_Cash_Exception_Application[[#This Row],[MARKET No]],'Site Allocation'!$B$2:$C$37,2,FALSE)</f>
        <v>Analyst5</v>
      </c>
      <c r="I1132" s="4">
        <f t="shared" ca="1" si="17"/>
        <v>45203</v>
      </c>
      <c r="J1132" s="42">
        <f ca="1">TODAY()-qry_ProdData2_PDI_Cash_Exception_Application[[#This Row],[INSERT DATE]]</f>
        <v>19.742928240739275</v>
      </c>
      <c r="K11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32">
        <f ca="1">qry_ProdData2_PDI_Cash_Exception_Application[[#This Row],[TODAY]]-qry_ProdData2_PDI_Cash_Exception_Application[[#This Row],[CHANGED ON]]</f>
        <v>14.742928240739275</v>
      </c>
      <c r="M1132">
        <f ca="1">qry_ProdData2_PDI_Cash_Exception_Application[[#This Row],[TODAY]]-qry_ProdData2_PDI_Cash_Exception_Application[[#This Row],[CHANGED ON]]</f>
        <v>14.742928240739275</v>
      </c>
      <c r="N1132">
        <f ca="1">qry_ProdData2_PDI_Cash_Exception_Application[[#This Row],[TODAY]]-qry_ProdData2_PDI_Cash_Exception_Application[[#This Row],[CHANGED ON]]</f>
        <v>14.742928240739275</v>
      </c>
    </row>
    <row r="1133" spans="1:14" x14ac:dyDescent="0.35">
      <c r="A1133">
        <v>1012</v>
      </c>
      <c r="B1133" t="s">
        <v>66</v>
      </c>
      <c r="C1133" s="1">
        <v>45183.257071759261</v>
      </c>
      <c r="D1133" t="str">
        <f ca="1">VLOOKUP(qry_ProdData2_PDI_Cash_Exception_Application[[#This Row],[TYPE]],#REF!,2,FALSE)</f>
        <v>type2</v>
      </c>
      <c r="E1133">
        <v>1087</v>
      </c>
      <c r="F1133" t="s">
        <v>52</v>
      </c>
      <c r="G1133" s="1">
        <f>qry_ProdData2_PDI_Cash_Exception_Application[[#This Row],[INSERT DATE]]+7</f>
        <v>45190.257071759261</v>
      </c>
      <c r="H1133" t="str">
        <f>VLOOKUP(qry_ProdData2_PDI_Cash_Exception_Application[[#This Row],[MARKET No]],'Site Allocation'!$B$2:$C$37,2,FALSE)</f>
        <v>Analyst3</v>
      </c>
      <c r="I1133" s="4">
        <f t="shared" ca="1" si="17"/>
        <v>45203</v>
      </c>
      <c r="J1133" s="42">
        <f ca="1">TODAY()-qry_ProdData2_PDI_Cash_Exception_Application[[#This Row],[INSERT DATE]]</f>
        <v>19.742928240739275</v>
      </c>
      <c r="K11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33">
        <f ca="1">qry_ProdData2_PDI_Cash_Exception_Application[[#This Row],[TODAY]]-qry_ProdData2_PDI_Cash_Exception_Application[[#This Row],[CHANGED ON]]</f>
        <v>12.742928240739275</v>
      </c>
      <c r="M1133">
        <f ca="1">qry_ProdData2_PDI_Cash_Exception_Application[[#This Row],[TODAY]]-qry_ProdData2_PDI_Cash_Exception_Application[[#This Row],[CHANGED ON]]</f>
        <v>12.742928240739275</v>
      </c>
      <c r="N1133">
        <f ca="1">qry_ProdData2_PDI_Cash_Exception_Application[[#This Row],[TODAY]]-qry_ProdData2_PDI_Cash_Exception_Application[[#This Row],[CHANGED ON]]</f>
        <v>12.742928240739275</v>
      </c>
    </row>
    <row r="1134" spans="1:14" x14ac:dyDescent="0.35">
      <c r="A1134">
        <v>1028</v>
      </c>
      <c r="B1134" t="s">
        <v>82</v>
      </c>
      <c r="C1134" s="1">
        <v>45189.257071759261</v>
      </c>
      <c r="D1134" t="str">
        <f ca="1">VLOOKUP(qry_ProdData2_PDI_Cash_Exception_Application[[#This Row],[TYPE]],#REF!,2,FALSE)</f>
        <v>type7</v>
      </c>
      <c r="E1134">
        <v>-1200.6500000000001</v>
      </c>
      <c r="F1134" t="s">
        <v>47</v>
      </c>
      <c r="G1134" s="1">
        <f>qry_ProdData2_PDI_Cash_Exception_Application[[#This Row],[INSERT DATE]]+7</f>
        <v>45196.257071759261</v>
      </c>
      <c r="H1134" t="str">
        <f>VLOOKUP(qry_ProdData2_PDI_Cash_Exception_Application[[#This Row],[MARKET No]],'Site Allocation'!$B$2:$C$37,2,FALSE)</f>
        <v>Analyst5</v>
      </c>
      <c r="I1134" s="4">
        <f t="shared" ca="1" si="17"/>
        <v>45203</v>
      </c>
      <c r="J1134" s="42">
        <f ca="1">TODAY()-qry_ProdData2_PDI_Cash_Exception_Application[[#This Row],[INSERT DATE]]</f>
        <v>13.742928240739275</v>
      </c>
      <c r="K11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34">
        <f ca="1">qry_ProdData2_PDI_Cash_Exception_Application[[#This Row],[TODAY]]-qry_ProdData2_PDI_Cash_Exception_Application[[#This Row],[CHANGED ON]]</f>
        <v>6.7429282407392748</v>
      </c>
      <c r="M1134">
        <f ca="1">qry_ProdData2_PDI_Cash_Exception_Application[[#This Row],[TODAY]]-qry_ProdData2_PDI_Cash_Exception_Application[[#This Row],[CHANGED ON]]</f>
        <v>6.7429282407392748</v>
      </c>
      <c r="N1134">
        <f ca="1">qry_ProdData2_PDI_Cash_Exception_Application[[#This Row],[TODAY]]-qry_ProdData2_PDI_Cash_Exception_Application[[#This Row],[CHANGED ON]]</f>
        <v>6.7429282407392748</v>
      </c>
    </row>
    <row r="1135" spans="1:14" x14ac:dyDescent="0.35">
      <c r="A1135">
        <v>1002</v>
      </c>
      <c r="B1135" t="s">
        <v>56</v>
      </c>
      <c r="C1135" s="1">
        <v>45188.257071759261</v>
      </c>
      <c r="D1135" t="str">
        <f ca="1">VLOOKUP(qry_ProdData2_PDI_Cash_Exception_Application[[#This Row],[TYPE]],#REF!,2,FALSE)</f>
        <v>type13</v>
      </c>
      <c r="E1135">
        <v>66220.55</v>
      </c>
      <c r="F1135" t="s">
        <v>48</v>
      </c>
      <c r="G1135" s="1">
        <f>qry_ProdData2_PDI_Cash_Exception_Application[[#This Row],[INSERT DATE]]+2</f>
        <v>45190.257071759261</v>
      </c>
      <c r="H1135" t="str">
        <f>VLOOKUP(qry_ProdData2_PDI_Cash_Exception_Application[[#This Row],[MARKET No]],'Site Allocation'!$B$2:$C$37,2,FALSE)</f>
        <v>Analyst1</v>
      </c>
      <c r="I1135" s="4">
        <f t="shared" ca="1" si="17"/>
        <v>45203</v>
      </c>
      <c r="J1135" s="42">
        <f ca="1">TODAY()-qry_ProdData2_PDI_Cash_Exception_Application[[#This Row],[INSERT DATE]]</f>
        <v>14.742928240739275</v>
      </c>
      <c r="K11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35">
        <f ca="1">qry_ProdData2_PDI_Cash_Exception_Application[[#This Row],[TODAY]]-qry_ProdData2_PDI_Cash_Exception_Application[[#This Row],[CHANGED ON]]</f>
        <v>12.742928240739275</v>
      </c>
      <c r="M1135">
        <f ca="1">qry_ProdData2_PDI_Cash_Exception_Application[[#This Row],[TODAY]]-qry_ProdData2_PDI_Cash_Exception_Application[[#This Row],[CHANGED ON]]</f>
        <v>12.742928240739275</v>
      </c>
      <c r="N1135">
        <f ca="1">qry_ProdData2_PDI_Cash_Exception_Application[[#This Row],[TODAY]]-qry_ProdData2_PDI_Cash_Exception_Application[[#This Row],[CHANGED ON]]</f>
        <v>12.742928240739275</v>
      </c>
    </row>
    <row r="1136" spans="1:14" x14ac:dyDescent="0.35">
      <c r="A1136">
        <v>1016</v>
      </c>
      <c r="B1136" t="s">
        <v>70</v>
      </c>
      <c r="C1136" s="1">
        <v>45184.257071759261</v>
      </c>
      <c r="D1136" t="str">
        <f ca="1">VLOOKUP(qry_ProdData2_PDI_Cash_Exception_Application[[#This Row],[TYPE]],#REF!,2,FALSE)</f>
        <v>type40</v>
      </c>
      <c r="E1136">
        <v>456.42</v>
      </c>
      <c r="F1136" t="s">
        <v>48</v>
      </c>
      <c r="G1136" s="1">
        <f>qry_ProdData2_PDI_Cash_Exception_Application[[#This Row],[INSERT DATE]]+5</f>
        <v>45189.257071759261</v>
      </c>
      <c r="H1136" t="str">
        <f>VLOOKUP(qry_ProdData2_PDI_Cash_Exception_Application[[#This Row],[MARKET No]],'Site Allocation'!$B$2:$C$37,2,FALSE)</f>
        <v>Analyst3</v>
      </c>
      <c r="I1136" s="4">
        <f t="shared" ca="1" si="17"/>
        <v>45203</v>
      </c>
      <c r="J1136" s="42">
        <f ca="1">TODAY()-qry_ProdData2_PDI_Cash_Exception_Application[[#This Row],[INSERT DATE]]</f>
        <v>18.742928240739275</v>
      </c>
      <c r="K11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36">
        <f ca="1">qry_ProdData2_PDI_Cash_Exception_Application[[#This Row],[TODAY]]-qry_ProdData2_PDI_Cash_Exception_Application[[#This Row],[CHANGED ON]]</f>
        <v>13.742928240739275</v>
      </c>
      <c r="M1136">
        <f ca="1">qry_ProdData2_PDI_Cash_Exception_Application[[#This Row],[TODAY]]-qry_ProdData2_PDI_Cash_Exception_Application[[#This Row],[CHANGED ON]]</f>
        <v>13.742928240739275</v>
      </c>
      <c r="N1136">
        <f ca="1">qry_ProdData2_PDI_Cash_Exception_Application[[#This Row],[TODAY]]-qry_ProdData2_PDI_Cash_Exception_Application[[#This Row],[CHANGED ON]]</f>
        <v>13.742928240739275</v>
      </c>
    </row>
    <row r="1137" spans="1:14" x14ac:dyDescent="0.35">
      <c r="A1137">
        <v>1035</v>
      </c>
      <c r="B1137" t="s">
        <v>89</v>
      </c>
      <c r="C1137" s="1">
        <v>45185.257071759261</v>
      </c>
      <c r="D1137" t="str">
        <f ca="1">VLOOKUP(qry_ProdData2_PDI_Cash_Exception_Application[[#This Row],[TYPE]],#REF!,2,FALSE)</f>
        <v>type40</v>
      </c>
      <c r="E1137">
        <v>639.4</v>
      </c>
      <c r="F1137" t="s">
        <v>48</v>
      </c>
      <c r="G1137" s="1">
        <f>qry_ProdData2_PDI_Cash_Exception_Application[[#This Row],[INSERT DATE]]+5</f>
        <v>45190.257071759261</v>
      </c>
      <c r="H1137" t="str">
        <f>VLOOKUP(qry_ProdData2_PDI_Cash_Exception_Application[[#This Row],[MARKET No]],'Site Allocation'!$B$2:$C$37,2,FALSE)</f>
        <v>Analyst6</v>
      </c>
      <c r="I1137" s="4">
        <f t="shared" ca="1" si="17"/>
        <v>45203</v>
      </c>
      <c r="J1137" s="42">
        <f ca="1">TODAY()-qry_ProdData2_PDI_Cash_Exception_Application[[#This Row],[INSERT DATE]]</f>
        <v>17.742928240739275</v>
      </c>
      <c r="K11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37">
        <f ca="1">qry_ProdData2_PDI_Cash_Exception_Application[[#This Row],[TODAY]]-qry_ProdData2_PDI_Cash_Exception_Application[[#This Row],[CHANGED ON]]</f>
        <v>12.742928240739275</v>
      </c>
      <c r="M1137">
        <f ca="1">qry_ProdData2_PDI_Cash_Exception_Application[[#This Row],[TODAY]]-qry_ProdData2_PDI_Cash_Exception_Application[[#This Row],[CHANGED ON]]</f>
        <v>12.742928240739275</v>
      </c>
      <c r="N1137">
        <f ca="1">qry_ProdData2_PDI_Cash_Exception_Application[[#This Row],[TODAY]]-qry_ProdData2_PDI_Cash_Exception_Application[[#This Row],[CHANGED ON]]</f>
        <v>12.742928240739275</v>
      </c>
    </row>
    <row r="1138" spans="1:14" x14ac:dyDescent="0.35">
      <c r="A1138">
        <v>1000</v>
      </c>
      <c r="B1138" t="s">
        <v>54</v>
      </c>
      <c r="C1138" s="1">
        <v>45188.257071759261</v>
      </c>
      <c r="D1138" t="str">
        <f ca="1">VLOOKUP(qry_ProdData2_PDI_Cash_Exception_Application[[#This Row],[TYPE]],#REF!,2,FALSE)</f>
        <v>type13</v>
      </c>
      <c r="E1138">
        <v>25281.4</v>
      </c>
      <c r="F1138" t="s">
        <v>48</v>
      </c>
      <c r="G1138" s="1">
        <f>qry_ProdData2_PDI_Cash_Exception_Application[[#This Row],[INSERT DATE]]+7</f>
        <v>45195.257071759261</v>
      </c>
      <c r="H1138" t="str">
        <f>VLOOKUP(qry_ProdData2_PDI_Cash_Exception_Application[[#This Row],[MARKET No]],'Site Allocation'!$B$2:$C$37,2,FALSE)</f>
        <v>Analyst1</v>
      </c>
      <c r="I1138" s="4">
        <f t="shared" ca="1" si="17"/>
        <v>45203</v>
      </c>
      <c r="J1138" s="42">
        <f ca="1">TODAY()-qry_ProdData2_PDI_Cash_Exception_Application[[#This Row],[INSERT DATE]]</f>
        <v>14.742928240739275</v>
      </c>
      <c r="K11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38">
        <f ca="1">qry_ProdData2_PDI_Cash_Exception_Application[[#This Row],[TODAY]]-qry_ProdData2_PDI_Cash_Exception_Application[[#This Row],[CHANGED ON]]</f>
        <v>7.7429282407392748</v>
      </c>
      <c r="M1138">
        <f ca="1">qry_ProdData2_PDI_Cash_Exception_Application[[#This Row],[TODAY]]-qry_ProdData2_PDI_Cash_Exception_Application[[#This Row],[CHANGED ON]]</f>
        <v>7.7429282407392748</v>
      </c>
      <c r="N1138">
        <f ca="1">qry_ProdData2_PDI_Cash_Exception_Application[[#This Row],[TODAY]]-qry_ProdData2_PDI_Cash_Exception_Application[[#This Row],[CHANGED ON]]</f>
        <v>7.7429282407392748</v>
      </c>
    </row>
    <row r="1139" spans="1:14" x14ac:dyDescent="0.35">
      <c r="A1139">
        <v>1000</v>
      </c>
      <c r="B1139" t="s">
        <v>54</v>
      </c>
      <c r="C1139" s="1">
        <v>45190.257071759261</v>
      </c>
      <c r="D1139" t="str">
        <f ca="1">VLOOKUP(qry_ProdData2_PDI_Cash_Exception_Application[[#This Row],[TYPE]],#REF!,2,FALSE)</f>
        <v>type40</v>
      </c>
      <c r="E1139">
        <v>563.39</v>
      </c>
      <c r="F1139" t="s">
        <v>48</v>
      </c>
      <c r="G1139" s="1">
        <f>qry_ProdData2_PDI_Cash_Exception_Application[[#This Row],[INSERT DATE]]+7</f>
        <v>45197.257071759261</v>
      </c>
      <c r="H1139" t="str">
        <f>VLOOKUP(qry_ProdData2_PDI_Cash_Exception_Application[[#This Row],[MARKET No]],'Site Allocation'!$B$2:$C$37,2,FALSE)</f>
        <v>Analyst1</v>
      </c>
      <c r="I1139" s="4">
        <f t="shared" ca="1" si="17"/>
        <v>45203</v>
      </c>
      <c r="J1139" s="42">
        <f ca="1">TODAY()-qry_ProdData2_PDI_Cash_Exception_Application[[#This Row],[INSERT DATE]]</f>
        <v>12.742928240739275</v>
      </c>
      <c r="K11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39">
        <f ca="1">qry_ProdData2_PDI_Cash_Exception_Application[[#This Row],[TODAY]]-qry_ProdData2_PDI_Cash_Exception_Application[[#This Row],[CHANGED ON]]</f>
        <v>5.7429282407392748</v>
      </c>
      <c r="M1139">
        <f ca="1">qry_ProdData2_PDI_Cash_Exception_Application[[#This Row],[TODAY]]-qry_ProdData2_PDI_Cash_Exception_Application[[#This Row],[CHANGED ON]]</f>
        <v>5.7429282407392748</v>
      </c>
      <c r="N1139">
        <f ca="1">qry_ProdData2_PDI_Cash_Exception_Application[[#This Row],[TODAY]]-qry_ProdData2_PDI_Cash_Exception_Application[[#This Row],[CHANGED ON]]</f>
        <v>5.7429282407392748</v>
      </c>
    </row>
    <row r="1140" spans="1:14" x14ac:dyDescent="0.35">
      <c r="A1140">
        <v>1007</v>
      </c>
      <c r="B1140" t="s">
        <v>61</v>
      </c>
      <c r="C1140" s="1">
        <v>45187.257071759261</v>
      </c>
      <c r="D1140" t="str">
        <f ca="1">VLOOKUP(qry_ProdData2_PDI_Cash_Exception_Application[[#This Row],[TYPE]],#REF!,2,FALSE)</f>
        <v>type50</v>
      </c>
      <c r="E1140">
        <v>0</v>
      </c>
      <c r="F1140" t="s">
        <v>51</v>
      </c>
      <c r="G1140" s="1">
        <f>qry_ProdData2_PDI_Cash_Exception_Application[[#This Row],[INSERT DATE]]+1</f>
        <v>45188.257071759261</v>
      </c>
      <c r="H1140" t="str">
        <f>VLOOKUP(qry_ProdData2_PDI_Cash_Exception_Application[[#This Row],[MARKET No]],'Site Allocation'!$B$2:$C$37,2,FALSE)</f>
        <v>Analyst2</v>
      </c>
      <c r="I1140" s="4">
        <f t="shared" ca="1" si="17"/>
        <v>45203</v>
      </c>
      <c r="J1140" s="42">
        <f ca="1">TODAY()-qry_ProdData2_PDI_Cash_Exception_Application[[#This Row],[INSERT DATE]]</f>
        <v>15.742928240739275</v>
      </c>
      <c r="K11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40">
        <f ca="1">qry_ProdData2_PDI_Cash_Exception_Application[[#This Row],[TODAY]]-qry_ProdData2_PDI_Cash_Exception_Application[[#This Row],[CHANGED ON]]</f>
        <v>14.742928240739275</v>
      </c>
      <c r="M1140">
        <f ca="1">qry_ProdData2_PDI_Cash_Exception_Application[[#This Row],[TODAY]]-qry_ProdData2_PDI_Cash_Exception_Application[[#This Row],[CHANGED ON]]</f>
        <v>14.742928240739275</v>
      </c>
      <c r="N1140">
        <f ca="1">qry_ProdData2_PDI_Cash_Exception_Application[[#This Row],[TODAY]]-qry_ProdData2_PDI_Cash_Exception_Application[[#This Row],[CHANGED ON]]</f>
        <v>14.742928240739275</v>
      </c>
    </row>
    <row r="1141" spans="1:14" x14ac:dyDescent="0.35">
      <c r="A1141">
        <v>1009</v>
      </c>
      <c r="B1141" t="s">
        <v>63</v>
      </c>
      <c r="C1141" s="1">
        <v>45182.257071759261</v>
      </c>
      <c r="D1141" t="str">
        <f ca="1">VLOOKUP(qry_ProdData2_PDI_Cash_Exception_Application[[#This Row],[TYPE]],#REF!,2,FALSE)</f>
        <v>type38</v>
      </c>
      <c r="E1141">
        <v>182.5</v>
      </c>
      <c r="F1141" t="s">
        <v>47</v>
      </c>
      <c r="G1141" s="1">
        <f>qry_ProdData2_PDI_Cash_Exception_Application[[#This Row],[INSERT DATE]]+7</f>
        <v>45189.257071759261</v>
      </c>
      <c r="H1141" t="str">
        <f>VLOOKUP(qry_ProdData2_PDI_Cash_Exception_Application[[#This Row],[MARKET No]],'Site Allocation'!$B$2:$C$37,2,FALSE)</f>
        <v>Analyst2</v>
      </c>
      <c r="I1141" s="4">
        <f t="shared" ca="1" si="17"/>
        <v>45203</v>
      </c>
      <c r="J1141" s="42">
        <f ca="1">TODAY()-qry_ProdData2_PDI_Cash_Exception_Application[[#This Row],[INSERT DATE]]</f>
        <v>20.742928240739275</v>
      </c>
      <c r="K11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41">
        <f ca="1">qry_ProdData2_PDI_Cash_Exception_Application[[#This Row],[TODAY]]-qry_ProdData2_PDI_Cash_Exception_Application[[#This Row],[CHANGED ON]]</f>
        <v>13.742928240739275</v>
      </c>
      <c r="M1141">
        <f ca="1">qry_ProdData2_PDI_Cash_Exception_Application[[#This Row],[TODAY]]-qry_ProdData2_PDI_Cash_Exception_Application[[#This Row],[CHANGED ON]]</f>
        <v>13.742928240739275</v>
      </c>
      <c r="N1141">
        <f ca="1">qry_ProdData2_PDI_Cash_Exception_Application[[#This Row],[TODAY]]-qry_ProdData2_PDI_Cash_Exception_Application[[#This Row],[CHANGED ON]]</f>
        <v>13.742928240739275</v>
      </c>
    </row>
    <row r="1142" spans="1:14" x14ac:dyDescent="0.35">
      <c r="A1142">
        <v>1032</v>
      </c>
      <c r="B1142" t="s">
        <v>86</v>
      </c>
      <c r="C1142" s="1">
        <v>45189.257071759261</v>
      </c>
      <c r="D1142" t="str">
        <f ca="1">VLOOKUP(qry_ProdData2_PDI_Cash_Exception_Application[[#This Row],[TYPE]],#REF!,2,FALSE)</f>
        <v>type40</v>
      </c>
      <c r="E1142">
        <v>6888.75</v>
      </c>
      <c r="F1142" t="s">
        <v>52</v>
      </c>
      <c r="G1142" s="1">
        <f>qry_ProdData2_PDI_Cash_Exception_Application[[#This Row],[INSERT DATE]]+7</f>
        <v>45196.257071759261</v>
      </c>
      <c r="H1142" t="str">
        <f>VLOOKUP(qry_ProdData2_PDI_Cash_Exception_Application[[#This Row],[MARKET No]],'Site Allocation'!$B$2:$C$37,2,FALSE)</f>
        <v>Analyst6</v>
      </c>
      <c r="I1142" s="4">
        <f t="shared" ca="1" si="17"/>
        <v>45203</v>
      </c>
      <c r="J1142" s="42">
        <f ca="1">TODAY()-qry_ProdData2_PDI_Cash_Exception_Application[[#This Row],[INSERT DATE]]</f>
        <v>13.742928240739275</v>
      </c>
      <c r="K11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42">
        <f ca="1">qry_ProdData2_PDI_Cash_Exception_Application[[#This Row],[TODAY]]-qry_ProdData2_PDI_Cash_Exception_Application[[#This Row],[CHANGED ON]]</f>
        <v>6.7429282407392748</v>
      </c>
      <c r="M1142">
        <f ca="1">qry_ProdData2_PDI_Cash_Exception_Application[[#This Row],[TODAY]]-qry_ProdData2_PDI_Cash_Exception_Application[[#This Row],[CHANGED ON]]</f>
        <v>6.7429282407392748</v>
      </c>
      <c r="N1142">
        <f ca="1">qry_ProdData2_PDI_Cash_Exception_Application[[#This Row],[TODAY]]-qry_ProdData2_PDI_Cash_Exception_Application[[#This Row],[CHANGED ON]]</f>
        <v>6.7429282407392748</v>
      </c>
    </row>
    <row r="1143" spans="1:14" x14ac:dyDescent="0.35">
      <c r="A1143">
        <v>1000</v>
      </c>
      <c r="B1143" t="s">
        <v>54</v>
      </c>
      <c r="C1143" s="1">
        <v>45189.257071759261</v>
      </c>
      <c r="D1143" t="str">
        <f ca="1">VLOOKUP(qry_ProdData2_PDI_Cash_Exception_Application[[#This Row],[TYPE]],#REF!,2,FALSE)</f>
        <v>type40</v>
      </c>
      <c r="E1143">
        <v>-481.03</v>
      </c>
      <c r="F1143" t="s">
        <v>50</v>
      </c>
      <c r="G1143" s="1">
        <f>qry_ProdData2_PDI_Cash_Exception_Application[[#This Row],[INSERT DATE]]+7</f>
        <v>45196.257071759261</v>
      </c>
      <c r="H1143" t="str">
        <f>VLOOKUP(qry_ProdData2_PDI_Cash_Exception_Application[[#This Row],[MARKET No]],'Site Allocation'!$B$2:$C$37,2,FALSE)</f>
        <v>Analyst1</v>
      </c>
      <c r="I1143" s="4">
        <f t="shared" ca="1" si="17"/>
        <v>45203</v>
      </c>
      <c r="J1143" s="42">
        <f ca="1">TODAY()-qry_ProdData2_PDI_Cash_Exception_Application[[#This Row],[INSERT DATE]]</f>
        <v>13.742928240739275</v>
      </c>
      <c r="K11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43">
        <f ca="1">qry_ProdData2_PDI_Cash_Exception_Application[[#This Row],[TODAY]]-qry_ProdData2_PDI_Cash_Exception_Application[[#This Row],[CHANGED ON]]</f>
        <v>6.7429282407392748</v>
      </c>
      <c r="M1143">
        <f ca="1">qry_ProdData2_PDI_Cash_Exception_Application[[#This Row],[TODAY]]-qry_ProdData2_PDI_Cash_Exception_Application[[#This Row],[CHANGED ON]]</f>
        <v>6.7429282407392748</v>
      </c>
      <c r="N1143">
        <f ca="1">qry_ProdData2_PDI_Cash_Exception_Application[[#This Row],[TODAY]]-qry_ProdData2_PDI_Cash_Exception_Application[[#This Row],[CHANGED ON]]</f>
        <v>6.7429282407392748</v>
      </c>
    </row>
    <row r="1144" spans="1:14" x14ac:dyDescent="0.35">
      <c r="A1144">
        <v>1003</v>
      </c>
      <c r="B1144" t="s">
        <v>57</v>
      </c>
      <c r="C1144" s="1">
        <v>45183.257071759261</v>
      </c>
      <c r="D1144" t="str">
        <f ca="1">VLOOKUP(qry_ProdData2_PDI_Cash_Exception_Application[[#This Row],[TYPE]],#REF!,2,FALSE)</f>
        <v>type40</v>
      </c>
      <c r="E1144">
        <v>1763.41</v>
      </c>
      <c r="F1144" t="s">
        <v>49</v>
      </c>
      <c r="G1144" s="1">
        <f>qry_ProdData2_PDI_Cash_Exception_Application[[#This Row],[INSERT DATE]]+1</f>
        <v>45184.257071759261</v>
      </c>
      <c r="H1144" t="str">
        <f>VLOOKUP(qry_ProdData2_PDI_Cash_Exception_Application[[#This Row],[MARKET No]],'Site Allocation'!$B$2:$C$37,2,FALSE)</f>
        <v>Analyst1</v>
      </c>
      <c r="I1144" s="4">
        <f t="shared" ca="1" si="17"/>
        <v>45203</v>
      </c>
      <c r="J1144" s="42">
        <f ca="1">TODAY()-qry_ProdData2_PDI_Cash_Exception_Application[[#This Row],[INSERT DATE]]</f>
        <v>19.742928240739275</v>
      </c>
      <c r="K11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44">
        <f ca="1">qry_ProdData2_PDI_Cash_Exception_Application[[#This Row],[TODAY]]-qry_ProdData2_PDI_Cash_Exception_Application[[#This Row],[CHANGED ON]]</f>
        <v>18.742928240739275</v>
      </c>
      <c r="M1144">
        <f ca="1">qry_ProdData2_PDI_Cash_Exception_Application[[#This Row],[TODAY]]-qry_ProdData2_PDI_Cash_Exception_Application[[#This Row],[CHANGED ON]]</f>
        <v>18.742928240739275</v>
      </c>
      <c r="N1144">
        <f ca="1">qry_ProdData2_PDI_Cash_Exception_Application[[#This Row],[TODAY]]-qry_ProdData2_PDI_Cash_Exception_Application[[#This Row],[CHANGED ON]]</f>
        <v>18.742928240739275</v>
      </c>
    </row>
    <row r="1145" spans="1:14" x14ac:dyDescent="0.35">
      <c r="A1145">
        <v>1027</v>
      </c>
      <c r="B1145" t="s">
        <v>81</v>
      </c>
      <c r="C1145" s="1">
        <v>45189.257071759261</v>
      </c>
      <c r="D1145" t="str">
        <f ca="1">VLOOKUP(qry_ProdData2_PDI_Cash_Exception_Application[[#This Row],[TYPE]],#REF!,2,FALSE)</f>
        <v>type40</v>
      </c>
      <c r="E1145">
        <v>391.7</v>
      </c>
      <c r="F1145" t="s">
        <v>49</v>
      </c>
      <c r="G1145" s="1">
        <f>qry_ProdData2_PDI_Cash_Exception_Application[[#This Row],[INSERT DATE]]+2</f>
        <v>45191.257071759261</v>
      </c>
      <c r="H1145" t="str">
        <f>VLOOKUP(qry_ProdData2_PDI_Cash_Exception_Application[[#This Row],[MARKET No]],'Site Allocation'!$B$2:$C$37,2,FALSE)</f>
        <v>Analyst5</v>
      </c>
      <c r="I1145" s="4">
        <f t="shared" ca="1" si="17"/>
        <v>45203</v>
      </c>
      <c r="J1145" s="42">
        <f ca="1">TODAY()-qry_ProdData2_PDI_Cash_Exception_Application[[#This Row],[INSERT DATE]]</f>
        <v>13.742928240739275</v>
      </c>
      <c r="K11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45">
        <f ca="1">qry_ProdData2_PDI_Cash_Exception_Application[[#This Row],[TODAY]]-qry_ProdData2_PDI_Cash_Exception_Application[[#This Row],[CHANGED ON]]</f>
        <v>11.742928240739275</v>
      </c>
      <c r="M1145">
        <f ca="1">qry_ProdData2_PDI_Cash_Exception_Application[[#This Row],[TODAY]]-qry_ProdData2_PDI_Cash_Exception_Application[[#This Row],[CHANGED ON]]</f>
        <v>11.742928240739275</v>
      </c>
      <c r="N1145">
        <f ca="1">qry_ProdData2_PDI_Cash_Exception_Application[[#This Row],[TODAY]]-qry_ProdData2_PDI_Cash_Exception_Application[[#This Row],[CHANGED ON]]</f>
        <v>11.742928240739275</v>
      </c>
    </row>
    <row r="1146" spans="1:14" x14ac:dyDescent="0.35">
      <c r="A1146">
        <v>1004</v>
      </c>
      <c r="B1146" t="s">
        <v>58</v>
      </c>
      <c r="C1146" s="1">
        <v>45192.257071759261</v>
      </c>
      <c r="D1146" t="str">
        <f ca="1">VLOOKUP(qry_ProdData2_PDI_Cash_Exception_Application[[#This Row],[TYPE]],#REF!,2,FALSE)</f>
        <v>type40</v>
      </c>
      <c r="E1146">
        <v>-312.99</v>
      </c>
      <c r="F1146" t="s">
        <v>48</v>
      </c>
      <c r="G1146" s="1">
        <f>qry_ProdData2_PDI_Cash_Exception_Application[[#This Row],[INSERT DATE]]+1</f>
        <v>45193.257071759261</v>
      </c>
      <c r="H1146" t="str">
        <f>VLOOKUP(qry_ProdData2_PDI_Cash_Exception_Application[[#This Row],[MARKET No]],'Site Allocation'!$B$2:$C$37,2,FALSE)</f>
        <v>Analyst1</v>
      </c>
      <c r="I1146" s="4">
        <f t="shared" ca="1" si="17"/>
        <v>45203</v>
      </c>
      <c r="J1146" s="42">
        <f ca="1">TODAY()-qry_ProdData2_PDI_Cash_Exception_Application[[#This Row],[INSERT DATE]]</f>
        <v>10.742928240739275</v>
      </c>
      <c r="K11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46">
        <f ca="1">qry_ProdData2_PDI_Cash_Exception_Application[[#This Row],[TODAY]]-qry_ProdData2_PDI_Cash_Exception_Application[[#This Row],[CHANGED ON]]</f>
        <v>9.7429282407392748</v>
      </c>
      <c r="M1146">
        <f ca="1">qry_ProdData2_PDI_Cash_Exception_Application[[#This Row],[TODAY]]-qry_ProdData2_PDI_Cash_Exception_Application[[#This Row],[CHANGED ON]]</f>
        <v>9.7429282407392748</v>
      </c>
      <c r="N1146">
        <f ca="1">qry_ProdData2_PDI_Cash_Exception_Application[[#This Row],[TODAY]]-qry_ProdData2_PDI_Cash_Exception_Application[[#This Row],[CHANGED ON]]</f>
        <v>9.7429282407392748</v>
      </c>
    </row>
    <row r="1147" spans="1:14" x14ac:dyDescent="0.35">
      <c r="A1147">
        <v>1001</v>
      </c>
      <c r="B1147" t="s">
        <v>55</v>
      </c>
      <c r="C1147" s="1">
        <v>45192.257071759261</v>
      </c>
      <c r="D1147" t="str">
        <f ca="1">VLOOKUP(qry_ProdData2_PDI_Cash_Exception_Application[[#This Row],[TYPE]],#REF!,2,FALSE)</f>
        <v>type13</v>
      </c>
      <c r="E1147">
        <v>17160</v>
      </c>
      <c r="F1147" t="s">
        <v>50</v>
      </c>
      <c r="G1147" s="1">
        <f>qry_ProdData2_PDI_Cash_Exception_Application[[#This Row],[INSERT DATE]]+7</f>
        <v>45199.257071759261</v>
      </c>
      <c r="H1147" t="str">
        <f>VLOOKUP(qry_ProdData2_PDI_Cash_Exception_Application[[#This Row],[MARKET No]],'Site Allocation'!$B$2:$C$37,2,FALSE)</f>
        <v>Analyst1</v>
      </c>
      <c r="I1147" s="4">
        <f t="shared" ca="1" si="17"/>
        <v>45203</v>
      </c>
      <c r="J1147" s="42">
        <f ca="1">TODAY()-qry_ProdData2_PDI_Cash_Exception_Application[[#This Row],[INSERT DATE]]</f>
        <v>10.742928240739275</v>
      </c>
      <c r="K11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47">
        <f ca="1">qry_ProdData2_PDI_Cash_Exception_Application[[#This Row],[TODAY]]-qry_ProdData2_PDI_Cash_Exception_Application[[#This Row],[CHANGED ON]]</f>
        <v>3.7429282407392748</v>
      </c>
      <c r="M1147">
        <f ca="1">qry_ProdData2_PDI_Cash_Exception_Application[[#This Row],[TODAY]]-qry_ProdData2_PDI_Cash_Exception_Application[[#This Row],[CHANGED ON]]</f>
        <v>3.7429282407392748</v>
      </c>
      <c r="N1147">
        <f ca="1">qry_ProdData2_PDI_Cash_Exception_Application[[#This Row],[TODAY]]-qry_ProdData2_PDI_Cash_Exception_Application[[#This Row],[CHANGED ON]]</f>
        <v>3.7429282407392748</v>
      </c>
    </row>
    <row r="1148" spans="1:14" x14ac:dyDescent="0.35">
      <c r="A1148">
        <v>1007</v>
      </c>
      <c r="B1148" t="s">
        <v>61</v>
      </c>
      <c r="C1148" s="1">
        <v>45193.257071759261</v>
      </c>
      <c r="D1148" t="str">
        <f ca="1">VLOOKUP(qry_ProdData2_PDI_Cash_Exception_Application[[#This Row],[TYPE]],#REF!,2,FALSE)</f>
        <v>type13</v>
      </c>
      <c r="E1148">
        <v>12929.98</v>
      </c>
      <c r="F1148" t="s">
        <v>52</v>
      </c>
      <c r="G1148" s="1">
        <f>qry_ProdData2_PDI_Cash_Exception_Application[[#This Row],[INSERT DATE]]+7</f>
        <v>45200.257071759261</v>
      </c>
      <c r="H1148" t="str">
        <f>VLOOKUP(qry_ProdData2_PDI_Cash_Exception_Application[[#This Row],[MARKET No]],'Site Allocation'!$B$2:$C$37,2,FALSE)</f>
        <v>Analyst2</v>
      </c>
      <c r="I1148" s="4">
        <f t="shared" ca="1" si="17"/>
        <v>45203</v>
      </c>
      <c r="J1148" s="42">
        <f ca="1">TODAY()-qry_ProdData2_PDI_Cash_Exception_Application[[#This Row],[INSERT DATE]]</f>
        <v>9.7429282407392748</v>
      </c>
      <c r="K11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48">
        <f ca="1">qry_ProdData2_PDI_Cash_Exception_Application[[#This Row],[TODAY]]-qry_ProdData2_PDI_Cash_Exception_Application[[#This Row],[CHANGED ON]]</f>
        <v>2.7429282407392748</v>
      </c>
      <c r="M1148">
        <f ca="1">qry_ProdData2_PDI_Cash_Exception_Application[[#This Row],[TODAY]]-qry_ProdData2_PDI_Cash_Exception_Application[[#This Row],[CHANGED ON]]</f>
        <v>2.7429282407392748</v>
      </c>
      <c r="N1148">
        <f ca="1">qry_ProdData2_PDI_Cash_Exception_Application[[#This Row],[TODAY]]-qry_ProdData2_PDI_Cash_Exception_Application[[#This Row],[CHANGED ON]]</f>
        <v>2.7429282407392748</v>
      </c>
    </row>
    <row r="1149" spans="1:14" x14ac:dyDescent="0.35">
      <c r="A1149">
        <v>1024</v>
      </c>
      <c r="B1149" t="s">
        <v>78</v>
      </c>
      <c r="C1149" s="1">
        <v>45189.257071759261</v>
      </c>
      <c r="D1149" t="str">
        <f ca="1">VLOOKUP(qry_ProdData2_PDI_Cash_Exception_Application[[#This Row],[TYPE]],#REF!,2,FALSE)</f>
        <v>type7</v>
      </c>
      <c r="E1149">
        <v>-7468.73</v>
      </c>
      <c r="F1149" t="s">
        <v>49</v>
      </c>
      <c r="G1149" s="1">
        <f>qry_ProdData2_PDI_Cash_Exception_Application[[#This Row],[INSERT DATE]]+2</f>
        <v>45191.257071759261</v>
      </c>
      <c r="H1149" t="str">
        <f>VLOOKUP(qry_ProdData2_PDI_Cash_Exception_Application[[#This Row],[MARKET No]],'Site Allocation'!$B$2:$C$37,2,FALSE)</f>
        <v>Analyst5</v>
      </c>
      <c r="I1149" s="4">
        <f t="shared" ca="1" si="17"/>
        <v>45203</v>
      </c>
      <c r="J1149" s="42">
        <f ca="1">TODAY()-qry_ProdData2_PDI_Cash_Exception_Application[[#This Row],[INSERT DATE]]</f>
        <v>13.742928240739275</v>
      </c>
      <c r="K11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49">
        <f ca="1">qry_ProdData2_PDI_Cash_Exception_Application[[#This Row],[TODAY]]-qry_ProdData2_PDI_Cash_Exception_Application[[#This Row],[CHANGED ON]]</f>
        <v>11.742928240739275</v>
      </c>
      <c r="M1149">
        <f ca="1">qry_ProdData2_PDI_Cash_Exception_Application[[#This Row],[TODAY]]-qry_ProdData2_PDI_Cash_Exception_Application[[#This Row],[CHANGED ON]]</f>
        <v>11.742928240739275</v>
      </c>
      <c r="N1149">
        <f ca="1">qry_ProdData2_PDI_Cash_Exception_Application[[#This Row],[TODAY]]-qry_ProdData2_PDI_Cash_Exception_Application[[#This Row],[CHANGED ON]]</f>
        <v>11.742928240739275</v>
      </c>
    </row>
    <row r="1150" spans="1:14" x14ac:dyDescent="0.35">
      <c r="A1150">
        <v>1019</v>
      </c>
      <c r="B1150" t="s">
        <v>73</v>
      </c>
      <c r="C1150" s="1">
        <v>45189.257071759261</v>
      </c>
      <c r="D1150" t="str">
        <f ca="1">VLOOKUP(qry_ProdData2_PDI_Cash_Exception_Application[[#This Row],[TYPE]],#REF!,2,FALSE)</f>
        <v>type13</v>
      </c>
      <c r="E1150">
        <v>30735</v>
      </c>
      <c r="F1150" t="s">
        <v>49</v>
      </c>
      <c r="G1150" s="1">
        <f>qry_ProdData2_PDI_Cash_Exception_Application[[#This Row],[INSERT DATE]]+2</f>
        <v>45191.257071759261</v>
      </c>
      <c r="H1150" t="str">
        <f>VLOOKUP(qry_ProdData2_PDI_Cash_Exception_Application[[#This Row],[MARKET No]],'Site Allocation'!$B$2:$C$37,2,FALSE)</f>
        <v>Analyst4</v>
      </c>
      <c r="I1150" s="4">
        <f t="shared" ca="1" si="17"/>
        <v>45203</v>
      </c>
      <c r="J1150" s="42">
        <f ca="1">TODAY()-qry_ProdData2_PDI_Cash_Exception_Application[[#This Row],[INSERT DATE]]</f>
        <v>13.742928240739275</v>
      </c>
      <c r="K11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50">
        <f ca="1">qry_ProdData2_PDI_Cash_Exception_Application[[#This Row],[TODAY]]-qry_ProdData2_PDI_Cash_Exception_Application[[#This Row],[CHANGED ON]]</f>
        <v>11.742928240739275</v>
      </c>
      <c r="M1150">
        <f ca="1">qry_ProdData2_PDI_Cash_Exception_Application[[#This Row],[TODAY]]-qry_ProdData2_PDI_Cash_Exception_Application[[#This Row],[CHANGED ON]]</f>
        <v>11.742928240739275</v>
      </c>
      <c r="N1150">
        <f ca="1">qry_ProdData2_PDI_Cash_Exception_Application[[#This Row],[TODAY]]-qry_ProdData2_PDI_Cash_Exception_Application[[#This Row],[CHANGED ON]]</f>
        <v>11.742928240739275</v>
      </c>
    </row>
    <row r="1151" spans="1:14" x14ac:dyDescent="0.35">
      <c r="A1151">
        <v>1029</v>
      </c>
      <c r="B1151" t="s">
        <v>83</v>
      </c>
      <c r="C1151" s="1">
        <v>45190.257071759261</v>
      </c>
      <c r="D1151" t="str">
        <f ca="1">VLOOKUP(qry_ProdData2_PDI_Cash_Exception_Application[[#This Row],[TYPE]],#REF!,2,FALSE)</f>
        <v>type40</v>
      </c>
      <c r="E1151">
        <v>485.83</v>
      </c>
      <c r="F1151" t="s">
        <v>49</v>
      </c>
      <c r="G1151" s="1">
        <f>qry_ProdData2_PDI_Cash_Exception_Application[[#This Row],[INSERT DATE]]+5</f>
        <v>45195.257071759261</v>
      </c>
      <c r="H1151" t="str">
        <f>VLOOKUP(qry_ProdData2_PDI_Cash_Exception_Application[[#This Row],[MARKET No]],'Site Allocation'!$B$2:$C$37,2,FALSE)</f>
        <v>Analyst5</v>
      </c>
      <c r="I1151" s="4">
        <f t="shared" ca="1" si="17"/>
        <v>45203</v>
      </c>
      <c r="J1151" s="42">
        <f ca="1">TODAY()-qry_ProdData2_PDI_Cash_Exception_Application[[#This Row],[INSERT DATE]]</f>
        <v>12.742928240739275</v>
      </c>
      <c r="K11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51">
        <f ca="1">qry_ProdData2_PDI_Cash_Exception_Application[[#This Row],[TODAY]]-qry_ProdData2_PDI_Cash_Exception_Application[[#This Row],[CHANGED ON]]</f>
        <v>7.7429282407392748</v>
      </c>
      <c r="M1151">
        <f ca="1">qry_ProdData2_PDI_Cash_Exception_Application[[#This Row],[TODAY]]-qry_ProdData2_PDI_Cash_Exception_Application[[#This Row],[CHANGED ON]]</f>
        <v>7.7429282407392748</v>
      </c>
      <c r="N1151">
        <f ca="1">qry_ProdData2_PDI_Cash_Exception_Application[[#This Row],[TODAY]]-qry_ProdData2_PDI_Cash_Exception_Application[[#This Row],[CHANGED ON]]</f>
        <v>7.7429282407392748</v>
      </c>
    </row>
    <row r="1152" spans="1:14" x14ac:dyDescent="0.35">
      <c r="A1152">
        <v>1035</v>
      </c>
      <c r="B1152" t="s">
        <v>89</v>
      </c>
      <c r="C1152" s="1">
        <v>45190.257071759261</v>
      </c>
      <c r="D1152" t="str">
        <f ca="1">VLOOKUP(qry_ProdData2_PDI_Cash_Exception_Application[[#This Row],[TYPE]],#REF!,2,FALSE)</f>
        <v>type13</v>
      </c>
      <c r="E1152">
        <v>25797.58</v>
      </c>
      <c r="F1152" t="s">
        <v>51</v>
      </c>
      <c r="G1152" s="1">
        <f>qry_ProdData2_PDI_Cash_Exception_Application[[#This Row],[INSERT DATE]]+1</f>
        <v>45191.257071759261</v>
      </c>
      <c r="H1152" t="str">
        <f>VLOOKUP(qry_ProdData2_PDI_Cash_Exception_Application[[#This Row],[MARKET No]],'Site Allocation'!$B$2:$C$37,2,FALSE)</f>
        <v>Analyst6</v>
      </c>
      <c r="I1152" s="4">
        <f t="shared" ca="1" si="17"/>
        <v>45203</v>
      </c>
      <c r="J1152" s="42">
        <f ca="1">TODAY()-qry_ProdData2_PDI_Cash_Exception_Application[[#This Row],[INSERT DATE]]</f>
        <v>12.742928240739275</v>
      </c>
      <c r="K11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52">
        <f ca="1">qry_ProdData2_PDI_Cash_Exception_Application[[#This Row],[TODAY]]-qry_ProdData2_PDI_Cash_Exception_Application[[#This Row],[CHANGED ON]]</f>
        <v>11.742928240739275</v>
      </c>
      <c r="M1152">
        <f ca="1">qry_ProdData2_PDI_Cash_Exception_Application[[#This Row],[TODAY]]-qry_ProdData2_PDI_Cash_Exception_Application[[#This Row],[CHANGED ON]]</f>
        <v>11.742928240739275</v>
      </c>
      <c r="N1152">
        <f ca="1">qry_ProdData2_PDI_Cash_Exception_Application[[#This Row],[TODAY]]-qry_ProdData2_PDI_Cash_Exception_Application[[#This Row],[CHANGED ON]]</f>
        <v>11.742928240739275</v>
      </c>
    </row>
    <row r="1153" spans="1:14" x14ac:dyDescent="0.35">
      <c r="A1153">
        <v>1000</v>
      </c>
      <c r="B1153" t="s">
        <v>54</v>
      </c>
      <c r="C1153" s="1">
        <v>45184.257071759261</v>
      </c>
      <c r="D1153" t="str">
        <f ca="1">VLOOKUP(qry_ProdData2_PDI_Cash_Exception_Application[[#This Row],[TYPE]],#REF!,2,FALSE)</f>
        <v>type13</v>
      </c>
      <c r="E1153">
        <v>28232.89</v>
      </c>
      <c r="F1153" t="s">
        <v>47</v>
      </c>
      <c r="G1153" s="1">
        <f>qry_ProdData2_PDI_Cash_Exception_Application[[#This Row],[INSERT DATE]]+1</f>
        <v>45185.257071759261</v>
      </c>
      <c r="H1153" t="str">
        <f>VLOOKUP(qry_ProdData2_PDI_Cash_Exception_Application[[#This Row],[MARKET No]],'Site Allocation'!$B$2:$C$37,2,FALSE)</f>
        <v>Analyst1</v>
      </c>
      <c r="I1153" s="4">
        <f t="shared" ca="1" si="17"/>
        <v>45203</v>
      </c>
      <c r="J1153" s="42">
        <f ca="1">TODAY()-qry_ProdData2_PDI_Cash_Exception_Application[[#This Row],[INSERT DATE]]</f>
        <v>18.742928240739275</v>
      </c>
      <c r="K11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53">
        <f ca="1">qry_ProdData2_PDI_Cash_Exception_Application[[#This Row],[TODAY]]-qry_ProdData2_PDI_Cash_Exception_Application[[#This Row],[CHANGED ON]]</f>
        <v>17.742928240739275</v>
      </c>
      <c r="M1153">
        <f ca="1">qry_ProdData2_PDI_Cash_Exception_Application[[#This Row],[TODAY]]-qry_ProdData2_PDI_Cash_Exception_Application[[#This Row],[CHANGED ON]]</f>
        <v>17.742928240739275</v>
      </c>
      <c r="N1153">
        <f ca="1">qry_ProdData2_PDI_Cash_Exception_Application[[#This Row],[TODAY]]-qry_ProdData2_PDI_Cash_Exception_Application[[#This Row],[CHANGED ON]]</f>
        <v>17.742928240739275</v>
      </c>
    </row>
    <row r="1154" spans="1:14" x14ac:dyDescent="0.35">
      <c r="A1154">
        <v>1033</v>
      </c>
      <c r="B1154" t="s">
        <v>87</v>
      </c>
      <c r="C1154" s="1">
        <v>45190.257071759261</v>
      </c>
      <c r="D1154" t="str">
        <f ca="1">VLOOKUP(qry_ProdData2_PDI_Cash_Exception_Application[[#This Row],[TYPE]],#REF!,2,FALSE)</f>
        <v>type26</v>
      </c>
      <c r="E1154">
        <v>149.85</v>
      </c>
      <c r="F1154" t="s">
        <v>51</v>
      </c>
      <c r="G1154" s="1">
        <f>qry_ProdData2_PDI_Cash_Exception_Application[[#This Row],[INSERT DATE]]+2</f>
        <v>45192.257071759261</v>
      </c>
      <c r="H1154" t="str">
        <f>VLOOKUP(qry_ProdData2_PDI_Cash_Exception_Application[[#This Row],[MARKET No]],'Site Allocation'!$B$2:$C$37,2,FALSE)</f>
        <v>Analyst6</v>
      </c>
      <c r="I1154" s="4">
        <f t="shared" ref="I1154:I1217" ca="1" si="18">TODAY()</f>
        <v>45203</v>
      </c>
      <c r="J1154" s="42">
        <f ca="1">TODAY()-qry_ProdData2_PDI_Cash_Exception_Application[[#This Row],[INSERT DATE]]</f>
        <v>12.742928240739275</v>
      </c>
      <c r="K11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54">
        <f ca="1">qry_ProdData2_PDI_Cash_Exception_Application[[#This Row],[TODAY]]-qry_ProdData2_PDI_Cash_Exception_Application[[#This Row],[CHANGED ON]]</f>
        <v>10.742928240739275</v>
      </c>
      <c r="M1154">
        <f ca="1">qry_ProdData2_PDI_Cash_Exception_Application[[#This Row],[TODAY]]-qry_ProdData2_PDI_Cash_Exception_Application[[#This Row],[CHANGED ON]]</f>
        <v>10.742928240739275</v>
      </c>
      <c r="N1154">
        <f ca="1">qry_ProdData2_PDI_Cash_Exception_Application[[#This Row],[TODAY]]-qry_ProdData2_PDI_Cash_Exception_Application[[#This Row],[CHANGED ON]]</f>
        <v>10.742928240739275</v>
      </c>
    </row>
    <row r="1155" spans="1:14" x14ac:dyDescent="0.35">
      <c r="A1155">
        <v>1003</v>
      </c>
      <c r="B1155" t="s">
        <v>57</v>
      </c>
      <c r="C1155" s="1">
        <v>45192.257071759261</v>
      </c>
      <c r="D1155" t="str">
        <f ca="1">VLOOKUP(qry_ProdData2_PDI_Cash_Exception_Application[[#This Row],[TYPE]],#REF!,2,FALSE)</f>
        <v>type40</v>
      </c>
      <c r="E1155">
        <v>-2054.62</v>
      </c>
      <c r="F1155" t="s">
        <v>51</v>
      </c>
      <c r="G1155" s="1">
        <f>qry_ProdData2_PDI_Cash_Exception_Application[[#This Row],[INSERT DATE]]+2</f>
        <v>45194.257071759261</v>
      </c>
      <c r="H1155" t="str">
        <f>VLOOKUP(qry_ProdData2_PDI_Cash_Exception_Application[[#This Row],[MARKET No]],'Site Allocation'!$B$2:$C$37,2,FALSE)</f>
        <v>Analyst1</v>
      </c>
      <c r="I1155" s="4">
        <f t="shared" ca="1" si="18"/>
        <v>45203</v>
      </c>
      <c r="J1155" s="42">
        <f ca="1">TODAY()-qry_ProdData2_PDI_Cash_Exception_Application[[#This Row],[INSERT DATE]]</f>
        <v>10.742928240739275</v>
      </c>
      <c r="K11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55">
        <f ca="1">qry_ProdData2_PDI_Cash_Exception_Application[[#This Row],[TODAY]]-qry_ProdData2_PDI_Cash_Exception_Application[[#This Row],[CHANGED ON]]</f>
        <v>8.7429282407392748</v>
      </c>
      <c r="M1155">
        <f ca="1">qry_ProdData2_PDI_Cash_Exception_Application[[#This Row],[TODAY]]-qry_ProdData2_PDI_Cash_Exception_Application[[#This Row],[CHANGED ON]]</f>
        <v>8.7429282407392748</v>
      </c>
      <c r="N1155">
        <f ca="1">qry_ProdData2_PDI_Cash_Exception_Application[[#This Row],[TODAY]]-qry_ProdData2_PDI_Cash_Exception_Application[[#This Row],[CHANGED ON]]</f>
        <v>8.7429282407392748</v>
      </c>
    </row>
    <row r="1156" spans="1:14" x14ac:dyDescent="0.35">
      <c r="A1156">
        <v>1015</v>
      </c>
      <c r="B1156" t="s">
        <v>69</v>
      </c>
      <c r="C1156" s="1">
        <v>45187.257071759261</v>
      </c>
      <c r="D1156" t="str">
        <f ca="1">VLOOKUP(qry_ProdData2_PDI_Cash_Exception_Application[[#This Row],[TYPE]],#REF!,2,FALSE)</f>
        <v>type40</v>
      </c>
      <c r="E1156">
        <v>-1462.03</v>
      </c>
      <c r="F1156" t="s">
        <v>52</v>
      </c>
      <c r="G1156" s="1">
        <f>qry_ProdData2_PDI_Cash_Exception_Application[[#This Row],[INSERT DATE]]+1</f>
        <v>45188.257071759261</v>
      </c>
      <c r="H1156" t="str">
        <f>VLOOKUP(qry_ProdData2_PDI_Cash_Exception_Application[[#This Row],[MARKET No]],'Site Allocation'!$B$2:$C$37,2,FALSE)</f>
        <v>Analyst3</v>
      </c>
      <c r="I1156" s="4">
        <f t="shared" ca="1" si="18"/>
        <v>45203</v>
      </c>
      <c r="J1156" s="42">
        <f ca="1">TODAY()-qry_ProdData2_PDI_Cash_Exception_Application[[#This Row],[INSERT DATE]]</f>
        <v>15.742928240739275</v>
      </c>
      <c r="K11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56">
        <f ca="1">qry_ProdData2_PDI_Cash_Exception_Application[[#This Row],[TODAY]]-qry_ProdData2_PDI_Cash_Exception_Application[[#This Row],[CHANGED ON]]</f>
        <v>14.742928240739275</v>
      </c>
      <c r="M1156">
        <f ca="1">qry_ProdData2_PDI_Cash_Exception_Application[[#This Row],[TODAY]]-qry_ProdData2_PDI_Cash_Exception_Application[[#This Row],[CHANGED ON]]</f>
        <v>14.742928240739275</v>
      </c>
      <c r="N1156">
        <f ca="1">qry_ProdData2_PDI_Cash_Exception_Application[[#This Row],[TODAY]]-qry_ProdData2_PDI_Cash_Exception_Application[[#This Row],[CHANGED ON]]</f>
        <v>14.742928240739275</v>
      </c>
    </row>
    <row r="1157" spans="1:14" x14ac:dyDescent="0.35">
      <c r="A1157">
        <v>1007</v>
      </c>
      <c r="B1157" t="s">
        <v>61</v>
      </c>
      <c r="C1157" s="1">
        <v>45189.257071759261</v>
      </c>
      <c r="D1157" t="str">
        <f ca="1">VLOOKUP(qry_ProdData2_PDI_Cash_Exception_Application[[#This Row],[TYPE]],#REF!,2,FALSE)</f>
        <v>type18</v>
      </c>
      <c r="E1157">
        <v>985.32</v>
      </c>
      <c r="F1157" t="s">
        <v>47</v>
      </c>
      <c r="G1157" s="1">
        <f>qry_ProdData2_PDI_Cash_Exception_Application[[#This Row],[INSERT DATE]]+1</f>
        <v>45190.257071759261</v>
      </c>
      <c r="H1157" t="str">
        <f>VLOOKUP(qry_ProdData2_PDI_Cash_Exception_Application[[#This Row],[MARKET No]],'Site Allocation'!$B$2:$C$37,2,FALSE)</f>
        <v>Analyst2</v>
      </c>
      <c r="I1157" s="4">
        <f t="shared" ca="1" si="18"/>
        <v>45203</v>
      </c>
      <c r="J1157" s="42">
        <f ca="1">TODAY()-qry_ProdData2_PDI_Cash_Exception_Application[[#This Row],[INSERT DATE]]</f>
        <v>13.742928240739275</v>
      </c>
      <c r="K11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57">
        <f ca="1">qry_ProdData2_PDI_Cash_Exception_Application[[#This Row],[TODAY]]-qry_ProdData2_PDI_Cash_Exception_Application[[#This Row],[CHANGED ON]]</f>
        <v>12.742928240739275</v>
      </c>
      <c r="M1157">
        <f ca="1">qry_ProdData2_PDI_Cash_Exception_Application[[#This Row],[TODAY]]-qry_ProdData2_PDI_Cash_Exception_Application[[#This Row],[CHANGED ON]]</f>
        <v>12.742928240739275</v>
      </c>
      <c r="N1157">
        <f ca="1">qry_ProdData2_PDI_Cash_Exception_Application[[#This Row],[TODAY]]-qry_ProdData2_PDI_Cash_Exception_Application[[#This Row],[CHANGED ON]]</f>
        <v>12.742928240739275</v>
      </c>
    </row>
    <row r="1158" spans="1:14" x14ac:dyDescent="0.35">
      <c r="A1158">
        <v>1016</v>
      </c>
      <c r="B1158" t="s">
        <v>70</v>
      </c>
      <c r="C1158" s="1">
        <v>45189.257071759261</v>
      </c>
      <c r="D1158" t="str">
        <f ca="1">VLOOKUP(qry_ProdData2_PDI_Cash_Exception_Application[[#This Row],[TYPE]],#REF!,2,FALSE)</f>
        <v>type40</v>
      </c>
      <c r="E1158">
        <v>-3319.42</v>
      </c>
      <c r="F1158" t="s">
        <v>52</v>
      </c>
      <c r="G1158" s="1">
        <f>qry_ProdData2_PDI_Cash_Exception_Application[[#This Row],[INSERT DATE]]+1</f>
        <v>45190.257071759261</v>
      </c>
      <c r="H1158" t="str">
        <f>VLOOKUP(qry_ProdData2_PDI_Cash_Exception_Application[[#This Row],[MARKET No]],'Site Allocation'!$B$2:$C$37,2,FALSE)</f>
        <v>Analyst3</v>
      </c>
      <c r="I1158" s="4">
        <f t="shared" ca="1" si="18"/>
        <v>45203</v>
      </c>
      <c r="J1158" s="42">
        <f ca="1">TODAY()-qry_ProdData2_PDI_Cash_Exception_Application[[#This Row],[INSERT DATE]]</f>
        <v>13.742928240739275</v>
      </c>
      <c r="K11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58">
        <f ca="1">qry_ProdData2_PDI_Cash_Exception_Application[[#This Row],[TODAY]]-qry_ProdData2_PDI_Cash_Exception_Application[[#This Row],[CHANGED ON]]</f>
        <v>12.742928240739275</v>
      </c>
      <c r="M1158">
        <f ca="1">qry_ProdData2_PDI_Cash_Exception_Application[[#This Row],[TODAY]]-qry_ProdData2_PDI_Cash_Exception_Application[[#This Row],[CHANGED ON]]</f>
        <v>12.742928240739275</v>
      </c>
      <c r="N1158">
        <f ca="1">qry_ProdData2_PDI_Cash_Exception_Application[[#This Row],[TODAY]]-qry_ProdData2_PDI_Cash_Exception_Application[[#This Row],[CHANGED ON]]</f>
        <v>12.742928240739275</v>
      </c>
    </row>
    <row r="1159" spans="1:14" x14ac:dyDescent="0.35">
      <c r="A1159">
        <v>1027</v>
      </c>
      <c r="B1159" t="s">
        <v>81</v>
      </c>
      <c r="C1159" s="1">
        <v>45189.257071759261</v>
      </c>
      <c r="D1159" t="str">
        <f ca="1">VLOOKUP(qry_ProdData2_PDI_Cash_Exception_Application[[#This Row],[TYPE]],#REF!,2,FALSE)</f>
        <v>type40</v>
      </c>
      <c r="E1159">
        <v>-763.95</v>
      </c>
      <c r="F1159" t="s">
        <v>52</v>
      </c>
      <c r="G1159" s="1">
        <f>qry_ProdData2_PDI_Cash_Exception_Application[[#This Row],[INSERT DATE]]+1</f>
        <v>45190.257071759261</v>
      </c>
      <c r="H1159" t="str">
        <f>VLOOKUP(qry_ProdData2_PDI_Cash_Exception_Application[[#This Row],[MARKET No]],'Site Allocation'!$B$2:$C$37,2,FALSE)</f>
        <v>Analyst5</v>
      </c>
      <c r="I1159" s="4">
        <f t="shared" ca="1" si="18"/>
        <v>45203</v>
      </c>
      <c r="J1159" s="42">
        <f ca="1">TODAY()-qry_ProdData2_PDI_Cash_Exception_Application[[#This Row],[INSERT DATE]]</f>
        <v>13.742928240739275</v>
      </c>
      <c r="K11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59">
        <f ca="1">qry_ProdData2_PDI_Cash_Exception_Application[[#This Row],[TODAY]]-qry_ProdData2_PDI_Cash_Exception_Application[[#This Row],[CHANGED ON]]</f>
        <v>12.742928240739275</v>
      </c>
      <c r="M1159">
        <f ca="1">qry_ProdData2_PDI_Cash_Exception_Application[[#This Row],[TODAY]]-qry_ProdData2_PDI_Cash_Exception_Application[[#This Row],[CHANGED ON]]</f>
        <v>12.742928240739275</v>
      </c>
      <c r="N1159">
        <f ca="1">qry_ProdData2_PDI_Cash_Exception_Application[[#This Row],[TODAY]]-qry_ProdData2_PDI_Cash_Exception_Application[[#This Row],[CHANGED ON]]</f>
        <v>12.742928240739275</v>
      </c>
    </row>
    <row r="1160" spans="1:14" x14ac:dyDescent="0.35">
      <c r="A1160">
        <v>1029</v>
      </c>
      <c r="B1160" t="s">
        <v>83</v>
      </c>
      <c r="C1160" s="1">
        <v>45190.257071759261</v>
      </c>
      <c r="D1160" t="str">
        <f ca="1">VLOOKUP(qry_ProdData2_PDI_Cash_Exception_Application[[#This Row],[TYPE]],#REF!,2,FALSE)</f>
        <v>type40</v>
      </c>
      <c r="E1160">
        <v>-898.13</v>
      </c>
      <c r="F1160" t="s">
        <v>51</v>
      </c>
      <c r="G1160" s="1">
        <f>qry_ProdData2_PDI_Cash_Exception_Application[[#This Row],[INSERT DATE]]+2</f>
        <v>45192.257071759261</v>
      </c>
      <c r="H1160" t="str">
        <f>VLOOKUP(qry_ProdData2_PDI_Cash_Exception_Application[[#This Row],[MARKET No]],'Site Allocation'!$B$2:$C$37,2,FALSE)</f>
        <v>Analyst5</v>
      </c>
      <c r="I1160" s="4">
        <f t="shared" ca="1" si="18"/>
        <v>45203</v>
      </c>
      <c r="J1160" s="42">
        <f ca="1">TODAY()-qry_ProdData2_PDI_Cash_Exception_Application[[#This Row],[INSERT DATE]]</f>
        <v>12.742928240739275</v>
      </c>
      <c r="K11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60">
        <f ca="1">qry_ProdData2_PDI_Cash_Exception_Application[[#This Row],[TODAY]]-qry_ProdData2_PDI_Cash_Exception_Application[[#This Row],[CHANGED ON]]</f>
        <v>10.742928240739275</v>
      </c>
      <c r="M1160">
        <f ca="1">qry_ProdData2_PDI_Cash_Exception_Application[[#This Row],[TODAY]]-qry_ProdData2_PDI_Cash_Exception_Application[[#This Row],[CHANGED ON]]</f>
        <v>10.742928240739275</v>
      </c>
      <c r="N1160">
        <f ca="1">qry_ProdData2_PDI_Cash_Exception_Application[[#This Row],[TODAY]]-qry_ProdData2_PDI_Cash_Exception_Application[[#This Row],[CHANGED ON]]</f>
        <v>10.742928240739275</v>
      </c>
    </row>
    <row r="1161" spans="1:14" x14ac:dyDescent="0.35">
      <c r="A1161">
        <v>1000</v>
      </c>
      <c r="B1161" t="s">
        <v>54</v>
      </c>
      <c r="C1161" s="1">
        <v>45184.257071759261</v>
      </c>
      <c r="D1161" t="str">
        <f ca="1">VLOOKUP(qry_ProdData2_PDI_Cash_Exception_Application[[#This Row],[TYPE]],#REF!,2,FALSE)</f>
        <v>type40</v>
      </c>
      <c r="E1161">
        <v>-1382.65</v>
      </c>
      <c r="F1161" t="s">
        <v>49</v>
      </c>
      <c r="G1161" s="1">
        <f>qry_ProdData2_PDI_Cash_Exception_Application[[#This Row],[INSERT DATE]]+7</f>
        <v>45191.257071759261</v>
      </c>
      <c r="H1161" t="str">
        <f>VLOOKUP(qry_ProdData2_PDI_Cash_Exception_Application[[#This Row],[MARKET No]],'Site Allocation'!$B$2:$C$37,2,FALSE)</f>
        <v>Analyst1</v>
      </c>
      <c r="I1161" s="4">
        <f t="shared" ca="1" si="18"/>
        <v>45203</v>
      </c>
      <c r="J1161" s="42">
        <f ca="1">TODAY()-qry_ProdData2_PDI_Cash_Exception_Application[[#This Row],[INSERT DATE]]</f>
        <v>18.742928240739275</v>
      </c>
      <c r="K11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61">
        <f ca="1">qry_ProdData2_PDI_Cash_Exception_Application[[#This Row],[TODAY]]-qry_ProdData2_PDI_Cash_Exception_Application[[#This Row],[CHANGED ON]]</f>
        <v>11.742928240739275</v>
      </c>
      <c r="M1161">
        <f ca="1">qry_ProdData2_PDI_Cash_Exception_Application[[#This Row],[TODAY]]-qry_ProdData2_PDI_Cash_Exception_Application[[#This Row],[CHANGED ON]]</f>
        <v>11.742928240739275</v>
      </c>
      <c r="N1161">
        <f ca="1">qry_ProdData2_PDI_Cash_Exception_Application[[#This Row],[TODAY]]-qry_ProdData2_PDI_Cash_Exception_Application[[#This Row],[CHANGED ON]]</f>
        <v>11.742928240739275</v>
      </c>
    </row>
    <row r="1162" spans="1:14" x14ac:dyDescent="0.35">
      <c r="A1162">
        <v>1018</v>
      </c>
      <c r="B1162" t="s">
        <v>72</v>
      </c>
      <c r="C1162" s="1">
        <v>45183.257071759261</v>
      </c>
      <c r="D1162" t="str">
        <f ca="1">VLOOKUP(qry_ProdData2_PDI_Cash_Exception_Application[[#This Row],[TYPE]],#REF!,2,FALSE)</f>
        <v>type40</v>
      </c>
      <c r="E1162">
        <v>474.1</v>
      </c>
      <c r="F1162" t="s">
        <v>48</v>
      </c>
      <c r="G1162" s="1">
        <f>qry_ProdData2_PDI_Cash_Exception_Application[[#This Row],[INSERT DATE]]+1</f>
        <v>45184.257071759261</v>
      </c>
      <c r="H1162" t="str">
        <f>VLOOKUP(qry_ProdData2_PDI_Cash_Exception_Application[[#This Row],[MARKET No]],'Site Allocation'!$B$2:$C$37,2,FALSE)</f>
        <v>Analyst4</v>
      </c>
      <c r="I1162" s="4">
        <f t="shared" ca="1" si="18"/>
        <v>45203</v>
      </c>
      <c r="J1162" s="42">
        <f ca="1">TODAY()-qry_ProdData2_PDI_Cash_Exception_Application[[#This Row],[INSERT DATE]]</f>
        <v>19.742928240739275</v>
      </c>
      <c r="K11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62">
        <f ca="1">qry_ProdData2_PDI_Cash_Exception_Application[[#This Row],[TODAY]]-qry_ProdData2_PDI_Cash_Exception_Application[[#This Row],[CHANGED ON]]</f>
        <v>18.742928240739275</v>
      </c>
      <c r="M1162">
        <f ca="1">qry_ProdData2_PDI_Cash_Exception_Application[[#This Row],[TODAY]]-qry_ProdData2_PDI_Cash_Exception_Application[[#This Row],[CHANGED ON]]</f>
        <v>18.742928240739275</v>
      </c>
      <c r="N1162">
        <f ca="1">qry_ProdData2_PDI_Cash_Exception_Application[[#This Row],[TODAY]]-qry_ProdData2_PDI_Cash_Exception_Application[[#This Row],[CHANGED ON]]</f>
        <v>18.742928240739275</v>
      </c>
    </row>
    <row r="1163" spans="1:14" x14ac:dyDescent="0.35">
      <c r="A1163">
        <v>1015</v>
      </c>
      <c r="B1163" t="s">
        <v>69</v>
      </c>
      <c r="C1163" s="1">
        <v>45190.257071759261</v>
      </c>
      <c r="D1163" t="str">
        <f ca="1">VLOOKUP(qry_ProdData2_PDI_Cash_Exception_Application[[#This Row],[TYPE]],#REF!,2,FALSE)</f>
        <v>type40</v>
      </c>
      <c r="E1163">
        <v>6944.05</v>
      </c>
      <c r="F1163" t="s">
        <v>47</v>
      </c>
      <c r="G1163" s="1">
        <f>qry_ProdData2_PDI_Cash_Exception_Application[[#This Row],[INSERT DATE]]+1</f>
        <v>45191.257071759261</v>
      </c>
      <c r="H1163" t="str">
        <f>VLOOKUP(qry_ProdData2_PDI_Cash_Exception_Application[[#This Row],[MARKET No]],'Site Allocation'!$B$2:$C$37,2,FALSE)</f>
        <v>Analyst3</v>
      </c>
      <c r="I1163" s="4">
        <f t="shared" ca="1" si="18"/>
        <v>45203</v>
      </c>
      <c r="J1163" s="42">
        <f ca="1">TODAY()-qry_ProdData2_PDI_Cash_Exception_Application[[#This Row],[INSERT DATE]]</f>
        <v>12.742928240739275</v>
      </c>
      <c r="K11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63">
        <f ca="1">qry_ProdData2_PDI_Cash_Exception_Application[[#This Row],[TODAY]]-qry_ProdData2_PDI_Cash_Exception_Application[[#This Row],[CHANGED ON]]</f>
        <v>11.742928240739275</v>
      </c>
      <c r="M1163">
        <f ca="1">qry_ProdData2_PDI_Cash_Exception_Application[[#This Row],[TODAY]]-qry_ProdData2_PDI_Cash_Exception_Application[[#This Row],[CHANGED ON]]</f>
        <v>11.742928240739275</v>
      </c>
      <c r="N1163">
        <f ca="1">qry_ProdData2_PDI_Cash_Exception_Application[[#This Row],[TODAY]]-qry_ProdData2_PDI_Cash_Exception_Application[[#This Row],[CHANGED ON]]</f>
        <v>11.742928240739275</v>
      </c>
    </row>
    <row r="1164" spans="1:14" x14ac:dyDescent="0.35">
      <c r="A1164">
        <v>1008</v>
      </c>
      <c r="B1164" t="s">
        <v>62</v>
      </c>
      <c r="C1164" s="1">
        <v>45193.257071759261</v>
      </c>
      <c r="D1164" t="str">
        <f ca="1">VLOOKUP(qry_ProdData2_PDI_Cash_Exception_Application[[#This Row],[TYPE]],#REF!,2,FALSE)</f>
        <v>type40</v>
      </c>
      <c r="E1164">
        <v>492.39</v>
      </c>
      <c r="F1164" t="s">
        <v>50</v>
      </c>
      <c r="G1164" s="1">
        <f>qry_ProdData2_PDI_Cash_Exception_Application[[#This Row],[INSERT DATE]]+1</f>
        <v>45194.257071759261</v>
      </c>
      <c r="H1164" t="str">
        <f>VLOOKUP(qry_ProdData2_PDI_Cash_Exception_Application[[#This Row],[MARKET No]],'Site Allocation'!$B$2:$C$37,2,FALSE)</f>
        <v>Analyst2</v>
      </c>
      <c r="I1164" s="4">
        <f t="shared" ca="1" si="18"/>
        <v>45203</v>
      </c>
      <c r="J1164" s="42">
        <f ca="1">TODAY()-qry_ProdData2_PDI_Cash_Exception_Application[[#This Row],[INSERT DATE]]</f>
        <v>9.7429282407392748</v>
      </c>
      <c r="K11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64">
        <f ca="1">qry_ProdData2_PDI_Cash_Exception_Application[[#This Row],[TODAY]]-qry_ProdData2_PDI_Cash_Exception_Application[[#This Row],[CHANGED ON]]</f>
        <v>8.7429282407392748</v>
      </c>
      <c r="M1164">
        <f ca="1">qry_ProdData2_PDI_Cash_Exception_Application[[#This Row],[TODAY]]-qry_ProdData2_PDI_Cash_Exception_Application[[#This Row],[CHANGED ON]]</f>
        <v>8.7429282407392748</v>
      </c>
      <c r="N1164">
        <f ca="1">qry_ProdData2_PDI_Cash_Exception_Application[[#This Row],[TODAY]]-qry_ProdData2_PDI_Cash_Exception_Application[[#This Row],[CHANGED ON]]</f>
        <v>8.7429282407392748</v>
      </c>
    </row>
    <row r="1165" spans="1:14" x14ac:dyDescent="0.35">
      <c r="A1165">
        <v>1015</v>
      </c>
      <c r="B1165" t="s">
        <v>69</v>
      </c>
      <c r="C1165" s="1">
        <v>45186.257071759261</v>
      </c>
      <c r="D1165" t="str">
        <f ca="1">VLOOKUP(qry_ProdData2_PDI_Cash_Exception_Application[[#This Row],[TYPE]],#REF!,2,FALSE)</f>
        <v>type13</v>
      </c>
      <c r="E1165">
        <v>25856.31</v>
      </c>
      <c r="F1165" t="s">
        <v>49</v>
      </c>
      <c r="G1165" s="1">
        <f>qry_ProdData2_PDI_Cash_Exception_Application[[#This Row],[INSERT DATE]]+7</f>
        <v>45193.257071759261</v>
      </c>
      <c r="H1165" t="str">
        <f>VLOOKUP(qry_ProdData2_PDI_Cash_Exception_Application[[#This Row],[MARKET No]],'Site Allocation'!$B$2:$C$37,2,FALSE)</f>
        <v>Analyst3</v>
      </c>
      <c r="I1165" s="4">
        <f t="shared" ca="1" si="18"/>
        <v>45203</v>
      </c>
      <c r="J1165" s="42">
        <f ca="1">TODAY()-qry_ProdData2_PDI_Cash_Exception_Application[[#This Row],[INSERT DATE]]</f>
        <v>16.742928240739275</v>
      </c>
      <c r="K11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65">
        <f ca="1">qry_ProdData2_PDI_Cash_Exception_Application[[#This Row],[TODAY]]-qry_ProdData2_PDI_Cash_Exception_Application[[#This Row],[CHANGED ON]]</f>
        <v>9.7429282407392748</v>
      </c>
      <c r="M1165">
        <f ca="1">qry_ProdData2_PDI_Cash_Exception_Application[[#This Row],[TODAY]]-qry_ProdData2_PDI_Cash_Exception_Application[[#This Row],[CHANGED ON]]</f>
        <v>9.7429282407392748</v>
      </c>
      <c r="N1165">
        <f ca="1">qry_ProdData2_PDI_Cash_Exception_Application[[#This Row],[TODAY]]-qry_ProdData2_PDI_Cash_Exception_Application[[#This Row],[CHANGED ON]]</f>
        <v>9.7429282407392748</v>
      </c>
    </row>
    <row r="1166" spans="1:14" x14ac:dyDescent="0.35">
      <c r="A1166">
        <v>1008</v>
      </c>
      <c r="B1166" t="s">
        <v>62</v>
      </c>
      <c r="C1166" s="1">
        <v>45188.257071759261</v>
      </c>
      <c r="D1166" t="str">
        <f ca="1">VLOOKUP(qry_ProdData2_PDI_Cash_Exception_Application[[#This Row],[TYPE]],#REF!,2,FALSE)</f>
        <v>type13</v>
      </c>
      <c r="E1166">
        <v>28078.52</v>
      </c>
      <c r="F1166" t="s">
        <v>49</v>
      </c>
      <c r="G1166" s="1">
        <f>qry_ProdData2_PDI_Cash_Exception_Application[[#This Row],[INSERT DATE]]+7</f>
        <v>45195.257071759261</v>
      </c>
      <c r="H1166" t="str">
        <f>VLOOKUP(qry_ProdData2_PDI_Cash_Exception_Application[[#This Row],[MARKET No]],'Site Allocation'!$B$2:$C$37,2,FALSE)</f>
        <v>Analyst2</v>
      </c>
      <c r="I1166" s="4">
        <f t="shared" ca="1" si="18"/>
        <v>45203</v>
      </c>
      <c r="J1166" s="42">
        <f ca="1">TODAY()-qry_ProdData2_PDI_Cash_Exception_Application[[#This Row],[INSERT DATE]]</f>
        <v>14.742928240739275</v>
      </c>
      <c r="K11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66">
        <f ca="1">qry_ProdData2_PDI_Cash_Exception_Application[[#This Row],[TODAY]]-qry_ProdData2_PDI_Cash_Exception_Application[[#This Row],[CHANGED ON]]</f>
        <v>7.7429282407392748</v>
      </c>
      <c r="M1166">
        <f ca="1">qry_ProdData2_PDI_Cash_Exception_Application[[#This Row],[TODAY]]-qry_ProdData2_PDI_Cash_Exception_Application[[#This Row],[CHANGED ON]]</f>
        <v>7.7429282407392748</v>
      </c>
      <c r="N1166">
        <f ca="1">qry_ProdData2_PDI_Cash_Exception_Application[[#This Row],[TODAY]]-qry_ProdData2_PDI_Cash_Exception_Application[[#This Row],[CHANGED ON]]</f>
        <v>7.7429282407392748</v>
      </c>
    </row>
    <row r="1167" spans="1:14" x14ac:dyDescent="0.35">
      <c r="A1167">
        <v>1003</v>
      </c>
      <c r="B1167" t="s">
        <v>57</v>
      </c>
      <c r="C1167" s="1">
        <v>45196.257071759261</v>
      </c>
      <c r="D1167" t="str">
        <f ca="1">VLOOKUP(qry_ProdData2_PDI_Cash_Exception_Application[[#This Row],[TYPE]],#REF!,2,FALSE)</f>
        <v>type13</v>
      </c>
      <c r="E1167">
        <v>16853</v>
      </c>
      <c r="F1167" t="s">
        <v>50</v>
      </c>
      <c r="G1167" s="1">
        <f>qry_ProdData2_PDI_Cash_Exception_Application[[#This Row],[INSERT DATE]]+1</f>
        <v>45197.257071759261</v>
      </c>
      <c r="H1167" t="str">
        <f>VLOOKUP(qry_ProdData2_PDI_Cash_Exception_Application[[#This Row],[MARKET No]],'Site Allocation'!$B$2:$C$37,2,FALSE)</f>
        <v>Analyst1</v>
      </c>
      <c r="I1167" s="4">
        <f t="shared" ca="1" si="18"/>
        <v>45203</v>
      </c>
      <c r="J1167" s="42">
        <f ca="1">TODAY()-qry_ProdData2_PDI_Cash_Exception_Application[[#This Row],[INSERT DATE]]</f>
        <v>6.7429282407392748</v>
      </c>
      <c r="K11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167">
        <f ca="1">qry_ProdData2_PDI_Cash_Exception_Application[[#This Row],[TODAY]]-qry_ProdData2_PDI_Cash_Exception_Application[[#This Row],[CHANGED ON]]</f>
        <v>5.7429282407392748</v>
      </c>
      <c r="M1167">
        <f ca="1">qry_ProdData2_PDI_Cash_Exception_Application[[#This Row],[TODAY]]-qry_ProdData2_PDI_Cash_Exception_Application[[#This Row],[CHANGED ON]]</f>
        <v>5.7429282407392748</v>
      </c>
      <c r="N1167">
        <f ca="1">qry_ProdData2_PDI_Cash_Exception_Application[[#This Row],[TODAY]]-qry_ProdData2_PDI_Cash_Exception_Application[[#This Row],[CHANGED ON]]</f>
        <v>5.7429282407392748</v>
      </c>
    </row>
    <row r="1168" spans="1:14" x14ac:dyDescent="0.35">
      <c r="A1168">
        <v>1030</v>
      </c>
      <c r="B1168" t="s">
        <v>84</v>
      </c>
      <c r="C1168" s="1">
        <v>45180.257071759261</v>
      </c>
      <c r="D1168" t="str">
        <f ca="1">VLOOKUP(qry_ProdData2_PDI_Cash_Exception_Application[[#This Row],[TYPE]],#REF!,2,FALSE)</f>
        <v>type40</v>
      </c>
      <c r="E1168">
        <v>38.909999999999997</v>
      </c>
      <c r="F1168" t="s">
        <v>51</v>
      </c>
      <c r="G1168" s="1">
        <f>qry_ProdData2_PDI_Cash_Exception_Application[[#This Row],[INSERT DATE]]+5</f>
        <v>45185.257071759261</v>
      </c>
      <c r="H1168" t="str">
        <f>VLOOKUP(qry_ProdData2_PDI_Cash_Exception_Application[[#This Row],[MARKET No]],'Site Allocation'!$B$2:$C$37,2,FALSE)</f>
        <v>Analyst6</v>
      </c>
      <c r="I1168" s="4">
        <f t="shared" ca="1" si="18"/>
        <v>45203</v>
      </c>
      <c r="J1168" s="42">
        <f ca="1">TODAY()-qry_ProdData2_PDI_Cash_Exception_Application[[#This Row],[INSERT DATE]]</f>
        <v>22.742928240739275</v>
      </c>
      <c r="K11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68">
        <f ca="1">qry_ProdData2_PDI_Cash_Exception_Application[[#This Row],[TODAY]]-qry_ProdData2_PDI_Cash_Exception_Application[[#This Row],[CHANGED ON]]</f>
        <v>17.742928240739275</v>
      </c>
      <c r="M1168">
        <f ca="1">qry_ProdData2_PDI_Cash_Exception_Application[[#This Row],[TODAY]]-qry_ProdData2_PDI_Cash_Exception_Application[[#This Row],[CHANGED ON]]</f>
        <v>17.742928240739275</v>
      </c>
      <c r="N1168">
        <f ca="1">qry_ProdData2_PDI_Cash_Exception_Application[[#This Row],[TODAY]]-qry_ProdData2_PDI_Cash_Exception_Application[[#This Row],[CHANGED ON]]</f>
        <v>17.742928240739275</v>
      </c>
    </row>
    <row r="1169" spans="1:14" x14ac:dyDescent="0.35">
      <c r="A1169">
        <v>1001</v>
      </c>
      <c r="B1169" t="s">
        <v>55</v>
      </c>
      <c r="C1169" s="1">
        <v>45185.257071759261</v>
      </c>
      <c r="D1169" t="str">
        <f ca="1">VLOOKUP(qry_ProdData2_PDI_Cash_Exception_Application[[#This Row],[TYPE]],#REF!,2,FALSE)</f>
        <v>type40</v>
      </c>
      <c r="E1169">
        <v>347.74</v>
      </c>
      <c r="F1169" t="s">
        <v>47</v>
      </c>
      <c r="G1169" s="1">
        <f>qry_ProdData2_PDI_Cash_Exception_Application[[#This Row],[INSERT DATE]]+1</f>
        <v>45186.257071759261</v>
      </c>
      <c r="H1169" t="str">
        <f>VLOOKUP(qry_ProdData2_PDI_Cash_Exception_Application[[#This Row],[MARKET No]],'Site Allocation'!$B$2:$C$37,2,FALSE)</f>
        <v>Analyst1</v>
      </c>
      <c r="I1169" s="4">
        <f t="shared" ca="1" si="18"/>
        <v>45203</v>
      </c>
      <c r="J1169" s="42">
        <f ca="1">TODAY()-qry_ProdData2_PDI_Cash_Exception_Application[[#This Row],[INSERT DATE]]</f>
        <v>17.742928240739275</v>
      </c>
      <c r="K11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69">
        <f ca="1">qry_ProdData2_PDI_Cash_Exception_Application[[#This Row],[TODAY]]-qry_ProdData2_PDI_Cash_Exception_Application[[#This Row],[CHANGED ON]]</f>
        <v>16.742928240739275</v>
      </c>
      <c r="M1169">
        <f ca="1">qry_ProdData2_PDI_Cash_Exception_Application[[#This Row],[TODAY]]-qry_ProdData2_PDI_Cash_Exception_Application[[#This Row],[CHANGED ON]]</f>
        <v>16.742928240739275</v>
      </c>
      <c r="N1169">
        <f ca="1">qry_ProdData2_PDI_Cash_Exception_Application[[#This Row],[TODAY]]-qry_ProdData2_PDI_Cash_Exception_Application[[#This Row],[CHANGED ON]]</f>
        <v>16.742928240739275</v>
      </c>
    </row>
    <row r="1170" spans="1:14" x14ac:dyDescent="0.35">
      <c r="A1170">
        <v>1018</v>
      </c>
      <c r="B1170" t="s">
        <v>72</v>
      </c>
      <c r="C1170" s="1">
        <v>45190.257071759261</v>
      </c>
      <c r="D1170" t="str">
        <f ca="1">VLOOKUP(qry_ProdData2_PDI_Cash_Exception_Application[[#This Row],[TYPE]],#REF!,2,FALSE)</f>
        <v>type13</v>
      </c>
      <c r="E1170">
        <v>31102.99</v>
      </c>
      <c r="F1170" t="s">
        <v>51</v>
      </c>
      <c r="G1170" s="1">
        <f>qry_ProdData2_PDI_Cash_Exception_Application[[#This Row],[INSERT DATE]]+1</f>
        <v>45191.257071759261</v>
      </c>
      <c r="H1170" t="str">
        <f>VLOOKUP(qry_ProdData2_PDI_Cash_Exception_Application[[#This Row],[MARKET No]],'Site Allocation'!$B$2:$C$37,2,FALSE)</f>
        <v>Analyst4</v>
      </c>
      <c r="I1170" s="4">
        <f t="shared" ca="1" si="18"/>
        <v>45203</v>
      </c>
      <c r="J1170" s="42">
        <f ca="1">TODAY()-qry_ProdData2_PDI_Cash_Exception_Application[[#This Row],[INSERT DATE]]</f>
        <v>12.742928240739275</v>
      </c>
      <c r="K11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70">
        <f ca="1">qry_ProdData2_PDI_Cash_Exception_Application[[#This Row],[TODAY]]-qry_ProdData2_PDI_Cash_Exception_Application[[#This Row],[CHANGED ON]]</f>
        <v>11.742928240739275</v>
      </c>
      <c r="M1170">
        <f ca="1">qry_ProdData2_PDI_Cash_Exception_Application[[#This Row],[TODAY]]-qry_ProdData2_PDI_Cash_Exception_Application[[#This Row],[CHANGED ON]]</f>
        <v>11.742928240739275</v>
      </c>
      <c r="N1170">
        <f ca="1">qry_ProdData2_PDI_Cash_Exception_Application[[#This Row],[TODAY]]-qry_ProdData2_PDI_Cash_Exception_Application[[#This Row],[CHANGED ON]]</f>
        <v>11.742928240739275</v>
      </c>
    </row>
    <row r="1171" spans="1:14" x14ac:dyDescent="0.35">
      <c r="A1171">
        <v>1002</v>
      </c>
      <c r="B1171" t="s">
        <v>56</v>
      </c>
      <c r="C1171" s="1">
        <v>45181.257071759261</v>
      </c>
      <c r="D1171" t="str">
        <f ca="1">VLOOKUP(qry_ProdData2_PDI_Cash_Exception_Application[[#This Row],[TYPE]],#REF!,2,FALSE)</f>
        <v>type40</v>
      </c>
      <c r="E1171">
        <v>-1430.91</v>
      </c>
      <c r="F1171" t="s">
        <v>52</v>
      </c>
      <c r="G1171" s="1">
        <f>qry_ProdData2_PDI_Cash_Exception_Application[[#This Row],[INSERT DATE]]+2</f>
        <v>45183.257071759261</v>
      </c>
      <c r="H1171" t="str">
        <f>VLOOKUP(qry_ProdData2_PDI_Cash_Exception_Application[[#This Row],[MARKET No]],'Site Allocation'!$B$2:$C$37,2,FALSE)</f>
        <v>Analyst1</v>
      </c>
      <c r="I1171" s="4">
        <f t="shared" ca="1" si="18"/>
        <v>45203</v>
      </c>
      <c r="J1171" s="42">
        <f ca="1">TODAY()-qry_ProdData2_PDI_Cash_Exception_Application[[#This Row],[INSERT DATE]]</f>
        <v>21.742928240739275</v>
      </c>
      <c r="K11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71">
        <f ca="1">qry_ProdData2_PDI_Cash_Exception_Application[[#This Row],[TODAY]]-qry_ProdData2_PDI_Cash_Exception_Application[[#This Row],[CHANGED ON]]</f>
        <v>19.742928240739275</v>
      </c>
      <c r="M1171">
        <f ca="1">qry_ProdData2_PDI_Cash_Exception_Application[[#This Row],[TODAY]]-qry_ProdData2_PDI_Cash_Exception_Application[[#This Row],[CHANGED ON]]</f>
        <v>19.742928240739275</v>
      </c>
      <c r="N1171">
        <f ca="1">qry_ProdData2_PDI_Cash_Exception_Application[[#This Row],[TODAY]]-qry_ProdData2_PDI_Cash_Exception_Application[[#This Row],[CHANGED ON]]</f>
        <v>19.742928240739275</v>
      </c>
    </row>
    <row r="1172" spans="1:14" x14ac:dyDescent="0.35">
      <c r="A1172">
        <v>1007</v>
      </c>
      <c r="B1172" t="s">
        <v>61</v>
      </c>
      <c r="C1172" s="1">
        <v>45182.257071759261</v>
      </c>
      <c r="D1172" t="str">
        <f ca="1">VLOOKUP(qry_ProdData2_PDI_Cash_Exception_Application[[#This Row],[TYPE]],#REF!,2,FALSE)</f>
        <v>type40</v>
      </c>
      <c r="E1172">
        <v>710.02</v>
      </c>
      <c r="F1172" t="s">
        <v>50</v>
      </c>
      <c r="G1172" s="1">
        <f>qry_ProdData2_PDI_Cash_Exception_Application[[#This Row],[INSERT DATE]]+2</f>
        <v>45184.257071759261</v>
      </c>
      <c r="H1172" t="str">
        <f>VLOOKUP(qry_ProdData2_PDI_Cash_Exception_Application[[#This Row],[MARKET No]],'Site Allocation'!$B$2:$C$37,2,FALSE)</f>
        <v>Analyst2</v>
      </c>
      <c r="I1172" s="4">
        <f t="shared" ca="1" si="18"/>
        <v>45203</v>
      </c>
      <c r="J1172" s="42">
        <f ca="1">TODAY()-qry_ProdData2_PDI_Cash_Exception_Application[[#This Row],[INSERT DATE]]</f>
        <v>20.742928240739275</v>
      </c>
      <c r="K11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72">
        <f ca="1">qry_ProdData2_PDI_Cash_Exception_Application[[#This Row],[TODAY]]-qry_ProdData2_PDI_Cash_Exception_Application[[#This Row],[CHANGED ON]]</f>
        <v>18.742928240739275</v>
      </c>
      <c r="M1172">
        <f ca="1">qry_ProdData2_PDI_Cash_Exception_Application[[#This Row],[TODAY]]-qry_ProdData2_PDI_Cash_Exception_Application[[#This Row],[CHANGED ON]]</f>
        <v>18.742928240739275</v>
      </c>
      <c r="N1172">
        <f ca="1">qry_ProdData2_PDI_Cash_Exception_Application[[#This Row],[TODAY]]-qry_ProdData2_PDI_Cash_Exception_Application[[#This Row],[CHANGED ON]]</f>
        <v>18.742928240739275</v>
      </c>
    </row>
    <row r="1173" spans="1:14" x14ac:dyDescent="0.35">
      <c r="A1173">
        <v>1034</v>
      </c>
      <c r="B1173" t="s">
        <v>88</v>
      </c>
      <c r="C1173" s="1">
        <v>45189.257071759261</v>
      </c>
      <c r="D1173" t="str">
        <f ca="1">VLOOKUP(qry_ProdData2_PDI_Cash_Exception_Application[[#This Row],[TYPE]],#REF!,2,FALSE)</f>
        <v>type40</v>
      </c>
      <c r="E1173">
        <v>11.28</v>
      </c>
      <c r="F1173" t="s">
        <v>48</v>
      </c>
      <c r="G1173" s="1">
        <f>qry_ProdData2_PDI_Cash_Exception_Application[[#This Row],[INSERT DATE]]+2</f>
        <v>45191.257071759261</v>
      </c>
      <c r="H1173" t="str">
        <f>VLOOKUP(qry_ProdData2_PDI_Cash_Exception_Application[[#This Row],[MARKET No]],'Site Allocation'!$B$2:$C$37,2,FALSE)</f>
        <v>Analyst6</v>
      </c>
      <c r="I1173" s="4">
        <f t="shared" ca="1" si="18"/>
        <v>45203</v>
      </c>
      <c r="J1173" s="42">
        <f ca="1">TODAY()-qry_ProdData2_PDI_Cash_Exception_Application[[#This Row],[INSERT DATE]]</f>
        <v>13.742928240739275</v>
      </c>
      <c r="K11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73">
        <f ca="1">qry_ProdData2_PDI_Cash_Exception_Application[[#This Row],[TODAY]]-qry_ProdData2_PDI_Cash_Exception_Application[[#This Row],[CHANGED ON]]</f>
        <v>11.742928240739275</v>
      </c>
      <c r="M1173">
        <f ca="1">qry_ProdData2_PDI_Cash_Exception_Application[[#This Row],[TODAY]]-qry_ProdData2_PDI_Cash_Exception_Application[[#This Row],[CHANGED ON]]</f>
        <v>11.742928240739275</v>
      </c>
      <c r="N1173">
        <f ca="1">qry_ProdData2_PDI_Cash_Exception_Application[[#This Row],[TODAY]]-qry_ProdData2_PDI_Cash_Exception_Application[[#This Row],[CHANGED ON]]</f>
        <v>11.742928240739275</v>
      </c>
    </row>
    <row r="1174" spans="1:14" x14ac:dyDescent="0.35">
      <c r="A1174">
        <v>1035</v>
      </c>
      <c r="B1174" t="s">
        <v>89</v>
      </c>
      <c r="C1174" s="1">
        <v>45184.257071759261</v>
      </c>
      <c r="D1174" t="str">
        <f ca="1">VLOOKUP(qry_ProdData2_PDI_Cash_Exception_Application[[#This Row],[TYPE]],#REF!,2,FALSE)</f>
        <v>type33</v>
      </c>
      <c r="E1174">
        <v>339.07</v>
      </c>
      <c r="F1174" t="s">
        <v>51</v>
      </c>
      <c r="G1174" s="1">
        <f>qry_ProdData2_PDI_Cash_Exception_Application[[#This Row],[INSERT DATE]]+2</f>
        <v>45186.257071759261</v>
      </c>
      <c r="H1174" t="str">
        <f>VLOOKUP(qry_ProdData2_PDI_Cash_Exception_Application[[#This Row],[MARKET No]],'Site Allocation'!$B$2:$C$37,2,FALSE)</f>
        <v>Analyst6</v>
      </c>
      <c r="I1174" s="4">
        <f t="shared" ca="1" si="18"/>
        <v>45203</v>
      </c>
      <c r="J1174" s="42">
        <f ca="1">TODAY()-qry_ProdData2_PDI_Cash_Exception_Application[[#This Row],[INSERT DATE]]</f>
        <v>18.742928240739275</v>
      </c>
      <c r="K11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74">
        <f ca="1">qry_ProdData2_PDI_Cash_Exception_Application[[#This Row],[TODAY]]-qry_ProdData2_PDI_Cash_Exception_Application[[#This Row],[CHANGED ON]]</f>
        <v>16.742928240739275</v>
      </c>
      <c r="M1174">
        <f ca="1">qry_ProdData2_PDI_Cash_Exception_Application[[#This Row],[TODAY]]-qry_ProdData2_PDI_Cash_Exception_Application[[#This Row],[CHANGED ON]]</f>
        <v>16.742928240739275</v>
      </c>
      <c r="N1174">
        <f ca="1">qry_ProdData2_PDI_Cash_Exception_Application[[#This Row],[TODAY]]-qry_ProdData2_PDI_Cash_Exception_Application[[#This Row],[CHANGED ON]]</f>
        <v>16.742928240739275</v>
      </c>
    </row>
    <row r="1175" spans="1:14" x14ac:dyDescent="0.35">
      <c r="A1175">
        <v>1008</v>
      </c>
      <c r="B1175" t="s">
        <v>62</v>
      </c>
      <c r="C1175" s="1">
        <v>45189.257071759261</v>
      </c>
      <c r="D1175" t="str">
        <f ca="1">VLOOKUP(qry_ProdData2_PDI_Cash_Exception_Application[[#This Row],[TYPE]],#REF!,2,FALSE)</f>
        <v>type40</v>
      </c>
      <c r="E1175">
        <v>-435.33</v>
      </c>
      <c r="F1175" t="s">
        <v>49</v>
      </c>
      <c r="G1175" s="1">
        <f>qry_ProdData2_PDI_Cash_Exception_Application[[#This Row],[INSERT DATE]]+7</f>
        <v>45196.257071759261</v>
      </c>
      <c r="H1175" t="str">
        <f>VLOOKUP(qry_ProdData2_PDI_Cash_Exception_Application[[#This Row],[MARKET No]],'Site Allocation'!$B$2:$C$37,2,FALSE)</f>
        <v>Analyst2</v>
      </c>
      <c r="I1175" s="4">
        <f t="shared" ca="1" si="18"/>
        <v>45203</v>
      </c>
      <c r="J1175" s="42">
        <f ca="1">TODAY()-qry_ProdData2_PDI_Cash_Exception_Application[[#This Row],[INSERT DATE]]</f>
        <v>13.742928240739275</v>
      </c>
      <c r="K11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75">
        <f ca="1">qry_ProdData2_PDI_Cash_Exception_Application[[#This Row],[TODAY]]-qry_ProdData2_PDI_Cash_Exception_Application[[#This Row],[CHANGED ON]]</f>
        <v>6.7429282407392748</v>
      </c>
      <c r="M1175">
        <f ca="1">qry_ProdData2_PDI_Cash_Exception_Application[[#This Row],[TODAY]]-qry_ProdData2_PDI_Cash_Exception_Application[[#This Row],[CHANGED ON]]</f>
        <v>6.7429282407392748</v>
      </c>
      <c r="N1175">
        <f ca="1">qry_ProdData2_PDI_Cash_Exception_Application[[#This Row],[TODAY]]-qry_ProdData2_PDI_Cash_Exception_Application[[#This Row],[CHANGED ON]]</f>
        <v>6.7429282407392748</v>
      </c>
    </row>
    <row r="1176" spans="1:14" x14ac:dyDescent="0.35">
      <c r="A1176">
        <v>1035</v>
      </c>
      <c r="B1176" t="s">
        <v>89</v>
      </c>
      <c r="C1176" s="1">
        <v>45190.257071759261</v>
      </c>
      <c r="D1176" t="str">
        <f ca="1">VLOOKUP(qry_ProdData2_PDI_Cash_Exception_Application[[#This Row],[TYPE]],#REF!,2,FALSE)</f>
        <v>type40</v>
      </c>
      <c r="E1176">
        <v>470.52</v>
      </c>
      <c r="F1176" t="s">
        <v>49</v>
      </c>
      <c r="G1176" s="1">
        <f>qry_ProdData2_PDI_Cash_Exception_Application[[#This Row],[INSERT DATE]]+7</f>
        <v>45197.257071759261</v>
      </c>
      <c r="H1176" t="str">
        <f>VLOOKUP(qry_ProdData2_PDI_Cash_Exception_Application[[#This Row],[MARKET No]],'Site Allocation'!$B$2:$C$37,2,FALSE)</f>
        <v>Analyst6</v>
      </c>
      <c r="I1176" s="4">
        <f t="shared" ca="1" si="18"/>
        <v>45203</v>
      </c>
      <c r="J1176" s="42">
        <f ca="1">TODAY()-qry_ProdData2_PDI_Cash_Exception_Application[[#This Row],[INSERT DATE]]</f>
        <v>12.742928240739275</v>
      </c>
      <c r="K11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76">
        <f ca="1">qry_ProdData2_PDI_Cash_Exception_Application[[#This Row],[TODAY]]-qry_ProdData2_PDI_Cash_Exception_Application[[#This Row],[CHANGED ON]]</f>
        <v>5.7429282407392748</v>
      </c>
      <c r="M1176">
        <f ca="1">qry_ProdData2_PDI_Cash_Exception_Application[[#This Row],[TODAY]]-qry_ProdData2_PDI_Cash_Exception_Application[[#This Row],[CHANGED ON]]</f>
        <v>5.7429282407392748</v>
      </c>
      <c r="N1176">
        <f ca="1">qry_ProdData2_PDI_Cash_Exception_Application[[#This Row],[TODAY]]-qry_ProdData2_PDI_Cash_Exception_Application[[#This Row],[CHANGED ON]]</f>
        <v>5.7429282407392748</v>
      </c>
    </row>
    <row r="1177" spans="1:14" x14ac:dyDescent="0.35">
      <c r="A1177">
        <v>1025</v>
      </c>
      <c r="B1177" t="s">
        <v>79</v>
      </c>
      <c r="C1177" s="1">
        <v>45186.257071759261</v>
      </c>
      <c r="D1177" t="str">
        <f ca="1">VLOOKUP(qry_ProdData2_PDI_Cash_Exception_Application[[#This Row],[TYPE]],#REF!,2,FALSE)</f>
        <v>type40</v>
      </c>
      <c r="E1177">
        <v>8</v>
      </c>
      <c r="F1177" t="s">
        <v>47</v>
      </c>
      <c r="G1177" s="1">
        <f>qry_ProdData2_PDI_Cash_Exception_Application[[#This Row],[INSERT DATE]]+1</f>
        <v>45187.257071759261</v>
      </c>
      <c r="H1177" t="str">
        <f>VLOOKUP(qry_ProdData2_PDI_Cash_Exception_Application[[#This Row],[MARKET No]],'Site Allocation'!$B$2:$C$37,2,FALSE)</f>
        <v>Analyst5</v>
      </c>
      <c r="I1177" s="4">
        <f t="shared" ca="1" si="18"/>
        <v>45203</v>
      </c>
      <c r="J1177" s="42">
        <f ca="1">TODAY()-qry_ProdData2_PDI_Cash_Exception_Application[[#This Row],[INSERT DATE]]</f>
        <v>16.742928240739275</v>
      </c>
      <c r="K11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77">
        <f ca="1">qry_ProdData2_PDI_Cash_Exception_Application[[#This Row],[TODAY]]-qry_ProdData2_PDI_Cash_Exception_Application[[#This Row],[CHANGED ON]]</f>
        <v>15.742928240739275</v>
      </c>
      <c r="M1177">
        <f ca="1">qry_ProdData2_PDI_Cash_Exception_Application[[#This Row],[TODAY]]-qry_ProdData2_PDI_Cash_Exception_Application[[#This Row],[CHANGED ON]]</f>
        <v>15.742928240739275</v>
      </c>
      <c r="N1177">
        <f ca="1">qry_ProdData2_PDI_Cash_Exception_Application[[#This Row],[TODAY]]-qry_ProdData2_PDI_Cash_Exception_Application[[#This Row],[CHANGED ON]]</f>
        <v>15.742928240739275</v>
      </c>
    </row>
    <row r="1178" spans="1:14" x14ac:dyDescent="0.35">
      <c r="A1178">
        <v>1005</v>
      </c>
      <c r="B1178" t="s">
        <v>59</v>
      </c>
      <c r="C1178" s="1">
        <v>45185.257071759261</v>
      </c>
      <c r="D1178" t="str">
        <f ca="1">VLOOKUP(qry_ProdData2_PDI_Cash_Exception_Application[[#This Row],[TYPE]],#REF!,2,FALSE)</f>
        <v>type13</v>
      </c>
      <c r="E1178">
        <v>27012.17</v>
      </c>
      <c r="F1178" t="s">
        <v>50</v>
      </c>
      <c r="G1178" s="1">
        <f>qry_ProdData2_PDI_Cash_Exception_Application[[#This Row],[INSERT DATE]]+2</f>
        <v>45187.257071759261</v>
      </c>
      <c r="H1178" t="str">
        <f>VLOOKUP(qry_ProdData2_PDI_Cash_Exception_Application[[#This Row],[MARKET No]],'Site Allocation'!$B$2:$C$37,2,FALSE)</f>
        <v>Analyst1</v>
      </c>
      <c r="I1178" s="4">
        <f t="shared" ca="1" si="18"/>
        <v>45203</v>
      </c>
      <c r="J1178" s="42">
        <f ca="1">TODAY()-qry_ProdData2_PDI_Cash_Exception_Application[[#This Row],[INSERT DATE]]</f>
        <v>17.742928240739275</v>
      </c>
      <c r="K11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78">
        <f ca="1">qry_ProdData2_PDI_Cash_Exception_Application[[#This Row],[TODAY]]-qry_ProdData2_PDI_Cash_Exception_Application[[#This Row],[CHANGED ON]]</f>
        <v>15.742928240739275</v>
      </c>
      <c r="M1178">
        <f ca="1">qry_ProdData2_PDI_Cash_Exception_Application[[#This Row],[TODAY]]-qry_ProdData2_PDI_Cash_Exception_Application[[#This Row],[CHANGED ON]]</f>
        <v>15.742928240739275</v>
      </c>
      <c r="N1178">
        <f ca="1">qry_ProdData2_PDI_Cash_Exception_Application[[#This Row],[TODAY]]-qry_ProdData2_PDI_Cash_Exception_Application[[#This Row],[CHANGED ON]]</f>
        <v>15.742928240739275</v>
      </c>
    </row>
    <row r="1179" spans="1:14" x14ac:dyDescent="0.35">
      <c r="A1179">
        <v>1023</v>
      </c>
      <c r="B1179" t="s">
        <v>77</v>
      </c>
      <c r="C1179" s="1">
        <v>45189.257071759261</v>
      </c>
      <c r="D1179" t="str">
        <f ca="1">VLOOKUP(qry_ProdData2_PDI_Cash_Exception_Application[[#This Row],[TYPE]],#REF!,2,FALSE)</f>
        <v>type13</v>
      </c>
      <c r="E1179">
        <v>20447.47</v>
      </c>
      <c r="F1179" t="s">
        <v>47</v>
      </c>
      <c r="G1179" s="1">
        <f>qry_ProdData2_PDI_Cash_Exception_Application[[#This Row],[INSERT DATE]]+1</f>
        <v>45190.257071759261</v>
      </c>
      <c r="H1179" t="str">
        <f>VLOOKUP(qry_ProdData2_PDI_Cash_Exception_Application[[#This Row],[MARKET No]],'Site Allocation'!$B$2:$C$37,2,FALSE)</f>
        <v>Analyst4</v>
      </c>
      <c r="I1179" s="4">
        <f t="shared" ca="1" si="18"/>
        <v>45203</v>
      </c>
      <c r="J1179" s="42">
        <f ca="1">TODAY()-qry_ProdData2_PDI_Cash_Exception_Application[[#This Row],[INSERT DATE]]</f>
        <v>13.742928240739275</v>
      </c>
      <c r="K11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79">
        <f ca="1">qry_ProdData2_PDI_Cash_Exception_Application[[#This Row],[TODAY]]-qry_ProdData2_PDI_Cash_Exception_Application[[#This Row],[CHANGED ON]]</f>
        <v>12.742928240739275</v>
      </c>
      <c r="M1179">
        <f ca="1">qry_ProdData2_PDI_Cash_Exception_Application[[#This Row],[TODAY]]-qry_ProdData2_PDI_Cash_Exception_Application[[#This Row],[CHANGED ON]]</f>
        <v>12.742928240739275</v>
      </c>
      <c r="N1179">
        <f ca="1">qry_ProdData2_PDI_Cash_Exception_Application[[#This Row],[TODAY]]-qry_ProdData2_PDI_Cash_Exception_Application[[#This Row],[CHANGED ON]]</f>
        <v>12.742928240739275</v>
      </c>
    </row>
    <row r="1180" spans="1:14" x14ac:dyDescent="0.35">
      <c r="A1180">
        <v>1005</v>
      </c>
      <c r="B1180" t="s">
        <v>59</v>
      </c>
      <c r="C1180" s="1">
        <v>45189.257071759261</v>
      </c>
      <c r="D1180" t="str">
        <f ca="1">VLOOKUP(qry_ProdData2_PDI_Cash_Exception_Application[[#This Row],[TYPE]],#REF!,2,FALSE)</f>
        <v>type13</v>
      </c>
      <c r="E1180">
        <v>25125.48</v>
      </c>
      <c r="F1180" t="s">
        <v>47</v>
      </c>
      <c r="G1180" s="1">
        <f>qry_ProdData2_PDI_Cash_Exception_Application[[#This Row],[INSERT DATE]]+1</f>
        <v>45190.257071759261</v>
      </c>
      <c r="H1180" t="str">
        <f>VLOOKUP(qry_ProdData2_PDI_Cash_Exception_Application[[#This Row],[MARKET No]],'Site Allocation'!$B$2:$C$37,2,FALSE)</f>
        <v>Analyst1</v>
      </c>
      <c r="I1180" s="4">
        <f t="shared" ca="1" si="18"/>
        <v>45203</v>
      </c>
      <c r="J1180" s="42">
        <f ca="1">TODAY()-qry_ProdData2_PDI_Cash_Exception_Application[[#This Row],[INSERT DATE]]</f>
        <v>13.742928240739275</v>
      </c>
      <c r="K11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80">
        <f ca="1">qry_ProdData2_PDI_Cash_Exception_Application[[#This Row],[TODAY]]-qry_ProdData2_PDI_Cash_Exception_Application[[#This Row],[CHANGED ON]]</f>
        <v>12.742928240739275</v>
      </c>
      <c r="M1180">
        <f ca="1">qry_ProdData2_PDI_Cash_Exception_Application[[#This Row],[TODAY]]-qry_ProdData2_PDI_Cash_Exception_Application[[#This Row],[CHANGED ON]]</f>
        <v>12.742928240739275</v>
      </c>
      <c r="N1180">
        <f ca="1">qry_ProdData2_PDI_Cash_Exception_Application[[#This Row],[TODAY]]-qry_ProdData2_PDI_Cash_Exception_Application[[#This Row],[CHANGED ON]]</f>
        <v>12.742928240739275</v>
      </c>
    </row>
    <row r="1181" spans="1:14" x14ac:dyDescent="0.35">
      <c r="A1181">
        <v>1018</v>
      </c>
      <c r="B1181" t="s">
        <v>72</v>
      </c>
      <c r="C1181" s="1">
        <v>45187.257071759261</v>
      </c>
      <c r="D1181" t="str">
        <f ca="1">VLOOKUP(qry_ProdData2_PDI_Cash_Exception_Application[[#This Row],[TYPE]],#REF!,2,FALSE)</f>
        <v>type26</v>
      </c>
      <c r="E1181">
        <v>1784.65</v>
      </c>
      <c r="F1181" t="s">
        <v>49</v>
      </c>
      <c r="G1181" s="1">
        <f>qry_ProdData2_PDI_Cash_Exception_Application[[#This Row],[INSERT DATE]]+1</f>
        <v>45188.257071759261</v>
      </c>
      <c r="H1181" t="str">
        <f>VLOOKUP(qry_ProdData2_PDI_Cash_Exception_Application[[#This Row],[MARKET No]],'Site Allocation'!$B$2:$C$37,2,FALSE)</f>
        <v>Analyst4</v>
      </c>
      <c r="I1181" s="4">
        <f t="shared" ca="1" si="18"/>
        <v>45203</v>
      </c>
      <c r="J1181" s="42">
        <f ca="1">TODAY()-qry_ProdData2_PDI_Cash_Exception_Application[[#This Row],[INSERT DATE]]</f>
        <v>15.742928240739275</v>
      </c>
      <c r="K11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81">
        <f ca="1">qry_ProdData2_PDI_Cash_Exception_Application[[#This Row],[TODAY]]-qry_ProdData2_PDI_Cash_Exception_Application[[#This Row],[CHANGED ON]]</f>
        <v>14.742928240739275</v>
      </c>
      <c r="M1181">
        <f ca="1">qry_ProdData2_PDI_Cash_Exception_Application[[#This Row],[TODAY]]-qry_ProdData2_PDI_Cash_Exception_Application[[#This Row],[CHANGED ON]]</f>
        <v>14.742928240739275</v>
      </c>
      <c r="N1181">
        <f ca="1">qry_ProdData2_PDI_Cash_Exception_Application[[#This Row],[TODAY]]-qry_ProdData2_PDI_Cash_Exception_Application[[#This Row],[CHANGED ON]]</f>
        <v>14.742928240739275</v>
      </c>
    </row>
    <row r="1182" spans="1:14" x14ac:dyDescent="0.35">
      <c r="A1182">
        <v>1017</v>
      </c>
      <c r="B1182" t="s">
        <v>71</v>
      </c>
      <c r="C1182" s="1">
        <v>45190.257071759261</v>
      </c>
      <c r="D1182" t="str">
        <f ca="1">VLOOKUP(qry_ProdData2_PDI_Cash_Exception_Application[[#This Row],[TYPE]],#REF!,2,FALSE)</f>
        <v>type46</v>
      </c>
      <c r="E1182">
        <v>543.97</v>
      </c>
      <c r="F1182" t="s">
        <v>49</v>
      </c>
      <c r="G1182" s="1">
        <f>qry_ProdData2_PDI_Cash_Exception_Application[[#This Row],[INSERT DATE]]+1</f>
        <v>45191.257071759261</v>
      </c>
      <c r="H1182" t="str">
        <f>VLOOKUP(qry_ProdData2_PDI_Cash_Exception_Application[[#This Row],[MARKET No]],'Site Allocation'!$B$2:$C$37,2,FALSE)</f>
        <v>Analyst3</v>
      </c>
      <c r="I1182" s="4">
        <f t="shared" ca="1" si="18"/>
        <v>45203</v>
      </c>
      <c r="J1182" s="42">
        <f ca="1">TODAY()-qry_ProdData2_PDI_Cash_Exception_Application[[#This Row],[INSERT DATE]]</f>
        <v>12.742928240739275</v>
      </c>
      <c r="K11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82">
        <f ca="1">qry_ProdData2_PDI_Cash_Exception_Application[[#This Row],[TODAY]]-qry_ProdData2_PDI_Cash_Exception_Application[[#This Row],[CHANGED ON]]</f>
        <v>11.742928240739275</v>
      </c>
      <c r="M1182">
        <f ca="1">qry_ProdData2_PDI_Cash_Exception_Application[[#This Row],[TODAY]]-qry_ProdData2_PDI_Cash_Exception_Application[[#This Row],[CHANGED ON]]</f>
        <v>11.742928240739275</v>
      </c>
      <c r="N1182">
        <f ca="1">qry_ProdData2_PDI_Cash_Exception_Application[[#This Row],[TODAY]]-qry_ProdData2_PDI_Cash_Exception_Application[[#This Row],[CHANGED ON]]</f>
        <v>11.742928240739275</v>
      </c>
    </row>
    <row r="1183" spans="1:14" x14ac:dyDescent="0.35">
      <c r="A1183">
        <v>1011</v>
      </c>
      <c r="B1183" t="s">
        <v>65</v>
      </c>
      <c r="C1183" s="1">
        <v>45187.257071759261</v>
      </c>
      <c r="D1183" t="str">
        <f ca="1">VLOOKUP(qry_ProdData2_PDI_Cash_Exception_Application[[#This Row],[TYPE]],#REF!,2,FALSE)</f>
        <v>type40</v>
      </c>
      <c r="E1183">
        <v>5</v>
      </c>
      <c r="F1183" t="s">
        <v>51</v>
      </c>
      <c r="G1183" s="1">
        <f>qry_ProdData2_PDI_Cash_Exception_Application[[#This Row],[INSERT DATE]]+2</f>
        <v>45189.257071759261</v>
      </c>
      <c r="H1183" t="str">
        <f>VLOOKUP(qry_ProdData2_PDI_Cash_Exception_Application[[#This Row],[MARKET No]],'Site Allocation'!$B$2:$C$37,2,FALSE)</f>
        <v>Analyst2</v>
      </c>
      <c r="I1183" s="4">
        <f t="shared" ca="1" si="18"/>
        <v>45203</v>
      </c>
      <c r="J1183" s="42">
        <f ca="1">TODAY()-qry_ProdData2_PDI_Cash_Exception_Application[[#This Row],[INSERT DATE]]</f>
        <v>15.742928240739275</v>
      </c>
      <c r="K11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83">
        <f ca="1">qry_ProdData2_PDI_Cash_Exception_Application[[#This Row],[TODAY]]-qry_ProdData2_PDI_Cash_Exception_Application[[#This Row],[CHANGED ON]]</f>
        <v>13.742928240739275</v>
      </c>
      <c r="M1183">
        <f ca="1">qry_ProdData2_PDI_Cash_Exception_Application[[#This Row],[TODAY]]-qry_ProdData2_PDI_Cash_Exception_Application[[#This Row],[CHANGED ON]]</f>
        <v>13.742928240739275</v>
      </c>
      <c r="N1183">
        <f ca="1">qry_ProdData2_PDI_Cash_Exception_Application[[#This Row],[TODAY]]-qry_ProdData2_PDI_Cash_Exception_Application[[#This Row],[CHANGED ON]]</f>
        <v>13.742928240739275</v>
      </c>
    </row>
    <row r="1184" spans="1:14" x14ac:dyDescent="0.35">
      <c r="A1184">
        <v>1015</v>
      </c>
      <c r="B1184" t="s">
        <v>69</v>
      </c>
      <c r="C1184" s="1">
        <v>45189.257071759261</v>
      </c>
      <c r="D1184" t="str">
        <f ca="1">VLOOKUP(qry_ProdData2_PDI_Cash_Exception_Application[[#This Row],[TYPE]],#REF!,2,FALSE)</f>
        <v>type13</v>
      </c>
      <c r="E1184">
        <v>14878.43</v>
      </c>
      <c r="F1184" t="s">
        <v>50</v>
      </c>
      <c r="G1184" s="1">
        <f>qry_ProdData2_PDI_Cash_Exception_Application[[#This Row],[INSERT DATE]]+2</f>
        <v>45191.257071759261</v>
      </c>
      <c r="H1184" t="str">
        <f>VLOOKUP(qry_ProdData2_PDI_Cash_Exception_Application[[#This Row],[MARKET No]],'Site Allocation'!$B$2:$C$37,2,FALSE)</f>
        <v>Analyst3</v>
      </c>
      <c r="I1184" s="4">
        <f t="shared" ca="1" si="18"/>
        <v>45203</v>
      </c>
      <c r="J1184" s="42">
        <f ca="1">TODAY()-qry_ProdData2_PDI_Cash_Exception_Application[[#This Row],[INSERT DATE]]</f>
        <v>13.742928240739275</v>
      </c>
      <c r="K11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84">
        <f ca="1">qry_ProdData2_PDI_Cash_Exception_Application[[#This Row],[TODAY]]-qry_ProdData2_PDI_Cash_Exception_Application[[#This Row],[CHANGED ON]]</f>
        <v>11.742928240739275</v>
      </c>
      <c r="M1184">
        <f ca="1">qry_ProdData2_PDI_Cash_Exception_Application[[#This Row],[TODAY]]-qry_ProdData2_PDI_Cash_Exception_Application[[#This Row],[CHANGED ON]]</f>
        <v>11.742928240739275</v>
      </c>
      <c r="N1184">
        <f ca="1">qry_ProdData2_PDI_Cash_Exception_Application[[#This Row],[TODAY]]-qry_ProdData2_PDI_Cash_Exception_Application[[#This Row],[CHANGED ON]]</f>
        <v>11.742928240739275</v>
      </c>
    </row>
    <row r="1185" spans="1:14" x14ac:dyDescent="0.35">
      <c r="A1185">
        <v>1022</v>
      </c>
      <c r="B1185" t="s">
        <v>76</v>
      </c>
      <c r="C1185" s="1">
        <v>45186.257071759261</v>
      </c>
      <c r="D1185" t="str">
        <f ca="1">VLOOKUP(qry_ProdData2_PDI_Cash_Exception_Application[[#This Row],[TYPE]],#REF!,2,FALSE)</f>
        <v>type40</v>
      </c>
      <c r="E1185">
        <v>24.02</v>
      </c>
      <c r="F1185" t="s">
        <v>51</v>
      </c>
      <c r="G1185" s="1">
        <f>qry_ProdData2_PDI_Cash_Exception_Application[[#This Row],[INSERT DATE]]+5</f>
        <v>45191.257071759261</v>
      </c>
      <c r="H1185" t="str">
        <f>VLOOKUP(qry_ProdData2_PDI_Cash_Exception_Application[[#This Row],[MARKET No]],'Site Allocation'!$B$2:$C$37,2,FALSE)</f>
        <v>Analyst4</v>
      </c>
      <c r="I1185" s="4">
        <f t="shared" ca="1" si="18"/>
        <v>45203</v>
      </c>
      <c r="J1185" s="42">
        <f ca="1">TODAY()-qry_ProdData2_PDI_Cash_Exception_Application[[#This Row],[INSERT DATE]]</f>
        <v>16.742928240739275</v>
      </c>
      <c r="K11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85">
        <f ca="1">qry_ProdData2_PDI_Cash_Exception_Application[[#This Row],[TODAY]]-qry_ProdData2_PDI_Cash_Exception_Application[[#This Row],[CHANGED ON]]</f>
        <v>11.742928240739275</v>
      </c>
      <c r="M1185">
        <f ca="1">qry_ProdData2_PDI_Cash_Exception_Application[[#This Row],[TODAY]]-qry_ProdData2_PDI_Cash_Exception_Application[[#This Row],[CHANGED ON]]</f>
        <v>11.742928240739275</v>
      </c>
      <c r="N1185">
        <f ca="1">qry_ProdData2_PDI_Cash_Exception_Application[[#This Row],[TODAY]]-qry_ProdData2_PDI_Cash_Exception_Application[[#This Row],[CHANGED ON]]</f>
        <v>11.742928240739275</v>
      </c>
    </row>
    <row r="1186" spans="1:14" x14ac:dyDescent="0.35">
      <c r="A1186">
        <v>1012</v>
      </c>
      <c r="B1186" t="s">
        <v>66</v>
      </c>
      <c r="C1186" s="1">
        <v>45190.257071759261</v>
      </c>
      <c r="D1186" t="str">
        <f ca="1">VLOOKUP(qry_ProdData2_PDI_Cash_Exception_Application[[#This Row],[TYPE]],#REF!,2,FALSE)</f>
        <v>type8</v>
      </c>
      <c r="E1186">
        <v>70</v>
      </c>
      <c r="F1186" t="s">
        <v>50</v>
      </c>
      <c r="G1186" s="1">
        <f>qry_ProdData2_PDI_Cash_Exception_Application[[#This Row],[INSERT DATE]]+2</f>
        <v>45192.257071759261</v>
      </c>
      <c r="H1186" t="str">
        <f>VLOOKUP(qry_ProdData2_PDI_Cash_Exception_Application[[#This Row],[MARKET No]],'Site Allocation'!$B$2:$C$37,2,FALSE)</f>
        <v>Analyst3</v>
      </c>
      <c r="I1186" s="4">
        <f t="shared" ca="1" si="18"/>
        <v>45203</v>
      </c>
      <c r="J1186" s="42">
        <f ca="1">TODAY()-qry_ProdData2_PDI_Cash_Exception_Application[[#This Row],[INSERT DATE]]</f>
        <v>12.742928240739275</v>
      </c>
      <c r="K11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86">
        <f ca="1">qry_ProdData2_PDI_Cash_Exception_Application[[#This Row],[TODAY]]-qry_ProdData2_PDI_Cash_Exception_Application[[#This Row],[CHANGED ON]]</f>
        <v>10.742928240739275</v>
      </c>
      <c r="M1186">
        <f ca="1">qry_ProdData2_PDI_Cash_Exception_Application[[#This Row],[TODAY]]-qry_ProdData2_PDI_Cash_Exception_Application[[#This Row],[CHANGED ON]]</f>
        <v>10.742928240739275</v>
      </c>
      <c r="N1186">
        <f ca="1">qry_ProdData2_PDI_Cash_Exception_Application[[#This Row],[TODAY]]-qry_ProdData2_PDI_Cash_Exception_Application[[#This Row],[CHANGED ON]]</f>
        <v>10.742928240739275</v>
      </c>
    </row>
    <row r="1187" spans="1:14" x14ac:dyDescent="0.35">
      <c r="A1187">
        <v>1022</v>
      </c>
      <c r="B1187" t="s">
        <v>76</v>
      </c>
      <c r="C1187" s="1">
        <v>45190.257071759261</v>
      </c>
      <c r="D1187" t="str">
        <f ca="1">VLOOKUP(qry_ProdData2_PDI_Cash_Exception_Application[[#This Row],[TYPE]],#REF!,2,FALSE)</f>
        <v>type38</v>
      </c>
      <c r="E1187">
        <v>160.52000000000001</v>
      </c>
      <c r="F1187" t="s">
        <v>51</v>
      </c>
      <c r="G1187" s="1">
        <f>qry_ProdData2_PDI_Cash_Exception_Application[[#This Row],[INSERT DATE]]+7</f>
        <v>45197.257071759261</v>
      </c>
      <c r="H1187" t="str">
        <f>VLOOKUP(qry_ProdData2_PDI_Cash_Exception_Application[[#This Row],[MARKET No]],'Site Allocation'!$B$2:$C$37,2,FALSE)</f>
        <v>Analyst4</v>
      </c>
      <c r="I1187" s="4">
        <f t="shared" ca="1" si="18"/>
        <v>45203</v>
      </c>
      <c r="J1187" s="42">
        <f ca="1">TODAY()-qry_ProdData2_PDI_Cash_Exception_Application[[#This Row],[INSERT DATE]]</f>
        <v>12.742928240739275</v>
      </c>
      <c r="K11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87">
        <f ca="1">qry_ProdData2_PDI_Cash_Exception_Application[[#This Row],[TODAY]]-qry_ProdData2_PDI_Cash_Exception_Application[[#This Row],[CHANGED ON]]</f>
        <v>5.7429282407392748</v>
      </c>
      <c r="M1187">
        <f ca="1">qry_ProdData2_PDI_Cash_Exception_Application[[#This Row],[TODAY]]-qry_ProdData2_PDI_Cash_Exception_Application[[#This Row],[CHANGED ON]]</f>
        <v>5.7429282407392748</v>
      </c>
      <c r="N1187">
        <f ca="1">qry_ProdData2_PDI_Cash_Exception_Application[[#This Row],[TODAY]]-qry_ProdData2_PDI_Cash_Exception_Application[[#This Row],[CHANGED ON]]</f>
        <v>5.7429282407392748</v>
      </c>
    </row>
    <row r="1188" spans="1:14" x14ac:dyDescent="0.35">
      <c r="A1188">
        <v>1014</v>
      </c>
      <c r="B1188" t="s">
        <v>68</v>
      </c>
      <c r="C1188" s="1">
        <v>45179.257071759261</v>
      </c>
      <c r="D1188" t="str">
        <f ca="1">VLOOKUP(qry_ProdData2_PDI_Cash_Exception_Application[[#This Row],[TYPE]],#REF!,2,FALSE)</f>
        <v>type8</v>
      </c>
      <c r="E1188">
        <v>65</v>
      </c>
      <c r="F1188" t="s">
        <v>51</v>
      </c>
      <c r="G1188" s="1">
        <f>qry_ProdData2_PDI_Cash_Exception_Application[[#This Row],[INSERT DATE]]+7</f>
        <v>45186.257071759261</v>
      </c>
      <c r="H1188" t="str">
        <f>VLOOKUP(qry_ProdData2_PDI_Cash_Exception_Application[[#This Row],[MARKET No]],'Site Allocation'!$B$2:$C$37,2,FALSE)</f>
        <v>Analyst3</v>
      </c>
      <c r="I1188" s="4">
        <f t="shared" ca="1" si="18"/>
        <v>45203</v>
      </c>
      <c r="J1188" s="42">
        <f ca="1">TODAY()-qry_ProdData2_PDI_Cash_Exception_Application[[#This Row],[INSERT DATE]]</f>
        <v>23.742928240739275</v>
      </c>
      <c r="K11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88">
        <f ca="1">qry_ProdData2_PDI_Cash_Exception_Application[[#This Row],[TODAY]]-qry_ProdData2_PDI_Cash_Exception_Application[[#This Row],[CHANGED ON]]</f>
        <v>16.742928240739275</v>
      </c>
      <c r="M1188">
        <f ca="1">qry_ProdData2_PDI_Cash_Exception_Application[[#This Row],[TODAY]]-qry_ProdData2_PDI_Cash_Exception_Application[[#This Row],[CHANGED ON]]</f>
        <v>16.742928240739275</v>
      </c>
      <c r="N1188">
        <f ca="1">qry_ProdData2_PDI_Cash_Exception_Application[[#This Row],[TODAY]]-qry_ProdData2_PDI_Cash_Exception_Application[[#This Row],[CHANGED ON]]</f>
        <v>16.742928240739275</v>
      </c>
    </row>
    <row r="1189" spans="1:14" x14ac:dyDescent="0.35">
      <c r="A1189">
        <v>1030</v>
      </c>
      <c r="B1189" t="s">
        <v>84</v>
      </c>
      <c r="C1189" s="1">
        <v>45192.257071759261</v>
      </c>
      <c r="D1189" t="str">
        <f ca="1">VLOOKUP(qry_ProdData2_PDI_Cash_Exception_Application[[#This Row],[TYPE]],#REF!,2,FALSE)</f>
        <v>type40</v>
      </c>
      <c r="E1189">
        <v>-401.08</v>
      </c>
      <c r="F1189" t="s">
        <v>50</v>
      </c>
      <c r="G1189" s="1">
        <f>qry_ProdData2_PDI_Cash_Exception_Application[[#This Row],[INSERT DATE]]+2</f>
        <v>45194.257071759261</v>
      </c>
      <c r="H1189" t="str">
        <f>VLOOKUP(qry_ProdData2_PDI_Cash_Exception_Application[[#This Row],[MARKET No]],'Site Allocation'!$B$2:$C$37,2,FALSE)</f>
        <v>Analyst6</v>
      </c>
      <c r="I1189" s="4">
        <f t="shared" ca="1" si="18"/>
        <v>45203</v>
      </c>
      <c r="J1189" s="42">
        <f ca="1">TODAY()-qry_ProdData2_PDI_Cash_Exception_Application[[#This Row],[INSERT DATE]]</f>
        <v>10.742928240739275</v>
      </c>
      <c r="K11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89">
        <f ca="1">qry_ProdData2_PDI_Cash_Exception_Application[[#This Row],[TODAY]]-qry_ProdData2_PDI_Cash_Exception_Application[[#This Row],[CHANGED ON]]</f>
        <v>8.7429282407392748</v>
      </c>
      <c r="M1189">
        <f ca="1">qry_ProdData2_PDI_Cash_Exception_Application[[#This Row],[TODAY]]-qry_ProdData2_PDI_Cash_Exception_Application[[#This Row],[CHANGED ON]]</f>
        <v>8.7429282407392748</v>
      </c>
      <c r="N1189">
        <f ca="1">qry_ProdData2_PDI_Cash_Exception_Application[[#This Row],[TODAY]]-qry_ProdData2_PDI_Cash_Exception_Application[[#This Row],[CHANGED ON]]</f>
        <v>8.7429282407392748</v>
      </c>
    </row>
    <row r="1190" spans="1:14" x14ac:dyDescent="0.35">
      <c r="A1190">
        <v>1027</v>
      </c>
      <c r="B1190" t="s">
        <v>81</v>
      </c>
      <c r="C1190" s="1">
        <v>45186.257071759261</v>
      </c>
      <c r="D1190" t="str">
        <f ca="1">VLOOKUP(qry_ProdData2_PDI_Cash_Exception_Application[[#This Row],[TYPE]],#REF!,2,FALSE)</f>
        <v>type40</v>
      </c>
      <c r="E1190">
        <v>-550.83000000000004</v>
      </c>
      <c r="F1190" t="s">
        <v>48</v>
      </c>
      <c r="G1190" s="1">
        <f>qry_ProdData2_PDI_Cash_Exception_Application[[#This Row],[INSERT DATE]]+5</f>
        <v>45191.257071759261</v>
      </c>
      <c r="H1190" t="str">
        <f>VLOOKUP(qry_ProdData2_PDI_Cash_Exception_Application[[#This Row],[MARKET No]],'Site Allocation'!$B$2:$C$37,2,FALSE)</f>
        <v>Analyst5</v>
      </c>
      <c r="I1190" s="4">
        <f t="shared" ca="1" si="18"/>
        <v>45203</v>
      </c>
      <c r="J1190" s="42">
        <f ca="1">TODAY()-qry_ProdData2_PDI_Cash_Exception_Application[[#This Row],[INSERT DATE]]</f>
        <v>16.742928240739275</v>
      </c>
      <c r="K11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90">
        <f ca="1">qry_ProdData2_PDI_Cash_Exception_Application[[#This Row],[TODAY]]-qry_ProdData2_PDI_Cash_Exception_Application[[#This Row],[CHANGED ON]]</f>
        <v>11.742928240739275</v>
      </c>
      <c r="M1190">
        <f ca="1">qry_ProdData2_PDI_Cash_Exception_Application[[#This Row],[TODAY]]-qry_ProdData2_PDI_Cash_Exception_Application[[#This Row],[CHANGED ON]]</f>
        <v>11.742928240739275</v>
      </c>
      <c r="N1190">
        <f ca="1">qry_ProdData2_PDI_Cash_Exception_Application[[#This Row],[TODAY]]-qry_ProdData2_PDI_Cash_Exception_Application[[#This Row],[CHANGED ON]]</f>
        <v>11.742928240739275</v>
      </c>
    </row>
    <row r="1191" spans="1:14" x14ac:dyDescent="0.35">
      <c r="A1191">
        <v>1016</v>
      </c>
      <c r="B1191" t="s">
        <v>70</v>
      </c>
      <c r="C1191" s="1">
        <v>45194.257071759261</v>
      </c>
      <c r="D1191" t="str">
        <f ca="1">VLOOKUP(qry_ProdData2_PDI_Cash_Exception_Application[[#This Row],[TYPE]],#REF!,2,FALSE)</f>
        <v>type40</v>
      </c>
      <c r="E1191">
        <v>522.48</v>
      </c>
      <c r="F1191" t="s">
        <v>52</v>
      </c>
      <c r="G1191" s="1">
        <f>qry_ProdData2_PDI_Cash_Exception_Application[[#This Row],[INSERT DATE]]+5</f>
        <v>45199.257071759261</v>
      </c>
      <c r="H1191" t="str">
        <f>VLOOKUP(qry_ProdData2_PDI_Cash_Exception_Application[[#This Row],[MARKET No]],'Site Allocation'!$B$2:$C$37,2,FALSE)</f>
        <v>Analyst3</v>
      </c>
      <c r="I1191" s="4">
        <f t="shared" ca="1" si="18"/>
        <v>45203</v>
      </c>
      <c r="J1191" s="42">
        <f ca="1">TODAY()-qry_ProdData2_PDI_Cash_Exception_Application[[#This Row],[INSERT DATE]]</f>
        <v>8.7429282407392748</v>
      </c>
      <c r="K11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191">
        <f ca="1">qry_ProdData2_PDI_Cash_Exception_Application[[#This Row],[TODAY]]-qry_ProdData2_PDI_Cash_Exception_Application[[#This Row],[CHANGED ON]]</f>
        <v>3.7429282407392748</v>
      </c>
      <c r="M1191">
        <f ca="1">qry_ProdData2_PDI_Cash_Exception_Application[[#This Row],[TODAY]]-qry_ProdData2_PDI_Cash_Exception_Application[[#This Row],[CHANGED ON]]</f>
        <v>3.7429282407392748</v>
      </c>
      <c r="N1191">
        <f ca="1">qry_ProdData2_PDI_Cash_Exception_Application[[#This Row],[TODAY]]-qry_ProdData2_PDI_Cash_Exception_Application[[#This Row],[CHANGED ON]]</f>
        <v>3.7429282407392748</v>
      </c>
    </row>
    <row r="1192" spans="1:14" x14ac:dyDescent="0.35">
      <c r="A1192">
        <v>1016</v>
      </c>
      <c r="B1192" t="s">
        <v>70</v>
      </c>
      <c r="C1192" s="1">
        <v>45191.257071759261</v>
      </c>
      <c r="D1192" t="str">
        <f ca="1">VLOOKUP(qry_ProdData2_PDI_Cash_Exception_Application[[#This Row],[TYPE]],#REF!,2,FALSE)</f>
        <v>type44</v>
      </c>
      <c r="E1192">
        <v>737.53</v>
      </c>
      <c r="F1192" t="s">
        <v>49</v>
      </c>
      <c r="G1192" s="1">
        <f>qry_ProdData2_PDI_Cash_Exception_Application[[#This Row],[INSERT DATE]]+1</f>
        <v>45192.257071759261</v>
      </c>
      <c r="H1192" t="str">
        <f>VLOOKUP(qry_ProdData2_PDI_Cash_Exception_Application[[#This Row],[MARKET No]],'Site Allocation'!$B$2:$C$37,2,FALSE)</f>
        <v>Analyst3</v>
      </c>
      <c r="I1192" s="4">
        <f t="shared" ca="1" si="18"/>
        <v>45203</v>
      </c>
      <c r="J1192" s="42">
        <f ca="1">TODAY()-qry_ProdData2_PDI_Cash_Exception_Application[[#This Row],[INSERT DATE]]</f>
        <v>11.742928240739275</v>
      </c>
      <c r="K11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92">
        <f ca="1">qry_ProdData2_PDI_Cash_Exception_Application[[#This Row],[TODAY]]-qry_ProdData2_PDI_Cash_Exception_Application[[#This Row],[CHANGED ON]]</f>
        <v>10.742928240739275</v>
      </c>
      <c r="M1192">
        <f ca="1">qry_ProdData2_PDI_Cash_Exception_Application[[#This Row],[TODAY]]-qry_ProdData2_PDI_Cash_Exception_Application[[#This Row],[CHANGED ON]]</f>
        <v>10.742928240739275</v>
      </c>
      <c r="N1192">
        <f ca="1">qry_ProdData2_PDI_Cash_Exception_Application[[#This Row],[TODAY]]-qry_ProdData2_PDI_Cash_Exception_Application[[#This Row],[CHANGED ON]]</f>
        <v>10.742928240739275</v>
      </c>
    </row>
    <row r="1193" spans="1:14" x14ac:dyDescent="0.35">
      <c r="A1193">
        <v>1027</v>
      </c>
      <c r="B1193" t="s">
        <v>81</v>
      </c>
      <c r="C1193" s="1">
        <v>45196.257071759261</v>
      </c>
      <c r="D1193" t="str">
        <f ca="1">VLOOKUP(qry_ProdData2_PDI_Cash_Exception_Application[[#This Row],[TYPE]],#REF!,2,FALSE)</f>
        <v>type40</v>
      </c>
      <c r="E1193">
        <v>-1516.38</v>
      </c>
      <c r="F1193" t="s">
        <v>52</v>
      </c>
      <c r="G1193" s="1">
        <f>qry_ProdData2_PDI_Cash_Exception_Application[[#This Row],[INSERT DATE]]+5</f>
        <v>45201.257071759261</v>
      </c>
      <c r="H1193" t="str">
        <f>VLOOKUP(qry_ProdData2_PDI_Cash_Exception_Application[[#This Row],[MARKET No]],'Site Allocation'!$B$2:$C$37,2,FALSE)</f>
        <v>Analyst5</v>
      </c>
      <c r="I1193" s="4">
        <f t="shared" ca="1" si="18"/>
        <v>45203</v>
      </c>
      <c r="J1193" s="42">
        <f ca="1">TODAY()-qry_ProdData2_PDI_Cash_Exception_Application[[#This Row],[INSERT DATE]]</f>
        <v>6.7429282407392748</v>
      </c>
      <c r="K11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193">
        <f ca="1">qry_ProdData2_PDI_Cash_Exception_Application[[#This Row],[TODAY]]-qry_ProdData2_PDI_Cash_Exception_Application[[#This Row],[CHANGED ON]]</f>
        <v>1.7429282407392748</v>
      </c>
      <c r="M1193">
        <f ca="1">qry_ProdData2_PDI_Cash_Exception_Application[[#This Row],[TODAY]]-qry_ProdData2_PDI_Cash_Exception_Application[[#This Row],[CHANGED ON]]</f>
        <v>1.7429282407392748</v>
      </c>
      <c r="N1193">
        <f ca="1">qry_ProdData2_PDI_Cash_Exception_Application[[#This Row],[TODAY]]-qry_ProdData2_PDI_Cash_Exception_Application[[#This Row],[CHANGED ON]]</f>
        <v>1.7429282407392748</v>
      </c>
    </row>
    <row r="1194" spans="1:14" x14ac:dyDescent="0.35">
      <c r="A1194">
        <v>1018</v>
      </c>
      <c r="B1194" t="s">
        <v>72</v>
      </c>
      <c r="C1194" s="1">
        <v>45184.257071759261</v>
      </c>
      <c r="D1194" t="str">
        <f ca="1">VLOOKUP(qry_ProdData2_PDI_Cash_Exception_Application[[#This Row],[TYPE]],#REF!,2,FALSE)</f>
        <v>type40</v>
      </c>
      <c r="E1194">
        <v>729.65</v>
      </c>
      <c r="F1194" t="s">
        <v>48</v>
      </c>
      <c r="G1194" s="1">
        <f>qry_ProdData2_PDI_Cash_Exception_Application[[#This Row],[INSERT DATE]]+5</f>
        <v>45189.257071759261</v>
      </c>
      <c r="H1194" t="str">
        <f>VLOOKUP(qry_ProdData2_PDI_Cash_Exception_Application[[#This Row],[MARKET No]],'Site Allocation'!$B$2:$C$37,2,FALSE)</f>
        <v>Analyst4</v>
      </c>
      <c r="I1194" s="4">
        <f t="shared" ca="1" si="18"/>
        <v>45203</v>
      </c>
      <c r="J1194" s="42">
        <f ca="1">TODAY()-qry_ProdData2_PDI_Cash_Exception_Application[[#This Row],[INSERT DATE]]</f>
        <v>18.742928240739275</v>
      </c>
      <c r="K11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94">
        <f ca="1">qry_ProdData2_PDI_Cash_Exception_Application[[#This Row],[TODAY]]-qry_ProdData2_PDI_Cash_Exception_Application[[#This Row],[CHANGED ON]]</f>
        <v>13.742928240739275</v>
      </c>
      <c r="M1194">
        <f ca="1">qry_ProdData2_PDI_Cash_Exception_Application[[#This Row],[TODAY]]-qry_ProdData2_PDI_Cash_Exception_Application[[#This Row],[CHANGED ON]]</f>
        <v>13.742928240739275</v>
      </c>
      <c r="N1194">
        <f ca="1">qry_ProdData2_PDI_Cash_Exception_Application[[#This Row],[TODAY]]-qry_ProdData2_PDI_Cash_Exception_Application[[#This Row],[CHANGED ON]]</f>
        <v>13.742928240739275</v>
      </c>
    </row>
    <row r="1195" spans="1:14" x14ac:dyDescent="0.35">
      <c r="A1195">
        <v>1014</v>
      </c>
      <c r="B1195" t="s">
        <v>68</v>
      </c>
      <c r="C1195" s="1">
        <v>45185.257071759261</v>
      </c>
      <c r="D1195" t="str">
        <f ca="1">VLOOKUP(qry_ProdData2_PDI_Cash_Exception_Application[[#This Row],[TYPE]],#REF!,2,FALSE)</f>
        <v>type40</v>
      </c>
      <c r="E1195">
        <v>1367.16</v>
      </c>
      <c r="F1195" t="s">
        <v>50</v>
      </c>
      <c r="G1195" s="1">
        <f>qry_ProdData2_PDI_Cash_Exception_Application[[#This Row],[INSERT DATE]]+5</f>
        <v>45190.257071759261</v>
      </c>
      <c r="H1195" t="str">
        <f>VLOOKUP(qry_ProdData2_PDI_Cash_Exception_Application[[#This Row],[MARKET No]],'Site Allocation'!$B$2:$C$37,2,FALSE)</f>
        <v>Analyst3</v>
      </c>
      <c r="I1195" s="4">
        <f t="shared" ca="1" si="18"/>
        <v>45203</v>
      </c>
      <c r="J1195" s="42">
        <f ca="1">TODAY()-qry_ProdData2_PDI_Cash_Exception_Application[[#This Row],[INSERT DATE]]</f>
        <v>17.742928240739275</v>
      </c>
      <c r="K11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95">
        <f ca="1">qry_ProdData2_PDI_Cash_Exception_Application[[#This Row],[TODAY]]-qry_ProdData2_PDI_Cash_Exception_Application[[#This Row],[CHANGED ON]]</f>
        <v>12.742928240739275</v>
      </c>
      <c r="M1195">
        <f ca="1">qry_ProdData2_PDI_Cash_Exception_Application[[#This Row],[TODAY]]-qry_ProdData2_PDI_Cash_Exception_Application[[#This Row],[CHANGED ON]]</f>
        <v>12.742928240739275</v>
      </c>
      <c r="N1195">
        <f ca="1">qry_ProdData2_PDI_Cash_Exception_Application[[#This Row],[TODAY]]-qry_ProdData2_PDI_Cash_Exception_Application[[#This Row],[CHANGED ON]]</f>
        <v>12.742928240739275</v>
      </c>
    </row>
    <row r="1196" spans="1:14" x14ac:dyDescent="0.35">
      <c r="A1196">
        <v>1030</v>
      </c>
      <c r="B1196" t="s">
        <v>84</v>
      </c>
      <c r="C1196" s="1">
        <v>45190.257071759261</v>
      </c>
      <c r="D1196" t="str">
        <f ca="1">VLOOKUP(qry_ProdData2_PDI_Cash_Exception_Application[[#This Row],[TYPE]],#REF!,2,FALSE)</f>
        <v>type40</v>
      </c>
      <c r="E1196">
        <v>507.75</v>
      </c>
      <c r="F1196" t="s">
        <v>47</v>
      </c>
      <c r="G1196" s="1">
        <f>qry_ProdData2_PDI_Cash_Exception_Application[[#This Row],[INSERT DATE]]+2</f>
        <v>45192.257071759261</v>
      </c>
      <c r="H1196" t="str">
        <f>VLOOKUP(qry_ProdData2_PDI_Cash_Exception_Application[[#This Row],[MARKET No]],'Site Allocation'!$B$2:$C$37,2,FALSE)</f>
        <v>Analyst6</v>
      </c>
      <c r="I1196" s="4">
        <f t="shared" ca="1" si="18"/>
        <v>45203</v>
      </c>
      <c r="J1196" s="42">
        <f ca="1">TODAY()-qry_ProdData2_PDI_Cash_Exception_Application[[#This Row],[INSERT DATE]]</f>
        <v>12.742928240739275</v>
      </c>
      <c r="K11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96">
        <f ca="1">qry_ProdData2_PDI_Cash_Exception_Application[[#This Row],[TODAY]]-qry_ProdData2_PDI_Cash_Exception_Application[[#This Row],[CHANGED ON]]</f>
        <v>10.742928240739275</v>
      </c>
      <c r="M1196">
        <f ca="1">qry_ProdData2_PDI_Cash_Exception_Application[[#This Row],[TODAY]]-qry_ProdData2_PDI_Cash_Exception_Application[[#This Row],[CHANGED ON]]</f>
        <v>10.742928240739275</v>
      </c>
      <c r="N1196">
        <f ca="1">qry_ProdData2_PDI_Cash_Exception_Application[[#This Row],[TODAY]]-qry_ProdData2_PDI_Cash_Exception_Application[[#This Row],[CHANGED ON]]</f>
        <v>10.742928240739275</v>
      </c>
    </row>
    <row r="1197" spans="1:14" x14ac:dyDescent="0.35">
      <c r="A1197">
        <v>1017</v>
      </c>
      <c r="B1197" t="s">
        <v>71</v>
      </c>
      <c r="C1197" s="1">
        <v>45189.257071759261</v>
      </c>
      <c r="D1197" t="str">
        <f ca="1">VLOOKUP(qry_ProdData2_PDI_Cash_Exception_Application[[#This Row],[TYPE]],#REF!,2,FALSE)</f>
        <v>type40</v>
      </c>
      <c r="E1197">
        <v>-702.43</v>
      </c>
      <c r="F1197" t="s">
        <v>47</v>
      </c>
      <c r="G1197" s="1">
        <f>qry_ProdData2_PDI_Cash_Exception_Application[[#This Row],[INSERT DATE]]+7</f>
        <v>45196.257071759261</v>
      </c>
      <c r="H1197" t="str">
        <f>VLOOKUP(qry_ProdData2_PDI_Cash_Exception_Application[[#This Row],[MARKET No]],'Site Allocation'!$B$2:$C$37,2,FALSE)</f>
        <v>Analyst3</v>
      </c>
      <c r="I1197" s="4">
        <f t="shared" ca="1" si="18"/>
        <v>45203</v>
      </c>
      <c r="J1197" s="42">
        <f ca="1">TODAY()-qry_ProdData2_PDI_Cash_Exception_Application[[#This Row],[INSERT DATE]]</f>
        <v>13.742928240739275</v>
      </c>
      <c r="K11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97">
        <f ca="1">qry_ProdData2_PDI_Cash_Exception_Application[[#This Row],[TODAY]]-qry_ProdData2_PDI_Cash_Exception_Application[[#This Row],[CHANGED ON]]</f>
        <v>6.7429282407392748</v>
      </c>
      <c r="M1197">
        <f ca="1">qry_ProdData2_PDI_Cash_Exception_Application[[#This Row],[TODAY]]-qry_ProdData2_PDI_Cash_Exception_Application[[#This Row],[CHANGED ON]]</f>
        <v>6.7429282407392748</v>
      </c>
      <c r="N1197">
        <f ca="1">qry_ProdData2_PDI_Cash_Exception_Application[[#This Row],[TODAY]]-qry_ProdData2_PDI_Cash_Exception_Application[[#This Row],[CHANGED ON]]</f>
        <v>6.7429282407392748</v>
      </c>
    </row>
    <row r="1198" spans="1:14" x14ac:dyDescent="0.35">
      <c r="A1198">
        <v>1029</v>
      </c>
      <c r="B1198" t="s">
        <v>83</v>
      </c>
      <c r="C1198" s="1">
        <v>45186.257071759261</v>
      </c>
      <c r="D1198" t="str">
        <f ca="1">VLOOKUP(qry_ProdData2_PDI_Cash_Exception_Application[[#This Row],[TYPE]],#REF!,2,FALSE)</f>
        <v>type40</v>
      </c>
      <c r="E1198">
        <v>643.70000000000005</v>
      </c>
      <c r="F1198" t="s">
        <v>48</v>
      </c>
      <c r="G1198" s="1">
        <f>qry_ProdData2_PDI_Cash_Exception_Application[[#This Row],[INSERT DATE]]+5</f>
        <v>45191.257071759261</v>
      </c>
      <c r="H1198" t="str">
        <f>VLOOKUP(qry_ProdData2_PDI_Cash_Exception_Application[[#This Row],[MARKET No]],'Site Allocation'!$B$2:$C$37,2,FALSE)</f>
        <v>Analyst5</v>
      </c>
      <c r="I1198" s="4">
        <f t="shared" ca="1" si="18"/>
        <v>45203</v>
      </c>
      <c r="J1198" s="42">
        <f ca="1">TODAY()-qry_ProdData2_PDI_Cash_Exception_Application[[#This Row],[INSERT DATE]]</f>
        <v>16.742928240739275</v>
      </c>
      <c r="K11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98">
        <f ca="1">qry_ProdData2_PDI_Cash_Exception_Application[[#This Row],[TODAY]]-qry_ProdData2_PDI_Cash_Exception_Application[[#This Row],[CHANGED ON]]</f>
        <v>11.742928240739275</v>
      </c>
      <c r="M1198">
        <f ca="1">qry_ProdData2_PDI_Cash_Exception_Application[[#This Row],[TODAY]]-qry_ProdData2_PDI_Cash_Exception_Application[[#This Row],[CHANGED ON]]</f>
        <v>11.742928240739275</v>
      </c>
      <c r="N1198">
        <f ca="1">qry_ProdData2_PDI_Cash_Exception_Application[[#This Row],[TODAY]]-qry_ProdData2_PDI_Cash_Exception_Application[[#This Row],[CHANGED ON]]</f>
        <v>11.742928240739275</v>
      </c>
    </row>
    <row r="1199" spans="1:14" x14ac:dyDescent="0.35">
      <c r="A1199">
        <v>1013</v>
      </c>
      <c r="B1199" t="s">
        <v>67</v>
      </c>
      <c r="C1199" s="1">
        <v>45189.257071759261</v>
      </c>
      <c r="D1199" t="str">
        <f ca="1">VLOOKUP(qry_ProdData2_PDI_Cash_Exception_Application[[#This Row],[TYPE]],#REF!,2,FALSE)</f>
        <v>type13</v>
      </c>
      <c r="E1199">
        <v>26969.66</v>
      </c>
      <c r="F1199" t="s">
        <v>48</v>
      </c>
      <c r="G1199" s="1">
        <f>qry_ProdData2_PDI_Cash_Exception_Application[[#This Row],[INSERT DATE]]+7</f>
        <v>45196.257071759261</v>
      </c>
      <c r="H1199" t="str">
        <f>VLOOKUP(qry_ProdData2_PDI_Cash_Exception_Application[[#This Row],[MARKET No]],'Site Allocation'!$B$2:$C$37,2,FALSE)</f>
        <v>Analyst3</v>
      </c>
      <c r="I1199" s="4">
        <f t="shared" ca="1" si="18"/>
        <v>45203</v>
      </c>
      <c r="J1199" s="42">
        <f ca="1">TODAY()-qry_ProdData2_PDI_Cash_Exception_Application[[#This Row],[INSERT DATE]]</f>
        <v>13.742928240739275</v>
      </c>
      <c r="K11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199">
        <f ca="1">qry_ProdData2_PDI_Cash_Exception_Application[[#This Row],[TODAY]]-qry_ProdData2_PDI_Cash_Exception_Application[[#This Row],[CHANGED ON]]</f>
        <v>6.7429282407392748</v>
      </c>
      <c r="M1199">
        <f ca="1">qry_ProdData2_PDI_Cash_Exception_Application[[#This Row],[TODAY]]-qry_ProdData2_PDI_Cash_Exception_Application[[#This Row],[CHANGED ON]]</f>
        <v>6.7429282407392748</v>
      </c>
      <c r="N1199">
        <f ca="1">qry_ProdData2_PDI_Cash_Exception_Application[[#This Row],[TODAY]]-qry_ProdData2_PDI_Cash_Exception_Application[[#This Row],[CHANGED ON]]</f>
        <v>6.7429282407392748</v>
      </c>
    </row>
    <row r="1200" spans="1:14" x14ac:dyDescent="0.35">
      <c r="A1200">
        <v>1024</v>
      </c>
      <c r="B1200" t="s">
        <v>78</v>
      </c>
      <c r="C1200" s="1">
        <v>45180.257071759261</v>
      </c>
      <c r="D1200" t="str">
        <f ca="1">VLOOKUP(qry_ProdData2_PDI_Cash_Exception_Application[[#This Row],[TYPE]],#REF!,2,FALSE)</f>
        <v>type40</v>
      </c>
      <c r="E1200">
        <v>-22</v>
      </c>
      <c r="F1200" t="s">
        <v>51</v>
      </c>
      <c r="G1200" s="1">
        <f>qry_ProdData2_PDI_Cash_Exception_Application[[#This Row],[INSERT DATE]]+7</f>
        <v>45187.257071759261</v>
      </c>
      <c r="H1200" t="str">
        <f>VLOOKUP(qry_ProdData2_PDI_Cash_Exception_Application[[#This Row],[MARKET No]],'Site Allocation'!$B$2:$C$37,2,FALSE)</f>
        <v>Analyst5</v>
      </c>
      <c r="I1200" s="4">
        <f t="shared" ca="1" si="18"/>
        <v>45203</v>
      </c>
      <c r="J1200" s="42">
        <f ca="1">TODAY()-qry_ProdData2_PDI_Cash_Exception_Application[[#This Row],[INSERT DATE]]</f>
        <v>22.742928240739275</v>
      </c>
      <c r="K12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00">
        <f ca="1">qry_ProdData2_PDI_Cash_Exception_Application[[#This Row],[TODAY]]-qry_ProdData2_PDI_Cash_Exception_Application[[#This Row],[CHANGED ON]]</f>
        <v>15.742928240739275</v>
      </c>
      <c r="M1200">
        <f ca="1">qry_ProdData2_PDI_Cash_Exception_Application[[#This Row],[TODAY]]-qry_ProdData2_PDI_Cash_Exception_Application[[#This Row],[CHANGED ON]]</f>
        <v>15.742928240739275</v>
      </c>
      <c r="N1200">
        <f ca="1">qry_ProdData2_PDI_Cash_Exception_Application[[#This Row],[TODAY]]-qry_ProdData2_PDI_Cash_Exception_Application[[#This Row],[CHANGED ON]]</f>
        <v>15.742928240739275</v>
      </c>
    </row>
    <row r="1201" spans="1:14" x14ac:dyDescent="0.35">
      <c r="A1201">
        <v>1020</v>
      </c>
      <c r="B1201" t="s">
        <v>74</v>
      </c>
      <c r="C1201" s="1">
        <v>45191.257071759261</v>
      </c>
      <c r="D1201" t="str">
        <f ca="1">VLOOKUP(qry_ProdData2_PDI_Cash_Exception_Application[[#This Row],[TYPE]],#REF!,2,FALSE)</f>
        <v>type40</v>
      </c>
      <c r="E1201">
        <v>616.76</v>
      </c>
      <c r="F1201" t="s">
        <v>48</v>
      </c>
      <c r="G1201" s="1">
        <f>qry_ProdData2_PDI_Cash_Exception_Application[[#This Row],[INSERT DATE]]+7</f>
        <v>45198.257071759261</v>
      </c>
      <c r="H1201" t="str">
        <f>VLOOKUP(qry_ProdData2_PDI_Cash_Exception_Application[[#This Row],[MARKET No]],'Site Allocation'!$B$2:$C$37,2,FALSE)</f>
        <v>Analyst4</v>
      </c>
      <c r="I1201" s="4">
        <f t="shared" ca="1" si="18"/>
        <v>45203</v>
      </c>
      <c r="J1201" s="42">
        <f ca="1">TODAY()-qry_ProdData2_PDI_Cash_Exception_Application[[#This Row],[INSERT DATE]]</f>
        <v>11.742928240739275</v>
      </c>
      <c r="K12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01">
        <f ca="1">qry_ProdData2_PDI_Cash_Exception_Application[[#This Row],[TODAY]]-qry_ProdData2_PDI_Cash_Exception_Application[[#This Row],[CHANGED ON]]</f>
        <v>4.7429282407392748</v>
      </c>
      <c r="M1201">
        <f ca="1">qry_ProdData2_PDI_Cash_Exception_Application[[#This Row],[TODAY]]-qry_ProdData2_PDI_Cash_Exception_Application[[#This Row],[CHANGED ON]]</f>
        <v>4.7429282407392748</v>
      </c>
      <c r="N1201">
        <f ca="1">qry_ProdData2_PDI_Cash_Exception_Application[[#This Row],[TODAY]]-qry_ProdData2_PDI_Cash_Exception_Application[[#This Row],[CHANGED ON]]</f>
        <v>4.7429282407392748</v>
      </c>
    </row>
    <row r="1202" spans="1:14" x14ac:dyDescent="0.35">
      <c r="A1202">
        <v>1001</v>
      </c>
      <c r="B1202" t="s">
        <v>55</v>
      </c>
      <c r="C1202" s="1">
        <v>45190.257071759261</v>
      </c>
      <c r="D1202" t="str">
        <f ca="1">VLOOKUP(qry_ProdData2_PDI_Cash_Exception_Application[[#This Row],[TYPE]],#REF!,2,FALSE)</f>
        <v>type32</v>
      </c>
      <c r="E1202">
        <v>657</v>
      </c>
      <c r="F1202" t="s">
        <v>47</v>
      </c>
      <c r="G1202" s="1">
        <f>qry_ProdData2_PDI_Cash_Exception_Application[[#This Row],[INSERT DATE]]+7</f>
        <v>45197.257071759261</v>
      </c>
      <c r="H1202" t="str">
        <f>VLOOKUP(qry_ProdData2_PDI_Cash_Exception_Application[[#This Row],[MARKET No]],'Site Allocation'!$B$2:$C$37,2,FALSE)</f>
        <v>Analyst1</v>
      </c>
      <c r="I1202" s="4">
        <f t="shared" ca="1" si="18"/>
        <v>45203</v>
      </c>
      <c r="J1202" s="42">
        <f ca="1">TODAY()-qry_ProdData2_PDI_Cash_Exception_Application[[#This Row],[INSERT DATE]]</f>
        <v>12.742928240739275</v>
      </c>
      <c r="K12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02">
        <f ca="1">qry_ProdData2_PDI_Cash_Exception_Application[[#This Row],[TODAY]]-qry_ProdData2_PDI_Cash_Exception_Application[[#This Row],[CHANGED ON]]</f>
        <v>5.7429282407392748</v>
      </c>
      <c r="M1202">
        <f ca="1">qry_ProdData2_PDI_Cash_Exception_Application[[#This Row],[TODAY]]-qry_ProdData2_PDI_Cash_Exception_Application[[#This Row],[CHANGED ON]]</f>
        <v>5.7429282407392748</v>
      </c>
      <c r="N1202">
        <f ca="1">qry_ProdData2_PDI_Cash_Exception_Application[[#This Row],[TODAY]]-qry_ProdData2_PDI_Cash_Exception_Application[[#This Row],[CHANGED ON]]</f>
        <v>5.7429282407392748</v>
      </c>
    </row>
    <row r="1203" spans="1:14" x14ac:dyDescent="0.35">
      <c r="A1203">
        <v>1015</v>
      </c>
      <c r="B1203" t="s">
        <v>69</v>
      </c>
      <c r="C1203" s="1">
        <v>45179.257071759261</v>
      </c>
      <c r="D1203" t="str">
        <f ca="1">VLOOKUP(qry_ProdData2_PDI_Cash_Exception_Application[[#This Row],[TYPE]],#REF!,2,FALSE)</f>
        <v>type40</v>
      </c>
      <c r="E1203">
        <v>-449.03</v>
      </c>
      <c r="F1203" t="s">
        <v>49</v>
      </c>
      <c r="G1203" s="1">
        <f>qry_ProdData2_PDI_Cash_Exception_Application[[#This Row],[INSERT DATE]]+2</f>
        <v>45181.257071759261</v>
      </c>
      <c r="H1203" t="str">
        <f>VLOOKUP(qry_ProdData2_PDI_Cash_Exception_Application[[#This Row],[MARKET No]],'Site Allocation'!$B$2:$C$37,2,FALSE)</f>
        <v>Analyst3</v>
      </c>
      <c r="I1203" s="4">
        <f t="shared" ca="1" si="18"/>
        <v>45203</v>
      </c>
      <c r="J1203" s="42">
        <f ca="1">TODAY()-qry_ProdData2_PDI_Cash_Exception_Application[[#This Row],[INSERT DATE]]</f>
        <v>23.742928240739275</v>
      </c>
      <c r="K12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03">
        <f ca="1">qry_ProdData2_PDI_Cash_Exception_Application[[#This Row],[TODAY]]-qry_ProdData2_PDI_Cash_Exception_Application[[#This Row],[CHANGED ON]]</f>
        <v>21.742928240739275</v>
      </c>
      <c r="M1203">
        <f ca="1">qry_ProdData2_PDI_Cash_Exception_Application[[#This Row],[TODAY]]-qry_ProdData2_PDI_Cash_Exception_Application[[#This Row],[CHANGED ON]]</f>
        <v>21.742928240739275</v>
      </c>
      <c r="N1203">
        <f ca="1">qry_ProdData2_PDI_Cash_Exception_Application[[#This Row],[TODAY]]-qry_ProdData2_PDI_Cash_Exception_Application[[#This Row],[CHANGED ON]]</f>
        <v>21.742928240739275</v>
      </c>
    </row>
    <row r="1204" spans="1:14" x14ac:dyDescent="0.35">
      <c r="A1204">
        <v>1012</v>
      </c>
      <c r="B1204" t="s">
        <v>66</v>
      </c>
      <c r="C1204" s="1">
        <v>45191.257071759261</v>
      </c>
      <c r="D1204" t="str">
        <f ca="1">VLOOKUP(qry_ProdData2_PDI_Cash_Exception_Application[[#This Row],[TYPE]],#REF!,2,FALSE)</f>
        <v>type13</v>
      </c>
      <c r="E1204">
        <v>16105</v>
      </c>
      <c r="F1204" t="s">
        <v>52</v>
      </c>
      <c r="G1204" s="1">
        <f>qry_ProdData2_PDI_Cash_Exception_Application[[#This Row],[INSERT DATE]]+7</f>
        <v>45198.257071759261</v>
      </c>
      <c r="H1204" t="str">
        <f>VLOOKUP(qry_ProdData2_PDI_Cash_Exception_Application[[#This Row],[MARKET No]],'Site Allocation'!$B$2:$C$37,2,FALSE)</f>
        <v>Analyst3</v>
      </c>
      <c r="I1204" s="4">
        <f t="shared" ca="1" si="18"/>
        <v>45203</v>
      </c>
      <c r="J1204" s="42">
        <f ca="1">TODAY()-qry_ProdData2_PDI_Cash_Exception_Application[[#This Row],[INSERT DATE]]</f>
        <v>11.742928240739275</v>
      </c>
      <c r="K12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04">
        <f ca="1">qry_ProdData2_PDI_Cash_Exception_Application[[#This Row],[TODAY]]-qry_ProdData2_PDI_Cash_Exception_Application[[#This Row],[CHANGED ON]]</f>
        <v>4.7429282407392748</v>
      </c>
      <c r="M1204">
        <f ca="1">qry_ProdData2_PDI_Cash_Exception_Application[[#This Row],[TODAY]]-qry_ProdData2_PDI_Cash_Exception_Application[[#This Row],[CHANGED ON]]</f>
        <v>4.7429282407392748</v>
      </c>
      <c r="N1204">
        <f ca="1">qry_ProdData2_PDI_Cash_Exception_Application[[#This Row],[TODAY]]-qry_ProdData2_PDI_Cash_Exception_Application[[#This Row],[CHANGED ON]]</f>
        <v>4.7429282407392748</v>
      </c>
    </row>
    <row r="1205" spans="1:14" x14ac:dyDescent="0.35">
      <c r="A1205">
        <v>1017</v>
      </c>
      <c r="B1205" t="s">
        <v>71</v>
      </c>
      <c r="C1205" s="1">
        <v>45192.257071759261</v>
      </c>
      <c r="D1205" t="str">
        <f ca="1">VLOOKUP(qry_ProdData2_PDI_Cash_Exception_Application[[#This Row],[TYPE]],#REF!,2,FALSE)</f>
        <v>type40</v>
      </c>
      <c r="E1205">
        <v>615.37</v>
      </c>
      <c r="F1205" t="s">
        <v>50</v>
      </c>
      <c r="G1205" s="1">
        <f>qry_ProdData2_PDI_Cash_Exception_Application[[#This Row],[INSERT DATE]]+7</f>
        <v>45199.257071759261</v>
      </c>
      <c r="H1205" t="str">
        <f>VLOOKUP(qry_ProdData2_PDI_Cash_Exception_Application[[#This Row],[MARKET No]],'Site Allocation'!$B$2:$C$37,2,FALSE)</f>
        <v>Analyst3</v>
      </c>
      <c r="I1205" s="4">
        <f t="shared" ca="1" si="18"/>
        <v>45203</v>
      </c>
      <c r="J1205" s="42">
        <f ca="1">TODAY()-qry_ProdData2_PDI_Cash_Exception_Application[[#This Row],[INSERT DATE]]</f>
        <v>10.742928240739275</v>
      </c>
      <c r="K12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05">
        <f ca="1">qry_ProdData2_PDI_Cash_Exception_Application[[#This Row],[TODAY]]-qry_ProdData2_PDI_Cash_Exception_Application[[#This Row],[CHANGED ON]]</f>
        <v>3.7429282407392748</v>
      </c>
      <c r="M1205">
        <f ca="1">qry_ProdData2_PDI_Cash_Exception_Application[[#This Row],[TODAY]]-qry_ProdData2_PDI_Cash_Exception_Application[[#This Row],[CHANGED ON]]</f>
        <v>3.7429282407392748</v>
      </c>
      <c r="N1205">
        <f ca="1">qry_ProdData2_PDI_Cash_Exception_Application[[#This Row],[TODAY]]-qry_ProdData2_PDI_Cash_Exception_Application[[#This Row],[CHANGED ON]]</f>
        <v>3.7429282407392748</v>
      </c>
    </row>
    <row r="1206" spans="1:14" x14ac:dyDescent="0.35">
      <c r="A1206">
        <v>1012</v>
      </c>
      <c r="B1206" t="s">
        <v>66</v>
      </c>
      <c r="C1206" s="1">
        <v>45193.257071759261</v>
      </c>
      <c r="D1206" t="str">
        <f ca="1">VLOOKUP(qry_ProdData2_PDI_Cash_Exception_Application[[#This Row],[TYPE]],#REF!,2,FALSE)</f>
        <v>type40</v>
      </c>
      <c r="E1206">
        <v>390.13</v>
      </c>
      <c r="F1206" t="s">
        <v>50</v>
      </c>
      <c r="G1206" s="1">
        <f>qry_ProdData2_PDI_Cash_Exception_Application[[#This Row],[INSERT DATE]]+7</f>
        <v>45200.257071759261</v>
      </c>
      <c r="H1206" t="str">
        <f>VLOOKUP(qry_ProdData2_PDI_Cash_Exception_Application[[#This Row],[MARKET No]],'Site Allocation'!$B$2:$C$37,2,FALSE)</f>
        <v>Analyst3</v>
      </c>
      <c r="I1206" s="4">
        <f t="shared" ca="1" si="18"/>
        <v>45203</v>
      </c>
      <c r="J1206" s="42">
        <f ca="1">TODAY()-qry_ProdData2_PDI_Cash_Exception_Application[[#This Row],[INSERT DATE]]</f>
        <v>9.7429282407392748</v>
      </c>
      <c r="K12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06">
        <f ca="1">qry_ProdData2_PDI_Cash_Exception_Application[[#This Row],[TODAY]]-qry_ProdData2_PDI_Cash_Exception_Application[[#This Row],[CHANGED ON]]</f>
        <v>2.7429282407392748</v>
      </c>
      <c r="M1206">
        <f ca="1">qry_ProdData2_PDI_Cash_Exception_Application[[#This Row],[TODAY]]-qry_ProdData2_PDI_Cash_Exception_Application[[#This Row],[CHANGED ON]]</f>
        <v>2.7429282407392748</v>
      </c>
      <c r="N1206">
        <f ca="1">qry_ProdData2_PDI_Cash_Exception_Application[[#This Row],[TODAY]]-qry_ProdData2_PDI_Cash_Exception_Application[[#This Row],[CHANGED ON]]</f>
        <v>2.7429282407392748</v>
      </c>
    </row>
    <row r="1207" spans="1:14" x14ac:dyDescent="0.35">
      <c r="A1207">
        <v>1031</v>
      </c>
      <c r="B1207" t="s">
        <v>85</v>
      </c>
      <c r="C1207" s="1">
        <v>45194.257071759261</v>
      </c>
      <c r="D1207" t="str">
        <f ca="1">VLOOKUP(qry_ProdData2_PDI_Cash_Exception_Application[[#This Row],[TYPE]],#REF!,2,FALSE)</f>
        <v>type42</v>
      </c>
      <c r="E1207">
        <v>201</v>
      </c>
      <c r="F1207" t="s">
        <v>52</v>
      </c>
      <c r="G1207" s="1">
        <f>qry_ProdData2_PDI_Cash_Exception_Application[[#This Row],[INSERT DATE]]+7</f>
        <v>45201.257071759261</v>
      </c>
      <c r="H1207" t="str">
        <f>VLOOKUP(qry_ProdData2_PDI_Cash_Exception_Application[[#This Row],[MARKET No]],'Site Allocation'!$B$2:$C$37,2,FALSE)</f>
        <v>Analyst6</v>
      </c>
      <c r="I1207" s="4">
        <f t="shared" ca="1" si="18"/>
        <v>45203</v>
      </c>
      <c r="J1207" s="42">
        <f ca="1">TODAY()-qry_ProdData2_PDI_Cash_Exception_Application[[#This Row],[INSERT DATE]]</f>
        <v>8.7429282407392748</v>
      </c>
      <c r="K12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207">
        <f ca="1">qry_ProdData2_PDI_Cash_Exception_Application[[#This Row],[TODAY]]-qry_ProdData2_PDI_Cash_Exception_Application[[#This Row],[CHANGED ON]]</f>
        <v>1.7429282407392748</v>
      </c>
      <c r="M1207">
        <f ca="1">qry_ProdData2_PDI_Cash_Exception_Application[[#This Row],[TODAY]]-qry_ProdData2_PDI_Cash_Exception_Application[[#This Row],[CHANGED ON]]</f>
        <v>1.7429282407392748</v>
      </c>
      <c r="N1207">
        <f ca="1">qry_ProdData2_PDI_Cash_Exception_Application[[#This Row],[TODAY]]-qry_ProdData2_PDI_Cash_Exception_Application[[#This Row],[CHANGED ON]]</f>
        <v>1.7429282407392748</v>
      </c>
    </row>
    <row r="1208" spans="1:14" x14ac:dyDescent="0.35">
      <c r="A1208">
        <v>1023</v>
      </c>
      <c r="B1208" t="s">
        <v>77</v>
      </c>
      <c r="C1208" s="1">
        <v>45195.257071759261</v>
      </c>
      <c r="D1208" t="str">
        <f ca="1">VLOOKUP(qry_ProdData2_PDI_Cash_Exception_Application[[#This Row],[TYPE]],#REF!,2,FALSE)</f>
        <v>type13</v>
      </c>
      <c r="E1208">
        <v>30569.45</v>
      </c>
      <c r="F1208" t="s">
        <v>52</v>
      </c>
      <c r="G1208" s="1">
        <f>qry_ProdData2_PDI_Cash_Exception_Application[[#This Row],[INSERT DATE]]+7</f>
        <v>45202.257071759261</v>
      </c>
      <c r="H1208" t="str">
        <f>VLOOKUP(qry_ProdData2_PDI_Cash_Exception_Application[[#This Row],[MARKET No]],'Site Allocation'!$B$2:$C$37,2,FALSE)</f>
        <v>Analyst4</v>
      </c>
      <c r="I1208" s="4">
        <f t="shared" ca="1" si="18"/>
        <v>45203</v>
      </c>
      <c r="J1208" s="42">
        <f ca="1">TODAY()-qry_ProdData2_PDI_Cash_Exception_Application[[#This Row],[INSERT DATE]]</f>
        <v>7.7429282407392748</v>
      </c>
      <c r="K12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208">
        <f ca="1">qry_ProdData2_PDI_Cash_Exception_Application[[#This Row],[TODAY]]-qry_ProdData2_PDI_Cash_Exception_Application[[#This Row],[CHANGED ON]]</f>
        <v>0.74292824073927477</v>
      </c>
      <c r="M1208">
        <f ca="1">qry_ProdData2_PDI_Cash_Exception_Application[[#This Row],[TODAY]]-qry_ProdData2_PDI_Cash_Exception_Application[[#This Row],[CHANGED ON]]</f>
        <v>0.74292824073927477</v>
      </c>
      <c r="N1208">
        <f ca="1">qry_ProdData2_PDI_Cash_Exception_Application[[#This Row],[TODAY]]-qry_ProdData2_PDI_Cash_Exception_Application[[#This Row],[CHANGED ON]]</f>
        <v>0.74292824073927477</v>
      </c>
    </row>
    <row r="1209" spans="1:14" x14ac:dyDescent="0.35">
      <c r="A1209">
        <v>1004</v>
      </c>
      <c r="B1209" t="s">
        <v>58</v>
      </c>
      <c r="C1209" s="1">
        <v>45196.257071759261</v>
      </c>
      <c r="D1209" t="str">
        <f ca="1">VLOOKUP(qry_ProdData2_PDI_Cash_Exception_Application[[#This Row],[TYPE]],#REF!,2,FALSE)</f>
        <v>type40</v>
      </c>
      <c r="E1209">
        <v>-656.46</v>
      </c>
      <c r="F1209" t="s">
        <v>52</v>
      </c>
      <c r="G1209" s="1">
        <f>qry_ProdData2_PDI_Cash_Exception_Application[[#This Row],[INSERT DATE]]+7</f>
        <v>45203.257071759261</v>
      </c>
      <c r="H1209" t="str">
        <f>VLOOKUP(qry_ProdData2_PDI_Cash_Exception_Application[[#This Row],[MARKET No]],'Site Allocation'!$B$2:$C$37,2,FALSE)</f>
        <v>Analyst1</v>
      </c>
      <c r="I1209" s="4">
        <f t="shared" ca="1" si="18"/>
        <v>45203</v>
      </c>
      <c r="J1209" s="42">
        <f ca="1">TODAY()-qry_ProdData2_PDI_Cash_Exception_Application[[#This Row],[INSERT DATE]]</f>
        <v>6.7429282407392748</v>
      </c>
      <c r="K12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209">
        <f ca="1">qry_ProdData2_PDI_Cash_Exception_Application[[#This Row],[TODAY]]-qry_ProdData2_PDI_Cash_Exception_Application[[#This Row],[CHANGED ON]]</f>
        <v>-0.25707175926072523</v>
      </c>
      <c r="M1209">
        <f ca="1">qry_ProdData2_PDI_Cash_Exception_Application[[#This Row],[TODAY]]-qry_ProdData2_PDI_Cash_Exception_Application[[#This Row],[CHANGED ON]]</f>
        <v>-0.25707175926072523</v>
      </c>
      <c r="N1209">
        <f ca="1">qry_ProdData2_PDI_Cash_Exception_Application[[#This Row],[TODAY]]-qry_ProdData2_PDI_Cash_Exception_Application[[#This Row],[CHANGED ON]]</f>
        <v>-0.25707175926072523</v>
      </c>
    </row>
    <row r="1210" spans="1:14" x14ac:dyDescent="0.35">
      <c r="A1210">
        <v>1003</v>
      </c>
      <c r="B1210" t="s">
        <v>57</v>
      </c>
      <c r="C1210" s="1">
        <v>45197.257071759261</v>
      </c>
      <c r="D1210" t="str">
        <f ca="1">VLOOKUP(qry_ProdData2_PDI_Cash_Exception_Application[[#This Row],[TYPE]],#REF!,2,FALSE)</f>
        <v>type40</v>
      </c>
      <c r="E1210">
        <v>-761.71</v>
      </c>
      <c r="F1210" t="s">
        <v>52</v>
      </c>
      <c r="G1210" s="1">
        <f>qry_ProdData2_PDI_Cash_Exception_Application[[#This Row],[INSERT DATE]]+7</f>
        <v>45204.257071759261</v>
      </c>
      <c r="H1210" t="str">
        <f>VLOOKUP(qry_ProdData2_PDI_Cash_Exception_Application[[#This Row],[MARKET No]],'Site Allocation'!$B$2:$C$37,2,FALSE)</f>
        <v>Analyst1</v>
      </c>
      <c r="I1210" s="4">
        <f t="shared" ca="1" si="18"/>
        <v>45203</v>
      </c>
      <c r="J1210" s="42">
        <f ca="1">TODAY()-qry_ProdData2_PDI_Cash_Exception_Application[[#This Row],[INSERT DATE]]</f>
        <v>5.7429282407392748</v>
      </c>
      <c r="K12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210">
        <f ca="1">qry_ProdData2_PDI_Cash_Exception_Application[[#This Row],[TODAY]]-qry_ProdData2_PDI_Cash_Exception_Application[[#This Row],[CHANGED ON]]</f>
        <v>-1.2570717592607252</v>
      </c>
      <c r="M1210">
        <f ca="1">qry_ProdData2_PDI_Cash_Exception_Application[[#This Row],[TODAY]]-qry_ProdData2_PDI_Cash_Exception_Application[[#This Row],[CHANGED ON]]</f>
        <v>-1.2570717592607252</v>
      </c>
      <c r="N1210">
        <f ca="1">qry_ProdData2_PDI_Cash_Exception_Application[[#This Row],[TODAY]]-qry_ProdData2_PDI_Cash_Exception_Application[[#This Row],[CHANGED ON]]</f>
        <v>-1.2570717592607252</v>
      </c>
    </row>
    <row r="1211" spans="1:14" x14ac:dyDescent="0.35">
      <c r="A1211">
        <v>1032</v>
      </c>
      <c r="B1211" t="s">
        <v>86</v>
      </c>
      <c r="C1211" s="1">
        <v>45181.257071759261</v>
      </c>
      <c r="D1211" t="str">
        <f ca="1">VLOOKUP(qry_ProdData2_PDI_Cash_Exception_Application[[#This Row],[TYPE]],#REF!,2,FALSE)</f>
        <v>type40</v>
      </c>
      <c r="E1211">
        <v>2</v>
      </c>
      <c r="F1211" t="s">
        <v>51</v>
      </c>
      <c r="G1211" s="1">
        <f>qry_ProdData2_PDI_Cash_Exception_Application[[#This Row],[INSERT DATE]]+7</f>
        <v>45188.257071759261</v>
      </c>
      <c r="H1211" t="str">
        <f>VLOOKUP(qry_ProdData2_PDI_Cash_Exception_Application[[#This Row],[MARKET No]],'Site Allocation'!$B$2:$C$37,2,FALSE)</f>
        <v>Analyst6</v>
      </c>
      <c r="I1211" s="4">
        <f t="shared" ca="1" si="18"/>
        <v>45203</v>
      </c>
      <c r="J1211" s="42">
        <f ca="1">TODAY()-qry_ProdData2_PDI_Cash_Exception_Application[[#This Row],[INSERT DATE]]</f>
        <v>21.742928240739275</v>
      </c>
      <c r="K12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11">
        <f ca="1">qry_ProdData2_PDI_Cash_Exception_Application[[#This Row],[TODAY]]-qry_ProdData2_PDI_Cash_Exception_Application[[#This Row],[CHANGED ON]]</f>
        <v>14.742928240739275</v>
      </c>
      <c r="M1211">
        <f ca="1">qry_ProdData2_PDI_Cash_Exception_Application[[#This Row],[TODAY]]-qry_ProdData2_PDI_Cash_Exception_Application[[#This Row],[CHANGED ON]]</f>
        <v>14.742928240739275</v>
      </c>
      <c r="N1211">
        <f ca="1">qry_ProdData2_PDI_Cash_Exception_Application[[#This Row],[TODAY]]-qry_ProdData2_PDI_Cash_Exception_Application[[#This Row],[CHANGED ON]]</f>
        <v>14.742928240739275</v>
      </c>
    </row>
    <row r="1212" spans="1:14" x14ac:dyDescent="0.35">
      <c r="A1212">
        <v>1015</v>
      </c>
      <c r="B1212" t="s">
        <v>69</v>
      </c>
      <c r="C1212" s="1">
        <v>45180.257071759261</v>
      </c>
      <c r="D1212" t="str">
        <f ca="1">VLOOKUP(qry_ProdData2_PDI_Cash_Exception_Application[[#This Row],[TYPE]],#REF!,2,FALSE)</f>
        <v>type40</v>
      </c>
      <c r="E1212">
        <v>1432.5</v>
      </c>
      <c r="F1212" t="s">
        <v>50</v>
      </c>
      <c r="G1212" s="1">
        <f>qry_ProdData2_PDI_Cash_Exception_Application[[#This Row],[INSERT DATE]]+7</f>
        <v>45187.257071759261</v>
      </c>
      <c r="H1212" t="str">
        <f>VLOOKUP(qry_ProdData2_PDI_Cash_Exception_Application[[#This Row],[MARKET No]],'Site Allocation'!$B$2:$C$37,2,FALSE)</f>
        <v>Analyst3</v>
      </c>
      <c r="I1212" s="4">
        <f t="shared" ca="1" si="18"/>
        <v>45203</v>
      </c>
      <c r="J1212" s="42">
        <f ca="1">TODAY()-qry_ProdData2_PDI_Cash_Exception_Application[[#This Row],[INSERT DATE]]</f>
        <v>22.742928240739275</v>
      </c>
      <c r="K12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12">
        <f ca="1">qry_ProdData2_PDI_Cash_Exception_Application[[#This Row],[TODAY]]-qry_ProdData2_PDI_Cash_Exception_Application[[#This Row],[CHANGED ON]]</f>
        <v>15.742928240739275</v>
      </c>
      <c r="M1212">
        <f ca="1">qry_ProdData2_PDI_Cash_Exception_Application[[#This Row],[TODAY]]-qry_ProdData2_PDI_Cash_Exception_Application[[#This Row],[CHANGED ON]]</f>
        <v>15.742928240739275</v>
      </c>
      <c r="N1212">
        <f ca="1">qry_ProdData2_PDI_Cash_Exception_Application[[#This Row],[TODAY]]-qry_ProdData2_PDI_Cash_Exception_Application[[#This Row],[CHANGED ON]]</f>
        <v>15.742928240739275</v>
      </c>
    </row>
    <row r="1213" spans="1:14" x14ac:dyDescent="0.35">
      <c r="A1213">
        <v>1028</v>
      </c>
      <c r="B1213" t="s">
        <v>82</v>
      </c>
      <c r="C1213" s="1">
        <v>45181.257071759261</v>
      </c>
      <c r="D1213" t="str">
        <f ca="1">VLOOKUP(qry_ProdData2_PDI_Cash_Exception_Application[[#This Row],[TYPE]],#REF!,2,FALSE)</f>
        <v>type40</v>
      </c>
      <c r="E1213">
        <v>782.54</v>
      </c>
      <c r="F1213" t="s">
        <v>52</v>
      </c>
      <c r="G1213" s="1">
        <f>qry_ProdData2_PDI_Cash_Exception_Application[[#This Row],[INSERT DATE]]+7</f>
        <v>45188.257071759261</v>
      </c>
      <c r="H1213" t="str">
        <f>VLOOKUP(qry_ProdData2_PDI_Cash_Exception_Application[[#This Row],[MARKET No]],'Site Allocation'!$B$2:$C$37,2,FALSE)</f>
        <v>Analyst5</v>
      </c>
      <c r="I1213" s="4">
        <f t="shared" ca="1" si="18"/>
        <v>45203</v>
      </c>
      <c r="J1213" s="42">
        <f ca="1">TODAY()-qry_ProdData2_PDI_Cash_Exception_Application[[#This Row],[INSERT DATE]]</f>
        <v>21.742928240739275</v>
      </c>
      <c r="K12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13">
        <f ca="1">qry_ProdData2_PDI_Cash_Exception_Application[[#This Row],[TODAY]]-qry_ProdData2_PDI_Cash_Exception_Application[[#This Row],[CHANGED ON]]</f>
        <v>14.742928240739275</v>
      </c>
      <c r="M1213">
        <f ca="1">qry_ProdData2_PDI_Cash_Exception_Application[[#This Row],[TODAY]]-qry_ProdData2_PDI_Cash_Exception_Application[[#This Row],[CHANGED ON]]</f>
        <v>14.742928240739275</v>
      </c>
      <c r="N1213">
        <f ca="1">qry_ProdData2_PDI_Cash_Exception_Application[[#This Row],[TODAY]]-qry_ProdData2_PDI_Cash_Exception_Application[[#This Row],[CHANGED ON]]</f>
        <v>14.742928240739275</v>
      </c>
    </row>
    <row r="1214" spans="1:14" x14ac:dyDescent="0.35">
      <c r="A1214">
        <v>1019</v>
      </c>
      <c r="B1214" t="s">
        <v>73</v>
      </c>
      <c r="C1214" s="1">
        <v>45182.257071759261</v>
      </c>
      <c r="D1214" t="str">
        <f ca="1">VLOOKUP(qry_ProdData2_PDI_Cash_Exception_Application[[#This Row],[TYPE]],#REF!,2,FALSE)</f>
        <v>type40</v>
      </c>
      <c r="E1214">
        <v>-444.48</v>
      </c>
      <c r="F1214" t="s">
        <v>50</v>
      </c>
      <c r="G1214" s="1">
        <f>qry_ProdData2_PDI_Cash_Exception_Application[[#This Row],[INSERT DATE]]+7</f>
        <v>45189.257071759261</v>
      </c>
      <c r="H1214" t="str">
        <f>VLOOKUP(qry_ProdData2_PDI_Cash_Exception_Application[[#This Row],[MARKET No]],'Site Allocation'!$B$2:$C$37,2,FALSE)</f>
        <v>Analyst4</v>
      </c>
      <c r="I1214" s="4">
        <f t="shared" ca="1" si="18"/>
        <v>45203</v>
      </c>
      <c r="J1214" s="42">
        <f ca="1">TODAY()-qry_ProdData2_PDI_Cash_Exception_Application[[#This Row],[INSERT DATE]]</f>
        <v>20.742928240739275</v>
      </c>
      <c r="K12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14">
        <f ca="1">qry_ProdData2_PDI_Cash_Exception_Application[[#This Row],[TODAY]]-qry_ProdData2_PDI_Cash_Exception_Application[[#This Row],[CHANGED ON]]</f>
        <v>13.742928240739275</v>
      </c>
      <c r="M1214">
        <f ca="1">qry_ProdData2_PDI_Cash_Exception_Application[[#This Row],[TODAY]]-qry_ProdData2_PDI_Cash_Exception_Application[[#This Row],[CHANGED ON]]</f>
        <v>13.742928240739275</v>
      </c>
      <c r="N1214">
        <f ca="1">qry_ProdData2_PDI_Cash_Exception_Application[[#This Row],[TODAY]]-qry_ProdData2_PDI_Cash_Exception_Application[[#This Row],[CHANGED ON]]</f>
        <v>13.742928240739275</v>
      </c>
    </row>
    <row r="1215" spans="1:14" x14ac:dyDescent="0.35">
      <c r="A1215">
        <v>1004</v>
      </c>
      <c r="B1215" t="s">
        <v>58</v>
      </c>
      <c r="C1215" s="1">
        <v>45190.257071759261</v>
      </c>
      <c r="D1215" t="str">
        <f ca="1">VLOOKUP(qry_ProdData2_PDI_Cash_Exception_Application[[#This Row],[TYPE]],#REF!,2,FALSE)</f>
        <v>type38</v>
      </c>
      <c r="E1215">
        <v>430.45</v>
      </c>
      <c r="F1215" t="s">
        <v>47</v>
      </c>
      <c r="G1215" s="1">
        <f>qry_ProdData2_PDI_Cash_Exception_Application[[#This Row],[INSERT DATE]]+1</f>
        <v>45191.257071759261</v>
      </c>
      <c r="H1215" t="str">
        <f>VLOOKUP(qry_ProdData2_PDI_Cash_Exception_Application[[#This Row],[MARKET No]],'Site Allocation'!$B$2:$C$37,2,FALSE)</f>
        <v>Analyst1</v>
      </c>
      <c r="I1215" s="4">
        <f t="shared" ca="1" si="18"/>
        <v>45203</v>
      </c>
      <c r="J1215" s="42">
        <f ca="1">TODAY()-qry_ProdData2_PDI_Cash_Exception_Application[[#This Row],[INSERT DATE]]</f>
        <v>12.742928240739275</v>
      </c>
      <c r="K12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15">
        <f ca="1">qry_ProdData2_PDI_Cash_Exception_Application[[#This Row],[TODAY]]-qry_ProdData2_PDI_Cash_Exception_Application[[#This Row],[CHANGED ON]]</f>
        <v>11.742928240739275</v>
      </c>
      <c r="M1215">
        <f ca="1">qry_ProdData2_PDI_Cash_Exception_Application[[#This Row],[TODAY]]-qry_ProdData2_PDI_Cash_Exception_Application[[#This Row],[CHANGED ON]]</f>
        <v>11.742928240739275</v>
      </c>
      <c r="N1215">
        <f ca="1">qry_ProdData2_PDI_Cash_Exception_Application[[#This Row],[TODAY]]-qry_ProdData2_PDI_Cash_Exception_Application[[#This Row],[CHANGED ON]]</f>
        <v>11.742928240739275</v>
      </c>
    </row>
    <row r="1216" spans="1:14" x14ac:dyDescent="0.35">
      <c r="A1216">
        <v>1017</v>
      </c>
      <c r="B1216" t="s">
        <v>71</v>
      </c>
      <c r="C1216" s="1">
        <v>45185.257071759261</v>
      </c>
      <c r="D1216" t="str">
        <f ca="1">VLOOKUP(qry_ProdData2_PDI_Cash_Exception_Application[[#This Row],[TYPE]],#REF!,2,FALSE)</f>
        <v>type40</v>
      </c>
      <c r="E1216">
        <v>591.22</v>
      </c>
      <c r="F1216" t="s">
        <v>49</v>
      </c>
      <c r="G1216" s="1">
        <f>qry_ProdData2_PDI_Cash_Exception_Application[[#This Row],[INSERT DATE]]+2</f>
        <v>45187.257071759261</v>
      </c>
      <c r="H1216" t="str">
        <f>VLOOKUP(qry_ProdData2_PDI_Cash_Exception_Application[[#This Row],[MARKET No]],'Site Allocation'!$B$2:$C$37,2,FALSE)</f>
        <v>Analyst3</v>
      </c>
      <c r="I1216" s="4">
        <f t="shared" ca="1" si="18"/>
        <v>45203</v>
      </c>
      <c r="J1216" s="42">
        <f ca="1">TODAY()-qry_ProdData2_PDI_Cash_Exception_Application[[#This Row],[INSERT DATE]]</f>
        <v>17.742928240739275</v>
      </c>
      <c r="K12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16">
        <f ca="1">qry_ProdData2_PDI_Cash_Exception_Application[[#This Row],[TODAY]]-qry_ProdData2_PDI_Cash_Exception_Application[[#This Row],[CHANGED ON]]</f>
        <v>15.742928240739275</v>
      </c>
      <c r="M1216">
        <f ca="1">qry_ProdData2_PDI_Cash_Exception_Application[[#This Row],[TODAY]]-qry_ProdData2_PDI_Cash_Exception_Application[[#This Row],[CHANGED ON]]</f>
        <v>15.742928240739275</v>
      </c>
      <c r="N1216">
        <f ca="1">qry_ProdData2_PDI_Cash_Exception_Application[[#This Row],[TODAY]]-qry_ProdData2_PDI_Cash_Exception_Application[[#This Row],[CHANGED ON]]</f>
        <v>15.742928240739275</v>
      </c>
    </row>
    <row r="1217" spans="1:14" x14ac:dyDescent="0.35">
      <c r="A1217">
        <v>1020</v>
      </c>
      <c r="B1217" t="s">
        <v>74</v>
      </c>
      <c r="C1217" s="1">
        <v>45190.257071759261</v>
      </c>
      <c r="D1217" t="str">
        <f ca="1">VLOOKUP(qry_ProdData2_PDI_Cash_Exception_Application[[#This Row],[TYPE]],#REF!,2,FALSE)</f>
        <v>type38</v>
      </c>
      <c r="E1217">
        <v>190.6</v>
      </c>
      <c r="F1217" t="s">
        <v>51</v>
      </c>
      <c r="G1217" s="1">
        <f>qry_ProdData2_PDI_Cash_Exception_Application[[#This Row],[INSERT DATE]]+2</f>
        <v>45192.257071759261</v>
      </c>
      <c r="H1217" t="str">
        <f>VLOOKUP(qry_ProdData2_PDI_Cash_Exception_Application[[#This Row],[MARKET No]],'Site Allocation'!$B$2:$C$37,2,FALSE)</f>
        <v>Analyst4</v>
      </c>
      <c r="I1217" s="4">
        <f t="shared" ca="1" si="18"/>
        <v>45203</v>
      </c>
      <c r="J1217" s="42">
        <f ca="1">TODAY()-qry_ProdData2_PDI_Cash_Exception_Application[[#This Row],[INSERT DATE]]</f>
        <v>12.742928240739275</v>
      </c>
      <c r="K12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17">
        <f ca="1">qry_ProdData2_PDI_Cash_Exception_Application[[#This Row],[TODAY]]-qry_ProdData2_PDI_Cash_Exception_Application[[#This Row],[CHANGED ON]]</f>
        <v>10.742928240739275</v>
      </c>
      <c r="M1217">
        <f ca="1">qry_ProdData2_PDI_Cash_Exception_Application[[#This Row],[TODAY]]-qry_ProdData2_PDI_Cash_Exception_Application[[#This Row],[CHANGED ON]]</f>
        <v>10.742928240739275</v>
      </c>
      <c r="N1217">
        <f ca="1">qry_ProdData2_PDI_Cash_Exception_Application[[#This Row],[TODAY]]-qry_ProdData2_PDI_Cash_Exception_Application[[#This Row],[CHANGED ON]]</f>
        <v>10.742928240739275</v>
      </c>
    </row>
    <row r="1218" spans="1:14" x14ac:dyDescent="0.35">
      <c r="A1218">
        <v>1034</v>
      </c>
      <c r="B1218" t="s">
        <v>88</v>
      </c>
      <c r="C1218" s="1">
        <v>45190.257071759261</v>
      </c>
      <c r="D1218" t="str">
        <f ca="1">VLOOKUP(qry_ProdData2_PDI_Cash_Exception_Application[[#This Row],[TYPE]],#REF!,2,FALSE)</f>
        <v>type40</v>
      </c>
      <c r="E1218">
        <v>-1251.49</v>
      </c>
      <c r="F1218" t="s">
        <v>49</v>
      </c>
      <c r="G1218" s="1">
        <f>qry_ProdData2_PDI_Cash_Exception_Application[[#This Row],[INSERT DATE]]+5</f>
        <v>45195.257071759261</v>
      </c>
      <c r="H1218" t="str">
        <f>VLOOKUP(qry_ProdData2_PDI_Cash_Exception_Application[[#This Row],[MARKET No]],'Site Allocation'!$B$2:$C$37,2,FALSE)</f>
        <v>Analyst6</v>
      </c>
      <c r="I1218" s="4">
        <f t="shared" ref="I1218:I1281" ca="1" si="19">TODAY()</f>
        <v>45203</v>
      </c>
      <c r="J1218" s="42">
        <f ca="1">TODAY()-qry_ProdData2_PDI_Cash_Exception_Application[[#This Row],[INSERT DATE]]</f>
        <v>12.742928240739275</v>
      </c>
      <c r="K12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18">
        <f ca="1">qry_ProdData2_PDI_Cash_Exception_Application[[#This Row],[TODAY]]-qry_ProdData2_PDI_Cash_Exception_Application[[#This Row],[CHANGED ON]]</f>
        <v>7.7429282407392748</v>
      </c>
      <c r="M1218">
        <f ca="1">qry_ProdData2_PDI_Cash_Exception_Application[[#This Row],[TODAY]]-qry_ProdData2_PDI_Cash_Exception_Application[[#This Row],[CHANGED ON]]</f>
        <v>7.7429282407392748</v>
      </c>
      <c r="N1218">
        <f ca="1">qry_ProdData2_PDI_Cash_Exception_Application[[#This Row],[TODAY]]-qry_ProdData2_PDI_Cash_Exception_Application[[#This Row],[CHANGED ON]]</f>
        <v>7.7429282407392748</v>
      </c>
    </row>
    <row r="1219" spans="1:14" x14ac:dyDescent="0.35">
      <c r="A1219">
        <v>1003</v>
      </c>
      <c r="B1219" t="s">
        <v>57</v>
      </c>
      <c r="C1219" s="1">
        <v>45184.257071759261</v>
      </c>
      <c r="D1219" t="str">
        <f ca="1">VLOOKUP(qry_ProdData2_PDI_Cash_Exception_Application[[#This Row],[TYPE]],#REF!,2,FALSE)</f>
        <v>type13</v>
      </c>
      <c r="E1219">
        <v>29743.19</v>
      </c>
      <c r="F1219" t="s">
        <v>50</v>
      </c>
      <c r="G1219" s="1">
        <f>qry_ProdData2_PDI_Cash_Exception_Application[[#This Row],[INSERT DATE]]+1</f>
        <v>45185.257071759261</v>
      </c>
      <c r="H1219" t="str">
        <f>VLOOKUP(qry_ProdData2_PDI_Cash_Exception_Application[[#This Row],[MARKET No]],'Site Allocation'!$B$2:$C$37,2,FALSE)</f>
        <v>Analyst1</v>
      </c>
      <c r="I1219" s="4">
        <f t="shared" ca="1" si="19"/>
        <v>45203</v>
      </c>
      <c r="J1219" s="42">
        <f ca="1">TODAY()-qry_ProdData2_PDI_Cash_Exception_Application[[#This Row],[INSERT DATE]]</f>
        <v>18.742928240739275</v>
      </c>
      <c r="K12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19">
        <f ca="1">qry_ProdData2_PDI_Cash_Exception_Application[[#This Row],[TODAY]]-qry_ProdData2_PDI_Cash_Exception_Application[[#This Row],[CHANGED ON]]</f>
        <v>17.742928240739275</v>
      </c>
      <c r="M1219">
        <f ca="1">qry_ProdData2_PDI_Cash_Exception_Application[[#This Row],[TODAY]]-qry_ProdData2_PDI_Cash_Exception_Application[[#This Row],[CHANGED ON]]</f>
        <v>17.742928240739275</v>
      </c>
      <c r="N1219">
        <f ca="1">qry_ProdData2_PDI_Cash_Exception_Application[[#This Row],[TODAY]]-qry_ProdData2_PDI_Cash_Exception_Application[[#This Row],[CHANGED ON]]</f>
        <v>17.742928240739275</v>
      </c>
    </row>
    <row r="1220" spans="1:14" x14ac:dyDescent="0.35">
      <c r="A1220">
        <v>1026</v>
      </c>
      <c r="B1220" t="s">
        <v>80</v>
      </c>
      <c r="C1220" s="1">
        <v>45185.257071759261</v>
      </c>
      <c r="D1220" t="str">
        <f ca="1">VLOOKUP(qry_ProdData2_PDI_Cash_Exception_Application[[#This Row],[TYPE]],#REF!,2,FALSE)</f>
        <v>type40</v>
      </c>
      <c r="E1220">
        <v>10</v>
      </c>
      <c r="F1220" t="s">
        <v>48</v>
      </c>
      <c r="G1220" s="1">
        <f>qry_ProdData2_PDI_Cash_Exception_Application[[#This Row],[INSERT DATE]]+2</f>
        <v>45187.257071759261</v>
      </c>
      <c r="H1220" t="str">
        <f>VLOOKUP(qry_ProdData2_PDI_Cash_Exception_Application[[#This Row],[MARKET No]],'Site Allocation'!$B$2:$C$37,2,FALSE)</f>
        <v>Analyst5</v>
      </c>
      <c r="I1220" s="4">
        <f t="shared" ca="1" si="19"/>
        <v>45203</v>
      </c>
      <c r="J1220" s="42">
        <f ca="1">TODAY()-qry_ProdData2_PDI_Cash_Exception_Application[[#This Row],[INSERT DATE]]</f>
        <v>17.742928240739275</v>
      </c>
      <c r="K12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20">
        <f ca="1">qry_ProdData2_PDI_Cash_Exception_Application[[#This Row],[TODAY]]-qry_ProdData2_PDI_Cash_Exception_Application[[#This Row],[CHANGED ON]]</f>
        <v>15.742928240739275</v>
      </c>
      <c r="M1220">
        <f ca="1">qry_ProdData2_PDI_Cash_Exception_Application[[#This Row],[TODAY]]-qry_ProdData2_PDI_Cash_Exception_Application[[#This Row],[CHANGED ON]]</f>
        <v>15.742928240739275</v>
      </c>
      <c r="N1220">
        <f ca="1">qry_ProdData2_PDI_Cash_Exception_Application[[#This Row],[TODAY]]-qry_ProdData2_PDI_Cash_Exception_Application[[#This Row],[CHANGED ON]]</f>
        <v>15.742928240739275</v>
      </c>
    </row>
    <row r="1221" spans="1:14" x14ac:dyDescent="0.35">
      <c r="A1221">
        <v>1004</v>
      </c>
      <c r="B1221" t="s">
        <v>58</v>
      </c>
      <c r="C1221" s="1">
        <v>45187.257071759261</v>
      </c>
      <c r="D1221" t="str">
        <f ca="1">VLOOKUP(qry_ProdData2_PDI_Cash_Exception_Application[[#This Row],[TYPE]],#REF!,2,FALSE)</f>
        <v>type40</v>
      </c>
      <c r="E1221">
        <v>381.96</v>
      </c>
      <c r="F1221" t="s">
        <v>48</v>
      </c>
      <c r="G1221" s="1">
        <f>qry_ProdData2_PDI_Cash_Exception_Application[[#This Row],[INSERT DATE]]+5</f>
        <v>45192.257071759261</v>
      </c>
      <c r="H1221" t="str">
        <f>VLOOKUP(qry_ProdData2_PDI_Cash_Exception_Application[[#This Row],[MARKET No]],'Site Allocation'!$B$2:$C$37,2,FALSE)</f>
        <v>Analyst1</v>
      </c>
      <c r="I1221" s="4">
        <f t="shared" ca="1" si="19"/>
        <v>45203</v>
      </c>
      <c r="J1221" s="42">
        <f ca="1">TODAY()-qry_ProdData2_PDI_Cash_Exception_Application[[#This Row],[INSERT DATE]]</f>
        <v>15.742928240739275</v>
      </c>
      <c r="K12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21">
        <f ca="1">qry_ProdData2_PDI_Cash_Exception_Application[[#This Row],[TODAY]]-qry_ProdData2_PDI_Cash_Exception_Application[[#This Row],[CHANGED ON]]</f>
        <v>10.742928240739275</v>
      </c>
      <c r="M1221">
        <f ca="1">qry_ProdData2_PDI_Cash_Exception_Application[[#This Row],[TODAY]]-qry_ProdData2_PDI_Cash_Exception_Application[[#This Row],[CHANGED ON]]</f>
        <v>10.742928240739275</v>
      </c>
      <c r="N1221">
        <f ca="1">qry_ProdData2_PDI_Cash_Exception_Application[[#This Row],[TODAY]]-qry_ProdData2_PDI_Cash_Exception_Application[[#This Row],[CHANGED ON]]</f>
        <v>10.742928240739275</v>
      </c>
    </row>
    <row r="1222" spans="1:14" x14ac:dyDescent="0.35">
      <c r="A1222">
        <v>1025</v>
      </c>
      <c r="B1222" t="s">
        <v>79</v>
      </c>
      <c r="C1222" s="1">
        <v>45182.257071759261</v>
      </c>
      <c r="D1222" t="str">
        <f ca="1">VLOOKUP(qry_ProdData2_PDI_Cash_Exception_Application[[#This Row],[TYPE]],#REF!,2,FALSE)</f>
        <v>type38</v>
      </c>
      <c r="E1222">
        <v>157.21</v>
      </c>
      <c r="F1222" t="s">
        <v>47</v>
      </c>
      <c r="G1222" s="1">
        <f>qry_ProdData2_PDI_Cash_Exception_Application[[#This Row],[INSERT DATE]]+1</f>
        <v>45183.257071759261</v>
      </c>
      <c r="H1222" t="str">
        <f>VLOOKUP(qry_ProdData2_PDI_Cash_Exception_Application[[#This Row],[MARKET No]],'Site Allocation'!$B$2:$C$37,2,FALSE)</f>
        <v>Analyst5</v>
      </c>
      <c r="I1222" s="4">
        <f t="shared" ca="1" si="19"/>
        <v>45203</v>
      </c>
      <c r="J1222" s="42">
        <f ca="1">TODAY()-qry_ProdData2_PDI_Cash_Exception_Application[[#This Row],[INSERT DATE]]</f>
        <v>20.742928240739275</v>
      </c>
      <c r="K12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22">
        <f ca="1">qry_ProdData2_PDI_Cash_Exception_Application[[#This Row],[TODAY]]-qry_ProdData2_PDI_Cash_Exception_Application[[#This Row],[CHANGED ON]]</f>
        <v>19.742928240739275</v>
      </c>
      <c r="M1222">
        <f ca="1">qry_ProdData2_PDI_Cash_Exception_Application[[#This Row],[TODAY]]-qry_ProdData2_PDI_Cash_Exception_Application[[#This Row],[CHANGED ON]]</f>
        <v>19.742928240739275</v>
      </c>
      <c r="N1222">
        <f ca="1">qry_ProdData2_PDI_Cash_Exception_Application[[#This Row],[TODAY]]-qry_ProdData2_PDI_Cash_Exception_Application[[#This Row],[CHANGED ON]]</f>
        <v>19.742928240739275</v>
      </c>
    </row>
    <row r="1223" spans="1:14" x14ac:dyDescent="0.35">
      <c r="A1223">
        <v>1002</v>
      </c>
      <c r="B1223" t="s">
        <v>56</v>
      </c>
      <c r="C1223" s="1">
        <v>45187.257071759261</v>
      </c>
      <c r="D1223" t="str">
        <f ca="1">VLOOKUP(qry_ProdData2_PDI_Cash_Exception_Application[[#This Row],[TYPE]],#REF!,2,FALSE)</f>
        <v>type40</v>
      </c>
      <c r="E1223">
        <v>-361.39</v>
      </c>
      <c r="F1223" t="s">
        <v>52</v>
      </c>
      <c r="G1223" s="1">
        <f>qry_ProdData2_PDI_Cash_Exception_Application[[#This Row],[INSERT DATE]]+1</f>
        <v>45188.257071759261</v>
      </c>
      <c r="H1223" t="str">
        <f>VLOOKUP(qry_ProdData2_PDI_Cash_Exception_Application[[#This Row],[MARKET No]],'Site Allocation'!$B$2:$C$37,2,FALSE)</f>
        <v>Analyst1</v>
      </c>
      <c r="I1223" s="4">
        <f t="shared" ca="1" si="19"/>
        <v>45203</v>
      </c>
      <c r="J1223" s="42">
        <f ca="1">TODAY()-qry_ProdData2_PDI_Cash_Exception_Application[[#This Row],[INSERT DATE]]</f>
        <v>15.742928240739275</v>
      </c>
      <c r="K12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23">
        <f ca="1">qry_ProdData2_PDI_Cash_Exception_Application[[#This Row],[TODAY]]-qry_ProdData2_PDI_Cash_Exception_Application[[#This Row],[CHANGED ON]]</f>
        <v>14.742928240739275</v>
      </c>
      <c r="M1223">
        <f ca="1">qry_ProdData2_PDI_Cash_Exception_Application[[#This Row],[TODAY]]-qry_ProdData2_PDI_Cash_Exception_Application[[#This Row],[CHANGED ON]]</f>
        <v>14.742928240739275</v>
      </c>
      <c r="N1223">
        <f ca="1">qry_ProdData2_PDI_Cash_Exception_Application[[#This Row],[TODAY]]-qry_ProdData2_PDI_Cash_Exception_Application[[#This Row],[CHANGED ON]]</f>
        <v>14.742928240739275</v>
      </c>
    </row>
    <row r="1224" spans="1:14" x14ac:dyDescent="0.35">
      <c r="A1224">
        <v>1019</v>
      </c>
      <c r="B1224" t="s">
        <v>73</v>
      </c>
      <c r="C1224" s="1">
        <v>45192.257071759261</v>
      </c>
      <c r="D1224" t="str">
        <f ca="1">VLOOKUP(qry_ProdData2_PDI_Cash_Exception_Application[[#This Row],[TYPE]],#REF!,2,FALSE)</f>
        <v>type16</v>
      </c>
      <c r="E1224">
        <v>-1576</v>
      </c>
      <c r="F1224" t="s">
        <v>49</v>
      </c>
      <c r="G1224" s="1">
        <f>qry_ProdData2_PDI_Cash_Exception_Application[[#This Row],[INSERT DATE]]+5</f>
        <v>45197.257071759261</v>
      </c>
      <c r="H1224" t="str">
        <f>VLOOKUP(qry_ProdData2_PDI_Cash_Exception_Application[[#This Row],[MARKET No]],'Site Allocation'!$B$2:$C$37,2,FALSE)</f>
        <v>Analyst4</v>
      </c>
      <c r="I1224" s="4">
        <f t="shared" ca="1" si="19"/>
        <v>45203</v>
      </c>
      <c r="J1224" s="42">
        <f ca="1">TODAY()-qry_ProdData2_PDI_Cash_Exception_Application[[#This Row],[INSERT DATE]]</f>
        <v>10.742928240739275</v>
      </c>
      <c r="K12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24">
        <f ca="1">qry_ProdData2_PDI_Cash_Exception_Application[[#This Row],[TODAY]]-qry_ProdData2_PDI_Cash_Exception_Application[[#This Row],[CHANGED ON]]</f>
        <v>5.7429282407392748</v>
      </c>
      <c r="M1224">
        <f ca="1">qry_ProdData2_PDI_Cash_Exception_Application[[#This Row],[TODAY]]-qry_ProdData2_PDI_Cash_Exception_Application[[#This Row],[CHANGED ON]]</f>
        <v>5.7429282407392748</v>
      </c>
      <c r="N1224">
        <f ca="1">qry_ProdData2_PDI_Cash_Exception_Application[[#This Row],[TODAY]]-qry_ProdData2_PDI_Cash_Exception_Application[[#This Row],[CHANGED ON]]</f>
        <v>5.7429282407392748</v>
      </c>
    </row>
    <row r="1225" spans="1:14" x14ac:dyDescent="0.35">
      <c r="A1225">
        <v>1026</v>
      </c>
      <c r="B1225" t="s">
        <v>80</v>
      </c>
      <c r="C1225" s="1">
        <v>45187.257071759261</v>
      </c>
      <c r="D1225" t="str">
        <f ca="1">VLOOKUP(qry_ProdData2_PDI_Cash_Exception_Application[[#This Row],[TYPE]],#REF!,2,FALSE)</f>
        <v>type40</v>
      </c>
      <c r="E1225">
        <v>22.5</v>
      </c>
      <c r="F1225" t="s">
        <v>48</v>
      </c>
      <c r="G1225" s="1">
        <f>qry_ProdData2_PDI_Cash_Exception_Application[[#This Row],[INSERT DATE]]+7</f>
        <v>45194.257071759261</v>
      </c>
      <c r="H1225" t="str">
        <f>VLOOKUP(qry_ProdData2_PDI_Cash_Exception_Application[[#This Row],[MARKET No]],'Site Allocation'!$B$2:$C$37,2,FALSE)</f>
        <v>Analyst5</v>
      </c>
      <c r="I1225" s="4">
        <f t="shared" ca="1" si="19"/>
        <v>45203</v>
      </c>
      <c r="J1225" s="42">
        <f ca="1">TODAY()-qry_ProdData2_PDI_Cash_Exception_Application[[#This Row],[INSERT DATE]]</f>
        <v>15.742928240739275</v>
      </c>
      <c r="K12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25">
        <f ca="1">qry_ProdData2_PDI_Cash_Exception_Application[[#This Row],[TODAY]]-qry_ProdData2_PDI_Cash_Exception_Application[[#This Row],[CHANGED ON]]</f>
        <v>8.7429282407392748</v>
      </c>
      <c r="M1225">
        <f ca="1">qry_ProdData2_PDI_Cash_Exception_Application[[#This Row],[TODAY]]-qry_ProdData2_PDI_Cash_Exception_Application[[#This Row],[CHANGED ON]]</f>
        <v>8.7429282407392748</v>
      </c>
      <c r="N1225">
        <f ca="1">qry_ProdData2_PDI_Cash_Exception_Application[[#This Row],[TODAY]]-qry_ProdData2_PDI_Cash_Exception_Application[[#This Row],[CHANGED ON]]</f>
        <v>8.7429282407392748</v>
      </c>
    </row>
    <row r="1226" spans="1:14" x14ac:dyDescent="0.35">
      <c r="A1226">
        <v>1005</v>
      </c>
      <c r="B1226" t="s">
        <v>59</v>
      </c>
      <c r="C1226" s="1">
        <v>45189.257071759261</v>
      </c>
      <c r="D1226" t="str">
        <f ca="1">VLOOKUP(qry_ProdData2_PDI_Cash_Exception_Application[[#This Row],[TYPE]],#REF!,2,FALSE)</f>
        <v>type13</v>
      </c>
      <c r="E1226">
        <v>20481.849999999999</v>
      </c>
      <c r="F1226" t="s">
        <v>52</v>
      </c>
      <c r="G1226" s="1">
        <f>qry_ProdData2_PDI_Cash_Exception_Application[[#This Row],[INSERT DATE]]+1</f>
        <v>45190.257071759261</v>
      </c>
      <c r="H1226" t="str">
        <f>VLOOKUP(qry_ProdData2_PDI_Cash_Exception_Application[[#This Row],[MARKET No]],'Site Allocation'!$B$2:$C$37,2,FALSE)</f>
        <v>Analyst1</v>
      </c>
      <c r="I1226" s="4">
        <f t="shared" ca="1" si="19"/>
        <v>45203</v>
      </c>
      <c r="J1226" s="42">
        <f ca="1">TODAY()-qry_ProdData2_PDI_Cash_Exception_Application[[#This Row],[INSERT DATE]]</f>
        <v>13.742928240739275</v>
      </c>
      <c r="K12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26">
        <f ca="1">qry_ProdData2_PDI_Cash_Exception_Application[[#This Row],[TODAY]]-qry_ProdData2_PDI_Cash_Exception_Application[[#This Row],[CHANGED ON]]</f>
        <v>12.742928240739275</v>
      </c>
      <c r="M1226">
        <f ca="1">qry_ProdData2_PDI_Cash_Exception_Application[[#This Row],[TODAY]]-qry_ProdData2_PDI_Cash_Exception_Application[[#This Row],[CHANGED ON]]</f>
        <v>12.742928240739275</v>
      </c>
      <c r="N1226">
        <f ca="1">qry_ProdData2_PDI_Cash_Exception_Application[[#This Row],[TODAY]]-qry_ProdData2_PDI_Cash_Exception_Application[[#This Row],[CHANGED ON]]</f>
        <v>12.742928240739275</v>
      </c>
    </row>
    <row r="1227" spans="1:14" x14ac:dyDescent="0.35">
      <c r="A1227">
        <v>1015</v>
      </c>
      <c r="B1227" t="s">
        <v>69</v>
      </c>
      <c r="C1227" s="1">
        <v>45188.257071759261</v>
      </c>
      <c r="D1227" t="str">
        <f ca="1">VLOOKUP(qry_ProdData2_PDI_Cash_Exception_Application[[#This Row],[TYPE]],#REF!,2,FALSE)</f>
        <v>type13</v>
      </c>
      <c r="E1227">
        <v>25455.58</v>
      </c>
      <c r="F1227" t="s">
        <v>49</v>
      </c>
      <c r="G1227" s="1">
        <f>qry_ProdData2_PDI_Cash_Exception_Application[[#This Row],[INSERT DATE]]+7</f>
        <v>45195.257071759261</v>
      </c>
      <c r="H1227" t="str">
        <f>VLOOKUP(qry_ProdData2_PDI_Cash_Exception_Application[[#This Row],[MARKET No]],'Site Allocation'!$B$2:$C$37,2,FALSE)</f>
        <v>Analyst3</v>
      </c>
      <c r="I1227" s="4">
        <f t="shared" ca="1" si="19"/>
        <v>45203</v>
      </c>
      <c r="J1227" s="42">
        <f ca="1">TODAY()-qry_ProdData2_PDI_Cash_Exception_Application[[#This Row],[INSERT DATE]]</f>
        <v>14.742928240739275</v>
      </c>
      <c r="K12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27">
        <f ca="1">qry_ProdData2_PDI_Cash_Exception_Application[[#This Row],[TODAY]]-qry_ProdData2_PDI_Cash_Exception_Application[[#This Row],[CHANGED ON]]</f>
        <v>7.7429282407392748</v>
      </c>
      <c r="M1227">
        <f ca="1">qry_ProdData2_PDI_Cash_Exception_Application[[#This Row],[TODAY]]-qry_ProdData2_PDI_Cash_Exception_Application[[#This Row],[CHANGED ON]]</f>
        <v>7.7429282407392748</v>
      </c>
      <c r="N1227">
        <f ca="1">qry_ProdData2_PDI_Cash_Exception_Application[[#This Row],[TODAY]]-qry_ProdData2_PDI_Cash_Exception_Application[[#This Row],[CHANGED ON]]</f>
        <v>7.7429282407392748</v>
      </c>
    </row>
    <row r="1228" spans="1:14" x14ac:dyDescent="0.35">
      <c r="A1228">
        <v>1019</v>
      </c>
      <c r="B1228" t="s">
        <v>73</v>
      </c>
      <c r="C1228" s="1">
        <v>45180.257071759261</v>
      </c>
      <c r="D1228" t="str">
        <f ca="1">VLOOKUP(qry_ProdData2_PDI_Cash_Exception_Application[[#This Row],[TYPE]],#REF!,2,FALSE)</f>
        <v>type40</v>
      </c>
      <c r="E1228">
        <v>10.71</v>
      </c>
      <c r="F1228" t="s">
        <v>51</v>
      </c>
      <c r="G1228" s="1">
        <f>qry_ProdData2_PDI_Cash_Exception_Application[[#This Row],[INSERT DATE]]+2</f>
        <v>45182.257071759261</v>
      </c>
      <c r="H1228" t="str">
        <f>VLOOKUP(qry_ProdData2_PDI_Cash_Exception_Application[[#This Row],[MARKET No]],'Site Allocation'!$B$2:$C$37,2,FALSE)</f>
        <v>Analyst4</v>
      </c>
      <c r="I1228" s="4">
        <f t="shared" ca="1" si="19"/>
        <v>45203</v>
      </c>
      <c r="J1228" s="42">
        <f ca="1">TODAY()-qry_ProdData2_PDI_Cash_Exception_Application[[#This Row],[INSERT DATE]]</f>
        <v>22.742928240739275</v>
      </c>
      <c r="K12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28">
        <f ca="1">qry_ProdData2_PDI_Cash_Exception_Application[[#This Row],[TODAY]]-qry_ProdData2_PDI_Cash_Exception_Application[[#This Row],[CHANGED ON]]</f>
        <v>20.742928240739275</v>
      </c>
      <c r="M1228">
        <f ca="1">qry_ProdData2_PDI_Cash_Exception_Application[[#This Row],[TODAY]]-qry_ProdData2_PDI_Cash_Exception_Application[[#This Row],[CHANGED ON]]</f>
        <v>20.742928240739275</v>
      </c>
      <c r="N1228">
        <f ca="1">qry_ProdData2_PDI_Cash_Exception_Application[[#This Row],[TODAY]]-qry_ProdData2_PDI_Cash_Exception_Application[[#This Row],[CHANGED ON]]</f>
        <v>20.742928240739275</v>
      </c>
    </row>
    <row r="1229" spans="1:14" x14ac:dyDescent="0.35">
      <c r="A1229">
        <v>1022</v>
      </c>
      <c r="B1229" t="s">
        <v>76</v>
      </c>
      <c r="C1229" s="1">
        <v>45190.257071759261</v>
      </c>
      <c r="D1229" t="str">
        <f ca="1">VLOOKUP(qry_ProdData2_PDI_Cash_Exception_Application[[#This Row],[TYPE]],#REF!,2,FALSE)</f>
        <v>type13</v>
      </c>
      <c r="E1229">
        <v>16200.5</v>
      </c>
      <c r="F1229" t="s">
        <v>50</v>
      </c>
      <c r="G1229" s="1">
        <f>qry_ProdData2_PDI_Cash_Exception_Application[[#This Row],[INSERT DATE]]+1</f>
        <v>45191.257071759261</v>
      </c>
      <c r="H1229" t="str">
        <f>VLOOKUP(qry_ProdData2_PDI_Cash_Exception_Application[[#This Row],[MARKET No]],'Site Allocation'!$B$2:$C$37,2,FALSE)</f>
        <v>Analyst4</v>
      </c>
      <c r="I1229" s="4">
        <f t="shared" ca="1" si="19"/>
        <v>45203</v>
      </c>
      <c r="J1229" s="42">
        <f ca="1">TODAY()-qry_ProdData2_PDI_Cash_Exception_Application[[#This Row],[INSERT DATE]]</f>
        <v>12.742928240739275</v>
      </c>
      <c r="K12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29">
        <f ca="1">qry_ProdData2_PDI_Cash_Exception_Application[[#This Row],[TODAY]]-qry_ProdData2_PDI_Cash_Exception_Application[[#This Row],[CHANGED ON]]</f>
        <v>11.742928240739275</v>
      </c>
      <c r="M1229">
        <f ca="1">qry_ProdData2_PDI_Cash_Exception_Application[[#This Row],[TODAY]]-qry_ProdData2_PDI_Cash_Exception_Application[[#This Row],[CHANGED ON]]</f>
        <v>11.742928240739275</v>
      </c>
      <c r="N1229">
        <f ca="1">qry_ProdData2_PDI_Cash_Exception_Application[[#This Row],[TODAY]]-qry_ProdData2_PDI_Cash_Exception_Application[[#This Row],[CHANGED ON]]</f>
        <v>11.742928240739275</v>
      </c>
    </row>
    <row r="1230" spans="1:14" x14ac:dyDescent="0.35">
      <c r="A1230">
        <v>1018</v>
      </c>
      <c r="B1230" t="s">
        <v>72</v>
      </c>
      <c r="C1230" s="1">
        <v>45191.257071759261</v>
      </c>
      <c r="D1230" t="str">
        <f ca="1">VLOOKUP(qry_ProdData2_PDI_Cash_Exception_Application[[#This Row],[TYPE]],#REF!,2,FALSE)</f>
        <v>type13</v>
      </c>
      <c r="E1230">
        <v>20258.349999999999</v>
      </c>
      <c r="F1230" t="s">
        <v>49</v>
      </c>
      <c r="G1230" s="1">
        <f>qry_ProdData2_PDI_Cash_Exception_Application[[#This Row],[INSERT DATE]]+7</f>
        <v>45198.257071759261</v>
      </c>
      <c r="H1230" t="str">
        <f>VLOOKUP(qry_ProdData2_PDI_Cash_Exception_Application[[#This Row],[MARKET No]],'Site Allocation'!$B$2:$C$37,2,FALSE)</f>
        <v>Analyst4</v>
      </c>
      <c r="I1230" s="4">
        <f t="shared" ca="1" si="19"/>
        <v>45203</v>
      </c>
      <c r="J1230" s="42">
        <f ca="1">TODAY()-qry_ProdData2_PDI_Cash_Exception_Application[[#This Row],[INSERT DATE]]</f>
        <v>11.742928240739275</v>
      </c>
      <c r="K12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30">
        <f ca="1">qry_ProdData2_PDI_Cash_Exception_Application[[#This Row],[TODAY]]-qry_ProdData2_PDI_Cash_Exception_Application[[#This Row],[CHANGED ON]]</f>
        <v>4.7429282407392748</v>
      </c>
      <c r="M1230">
        <f ca="1">qry_ProdData2_PDI_Cash_Exception_Application[[#This Row],[TODAY]]-qry_ProdData2_PDI_Cash_Exception_Application[[#This Row],[CHANGED ON]]</f>
        <v>4.7429282407392748</v>
      </c>
      <c r="N1230">
        <f ca="1">qry_ProdData2_PDI_Cash_Exception_Application[[#This Row],[TODAY]]-qry_ProdData2_PDI_Cash_Exception_Application[[#This Row],[CHANGED ON]]</f>
        <v>4.7429282407392748</v>
      </c>
    </row>
    <row r="1231" spans="1:14" x14ac:dyDescent="0.35">
      <c r="A1231">
        <v>1034</v>
      </c>
      <c r="B1231" t="s">
        <v>88</v>
      </c>
      <c r="C1231" s="1">
        <v>45179.257071759261</v>
      </c>
      <c r="D1231" t="str">
        <f ca="1">VLOOKUP(qry_ProdData2_PDI_Cash_Exception_Application[[#This Row],[TYPE]],#REF!,2,FALSE)</f>
        <v>type40</v>
      </c>
      <c r="E1231">
        <v>322.31</v>
      </c>
      <c r="F1231" t="s">
        <v>49</v>
      </c>
      <c r="G1231" s="1">
        <f>qry_ProdData2_PDI_Cash_Exception_Application[[#This Row],[INSERT DATE]]+1</f>
        <v>45180.257071759261</v>
      </c>
      <c r="H1231" t="str">
        <f>VLOOKUP(qry_ProdData2_PDI_Cash_Exception_Application[[#This Row],[MARKET No]],'Site Allocation'!$B$2:$C$37,2,FALSE)</f>
        <v>Analyst6</v>
      </c>
      <c r="I1231" s="4">
        <f t="shared" ca="1" si="19"/>
        <v>45203</v>
      </c>
      <c r="J1231" s="42">
        <f ca="1">TODAY()-qry_ProdData2_PDI_Cash_Exception_Application[[#This Row],[INSERT DATE]]</f>
        <v>23.742928240739275</v>
      </c>
      <c r="K12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31">
        <f ca="1">qry_ProdData2_PDI_Cash_Exception_Application[[#This Row],[TODAY]]-qry_ProdData2_PDI_Cash_Exception_Application[[#This Row],[CHANGED ON]]</f>
        <v>22.742928240739275</v>
      </c>
      <c r="M1231">
        <f ca="1">qry_ProdData2_PDI_Cash_Exception_Application[[#This Row],[TODAY]]-qry_ProdData2_PDI_Cash_Exception_Application[[#This Row],[CHANGED ON]]</f>
        <v>22.742928240739275</v>
      </c>
      <c r="N1231">
        <f ca="1">qry_ProdData2_PDI_Cash_Exception_Application[[#This Row],[TODAY]]-qry_ProdData2_PDI_Cash_Exception_Application[[#This Row],[CHANGED ON]]</f>
        <v>22.742928240739275</v>
      </c>
    </row>
    <row r="1232" spans="1:14" x14ac:dyDescent="0.35">
      <c r="A1232">
        <v>1005</v>
      </c>
      <c r="B1232" t="s">
        <v>59</v>
      </c>
      <c r="C1232" s="1">
        <v>45193.257071759261</v>
      </c>
      <c r="D1232" t="str">
        <f ca="1">VLOOKUP(qry_ProdData2_PDI_Cash_Exception_Application[[#This Row],[TYPE]],#REF!,2,FALSE)</f>
        <v>type40</v>
      </c>
      <c r="E1232">
        <v>5038.7700000000004</v>
      </c>
      <c r="F1232" t="s">
        <v>50</v>
      </c>
      <c r="G1232" s="1">
        <f>qry_ProdData2_PDI_Cash_Exception_Application[[#This Row],[INSERT DATE]]+1</f>
        <v>45194.257071759261</v>
      </c>
      <c r="H1232" t="str">
        <f>VLOOKUP(qry_ProdData2_PDI_Cash_Exception_Application[[#This Row],[MARKET No]],'Site Allocation'!$B$2:$C$37,2,FALSE)</f>
        <v>Analyst1</v>
      </c>
      <c r="I1232" s="4">
        <f t="shared" ca="1" si="19"/>
        <v>45203</v>
      </c>
      <c r="J1232" s="42">
        <f ca="1">TODAY()-qry_ProdData2_PDI_Cash_Exception_Application[[#This Row],[INSERT DATE]]</f>
        <v>9.7429282407392748</v>
      </c>
      <c r="K12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32">
        <f ca="1">qry_ProdData2_PDI_Cash_Exception_Application[[#This Row],[TODAY]]-qry_ProdData2_PDI_Cash_Exception_Application[[#This Row],[CHANGED ON]]</f>
        <v>8.7429282407392748</v>
      </c>
      <c r="M1232">
        <f ca="1">qry_ProdData2_PDI_Cash_Exception_Application[[#This Row],[TODAY]]-qry_ProdData2_PDI_Cash_Exception_Application[[#This Row],[CHANGED ON]]</f>
        <v>8.7429282407392748</v>
      </c>
      <c r="N1232">
        <f ca="1">qry_ProdData2_PDI_Cash_Exception_Application[[#This Row],[TODAY]]-qry_ProdData2_PDI_Cash_Exception_Application[[#This Row],[CHANGED ON]]</f>
        <v>8.7429282407392748</v>
      </c>
    </row>
    <row r="1233" spans="1:14" x14ac:dyDescent="0.35">
      <c r="A1233">
        <v>1005</v>
      </c>
      <c r="B1233" t="s">
        <v>59</v>
      </c>
      <c r="C1233" s="1">
        <v>45182.257071759261</v>
      </c>
      <c r="D1233" t="str">
        <f ca="1">VLOOKUP(qry_ProdData2_PDI_Cash_Exception_Application[[#This Row],[TYPE]],#REF!,2,FALSE)</f>
        <v>type40</v>
      </c>
      <c r="E1233">
        <v>407.07</v>
      </c>
      <c r="F1233" t="s">
        <v>47</v>
      </c>
      <c r="G1233" s="1">
        <f>qry_ProdData2_PDI_Cash_Exception_Application[[#This Row],[INSERT DATE]]+2</f>
        <v>45184.257071759261</v>
      </c>
      <c r="H1233" t="str">
        <f>VLOOKUP(qry_ProdData2_PDI_Cash_Exception_Application[[#This Row],[MARKET No]],'Site Allocation'!$B$2:$C$37,2,FALSE)</f>
        <v>Analyst1</v>
      </c>
      <c r="I1233" s="4">
        <f t="shared" ca="1" si="19"/>
        <v>45203</v>
      </c>
      <c r="J1233" s="42">
        <f ca="1">TODAY()-qry_ProdData2_PDI_Cash_Exception_Application[[#This Row],[INSERT DATE]]</f>
        <v>20.742928240739275</v>
      </c>
      <c r="K12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33">
        <f ca="1">qry_ProdData2_PDI_Cash_Exception_Application[[#This Row],[TODAY]]-qry_ProdData2_PDI_Cash_Exception_Application[[#This Row],[CHANGED ON]]</f>
        <v>18.742928240739275</v>
      </c>
      <c r="M1233">
        <f ca="1">qry_ProdData2_PDI_Cash_Exception_Application[[#This Row],[TODAY]]-qry_ProdData2_PDI_Cash_Exception_Application[[#This Row],[CHANGED ON]]</f>
        <v>18.742928240739275</v>
      </c>
      <c r="N1233">
        <f ca="1">qry_ProdData2_PDI_Cash_Exception_Application[[#This Row],[TODAY]]-qry_ProdData2_PDI_Cash_Exception_Application[[#This Row],[CHANGED ON]]</f>
        <v>18.742928240739275</v>
      </c>
    </row>
    <row r="1234" spans="1:14" x14ac:dyDescent="0.35">
      <c r="A1234">
        <v>1023</v>
      </c>
      <c r="B1234" t="s">
        <v>77</v>
      </c>
      <c r="C1234" s="1">
        <v>45187.257071759261</v>
      </c>
      <c r="D1234" t="str">
        <f ca="1">VLOOKUP(qry_ProdData2_PDI_Cash_Exception_Application[[#This Row],[TYPE]],#REF!,2,FALSE)</f>
        <v>type52</v>
      </c>
      <c r="E1234">
        <v>59.5</v>
      </c>
      <c r="F1234" t="s">
        <v>48</v>
      </c>
      <c r="G1234" s="1">
        <f>qry_ProdData2_PDI_Cash_Exception_Application[[#This Row],[INSERT DATE]]+7</f>
        <v>45194.257071759261</v>
      </c>
      <c r="H1234" t="str">
        <f>VLOOKUP(qry_ProdData2_PDI_Cash_Exception_Application[[#This Row],[MARKET No]],'Site Allocation'!$B$2:$C$37,2,FALSE)</f>
        <v>Analyst4</v>
      </c>
      <c r="I1234" s="4">
        <f t="shared" ca="1" si="19"/>
        <v>45203</v>
      </c>
      <c r="J1234" s="42">
        <f ca="1">TODAY()-qry_ProdData2_PDI_Cash_Exception_Application[[#This Row],[INSERT DATE]]</f>
        <v>15.742928240739275</v>
      </c>
      <c r="K12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34">
        <f ca="1">qry_ProdData2_PDI_Cash_Exception_Application[[#This Row],[TODAY]]-qry_ProdData2_PDI_Cash_Exception_Application[[#This Row],[CHANGED ON]]</f>
        <v>8.7429282407392748</v>
      </c>
      <c r="M1234">
        <f ca="1">qry_ProdData2_PDI_Cash_Exception_Application[[#This Row],[TODAY]]-qry_ProdData2_PDI_Cash_Exception_Application[[#This Row],[CHANGED ON]]</f>
        <v>8.7429282407392748</v>
      </c>
      <c r="N1234">
        <f ca="1">qry_ProdData2_PDI_Cash_Exception_Application[[#This Row],[TODAY]]-qry_ProdData2_PDI_Cash_Exception_Application[[#This Row],[CHANGED ON]]</f>
        <v>8.7429282407392748</v>
      </c>
    </row>
    <row r="1235" spans="1:14" x14ac:dyDescent="0.35">
      <c r="A1235">
        <v>1003</v>
      </c>
      <c r="B1235" t="s">
        <v>57</v>
      </c>
      <c r="C1235" s="1">
        <v>45180.257071759261</v>
      </c>
      <c r="D1235" t="str">
        <f ca="1">VLOOKUP(qry_ProdData2_PDI_Cash_Exception_Application[[#This Row],[TYPE]],#REF!,2,FALSE)</f>
        <v>type40</v>
      </c>
      <c r="E1235">
        <v>50.56</v>
      </c>
      <c r="F1235" t="s">
        <v>49</v>
      </c>
      <c r="G1235" s="1">
        <f>qry_ProdData2_PDI_Cash_Exception_Application[[#This Row],[INSERT DATE]]+1</f>
        <v>45181.257071759261</v>
      </c>
      <c r="H1235" t="str">
        <f>VLOOKUP(qry_ProdData2_PDI_Cash_Exception_Application[[#This Row],[MARKET No]],'Site Allocation'!$B$2:$C$37,2,FALSE)</f>
        <v>Analyst1</v>
      </c>
      <c r="I1235" s="4">
        <f t="shared" ca="1" si="19"/>
        <v>45203</v>
      </c>
      <c r="J1235" s="42">
        <f ca="1">TODAY()-qry_ProdData2_PDI_Cash_Exception_Application[[#This Row],[INSERT DATE]]</f>
        <v>22.742928240739275</v>
      </c>
      <c r="K12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35">
        <f ca="1">qry_ProdData2_PDI_Cash_Exception_Application[[#This Row],[TODAY]]-qry_ProdData2_PDI_Cash_Exception_Application[[#This Row],[CHANGED ON]]</f>
        <v>21.742928240739275</v>
      </c>
      <c r="M1235">
        <f ca="1">qry_ProdData2_PDI_Cash_Exception_Application[[#This Row],[TODAY]]-qry_ProdData2_PDI_Cash_Exception_Application[[#This Row],[CHANGED ON]]</f>
        <v>21.742928240739275</v>
      </c>
      <c r="N1235">
        <f ca="1">qry_ProdData2_PDI_Cash_Exception_Application[[#This Row],[TODAY]]-qry_ProdData2_PDI_Cash_Exception_Application[[#This Row],[CHANGED ON]]</f>
        <v>21.742928240739275</v>
      </c>
    </row>
    <row r="1236" spans="1:14" x14ac:dyDescent="0.35">
      <c r="A1236">
        <v>1020</v>
      </c>
      <c r="B1236" t="s">
        <v>74</v>
      </c>
      <c r="C1236" s="1">
        <v>45183.257071759261</v>
      </c>
      <c r="D1236" t="str">
        <f ca="1">VLOOKUP(qry_ProdData2_PDI_Cash_Exception_Application[[#This Row],[TYPE]],#REF!,2,FALSE)</f>
        <v>type42</v>
      </c>
      <c r="E1236">
        <v>203.67</v>
      </c>
      <c r="F1236" t="s">
        <v>47</v>
      </c>
      <c r="G1236" s="1">
        <f>qry_ProdData2_PDI_Cash_Exception_Application[[#This Row],[INSERT DATE]]+2</f>
        <v>45185.257071759261</v>
      </c>
      <c r="H1236" t="str">
        <f>VLOOKUP(qry_ProdData2_PDI_Cash_Exception_Application[[#This Row],[MARKET No]],'Site Allocation'!$B$2:$C$37,2,FALSE)</f>
        <v>Analyst4</v>
      </c>
      <c r="I1236" s="4">
        <f t="shared" ca="1" si="19"/>
        <v>45203</v>
      </c>
      <c r="J1236" s="42">
        <f ca="1">TODAY()-qry_ProdData2_PDI_Cash_Exception_Application[[#This Row],[INSERT DATE]]</f>
        <v>19.742928240739275</v>
      </c>
      <c r="K12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36">
        <f ca="1">qry_ProdData2_PDI_Cash_Exception_Application[[#This Row],[TODAY]]-qry_ProdData2_PDI_Cash_Exception_Application[[#This Row],[CHANGED ON]]</f>
        <v>17.742928240739275</v>
      </c>
      <c r="M1236">
        <f ca="1">qry_ProdData2_PDI_Cash_Exception_Application[[#This Row],[TODAY]]-qry_ProdData2_PDI_Cash_Exception_Application[[#This Row],[CHANGED ON]]</f>
        <v>17.742928240739275</v>
      </c>
      <c r="N1236">
        <f ca="1">qry_ProdData2_PDI_Cash_Exception_Application[[#This Row],[TODAY]]-qry_ProdData2_PDI_Cash_Exception_Application[[#This Row],[CHANGED ON]]</f>
        <v>17.742928240739275</v>
      </c>
    </row>
    <row r="1237" spans="1:14" x14ac:dyDescent="0.35">
      <c r="A1237">
        <v>1031</v>
      </c>
      <c r="B1237" t="s">
        <v>85</v>
      </c>
      <c r="C1237" s="1">
        <v>45185.257071759261</v>
      </c>
      <c r="D1237" t="str">
        <f ca="1">VLOOKUP(qry_ProdData2_PDI_Cash_Exception_Application[[#This Row],[TYPE]],#REF!,2,FALSE)</f>
        <v>type40</v>
      </c>
      <c r="E1237">
        <v>944.26</v>
      </c>
      <c r="F1237" t="s">
        <v>50</v>
      </c>
      <c r="G1237" s="1">
        <f>qry_ProdData2_PDI_Cash_Exception_Application[[#This Row],[INSERT DATE]]+2</f>
        <v>45187.257071759261</v>
      </c>
      <c r="H1237" t="str">
        <f>VLOOKUP(qry_ProdData2_PDI_Cash_Exception_Application[[#This Row],[MARKET No]],'Site Allocation'!$B$2:$C$37,2,FALSE)</f>
        <v>Analyst6</v>
      </c>
      <c r="I1237" s="4">
        <f t="shared" ca="1" si="19"/>
        <v>45203</v>
      </c>
      <c r="J1237" s="42">
        <f ca="1">TODAY()-qry_ProdData2_PDI_Cash_Exception_Application[[#This Row],[INSERT DATE]]</f>
        <v>17.742928240739275</v>
      </c>
      <c r="K12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37">
        <f ca="1">qry_ProdData2_PDI_Cash_Exception_Application[[#This Row],[TODAY]]-qry_ProdData2_PDI_Cash_Exception_Application[[#This Row],[CHANGED ON]]</f>
        <v>15.742928240739275</v>
      </c>
      <c r="M1237">
        <f ca="1">qry_ProdData2_PDI_Cash_Exception_Application[[#This Row],[TODAY]]-qry_ProdData2_PDI_Cash_Exception_Application[[#This Row],[CHANGED ON]]</f>
        <v>15.742928240739275</v>
      </c>
      <c r="N1237">
        <f ca="1">qry_ProdData2_PDI_Cash_Exception_Application[[#This Row],[TODAY]]-qry_ProdData2_PDI_Cash_Exception_Application[[#This Row],[CHANGED ON]]</f>
        <v>15.742928240739275</v>
      </c>
    </row>
    <row r="1238" spans="1:14" x14ac:dyDescent="0.35">
      <c r="A1238">
        <v>1013</v>
      </c>
      <c r="B1238" t="s">
        <v>67</v>
      </c>
      <c r="C1238" s="1">
        <v>45189.257071759261</v>
      </c>
      <c r="D1238" t="str">
        <f ca="1">VLOOKUP(qry_ProdData2_PDI_Cash_Exception_Application[[#This Row],[TYPE]],#REF!,2,FALSE)</f>
        <v>type15</v>
      </c>
      <c r="E1238">
        <v>1053.55</v>
      </c>
      <c r="F1238" t="s">
        <v>47</v>
      </c>
      <c r="G1238" s="1">
        <f>qry_ProdData2_PDI_Cash_Exception_Application[[#This Row],[INSERT DATE]]+5</f>
        <v>45194.257071759261</v>
      </c>
      <c r="H1238" t="str">
        <f>VLOOKUP(qry_ProdData2_PDI_Cash_Exception_Application[[#This Row],[MARKET No]],'Site Allocation'!$B$2:$C$37,2,FALSE)</f>
        <v>Analyst3</v>
      </c>
      <c r="I1238" s="4">
        <f t="shared" ca="1" si="19"/>
        <v>45203</v>
      </c>
      <c r="J1238" s="42">
        <f ca="1">TODAY()-qry_ProdData2_PDI_Cash_Exception_Application[[#This Row],[INSERT DATE]]</f>
        <v>13.742928240739275</v>
      </c>
      <c r="K12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38">
        <f ca="1">qry_ProdData2_PDI_Cash_Exception_Application[[#This Row],[TODAY]]-qry_ProdData2_PDI_Cash_Exception_Application[[#This Row],[CHANGED ON]]</f>
        <v>8.7429282407392748</v>
      </c>
      <c r="M1238">
        <f ca="1">qry_ProdData2_PDI_Cash_Exception_Application[[#This Row],[TODAY]]-qry_ProdData2_PDI_Cash_Exception_Application[[#This Row],[CHANGED ON]]</f>
        <v>8.7429282407392748</v>
      </c>
      <c r="N1238">
        <f ca="1">qry_ProdData2_PDI_Cash_Exception_Application[[#This Row],[TODAY]]-qry_ProdData2_PDI_Cash_Exception_Application[[#This Row],[CHANGED ON]]</f>
        <v>8.7429282407392748</v>
      </c>
    </row>
    <row r="1239" spans="1:14" x14ac:dyDescent="0.35">
      <c r="A1239">
        <v>1033</v>
      </c>
      <c r="B1239" t="s">
        <v>87</v>
      </c>
      <c r="C1239" s="1">
        <v>45182.257071759261</v>
      </c>
      <c r="D1239" t="str">
        <f ca="1">VLOOKUP(qry_ProdData2_PDI_Cash_Exception_Application[[#This Row],[TYPE]],#REF!,2,FALSE)</f>
        <v>type13</v>
      </c>
      <c r="E1239">
        <v>22115.7</v>
      </c>
      <c r="F1239" t="s">
        <v>49</v>
      </c>
      <c r="G1239" s="1">
        <f>qry_ProdData2_PDI_Cash_Exception_Application[[#This Row],[INSERT DATE]]+1</f>
        <v>45183.257071759261</v>
      </c>
      <c r="H1239" t="str">
        <f>VLOOKUP(qry_ProdData2_PDI_Cash_Exception_Application[[#This Row],[MARKET No]],'Site Allocation'!$B$2:$C$37,2,FALSE)</f>
        <v>Analyst6</v>
      </c>
      <c r="I1239" s="4">
        <f t="shared" ca="1" si="19"/>
        <v>45203</v>
      </c>
      <c r="J1239" s="42">
        <f ca="1">TODAY()-qry_ProdData2_PDI_Cash_Exception_Application[[#This Row],[INSERT DATE]]</f>
        <v>20.742928240739275</v>
      </c>
      <c r="K12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39">
        <f ca="1">qry_ProdData2_PDI_Cash_Exception_Application[[#This Row],[TODAY]]-qry_ProdData2_PDI_Cash_Exception_Application[[#This Row],[CHANGED ON]]</f>
        <v>19.742928240739275</v>
      </c>
      <c r="M1239">
        <f ca="1">qry_ProdData2_PDI_Cash_Exception_Application[[#This Row],[TODAY]]-qry_ProdData2_PDI_Cash_Exception_Application[[#This Row],[CHANGED ON]]</f>
        <v>19.742928240739275</v>
      </c>
      <c r="N1239">
        <f ca="1">qry_ProdData2_PDI_Cash_Exception_Application[[#This Row],[TODAY]]-qry_ProdData2_PDI_Cash_Exception_Application[[#This Row],[CHANGED ON]]</f>
        <v>19.742928240739275</v>
      </c>
    </row>
    <row r="1240" spans="1:14" x14ac:dyDescent="0.35">
      <c r="A1240">
        <v>1014</v>
      </c>
      <c r="B1240" t="s">
        <v>68</v>
      </c>
      <c r="C1240" s="1">
        <v>45188.257071759261</v>
      </c>
      <c r="D1240" t="str">
        <f ca="1">VLOOKUP(qry_ProdData2_PDI_Cash_Exception_Application[[#This Row],[TYPE]],#REF!,2,FALSE)</f>
        <v>type13</v>
      </c>
      <c r="E1240">
        <v>26225.19</v>
      </c>
      <c r="F1240" t="s">
        <v>49</v>
      </c>
      <c r="G1240" s="1">
        <f>qry_ProdData2_PDI_Cash_Exception_Application[[#This Row],[INSERT DATE]]+1</f>
        <v>45189.257071759261</v>
      </c>
      <c r="H1240" t="str">
        <f>VLOOKUP(qry_ProdData2_PDI_Cash_Exception_Application[[#This Row],[MARKET No]],'Site Allocation'!$B$2:$C$37,2,FALSE)</f>
        <v>Analyst3</v>
      </c>
      <c r="I1240" s="4">
        <f t="shared" ca="1" si="19"/>
        <v>45203</v>
      </c>
      <c r="J1240" s="42">
        <f ca="1">TODAY()-qry_ProdData2_PDI_Cash_Exception_Application[[#This Row],[INSERT DATE]]</f>
        <v>14.742928240739275</v>
      </c>
      <c r="K12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40">
        <f ca="1">qry_ProdData2_PDI_Cash_Exception_Application[[#This Row],[TODAY]]-qry_ProdData2_PDI_Cash_Exception_Application[[#This Row],[CHANGED ON]]</f>
        <v>13.742928240739275</v>
      </c>
      <c r="M1240">
        <f ca="1">qry_ProdData2_PDI_Cash_Exception_Application[[#This Row],[TODAY]]-qry_ProdData2_PDI_Cash_Exception_Application[[#This Row],[CHANGED ON]]</f>
        <v>13.742928240739275</v>
      </c>
      <c r="N1240">
        <f ca="1">qry_ProdData2_PDI_Cash_Exception_Application[[#This Row],[TODAY]]-qry_ProdData2_PDI_Cash_Exception_Application[[#This Row],[CHANGED ON]]</f>
        <v>13.742928240739275</v>
      </c>
    </row>
    <row r="1241" spans="1:14" x14ac:dyDescent="0.35">
      <c r="A1241">
        <v>1031</v>
      </c>
      <c r="B1241" t="s">
        <v>85</v>
      </c>
      <c r="C1241" s="1">
        <v>45181.257071759261</v>
      </c>
      <c r="D1241" t="str">
        <f ca="1">VLOOKUP(qry_ProdData2_PDI_Cash_Exception_Application[[#This Row],[TYPE]],#REF!,2,FALSE)</f>
        <v>type42</v>
      </c>
      <c r="E1241">
        <v>230</v>
      </c>
      <c r="F1241" t="s">
        <v>51</v>
      </c>
      <c r="G1241" s="1">
        <f>qry_ProdData2_PDI_Cash_Exception_Application[[#This Row],[INSERT DATE]]+2</f>
        <v>45183.257071759261</v>
      </c>
      <c r="H1241" t="str">
        <f>VLOOKUP(qry_ProdData2_PDI_Cash_Exception_Application[[#This Row],[MARKET No]],'Site Allocation'!$B$2:$C$37,2,FALSE)</f>
        <v>Analyst6</v>
      </c>
      <c r="I1241" s="4">
        <f t="shared" ca="1" si="19"/>
        <v>45203</v>
      </c>
      <c r="J1241" s="42">
        <f ca="1">TODAY()-qry_ProdData2_PDI_Cash_Exception_Application[[#This Row],[INSERT DATE]]</f>
        <v>21.742928240739275</v>
      </c>
      <c r="K12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41">
        <f ca="1">qry_ProdData2_PDI_Cash_Exception_Application[[#This Row],[TODAY]]-qry_ProdData2_PDI_Cash_Exception_Application[[#This Row],[CHANGED ON]]</f>
        <v>19.742928240739275</v>
      </c>
      <c r="M1241">
        <f ca="1">qry_ProdData2_PDI_Cash_Exception_Application[[#This Row],[TODAY]]-qry_ProdData2_PDI_Cash_Exception_Application[[#This Row],[CHANGED ON]]</f>
        <v>19.742928240739275</v>
      </c>
      <c r="N1241">
        <f ca="1">qry_ProdData2_PDI_Cash_Exception_Application[[#This Row],[TODAY]]-qry_ProdData2_PDI_Cash_Exception_Application[[#This Row],[CHANGED ON]]</f>
        <v>19.742928240739275</v>
      </c>
    </row>
    <row r="1242" spans="1:14" x14ac:dyDescent="0.35">
      <c r="A1242">
        <v>1029</v>
      </c>
      <c r="B1242" t="s">
        <v>83</v>
      </c>
      <c r="C1242" s="1">
        <v>45189.257071759261</v>
      </c>
      <c r="D1242" t="str">
        <f ca="1">VLOOKUP(qry_ProdData2_PDI_Cash_Exception_Application[[#This Row],[TYPE]],#REF!,2,FALSE)</f>
        <v>type40</v>
      </c>
      <c r="E1242">
        <v>1</v>
      </c>
      <c r="F1242" t="s">
        <v>51</v>
      </c>
      <c r="G1242" s="1">
        <f>qry_ProdData2_PDI_Cash_Exception_Application[[#This Row],[INSERT DATE]]+7</f>
        <v>45196.257071759261</v>
      </c>
      <c r="H1242" t="str">
        <f>VLOOKUP(qry_ProdData2_PDI_Cash_Exception_Application[[#This Row],[MARKET No]],'Site Allocation'!$B$2:$C$37,2,FALSE)</f>
        <v>Analyst5</v>
      </c>
      <c r="I1242" s="4">
        <f t="shared" ca="1" si="19"/>
        <v>45203</v>
      </c>
      <c r="J1242" s="42">
        <f ca="1">TODAY()-qry_ProdData2_PDI_Cash_Exception_Application[[#This Row],[INSERT DATE]]</f>
        <v>13.742928240739275</v>
      </c>
      <c r="K12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42">
        <f ca="1">qry_ProdData2_PDI_Cash_Exception_Application[[#This Row],[TODAY]]-qry_ProdData2_PDI_Cash_Exception_Application[[#This Row],[CHANGED ON]]</f>
        <v>6.7429282407392748</v>
      </c>
      <c r="M1242">
        <f ca="1">qry_ProdData2_PDI_Cash_Exception_Application[[#This Row],[TODAY]]-qry_ProdData2_PDI_Cash_Exception_Application[[#This Row],[CHANGED ON]]</f>
        <v>6.7429282407392748</v>
      </c>
      <c r="N1242">
        <f ca="1">qry_ProdData2_PDI_Cash_Exception_Application[[#This Row],[TODAY]]-qry_ProdData2_PDI_Cash_Exception_Application[[#This Row],[CHANGED ON]]</f>
        <v>6.7429282407392748</v>
      </c>
    </row>
    <row r="1243" spans="1:14" x14ac:dyDescent="0.35">
      <c r="A1243">
        <v>1020</v>
      </c>
      <c r="B1243" t="s">
        <v>74</v>
      </c>
      <c r="C1243" s="1">
        <v>45187.257071759261</v>
      </c>
      <c r="D1243" t="str">
        <f ca="1">VLOOKUP(qry_ProdData2_PDI_Cash_Exception_Application[[#This Row],[TYPE]],#REF!,2,FALSE)</f>
        <v>type13</v>
      </c>
      <c r="E1243">
        <v>19541.38</v>
      </c>
      <c r="F1243" t="s">
        <v>47</v>
      </c>
      <c r="G1243" s="1">
        <f>qry_ProdData2_PDI_Cash_Exception_Application[[#This Row],[INSERT DATE]]+1</f>
        <v>45188.257071759261</v>
      </c>
      <c r="H1243" t="str">
        <f>VLOOKUP(qry_ProdData2_PDI_Cash_Exception_Application[[#This Row],[MARKET No]],'Site Allocation'!$B$2:$C$37,2,FALSE)</f>
        <v>Analyst4</v>
      </c>
      <c r="I1243" s="4">
        <f t="shared" ca="1" si="19"/>
        <v>45203</v>
      </c>
      <c r="J1243" s="42">
        <f ca="1">TODAY()-qry_ProdData2_PDI_Cash_Exception_Application[[#This Row],[INSERT DATE]]</f>
        <v>15.742928240739275</v>
      </c>
      <c r="K12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43">
        <f ca="1">qry_ProdData2_PDI_Cash_Exception_Application[[#This Row],[TODAY]]-qry_ProdData2_PDI_Cash_Exception_Application[[#This Row],[CHANGED ON]]</f>
        <v>14.742928240739275</v>
      </c>
      <c r="M1243">
        <f ca="1">qry_ProdData2_PDI_Cash_Exception_Application[[#This Row],[TODAY]]-qry_ProdData2_PDI_Cash_Exception_Application[[#This Row],[CHANGED ON]]</f>
        <v>14.742928240739275</v>
      </c>
      <c r="N1243">
        <f ca="1">qry_ProdData2_PDI_Cash_Exception_Application[[#This Row],[TODAY]]-qry_ProdData2_PDI_Cash_Exception_Application[[#This Row],[CHANGED ON]]</f>
        <v>14.742928240739275</v>
      </c>
    </row>
    <row r="1244" spans="1:14" x14ac:dyDescent="0.35">
      <c r="A1244">
        <v>1016</v>
      </c>
      <c r="B1244" t="s">
        <v>70</v>
      </c>
      <c r="C1244" s="1">
        <v>45192.257071759261</v>
      </c>
      <c r="D1244" t="str">
        <f ca="1">VLOOKUP(qry_ProdData2_PDI_Cash_Exception_Application[[#This Row],[TYPE]],#REF!,2,FALSE)</f>
        <v>type13</v>
      </c>
      <c r="E1244">
        <v>25576.78</v>
      </c>
      <c r="F1244" t="s">
        <v>51</v>
      </c>
      <c r="G1244" s="1">
        <f>qry_ProdData2_PDI_Cash_Exception_Application[[#This Row],[INSERT DATE]]+7</f>
        <v>45199.257071759261</v>
      </c>
      <c r="H1244" t="str">
        <f>VLOOKUP(qry_ProdData2_PDI_Cash_Exception_Application[[#This Row],[MARKET No]],'Site Allocation'!$B$2:$C$37,2,FALSE)</f>
        <v>Analyst3</v>
      </c>
      <c r="I1244" s="4">
        <f t="shared" ca="1" si="19"/>
        <v>45203</v>
      </c>
      <c r="J1244" s="42">
        <f ca="1">TODAY()-qry_ProdData2_PDI_Cash_Exception_Application[[#This Row],[INSERT DATE]]</f>
        <v>10.742928240739275</v>
      </c>
      <c r="K12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44">
        <f ca="1">qry_ProdData2_PDI_Cash_Exception_Application[[#This Row],[TODAY]]-qry_ProdData2_PDI_Cash_Exception_Application[[#This Row],[CHANGED ON]]</f>
        <v>3.7429282407392748</v>
      </c>
      <c r="M1244">
        <f ca="1">qry_ProdData2_PDI_Cash_Exception_Application[[#This Row],[TODAY]]-qry_ProdData2_PDI_Cash_Exception_Application[[#This Row],[CHANGED ON]]</f>
        <v>3.7429282407392748</v>
      </c>
      <c r="N1244">
        <f ca="1">qry_ProdData2_PDI_Cash_Exception_Application[[#This Row],[TODAY]]-qry_ProdData2_PDI_Cash_Exception_Application[[#This Row],[CHANGED ON]]</f>
        <v>3.7429282407392748</v>
      </c>
    </row>
    <row r="1245" spans="1:14" x14ac:dyDescent="0.35">
      <c r="A1245">
        <v>1002</v>
      </c>
      <c r="B1245" t="s">
        <v>56</v>
      </c>
      <c r="C1245" s="1">
        <v>45187.257071759261</v>
      </c>
      <c r="D1245" t="str">
        <f ca="1">VLOOKUP(qry_ProdData2_PDI_Cash_Exception_Application[[#This Row],[TYPE]],#REF!,2,FALSE)</f>
        <v>type40</v>
      </c>
      <c r="E1245">
        <v>409.27</v>
      </c>
      <c r="F1245" t="s">
        <v>48</v>
      </c>
      <c r="G1245" s="1">
        <f>qry_ProdData2_PDI_Cash_Exception_Application[[#This Row],[INSERT DATE]]+1</f>
        <v>45188.257071759261</v>
      </c>
      <c r="H1245" t="str">
        <f>VLOOKUP(qry_ProdData2_PDI_Cash_Exception_Application[[#This Row],[MARKET No]],'Site Allocation'!$B$2:$C$37,2,FALSE)</f>
        <v>Analyst1</v>
      </c>
      <c r="I1245" s="4">
        <f t="shared" ca="1" si="19"/>
        <v>45203</v>
      </c>
      <c r="J1245" s="42">
        <f ca="1">TODAY()-qry_ProdData2_PDI_Cash_Exception_Application[[#This Row],[INSERT DATE]]</f>
        <v>15.742928240739275</v>
      </c>
      <c r="K12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45">
        <f ca="1">qry_ProdData2_PDI_Cash_Exception_Application[[#This Row],[TODAY]]-qry_ProdData2_PDI_Cash_Exception_Application[[#This Row],[CHANGED ON]]</f>
        <v>14.742928240739275</v>
      </c>
      <c r="M1245">
        <f ca="1">qry_ProdData2_PDI_Cash_Exception_Application[[#This Row],[TODAY]]-qry_ProdData2_PDI_Cash_Exception_Application[[#This Row],[CHANGED ON]]</f>
        <v>14.742928240739275</v>
      </c>
      <c r="N1245">
        <f ca="1">qry_ProdData2_PDI_Cash_Exception_Application[[#This Row],[TODAY]]-qry_ProdData2_PDI_Cash_Exception_Application[[#This Row],[CHANGED ON]]</f>
        <v>14.742928240739275</v>
      </c>
    </row>
    <row r="1246" spans="1:14" x14ac:dyDescent="0.35">
      <c r="A1246">
        <v>1007</v>
      </c>
      <c r="B1246" t="s">
        <v>61</v>
      </c>
      <c r="C1246" s="1">
        <v>45190.257071759261</v>
      </c>
      <c r="D1246" t="str">
        <f ca="1">VLOOKUP(qry_ProdData2_PDI_Cash_Exception_Application[[#This Row],[TYPE]],#REF!,2,FALSE)</f>
        <v>type40</v>
      </c>
      <c r="E1246">
        <v>0.26</v>
      </c>
      <c r="F1246" t="s">
        <v>49</v>
      </c>
      <c r="G1246" s="1">
        <f>qry_ProdData2_PDI_Cash_Exception_Application[[#This Row],[INSERT DATE]]+2</f>
        <v>45192.257071759261</v>
      </c>
      <c r="H1246" t="str">
        <f>VLOOKUP(qry_ProdData2_PDI_Cash_Exception_Application[[#This Row],[MARKET No]],'Site Allocation'!$B$2:$C$37,2,FALSE)</f>
        <v>Analyst2</v>
      </c>
      <c r="I1246" s="4">
        <f t="shared" ca="1" si="19"/>
        <v>45203</v>
      </c>
      <c r="J1246" s="42">
        <f ca="1">TODAY()-qry_ProdData2_PDI_Cash_Exception_Application[[#This Row],[INSERT DATE]]</f>
        <v>12.742928240739275</v>
      </c>
      <c r="K12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46">
        <f ca="1">qry_ProdData2_PDI_Cash_Exception_Application[[#This Row],[TODAY]]-qry_ProdData2_PDI_Cash_Exception_Application[[#This Row],[CHANGED ON]]</f>
        <v>10.742928240739275</v>
      </c>
      <c r="M1246">
        <f ca="1">qry_ProdData2_PDI_Cash_Exception_Application[[#This Row],[TODAY]]-qry_ProdData2_PDI_Cash_Exception_Application[[#This Row],[CHANGED ON]]</f>
        <v>10.742928240739275</v>
      </c>
      <c r="N1246">
        <f ca="1">qry_ProdData2_PDI_Cash_Exception_Application[[#This Row],[TODAY]]-qry_ProdData2_PDI_Cash_Exception_Application[[#This Row],[CHANGED ON]]</f>
        <v>10.742928240739275</v>
      </c>
    </row>
    <row r="1247" spans="1:14" x14ac:dyDescent="0.35">
      <c r="A1247">
        <v>1031</v>
      </c>
      <c r="B1247" t="s">
        <v>85</v>
      </c>
      <c r="C1247" s="1">
        <v>45179.257071759261</v>
      </c>
      <c r="D1247" t="str">
        <f ca="1">VLOOKUP(qry_ProdData2_PDI_Cash_Exception_Application[[#This Row],[TYPE]],#REF!,2,FALSE)</f>
        <v>type13</v>
      </c>
      <c r="E1247">
        <v>14319.7</v>
      </c>
      <c r="F1247" t="s">
        <v>47</v>
      </c>
      <c r="G1247" s="1">
        <f>qry_ProdData2_PDI_Cash_Exception_Application[[#This Row],[INSERT DATE]]+1</f>
        <v>45180.257071759261</v>
      </c>
      <c r="H1247" t="str">
        <f>VLOOKUP(qry_ProdData2_PDI_Cash_Exception_Application[[#This Row],[MARKET No]],'Site Allocation'!$B$2:$C$37,2,FALSE)</f>
        <v>Analyst6</v>
      </c>
      <c r="I1247" s="4">
        <f t="shared" ca="1" si="19"/>
        <v>45203</v>
      </c>
      <c r="J1247" s="42">
        <f ca="1">TODAY()-qry_ProdData2_PDI_Cash_Exception_Application[[#This Row],[INSERT DATE]]</f>
        <v>23.742928240739275</v>
      </c>
      <c r="K12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47">
        <f ca="1">qry_ProdData2_PDI_Cash_Exception_Application[[#This Row],[TODAY]]-qry_ProdData2_PDI_Cash_Exception_Application[[#This Row],[CHANGED ON]]</f>
        <v>22.742928240739275</v>
      </c>
      <c r="M1247">
        <f ca="1">qry_ProdData2_PDI_Cash_Exception_Application[[#This Row],[TODAY]]-qry_ProdData2_PDI_Cash_Exception_Application[[#This Row],[CHANGED ON]]</f>
        <v>22.742928240739275</v>
      </c>
      <c r="N1247">
        <f ca="1">qry_ProdData2_PDI_Cash_Exception_Application[[#This Row],[TODAY]]-qry_ProdData2_PDI_Cash_Exception_Application[[#This Row],[CHANGED ON]]</f>
        <v>22.742928240739275</v>
      </c>
    </row>
    <row r="1248" spans="1:14" x14ac:dyDescent="0.35">
      <c r="A1248">
        <v>1019</v>
      </c>
      <c r="B1248" t="s">
        <v>73</v>
      </c>
      <c r="C1248" s="1">
        <v>45193.257071759261</v>
      </c>
      <c r="D1248" t="str">
        <f ca="1">VLOOKUP(qry_ProdData2_PDI_Cash_Exception_Application[[#This Row],[TYPE]],#REF!,2,FALSE)</f>
        <v>type13</v>
      </c>
      <c r="E1248">
        <v>25077.62</v>
      </c>
      <c r="F1248" t="s">
        <v>52</v>
      </c>
      <c r="G1248" s="1">
        <f>qry_ProdData2_PDI_Cash_Exception_Application[[#This Row],[INSERT DATE]]+2</f>
        <v>45195.257071759261</v>
      </c>
      <c r="H1248" t="str">
        <f>VLOOKUP(qry_ProdData2_PDI_Cash_Exception_Application[[#This Row],[MARKET No]],'Site Allocation'!$B$2:$C$37,2,FALSE)</f>
        <v>Analyst4</v>
      </c>
      <c r="I1248" s="4">
        <f t="shared" ca="1" si="19"/>
        <v>45203</v>
      </c>
      <c r="J1248" s="42">
        <f ca="1">TODAY()-qry_ProdData2_PDI_Cash_Exception_Application[[#This Row],[INSERT DATE]]</f>
        <v>9.7429282407392748</v>
      </c>
      <c r="K12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48">
        <f ca="1">qry_ProdData2_PDI_Cash_Exception_Application[[#This Row],[TODAY]]-qry_ProdData2_PDI_Cash_Exception_Application[[#This Row],[CHANGED ON]]</f>
        <v>7.7429282407392748</v>
      </c>
      <c r="M1248">
        <f ca="1">qry_ProdData2_PDI_Cash_Exception_Application[[#This Row],[TODAY]]-qry_ProdData2_PDI_Cash_Exception_Application[[#This Row],[CHANGED ON]]</f>
        <v>7.7429282407392748</v>
      </c>
      <c r="N1248">
        <f ca="1">qry_ProdData2_PDI_Cash_Exception_Application[[#This Row],[TODAY]]-qry_ProdData2_PDI_Cash_Exception_Application[[#This Row],[CHANGED ON]]</f>
        <v>7.7429282407392748</v>
      </c>
    </row>
    <row r="1249" spans="1:14" x14ac:dyDescent="0.35">
      <c r="A1249">
        <v>1018</v>
      </c>
      <c r="B1249" t="s">
        <v>72</v>
      </c>
      <c r="C1249" s="1">
        <v>45185.257071759261</v>
      </c>
      <c r="D1249" t="str">
        <f ca="1">VLOOKUP(qry_ProdData2_PDI_Cash_Exception_Application[[#This Row],[TYPE]],#REF!,2,FALSE)</f>
        <v>type7</v>
      </c>
      <c r="E1249">
        <v>-1245.3</v>
      </c>
      <c r="F1249" t="s">
        <v>51</v>
      </c>
      <c r="G1249" s="1">
        <f>qry_ProdData2_PDI_Cash_Exception_Application[[#This Row],[INSERT DATE]]+7</f>
        <v>45192.257071759261</v>
      </c>
      <c r="H1249" t="str">
        <f>VLOOKUP(qry_ProdData2_PDI_Cash_Exception_Application[[#This Row],[MARKET No]],'Site Allocation'!$B$2:$C$37,2,FALSE)</f>
        <v>Analyst4</v>
      </c>
      <c r="I1249" s="4">
        <f t="shared" ca="1" si="19"/>
        <v>45203</v>
      </c>
      <c r="J1249" s="42">
        <f ca="1">TODAY()-qry_ProdData2_PDI_Cash_Exception_Application[[#This Row],[INSERT DATE]]</f>
        <v>17.742928240739275</v>
      </c>
      <c r="K12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49">
        <f ca="1">qry_ProdData2_PDI_Cash_Exception_Application[[#This Row],[TODAY]]-qry_ProdData2_PDI_Cash_Exception_Application[[#This Row],[CHANGED ON]]</f>
        <v>10.742928240739275</v>
      </c>
      <c r="M1249">
        <f ca="1">qry_ProdData2_PDI_Cash_Exception_Application[[#This Row],[TODAY]]-qry_ProdData2_PDI_Cash_Exception_Application[[#This Row],[CHANGED ON]]</f>
        <v>10.742928240739275</v>
      </c>
      <c r="N1249">
        <f ca="1">qry_ProdData2_PDI_Cash_Exception_Application[[#This Row],[TODAY]]-qry_ProdData2_PDI_Cash_Exception_Application[[#This Row],[CHANGED ON]]</f>
        <v>10.742928240739275</v>
      </c>
    </row>
    <row r="1250" spans="1:14" x14ac:dyDescent="0.35">
      <c r="A1250">
        <v>1017</v>
      </c>
      <c r="B1250" t="s">
        <v>71</v>
      </c>
      <c r="C1250" s="1">
        <v>45181.257071759261</v>
      </c>
      <c r="D1250" t="str">
        <f ca="1">VLOOKUP(qry_ProdData2_PDI_Cash_Exception_Application[[#This Row],[TYPE]],#REF!,2,FALSE)</f>
        <v>type7</v>
      </c>
      <c r="E1250">
        <v>1246.3</v>
      </c>
      <c r="F1250" t="s">
        <v>51</v>
      </c>
      <c r="G1250" s="1">
        <f>qry_ProdData2_PDI_Cash_Exception_Application[[#This Row],[INSERT DATE]]+1</f>
        <v>45182.257071759261</v>
      </c>
      <c r="H1250" t="str">
        <f>VLOOKUP(qry_ProdData2_PDI_Cash_Exception_Application[[#This Row],[MARKET No]],'Site Allocation'!$B$2:$C$37,2,FALSE)</f>
        <v>Analyst3</v>
      </c>
      <c r="I1250" s="4">
        <f t="shared" ca="1" si="19"/>
        <v>45203</v>
      </c>
      <c r="J1250" s="42">
        <f ca="1">TODAY()-qry_ProdData2_PDI_Cash_Exception_Application[[#This Row],[INSERT DATE]]</f>
        <v>21.742928240739275</v>
      </c>
      <c r="K12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50">
        <f ca="1">qry_ProdData2_PDI_Cash_Exception_Application[[#This Row],[TODAY]]-qry_ProdData2_PDI_Cash_Exception_Application[[#This Row],[CHANGED ON]]</f>
        <v>20.742928240739275</v>
      </c>
      <c r="M1250">
        <f ca="1">qry_ProdData2_PDI_Cash_Exception_Application[[#This Row],[TODAY]]-qry_ProdData2_PDI_Cash_Exception_Application[[#This Row],[CHANGED ON]]</f>
        <v>20.742928240739275</v>
      </c>
      <c r="N1250">
        <f ca="1">qry_ProdData2_PDI_Cash_Exception_Application[[#This Row],[TODAY]]-qry_ProdData2_PDI_Cash_Exception_Application[[#This Row],[CHANGED ON]]</f>
        <v>20.742928240739275</v>
      </c>
    </row>
    <row r="1251" spans="1:14" x14ac:dyDescent="0.35">
      <c r="A1251">
        <v>1001</v>
      </c>
      <c r="B1251" t="s">
        <v>55</v>
      </c>
      <c r="C1251" s="1">
        <v>45185.257071759261</v>
      </c>
      <c r="D1251" t="str">
        <f ca="1">VLOOKUP(qry_ProdData2_PDI_Cash_Exception_Application[[#This Row],[TYPE]],#REF!,2,FALSE)</f>
        <v>type13</v>
      </c>
      <c r="E1251">
        <v>19061.740000000002</v>
      </c>
      <c r="F1251" t="s">
        <v>47</v>
      </c>
      <c r="G1251" s="1">
        <f>qry_ProdData2_PDI_Cash_Exception_Application[[#This Row],[INSERT DATE]]+1</f>
        <v>45186.257071759261</v>
      </c>
      <c r="H1251" t="str">
        <f>VLOOKUP(qry_ProdData2_PDI_Cash_Exception_Application[[#This Row],[MARKET No]],'Site Allocation'!$B$2:$C$37,2,FALSE)</f>
        <v>Analyst1</v>
      </c>
      <c r="I1251" s="4">
        <f t="shared" ca="1" si="19"/>
        <v>45203</v>
      </c>
      <c r="J1251" s="42">
        <f ca="1">TODAY()-qry_ProdData2_PDI_Cash_Exception_Application[[#This Row],[INSERT DATE]]</f>
        <v>17.742928240739275</v>
      </c>
      <c r="K12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51">
        <f ca="1">qry_ProdData2_PDI_Cash_Exception_Application[[#This Row],[TODAY]]-qry_ProdData2_PDI_Cash_Exception_Application[[#This Row],[CHANGED ON]]</f>
        <v>16.742928240739275</v>
      </c>
      <c r="M1251">
        <f ca="1">qry_ProdData2_PDI_Cash_Exception_Application[[#This Row],[TODAY]]-qry_ProdData2_PDI_Cash_Exception_Application[[#This Row],[CHANGED ON]]</f>
        <v>16.742928240739275</v>
      </c>
      <c r="N1251">
        <f ca="1">qry_ProdData2_PDI_Cash_Exception_Application[[#This Row],[TODAY]]-qry_ProdData2_PDI_Cash_Exception_Application[[#This Row],[CHANGED ON]]</f>
        <v>16.742928240739275</v>
      </c>
    </row>
    <row r="1252" spans="1:14" x14ac:dyDescent="0.35">
      <c r="A1252">
        <v>1009</v>
      </c>
      <c r="B1252" t="s">
        <v>63</v>
      </c>
      <c r="C1252" s="1">
        <v>45189.257071759261</v>
      </c>
      <c r="D1252" t="str">
        <f ca="1">VLOOKUP(qry_ProdData2_PDI_Cash_Exception_Application[[#This Row],[TYPE]],#REF!,2,FALSE)</f>
        <v>type40</v>
      </c>
      <c r="E1252">
        <v>526.67999999999995</v>
      </c>
      <c r="F1252" t="s">
        <v>51</v>
      </c>
      <c r="G1252" s="1">
        <f>qry_ProdData2_PDI_Cash_Exception_Application[[#This Row],[INSERT DATE]]+2</f>
        <v>45191.257071759261</v>
      </c>
      <c r="H1252" t="str">
        <f>VLOOKUP(qry_ProdData2_PDI_Cash_Exception_Application[[#This Row],[MARKET No]],'Site Allocation'!$B$2:$C$37,2,FALSE)</f>
        <v>Analyst2</v>
      </c>
      <c r="I1252" s="4">
        <f t="shared" ca="1" si="19"/>
        <v>45203</v>
      </c>
      <c r="J1252" s="42">
        <f ca="1">TODAY()-qry_ProdData2_PDI_Cash_Exception_Application[[#This Row],[INSERT DATE]]</f>
        <v>13.742928240739275</v>
      </c>
      <c r="K12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52">
        <f ca="1">qry_ProdData2_PDI_Cash_Exception_Application[[#This Row],[TODAY]]-qry_ProdData2_PDI_Cash_Exception_Application[[#This Row],[CHANGED ON]]</f>
        <v>11.742928240739275</v>
      </c>
      <c r="M1252">
        <f ca="1">qry_ProdData2_PDI_Cash_Exception_Application[[#This Row],[TODAY]]-qry_ProdData2_PDI_Cash_Exception_Application[[#This Row],[CHANGED ON]]</f>
        <v>11.742928240739275</v>
      </c>
      <c r="N1252">
        <f ca="1">qry_ProdData2_PDI_Cash_Exception_Application[[#This Row],[TODAY]]-qry_ProdData2_PDI_Cash_Exception_Application[[#This Row],[CHANGED ON]]</f>
        <v>11.742928240739275</v>
      </c>
    </row>
    <row r="1253" spans="1:14" x14ac:dyDescent="0.35">
      <c r="A1253">
        <v>1003</v>
      </c>
      <c r="B1253" t="s">
        <v>57</v>
      </c>
      <c r="C1253" s="1">
        <v>45179.257071759261</v>
      </c>
      <c r="D1253" t="str">
        <f ca="1">VLOOKUP(qry_ProdData2_PDI_Cash_Exception_Application[[#This Row],[TYPE]],#REF!,2,FALSE)</f>
        <v>type13</v>
      </c>
      <c r="E1253">
        <v>46179.7</v>
      </c>
      <c r="F1253" t="s">
        <v>52</v>
      </c>
      <c r="G1253" s="1">
        <f>qry_ProdData2_PDI_Cash_Exception_Application[[#This Row],[INSERT DATE]]+2</f>
        <v>45181.257071759261</v>
      </c>
      <c r="H1253" t="str">
        <f>VLOOKUP(qry_ProdData2_PDI_Cash_Exception_Application[[#This Row],[MARKET No]],'Site Allocation'!$B$2:$C$37,2,FALSE)</f>
        <v>Analyst1</v>
      </c>
      <c r="I1253" s="4">
        <f t="shared" ca="1" si="19"/>
        <v>45203</v>
      </c>
      <c r="J1253" s="42">
        <f ca="1">TODAY()-qry_ProdData2_PDI_Cash_Exception_Application[[#This Row],[INSERT DATE]]</f>
        <v>23.742928240739275</v>
      </c>
      <c r="K12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53">
        <f ca="1">qry_ProdData2_PDI_Cash_Exception_Application[[#This Row],[TODAY]]-qry_ProdData2_PDI_Cash_Exception_Application[[#This Row],[CHANGED ON]]</f>
        <v>21.742928240739275</v>
      </c>
      <c r="M1253">
        <f ca="1">qry_ProdData2_PDI_Cash_Exception_Application[[#This Row],[TODAY]]-qry_ProdData2_PDI_Cash_Exception_Application[[#This Row],[CHANGED ON]]</f>
        <v>21.742928240739275</v>
      </c>
      <c r="N1253">
        <f ca="1">qry_ProdData2_PDI_Cash_Exception_Application[[#This Row],[TODAY]]-qry_ProdData2_PDI_Cash_Exception_Application[[#This Row],[CHANGED ON]]</f>
        <v>21.742928240739275</v>
      </c>
    </row>
    <row r="1254" spans="1:14" x14ac:dyDescent="0.35">
      <c r="A1254">
        <v>1018</v>
      </c>
      <c r="B1254" t="s">
        <v>72</v>
      </c>
      <c r="C1254" s="1">
        <v>45180.257071759261</v>
      </c>
      <c r="D1254" t="str">
        <f ca="1">VLOOKUP(qry_ProdData2_PDI_Cash_Exception_Application[[#This Row],[TYPE]],#REF!,2,FALSE)</f>
        <v>type13</v>
      </c>
      <c r="E1254">
        <v>26436</v>
      </c>
      <c r="F1254" t="s">
        <v>52</v>
      </c>
      <c r="G1254" s="1">
        <f>qry_ProdData2_PDI_Cash_Exception_Application[[#This Row],[INSERT DATE]]+2</f>
        <v>45182.257071759261</v>
      </c>
      <c r="H1254" t="str">
        <f>VLOOKUP(qry_ProdData2_PDI_Cash_Exception_Application[[#This Row],[MARKET No]],'Site Allocation'!$B$2:$C$37,2,FALSE)</f>
        <v>Analyst4</v>
      </c>
      <c r="I1254" s="4">
        <f t="shared" ca="1" si="19"/>
        <v>45203</v>
      </c>
      <c r="J1254" s="42">
        <f ca="1">TODAY()-qry_ProdData2_PDI_Cash_Exception_Application[[#This Row],[INSERT DATE]]</f>
        <v>22.742928240739275</v>
      </c>
      <c r="K12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54">
        <f ca="1">qry_ProdData2_PDI_Cash_Exception_Application[[#This Row],[TODAY]]-qry_ProdData2_PDI_Cash_Exception_Application[[#This Row],[CHANGED ON]]</f>
        <v>20.742928240739275</v>
      </c>
      <c r="M1254">
        <f ca="1">qry_ProdData2_PDI_Cash_Exception_Application[[#This Row],[TODAY]]-qry_ProdData2_PDI_Cash_Exception_Application[[#This Row],[CHANGED ON]]</f>
        <v>20.742928240739275</v>
      </c>
      <c r="N1254">
        <f ca="1">qry_ProdData2_PDI_Cash_Exception_Application[[#This Row],[TODAY]]-qry_ProdData2_PDI_Cash_Exception_Application[[#This Row],[CHANGED ON]]</f>
        <v>20.742928240739275</v>
      </c>
    </row>
    <row r="1255" spans="1:14" x14ac:dyDescent="0.35">
      <c r="A1255">
        <v>1007</v>
      </c>
      <c r="B1255" t="s">
        <v>61</v>
      </c>
      <c r="C1255" s="1">
        <v>45181.257071759261</v>
      </c>
      <c r="D1255" t="str">
        <f ca="1">VLOOKUP(qry_ProdData2_PDI_Cash_Exception_Application[[#This Row],[TYPE]],#REF!,2,FALSE)</f>
        <v>type40</v>
      </c>
      <c r="E1255">
        <v>378.9</v>
      </c>
      <c r="F1255" t="s">
        <v>52</v>
      </c>
      <c r="G1255" s="1">
        <f>qry_ProdData2_PDI_Cash_Exception_Application[[#This Row],[INSERT DATE]]+2</f>
        <v>45183.257071759261</v>
      </c>
      <c r="H1255" t="str">
        <f>VLOOKUP(qry_ProdData2_PDI_Cash_Exception_Application[[#This Row],[MARKET No]],'Site Allocation'!$B$2:$C$37,2,FALSE)</f>
        <v>Analyst2</v>
      </c>
      <c r="I1255" s="4">
        <f t="shared" ca="1" si="19"/>
        <v>45203</v>
      </c>
      <c r="J1255" s="42">
        <f ca="1">TODAY()-qry_ProdData2_PDI_Cash_Exception_Application[[#This Row],[INSERT DATE]]</f>
        <v>21.742928240739275</v>
      </c>
      <c r="K12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55">
        <f ca="1">qry_ProdData2_PDI_Cash_Exception_Application[[#This Row],[TODAY]]-qry_ProdData2_PDI_Cash_Exception_Application[[#This Row],[CHANGED ON]]</f>
        <v>19.742928240739275</v>
      </c>
      <c r="M1255">
        <f ca="1">qry_ProdData2_PDI_Cash_Exception_Application[[#This Row],[TODAY]]-qry_ProdData2_PDI_Cash_Exception_Application[[#This Row],[CHANGED ON]]</f>
        <v>19.742928240739275</v>
      </c>
      <c r="N1255">
        <f ca="1">qry_ProdData2_PDI_Cash_Exception_Application[[#This Row],[TODAY]]-qry_ProdData2_PDI_Cash_Exception_Application[[#This Row],[CHANGED ON]]</f>
        <v>19.742928240739275</v>
      </c>
    </row>
    <row r="1256" spans="1:14" x14ac:dyDescent="0.35">
      <c r="A1256">
        <v>1017</v>
      </c>
      <c r="B1256" t="s">
        <v>71</v>
      </c>
      <c r="C1256" s="1">
        <v>45183.257071759261</v>
      </c>
      <c r="D1256" t="str">
        <f ca="1">VLOOKUP(qry_ProdData2_PDI_Cash_Exception_Application[[#This Row],[TYPE]],#REF!,2,FALSE)</f>
        <v>type40</v>
      </c>
      <c r="E1256">
        <v>11.6</v>
      </c>
      <c r="F1256" t="s">
        <v>48</v>
      </c>
      <c r="G1256" s="1">
        <f>qry_ProdData2_PDI_Cash_Exception_Application[[#This Row],[INSERT DATE]]+2</f>
        <v>45185.257071759261</v>
      </c>
      <c r="H1256" t="str">
        <f>VLOOKUP(qry_ProdData2_PDI_Cash_Exception_Application[[#This Row],[MARKET No]],'Site Allocation'!$B$2:$C$37,2,FALSE)</f>
        <v>Analyst3</v>
      </c>
      <c r="I1256" s="4">
        <f t="shared" ca="1" si="19"/>
        <v>45203</v>
      </c>
      <c r="J1256" s="42">
        <f ca="1">TODAY()-qry_ProdData2_PDI_Cash_Exception_Application[[#This Row],[INSERT DATE]]</f>
        <v>19.742928240739275</v>
      </c>
      <c r="K12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56">
        <f ca="1">qry_ProdData2_PDI_Cash_Exception_Application[[#This Row],[TODAY]]-qry_ProdData2_PDI_Cash_Exception_Application[[#This Row],[CHANGED ON]]</f>
        <v>17.742928240739275</v>
      </c>
      <c r="M1256">
        <f ca="1">qry_ProdData2_PDI_Cash_Exception_Application[[#This Row],[TODAY]]-qry_ProdData2_PDI_Cash_Exception_Application[[#This Row],[CHANGED ON]]</f>
        <v>17.742928240739275</v>
      </c>
      <c r="N1256">
        <f ca="1">qry_ProdData2_PDI_Cash_Exception_Application[[#This Row],[TODAY]]-qry_ProdData2_PDI_Cash_Exception_Application[[#This Row],[CHANGED ON]]</f>
        <v>17.742928240739275</v>
      </c>
    </row>
    <row r="1257" spans="1:14" x14ac:dyDescent="0.35">
      <c r="A1257">
        <v>1021</v>
      </c>
      <c r="B1257" t="s">
        <v>75</v>
      </c>
      <c r="C1257" s="1">
        <v>45179.257071759261</v>
      </c>
      <c r="D1257" t="str">
        <f ca="1">VLOOKUP(qry_ProdData2_PDI_Cash_Exception_Application[[#This Row],[TYPE]],#REF!,2,FALSE)</f>
        <v>type40</v>
      </c>
      <c r="E1257">
        <v>2.66</v>
      </c>
      <c r="F1257" t="s">
        <v>49</v>
      </c>
      <c r="G1257" s="1">
        <f>qry_ProdData2_PDI_Cash_Exception_Application[[#This Row],[INSERT DATE]]+5</f>
        <v>45184.257071759261</v>
      </c>
      <c r="H1257" t="str">
        <f>VLOOKUP(qry_ProdData2_PDI_Cash_Exception_Application[[#This Row],[MARKET No]],'Site Allocation'!$B$2:$C$37,2,FALSE)</f>
        <v>Analyst4</v>
      </c>
      <c r="I1257" s="4">
        <f t="shared" ca="1" si="19"/>
        <v>45203</v>
      </c>
      <c r="J1257" s="42">
        <f ca="1">TODAY()-qry_ProdData2_PDI_Cash_Exception_Application[[#This Row],[INSERT DATE]]</f>
        <v>23.742928240739275</v>
      </c>
      <c r="K12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57">
        <f ca="1">qry_ProdData2_PDI_Cash_Exception_Application[[#This Row],[TODAY]]-qry_ProdData2_PDI_Cash_Exception_Application[[#This Row],[CHANGED ON]]</f>
        <v>18.742928240739275</v>
      </c>
      <c r="M1257">
        <f ca="1">qry_ProdData2_PDI_Cash_Exception_Application[[#This Row],[TODAY]]-qry_ProdData2_PDI_Cash_Exception_Application[[#This Row],[CHANGED ON]]</f>
        <v>18.742928240739275</v>
      </c>
      <c r="N1257">
        <f ca="1">qry_ProdData2_PDI_Cash_Exception_Application[[#This Row],[TODAY]]-qry_ProdData2_PDI_Cash_Exception_Application[[#This Row],[CHANGED ON]]</f>
        <v>18.742928240739275</v>
      </c>
    </row>
    <row r="1258" spans="1:14" x14ac:dyDescent="0.35">
      <c r="A1258">
        <v>1022</v>
      </c>
      <c r="B1258" t="s">
        <v>76</v>
      </c>
      <c r="C1258" s="1">
        <v>45187.257071759261</v>
      </c>
      <c r="D1258" t="str">
        <f ca="1">VLOOKUP(qry_ProdData2_PDI_Cash_Exception_Application[[#This Row],[TYPE]],#REF!,2,FALSE)</f>
        <v>type1</v>
      </c>
      <c r="E1258">
        <v>30</v>
      </c>
      <c r="F1258" t="s">
        <v>47</v>
      </c>
      <c r="G1258" s="1">
        <f>qry_ProdData2_PDI_Cash_Exception_Application[[#This Row],[INSERT DATE]]+1</f>
        <v>45188.257071759261</v>
      </c>
      <c r="H1258" t="str">
        <f>VLOOKUP(qry_ProdData2_PDI_Cash_Exception_Application[[#This Row],[MARKET No]],'Site Allocation'!$B$2:$C$37,2,FALSE)</f>
        <v>Analyst4</v>
      </c>
      <c r="I1258" s="4">
        <f t="shared" ca="1" si="19"/>
        <v>45203</v>
      </c>
      <c r="J1258" s="42">
        <f ca="1">TODAY()-qry_ProdData2_PDI_Cash_Exception_Application[[#This Row],[INSERT DATE]]</f>
        <v>15.742928240739275</v>
      </c>
      <c r="K12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58">
        <f ca="1">qry_ProdData2_PDI_Cash_Exception_Application[[#This Row],[TODAY]]-qry_ProdData2_PDI_Cash_Exception_Application[[#This Row],[CHANGED ON]]</f>
        <v>14.742928240739275</v>
      </c>
      <c r="M1258">
        <f ca="1">qry_ProdData2_PDI_Cash_Exception_Application[[#This Row],[TODAY]]-qry_ProdData2_PDI_Cash_Exception_Application[[#This Row],[CHANGED ON]]</f>
        <v>14.742928240739275</v>
      </c>
      <c r="N1258">
        <f ca="1">qry_ProdData2_PDI_Cash_Exception_Application[[#This Row],[TODAY]]-qry_ProdData2_PDI_Cash_Exception_Application[[#This Row],[CHANGED ON]]</f>
        <v>14.742928240739275</v>
      </c>
    </row>
    <row r="1259" spans="1:14" x14ac:dyDescent="0.35">
      <c r="A1259">
        <v>1028</v>
      </c>
      <c r="B1259" t="s">
        <v>82</v>
      </c>
      <c r="C1259" s="1">
        <v>45183.257071759261</v>
      </c>
      <c r="D1259" t="str">
        <f ca="1">VLOOKUP(qry_ProdData2_PDI_Cash_Exception_Application[[#This Row],[TYPE]],#REF!,2,FALSE)</f>
        <v>type2</v>
      </c>
      <c r="E1259">
        <v>1808</v>
      </c>
      <c r="F1259" t="s">
        <v>50</v>
      </c>
      <c r="G1259" s="1">
        <f>qry_ProdData2_PDI_Cash_Exception_Application[[#This Row],[INSERT DATE]]+5</f>
        <v>45188.257071759261</v>
      </c>
      <c r="H1259" t="str">
        <f>VLOOKUP(qry_ProdData2_PDI_Cash_Exception_Application[[#This Row],[MARKET No]],'Site Allocation'!$B$2:$C$37,2,FALSE)</f>
        <v>Analyst5</v>
      </c>
      <c r="I1259" s="4">
        <f t="shared" ca="1" si="19"/>
        <v>45203</v>
      </c>
      <c r="J1259" s="42">
        <f ca="1">TODAY()-qry_ProdData2_PDI_Cash_Exception_Application[[#This Row],[INSERT DATE]]</f>
        <v>19.742928240739275</v>
      </c>
      <c r="K12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59">
        <f ca="1">qry_ProdData2_PDI_Cash_Exception_Application[[#This Row],[TODAY]]-qry_ProdData2_PDI_Cash_Exception_Application[[#This Row],[CHANGED ON]]</f>
        <v>14.742928240739275</v>
      </c>
      <c r="M1259">
        <f ca="1">qry_ProdData2_PDI_Cash_Exception_Application[[#This Row],[TODAY]]-qry_ProdData2_PDI_Cash_Exception_Application[[#This Row],[CHANGED ON]]</f>
        <v>14.742928240739275</v>
      </c>
      <c r="N1259">
        <f ca="1">qry_ProdData2_PDI_Cash_Exception_Application[[#This Row],[TODAY]]-qry_ProdData2_PDI_Cash_Exception_Application[[#This Row],[CHANGED ON]]</f>
        <v>14.742928240739275</v>
      </c>
    </row>
    <row r="1260" spans="1:14" x14ac:dyDescent="0.35">
      <c r="A1260">
        <v>1019</v>
      </c>
      <c r="B1260" t="s">
        <v>73</v>
      </c>
      <c r="C1260" s="1">
        <v>45183.257071759261</v>
      </c>
      <c r="D1260" t="str">
        <f ca="1">VLOOKUP(qry_ProdData2_PDI_Cash_Exception_Application[[#This Row],[TYPE]],#REF!,2,FALSE)</f>
        <v>type40</v>
      </c>
      <c r="E1260">
        <v>395.77</v>
      </c>
      <c r="F1260" t="s">
        <v>49</v>
      </c>
      <c r="G1260" s="1">
        <f>qry_ProdData2_PDI_Cash_Exception_Application[[#This Row],[INSERT DATE]]+7</f>
        <v>45190.257071759261</v>
      </c>
      <c r="H1260" t="str">
        <f>VLOOKUP(qry_ProdData2_PDI_Cash_Exception_Application[[#This Row],[MARKET No]],'Site Allocation'!$B$2:$C$37,2,FALSE)</f>
        <v>Analyst4</v>
      </c>
      <c r="I1260" s="4">
        <f t="shared" ca="1" si="19"/>
        <v>45203</v>
      </c>
      <c r="J1260" s="42">
        <f ca="1">TODAY()-qry_ProdData2_PDI_Cash_Exception_Application[[#This Row],[INSERT DATE]]</f>
        <v>19.742928240739275</v>
      </c>
      <c r="K12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60">
        <f ca="1">qry_ProdData2_PDI_Cash_Exception_Application[[#This Row],[TODAY]]-qry_ProdData2_PDI_Cash_Exception_Application[[#This Row],[CHANGED ON]]</f>
        <v>12.742928240739275</v>
      </c>
      <c r="M1260">
        <f ca="1">qry_ProdData2_PDI_Cash_Exception_Application[[#This Row],[TODAY]]-qry_ProdData2_PDI_Cash_Exception_Application[[#This Row],[CHANGED ON]]</f>
        <v>12.742928240739275</v>
      </c>
      <c r="N1260">
        <f ca="1">qry_ProdData2_PDI_Cash_Exception_Application[[#This Row],[TODAY]]-qry_ProdData2_PDI_Cash_Exception_Application[[#This Row],[CHANGED ON]]</f>
        <v>12.742928240739275</v>
      </c>
    </row>
    <row r="1261" spans="1:14" x14ac:dyDescent="0.35">
      <c r="A1261">
        <v>1018</v>
      </c>
      <c r="B1261" t="s">
        <v>72</v>
      </c>
      <c r="C1261" s="1">
        <v>45192.257071759261</v>
      </c>
      <c r="D1261" t="str">
        <f ca="1">VLOOKUP(qry_ProdData2_PDI_Cash_Exception_Application[[#This Row],[TYPE]],#REF!,2,FALSE)</f>
        <v>type40</v>
      </c>
      <c r="E1261">
        <v>9875.8799999999992</v>
      </c>
      <c r="F1261" t="s">
        <v>47</v>
      </c>
      <c r="G1261" s="1">
        <f>qry_ProdData2_PDI_Cash_Exception_Application[[#This Row],[INSERT DATE]]+2</f>
        <v>45194.257071759261</v>
      </c>
      <c r="H1261" t="str">
        <f>VLOOKUP(qry_ProdData2_PDI_Cash_Exception_Application[[#This Row],[MARKET No]],'Site Allocation'!$B$2:$C$37,2,FALSE)</f>
        <v>Analyst4</v>
      </c>
      <c r="I1261" s="4">
        <f t="shared" ca="1" si="19"/>
        <v>45203</v>
      </c>
      <c r="J1261" s="42">
        <f ca="1">TODAY()-qry_ProdData2_PDI_Cash_Exception_Application[[#This Row],[INSERT DATE]]</f>
        <v>10.742928240739275</v>
      </c>
      <c r="K12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61">
        <f ca="1">qry_ProdData2_PDI_Cash_Exception_Application[[#This Row],[TODAY]]-qry_ProdData2_PDI_Cash_Exception_Application[[#This Row],[CHANGED ON]]</f>
        <v>8.7429282407392748</v>
      </c>
      <c r="M1261">
        <f ca="1">qry_ProdData2_PDI_Cash_Exception_Application[[#This Row],[TODAY]]-qry_ProdData2_PDI_Cash_Exception_Application[[#This Row],[CHANGED ON]]</f>
        <v>8.7429282407392748</v>
      </c>
      <c r="N1261">
        <f ca="1">qry_ProdData2_PDI_Cash_Exception_Application[[#This Row],[TODAY]]-qry_ProdData2_PDI_Cash_Exception_Application[[#This Row],[CHANGED ON]]</f>
        <v>8.7429282407392748</v>
      </c>
    </row>
    <row r="1262" spans="1:14" x14ac:dyDescent="0.35">
      <c r="A1262">
        <v>1023</v>
      </c>
      <c r="B1262" t="s">
        <v>77</v>
      </c>
      <c r="C1262" s="1">
        <v>45183.257071759261</v>
      </c>
      <c r="D1262" t="str">
        <f ca="1">VLOOKUP(qry_ProdData2_PDI_Cash_Exception_Application[[#This Row],[TYPE]],#REF!,2,FALSE)</f>
        <v>type40</v>
      </c>
      <c r="E1262">
        <v>-331.9</v>
      </c>
      <c r="F1262" t="s">
        <v>47</v>
      </c>
      <c r="G1262" s="1">
        <f>qry_ProdData2_PDI_Cash_Exception_Application[[#This Row],[INSERT DATE]]+5</f>
        <v>45188.257071759261</v>
      </c>
      <c r="H1262" t="str">
        <f>VLOOKUP(qry_ProdData2_PDI_Cash_Exception_Application[[#This Row],[MARKET No]],'Site Allocation'!$B$2:$C$37,2,FALSE)</f>
        <v>Analyst4</v>
      </c>
      <c r="I1262" s="4">
        <f t="shared" ca="1" si="19"/>
        <v>45203</v>
      </c>
      <c r="J1262" s="42">
        <f ca="1">TODAY()-qry_ProdData2_PDI_Cash_Exception_Application[[#This Row],[INSERT DATE]]</f>
        <v>19.742928240739275</v>
      </c>
      <c r="K12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62">
        <f ca="1">qry_ProdData2_PDI_Cash_Exception_Application[[#This Row],[TODAY]]-qry_ProdData2_PDI_Cash_Exception_Application[[#This Row],[CHANGED ON]]</f>
        <v>14.742928240739275</v>
      </c>
      <c r="M1262">
        <f ca="1">qry_ProdData2_PDI_Cash_Exception_Application[[#This Row],[TODAY]]-qry_ProdData2_PDI_Cash_Exception_Application[[#This Row],[CHANGED ON]]</f>
        <v>14.742928240739275</v>
      </c>
      <c r="N1262">
        <f ca="1">qry_ProdData2_PDI_Cash_Exception_Application[[#This Row],[TODAY]]-qry_ProdData2_PDI_Cash_Exception_Application[[#This Row],[CHANGED ON]]</f>
        <v>14.742928240739275</v>
      </c>
    </row>
    <row r="1263" spans="1:14" x14ac:dyDescent="0.35">
      <c r="A1263">
        <v>1022</v>
      </c>
      <c r="B1263" t="s">
        <v>76</v>
      </c>
      <c r="C1263" s="1">
        <v>45187.257071759261</v>
      </c>
      <c r="D1263" t="str">
        <f ca="1">VLOOKUP(qry_ProdData2_PDI_Cash_Exception_Application[[#This Row],[TYPE]],#REF!,2,FALSE)</f>
        <v>type40</v>
      </c>
      <c r="E1263">
        <v>10446.049999999999</v>
      </c>
      <c r="F1263" t="s">
        <v>47</v>
      </c>
      <c r="G1263" s="1">
        <f>qry_ProdData2_PDI_Cash_Exception_Application[[#This Row],[INSERT DATE]]+7</f>
        <v>45194.257071759261</v>
      </c>
      <c r="H1263" t="str">
        <f>VLOOKUP(qry_ProdData2_PDI_Cash_Exception_Application[[#This Row],[MARKET No]],'Site Allocation'!$B$2:$C$37,2,FALSE)</f>
        <v>Analyst4</v>
      </c>
      <c r="I1263" s="4">
        <f t="shared" ca="1" si="19"/>
        <v>45203</v>
      </c>
      <c r="J1263" s="42">
        <f ca="1">TODAY()-qry_ProdData2_PDI_Cash_Exception_Application[[#This Row],[INSERT DATE]]</f>
        <v>15.742928240739275</v>
      </c>
      <c r="K12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63">
        <f ca="1">qry_ProdData2_PDI_Cash_Exception_Application[[#This Row],[TODAY]]-qry_ProdData2_PDI_Cash_Exception_Application[[#This Row],[CHANGED ON]]</f>
        <v>8.7429282407392748</v>
      </c>
      <c r="M1263">
        <f ca="1">qry_ProdData2_PDI_Cash_Exception_Application[[#This Row],[TODAY]]-qry_ProdData2_PDI_Cash_Exception_Application[[#This Row],[CHANGED ON]]</f>
        <v>8.7429282407392748</v>
      </c>
      <c r="N1263">
        <f ca="1">qry_ProdData2_PDI_Cash_Exception_Application[[#This Row],[TODAY]]-qry_ProdData2_PDI_Cash_Exception_Application[[#This Row],[CHANGED ON]]</f>
        <v>8.7429282407392748</v>
      </c>
    </row>
    <row r="1264" spans="1:14" x14ac:dyDescent="0.35">
      <c r="A1264">
        <v>1001</v>
      </c>
      <c r="B1264" t="s">
        <v>55</v>
      </c>
      <c r="C1264" s="1">
        <v>45190.257071759261</v>
      </c>
      <c r="D1264" t="str">
        <f ca="1">VLOOKUP(qry_ProdData2_PDI_Cash_Exception_Application[[#This Row],[TYPE]],#REF!,2,FALSE)</f>
        <v>type40</v>
      </c>
      <c r="E1264">
        <v>371.83</v>
      </c>
      <c r="F1264" t="s">
        <v>51</v>
      </c>
      <c r="G1264" s="1">
        <f>qry_ProdData2_PDI_Cash_Exception_Application[[#This Row],[INSERT DATE]]+2</f>
        <v>45192.257071759261</v>
      </c>
      <c r="H1264" t="str">
        <f>VLOOKUP(qry_ProdData2_PDI_Cash_Exception_Application[[#This Row],[MARKET No]],'Site Allocation'!$B$2:$C$37,2,FALSE)</f>
        <v>Analyst1</v>
      </c>
      <c r="I1264" s="4">
        <f t="shared" ca="1" si="19"/>
        <v>45203</v>
      </c>
      <c r="J1264" s="42">
        <f ca="1">TODAY()-qry_ProdData2_PDI_Cash_Exception_Application[[#This Row],[INSERT DATE]]</f>
        <v>12.742928240739275</v>
      </c>
      <c r="K12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64">
        <f ca="1">qry_ProdData2_PDI_Cash_Exception_Application[[#This Row],[TODAY]]-qry_ProdData2_PDI_Cash_Exception_Application[[#This Row],[CHANGED ON]]</f>
        <v>10.742928240739275</v>
      </c>
      <c r="M1264">
        <f ca="1">qry_ProdData2_PDI_Cash_Exception_Application[[#This Row],[TODAY]]-qry_ProdData2_PDI_Cash_Exception_Application[[#This Row],[CHANGED ON]]</f>
        <v>10.742928240739275</v>
      </c>
      <c r="N1264">
        <f ca="1">qry_ProdData2_PDI_Cash_Exception_Application[[#This Row],[TODAY]]-qry_ProdData2_PDI_Cash_Exception_Application[[#This Row],[CHANGED ON]]</f>
        <v>10.742928240739275</v>
      </c>
    </row>
    <row r="1265" spans="1:14" x14ac:dyDescent="0.35">
      <c r="A1265">
        <v>1024</v>
      </c>
      <c r="B1265" t="s">
        <v>78</v>
      </c>
      <c r="C1265" s="1">
        <v>45187.257071759261</v>
      </c>
      <c r="D1265" t="str">
        <f ca="1">VLOOKUP(qry_ProdData2_PDI_Cash_Exception_Application[[#This Row],[TYPE]],#REF!,2,FALSE)</f>
        <v>type40</v>
      </c>
      <c r="E1265">
        <v>321.8</v>
      </c>
      <c r="F1265" t="s">
        <v>52</v>
      </c>
      <c r="G1265" s="1">
        <f>qry_ProdData2_PDI_Cash_Exception_Application[[#This Row],[INSERT DATE]]+7</f>
        <v>45194.257071759261</v>
      </c>
      <c r="H1265" t="str">
        <f>VLOOKUP(qry_ProdData2_PDI_Cash_Exception_Application[[#This Row],[MARKET No]],'Site Allocation'!$B$2:$C$37,2,FALSE)</f>
        <v>Analyst5</v>
      </c>
      <c r="I1265" s="4">
        <f t="shared" ca="1" si="19"/>
        <v>45203</v>
      </c>
      <c r="J1265" s="42">
        <f ca="1">TODAY()-qry_ProdData2_PDI_Cash_Exception_Application[[#This Row],[INSERT DATE]]</f>
        <v>15.742928240739275</v>
      </c>
      <c r="K12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65">
        <f ca="1">qry_ProdData2_PDI_Cash_Exception_Application[[#This Row],[TODAY]]-qry_ProdData2_PDI_Cash_Exception_Application[[#This Row],[CHANGED ON]]</f>
        <v>8.7429282407392748</v>
      </c>
      <c r="M1265">
        <f ca="1">qry_ProdData2_PDI_Cash_Exception_Application[[#This Row],[TODAY]]-qry_ProdData2_PDI_Cash_Exception_Application[[#This Row],[CHANGED ON]]</f>
        <v>8.7429282407392748</v>
      </c>
      <c r="N1265">
        <f ca="1">qry_ProdData2_PDI_Cash_Exception_Application[[#This Row],[TODAY]]-qry_ProdData2_PDI_Cash_Exception_Application[[#This Row],[CHANGED ON]]</f>
        <v>8.7429282407392748</v>
      </c>
    </row>
    <row r="1266" spans="1:14" x14ac:dyDescent="0.35">
      <c r="A1266">
        <v>1026</v>
      </c>
      <c r="B1266" t="s">
        <v>80</v>
      </c>
      <c r="C1266" s="1">
        <v>45186.257071759261</v>
      </c>
      <c r="D1266" t="str">
        <f ca="1">VLOOKUP(qry_ProdData2_PDI_Cash_Exception_Application[[#This Row],[TYPE]],#REF!,2,FALSE)</f>
        <v>type24</v>
      </c>
      <c r="E1266">
        <v>450.33</v>
      </c>
      <c r="F1266" t="s">
        <v>49</v>
      </c>
      <c r="G1266" s="1">
        <f>qry_ProdData2_PDI_Cash_Exception_Application[[#This Row],[INSERT DATE]]+7</f>
        <v>45193.257071759261</v>
      </c>
      <c r="H1266" t="str">
        <f>VLOOKUP(qry_ProdData2_PDI_Cash_Exception_Application[[#This Row],[MARKET No]],'Site Allocation'!$B$2:$C$37,2,FALSE)</f>
        <v>Analyst5</v>
      </c>
      <c r="I1266" s="4">
        <f t="shared" ca="1" si="19"/>
        <v>45203</v>
      </c>
      <c r="J1266" s="42">
        <f ca="1">TODAY()-qry_ProdData2_PDI_Cash_Exception_Application[[#This Row],[INSERT DATE]]</f>
        <v>16.742928240739275</v>
      </c>
      <c r="K12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66">
        <f ca="1">qry_ProdData2_PDI_Cash_Exception_Application[[#This Row],[TODAY]]-qry_ProdData2_PDI_Cash_Exception_Application[[#This Row],[CHANGED ON]]</f>
        <v>9.7429282407392748</v>
      </c>
      <c r="M1266">
        <f ca="1">qry_ProdData2_PDI_Cash_Exception_Application[[#This Row],[TODAY]]-qry_ProdData2_PDI_Cash_Exception_Application[[#This Row],[CHANGED ON]]</f>
        <v>9.7429282407392748</v>
      </c>
      <c r="N1266">
        <f ca="1">qry_ProdData2_PDI_Cash_Exception_Application[[#This Row],[TODAY]]-qry_ProdData2_PDI_Cash_Exception_Application[[#This Row],[CHANGED ON]]</f>
        <v>9.7429282407392748</v>
      </c>
    </row>
    <row r="1267" spans="1:14" x14ac:dyDescent="0.35">
      <c r="A1267">
        <v>1026</v>
      </c>
      <c r="B1267" t="s">
        <v>80</v>
      </c>
      <c r="C1267" s="1">
        <v>45191.257071759261</v>
      </c>
      <c r="D1267" t="str">
        <f ca="1">VLOOKUP(qry_ProdData2_PDI_Cash_Exception_Application[[#This Row],[TYPE]],#REF!,2,FALSE)</f>
        <v>type40</v>
      </c>
      <c r="E1267">
        <v>3819.8</v>
      </c>
      <c r="F1267" t="s">
        <v>51</v>
      </c>
      <c r="G1267" s="1">
        <f>qry_ProdData2_PDI_Cash_Exception_Application[[#This Row],[INSERT DATE]]+2</f>
        <v>45193.257071759261</v>
      </c>
      <c r="H1267" t="str">
        <f>VLOOKUP(qry_ProdData2_PDI_Cash_Exception_Application[[#This Row],[MARKET No]],'Site Allocation'!$B$2:$C$37,2,FALSE)</f>
        <v>Analyst5</v>
      </c>
      <c r="I1267" s="4">
        <f t="shared" ca="1" si="19"/>
        <v>45203</v>
      </c>
      <c r="J1267" s="42">
        <f ca="1">TODAY()-qry_ProdData2_PDI_Cash_Exception_Application[[#This Row],[INSERT DATE]]</f>
        <v>11.742928240739275</v>
      </c>
      <c r="K12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67">
        <f ca="1">qry_ProdData2_PDI_Cash_Exception_Application[[#This Row],[TODAY]]-qry_ProdData2_PDI_Cash_Exception_Application[[#This Row],[CHANGED ON]]</f>
        <v>9.7429282407392748</v>
      </c>
      <c r="M1267">
        <f ca="1">qry_ProdData2_PDI_Cash_Exception_Application[[#This Row],[TODAY]]-qry_ProdData2_PDI_Cash_Exception_Application[[#This Row],[CHANGED ON]]</f>
        <v>9.7429282407392748</v>
      </c>
      <c r="N1267">
        <f ca="1">qry_ProdData2_PDI_Cash_Exception_Application[[#This Row],[TODAY]]-qry_ProdData2_PDI_Cash_Exception_Application[[#This Row],[CHANGED ON]]</f>
        <v>9.7429282407392748</v>
      </c>
    </row>
    <row r="1268" spans="1:14" x14ac:dyDescent="0.35">
      <c r="A1268">
        <v>1030</v>
      </c>
      <c r="B1268" t="s">
        <v>84</v>
      </c>
      <c r="C1268" s="1">
        <v>45182.257071759261</v>
      </c>
      <c r="D1268" t="str">
        <f ca="1">VLOOKUP(qry_ProdData2_PDI_Cash_Exception_Application[[#This Row],[TYPE]],#REF!,2,FALSE)</f>
        <v>type40</v>
      </c>
      <c r="E1268">
        <v>8953.85</v>
      </c>
      <c r="F1268" t="s">
        <v>51</v>
      </c>
      <c r="G1268" s="1">
        <f>qry_ProdData2_PDI_Cash_Exception_Application[[#This Row],[INSERT DATE]]+7</f>
        <v>45189.257071759261</v>
      </c>
      <c r="H1268" t="str">
        <f>VLOOKUP(qry_ProdData2_PDI_Cash_Exception_Application[[#This Row],[MARKET No]],'Site Allocation'!$B$2:$C$37,2,FALSE)</f>
        <v>Analyst6</v>
      </c>
      <c r="I1268" s="4">
        <f t="shared" ca="1" si="19"/>
        <v>45203</v>
      </c>
      <c r="J1268" s="42">
        <f ca="1">TODAY()-qry_ProdData2_PDI_Cash_Exception_Application[[#This Row],[INSERT DATE]]</f>
        <v>20.742928240739275</v>
      </c>
      <c r="K12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68">
        <f ca="1">qry_ProdData2_PDI_Cash_Exception_Application[[#This Row],[TODAY]]-qry_ProdData2_PDI_Cash_Exception_Application[[#This Row],[CHANGED ON]]</f>
        <v>13.742928240739275</v>
      </c>
      <c r="M1268">
        <f ca="1">qry_ProdData2_PDI_Cash_Exception_Application[[#This Row],[TODAY]]-qry_ProdData2_PDI_Cash_Exception_Application[[#This Row],[CHANGED ON]]</f>
        <v>13.742928240739275</v>
      </c>
      <c r="N1268">
        <f ca="1">qry_ProdData2_PDI_Cash_Exception_Application[[#This Row],[TODAY]]-qry_ProdData2_PDI_Cash_Exception_Application[[#This Row],[CHANGED ON]]</f>
        <v>13.742928240739275</v>
      </c>
    </row>
    <row r="1269" spans="1:14" x14ac:dyDescent="0.35">
      <c r="A1269">
        <v>1017</v>
      </c>
      <c r="B1269" t="s">
        <v>71</v>
      </c>
      <c r="C1269" s="1">
        <v>45189.257071759261</v>
      </c>
      <c r="D1269" t="str">
        <f ca="1">VLOOKUP(qry_ProdData2_PDI_Cash_Exception_Application[[#This Row],[TYPE]],#REF!,2,FALSE)</f>
        <v>type13</v>
      </c>
      <c r="E1269">
        <v>15985</v>
      </c>
      <c r="F1269" t="s">
        <v>50</v>
      </c>
      <c r="G1269" s="1">
        <f>qry_ProdData2_PDI_Cash_Exception_Application[[#This Row],[INSERT DATE]]+7</f>
        <v>45196.257071759261</v>
      </c>
      <c r="H1269" t="str">
        <f>VLOOKUP(qry_ProdData2_PDI_Cash_Exception_Application[[#This Row],[MARKET No]],'Site Allocation'!$B$2:$C$37,2,FALSE)</f>
        <v>Analyst3</v>
      </c>
      <c r="I1269" s="4">
        <f t="shared" ca="1" si="19"/>
        <v>45203</v>
      </c>
      <c r="J1269" s="42">
        <f ca="1">TODAY()-qry_ProdData2_PDI_Cash_Exception_Application[[#This Row],[INSERT DATE]]</f>
        <v>13.742928240739275</v>
      </c>
      <c r="K12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69">
        <f ca="1">qry_ProdData2_PDI_Cash_Exception_Application[[#This Row],[TODAY]]-qry_ProdData2_PDI_Cash_Exception_Application[[#This Row],[CHANGED ON]]</f>
        <v>6.7429282407392748</v>
      </c>
      <c r="M1269">
        <f ca="1">qry_ProdData2_PDI_Cash_Exception_Application[[#This Row],[TODAY]]-qry_ProdData2_PDI_Cash_Exception_Application[[#This Row],[CHANGED ON]]</f>
        <v>6.7429282407392748</v>
      </c>
      <c r="N1269">
        <f ca="1">qry_ProdData2_PDI_Cash_Exception_Application[[#This Row],[TODAY]]-qry_ProdData2_PDI_Cash_Exception_Application[[#This Row],[CHANGED ON]]</f>
        <v>6.7429282407392748</v>
      </c>
    </row>
    <row r="1270" spans="1:14" x14ac:dyDescent="0.35">
      <c r="A1270">
        <v>1021</v>
      </c>
      <c r="B1270" t="s">
        <v>75</v>
      </c>
      <c r="C1270" s="1">
        <v>45187.257071759261</v>
      </c>
      <c r="D1270" t="str">
        <f ca="1">VLOOKUP(qry_ProdData2_PDI_Cash_Exception_Application[[#This Row],[TYPE]],#REF!,2,FALSE)</f>
        <v>type8</v>
      </c>
      <c r="E1270">
        <v>59.86</v>
      </c>
      <c r="F1270" t="s">
        <v>49</v>
      </c>
      <c r="G1270" s="1">
        <f>qry_ProdData2_PDI_Cash_Exception_Application[[#This Row],[INSERT DATE]]+7</f>
        <v>45194.257071759261</v>
      </c>
      <c r="H1270" t="str">
        <f>VLOOKUP(qry_ProdData2_PDI_Cash_Exception_Application[[#This Row],[MARKET No]],'Site Allocation'!$B$2:$C$37,2,FALSE)</f>
        <v>Analyst4</v>
      </c>
      <c r="I1270" s="4">
        <f t="shared" ca="1" si="19"/>
        <v>45203</v>
      </c>
      <c r="J1270" s="42">
        <f ca="1">TODAY()-qry_ProdData2_PDI_Cash_Exception_Application[[#This Row],[INSERT DATE]]</f>
        <v>15.742928240739275</v>
      </c>
      <c r="K12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70">
        <f ca="1">qry_ProdData2_PDI_Cash_Exception_Application[[#This Row],[TODAY]]-qry_ProdData2_PDI_Cash_Exception_Application[[#This Row],[CHANGED ON]]</f>
        <v>8.7429282407392748</v>
      </c>
      <c r="M1270">
        <f ca="1">qry_ProdData2_PDI_Cash_Exception_Application[[#This Row],[TODAY]]-qry_ProdData2_PDI_Cash_Exception_Application[[#This Row],[CHANGED ON]]</f>
        <v>8.7429282407392748</v>
      </c>
      <c r="N1270">
        <f ca="1">qry_ProdData2_PDI_Cash_Exception_Application[[#This Row],[TODAY]]-qry_ProdData2_PDI_Cash_Exception_Application[[#This Row],[CHANGED ON]]</f>
        <v>8.7429282407392748</v>
      </c>
    </row>
    <row r="1271" spans="1:14" x14ac:dyDescent="0.35">
      <c r="A1271">
        <v>1012</v>
      </c>
      <c r="B1271" t="s">
        <v>66</v>
      </c>
      <c r="C1271" s="1">
        <v>45183.257071759261</v>
      </c>
      <c r="D1271" t="str">
        <f ca="1">VLOOKUP(qry_ProdData2_PDI_Cash_Exception_Application[[#This Row],[TYPE]],#REF!,2,FALSE)</f>
        <v>type40</v>
      </c>
      <c r="E1271">
        <v>6703.27</v>
      </c>
      <c r="F1271" t="s">
        <v>51</v>
      </c>
      <c r="G1271" s="1">
        <f>qry_ProdData2_PDI_Cash_Exception_Application[[#This Row],[INSERT DATE]]+7</f>
        <v>45190.257071759261</v>
      </c>
      <c r="H1271" t="str">
        <f>VLOOKUP(qry_ProdData2_PDI_Cash_Exception_Application[[#This Row],[MARKET No]],'Site Allocation'!$B$2:$C$37,2,FALSE)</f>
        <v>Analyst3</v>
      </c>
      <c r="I1271" s="4">
        <f t="shared" ca="1" si="19"/>
        <v>45203</v>
      </c>
      <c r="J1271" s="42">
        <f ca="1">TODAY()-qry_ProdData2_PDI_Cash_Exception_Application[[#This Row],[INSERT DATE]]</f>
        <v>19.742928240739275</v>
      </c>
      <c r="K12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71">
        <f ca="1">qry_ProdData2_PDI_Cash_Exception_Application[[#This Row],[TODAY]]-qry_ProdData2_PDI_Cash_Exception_Application[[#This Row],[CHANGED ON]]</f>
        <v>12.742928240739275</v>
      </c>
      <c r="M1271">
        <f ca="1">qry_ProdData2_PDI_Cash_Exception_Application[[#This Row],[TODAY]]-qry_ProdData2_PDI_Cash_Exception_Application[[#This Row],[CHANGED ON]]</f>
        <v>12.742928240739275</v>
      </c>
      <c r="N1271">
        <f ca="1">qry_ProdData2_PDI_Cash_Exception_Application[[#This Row],[TODAY]]-qry_ProdData2_PDI_Cash_Exception_Application[[#This Row],[CHANGED ON]]</f>
        <v>12.742928240739275</v>
      </c>
    </row>
    <row r="1272" spans="1:14" x14ac:dyDescent="0.35">
      <c r="A1272">
        <v>1028</v>
      </c>
      <c r="B1272" t="s">
        <v>82</v>
      </c>
      <c r="C1272" s="1">
        <v>45189.257071759261</v>
      </c>
      <c r="D1272" t="str">
        <f ca="1">VLOOKUP(qry_ProdData2_PDI_Cash_Exception_Application[[#This Row],[TYPE]],#REF!,2,FALSE)</f>
        <v>type38</v>
      </c>
      <c r="E1272">
        <v>168.66</v>
      </c>
      <c r="F1272" t="s">
        <v>48</v>
      </c>
      <c r="G1272" s="1">
        <f>qry_ProdData2_PDI_Cash_Exception_Application[[#This Row],[INSERT DATE]]+2</f>
        <v>45191.257071759261</v>
      </c>
      <c r="H1272" t="str">
        <f>VLOOKUP(qry_ProdData2_PDI_Cash_Exception_Application[[#This Row],[MARKET No]],'Site Allocation'!$B$2:$C$37,2,FALSE)</f>
        <v>Analyst5</v>
      </c>
      <c r="I1272" s="4">
        <f t="shared" ca="1" si="19"/>
        <v>45203</v>
      </c>
      <c r="J1272" s="42">
        <f ca="1">TODAY()-qry_ProdData2_PDI_Cash_Exception_Application[[#This Row],[INSERT DATE]]</f>
        <v>13.742928240739275</v>
      </c>
      <c r="K12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72">
        <f ca="1">qry_ProdData2_PDI_Cash_Exception_Application[[#This Row],[TODAY]]-qry_ProdData2_PDI_Cash_Exception_Application[[#This Row],[CHANGED ON]]</f>
        <v>11.742928240739275</v>
      </c>
      <c r="M1272">
        <f ca="1">qry_ProdData2_PDI_Cash_Exception_Application[[#This Row],[TODAY]]-qry_ProdData2_PDI_Cash_Exception_Application[[#This Row],[CHANGED ON]]</f>
        <v>11.742928240739275</v>
      </c>
      <c r="N1272">
        <f ca="1">qry_ProdData2_PDI_Cash_Exception_Application[[#This Row],[TODAY]]-qry_ProdData2_PDI_Cash_Exception_Application[[#This Row],[CHANGED ON]]</f>
        <v>11.742928240739275</v>
      </c>
    </row>
    <row r="1273" spans="1:14" x14ac:dyDescent="0.35">
      <c r="A1273">
        <v>1017</v>
      </c>
      <c r="B1273" t="s">
        <v>71</v>
      </c>
      <c r="C1273" s="1">
        <v>45190.257071759261</v>
      </c>
      <c r="D1273" t="str">
        <f ca="1">VLOOKUP(qry_ProdData2_PDI_Cash_Exception_Application[[#This Row],[TYPE]],#REF!,2,FALSE)</f>
        <v>type40</v>
      </c>
      <c r="E1273">
        <v>60.08</v>
      </c>
      <c r="F1273" t="s">
        <v>48</v>
      </c>
      <c r="G1273" s="1">
        <f>qry_ProdData2_PDI_Cash_Exception_Application[[#This Row],[INSERT DATE]]+2</f>
        <v>45192.257071759261</v>
      </c>
      <c r="H1273" t="str">
        <f>VLOOKUP(qry_ProdData2_PDI_Cash_Exception_Application[[#This Row],[MARKET No]],'Site Allocation'!$B$2:$C$37,2,FALSE)</f>
        <v>Analyst3</v>
      </c>
      <c r="I1273" s="4">
        <f t="shared" ca="1" si="19"/>
        <v>45203</v>
      </c>
      <c r="J1273" s="42">
        <f ca="1">TODAY()-qry_ProdData2_PDI_Cash_Exception_Application[[#This Row],[INSERT DATE]]</f>
        <v>12.742928240739275</v>
      </c>
      <c r="K12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73">
        <f ca="1">qry_ProdData2_PDI_Cash_Exception_Application[[#This Row],[TODAY]]-qry_ProdData2_PDI_Cash_Exception_Application[[#This Row],[CHANGED ON]]</f>
        <v>10.742928240739275</v>
      </c>
      <c r="M1273">
        <f ca="1">qry_ProdData2_PDI_Cash_Exception_Application[[#This Row],[TODAY]]-qry_ProdData2_PDI_Cash_Exception_Application[[#This Row],[CHANGED ON]]</f>
        <v>10.742928240739275</v>
      </c>
      <c r="N1273">
        <f ca="1">qry_ProdData2_PDI_Cash_Exception_Application[[#This Row],[TODAY]]-qry_ProdData2_PDI_Cash_Exception_Application[[#This Row],[CHANGED ON]]</f>
        <v>10.742928240739275</v>
      </c>
    </row>
    <row r="1274" spans="1:14" x14ac:dyDescent="0.35">
      <c r="A1274">
        <v>1012</v>
      </c>
      <c r="B1274" t="s">
        <v>66</v>
      </c>
      <c r="C1274" s="1">
        <v>45188.257071759261</v>
      </c>
      <c r="D1274" t="str">
        <f ca="1">VLOOKUP(qry_ProdData2_PDI_Cash_Exception_Application[[#This Row],[TYPE]],#REF!,2,FALSE)</f>
        <v>type44</v>
      </c>
      <c r="E1274">
        <v>313.5</v>
      </c>
      <c r="F1274" t="s">
        <v>49</v>
      </c>
      <c r="G1274" s="1">
        <f>qry_ProdData2_PDI_Cash_Exception_Application[[#This Row],[INSERT DATE]]+7</f>
        <v>45195.257071759261</v>
      </c>
      <c r="H1274" t="str">
        <f>VLOOKUP(qry_ProdData2_PDI_Cash_Exception_Application[[#This Row],[MARKET No]],'Site Allocation'!$B$2:$C$37,2,FALSE)</f>
        <v>Analyst3</v>
      </c>
      <c r="I1274" s="4">
        <f t="shared" ca="1" si="19"/>
        <v>45203</v>
      </c>
      <c r="J1274" s="42">
        <f ca="1">TODAY()-qry_ProdData2_PDI_Cash_Exception_Application[[#This Row],[INSERT DATE]]</f>
        <v>14.742928240739275</v>
      </c>
      <c r="K12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74">
        <f ca="1">qry_ProdData2_PDI_Cash_Exception_Application[[#This Row],[TODAY]]-qry_ProdData2_PDI_Cash_Exception_Application[[#This Row],[CHANGED ON]]</f>
        <v>7.7429282407392748</v>
      </c>
      <c r="M1274">
        <f ca="1">qry_ProdData2_PDI_Cash_Exception_Application[[#This Row],[TODAY]]-qry_ProdData2_PDI_Cash_Exception_Application[[#This Row],[CHANGED ON]]</f>
        <v>7.7429282407392748</v>
      </c>
      <c r="N1274">
        <f ca="1">qry_ProdData2_PDI_Cash_Exception_Application[[#This Row],[TODAY]]-qry_ProdData2_PDI_Cash_Exception_Application[[#This Row],[CHANGED ON]]</f>
        <v>7.7429282407392748</v>
      </c>
    </row>
    <row r="1275" spans="1:14" x14ac:dyDescent="0.35">
      <c r="A1275">
        <v>1018</v>
      </c>
      <c r="B1275" t="s">
        <v>72</v>
      </c>
      <c r="C1275" s="1">
        <v>45189.257071759261</v>
      </c>
      <c r="D1275" t="str">
        <f ca="1">VLOOKUP(qry_ProdData2_PDI_Cash_Exception_Application[[#This Row],[TYPE]],#REF!,2,FALSE)</f>
        <v>type40</v>
      </c>
      <c r="E1275">
        <v>5089.9799999999996</v>
      </c>
      <c r="F1275" t="s">
        <v>47</v>
      </c>
      <c r="G1275" s="1">
        <f>qry_ProdData2_PDI_Cash_Exception_Application[[#This Row],[INSERT DATE]]+7</f>
        <v>45196.257071759261</v>
      </c>
      <c r="H1275" t="str">
        <f>VLOOKUP(qry_ProdData2_PDI_Cash_Exception_Application[[#This Row],[MARKET No]],'Site Allocation'!$B$2:$C$37,2,FALSE)</f>
        <v>Analyst4</v>
      </c>
      <c r="I1275" s="4">
        <f t="shared" ca="1" si="19"/>
        <v>45203</v>
      </c>
      <c r="J1275" s="42">
        <f ca="1">TODAY()-qry_ProdData2_PDI_Cash_Exception_Application[[#This Row],[INSERT DATE]]</f>
        <v>13.742928240739275</v>
      </c>
      <c r="K12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75">
        <f ca="1">qry_ProdData2_PDI_Cash_Exception_Application[[#This Row],[TODAY]]-qry_ProdData2_PDI_Cash_Exception_Application[[#This Row],[CHANGED ON]]</f>
        <v>6.7429282407392748</v>
      </c>
      <c r="M1275">
        <f ca="1">qry_ProdData2_PDI_Cash_Exception_Application[[#This Row],[TODAY]]-qry_ProdData2_PDI_Cash_Exception_Application[[#This Row],[CHANGED ON]]</f>
        <v>6.7429282407392748</v>
      </c>
      <c r="N1275">
        <f ca="1">qry_ProdData2_PDI_Cash_Exception_Application[[#This Row],[TODAY]]-qry_ProdData2_PDI_Cash_Exception_Application[[#This Row],[CHANGED ON]]</f>
        <v>6.7429282407392748</v>
      </c>
    </row>
    <row r="1276" spans="1:14" x14ac:dyDescent="0.35">
      <c r="A1276">
        <v>1020</v>
      </c>
      <c r="B1276" t="s">
        <v>74</v>
      </c>
      <c r="C1276" s="1">
        <v>45195.257071759261</v>
      </c>
      <c r="D1276" t="str">
        <f ca="1">VLOOKUP(qry_ProdData2_PDI_Cash_Exception_Application[[#This Row],[TYPE]],#REF!,2,FALSE)</f>
        <v>type40</v>
      </c>
      <c r="E1276">
        <v>-1263.69</v>
      </c>
      <c r="F1276" t="s">
        <v>52</v>
      </c>
      <c r="G1276" s="1">
        <f>qry_ProdData2_PDI_Cash_Exception_Application[[#This Row],[INSERT DATE]]+7</f>
        <v>45202.257071759261</v>
      </c>
      <c r="H1276" t="str">
        <f>VLOOKUP(qry_ProdData2_PDI_Cash_Exception_Application[[#This Row],[MARKET No]],'Site Allocation'!$B$2:$C$37,2,FALSE)</f>
        <v>Analyst4</v>
      </c>
      <c r="I1276" s="4">
        <f t="shared" ca="1" si="19"/>
        <v>45203</v>
      </c>
      <c r="J1276" s="42">
        <f ca="1">TODAY()-qry_ProdData2_PDI_Cash_Exception_Application[[#This Row],[INSERT DATE]]</f>
        <v>7.7429282407392748</v>
      </c>
      <c r="K12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276">
        <f ca="1">qry_ProdData2_PDI_Cash_Exception_Application[[#This Row],[TODAY]]-qry_ProdData2_PDI_Cash_Exception_Application[[#This Row],[CHANGED ON]]</f>
        <v>0.74292824073927477</v>
      </c>
      <c r="M1276">
        <f ca="1">qry_ProdData2_PDI_Cash_Exception_Application[[#This Row],[TODAY]]-qry_ProdData2_PDI_Cash_Exception_Application[[#This Row],[CHANGED ON]]</f>
        <v>0.74292824073927477</v>
      </c>
      <c r="N1276">
        <f ca="1">qry_ProdData2_PDI_Cash_Exception_Application[[#This Row],[TODAY]]-qry_ProdData2_PDI_Cash_Exception_Application[[#This Row],[CHANGED ON]]</f>
        <v>0.74292824073927477</v>
      </c>
    </row>
    <row r="1277" spans="1:14" x14ac:dyDescent="0.35">
      <c r="A1277">
        <v>1013</v>
      </c>
      <c r="B1277" t="s">
        <v>67</v>
      </c>
      <c r="C1277" s="1">
        <v>45189.257071759261</v>
      </c>
      <c r="D1277" t="str">
        <f ca="1">VLOOKUP(qry_ProdData2_PDI_Cash_Exception_Application[[#This Row],[TYPE]],#REF!,2,FALSE)</f>
        <v>type40</v>
      </c>
      <c r="E1277">
        <v>1539.35</v>
      </c>
      <c r="F1277" t="s">
        <v>47</v>
      </c>
      <c r="G1277" s="1">
        <f>qry_ProdData2_PDI_Cash_Exception_Application[[#This Row],[INSERT DATE]]+7</f>
        <v>45196.257071759261</v>
      </c>
      <c r="H1277" t="str">
        <f>VLOOKUP(qry_ProdData2_PDI_Cash_Exception_Application[[#This Row],[MARKET No]],'Site Allocation'!$B$2:$C$37,2,FALSE)</f>
        <v>Analyst3</v>
      </c>
      <c r="I1277" s="4">
        <f t="shared" ca="1" si="19"/>
        <v>45203</v>
      </c>
      <c r="J1277" s="42">
        <f ca="1">TODAY()-qry_ProdData2_PDI_Cash_Exception_Application[[#This Row],[INSERT DATE]]</f>
        <v>13.742928240739275</v>
      </c>
      <c r="K12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77">
        <f ca="1">qry_ProdData2_PDI_Cash_Exception_Application[[#This Row],[TODAY]]-qry_ProdData2_PDI_Cash_Exception_Application[[#This Row],[CHANGED ON]]</f>
        <v>6.7429282407392748</v>
      </c>
      <c r="M1277">
        <f ca="1">qry_ProdData2_PDI_Cash_Exception_Application[[#This Row],[TODAY]]-qry_ProdData2_PDI_Cash_Exception_Application[[#This Row],[CHANGED ON]]</f>
        <v>6.7429282407392748</v>
      </c>
      <c r="N1277">
        <f ca="1">qry_ProdData2_PDI_Cash_Exception_Application[[#This Row],[TODAY]]-qry_ProdData2_PDI_Cash_Exception_Application[[#This Row],[CHANGED ON]]</f>
        <v>6.7429282407392748</v>
      </c>
    </row>
    <row r="1278" spans="1:14" x14ac:dyDescent="0.35">
      <c r="A1278">
        <v>1008</v>
      </c>
      <c r="B1278" t="s">
        <v>62</v>
      </c>
      <c r="C1278" s="1">
        <v>45187.257071759261</v>
      </c>
      <c r="D1278" t="str">
        <f ca="1">VLOOKUP(qry_ProdData2_PDI_Cash_Exception_Application[[#This Row],[TYPE]],#REF!,2,FALSE)</f>
        <v>type40</v>
      </c>
      <c r="E1278">
        <v>64.78</v>
      </c>
      <c r="F1278" t="s">
        <v>49</v>
      </c>
      <c r="G1278" s="1">
        <f>qry_ProdData2_PDI_Cash_Exception_Application[[#This Row],[INSERT DATE]]+1</f>
        <v>45188.257071759261</v>
      </c>
      <c r="H1278" t="str">
        <f>VLOOKUP(qry_ProdData2_PDI_Cash_Exception_Application[[#This Row],[MARKET No]],'Site Allocation'!$B$2:$C$37,2,FALSE)</f>
        <v>Analyst2</v>
      </c>
      <c r="I1278" s="4">
        <f t="shared" ca="1" si="19"/>
        <v>45203</v>
      </c>
      <c r="J1278" s="42">
        <f ca="1">TODAY()-qry_ProdData2_PDI_Cash_Exception_Application[[#This Row],[INSERT DATE]]</f>
        <v>15.742928240739275</v>
      </c>
      <c r="K12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78">
        <f ca="1">qry_ProdData2_PDI_Cash_Exception_Application[[#This Row],[TODAY]]-qry_ProdData2_PDI_Cash_Exception_Application[[#This Row],[CHANGED ON]]</f>
        <v>14.742928240739275</v>
      </c>
      <c r="M1278">
        <f ca="1">qry_ProdData2_PDI_Cash_Exception_Application[[#This Row],[TODAY]]-qry_ProdData2_PDI_Cash_Exception_Application[[#This Row],[CHANGED ON]]</f>
        <v>14.742928240739275</v>
      </c>
      <c r="N1278">
        <f ca="1">qry_ProdData2_PDI_Cash_Exception_Application[[#This Row],[TODAY]]-qry_ProdData2_PDI_Cash_Exception_Application[[#This Row],[CHANGED ON]]</f>
        <v>14.742928240739275</v>
      </c>
    </row>
    <row r="1279" spans="1:14" x14ac:dyDescent="0.35">
      <c r="A1279">
        <v>1011</v>
      </c>
      <c r="B1279" t="s">
        <v>65</v>
      </c>
      <c r="C1279" s="1">
        <v>45185.257071759261</v>
      </c>
      <c r="D1279" t="str">
        <f ca="1">VLOOKUP(qry_ProdData2_PDI_Cash_Exception_Application[[#This Row],[TYPE]],#REF!,2,FALSE)</f>
        <v>type40</v>
      </c>
      <c r="E1279">
        <v>-538.22</v>
      </c>
      <c r="F1279" t="s">
        <v>52</v>
      </c>
      <c r="G1279" s="1">
        <f>qry_ProdData2_PDI_Cash_Exception_Application[[#This Row],[INSERT DATE]]+7</f>
        <v>45192.257071759261</v>
      </c>
      <c r="H1279" t="str">
        <f>VLOOKUP(qry_ProdData2_PDI_Cash_Exception_Application[[#This Row],[MARKET No]],'Site Allocation'!$B$2:$C$37,2,FALSE)</f>
        <v>Analyst2</v>
      </c>
      <c r="I1279" s="4">
        <f t="shared" ca="1" si="19"/>
        <v>45203</v>
      </c>
      <c r="J1279" s="42">
        <f ca="1">TODAY()-qry_ProdData2_PDI_Cash_Exception_Application[[#This Row],[INSERT DATE]]</f>
        <v>17.742928240739275</v>
      </c>
      <c r="K12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79">
        <f ca="1">qry_ProdData2_PDI_Cash_Exception_Application[[#This Row],[TODAY]]-qry_ProdData2_PDI_Cash_Exception_Application[[#This Row],[CHANGED ON]]</f>
        <v>10.742928240739275</v>
      </c>
      <c r="M1279">
        <f ca="1">qry_ProdData2_PDI_Cash_Exception_Application[[#This Row],[TODAY]]-qry_ProdData2_PDI_Cash_Exception_Application[[#This Row],[CHANGED ON]]</f>
        <v>10.742928240739275</v>
      </c>
      <c r="N1279">
        <f ca="1">qry_ProdData2_PDI_Cash_Exception_Application[[#This Row],[TODAY]]-qry_ProdData2_PDI_Cash_Exception_Application[[#This Row],[CHANGED ON]]</f>
        <v>10.742928240739275</v>
      </c>
    </row>
    <row r="1280" spans="1:14" x14ac:dyDescent="0.35">
      <c r="A1280">
        <v>1010</v>
      </c>
      <c r="B1280" t="s">
        <v>64</v>
      </c>
      <c r="C1280" s="1">
        <v>45190.257071759261</v>
      </c>
      <c r="D1280" t="str">
        <f ca="1">VLOOKUP(qry_ProdData2_PDI_Cash_Exception_Application[[#This Row],[TYPE]],#REF!,2,FALSE)</f>
        <v>type40</v>
      </c>
      <c r="E1280">
        <v>4706.82</v>
      </c>
      <c r="F1280" t="s">
        <v>47</v>
      </c>
      <c r="G1280" s="1">
        <f>qry_ProdData2_PDI_Cash_Exception_Application[[#This Row],[INSERT DATE]]+7</f>
        <v>45197.257071759261</v>
      </c>
      <c r="H1280" t="str">
        <f>VLOOKUP(qry_ProdData2_PDI_Cash_Exception_Application[[#This Row],[MARKET No]],'Site Allocation'!$B$2:$C$37,2,FALSE)</f>
        <v>Analyst2</v>
      </c>
      <c r="I1280" s="4">
        <f t="shared" ca="1" si="19"/>
        <v>45203</v>
      </c>
      <c r="J1280" s="42">
        <f ca="1">TODAY()-qry_ProdData2_PDI_Cash_Exception_Application[[#This Row],[INSERT DATE]]</f>
        <v>12.742928240739275</v>
      </c>
      <c r="K12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80">
        <f ca="1">qry_ProdData2_PDI_Cash_Exception_Application[[#This Row],[TODAY]]-qry_ProdData2_PDI_Cash_Exception_Application[[#This Row],[CHANGED ON]]</f>
        <v>5.7429282407392748</v>
      </c>
      <c r="M1280">
        <f ca="1">qry_ProdData2_PDI_Cash_Exception_Application[[#This Row],[TODAY]]-qry_ProdData2_PDI_Cash_Exception_Application[[#This Row],[CHANGED ON]]</f>
        <v>5.7429282407392748</v>
      </c>
      <c r="N1280">
        <f ca="1">qry_ProdData2_PDI_Cash_Exception_Application[[#This Row],[TODAY]]-qry_ProdData2_PDI_Cash_Exception_Application[[#This Row],[CHANGED ON]]</f>
        <v>5.7429282407392748</v>
      </c>
    </row>
    <row r="1281" spans="1:14" x14ac:dyDescent="0.35">
      <c r="A1281">
        <v>1014</v>
      </c>
      <c r="B1281" t="s">
        <v>68</v>
      </c>
      <c r="C1281" s="1">
        <v>45187.257071759261</v>
      </c>
      <c r="D1281" t="str">
        <f ca="1">VLOOKUP(qry_ProdData2_PDI_Cash_Exception_Application[[#This Row],[TYPE]],#REF!,2,FALSE)</f>
        <v>type42</v>
      </c>
      <c r="E1281">
        <v>203</v>
      </c>
      <c r="F1281" t="s">
        <v>52</v>
      </c>
      <c r="G1281" s="1">
        <f>qry_ProdData2_PDI_Cash_Exception_Application[[#This Row],[INSERT DATE]]+7</f>
        <v>45194.257071759261</v>
      </c>
      <c r="H1281" t="str">
        <f>VLOOKUP(qry_ProdData2_PDI_Cash_Exception_Application[[#This Row],[MARKET No]],'Site Allocation'!$B$2:$C$37,2,FALSE)</f>
        <v>Analyst3</v>
      </c>
      <c r="I1281" s="4">
        <f t="shared" ca="1" si="19"/>
        <v>45203</v>
      </c>
      <c r="J1281" s="42">
        <f ca="1">TODAY()-qry_ProdData2_PDI_Cash_Exception_Application[[#This Row],[INSERT DATE]]</f>
        <v>15.742928240739275</v>
      </c>
      <c r="K12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81">
        <f ca="1">qry_ProdData2_PDI_Cash_Exception_Application[[#This Row],[TODAY]]-qry_ProdData2_PDI_Cash_Exception_Application[[#This Row],[CHANGED ON]]</f>
        <v>8.7429282407392748</v>
      </c>
      <c r="M1281">
        <f ca="1">qry_ProdData2_PDI_Cash_Exception_Application[[#This Row],[TODAY]]-qry_ProdData2_PDI_Cash_Exception_Application[[#This Row],[CHANGED ON]]</f>
        <v>8.7429282407392748</v>
      </c>
      <c r="N1281">
        <f ca="1">qry_ProdData2_PDI_Cash_Exception_Application[[#This Row],[TODAY]]-qry_ProdData2_PDI_Cash_Exception_Application[[#This Row],[CHANGED ON]]</f>
        <v>8.7429282407392748</v>
      </c>
    </row>
    <row r="1282" spans="1:14" x14ac:dyDescent="0.35">
      <c r="A1282">
        <v>1001</v>
      </c>
      <c r="B1282" t="s">
        <v>55</v>
      </c>
      <c r="C1282" s="1">
        <v>45187.257071759261</v>
      </c>
      <c r="D1282" t="str">
        <f ca="1">VLOOKUP(qry_ProdData2_PDI_Cash_Exception_Application[[#This Row],[TYPE]],#REF!,2,FALSE)</f>
        <v>type40</v>
      </c>
      <c r="E1282">
        <v>1096.03</v>
      </c>
      <c r="F1282" t="s">
        <v>51</v>
      </c>
      <c r="G1282" s="1">
        <f>qry_ProdData2_PDI_Cash_Exception_Application[[#This Row],[INSERT DATE]]+1</f>
        <v>45188.257071759261</v>
      </c>
      <c r="H1282" t="str">
        <f>VLOOKUP(qry_ProdData2_PDI_Cash_Exception_Application[[#This Row],[MARKET No]],'Site Allocation'!$B$2:$C$37,2,FALSE)</f>
        <v>Analyst1</v>
      </c>
      <c r="I1282" s="4">
        <f t="shared" ref="I1282:I1345" ca="1" si="20">TODAY()</f>
        <v>45203</v>
      </c>
      <c r="J1282" s="42">
        <f ca="1">TODAY()-qry_ProdData2_PDI_Cash_Exception_Application[[#This Row],[INSERT DATE]]</f>
        <v>15.742928240739275</v>
      </c>
      <c r="K12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82">
        <f ca="1">qry_ProdData2_PDI_Cash_Exception_Application[[#This Row],[TODAY]]-qry_ProdData2_PDI_Cash_Exception_Application[[#This Row],[CHANGED ON]]</f>
        <v>14.742928240739275</v>
      </c>
      <c r="M1282">
        <f ca="1">qry_ProdData2_PDI_Cash_Exception_Application[[#This Row],[TODAY]]-qry_ProdData2_PDI_Cash_Exception_Application[[#This Row],[CHANGED ON]]</f>
        <v>14.742928240739275</v>
      </c>
      <c r="N1282">
        <f ca="1">qry_ProdData2_PDI_Cash_Exception_Application[[#This Row],[TODAY]]-qry_ProdData2_PDI_Cash_Exception_Application[[#This Row],[CHANGED ON]]</f>
        <v>14.742928240739275</v>
      </c>
    </row>
    <row r="1283" spans="1:14" x14ac:dyDescent="0.35">
      <c r="A1283">
        <v>1033</v>
      </c>
      <c r="B1283" t="s">
        <v>87</v>
      </c>
      <c r="C1283" s="1">
        <v>45188.257071759261</v>
      </c>
      <c r="D1283" t="str">
        <f ca="1">VLOOKUP(qry_ProdData2_PDI_Cash_Exception_Application[[#This Row],[TYPE]],#REF!,2,FALSE)</f>
        <v>type13</v>
      </c>
      <c r="E1283">
        <v>40100.51</v>
      </c>
      <c r="F1283" t="s">
        <v>52</v>
      </c>
      <c r="G1283" s="1">
        <f>qry_ProdData2_PDI_Cash_Exception_Application[[#This Row],[INSERT DATE]]+1</f>
        <v>45189.257071759261</v>
      </c>
      <c r="H1283" t="str">
        <f>VLOOKUP(qry_ProdData2_PDI_Cash_Exception_Application[[#This Row],[MARKET No]],'Site Allocation'!$B$2:$C$37,2,FALSE)</f>
        <v>Analyst6</v>
      </c>
      <c r="I1283" s="4">
        <f t="shared" ca="1" si="20"/>
        <v>45203</v>
      </c>
      <c r="J1283" s="42">
        <f ca="1">TODAY()-qry_ProdData2_PDI_Cash_Exception_Application[[#This Row],[INSERT DATE]]</f>
        <v>14.742928240739275</v>
      </c>
      <c r="K12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83">
        <f ca="1">qry_ProdData2_PDI_Cash_Exception_Application[[#This Row],[TODAY]]-qry_ProdData2_PDI_Cash_Exception_Application[[#This Row],[CHANGED ON]]</f>
        <v>13.742928240739275</v>
      </c>
      <c r="M1283">
        <f ca="1">qry_ProdData2_PDI_Cash_Exception_Application[[#This Row],[TODAY]]-qry_ProdData2_PDI_Cash_Exception_Application[[#This Row],[CHANGED ON]]</f>
        <v>13.742928240739275</v>
      </c>
      <c r="N1283">
        <f ca="1">qry_ProdData2_PDI_Cash_Exception_Application[[#This Row],[TODAY]]-qry_ProdData2_PDI_Cash_Exception_Application[[#This Row],[CHANGED ON]]</f>
        <v>13.742928240739275</v>
      </c>
    </row>
    <row r="1284" spans="1:14" x14ac:dyDescent="0.35">
      <c r="A1284">
        <v>1017</v>
      </c>
      <c r="B1284" t="s">
        <v>71</v>
      </c>
      <c r="C1284" s="1">
        <v>45191.257071759261</v>
      </c>
      <c r="D1284" t="str">
        <f ca="1">VLOOKUP(qry_ProdData2_PDI_Cash_Exception_Application[[#This Row],[TYPE]],#REF!,2,FALSE)</f>
        <v>type13</v>
      </c>
      <c r="E1284">
        <v>27784.15</v>
      </c>
      <c r="F1284" t="s">
        <v>49</v>
      </c>
      <c r="G1284" s="1">
        <f>qry_ProdData2_PDI_Cash_Exception_Application[[#This Row],[INSERT DATE]]+1</f>
        <v>45192.257071759261</v>
      </c>
      <c r="H1284" t="str">
        <f>VLOOKUP(qry_ProdData2_PDI_Cash_Exception_Application[[#This Row],[MARKET No]],'Site Allocation'!$B$2:$C$37,2,FALSE)</f>
        <v>Analyst3</v>
      </c>
      <c r="I1284" s="4">
        <f t="shared" ca="1" si="20"/>
        <v>45203</v>
      </c>
      <c r="J1284" s="42">
        <f ca="1">TODAY()-qry_ProdData2_PDI_Cash_Exception_Application[[#This Row],[INSERT DATE]]</f>
        <v>11.742928240739275</v>
      </c>
      <c r="K12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84">
        <f ca="1">qry_ProdData2_PDI_Cash_Exception_Application[[#This Row],[TODAY]]-qry_ProdData2_PDI_Cash_Exception_Application[[#This Row],[CHANGED ON]]</f>
        <v>10.742928240739275</v>
      </c>
      <c r="M1284">
        <f ca="1">qry_ProdData2_PDI_Cash_Exception_Application[[#This Row],[TODAY]]-qry_ProdData2_PDI_Cash_Exception_Application[[#This Row],[CHANGED ON]]</f>
        <v>10.742928240739275</v>
      </c>
      <c r="N1284">
        <f ca="1">qry_ProdData2_PDI_Cash_Exception_Application[[#This Row],[TODAY]]-qry_ProdData2_PDI_Cash_Exception_Application[[#This Row],[CHANGED ON]]</f>
        <v>10.742928240739275</v>
      </c>
    </row>
    <row r="1285" spans="1:14" x14ac:dyDescent="0.35">
      <c r="A1285">
        <v>1032</v>
      </c>
      <c r="B1285" t="s">
        <v>86</v>
      </c>
      <c r="C1285" s="1">
        <v>45189.257071759261</v>
      </c>
      <c r="D1285" t="str">
        <f ca="1">VLOOKUP(qry_ProdData2_PDI_Cash_Exception_Application[[#This Row],[TYPE]],#REF!,2,FALSE)</f>
        <v>type40</v>
      </c>
      <c r="E1285">
        <v>-1270.48</v>
      </c>
      <c r="F1285" t="s">
        <v>50</v>
      </c>
      <c r="G1285" s="1">
        <f>qry_ProdData2_PDI_Cash_Exception_Application[[#This Row],[INSERT DATE]]+1</f>
        <v>45190.257071759261</v>
      </c>
      <c r="H1285" t="str">
        <f>VLOOKUP(qry_ProdData2_PDI_Cash_Exception_Application[[#This Row],[MARKET No]],'Site Allocation'!$B$2:$C$37,2,FALSE)</f>
        <v>Analyst6</v>
      </c>
      <c r="I1285" s="4">
        <f t="shared" ca="1" si="20"/>
        <v>45203</v>
      </c>
      <c r="J1285" s="42">
        <f ca="1">TODAY()-qry_ProdData2_PDI_Cash_Exception_Application[[#This Row],[INSERT DATE]]</f>
        <v>13.742928240739275</v>
      </c>
      <c r="K12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85">
        <f ca="1">qry_ProdData2_PDI_Cash_Exception_Application[[#This Row],[TODAY]]-qry_ProdData2_PDI_Cash_Exception_Application[[#This Row],[CHANGED ON]]</f>
        <v>12.742928240739275</v>
      </c>
      <c r="M1285">
        <f ca="1">qry_ProdData2_PDI_Cash_Exception_Application[[#This Row],[TODAY]]-qry_ProdData2_PDI_Cash_Exception_Application[[#This Row],[CHANGED ON]]</f>
        <v>12.742928240739275</v>
      </c>
      <c r="N1285">
        <f ca="1">qry_ProdData2_PDI_Cash_Exception_Application[[#This Row],[TODAY]]-qry_ProdData2_PDI_Cash_Exception_Application[[#This Row],[CHANGED ON]]</f>
        <v>12.742928240739275</v>
      </c>
    </row>
    <row r="1286" spans="1:14" x14ac:dyDescent="0.35">
      <c r="A1286">
        <v>1005</v>
      </c>
      <c r="B1286" t="s">
        <v>59</v>
      </c>
      <c r="C1286" s="1">
        <v>45190.257071759261</v>
      </c>
      <c r="D1286" t="str">
        <f ca="1">VLOOKUP(qry_ProdData2_PDI_Cash_Exception_Application[[#This Row],[TYPE]],#REF!,2,FALSE)</f>
        <v>type40</v>
      </c>
      <c r="E1286">
        <v>23.01</v>
      </c>
      <c r="F1286" t="s">
        <v>52</v>
      </c>
      <c r="G1286" s="1">
        <f>qry_ProdData2_PDI_Cash_Exception_Application[[#This Row],[INSERT DATE]]+1</f>
        <v>45191.257071759261</v>
      </c>
      <c r="H1286" t="str">
        <f>VLOOKUP(qry_ProdData2_PDI_Cash_Exception_Application[[#This Row],[MARKET No]],'Site Allocation'!$B$2:$C$37,2,FALSE)</f>
        <v>Analyst1</v>
      </c>
      <c r="I1286" s="4">
        <f t="shared" ca="1" si="20"/>
        <v>45203</v>
      </c>
      <c r="J1286" s="42">
        <f ca="1">TODAY()-qry_ProdData2_PDI_Cash_Exception_Application[[#This Row],[INSERT DATE]]</f>
        <v>12.742928240739275</v>
      </c>
      <c r="K12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86">
        <f ca="1">qry_ProdData2_PDI_Cash_Exception_Application[[#This Row],[TODAY]]-qry_ProdData2_PDI_Cash_Exception_Application[[#This Row],[CHANGED ON]]</f>
        <v>11.742928240739275</v>
      </c>
      <c r="M1286">
        <f ca="1">qry_ProdData2_PDI_Cash_Exception_Application[[#This Row],[TODAY]]-qry_ProdData2_PDI_Cash_Exception_Application[[#This Row],[CHANGED ON]]</f>
        <v>11.742928240739275</v>
      </c>
      <c r="N1286">
        <f ca="1">qry_ProdData2_PDI_Cash_Exception_Application[[#This Row],[TODAY]]-qry_ProdData2_PDI_Cash_Exception_Application[[#This Row],[CHANGED ON]]</f>
        <v>11.742928240739275</v>
      </c>
    </row>
    <row r="1287" spans="1:14" x14ac:dyDescent="0.35">
      <c r="A1287">
        <v>1000</v>
      </c>
      <c r="B1287" t="s">
        <v>54</v>
      </c>
      <c r="C1287" s="1">
        <v>45184.257071759261</v>
      </c>
      <c r="D1287" t="str">
        <f ca="1">VLOOKUP(qry_ProdData2_PDI_Cash_Exception_Application[[#This Row],[TYPE]],#REF!,2,FALSE)</f>
        <v>type38</v>
      </c>
      <c r="E1287">
        <v>276.56</v>
      </c>
      <c r="F1287" t="s">
        <v>49</v>
      </c>
      <c r="G1287" s="1">
        <f>qry_ProdData2_PDI_Cash_Exception_Application[[#This Row],[INSERT DATE]]+2</f>
        <v>45186.257071759261</v>
      </c>
      <c r="H1287" t="str">
        <f>VLOOKUP(qry_ProdData2_PDI_Cash_Exception_Application[[#This Row],[MARKET No]],'Site Allocation'!$B$2:$C$37,2,FALSE)</f>
        <v>Analyst1</v>
      </c>
      <c r="I1287" s="4">
        <f t="shared" ca="1" si="20"/>
        <v>45203</v>
      </c>
      <c r="J1287" s="42">
        <f ca="1">TODAY()-qry_ProdData2_PDI_Cash_Exception_Application[[#This Row],[INSERT DATE]]</f>
        <v>18.742928240739275</v>
      </c>
      <c r="K12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87">
        <f ca="1">qry_ProdData2_PDI_Cash_Exception_Application[[#This Row],[TODAY]]-qry_ProdData2_PDI_Cash_Exception_Application[[#This Row],[CHANGED ON]]</f>
        <v>16.742928240739275</v>
      </c>
      <c r="M1287">
        <f ca="1">qry_ProdData2_PDI_Cash_Exception_Application[[#This Row],[TODAY]]-qry_ProdData2_PDI_Cash_Exception_Application[[#This Row],[CHANGED ON]]</f>
        <v>16.742928240739275</v>
      </c>
      <c r="N1287">
        <f ca="1">qry_ProdData2_PDI_Cash_Exception_Application[[#This Row],[TODAY]]-qry_ProdData2_PDI_Cash_Exception_Application[[#This Row],[CHANGED ON]]</f>
        <v>16.742928240739275</v>
      </c>
    </row>
    <row r="1288" spans="1:14" x14ac:dyDescent="0.35">
      <c r="A1288">
        <v>1015</v>
      </c>
      <c r="B1288" t="s">
        <v>69</v>
      </c>
      <c r="C1288" s="1">
        <v>45185.257071759261</v>
      </c>
      <c r="D1288" t="str">
        <f ca="1">VLOOKUP(qry_ProdData2_PDI_Cash_Exception_Application[[#This Row],[TYPE]],#REF!,2,FALSE)</f>
        <v>type38</v>
      </c>
      <c r="E1288">
        <v>241.73</v>
      </c>
      <c r="F1288" t="s">
        <v>49</v>
      </c>
      <c r="G1288" s="1">
        <f>qry_ProdData2_PDI_Cash_Exception_Application[[#This Row],[INSERT DATE]]+2</f>
        <v>45187.257071759261</v>
      </c>
      <c r="H1288" t="str">
        <f>VLOOKUP(qry_ProdData2_PDI_Cash_Exception_Application[[#This Row],[MARKET No]],'Site Allocation'!$B$2:$C$37,2,FALSE)</f>
        <v>Analyst3</v>
      </c>
      <c r="I1288" s="4">
        <f t="shared" ca="1" si="20"/>
        <v>45203</v>
      </c>
      <c r="J1288" s="42">
        <f ca="1">TODAY()-qry_ProdData2_PDI_Cash_Exception_Application[[#This Row],[INSERT DATE]]</f>
        <v>17.742928240739275</v>
      </c>
      <c r="K12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88">
        <f ca="1">qry_ProdData2_PDI_Cash_Exception_Application[[#This Row],[TODAY]]-qry_ProdData2_PDI_Cash_Exception_Application[[#This Row],[CHANGED ON]]</f>
        <v>15.742928240739275</v>
      </c>
      <c r="M1288">
        <f ca="1">qry_ProdData2_PDI_Cash_Exception_Application[[#This Row],[TODAY]]-qry_ProdData2_PDI_Cash_Exception_Application[[#This Row],[CHANGED ON]]</f>
        <v>15.742928240739275</v>
      </c>
      <c r="N1288">
        <f ca="1">qry_ProdData2_PDI_Cash_Exception_Application[[#This Row],[TODAY]]-qry_ProdData2_PDI_Cash_Exception_Application[[#This Row],[CHANGED ON]]</f>
        <v>15.742928240739275</v>
      </c>
    </row>
    <row r="1289" spans="1:14" x14ac:dyDescent="0.35">
      <c r="A1289">
        <v>1014</v>
      </c>
      <c r="B1289" t="s">
        <v>68</v>
      </c>
      <c r="C1289" s="1">
        <v>45180.257071759261</v>
      </c>
      <c r="D1289" t="str">
        <f ca="1">VLOOKUP(qry_ProdData2_PDI_Cash_Exception_Application[[#This Row],[TYPE]],#REF!,2,FALSE)</f>
        <v>type13</v>
      </c>
      <c r="E1289">
        <v>26568.83</v>
      </c>
      <c r="F1289" t="s">
        <v>48</v>
      </c>
      <c r="G1289" s="1">
        <f>qry_ProdData2_PDI_Cash_Exception_Application[[#This Row],[INSERT DATE]]+7</f>
        <v>45187.257071759261</v>
      </c>
      <c r="H1289" t="str">
        <f>VLOOKUP(qry_ProdData2_PDI_Cash_Exception_Application[[#This Row],[MARKET No]],'Site Allocation'!$B$2:$C$37,2,FALSE)</f>
        <v>Analyst3</v>
      </c>
      <c r="I1289" s="4">
        <f t="shared" ca="1" si="20"/>
        <v>45203</v>
      </c>
      <c r="J1289" s="42">
        <f ca="1">TODAY()-qry_ProdData2_PDI_Cash_Exception_Application[[#This Row],[INSERT DATE]]</f>
        <v>22.742928240739275</v>
      </c>
      <c r="K12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89">
        <f ca="1">qry_ProdData2_PDI_Cash_Exception_Application[[#This Row],[TODAY]]-qry_ProdData2_PDI_Cash_Exception_Application[[#This Row],[CHANGED ON]]</f>
        <v>15.742928240739275</v>
      </c>
      <c r="M1289">
        <f ca="1">qry_ProdData2_PDI_Cash_Exception_Application[[#This Row],[TODAY]]-qry_ProdData2_PDI_Cash_Exception_Application[[#This Row],[CHANGED ON]]</f>
        <v>15.742928240739275</v>
      </c>
      <c r="N1289">
        <f ca="1">qry_ProdData2_PDI_Cash_Exception_Application[[#This Row],[TODAY]]-qry_ProdData2_PDI_Cash_Exception_Application[[#This Row],[CHANGED ON]]</f>
        <v>15.742928240739275</v>
      </c>
    </row>
    <row r="1290" spans="1:14" x14ac:dyDescent="0.35">
      <c r="A1290">
        <v>1014</v>
      </c>
      <c r="B1290" t="s">
        <v>68</v>
      </c>
      <c r="C1290" s="1">
        <v>45181.257071759261</v>
      </c>
      <c r="D1290" t="str">
        <f ca="1">VLOOKUP(qry_ProdData2_PDI_Cash_Exception_Application[[#This Row],[TYPE]],#REF!,2,FALSE)</f>
        <v>type40</v>
      </c>
      <c r="E1290">
        <v>1</v>
      </c>
      <c r="F1290" t="s">
        <v>47</v>
      </c>
      <c r="G1290" s="1">
        <f>qry_ProdData2_PDI_Cash_Exception_Application[[#This Row],[INSERT DATE]]+7</f>
        <v>45188.257071759261</v>
      </c>
      <c r="H1290" t="str">
        <f>VLOOKUP(qry_ProdData2_PDI_Cash_Exception_Application[[#This Row],[MARKET No]],'Site Allocation'!$B$2:$C$37,2,FALSE)</f>
        <v>Analyst3</v>
      </c>
      <c r="I1290" s="4">
        <f t="shared" ca="1" si="20"/>
        <v>45203</v>
      </c>
      <c r="J1290" s="42">
        <f ca="1">TODAY()-qry_ProdData2_PDI_Cash_Exception_Application[[#This Row],[INSERT DATE]]</f>
        <v>21.742928240739275</v>
      </c>
      <c r="K12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90">
        <f ca="1">qry_ProdData2_PDI_Cash_Exception_Application[[#This Row],[TODAY]]-qry_ProdData2_PDI_Cash_Exception_Application[[#This Row],[CHANGED ON]]</f>
        <v>14.742928240739275</v>
      </c>
      <c r="M1290">
        <f ca="1">qry_ProdData2_PDI_Cash_Exception_Application[[#This Row],[TODAY]]-qry_ProdData2_PDI_Cash_Exception_Application[[#This Row],[CHANGED ON]]</f>
        <v>14.742928240739275</v>
      </c>
      <c r="N1290">
        <f ca="1">qry_ProdData2_PDI_Cash_Exception_Application[[#This Row],[TODAY]]-qry_ProdData2_PDI_Cash_Exception_Application[[#This Row],[CHANGED ON]]</f>
        <v>14.742928240739275</v>
      </c>
    </row>
    <row r="1291" spans="1:14" x14ac:dyDescent="0.35">
      <c r="A1291">
        <v>1023</v>
      </c>
      <c r="B1291" t="s">
        <v>77</v>
      </c>
      <c r="C1291" s="1">
        <v>45179.257071759261</v>
      </c>
      <c r="D1291" t="str">
        <f ca="1">VLOOKUP(qry_ProdData2_PDI_Cash_Exception_Application[[#This Row],[TYPE]],#REF!,2,FALSE)</f>
        <v>type40</v>
      </c>
      <c r="E1291">
        <v>-451.02</v>
      </c>
      <c r="F1291" t="s">
        <v>51</v>
      </c>
      <c r="G1291" s="1">
        <f>qry_ProdData2_PDI_Cash_Exception_Application[[#This Row],[INSERT DATE]]+2</f>
        <v>45181.257071759261</v>
      </c>
      <c r="H1291" t="str">
        <f>VLOOKUP(qry_ProdData2_PDI_Cash_Exception_Application[[#This Row],[MARKET No]],'Site Allocation'!$B$2:$C$37,2,FALSE)</f>
        <v>Analyst4</v>
      </c>
      <c r="I1291" s="4">
        <f t="shared" ca="1" si="20"/>
        <v>45203</v>
      </c>
      <c r="J1291" s="42">
        <f ca="1">TODAY()-qry_ProdData2_PDI_Cash_Exception_Application[[#This Row],[INSERT DATE]]</f>
        <v>23.742928240739275</v>
      </c>
      <c r="K12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91">
        <f ca="1">qry_ProdData2_PDI_Cash_Exception_Application[[#This Row],[TODAY]]-qry_ProdData2_PDI_Cash_Exception_Application[[#This Row],[CHANGED ON]]</f>
        <v>21.742928240739275</v>
      </c>
      <c r="M1291">
        <f ca="1">qry_ProdData2_PDI_Cash_Exception_Application[[#This Row],[TODAY]]-qry_ProdData2_PDI_Cash_Exception_Application[[#This Row],[CHANGED ON]]</f>
        <v>21.742928240739275</v>
      </c>
      <c r="N1291">
        <f ca="1">qry_ProdData2_PDI_Cash_Exception_Application[[#This Row],[TODAY]]-qry_ProdData2_PDI_Cash_Exception_Application[[#This Row],[CHANGED ON]]</f>
        <v>21.742928240739275</v>
      </c>
    </row>
    <row r="1292" spans="1:14" x14ac:dyDescent="0.35">
      <c r="A1292">
        <v>1030</v>
      </c>
      <c r="B1292" t="s">
        <v>84</v>
      </c>
      <c r="C1292" s="1">
        <v>45182.257071759261</v>
      </c>
      <c r="D1292" t="str">
        <f ca="1">VLOOKUP(qry_ProdData2_PDI_Cash_Exception_Application[[#This Row],[TYPE]],#REF!,2,FALSE)</f>
        <v>type40</v>
      </c>
      <c r="E1292">
        <v>1158.45</v>
      </c>
      <c r="F1292" t="s">
        <v>47</v>
      </c>
      <c r="G1292" s="1">
        <f>qry_ProdData2_PDI_Cash_Exception_Application[[#This Row],[INSERT DATE]]+1</f>
        <v>45183.257071759261</v>
      </c>
      <c r="H1292" t="str">
        <f>VLOOKUP(qry_ProdData2_PDI_Cash_Exception_Application[[#This Row],[MARKET No]],'Site Allocation'!$B$2:$C$37,2,FALSE)</f>
        <v>Analyst6</v>
      </c>
      <c r="I1292" s="4">
        <f t="shared" ca="1" si="20"/>
        <v>45203</v>
      </c>
      <c r="J1292" s="42">
        <f ca="1">TODAY()-qry_ProdData2_PDI_Cash_Exception_Application[[#This Row],[INSERT DATE]]</f>
        <v>20.742928240739275</v>
      </c>
      <c r="K12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92">
        <f ca="1">qry_ProdData2_PDI_Cash_Exception_Application[[#This Row],[TODAY]]-qry_ProdData2_PDI_Cash_Exception_Application[[#This Row],[CHANGED ON]]</f>
        <v>19.742928240739275</v>
      </c>
      <c r="M1292">
        <f ca="1">qry_ProdData2_PDI_Cash_Exception_Application[[#This Row],[TODAY]]-qry_ProdData2_PDI_Cash_Exception_Application[[#This Row],[CHANGED ON]]</f>
        <v>19.742928240739275</v>
      </c>
      <c r="N1292">
        <f ca="1">qry_ProdData2_PDI_Cash_Exception_Application[[#This Row],[TODAY]]-qry_ProdData2_PDI_Cash_Exception_Application[[#This Row],[CHANGED ON]]</f>
        <v>19.742928240739275</v>
      </c>
    </row>
    <row r="1293" spans="1:14" x14ac:dyDescent="0.35">
      <c r="A1293">
        <v>1013</v>
      </c>
      <c r="B1293" t="s">
        <v>67</v>
      </c>
      <c r="C1293" s="1">
        <v>45196.257071759261</v>
      </c>
      <c r="D1293" t="str">
        <f ca="1">VLOOKUP(qry_ProdData2_PDI_Cash_Exception_Application[[#This Row],[TYPE]],#REF!,2,FALSE)</f>
        <v>type40</v>
      </c>
      <c r="E1293">
        <v>-3849.12</v>
      </c>
      <c r="F1293" t="s">
        <v>52</v>
      </c>
      <c r="G1293" s="1">
        <f>qry_ProdData2_PDI_Cash_Exception_Application[[#This Row],[INSERT DATE]]+1</f>
        <v>45197.257071759261</v>
      </c>
      <c r="H1293" t="str">
        <f>VLOOKUP(qry_ProdData2_PDI_Cash_Exception_Application[[#This Row],[MARKET No]],'Site Allocation'!$B$2:$C$37,2,FALSE)</f>
        <v>Analyst3</v>
      </c>
      <c r="I1293" s="4">
        <f t="shared" ca="1" si="20"/>
        <v>45203</v>
      </c>
      <c r="J1293" s="42">
        <f ca="1">TODAY()-qry_ProdData2_PDI_Cash_Exception_Application[[#This Row],[INSERT DATE]]</f>
        <v>6.7429282407392748</v>
      </c>
      <c r="K12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293">
        <f ca="1">qry_ProdData2_PDI_Cash_Exception_Application[[#This Row],[TODAY]]-qry_ProdData2_PDI_Cash_Exception_Application[[#This Row],[CHANGED ON]]</f>
        <v>5.7429282407392748</v>
      </c>
      <c r="M1293">
        <f ca="1">qry_ProdData2_PDI_Cash_Exception_Application[[#This Row],[TODAY]]-qry_ProdData2_PDI_Cash_Exception_Application[[#This Row],[CHANGED ON]]</f>
        <v>5.7429282407392748</v>
      </c>
      <c r="N1293">
        <f ca="1">qry_ProdData2_PDI_Cash_Exception_Application[[#This Row],[TODAY]]-qry_ProdData2_PDI_Cash_Exception_Application[[#This Row],[CHANGED ON]]</f>
        <v>5.7429282407392748</v>
      </c>
    </row>
    <row r="1294" spans="1:14" x14ac:dyDescent="0.35">
      <c r="A1294">
        <v>1024</v>
      </c>
      <c r="B1294" t="s">
        <v>78</v>
      </c>
      <c r="C1294" s="1">
        <v>45197.257071759261</v>
      </c>
      <c r="D1294" t="str">
        <f ca="1">VLOOKUP(qry_ProdData2_PDI_Cash_Exception_Application[[#This Row],[TYPE]],#REF!,2,FALSE)</f>
        <v>type40</v>
      </c>
      <c r="E1294">
        <v>533.96</v>
      </c>
      <c r="F1294" t="s">
        <v>52</v>
      </c>
      <c r="G1294" s="1">
        <f>qry_ProdData2_PDI_Cash_Exception_Application[[#This Row],[INSERT DATE]]+1</f>
        <v>45198.257071759261</v>
      </c>
      <c r="H1294" t="str">
        <f>VLOOKUP(qry_ProdData2_PDI_Cash_Exception_Application[[#This Row],[MARKET No]],'Site Allocation'!$B$2:$C$37,2,FALSE)</f>
        <v>Analyst5</v>
      </c>
      <c r="I1294" s="4">
        <f t="shared" ca="1" si="20"/>
        <v>45203</v>
      </c>
      <c r="J1294" s="42">
        <f ca="1">TODAY()-qry_ProdData2_PDI_Cash_Exception_Application[[#This Row],[INSERT DATE]]</f>
        <v>5.7429282407392748</v>
      </c>
      <c r="K12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294">
        <f ca="1">qry_ProdData2_PDI_Cash_Exception_Application[[#This Row],[TODAY]]-qry_ProdData2_PDI_Cash_Exception_Application[[#This Row],[CHANGED ON]]</f>
        <v>4.7429282407392748</v>
      </c>
      <c r="M1294">
        <f ca="1">qry_ProdData2_PDI_Cash_Exception_Application[[#This Row],[TODAY]]-qry_ProdData2_PDI_Cash_Exception_Application[[#This Row],[CHANGED ON]]</f>
        <v>4.7429282407392748</v>
      </c>
      <c r="N1294">
        <f ca="1">qry_ProdData2_PDI_Cash_Exception_Application[[#This Row],[TODAY]]-qry_ProdData2_PDI_Cash_Exception_Application[[#This Row],[CHANGED ON]]</f>
        <v>4.7429282407392748</v>
      </c>
    </row>
    <row r="1295" spans="1:14" x14ac:dyDescent="0.35">
      <c r="A1295">
        <v>1004</v>
      </c>
      <c r="B1295" t="s">
        <v>58</v>
      </c>
      <c r="C1295" s="1">
        <v>45181.257071759261</v>
      </c>
      <c r="D1295" t="str">
        <f ca="1">VLOOKUP(qry_ProdData2_PDI_Cash_Exception_Application[[#This Row],[TYPE]],#REF!,2,FALSE)</f>
        <v>type40</v>
      </c>
      <c r="E1295">
        <v>80.8</v>
      </c>
      <c r="F1295" t="s">
        <v>48</v>
      </c>
      <c r="G1295" s="1">
        <f>qry_ProdData2_PDI_Cash_Exception_Application[[#This Row],[INSERT DATE]]+7</f>
        <v>45188.257071759261</v>
      </c>
      <c r="H1295" t="str">
        <f>VLOOKUP(qry_ProdData2_PDI_Cash_Exception_Application[[#This Row],[MARKET No]],'Site Allocation'!$B$2:$C$37,2,FALSE)</f>
        <v>Analyst1</v>
      </c>
      <c r="I1295" s="4">
        <f t="shared" ca="1" si="20"/>
        <v>45203</v>
      </c>
      <c r="J1295" s="42">
        <f ca="1">TODAY()-qry_ProdData2_PDI_Cash_Exception_Application[[#This Row],[INSERT DATE]]</f>
        <v>21.742928240739275</v>
      </c>
      <c r="K12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95">
        <f ca="1">qry_ProdData2_PDI_Cash_Exception_Application[[#This Row],[TODAY]]-qry_ProdData2_PDI_Cash_Exception_Application[[#This Row],[CHANGED ON]]</f>
        <v>14.742928240739275</v>
      </c>
      <c r="M1295">
        <f ca="1">qry_ProdData2_PDI_Cash_Exception_Application[[#This Row],[TODAY]]-qry_ProdData2_PDI_Cash_Exception_Application[[#This Row],[CHANGED ON]]</f>
        <v>14.742928240739275</v>
      </c>
      <c r="N1295">
        <f ca="1">qry_ProdData2_PDI_Cash_Exception_Application[[#This Row],[TODAY]]-qry_ProdData2_PDI_Cash_Exception_Application[[#This Row],[CHANGED ON]]</f>
        <v>14.742928240739275</v>
      </c>
    </row>
    <row r="1296" spans="1:14" x14ac:dyDescent="0.35">
      <c r="A1296">
        <v>1032</v>
      </c>
      <c r="B1296" t="s">
        <v>86</v>
      </c>
      <c r="C1296" s="1">
        <v>45185.257071759261</v>
      </c>
      <c r="D1296" t="str">
        <f ca="1">VLOOKUP(qry_ProdData2_PDI_Cash_Exception_Application[[#This Row],[TYPE]],#REF!,2,FALSE)</f>
        <v>type40</v>
      </c>
      <c r="E1296">
        <v>20.170000000000002</v>
      </c>
      <c r="F1296" t="s">
        <v>49</v>
      </c>
      <c r="G1296" s="1">
        <f>qry_ProdData2_PDI_Cash_Exception_Application[[#This Row],[INSERT DATE]]+2</f>
        <v>45187.257071759261</v>
      </c>
      <c r="H1296" t="str">
        <f>VLOOKUP(qry_ProdData2_PDI_Cash_Exception_Application[[#This Row],[MARKET No]],'Site Allocation'!$B$2:$C$37,2,FALSE)</f>
        <v>Analyst6</v>
      </c>
      <c r="I1296" s="4">
        <f t="shared" ca="1" si="20"/>
        <v>45203</v>
      </c>
      <c r="J1296" s="42">
        <f ca="1">TODAY()-qry_ProdData2_PDI_Cash_Exception_Application[[#This Row],[INSERT DATE]]</f>
        <v>17.742928240739275</v>
      </c>
      <c r="K12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96">
        <f ca="1">qry_ProdData2_PDI_Cash_Exception_Application[[#This Row],[TODAY]]-qry_ProdData2_PDI_Cash_Exception_Application[[#This Row],[CHANGED ON]]</f>
        <v>15.742928240739275</v>
      </c>
      <c r="M1296">
        <f ca="1">qry_ProdData2_PDI_Cash_Exception_Application[[#This Row],[TODAY]]-qry_ProdData2_PDI_Cash_Exception_Application[[#This Row],[CHANGED ON]]</f>
        <v>15.742928240739275</v>
      </c>
      <c r="N1296">
        <f ca="1">qry_ProdData2_PDI_Cash_Exception_Application[[#This Row],[TODAY]]-qry_ProdData2_PDI_Cash_Exception_Application[[#This Row],[CHANGED ON]]</f>
        <v>15.742928240739275</v>
      </c>
    </row>
    <row r="1297" spans="1:14" x14ac:dyDescent="0.35">
      <c r="A1297">
        <v>1023</v>
      </c>
      <c r="B1297" t="s">
        <v>77</v>
      </c>
      <c r="C1297" s="1">
        <v>45181.257071759261</v>
      </c>
      <c r="D1297" t="str">
        <f ca="1">VLOOKUP(qry_ProdData2_PDI_Cash_Exception_Application[[#This Row],[TYPE]],#REF!,2,FALSE)</f>
        <v>type40</v>
      </c>
      <c r="E1297">
        <v>-10370.16</v>
      </c>
      <c r="F1297" t="s">
        <v>51</v>
      </c>
      <c r="G1297" s="1">
        <f>qry_ProdData2_PDI_Cash_Exception_Application[[#This Row],[INSERT DATE]]+2</f>
        <v>45183.257071759261</v>
      </c>
      <c r="H1297" t="str">
        <f>VLOOKUP(qry_ProdData2_PDI_Cash_Exception_Application[[#This Row],[MARKET No]],'Site Allocation'!$B$2:$C$37,2,FALSE)</f>
        <v>Analyst4</v>
      </c>
      <c r="I1297" s="4">
        <f t="shared" ca="1" si="20"/>
        <v>45203</v>
      </c>
      <c r="J1297" s="42">
        <f ca="1">TODAY()-qry_ProdData2_PDI_Cash_Exception_Application[[#This Row],[INSERT DATE]]</f>
        <v>21.742928240739275</v>
      </c>
      <c r="K12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97">
        <f ca="1">qry_ProdData2_PDI_Cash_Exception_Application[[#This Row],[TODAY]]-qry_ProdData2_PDI_Cash_Exception_Application[[#This Row],[CHANGED ON]]</f>
        <v>19.742928240739275</v>
      </c>
      <c r="M1297">
        <f ca="1">qry_ProdData2_PDI_Cash_Exception_Application[[#This Row],[TODAY]]-qry_ProdData2_PDI_Cash_Exception_Application[[#This Row],[CHANGED ON]]</f>
        <v>19.742928240739275</v>
      </c>
      <c r="N1297">
        <f ca="1">qry_ProdData2_PDI_Cash_Exception_Application[[#This Row],[TODAY]]-qry_ProdData2_PDI_Cash_Exception_Application[[#This Row],[CHANGED ON]]</f>
        <v>19.742928240739275</v>
      </c>
    </row>
    <row r="1298" spans="1:14" x14ac:dyDescent="0.35">
      <c r="A1298">
        <v>1022</v>
      </c>
      <c r="B1298" t="s">
        <v>76</v>
      </c>
      <c r="C1298" s="1">
        <v>45182.257071759261</v>
      </c>
      <c r="D1298" t="str">
        <f ca="1">VLOOKUP(qry_ProdData2_PDI_Cash_Exception_Application[[#This Row],[TYPE]],#REF!,2,FALSE)</f>
        <v>type40</v>
      </c>
      <c r="E1298">
        <v>-347.38</v>
      </c>
      <c r="F1298" t="s">
        <v>50</v>
      </c>
      <c r="G1298" s="1">
        <f>qry_ProdData2_PDI_Cash_Exception_Application[[#This Row],[INSERT DATE]]+1</f>
        <v>45183.257071759261</v>
      </c>
      <c r="H1298" t="str">
        <f>VLOOKUP(qry_ProdData2_PDI_Cash_Exception_Application[[#This Row],[MARKET No]],'Site Allocation'!$B$2:$C$37,2,FALSE)</f>
        <v>Analyst4</v>
      </c>
      <c r="I1298" s="4">
        <f t="shared" ca="1" si="20"/>
        <v>45203</v>
      </c>
      <c r="J1298" s="42">
        <f ca="1">TODAY()-qry_ProdData2_PDI_Cash_Exception_Application[[#This Row],[INSERT DATE]]</f>
        <v>20.742928240739275</v>
      </c>
      <c r="K12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98">
        <f ca="1">qry_ProdData2_PDI_Cash_Exception_Application[[#This Row],[TODAY]]-qry_ProdData2_PDI_Cash_Exception_Application[[#This Row],[CHANGED ON]]</f>
        <v>19.742928240739275</v>
      </c>
      <c r="M1298">
        <f ca="1">qry_ProdData2_PDI_Cash_Exception_Application[[#This Row],[TODAY]]-qry_ProdData2_PDI_Cash_Exception_Application[[#This Row],[CHANGED ON]]</f>
        <v>19.742928240739275</v>
      </c>
      <c r="N1298">
        <f ca="1">qry_ProdData2_PDI_Cash_Exception_Application[[#This Row],[TODAY]]-qry_ProdData2_PDI_Cash_Exception_Application[[#This Row],[CHANGED ON]]</f>
        <v>19.742928240739275</v>
      </c>
    </row>
    <row r="1299" spans="1:14" x14ac:dyDescent="0.35">
      <c r="A1299">
        <v>1000</v>
      </c>
      <c r="B1299" t="s">
        <v>54</v>
      </c>
      <c r="C1299" s="1">
        <v>45191.257071759261</v>
      </c>
      <c r="D1299" t="str">
        <f ca="1">VLOOKUP(qry_ProdData2_PDI_Cash_Exception_Application[[#This Row],[TYPE]],#REF!,2,FALSE)</f>
        <v>type40</v>
      </c>
      <c r="E1299">
        <v>29.15</v>
      </c>
      <c r="F1299" t="s">
        <v>48</v>
      </c>
      <c r="G1299" s="1">
        <f>qry_ProdData2_PDI_Cash_Exception_Application[[#This Row],[INSERT DATE]]+7</f>
        <v>45198.257071759261</v>
      </c>
      <c r="H1299" t="str">
        <f>VLOOKUP(qry_ProdData2_PDI_Cash_Exception_Application[[#This Row],[MARKET No]],'Site Allocation'!$B$2:$C$37,2,FALSE)</f>
        <v>Analyst1</v>
      </c>
      <c r="I1299" s="4">
        <f t="shared" ca="1" si="20"/>
        <v>45203</v>
      </c>
      <c r="J1299" s="42">
        <f ca="1">TODAY()-qry_ProdData2_PDI_Cash_Exception_Application[[#This Row],[INSERT DATE]]</f>
        <v>11.742928240739275</v>
      </c>
      <c r="K12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299">
        <f ca="1">qry_ProdData2_PDI_Cash_Exception_Application[[#This Row],[TODAY]]-qry_ProdData2_PDI_Cash_Exception_Application[[#This Row],[CHANGED ON]]</f>
        <v>4.7429282407392748</v>
      </c>
      <c r="M1299">
        <f ca="1">qry_ProdData2_PDI_Cash_Exception_Application[[#This Row],[TODAY]]-qry_ProdData2_PDI_Cash_Exception_Application[[#This Row],[CHANGED ON]]</f>
        <v>4.7429282407392748</v>
      </c>
      <c r="N1299">
        <f ca="1">qry_ProdData2_PDI_Cash_Exception_Application[[#This Row],[TODAY]]-qry_ProdData2_PDI_Cash_Exception_Application[[#This Row],[CHANGED ON]]</f>
        <v>4.7429282407392748</v>
      </c>
    </row>
    <row r="1300" spans="1:14" x14ac:dyDescent="0.35">
      <c r="A1300">
        <v>1007</v>
      </c>
      <c r="B1300" t="s">
        <v>61</v>
      </c>
      <c r="C1300" s="1">
        <v>45189.257071759261</v>
      </c>
      <c r="D1300" t="str">
        <f ca="1">VLOOKUP(qry_ProdData2_PDI_Cash_Exception_Application[[#This Row],[TYPE]],#REF!,2,FALSE)</f>
        <v>type13</v>
      </c>
      <c r="E1300">
        <v>25454.89</v>
      </c>
      <c r="F1300" t="s">
        <v>48</v>
      </c>
      <c r="G1300" s="1">
        <f>qry_ProdData2_PDI_Cash_Exception_Application[[#This Row],[INSERT DATE]]+1</f>
        <v>45190.257071759261</v>
      </c>
      <c r="H1300" t="str">
        <f>VLOOKUP(qry_ProdData2_PDI_Cash_Exception_Application[[#This Row],[MARKET No]],'Site Allocation'!$B$2:$C$37,2,FALSE)</f>
        <v>Analyst2</v>
      </c>
      <c r="I1300" s="4">
        <f t="shared" ca="1" si="20"/>
        <v>45203</v>
      </c>
      <c r="J1300" s="42">
        <f ca="1">TODAY()-qry_ProdData2_PDI_Cash_Exception_Application[[#This Row],[INSERT DATE]]</f>
        <v>13.742928240739275</v>
      </c>
      <c r="K13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00">
        <f ca="1">qry_ProdData2_PDI_Cash_Exception_Application[[#This Row],[TODAY]]-qry_ProdData2_PDI_Cash_Exception_Application[[#This Row],[CHANGED ON]]</f>
        <v>12.742928240739275</v>
      </c>
      <c r="M1300">
        <f ca="1">qry_ProdData2_PDI_Cash_Exception_Application[[#This Row],[TODAY]]-qry_ProdData2_PDI_Cash_Exception_Application[[#This Row],[CHANGED ON]]</f>
        <v>12.742928240739275</v>
      </c>
      <c r="N1300">
        <f ca="1">qry_ProdData2_PDI_Cash_Exception_Application[[#This Row],[TODAY]]-qry_ProdData2_PDI_Cash_Exception_Application[[#This Row],[CHANGED ON]]</f>
        <v>12.742928240739275</v>
      </c>
    </row>
    <row r="1301" spans="1:14" x14ac:dyDescent="0.35">
      <c r="A1301">
        <v>1034</v>
      </c>
      <c r="B1301" t="s">
        <v>88</v>
      </c>
      <c r="C1301" s="1">
        <v>45191.257071759261</v>
      </c>
      <c r="D1301" t="str">
        <f ca="1">VLOOKUP(qry_ProdData2_PDI_Cash_Exception_Application[[#This Row],[TYPE]],#REF!,2,FALSE)</f>
        <v>type40</v>
      </c>
      <c r="E1301">
        <v>12.62</v>
      </c>
      <c r="F1301" t="s">
        <v>48</v>
      </c>
      <c r="G1301" s="1">
        <f>qry_ProdData2_PDI_Cash_Exception_Application[[#This Row],[INSERT DATE]]+1</f>
        <v>45192.257071759261</v>
      </c>
      <c r="H1301" t="str">
        <f>VLOOKUP(qry_ProdData2_PDI_Cash_Exception_Application[[#This Row],[MARKET No]],'Site Allocation'!$B$2:$C$37,2,FALSE)</f>
        <v>Analyst6</v>
      </c>
      <c r="I1301" s="4">
        <f t="shared" ca="1" si="20"/>
        <v>45203</v>
      </c>
      <c r="J1301" s="42">
        <f ca="1">TODAY()-qry_ProdData2_PDI_Cash_Exception_Application[[#This Row],[INSERT DATE]]</f>
        <v>11.742928240739275</v>
      </c>
      <c r="K13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01">
        <f ca="1">qry_ProdData2_PDI_Cash_Exception_Application[[#This Row],[TODAY]]-qry_ProdData2_PDI_Cash_Exception_Application[[#This Row],[CHANGED ON]]</f>
        <v>10.742928240739275</v>
      </c>
      <c r="M1301">
        <f ca="1">qry_ProdData2_PDI_Cash_Exception_Application[[#This Row],[TODAY]]-qry_ProdData2_PDI_Cash_Exception_Application[[#This Row],[CHANGED ON]]</f>
        <v>10.742928240739275</v>
      </c>
      <c r="N1301">
        <f ca="1">qry_ProdData2_PDI_Cash_Exception_Application[[#This Row],[TODAY]]-qry_ProdData2_PDI_Cash_Exception_Application[[#This Row],[CHANGED ON]]</f>
        <v>10.742928240739275</v>
      </c>
    </row>
    <row r="1302" spans="1:14" x14ac:dyDescent="0.35">
      <c r="A1302">
        <v>1005</v>
      </c>
      <c r="B1302" t="s">
        <v>59</v>
      </c>
      <c r="C1302" s="1">
        <v>45192.257071759261</v>
      </c>
      <c r="D1302" t="str">
        <f ca="1">VLOOKUP(qry_ProdData2_PDI_Cash_Exception_Application[[#This Row],[TYPE]],#REF!,2,FALSE)</f>
        <v>type13</v>
      </c>
      <c r="E1302">
        <v>30233.06</v>
      </c>
      <c r="F1302" t="s">
        <v>48</v>
      </c>
      <c r="G1302" s="1">
        <f>qry_ProdData2_PDI_Cash_Exception_Application[[#This Row],[INSERT DATE]]+1</f>
        <v>45193.257071759261</v>
      </c>
      <c r="H1302" t="str">
        <f>VLOOKUP(qry_ProdData2_PDI_Cash_Exception_Application[[#This Row],[MARKET No]],'Site Allocation'!$B$2:$C$37,2,FALSE)</f>
        <v>Analyst1</v>
      </c>
      <c r="I1302" s="4">
        <f t="shared" ca="1" si="20"/>
        <v>45203</v>
      </c>
      <c r="J1302" s="42">
        <f ca="1">TODAY()-qry_ProdData2_PDI_Cash_Exception_Application[[#This Row],[INSERT DATE]]</f>
        <v>10.742928240739275</v>
      </c>
      <c r="K13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02">
        <f ca="1">qry_ProdData2_PDI_Cash_Exception_Application[[#This Row],[TODAY]]-qry_ProdData2_PDI_Cash_Exception_Application[[#This Row],[CHANGED ON]]</f>
        <v>9.7429282407392748</v>
      </c>
      <c r="M1302">
        <f ca="1">qry_ProdData2_PDI_Cash_Exception_Application[[#This Row],[TODAY]]-qry_ProdData2_PDI_Cash_Exception_Application[[#This Row],[CHANGED ON]]</f>
        <v>9.7429282407392748</v>
      </c>
      <c r="N1302">
        <f ca="1">qry_ProdData2_PDI_Cash_Exception_Application[[#This Row],[TODAY]]-qry_ProdData2_PDI_Cash_Exception_Application[[#This Row],[CHANGED ON]]</f>
        <v>9.7429282407392748</v>
      </c>
    </row>
    <row r="1303" spans="1:14" x14ac:dyDescent="0.35">
      <c r="A1303">
        <v>1007</v>
      </c>
      <c r="B1303" t="s">
        <v>61</v>
      </c>
      <c r="C1303" s="1">
        <v>45185.257071759261</v>
      </c>
      <c r="D1303" t="str">
        <f ca="1">VLOOKUP(qry_ProdData2_PDI_Cash_Exception_Application[[#This Row],[TYPE]],#REF!,2,FALSE)</f>
        <v>type40</v>
      </c>
      <c r="E1303">
        <v>-327.66000000000003</v>
      </c>
      <c r="F1303" t="s">
        <v>51</v>
      </c>
      <c r="G1303" s="1">
        <f>qry_ProdData2_PDI_Cash_Exception_Application[[#This Row],[INSERT DATE]]+5</f>
        <v>45190.257071759261</v>
      </c>
      <c r="H1303" t="str">
        <f>VLOOKUP(qry_ProdData2_PDI_Cash_Exception_Application[[#This Row],[MARKET No]],'Site Allocation'!$B$2:$C$37,2,FALSE)</f>
        <v>Analyst2</v>
      </c>
      <c r="I1303" s="4">
        <f t="shared" ca="1" si="20"/>
        <v>45203</v>
      </c>
      <c r="J1303" s="42">
        <f ca="1">TODAY()-qry_ProdData2_PDI_Cash_Exception_Application[[#This Row],[INSERT DATE]]</f>
        <v>17.742928240739275</v>
      </c>
      <c r="K13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03">
        <f ca="1">qry_ProdData2_PDI_Cash_Exception_Application[[#This Row],[TODAY]]-qry_ProdData2_PDI_Cash_Exception_Application[[#This Row],[CHANGED ON]]</f>
        <v>12.742928240739275</v>
      </c>
      <c r="M1303">
        <f ca="1">qry_ProdData2_PDI_Cash_Exception_Application[[#This Row],[TODAY]]-qry_ProdData2_PDI_Cash_Exception_Application[[#This Row],[CHANGED ON]]</f>
        <v>12.742928240739275</v>
      </c>
      <c r="N1303">
        <f ca="1">qry_ProdData2_PDI_Cash_Exception_Application[[#This Row],[TODAY]]-qry_ProdData2_PDI_Cash_Exception_Application[[#This Row],[CHANGED ON]]</f>
        <v>12.742928240739275</v>
      </c>
    </row>
    <row r="1304" spans="1:14" x14ac:dyDescent="0.35">
      <c r="A1304">
        <v>1018</v>
      </c>
      <c r="B1304" t="s">
        <v>72</v>
      </c>
      <c r="C1304" s="1">
        <v>45184.257071759261</v>
      </c>
      <c r="D1304" t="str">
        <f ca="1">VLOOKUP(qry_ProdData2_PDI_Cash_Exception_Application[[#This Row],[TYPE]],#REF!,2,FALSE)</f>
        <v>type40</v>
      </c>
      <c r="E1304">
        <v>-458.58</v>
      </c>
      <c r="F1304" t="s">
        <v>47</v>
      </c>
      <c r="G1304" s="1">
        <f>qry_ProdData2_PDI_Cash_Exception_Application[[#This Row],[INSERT DATE]]+1</f>
        <v>45185.257071759261</v>
      </c>
      <c r="H1304" t="str">
        <f>VLOOKUP(qry_ProdData2_PDI_Cash_Exception_Application[[#This Row],[MARKET No]],'Site Allocation'!$B$2:$C$37,2,FALSE)</f>
        <v>Analyst4</v>
      </c>
      <c r="I1304" s="4">
        <f t="shared" ca="1" si="20"/>
        <v>45203</v>
      </c>
      <c r="J1304" s="42">
        <f ca="1">TODAY()-qry_ProdData2_PDI_Cash_Exception_Application[[#This Row],[INSERT DATE]]</f>
        <v>18.742928240739275</v>
      </c>
      <c r="K13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04">
        <f ca="1">qry_ProdData2_PDI_Cash_Exception_Application[[#This Row],[TODAY]]-qry_ProdData2_PDI_Cash_Exception_Application[[#This Row],[CHANGED ON]]</f>
        <v>17.742928240739275</v>
      </c>
      <c r="M1304">
        <f ca="1">qry_ProdData2_PDI_Cash_Exception_Application[[#This Row],[TODAY]]-qry_ProdData2_PDI_Cash_Exception_Application[[#This Row],[CHANGED ON]]</f>
        <v>17.742928240739275</v>
      </c>
      <c r="N1304">
        <f ca="1">qry_ProdData2_PDI_Cash_Exception_Application[[#This Row],[TODAY]]-qry_ProdData2_PDI_Cash_Exception_Application[[#This Row],[CHANGED ON]]</f>
        <v>17.742928240739275</v>
      </c>
    </row>
    <row r="1305" spans="1:14" x14ac:dyDescent="0.35">
      <c r="A1305">
        <v>1017</v>
      </c>
      <c r="B1305" t="s">
        <v>71</v>
      </c>
      <c r="C1305" s="1">
        <v>45183.257071759261</v>
      </c>
      <c r="D1305" t="str">
        <f ca="1">VLOOKUP(qry_ProdData2_PDI_Cash_Exception_Application[[#This Row],[TYPE]],#REF!,2,FALSE)</f>
        <v>type13</v>
      </c>
      <c r="E1305">
        <v>24432.880000000001</v>
      </c>
      <c r="F1305" t="s">
        <v>48</v>
      </c>
      <c r="G1305" s="1">
        <f>qry_ProdData2_PDI_Cash_Exception_Application[[#This Row],[INSERT DATE]]+1</f>
        <v>45184.257071759261</v>
      </c>
      <c r="H1305" t="str">
        <f>VLOOKUP(qry_ProdData2_PDI_Cash_Exception_Application[[#This Row],[MARKET No]],'Site Allocation'!$B$2:$C$37,2,FALSE)</f>
        <v>Analyst3</v>
      </c>
      <c r="I1305" s="4">
        <f t="shared" ca="1" si="20"/>
        <v>45203</v>
      </c>
      <c r="J1305" s="42">
        <f ca="1">TODAY()-qry_ProdData2_PDI_Cash_Exception_Application[[#This Row],[INSERT DATE]]</f>
        <v>19.742928240739275</v>
      </c>
      <c r="K13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05">
        <f ca="1">qry_ProdData2_PDI_Cash_Exception_Application[[#This Row],[TODAY]]-qry_ProdData2_PDI_Cash_Exception_Application[[#This Row],[CHANGED ON]]</f>
        <v>18.742928240739275</v>
      </c>
      <c r="M1305">
        <f ca="1">qry_ProdData2_PDI_Cash_Exception_Application[[#This Row],[TODAY]]-qry_ProdData2_PDI_Cash_Exception_Application[[#This Row],[CHANGED ON]]</f>
        <v>18.742928240739275</v>
      </c>
      <c r="N1305">
        <f ca="1">qry_ProdData2_PDI_Cash_Exception_Application[[#This Row],[TODAY]]-qry_ProdData2_PDI_Cash_Exception_Application[[#This Row],[CHANGED ON]]</f>
        <v>18.742928240739275</v>
      </c>
    </row>
    <row r="1306" spans="1:14" x14ac:dyDescent="0.35">
      <c r="A1306">
        <v>1032</v>
      </c>
      <c r="B1306" t="s">
        <v>86</v>
      </c>
      <c r="C1306" s="1">
        <v>45187.257071759261</v>
      </c>
      <c r="D1306" t="str">
        <f ca="1">VLOOKUP(qry_ProdData2_PDI_Cash_Exception_Application[[#This Row],[TYPE]],#REF!,2,FALSE)</f>
        <v>type40</v>
      </c>
      <c r="E1306">
        <v>19.649999999999999</v>
      </c>
      <c r="F1306" t="s">
        <v>49</v>
      </c>
      <c r="G1306" s="1">
        <f>qry_ProdData2_PDI_Cash_Exception_Application[[#This Row],[INSERT DATE]]+2</f>
        <v>45189.257071759261</v>
      </c>
      <c r="H1306" t="str">
        <f>VLOOKUP(qry_ProdData2_PDI_Cash_Exception_Application[[#This Row],[MARKET No]],'Site Allocation'!$B$2:$C$37,2,FALSE)</f>
        <v>Analyst6</v>
      </c>
      <c r="I1306" s="4">
        <f t="shared" ca="1" si="20"/>
        <v>45203</v>
      </c>
      <c r="J1306" s="42">
        <f ca="1">TODAY()-qry_ProdData2_PDI_Cash_Exception_Application[[#This Row],[INSERT DATE]]</f>
        <v>15.742928240739275</v>
      </c>
      <c r="K13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06">
        <f ca="1">qry_ProdData2_PDI_Cash_Exception_Application[[#This Row],[TODAY]]-qry_ProdData2_PDI_Cash_Exception_Application[[#This Row],[CHANGED ON]]</f>
        <v>13.742928240739275</v>
      </c>
      <c r="M1306">
        <f ca="1">qry_ProdData2_PDI_Cash_Exception_Application[[#This Row],[TODAY]]-qry_ProdData2_PDI_Cash_Exception_Application[[#This Row],[CHANGED ON]]</f>
        <v>13.742928240739275</v>
      </c>
      <c r="N1306">
        <f ca="1">qry_ProdData2_PDI_Cash_Exception_Application[[#This Row],[TODAY]]-qry_ProdData2_PDI_Cash_Exception_Application[[#This Row],[CHANGED ON]]</f>
        <v>13.742928240739275</v>
      </c>
    </row>
    <row r="1307" spans="1:14" x14ac:dyDescent="0.35">
      <c r="A1307">
        <v>1010</v>
      </c>
      <c r="B1307" t="s">
        <v>64</v>
      </c>
      <c r="C1307" s="1">
        <v>45192.257071759261</v>
      </c>
      <c r="D1307" t="str">
        <f ca="1">VLOOKUP(qry_ProdData2_PDI_Cash_Exception_Application[[#This Row],[TYPE]],#REF!,2,FALSE)</f>
        <v>type40</v>
      </c>
      <c r="E1307">
        <v>-406.07</v>
      </c>
      <c r="F1307" t="s">
        <v>49</v>
      </c>
      <c r="G1307" s="1">
        <f>qry_ProdData2_PDI_Cash_Exception_Application[[#This Row],[INSERT DATE]]+2</f>
        <v>45194.257071759261</v>
      </c>
      <c r="H1307" t="str">
        <f>VLOOKUP(qry_ProdData2_PDI_Cash_Exception_Application[[#This Row],[MARKET No]],'Site Allocation'!$B$2:$C$37,2,FALSE)</f>
        <v>Analyst2</v>
      </c>
      <c r="I1307" s="4">
        <f t="shared" ca="1" si="20"/>
        <v>45203</v>
      </c>
      <c r="J1307" s="42">
        <f ca="1">TODAY()-qry_ProdData2_PDI_Cash_Exception_Application[[#This Row],[INSERT DATE]]</f>
        <v>10.742928240739275</v>
      </c>
      <c r="K13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07">
        <f ca="1">qry_ProdData2_PDI_Cash_Exception_Application[[#This Row],[TODAY]]-qry_ProdData2_PDI_Cash_Exception_Application[[#This Row],[CHANGED ON]]</f>
        <v>8.7429282407392748</v>
      </c>
      <c r="M1307">
        <f ca="1">qry_ProdData2_PDI_Cash_Exception_Application[[#This Row],[TODAY]]-qry_ProdData2_PDI_Cash_Exception_Application[[#This Row],[CHANGED ON]]</f>
        <v>8.7429282407392748</v>
      </c>
      <c r="N1307">
        <f ca="1">qry_ProdData2_PDI_Cash_Exception_Application[[#This Row],[TODAY]]-qry_ProdData2_PDI_Cash_Exception_Application[[#This Row],[CHANGED ON]]</f>
        <v>8.7429282407392748</v>
      </c>
    </row>
    <row r="1308" spans="1:14" x14ac:dyDescent="0.35">
      <c r="A1308">
        <v>1031</v>
      </c>
      <c r="B1308" t="s">
        <v>85</v>
      </c>
      <c r="C1308" s="1">
        <v>45185.257071759261</v>
      </c>
      <c r="D1308" t="str">
        <f ca="1">VLOOKUP(qry_ProdData2_PDI_Cash_Exception_Application[[#This Row],[TYPE]],#REF!,2,FALSE)</f>
        <v>type38</v>
      </c>
      <c r="E1308">
        <v>259.11</v>
      </c>
      <c r="F1308" t="s">
        <v>48</v>
      </c>
      <c r="G1308" s="1">
        <f>qry_ProdData2_PDI_Cash_Exception_Application[[#This Row],[INSERT DATE]]+1</f>
        <v>45186.257071759261</v>
      </c>
      <c r="H1308" t="str">
        <f>VLOOKUP(qry_ProdData2_PDI_Cash_Exception_Application[[#This Row],[MARKET No]],'Site Allocation'!$B$2:$C$37,2,FALSE)</f>
        <v>Analyst6</v>
      </c>
      <c r="I1308" s="4">
        <f t="shared" ca="1" si="20"/>
        <v>45203</v>
      </c>
      <c r="J1308" s="42">
        <f ca="1">TODAY()-qry_ProdData2_PDI_Cash_Exception_Application[[#This Row],[INSERT DATE]]</f>
        <v>17.742928240739275</v>
      </c>
      <c r="K13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08">
        <f ca="1">qry_ProdData2_PDI_Cash_Exception_Application[[#This Row],[TODAY]]-qry_ProdData2_PDI_Cash_Exception_Application[[#This Row],[CHANGED ON]]</f>
        <v>16.742928240739275</v>
      </c>
      <c r="M1308">
        <f ca="1">qry_ProdData2_PDI_Cash_Exception_Application[[#This Row],[TODAY]]-qry_ProdData2_PDI_Cash_Exception_Application[[#This Row],[CHANGED ON]]</f>
        <v>16.742928240739275</v>
      </c>
      <c r="N1308">
        <f ca="1">qry_ProdData2_PDI_Cash_Exception_Application[[#This Row],[TODAY]]-qry_ProdData2_PDI_Cash_Exception_Application[[#This Row],[CHANGED ON]]</f>
        <v>16.742928240739275</v>
      </c>
    </row>
    <row r="1309" spans="1:14" x14ac:dyDescent="0.35">
      <c r="A1309">
        <v>1013</v>
      </c>
      <c r="B1309" t="s">
        <v>67</v>
      </c>
      <c r="C1309" s="1">
        <v>45188.257071759261</v>
      </c>
      <c r="D1309" t="str">
        <f ca="1">VLOOKUP(qry_ProdData2_PDI_Cash_Exception_Application[[#This Row],[TYPE]],#REF!,2,FALSE)</f>
        <v>type40</v>
      </c>
      <c r="E1309">
        <v>-28617.83</v>
      </c>
      <c r="F1309" t="s">
        <v>52</v>
      </c>
      <c r="G1309" s="1">
        <f>qry_ProdData2_PDI_Cash_Exception_Application[[#This Row],[INSERT DATE]]+2</f>
        <v>45190.257071759261</v>
      </c>
      <c r="H1309" t="str">
        <f>VLOOKUP(qry_ProdData2_PDI_Cash_Exception_Application[[#This Row],[MARKET No]],'Site Allocation'!$B$2:$C$37,2,FALSE)</f>
        <v>Analyst3</v>
      </c>
      <c r="I1309" s="4">
        <f t="shared" ca="1" si="20"/>
        <v>45203</v>
      </c>
      <c r="J1309" s="42">
        <f ca="1">TODAY()-qry_ProdData2_PDI_Cash_Exception_Application[[#This Row],[INSERT DATE]]</f>
        <v>14.742928240739275</v>
      </c>
      <c r="K13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09">
        <f ca="1">qry_ProdData2_PDI_Cash_Exception_Application[[#This Row],[TODAY]]-qry_ProdData2_PDI_Cash_Exception_Application[[#This Row],[CHANGED ON]]</f>
        <v>12.742928240739275</v>
      </c>
      <c r="M1309">
        <f ca="1">qry_ProdData2_PDI_Cash_Exception_Application[[#This Row],[TODAY]]-qry_ProdData2_PDI_Cash_Exception_Application[[#This Row],[CHANGED ON]]</f>
        <v>12.742928240739275</v>
      </c>
      <c r="N1309">
        <f ca="1">qry_ProdData2_PDI_Cash_Exception_Application[[#This Row],[TODAY]]-qry_ProdData2_PDI_Cash_Exception_Application[[#This Row],[CHANGED ON]]</f>
        <v>12.742928240739275</v>
      </c>
    </row>
    <row r="1310" spans="1:14" x14ac:dyDescent="0.35">
      <c r="A1310">
        <v>1006</v>
      </c>
      <c r="B1310" t="s">
        <v>60</v>
      </c>
      <c r="C1310" s="1">
        <v>45185.257071759261</v>
      </c>
      <c r="D1310" t="str">
        <f ca="1">VLOOKUP(qry_ProdData2_PDI_Cash_Exception_Application[[#This Row],[TYPE]],#REF!,2,FALSE)</f>
        <v>type38</v>
      </c>
      <c r="E1310">
        <v>151.83000000000001</v>
      </c>
      <c r="F1310" t="s">
        <v>48</v>
      </c>
      <c r="G1310" s="1">
        <f>qry_ProdData2_PDI_Cash_Exception_Application[[#This Row],[INSERT DATE]]+1</f>
        <v>45186.257071759261</v>
      </c>
      <c r="H1310" t="str">
        <f>VLOOKUP(qry_ProdData2_PDI_Cash_Exception_Application[[#This Row],[MARKET No]],'Site Allocation'!$B$2:$C$37,2,FALSE)</f>
        <v>Analyst2</v>
      </c>
      <c r="I1310" s="4">
        <f t="shared" ca="1" si="20"/>
        <v>45203</v>
      </c>
      <c r="J1310" s="42">
        <f ca="1">TODAY()-qry_ProdData2_PDI_Cash_Exception_Application[[#This Row],[INSERT DATE]]</f>
        <v>17.742928240739275</v>
      </c>
      <c r="K13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10">
        <f ca="1">qry_ProdData2_PDI_Cash_Exception_Application[[#This Row],[TODAY]]-qry_ProdData2_PDI_Cash_Exception_Application[[#This Row],[CHANGED ON]]</f>
        <v>16.742928240739275</v>
      </c>
      <c r="M1310">
        <f ca="1">qry_ProdData2_PDI_Cash_Exception_Application[[#This Row],[TODAY]]-qry_ProdData2_PDI_Cash_Exception_Application[[#This Row],[CHANGED ON]]</f>
        <v>16.742928240739275</v>
      </c>
      <c r="N1310">
        <f ca="1">qry_ProdData2_PDI_Cash_Exception_Application[[#This Row],[TODAY]]-qry_ProdData2_PDI_Cash_Exception_Application[[#This Row],[CHANGED ON]]</f>
        <v>16.742928240739275</v>
      </c>
    </row>
    <row r="1311" spans="1:14" x14ac:dyDescent="0.35">
      <c r="A1311">
        <v>1031</v>
      </c>
      <c r="B1311" t="s">
        <v>85</v>
      </c>
      <c r="C1311" s="1">
        <v>45184.257071759261</v>
      </c>
      <c r="D1311" t="str">
        <f ca="1">VLOOKUP(qry_ProdData2_PDI_Cash_Exception_Application[[#This Row],[TYPE]],#REF!,2,FALSE)</f>
        <v>type40</v>
      </c>
      <c r="E1311">
        <v>725.26</v>
      </c>
      <c r="F1311" t="s">
        <v>47</v>
      </c>
      <c r="G1311" s="1">
        <f>qry_ProdData2_PDI_Cash_Exception_Application[[#This Row],[INSERT DATE]]+1</f>
        <v>45185.257071759261</v>
      </c>
      <c r="H1311" t="str">
        <f>VLOOKUP(qry_ProdData2_PDI_Cash_Exception_Application[[#This Row],[MARKET No]],'Site Allocation'!$B$2:$C$37,2,FALSE)</f>
        <v>Analyst6</v>
      </c>
      <c r="I1311" s="4">
        <f t="shared" ca="1" si="20"/>
        <v>45203</v>
      </c>
      <c r="J1311" s="42">
        <f ca="1">TODAY()-qry_ProdData2_PDI_Cash_Exception_Application[[#This Row],[INSERT DATE]]</f>
        <v>18.742928240739275</v>
      </c>
      <c r="K13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11">
        <f ca="1">qry_ProdData2_PDI_Cash_Exception_Application[[#This Row],[TODAY]]-qry_ProdData2_PDI_Cash_Exception_Application[[#This Row],[CHANGED ON]]</f>
        <v>17.742928240739275</v>
      </c>
      <c r="M1311">
        <f ca="1">qry_ProdData2_PDI_Cash_Exception_Application[[#This Row],[TODAY]]-qry_ProdData2_PDI_Cash_Exception_Application[[#This Row],[CHANGED ON]]</f>
        <v>17.742928240739275</v>
      </c>
      <c r="N1311">
        <f ca="1">qry_ProdData2_PDI_Cash_Exception_Application[[#This Row],[TODAY]]-qry_ProdData2_PDI_Cash_Exception_Application[[#This Row],[CHANGED ON]]</f>
        <v>17.742928240739275</v>
      </c>
    </row>
    <row r="1312" spans="1:14" x14ac:dyDescent="0.35">
      <c r="A1312">
        <v>1013</v>
      </c>
      <c r="B1312" t="s">
        <v>67</v>
      </c>
      <c r="C1312" s="1">
        <v>45189.257071759261</v>
      </c>
      <c r="D1312" t="str">
        <f ca="1">VLOOKUP(qry_ProdData2_PDI_Cash_Exception_Application[[#This Row],[TYPE]],#REF!,2,FALSE)</f>
        <v>type40</v>
      </c>
      <c r="E1312">
        <v>-303</v>
      </c>
      <c r="F1312" t="s">
        <v>51</v>
      </c>
      <c r="G1312" s="1">
        <f>qry_ProdData2_PDI_Cash_Exception_Application[[#This Row],[INSERT DATE]]+5</f>
        <v>45194.257071759261</v>
      </c>
      <c r="H1312" t="str">
        <f>VLOOKUP(qry_ProdData2_PDI_Cash_Exception_Application[[#This Row],[MARKET No]],'Site Allocation'!$B$2:$C$37,2,FALSE)</f>
        <v>Analyst3</v>
      </c>
      <c r="I1312" s="4">
        <f t="shared" ca="1" si="20"/>
        <v>45203</v>
      </c>
      <c r="J1312" s="42">
        <f ca="1">TODAY()-qry_ProdData2_PDI_Cash_Exception_Application[[#This Row],[INSERT DATE]]</f>
        <v>13.742928240739275</v>
      </c>
      <c r="K13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12">
        <f ca="1">qry_ProdData2_PDI_Cash_Exception_Application[[#This Row],[TODAY]]-qry_ProdData2_PDI_Cash_Exception_Application[[#This Row],[CHANGED ON]]</f>
        <v>8.7429282407392748</v>
      </c>
      <c r="M1312">
        <f ca="1">qry_ProdData2_PDI_Cash_Exception_Application[[#This Row],[TODAY]]-qry_ProdData2_PDI_Cash_Exception_Application[[#This Row],[CHANGED ON]]</f>
        <v>8.7429282407392748</v>
      </c>
      <c r="N1312">
        <f ca="1">qry_ProdData2_PDI_Cash_Exception_Application[[#This Row],[TODAY]]-qry_ProdData2_PDI_Cash_Exception_Application[[#This Row],[CHANGED ON]]</f>
        <v>8.7429282407392748</v>
      </c>
    </row>
    <row r="1313" spans="1:14" x14ac:dyDescent="0.35">
      <c r="A1313">
        <v>1024</v>
      </c>
      <c r="B1313" t="s">
        <v>78</v>
      </c>
      <c r="C1313" s="1">
        <v>45186.257071759261</v>
      </c>
      <c r="D1313" t="str">
        <f ca="1">VLOOKUP(qry_ProdData2_PDI_Cash_Exception_Application[[#This Row],[TYPE]],#REF!,2,FALSE)</f>
        <v>type13</v>
      </c>
      <c r="E1313">
        <v>20645.099999999999</v>
      </c>
      <c r="F1313" t="s">
        <v>48</v>
      </c>
      <c r="G1313" s="1">
        <f>qry_ProdData2_PDI_Cash_Exception_Application[[#This Row],[INSERT DATE]]+1</f>
        <v>45187.257071759261</v>
      </c>
      <c r="H1313" t="str">
        <f>VLOOKUP(qry_ProdData2_PDI_Cash_Exception_Application[[#This Row],[MARKET No]],'Site Allocation'!$B$2:$C$37,2,FALSE)</f>
        <v>Analyst5</v>
      </c>
      <c r="I1313" s="4">
        <f t="shared" ca="1" si="20"/>
        <v>45203</v>
      </c>
      <c r="J1313" s="42">
        <f ca="1">TODAY()-qry_ProdData2_PDI_Cash_Exception_Application[[#This Row],[INSERT DATE]]</f>
        <v>16.742928240739275</v>
      </c>
      <c r="K13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13">
        <f ca="1">qry_ProdData2_PDI_Cash_Exception_Application[[#This Row],[TODAY]]-qry_ProdData2_PDI_Cash_Exception_Application[[#This Row],[CHANGED ON]]</f>
        <v>15.742928240739275</v>
      </c>
      <c r="M1313">
        <f ca="1">qry_ProdData2_PDI_Cash_Exception_Application[[#This Row],[TODAY]]-qry_ProdData2_PDI_Cash_Exception_Application[[#This Row],[CHANGED ON]]</f>
        <v>15.742928240739275</v>
      </c>
      <c r="N1313">
        <f ca="1">qry_ProdData2_PDI_Cash_Exception_Application[[#This Row],[TODAY]]-qry_ProdData2_PDI_Cash_Exception_Application[[#This Row],[CHANGED ON]]</f>
        <v>15.742928240739275</v>
      </c>
    </row>
    <row r="1314" spans="1:14" x14ac:dyDescent="0.35">
      <c r="A1314">
        <v>1012</v>
      </c>
      <c r="B1314" t="s">
        <v>66</v>
      </c>
      <c r="C1314" s="1">
        <v>45187.257071759261</v>
      </c>
      <c r="D1314" t="str">
        <f ca="1">VLOOKUP(qry_ProdData2_PDI_Cash_Exception_Application[[#This Row],[TYPE]],#REF!,2,FALSE)</f>
        <v>type40</v>
      </c>
      <c r="E1314">
        <v>12.5</v>
      </c>
      <c r="F1314" t="s">
        <v>49</v>
      </c>
      <c r="G1314" s="1">
        <f>qry_ProdData2_PDI_Cash_Exception_Application[[#This Row],[INSERT DATE]]+5</f>
        <v>45192.257071759261</v>
      </c>
      <c r="H1314" t="str">
        <f>VLOOKUP(qry_ProdData2_PDI_Cash_Exception_Application[[#This Row],[MARKET No]],'Site Allocation'!$B$2:$C$37,2,FALSE)</f>
        <v>Analyst3</v>
      </c>
      <c r="I1314" s="4">
        <f t="shared" ca="1" si="20"/>
        <v>45203</v>
      </c>
      <c r="J1314" s="42">
        <f ca="1">TODAY()-qry_ProdData2_PDI_Cash_Exception_Application[[#This Row],[INSERT DATE]]</f>
        <v>15.742928240739275</v>
      </c>
      <c r="K13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14">
        <f ca="1">qry_ProdData2_PDI_Cash_Exception_Application[[#This Row],[TODAY]]-qry_ProdData2_PDI_Cash_Exception_Application[[#This Row],[CHANGED ON]]</f>
        <v>10.742928240739275</v>
      </c>
      <c r="M1314">
        <f ca="1">qry_ProdData2_PDI_Cash_Exception_Application[[#This Row],[TODAY]]-qry_ProdData2_PDI_Cash_Exception_Application[[#This Row],[CHANGED ON]]</f>
        <v>10.742928240739275</v>
      </c>
      <c r="N1314">
        <f ca="1">qry_ProdData2_PDI_Cash_Exception_Application[[#This Row],[TODAY]]-qry_ProdData2_PDI_Cash_Exception_Application[[#This Row],[CHANGED ON]]</f>
        <v>10.742928240739275</v>
      </c>
    </row>
    <row r="1315" spans="1:14" x14ac:dyDescent="0.35">
      <c r="A1315">
        <v>1008</v>
      </c>
      <c r="B1315" t="s">
        <v>62</v>
      </c>
      <c r="C1315" s="1">
        <v>45192.257071759261</v>
      </c>
      <c r="D1315" t="str">
        <f ca="1">VLOOKUP(qry_ProdData2_PDI_Cash_Exception_Application[[#This Row],[TYPE]],#REF!,2,FALSE)</f>
        <v>type40</v>
      </c>
      <c r="E1315">
        <v>669.08</v>
      </c>
      <c r="F1315" t="s">
        <v>52</v>
      </c>
      <c r="G1315" s="1">
        <f>qry_ProdData2_PDI_Cash_Exception_Application[[#This Row],[INSERT DATE]]+2</f>
        <v>45194.257071759261</v>
      </c>
      <c r="H1315" t="str">
        <f>VLOOKUP(qry_ProdData2_PDI_Cash_Exception_Application[[#This Row],[MARKET No]],'Site Allocation'!$B$2:$C$37,2,FALSE)</f>
        <v>Analyst2</v>
      </c>
      <c r="I1315" s="4">
        <f t="shared" ca="1" si="20"/>
        <v>45203</v>
      </c>
      <c r="J1315" s="42">
        <f ca="1">TODAY()-qry_ProdData2_PDI_Cash_Exception_Application[[#This Row],[INSERT DATE]]</f>
        <v>10.742928240739275</v>
      </c>
      <c r="K13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15">
        <f ca="1">qry_ProdData2_PDI_Cash_Exception_Application[[#This Row],[TODAY]]-qry_ProdData2_PDI_Cash_Exception_Application[[#This Row],[CHANGED ON]]</f>
        <v>8.7429282407392748</v>
      </c>
      <c r="M1315">
        <f ca="1">qry_ProdData2_PDI_Cash_Exception_Application[[#This Row],[TODAY]]-qry_ProdData2_PDI_Cash_Exception_Application[[#This Row],[CHANGED ON]]</f>
        <v>8.7429282407392748</v>
      </c>
      <c r="N1315">
        <f ca="1">qry_ProdData2_PDI_Cash_Exception_Application[[#This Row],[TODAY]]-qry_ProdData2_PDI_Cash_Exception_Application[[#This Row],[CHANGED ON]]</f>
        <v>8.7429282407392748</v>
      </c>
    </row>
    <row r="1316" spans="1:14" x14ac:dyDescent="0.35">
      <c r="A1316">
        <v>1032</v>
      </c>
      <c r="B1316" t="s">
        <v>86</v>
      </c>
      <c r="C1316" s="1">
        <v>45193.257071759261</v>
      </c>
      <c r="D1316" t="str">
        <f ca="1">VLOOKUP(qry_ProdData2_PDI_Cash_Exception_Application[[#This Row],[TYPE]],#REF!,2,FALSE)</f>
        <v>type40</v>
      </c>
      <c r="E1316">
        <v>845.15</v>
      </c>
      <c r="F1316" t="s">
        <v>50</v>
      </c>
      <c r="G1316" s="1">
        <f>qry_ProdData2_PDI_Cash_Exception_Application[[#This Row],[INSERT DATE]]+2</f>
        <v>45195.257071759261</v>
      </c>
      <c r="H1316" t="str">
        <f>VLOOKUP(qry_ProdData2_PDI_Cash_Exception_Application[[#This Row],[MARKET No]],'Site Allocation'!$B$2:$C$37,2,FALSE)</f>
        <v>Analyst6</v>
      </c>
      <c r="I1316" s="4">
        <f t="shared" ca="1" si="20"/>
        <v>45203</v>
      </c>
      <c r="J1316" s="42">
        <f ca="1">TODAY()-qry_ProdData2_PDI_Cash_Exception_Application[[#This Row],[INSERT DATE]]</f>
        <v>9.7429282407392748</v>
      </c>
      <c r="K13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16">
        <f ca="1">qry_ProdData2_PDI_Cash_Exception_Application[[#This Row],[TODAY]]-qry_ProdData2_PDI_Cash_Exception_Application[[#This Row],[CHANGED ON]]</f>
        <v>7.7429282407392748</v>
      </c>
      <c r="M1316">
        <f ca="1">qry_ProdData2_PDI_Cash_Exception_Application[[#This Row],[TODAY]]-qry_ProdData2_PDI_Cash_Exception_Application[[#This Row],[CHANGED ON]]</f>
        <v>7.7429282407392748</v>
      </c>
      <c r="N1316">
        <f ca="1">qry_ProdData2_PDI_Cash_Exception_Application[[#This Row],[TODAY]]-qry_ProdData2_PDI_Cash_Exception_Application[[#This Row],[CHANGED ON]]</f>
        <v>7.7429282407392748</v>
      </c>
    </row>
    <row r="1317" spans="1:14" x14ac:dyDescent="0.35">
      <c r="A1317">
        <v>1000</v>
      </c>
      <c r="B1317" t="s">
        <v>54</v>
      </c>
      <c r="C1317" s="1">
        <v>45186.257071759261</v>
      </c>
      <c r="D1317" t="str">
        <f ca="1">VLOOKUP(qry_ProdData2_PDI_Cash_Exception_Application[[#This Row],[TYPE]],#REF!,2,FALSE)</f>
        <v>type7</v>
      </c>
      <c r="E1317">
        <v>-2041.52</v>
      </c>
      <c r="F1317" t="s">
        <v>51</v>
      </c>
      <c r="G1317" s="1">
        <f>qry_ProdData2_PDI_Cash_Exception_Application[[#This Row],[INSERT DATE]]+7</f>
        <v>45193.257071759261</v>
      </c>
      <c r="H1317" t="str">
        <f>VLOOKUP(qry_ProdData2_PDI_Cash_Exception_Application[[#This Row],[MARKET No]],'Site Allocation'!$B$2:$C$37,2,FALSE)</f>
        <v>Analyst1</v>
      </c>
      <c r="I1317" s="4">
        <f t="shared" ca="1" si="20"/>
        <v>45203</v>
      </c>
      <c r="J1317" s="42">
        <f ca="1">TODAY()-qry_ProdData2_PDI_Cash_Exception_Application[[#This Row],[INSERT DATE]]</f>
        <v>16.742928240739275</v>
      </c>
      <c r="K13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17">
        <f ca="1">qry_ProdData2_PDI_Cash_Exception_Application[[#This Row],[TODAY]]-qry_ProdData2_PDI_Cash_Exception_Application[[#This Row],[CHANGED ON]]</f>
        <v>9.7429282407392748</v>
      </c>
      <c r="M1317">
        <f ca="1">qry_ProdData2_PDI_Cash_Exception_Application[[#This Row],[TODAY]]-qry_ProdData2_PDI_Cash_Exception_Application[[#This Row],[CHANGED ON]]</f>
        <v>9.7429282407392748</v>
      </c>
      <c r="N1317">
        <f ca="1">qry_ProdData2_PDI_Cash_Exception_Application[[#This Row],[TODAY]]-qry_ProdData2_PDI_Cash_Exception_Application[[#This Row],[CHANGED ON]]</f>
        <v>9.7429282407392748</v>
      </c>
    </row>
    <row r="1318" spans="1:14" x14ac:dyDescent="0.35">
      <c r="A1318">
        <v>1025</v>
      </c>
      <c r="B1318" t="s">
        <v>79</v>
      </c>
      <c r="C1318" s="1">
        <v>45190.257071759261</v>
      </c>
      <c r="D1318" t="str">
        <f ca="1">VLOOKUP(qry_ProdData2_PDI_Cash_Exception_Application[[#This Row],[TYPE]],#REF!,2,FALSE)</f>
        <v>type13</v>
      </c>
      <c r="E1318">
        <v>30128.07</v>
      </c>
      <c r="F1318" t="s">
        <v>48</v>
      </c>
      <c r="G1318" s="1">
        <f>qry_ProdData2_PDI_Cash_Exception_Application[[#This Row],[INSERT DATE]]+2</f>
        <v>45192.257071759261</v>
      </c>
      <c r="H1318" t="str">
        <f>VLOOKUP(qry_ProdData2_PDI_Cash_Exception_Application[[#This Row],[MARKET No]],'Site Allocation'!$B$2:$C$37,2,FALSE)</f>
        <v>Analyst5</v>
      </c>
      <c r="I1318" s="4">
        <f t="shared" ca="1" si="20"/>
        <v>45203</v>
      </c>
      <c r="J1318" s="42">
        <f ca="1">TODAY()-qry_ProdData2_PDI_Cash_Exception_Application[[#This Row],[INSERT DATE]]</f>
        <v>12.742928240739275</v>
      </c>
      <c r="K13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18">
        <f ca="1">qry_ProdData2_PDI_Cash_Exception_Application[[#This Row],[TODAY]]-qry_ProdData2_PDI_Cash_Exception_Application[[#This Row],[CHANGED ON]]</f>
        <v>10.742928240739275</v>
      </c>
      <c r="M1318">
        <f ca="1">qry_ProdData2_PDI_Cash_Exception_Application[[#This Row],[TODAY]]-qry_ProdData2_PDI_Cash_Exception_Application[[#This Row],[CHANGED ON]]</f>
        <v>10.742928240739275</v>
      </c>
      <c r="N1318">
        <f ca="1">qry_ProdData2_PDI_Cash_Exception_Application[[#This Row],[TODAY]]-qry_ProdData2_PDI_Cash_Exception_Application[[#This Row],[CHANGED ON]]</f>
        <v>10.742928240739275</v>
      </c>
    </row>
    <row r="1319" spans="1:14" x14ac:dyDescent="0.35">
      <c r="A1319">
        <v>1021</v>
      </c>
      <c r="B1319" t="s">
        <v>75</v>
      </c>
      <c r="C1319" s="1">
        <v>45187.257071759261</v>
      </c>
      <c r="D1319" t="str">
        <f ca="1">VLOOKUP(qry_ProdData2_PDI_Cash_Exception_Application[[#This Row],[TYPE]],#REF!,2,FALSE)</f>
        <v>type26</v>
      </c>
      <c r="E1319">
        <v>215.45</v>
      </c>
      <c r="F1319" t="s">
        <v>49</v>
      </c>
      <c r="G1319" s="1">
        <f>qry_ProdData2_PDI_Cash_Exception_Application[[#This Row],[INSERT DATE]]+5</f>
        <v>45192.257071759261</v>
      </c>
      <c r="H1319" t="str">
        <f>VLOOKUP(qry_ProdData2_PDI_Cash_Exception_Application[[#This Row],[MARKET No]],'Site Allocation'!$B$2:$C$37,2,FALSE)</f>
        <v>Analyst4</v>
      </c>
      <c r="I1319" s="4">
        <f t="shared" ca="1" si="20"/>
        <v>45203</v>
      </c>
      <c r="J1319" s="42">
        <f ca="1">TODAY()-qry_ProdData2_PDI_Cash_Exception_Application[[#This Row],[INSERT DATE]]</f>
        <v>15.742928240739275</v>
      </c>
      <c r="K13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19">
        <f ca="1">qry_ProdData2_PDI_Cash_Exception_Application[[#This Row],[TODAY]]-qry_ProdData2_PDI_Cash_Exception_Application[[#This Row],[CHANGED ON]]</f>
        <v>10.742928240739275</v>
      </c>
      <c r="M1319">
        <f ca="1">qry_ProdData2_PDI_Cash_Exception_Application[[#This Row],[TODAY]]-qry_ProdData2_PDI_Cash_Exception_Application[[#This Row],[CHANGED ON]]</f>
        <v>10.742928240739275</v>
      </c>
      <c r="N1319">
        <f ca="1">qry_ProdData2_PDI_Cash_Exception_Application[[#This Row],[TODAY]]-qry_ProdData2_PDI_Cash_Exception_Application[[#This Row],[CHANGED ON]]</f>
        <v>10.742928240739275</v>
      </c>
    </row>
    <row r="1320" spans="1:14" x14ac:dyDescent="0.35">
      <c r="A1320">
        <v>1024</v>
      </c>
      <c r="B1320" t="s">
        <v>78</v>
      </c>
      <c r="C1320" s="1">
        <v>45191.257071759261</v>
      </c>
      <c r="D1320" t="str">
        <f ca="1">VLOOKUP(qry_ProdData2_PDI_Cash_Exception_Application[[#This Row],[TYPE]],#REF!,2,FALSE)</f>
        <v>type26</v>
      </c>
      <c r="E1320">
        <v>625.91</v>
      </c>
      <c r="F1320" t="s">
        <v>48</v>
      </c>
      <c r="G1320" s="1">
        <f>qry_ProdData2_PDI_Cash_Exception_Application[[#This Row],[INSERT DATE]]+2</f>
        <v>45193.257071759261</v>
      </c>
      <c r="H1320" t="str">
        <f>VLOOKUP(qry_ProdData2_PDI_Cash_Exception_Application[[#This Row],[MARKET No]],'Site Allocation'!$B$2:$C$37,2,FALSE)</f>
        <v>Analyst5</v>
      </c>
      <c r="I1320" s="4">
        <f t="shared" ca="1" si="20"/>
        <v>45203</v>
      </c>
      <c r="J1320" s="42">
        <f ca="1">TODAY()-qry_ProdData2_PDI_Cash_Exception_Application[[#This Row],[INSERT DATE]]</f>
        <v>11.742928240739275</v>
      </c>
      <c r="K13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20">
        <f ca="1">qry_ProdData2_PDI_Cash_Exception_Application[[#This Row],[TODAY]]-qry_ProdData2_PDI_Cash_Exception_Application[[#This Row],[CHANGED ON]]</f>
        <v>9.7429282407392748</v>
      </c>
      <c r="M1320">
        <f ca="1">qry_ProdData2_PDI_Cash_Exception_Application[[#This Row],[TODAY]]-qry_ProdData2_PDI_Cash_Exception_Application[[#This Row],[CHANGED ON]]</f>
        <v>9.7429282407392748</v>
      </c>
      <c r="N1320">
        <f ca="1">qry_ProdData2_PDI_Cash_Exception_Application[[#This Row],[TODAY]]-qry_ProdData2_PDI_Cash_Exception_Application[[#This Row],[CHANGED ON]]</f>
        <v>9.7429282407392748</v>
      </c>
    </row>
    <row r="1321" spans="1:14" x14ac:dyDescent="0.35">
      <c r="A1321">
        <v>1025</v>
      </c>
      <c r="B1321" t="s">
        <v>79</v>
      </c>
      <c r="C1321" s="1">
        <v>45189.257071759261</v>
      </c>
      <c r="D1321" t="str">
        <f ca="1">VLOOKUP(qry_ProdData2_PDI_Cash_Exception_Application[[#This Row],[TYPE]],#REF!,2,FALSE)</f>
        <v>type33</v>
      </c>
      <c r="E1321">
        <v>311.91000000000003</v>
      </c>
      <c r="F1321" t="s">
        <v>49</v>
      </c>
      <c r="G1321" s="1">
        <f>qry_ProdData2_PDI_Cash_Exception_Application[[#This Row],[INSERT DATE]]+7</f>
        <v>45196.257071759261</v>
      </c>
      <c r="H1321" t="str">
        <f>VLOOKUP(qry_ProdData2_PDI_Cash_Exception_Application[[#This Row],[MARKET No]],'Site Allocation'!$B$2:$C$37,2,FALSE)</f>
        <v>Analyst5</v>
      </c>
      <c r="I1321" s="4">
        <f t="shared" ca="1" si="20"/>
        <v>45203</v>
      </c>
      <c r="J1321" s="42">
        <f ca="1">TODAY()-qry_ProdData2_PDI_Cash_Exception_Application[[#This Row],[INSERT DATE]]</f>
        <v>13.742928240739275</v>
      </c>
      <c r="K13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21">
        <f ca="1">qry_ProdData2_PDI_Cash_Exception_Application[[#This Row],[TODAY]]-qry_ProdData2_PDI_Cash_Exception_Application[[#This Row],[CHANGED ON]]</f>
        <v>6.7429282407392748</v>
      </c>
      <c r="M1321">
        <f ca="1">qry_ProdData2_PDI_Cash_Exception_Application[[#This Row],[TODAY]]-qry_ProdData2_PDI_Cash_Exception_Application[[#This Row],[CHANGED ON]]</f>
        <v>6.7429282407392748</v>
      </c>
      <c r="N1321">
        <f ca="1">qry_ProdData2_PDI_Cash_Exception_Application[[#This Row],[TODAY]]-qry_ProdData2_PDI_Cash_Exception_Application[[#This Row],[CHANGED ON]]</f>
        <v>6.7429282407392748</v>
      </c>
    </row>
    <row r="1322" spans="1:14" x14ac:dyDescent="0.35">
      <c r="A1322">
        <v>1004</v>
      </c>
      <c r="B1322" t="s">
        <v>58</v>
      </c>
      <c r="C1322" s="1">
        <v>45192.257071759261</v>
      </c>
      <c r="D1322" t="str">
        <f ca="1">VLOOKUP(qry_ProdData2_PDI_Cash_Exception_Application[[#This Row],[TYPE]],#REF!,2,FALSE)</f>
        <v>type38</v>
      </c>
      <c r="E1322">
        <v>169.06</v>
      </c>
      <c r="F1322" t="s">
        <v>48</v>
      </c>
      <c r="G1322" s="1">
        <f>qry_ProdData2_PDI_Cash_Exception_Application[[#This Row],[INSERT DATE]]+2</f>
        <v>45194.257071759261</v>
      </c>
      <c r="H1322" t="str">
        <f>VLOOKUP(qry_ProdData2_PDI_Cash_Exception_Application[[#This Row],[MARKET No]],'Site Allocation'!$B$2:$C$37,2,FALSE)</f>
        <v>Analyst1</v>
      </c>
      <c r="I1322" s="4">
        <f t="shared" ca="1" si="20"/>
        <v>45203</v>
      </c>
      <c r="J1322" s="42">
        <f ca="1">TODAY()-qry_ProdData2_PDI_Cash_Exception_Application[[#This Row],[INSERT DATE]]</f>
        <v>10.742928240739275</v>
      </c>
      <c r="K13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22">
        <f ca="1">qry_ProdData2_PDI_Cash_Exception_Application[[#This Row],[TODAY]]-qry_ProdData2_PDI_Cash_Exception_Application[[#This Row],[CHANGED ON]]</f>
        <v>8.7429282407392748</v>
      </c>
      <c r="M1322">
        <f ca="1">qry_ProdData2_PDI_Cash_Exception_Application[[#This Row],[TODAY]]-qry_ProdData2_PDI_Cash_Exception_Application[[#This Row],[CHANGED ON]]</f>
        <v>8.7429282407392748</v>
      </c>
      <c r="N1322">
        <f ca="1">qry_ProdData2_PDI_Cash_Exception_Application[[#This Row],[TODAY]]-qry_ProdData2_PDI_Cash_Exception_Application[[#This Row],[CHANGED ON]]</f>
        <v>8.7429282407392748</v>
      </c>
    </row>
    <row r="1323" spans="1:14" x14ac:dyDescent="0.35">
      <c r="A1323">
        <v>1019</v>
      </c>
      <c r="B1323" t="s">
        <v>73</v>
      </c>
      <c r="C1323" s="1">
        <v>45188.257071759261</v>
      </c>
      <c r="D1323" t="str">
        <f ca="1">VLOOKUP(qry_ProdData2_PDI_Cash_Exception_Application[[#This Row],[TYPE]],#REF!,2,FALSE)</f>
        <v>type40</v>
      </c>
      <c r="E1323">
        <v>-452.61</v>
      </c>
      <c r="F1323" t="s">
        <v>51</v>
      </c>
      <c r="G1323" s="1">
        <f>qry_ProdData2_PDI_Cash_Exception_Application[[#This Row],[INSERT DATE]]+7</f>
        <v>45195.257071759261</v>
      </c>
      <c r="H1323" t="str">
        <f>VLOOKUP(qry_ProdData2_PDI_Cash_Exception_Application[[#This Row],[MARKET No]],'Site Allocation'!$B$2:$C$37,2,FALSE)</f>
        <v>Analyst4</v>
      </c>
      <c r="I1323" s="4">
        <f t="shared" ca="1" si="20"/>
        <v>45203</v>
      </c>
      <c r="J1323" s="42">
        <f ca="1">TODAY()-qry_ProdData2_PDI_Cash_Exception_Application[[#This Row],[INSERT DATE]]</f>
        <v>14.742928240739275</v>
      </c>
      <c r="K13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23">
        <f ca="1">qry_ProdData2_PDI_Cash_Exception_Application[[#This Row],[TODAY]]-qry_ProdData2_PDI_Cash_Exception_Application[[#This Row],[CHANGED ON]]</f>
        <v>7.7429282407392748</v>
      </c>
      <c r="M1323">
        <f ca="1">qry_ProdData2_PDI_Cash_Exception_Application[[#This Row],[TODAY]]-qry_ProdData2_PDI_Cash_Exception_Application[[#This Row],[CHANGED ON]]</f>
        <v>7.7429282407392748</v>
      </c>
      <c r="N1323">
        <f ca="1">qry_ProdData2_PDI_Cash_Exception_Application[[#This Row],[TODAY]]-qry_ProdData2_PDI_Cash_Exception_Application[[#This Row],[CHANGED ON]]</f>
        <v>7.7429282407392748</v>
      </c>
    </row>
    <row r="1324" spans="1:14" x14ac:dyDescent="0.35">
      <c r="A1324">
        <v>1021</v>
      </c>
      <c r="B1324" t="s">
        <v>75</v>
      </c>
      <c r="C1324" s="1">
        <v>45187.257071759261</v>
      </c>
      <c r="D1324" t="str">
        <f ca="1">VLOOKUP(qry_ProdData2_PDI_Cash_Exception_Application[[#This Row],[TYPE]],#REF!,2,FALSE)</f>
        <v>type40</v>
      </c>
      <c r="E1324">
        <v>1173.31</v>
      </c>
      <c r="F1324" t="s">
        <v>50</v>
      </c>
      <c r="G1324" s="1">
        <f>qry_ProdData2_PDI_Cash_Exception_Application[[#This Row],[INSERT DATE]]+5</f>
        <v>45192.257071759261</v>
      </c>
      <c r="H1324" t="str">
        <f>VLOOKUP(qry_ProdData2_PDI_Cash_Exception_Application[[#This Row],[MARKET No]],'Site Allocation'!$B$2:$C$37,2,FALSE)</f>
        <v>Analyst4</v>
      </c>
      <c r="I1324" s="4">
        <f t="shared" ca="1" si="20"/>
        <v>45203</v>
      </c>
      <c r="J1324" s="42">
        <f ca="1">TODAY()-qry_ProdData2_PDI_Cash_Exception_Application[[#This Row],[INSERT DATE]]</f>
        <v>15.742928240739275</v>
      </c>
      <c r="K13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24">
        <f ca="1">qry_ProdData2_PDI_Cash_Exception_Application[[#This Row],[TODAY]]-qry_ProdData2_PDI_Cash_Exception_Application[[#This Row],[CHANGED ON]]</f>
        <v>10.742928240739275</v>
      </c>
      <c r="M1324">
        <f ca="1">qry_ProdData2_PDI_Cash_Exception_Application[[#This Row],[TODAY]]-qry_ProdData2_PDI_Cash_Exception_Application[[#This Row],[CHANGED ON]]</f>
        <v>10.742928240739275</v>
      </c>
      <c r="N1324">
        <f ca="1">qry_ProdData2_PDI_Cash_Exception_Application[[#This Row],[TODAY]]-qry_ProdData2_PDI_Cash_Exception_Application[[#This Row],[CHANGED ON]]</f>
        <v>10.742928240739275</v>
      </c>
    </row>
    <row r="1325" spans="1:14" x14ac:dyDescent="0.35">
      <c r="A1325">
        <v>1009</v>
      </c>
      <c r="B1325" t="s">
        <v>63</v>
      </c>
      <c r="C1325" s="1">
        <v>45188.257071759261</v>
      </c>
      <c r="D1325" t="str">
        <f ca="1">VLOOKUP(qry_ProdData2_PDI_Cash_Exception_Application[[#This Row],[TYPE]],#REF!,2,FALSE)</f>
        <v>type40</v>
      </c>
      <c r="E1325">
        <v>-403.54</v>
      </c>
      <c r="F1325" t="s">
        <v>52</v>
      </c>
      <c r="G1325" s="1">
        <f>qry_ProdData2_PDI_Cash_Exception_Application[[#This Row],[INSERT DATE]]+5</f>
        <v>45193.257071759261</v>
      </c>
      <c r="H1325" t="str">
        <f>VLOOKUP(qry_ProdData2_PDI_Cash_Exception_Application[[#This Row],[MARKET No]],'Site Allocation'!$B$2:$C$37,2,FALSE)</f>
        <v>Analyst2</v>
      </c>
      <c r="I1325" s="4">
        <f t="shared" ca="1" si="20"/>
        <v>45203</v>
      </c>
      <c r="J1325" s="42">
        <f ca="1">TODAY()-qry_ProdData2_PDI_Cash_Exception_Application[[#This Row],[INSERT DATE]]</f>
        <v>14.742928240739275</v>
      </c>
      <c r="K13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25">
        <f ca="1">qry_ProdData2_PDI_Cash_Exception_Application[[#This Row],[TODAY]]-qry_ProdData2_PDI_Cash_Exception_Application[[#This Row],[CHANGED ON]]</f>
        <v>9.7429282407392748</v>
      </c>
      <c r="M1325">
        <f ca="1">qry_ProdData2_PDI_Cash_Exception_Application[[#This Row],[TODAY]]-qry_ProdData2_PDI_Cash_Exception_Application[[#This Row],[CHANGED ON]]</f>
        <v>9.7429282407392748</v>
      </c>
      <c r="N1325">
        <f ca="1">qry_ProdData2_PDI_Cash_Exception_Application[[#This Row],[TODAY]]-qry_ProdData2_PDI_Cash_Exception_Application[[#This Row],[CHANGED ON]]</f>
        <v>9.7429282407392748</v>
      </c>
    </row>
    <row r="1326" spans="1:14" x14ac:dyDescent="0.35">
      <c r="A1326">
        <v>1007</v>
      </c>
      <c r="B1326" t="s">
        <v>61</v>
      </c>
      <c r="C1326" s="1">
        <v>45189.257071759261</v>
      </c>
      <c r="D1326" t="str">
        <f ca="1">VLOOKUP(qry_ProdData2_PDI_Cash_Exception_Application[[#This Row],[TYPE]],#REF!,2,FALSE)</f>
        <v>type40</v>
      </c>
      <c r="E1326">
        <v>-478.45</v>
      </c>
      <c r="F1326" t="s">
        <v>52</v>
      </c>
      <c r="G1326" s="1">
        <f>qry_ProdData2_PDI_Cash_Exception_Application[[#This Row],[INSERT DATE]]+5</f>
        <v>45194.257071759261</v>
      </c>
      <c r="H1326" t="str">
        <f>VLOOKUP(qry_ProdData2_PDI_Cash_Exception_Application[[#This Row],[MARKET No]],'Site Allocation'!$B$2:$C$37,2,FALSE)</f>
        <v>Analyst2</v>
      </c>
      <c r="I1326" s="4">
        <f t="shared" ca="1" si="20"/>
        <v>45203</v>
      </c>
      <c r="J1326" s="42">
        <f ca="1">TODAY()-qry_ProdData2_PDI_Cash_Exception_Application[[#This Row],[INSERT DATE]]</f>
        <v>13.742928240739275</v>
      </c>
      <c r="K13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26">
        <f ca="1">qry_ProdData2_PDI_Cash_Exception_Application[[#This Row],[TODAY]]-qry_ProdData2_PDI_Cash_Exception_Application[[#This Row],[CHANGED ON]]</f>
        <v>8.7429282407392748</v>
      </c>
      <c r="M1326">
        <f ca="1">qry_ProdData2_PDI_Cash_Exception_Application[[#This Row],[TODAY]]-qry_ProdData2_PDI_Cash_Exception_Application[[#This Row],[CHANGED ON]]</f>
        <v>8.7429282407392748</v>
      </c>
      <c r="N1326">
        <f ca="1">qry_ProdData2_PDI_Cash_Exception_Application[[#This Row],[TODAY]]-qry_ProdData2_PDI_Cash_Exception_Application[[#This Row],[CHANGED ON]]</f>
        <v>8.7429282407392748</v>
      </c>
    </row>
    <row r="1327" spans="1:14" x14ac:dyDescent="0.35">
      <c r="A1327">
        <v>1015</v>
      </c>
      <c r="B1327" t="s">
        <v>69</v>
      </c>
      <c r="C1327" s="1">
        <v>45189.257071759261</v>
      </c>
      <c r="D1327" t="str">
        <f ca="1">VLOOKUP(qry_ProdData2_PDI_Cash_Exception_Application[[#This Row],[TYPE]],#REF!,2,FALSE)</f>
        <v>type40</v>
      </c>
      <c r="E1327">
        <v>7012.17</v>
      </c>
      <c r="F1327" t="s">
        <v>50</v>
      </c>
      <c r="G1327" s="1">
        <f>qry_ProdData2_PDI_Cash_Exception_Application[[#This Row],[INSERT DATE]]+5</f>
        <v>45194.257071759261</v>
      </c>
      <c r="H1327" t="str">
        <f>VLOOKUP(qry_ProdData2_PDI_Cash_Exception_Application[[#This Row],[MARKET No]],'Site Allocation'!$B$2:$C$37,2,FALSE)</f>
        <v>Analyst3</v>
      </c>
      <c r="I1327" s="4">
        <f t="shared" ca="1" si="20"/>
        <v>45203</v>
      </c>
      <c r="J1327" s="42">
        <f ca="1">TODAY()-qry_ProdData2_PDI_Cash_Exception_Application[[#This Row],[INSERT DATE]]</f>
        <v>13.742928240739275</v>
      </c>
      <c r="K13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27">
        <f ca="1">qry_ProdData2_PDI_Cash_Exception_Application[[#This Row],[TODAY]]-qry_ProdData2_PDI_Cash_Exception_Application[[#This Row],[CHANGED ON]]</f>
        <v>8.7429282407392748</v>
      </c>
      <c r="M1327">
        <f ca="1">qry_ProdData2_PDI_Cash_Exception_Application[[#This Row],[TODAY]]-qry_ProdData2_PDI_Cash_Exception_Application[[#This Row],[CHANGED ON]]</f>
        <v>8.7429282407392748</v>
      </c>
      <c r="N1327">
        <f ca="1">qry_ProdData2_PDI_Cash_Exception_Application[[#This Row],[TODAY]]-qry_ProdData2_PDI_Cash_Exception_Application[[#This Row],[CHANGED ON]]</f>
        <v>8.7429282407392748</v>
      </c>
    </row>
    <row r="1328" spans="1:14" x14ac:dyDescent="0.35">
      <c r="A1328">
        <v>1033</v>
      </c>
      <c r="B1328" t="s">
        <v>87</v>
      </c>
      <c r="C1328" s="1">
        <v>45189.257071759261</v>
      </c>
      <c r="D1328" t="str">
        <f ca="1">VLOOKUP(qry_ProdData2_PDI_Cash_Exception_Application[[#This Row],[TYPE]],#REF!,2,FALSE)</f>
        <v>type40</v>
      </c>
      <c r="E1328">
        <v>-1806.82</v>
      </c>
      <c r="F1328" t="s">
        <v>51</v>
      </c>
      <c r="G1328" s="1">
        <f>qry_ProdData2_PDI_Cash_Exception_Application[[#This Row],[INSERT DATE]]+7</f>
        <v>45196.257071759261</v>
      </c>
      <c r="H1328" t="str">
        <f>VLOOKUP(qry_ProdData2_PDI_Cash_Exception_Application[[#This Row],[MARKET No]],'Site Allocation'!$B$2:$C$37,2,FALSE)</f>
        <v>Analyst6</v>
      </c>
      <c r="I1328" s="4">
        <f t="shared" ca="1" si="20"/>
        <v>45203</v>
      </c>
      <c r="J1328" s="42">
        <f ca="1">TODAY()-qry_ProdData2_PDI_Cash_Exception_Application[[#This Row],[INSERT DATE]]</f>
        <v>13.742928240739275</v>
      </c>
      <c r="K13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28">
        <f ca="1">qry_ProdData2_PDI_Cash_Exception_Application[[#This Row],[TODAY]]-qry_ProdData2_PDI_Cash_Exception_Application[[#This Row],[CHANGED ON]]</f>
        <v>6.7429282407392748</v>
      </c>
      <c r="M1328">
        <f ca="1">qry_ProdData2_PDI_Cash_Exception_Application[[#This Row],[TODAY]]-qry_ProdData2_PDI_Cash_Exception_Application[[#This Row],[CHANGED ON]]</f>
        <v>6.7429282407392748</v>
      </c>
      <c r="N1328">
        <f ca="1">qry_ProdData2_PDI_Cash_Exception_Application[[#This Row],[TODAY]]-qry_ProdData2_PDI_Cash_Exception_Application[[#This Row],[CHANGED ON]]</f>
        <v>6.7429282407392748</v>
      </c>
    </row>
    <row r="1329" spans="1:14" x14ac:dyDescent="0.35">
      <c r="A1329">
        <v>1022</v>
      </c>
      <c r="B1329" t="s">
        <v>76</v>
      </c>
      <c r="C1329" s="1">
        <v>45190.257071759261</v>
      </c>
      <c r="D1329" t="str">
        <f ca="1">VLOOKUP(qry_ProdData2_PDI_Cash_Exception_Application[[#This Row],[TYPE]],#REF!,2,FALSE)</f>
        <v>type40</v>
      </c>
      <c r="E1329">
        <v>-711.46</v>
      </c>
      <c r="F1329" t="s">
        <v>52</v>
      </c>
      <c r="G1329" s="1">
        <f>qry_ProdData2_PDI_Cash_Exception_Application[[#This Row],[INSERT DATE]]+5</f>
        <v>45195.257071759261</v>
      </c>
      <c r="H1329" t="str">
        <f>VLOOKUP(qry_ProdData2_PDI_Cash_Exception_Application[[#This Row],[MARKET No]],'Site Allocation'!$B$2:$C$37,2,FALSE)</f>
        <v>Analyst4</v>
      </c>
      <c r="I1329" s="4">
        <f t="shared" ca="1" si="20"/>
        <v>45203</v>
      </c>
      <c r="J1329" s="42">
        <f ca="1">TODAY()-qry_ProdData2_PDI_Cash_Exception_Application[[#This Row],[INSERT DATE]]</f>
        <v>12.742928240739275</v>
      </c>
      <c r="K13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29">
        <f ca="1">qry_ProdData2_PDI_Cash_Exception_Application[[#This Row],[TODAY]]-qry_ProdData2_PDI_Cash_Exception_Application[[#This Row],[CHANGED ON]]</f>
        <v>7.7429282407392748</v>
      </c>
      <c r="M1329">
        <f ca="1">qry_ProdData2_PDI_Cash_Exception_Application[[#This Row],[TODAY]]-qry_ProdData2_PDI_Cash_Exception_Application[[#This Row],[CHANGED ON]]</f>
        <v>7.7429282407392748</v>
      </c>
      <c r="N1329">
        <f ca="1">qry_ProdData2_PDI_Cash_Exception_Application[[#This Row],[TODAY]]-qry_ProdData2_PDI_Cash_Exception_Application[[#This Row],[CHANGED ON]]</f>
        <v>7.7429282407392748</v>
      </c>
    </row>
    <row r="1330" spans="1:14" x14ac:dyDescent="0.35">
      <c r="A1330">
        <v>1004</v>
      </c>
      <c r="B1330" t="s">
        <v>58</v>
      </c>
      <c r="C1330" s="1">
        <v>45183.257071759261</v>
      </c>
      <c r="D1330" t="str">
        <f ca="1">VLOOKUP(qry_ProdData2_PDI_Cash_Exception_Application[[#This Row],[TYPE]],#REF!,2,FALSE)</f>
        <v>type40</v>
      </c>
      <c r="E1330">
        <v>-1101.99</v>
      </c>
      <c r="F1330" t="s">
        <v>51</v>
      </c>
      <c r="G1330" s="1">
        <f>qry_ProdData2_PDI_Cash_Exception_Application[[#This Row],[INSERT DATE]]+1</f>
        <v>45184.257071759261</v>
      </c>
      <c r="H1330" t="str">
        <f>VLOOKUP(qry_ProdData2_PDI_Cash_Exception_Application[[#This Row],[MARKET No]],'Site Allocation'!$B$2:$C$37,2,FALSE)</f>
        <v>Analyst1</v>
      </c>
      <c r="I1330" s="4">
        <f t="shared" ca="1" si="20"/>
        <v>45203</v>
      </c>
      <c r="J1330" s="42">
        <f ca="1">TODAY()-qry_ProdData2_PDI_Cash_Exception_Application[[#This Row],[INSERT DATE]]</f>
        <v>19.742928240739275</v>
      </c>
      <c r="K13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30">
        <f ca="1">qry_ProdData2_PDI_Cash_Exception_Application[[#This Row],[TODAY]]-qry_ProdData2_PDI_Cash_Exception_Application[[#This Row],[CHANGED ON]]</f>
        <v>18.742928240739275</v>
      </c>
      <c r="M1330">
        <f ca="1">qry_ProdData2_PDI_Cash_Exception_Application[[#This Row],[TODAY]]-qry_ProdData2_PDI_Cash_Exception_Application[[#This Row],[CHANGED ON]]</f>
        <v>18.742928240739275</v>
      </c>
      <c r="N1330">
        <f ca="1">qry_ProdData2_PDI_Cash_Exception_Application[[#This Row],[TODAY]]-qry_ProdData2_PDI_Cash_Exception_Application[[#This Row],[CHANGED ON]]</f>
        <v>18.742928240739275</v>
      </c>
    </row>
    <row r="1331" spans="1:14" x14ac:dyDescent="0.35">
      <c r="A1331">
        <v>1022</v>
      </c>
      <c r="B1331" t="s">
        <v>76</v>
      </c>
      <c r="C1331" s="1">
        <v>45192.257071759261</v>
      </c>
      <c r="D1331" t="str">
        <f ca="1">VLOOKUP(qry_ProdData2_PDI_Cash_Exception_Application[[#This Row],[TYPE]],#REF!,2,FALSE)</f>
        <v>type40</v>
      </c>
      <c r="E1331">
        <v>1506.97</v>
      </c>
      <c r="F1331" t="s">
        <v>50</v>
      </c>
      <c r="G1331" s="1">
        <f>qry_ProdData2_PDI_Cash_Exception_Application[[#This Row],[INSERT DATE]]+7</f>
        <v>45199.257071759261</v>
      </c>
      <c r="H1331" t="str">
        <f>VLOOKUP(qry_ProdData2_PDI_Cash_Exception_Application[[#This Row],[MARKET No]],'Site Allocation'!$B$2:$C$37,2,FALSE)</f>
        <v>Analyst4</v>
      </c>
      <c r="I1331" s="4">
        <f t="shared" ca="1" si="20"/>
        <v>45203</v>
      </c>
      <c r="J1331" s="42">
        <f ca="1">TODAY()-qry_ProdData2_PDI_Cash_Exception_Application[[#This Row],[INSERT DATE]]</f>
        <v>10.742928240739275</v>
      </c>
      <c r="K13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31">
        <f ca="1">qry_ProdData2_PDI_Cash_Exception_Application[[#This Row],[TODAY]]-qry_ProdData2_PDI_Cash_Exception_Application[[#This Row],[CHANGED ON]]</f>
        <v>3.7429282407392748</v>
      </c>
      <c r="M1331">
        <f ca="1">qry_ProdData2_PDI_Cash_Exception_Application[[#This Row],[TODAY]]-qry_ProdData2_PDI_Cash_Exception_Application[[#This Row],[CHANGED ON]]</f>
        <v>3.7429282407392748</v>
      </c>
      <c r="N1331">
        <f ca="1">qry_ProdData2_PDI_Cash_Exception_Application[[#This Row],[TODAY]]-qry_ProdData2_PDI_Cash_Exception_Application[[#This Row],[CHANGED ON]]</f>
        <v>3.7429282407392748</v>
      </c>
    </row>
    <row r="1332" spans="1:14" x14ac:dyDescent="0.35">
      <c r="A1332">
        <v>1019</v>
      </c>
      <c r="B1332" t="s">
        <v>73</v>
      </c>
      <c r="C1332" s="1">
        <v>45187.257071759261</v>
      </c>
      <c r="D1332" t="str">
        <f ca="1">VLOOKUP(qry_ProdData2_PDI_Cash_Exception_Application[[#This Row],[TYPE]],#REF!,2,FALSE)</f>
        <v>type13</v>
      </c>
      <c r="E1332">
        <v>33817.93</v>
      </c>
      <c r="F1332" t="s">
        <v>49</v>
      </c>
      <c r="G1332" s="1">
        <f>qry_ProdData2_PDI_Cash_Exception_Application[[#This Row],[INSERT DATE]]+1</f>
        <v>45188.257071759261</v>
      </c>
      <c r="H1332" t="str">
        <f>VLOOKUP(qry_ProdData2_PDI_Cash_Exception_Application[[#This Row],[MARKET No]],'Site Allocation'!$B$2:$C$37,2,FALSE)</f>
        <v>Analyst4</v>
      </c>
      <c r="I1332" s="4">
        <f t="shared" ca="1" si="20"/>
        <v>45203</v>
      </c>
      <c r="J1332" s="42">
        <f ca="1">TODAY()-qry_ProdData2_PDI_Cash_Exception_Application[[#This Row],[INSERT DATE]]</f>
        <v>15.742928240739275</v>
      </c>
      <c r="K13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32">
        <f ca="1">qry_ProdData2_PDI_Cash_Exception_Application[[#This Row],[TODAY]]-qry_ProdData2_PDI_Cash_Exception_Application[[#This Row],[CHANGED ON]]</f>
        <v>14.742928240739275</v>
      </c>
      <c r="M1332">
        <f ca="1">qry_ProdData2_PDI_Cash_Exception_Application[[#This Row],[TODAY]]-qry_ProdData2_PDI_Cash_Exception_Application[[#This Row],[CHANGED ON]]</f>
        <v>14.742928240739275</v>
      </c>
      <c r="N1332">
        <f ca="1">qry_ProdData2_PDI_Cash_Exception_Application[[#This Row],[TODAY]]-qry_ProdData2_PDI_Cash_Exception_Application[[#This Row],[CHANGED ON]]</f>
        <v>14.742928240739275</v>
      </c>
    </row>
    <row r="1333" spans="1:14" x14ac:dyDescent="0.35">
      <c r="A1333">
        <v>1030</v>
      </c>
      <c r="B1333" t="s">
        <v>84</v>
      </c>
      <c r="C1333" s="1">
        <v>45187.257071759261</v>
      </c>
      <c r="D1333" t="str">
        <f ca="1">VLOOKUP(qry_ProdData2_PDI_Cash_Exception_Application[[#This Row],[TYPE]],#REF!,2,FALSE)</f>
        <v>type13</v>
      </c>
      <c r="E1333">
        <v>24748.720000000001</v>
      </c>
      <c r="F1333" t="s">
        <v>48</v>
      </c>
      <c r="G1333" s="1">
        <f>qry_ProdData2_PDI_Cash_Exception_Application[[#This Row],[INSERT DATE]]+5</f>
        <v>45192.257071759261</v>
      </c>
      <c r="H1333" t="str">
        <f>VLOOKUP(qry_ProdData2_PDI_Cash_Exception_Application[[#This Row],[MARKET No]],'Site Allocation'!$B$2:$C$37,2,FALSE)</f>
        <v>Analyst6</v>
      </c>
      <c r="I1333" s="4">
        <f t="shared" ca="1" si="20"/>
        <v>45203</v>
      </c>
      <c r="J1333" s="42">
        <f ca="1">TODAY()-qry_ProdData2_PDI_Cash_Exception_Application[[#This Row],[INSERT DATE]]</f>
        <v>15.742928240739275</v>
      </c>
      <c r="K13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33">
        <f ca="1">qry_ProdData2_PDI_Cash_Exception_Application[[#This Row],[TODAY]]-qry_ProdData2_PDI_Cash_Exception_Application[[#This Row],[CHANGED ON]]</f>
        <v>10.742928240739275</v>
      </c>
      <c r="M1333">
        <f ca="1">qry_ProdData2_PDI_Cash_Exception_Application[[#This Row],[TODAY]]-qry_ProdData2_PDI_Cash_Exception_Application[[#This Row],[CHANGED ON]]</f>
        <v>10.742928240739275</v>
      </c>
      <c r="N1333">
        <f ca="1">qry_ProdData2_PDI_Cash_Exception_Application[[#This Row],[TODAY]]-qry_ProdData2_PDI_Cash_Exception_Application[[#This Row],[CHANGED ON]]</f>
        <v>10.742928240739275</v>
      </c>
    </row>
    <row r="1334" spans="1:14" x14ac:dyDescent="0.35">
      <c r="A1334">
        <v>1019</v>
      </c>
      <c r="B1334" t="s">
        <v>73</v>
      </c>
      <c r="C1334" s="1">
        <v>45187.257071759261</v>
      </c>
      <c r="D1334" t="str">
        <f ca="1">VLOOKUP(qry_ProdData2_PDI_Cash_Exception_Application[[#This Row],[TYPE]],#REF!,2,FALSE)</f>
        <v>type40</v>
      </c>
      <c r="E1334">
        <v>-590.22</v>
      </c>
      <c r="F1334" t="s">
        <v>51</v>
      </c>
      <c r="G1334" s="1">
        <f>qry_ProdData2_PDI_Cash_Exception_Application[[#This Row],[INSERT DATE]]+2</f>
        <v>45189.257071759261</v>
      </c>
      <c r="H1334" t="str">
        <f>VLOOKUP(qry_ProdData2_PDI_Cash_Exception_Application[[#This Row],[MARKET No]],'Site Allocation'!$B$2:$C$37,2,FALSE)</f>
        <v>Analyst4</v>
      </c>
      <c r="I1334" s="4">
        <f t="shared" ca="1" si="20"/>
        <v>45203</v>
      </c>
      <c r="J1334" s="42">
        <f ca="1">TODAY()-qry_ProdData2_PDI_Cash_Exception_Application[[#This Row],[INSERT DATE]]</f>
        <v>15.742928240739275</v>
      </c>
      <c r="K13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34">
        <f ca="1">qry_ProdData2_PDI_Cash_Exception_Application[[#This Row],[TODAY]]-qry_ProdData2_PDI_Cash_Exception_Application[[#This Row],[CHANGED ON]]</f>
        <v>13.742928240739275</v>
      </c>
      <c r="M1334">
        <f ca="1">qry_ProdData2_PDI_Cash_Exception_Application[[#This Row],[TODAY]]-qry_ProdData2_PDI_Cash_Exception_Application[[#This Row],[CHANGED ON]]</f>
        <v>13.742928240739275</v>
      </c>
      <c r="N1334">
        <f ca="1">qry_ProdData2_PDI_Cash_Exception_Application[[#This Row],[TODAY]]-qry_ProdData2_PDI_Cash_Exception_Application[[#This Row],[CHANGED ON]]</f>
        <v>13.742928240739275</v>
      </c>
    </row>
    <row r="1335" spans="1:14" x14ac:dyDescent="0.35">
      <c r="A1335">
        <v>1026</v>
      </c>
      <c r="B1335" t="s">
        <v>80</v>
      </c>
      <c r="C1335" s="1">
        <v>45192.257071759261</v>
      </c>
      <c r="D1335" t="str">
        <f ca="1">VLOOKUP(qry_ProdData2_PDI_Cash_Exception_Application[[#This Row],[TYPE]],#REF!,2,FALSE)</f>
        <v>type30</v>
      </c>
      <c r="E1335">
        <v>211.59</v>
      </c>
      <c r="F1335" t="s">
        <v>48</v>
      </c>
      <c r="G1335" s="1">
        <f>qry_ProdData2_PDI_Cash_Exception_Application[[#This Row],[INSERT DATE]]+5</f>
        <v>45197.257071759261</v>
      </c>
      <c r="H1335" t="str">
        <f>VLOOKUP(qry_ProdData2_PDI_Cash_Exception_Application[[#This Row],[MARKET No]],'Site Allocation'!$B$2:$C$37,2,FALSE)</f>
        <v>Analyst5</v>
      </c>
      <c r="I1335" s="4">
        <f t="shared" ca="1" si="20"/>
        <v>45203</v>
      </c>
      <c r="J1335" s="42">
        <f ca="1">TODAY()-qry_ProdData2_PDI_Cash_Exception_Application[[#This Row],[INSERT DATE]]</f>
        <v>10.742928240739275</v>
      </c>
      <c r="K13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35">
        <f ca="1">qry_ProdData2_PDI_Cash_Exception_Application[[#This Row],[TODAY]]-qry_ProdData2_PDI_Cash_Exception_Application[[#This Row],[CHANGED ON]]</f>
        <v>5.7429282407392748</v>
      </c>
      <c r="M1335">
        <f ca="1">qry_ProdData2_PDI_Cash_Exception_Application[[#This Row],[TODAY]]-qry_ProdData2_PDI_Cash_Exception_Application[[#This Row],[CHANGED ON]]</f>
        <v>5.7429282407392748</v>
      </c>
      <c r="N1335">
        <f ca="1">qry_ProdData2_PDI_Cash_Exception_Application[[#This Row],[TODAY]]-qry_ProdData2_PDI_Cash_Exception_Application[[#This Row],[CHANGED ON]]</f>
        <v>5.7429282407392748</v>
      </c>
    </row>
    <row r="1336" spans="1:14" x14ac:dyDescent="0.35">
      <c r="A1336">
        <v>1011</v>
      </c>
      <c r="B1336" t="s">
        <v>65</v>
      </c>
      <c r="C1336" s="1">
        <v>45189.257071759261</v>
      </c>
      <c r="D1336" t="str">
        <f ca="1">VLOOKUP(qry_ProdData2_PDI_Cash_Exception_Application[[#This Row],[TYPE]],#REF!,2,FALSE)</f>
        <v>type40</v>
      </c>
      <c r="E1336">
        <v>-507.7</v>
      </c>
      <c r="F1336" t="s">
        <v>51</v>
      </c>
      <c r="G1336" s="1">
        <f>qry_ProdData2_PDI_Cash_Exception_Application[[#This Row],[INSERT DATE]]+2</f>
        <v>45191.257071759261</v>
      </c>
      <c r="H1336" t="str">
        <f>VLOOKUP(qry_ProdData2_PDI_Cash_Exception_Application[[#This Row],[MARKET No]],'Site Allocation'!$B$2:$C$37,2,FALSE)</f>
        <v>Analyst2</v>
      </c>
      <c r="I1336" s="4">
        <f t="shared" ca="1" si="20"/>
        <v>45203</v>
      </c>
      <c r="J1336" s="42">
        <f ca="1">TODAY()-qry_ProdData2_PDI_Cash_Exception_Application[[#This Row],[INSERT DATE]]</f>
        <v>13.742928240739275</v>
      </c>
      <c r="K13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36">
        <f ca="1">qry_ProdData2_PDI_Cash_Exception_Application[[#This Row],[TODAY]]-qry_ProdData2_PDI_Cash_Exception_Application[[#This Row],[CHANGED ON]]</f>
        <v>11.742928240739275</v>
      </c>
      <c r="M1336">
        <f ca="1">qry_ProdData2_PDI_Cash_Exception_Application[[#This Row],[TODAY]]-qry_ProdData2_PDI_Cash_Exception_Application[[#This Row],[CHANGED ON]]</f>
        <v>11.742928240739275</v>
      </c>
      <c r="N1336">
        <f ca="1">qry_ProdData2_PDI_Cash_Exception_Application[[#This Row],[TODAY]]-qry_ProdData2_PDI_Cash_Exception_Application[[#This Row],[CHANGED ON]]</f>
        <v>11.742928240739275</v>
      </c>
    </row>
    <row r="1337" spans="1:14" x14ac:dyDescent="0.35">
      <c r="A1337">
        <v>1007</v>
      </c>
      <c r="B1337" t="s">
        <v>61</v>
      </c>
      <c r="C1337" s="1">
        <v>45185.257071759261</v>
      </c>
      <c r="D1337" t="str">
        <f ca="1">VLOOKUP(qry_ProdData2_PDI_Cash_Exception_Application[[#This Row],[TYPE]],#REF!,2,FALSE)</f>
        <v>type40</v>
      </c>
      <c r="E1337">
        <v>10</v>
      </c>
      <c r="F1337" t="s">
        <v>47</v>
      </c>
      <c r="G1337" s="1">
        <f>qry_ProdData2_PDI_Cash_Exception_Application[[#This Row],[INSERT DATE]]+1</f>
        <v>45186.257071759261</v>
      </c>
      <c r="H1337" t="str">
        <f>VLOOKUP(qry_ProdData2_PDI_Cash_Exception_Application[[#This Row],[MARKET No]],'Site Allocation'!$B$2:$C$37,2,FALSE)</f>
        <v>Analyst2</v>
      </c>
      <c r="I1337" s="4">
        <f t="shared" ca="1" si="20"/>
        <v>45203</v>
      </c>
      <c r="J1337" s="42">
        <f ca="1">TODAY()-qry_ProdData2_PDI_Cash_Exception_Application[[#This Row],[INSERT DATE]]</f>
        <v>17.742928240739275</v>
      </c>
      <c r="K13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37">
        <f ca="1">qry_ProdData2_PDI_Cash_Exception_Application[[#This Row],[TODAY]]-qry_ProdData2_PDI_Cash_Exception_Application[[#This Row],[CHANGED ON]]</f>
        <v>16.742928240739275</v>
      </c>
      <c r="M1337">
        <f ca="1">qry_ProdData2_PDI_Cash_Exception_Application[[#This Row],[TODAY]]-qry_ProdData2_PDI_Cash_Exception_Application[[#This Row],[CHANGED ON]]</f>
        <v>16.742928240739275</v>
      </c>
      <c r="N1337">
        <f ca="1">qry_ProdData2_PDI_Cash_Exception_Application[[#This Row],[TODAY]]-qry_ProdData2_PDI_Cash_Exception_Application[[#This Row],[CHANGED ON]]</f>
        <v>16.742928240739275</v>
      </c>
    </row>
    <row r="1338" spans="1:14" x14ac:dyDescent="0.35">
      <c r="A1338">
        <v>1027</v>
      </c>
      <c r="B1338" t="s">
        <v>81</v>
      </c>
      <c r="C1338" s="1">
        <v>45189.257071759261</v>
      </c>
      <c r="D1338" t="str">
        <f ca="1">VLOOKUP(qry_ProdData2_PDI_Cash_Exception_Application[[#This Row],[TYPE]],#REF!,2,FALSE)</f>
        <v>type38</v>
      </c>
      <c r="E1338">
        <v>236.32</v>
      </c>
      <c r="F1338" t="s">
        <v>49</v>
      </c>
      <c r="G1338" s="1">
        <f>qry_ProdData2_PDI_Cash_Exception_Application[[#This Row],[INSERT DATE]]+1</f>
        <v>45190.257071759261</v>
      </c>
      <c r="H1338" t="str">
        <f>VLOOKUP(qry_ProdData2_PDI_Cash_Exception_Application[[#This Row],[MARKET No]],'Site Allocation'!$B$2:$C$37,2,FALSE)</f>
        <v>Analyst5</v>
      </c>
      <c r="I1338" s="4">
        <f t="shared" ca="1" si="20"/>
        <v>45203</v>
      </c>
      <c r="J1338" s="42">
        <f ca="1">TODAY()-qry_ProdData2_PDI_Cash_Exception_Application[[#This Row],[INSERT DATE]]</f>
        <v>13.742928240739275</v>
      </c>
      <c r="K13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38">
        <f ca="1">qry_ProdData2_PDI_Cash_Exception_Application[[#This Row],[TODAY]]-qry_ProdData2_PDI_Cash_Exception_Application[[#This Row],[CHANGED ON]]</f>
        <v>12.742928240739275</v>
      </c>
      <c r="M1338">
        <f ca="1">qry_ProdData2_PDI_Cash_Exception_Application[[#This Row],[TODAY]]-qry_ProdData2_PDI_Cash_Exception_Application[[#This Row],[CHANGED ON]]</f>
        <v>12.742928240739275</v>
      </c>
      <c r="N1338">
        <f ca="1">qry_ProdData2_PDI_Cash_Exception_Application[[#This Row],[TODAY]]-qry_ProdData2_PDI_Cash_Exception_Application[[#This Row],[CHANGED ON]]</f>
        <v>12.742928240739275</v>
      </c>
    </row>
    <row r="1339" spans="1:14" x14ac:dyDescent="0.35">
      <c r="A1339">
        <v>1004</v>
      </c>
      <c r="B1339" t="s">
        <v>58</v>
      </c>
      <c r="C1339" s="1">
        <v>45181.257071759261</v>
      </c>
      <c r="D1339" t="str">
        <f ca="1">VLOOKUP(qry_ProdData2_PDI_Cash_Exception_Application[[#This Row],[TYPE]],#REF!,2,FALSE)</f>
        <v>type40</v>
      </c>
      <c r="E1339">
        <v>-570.92999999999995</v>
      </c>
      <c r="F1339" t="s">
        <v>50</v>
      </c>
      <c r="G1339" s="1">
        <f>qry_ProdData2_PDI_Cash_Exception_Application[[#This Row],[INSERT DATE]]+7</f>
        <v>45188.257071759261</v>
      </c>
      <c r="H1339" t="str">
        <f>VLOOKUP(qry_ProdData2_PDI_Cash_Exception_Application[[#This Row],[MARKET No]],'Site Allocation'!$B$2:$C$37,2,FALSE)</f>
        <v>Analyst1</v>
      </c>
      <c r="I1339" s="4">
        <f t="shared" ca="1" si="20"/>
        <v>45203</v>
      </c>
      <c r="J1339" s="42">
        <f ca="1">TODAY()-qry_ProdData2_PDI_Cash_Exception_Application[[#This Row],[INSERT DATE]]</f>
        <v>21.742928240739275</v>
      </c>
      <c r="K13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39">
        <f ca="1">qry_ProdData2_PDI_Cash_Exception_Application[[#This Row],[TODAY]]-qry_ProdData2_PDI_Cash_Exception_Application[[#This Row],[CHANGED ON]]</f>
        <v>14.742928240739275</v>
      </c>
      <c r="M1339">
        <f ca="1">qry_ProdData2_PDI_Cash_Exception_Application[[#This Row],[TODAY]]-qry_ProdData2_PDI_Cash_Exception_Application[[#This Row],[CHANGED ON]]</f>
        <v>14.742928240739275</v>
      </c>
      <c r="N1339">
        <f ca="1">qry_ProdData2_PDI_Cash_Exception_Application[[#This Row],[TODAY]]-qry_ProdData2_PDI_Cash_Exception_Application[[#This Row],[CHANGED ON]]</f>
        <v>14.742928240739275</v>
      </c>
    </row>
    <row r="1340" spans="1:14" x14ac:dyDescent="0.35">
      <c r="A1340">
        <v>1015</v>
      </c>
      <c r="B1340" t="s">
        <v>69</v>
      </c>
      <c r="C1340" s="1">
        <v>45189.257071759261</v>
      </c>
      <c r="D1340" t="str">
        <f ca="1">VLOOKUP(qry_ProdData2_PDI_Cash_Exception_Application[[#This Row],[TYPE]],#REF!,2,FALSE)</f>
        <v>type40</v>
      </c>
      <c r="E1340">
        <v>-347.89</v>
      </c>
      <c r="F1340" t="s">
        <v>47</v>
      </c>
      <c r="G1340" s="1">
        <f>qry_ProdData2_PDI_Cash_Exception_Application[[#This Row],[INSERT DATE]]+2</f>
        <v>45191.257071759261</v>
      </c>
      <c r="H1340" t="str">
        <f>VLOOKUP(qry_ProdData2_PDI_Cash_Exception_Application[[#This Row],[MARKET No]],'Site Allocation'!$B$2:$C$37,2,FALSE)</f>
        <v>Analyst3</v>
      </c>
      <c r="I1340" s="4">
        <f t="shared" ca="1" si="20"/>
        <v>45203</v>
      </c>
      <c r="J1340" s="42">
        <f ca="1">TODAY()-qry_ProdData2_PDI_Cash_Exception_Application[[#This Row],[INSERT DATE]]</f>
        <v>13.742928240739275</v>
      </c>
      <c r="K13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40">
        <f ca="1">qry_ProdData2_PDI_Cash_Exception_Application[[#This Row],[TODAY]]-qry_ProdData2_PDI_Cash_Exception_Application[[#This Row],[CHANGED ON]]</f>
        <v>11.742928240739275</v>
      </c>
      <c r="M1340">
        <f ca="1">qry_ProdData2_PDI_Cash_Exception_Application[[#This Row],[TODAY]]-qry_ProdData2_PDI_Cash_Exception_Application[[#This Row],[CHANGED ON]]</f>
        <v>11.742928240739275</v>
      </c>
      <c r="N1340">
        <f ca="1">qry_ProdData2_PDI_Cash_Exception_Application[[#This Row],[TODAY]]-qry_ProdData2_PDI_Cash_Exception_Application[[#This Row],[CHANGED ON]]</f>
        <v>11.742928240739275</v>
      </c>
    </row>
    <row r="1341" spans="1:14" x14ac:dyDescent="0.35">
      <c r="A1341">
        <v>1009</v>
      </c>
      <c r="B1341" t="s">
        <v>63</v>
      </c>
      <c r="C1341" s="1">
        <v>45182.257071759261</v>
      </c>
      <c r="D1341" t="str">
        <f ca="1">VLOOKUP(qry_ProdData2_PDI_Cash_Exception_Application[[#This Row],[TYPE]],#REF!,2,FALSE)</f>
        <v>type40</v>
      </c>
      <c r="E1341">
        <v>-1273.5</v>
      </c>
      <c r="F1341" t="s">
        <v>50</v>
      </c>
      <c r="G1341" s="1">
        <f>qry_ProdData2_PDI_Cash_Exception_Application[[#This Row],[INSERT DATE]]+7</f>
        <v>45189.257071759261</v>
      </c>
      <c r="H1341" t="str">
        <f>VLOOKUP(qry_ProdData2_PDI_Cash_Exception_Application[[#This Row],[MARKET No]],'Site Allocation'!$B$2:$C$37,2,FALSE)</f>
        <v>Analyst2</v>
      </c>
      <c r="I1341" s="4">
        <f t="shared" ca="1" si="20"/>
        <v>45203</v>
      </c>
      <c r="J1341" s="42">
        <f ca="1">TODAY()-qry_ProdData2_PDI_Cash_Exception_Application[[#This Row],[INSERT DATE]]</f>
        <v>20.742928240739275</v>
      </c>
      <c r="K13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41">
        <f ca="1">qry_ProdData2_PDI_Cash_Exception_Application[[#This Row],[TODAY]]-qry_ProdData2_PDI_Cash_Exception_Application[[#This Row],[CHANGED ON]]</f>
        <v>13.742928240739275</v>
      </c>
      <c r="M1341">
        <f ca="1">qry_ProdData2_PDI_Cash_Exception_Application[[#This Row],[TODAY]]-qry_ProdData2_PDI_Cash_Exception_Application[[#This Row],[CHANGED ON]]</f>
        <v>13.742928240739275</v>
      </c>
      <c r="N1341">
        <f ca="1">qry_ProdData2_PDI_Cash_Exception_Application[[#This Row],[TODAY]]-qry_ProdData2_PDI_Cash_Exception_Application[[#This Row],[CHANGED ON]]</f>
        <v>13.742928240739275</v>
      </c>
    </row>
    <row r="1342" spans="1:14" x14ac:dyDescent="0.35">
      <c r="A1342">
        <v>1021</v>
      </c>
      <c r="B1342" t="s">
        <v>75</v>
      </c>
      <c r="C1342" s="1">
        <v>45190.257071759261</v>
      </c>
      <c r="D1342" t="str">
        <f ca="1">VLOOKUP(qry_ProdData2_PDI_Cash_Exception_Application[[#This Row],[TYPE]],#REF!,2,FALSE)</f>
        <v>type40</v>
      </c>
      <c r="E1342">
        <v>-506.94</v>
      </c>
      <c r="F1342" t="s">
        <v>47</v>
      </c>
      <c r="G1342" s="1">
        <f>qry_ProdData2_PDI_Cash_Exception_Application[[#This Row],[INSERT DATE]]+2</f>
        <v>45192.257071759261</v>
      </c>
      <c r="H1342" t="str">
        <f>VLOOKUP(qry_ProdData2_PDI_Cash_Exception_Application[[#This Row],[MARKET No]],'Site Allocation'!$B$2:$C$37,2,FALSE)</f>
        <v>Analyst4</v>
      </c>
      <c r="I1342" s="4">
        <f t="shared" ca="1" si="20"/>
        <v>45203</v>
      </c>
      <c r="J1342" s="42">
        <f ca="1">TODAY()-qry_ProdData2_PDI_Cash_Exception_Application[[#This Row],[INSERT DATE]]</f>
        <v>12.742928240739275</v>
      </c>
      <c r="K13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42">
        <f ca="1">qry_ProdData2_PDI_Cash_Exception_Application[[#This Row],[TODAY]]-qry_ProdData2_PDI_Cash_Exception_Application[[#This Row],[CHANGED ON]]</f>
        <v>10.742928240739275</v>
      </c>
      <c r="M1342">
        <f ca="1">qry_ProdData2_PDI_Cash_Exception_Application[[#This Row],[TODAY]]-qry_ProdData2_PDI_Cash_Exception_Application[[#This Row],[CHANGED ON]]</f>
        <v>10.742928240739275</v>
      </c>
      <c r="N1342">
        <f ca="1">qry_ProdData2_PDI_Cash_Exception_Application[[#This Row],[TODAY]]-qry_ProdData2_PDI_Cash_Exception_Application[[#This Row],[CHANGED ON]]</f>
        <v>10.742928240739275</v>
      </c>
    </row>
    <row r="1343" spans="1:14" x14ac:dyDescent="0.35">
      <c r="A1343">
        <v>1014</v>
      </c>
      <c r="B1343" t="s">
        <v>68</v>
      </c>
      <c r="C1343" s="1">
        <v>45182.257071759261</v>
      </c>
      <c r="D1343" t="str">
        <f ca="1">VLOOKUP(qry_ProdData2_PDI_Cash_Exception_Application[[#This Row],[TYPE]],#REF!,2,FALSE)</f>
        <v>type40</v>
      </c>
      <c r="E1343">
        <v>-472.84</v>
      </c>
      <c r="F1343" t="s">
        <v>51</v>
      </c>
      <c r="G1343" s="1">
        <f>qry_ProdData2_PDI_Cash_Exception_Application[[#This Row],[INSERT DATE]]+7</f>
        <v>45189.257071759261</v>
      </c>
      <c r="H1343" t="str">
        <f>VLOOKUP(qry_ProdData2_PDI_Cash_Exception_Application[[#This Row],[MARKET No]],'Site Allocation'!$B$2:$C$37,2,FALSE)</f>
        <v>Analyst3</v>
      </c>
      <c r="I1343" s="4">
        <f t="shared" ca="1" si="20"/>
        <v>45203</v>
      </c>
      <c r="J1343" s="42">
        <f ca="1">TODAY()-qry_ProdData2_PDI_Cash_Exception_Application[[#This Row],[INSERT DATE]]</f>
        <v>20.742928240739275</v>
      </c>
      <c r="K13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43">
        <f ca="1">qry_ProdData2_PDI_Cash_Exception_Application[[#This Row],[TODAY]]-qry_ProdData2_PDI_Cash_Exception_Application[[#This Row],[CHANGED ON]]</f>
        <v>13.742928240739275</v>
      </c>
      <c r="M1343">
        <f ca="1">qry_ProdData2_PDI_Cash_Exception_Application[[#This Row],[TODAY]]-qry_ProdData2_PDI_Cash_Exception_Application[[#This Row],[CHANGED ON]]</f>
        <v>13.742928240739275</v>
      </c>
      <c r="N1343">
        <f ca="1">qry_ProdData2_PDI_Cash_Exception_Application[[#This Row],[TODAY]]-qry_ProdData2_PDI_Cash_Exception_Application[[#This Row],[CHANGED ON]]</f>
        <v>13.742928240739275</v>
      </c>
    </row>
    <row r="1344" spans="1:14" x14ac:dyDescent="0.35">
      <c r="A1344">
        <v>1033</v>
      </c>
      <c r="B1344" t="s">
        <v>87</v>
      </c>
      <c r="C1344" s="1">
        <v>45184.257071759261</v>
      </c>
      <c r="D1344" t="str">
        <f ca="1">VLOOKUP(qry_ProdData2_PDI_Cash_Exception_Application[[#This Row],[TYPE]],#REF!,2,FALSE)</f>
        <v>type40</v>
      </c>
      <c r="E1344">
        <v>336.45</v>
      </c>
      <c r="F1344" t="s">
        <v>52</v>
      </c>
      <c r="G1344" s="1">
        <f>qry_ProdData2_PDI_Cash_Exception_Application[[#This Row],[INSERT DATE]]+7</f>
        <v>45191.257071759261</v>
      </c>
      <c r="H1344" t="str">
        <f>VLOOKUP(qry_ProdData2_PDI_Cash_Exception_Application[[#This Row],[MARKET No]],'Site Allocation'!$B$2:$C$37,2,FALSE)</f>
        <v>Analyst6</v>
      </c>
      <c r="I1344" s="4">
        <f t="shared" ca="1" si="20"/>
        <v>45203</v>
      </c>
      <c r="J1344" s="42">
        <f ca="1">TODAY()-qry_ProdData2_PDI_Cash_Exception_Application[[#This Row],[INSERT DATE]]</f>
        <v>18.742928240739275</v>
      </c>
      <c r="K13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44">
        <f ca="1">qry_ProdData2_PDI_Cash_Exception_Application[[#This Row],[TODAY]]-qry_ProdData2_PDI_Cash_Exception_Application[[#This Row],[CHANGED ON]]</f>
        <v>11.742928240739275</v>
      </c>
      <c r="M1344">
        <f ca="1">qry_ProdData2_PDI_Cash_Exception_Application[[#This Row],[TODAY]]-qry_ProdData2_PDI_Cash_Exception_Application[[#This Row],[CHANGED ON]]</f>
        <v>11.742928240739275</v>
      </c>
      <c r="N1344">
        <f ca="1">qry_ProdData2_PDI_Cash_Exception_Application[[#This Row],[TODAY]]-qry_ProdData2_PDI_Cash_Exception_Application[[#This Row],[CHANGED ON]]</f>
        <v>11.742928240739275</v>
      </c>
    </row>
    <row r="1345" spans="1:14" x14ac:dyDescent="0.35">
      <c r="A1345">
        <v>1032</v>
      </c>
      <c r="B1345" t="s">
        <v>86</v>
      </c>
      <c r="C1345" s="1">
        <v>45184.257071759261</v>
      </c>
      <c r="D1345" t="str">
        <f ca="1">VLOOKUP(qry_ProdData2_PDI_Cash_Exception_Application[[#This Row],[TYPE]],#REF!,2,FALSE)</f>
        <v>type40</v>
      </c>
      <c r="E1345">
        <v>313.55</v>
      </c>
      <c r="F1345" t="s">
        <v>52</v>
      </c>
      <c r="G1345" s="1">
        <f>qry_ProdData2_PDI_Cash_Exception_Application[[#This Row],[INSERT DATE]]+7</f>
        <v>45191.257071759261</v>
      </c>
      <c r="H1345" t="str">
        <f>VLOOKUP(qry_ProdData2_PDI_Cash_Exception_Application[[#This Row],[MARKET No]],'Site Allocation'!$B$2:$C$37,2,FALSE)</f>
        <v>Analyst6</v>
      </c>
      <c r="I1345" s="4">
        <f t="shared" ca="1" si="20"/>
        <v>45203</v>
      </c>
      <c r="J1345" s="42">
        <f ca="1">TODAY()-qry_ProdData2_PDI_Cash_Exception_Application[[#This Row],[INSERT DATE]]</f>
        <v>18.742928240739275</v>
      </c>
      <c r="K13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45">
        <f ca="1">qry_ProdData2_PDI_Cash_Exception_Application[[#This Row],[TODAY]]-qry_ProdData2_PDI_Cash_Exception_Application[[#This Row],[CHANGED ON]]</f>
        <v>11.742928240739275</v>
      </c>
      <c r="M1345">
        <f ca="1">qry_ProdData2_PDI_Cash_Exception_Application[[#This Row],[TODAY]]-qry_ProdData2_PDI_Cash_Exception_Application[[#This Row],[CHANGED ON]]</f>
        <v>11.742928240739275</v>
      </c>
      <c r="N1345">
        <f ca="1">qry_ProdData2_PDI_Cash_Exception_Application[[#This Row],[TODAY]]-qry_ProdData2_PDI_Cash_Exception_Application[[#This Row],[CHANGED ON]]</f>
        <v>11.742928240739275</v>
      </c>
    </row>
    <row r="1346" spans="1:14" x14ac:dyDescent="0.35">
      <c r="A1346">
        <v>1006</v>
      </c>
      <c r="B1346" t="s">
        <v>60</v>
      </c>
      <c r="C1346" s="1">
        <v>45183.257071759261</v>
      </c>
      <c r="D1346" t="str">
        <f ca="1">VLOOKUP(qry_ProdData2_PDI_Cash_Exception_Application[[#This Row],[TYPE]],#REF!,2,FALSE)</f>
        <v>type40</v>
      </c>
      <c r="E1346">
        <v>-359.24</v>
      </c>
      <c r="F1346" t="s">
        <v>48</v>
      </c>
      <c r="G1346" s="1">
        <f>qry_ProdData2_PDI_Cash_Exception_Application[[#This Row],[INSERT DATE]]+7</f>
        <v>45190.257071759261</v>
      </c>
      <c r="H1346" t="str">
        <f>VLOOKUP(qry_ProdData2_PDI_Cash_Exception_Application[[#This Row],[MARKET No]],'Site Allocation'!$B$2:$C$37,2,FALSE)</f>
        <v>Analyst2</v>
      </c>
      <c r="I1346" s="4">
        <f t="shared" ref="I1346:I1409" ca="1" si="21">TODAY()</f>
        <v>45203</v>
      </c>
      <c r="J1346" s="42">
        <f ca="1">TODAY()-qry_ProdData2_PDI_Cash_Exception_Application[[#This Row],[INSERT DATE]]</f>
        <v>19.742928240739275</v>
      </c>
      <c r="K13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46">
        <f ca="1">qry_ProdData2_PDI_Cash_Exception_Application[[#This Row],[TODAY]]-qry_ProdData2_PDI_Cash_Exception_Application[[#This Row],[CHANGED ON]]</f>
        <v>12.742928240739275</v>
      </c>
      <c r="M1346">
        <f ca="1">qry_ProdData2_PDI_Cash_Exception_Application[[#This Row],[TODAY]]-qry_ProdData2_PDI_Cash_Exception_Application[[#This Row],[CHANGED ON]]</f>
        <v>12.742928240739275</v>
      </c>
      <c r="N1346">
        <f ca="1">qry_ProdData2_PDI_Cash_Exception_Application[[#This Row],[TODAY]]-qry_ProdData2_PDI_Cash_Exception_Application[[#This Row],[CHANGED ON]]</f>
        <v>12.742928240739275</v>
      </c>
    </row>
    <row r="1347" spans="1:14" x14ac:dyDescent="0.35">
      <c r="A1347">
        <v>1025</v>
      </c>
      <c r="B1347" t="s">
        <v>79</v>
      </c>
      <c r="C1347" s="1">
        <v>45184.257071759261</v>
      </c>
      <c r="D1347" t="str">
        <f ca="1">VLOOKUP(qry_ProdData2_PDI_Cash_Exception_Application[[#This Row],[TYPE]],#REF!,2,FALSE)</f>
        <v>type13</v>
      </c>
      <c r="E1347">
        <v>18733.13</v>
      </c>
      <c r="F1347" t="s">
        <v>48</v>
      </c>
      <c r="G1347" s="1">
        <f>qry_ProdData2_PDI_Cash_Exception_Application[[#This Row],[INSERT DATE]]+1</f>
        <v>45185.257071759261</v>
      </c>
      <c r="H1347" t="str">
        <f>VLOOKUP(qry_ProdData2_PDI_Cash_Exception_Application[[#This Row],[MARKET No]],'Site Allocation'!$B$2:$C$37,2,FALSE)</f>
        <v>Analyst5</v>
      </c>
      <c r="I1347" s="4">
        <f t="shared" ca="1" si="21"/>
        <v>45203</v>
      </c>
      <c r="J1347" s="42">
        <f ca="1">TODAY()-qry_ProdData2_PDI_Cash_Exception_Application[[#This Row],[INSERT DATE]]</f>
        <v>18.742928240739275</v>
      </c>
      <c r="K13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47">
        <f ca="1">qry_ProdData2_PDI_Cash_Exception_Application[[#This Row],[TODAY]]-qry_ProdData2_PDI_Cash_Exception_Application[[#This Row],[CHANGED ON]]</f>
        <v>17.742928240739275</v>
      </c>
      <c r="M1347">
        <f ca="1">qry_ProdData2_PDI_Cash_Exception_Application[[#This Row],[TODAY]]-qry_ProdData2_PDI_Cash_Exception_Application[[#This Row],[CHANGED ON]]</f>
        <v>17.742928240739275</v>
      </c>
      <c r="N1347">
        <f ca="1">qry_ProdData2_PDI_Cash_Exception_Application[[#This Row],[TODAY]]-qry_ProdData2_PDI_Cash_Exception_Application[[#This Row],[CHANGED ON]]</f>
        <v>17.742928240739275</v>
      </c>
    </row>
    <row r="1348" spans="1:14" x14ac:dyDescent="0.35">
      <c r="A1348">
        <v>1027</v>
      </c>
      <c r="B1348" t="s">
        <v>81</v>
      </c>
      <c r="C1348" s="1">
        <v>45186.257071759261</v>
      </c>
      <c r="D1348" t="str">
        <f ca="1">VLOOKUP(qry_ProdData2_PDI_Cash_Exception_Application[[#This Row],[TYPE]],#REF!,2,FALSE)</f>
        <v>type7</v>
      </c>
      <c r="E1348">
        <v>-1860.42</v>
      </c>
      <c r="F1348" t="s">
        <v>50</v>
      </c>
      <c r="G1348" s="1">
        <f>qry_ProdData2_PDI_Cash_Exception_Application[[#This Row],[INSERT DATE]]+7</f>
        <v>45193.257071759261</v>
      </c>
      <c r="H1348" t="str">
        <f>VLOOKUP(qry_ProdData2_PDI_Cash_Exception_Application[[#This Row],[MARKET No]],'Site Allocation'!$B$2:$C$37,2,FALSE)</f>
        <v>Analyst5</v>
      </c>
      <c r="I1348" s="4">
        <f t="shared" ca="1" si="21"/>
        <v>45203</v>
      </c>
      <c r="J1348" s="42">
        <f ca="1">TODAY()-qry_ProdData2_PDI_Cash_Exception_Application[[#This Row],[INSERT DATE]]</f>
        <v>16.742928240739275</v>
      </c>
      <c r="K13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48">
        <f ca="1">qry_ProdData2_PDI_Cash_Exception_Application[[#This Row],[TODAY]]-qry_ProdData2_PDI_Cash_Exception_Application[[#This Row],[CHANGED ON]]</f>
        <v>9.7429282407392748</v>
      </c>
      <c r="M1348">
        <f ca="1">qry_ProdData2_PDI_Cash_Exception_Application[[#This Row],[TODAY]]-qry_ProdData2_PDI_Cash_Exception_Application[[#This Row],[CHANGED ON]]</f>
        <v>9.7429282407392748</v>
      </c>
      <c r="N1348">
        <f ca="1">qry_ProdData2_PDI_Cash_Exception_Application[[#This Row],[TODAY]]-qry_ProdData2_PDI_Cash_Exception_Application[[#This Row],[CHANGED ON]]</f>
        <v>9.7429282407392748</v>
      </c>
    </row>
    <row r="1349" spans="1:14" x14ac:dyDescent="0.35">
      <c r="A1349">
        <v>1018</v>
      </c>
      <c r="B1349" t="s">
        <v>72</v>
      </c>
      <c r="C1349" s="1">
        <v>45180.257071759261</v>
      </c>
      <c r="D1349" t="str">
        <f ca="1">VLOOKUP(qry_ProdData2_PDI_Cash_Exception_Application[[#This Row],[TYPE]],#REF!,2,FALSE)</f>
        <v>type40</v>
      </c>
      <c r="E1349">
        <v>2323.91</v>
      </c>
      <c r="F1349" t="s">
        <v>48</v>
      </c>
      <c r="G1349" s="1">
        <f>qry_ProdData2_PDI_Cash_Exception_Application[[#This Row],[INSERT DATE]]+5</f>
        <v>45185.257071759261</v>
      </c>
      <c r="H1349" t="str">
        <f>VLOOKUP(qry_ProdData2_PDI_Cash_Exception_Application[[#This Row],[MARKET No]],'Site Allocation'!$B$2:$C$37,2,FALSE)</f>
        <v>Analyst4</v>
      </c>
      <c r="I1349" s="4">
        <f t="shared" ca="1" si="21"/>
        <v>45203</v>
      </c>
      <c r="J1349" s="42">
        <f ca="1">TODAY()-qry_ProdData2_PDI_Cash_Exception_Application[[#This Row],[INSERT DATE]]</f>
        <v>22.742928240739275</v>
      </c>
      <c r="K13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49">
        <f ca="1">qry_ProdData2_PDI_Cash_Exception_Application[[#This Row],[TODAY]]-qry_ProdData2_PDI_Cash_Exception_Application[[#This Row],[CHANGED ON]]</f>
        <v>17.742928240739275</v>
      </c>
      <c r="M1349">
        <f ca="1">qry_ProdData2_PDI_Cash_Exception_Application[[#This Row],[TODAY]]-qry_ProdData2_PDI_Cash_Exception_Application[[#This Row],[CHANGED ON]]</f>
        <v>17.742928240739275</v>
      </c>
      <c r="N1349">
        <f ca="1">qry_ProdData2_PDI_Cash_Exception_Application[[#This Row],[TODAY]]-qry_ProdData2_PDI_Cash_Exception_Application[[#This Row],[CHANGED ON]]</f>
        <v>17.742928240739275</v>
      </c>
    </row>
    <row r="1350" spans="1:14" x14ac:dyDescent="0.35">
      <c r="A1350">
        <v>1000</v>
      </c>
      <c r="B1350" t="s">
        <v>54</v>
      </c>
      <c r="C1350" s="1">
        <v>45188.257071759261</v>
      </c>
      <c r="D1350" t="str">
        <f ca="1">VLOOKUP(qry_ProdData2_PDI_Cash_Exception_Application[[#This Row],[TYPE]],#REF!,2,FALSE)</f>
        <v>type40</v>
      </c>
      <c r="E1350">
        <v>2080.06</v>
      </c>
      <c r="F1350" t="s">
        <v>48</v>
      </c>
      <c r="G1350" s="1">
        <f>qry_ProdData2_PDI_Cash_Exception_Application[[#This Row],[INSERT DATE]]+5</f>
        <v>45193.257071759261</v>
      </c>
      <c r="H1350" t="str">
        <f>VLOOKUP(qry_ProdData2_PDI_Cash_Exception_Application[[#This Row],[MARKET No]],'Site Allocation'!$B$2:$C$37,2,FALSE)</f>
        <v>Analyst1</v>
      </c>
      <c r="I1350" s="4">
        <f t="shared" ca="1" si="21"/>
        <v>45203</v>
      </c>
      <c r="J1350" s="42">
        <f ca="1">TODAY()-qry_ProdData2_PDI_Cash_Exception_Application[[#This Row],[INSERT DATE]]</f>
        <v>14.742928240739275</v>
      </c>
      <c r="K13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50">
        <f ca="1">qry_ProdData2_PDI_Cash_Exception_Application[[#This Row],[TODAY]]-qry_ProdData2_PDI_Cash_Exception_Application[[#This Row],[CHANGED ON]]</f>
        <v>9.7429282407392748</v>
      </c>
      <c r="M1350">
        <f ca="1">qry_ProdData2_PDI_Cash_Exception_Application[[#This Row],[TODAY]]-qry_ProdData2_PDI_Cash_Exception_Application[[#This Row],[CHANGED ON]]</f>
        <v>9.7429282407392748</v>
      </c>
      <c r="N1350">
        <f ca="1">qry_ProdData2_PDI_Cash_Exception_Application[[#This Row],[TODAY]]-qry_ProdData2_PDI_Cash_Exception_Application[[#This Row],[CHANGED ON]]</f>
        <v>9.7429282407392748</v>
      </c>
    </row>
    <row r="1351" spans="1:14" x14ac:dyDescent="0.35">
      <c r="A1351">
        <v>1001</v>
      </c>
      <c r="B1351" t="s">
        <v>55</v>
      </c>
      <c r="C1351" s="1">
        <v>45188.257071759261</v>
      </c>
      <c r="D1351" t="str">
        <f ca="1">VLOOKUP(qry_ProdData2_PDI_Cash_Exception_Application[[#This Row],[TYPE]],#REF!,2,FALSE)</f>
        <v>type40</v>
      </c>
      <c r="E1351">
        <v>2783.72</v>
      </c>
      <c r="F1351" t="s">
        <v>50</v>
      </c>
      <c r="G1351" s="1">
        <f>qry_ProdData2_PDI_Cash_Exception_Application[[#This Row],[INSERT DATE]]+1</f>
        <v>45189.257071759261</v>
      </c>
      <c r="H1351" t="str">
        <f>VLOOKUP(qry_ProdData2_PDI_Cash_Exception_Application[[#This Row],[MARKET No]],'Site Allocation'!$B$2:$C$37,2,FALSE)</f>
        <v>Analyst1</v>
      </c>
      <c r="I1351" s="4">
        <f t="shared" ca="1" si="21"/>
        <v>45203</v>
      </c>
      <c r="J1351" s="42">
        <f ca="1">TODAY()-qry_ProdData2_PDI_Cash_Exception_Application[[#This Row],[INSERT DATE]]</f>
        <v>14.742928240739275</v>
      </c>
      <c r="K13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51">
        <f ca="1">qry_ProdData2_PDI_Cash_Exception_Application[[#This Row],[TODAY]]-qry_ProdData2_PDI_Cash_Exception_Application[[#This Row],[CHANGED ON]]</f>
        <v>13.742928240739275</v>
      </c>
      <c r="M1351">
        <f ca="1">qry_ProdData2_PDI_Cash_Exception_Application[[#This Row],[TODAY]]-qry_ProdData2_PDI_Cash_Exception_Application[[#This Row],[CHANGED ON]]</f>
        <v>13.742928240739275</v>
      </c>
      <c r="N1351">
        <f ca="1">qry_ProdData2_PDI_Cash_Exception_Application[[#This Row],[TODAY]]-qry_ProdData2_PDI_Cash_Exception_Application[[#This Row],[CHANGED ON]]</f>
        <v>13.742928240739275</v>
      </c>
    </row>
    <row r="1352" spans="1:14" x14ac:dyDescent="0.35">
      <c r="A1352">
        <v>1010</v>
      </c>
      <c r="B1352" t="s">
        <v>64</v>
      </c>
      <c r="C1352" s="1">
        <v>45182.257071759261</v>
      </c>
      <c r="D1352" t="str">
        <f ca="1">VLOOKUP(qry_ProdData2_PDI_Cash_Exception_Application[[#This Row],[TYPE]],#REF!,2,FALSE)</f>
        <v>type7</v>
      </c>
      <c r="E1352">
        <v>-2006.04</v>
      </c>
      <c r="F1352" t="s">
        <v>51</v>
      </c>
      <c r="G1352" s="1">
        <f>qry_ProdData2_PDI_Cash_Exception_Application[[#This Row],[INSERT DATE]]+7</f>
        <v>45189.257071759261</v>
      </c>
      <c r="H1352" t="str">
        <f>VLOOKUP(qry_ProdData2_PDI_Cash_Exception_Application[[#This Row],[MARKET No]],'Site Allocation'!$B$2:$C$37,2,FALSE)</f>
        <v>Analyst2</v>
      </c>
      <c r="I1352" s="4">
        <f t="shared" ca="1" si="21"/>
        <v>45203</v>
      </c>
      <c r="J1352" s="42">
        <f ca="1">TODAY()-qry_ProdData2_PDI_Cash_Exception_Application[[#This Row],[INSERT DATE]]</f>
        <v>20.742928240739275</v>
      </c>
      <c r="K13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52">
        <f ca="1">qry_ProdData2_PDI_Cash_Exception_Application[[#This Row],[TODAY]]-qry_ProdData2_PDI_Cash_Exception_Application[[#This Row],[CHANGED ON]]</f>
        <v>13.742928240739275</v>
      </c>
      <c r="M1352">
        <f ca="1">qry_ProdData2_PDI_Cash_Exception_Application[[#This Row],[TODAY]]-qry_ProdData2_PDI_Cash_Exception_Application[[#This Row],[CHANGED ON]]</f>
        <v>13.742928240739275</v>
      </c>
      <c r="N1352">
        <f ca="1">qry_ProdData2_PDI_Cash_Exception_Application[[#This Row],[TODAY]]-qry_ProdData2_PDI_Cash_Exception_Application[[#This Row],[CHANGED ON]]</f>
        <v>13.742928240739275</v>
      </c>
    </row>
    <row r="1353" spans="1:14" x14ac:dyDescent="0.35">
      <c r="A1353">
        <v>1004</v>
      </c>
      <c r="B1353" t="s">
        <v>58</v>
      </c>
      <c r="C1353" s="1">
        <v>45189.257071759261</v>
      </c>
      <c r="D1353" t="str">
        <f ca="1">VLOOKUP(qry_ProdData2_PDI_Cash_Exception_Application[[#This Row],[TYPE]],#REF!,2,FALSE)</f>
        <v>type40</v>
      </c>
      <c r="E1353">
        <v>648.37</v>
      </c>
      <c r="F1353" t="s">
        <v>52</v>
      </c>
      <c r="G1353" s="1">
        <f>qry_ProdData2_PDI_Cash_Exception_Application[[#This Row],[INSERT DATE]]+1</f>
        <v>45190.257071759261</v>
      </c>
      <c r="H1353" t="str">
        <f>VLOOKUP(qry_ProdData2_PDI_Cash_Exception_Application[[#This Row],[MARKET No]],'Site Allocation'!$B$2:$C$37,2,FALSE)</f>
        <v>Analyst1</v>
      </c>
      <c r="I1353" s="4">
        <f t="shared" ca="1" si="21"/>
        <v>45203</v>
      </c>
      <c r="J1353" s="42">
        <f ca="1">TODAY()-qry_ProdData2_PDI_Cash_Exception_Application[[#This Row],[INSERT DATE]]</f>
        <v>13.742928240739275</v>
      </c>
      <c r="K13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53">
        <f ca="1">qry_ProdData2_PDI_Cash_Exception_Application[[#This Row],[TODAY]]-qry_ProdData2_PDI_Cash_Exception_Application[[#This Row],[CHANGED ON]]</f>
        <v>12.742928240739275</v>
      </c>
      <c r="M1353">
        <f ca="1">qry_ProdData2_PDI_Cash_Exception_Application[[#This Row],[TODAY]]-qry_ProdData2_PDI_Cash_Exception_Application[[#This Row],[CHANGED ON]]</f>
        <v>12.742928240739275</v>
      </c>
      <c r="N1353">
        <f ca="1">qry_ProdData2_PDI_Cash_Exception_Application[[#This Row],[TODAY]]-qry_ProdData2_PDI_Cash_Exception_Application[[#This Row],[CHANGED ON]]</f>
        <v>12.742928240739275</v>
      </c>
    </row>
    <row r="1354" spans="1:14" x14ac:dyDescent="0.35">
      <c r="A1354">
        <v>1020</v>
      </c>
      <c r="B1354" t="s">
        <v>74</v>
      </c>
      <c r="C1354" s="1">
        <v>45183.257071759261</v>
      </c>
      <c r="D1354" t="str">
        <f ca="1">VLOOKUP(qry_ProdData2_PDI_Cash_Exception_Application[[#This Row],[TYPE]],#REF!,2,FALSE)</f>
        <v>type40</v>
      </c>
      <c r="E1354">
        <v>1247.8</v>
      </c>
      <c r="F1354" t="s">
        <v>51</v>
      </c>
      <c r="G1354" s="1">
        <f>qry_ProdData2_PDI_Cash_Exception_Application[[#This Row],[INSERT DATE]]+7</f>
        <v>45190.257071759261</v>
      </c>
      <c r="H1354" t="str">
        <f>VLOOKUP(qry_ProdData2_PDI_Cash_Exception_Application[[#This Row],[MARKET No]],'Site Allocation'!$B$2:$C$37,2,FALSE)</f>
        <v>Analyst4</v>
      </c>
      <c r="I1354" s="4">
        <f t="shared" ca="1" si="21"/>
        <v>45203</v>
      </c>
      <c r="J1354" s="42">
        <f ca="1">TODAY()-qry_ProdData2_PDI_Cash_Exception_Application[[#This Row],[INSERT DATE]]</f>
        <v>19.742928240739275</v>
      </c>
      <c r="K13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54">
        <f ca="1">qry_ProdData2_PDI_Cash_Exception_Application[[#This Row],[TODAY]]-qry_ProdData2_PDI_Cash_Exception_Application[[#This Row],[CHANGED ON]]</f>
        <v>12.742928240739275</v>
      </c>
      <c r="M1354">
        <f ca="1">qry_ProdData2_PDI_Cash_Exception_Application[[#This Row],[TODAY]]-qry_ProdData2_PDI_Cash_Exception_Application[[#This Row],[CHANGED ON]]</f>
        <v>12.742928240739275</v>
      </c>
      <c r="N1354">
        <f ca="1">qry_ProdData2_PDI_Cash_Exception_Application[[#This Row],[TODAY]]-qry_ProdData2_PDI_Cash_Exception_Application[[#This Row],[CHANGED ON]]</f>
        <v>12.742928240739275</v>
      </c>
    </row>
    <row r="1355" spans="1:14" x14ac:dyDescent="0.35">
      <c r="A1355">
        <v>1000</v>
      </c>
      <c r="B1355" t="s">
        <v>54</v>
      </c>
      <c r="C1355" s="1">
        <v>45184.257071759261</v>
      </c>
      <c r="D1355" t="str">
        <f ca="1">VLOOKUP(qry_ProdData2_PDI_Cash_Exception_Application[[#This Row],[TYPE]],#REF!,2,FALSE)</f>
        <v>type40</v>
      </c>
      <c r="E1355">
        <v>-16791.68</v>
      </c>
      <c r="F1355" t="s">
        <v>51</v>
      </c>
      <c r="G1355" s="1">
        <f>qry_ProdData2_PDI_Cash_Exception_Application[[#This Row],[INSERT DATE]]+7</f>
        <v>45191.257071759261</v>
      </c>
      <c r="H1355" t="str">
        <f>VLOOKUP(qry_ProdData2_PDI_Cash_Exception_Application[[#This Row],[MARKET No]],'Site Allocation'!$B$2:$C$37,2,FALSE)</f>
        <v>Analyst1</v>
      </c>
      <c r="I1355" s="4">
        <f t="shared" ca="1" si="21"/>
        <v>45203</v>
      </c>
      <c r="J1355" s="42">
        <f ca="1">TODAY()-qry_ProdData2_PDI_Cash_Exception_Application[[#This Row],[INSERT DATE]]</f>
        <v>18.742928240739275</v>
      </c>
      <c r="K13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55">
        <f ca="1">qry_ProdData2_PDI_Cash_Exception_Application[[#This Row],[TODAY]]-qry_ProdData2_PDI_Cash_Exception_Application[[#This Row],[CHANGED ON]]</f>
        <v>11.742928240739275</v>
      </c>
      <c r="M1355">
        <f ca="1">qry_ProdData2_PDI_Cash_Exception_Application[[#This Row],[TODAY]]-qry_ProdData2_PDI_Cash_Exception_Application[[#This Row],[CHANGED ON]]</f>
        <v>11.742928240739275</v>
      </c>
      <c r="N1355">
        <f ca="1">qry_ProdData2_PDI_Cash_Exception_Application[[#This Row],[TODAY]]-qry_ProdData2_PDI_Cash_Exception_Application[[#This Row],[CHANGED ON]]</f>
        <v>11.742928240739275</v>
      </c>
    </row>
    <row r="1356" spans="1:14" x14ac:dyDescent="0.35">
      <c r="A1356">
        <v>1031</v>
      </c>
      <c r="B1356" t="s">
        <v>85</v>
      </c>
      <c r="C1356" s="1">
        <v>45191.257071759261</v>
      </c>
      <c r="D1356" t="str">
        <f ca="1">VLOOKUP(qry_ProdData2_PDI_Cash_Exception_Application[[#This Row],[TYPE]],#REF!,2,FALSE)</f>
        <v>type40</v>
      </c>
      <c r="E1356">
        <v>308.44</v>
      </c>
      <c r="F1356" t="s">
        <v>50</v>
      </c>
      <c r="G1356" s="1">
        <f>qry_ProdData2_PDI_Cash_Exception_Application[[#This Row],[INSERT DATE]]+1</f>
        <v>45192.257071759261</v>
      </c>
      <c r="H1356" t="str">
        <f>VLOOKUP(qry_ProdData2_PDI_Cash_Exception_Application[[#This Row],[MARKET No]],'Site Allocation'!$B$2:$C$37,2,FALSE)</f>
        <v>Analyst6</v>
      </c>
      <c r="I1356" s="4">
        <f t="shared" ca="1" si="21"/>
        <v>45203</v>
      </c>
      <c r="J1356" s="42">
        <f ca="1">TODAY()-qry_ProdData2_PDI_Cash_Exception_Application[[#This Row],[INSERT DATE]]</f>
        <v>11.742928240739275</v>
      </c>
      <c r="K13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56">
        <f ca="1">qry_ProdData2_PDI_Cash_Exception_Application[[#This Row],[TODAY]]-qry_ProdData2_PDI_Cash_Exception_Application[[#This Row],[CHANGED ON]]</f>
        <v>10.742928240739275</v>
      </c>
      <c r="M1356">
        <f ca="1">qry_ProdData2_PDI_Cash_Exception_Application[[#This Row],[TODAY]]-qry_ProdData2_PDI_Cash_Exception_Application[[#This Row],[CHANGED ON]]</f>
        <v>10.742928240739275</v>
      </c>
      <c r="N1356">
        <f ca="1">qry_ProdData2_PDI_Cash_Exception_Application[[#This Row],[TODAY]]-qry_ProdData2_PDI_Cash_Exception_Application[[#This Row],[CHANGED ON]]</f>
        <v>10.742928240739275</v>
      </c>
    </row>
    <row r="1357" spans="1:14" x14ac:dyDescent="0.35">
      <c r="A1357">
        <v>1022</v>
      </c>
      <c r="B1357" t="s">
        <v>76</v>
      </c>
      <c r="C1357" s="1">
        <v>45192.257071759261</v>
      </c>
      <c r="D1357" t="str">
        <f ca="1">VLOOKUP(qry_ProdData2_PDI_Cash_Exception_Application[[#This Row],[TYPE]],#REF!,2,FALSE)</f>
        <v>type13</v>
      </c>
      <c r="E1357">
        <v>28951.919999999998</v>
      </c>
      <c r="F1357" t="s">
        <v>52</v>
      </c>
      <c r="G1357" s="1">
        <f>qry_ProdData2_PDI_Cash_Exception_Application[[#This Row],[INSERT DATE]]+1</f>
        <v>45193.257071759261</v>
      </c>
      <c r="H1357" t="str">
        <f>VLOOKUP(qry_ProdData2_PDI_Cash_Exception_Application[[#This Row],[MARKET No]],'Site Allocation'!$B$2:$C$37,2,FALSE)</f>
        <v>Analyst4</v>
      </c>
      <c r="I1357" s="4">
        <f t="shared" ca="1" si="21"/>
        <v>45203</v>
      </c>
      <c r="J1357" s="42">
        <f ca="1">TODAY()-qry_ProdData2_PDI_Cash_Exception_Application[[#This Row],[INSERT DATE]]</f>
        <v>10.742928240739275</v>
      </c>
      <c r="K13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57">
        <f ca="1">qry_ProdData2_PDI_Cash_Exception_Application[[#This Row],[TODAY]]-qry_ProdData2_PDI_Cash_Exception_Application[[#This Row],[CHANGED ON]]</f>
        <v>9.7429282407392748</v>
      </c>
      <c r="M1357">
        <f ca="1">qry_ProdData2_PDI_Cash_Exception_Application[[#This Row],[TODAY]]-qry_ProdData2_PDI_Cash_Exception_Application[[#This Row],[CHANGED ON]]</f>
        <v>9.7429282407392748</v>
      </c>
      <c r="N1357">
        <f ca="1">qry_ProdData2_PDI_Cash_Exception_Application[[#This Row],[TODAY]]-qry_ProdData2_PDI_Cash_Exception_Application[[#This Row],[CHANGED ON]]</f>
        <v>9.7429282407392748</v>
      </c>
    </row>
    <row r="1358" spans="1:14" x14ac:dyDescent="0.35">
      <c r="A1358">
        <v>1017</v>
      </c>
      <c r="B1358" t="s">
        <v>71</v>
      </c>
      <c r="C1358" s="1">
        <v>45193.257071759261</v>
      </c>
      <c r="D1358" t="str">
        <f ca="1">VLOOKUP(qry_ProdData2_PDI_Cash_Exception_Application[[#This Row],[TYPE]],#REF!,2,FALSE)</f>
        <v>type42</v>
      </c>
      <c r="E1358">
        <v>205</v>
      </c>
      <c r="F1358" t="s">
        <v>52</v>
      </c>
      <c r="G1358" s="1">
        <f>qry_ProdData2_PDI_Cash_Exception_Application[[#This Row],[INSERT DATE]]+1</f>
        <v>45194.257071759261</v>
      </c>
      <c r="H1358" t="str">
        <f>VLOOKUP(qry_ProdData2_PDI_Cash_Exception_Application[[#This Row],[MARKET No]],'Site Allocation'!$B$2:$C$37,2,FALSE)</f>
        <v>Analyst3</v>
      </c>
      <c r="I1358" s="4">
        <f t="shared" ca="1" si="21"/>
        <v>45203</v>
      </c>
      <c r="J1358" s="42">
        <f ca="1">TODAY()-qry_ProdData2_PDI_Cash_Exception_Application[[#This Row],[INSERT DATE]]</f>
        <v>9.7429282407392748</v>
      </c>
      <c r="K13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58">
        <f ca="1">qry_ProdData2_PDI_Cash_Exception_Application[[#This Row],[TODAY]]-qry_ProdData2_PDI_Cash_Exception_Application[[#This Row],[CHANGED ON]]</f>
        <v>8.7429282407392748</v>
      </c>
      <c r="M1358">
        <f ca="1">qry_ProdData2_PDI_Cash_Exception_Application[[#This Row],[TODAY]]-qry_ProdData2_PDI_Cash_Exception_Application[[#This Row],[CHANGED ON]]</f>
        <v>8.7429282407392748</v>
      </c>
      <c r="N1358">
        <f ca="1">qry_ProdData2_PDI_Cash_Exception_Application[[#This Row],[TODAY]]-qry_ProdData2_PDI_Cash_Exception_Application[[#This Row],[CHANGED ON]]</f>
        <v>8.7429282407392748</v>
      </c>
    </row>
    <row r="1359" spans="1:14" x14ac:dyDescent="0.35">
      <c r="A1359">
        <v>1029</v>
      </c>
      <c r="B1359" t="s">
        <v>83</v>
      </c>
      <c r="C1359" s="1">
        <v>45190.257071759261</v>
      </c>
      <c r="D1359" t="str">
        <f ca="1">VLOOKUP(qry_ProdData2_PDI_Cash_Exception_Application[[#This Row],[TYPE]],#REF!,2,FALSE)</f>
        <v>type38</v>
      </c>
      <c r="E1359">
        <v>155.68</v>
      </c>
      <c r="F1359" t="s">
        <v>49</v>
      </c>
      <c r="G1359" s="1">
        <f>qry_ProdData2_PDI_Cash_Exception_Application[[#This Row],[INSERT DATE]]+1</f>
        <v>45191.257071759261</v>
      </c>
      <c r="H1359" t="str">
        <f>VLOOKUP(qry_ProdData2_PDI_Cash_Exception_Application[[#This Row],[MARKET No]],'Site Allocation'!$B$2:$C$37,2,FALSE)</f>
        <v>Analyst5</v>
      </c>
      <c r="I1359" s="4">
        <f t="shared" ca="1" si="21"/>
        <v>45203</v>
      </c>
      <c r="J1359" s="42">
        <f ca="1">TODAY()-qry_ProdData2_PDI_Cash_Exception_Application[[#This Row],[INSERT DATE]]</f>
        <v>12.742928240739275</v>
      </c>
      <c r="K13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59">
        <f ca="1">qry_ProdData2_PDI_Cash_Exception_Application[[#This Row],[TODAY]]-qry_ProdData2_PDI_Cash_Exception_Application[[#This Row],[CHANGED ON]]</f>
        <v>11.742928240739275</v>
      </c>
      <c r="M1359">
        <f ca="1">qry_ProdData2_PDI_Cash_Exception_Application[[#This Row],[TODAY]]-qry_ProdData2_PDI_Cash_Exception_Application[[#This Row],[CHANGED ON]]</f>
        <v>11.742928240739275</v>
      </c>
      <c r="N1359">
        <f ca="1">qry_ProdData2_PDI_Cash_Exception_Application[[#This Row],[TODAY]]-qry_ProdData2_PDI_Cash_Exception_Application[[#This Row],[CHANGED ON]]</f>
        <v>11.742928240739275</v>
      </c>
    </row>
    <row r="1360" spans="1:14" x14ac:dyDescent="0.35">
      <c r="A1360">
        <v>1020</v>
      </c>
      <c r="B1360" t="s">
        <v>74</v>
      </c>
      <c r="C1360" s="1">
        <v>45195.257071759261</v>
      </c>
      <c r="D1360" t="str">
        <f ca="1">VLOOKUP(qry_ProdData2_PDI_Cash_Exception_Application[[#This Row],[TYPE]],#REF!,2,FALSE)</f>
        <v>type38</v>
      </c>
      <c r="E1360">
        <v>155.4</v>
      </c>
      <c r="F1360" t="s">
        <v>52</v>
      </c>
      <c r="G1360" s="1">
        <f>qry_ProdData2_PDI_Cash_Exception_Application[[#This Row],[INSERT DATE]]+1</f>
        <v>45196.257071759261</v>
      </c>
      <c r="H1360" t="str">
        <f>VLOOKUP(qry_ProdData2_PDI_Cash_Exception_Application[[#This Row],[MARKET No]],'Site Allocation'!$B$2:$C$37,2,FALSE)</f>
        <v>Analyst4</v>
      </c>
      <c r="I1360" s="4">
        <f t="shared" ca="1" si="21"/>
        <v>45203</v>
      </c>
      <c r="J1360" s="42">
        <f ca="1">TODAY()-qry_ProdData2_PDI_Cash_Exception_Application[[#This Row],[INSERT DATE]]</f>
        <v>7.7429282407392748</v>
      </c>
      <c r="K13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360">
        <f ca="1">qry_ProdData2_PDI_Cash_Exception_Application[[#This Row],[TODAY]]-qry_ProdData2_PDI_Cash_Exception_Application[[#This Row],[CHANGED ON]]</f>
        <v>6.7429282407392748</v>
      </c>
      <c r="M1360">
        <f ca="1">qry_ProdData2_PDI_Cash_Exception_Application[[#This Row],[TODAY]]-qry_ProdData2_PDI_Cash_Exception_Application[[#This Row],[CHANGED ON]]</f>
        <v>6.7429282407392748</v>
      </c>
      <c r="N1360">
        <f ca="1">qry_ProdData2_PDI_Cash_Exception_Application[[#This Row],[TODAY]]-qry_ProdData2_PDI_Cash_Exception_Application[[#This Row],[CHANGED ON]]</f>
        <v>6.7429282407392748</v>
      </c>
    </row>
    <row r="1361" spans="1:14" x14ac:dyDescent="0.35">
      <c r="A1361">
        <v>1025</v>
      </c>
      <c r="B1361" t="s">
        <v>79</v>
      </c>
      <c r="C1361" s="1">
        <v>45186.257071759261</v>
      </c>
      <c r="D1361" t="str">
        <f ca="1">VLOOKUP(qry_ProdData2_PDI_Cash_Exception_Application[[#This Row],[TYPE]],#REF!,2,FALSE)</f>
        <v>type40</v>
      </c>
      <c r="E1361">
        <v>432.7</v>
      </c>
      <c r="F1361" t="s">
        <v>51</v>
      </c>
      <c r="G1361" s="1">
        <f>qry_ProdData2_PDI_Cash_Exception_Application[[#This Row],[INSERT DATE]]+1</f>
        <v>45187.257071759261</v>
      </c>
      <c r="H1361" t="str">
        <f>VLOOKUP(qry_ProdData2_PDI_Cash_Exception_Application[[#This Row],[MARKET No]],'Site Allocation'!$B$2:$C$37,2,FALSE)</f>
        <v>Analyst5</v>
      </c>
      <c r="I1361" s="4">
        <f t="shared" ca="1" si="21"/>
        <v>45203</v>
      </c>
      <c r="J1361" s="42">
        <f ca="1">TODAY()-qry_ProdData2_PDI_Cash_Exception_Application[[#This Row],[INSERT DATE]]</f>
        <v>16.742928240739275</v>
      </c>
      <c r="K13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61">
        <f ca="1">qry_ProdData2_PDI_Cash_Exception_Application[[#This Row],[TODAY]]-qry_ProdData2_PDI_Cash_Exception_Application[[#This Row],[CHANGED ON]]</f>
        <v>15.742928240739275</v>
      </c>
      <c r="M1361">
        <f ca="1">qry_ProdData2_PDI_Cash_Exception_Application[[#This Row],[TODAY]]-qry_ProdData2_PDI_Cash_Exception_Application[[#This Row],[CHANGED ON]]</f>
        <v>15.742928240739275</v>
      </c>
      <c r="N1361">
        <f ca="1">qry_ProdData2_PDI_Cash_Exception_Application[[#This Row],[TODAY]]-qry_ProdData2_PDI_Cash_Exception_Application[[#This Row],[CHANGED ON]]</f>
        <v>15.742928240739275</v>
      </c>
    </row>
    <row r="1362" spans="1:14" x14ac:dyDescent="0.35">
      <c r="A1362">
        <v>1009</v>
      </c>
      <c r="B1362" t="s">
        <v>63</v>
      </c>
      <c r="C1362" s="1">
        <v>45185.257071759261</v>
      </c>
      <c r="D1362" t="str">
        <f ca="1">VLOOKUP(qry_ProdData2_PDI_Cash_Exception_Application[[#This Row],[TYPE]],#REF!,2,FALSE)</f>
        <v>type40</v>
      </c>
      <c r="E1362">
        <v>639.59</v>
      </c>
      <c r="F1362" t="s">
        <v>47</v>
      </c>
      <c r="G1362" s="1">
        <f>qry_ProdData2_PDI_Cash_Exception_Application[[#This Row],[INSERT DATE]]+2</f>
        <v>45187.257071759261</v>
      </c>
      <c r="H1362" t="str">
        <f>VLOOKUP(qry_ProdData2_PDI_Cash_Exception_Application[[#This Row],[MARKET No]],'Site Allocation'!$B$2:$C$37,2,FALSE)</f>
        <v>Analyst2</v>
      </c>
      <c r="I1362" s="4">
        <f t="shared" ca="1" si="21"/>
        <v>45203</v>
      </c>
      <c r="J1362" s="42">
        <f ca="1">TODAY()-qry_ProdData2_PDI_Cash_Exception_Application[[#This Row],[INSERT DATE]]</f>
        <v>17.742928240739275</v>
      </c>
      <c r="K13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62">
        <f ca="1">qry_ProdData2_PDI_Cash_Exception_Application[[#This Row],[TODAY]]-qry_ProdData2_PDI_Cash_Exception_Application[[#This Row],[CHANGED ON]]</f>
        <v>15.742928240739275</v>
      </c>
      <c r="M1362">
        <f ca="1">qry_ProdData2_PDI_Cash_Exception_Application[[#This Row],[TODAY]]-qry_ProdData2_PDI_Cash_Exception_Application[[#This Row],[CHANGED ON]]</f>
        <v>15.742928240739275</v>
      </c>
      <c r="N1362">
        <f ca="1">qry_ProdData2_PDI_Cash_Exception_Application[[#This Row],[TODAY]]-qry_ProdData2_PDI_Cash_Exception_Application[[#This Row],[CHANGED ON]]</f>
        <v>15.742928240739275</v>
      </c>
    </row>
    <row r="1363" spans="1:14" x14ac:dyDescent="0.35">
      <c r="A1363">
        <v>1029</v>
      </c>
      <c r="B1363" t="s">
        <v>83</v>
      </c>
      <c r="C1363" s="1">
        <v>45186.257071759261</v>
      </c>
      <c r="D1363" t="str">
        <f ca="1">VLOOKUP(qry_ProdData2_PDI_Cash_Exception_Application[[#This Row],[TYPE]],#REF!,2,FALSE)</f>
        <v>type13</v>
      </c>
      <c r="E1363">
        <v>23508.39</v>
      </c>
      <c r="F1363" t="s">
        <v>49</v>
      </c>
      <c r="G1363" s="1">
        <f>qry_ProdData2_PDI_Cash_Exception_Application[[#This Row],[INSERT DATE]]+2</f>
        <v>45188.257071759261</v>
      </c>
      <c r="H1363" t="str">
        <f>VLOOKUP(qry_ProdData2_PDI_Cash_Exception_Application[[#This Row],[MARKET No]],'Site Allocation'!$B$2:$C$37,2,FALSE)</f>
        <v>Analyst5</v>
      </c>
      <c r="I1363" s="4">
        <f t="shared" ca="1" si="21"/>
        <v>45203</v>
      </c>
      <c r="J1363" s="42">
        <f ca="1">TODAY()-qry_ProdData2_PDI_Cash_Exception_Application[[#This Row],[INSERT DATE]]</f>
        <v>16.742928240739275</v>
      </c>
      <c r="K13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63">
        <f ca="1">qry_ProdData2_PDI_Cash_Exception_Application[[#This Row],[TODAY]]-qry_ProdData2_PDI_Cash_Exception_Application[[#This Row],[CHANGED ON]]</f>
        <v>14.742928240739275</v>
      </c>
      <c r="M1363">
        <f ca="1">qry_ProdData2_PDI_Cash_Exception_Application[[#This Row],[TODAY]]-qry_ProdData2_PDI_Cash_Exception_Application[[#This Row],[CHANGED ON]]</f>
        <v>14.742928240739275</v>
      </c>
      <c r="N1363">
        <f ca="1">qry_ProdData2_PDI_Cash_Exception_Application[[#This Row],[TODAY]]-qry_ProdData2_PDI_Cash_Exception_Application[[#This Row],[CHANGED ON]]</f>
        <v>14.742928240739275</v>
      </c>
    </row>
    <row r="1364" spans="1:14" x14ac:dyDescent="0.35">
      <c r="A1364">
        <v>1021</v>
      </c>
      <c r="B1364" t="s">
        <v>75</v>
      </c>
      <c r="C1364" s="1">
        <v>45186.257071759261</v>
      </c>
      <c r="D1364" t="str">
        <f ca="1">VLOOKUP(qry_ProdData2_PDI_Cash_Exception_Application[[#This Row],[TYPE]],#REF!,2,FALSE)</f>
        <v>type13</v>
      </c>
      <c r="E1364">
        <v>25795.68</v>
      </c>
      <c r="F1364" t="s">
        <v>52</v>
      </c>
      <c r="G1364" s="1">
        <f>qry_ProdData2_PDI_Cash_Exception_Application[[#This Row],[INSERT DATE]]+1</f>
        <v>45187.257071759261</v>
      </c>
      <c r="H1364" t="str">
        <f>VLOOKUP(qry_ProdData2_PDI_Cash_Exception_Application[[#This Row],[MARKET No]],'Site Allocation'!$B$2:$C$37,2,FALSE)</f>
        <v>Analyst4</v>
      </c>
      <c r="I1364" s="4">
        <f t="shared" ca="1" si="21"/>
        <v>45203</v>
      </c>
      <c r="J1364" s="42">
        <f ca="1">TODAY()-qry_ProdData2_PDI_Cash_Exception_Application[[#This Row],[INSERT DATE]]</f>
        <v>16.742928240739275</v>
      </c>
      <c r="K13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64">
        <f ca="1">qry_ProdData2_PDI_Cash_Exception_Application[[#This Row],[TODAY]]-qry_ProdData2_PDI_Cash_Exception_Application[[#This Row],[CHANGED ON]]</f>
        <v>15.742928240739275</v>
      </c>
      <c r="M1364">
        <f ca="1">qry_ProdData2_PDI_Cash_Exception_Application[[#This Row],[TODAY]]-qry_ProdData2_PDI_Cash_Exception_Application[[#This Row],[CHANGED ON]]</f>
        <v>15.742928240739275</v>
      </c>
      <c r="N1364">
        <f ca="1">qry_ProdData2_PDI_Cash_Exception_Application[[#This Row],[TODAY]]-qry_ProdData2_PDI_Cash_Exception_Application[[#This Row],[CHANGED ON]]</f>
        <v>15.742928240739275</v>
      </c>
    </row>
    <row r="1365" spans="1:14" x14ac:dyDescent="0.35">
      <c r="A1365">
        <v>1029</v>
      </c>
      <c r="B1365" t="s">
        <v>83</v>
      </c>
      <c r="C1365" s="1">
        <v>45187.257071759261</v>
      </c>
      <c r="D1365" t="str">
        <f ca="1">VLOOKUP(qry_ProdData2_PDI_Cash_Exception_Application[[#This Row],[TYPE]],#REF!,2,FALSE)</f>
        <v>type7</v>
      </c>
      <c r="E1365">
        <v>-1735.7</v>
      </c>
      <c r="F1365" t="s">
        <v>50</v>
      </c>
      <c r="G1365" s="1">
        <f>qry_ProdData2_PDI_Cash_Exception_Application[[#This Row],[INSERT DATE]]+1</f>
        <v>45188.257071759261</v>
      </c>
      <c r="H1365" t="str">
        <f>VLOOKUP(qry_ProdData2_PDI_Cash_Exception_Application[[#This Row],[MARKET No]],'Site Allocation'!$B$2:$C$37,2,FALSE)</f>
        <v>Analyst5</v>
      </c>
      <c r="I1365" s="4">
        <f t="shared" ca="1" si="21"/>
        <v>45203</v>
      </c>
      <c r="J1365" s="42">
        <f ca="1">TODAY()-qry_ProdData2_PDI_Cash_Exception_Application[[#This Row],[INSERT DATE]]</f>
        <v>15.742928240739275</v>
      </c>
      <c r="K13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65">
        <f ca="1">qry_ProdData2_PDI_Cash_Exception_Application[[#This Row],[TODAY]]-qry_ProdData2_PDI_Cash_Exception_Application[[#This Row],[CHANGED ON]]</f>
        <v>14.742928240739275</v>
      </c>
      <c r="M1365">
        <f ca="1">qry_ProdData2_PDI_Cash_Exception_Application[[#This Row],[TODAY]]-qry_ProdData2_PDI_Cash_Exception_Application[[#This Row],[CHANGED ON]]</f>
        <v>14.742928240739275</v>
      </c>
      <c r="N1365">
        <f ca="1">qry_ProdData2_PDI_Cash_Exception_Application[[#This Row],[TODAY]]-qry_ProdData2_PDI_Cash_Exception_Application[[#This Row],[CHANGED ON]]</f>
        <v>14.742928240739275</v>
      </c>
    </row>
    <row r="1366" spans="1:14" x14ac:dyDescent="0.35">
      <c r="A1366">
        <v>1027</v>
      </c>
      <c r="B1366" t="s">
        <v>81</v>
      </c>
      <c r="C1366" s="1">
        <v>45188.257071759261</v>
      </c>
      <c r="D1366" t="str">
        <f ca="1">VLOOKUP(qry_ProdData2_PDI_Cash_Exception_Application[[#This Row],[TYPE]],#REF!,2,FALSE)</f>
        <v>type38</v>
      </c>
      <c r="E1366">
        <v>173.99</v>
      </c>
      <c r="F1366" t="s">
        <v>49</v>
      </c>
      <c r="G1366" s="1">
        <f>qry_ProdData2_PDI_Cash_Exception_Application[[#This Row],[INSERT DATE]]+2</f>
        <v>45190.257071759261</v>
      </c>
      <c r="H1366" t="str">
        <f>VLOOKUP(qry_ProdData2_PDI_Cash_Exception_Application[[#This Row],[MARKET No]],'Site Allocation'!$B$2:$C$37,2,FALSE)</f>
        <v>Analyst5</v>
      </c>
      <c r="I1366" s="4">
        <f t="shared" ca="1" si="21"/>
        <v>45203</v>
      </c>
      <c r="J1366" s="42">
        <f ca="1">TODAY()-qry_ProdData2_PDI_Cash_Exception_Application[[#This Row],[INSERT DATE]]</f>
        <v>14.742928240739275</v>
      </c>
      <c r="K13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66">
        <f ca="1">qry_ProdData2_PDI_Cash_Exception_Application[[#This Row],[TODAY]]-qry_ProdData2_PDI_Cash_Exception_Application[[#This Row],[CHANGED ON]]</f>
        <v>12.742928240739275</v>
      </c>
      <c r="M1366">
        <f ca="1">qry_ProdData2_PDI_Cash_Exception_Application[[#This Row],[TODAY]]-qry_ProdData2_PDI_Cash_Exception_Application[[#This Row],[CHANGED ON]]</f>
        <v>12.742928240739275</v>
      </c>
      <c r="N1366">
        <f ca="1">qry_ProdData2_PDI_Cash_Exception_Application[[#This Row],[TODAY]]-qry_ProdData2_PDI_Cash_Exception_Application[[#This Row],[CHANGED ON]]</f>
        <v>12.742928240739275</v>
      </c>
    </row>
    <row r="1367" spans="1:14" x14ac:dyDescent="0.35">
      <c r="A1367">
        <v>1027</v>
      </c>
      <c r="B1367" t="s">
        <v>81</v>
      </c>
      <c r="C1367" s="1">
        <v>45188.257071759261</v>
      </c>
      <c r="D1367" t="str">
        <f ca="1">VLOOKUP(qry_ProdData2_PDI_Cash_Exception_Application[[#This Row],[TYPE]],#REF!,2,FALSE)</f>
        <v>type40</v>
      </c>
      <c r="E1367">
        <v>-2370.66</v>
      </c>
      <c r="F1367" t="s">
        <v>52</v>
      </c>
      <c r="G1367" s="1">
        <f>qry_ProdData2_PDI_Cash_Exception_Application[[#This Row],[INSERT DATE]]+2</f>
        <v>45190.257071759261</v>
      </c>
      <c r="H1367" t="str">
        <f>VLOOKUP(qry_ProdData2_PDI_Cash_Exception_Application[[#This Row],[MARKET No]],'Site Allocation'!$B$2:$C$37,2,FALSE)</f>
        <v>Analyst5</v>
      </c>
      <c r="I1367" s="4">
        <f t="shared" ca="1" si="21"/>
        <v>45203</v>
      </c>
      <c r="J1367" s="42">
        <f ca="1">TODAY()-qry_ProdData2_PDI_Cash_Exception_Application[[#This Row],[INSERT DATE]]</f>
        <v>14.742928240739275</v>
      </c>
      <c r="K13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67">
        <f ca="1">qry_ProdData2_PDI_Cash_Exception_Application[[#This Row],[TODAY]]-qry_ProdData2_PDI_Cash_Exception_Application[[#This Row],[CHANGED ON]]</f>
        <v>12.742928240739275</v>
      </c>
      <c r="M1367">
        <f ca="1">qry_ProdData2_PDI_Cash_Exception_Application[[#This Row],[TODAY]]-qry_ProdData2_PDI_Cash_Exception_Application[[#This Row],[CHANGED ON]]</f>
        <v>12.742928240739275</v>
      </c>
      <c r="N1367">
        <f ca="1">qry_ProdData2_PDI_Cash_Exception_Application[[#This Row],[TODAY]]-qry_ProdData2_PDI_Cash_Exception_Application[[#This Row],[CHANGED ON]]</f>
        <v>12.742928240739275</v>
      </c>
    </row>
    <row r="1368" spans="1:14" x14ac:dyDescent="0.35">
      <c r="A1368">
        <v>1005</v>
      </c>
      <c r="B1368" t="s">
        <v>59</v>
      </c>
      <c r="C1368" s="1">
        <v>45189.257071759261</v>
      </c>
      <c r="D1368" t="str">
        <f ca="1">VLOOKUP(qry_ProdData2_PDI_Cash_Exception_Application[[#This Row],[TYPE]],#REF!,2,FALSE)</f>
        <v>type38</v>
      </c>
      <c r="E1368">
        <v>188.76</v>
      </c>
      <c r="F1368" t="s">
        <v>50</v>
      </c>
      <c r="G1368" s="1">
        <f>qry_ProdData2_PDI_Cash_Exception_Application[[#This Row],[INSERT DATE]]+2</f>
        <v>45191.257071759261</v>
      </c>
      <c r="H1368" t="str">
        <f>VLOOKUP(qry_ProdData2_PDI_Cash_Exception_Application[[#This Row],[MARKET No]],'Site Allocation'!$B$2:$C$37,2,FALSE)</f>
        <v>Analyst1</v>
      </c>
      <c r="I1368" s="4">
        <f t="shared" ca="1" si="21"/>
        <v>45203</v>
      </c>
      <c r="J1368" s="42">
        <f ca="1">TODAY()-qry_ProdData2_PDI_Cash_Exception_Application[[#This Row],[INSERT DATE]]</f>
        <v>13.742928240739275</v>
      </c>
      <c r="K13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68">
        <f ca="1">qry_ProdData2_PDI_Cash_Exception_Application[[#This Row],[TODAY]]-qry_ProdData2_PDI_Cash_Exception_Application[[#This Row],[CHANGED ON]]</f>
        <v>11.742928240739275</v>
      </c>
      <c r="M1368">
        <f ca="1">qry_ProdData2_PDI_Cash_Exception_Application[[#This Row],[TODAY]]-qry_ProdData2_PDI_Cash_Exception_Application[[#This Row],[CHANGED ON]]</f>
        <v>11.742928240739275</v>
      </c>
      <c r="N1368">
        <f ca="1">qry_ProdData2_PDI_Cash_Exception_Application[[#This Row],[TODAY]]-qry_ProdData2_PDI_Cash_Exception_Application[[#This Row],[CHANGED ON]]</f>
        <v>11.742928240739275</v>
      </c>
    </row>
    <row r="1369" spans="1:14" x14ac:dyDescent="0.35">
      <c r="A1369">
        <v>1006</v>
      </c>
      <c r="B1369" t="s">
        <v>60</v>
      </c>
      <c r="C1369" s="1">
        <v>45186.257071759261</v>
      </c>
      <c r="D1369" t="str">
        <f ca="1">VLOOKUP(qry_ProdData2_PDI_Cash_Exception_Application[[#This Row],[TYPE]],#REF!,2,FALSE)</f>
        <v>type40</v>
      </c>
      <c r="E1369">
        <v>6328.9</v>
      </c>
      <c r="F1369" t="s">
        <v>48</v>
      </c>
      <c r="G1369" s="1">
        <f>qry_ProdData2_PDI_Cash_Exception_Application[[#This Row],[INSERT DATE]]+7</f>
        <v>45193.257071759261</v>
      </c>
      <c r="H1369" t="str">
        <f>VLOOKUP(qry_ProdData2_PDI_Cash_Exception_Application[[#This Row],[MARKET No]],'Site Allocation'!$B$2:$C$37,2,FALSE)</f>
        <v>Analyst2</v>
      </c>
      <c r="I1369" s="4">
        <f t="shared" ca="1" si="21"/>
        <v>45203</v>
      </c>
      <c r="J1369" s="42">
        <f ca="1">TODAY()-qry_ProdData2_PDI_Cash_Exception_Application[[#This Row],[INSERT DATE]]</f>
        <v>16.742928240739275</v>
      </c>
      <c r="K13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69">
        <f ca="1">qry_ProdData2_PDI_Cash_Exception_Application[[#This Row],[TODAY]]-qry_ProdData2_PDI_Cash_Exception_Application[[#This Row],[CHANGED ON]]</f>
        <v>9.7429282407392748</v>
      </c>
      <c r="M1369">
        <f ca="1">qry_ProdData2_PDI_Cash_Exception_Application[[#This Row],[TODAY]]-qry_ProdData2_PDI_Cash_Exception_Application[[#This Row],[CHANGED ON]]</f>
        <v>9.7429282407392748</v>
      </c>
      <c r="N1369">
        <f ca="1">qry_ProdData2_PDI_Cash_Exception_Application[[#This Row],[TODAY]]-qry_ProdData2_PDI_Cash_Exception_Application[[#This Row],[CHANGED ON]]</f>
        <v>9.7429282407392748</v>
      </c>
    </row>
    <row r="1370" spans="1:14" x14ac:dyDescent="0.35">
      <c r="A1370">
        <v>1005</v>
      </c>
      <c r="B1370" t="s">
        <v>59</v>
      </c>
      <c r="C1370" s="1">
        <v>45179.257071759261</v>
      </c>
      <c r="D1370" t="str">
        <f ca="1">VLOOKUP(qry_ProdData2_PDI_Cash_Exception_Application[[#This Row],[TYPE]],#REF!,2,FALSE)</f>
        <v>type40</v>
      </c>
      <c r="E1370">
        <v>-440.65</v>
      </c>
      <c r="F1370" t="s">
        <v>51</v>
      </c>
      <c r="G1370" s="1">
        <f>qry_ProdData2_PDI_Cash_Exception_Application[[#This Row],[INSERT DATE]]+2</f>
        <v>45181.257071759261</v>
      </c>
      <c r="H1370" t="str">
        <f>VLOOKUP(qry_ProdData2_PDI_Cash_Exception_Application[[#This Row],[MARKET No]],'Site Allocation'!$B$2:$C$37,2,FALSE)</f>
        <v>Analyst1</v>
      </c>
      <c r="I1370" s="4">
        <f t="shared" ca="1" si="21"/>
        <v>45203</v>
      </c>
      <c r="J1370" s="42">
        <f ca="1">TODAY()-qry_ProdData2_PDI_Cash_Exception_Application[[#This Row],[INSERT DATE]]</f>
        <v>23.742928240739275</v>
      </c>
      <c r="K13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70">
        <f ca="1">qry_ProdData2_PDI_Cash_Exception_Application[[#This Row],[TODAY]]-qry_ProdData2_PDI_Cash_Exception_Application[[#This Row],[CHANGED ON]]</f>
        <v>21.742928240739275</v>
      </c>
      <c r="M1370">
        <f ca="1">qry_ProdData2_PDI_Cash_Exception_Application[[#This Row],[TODAY]]-qry_ProdData2_PDI_Cash_Exception_Application[[#This Row],[CHANGED ON]]</f>
        <v>21.742928240739275</v>
      </c>
      <c r="N1370">
        <f ca="1">qry_ProdData2_PDI_Cash_Exception_Application[[#This Row],[TODAY]]-qry_ProdData2_PDI_Cash_Exception_Application[[#This Row],[CHANGED ON]]</f>
        <v>21.742928240739275</v>
      </c>
    </row>
    <row r="1371" spans="1:14" x14ac:dyDescent="0.35">
      <c r="A1371">
        <v>1027</v>
      </c>
      <c r="B1371" t="s">
        <v>81</v>
      </c>
      <c r="C1371" s="1">
        <v>45190.257071759261</v>
      </c>
      <c r="D1371" t="str">
        <f ca="1">VLOOKUP(qry_ProdData2_PDI_Cash_Exception_Application[[#This Row],[TYPE]],#REF!,2,FALSE)</f>
        <v>type38</v>
      </c>
      <c r="E1371">
        <v>163.07</v>
      </c>
      <c r="F1371" t="s">
        <v>50</v>
      </c>
      <c r="G1371" s="1">
        <f>qry_ProdData2_PDI_Cash_Exception_Application[[#This Row],[INSERT DATE]]+2</f>
        <v>45192.257071759261</v>
      </c>
      <c r="H1371" t="str">
        <f>VLOOKUP(qry_ProdData2_PDI_Cash_Exception_Application[[#This Row],[MARKET No]],'Site Allocation'!$B$2:$C$37,2,FALSE)</f>
        <v>Analyst5</v>
      </c>
      <c r="I1371" s="4">
        <f t="shared" ca="1" si="21"/>
        <v>45203</v>
      </c>
      <c r="J1371" s="42">
        <f ca="1">TODAY()-qry_ProdData2_PDI_Cash_Exception_Application[[#This Row],[INSERT DATE]]</f>
        <v>12.742928240739275</v>
      </c>
      <c r="K13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71">
        <f ca="1">qry_ProdData2_PDI_Cash_Exception_Application[[#This Row],[TODAY]]-qry_ProdData2_PDI_Cash_Exception_Application[[#This Row],[CHANGED ON]]</f>
        <v>10.742928240739275</v>
      </c>
      <c r="M1371">
        <f ca="1">qry_ProdData2_PDI_Cash_Exception_Application[[#This Row],[TODAY]]-qry_ProdData2_PDI_Cash_Exception_Application[[#This Row],[CHANGED ON]]</f>
        <v>10.742928240739275</v>
      </c>
      <c r="N1371">
        <f ca="1">qry_ProdData2_PDI_Cash_Exception_Application[[#This Row],[TODAY]]-qry_ProdData2_PDI_Cash_Exception_Application[[#This Row],[CHANGED ON]]</f>
        <v>10.742928240739275</v>
      </c>
    </row>
    <row r="1372" spans="1:14" x14ac:dyDescent="0.35">
      <c r="A1372">
        <v>1025</v>
      </c>
      <c r="B1372" t="s">
        <v>79</v>
      </c>
      <c r="C1372" s="1">
        <v>45182.257071759261</v>
      </c>
      <c r="D1372" t="str">
        <f ca="1">VLOOKUP(qry_ProdData2_PDI_Cash_Exception_Application[[#This Row],[TYPE]],#REF!,2,FALSE)</f>
        <v>type11</v>
      </c>
      <c r="E1372">
        <v>115</v>
      </c>
      <c r="F1372" t="s">
        <v>51</v>
      </c>
      <c r="G1372" s="1">
        <f>qry_ProdData2_PDI_Cash_Exception_Application[[#This Row],[INSERT DATE]]+2</f>
        <v>45184.257071759261</v>
      </c>
      <c r="H1372" t="str">
        <f>VLOOKUP(qry_ProdData2_PDI_Cash_Exception_Application[[#This Row],[MARKET No]],'Site Allocation'!$B$2:$C$37,2,FALSE)</f>
        <v>Analyst5</v>
      </c>
      <c r="I1372" s="4">
        <f t="shared" ca="1" si="21"/>
        <v>45203</v>
      </c>
      <c r="J1372" s="42">
        <f ca="1">TODAY()-qry_ProdData2_PDI_Cash_Exception_Application[[#This Row],[INSERT DATE]]</f>
        <v>20.742928240739275</v>
      </c>
      <c r="K13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72">
        <f ca="1">qry_ProdData2_PDI_Cash_Exception_Application[[#This Row],[TODAY]]-qry_ProdData2_PDI_Cash_Exception_Application[[#This Row],[CHANGED ON]]</f>
        <v>18.742928240739275</v>
      </c>
      <c r="M1372">
        <f ca="1">qry_ProdData2_PDI_Cash_Exception_Application[[#This Row],[TODAY]]-qry_ProdData2_PDI_Cash_Exception_Application[[#This Row],[CHANGED ON]]</f>
        <v>18.742928240739275</v>
      </c>
      <c r="N1372">
        <f ca="1">qry_ProdData2_PDI_Cash_Exception_Application[[#This Row],[TODAY]]-qry_ProdData2_PDI_Cash_Exception_Application[[#This Row],[CHANGED ON]]</f>
        <v>18.742928240739275</v>
      </c>
    </row>
    <row r="1373" spans="1:14" x14ac:dyDescent="0.35">
      <c r="A1373">
        <v>1018</v>
      </c>
      <c r="B1373" t="s">
        <v>72</v>
      </c>
      <c r="C1373" s="1">
        <v>45186.257071759261</v>
      </c>
      <c r="D1373" t="str">
        <f ca="1">VLOOKUP(qry_ProdData2_PDI_Cash_Exception_Application[[#This Row],[TYPE]],#REF!,2,FALSE)</f>
        <v>type40</v>
      </c>
      <c r="E1373">
        <v>-1761.77</v>
      </c>
      <c r="F1373" t="s">
        <v>47</v>
      </c>
      <c r="G1373" s="1">
        <f>qry_ProdData2_PDI_Cash_Exception_Application[[#This Row],[INSERT DATE]]+2</f>
        <v>45188.257071759261</v>
      </c>
      <c r="H1373" t="str">
        <f>VLOOKUP(qry_ProdData2_PDI_Cash_Exception_Application[[#This Row],[MARKET No]],'Site Allocation'!$B$2:$C$37,2,FALSE)</f>
        <v>Analyst4</v>
      </c>
      <c r="I1373" s="4">
        <f t="shared" ca="1" si="21"/>
        <v>45203</v>
      </c>
      <c r="J1373" s="42">
        <f ca="1">TODAY()-qry_ProdData2_PDI_Cash_Exception_Application[[#This Row],[INSERT DATE]]</f>
        <v>16.742928240739275</v>
      </c>
      <c r="K13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73">
        <f ca="1">qry_ProdData2_PDI_Cash_Exception_Application[[#This Row],[TODAY]]-qry_ProdData2_PDI_Cash_Exception_Application[[#This Row],[CHANGED ON]]</f>
        <v>14.742928240739275</v>
      </c>
      <c r="M1373">
        <f ca="1">qry_ProdData2_PDI_Cash_Exception_Application[[#This Row],[TODAY]]-qry_ProdData2_PDI_Cash_Exception_Application[[#This Row],[CHANGED ON]]</f>
        <v>14.742928240739275</v>
      </c>
      <c r="N1373">
        <f ca="1">qry_ProdData2_PDI_Cash_Exception_Application[[#This Row],[TODAY]]-qry_ProdData2_PDI_Cash_Exception_Application[[#This Row],[CHANGED ON]]</f>
        <v>14.742928240739275</v>
      </c>
    </row>
    <row r="1374" spans="1:14" x14ac:dyDescent="0.35">
      <c r="A1374">
        <v>1027</v>
      </c>
      <c r="B1374" t="s">
        <v>81</v>
      </c>
      <c r="C1374" s="1">
        <v>45193.257071759261</v>
      </c>
      <c r="D1374" t="str">
        <f ca="1">VLOOKUP(qry_ProdData2_PDI_Cash_Exception_Application[[#This Row],[TYPE]],#REF!,2,FALSE)</f>
        <v>type38</v>
      </c>
      <c r="E1374">
        <v>205.48</v>
      </c>
      <c r="F1374" t="s">
        <v>52</v>
      </c>
      <c r="G1374" s="1">
        <f>qry_ProdData2_PDI_Cash_Exception_Application[[#This Row],[INSERT DATE]]+2</f>
        <v>45195.257071759261</v>
      </c>
      <c r="H1374" t="str">
        <f>VLOOKUP(qry_ProdData2_PDI_Cash_Exception_Application[[#This Row],[MARKET No]],'Site Allocation'!$B$2:$C$37,2,FALSE)</f>
        <v>Analyst5</v>
      </c>
      <c r="I1374" s="4">
        <f t="shared" ca="1" si="21"/>
        <v>45203</v>
      </c>
      <c r="J1374" s="42">
        <f ca="1">TODAY()-qry_ProdData2_PDI_Cash_Exception_Application[[#This Row],[INSERT DATE]]</f>
        <v>9.7429282407392748</v>
      </c>
      <c r="K13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74">
        <f ca="1">qry_ProdData2_PDI_Cash_Exception_Application[[#This Row],[TODAY]]-qry_ProdData2_PDI_Cash_Exception_Application[[#This Row],[CHANGED ON]]</f>
        <v>7.7429282407392748</v>
      </c>
      <c r="M1374">
        <f ca="1">qry_ProdData2_PDI_Cash_Exception_Application[[#This Row],[TODAY]]-qry_ProdData2_PDI_Cash_Exception_Application[[#This Row],[CHANGED ON]]</f>
        <v>7.7429282407392748</v>
      </c>
      <c r="N1374">
        <f ca="1">qry_ProdData2_PDI_Cash_Exception_Application[[#This Row],[TODAY]]-qry_ProdData2_PDI_Cash_Exception_Application[[#This Row],[CHANGED ON]]</f>
        <v>7.7429282407392748</v>
      </c>
    </row>
    <row r="1375" spans="1:14" x14ac:dyDescent="0.35">
      <c r="A1375">
        <v>1033</v>
      </c>
      <c r="B1375" t="s">
        <v>87</v>
      </c>
      <c r="C1375" s="1">
        <v>45189.257071759261</v>
      </c>
      <c r="D1375" t="str">
        <f ca="1">VLOOKUP(qry_ProdData2_PDI_Cash_Exception_Application[[#This Row],[TYPE]],#REF!,2,FALSE)</f>
        <v>type38</v>
      </c>
      <c r="E1375">
        <v>333.38</v>
      </c>
      <c r="F1375" t="s">
        <v>49</v>
      </c>
      <c r="G1375" s="1">
        <f>qry_ProdData2_PDI_Cash_Exception_Application[[#This Row],[INSERT DATE]]+2</f>
        <v>45191.257071759261</v>
      </c>
      <c r="H1375" t="str">
        <f>VLOOKUP(qry_ProdData2_PDI_Cash_Exception_Application[[#This Row],[MARKET No]],'Site Allocation'!$B$2:$C$37,2,FALSE)</f>
        <v>Analyst6</v>
      </c>
      <c r="I1375" s="4">
        <f t="shared" ca="1" si="21"/>
        <v>45203</v>
      </c>
      <c r="J1375" s="42">
        <f ca="1">TODAY()-qry_ProdData2_PDI_Cash_Exception_Application[[#This Row],[INSERT DATE]]</f>
        <v>13.742928240739275</v>
      </c>
      <c r="K13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75">
        <f ca="1">qry_ProdData2_PDI_Cash_Exception_Application[[#This Row],[TODAY]]-qry_ProdData2_PDI_Cash_Exception_Application[[#This Row],[CHANGED ON]]</f>
        <v>11.742928240739275</v>
      </c>
      <c r="M1375">
        <f ca="1">qry_ProdData2_PDI_Cash_Exception_Application[[#This Row],[TODAY]]-qry_ProdData2_PDI_Cash_Exception_Application[[#This Row],[CHANGED ON]]</f>
        <v>11.742928240739275</v>
      </c>
      <c r="N1375">
        <f ca="1">qry_ProdData2_PDI_Cash_Exception_Application[[#This Row],[TODAY]]-qry_ProdData2_PDI_Cash_Exception_Application[[#This Row],[CHANGED ON]]</f>
        <v>11.742928240739275</v>
      </c>
    </row>
    <row r="1376" spans="1:14" x14ac:dyDescent="0.35">
      <c r="A1376">
        <v>1014</v>
      </c>
      <c r="B1376" t="s">
        <v>68</v>
      </c>
      <c r="C1376" s="1">
        <v>45188.257071759261</v>
      </c>
      <c r="D1376" t="str">
        <f ca="1">VLOOKUP(qry_ProdData2_PDI_Cash_Exception_Application[[#This Row],[TYPE]],#REF!,2,FALSE)</f>
        <v>type21</v>
      </c>
      <c r="E1376">
        <v>359.1</v>
      </c>
      <c r="F1376" t="s">
        <v>47</v>
      </c>
      <c r="G1376" s="1">
        <f>qry_ProdData2_PDI_Cash_Exception_Application[[#This Row],[INSERT DATE]]+2</f>
        <v>45190.257071759261</v>
      </c>
      <c r="H1376" t="str">
        <f>VLOOKUP(qry_ProdData2_PDI_Cash_Exception_Application[[#This Row],[MARKET No]],'Site Allocation'!$B$2:$C$37,2,FALSE)</f>
        <v>Analyst3</v>
      </c>
      <c r="I1376" s="4">
        <f t="shared" ca="1" si="21"/>
        <v>45203</v>
      </c>
      <c r="J1376" s="42">
        <f ca="1">TODAY()-qry_ProdData2_PDI_Cash_Exception_Application[[#This Row],[INSERT DATE]]</f>
        <v>14.742928240739275</v>
      </c>
      <c r="K13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76">
        <f ca="1">qry_ProdData2_PDI_Cash_Exception_Application[[#This Row],[TODAY]]-qry_ProdData2_PDI_Cash_Exception_Application[[#This Row],[CHANGED ON]]</f>
        <v>12.742928240739275</v>
      </c>
      <c r="M1376">
        <f ca="1">qry_ProdData2_PDI_Cash_Exception_Application[[#This Row],[TODAY]]-qry_ProdData2_PDI_Cash_Exception_Application[[#This Row],[CHANGED ON]]</f>
        <v>12.742928240739275</v>
      </c>
      <c r="N1376">
        <f ca="1">qry_ProdData2_PDI_Cash_Exception_Application[[#This Row],[TODAY]]-qry_ProdData2_PDI_Cash_Exception_Application[[#This Row],[CHANGED ON]]</f>
        <v>12.742928240739275</v>
      </c>
    </row>
    <row r="1377" spans="1:14" x14ac:dyDescent="0.35">
      <c r="A1377">
        <v>1024</v>
      </c>
      <c r="B1377" t="s">
        <v>78</v>
      </c>
      <c r="C1377" s="1">
        <v>45196.257071759261</v>
      </c>
      <c r="D1377" t="str">
        <f ca="1">VLOOKUP(qry_ProdData2_PDI_Cash_Exception_Application[[#This Row],[TYPE]],#REF!,2,FALSE)</f>
        <v>type40</v>
      </c>
      <c r="E1377">
        <v>699</v>
      </c>
      <c r="F1377" t="s">
        <v>50</v>
      </c>
      <c r="G1377" s="1">
        <f>qry_ProdData2_PDI_Cash_Exception_Application[[#This Row],[INSERT DATE]]+2</f>
        <v>45198.257071759261</v>
      </c>
      <c r="H1377" t="str">
        <f>VLOOKUP(qry_ProdData2_PDI_Cash_Exception_Application[[#This Row],[MARKET No]],'Site Allocation'!$B$2:$C$37,2,FALSE)</f>
        <v>Analyst5</v>
      </c>
      <c r="I1377" s="4">
        <f t="shared" ca="1" si="21"/>
        <v>45203</v>
      </c>
      <c r="J1377" s="42">
        <f ca="1">TODAY()-qry_ProdData2_PDI_Cash_Exception_Application[[#This Row],[INSERT DATE]]</f>
        <v>6.7429282407392748</v>
      </c>
      <c r="K13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377">
        <f ca="1">qry_ProdData2_PDI_Cash_Exception_Application[[#This Row],[TODAY]]-qry_ProdData2_PDI_Cash_Exception_Application[[#This Row],[CHANGED ON]]</f>
        <v>4.7429282407392748</v>
      </c>
      <c r="M1377">
        <f ca="1">qry_ProdData2_PDI_Cash_Exception_Application[[#This Row],[TODAY]]-qry_ProdData2_PDI_Cash_Exception_Application[[#This Row],[CHANGED ON]]</f>
        <v>4.7429282407392748</v>
      </c>
      <c r="N1377">
        <f ca="1">qry_ProdData2_PDI_Cash_Exception_Application[[#This Row],[TODAY]]-qry_ProdData2_PDI_Cash_Exception_Application[[#This Row],[CHANGED ON]]</f>
        <v>4.7429282407392748</v>
      </c>
    </row>
    <row r="1378" spans="1:14" x14ac:dyDescent="0.35">
      <c r="A1378">
        <v>1019</v>
      </c>
      <c r="B1378" t="s">
        <v>73</v>
      </c>
      <c r="C1378" s="1">
        <v>45197.257071759261</v>
      </c>
      <c r="D1378" t="str">
        <f ca="1">VLOOKUP(qry_ProdData2_PDI_Cash_Exception_Application[[#This Row],[TYPE]],#REF!,2,FALSE)</f>
        <v>type40</v>
      </c>
      <c r="E1378">
        <v>5714</v>
      </c>
      <c r="F1378" t="s">
        <v>52</v>
      </c>
      <c r="G1378" s="1">
        <f>qry_ProdData2_PDI_Cash_Exception_Application[[#This Row],[INSERT DATE]]+2</f>
        <v>45199.257071759261</v>
      </c>
      <c r="H1378" t="str">
        <f>VLOOKUP(qry_ProdData2_PDI_Cash_Exception_Application[[#This Row],[MARKET No]],'Site Allocation'!$B$2:$C$37,2,FALSE)</f>
        <v>Analyst4</v>
      </c>
      <c r="I1378" s="4">
        <f t="shared" ca="1" si="21"/>
        <v>45203</v>
      </c>
      <c r="J1378" s="42">
        <f ca="1">TODAY()-qry_ProdData2_PDI_Cash_Exception_Application[[#This Row],[INSERT DATE]]</f>
        <v>5.7429282407392748</v>
      </c>
      <c r="K13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378">
        <f ca="1">qry_ProdData2_PDI_Cash_Exception_Application[[#This Row],[TODAY]]-qry_ProdData2_PDI_Cash_Exception_Application[[#This Row],[CHANGED ON]]</f>
        <v>3.7429282407392748</v>
      </c>
      <c r="M1378">
        <f ca="1">qry_ProdData2_PDI_Cash_Exception_Application[[#This Row],[TODAY]]-qry_ProdData2_PDI_Cash_Exception_Application[[#This Row],[CHANGED ON]]</f>
        <v>3.7429282407392748</v>
      </c>
      <c r="N1378">
        <f ca="1">qry_ProdData2_PDI_Cash_Exception_Application[[#This Row],[TODAY]]-qry_ProdData2_PDI_Cash_Exception_Application[[#This Row],[CHANGED ON]]</f>
        <v>3.7429282407392748</v>
      </c>
    </row>
    <row r="1379" spans="1:14" x14ac:dyDescent="0.35">
      <c r="A1379">
        <v>1024</v>
      </c>
      <c r="B1379" t="s">
        <v>78</v>
      </c>
      <c r="C1379" s="1">
        <v>45183.257071759261</v>
      </c>
      <c r="D1379" t="str">
        <f ca="1">VLOOKUP(qry_ProdData2_PDI_Cash_Exception_Application[[#This Row],[TYPE]],#REF!,2,FALSE)</f>
        <v>type40</v>
      </c>
      <c r="E1379">
        <v>-2025.89</v>
      </c>
      <c r="F1379" t="s">
        <v>51</v>
      </c>
      <c r="G1379" s="1">
        <f>qry_ProdData2_PDI_Cash_Exception_Application[[#This Row],[INSERT DATE]]+2</f>
        <v>45185.257071759261</v>
      </c>
      <c r="H1379" t="str">
        <f>VLOOKUP(qry_ProdData2_PDI_Cash_Exception_Application[[#This Row],[MARKET No]],'Site Allocation'!$B$2:$C$37,2,FALSE)</f>
        <v>Analyst5</v>
      </c>
      <c r="I1379" s="4">
        <f t="shared" ca="1" si="21"/>
        <v>45203</v>
      </c>
      <c r="J1379" s="42">
        <f ca="1">TODAY()-qry_ProdData2_PDI_Cash_Exception_Application[[#This Row],[INSERT DATE]]</f>
        <v>19.742928240739275</v>
      </c>
      <c r="K13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79">
        <f ca="1">qry_ProdData2_PDI_Cash_Exception_Application[[#This Row],[TODAY]]-qry_ProdData2_PDI_Cash_Exception_Application[[#This Row],[CHANGED ON]]</f>
        <v>17.742928240739275</v>
      </c>
      <c r="M1379">
        <f ca="1">qry_ProdData2_PDI_Cash_Exception_Application[[#This Row],[TODAY]]-qry_ProdData2_PDI_Cash_Exception_Application[[#This Row],[CHANGED ON]]</f>
        <v>17.742928240739275</v>
      </c>
      <c r="N1379">
        <f ca="1">qry_ProdData2_PDI_Cash_Exception_Application[[#This Row],[TODAY]]-qry_ProdData2_PDI_Cash_Exception_Application[[#This Row],[CHANGED ON]]</f>
        <v>17.742928240739275</v>
      </c>
    </row>
    <row r="1380" spans="1:14" x14ac:dyDescent="0.35">
      <c r="A1380">
        <v>1017</v>
      </c>
      <c r="B1380" t="s">
        <v>71</v>
      </c>
      <c r="C1380" s="1">
        <v>45189.257071759261</v>
      </c>
      <c r="D1380" t="str">
        <f ca="1">VLOOKUP(qry_ProdData2_PDI_Cash_Exception_Application[[#This Row],[TYPE]],#REF!,2,FALSE)</f>
        <v>type40</v>
      </c>
      <c r="E1380">
        <v>-1296.1199999999999</v>
      </c>
      <c r="F1380" t="s">
        <v>51</v>
      </c>
      <c r="G1380" s="1">
        <f>qry_ProdData2_PDI_Cash_Exception_Application[[#This Row],[INSERT DATE]]+5</f>
        <v>45194.257071759261</v>
      </c>
      <c r="H1380" t="str">
        <f>VLOOKUP(qry_ProdData2_PDI_Cash_Exception_Application[[#This Row],[MARKET No]],'Site Allocation'!$B$2:$C$37,2,FALSE)</f>
        <v>Analyst3</v>
      </c>
      <c r="I1380" s="4">
        <f t="shared" ca="1" si="21"/>
        <v>45203</v>
      </c>
      <c r="J1380" s="42">
        <f ca="1">TODAY()-qry_ProdData2_PDI_Cash_Exception_Application[[#This Row],[INSERT DATE]]</f>
        <v>13.742928240739275</v>
      </c>
      <c r="K13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80">
        <f ca="1">qry_ProdData2_PDI_Cash_Exception_Application[[#This Row],[TODAY]]-qry_ProdData2_PDI_Cash_Exception_Application[[#This Row],[CHANGED ON]]</f>
        <v>8.7429282407392748</v>
      </c>
      <c r="M1380">
        <f ca="1">qry_ProdData2_PDI_Cash_Exception_Application[[#This Row],[TODAY]]-qry_ProdData2_PDI_Cash_Exception_Application[[#This Row],[CHANGED ON]]</f>
        <v>8.7429282407392748</v>
      </c>
      <c r="N1380">
        <f ca="1">qry_ProdData2_PDI_Cash_Exception_Application[[#This Row],[TODAY]]-qry_ProdData2_PDI_Cash_Exception_Application[[#This Row],[CHANGED ON]]</f>
        <v>8.7429282407392748</v>
      </c>
    </row>
    <row r="1381" spans="1:14" x14ac:dyDescent="0.35">
      <c r="A1381">
        <v>1034</v>
      </c>
      <c r="B1381" t="s">
        <v>88</v>
      </c>
      <c r="C1381" s="1">
        <v>45185.257071759261</v>
      </c>
      <c r="D1381" t="str">
        <f ca="1">VLOOKUP(qry_ProdData2_PDI_Cash_Exception_Application[[#This Row],[TYPE]],#REF!,2,FALSE)</f>
        <v>type13</v>
      </c>
      <c r="E1381">
        <v>32439.279999999999</v>
      </c>
      <c r="F1381" t="s">
        <v>49</v>
      </c>
      <c r="G1381" s="1">
        <f>qry_ProdData2_PDI_Cash_Exception_Application[[#This Row],[INSERT DATE]]+5</f>
        <v>45190.257071759261</v>
      </c>
      <c r="H1381" t="str">
        <f>VLOOKUP(qry_ProdData2_PDI_Cash_Exception_Application[[#This Row],[MARKET No]],'Site Allocation'!$B$2:$C$37,2,FALSE)</f>
        <v>Analyst6</v>
      </c>
      <c r="I1381" s="4">
        <f t="shared" ca="1" si="21"/>
        <v>45203</v>
      </c>
      <c r="J1381" s="42">
        <f ca="1">TODAY()-qry_ProdData2_PDI_Cash_Exception_Application[[#This Row],[INSERT DATE]]</f>
        <v>17.742928240739275</v>
      </c>
      <c r="K13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81">
        <f ca="1">qry_ProdData2_PDI_Cash_Exception_Application[[#This Row],[TODAY]]-qry_ProdData2_PDI_Cash_Exception_Application[[#This Row],[CHANGED ON]]</f>
        <v>12.742928240739275</v>
      </c>
      <c r="M1381">
        <f ca="1">qry_ProdData2_PDI_Cash_Exception_Application[[#This Row],[TODAY]]-qry_ProdData2_PDI_Cash_Exception_Application[[#This Row],[CHANGED ON]]</f>
        <v>12.742928240739275</v>
      </c>
      <c r="N1381">
        <f ca="1">qry_ProdData2_PDI_Cash_Exception_Application[[#This Row],[TODAY]]-qry_ProdData2_PDI_Cash_Exception_Application[[#This Row],[CHANGED ON]]</f>
        <v>12.742928240739275</v>
      </c>
    </row>
    <row r="1382" spans="1:14" x14ac:dyDescent="0.35">
      <c r="A1382">
        <v>1022</v>
      </c>
      <c r="B1382" t="s">
        <v>76</v>
      </c>
      <c r="C1382" s="1">
        <v>45182.257071759261</v>
      </c>
      <c r="D1382" t="str">
        <f ca="1">VLOOKUP(qry_ProdData2_PDI_Cash_Exception_Application[[#This Row],[TYPE]],#REF!,2,FALSE)</f>
        <v>type40</v>
      </c>
      <c r="E1382">
        <v>1855.41</v>
      </c>
      <c r="F1382" t="s">
        <v>52</v>
      </c>
      <c r="G1382" s="1">
        <f>qry_ProdData2_PDI_Cash_Exception_Application[[#This Row],[INSERT DATE]]+2</f>
        <v>45184.257071759261</v>
      </c>
      <c r="H1382" t="str">
        <f>VLOOKUP(qry_ProdData2_PDI_Cash_Exception_Application[[#This Row],[MARKET No]],'Site Allocation'!$B$2:$C$37,2,FALSE)</f>
        <v>Analyst4</v>
      </c>
      <c r="I1382" s="4">
        <f t="shared" ca="1" si="21"/>
        <v>45203</v>
      </c>
      <c r="J1382" s="42">
        <f ca="1">TODAY()-qry_ProdData2_PDI_Cash_Exception_Application[[#This Row],[INSERT DATE]]</f>
        <v>20.742928240739275</v>
      </c>
      <c r="K13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82">
        <f ca="1">qry_ProdData2_PDI_Cash_Exception_Application[[#This Row],[TODAY]]-qry_ProdData2_PDI_Cash_Exception_Application[[#This Row],[CHANGED ON]]</f>
        <v>18.742928240739275</v>
      </c>
      <c r="M1382">
        <f ca="1">qry_ProdData2_PDI_Cash_Exception_Application[[#This Row],[TODAY]]-qry_ProdData2_PDI_Cash_Exception_Application[[#This Row],[CHANGED ON]]</f>
        <v>18.742928240739275</v>
      </c>
      <c r="N1382">
        <f ca="1">qry_ProdData2_PDI_Cash_Exception_Application[[#This Row],[TODAY]]-qry_ProdData2_PDI_Cash_Exception_Application[[#This Row],[CHANGED ON]]</f>
        <v>18.742928240739275</v>
      </c>
    </row>
    <row r="1383" spans="1:14" x14ac:dyDescent="0.35">
      <c r="A1383">
        <v>1010</v>
      </c>
      <c r="B1383" t="s">
        <v>64</v>
      </c>
      <c r="C1383" s="1">
        <v>45182.257071759261</v>
      </c>
      <c r="D1383" t="str">
        <f ca="1">VLOOKUP(qry_ProdData2_PDI_Cash_Exception_Application[[#This Row],[TYPE]],#REF!,2,FALSE)</f>
        <v>type40</v>
      </c>
      <c r="E1383">
        <v>-1511.31</v>
      </c>
      <c r="F1383" t="s">
        <v>50</v>
      </c>
      <c r="G1383" s="1">
        <f>qry_ProdData2_PDI_Cash_Exception_Application[[#This Row],[INSERT DATE]]+2</f>
        <v>45184.257071759261</v>
      </c>
      <c r="H1383" t="str">
        <f>VLOOKUP(qry_ProdData2_PDI_Cash_Exception_Application[[#This Row],[MARKET No]],'Site Allocation'!$B$2:$C$37,2,FALSE)</f>
        <v>Analyst2</v>
      </c>
      <c r="I1383" s="4">
        <f t="shared" ca="1" si="21"/>
        <v>45203</v>
      </c>
      <c r="J1383" s="42">
        <f ca="1">TODAY()-qry_ProdData2_PDI_Cash_Exception_Application[[#This Row],[INSERT DATE]]</f>
        <v>20.742928240739275</v>
      </c>
      <c r="K13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83">
        <f ca="1">qry_ProdData2_PDI_Cash_Exception_Application[[#This Row],[TODAY]]-qry_ProdData2_PDI_Cash_Exception_Application[[#This Row],[CHANGED ON]]</f>
        <v>18.742928240739275</v>
      </c>
      <c r="M1383">
        <f ca="1">qry_ProdData2_PDI_Cash_Exception_Application[[#This Row],[TODAY]]-qry_ProdData2_PDI_Cash_Exception_Application[[#This Row],[CHANGED ON]]</f>
        <v>18.742928240739275</v>
      </c>
      <c r="N1383">
        <f ca="1">qry_ProdData2_PDI_Cash_Exception_Application[[#This Row],[TODAY]]-qry_ProdData2_PDI_Cash_Exception_Application[[#This Row],[CHANGED ON]]</f>
        <v>18.742928240739275</v>
      </c>
    </row>
    <row r="1384" spans="1:14" x14ac:dyDescent="0.35">
      <c r="A1384">
        <v>1005</v>
      </c>
      <c r="B1384" t="s">
        <v>59</v>
      </c>
      <c r="C1384" s="1">
        <v>45188.257071759261</v>
      </c>
      <c r="D1384" t="str">
        <f ca="1">VLOOKUP(qry_ProdData2_PDI_Cash_Exception_Application[[#This Row],[TYPE]],#REF!,2,FALSE)</f>
        <v>type8</v>
      </c>
      <c r="E1384">
        <v>70</v>
      </c>
      <c r="F1384" t="s">
        <v>48</v>
      </c>
      <c r="G1384" s="1">
        <f>qry_ProdData2_PDI_Cash_Exception_Application[[#This Row],[INSERT DATE]]+1</f>
        <v>45189.257071759261</v>
      </c>
      <c r="H1384" t="str">
        <f>VLOOKUP(qry_ProdData2_PDI_Cash_Exception_Application[[#This Row],[MARKET No]],'Site Allocation'!$B$2:$C$37,2,FALSE)</f>
        <v>Analyst1</v>
      </c>
      <c r="I1384" s="4">
        <f t="shared" ca="1" si="21"/>
        <v>45203</v>
      </c>
      <c r="J1384" s="42">
        <f ca="1">TODAY()-qry_ProdData2_PDI_Cash_Exception_Application[[#This Row],[INSERT DATE]]</f>
        <v>14.742928240739275</v>
      </c>
      <c r="K13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84">
        <f ca="1">qry_ProdData2_PDI_Cash_Exception_Application[[#This Row],[TODAY]]-qry_ProdData2_PDI_Cash_Exception_Application[[#This Row],[CHANGED ON]]</f>
        <v>13.742928240739275</v>
      </c>
      <c r="M1384">
        <f ca="1">qry_ProdData2_PDI_Cash_Exception_Application[[#This Row],[TODAY]]-qry_ProdData2_PDI_Cash_Exception_Application[[#This Row],[CHANGED ON]]</f>
        <v>13.742928240739275</v>
      </c>
      <c r="N1384">
        <f ca="1">qry_ProdData2_PDI_Cash_Exception_Application[[#This Row],[TODAY]]-qry_ProdData2_PDI_Cash_Exception_Application[[#This Row],[CHANGED ON]]</f>
        <v>13.742928240739275</v>
      </c>
    </row>
    <row r="1385" spans="1:14" x14ac:dyDescent="0.35">
      <c r="A1385">
        <v>1021</v>
      </c>
      <c r="B1385" t="s">
        <v>75</v>
      </c>
      <c r="C1385" s="1">
        <v>45191.257071759261</v>
      </c>
      <c r="D1385" t="str">
        <f ca="1">VLOOKUP(qry_ProdData2_PDI_Cash_Exception_Application[[#This Row],[TYPE]],#REF!,2,FALSE)</f>
        <v>type40</v>
      </c>
      <c r="E1385">
        <v>-1115.8699999999999</v>
      </c>
      <c r="F1385" t="s">
        <v>48</v>
      </c>
      <c r="G1385" s="1">
        <f>qry_ProdData2_PDI_Cash_Exception_Application[[#This Row],[INSERT DATE]]+1</f>
        <v>45192.257071759261</v>
      </c>
      <c r="H1385" t="str">
        <f>VLOOKUP(qry_ProdData2_PDI_Cash_Exception_Application[[#This Row],[MARKET No]],'Site Allocation'!$B$2:$C$37,2,FALSE)</f>
        <v>Analyst4</v>
      </c>
      <c r="I1385" s="4">
        <f t="shared" ca="1" si="21"/>
        <v>45203</v>
      </c>
      <c r="J1385" s="42">
        <f ca="1">TODAY()-qry_ProdData2_PDI_Cash_Exception_Application[[#This Row],[INSERT DATE]]</f>
        <v>11.742928240739275</v>
      </c>
      <c r="K13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85">
        <f ca="1">qry_ProdData2_PDI_Cash_Exception_Application[[#This Row],[TODAY]]-qry_ProdData2_PDI_Cash_Exception_Application[[#This Row],[CHANGED ON]]</f>
        <v>10.742928240739275</v>
      </c>
      <c r="M1385">
        <f ca="1">qry_ProdData2_PDI_Cash_Exception_Application[[#This Row],[TODAY]]-qry_ProdData2_PDI_Cash_Exception_Application[[#This Row],[CHANGED ON]]</f>
        <v>10.742928240739275</v>
      </c>
      <c r="N1385">
        <f ca="1">qry_ProdData2_PDI_Cash_Exception_Application[[#This Row],[TODAY]]-qry_ProdData2_PDI_Cash_Exception_Application[[#This Row],[CHANGED ON]]</f>
        <v>10.742928240739275</v>
      </c>
    </row>
    <row r="1386" spans="1:14" x14ac:dyDescent="0.35">
      <c r="A1386">
        <v>1017</v>
      </c>
      <c r="B1386" t="s">
        <v>71</v>
      </c>
      <c r="C1386" s="1">
        <v>45187.257071759261</v>
      </c>
      <c r="D1386" t="str">
        <f ca="1">VLOOKUP(qry_ProdData2_PDI_Cash_Exception_Application[[#This Row],[TYPE]],#REF!,2,FALSE)</f>
        <v>type32</v>
      </c>
      <c r="E1386">
        <v>34908.6</v>
      </c>
      <c r="F1386" t="s">
        <v>49</v>
      </c>
      <c r="G1386" s="1">
        <f>qry_ProdData2_PDI_Cash_Exception_Application[[#This Row],[INSERT DATE]]+7</f>
        <v>45194.257071759261</v>
      </c>
      <c r="H1386" t="str">
        <f>VLOOKUP(qry_ProdData2_PDI_Cash_Exception_Application[[#This Row],[MARKET No]],'Site Allocation'!$B$2:$C$37,2,FALSE)</f>
        <v>Analyst3</v>
      </c>
      <c r="I1386" s="4">
        <f t="shared" ca="1" si="21"/>
        <v>45203</v>
      </c>
      <c r="J1386" s="42">
        <f ca="1">TODAY()-qry_ProdData2_PDI_Cash_Exception_Application[[#This Row],[INSERT DATE]]</f>
        <v>15.742928240739275</v>
      </c>
      <c r="K13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86">
        <f ca="1">qry_ProdData2_PDI_Cash_Exception_Application[[#This Row],[TODAY]]-qry_ProdData2_PDI_Cash_Exception_Application[[#This Row],[CHANGED ON]]</f>
        <v>8.7429282407392748</v>
      </c>
      <c r="M1386">
        <f ca="1">qry_ProdData2_PDI_Cash_Exception_Application[[#This Row],[TODAY]]-qry_ProdData2_PDI_Cash_Exception_Application[[#This Row],[CHANGED ON]]</f>
        <v>8.7429282407392748</v>
      </c>
      <c r="N1386">
        <f ca="1">qry_ProdData2_PDI_Cash_Exception_Application[[#This Row],[TODAY]]-qry_ProdData2_PDI_Cash_Exception_Application[[#This Row],[CHANGED ON]]</f>
        <v>8.7429282407392748</v>
      </c>
    </row>
    <row r="1387" spans="1:14" x14ac:dyDescent="0.35">
      <c r="A1387">
        <v>1010</v>
      </c>
      <c r="B1387" t="s">
        <v>64</v>
      </c>
      <c r="C1387" s="1">
        <v>45190.257071759261</v>
      </c>
      <c r="D1387" t="str">
        <f ca="1">VLOOKUP(qry_ProdData2_PDI_Cash_Exception_Application[[#This Row],[TYPE]],#REF!,2,FALSE)</f>
        <v>type40</v>
      </c>
      <c r="E1387">
        <v>33.049999999999997</v>
      </c>
      <c r="F1387" t="s">
        <v>47</v>
      </c>
      <c r="G1387" s="1">
        <f>qry_ProdData2_PDI_Cash_Exception_Application[[#This Row],[INSERT DATE]]+5</f>
        <v>45195.257071759261</v>
      </c>
      <c r="H1387" t="str">
        <f>VLOOKUP(qry_ProdData2_PDI_Cash_Exception_Application[[#This Row],[MARKET No]],'Site Allocation'!$B$2:$C$37,2,FALSE)</f>
        <v>Analyst2</v>
      </c>
      <c r="I1387" s="4">
        <f t="shared" ca="1" si="21"/>
        <v>45203</v>
      </c>
      <c r="J1387" s="42">
        <f ca="1">TODAY()-qry_ProdData2_PDI_Cash_Exception_Application[[#This Row],[INSERT DATE]]</f>
        <v>12.742928240739275</v>
      </c>
      <c r="K13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87">
        <f ca="1">qry_ProdData2_PDI_Cash_Exception_Application[[#This Row],[TODAY]]-qry_ProdData2_PDI_Cash_Exception_Application[[#This Row],[CHANGED ON]]</f>
        <v>7.7429282407392748</v>
      </c>
      <c r="M1387">
        <f ca="1">qry_ProdData2_PDI_Cash_Exception_Application[[#This Row],[TODAY]]-qry_ProdData2_PDI_Cash_Exception_Application[[#This Row],[CHANGED ON]]</f>
        <v>7.7429282407392748</v>
      </c>
      <c r="N1387">
        <f ca="1">qry_ProdData2_PDI_Cash_Exception_Application[[#This Row],[TODAY]]-qry_ProdData2_PDI_Cash_Exception_Application[[#This Row],[CHANGED ON]]</f>
        <v>7.7429282407392748</v>
      </c>
    </row>
    <row r="1388" spans="1:14" x14ac:dyDescent="0.35">
      <c r="A1388">
        <v>1021</v>
      </c>
      <c r="B1388" t="s">
        <v>75</v>
      </c>
      <c r="C1388" s="1">
        <v>45192.257071759261</v>
      </c>
      <c r="D1388" t="str">
        <f ca="1">VLOOKUP(qry_ProdData2_PDI_Cash_Exception_Application[[#This Row],[TYPE]],#REF!,2,FALSE)</f>
        <v>type40</v>
      </c>
      <c r="E1388">
        <v>-406.13</v>
      </c>
      <c r="F1388" t="s">
        <v>48</v>
      </c>
      <c r="G1388" s="1">
        <f>qry_ProdData2_PDI_Cash_Exception_Application[[#This Row],[INSERT DATE]]+1</f>
        <v>45193.257071759261</v>
      </c>
      <c r="H1388" t="str">
        <f>VLOOKUP(qry_ProdData2_PDI_Cash_Exception_Application[[#This Row],[MARKET No]],'Site Allocation'!$B$2:$C$37,2,FALSE)</f>
        <v>Analyst4</v>
      </c>
      <c r="I1388" s="4">
        <f t="shared" ca="1" si="21"/>
        <v>45203</v>
      </c>
      <c r="J1388" s="42">
        <f ca="1">TODAY()-qry_ProdData2_PDI_Cash_Exception_Application[[#This Row],[INSERT DATE]]</f>
        <v>10.742928240739275</v>
      </c>
      <c r="K13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88">
        <f ca="1">qry_ProdData2_PDI_Cash_Exception_Application[[#This Row],[TODAY]]-qry_ProdData2_PDI_Cash_Exception_Application[[#This Row],[CHANGED ON]]</f>
        <v>9.7429282407392748</v>
      </c>
      <c r="M1388">
        <f ca="1">qry_ProdData2_PDI_Cash_Exception_Application[[#This Row],[TODAY]]-qry_ProdData2_PDI_Cash_Exception_Application[[#This Row],[CHANGED ON]]</f>
        <v>9.7429282407392748</v>
      </c>
      <c r="N1388">
        <f ca="1">qry_ProdData2_PDI_Cash_Exception_Application[[#This Row],[TODAY]]-qry_ProdData2_PDI_Cash_Exception_Application[[#This Row],[CHANGED ON]]</f>
        <v>9.7429282407392748</v>
      </c>
    </row>
    <row r="1389" spans="1:14" x14ac:dyDescent="0.35">
      <c r="A1389">
        <v>1018</v>
      </c>
      <c r="B1389" t="s">
        <v>72</v>
      </c>
      <c r="C1389" s="1">
        <v>45191.257071759261</v>
      </c>
      <c r="D1389" t="str">
        <f ca="1">VLOOKUP(qry_ProdData2_PDI_Cash_Exception_Application[[#This Row],[TYPE]],#REF!,2,FALSE)</f>
        <v>type40</v>
      </c>
      <c r="E1389">
        <v>329.54</v>
      </c>
      <c r="F1389" t="s">
        <v>51</v>
      </c>
      <c r="G1389" s="1">
        <f>qry_ProdData2_PDI_Cash_Exception_Application[[#This Row],[INSERT DATE]]+5</f>
        <v>45196.257071759261</v>
      </c>
      <c r="H1389" t="str">
        <f>VLOOKUP(qry_ProdData2_PDI_Cash_Exception_Application[[#This Row],[MARKET No]],'Site Allocation'!$B$2:$C$37,2,FALSE)</f>
        <v>Analyst4</v>
      </c>
      <c r="I1389" s="4">
        <f t="shared" ca="1" si="21"/>
        <v>45203</v>
      </c>
      <c r="J1389" s="42">
        <f ca="1">TODAY()-qry_ProdData2_PDI_Cash_Exception_Application[[#This Row],[INSERT DATE]]</f>
        <v>11.742928240739275</v>
      </c>
      <c r="K13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89">
        <f ca="1">qry_ProdData2_PDI_Cash_Exception_Application[[#This Row],[TODAY]]-qry_ProdData2_PDI_Cash_Exception_Application[[#This Row],[CHANGED ON]]</f>
        <v>6.7429282407392748</v>
      </c>
      <c r="M1389">
        <f ca="1">qry_ProdData2_PDI_Cash_Exception_Application[[#This Row],[TODAY]]-qry_ProdData2_PDI_Cash_Exception_Application[[#This Row],[CHANGED ON]]</f>
        <v>6.7429282407392748</v>
      </c>
      <c r="N1389">
        <f ca="1">qry_ProdData2_PDI_Cash_Exception_Application[[#This Row],[TODAY]]-qry_ProdData2_PDI_Cash_Exception_Application[[#This Row],[CHANGED ON]]</f>
        <v>6.7429282407392748</v>
      </c>
    </row>
    <row r="1390" spans="1:14" x14ac:dyDescent="0.35">
      <c r="A1390">
        <v>1006</v>
      </c>
      <c r="B1390" t="s">
        <v>60</v>
      </c>
      <c r="C1390" s="1">
        <v>45180.257071759261</v>
      </c>
      <c r="D1390" t="str">
        <f ca="1">VLOOKUP(qry_ProdData2_PDI_Cash_Exception_Application[[#This Row],[TYPE]],#REF!,2,FALSE)</f>
        <v>type40</v>
      </c>
      <c r="E1390">
        <v>-489.53</v>
      </c>
      <c r="F1390" t="s">
        <v>47</v>
      </c>
      <c r="G1390" s="1">
        <f>qry_ProdData2_PDI_Cash_Exception_Application[[#This Row],[INSERT DATE]]+5</f>
        <v>45185.257071759261</v>
      </c>
      <c r="H1390" t="str">
        <f>VLOOKUP(qry_ProdData2_PDI_Cash_Exception_Application[[#This Row],[MARKET No]],'Site Allocation'!$B$2:$C$37,2,FALSE)</f>
        <v>Analyst2</v>
      </c>
      <c r="I1390" s="4">
        <f t="shared" ca="1" si="21"/>
        <v>45203</v>
      </c>
      <c r="J1390" s="42">
        <f ca="1">TODAY()-qry_ProdData2_PDI_Cash_Exception_Application[[#This Row],[INSERT DATE]]</f>
        <v>22.742928240739275</v>
      </c>
      <c r="K13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90">
        <f ca="1">qry_ProdData2_PDI_Cash_Exception_Application[[#This Row],[TODAY]]-qry_ProdData2_PDI_Cash_Exception_Application[[#This Row],[CHANGED ON]]</f>
        <v>17.742928240739275</v>
      </c>
      <c r="M1390">
        <f ca="1">qry_ProdData2_PDI_Cash_Exception_Application[[#This Row],[TODAY]]-qry_ProdData2_PDI_Cash_Exception_Application[[#This Row],[CHANGED ON]]</f>
        <v>17.742928240739275</v>
      </c>
      <c r="N1390">
        <f ca="1">qry_ProdData2_PDI_Cash_Exception_Application[[#This Row],[TODAY]]-qry_ProdData2_PDI_Cash_Exception_Application[[#This Row],[CHANGED ON]]</f>
        <v>17.742928240739275</v>
      </c>
    </row>
    <row r="1391" spans="1:14" x14ac:dyDescent="0.35">
      <c r="A1391">
        <v>1020</v>
      </c>
      <c r="B1391" t="s">
        <v>74</v>
      </c>
      <c r="C1391" s="1">
        <v>45180.257071759261</v>
      </c>
      <c r="D1391" t="str">
        <f ca="1">VLOOKUP(qry_ProdData2_PDI_Cash_Exception_Application[[#This Row],[TYPE]],#REF!,2,FALSE)</f>
        <v>type40</v>
      </c>
      <c r="E1391">
        <v>7713.21</v>
      </c>
      <c r="F1391" t="s">
        <v>48</v>
      </c>
      <c r="G1391" s="1">
        <f>qry_ProdData2_PDI_Cash_Exception_Application[[#This Row],[INSERT DATE]]+1</f>
        <v>45181.257071759261</v>
      </c>
      <c r="H1391" t="str">
        <f>VLOOKUP(qry_ProdData2_PDI_Cash_Exception_Application[[#This Row],[MARKET No]],'Site Allocation'!$B$2:$C$37,2,FALSE)</f>
        <v>Analyst4</v>
      </c>
      <c r="I1391" s="4">
        <f t="shared" ca="1" si="21"/>
        <v>45203</v>
      </c>
      <c r="J1391" s="42">
        <f ca="1">TODAY()-qry_ProdData2_PDI_Cash_Exception_Application[[#This Row],[INSERT DATE]]</f>
        <v>22.742928240739275</v>
      </c>
      <c r="K13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91">
        <f ca="1">qry_ProdData2_PDI_Cash_Exception_Application[[#This Row],[TODAY]]-qry_ProdData2_PDI_Cash_Exception_Application[[#This Row],[CHANGED ON]]</f>
        <v>21.742928240739275</v>
      </c>
      <c r="M1391">
        <f ca="1">qry_ProdData2_PDI_Cash_Exception_Application[[#This Row],[TODAY]]-qry_ProdData2_PDI_Cash_Exception_Application[[#This Row],[CHANGED ON]]</f>
        <v>21.742928240739275</v>
      </c>
      <c r="N1391">
        <f ca="1">qry_ProdData2_PDI_Cash_Exception_Application[[#This Row],[TODAY]]-qry_ProdData2_PDI_Cash_Exception_Application[[#This Row],[CHANGED ON]]</f>
        <v>21.742928240739275</v>
      </c>
    </row>
    <row r="1392" spans="1:14" x14ac:dyDescent="0.35">
      <c r="A1392">
        <v>1005</v>
      </c>
      <c r="B1392" t="s">
        <v>59</v>
      </c>
      <c r="C1392" s="1">
        <v>45188.257071759261</v>
      </c>
      <c r="D1392" t="str">
        <f ca="1">VLOOKUP(qry_ProdData2_PDI_Cash_Exception_Application[[#This Row],[TYPE]],#REF!,2,FALSE)</f>
        <v>type29</v>
      </c>
      <c r="E1392">
        <v>312.24</v>
      </c>
      <c r="F1392" t="s">
        <v>51</v>
      </c>
      <c r="G1392" s="1">
        <f>qry_ProdData2_PDI_Cash_Exception_Application[[#This Row],[INSERT DATE]]+7</f>
        <v>45195.257071759261</v>
      </c>
      <c r="H1392" t="str">
        <f>VLOOKUP(qry_ProdData2_PDI_Cash_Exception_Application[[#This Row],[MARKET No]],'Site Allocation'!$B$2:$C$37,2,FALSE)</f>
        <v>Analyst1</v>
      </c>
      <c r="I1392" s="4">
        <f t="shared" ca="1" si="21"/>
        <v>45203</v>
      </c>
      <c r="J1392" s="42">
        <f ca="1">TODAY()-qry_ProdData2_PDI_Cash_Exception_Application[[#This Row],[INSERT DATE]]</f>
        <v>14.742928240739275</v>
      </c>
      <c r="K13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92">
        <f ca="1">qry_ProdData2_PDI_Cash_Exception_Application[[#This Row],[TODAY]]-qry_ProdData2_PDI_Cash_Exception_Application[[#This Row],[CHANGED ON]]</f>
        <v>7.7429282407392748</v>
      </c>
      <c r="M1392">
        <f ca="1">qry_ProdData2_PDI_Cash_Exception_Application[[#This Row],[TODAY]]-qry_ProdData2_PDI_Cash_Exception_Application[[#This Row],[CHANGED ON]]</f>
        <v>7.7429282407392748</v>
      </c>
      <c r="N1392">
        <f ca="1">qry_ProdData2_PDI_Cash_Exception_Application[[#This Row],[TODAY]]-qry_ProdData2_PDI_Cash_Exception_Application[[#This Row],[CHANGED ON]]</f>
        <v>7.7429282407392748</v>
      </c>
    </row>
    <row r="1393" spans="1:14" x14ac:dyDescent="0.35">
      <c r="A1393">
        <v>1012</v>
      </c>
      <c r="B1393" t="s">
        <v>66</v>
      </c>
      <c r="C1393" s="1">
        <v>45184.257071759261</v>
      </c>
      <c r="D1393" t="str">
        <f ca="1">VLOOKUP(qry_ProdData2_PDI_Cash_Exception_Application[[#This Row],[TYPE]],#REF!,2,FALSE)</f>
        <v>type40</v>
      </c>
      <c r="E1393">
        <v>-442.82</v>
      </c>
      <c r="F1393" t="s">
        <v>47</v>
      </c>
      <c r="G1393" s="1">
        <f>qry_ProdData2_PDI_Cash_Exception_Application[[#This Row],[INSERT DATE]]+7</f>
        <v>45191.257071759261</v>
      </c>
      <c r="H1393" t="str">
        <f>VLOOKUP(qry_ProdData2_PDI_Cash_Exception_Application[[#This Row],[MARKET No]],'Site Allocation'!$B$2:$C$37,2,FALSE)</f>
        <v>Analyst3</v>
      </c>
      <c r="I1393" s="4">
        <f t="shared" ca="1" si="21"/>
        <v>45203</v>
      </c>
      <c r="J1393" s="42">
        <f ca="1">TODAY()-qry_ProdData2_PDI_Cash_Exception_Application[[#This Row],[INSERT DATE]]</f>
        <v>18.742928240739275</v>
      </c>
      <c r="K13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93">
        <f ca="1">qry_ProdData2_PDI_Cash_Exception_Application[[#This Row],[TODAY]]-qry_ProdData2_PDI_Cash_Exception_Application[[#This Row],[CHANGED ON]]</f>
        <v>11.742928240739275</v>
      </c>
      <c r="M1393">
        <f ca="1">qry_ProdData2_PDI_Cash_Exception_Application[[#This Row],[TODAY]]-qry_ProdData2_PDI_Cash_Exception_Application[[#This Row],[CHANGED ON]]</f>
        <v>11.742928240739275</v>
      </c>
      <c r="N1393">
        <f ca="1">qry_ProdData2_PDI_Cash_Exception_Application[[#This Row],[TODAY]]-qry_ProdData2_PDI_Cash_Exception_Application[[#This Row],[CHANGED ON]]</f>
        <v>11.742928240739275</v>
      </c>
    </row>
    <row r="1394" spans="1:14" x14ac:dyDescent="0.35">
      <c r="A1394">
        <v>1016</v>
      </c>
      <c r="B1394" t="s">
        <v>70</v>
      </c>
      <c r="C1394" s="1">
        <v>45186.257071759261</v>
      </c>
      <c r="D1394" t="str">
        <f ca="1">VLOOKUP(qry_ProdData2_PDI_Cash_Exception_Application[[#This Row],[TYPE]],#REF!,2,FALSE)</f>
        <v>type40</v>
      </c>
      <c r="E1394">
        <v>-409.12</v>
      </c>
      <c r="F1394" t="s">
        <v>47</v>
      </c>
      <c r="G1394" s="1">
        <f>qry_ProdData2_PDI_Cash_Exception_Application[[#This Row],[INSERT DATE]]+7</f>
        <v>45193.257071759261</v>
      </c>
      <c r="H1394" t="str">
        <f>VLOOKUP(qry_ProdData2_PDI_Cash_Exception_Application[[#This Row],[MARKET No]],'Site Allocation'!$B$2:$C$37,2,FALSE)</f>
        <v>Analyst3</v>
      </c>
      <c r="I1394" s="4">
        <f t="shared" ca="1" si="21"/>
        <v>45203</v>
      </c>
      <c r="J1394" s="42">
        <f ca="1">TODAY()-qry_ProdData2_PDI_Cash_Exception_Application[[#This Row],[INSERT DATE]]</f>
        <v>16.742928240739275</v>
      </c>
      <c r="K13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94">
        <f ca="1">qry_ProdData2_PDI_Cash_Exception_Application[[#This Row],[TODAY]]-qry_ProdData2_PDI_Cash_Exception_Application[[#This Row],[CHANGED ON]]</f>
        <v>9.7429282407392748</v>
      </c>
      <c r="M1394">
        <f ca="1">qry_ProdData2_PDI_Cash_Exception_Application[[#This Row],[TODAY]]-qry_ProdData2_PDI_Cash_Exception_Application[[#This Row],[CHANGED ON]]</f>
        <v>9.7429282407392748</v>
      </c>
      <c r="N1394">
        <f ca="1">qry_ProdData2_PDI_Cash_Exception_Application[[#This Row],[TODAY]]-qry_ProdData2_PDI_Cash_Exception_Application[[#This Row],[CHANGED ON]]</f>
        <v>9.7429282407392748</v>
      </c>
    </row>
    <row r="1395" spans="1:14" x14ac:dyDescent="0.35">
      <c r="A1395">
        <v>1011</v>
      </c>
      <c r="B1395" t="s">
        <v>65</v>
      </c>
      <c r="C1395" s="1">
        <v>45187.257071759261</v>
      </c>
      <c r="D1395" t="str">
        <f ca="1">VLOOKUP(qry_ProdData2_PDI_Cash_Exception_Application[[#This Row],[TYPE]],#REF!,2,FALSE)</f>
        <v>type40</v>
      </c>
      <c r="E1395">
        <v>428.19</v>
      </c>
      <c r="F1395" t="s">
        <v>47</v>
      </c>
      <c r="G1395" s="1">
        <f>qry_ProdData2_PDI_Cash_Exception_Application[[#This Row],[INSERT DATE]]+7</f>
        <v>45194.257071759261</v>
      </c>
      <c r="H1395" t="str">
        <f>VLOOKUP(qry_ProdData2_PDI_Cash_Exception_Application[[#This Row],[MARKET No]],'Site Allocation'!$B$2:$C$37,2,FALSE)</f>
        <v>Analyst2</v>
      </c>
      <c r="I1395" s="4">
        <f t="shared" ca="1" si="21"/>
        <v>45203</v>
      </c>
      <c r="J1395" s="42">
        <f ca="1">TODAY()-qry_ProdData2_PDI_Cash_Exception_Application[[#This Row],[INSERT DATE]]</f>
        <v>15.742928240739275</v>
      </c>
      <c r="K13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95">
        <f ca="1">qry_ProdData2_PDI_Cash_Exception_Application[[#This Row],[TODAY]]-qry_ProdData2_PDI_Cash_Exception_Application[[#This Row],[CHANGED ON]]</f>
        <v>8.7429282407392748</v>
      </c>
      <c r="M1395">
        <f ca="1">qry_ProdData2_PDI_Cash_Exception_Application[[#This Row],[TODAY]]-qry_ProdData2_PDI_Cash_Exception_Application[[#This Row],[CHANGED ON]]</f>
        <v>8.7429282407392748</v>
      </c>
      <c r="N1395">
        <f ca="1">qry_ProdData2_PDI_Cash_Exception_Application[[#This Row],[TODAY]]-qry_ProdData2_PDI_Cash_Exception_Application[[#This Row],[CHANGED ON]]</f>
        <v>8.7429282407392748</v>
      </c>
    </row>
    <row r="1396" spans="1:14" x14ac:dyDescent="0.35">
      <c r="A1396">
        <v>1026</v>
      </c>
      <c r="B1396" t="s">
        <v>80</v>
      </c>
      <c r="C1396" s="1">
        <v>45190.257071759261</v>
      </c>
      <c r="D1396" t="str">
        <f ca="1">VLOOKUP(qry_ProdData2_PDI_Cash_Exception_Application[[#This Row],[TYPE]],#REF!,2,FALSE)</f>
        <v>type40</v>
      </c>
      <c r="E1396">
        <v>-483.5</v>
      </c>
      <c r="F1396" t="s">
        <v>52</v>
      </c>
      <c r="G1396" s="1">
        <f>qry_ProdData2_PDI_Cash_Exception_Application[[#This Row],[INSERT DATE]]+5</f>
        <v>45195.257071759261</v>
      </c>
      <c r="H1396" t="str">
        <f>VLOOKUP(qry_ProdData2_PDI_Cash_Exception_Application[[#This Row],[MARKET No]],'Site Allocation'!$B$2:$C$37,2,FALSE)</f>
        <v>Analyst5</v>
      </c>
      <c r="I1396" s="4">
        <f t="shared" ca="1" si="21"/>
        <v>45203</v>
      </c>
      <c r="J1396" s="42">
        <f ca="1">TODAY()-qry_ProdData2_PDI_Cash_Exception_Application[[#This Row],[INSERT DATE]]</f>
        <v>12.742928240739275</v>
      </c>
      <c r="K13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96">
        <f ca="1">qry_ProdData2_PDI_Cash_Exception_Application[[#This Row],[TODAY]]-qry_ProdData2_PDI_Cash_Exception_Application[[#This Row],[CHANGED ON]]</f>
        <v>7.7429282407392748</v>
      </c>
      <c r="M1396">
        <f ca="1">qry_ProdData2_PDI_Cash_Exception_Application[[#This Row],[TODAY]]-qry_ProdData2_PDI_Cash_Exception_Application[[#This Row],[CHANGED ON]]</f>
        <v>7.7429282407392748</v>
      </c>
      <c r="N1396">
        <f ca="1">qry_ProdData2_PDI_Cash_Exception_Application[[#This Row],[TODAY]]-qry_ProdData2_PDI_Cash_Exception_Application[[#This Row],[CHANGED ON]]</f>
        <v>7.7429282407392748</v>
      </c>
    </row>
    <row r="1397" spans="1:14" x14ac:dyDescent="0.35">
      <c r="A1397">
        <v>1001</v>
      </c>
      <c r="B1397" t="s">
        <v>55</v>
      </c>
      <c r="C1397" s="1">
        <v>45188.257071759261</v>
      </c>
      <c r="D1397" t="str">
        <f ca="1">VLOOKUP(qry_ProdData2_PDI_Cash_Exception_Application[[#This Row],[TYPE]],#REF!,2,FALSE)</f>
        <v>type40</v>
      </c>
      <c r="E1397">
        <v>1797.6</v>
      </c>
      <c r="F1397" t="s">
        <v>47</v>
      </c>
      <c r="G1397" s="1">
        <f>qry_ProdData2_PDI_Cash_Exception_Application[[#This Row],[INSERT DATE]]+7</f>
        <v>45195.257071759261</v>
      </c>
      <c r="H1397" t="str">
        <f>VLOOKUP(qry_ProdData2_PDI_Cash_Exception_Application[[#This Row],[MARKET No]],'Site Allocation'!$B$2:$C$37,2,FALSE)</f>
        <v>Analyst1</v>
      </c>
      <c r="I1397" s="4">
        <f t="shared" ca="1" si="21"/>
        <v>45203</v>
      </c>
      <c r="J1397" s="42">
        <f ca="1">TODAY()-qry_ProdData2_PDI_Cash_Exception_Application[[#This Row],[INSERT DATE]]</f>
        <v>14.742928240739275</v>
      </c>
      <c r="K13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97">
        <f ca="1">qry_ProdData2_PDI_Cash_Exception_Application[[#This Row],[TODAY]]-qry_ProdData2_PDI_Cash_Exception_Application[[#This Row],[CHANGED ON]]</f>
        <v>7.7429282407392748</v>
      </c>
      <c r="M1397">
        <f ca="1">qry_ProdData2_PDI_Cash_Exception_Application[[#This Row],[TODAY]]-qry_ProdData2_PDI_Cash_Exception_Application[[#This Row],[CHANGED ON]]</f>
        <v>7.7429282407392748</v>
      </c>
      <c r="N1397">
        <f ca="1">qry_ProdData2_PDI_Cash_Exception_Application[[#This Row],[TODAY]]-qry_ProdData2_PDI_Cash_Exception_Application[[#This Row],[CHANGED ON]]</f>
        <v>7.7429282407392748</v>
      </c>
    </row>
    <row r="1398" spans="1:14" x14ac:dyDescent="0.35">
      <c r="A1398">
        <v>1026</v>
      </c>
      <c r="B1398" t="s">
        <v>80</v>
      </c>
      <c r="C1398" s="1">
        <v>45189.257071759261</v>
      </c>
      <c r="D1398" t="str">
        <f ca="1">VLOOKUP(qry_ProdData2_PDI_Cash_Exception_Application[[#This Row],[TYPE]],#REF!,2,FALSE)</f>
        <v>type13</v>
      </c>
      <c r="E1398">
        <v>20521.849999999999</v>
      </c>
      <c r="F1398" t="s">
        <v>49</v>
      </c>
      <c r="G1398" s="1">
        <f>qry_ProdData2_PDI_Cash_Exception_Application[[#This Row],[INSERT DATE]]+7</f>
        <v>45196.257071759261</v>
      </c>
      <c r="H1398" t="str">
        <f>VLOOKUP(qry_ProdData2_PDI_Cash_Exception_Application[[#This Row],[MARKET No]],'Site Allocation'!$B$2:$C$37,2,FALSE)</f>
        <v>Analyst5</v>
      </c>
      <c r="I1398" s="4">
        <f t="shared" ca="1" si="21"/>
        <v>45203</v>
      </c>
      <c r="J1398" s="42">
        <f ca="1">TODAY()-qry_ProdData2_PDI_Cash_Exception_Application[[#This Row],[INSERT DATE]]</f>
        <v>13.742928240739275</v>
      </c>
      <c r="K13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98">
        <f ca="1">qry_ProdData2_PDI_Cash_Exception_Application[[#This Row],[TODAY]]-qry_ProdData2_PDI_Cash_Exception_Application[[#This Row],[CHANGED ON]]</f>
        <v>6.7429282407392748</v>
      </c>
      <c r="M1398">
        <f ca="1">qry_ProdData2_PDI_Cash_Exception_Application[[#This Row],[TODAY]]-qry_ProdData2_PDI_Cash_Exception_Application[[#This Row],[CHANGED ON]]</f>
        <v>6.7429282407392748</v>
      </c>
      <c r="N1398">
        <f ca="1">qry_ProdData2_PDI_Cash_Exception_Application[[#This Row],[TODAY]]-qry_ProdData2_PDI_Cash_Exception_Application[[#This Row],[CHANGED ON]]</f>
        <v>6.7429282407392748</v>
      </c>
    </row>
    <row r="1399" spans="1:14" x14ac:dyDescent="0.35">
      <c r="A1399">
        <v>1022</v>
      </c>
      <c r="B1399" t="s">
        <v>76</v>
      </c>
      <c r="C1399" s="1">
        <v>45185.257071759261</v>
      </c>
      <c r="D1399" t="str">
        <f ca="1">VLOOKUP(qry_ProdData2_PDI_Cash_Exception_Application[[#This Row],[TYPE]],#REF!,2,FALSE)</f>
        <v>type40</v>
      </c>
      <c r="E1399">
        <v>-2548.94</v>
      </c>
      <c r="F1399" t="s">
        <v>47</v>
      </c>
      <c r="G1399" s="1">
        <f>qry_ProdData2_PDI_Cash_Exception_Application[[#This Row],[INSERT DATE]]+1</f>
        <v>45186.257071759261</v>
      </c>
      <c r="H1399" t="str">
        <f>VLOOKUP(qry_ProdData2_PDI_Cash_Exception_Application[[#This Row],[MARKET No]],'Site Allocation'!$B$2:$C$37,2,FALSE)</f>
        <v>Analyst4</v>
      </c>
      <c r="I1399" s="4">
        <f t="shared" ca="1" si="21"/>
        <v>45203</v>
      </c>
      <c r="J1399" s="42">
        <f ca="1">TODAY()-qry_ProdData2_PDI_Cash_Exception_Application[[#This Row],[INSERT DATE]]</f>
        <v>17.742928240739275</v>
      </c>
      <c r="K13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399">
        <f ca="1">qry_ProdData2_PDI_Cash_Exception_Application[[#This Row],[TODAY]]-qry_ProdData2_PDI_Cash_Exception_Application[[#This Row],[CHANGED ON]]</f>
        <v>16.742928240739275</v>
      </c>
      <c r="M1399">
        <f ca="1">qry_ProdData2_PDI_Cash_Exception_Application[[#This Row],[TODAY]]-qry_ProdData2_PDI_Cash_Exception_Application[[#This Row],[CHANGED ON]]</f>
        <v>16.742928240739275</v>
      </c>
      <c r="N1399">
        <f ca="1">qry_ProdData2_PDI_Cash_Exception_Application[[#This Row],[TODAY]]-qry_ProdData2_PDI_Cash_Exception_Application[[#This Row],[CHANGED ON]]</f>
        <v>16.742928240739275</v>
      </c>
    </row>
    <row r="1400" spans="1:14" x14ac:dyDescent="0.35">
      <c r="A1400">
        <v>1007</v>
      </c>
      <c r="B1400" t="s">
        <v>61</v>
      </c>
      <c r="C1400" s="1">
        <v>45183.257071759261</v>
      </c>
      <c r="D1400" t="str">
        <f ca="1">VLOOKUP(qry_ProdData2_PDI_Cash_Exception_Application[[#This Row],[TYPE]],#REF!,2,FALSE)</f>
        <v>type40</v>
      </c>
      <c r="E1400">
        <v>7</v>
      </c>
      <c r="F1400" t="s">
        <v>51</v>
      </c>
      <c r="G1400" s="1">
        <f>qry_ProdData2_PDI_Cash_Exception_Application[[#This Row],[INSERT DATE]]+1</f>
        <v>45184.257071759261</v>
      </c>
      <c r="H1400" t="str">
        <f>VLOOKUP(qry_ProdData2_PDI_Cash_Exception_Application[[#This Row],[MARKET No]],'Site Allocation'!$B$2:$C$37,2,FALSE)</f>
        <v>Analyst2</v>
      </c>
      <c r="I1400" s="4">
        <f t="shared" ca="1" si="21"/>
        <v>45203</v>
      </c>
      <c r="J1400" s="42">
        <f ca="1">TODAY()-qry_ProdData2_PDI_Cash_Exception_Application[[#This Row],[INSERT DATE]]</f>
        <v>19.742928240739275</v>
      </c>
      <c r="K14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00">
        <f ca="1">qry_ProdData2_PDI_Cash_Exception_Application[[#This Row],[TODAY]]-qry_ProdData2_PDI_Cash_Exception_Application[[#This Row],[CHANGED ON]]</f>
        <v>18.742928240739275</v>
      </c>
      <c r="M1400">
        <f ca="1">qry_ProdData2_PDI_Cash_Exception_Application[[#This Row],[TODAY]]-qry_ProdData2_PDI_Cash_Exception_Application[[#This Row],[CHANGED ON]]</f>
        <v>18.742928240739275</v>
      </c>
      <c r="N1400">
        <f ca="1">qry_ProdData2_PDI_Cash_Exception_Application[[#This Row],[TODAY]]-qry_ProdData2_PDI_Cash_Exception_Application[[#This Row],[CHANGED ON]]</f>
        <v>18.742928240739275</v>
      </c>
    </row>
    <row r="1401" spans="1:14" x14ac:dyDescent="0.35">
      <c r="A1401">
        <v>1016</v>
      </c>
      <c r="B1401" t="s">
        <v>70</v>
      </c>
      <c r="C1401" s="1">
        <v>45190.257071759261</v>
      </c>
      <c r="D1401" t="str">
        <f ca="1">VLOOKUP(qry_ProdData2_PDI_Cash_Exception_Application[[#This Row],[TYPE]],#REF!,2,FALSE)</f>
        <v>type40</v>
      </c>
      <c r="E1401">
        <v>125.52</v>
      </c>
      <c r="F1401" t="s">
        <v>47</v>
      </c>
      <c r="G1401" s="1">
        <f>qry_ProdData2_PDI_Cash_Exception_Application[[#This Row],[INSERT DATE]]+1</f>
        <v>45191.257071759261</v>
      </c>
      <c r="H1401" t="str">
        <f>VLOOKUP(qry_ProdData2_PDI_Cash_Exception_Application[[#This Row],[MARKET No]],'Site Allocation'!$B$2:$C$37,2,FALSE)</f>
        <v>Analyst3</v>
      </c>
      <c r="I1401" s="4">
        <f t="shared" ca="1" si="21"/>
        <v>45203</v>
      </c>
      <c r="J1401" s="42">
        <f ca="1">TODAY()-qry_ProdData2_PDI_Cash_Exception_Application[[#This Row],[INSERT DATE]]</f>
        <v>12.742928240739275</v>
      </c>
      <c r="K14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01">
        <f ca="1">qry_ProdData2_PDI_Cash_Exception_Application[[#This Row],[TODAY]]-qry_ProdData2_PDI_Cash_Exception_Application[[#This Row],[CHANGED ON]]</f>
        <v>11.742928240739275</v>
      </c>
      <c r="M1401">
        <f ca="1">qry_ProdData2_PDI_Cash_Exception_Application[[#This Row],[TODAY]]-qry_ProdData2_PDI_Cash_Exception_Application[[#This Row],[CHANGED ON]]</f>
        <v>11.742928240739275</v>
      </c>
      <c r="N1401">
        <f ca="1">qry_ProdData2_PDI_Cash_Exception_Application[[#This Row],[TODAY]]-qry_ProdData2_PDI_Cash_Exception_Application[[#This Row],[CHANGED ON]]</f>
        <v>11.742928240739275</v>
      </c>
    </row>
    <row r="1402" spans="1:14" x14ac:dyDescent="0.35">
      <c r="A1402">
        <v>1008</v>
      </c>
      <c r="B1402" t="s">
        <v>62</v>
      </c>
      <c r="C1402" s="1">
        <v>45195.257071759261</v>
      </c>
      <c r="D1402" t="str">
        <f ca="1">VLOOKUP(qry_ProdData2_PDI_Cash_Exception_Application[[#This Row],[TYPE]],#REF!,2,FALSE)</f>
        <v>type40</v>
      </c>
      <c r="E1402">
        <v>92.8</v>
      </c>
      <c r="F1402" t="s">
        <v>50</v>
      </c>
      <c r="G1402" s="1">
        <f>qry_ProdData2_PDI_Cash_Exception_Application[[#This Row],[INSERT DATE]]+7</f>
        <v>45202.257071759261</v>
      </c>
      <c r="H1402" t="str">
        <f>VLOOKUP(qry_ProdData2_PDI_Cash_Exception_Application[[#This Row],[MARKET No]],'Site Allocation'!$B$2:$C$37,2,FALSE)</f>
        <v>Analyst2</v>
      </c>
      <c r="I1402" s="4">
        <f t="shared" ca="1" si="21"/>
        <v>45203</v>
      </c>
      <c r="J1402" s="42">
        <f ca="1">TODAY()-qry_ProdData2_PDI_Cash_Exception_Application[[#This Row],[INSERT DATE]]</f>
        <v>7.7429282407392748</v>
      </c>
      <c r="K14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402">
        <f ca="1">qry_ProdData2_PDI_Cash_Exception_Application[[#This Row],[TODAY]]-qry_ProdData2_PDI_Cash_Exception_Application[[#This Row],[CHANGED ON]]</f>
        <v>0.74292824073927477</v>
      </c>
      <c r="M1402">
        <f ca="1">qry_ProdData2_PDI_Cash_Exception_Application[[#This Row],[TODAY]]-qry_ProdData2_PDI_Cash_Exception_Application[[#This Row],[CHANGED ON]]</f>
        <v>0.74292824073927477</v>
      </c>
      <c r="N1402">
        <f ca="1">qry_ProdData2_PDI_Cash_Exception_Application[[#This Row],[TODAY]]-qry_ProdData2_PDI_Cash_Exception_Application[[#This Row],[CHANGED ON]]</f>
        <v>0.74292824073927477</v>
      </c>
    </row>
    <row r="1403" spans="1:14" x14ac:dyDescent="0.35">
      <c r="A1403">
        <v>1004</v>
      </c>
      <c r="B1403" t="s">
        <v>58</v>
      </c>
      <c r="C1403" s="1">
        <v>45191.257071759261</v>
      </c>
      <c r="D1403" t="str">
        <f ca="1">VLOOKUP(qry_ProdData2_PDI_Cash_Exception_Application[[#This Row],[TYPE]],#REF!,2,FALSE)</f>
        <v>type40</v>
      </c>
      <c r="E1403">
        <v>2181.2199999999998</v>
      </c>
      <c r="F1403" t="s">
        <v>47</v>
      </c>
      <c r="G1403" s="1">
        <f>qry_ProdData2_PDI_Cash_Exception_Application[[#This Row],[INSERT DATE]]+1</f>
        <v>45192.257071759261</v>
      </c>
      <c r="H1403" t="str">
        <f>VLOOKUP(qry_ProdData2_PDI_Cash_Exception_Application[[#This Row],[MARKET No]],'Site Allocation'!$B$2:$C$37,2,FALSE)</f>
        <v>Analyst1</v>
      </c>
      <c r="I1403" s="4">
        <f t="shared" ca="1" si="21"/>
        <v>45203</v>
      </c>
      <c r="J1403" s="42">
        <f ca="1">TODAY()-qry_ProdData2_PDI_Cash_Exception_Application[[#This Row],[INSERT DATE]]</f>
        <v>11.742928240739275</v>
      </c>
      <c r="K14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03">
        <f ca="1">qry_ProdData2_PDI_Cash_Exception_Application[[#This Row],[TODAY]]-qry_ProdData2_PDI_Cash_Exception_Application[[#This Row],[CHANGED ON]]</f>
        <v>10.742928240739275</v>
      </c>
      <c r="M1403">
        <f ca="1">qry_ProdData2_PDI_Cash_Exception_Application[[#This Row],[TODAY]]-qry_ProdData2_PDI_Cash_Exception_Application[[#This Row],[CHANGED ON]]</f>
        <v>10.742928240739275</v>
      </c>
      <c r="N1403">
        <f ca="1">qry_ProdData2_PDI_Cash_Exception_Application[[#This Row],[TODAY]]-qry_ProdData2_PDI_Cash_Exception_Application[[#This Row],[CHANGED ON]]</f>
        <v>10.742928240739275</v>
      </c>
    </row>
    <row r="1404" spans="1:14" x14ac:dyDescent="0.35">
      <c r="A1404">
        <v>1005</v>
      </c>
      <c r="B1404" t="s">
        <v>59</v>
      </c>
      <c r="C1404" s="1">
        <v>45197.257071759261</v>
      </c>
      <c r="D1404" t="str">
        <f ca="1">VLOOKUP(qry_ProdData2_PDI_Cash_Exception_Application[[#This Row],[TYPE]],#REF!,2,FALSE)</f>
        <v>type40</v>
      </c>
      <c r="E1404">
        <v>-5624.93</v>
      </c>
      <c r="F1404" t="s">
        <v>50</v>
      </c>
      <c r="G1404" s="1">
        <f>qry_ProdData2_PDI_Cash_Exception_Application[[#This Row],[INSERT DATE]]+7</f>
        <v>45204.257071759261</v>
      </c>
      <c r="H1404" t="str">
        <f>VLOOKUP(qry_ProdData2_PDI_Cash_Exception_Application[[#This Row],[MARKET No]],'Site Allocation'!$B$2:$C$37,2,FALSE)</f>
        <v>Analyst1</v>
      </c>
      <c r="I1404" s="4">
        <f t="shared" ca="1" si="21"/>
        <v>45203</v>
      </c>
      <c r="J1404" s="42">
        <f ca="1">TODAY()-qry_ProdData2_PDI_Cash_Exception_Application[[#This Row],[INSERT DATE]]</f>
        <v>5.7429282407392748</v>
      </c>
      <c r="K14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404">
        <f ca="1">qry_ProdData2_PDI_Cash_Exception_Application[[#This Row],[TODAY]]-qry_ProdData2_PDI_Cash_Exception_Application[[#This Row],[CHANGED ON]]</f>
        <v>-1.2570717592607252</v>
      </c>
      <c r="M1404">
        <f ca="1">qry_ProdData2_PDI_Cash_Exception_Application[[#This Row],[TODAY]]-qry_ProdData2_PDI_Cash_Exception_Application[[#This Row],[CHANGED ON]]</f>
        <v>-1.2570717592607252</v>
      </c>
      <c r="N1404">
        <f ca="1">qry_ProdData2_PDI_Cash_Exception_Application[[#This Row],[TODAY]]-qry_ProdData2_PDI_Cash_Exception_Application[[#This Row],[CHANGED ON]]</f>
        <v>-1.2570717592607252</v>
      </c>
    </row>
    <row r="1405" spans="1:14" x14ac:dyDescent="0.35">
      <c r="A1405">
        <v>1007</v>
      </c>
      <c r="B1405" t="s">
        <v>61</v>
      </c>
      <c r="C1405" s="1">
        <v>45185.257071759261</v>
      </c>
      <c r="D1405" t="str">
        <f ca="1">VLOOKUP(qry_ProdData2_PDI_Cash_Exception_Application[[#This Row],[TYPE]],#REF!,2,FALSE)</f>
        <v>type40</v>
      </c>
      <c r="E1405">
        <v>437.07</v>
      </c>
      <c r="F1405" t="s">
        <v>50</v>
      </c>
      <c r="G1405" s="1">
        <f>qry_ProdData2_PDI_Cash_Exception_Application[[#This Row],[INSERT DATE]]+7</f>
        <v>45192.257071759261</v>
      </c>
      <c r="H1405" t="str">
        <f>VLOOKUP(qry_ProdData2_PDI_Cash_Exception_Application[[#This Row],[MARKET No]],'Site Allocation'!$B$2:$C$37,2,FALSE)</f>
        <v>Analyst2</v>
      </c>
      <c r="I1405" s="4">
        <f t="shared" ca="1" si="21"/>
        <v>45203</v>
      </c>
      <c r="J1405" s="42">
        <f ca="1">TODAY()-qry_ProdData2_PDI_Cash_Exception_Application[[#This Row],[INSERT DATE]]</f>
        <v>17.742928240739275</v>
      </c>
      <c r="K14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05">
        <f ca="1">qry_ProdData2_PDI_Cash_Exception_Application[[#This Row],[TODAY]]-qry_ProdData2_PDI_Cash_Exception_Application[[#This Row],[CHANGED ON]]</f>
        <v>10.742928240739275</v>
      </c>
      <c r="M1405">
        <f ca="1">qry_ProdData2_PDI_Cash_Exception_Application[[#This Row],[TODAY]]-qry_ProdData2_PDI_Cash_Exception_Application[[#This Row],[CHANGED ON]]</f>
        <v>10.742928240739275</v>
      </c>
      <c r="N1405">
        <f ca="1">qry_ProdData2_PDI_Cash_Exception_Application[[#This Row],[TODAY]]-qry_ProdData2_PDI_Cash_Exception_Application[[#This Row],[CHANGED ON]]</f>
        <v>10.742928240739275</v>
      </c>
    </row>
    <row r="1406" spans="1:14" x14ac:dyDescent="0.35">
      <c r="A1406">
        <v>1014</v>
      </c>
      <c r="B1406" t="s">
        <v>68</v>
      </c>
      <c r="C1406" s="1">
        <v>45186.257071759261</v>
      </c>
      <c r="D1406" t="str">
        <f ca="1">VLOOKUP(qry_ProdData2_PDI_Cash_Exception_Application[[#This Row],[TYPE]],#REF!,2,FALSE)</f>
        <v>type40</v>
      </c>
      <c r="E1406">
        <v>-704.02</v>
      </c>
      <c r="F1406" t="s">
        <v>52</v>
      </c>
      <c r="G1406" s="1">
        <f>qry_ProdData2_PDI_Cash_Exception_Application[[#This Row],[INSERT DATE]]+7</f>
        <v>45193.257071759261</v>
      </c>
      <c r="H1406" t="str">
        <f>VLOOKUP(qry_ProdData2_PDI_Cash_Exception_Application[[#This Row],[MARKET No]],'Site Allocation'!$B$2:$C$37,2,FALSE)</f>
        <v>Analyst3</v>
      </c>
      <c r="I1406" s="4">
        <f t="shared" ca="1" si="21"/>
        <v>45203</v>
      </c>
      <c r="J1406" s="42">
        <f ca="1">TODAY()-qry_ProdData2_PDI_Cash_Exception_Application[[#This Row],[INSERT DATE]]</f>
        <v>16.742928240739275</v>
      </c>
      <c r="K14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06">
        <f ca="1">qry_ProdData2_PDI_Cash_Exception_Application[[#This Row],[TODAY]]-qry_ProdData2_PDI_Cash_Exception_Application[[#This Row],[CHANGED ON]]</f>
        <v>9.7429282407392748</v>
      </c>
      <c r="M1406">
        <f ca="1">qry_ProdData2_PDI_Cash_Exception_Application[[#This Row],[TODAY]]-qry_ProdData2_PDI_Cash_Exception_Application[[#This Row],[CHANGED ON]]</f>
        <v>9.7429282407392748</v>
      </c>
      <c r="N1406">
        <f ca="1">qry_ProdData2_PDI_Cash_Exception_Application[[#This Row],[TODAY]]-qry_ProdData2_PDI_Cash_Exception_Application[[#This Row],[CHANGED ON]]</f>
        <v>9.7429282407392748</v>
      </c>
    </row>
    <row r="1407" spans="1:14" x14ac:dyDescent="0.35">
      <c r="A1407">
        <v>1034</v>
      </c>
      <c r="B1407" t="s">
        <v>88</v>
      </c>
      <c r="C1407" s="1">
        <v>45181.257071759261</v>
      </c>
      <c r="D1407" t="str">
        <f ca="1">VLOOKUP(qry_ProdData2_PDI_Cash_Exception_Application[[#This Row],[TYPE]],#REF!,2,FALSE)</f>
        <v>type40</v>
      </c>
      <c r="E1407">
        <v>431.07</v>
      </c>
      <c r="F1407" t="s">
        <v>47</v>
      </c>
      <c r="G1407" s="1">
        <f>qry_ProdData2_PDI_Cash_Exception_Application[[#This Row],[INSERT DATE]]+2</f>
        <v>45183.257071759261</v>
      </c>
      <c r="H1407" t="str">
        <f>VLOOKUP(qry_ProdData2_PDI_Cash_Exception_Application[[#This Row],[MARKET No]],'Site Allocation'!$B$2:$C$37,2,FALSE)</f>
        <v>Analyst6</v>
      </c>
      <c r="I1407" s="4">
        <f t="shared" ca="1" si="21"/>
        <v>45203</v>
      </c>
      <c r="J1407" s="42">
        <f ca="1">TODAY()-qry_ProdData2_PDI_Cash_Exception_Application[[#This Row],[INSERT DATE]]</f>
        <v>21.742928240739275</v>
      </c>
      <c r="K14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07">
        <f ca="1">qry_ProdData2_PDI_Cash_Exception_Application[[#This Row],[TODAY]]-qry_ProdData2_PDI_Cash_Exception_Application[[#This Row],[CHANGED ON]]</f>
        <v>19.742928240739275</v>
      </c>
      <c r="M1407">
        <f ca="1">qry_ProdData2_PDI_Cash_Exception_Application[[#This Row],[TODAY]]-qry_ProdData2_PDI_Cash_Exception_Application[[#This Row],[CHANGED ON]]</f>
        <v>19.742928240739275</v>
      </c>
      <c r="N1407">
        <f ca="1">qry_ProdData2_PDI_Cash_Exception_Application[[#This Row],[TODAY]]-qry_ProdData2_PDI_Cash_Exception_Application[[#This Row],[CHANGED ON]]</f>
        <v>19.742928240739275</v>
      </c>
    </row>
    <row r="1408" spans="1:14" x14ac:dyDescent="0.35">
      <c r="A1408">
        <v>1002</v>
      </c>
      <c r="B1408" t="s">
        <v>56</v>
      </c>
      <c r="C1408" s="1">
        <v>45185.257071759261</v>
      </c>
      <c r="D1408" t="str">
        <f ca="1">VLOOKUP(qry_ProdData2_PDI_Cash_Exception_Application[[#This Row],[TYPE]],#REF!,2,FALSE)</f>
        <v>type7</v>
      </c>
      <c r="E1408">
        <v>1985.51</v>
      </c>
      <c r="F1408" t="s">
        <v>47</v>
      </c>
      <c r="G1408" s="1">
        <f>qry_ProdData2_PDI_Cash_Exception_Application[[#This Row],[INSERT DATE]]+2</f>
        <v>45187.257071759261</v>
      </c>
      <c r="H1408" t="str">
        <f>VLOOKUP(qry_ProdData2_PDI_Cash_Exception_Application[[#This Row],[MARKET No]],'Site Allocation'!$B$2:$C$37,2,FALSE)</f>
        <v>Analyst1</v>
      </c>
      <c r="I1408" s="4">
        <f t="shared" ca="1" si="21"/>
        <v>45203</v>
      </c>
      <c r="J1408" s="42">
        <f ca="1">TODAY()-qry_ProdData2_PDI_Cash_Exception_Application[[#This Row],[INSERT DATE]]</f>
        <v>17.742928240739275</v>
      </c>
      <c r="K14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08">
        <f ca="1">qry_ProdData2_PDI_Cash_Exception_Application[[#This Row],[TODAY]]-qry_ProdData2_PDI_Cash_Exception_Application[[#This Row],[CHANGED ON]]</f>
        <v>15.742928240739275</v>
      </c>
      <c r="M1408">
        <f ca="1">qry_ProdData2_PDI_Cash_Exception_Application[[#This Row],[TODAY]]-qry_ProdData2_PDI_Cash_Exception_Application[[#This Row],[CHANGED ON]]</f>
        <v>15.742928240739275</v>
      </c>
      <c r="N1408">
        <f ca="1">qry_ProdData2_PDI_Cash_Exception_Application[[#This Row],[TODAY]]-qry_ProdData2_PDI_Cash_Exception_Application[[#This Row],[CHANGED ON]]</f>
        <v>15.742928240739275</v>
      </c>
    </row>
    <row r="1409" spans="1:14" x14ac:dyDescent="0.35">
      <c r="A1409">
        <v>1010</v>
      </c>
      <c r="B1409" t="s">
        <v>64</v>
      </c>
      <c r="C1409" s="1">
        <v>45187.257071759261</v>
      </c>
      <c r="D1409" t="str">
        <f ca="1">VLOOKUP(qry_ProdData2_PDI_Cash_Exception_Application[[#This Row],[TYPE]],#REF!,2,FALSE)</f>
        <v>type40</v>
      </c>
      <c r="E1409">
        <v>2933.27</v>
      </c>
      <c r="F1409" t="s">
        <v>48</v>
      </c>
      <c r="G1409" s="1">
        <f>qry_ProdData2_PDI_Cash_Exception_Application[[#This Row],[INSERT DATE]]+2</f>
        <v>45189.257071759261</v>
      </c>
      <c r="H1409" t="str">
        <f>VLOOKUP(qry_ProdData2_PDI_Cash_Exception_Application[[#This Row],[MARKET No]],'Site Allocation'!$B$2:$C$37,2,FALSE)</f>
        <v>Analyst2</v>
      </c>
      <c r="I1409" s="4">
        <f t="shared" ca="1" si="21"/>
        <v>45203</v>
      </c>
      <c r="J1409" s="42">
        <f ca="1">TODAY()-qry_ProdData2_PDI_Cash_Exception_Application[[#This Row],[INSERT DATE]]</f>
        <v>15.742928240739275</v>
      </c>
      <c r="K14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09">
        <f ca="1">qry_ProdData2_PDI_Cash_Exception_Application[[#This Row],[TODAY]]-qry_ProdData2_PDI_Cash_Exception_Application[[#This Row],[CHANGED ON]]</f>
        <v>13.742928240739275</v>
      </c>
      <c r="M1409">
        <f ca="1">qry_ProdData2_PDI_Cash_Exception_Application[[#This Row],[TODAY]]-qry_ProdData2_PDI_Cash_Exception_Application[[#This Row],[CHANGED ON]]</f>
        <v>13.742928240739275</v>
      </c>
      <c r="N1409">
        <f ca="1">qry_ProdData2_PDI_Cash_Exception_Application[[#This Row],[TODAY]]-qry_ProdData2_PDI_Cash_Exception_Application[[#This Row],[CHANGED ON]]</f>
        <v>13.742928240739275</v>
      </c>
    </row>
    <row r="1410" spans="1:14" x14ac:dyDescent="0.35">
      <c r="A1410">
        <v>1004</v>
      </c>
      <c r="B1410" t="s">
        <v>58</v>
      </c>
      <c r="C1410" s="1">
        <v>45191.257071759261</v>
      </c>
      <c r="D1410" t="str">
        <f ca="1">VLOOKUP(qry_ProdData2_PDI_Cash_Exception_Application[[#This Row],[TYPE]],#REF!,2,FALSE)</f>
        <v>type13</v>
      </c>
      <c r="E1410">
        <v>25576.26</v>
      </c>
      <c r="F1410" t="s">
        <v>49</v>
      </c>
      <c r="G1410" s="1">
        <f>qry_ProdData2_PDI_Cash_Exception_Application[[#This Row],[INSERT DATE]]+7</f>
        <v>45198.257071759261</v>
      </c>
      <c r="H1410" t="str">
        <f>VLOOKUP(qry_ProdData2_PDI_Cash_Exception_Application[[#This Row],[MARKET No]],'Site Allocation'!$B$2:$C$37,2,FALSE)</f>
        <v>Analyst1</v>
      </c>
      <c r="I1410" s="4">
        <f t="shared" ref="I1410:I1473" ca="1" si="22">TODAY()</f>
        <v>45203</v>
      </c>
      <c r="J1410" s="42">
        <f ca="1">TODAY()-qry_ProdData2_PDI_Cash_Exception_Application[[#This Row],[INSERT DATE]]</f>
        <v>11.742928240739275</v>
      </c>
      <c r="K14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10">
        <f ca="1">qry_ProdData2_PDI_Cash_Exception_Application[[#This Row],[TODAY]]-qry_ProdData2_PDI_Cash_Exception_Application[[#This Row],[CHANGED ON]]</f>
        <v>4.7429282407392748</v>
      </c>
      <c r="M1410">
        <f ca="1">qry_ProdData2_PDI_Cash_Exception_Application[[#This Row],[TODAY]]-qry_ProdData2_PDI_Cash_Exception_Application[[#This Row],[CHANGED ON]]</f>
        <v>4.7429282407392748</v>
      </c>
      <c r="N1410">
        <f ca="1">qry_ProdData2_PDI_Cash_Exception_Application[[#This Row],[TODAY]]-qry_ProdData2_PDI_Cash_Exception_Application[[#This Row],[CHANGED ON]]</f>
        <v>4.7429282407392748</v>
      </c>
    </row>
    <row r="1411" spans="1:14" x14ac:dyDescent="0.35">
      <c r="A1411">
        <v>1029</v>
      </c>
      <c r="B1411" t="s">
        <v>83</v>
      </c>
      <c r="C1411" s="1">
        <v>45186.257071759261</v>
      </c>
      <c r="D1411" t="str">
        <f ca="1">VLOOKUP(qry_ProdData2_PDI_Cash_Exception_Application[[#This Row],[TYPE]],#REF!,2,FALSE)</f>
        <v>type40</v>
      </c>
      <c r="E1411">
        <v>-910.17</v>
      </c>
      <c r="F1411" t="s">
        <v>51</v>
      </c>
      <c r="G1411" s="1">
        <f>qry_ProdData2_PDI_Cash_Exception_Application[[#This Row],[INSERT DATE]]+1</f>
        <v>45187.257071759261</v>
      </c>
      <c r="H1411" t="str">
        <f>VLOOKUP(qry_ProdData2_PDI_Cash_Exception_Application[[#This Row],[MARKET No]],'Site Allocation'!$B$2:$C$37,2,FALSE)</f>
        <v>Analyst5</v>
      </c>
      <c r="I1411" s="4">
        <f t="shared" ca="1" si="22"/>
        <v>45203</v>
      </c>
      <c r="J1411" s="42">
        <f ca="1">TODAY()-qry_ProdData2_PDI_Cash_Exception_Application[[#This Row],[INSERT DATE]]</f>
        <v>16.742928240739275</v>
      </c>
      <c r="K14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11">
        <f ca="1">qry_ProdData2_PDI_Cash_Exception_Application[[#This Row],[TODAY]]-qry_ProdData2_PDI_Cash_Exception_Application[[#This Row],[CHANGED ON]]</f>
        <v>15.742928240739275</v>
      </c>
      <c r="M1411">
        <f ca="1">qry_ProdData2_PDI_Cash_Exception_Application[[#This Row],[TODAY]]-qry_ProdData2_PDI_Cash_Exception_Application[[#This Row],[CHANGED ON]]</f>
        <v>15.742928240739275</v>
      </c>
      <c r="N1411">
        <f ca="1">qry_ProdData2_PDI_Cash_Exception_Application[[#This Row],[TODAY]]-qry_ProdData2_PDI_Cash_Exception_Application[[#This Row],[CHANGED ON]]</f>
        <v>15.742928240739275</v>
      </c>
    </row>
    <row r="1412" spans="1:14" x14ac:dyDescent="0.35">
      <c r="A1412">
        <v>1021</v>
      </c>
      <c r="B1412" t="s">
        <v>75</v>
      </c>
      <c r="C1412" s="1">
        <v>45186.257071759261</v>
      </c>
      <c r="D1412" t="str">
        <f ca="1">VLOOKUP(qry_ProdData2_PDI_Cash_Exception_Application[[#This Row],[TYPE]],#REF!,2,FALSE)</f>
        <v>type40</v>
      </c>
      <c r="E1412">
        <v>-1072.2</v>
      </c>
      <c r="F1412" t="s">
        <v>47</v>
      </c>
      <c r="G1412" s="1">
        <f>qry_ProdData2_PDI_Cash_Exception_Application[[#This Row],[INSERT DATE]]+2</f>
        <v>45188.257071759261</v>
      </c>
      <c r="H1412" t="str">
        <f>VLOOKUP(qry_ProdData2_PDI_Cash_Exception_Application[[#This Row],[MARKET No]],'Site Allocation'!$B$2:$C$37,2,FALSE)</f>
        <v>Analyst4</v>
      </c>
      <c r="I1412" s="4">
        <f t="shared" ca="1" si="22"/>
        <v>45203</v>
      </c>
      <c r="J1412" s="42">
        <f ca="1">TODAY()-qry_ProdData2_PDI_Cash_Exception_Application[[#This Row],[INSERT DATE]]</f>
        <v>16.742928240739275</v>
      </c>
      <c r="K14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12">
        <f ca="1">qry_ProdData2_PDI_Cash_Exception_Application[[#This Row],[TODAY]]-qry_ProdData2_PDI_Cash_Exception_Application[[#This Row],[CHANGED ON]]</f>
        <v>14.742928240739275</v>
      </c>
      <c r="M1412">
        <f ca="1">qry_ProdData2_PDI_Cash_Exception_Application[[#This Row],[TODAY]]-qry_ProdData2_PDI_Cash_Exception_Application[[#This Row],[CHANGED ON]]</f>
        <v>14.742928240739275</v>
      </c>
      <c r="N1412">
        <f ca="1">qry_ProdData2_PDI_Cash_Exception_Application[[#This Row],[TODAY]]-qry_ProdData2_PDI_Cash_Exception_Application[[#This Row],[CHANGED ON]]</f>
        <v>14.742928240739275</v>
      </c>
    </row>
    <row r="1413" spans="1:14" x14ac:dyDescent="0.35">
      <c r="A1413">
        <v>1023</v>
      </c>
      <c r="B1413" t="s">
        <v>77</v>
      </c>
      <c r="C1413" s="1">
        <v>45188.257071759261</v>
      </c>
      <c r="D1413" t="str">
        <f ca="1">VLOOKUP(qry_ProdData2_PDI_Cash_Exception_Application[[#This Row],[TYPE]],#REF!,2,FALSE)</f>
        <v>type10</v>
      </c>
      <c r="E1413">
        <v>101.44</v>
      </c>
      <c r="F1413" t="s">
        <v>51</v>
      </c>
      <c r="G1413" s="1">
        <f>qry_ProdData2_PDI_Cash_Exception_Application[[#This Row],[INSERT DATE]]+1</f>
        <v>45189.257071759261</v>
      </c>
      <c r="H1413" t="str">
        <f>VLOOKUP(qry_ProdData2_PDI_Cash_Exception_Application[[#This Row],[MARKET No]],'Site Allocation'!$B$2:$C$37,2,FALSE)</f>
        <v>Analyst4</v>
      </c>
      <c r="I1413" s="4">
        <f t="shared" ca="1" si="22"/>
        <v>45203</v>
      </c>
      <c r="J1413" s="42">
        <f ca="1">TODAY()-qry_ProdData2_PDI_Cash_Exception_Application[[#This Row],[INSERT DATE]]</f>
        <v>14.742928240739275</v>
      </c>
      <c r="K14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13">
        <f ca="1">qry_ProdData2_PDI_Cash_Exception_Application[[#This Row],[TODAY]]-qry_ProdData2_PDI_Cash_Exception_Application[[#This Row],[CHANGED ON]]</f>
        <v>13.742928240739275</v>
      </c>
      <c r="M1413">
        <f ca="1">qry_ProdData2_PDI_Cash_Exception_Application[[#This Row],[TODAY]]-qry_ProdData2_PDI_Cash_Exception_Application[[#This Row],[CHANGED ON]]</f>
        <v>13.742928240739275</v>
      </c>
      <c r="N1413">
        <f ca="1">qry_ProdData2_PDI_Cash_Exception_Application[[#This Row],[TODAY]]-qry_ProdData2_PDI_Cash_Exception_Application[[#This Row],[CHANGED ON]]</f>
        <v>13.742928240739275</v>
      </c>
    </row>
    <row r="1414" spans="1:14" x14ac:dyDescent="0.35">
      <c r="A1414">
        <v>1021</v>
      </c>
      <c r="B1414" t="s">
        <v>75</v>
      </c>
      <c r="C1414" s="1">
        <v>45191.257071759261</v>
      </c>
      <c r="D1414" t="str">
        <f ca="1">VLOOKUP(qry_ProdData2_PDI_Cash_Exception_Application[[#This Row],[TYPE]],#REF!,2,FALSE)</f>
        <v>type40</v>
      </c>
      <c r="E1414">
        <v>1253.55</v>
      </c>
      <c r="F1414" t="s">
        <v>52</v>
      </c>
      <c r="G1414" s="1">
        <f>qry_ProdData2_PDI_Cash_Exception_Application[[#This Row],[INSERT DATE]]+7</f>
        <v>45198.257071759261</v>
      </c>
      <c r="H1414" t="str">
        <f>VLOOKUP(qry_ProdData2_PDI_Cash_Exception_Application[[#This Row],[MARKET No]],'Site Allocation'!$B$2:$C$37,2,FALSE)</f>
        <v>Analyst4</v>
      </c>
      <c r="I1414" s="4">
        <f t="shared" ca="1" si="22"/>
        <v>45203</v>
      </c>
      <c r="J1414" s="42">
        <f ca="1">TODAY()-qry_ProdData2_PDI_Cash_Exception_Application[[#This Row],[INSERT DATE]]</f>
        <v>11.742928240739275</v>
      </c>
      <c r="K14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14">
        <f ca="1">qry_ProdData2_PDI_Cash_Exception_Application[[#This Row],[TODAY]]-qry_ProdData2_PDI_Cash_Exception_Application[[#This Row],[CHANGED ON]]</f>
        <v>4.7429282407392748</v>
      </c>
      <c r="M1414">
        <f ca="1">qry_ProdData2_PDI_Cash_Exception_Application[[#This Row],[TODAY]]-qry_ProdData2_PDI_Cash_Exception_Application[[#This Row],[CHANGED ON]]</f>
        <v>4.7429282407392748</v>
      </c>
      <c r="N1414">
        <f ca="1">qry_ProdData2_PDI_Cash_Exception_Application[[#This Row],[TODAY]]-qry_ProdData2_PDI_Cash_Exception_Application[[#This Row],[CHANGED ON]]</f>
        <v>4.7429282407392748</v>
      </c>
    </row>
    <row r="1415" spans="1:14" x14ac:dyDescent="0.35">
      <c r="A1415">
        <v>1025</v>
      </c>
      <c r="B1415" t="s">
        <v>79</v>
      </c>
      <c r="C1415" s="1">
        <v>45192.257071759261</v>
      </c>
      <c r="D1415" t="str">
        <f ca="1">VLOOKUP(qry_ProdData2_PDI_Cash_Exception_Application[[#This Row],[TYPE]],#REF!,2,FALSE)</f>
        <v>type40</v>
      </c>
      <c r="E1415">
        <v>-933.31</v>
      </c>
      <c r="F1415" t="s">
        <v>52</v>
      </c>
      <c r="G1415" s="1">
        <f>qry_ProdData2_PDI_Cash_Exception_Application[[#This Row],[INSERT DATE]]+1</f>
        <v>45193.257071759261</v>
      </c>
      <c r="H1415" t="str">
        <f>VLOOKUP(qry_ProdData2_PDI_Cash_Exception_Application[[#This Row],[MARKET No]],'Site Allocation'!$B$2:$C$37,2,FALSE)</f>
        <v>Analyst5</v>
      </c>
      <c r="I1415" s="4">
        <f t="shared" ca="1" si="22"/>
        <v>45203</v>
      </c>
      <c r="J1415" s="42">
        <f ca="1">TODAY()-qry_ProdData2_PDI_Cash_Exception_Application[[#This Row],[INSERT DATE]]</f>
        <v>10.742928240739275</v>
      </c>
      <c r="K14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15">
        <f ca="1">qry_ProdData2_PDI_Cash_Exception_Application[[#This Row],[TODAY]]-qry_ProdData2_PDI_Cash_Exception_Application[[#This Row],[CHANGED ON]]</f>
        <v>9.7429282407392748</v>
      </c>
      <c r="M1415">
        <f ca="1">qry_ProdData2_PDI_Cash_Exception_Application[[#This Row],[TODAY]]-qry_ProdData2_PDI_Cash_Exception_Application[[#This Row],[CHANGED ON]]</f>
        <v>9.7429282407392748</v>
      </c>
      <c r="N1415">
        <f ca="1">qry_ProdData2_PDI_Cash_Exception_Application[[#This Row],[TODAY]]-qry_ProdData2_PDI_Cash_Exception_Application[[#This Row],[CHANGED ON]]</f>
        <v>9.7429282407392748</v>
      </c>
    </row>
    <row r="1416" spans="1:14" x14ac:dyDescent="0.35">
      <c r="A1416">
        <v>1023</v>
      </c>
      <c r="B1416" t="s">
        <v>77</v>
      </c>
      <c r="C1416" s="1">
        <v>45193.257071759261</v>
      </c>
      <c r="D1416" t="str">
        <f ca="1">VLOOKUP(qry_ProdData2_PDI_Cash_Exception_Application[[#This Row],[TYPE]],#REF!,2,FALSE)</f>
        <v>type40</v>
      </c>
      <c r="E1416">
        <v>-537.05999999999995</v>
      </c>
      <c r="F1416" t="s">
        <v>52</v>
      </c>
      <c r="G1416" s="1">
        <f>qry_ProdData2_PDI_Cash_Exception_Application[[#This Row],[INSERT DATE]]+1</f>
        <v>45194.257071759261</v>
      </c>
      <c r="H1416" t="str">
        <f>VLOOKUP(qry_ProdData2_PDI_Cash_Exception_Application[[#This Row],[MARKET No]],'Site Allocation'!$B$2:$C$37,2,FALSE)</f>
        <v>Analyst4</v>
      </c>
      <c r="I1416" s="4">
        <f t="shared" ca="1" si="22"/>
        <v>45203</v>
      </c>
      <c r="J1416" s="42">
        <f ca="1">TODAY()-qry_ProdData2_PDI_Cash_Exception_Application[[#This Row],[INSERT DATE]]</f>
        <v>9.7429282407392748</v>
      </c>
      <c r="K14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16">
        <f ca="1">qry_ProdData2_PDI_Cash_Exception_Application[[#This Row],[TODAY]]-qry_ProdData2_PDI_Cash_Exception_Application[[#This Row],[CHANGED ON]]</f>
        <v>8.7429282407392748</v>
      </c>
      <c r="M1416">
        <f ca="1">qry_ProdData2_PDI_Cash_Exception_Application[[#This Row],[TODAY]]-qry_ProdData2_PDI_Cash_Exception_Application[[#This Row],[CHANGED ON]]</f>
        <v>8.7429282407392748</v>
      </c>
      <c r="N1416">
        <f ca="1">qry_ProdData2_PDI_Cash_Exception_Application[[#This Row],[TODAY]]-qry_ProdData2_PDI_Cash_Exception_Application[[#This Row],[CHANGED ON]]</f>
        <v>8.7429282407392748</v>
      </c>
    </row>
    <row r="1417" spans="1:14" x14ac:dyDescent="0.35">
      <c r="A1417">
        <v>1018</v>
      </c>
      <c r="B1417" t="s">
        <v>72</v>
      </c>
      <c r="C1417" s="1">
        <v>45194.257071759261</v>
      </c>
      <c r="D1417" t="str">
        <f ca="1">VLOOKUP(qry_ProdData2_PDI_Cash_Exception_Application[[#This Row],[TYPE]],#REF!,2,FALSE)</f>
        <v>type7</v>
      </c>
      <c r="E1417">
        <v>7297.89</v>
      </c>
      <c r="F1417" t="s">
        <v>52</v>
      </c>
      <c r="G1417" s="1">
        <f>qry_ProdData2_PDI_Cash_Exception_Application[[#This Row],[INSERT DATE]]+1</f>
        <v>45195.257071759261</v>
      </c>
      <c r="H1417" t="str">
        <f>VLOOKUP(qry_ProdData2_PDI_Cash_Exception_Application[[#This Row],[MARKET No]],'Site Allocation'!$B$2:$C$37,2,FALSE)</f>
        <v>Analyst4</v>
      </c>
      <c r="I1417" s="4">
        <f t="shared" ca="1" si="22"/>
        <v>45203</v>
      </c>
      <c r="J1417" s="42">
        <f ca="1">TODAY()-qry_ProdData2_PDI_Cash_Exception_Application[[#This Row],[INSERT DATE]]</f>
        <v>8.7429282407392748</v>
      </c>
      <c r="K14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417">
        <f ca="1">qry_ProdData2_PDI_Cash_Exception_Application[[#This Row],[TODAY]]-qry_ProdData2_PDI_Cash_Exception_Application[[#This Row],[CHANGED ON]]</f>
        <v>7.7429282407392748</v>
      </c>
      <c r="M1417">
        <f ca="1">qry_ProdData2_PDI_Cash_Exception_Application[[#This Row],[TODAY]]-qry_ProdData2_PDI_Cash_Exception_Application[[#This Row],[CHANGED ON]]</f>
        <v>7.7429282407392748</v>
      </c>
      <c r="N1417">
        <f ca="1">qry_ProdData2_PDI_Cash_Exception_Application[[#This Row],[TODAY]]-qry_ProdData2_PDI_Cash_Exception_Application[[#This Row],[CHANGED ON]]</f>
        <v>7.7429282407392748</v>
      </c>
    </row>
    <row r="1418" spans="1:14" x14ac:dyDescent="0.35">
      <c r="A1418">
        <v>1030</v>
      </c>
      <c r="B1418" t="s">
        <v>84</v>
      </c>
      <c r="C1418" s="1">
        <v>45189.257071759261</v>
      </c>
      <c r="D1418" t="str">
        <f ca="1">VLOOKUP(qry_ProdData2_PDI_Cash_Exception_Application[[#This Row],[TYPE]],#REF!,2,FALSE)</f>
        <v>type40</v>
      </c>
      <c r="E1418">
        <v>578.05999999999995</v>
      </c>
      <c r="F1418" t="s">
        <v>51</v>
      </c>
      <c r="G1418" s="1">
        <f>qry_ProdData2_PDI_Cash_Exception_Application[[#This Row],[INSERT DATE]]+1</f>
        <v>45190.257071759261</v>
      </c>
      <c r="H1418" t="str">
        <f>VLOOKUP(qry_ProdData2_PDI_Cash_Exception_Application[[#This Row],[MARKET No]],'Site Allocation'!$B$2:$C$37,2,FALSE)</f>
        <v>Analyst6</v>
      </c>
      <c r="I1418" s="4">
        <f t="shared" ca="1" si="22"/>
        <v>45203</v>
      </c>
      <c r="J1418" s="42">
        <f ca="1">TODAY()-qry_ProdData2_PDI_Cash_Exception_Application[[#This Row],[INSERT DATE]]</f>
        <v>13.742928240739275</v>
      </c>
      <c r="K14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18">
        <f ca="1">qry_ProdData2_PDI_Cash_Exception_Application[[#This Row],[TODAY]]-qry_ProdData2_PDI_Cash_Exception_Application[[#This Row],[CHANGED ON]]</f>
        <v>12.742928240739275</v>
      </c>
      <c r="M1418">
        <f ca="1">qry_ProdData2_PDI_Cash_Exception_Application[[#This Row],[TODAY]]-qry_ProdData2_PDI_Cash_Exception_Application[[#This Row],[CHANGED ON]]</f>
        <v>12.742928240739275</v>
      </c>
      <c r="N1418">
        <f ca="1">qry_ProdData2_PDI_Cash_Exception_Application[[#This Row],[TODAY]]-qry_ProdData2_PDI_Cash_Exception_Application[[#This Row],[CHANGED ON]]</f>
        <v>12.742928240739275</v>
      </c>
    </row>
    <row r="1419" spans="1:14" x14ac:dyDescent="0.35">
      <c r="A1419">
        <v>1025</v>
      </c>
      <c r="B1419" t="s">
        <v>79</v>
      </c>
      <c r="C1419" s="1">
        <v>45186.257071759261</v>
      </c>
      <c r="D1419" t="str">
        <f ca="1">VLOOKUP(qry_ProdData2_PDI_Cash_Exception_Application[[#This Row],[TYPE]],#REF!,2,FALSE)</f>
        <v>type29</v>
      </c>
      <c r="E1419">
        <v>697.21</v>
      </c>
      <c r="F1419" t="s">
        <v>49</v>
      </c>
      <c r="G1419" s="1">
        <f>qry_ProdData2_PDI_Cash_Exception_Application[[#This Row],[INSERT DATE]]+7</f>
        <v>45193.257071759261</v>
      </c>
      <c r="H1419" t="str">
        <f>VLOOKUP(qry_ProdData2_PDI_Cash_Exception_Application[[#This Row],[MARKET No]],'Site Allocation'!$B$2:$C$37,2,FALSE)</f>
        <v>Analyst5</v>
      </c>
      <c r="I1419" s="4">
        <f t="shared" ca="1" si="22"/>
        <v>45203</v>
      </c>
      <c r="J1419" s="42">
        <f ca="1">TODAY()-qry_ProdData2_PDI_Cash_Exception_Application[[#This Row],[INSERT DATE]]</f>
        <v>16.742928240739275</v>
      </c>
      <c r="K14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19">
        <f ca="1">qry_ProdData2_PDI_Cash_Exception_Application[[#This Row],[TODAY]]-qry_ProdData2_PDI_Cash_Exception_Application[[#This Row],[CHANGED ON]]</f>
        <v>9.7429282407392748</v>
      </c>
      <c r="M1419">
        <f ca="1">qry_ProdData2_PDI_Cash_Exception_Application[[#This Row],[TODAY]]-qry_ProdData2_PDI_Cash_Exception_Application[[#This Row],[CHANGED ON]]</f>
        <v>9.7429282407392748</v>
      </c>
      <c r="N1419">
        <f ca="1">qry_ProdData2_PDI_Cash_Exception_Application[[#This Row],[TODAY]]-qry_ProdData2_PDI_Cash_Exception_Application[[#This Row],[CHANGED ON]]</f>
        <v>9.7429282407392748</v>
      </c>
    </row>
    <row r="1420" spans="1:14" x14ac:dyDescent="0.35">
      <c r="A1420">
        <v>1011</v>
      </c>
      <c r="B1420" t="s">
        <v>65</v>
      </c>
      <c r="C1420" s="1">
        <v>45197.257071759261</v>
      </c>
      <c r="D1420" t="str">
        <f ca="1">VLOOKUP(qry_ProdData2_PDI_Cash_Exception_Application[[#This Row],[TYPE]],#REF!,2,FALSE)</f>
        <v>type40</v>
      </c>
      <c r="E1420">
        <v>2584.0300000000002</v>
      </c>
      <c r="F1420" t="s">
        <v>52</v>
      </c>
      <c r="G1420" s="1">
        <f>qry_ProdData2_PDI_Cash_Exception_Application[[#This Row],[INSERT DATE]]+1</f>
        <v>45198.257071759261</v>
      </c>
      <c r="H1420" t="str">
        <f>VLOOKUP(qry_ProdData2_PDI_Cash_Exception_Application[[#This Row],[MARKET No]],'Site Allocation'!$B$2:$C$37,2,FALSE)</f>
        <v>Analyst2</v>
      </c>
      <c r="I1420" s="4">
        <f t="shared" ca="1" si="22"/>
        <v>45203</v>
      </c>
      <c r="J1420" s="42">
        <f ca="1">TODAY()-qry_ProdData2_PDI_Cash_Exception_Application[[#This Row],[INSERT DATE]]</f>
        <v>5.7429282407392748</v>
      </c>
      <c r="K14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420">
        <f ca="1">qry_ProdData2_PDI_Cash_Exception_Application[[#This Row],[TODAY]]-qry_ProdData2_PDI_Cash_Exception_Application[[#This Row],[CHANGED ON]]</f>
        <v>4.7429282407392748</v>
      </c>
      <c r="M1420">
        <f ca="1">qry_ProdData2_PDI_Cash_Exception_Application[[#This Row],[TODAY]]-qry_ProdData2_PDI_Cash_Exception_Application[[#This Row],[CHANGED ON]]</f>
        <v>4.7429282407392748</v>
      </c>
      <c r="N1420">
        <f ca="1">qry_ProdData2_PDI_Cash_Exception_Application[[#This Row],[TODAY]]-qry_ProdData2_PDI_Cash_Exception_Application[[#This Row],[CHANGED ON]]</f>
        <v>4.7429282407392748</v>
      </c>
    </row>
    <row r="1421" spans="1:14" x14ac:dyDescent="0.35">
      <c r="A1421">
        <v>1007</v>
      </c>
      <c r="B1421" t="s">
        <v>61</v>
      </c>
      <c r="C1421" s="1">
        <v>45189.257071759261</v>
      </c>
      <c r="D1421" t="str">
        <f ca="1">VLOOKUP(qry_ProdData2_PDI_Cash_Exception_Application[[#This Row],[TYPE]],#REF!,2,FALSE)</f>
        <v>type41</v>
      </c>
      <c r="E1421">
        <v>926.1</v>
      </c>
      <c r="F1421" t="s">
        <v>51</v>
      </c>
      <c r="G1421" s="1">
        <f>qry_ProdData2_PDI_Cash_Exception_Application[[#This Row],[INSERT DATE]]+2</f>
        <v>45191.257071759261</v>
      </c>
      <c r="H1421" t="str">
        <f>VLOOKUP(qry_ProdData2_PDI_Cash_Exception_Application[[#This Row],[MARKET No]],'Site Allocation'!$B$2:$C$37,2,FALSE)</f>
        <v>Analyst2</v>
      </c>
      <c r="I1421" s="4">
        <f t="shared" ca="1" si="22"/>
        <v>45203</v>
      </c>
      <c r="J1421" s="42">
        <f ca="1">TODAY()-qry_ProdData2_PDI_Cash_Exception_Application[[#This Row],[INSERT DATE]]</f>
        <v>13.742928240739275</v>
      </c>
      <c r="K14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21">
        <f ca="1">qry_ProdData2_PDI_Cash_Exception_Application[[#This Row],[TODAY]]-qry_ProdData2_PDI_Cash_Exception_Application[[#This Row],[CHANGED ON]]</f>
        <v>11.742928240739275</v>
      </c>
      <c r="M1421">
        <f ca="1">qry_ProdData2_PDI_Cash_Exception_Application[[#This Row],[TODAY]]-qry_ProdData2_PDI_Cash_Exception_Application[[#This Row],[CHANGED ON]]</f>
        <v>11.742928240739275</v>
      </c>
      <c r="N1421">
        <f ca="1">qry_ProdData2_PDI_Cash_Exception_Application[[#This Row],[TODAY]]-qry_ProdData2_PDI_Cash_Exception_Application[[#This Row],[CHANGED ON]]</f>
        <v>11.742928240739275</v>
      </c>
    </row>
    <row r="1422" spans="1:14" x14ac:dyDescent="0.35">
      <c r="A1422">
        <v>1027</v>
      </c>
      <c r="B1422" t="s">
        <v>81</v>
      </c>
      <c r="C1422" s="1">
        <v>45187.257071759261</v>
      </c>
      <c r="D1422" t="str">
        <f ca="1">VLOOKUP(qry_ProdData2_PDI_Cash_Exception_Application[[#This Row],[TYPE]],#REF!,2,FALSE)</f>
        <v>type34</v>
      </c>
      <c r="E1422">
        <v>255.86</v>
      </c>
      <c r="F1422" t="s">
        <v>49</v>
      </c>
      <c r="G1422" s="1">
        <f>qry_ProdData2_PDI_Cash_Exception_Application[[#This Row],[INSERT DATE]]+7</f>
        <v>45194.257071759261</v>
      </c>
      <c r="H1422" t="str">
        <f>VLOOKUP(qry_ProdData2_PDI_Cash_Exception_Application[[#This Row],[MARKET No]],'Site Allocation'!$B$2:$C$37,2,FALSE)</f>
        <v>Analyst5</v>
      </c>
      <c r="I1422" s="4">
        <f t="shared" ca="1" si="22"/>
        <v>45203</v>
      </c>
      <c r="J1422" s="42">
        <f ca="1">TODAY()-qry_ProdData2_PDI_Cash_Exception_Application[[#This Row],[INSERT DATE]]</f>
        <v>15.742928240739275</v>
      </c>
      <c r="K14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22">
        <f ca="1">qry_ProdData2_PDI_Cash_Exception_Application[[#This Row],[TODAY]]-qry_ProdData2_PDI_Cash_Exception_Application[[#This Row],[CHANGED ON]]</f>
        <v>8.7429282407392748</v>
      </c>
      <c r="M1422">
        <f ca="1">qry_ProdData2_PDI_Cash_Exception_Application[[#This Row],[TODAY]]-qry_ProdData2_PDI_Cash_Exception_Application[[#This Row],[CHANGED ON]]</f>
        <v>8.7429282407392748</v>
      </c>
      <c r="N1422">
        <f ca="1">qry_ProdData2_PDI_Cash_Exception_Application[[#This Row],[TODAY]]-qry_ProdData2_PDI_Cash_Exception_Application[[#This Row],[CHANGED ON]]</f>
        <v>8.7429282407392748</v>
      </c>
    </row>
    <row r="1423" spans="1:14" x14ac:dyDescent="0.35">
      <c r="A1423">
        <v>1013</v>
      </c>
      <c r="B1423" t="s">
        <v>67</v>
      </c>
      <c r="C1423" s="1">
        <v>45188.257071759261</v>
      </c>
      <c r="D1423" t="str">
        <f ca="1">VLOOKUP(qry_ProdData2_PDI_Cash_Exception_Application[[#This Row],[TYPE]],#REF!,2,FALSE)</f>
        <v>type40</v>
      </c>
      <c r="E1423">
        <v>578.78</v>
      </c>
      <c r="F1423" t="s">
        <v>47</v>
      </c>
      <c r="G1423" s="1">
        <f>qry_ProdData2_PDI_Cash_Exception_Application[[#This Row],[INSERT DATE]]+7</f>
        <v>45195.257071759261</v>
      </c>
      <c r="H1423" t="str">
        <f>VLOOKUP(qry_ProdData2_PDI_Cash_Exception_Application[[#This Row],[MARKET No]],'Site Allocation'!$B$2:$C$37,2,FALSE)</f>
        <v>Analyst3</v>
      </c>
      <c r="I1423" s="4">
        <f t="shared" ca="1" si="22"/>
        <v>45203</v>
      </c>
      <c r="J1423" s="42">
        <f ca="1">TODAY()-qry_ProdData2_PDI_Cash_Exception_Application[[#This Row],[INSERT DATE]]</f>
        <v>14.742928240739275</v>
      </c>
      <c r="K14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23">
        <f ca="1">qry_ProdData2_PDI_Cash_Exception_Application[[#This Row],[TODAY]]-qry_ProdData2_PDI_Cash_Exception_Application[[#This Row],[CHANGED ON]]</f>
        <v>7.7429282407392748</v>
      </c>
      <c r="M1423">
        <f ca="1">qry_ProdData2_PDI_Cash_Exception_Application[[#This Row],[TODAY]]-qry_ProdData2_PDI_Cash_Exception_Application[[#This Row],[CHANGED ON]]</f>
        <v>7.7429282407392748</v>
      </c>
      <c r="N1423">
        <f ca="1">qry_ProdData2_PDI_Cash_Exception_Application[[#This Row],[TODAY]]-qry_ProdData2_PDI_Cash_Exception_Application[[#This Row],[CHANGED ON]]</f>
        <v>7.7429282407392748</v>
      </c>
    </row>
    <row r="1424" spans="1:14" x14ac:dyDescent="0.35">
      <c r="A1424">
        <v>1002</v>
      </c>
      <c r="B1424" t="s">
        <v>56</v>
      </c>
      <c r="C1424" s="1">
        <v>45180.257071759261</v>
      </c>
      <c r="D1424" t="str">
        <f ca="1">VLOOKUP(qry_ProdData2_PDI_Cash_Exception_Application[[#This Row],[TYPE]],#REF!,2,FALSE)</f>
        <v>type40</v>
      </c>
      <c r="E1424">
        <v>808.86</v>
      </c>
      <c r="F1424" t="s">
        <v>51</v>
      </c>
      <c r="G1424" s="1">
        <f>qry_ProdData2_PDI_Cash_Exception_Application[[#This Row],[INSERT DATE]]+5</f>
        <v>45185.257071759261</v>
      </c>
      <c r="H1424" t="str">
        <f>VLOOKUP(qry_ProdData2_PDI_Cash_Exception_Application[[#This Row],[MARKET No]],'Site Allocation'!$B$2:$C$37,2,FALSE)</f>
        <v>Analyst1</v>
      </c>
      <c r="I1424" s="4">
        <f t="shared" ca="1" si="22"/>
        <v>45203</v>
      </c>
      <c r="J1424" s="42">
        <f ca="1">TODAY()-qry_ProdData2_PDI_Cash_Exception_Application[[#This Row],[INSERT DATE]]</f>
        <v>22.742928240739275</v>
      </c>
      <c r="K14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24">
        <f ca="1">qry_ProdData2_PDI_Cash_Exception_Application[[#This Row],[TODAY]]-qry_ProdData2_PDI_Cash_Exception_Application[[#This Row],[CHANGED ON]]</f>
        <v>17.742928240739275</v>
      </c>
      <c r="M1424">
        <f ca="1">qry_ProdData2_PDI_Cash_Exception_Application[[#This Row],[TODAY]]-qry_ProdData2_PDI_Cash_Exception_Application[[#This Row],[CHANGED ON]]</f>
        <v>17.742928240739275</v>
      </c>
      <c r="N1424">
        <f ca="1">qry_ProdData2_PDI_Cash_Exception_Application[[#This Row],[TODAY]]-qry_ProdData2_PDI_Cash_Exception_Application[[#This Row],[CHANGED ON]]</f>
        <v>17.742928240739275</v>
      </c>
    </row>
    <row r="1425" spans="1:14" x14ac:dyDescent="0.35">
      <c r="A1425">
        <v>1033</v>
      </c>
      <c r="B1425" t="s">
        <v>87</v>
      </c>
      <c r="C1425" s="1">
        <v>45182.257071759261</v>
      </c>
      <c r="D1425" t="str">
        <f ca="1">VLOOKUP(qry_ProdData2_PDI_Cash_Exception_Application[[#This Row],[TYPE]],#REF!,2,FALSE)</f>
        <v>type40</v>
      </c>
      <c r="E1425">
        <v>1</v>
      </c>
      <c r="F1425" t="s">
        <v>50</v>
      </c>
      <c r="G1425" s="1">
        <f>qry_ProdData2_PDI_Cash_Exception_Application[[#This Row],[INSERT DATE]]+1</f>
        <v>45183.257071759261</v>
      </c>
      <c r="H1425" t="str">
        <f>VLOOKUP(qry_ProdData2_PDI_Cash_Exception_Application[[#This Row],[MARKET No]],'Site Allocation'!$B$2:$C$37,2,FALSE)</f>
        <v>Analyst6</v>
      </c>
      <c r="I1425" s="4">
        <f t="shared" ca="1" si="22"/>
        <v>45203</v>
      </c>
      <c r="J1425" s="42">
        <f ca="1">TODAY()-qry_ProdData2_PDI_Cash_Exception_Application[[#This Row],[INSERT DATE]]</f>
        <v>20.742928240739275</v>
      </c>
      <c r="K14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25">
        <f ca="1">qry_ProdData2_PDI_Cash_Exception_Application[[#This Row],[TODAY]]-qry_ProdData2_PDI_Cash_Exception_Application[[#This Row],[CHANGED ON]]</f>
        <v>19.742928240739275</v>
      </c>
      <c r="M1425">
        <f ca="1">qry_ProdData2_PDI_Cash_Exception_Application[[#This Row],[TODAY]]-qry_ProdData2_PDI_Cash_Exception_Application[[#This Row],[CHANGED ON]]</f>
        <v>19.742928240739275</v>
      </c>
      <c r="N1425">
        <f ca="1">qry_ProdData2_PDI_Cash_Exception_Application[[#This Row],[TODAY]]-qry_ProdData2_PDI_Cash_Exception_Application[[#This Row],[CHANGED ON]]</f>
        <v>19.742928240739275</v>
      </c>
    </row>
    <row r="1426" spans="1:14" x14ac:dyDescent="0.35">
      <c r="A1426">
        <v>1014</v>
      </c>
      <c r="B1426" t="s">
        <v>68</v>
      </c>
      <c r="C1426" s="1">
        <v>45188.257071759261</v>
      </c>
      <c r="D1426" t="str">
        <f ca="1">VLOOKUP(qry_ProdData2_PDI_Cash_Exception_Application[[#This Row],[TYPE]],#REF!,2,FALSE)</f>
        <v>type40</v>
      </c>
      <c r="E1426">
        <v>1050.56</v>
      </c>
      <c r="F1426" t="s">
        <v>49</v>
      </c>
      <c r="G1426" s="1">
        <f>qry_ProdData2_PDI_Cash_Exception_Application[[#This Row],[INSERT DATE]]+1</f>
        <v>45189.257071759261</v>
      </c>
      <c r="H1426" t="str">
        <f>VLOOKUP(qry_ProdData2_PDI_Cash_Exception_Application[[#This Row],[MARKET No]],'Site Allocation'!$B$2:$C$37,2,FALSE)</f>
        <v>Analyst3</v>
      </c>
      <c r="I1426" s="4">
        <f t="shared" ca="1" si="22"/>
        <v>45203</v>
      </c>
      <c r="J1426" s="42">
        <f ca="1">TODAY()-qry_ProdData2_PDI_Cash_Exception_Application[[#This Row],[INSERT DATE]]</f>
        <v>14.742928240739275</v>
      </c>
      <c r="K14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26">
        <f ca="1">qry_ProdData2_PDI_Cash_Exception_Application[[#This Row],[TODAY]]-qry_ProdData2_PDI_Cash_Exception_Application[[#This Row],[CHANGED ON]]</f>
        <v>13.742928240739275</v>
      </c>
      <c r="M1426">
        <f ca="1">qry_ProdData2_PDI_Cash_Exception_Application[[#This Row],[TODAY]]-qry_ProdData2_PDI_Cash_Exception_Application[[#This Row],[CHANGED ON]]</f>
        <v>13.742928240739275</v>
      </c>
      <c r="N1426">
        <f ca="1">qry_ProdData2_PDI_Cash_Exception_Application[[#This Row],[TODAY]]-qry_ProdData2_PDI_Cash_Exception_Application[[#This Row],[CHANGED ON]]</f>
        <v>13.742928240739275</v>
      </c>
    </row>
    <row r="1427" spans="1:14" x14ac:dyDescent="0.35">
      <c r="A1427">
        <v>1015</v>
      </c>
      <c r="B1427" t="s">
        <v>69</v>
      </c>
      <c r="C1427" s="1">
        <v>45183.257071759261</v>
      </c>
      <c r="D1427" t="str">
        <f ca="1">VLOOKUP(qry_ProdData2_PDI_Cash_Exception_Application[[#This Row],[TYPE]],#REF!,2,FALSE)</f>
        <v>type40</v>
      </c>
      <c r="E1427">
        <v>432.47</v>
      </c>
      <c r="F1427" t="s">
        <v>50</v>
      </c>
      <c r="G1427" s="1">
        <f>qry_ProdData2_PDI_Cash_Exception_Application[[#This Row],[INSERT DATE]]+1</f>
        <v>45184.257071759261</v>
      </c>
      <c r="H1427" t="str">
        <f>VLOOKUP(qry_ProdData2_PDI_Cash_Exception_Application[[#This Row],[MARKET No]],'Site Allocation'!$B$2:$C$37,2,FALSE)</f>
        <v>Analyst3</v>
      </c>
      <c r="I1427" s="4">
        <f t="shared" ca="1" si="22"/>
        <v>45203</v>
      </c>
      <c r="J1427" s="42">
        <f ca="1">TODAY()-qry_ProdData2_PDI_Cash_Exception_Application[[#This Row],[INSERT DATE]]</f>
        <v>19.742928240739275</v>
      </c>
      <c r="K14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27">
        <f ca="1">qry_ProdData2_PDI_Cash_Exception_Application[[#This Row],[TODAY]]-qry_ProdData2_PDI_Cash_Exception_Application[[#This Row],[CHANGED ON]]</f>
        <v>18.742928240739275</v>
      </c>
      <c r="M1427">
        <f ca="1">qry_ProdData2_PDI_Cash_Exception_Application[[#This Row],[TODAY]]-qry_ProdData2_PDI_Cash_Exception_Application[[#This Row],[CHANGED ON]]</f>
        <v>18.742928240739275</v>
      </c>
      <c r="N1427">
        <f ca="1">qry_ProdData2_PDI_Cash_Exception_Application[[#This Row],[TODAY]]-qry_ProdData2_PDI_Cash_Exception_Application[[#This Row],[CHANGED ON]]</f>
        <v>18.742928240739275</v>
      </c>
    </row>
    <row r="1428" spans="1:14" x14ac:dyDescent="0.35">
      <c r="A1428">
        <v>1010</v>
      </c>
      <c r="B1428" t="s">
        <v>64</v>
      </c>
      <c r="C1428" s="1">
        <v>45189.257071759261</v>
      </c>
      <c r="D1428" t="str">
        <f ca="1">VLOOKUP(qry_ProdData2_PDI_Cash_Exception_Application[[#This Row],[TYPE]],#REF!,2,FALSE)</f>
        <v>type40</v>
      </c>
      <c r="E1428">
        <v>5407.75</v>
      </c>
      <c r="F1428" t="s">
        <v>48</v>
      </c>
      <c r="G1428" s="1">
        <f>qry_ProdData2_PDI_Cash_Exception_Application[[#This Row],[INSERT DATE]]+2</f>
        <v>45191.257071759261</v>
      </c>
      <c r="H1428" t="str">
        <f>VLOOKUP(qry_ProdData2_PDI_Cash_Exception_Application[[#This Row],[MARKET No]],'Site Allocation'!$B$2:$C$37,2,FALSE)</f>
        <v>Analyst2</v>
      </c>
      <c r="I1428" s="4">
        <f t="shared" ca="1" si="22"/>
        <v>45203</v>
      </c>
      <c r="J1428" s="42">
        <f ca="1">TODAY()-qry_ProdData2_PDI_Cash_Exception_Application[[#This Row],[INSERT DATE]]</f>
        <v>13.742928240739275</v>
      </c>
      <c r="K14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28">
        <f ca="1">qry_ProdData2_PDI_Cash_Exception_Application[[#This Row],[TODAY]]-qry_ProdData2_PDI_Cash_Exception_Application[[#This Row],[CHANGED ON]]</f>
        <v>11.742928240739275</v>
      </c>
      <c r="M1428">
        <f ca="1">qry_ProdData2_PDI_Cash_Exception_Application[[#This Row],[TODAY]]-qry_ProdData2_PDI_Cash_Exception_Application[[#This Row],[CHANGED ON]]</f>
        <v>11.742928240739275</v>
      </c>
      <c r="N1428">
        <f ca="1">qry_ProdData2_PDI_Cash_Exception_Application[[#This Row],[TODAY]]-qry_ProdData2_PDI_Cash_Exception_Application[[#This Row],[CHANGED ON]]</f>
        <v>11.742928240739275</v>
      </c>
    </row>
    <row r="1429" spans="1:14" x14ac:dyDescent="0.35">
      <c r="A1429">
        <v>1018</v>
      </c>
      <c r="B1429" t="s">
        <v>72</v>
      </c>
      <c r="C1429" s="1">
        <v>45184.257071759261</v>
      </c>
      <c r="D1429" t="str">
        <f ca="1">VLOOKUP(qry_ProdData2_PDI_Cash_Exception_Application[[#This Row],[TYPE]],#REF!,2,FALSE)</f>
        <v>type13</v>
      </c>
      <c r="E1429">
        <v>59481.27</v>
      </c>
      <c r="F1429" t="s">
        <v>52</v>
      </c>
      <c r="G1429" s="1">
        <f>qry_ProdData2_PDI_Cash_Exception_Application[[#This Row],[INSERT DATE]]+1</f>
        <v>45185.257071759261</v>
      </c>
      <c r="H1429" t="str">
        <f>VLOOKUP(qry_ProdData2_PDI_Cash_Exception_Application[[#This Row],[MARKET No]],'Site Allocation'!$B$2:$C$37,2,FALSE)</f>
        <v>Analyst4</v>
      </c>
      <c r="I1429" s="4">
        <f t="shared" ca="1" si="22"/>
        <v>45203</v>
      </c>
      <c r="J1429" s="42">
        <f ca="1">TODAY()-qry_ProdData2_PDI_Cash_Exception_Application[[#This Row],[INSERT DATE]]</f>
        <v>18.742928240739275</v>
      </c>
      <c r="K14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29">
        <f ca="1">qry_ProdData2_PDI_Cash_Exception_Application[[#This Row],[TODAY]]-qry_ProdData2_PDI_Cash_Exception_Application[[#This Row],[CHANGED ON]]</f>
        <v>17.742928240739275</v>
      </c>
      <c r="M1429">
        <f ca="1">qry_ProdData2_PDI_Cash_Exception_Application[[#This Row],[TODAY]]-qry_ProdData2_PDI_Cash_Exception_Application[[#This Row],[CHANGED ON]]</f>
        <v>17.742928240739275</v>
      </c>
      <c r="N1429">
        <f ca="1">qry_ProdData2_PDI_Cash_Exception_Application[[#This Row],[TODAY]]-qry_ProdData2_PDI_Cash_Exception_Application[[#This Row],[CHANGED ON]]</f>
        <v>17.742928240739275</v>
      </c>
    </row>
    <row r="1430" spans="1:14" x14ac:dyDescent="0.35">
      <c r="A1430">
        <v>1022</v>
      </c>
      <c r="B1430" t="s">
        <v>76</v>
      </c>
      <c r="C1430" s="1">
        <v>45185.257071759261</v>
      </c>
      <c r="D1430" t="str">
        <f ca="1">VLOOKUP(qry_ProdData2_PDI_Cash_Exception_Application[[#This Row],[TYPE]],#REF!,2,FALSE)</f>
        <v>type13</v>
      </c>
      <c r="E1430">
        <v>28343.74</v>
      </c>
      <c r="F1430" t="s">
        <v>52</v>
      </c>
      <c r="G1430" s="1">
        <f>qry_ProdData2_PDI_Cash_Exception_Application[[#This Row],[INSERT DATE]]+1</f>
        <v>45186.257071759261</v>
      </c>
      <c r="H1430" t="str">
        <f>VLOOKUP(qry_ProdData2_PDI_Cash_Exception_Application[[#This Row],[MARKET No]],'Site Allocation'!$B$2:$C$37,2,FALSE)</f>
        <v>Analyst4</v>
      </c>
      <c r="I1430" s="4">
        <f t="shared" ca="1" si="22"/>
        <v>45203</v>
      </c>
      <c r="J1430" s="42">
        <f ca="1">TODAY()-qry_ProdData2_PDI_Cash_Exception_Application[[#This Row],[INSERT DATE]]</f>
        <v>17.742928240739275</v>
      </c>
      <c r="K14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30">
        <f ca="1">qry_ProdData2_PDI_Cash_Exception_Application[[#This Row],[TODAY]]-qry_ProdData2_PDI_Cash_Exception_Application[[#This Row],[CHANGED ON]]</f>
        <v>16.742928240739275</v>
      </c>
      <c r="M1430">
        <f ca="1">qry_ProdData2_PDI_Cash_Exception_Application[[#This Row],[TODAY]]-qry_ProdData2_PDI_Cash_Exception_Application[[#This Row],[CHANGED ON]]</f>
        <v>16.742928240739275</v>
      </c>
      <c r="N1430">
        <f ca="1">qry_ProdData2_PDI_Cash_Exception_Application[[#This Row],[TODAY]]-qry_ProdData2_PDI_Cash_Exception_Application[[#This Row],[CHANGED ON]]</f>
        <v>16.742928240739275</v>
      </c>
    </row>
    <row r="1431" spans="1:14" x14ac:dyDescent="0.35">
      <c r="A1431">
        <v>1010</v>
      </c>
      <c r="B1431" t="s">
        <v>64</v>
      </c>
      <c r="C1431" s="1">
        <v>45185.257071759261</v>
      </c>
      <c r="D1431" t="str">
        <f ca="1">VLOOKUP(qry_ProdData2_PDI_Cash_Exception_Application[[#This Row],[TYPE]],#REF!,2,FALSE)</f>
        <v>type40</v>
      </c>
      <c r="E1431">
        <v>121.81</v>
      </c>
      <c r="F1431" t="s">
        <v>52</v>
      </c>
      <c r="G1431" s="1">
        <f>qry_ProdData2_PDI_Cash_Exception_Application[[#This Row],[INSERT DATE]]+1</f>
        <v>45186.257071759261</v>
      </c>
      <c r="H1431" t="str">
        <f>VLOOKUP(qry_ProdData2_PDI_Cash_Exception_Application[[#This Row],[MARKET No]],'Site Allocation'!$B$2:$C$37,2,FALSE)</f>
        <v>Analyst2</v>
      </c>
      <c r="I1431" s="4">
        <f t="shared" ca="1" si="22"/>
        <v>45203</v>
      </c>
      <c r="J1431" s="42">
        <f ca="1">TODAY()-qry_ProdData2_PDI_Cash_Exception_Application[[#This Row],[INSERT DATE]]</f>
        <v>17.742928240739275</v>
      </c>
      <c r="K14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31">
        <f ca="1">qry_ProdData2_PDI_Cash_Exception_Application[[#This Row],[TODAY]]-qry_ProdData2_PDI_Cash_Exception_Application[[#This Row],[CHANGED ON]]</f>
        <v>16.742928240739275</v>
      </c>
      <c r="M1431">
        <f ca="1">qry_ProdData2_PDI_Cash_Exception_Application[[#This Row],[TODAY]]-qry_ProdData2_PDI_Cash_Exception_Application[[#This Row],[CHANGED ON]]</f>
        <v>16.742928240739275</v>
      </c>
      <c r="N1431">
        <f ca="1">qry_ProdData2_PDI_Cash_Exception_Application[[#This Row],[TODAY]]-qry_ProdData2_PDI_Cash_Exception_Application[[#This Row],[CHANGED ON]]</f>
        <v>16.742928240739275</v>
      </c>
    </row>
    <row r="1432" spans="1:14" x14ac:dyDescent="0.35">
      <c r="A1432">
        <v>1027</v>
      </c>
      <c r="B1432" t="s">
        <v>81</v>
      </c>
      <c r="C1432" s="1">
        <v>45186.257071759261</v>
      </c>
      <c r="D1432" t="str">
        <f ca="1">VLOOKUP(qry_ProdData2_PDI_Cash_Exception_Application[[#This Row],[TYPE]],#REF!,2,FALSE)</f>
        <v>type40</v>
      </c>
      <c r="E1432">
        <v>-20092.599999999999</v>
      </c>
      <c r="F1432" t="s">
        <v>50</v>
      </c>
      <c r="G1432" s="1">
        <f>qry_ProdData2_PDI_Cash_Exception_Application[[#This Row],[INSERT DATE]]+1</f>
        <v>45187.257071759261</v>
      </c>
      <c r="H1432" t="str">
        <f>VLOOKUP(qry_ProdData2_PDI_Cash_Exception_Application[[#This Row],[MARKET No]],'Site Allocation'!$B$2:$C$37,2,FALSE)</f>
        <v>Analyst5</v>
      </c>
      <c r="I1432" s="4">
        <f t="shared" ca="1" si="22"/>
        <v>45203</v>
      </c>
      <c r="J1432" s="42">
        <f ca="1">TODAY()-qry_ProdData2_PDI_Cash_Exception_Application[[#This Row],[INSERT DATE]]</f>
        <v>16.742928240739275</v>
      </c>
      <c r="K14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32">
        <f ca="1">qry_ProdData2_PDI_Cash_Exception_Application[[#This Row],[TODAY]]-qry_ProdData2_PDI_Cash_Exception_Application[[#This Row],[CHANGED ON]]</f>
        <v>15.742928240739275</v>
      </c>
      <c r="M1432">
        <f ca="1">qry_ProdData2_PDI_Cash_Exception_Application[[#This Row],[TODAY]]-qry_ProdData2_PDI_Cash_Exception_Application[[#This Row],[CHANGED ON]]</f>
        <v>15.742928240739275</v>
      </c>
      <c r="N1432">
        <f ca="1">qry_ProdData2_PDI_Cash_Exception_Application[[#This Row],[TODAY]]-qry_ProdData2_PDI_Cash_Exception_Application[[#This Row],[CHANGED ON]]</f>
        <v>15.742928240739275</v>
      </c>
    </row>
    <row r="1433" spans="1:14" x14ac:dyDescent="0.35">
      <c r="A1433">
        <v>1012</v>
      </c>
      <c r="B1433" t="s">
        <v>66</v>
      </c>
      <c r="C1433" s="1">
        <v>45187.257071759261</v>
      </c>
      <c r="D1433" t="str">
        <f ca="1">VLOOKUP(qry_ProdData2_PDI_Cash_Exception_Application[[#This Row],[TYPE]],#REF!,2,FALSE)</f>
        <v>type42</v>
      </c>
      <c r="E1433">
        <v>298.05</v>
      </c>
      <c r="F1433" t="s">
        <v>50</v>
      </c>
      <c r="G1433" s="1">
        <f>qry_ProdData2_PDI_Cash_Exception_Application[[#This Row],[INSERT DATE]]+2</f>
        <v>45189.257071759261</v>
      </c>
      <c r="H1433" t="str">
        <f>VLOOKUP(qry_ProdData2_PDI_Cash_Exception_Application[[#This Row],[MARKET No]],'Site Allocation'!$B$2:$C$37,2,FALSE)</f>
        <v>Analyst3</v>
      </c>
      <c r="I1433" s="4">
        <f t="shared" ca="1" si="22"/>
        <v>45203</v>
      </c>
      <c r="J1433" s="42">
        <f ca="1">TODAY()-qry_ProdData2_PDI_Cash_Exception_Application[[#This Row],[INSERT DATE]]</f>
        <v>15.742928240739275</v>
      </c>
      <c r="K14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33">
        <f ca="1">qry_ProdData2_PDI_Cash_Exception_Application[[#This Row],[TODAY]]-qry_ProdData2_PDI_Cash_Exception_Application[[#This Row],[CHANGED ON]]</f>
        <v>13.742928240739275</v>
      </c>
      <c r="M1433">
        <f ca="1">qry_ProdData2_PDI_Cash_Exception_Application[[#This Row],[TODAY]]-qry_ProdData2_PDI_Cash_Exception_Application[[#This Row],[CHANGED ON]]</f>
        <v>13.742928240739275</v>
      </c>
      <c r="N1433">
        <f ca="1">qry_ProdData2_PDI_Cash_Exception_Application[[#This Row],[TODAY]]-qry_ProdData2_PDI_Cash_Exception_Application[[#This Row],[CHANGED ON]]</f>
        <v>13.742928240739275</v>
      </c>
    </row>
    <row r="1434" spans="1:14" x14ac:dyDescent="0.35">
      <c r="A1434">
        <v>1014</v>
      </c>
      <c r="B1434" t="s">
        <v>68</v>
      </c>
      <c r="C1434" s="1">
        <v>45187.257071759261</v>
      </c>
      <c r="D1434" t="str">
        <f ca="1">VLOOKUP(qry_ProdData2_PDI_Cash_Exception_Application[[#This Row],[TYPE]],#REF!,2,FALSE)</f>
        <v>type40</v>
      </c>
      <c r="E1434">
        <v>50</v>
      </c>
      <c r="F1434" t="s">
        <v>50</v>
      </c>
      <c r="G1434" s="1">
        <f>qry_ProdData2_PDI_Cash_Exception_Application[[#This Row],[INSERT DATE]]+2</f>
        <v>45189.257071759261</v>
      </c>
      <c r="H1434" t="str">
        <f>VLOOKUP(qry_ProdData2_PDI_Cash_Exception_Application[[#This Row],[MARKET No]],'Site Allocation'!$B$2:$C$37,2,FALSE)</f>
        <v>Analyst3</v>
      </c>
      <c r="I1434" s="4">
        <f t="shared" ca="1" si="22"/>
        <v>45203</v>
      </c>
      <c r="J1434" s="42">
        <f ca="1">TODAY()-qry_ProdData2_PDI_Cash_Exception_Application[[#This Row],[INSERT DATE]]</f>
        <v>15.742928240739275</v>
      </c>
      <c r="K14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34">
        <f ca="1">qry_ProdData2_PDI_Cash_Exception_Application[[#This Row],[TODAY]]-qry_ProdData2_PDI_Cash_Exception_Application[[#This Row],[CHANGED ON]]</f>
        <v>13.742928240739275</v>
      </c>
      <c r="M1434">
        <f ca="1">qry_ProdData2_PDI_Cash_Exception_Application[[#This Row],[TODAY]]-qry_ProdData2_PDI_Cash_Exception_Application[[#This Row],[CHANGED ON]]</f>
        <v>13.742928240739275</v>
      </c>
      <c r="N1434">
        <f ca="1">qry_ProdData2_PDI_Cash_Exception_Application[[#This Row],[TODAY]]-qry_ProdData2_PDI_Cash_Exception_Application[[#This Row],[CHANGED ON]]</f>
        <v>13.742928240739275</v>
      </c>
    </row>
    <row r="1435" spans="1:14" x14ac:dyDescent="0.35">
      <c r="A1435">
        <v>1027</v>
      </c>
      <c r="B1435" t="s">
        <v>81</v>
      </c>
      <c r="C1435" s="1">
        <v>45189.257071759261</v>
      </c>
      <c r="D1435" t="str">
        <f ca="1">VLOOKUP(qry_ProdData2_PDI_Cash_Exception_Application[[#This Row],[TYPE]],#REF!,2,FALSE)</f>
        <v>type40</v>
      </c>
      <c r="E1435">
        <v>-654.48</v>
      </c>
      <c r="F1435" t="s">
        <v>47</v>
      </c>
      <c r="G1435" s="1">
        <f>qry_ProdData2_PDI_Cash_Exception_Application[[#This Row],[INSERT DATE]]+7</f>
        <v>45196.257071759261</v>
      </c>
      <c r="H1435" t="str">
        <f>VLOOKUP(qry_ProdData2_PDI_Cash_Exception_Application[[#This Row],[MARKET No]],'Site Allocation'!$B$2:$C$37,2,FALSE)</f>
        <v>Analyst5</v>
      </c>
      <c r="I1435" s="4">
        <f t="shared" ca="1" si="22"/>
        <v>45203</v>
      </c>
      <c r="J1435" s="42">
        <f ca="1">TODAY()-qry_ProdData2_PDI_Cash_Exception_Application[[#This Row],[INSERT DATE]]</f>
        <v>13.742928240739275</v>
      </c>
      <c r="K14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35">
        <f ca="1">qry_ProdData2_PDI_Cash_Exception_Application[[#This Row],[TODAY]]-qry_ProdData2_PDI_Cash_Exception_Application[[#This Row],[CHANGED ON]]</f>
        <v>6.7429282407392748</v>
      </c>
      <c r="M1435">
        <f ca="1">qry_ProdData2_PDI_Cash_Exception_Application[[#This Row],[TODAY]]-qry_ProdData2_PDI_Cash_Exception_Application[[#This Row],[CHANGED ON]]</f>
        <v>6.7429282407392748</v>
      </c>
      <c r="N1435">
        <f ca="1">qry_ProdData2_PDI_Cash_Exception_Application[[#This Row],[TODAY]]-qry_ProdData2_PDI_Cash_Exception_Application[[#This Row],[CHANGED ON]]</f>
        <v>6.7429282407392748</v>
      </c>
    </row>
    <row r="1436" spans="1:14" x14ac:dyDescent="0.35">
      <c r="A1436">
        <v>1008</v>
      </c>
      <c r="B1436" t="s">
        <v>62</v>
      </c>
      <c r="C1436" s="1">
        <v>45190.257071759261</v>
      </c>
      <c r="D1436" t="str">
        <f ca="1">VLOOKUP(qry_ProdData2_PDI_Cash_Exception_Application[[#This Row],[TYPE]],#REF!,2,FALSE)</f>
        <v>type13</v>
      </c>
      <c r="E1436">
        <v>34805.910000000003</v>
      </c>
      <c r="F1436" t="s">
        <v>49</v>
      </c>
      <c r="G1436" s="1">
        <f>qry_ProdData2_PDI_Cash_Exception_Application[[#This Row],[INSERT DATE]]+1</f>
        <v>45191.257071759261</v>
      </c>
      <c r="H1436" t="str">
        <f>VLOOKUP(qry_ProdData2_PDI_Cash_Exception_Application[[#This Row],[MARKET No]],'Site Allocation'!$B$2:$C$37,2,FALSE)</f>
        <v>Analyst2</v>
      </c>
      <c r="I1436" s="4">
        <f t="shared" ca="1" si="22"/>
        <v>45203</v>
      </c>
      <c r="J1436" s="42">
        <f ca="1">TODAY()-qry_ProdData2_PDI_Cash_Exception_Application[[#This Row],[INSERT DATE]]</f>
        <v>12.742928240739275</v>
      </c>
      <c r="K14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36">
        <f ca="1">qry_ProdData2_PDI_Cash_Exception_Application[[#This Row],[TODAY]]-qry_ProdData2_PDI_Cash_Exception_Application[[#This Row],[CHANGED ON]]</f>
        <v>11.742928240739275</v>
      </c>
      <c r="M1436">
        <f ca="1">qry_ProdData2_PDI_Cash_Exception_Application[[#This Row],[TODAY]]-qry_ProdData2_PDI_Cash_Exception_Application[[#This Row],[CHANGED ON]]</f>
        <v>11.742928240739275</v>
      </c>
      <c r="N1436">
        <f ca="1">qry_ProdData2_PDI_Cash_Exception_Application[[#This Row],[TODAY]]-qry_ProdData2_PDI_Cash_Exception_Application[[#This Row],[CHANGED ON]]</f>
        <v>11.742928240739275</v>
      </c>
    </row>
    <row r="1437" spans="1:14" x14ac:dyDescent="0.35">
      <c r="A1437">
        <v>1010</v>
      </c>
      <c r="B1437" t="s">
        <v>64</v>
      </c>
      <c r="C1437" s="1">
        <v>45190.257071759261</v>
      </c>
      <c r="D1437" t="str">
        <f ca="1">VLOOKUP(qry_ProdData2_PDI_Cash_Exception_Application[[#This Row],[TYPE]],#REF!,2,FALSE)</f>
        <v>type13</v>
      </c>
      <c r="E1437">
        <v>22011.31</v>
      </c>
      <c r="F1437" t="s">
        <v>49</v>
      </c>
      <c r="G1437" s="1">
        <f>qry_ProdData2_PDI_Cash_Exception_Application[[#This Row],[INSERT DATE]]+1</f>
        <v>45191.257071759261</v>
      </c>
      <c r="H1437" t="str">
        <f>VLOOKUP(qry_ProdData2_PDI_Cash_Exception_Application[[#This Row],[MARKET No]],'Site Allocation'!$B$2:$C$37,2,FALSE)</f>
        <v>Analyst2</v>
      </c>
      <c r="I1437" s="4">
        <f t="shared" ca="1" si="22"/>
        <v>45203</v>
      </c>
      <c r="J1437" s="42">
        <f ca="1">TODAY()-qry_ProdData2_PDI_Cash_Exception_Application[[#This Row],[INSERT DATE]]</f>
        <v>12.742928240739275</v>
      </c>
      <c r="K14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37">
        <f ca="1">qry_ProdData2_PDI_Cash_Exception_Application[[#This Row],[TODAY]]-qry_ProdData2_PDI_Cash_Exception_Application[[#This Row],[CHANGED ON]]</f>
        <v>11.742928240739275</v>
      </c>
      <c r="M1437">
        <f ca="1">qry_ProdData2_PDI_Cash_Exception_Application[[#This Row],[TODAY]]-qry_ProdData2_PDI_Cash_Exception_Application[[#This Row],[CHANGED ON]]</f>
        <v>11.742928240739275</v>
      </c>
      <c r="N1437">
        <f ca="1">qry_ProdData2_PDI_Cash_Exception_Application[[#This Row],[TODAY]]-qry_ProdData2_PDI_Cash_Exception_Application[[#This Row],[CHANGED ON]]</f>
        <v>11.742928240739275</v>
      </c>
    </row>
    <row r="1438" spans="1:14" x14ac:dyDescent="0.35">
      <c r="A1438">
        <v>1022</v>
      </c>
      <c r="B1438" t="s">
        <v>76</v>
      </c>
      <c r="C1438" s="1">
        <v>45184.257071759261</v>
      </c>
      <c r="D1438" t="str">
        <f ca="1">VLOOKUP(qry_ProdData2_PDI_Cash_Exception_Application[[#This Row],[TYPE]],#REF!,2,FALSE)</f>
        <v>type40</v>
      </c>
      <c r="E1438">
        <v>-638.36</v>
      </c>
      <c r="F1438" t="s">
        <v>51</v>
      </c>
      <c r="G1438" s="1">
        <f>qry_ProdData2_PDI_Cash_Exception_Application[[#This Row],[INSERT DATE]]+7</f>
        <v>45191.257071759261</v>
      </c>
      <c r="H1438" t="str">
        <f>VLOOKUP(qry_ProdData2_PDI_Cash_Exception_Application[[#This Row],[MARKET No]],'Site Allocation'!$B$2:$C$37,2,FALSE)</f>
        <v>Analyst4</v>
      </c>
      <c r="I1438" s="4">
        <f t="shared" ca="1" si="22"/>
        <v>45203</v>
      </c>
      <c r="J1438" s="42">
        <f ca="1">TODAY()-qry_ProdData2_PDI_Cash_Exception_Application[[#This Row],[INSERT DATE]]</f>
        <v>18.742928240739275</v>
      </c>
      <c r="K14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38">
        <f ca="1">qry_ProdData2_PDI_Cash_Exception_Application[[#This Row],[TODAY]]-qry_ProdData2_PDI_Cash_Exception_Application[[#This Row],[CHANGED ON]]</f>
        <v>11.742928240739275</v>
      </c>
      <c r="M1438">
        <f ca="1">qry_ProdData2_PDI_Cash_Exception_Application[[#This Row],[TODAY]]-qry_ProdData2_PDI_Cash_Exception_Application[[#This Row],[CHANGED ON]]</f>
        <v>11.742928240739275</v>
      </c>
      <c r="N1438">
        <f ca="1">qry_ProdData2_PDI_Cash_Exception_Application[[#This Row],[TODAY]]-qry_ProdData2_PDI_Cash_Exception_Application[[#This Row],[CHANGED ON]]</f>
        <v>11.742928240739275</v>
      </c>
    </row>
    <row r="1439" spans="1:14" x14ac:dyDescent="0.35">
      <c r="A1439">
        <v>1021</v>
      </c>
      <c r="B1439" t="s">
        <v>75</v>
      </c>
      <c r="C1439" s="1">
        <v>45184.257071759261</v>
      </c>
      <c r="D1439" t="str">
        <f ca="1">VLOOKUP(qry_ProdData2_PDI_Cash_Exception_Application[[#This Row],[TYPE]],#REF!,2,FALSE)</f>
        <v>type40</v>
      </c>
      <c r="E1439">
        <v>388.28</v>
      </c>
      <c r="F1439" t="s">
        <v>51</v>
      </c>
      <c r="G1439" s="1">
        <f>qry_ProdData2_PDI_Cash_Exception_Application[[#This Row],[INSERT DATE]]+7</f>
        <v>45191.257071759261</v>
      </c>
      <c r="H1439" t="str">
        <f>VLOOKUP(qry_ProdData2_PDI_Cash_Exception_Application[[#This Row],[MARKET No]],'Site Allocation'!$B$2:$C$37,2,FALSE)</f>
        <v>Analyst4</v>
      </c>
      <c r="I1439" s="4">
        <f t="shared" ca="1" si="22"/>
        <v>45203</v>
      </c>
      <c r="J1439" s="42">
        <f ca="1">TODAY()-qry_ProdData2_PDI_Cash_Exception_Application[[#This Row],[INSERT DATE]]</f>
        <v>18.742928240739275</v>
      </c>
      <c r="K14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39">
        <f ca="1">qry_ProdData2_PDI_Cash_Exception_Application[[#This Row],[TODAY]]-qry_ProdData2_PDI_Cash_Exception_Application[[#This Row],[CHANGED ON]]</f>
        <v>11.742928240739275</v>
      </c>
      <c r="M1439">
        <f ca="1">qry_ProdData2_PDI_Cash_Exception_Application[[#This Row],[TODAY]]-qry_ProdData2_PDI_Cash_Exception_Application[[#This Row],[CHANGED ON]]</f>
        <v>11.742928240739275</v>
      </c>
      <c r="N1439">
        <f ca="1">qry_ProdData2_PDI_Cash_Exception_Application[[#This Row],[TODAY]]-qry_ProdData2_PDI_Cash_Exception_Application[[#This Row],[CHANGED ON]]</f>
        <v>11.742928240739275</v>
      </c>
    </row>
    <row r="1440" spans="1:14" x14ac:dyDescent="0.35">
      <c r="A1440">
        <v>1014</v>
      </c>
      <c r="B1440" t="s">
        <v>68</v>
      </c>
      <c r="C1440" s="1">
        <v>45185.257071759261</v>
      </c>
      <c r="D1440" t="str">
        <f ca="1">VLOOKUP(qry_ProdData2_PDI_Cash_Exception_Application[[#This Row],[TYPE]],#REF!,2,FALSE)</f>
        <v>type40</v>
      </c>
      <c r="E1440">
        <v>-321.83999999999997</v>
      </c>
      <c r="F1440" t="s">
        <v>51</v>
      </c>
      <c r="G1440" s="1">
        <f>qry_ProdData2_PDI_Cash_Exception_Application[[#This Row],[INSERT DATE]]+7</f>
        <v>45192.257071759261</v>
      </c>
      <c r="H1440" t="str">
        <f>VLOOKUP(qry_ProdData2_PDI_Cash_Exception_Application[[#This Row],[MARKET No]],'Site Allocation'!$B$2:$C$37,2,FALSE)</f>
        <v>Analyst3</v>
      </c>
      <c r="I1440" s="4">
        <f t="shared" ca="1" si="22"/>
        <v>45203</v>
      </c>
      <c r="J1440" s="42">
        <f ca="1">TODAY()-qry_ProdData2_PDI_Cash_Exception_Application[[#This Row],[INSERT DATE]]</f>
        <v>17.742928240739275</v>
      </c>
      <c r="K14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40">
        <f ca="1">qry_ProdData2_PDI_Cash_Exception_Application[[#This Row],[TODAY]]-qry_ProdData2_PDI_Cash_Exception_Application[[#This Row],[CHANGED ON]]</f>
        <v>10.742928240739275</v>
      </c>
      <c r="M1440">
        <f ca="1">qry_ProdData2_PDI_Cash_Exception_Application[[#This Row],[TODAY]]-qry_ProdData2_PDI_Cash_Exception_Application[[#This Row],[CHANGED ON]]</f>
        <v>10.742928240739275</v>
      </c>
      <c r="N1440">
        <f ca="1">qry_ProdData2_PDI_Cash_Exception_Application[[#This Row],[TODAY]]-qry_ProdData2_PDI_Cash_Exception_Application[[#This Row],[CHANGED ON]]</f>
        <v>10.742928240739275</v>
      </c>
    </row>
    <row r="1441" spans="1:14" x14ac:dyDescent="0.35">
      <c r="A1441">
        <v>1001</v>
      </c>
      <c r="B1441" t="s">
        <v>55</v>
      </c>
      <c r="C1441" s="1">
        <v>45185.257071759261</v>
      </c>
      <c r="D1441" t="str">
        <f ca="1">VLOOKUP(qry_ProdData2_PDI_Cash_Exception_Application[[#This Row],[TYPE]],#REF!,2,FALSE)</f>
        <v>type40</v>
      </c>
      <c r="E1441">
        <v>1827.56</v>
      </c>
      <c r="F1441" t="s">
        <v>51</v>
      </c>
      <c r="G1441" s="1">
        <f>qry_ProdData2_PDI_Cash_Exception_Application[[#This Row],[INSERT DATE]]+7</f>
        <v>45192.257071759261</v>
      </c>
      <c r="H1441" t="str">
        <f>VLOOKUP(qry_ProdData2_PDI_Cash_Exception_Application[[#This Row],[MARKET No]],'Site Allocation'!$B$2:$C$37,2,FALSE)</f>
        <v>Analyst1</v>
      </c>
      <c r="I1441" s="4">
        <f t="shared" ca="1" si="22"/>
        <v>45203</v>
      </c>
      <c r="J1441" s="42">
        <f ca="1">TODAY()-qry_ProdData2_PDI_Cash_Exception_Application[[#This Row],[INSERT DATE]]</f>
        <v>17.742928240739275</v>
      </c>
      <c r="K14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41">
        <f ca="1">qry_ProdData2_PDI_Cash_Exception_Application[[#This Row],[TODAY]]-qry_ProdData2_PDI_Cash_Exception_Application[[#This Row],[CHANGED ON]]</f>
        <v>10.742928240739275</v>
      </c>
      <c r="M1441">
        <f ca="1">qry_ProdData2_PDI_Cash_Exception_Application[[#This Row],[TODAY]]-qry_ProdData2_PDI_Cash_Exception_Application[[#This Row],[CHANGED ON]]</f>
        <v>10.742928240739275</v>
      </c>
      <c r="N1441">
        <f ca="1">qry_ProdData2_PDI_Cash_Exception_Application[[#This Row],[TODAY]]-qry_ProdData2_PDI_Cash_Exception_Application[[#This Row],[CHANGED ON]]</f>
        <v>10.742928240739275</v>
      </c>
    </row>
    <row r="1442" spans="1:14" x14ac:dyDescent="0.35">
      <c r="A1442">
        <v>1005</v>
      </c>
      <c r="B1442" t="s">
        <v>59</v>
      </c>
      <c r="C1442" s="1">
        <v>45187.257071759261</v>
      </c>
      <c r="D1442" t="str">
        <f ca="1">VLOOKUP(qry_ProdData2_PDI_Cash_Exception_Application[[#This Row],[TYPE]],#REF!,2,FALSE)</f>
        <v>type7</v>
      </c>
      <c r="E1442">
        <v>-1880.96</v>
      </c>
      <c r="F1442" t="s">
        <v>51</v>
      </c>
      <c r="G1442" s="1">
        <f>qry_ProdData2_PDI_Cash_Exception_Application[[#This Row],[INSERT DATE]]+7</f>
        <v>45194.257071759261</v>
      </c>
      <c r="H1442" t="str">
        <f>VLOOKUP(qry_ProdData2_PDI_Cash_Exception_Application[[#This Row],[MARKET No]],'Site Allocation'!$B$2:$C$37,2,FALSE)</f>
        <v>Analyst1</v>
      </c>
      <c r="I1442" s="4">
        <f t="shared" ca="1" si="22"/>
        <v>45203</v>
      </c>
      <c r="J1442" s="42">
        <f ca="1">TODAY()-qry_ProdData2_PDI_Cash_Exception_Application[[#This Row],[INSERT DATE]]</f>
        <v>15.742928240739275</v>
      </c>
      <c r="K14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42">
        <f ca="1">qry_ProdData2_PDI_Cash_Exception_Application[[#This Row],[TODAY]]-qry_ProdData2_PDI_Cash_Exception_Application[[#This Row],[CHANGED ON]]</f>
        <v>8.7429282407392748</v>
      </c>
      <c r="M1442">
        <f ca="1">qry_ProdData2_PDI_Cash_Exception_Application[[#This Row],[TODAY]]-qry_ProdData2_PDI_Cash_Exception_Application[[#This Row],[CHANGED ON]]</f>
        <v>8.7429282407392748</v>
      </c>
      <c r="N1442">
        <f ca="1">qry_ProdData2_PDI_Cash_Exception_Application[[#This Row],[TODAY]]-qry_ProdData2_PDI_Cash_Exception_Application[[#This Row],[CHANGED ON]]</f>
        <v>8.7429282407392748</v>
      </c>
    </row>
    <row r="1443" spans="1:14" x14ac:dyDescent="0.35">
      <c r="A1443">
        <v>1032</v>
      </c>
      <c r="B1443" t="s">
        <v>86</v>
      </c>
      <c r="C1443" s="1">
        <v>45185.257071759261</v>
      </c>
      <c r="D1443" t="str">
        <f ca="1">VLOOKUP(qry_ProdData2_PDI_Cash_Exception_Application[[#This Row],[TYPE]],#REF!,2,FALSE)</f>
        <v>type40</v>
      </c>
      <c r="E1443">
        <v>3</v>
      </c>
      <c r="F1443" t="s">
        <v>49</v>
      </c>
      <c r="G1443" s="1">
        <f>qry_ProdData2_PDI_Cash_Exception_Application[[#This Row],[INSERT DATE]]+2</f>
        <v>45187.257071759261</v>
      </c>
      <c r="H1443" t="str">
        <f>VLOOKUP(qry_ProdData2_PDI_Cash_Exception_Application[[#This Row],[MARKET No]],'Site Allocation'!$B$2:$C$37,2,FALSE)</f>
        <v>Analyst6</v>
      </c>
      <c r="I1443" s="4">
        <f t="shared" ca="1" si="22"/>
        <v>45203</v>
      </c>
      <c r="J1443" s="42">
        <f ca="1">TODAY()-qry_ProdData2_PDI_Cash_Exception_Application[[#This Row],[INSERT DATE]]</f>
        <v>17.742928240739275</v>
      </c>
      <c r="K14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43">
        <f ca="1">qry_ProdData2_PDI_Cash_Exception_Application[[#This Row],[TODAY]]-qry_ProdData2_PDI_Cash_Exception_Application[[#This Row],[CHANGED ON]]</f>
        <v>15.742928240739275</v>
      </c>
      <c r="M1443">
        <f ca="1">qry_ProdData2_PDI_Cash_Exception_Application[[#This Row],[TODAY]]-qry_ProdData2_PDI_Cash_Exception_Application[[#This Row],[CHANGED ON]]</f>
        <v>15.742928240739275</v>
      </c>
      <c r="N1443">
        <f ca="1">qry_ProdData2_PDI_Cash_Exception_Application[[#This Row],[TODAY]]-qry_ProdData2_PDI_Cash_Exception_Application[[#This Row],[CHANGED ON]]</f>
        <v>15.742928240739275</v>
      </c>
    </row>
    <row r="1444" spans="1:14" x14ac:dyDescent="0.35">
      <c r="A1444">
        <v>1009</v>
      </c>
      <c r="B1444" t="s">
        <v>63</v>
      </c>
      <c r="C1444" s="1">
        <v>45191.257071759261</v>
      </c>
      <c r="D1444" t="str">
        <f ca="1">VLOOKUP(qry_ProdData2_PDI_Cash_Exception_Application[[#This Row],[TYPE]],#REF!,2,FALSE)</f>
        <v>type40</v>
      </c>
      <c r="E1444">
        <v>372.3</v>
      </c>
      <c r="F1444" t="s">
        <v>48</v>
      </c>
      <c r="G1444" s="1">
        <f>qry_ProdData2_PDI_Cash_Exception_Application[[#This Row],[INSERT DATE]]+2</f>
        <v>45193.257071759261</v>
      </c>
      <c r="H1444" t="str">
        <f>VLOOKUP(qry_ProdData2_PDI_Cash_Exception_Application[[#This Row],[MARKET No]],'Site Allocation'!$B$2:$C$37,2,FALSE)</f>
        <v>Analyst2</v>
      </c>
      <c r="I1444" s="4">
        <f t="shared" ca="1" si="22"/>
        <v>45203</v>
      </c>
      <c r="J1444" s="42">
        <f ca="1">TODAY()-qry_ProdData2_PDI_Cash_Exception_Application[[#This Row],[INSERT DATE]]</f>
        <v>11.742928240739275</v>
      </c>
      <c r="K14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44">
        <f ca="1">qry_ProdData2_PDI_Cash_Exception_Application[[#This Row],[TODAY]]-qry_ProdData2_PDI_Cash_Exception_Application[[#This Row],[CHANGED ON]]</f>
        <v>9.7429282407392748</v>
      </c>
      <c r="M1444">
        <f ca="1">qry_ProdData2_PDI_Cash_Exception_Application[[#This Row],[TODAY]]-qry_ProdData2_PDI_Cash_Exception_Application[[#This Row],[CHANGED ON]]</f>
        <v>9.7429282407392748</v>
      </c>
      <c r="N1444">
        <f ca="1">qry_ProdData2_PDI_Cash_Exception_Application[[#This Row],[TODAY]]-qry_ProdData2_PDI_Cash_Exception_Application[[#This Row],[CHANGED ON]]</f>
        <v>9.7429282407392748</v>
      </c>
    </row>
    <row r="1445" spans="1:14" x14ac:dyDescent="0.35">
      <c r="A1445">
        <v>1023</v>
      </c>
      <c r="B1445" t="s">
        <v>77</v>
      </c>
      <c r="C1445" s="1">
        <v>45186.257071759261</v>
      </c>
      <c r="D1445" t="str">
        <f ca="1">VLOOKUP(qry_ProdData2_PDI_Cash_Exception_Application[[#This Row],[TYPE]],#REF!,2,FALSE)</f>
        <v>type40</v>
      </c>
      <c r="E1445">
        <v>367.33</v>
      </c>
      <c r="F1445" t="s">
        <v>49</v>
      </c>
      <c r="G1445" s="1">
        <f>qry_ProdData2_PDI_Cash_Exception_Application[[#This Row],[INSERT DATE]]+2</f>
        <v>45188.257071759261</v>
      </c>
      <c r="H1445" t="str">
        <f>VLOOKUP(qry_ProdData2_PDI_Cash_Exception_Application[[#This Row],[MARKET No]],'Site Allocation'!$B$2:$C$37,2,FALSE)</f>
        <v>Analyst4</v>
      </c>
      <c r="I1445" s="4">
        <f t="shared" ca="1" si="22"/>
        <v>45203</v>
      </c>
      <c r="J1445" s="42">
        <f ca="1">TODAY()-qry_ProdData2_PDI_Cash_Exception_Application[[#This Row],[INSERT DATE]]</f>
        <v>16.742928240739275</v>
      </c>
      <c r="K14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45">
        <f ca="1">qry_ProdData2_PDI_Cash_Exception_Application[[#This Row],[TODAY]]-qry_ProdData2_PDI_Cash_Exception_Application[[#This Row],[CHANGED ON]]</f>
        <v>14.742928240739275</v>
      </c>
      <c r="M1445">
        <f ca="1">qry_ProdData2_PDI_Cash_Exception_Application[[#This Row],[TODAY]]-qry_ProdData2_PDI_Cash_Exception_Application[[#This Row],[CHANGED ON]]</f>
        <v>14.742928240739275</v>
      </c>
      <c r="N1445">
        <f ca="1">qry_ProdData2_PDI_Cash_Exception_Application[[#This Row],[TODAY]]-qry_ProdData2_PDI_Cash_Exception_Application[[#This Row],[CHANGED ON]]</f>
        <v>14.742928240739275</v>
      </c>
    </row>
    <row r="1446" spans="1:14" x14ac:dyDescent="0.35">
      <c r="A1446">
        <v>1022</v>
      </c>
      <c r="B1446" t="s">
        <v>76</v>
      </c>
      <c r="C1446" s="1">
        <v>45188.257071759261</v>
      </c>
      <c r="D1446" t="str">
        <f ca="1">VLOOKUP(qry_ProdData2_PDI_Cash_Exception_Application[[#This Row],[TYPE]],#REF!,2,FALSE)</f>
        <v>type14</v>
      </c>
      <c r="E1446">
        <v>6.65</v>
      </c>
      <c r="F1446" t="s">
        <v>51</v>
      </c>
      <c r="G1446" s="1">
        <f>qry_ProdData2_PDI_Cash_Exception_Application[[#This Row],[INSERT DATE]]+7</f>
        <v>45195.257071759261</v>
      </c>
      <c r="H1446" t="str">
        <f>VLOOKUP(qry_ProdData2_PDI_Cash_Exception_Application[[#This Row],[MARKET No]],'Site Allocation'!$B$2:$C$37,2,FALSE)</f>
        <v>Analyst4</v>
      </c>
      <c r="I1446" s="4">
        <f t="shared" ca="1" si="22"/>
        <v>45203</v>
      </c>
      <c r="J1446" s="42">
        <f ca="1">TODAY()-qry_ProdData2_PDI_Cash_Exception_Application[[#This Row],[INSERT DATE]]</f>
        <v>14.742928240739275</v>
      </c>
      <c r="K14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46">
        <f ca="1">qry_ProdData2_PDI_Cash_Exception_Application[[#This Row],[TODAY]]-qry_ProdData2_PDI_Cash_Exception_Application[[#This Row],[CHANGED ON]]</f>
        <v>7.7429282407392748</v>
      </c>
      <c r="M1446">
        <f ca="1">qry_ProdData2_PDI_Cash_Exception_Application[[#This Row],[TODAY]]-qry_ProdData2_PDI_Cash_Exception_Application[[#This Row],[CHANGED ON]]</f>
        <v>7.7429282407392748</v>
      </c>
      <c r="N1446">
        <f ca="1">qry_ProdData2_PDI_Cash_Exception_Application[[#This Row],[TODAY]]-qry_ProdData2_PDI_Cash_Exception_Application[[#This Row],[CHANGED ON]]</f>
        <v>7.7429282407392748</v>
      </c>
    </row>
    <row r="1447" spans="1:14" x14ac:dyDescent="0.35">
      <c r="A1447">
        <v>1020</v>
      </c>
      <c r="B1447" t="s">
        <v>74</v>
      </c>
      <c r="C1447" s="1">
        <v>45187.257071759261</v>
      </c>
      <c r="D1447" t="str">
        <f ca="1">VLOOKUP(qry_ProdData2_PDI_Cash_Exception_Application[[#This Row],[TYPE]],#REF!,2,FALSE)</f>
        <v>type40</v>
      </c>
      <c r="E1447">
        <v>5157.3900000000003</v>
      </c>
      <c r="F1447" t="s">
        <v>48</v>
      </c>
      <c r="G1447" s="1">
        <f>qry_ProdData2_PDI_Cash_Exception_Application[[#This Row],[INSERT DATE]]+2</f>
        <v>45189.257071759261</v>
      </c>
      <c r="H1447" t="str">
        <f>VLOOKUP(qry_ProdData2_PDI_Cash_Exception_Application[[#This Row],[MARKET No]],'Site Allocation'!$B$2:$C$37,2,FALSE)</f>
        <v>Analyst4</v>
      </c>
      <c r="I1447" s="4">
        <f t="shared" ca="1" si="22"/>
        <v>45203</v>
      </c>
      <c r="J1447" s="42">
        <f ca="1">TODAY()-qry_ProdData2_PDI_Cash_Exception_Application[[#This Row],[INSERT DATE]]</f>
        <v>15.742928240739275</v>
      </c>
      <c r="K14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47">
        <f ca="1">qry_ProdData2_PDI_Cash_Exception_Application[[#This Row],[TODAY]]-qry_ProdData2_PDI_Cash_Exception_Application[[#This Row],[CHANGED ON]]</f>
        <v>13.742928240739275</v>
      </c>
      <c r="M1447">
        <f ca="1">qry_ProdData2_PDI_Cash_Exception_Application[[#This Row],[TODAY]]-qry_ProdData2_PDI_Cash_Exception_Application[[#This Row],[CHANGED ON]]</f>
        <v>13.742928240739275</v>
      </c>
      <c r="N1447">
        <f ca="1">qry_ProdData2_PDI_Cash_Exception_Application[[#This Row],[TODAY]]-qry_ProdData2_PDI_Cash_Exception_Application[[#This Row],[CHANGED ON]]</f>
        <v>13.742928240739275</v>
      </c>
    </row>
    <row r="1448" spans="1:14" x14ac:dyDescent="0.35">
      <c r="A1448">
        <v>1031</v>
      </c>
      <c r="B1448" t="s">
        <v>85</v>
      </c>
      <c r="C1448" s="1">
        <v>45191.257071759261</v>
      </c>
      <c r="D1448" t="str">
        <f ca="1">VLOOKUP(qry_ProdData2_PDI_Cash_Exception_Application[[#This Row],[TYPE]],#REF!,2,FALSE)</f>
        <v>type40</v>
      </c>
      <c r="E1448">
        <v>-1051.75</v>
      </c>
      <c r="F1448" t="s">
        <v>51</v>
      </c>
      <c r="G1448" s="1">
        <f>qry_ProdData2_PDI_Cash_Exception_Application[[#This Row],[INSERT DATE]]+7</f>
        <v>45198.257071759261</v>
      </c>
      <c r="H1448" t="str">
        <f>VLOOKUP(qry_ProdData2_PDI_Cash_Exception_Application[[#This Row],[MARKET No]],'Site Allocation'!$B$2:$C$37,2,FALSE)</f>
        <v>Analyst6</v>
      </c>
      <c r="I1448" s="4">
        <f t="shared" ca="1" si="22"/>
        <v>45203</v>
      </c>
      <c r="J1448" s="42">
        <f ca="1">TODAY()-qry_ProdData2_PDI_Cash_Exception_Application[[#This Row],[INSERT DATE]]</f>
        <v>11.742928240739275</v>
      </c>
      <c r="K14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48">
        <f ca="1">qry_ProdData2_PDI_Cash_Exception_Application[[#This Row],[TODAY]]-qry_ProdData2_PDI_Cash_Exception_Application[[#This Row],[CHANGED ON]]</f>
        <v>4.7429282407392748</v>
      </c>
      <c r="M1448">
        <f ca="1">qry_ProdData2_PDI_Cash_Exception_Application[[#This Row],[TODAY]]-qry_ProdData2_PDI_Cash_Exception_Application[[#This Row],[CHANGED ON]]</f>
        <v>4.7429282407392748</v>
      </c>
      <c r="N1448">
        <f ca="1">qry_ProdData2_PDI_Cash_Exception_Application[[#This Row],[TODAY]]-qry_ProdData2_PDI_Cash_Exception_Application[[#This Row],[CHANGED ON]]</f>
        <v>4.7429282407392748</v>
      </c>
    </row>
    <row r="1449" spans="1:14" x14ac:dyDescent="0.35">
      <c r="A1449">
        <v>1030</v>
      </c>
      <c r="B1449" t="s">
        <v>84</v>
      </c>
      <c r="C1449" s="1">
        <v>45186.257071759261</v>
      </c>
      <c r="D1449" t="str">
        <f ca="1">VLOOKUP(qry_ProdData2_PDI_Cash_Exception_Application[[#This Row],[TYPE]],#REF!,2,FALSE)</f>
        <v>type38</v>
      </c>
      <c r="E1449">
        <v>230.07</v>
      </c>
      <c r="F1449" t="s">
        <v>51</v>
      </c>
      <c r="G1449" s="1">
        <f>qry_ProdData2_PDI_Cash_Exception_Application[[#This Row],[INSERT DATE]]+1</f>
        <v>45187.257071759261</v>
      </c>
      <c r="H1449" t="str">
        <f>VLOOKUP(qry_ProdData2_PDI_Cash_Exception_Application[[#This Row],[MARKET No]],'Site Allocation'!$B$2:$C$37,2,FALSE)</f>
        <v>Analyst6</v>
      </c>
      <c r="I1449" s="4">
        <f t="shared" ca="1" si="22"/>
        <v>45203</v>
      </c>
      <c r="J1449" s="42">
        <f ca="1">TODAY()-qry_ProdData2_PDI_Cash_Exception_Application[[#This Row],[INSERT DATE]]</f>
        <v>16.742928240739275</v>
      </c>
      <c r="K14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49">
        <f ca="1">qry_ProdData2_PDI_Cash_Exception_Application[[#This Row],[TODAY]]-qry_ProdData2_PDI_Cash_Exception_Application[[#This Row],[CHANGED ON]]</f>
        <v>15.742928240739275</v>
      </c>
      <c r="M1449">
        <f ca="1">qry_ProdData2_PDI_Cash_Exception_Application[[#This Row],[TODAY]]-qry_ProdData2_PDI_Cash_Exception_Application[[#This Row],[CHANGED ON]]</f>
        <v>15.742928240739275</v>
      </c>
      <c r="N1449">
        <f ca="1">qry_ProdData2_PDI_Cash_Exception_Application[[#This Row],[TODAY]]-qry_ProdData2_PDI_Cash_Exception_Application[[#This Row],[CHANGED ON]]</f>
        <v>15.742928240739275</v>
      </c>
    </row>
    <row r="1450" spans="1:14" x14ac:dyDescent="0.35">
      <c r="A1450">
        <v>1023</v>
      </c>
      <c r="B1450" t="s">
        <v>77</v>
      </c>
      <c r="C1450" s="1">
        <v>45185.257071759261</v>
      </c>
      <c r="D1450" t="str">
        <f ca="1">VLOOKUP(qry_ProdData2_PDI_Cash_Exception_Application[[#This Row],[TYPE]],#REF!,2,FALSE)</f>
        <v>type40</v>
      </c>
      <c r="E1450">
        <v>2867.86</v>
      </c>
      <c r="F1450" t="s">
        <v>47</v>
      </c>
      <c r="G1450" s="1">
        <f>qry_ProdData2_PDI_Cash_Exception_Application[[#This Row],[INSERT DATE]]+1</f>
        <v>45186.257071759261</v>
      </c>
      <c r="H1450" t="str">
        <f>VLOOKUP(qry_ProdData2_PDI_Cash_Exception_Application[[#This Row],[MARKET No]],'Site Allocation'!$B$2:$C$37,2,FALSE)</f>
        <v>Analyst4</v>
      </c>
      <c r="I1450" s="4">
        <f t="shared" ca="1" si="22"/>
        <v>45203</v>
      </c>
      <c r="J1450" s="42">
        <f ca="1">TODAY()-qry_ProdData2_PDI_Cash_Exception_Application[[#This Row],[INSERT DATE]]</f>
        <v>17.742928240739275</v>
      </c>
      <c r="K14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50">
        <f ca="1">qry_ProdData2_PDI_Cash_Exception_Application[[#This Row],[TODAY]]-qry_ProdData2_PDI_Cash_Exception_Application[[#This Row],[CHANGED ON]]</f>
        <v>16.742928240739275</v>
      </c>
      <c r="M1450">
        <f ca="1">qry_ProdData2_PDI_Cash_Exception_Application[[#This Row],[TODAY]]-qry_ProdData2_PDI_Cash_Exception_Application[[#This Row],[CHANGED ON]]</f>
        <v>16.742928240739275</v>
      </c>
      <c r="N1450">
        <f ca="1">qry_ProdData2_PDI_Cash_Exception_Application[[#This Row],[TODAY]]-qry_ProdData2_PDI_Cash_Exception_Application[[#This Row],[CHANGED ON]]</f>
        <v>16.742928240739275</v>
      </c>
    </row>
    <row r="1451" spans="1:14" x14ac:dyDescent="0.35">
      <c r="A1451">
        <v>1028</v>
      </c>
      <c r="B1451" t="s">
        <v>82</v>
      </c>
      <c r="C1451" s="1">
        <v>45189.257071759261</v>
      </c>
      <c r="D1451" t="str">
        <f ca="1">VLOOKUP(qry_ProdData2_PDI_Cash_Exception_Application[[#This Row],[TYPE]],#REF!,2,FALSE)</f>
        <v>type40</v>
      </c>
      <c r="E1451">
        <v>-341.32</v>
      </c>
      <c r="F1451" t="s">
        <v>48</v>
      </c>
      <c r="G1451" s="1">
        <f>qry_ProdData2_PDI_Cash_Exception_Application[[#This Row],[INSERT DATE]]+5</f>
        <v>45194.257071759261</v>
      </c>
      <c r="H1451" t="str">
        <f>VLOOKUP(qry_ProdData2_PDI_Cash_Exception_Application[[#This Row],[MARKET No]],'Site Allocation'!$B$2:$C$37,2,FALSE)</f>
        <v>Analyst5</v>
      </c>
      <c r="I1451" s="4">
        <f t="shared" ca="1" si="22"/>
        <v>45203</v>
      </c>
      <c r="J1451" s="42">
        <f ca="1">TODAY()-qry_ProdData2_PDI_Cash_Exception_Application[[#This Row],[INSERT DATE]]</f>
        <v>13.742928240739275</v>
      </c>
      <c r="K14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51">
        <f ca="1">qry_ProdData2_PDI_Cash_Exception_Application[[#This Row],[TODAY]]-qry_ProdData2_PDI_Cash_Exception_Application[[#This Row],[CHANGED ON]]</f>
        <v>8.7429282407392748</v>
      </c>
      <c r="M1451">
        <f ca="1">qry_ProdData2_PDI_Cash_Exception_Application[[#This Row],[TODAY]]-qry_ProdData2_PDI_Cash_Exception_Application[[#This Row],[CHANGED ON]]</f>
        <v>8.7429282407392748</v>
      </c>
      <c r="N1451">
        <f ca="1">qry_ProdData2_PDI_Cash_Exception_Application[[#This Row],[TODAY]]-qry_ProdData2_PDI_Cash_Exception_Application[[#This Row],[CHANGED ON]]</f>
        <v>8.7429282407392748</v>
      </c>
    </row>
    <row r="1452" spans="1:14" x14ac:dyDescent="0.35">
      <c r="A1452">
        <v>1023</v>
      </c>
      <c r="B1452" t="s">
        <v>77</v>
      </c>
      <c r="C1452" s="1">
        <v>45189.257071759261</v>
      </c>
      <c r="D1452" t="str">
        <f ca="1">VLOOKUP(qry_ProdData2_PDI_Cash_Exception_Application[[#This Row],[TYPE]],#REF!,2,FALSE)</f>
        <v>type13</v>
      </c>
      <c r="E1452">
        <v>26511.38</v>
      </c>
      <c r="F1452" t="s">
        <v>50</v>
      </c>
      <c r="G1452" s="1">
        <f>qry_ProdData2_PDI_Cash_Exception_Application[[#This Row],[INSERT DATE]]+2</f>
        <v>45191.257071759261</v>
      </c>
      <c r="H1452" t="str">
        <f>VLOOKUP(qry_ProdData2_PDI_Cash_Exception_Application[[#This Row],[MARKET No]],'Site Allocation'!$B$2:$C$37,2,FALSE)</f>
        <v>Analyst4</v>
      </c>
      <c r="I1452" s="4">
        <f t="shared" ca="1" si="22"/>
        <v>45203</v>
      </c>
      <c r="J1452" s="42">
        <f ca="1">TODAY()-qry_ProdData2_PDI_Cash_Exception_Application[[#This Row],[INSERT DATE]]</f>
        <v>13.742928240739275</v>
      </c>
      <c r="K14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52">
        <f ca="1">qry_ProdData2_PDI_Cash_Exception_Application[[#This Row],[TODAY]]-qry_ProdData2_PDI_Cash_Exception_Application[[#This Row],[CHANGED ON]]</f>
        <v>11.742928240739275</v>
      </c>
      <c r="M1452">
        <f ca="1">qry_ProdData2_PDI_Cash_Exception_Application[[#This Row],[TODAY]]-qry_ProdData2_PDI_Cash_Exception_Application[[#This Row],[CHANGED ON]]</f>
        <v>11.742928240739275</v>
      </c>
      <c r="N1452">
        <f ca="1">qry_ProdData2_PDI_Cash_Exception_Application[[#This Row],[TODAY]]-qry_ProdData2_PDI_Cash_Exception_Application[[#This Row],[CHANGED ON]]</f>
        <v>11.742928240739275</v>
      </c>
    </row>
    <row r="1453" spans="1:14" x14ac:dyDescent="0.35">
      <c r="A1453">
        <v>1005</v>
      </c>
      <c r="B1453" t="s">
        <v>59</v>
      </c>
      <c r="C1453" s="1">
        <v>45187.257071759261</v>
      </c>
      <c r="D1453" t="str">
        <f ca="1">VLOOKUP(qry_ProdData2_PDI_Cash_Exception_Application[[#This Row],[TYPE]],#REF!,2,FALSE)</f>
        <v>type40</v>
      </c>
      <c r="E1453">
        <v>-604.29</v>
      </c>
      <c r="F1453" t="s">
        <v>49</v>
      </c>
      <c r="G1453" s="1">
        <f>qry_ProdData2_PDI_Cash_Exception_Application[[#This Row],[INSERT DATE]]+2</f>
        <v>45189.257071759261</v>
      </c>
      <c r="H1453" t="str">
        <f>VLOOKUP(qry_ProdData2_PDI_Cash_Exception_Application[[#This Row],[MARKET No]],'Site Allocation'!$B$2:$C$37,2,FALSE)</f>
        <v>Analyst1</v>
      </c>
      <c r="I1453" s="4">
        <f t="shared" ca="1" si="22"/>
        <v>45203</v>
      </c>
      <c r="J1453" s="42">
        <f ca="1">TODAY()-qry_ProdData2_PDI_Cash_Exception_Application[[#This Row],[INSERT DATE]]</f>
        <v>15.742928240739275</v>
      </c>
      <c r="K14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53">
        <f ca="1">qry_ProdData2_PDI_Cash_Exception_Application[[#This Row],[TODAY]]-qry_ProdData2_PDI_Cash_Exception_Application[[#This Row],[CHANGED ON]]</f>
        <v>13.742928240739275</v>
      </c>
      <c r="M1453">
        <f ca="1">qry_ProdData2_PDI_Cash_Exception_Application[[#This Row],[TODAY]]-qry_ProdData2_PDI_Cash_Exception_Application[[#This Row],[CHANGED ON]]</f>
        <v>13.742928240739275</v>
      </c>
      <c r="N1453">
        <f ca="1">qry_ProdData2_PDI_Cash_Exception_Application[[#This Row],[TODAY]]-qry_ProdData2_PDI_Cash_Exception_Application[[#This Row],[CHANGED ON]]</f>
        <v>13.742928240739275</v>
      </c>
    </row>
    <row r="1454" spans="1:14" x14ac:dyDescent="0.35">
      <c r="A1454">
        <v>1028</v>
      </c>
      <c r="B1454" t="s">
        <v>82</v>
      </c>
      <c r="C1454" s="1">
        <v>45192.257071759261</v>
      </c>
      <c r="D1454" t="str">
        <f ca="1">VLOOKUP(qry_ProdData2_PDI_Cash_Exception_Application[[#This Row],[TYPE]],#REF!,2,FALSE)</f>
        <v>type40</v>
      </c>
      <c r="E1454">
        <v>1637.44</v>
      </c>
      <c r="F1454" t="s">
        <v>49</v>
      </c>
      <c r="G1454" s="1">
        <f>qry_ProdData2_PDI_Cash_Exception_Application[[#This Row],[INSERT DATE]]+2</f>
        <v>45194.257071759261</v>
      </c>
      <c r="H1454" t="str">
        <f>VLOOKUP(qry_ProdData2_PDI_Cash_Exception_Application[[#This Row],[MARKET No]],'Site Allocation'!$B$2:$C$37,2,FALSE)</f>
        <v>Analyst5</v>
      </c>
      <c r="I1454" s="4">
        <f t="shared" ca="1" si="22"/>
        <v>45203</v>
      </c>
      <c r="J1454" s="42">
        <f ca="1">TODAY()-qry_ProdData2_PDI_Cash_Exception_Application[[#This Row],[INSERT DATE]]</f>
        <v>10.742928240739275</v>
      </c>
      <c r="K14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54">
        <f ca="1">qry_ProdData2_PDI_Cash_Exception_Application[[#This Row],[TODAY]]-qry_ProdData2_PDI_Cash_Exception_Application[[#This Row],[CHANGED ON]]</f>
        <v>8.7429282407392748</v>
      </c>
      <c r="M1454">
        <f ca="1">qry_ProdData2_PDI_Cash_Exception_Application[[#This Row],[TODAY]]-qry_ProdData2_PDI_Cash_Exception_Application[[#This Row],[CHANGED ON]]</f>
        <v>8.7429282407392748</v>
      </c>
      <c r="N1454">
        <f ca="1">qry_ProdData2_PDI_Cash_Exception_Application[[#This Row],[TODAY]]-qry_ProdData2_PDI_Cash_Exception_Application[[#This Row],[CHANGED ON]]</f>
        <v>8.7429282407392748</v>
      </c>
    </row>
    <row r="1455" spans="1:14" x14ac:dyDescent="0.35">
      <c r="A1455">
        <v>1015</v>
      </c>
      <c r="B1455" t="s">
        <v>69</v>
      </c>
      <c r="C1455" s="1">
        <v>45183.257071759261</v>
      </c>
      <c r="D1455" t="str">
        <f ca="1">VLOOKUP(qry_ProdData2_PDI_Cash_Exception_Application[[#This Row],[TYPE]],#REF!,2,FALSE)</f>
        <v>type40</v>
      </c>
      <c r="E1455">
        <v>-6656.54</v>
      </c>
      <c r="F1455" t="s">
        <v>48</v>
      </c>
      <c r="G1455" s="1">
        <f>qry_ProdData2_PDI_Cash_Exception_Application[[#This Row],[INSERT DATE]]+7</f>
        <v>45190.257071759261</v>
      </c>
      <c r="H1455" t="str">
        <f>VLOOKUP(qry_ProdData2_PDI_Cash_Exception_Application[[#This Row],[MARKET No]],'Site Allocation'!$B$2:$C$37,2,FALSE)</f>
        <v>Analyst3</v>
      </c>
      <c r="I1455" s="4">
        <f t="shared" ca="1" si="22"/>
        <v>45203</v>
      </c>
      <c r="J1455" s="42">
        <f ca="1">TODAY()-qry_ProdData2_PDI_Cash_Exception_Application[[#This Row],[INSERT DATE]]</f>
        <v>19.742928240739275</v>
      </c>
      <c r="K14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55">
        <f ca="1">qry_ProdData2_PDI_Cash_Exception_Application[[#This Row],[TODAY]]-qry_ProdData2_PDI_Cash_Exception_Application[[#This Row],[CHANGED ON]]</f>
        <v>12.742928240739275</v>
      </c>
      <c r="M1455">
        <f ca="1">qry_ProdData2_PDI_Cash_Exception_Application[[#This Row],[TODAY]]-qry_ProdData2_PDI_Cash_Exception_Application[[#This Row],[CHANGED ON]]</f>
        <v>12.742928240739275</v>
      </c>
      <c r="N1455">
        <f ca="1">qry_ProdData2_PDI_Cash_Exception_Application[[#This Row],[TODAY]]-qry_ProdData2_PDI_Cash_Exception_Application[[#This Row],[CHANGED ON]]</f>
        <v>12.742928240739275</v>
      </c>
    </row>
    <row r="1456" spans="1:14" x14ac:dyDescent="0.35">
      <c r="A1456">
        <v>1011</v>
      </c>
      <c r="B1456" t="s">
        <v>65</v>
      </c>
      <c r="C1456" s="1">
        <v>45191.257071759261</v>
      </c>
      <c r="D1456" t="str">
        <f ca="1">VLOOKUP(qry_ProdData2_PDI_Cash_Exception_Application[[#This Row],[TYPE]],#REF!,2,FALSE)</f>
        <v>type40</v>
      </c>
      <c r="E1456">
        <v>-16102.21</v>
      </c>
      <c r="F1456" t="s">
        <v>50</v>
      </c>
      <c r="G1456" s="1">
        <f>qry_ProdData2_PDI_Cash_Exception_Application[[#This Row],[INSERT DATE]]+5</f>
        <v>45196.257071759261</v>
      </c>
      <c r="H1456" t="str">
        <f>VLOOKUP(qry_ProdData2_PDI_Cash_Exception_Application[[#This Row],[MARKET No]],'Site Allocation'!$B$2:$C$37,2,FALSE)</f>
        <v>Analyst2</v>
      </c>
      <c r="I1456" s="4">
        <f t="shared" ca="1" si="22"/>
        <v>45203</v>
      </c>
      <c r="J1456" s="42">
        <f ca="1">TODAY()-qry_ProdData2_PDI_Cash_Exception_Application[[#This Row],[INSERT DATE]]</f>
        <v>11.742928240739275</v>
      </c>
      <c r="K14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56">
        <f ca="1">qry_ProdData2_PDI_Cash_Exception_Application[[#This Row],[TODAY]]-qry_ProdData2_PDI_Cash_Exception_Application[[#This Row],[CHANGED ON]]</f>
        <v>6.7429282407392748</v>
      </c>
      <c r="M1456">
        <f ca="1">qry_ProdData2_PDI_Cash_Exception_Application[[#This Row],[TODAY]]-qry_ProdData2_PDI_Cash_Exception_Application[[#This Row],[CHANGED ON]]</f>
        <v>6.7429282407392748</v>
      </c>
      <c r="N1456">
        <f ca="1">qry_ProdData2_PDI_Cash_Exception_Application[[#This Row],[TODAY]]-qry_ProdData2_PDI_Cash_Exception_Application[[#This Row],[CHANGED ON]]</f>
        <v>6.7429282407392748</v>
      </c>
    </row>
    <row r="1457" spans="1:14" x14ac:dyDescent="0.35">
      <c r="A1457">
        <v>1006</v>
      </c>
      <c r="B1457" t="s">
        <v>60</v>
      </c>
      <c r="C1457" s="1">
        <v>45184.257071759261</v>
      </c>
      <c r="D1457" t="str">
        <f ca="1">VLOOKUP(qry_ProdData2_PDI_Cash_Exception_Application[[#This Row],[TYPE]],#REF!,2,FALSE)</f>
        <v>type18</v>
      </c>
      <c r="E1457">
        <v>316.52999999999997</v>
      </c>
      <c r="F1457" t="s">
        <v>48</v>
      </c>
      <c r="G1457" s="1">
        <f>qry_ProdData2_PDI_Cash_Exception_Application[[#This Row],[INSERT DATE]]+7</f>
        <v>45191.257071759261</v>
      </c>
      <c r="H1457" t="str">
        <f>VLOOKUP(qry_ProdData2_PDI_Cash_Exception_Application[[#This Row],[MARKET No]],'Site Allocation'!$B$2:$C$37,2,FALSE)</f>
        <v>Analyst2</v>
      </c>
      <c r="I1457" s="4">
        <f t="shared" ca="1" si="22"/>
        <v>45203</v>
      </c>
      <c r="J1457" s="42">
        <f ca="1">TODAY()-qry_ProdData2_PDI_Cash_Exception_Application[[#This Row],[INSERT DATE]]</f>
        <v>18.742928240739275</v>
      </c>
      <c r="K14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57">
        <f ca="1">qry_ProdData2_PDI_Cash_Exception_Application[[#This Row],[TODAY]]-qry_ProdData2_PDI_Cash_Exception_Application[[#This Row],[CHANGED ON]]</f>
        <v>11.742928240739275</v>
      </c>
      <c r="M1457">
        <f ca="1">qry_ProdData2_PDI_Cash_Exception_Application[[#This Row],[TODAY]]-qry_ProdData2_PDI_Cash_Exception_Application[[#This Row],[CHANGED ON]]</f>
        <v>11.742928240739275</v>
      </c>
      <c r="N1457">
        <f ca="1">qry_ProdData2_PDI_Cash_Exception_Application[[#This Row],[TODAY]]-qry_ProdData2_PDI_Cash_Exception_Application[[#This Row],[CHANGED ON]]</f>
        <v>11.742928240739275</v>
      </c>
    </row>
    <row r="1458" spans="1:14" x14ac:dyDescent="0.35">
      <c r="A1458">
        <v>1015</v>
      </c>
      <c r="B1458" t="s">
        <v>69</v>
      </c>
      <c r="C1458" s="1">
        <v>45189.257071759261</v>
      </c>
      <c r="D1458" t="str">
        <f ca="1">VLOOKUP(qry_ProdData2_PDI_Cash_Exception_Application[[#This Row],[TYPE]],#REF!,2,FALSE)</f>
        <v>type40</v>
      </c>
      <c r="E1458">
        <v>4064.73</v>
      </c>
      <c r="F1458" t="s">
        <v>48</v>
      </c>
      <c r="G1458" s="1">
        <f>qry_ProdData2_PDI_Cash_Exception_Application[[#This Row],[INSERT DATE]]+7</f>
        <v>45196.257071759261</v>
      </c>
      <c r="H1458" t="str">
        <f>VLOOKUP(qry_ProdData2_PDI_Cash_Exception_Application[[#This Row],[MARKET No]],'Site Allocation'!$B$2:$C$37,2,FALSE)</f>
        <v>Analyst3</v>
      </c>
      <c r="I1458" s="4">
        <f t="shared" ca="1" si="22"/>
        <v>45203</v>
      </c>
      <c r="J1458" s="42">
        <f ca="1">TODAY()-qry_ProdData2_PDI_Cash_Exception_Application[[#This Row],[INSERT DATE]]</f>
        <v>13.742928240739275</v>
      </c>
      <c r="K14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58">
        <f ca="1">qry_ProdData2_PDI_Cash_Exception_Application[[#This Row],[TODAY]]-qry_ProdData2_PDI_Cash_Exception_Application[[#This Row],[CHANGED ON]]</f>
        <v>6.7429282407392748</v>
      </c>
      <c r="M1458">
        <f ca="1">qry_ProdData2_PDI_Cash_Exception_Application[[#This Row],[TODAY]]-qry_ProdData2_PDI_Cash_Exception_Application[[#This Row],[CHANGED ON]]</f>
        <v>6.7429282407392748</v>
      </c>
      <c r="N1458">
        <f ca="1">qry_ProdData2_PDI_Cash_Exception_Application[[#This Row],[TODAY]]-qry_ProdData2_PDI_Cash_Exception_Application[[#This Row],[CHANGED ON]]</f>
        <v>6.7429282407392748</v>
      </c>
    </row>
    <row r="1459" spans="1:14" x14ac:dyDescent="0.35">
      <c r="A1459">
        <v>1005</v>
      </c>
      <c r="B1459" t="s">
        <v>59</v>
      </c>
      <c r="C1459" s="1">
        <v>45186.257071759261</v>
      </c>
      <c r="D1459" t="str">
        <f ca="1">VLOOKUP(qry_ProdData2_PDI_Cash_Exception_Application[[#This Row],[TYPE]],#REF!,2,FALSE)</f>
        <v>type40</v>
      </c>
      <c r="E1459">
        <v>383.91</v>
      </c>
      <c r="F1459" t="s">
        <v>47</v>
      </c>
      <c r="G1459" s="1">
        <f>qry_ProdData2_PDI_Cash_Exception_Application[[#This Row],[INSERT DATE]]+2</f>
        <v>45188.257071759261</v>
      </c>
      <c r="H1459" t="str">
        <f>VLOOKUP(qry_ProdData2_PDI_Cash_Exception_Application[[#This Row],[MARKET No]],'Site Allocation'!$B$2:$C$37,2,FALSE)</f>
        <v>Analyst1</v>
      </c>
      <c r="I1459" s="4">
        <f t="shared" ca="1" si="22"/>
        <v>45203</v>
      </c>
      <c r="J1459" s="42">
        <f ca="1">TODAY()-qry_ProdData2_PDI_Cash_Exception_Application[[#This Row],[INSERT DATE]]</f>
        <v>16.742928240739275</v>
      </c>
      <c r="K14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59">
        <f ca="1">qry_ProdData2_PDI_Cash_Exception_Application[[#This Row],[TODAY]]-qry_ProdData2_PDI_Cash_Exception_Application[[#This Row],[CHANGED ON]]</f>
        <v>14.742928240739275</v>
      </c>
      <c r="M1459">
        <f ca="1">qry_ProdData2_PDI_Cash_Exception_Application[[#This Row],[TODAY]]-qry_ProdData2_PDI_Cash_Exception_Application[[#This Row],[CHANGED ON]]</f>
        <v>14.742928240739275</v>
      </c>
      <c r="N1459">
        <f ca="1">qry_ProdData2_PDI_Cash_Exception_Application[[#This Row],[TODAY]]-qry_ProdData2_PDI_Cash_Exception_Application[[#This Row],[CHANGED ON]]</f>
        <v>14.742928240739275</v>
      </c>
    </row>
    <row r="1460" spans="1:14" x14ac:dyDescent="0.35">
      <c r="A1460">
        <v>1014</v>
      </c>
      <c r="B1460" t="s">
        <v>68</v>
      </c>
      <c r="C1460" s="1">
        <v>45189.257071759261</v>
      </c>
      <c r="D1460" t="str">
        <f ca="1">VLOOKUP(qry_ProdData2_PDI_Cash_Exception_Application[[#This Row],[TYPE]],#REF!,2,FALSE)</f>
        <v>type40</v>
      </c>
      <c r="E1460">
        <v>-473.34</v>
      </c>
      <c r="F1460" t="s">
        <v>47</v>
      </c>
      <c r="G1460" s="1">
        <f>qry_ProdData2_PDI_Cash_Exception_Application[[#This Row],[INSERT DATE]]+2</f>
        <v>45191.257071759261</v>
      </c>
      <c r="H1460" t="str">
        <f>VLOOKUP(qry_ProdData2_PDI_Cash_Exception_Application[[#This Row],[MARKET No]],'Site Allocation'!$B$2:$C$37,2,FALSE)</f>
        <v>Analyst3</v>
      </c>
      <c r="I1460" s="4">
        <f t="shared" ca="1" si="22"/>
        <v>45203</v>
      </c>
      <c r="J1460" s="42">
        <f ca="1">TODAY()-qry_ProdData2_PDI_Cash_Exception_Application[[#This Row],[INSERT DATE]]</f>
        <v>13.742928240739275</v>
      </c>
      <c r="K14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60">
        <f ca="1">qry_ProdData2_PDI_Cash_Exception_Application[[#This Row],[TODAY]]-qry_ProdData2_PDI_Cash_Exception_Application[[#This Row],[CHANGED ON]]</f>
        <v>11.742928240739275</v>
      </c>
      <c r="M1460">
        <f ca="1">qry_ProdData2_PDI_Cash_Exception_Application[[#This Row],[TODAY]]-qry_ProdData2_PDI_Cash_Exception_Application[[#This Row],[CHANGED ON]]</f>
        <v>11.742928240739275</v>
      </c>
      <c r="N1460">
        <f ca="1">qry_ProdData2_PDI_Cash_Exception_Application[[#This Row],[TODAY]]-qry_ProdData2_PDI_Cash_Exception_Application[[#This Row],[CHANGED ON]]</f>
        <v>11.742928240739275</v>
      </c>
    </row>
    <row r="1461" spans="1:14" x14ac:dyDescent="0.35">
      <c r="A1461">
        <v>1014</v>
      </c>
      <c r="B1461" t="s">
        <v>68</v>
      </c>
      <c r="C1461" s="1">
        <v>45185.257071759261</v>
      </c>
      <c r="D1461" t="str">
        <f ca="1">VLOOKUP(qry_ProdData2_PDI_Cash_Exception_Application[[#This Row],[TYPE]],#REF!,2,FALSE)</f>
        <v>type40</v>
      </c>
      <c r="E1461">
        <v>712.51</v>
      </c>
      <c r="F1461" t="s">
        <v>49</v>
      </c>
      <c r="G1461" s="1">
        <f>qry_ProdData2_PDI_Cash_Exception_Application[[#This Row],[INSERT DATE]]+2</f>
        <v>45187.257071759261</v>
      </c>
      <c r="H1461" t="str">
        <f>VLOOKUP(qry_ProdData2_PDI_Cash_Exception_Application[[#This Row],[MARKET No]],'Site Allocation'!$B$2:$C$37,2,FALSE)</f>
        <v>Analyst3</v>
      </c>
      <c r="I1461" s="4">
        <f t="shared" ca="1" si="22"/>
        <v>45203</v>
      </c>
      <c r="J1461" s="42">
        <f ca="1">TODAY()-qry_ProdData2_PDI_Cash_Exception_Application[[#This Row],[INSERT DATE]]</f>
        <v>17.742928240739275</v>
      </c>
      <c r="K14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61">
        <f ca="1">qry_ProdData2_PDI_Cash_Exception_Application[[#This Row],[TODAY]]-qry_ProdData2_PDI_Cash_Exception_Application[[#This Row],[CHANGED ON]]</f>
        <v>15.742928240739275</v>
      </c>
      <c r="M1461">
        <f ca="1">qry_ProdData2_PDI_Cash_Exception_Application[[#This Row],[TODAY]]-qry_ProdData2_PDI_Cash_Exception_Application[[#This Row],[CHANGED ON]]</f>
        <v>15.742928240739275</v>
      </c>
      <c r="N1461">
        <f ca="1">qry_ProdData2_PDI_Cash_Exception_Application[[#This Row],[TODAY]]-qry_ProdData2_PDI_Cash_Exception_Application[[#This Row],[CHANGED ON]]</f>
        <v>15.742928240739275</v>
      </c>
    </row>
    <row r="1462" spans="1:14" x14ac:dyDescent="0.35">
      <c r="A1462">
        <v>1010</v>
      </c>
      <c r="B1462" t="s">
        <v>64</v>
      </c>
      <c r="C1462" s="1">
        <v>45197.257071759261</v>
      </c>
      <c r="D1462" t="str">
        <f ca="1">VLOOKUP(qry_ProdData2_PDI_Cash_Exception_Application[[#This Row],[TYPE]],#REF!,2,FALSE)</f>
        <v>type40</v>
      </c>
      <c r="E1462">
        <v>-1065.93</v>
      </c>
      <c r="F1462" t="s">
        <v>50</v>
      </c>
      <c r="G1462" s="1">
        <f>qry_ProdData2_PDI_Cash_Exception_Application[[#This Row],[INSERT DATE]]+5</f>
        <v>45202.257071759261</v>
      </c>
      <c r="H1462" t="str">
        <f>VLOOKUP(qry_ProdData2_PDI_Cash_Exception_Application[[#This Row],[MARKET No]],'Site Allocation'!$B$2:$C$37,2,FALSE)</f>
        <v>Analyst2</v>
      </c>
      <c r="I1462" s="4">
        <f t="shared" ca="1" si="22"/>
        <v>45203</v>
      </c>
      <c r="J1462" s="42">
        <f ca="1">TODAY()-qry_ProdData2_PDI_Cash_Exception_Application[[#This Row],[INSERT DATE]]</f>
        <v>5.7429282407392748</v>
      </c>
      <c r="K14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462">
        <f ca="1">qry_ProdData2_PDI_Cash_Exception_Application[[#This Row],[TODAY]]-qry_ProdData2_PDI_Cash_Exception_Application[[#This Row],[CHANGED ON]]</f>
        <v>0.74292824073927477</v>
      </c>
      <c r="M1462">
        <f ca="1">qry_ProdData2_PDI_Cash_Exception_Application[[#This Row],[TODAY]]-qry_ProdData2_PDI_Cash_Exception_Application[[#This Row],[CHANGED ON]]</f>
        <v>0.74292824073927477</v>
      </c>
      <c r="N1462">
        <f ca="1">qry_ProdData2_PDI_Cash_Exception_Application[[#This Row],[TODAY]]-qry_ProdData2_PDI_Cash_Exception_Application[[#This Row],[CHANGED ON]]</f>
        <v>0.74292824073927477</v>
      </c>
    </row>
    <row r="1463" spans="1:14" x14ac:dyDescent="0.35">
      <c r="A1463">
        <v>1028</v>
      </c>
      <c r="B1463" t="s">
        <v>82</v>
      </c>
      <c r="C1463" s="1">
        <v>45187.257071759261</v>
      </c>
      <c r="D1463" t="str">
        <f ca="1">VLOOKUP(qry_ProdData2_PDI_Cash_Exception_Application[[#This Row],[TYPE]],#REF!,2,FALSE)</f>
        <v>type38</v>
      </c>
      <c r="E1463">
        <v>225.5</v>
      </c>
      <c r="F1463" t="s">
        <v>51</v>
      </c>
      <c r="G1463" s="1">
        <f>qry_ProdData2_PDI_Cash_Exception_Application[[#This Row],[INSERT DATE]]+1</f>
        <v>45188.257071759261</v>
      </c>
      <c r="H1463" t="str">
        <f>VLOOKUP(qry_ProdData2_PDI_Cash_Exception_Application[[#This Row],[MARKET No]],'Site Allocation'!$B$2:$C$37,2,FALSE)</f>
        <v>Analyst5</v>
      </c>
      <c r="I1463" s="4">
        <f t="shared" ca="1" si="22"/>
        <v>45203</v>
      </c>
      <c r="J1463" s="42">
        <f ca="1">TODAY()-qry_ProdData2_PDI_Cash_Exception_Application[[#This Row],[INSERT DATE]]</f>
        <v>15.742928240739275</v>
      </c>
      <c r="K14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63">
        <f ca="1">qry_ProdData2_PDI_Cash_Exception_Application[[#This Row],[TODAY]]-qry_ProdData2_PDI_Cash_Exception_Application[[#This Row],[CHANGED ON]]</f>
        <v>14.742928240739275</v>
      </c>
      <c r="M1463">
        <f ca="1">qry_ProdData2_PDI_Cash_Exception_Application[[#This Row],[TODAY]]-qry_ProdData2_PDI_Cash_Exception_Application[[#This Row],[CHANGED ON]]</f>
        <v>14.742928240739275</v>
      </c>
      <c r="N1463">
        <f ca="1">qry_ProdData2_PDI_Cash_Exception_Application[[#This Row],[TODAY]]-qry_ProdData2_PDI_Cash_Exception_Application[[#This Row],[CHANGED ON]]</f>
        <v>14.742928240739275</v>
      </c>
    </row>
    <row r="1464" spans="1:14" x14ac:dyDescent="0.35">
      <c r="A1464">
        <v>1029</v>
      </c>
      <c r="B1464" t="s">
        <v>83</v>
      </c>
      <c r="C1464" s="1">
        <v>45190.257071759261</v>
      </c>
      <c r="D1464" t="str">
        <f ca="1">VLOOKUP(qry_ProdData2_PDI_Cash_Exception_Application[[#This Row],[TYPE]],#REF!,2,FALSE)</f>
        <v>type38</v>
      </c>
      <c r="E1464">
        <v>234.04</v>
      </c>
      <c r="F1464" t="s">
        <v>51</v>
      </c>
      <c r="G1464" s="1">
        <f>qry_ProdData2_PDI_Cash_Exception_Application[[#This Row],[INSERT DATE]]+1</f>
        <v>45191.257071759261</v>
      </c>
      <c r="H1464" t="str">
        <f>VLOOKUP(qry_ProdData2_PDI_Cash_Exception_Application[[#This Row],[MARKET No]],'Site Allocation'!$B$2:$C$37,2,FALSE)</f>
        <v>Analyst5</v>
      </c>
      <c r="I1464" s="4">
        <f t="shared" ca="1" si="22"/>
        <v>45203</v>
      </c>
      <c r="J1464" s="42">
        <f ca="1">TODAY()-qry_ProdData2_PDI_Cash_Exception_Application[[#This Row],[INSERT DATE]]</f>
        <v>12.742928240739275</v>
      </c>
      <c r="K14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64">
        <f ca="1">qry_ProdData2_PDI_Cash_Exception_Application[[#This Row],[TODAY]]-qry_ProdData2_PDI_Cash_Exception_Application[[#This Row],[CHANGED ON]]</f>
        <v>11.742928240739275</v>
      </c>
      <c r="M1464">
        <f ca="1">qry_ProdData2_PDI_Cash_Exception_Application[[#This Row],[TODAY]]-qry_ProdData2_PDI_Cash_Exception_Application[[#This Row],[CHANGED ON]]</f>
        <v>11.742928240739275</v>
      </c>
      <c r="N1464">
        <f ca="1">qry_ProdData2_PDI_Cash_Exception_Application[[#This Row],[TODAY]]-qry_ProdData2_PDI_Cash_Exception_Application[[#This Row],[CHANGED ON]]</f>
        <v>11.742928240739275</v>
      </c>
    </row>
    <row r="1465" spans="1:14" x14ac:dyDescent="0.35">
      <c r="A1465">
        <v>1007</v>
      </c>
      <c r="B1465" t="s">
        <v>61</v>
      </c>
      <c r="C1465" s="1">
        <v>45181.257071759261</v>
      </c>
      <c r="D1465" t="str">
        <f ca="1">VLOOKUP(qry_ProdData2_PDI_Cash_Exception_Application[[#This Row],[TYPE]],#REF!,2,FALSE)</f>
        <v>type40</v>
      </c>
      <c r="E1465">
        <v>936.17</v>
      </c>
      <c r="F1465" t="s">
        <v>50</v>
      </c>
      <c r="G1465" s="1">
        <f>qry_ProdData2_PDI_Cash_Exception_Application[[#This Row],[INSERT DATE]]+7</f>
        <v>45188.257071759261</v>
      </c>
      <c r="H1465" t="str">
        <f>VLOOKUP(qry_ProdData2_PDI_Cash_Exception_Application[[#This Row],[MARKET No]],'Site Allocation'!$B$2:$C$37,2,FALSE)</f>
        <v>Analyst2</v>
      </c>
      <c r="I1465" s="4">
        <f t="shared" ca="1" si="22"/>
        <v>45203</v>
      </c>
      <c r="J1465" s="42">
        <f ca="1">TODAY()-qry_ProdData2_PDI_Cash_Exception_Application[[#This Row],[INSERT DATE]]</f>
        <v>21.742928240739275</v>
      </c>
      <c r="K14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65">
        <f ca="1">qry_ProdData2_PDI_Cash_Exception_Application[[#This Row],[TODAY]]-qry_ProdData2_PDI_Cash_Exception_Application[[#This Row],[CHANGED ON]]</f>
        <v>14.742928240739275</v>
      </c>
      <c r="M1465">
        <f ca="1">qry_ProdData2_PDI_Cash_Exception_Application[[#This Row],[TODAY]]-qry_ProdData2_PDI_Cash_Exception_Application[[#This Row],[CHANGED ON]]</f>
        <v>14.742928240739275</v>
      </c>
      <c r="N1465">
        <f ca="1">qry_ProdData2_PDI_Cash_Exception_Application[[#This Row],[TODAY]]-qry_ProdData2_PDI_Cash_Exception_Application[[#This Row],[CHANGED ON]]</f>
        <v>14.742928240739275</v>
      </c>
    </row>
    <row r="1466" spans="1:14" x14ac:dyDescent="0.35">
      <c r="A1466">
        <v>1035</v>
      </c>
      <c r="B1466" t="s">
        <v>89</v>
      </c>
      <c r="C1466" s="1">
        <v>45182.257071759261</v>
      </c>
      <c r="D1466" t="str">
        <f ca="1">VLOOKUP(qry_ProdData2_PDI_Cash_Exception_Application[[#This Row],[TYPE]],#REF!,2,FALSE)</f>
        <v>type46</v>
      </c>
      <c r="E1466">
        <v>4.4800000000000004</v>
      </c>
      <c r="F1466" t="s">
        <v>50</v>
      </c>
      <c r="G1466" s="1">
        <f>qry_ProdData2_PDI_Cash_Exception_Application[[#This Row],[INSERT DATE]]+7</f>
        <v>45189.257071759261</v>
      </c>
      <c r="H1466" t="str">
        <f>VLOOKUP(qry_ProdData2_PDI_Cash_Exception_Application[[#This Row],[MARKET No]],'Site Allocation'!$B$2:$C$37,2,FALSE)</f>
        <v>Analyst6</v>
      </c>
      <c r="I1466" s="4">
        <f t="shared" ca="1" si="22"/>
        <v>45203</v>
      </c>
      <c r="J1466" s="42">
        <f ca="1">TODAY()-qry_ProdData2_PDI_Cash_Exception_Application[[#This Row],[INSERT DATE]]</f>
        <v>20.742928240739275</v>
      </c>
      <c r="K14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66">
        <f ca="1">qry_ProdData2_PDI_Cash_Exception_Application[[#This Row],[TODAY]]-qry_ProdData2_PDI_Cash_Exception_Application[[#This Row],[CHANGED ON]]</f>
        <v>13.742928240739275</v>
      </c>
      <c r="M1466">
        <f ca="1">qry_ProdData2_PDI_Cash_Exception_Application[[#This Row],[TODAY]]-qry_ProdData2_PDI_Cash_Exception_Application[[#This Row],[CHANGED ON]]</f>
        <v>13.742928240739275</v>
      </c>
      <c r="N1466">
        <f ca="1">qry_ProdData2_PDI_Cash_Exception_Application[[#This Row],[TODAY]]-qry_ProdData2_PDI_Cash_Exception_Application[[#This Row],[CHANGED ON]]</f>
        <v>13.742928240739275</v>
      </c>
    </row>
    <row r="1467" spans="1:14" x14ac:dyDescent="0.35">
      <c r="A1467">
        <v>1016</v>
      </c>
      <c r="B1467" t="s">
        <v>70</v>
      </c>
      <c r="C1467" s="1">
        <v>45182.257071759261</v>
      </c>
      <c r="D1467" t="str">
        <f ca="1">VLOOKUP(qry_ProdData2_PDI_Cash_Exception_Application[[#This Row],[TYPE]],#REF!,2,FALSE)</f>
        <v>type35</v>
      </c>
      <c r="E1467">
        <v>706.14</v>
      </c>
      <c r="F1467" t="s">
        <v>52</v>
      </c>
      <c r="G1467" s="1">
        <f>qry_ProdData2_PDI_Cash_Exception_Application[[#This Row],[INSERT DATE]]+7</f>
        <v>45189.257071759261</v>
      </c>
      <c r="H1467" t="str">
        <f>VLOOKUP(qry_ProdData2_PDI_Cash_Exception_Application[[#This Row],[MARKET No]],'Site Allocation'!$B$2:$C$37,2,FALSE)</f>
        <v>Analyst3</v>
      </c>
      <c r="I1467" s="4">
        <f t="shared" ca="1" si="22"/>
        <v>45203</v>
      </c>
      <c r="J1467" s="42">
        <f ca="1">TODAY()-qry_ProdData2_PDI_Cash_Exception_Application[[#This Row],[INSERT DATE]]</f>
        <v>20.742928240739275</v>
      </c>
      <c r="K14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67">
        <f ca="1">qry_ProdData2_PDI_Cash_Exception_Application[[#This Row],[TODAY]]-qry_ProdData2_PDI_Cash_Exception_Application[[#This Row],[CHANGED ON]]</f>
        <v>13.742928240739275</v>
      </c>
      <c r="M1467">
        <f ca="1">qry_ProdData2_PDI_Cash_Exception_Application[[#This Row],[TODAY]]-qry_ProdData2_PDI_Cash_Exception_Application[[#This Row],[CHANGED ON]]</f>
        <v>13.742928240739275</v>
      </c>
      <c r="N1467">
        <f ca="1">qry_ProdData2_PDI_Cash_Exception_Application[[#This Row],[TODAY]]-qry_ProdData2_PDI_Cash_Exception_Application[[#This Row],[CHANGED ON]]</f>
        <v>13.742928240739275</v>
      </c>
    </row>
    <row r="1468" spans="1:14" x14ac:dyDescent="0.35">
      <c r="A1468">
        <v>1019</v>
      </c>
      <c r="B1468" t="s">
        <v>73</v>
      </c>
      <c r="C1468" s="1">
        <v>45187.257071759261</v>
      </c>
      <c r="D1468" t="str">
        <f ca="1">VLOOKUP(qry_ProdData2_PDI_Cash_Exception_Application[[#This Row],[TYPE]],#REF!,2,FALSE)</f>
        <v>type40</v>
      </c>
      <c r="E1468">
        <v>-2002.51</v>
      </c>
      <c r="F1468" t="s">
        <v>48</v>
      </c>
      <c r="G1468" s="1">
        <f>qry_ProdData2_PDI_Cash_Exception_Application[[#This Row],[INSERT DATE]]+1</f>
        <v>45188.257071759261</v>
      </c>
      <c r="H1468" t="str">
        <f>VLOOKUP(qry_ProdData2_PDI_Cash_Exception_Application[[#This Row],[MARKET No]],'Site Allocation'!$B$2:$C$37,2,FALSE)</f>
        <v>Analyst4</v>
      </c>
      <c r="I1468" s="4">
        <f t="shared" ca="1" si="22"/>
        <v>45203</v>
      </c>
      <c r="J1468" s="42">
        <f ca="1">TODAY()-qry_ProdData2_PDI_Cash_Exception_Application[[#This Row],[INSERT DATE]]</f>
        <v>15.742928240739275</v>
      </c>
      <c r="K14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68">
        <f ca="1">qry_ProdData2_PDI_Cash_Exception_Application[[#This Row],[TODAY]]-qry_ProdData2_PDI_Cash_Exception_Application[[#This Row],[CHANGED ON]]</f>
        <v>14.742928240739275</v>
      </c>
      <c r="M1468">
        <f ca="1">qry_ProdData2_PDI_Cash_Exception_Application[[#This Row],[TODAY]]-qry_ProdData2_PDI_Cash_Exception_Application[[#This Row],[CHANGED ON]]</f>
        <v>14.742928240739275</v>
      </c>
      <c r="N1468">
        <f ca="1">qry_ProdData2_PDI_Cash_Exception_Application[[#This Row],[TODAY]]-qry_ProdData2_PDI_Cash_Exception_Application[[#This Row],[CHANGED ON]]</f>
        <v>14.742928240739275</v>
      </c>
    </row>
    <row r="1469" spans="1:14" x14ac:dyDescent="0.35">
      <c r="A1469">
        <v>1029</v>
      </c>
      <c r="B1469" t="s">
        <v>83</v>
      </c>
      <c r="C1469" s="1">
        <v>45183.257071759261</v>
      </c>
      <c r="D1469" t="str">
        <f ca="1">VLOOKUP(qry_ProdData2_PDI_Cash_Exception_Application[[#This Row],[TYPE]],#REF!,2,FALSE)</f>
        <v>type54</v>
      </c>
      <c r="E1469">
        <v>-35</v>
      </c>
      <c r="F1469" t="s">
        <v>50</v>
      </c>
      <c r="G1469" s="1">
        <f>qry_ProdData2_PDI_Cash_Exception_Application[[#This Row],[INSERT DATE]]+7</f>
        <v>45190.257071759261</v>
      </c>
      <c r="H1469" t="str">
        <f>VLOOKUP(qry_ProdData2_PDI_Cash_Exception_Application[[#This Row],[MARKET No]],'Site Allocation'!$B$2:$C$37,2,FALSE)</f>
        <v>Analyst5</v>
      </c>
      <c r="I1469" s="4">
        <f t="shared" ca="1" si="22"/>
        <v>45203</v>
      </c>
      <c r="J1469" s="42">
        <f ca="1">TODAY()-qry_ProdData2_PDI_Cash_Exception_Application[[#This Row],[INSERT DATE]]</f>
        <v>19.742928240739275</v>
      </c>
      <c r="K14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69">
        <f ca="1">qry_ProdData2_PDI_Cash_Exception_Application[[#This Row],[TODAY]]-qry_ProdData2_PDI_Cash_Exception_Application[[#This Row],[CHANGED ON]]</f>
        <v>12.742928240739275</v>
      </c>
      <c r="M1469">
        <f ca="1">qry_ProdData2_PDI_Cash_Exception_Application[[#This Row],[TODAY]]-qry_ProdData2_PDI_Cash_Exception_Application[[#This Row],[CHANGED ON]]</f>
        <v>12.742928240739275</v>
      </c>
      <c r="N1469">
        <f ca="1">qry_ProdData2_PDI_Cash_Exception_Application[[#This Row],[TODAY]]-qry_ProdData2_PDI_Cash_Exception_Application[[#This Row],[CHANGED ON]]</f>
        <v>12.742928240739275</v>
      </c>
    </row>
    <row r="1470" spans="1:14" x14ac:dyDescent="0.35">
      <c r="A1470">
        <v>1014</v>
      </c>
      <c r="B1470" t="s">
        <v>68</v>
      </c>
      <c r="C1470" s="1">
        <v>45190.257071759261</v>
      </c>
      <c r="D1470" t="str">
        <f ca="1">VLOOKUP(qry_ProdData2_PDI_Cash_Exception_Application[[#This Row],[TYPE]],#REF!,2,FALSE)</f>
        <v>type40</v>
      </c>
      <c r="E1470">
        <v>12192.9</v>
      </c>
      <c r="F1470" t="s">
        <v>49</v>
      </c>
      <c r="G1470" s="1">
        <f>qry_ProdData2_PDI_Cash_Exception_Application[[#This Row],[INSERT DATE]]+5</f>
        <v>45195.257071759261</v>
      </c>
      <c r="H1470" t="str">
        <f>VLOOKUP(qry_ProdData2_PDI_Cash_Exception_Application[[#This Row],[MARKET No]],'Site Allocation'!$B$2:$C$37,2,FALSE)</f>
        <v>Analyst3</v>
      </c>
      <c r="I1470" s="4">
        <f t="shared" ca="1" si="22"/>
        <v>45203</v>
      </c>
      <c r="J1470" s="42">
        <f ca="1">TODAY()-qry_ProdData2_PDI_Cash_Exception_Application[[#This Row],[INSERT DATE]]</f>
        <v>12.742928240739275</v>
      </c>
      <c r="K14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70">
        <f ca="1">qry_ProdData2_PDI_Cash_Exception_Application[[#This Row],[TODAY]]-qry_ProdData2_PDI_Cash_Exception_Application[[#This Row],[CHANGED ON]]</f>
        <v>7.7429282407392748</v>
      </c>
      <c r="M1470">
        <f ca="1">qry_ProdData2_PDI_Cash_Exception_Application[[#This Row],[TODAY]]-qry_ProdData2_PDI_Cash_Exception_Application[[#This Row],[CHANGED ON]]</f>
        <v>7.7429282407392748</v>
      </c>
      <c r="N1470">
        <f ca="1">qry_ProdData2_PDI_Cash_Exception_Application[[#This Row],[TODAY]]-qry_ProdData2_PDI_Cash_Exception_Application[[#This Row],[CHANGED ON]]</f>
        <v>7.7429282407392748</v>
      </c>
    </row>
    <row r="1471" spans="1:14" x14ac:dyDescent="0.35">
      <c r="A1471">
        <v>1015</v>
      </c>
      <c r="B1471" t="s">
        <v>69</v>
      </c>
      <c r="C1471" s="1">
        <v>45191.257071759261</v>
      </c>
      <c r="D1471" t="str">
        <f ca="1">VLOOKUP(qry_ProdData2_PDI_Cash_Exception_Application[[#This Row],[TYPE]],#REF!,2,FALSE)</f>
        <v>type40</v>
      </c>
      <c r="E1471">
        <v>5643.1</v>
      </c>
      <c r="F1471" t="s">
        <v>47</v>
      </c>
      <c r="G1471" s="1">
        <f>qry_ProdData2_PDI_Cash_Exception_Application[[#This Row],[INSERT DATE]]+2</f>
        <v>45193.257071759261</v>
      </c>
      <c r="H1471" t="str">
        <f>VLOOKUP(qry_ProdData2_PDI_Cash_Exception_Application[[#This Row],[MARKET No]],'Site Allocation'!$B$2:$C$37,2,FALSE)</f>
        <v>Analyst3</v>
      </c>
      <c r="I1471" s="4">
        <f t="shared" ca="1" si="22"/>
        <v>45203</v>
      </c>
      <c r="J1471" s="42">
        <f ca="1">TODAY()-qry_ProdData2_PDI_Cash_Exception_Application[[#This Row],[INSERT DATE]]</f>
        <v>11.742928240739275</v>
      </c>
      <c r="K14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71">
        <f ca="1">qry_ProdData2_PDI_Cash_Exception_Application[[#This Row],[TODAY]]-qry_ProdData2_PDI_Cash_Exception_Application[[#This Row],[CHANGED ON]]</f>
        <v>9.7429282407392748</v>
      </c>
      <c r="M1471">
        <f ca="1">qry_ProdData2_PDI_Cash_Exception_Application[[#This Row],[TODAY]]-qry_ProdData2_PDI_Cash_Exception_Application[[#This Row],[CHANGED ON]]</f>
        <v>9.7429282407392748</v>
      </c>
      <c r="N1471">
        <f ca="1">qry_ProdData2_PDI_Cash_Exception_Application[[#This Row],[TODAY]]-qry_ProdData2_PDI_Cash_Exception_Application[[#This Row],[CHANGED ON]]</f>
        <v>9.7429282407392748</v>
      </c>
    </row>
    <row r="1472" spans="1:14" x14ac:dyDescent="0.35">
      <c r="A1472">
        <v>1022</v>
      </c>
      <c r="B1472" t="s">
        <v>76</v>
      </c>
      <c r="C1472" s="1">
        <v>45192.257071759261</v>
      </c>
      <c r="D1472" t="str">
        <f ca="1">VLOOKUP(qry_ProdData2_PDI_Cash_Exception_Application[[#This Row],[TYPE]],#REF!,2,FALSE)</f>
        <v>type38</v>
      </c>
      <c r="E1472">
        <v>359.47</v>
      </c>
      <c r="F1472" t="s">
        <v>51</v>
      </c>
      <c r="G1472" s="1">
        <f>qry_ProdData2_PDI_Cash_Exception_Application[[#This Row],[INSERT DATE]]+1</f>
        <v>45193.257071759261</v>
      </c>
      <c r="H1472" t="str">
        <f>VLOOKUP(qry_ProdData2_PDI_Cash_Exception_Application[[#This Row],[MARKET No]],'Site Allocation'!$B$2:$C$37,2,FALSE)</f>
        <v>Analyst4</v>
      </c>
      <c r="I1472" s="4">
        <f t="shared" ca="1" si="22"/>
        <v>45203</v>
      </c>
      <c r="J1472" s="42">
        <f ca="1">TODAY()-qry_ProdData2_PDI_Cash_Exception_Application[[#This Row],[INSERT DATE]]</f>
        <v>10.742928240739275</v>
      </c>
      <c r="K14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72">
        <f ca="1">qry_ProdData2_PDI_Cash_Exception_Application[[#This Row],[TODAY]]-qry_ProdData2_PDI_Cash_Exception_Application[[#This Row],[CHANGED ON]]</f>
        <v>9.7429282407392748</v>
      </c>
      <c r="M1472">
        <f ca="1">qry_ProdData2_PDI_Cash_Exception_Application[[#This Row],[TODAY]]-qry_ProdData2_PDI_Cash_Exception_Application[[#This Row],[CHANGED ON]]</f>
        <v>9.7429282407392748</v>
      </c>
      <c r="N1472">
        <f ca="1">qry_ProdData2_PDI_Cash_Exception_Application[[#This Row],[TODAY]]-qry_ProdData2_PDI_Cash_Exception_Application[[#This Row],[CHANGED ON]]</f>
        <v>9.7429282407392748</v>
      </c>
    </row>
    <row r="1473" spans="1:14" x14ac:dyDescent="0.35">
      <c r="A1473">
        <v>1009</v>
      </c>
      <c r="B1473" t="s">
        <v>63</v>
      </c>
      <c r="C1473" s="1">
        <v>45185.257071759261</v>
      </c>
      <c r="D1473" t="str">
        <f ca="1">VLOOKUP(qry_ProdData2_PDI_Cash_Exception_Application[[#This Row],[TYPE]],#REF!,2,FALSE)</f>
        <v>type42</v>
      </c>
      <c r="E1473">
        <v>203</v>
      </c>
      <c r="F1473" t="s">
        <v>52</v>
      </c>
      <c r="G1473" s="1">
        <f>qry_ProdData2_PDI_Cash_Exception_Application[[#This Row],[INSERT DATE]]+7</f>
        <v>45192.257071759261</v>
      </c>
      <c r="H1473" t="str">
        <f>VLOOKUP(qry_ProdData2_PDI_Cash_Exception_Application[[#This Row],[MARKET No]],'Site Allocation'!$B$2:$C$37,2,FALSE)</f>
        <v>Analyst2</v>
      </c>
      <c r="I1473" s="4">
        <f t="shared" ca="1" si="22"/>
        <v>45203</v>
      </c>
      <c r="J1473" s="42">
        <f ca="1">TODAY()-qry_ProdData2_PDI_Cash_Exception_Application[[#This Row],[INSERT DATE]]</f>
        <v>17.742928240739275</v>
      </c>
      <c r="K14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73">
        <f ca="1">qry_ProdData2_PDI_Cash_Exception_Application[[#This Row],[TODAY]]-qry_ProdData2_PDI_Cash_Exception_Application[[#This Row],[CHANGED ON]]</f>
        <v>10.742928240739275</v>
      </c>
      <c r="M1473">
        <f ca="1">qry_ProdData2_PDI_Cash_Exception_Application[[#This Row],[TODAY]]-qry_ProdData2_PDI_Cash_Exception_Application[[#This Row],[CHANGED ON]]</f>
        <v>10.742928240739275</v>
      </c>
      <c r="N1473">
        <f ca="1">qry_ProdData2_PDI_Cash_Exception_Application[[#This Row],[TODAY]]-qry_ProdData2_PDI_Cash_Exception_Application[[#This Row],[CHANGED ON]]</f>
        <v>10.742928240739275</v>
      </c>
    </row>
    <row r="1474" spans="1:14" x14ac:dyDescent="0.35">
      <c r="A1474">
        <v>1029</v>
      </c>
      <c r="B1474" t="s">
        <v>83</v>
      </c>
      <c r="C1474" s="1">
        <v>45185.257071759261</v>
      </c>
      <c r="D1474" t="str">
        <f ca="1">VLOOKUP(qry_ProdData2_PDI_Cash_Exception_Application[[#This Row],[TYPE]],#REF!,2,FALSE)</f>
        <v>type40</v>
      </c>
      <c r="E1474">
        <v>6139.84</v>
      </c>
      <c r="F1474" t="s">
        <v>49</v>
      </c>
      <c r="G1474" s="1">
        <f>qry_ProdData2_PDI_Cash_Exception_Application[[#This Row],[INSERT DATE]]+7</f>
        <v>45192.257071759261</v>
      </c>
      <c r="H1474" t="str">
        <f>VLOOKUP(qry_ProdData2_PDI_Cash_Exception_Application[[#This Row],[MARKET No]],'Site Allocation'!$B$2:$C$37,2,FALSE)</f>
        <v>Analyst5</v>
      </c>
      <c r="I1474" s="4">
        <f t="shared" ref="I1474:I1537" ca="1" si="23">TODAY()</f>
        <v>45203</v>
      </c>
      <c r="J1474" s="42">
        <f ca="1">TODAY()-qry_ProdData2_PDI_Cash_Exception_Application[[#This Row],[INSERT DATE]]</f>
        <v>17.742928240739275</v>
      </c>
      <c r="K14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74">
        <f ca="1">qry_ProdData2_PDI_Cash_Exception_Application[[#This Row],[TODAY]]-qry_ProdData2_PDI_Cash_Exception_Application[[#This Row],[CHANGED ON]]</f>
        <v>10.742928240739275</v>
      </c>
      <c r="M1474">
        <f ca="1">qry_ProdData2_PDI_Cash_Exception_Application[[#This Row],[TODAY]]-qry_ProdData2_PDI_Cash_Exception_Application[[#This Row],[CHANGED ON]]</f>
        <v>10.742928240739275</v>
      </c>
      <c r="N1474">
        <f ca="1">qry_ProdData2_PDI_Cash_Exception_Application[[#This Row],[TODAY]]-qry_ProdData2_PDI_Cash_Exception_Application[[#This Row],[CHANGED ON]]</f>
        <v>10.742928240739275</v>
      </c>
    </row>
    <row r="1475" spans="1:14" x14ac:dyDescent="0.35">
      <c r="A1475">
        <v>1033</v>
      </c>
      <c r="B1475" t="s">
        <v>87</v>
      </c>
      <c r="C1475" s="1">
        <v>45187.257071759261</v>
      </c>
      <c r="D1475" t="str">
        <f ca="1">VLOOKUP(qry_ProdData2_PDI_Cash_Exception_Application[[#This Row],[TYPE]],#REF!,2,FALSE)</f>
        <v>type40</v>
      </c>
      <c r="E1475">
        <v>1403.59</v>
      </c>
      <c r="F1475" t="s">
        <v>50</v>
      </c>
      <c r="G1475" s="1">
        <f>qry_ProdData2_PDI_Cash_Exception_Application[[#This Row],[INSERT DATE]]+7</f>
        <v>45194.257071759261</v>
      </c>
      <c r="H1475" t="str">
        <f>VLOOKUP(qry_ProdData2_PDI_Cash_Exception_Application[[#This Row],[MARKET No]],'Site Allocation'!$B$2:$C$37,2,FALSE)</f>
        <v>Analyst6</v>
      </c>
      <c r="I1475" s="4">
        <f t="shared" ca="1" si="23"/>
        <v>45203</v>
      </c>
      <c r="J1475" s="42">
        <f ca="1">TODAY()-qry_ProdData2_PDI_Cash_Exception_Application[[#This Row],[INSERT DATE]]</f>
        <v>15.742928240739275</v>
      </c>
      <c r="K14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75">
        <f ca="1">qry_ProdData2_PDI_Cash_Exception_Application[[#This Row],[TODAY]]-qry_ProdData2_PDI_Cash_Exception_Application[[#This Row],[CHANGED ON]]</f>
        <v>8.7429282407392748</v>
      </c>
      <c r="M1475">
        <f ca="1">qry_ProdData2_PDI_Cash_Exception_Application[[#This Row],[TODAY]]-qry_ProdData2_PDI_Cash_Exception_Application[[#This Row],[CHANGED ON]]</f>
        <v>8.7429282407392748</v>
      </c>
      <c r="N1475">
        <f ca="1">qry_ProdData2_PDI_Cash_Exception_Application[[#This Row],[TODAY]]-qry_ProdData2_PDI_Cash_Exception_Application[[#This Row],[CHANGED ON]]</f>
        <v>8.7429282407392748</v>
      </c>
    </row>
    <row r="1476" spans="1:14" x14ac:dyDescent="0.35">
      <c r="A1476">
        <v>1027</v>
      </c>
      <c r="B1476" t="s">
        <v>81</v>
      </c>
      <c r="C1476" s="1">
        <v>45187.257071759261</v>
      </c>
      <c r="D1476" t="str">
        <f ca="1">VLOOKUP(qry_ProdData2_PDI_Cash_Exception_Application[[#This Row],[TYPE]],#REF!,2,FALSE)</f>
        <v>type9</v>
      </c>
      <c r="E1476">
        <v>446.56</v>
      </c>
      <c r="F1476" t="s">
        <v>50</v>
      </c>
      <c r="G1476" s="1">
        <f>qry_ProdData2_PDI_Cash_Exception_Application[[#This Row],[INSERT DATE]]+7</f>
        <v>45194.257071759261</v>
      </c>
      <c r="H1476" t="str">
        <f>VLOOKUP(qry_ProdData2_PDI_Cash_Exception_Application[[#This Row],[MARKET No]],'Site Allocation'!$B$2:$C$37,2,FALSE)</f>
        <v>Analyst5</v>
      </c>
      <c r="I1476" s="4">
        <f t="shared" ca="1" si="23"/>
        <v>45203</v>
      </c>
      <c r="J1476" s="42">
        <f ca="1">TODAY()-qry_ProdData2_PDI_Cash_Exception_Application[[#This Row],[INSERT DATE]]</f>
        <v>15.742928240739275</v>
      </c>
      <c r="K14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76">
        <f ca="1">qry_ProdData2_PDI_Cash_Exception_Application[[#This Row],[TODAY]]-qry_ProdData2_PDI_Cash_Exception_Application[[#This Row],[CHANGED ON]]</f>
        <v>8.7429282407392748</v>
      </c>
      <c r="M1476">
        <f ca="1">qry_ProdData2_PDI_Cash_Exception_Application[[#This Row],[TODAY]]-qry_ProdData2_PDI_Cash_Exception_Application[[#This Row],[CHANGED ON]]</f>
        <v>8.7429282407392748</v>
      </c>
      <c r="N1476">
        <f ca="1">qry_ProdData2_PDI_Cash_Exception_Application[[#This Row],[TODAY]]-qry_ProdData2_PDI_Cash_Exception_Application[[#This Row],[CHANGED ON]]</f>
        <v>8.7429282407392748</v>
      </c>
    </row>
    <row r="1477" spans="1:14" x14ac:dyDescent="0.35">
      <c r="A1477">
        <v>1026</v>
      </c>
      <c r="B1477" t="s">
        <v>80</v>
      </c>
      <c r="C1477" s="1">
        <v>45190.257071759261</v>
      </c>
      <c r="D1477" t="str">
        <f ca="1">VLOOKUP(qry_ProdData2_PDI_Cash_Exception_Application[[#This Row],[TYPE]],#REF!,2,FALSE)</f>
        <v>type40</v>
      </c>
      <c r="E1477">
        <v>408.73</v>
      </c>
      <c r="F1477" t="s">
        <v>49</v>
      </c>
      <c r="G1477" s="1">
        <f>qry_ProdData2_PDI_Cash_Exception_Application[[#This Row],[INSERT DATE]]+2</f>
        <v>45192.257071759261</v>
      </c>
      <c r="H1477" t="str">
        <f>VLOOKUP(qry_ProdData2_PDI_Cash_Exception_Application[[#This Row],[MARKET No]],'Site Allocation'!$B$2:$C$37,2,FALSE)</f>
        <v>Analyst5</v>
      </c>
      <c r="I1477" s="4">
        <f t="shared" ca="1" si="23"/>
        <v>45203</v>
      </c>
      <c r="J1477" s="42">
        <f ca="1">TODAY()-qry_ProdData2_PDI_Cash_Exception_Application[[#This Row],[INSERT DATE]]</f>
        <v>12.742928240739275</v>
      </c>
      <c r="K14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77">
        <f ca="1">qry_ProdData2_PDI_Cash_Exception_Application[[#This Row],[TODAY]]-qry_ProdData2_PDI_Cash_Exception_Application[[#This Row],[CHANGED ON]]</f>
        <v>10.742928240739275</v>
      </c>
      <c r="M1477">
        <f ca="1">qry_ProdData2_PDI_Cash_Exception_Application[[#This Row],[TODAY]]-qry_ProdData2_PDI_Cash_Exception_Application[[#This Row],[CHANGED ON]]</f>
        <v>10.742928240739275</v>
      </c>
      <c r="N1477">
        <f ca="1">qry_ProdData2_PDI_Cash_Exception_Application[[#This Row],[TODAY]]-qry_ProdData2_PDI_Cash_Exception_Application[[#This Row],[CHANGED ON]]</f>
        <v>10.742928240739275</v>
      </c>
    </row>
    <row r="1478" spans="1:14" x14ac:dyDescent="0.35">
      <c r="A1478">
        <v>1032</v>
      </c>
      <c r="B1478" t="s">
        <v>86</v>
      </c>
      <c r="C1478" s="1">
        <v>45187.257071759261</v>
      </c>
      <c r="D1478" t="str">
        <f ca="1">VLOOKUP(qry_ProdData2_PDI_Cash_Exception_Application[[#This Row],[TYPE]],#REF!,2,FALSE)</f>
        <v>type40</v>
      </c>
      <c r="E1478">
        <v>4590.91</v>
      </c>
      <c r="F1478" t="s">
        <v>48</v>
      </c>
      <c r="G1478" s="1">
        <f>qry_ProdData2_PDI_Cash_Exception_Application[[#This Row],[INSERT DATE]]+2</f>
        <v>45189.257071759261</v>
      </c>
      <c r="H1478" t="str">
        <f>VLOOKUP(qry_ProdData2_PDI_Cash_Exception_Application[[#This Row],[MARKET No]],'Site Allocation'!$B$2:$C$37,2,FALSE)</f>
        <v>Analyst6</v>
      </c>
      <c r="I1478" s="4">
        <f t="shared" ca="1" si="23"/>
        <v>45203</v>
      </c>
      <c r="J1478" s="42">
        <f ca="1">TODAY()-qry_ProdData2_PDI_Cash_Exception_Application[[#This Row],[INSERT DATE]]</f>
        <v>15.742928240739275</v>
      </c>
      <c r="K14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78">
        <f ca="1">qry_ProdData2_PDI_Cash_Exception_Application[[#This Row],[TODAY]]-qry_ProdData2_PDI_Cash_Exception_Application[[#This Row],[CHANGED ON]]</f>
        <v>13.742928240739275</v>
      </c>
      <c r="M1478">
        <f ca="1">qry_ProdData2_PDI_Cash_Exception_Application[[#This Row],[TODAY]]-qry_ProdData2_PDI_Cash_Exception_Application[[#This Row],[CHANGED ON]]</f>
        <v>13.742928240739275</v>
      </c>
      <c r="N1478">
        <f ca="1">qry_ProdData2_PDI_Cash_Exception_Application[[#This Row],[TODAY]]-qry_ProdData2_PDI_Cash_Exception_Application[[#This Row],[CHANGED ON]]</f>
        <v>13.742928240739275</v>
      </c>
    </row>
    <row r="1479" spans="1:14" x14ac:dyDescent="0.35">
      <c r="A1479">
        <v>1031</v>
      </c>
      <c r="B1479" t="s">
        <v>85</v>
      </c>
      <c r="C1479" s="1">
        <v>45192.257071759261</v>
      </c>
      <c r="D1479" t="str">
        <f ca="1">VLOOKUP(qry_ProdData2_PDI_Cash_Exception_Application[[#This Row],[TYPE]],#REF!,2,FALSE)</f>
        <v>type40</v>
      </c>
      <c r="E1479">
        <v>-5796.69</v>
      </c>
      <c r="F1479" t="s">
        <v>49</v>
      </c>
      <c r="G1479" s="1">
        <f>qry_ProdData2_PDI_Cash_Exception_Application[[#This Row],[INSERT DATE]]+2</f>
        <v>45194.257071759261</v>
      </c>
      <c r="H1479" t="str">
        <f>VLOOKUP(qry_ProdData2_PDI_Cash_Exception_Application[[#This Row],[MARKET No]],'Site Allocation'!$B$2:$C$37,2,FALSE)</f>
        <v>Analyst6</v>
      </c>
      <c r="I1479" s="4">
        <f t="shared" ca="1" si="23"/>
        <v>45203</v>
      </c>
      <c r="J1479" s="42">
        <f ca="1">TODAY()-qry_ProdData2_PDI_Cash_Exception_Application[[#This Row],[INSERT DATE]]</f>
        <v>10.742928240739275</v>
      </c>
      <c r="K14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79">
        <f ca="1">qry_ProdData2_PDI_Cash_Exception_Application[[#This Row],[TODAY]]-qry_ProdData2_PDI_Cash_Exception_Application[[#This Row],[CHANGED ON]]</f>
        <v>8.7429282407392748</v>
      </c>
      <c r="M1479">
        <f ca="1">qry_ProdData2_PDI_Cash_Exception_Application[[#This Row],[TODAY]]-qry_ProdData2_PDI_Cash_Exception_Application[[#This Row],[CHANGED ON]]</f>
        <v>8.7429282407392748</v>
      </c>
      <c r="N1479">
        <f ca="1">qry_ProdData2_PDI_Cash_Exception_Application[[#This Row],[TODAY]]-qry_ProdData2_PDI_Cash_Exception_Application[[#This Row],[CHANGED ON]]</f>
        <v>8.7429282407392748</v>
      </c>
    </row>
    <row r="1480" spans="1:14" x14ac:dyDescent="0.35">
      <c r="A1480">
        <v>1022</v>
      </c>
      <c r="B1480" t="s">
        <v>76</v>
      </c>
      <c r="C1480" s="1">
        <v>45183.257071759261</v>
      </c>
      <c r="D1480" t="str">
        <f ca="1">VLOOKUP(qry_ProdData2_PDI_Cash_Exception_Application[[#This Row],[TYPE]],#REF!,2,FALSE)</f>
        <v>type40</v>
      </c>
      <c r="E1480">
        <v>10</v>
      </c>
      <c r="F1480" t="s">
        <v>49</v>
      </c>
      <c r="G1480" s="1">
        <f>qry_ProdData2_PDI_Cash_Exception_Application[[#This Row],[INSERT DATE]]+2</f>
        <v>45185.257071759261</v>
      </c>
      <c r="H1480" t="str">
        <f>VLOOKUP(qry_ProdData2_PDI_Cash_Exception_Application[[#This Row],[MARKET No]],'Site Allocation'!$B$2:$C$37,2,FALSE)</f>
        <v>Analyst4</v>
      </c>
      <c r="I1480" s="4">
        <f t="shared" ca="1" si="23"/>
        <v>45203</v>
      </c>
      <c r="J1480" s="42">
        <f ca="1">TODAY()-qry_ProdData2_PDI_Cash_Exception_Application[[#This Row],[INSERT DATE]]</f>
        <v>19.742928240739275</v>
      </c>
      <c r="K14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80">
        <f ca="1">qry_ProdData2_PDI_Cash_Exception_Application[[#This Row],[TODAY]]-qry_ProdData2_PDI_Cash_Exception_Application[[#This Row],[CHANGED ON]]</f>
        <v>17.742928240739275</v>
      </c>
      <c r="M1480">
        <f ca="1">qry_ProdData2_PDI_Cash_Exception_Application[[#This Row],[TODAY]]-qry_ProdData2_PDI_Cash_Exception_Application[[#This Row],[CHANGED ON]]</f>
        <v>17.742928240739275</v>
      </c>
      <c r="N1480">
        <f ca="1">qry_ProdData2_PDI_Cash_Exception_Application[[#This Row],[TODAY]]-qry_ProdData2_PDI_Cash_Exception_Application[[#This Row],[CHANGED ON]]</f>
        <v>17.742928240739275</v>
      </c>
    </row>
    <row r="1481" spans="1:14" x14ac:dyDescent="0.35">
      <c r="A1481">
        <v>1006</v>
      </c>
      <c r="B1481" t="s">
        <v>60</v>
      </c>
      <c r="C1481" s="1">
        <v>45190.257071759261</v>
      </c>
      <c r="D1481" t="str">
        <f ca="1">VLOOKUP(qry_ProdData2_PDI_Cash_Exception_Application[[#This Row],[TYPE]],#REF!,2,FALSE)</f>
        <v>type40</v>
      </c>
      <c r="E1481">
        <v>-458.7</v>
      </c>
      <c r="F1481" t="s">
        <v>50</v>
      </c>
      <c r="G1481" s="1">
        <f>qry_ProdData2_PDI_Cash_Exception_Application[[#This Row],[INSERT DATE]]+1</f>
        <v>45191.257071759261</v>
      </c>
      <c r="H1481" t="str">
        <f>VLOOKUP(qry_ProdData2_PDI_Cash_Exception_Application[[#This Row],[MARKET No]],'Site Allocation'!$B$2:$C$37,2,FALSE)</f>
        <v>Analyst2</v>
      </c>
      <c r="I1481" s="4">
        <f t="shared" ca="1" si="23"/>
        <v>45203</v>
      </c>
      <c r="J1481" s="42">
        <f ca="1">TODAY()-qry_ProdData2_PDI_Cash_Exception_Application[[#This Row],[INSERT DATE]]</f>
        <v>12.742928240739275</v>
      </c>
      <c r="K14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81">
        <f ca="1">qry_ProdData2_PDI_Cash_Exception_Application[[#This Row],[TODAY]]-qry_ProdData2_PDI_Cash_Exception_Application[[#This Row],[CHANGED ON]]</f>
        <v>11.742928240739275</v>
      </c>
      <c r="M1481">
        <f ca="1">qry_ProdData2_PDI_Cash_Exception_Application[[#This Row],[TODAY]]-qry_ProdData2_PDI_Cash_Exception_Application[[#This Row],[CHANGED ON]]</f>
        <v>11.742928240739275</v>
      </c>
      <c r="N1481">
        <f ca="1">qry_ProdData2_PDI_Cash_Exception_Application[[#This Row],[TODAY]]-qry_ProdData2_PDI_Cash_Exception_Application[[#This Row],[CHANGED ON]]</f>
        <v>11.742928240739275</v>
      </c>
    </row>
    <row r="1482" spans="1:14" x14ac:dyDescent="0.35">
      <c r="A1482">
        <v>1003</v>
      </c>
      <c r="B1482" t="s">
        <v>57</v>
      </c>
      <c r="C1482" s="1">
        <v>45179.257071759261</v>
      </c>
      <c r="D1482" t="str">
        <f ca="1">VLOOKUP(qry_ProdData2_PDI_Cash_Exception_Application[[#This Row],[TYPE]],#REF!,2,FALSE)</f>
        <v>type13</v>
      </c>
      <c r="E1482">
        <v>30904.52</v>
      </c>
      <c r="F1482" t="s">
        <v>51</v>
      </c>
      <c r="G1482" s="1">
        <f>qry_ProdData2_PDI_Cash_Exception_Application[[#This Row],[INSERT DATE]]+1</f>
        <v>45180.257071759261</v>
      </c>
      <c r="H1482" t="str">
        <f>VLOOKUP(qry_ProdData2_PDI_Cash_Exception_Application[[#This Row],[MARKET No]],'Site Allocation'!$B$2:$C$37,2,FALSE)</f>
        <v>Analyst1</v>
      </c>
      <c r="I1482" s="4">
        <f t="shared" ca="1" si="23"/>
        <v>45203</v>
      </c>
      <c r="J1482" s="42">
        <f ca="1">TODAY()-qry_ProdData2_PDI_Cash_Exception_Application[[#This Row],[INSERT DATE]]</f>
        <v>23.742928240739275</v>
      </c>
      <c r="K14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82">
        <f ca="1">qry_ProdData2_PDI_Cash_Exception_Application[[#This Row],[TODAY]]-qry_ProdData2_PDI_Cash_Exception_Application[[#This Row],[CHANGED ON]]</f>
        <v>22.742928240739275</v>
      </c>
      <c r="M1482">
        <f ca="1">qry_ProdData2_PDI_Cash_Exception_Application[[#This Row],[TODAY]]-qry_ProdData2_PDI_Cash_Exception_Application[[#This Row],[CHANGED ON]]</f>
        <v>22.742928240739275</v>
      </c>
      <c r="N1482">
        <f ca="1">qry_ProdData2_PDI_Cash_Exception_Application[[#This Row],[TODAY]]-qry_ProdData2_PDI_Cash_Exception_Application[[#This Row],[CHANGED ON]]</f>
        <v>22.742928240739275</v>
      </c>
    </row>
    <row r="1483" spans="1:14" x14ac:dyDescent="0.35">
      <c r="A1483">
        <v>1030</v>
      </c>
      <c r="B1483" t="s">
        <v>84</v>
      </c>
      <c r="C1483" s="1">
        <v>45192.257071759261</v>
      </c>
      <c r="D1483" t="str">
        <f ca="1">VLOOKUP(qry_ProdData2_PDI_Cash_Exception_Application[[#This Row],[TYPE]],#REF!,2,FALSE)</f>
        <v>type40</v>
      </c>
      <c r="E1483">
        <v>-442.24</v>
      </c>
      <c r="F1483" t="s">
        <v>52</v>
      </c>
      <c r="G1483" s="1">
        <f>qry_ProdData2_PDI_Cash_Exception_Application[[#This Row],[INSERT DATE]]+1</f>
        <v>45193.257071759261</v>
      </c>
      <c r="H1483" t="str">
        <f>VLOOKUP(qry_ProdData2_PDI_Cash_Exception_Application[[#This Row],[MARKET No]],'Site Allocation'!$B$2:$C$37,2,FALSE)</f>
        <v>Analyst6</v>
      </c>
      <c r="I1483" s="4">
        <f t="shared" ca="1" si="23"/>
        <v>45203</v>
      </c>
      <c r="J1483" s="42">
        <f ca="1">TODAY()-qry_ProdData2_PDI_Cash_Exception_Application[[#This Row],[INSERT DATE]]</f>
        <v>10.742928240739275</v>
      </c>
      <c r="K14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83">
        <f ca="1">qry_ProdData2_PDI_Cash_Exception_Application[[#This Row],[TODAY]]-qry_ProdData2_PDI_Cash_Exception_Application[[#This Row],[CHANGED ON]]</f>
        <v>9.7429282407392748</v>
      </c>
      <c r="M1483">
        <f ca="1">qry_ProdData2_PDI_Cash_Exception_Application[[#This Row],[TODAY]]-qry_ProdData2_PDI_Cash_Exception_Application[[#This Row],[CHANGED ON]]</f>
        <v>9.7429282407392748</v>
      </c>
      <c r="N1483">
        <f ca="1">qry_ProdData2_PDI_Cash_Exception_Application[[#This Row],[TODAY]]-qry_ProdData2_PDI_Cash_Exception_Application[[#This Row],[CHANGED ON]]</f>
        <v>9.7429282407392748</v>
      </c>
    </row>
    <row r="1484" spans="1:14" x14ac:dyDescent="0.35">
      <c r="A1484">
        <v>1023</v>
      </c>
      <c r="B1484" t="s">
        <v>77</v>
      </c>
      <c r="C1484" s="1">
        <v>45193.257071759261</v>
      </c>
      <c r="D1484" t="str">
        <f ca="1">VLOOKUP(qry_ProdData2_PDI_Cash_Exception_Application[[#This Row],[TYPE]],#REF!,2,FALSE)</f>
        <v>type40</v>
      </c>
      <c r="E1484">
        <v>336.82</v>
      </c>
      <c r="F1484" t="s">
        <v>52</v>
      </c>
      <c r="G1484" s="1">
        <f>qry_ProdData2_PDI_Cash_Exception_Application[[#This Row],[INSERT DATE]]+1</f>
        <v>45194.257071759261</v>
      </c>
      <c r="H1484" t="str">
        <f>VLOOKUP(qry_ProdData2_PDI_Cash_Exception_Application[[#This Row],[MARKET No]],'Site Allocation'!$B$2:$C$37,2,FALSE)</f>
        <v>Analyst4</v>
      </c>
      <c r="I1484" s="4">
        <f t="shared" ca="1" si="23"/>
        <v>45203</v>
      </c>
      <c r="J1484" s="42">
        <f ca="1">TODAY()-qry_ProdData2_PDI_Cash_Exception_Application[[#This Row],[INSERT DATE]]</f>
        <v>9.7429282407392748</v>
      </c>
      <c r="K14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84">
        <f ca="1">qry_ProdData2_PDI_Cash_Exception_Application[[#This Row],[TODAY]]-qry_ProdData2_PDI_Cash_Exception_Application[[#This Row],[CHANGED ON]]</f>
        <v>8.7429282407392748</v>
      </c>
      <c r="M1484">
        <f ca="1">qry_ProdData2_PDI_Cash_Exception_Application[[#This Row],[TODAY]]-qry_ProdData2_PDI_Cash_Exception_Application[[#This Row],[CHANGED ON]]</f>
        <v>8.7429282407392748</v>
      </c>
      <c r="N1484">
        <f ca="1">qry_ProdData2_PDI_Cash_Exception_Application[[#This Row],[TODAY]]-qry_ProdData2_PDI_Cash_Exception_Application[[#This Row],[CHANGED ON]]</f>
        <v>8.7429282407392748</v>
      </c>
    </row>
    <row r="1485" spans="1:14" x14ac:dyDescent="0.35">
      <c r="A1485">
        <v>1018</v>
      </c>
      <c r="B1485" t="s">
        <v>72</v>
      </c>
      <c r="C1485" s="1">
        <v>45190.257071759261</v>
      </c>
      <c r="D1485" t="str">
        <f ca="1">VLOOKUP(qry_ProdData2_PDI_Cash_Exception_Application[[#This Row],[TYPE]],#REF!,2,FALSE)</f>
        <v>type40</v>
      </c>
      <c r="E1485">
        <v>4590.92</v>
      </c>
      <c r="F1485" t="s">
        <v>48</v>
      </c>
      <c r="G1485" s="1">
        <f>qry_ProdData2_PDI_Cash_Exception_Application[[#This Row],[INSERT DATE]]+2</f>
        <v>45192.257071759261</v>
      </c>
      <c r="H1485" t="str">
        <f>VLOOKUP(qry_ProdData2_PDI_Cash_Exception_Application[[#This Row],[MARKET No]],'Site Allocation'!$B$2:$C$37,2,FALSE)</f>
        <v>Analyst4</v>
      </c>
      <c r="I1485" s="4">
        <f t="shared" ca="1" si="23"/>
        <v>45203</v>
      </c>
      <c r="J1485" s="42">
        <f ca="1">TODAY()-qry_ProdData2_PDI_Cash_Exception_Application[[#This Row],[INSERT DATE]]</f>
        <v>12.742928240739275</v>
      </c>
      <c r="K14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85">
        <f ca="1">qry_ProdData2_PDI_Cash_Exception_Application[[#This Row],[TODAY]]-qry_ProdData2_PDI_Cash_Exception_Application[[#This Row],[CHANGED ON]]</f>
        <v>10.742928240739275</v>
      </c>
      <c r="M1485">
        <f ca="1">qry_ProdData2_PDI_Cash_Exception_Application[[#This Row],[TODAY]]-qry_ProdData2_PDI_Cash_Exception_Application[[#This Row],[CHANGED ON]]</f>
        <v>10.742928240739275</v>
      </c>
      <c r="N1485">
        <f ca="1">qry_ProdData2_PDI_Cash_Exception_Application[[#This Row],[TODAY]]-qry_ProdData2_PDI_Cash_Exception_Application[[#This Row],[CHANGED ON]]</f>
        <v>10.742928240739275</v>
      </c>
    </row>
    <row r="1486" spans="1:14" x14ac:dyDescent="0.35">
      <c r="A1486">
        <v>1017</v>
      </c>
      <c r="B1486" t="s">
        <v>71</v>
      </c>
      <c r="C1486" s="1">
        <v>45195.257071759261</v>
      </c>
      <c r="D1486" t="str">
        <f ca="1">VLOOKUP(qry_ProdData2_PDI_Cash_Exception_Application[[#This Row],[TYPE]],#REF!,2,FALSE)</f>
        <v>type40</v>
      </c>
      <c r="E1486">
        <v>556.78</v>
      </c>
      <c r="F1486" t="s">
        <v>52</v>
      </c>
      <c r="G1486" s="1">
        <f>qry_ProdData2_PDI_Cash_Exception_Application[[#This Row],[INSERT DATE]]+1</f>
        <v>45196.257071759261</v>
      </c>
      <c r="H1486" t="str">
        <f>VLOOKUP(qry_ProdData2_PDI_Cash_Exception_Application[[#This Row],[MARKET No]],'Site Allocation'!$B$2:$C$37,2,FALSE)</f>
        <v>Analyst3</v>
      </c>
      <c r="I1486" s="4">
        <f t="shared" ca="1" si="23"/>
        <v>45203</v>
      </c>
      <c r="J1486" s="42">
        <f ca="1">TODAY()-qry_ProdData2_PDI_Cash_Exception_Application[[#This Row],[INSERT DATE]]</f>
        <v>7.7429282407392748</v>
      </c>
      <c r="K14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486">
        <f ca="1">qry_ProdData2_PDI_Cash_Exception_Application[[#This Row],[TODAY]]-qry_ProdData2_PDI_Cash_Exception_Application[[#This Row],[CHANGED ON]]</f>
        <v>6.7429282407392748</v>
      </c>
      <c r="M1486">
        <f ca="1">qry_ProdData2_PDI_Cash_Exception_Application[[#This Row],[TODAY]]-qry_ProdData2_PDI_Cash_Exception_Application[[#This Row],[CHANGED ON]]</f>
        <v>6.7429282407392748</v>
      </c>
      <c r="N1486">
        <f ca="1">qry_ProdData2_PDI_Cash_Exception_Application[[#This Row],[TODAY]]-qry_ProdData2_PDI_Cash_Exception_Application[[#This Row],[CHANGED ON]]</f>
        <v>6.7429282407392748</v>
      </c>
    </row>
    <row r="1487" spans="1:14" x14ac:dyDescent="0.35">
      <c r="A1487">
        <v>1012</v>
      </c>
      <c r="B1487" t="s">
        <v>66</v>
      </c>
      <c r="C1487" s="1">
        <v>45180.257071759261</v>
      </c>
      <c r="D1487" t="str">
        <f ca="1">VLOOKUP(qry_ProdData2_PDI_Cash_Exception_Application[[#This Row],[TYPE]],#REF!,2,FALSE)</f>
        <v>type13</v>
      </c>
      <c r="E1487">
        <v>25089.5</v>
      </c>
      <c r="F1487" t="s">
        <v>51</v>
      </c>
      <c r="G1487" s="1">
        <f>qry_ProdData2_PDI_Cash_Exception_Application[[#This Row],[INSERT DATE]]+2</f>
        <v>45182.257071759261</v>
      </c>
      <c r="H1487" t="str">
        <f>VLOOKUP(qry_ProdData2_PDI_Cash_Exception_Application[[#This Row],[MARKET No]],'Site Allocation'!$B$2:$C$37,2,FALSE)</f>
        <v>Analyst3</v>
      </c>
      <c r="I1487" s="4">
        <f t="shared" ca="1" si="23"/>
        <v>45203</v>
      </c>
      <c r="J1487" s="42">
        <f ca="1">TODAY()-qry_ProdData2_PDI_Cash_Exception_Application[[#This Row],[INSERT DATE]]</f>
        <v>22.742928240739275</v>
      </c>
      <c r="K14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87">
        <f ca="1">qry_ProdData2_PDI_Cash_Exception_Application[[#This Row],[TODAY]]-qry_ProdData2_PDI_Cash_Exception_Application[[#This Row],[CHANGED ON]]</f>
        <v>20.742928240739275</v>
      </c>
      <c r="M1487">
        <f ca="1">qry_ProdData2_PDI_Cash_Exception_Application[[#This Row],[TODAY]]-qry_ProdData2_PDI_Cash_Exception_Application[[#This Row],[CHANGED ON]]</f>
        <v>20.742928240739275</v>
      </c>
      <c r="N1487">
        <f ca="1">qry_ProdData2_PDI_Cash_Exception_Application[[#This Row],[TODAY]]-qry_ProdData2_PDI_Cash_Exception_Application[[#This Row],[CHANGED ON]]</f>
        <v>20.742928240739275</v>
      </c>
    </row>
    <row r="1488" spans="1:14" x14ac:dyDescent="0.35">
      <c r="A1488">
        <v>1012</v>
      </c>
      <c r="B1488" t="s">
        <v>66</v>
      </c>
      <c r="C1488" s="1">
        <v>45180.257071759261</v>
      </c>
      <c r="D1488" t="str">
        <f ca="1">VLOOKUP(qry_ProdData2_PDI_Cash_Exception_Application[[#This Row],[TYPE]],#REF!,2,FALSE)</f>
        <v>type40</v>
      </c>
      <c r="E1488">
        <v>-563.01</v>
      </c>
      <c r="F1488" t="s">
        <v>48</v>
      </c>
      <c r="G1488" s="1">
        <f>qry_ProdData2_PDI_Cash_Exception_Application[[#This Row],[INSERT DATE]]+2</f>
        <v>45182.257071759261</v>
      </c>
      <c r="H1488" t="str">
        <f>VLOOKUP(qry_ProdData2_PDI_Cash_Exception_Application[[#This Row],[MARKET No]],'Site Allocation'!$B$2:$C$37,2,FALSE)</f>
        <v>Analyst3</v>
      </c>
      <c r="I1488" s="4">
        <f t="shared" ca="1" si="23"/>
        <v>45203</v>
      </c>
      <c r="J1488" s="42">
        <f ca="1">TODAY()-qry_ProdData2_PDI_Cash_Exception_Application[[#This Row],[INSERT DATE]]</f>
        <v>22.742928240739275</v>
      </c>
      <c r="K14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88">
        <f ca="1">qry_ProdData2_PDI_Cash_Exception_Application[[#This Row],[TODAY]]-qry_ProdData2_PDI_Cash_Exception_Application[[#This Row],[CHANGED ON]]</f>
        <v>20.742928240739275</v>
      </c>
      <c r="M1488">
        <f ca="1">qry_ProdData2_PDI_Cash_Exception_Application[[#This Row],[TODAY]]-qry_ProdData2_PDI_Cash_Exception_Application[[#This Row],[CHANGED ON]]</f>
        <v>20.742928240739275</v>
      </c>
      <c r="N1488">
        <f ca="1">qry_ProdData2_PDI_Cash_Exception_Application[[#This Row],[TODAY]]-qry_ProdData2_PDI_Cash_Exception_Application[[#This Row],[CHANGED ON]]</f>
        <v>20.742928240739275</v>
      </c>
    </row>
    <row r="1489" spans="1:14" x14ac:dyDescent="0.35">
      <c r="A1489">
        <v>1003</v>
      </c>
      <c r="B1489" t="s">
        <v>57</v>
      </c>
      <c r="C1489" s="1">
        <v>45185.257071759261</v>
      </c>
      <c r="D1489" t="str">
        <f ca="1">VLOOKUP(qry_ProdData2_PDI_Cash_Exception_Application[[#This Row],[TYPE]],#REF!,2,FALSE)</f>
        <v>type35</v>
      </c>
      <c r="E1489">
        <v>944.25</v>
      </c>
      <c r="F1489" t="s">
        <v>52</v>
      </c>
      <c r="G1489" s="1">
        <f>qry_ProdData2_PDI_Cash_Exception_Application[[#This Row],[INSERT DATE]]+1</f>
        <v>45186.257071759261</v>
      </c>
      <c r="H1489" t="str">
        <f>VLOOKUP(qry_ProdData2_PDI_Cash_Exception_Application[[#This Row],[MARKET No]],'Site Allocation'!$B$2:$C$37,2,FALSE)</f>
        <v>Analyst1</v>
      </c>
      <c r="I1489" s="4">
        <f t="shared" ca="1" si="23"/>
        <v>45203</v>
      </c>
      <c r="J1489" s="42">
        <f ca="1">TODAY()-qry_ProdData2_PDI_Cash_Exception_Application[[#This Row],[INSERT DATE]]</f>
        <v>17.742928240739275</v>
      </c>
      <c r="K14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89">
        <f ca="1">qry_ProdData2_PDI_Cash_Exception_Application[[#This Row],[TODAY]]-qry_ProdData2_PDI_Cash_Exception_Application[[#This Row],[CHANGED ON]]</f>
        <v>16.742928240739275</v>
      </c>
      <c r="M1489">
        <f ca="1">qry_ProdData2_PDI_Cash_Exception_Application[[#This Row],[TODAY]]-qry_ProdData2_PDI_Cash_Exception_Application[[#This Row],[CHANGED ON]]</f>
        <v>16.742928240739275</v>
      </c>
      <c r="N1489">
        <f ca="1">qry_ProdData2_PDI_Cash_Exception_Application[[#This Row],[TODAY]]-qry_ProdData2_PDI_Cash_Exception_Application[[#This Row],[CHANGED ON]]</f>
        <v>16.742928240739275</v>
      </c>
    </row>
    <row r="1490" spans="1:14" x14ac:dyDescent="0.35">
      <c r="A1490">
        <v>1008</v>
      </c>
      <c r="B1490" t="s">
        <v>62</v>
      </c>
      <c r="C1490" s="1">
        <v>45189.257071759261</v>
      </c>
      <c r="D1490" t="str">
        <f ca="1">VLOOKUP(qry_ProdData2_PDI_Cash_Exception_Application[[#This Row],[TYPE]],#REF!,2,FALSE)</f>
        <v>type40</v>
      </c>
      <c r="E1490">
        <v>2819.23</v>
      </c>
      <c r="F1490" t="s">
        <v>48</v>
      </c>
      <c r="G1490" s="1">
        <f>qry_ProdData2_PDI_Cash_Exception_Application[[#This Row],[INSERT DATE]]+2</f>
        <v>45191.257071759261</v>
      </c>
      <c r="H1490" t="str">
        <f>VLOOKUP(qry_ProdData2_PDI_Cash_Exception_Application[[#This Row],[MARKET No]],'Site Allocation'!$B$2:$C$37,2,FALSE)</f>
        <v>Analyst2</v>
      </c>
      <c r="I1490" s="4">
        <f t="shared" ca="1" si="23"/>
        <v>45203</v>
      </c>
      <c r="J1490" s="42">
        <f ca="1">TODAY()-qry_ProdData2_PDI_Cash_Exception_Application[[#This Row],[INSERT DATE]]</f>
        <v>13.742928240739275</v>
      </c>
      <c r="K14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90">
        <f ca="1">qry_ProdData2_PDI_Cash_Exception_Application[[#This Row],[TODAY]]-qry_ProdData2_PDI_Cash_Exception_Application[[#This Row],[CHANGED ON]]</f>
        <v>11.742928240739275</v>
      </c>
      <c r="M1490">
        <f ca="1">qry_ProdData2_PDI_Cash_Exception_Application[[#This Row],[TODAY]]-qry_ProdData2_PDI_Cash_Exception_Application[[#This Row],[CHANGED ON]]</f>
        <v>11.742928240739275</v>
      </c>
      <c r="N1490">
        <f ca="1">qry_ProdData2_PDI_Cash_Exception_Application[[#This Row],[TODAY]]-qry_ProdData2_PDI_Cash_Exception_Application[[#This Row],[CHANGED ON]]</f>
        <v>11.742928240739275</v>
      </c>
    </row>
    <row r="1491" spans="1:14" x14ac:dyDescent="0.35">
      <c r="A1491">
        <v>1026</v>
      </c>
      <c r="B1491" t="s">
        <v>80</v>
      </c>
      <c r="C1491" s="1">
        <v>45185.257071759261</v>
      </c>
      <c r="D1491" t="str">
        <f ca="1">VLOOKUP(qry_ProdData2_PDI_Cash_Exception_Application[[#This Row],[TYPE]],#REF!,2,FALSE)</f>
        <v>type40</v>
      </c>
      <c r="E1491">
        <v>-360.71</v>
      </c>
      <c r="F1491" t="s">
        <v>49</v>
      </c>
      <c r="G1491" s="1">
        <f>qry_ProdData2_PDI_Cash_Exception_Application[[#This Row],[INSERT DATE]]+5</f>
        <v>45190.257071759261</v>
      </c>
      <c r="H1491" t="str">
        <f>VLOOKUP(qry_ProdData2_PDI_Cash_Exception_Application[[#This Row],[MARKET No]],'Site Allocation'!$B$2:$C$37,2,FALSE)</f>
        <v>Analyst5</v>
      </c>
      <c r="I1491" s="4">
        <f t="shared" ca="1" si="23"/>
        <v>45203</v>
      </c>
      <c r="J1491" s="42">
        <f ca="1">TODAY()-qry_ProdData2_PDI_Cash_Exception_Application[[#This Row],[INSERT DATE]]</f>
        <v>17.742928240739275</v>
      </c>
      <c r="K14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91">
        <f ca="1">qry_ProdData2_PDI_Cash_Exception_Application[[#This Row],[TODAY]]-qry_ProdData2_PDI_Cash_Exception_Application[[#This Row],[CHANGED ON]]</f>
        <v>12.742928240739275</v>
      </c>
      <c r="M1491">
        <f ca="1">qry_ProdData2_PDI_Cash_Exception_Application[[#This Row],[TODAY]]-qry_ProdData2_PDI_Cash_Exception_Application[[#This Row],[CHANGED ON]]</f>
        <v>12.742928240739275</v>
      </c>
      <c r="N1491">
        <f ca="1">qry_ProdData2_PDI_Cash_Exception_Application[[#This Row],[TODAY]]-qry_ProdData2_PDI_Cash_Exception_Application[[#This Row],[CHANGED ON]]</f>
        <v>12.742928240739275</v>
      </c>
    </row>
    <row r="1492" spans="1:14" x14ac:dyDescent="0.35">
      <c r="A1492">
        <v>1029</v>
      </c>
      <c r="B1492" t="s">
        <v>83</v>
      </c>
      <c r="C1492" s="1">
        <v>45187.257071759261</v>
      </c>
      <c r="D1492" t="str">
        <f ca="1">VLOOKUP(qry_ProdData2_PDI_Cash_Exception_Application[[#This Row],[TYPE]],#REF!,2,FALSE)</f>
        <v>type35</v>
      </c>
      <c r="E1492">
        <v>2462.39</v>
      </c>
      <c r="F1492" t="s">
        <v>52</v>
      </c>
      <c r="G1492" s="1">
        <f>qry_ProdData2_PDI_Cash_Exception_Application[[#This Row],[INSERT DATE]]+1</f>
        <v>45188.257071759261</v>
      </c>
      <c r="H1492" t="str">
        <f>VLOOKUP(qry_ProdData2_PDI_Cash_Exception_Application[[#This Row],[MARKET No]],'Site Allocation'!$B$2:$C$37,2,FALSE)</f>
        <v>Analyst5</v>
      </c>
      <c r="I1492" s="4">
        <f t="shared" ca="1" si="23"/>
        <v>45203</v>
      </c>
      <c r="J1492" s="42">
        <f ca="1">TODAY()-qry_ProdData2_PDI_Cash_Exception_Application[[#This Row],[INSERT DATE]]</f>
        <v>15.742928240739275</v>
      </c>
      <c r="K14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92">
        <f ca="1">qry_ProdData2_PDI_Cash_Exception_Application[[#This Row],[TODAY]]-qry_ProdData2_PDI_Cash_Exception_Application[[#This Row],[CHANGED ON]]</f>
        <v>14.742928240739275</v>
      </c>
      <c r="M1492">
        <f ca="1">qry_ProdData2_PDI_Cash_Exception_Application[[#This Row],[TODAY]]-qry_ProdData2_PDI_Cash_Exception_Application[[#This Row],[CHANGED ON]]</f>
        <v>14.742928240739275</v>
      </c>
      <c r="N1492">
        <f ca="1">qry_ProdData2_PDI_Cash_Exception_Application[[#This Row],[TODAY]]-qry_ProdData2_PDI_Cash_Exception_Application[[#This Row],[CHANGED ON]]</f>
        <v>14.742928240739275</v>
      </c>
    </row>
    <row r="1493" spans="1:14" x14ac:dyDescent="0.35">
      <c r="A1493">
        <v>1027</v>
      </c>
      <c r="B1493" t="s">
        <v>81</v>
      </c>
      <c r="C1493" s="1">
        <v>45192.257071759261</v>
      </c>
      <c r="D1493" t="str">
        <f ca="1">VLOOKUP(qry_ProdData2_PDI_Cash_Exception_Application[[#This Row],[TYPE]],#REF!,2,FALSE)</f>
        <v>type40</v>
      </c>
      <c r="E1493">
        <v>-412.59</v>
      </c>
      <c r="F1493" t="s">
        <v>47</v>
      </c>
      <c r="G1493" s="1">
        <f>qry_ProdData2_PDI_Cash_Exception_Application[[#This Row],[INSERT DATE]]+5</f>
        <v>45197.257071759261</v>
      </c>
      <c r="H1493" t="str">
        <f>VLOOKUP(qry_ProdData2_PDI_Cash_Exception_Application[[#This Row],[MARKET No]],'Site Allocation'!$B$2:$C$37,2,FALSE)</f>
        <v>Analyst5</v>
      </c>
      <c r="I1493" s="4">
        <f t="shared" ca="1" si="23"/>
        <v>45203</v>
      </c>
      <c r="J1493" s="42">
        <f ca="1">TODAY()-qry_ProdData2_PDI_Cash_Exception_Application[[#This Row],[INSERT DATE]]</f>
        <v>10.742928240739275</v>
      </c>
      <c r="K14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93">
        <f ca="1">qry_ProdData2_PDI_Cash_Exception_Application[[#This Row],[TODAY]]-qry_ProdData2_PDI_Cash_Exception_Application[[#This Row],[CHANGED ON]]</f>
        <v>5.7429282407392748</v>
      </c>
      <c r="M1493">
        <f ca="1">qry_ProdData2_PDI_Cash_Exception_Application[[#This Row],[TODAY]]-qry_ProdData2_PDI_Cash_Exception_Application[[#This Row],[CHANGED ON]]</f>
        <v>5.7429282407392748</v>
      </c>
      <c r="N1493">
        <f ca="1">qry_ProdData2_PDI_Cash_Exception_Application[[#This Row],[TODAY]]-qry_ProdData2_PDI_Cash_Exception_Application[[#This Row],[CHANGED ON]]</f>
        <v>5.7429282407392748</v>
      </c>
    </row>
    <row r="1494" spans="1:14" x14ac:dyDescent="0.35">
      <c r="A1494">
        <v>1026</v>
      </c>
      <c r="B1494" t="s">
        <v>80</v>
      </c>
      <c r="C1494" s="1">
        <v>45189.257071759261</v>
      </c>
      <c r="D1494" t="str">
        <f ca="1">VLOOKUP(qry_ProdData2_PDI_Cash_Exception_Application[[#This Row],[TYPE]],#REF!,2,FALSE)</f>
        <v>type40</v>
      </c>
      <c r="E1494">
        <v>339.81</v>
      </c>
      <c r="F1494" t="s">
        <v>50</v>
      </c>
      <c r="G1494" s="1">
        <f>qry_ProdData2_PDI_Cash_Exception_Application[[#This Row],[INSERT DATE]]+1</f>
        <v>45190.257071759261</v>
      </c>
      <c r="H1494" t="str">
        <f>VLOOKUP(qry_ProdData2_PDI_Cash_Exception_Application[[#This Row],[MARKET No]],'Site Allocation'!$B$2:$C$37,2,FALSE)</f>
        <v>Analyst5</v>
      </c>
      <c r="I1494" s="4">
        <f t="shared" ca="1" si="23"/>
        <v>45203</v>
      </c>
      <c r="J1494" s="42">
        <f ca="1">TODAY()-qry_ProdData2_PDI_Cash_Exception_Application[[#This Row],[INSERT DATE]]</f>
        <v>13.742928240739275</v>
      </c>
      <c r="K14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94">
        <f ca="1">qry_ProdData2_PDI_Cash_Exception_Application[[#This Row],[TODAY]]-qry_ProdData2_PDI_Cash_Exception_Application[[#This Row],[CHANGED ON]]</f>
        <v>12.742928240739275</v>
      </c>
      <c r="M1494">
        <f ca="1">qry_ProdData2_PDI_Cash_Exception_Application[[#This Row],[TODAY]]-qry_ProdData2_PDI_Cash_Exception_Application[[#This Row],[CHANGED ON]]</f>
        <v>12.742928240739275</v>
      </c>
      <c r="N1494">
        <f ca="1">qry_ProdData2_PDI_Cash_Exception_Application[[#This Row],[TODAY]]-qry_ProdData2_PDI_Cash_Exception_Application[[#This Row],[CHANGED ON]]</f>
        <v>12.742928240739275</v>
      </c>
    </row>
    <row r="1495" spans="1:14" x14ac:dyDescent="0.35">
      <c r="A1495">
        <v>1020</v>
      </c>
      <c r="B1495" t="s">
        <v>74</v>
      </c>
      <c r="C1495" s="1">
        <v>45189.257071759261</v>
      </c>
      <c r="D1495" t="str">
        <f ca="1">VLOOKUP(qry_ProdData2_PDI_Cash_Exception_Application[[#This Row],[TYPE]],#REF!,2,FALSE)</f>
        <v>type40</v>
      </c>
      <c r="E1495">
        <v>687.39</v>
      </c>
      <c r="F1495" t="s">
        <v>50</v>
      </c>
      <c r="G1495" s="1">
        <f>qry_ProdData2_PDI_Cash_Exception_Application[[#This Row],[INSERT DATE]]+1</f>
        <v>45190.257071759261</v>
      </c>
      <c r="H1495" t="str">
        <f>VLOOKUP(qry_ProdData2_PDI_Cash_Exception_Application[[#This Row],[MARKET No]],'Site Allocation'!$B$2:$C$37,2,FALSE)</f>
        <v>Analyst4</v>
      </c>
      <c r="I1495" s="4">
        <f t="shared" ca="1" si="23"/>
        <v>45203</v>
      </c>
      <c r="J1495" s="42">
        <f ca="1">TODAY()-qry_ProdData2_PDI_Cash_Exception_Application[[#This Row],[INSERT DATE]]</f>
        <v>13.742928240739275</v>
      </c>
      <c r="K14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95">
        <f ca="1">qry_ProdData2_PDI_Cash_Exception_Application[[#This Row],[TODAY]]-qry_ProdData2_PDI_Cash_Exception_Application[[#This Row],[CHANGED ON]]</f>
        <v>12.742928240739275</v>
      </c>
      <c r="M1495">
        <f ca="1">qry_ProdData2_PDI_Cash_Exception_Application[[#This Row],[TODAY]]-qry_ProdData2_PDI_Cash_Exception_Application[[#This Row],[CHANGED ON]]</f>
        <v>12.742928240739275</v>
      </c>
      <c r="N1495">
        <f ca="1">qry_ProdData2_PDI_Cash_Exception_Application[[#This Row],[TODAY]]-qry_ProdData2_PDI_Cash_Exception_Application[[#This Row],[CHANGED ON]]</f>
        <v>12.742928240739275</v>
      </c>
    </row>
    <row r="1496" spans="1:14" x14ac:dyDescent="0.35">
      <c r="A1496">
        <v>1030</v>
      </c>
      <c r="B1496" t="s">
        <v>84</v>
      </c>
      <c r="C1496" s="1">
        <v>45190.257071759261</v>
      </c>
      <c r="D1496" t="str">
        <f ca="1">VLOOKUP(qry_ProdData2_PDI_Cash_Exception_Application[[#This Row],[TYPE]],#REF!,2,FALSE)</f>
        <v>type40</v>
      </c>
      <c r="E1496">
        <v>991.27</v>
      </c>
      <c r="F1496" t="s">
        <v>52</v>
      </c>
      <c r="G1496" s="1">
        <f>qry_ProdData2_PDI_Cash_Exception_Application[[#This Row],[INSERT DATE]]+1</f>
        <v>45191.257071759261</v>
      </c>
      <c r="H1496" t="str">
        <f>VLOOKUP(qry_ProdData2_PDI_Cash_Exception_Application[[#This Row],[MARKET No]],'Site Allocation'!$B$2:$C$37,2,FALSE)</f>
        <v>Analyst6</v>
      </c>
      <c r="I1496" s="4">
        <f t="shared" ca="1" si="23"/>
        <v>45203</v>
      </c>
      <c r="J1496" s="42">
        <f ca="1">TODAY()-qry_ProdData2_PDI_Cash_Exception_Application[[#This Row],[INSERT DATE]]</f>
        <v>12.742928240739275</v>
      </c>
      <c r="K14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96">
        <f ca="1">qry_ProdData2_PDI_Cash_Exception_Application[[#This Row],[TODAY]]-qry_ProdData2_PDI_Cash_Exception_Application[[#This Row],[CHANGED ON]]</f>
        <v>11.742928240739275</v>
      </c>
      <c r="M1496">
        <f ca="1">qry_ProdData2_PDI_Cash_Exception_Application[[#This Row],[TODAY]]-qry_ProdData2_PDI_Cash_Exception_Application[[#This Row],[CHANGED ON]]</f>
        <v>11.742928240739275</v>
      </c>
      <c r="N1496">
        <f ca="1">qry_ProdData2_PDI_Cash_Exception_Application[[#This Row],[TODAY]]-qry_ProdData2_PDI_Cash_Exception_Application[[#This Row],[CHANGED ON]]</f>
        <v>11.742928240739275</v>
      </c>
    </row>
    <row r="1497" spans="1:14" x14ac:dyDescent="0.35">
      <c r="A1497">
        <v>1008</v>
      </c>
      <c r="B1497" t="s">
        <v>62</v>
      </c>
      <c r="C1497" s="1">
        <v>45187.257071759261</v>
      </c>
      <c r="D1497" t="str">
        <f ca="1">VLOOKUP(qry_ProdData2_PDI_Cash_Exception_Application[[#This Row],[TYPE]],#REF!,2,FALSE)</f>
        <v>type40</v>
      </c>
      <c r="E1497">
        <v>411.77</v>
      </c>
      <c r="F1497" t="s">
        <v>49</v>
      </c>
      <c r="G1497" s="1">
        <f>qry_ProdData2_PDI_Cash_Exception_Application[[#This Row],[INSERT DATE]]+5</f>
        <v>45192.257071759261</v>
      </c>
      <c r="H1497" t="str">
        <f>VLOOKUP(qry_ProdData2_PDI_Cash_Exception_Application[[#This Row],[MARKET No]],'Site Allocation'!$B$2:$C$37,2,FALSE)</f>
        <v>Analyst2</v>
      </c>
      <c r="I1497" s="4">
        <f t="shared" ca="1" si="23"/>
        <v>45203</v>
      </c>
      <c r="J1497" s="42">
        <f ca="1">TODAY()-qry_ProdData2_PDI_Cash_Exception_Application[[#This Row],[INSERT DATE]]</f>
        <v>15.742928240739275</v>
      </c>
      <c r="K14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97">
        <f ca="1">qry_ProdData2_PDI_Cash_Exception_Application[[#This Row],[TODAY]]-qry_ProdData2_PDI_Cash_Exception_Application[[#This Row],[CHANGED ON]]</f>
        <v>10.742928240739275</v>
      </c>
      <c r="M1497">
        <f ca="1">qry_ProdData2_PDI_Cash_Exception_Application[[#This Row],[TODAY]]-qry_ProdData2_PDI_Cash_Exception_Application[[#This Row],[CHANGED ON]]</f>
        <v>10.742928240739275</v>
      </c>
      <c r="N1497">
        <f ca="1">qry_ProdData2_PDI_Cash_Exception_Application[[#This Row],[TODAY]]-qry_ProdData2_PDI_Cash_Exception_Application[[#This Row],[CHANGED ON]]</f>
        <v>10.742928240739275</v>
      </c>
    </row>
    <row r="1498" spans="1:14" x14ac:dyDescent="0.35">
      <c r="A1498">
        <v>1018</v>
      </c>
      <c r="B1498" t="s">
        <v>72</v>
      </c>
      <c r="C1498" s="1">
        <v>45189.257071759261</v>
      </c>
      <c r="D1498" t="str">
        <f ca="1">VLOOKUP(qry_ProdData2_PDI_Cash_Exception_Application[[#This Row],[TYPE]],#REF!,2,FALSE)</f>
        <v>type7</v>
      </c>
      <c r="E1498">
        <v>-1630.63</v>
      </c>
      <c r="F1498" t="s">
        <v>49</v>
      </c>
      <c r="G1498" s="1">
        <f>qry_ProdData2_PDI_Cash_Exception_Application[[#This Row],[INSERT DATE]]+7</f>
        <v>45196.257071759261</v>
      </c>
      <c r="H1498" t="str">
        <f>VLOOKUP(qry_ProdData2_PDI_Cash_Exception_Application[[#This Row],[MARKET No]],'Site Allocation'!$B$2:$C$37,2,FALSE)</f>
        <v>Analyst4</v>
      </c>
      <c r="I1498" s="4">
        <f t="shared" ca="1" si="23"/>
        <v>45203</v>
      </c>
      <c r="J1498" s="42">
        <f ca="1">TODAY()-qry_ProdData2_PDI_Cash_Exception_Application[[#This Row],[INSERT DATE]]</f>
        <v>13.742928240739275</v>
      </c>
      <c r="K14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98">
        <f ca="1">qry_ProdData2_PDI_Cash_Exception_Application[[#This Row],[TODAY]]-qry_ProdData2_PDI_Cash_Exception_Application[[#This Row],[CHANGED ON]]</f>
        <v>6.7429282407392748</v>
      </c>
      <c r="M1498">
        <f ca="1">qry_ProdData2_PDI_Cash_Exception_Application[[#This Row],[TODAY]]-qry_ProdData2_PDI_Cash_Exception_Application[[#This Row],[CHANGED ON]]</f>
        <v>6.7429282407392748</v>
      </c>
      <c r="N1498">
        <f ca="1">qry_ProdData2_PDI_Cash_Exception_Application[[#This Row],[TODAY]]-qry_ProdData2_PDI_Cash_Exception_Application[[#This Row],[CHANGED ON]]</f>
        <v>6.7429282407392748</v>
      </c>
    </row>
    <row r="1499" spans="1:14" x14ac:dyDescent="0.35">
      <c r="A1499">
        <v>1024</v>
      </c>
      <c r="B1499" t="s">
        <v>78</v>
      </c>
      <c r="C1499" s="1">
        <v>45183.257071759261</v>
      </c>
      <c r="D1499" t="str">
        <f ca="1">VLOOKUP(qry_ProdData2_PDI_Cash_Exception_Application[[#This Row],[TYPE]],#REF!,2,FALSE)</f>
        <v>type40</v>
      </c>
      <c r="E1499">
        <v>-550.24</v>
      </c>
      <c r="F1499" t="s">
        <v>51</v>
      </c>
      <c r="G1499" s="1">
        <f>qry_ProdData2_PDI_Cash_Exception_Application[[#This Row],[INSERT DATE]]+2</f>
        <v>45185.257071759261</v>
      </c>
      <c r="H1499" t="str">
        <f>VLOOKUP(qry_ProdData2_PDI_Cash_Exception_Application[[#This Row],[MARKET No]],'Site Allocation'!$B$2:$C$37,2,FALSE)</f>
        <v>Analyst5</v>
      </c>
      <c r="I1499" s="4">
        <f t="shared" ca="1" si="23"/>
        <v>45203</v>
      </c>
      <c r="J1499" s="42">
        <f ca="1">TODAY()-qry_ProdData2_PDI_Cash_Exception_Application[[#This Row],[INSERT DATE]]</f>
        <v>19.742928240739275</v>
      </c>
      <c r="K14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499">
        <f ca="1">qry_ProdData2_PDI_Cash_Exception_Application[[#This Row],[TODAY]]-qry_ProdData2_PDI_Cash_Exception_Application[[#This Row],[CHANGED ON]]</f>
        <v>17.742928240739275</v>
      </c>
      <c r="M1499">
        <f ca="1">qry_ProdData2_PDI_Cash_Exception_Application[[#This Row],[TODAY]]-qry_ProdData2_PDI_Cash_Exception_Application[[#This Row],[CHANGED ON]]</f>
        <v>17.742928240739275</v>
      </c>
      <c r="N1499">
        <f ca="1">qry_ProdData2_PDI_Cash_Exception_Application[[#This Row],[TODAY]]-qry_ProdData2_PDI_Cash_Exception_Application[[#This Row],[CHANGED ON]]</f>
        <v>17.742928240739275</v>
      </c>
    </row>
    <row r="1500" spans="1:14" x14ac:dyDescent="0.35">
      <c r="A1500">
        <v>1015</v>
      </c>
      <c r="B1500" t="s">
        <v>69</v>
      </c>
      <c r="C1500" s="1">
        <v>45192.257071759261</v>
      </c>
      <c r="D1500" t="str">
        <f ca="1">VLOOKUP(qry_ProdData2_PDI_Cash_Exception_Application[[#This Row],[TYPE]],#REF!,2,FALSE)</f>
        <v>type40</v>
      </c>
      <c r="E1500">
        <v>-351.36</v>
      </c>
      <c r="F1500" t="s">
        <v>49</v>
      </c>
      <c r="G1500" s="1">
        <f>qry_ProdData2_PDI_Cash_Exception_Application[[#This Row],[INSERT DATE]]+1</f>
        <v>45193.257071759261</v>
      </c>
      <c r="H1500" t="str">
        <f>VLOOKUP(qry_ProdData2_PDI_Cash_Exception_Application[[#This Row],[MARKET No]],'Site Allocation'!$B$2:$C$37,2,FALSE)</f>
        <v>Analyst3</v>
      </c>
      <c r="I1500" s="4">
        <f t="shared" ca="1" si="23"/>
        <v>45203</v>
      </c>
      <c r="J1500" s="42">
        <f ca="1">TODAY()-qry_ProdData2_PDI_Cash_Exception_Application[[#This Row],[INSERT DATE]]</f>
        <v>10.742928240739275</v>
      </c>
      <c r="K15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00">
        <f ca="1">qry_ProdData2_PDI_Cash_Exception_Application[[#This Row],[TODAY]]-qry_ProdData2_PDI_Cash_Exception_Application[[#This Row],[CHANGED ON]]</f>
        <v>9.7429282407392748</v>
      </c>
      <c r="M1500">
        <f ca="1">qry_ProdData2_PDI_Cash_Exception_Application[[#This Row],[TODAY]]-qry_ProdData2_PDI_Cash_Exception_Application[[#This Row],[CHANGED ON]]</f>
        <v>9.7429282407392748</v>
      </c>
      <c r="N1500">
        <f ca="1">qry_ProdData2_PDI_Cash_Exception_Application[[#This Row],[TODAY]]-qry_ProdData2_PDI_Cash_Exception_Application[[#This Row],[CHANGED ON]]</f>
        <v>9.7429282407392748</v>
      </c>
    </row>
    <row r="1501" spans="1:14" x14ac:dyDescent="0.35">
      <c r="A1501">
        <v>1011</v>
      </c>
      <c r="B1501" t="s">
        <v>65</v>
      </c>
      <c r="C1501" s="1">
        <v>45194.257071759261</v>
      </c>
      <c r="D1501" t="str">
        <f ca="1">VLOOKUP(qry_ProdData2_PDI_Cash_Exception_Application[[#This Row],[TYPE]],#REF!,2,FALSE)</f>
        <v>type40</v>
      </c>
      <c r="E1501">
        <v>-552.33000000000004</v>
      </c>
      <c r="F1501" t="s">
        <v>50</v>
      </c>
      <c r="G1501" s="1">
        <f>qry_ProdData2_PDI_Cash_Exception_Application[[#This Row],[INSERT DATE]]+2</f>
        <v>45196.257071759261</v>
      </c>
      <c r="H1501" t="str">
        <f>VLOOKUP(qry_ProdData2_PDI_Cash_Exception_Application[[#This Row],[MARKET No]],'Site Allocation'!$B$2:$C$37,2,FALSE)</f>
        <v>Analyst2</v>
      </c>
      <c r="I1501" s="4">
        <f t="shared" ca="1" si="23"/>
        <v>45203</v>
      </c>
      <c r="J1501" s="42">
        <f ca="1">TODAY()-qry_ProdData2_PDI_Cash_Exception_Application[[#This Row],[INSERT DATE]]</f>
        <v>8.7429282407392748</v>
      </c>
      <c r="K15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501">
        <f ca="1">qry_ProdData2_PDI_Cash_Exception_Application[[#This Row],[TODAY]]-qry_ProdData2_PDI_Cash_Exception_Application[[#This Row],[CHANGED ON]]</f>
        <v>6.7429282407392748</v>
      </c>
      <c r="M1501">
        <f ca="1">qry_ProdData2_PDI_Cash_Exception_Application[[#This Row],[TODAY]]-qry_ProdData2_PDI_Cash_Exception_Application[[#This Row],[CHANGED ON]]</f>
        <v>6.7429282407392748</v>
      </c>
      <c r="N1501">
        <f ca="1">qry_ProdData2_PDI_Cash_Exception_Application[[#This Row],[TODAY]]-qry_ProdData2_PDI_Cash_Exception_Application[[#This Row],[CHANGED ON]]</f>
        <v>6.7429282407392748</v>
      </c>
    </row>
    <row r="1502" spans="1:14" x14ac:dyDescent="0.35">
      <c r="A1502">
        <v>1035</v>
      </c>
      <c r="B1502" t="s">
        <v>89</v>
      </c>
      <c r="C1502" s="1">
        <v>45192.257071759261</v>
      </c>
      <c r="D1502" t="str">
        <f ca="1">VLOOKUP(qry_ProdData2_PDI_Cash_Exception_Application[[#This Row],[TYPE]],#REF!,2,FALSE)</f>
        <v>type1</v>
      </c>
      <c r="E1502">
        <v>12</v>
      </c>
      <c r="F1502" t="s">
        <v>47</v>
      </c>
      <c r="G1502" s="1">
        <f>qry_ProdData2_PDI_Cash_Exception_Application[[#This Row],[INSERT DATE]]+5</f>
        <v>45197.257071759261</v>
      </c>
      <c r="H1502" t="str">
        <f>VLOOKUP(qry_ProdData2_PDI_Cash_Exception_Application[[#This Row],[MARKET No]],'Site Allocation'!$B$2:$C$37,2,FALSE)</f>
        <v>Analyst6</v>
      </c>
      <c r="I1502" s="4">
        <f t="shared" ca="1" si="23"/>
        <v>45203</v>
      </c>
      <c r="J1502" s="42">
        <f ca="1">TODAY()-qry_ProdData2_PDI_Cash_Exception_Application[[#This Row],[INSERT DATE]]</f>
        <v>10.742928240739275</v>
      </c>
      <c r="K15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02">
        <f ca="1">qry_ProdData2_PDI_Cash_Exception_Application[[#This Row],[TODAY]]-qry_ProdData2_PDI_Cash_Exception_Application[[#This Row],[CHANGED ON]]</f>
        <v>5.7429282407392748</v>
      </c>
      <c r="M1502">
        <f ca="1">qry_ProdData2_PDI_Cash_Exception_Application[[#This Row],[TODAY]]-qry_ProdData2_PDI_Cash_Exception_Application[[#This Row],[CHANGED ON]]</f>
        <v>5.7429282407392748</v>
      </c>
      <c r="N1502">
        <f ca="1">qry_ProdData2_PDI_Cash_Exception_Application[[#This Row],[TODAY]]-qry_ProdData2_PDI_Cash_Exception_Application[[#This Row],[CHANGED ON]]</f>
        <v>5.7429282407392748</v>
      </c>
    </row>
    <row r="1503" spans="1:14" x14ac:dyDescent="0.35">
      <c r="A1503">
        <v>1014</v>
      </c>
      <c r="B1503" t="s">
        <v>68</v>
      </c>
      <c r="C1503" s="1">
        <v>45184.257071759261</v>
      </c>
      <c r="D1503" t="str">
        <f ca="1">VLOOKUP(qry_ProdData2_PDI_Cash_Exception_Application[[#This Row],[TYPE]],#REF!,2,FALSE)</f>
        <v>type35</v>
      </c>
      <c r="E1503">
        <v>441.23</v>
      </c>
      <c r="F1503" t="s">
        <v>51</v>
      </c>
      <c r="G1503" s="1">
        <f>qry_ProdData2_PDI_Cash_Exception_Application[[#This Row],[INSERT DATE]]+2</f>
        <v>45186.257071759261</v>
      </c>
      <c r="H1503" t="str">
        <f>VLOOKUP(qry_ProdData2_PDI_Cash_Exception_Application[[#This Row],[MARKET No]],'Site Allocation'!$B$2:$C$37,2,FALSE)</f>
        <v>Analyst3</v>
      </c>
      <c r="I1503" s="4">
        <f t="shared" ca="1" si="23"/>
        <v>45203</v>
      </c>
      <c r="J1503" s="42">
        <f ca="1">TODAY()-qry_ProdData2_PDI_Cash_Exception_Application[[#This Row],[INSERT DATE]]</f>
        <v>18.742928240739275</v>
      </c>
      <c r="K15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03">
        <f ca="1">qry_ProdData2_PDI_Cash_Exception_Application[[#This Row],[TODAY]]-qry_ProdData2_PDI_Cash_Exception_Application[[#This Row],[CHANGED ON]]</f>
        <v>16.742928240739275</v>
      </c>
      <c r="M1503">
        <f ca="1">qry_ProdData2_PDI_Cash_Exception_Application[[#This Row],[TODAY]]-qry_ProdData2_PDI_Cash_Exception_Application[[#This Row],[CHANGED ON]]</f>
        <v>16.742928240739275</v>
      </c>
      <c r="N1503">
        <f ca="1">qry_ProdData2_PDI_Cash_Exception_Application[[#This Row],[TODAY]]-qry_ProdData2_PDI_Cash_Exception_Application[[#This Row],[CHANGED ON]]</f>
        <v>16.742928240739275</v>
      </c>
    </row>
    <row r="1504" spans="1:14" x14ac:dyDescent="0.35">
      <c r="A1504">
        <v>1033</v>
      </c>
      <c r="B1504" t="s">
        <v>87</v>
      </c>
      <c r="C1504" s="1">
        <v>45197.257071759261</v>
      </c>
      <c r="D1504" t="str">
        <f ca="1">VLOOKUP(qry_ProdData2_PDI_Cash_Exception_Application[[#This Row],[TYPE]],#REF!,2,FALSE)</f>
        <v>type40</v>
      </c>
      <c r="E1504">
        <v>702.7</v>
      </c>
      <c r="F1504" t="s">
        <v>50</v>
      </c>
      <c r="G1504" s="1">
        <f>qry_ProdData2_PDI_Cash_Exception_Application[[#This Row],[INSERT DATE]]+2</f>
        <v>45199.257071759261</v>
      </c>
      <c r="H1504" t="str">
        <f>VLOOKUP(qry_ProdData2_PDI_Cash_Exception_Application[[#This Row],[MARKET No]],'Site Allocation'!$B$2:$C$37,2,FALSE)</f>
        <v>Analyst6</v>
      </c>
      <c r="I1504" s="4">
        <f t="shared" ca="1" si="23"/>
        <v>45203</v>
      </c>
      <c r="J1504" s="42">
        <f ca="1">TODAY()-qry_ProdData2_PDI_Cash_Exception_Application[[#This Row],[INSERT DATE]]</f>
        <v>5.7429282407392748</v>
      </c>
      <c r="K15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504">
        <f ca="1">qry_ProdData2_PDI_Cash_Exception_Application[[#This Row],[TODAY]]-qry_ProdData2_PDI_Cash_Exception_Application[[#This Row],[CHANGED ON]]</f>
        <v>3.7429282407392748</v>
      </c>
      <c r="M1504">
        <f ca="1">qry_ProdData2_PDI_Cash_Exception_Application[[#This Row],[TODAY]]-qry_ProdData2_PDI_Cash_Exception_Application[[#This Row],[CHANGED ON]]</f>
        <v>3.7429282407392748</v>
      </c>
      <c r="N1504">
        <f ca="1">qry_ProdData2_PDI_Cash_Exception_Application[[#This Row],[TODAY]]-qry_ProdData2_PDI_Cash_Exception_Application[[#This Row],[CHANGED ON]]</f>
        <v>3.7429282407392748</v>
      </c>
    </row>
    <row r="1505" spans="1:14" x14ac:dyDescent="0.35">
      <c r="A1505">
        <v>1014</v>
      </c>
      <c r="B1505" t="s">
        <v>68</v>
      </c>
      <c r="C1505" s="1">
        <v>45179.257071759261</v>
      </c>
      <c r="D1505" t="str">
        <f ca="1">VLOOKUP(qry_ProdData2_PDI_Cash_Exception_Application[[#This Row],[TYPE]],#REF!,2,FALSE)</f>
        <v>type40</v>
      </c>
      <c r="E1505">
        <v>111.27</v>
      </c>
      <c r="F1505" t="s">
        <v>49</v>
      </c>
      <c r="G1505" s="1">
        <f>qry_ProdData2_PDI_Cash_Exception_Application[[#This Row],[INSERT DATE]]+1</f>
        <v>45180.257071759261</v>
      </c>
      <c r="H1505" t="str">
        <f>VLOOKUP(qry_ProdData2_PDI_Cash_Exception_Application[[#This Row],[MARKET No]],'Site Allocation'!$B$2:$C$37,2,FALSE)</f>
        <v>Analyst3</v>
      </c>
      <c r="I1505" s="4">
        <f t="shared" ca="1" si="23"/>
        <v>45203</v>
      </c>
      <c r="J1505" s="42">
        <f ca="1">TODAY()-qry_ProdData2_PDI_Cash_Exception_Application[[#This Row],[INSERT DATE]]</f>
        <v>23.742928240739275</v>
      </c>
      <c r="K15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05">
        <f ca="1">qry_ProdData2_PDI_Cash_Exception_Application[[#This Row],[TODAY]]-qry_ProdData2_PDI_Cash_Exception_Application[[#This Row],[CHANGED ON]]</f>
        <v>22.742928240739275</v>
      </c>
      <c r="M1505">
        <f ca="1">qry_ProdData2_PDI_Cash_Exception_Application[[#This Row],[TODAY]]-qry_ProdData2_PDI_Cash_Exception_Application[[#This Row],[CHANGED ON]]</f>
        <v>22.742928240739275</v>
      </c>
      <c r="N1505">
        <f ca="1">qry_ProdData2_PDI_Cash_Exception_Application[[#This Row],[TODAY]]-qry_ProdData2_PDI_Cash_Exception_Application[[#This Row],[CHANGED ON]]</f>
        <v>22.742928240739275</v>
      </c>
    </row>
    <row r="1506" spans="1:14" x14ac:dyDescent="0.35">
      <c r="A1506">
        <v>1027</v>
      </c>
      <c r="B1506" t="s">
        <v>81</v>
      </c>
      <c r="C1506" s="1">
        <v>45188.257071759261</v>
      </c>
      <c r="D1506" t="str">
        <f ca="1">VLOOKUP(qry_ProdData2_PDI_Cash_Exception_Application[[#This Row],[TYPE]],#REF!,2,FALSE)</f>
        <v>type40</v>
      </c>
      <c r="E1506">
        <v>-2691.55</v>
      </c>
      <c r="F1506" t="s">
        <v>47</v>
      </c>
      <c r="G1506" s="1">
        <f>qry_ProdData2_PDI_Cash_Exception_Application[[#This Row],[INSERT DATE]]+5</f>
        <v>45193.257071759261</v>
      </c>
      <c r="H1506" t="str">
        <f>VLOOKUP(qry_ProdData2_PDI_Cash_Exception_Application[[#This Row],[MARKET No]],'Site Allocation'!$B$2:$C$37,2,FALSE)</f>
        <v>Analyst5</v>
      </c>
      <c r="I1506" s="4">
        <f t="shared" ca="1" si="23"/>
        <v>45203</v>
      </c>
      <c r="J1506" s="42">
        <f ca="1">TODAY()-qry_ProdData2_PDI_Cash_Exception_Application[[#This Row],[INSERT DATE]]</f>
        <v>14.742928240739275</v>
      </c>
      <c r="K15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06">
        <f ca="1">qry_ProdData2_PDI_Cash_Exception_Application[[#This Row],[TODAY]]-qry_ProdData2_PDI_Cash_Exception_Application[[#This Row],[CHANGED ON]]</f>
        <v>9.7429282407392748</v>
      </c>
      <c r="M1506">
        <f ca="1">qry_ProdData2_PDI_Cash_Exception_Application[[#This Row],[TODAY]]-qry_ProdData2_PDI_Cash_Exception_Application[[#This Row],[CHANGED ON]]</f>
        <v>9.7429282407392748</v>
      </c>
      <c r="N1506">
        <f ca="1">qry_ProdData2_PDI_Cash_Exception_Application[[#This Row],[TODAY]]-qry_ProdData2_PDI_Cash_Exception_Application[[#This Row],[CHANGED ON]]</f>
        <v>9.7429282407392748</v>
      </c>
    </row>
    <row r="1507" spans="1:14" x14ac:dyDescent="0.35">
      <c r="A1507">
        <v>1021</v>
      </c>
      <c r="B1507" t="s">
        <v>75</v>
      </c>
      <c r="C1507" s="1">
        <v>45189.257071759261</v>
      </c>
      <c r="D1507" t="str">
        <f ca="1">VLOOKUP(qry_ProdData2_PDI_Cash_Exception_Application[[#This Row],[TYPE]],#REF!,2,FALSE)</f>
        <v>type40</v>
      </c>
      <c r="E1507">
        <v>2311.1</v>
      </c>
      <c r="F1507" t="s">
        <v>47</v>
      </c>
      <c r="G1507" s="1">
        <f>qry_ProdData2_PDI_Cash_Exception_Application[[#This Row],[INSERT DATE]]+7</f>
        <v>45196.257071759261</v>
      </c>
      <c r="H1507" t="str">
        <f>VLOOKUP(qry_ProdData2_PDI_Cash_Exception_Application[[#This Row],[MARKET No]],'Site Allocation'!$B$2:$C$37,2,FALSE)</f>
        <v>Analyst4</v>
      </c>
      <c r="I1507" s="4">
        <f t="shared" ca="1" si="23"/>
        <v>45203</v>
      </c>
      <c r="J1507" s="42">
        <f ca="1">TODAY()-qry_ProdData2_PDI_Cash_Exception_Application[[#This Row],[INSERT DATE]]</f>
        <v>13.742928240739275</v>
      </c>
      <c r="K15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07">
        <f ca="1">qry_ProdData2_PDI_Cash_Exception_Application[[#This Row],[TODAY]]-qry_ProdData2_PDI_Cash_Exception_Application[[#This Row],[CHANGED ON]]</f>
        <v>6.7429282407392748</v>
      </c>
      <c r="M1507">
        <f ca="1">qry_ProdData2_PDI_Cash_Exception_Application[[#This Row],[TODAY]]-qry_ProdData2_PDI_Cash_Exception_Application[[#This Row],[CHANGED ON]]</f>
        <v>6.7429282407392748</v>
      </c>
      <c r="N1507">
        <f ca="1">qry_ProdData2_PDI_Cash_Exception_Application[[#This Row],[TODAY]]-qry_ProdData2_PDI_Cash_Exception_Application[[#This Row],[CHANGED ON]]</f>
        <v>6.7429282407392748</v>
      </c>
    </row>
    <row r="1508" spans="1:14" x14ac:dyDescent="0.35">
      <c r="A1508">
        <v>1006</v>
      </c>
      <c r="B1508" t="s">
        <v>60</v>
      </c>
      <c r="C1508" s="1">
        <v>45182.257071759261</v>
      </c>
      <c r="D1508" t="str">
        <f ca="1">VLOOKUP(qry_ProdData2_PDI_Cash_Exception_Application[[#This Row],[TYPE]],#REF!,2,FALSE)</f>
        <v>type40</v>
      </c>
      <c r="E1508">
        <v>2838.31</v>
      </c>
      <c r="F1508" t="s">
        <v>50</v>
      </c>
      <c r="G1508" s="1">
        <f>qry_ProdData2_PDI_Cash_Exception_Application[[#This Row],[INSERT DATE]]+2</f>
        <v>45184.257071759261</v>
      </c>
      <c r="H1508" t="str">
        <f>VLOOKUP(qry_ProdData2_PDI_Cash_Exception_Application[[#This Row],[MARKET No]],'Site Allocation'!$B$2:$C$37,2,FALSE)</f>
        <v>Analyst2</v>
      </c>
      <c r="I1508" s="4">
        <f t="shared" ca="1" si="23"/>
        <v>45203</v>
      </c>
      <c r="J1508" s="42">
        <f ca="1">TODAY()-qry_ProdData2_PDI_Cash_Exception_Application[[#This Row],[INSERT DATE]]</f>
        <v>20.742928240739275</v>
      </c>
      <c r="K15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08">
        <f ca="1">qry_ProdData2_PDI_Cash_Exception_Application[[#This Row],[TODAY]]-qry_ProdData2_PDI_Cash_Exception_Application[[#This Row],[CHANGED ON]]</f>
        <v>18.742928240739275</v>
      </c>
      <c r="M1508">
        <f ca="1">qry_ProdData2_PDI_Cash_Exception_Application[[#This Row],[TODAY]]-qry_ProdData2_PDI_Cash_Exception_Application[[#This Row],[CHANGED ON]]</f>
        <v>18.742928240739275</v>
      </c>
      <c r="N1508">
        <f ca="1">qry_ProdData2_PDI_Cash_Exception_Application[[#This Row],[TODAY]]-qry_ProdData2_PDI_Cash_Exception_Application[[#This Row],[CHANGED ON]]</f>
        <v>18.742928240739275</v>
      </c>
    </row>
    <row r="1509" spans="1:14" x14ac:dyDescent="0.35">
      <c r="A1509">
        <v>1007</v>
      </c>
      <c r="B1509" t="s">
        <v>61</v>
      </c>
      <c r="C1509" s="1">
        <v>45188.257071759261</v>
      </c>
      <c r="D1509" t="str">
        <f ca="1">VLOOKUP(qry_ProdData2_PDI_Cash_Exception_Application[[#This Row],[TYPE]],#REF!,2,FALSE)</f>
        <v>type13</v>
      </c>
      <c r="E1509">
        <v>24778.66</v>
      </c>
      <c r="F1509" t="s">
        <v>51</v>
      </c>
      <c r="G1509" s="1">
        <f>qry_ProdData2_PDI_Cash_Exception_Application[[#This Row],[INSERT DATE]]+2</f>
        <v>45190.257071759261</v>
      </c>
      <c r="H1509" t="str">
        <f>VLOOKUP(qry_ProdData2_PDI_Cash_Exception_Application[[#This Row],[MARKET No]],'Site Allocation'!$B$2:$C$37,2,FALSE)</f>
        <v>Analyst2</v>
      </c>
      <c r="I1509" s="4">
        <f t="shared" ca="1" si="23"/>
        <v>45203</v>
      </c>
      <c r="J1509" s="42">
        <f ca="1">TODAY()-qry_ProdData2_PDI_Cash_Exception_Application[[#This Row],[INSERT DATE]]</f>
        <v>14.742928240739275</v>
      </c>
      <c r="K15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09">
        <f ca="1">qry_ProdData2_PDI_Cash_Exception_Application[[#This Row],[TODAY]]-qry_ProdData2_PDI_Cash_Exception_Application[[#This Row],[CHANGED ON]]</f>
        <v>12.742928240739275</v>
      </c>
      <c r="M1509">
        <f ca="1">qry_ProdData2_PDI_Cash_Exception_Application[[#This Row],[TODAY]]-qry_ProdData2_PDI_Cash_Exception_Application[[#This Row],[CHANGED ON]]</f>
        <v>12.742928240739275</v>
      </c>
      <c r="N1509">
        <f ca="1">qry_ProdData2_PDI_Cash_Exception_Application[[#This Row],[TODAY]]-qry_ProdData2_PDI_Cash_Exception_Application[[#This Row],[CHANGED ON]]</f>
        <v>12.742928240739275</v>
      </c>
    </row>
    <row r="1510" spans="1:14" x14ac:dyDescent="0.35">
      <c r="A1510">
        <v>1003</v>
      </c>
      <c r="B1510" t="s">
        <v>57</v>
      </c>
      <c r="C1510" s="1">
        <v>45183.257071759261</v>
      </c>
      <c r="D1510" t="str">
        <f ca="1">VLOOKUP(qry_ProdData2_PDI_Cash_Exception_Application[[#This Row],[TYPE]],#REF!,2,FALSE)</f>
        <v>type40</v>
      </c>
      <c r="E1510">
        <v>-499.3</v>
      </c>
      <c r="F1510" t="s">
        <v>52</v>
      </c>
      <c r="G1510" s="1">
        <f>qry_ProdData2_PDI_Cash_Exception_Application[[#This Row],[INSERT DATE]]+2</f>
        <v>45185.257071759261</v>
      </c>
      <c r="H1510" t="str">
        <f>VLOOKUP(qry_ProdData2_PDI_Cash_Exception_Application[[#This Row],[MARKET No]],'Site Allocation'!$B$2:$C$37,2,FALSE)</f>
        <v>Analyst1</v>
      </c>
      <c r="I1510" s="4">
        <f t="shared" ca="1" si="23"/>
        <v>45203</v>
      </c>
      <c r="J1510" s="42">
        <f ca="1">TODAY()-qry_ProdData2_PDI_Cash_Exception_Application[[#This Row],[INSERT DATE]]</f>
        <v>19.742928240739275</v>
      </c>
      <c r="K15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10">
        <f ca="1">qry_ProdData2_PDI_Cash_Exception_Application[[#This Row],[TODAY]]-qry_ProdData2_PDI_Cash_Exception_Application[[#This Row],[CHANGED ON]]</f>
        <v>17.742928240739275</v>
      </c>
      <c r="M1510">
        <f ca="1">qry_ProdData2_PDI_Cash_Exception_Application[[#This Row],[TODAY]]-qry_ProdData2_PDI_Cash_Exception_Application[[#This Row],[CHANGED ON]]</f>
        <v>17.742928240739275</v>
      </c>
      <c r="N1510">
        <f ca="1">qry_ProdData2_PDI_Cash_Exception_Application[[#This Row],[TODAY]]-qry_ProdData2_PDI_Cash_Exception_Application[[#This Row],[CHANGED ON]]</f>
        <v>17.742928240739275</v>
      </c>
    </row>
    <row r="1511" spans="1:14" x14ac:dyDescent="0.35">
      <c r="A1511">
        <v>1009</v>
      </c>
      <c r="B1511" t="s">
        <v>63</v>
      </c>
      <c r="C1511" s="1">
        <v>45190.257071759261</v>
      </c>
      <c r="D1511" t="str">
        <f ca="1">VLOOKUP(qry_ProdData2_PDI_Cash_Exception_Application[[#This Row],[TYPE]],#REF!,2,FALSE)</f>
        <v>type40</v>
      </c>
      <c r="E1511">
        <v>-404.57</v>
      </c>
      <c r="F1511" t="s">
        <v>47</v>
      </c>
      <c r="G1511" s="1">
        <f>qry_ProdData2_PDI_Cash_Exception_Application[[#This Row],[INSERT DATE]]+7</f>
        <v>45197.257071759261</v>
      </c>
      <c r="H1511" t="str">
        <f>VLOOKUP(qry_ProdData2_PDI_Cash_Exception_Application[[#This Row],[MARKET No]],'Site Allocation'!$B$2:$C$37,2,FALSE)</f>
        <v>Analyst2</v>
      </c>
      <c r="I1511" s="4">
        <f t="shared" ca="1" si="23"/>
        <v>45203</v>
      </c>
      <c r="J1511" s="42">
        <f ca="1">TODAY()-qry_ProdData2_PDI_Cash_Exception_Application[[#This Row],[INSERT DATE]]</f>
        <v>12.742928240739275</v>
      </c>
      <c r="K15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11">
        <f ca="1">qry_ProdData2_PDI_Cash_Exception_Application[[#This Row],[TODAY]]-qry_ProdData2_PDI_Cash_Exception_Application[[#This Row],[CHANGED ON]]</f>
        <v>5.7429282407392748</v>
      </c>
      <c r="M1511">
        <f ca="1">qry_ProdData2_PDI_Cash_Exception_Application[[#This Row],[TODAY]]-qry_ProdData2_PDI_Cash_Exception_Application[[#This Row],[CHANGED ON]]</f>
        <v>5.7429282407392748</v>
      </c>
      <c r="N1511">
        <f ca="1">qry_ProdData2_PDI_Cash_Exception_Application[[#This Row],[TODAY]]-qry_ProdData2_PDI_Cash_Exception_Application[[#This Row],[CHANGED ON]]</f>
        <v>5.7429282407392748</v>
      </c>
    </row>
    <row r="1512" spans="1:14" x14ac:dyDescent="0.35">
      <c r="A1512">
        <v>1025</v>
      </c>
      <c r="B1512" t="s">
        <v>79</v>
      </c>
      <c r="C1512" s="1">
        <v>45189.257071759261</v>
      </c>
      <c r="D1512" t="str">
        <f ca="1">VLOOKUP(qry_ProdData2_PDI_Cash_Exception_Application[[#This Row],[TYPE]],#REF!,2,FALSE)</f>
        <v>type40</v>
      </c>
      <c r="E1512">
        <v>-359.71</v>
      </c>
      <c r="F1512" t="s">
        <v>48</v>
      </c>
      <c r="G1512" s="1">
        <f>qry_ProdData2_PDI_Cash_Exception_Application[[#This Row],[INSERT DATE]]+5</f>
        <v>45194.257071759261</v>
      </c>
      <c r="H1512" t="str">
        <f>VLOOKUP(qry_ProdData2_PDI_Cash_Exception_Application[[#This Row],[MARKET No]],'Site Allocation'!$B$2:$C$37,2,FALSE)</f>
        <v>Analyst5</v>
      </c>
      <c r="I1512" s="4">
        <f t="shared" ca="1" si="23"/>
        <v>45203</v>
      </c>
      <c r="J1512" s="42">
        <f ca="1">TODAY()-qry_ProdData2_PDI_Cash_Exception_Application[[#This Row],[INSERT DATE]]</f>
        <v>13.742928240739275</v>
      </c>
      <c r="K15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12">
        <f ca="1">qry_ProdData2_PDI_Cash_Exception_Application[[#This Row],[TODAY]]-qry_ProdData2_PDI_Cash_Exception_Application[[#This Row],[CHANGED ON]]</f>
        <v>8.7429282407392748</v>
      </c>
      <c r="M1512">
        <f ca="1">qry_ProdData2_PDI_Cash_Exception_Application[[#This Row],[TODAY]]-qry_ProdData2_PDI_Cash_Exception_Application[[#This Row],[CHANGED ON]]</f>
        <v>8.7429282407392748</v>
      </c>
      <c r="N1512">
        <f ca="1">qry_ProdData2_PDI_Cash_Exception_Application[[#This Row],[TODAY]]-qry_ProdData2_PDI_Cash_Exception_Application[[#This Row],[CHANGED ON]]</f>
        <v>8.7429282407392748</v>
      </c>
    </row>
    <row r="1513" spans="1:14" x14ac:dyDescent="0.35">
      <c r="A1513">
        <v>1024</v>
      </c>
      <c r="B1513" t="s">
        <v>78</v>
      </c>
      <c r="C1513" s="1">
        <v>45184.257071759261</v>
      </c>
      <c r="D1513" t="str">
        <f ca="1">VLOOKUP(qry_ProdData2_PDI_Cash_Exception_Application[[#This Row],[TYPE]],#REF!,2,FALSE)</f>
        <v>type8</v>
      </c>
      <c r="E1513">
        <v>60</v>
      </c>
      <c r="F1513" t="s">
        <v>52</v>
      </c>
      <c r="G1513" s="1">
        <f>qry_ProdData2_PDI_Cash_Exception_Application[[#This Row],[INSERT DATE]]+2</f>
        <v>45186.257071759261</v>
      </c>
      <c r="H1513" t="str">
        <f>VLOOKUP(qry_ProdData2_PDI_Cash_Exception_Application[[#This Row],[MARKET No]],'Site Allocation'!$B$2:$C$37,2,FALSE)</f>
        <v>Analyst5</v>
      </c>
      <c r="I1513" s="4">
        <f t="shared" ca="1" si="23"/>
        <v>45203</v>
      </c>
      <c r="J1513" s="42">
        <f ca="1">TODAY()-qry_ProdData2_PDI_Cash_Exception_Application[[#This Row],[INSERT DATE]]</f>
        <v>18.742928240739275</v>
      </c>
      <c r="K15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13">
        <f ca="1">qry_ProdData2_PDI_Cash_Exception_Application[[#This Row],[TODAY]]-qry_ProdData2_PDI_Cash_Exception_Application[[#This Row],[CHANGED ON]]</f>
        <v>16.742928240739275</v>
      </c>
      <c r="M1513">
        <f ca="1">qry_ProdData2_PDI_Cash_Exception_Application[[#This Row],[TODAY]]-qry_ProdData2_PDI_Cash_Exception_Application[[#This Row],[CHANGED ON]]</f>
        <v>16.742928240739275</v>
      </c>
      <c r="N1513">
        <f ca="1">qry_ProdData2_PDI_Cash_Exception_Application[[#This Row],[TODAY]]-qry_ProdData2_PDI_Cash_Exception_Application[[#This Row],[CHANGED ON]]</f>
        <v>16.742928240739275</v>
      </c>
    </row>
    <row r="1514" spans="1:14" x14ac:dyDescent="0.35">
      <c r="A1514">
        <v>1026</v>
      </c>
      <c r="B1514" t="s">
        <v>80</v>
      </c>
      <c r="C1514" s="1">
        <v>45190.257071759261</v>
      </c>
      <c r="D1514" t="str">
        <f ca="1">VLOOKUP(qry_ProdData2_PDI_Cash_Exception_Application[[#This Row],[TYPE]],#REF!,2,FALSE)</f>
        <v>type7</v>
      </c>
      <c r="E1514">
        <v>1304</v>
      </c>
      <c r="F1514" t="s">
        <v>51</v>
      </c>
      <c r="G1514" s="1">
        <f>qry_ProdData2_PDI_Cash_Exception_Application[[#This Row],[INSERT DATE]]+2</f>
        <v>45192.257071759261</v>
      </c>
      <c r="H1514" t="str">
        <f>VLOOKUP(qry_ProdData2_PDI_Cash_Exception_Application[[#This Row],[MARKET No]],'Site Allocation'!$B$2:$C$37,2,FALSE)</f>
        <v>Analyst5</v>
      </c>
      <c r="I1514" s="4">
        <f t="shared" ca="1" si="23"/>
        <v>45203</v>
      </c>
      <c r="J1514" s="42">
        <f ca="1">TODAY()-qry_ProdData2_PDI_Cash_Exception_Application[[#This Row],[INSERT DATE]]</f>
        <v>12.742928240739275</v>
      </c>
      <c r="K15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14">
        <f ca="1">qry_ProdData2_PDI_Cash_Exception_Application[[#This Row],[TODAY]]-qry_ProdData2_PDI_Cash_Exception_Application[[#This Row],[CHANGED ON]]</f>
        <v>10.742928240739275</v>
      </c>
      <c r="M1514">
        <f ca="1">qry_ProdData2_PDI_Cash_Exception_Application[[#This Row],[TODAY]]-qry_ProdData2_PDI_Cash_Exception_Application[[#This Row],[CHANGED ON]]</f>
        <v>10.742928240739275</v>
      </c>
      <c r="N1514">
        <f ca="1">qry_ProdData2_PDI_Cash_Exception_Application[[#This Row],[TODAY]]-qry_ProdData2_PDI_Cash_Exception_Application[[#This Row],[CHANGED ON]]</f>
        <v>10.742928240739275</v>
      </c>
    </row>
    <row r="1515" spans="1:14" x14ac:dyDescent="0.35">
      <c r="A1515">
        <v>1035</v>
      </c>
      <c r="B1515" t="s">
        <v>89</v>
      </c>
      <c r="C1515" s="1">
        <v>45184.257071759261</v>
      </c>
      <c r="D1515" t="str">
        <f ca="1">VLOOKUP(qry_ProdData2_PDI_Cash_Exception_Application[[#This Row],[TYPE]],#REF!,2,FALSE)</f>
        <v>type40</v>
      </c>
      <c r="E1515">
        <v>-334.8</v>
      </c>
      <c r="F1515" t="s">
        <v>49</v>
      </c>
      <c r="G1515" s="1">
        <f>qry_ProdData2_PDI_Cash_Exception_Application[[#This Row],[INSERT DATE]]+1</f>
        <v>45185.257071759261</v>
      </c>
      <c r="H1515" t="str">
        <f>VLOOKUP(qry_ProdData2_PDI_Cash_Exception_Application[[#This Row],[MARKET No]],'Site Allocation'!$B$2:$C$37,2,FALSE)</f>
        <v>Analyst6</v>
      </c>
      <c r="I1515" s="4">
        <f t="shared" ca="1" si="23"/>
        <v>45203</v>
      </c>
      <c r="J1515" s="42">
        <f ca="1">TODAY()-qry_ProdData2_PDI_Cash_Exception_Application[[#This Row],[INSERT DATE]]</f>
        <v>18.742928240739275</v>
      </c>
      <c r="K15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15">
        <f ca="1">qry_ProdData2_PDI_Cash_Exception_Application[[#This Row],[TODAY]]-qry_ProdData2_PDI_Cash_Exception_Application[[#This Row],[CHANGED ON]]</f>
        <v>17.742928240739275</v>
      </c>
      <c r="M1515">
        <f ca="1">qry_ProdData2_PDI_Cash_Exception_Application[[#This Row],[TODAY]]-qry_ProdData2_PDI_Cash_Exception_Application[[#This Row],[CHANGED ON]]</f>
        <v>17.742928240739275</v>
      </c>
      <c r="N1515">
        <f ca="1">qry_ProdData2_PDI_Cash_Exception_Application[[#This Row],[TODAY]]-qry_ProdData2_PDI_Cash_Exception_Application[[#This Row],[CHANGED ON]]</f>
        <v>17.742928240739275</v>
      </c>
    </row>
    <row r="1516" spans="1:14" x14ac:dyDescent="0.35">
      <c r="A1516">
        <v>1031</v>
      </c>
      <c r="B1516" t="s">
        <v>85</v>
      </c>
      <c r="C1516" s="1">
        <v>45190.257071759261</v>
      </c>
      <c r="D1516" t="str">
        <f ca="1">VLOOKUP(qry_ProdData2_PDI_Cash_Exception_Application[[#This Row],[TYPE]],#REF!,2,FALSE)</f>
        <v>type40</v>
      </c>
      <c r="E1516">
        <v>-536.70000000000005</v>
      </c>
      <c r="F1516" t="s">
        <v>48</v>
      </c>
      <c r="G1516" s="1">
        <f>qry_ProdData2_PDI_Cash_Exception_Application[[#This Row],[INSERT DATE]]+7</f>
        <v>45197.257071759261</v>
      </c>
      <c r="H1516" t="str">
        <f>VLOOKUP(qry_ProdData2_PDI_Cash_Exception_Application[[#This Row],[MARKET No]],'Site Allocation'!$B$2:$C$37,2,FALSE)</f>
        <v>Analyst6</v>
      </c>
      <c r="I1516" s="4">
        <f t="shared" ca="1" si="23"/>
        <v>45203</v>
      </c>
      <c r="J1516" s="42">
        <f ca="1">TODAY()-qry_ProdData2_PDI_Cash_Exception_Application[[#This Row],[INSERT DATE]]</f>
        <v>12.742928240739275</v>
      </c>
      <c r="K15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16">
        <f ca="1">qry_ProdData2_PDI_Cash_Exception_Application[[#This Row],[TODAY]]-qry_ProdData2_PDI_Cash_Exception_Application[[#This Row],[CHANGED ON]]</f>
        <v>5.7429282407392748</v>
      </c>
      <c r="M1516">
        <f ca="1">qry_ProdData2_PDI_Cash_Exception_Application[[#This Row],[TODAY]]-qry_ProdData2_PDI_Cash_Exception_Application[[#This Row],[CHANGED ON]]</f>
        <v>5.7429282407392748</v>
      </c>
      <c r="N1516">
        <f ca="1">qry_ProdData2_PDI_Cash_Exception_Application[[#This Row],[TODAY]]-qry_ProdData2_PDI_Cash_Exception_Application[[#This Row],[CHANGED ON]]</f>
        <v>5.7429282407392748</v>
      </c>
    </row>
    <row r="1517" spans="1:14" x14ac:dyDescent="0.35">
      <c r="A1517">
        <v>1014</v>
      </c>
      <c r="B1517" t="s">
        <v>68</v>
      </c>
      <c r="C1517" s="1">
        <v>45190.257071759261</v>
      </c>
      <c r="D1517" t="str">
        <f ca="1">VLOOKUP(qry_ProdData2_PDI_Cash_Exception_Application[[#This Row],[TYPE]],#REF!,2,FALSE)</f>
        <v>type40</v>
      </c>
      <c r="E1517">
        <v>1034.43</v>
      </c>
      <c r="F1517" t="s">
        <v>47</v>
      </c>
      <c r="G1517" s="1">
        <f>qry_ProdData2_PDI_Cash_Exception_Application[[#This Row],[INSERT DATE]]+7</f>
        <v>45197.257071759261</v>
      </c>
      <c r="H1517" t="str">
        <f>VLOOKUP(qry_ProdData2_PDI_Cash_Exception_Application[[#This Row],[MARKET No]],'Site Allocation'!$B$2:$C$37,2,FALSE)</f>
        <v>Analyst3</v>
      </c>
      <c r="I1517" s="4">
        <f t="shared" ca="1" si="23"/>
        <v>45203</v>
      </c>
      <c r="J1517" s="42">
        <f ca="1">TODAY()-qry_ProdData2_PDI_Cash_Exception_Application[[#This Row],[INSERT DATE]]</f>
        <v>12.742928240739275</v>
      </c>
      <c r="K15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17">
        <f ca="1">qry_ProdData2_PDI_Cash_Exception_Application[[#This Row],[TODAY]]-qry_ProdData2_PDI_Cash_Exception_Application[[#This Row],[CHANGED ON]]</f>
        <v>5.7429282407392748</v>
      </c>
      <c r="M1517">
        <f ca="1">qry_ProdData2_PDI_Cash_Exception_Application[[#This Row],[TODAY]]-qry_ProdData2_PDI_Cash_Exception_Application[[#This Row],[CHANGED ON]]</f>
        <v>5.7429282407392748</v>
      </c>
      <c r="N1517">
        <f ca="1">qry_ProdData2_PDI_Cash_Exception_Application[[#This Row],[TODAY]]-qry_ProdData2_PDI_Cash_Exception_Application[[#This Row],[CHANGED ON]]</f>
        <v>5.7429282407392748</v>
      </c>
    </row>
    <row r="1518" spans="1:14" x14ac:dyDescent="0.35">
      <c r="A1518">
        <v>1017</v>
      </c>
      <c r="B1518" t="s">
        <v>71</v>
      </c>
      <c r="C1518" s="1">
        <v>45187.257071759261</v>
      </c>
      <c r="D1518" t="str">
        <f ca="1">VLOOKUP(qry_ProdData2_PDI_Cash_Exception_Application[[#This Row],[TYPE]],#REF!,2,FALSE)</f>
        <v>type40</v>
      </c>
      <c r="E1518">
        <v>912.31</v>
      </c>
      <c r="F1518" t="s">
        <v>52</v>
      </c>
      <c r="G1518" s="1">
        <f>qry_ProdData2_PDI_Cash_Exception_Application[[#This Row],[INSERT DATE]]+2</f>
        <v>45189.257071759261</v>
      </c>
      <c r="H1518" t="str">
        <f>VLOOKUP(qry_ProdData2_PDI_Cash_Exception_Application[[#This Row],[MARKET No]],'Site Allocation'!$B$2:$C$37,2,FALSE)</f>
        <v>Analyst3</v>
      </c>
      <c r="I1518" s="4">
        <f t="shared" ca="1" si="23"/>
        <v>45203</v>
      </c>
      <c r="J1518" s="42">
        <f ca="1">TODAY()-qry_ProdData2_PDI_Cash_Exception_Application[[#This Row],[INSERT DATE]]</f>
        <v>15.742928240739275</v>
      </c>
      <c r="K15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18">
        <f ca="1">qry_ProdData2_PDI_Cash_Exception_Application[[#This Row],[TODAY]]-qry_ProdData2_PDI_Cash_Exception_Application[[#This Row],[CHANGED ON]]</f>
        <v>13.742928240739275</v>
      </c>
      <c r="M1518">
        <f ca="1">qry_ProdData2_PDI_Cash_Exception_Application[[#This Row],[TODAY]]-qry_ProdData2_PDI_Cash_Exception_Application[[#This Row],[CHANGED ON]]</f>
        <v>13.742928240739275</v>
      </c>
      <c r="N1518">
        <f ca="1">qry_ProdData2_PDI_Cash_Exception_Application[[#This Row],[TODAY]]-qry_ProdData2_PDI_Cash_Exception_Application[[#This Row],[CHANGED ON]]</f>
        <v>13.742928240739275</v>
      </c>
    </row>
    <row r="1519" spans="1:14" x14ac:dyDescent="0.35">
      <c r="A1519">
        <v>1023</v>
      </c>
      <c r="B1519" t="s">
        <v>77</v>
      </c>
      <c r="C1519" s="1">
        <v>45188.257071759261</v>
      </c>
      <c r="D1519" t="str">
        <f ca="1">VLOOKUP(qry_ProdData2_PDI_Cash_Exception_Application[[#This Row],[TYPE]],#REF!,2,FALSE)</f>
        <v>type40</v>
      </c>
      <c r="E1519">
        <v>-1930.41</v>
      </c>
      <c r="F1519" t="s">
        <v>52</v>
      </c>
      <c r="G1519" s="1">
        <f>qry_ProdData2_PDI_Cash_Exception_Application[[#This Row],[INSERT DATE]]+2</f>
        <v>45190.257071759261</v>
      </c>
      <c r="H1519" t="str">
        <f>VLOOKUP(qry_ProdData2_PDI_Cash_Exception_Application[[#This Row],[MARKET No]],'Site Allocation'!$B$2:$C$37,2,FALSE)</f>
        <v>Analyst4</v>
      </c>
      <c r="I1519" s="4">
        <f t="shared" ca="1" si="23"/>
        <v>45203</v>
      </c>
      <c r="J1519" s="42">
        <f ca="1">TODAY()-qry_ProdData2_PDI_Cash_Exception_Application[[#This Row],[INSERT DATE]]</f>
        <v>14.742928240739275</v>
      </c>
      <c r="K15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19">
        <f ca="1">qry_ProdData2_PDI_Cash_Exception_Application[[#This Row],[TODAY]]-qry_ProdData2_PDI_Cash_Exception_Application[[#This Row],[CHANGED ON]]</f>
        <v>12.742928240739275</v>
      </c>
      <c r="M1519">
        <f ca="1">qry_ProdData2_PDI_Cash_Exception_Application[[#This Row],[TODAY]]-qry_ProdData2_PDI_Cash_Exception_Application[[#This Row],[CHANGED ON]]</f>
        <v>12.742928240739275</v>
      </c>
      <c r="N1519">
        <f ca="1">qry_ProdData2_PDI_Cash_Exception_Application[[#This Row],[TODAY]]-qry_ProdData2_PDI_Cash_Exception_Application[[#This Row],[CHANGED ON]]</f>
        <v>12.742928240739275</v>
      </c>
    </row>
    <row r="1520" spans="1:14" x14ac:dyDescent="0.35">
      <c r="A1520">
        <v>1007</v>
      </c>
      <c r="B1520" t="s">
        <v>61</v>
      </c>
      <c r="C1520" s="1">
        <v>45192.257071759261</v>
      </c>
      <c r="D1520" t="str">
        <f ca="1">VLOOKUP(qry_ProdData2_PDI_Cash_Exception_Application[[#This Row],[TYPE]],#REF!,2,FALSE)</f>
        <v>type40</v>
      </c>
      <c r="E1520">
        <v>2160.16</v>
      </c>
      <c r="F1520" t="s">
        <v>48</v>
      </c>
      <c r="G1520" s="1">
        <f>qry_ProdData2_PDI_Cash_Exception_Application[[#This Row],[INSERT DATE]]+7</f>
        <v>45199.257071759261</v>
      </c>
      <c r="H1520" t="str">
        <f>VLOOKUP(qry_ProdData2_PDI_Cash_Exception_Application[[#This Row],[MARKET No]],'Site Allocation'!$B$2:$C$37,2,FALSE)</f>
        <v>Analyst2</v>
      </c>
      <c r="I1520" s="4">
        <f t="shared" ca="1" si="23"/>
        <v>45203</v>
      </c>
      <c r="J1520" s="42">
        <f ca="1">TODAY()-qry_ProdData2_PDI_Cash_Exception_Application[[#This Row],[INSERT DATE]]</f>
        <v>10.742928240739275</v>
      </c>
      <c r="K15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20">
        <f ca="1">qry_ProdData2_PDI_Cash_Exception_Application[[#This Row],[TODAY]]-qry_ProdData2_PDI_Cash_Exception_Application[[#This Row],[CHANGED ON]]</f>
        <v>3.7429282407392748</v>
      </c>
      <c r="M1520">
        <f ca="1">qry_ProdData2_PDI_Cash_Exception_Application[[#This Row],[TODAY]]-qry_ProdData2_PDI_Cash_Exception_Application[[#This Row],[CHANGED ON]]</f>
        <v>3.7429282407392748</v>
      </c>
      <c r="N1520">
        <f ca="1">qry_ProdData2_PDI_Cash_Exception_Application[[#This Row],[TODAY]]-qry_ProdData2_PDI_Cash_Exception_Application[[#This Row],[CHANGED ON]]</f>
        <v>3.7429282407392748</v>
      </c>
    </row>
    <row r="1521" spans="1:14" x14ac:dyDescent="0.35">
      <c r="A1521">
        <v>1030</v>
      </c>
      <c r="B1521" t="s">
        <v>84</v>
      </c>
      <c r="C1521" s="1">
        <v>45189.257071759261</v>
      </c>
      <c r="D1521" t="str">
        <f ca="1">VLOOKUP(qry_ProdData2_PDI_Cash_Exception_Application[[#This Row],[TYPE]],#REF!,2,FALSE)</f>
        <v>type40</v>
      </c>
      <c r="E1521">
        <v>12294.03</v>
      </c>
      <c r="F1521" t="s">
        <v>50</v>
      </c>
      <c r="G1521" s="1">
        <f>qry_ProdData2_PDI_Cash_Exception_Application[[#This Row],[INSERT DATE]]+5</f>
        <v>45194.257071759261</v>
      </c>
      <c r="H1521" t="str">
        <f>VLOOKUP(qry_ProdData2_PDI_Cash_Exception_Application[[#This Row],[MARKET No]],'Site Allocation'!$B$2:$C$37,2,FALSE)</f>
        <v>Analyst6</v>
      </c>
      <c r="I1521" s="4">
        <f t="shared" ca="1" si="23"/>
        <v>45203</v>
      </c>
      <c r="J1521" s="42">
        <f ca="1">TODAY()-qry_ProdData2_PDI_Cash_Exception_Application[[#This Row],[INSERT DATE]]</f>
        <v>13.742928240739275</v>
      </c>
      <c r="K15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21">
        <f ca="1">qry_ProdData2_PDI_Cash_Exception_Application[[#This Row],[TODAY]]-qry_ProdData2_PDI_Cash_Exception_Application[[#This Row],[CHANGED ON]]</f>
        <v>8.7429282407392748</v>
      </c>
      <c r="M1521">
        <f ca="1">qry_ProdData2_PDI_Cash_Exception_Application[[#This Row],[TODAY]]-qry_ProdData2_PDI_Cash_Exception_Application[[#This Row],[CHANGED ON]]</f>
        <v>8.7429282407392748</v>
      </c>
      <c r="N1521">
        <f ca="1">qry_ProdData2_PDI_Cash_Exception_Application[[#This Row],[TODAY]]-qry_ProdData2_PDI_Cash_Exception_Application[[#This Row],[CHANGED ON]]</f>
        <v>8.7429282407392748</v>
      </c>
    </row>
    <row r="1522" spans="1:14" x14ac:dyDescent="0.35">
      <c r="A1522">
        <v>1026</v>
      </c>
      <c r="B1522" t="s">
        <v>80</v>
      </c>
      <c r="C1522" s="1">
        <v>45187.257071759261</v>
      </c>
      <c r="D1522" t="str">
        <f ca="1">VLOOKUP(qry_ProdData2_PDI_Cash_Exception_Application[[#This Row],[TYPE]],#REF!,2,FALSE)</f>
        <v>type40</v>
      </c>
      <c r="E1522">
        <v>-421.1</v>
      </c>
      <c r="F1522" t="s">
        <v>47</v>
      </c>
      <c r="G1522" s="1">
        <f>qry_ProdData2_PDI_Cash_Exception_Application[[#This Row],[INSERT DATE]]+1</f>
        <v>45188.257071759261</v>
      </c>
      <c r="H1522" t="str">
        <f>VLOOKUP(qry_ProdData2_PDI_Cash_Exception_Application[[#This Row],[MARKET No]],'Site Allocation'!$B$2:$C$37,2,FALSE)</f>
        <v>Analyst5</v>
      </c>
      <c r="I1522" s="4">
        <f t="shared" ca="1" si="23"/>
        <v>45203</v>
      </c>
      <c r="J1522" s="42">
        <f ca="1">TODAY()-qry_ProdData2_PDI_Cash_Exception_Application[[#This Row],[INSERT DATE]]</f>
        <v>15.742928240739275</v>
      </c>
      <c r="K15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22">
        <f ca="1">qry_ProdData2_PDI_Cash_Exception_Application[[#This Row],[TODAY]]-qry_ProdData2_PDI_Cash_Exception_Application[[#This Row],[CHANGED ON]]</f>
        <v>14.742928240739275</v>
      </c>
      <c r="M1522">
        <f ca="1">qry_ProdData2_PDI_Cash_Exception_Application[[#This Row],[TODAY]]-qry_ProdData2_PDI_Cash_Exception_Application[[#This Row],[CHANGED ON]]</f>
        <v>14.742928240739275</v>
      </c>
      <c r="N1522">
        <f ca="1">qry_ProdData2_PDI_Cash_Exception_Application[[#This Row],[TODAY]]-qry_ProdData2_PDI_Cash_Exception_Application[[#This Row],[CHANGED ON]]</f>
        <v>14.742928240739275</v>
      </c>
    </row>
    <row r="1523" spans="1:14" x14ac:dyDescent="0.35">
      <c r="A1523">
        <v>1017</v>
      </c>
      <c r="B1523" t="s">
        <v>71</v>
      </c>
      <c r="C1523" s="1">
        <v>45185.257071759261</v>
      </c>
      <c r="D1523" t="str">
        <f ca="1">VLOOKUP(qry_ProdData2_PDI_Cash_Exception_Application[[#This Row],[TYPE]],#REF!,2,FALSE)</f>
        <v>type40</v>
      </c>
      <c r="E1523">
        <v>-441.82</v>
      </c>
      <c r="F1523" t="s">
        <v>49</v>
      </c>
      <c r="G1523" s="1">
        <f>qry_ProdData2_PDI_Cash_Exception_Application[[#This Row],[INSERT DATE]]+2</f>
        <v>45187.257071759261</v>
      </c>
      <c r="H1523" t="str">
        <f>VLOOKUP(qry_ProdData2_PDI_Cash_Exception_Application[[#This Row],[MARKET No]],'Site Allocation'!$B$2:$C$37,2,FALSE)</f>
        <v>Analyst3</v>
      </c>
      <c r="I1523" s="4">
        <f t="shared" ca="1" si="23"/>
        <v>45203</v>
      </c>
      <c r="J1523" s="42">
        <f ca="1">TODAY()-qry_ProdData2_PDI_Cash_Exception_Application[[#This Row],[INSERT DATE]]</f>
        <v>17.742928240739275</v>
      </c>
      <c r="K15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23">
        <f ca="1">qry_ProdData2_PDI_Cash_Exception_Application[[#This Row],[TODAY]]-qry_ProdData2_PDI_Cash_Exception_Application[[#This Row],[CHANGED ON]]</f>
        <v>15.742928240739275</v>
      </c>
      <c r="M1523">
        <f ca="1">qry_ProdData2_PDI_Cash_Exception_Application[[#This Row],[TODAY]]-qry_ProdData2_PDI_Cash_Exception_Application[[#This Row],[CHANGED ON]]</f>
        <v>15.742928240739275</v>
      </c>
      <c r="N1523">
        <f ca="1">qry_ProdData2_PDI_Cash_Exception_Application[[#This Row],[TODAY]]-qry_ProdData2_PDI_Cash_Exception_Application[[#This Row],[CHANGED ON]]</f>
        <v>15.742928240739275</v>
      </c>
    </row>
    <row r="1524" spans="1:14" x14ac:dyDescent="0.35">
      <c r="A1524">
        <v>1026</v>
      </c>
      <c r="B1524" t="s">
        <v>80</v>
      </c>
      <c r="C1524" s="1">
        <v>45190.257071759261</v>
      </c>
      <c r="D1524" t="str">
        <f ca="1">VLOOKUP(qry_ProdData2_PDI_Cash_Exception_Application[[#This Row],[TYPE]],#REF!,2,FALSE)</f>
        <v>type40</v>
      </c>
      <c r="E1524">
        <v>526.27</v>
      </c>
      <c r="F1524" t="s">
        <v>48</v>
      </c>
      <c r="G1524" s="1">
        <f>qry_ProdData2_PDI_Cash_Exception_Application[[#This Row],[INSERT DATE]]+1</f>
        <v>45191.257071759261</v>
      </c>
      <c r="H1524" t="str">
        <f>VLOOKUP(qry_ProdData2_PDI_Cash_Exception_Application[[#This Row],[MARKET No]],'Site Allocation'!$B$2:$C$37,2,FALSE)</f>
        <v>Analyst5</v>
      </c>
      <c r="I1524" s="4">
        <f t="shared" ca="1" si="23"/>
        <v>45203</v>
      </c>
      <c r="J1524" s="42">
        <f ca="1">TODAY()-qry_ProdData2_PDI_Cash_Exception_Application[[#This Row],[INSERT DATE]]</f>
        <v>12.742928240739275</v>
      </c>
      <c r="K15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24">
        <f ca="1">qry_ProdData2_PDI_Cash_Exception_Application[[#This Row],[TODAY]]-qry_ProdData2_PDI_Cash_Exception_Application[[#This Row],[CHANGED ON]]</f>
        <v>11.742928240739275</v>
      </c>
      <c r="M1524">
        <f ca="1">qry_ProdData2_PDI_Cash_Exception_Application[[#This Row],[TODAY]]-qry_ProdData2_PDI_Cash_Exception_Application[[#This Row],[CHANGED ON]]</f>
        <v>11.742928240739275</v>
      </c>
      <c r="N1524">
        <f ca="1">qry_ProdData2_PDI_Cash_Exception_Application[[#This Row],[TODAY]]-qry_ProdData2_PDI_Cash_Exception_Application[[#This Row],[CHANGED ON]]</f>
        <v>11.742928240739275</v>
      </c>
    </row>
    <row r="1525" spans="1:14" x14ac:dyDescent="0.35">
      <c r="A1525">
        <v>1017</v>
      </c>
      <c r="B1525" t="s">
        <v>71</v>
      </c>
      <c r="C1525" s="1">
        <v>45186.257071759261</v>
      </c>
      <c r="D1525" t="str">
        <f ca="1">VLOOKUP(qry_ProdData2_PDI_Cash_Exception_Application[[#This Row],[TYPE]],#REF!,2,FALSE)</f>
        <v>type7</v>
      </c>
      <c r="E1525">
        <v>1625.37</v>
      </c>
      <c r="F1525" t="s">
        <v>49</v>
      </c>
      <c r="G1525" s="1">
        <f>qry_ProdData2_PDI_Cash_Exception_Application[[#This Row],[INSERT DATE]]+2</f>
        <v>45188.257071759261</v>
      </c>
      <c r="H1525" t="str">
        <f>VLOOKUP(qry_ProdData2_PDI_Cash_Exception_Application[[#This Row],[MARKET No]],'Site Allocation'!$B$2:$C$37,2,FALSE)</f>
        <v>Analyst3</v>
      </c>
      <c r="I1525" s="4">
        <f t="shared" ca="1" si="23"/>
        <v>45203</v>
      </c>
      <c r="J1525" s="42">
        <f ca="1">TODAY()-qry_ProdData2_PDI_Cash_Exception_Application[[#This Row],[INSERT DATE]]</f>
        <v>16.742928240739275</v>
      </c>
      <c r="K15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25">
        <f ca="1">qry_ProdData2_PDI_Cash_Exception_Application[[#This Row],[TODAY]]-qry_ProdData2_PDI_Cash_Exception_Application[[#This Row],[CHANGED ON]]</f>
        <v>14.742928240739275</v>
      </c>
      <c r="M1525">
        <f ca="1">qry_ProdData2_PDI_Cash_Exception_Application[[#This Row],[TODAY]]-qry_ProdData2_PDI_Cash_Exception_Application[[#This Row],[CHANGED ON]]</f>
        <v>14.742928240739275</v>
      </c>
      <c r="N1525">
        <f ca="1">qry_ProdData2_PDI_Cash_Exception_Application[[#This Row],[TODAY]]-qry_ProdData2_PDI_Cash_Exception_Application[[#This Row],[CHANGED ON]]</f>
        <v>14.742928240739275</v>
      </c>
    </row>
    <row r="1526" spans="1:14" x14ac:dyDescent="0.35">
      <c r="A1526">
        <v>1025</v>
      </c>
      <c r="B1526" t="s">
        <v>79</v>
      </c>
      <c r="C1526" s="1">
        <v>45187.257071759261</v>
      </c>
      <c r="D1526" t="str">
        <f ca="1">VLOOKUP(qry_ProdData2_PDI_Cash_Exception_Application[[#This Row],[TYPE]],#REF!,2,FALSE)</f>
        <v>type40</v>
      </c>
      <c r="E1526">
        <v>-306.14</v>
      </c>
      <c r="F1526" t="s">
        <v>48</v>
      </c>
      <c r="G1526" s="1">
        <f>qry_ProdData2_PDI_Cash_Exception_Application[[#This Row],[INSERT DATE]]+1</f>
        <v>45188.257071759261</v>
      </c>
      <c r="H1526" t="str">
        <f>VLOOKUP(qry_ProdData2_PDI_Cash_Exception_Application[[#This Row],[MARKET No]],'Site Allocation'!$B$2:$C$37,2,FALSE)</f>
        <v>Analyst5</v>
      </c>
      <c r="I1526" s="4">
        <f t="shared" ca="1" si="23"/>
        <v>45203</v>
      </c>
      <c r="J1526" s="42">
        <f ca="1">TODAY()-qry_ProdData2_PDI_Cash_Exception_Application[[#This Row],[INSERT DATE]]</f>
        <v>15.742928240739275</v>
      </c>
      <c r="K15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26">
        <f ca="1">qry_ProdData2_PDI_Cash_Exception_Application[[#This Row],[TODAY]]-qry_ProdData2_PDI_Cash_Exception_Application[[#This Row],[CHANGED ON]]</f>
        <v>14.742928240739275</v>
      </c>
      <c r="M1526">
        <f ca="1">qry_ProdData2_PDI_Cash_Exception_Application[[#This Row],[TODAY]]-qry_ProdData2_PDI_Cash_Exception_Application[[#This Row],[CHANGED ON]]</f>
        <v>14.742928240739275</v>
      </c>
      <c r="N1526">
        <f ca="1">qry_ProdData2_PDI_Cash_Exception_Application[[#This Row],[TODAY]]-qry_ProdData2_PDI_Cash_Exception_Application[[#This Row],[CHANGED ON]]</f>
        <v>14.742928240739275</v>
      </c>
    </row>
    <row r="1527" spans="1:14" x14ac:dyDescent="0.35">
      <c r="A1527">
        <v>1027</v>
      </c>
      <c r="B1527" t="s">
        <v>81</v>
      </c>
      <c r="C1527" s="1">
        <v>45187.257071759261</v>
      </c>
      <c r="D1527" t="str">
        <f ca="1">VLOOKUP(qry_ProdData2_PDI_Cash_Exception_Application[[#This Row],[TYPE]],#REF!,2,FALSE)</f>
        <v>type40</v>
      </c>
      <c r="E1527">
        <v>-1998.43</v>
      </c>
      <c r="F1527" t="s">
        <v>49</v>
      </c>
      <c r="G1527" s="1">
        <f>qry_ProdData2_PDI_Cash_Exception_Application[[#This Row],[INSERT DATE]]+2</f>
        <v>45189.257071759261</v>
      </c>
      <c r="H1527" t="str">
        <f>VLOOKUP(qry_ProdData2_PDI_Cash_Exception_Application[[#This Row],[MARKET No]],'Site Allocation'!$B$2:$C$37,2,FALSE)</f>
        <v>Analyst5</v>
      </c>
      <c r="I1527" s="4">
        <f t="shared" ca="1" si="23"/>
        <v>45203</v>
      </c>
      <c r="J1527" s="42">
        <f ca="1">TODAY()-qry_ProdData2_PDI_Cash_Exception_Application[[#This Row],[INSERT DATE]]</f>
        <v>15.742928240739275</v>
      </c>
      <c r="K15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27">
        <f ca="1">qry_ProdData2_PDI_Cash_Exception_Application[[#This Row],[TODAY]]-qry_ProdData2_PDI_Cash_Exception_Application[[#This Row],[CHANGED ON]]</f>
        <v>13.742928240739275</v>
      </c>
      <c r="M1527">
        <f ca="1">qry_ProdData2_PDI_Cash_Exception_Application[[#This Row],[TODAY]]-qry_ProdData2_PDI_Cash_Exception_Application[[#This Row],[CHANGED ON]]</f>
        <v>13.742928240739275</v>
      </c>
      <c r="N1527">
        <f ca="1">qry_ProdData2_PDI_Cash_Exception_Application[[#This Row],[TODAY]]-qry_ProdData2_PDI_Cash_Exception_Application[[#This Row],[CHANGED ON]]</f>
        <v>13.742928240739275</v>
      </c>
    </row>
    <row r="1528" spans="1:14" x14ac:dyDescent="0.35">
      <c r="A1528">
        <v>1009</v>
      </c>
      <c r="B1528" t="s">
        <v>63</v>
      </c>
      <c r="C1528" s="1">
        <v>45188.257071759261</v>
      </c>
      <c r="D1528" t="str">
        <f ca="1">VLOOKUP(qry_ProdData2_PDI_Cash_Exception_Application[[#This Row],[TYPE]],#REF!,2,FALSE)</f>
        <v>type40</v>
      </c>
      <c r="E1528">
        <v>407.94</v>
      </c>
      <c r="F1528" t="s">
        <v>48</v>
      </c>
      <c r="G1528" s="1">
        <f>qry_ProdData2_PDI_Cash_Exception_Application[[#This Row],[INSERT DATE]]+1</f>
        <v>45189.257071759261</v>
      </c>
      <c r="H1528" t="str">
        <f>VLOOKUP(qry_ProdData2_PDI_Cash_Exception_Application[[#This Row],[MARKET No]],'Site Allocation'!$B$2:$C$37,2,FALSE)</f>
        <v>Analyst2</v>
      </c>
      <c r="I1528" s="4">
        <f t="shared" ca="1" si="23"/>
        <v>45203</v>
      </c>
      <c r="J1528" s="42">
        <f ca="1">TODAY()-qry_ProdData2_PDI_Cash_Exception_Application[[#This Row],[INSERT DATE]]</f>
        <v>14.742928240739275</v>
      </c>
      <c r="K15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28">
        <f ca="1">qry_ProdData2_PDI_Cash_Exception_Application[[#This Row],[TODAY]]-qry_ProdData2_PDI_Cash_Exception_Application[[#This Row],[CHANGED ON]]</f>
        <v>13.742928240739275</v>
      </c>
      <c r="M1528">
        <f ca="1">qry_ProdData2_PDI_Cash_Exception_Application[[#This Row],[TODAY]]-qry_ProdData2_PDI_Cash_Exception_Application[[#This Row],[CHANGED ON]]</f>
        <v>13.742928240739275</v>
      </c>
      <c r="N1528">
        <f ca="1">qry_ProdData2_PDI_Cash_Exception_Application[[#This Row],[TODAY]]-qry_ProdData2_PDI_Cash_Exception_Application[[#This Row],[CHANGED ON]]</f>
        <v>13.742928240739275</v>
      </c>
    </row>
    <row r="1529" spans="1:14" x14ac:dyDescent="0.35">
      <c r="A1529">
        <v>1020</v>
      </c>
      <c r="B1529" t="s">
        <v>74</v>
      </c>
      <c r="C1529" s="1">
        <v>45196.257071759261</v>
      </c>
      <c r="D1529" t="str">
        <f ca="1">VLOOKUP(qry_ProdData2_PDI_Cash_Exception_Application[[#This Row],[TYPE]],#REF!,2,FALSE)</f>
        <v>type40</v>
      </c>
      <c r="E1529">
        <v>-1592.43</v>
      </c>
      <c r="F1529" t="s">
        <v>50</v>
      </c>
      <c r="G1529" s="1">
        <f>qry_ProdData2_PDI_Cash_Exception_Application[[#This Row],[INSERT DATE]]+7</f>
        <v>45203.257071759261</v>
      </c>
      <c r="H1529" t="str">
        <f>VLOOKUP(qry_ProdData2_PDI_Cash_Exception_Application[[#This Row],[MARKET No]],'Site Allocation'!$B$2:$C$37,2,FALSE)</f>
        <v>Analyst4</v>
      </c>
      <c r="I1529" s="4">
        <f t="shared" ca="1" si="23"/>
        <v>45203</v>
      </c>
      <c r="J1529" s="42">
        <f ca="1">TODAY()-qry_ProdData2_PDI_Cash_Exception_Application[[#This Row],[INSERT DATE]]</f>
        <v>6.7429282407392748</v>
      </c>
      <c r="K15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529">
        <f ca="1">qry_ProdData2_PDI_Cash_Exception_Application[[#This Row],[TODAY]]-qry_ProdData2_PDI_Cash_Exception_Application[[#This Row],[CHANGED ON]]</f>
        <v>-0.25707175926072523</v>
      </c>
      <c r="M1529">
        <f ca="1">qry_ProdData2_PDI_Cash_Exception_Application[[#This Row],[TODAY]]-qry_ProdData2_PDI_Cash_Exception_Application[[#This Row],[CHANGED ON]]</f>
        <v>-0.25707175926072523</v>
      </c>
      <c r="N1529">
        <f ca="1">qry_ProdData2_PDI_Cash_Exception_Application[[#This Row],[TODAY]]-qry_ProdData2_PDI_Cash_Exception_Application[[#This Row],[CHANGED ON]]</f>
        <v>-0.25707175926072523</v>
      </c>
    </row>
    <row r="1530" spans="1:14" x14ac:dyDescent="0.35">
      <c r="A1530">
        <v>1015</v>
      </c>
      <c r="B1530" t="s">
        <v>69</v>
      </c>
      <c r="C1530" s="1">
        <v>45179.257071759261</v>
      </c>
      <c r="D1530" t="str">
        <f ca="1">VLOOKUP(qry_ProdData2_PDI_Cash_Exception_Application[[#This Row],[TYPE]],#REF!,2,FALSE)</f>
        <v>type40</v>
      </c>
      <c r="E1530">
        <v>1032.2</v>
      </c>
      <c r="F1530" t="s">
        <v>47</v>
      </c>
      <c r="G1530" s="1">
        <f>qry_ProdData2_PDI_Cash_Exception_Application[[#This Row],[INSERT DATE]]+2</f>
        <v>45181.257071759261</v>
      </c>
      <c r="H1530" t="str">
        <f>VLOOKUP(qry_ProdData2_PDI_Cash_Exception_Application[[#This Row],[MARKET No]],'Site Allocation'!$B$2:$C$37,2,FALSE)</f>
        <v>Analyst3</v>
      </c>
      <c r="I1530" s="4">
        <f t="shared" ca="1" si="23"/>
        <v>45203</v>
      </c>
      <c r="J1530" s="42">
        <f ca="1">TODAY()-qry_ProdData2_PDI_Cash_Exception_Application[[#This Row],[INSERT DATE]]</f>
        <v>23.742928240739275</v>
      </c>
      <c r="K15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30">
        <f ca="1">qry_ProdData2_PDI_Cash_Exception_Application[[#This Row],[TODAY]]-qry_ProdData2_PDI_Cash_Exception_Application[[#This Row],[CHANGED ON]]</f>
        <v>21.742928240739275</v>
      </c>
      <c r="M1530">
        <f ca="1">qry_ProdData2_PDI_Cash_Exception_Application[[#This Row],[TODAY]]-qry_ProdData2_PDI_Cash_Exception_Application[[#This Row],[CHANGED ON]]</f>
        <v>21.742928240739275</v>
      </c>
      <c r="N1530">
        <f ca="1">qry_ProdData2_PDI_Cash_Exception_Application[[#This Row],[TODAY]]-qry_ProdData2_PDI_Cash_Exception_Application[[#This Row],[CHANGED ON]]</f>
        <v>21.742928240739275</v>
      </c>
    </row>
    <row r="1531" spans="1:14" x14ac:dyDescent="0.35">
      <c r="A1531">
        <v>1026</v>
      </c>
      <c r="B1531" t="s">
        <v>80</v>
      </c>
      <c r="C1531" s="1">
        <v>45190.257071759261</v>
      </c>
      <c r="D1531" t="str">
        <f ca="1">VLOOKUP(qry_ProdData2_PDI_Cash_Exception_Application[[#This Row],[TYPE]],#REF!,2,FALSE)</f>
        <v>type40</v>
      </c>
      <c r="E1531">
        <v>754.2</v>
      </c>
      <c r="F1531" t="s">
        <v>48</v>
      </c>
      <c r="G1531" s="1">
        <f>qry_ProdData2_PDI_Cash_Exception_Application[[#This Row],[INSERT DATE]]+1</f>
        <v>45191.257071759261</v>
      </c>
      <c r="H1531" t="str">
        <f>VLOOKUP(qry_ProdData2_PDI_Cash_Exception_Application[[#This Row],[MARKET No]],'Site Allocation'!$B$2:$C$37,2,FALSE)</f>
        <v>Analyst5</v>
      </c>
      <c r="I1531" s="4">
        <f t="shared" ca="1" si="23"/>
        <v>45203</v>
      </c>
      <c r="J1531" s="42">
        <f ca="1">TODAY()-qry_ProdData2_PDI_Cash_Exception_Application[[#This Row],[INSERT DATE]]</f>
        <v>12.742928240739275</v>
      </c>
      <c r="K15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31">
        <f ca="1">qry_ProdData2_PDI_Cash_Exception_Application[[#This Row],[TODAY]]-qry_ProdData2_PDI_Cash_Exception_Application[[#This Row],[CHANGED ON]]</f>
        <v>11.742928240739275</v>
      </c>
      <c r="M1531">
        <f ca="1">qry_ProdData2_PDI_Cash_Exception_Application[[#This Row],[TODAY]]-qry_ProdData2_PDI_Cash_Exception_Application[[#This Row],[CHANGED ON]]</f>
        <v>11.742928240739275</v>
      </c>
      <c r="N1531">
        <f ca="1">qry_ProdData2_PDI_Cash_Exception_Application[[#This Row],[TODAY]]-qry_ProdData2_PDI_Cash_Exception_Application[[#This Row],[CHANGED ON]]</f>
        <v>11.742928240739275</v>
      </c>
    </row>
    <row r="1532" spans="1:14" x14ac:dyDescent="0.35">
      <c r="A1532">
        <v>1022</v>
      </c>
      <c r="B1532" t="s">
        <v>76</v>
      </c>
      <c r="C1532" s="1">
        <v>45192.257071759261</v>
      </c>
      <c r="D1532" t="str">
        <f ca="1">VLOOKUP(qry_ProdData2_PDI_Cash_Exception_Application[[#This Row],[TYPE]],#REF!,2,FALSE)</f>
        <v>type40</v>
      </c>
      <c r="E1532">
        <v>-738.48</v>
      </c>
      <c r="F1532" t="s">
        <v>51</v>
      </c>
      <c r="G1532" s="1">
        <f>qry_ProdData2_PDI_Cash_Exception_Application[[#This Row],[INSERT DATE]]+2</f>
        <v>45194.257071759261</v>
      </c>
      <c r="H1532" t="str">
        <f>VLOOKUP(qry_ProdData2_PDI_Cash_Exception_Application[[#This Row],[MARKET No]],'Site Allocation'!$B$2:$C$37,2,FALSE)</f>
        <v>Analyst4</v>
      </c>
      <c r="I1532" s="4">
        <f t="shared" ca="1" si="23"/>
        <v>45203</v>
      </c>
      <c r="J1532" s="42">
        <f ca="1">TODAY()-qry_ProdData2_PDI_Cash_Exception_Application[[#This Row],[INSERT DATE]]</f>
        <v>10.742928240739275</v>
      </c>
      <c r="K15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32">
        <f ca="1">qry_ProdData2_PDI_Cash_Exception_Application[[#This Row],[TODAY]]-qry_ProdData2_PDI_Cash_Exception_Application[[#This Row],[CHANGED ON]]</f>
        <v>8.7429282407392748</v>
      </c>
      <c r="M1532">
        <f ca="1">qry_ProdData2_PDI_Cash_Exception_Application[[#This Row],[TODAY]]-qry_ProdData2_PDI_Cash_Exception_Application[[#This Row],[CHANGED ON]]</f>
        <v>8.7429282407392748</v>
      </c>
      <c r="N1532">
        <f ca="1">qry_ProdData2_PDI_Cash_Exception_Application[[#This Row],[TODAY]]-qry_ProdData2_PDI_Cash_Exception_Application[[#This Row],[CHANGED ON]]</f>
        <v>8.7429282407392748</v>
      </c>
    </row>
    <row r="1533" spans="1:14" x14ac:dyDescent="0.35">
      <c r="A1533">
        <v>1032</v>
      </c>
      <c r="B1533" t="s">
        <v>86</v>
      </c>
      <c r="C1533" s="1">
        <v>45187.257071759261</v>
      </c>
      <c r="D1533" t="str">
        <f ca="1">VLOOKUP(qry_ProdData2_PDI_Cash_Exception_Application[[#This Row],[TYPE]],#REF!,2,FALSE)</f>
        <v>type40</v>
      </c>
      <c r="E1533">
        <v>1379.17</v>
      </c>
      <c r="F1533" t="s">
        <v>50</v>
      </c>
      <c r="G1533" s="1">
        <f>qry_ProdData2_PDI_Cash_Exception_Application[[#This Row],[INSERT DATE]]+7</f>
        <v>45194.257071759261</v>
      </c>
      <c r="H1533" t="str">
        <f>VLOOKUP(qry_ProdData2_PDI_Cash_Exception_Application[[#This Row],[MARKET No]],'Site Allocation'!$B$2:$C$37,2,FALSE)</f>
        <v>Analyst6</v>
      </c>
      <c r="I1533" s="4">
        <f t="shared" ca="1" si="23"/>
        <v>45203</v>
      </c>
      <c r="J1533" s="42">
        <f ca="1">TODAY()-qry_ProdData2_PDI_Cash_Exception_Application[[#This Row],[INSERT DATE]]</f>
        <v>15.742928240739275</v>
      </c>
      <c r="K15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33">
        <f ca="1">qry_ProdData2_PDI_Cash_Exception_Application[[#This Row],[TODAY]]-qry_ProdData2_PDI_Cash_Exception_Application[[#This Row],[CHANGED ON]]</f>
        <v>8.7429282407392748</v>
      </c>
      <c r="M1533">
        <f ca="1">qry_ProdData2_PDI_Cash_Exception_Application[[#This Row],[TODAY]]-qry_ProdData2_PDI_Cash_Exception_Application[[#This Row],[CHANGED ON]]</f>
        <v>8.7429282407392748</v>
      </c>
      <c r="N1533">
        <f ca="1">qry_ProdData2_PDI_Cash_Exception_Application[[#This Row],[TODAY]]-qry_ProdData2_PDI_Cash_Exception_Application[[#This Row],[CHANGED ON]]</f>
        <v>8.7429282407392748</v>
      </c>
    </row>
    <row r="1534" spans="1:14" x14ac:dyDescent="0.35">
      <c r="A1534">
        <v>1000</v>
      </c>
      <c r="B1534" t="s">
        <v>54</v>
      </c>
      <c r="C1534" s="1">
        <v>45185.257071759261</v>
      </c>
      <c r="D1534" t="str">
        <f ca="1">VLOOKUP(qry_ProdData2_PDI_Cash_Exception_Application[[#This Row],[TYPE]],#REF!,2,FALSE)</f>
        <v>type13</v>
      </c>
      <c r="E1534">
        <v>15229.86</v>
      </c>
      <c r="F1534" t="s">
        <v>48</v>
      </c>
      <c r="G1534" s="1">
        <f>qry_ProdData2_PDI_Cash_Exception_Application[[#This Row],[INSERT DATE]]+2</f>
        <v>45187.257071759261</v>
      </c>
      <c r="H1534" t="str">
        <f>VLOOKUP(qry_ProdData2_PDI_Cash_Exception_Application[[#This Row],[MARKET No]],'Site Allocation'!$B$2:$C$37,2,FALSE)</f>
        <v>Analyst1</v>
      </c>
      <c r="I1534" s="4">
        <f t="shared" ca="1" si="23"/>
        <v>45203</v>
      </c>
      <c r="J1534" s="42">
        <f ca="1">TODAY()-qry_ProdData2_PDI_Cash_Exception_Application[[#This Row],[INSERT DATE]]</f>
        <v>17.742928240739275</v>
      </c>
      <c r="K15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34">
        <f ca="1">qry_ProdData2_PDI_Cash_Exception_Application[[#This Row],[TODAY]]-qry_ProdData2_PDI_Cash_Exception_Application[[#This Row],[CHANGED ON]]</f>
        <v>15.742928240739275</v>
      </c>
      <c r="M1534">
        <f ca="1">qry_ProdData2_PDI_Cash_Exception_Application[[#This Row],[TODAY]]-qry_ProdData2_PDI_Cash_Exception_Application[[#This Row],[CHANGED ON]]</f>
        <v>15.742928240739275</v>
      </c>
      <c r="N1534">
        <f ca="1">qry_ProdData2_PDI_Cash_Exception_Application[[#This Row],[TODAY]]-qry_ProdData2_PDI_Cash_Exception_Application[[#This Row],[CHANGED ON]]</f>
        <v>15.742928240739275</v>
      </c>
    </row>
    <row r="1535" spans="1:14" x14ac:dyDescent="0.35">
      <c r="A1535">
        <v>1006</v>
      </c>
      <c r="B1535" t="s">
        <v>60</v>
      </c>
      <c r="C1535" s="1">
        <v>45179.257071759261</v>
      </c>
      <c r="D1535" t="str">
        <f ca="1">VLOOKUP(qry_ProdData2_PDI_Cash_Exception_Application[[#This Row],[TYPE]],#REF!,2,FALSE)</f>
        <v>type40</v>
      </c>
      <c r="E1535">
        <v>3</v>
      </c>
      <c r="F1535" t="s">
        <v>49</v>
      </c>
      <c r="G1535" s="1">
        <f>qry_ProdData2_PDI_Cash_Exception_Application[[#This Row],[INSERT DATE]]+7</f>
        <v>45186.257071759261</v>
      </c>
      <c r="H1535" t="str">
        <f>VLOOKUP(qry_ProdData2_PDI_Cash_Exception_Application[[#This Row],[MARKET No]],'Site Allocation'!$B$2:$C$37,2,FALSE)</f>
        <v>Analyst2</v>
      </c>
      <c r="I1535" s="4">
        <f t="shared" ca="1" si="23"/>
        <v>45203</v>
      </c>
      <c r="J1535" s="42">
        <f ca="1">TODAY()-qry_ProdData2_PDI_Cash_Exception_Application[[#This Row],[INSERT DATE]]</f>
        <v>23.742928240739275</v>
      </c>
      <c r="K15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35">
        <f ca="1">qry_ProdData2_PDI_Cash_Exception_Application[[#This Row],[TODAY]]-qry_ProdData2_PDI_Cash_Exception_Application[[#This Row],[CHANGED ON]]</f>
        <v>16.742928240739275</v>
      </c>
      <c r="M1535">
        <f ca="1">qry_ProdData2_PDI_Cash_Exception_Application[[#This Row],[TODAY]]-qry_ProdData2_PDI_Cash_Exception_Application[[#This Row],[CHANGED ON]]</f>
        <v>16.742928240739275</v>
      </c>
      <c r="N1535">
        <f ca="1">qry_ProdData2_PDI_Cash_Exception_Application[[#This Row],[TODAY]]-qry_ProdData2_PDI_Cash_Exception_Application[[#This Row],[CHANGED ON]]</f>
        <v>16.742928240739275</v>
      </c>
    </row>
    <row r="1536" spans="1:14" x14ac:dyDescent="0.35">
      <c r="A1536">
        <v>1012</v>
      </c>
      <c r="B1536" t="s">
        <v>66</v>
      </c>
      <c r="C1536" s="1">
        <v>45189.257071759261</v>
      </c>
      <c r="D1536" t="str">
        <f ca="1">VLOOKUP(qry_ProdData2_PDI_Cash_Exception_Application[[#This Row],[TYPE]],#REF!,2,FALSE)</f>
        <v>type40</v>
      </c>
      <c r="E1536">
        <v>-2258.73</v>
      </c>
      <c r="F1536" t="s">
        <v>52</v>
      </c>
      <c r="G1536" s="1">
        <f>qry_ProdData2_PDI_Cash_Exception_Application[[#This Row],[INSERT DATE]]+7</f>
        <v>45196.257071759261</v>
      </c>
      <c r="H1536" t="str">
        <f>VLOOKUP(qry_ProdData2_PDI_Cash_Exception_Application[[#This Row],[MARKET No]],'Site Allocation'!$B$2:$C$37,2,FALSE)</f>
        <v>Analyst3</v>
      </c>
      <c r="I1536" s="4">
        <f t="shared" ca="1" si="23"/>
        <v>45203</v>
      </c>
      <c r="J1536" s="42">
        <f ca="1">TODAY()-qry_ProdData2_PDI_Cash_Exception_Application[[#This Row],[INSERT DATE]]</f>
        <v>13.742928240739275</v>
      </c>
      <c r="K15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36">
        <f ca="1">qry_ProdData2_PDI_Cash_Exception_Application[[#This Row],[TODAY]]-qry_ProdData2_PDI_Cash_Exception_Application[[#This Row],[CHANGED ON]]</f>
        <v>6.7429282407392748</v>
      </c>
      <c r="M1536">
        <f ca="1">qry_ProdData2_PDI_Cash_Exception_Application[[#This Row],[TODAY]]-qry_ProdData2_PDI_Cash_Exception_Application[[#This Row],[CHANGED ON]]</f>
        <v>6.7429282407392748</v>
      </c>
      <c r="N1536">
        <f ca="1">qry_ProdData2_PDI_Cash_Exception_Application[[#This Row],[TODAY]]-qry_ProdData2_PDI_Cash_Exception_Application[[#This Row],[CHANGED ON]]</f>
        <v>6.7429282407392748</v>
      </c>
    </row>
    <row r="1537" spans="1:14" x14ac:dyDescent="0.35">
      <c r="A1537">
        <v>1030</v>
      </c>
      <c r="B1537" t="s">
        <v>84</v>
      </c>
      <c r="C1537" s="1">
        <v>45189.257071759261</v>
      </c>
      <c r="D1537" t="str">
        <f ca="1">VLOOKUP(qry_ProdData2_PDI_Cash_Exception_Application[[#This Row],[TYPE]],#REF!,2,FALSE)</f>
        <v>type40</v>
      </c>
      <c r="E1537">
        <v>34.74</v>
      </c>
      <c r="F1537" t="s">
        <v>52</v>
      </c>
      <c r="G1537" s="1">
        <f>qry_ProdData2_PDI_Cash_Exception_Application[[#This Row],[INSERT DATE]]+7</f>
        <v>45196.257071759261</v>
      </c>
      <c r="H1537" t="str">
        <f>VLOOKUP(qry_ProdData2_PDI_Cash_Exception_Application[[#This Row],[MARKET No]],'Site Allocation'!$B$2:$C$37,2,FALSE)</f>
        <v>Analyst6</v>
      </c>
      <c r="I1537" s="4">
        <f t="shared" ca="1" si="23"/>
        <v>45203</v>
      </c>
      <c r="J1537" s="42">
        <f ca="1">TODAY()-qry_ProdData2_PDI_Cash_Exception_Application[[#This Row],[INSERT DATE]]</f>
        <v>13.742928240739275</v>
      </c>
      <c r="K15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37">
        <f ca="1">qry_ProdData2_PDI_Cash_Exception_Application[[#This Row],[TODAY]]-qry_ProdData2_PDI_Cash_Exception_Application[[#This Row],[CHANGED ON]]</f>
        <v>6.7429282407392748</v>
      </c>
      <c r="M1537">
        <f ca="1">qry_ProdData2_PDI_Cash_Exception_Application[[#This Row],[TODAY]]-qry_ProdData2_PDI_Cash_Exception_Application[[#This Row],[CHANGED ON]]</f>
        <v>6.7429282407392748</v>
      </c>
      <c r="N1537">
        <f ca="1">qry_ProdData2_PDI_Cash_Exception_Application[[#This Row],[TODAY]]-qry_ProdData2_PDI_Cash_Exception_Application[[#This Row],[CHANGED ON]]</f>
        <v>6.7429282407392748</v>
      </c>
    </row>
    <row r="1538" spans="1:14" x14ac:dyDescent="0.35">
      <c r="A1538">
        <v>1015</v>
      </c>
      <c r="B1538" t="s">
        <v>69</v>
      </c>
      <c r="C1538" s="1">
        <v>45190.257071759261</v>
      </c>
      <c r="D1538" t="str">
        <f ca="1">VLOOKUP(qry_ProdData2_PDI_Cash_Exception_Application[[#This Row],[TYPE]],#REF!,2,FALSE)</f>
        <v>type42</v>
      </c>
      <c r="E1538">
        <v>195</v>
      </c>
      <c r="F1538" t="s">
        <v>50</v>
      </c>
      <c r="G1538" s="1">
        <f>qry_ProdData2_PDI_Cash_Exception_Application[[#This Row],[INSERT DATE]]+7</f>
        <v>45197.257071759261</v>
      </c>
      <c r="H1538" t="str">
        <f>VLOOKUP(qry_ProdData2_PDI_Cash_Exception_Application[[#This Row],[MARKET No]],'Site Allocation'!$B$2:$C$37,2,FALSE)</f>
        <v>Analyst3</v>
      </c>
      <c r="I1538" s="4">
        <f t="shared" ref="I1538:I1601" ca="1" si="24">TODAY()</f>
        <v>45203</v>
      </c>
      <c r="J1538" s="42">
        <f ca="1">TODAY()-qry_ProdData2_PDI_Cash_Exception_Application[[#This Row],[INSERT DATE]]</f>
        <v>12.742928240739275</v>
      </c>
      <c r="K15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38">
        <f ca="1">qry_ProdData2_PDI_Cash_Exception_Application[[#This Row],[TODAY]]-qry_ProdData2_PDI_Cash_Exception_Application[[#This Row],[CHANGED ON]]</f>
        <v>5.7429282407392748</v>
      </c>
      <c r="M1538">
        <f ca="1">qry_ProdData2_PDI_Cash_Exception_Application[[#This Row],[TODAY]]-qry_ProdData2_PDI_Cash_Exception_Application[[#This Row],[CHANGED ON]]</f>
        <v>5.7429282407392748</v>
      </c>
      <c r="N1538">
        <f ca="1">qry_ProdData2_PDI_Cash_Exception_Application[[#This Row],[TODAY]]-qry_ProdData2_PDI_Cash_Exception_Application[[#This Row],[CHANGED ON]]</f>
        <v>5.7429282407392748</v>
      </c>
    </row>
    <row r="1539" spans="1:14" x14ac:dyDescent="0.35">
      <c r="A1539">
        <v>1005</v>
      </c>
      <c r="B1539" t="s">
        <v>59</v>
      </c>
      <c r="C1539" s="1">
        <v>45182.257071759261</v>
      </c>
      <c r="D1539" t="str">
        <f ca="1">VLOOKUP(qry_ProdData2_PDI_Cash_Exception_Application[[#This Row],[TYPE]],#REF!,2,FALSE)</f>
        <v>type40</v>
      </c>
      <c r="E1539">
        <v>7798.85</v>
      </c>
      <c r="F1539" t="s">
        <v>47</v>
      </c>
      <c r="G1539" s="1">
        <f>qry_ProdData2_PDI_Cash_Exception_Application[[#This Row],[INSERT DATE]]+2</f>
        <v>45184.257071759261</v>
      </c>
      <c r="H1539" t="str">
        <f>VLOOKUP(qry_ProdData2_PDI_Cash_Exception_Application[[#This Row],[MARKET No]],'Site Allocation'!$B$2:$C$37,2,FALSE)</f>
        <v>Analyst1</v>
      </c>
      <c r="I1539" s="4">
        <f t="shared" ca="1" si="24"/>
        <v>45203</v>
      </c>
      <c r="J1539" s="42">
        <f ca="1">TODAY()-qry_ProdData2_PDI_Cash_Exception_Application[[#This Row],[INSERT DATE]]</f>
        <v>20.742928240739275</v>
      </c>
      <c r="K15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39">
        <f ca="1">qry_ProdData2_PDI_Cash_Exception_Application[[#This Row],[TODAY]]-qry_ProdData2_PDI_Cash_Exception_Application[[#This Row],[CHANGED ON]]</f>
        <v>18.742928240739275</v>
      </c>
      <c r="M1539">
        <f ca="1">qry_ProdData2_PDI_Cash_Exception_Application[[#This Row],[TODAY]]-qry_ProdData2_PDI_Cash_Exception_Application[[#This Row],[CHANGED ON]]</f>
        <v>18.742928240739275</v>
      </c>
      <c r="N1539">
        <f ca="1">qry_ProdData2_PDI_Cash_Exception_Application[[#This Row],[TODAY]]-qry_ProdData2_PDI_Cash_Exception_Application[[#This Row],[CHANGED ON]]</f>
        <v>18.742928240739275</v>
      </c>
    </row>
    <row r="1540" spans="1:14" x14ac:dyDescent="0.35">
      <c r="A1540">
        <v>1015</v>
      </c>
      <c r="B1540" t="s">
        <v>69</v>
      </c>
      <c r="C1540" s="1">
        <v>45183.257071759261</v>
      </c>
      <c r="D1540" t="str">
        <f ca="1">VLOOKUP(qry_ProdData2_PDI_Cash_Exception_Application[[#This Row],[TYPE]],#REF!,2,FALSE)</f>
        <v>type40</v>
      </c>
      <c r="E1540">
        <v>-19967.53</v>
      </c>
      <c r="F1540" t="s">
        <v>49</v>
      </c>
      <c r="G1540" s="1">
        <f>qry_ProdData2_PDI_Cash_Exception_Application[[#This Row],[INSERT DATE]]+7</f>
        <v>45190.257071759261</v>
      </c>
      <c r="H1540" t="str">
        <f>VLOOKUP(qry_ProdData2_PDI_Cash_Exception_Application[[#This Row],[MARKET No]],'Site Allocation'!$B$2:$C$37,2,FALSE)</f>
        <v>Analyst3</v>
      </c>
      <c r="I1540" s="4">
        <f t="shared" ca="1" si="24"/>
        <v>45203</v>
      </c>
      <c r="J1540" s="42">
        <f ca="1">TODAY()-qry_ProdData2_PDI_Cash_Exception_Application[[#This Row],[INSERT DATE]]</f>
        <v>19.742928240739275</v>
      </c>
      <c r="K15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40">
        <f ca="1">qry_ProdData2_PDI_Cash_Exception_Application[[#This Row],[TODAY]]-qry_ProdData2_PDI_Cash_Exception_Application[[#This Row],[CHANGED ON]]</f>
        <v>12.742928240739275</v>
      </c>
      <c r="M1540">
        <f ca="1">qry_ProdData2_PDI_Cash_Exception_Application[[#This Row],[TODAY]]-qry_ProdData2_PDI_Cash_Exception_Application[[#This Row],[CHANGED ON]]</f>
        <v>12.742928240739275</v>
      </c>
      <c r="N1540">
        <f ca="1">qry_ProdData2_PDI_Cash_Exception_Application[[#This Row],[TODAY]]-qry_ProdData2_PDI_Cash_Exception_Application[[#This Row],[CHANGED ON]]</f>
        <v>12.742928240739275</v>
      </c>
    </row>
    <row r="1541" spans="1:14" x14ac:dyDescent="0.35">
      <c r="A1541">
        <v>1006</v>
      </c>
      <c r="B1541" t="s">
        <v>60</v>
      </c>
      <c r="C1541" s="1">
        <v>45184.257071759261</v>
      </c>
      <c r="D1541" t="str">
        <f ca="1">VLOOKUP(qry_ProdData2_PDI_Cash_Exception_Application[[#This Row],[TYPE]],#REF!,2,FALSE)</f>
        <v>type13</v>
      </c>
      <c r="E1541">
        <v>18938.75</v>
      </c>
      <c r="F1541" t="s">
        <v>47</v>
      </c>
      <c r="G1541" s="1">
        <f>qry_ProdData2_PDI_Cash_Exception_Application[[#This Row],[INSERT DATE]]+2</f>
        <v>45186.257071759261</v>
      </c>
      <c r="H1541" t="str">
        <f>VLOOKUP(qry_ProdData2_PDI_Cash_Exception_Application[[#This Row],[MARKET No]],'Site Allocation'!$B$2:$C$37,2,FALSE)</f>
        <v>Analyst2</v>
      </c>
      <c r="I1541" s="4">
        <f t="shared" ca="1" si="24"/>
        <v>45203</v>
      </c>
      <c r="J1541" s="42">
        <f ca="1">TODAY()-qry_ProdData2_PDI_Cash_Exception_Application[[#This Row],[INSERT DATE]]</f>
        <v>18.742928240739275</v>
      </c>
      <c r="K15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41">
        <f ca="1">qry_ProdData2_PDI_Cash_Exception_Application[[#This Row],[TODAY]]-qry_ProdData2_PDI_Cash_Exception_Application[[#This Row],[CHANGED ON]]</f>
        <v>16.742928240739275</v>
      </c>
      <c r="M1541">
        <f ca="1">qry_ProdData2_PDI_Cash_Exception_Application[[#This Row],[TODAY]]-qry_ProdData2_PDI_Cash_Exception_Application[[#This Row],[CHANGED ON]]</f>
        <v>16.742928240739275</v>
      </c>
      <c r="N1541">
        <f ca="1">qry_ProdData2_PDI_Cash_Exception_Application[[#This Row],[TODAY]]-qry_ProdData2_PDI_Cash_Exception_Application[[#This Row],[CHANGED ON]]</f>
        <v>16.742928240739275</v>
      </c>
    </row>
    <row r="1542" spans="1:14" x14ac:dyDescent="0.35">
      <c r="A1542">
        <v>1032</v>
      </c>
      <c r="B1542" t="s">
        <v>86</v>
      </c>
      <c r="C1542" s="1">
        <v>45186.257071759261</v>
      </c>
      <c r="D1542" t="str">
        <f ca="1">VLOOKUP(qry_ProdData2_PDI_Cash_Exception_Application[[#This Row],[TYPE]],#REF!,2,FALSE)</f>
        <v>type7</v>
      </c>
      <c r="E1542">
        <v>1252.6500000000001</v>
      </c>
      <c r="F1542" t="s">
        <v>51</v>
      </c>
      <c r="G1542" s="1">
        <f>qry_ProdData2_PDI_Cash_Exception_Application[[#This Row],[INSERT DATE]]+5</f>
        <v>45191.257071759261</v>
      </c>
      <c r="H1542" t="str">
        <f>VLOOKUP(qry_ProdData2_PDI_Cash_Exception_Application[[#This Row],[MARKET No]],'Site Allocation'!$B$2:$C$37,2,FALSE)</f>
        <v>Analyst6</v>
      </c>
      <c r="I1542" s="4">
        <f t="shared" ca="1" si="24"/>
        <v>45203</v>
      </c>
      <c r="J1542" s="42">
        <f ca="1">TODAY()-qry_ProdData2_PDI_Cash_Exception_Application[[#This Row],[INSERT DATE]]</f>
        <v>16.742928240739275</v>
      </c>
      <c r="K15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42">
        <f ca="1">qry_ProdData2_PDI_Cash_Exception_Application[[#This Row],[TODAY]]-qry_ProdData2_PDI_Cash_Exception_Application[[#This Row],[CHANGED ON]]</f>
        <v>11.742928240739275</v>
      </c>
      <c r="M1542">
        <f ca="1">qry_ProdData2_PDI_Cash_Exception_Application[[#This Row],[TODAY]]-qry_ProdData2_PDI_Cash_Exception_Application[[#This Row],[CHANGED ON]]</f>
        <v>11.742928240739275</v>
      </c>
      <c r="N1542">
        <f ca="1">qry_ProdData2_PDI_Cash_Exception_Application[[#This Row],[TODAY]]-qry_ProdData2_PDI_Cash_Exception_Application[[#This Row],[CHANGED ON]]</f>
        <v>11.742928240739275</v>
      </c>
    </row>
    <row r="1543" spans="1:14" x14ac:dyDescent="0.35">
      <c r="A1543">
        <v>1025</v>
      </c>
      <c r="B1543" t="s">
        <v>79</v>
      </c>
      <c r="C1543" s="1">
        <v>45194.257071759261</v>
      </c>
      <c r="D1543" t="str">
        <f ca="1">VLOOKUP(qry_ProdData2_PDI_Cash_Exception_Application[[#This Row],[TYPE]],#REF!,2,FALSE)</f>
        <v>type40</v>
      </c>
      <c r="E1543">
        <v>31.62</v>
      </c>
      <c r="F1543" t="s">
        <v>52</v>
      </c>
      <c r="G1543" s="1">
        <f>qry_ProdData2_PDI_Cash_Exception_Application[[#This Row],[INSERT DATE]]+7</f>
        <v>45201.257071759261</v>
      </c>
      <c r="H1543" t="str">
        <f>VLOOKUP(qry_ProdData2_PDI_Cash_Exception_Application[[#This Row],[MARKET No]],'Site Allocation'!$B$2:$C$37,2,FALSE)</f>
        <v>Analyst5</v>
      </c>
      <c r="I1543" s="4">
        <f t="shared" ca="1" si="24"/>
        <v>45203</v>
      </c>
      <c r="J1543" s="42">
        <f ca="1">TODAY()-qry_ProdData2_PDI_Cash_Exception_Application[[#This Row],[INSERT DATE]]</f>
        <v>8.7429282407392748</v>
      </c>
      <c r="K15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543">
        <f ca="1">qry_ProdData2_PDI_Cash_Exception_Application[[#This Row],[TODAY]]-qry_ProdData2_PDI_Cash_Exception_Application[[#This Row],[CHANGED ON]]</f>
        <v>1.7429282407392748</v>
      </c>
      <c r="M1543">
        <f ca="1">qry_ProdData2_PDI_Cash_Exception_Application[[#This Row],[TODAY]]-qry_ProdData2_PDI_Cash_Exception_Application[[#This Row],[CHANGED ON]]</f>
        <v>1.7429282407392748</v>
      </c>
      <c r="N1543">
        <f ca="1">qry_ProdData2_PDI_Cash_Exception_Application[[#This Row],[TODAY]]-qry_ProdData2_PDI_Cash_Exception_Application[[#This Row],[CHANGED ON]]</f>
        <v>1.7429282407392748</v>
      </c>
    </row>
    <row r="1544" spans="1:14" x14ac:dyDescent="0.35">
      <c r="A1544">
        <v>1001</v>
      </c>
      <c r="B1544" t="s">
        <v>55</v>
      </c>
      <c r="C1544" s="1">
        <v>45187.257071759261</v>
      </c>
      <c r="D1544" t="str">
        <f ca="1">VLOOKUP(qry_ProdData2_PDI_Cash_Exception_Application[[#This Row],[TYPE]],#REF!,2,FALSE)</f>
        <v>type40</v>
      </c>
      <c r="E1544">
        <v>1712.24</v>
      </c>
      <c r="F1544" t="s">
        <v>49</v>
      </c>
      <c r="G1544" s="1">
        <f>qry_ProdData2_PDI_Cash_Exception_Application[[#This Row],[INSERT DATE]]+7</f>
        <v>45194.257071759261</v>
      </c>
      <c r="H1544" t="str">
        <f>VLOOKUP(qry_ProdData2_PDI_Cash_Exception_Application[[#This Row],[MARKET No]],'Site Allocation'!$B$2:$C$37,2,FALSE)</f>
        <v>Analyst1</v>
      </c>
      <c r="I1544" s="4">
        <f t="shared" ca="1" si="24"/>
        <v>45203</v>
      </c>
      <c r="J1544" s="42">
        <f ca="1">TODAY()-qry_ProdData2_PDI_Cash_Exception_Application[[#This Row],[INSERT DATE]]</f>
        <v>15.742928240739275</v>
      </c>
      <c r="K15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44">
        <f ca="1">qry_ProdData2_PDI_Cash_Exception_Application[[#This Row],[TODAY]]-qry_ProdData2_PDI_Cash_Exception_Application[[#This Row],[CHANGED ON]]</f>
        <v>8.7429282407392748</v>
      </c>
      <c r="M1544">
        <f ca="1">qry_ProdData2_PDI_Cash_Exception_Application[[#This Row],[TODAY]]-qry_ProdData2_PDI_Cash_Exception_Application[[#This Row],[CHANGED ON]]</f>
        <v>8.7429282407392748</v>
      </c>
      <c r="N1544">
        <f ca="1">qry_ProdData2_PDI_Cash_Exception_Application[[#This Row],[TODAY]]-qry_ProdData2_PDI_Cash_Exception_Application[[#This Row],[CHANGED ON]]</f>
        <v>8.7429282407392748</v>
      </c>
    </row>
    <row r="1545" spans="1:14" x14ac:dyDescent="0.35">
      <c r="A1545">
        <v>1030</v>
      </c>
      <c r="B1545" t="s">
        <v>84</v>
      </c>
      <c r="C1545" s="1">
        <v>45196.257071759261</v>
      </c>
      <c r="D1545" t="str">
        <f ca="1">VLOOKUP(qry_ProdData2_PDI_Cash_Exception_Application[[#This Row],[TYPE]],#REF!,2,FALSE)</f>
        <v>type40</v>
      </c>
      <c r="E1545">
        <v>-732.73</v>
      </c>
      <c r="F1545" t="s">
        <v>52</v>
      </c>
      <c r="G1545" s="1">
        <f>qry_ProdData2_PDI_Cash_Exception_Application[[#This Row],[INSERT DATE]]+7</f>
        <v>45203.257071759261</v>
      </c>
      <c r="H1545" t="str">
        <f>VLOOKUP(qry_ProdData2_PDI_Cash_Exception_Application[[#This Row],[MARKET No]],'Site Allocation'!$B$2:$C$37,2,FALSE)</f>
        <v>Analyst6</v>
      </c>
      <c r="I1545" s="4">
        <f t="shared" ca="1" si="24"/>
        <v>45203</v>
      </c>
      <c r="J1545" s="42">
        <f ca="1">TODAY()-qry_ProdData2_PDI_Cash_Exception_Application[[#This Row],[INSERT DATE]]</f>
        <v>6.7429282407392748</v>
      </c>
      <c r="K15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545">
        <f ca="1">qry_ProdData2_PDI_Cash_Exception_Application[[#This Row],[TODAY]]-qry_ProdData2_PDI_Cash_Exception_Application[[#This Row],[CHANGED ON]]</f>
        <v>-0.25707175926072523</v>
      </c>
      <c r="M1545">
        <f ca="1">qry_ProdData2_PDI_Cash_Exception_Application[[#This Row],[TODAY]]-qry_ProdData2_PDI_Cash_Exception_Application[[#This Row],[CHANGED ON]]</f>
        <v>-0.25707175926072523</v>
      </c>
      <c r="N1545">
        <f ca="1">qry_ProdData2_PDI_Cash_Exception_Application[[#This Row],[TODAY]]-qry_ProdData2_PDI_Cash_Exception_Application[[#This Row],[CHANGED ON]]</f>
        <v>-0.25707175926072523</v>
      </c>
    </row>
    <row r="1546" spans="1:14" x14ac:dyDescent="0.35">
      <c r="A1546">
        <v>1019</v>
      </c>
      <c r="B1546" t="s">
        <v>73</v>
      </c>
      <c r="C1546" s="1">
        <v>45197.257071759261</v>
      </c>
      <c r="D1546" t="str">
        <f ca="1">VLOOKUP(qry_ProdData2_PDI_Cash_Exception_Application[[#This Row],[TYPE]],#REF!,2,FALSE)</f>
        <v>type40</v>
      </c>
      <c r="E1546">
        <v>45</v>
      </c>
      <c r="F1546" t="s">
        <v>52</v>
      </c>
      <c r="G1546" s="1">
        <f>qry_ProdData2_PDI_Cash_Exception_Application[[#This Row],[INSERT DATE]]+7</f>
        <v>45204.257071759261</v>
      </c>
      <c r="H1546" t="str">
        <f>VLOOKUP(qry_ProdData2_PDI_Cash_Exception_Application[[#This Row],[MARKET No]],'Site Allocation'!$B$2:$C$37,2,FALSE)</f>
        <v>Analyst4</v>
      </c>
      <c r="I1546" s="4">
        <f t="shared" ca="1" si="24"/>
        <v>45203</v>
      </c>
      <c r="J1546" s="42">
        <f ca="1">TODAY()-qry_ProdData2_PDI_Cash_Exception_Application[[#This Row],[INSERT DATE]]</f>
        <v>5.7429282407392748</v>
      </c>
      <c r="K15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546">
        <f ca="1">qry_ProdData2_PDI_Cash_Exception_Application[[#This Row],[TODAY]]-qry_ProdData2_PDI_Cash_Exception_Application[[#This Row],[CHANGED ON]]</f>
        <v>-1.2570717592607252</v>
      </c>
      <c r="M1546">
        <f ca="1">qry_ProdData2_PDI_Cash_Exception_Application[[#This Row],[TODAY]]-qry_ProdData2_PDI_Cash_Exception_Application[[#This Row],[CHANGED ON]]</f>
        <v>-1.2570717592607252</v>
      </c>
      <c r="N1546">
        <f ca="1">qry_ProdData2_PDI_Cash_Exception_Application[[#This Row],[TODAY]]-qry_ProdData2_PDI_Cash_Exception_Application[[#This Row],[CHANGED ON]]</f>
        <v>-1.2570717592607252</v>
      </c>
    </row>
    <row r="1547" spans="1:14" x14ac:dyDescent="0.35">
      <c r="A1547">
        <v>1004</v>
      </c>
      <c r="B1547" t="s">
        <v>58</v>
      </c>
      <c r="C1547" s="1">
        <v>45187.257071759261</v>
      </c>
      <c r="D1547" t="str">
        <f ca="1">VLOOKUP(qry_ProdData2_PDI_Cash_Exception_Application[[#This Row],[TYPE]],#REF!,2,FALSE)</f>
        <v>type8</v>
      </c>
      <c r="E1547">
        <v>80</v>
      </c>
      <c r="F1547" t="s">
        <v>49</v>
      </c>
      <c r="G1547" s="1">
        <f>qry_ProdData2_PDI_Cash_Exception_Application[[#This Row],[INSERT DATE]]+1</f>
        <v>45188.257071759261</v>
      </c>
      <c r="H1547" t="str">
        <f>VLOOKUP(qry_ProdData2_PDI_Cash_Exception_Application[[#This Row],[MARKET No]],'Site Allocation'!$B$2:$C$37,2,FALSE)</f>
        <v>Analyst1</v>
      </c>
      <c r="I1547" s="4">
        <f t="shared" ca="1" si="24"/>
        <v>45203</v>
      </c>
      <c r="J1547" s="42">
        <f ca="1">TODAY()-qry_ProdData2_PDI_Cash_Exception_Application[[#This Row],[INSERT DATE]]</f>
        <v>15.742928240739275</v>
      </c>
      <c r="K15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47">
        <f ca="1">qry_ProdData2_PDI_Cash_Exception_Application[[#This Row],[TODAY]]-qry_ProdData2_PDI_Cash_Exception_Application[[#This Row],[CHANGED ON]]</f>
        <v>14.742928240739275</v>
      </c>
      <c r="M1547">
        <f ca="1">qry_ProdData2_PDI_Cash_Exception_Application[[#This Row],[TODAY]]-qry_ProdData2_PDI_Cash_Exception_Application[[#This Row],[CHANGED ON]]</f>
        <v>14.742928240739275</v>
      </c>
      <c r="N1547">
        <f ca="1">qry_ProdData2_PDI_Cash_Exception_Application[[#This Row],[TODAY]]-qry_ProdData2_PDI_Cash_Exception_Application[[#This Row],[CHANGED ON]]</f>
        <v>14.742928240739275</v>
      </c>
    </row>
    <row r="1548" spans="1:14" x14ac:dyDescent="0.35">
      <c r="A1548">
        <v>1001</v>
      </c>
      <c r="B1548" t="s">
        <v>55</v>
      </c>
      <c r="C1548" s="1">
        <v>45188.257071759261</v>
      </c>
      <c r="D1548" t="str">
        <f ca="1">VLOOKUP(qry_ProdData2_PDI_Cash_Exception_Application[[#This Row],[TYPE]],#REF!,2,FALSE)</f>
        <v>type40</v>
      </c>
      <c r="E1548">
        <v>-1267.5</v>
      </c>
      <c r="F1548" t="s">
        <v>49</v>
      </c>
      <c r="G1548" s="1">
        <f>qry_ProdData2_PDI_Cash_Exception_Application[[#This Row],[INSERT DATE]]+1</f>
        <v>45189.257071759261</v>
      </c>
      <c r="H1548" t="str">
        <f>VLOOKUP(qry_ProdData2_PDI_Cash_Exception_Application[[#This Row],[MARKET No]],'Site Allocation'!$B$2:$C$37,2,FALSE)</f>
        <v>Analyst1</v>
      </c>
      <c r="I1548" s="4">
        <f t="shared" ca="1" si="24"/>
        <v>45203</v>
      </c>
      <c r="J1548" s="42">
        <f ca="1">TODAY()-qry_ProdData2_PDI_Cash_Exception_Application[[#This Row],[INSERT DATE]]</f>
        <v>14.742928240739275</v>
      </c>
      <c r="K15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48">
        <f ca="1">qry_ProdData2_PDI_Cash_Exception_Application[[#This Row],[TODAY]]-qry_ProdData2_PDI_Cash_Exception_Application[[#This Row],[CHANGED ON]]</f>
        <v>13.742928240739275</v>
      </c>
      <c r="M1548">
        <f ca="1">qry_ProdData2_PDI_Cash_Exception_Application[[#This Row],[TODAY]]-qry_ProdData2_PDI_Cash_Exception_Application[[#This Row],[CHANGED ON]]</f>
        <v>13.742928240739275</v>
      </c>
      <c r="N1548">
        <f ca="1">qry_ProdData2_PDI_Cash_Exception_Application[[#This Row],[TODAY]]-qry_ProdData2_PDI_Cash_Exception_Application[[#This Row],[CHANGED ON]]</f>
        <v>13.742928240739275</v>
      </c>
    </row>
    <row r="1549" spans="1:14" x14ac:dyDescent="0.35">
      <c r="A1549">
        <v>1035</v>
      </c>
      <c r="B1549" t="s">
        <v>89</v>
      </c>
      <c r="C1549" s="1">
        <v>45187.257071759261</v>
      </c>
      <c r="D1549" t="str">
        <f ca="1">VLOOKUP(qry_ProdData2_PDI_Cash_Exception_Application[[#This Row],[TYPE]],#REF!,2,FALSE)</f>
        <v>type40</v>
      </c>
      <c r="E1549">
        <v>1289.4000000000001</v>
      </c>
      <c r="F1549" t="s">
        <v>47</v>
      </c>
      <c r="G1549" s="1">
        <f>qry_ProdData2_PDI_Cash_Exception_Application[[#This Row],[INSERT DATE]]+1</f>
        <v>45188.257071759261</v>
      </c>
      <c r="H1549" t="str">
        <f>VLOOKUP(qry_ProdData2_PDI_Cash_Exception_Application[[#This Row],[MARKET No]],'Site Allocation'!$B$2:$C$37,2,FALSE)</f>
        <v>Analyst6</v>
      </c>
      <c r="I1549" s="4">
        <f t="shared" ca="1" si="24"/>
        <v>45203</v>
      </c>
      <c r="J1549" s="42">
        <f ca="1">TODAY()-qry_ProdData2_PDI_Cash_Exception_Application[[#This Row],[INSERT DATE]]</f>
        <v>15.742928240739275</v>
      </c>
      <c r="K15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49">
        <f ca="1">qry_ProdData2_PDI_Cash_Exception_Application[[#This Row],[TODAY]]-qry_ProdData2_PDI_Cash_Exception_Application[[#This Row],[CHANGED ON]]</f>
        <v>14.742928240739275</v>
      </c>
      <c r="M1549">
        <f ca="1">qry_ProdData2_PDI_Cash_Exception_Application[[#This Row],[TODAY]]-qry_ProdData2_PDI_Cash_Exception_Application[[#This Row],[CHANGED ON]]</f>
        <v>14.742928240739275</v>
      </c>
      <c r="N1549">
        <f ca="1">qry_ProdData2_PDI_Cash_Exception_Application[[#This Row],[TODAY]]-qry_ProdData2_PDI_Cash_Exception_Application[[#This Row],[CHANGED ON]]</f>
        <v>14.742928240739275</v>
      </c>
    </row>
    <row r="1550" spans="1:14" x14ac:dyDescent="0.35">
      <c r="A1550">
        <v>1001</v>
      </c>
      <c r="B1550" t="s">
        <v>55</v>
      </c>
      <c r="C1550" s="1">
        <v>45189.257071759261</v>
      </c>
      <c r="D1550" t="str">
        <f ca="1">VLOOKUP(qry_ProdData2_PDI_Cash_Exception_Application[[#This Row],[TYPE]],#REF!,2,FALSE)</f>
        <v>type40</v>
      </c>
      <c r="E1550">
        <v>-359.2</v>
      </c>
      <c r="F1550" t="s">
        <v>49</v>
      </c>
      <c r="G1550" s="1">
        <f>qry_ProdData2_PDI_Cash_Exception_Application[[#This Row],[INSERT DATE]]+1</f>
        <v>45190.257071759261</v>
      </c>
      <c r="H1550" t="str">
        <f>VLOOKUP(qry_ProdData2_PDI_Cash_Exception_Application[[#This Row],[MARKET No]],'Site Allocation'!$B$2:$C$37,2,FALSE)</f>
        <v>Analyst1</v>
      </c>
      <c r="I1550" s="4">
        <f t="shared" ca="1" si="24"/>
        <v>45203</v>
      </c>
      <c r="J1550" s="42">
        <f ca="1">TODAY()-qry_ProdData2_PDI_Cash_Exception_Application[[#This Row],[INSERT DATE]]</f>
        <v>13.742928240739275</v>
      </c>
      <c r="K15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50">
        <f ca="1">qry_ProdData2_PDI_Cash_Exception_Application[[#This Row],[TODAY]]-qry_ProdData2_PDI_Cash_Exception_Application[[#This Row],[CHANGED ON]]</f>
        <v>12.742928240739275</v>
      </c>
      <c r="M1550">
        <f ca="1">qry_ProdData2_PDI_Cash_Exception_Application[[#This Row],[TODAY]]-qry_ProdData2_PDI_Cash_Exception_Application[[#This Row],[CHANGED ON]]</f>
        <v>12.742928240739275</v>
      </c>
      <c r="N1550">
        <f ca="1">qry_ProdData2_PDI_Cash_Exception_Application[[#This Row],[TODAY]]-qry_ProdData2_PDI_Cash_Exception_Application[[#This Row],[CHANGED ON]]</f>
        <v>12.742928240739275</v>
      </c>
    </row>
    <row r="1551" spans="1:14" x14ac:dyDescent="0.35">
      <c r="A1551">
        <v>1000</v>
      </c>
      <c r="B1551" t="s">
        <v>54</v>
      </c>
      <c r="C1551" s="1">
        <v>45182.257071759261</v>
      </c>
      <c r="D1551" t="str">
        <f ca="1">VLOOKUP(qry_ProdData2_PDI_Cash_Exception_Application[[#This Row],[TYPE]],#REF!,2,FALSE)</f>
        <v>type40</v>
      </c>
      <c r="E1551">
        <v>154.41</v>
      </c>
      <c r="F1551" t="s">
        <v>50</v>
      </c>
      <c r="G1551" s="1">
        <f>qry_ProdData2_PDI_Cash_Exception_Application[[#This Row],[INSERT DATE]]+1</f>
        <v>45183.257071759261</v>
      </c>
      <c r="H1551" t="str">
        <f>VLOOKUP(qry_ProdData2_PDI_Cash_Exception_Application[[#This Row],[MARKET No]],'Site Allocation'!$B$2:$C$37,2,FALSE)</f>
        <v>Analyst1</v>
      </c>
      <c r="I1551" s="4">
        <f t="shared" ca="1" si="24"/>
        <v>45203</v>
      </c>
      <c r="J1551" s="42">
        <f ca="1">TODAY()-qry_ProdData2_PDI_Cash_Exception_Application[[#This Row],[INSERT DATE]]</f>
        <v>20.742928240739275</v>
      </c>
      <c r="K15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51">
        <f ca="1">qry_ProdData2_PDI_Cash_Exception_Application[[#This Row],[TODAY]]-qry_ProdData2_PDI_Cash_Exception_Application[[#This Row],[CHANGED ON]]</f>
        <v>19.742928240739275</v>
      </c>
      <c r="M1551">
        <f ca="1">qry_ProdData2_PDI_Cash_Exception_Application[[#This Row],[TODAY]]-qry_ProdData2_PDI_Cash_Exception_Application[[#This Row],[CHANGED ON]]</f>
        <v>19.742928240739275</v>
      </c>
      <c r="N1551">
        <f ca="1">qry_ProdData2_PDI_Cash_Exception_Application[[#This Row],[TODAY]]-qry_ProdData2_PDI_Cash_Exception_Application[[#This Row],[CHANGED ON]]</f>
        <v>19.742928240739275</v>
      </c>
    </row>
    <row r="1552" spans="1:14" x14ac:dyDescent="0.35">
      <c r="A1552">
        <v>1024</v>
      </c>
      <c r="B1552" t="s">
        <v>78</v>
      </c>
      <c r="C1552" s="1">
        <v>45189.257071759261</v>
      </c>
      <c r="D1552" t="str">
        <f ca="1">VLOOKUP(qry_ProdData2_PDI_Cash_Exception_Application[[#This Row],[TYPE]],#REF!,2,FALSE)</f>
        <v>type40</v>
      </c>
      <c r="E1552">
        <v>-393.14</v>
      </c>
      <c r="F1552" t="s">
        <v>51</v>
      </c>
      <c r="G1552" s="1">
        <f>qry_ProdData2_PDI_Cash_Exception_Application[[#This Row],[INSERT DATE]]+7</f>
        <v>45196.257071759261</v>
      </c>
      <c r="H1552" t="str">
        <f>VLOOKUP(qry_ProdData2_PDI_Cash_Exception_Application[[#This Row],[MARKET No]],'Site Allocation'!$B$2:$C$37,2,FALSE)</f>
        <v>Analyst5</v>
      </c>
      <c r="I1552" s="4">
        <f t="shared" ca="1" si="24"/>
        <v>45203</v>
      </c>
      <c r="J1552" s="42">
        <f ca="1">TODAY()-qry_ProdData2_PDI_Cash_Exception_Application[[#This Row],[INSERT DATE]]</f>
        <v>13.742928240739275</v>
      </c>
      <c r="K15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52">
        <f ca="1">qry_ProdData2_PDI_Cash_Exception_Application[[#This Row],[TODAY]]-qry_ProdData2_PDI_Cash_Exception_Application[[#This Row],[CHANGED ON]]</f>
        <v>6.7429282407392748</v>
      </c>
      <c r="M1552">
        <f ca="1">qry_ProdData2_PDI_Cash_Exception_Application[[#This Row],[TODAY]]-qry_ProdData2_PDI_Cash_Exception_Application[[#This Row],[CHANGED ON]]</f>
        <v>6.7429282407392748</v>
      </c>
      <c r="N1552">
        <f ca="1">qry_ProdData2_PDI_Cash_Exception_Application[[#This Row],[TODAY]]-qry_ProdData2_PDI_Cash_Exception_Application[[#This Row],[CHANGED ON]]</f>
        <v>6.7429282407392748</v>
      </c>
    </row>
    <row r="1553" spans="1:14" x14ac:dyDescent="0.35">
      <c r="A1553">
        <v>1015</v>
      </c>
      <c r="B1553" t="s">
        <v>69</v>
      </c>
      <c r="C1553" s="1">
        <v>45179.257071759261</v>
      </c>
      <c r="D1553" t="str">
        <f ca="1">VLOOKUP(qry_ProdData2_PDI_Cash_Exception_Application[[#This Row],[TYPE]],#REF!,2,FALSE)</f>
        <v>type38</v>
      </c>
      <c r="E1553">
        <v>150.16999999999999</v>
      </c>
      <c r="F1553" t="s">
        <v>51</v>
      </c>
      <c r="G1553" s="1">
        <f>qry_ProdData2_PDI_Cash_Exception_Application[[#This Row],[INSERT DATE]]+7</f>
        <v>45186.257071759261</v>
      </c>
      <c r="H1553" t="str">
        <f>VLOOKUP(qry_ProdData2_PDI_Cash_Exception_Application[[#This Row],[MARKET No]],'Site Allocation'!$B$2:$C$37,2,FALSE)</f>
        <v>Analyst3</v>
      </c>
      <c r="I1553" s="4">
        <f t="shared" ca="1" si="24"/>
        <v>45203</v>
      </c>
      <c r="J1553" s="42">
        <f ca="1">TODAY()-qry_ProdData2_PDI_Cash_Exception_Application[[#This Row],[INSERT DATE]]</f>
        <v>23.742928240739275</v>
      </c>
      <c r="K15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53">
        <f ca="1">qry_ProdData2_PDI_Cash_Exception_Application[[#This Row],[TODAY]]-qry_ProdData2_PDI_Cash_Exception_Application[[#This Row],[CHANGED ON]]</f>
        <v>16.742928240739275</v>
      </c>
      <c r="M1553">
        <f ca="1">qry_ProdData2_PDI_Cash_Exception_Application[[#This Row],[TODAY]]-qry_ProdData2_PDI_Cash_Exception_Application[[#This Row],[CHANGED ON]]</f>
        <v>16.742928240739275</v>
      </c>
      <c r="N1553">
        <f ca="1">qry_ProdData2_PDI_Cash_Exception_Application[[#This Row],[TODAY]]-qry_ProdData2_PDI_Cash_Exception_Application[[#This Row],[CHANGED ON]]</f>
        <v>16.742928240739275</v>
      </c>
    </row>
    <row r="1554" spans="1:14" x14ac:dyDescent="0.35">
      <c r="A1554">
        <v>1026</v>
      </c>
      <c r="B1554" t="s">
        <v>80</v>
      </c>
      <c r="C1554" s="1">
        <v>45182.257071759261</v>
      </c>
      <c r="D1554" t="str">
        <f ca="1">VLOOKUP(qry_ProdData2_PDI_Cash_Exception_Application[[#This Row],[TYPE]],#REF!,2,FALSE)</f>
        <v>type38</v>
      </c>
      <c r="E1554">
        <v>279.26</v>
      </c>
      <c r="F1554" t="s">
        <v>51</v>
      </c>
      <c r="G1554" s="1">
        <f>qry_ProdData2_PDI_Cash_Exception_Application[[#This Row],[INSERT DATE]]+7</f>
        <v>45189.257071759261</v>
      </c>
      <c r="H1554" t="str">
        <f>VLOOKUP(qry_ProdData2_PDI_Cash_Exception_Application[[#This Row],[MARKET No]],'Site Allocation'!$B$2:$C$37,2,FALSE)</f>
        <v>Analyst5</v>
      </c>
      <c r="I1554" s="4">
        <f t="shared" ca="1" si="24"/>
        <v>45203</v>
      </c>
      <c r="J1554" s="42">
        <f ca="1">TODAY()-qry_ProdData2_PDI_Cash_Exception_Application[[#This Row],[INSERT DATE]]</f>
        <v>20.742928240739275</v>
      </c>
      <c r="K15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54">
        <f ca="1">qry_ProdData2_PDI_Cash_Exception_Application[[#This Row],[TODAY]]-qry_ProdData2_PDI_Cash_Exception_Application[[#This Row],[CHANGED ON]]</f>
        <v>13.742928240739275</v>
      </c>
      <c r="M1554">
        <f ca="1">qry_ProdData2_PDI_Cash_Exception_Application[[#This Row],[TODAY]]-qry_ProdData2_PDI_Cash_Exception_Application[[#This Row],[CHANGED ON]]</f>
        <v>13.742928240739275</v>
      </c>
      <c r="N1554">
        <f ca="1">qry_ProdData2_PDI_Cash_Exception_Application[[#This Row],[TODAY]]-qry_ProdData2_PDI_Cash_Exception_Application[[#This Row],[CHANGED ON]]</f>
        <v>13.742928240739275</v>
      </c>
    </row>
    <row r="1555" spans="1:14" x14ac:dyDescent="0.35">
      <c r="A1555">
        <v>1016</v>
      </c>
      <c r="B1555" t="s">
        <v>70</v>
      </c>
      <c r="C1555" s="1">
        <v>45189.257071759261</v>
      </c>
      <c r="D1555" t="str">
        <f ca="1">VLOOKUP(qry_ProdData2_PDI_Cash_Exception_Application[[#This Row],[TYPE]],#REF!,2,FALSE)</f>
        <v>type40</v>
      </c>
      <c r="E1555">
        <v>886.68</v>
      </c>
      <c r="F1555" t="s">
        <v>51</v>
      </c>
      <c r="G1555" s="1">
        <f>qry_ProdData2_PDI_Cash_Exception_Application[[#This Row],[INSERT DATE]]+1</f>
        <v>45190.257071759261</v>
      </c>
      <c r="H1555" t="str">
        <f>VLOOKUP(qry_ProdData2_PDI_Cash_Exception_Application[[#This Row],[MARKET No]],'Site Allocation'!$B$2:$C$37,2,FALSE)</f>
        <v>Analyst3</v>
      </c>
      <c r="I1555" s="4">
        <f t="shared" ca="1" si="24"/>
        <v>45203</v>
      </c>
      <c r="J1555" s="42">
        <f ca="1">TODAY()-qry_ProdData2_PDI_Cash_Exception_Application[[#This Row],[INSERT DATE]]</f>
        <v>13.742928240739275</v>
      </c>
      <c r="K15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55">
        <f ca="1">qry_ProdData2_PDI_Cash_Exception_Application[[#This Row],[TODAY]]-qry_ProdData2_PDI_Cash_Exception_Application[[#This Row],[CHANGED ON]]</f>
        <v>12.742928240739275</v>
      </c>
      <c r="M1555">
        <f ca="1">qry_ProdData2_PDI_Cash_Exception_Application[[#This Row],[TODAY]]-qry_ProdData2_PDI_Cash_Exception_Application[[#This Row],[CHANGED ON]]</f>
        <v>12.742928240739275</v>
      </c>
      <c r="N1555">
        <f ca="1">qry_ProdData2_PDI_Cash_Exception_Application[[#This Row],[TODAY]]-qry_ProdData2_PDI_Cash_Exception_Application[[#This Row],[CHANGED ON]]</f>
        <v>12.742928240739275</v>
      </c>
    </row>
    <row r="1556" spans="1:14" x14ac:dyDescent="0.35">
      <c r="A1556">
        <v>1011</v>
      </c>
      <c r="B1556" t="s">
        <v>65</v>
      </c>
      <c r="C1556" s="1">
        <v>45185.257071759261</v>
      </c>
      <c r="D1556" t="str">
        <f ca="1">VLOOKUP(qry_ProdData2_PDI_Cash_Exception_Application[[#This Row],[TYPE]],#REF!,2,FALSE)</f>
        <v>type40</v>
      </c>
      <c r="E1556">
        <v>10</v>
      </c>
      <c r="F1556" t="s">
        <v>52</v>
      </c>
      <c r="G1556" s="1">
        <f>qry_ProdData2_PDI_Cash_Exception_Application[[#This Row],[INSERT DATE]]+1</f>
        <v>45186.257071759261</v>
      </c>
      <c r="H1556" t="str">
        <f>VLOOKUP(qry_ProdData2_PDI_Cash_Exception_Application[[#This Row],[MARKET No]],'Site Allocation'!$B$2:$C$37,2,FALSE)</f>
        <v>Analyst2</v>
      </c>
      <c r="I1556" s="4">
        <f t="shared" ca="1" si="24"/>
        <v>45203</v>
      </c>
      <c r="J1556" s="42">
        <f ca="1">TODAY()-qry_ProdData2_PDI_Cash_Exception_Application[[#This Row],[INSERT DATE]]</f>
        <v>17.742928240739275</v>
      </c>
      <c r="K15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56">
        <f ca="1">qry_ProdData2_PDI_Cash_Exception_Application[[#This Row],[TODAY]]-qry_ProdData2_PDI_Cash_Exception_Application[[#This Row],[CHANGED ON]]</f>
        <v>16.742928240739275</v>
      </c>
      <c r="M1556">
        <f ca="1">qry_ProdData2_PDI_Cash_Exception_Application[[#This Row],[TODAY]]-qry_ProdData2_PDI_Cash_Exception_Application[[#This Row],[CHANGED ON]]</f>
        <v>16.742928240739275</v>
      </c>
      <c r="N1556">
        <f ca="1">qry_ProdData2_PDI_Cash_Exception_Application[[#This Row],[TODAY]]-qry_ProdData2_PDI_Cash_Exception_Application[[#This Row],[CHANGED ON]]</f>
        <v>16.742928240739275</v>
      </c>
    </row>
    <row r="1557" spans="1:14" x14ac:dyDescent="0.35">
      <c r="A1557">
        <v>1001</v>
      </c>
      <c r="B1557" t="s">
        <v>55</v>
      </c>
      <c r="C1557" s="1">
        <v>45185.257071759261</v>
      </c>
      <c r="D1557" t="str">
        <f ca="1">VLOOKUP(qry_ProdData2_PDI_Cash_Exception_Application[[#This Row],[TYPE]],#REF!,2,FALSE)</f>
        <v>type14</v>
      </c>
      <c r="E1557">
        <v>0.83</v>
      </c>
      <c r="F1557" t="s">
        <v>52</v>
      </c>
      <c r="G1557" s="1">
        <f>qry_ProdData2_PDI_Cash_Exception_Application[[#This Row],[INSERT DATE]]+1</f>
        <v>45186.257071759261</v>
      </c>
      <c r="H1557" t="str">
        <f>VLOOKUP(qry_ProdData2_PDI_Cash_Exception_Application[[#This Row],[MARKET No]],'Site Allocation'!$B$2:$C$37,2,FALSE)</f>
        <v>Analyst1</v>
      </c>
      <c r="I1557" s="4">
        <f t="shared" ca="1" si="24"/>
        <v>45203</v>
      </c>
      <c r="J1557" s="42">
        <f ca="1">TODAY()-qry_ProdData2_PDI_Cash_Exception_Application[[#This Row],[INSERT DATE]]</f>
        <v>17.742928240739275</v>
      </c>
      <c r="K15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57">
        <f ca="1">qry_ProdData2_PDI_Cash_Exception_Application[[#This Row],[TODAY]]-qry_ProdData2_PDI_Cash_Exception_Application[[#This Row],[CHANGED ON]]</f>
        <v>16.742928240739275</v>
      </c>
      <c r="M1557">
        <f ca="1">qry_ProdData2_PDI_Cash_Exception_Application[[#This Row],[TODAY]]-qry_ProdData2_PDI_Cash_Exception_Application[[#This Row],[CHANGED ON]]</f>
        <v>16.742928240739275</v>
      </c>
      <c r="N1557">
        <f ca="1">qry_ProdData2_PDI_Cash_Exception_Application[[#This Row],[TODAY]]-qry_ProdData2_PDI_Cash_Exception_Application[[#This Row],[CHANGED ON]]</f>
        <v>16.742928240739275</v>
      </c>
    </row>
    <row r="1558" spans="1:14" x14ac:dyDescent="0.35">
      <c r="A1558">
        <v>1005</v>
      </c>
      <c r="B1558" t="s">
        <v>59</v>
      </c>
      <c r="C1558" s="1">
        <v>45192.257071759261</v>
      </c>
      <c r="D1558" t="str">
        <f ca="1">VLOOKUP(qry_ProdData2_PDI_Cash_Exception_Application[[#This Row],[TYPE]],#REF!,2,FALSE)</f>
        <v>type40</v>
      </c>
      <c r="E1558">
        <v>-389.95</v>
      </c>
      <c r="F1558" t="s">
        <v>47</v>
      </c>
      <c r="G1558" s="1">
        <f>qry_ProdData2_PDI_Cash_Exception_Application[[#This Row],[INSERT DATE]]+1</f>
        <v>45193.257071759261</v>
      </c>
      <c r="H1558" t="str">
        <f>VLOOKUP(qry_ProdData2_PDI_Cash_Exception_Application[[#This Row],[MARKET No]],'Site Allocation'!$B$2:$C$37,2,FALSE)</f>
        <v>Analyst1</v>
      </c>
      <c r="I1558" s="4">
        <f t="shared" ca="1" si="24"/>
        <v>45203</v>
      </c>
      <c r="J1558" s="42">
        <f ca="1">TODAY()-qry_ProdData2_PDI_Cash_Exception_Application[[#This Row],[INSERT DATE]]</f>
        <v>10.742928240739275</v>
      </c>
      <c r="K15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58">
        <f ca="1">qry_ProdData2_PDI_Cash_Exception_Application[[#This Row],[TODAY]]-qry_ProdData2_PDI_Cash_Exception_Application[[#This Row],[CHANGED ON]]</f>
        <v>9.7429282407392748</v>
      </c>
      <c r="M1558">
        <f ca="1">qry_ProdData2_PDI_Cash_Exception_Application[[#This Row],[TODAY]]-qry_ProdData2_PDI_Cash_Exception_Application[[#This Row],[CHANGED ON]]</f>
        <v>9.7429282407392748</v>
      </c>
      <c r="N1558">
        <f ca="1">qry_ProdData2_PDI_Cash_Exception_Application[[#This Row],[TODAY]]-qry_ProdData2_PDI_Cash_Exception_Application[[#This Row],[CHANGED ON]]</f>
        <v>9.7429282407392748</v>
      </c>
    </row>
    <row r="1559" spans="1:14" x14ac:dyDescent="0.35">
      <c r="A1559">
        <v>1004</v>
      </c>
      <c r="B1559" t="s">
        <v>58</v>
      </c>
      <c r="C1559" s="1">
        <v>45191.257071759261</v>
      </c>
      <c r="D1559" t="str">
        <f ca="1">VLOOKUP(qry_ProdData2_PDI_Cash_Exception_Application[[#This Row],[TYPE]],#REF!,2,FALSE)</f>
        <v>type52</v>
      </c>
      <c r="E1559">
        <v>141.82</v>
      </c>
      <c r="F1559" t="s">
        <v>51</v>
      </c>
      <c r="G1559" s="1">
        <f>qry_ProdData2_PDI_Cash_Exception_Application[[#This Row],[INSERT DATE]]+1</f>
        <v>45192.257071759261</v>
      </c>
      <c r="H1559" t="str">
        <f>VLOOKUP(qry_ProdData2_PDI_Cash_Exception_Application[[#This Row],[MARKET No]],'Site Allocation'!$B$2:$C$37,2,FALSE)</f>
        <v>Analyst1</v>
      </c>
      <c r="I1559" s="4">
        <f t="shared" ca="1" si="24"/>
        <v>45203</v>
      </c>
      <c r="J1559" s="42">
        <f ca="1">TODAY()-qry_ProdData2_PDI_Cash_Exception_Application[[#This Row],[INSERT DATE]]</f>
        <v>11.742928240739275</v>
      </c>
      <c r="K15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59">
        <f ca="1">qry_ProdData2_PDI_Cash_Exception_Application[[#This Row],[TODAY]]-qry_ProdData2_PDI_Cash_Exception_Application[[#This Row],[CHANGED ON]]</f>
        <v>10.742928240739275</v>
      </c>
      <c r="M1559">
        <f ca="1">qry_ProdData2_PDI_Cash_Exception_Application[[#This Row],[TODAY]]-qry_ProdData2_PDI_Cash_Exception_Application[[#This Row],[CHANGED ON]]</f>
        <v>10.742928240739275</v>
      </c>
      <c r="N1559">
        <f ca="1">qry_ProdData2_PDI_Cash_Exception_Application[[#This Row],[TODAY]]-qry_ProdData2_PDI_Cash_Exception_Application[[#This Row],[CHANGED ON]]</f>
        <v>10.742928240739275</v>
      </c>
    </row>
    <row r="1560" spans="1:14" x14ac:dyDescent="0.35">
      <c r="A1560">
        <v>1000</v>
      </c>
      <c r="B1560" t="s">
        <v>54</v>
      </c>
      <c r="C1560" s="1">
        <v>45187.257071759261</v>
      </c>
      <c r="D1560" t="str">
        <f ca="1">VLOOKUP(qry_ProdData2_PDI_Cash_Exception_Application[[#This Row],[TYPE]],#REF!,2,FALSE)</f>
        <v>type40</v>
      </c>
      <c r="E1560">
        <v>-475.11</v>
      </c>
      <c r="F1560" t="s">
        <v>48</v>
      </c>
      <c r="G1560" s="1">
        <f>qry_ProdData2_PDI_Cash_Exception_Application[[#This Row],[INSERT DATE]]+2</f>
        <v>45189.257071759261</v>
      </c>
      <c r="H1560" t="str">
        <f>VLOOKUP(qry_ProdData2_PDI_Cash_Exception_Application[[#This Row],[MARKET No]],'Site Allocation'!$B$2:$C$37,2,FALSE)</f>
        <v>Analyst1</v>
      </c>
      <c r="I1560" s="4">
        <f t="shared" ca="1" si="24"/>
        <v>45203</v>
      </c>
      <c r="J1560" s="42">
        <f ca="1">TODAY()-qry_ProdData2_PDI_Cash_Exception_Application[[#This Row],[INSERT DATE]]</f>
        <v>15.742928240739275</v>
      </c>
      <c r="K15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60">
        <f ca="1">qry_ProdData2_PDI_Cash_Exception_Application[[#This Row],[TODAY]]-qry_ProdData2_PDI_Cash_Exception_Application[[#This Row],[CHANGED ON]]</f>
        <v>13.742928240739275</v>
      </c>
      <c r="M1560">
        <f ca="1">qry_ProdData2_PDI_Cash_Exception_Application[[#This Row],[TODAY]]-qry_ProdData2_PDI_Cash_Exception_Application[[#This Row],[CHANGED ON]]</f>
        <v>13.742928240739275</v>
      </c>
      <c r="N1560">
        <f ca="1">qry_ProdData2_PDI_Cash_Exception_Application[[#This Row],[TODAY]]-qry_ProdData2_PDI_Cash_Exception_Application[[#This Row],[CHANGED ON]]</f>
        <v>13.742928240739275</v>
      </c>
    </row>
    <row r="1561" spans="1:14" x14ac:dyDescent="0.35">
      <c r="A1561">
        <v>1031</v>
      </c>
      <c r="B1561" t="s">
        <v>85</v>
      </c>
      <c r="C1561" s="1">
        <v>45180.257071759261</v>
      </c>
      <c r="D1561" t="str">
        <f ca="1">VLOOKUP(qry_ProdData2_PDI_Cash_Exception_Application[[#This Row],[TYPE]],#REF!,2,FALSE)</f>
        <v>type40</v>
      </c>
      <c r="E1561">
        <v>1712.74</v>
      </c>
      <c r="F1561" t="s">
        <v>49</v>
      </c>
      <c r="G1561" s="1">
        <f>qry_ProdData2_PDI_Cash_Exception_Application[[#This Row],[INSERT DATE]]+2</f>
        <v>45182.257071759261</v>
      </c>
      <c r="H1561" t="str">
        <f>VLOOKUP(qry_ProdData2_PDI_Cash_Exception_Application[[#This Row],[MARKET No]],'Site Allocation'!$B$2:$C$37,2,FALSE)</f>
        <v>Analyst6</v>
      </c>
      <c r="I1561" s="4">
        <f t="shared" ca="1" si="24"/>
        <v>45203</v>
      </c>
      <c r="J1561" s="42">
        <f ca="1">TODAY()-qry_ProdData2_PDI_Cash_Exception_Application[[#This Row],[INSERT DATE]]</f>
        <v>22.742928240739275</v>
      </c>
      <c r="K15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61">
        <f ca="1">qry_ProdData2_PDI_Cash_Exception_Application[[#This Row],[TODAY]]-qry_ProdData2_PDI_Cash_Exception_Application[[#This Row],[CHANGED ON]]</f>
        <v>20.742928240739275</v>
      </c>
      <c r="M1561">
        <f ca="1">qry_ProdData2_PDI_Cash_Exception_Application[[#This Row],[TODAY]]-qry_ProdData2_PDI_Cash_Exception_Application[[#This Row],[CHANGED ON]]</f>
        <v>20.742928240739275</v>
      </c>
      <c r="N1561">
        <f ca="1">qry_ProdData2_PDI_Cash_Exception_Application[[#This Row],[TODAY]]-qry_ProdData2_PDI_Cash_Exception_Application[[#This Row],[CHANGED ON]]</f>
        <v>20.742928240739275</v>
      </c>
    </row>
    <row r="1562" spans="1:14" x14ac:dyDescent="0.35">
      <c r="A1562">
        <v>1009</v>
      </c>
      <c r="B1562" t="s">
        <v>63</v>
      </c>
      <c r="C1562" s="1">
        <v>45189.257071759261</v>
      </c>
      <c r="D1562" t="str">
        <f ca="1">VLOOKUP(qry_ProdData2_PDI_Cash_Exception_Application[[#This Row],[TYPE]],#REF!,2,FALSE)</f>
        <v>type48</v>
      </c>
      <c r="E1562">
        <v>1125.32</v>
      </c>
      <c r="F1562" t="s">
        <v>50</v>
      </c>
      <c r="G1562" s="1">
        <f>qry_ProdData2_PDI_Cash_Exception_Application[[#This Row],[INSERT DATE]]+1</f>
        <v>45190.257071759261</v>
      </c>
      <c r="H1562" t="str">
        <f>VLOOKUP(qry_ProdData2_PDI_Cash_Exception_Application[[#This Row],[MARKET No]],'Site Allocation'!$B$2:$C$37,2,FALSE)</f>
        <v>Analyst2</v>
      </c>
      <c r="I1562" s="4">
        <f t="shared" ca="1" si="24"/>
        <v>45203</v>
      </c>
      <c r="J1562" s="42">
        <f ca="1">TODAY()-qry_ProdData2_PDI_Cash_Exception_Application[[#This Row],[INSERT DATE]]</f>
        <v>13.742928240739275</v>
      </c>
      <c r="K15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62">
        <f ca="1">qry_ProdData2_PDI_Cash_Exception_Application[[#This Row],[TODAY]]-qry_ProdData2_PDI_Cash_Exception_Application[[#This Row],[CHANGED ON]]</f>
        <v>12.742928240739275</v>
      </c>
      <c r="M1562">
        <f ca="1">qry_ProdData2_PDI_Cash_Exception_Application[[#This Row],[TODAY]]-qry_ProdData2_PDI_Cash_Exception_Application[[#This Row],[CHANGED ON]]</f>
        <v>12.742928240739275</v>
      </c>
      <c r="N1562">
        <f ca="1">qry_ProdData2_PDI_Cash_Exception_Application[[#This Row],[TODAY]]-qry_ProdData2_PDI_Cash_Exception_Application[[#This Row],[CHANGED ON]]</f>
        <v>12.742928240739275</v>
      </c>
    </row>
    <row r="1563" spans="1:14" x14ac:dyDescent="0.35">
      <c r="A1563">
        <v>1022</v>
      </c>
      <c r="B1563" t="s">
        <v>76</v>
      </c>
      <c r="C1563" s="1">
        <v>45187.257071759261</v>
      </c>
      <c r="D1563" t="str">
        <f ca="1">VLOOKUP(qry_ProdData2_PDI_Cash_Exception_Application[[#This Row],[TYPE]],#REF!,2,FALSE)</f>
        <v>type13</v>
      </c>
      <c r="E1563">
        <v>26076.51</v>
      </c>
      <c r="F1563" t="s">
        <v>47</v>
      </c>
      <c r="G1563" s="1">
        <f>qry_ProdData2_PDI_Cash_Exception_Application[[#This Row],[INSERT DATE]]+1</f>
        <v>45188.257071759261</v>
      </c>
      <c r="H1563" t="str">
        <f>VLOOKUP(qry_ProdData2_PDI_Cash_Exception_Application[[#This Row],[MARKET No]],'Site Allocation'!$B$2:$C$37,2,FALSE)</f>
        <v>Analyst4</v>
      </c>
      <c r="I1563" s="4">
        <f t="shared" ca="1" si="24"/>
        <v>45203</v>
      </c>
      <c r="J1563" s="42">
        <f ca="1">TODAY()-qry_ProdData2_PDI_Cash_Exception_Application[[#This Row],[INSERT DATE]]</f>
        <v>15.742928240739275</v>
      </c>
      <c r="K15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63">
        <f ca="1">qry_ProdData2_PDI_Cash_Exception_Application[[#This Row],[TODAY]]-qry_ProdData2_PDI_Cash_Exception_Application[[#This Row],[CHANGED ON]]</f>
        <v>14.742928240739275</v>
      </c>
      <c r="M1563">
        <f ca="1">qry_ProdData2_PDI_Cash_Exception_Application[[#This Row],[TODAY]]-qry_ProdData2_PDI_Cash_Exception_Application[[#This Row],[CHANGED ON]]</f>
        <v>14.742928240739275</v>
      </c>
      <c r="N1563">
        <f ca="1">qry_ProdData2_PDI_Cash_Exception_Application[[#This Row],[TODAY]]-qry_ProdData2_PDI_Cash_Exception_Application[[#This Row],[CHANGED ON]]</f>
        <v>14.742928240739275</v>
      </c>
    </row>
    <row r="1564" spans="1:14" x14ac:dyDescent="0.35">
      <c r="A1564">
        <v>1019</v>
      </c>
      <c r="B1564" t="s">
        <v>73</v>
      </c>
      <c r="C1564" s="1">
        <v>45185.257071759261</v>
      </c>
      <c r="D1564" t="str">
        <f ca="1">VLOOKUP(qry_ProdData2_PDI_Cash_Exception_Application[[#This Row],[TYPE]],#REF!,2,FALSE)</f>
        <v>type13</v>
      </c>
      <c r="E1564">
        <v>29827.5</v>
      </c>
      <c r="F1564" t="s">
        <v>51</v>
      </c>
      <c r="G1564" s="1">
        <f>qry_ProdData2_PDI_Cash_Exception_Application[[#This Row],[INSERT DATE]]+2</f>
        <v>45187.257071759261</v>
      </c>
      <c r="H1564" t="str">
        <f>VLOOKUP(qry_ProdData2_PDI_Cash_Exception_Application[[#This Row],[MARKET No]],'Site Allocation'!$B$2:$C$37,2,FALSE)</f>
        <v>Analyst4</v>
      </c>
      <c r="I1564" s="4">
        <f t="shared" ca="1" si="24"/>
        <v>45203</v>
      </c>
      <c r="J1564" s="42">
        <f ca="1">TODAY()-qry_ProdData2_PDI_Cash_Exception_Application[[#This Row],[INSERT DATE]]</f>
        <v>17.742928240739275</v>
      </c>
      <c r="K15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64">
        <f ca="1">qry_ProdData2_PDI_Cash_Exception_Application[[#This Row],[TODAY]]-qry_ProdData2_PDI_Cash_Exception_Application[[#This Row],[CHANGED ON]]</f>
        <v>15.742928240739275</v>
      </c>
      <c r="M1564">
        <f ca="1">qry_ProdData2_PDI_Cash_Exception_Application[[#This Row],[TODAY]]-qry_ProdData2_PDI_Cash_Exception_Application[[#This Row],[CHANGED ON]]</f>
        <v>15.742928240739275</v>
      </c>
      <c r="N1564">
        <f ca="1">qry_ProdData2_PDI_Cash_Exception_Application[[#This Row],[TODAY]]-qry_ProdData2_PDI_Cash_Exception_Application[[#This Row],[CHANGED ON]]</f>
        <v>15.742928240739275</v>
      </c>
    </row>
    <row r="1565" spans="1:14" x14ac:dyDescent="0.35">
      <c r="A1565">
        <v>1013</v>
      </c>
      <c r="B1565" t="s">
        <v>67</v>
      </c>
      <c r="C1565" s="1">
        <v>45180.257071759261</v>
      </c>
      <c r="D1565" t="str">
        <f ca="1">VLOOKUP(qry_ProdData2_PDI_Cash_Exception_Application[[#This Row],[TYPE]],#REF!,2,FALSE)</f>
        <v>type40</v>
      </c>
      <c r="E1565">
        <v>-416.05</v>
      </c>
      <c r="F1565" t="s">
        <v>51</v>
      </c>
      <c r="G1565" s="1">
        <f>qry_ProdData2_PDI_Cash_Exception_Application[[#This Row],[INSERT DATE]]+2</f>
        <v>45182.257071759261</v>
      </c>
      <c r="H1565" t="str">
        <f>VLOOKUP(qry_ProdData2_PDI_Cash_Exception_Application[[#This Row],[MARKET No]],'Site Allocation'!$B$2:$C$37,2,FALSE)</f>
        <v>Analyst3</v>
      </c>
      <c r="I1565" s="4">
        <f t="shared" ca="1" si="24"/>
        <v>45203</v>
      </c>
      <c r="J1565" s="42">
        <f ca="1">TODAY()-qry_ProdData2_PDI_Cash_Exception_Application[[#This Row],[INSERT DATE]]</f>
        <v>22.742928240739275</v>
      </c>
      <c r="K15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65">
        <f ca="1">qry_ProdData2_PDI_Cash_Exception_Application[[#This Row],[TODAY]]-qry_ProdData2_PDI_Cash_Exception_Application[[#This Row],[CHANGED ON]]</f>
        <v>20.742928240739275</v>
      </c>
      <c r="M1565">
        <f ca="1">qry_ProdData2_PDI_Cash_Exception_Application[[#This Row],[TODAY]]-qry_ProdData2_PDI_Cash_Exception_Application[[#This Row],[CHANGED ON]]</f>
        <v>20.742928240739275</v>
      </c>
      <c r="N1565">
        <f ca="1">qry_ProdData2_PDI_Cash_Exception_Application[[#This Row],[TODAY]]-qry_ProdData2_PDI_Cash_Exception_Application[[#This Row],[CHANGED ON]]</f>
        <v>20.742928240739275</v>
      </c>
    </row>
    <row r="1566" spans="1:14" x14ac:dyDescent="0.35">
      <c r="A1566">
        <v>1031</v>
      </c>
      <c r="B1566" t="s">
        <v>85</v>
      </c>
      <c r="C1566" s="1">
        <v>45191.257071759261</v>
      </c>
      <c r="D1566" t="str">
        <f ca="1">VLOOKUP(qry_ProdData2_PDI_Cash_Exception_Application[[#This Row],[TYPE]],#REF!,2,FALSE)</f>
        <v>type33</v>
      </c>
      <c r="E1566">
        <v>417.08</v>
      </c>
      <c r="F1566" t="s">
        <v>50</v>
      </c>
      <c r="G1566" s="1">
        <f>qry_ProdData2_PDI_Cash_Exception_Application[[#This Row],[INSERT DATE]]+2</f>
        <v>45193.257071759261</v>
      </c>
      <c r="H1566" t="str">
        <f>VLOOKUP(qry_ProdData2_PDI_Cash_Exception_Application[[#This Row],[MARKET No]],'Site Allocation'!$B$2:$C$37,2,FALSE)</f>
        <v>Analyst6</v>
      </c>
      <c r="I1566" s="4">
        <f t="shared" ca="1" si="24"/>
        <v>45203</v>
      </c>
      <c r="J1566" s="42">
        <f ca="1">TODAY()-qry_ProdData2_PDI_Cash_Exception_Application[[#This Row],[INSERT DATE]]</f>
        <v>11.742928240739275</v>
      </c>
      <c r="K15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66">
        <f ca="1">qry_ProdData2_PDI_Cash_Exception_Application[[#This Row],[TODAY]]-qry_ProdData2_PDI_Cash_Exception_Application[[#This Row],[CHANGED ON]]</f>
        <v>9.7429282407392748</v>
      </c>
      <c r="M1566">
        <f ca="1">qry_ProdData2_PDI_Cash_Exception_Application[[#This Row],[TODAY]]-qry_ProdData2_PDI_Cash_Exception_Application[[#This Row],[CHANGED ON]]</f>
        <v>9.7429282407392748</v>
      </c>
      <c r="N1566">
        <f ca="1">qry_ProdData2_PDI_Cash_Exception_Application[[#This Row],[TODAY]]-qry_ProdData2_PDI_Cash_Exception_Application[[#This Row],[CHANGED ON]]</f>
        <v>9.7429282407392748</v>
      </c>
    </row>
    <row r="1567" spans="1:14" x14ac:dyDescent="0.35">
      <c r="A1567">
        <v>1028</v>
      </c>
      <c r="B1567" t="s">
        <v>82</v>
      </c>
      <c r="C1567" s="1">
        <v>45183.257071759261</v>
      </c>
      <c r="D1567" t="str">
        <f ca="1">VLOOKUP(qry_ProdData2_PDI_Cash_Exception_Application[[#This Row],[TYPE]],#REF!,2,FALSE)</f>
        <v>type40</v>
      </c>
      <c r="E1567">
        <v>910.87</v>
      </c>
      <c r="F1567" t="s">
        <v>51</v>
      </c>
      <c r="G1567" s="1">
        <f>qry_ProdData2_PDI_Cash_Exception_Application[[#This Row],[INSERT DATE]]+5</f>
        <v>45188.257071759261</v>
      </c>
      <c r="H1567" t="str">
        <f>VLOOKUP(qry_ProdData2_PDI_Cash_Exception_Application[[#This Row],[MARKET No]],'Site Allocation'!$B$2:$C$37,2,FALSE)</f>
        <v>Analyst5</v>
      </c>
      <c r="I1567" s="4">
        <f t="shared" ca="1" si="24"/>
        <v>45203</v>
      </c>
      <c r="J1567" s="42">
        <f ca="1">TODAY()-qry_ProdData2_PDI_Cash_Exception_Application[[#This Row],[INSERT DATE]]</f>
        <v>19.742928240739275</v>
      </c>
      <c r="K15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67">
        <f ca="1">qry_ProdData2_PDI_Cash_Exception_Application[[#This Row],[TODAY]]-qry_ProdData2_PDI_Cash_Exception_Application[[#This Row],[CHANGED ON]]</f>
        <v>14.742928240739275</v>
      </c>
      <c r="M1567">
        <f ca="1">qry_ProdData2_PDI_Cash_Exception_Application[[#This Row],[TODAY]]-qry_ProdData2_PDI_Cash_Exception_Application[[#This Row],[CHANGED ON]]</f>
        <v>14.742928240739275</v>
      </c>
      <c r="N1567">
        <f ca="1">qry_ProdData2_PDI_Cash_Exception_Application[[#This Row],[TODAY]]-qry_ProdData2_PDI_Cash_Exception_Application[[#This Row],[CHANGED ON]]</f>
        <v>14.742928240739275</v>
      </c>
    </row>
    <row r="1568" spans="1:14" x14ac:dyDescent="0.35">
      <c r="A1568">
        <v>1025</v>
      </c>
      <c r="B1568" t="s">
        <v>79</v>
      </c>
      <c r="C1568" s="1">
        <v>45193.257071759261</v>
      </c>
      <c r="D1568" t="str">
        <f ca="1">VLOOKUP(qry_ProdData2_PDI_Cash_Exception_Application[[#This Row],[TYPE]],#REF!,2,FALSE)</f>
        <v>type24</v>
      </c>
      <c r="E1568">
        <v>491.3</v>
      </c>
      <c r="F1568" t="s">
        <v>50</v>
      </c>
      <c r="G1568" s="1">
        <f>qry_ProdData2_PDI_Cash_Exception_Application[[#This Row],[INSERT DATE]]+2</f>
        <v>45195.257071759261</v>
      </c>
      <c r="H1568" t="str">
        <f>VLOOKUP(qry_ProdData2_PDI_Cash_Exception_Application[[#This Row],[MARKET No]],'Site Allocation'!$B$2:$C$37,2,FALSE)</f>
        <v>Analyst5</v>
      </c>
      <c r="I1568" s="4">
        <f t="shared" ca="1" si="24"/>
        <v>45203</v>
      </c>
      <c r="J1568" s="42">
        <f ca="1">TODAY()-qry_ProdData2_PDI_Cash_Exception_Application[[#This Row],[INSERT DATE]]</f>
        <v>9.7429282407392748</v>
      </c>
      <c r="K15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68">
        <f ca="1">qry_ProdData2_PDI_Cash_Exception_Application[[#This Row],[TODAY]]-qry_ProdData2_PDI_Cash_Exception_Application[[#This Row],[CHANGED ON]]</f>
        <v>7.7429282407392748</v>
      </c>
      <c r="M1568">
        <f ca="1">qry_ProdData2_PDI_Cash_Exception_Application[[#This Row],[TODAY]]-qry_ProdData2_PDI_Cash_Exception_Application[[#This Row],[CHANGED ON]]</f>
        <v>7.7429282407392748</v>
      </c>
      <c r="N1568">
        <f ca="1">qry_ProdData2_PDI_Cash_Exception_Application[[#This Row],[TODAY]]-qry_ProdData2_PDI_Cash_Exception_Application[[#This Row],[CHANGED ON]]</f>
        <v>7.7429282407392748</v>
      </c>
    </row>
    <row r="1569" spans="1:14" x14ac:dyDescent="0.35">
      <c r="A1569">
        <v>1027</v>
      </c>
      <c r="B1569" t="s">
        <v>81</v>
      </c>
      <c r="C1569" s="1">
        <v>45194.257071759261</v>
      </c>
      <c r="D1569" t="str">
        <f ca="1">VLOOKUP(qry_ProdData2_PDI_Cash_Exception_Application[[#This Row],[TYPE]],#REF!,2,FALSE)</f>
        <v>type40</v>
      </c>
      <c r="E1569">
        <v>10</v>
      </c>
      <c r="F1569" t="s">
        <v>52</v>
      </c>
      <c r="G1569" s="1">
        <f>qry_ProdData2_PDI_Cash_Exception_Application[[#This Row],[INSERT DATE]]+2</f>
        <v>45196.257071759261</v>
      </c>
      <c r="H1569" t="str">
        <f>VLOOKUP(qry_ProdData2_PDI_Cash_Exception_Application[[#This Row],[MARKET No]],'Site Allocation'!$B$2:$C$37,2,FALSE)</f>
        <v>Analyst5</v>
      </c>
      <c r="I1569" s="4">
        <f t="shared" ca="1" si="24"/>
        <v>45203</v>
      </c>
      <c r="J1569" s="42">
        <f ca="1">TODAY()-qry_ProdData2_PDI_Cash_Exception_Application[[#This Row],[INSERT DATE]]</f>
        <v>8.7429282407392748</v>
      </c>
      <c r="K15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569">
        <f ca="1">qry_ProdData2_PDI_Cash_Exception_Application[[#This Row],[TODAY]]-qry_ProdData2_PDI_Cash_Exception_Application[[#This Row],[CHANGED ON]]</f>
        <v>6.7429282407392748</v>
      </c>
      <c r="M1569">
        <f ca="1">qry_ProdData2_PDI_Cash_Exception_Application[[#This Row],[TODAY]]-qry_ProdData2_PDI_Cash_Exception_Application[[#This Row],[CHANGED ON]]</f>
        <v>6.7429282407392748</v>
      </c>
      <c r="N1569">
        <f ca="1">qry_ProdData2_PDI_Cash_Exception_Application[[#This Row],[TODAY]]-qry_ProdData2_PDI_Cash_Exception_Application[[#This Row],[CHANGED ON]]</f>
        <v>6.7429282407392748</v>
      </c>
    </row>
    <row r="1570" spans="1:14" x14ac:dyDescent="0.35">
      <c r="A1570">
        <v>1003</v>
      </c>
      <c r="B1570" t="s">
        <v>57</v>
      </c>
      <c r="C1570" s="1">
        <v>45183.257071759261</v>
      </c>
      <c r="D1570" t="str">
        <f ca="1">VLOOKUP(qry_ProdData2_PDI_Cash_Exception_Application[[#This Row],[TYPE]],#REF!,2,FALSE)</f>
        <v>type40</v>
      </c>
      <c r="E1570">
        <v>1563.81</v>
      </c>
      <c r="F1570" t="s">
        <v>51</v>
      </c>
      <c r="G1570" s="1">
        <f>qry_ProdData2_PDI_Cash_Exception_Application[[#This Row],[INSERT DATE]]+5</f>
        <v>45188.257071759261</v>
      </c>
      <c r="H1570" t="str">
        <f>VLOOKUP(qry_ProdData2_PDI_Cash_Exception_Application[[#This Row],[MARKET No]],'Site Allocation'!$B$2:$C$37,2,FALSE)</f>
        <v>Analyst1</v>
      </c>
      <c r="I1570" s="4">
        <f t="shared" ca="1" si="24"/>
        <v>45203</v>
      </c>
      <c r="J1570" s="42">
        <f ca="1">TODAY()-qry_ProdData2_PDI_Cash_Exception_Application[[#This Row],[INSERT DATE]]</f>
        <v>19.742928240739275</v>
      </c>
      <c r="K15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70">
        <f ca="1">qry_ProdData2_PDI_Cash_Exception_Application[[#This Row],[TODAY]]-qry_ProdData2_PDI_Cash_Exception_Application[[#This Row],[CHANGED ON]]</f>
        <v>14.742928240739275</v>
      </c>
      <c r="M1570">
        <f ca="1">qry_ProdData2_PDI_Cash_Exception_Application[[#This Row],[TODAY]]-qry_ProdData2_PDI_Cash_Exception_Application[[#This Row],[CHANGED ON]]</f>
        <v>14.742928240739275</v>
      </c>
      <c r="N1570">
        <f ca="1">qry_ProdData2_PDI_Cash_Exception_Application[[#This Row],[TODAY]]-qry_ProdData2_PDI_Cash_Exception_Application[[#This Row],[CHANGED ON]]</f>
        <v>14.742928240739275</v>
      </c>
    </row>
    <row r="1571" spans="1:14" x14ac:dyDescent="0.35">
      <c r="A1571">
        <v>1003</v>
      </c>
      <c r="B1571" t="s">
        <v>57</v>
      </c>
      <c r="C1571" s="1">
        <v>45188.257071759261</v>
      </c>
      <c r="D1571" t="str">
        <f ca="1">VLOOKUP(qry_ProdData2_PDI_Cash_Exception_Application[[#This Row],[TYPE]],#REF!,2,FALSE)</f>
        <v>type10</v>
      </c>
      <c r="E1571">
        <v>65.88</v>
      </c>
      <c r="F1571" t="s">
        <v>51</v>
      </c>
      <c r="G1571" s="1">
        <f>qry_ProdData2_PDI_Cash_Exception_Application[[#This Row],[INSERT DATE]]+7</f>
        <v>45195.257071759261</v>
      </c>
      <c r="H1571" t="str">
        <f>VLOOKUP(qry_ProdData2_PDI_Cash_Exception_Application[[#This Row],[MARKET No]],'Site Allocation'!$B$2:$C$37,2,FALSE)</f>
        <v>Analyst1</v>
      </c>
      <c r="I1571" s="4">
        <f t="shared" ca="1" si="24"/>
        <v>45203</v>
      </c>
      <c r="J1571" s="42">
        <f ca="1">TODAY()-qry_ProdData2_PDI_Cash_Exception_Application[[#This Row],[INSERT DATE]]</f>
        <v>14.742928240739275</v>
      </c>
      <c r="K15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71">
        <f ca="1">qry_ProdData2_PDI_Cash_Exception_Application[[#This Row],[TODAY]]-qry_ProdData2_PDI_Cash_Exception_Application[[#This Row],[CHANGED ON]]</f>
        <v>7.7429282407392748</v>
      </c>
      <c r="M1571">
        <f ca="1">qry_ProdData2_PDI_Cash_Exception_Application[[#This Row],[TODAY]]-qry_ProdData2_PDI_Cash_Exception_Application[[#This Row],[CHANGED ON]]</f>
        <v>7.7429282407392748</v>
      </c>
      <c r="N1571">
        <f ca="1">qry_ProdData2_PDI_Cash_Exception_Application[[#This Row],[TODAY]]-qry_ProdData2_PDI_Cash_Exception_Application[[#This Row],[CHANGED ON]]</f>
        <v>7.7429282407392748</v>
      </c>
    </row>
    <row r="1572" spans="1:14" x14ac:dyDescent="0.35">
      <c r="A1572">
        <v>1033</v>
      </c>
      <c r="B1572" t="s">
        <v>87</v>
      </c>
      <c r="C1572" s="1">
        <v>45190.257071759261</v>
      </c>
      <c r="D1572" t="str">
        <f ca="1">VLOOKUP(qry_ProdData2_PDI_Cash_Exception_Application[[#This Row],[TYPE]],#REF!,2,FALSE)</f>
        <v>type38</v>
      </c>
      <c r="E1572">
        <v>417.1</v>
      </c>
      <c r="F1572" t="s">
        <v>47</v>
      </c>
      <c r="G1572" s="1">
        <f>qry_ProdData2_PDI_Cash_Exception_Application[[#This Row],[INSERT DATE]]+1</f>
        <v>45191.257071759261</v>
      </c>
      <c r="H1572" t="str">
        <f>VLOOKUP(qry_ProdData2_PDI_Cash_Exception_Application[[#This Row],[MARKET No]],'Site Allocation'!$B$2:$C$37,2,FALSE)</f>
        <v>Analyst6</v>
      </c>
      <c r="I1572" s="4">
        <f t="shared" ca="1" si="24"/>
        <v>45203</v>
      </c>
      <c r="J1572" s="42">
        <f ca="1">TODAY()-qry_ProdData2_PDI_Cash_Exception_Application[[#This Row],[INSERT DATE]]</f>
        <v>12.742928240739275</v>
      </c>
      <c r="K15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72">
        <f ca="1">qry_ProdData2_PDI_Cash_Exception_Application[[#This Row],[TODAY]]-qry_ProdData2_PDI_Cash_Exception_Application[[#This Row],[CHANGED ON]]</f>
        <v>11.742928240739275</v>
      </c>
      <c r="M1572">
        <f ca="1">qry_ProdData2_PDI_Cash_Exception_Application[[#This Row],[TODAY]]-qry_ProdData2_PDI_Cash_Exception_Application[[#This Row],[CHANGED ON]]</f>
        <v>11.742928240739275</v>
      </c>
      <c r="N1572">
        <f ca="1">qry_ProdData2_PDI_Cash_Exception_Application[[#This Row],[TODAY]]-qry_ProdData2_PDI_Cash_Exception_Application[[#This Row],[CHANGED ON]]</f>
        <v>11.742928240739275</v>
      </c>
    </row>
    <row r="1573" spans="1:14" x14ac:dyDescent="0.35">
      <c r="A1573">
        <v>1015</v>
      </c>
      <c r="B1573" t="s">
        <v>69</v>
      </c>
      <c r="C1573" s="1">
        <v>45185.257071759261</v>
      </c>
      <c r="D1573" t="str">
        <f ca="1">VLOOKUP(qry_ProdData2_PDI_Cash_Exception_Application[[#This Row],[TYPE]],#REF!,2,FALSE)</f>
        <v>type40</v>
      </c>
      <c r="E1573">
        <v>20.96</v>
      </c>
      <c r="F1573" t="s">
        <v>50</v>
      </c>
      <c r="G1573" s="1">
        <f>qry_ProdData2_PDI_Cash_Exception_Application[[#This Row],[INSERT DATE]]+2</f>
        <v>45187.257071759261</v>
      </c>
      <c r="H1573" t="str">
        <f>VLOOKUP(qry_ProdData2_PDI_Cash_Exception_Application[[#This Row],[MARKET No]],'Site Allocation'!$B$2:$C$37,2,FALSE)</f>
        <v>Analyst3</v>
      </c>
      <c r="I1573" s="4">
        <f t="shared" ca="1" si="24"/>
        <v>45203</v>
      </c>
      <c r="J1573" s="42">
        <f ca="1">TODAY()-qry_ProdData2_PDI_Cash_Exception_Application[[#This Row],[INSERT DATE]]</f>
        <v>17.742928240739275</v>
      </c>
      <c r="K15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73">
        <f ca="1">qry_ProdData2_PDI_Cash_Exception_Application[[#This Row],[TODAY]]-qry_ProdData2_PDI_Cash_Exception_Application[[#This Row],[CHANGED ON]]</f>
        <v>15.742928240739275</v>
      </c>
      <c r="M1573">
        <f ca="1">qry_ProdData2_PDI_Cash_Exception_Application[[#This Row],[TODAY]]-qry_ProdData2_PDI_Cash_Exception_Application[[#This Row],[CHANGED ON]]</f>
        <v>15.742928240739275</v>
      </c>
      <c r="N1573">
        <f ca="1">qry_ProdData2_PDI_Cash_Exception_Application[[#This Row],[TODAY]]-qry_ProdData2_PDI_Cash_Exception_Application[[#This Row],[CHANGED ON]]</f>
        <v>15.742928240739275</v>
      </c>
    </row>
    <row r="1574" spans="1:14" x14ac:dyDescent="0.35">
      <c r="A1574">
        <v>1003</v>
      </c>
      <c r="B1574" t="s">
        <v>57</v>
      </c>
      <c r="C1574" s="1">
        <v>45186.257071759261</v>
      </c>
      <c r="D1574" t="str">
        <f ca="1">VLOOKUP(qry_ProdData2_PDI_Cash_Exception_Application[[#This Row],[TYPE]],#REF!,2,FALSE)</f>
        <v>type40</v>
      </c>
      <c r="E1574">
        <v>1485.21</v>
      </c>
      <c r="F1574" t="s">
        <v>50</v>
      </c>
      <c r="G1574" s="1">
        <f>qry_ProdData2_PDI_Cash_Exception_Application[[#This Row],[INSERT DATE]]+2</f>
        <v>45188.257071759261</v>
      </c>
      <c r="H1574" t="str">
        <f>VLOOKUP(qry_ProdData2_PDI_Cash_Exception_Application[[#This Row],[MARKET No]],'Site Allocation'!$B$2:$C$37,2,FALSE)</f>
        <v>Analyst1</v>
      </c>
      <c r="I1574" s="4">
        <f t="shared" ca="1" si="24"/>
        <v>45203</v>
      </c>
      <c r="J1574" s="42">
        <f ca="1">TODAY()-qry_ProdData2_PDI_Cash_Exception_Application[[#This Row],[INSERT DATE]]</f>
        <v>16.742928240739275</v>
      </c>
      <c r="K15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74">
        <f ca="1">qry_ProdData2_PDI_Cash_Exception_Application[[#This Row],[TODAY]]-qry_ProdData2_PDI_Cash_Exception_Application[[#This Row],[CHANGED ON]]</f>
        <v>14.742928240739275</v>
      </c>
      <c r="M1574">
        <f ca="1">qry_ProdData2_PDI_Cash_Exception_Application[[#This Row],[TODAY]]-qry_ProdData2_PDI_Cash_Exception_Application[[#This Row],[CHANGED ON]]</f>
        <v>14.742928240739275</v>
      </c>
      <c r="N1574">
        <f ca="1">qry_ProdData2_PDI_Cash_Exception_Application[[#This Row],[TODAY]]-qry_ProdData2_PDI_Cash_Exception_Application[[#This Row],[CHANGED ON]]</f>
        <v>14.742928240739275</v>
      </c>
    </row>
    <row r="1575" spans="1:14" x14ac:dyDescent="0.35">
      <c r="A1575">
        <v>1021</v>
      </c>
      <c r="B1575" t="s">
        <v>75</v>
      </c>
      <c r="C1575" s="1">
        <v>45191.257071759261</v>
      </c>
      <c r="D1575" t="str">
        <f ca="1">VLOOKUP(qry_ProdData2_PDI_Cash_Exception_Application[[#This Row],[TYPE]],#REF!,2,FALSE)</f>
        <v>type40</v>
      </c>
      <c r="E1575">
        <v>-502.8</v>
      </c>
      <c r="F1575" t="s">
        <v>48</v>
      </c>
      <c r="G1575" s="1">
        <f>qry_ProdData2_PDI_Cash_Exception_Application[[#This Row],[INSERT DATE]]+2</f>
        <v>45193.257071759261</v>
      </c>
      <c r="H1575" t="str">
        <f>VLOOKUP(qry_ProdData2_PDI_Cash_Exception_Application[[#This Row],[MARKET No]],'Site Allocation'!$B$2:$C$37,2,FALSE)</f>
        <v>Analyst4</v>
      </c>
      <c r="I1575" s="4">
        <f t="shared" ca="1" si="24"/>
        <v>45203</v>
      </c>
      <c r="J1575" s="42">
        <f ca="1">TODAY()-qry_ProdData2_PDI_Cash_Exception_Application[[#This Row],[INSERT DATE]]</f>
        <v>11.742928240739275</v>
      </c>
      <c r="K15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75">
        <f ca="1">qry_ProdData2_PDI_Cash_Exception_Application[[#This Row],[TODAY]]-qry_ProdData2_PDI_Cash_Exception_Application[[#This Row],[CHANGED ON]]</f>
        <v>9.7429282407392748</v>
      </c>
      <c r="M1575">
        <f ca="1">qry_ProdData2_PDI_Cash_Exception_Application[[#This Row],[TODAY]]-qry_ProdData2_PDI_Cash_Exception_Application[[#This Row],[CHANGED ON]]</f>
        <v>9.7429282407392748</v>
      </c>
      <c r="N1575">
        <f ca="1">qry_ProdData2_PDI_Cash_Exception_Application[[#This Row],[TODAY]]-qry_ProdData2_PDI_Cash_Exception_Application[[#This Row],[CHANGED ON]]</f>
        <v>9.7429282407392748</v>
      </c>
    </row>
    <row r="1576" spans="1:14" x14ac:dyDescent="0.35">
      <c r="A1576">
        <v>1020</v>
      </c>
      <c r="B1576" t="s">
        <v>74</v>
      </c>
      <c r="C1576" s="1">
        <v>45183.257071759261</v>
      </c>
      <c r="D1576" t="str">
        <f ca="1">VLOOKUP(qry_ProdData2_PDI_Cash_Exception_Application[[#This Row],[TYPE]],#REF!,2,FALSE)</f>
        <v>type13</v>
      </c>
      <c r="E1576">
        <v>20191.36</v>
      </c>
      <c r="F1576" t="s">
        <v>48</v>
      </c>
      <c r="G1576" s="1">
        <f>qry_ProdData2_PDI_Cash_Exception_Application[[#This Row],[INSERT DATE]]+7</f>
        <v>45190.257071759261</v>
      </c>
      <c r="H1576" t="str">
        <f>VLOOKUP(qry_ProdData2_PDI_Cash_Exception_Application[[#This Row],[MARKET No]],'Site Allocation'!$B$2:$C$37,2,FALSE)</f>
        <v>Analyst4</v>
      </c>
      <c r="I1576" s="4">
        <f t="shared" ca="1" si="24"/>
        <v>45203</v>
      </c>
      <c r="J1576" s="42">
        <f ca="1">TODAY()-qry_ProdData2_PDI_Cash_Exception_Application[[#This Row],[INSERT DATE]]</f>
        <v>19.742928240739275</v>
      </c>
      <c r="K15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76">
        <f ca="1">qry_ProdData2_PDI_Cash_Exception_Application[[#This Row],[TODAY]]-qry_ProdData2_PDI_Cash_Exception_Application[[#This Row],[CHANGED ON]]</f>
        <v>12.742928240739275</v>
      </c>
      <c r="M1576">
        <f ca="1">qry_ProdData2_PDI_Cash_Exception_Application[[#This Row],[TODAY]]-qry_ProdData2_PDI_Cash_Exception_Application[[#This Row],[CHANGED ON]]</f>
        <v>12.742928240739275</v>
      </c>
      <c r="N1576">
        <f ca="1">qry_ProdData2_PDI_Cash_Exception_Application[[#This Row],[TODAY]]-qry_ProdData2_PDI_Cash_Exception_Application[[#This Row],[CHANGED ON]]</f>
        <v>12.742928240739275</v>
      </c>
    </row>
    <row r="1577" spans="1:14" x14ac:dyDescent="0.35">
      <c r="A1577">
        <v>1006</v>
      </c>
      <c r="B1577" t="s">
        <v>60</v>
      </c>
      <c r="C1577" s="1">
        <v>45188.257071759261</v>
      </c>
      <c r="D1577" t="str">
        <f ca="1">VLOOKUP(qry_ProdData2_PDI_Cash_Exception_Application[[#This Row],[TYPE]],#REF!,2,FALSE)</f>
        <v>type13</v>
      </c>
      <c r="E1577">
        <v>26877.09</v>
      </c>
      <c r="F1577" t="s">
        <v>50</v>
      </c>
      <c r="G1577" s="1">
        <f>qry_ProdData2_PDI_Cash_Exception_Application[[#This Row],[INSERT DATE]]+2</f>
        <v>45190.257071759261</v>
      </c>
      <c r="H1577" t="str">
        <f>VLOOKUP(qry_ProdData2_PDI_Cash_Exception_Application[[#This Row],[MARKET No]],'Site Allocation'!$B$2:$C$37,2,FALSE)</f>
        <v>Analyst2</v>
      </c>
      <c r="I1577" s="4">
        <f t="shared" ca="1" si="24"/>
        <v>45203</v>
      </c>
      <c r="J1577" s="42">
        <f ca="1">TODAY()-qry_ProdData2_PDI_Cash_Exception_Application[[#This Row],[INSERT DATE]]</f>
        <v>14.742928240739275</v>
      </c>
      <c r="K15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77">
        <f ca="1">qry_ProdData2_PDI_Cash_Exception_Application[[#This Row],[TODAY]]-qry_ProdData2_PDI_Cash_Exception_Application[[#This Row],[CHANGED ON]]</f>
        <v>12.742928240739275</v>
      </c>
      <c r="M1577">
        <f ca="1">qry_ProdData2_PDI_Cash_Exception_Application[[#This Row],[TODAY]]-qry_ProdData2_PDI_Cash_Exception_Application[[#This Row],[CHANGED ON]]</f>
        <v>12.742928240739275</v>
      </c>
      <c r="N1577">
        <f ca="1">qry_ProdData2_PDI_Cash_Exception_Application[[#This Row],[TODAY]]-qry_ProdData2_PDI_Cash_Exception_Application[[#This Row],[CHANGED ON]]</f>
        <v>12.742928240739275</v>
      </c>
    </row>
    <row r="1578" spans="1:14" x14ac:dyDescent="0.35">
      <c r="A1578">
        <v>1034</v>
      </c>
      <c r="B1578" t="s">
        <v>88</v>
      </c>
      <c r="C1578" s="1">
        <v>45189.257071759261</v>
      </c>
      <c r="D1578" t="str">
        <f ca="1">VLOOKUP(qry_ProdData2_PDI_Cash_Exception_Application[[#This Row],[TYPE]],#REF!,2,FALSE)</f>
        <v>type31</v>
      </c>
      <c r="E1578">
        <v>303.64</v>
      </c>
      <c r="F1578" t="s">
        <v>50</v>
      </c>
      <c r="G1578" s="1">
        <f>qry_ProdData2_PDI_Cash_Exception_Application[[#This Row],[INSERT DATE]]+2</f>
        <v>45191.257071759261</v>
      </c>
      <c r="H1578" t="str">
        <f>VLOOKUP(qry_ProdData2_PDI_Cash_Exception_Application[[#This Row],[MARKET No]],'Site Allocation'!$B$2:$C$37,2,FALSE)</f>
        <v>Analyst6</v>
      </c>
      <c r="I1578" s="4">
        <f t="shared" ca="1" si="24"/>
        <v>45203</v>
      </c>
      <c r="J1578" s="42">
        <f ca="1">TODAY()-qry_ProdData2_PDI_Cash_Exception_Application[[#This Row],[INSERT DATE]]</f>
        <v>13.742928240739275</v>
      </c>
      <c r="K15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78">
        <f ca="1">qry_ProdData2_PDI_Cash_Exception_Application[[#This Row],[TODAY]]-qry_ProdData2_PDI_Cash_Exception_Application[[#This Row],[CHANGED ON]]</f>
        <v>11.742928240739275</v>
      </c>
      <c r="M1578">
        <f ca="1">qry_ProdData2_PDI_Cash_Exception_Application[[#This Row],[TODAY]]-qry_ProdData2_PDI_Cash_Exception_Application[[#This Row],[CHANGED ON]]</f>
        <v>11.742928240739275</v>
      </c>
      <c r="N1578">
        <f ca="1">qry_ProdData2_PDI_Cash_Exception_Application[[#This Row],[TODAY]]-qry_ProdData2_PDI_Cash_Exception_Application[[#This Row],[CHANGED ON]]</f>
        <v>11.742928240739275</v>
      </c>
    </row>
    <row r="1579" spans="1:14" x14ac:dyDescent="0.35">
      <c r="A1579">
        <v>1024</v>
      </c>
      <c r="B1579" t="s">
        <v>78</v>
      </c>
      <c r="C1579" s="1">
        <v>45189.257071759261</v>
      </c>
      <c r="D1579" t="str">
        <f ca="1">VLOOKUP(qry_ProdData2_PDI_Cash_Exception_Application[[#This Row],[TYPE]],#REF!,2,FALSE)</f>
        <v>type40</v>
      </c>
      <c r="E1579">
        <v>9.84</v>
      </c>
      <c r="F1579" t="s">
        <v>50</v>
      </c>
      <c r="G1579" s="1">
        <f>qry_ProdData2_PDI_Cash_Exception_Application[[#This Row],[INSERT DATE]]+2</f>
        <v>45191.257071759261</v>
      </c>
      <c r="H1579" t="str">
        <f>VLOOKUP(qry_ProdData2_PDI_Cash_Exception_Application[[#This Row],[MARKET No]],'Site Allocation'!$B$2:$C$37,2,FALSE)</f>
        <v>Analyst5</v>
      </c>
      <c r="I1579" s="4">
        <f t="shared" ca="1" si="24"/>
        <v>45203</v>
      </c>
      <c r="J1579" s="42">
        <f ca="1">TODAY()-qry_ProdData2_PDI_Cash_Exception_Application[[#This Row],[INSERT DATE]]</f>
        <v>13.742928240739275</v>
      </c>
      <c r="K15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79">
        <f ca="1">qry_ProdData2_PDI_Cash_Exception_Application[[#This Row],[TODAY]]-qry_ProdData2_PDI_Cash_Exception_Application[[#This Row],[CHANGED ON]]</f>
        <v>11.742928240739275</v>
      </c>
      <c r="M1579">
        <f ca="1">qry_ProdData2_PDI_Cash_Exception_Application[[#This Row],[TODAY]]-qry_ProdData2_PDI_Cash_Exception_Application[[#This Row],[CHANGED ON]]</f>
        <v>11.742928240739275</v>
      </c>
      <c r="N1579">
        <f ca="1">qry_ProdData2_PDI_Cash_Exception_Application[[#This Row],[TODAY]]-qry_ProdData2_PDI_Cash_Exception_Application[[#This Row],[CHANGED ON]]</f>
        <v>11.742928240739275</v>
      </c>
    </row>
    <row r="1580" spans="1:14" x14ac:dyDescent="0.35">
      <c r="A1580">
        <v>1010</v>
      </c>
      <c r="B1580" t="s">
        <v>64</v>
      </c>
      <c r="C1580" s="1">
        <v>45181.257071759261</v>
      </c>
      <c r="D1580" t="str">
        <f ca="1">VLOOKUP(qry_ProdData2_PDI_Cash_Exception_Application[[#This Row],[TYPE]],#REF!,2,FALSE)</f>
        <v>type13</v>
      </c>
      <c r="E1580">
        <v>18728.32</v>
      </c>
      <c r="F1580" t="s">
        <v>49</v>
      </c>
      <c r="G1580" s="1">
        <f>qry_ProdData2_PDI_Cash_Exception_Application[[#This Row],[INSERT DATE]]+2</f>
        <v>45183.257071759261</v>
      </c>
      <c r="H1580" t="str">
        <f>VLOOKUP(qry_ProdData2_PDI_Cash_Exception_Application[[#This Row],[MARKET No]],'Site Allocation'!$B$2:$C$37,2,FALSE)</f>
        <v>Analyst2</v>
      </c>
      <c r="I1580" s="4">
        <f t="shared" ca="1" si="24"/>
        <v>45203</v>
      </c>
      <c r="J1580" s="42">
        <f ca="1">TODAY()-qry_ProdData2_PDI_Cash_Exception_Application[[#This Row],[INSERT DATE]]</f>
        <v>21.742928240739275</v>
      </c>
      <c r="K15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80">
        <f ca="1">qry_ProdData2_PDI_Cash_Exception_Application[[#This Row],[TODAY]]-qry_ProdData2_PDI_Cash_Exception_Application[[#This Row],[CHANGED ON]]</f>
        <v>19.742928240739275</v>
      </c>
      <c r="M1580">
        <f ca="1">qry_ProdData2_PDI_Cash_Exception_Application[[#This Row],[TODAY]]-qry_ProdData2_PDI_Cash_Exception_Application[[#This Row],[CHANGED ON]]</f>
        <v>19.742928240739275</v>
      </c>
      <c r="N1580">
        <f ca="1">qry_ProdData2_PDI_Cash_Exception_Application[[#This Row],[TODAY]]-qry_ProdData2_PDI_Cash_Exception_Application[[#This Row],[CHANGED ON]]</f>
        <v>19.742928240739275</v>
      </c>
    </row>
    <row r="1581" spans="1:14" x14ac:dyDescent="0.35">
      <c r="A1581">
        <v>1029</v>
      </c>
      <c r="B1581" t="s">
        <v>83</v>
      </c>
      <c r="C1581" s="1">
        <v>45187.257071759261</v>
      </c>
      <c r="D1581" t="str">
        <f ca="1">VLOOKUP(qry_ProdData2_PDI_Cash_Exception_Application[[#This Row],[TYPE]],#REF!,2,FALSE)</f>
        <v>type40</v>
      </c>
      <c r="E1581">
        <v>701.69</v>
      </c>
      <c r="F1581" t="s">
        <v>51</v>
      </c>
      <c r="G1581" s="1">
        <f>qry_ProdData2_PDI_Cash_Exception_Application[[#This Row],[INSERT DATE]]+7</f>
        <v>45194.257071759261</v>
      </c>
      <c r="H1581" t="str">
        <f>VLOOKUP(qry_ProdData2_PDI_Cash_Exception_Application[[#This Row],[MARKET No]],'Site Allocation'!$B$2:$C$37,2,FALSE)</f>
        <v>Analyst5</v>
      </c>
      <c r="I1581" s="4">
        <f t="shared" ca="1" si="24"/>
        <v>45203</v>
      </c>
      <c r="J1581" s="42">
        <f ca="1">TODAY()-qry_ProdData2_PDI_Cash_Exception_Application[[#This Row],[INSERT DATE]]</f>
        <v>15.742928240739275</v>
      </c>
      <c r="K15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81">
        <f ca="1">qry_ProdData2_PDI_Cash_Exception_Application[[#This Row],[TODAY]]-qry_ProdData2_PDI_Cash_Exception_Application[[#This Row],[CHANGED ON]]</f>
        <v>8.7429282407392748</v>
      </c>
      <c r="M1581">
        <f ca="1">qry_ProdData2_PDI_Cash_Exception_Application[[#This Row],[TODAY]]-qry_ProdData2_PDI_Cash_Exception_Application[[#This Row],[CHANGED ON]]</f>
        <v>8.7429282407392748</v>
      </c>
      <c r="N1581">
        <f ca="1">qry_ProdData2_PDI_Cash_Exception_Application[[#This Row],[TODAY]]-qry_ProdData2_PDI_Cash_Exception_Application[[#This Row],[CHANGED ON]]</f>
        <v>8.7429282407392748</v>
      </c>
    </row>
    <row r="1582" spans="1:14" x14ac:dyDescent="0.35">
      <c r="A1582">
        <v>1026</v>
      </c>
      <c r="B1582" t="s">
        <v>80</v>
      </c>
      <c r="C1582" s="1">
        <v>45191.257071759261</v>
      </c>
      <c r="D1582" t="str">
        <f ca="1">VLOOKUP(qry_ProdData2_PDI_Cash_Exception_Application[[#This Row],[TYPE]],#REF!,2,FALSE)</f>
        <v>type26</v>
      </c>
      <c r="E1582">
        <v>239.76</v>
      </c>
      <c r="F1582" t="s">
        <v>50</v>
      </c>
      <c r="G1582" s="1">
        <f>qry_ProdData2_PDI_Cash_Exception_Application[[#This Row],[INSERT DATE]]+2</f>
        <v>45193.257071759261</v>
      </c>
      <c r="H1582" t="str">
        <f>VLOOKUP(qry_ProdData2_PDI_Cash_Exception_Application[[#This Row],[MARKET No]],'Site Allocation'!$B$2:$C$37,2,FALSE)</f>
        <v>Analyst5</v>
      </c>
      <c r="I1582" s="4">
        <f t="shared" ca="1" si="24"/>
        <v>45203</v>
      </c>
      <c r="J1582" s="42">
        <f ca="1">TODAY()-qry_ProdData2_PDI_Cash_Exception_Application[[#This Row],[INSERT DATE]]</f>
        <v>11.742928240739275</v>
      </c>
      <c r="K15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82">
        <f ca="1">qry_ProdData2_PDI_Cash_Exception_Application[[#This Row],[TODAY]]-qry_ProdData2_PDI_Cash_Exception_Application[[#This Row],[CHANGED ON]]</f>
        <v>9.7429282407392748</v>
      </c>
      <c r="M1582">
        <f ca="1">qry_ProdData2_PDI_Cash_Exception_Application[[#This Row],[TODAY]]-qry_ProdData2_PDI_Cash_Exception_Application[[#This Row],[CHANGED ON]]</f>
        <v>9.7429282407392748</v>
      </c>
      <c r="N1582">
        <f ca="1">qry_ProdData2_PDI_Cash_Exception_Application[[#This Row],[TODAY]]-qry_ProdData2_PDI_Cash_Exception_Application[[#This Row],[CHANGED ON]]</f>
        <v>9.7429282407392748</v>
      </c>
    </row>
    <row r="1583" spans="1:14" x14ac:dyDescent="0.35">
      <c r="A1583">
        <v>1024</v>
      </c>
      <c r="B1583" t="s">
        <v>78</v>
      </c>
      <c r="C1583" s="1">
        <v>45192.257071759261</v>
      </c>
      <c r="D1583" t="str">
        <f ca="1">VLOOKUP(qry_ProdData2_PDI_Cash_Exception_Application[[#This Row],[TYPE]],#REF!,2,FALSE)</f>
        <v>type8</v>
      </c>
      <c r="E1583">
        <v>51.58</v>
      </c>
      <c r="F1583" t="s">
        <v>52</v>
      </c>
      <c r="G1583" s="1">
        <f>qry_ProdData2_PDI_Cash_Exception_Application[[#This Row],[INSERT DATE]]+2</f>
        <v>45194.257071759261</v>
      </c>
      <c r="H1583" t="str">
        <f>VLOOKUP(qry_ProdData2_PDI_Cash_Exception_Application[[#This Row],[MARKET No]],'Site Allocation'!$B$2:$C$37,2,FALSE)</f>
        <v>Analyst5</v>
      </c>
      <c r="I1583" s="4">
        <f t="shared" ca="1" si="24"/>
        <v>45203</v>
      </c>
      <c r="J1583" s="42">
        <f ca="1">TODAY()-qry_ProdData2_PDI_Cash_Exception_Application[[#This Row],[INSERT DATE]]</f>
        <v>10.742928240739275</v>
      </c>
      <c r="K15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83">
        <f ca="1">qry_ProdData2_PDI_Cash_Exception_Application[[#This Row],[TODAY]]-qry_ProdData2_PDI_Cash_Exception_Application[[#This Row],[CHANGED ON]]</f>
        <v>8.7429282407392748</v>
      </c>
      <c r="M1583">
        <f ca="1">qry_ProdData2_PDI_Cash_Exception_Application[[#This Row],[TODAY]]-qry_ProdData2_PDI_Cash_Exception_Application[[#This Row],[CHANGED ON]]</f>
        <v>8.7429282407392748</v>
      </c>
      <c r="N1583">
        <f ca="1">qry_ProdData2_PDI_Cash_Exception_Application[[#This Row],[TODAY]]-qry_ProdData2_PDI_Cash_Exception_Application[[#This Row],[CHANGED ON]]</f>
        <v>8.7429282407392748</v>
      </c>
    </row>
    <row r="1584" spans="1:14" x14ac:dyDescent="0.35">
      <c r="A1584">
        <v>1029</v>
      </c>
      <c r="B1584" t="s">
        <v>83</v>
      </c>
      <c r="C1584" s="1">
        <v>45193.257071759261</v>
      </c>
      <c r="D1584" t="str">
        <f ca="1">VLOOKUP(qry_ProdData2_PDI_Cash_Exception_Application[[#This Row],[TYPE]],#REF!,2,FALSE)</f>
        <v>type40</v>
      </c>
      <c r="E1584">
        <v>9.74</v>
      </c>
      <c r="F1584" t="s">
        <v>52</v>
      </c>
      <c r="G1584" s="1">
        <f>qry_ProdData2_PDI_Cash_Exception_Application[[#This Row],[INSERT DATE]]+2</f>
        <v>45195.257071759261</v>
      </c>
      <c r="H1584" t="str">
        <f>VLOOKUP(qry_ProdData2_PDI_Cash_Exception_Application[[#This Row],[MARKET No]],'Site Allocation'!$B$2:$C$37,2,FALSE)</f>
        <v>Analyst5</v>
      </c>
      <c r="I1584" s="4">
        <f t="shared" ca="1" si="24"/>
        <v>45203</v>
      </c>
      <c r="J1584" s="42">
        <f ca="1">TODAY()-qry_ProdData2_PDI_Cash_Exception_Application[[#This Row],[INSERT DATE]]</f>
        <v>9.7429282407392748</v>
      </c>
      <c r="K15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84">
        <f ca="1">qry_ProdData2_PDI_Cash_Exception_Application[[#This Row],[TODAY]]-qry_ProdData2_PDI_Cash_Exception_Application[[#This Row],[CHANGED ON]]</f>
        <v>7.7429282407392748</v>
      </c>
      <c r="M1584">
        <f ca="1">qry_ProdData2_PDI_Cash_Exception_Application[[#This Row],[TODAY]]-qry_ProdData2_PDI_Cash_Exception_Application[[#This Row],[CHANGED ON]]</f>
        <v>7.7429282407392748</v>
      </c>
      <c r="N1584">
        <f ca="1">qry_ProdData2_PDI_Cash_Exception_Application[[#This Row],[TODAY]]-qry_ProdData2_PDI_Cash_Exception_Application[[#This Row],[CHANGED ON]]</f>
        <v>7.7429282407392748</v>
      </c>
    </row>
    <row r="1585" spans="1:14" x14ac:dyDescent="0.35">
      <c r="A1585">
        <v>1001</v>
      </c>
      <c r="B1585" t="s">
        <v>55</v>
      </c>
      <c r="C1585" s="1">
        <v>45194.257071759261</v>
      </c>
      <c r="D1585" t="str">
        <f ca="1">VLOOKUP(qry_ProdData2_PDI_Cash_Exception_Application[[#This Row],[TYPE]],#REF!,2,FALSE)</f>
        <v>type22</v>
      </c>
      <c r="E1585">
        <v>547.14</v>
      </c>
      <c r="F1585" t="s">
        <v>52</v>
      </c>
      <c r="G1585" s="1">
        <f>qry_ProdData2_PDI_Cash_Exception_Application[[#This Row],[INSERT DATE]]+2</f>
        <v>45196.257071759261</v>
      </c>
      <c r="H1585" t="str">
        <f>VLOOKUP(qry_ProdData2_PDI_Cash_Exception_Application[[#This Row],[MARKET No]],'Site Allocation'!$B$2:$C$37,2,FALSE)</f>
        <v>Analyst1</v>
      </c>
      <c r="I1585" s="4">
        <f t="shared" ca="1" si="24"/>
        <v>45203</v>
      </c>
      <c r="J1585" s="42">
        <f ca="1">TODAY()-qry_ProdData2_PDI_Cash_Exception_Application[[#This Row],[INSERT DATE]]</f>
        <v>8.7429282407392748</v>
      </c>
      <c r="K15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585">
        <f ca="1">qry_ProdData2_PDI_Cash_Exception_Application[[#This Row],[TODAY]]-qry_ProdData2_PDI_Cash_Exception_Application[[#This Row],[CHANGED ON]]</f>
        <v>6.7429282407392748</v>
      </c>
      <c r="M1585">
        <f ca="1">qry_ProdData2_PDI_Cash_Exception_Application[[#This Row],[TODAY]]-qry_ProdData2_PDI_Cash_Exception_Application[[#This Row],[CHANGED ON]]</f>
        <v>6.7429282407392748</v>
      </c>
      <c r="N1585">
        <f ca="1">qry_ProdData2_PDI_Cash_Exception_Application[[#This Row],[TODAY]]-qry_ProdData2_PDI_Cash_Exception_Application[[#This Row],[CHANGED ON]]</f>
        <v>6.7429282407392748</v>
      </c>
    </row>
    <row r="1586" spans="1:14" x14ac:dyDescent="0.35">
      <c r="A1586">
        <v>1029</v>
      </c>
      <c r="B1586" t="s">
        <v>83</v>
      </c>
      <c r="C1586" s="1">
        <v>45182.257071759261</v>
      </c>
      <c r="D1586" t="str">
        <f ca="1">VLOOKUP(qry_ProdData2_PDI_Cash_Exception_Application[[#This Row],[TYPE]],#REF!,2,FALSE)</f>
        <v>type10</v>
      </c>
      <c r="E1586">
        <v>64.5</v>
      </c>
      <c r="F1586" t="s">
        <v>51</v>
      </c>
      <c r="G1586" s="1">
        <f>qry_ProdData2_PDI_Cash_Exception_Application[[#This Row],[INSERT DATE]]+1</f>
        <v>45183.257071759261</v>
      </c>
      <c r="H1586" t="str">
        <f>VLOOKUP(qry_ProdData2_PDI_Cash_Exception_Application[[#This Row],[MARKET No]],'Site Allocation'!$B$2:$C$37,2,FALSE)</f>
        <v>Analyst5</v>
      </c>
      <c r="I1586" s="4">
        <f t="shared" ca="1" si="24"/>
        <v>45203</v>
      </c>
      <c r="J1586" s="42">
        <f ca="1">TODAY()-qry_ProdData2_PDI_Cash_Exception_Application[[#This Row],[INSERT DATE]]</f>
        <v>20.742928240739275</v>
      </c>
      <c r="K15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86">
        <f ca="1">qry_ProdData2_PDI_Cash_Exception_Application[[#This Row],[TODAY]]-qry_ProdData2_PDI_Cash_Exception_Application[[#This Row],[CHANGED ON]]</f>
        <v>19.742928240739275</v>
      </c>
      <c r="M1586">
        <f ca="1">qry_ProdData2_PDI_Cash_Exception_Application[[#This Row],[TODAY]]-qry_ProdData2_PDI_Cash_Exception_Application[[#This Row],[CHANGED ON]]</f>
        <v>19.742928240739275</v>
      </c>
      <c r="N1586">
        <f ca="1">qry_ProdData2_PDI_Cash_Exception_Application[[#This Row],[TODAY]]-qry_ProdData2_PDI_Cash_Exception_Application[[#This Row],[CHANGED ON]]</f>
        <v>19.742928240739275</v>
      </c>
    </row>
    <row r="1587" spans="1:14" x14ac:dyDescent="0.35">
      <c r="A1587">
        <v>1015</v>
      </c>
      <c r="B1587" t="s">
        <v>69</v>
      </c>
      <c r="C1587" s="1">
        <v>45196.257071759261</v>
      </c>
      <c r="D1587" t="str">
        <f ca="1">VLOOKUP(qry_ProdData2_PDI_Cash_Exception_Application[[#This Row],[TYPE]],#REF!,2,FALSE)</f>
        <v>type35</v>
      </c>
      <c r="E1587">
        <v>619.75</v>
      </c>
      <c r="F1587" t="s">
        <v>52</v>
      </c>
      <c r="G1587" s="1">
        <f>qry_ProdData2_PDI_Cash_Exception_Application[[#This Row],[INSERT DATE]]+5</f>
        <v>45201.257071759261</v>
      </c>
      <c r="H1587" t="str">
        <f>VLOOKUP(qry_ProdData2_PDI_Cash_Exception_Application[[#This Row],[MARKET No]],'Site Allocation'!$B$2:$C$37,2,FALSE)</f>
        <v>Analyst3</v>
      </c>
      <c r="I1587" s="4">
        <f t="shared" ca="1" si="24"/>
        <v>45203</v>
      </c>
      <c r="J1587" s="42">
        <f ca="1">TODAY()-qry_ProdData2_PDI_Cash_Exception_Application[[#This Row],[INSERT DATE]]</f>
        <v>6.7429282407392748</v>
      </c>
      <c r="K15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587">
        <f ca="1">qry_ProdData2_PDI_Cash_Exception_Application[[#This Row],[TODAY]]-qry_ProdData2_PDI_Cash_Exception_Application[[#This Row],[CHANGED ON]]</f>
        <v>1.7429282407392748</v>
      </c>
      <c r="M1587">
        <f ca="1">qry_ProdData2_PDI_Cash_Exception_Application[[#This Row],[TODAY]]-qry_ProdData2_PDI_Cash_Exception_Application[[#This Row],[CHANGED ON]]</f>
        <v>1.7429282407392748</v>
      </c>
      <c r="N1587">
        <f ca="1">qry_ProdData2_PDI_Cash_Exception_Application[[#This Row],[TODAY]]-qry_ProdData2_PDI_Cash_Exception_Application[[#This Row],[CHANGED ON]]</f>
        <v>1.7429282407392748</v>
      </c>
    </row>
    <row r="1588" spans="1:14" x14ac:dyDescent="0.35">
      <c r="A1588">
        <v>1027</v>
      </c>
      <c r="B1588" t="s">
        <v>81</v>
      </c>
      <c r="C1588" s="1">
        <v>45197.257071759261</v>
      </c>
      <c r="D1588" t="str">
        <f ca="1">VLOOKUP(qry_ProdData2_PDI_Cash_Exception_Application[[#This Row],[TYPE]],#REF!,2,FALSE)</f>
        <v>type27</v>
      </c>
      <c r="E1588">
        <v>771.29</v>
      </c>
      <c r="F1588" t="s">
        <v>50</v>
      </c>
      <c r="G1588" s="1">
        <f>qry_ProdData2_PDI_Cash_Exception_Application[[#This Row],[INSERT DATE]]+5</f>
        <v>45202.257071759261</v>
      </c>
      <c r="H1588" t="str">
        <f>VLOOKUP(qry_ProdData2_PDI_Cash_Exception_Application[[#This Row],[MARKET No]],'Site Allocation'!$B$2:$C$37,2,FALSE)</f>
        <v>Analyst5</v>
      </c>
      <c r="I1588" s="4">
        <f t="shared" ca="1" si="24"/>
        <v>45203</v>
      </c>
      <c r="J1588" s="42">
        <f ca="1">TODAY()-qry_ProdData2_PDI_Cash_Exception_Application[[#This Row],[INSERT DATE]]</f>
        <v>5.7429282407392748</v>
      </c>
      <c r="K15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588">
        <f ca="1">qry_ProdData2_PDI_Cash_Exception_Application[[#This Row],[TODAY]]-qry_ProdData2_PDI_Cash_Exception_Application[[#This Row],[CHANGED ON]]</f>
        <v>0.74292824073927477</v>
      </c>
      <c r="M1588">
        <f ca="1">qry_ProdData2_PDI_Cash_Exception_Application[[#This Row],[TODAY]]-qry_ProdData2_PDI_Cash_Exception_Application[[#This Row],[CHANGED ON]]</f>
        <v>0.74292824073927477</v>
      </c>
      <c r="N1588">
        <f ca="1">qry_ProdData2_PDI_Cash_Exception_Application[[#This Row],[TODAY]]-qry_ProdData2_PDI_Cash_Exception_Application[[#This Row],[CHANGED ON]]</f>
        <v>0.74292824073927477</v>
      </c>
    </row>
    <row r="1589" spans="1:14" x14ac:dyDescent="0.35">
      <c r="A1589">
        <v>1031</v>
      </c>
      <c r="B1589" t="s">
        <v>85</v>
      </c>
      <c r="C1589" s="1">
        <v>45182.257071759261</v>
      </c>
      <c r="D1589" t="str">
        <f ca="1">VLOOKUP(qry_ProdData2_PDI_Cash_Exception_Application[[#This Row],[TYPE]],#REF!,2,FALSE)</f>
        <v>type40</v>
      </c>
      <c r="E1589">
        <v>-1485.02</v>
      </c>
      <c r="F1589" t="s">
        <v>49</v>
      </c>
      <c r="G1589" s="1">
        <f>qry_ProdData2_PDI_Cash_Exception_Application[[#This Row],[INSERT DATE]]+2</f>
        <v>45184.257071759261</v>
      </c>
      <c r="H1589" t="str">
        <f>VLOOKUP(qry_ProdData2_PDI_Cash_Exception_Application[[#This Row],[MARKET No]],'Site Allocation'!$B$2:$C$37,2,FALSE)</f>
        <v>Analyst6</v>
      </c>
      <c r="I1589" s="4">
        <f t="shared" ca="1" si="24"/>
        <v>45203</v>
      </c>
      <c r="J1589" s="42">
        <f ca="1">TODAY()-qry_ProdData2_PDI_Cash_Exception_Application[[#This Row],[INSERT DATE]]</f>
        <v>20.742928240739275</v>
      </c>
      <c r="K15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89">
        <f ca="1">qry_ProdData2_PDI_Cash_Exception_Application[[#This Row],[TODAY]]-qry_ProdData2_PDI_Cash_Exception_Application[[#This Row],[CHANGED ON]]</f>
        <v>18.742928240739275</v>
      </c>
      <c r="M1589">
        <f ca="1">qry_ProdData2_PDI_Cash_Exception_Application[[#This Row],[TODAY]]-qry_ProdData2_PDI_Cash_Exception_Application[[#This Row],[CHANGED ON]]</f>
        <v>18.742928240739275</v>
      </c>
      <c r="N1589">
        <f ca="1">qry_ProdData2_PDI_Cash_Exception_Application[[#This Row],[TODAY]]-qry_ProdData2_PDI_Cash_Exception_Application[[#This Row],[CHANGED ON]]</f>
        <v>18.742928240739275</v>
      </c>
    </row>
    <row r="1590" spans="1:14" x14ac:dyDescent="0.35">
      <c r="A1590">
        <v>1011</v>
      </c>
      <c r="B1590" t="s">
        <v>65</v>
      </c>
      <c r="C1590" s="1">
        <v>45185.257071759261</v>
      </c>
      <c r="D1590" t="str">
        <f ca="1">VLOOKUP(qry_ProdData2_PDI_Cash_Exception_Application[[#This Row],[TYPE]],#REF!,2,FALSE)</f>
        <v>type35</v>
      </c>
      <c r="E1590">
        <v>779.75</v>
      </c>
      <c r="F1590" t="s">
        <v>51</v>
      </c>
      <c r="G1590" s="1">
        <f>qry_ProdData2_PDI_Cash_Exception_Application[[#This Row],[INSERT DATE]]+2</f>
        <v>45187.257071759261</v>
      </c>
      <c r="H1590" t="str">
        <f>VLOOKUP(qry_ProdData2_PDI_Cash_Exception_Application[[#This Row],[MARKET No]],'Site Allocation'!$B$2:$C$37,2,FALSE)</f>
        <v>Analyst2</v>
      </c>
      <c r="I1590" s="4">
        <f t="shared" ca="1" si="24"/>
        <v>45203</v>
      </c>
      <c r="J1590" s="42">
        <f ca="1">TODAY()-qry_ProdData2_PDI_Cash_Exception_Application[[#This Row],[INSERT DATE]]</f>
        <v>17.742928240739275</v>
      </c>
      <c r="K15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90">
        <f ca="1">qry_ProdData2_PDI_Cash_Exception_Application[[#This Row],[TODAY]]-qry_ProdData2_PDI_Cash_Exception_Application[[#This Row],[CHANGED ON]]</f>
        <v>15.742928240739275</v>
      </c>
      <c r="M1590">
        <f ca="1">qry_ProdData2_PDI_Cash_Exception_Application[[#This Row],[TODAY]]-qry_ProdData2_PDI_Cash_Exception_Application[[#This Row],[CHANGED ON]]</f>
        <v>15.742928240739275</v>
      </c>
      <c r="N1590">
        <f ca="1">qry_ProdData2_PDI_Cash_Exception_Application[[#This Row],[TODAY]]-qry_ProdData2_PDI_Cash_Exception_Application[[#This Row],[CHANGED ON]]</f>
        <v>15.742928240739275</v>
      </c>
    </row>
    <row r="1591" spans="1:14" x14ac:dyDescent="0.35">
      <c r="A1591">
        <v>1020</v>
      </c>
      <c r="B1591" t="s">
        <v>74</v>
      </c>
      <c r="C1591" s="1">
        <v>45181.257071759261</v>
      </c>
      <c r="D1591" t="str">
        <f ca="1">VLOOKUP(qry_ProdData2_PDI_Cash_Exception_Application[[#This Row],[TYPE]],#REF!,2,FALSE)</f>
        <v>type40</v>
      </c>
      <c r="E1591">
        <v>13.63</v>
      </c>
      <c r="F1591" t="s">
        <v>50</v>
      </c>
      <c r="G1591" s="1">
        <f>qry_ProdData2_PDI_Cash_Exception_Application[[#This Row],[INSERT DATE]]+5</f>
        <v>45186.257071759261</v>
      </c>
      <c r="H1591" t="str">
        <f>VLOOKUP(qry_ProdData2_PDI_Cash_Exception_Application[[#This Row],[MARKET No]],'Site Allocation'!$B$2:$C$37,2,FALSE)</f>
        <v>Analyst4</v>
      </c>
      <c r="I1591" s="4">
        <f t="shared" ca="1" si="24"/>
        <v>45203</v>
      </c>
      <c r="J1591" s="42">
        <f ca="1">TODAY()-qry_ProdData2_PDI_Cash_Exception_Application[[#This Row],[INSERT DATE]]</f>
        <v>21.742928240739275</v>
      </c>
      <c r="K15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91">
        <f ca="1">qry_ProdData2_PDI_Cash_Exception_Application[[#This Row],[TODAY]]-qry_ProdData2_PDI_Cash_Exception_Application[[#This Row],[CHANGED ON]]</f>
        <v>16.742928240739275</v>
      </c>
      <c r="M1591">
        <f ca="1">qry_ProdData2_PDI_Cash_Exception_Application[[#This Row],[TODAY]]-qry_ProdData2_PDI_Cash_Exception_Application[[#This Row],[CHANGED ON]]</f>
        <v>16.742928240739275</v>
      </c>
      <c r="N1591">
        <f ca="1">qry_ProdData2_PDI_Cash_Exception_Application[[#This Row],[TODAY]]-qry_ProdData2_PDI_Cash_Exception_Application[[#This Row],[CHANGED ON]]</f>
        <v>16.742928240739275</v>
      </c>
    </row>
    <row r="1592" spans="1:14" x14ac:dyDescent="0.35">
      <c r="A1592">
        <v>1001</v>
      </c>
      <c r="B1592" t="s">
        <v>55</v>
      </c>
      <c r="C1592" s="1">
        <v>45182.257071759261</v>
      </c>
      <c r="D1592" t="str">
        <f ca="1">VLOOKUP(qry_ProdData2_PDI_Cash_Exception_Application[[#This Row],[TYPE]],#REF!,2,FALSE)</f>
        <v>type40</v>
      </c>
      <c r="E1592">
        <v>-1540.61</v>
      </c>
      <c r="F1592" t="s">
        <v>50</v>
      </c>
      <c r="G1592" s="1">
        <f>qry_ProdData2_PDI_Cash_Exception_Application[[#This Row],[INSERT DATE]]+5</f>
        <v>45187.257071759261</v>
      </c>
      <c r="H1592" t="str">
        <f>VLOOKUP(qry_ProdData2_PDI_Cash_Exception_Application[[#This Row],[MARKET No]],'Site Allocation'!$B$2:$C$37,2,FALSE)</f>
        <v>Analyst1</v>
      </c>
      <c r="I1592" s="4">
        <f t="shared" ca="1" si="24"/>
        <v>45203</v>
      </c>
      <c r="J1592" s="42">
        <f ca="1">TODAY()-qry_ProdData2_PDI_Cash_Exception_Application[[#This Row],[INSERT DATE]]</f>
        <v>20.742928240739275</v>
      </c>
      <c r="K15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92">
        <f ca="1">qry_ProdData2_PDI_Cash_Exception_Application[[#This Row],[TODAY]]-qry_ProdData2_PDI_Cash_Exception_Application[[#This Row],[CHANGED ON]]</f>
        <v>15.742928240739275</v>
      </c>
      <c r="M1592">
        <f ca="1">qry_ProdData2_PDI_Cash_Exception_Application[[#This Row],[TODAY]]-qry_ProdData2_PDI_Cash_Exception_Application[[#This Row],[CHANGED ON]]</f>
        <v>15.742928240739275</v>
      </c>
      <c r="N1592">
        <f ca="1">qry_ProdData2_PDI_Cash_Exception_Application[[#This Row],[TODAY]]-qry_ProdData2_PDI_Cash_Exception_Application[[#This Row],[CHANGED ON]]</f>
        <v>15.742928240739275</v>
      </c>
    </row>
    <row r="1593" spans="1:14" x14ac:dyDescent="0.35">
      <c r="A1593">
        <v>1021</v>
      </c>
      <c r="B1593" t="s">
        <v>75</v>
      </c>
      <c r="C1593" s="1">
        <v>45189.257071759261</v>
      </c>
      <c r="D1593" t="str">
        <f ca="1">VLOOKUP(qry_ProdData2_PDI_Cash_Exception_Application[[#This Row],[TYPE]],#REF!,2,FALSE)</f>
        <v>type7</v>
      </c>
      <c r="E1593">
        <v>1483.99</v>
      </c>
      <c r="F1593" t="s">
        <v>47</v>
      </c>
      <c r="G1593" s="1">
        <f>qry_ProdData2_PDI_Cash_Exception_Application[[#This Row],[INSERT DATE]]+2</f>
        <v>45191.257071759261</v>
      </c>
      <c r="H1593" t="str">
        <f>VLOOKUP(qry_ProdData2_PDI_Cash_Exception_Application[[#This Row],[MARKET No]],'Site Allocation'!$B$2:$C$37,2,FALSE)</f>
        <v>Analyst4</v>
      </c>
      <c r="I1593" s="4">
        <f t="shared" ca="1" si="24"/>
        <v>45203</v>
      </c>
      <c r="J1593" s="42">
        <f ca="1">TODAY()-qry_ProdData2_PDI_Cash_Exception_Application[[#This Row],[INSERT DATE]]</f>
        <v>13.742928240739275</v>
      </c>
      <c r="K15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93">
        <f ca="1">qry_ProdData2_PDI_Cash_Exception_Application[[#This Row],[TODAY]]-qry_ProdData2_PDI_Cash_Exception_Application[[#This Row],[CHANGED ON]]</f>
        <v>11.742928240739275</v>
      </c>
      <c r="M1593">
        <f ca="1">qry_ProdData2_PDI_Cash_Exception_Application[[#This Row],[TODAY]]-qry_ProdData2_PDI_Cash_Exception_Application[[#This Row],[CHANGED ON]]</f>
        <v>11.742928240739275</v>
      </c>
      <c r="N1593">
        <f ca="1">qry_ProdData2_PDI_Cash_Exception_Application[[#This Row],[TODAY]]-qry_ProdData2_PDI_Cash_Exception_Application[[#This Row],[CHANGED ON]]</f>
        <v>11.742928240739275</v>
      </c>
    </row>
    <row r="1594" spans="1:14" x14ac:dyDescent="0.35">
      <c r="A1594">
        <v>1020</v>
      </c>
      <c r="B1594" t="s">
        <v>74</v>
      </c>
      <c r="C1594" s="1">
        <v>45185.257071759261</v>
      </c>
      <c r="D1594" t="str">
        <f ca="1">VLOOKUP(qry_ProdData2_PDI_Cash_Exception_Application[[#This Row],[TYPE]],#REF!,2,FALSE)</f>
        <v>type40</v>
      </c>
      <c r="E1594">
        <v>-1204.0899999999999</v>
      </c>
      <c r="F1594" t="s">
        <v>48</v>
      </c>
      <c r="G1594" s="1">
        <f>qry_ProdData2_PDI_Cash_Exception_Application[[#This Row],[INSERT DATE]]+7</f>
        <v>45192.257071759261</v>
      </c>
      <c r="H1594" t="str">
        <f>VLOOKUP(qry_ProdData2_PDI_Cash_Exception_Application[[#This Row],[MARKET No]],'Site Allocation'!$B$2:$C$37,2,FALSE)</f>
        <v>Analyst4</v>
      </c>
      <c r="I1594" s="4">
        <f t="shared" ca="1" si="24"/>
        <v>45203</v>
      </c>
      <c r="J1594" s="42">
        <f ca="1">TODAY()-qry_ProdData2_PDI_Cash_Exception_Application[[#This Row],[INSERT DATE]]</f>
        <v>17.742928240739275</v>
      </c>
      <c r="K15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94">
        <f ca="1">qry_ProdData2_PDI_Cash_Exception_Application[[#This Row],[TODAY]]-qry_ProdData2_PDI_Cash_Exception_Application[[#This Row],[CHANGED ON]]</f>
        <v>10.742928240739275</v>
      </c>
      <c r="M1594">
        <f ca="1">qry_ProdData2_PDI_Cash_Exception_Application[[#This Row],[TODAY]]-qry_ProdData2_PDI_Cash_Exception_Application[[#This Row],[CHANGED ON]]</f>
        <v>10.742928240739275</v>
      </c>
      <c r="N1594">
        <f ca="1">qry_ProdData2_PDI_Cash_Exception_Application[[#This Row],[TODAY]]-qry_ProdData2_PDI_Cash_Exception_Application[[#This Row],[CHANGED ON]]</f>
        <v>10.742928240739275</v>
      </c>
    </row>
    <row r="1595" spans="1:14" x14ac:dyDescent="0.35">
      <c r="A1595">
        <v>1028</v>
      </c>
      <c r="B1595" t="s">
        <v>82</v>
      </c>
      <c r="C1595" s="1">
        <v>45185.257071759261</v>
      </c>
      <c r="D1595" t="str">
        <f ca="1">VLOOKUP(qry_ProdData2_PDI_Cash_Exception_Application[[#This Row],[TYPE]],#REF!,2,FALSE)</f>
        <v>type40</v>
      </c>
      <c r="E1595">
        <v>-1007.99</v>
      </c>
      <c r="F1595" t="s">
        <v>49</v>
      </c>
      <c r="G1595" s="1">
        <f>qry_ProdData2_PDI_Cash_Exception_Application[[#This Row],[INSERT DATE]]+2</f>
        <v>45187.257071759261</v>
      </c>
      <c r="H1595" t="str">
        <f>VLOOKUP(qry_ProdData2_PDI_Cash_Exception_Application[[#This Row],[MARKET No]],'Site Allocation'!$B$2:$C$37,2,FALSE)</f>
        <v>Analyst5</v>
      </c>
      <c r="I1595" s="4">
        <f t="shared" ca="1" si="24"/>
        <v>45203</v>
      </c>
      <c r="J1595" s="42">
        <f ca="1">TODAY()-qry_ProdData2_PDI_Cash_Exception_Application[[#This Row],[INSERT DATE]]</f>
        <v>17.742928240739275</v>
      </c>
      <c r="K15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95">
        <f ca="1">qry_ProdData2_PDI_Cash_Exception_Application[[#This Row],[TODAY]]-qry_ProdData2_PDI_Cash_Exception_Application[[#This Row],[CHANGED ON]]</f>
        <v>15.742928240739275</v>
      </c>
      <c r="M1595">
        <f ca="1">qry_ProdData2_PDI_Cash_Exception_Application[[#This Row],[TODAY]]-qry_ProdData2_PDI_Cash_Exception_Application[[#This Row],[CHANGED ON]]</f>
        <v>15.742928240739275</v>
      </c>
      <c r="N1595">
        <f ca="1">qry_ProdData2_PDI_Cash_Exception_Application[[#This Row],[TODAY]]-qry_ProdData2_PDI_Cash_Exception_Application[[#This Row],[CHANGED ON]]</f>
        <v>15.742928240739275</v>
      </c>
    </row>
    <row r="1596" spans="1:14" x14ac:dyDescent="0.35">
      <c r="A1596">
        <v>1003</v>
      </c>
      <c r="B1596" t="s">
        <v>57</v>
      </c>
      <c r="C1596" s="1">
        <v>45190.257071759261</v>
      </c>
      <c r="D1596" t="str">
        <f ca="1">VLOOKUP(qry_ProdData2_PDI_Cash_Exception_Application[[#This Row],[TYPE]],#REF!,2,FALSE)</f>
        <v>type40</v>
      </c>
      <c r="E1596">
        <v>-560.37</v>
      </c>
      <c r="F1596" t="s">
        <v>47</v>
      </c>
      <c r="G1596" s="1">
        <f>qry_ProdData2_PDI_Cash_Exception_Application[[#This Row],[INSERT DATE]]+7</f>
        <v>45197.257071759261</v>
      </c>
      <c r="H1596" t="str">
        <f>VLOOKUP(qry_ProdData2_PDI_Cash_Exception_Application[[#This Row],[MARKET No]],'Site Allocation'!$B$2:$C$37,2,FALSE)</f>
        <v>Analyst1</v>
      </c>
      <c r="I1596" s="4">
        <f t="shared" ca="1" si="24"/>
        <v>45203</v>
      </c>
      <c r="J1596" s="42">
        <f ca="1">TODAY()-qry_ProdData2_PDI_Cash_Exception_Application[[#This Row],[INSERT DATE]]</f>
        <v>12.742928240739275</v>
      </c>
      <c r="K15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96">
        <f ca="1">qry_ProdData2_PDI_Cash_Exception_Application[[#This Row],[TODAY]]-qry_ProdData2_PDI_Cash_Exception_Application[[#This Row],[CHANGED ON]]</f>
        <v>5.7429282407392748</v>
      </c>
      <c r="M1596">
        <f ca="1">qry_ProdData2_PDI_Cash_Exception_Application[[#This Row],[TODAY]]-qry_ProdData2_PDI_Cash_Exception_Application[[#This Row],[CHANGED ON]]</f>
        <v>5.7429282407392748</v>
      </c>
      <c r="N1596">
        <f ca="1">qry_ProdData2_PDI_Cash_Exception_Application[[#This Row],[TODAY]]-qry_ProdData2_PDI_Cash_Exception_Application[[#This Row],[CHANGED ON]]</f>
        <v>5.7429282407392748</v>
      </c>
    </row>
    <row r="1597" spans="1:14" x14ac:dyDescent="0.35">
      <c r="A1597">
        <v>1024</v>
      </c>
      <c r="B1597" t="s">
        <v>78</v>
      </c>
      <c r="C1597" s="1">
        <v>45184.257071759261</v>
      </c>
      <c r="D1597" t="str">
        <f ca="1">VLOOKUP(qry_ProdData2_PDI_Cash_Exception_Application[[#This Row],[TYPE]],#REF!,2,FALSE)</f>
        <v>type13</v>
      </c>
      <c r="E1597">
        <v>25312.98</v>
      </c>
      <c r="F1597" t="s">
        <v>52</v>
      </c>
      <c r="G1597" s="1">
        <f>qry_ProdData2_PDI_Cash_Exception_Application[[#This Row],[INSERT DATE]]+7</f>
        <v>45191.257071759261</v>
      </c>
      <c r="H1597" t="str">
        <f>VLOOKUP(qry_ProdData2_PDI_Cash_Exception_Application[[#This Row],[MARKET No]],'Site Allocation'!$B$2:$C$37,2,FALSE)</f>
        <v>Analyst5</v>
      </c>
      <c r="I1597" s="4">
        <f t="shared" ca="1" si="24"/>
        <v>45203</v>
      </c>
      <c r="J1597" s="42">
        <f ca="1">TODAY()-qry_ProdData2_PDI_Cash_Exception_Application[[#This Row],[INSERT DATE]]</f>
        <v>18.742928240739275</v>
      </c>
      <c r="K15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97">
        <f ca="1">qry_ProdData2_PDI_Cash_Exception_Application[[#This Row],[TODAY]]-qry_ProdData2_PDI_Cash_Exception_Application[[#This Row],[CHANGED ON]]</f>
        <v>11.742928240739275</v>
      </c>
      <c r="M1597">
        <f ca="1">qry_ProdData2_PDI_Cash_Exception_Application[[#This Row],[TODAY]]-qry_ProdData2_PDI_Cash_Exception_Application[[#This Row],[CHANGED ON]]</f>
        <v>11.742928240739275</v>
      </c>
      <c r="N1597">
        <f ca="1">qry_ProdData2_PDI_Cash_Exception_Application[[#This Row],[TODAY]]-qry_ProdData2_PDI_Cash_Exception_Application[[#This Row],[CHANGED ON]]</f>
        <v>11.742928240739275</v>
      </c>
    </row>
    <row r="1598" spans="1:14" x14ac:dyDescent="0.35">
      <c r="A1598">
        <v>1028</v>
      </c>
      <c r="B1598" t="s">
        <v>82</v>
      </c>
      <c r="C1598" s="1">
        <v>45185.257071759261</v>
      </c>
      <c r="D1598" t="str">
        <f ca="1">VLOOKUP(qry_ProdData2_PDI_Cash_Exception_Application[[#This Row],[TYPE]],#REF!,2,FALSE)</f>
        <v>type22</v>
      </c>
      <c r="E1598">
        <v>1149.7</v>
      </c>
      <c r="F1598" t="s">
        <v>50</v>
      </c>
      <c r="G1598" s="1">
        <f>qry_ProdData2_PDI_Cash_Exception_Application[[#This Row],[INSERT DATE]]+7</f>
        <v>45192.257071759261</v>
      </c>
      <c r="H1598" t="str">
        <f>VLOOKUP(qry_ProdData2_PDI_Cash_Exception_Application[[#This Row],[MARKET No]],'Site Allocation'!$B$2:$C$37,2,FALSE)</f>
        <v>Analyst5</v>
      </c>
      <c r="I1598" s="4">
        <f t="shared" ca="1" si="24"/>
        <v>45203</v>
      </c>
      <c r="J1598" s="42">
        <f ca="1">TODAY()-qry_ProdData2_PDI_Cash_Exception_Application[[#This Row],[INSERT DATE]]</f>
        <v>17.742928240739275</v>
      </c>
      <c r="K15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98">
        <f ca="1">qry_ProdData2_PDI_Cash_Exception_Application[[#This Row],[TODAY]]-qry_ProdData2_PDI_Cash_Exception_Application[[#This Row],[CHANGED ON]]</f>
        <v>10.742928240739275</v>
      </c>
      <c r="M1598">
        <f ca="1">qry_ProdData2_PDI_Cash_Exception_Application[[#This Row],[TODAY]]-qry_ProdData2_PDI_Cash_Exception_Application[[#This Row],[CHANGED ON]]</f>
        <v>10.742928240739275</v>
      </c>
      <c r="N1598">
        <f ca="1">qry_ProdData2_PDI_Cash_Exception_Application[[#This Row],[TODAY]]-qry_ProdData2_PDI_Cash_Exception_Application[[#This Row],[CHANGED ON]]</f>
        <v>10.742928240739275</v>
      </c>
    </row>
    <row r="1599" spans="1:14" x14ac:dyDescent="0.35">
      <c r="A1599">
        <v>1018</v>
      </c>
      <c r="B1599" t="s">
        <v>72</v>
      </c>
      <c r="C1599" s="1">
        <v>45185.257071759261</v>
      </c>
      <c r="D1599" t="str">
        <f ca="1">VLOOKUP(qry_ProdData2_PDI_Cash_Exception_Application[[#This Row],[TYPE]],#REF!,2,FALSE)</f>
        <v>type40</v>
      </c>
      <c r="E1599">
        <v>8.7799999999999994</v>
      </c>
      <c r="F1599" t="s">
        <v>52</v>
      </c>
      <c r="G1599" s="1">
        <f>qry_ProdData2_PDI_Cash_Exception_Application[[#This Row],[INSERT DATE]]+7</f>
        <v>45192.257071759261</v>
      </c>
      <c r="H1599" t="str">
        <f>VLOOKUP(qry_ProdData2_PDI_Cash_Exception_Application[[#This Row],[MARKET No]],'Site Allocation'!$B$2:$C$37,2,FALSE)</f>
        <v>Analyst4</v>
      </c>
      <c r="I1599" s="4">
        <f t="shared" ca="1" si="24"/>
        <v>45203</v>
      </c>
      <c r="J1599" s="42">
        <f ca="1">TODAY()-qry_ProdData2_PDI_Cash_Exception_Application[[#This Row],[INSERT DATE]]</f>
        <v>17.742928240739275</v>
      </c>
      <c r="K15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599">
        <f ca="1">qry_ProdData2_PDI_Cash_Exception_Application[[#This Row],[TODAY]]-qry_ProdData2_PDI_Cash_Exception_Application[[#This Row],[CHANGED ON]]</f>
        <v>10.742928240739275</v>
      </c>
      <c r="M1599">
        <f ca="1">qry_ProdData2_PDI_Cash_Exception_Application[[#This Row],[TODAY]]-qry_ProdData2_PDI_Cash_Exception_Application[[#This Row],[CHANGED ON]]</f>
        <v>10.742928240739275</v>
      </c>
      <c r="N1599">
        <f ca="1">qry_ProdData2_PDI_Cash_Exception_Application[[#This Row],[TODAY]]-qry_ProdData2_PDI_Cash_Exception_Application[[#This Row],[CHANGED ON]]</f>
        <v>10.742928240739275</v>
      </c>
    </row>
    <row r="1600" spans="1:14" x14ac:dyDescent="0.35">
      <c r="A1600">
        <v>1004</v>
      </c>
      <c r="B1600" t="s">
        <v>58</v>
      </c>
      <c r="C1600" s="1">
        <v>45187.257071759261</v>
      </c>
      <c r="D1600" t="str">
        <f ca="1">VLOOKUP(qry_ProdData2_PDI_Cash_Exception_Application[[#This Row],[TYPE]],#REF!,2,FALSE)</f>
        <v>type40</v>
      </c>
      <c r="E1600">
        <v>-2598</v>
      </c>
      <c r="F1600" t="s">
        <v>49</v>
      </c>
      <c r="G1600" s="1">
        <f>qry_ProdData2_PDI_Cash_Exception_Application[[#This Row],[INSERT DATE]]+7</f>
        <v>45194.257071759261</v>
      </c>
      <c r="H1600" t="str">
        <f>VLOOKUP(qry_ProdData2_PDI_Cash_Exception_Application[[#This Row],[MARKET No]],'Site Allocation'!$B$2:$C$37,2,FALSE)</f>
        <v>Analyst1</v>
      </c>
      <c r="I1600" s="4">
        <f t="shared" ca="1" si="24"/>
        <v>45203</v>
      </c>
      <c r="J1600" s="42">
        <f ca="1">TODAY()-qry_ProdData2_PDI_Cash_Exception_Application[[#This Row],[INSERT DATE]]</f>
        <v>15.742928240739275</v>
      </c>
      <c r="K16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00">
        <f ca="1">qry_ProdData2_PDI_Cash_Exception_Application[[#This Row],[TODAY]]-qry_ProdData2_PDI_Cash_Exception_Application[[#This Row],[CHANGED ON]]</f>
        <v>8.7429282407392748</v>
      </c>
      <c r="M1600">
        <f ca="1">qry_ProdData2_PDI_Cash_Exception_Application[[#This Row],[TODAY]]-qry_ProdData2_PDI_Cash_Exception_Application[[#This Row],[CHANGED ON]]</f>
        <v>8.7429282407392748</v>
      </c>
      <c r="N1600">
        <f ca="1">qry_ProdData2_PDI_Cash_Exception_Application[[#This Row],[TODAY]]-qry_ProdData2_PDI_Cash_Exception_Application[[#This Row],[CHANGED ON]]</f>
        <v>8.7429282407392748</v>
      </c>
    </row>
    <row r="1601" spans="1:14" x14ac:dyDescent="0.35">
      <c r="A1601">
        <v>1019</v>
      </c>
      <c r="B1601" t="s">
        <v>73</v>
      </c>
      <c r="C1601" s="1">
        <v>45192.257071759261</v>
      </c>
      <c r="D1601" t="str">
        <f ca="1">VLOOKUP(qry_ProdData2_PDI_Cash_Exception_Application[[#This Row],[TYPE]],#REF!,2,FALSE)</f>
        <v>type5</v>
      </c>
      <c r="E1601">
        <v>645</v>
      </c>
      <c r="F1601" t="s">
        <v>49</v>
      </c>
      <c r="G1601" s="1">
        <f>qry_ProdData2_PDI_Cash_Exception_Application[[#This Row],[INSERT DATE]]+7</f>
        <v>45199.257071759261</v>
      </c>
      <c r="H1601" t="str">
        <f>VLOOKUP(qry_ProdData2_PDI_Cash_Exception_Application[[#This Row],[MARKET No]],'Site Allocation'!$B$2:$C$37,2,FALSE)</f>
        <v>Analyst4</v>
      </c>
      <c r="I1601" s="4">
        <f t="shared" ca="1" si="24"/>
        <v>45203</v>
      </c>
      <c r="J1601" s="42">
        <f ca="1">TODAY()-qry_ProdData2_PDI_Cash_Exception_Application[[#This Row],[INSERT DATE]]</f>
        <v>10.742928240739275</v>
      </c>
      <c r="K16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01">
        <f ca="1">qry_ProdData2_PDI_Cash_Exception_Application[[#This Row],[TODAY]]-qry_ProdData2_PDI_Cash_Exception_Application[[#This Row],[CHANGED ON]]</f>
        <v>3.7429282407392748</v>
      </c>
      <c r="M1601">
        <f ca="1">qry_ProdData2_PDI_Cash_Exception_Application[[#This Row],[TODAY]]-qry_ProdData2_PDI_Cash_Exception_Application[[#This Row],[CHANGED ON]]</f>
        <v>3.7429282407392748</v>
      </c>
      <c r="N1601">
        <f ca="1">qry_ProdData2_PDI_Cash_Exception_Application[[#This Row],[TODAY]]-qry_ProdData2_PDI_Cash_Exception_Application[[#This Row],[CHANGED ON]]</f>
        <v>3.7429282407392748</v>
      </c>
    </row>
    <row r="1602" spans="1:14" x14ac:dyDescent="0.35">
      <c r="A1602">
        <v>1006</v>
      </c>
      <c r="B1602" t="s">
        <v>60</v>
      </c>
      <c r="C1602" s="1">
        <v>45187.257071759261</v>
      </c>
      <c r="D1602" t="str">
        <f ca="1">VLOOKUP(qry_ProdData2_PDI_Cash_Exception_Application[[#This Row],[TYPE]],#REF!,2,FALSE)</f>
        <v>type9</v>
      </c>
      <c r="E1602">
        <v>50.85</v>
      </c>
      <c r="F1602" t="s">
        <v>50</v>
      </c>
      <c r="G1602" s="1">
        <f>qry_ProdData2_PDI_Cash_Exception_Application[[#This Row],[INSERT DATE]]+7</f>
        <v>45194.257071759261</v>
      </c>
      <c r="H1602" t="str">
        <f>VLOOKUP(qry_ProdData2_PDI_Cash_Exception_Application[[#This Row],[MARKET No]],'Site Allocation'!$B$2:$C$37,2,FALSE)</f>
        <v>Analyst2</v>
      </c>
      <c r="I1602" s="4">
        <f t="shared" ref="I1602:I1665" ca="1" si="25">TODAY()</f>
        <v>45203</v>
      </c>
      <c r="J1602" s="42">
        <f ca="1">TODAY()-qry_ProdData2_PDI_Cash_Exception_Application[[#This Row],[INSERT DATE]]</f>
        <v>15.742928240739275</v>
      </c>
      <c r="K16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02">
        <f ca="1">qry_ProdData2_PDI_Cash_Exception_Application[[#This Row],[TODAY]]-qry_ProdData2_PDI_Cash_Exception_Application[[#This Row],[CHANGED ON]]</f>
        <v>8.7429282407392748</v>
      </c>
      <c r="M1602">
        <f ca="1">qry_ProdData2_PDI_Cash_Exception_Application[[#This Row],[TODAY]]-qry_ProdData2_PDI_Cash_Exception_Application[[#This Row],[CHANGED ON]]</f>
        <v>8.7429282407392748</v>
      </c>
      <c r="N1602">
        <f ca="1">qry_ProdData2_PDI_Cash_Exception_Application[[#This Row],[TODAY]]-qry_ProdData2_PDI_Cash_Exception_Application[[#This Row],[CHANGED ON]]</f>
        <v>8.7429282407392748</v>
      </c>
    </row>
    <row r="1603" spans="1:14" x14ac:dyDescent="0.35">
      <c r="A1603">
        <v>1000</v>
      </c>
      <c r="B1603" t="s">
        <v>54</v>
      </c>
      <c r="C1603" s="1">
        <v>45180.257071759261</v>
      </c>
      <c r="D1603" t="str">
        <f ca="1">VLOOKUP(qry_ProdData2_PDI_Cash_Exception_Application[[#This Row],[TYPE]],#REF!,2,FALSE)</f>
        <v>type7</v>
      </c>
      <c r="E1603">
        <v>-1340.8</v>
      </c>
      <c r="F1603" t="s">
        <v>49</v>
      </c>
      <c r="G1603" s="1">
        <f>qry_ProdData2_PDI_Cash_Exception_Application[[#This Row],[INSERT DATE]]+1</f>
        <v>45181.257071759261</v>
      </c>
      <c r="H1603" t="str">
        <f>VLOOKUP(qry_ProdData2_PDI_Cash_Exception_Application[[#This Row],[MARKET No]],'Site Allocation'!$B$2:$C$37,2,FALSE)</f>
        <v>Analyst1</v>
      </c>
      <c r="I1603" s="4">
        <f t="shared" ca="1" si="25"/>
        <v>45203</v>
      </c>
      <c r="J1603" s="42">
        <f ca="1">TODAY()-qry_ProdData2_PDI_Cash_Exception_Application[[#This Row],[INSERT DATE]]</f>
        <v>22.742928240739275</v>
      </c>
      <c r="K16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03">
        <f ca="1">qry_ProdData2_PDI_Cash_Exception_Application[[#This Row],[TODAY]]-qry_ProdData2_PDI_Cash_Exception_Application[[#This Row],[CHANGED ON]]</f>
        <v>21.742928240739275</v>
      </c>
      <c r="M1603">
        <f ca="1">qry_ProdData2_PDI_Cash_Exception_Application[[#This Row],[TODAY]]-qry_ProdData2_PDI_Cash_Exception_Application[[#This Row],[CHANGED ON]]</f>
        <v>21.742928240739275</v>
      </c>
      <c r="N1603">
        <f ca="1">qry_ProdData2_PDI_Cash_Exception_Application[[#This Row],[TODAY]]-qry_ProdData2_PDI_Cash_Exception_Application[[#This Row],[CHANGED ON]]</f>
        <v>21.742928240739275</v>
      </c>
    </row>
    <row r="1604" spans="1:14" x14ac:dyDescent="0.35">
      <c r="A1604">
        <v>1013</v>
      </c>
      <c r="B1604" t="s">
        <v>67</v>
      </c>
      <c r="C1604" s="1">
        <v>45187.257071759261</v>
      </c>
      <c r="D1604" t="str">
        <f ca="1">VLOOKUP(qry_ProdData2_PDI_Cash_Exception_Application[[#This Row],[TYPE]],#REF!,2,FALSE)</f>
        <v>type40</v>
      </c>
      <c r="E1604">
        <v>-607.73</v>
      </c>
      <c r="F1604" t="s">
        <v>48</v>
      </c>
      <c r="G1604" s="1">
        <f>qry_ProdData2_PDI_Cash_Exception_Application[[#This Row],[INSERT DATE]]+2</f>
        <v>45189.257071759261</v>
      </c>
      <c r="H1604" t="str">
        <f>VLOOKUP(qry_ProdData2_PDI_Cash_Exception_Application[[#This Row],[MARKET No]],'Site Allocation'!$B$2:$C$37,2,FALSE)</f>
        <v>Analyst3</v>
      </c>
      <c r="I1604" s="4">
        <f t="shared" ca="1" si="25"/>
        <v>45203</v>
      </c>
      <c r="J1604" s="42">
        <f ca="1">TODAY()-qry_ProdData2_PDI_Cash_Exception_Application[[#This Row],[INSERT DATE]]</f>
        <v>15.742928240739275</v>
      </c>
      <c r="K16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04">
        <f ca="1">qry_ProdData2_PDI_Cash_Exception_Application[[#This Row],[TODAY]]-qry_ProdData2_PDI_Cash_Exception_Application[[#This Row],[CHANGED ON]]</f>
        <v>13.742928240739275</v>
      </c>
      <c r="M1604">
        <f ca="1">qry_ProdData2_PDI_Cash_Exception_Application[[#This Row],[TODAY]]-qry_ProdData2_PDI_Cash_Exception_Application[[#This Row],[CHANGED ON]]</f>
        <v>13.742928240739275</v>
      </c>
      <c r="N1604">
        <f ca="1">qry_ProdData2_PDI_Cash_Exception_Application[[#This Row],[TODAY]]-qry_ProdData2_PDI_Cash_Exception_Application[[#This Row],[CHANGED ON]]</f>
        <v>13.742928240739275</v>
      </c>
    </row>
    <row r="1605" spans="1:14" x14ac:dyDescent="0.35">
      <c r="A1605">
        <v>1011</v>
      </c>
      <c r="B1605" t="s">
        <v>65</v>
      </c>
      <c r="C1605" s="1">
        <v>45185.257071759261</v>
      </c>
      <c r="D1605" t="str">
        <f ca="1">VLOOKUP(qry_ProdData2_PDI_Cash_Exception_Application[[#This Row],[TYPE]],#REF!,2,FALSE)</f>
        <v>type40</v>
      </c>
      <c r="E1605">
        <v>585.23</v>
      </c>
      <c r="F1605" t="s">
        <v>47</v>
      </c>
      <c r="G1605" s="1">
        <f>qry_ProdData2_PDI_Cash_Exception_Application[[#This Row],[INSERT DATE]]+1</f>
        <v>45186.257071759261</v>
      </c>
      <c r="H1605" t="str">
        <f>VLOOKUP(qry_ProdData2_PDI_Cash_Exception_Application[[#This Row],[MARKET No]],'Site Allocation'!$B$2:$C$37,2,FALSE)</f>
        <v>Analyst2</v>
      </c>
      <c r="I1605" s="4">
        <f t="shared" ca="1" si="25"/>
        <v>45203</v>
      </c>
      <c r="J1605" s="42">
        <f ca="1">TODAY()-qry_ProdData2_PDI_Cash_Exception_Application[[#This Row],[INSERT DATE]]</f>
        <v>17.742928240739275</v>
      </c>
      <c r="K16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05">
        <f ca="1">qry_ProdData2_PDI_Cash_Exception_Application[[#This Row],[TODAY]]-qry_ProdData2_PDI_Cash_Exception_Application[[#This Row],[CHANGED ON]]</f>
        <v>16.742928240739275</v>
      </c>
      <c r="M1605">
        <f ca="1">qry_ProdData2_PDI_Cash_Exception_Application[[#This Row],[TODAY]]-qry_ProdData2_PDI_Cash_Exception_Application[[#This Row],[CHANGED ON]]</f>
        <v>16.742928240739275</v>
      </c>
      <c r="N1605">
        <f ca="1">qry_ProdData2_PDI_Cash_Exception_Application[[#This Row],[TODAY]]-qry_ProdData2_PDI_Cash_Exception_Application[[#This Row],[CHANGED ON]]</f>
        <v>16.742928240739275</v>
      </c>
    </row>
    <row r="1606" spans="1:14" x14ac:dyDescent="0.35">
      <c r="A1606">
        <v>1013</v>
      </c>
      <c r="B1606" t="s">
        <v>67</v>
      </c>
      <c r="C1606" s="1">
        <v>45189.257071759261</v>
      </c>
      <c r="D1606" t="str">
        <f ca="1">VLOOKUP(qry_ProdData2_PDI_Cash_Exception_Application[[#This Row],[TYPE]],#REF!,2,FALSE)</f>
        <v>type13</v>
      </c>
      <c r="E1606">
        <v>30624.39</v>
      </c>
      <c r="F1606" t="s">
        <v>48</v>
      </c>
      <c r="G1606" s="1">
        <f>qry_ProdData2_PDI_Cash_Exception_Application[[#This Row],[INSERT DATE]]+2</f>
        <v>45191.257071759261</v>
      </c>
      <c r="H1606" t="str">
        <f>VLOOKUP(qry_ProdData2_PDI_Cash_Exception_Application[[#This Row],[MARKET No]],'Site Allocation'!$B$2:$C$37,2,FALSE)</f>
        <v>Analyst3</v>
      </c>
      <c r="I1606" s="4">
        <f t="shared" ca="1" si="25"/>
        <v>45203</v>
      </c>
      <c r="J1606" s="42">
        <f ca="1">TODAY()-qry_ProdData2_PDI_Cash_Exception_Application[[#This Row],[INSERT DATE]]</f>
        <v>13.742928240739275</v>
      </c>
      <c r="K16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06">
        <f ca="1">qry_ProdData2_PDI_Cash_Exception_Application[[#This Row],[TODAY]]-qry_ProdData2_PDI_Cash_Exception_Application[[#This Row],[CHANGED ON]]</f>
        <v>11.742928240739275</v>
      </c>
      <c r="M1606">
        <f ca="1">qry_ProdData2_PDI_Cash_Exception_Application[[#This Row],[TODAY]]-qry_ProdData2_PDI_Cash_Exception_Application[[#This Row],[CHANGED ON]]</f>
        <v>11.742928240739275</v>
      </c>
      <c r="N1606">
        <f ca="1">qry_ProdData2_PDI_Cash_Exception_Application[[#This Row],[TODAY]]-qry_ProdData2_PDI_Cash_Exception_Application[[#This Row],[CHANGED ON]]</f>
        <v>11.742928240739275</v>
      </c>
    </row>
    <row r="1607" spans="1:14" x14ac:dyDescent="0.35">
      <c r="A1607">
        <v>1014</v>
      </c>
      <c r="B1607" t="s">
        <v>68</v>
      </c>
      <c r="C1607" s="1">
        <v>45187.257071759261</v>
      </c>
      <c r="D1607" t="str">
        <f ca="1">VLOOKUP(qry_ProdData2_PDI_Cash_Exception_Application[[#This Row],[TYPE]],#REF!,2,FALSE)</f>
        <v>type40</v>
      </c>
      <c r="E1607">
        <v>977.81</v>
      </c>
      <c r="F1607" t="s">
        <v>47</v>
      </c>
      <c r="G1607" s="1">
        <f>qry_ProdData2_PDI_Cash_Exception_Application[[#This Row],[INSERT DATE]]+1</f>
        <v>45188.257071759261</v>
      </c>
      <c r="H1607" t="str">
        <f>VLOOKUP(qry_ProdData2_PDI_Cash_Exception_Application[[#This Row],[MARKET No]],'Site Allocation'!$B$2:$C$37,2,FALSE)</f>
        <v>Analyst3</v>
      </c>
      <c r="I1607" s="4">
        <f t="shared" ca="1" si="25"/>
        <v>45203</v>
      </c>
      <c r="J1607" s="42">
        <f ca="1">TODAY()-qry_ProdData2_PDI_Cash_Exception_Application[[#This Row],[INSERT DATE]]</f>
        <v>15.742928240739275</v>
      </c>
      <c r="K16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07">
        <f ca="1">qry_ProdData2_PDI_Cash_Exception_Application[[#This Row],[TODAY]]-qry_ProdData2_PDI_Cash_Exception_Application[[#This Row],[CHANGED ON]]</f>
        <v>14.742928240739275</v>
      </c>
      <c r="M1607">
        <f ca="1">qry_ProdData2_PDI_Cash_Exception_Application[[#This Row],[TODAY]]-qry_ProdData2_PDI_Cash_Exception_Application[[#This Row],[CHANGED ON]]</f>
        <v>14.742928240739275</v>
      </c>
      <c r="N1607">
        <f ca="1">qry_ProdData2_PDI_Cash_Exception_Application[[#This Row],[TODAY]]-qry_ProdData2_PDI_Cash_Exception_Application[[#This Row],[CHANGED ON]]</f>
        <v>14.742928240739275</v>
      </c>
    </row>
    <row r="1608" spans="1:14" x14ac:dyDescent="0.35">
      <c r="A1608">
        <v>1033</v>
      </c>
      <c r="B1608" t="s">
        <v>87</v>
      </c>
      <c r="C1608" s="1">
        <v>45191.257071759261</v>
      </c>
      <c r="D1608" t="str">
        <f ca="1">VLOOKUP(qry_ProdData2_PDI_Cash_Exception_Application[[#This Row],[TYPE]],#REF!,2,FALSE)</f>
        <v>type41</v>
      </c>
      <c r="E1608">
        <v>260.74</v>
      </c>
      <c r="F1608" t="s">
        <v>52</v>
      </c>
      <c r="G1608" s="1">
        <f>qry_ProdData2_PDI_Cash_Exception_Application[[#This Row],[INSERT DATE]]+7</f>
        <v>45198.257071759261</v>
      </c>
      <c r="H1608" t="str">
        <f>VLOOKUP(qry_ProdData2_PDI_Cash_Exception_Application[[#This Row],[MARKET No]],'Site Allocation'!$B$2:$C$37,2,FALSE)</f>
        <v>Analyst6</v>
      </c>
      <c r="I1608" s="4">
        <f t="shared" ca="1" si="25"/>
        <v>45203</v>
      </c>
      <c r="J1608" s="42">
        <f ca="1">TODAY()-qry_ProdData2_PDI_Cash_Exception_Application[[#This Row],[INSERT DATE]]</f>
        <v>11.742928240739275</v>
      </c>
      <c r="K16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08">
        <f ca="1">qry_ProdData2_PDI_Cash_Exception_Application[[#This Row],[TODAY]]-qry_ProdData2_PDI_Cash_Exception_Application[[#This Row],[CHANGED ON]]</f>
        <v>4.7429282407392748</v>
      </c>
      <c r="M1608">
        <f ca="1">qry_ProdData2_PDI_Cash_Exception_Application[[#This Row],[TODAY]]-qry_ProdData2_PDI_Cash_Exception_Application[[#This Row],[CHANGED ON]]</f>
        <v>4.7429282407392748</v>
      </c>
      <c r="N1608">
        <f ca="1">qry_ProdData2_PDI_Cash_Exception_Application[[#This Row],[TODAY]]-qry_ProdData2_PDI_Cash_Exception_Application[[#This Row],[CHANGED ON]]</f>
        <v>4.7429282407392748</v>
      </c>
    </row>
    <row r="1609" spans="1:14" x14ac:dyDescent="0.35">
      <c r="A1609">
        <v>1026</v>
      </c>
      <c r="B1609" t="s">
        <v>80</v>
      </c>
      <c r="C1609" s="1">
        <v>45192.257071759261</v>
      </c>
      <c r="D1609" t="str">
        <f ca="1">VLOOKUP(qry_ProdData2_PDI_Cash_Exception_Application[[#This Row],[TYPE]],#REF!,2,FALSE)</f>
        <v>type38</v>
      </c>
      <c r="E1609">
        <v>151.29</v>
      </c>
      <c r="F1609" t="s">
        <v>50</v>
      </c>
      <c r="G1609" s="1">
        <f>qry_ProdData2_PDI_Cash_Exception_Application[[#This Row],[INSERT DATE]]+7</f>
        <v>45199.257071759261</v>
      </c>
      <c r="H1609" t="str">
        <f>VLOOKUP(qry_ProdData2_PDI_Cash_Exception_Application[[#This Row],[MARKET No]],'Site Allocation'!$B$2:$C$37,2,FALSE)</f>
        <v>Analyst5</v>
      </c>
      <c r="I1609" s="4">
        <f t="shared" ca="1" si="25"/>
        <v>45203</v>
      </c>
      <c r="J1609" s="42">
        <f ca="1">TODAY()-qry_ProdData2_PDI_Cash_Exception_Application[[#This Row],[INSERT DATE]]</f>
        <v>10.742928240739275</v>
      </c>
      <c r="K16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09">
        <f ca="1">qry_ProdData2_PDI_Cash_Exception_Application[[#This Row],[TODAY]]-qry_ProdData2_PDI_Cash_Exception_Application[[#This Row],[CHANGED ON]]</f>
        <v>3.7429282407392748</v>
      </c>
      <c r="M1609">
        <f ca="1">qry_ProdData2_PDI_Cash_Exception_Application[[#This Row],[TODAY]]-qry_ProdData2_PDI_Cash_Exception_Application[[#This Row],[CHANGED ON]]</f>
        <v>3.7429282407392748</v>
      </c>
      <c r="N1609">
        <f ca="1">qry_ProdData2_PDI_Cash_Exception_Application[[#This Row],[TODAY]]-qry_ProdData2_PDI_Cash_Exception_Application[[#This Row],[CHANGED ON]]</f>
        <v>3.7429282407392748</v>
      </c>
    </row>
    <row r="1610" spans="1:14" x14ac:dyDescent="0.35">
      <c r="A1610">
        <v>1030</v>
      </c>
      <c r="B1610" t="s">
        <v>84</v>
      </c>
      <c r="C1610" s="1">
        <v>45190.257071759261</v>
      </c>
      <c r="D1610" t="str">
        <f ca="1">VLOOKUP(qry_ProdData2_PDI_Cash_Exception_Application[[#This Row],[TYPE]],#REF!,2,FALSE)</f>
        <v>type7</v>
      </c>
      <c r="E1610">
        <v>1730.68</v>
      </c>
      <c r="F1610" t="s">
        <v>47</v>
      </c>
      <c r="G1610" s="1">
        <f>qry_ProdData2_PDI_Cash_Exception_Application[[#This Row],[INSERT DATE]]+1</f>
        <v>45191.257071759261</v>
      </c>
      <c r="H1610" t="str">
        <f>VLOOKUP(qry_ProdData2_PDI_Cash_Exception_Application[[#This Row],[MARKET No]],'Site Allocation'!$B$2:$C$37,2,FALSE)</f>
        <v>Analyst6</v>
      </c>
      <c r="I1610" s="4">
        <f t="shared" ca="1" si="25"/>
        <v>45203</v>
      </c>
      <c r="J1610" s="42">
        <f ca="1">TODAY()-qry_ProdData2_PDI_Cash_Exception_Application[[#This Row],[INSERT DATE]]</f>
        <v>12.742928240739275</v>
      </c>
      <c r="K16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10">
        <f ca="1">qry_ProdData2_PDI_Cash_Exception_Application[[#This Row],[TODAY]]-qry_ProdData2_PDI_Cash_Exception_Application[[#This Row],[CHANGED ON]]</f>
        <v>11.742928240739275</v>
      </c>
      <c r="M1610">
        <f ca="1">qry_ProdData2_PDI_Cash_Exception_Application[[#This Row],[TODAY]]-qry_ProdData2_PDI_Cash_Exception_Application[[#This Row],[CHANGED ON]]</f>
        <v>11.742928240739275</v>
      </c>
      <c r="N1610">
        <f ca="1">qry_ProdData2_PDI_Cash_Exception_Application[[#This Row],[TODAY]]-qry_ProdData2_PDI_Cash_Exception_Application[[#This Row],[CHANGED ON]]</f>
        <v>11.742928240739275</v>
      </c>
    </row>
    <row r="1611" spans="1:14" x14ac:dyDescent="0.35">
      <c r="A1611">
        <v>1034</v>
      </c>
      <c r="B1611" t="s">
        <v>88</v>
      </c>
      <c r="C1611" s="1">
        <v>45194.257071759261</v>
      </c>
      <c r="D1611" t="str">
        <f ca="1">VLOOKUP(qry_ProdData2_PDI_Cash_Exception_Application[[#This Row],[TYPE]],#REF!,2,FALSE)</f>
        <v>type40</v>
      </c>
      <c r="E1611">
        <v>21.45</v>
      </c>
      <c r="F1611" t="s">
        <v>50</v>
      </c>
      <c r="G1611" s="1">
        <f>qry_ProdData2_PDI_Cash_Exception_Application[[#This Row],[INSERT DATE]]+7</f>
        <v>45201.257071759261</v>
      </c>
      <c r="H1611" t="str">
        <f>VLOOKUP(qry_ProdData2_PDI_Cash_Exception_Application[[#This Row],[MARKET No]],'Site Allocation'!$B$2:$C$37,2,FALSE)</f>
        <v>Analyst6</v>
      </c>
      <c r="I1611" s="4">
        <f t="shared" ca="1" si="25"/>
        <v>45203</v>
      </c>
      <c r="J1611" s="42">
        <f ca="1">TODAY()-qry_ProdData2_PDI_Cash_Exception_Application[[#This Row],[INSERT DATE]]</f>
        <v>8.7429282407392748</v>
      </c>
      <c r="K16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611">
        <f ca="1">qry_ProdData2_PDI_Cash_Exception_Application[[#This Row],[TODAY]]-qry_ProdData2_PDI_Cash_Exception_Application[[#This Row],[CHANGED ON]]</f>
        <v>1.7429282407392748</v>
      </c>
      <c r="M1611">
        <f ca="1">qry_ProdData2_PDI_Cash_Exception_Application[[#This Row],[TODAY]]-qry_ProdData2_PDI_Cash_Exception_Application[[#This Row],[CHANGED ON]]</f>
        <v>1.7429282407392748</v>
      </c>
      <c r="N1611">
        <f ca="1">qry_ProdData2_PDI_Cash_Exception_Application[[#This Row],[TODAY]]-qry_ProdData2_PDI_Cash_Exception_Application[[#This Row],[CHANGED ON]]</f>
        <v>1.7429282407392748</v>
      </c>
    </row>
    <row r="1612" spans="1:14" x14ac:dyDescent="0.35">
      <c r="A1612">
        <v>1034</v>
      </c>
      <c r="B1612" t="s">
        <v>88</v>
      </c>
      <c r="C1612" s="1">
        <v>45190.257071759261</v>
      </c>
      <c r="D1612" t="str">
        <f ca="1">VLOOKUP(qry_ProdData2_PDI_Cash_Exception_Application[[#This Row],[TYPE]],#REF!,2,FALSE)</f>
        <v>type40</v>
      </c>
      <c r="E1612">
        <v>-361.27</v>
      </c>
      <c r="F1612" t="s">
        <v>51</v>
      </c>
      <c r="G1612" s="1">
        <f>qry_ProdData2_PDI_Cash_Exception_Application[[#This Row],[INSERT DATE]]+2</f>
        <v>45192.257071759261</v>
      </c>
      <c r="H1612" t="str">
        <f>VLOOKUP(qry_ProdData2_PDI_Cash_Exception_Application[[#This Row],[MARKET No]],'Site Allocation'!$B$2:$C$37,2,FALSE)</f>
        <v>Analyst6</v>
      </c>
      <c r="I1612" s="4">
        <f t="shared" ca="1" si="25"/>
        <v>45203</v>
      </c>
      <c r="J1612" s="42">
        <f ca="1">TODAY()-qry_ProdData2_PDI_Cash_Exception_Application[[#This Row],[INSERT DATE]]</f>
        <v>12.742928240739275</v>
      </c>
      <c r="K16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12">
        <f ca="1">qry_ProdData2_PDI_Cash_Exception_Application[[#This Row],[TODAY]]-qry_ProdData2_PDI_Cash_Exception_Application[[#This Row],[CHANGED ON]]</f>
        <v>10.742928240739275</v>
      </c>
      <c r="M1612">
        <f ca="1">qry_ProdData2_PDI_Cash_Exception_Application[[#This Row],[TODAY]]-qry_ProdData2_PDI_Cash_Exception_Application[[#This Row],[CHANGED ON]]</f>
        <v>10.742928240739275</v>
      </c>
      <c r="N1612">
        <f ca="1">qry_ProdData2_PDI_Cash_Exception_Application[[#This Row],[TODAY]]-qry_ProdData2_PDI_Cash_Exception_Application[[#This Row],[CHANGED ON]]</f>
        <v>10.742928240739275</v>
      </c>
    </row>
    <row r="1613" spans="1:14" x14ac:dyDescent="0.35">
      <c r="A1613">
        <v>1026</v>
      </c>
      <c r="B1613" t="s">
        <v>80</v>
      </c>
      <c r="C1613" s="1">
        <v>45189.257071759261</v>
      </c>
      <c r="D1613" t="str">
        <f ca="1">VLOOKUP(qry_ProdData2_PDI_Cash_Exception_Application[[#This Row],[TYPE]],#REF!,2,FALSE)</f>
        <v>type13</v>
      </c>
      <c r="E1613">
        <v>27654.48</v>
      </c>
      <c r="F1613" t="s">
        <v>48</v>
      </c>
      <c r="G1613" s="1">
        <f>qry_ProdData2_PDI_Cash_Exception_Application[[#This Row],[INSERT DATE]]+2</f>
        <v>45191.257071759261</v>
      </c>
      <c r="H1613" t="str">
        <f>VLOOKUP(qry_ProdData2_PDI_Cash_Exception_Application[[#This Row],[MARKET No]],'Site Allocation'!$B$2:$C$37,2,FALSE)</f>
        <v>Analyst5</v>
      </c>
      <c r="I1613" s="4">
        <f t="shared" ca="1" si="25"/>
        <v>45203</v>
      </c>
      <c r="J1613" s="42">
        <f ca="1">TODAY()-qry_ProdData2_PDI_Cash_Exception_Application[[#This Row],[INSERT DATE]]</f>
        <v>13.742928240739275</v>
      </c>
      <c r="K16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13">
        <f ca="1">qry_ProdData2_PDI_Cash_Exception_Application[[#This Row],[TODAY]]-qry_ProdData2_PDI_Cash_Exception_Application[[#This Row],[CHANGED ON]]</f>
        <v>11.742928240739275</v>
      </c>
      <c r="M1613">
        <f ca="1">qry_ProdData2_PDI_Cash_Exception_Application[[#This Row],[TODAY]]-qry_ProdData2_PDI_Cash_Exception_Application[[#This Row],[CHANGED ON]]</f>
        <v>11.742928240739275</v>
      </c>
      <c r="N1613">
        <f ca="1">qry_ProdData2_PDI_Cash_Exception_Application[[#This Row],[TODAY]]-qry_ProdData2_PDI_Cash_Exception_Application[[#This Row],[CHANGED ON]]</f>
        <v>11.742928240739275</v>
      </c>
    </row>
    <row r="1614" spans="1:14" x14ac:dyDescent="0.35">
      <c r="A1614">
        <v>1032</v>
      </c>
      <c r="B1614" t="s">
        <v>86</v>
      </c>
      <c r="C1614" s="1">
        <v>45185.257071759261</v>
      </c>
      <c r="D1614" t="str">
        <f ca="1">VLOOKUP(qry_ProdData2_PDI_Cash_Exception_Application[[#This Row],[TYPE]],#REF!,2,FALSE)</f>
        <v>type13</v>
      </c>
      <c r="E1614">
        <v>26049.75</v>
      </c>
      <c r="F1614" t="s">
        <v>47</v>
      </c>
      <c r="G1614" s="1">
        <f>qry_ProdData2_PDI_Cash_Exception_Application[[#This Row],[INSERT DATE]]+1</f>
        <v>45186.257071759261</v>
      </c>
      <c r="H1614" t="str">
        <f>VLOOKUP(qry_ProdData2_PDI_Cash_Exception_Application[[#This Row],[MARKET No]],'Site Allocation'!$B$2:$C$37,2,FALSE)</f>
        <v>Analyst6</v>
      </c>
      <c r="I1614" s="4">
        <f t="shared" ca="1" si="25"/>
        <v>45203</v>
      </c>
      <c r="J1614" s="42">
        <f ca="1">TODAY()-qry_ProdData2_PDI_Cash_Exception_Application[[#This Row],[INSERT DATE]]</f>
        <v>17.742928240739275</v>
      </c>
      <c r="K16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14">
        <f ca="1">qry_ProdData2_PDI_Cash_Exception_Application[[#This Row],[TODAY]]-qry_ProdData2_PDI_Cash_Exception_Application[[#This Row],[CHANGED ON]]</f>
        <v>16.742928240739275</v>
      </c>
      <c r="M1614">
        <f ca="1">qry_ProdData2_PDI_Cash_Exception_Application[[#This Row],[TODAY]]-qry_ProdData2_PDI_Cash_Exception_Application[[#This Row],[CHANGED ON]]</f>
        <v>16.742928240739275</v>
      </c>
      <c r="N1614">
        <f ca="1">qry_ProdData2_PDI_Cash_Exception_Application[[#This Row],[TODAY]]-qry_ProdData2_PDI_Cash_Exception_Application[[#This Row],[CHANGED ON]]</f>
        <v>16.742928240739275</v>
      </c>
    </row>
    <row r="1615" spans="1:14" x14ac:dyDescent="0.35">
      <c r="A1615">
        <v>1010</v>
      </c>
      <c r="B1615" t="s">
        <v>64</v>
      </c>
      <c r="C1615" s="1">
        <v>45186.257071759261</v>
      </c>
      <c r="D1615" t="str">
        <f ca="1">VLOOKUP(qry_ProdData2_PDI_Cash_Exception_Application[[#This Row],[TYPE]],#REF!,2,FALSE)</f>
        <v>type40</v>
      </c>
      <c r="E1615">
        <v>-749.25</v>
      </c>
      <c r="F1615" t="s">
        <v>47</v>
      </c>
      <c r="G1615" s="1">
        <f>qry_ProdData2_PDI_Cash_Exception_Application[[#This Row],[INSERT DATE]]+2</f>
        <v>45188.257071759261</v>
      </c>
      <c r="H1615" t="str">
        <f>VLOOKUP(qry_ProdData2_PDI_Cash_Exception_Application[[#This Row],[MARKET No]],'Site Allocation'!$B$2:$C$37,2,FALSE)</f>
        <v>Analyst2</v>
      </c>
      <c r="I1615" s="4">
        <f t="shared" ca="1" si="25"/>
        <v>45203</v>
      </c>
      <c r="J1615" s="42">
        <f ca="1">TODAY()-qry_ProdData2_PDI_Cash_Exception_Application[[#This Row],[INSERT DATE]]</f>
        <v>16.742928240739275</v>
      </c>
      <c r="K16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15">
        <f ca="1">qry_ProdData2_PDI_Cash_Exception_Application[[#This Row],[TODAY]]-qry_ProdData2_PDI_Cash_Exception_Application[[#This Row],[CHANGED ON]]</f>
        <v>14.742928240739275</v>
      </c>
      <c r="M1615">
        <f ca="1">qry_ProdData2_PDI_Cash_Exception_Application[[#This Row],[TODAY]]-qry_ProdData2_PDI_Cash_Exception_Application[[#This Row],[CHANGED ON]]</f>
        <v>14.742928240739275</v>
      </c>
      <c r="N1615">
        <f ca="1">qry_ProdData2_PDI_Cash_Exception_Application[[#This Row],[TODAY]]-qry_ProdData2_PDI_Cash_Exception_Application[[#This Row],[CHANGED ON]]</f>
        <v>14.742928240739275</v>
      </c>
    </row>
    <row r="1616" spans="1:14" x14ac:dyDescent="0.35">
      <c r="A1616">
        <v>1028</v>
      </c>
      <c r="B1616" t="s">
        <v>82</v>
      </c>
      <c r="C1616" s="1">
        <v>45187.257071759261</v>
      </c>
      <c r="D1616" t="str">
        <f ca="1">VLOOKUP(qry_ProdData2_PDI_Cash_Exception_Application[[#This Row],[TYPE]],#REF!,2,FALSE)</f>
        <v>type2</v>
      </c>
      <c r="E1616">
        <v>1122</v>
      </c>
      <c r="F1616" t="s">
        <v>47</v>
      </c>
      <c r="G1616" s="1">
        <f>qry_ProdData2_PDI_Cash_Exception_Application[[#This Row],[INSERT DATE]]+2</f>
        <v>45189.257071759261</v>
      </c>
      <c r="H1616" t="str">
        <f>VLOOKUP(qry_ProdData2_PDI_Cash_Exception_Application[[#This Row],[MARKET No]],'Site Allocation'!$B$2:$C$37,2,FALSE)</f>
        <v>Analyst5</v>
      </c>
      <c r="I1616" s="4">
        <f t="shared" ca="1" si="25"/>
        <v>45203</v>
      </c>
      <c r="J1616" s="42">
        <f ca="1">TODAY()-qry_ProdData2_PDI_Cash_Exception_Application[[#This Row],[INSERT DATE]]</f>
        <v>15.742928240739275</v>
      </c>
      <c r="K16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16">
        <f ca="1">qry_ProdData2_PDI_Cash_Exception_Application[[#This Row],[TODAY]]-qry_ProdData2_PDI_Cash_Exception_Application[[#This Row],[CHANGED ON]]</f>
        <v>13.742928240739275</v>
      </c>
      <c r="M1616">
        <f ca="1">qry_ProdData2_PDI_Cash_Exception_Application[[#This Row],[TODAY]]-qry_ProdData2_PDI_Cash_Exception_Application[[#This Row],[CHANGED ON]]</f>
        <v>13.742928240739275</v>
      </c>
      <c r="N1616">
        <f ca="1">qry_ProdData2_PDI_Cash_Exception_Application[[#This Row],[TODAY]]-qry_ProdData2_PDI_Cash_Exception_Application[[#This Row],[CHANGED ON]]</f>
        <v>13.742928240739275</v>
      </c>
    </row>
    <row r="1617" spans="1:14" x14ac:dyDescent="0.35">
      <c r="A1617">
        <v>1025</v>
      </c>
      <c r="B1617" t="s">
        <v>79</v>
      </c>
      <c r="C1617" s="1">
        <v>45187.257071759261</v>
      </c>
      <c r="D1617" t="str">
        <f ca="1">VLOOKUP(qry_ProdData2_PDI_Cash_Exception_Application[[#This Row],[TYPE]],#REF!,2,FALSE)</f>
        <v>type40</v>
      </c>
      <c r="E1617">
        <v>-328.13</v>
      </c>
      <c r="F1617" t="s">
        <v>49</v>
      </c>
      <c r="G1617" s="1">
        <f>qry_ProdData2_PDI_Cash_Exception_Application[[#This Row],[INSERT DATE]]+1</f>
        <v>45188.257071759261</v>
      </c>
      <c r="H1617" t="str">
        <f>VLOOKUP(qry_ProdData2_PDI_Cash_Exception_Application[[#This Row],[MARKET No]],'Site Allocation'!$B$2:$C$37,2,FALSE)</f>
        <v>Analyst5</v>
      </c>
      <c r="I1617" s="4">
        <f t="shared" ca="1" si="25"/>
        <v>45203</v>
      </c>
      <c r="J1617" s="42">
        <f ca="1">TODAY()-qry_ProdData2_PDI_Cash_Exception_Application[[#This Row],[INSERT DATE]]</f>
        <v>15.742928240739275</v>
      </c>
      <c r="K16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17">
        <f ca="1">qry_ProdData2_PDI_Cash_Exception_Application[[#This Row],[TODAY]]-qry_ProdData2_PDI_Cash_Exception_Application[[#This Row],[CHANGED ON]]</f>
        <v>14.742928240739275</v>
      </c>
      <c r="M1617">
        <f ca="1">qry_ProdData2_PDI_Cash_Exception_Application[[#This Row],[TODAY]]-qry_ProdData2_PDI_Cash_Exception_Application[[#This Row],[CHANGED ON]]</f>
        <v>14.742928240739275</v>
      </c>
      <c r="N1617">
        <f ca="1">qry_ProdData2_PDI_Cash_Exception_Application[[#This Row],[TODAY]]-qry_ProdData2_PDI_Cash_Exception_Application[[#This Row],[CHANGED ON]]</f>
        <v>14.742928240739275</v>
      </c>
    </row>
    <row r="1618" spans="1:14" x14ac:dyDescent="0.35">
      <c r="A1618">
        <v>1023</v>
      </c>
      <c r="B1618" t="s">
        <v>77</v>
      </c>
      <c r="C1618" s="1">
        <v>45187.257071759261</v>
      </c>
      <c r="D1618" t="str">
        <f ca="1">VLOOKUP(qry_ProdData2_PDI_Cash_Exception_Application[[#This Row],[TYPE]],#REF!,2,FALSE)</f>
        <v>type38</v>
      </c>
      <c r="E1618">
        <v>157.75</v>
      </c>
      <c r="F1618" t="s">
        <v>52</v>
      </c>
      <c r="G1618" s="1">
        <f>qry_ProdData2_PDI_Cash_Exception_Application[[#This Row],[INSERT DATE]]+1</f>
        <v>45188.257071759261</v>
      </c>
      <c r="H1618" t="str">
        <f>VLOOKUP(qry_ProdData2_PDI_Cash_Exception_Application[[#This Row],[MARKET No]],'Site Allocation'!$B$2:$C$37,2,FALSE)</f>
        <v>Analyst4</v>
      </c>
      <c r="I1618" s="4">
        <f t="shared" ca="1" si="25"/>
        <v>45203</v>
      </c>
      <c r="J1618" s="42">
        <f ca="1">TODAY()-qry_ProdData2_PDI_Cash_Exception_Application[[#This Row],[INSERT DATE]]</f>
        <v>15.742928240739275</v>
      </c>
      <c r="K16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18">
        <f ca="1">qry_ProdData2_PDI_Cash_Exception_Application[[#This Row],[TODAY]]-qry_ProdData2_PDI_Cash_Exception_Application[[#This Row],[CHANGED ON]]</f>
        <v>14.742928240739275</v>
      </c>
      <c r="M1618">
        <f ca="1">qry_ProdData2_PDI_Cash_Exception_Application[[#This Row],[TODAY]]-qry_ProdData2_PDI_Cash_Exception_Application[[#This Row],[CHANGED ON]]</f>
        <v>14.742928240739275</v>
      </c>
      <c r="N1618">
        <f ca="1">qry_ProdData2_PDI_Cash_Exception_Application[[#This Row],[TODAY]]-qry_ProdData2_PDI_Cash_Exception_Application[[#This Row],[CHANGED ON]]</f>
        <v>14.742928240739275</v>
      </c>
    </row>
    <row r="1619" spans="1:14" x14ac:dyDescent="0.35">
      <c r="A1619">
        <v>1011</v>
      </c>
      <c r="B1619" t="s">
        <v>65</v>
      </c>
      <c r="C1619" s="1">
        <v>45188.257071759261</v>
      </c>
      <c r="D1619" t="str">
        <f ca="1">VLOOKUP(qry_ProdData2_PDI_Cash_Exception_Application[[#This Row],[TYPE]],#REF!,2,FALSE)</f>
        <v>type38</v>
      </c>
      <c r="E1619">
        <v>159.13</v>
      </c>
      <c r="F1619" t="s">
        <v>52</v>
      </c>
      <c r="G1619" s="1">
        <f>qry_ProdData2_PDI_Cash_Exception_Application[[#This Row],[INSERT DATE]]+1</f>
        <v>45189.257071759261</v>
      </c>
      <c r="H1619" t="str">
        <f>VLOOKUP(qry_ProdData2_PDI_Cash_Exception_Application[[#This Row],[MARKET No]],'Site Allocation'!$B$2:$C$37,2,FALSE)</f>
        <v>Analyst2</v>
      </c>
      <c r="I1619" s="4">
        <f t="shared" ca="1" si="25"/>
        <v>45203</v>
      </c>
      <c r="J1619" s="42">
        <f ca="1">TODAY()-qry_ProdData2_PDI_Cash_Exception_Application[[#This Row],[INSERT DATE]]</f>
        <v>14.742928240739275</v>
      </c>
      <c r="K16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19">
        <f ca="1">qry_ProdData2_PDI_Cash_Exception_Application[[#This Row],[TODAY]]-qry_ProdData2_PDI_Cash_Exception_Application[[#This Row],[CHANGED ON]]</f>
        <v>13.742928240739275</v>
      </c>
      <c r="M1619">
        <f ca="1">qry_ProdData2_PDI_Cash_Exception_Application[[#This Row],[TODAY]]-qry_ProdData2_PDI_Cash_Exception_Application[[#This Row],[CHANGED ON]]</f>
        <v>13.742928240739275</v>
      </c>
      <c r="N1619">
        <f ca="1">qry_ProdData2_PDI_Cash_Exception_Application[[#This Row],[TODAY]]-qry_ProdData2_PDI_Cash_Exception_Application[[#This Row],[CHANGED ON]]</f>
        <v>13.742928240739275</v>
      </c>
    </row>
    <row r="1620" spans="1:14" x14ac:dyDescent="0.35">
      <c r="A1620">
        <v>1023</v>
      </c>
      <c r="B1620" t="s">
        <v>77</v>
      </c>
      <c r="C1620" s="1">
        <v>45187.257071759261</v>
      </c>
      <c r="D1620" t="str">
        <f ca="1">VLOOKUP(qry_ProdData2_PDI_Cash_Exception_Application[[#This Row],[TYPE]],#REF!,2,FALSE)</f>
        <v>type13</v>
      </c>
      <c r="E1620">
        <v>18645.75</v>
      </c>
      <c r="F1620" t="s">
        <v>47</v>
      </c>
      <c r="G1620" s="1">
        <f>qry_ProdData2_PDI_Cash_Exception_Application[[#This Row],[INSERT DATE]]+2</f>
        <v>45189.257071759261</v>
      </c>
      <c r="H1620" t="str">
        <f>VLOOKUP(qry_ProdData2_PDI_Cash_Exception_Application[[#This Row],[MARKET No]],'Site Allocation'!$B$2:$C$37,2,FALSE)</f>
        <v>Analyst4</v>
      </c>
      <c r="I1620" s="4">
        <f t="shared" ca="1" si="25"/>
        <v>45203</v>
      </c>
      <c r="J1620" s="42">
        <f ca="1">TODAY()-qry_ProdData2_PDI_Cash_Exception_Application[[#This Row],[INSERT DATE]]</f>
        <v>15.742928240739275</v>
      </c>
      <c r="K16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20">
        <f ca="1">qry_ProdData2_PDI_Cash_Exception_Application[[#This Row],[TODAY]]-qry_ProdData2_PDI_Cash_Exception_Application[[#This Row],[CHANGED ON]]</f>
        <v>13.742928240739275</v>
      </c>
      <c r="M1620">
        <f ca="1">qry_ProdData2_PDI_Cash_Exception_Application[[#This Row],[TODAY]]-qry_ProdData2_PDI_Cash_Exception_Application[[#This Row],[CHANGED ON]]</f>
        <v>13.742928240739275</v>
      </c>
      <c r="N1620">
        <f ca="1">qry_ProdData2_PDI_Cash_Exception_Application[[#This Row],[TODAY]]-qry_ProdData2_PDI_Cash_Exception_Application[[#This Row],[CHANGED ON]]</f>
        <v>13.742928240739275</v>
      </c>
    </row>
    <row r="1621" spans="1:14" x14ac:dyDescent="0.35">
      <c r="A1621">
        <v>1016</v>
      </c>
      <c r="B1621" t="s">
        <v>70</v>
      </c>
      <c r="C1621" s="1">
        <v>45189.257071759261</v>
      </c>
      <c r="D1621" t="str">
        <f ca="1">VLOOKUP(qry_ProdData2_PDI_Cash_Exception_Application[[#This Row],[TYPE]],#REF!,2,FALSE)</f>
        <v>type40</v>
      </c>
      <c r="E1621">
        <v>-2995.66</v>
      </c>
      <c r="F1621" t="s">
        <v>47</v>
      </c>
      <c r="G1621" s="1">
        <f>qry_ProdData2_PDI_Cash_Exception_Application[[#This Row],[INSERT DATE]]+2</f>
        <v>45191.257071759261</v>
      </c>
      <c r="H1621" t="str">
        <f>VLOOKUP(qry_ProdData2_PDI_Cash_Exception_Application[[#This Row],[MARKET No]],'Site Allocation'!$B$2:$C$37,2,FALSE)</f>
        <v>Analyst3</v>
      </c>
      <c r="I1621" s="4">
        <f t="shared" ca="1" si="25"/>
        <v>45203</v>
      </c>
      <c r="J1621" s="42">
        <f ca="1">TODAY()-qry_ProdData2_PDI_Cash_Exception_Application[[#This Row],[INSERT DATE]]</f>
        <v>13.742928240739275</v>
      </c>
      <c r="K16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21">
        <f ca="1">qry_ProdData2_PDI_Cash_Exception_Application[[#This Row],[TODAY]]-qry_ProdData2_PDI_Cash_Exception_Application[[#This Row],[CHANGED ON]]</f>
        <v>11.742928240739275</v>
      </c>
      <c r="M1621">
        <f ca="1">qry_ProdData2_PDI_Cash_Exception_Application[[#This Row],[TODAY]]-qry_ProdData2_PDI_Cash_Exception_Application[[#This Row],[CHANGED ON]]</f>
        <v>11.742928240739275</v>
      </c>
      <c r="N1621">
        <f ca="1">qry_ProdData2_PDI_Cash_Exception_Application[[#This Row],[TODAY]]-qry_ProdData2_PDI_Cash_Exception_Application[[#This Row],[CHANGED ON]]</f>
        <v>11.742928240739275</v>
      </c>
    </row>
    <row r="1622" spans="1:14" x14ac:dyDescent="0.35">
      <c r="A1622">
        <v>1011</v>
      </c>
      <c r="B1622" t="s">
        <v>65</v>
      </c>
      <c r="C1622" s="1">
        <v>45192.257071759261</v>
      </c>
      <c r="D1622" t="str">
        <f ca="1">VLOOKUP(qry_ProdData2_PDI_Cash_Exception_Application[[#This Row],[TYPE]],#REF!,2,FALSE)</f>
        <v>type40</v>
      </c>
      <c r="E1622">
        <v>308.85000000000002</v>
      </c>
      <c r="F1622" t="s">
        <v>47</v>
      </c>
      <c r="G1622" s="1">
        <f>qry_ProdData2_PDI_Cash_Exception_Application[[#This Row],[INSERT DATE]]+2</f>
        <v>45194.257071759261</v>
      </c>
      <c r="H1622" t="str">
        <f>VLOOKUP(qry_ProdData2_PDI_Cash_Exception_Application[[#This Row],[MARKET No]],'Site Allocation'!$B$2:$C$37,2,FALSE)</f>
        <v>Analyst2</v>
      </c>
      <c r="I1622" s="4">
        <f t="shared" ca="1" si="25"/>
        <v>45203</v>
      </c>
      <c r="J1622" s="42">
        <f ca="1">TODAY()-qry_ProdData2_PDI_Cash_Exception_Application[[#This Row],[INSERT DATE]]</f>
        <v>10.742928240739275</v>
      </c>
      <c r="K16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22">
        <f ca="1">qry_ProdData2_PDI_Cash_Exception_Application[[#This Row],[TODAY]]-qry_ProdData2_PDI_Cash_Exception_Application[[#This Row],[CHANGED ON]]</f>
        <v>8.7429282407392748</v>
      </c>
      <c r="M1622">
        <f ca="1">qry_ProdData2_PDI_Cash_Exception_Application[[#This Row],[TODAY]]-qry_ProdData2_PDI_Cash_Exception_Application[[#This Row],[CHANGED ON]]</f>
        <v>8.7429282407392748</v>
      </c>
      <c r="N1622">
        <f ca="1">qry_ProdData2_PDI_Cash_Exception_Application[[#This Row],[TODAY]]-qry_ProdData2_PDI_Cash_Exception_Application[[#This Row],[CHANGED ON]]</f>
        <v>8.7429282407392748</v>
      </c>
    </row>
    <row r="1623" spans="1:14" x14ac:dyDescent="0.35">
      <c r="A1623">
        <v>1014</v>
      </c>
      <c r="B1623" t="s">
        <v>68</v>
      </c>
      <c r="C1623" s="1">
        <v>45187.257071759261</v>
      </c>
      <c r="D1623" t="str">
        <f ca="1">VLOOKUP(qry_ProdData2_PDI_Cash_Exception_Application[[#This Row],[TYPE]],#REF!,2,FALSE)</f>
        <v>type40</v>
      </c>
      <c r="E1623">
        <v>535.53</v>
      </c>
      <c r="F1623" t="s">
        <v>51</v>
      </c>
      <c r="G1623" s="1">
        <f>qry_ProdData2_PDI_Cash_Exception_Application[[#This Row],[INSERT DATE]]+5</f>
        <v>45192.257071759261</v>
      </c>
      <c r="H1623" t="str">
        <f>VLOOKUP(qry_ProdData2_PDI_Cash_Exception_Application[[#This Row],[MARKET No]],'Site Allocation'!$B$2:$C$37,2,FALSE)</f>
        <v>Analyst3</v>
      </c>
      <c r="I1623" s="4">
        <f t="shared" ca="1" si="25"/>
        <v>45203</v>
      </c>
      <c r="J1623" s="42">
        <f ca="1">TODAY()-qry_ProdData2_PDI_Cash_Exception_Application[[#This Row],[INSERT DATE]]</f>
        <v>15.742928240739275</v>
      </c>
      <c r="K16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23">
        <f ca="1">qry_ProdData2_PDI_Cash_Exception_Application[[#This Row],[TODAY]]-qry_ProdData2_PDI_Cash_Exception_Application[[#This Row],[CHANGED ON]]</f>
        <v>10.742928240739275</v>
      </c>
      <c r="M1623">
        <f ca="1">qry_ProdData2_PDI_Cash_Exception_Application[[#This Row],[TODAY]]-qry_ProdData2_PDI_Cash_Exception_Application[[#This Row],[CHANGED ON]]</f>
        <v>10.742928240739275</v>
      </c>
      <c r="N1623">
        <f ca="1">qry_ProdData2_PDI_Cash_Exception_Application[[#This Row],[TODAY]]-qry_ProdData2_PDI_Cash_Exception_Application[[#This Row],[CHANGED ON]]</f>
        <v>10.742928240739275</v>
      </c>
    </row>
    <row r="1624" spans="1:14" x14ac:dyDescent="0.35">
      <c r="A1624">
        <v>1012</v>
      </c>
      <c r="B1624" t="s">
        <v>66</v>
      </c>
      <c r="C1624" s="1">
        <v>45190.257071759261</v>
      </c>
      <c r="D1624" t="str">
        <f ca="1">VLOOKUP(qry_ProdData2_PDI_Cash_Exception_Application[[#This Row],[TYPE]],#REF!,2,FALSE)</f>
        <v>type40</v>
      </c>
      <c r="E1624">
        <v>4788.04</v>
      </c>
      <c r="F1624" t="s">
        <v>49</v>
      </c>
      <c r="G1624" s="1">
        <f>qry_ProdData2_PDI_Cash_Exception_Application[[#This Row],[INSERT DATE]]+2</f>
        <v>45192.257071759261</v>
      </c>
      <c r="H1624" t="str">
        <f>VLOOKUP(qry_ProdData2_PDI_Cash_Exception_Application[[#This Row],[MARKET No]],'Site Allocation'!$B$2:$C$37,2,FALSE)</f>
        <v>Analyst3</v>
      </c>
      <c r="I1624" s="4">
        <f t="shared" ca="1" si="25"/>
        <v>45203</v>
      </c>
      <c r="J1624" s="42">
        <f ca="1">TODAY()-qry_ProdData2_PDI_Cash_Exception_Application[[#This Row],[INSERT DATE]]</f>
        <v>12.742928240739275</v>
      </c>
      <c r="K16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24">
        <f ca="1">qry_ProdData2_PDI_Cash_Exception_Application[[#This Row],[TODAY]]-qry_ProdData2_PDI_Cash_Exception_Application[[#This Row],[CHANGED ON]]</f>
        <v>10.742928240739275</v>
      </c>
      <c r="M1624">
        <f ca="1">qry_ProdData2_PDI_Cash_Exception_Application[[#This Row],[TODAY]]-qry_ProdData2_PDI_Cash_Exception_Application[[#This Row],[CHANGED ON]]</f>
        <v>10.742928240739275</v>
      </c>
      <c r="N1624">
        <f ca="1">qry_ProdData2_PDI_Cash_Exception_Application[[#This Row],[TODAY]]-qry_ProdData2_PDI_Cash_Exception_Application[[#This Row],[CHANGED ON]]</f>
        <v>10.742928240739275</v>
      </c>
    </row>
    <row r="1625" spans="1:14" x14ac:dyDescent="0.35">
      <c r="A1625">
        <v>1027</v>
      </c>
      <c r="B1625" t="s">
        <v>81</v>
      </c>
      <c r="C1625" s="1">
        <v>45192.257071759261</v>
      </c>
      <c r="D1625" t="str">
        <f ca="1">VLOOKUP(qry_ProdData2_PDI_Cash_Exception_Application[[#This Row],[TYPE]],#REF!,2,FALSE)</f>
        <v>type13</v>
      </c>
      <c r="E1625">
        <v>26414.09</v>
      </c>
      <c r="F1625" t="s">
        <v>52</v>
      </c>
      <c r="G1625" s="1">
        <f>qry_ProdData2_PDI_Cash_Exception_Application[[#This Row],[INSERT DATE]]+1</f>
        <v>45193.257071759261</v>
      </c>
      <c r="H1625" t="str">
        <f>VLOOKUP(qry_ProdData2_PDI_Cash_Exception_Application[[#This Row],[MARKET No]],'Site Allocation'!$B$2:$C$37,2,FALSE)</f>
        <v>Analyst5</v>
      </c>
      <c r="I1625" s="4">
        <f t="shared" ca="1" si="25"/>
        <v>45203</v>
      </c>
      <c r="J1625" s="42">
        <f ca="1">TODAY()-qry_ProdData2_PDI_Cash_Exception_Application[[#This Row],[INSERT DATE]]</f>
        <v>10.742928240739275</v>
      </c>
      <c r="K16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25">
        <f ca="1">qry_ProdData2_PDI_Cash_Exception_Application[[#This Row],[TODAY]]-qry_ProdData2_PDI_Cash_Exception_Application[[#This Row],[CHANGED ON]]</f>
        <v>9.7429282407392748</v>
      </c>
      <c r="M1625">
        <f ca="1">qry_ProdData2_PDI_Cash_Exception_Application[[#This Row],[TODAY]]-qry_ProdData2_PDI_Cash_Exception_Application[[#This Row],[CHANGED ON]]</f>
        <v>9.7429282407392748</v>
      </c>
      <c r="N1625">
        <f ca="1">qry_ProdData2_PDI_Cash_Exception_Application[[#This Row],[TODAY]]-qry_ProdData2_PDI_Cash_Exception_Application[[#This Row],[CHANGED ON]]</f>
        <v>9.7429282407392748</v>
      </c>
    </row>
    <row r="1626" spans="1:14" x14ac:dyDescent="0.35">
      <c r="A1626">
        <v>1019</v>
      </c>
      <c r="B1626" t="s">
        <v>73</v>
      </c>
      <c r="C1626" s="1">
        <v>45181.257071759261</v>
      </c>
      <c r="D1626" t="str">
        <f ca="1">VLOOKUP(qry_ProdData2_PDI_Cash_Exception_Application[[#This Row],[TYPE]],#REF!,2,FALSE)</f>
        <v>type13</v>
      </c>
      <c r="E1626">
        <v>28769.5</v>
      </c>
      <c r="F1626" t="s">
        <v>47</v>
      </c>
      <c r="G1626" s="1">
        <f>qry_ProdData2_PDI_Cash_Exception_Application[[#This Row],[INSERT DATE]]+7</f>
        <v>45188.257071759261</v>
      </c>
      <c r="H1626" t="str">
        <f>VLOOKUP(qry_ProdData2_PDI_Cash_Exception_Application[[#This Row],[MARKET No]],'Site Allocation'!$B$2:$C$37,2,FALSE)</f>
        <v>Analyst4</v>
      </c>
      <c r="I1626" s="4">
        <f t="shared" ca="1" si="25"/>
        <v>45203</v>
      </c>
      <c r="J1626" s="42">
        <f ca="1">TODAY()-qry_ProdData2_PDI_Cash_Exception_Application[[#This Row],[INSERT DATE]]</f>
        <v>21.742928240739275</v>
      </c>
      <c r="K16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26">
        <f ca="1">qry_ProdData2_PDI_Cash_Exception_Application[[#This Row],[TODAY]]-qry_ProdData2_PDI_Cash_Exception_Application[[#This Row],[CHANGED ON]]</f>
        <v>14.742928240739275</v>
      </c>
      <c r="M1626">
        <f ca="1">qry_ProdData2_PDI_Cash_Exception_Application[[#This Row],[TODAY]]-qry_ProdData2_PDI_Cash_Exception_Application[[#This Row],[CHANGED ON]]</f>
        <v>14.742928240739275</v>
      </c>
      <c r="N1626">
        <f ca="1">qry_ProdData2_PDI_Cash_Exception_Application[[#This Row],[TODAY]]-qry_ProdData2_PDI_Cash_Exception_Application[[#This Row],[CHANGED ON]]</f>
        <v>14.742928240739275</v>
      </c>
    </row>
    <row r="1627" spans="1:14" x14ac:dyDescent="0.35">
      <c r="A1627">
        <v>1000</v>
      </c>
      <c r="B1627" t="s">
        <v>54</v>
      </c>
      <c r="C1627" s="1">
        <v>45182.257071759261</v>
      </c>
      <c r="D1627" t="str">
        <f ca="1">VLOOKUP(qry_ProdData2_PDI_Cash_Exception_Application[[#This Row],[TYPE]],#REF!,2,FALSE)</f>
        <v>type40</v>
      </c>
      <c r="E1627">
        <v>-800.88</v>
      </c>
      <c r="F1627" t="s">
        <v>47</v>
      </c>
      <c r="G1627" s="1">
        <f>qry_ProdData2_PDI_Cash_Exception_Application[[#This Row],[INSERT DATE]]+7</f>
        <v>45189.257071759261</v>
      </c>
      <c r="H1627" t="str">
        <f>VLOOKUP(qry_ProdData2_PDI_Cash_Exception_Application[[#This Row],[MARKET No]],'Site Allocation'!$B$2:$C$37,2,FALSE)</f>
        <v>Analyst1</v>
      </c>
      <c r="I1627" s="4">
        <f t="shared" ca="1" si="25"/>
        <v>45203</v>
      </c>
      <c r="J1627" s="42">
        <f ca="1">TODAY()-qry_ProdData2_PDI_Cash_Exception_Application[[#This Row],[INSERT DATE]]</f>
        <v>20.742928240739275</v>
      </c>
      <c r="K16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27">
        <f ca="1">qry_ProdData2_PDI_Cash_Exception_Application[[#This Row],[TODAY]]-qry_ProdData2_PDI_Cash_Exception_Application[[#This Row],[CHANGED ON]]</f>
        <v>13.742928240739275</v>
      </c>
      <c r="M1627">
        <f ca="1">qry_ProdData2_PDI_Cash_Exception_Application[[#This Row],[TODAY]]-qry_ProdData2_PDI_Cash_Exception_Application[[#This Row],[CHANGED ON]]</f>
        <v>13.742928240739275</v>
      </c>
      <c r="N1627">
        <f ca="1">qry_ProdData2_PDI_Cash_Exception_Application[[#This Row],[TODAY]]-qry_ProdData2_PDI_Cash_Exception_Application[[#This Row],[CHANGED ON]]</f>
        <v>13.742928240739275</v>
      </c>
    </row>
    <row r="1628" spans="1:14" x14ac:dyDescent="0.35">
      <c r="A1628">
        <v>1009</v>
      </c>
      <c r="B1628" t="s">
        <v>63</v>
      </c>
      <c r="C1628" s="1">
        <v>45195.257071759261</v>
      </c>
      <c r="D1628" t="str">
        <f ca="1">VLOOKUP(qry_ProdData2_PDI_Cash_Exception_Application[[#This Row],[TYPE]],#REF!,2,FALSE)</f>
        <v>type38</v>
      </c>
      <c r="E1628">
        <v>346.2</v>
      </c>
      <c r="F1628" t="s">
        <v>52</v>
      </c>
      <c r="G1628" s="1">
        <f>qry_ProdData2_PDI_Cash_Exception_Application[[#This Row],[INSERT DATE]]+1</f>
        <v>45196.257071759261</v>
      </c>
      <c r="H1628" t="str">
        <f>VLOOKUP(qry_ProdData2_PDI_Cash_Exception_Application[[#This Row],[MARKET No]],'Site Allocation'!$B$2:$C$37,2,FALSE)</f>
        <v>Analyst2</v>
      </c>
      <c r="I1628" s="4">
        <f t="shared" ca="1" si="25"/>
        <v>45203</v>
      </c>
      <c r="J1628" s="42">
        <f ca="1">TODAY()-qry_ProdData2_PDI_Cash_Exception_Application[[#This Row],[INSERT DATE]]</f>
        <v>7.7429282407392748</v>
      </c>
      <c r="K16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628">
        <f ca="1">qry_ProdData2_PDI_Cash_Exception_Application[[#This Row],[TODAY]]-qry_ProdData2_PDI_Cash_Exception_Application[[#This Row],[CHANGED ON]]</f>
        <v>6.7429282407392748</v>
      </c>
      <c r="M1628">
        <f ca="1">qry_ProdData2_PDI_Cash_Exception_Application[[#This Row],[TODAY]]-qry_ProdData2_PDI_Cash_Exception_Application[[#This Row],[CHANGED ON]]</f>
        <v>6.7429282407392748</v>
      </c>
      <c r="N1628">
        <f ca="1">qry_ProdData2_PDI_Cash_Exception_Application[[#This Row],[TODAY]]-qry_ProdData2_PDI_Cash_Exception_Application[[#This Row],[CHANGED ON]]</f>
        <v>6.7429282407392748</v>
      </c>
    </row>
    <row r="1629" spans="1:14" x14ac:dyDescent="0.35">
      <c r="A1629">
        <v>1008</v>
      </c>
      <c r="B1629" t="s">
        <v>62</v>
      </c>
      <c r="C1629" s="1">
        <v>45196.257071759261</v>
      </c>
      <c r="D1629" t="str">
        <f ca="1">VLOOKUP(qry_ProdData2_PDI_Cash_Exception_Application[[#This Row],[TYPE]],#REF!,2,FALSE)</f>
        <v>type38</v>
      </c>
      <c r="E1629">
        <v>282.14</v>
      </c>
      <c r="F1629" t="s">
        <v>50</v>
      </c>
      <c r="G1629" s="1">
        <f>qry_ProdData2_PDI_Cash_Exception_Application[[#This Row],[INSERT DATE]]+1</f>
        <v>45197.257071759261</v>
      </c>
      <c r="H1629" t="str">
        <f>VLOOKUP(qry_ProdData2_PDI_Cash_Exception_Application[[#This Row],[MARKET No]],'Site Allocation'!$B$2:$C$37,2,FALSE)</f>
        <v>Analyst2</v>
      </c>
      <c r="I1629" s="4">
        <f t="shared" ca="1" si="25"/>
        <v>45203</v>
      </c>
      <c r="J1629" s="42">
        <f ca="1">TODAY()-qry_ProdData2_PDI_Cash_Exception_Application[[#This Row],[INSERT DATE]]</f>
        <v>6.7429282407392748</v>
      </c>
      <c r="K16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629">
        <f ca="1">qry_ProdData2_PDI_Cash_Exception_Application[[#This Row],[TODAY]]-qry_ProdData2_PDI_Cash_Exception_Application[[#This Row],[CHANGED ON]]</f>
        <v>5.7429282407392748</v>
      </c>
      <c r="M1629">
        <f ca="1">qry_ProdData2_PDI_Cash_Exception_Application[[#This Row],[TODAY]]-qry_ProdData2_PDI_Cash_Exception_Application[[#This Row],[CHANGED ON]]</f>
        <v>5.7429282407392748</v>
      </c>
      <c r="N1629">
        <f ca="1">qry_ProdData2_PDI_Cash_Exception_Application[[#This Row],[TODAY]]-qry_ProdData2_PDI_Cash_Exception_Application[[#This Row],[CHANGED ON]]</f>
        <v>5.7429282407392748</v>
      </c>
    </row>
    <row r="1630" spans="1:14" x14ac:dyDescent="0.35">
      <c r="A1630">
        <v>1010</v>
      </c>
      <c r="B1630" t="s">
        <v>64</v>
      </c>
      <c r="C1630" s="1">
        <v>45187.257071759261</v>
      </c>
      <c r="D1630" t="str">
        <f ca="1">VLOOKUP(qry_ProdData2_PDI_Cash_Exception_Application[[#This Row],[TYPE]],#REF!,2,FALSE)</f>
        <v>type13</v>
      </c>
      <c r="E1630">
        <v>20806.43</v>
      </c>
      <c r="F1630" t="s">
        <v>47</v>
      </c>
      <c r="G1630" s="1">
        <f>qry_ProdData2_PDI_Cash_Exception_Application[[#This Row],[INSERT DATE]]+1</f>
        <v>45188.257071759261</v>
      </c>
      <c r="H1630" t="str">
        <f>VLOOKUP(qry_ProdData2_PDI_Cash_Exception_Application[[#This Row],[MARKET No]],'Site Allocation'!$B$2:$C$37,2,FALSE)</f>
        <v>Analyst2</v>
      </c>
      <c r="I1630" s="4">
        <f t="shared" ca="1" si="25"/>
        <v>45203</v>
      </c>
      <c r="J1630" s="42">
        <f ca="1">TODAY()-qry_ProdData2_PDI_Cash_Exception_Application[[#This Row],[INSERT DATE]]</f>
        <v>15.742928240739275</v>
      </c>
      <c r="K16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30">
        <f ca="1">qry_ProdData2_PDI_Cash_Exception_Application[[#This Row],[TODAY]]-qry_ProdData2_PDI_Cash_Exception_Application[[#This Row],[CHANGED ON]]</f>
        <v>14.742928240739275</v>
      </c>
      <c r="M1630">
        <f ca="1">qry_ProdData2_PDI_Cash_Exception_Application[[#This Row],[TODAY]]-qry_ProdData2_PDI_Cash_Exception_Application[[#This Row],[CHANGED ON]]</f>
        <v>14.742928240739275</v>
      </c>
      <c r="N1630">
        <f ca="1">qry_ProdData2_PDI_Cash_Exception_Application[[#This Row],[TODAY]]-qry_ProdData2_PDI_Cash_Exception_Application[[#This Row],[CHANGED ON]]</f>
        <v>14.742928240739275</v>
      </c>
    </row>
    <row r="1631" spans="1:14" x14ac:dyDescent="0.35">
      <c r="A1631">
        <v>1001</v>
      </c>
      <c r="B1631" t="s">
        <v>55</v>
      </c>
      <c r="C1631" s="1">
        <v>45179.257071759261</v>
      </c>
      <c r="D1631" t="str">
        <f ca="1">VLOOKUP(qry_ProdData2_PDI_Cash_Exception_Application[[#This Row],[TYPE]],#REF!,2,FALSE)</f>
        <v>type38</v>
      </c>
      <c r="E1631">
        <v>277.88</v>
      </c>
      <c r="F1631" t="s">
        <v>52</v>
      </c>
      <c r="G1631" s="1">
        <f>qry_ProdData2_PDI_Cash_Exception_Application[[#This Row],[INSERT DATE]]+2</f>
        <v>45181.257071759261</v>
      </c>
      <c r="H1631" t="str">
        <f>VLOOKUP(qry_ProdData2_PDI_Cash_Exception_Application[[#This Row],[MARKET No]],'Site Allocation'!$B$2:$C$37,2,FALSE)</f>
        <v>Analyst1</v>
      </c>
      <c r="I1631" s="4">
        <f t="shared" ca="1" si="25"/>
        <v>45203</v>
      </c>
      <c r="J1631" s="42">
        <f ca="1">TODAY()-qry_ProdData2_PDI_Cash_Exception_Application[[#This Row],[INSERT DATE]]</f>
        <v>23.742928240739275</v>
      </c>
      <c r="K16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31">
        <f ca="1">qry_ProdData2_PDI_Cash_Exception_Application[[#This Row],[TODAY]]-qry_ProdData2_PDI_Cash_Exception_Application[[#This Row],[CHANGED ON]]</f>
        <v>21.742928240739275</v>
      </c>
      <c r="M1631">
        <f ca="1">qry_ProdData2_PDI_Cash_Exception_Application[[#This Row],[TODAY]]-qry_ProdData2_PDI_Cash_Exception_Application[[#This Row],[CHANGED ON]]</f>
        <v>21.742928240739275</v>
      </c>
      <c r="N1631">
        <f ca="1">qry_ProdData2_PDI_Cash_Exception_Application[[#This Row],[TODAY]]-qry_ProdData2_PDI_Cash_Exception_Application[[#This Row],[CHANGED ON]]</f>
        <v>21.742928240739275</v>
      </c>
    </row>
    <row r="1632" spans="1:14" x14ac:dyDescent="0.35">
      <c r="A1632">
        <v>1013</v>
      </c>
      <c r="B1632" t="s">
        <v>67</v>
      </c>
      <c r="C1632" s="1">
        <v>45191.257071759261</v>
      </c>
      <c r="D1632" t="str">
        <f ca="1">VLOOKUP(qry_ProdData2_PDI_Cash_Exception_Application[[#This Row],[TYPE]],#REF!,2,FALSE)</f>
        <v>type43</v>
      </c>
      <c r="E1632">
        <v>522.22</v>
      </c>
      <c r="F1632" t="s">
        <v>48</v>
      </c>
      <c r="G1632" s="1">
        <f>qry_ProdData2_PDI_Cash_Exception_Application[[#This Row],[INSERT DATE]]+2</f>
        <v>45193.257071759261</v>
      </c>
      <c r="H1632" t="str">
        <f>VLOOKUP(qry_ProdData2_PDI_Cash_Exception_Application[[#This Row],[MARKET No]],'Site Allocation'!$B$2:$C$37,2,FALSE)</f>
        <v>Analyst3</v>
      </c>
      <c r="I1632" s="4">
        <f t="shared" ca="1" si="25"/>
        <v>45203</v>
      </c>
      <c r="J1632" s="42">
        <f ca="1">TODAY()-qry_ProdData2_PDI_Cash_Exception_Application[[#This Row],[INSERT DATE]]</f>
        <v>11.742928240739275</v>
      </c>
      <c r="K16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32">
        <f ca="1">qry_ProdData2_PDI_Cash_Exception_Application[[#This Row],[TODAY]]-qry_ProdData2_PDI_Cash_Exception_Application[[#This Row],[CHANGED ON]]</f>
        <v>9.7429282407392748</v>
      </c>
      <c r="M1632">
        <f ca="1">qry_ProdData2_PDI_Cash_Exception_Application[[#This Row],[TODAY]]-qry_ProdData2_PDI_Cash_Exception_Application[[#This Row],[CHANGED ON]]</f>
        <v>9.7429282407392748</v>
      </c>
      <c r="N1632">
        <f ca="1">qry_ProdData2_PDI_Cash_Exception_Application[[#This Row],[TODAY]]-qry_ProdData2_PDI_Cash_Exception_Application[[#This Row],[CHANGED ON]]</f>
        <v>9.7429282407392748</v>
      </c>
    </row>
    <row r="1633" spans="1:14" x14ac:dyDescent="0.35">
      <c r="A1633">
        <v>1011</v>
      </c>
      <c r="B1633" t="s">
        <v>65</v>
      </c>
      <c r="C1633" s="1">
        <v>45191.257071759261</v>
      </c>
      <c r="D1633" t="str">
        <f ca="1">VLOOKUP(qry_ProdData2_PDI_Cash_Exception_Application[[#This Row],[TYPE]],#REF!,2,FALSE)</f>
        <v>type13</v>
      </c>
      <c r="E1633">
        <v>21306.720000000001</v>
      </c>
      <c r="F1633" t="s">
        <v>48</v>
      </c>
      <c r="G1633" s="1">
        <f>qry_ProdData2_PDI_Cash_Exception_Application[[#This Row],[INSERT DATE]]+2</f>
        <v>45193.257071759261</v>
      </c>
      <c r="H1633" t="str">
        <f>VLOOKUP(qry_ProdData2_PDI_Cash_Exception_Application[[#This Row],[MARKET No]],'Site Allocation'!$B$2:$C$37,2,FALSE)</f>
        <v>Analyst2</v>
      </c>
      <c r="I1633" s="4">
        <f t="shared" ca="1" si="25"/>
        <v>45203</v>
      </c>
      <c r="J1633" s="42">
        <f ca="1">TODAY()-qry_ProdData2_PDI_Cash_Exception_Application[[#This Row],[INSERT DATE]]</f>
        <v>11.742928240739275</v>
      </c>
      <c r="K16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33">
        <f ca="1">qry_ProdData2_PDI_Cash_Exception_Application[[#This Row],[TODAY]]-qry_ProdData2_PDI_Cash_Exception_Application[[#This Row],[CHANGED ON]]</f>
        <v>9.7429282407392748</v>
      </c>
      <c r="M1633">
        <f ca="1">qry_ProdData2_PDI_Cash_Exception_Application[[#This Row],[TODAY]]-qry_ProdData2_PDI_Cash_Exception_Application[[#This Row],[CHANGED ON]]</f>
        <v>9.7429282407392748</v>
      </c>
      <c r="N1633">
        <f ca="1">qry_ProdData2_PDI_Cash_Exception_Application[[#This Row],[TODAY]]-qry_ProdData2_PDI_Cash_Exception_Application[[#This Row],[CHANGED ON]]</f>
        <v>9.7429282407392748</v>
      </c>
    </row>
    <row r="1634" spans="1:14" x14ac:dyDescent="0.35">
      <c r="A1634">
        <v>1007</v>
      </c>
      <c r="B1634" t="s">
        <v>61</v>
      </c>
      <c r="C1634" s="1">
        <v>45182.257071759261</v>
      </c>
      <c r="D1634" t="str">
        <f ca="1">VLOOKUP(qry_ProdData2_PDI_Cash_Exception_Application[[#This Row],[TYPE]],#REF!,2,FALSE)</f>
        <v>type38</v>
      </c>
      <c r="E1634">
        <v>333.43</v>
      </c>
      <c r="F1634" t="s">
        <v>52</v>
      </c>
      <c r="G1634" s="1">
        <f>qry_ProdData2_PDI_Cash_Exception_Application[[#This Row],[INSERT DATE]]+2</f>
        <v>45184.257071759261</v>
      </c>
      <c r="H1634" t="str">
        <f>VLOOKUP(qry_ProdData2_PDI_Cash_Exception_Application[[#This Row],[MARKET No]],'Site Allocation'!$B$2:$C$37,2,FALSE)</f>
        <v>Analyst2</v>
      </c>
      <c r="I1634" s="4">
        <f t="shared" ca="1" si="25"/>
        <v>45203</v>
      </c>
      <c r="J1634" s="42">
        <f ca="1">TODAY()-qry_ProdData2_PDI_Cash_Exception_Application[[#This Row],[INSERT DATE]]</f>
        <v>20.742928240739275</v>
      </c>
      <c r="K16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34">
        <f ca="1">qry_ProdData2_PDI_Cash_Exception_Application[[#This Row],[TODAY]]-qry_ProdData2_PDI_Cash_Exception_Application[[#This Row],[CHANGED ON]]</f>
        <v>18.742928240739275</v>
      </c>
      <c r="M1634">
        <f ca="1">qry_ProdData2_PDI_Cash_Exception_Application[[#This Row],[TODAY]]-qry_ProdData2_PDI_Cash_Exception_Application[[#This Row],[CHANGED ON]]</f>
        <v>18.742928240739275</v>
      </c>
      <c r="N1634">
        <f ca="1">qry_ProdData2_PDI_Cash_Exception_Application[[#This Row],[TODAY]]-qry_ProdData2_PDI_Cash_Exception_Application[[#This Row],[CHANGED ON]]</f>
        <v>18.742928240739275</v>
      </c>
    </row>
    <row r="1635" spans="1:14" x14ac:dyDescent="0.35">
      <c r="A1635">
        <v>1020</v>
      </c>
      <c r="B1635" t="s">
        <v>74</v>
      </c>
      <c r="C1635" s="1">
        <v>45182.257071759261</v>
      </c>
      <c r="D1635" t="str">
        <f ca="1">VLOOKUP(qry_ProdData2_PDI_Cash_Exception_Application[[#This Row],[TYPE]],#REF!,2,FALSE)</f>
        <v>type38</v>
      </c>
      <c r="E1635">
        <v>194.05</v>
      </c>
      <c r="F1635" t="s">
        <v>50</v>
      </c>
      <c r="G1635" s="1">
        <f>qry_ProdData2_PDI_Cash_Exception_Application[[#This Row],[INSERT DATE]]+2</f>
        <v>45184.257071759261</v>
      </c>
      <c r="H1635" t="str">
        <f>VLOOKUP(qry_ProdData2_PDI_Cash_Exception_Application[[#This Row],[MARKET No]],'Site Allocation'!$B$2:$C$37,2,FALSE)</f>
        <v>Analyst4</v>
      </c>
      <c r="I1635" s="4">
        <f t="shared" ca="1" si="25"/>
        <v>45203</v>
      </c>
      <c r="J1635" s="42">
        <f ca="1">TODAY()-qry_ProdData2_PDI_Cash_Exception_Application[[#This Row],[INSERT DATE]]</f>
        <v>20.742928240739275</v>
      </c>
      <c r="K16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35">
        <f ca="1">qry_ProdData2_PDI_Cash_Exception_Application[[#This Row],[TODAY]]-qry_ProdData2_PDI_Cash_Exception_Application[[#This Row],[CHANGED ON]]</f>
        <v>18.742928240739275</v>
      </c>
      <c r="M1635">
        <f ca="1">qry_ProdData2_PDI_Cash_Exception_Application[[#This Row],[TODAY]]-qry_ProdData2_PDI_Cash_Exception_Application[[#This Row],[CHANGED ON]]</f>
        <v>18.742928240739275</v>
      </c>
      <c r="N1635">
        <f ca="1">qry_ProdData2_PDI_Cash_Exception_Application[[#This Row],[TODAY]]-qry_ProdData2_PDI_Cash_Exception_Application[[#This Row],[CHANGED ON]]</f>
        <v>18.742928240739275</v>
      </c>
    </row>
    <row r="1636" spans="1:14" x14ac:dyDescent="0.35">
      <c r="A1636">
        <v>1021</v>
      </c>
      <c r="B1636" t="s">
        <v>75</v>
      </c>
      <c r="C1636" s="1">
        <v>45183.257071759261</v>
      </c>
      <c r="D1636" t="str">
        <f ca="1">VLOOKUP(qry_ProdData2_PDI_Cash_Exception_Application[[#This Row],[TYPE]],#REF!,2,FALSE)</f>
        <v>type54</v>
      </c>
      <c r="E1636">
        <v>-99.01</v>
      </c>
      <c r="F1636" t="s">
        <v>50</v>
      </c>
      <c r="G1636" s="1">
        <f>qry_ProdData2_PDI_Cash_Exception_Application[[#This Row],[INSERT DATE]]+2</f>
        <v>45185.257071759261</v>
      </c>
      <c r="H1636" t="str">
        <f>VLOOKUP(qry_ProdData2_PDI_Cash_Exception_Application[[#This Row],[MARKET No]],'Site Allocation'!$B$2:$C$37,2,FALSE)</f>
        <v>Analyst4</v>
      </c>
      <c r="I1636" s="4">
        <f t="shared" ca="1" si="25"/>
        <v>45203</v>
      </c>
      <c r="J1636" s="42">
        <f ca="1">TODAY()-qry_ProdData2_PDI_Cash_Exception_Application[[#This Row],[INSERT DATE]]</f>
        <v>19.742928240739275</v>
      </c>
      <c r="K16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36">
        <f ca="1">qry_ProdData2_PDI_Cash_Exception_Application[[#This Row],[TODAY]]-qry_ProdData2_PDI_Cash_Exception_Application[[#This Row],[CHANGED ON]]</f>
        <v>17.742928240739275</v>
      </c>
      <c r="M1636">
        <f ca="1">qry_ProdData2_PDI_Cash_Exception_Application[[#This Row],[TODAY]]-qry_ProdData2_PDI_Cash_Exception_Application[[#This Row],[CHANGED ON]]</f>
        <v>17.742928240739275</v>
      </c>
      <c r="N1636">
        <f ca="1">qry_ProdData2_PDI_Cash_Exception_Application[[#This Row],[TODAY]]-qry_ProdData2_PDI_Cash_Exception_Application[[#This Row],[CHANGED ON]]</f>
        <v>17.742928240739275</v>
      </c>
    </row>
    <row r="1637" spans="1:14" x14ac:dyDescent="0.35">
      <c r="A1637">
        <v>1020</v>
      </c>
      <c r="B1637" t="s">
        <v>74</v>
      </c>
      <c r="C1637" s="1">
        <v>45183.257071759261</v>
      </c>
      <c r="D1637" t="str">
        <f ca="1">VLOOKUP(qry_ProdData2_PDI_Cash_Exception_Application[[#This Row],[TYPE]],#REF!,2,FALSE)</f>
        <v>type13</v>
      </c>
      <c r="E1637">
        <v>26948.35</v>
      </c>
      <c r="F1637" t="s">
        <v>50</v>
      </c>
      <c r="G1637" s="1">
        <f>qry_ProdData2_PDI_Cash_Exception_Application[[#This Row],[INSERT DATE]]+2</f>
        <v>45185.257071759261</v>
      </c>
      <c r="H1637" t="str">
        <f>VLOOKUP(qry_ProdData2_PDI_Cash_Exception_Application[[#This Row],[MARKET No]],'Site Allocation'!$B$2:$C$37,2,FALSE)</f>
        <v>Analyst4</v>
      </c>
      <c r="I1637" s="4">
        <f t="shared" ca="1" si="25"/>
        <v>45203</v>
      </c>
      <c r="J1637" s="42">
        <f ca="1">TODAY()-qry_ProdData2_PDI_Cash_Exception_Application[[#This Row],[INSERT DATE]]</f>
        <v>19.742928240739275</v>
      </c>
      <c r="K16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37">
        <f ca="1">qry_ProdData2_PDI_Cash_Exception_Application[[#This Row],[TODAY]]-qry_ProdData2_PDI_Cash_Exception_Application[[#This Row],[CHANGED ON]]</f>
        <v>17.742928240739275</v>
      </c>
      <c r="M1637">
        <f ca="1">qry_ProdData2_PDI_Cash_Exception_Application[[#This Row],[TODAY]]-qry_ProdData2_PDI_Cash_Exception_Application[[#This Row],[CHANGED ON]]</f>
        <v>17.742928240739275</v>
      </c>
      <c r="N1637">
        <f ca="1">qry_ProdData2_PDI_Cash_Exception_Application[[#This Row],[TODAY]]-qry_ProdData2_PDI_Cash_Exception_Application[[#This Row],[CHANGED ON]]</f>
        <v>17.742928240739275</v>
      </c>
    </row>
    <row r="1638" spans="1:14" x14ac:dyDescent="0.35">
      <c r="A1638">
        <v>1013</v>
      </c>
      <c r="B1638" t="s">
        <v>67</v>
      </c>
      <c r="C1638" s="1">
        <v>45188.257071759261</v>
      </c>
      <c r="D1638" t="str">
        <f ca="1">VLOOKUP(qry_ProdData2_PDI_Cash_Exception_Application[[#This Row],[TYPE]],#REF!,2,FALSE)</f>
        <v>type40</v>
      </c>
      <c r="E1638">
        <v>425.15</v>
      </c>
      <c r="F1638" t="s">
        <v>49</v>
      </c>
      <c r="G1638" s="1">
        <f>qry_ProdData2_PDI_Cash_Exception_Application[[#This Row],[INSERT DATE]]+2</f>
        <v>45190.257071759261</v>
      </c>
      <c r="H1638" t="str">
        <f>VLOOKUP(qry_ProdData2_PDI_Cash_Exception_Application[[#This Row],[MARKET No]],'Site Allocation'!$B$2:$C$37,2,FALSE)</f>
        <v>Analyst3</v>
      </c>
      <c r="I1638" s="4">
        <f t="shared" ca="1" si="25"/>
        <v>45203</v>
      </c>
      <c r="J1638" s="42">
        <f ca="1">TODAY()-qry_ProdData2_PDI_Cash_Exception_Application[[#This Row],[INSERT DATE]]</f>
        <v>14.742928240739275</v>
      </c>
      <c r="K16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38">
        <f ca="1">qry_ProdData2_PDI_Cash_Exception_Application[[#This Row],[TODAY]]-qry_ProdData2_PDI_Cash_Exception_Application[[#This Row],[CHANGED ON]]</f>
        <v>12.742928240739275</v>
      </c>
      <c r="M1638">
        <f ca="1">qry_ProdData2_PDI_Cash_Exception_Application[[#This Row],[TODAY]]-qry_ProdData2_PDI_Cash_Exception_Application[[#This Row],[CHANGED ON]]</f>
        <v>12.742928240739275</v>
      </c>
      <c r="N1638">
        <f ca="1">qry_ProdData2_PDI_Cash_Exception_Application[[#This Row],[TODAY]]-qry_ProdData2_PDI_Cash_Exception_Application[[#This Row],[CHANGED ON]]</f>
        <v>12.742928240739275</v>
      </c>
    </row>
    <row r="1639" spans="1:14" x14ac:dyDescent="0.35">
      <c r="A1639">
        <v>1028</v>
      </c>
      <c r="B1639" t="s">
        <v>82</v>
      </c>
      <c r="C1639" s="1">
        <v>45188.257071759261</v>
      </c>
      <c r="D1639" t="str">
        <f ca="1">VLOOKUP(qry_ProdData2_PDI_Cash_Exception_Application[[#This Row],[TYPE]],#REF!,2,FALSE)</f>
        <v>type40</v>
      </c>
      <c r="E1639">
        <v>49.5</v>
      </c>
      <c r="F1639" t="s">
        <v>51</v>
      </c>
      <c r="G1639" s="1">
        <f>qry_ProdData2_PDI_Cash_Exception_Application[[#This Row],[INSERT DATE]]+5</f>
        <v>45193.257071759261</v>
      </c>
      <c r="H1639" t="str">
        <f>VLOOKUP(qry_ProdData2_PDI_Cash_Exception_Application[[#This Row],[MARKET No]],'Site Allocation'!$B$2:$C$37,2,FALSE)</f>
        <v>Analyst5</v>
      </c>
      <c r="I1639" s="4">
        <f t="shared" ca="1" si="25"/>
        <v>45203</v>
      </c>
      <c r="J1639" s="42">
        <f ca="1">TODAY()-qry_ProdData2_PDI_Cash_Exception_Application[[#This Row],[INSERT DATE]]</f>
        <v>14.742928240739275</v>
      </c>
      <c r="K16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39">
        <f ca="1">qry_ProdData2_PDI_Cash_Exception_Application[[#This Row],[TODAY]]-qry_ProdData2_PDI_Cash_Exception_Application[[#This Row],[CHANGED ON]]</f>
        <v>9.7429282407392748</v>
      </c>
      <c r="M1639">
        <f ca="1">qry_ProdData2_PDI_Cash_Exception_Application[[#This Row],[TODAY]]-qry_ProdData2_PDI_Cash_Exception_Application[[#This Row],[CHANGED ON]]</f>
        <v>9.7429282407392748</v>
      </c>
      <c r="N1639">
        <f ca="1">qry_ProdData2_PDI_Cash_Exception_Application[[#This Row],[TODAY]]-qry_ProdData2_PDI_Cash_Exception_Application[[#This Row],[CHANGED ON]]</f>
        <v>9.7429282407392748</v>
      </c>
    </row>
    <row r="1640" spans="1:14" x14ac:dyDescent="0.35">
      <c r="A1640">
        <v>1028</v>
      </c>
      <c r="B1640" t="s">
        <v>82</v>
      </c>
      <c r="C1640" s="1">
        <v>45182.257071759261</v>
      </c>
      <c r="D1640" t="str">
        <f ca="1">VLOOKUP(qry_ProdData2_PDI_Cash_Exception_Application[[#This Row],[TYPE]],#REF!,2,FALSE)</f>
        <v>type7</v>
      </c>
      <c r="E1640">
        <v>1340.8</v>
      </c>
      <c r="F1640" t="s">
        <v>49</v>
      </c>
      <c r="G1640" s="1">
        <f>qry_ProdData2_PDI_Cash_Exception_Application[[#This Row],[INSERT DATE]]+5</f>
        <v>45187.257071759261</v>
      </c>
      <c r="H1640" t="str">
        <f>VLOOKUP(qry_ProdData2_PDI_Cash_Exception_Application[[#This Row],[MARKET No]],'Site Allocation'!$B$2:$C$37,2,FALSE)</f>
        <v>Analyst5</v>
      </c>
      <c r="I1640" s="4">
        <f t="shared" ca="1" si="25"/>
        <v>45203</v>
      </c>
      <c r="J1640" s="42">
        <f ca="1">TODAY()-qry_ProdData2_PDI_Cash_Exception_Application[[#This Row],[INSERT DATE]]</f>
        <v>20.742928240739275</v>
      </c>
      <c r="K16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40">
        <f ca="1">qry_ProdData2_PDI_Cash_Exception_Application[[#This Row],[TODAY]]-qry_ProdData2_PDI_Cash_Exception_Application[[#This Row],[CHANGED ON]]</f>
        <v>15.742928240739275</v>
      </c>
      <c r="M1640">
        <f ca="1">qry_ProdData2_PDI_Cash_Exception_Application[[#This Row],[TODAY]]-qry_ProdData2_PDI_Cash_Exception_Application[[#This Row],[CHANGED ON]]</f>
        <v>15.742928240739275</v>
      </c>
      <c r="N1640">
        <f ca="1">qry_ProdData2_PDI_Cash_Exception_Application[[#This Row],[TODAY]]-qry_ProdData2_PDI_Cash_Exception_Application[[#This Row],[CHANGED ON]]</f>
        <v>15.742928240739275</v>
      </c>
    </row>
    <row r="1641" spans="1:14" x14ac:dyDescent="0.35">
      <c r="A1641">
        <v>1001</v>
      </c>
      <c r="B1641" t="s">
        <v>55</v>
      </c>
      <c r="C1641" s="1">
        <v>45182.257071759261</v>
      </c>
      <c r="D1641" t="str">
        <f ca="1">VLOOKUP(qry_ProdData2_PDI_Cash_Exception_Application[[#This Row],[TYPE]],#REF!,2,FALSE)</f>
        <v>type40</v>
      </c>
      <c r="E1641">
        <v>-1098.9100000000001</v>
      </c>
      <c r="F1641" t="s">
        <v>49</v>
      </c>
      <c r="G1641" s="1">
        <f>qry_ProdData2_PDI_Cash_Exception_Application[[#This Row],[INSERT DATE]]+5</f>
        <v>45187.257071759261</v>
      </c>
      <c r="H1641" t="str">
        <f>VLOOKUP(qry_ProdData2_PDI_Cash_Exception_Application[[#This Row],[MARKET No]],'Site Allocation'!$B$2:$C$37,2,FALSE)</f>
        <v>Analyst1</v>
      </c>
      <c r="I1641" s="4">
        <f t="shared" ca="1" si="25"/>
        <v>45203</v>
      </c>
      <c r="J1641" s="42">
        <f ca="1">TODAY()-qry_ProdData2_PDI_Cash_Exception_Application[[#This Row],[INSERT DATE]]</f>
        <v>20.742928240739275</v>
      </c>
      <c r="K16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41">
        <f ca="1">qry_ProdData2_PDI_Cash_Exception_Application[[#This Row],[TODAY]]-qry_ProdData2_PDI_Cash_Exception_Application[[#This Row],[CHANGED ON]]</f>
        <v>15.742928240739275</v>
      </c>
      <c r="M1641">
        <f ca="1">qry_ProdData2_PDI_Cash_Exception_Application[[#This Row],[TODAY]]-qry_ProdData2_PDI_Cash_Exception_Application[[#This Row],[CHANGED ON]]</f>
        <v>15.742928240739275</v>
      </c>
      <c r="N1641">
        <f ca="1">qry_ProdData2_PDI_Cash_Exception_Application[[#This Row],[TODAY]]-qry_ProdData2_PDI_Cash_Exception_Application[[#This Row],[CHANGED ON]]</f>
        <v>15.742928240739275</v>
      </c>
    </row>
    <row r="1642" spans="1:14" x14ac:dyDescent="0.35">
      <c r="A1642">
        <v>1013</v>
      </c>
      <c r="B1642" t="s">
        <v>67</v>
      </c>
      <c r="C1642" s="1">
        <v>45186.257071759261</v>
      </c>
      <c r="D1642" t="str">
        <f ca="1">VLOOKUP(qry_ProdData2_PDI_Cash_Exception_Application[[#This Row],[TYPE]],#REF!,2,FALSE)</f>
        <v>type38</v>
      </c>
      <c r="E1642">
        <v>213.99</v>
      </c>
      <c r="F1642" t="s">
        <v>52</v>
      </c>
      <c r="G1642" s="1">
        <f>qry_ProdData2_PDI_Cash_Exception_Application[[#This Row],[INSERT DATE]]+2</f>
        <v>45188.257071759261</v>
      </c>
      <c r="H1642" t="str">
        <f>VLOOKUP(qry_ProdData2_PDI_Cash_Exception_Application[[#This Row],[MARKET No]],'Site Allocation'!$B$2:$C$37,2,FALSE)</f>
        <v>Analyst3</v>
      </c>
      <c r="I1642" s="4">
        <f t="shared" ca="1" si="25"/>
        <v>45203</v>
      </c>
      <c r="J1642" s="42">
        <f ca="1">TODAY()-qry_ProdData2_PDI_Cash_Exception_Application[[#This Row],[INSERT DATE]]</f>
        <v>16.742928240739275</v>
      </c>
      <c r="K16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42">
        <f ca="1">qry_ProdData2_PDI_Cash_Exception_Application[[#This Row],[TODAY]]-qry_ProdData2_PDI_Cash_Exception_Application[[#This Row],[CHANGED ON]]</f>
        <v>14.742928240739275</v>
      </c>
      <c r="M1642">
        <f ca="1">qry_ProdData2_PDI_Cash_Exception_Application[[#This Row],[TODAY]]-qry_ProdData2_PDI_Cash_Exception_Application[[#This Row],[CHANGED ON]]</f>
        <v>14.742928240739275</v>
      </c>
      <c r="N1642">
        <f ca="1">qry_ProdData2_PDI_Cash_Exception_Application[[#This Row],[TODAY]]-qry_ProdData2_PDI_Cash_Exception_Application[[#This Row],[CHANGED ON]]</f>
        <v>14.742928240739275</v>
      </c>
    </row>
    <row r="1643" spans="1:14" x14ac:dyDescent="0.35">
      <c r="A1643">
        <v>1001</v>
      </c>
      <c r="B1643" t="s">
        <v>55</v>
      </c>
      <c r="C1643" s="1">
        <v>45183.257071759261</v>
      </c>
      <c r="D1643" t="str">
        <f ca="1">VLOOKUP(qry_ProdData2_PDI_Cash_Exception_Application[[#This Row],[TYPE]],#REF!,2,FALSE)</f>
        <v>type40</v>
      </c>
      <c r="E1643">
        <v>-343.63</v>
      </c>
      <c r="F1643" t="s">
        <v>49</v>
      </c>
      <c r="G1643" s="1">
        <f>qry_ProdData2_PDI_Cash_Exception_Application[[#This Row],[INSERT DATE]]+5</f>
        <v>45188.257071759261</v>
      </c>
      <c r="H1643" t="str">
        <f>VLOOKUP(qry_ProdData2_PDI_Cash_Exception_Application[[#This Row],[MARKET No]],'Site Allocation'!$B$2:$C$37,2,FALSE)</f>
        <v>Analyst1</v>
      </c>
      <c r="I1643" s="4">
        <f t="shared" ca="1" si="25"/>
        <v>45203</v>
      </c>
      <c r="J1643" s="42">
        <f ca="1">TODAY()-qry_ProdData2_PDI_Cash_Exception_Application[[#This Row],[INSERT DATE]]</f>
        <v>19.742928240739275</v>
      </c>
      <c r="K16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43">
        <f ca="1">qry_ProdData2_PDI_Cash_Exception_Application[[#This Row],[TODAY]]-qry_ProdData2_PDI_Cash_Exception_Application[[#This Row],[CHANGED ON]]</f>
        <v>14.742928240739275</v>
      </c>
      <c r="M1643">
        <f ca="1">qry_ProdData2_PDI_Cash_Exception_Application[[#This Row],[TODAY]]-qry_ProdData2_PDI_Cash_Exception_Application[[#This Row],[CHANGED ON]]</f>
        <v>14.742928240739275</v>
      </c>
      <c r="N1643">
        <f ca="1">qry_ProdData2_PDI_Cash_Exception_Application[[#This Row],[TODAY]]-qry_ProdData2_PDI_Cash_Exception_Application[[#This Row],[CHANGED ON]]</f>
        <v>14.742928240739275</v>
      </c>
    </row>
    <row r="1644" spans="1:14" x14ac:dyDescent="0.35">
      <c r="A1644">
        <v>1029</v>
      </c>
      <c r="B1644" t="s">
        <v>83</v>
      </c>
      <c r="C1644" s="1">
        <v>45182.257071759261</v>
      </c>
      <c r="D1644" t="str">
        <f ca="1">VLOOKUP(qry_ProdData2_PDI_Cash_Exception_Application[[#This Row],[TYPE]],#REF!,2,FALSE)</f>
        <v>type40</v>
      </c>
      <c r="E1644">
        <v>-823.5</v>
      </c>
      <c r="F1644" t="s">
        <v>51</v>
      </c>
      <c r="G1644" s="1">
        <f>qry_ProdData2_PDI_Cash_Exception_Application[[#This Row],[INSERT DATE]]+7</f>
        <v>45189.257071759261</v>
      </c>
      <c r="H1644" t="str">
        <f>VLOOKUP(qry_ProdData2_PDI_Cash_Exception_Application[[#This Row],[MARKET No]],'Site Allocation'!$B$2:$C$37,2,FALSE)</f>
        <v>Analyst5</v>
      </c>
      <c r="I1644" s="4">
        <f t="shared" ca="1" si="25"/>
        <v>45203</v>
      </c>
      <c r="J1644" s="42">
        <f ca="1">TODAY()-qry_ProdData2_PDI_Cash_Exception_Application[[#This Row],[INSERT DATE]]</f>
        <v>20.742928240739275</v>
      </c>
      <c r="K16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44">
        <f ca="1">qry_ProdData2_PDI_Cash_Exception_Application[[#This Row],[TODAY]]-qry_ProdData2_PDI_Cash_Exception_Application[[#This Row],[CHANGED ON]]</f>
        <v>13.742928240739275</v>
      </c>
      <c r="M1644">
        <f ca="1">qry_ProdData2_PDI_Cash_Exception_Application[[#This Row],[TODAY]]-qry_ProdData2_PDI_Cash_Exception_Application[[#This Row],[CHANGED ON]]</f>
        <v>13.742928240739275</v>
      </c>
      <c r="N1644">
        <f ca="1">qry_ProdData2_PDI_Cash_Exception_Application[[#This Row],[TODAY]]-qry_ProdData2_PDI_Cash_Exception_Application[[#This Row],[CHANGED ON]]</f>
        <v>13.742928240739275</v>
      </c>
    </row>
    <row r="1645" spans="1:14" x14ac:dyDescent="0.35">
      <c r="A1645">
        <v>1020</v>
      </c>
      <c r="B1645" t="s">
        <v>74</v>
      </c>
      <c r="C1645" s="1">
        <v>45188.257071759261</v>
      </c>
      <c r="D1645" t="str">
        <f ca="1">VLOOKUP(qry_ProdData2_PDI_Cash_Exception_Application[[#This Row],[TYPE]],#REF!,2,FALSE)</f>
        <v>type27</v>
      </c>
      <c r="E1645">
        <v>791.03</v>
      </c>
      <c r="F1645" t="s">
        <v>52</v>
      </c>
      <c r="G1645" s="1">
        <f>qry_ProdData2_PDI_Cash_Exception_Application[[#This Row],[INSERT DATE]]+2</f>
        <v>45190.257071759261</v>
      </c>
      <c r="H1645" t="str">
        <f>VLOOKUP(qry_ProdData2_PDI_Cash_Exception_Application[[#This Row],[MARKET No]],'Site Allocation'!$B$2:$C$37,2,FALSE)</f>
        <v>Analyst4</v>
      </c>
      <c r="I1645" s="4">
        <f t="shared" ca="1" si="25"/>
        <v>45203</v>
      </c>
      <c r="J1645" s="42">
        <f ca="1">TODAY()-qry_ProdData2_PDI_Cash_Exception_Application[[#This Row],[INSERT DATE]]</f>
        <v>14.742928240739275</v>
      </c>
      <c r="K16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45">
        <f ca="1">qry_ProdData2_PDI_Cash_Exception_Application[[#This Row],[TODAY]]-qry_ProdData2_PDI_Cash_Exception_Application[[#This Row],[CHANGED ON]]</f>
        <v>12.742928240739275</v>
      </c>
      <c r="M1645">
        <f ca="1">qry_ProdData2_PDI_Cash_Exception_Application[[#This Row],[TODAY]]-qry_ProdData2_PDI_Cash_Exception_Application[[#This Row],[CHANGED ON]]</f>
        <v>12.742928240739275</v>
      </c>
      <c r="N1645">
        <f ca="1">qry_ProdData2_PDI_Cash_Exception_Application[[#This Row],[TODAY]]-qry_ProdData2_PDI_Cash_Exception_Application[[#This Row],[CHANGED ON]]</f>
        <v>12.742928240739275</v>
      </c>
    </row>
    <row r="1646" spans="1:14" x14ac:dyDescent="0.35">
      <c r="A1646">
        <v>1027</v>
      </c>
      <c r="B1646" t="s">
        <v>81</v>
      </c>
      <c r="C1646" s="1">
        <v>45189.257071759261</v>
      </c>
      <c r="D1646" t="str">
        <f ca="1">VLOOKUP(qry_ProdData2_PDI_Cash_Exception_Application[[#This Row],[TYPE]],#REF!,2,FALSE)</f>
        <v>type13</v>
      </c>
      <c r="E1646">
        <v>14932.74</v>
      </c>
      <c r="F1646" t="s">
        <v>47</v>
      </c>
      <c r="G1646" s="1">
        <f>qry_ProdData2_PDI_Cash_Exception_Application[[#This Row],[INSERT DATE]]+1</f>
        <v>45190.257071759261</v>
      </c>
      <c r="H1646" t="str">
        <f>VLOOKUP(qry_ProdData2_PDI_Cash_Exception_Application[[#This Row],[MARKET No]],'Site Allocation'!$B$2:$C$37,2,FALSE)</f>
        <v>Analyst5</v>
      </c>
      <c r="I1646" s="4">
        <f t="shared" ca="1" si="25"/>
        <v>45203</v>
      </c>
      <c r="J1646" s="42">
        <f ca="1">TODAY()-qry_ProdData2_PDI_Cash_Exception_Application[[#This Row],[INSERT DATE]]</f>
        <v>13.742928240739275</v>
      </c>
      <c r="K16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46">
        <f ca="1">qry_ProdData2_PDI_Cash_Exception_Application[[#This Row],[TODAY]]-qry_ProdData2_PDI_Cash_Exception_Application[[#This Row],[CHANGED ON]]</f>
        <v>12.742928240739275</v>
      </c>
      <c r="M1646">
        <f ca="1">qry_ProdData2_PDI_Cash_Exception_Application[[#This Row],[TODAY]]-qry_ProdData2_PDI_Cash_Exception_Application[[#This Row],[CHANGED ON]]</f>
        <v>12.742928240739275</v>
      </c>
      <c r="N1646">
        <f ca="1">qry_ProdData2_PDI_Cash_Exception_Application[[#This Row],[TODAY]]-qry_ProdData2_PDI_Cash_Exception_Application[[#This Row],[CHANGED ON]]</f>
        <v>12.742928240739275</v>
      </c>
    </row>
    <row r="1647" spans="1:14" x14ac:dyDescent="0.35">
      <c r="A1647">
        <v>1021</v>
      </c>
      <c r="B1647" t="s">
        <v>75</v>
      </c>
      <c r="C1647" s="1">
        <v>45189.257071759261</v>
      </c>
      <c r="D1647" t="str">
        <f ca="1">VLOOKUP(qry_ProdData2_PDI_Cash_Exception_Application[[#This Row],[TYPE]],#REF!,2,FALSE)</f>
        <v>type40</v>
      </c>
      <c r="E1647">
        <v>26.83</v>
      </c>
      <c r="F1647" t="s">
        <v>50</v>
      </c>
      <c r="G1647" s="1">
        <f>qry_ProdData2_PDI_Cash_Exception_Application[[#This Row],[INSERT DATE]]+2</f>
        <v>45191.257071759261</v>
      </c>
      <c r="H1647" t="str">
        <f>VLOOKUP(qry_ProdData2_PDI_Cash_Exception_Application[[#This Row],[MARKET No]],'Site Allocation'!$B$2:$C$37,2,FALSE)</f>
        <v>Analyst4</v>
      </c>
      <c r="I1647" s="4">
        <f t="shared" ca="1" si="25"/>
        <v>45203</v>
      </c>
      <c r="J1647" s="42">
        <f ca="1">TODAY()-qry_ProdData2_PDI_Cash_Exception_Application[[#This Row],[INSERT DATE]]</f>
        <v>13.742928240739275</v>
      </c>
      <c r="K16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47">
        <f ca="1">qry_ProdData2_PDI_Cash_Exception_Application[[#This Row],[TODAY]]-qry_ProdData2_PDI_Cash_Exception_Application[[#This Row],[CHANGED ON]]</f>
        <v>11.742928240739275</v>
      </c>
      <c r="M1647">
        <f ca="1">qry_ProdData2_PDI_Cash_Exception_Application[[#This Row],[TODAY]]-qry_ProdData2_PDI_Cash_Exception_Application[[#This Row],[CHANGED ON]]</f>
        <v>11.742928240739275</v>
      </c>
      <c r="N1647">
        <f ca="1">qry_ProdData2_PDI_Cash_Exception_Application[[#This Row],[TODAY]]-qry_ProdData2_PDI_Cash_Exception_Application[[#This Row],[CHANGED ON]]</f>
        <v>11.742928240739275</v>
      </c>
    </row>
    <row r="1648" spans="1:14" x14ac:dyDescent="0.35">
      <c r="A1648">
        <v>1028</v>
      </c>
      <c r="B1648" t="s">
        <v>82</v>
      </c>
      <c r="C1648" s="1">
        <v>45190.257071759261</v>
      </c>
      <c r="D1648" t="str">
        <f ca="1">VLOOKUP(qry_ProdData2_PDI_Cash_Exception_Application[[#This Row],[TYPE]],#REF!,2,FALSE)</f>
        <v>type40</v>
      </c>
      <c r="E1648">
        <v>19.16</v>
      </c>
      <c r="F1648" t="s">
        <v>50</v>
      </c>
      <c r="G1648" s="1">
        <f>qry_ProdData2_PDI_Cash_Exception_Application[[#This Row],[INSERT DATE]]+2</f>
        <v>45192.257071759261</v>
      </c>
      <c r="H1648" t="str">
        <f>VLOOKUP(qry_ProdData2_PDI_Cash_Exception_Application[[#This Row],[MARKET No]],'Site Allocation'!$B$2:$C$37,2,FALSE)</f>
        <v>Analyst5</v>
      </c>
      <c r="I1648" s="4">
        <f t="shared" ca="1" si="25"/>
        <v>45203</v>
      </c>
      <c r="J1648" s="42">
        <f ca="1">TODAY()-qry_ProdData2_PDI_Cash_Exception_Application[[#This Row],[INSERT DATE]]</f>
        <v>12.742928240739275</v>
      </c>
      <c r="K16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48">
        <f ca="1">qry_ProdData2_PDI_Cash_Exception_Application[[#This Row],[TODAY]]-qry_ProdData2_PDI_Cash_Exception_Application[[#This Row],[CHANGED ON]]</f>
        <v>10.742928240739275</v>
      </c>
      <c r="M1648">
        <f ca="1">qry_ProdData2_PDI_Cash_Exception_Application[[#This Row],[TODAY]]-qry_ProdData2_PDI_Cash_Exception_Application[[#This Row],[CHANGED ON]]</f>
        <v>10.742928240739275</v>
      </c>
      <c r="N1648">
        <f ca="1">qry_ProdData2_PDI_Cash_Exception_Application[[#This Row],[TODAY]]-qry_ProdData2_PDI_Cash_Exception_Application[[#This Row],[CHANGED ON]]</f>
        <v>10.742928240739275</v>
      </c>
    </row>
    <row r="1649" spans="1:14" x14ac:dyDescent="0.35">
      <c r="A1649">
        <v>1005</v>
      </c>
      <c r="B1649" t="s">
        <v>59</v>
      </c>
      <c r="C1649" s="1">
        <v>45186.257071759261</v>
      </c>
      <c r="D1649" t="str">
        <f ca="1">VLOOKUP(qry_ProdData2_PDI_Cash_Exception_Application[[#This Row],[TYPE]],#REF!,2,FALSE)</f>
        <v>type40</v>
      </c>
      <c r="E1649">
        <v>-1316.69</v>
      </c>
      <c r="F1649" t="s">
        <v>47</v>
      </c>
      <c r="G1649" s="1">
        <f>qry_ProdData2_PDI_Cash_Exception_Application[[#This Row],[INSERT DATE]]+1</f>
        <v>45187.257071759261</v>
      </c>
      <c r="H1649" t="str">
        <f>VLOOKUP(qry_ProdData2_PDI_Cash_Exception_Application[[#This Row],[MARKET No]],'Site Allocation'!$B$2:$C$37,2,FALSE)</f>
        <v>Analyst1</v>
      </c>
      <c r="I1649" s="4">
        <f t="shared" ca="1" si="25"/>
        <v>45203</v>
      </c>
      <c r="J1649" s="42">
        <f ca="1">TODAY()-qry_ProdData2_PDI_Cash_Exception_Application[[#This Row],[INSERT DATE]]</f>
        <v>16.742928240739275</v>
      </c>
      <c r="K16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49">
        <f ca="1">qry_ProdData2_PDI_Cash_Exception_Application[[#This Row],[TODAY]]-qry_ProdData2_PDI_Cash_Exception_Application[[#This Row],[CHANGED ON]]</f>
        <v>15.742928240739275</v>
      </c>
      <c r="M1649">
        <f ca="1">qry_ProdData2_PDI_Cash_Exception_Application[[#This Row],[TODAY]]-qry_ProdData2_PDI_Cash_Exception_Application[[#This Row],[CHANGED ON]]</f>
        <v>15.742928240739275</v>
      </c>
      <c r="N1649">
        <f ca="1">qry_ProdData2_PDI_Cash_Exception_Application[[#This Row],[TODAY]]-qry_ProdData2_PDI_Cash_Exception_Application[[#This Row],[CHANGED ON]]</f>
        <v>15.742928240739275</v>
      </c>
    </row>
    <row r="1650" spans="1:14" x14ac:dyDescent="0.35">
      <c r="A1650">
        <v>1005</v>
      </c>
      <c r="B1650" t="s">
        <v>59</v>
      </c>
      <c r="C1650" s="1">
        <v>45187.257071759261</v>
      </c>
      <c r="D1650" t="str">
        <f ca="1">VLOOKUP(qry_ProdData2_PDI_Cash_Exception_Application[[#This Row],[TYPE]],#REF!,2,FALSE)</f>
        <v>type40</v>
      </c>
      <c r="E1650">
        <v>376.91</v>
      </c>
      <c r="F1650" t="s">
        <v>48</v>
      </c>
      <c r="G1650" s="1">
        <f>qry_ProdData2_PDI_Cash_Exception_Application[[#This Row],[INSERT DATE]]+7</f>
        <v>45194.257071759261</v>
      </c>
      <c r="H1650" t="str">
        <f>VLOOKUP(qry_ProdData2_PDI_Cash_Exception_Application[[#This Row],[MARKET No]],'Site Allocation'!$B$2:$C$37,2,FALSE)</f>
        <v>Analyst1</v>
      </c>
      <c r="I1650" s="4">
        <f t="shared" ca="1" si="25"/>
        <v>45203</v>
      </c>
      <c r="J1650" s="42">
        <f ca="1">TODAY()-qry_ProdData2_PDI_Cash_Exception_Application[[#This Row],[INSERT DATE]]</f>
        <v>15.742928240739275</v>
      </c>
      <c r="K16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50">
        <f ca="1">qry_ProdData2_PDI_Cash_Exception_Application[[#This Row],[TODAY]]-qry_ProdData2_PDI_Cash_Exception_Application[[#This Row],[CHANGED ON]]</f>
        <v>8.7429282407392748</v>
      </c>
      <c r="M1650">
        <f ca="1">qry_ProdData2_PDI_Cash_Exception_Application[[#This Row],[TODAY]]-qry_ProdData2_PDI_Cash_Exception_Application[[#This Row],[CHANGED ON]]</f>
        <v>8.7429282407392748</v>
      </c>
      <c r="N1650">
        <f ca="1">qry_ProdData2_PDI_Cash_Exception_Application[[#This Row],[TODAY]]-qry_ProdData2_PDI_Cash_Exception_Application[[#This Row],[CHANGED ON]]</f>
        <v>8.7429282407392748</v>
      </c>
    </row>
    <row r="1651" spans="1:14" x14ac:dyDescent="0.35">
      <c r="A1651">
        <v>1016</v>
      </c>
      <c r="B1651" t="s">
        <v>70</v>
      </c>
      <c r="C1651" s="1">
        <v>45189.257071759261</v>
      </c>
      <c r="D1651" t="str">
        <f ca="1">VLOOKUP(qry_ProdData2_PDI_Cash_Exception_Application[[#This Row],[TYPE]],#REF!,2,FALSE)</f>
        <v>type40</v>
      </c>
      <c r="E1651">
        <v>-426.51</v>
      </c>
      <c r="F1651" t="s">
        <v>49</v>
      </c>
      <c r="G1651" s="1">
        <f>qry_ProdData2_PDI_Cash_Exception_Application[[#This Row],[INSERT DATE]]+7</f>
        <v>45196.257071759261</v>
      </c>
      <c r="H1651" t="str">
        <f>VLOOKUP(qry_ProdData2_PDI_Cash_Exception_Application[[#This Row],[MARKET No]],'Site Allocation'!$B$2:$C$37,2,FALSE)</f>
        <v>Analyst3</v>
      </c>
      <c r="I1651" s="4">
        <f t="shared" ca="1" si="25"/>
        <v>45203</v>
      </c>
      <c r="J1651" s="42">
        <f ca="1">TODAY()-qry_ProdData2_PDI_Cash_Exception_Application[[#This Row],[INSERT DATE]]</f>
        <v>13.742928240739275</v>
      </c>
      <c r="K16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51">
        <f ca="1">qry_ProdData2_PDI_Cash_Exception_Application[[#This Row],[TODAY]]-qry_ProdData2_PDI_Cash_Exception_Application[[#This Row],[CHANGED ON]]</f>
        <v>6.7429282407392748</v>
      </c>
      <c r="M1651">
        <f ca="1">qry_ProdData2_PDI_Cash_Exception_Application[[#This Row],[TODAY]]-qry_ProdData2_PDI_Cash_Exception_Application[[#This Row],[CHANGED ON]]</f>
        <v>6.7429282407392748</v>
      </c>
      <c r="N1651">
        <f ca="1">qry_ProdData2_PDI_Cash_Exception_Application[[#This Row],[TODAY]]-qry_ProdData2_PDI_Cash_Exception_Application[[#This Row],[CHANGED ON]]</f>
        <v>6.7429282407392748</v>
      </c>
    </row>
    <row r="1652" spans="1:14" x14ac:dyDescent="0.35">
      <c r="A1652">
        <v>1029</v>
      </c>
      <c r="B1652" t="s">
        <v>83</v>
      </c>
      <c r="C1652" s="1">
        <v>45193.257071759261</v>
      </c>
      <c r="D1652" t="str">
        <f ca="1">VLOOKUP(qry_ProdData2_PDI_Cash_Exception_Application[[#This Row],[TYPE]],#REF!,2,FALSE)</f>
        <v>type40</v>
      </c>
      <c r="E1652">
        <v>-389.63</v>
      </c>
      <c r="F1652" t="s">
        <v>52</v>
      </c>
      <c r="G1652" s="1">
        <f>qry_ProdData2_PDI_Cash_Exception_Application[[#This Row],[INSERT DATE]]+5</f>
        <v>45198.257071759261</v>
      </c>
      <c r="H1652" t="str">
        <f>VLOOKUP(qry_ProdData2_PDI_Cash_Exception_Application[[#This Row],[MARKET No]],'Site Allocation'!$B$2:$C$37,2,FALSE)</f>
        <v>Analyst5</v>
      </c>
      <c r="I1652" s="4">
        <f t="shared" ca="1" si="25"/>
        <v>45203</v>
      </c>
      <c r="J1652" s="42">
        <f ca="1">TODAY()-qry_ProdData2_PDI_Cash_Exception_Application[[#This Row],[INSERT DATE]]</f>
        <v>9.7429282407392748</v>
      </c>
      <c r="K16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52">
        <f ca="1">qry_ProdData2_PDI_Cash_Exception_Application[[#This Row],[TODAY]]-qry_ProdData2_PDI_Cash_Exception_Application[[#This Row],[CHANGED ON]]</f>
        <v>4.7429282407392748</v>
      </c>
      <c r="M1652">
        <f ca="1">qry_ProdData2_PDI_Cash_Exception_Application[[#This Row],[TODAY]]-qry_ProdData2_PDI_Cash_Exception_Application[[#This Row],[CHANGED ON]]</f>
        <v>4.7429282407392748</v>
      </c>
      <c r="N1652">
        <f ca="1">qry_ProdData2_PDI_Cash_Exception_Application[[#This Row],[TODAY]]-qry_ProdData2_PDI_Cash_Exception_Application[[#This Row],[CHANGED ON]]</f>
        <v>4.7429282407392748</v>
      </c>
    </row>
    <row r="1653" spans="1:14" x14ac:dyDescent="0.35">
      <c r="A1653">
        <v>1033</v>
      </c>
      <c r="B1653" t="s">
        <v>87</v>
      </c>
      <c r="C1653" s="1">
        <v>45189.257071759261</v>
      </c>
      <c r="D1653" t="str">
        <f ca="1">VLOOKUP(qry_ProdData2_PDI_Cash_Exception_Application[[#This Row],[TYPE]],#REF!,2,FALSE)</f>
        <v>type13</v>
      </c>
      <c r="E1653">
        <v>28024.52</v>
      </c>
      <c r="F1653" t="s">
        <v>47</v>
      </c>
      <c r="G1653" s="1">
        <f>qry_ProdData2_PDI_Cash_Exception_Application[[#This Row],[INSERT DATE]]+2</f>
        <v>45191.257071759261</v>
      </c>
      <c r="H1653" t="str">
        <f>VLOOKUP(qry_ProdData2_PDI_Cash_Exception_Application[[#This Row],[MARKET No]],'Site Allocation'!$B$2:$C$37,2,FALSE)</f>
        <v>Analyst6</v>
      </c>
      <c r="I1653" s="4">
        <f t="shared" ca="1" si="25"/>
        <v>45203</v>
      </c>
      <c r="J1653" s="42">
        <f ca="1">TODAY()-qry_ProdData2_PDI_Cash_Exception_Application[[#This Row],[INSERT DATE]]</f>
        <v>13.742928240739275</v>
      </c>
      <c r="K16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53">
        <f ca="1">qry_ProdData2_PDI_Cash_Exception_Application[[#This Row],[TODAY]]-qry_ProdData2_PDI_Cash_Exception_Application[[#This Row],[CHANGED ON]]</f>
        <v>11.742928240739275</v>
      </c>
      <c r="M1653">
        <f ca="1">qry_ProdData2_PDI_Cash_Exception_Application[[#This Row],[TODAY]]-qry_ProdData2_PDI_Cash_Exception_Application[[#This Row],[CHANGED ON]]</f>
        <v>11.742928240739275</v>
      </c>
      <c r="N1653">
        <f ca="1">qry_ProdData2_PDI_Cash_Exception_Application[[#This Row],[TODAY]]-qry_ProdData2_PDI_Cash_Exception_Application[[#This Row],[CHANGED ON]]</f>
        <v>11.742928240739275</v>
      </c>
    </row>
    <row r="1654" spans="1:14" x14ac:dyDescent="0.35">
      <c r="A1654">
        <v>1035</v>
      </c>
      <c r="B1654" t="s">
        <v>89</v>
      </c>
      <c r="C1654" s="1">
        <v>45192.257071759261</v>
      </c>
      <c r="D1654" t="str">
        <f ca="1">VLOOKUP(qry_ProdData2_PDI_Cash_Exception_Application[[#This Row],[TYPE]],#REF!,2,FALSE)</f>
        <v>type40</v>
      </c>
      <c r="E1654">
        <v>411.99</v>
      </c>
      <c r="F1654" t="s">
        <v>48</v>
      </c>
      <c r="G1654" s="1">
        <f>qry_ProdData2_PDI_Cash_Exception_Application[[#This Row],[INSERT DATE]]+7</f>
        <v>45199.257071759261</v>
      </c>
      <c r="H1654" t="str">
        <f>VLOOKUP(qry_ProdData2_PDI_Cash_Exception_Application[[#This Row],[MARKET No]],'Site Allocation'!$B$2:$C$37,2,FALSE)</f>
        <v>Analyst6</v>
      </c>
      <c r="I1654" s="4">
        <f t="shared" ca="1" si="25"/>
        <v>45203</v>
      </c>
      <c r="J1654" s="42">
        <f ca="1">TODAY()-qry_ProdData2_PDI_Cash_Exception_Application[[#This Row],[INSERT DATE]]</f>
        <v>10.742928240739275</v>
      </c>
      <c r="K16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54">
        <f ca="1">qry_ProdData2_PDI_Cash_Exception_Application[[#This Row],[TODAY]]-qry_ProdData2_PDI_Cash_Exception_Application[[#This Row],[CHANGED ON]]</f>
        <v>3.7429282407392748</v>
      </c>
      <c r="M1654">
        <f ca="1">qry_ProdData2_PDI_Cash_Exception_Application[[#This Row],[TODAY]]-qry_ProdData2_PDI_Cash_Exception_Application[[#This Row],[CHANGED ON]]</f>
        <v>3.7429282407392748</v>
      </c>
      <c r="N1654">
        <f ca="1">qry_ProdData2_PDI_Cash_Exception_Application[[#This Row],[TODAY]]-qry_ProdData2_PDI_Cash_Exception_Application[[#This Row],[CHANGED ON]]</f>
        <v>3.7429282407392748</v>
      </c>
    </row>
    <row r="1655" spans="1:14" x14ac:dyDescent="0.35">
      <c r="A1655">
        <v>1007</v>
      </c>
      <c r="B1655" t="s">
        <v>61</v>
      </c>
      <c r="C1655" s="1">
        <v>45185.257071759261</v>
      </c>
      <c r="D1655" t="str">
        <f ca="1">VLOOKUP(qry_ProdData2_PDI_Cash_Exception_Application[[#This Row],[TYPE]],#REF!,2,FALSE)</f>
        <v>type40</v>
      </c>
      <c r="E1655">
        <v>-1060.1600000000001</v>
      </c>
      <c r="F1655" t="s">
        <v>49</v>
      </c>
      <c r="G1655" s="1">
        <f>qry_ProdData2_PDI_Cash_Exception_Application[[#This Row],[INSERT DATE]]+1</f>
        <v>45186.257071759261</v>
      </c>
      <c r="H1655" t="str">
        <f>VLOOKUP(qry_ProdData2_PDI_Cash_Exception_Application[[#This Row],[MARKET No]],'Site Allocation'!$B$2:$C$37,2,FALSE)</f>
        <v>Analyst2</v>
      </c>
      <c r="I1655" s="4">
        <f t="shared" ca="1" si="25"/>
        <v>45203</v>
      </c>
      <c r="J1655" s="42">
        <f ca="1">TODAY()-qry_ProdData2_PDI_Cash_Exception_Application[[#This Row],[INSERT DATE]]</f>
        <v>17.742928240739275</v>
      </c>
      <c r="K16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55">
        <f ca="1">qry_ProdData2_PDI_Cash_Exception_Application[[#This Row],[TODAY]]-qry_ProdData2_PDI_Cash_Exception_Application[[#This Row],[CHANGED ON]]</f>
        <v>16.742928240739275</v>
      </c>
      <c r="M1655">
        <f ca="1">qry_ProdData2_PDI_Cash_Exception_Application[[#This Row],[TODAY]]-qry_ProdData2_PDI_Cash_Exception_Application[[#This Row],[CHANGED ON]]</f>
        <v>16.742928240739275</v>
      </c>
      <c r="N1655">
        <f ca="1">qry_ProdData2_PDI_Cash_Exception_Application[[#This Row],[TODAY]]-qry_ProdData2_PDI_Cash_Exception_Application[[#This Row],[CHANGED ON]]</f>
        <v>16.742928240739275</v>
      </c>
    </row>
    <row r="1656" spans="1:14" x14ac:dyDescent="0.35">
      <c r="A1656">
        <v>1021</v>
      </c>
      <c r="B1656" t="s">
        <v>75</v>
      </c>
      <c r="C1656" s="1">
        <v>45197.257071759261</v>
      </c>
      <c r="D1656" t="str">
        <f ca="1">VLOOKUP(qry_ProdData2_PDI_Cash_Exception_Application[[#This Row],[TYPE]],#REF!,2,FALSE)</f>
        <v>type40</v>
      </c>
      <c r="E1656">
        <v>11.4</v>
      </c>
      <c r="F1656" t="s">
        <v>52</v>
      </c>
      <c r="G1656" s="1">
        <f>qry_ProdData2_PDI_Cash_Exception_Application[[#This Row],[INSERT DATE]]+5</f>
        <v>45202.257071759261</v>
      </c>
      <c r="H1656" t="str">
        <f>VLOOKUP(qry_ProdData2_PDI_Cash_Exception_Application[[#This Row],[MARKET No]],'Site Allocation'!$B$2:$C$37,2,FALSE)</f>
        <v>Analyst4</v>
      </c>
      <c r="I1656" s="4">
        <f t="shared" ca="1" si="25"/>
        <v>45203</v>
      </c>
      <c r="J1656" s="42">
        <f ca="1">TODAY()-qry_ProdData2_PDI_Cash_Exception_Application[[#This Row],[INSERT DATE]]</f>
        <v>5.7429282407392748</v>
      </c>
      <c r="K16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656">
        <f ca="1">qry_ProdData2_PDI_Cash_Exception_Application[[#This Row],[TODAY]]-qry_ProdData2_PDI_Cash_Exception_Application[[#This Row],[CHANGED ON]]</f>
        <v>0.74292824073927477</v>
      </c>
      <c r="M1656">
        <f ca="1">qry_ProdData2_PDI_Cash_Exception_Application[[#This Row],[TODAY]]-qry_ProdData2_PDI_Cash_Exception_Application[[#This Row],[CHANGED ON]]</f>
        <v>0.74292824073927477</v>
      </c>
      <c r="N1656">
        <f ca="1">qry_ProdData2_PDI_Cash_Exception_Application[[#This Row],[TODAY]]-qry_ProdData2_PDI_Cash_Exception_Application[[#This Row],[CHANGED ON]]</f>
        <v>0.74292824073927477</v>
      </c>
    </row>
    <row r="1657" spans="1:14" x14ac:dyDescent="0.35">
      <c r="A1657">
        <v>1033</v>
      </c>
      <c r="B1657" t="s">
        <v>87</v>
      </c>
      <c r="C1657" s="1">
        <v>45185.257071759261</v>
      </c>
      <c r="D1657" t="str">
        <f ca="1">VLOOKUP(qry_ProdData2_PDI_Cash_Exception_Application[[#This Row],[TYPE]],#REF!,2,FALSE)</f>
        <v>type40</v>
      </c>
      <c r="E1657">
        <v>-433.5</v>
      </c>
      <c r="F1657" t="s">
        <v>52</v>
      </c>
      <c r="G1657" s="1">
        <f>qry_ProdData2_PDI_Cash_Exception_Application[[#This Row],[INSERT DATE]]+5</f>
        <v>45190.257071759261</v>
      </c>
      <c r="H1657" t="str">
        <f>VLOOKUP(qry_ProdData2_PDI_Cash_Exception_Application[[#This Row],[MARKET No]],'Site Allocation'!$B$2:$C$37,2,FALSE)</f>
        <v>Analyst6</v>
      </c>
      <c r="I1657" s="4">
        <f t="shared" ca="1" si="25"/>
        <v>45203</v>
      </c>
      <c r="J1657" s="42">
        <f ca="1">TODAY()-qry_ProdData2_PDI_Cash_Exception_Application[[#This Row],[INSERT DATE]]</f>
        <v>17.742928240739275</v>
      </c>
      <c r="K16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57">
        <f ca="1">qry_ProdData2_PDI_Cash_Exception_Application[[#This Row],[TODAY]]-qry_ProdData2_PDI_Cash_Exception_Application[[#This Row],[CHANGED ON]]</f>
        <v>12.742928240739275</v>
      </c>
      <c r="M1657">
        <f ca="1">qry_ProdData2_PDI_Cash_Exception_Application[[#This Row],[TODAY]]-qry_ProdData2_PDI_Cash_Exception_Application[[#This Row],[CHANGED ON]]</f>
        <v>12.742928240739275</v>
      </c>
      <c r="N1657">
        <f ca="1">qry_ProdData2_PDI_Cash_Exception_Application[[#This Row],[TODAY]]-qry_ProdData2_PDI_Cash_Exception_Application[[#This Row],[CHANGED ON]]</f>
        <v>12.742928240739275</v>
      </c>
    </row>
    <row r="1658" spans="1:14" x14ac:dyDescent="0.35">
      <c r="A1658">
        <v>1007</v>
      </c>
      <c r="B1658" t="s">
        <v>61</v>
      </c>
      <c r="C1658" s="1">
        <v>45183.257071759261</v>
      </c>
      <c r="D1658" t="str">
        <f ca="1">VLOOKUP(qry_ProdData2_PDI_Cash_Exception_Application[[#This Row],[TYPE]],#REF!,2,FALSE)</f>
        <v>type40</v>
      </c>
      <c r="E1658">
        <v>-2270.44</v>
      </c>
      <c r="F1658" t="s">
        <v>51</v>
      </c>
      <c r="G1658" s="1">
        <f>qry_ProdData2_PDI_Cash_Exception_Application[[#This Row],[INSERT DATE]]+7</f>
        <v>45190.257071759261</v>
      </c>
      <c r="H1658" t="str">
        <f>VLOOKUP(qry_ProdData2_PDI_Cash_Exception_Application[[#This Row],[MARKET No]],'Site Allocation'!$B$2:$C$37,2,FALSE)</f>
        <v>Analyst2</v>
      </c>
      <c r="I1658" s="4">
        <f t="shared" ca="1" si="25"/>
        <v>45203</v>
      </c>
      <c r="J1658" s="42">
        <f ca="1">TODAY()-qry_ProdData2_PDI_Cash_Exception_Application[[#This Row],[INSERT DATE]]</f>
        <v>19.742928240739275</v>
      </c>
      <c r="K16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58">
        <f ca="1">qry_ProdData2_PDI_Cash_Exception_Application[[#This Row],[TODAY]]-qry_ProdData2_PDI_Cash_Exception_Application[[#This Row],[CHANGED ON]]</f>
        <v>12.742928240739275</v>
      </c>
      <c r="M1658">
        <f ca="1">qry_ProdData2_PDI_Cash_Exception_Application[[#This Row],[TODAY]]-qry_ProdData2_PDI_Cash_Exception_Application[[#This Row],[CHANGED ON]]</f>
        <v>12.742928240739275</v>
      </c>
      <c r="N1658">
        <f ca="1">qry_ProdData2_PDI_Cash_Exception_Application[[#This Row],[TODAY]]-qry_ProdData2_PDI_Cash_Exception_Application[[#This Row],[CHANGED ON]]</f>
        <v>12.742928240739275</v>
      </c>
    </row>
    <row r="1659" spans="1:14" x14ac:dyDescent="0.35">
      <c r="A1659">
        <v>1024</v>
      </c>
      <c r="B1659" t="s">
        <v>78</v>
      </c>
      <c r="C1659" s="1">
        <v>45189.257071759261</v>
      </c>
      <c r="D1659" t="str">
        <f ca="1">VLOOKUP(qry_ProdData2_PDI_Cash_Exception_Application[[#This Row],[TYPE]],#REF!,2,FALSE)</f>
        <v>type40</v>
      </c>
      <c r="E1659">
        <v>429.91</v>
      </c>
      <c r="F1659" t="s">
        <v>49</v>
      </c>
      <c r="G1659" s="1">
        <f>qry_ProdData2_PDI_Cash_Exception_Application[[#This Row],[INSERT DATE]]+1</f>
        <v>45190.257071759261</v>
      </c>
      <c r="H1659" t="str">
        <f>VLOOKUP(qry_ProdData2_PDI_Cash_Exception_Application[[#This Row],[MARKET No]],'Site Allocation'!$B$2:$C$37,2,FALSE)</f>
        <v>Analyst5</v>
      </c>
      <c r="I1659" s="4">
        <f t="shared" ca="1" si="25"/>
        <v>45203</v>
      </c>
      <c r="J1659" s="42">
        <f ca="1">TODAY()-qry_ProdData2_PDI_Cash_Exception_Application[[#This Row],[INSERT DATE]]</f>
        <v>13.742928240739275</v>
      </c>
      <c r="K16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59">
        <f ca="1">qry_ProdData2_PDI_Cash_Exception_Application[[#This Row],[TODAY]]-qry_ProdData2_PDI_Cash_Exception_Application[[#This Row],[CHANGED ON]]</f>
        <v>12.742928240739275</v>
      </c>
      <c r="M1659">
        <f ca="1">qry_ProdData2_PDI_Cash_Exception_Application[[#This Row],[TODAY]]-qry_ProdData2_PDI_Cash_Exception_Application[[#This Row],[CHANGED ON]]</f>
        <v>12.742928240739275</v>
      </c>
      <c r="N1659">
        <f ca="1">qry_ProdData2_PDI_Cash_Exception_Application[[#This Row],[TODAY]]-qry_ProdData2_PDI_Cash_Exception_Application[[#This Row],[CHANGED ON]]</f>
        <v>12.742928240739275</v>
      </c>
    </row>
    <row r="1660" spans="1:14" x14ac:dyDescent="0.35">
      <c r="A1660">
        <v>1029</v>
      </c>
      <c r="B1660" t="s">
        <v>83</v>
      </c>
      <c r="C1660" s="1">
        <v>45190.257071759261</v>
      </c>
      <c r="D1660" t="str">
        <f ca="1">VLOOKUP(qry_ProdData2_PDI_Cash_Exception_Application[[#This Row],[TYPE]],#REF!,2,FALSE)</f>
        <v>type38</v>
      </c>
      <c r="E1660">
        <v>154.61000000000001</v>
      </c>
      <c r="F1660" t="s">
        <v>49</v>
      </c>
      <c r="G1660" s="1">
        <f>qry_ProdData2_PDI_Cash_Exception_Application[[#This Row],[INSERT DATE]]+1</f>
        <v>45191.257071759261</v>
      </c>
      <c r="H1660" t="str">
        <f>VLOOKUP(qry_ProdData2_PDI_Cash_Exception_Application[[#This Row],[MARKET No]],'Site Allocation'!$B$2:$C$37,2,FALSE)</f>
        <v>Analyst5</v>
      </c>
      <c r="I1660" s="4">
        <f t="shared" ca="1" si="25"/>
        <v>45203</v>
      </c>
      <c r="J1660" s="42">
        <f ca="1">TODAY()-qry_ProdData2_PDI_Cash_Exception_Application[[#This Row],[INSERT DATE]]</f>
        <v>12.742928240739275</v>
      </c>
      <c r="K16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60">
        <f ca="1">qry_ProdData2_PDI_Cash_Exception_Application[[#This Row],[TODAY]]-qry_ProdData2_PDI_Cash_Exception_Application[[#This Row],[CHANGED ON]]</f>
        <v>11.742928240739275</v>
      </c>
      <c r="M1660">
        <f ca="1">qry_ProdData2_PDI_Cash_Exception_Application[[#This Row],[TODAY]]-qry_ProdData2_PDI_Cash_Exception_Application[[#This Row],[CHANGED ON]]</f>
        <v>11.742928240739275</v>
      </c>
      <c r="N1660">
        <f ca="1">qry_ProdData2_PDI_Cash_Exception_Application[[#This Row],[TODAY]]-qry_ProdData2_PDI_Cash_Exception_Application[[#This Row],[CHANGED ON]]</f>
        <v>11.742928240739275</v>
      </c>
    </row>
    <row r="1661" spans="1:14" x14ac:dyDescent="0.35">
      <c r="A1661">
        <v>1034</v>
      </c>
      <c r="B1661" t="s">
        <v>88</v>
      </c>
      <c r="C1661" s="1">
        <v>45188.257071759261</v>
      </c>
      <c r="D1661" t="str">
        <f ca="1">VLOOKUP(qry_ProdData2_PDI_Cash_Exception_Application[[#This Row],[TYPE]],#REF!,2,FALSE)</f>
        <v>type13</v>
      </c>
      <c r="E1661">
        <v>30739.56</v>
      </c>
      <c r="F1661" t="s">
        <v>50</v>
      </c>
      <c r="G1661" s="1">
        <f>qry_ProdData2_PDI_Cash_Exception_Application[[#This Row],[INSERT DATE]]+7</f>
        <v>45195.257071759261</v>
      </c>
      <c r="H1661" t="str">
        <f>VLOOKUP(qry_ProdData2_PDI_Cash_Exception_Application[[#This Row],[MARKET No]],'Site Allocation'!$B$2:$C$37,2,FALSE)</f>
        <v>Analyst6</v>
      </c>
      <c r="I1661" s="4">
        <f t="shared" ca="1" si="25"/>
        <v>45203</v>
      </c>
      <c r="J1661" s="42">
        <f ca="1">TODAY()-qry_ProdData2_PDI_Cash_Exception_Application[[#This Row],[INSERT DATE]]</f>
        <v>14.742928240739275</v>
      </c>
      <c r="K16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61">
        <f ca="1">qry_ProdData2_PDI_Cash_Exception_Application[[#This Row],[TODAY]]-qry_ProdData2_PDI_Cash_Exception_Application[[#This Row],[CHANGED ON]]</f>
        <v>7.7429282407392748</v>
      </c>
      <c r="M1661">
        <f ca="1">qry_ProdData2_PDI_Cash_Exception_Application[[#This Row],[TODAY]]-qry_ProdData2_PDI_Cash_Exception_Application[[#This Row],[CHANGED ON]]</f>
        <v>7.7429282407392748</v>
      </c>
      <c r="N1661">
        <f ca="1">qry_ProdData2_PDI_Cash_Exception_Application[[#This Row],[TODAY]]-qry_ProdData2_PDI_Cash_Exception_Application[[#This Row],[CHANGED ON]]</f>
        <v>7.7429282407392748</v>
      </c>
    </row>
    <row r="1662" spans="1:14" x14ac:dyDescent="0.35">
      <c r="A1662">
        <v>1003</v>
      </c>
      <c r="B1662" t="s">
        <v>57</v>
      </c>
      <c r="C1662" s="1">
        <v>45186.257071759261</v>
      </c>
      <c r="D1662" t="str">
        <f ca="1">VLOOKUP(qry_ProdData2_PDI_Cash_Exception_Application[[#This Row],[TYPE]],#REF!,2,FALSE)</f>
        <v>type40</v>
      </c>
      <c r="E1662">
        <v>-678.98</v>
      </c>
      <c r="F1662" t="s">
        <v>48</v>
      </c>
      <c r="G1662" s="1">
        <f>qry_ProdData2_PDI_Cash_Exception_Application[[#This Row],[INSERT DATE]]+1</f>
        <v>45187.257071759261</v>
      </c>
      <c r="H1662" t="str">
        <f>VLOOKUP(qry_ProdData2_PDI_Cash_Exception_Application[[#This Row],[MARKET No]],'Site Allocation'!$B$2:$C$37,2,FALSE)</f>
        <v>Analyst1</v>
      </c>
      <c r="I1662" s="4">
        <f t="shared" ca="1" si="25"/>
        <v>45203</v>
      </c>
      <c r="J1662" s="42">
        <f ca="1">TODAY()-qry_ProdData2_PDI_Cash_Exception_Application[[#This Row],[INSERT DATE]]</f>
        <v>16.742928240739275</v>
      </c>
      <c r="K16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62">
        <f ca="1">qry_ProdData2_PDI_Cash_Exception_Application[[#This Row],[TODAY]]-qry_ProdData2_PDI_Cash_Exception_Application[[#This Row],[CHANGED ON]]</f>
        <v>15.742928240739275</v>
      </c>
      <c r="M1662">
        <f ca="1">qry_ProdData2_PDI_Cash_Exception_Application[[#This Row],[TODAY]]-qry_ProdData2_PDI_Cash_Exception_Application[[#This Row],[CHANGED ON]]</f>
        <v>15.742928240739275</v>
      </c>
      <c r="N1662">
        <f ca="1">qry_ProdData2_PDI_Cash_Exception_Application[[#This Row],[TODAY]]-qry_ProdData2_PDI_Cash_Exception_Application[[#This Row],[CHANGED ON]]</f>
        <v>15.742928240739275</v>
      </c>
    </row>
    <row r="1663" spans="1:14" x14ac:dyDescent="0.35">
      <c r="A1663">
        <v>1013</v>
      </c>
      <c r="B1663" t="s">
        <v>67</v>
      </c>
      <c r="C1663" s="1">
        <v>45183.257071759261</v>
      </c>
      <c r="D1663" t="str">
        <f ca="1">VLOOKUP(qry_ProdData2_PDI_Cash_Exception_Application[[#This Row],[TYPE]],#REF!,2,FALSE)</f>
        <v>type40</v>
      </c>
      <c r="E1663">
        <v>-499.71</v>
      </c>
      <c r="F1663" t="s">
        <v>49</v>
      </c>
      <c r="G1663" s="1">
        <f>qry_ProdData2_PDI_Cash_Exception_Application[[#This Row],[INSERT DATE]]+2</f>
        <v>45185.257071759261</v>
      </c>
      <c r="H1663" t="str">
        <f>VLOOKUP(qry_ProdData2_PDI_Cash_Exception_Application[[#This Row],[MARKET No]],'Site Allocation'!$B$2:$C$37,2,FALSE)</f>
        <v>Analyst3</v>
      </c>
      <c r="I1663" s="4">
        <f t="shared" ca="1" si="25"/>
        <v>45203</v>
      </c>
      <c r="J1663" s="42">
        <f ca="1">TODAY()-qry_ProdData2_PDI_Cash_Exception_Application[[#This Row],[INSERT DATE]]</f>
        <v>19.742928240739275</v>
      </c>
      <c r="K16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63">
        <f ca="1">qry_ProdData2_PDI_Cash_Exception_Application[[#This Row],[TODAY]]-qry_ProdData2_PDI_Cash_Exception_Application[[#This Row],[CHANGED ON]]</f>
        <v>17.742928240739275</v>
      </c>
      <c r="M1663">
        <f ca="1">qry_ProdData2_PDI_Cash_Exception_Application[[#This Row],[TODAY]]-qry_ProdData2_PDI_Cash_Exception_Application[[#This Row],[CHANGED ON]]</f>
        <v>17.742928240739275</v>
      </c>
      <c r="N1663">
        <f ca="1">qry_ProdData2_PDI_Cash_Exception_Application[[#This Row],[TODAY]]-qry_ProdData2_PDI_Cash_Exception_Application[[#This Row],[CHANGED ON]]</f>
        <v>17.742928240739275</v>
      </c>
    </row>
    <row r="1664" spans="1:14" x14ac:dyDescent="0.35">
      <c r="A1664">
        <v>1016</v>
      </c>
      <c r="B1664" t="s">
        <v>70</v>
      </c>
      <c r="C1664" s="1">
        <v>45186.257071759261</v>
      </c>
      <c r="D1664" t="str">
        <f ca="1">VLOOKUP(qry_ProdData2_PDI_Cash_Exception_Application[[#This Row],[TYPE]],#REF!,2,FALSE)</f>
        <v>type40</v>
      </c>
      <c r="E1664">
        <v>4442.04</v>
      </c>
      <c r="F1664" t="s">
        <v>51</v>
      </c>
      <c r="G1664" s="1">
        <f>qry_ProdData2_PDI_Cash_Exception_Application[[#This Row],[INSERT DATE]]+7</f>
        <v>45193.257071759261</v>
      </c>
      <c r="H1664" t="str">
        <f>VLOOKUP(qry_ProdData2_PDI_Cash_Exception_Application[[#This Row],[MARKET No]],'Site Allocation'!$B$2:$C$37,2,FALSE)</f>
        <v>Analyst3</v>
      </c>
      <c r="I1664" s="4">
        <f t="shared" ca="1" si="25"/>
        <v>45203</v>
      </c>
      <c r="J1664" s="42">
        <f ca="1">TODAY()-qry_ProdData2_PDI_Cash_Exception_Application[[#This Row],[INSERT DATE]]</f>
        <v>16.742928240739275</v>
      </c>
      <c r="K16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64">
        <f ca="1">qry_ProdData2_PDI_Cash_Exception_Application[[#This Row],[TODAY]]-qry_ProdData2_PDI_Cash_Exception_Application[[#This Row],[CHANGED ON]]</f>
        <v>9.7429282407392748</v>
      </c>
      <c r="M1664">
        <f ca="1">qry_ProdData2_PDI_Cash_Exception_Application[[#This Row],[TODAY]]-qry_ProdData2_PDI_Cash_Exception_Application[[#This Row],[CHANGED ON]]</f>
        <v>9.7429282407392748</v>
      </c>
      <c r="N1664">
        <f ca="1">qry_ProdData2_PDI_Cash_Exception_Application[[#This Row],[TODAY]]-qry_ProdData2_PDI_Cash_Exception_Application[[#This Row],[CHANGED ON]]</f>
        <v>9.7429282407392748</v>
      </c>
    </row>
    <row r="1665" spans="1:14" x14ac:dyDescent="0.35">
      <c r="A1665">
        <v>1014</v>
      </c>
      <c r="B1665" t="s">
        <v>68</v>
      </c>
      <c r="C1665" s="1">
        <v>45190.257071759261</v>
      </c>
      <c r="D1665" t="str">
        <f ca="1">VLOOKUP(qry_ProdData2_PDI_Cash_Exception_Application[[#This Row],[TYPE]],#REF!,2,FALSE)</f>
        <v>type40</v>
      </c>
      <c r="E1665">
        <v>754.28</v>
      </c>
      <c r="F1665" t="s">
        <v>47</v>
      </c>
      <c r="G1665" s="1">
        <f>qry_ProdData2_PDI_Cash_Exception_Application[[#This Row],[INSERT DATE]]+2</f>
        <v>45192.257071759261</v>
      </c>
      <c r="H1665" t="str">
        <f>VLOOKUP(qry_ProdData2_PDI_Cash_Exception_Application[[#This Row],[MARKET No]],'Site Allocation'!$B$2:$C$37,2,FALSE)</f>
        <v>Analyst3</v>
      </c>
      <c r="I1665" s="4">
        <f t="shared" ca="1" si="25"/>
        <v>45203</v>
      </c>
      <c r="J1665" s="42">
        <f ca="1">TODAY()-qry_ProdData2_PDI_Cash_Exception_Application[[#This Row],[INSERT DATE]]</f>
        <v>12.742928240739275</v>
      </c>
      <c r="K16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65">
        <f ca="1">qry_ProdData2_PDI_Cash_Exception_Application[[#This Row],[TODAY]]-qry_ProdData2_PDI_Cash_Exception_Application[[#This Row],[CHANGED ON]]</f>
        <v>10.742928240739275</v>
      </c>
      <c r="M1665">
        <f ca="1">qry_ProdData2_PDI_Cash_Exception_Application[[#This Row],[TODAY]]-qry_ProdData2_PDI_Cash_Exception_Application[[#This Row],[CHANGED ON]]</f>
        <v>10.742928240739275</v>
      </c>
      <c r="N1665">
        <f ca="1">qry_ProdData2_PDI_Cash_Exception_Application[[#This Row],[TODAY]]-qry_ProdData2_PDI_Cash_Exception_Application[[#This Row],[CHANGED ON]]</f>
        <v>10.742928240739275</v>
      </c>
    </row>
    <row r="1666" spans="1:14" x14ac:dyDescent="0.35">
      <c r="A1666">
        <v>1014</v>
      </c>
      <c r="B1666" t="s">
        <v>68</v>
      </c>
      <c r="C1666" s="1">
        <v>45190.257071759261</v>
      </c>
      <c r="D1666" t="str">
        <f ca="1">VLOOKUP(qry_ProdData2_PDI_Cash_Exception_Application[[#This Row],[TYPE]],#REF!,2,FALSE)</f>
        <v>type38</v>
      </c>
      <c r="E1666">
        <v>370.73</v>
      </c>
      <c r="F1666" t="s">
        <v>48</v>
      </c>
      <c r="G1666" s="1">
        <f>qry_ProdData2_PDI_Cash_Exception_Application[[#This Row],[INSERT DATE]]+1</f>
        <v>45191.257071759261</v>
      </c>
      <c r="H1666" t="str">
        <f>VLOOKUP(qry_ProdData2_PDI_Cash_Exception_Application[[#This Row],[MARKET No]],'Site Allocation'!$B$2:$C$37,2,FALSE)</f>
        <v>Analyst3</v>
      </c>
      <c r="I1666" s="4">
        <f t="shared" ref="I1666:I1729" ca="1" si="26">TODAY()</f>
        <v>45203</v>
      </c>
      <c r="J1666" s="42">
        <f ca="1">TODAY()-qry_ProdData2_PDI_Cash_Exception_Application[[#This Row],[INSERT DATE]]</f>
        <v>12.742928240739275</v>
      </c>
      <c r="K16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66">
        <f ca="1">qry_ProdData2_PDI_Cash_Exception_Application[[#This Row],[TODAY]]-qry_ProdData2_PDI_Cash_Exception_Application[[#This Row],[CHANGED ON]]</f>
        <v>11.742928240739275</v>
      </c>
      <c r="M1666">
        <f ca="1">qry_ProdData2_PDI_Cash_Exception_Application[[#This Row],[TODAY]]-qry_ProdData2_PDI_Cash_Exception_Application[[#This Row],[CHANGED ON]]</f>
        <v>11.742928240739275</v>
      </c>
      <c r="N1666">
        <f ca="1">qry_ProdData2_PDI_Cash_Exception_Application[[#This Row],[TODAY]]-qry_ProdData2_PDI_Cash_Exception_Application[[#This Row],[CHANGED ON]]</f>
        <v>11.742928240739275</v>
      </c>
    </row>
    <row r="1667" spans="1:14" x14ac:dyDescent="0.35">
      <c r="A1667">
        <v>1004</v>
      </c>
      <c r="B1667" t="s">
        <v>58</v>
      </c>
      <c r="C1667" s="1">
        <v>45190.257071759261</v>
      </c>
      <c r="D1667" t="str">
        <f ca="1">VLOOKUP(qry_ProdData2_PDI_Cash_Exception_Application[[#This Row],[TYPE]],#REF!,2,FALSE)</f>
        <v>type13</v>
      </c>
      <c r="E1667">
        <v>30185.32</v>
      </c>
      <c r="F1667" t="s">
        <v>48</v>
      </c>
      <c r="G1667" s="1">
        <f>qry_ProdData2_PDI_Cash_Exception_Application[[#This Row],[INSERT DATE]]+1</f>
        <v>45191.257071759261</v>
      </c>
      <c r="H1667" t="str">
        <f>VLOOKUP(qry_ProdData2_PDI_Cash_Exception_Application[[#This Row],[MARKET No]],'Site Allocation'!$B$2:$C$37,2,FALSE)</f>
        <v>Analyst1</v>
      </c>
      <c r="I1667" s="4">
        <f t="shared" ca="1" si="26"/>
        <v>45203</v>
      </c>
      <c r="J1667" s="42">
        <f ca="1">TODAY()-qry_ProdData2_PDI_Cash_Exception_Application[[#This Row],[INSERT DATE]]</f>
        <v>12.742928240739275</v>
      </c>
      <c r="K16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67">
        <f ca="1">qry_ProdData2_PDI_Cash_Exception_Application[[#This Row],[TODAY]]-qry_ProdData2_PDI_Cash_Exception_Application[[#This Row],[CHANGED ON]]</f>
        <v>11.742928240739275</v>
      </c>
      <c r="M1667">
        <f ca="1">qry_ProdData2_PDI_Cash_Exception_Application[[#This Row],[TODAY]]-qry_ProdData2_PDI_Cash_Exception_Application[[#This Row],[CHANGED ON]]</f>
        <v>11.742928240739275</v>
      </c>
      <c r="N1667">
        <f ca="1">qry_ProdData2_PDI_Cash_Exception_Application[[#This Row],[TODAY]]-qry_ProdData2_PDI_Cash_Exception_Application[[#This Row],[CHANGED ON]]</f>
        <v>11.742928240739275</v>
      </c>
    </row>
    <row r="1668" spans="1:14" x14ac:dyDescent="0.35">
      <c r="A1668">
        <v>1033</v>
      </c>
      <c r="B1668" t="s">
        <v>87</v>
      </c>
      <c r="C1668" s="1">
        <v>45186.257071759261</v>
      </c>
      <c r="D1668" t="str">
        <f ca="1">VLOOKUP(qry_ProdData2_PDI_Cash_Exception_Application[[#This Row],[TYPE]],#REF!,2,FALSE)</f>
        <v>type13</v>
      </c>
      <c r="E1668">
        <v>14852.38</v>
      </c>
      <c r="F1668" t="s">
        <v>49</v>
      </c>
      <c r="G1668" s="1">
        <f>qry_ProdData2_PDI_Cash_Exception_Application[[#This Row],[INSERT DATE]]+2</f>
        <v>45188.257071759261</v>
      </c>
      <c r="H1668" t="str">
        <f>VLOOKUP(qry_ProdData2_PDI_Cash_Exception_Application[[#This Row],[MARKET No]],'Site Allocation'!$B$2:$C$37,2,FALSE)</f>
        <v>Analyst6</v>
      </c>
      <c r="I1668" s="4">
        <f t="shared" ca="1" si="26"/>
        <v>45203</v>
      </c>
      <c r="J1668" s="42">
        <f ca="1">TODAY()-qry_ProdData2_PDI_Cash_Exception_Application[[#This Row],[INSERT DATE]]</f>
        <v>16.742928240739275</v>
      </c>
      <c r="K16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68">
        <f ca="1">qry_ProdData2_PDI_Cash_Exception_Application[[#This Row],[TODAY]]-qry_ProdData2_PDI_Cash_Exception_Application[[#This Row],[CHANGED ON]]</f>
        <v>14.742928240739275</v>
      </c>
      <c r="M1668">
        <f ca="1">qry_ProdData2_PDI_Cash_Exception_Application[[#This Row],[TODAY]]-qry_ProdData2_PDI_Cash_Exception_Application[[#This Row],[CHANGED ON]]</f>
        <v>14.742928240739275</v>
      </c>
      <c r="N1668">
        <f ca="1">qry_ProdData2_PDI_Cash_Exception_Application[[#This Row],[TODAY]]-qry_ProdData2_PDI_Cash_Exception_Application[[#This Row],[CHANGED ON]]</f>
        <v>14.742928240739275</v>
      </c>
    </row>
    <row r="1669" spans="1:14" x14ac:dyDescent="0.35">
      <c r="A1669">
        <v>1013</v>
      </c>
      <c r="B1669" t="s">
        <v>67</v>
      </c>
      <c r="C1669" s="1">
        <v>45194.257071759261</v>
      </c>
      <c r="D1669" t="str">
        <f ca="1">VLOOKUP(qry_ProdData2_PDI_Cash_Exception_Application[[#This Row],[TYPE]],#REF!,2,FALSE)</f>
        <v>type38</v>
      </c>
      <c r="E1669">
        <v>155.63</v>
      </c>
      <c r="F1669" t="s">
        <v>52</v>
      </c>
      <c r="G1669" s="1">
        <f>qry_ProdData2_PDI_Cash_Exception_Application[[#This Row],[INSERT DATE]]+7</f>
        <v>45201.257071759261</v>
      </c>
      <c r="H1669" t="str">
        <f>VLOOKUP(qry_ProdData2_PDI_Cash_Exception_Application[[#This Row],[MARKET No]],'Site Allocation'!$B$2:$C$37,2,FALSE)</f>
        <v>Analyst3</v>
      </c>
      <c r="I1669" s="4">
        <f t="shared" ca="1" si="26"/>
        <v>45203</v>
      </c>
      <c r="J1669" s="42">
        <f ca="1">TODAY()-qry_ProdData2_PDI_Cash_Exception_Application[[#This Row],[INSERT DATE]]</f>
        <v>8.7429282407392748</v>
      </c>
      <c r="K16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669">
        <f ca="1">qry_ProdData2_PDI_Cash_Exception_Application[[#This Row],[TODAY]]-qry_ProdData2_PDI_Cash_Exception_Application[[#This Row],[CHANGED ON]]</f>
        <v>1.7429282407392748</v>
      </c>
      <c r="M1669">
        <f ca="1">qry_ProdData2_PDI_Cash_Exception_Application[[#This Row],[TODAY]]-qry_ProdData2_PDI_Cash_Exception_Application[[#This Row],[CHANGED ON]]</f>
        <v>1.7429282407392748</v>
      </c>
      <c r="N1669">
        <f ca="1">qry_ProdData2_PDI_Cash_Exception_Application[[#This Row],[TODAY]]-qry_ProdData2_PDI_Cash_Exception_Application[[#This Row],[CHANGED ON]]</f>
        <v>1.7429282407392748</v>
      </c>
    </row>
    <row r="1670" spans="1:14" x14ac:dyDescent="0.35">
      <c r="A1670">
        <v>1028</v>
      </c>
      <c r="B1670" t="s">
        <v>82</v>
      </c>
      <c r="C1670" s="1">
        <v>45189.257071759261</v>
      </c>
      <c r="D1670" t="str">
        <f ca="1">VLOOKUP(qry_ProdData2_PDI_Cash_Exception_Application[[#This Row],[TYPE]],#REF!,2,FALSE)</f>
        <v>type40</v>
      </c>
      <c r="E1670">
        <v>-741.95</v>
      </c>
      <c r="F1670" t="s">
        <v>51</v>
      </c>
      <c r="G1670" s="1">
        <f>qry_ProdData2_PDI_Cash_Exception_Application[[#This Row],[INSERT DATE]]+2</f>
        <v>45191.257071759261</v>
      </c>
      <c r="H1670" t="str">
        <f>VLOOKUP(qry_ProdData2_PDI_Cash_Exception_Application[[#This Row],[MARKET No]],'Site Allocation'!$B$2:$C$37,2,FALSE)</f>
        <v>Analyst5</v>
      </c>
      <c r="I1670" s="4">
        <f t="shared" ca="1" si="26"/>
        <v>45203</v>
      </c>
      <c r="J1670" s="42">
        <f ca="1">TODAY()-qry_ProdData2_PDI_Cash_Exception_Application[[#This Row],[INSERT DATE]]</f>
        <v>13.742928240739275</v>
      </c>
      <c r="K16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70">
        <f ca="1">qry_ProdData2_PDI_Cash_Exception_Application[[#This Row],[TODAY]]-qry_ProdData2_PDI_Cash_Exception_Application[[#This Row],[CHANGED ON]]</f>
        <v>11.742928240739275</v>
      </c>
      <c r="M1670">
        <f ca="1">qry_ProdData2_PDI_Cash_Exception_Application[[#This Row],[TODAY]]-qry_ProdData2_PDI_Cash_Exception_Application[[#This Row],[CHANGED ON]]</f>
        <v>11.742928240739275</v>
      </c>
      <c r="N1670">
        <f ca="1">qry_ProdData2_PDI_Cash_Exception_Application[[#This Row],[TODAY]]-qry_ProdData2_PDI_Cash_Exception_Application[[#This Row],[CHANGED ON]]</f>
        <v>11.742928240739275</v>
      </c>
    </row>
    <row r="1671" spans="1:14" x14ac:dyDescent="0.35">
      <c r="A1671">
        <v>1020</v>
      </c>
      <c r="B1671" t="s">
        <v>74</v>
      </c>
      <c r="C1671" s="1">
        <v>45196.257071759261</v>
      </c>
      <c r="D1671" t="str">
        <f ca="1">VLOOKUP(qry_ProdData2_PDI_Cash_Exception_Application[[#This Row],[TYPE]],#REF!,2,FALSE)</f>
        <v>type38</v>
      </c>
      <c r="E1671">
        <v>215.84</v>
      </c>
      <c r="F1671" t="s">
        <v>50</v>
      </c>
      <c r="G1671" s="1">
        <f>qry_ProdData2_PDI_Cash_Exception_Application[[#This Row],[INSERT DATE]]+7</f>
        <v>45203.257071759261</v>
      </c>
      <c r="H1671" t="str">
        <f>VLOOKUP(qry_ProdData2_PDI_Cash_Exception_Application[[#This Row],[MARKET No]],'Site Allocation'!$B$2:$C$37,2,FALSE)</f>
        <v>Analyst4</v>
      </c>
      <c r="I1671" s="4">
        <f t="shared" ca="1" si="26"/>
        <v>45203</v>
      </c>
      <c r="J1671" s="42">
        <f ca="1">TODAY()-qry_ProdData2_PDI_Cash_Exception_Application[[#This Row],[INSERT DATE]]</f>
        <v>6.7429282407392748</v>
      </c>
      <c r="K16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671">
        <f ca="1">qry_ProdData2_PDI_Cash_Exception_Application[[#This Row],[TODAY]]-qry_ProdData2_PDI_Cash_Exception_Application[[#This Row],[CHANGED ON]]</f>
        <v>-0.25707175926072523</v>
      </c>
      <c r="M1671">
        <f ca="1">qry_ProdData2_PDI_Cash_Exception_Application[[#This Row],[TODAY]]-qry_ProdData2_PDI_Cash_Exception_Application[[#This Row],[CHANGED ON]]</f>
        <v>-0.25707175926072523</v>
      </c>
      <c r="N1671">
        <f ca="1">qry_ProdData2_PDI_Cash_Exception_Application[[#This Row],[TODAY]]-qry_ProdData2_PDI_Cash_Exception_Application[[#This Row],[CHANGED ON]]</f>
        <v>-0.25707175926072523</v>
      </c>
    </row>
    <row r="1672" spans="1:14" x14ac:dyDescent="0.35">
      <c r="A1672">
        <v>1011</v>
      </c>
      <c r="B1672" t="s">
        <v>65</v>
      </c>
      <c r="C1672" s="1">
        <v>45197.257071759261</v>
      </c>
      <c r="D1672" t="str">
        <f ca="1">VLOOKUP(qry_ProdData2_PDI_Cash_Exception_Application[[#This Row],[TYPE]],#REF!,2,FALSE)</f>
        <v>type38</v>
      </c>
      <c r="E1672">
        <v>167.55</v>
      </c>
      <c r="F1672" t="s">
        <v>52</v>
      </c>
      <c r="G1672" s="1">
        <f>qry_ProdData2_PDI_Cash_Exception_Application[[#This Row],[INSERT DATE]]+7</f>
        <v>45204.257071759261</v>
      </c>
      <c r="H1672" t="str">
        <f>VLOOKUP(qry_ProdData2_PDI_Cash_Exception_Application[[#This Row],[MARKET No]],'Site Allocation'!$B$2:$C$37,2,FALSE)</f>
        <v>Analyst2</v>
      </c>
      <c r="I1672" s="4">
        <f t="shared" ca="1" si="26"/>
        <v>45203</v>
      </c>
      <c r="J1672" s="42">
        <f ca="1">TODAY()-qry_ProdData2_PDI_Cash_Exception_Application[[#This Row],[INSERT DATE]]</f>
        <v>5.7429282407392748</v>
      </c>
      <c r="K16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672">
        <f ca="1">qry_ProdData2_PDI_Cash_Exception_Application[[#This Row],[TODAY]]-qry_ProdData2_PDI_Cash_Exception_Application[[#This Row],[CHANGED ON]]</f>
        <v>-1.2570717592607252</v>
      </c>
      <c r="M1672">
        <f ca="1">qry_ProdData2_PDI_Cash_Exception_Application[[#This Row],[TODAY]]-qry_ProdData2_PDI_Cash_Exception_Application[[#This Row],[CHANGED ON]]</f>
        <v>-1.2570717592607252</v>
      </c>
      <c r="N1672">
        <f ca="1">qry_ProdData2_PDI_Cash_Exception_Application[[#This Row],[TODAY]]-qry_ProdData2_PDI_Cash_Exception_Application[[#This Row],[CHANGED ON]]</f>
        <v>-1.2570717592607252</v>
      </c>
    </row>
    <row r="1673" spans="1:14" x14ac:dyDescent="0.35">
      <c r="A1673">
        <v>1009</v>
      </c>
      <c r="B1673" t="s">
        <v>63</v>
      </c>
      <c r="C1673" s="1">
        <v>45179.257071759261</v>
      </c>
      <c r="D1673" t="str">
        <f ca="1">VLOOKUP(qry_ProdData2_PDI_Cash_Exception_Application[[#This Row],[TYPE]],#REF!,2,FALSE)</f>
        <v>type10</v>
      </c>
      <c r="E1673">
        <v>30</v>
      </c>
      <c r="F1673" t="s">
        <v>51</v>
      </c>
      <c r="G1673" s="1">
        <f>qry_ProdData2_PDI_Cash_Exception_Application[[#This Row],[INSERT DATE]]+2</f>
        <v>45181.257071759261</v>
      </c>
      <c r="H1673" t="str">
        <f>VLOOKUP(qry_ProdData2_PDI_Cash_Exception_Application[[#This Row],[MARKET No]],'Site Allocation'!$B$2:$C$37,2,FALSE)</f>
        <v>Analyst2</v>
      </c>
      <c r="I1673" s="4">
        <f t="shared" ca="1" si="26"/>
        <v>45203</v>
      </c>
      <c r="J1673" s="42">
        <f ca="1">TODAY()-qry_ProdData2_PDI_Cash_Exception_Application[[#This Row],[INSERT DATE]]</f>
        <v>23.742928240739275</v>
      </c>
      <c r="K16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73">
        <f ca="1">qry_ProdData2_PDI_Cash_Exception_Application[[#This Row],[TODAY]]-qry_ProdData2_PDI_Cash_Exception_Application[[#This Row],[CHANGED ON]]</f>
        <v>21.742928240739275</v>
      </c>
      <c r="M1673">
        <f ca="1">qry_ProdData2_PDI_Cash_Exception_Application[[#This Row],[TODAY]]-qry_ProdData2_PDI_Cash_Exception_Application[[#This Row],[CHANGED ON]]</f>
        <v>21.742928240739275</v>
      </c>
      <c r="N1673">
        <f ca="1">qry_ProdData2_PDI_Cash_Exception_Application[[#This Row],[TODAY]]-qry_ProdData2_PDI_Cash_Exception_Application[[#This Row],[CHANGED ON]]</f>
        <v>21.742928240739275</v>
      </c>
    </row>
    <row r="1674" spans="1:14" x14ac:dyDescent="0.35">
      <c r="A1674">
        <v>1024</v>
      </c>
      <c r="B1674" t="s">
        <v>78</v>
      </c>
      <c r="C1674" s="1">
        <v>45181.257071759261</v>
      </c>
      <c r="D1674" t="str">
        <f ca="1">VLOOKUP(qry_ProdData2_PDI_Cash_Exception_Application[[#This Row],[TYPE]],#REF!,2,FALSE)</f>
        <v>type5</v>
      </c>
      <c r="E1674">
        <v>1220</v>
      </c>
      <c r="F1674" t="s">
        <v>51</v>
      </c>
      <c r="G1674" s="1">
        <f>qry_ProdData2_PDI_Cash_Exception_Application[[#This Row],[INSERT DATE]]+2</f>
        <v>45183.257071759261</v>
      </c>
      <c r="H1674" t="str">
        <f>VLOOKUP(qry_ProdData2_PDI_Cash_Exception_Application[[#This Row],[MARKET No]],'Site Allocation'!$B$2:$C$37,2,FALSE)</f>
        <v>Analyst5</v>
      </c>
      <c r="I1674" s="4">
        <f t="shared" ca="1" si="26"/>
        <v>45203</v>
      </c>
      <c r="J1674" s="42">
        <f ca="1">TODAY()-qry_ProdData2_PDI_Cash_Exception_Application[[#This Row],[INSERT DATE]]</f>
        <v>21.742928240739275</v>
      </c>
      <c r="K16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74">
        <f ca="1">qry_ProdData2_PDI_Cash_Exception_Application[[#This Row],[TODAY]]-qry_ProdData2_PDI_Cash_Exception_Application[[#This Row],[CHANGED ON]]</f>
        <v>19.742928240739275</v>
      </c>
      <c r="M1674">
        <f ca="1">qry_ProdData2_PDI_Cash_Exception_Application[[#This Row],[TODAY]]-qry_ProdData2_PDI_Cash_Exception_Application[[#This Row],[CHANGED ON]]</f>
        <v>19.742928240739275</v>
      </c>
      <c r="N1674">
        <f ca="1">qry_ProdData2_PDI_Cash_Exception_Application[[#This Row],[TODAY]]-qry_ProdData2_PDI_Cash_Exception_Application[[#This Row],[CHANGED ON]]</f>
        <v>19.742928240739275</v>
      </c>
    </row>
    <row r="1675" spans="1:14" x14ac:dyDescent="0.35">
      <c r="A1675">
        <v>1018</v>
      </c>
      <c r="B1675" t="s">
        <v>72</v>
      </c>
      <c r="C1675" s="1">
        <v>45186.257071759261</v>
      </c>
      <c r="D1675" t="str">
        <f ca="1">VLOOKUP(qry_ProdData2_PDI_Cash_Exception_Application[[#This Row],[TYPE]],#REF!,2,FALSE)</f>
        <v>type40</v>
      </c>
      <c r="E1675">
        <v>406.73</v>
      </c>
      <c r="F1675" t="s">
        <v>51</v>
      </c>
      <c r="G1675" s="1">
        <f>qry_ProdData2_PDI_Cash_Exception_Application[[#This Row],[INSERT DATE]]+5</f>
        <v>45191.257071759261</v>
      </c>
      <c r="H1675" t="str">
        <f>VLOOKUP(qry_ProdData2_PDI_Cash_Exception_Application[[#This Row],[MARKET No]],'Site Allocation'!$B$2:$C$37,2,FALSE)</f>
        <v>Analyst4</v>
      </c>
      <c r="I1675" s="4">
        <f t="shared" ca="1" si="26"/>
        <v>45203</v>
      </c>
      <c r="J1675" s="42">
        <f ca="1">TODAY()-qry_ProdData2_PDI_Cash_Exception_Application[[#This Row],[INSERT DATE]]</f>
        <v>16.742928240739275</v>
      </c>
      <c r="K16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75">
        <f ca="1">qry_ProdData2_PDI_Cash_Exception_Application[[#This Row],[TODAY]]-qry_ProdData2_PDI_Cash_Exception_Application[[#This Row],[CHANGED ON]]</f>
        <v>11.742928240739275</v>
      </c>
      <c r="M1675">
        <f ca="1">qry_ProdData2_PDI_Cash_Exception_Application[[#This Row],[TODAY]]-qry_ProdData2_PDI_Cash_Exception_Application[[#This Row],[CHANGED ON]]</f>
        <v>11.742928240739275</v>
      </c>
      <c r="N1675">
        <f ca="1">qry_ProdData2_PDI_Cash_Exception_Application[[#This Row],[TODAY]]-qry_ProdData2_PDI_Cash_Exception_Application[[#This Row],[CHANGED ON]]</f>
        <v>11.742928240739275</v>
      </c>
    </row>
    <row r="1676" spans="1:14" x14ac:dyDescent="0.35">
      <c r="A1676">
        <v>1002</v>
      </c>
      <c r="B1676" t="s">
        <v>56</v>
      </c>
      <c r="C1676" s="1">
        <v>45192.257071759261</v>
      </c>
      <c r="D1676" t="str">
        <f ca="1">VLOOKUP(qry_ProdData2_PDI_Cash_Exception_Application[[#This Row],[TYPE]],#REF!,2,FALSE)</f>
        <v>type40</v>
      </c>
      <c r="E1676">
        <v>380</v>
      </c>
      <c r="F1676" t="s">
        <v>47</v>
      </c>
      <c r="G1676" s="1">
        <f>qry_ProdData2_PDI_Cash_Exception_Application[[#This Row],[INSERT DATE]]+7</f>
        <v>45199.257071759261</v>
      </c>
      <c r="H1676" t="str">
        <f>VLOOKUP(qry_ProdData2_PDI_Cash_Exception_Application[[#This Row],[MARKET No]],'Site Allocation'!$B$2:$C$37,2,FALSE)</f>
        <v>Analyst1</v>
      </c>
      <c r="I1676" s="4">
        <f t="shared" ca="1" si="26"/>
        <v>45203</v>
      </c>
      <c r="J1676" s="42">
        <f ca="1">TODAY()-qry_ProdData2_PDI_Cash_Exception_Application[[#This Row],[INSERT DATE]]</f>
        <v>10.742928240739275</v>
      </c>
      <c r="K16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76">
        <f ca="1">qry_ProdData2_PDI_Cash_Exception_Application[[#This Row],[TODAY]]-qry_ProdData2_PDI_Cash_Exception_Application[[#This Row],[CHANGED ON]]</f>
        <v>3.7429282407392748</v>
      </c>
      <c r="M1676">
        <f ca="1">qry_ProdData2_PDI_Cash_Exception_Application[[#This Row],[TODAY]]-qry_ProdData2_PDI_Cash_Exception_Application[[#This Row],[CHANGED ON]]</f>
        <v>3.7429282407392748</v>
      </c>
      <c r="N1676">
        <f ca="1">qry_ProdData2_PDI_Cash_Exception_Application[[#This Row],[TODAY]]-qry_ProdData2_PDI_Cash_Exception_Application[[#This Row],[CHANGED ON]]</f>
        <v>3.7429282407392748</v>
      </c>
    </row>
    <row r="1677" spans="1:14" x14ac:dyDescent="0.35">
      <c r="A1677">
        <v>1024</v>
      </c>
      <c r="B1677" t="s">
        <v>78</v>
      </c>
      <c r="C1677" s="1">
        <v>45179.257071759261</v>
      </c>
      <c r="D1677" t="str">
        <f ca="1">VLOOKUP(qry_ProdData2_PDI_Cash_Exception_Application[[#This Row],[TYPE]],#REF!,2,FALSE)</f>
        <v>type36</v>
      </c>
      <c r="E1677">
        <v>215.24</v>
      </c>
      <c r="F1677" t="s">
        <v>47</v>
      </c>
      <c r="G1677" s="1">
        <f>qry_ProdData2_PDI_Cash_Exception_Application[[#This Row],[INSERT DATE]]+7</f>
        <v>45186.257071759261</v>
      </c>
      <c r="H1677" t="str">
        <f>VLOOKUP(qry_ProdData2_PDI_Cash_Exception_Application[[#This Row],[MARKET No]],'Site Allocation'!$B$2:$C$37,2,FALSE)</f>
        <v>Analyst5</v>
      </c>
      <c r="I1677" s="4">
        <f t="shared" ca="1" si="26"/>
        <v>45203</v>
      </c>
      <c r="J1677" s="42">
        <f ca="1">TODAY()-qry_ProdData2_PDI_Cash_Exception_Application[[#This Row],[INSERT DATE]]</f>
        <v>23.742928240739275</v>
      </c>
      <c r="K16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77">
        <f ca="1">qry_ProdData2_PDI_Cash_Exception_Application[[#This Row],[TODAY]]-qry_ProdData2_PDI_Cash_Exception_Application[[#This Row],[CHANGED ON]]</f>
        <v>16.742928240739275</v>
      </c>
      <c r="M1677">
        <f ca="1">qry_ProdData2_PDI_Cash_Exception_Application[[#This Row],[TODAY]]-qry_ProdData2_PDI_Cash_Exception_Application[[#This Row],[CHANGED ON]]</f>
        <v>16.742928240739275</v>
      </c>
      <c r="N1677">
        <f ca="1">qry_ProdData2_PDI_Cash_Exception_Application[[#This Row],[TODAY]]-qry_ProdData2_PDI_Cash_Exception_Application[[#This Row],[CHANGED ON]]</f>
        <v>16.742928240739275</v>
      </c>
    </row>
    <row r="1678" spans="1:14" x14ac:dyDescent="0.35">
      <c r="A1678">
        <v>1005</v>
      </c>
      <c r="B1678" t="s">
        <v>59</v>
      </c>
      <c r="C1678" s="1">
        <v>45184.257071759261</v>
      </c>
      <c r="D1678" t="str">
        <f ca="1">VLOOKUP(qry_ProdData2_PDI_Cash_Exception_Application[[#This Row],[TYPE]],#REF!,2,FALSE)</f>
        <v>type40</v>
      </c>
      <c r="E1678">
        <v>-381.95</v>
      </c>
      <c r="F1678" t="s">
        <v>47</v>
      </c>
      <c r="G1678" s="1">
        <f>qry_ProdData2_PDI_Cash_Exception_Application[[#This Row],[INSERT DATE]]+1</f>
        <v>45185.257071759261</v>
      </c>
      <c r="H1678" t="str">
        <f>VLOOKUP(qry_ProdData2_PDI_Cash_Exception_Application[[#This Row],[MARKET No]],'Site Allocation'!$B$2:$C$37,2,FALSE)</f>
        <v>Analyst1</v>
      </c>
      <c r="I1678" s="4">
        <f t="shared" ca="1" si="26"/>
        <v>45203</v>
      </c>
      <c r="J1678" s="42">
        <f ca="1">TODAY()-qry_ProdData2_PDI_Cash_Exception_Application[[#This Row],[INSERT DATE]]</f>
        <v>18.742928240739275</v>
      </c>
      <c r="K16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78">
        <f ca="1">qry_ProdData2_PDI_Cash_Exception_Application[[#This Row],[TODAY]]-qry_ProdData2_PDI_Cash_Exception_Application[[#This Row],[CHANGED ON]]</f>
        <v>17.742928240739275</v>
      </c>
      <c r="M1678">
        <f ca="1">qry_ProdData2_PDI_Cash_Exception_Application[[#This Row],[TODAY]]-qry_ProdData2_PDI_Cash_Exception_Application[[#This Row],[CHANGED ON]]</f>
        <v>17.742928240739275</v>
      </c>
      <c r="N1678">
        <f ca="1">qry_ProdData2_PDI_Cash_Exception_Application[[#This Row],[TODAY]]-qry_ProdData2_PDI_Cash_Exception_Application[[#This Row],[CHANGED ON]]</f>
        <v>17.742928240739275</v>
      </c>
    </row>
    <row r="1679" spans="1:14" x14ac:dyDescent="0.35">
      <c r="A1679">
        <v>1016</v>
      </c>
      <c r="B1679" t="s">
        <v>70</v>
      </c>
      <c r="C1679" s="1">
        <v>45187.257071759261</v>
      </c>
      <c r="D1679" t="str">
        <f ca="1">VLOOKUP(qry_ProdData2_PDI_Cash_Exception_Application[[#This Row],[TYPE]],#REF!,2,FALSE)</f>
        <v>type40</v>
      </c>
      <c r="E1679">
        <v>-1865.99</v>
      </c>
      <c r="F1679" t="s">
        <v>48</v>
      </c>
      <c r="G1679" s="1">
        <f>qry_ProdData2_PDI_Cash_Exception_Application[[#This Row],[INSERT DATE]]+5</f>
        <v>45192.257071759261</v>
      </c>
      <c r="H1679" t="str">
        <f>VLOOKUP(qry_ProdData2_PDI_Cash_Exception_Application[[#This Row],[MARKET No]],'Site Allocation'!$B$2:$C$37,2,FALSE)</f>
        <v>Analyst3</v>
      </c>
      <c r="I1679" s="4">
        <f t="shared" ca="1" si="26"/>
        <v>45203</v>
      </c>
      <c r="J1679" s="42">
        <f ca="1">TODAY()-qry_ProdData2_PDI_Cash_Exception_Application[[#This Row],[INSERT DATE]]</f>
        <v>15.742928240739275</v>
      </c>
      <c r="K16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79">
        <f ca="1">qry_ProdData2_PDI_Cash_Exception_Application[[#This Row],[TODAY]]-qry_ProdData2_PDI_Cash_Exception_Application[[#This Row],[CHANGED ON]]</f>
        <v>10.742928240739275</v>
      </c>
      <c r="M1679">
        <f ca="1">qry_ProdData2_PDI_Cash_Exception_Application[[#This Row],[TODAY]]-qry_ProdData2_PDI_Cash_Exception_Application[[#This Row],[CHANGED ON]]</f>
        <v>10.742928240739275</v>
      </c>
      <c r="N1679">
        <f ca="1">qry_ProdData2_PDI_Cash_Exception_Application[[#This Row],[TODAY]]-qry_ProdData2_PDI_Cash_Exception_Application[[#This Row],[CHANGED ON]]</f>
        <v>10.742928240739275</v>
      </c>
    </row>
    <row r="1680" spans="1:14" x14ac:dyDescent="0.35">
      <c r="A1680">
        <v>1000</v>
      </c>
      <c r="B1680" t="s">
        <v>54</v>
      </c>
      <c r="C1680" s="1">
        <v>45184.257071759261</v>
      </c>
      <c r="D1680" t="str">
        <f ca="1">VLOOKUP(qry_ProdData2_PDI_Cash_Exception_Application[[#This Row],[TYPE]],#REF!,2,FALSE)</f>
        <v>type40</v>
      </c>
      <c r="E1680">
        <v>9.6300000000000008</v>
      </c>
      <c r="F1680" t="s">
        <v>50</v>
      </c>
      <c r="G1680" s="1">
        <f>qry_ProdData2_PDI_Cash_Exception_Application[[#This Row],[INSERT DATE]]+1</f>
        <v>45185.257071759261</v>
      </c>
      <c r="H1680" t="str">
        <f>VLOOKUP(qry_ProdData2_PDI_Cash_Exception_Application[[#This Row],[MARKET No]],'Site Allocation'!$B$2:$C$37,2,FALSE)</f>
        <v>Analyst1</v>
      </c>
      <c r="I1680" s="4">
        <f t="shared" ca="1" si="26"/>
        <v>45203</v>
      </c>
      <c r="J1680" s="42">
        <f ca="1">TODAY()-qry_ProdData2_PDI_Cash_Exception_Application[[#This Row],[INSERT DATE]]</f>
        <v>18.742928240739275</v>
      </c>
      <c r="K16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80">
        <f ca="1">qry_ProdData2_PDI_Cash_Exception_Application[[#This Row],[TODAY]]-qry_ProdData2_PDI_Cash_Exception_Application[[#This Row],[CHANGED ON]]</f>
        <v>17.742928240739275</v>
      </c>
      <c r="M1680">
        <f ca="1">qry_ProdData2_PDI_Cash_Exception_Application[[#This Row],[TODAY]]-qry_ProdData2_PDI_Cash_Exception_Application[[#This Row],[CHANGED ON]]</f>
        <v>17.742928240739275</v>
      </c>
      <c r="N1680">
        <f ca="1">qry_ProdData2_PDI_Cash_Exception_Application[[#This Row],[TODAY]]-qry_ProdData2_PDI_Cash_Exception_Application[[#This Row],[CHANGED ON]]</f>
        <v>17.742928240739275</v>
      </c>
    </row>
    <row r="1681" spans="1:14" x14ac:dyDescent="0.35">
      <c r="A1681">
        <v>1004</v>
      </c>
      <c r="B1681" t="s">
        <v>58</v>
      </c>
      <c r="C1681" s="1">
        <v>45184.257071759261</v>
      </c>
      <c r="D1681" t="str">
        <f ca="1">VLOOKUP(qry_ProdData2_PDI_Cash_Exception_Application[[#This Row],[TYPE]],#REF!,2,FALSE)</f>
        <v>type40</v>
      </c>
      <c r="E1681">
        <v>-1254.56</v>
      </c>
      <c r="F1681" t="s">
        <v>50</v>
      </c>
      <c r="G1681" s="1">
        <f>qry_ProdData2_PDI_Cash_Exception_Application[[#This Row],[INSERT DATE]]+1</f>
        <v>45185.257071759261</v>
      </c>
      <c r="H1681" t="str">
        <f>VLOOKUP(qry_ProdData2_PDI_Cash_Exception_Application[[#This Row],[MARKET No]],'Site Allocation'!$B$2:$C$37,2,FALSE)</f>
        <v>Analyst1</v>
      </c>
      <c r="I1681" s="4">
        <f t="shared" ca="1" si="26"/>
        <v>45203</v>
      </c>
      <c r="J1681" s="42">
        <f ca="1">TODAY()-qry_ProdData2_PDI_Cash_Exception_Application[[#This Row],[INSERT DATE]]</f>
        <v>18.742928240739275</v>
      </c>
      <c r="K16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81">
        <f ca="1">qry_ProdData2_PDI_Cash_Exception_Application[[#This Row],[TODAY]]-qry_ProdData2_PDI_Cash_Exception_Application[[#This Row],[CHANGED ON]]</f>
        <v>17.742928240739275</v>
      </c>
      <c r="M1681">
        <f ca="1">qry_ProdData2_PDI_Cash_Exception_Application[[#This Row],[TODAY]]-qry_ProdData2_PDI_Cash_Exception_Application[[#This Row],[CHANGED ON]]</f>
        <v>17.742928240739275</v>
      </c>
      <c r="N1681">
        <f ca="1">qry_ProdData2_PDI_Cash_Exception_Application[[#This Row],[TODAY]]-qry_ProdData2_PDI_Cash_Exception_Application[[#This Row],[CHANGED ON]]</f>
        <v>17.742928240739275</v>
      </c>
    </row>
    <row r="1682" spans="1:14" x14ac:dyDescent="0.35">
      <c r="A1682">
        <v>1017</v>
      </c>
      <c r="B1682" t="s">
        <v>71</v>
      </c>
      <c r="C1682" s="1">
        <v>45188.257071759261</v>
      </c>
      <c r="D1682" t="str">
        <f ca="1">VLOOKUP(qry_ProdData2_PDI_Cash_Exception_Application[[#This Row],[TYPE]],#REF!,2,FALSE)</f>
        <v>type38</v>
      </c>
      <c r="E1682">
        <v>513.03</v>
      </c>
      <c r="F1682" t="s">
        <v>48</v>
      </c>
      <c r="G1682" s="1">
        <f>qry_ProdData2_PDI_Cash_Exception_Application[[#This Row],[INSERT DATE]]+7</f>
        <v>45195.257071759261</v>
      </c>
      <c r="H1682" t="str">
        <f>VLOOKUP(qry_ProdData2_PDI_Cash_Exception_Application[[#This Row],[MARKET No]],'Site Allocation'!$B$2:$C$37,2,FALSE)</f>
        <v>Analyst3</v>
      </c>
      <c r="I1682" s="4">
        <f t="shared" ca="1" si="26"/>
        <v>45203</v>
      </c>
      <c r="J1682" s="42">
        <f ca="1">TODAY()-qry_ProdData2_PDI_Cash_Exception_Application[[#This Row],[INSERT DATE]]</f>
        <v>14.742928240739275</v>
      </c>
      <c r="K16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82">
        <f ca="1">qry_ProdData2_PDI_Cash_Exception_Application[[#This Row],[TODAY]]-qry_ProdData2_PDI_Cash_Exception_Application[[#This Row],[CHANGED ON]]</f>
        <v>7.7429282407392748</v>
      </c>
      <c r="M1682">
        <f ca="1">qry_ProdData2_PDI_Cash_Exception_Application[[#This Row],[TODAY]]-qry_ProdData2_PDI_Cash_Exception_Application[[#This Row],[CHANGED ON]]</f>
        <v>7.7429282407392748</v>
      </c>
      <c r="N1682">
        <f ca="1">qry_ProdData2_PDI_Cash_Exception_Application[[#This Row],[TODAY]]-qry_ProdData2_PDI_Cash_Exception_Application[[#This Row],[CHANGED ON]]</f>
        <v>7.7429282407392748</v>
      </c>
    </row>
    <row r="1683" spans="1:14" x14ac:dyDescent="0.35">
      <c r="A1683">
        <v>1013</v>
      </c>
      <c r="B1683" t="s">
        <v>67</v>
      </c>
      <c r="C1683" s="1">
        <v>45191.257071759261</v>
      </c>
      <c r="D1683" t="str">
        <f ca="1">VLOOKUP(qry_ProdData2_PDI_Cash_Exception_Application[[#This Row],[TYPE]],#REF!,2,FALSE)</f>
        <v>type13</v>
      </c>
      <c r="E1683">
        <v>40902.76</v>
      </c>
      <c r="F1683" t="s">
        <v>48</v>
      </c>
      <c r="G1683" s="1">
        <f>qry_ProdData2_PDI_Cash_Exception_Application[[#This Row],[INSERT DATE]]+1</f>
        <v>45192.257071759261</v>
      </c>
      <c r="H1683" t="str">
        <f>VLOOKUP(qry_ProdData2_PDI_Cash_Exception_Application[[#This Row],[MARKET No]],'Site Allocation'!$B$2:$C$37,2,FALSE)</f>
        <v>Analyst3</v>
      </c>
      <c r="I1683" s="4">
        <f t="shared" ca="1" si="26"/>
        <v>45203</v>
      </c>
      <c r="J1683" s="42">
        <f ca="1">TODAY()-qry_ProdData2_PDI_Cash_Exception_Application[[#This Row],[INSERT DATE]]</f>
        <v>11.742928240739275</v>
      </c>
      <c r="K16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83">
        <f ca="1">qry_ProdData2_PDI_Cash_Exception_Application[[#This Row],[TODAY]]-qry_ProdData2_PDI_Cash_Exception_Application[[#This Row],[CHANGED ON]]</f>
        <v>10.742928240739275</v>
      </c>
      <c r="M1683">
        <f ca="1">qry_ProdData2_PDI_Cash_Exception_Application[[#This Row],[TODAY]]-qry_ProdData2_PDI_Cash_Exception_Application[[#This Row],[CHANGED ON]]</f>
        <v>10.742928240739275</v>
      </c>
      <c r="N1683">
        <f ca="1">qry_ProdData2_PDI_Cash_Exception_Application[[#This Row],[TODAY]]-qry_ProdData2_PDI_Cash_Exception_Application[[#This Row],[CHANGED ON]]</f>
        <v>10.742928240739275</v>
      </c>
    </row>
    <row r="1684" spans="1:14" x14ac:dyDescent="0.35">
      <c r="A1684">
        <v>1000</v>
      </c>
      <c r="B1684" t="s">
        <v>54</v>
      </c>
      <c r="C1684" s="1">
        <v>45187.257071759261</v>
      </c>
      <c r="D1684" t="str">
        <f ca="1">VLOOKUP(qry_ProdData2_PDI_Cash_Exception_Application[[#This Row],[TYPE]],#REF!,2,FALSE)</f>
        <v>type2</v>
      </c>
      <c r="E1684">
        <v>1075</v>
      </c>
      <c r="F1684" t="s">
        <v>48</v>
      </c>
      <c r="G1684" s="1">
        <f>qry_ProdData2_PDI_Cash_Exception_Application[[#This Row],[INSERT DATE]]+2</f>
        <v>45189.257071759261</v>
      </c>
      <c r="H1684" t="str">
        <f>VLOOKUP(qry_ProdData2_PDI_Cash_Exception_Application[[#This Row],[MARKET No]],'Site Allocation'!$B$2:$C$37,2,FALSE)</f>
        <v>Analyst1</v>
      </c>
      <c r="I1684" s="4">
        <f t="shared" ca="1" si="26"/>
        <v>45203</v>
      </c>
      <c r="J1684" s="42">
        <f ca="1">TODAY()-qry_ProdData2_PDI_Cash_Exception_Application[[#This Row],[INSERT DATE]]</f>
        <v>15.742928240739275</v>
      </c>
      <c r="K16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84">
        <f ca="1">qry_ProdData2_PDI_Cash_Exception_Application[[#This Row],[TODAY]]-qry_ProdData2_PDI_Cash_Exception_Application[[#This Row],[CHANGED ON]]</f>
        <v>13.742928240739275</v>
      </c>
      <c r="M1684">
        <f ca="1">qry_ProdData2_PDI_Cash_Exception_Application[[#This Row],[TODAY]]-qry_ProdData2_PDI_Cash_Exception_Application[[#This Row],[CHANGED ON]]</f>
        <v>13.742928240739275</v>
      </c>
      <c r="N1684">
        <f ca="1">qry_ProdData2_PDI_Cash_Exception_Application[[#This Row],[TODAY]]-qry_ProdData2_PDI_Cash_Exception_Application[[#This Row],[CHANGED ON]]</f>
        <v>13.742928240739275</v>
      </c>
    </row>
    <row r="1685" spans="1:14" x14ac:dyDescent="0.35">
      <c r="A1685">
        <v>1022</v>
      </c>
      <c r="B1685" t="s">
        <v>76</v>
      </c>
      <c r="C1685" s="1">
        <v>45187.257071759261</v>
      </c>
      <c r="D1685" t="str">
        <f ca="1">VLOOKUP(qry_ProdData2_PDI_Cash_Exception_Application[[#This Row],[TYPE]],#REF!,2,FALSE)</f>
        <v>type38</v>
      </c>
      <c r="E1685">
        <v>254.58</v>
      </c>
      <c r="F1685" t="s">
        <v>52</v>
      </c>
      <c r="G1685" s="1">
        <f>qry_ProdData2_PDI_Cash_Exception_Application[[#This Row],[INSERT DATE]]+1</f>
        <v>45188.257071759261</v>
      </c>
      <c r="H1685" t="str">
        <f>VLOOKUP(qry_ProdData2_PDI_Cash_Exception_Application[[#This Row],[MARKET No]],'Site Allocation'!$B$2:$C$37,2,FALSE)</f>
        <v>Analyst4</v>
      </c>
      <c r="I1685" s="4">
        <f t="shared" ca="1" si="26"/>
        <v>45203</v>
      </c>
      <c r="J1685" s="42">
        <f ca="1">TODAY()-qry_ProdData2_PDI_Cash_Exception_Application[[#This Row],[INSERT DATE]]</f>
        <v>15.742928240739275</v>
      </c>
      <c r="K16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85">
        <f ca="1">qry_ProdData2_PDI_Cash_Exception_Application[[#This Row],[TODAY]]-qry_ProdData2_PDI_Cash_Exception_Application[[#This Row],[CHANGED ON]]</f>
        <v>14.742928240739275</v>
      </c>
      <c r="M1685">
        <f ca="1">qry_ProdData2_PDI_Cash_Exception_Application[[#This Row],[TODAY]]-qry_ProdData2_PDI_Cash_Exception_Application[[#This Row],[CHANGED ON]]</f>
        <v>14.742928240739275</v>
      </c>
      <c r="N1685">
        <f ca="1">qry_ProdData2_PDI_Cash_Exception_Application[[#This Row],[TODAY]]-qry_ProdData2_PDI_Cash_Exception_Application[[#This Row],[CHANGED ON]]</f>
        <v>14.742928240739275</v>
      </c>
    </row>
    <row r="1686" spans="1:14" x14ac:dyDescent="0.35">
      <c r="A1686">
        <v>1019</v>
      </c>
      <c r="B1686" t="s">
        <v>73</v>
      </c>
      <c r="C1686" s="1">
        <v>45189.257071759261</v>
      </c>
      <c r="D1686" t="str">
        <f ca="1">VLOOKUP(qry_ProdData2_PDI_Cash_Exception_Application[[#This Row],[TYPE]],#REF!,2,FALSE)</f>
        <v>type40</v>
      </c>
      <c r="E1686">
        <v>300.98</v>
      </c>
      <c r="F1686" t="s">
        <v>49</v>
      </c>
      <c r="G1686" s="1">
        <f>qry_ProdData2_PDI_Cash_Exception_Application[[#This Row],[INSERT DATE]]+2</f>
        <v>45191.257071759261</v>
      </c>
      <c r="H1686" t="str">
        <f>VLOOKUP(qry_ProdData2_PDI_Cash_Exception_Application[[#This Row],[MARKET No]],'Site Allocation'!$B$2:$C$37,2,FALSE)</f>
        <v>Analyst4</v>
      </c>
      <c r="I1686" s="4">
        <f t="shared" ca="1" si="26"/>
        <v>45203</v>
      </c>
      <c r="J1686" s="42">
        <f ca="1">TODAY()-qry_ProdData2_PDI_Cash_Exception_Application[[#This Row],[INSERT DATE]]</f>
        <v>13.742928240739275</v>
      </c>
      <c r="K16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86">
        <f ca="1">qry_ProdData2_PDI_Cash_Exception_Application[[#This Row],[TODAY]]-qry_ProdData2_PDI_Cash_Exception_Application[[#This Row],[CHANGED ON]]</f>
        <v>11.742928240739275</v>
      </c>
      <c r="M1686">
        <f ca="1">qry_ProdData2_PDI_Cash_Exception_Application[[#This Row],[TODAY]]-qry_ProdData2_PDI_Cash_Exception_Application[[#This Row],[CHANGED ON]]</f>
        <v>11.742928240739275</v>
      </c>
      <c r="N1686">
        <f ca="1">qry_ProdData2_PDI_Cash_Exception_Application[[#This Row],[TODAY]]-qry_ProdData2_PDI_Cash_Exception_Application[[#This Row],[CHANGED ON]]</f>
        <v>11.742928240739275</v>
      </c>
    </row>
    <row r="1687" spans="1:14" x14ac:dyDescent="0.35">
      <c r="A1687">
        <v>1034</v>
      </c>
      <c r="B1687" t="s">
        <v>88</v>
      </c>
      <c r="C1687" s="1">
        <v>45188.257071759261</v>
      </c>
      <c r="D1687" t="str">
        <f ca="1">VLOOKUP(qry_ProdData2_PDI_Cash_Exception_Application[[#This Row],[TYPE]],#REF!,2,FALSE)</f>
        <v>type13</v>
      </c>
      <c r="E1687">
        <v>25087.55</v>
      </c>
      <c r="F1687" t="s">
        <v>52</v>
      </c>
      <c r="G1687" s="1">
        <f>qry_ProdData2_PDI_Cash_Exception_Application[[#This Row],[INSERT DATE]]+1</f>
        <v>45189.257071759261</v>
      </c>
      <c r="H1687" t="str">
        <f>VLOOKUP(qry_ProdData2_PDI_Cash_Exception_Application[[#This Row],[MARKET No]],'Site Allocation'!$B$2:$C$37,2,FALSE)</f>
        <v>Analyst6</v>
      </c>
      <c r="I1687" s="4">
        <f t="shared" ca="1" si="26"/>
        <v>45203</v>
      </c>
      <c r="J1687" s="42">
        <f ca="1">TODAY()-qry_ProdData2_PDI_Cash_Exception_Application[[#This Row],[INSERT DATE]]</f>
        <v>14.742928240739275</v>
      </c>
      <c r="K16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87">
        <f ca="1">qry_ProdData2_PDI_Cash_Exception_Application[[#This Row],[TODAY]]-qry_ProdData2_PDI_Cash_Exception_Application[[#This Row],[CHANGED ON]]</f>
        <v>13.742928240739275</v>
      </c>
      <c r="M1687">
        <f ca="1">qry_ProdData2_PDI_Cash_Exception_Application[[#This Row],[TODAY]]-qry_ProdData2_PDI_Cash_Exception_Application[[#This Row],[CHANGED ON]]</f>
        <v>13.742928240739275</v>
      </c>
      <c r="N1687">
        <f ca="1">qry_ProdData2_PDI_Cash_Exception_Application[[#This Row],[TODAY]]-qry_ProdData2_PDI_Cash_Exception_Application[[#This Row],[CHANGED ON]]</f>
        <v>13.742928240739275</v>
      </c>
    </row>
    <row r="1688" spans="1:14" x14ac:dyDescent="0.35">
      <c r="A1688">
        <v>1026</v>
      </c>
      <c r="B1688" t="s">
        <v>80</v>
      </c>
      <c r="C1688" s="1">
        <v>45189.257071759261</v>
      </c>
      <c r="D1688" t="str">
        <f ca="1">VLOOKUP(qry_ProdData2_PDI_Cash_Exception_Application[[#This Row],[TYPE]],#REF!,2,FALSE)</f>
        <v>type40</v>
      </c>
      <c r="E1688">
        <v>4152.07</v>
      </c>
      <c r="F1688" t="s">
        <v>47</v>
      </c>
      <c r="G1688" s="1">
        <f>qry_ProdData2_PDI_Cash_Exception_Application[[#This Row],[INSERT DATE]]+1</f>
        <v>45190.257071759261</v>
      </c>
      <c r="H1688" t="str">
        <f>VLOOKUP(qry_ProdData2_PDI_Cash_Exception_Application[[#This Row],[MARKET No]],'Site Allocation'!$B$2:$C$37,2,FALSE)</f>
        <v>Analyst5</v>
      </c>
      <c r="I1688" s="4">
        <f t="shared" ca="1" si="26"/>
        <v>45203</v>
      </c>
      <c r="J1688" s="42">
        <f ca="1">TODAY()-qry_ProdData2_PDI_Cash_Exception_Application[[#This Row],[INSERT DATE]]</f>
        <v>13.742928240739275</v>
      </c>
      <c r="K16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88">
        <f ca="1">qry_ProdData2_PDI_Cash_Exception_Application[[#This Row],[TODAY]]-qry_ProdData2_PDI_Cash_Exception_Application[[#This Row],[CHANGED ON]]</f>
        <v>12.742928240739275</v>
      </c>
      <c r="M1688">
        <f ca="1">qry_ProdData2_PDI_Cash_Exception_Application[[#This Row],[TODAY]]-qry_ProdData2_PDI_Cash_Exception_Application[[#This Row],[CHANGED ON]]</f>
        <v>12.742928240739275</v>
      </c>
      <c r="N1688">
        <f ca="1">qry_ProdData2_PDI_Cash_Exception_Application[[#This Row],[TODAY]]-qry_ProdData2_PDI_Cash_Exception_Application[[#This Row],[CHANGED ON]]</f>
        <v>12.742928240739275</v>
      </c>
    </row>
    <row r="1689" spans="1:14" x14ac:dyDescent="0.35">
      <c r="A1689">
        <v>1032</v>
      </c>
      <c r="B1689" t="s">
        <v>86</v>
      </c>
      <c r="C1689" s="1">
        <v>45189.257071759261</v>
      </c>
      <c r="D1689" t="str">
        <f ca="1">VLOOKUP(qry_ProdData2_PDI_Cash_Exception_Application[[#This Row],[TYPE]],#REF!,2,FALSE)</f>
        <v>type40</v>
      </c>
      <c r="E1689">
        <v>772.63</v>
      </c>
      <c r="F1689" t="s">
        <v>49</v>
      </c>
      <c r="G1689" s="1">
        <f>qry_ProdData2_PDI_Cash_Exception_Application[[#This Row],[INSERT DATE]]+2</f>
        <v>45191.257071759261</v>
      </c>
      <c r="H1689" t="str">
        <f>VLOOKUP(qry_ProdData2_PDI_Cash_Exception_Application[[#This Row],[MARKET No]],'Site Allocation'!$B$2:$C$37,2,FALSE)</f>
        <v>Analyst6</v>
      </c>
      <c r="I1689" s="4">
        <f t="shared" ca="1" si="26"/>
        <v>45203</v>
      </c>
      <c r="J1689" s="42">
        <f ca="1">TODAY()-qry_ProdData2_PDI_Cash_Exception_Application[[#This Row],[INSERT DATE]]</f>
        <v>13.742928240739275</v>
      </c>
      <c r="K16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89">
        <f ca="1">qry_ProdData2_PDI_Cash_Exception_Application[[#This Row],[TODAY]]-qry_ProdData2_PDI_Cash_Exception_Application[[#This Row],[CHANGED ON]]</f>
        <v>11.742928240739275</v>
      </c>
      <c r="M1689">
        <f ca="1">qry_ProdData2_PDI_Cash_Exception_Application[[#This Row],[TODAY]]-qry_ProdData2_PDI_Cash_Exception_Application[[#This Row],[CHANGED ON]]</f>
        <v>11.742928240739275</v>
      </c>
      <c r="N1689">
        <f ca="1">qry_ProdData2_PDI_Cash_Exception_Application[[#This Row],[TODAY]]-qry_ProdData2_PDI_Cash_Exception_Application[[#This Row],[CHANGED ON]]</f>
        <v>11.742928240739275</v>
      </c>
    </row>
    <row r="1690" spans="1:14" x14ac:dyDescent="0.35">
      <c r="A1690">
        <v>1026</v>
      </c>
      <c r="B1690" t="s">
        <v>80</v>
      </c>
      <c r="C1690" s="1">
        <v>45191.257071759261</v>
      </c>
      <c r="D1690" t="str">
        <f ca="1">VLOOKUP(qry_ProdData2_PDI_Cash_Exception_Application[[#This Row],[TYPE]],#REF!,2,FALSE)</f>
        <v>type40</v>
      </c>
      <c r="E1690">
        <v>2814.81</v>
      </c>
      <c r="F1690" t="s">
        <v>49</v>
      </c>
      <c r="G1690" s="1">
        <f>qry_ProdData2_PDI_Cash_Exception_Application[[#This Row],[INSERT DATE]]+2</f>
        <v>45193.257071759261</v>
      </c>
      <c r="H1690" t="str">
        <f>VLOOKUP(qry_ProdData2_PDI_Cash_Exception_Application[[#This Row],[MARKET No]],'Site Allocation'!$B$2:$C$37,2,FALSE)</f>
        <v>Analyst5</v>
      </c>
      <c r="I1690" s="4">
        <f t="shared" ca="1" si="26"/>
        <v>45203</v>
      </c>
      <c r="J1690" s="42">
        <f ca="1">TODAY()-qry_ProdData2_PDI_Cash_Exception_Application[[#This Row],[INSERT DATE]]</f>
        <v>11.742928240739275</v>
      </c>
      <c r="K16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90">
        <f ca="1">qry_ProdData2_PDI_Cash_Exception_Application[[#This Row],[TODAY]]-qry_ProdData2_PDI_Cash_Exception_Application[[#This Row],[CHANGED ON]]</f>
        <v>9.7429282407392748</v>
      </c>
      <c r="M1690">
        <f ca="1">qry_ProdData2_PDI_Cash_Exception_Application[[#This Row],[TODAY]]-qry_ProdData2_PDI_Cash_Exception_Application[[#This Row],[CHANGED ON]]</f>
        <v>9.7429282407392748</v>
      </c>
      <c r="N1690">
        <f ca="1">qry_ProdData2_PDI_Cash_Exception_Application[[#This Row],[TODAY]]-qry_ProdData2_PDI_Cash_Exception_Application[[#This Row],[CHANGED ON]]</f>
        <v>9.7429282407392748</v>
      </c>
    </row>
    <row r="1691" spans="1:14" x14ac:dyDescent="0.35">
      <c r="A1691">
        <v>1022</v>
      </c>
      <c r="B1691" t="s">
        <v>76</v>
      </c>
      <c r="C1691" s="1">
        <v>45183.257071759261</v>
      </c>
      <c r="D1691" t="str">
        <f ca="1">VLOOKUP(qry_ProdData2_PDI_Cash_Exception_Application[[#This Row],[TYPE]],#REF!,2,FALSE)</f>
        <v>type33</v>
      </c>
      <c r="E1691">
        <v>323.27999999999997</v>
      </c>
      <c r="F1691" t="s">
        <v>48</v>
      </c>
      <c r="G1691" s="1">
        <f>qry_ProdData2_PDI_Cash_Exception_Application[[#This Row],[INSERT DATE]]+2</f>
        <v>45185.257071759261</v>
      </c>
      <c r="H1691" t="str">
        <f>VLOOKUP(qry_ProdData2_PDI_Cash_Exception_Application[[#This Row],[MARKET No]],'Site Allocation'!$B$2:$C$37,2,FALSE)</f>
        <v>Analyst4</v>
      </c>
      <c r="I1691" s="4">
        <f t="shared" ca="1" si="26"/>
        <v>45203</v>
      </c>
      <c r="J1691" s="42">
        <f ca="1">TODAY()-qry_ProdData2_PDI_Cash_Exception_Application[[#This Row],[INSERT DATE]]</f>
        <v>19.742928240739275</v>
      </c>
      <c r="K16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91">
        <f ca="1">qry_ProdData2_PDI_Cash_Exception_Application[[#This Row],[TODAY]]-qry_ProdData2_PDI_Cash_Exception_Application[[#This Row],[CHANGED ON]]</f>
        <v>17.742928240739275</v>
      </c>
      <c r="M1691">
        <f ca="1">qry_ProdData2_PDI_Cash_Exception_Application[[#This Row],[TODAY]]-qry_ProdData2_PDI_Cash_Exception_Application[[#This Row],[CHANGED ON]]</f>
        <v>17.742928240739275</v>
      </c>
      <c r="N1691">
        <f ca="1">qry_ProdData2_PDI_Cash_Exception_Application[[#This Row],[TODAY]]-qry_ProdData2_PDI_Cash_Exception_Application[[#This Row],[CHANGED ON]]</f>
        <v>17.742928240739275</v>
      </c>
    </row>
    <row r="1692" spans="1:14" x14ac:dyDescent="0.35">
      <c r="A1692">
        <v>1007</v>
      </c>
      <c r="B1692" t="s">
        <v>61</v>
      </c>
      <c r="C1692" s="1">
        <v>45192.257071759261</v>
      </c>
      <c r="D1692" t="str">
        <f ca="1">VLOOKUP(qry_ProdData2_PDI_Cash_Exception_Application[[#This Row],[TYPE]],#REF!,2,FALSE)</f>
        <v>type13</v>
      </c>
      <c r="E1692">
        <v>28281.73</v>
      </c>
      <c r="F1692" t="s">
        <v>48</v>
      </c>
      <c r="G1692" s="1">
        <f>qry_ProdData2_PDI_Cash_Exception_Application[[#This Row],[INSERT DATE]]+7</f>
        <v>45199.257071759261</v>
      </c>
      <c r="H1692" t="str">
        <f>VLOOKUP(qry_ProdData2_PDI_Cash_Exception_Application[[#This Row],[MARKET No]],'Site Allocation'!$B$2:$C$37,2,FALSE)</f>
        <v>Analyst2</v>
      </c>
      <c r="I1692" s="4">
        <f t="shared" ca="1" si="26"/>
        <v>45203</v>
      </c>
      <c r="J1692" s="42">
        <f ca="1">TODAY()-qry_ProdData2_PDI_Cash_Exception_Application[[#This Row],[INSERT DATE]]</f>
        <v>10.742928240739275</v>
      </c>
      <c r="K16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92">
        <f ca="1">qry_ProdData2_PDI_Cash_Exception_Application[[#This Row],[TODAY]]-qry_ProdData2_PDI_Cash_Exception_Application[[#This Row],[CHANGED ON]]</f>
        <v>3.7429282407392748</v>
      </c>
      <c r="M1692">
        <f ca="1">qry_ProdData2_PDI_Cash_Exception_Application[[#This Row],[TODAY]]-qry_ProdData2_PDI_Cash_Exception_Application[[#This Row],[CHANGED ON]]</f>
        <v>3.7429282407392748</v>
      </c>
      <c r="N1692">
        <f ca="1">qry_ProdData2_PDI_Cash_Exception_Application[[#This Row],[TODAY]]-qry_ProdData2_PDI_Cash_Exception_Application[[#This Row],[CHANGED ON]]</f>
        <v>3.7429282407392748</v>
      </c>
    </row>
    <row r="1693" spans="1:14" x14ac:dyDescent="0.35">
      <c r="A1693">
        <v>1018</v>
      </c>
      <c r="B1693" t="s">
        <v>72</v>
      </c>
      <c r="C1693" s="1">
        <v>45187.257071759261</v>
      </c>
      <c r="D1693" t="str">
        <f ca="1">VLOOKUP(qry_ProdData2_PDI_Cash_Exception_Application[[#This Row],[TYPE]],#REF!,2,FALSE)</f>
        <v>type40</v>
      </c>
      <c r="E1693">
        <v>-838.49</v>
      </c>
      <c r="F1693" t="s">
        <v>48</v>
      </c>
      <c r="G1693" s="1">
        <f>qry_ProdData2_PDI_Cash_Exception_Application[[#This Row],[INSERT DATE]]+7</f>
        <v>45194.257071759261</v>
      </c>
      <c r="H1693" t="str">
        <f>VLOOKUP(qry_ProdData2_PDI_Cash_Exception_Application[[#This Row],[MARKET No]],'Site Allocation'!$B$2:$C$37,2,FALSE)</f>
        <v>Analyst4</v>
      </c>
      <c r="I1693" s="4">
        <f t="shared" ca="1" si="26"/>
        <v>45203</v>
      </c>
      <c r="J1693" s="42">
        <f ca="1">TODAY()-qry_ProdData2_PDI_Cash_Exception_Application[[#This Row],[INSERT DATE]]</f>
        <v>15.742928240739275</v>
      </c>
      <c r="K16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93">
        <f ca="1">qry_ProdData2_PDI_Cash_Exception_Application[[#This Row],[TODAY]]-qry_ProdData2_PDI_Cash_Exception_Application[[#This Row],[CHANGED ON]]</f>
        <v>8.7429282407392748</v>
      </c>
      <c r="M1693">
        <f ca="1">qry_ProdData2_PDI_Cash_Exception_Application[[#This Row],[TODAY]]-qry_ProdData2_PDI_Cash_Exception_Application[[#This Row],[CHANGED ON]]</f>
        <v>8.7429282407392748</v>
      </c>
      <c r="N1693">
        <f ca="1">qry_ProdData2_PDI_Cash_Exception_Application[[#This Row],[TODAY]]-qry_ProdData2_PDI_Cash_Exception_Application[[#This Row],[CHANGED ON]]</f>
        <v>8.7429282407392748</v>
      </c>
    </row>
    <row r="1694" spans="1:14" x14ac:dyDescent="0.35">
      <c r="A1694">
        <v>1029</v>
      </c>
      <c r="B1694" t="s">
        <v>83</v>
      </c>
      <c r="C1694" s="1">
        <v>45180.257071759261</v>
      </c>
      <c r="D1694" t="str">
        <f ca="1">VLOOKUP(qry_ProdData2_PDI_Cash_Exception_Application[[#This Row],[TYPE]],#REF!,2,FALSE)</f>
        <v>type40</v>
      </c>
      <c r="E1694">
        <v>6355.71</v>
      </c>
      <c r="F1694" t="s">
        <v>47</v>
      </c>
      <c r="G1694" s="1">
        <f>qry_ProdData2_PDI_Cash_Exception_Application[[#This Row],[INSERT DATE]]+1</f>
        <v>45181.257071759261</v>
      </c>
      <c r="H1694" t="str">
        <f>VLOOKUP(qry_ProdData2_PDI_Cash_Exception_Application[[#This Row],[MARKET No]],'Site Allocation'!$B$2:$C$37,2,FALSE)</f>
        <v>Analyst5</v>
      </c>
      <c r="I1694" s="4">
        <f t="shared" ca="1" si="26"/>
        <v>45203</v>
      </c>
      <c r="J1694" s="42">
        <f ca="1">TODAY()-qry_ProdData2_PDI_Cash_Exception_Application[[#This Row],[INSERT DATE]]</f>
        <v>22.742928240739275</v>
      </c>
      <c r="K16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94">
        <f ca="1">qry_ProdData2_PDI_Cash_Exception_Application[[#This Row],[TODAY]]-qry_ProdData2_PDI_Cash_Exception_Application[[#This Row],[CHANGED ON]]</f>
        <v>21.742928240739275</v>
      </c>
      <c r="M1694">
        <f ca="1">qry_ProdData2_PDI_Cash_Exception_Application[[#This Row],[TODAY]]-qry_ProdData2_PDI_Cash_Exception_Application[[#This Row],[CHANGED ON]]</f>
        <v>21.742928240739275</v>
      </c>
      <c r="N1694">
        <f ca="1">qry_ProdData2_PDI_Cash_Exception_Application[[#This Row],[TODAY]]-qry_ProdData2_PDI_Cash_Exception_Application[[#This Row],[CHANGED ON]]</f>
        <v>21.742928240739275</v>
      </c>
    </row>
    <row r="1695" spans="1:14" x14ac:dyDescent="0.35">
      <c r="A1695">
        <v>1018</v>
      </c>
      <c r="B1695" t="s">
        <v>72</v>
      </c>
      <c r="C1695" s="1">
        <v>45190.257071759261</v>
      </c>
      <c r="D1695" t="str">
        <f ca="1">VLOOKUP(qry_ProdData2_PDI_Cash_Exception_Application[[#This Row],[TYPE]],#REF!,2,FALSE)</f>
        <v>type2</v>
      </c>
      <c r="E1695">
        <v>1293</v>
      </c>
      <c r="F1695" t="s">
        <v>48</v>
      </c>
      <c r="G1695" s="1">
        <f>qry_ProdData2_PDI_Cash_Exception_Application[[#This Row],[INSERT DATE]]+7</f>
        <v>45197.257071759261</v>
      </c>
      <c r="H1695" t="str">
        <f>VLOOKUP(qry_ProdData2_PDI_Cash_Exception_Application[[#This Row],[MARKET No]],'Site Allocation'!$B$2:$C$37,2,FALSE)</f>
        <v>Analyst4</v>
      </c>
      <c r="I1695" s="4">
        <f t="shared" ca="1" si="26"/>
        <v>45203</v>
      </c>
      <c r="J1695" s="42">
        <f ca="1">TODAY()-qry_ProdData2_PDI_Cash_Exception_Application[[#This Row],[INSERT DATE]]</f>
        <v>12.742928240739275</v>
      </c>
      <c r="K16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95">
        <f ca="1">qry_ProdData2_PDI_Cash_Exception_Application[[#This Row],[TODAY]]-qry_ProdData2_PDI_Cash_Exception_Application[[#This Row],[CHANGED ON]]</f>
        <v>5.7429282407392748</v>
      </c>
      <c r="M1695">
        <f ca="1">qry_ProdData2_PDI_Cash_Exception_Application[[#This Row],[TODAY]]-qry_ProdData2_PDI_Cash_Exception_Application[[#This Row],[CHANGED ON]]</f>
        <v>5.7429282407392748</v>
      </c>
      <c r="N1695">
        <f ca="1">qry_ProdData2_PDI_Cash_Exception_Application[[#This Row],[TODAY]]-qry_ProdData2_PDI_Cash_Exception_Application[[#This Row],[CHANGED ON]]</f>
        <v>5.7429282407392748</v>
      </c>
    </row>
    <row r="1696" spans="1:14" x14ac:dyDescent="0.35">
      <c r="A1696">
        <v>1012</v>
      </c>
      <c r="B1696" t="s">
        <v>66</v>
      </c>
      <c r="C1696" s="1">
        <v>45190.257071759261</v>
      </c>
      <c r="D1696" t="str">
        <f ca="1">VLOOKUP(qry_ProdData2_PDI_Cash_Exception_Application[[#This Row],[TYPE]],#REF!,2,FALSE)</f>
        <v>type40</v>
      </c>
      <c r="E1696">
        <v>3093.21</v>
      </c>
      <c r="F1696" t="s">
        <v>51</v>
      </c>
      <c r="G1696" s="1">
        <f>qry_ProdData2_PDI_Cash_Exception_Application[[#This Row],[INSERT DATE]]+5</f>
        <v>45195.257071759261</v>
      </c>
      <c r="H1696" t="str">
        <f>VLOOKUP(qry_ProdData2_PDI_Cash_Exception_Application[[#This Row],[MARKET No]],'Site Allocation'!$B$2:$C$37,2,FALSE)</f>
        <v>Analyst3</v>
      </c>
      <c r="I1696" s="4">
        <f t="shared" ca="1" si="26"/>
        <v>45203</v>
      </c>
      <c r="J1696" s="42">
        <f ca="1">TODAY()-qry_ProdData2_PDI_Cash_Exception_Application[[#This Row],[INSERT DATE]]</f>
        <v>12.742928240739275</v>
      </c>
      <c r="K16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96">
        <f ca="1">qry_ProdData2_PDI_Cash_Exception_Application[[#This Row],[TODAY]]-qry_ProdData2_PDI_Cash_Exception_Application[[#This Row],[CHANGED ON]]</f>
        <v>7.7429282407392748</v>
      </c>
      <c r="M1696">
        <f ca="1">qry_ProdData2_PDI_Cash_Exception_Application[[#This Row],[TODAY]]-qry_ProdData2_PDI_Cash_Exception_Application[[#This Row],[CHANGED ON]]</f>
        <v>7.7429282407392748</v>
      </c>
      <c r="N1696">
        <f ca="1">qry_ProdData2_PDI_Cash_Exception_Application[[#This Row],[TODAY]]-qry_ProdData2_PDI_Cash_Exception_Application[[#This Row],[CHANGED ON]]</f>
        <v>7.7429282407392748</v>
      </c>
    </row>
    <row r="1697" spans="1:14" x14ac:dyDescent="0.35">
      <c r="A1697">
        <v>1011</v>
      </c>
      <c r="B1697" t="s">
        <v>65</v>
      </c>
      <c r="C1697" s="1">
        <v>45188.257071759261</v>
      </c>
      <c r="D1697" t="str">
        <f ca="1">VLOOKUP(qry_ProdData2_PDI_Cash_Exception_Application[[#This Row],[TYPE]],#REF!,2,FALSE)</f>
        <v>type40</v>
      </c>
      <c r="E1697">
        <v>11206.42</v>
      </c>
      <c r="F1697" t="s">
        <v>51</v>
      </c>
      <c r="G1697" s="1">
        <f>qry_ProdData2_PDI_Cash_Exception_Application[[#This Row],[INSERT DATE]]+7</f>
        <v>45195.257071759261</v>
      </c>
      <c r="H1697" t="str">
        <f>VLOOKUP(qry_ProdData2_PDI_Cash_Exception_Application[[#This Row],[MARKET No]],'Site Allocation'!$B$2:$C$37,2,FALSE)</f>
        <v>Analyst2</v>
      </c>
      <c r="I1697" s="4">
        <f t="shared" ca="1" si="26"/>
        <v>45203</v>
      </c>
      <c r="J1697" s="42">
        <f ca="1">TODAY()-qry_ProdData2_PDI_Cash_Exception_Application[[#This Row],[INSERT DATE]]</f>
        <v>14.742928240739275</v>
      </c>
      <c r="K16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97">
        <f ca="1">qry_ProdData2_PDI_Cash_Exception_Application[[#This Row],[TODAY]]-qry_ProdData2_PDI_Cash_Exception_Application[[#This Row],[CHANGED ON]]</f>
        <v>7.7429282407392748</v>
      </c>
      <c r="M1697">
        <f ca="1">qry_ProdData2_PDI_Cash_Exception_Application[[#This Row],[TODAY]]-qry_ProdData2_PDI_Cash_Exception_Application[[#This Row],[CHANGED ON]]</f>
        <v>7.7429282407392748</v>
      </c>
      <c r="N1697">
        <f ca="1">qry_ProdData2_PDI_Cash_Exception_Application[[#This Row],[TODAY]]-qry_ProdData2_PDI_Cash_Exception_Application[[#This Row],[CHANGED ON]]</f>
        <v>7.7429282407392748</v>
      </c>
    </row>
    <row r="1698" spans="1:14" x14ac:dyDescent="0.35">
      <c r="A1698">
        <v>1007</v>
      </c>
      <c r="B1698" t="s">
        <v>61</v>
      </c>
      <c r="C1698" s="1">
        <v>45197.257071759261</v>
      </c>
      <c r="D1698" t="str">
        <f ca="1">VLOOKUP(qry_ProdData2_PDI_Cash_Exception_Application[[#This Row],[TYPE]],#REF!,2,FALSE)</f>
        <v>type40</v>
      </c>
      <c r="E1698">
        <v>17.38</v>
      </c>
      <c r="F1698" t="s">
        <v>50</v>
      </c>
      <c r="G1698" s="1">
        <f>qry_ProdData2_PDI_Cash_Exception_Application[[#This Row],[INSERT DATE]]+2</f>
        <v>45199.257071759261</v>
      </c>
      <c r="H1698" t="str">
        <f>VLOOKUP(qry_ProdData2_PDI_Cash_Exception_Application[[#This Row],[MARKET No]],'Site Allocation'!$B$2:$C$37,2,FALSE)</f>
        <v>Analyst2</v>
      </c>
      <c r="I1698" s="4">
        <f t="shared" ca="1" si="26"/>
        <v>45203</v>
      </c>
      <c r="J1698" s="42">
        <f ca="1">TODAY()-qry_ProdData2_PDI_Cash_Exception_Application[[#This Row],[INSERT DATE]]</f>
        <v>5.7429282407392748</v>
      </c>
      <c r="K16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698">
        <f ca="1">qry_ProdData2_PDI_Cash_Exception_Application[[#This Row],[TODAY]]-qry_ProdData2_PDI_Cash_Exception_Application[[#This Row],[CHANGED ON]]</f>
        <v>3.7429282407392748</v>
      </c>
      <c r="M1698">
        <f ca="1">qry_ProdData2_PDI_Cash_Exception_Application[[#This Row],[TODAY]]-qry_ProdData2_PDI_Cash_Exception_Application[[#This Row],[CHANGED ON]]</f>
        <v>3.7429282407392748</v>
      </c>
      <c r="N1698">
        <f ca="1">qry_ProdData2_PDI_Cash_Exception_Application[[#This Row],[TODAY]]-qry_ProdData2_PDI_Cash_Exception_Application[[#This Row],[CHANGED ON]]</f>
        <v>3.7429282407392748</v>
      </c>
    </row>
    <row r="1699" spans="1:14" x14ac:dyDescent="0.35">
      <c r="A1699">
        <v>1014</v>
      </c>
      <c r="B1699" t="s">
        <v>68</v>
      </c>
      <c r="C1699" s="1">
        <v>45185.257071759261</v>
      </c>
      <c r="D1699" t="str">
        <f ca="1">VLOOKUP(qry_ProdData2_PDI_Cash_Exception_Application[[#This Row],[TYPE]],#REF!,2,FALSE)</f>
        <v>type13</v>
      </c>
      <c r="E1699">
        <v>14434.96</v>
      </c>
      <c r="F1699" t="s">
        <v>50</v>
      </c>
      <c r="G1699" s="1">
        <f>qry_ProdData2_PDI_Cash_Exception_Application[[#This Row],[INSERT DATE]]+2</f>
        <v>45187.257071759261</v>
      </c>
      <c r="H1699" t="str">
        <f>VLOOKUP(qry_ProdData2_PDI_Cash_Exception_Application[[#This Row],[MARKET No]],'Site Allocation'!$B$2:$C$37,2,FALSE)</f>
        <v>Analyst3</v>
      </c>
      <c r="I1699" s="4">
        <f t="shared" ca="1" si="26"/>
        <v>45203</v>
      </c>
      <c r="J1699" s="42">
        <f ca="1">TODAY()-qry_ProdData2_PDI_Cash_Exception_Application[[#This Row],[INSERT DATE]]</f>
        <v>17.742928240739275</v>
      </c>
      <c r="K16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699">
        <f ca="1">qry_ProdData2_PDI_Cash_Exception_Application[[#This Row],[TODAY]]-qry_ProdData2_PDI_Cash_Exception_Application[[#This Row],[CHANGED ON]]</f>
        <v>15.742928240739275</v>
      </c>
      <c r="M1699">
        <f ca="1">qry_ProdData2_PDI_Cash_Exception_Application[[#This Row],[TODAY]]-qry_ProdData2_PDI_Cash_Exception_Application[[#This Row],[CHANGED ON]]</f>
        <v>15.742928240739275</v>
      </c>
      <c r="N1699">
        <f ca="1">qry_ProdData2_PDI_Cash_Exception_Application[[#This Row],[TODAY]]-qry_ProdData2_PDI_Cash_Exception_Application[[#This Row],[CHANGED ON]]</f>
        <v>15.742928240739275</v>
      </c>
    </row>
    <row r="1700" spans="1:14" x14ac:dyDescent="0.35">
      <c r="A1700">
        <v>1012</v>
      </c>
      <c r="B1700" t="s">
        <v>66</v>
      </c>
      <c r="C1700" s="1">
        <v>45180.257071759261</v>
      </c>
      <c r="D1700" t="str">
        <f ca="1">VLOOKUP(qry_ProdData2_PDI_Cash_Exception_Application[[#This Row],[TYPE]],#REF!,2,FALSE)</f>
        <v>type40</v>
      </c>
      <c r="E1700">
        <v>1143.3800000000001</v>
      </c>
      <c r="F1700" t="s">
        <v>49</v>
      </c>
      <c r="G1700" s="1">
        <f>qry_ProdData2_PDI_Cash_Exception_Application[[#This Row],[INSERT DATE]]+7</f>
        <v>45187.257071759261</v>
      </c>
      <c r="H1700" t="str">
        <f>VLOOKUP(qry_ProdData2_PDI_Cash_Exception_Application[[#This Row],[MARKET No]],'Site Allocation'!$B$2:$C$37,2,FALSE)</f>
        <v>Analyst3</v>
      </c>
      <c r="I1700" s="4">
        <f t="shared" ca="1" si="26"/>
        <v>45203</v>
      </c>
      <c r="J1700" s="42">
        <f ca="1">TODAY()-qry_ProdData2_PDI_Cash_Exception_Application[[#This Row],[INSERT DATE]]</f>
        <v>22.742928240739275</v>
      </c>
      <c r="K17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00">
        <f ca="1">qry_ProdData2_PDI_Cash_Exception_Application[[#This Row],[TODAY]]-qry_ProdData2_PDI_Cash_Exception_Application[[#This Row],[CHANGED ON]]</f>
        <v>15.742928240739275</v>
      </c>
      <c r="M1700">
        <f ca="1">qry_ProdData2_PDI_Cash_Exception_Application[[#This Row],[TODAY]]-qry_ProdData2_PDI_Cash_Exception_Application[[#This Row],[CHANGED ON]]</f>
        <v>15.742928240739275</v>
      </c>
      <c r="N1700">
        <f ca="1">qry_ProdData2_PDI_Cash_Exception_Application[[#This Row],[TODAY]]-qry_ProdData2_PDI_Cash_Exception_Application[[#This Row],[CHANGED ON]]</f>
        <v>15.742928240739275</v>
      </c>
    </row>
    <row r="1701" spans="1:14" x14ac:dyDescent="0.35">
      <c r="A1701">
        <v>1021</v>
      </c>
      <c r="B1701" t="s">
        <v>75</v>
      </c>
      <c r="C1701" s="1">
        <v>45182.257071759261</v>
      </c>
      <c r="D1701" t="str">
        <f ca="1">VLOOKUP(qry_ProdData2_PDI_Cash_Exception_Application[[#This Row],[TYPE]],#REF!,2,FALSE)</f>
        <v>type40</v>
      </c>
      <c r="E1701">
        <v>6827.1</v>
      </c>
      <c r="F1701" t="s">
        <v>47</v>
      </c>
      <c r="G1701" s="1">
        <f>qry_ProdData2_PDI_Cash_Exception_Application[[#This Row],[INSERT DATE]]+5</f>
        <v>45187.257071759261</v>
      </c>
      <c r="H1701" t="str">
        <f>VLOOKUP(qry_ProdData2_PDI_Cash_Exception_Application[[#This Row],[MARKET No]],'Site Allocation'!$B$2:$C$37,2,FALSE)</f>
        <v>Analyst4</v>
      </c>
      <c r="I1701" s="4">
        <f t="shared" ca="1" si="26"/>
        <v>45203</v>
      </c>
      <c r="J1701" s="42">
        <f ca="1">TODAY()-qry_ProdData2_PDI_Cash_Exception_Application[[#This Row],[INSERT DATE]]</f>
        <v>20.742928240739275</v>
      </c>
      <c r="K17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01">
        <f ca="1">qry_ProdData2_PDI_Cash_Exception_Application[[#This Row],[TODAY]]-qry_ProdData2_PDI_Cash_Exception_Application[[#This Row],[CHANGED ON]]</f>
        <v>15.742928240739275</v>
      </c>
      <c r="M1701">
        <f ca="1">qry_ProdData2_PDI_Cash_Exception_Application[[#This Row],[TODAY]]-qry_ProdData2_PDI_Cash_Exception_Application[[#This Row],[CHANGED ON]]</f>
        <v>15.742928240739275</v>
      </c>
      <c r="N1701">
        <f ca="1">qry_ProdData2_PDI_Cash_Exception_Application[[#This Row],[TODAY]]-qry_ProdData2_PDI_Cash_Exception_Application[[#This Row],[CHANGED ON]]</f>
        <v>15.742928240739275</v>
      </c>
    </row>
    <row r="1702" spans="1:14" x14ac:dyDescent="0.35">
      <c r="A1702">
        <v>1015</v>
      </c>
      <c r="B1702" t="s">
        <v>69</v>
      </c>
      <c r="C1702" s="1">
        <v>45191.257071759261</v>
      </c>
      <c r="D1702" t="str">
        <f ca="1">VLOOKUP(qry_ProdData2_PDI_Cash_Exception_Application[[#This Row],[TYPE]],#REF!,2,FALSE)</f>
        <v>type40</v>
      </c>
      <c r="E1702">
        <v>-846.18</v>
      </c>
      <c r="F1702" t="s">
        <v>48</v>
      </c>
      <c r="G1702" s="1">
        <f>qry_ProdData2_PDI_Cash_Exception_Application[[#This Row],[INSERT DATE]]+1</f>
        <v>45192.257071759261</v>
      </c>
      <c r="H1702" t="str">
        <f>VLOOKUP(qry_ProdData2_PDI_Cash_Exception_Application[[#This Row],[MARKET No]],'Site Allocation'!$B$2:$C$37,2,FALSE)</f>
        <v>Analyst3</v>
      </c>
      <c r="I1702" s="4">
        <f t="shared" ca="1" si="26"/>
        <v>45203</v>
      </c>
      <c r="J1702" s="42">
        <f ca="1">TODAY()-qry_ProdData2_PDI_Cash_Exception_Application[[#This Row],[INSERT DATE]]</f>
        <v>11.742928240739275</v>
      </c>
      <c r="K17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02">
        <f ca="1">qry_ProdData2_PDI_Cash_Exception_Application[[#This Row],[TODAY]]-qry_ProdData2_PDI_Cash_Exception_Application[[#This Row],[CHANGED ON]]</f>
        <v>10.742928240739275</v>
      </c>
      <c r="M1702">
        <f ca="1">qry_ProdData2_PDI_Cash_Exception_Application[[#This Row],[TODAY]]-qry_ProdData2_PDI_Cash_Exception_Application[[#This Row],[CHANGED ON]]</f>
        <v>10.742928240739275</v>
      </c>
      <c r="N1702">
        <f ca="1">qry_ProdData2_PDI_Cash_Exception_Application[[#This Row],[TODAY]]-qry_ProdData2_PDI_Cash_Exception_Application[[#This Row],[CHANGED ON]]</f>
        <v>10.742928240739275</v>
      </c>
    </row>
    <row r="1703" spans="1:14" x14ac:dyDescent="0.35">
      <c r="A1703">
        <v>1020</v>
      </c>
      <c r="B1703" t="s">
        <v>74</v>
      </c>
      <c r="C1703" s="1">
        <v>45181.257071759261</v>
      </c>
      <c r="D1703" t="str">
        <f ca="1">VLOOKUP(qry_ProdData2_PDI_Cash_Exception_Application[[#This Row],[TYPE]],#REF!,2,FALSE)</f>
        <v>type10</v>
      </c>
      <c r="E1703">
        <v>43.6</v>
      </c>
      <c r="F1703" t="s">
        <v>49</v>
      </c>
      <c r="G1703" s="1">
        <f>qry_ProdData2_PDI_Cash_Exception_Application[[#This Row],[INSERT DATE]]+7</f>
        <v>45188.257071759261</v>
      </c>
      <c r="H1703" t="str">
        <f>VLOOKUP(qry_ProdData2_PDI_Cash_Exception_Application[[#This Row],[MARKET No]],'Site Allocation'!$B$2:$C$37,2,FALSE)</f>
        <v>Analyst4</v>
      </c>
      <c r="I1703" s="4">
        <f t="shared" ca="1" si="26"/>
        <v>45203</v>
      </c>
      <c r="J1703" s="42">
        <f ca="1">TODAY()-qry_ProdData2_PDI_Cash_Exception_Application[[#This Row],[INSERT DATE]]</f>
        <v>21.742928240739275</v>
      </c>
      <c r="K17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03">
        <f ca="1">qry_ProdData2_PDI_Cash_Exception_Application[[#This Row],[TODAY]]-qry_ProdData2_PDI_Cash_Exception_Application[[#This Row],[CHANGED ON]]</f>
        <v>14.742928240739275</v>
      </c>
      <c r="M1703">
        <f ca="1">qry_ProdData2_PDI_Cash_Exception_Application[[#This Row],[TODAY]]-qry_ProdData2_PDI_Cash_Exception_Application[[#This Row],[CHANGED ON]]</f>
        <v>14.742928240739275</v>
      </c>
      <c r="N1703">
        <f ca="1">qry_ProdData2_PDI_Cash_Exception_Application[[#This Row],[TODAY]]-qry_ProdData2_PDI_Cash_Exception_Application[[#This Row],[CHANGED ON]]</f>
        <v>14.742928240739275</v>
      </c>
    </row>
    <row r="1704" spans="1:14" x14ac:dyDescent="0.35">
      <c r="A1704">
        <v>1015</v>
      </c>
      <c r="B1704" t="s">
        <v>69</v>
      </c>
      <c r="C1704" s="1">
        <v>45182.257071759261</v>
      </c>
      <c r="D1704" t="str">
        <f ca="1">VLOOKUP(qry_ProdData2_PDI_Cash_Exception_Application[[#This Row],[TYPE]],#REF!,2,FALSE)</f>
        <v>type38</v>
      </c>
      <c r="E1704">
        <v>491.12</v>
      </c>
      <c r="F1704" t="s">
        <v>49</v>
      </c>
      <c r="G1704" s="1">
        <f>qry_ProdData2_PDI_Cash_Exception_Application[[#This Row],[INSERT DATE]]+7</f>
        <v>45189.257071759261</v>
      </c>
      <c r="H1704" t="str">
        <f>VLOOKUP(qry_ProdData2_PDI_Cash_Exception_Application[[#This Row],[MARKET No]],'Site Allocation'!$B$2:$C$37,2,FALSE)</f>
        <v>Analyst3</v>
      </c>
      <c r="I1704" s="4">
        <f t="shared" ca="1" si="26"/>
        <v>45203</v>
      </c>
      <c r="J1704" s="42">
        <f ca="1">TODAY()-qry_ProdData2_PDI_Cash_Exception_Application[[#This Row],[INSERT DATE]]</f>
        <v>20.742928240739275</v>
      </c>
      <c r="K17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04">
        <f ca="1">qry_ProdData2_PDI_Cash_Exception_Application[[#This Row],[TODAY]]-qry_ProdData2_PDI_Cash_Exception_Application[[#This Row],[CHANGED ON]]</f>
        <v>13.742928240739275</v>
      </c>
      <c r="M1704">
        <f ca="1">qry_ProdData2_PDI_Cash_Exception_Application[[#This Row],[TODAY]]-qry_ProdData2_PDI_Cash_Exception_Application[[#This Row],[CHANGED ON]]</f>
        <v>13.742928240739275</v>
      </c>
      <c r="N1704">
        <f ca="1">qry_ProdData2_PDI_Cash_Exception_Application[[#This Row],[TODAY]]-qry_ProdData2_PDI_Cash_Exception_Application[[#This Row],[CHANGED ON]]</f>
        <v>13.742928240739275</v>
      </c>
    </row>
    <row r="1705" spans="1:14" x14ac:dyDescent="0.35">
      <c r="A1705">
        <v>1001</v>
      </c>
      <c r="B1705" t="s">
        <v>55</v>
      </c>
      <c r="C1705" s="1">
        <v>45189.257071759261</v>
      </c>
      <c r="D1705" t="str">
        <f ca="1">VLOOKUP(qry_ProdData2_PDI_Cash_Exception_Application[[#This Row],[TYPE]],#REF!,2,FALSE)</f>
        <v>type38</v>
      </c>
      <c r="E1705">
        <v>166.23</v>
      </c>
      <c r="F1705" t="s">
        <v>50</v>
      </c>
      <c r="G1705" s="1">
        <f>qry_ProdData2_PDI_Cash_Exception_Application[[#This Row],[INSERT DATE]]+2</f>
        <v>45191.257071759261</v>
      </c>
      <c r="H1705" t="str">
        <f>VLOOKUP(qry_ProdData2_PDI_Cash_Exception_Application[[#This Row],[MARKET No]],'Site Allocation'!$B$2:$C$37,2,FALSE)</f>
        <v>Analyst1</v>
      </c>
      <c r="I1705" s="4">
        <f t="shared" ca="1" si="26"/>
        <v>45203</v>
      </c>
      <c r="J1705" s="42">
        <f ca="1">TODAY()-qry_ProdData2_PDI_Cash_Exception_Application[[#This Row],[INSERT DATE]]</f>
        <v>13.742928240739275</v>
      </c>
      <c r="K17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05">
        <f ca="1">qry_ProdData2_PDI_Cash_Exception_Application[[#This Row],[TODAY]]-qry_ProdData2_PDI_Cash_Exception_Application[[#This Row],[CHANGED ON]]</f>
        <v>11.742928240739275</v>
      </c>
      <c r="M1705">
        <f ca="1">qry_ProdData2_PDI_Cash_Exception_Application[[#This Row],[TODAY]]-qry_ProdData2_PDI_Cash_Exception_Application[[#This Row],[CHANGED ON]]</f>
        <v>11.742928240739275</v>
      </c>
      <c r="N1705">
        <f ca="1">qry_ProdData2_PDI_Cash_Exception_Application[[#This Row],[TODAY]]-qry_ProdData2_PDI_Cash_Exception_Application[[#This Row],[CHANGED ON]]</f>
        <v>11.742928240739275</v>
      </c>
    </row>
    <row r="1706" spans="1:14" x14ac:dyDescent="0.35">
      <c r="A1706">
        <v>1018</v>
      </c>
      <c r="B1706" t="s">
        <v>72</v>
      </c>
      <c r="C1706" s="1">
        <v>45187.257071759261</v>
      </c>
      <c r="D1706" t="str">
        <f ca="1">VLOOKUP(qry_ProdData2_PDI_Cash_Exception_Application[[#This Row],[TYPE]],#REF!,2,FALSE)</f>
        <v>type40</v>
      </c>
      <c r="E1706">
        <v>736.88</v>
      </c>
      <c r="F1706" t="s">
        <v>51</v>
      </c>
      <c r="G1706" s="1">
        <f>qry_ProdData2_PDI_Cash_Exception_Application[[#This Row],[INSERT DATE]]+2</f>
        <v>45189.257071759261</v>
      </c>
      <c r="H1706" t="str">
        <f>VLOOKUP(qry_ProdData2_PDI_Cash_Exception_Application[[#This Row],[MARKET No]],'Site Allocation'!$B$2:$C$37,2,FALSE)</f>
        <v>Analyst4</v>
      </c>
      <c r="I1706" s="4">
        <f t="shared" ca="1" si="26"/>
        <v>45203</v>
      </c>
      <c r="J1706" s="42">
        <f ca="1">TODAY()-qry_ProdData2_PDI_Cash_Exception_Application[[#This Row],[INSERT DATE]]</f>
        <v>15.742928240739275</v>
      </c>
      <c r="K17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06">
        <f ca="1">qry_ProdData2_PDI_Cash_Exception_Application[[#This Row],[TODAY]]-qry_ProdData2_PDI_Cash_Exception_Application[[#This Row],[CHANGED ON]]</f>
        <v>13.742928240739275</v>
      </c>
      <c r="M1706">
        <f ca="1">qry_ProdData2_PDI_Cash_Exception_Application[[#This Row],[TODAY]]-qry_ProdData2_PDI_Cash_Exception_Application[[#This Row],[CHANGED ON]]</f>
        <v>13.742928240739275</v>
      </c>
      <c r="N1706">
        <f ca="1">qry_ProdData2_PDI_Cash_Exception_Application[[#This Row],[TODAY]]-qry_ProdData2_PDI_Cash_Exception_Application[[#This Row],[CHANGED ON]]</f>
        <v>13.742928240739275</v>
      </c>
    </row>
    <row r="1707" spans="1:14" x14ac:dyDescent="0.35">
      <c r="A1707">
        <v>1023</v>
      </c>
      <c r="B1707" t="s">
        <v>77</v>
      </c>
      <c r="C1707" s="1">
        <v>45190.257071759261</v>
      </c>
      <c r="D1707" t="str">
        <f ca="1">VLOOKUP(qry_ProdData2_PDI_Cash_Exception_Application[[#This Row],[TYPE]],#REF!,2,FALSE)</f>
        <v>type38</v>
      </c>
      <c r="E1707">
        <v>183.74</v>
      </c>
      <c r="F1707" t="s">
        <v>52</v>
      </c>
      <c r="G1707" s="1">
        <f>qry_ProdData2_PDI_Cash_Exception_Application[[#This Row],[INSERT DATE]]+2</f>
        <v>45192.257071759261</v>
      </c>
      <c r="H1707" t="str">
        <f>VLOOKUP(qry_ProdData2_PDI_Cash_Exception_Application[[#This Row],[MARKET No]],'Site Allocation'!$B$2:$C$37,2,FALSE)</f>
        <v>Analyst4</v>
      </c>
      <c r="I1707" s="4">
        <f t="shared" ca="1" si="26"/>
        <v>45203</v>
      </c>
      <c r="J1707" s="42">
        <f ca="1">TODAY()-qry_ProdData2_PDI_Cash_Exception_Application[[#This Row],[INSERT DATE]]</f>
        <v>12.742928240739275</v>
      </c>
      <c r="K17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07">
        <f ca="1">qry_ProdData2_PDI_Cash_Exception_Application[[#This Row],[TODAY]]-qry_ProdData2_PDI_Cash_Exception_Application[[#This Row],[CHANGED ON]]</f>
        <v>10.742928240739275</v>
      </c>
      <c r="M1707">
        <f ca="1">qry_ProdData2_PDI_Cash_Exception_Application[[#This Row],[TODAY]]-qry_ProdData2_PDI_Cash_Exception_Application[[#This Row],[CHANGED ON]]</f>
        <v>10.742928240739275</v>
      </c>
      <c r="N1707">
        <f ca="1">qry_ProdData2_PDI_Cash_Exception_Application[[#This Row],[TODAY]]-qry_ProdData2_PDI_Cash_Exception_Application[[#This Row],[CHANGED ON]]</f>
        <v>10.742928240739275</v>
      </c>
    </row>
    <row r="1708" spans="1:14" x14ac:dyDescent="0.35">
      <c r="A1708">
        <v>1017</v>
      </c>
      <c r="B1708" t="s">
        <v>71</v>
      </c>
      <c r="C1708" s="1">
        <v>45191.257071759261</v>
      </c>
      <c r="D1708" t="str">
        <f ca="1">VLOOKUP(qry_ProdData2_PDI_Cash_Exception_Application[[#This Row],[TYPE]],#REF!,2,FALSE)</f>
        <v>type38</v>
      </c>
      <c r="E1708">
        <v>189.1</v>
      </c>
      <c r="F1708" t="s">
        <v>50</v>
      </c>
      <c r="G1708" s="1">
        <f>qry_ProdData2_PDI_Cash_Exception_Application[[#This Row],[INSERT DATE]]+2</f>
        <v>45193.257071759261</v>
      </c>
      <c r="H1708" t="str">
        <f>VLOOKUP(qry_ProdData2_PDI_Cash_Exception_Application[[#This Row],[MARKET No]],'Site Allocation'!$B$2:$C$37,2,FALSE)</f>
        <v>Analyst3</v>
      </c>
      <c r="I1708" s="4">
        <f t="shared" ca="1" si="26"/>
        <v>45203</v>
      </c>
      <c r="J1708" s="42">
        <f ca="1">TODAY()-qry_ProdData2_PDI_Cash_Exception_Application[[#This Row],[INSERT DATE]]</f>
        <v>11.742928240739275</v>
      </c>
      <c r="K17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08">
        <f ca="1">qry_ProdData2_PDI_Cash_Exception_Application[[#This Row],[TODAY]]-qry_ProdData2_PDI_Cash_Exception_Application[[#This Row],[CHANGED ON]]</f>
        <v>9.7429282407392748</v>
      </c>
      <c r="M1708">
        <f ca="1">qry_ProdData2_PDI_Cash_Exception_Application[[#This Row],[TODAY]]-qry_ProdData2_PDI_Cash_Exception_Application[[#This Row],[CHANGED ON]]</f>
        <v>9.7429282407392748</v>
      </c>
      <c r="N1708">
        <f ca="1">qry_ProdData2_PDI_Cash_Exception_Application[[#This Row],[TODAY]]-qry_ProdData2_PDI_Cash_Exception_Application[[#This Row],[CHANGED ON]]</f>
        <v>9.7429282407392748</v>
      </c>
    </row>
    <row r="1709" spans="1:14" x14ac:dyDescent="0.35">
      <c r="A1709">
        <v>1019</v>
      </c>
      <c r="B1709" t="s">
        <v>73</v>
      </c>
      <c r="C1709" s="1">
        <v>45189.257071759261</v>
      </c>
      <c r="D1709" t="str">
        <f ca="1">VLOOKUP(qry_ProdData2_PDI_Cash_Exception_Application[[#This Row],[TYPE]],#REF!,2,FALSE)</f>
        <v>type40</v>
      </c>
      <c r="E1709">
        <v>2764</v>
      </c>
      <c r="F1709" t="s">
        <v>48</v>
      </c>
      <c r="G1709" s="1">
        <f>qry_ProdData2_PDI_Cash_Exception_Application[[#This Row],[INSERT DATE]]+1</f>
        <v>45190.257071759261</v>
      </c>
      <c r="H1709" t="str">
        <f>VLOOKUP(qry_ProdData2_PDI_Cash_Exception_Application[[#This Row],[MARKET No]],'Site Allocation'!$B$2:$C$37,2,FALSE)</f>
        <v>Analyst4</v>
      </c>
      <c r="I1709" s="4">
        <f t="shared" ca="1" si="26"/>
        <v>45203</v>
      </c>
      <c r="J1709" s="42">
        <f ca="1">TODAY()-qry_ProdData2_PDI_Cash_Exception_Application[[#This Row],[INSERT DATE]]</f>
        <v>13.742928240739275</v>
      </c>
      <c r="K17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09">
        <f ca="1">qry_ProdData2_PDI_Cash_Exception_Application[[#This Row],[TODAY]]-qry_ProdData2_PDI_Cash_Exception_Application[[#This Row],[CHANGED ON]]</f>
        <v>12.742928240739275</v>
      </c>
      <c r="M1709">
        <f ca="1">qry_ProdData2_PDI_Cash_Exception_Application[[#This Row],[TODAY]]-qry_ProdData2_PDI_Cash_Exception_Application[[#This Row],[CHANGED ON]]</f>
        <v>12.742928240739275</v>
      </c>
      <c r="N1709">
        <f ca="1">qry_ProdData2_PDI_Cash_Exception_Application[[#This Row],[TODAY]]-qry_ProdData2_PDI_Cash_Exception_Application[[#This Row],[CHANGED ON]]</f>
        <v>12.742928240739275</v>
      </c>
    </row>
    <row r="1710" spans="1:14" x14ac:dyDescent="0.35">
      <c r="A1710">
        <v>1004</v>
      </c>
      <c r="B1710" t="s">
        <v>58</v>
      </c>
      <c r="C1710" s="1">
        <v>45190.257071759261</v>
      </c>
      <c r="D1710" t="str">
        <f ca="1">VLOOKUP(qry_ProdData2_PDI_Cash_Exception_Application[[#This Row],[TYPE]],#REF!,2,FALSE)</f>
        <v>type13</v>
      </c>
      <c r="E1710">
        <v>40530.92</v>
      </c>
      <c r="F1710" t="s">
        <v>48</v>
      </c>
      <c r="G1710" s="1">
        <f>qry_ProdData2_PDI_Cash_Exception_Application[[#This Row],[INSERT DATE]]+2</f>
        <v>45192.257071759261</v>
      </c>
      <c r="H1710" t="str">
        <f>VLOOKUP(qry_ProdData2_PDI_Cash_Exception_Application[[#This Row],[MARKET No]],'Site Allocation'!$B$2:$C$37,2,FALSE)</f>
        <v>Analyst1</v>
      </c>
      <c r="I1710" s="4">
        <f t="shared" ca="1" si="26"/>
        <v>45203</v>
      </c>
      <c r="J1710" s="42">
        <f ca="1">TODAY()-qry_ProdData2_PDI_Cash_Exception_Application[[#This Row],[INSERT DATE]]</f>
        <v>12.742928240739275</v>
      </c>
      <c r="K17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10">
        <f ca="1">qry_ProdData2_PDI_Cash_Exception_Application[[#This Row],[TODAY]]-qry_ProdData2_PDI_Cash_Exception_Application[[#This Row],[CHANGED ON]]</f>
        <v>10.742928240739275</v>
      </c>
      <c r="M1710">
        <f ca="1">qry_ProdData2_PDI_Cash_Exception_Application[[#This Row],[TODAY]]-qry_ProdData2_PDI_Cash_Exception_Application[[#This Row],[CHANGED ON]]</f>
        <v>10.742928240739275</v>
      </c>
      <c r="N1710">
        <f ca="1">qry_ProdData2_PDI_Cash_Exception_Application[[#This Row],[TODAY]]-qry_ProdData2_PDI_Cash_Exception_Application[[#This Row],[CHANGED ON]]</f>
        <v>10.742928240739275</v>
      </c>
    </row>
    <row r="1711" spans="1:14" x14ac:dyDescent="0.35">
      <c r="A1711">
        <v>1009</v>
      </c>
      <c r="B1711" t="s">
        <v>63</v>
      </c>
      <c r="C1711" s="1">
        <v>45194.257071759261</v>
      </c>
      <c r="D1711" t="str">
        <f ca="1">VLOOKUP(qry_ProdData2_PDI_Cash_Exception_Application[[#This Row],[TYPE]],#REF!,2,FALSE)</f>
        <v>type38</v>
      </c>
      <c r="E1711">
        <v>171.5</v>
      </c>
      <c r="F1711" t="s">
        <v>52</v>
      </c>
      <c r="G1711" s="1">
        <f>qry_ProdData2_PDI_Cash_Exception_Application[[#This Row],[INSERT DATE]]+2</f>
        <v>45196.257071759261</v>
      </c>
      <c r="H1711" t="str">
        <f>VLOOKUP(qry_ProdData2_PDI_Cash_Exception_Application[[#This Row],[MARKET No]],'Site Allocation'!$B$2:$C$37,2,FALSE)</f>
        <v>Analyst2</v>
      </c>
      <c r="I1711" s="4">
        <f t="shared" ca="1" si="26"/>
        <v>45203</v>
      </c>
      <c r="J1711" s="42">
        <f ca="1">TODAY()-qry_ProdData2_PDI_Cash_Exception_Application[[#This Row],[INSERT DATE]]</f>
        <v>8.7429282407392748</v>
      </c>
      <c r="K17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711">
        <f ca="1">qry_ProdData2_PDI_Cash_Exception_Application[[#This Row],[TODAY]]-qry_ProdData2_PDI_Cash_Exception_Application[[#This Row],[CHANGED ON]]</f>
        <v>6.7429282407392748</v>
      </c>
      <c r="M1711">
        <f ca="1">qry_ProdData2_PDI_Cash_Exception_Application[[#This Row],[TODAY]]-qry_ProdData2_PDI_Cash_Exception_Application[[#This Row],[CHANGED ON]]</f>
        <v>6.7429282407392748</v>
      </c>
      <c r="N1711">
        <f ca="1">qry_ProdData2_PDI_Cash_Exception_Application[[#This Row],[TODAY]]-qry_ProdData2_PDI_Cash_Exception_Application[[#This Row],[CHANGED ON]]</f>
        <v>6.7429282407392748</v>
      </c>
    </row>
    <row r="1712" spans="1:14" x14ac:dyDescent="0.35">
      <c r="A1712">
        <v>1022</v>
      </c>
      <c r="B1712" t="s">
        <v>76</v>
      </c>
      <c r="C1712" s="1">
        <v>45188.257071759261</v>
      </c>
      <c r="D1712" t="str">
        <f ca="1">VLOOKUP(qry_ProdData2_PDI_Cash_Exception_Application[[#This Row],[TYPE]],#REF!,2,FALSE)</f>
        <v>type13</v>
      </c>
      <c r="E1712">
        <v>27822.5</v>
      </c>
      <c r="F1712" t="s">
        <v>48</v>
      </c>
      <c r="G1712" s="1">
        <f>qry_ProdData2_PDI_Cash_Exception_Application[[#This Row],[INSERT DATE]]+2</f>
        <v>45190.257071759261</v>
      </c>
      <c r="H1712" t="str">
        <f>VLOOKUP(qry_ProdData2_PDI_Cash_Exception_Application[[#This Row],[MARKET No]],'Site Allocation'!$B$2:$C$37,2,FALSE)</f>
        <v>Analyst4</v>
      </c>
      <c r="I1712" s="4">
        <f t="shared" ca="1" si="26"/>
        <v>45203</v>
      </c>
      <c r="J1712" s="42">
        <f ca="1">TODAY()-qry_ProdData2_PDI_Cash_Exception_Application[[#This Row],[INSERT DATE]]</f>
        <v>14.742928240739275</v>
      </c>
      <c r="K17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12">
        <f ca="1">qry_ProdData2_PDI_Cash_Exception_Application[[#This Row],[TODAY]]-qry_ProdData2_PDI_Cash_Exception_Application[[#This Row],[CHANGED ON]]</f>
        <v>12.742928240739275</v>
      </c>
      <c r="M1712">
        <f ca="1">qry_ProdData2_PDI_Cash_Exception_Application[[#This Row],[TODAY]]-qry_ProdData2_PDI_Cash_Exception_Application[[#This Row],[CHANGED ON]]</f>
        <v>12.742928240739275</v>
      </c>
      <c r="N1712">
        <f ca="1">qry_ProdData2_PDI_Cash_Exception_Application[[#This Row],[TODAY]]-qry_ProdData2_PDI_Cash_Exception_Application[[#This Row],[CHANGED ON]]</f>
        <v>12.742928240739275</v>
      </c>
    </row>
    <row r="1713" spans="1:14" x14ac:dyDescent="0.35">
      <c r="A1713">
        <v>1009</v>
      </c>
      <c r="B1713" t="s">
        <v>63</v>
      </c>
      <c r="C1713" s="1">
        <v>45189.257071759261</v>
      </c>
      <c r="D1713" t="str">
        <f ca="1">VLOOKUP(qry_ProdData2_PDI_Cash_Exception_Application[[#This Row],[TYPE]],#REF!,2,FALSE)</f>
        <v>type48</v>
      </c>
      <c r="E1713">
        <v>-507.26</v>
      </c>
      <c r="F1713" t="s">
        <v>51</v>
      </c>
      <c r="G1713" s="1">
        <f>qry_ProdData2_PDI_Cash_Exception_Application[[#This Row],[INSERT DATE]]+2</f>
        <v>45191.257071759261</v>
      </c>
      <c r="H1713" t="str">
        <f>VLOOKUP(qry_ProdData2_PDI_Cash_Exception_Application[[#This Row],[MARKET No]],'Site Allocation'!$B$2:$C$37,2,FALSE)</f>
        <v>Analyst2</v>
      </c>
      <c r="I1713" s="4">
        <f t="shared" ca="1" si="26"/>
        <v>45203</v>
      </c>
      <c r="J1713" s="42">
        <f ca="1">TODAY()-qry_ProdData2_PDI_Cash_Exception_Application[[#This Row],[INSERT DATE]]</f>
        <v>13.742928240739275</v>
      </c>
      <c r="K17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13">
        <f ca="1">qry_ProdData2_PDI_Cash_Exception_Application[[#This Row],[TODAY]]-qry_ProdData2_PDI_Cash_Exception_Application[[#This Row],[CHANGED ON]]</f>
        <v>11.742928240739275</v>
      </c>
      <c r="M1713">
        <f ca="1">qry_ProdData2_PDI_Cash_Exception_Application[[#This Row],[TODAY]]-qry_ProdData2_PDI_Cash_Exception_Application[[#This Row],[CHANGED ON]]</f>
        <v>11.742928240739275</v>
      </c>
      <c r="N1713">
        <f ca="1">qry_ProdData2_PDI_Cash_Exception_Application[[#This Row],[TODAY]]-qry_ProdData2_PDI_Cash_Exception_Application[[#This Row],[CHANGED ON]]</f>
        <v>11.742928240739275</v>
      </c>
    </row>
    <row r="1714" spans="1:14" x14ac:dyDescent="0.35">
      <c r="A1714">
        <v>1022</v>
      </c>
      <c r="B1714" t="s">
        <v>76</v>
      </c>
      <c r="C1714" s="1">
        <v>45184.257071759261</v>
      </c>
      <c r="D1714" t="str">
        <f ca="1">VLOOKUP(qry_ProdData2_PDI_Cash_Exception_Application[[#This Row],[TYPE]],#REF!,2,FALSE)</f>
        <v>type13</v>
      </c>
      <c r="E1714">
        <v>25650.47</v>
      </c>
      <c r="F1714" t="s">
        <v>49</v>
      </c>
      <c r="G1714" s="1">
        <f>qry_ProdData2_PDI_Cash_Exception_Application[[#This Row],[INSERT DATE]]+1</f>
        <v>45185.257071759261</v>
      </c>
      <c r="H1714" t="str">
        <f>VLOOKUP(qry_ProdData2_PDI_Cash_Exception_Application[[#This Row],[MARKET No]],'Site Allocation'!$B$2:$C$37,2,FALSE)</f>
        <v>Analyst4</v>
      </c>
      <c r="I1714" s="4">
        <f t="shared" ca="1" si="26"/>
        <v>45203</v>
      </c>
      <c r="J1714" s="42">
        <f ca="1">TODAY()-qry_ProdData2_PDI_Cash_Exception_Application[[#This Row],[INSERT DATE]]</f>
        <v>18.742928240739275</v>
      </c>
      <c r="K17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14">
        <f ca="1">qry_ProdData2_PDI_Cash_Exception_Application[[#This Row],[TODAY]]-qry_ProdData2_PDI_Cash_Exception_Application[[#This Row],[CHANGED ON]]</f>
        <v>17.742928240739275</v>
      </c>
      <c r="M1714">
        <f ca="1">qry_ProdData2_PDI_Cash_Exception_Application[[#This Row],[TODAY]]-qry_ProdData2_PDI_Cash_Exception_Application[[#This Row],[CHANGED ON]]</f>
        <v>17.742928240739275</v>
      </c>
      <c r="N1714">
        <f ca="1">qry_ProdData2_PDI_Cash_Exception_Application[[#This Row],[TODAY]]-qry_ProdData2_PDI_Cash_Exception_Application[[#This Row],[CHANGED ON]]</f>
        <v>17.742928240739275</v>
      </c>
    </row>
    <row r="1715" spans="1:14" x14ac:dyDescent="0.35">
      <c r="A1715">
        <v>1014</v>
      </c>
      <c r="B1715" t="s">
        <v>68</v>
      </c>
      <c r="C1715" s="1">
        <v>45191.257071759261</v>
      </c>
      <c r="D1715" t="str">
        <f ca="1">VLOOKUP(qry_ProdData2_PDI_Cash_Exception_Application[[#This Row],[TYPE]],#REF!,2,FALSE)</f>
        <v>type11</v>
      </c>
      <c r="E1715">
        <v>100</v>
      </c>
      <c r="F1715" t="s">
        <v>47</v>
      </c>
      <c r="G1715" s="1">
        <f>qry_ProdData2_PDI_Cash_Exception_Application[[#This Row],[INSERT DATE]]+7</f>
        <v>45198.257071759261</v>
      </c>
      <c r="H1715" t="str">
        <f>VLOOKUP(qry_ProdData2_PDI_Cash_Exception_Application[[#This Row],[MARKET No]],'Site Allocation'!$B$2:$C$37,2,FALSE)</f>
        <v>Analyst3</v>
      </c>
      <c r="I1715" s="4">
        <f t="shared" ca="1" si="26"/>
        <v>45203</v>
      </c>
      <c r="J1715" s="42">
        <f ca="1">TODAY()-qry_ProdData2_PDI_Cash_Exception_Application[[#This Row],[INSERT DATE]]</f>
        <v>11.742928240739275</v>
      </c>
      <c r="K17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15">
        <f ca="1">qry_ProdData2_PDI_Cash_Exception_Application[[#This Row],[TODAY]]-qry_ProdData2_PDI_Cash_Exception_Application[[#This Row],[CHANGED ON]]</f>
        <v>4.7429282407392748</v>
      </c>
      <c r="M1715">
        <f ca="1">qry_ProdData2_PDI_Cash_Exception_Application[[#This Row],[TODAY]]-qry_ProdData2_PDI_Cash_Exception_Application[[#This Row],[CHANGED ON]]</f>
        <v>4.7429282407392748</v>
      </c>
      <c r="N1715">
        <f ca="1">qry_ProdData2_PDI_Cash_Exception_Application[[#This Row],[TODAY]]-qry_ProdData2_PDI_Cash_Exception_Application[[#This Row],[CHANGED ON]]</f>
        <v>4.7429282407392748</v>
      </c>
    </row>
    <row r="1716" spans="1:14" x14ac:dyDescent="0.35">
      <c r="A1716">
        <v>1004</v>
      </c>
      <c r="B1716" t="s">
        <v>58</v>
      </c>
      <c r="C1716" s="1">
        <v>45192.257071759261</v>
      </c>
      <c r="D1716" t="str">
        <f ca="1">VLOOKUP(qry_ProdData2_PDI_Cash_Exception_Application[[#This Row],[TYPE]],#REF!,2,FALSE)</f>
        <v>type48</v>
      </c>
      <c r="E1716">
        <v>-537.26</v>
      </c>
      <c r="F1716" t="s">
        <v>51</v>
      </c>
      <c r="G1716" s="1">
        <f>qry_ProdData2_PDI_Cash_Exception_Application[[#This Row],[INSERT DATE]]+5</f>
        <v>45197.257071759261</v>
      </c>
      <c r="H1716" t="str">
        <f>VLOOKUP(qry_ProdData2_PDI_Cash_Exception_Application[[#This Row],[MARKET No]],'Site Allocation'!$B$2:$C$37,2,FALSE)</f>
        <v>Analyst1</v>
      </c>
      <c r="I1716" s="4">
        <f t="shared" ca="1" si="26"/>
        <v>45203</v>
      </c>
      <c r="J1716" s="42">
        <f ca="1">TODAY()-qry_ProdData2_PDI_Cash_Exception_Application[[#This Row],[INSERT DATE]]</f>
        <v>10.742928240739275</v>
      </c>
      <c r="K17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16">
        <f ca="1">qry_ProdData2_PDI_Cash_Exception_Application[[#This Row],[TODAY]]-qry_ProdData2_PDI_Cash_Exception_Application[[#This Row],[CHANGED ON]]</f>
        <v>5.7429282407392748</v>
      </c>
      <c r="M1716">
        <f ca="1">qry_ProdData2_PDI_Cash_Exception_Application[[#This Row],[TODAY]]-qry_ProdData2_PDI_Cash_Exception_Application[[#This Row],[CHANGED ON]]</f>
        <v>5.7429282407392748</v>
      </c>
      <c r="N1716">
        <f ca="1">qry_ProdData2_PDI_Cash_Exception_Application[[#This Row],[TODAY]]-qry_ProdData2_PDI_Cash_Exception_Application[[#This Row],[CHANGED ON]]</f>
        <v>5.7429282407392748</v>
      </c>
    </row>
    <row r="1717" spans="1:14" x14ac:dyDescent="0.35">
      <c r="A1717">
        <v>1035</v>
      </c>
      <c r="B1717" t="s">
        <v>89</v>
      </c>
      <c r="C1717" s="1">
        <v>45190.257071759261</v>
      </c>
      <c r="D1717" t="str">
        <f ca="1">VLOOKUP(qry_ProdData2_PDI_Cash_Exception_Application[[#This Row],[TYPE]],#REF!,2,FALSE)</f>
        <v>type13</v>
      </c>
      <c r="E1717">
        <v>45944.42</v>
      </c>
      <c r="F1717" t="s">
        <v>51</v>
      </c>
      <c r="G1717" s="1">
        <f>qry_ProdData2_PDI_Cash_Exception_Application[[#This Row],[INSERT DATE]]+7</f>
        <v>45197.257071759261</v>
      </c>
      <c r="H1717" t="str">
        <f>VLOOKUP(qry_ProdData2_PDI_Cash_Exception_Application[[#This Row],[MARKET No]],'Site Allocation'!$B$2:$C$37,2,FALSE)</f>
        <v>Analyst6</v>
      </c>
      <c r="I1717" s="4">
        <f t="shared" ca="1" si="26"/>
        <v>45203</v>
      </c>
      <c r="J1717" s="42">
        <f ca="1">TODAY()-qry_ProdData2_PDI_Cash_Exception_Application[[#This Row],[INSERT DATE]]</f>
        <v>12.742928240739275</v>
      </c>
      <c r="K17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17">
        <f ca="1">qry_ProdData2_PDI_Cash_Exception_Application[[#This Row],[TODAY]]-qry_ProdData2_PDI_Cash_Exception_Application[[#This Row],[CHANGED ON]]</f>
        <v>5.7429282407392748</v>
      </c>
      <c r="M1717">
        <f ca="1">qry_ProdData2_PDI_Cash_Exception_Application[[#This Row],[TODAY]]-qry_ProdData2_PDI_Cash_Exception_Application[[#This Row],[CHANGED ON]]</f>
        <v>5.7429282407392748</v>
      </c>
      <c r="N1717">
        <f ca="1">qry_ProdData2_PDI_Cash_Exception_Application[[#This Row],[TODAY]]-qry_ProdData2_PDI_Cash_Exception_Application[[#This Row],[CHANGED ON]]</f>
        <v>5.7429282407392748</v>
      </c>
    </row>
    <row r="1718" spans="1:14" x14ac:dyDescent="0.35">
      <c r="A1718">
        <v>1011</v>
      </c>
      <c r="B1718" t="s">
        <v>65</v>
      </c>
      <c r="C1718" s="1">
        <v>45182.257071759261</v>
      </c>
      <c r="D1718" t="str">
        <f ca="1">VLOOKUP(qry_ProdData2_PDI_Cash_Exception_Application[[#This Row],[TYPE]],#REF!,2,FALSE)</f>
        <v>type13</v>
      </c>
      <c r="E1718">
        <v>29878.16</v>
      </c>
      <c r="F1718" t="s">
        <v>52</v>
      </c>
      <c r="G1718" s="1">
        <f>qry_ProdData2_PDI_Cash_Exception_Application[[#This Row],[INSERT DATE]]+5</f>
        <v>45187.257071759261</v>
      </c>
      <c r="H1718" t="str">
        <f>VLOOKUP(qry_ProdData2_PDI_Cash_Exception_Application[[#This Row],[MARKET No]],'Site Allocation'!$B$2:$C$37,2,FALSE)</f>
        <v>Analyst2</v>
      </c>
      <c r="I1718" s="4">
        <f t="shared" ca="1" si="26"/>
        <v>45203</v>
      </c>
      <c r="J1718" s="42">
        <f ca="1">TODAY()-qry_ProdData2_PDI_Cash_Exception_Application[[#This Row],[INSERT DATE]]</f>
        <v>20.742928240739275</v>
      </c>
      <c r="K17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18">
        <f ca="1">qry_ProdData2_PDI_Cash_Exception_Application[[#This Row],[TODAY]]-qry_ProdData2_PDI_Cash_Exception_Application[[#This Row],[CHANGED ON]]</f>
        <v>15.742928240739275</v>
      </c>
      <c r="M1718">
        <f ca="1">qry_ProdData2_PDI_Cash_Exception_Application[[#This Row],[TODAY]]-qry_ProdData2_PDI_Cash_Exception_Application[[#This Row],[CHANGED ON]]</f>
        <v>15.742928240739275</v>
      </c>
      <c r="N1718">
        <f ca="1">qry_ProdData2_PDI_Cash_Exception_Application[[#This Row],[TODAY]]-qry_ProdData2_PDI_Cash_Exception_Application[[#This Row],[CHANGED ON]]</f>
        <v>15.742928240739275</v>
      </c>
    </row>
    <row r="1719" spans="1:14" x14ac:dyDescent="0.35">
      <c r="A1719">
        <v>1020</v>
      </c>
      <c r="B1719" t="s">
        <v>74</v>
      </c>
      <c r="C1719" s="1">
        <v>45182.257071759261</v>
      </c>
      <c r="D1719" t="str">
        <f ca="1">VLOOKUP(qry_ProdData2_PDI_Cash_Exception_Application[[#This Row],[TYPE]],#REF!,2,FALSE)</f>
        <v>type13</v>
      </c>
      <c r="E1719">
        <v>51106.87</v>
      </c>
      <c r="F1719" t="s">
        <v>52</v>
      </c>
      <c r="G1719" s="1">
        <f>qry_ProdData2_PDI_Cash_Exception_Application[[#This Row],[INSERT DATE]]+5</f>
        <v>45187.257071759261</v>
      </c>
      <c r="H1719" t="str">
        <f>VLOOKUP(qry_ProdData2_PDI_Cash_Exception_Application[[#This Row],[MARKET No]],'Site Allocation'!$B$2:$C$37,2,FALSE)</f>
        <v>Analyst4</v>
      </c>
      <c r="I1719" s="4">
        <f t="shared" ca="1" si="26"/>
        <v>45203</v>
      </c>
      <c r="J1719" s="42">
        <f ca="1">TODAY()-qry_ProdData2_PDI_Cash_Exception_Application[[#This Row],[INSERT DATE]]</f>
        <v>20.742928240739275</v>
      </c>
      <c r="K17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19">
        <f ca="1">qry_ProdData2_PDI_Cash_Exception_Application[[#This Row],[TODAY]]-qry_ProdData2_PDI_Cash_Exception_Application[[#This Row],[CHANGED ON]]</f>
        <v>15.742928240739275</v>
      </c>
      <c r="M1719">
        <f ca="1">qry_ProdData2_PDI_Cash_Exception_Application[[#This Row],[TODAY]]-qry_ProdData2_PDI_Cash_Exception_Application[[#This Row],[CHANGED ON]]</f>
        <v>15.742928240739275</v>
      </c>
      <c r="N1719">
        <f ca="1">qry_ProdData2_PDI_Cash_Exception_Application[[#This Row],[TODAY]]-qry_ProdData2_PDI_Cash_Exception_Application[[#This Row],[CHANGED ON]]</f>
        <v>15.742928240739275</v>
      </c>
    </row>
    <row r="1720" spans="1:14" x14ac:dyDescent="0.35">
      <c r="A1720">
        <v>1029</v>
      </c>
      <c r="B1720" t="s">
        <v>83</v>
      </c>
      <c r="C1720" s="1">
        <v>45183.257071759261</v>
      </c>
      <c r="D1720" t="str">
        <f ca="1">VLOOKUP(qry_ProdData2_PDI_Cash_Exception_Application[[#This Row],[TYPE]],#REF!,2,FALSE)</f>
        <v>type40</v>
      </c>
      <c r="E1720">
        <v>617.46</v>
      </c>
      <c r="F1720" t="s">
        <v>52</v>
      </c>
      <c r="G1720" s="1">
        <f>qry_ProdData2_PDI_Cash_Exception_Application[[#This Row],[INSERT DATE]]+5</f>
        <v>45188.257071759261</v>
      </c>
      <c r="H1720" t="str">
        <f>VLOOKUP(qry_ProdData2_PDI_Cash_Exception_Application[[#This Row],[MARKET No]],'Site Allocation'!$B$2:$C$37,2,FALSE)</f>
        <v>Analyst5</v>
      </c>
      <c r="I1720" s="4">
        <f t="shared" ca="1" si="26"/>
        <v>45203</v>
      </c>
      <c r="J1720" s="42">
        <f ca="1">TODAY()-qry_ProdData2_PDI_Cash_Exception_Application[[#This Row],[INSERT DATE]]</f>
        <v>19.742928240739275</v>
      </c>
      <c r="K17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20">
        <f ca="1">qry_ProdData2_PDI_Cash_Exception_Application[[#This Row],[TODAY]]-qry_ProdData2_PDI_Cash_Exception_Application[[#This Row],[CHANGED ON]]</f>
        <v>14.742928240739275</v>
      </c>
      <c r="M1720">
        <f ca="1">qry_ProdData2_PDI_Cash_Exception_Application[[#This Row],[TODAY]]-qry_ProdData2_PDI_Cash_Exception_Application[[#This Row],[CHANGED ON]]</f>
        <v>14.742928240739275</v>
      </c>
      <c r="N1720">
        <f ca="1">qry_ProdData2_PDI_Cash_Exception_Application[[#This Row],[TODAY]]-qry_ProdData2_PDI_Cash_Exception_Application[[#This Row],[CHANGED ON]]</f>
        <v>14.742928240739275</v>
      </c>
    </row>
    <row r="1721" spans="1:14" x14ac:dyDescent="0.35">
      <c r="A1721">
        <v>1015</v>
      </c>
      <c r="B1721" t="s">
        <v>69</v>
      </c>
      <c r="C1721" s="1">
        <v>45191.257071759261</v>
      </c>
      <c r="D1721" t="str">
        <f ca="1">VLOOKUP(qry_ProdData2_PDI_Cash_Exception_Application[[#This Row],[TYPE]],#REF!,2,FALSE)</f>
        <v>type2</v>
      </c>
      <c r="E1721">
        <v>1247</v>
      </c>
      <c r="F1721" t="s">
        <v>48</v>
      </c>
      <c r="G1721" s="1">
        <f>qry_ProdData2_PDI_Cash_Exception_Application[[#This Row],[INSERT DATE]]+2</f>
        <v>45193.257071759261</v>
      </c>
      <c r="H1721" t="str">
        <f>VLOOKUP(qry_ProdData2_PDI_Cash_Exception_Application[[#This Row],[MARKET No]],'Site Allocation'!$B$2:$C$37,2,FALSE)</f>
        <v>Analyst3</v>
      </c>
      <c r="I1721" s="4">
        <f t="shared" ca="1" si="26"/>
        <v>45203</v>
      </c>
      <c r="J1721" s="42">
        <f ca="1">TODAY()-qry_ProdData2_PDI_Cash_Exception_Application[[#This Row],[INSERT DATE]]</f>
        <v>11.742928240739275</v>
      </c>
      <c r="K17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21">
        <f ca="1">qry_ProdData2_PDI_Cash_Exception_Application[[#This Row],[TODAY]]-qry_ProdData2_PDI_Cash_Exception_Application[[#This Row],[CHANGED ON]]</f>
        <v>9.7429282407392748</v>
      </c>
      <c r="M1721">
        <f ca="1">qry_ProdData2_PDI_Cash_Exception_Application[[#This Row],[TODAY]]-qry_ProdData2_PDI_Cash_Exception_Application[[#This Row],[CHANGED ON]]</f>
        <v>9.7429282407392748</v>
      </c>
      <c r="N1721">
        <f ca="1">qry_ProdData2_PDI_Cash_Exception_Application[[#This Row],[TODAY]]-qry_ProdData2_PDI_Cash_Exception_Application[[#This Row],[CHANGED ON]]</f>
        <v>9.7429282407392748</v>
      </c>
    </row>
    <row r="1722" spans="1:14" x14ac:dyDescent="0.35">
      <c r="A1722">
        <v>1009</v>
      </c>
      <c r="B1722" t="s">
        <v>63</v>
      </c>
      <c r="C1722" s="1">
        <v>45184.257071759261</v>
      </c>
      <c r="D1722" t="str">
        <f ca="1">VLOOKUP(qry_ProdData2_PDI_Cash_Exception_Application[[#This Row],[TYPE]],#REF!,2,FALSE)</f>
        <v>type40</v>
      </c>
      <c r="E1722">
        <v>28.34</v>
      </c>
      <c r="F1722" t="s">
        <v>50</v>
      </c>
      <c r="G1722" s="1">
        <f>qry_ProdData2_PDI_Cash_Exception_Application[[#This Row],[INSERT DATE]]+5</f>
        <v>45189.257071759261</v>
      </c>
      <c r="H1722" t="str">
        <f>VLOOKUP(qry_ProdData2_PDI_Cash_Exception_Application[[#This Row],[MARKET No]],'Site Allocation'!$B$2:$C$37,2,FALSE)</f>
        <v>Analyst2</v>
      </c>
      <c r="I1722" s="4">
        <f t="shared" ca="1" si="26"/>
        <v>45203</v>
      </c>
      <c r="J1722" s="42">
        <f ca="1">TODAY()-qry_ProdData2_PDI_Cash_Exception_Application[[#This Row],[INSERT DATE]]</f>
        <v>18.742928240739275</v>
      </c>
      <c r="K17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22">
        <f ca="1">qry_ProdData2_PDI_Cash_Exception_Application[[#This Row],[TODAY]]-qry_ProdData2_PDI_Cash_Exception_Application[[#This Row],[CHANGED ON]]</f>
        <v>13.742928240739275</v>
      </c>
      <c r="M1722">
        <f ca="1">qry_ProdData2_PDI_Cash_Exception_Application[[#This Row],[TODAY]]-qry_ProdData2_PDI_Cash_Exception_Application[[#This Row],[CHANGED ON]]</f>
        <v>13.742928240739275</v>
      </c>
      <c r="N1722">
        <f ca="1">qry_ProdData2_PDI_Cash_Exception_Application[[#This Row],[TODAY]]-qry_ProdData2_PDI_Cash_Exception_Application[[#This Row],[CHANGED ON]]</f>
        <v>13.742928240739275</v>
      </c>
    </row>
    <row r="1723" spans="1:14" x14ac:dyDescent="0.35">
      <c r="A1723">
        <v>1020</v>
      </c>
      <c r="B1723" t="s">
        <v>74</v>
      </c>
      <c r="C1723" s="1">
        <v>45185.257071759261</v>
      </c>
      <c r="D1723" t="str">
        <f ca="1">VLOOKUP(qry_ProdData2_PDI_Cash_Exception_Application[[#This Row],[TYPE]],#REF!,2,FALSE)</f>
        <v>type40</v>
      </c>
      <c r="E1723">
        <v>-5179.97</v>
      </c>
      <c r="F1723" t="s">
        <v>48</v>
      </c>
      <c r="G1723" s="1">
        <f>qry_ProdData2_PDI_Cash_Exception_Application[[#This Row],[INSERT DATE]]+2</f>
        <v>45187.257071759261</v>
      </c>
      <c r="H1723" t="str">
        <f>VLOOKUP(qry_ProdData2_PDI_Cash_Exception_Application[[#This Row],[MARKET No]],'Site Allocation'!$B$2:$C$37,2,FALSE)</f>
        <v>Analyst4</v>
      </c>
      <c r="I1723" s="4">
        <f t="shared" ca="1" si="26"/>
        <v>45203</v>
      </c>
      <c r="J1723" s="42">
        <f ca="1">TODAY()-qry_ProdData2_PDI_Cash_Exception_Application[[#This Row],[INSERT DATE]]</f>
        <v>17.742928240739275</v>
      </c>
      <c r="K17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23">
        <f ca="1">qry_ProdData2_PDI_Cash_Exception_Application[[#This Row],[TODAY]]-qry_ProdData2_PDI_Cash_Exception_Application[[#This Row],[CHANGED ON]]</f>
        <v>15.742928240739275</v>
      </c>
      <c r="M1723">
        <f ca="1">qry_ProdData2_PDI_Cash_Exception_Application[[#This Row],[TODAY]]-qry_ProdData2_PDI_Cash_Exception_Application[[#This Row],[CHANGED ON]]</f>
        <v>15.742928240739275</v>
      </c>
      <c r="N1723">
        <f ca="1">qry_ProdData2_PDI_Cash_Exception_Application[[#This Row],[TODAY]]-qry_ProdData2_PDI_Cash_Exception_Application[[#This Row],[CHANGED ON]]</f>
        <v>15.742928240739275</v>
      </c>
    </row>
    <row r="1724" spans="1:14" x14ac:dyDescent="0.35">
      <c r="A1724">
        <v>1024</v>
      </c>
      <c r="B1724" t="s">
        <v>78</v>
      </c>
      <c r="C1724" s="1">
        <v>45186.257071759261</v>
      </c>
      <c r="D1724" t="str">
        <f ca="1">VLOOKUP(qry_ProdData2_PDI_Cash_Exception_Application[[#This Row],[TYPE]],#REF!,2,FALSE)</f>
        <v>type40</v>
      </c>
      <c r="E1724">
        <v>3746.85</v>
      </c>
      <c r="F1724" t="s">
        <v>47</v>
      </c>
      <c r="G1724" s="1">
        <f>qry_ProdData2_PDI_Cash_Exception_Application[[#This Row],[INSERT DATE]]+7</f>
        <v>45193.257071759261</v>
      </c>
      <c r="H1724" t="str">
        <f>VLOOKUP(qry_ProdData2_PDI_Cash_Exception_Application[[#This Row],[MARKET No]],'Site Allocation'!$B$2:$C$37,2,FALSE)</f>
        <v>Analyst5</v>
      </c>
      <c r="I1724" s="4">
        <f t="shared" ca="1" si="26"/>
        <v>45203</v>
      </c>
      <c r="J1724" s="42">
        <f ca="1">TODAY()-qry_ProdData2_PDI_Cash_Exception_Application[[#This Row],[INSERT DATE]]</f>
        <v>16.742928240739275</v>
      </c>
      <c r="K17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24">
        <f ca="1">qry_ProdData2_PDI_Cash_Exception_Application[[#This Row],[TODAY]]-qry_ProdData2_PDI_Cash_Exception_Application[[#This Row],[CHANGED ON]]</f>
        <v>9.7429282407392748</v>
      </c>
      <c r="M1724">
        <f ca="1">qry_ProdData2_PDI_Cash_Exception_Application[[#This Row],[TODAY]]-qry_ProdData2_PDI_Cash_Exception_Application[[#This Row],[CHANGED ON]]</f>
        <v>9.7429282407392748</v>
      </c>
      <c r="N1724">
        <f ca="1">qry_ProdData2_PDI_Cash_Exception_Application[[#This Row],[TODAY]]-qry_ProdData2_PDI_Cash_Exception_Application[[#This Row],[CHANGED ON]]</f>
        <v>9.7429282407392748</v>
      </c>
    </row>
    <row r="1725" spans="1:14" x14ac:dyDescent="0.35">
      <c r="A1725">
        <v>1016</v>
      </c>
      <c r="B1725" t="s">
        <v>70</v>
      </c>
      <c r="C1725" s="1">
        <v>45185.257071759261</v>
      </c>
      <c r="D1725" t="str">
        <f ca="1">VLOOKUP(qry_ProdData2_PDI_Cash_Exception_Application[[#This Row],[TYPE]],#REF!,2,FALSE)</f>
        <v>type40</v>
      </c>
      <c r="E1725">
        <v>-763</v>
      </c>
      <c r="F1725" t="s">
        <v>49</v>
      </c>
      <c r="G1725" s="1">
        <f>qry_ProdData2_PDI_Cash_Exception_Application[[#This Row],[INSERT DATE]]+1</f>
        <v>45186.257071759261</v>
      </c>
      <c r="H1725" t="str">
        <f>VLOOKUP(qry_ProdData2_PDI_Cash_Exception_Application[[#This Row],[MARKET No]],'Site Allocation'!$B$2:$C$37,2,FALSE)</f>
        <v>Analyst3</v>
      </c>
      <c r="I1725" s="4">
        <f t="shared" ca="1" si="26"/>
        <v>45203</v>
      </c>
      <c r="J1725" s="42">
        <f ca="1">TODAY()-qry_ProdData2_PDI_Cash_Exception_Application[[#This Row],[INSERT DATE]]</f>
        <v>17.742928240739275</v>
      </c>
      <c r="K17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25">
        <f ca="1">qry_ProdData2_PDI_Cash_Exception_Application[[#This Row],[TODAY]]-qry_ProdData2_PDI_Cash_Exception_Application[[#This Row],[CHANGED ON]]</f>
        <v>16.742928240739275</v>
      </c>
      <c r="M1725">
        <f ca="1">qry_ProdData2_PDI_Cash_Exception_Application[[#This Row],[TODAY]]-qry_ProdData2_PDI_Cash_Exception_Application[[#This Row],[CHANGED ON]]</f>
        <v>16.742928240739275</v>
      </c>
      <c r="N1725">
        <f ca="1">qry_ProdData2_PDI_Cash_Exception_Application[[#This Row],[TODAY]]-qry_ProdData2_PDI_Cash_Exception_Application[[#This Row],[CHANGED ON]]</f>
        <v>16.742928240739275</v>
      </c>
    </row>
    <row r="1726" spans="1:14" x14ac:dyDescent="0.35">
      <c r="A1726">
        <v>1015</v>
      </c>
      <c r="B1726" t="s">
        <v>69</v>
      </c>
      <c r="C1726" s="1">
        <v>45186.257071759261</v>
      </c>
      <c r="D1726" t="str">
        <f ca="1">VLOOKUP(qry_ProdData2_PDI_Cash_Exception_Application[[#This Row],[TYPE]],#REF!,2,FALSE)</f>
        <v>type13</v>
      </c>
      <c r="E1726">
        <v>27491.27</v>
      </c>
      <c r="F1726" t="s">
        <v>52</v>
      </c>
      <c r="G1726" s="1">
        <f>qry_ProdData2_PDI_Cash_Exception_Application[[#This Row],[INSERT DATE]]+5</f>
        <v>45191.257071759261</v>
      </c>
      <c r="H1726" t="str">
        <f>VLOOKUP(qry_ProdData2_PDI_Cash_Exception_Application[[#This Row],[MARKET No]],'Site Allocation'!$B$2:$C$37,2,FALSE)</f>
        <v>Analyst3</v>
      </c>
      <c r="I1726" s="4">
        <f t="shared" ca="1" si="26"/>
        <v>45203</v>
      </c>
      <c r="J1726" s="42">
        <f ca="1">TODAY()-qry_ProdData2_PDI_Cash_Exception_Application[[#This Row],[INSERT DATE]]</f>
        <v>16.742928240739275</v>
      </c>
      <c r="K17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26">
        <f ca="1">qry_ProdData2_PDI_Cash_Exception_Application[[#This Row],[TODAY]]-qry_ProdData2_PDI_Cash_Exception_Application[[#This Row],[CHANGED ON]]</f>
        <v>11.742928240739275</v>
      </c>
      <c r="M1726">
        <f ca="1">qry_ProdData2_PDI_Cash_Exception_Application[[#This Row],[TODAY]]-qry_ProdData2_PDI_Cash_Exception_Application[[#This Row],[CHANGED ON]]</f>
        <v>11.742928240739275</v>
      </c>
      <c r="N1726">
        <f ca="1">qry_ProdData2_PDI_Cash_Exception_Application[[#This Row],[TODAY]]-qry_ProdData2_PDI_Cash_Exception_Application[[#This Row],[CHANGED ON]]</f>
        <v>11.742928240739275</v>
      </c>
    </row>
    <row r="1727" spans="1:14" x14ac:dyDescent="0.35">
      <c r="A1727">
        <v>1007</v>
      </c>
      <c r="B1727" t="s">
        <v>61</v>
      </c>
      <c r="C1727" s="1">
        <v>45187.257071759261</v>
      </c>
      <c r="D1727" t="str">
        <f ca="1">VLOOKUP(qry_ProdData2_PDI_Cash_Exception_Application[[#This Row],[TYPE]],#REF!,2,FALSE)</f>
        <v>type40</v>
      </c>
      <c r="E1727">
        <v>1774.94</v>
      </c>
      <c r="F1727" t="s">
        <v>50</v>
      </c>
      <c r="G1727" s="1">
        <f>qry_ProdData2_PDI_Cash_Exception_Application[[#This Row],[INSERT DATE]]+7</f>
        <v>45194.257071759261</v>
      </c>
      <c r="H1727" t="str">
        <f>VLOOKUP(qry_ProdData2_PDI_Cash_Exception_Application[[#This Row],[MARKET No]],'Site Allocation'!$B$2:$C$37,2,FALSE)</f>
        <v>Analyst2</v>
      </c>
      <c r="I1727" s="4">
        <f t="shared" ca="1" si="26"/>
        <v>45203</v>
      </c>
      <c r="J1727" s="42">
        <f ca="1">TODAY()-qry_ProdData2_PDI_Cash_Exception_Application[[#This Row],[INSERT DATE]]</f>
        <v>15.742928240739275</v>
      </c>
      <c r="K17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27">
        <f ca="1">qry_ProdData2_PDI_Cash_Exception_Application[[#This Row],[TODAY]]-qry_ProdData2_PDI_Cash_Exception_Application[[#This Row],[CHANGED ON]]</f>
        <v>8.7429282407392748</v>
      </c>
      <c r="M1727">
        <f ca="1">qry_ProdData2_PDI_Cash_Exception_Application[[#This Row],[TODAY]]-qry_ProdData2_PDI_Cash_Exception_Application[[#This Row],[CHANGED ON]]</f>
        <v>8.7429282407392748</v>
      </c>
      <c r="N1727">
        <f ca="1">qry_ProdData2_PDI_Cash_Exception_Application[[#This Row],[TODAY]]-qry_ProdData2_PDI_Cash_Exception_Application[[#This Row],[CHANGED ON]]</f>
        <v>8.7429282407392748</v>
      </c>
    </row>
    <row r="1728" spans="1:14" x14ac:dyDescent="0.35">
      <c r="A1728">
        <v>1019</v>
      </c>
      <c r="B1728" t="s">
        <v>73</v>
      </c>
      <c r="C1728" s="1">
        <v>45190.257071759261</v>
      </c>
      <c r="D1728" t="str">
        <f ca="1">VLOOKUP(qry_ProdData2_PDI_Cash_Exception_Application[[#This Row],[TYPE]],#REF!,2,FALSE)</f>
        <v>type13</v>
      </c>
      <c r="E1728">
        <v>28888.02</v>
      </c>
      <c r="F1728" t="s">
        <v>49</v>
      </c>
      <c r="G1728" s="1">
        <f>qry_ProdData2_PDI_Cash_Exception_Application[[#This Row],[INSERT DATE]]+1</f>
        <v>45191.257071759261</v>
      </c>
      <c r="H1728" t="str">
        <f>VLOOKUP(qry_ProdData2_PDI_Cash_Exception_Application[[#This Row],[MARKET No]],'Site Allocation'!$B$2:$C$37,2,FALSE)</f>
        <v>Analyst4</v>
      </c>
      <c r="I1728" s="4">
        <f t="shared" ca="1" si="26"/>
        <v>45203</v>
      </c>
      <c r="J1728" s="42">
        <f ca="1">TODAY()-qry_ProdData2_PDI_Cash_Exception_Application[[#This Row],[INSERT DATE]]</f>
        <v>12.742928240739275</v>
      </c>
      <c r="K17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28">
        <f ca="1">qry_ProdData2_PDI_Cash_Exception_Application[[#This Row],[TODAY]]-qry_ProdData2_PDI_Cash_Exception_Application[[#This Row],[CHANGED ON]]</f>
        <v>11.742928240739275</v>
      </c>
      <c r="M1728">
        <f ca="1">qry_ProdData2_PDI_Cash_Exception_Application[[#This Row],[TODAY]]-qry_ProdData2_PDI_Cash_Exception_Application[[#This Row],[CHANGED ON]]</f>
        <v>11.742928240739275</v>
      </c>
      <c r="N1728">
        <f ca="1">qry_ProdData2_PDI_Cash_Exception_Application[[#This Row],[TODAY]]-qry_ProdData2_PDI_Cash_Exception_Application[[#This Row],[CHANGED ON]]</f>
        <v>11.742928240739275</v>
      </c>
    </row>
    <row r="1729" spans="1:14" x14ac:dyDescent="0.35">
      <c r="A1729">
        <v>1004</v>
      </c>
      <c r="B1729" t="s">
        <v>58</v>
      </c>
      <c r="C1729" s="1">
        <v>45188.257071759261</v>
      </c>
      <c r="D1729" t="str">
        <f ca="1">VLOOKUP(qry_ProdData2_PDI_Cash_Exception_Application[[#This Row],[TYPE]],#REF!,2,FALSE)</f>
        <v>type11</v>
      </c>
      <c r="E1729">
        <v>80</v>
      </c>
      <c r="F1729" t="s">
        <v>52</v>
      </c>
      <c r="G1729" s="1">
        <f>qry_ProdData2_PDI_Cash_Exception_Application[[#This Row],[INSERT DATE]]+7</f>
        <v>45195.257071759261</v>
      </c>
      <c r="H1729" t="str">
        <f>VLOOKUP(qry_ProdData2_PDI_Cash_Exception_Application[[#This Row],[MARKET No]],'Site Allocation'!$B$2:$C$37,2,FALSE)</f>
        <v>Analyst1</v>
      </c>
      <c r="I1729" s="4">
        <f t="shared" ca="1" si="26"/>
        <v>45203</v>
      </c>
      <c r="J1729" s="42">
        <f ca="1">TODAY()-qry_ProdData2_PDI_Cash_Exception_Application[[#This Row],[INSERT DATE]]</f>
        <v>14.742928240739275</v>
      </c>
      <c r="K17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29">
        <f ca="1">qry_ProdData2_PDI_Cash_Exception_Application[[#This Row],[TODAY]]-qry_ProdData2_PDI_Cash_Exception_Application[[#This Row],[CHANGED ON]]</f>
        <v>7.7429282407392748</v>
      </c>
      <c r="M1729">
        <f ca="1">qry_ProdData2_PDI_Cash_Exception_Application[[#This Row],[TODAY]]-qry_ProdData2_PDI_Cash_Exception_Application[[#This Row],[CHANGED ON]]</f>
        <v>7.7429282407392748</v>
      </c>
      <c r="N1729">
        <f ca="1">qry_ProdData2_PDI_Cash_Exception_Application[[#This Row],[TODAY]]-qry_ProdData2_PDI_Cash_Exception_Application[[#This Row],[CHANGED ON]]</f>
        <v>7.7429282407392748</v>
      </c>
    </row>
    <row r="1730" spans="1:14" x14ac:dyDescent="0.35">
      <c r="A1730">
        <v>1015</v>
      </c>
      <c r="B1730" t="s">
        <v>69</v>
      </c>
      <c r="C1730" s="1">
        <v>45186.257071759261</v>
      </c>
      <c r="D1730" t="str">
        <f ca="1">VLOOKUP(qry_ProdData2_PDI_Cash_Exception_Application[[#This Row],[TYPE]],#REF!,2,FALSE)</f>
        <v>type38</v>
      </c>
      <c r="E1730">
        <v>152.37</v>
      </c>
      <c r="F1730" t="s">
        <v>49</v>
      </c>
      <c r="G1730" s="1">
        <f>qry_ProdData2_PDI_Cash_Exception_Application[[#This Row],[INSERT DATE]]+2</f>
        <v>45188.257071759261</v>
      </c>
      <c r="H1730" t="str">
        <f>VLOOKUP(qry_ProdData2_PDI_Cash_Exception_Application[[#This Row],[MARKET No]],'Site Allocation'!$B$2:$C$37,2,FALSE)</f>
        <v>Analyst3</v>
      </c>
      <c r="I1730" s="4">
        <f t="shared" ref="I1730:I1793" ca="1" si="27">TODAY()</f>
        <v>45203</v>
      </c>
      <c r="J1730" s="42">
        <f ca="1">TODAY()-qry_ProdData2_PDI_Cash_Exception_Application[[#This Row],[INSERT DATE]]</f>
        <v>16.742928240739275</v>
      </c>
      <c r="K17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30">
        <f ca="1">qry_ProdData2_PDI_Cash_Exception_Application[[#This Row],[TODAY]]-qry_ProdData2_PDI_Cash_Exception_Application[[#This Row],[CHANGED ON]]</f>
        <v>14.742928240739275</v>
      </c>
      <c r="M1730">
        <f ca="1">qry_ProdData2_PDI_Cash_Exception_Application[[#This Row],[TODAY]]-qry_ProdData2_PDI_Cash_Exception_Application[[#This Row],[CHANGED ON]]</f>
        <v>14.742928240739275</v>
      </c>
      <c r="N1730">
        <f ca="1">qry_ProdData2_PDI_Cash_Exception_Application[[#This Row],[TODAY]]-qry_ProdData2_PDI_Cash_Exception_Application[[#This Row],[CHANGED ON]]</f>
        <v>14.742928240739275</v>
      </c>
    </row>
    <row r="1731" spans="1:14" x14ac:dyDescent="0.35">
      <c r="A1731">
        <v>1029</v>
      </c>
      <c r="B1731" t="s">
        <v>83</v>
      </c>
      <c r="C1731" s="1">
        <v>45192.257071759261</v>
      </c>
      <c r="D1731" t="str">
        <f ca="1">VLOOKUP(qry_ProdData2_PDI_Cash_Exception_Application[[#This Row],[TYPE]],#REF!,2,FALSE)</f>
        <v>type40</v>
      </c>
      <c r="E1731">
        <v>-542.92999999999995</v>
      </c>
      <c r="F1731" t="s">
        <v>51</v>
      </c>
      <c r="G1731" s="1">
        <f>qry_ProdData2_PDI_Cash_Exception_Application[[#This Row],[INSERT DATE]]+1</f>
        <v>45193.257071759261</v>
      </c>
      <c r="H1731" t="str">
        <f>VLOOKUP(qry_ProdData2_PDI_Cash_Exception_Application[[#This Row],[MARKET No]],'Site Allocation'!$B$2:$C$37,2,FALSE)</f>
        <v>Analyst5</v>
      </c>
      <c r="I1731" s="4">
        <f t="shared" ca="1" si="27"/>
        <v>45203</v>
      </c>
      <c r="J1731" s="42">
        <f ca="1">TODAY()-qry_ProdData2_PDI_Cash_Exception_Application[[#This Row],[INSERT DATE]]</f>
        <v>10.742928240739275</v>
      </c>
      <c r="K17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31">
        <f ca="1">qry_ProdData2_PDI_Cash_Exception_Application[[#This Row],[TODAY]]-qry_ProdData2_PDI_Cash_Exception_Application[[#This Row],[CHANGED ON]]</f>
        <v>9.7429282407392748</v>
      </c>
      <c r="M1731">
        <f ca="1">qry_ProdData2_PDI_Cash_Exception_Application[[#This Row],[TODAY]]-qry_ProdData2_PDI_Cash_Exception_Application[[#This Row],[CHANGED ON]]</f>
        <v>9.7429282407392748</v>
      </c>
      <c r="N1731">
        <f ca="1">qry_ProdData2_PDI_Cash_Exception_Application[[#This Row],[TODAY]]-qry_ProdData2_PDI_Cash_Exception_Application[[#This Row],[CHANGED ON]]</f>
        <v>9.7429282407392748</v>
      </c>
    </row>
    <row r="1732" spans="1:14" x14ac:dyDescent="0.35">
      <c r="A1732">
        <v>1025</v>
      </c>
      <c r="B1732" t="s">
        <v>79</v>
      </c>
      <c r="C1732" s="1">
        <v>45190.257071759261</v>
      </c>
      <c r="D1732" t="str">
        <f ca="1">VLOOKUP(qry_ProdData2_PDI_Cash_Exception_Application[[#This Row],[TYPE]],#REF!,2,FALSE)</f>
        <v>type13</v>
      </c>
      <c r="E1732">
        <v>24986.49</v>
      </c>
      <c r="F1732" t="s">
        <v>52</v>
      </c>
      <c r="G1732" s="1">
        <f>qry_ProdData2_PDI_Cash_Exception_Application[[#This Row],[INSERT DATE]]+7</f>
        <v>45197.257071759261</v>
      </c>
      <c r="H1732" t="str">
        <f>VLOOKUP(qry_ProdData2_PDI_Cash_Exception_Application[[#This Row],[MARKET No]],'Site Allocation'!$B$2:$C$37,2,FALSE)</f>
        <v>Analyst5</v>
      </c>
      <c r="I1732" s="4">
        <f t="shared" ca="1" si="27"/>
        <v>45203</v>
      </c>
      <c r="J1732" s="42">
        <f ca="1">TODAY()-qry_ProdData2_PDI_Cash_Exception_Application[[#This Row],[INSERT DATE]]</f>
        <v>12.742928240739275</v>
      </c>
      <c r="K17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32">
        <f ca="1">qry_ProdData2_PDI_Cash_Exception_Application[[#This Row],[TODAY]]-qry_ProdData2_PDI_Cash_Exception_Application[[#This Row],[CHANGED ON]]</f>
        <v>5.7429282407392748</v>
      </c>
      <c r="M1732">
        <f ca="1">qry_ProdData2_PDI_Cash_Exception_Application[[#This Row],[TODAY]]-qry_ProdData2_PDI_Cash_Exception_Application[[#This Row],[CHANGED ON]]</f>
        <v>5.7429282407392748</v>
      </c>
      <c r="N1732">
        <f ca="1">qry_ProdData2_PDI_Cash_Exception_Application[[#This Row],[TODAY]]-qry_ProdData2_PDI_Cash_Exception_Application[[#This Row],[CHANGED ON]]</f>
        <v>5.7429282407392748</v>
      </c>
    </row>
    <row r="1733" spans="1:14" x14ac:dyDescent="0.35">
      <c r="A1733">
        <v>1024</v>
      </c>
      <c r="B1733" t="s">
        <v>78</v>
      </c>
      <c r="C1733" s="1">
        <v>45190.257071759261</v>
      </c>
      <c r="D1733" t="str">
        <f ca="1">VLOOKUP(qry_ProdData2_PDI_Cash_Exception_Application[[#This Row],[TYPE]],#REF!,2,FALSE)</f>
        <v>type40</v>
      </c>
      <c r="E1733">
        <v>100</v>
      </c>
      <c r="F1733" t="s">
        <v>50</v>
      </c>
      <c r="G1733" s="1">
        <f>qry_ProdData2_PDI_Cash_Exception_Application[[#This Row],[INSERT DATE]]+7</f>
        <v>45197.257071759261</v>
      </c>
      <c r="H1733" t="str">
        <f>VLOOKUP(qry_ProdData2_PDI_Cash_Exception_Application[[#This Row],[MARKET No]],'Site Allocation'!$B$2:$C$37,2,FALSE)</f>
        <v>Analyst5</v>
      </c>
      <c r="I1733" s="4">
        <f t="shared" ca="1" si="27"/>
        <v>45203</v>
      </c>
      <c r="J1733" s="42">
        <f ca="1">TODAY()-qry_ProdData2_PDI_Cash_Exception_Application[[#This Row],[INSERT DATE]]</f>
        <v>12.742928240739275</v>
      </c>
      <c r="K17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33">
        <f ca="1">qry_ProdData2_PDI_Cash_Exception_Application[[#This Row],[TODAY]]-qry_ProdData2_PDI_Cash_Exception_Application[[#This Row],[CHANGED ON]]</f>
        <v>5.7429282407392748</v>
      </c>
      <c r="M1733">
        <f ca="1">qry_ProdData2_PDI_Cash_Exception_Application[[#This Row],[TODAY]]-qry_ProdData2_PDI_Cash_Exception_Application[[#This Row],[CHANGED ON]]</f>
        <v>5.7429282407392748</v>
      </c>
      <c r="N1733">
        <f ca="1">qry_ProdData2_PDI_Cash_Exception_Application[[#This Row],[TODAY]]-qry_ProdData2_PDI_Cash_Exception_Application[[#This Row],[CHANGED ON]]</f>
        <v>5.7429282407392748</v>
      </c>
    </row>
    <row r="1734" spans="1:14" x14ac:dyDescent="0.35">
      <c r="A1734">
        <v>1010</v>
      </c>
      <c r="B1734" t="s">
        <v>64</v>
      </c>
      <c r="C1734" s="1">
        <v>45188.257071759261</v>
      </c>
      <c r="D1734" t="str">
        <f ca="1">VLOOKUP(qry_ProdData2_PDI_Cash_Exception_Application[[#This Row],[TYPE]],#REF!,2,FALSE)</f>
        <v>type38</v>
      </c>
      <c r="E1734">
        <v>197.76</v>
      </c>
      <c r="F1734" t="s">
        <v>49</v>
      </c>
      <c r="G1734" s="1">
        <f>qry_ProdData2_PDI_Cash_Exception_Application[[#This Row],[INSERT DATE]]+2</f>
        <v>45190.257071759261</v>
      </c>
      <c r="H1734" t="str">
        <f>VLOOKUP(qry_ProdData2_PDI_Cash_Exception_Application[[#This Row],[MARKET No]],'Site Allocation'!$B$2:$C$37,2,FALSE)</f>
        <v>Analyst2</v>
      </c>
      <c r="I1734" s="4">
        <f t="shared" ca="1" si="27"/>
        <v>45203</v>
      </c>
      <c r="J1734" s="42">
        <f ca="1">TODAY()-qry_ProdData2_PDI_Cash_Exception_Application[[#This Row],[INSERT DATE]]</f>
        <v>14.742928240739275</v>
      </c>
      <c r="K17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34">
        <f ca="1">qry_ProdData2_PDI_Cash_Exception_Application[[#This Row],[TODAY]]-qry_ProdData2_PDI_Cash_Exception_Application[[#This Row],[CHANGED ON]]</f>
        <v>12.742928240739275</v>
      </c>
      <c r="M1734">
        <f ca="1">qry_ProdData2_PDI_Cash_Exception_Application[[#This Row],[TODAY]]-qry_ProdData2_PDI_Cash_Exception_Application[[#This Row],[CHANGED ON]]</f>
        <v>12.742928240739275</v>
      </c>
      <c r="N1734">
        <f ca="1">qry_ProdData2_PDI_Cash_Exception_Application[[#This Row],[TODAY]]-qry_ProdData2_PDI_Cash_Exception_Application[[#This Row],[CHANGED ON]]</f>
        <v>12.742928240739275</v>
      </c>
    </row>
    <row r="1735" spans="1:14" x14ac:dyDescent="0.35">
      <c r="A1735">
        <v>1004</v>
      </c>
      <c r="B1735" t="s">
        <v>58</v>
      </c>
      <c r="C1735" s="1">
        <v>45187.257071759261</v>
      </c>
      <c r="D1735" t="str">
        <f ca="1">VLOOKUP(qry_ProdData2_PDI_Cash_Exception_Application[[#This Row],[TYPE]],#REF!,2,FALSE)</f>
        <v>type28</v>
      </c>
      <c r="E1735">
        <v>852.4</v>
      </c>
      <c r="F1735" t="s">
        <v>51</v>
      </c>
      <c r="G1735" s="1">
        <f>qry_ProdData2_PDI_Cash_Exception_Application[[#This Row],[INSERT DATE]]+1</f>
        <v>45188.257071759261</v>
      </c>
      <c r="H1735" t="str">
        <f>VLOOKUP(qry_ProdData2_PDI_Cash_Exception_Application[[#This Row],[MARKET No]],'Site Allocation'!$B$2:$C$37,2,FALSE)</f>
        <v>Analyst1</v>
      </c>
      <c r="I1735" s="4">
        <f t="shared" ca="1" si="27"/>
        <v>45203</v>
      </c>
      <c r="J1735" s="42">
        <f ca="1">TODAY()-qry_ProdData2_PDI_Cash_Exception_Application[[#This Row],[INSERT DATE]]</f>
        <v>15.742928240739275</v>
      </c>
      <c r="K17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35">
        <f ca="1">qry_ProdData2_PDI_Cash_Exception_Application[[#This Row],[TODAY]]-qry_ProdData2_PDI_Cash_Exception_Application[[#This Row],[CHANGED ON]]</f>
        <v>14.742928240739275</v>
      </c>
      <c r="M1735">
        <f ca="1">qry_ProdData2_PDI_Cash_Exception_Application[[#This Row],[TODAY]]-qry_ProdData2_PDI_Cash_Exception_Application[[#This Row],[CHANGED ON]]</f>
        <v>14.742928240739275</v>
      </c>
      <c r="N1735">
        <f ca="1">qry_ProdData2_PDI_Cash_Exception_Application[[#This Row],[TODAY]]-qry_ProdData2_PDI_Cash_Exception_Application[[#This Row],[CHANGED ON]]</f>
        <v>14.742928240739275</v>
      </c>
    </row>
    <row r="1736" spans="1:14" x14ac:dyDescent="0.35">
      <c r="A1736">
        <v>1021</v>
      </c>
      <c r="B1736" t="s">
        <v>75</v>
      </c>
      <c r="C1736" s="1">
        <v>45179.257071759261</v>
      </c>
      <c r="D1736" t="str">
        <f ca="1">VLOOKUP(qry_ProdData2_PDI_Cash_Exception_Application[[#This Row],[TYPE]],#REF!,2,FALSE)</f>
        <v>type40</v>
      </c>
      <c r="E1736">
        <v>1071.92</v>
      </c>
      <c r="F1736" t="s">
        <v>49</v>
      </c>
      <c r="G1736" s="1">
        <f>qry_ProdData2_PDI_Cash_Exception_Application[[#This Row],[INSERT DATE]]+2</f>
        <v>45181.257071759261</v>
      </c>
      <c r="H1736" t="str">
        <f>VLOOKUP(qry_ProdData2_PDI_Cash_Exception_Application[[#This Row],[MARKET No]],'Site Allocation'!$B$2:$C$37,2,FALSE)</f>
        <v>Analyst4</v>
      </c>
      <c r="I1736" s="4">
        <f t="shared" ca="1" si="27"/>
        <v>45203</v>
      </c>
      <c r="J1736" s="42">
        <f ca="1">TODAY()-qry_ProdData2_PDI_Cash_Exception_Application[[#This Row],[INSERT DATE]]</f>
        <v>23.742928240739275</v>
      </c>
      <c r="K17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36">
        <f ca="1">qry_ProdData2_PDI_Cash_Exception_Application[[#This Row],[TODAY]]-qry_ProdData2_PDI_Cash_Exception_Application[[#This Row],[CHANGED ON]]</f>
        <v>21.742928240739275</v>
      </c>
      <c r="M1736">
        <f ca="1">qry_ProdData2_PDI_Cash_Exception_Application[[#This Row],[TODAY]]-qry_ProdData2_PDI_Cash_Exception_Application[[#This Row],[CHANGED ON]]</f>
        <v>21.742928240739275</v>
      </c>
      <c r="N1736">
        <f ca="1">qry_ProdData2_PDI_Cash_Exception_Application[[#This Row],[TODAY]]-qry_ProdData2_PDI_Cash_Exception_Application[[#This Row],[CHANGED ON]]</f>
        <v>21.742928240739275</v>
      </c>
    </row>
    <row r="1737" spans="1:14" x14ac:dyDescent="0.35">
      <c r="A1737">
        <v>1019</v>
      </c>
      <c r="B1737" t="s">
        <v>73</v>
      </c>
      <c r="C1737" s="1">
        <v>45187.257071759261</v>
      </c>
      <c r="D1737" t="str">
        <f ca="1">VLOOKUP(qry_ProdData2_PDI_Cash_Exception_Application[[#This Row],[TYPE]],#REF!,2,FALSE)</f>
        <v>type40</v>
      </c>
      <c r="E1737">
        <v>9009.35</v>
      </c>
      <c r="F1737" t="s">
        <v>48</v>
      </c>
      <c r="G1737" s="1">
        <f>qry_ProdData2_PDI_Cash_Exception_Application[[#This Row],[INSERT DATE]]+7</f>
        <v>45194.257071759261</v>
      </c>
      <c r="H1737" t="str">
        <f>VLOOKUP(qry_ProdData2_PDI_Cash_Exception_Application[[#This Row],[MARKET No]],'Site Allocation'!$B$2:$C$37,2,FALSE)</f>
        <v>Analyst4</v>
      </c>
      <c r="I1737" s="4">
        <f t="shared" ca="1" si="27"/>
        <v>45203</v>
      </c>
      <c r="J1737" s="42">
        <f ca="1">TODAY()-qry_ProdData2_PDI_Cash_Exception_Application[[#This Row],[INSERT DATE]]</f>
        <v>15.742928240739275</v>
      </c>
      <c r="K17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37">
        <f ca="1">qry_ProdData2_PDI_Cash_Exception_Application[[#This Row],[TODAY]]-qry_ProdData2_PDI_Cash_Exception_Application[[#This Row],[CHANGED ON]]</f>
        <v>8.7429282407392748</v>
      </c>
      <c r="M1737">
        <f ca="1">qry_ProdData2_PDI_Cash_Exception_Application[[#This Row],[TODAY]]-qry_ProdData2_PDI_Cash_Exception_Application[[#This Row],[CHANGED ON]]</f>
        <v>8.7429282407392748</v>
      </c>
      <c r="N1737">
        <f ca="1">qry_ProdData2_PDI_Cash_Exception_Application[[#This Row],[TODAY]]-qry_ProdData2_PDI_Cash_Exception_Application[[#This Row],[CHANGED ON]]</f>
        <v>8.7429282407392748</v>
      </c>
    </row>
    <row r="1738" spans="1:14" x14ac:dyDescent="0.35">
      <c r="A1738">
        <v>1024</v>
      </c>
      <c r="B1738" t="s">
        <v>78</v>
      </c>
      <c r="C1738" s="1">
        <v>45188.257071759261</v>
      </c>
      <c r="D1738" t="str">
        <f ca="1">VLOOKUP(qry_ProdData2_PDI_Cash_Exception_Application[[#This Row],[TYPE]],#REF!,2,FALSE)</f>
        <v>type40</v>
      </c>
      <c r="E1738">
        <v>-727.6</v>
      </c>
      <c r="F1738" t="s">
        <v>48</v>
      </c>
      <c r="G1738" s="1">
        <f>qry_ProdData2_PDI_Cash_Exception_Application[[#This Row],[INSERT DATE]]+1</f>
        <v>45189.257071759261</v>
      </c>
      <c r="H1738" t="str">
        <f>VLOOKUP(qry_ProdData2_PDI_Cash_Exception_Application[[#This Row],[MARKET No]],'Site Allocation'!$B$2:$C$37,2,FALSE)</f>
        <v>Analyst5</v>
      </c>
      <c r="I1738" s="4">
        <f t="shared" ca="1" si="27"/>
        <v>45203</v>
      </c>
      <c r="J1738" s="42">
        <f ca="1">TODAY()-qry_ProdData2_PDI_Cash_Exception_Application[[#This Row],[INSERT DATE]]</f>
        <v>14.742928240739275</v>
      </c>
      <c r="K17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38">
        <f ca="1">qry_ProdData2_PDI_Cash_Exception_Application[[#This Row],[TODAY]]-qry_ProdData2_PDI_Cash_Exception_Application[[#This Row],[CHANGED ON]]</f>
        <v>13.742928240739275</v>
      </c>
      <c r="M1738">
        <f ca="1">qry_ProdData2_PDI_Cash_Exception_Application[[#This Row],[TODAY]]-qry_ProdData2_PDI_Cash_Exception_Application[[#This Row],[CHANGED ON]]</f>
        <v>13.742928240739275</v>
      </c>
      <c r="N1738">
        <f ca="1">qry_ProdData2_PDI_Cash_Exception_Application[[#This Row],[TODAY]]-qry_ProdData2_PDI_Cash_Exception_Application[[#This Row],[CHANGED ON]]</f>
        <v>13.742928240739275</v>
      </c>
    </row>
    <row r="1739" spans="1:14" x14ac:dyDescent="0.35">
      <c r="A1739">
        <v>1003</v>
      </c>
      <c r="B1739" t="s">
        <v>57</v>
      </c>
      <c r="C1739" s="1">
        <v>45187.257071759261</v>
      </c>
      <c r="D1739" t="str">
        <f ca="1">VLOOKUP(qry_ProdData2_PDI_Cash_Exception_Application[[#This Row],[TYPE]],#REF!,2,FALSE)</f>
        <v>type13</v>
      </c>
      <c r="E1739">
        <v>30677.279999999999</v>
      </c>
      <c r="F1739" t="s">
        <v>48</v>
      </c>
      <c r="G1739" s="1">
        <f>qry_ProdData2_PDI_Cash_Exception_Application[[#This Row],[INSERT DATE]]+2</f>
        <v>45189.257071759261</v>
      </c>
      <c r="H1739" t="str">
        <f>VLOOKUP(qry_ProdData2_PDI_Cash_Exception_Application[[#This Row],[MARKET No]],'Site Allocation'!$B$2:$C$37,2,FALSE)</f>
        <v>Analyst1</v>
      </c>
      <c r="I1739" s="4">
        <f t="shared" ca="1" si="27"/>
        <v>45203</v>
      </c>
      <c r="J1739" s="42">
        <f ca="1">TODAY()-qry_ProdData2_PDI_Cash_Exception_Application[[#This Row],[INSERT DATE]]</f>
        <v>15.742928240739275</v>
      </c>
      <c r="K17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39">
        <f ca="1">qry_ProdData2_PDI_Cash_Exception_Application[[#This Row],[TODAY]]-qry_ProdData2_PDI_Cash_Exception_Application[[#This Row],[CHANGED ON]]</f>
        <v>13.742928240739275</v>
      </c>
      <c r="M1739">
        <f ca="1">qry_ProdData2_PDI_Cash_Exception_Application[[#This Row],[TODAY]]-qry_ProdData2_PDI_Cash_Exception_Application[[#This Row],[CHANGED ON]]</f>
        <v>13.742928240739275</v>
      </c>
      <c r="N1739">
        <f ca="1">qry_ProdData2_PDI_Cash_Exception_Application[[#This Row],[TODAY]]-qry_ProdData2_PDI_Cash_Exception_Application[[#This Row],[CHANGED ON]]</f>
        <v>13.742928240739275</v>
      </c>
    </row>
    <row r="1740" spans="1:14" x14ac:dyDescent="0.35">
      <c r="A1740">
        <v>1008</v>
      </c>
      <c r="B1740" t="s">
        <v>62</v>
      </c>
      <c r="C1740" s="1">
        <v>45179.257071759261</v>
      </c>
      <c r="D1740" t="str">
        <f ca="1">VLOOKUP(qry_ProdData2_PDI_Cash_Exception_Application[[#This Row],[TYPE]],#REF!,2,FALSE)</f>
        <v>type54</v>
      </c>
      <c r="E1740">
        <v>7416.84</v>
      </c>
      <c r="F1740" t="s">
        <v>51</v>
      </c>
      <c r="G1740" s="1">
        <f>qry_ProdData2_PDI_Cash_Exception_Application[[#This Row],[INSERT DATE]]+2</f>
        <v>45181.257071759261</v>
      </c>
      <c r="H1740" t="str">
        <f>VLOOKUP(qry_ProdData2_PDI_Cash_Exception_Application[[#This Row],[MARKET No]],'Site Allocation'!$B$2:$C$37,2,FALSE)</f>
        <v>Analyst2</v>
      </c>
      <c r="I1740" s="4">
        <f t="shared" ca="1" si="27"/>
        <v>45203</v>
      </c>
      <c r="J1740" s="42">
        <f ca="1">TODAY()-qry_ProdData2_PDI_Cash_Exception_Application[[#This Row],[INSERT DATE]]</f>
        <v>23.742928240739275</v>
      </c>
      <c r="K17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40">
        <f ca="1">qry_ProdData2_PDI_Cash_Exception_Application[[#This Row],[TODAY]]-qry_ProdData2_PDI_Cash_Exception_Application[[#This Row],[CHANGED ON]]</f>
        <v>21.742928240739275</v>
      </c>
      <c r="M1740">
        <f ca="1">qry_ProdData2_PDI_Cash_Exception_Application[[#This Row],[TODAY]]-qry_ProdData2_PDI_Cash_Exception_Application[[#This Row],[CHANGED ON]]</f>
        <v>21.742928240739275</v>
      </c>
      <c r="N1740">
        <f ca="1">qry_ProdData2_PDI_Cash_Exception_Application[[#This Row],[TODAY]]-qry_ProdData2_PDI_Cash_Exception_Application[[#This Row],[CHANGED ON]]</f>
        <v>21.742928240739275</v>
      </c>
    </row>
    <row r="1741" spans="1:14" x14ac:dyDescent="0.35">
      <c r="A1741">
        <v>1032</v>
      </c>
      <c r="B1741" t="s">
        <v>86</v>
      </c>
      <c r="C1741" s="1">
        <v>45185.257071759261</v>
      </c>
      <c r="D1741" t="str">
        <f ca="1">VLOOKUP(qry_ProdData2_PDI_Cash_Exception_Application[[#This Row],[TYPE]],#REF!,2,FALSE)</f>
        <v>type5</v>
      </c>
      <c r="E1741">
        <v>584.45000000000005</v>
      </c>
      <c r="F1741" t="s">
        <v>51</v>
      </c>
      <c r="G1741" s="1">
        <f>qry_ProdData2_PDI_Cash_Exception_Application[[#This Row],[INSERT DATE]]+2</f>
        <v>45187.257071759261</v>
      </c>
      <c r="H1741" t="str">
        <f>VLOOKUP(qry_ProdData2_PDI_Cash_Exception_Application[[#This Row],[MARKET No]],'Site Allocation'!$B$2:$C$37,2,FALSE)</f>
        <v>Analyst6</v>
      </c>
      <c r="I1741" s="4">
        <f t="shared" ca="1" si="27"/>
        <v>45203</v>
      </c>
      <c r="J1741" s="42">
        <f ca="1">TODAY()-qry_ProdData2_PDI_Cash_Exception_Application[[#This Row],[INSERT DATE]]</f>
        <v>17.742928240739275</v>
      </c>
      <c r="K17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41">
        <f ca="1">qry_ProdData2_PDI_Cash_Exception_Application[[#This Row],[TODAY]]-qry_ProdData2_PDI_Cash_Exception_Application[[#This Row],[CHANGED ON]]</f>
        <v>15.742928240739275</v>
      </c>
      <c r="M1741">
        <f ca="1">qry_ProdData2_PDI_Cash_Exception_Application[[#This Row],[TODAY]]-qry_ProdData2_PDI_Cash_Exception_Application[[#This Row],[CHANGED ON]]</f>
        <v>15.742928240739275</v>
      </c>
      <c r="N1741">
        <f ca="1">qry_ProdData2_PDI_Cash_Exception_Application[[#This Row],[TODAY]]-qry_ProdData2_PDI_Cash_Exception_Application[[#This Row],[CHANGED ON]]</f>
        <v>15.742928240739275</v>
      </c>
    </row>
    <row r="1742" spans="1:14" x14ac:dyDescent="0.35">
      <c r="A1742">
        <v>1023</v>
      </c>
      <c r="B1742" t="s">
        <v>77</v>
      </c>
      <c r="C1742" s="1">
        <v>45184.257071759261</v>
      </c>
      <c r="D1742" t="str">
        <f ca="1">VLOOKUP(qry_ProdData2_PDI_Cash_Exception_Application[[#This Row],[TYPE]],#REF!,2,FALSE)</f>
        <v>type40</v>
      </c>
      <c r="E1742">
        <v>4850.01</v>
      </c>
      <c r="F1742" t="s">
        <v>49</v>
      </c>
      <c r="G1742" s="1">
        <f>qry_ProdData2_PDI_Cash_Exception_Application[[#This Row],[INSERT DATE]]+5</f>
        <v>45189.257071759261</v>
      </c>
      <c r="H1742" t="str">
        <f>VLOOKUP(qry_ProdData2_PDI_Cash_Exception_Application[[#This Row],[MARKET No]],'Site Allocation'!$B$2:$C$37,2,FALSE)</f>
        <v>Analyst4</v>
      </c>
      <c r="I1742" s="4">
        <f t="shared" ca="1" si="27"/>
        <v>45203</v>
      </c>
      <c r="J1742" s="42">
        <f ca="1">TODAY()-qry_ProdData2_PDI_Cash_Exception_Application[[#This Row],[INSERT DATE]]</f>
        <v>18.742928240739275</v>
      </c>
      <c r="K17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42">
        <f ca="1">qry_ProdData2_PDI_Cash_Exception_Application[[#This Row],[TODAY]]-qry_ProdData2_PDI_Cash_Exception_Application[[#This Row],[CHANGED ON]]</f>
        <v>13.742928240739275</v>
      </c>
      <c r="M1742">
        <f ca="1">qry_ProdData2_PDI_Cash_Exception_Application[[#This Row],[TODAY]]-qry_ProdData2_PDI_Cash_Exception_Application[[#This Row],[CHANGED ON]]</f>
        <v>13.742928240739275</v>
      </c>
      <c r="N1742">
        <f ca="1">qry_ProdData2_PDI_Cash_Exception_Application[[#This Row],[TODAY]]-qry_ProdData2_PDI_Cash_Exception_Application[[#This Row],[CHANGED ON]]</f>
        <v>13.742928240739275</v>
      </c>
    </row>
    <row r="1743" spans="1:14" x14ac:dyDescent="0.35">
      <c r="A1743">
        <v>1035</v>
      </c>
      <c r="B1743" t="s">
        <v>89</v>
      </c>
      <c r="C1743" s="1">
        <v>45190.257071759261</v>
      </c>
      <c r="D1743" t="str">
        <f ca="1">VLOOKUP(qry_ProdData2_PDI_Cash_Exception_Application[[#This Row],[TYPE]],#REF!,2,FALSE)</f>
        <v>type40</v>
      </c>
      <c r="E1743">
        <v>-988.49</v>
      </c>
      <c r="F1743" t="s">
        <v>49</v>
      </c>
      <c r="G1743" s="1">
        <f>qry_ProdData2_PDI_Cash_Exception_Application[[#This Row],[INSERT DATE]]+7</f>
        <v>45197.257071759261</v>
      </c>
      <c r="H1743" t="str">
        <f>VLOOKUP(qry_ProdData2_PDI_Cash_Exception_Application[[#This Row],[MARKET No]],'Site Allocation'!$B$2:$C$37,2,FALSE)</f>
        <v>Analyst6</v>
      </c>
      <c r="I1743" s="4">
        <f t="shared" ca="1" si="27"/>
        <v>45203</v>
      </c>
      <c r="J1743" s="42">
        <f ca="1">TODAY()-qry_ProdData2_PDI_Cash_Exception_Application[[#This Row],[INSERT DATE]]</f>
        <v>12.742928240739275</v>
      </c>
      <c r="K17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43">
        <f ca="1">qry_ProdData2_PDI_Cash_Exception_Application[[#This Row],[TODAY]]-qry_ProdData2_PDI_Cash_Exception_Application[[#This Row],[CHANGED ON]]</f>
        <v>5.7429282407392748</v>
      </c>
      <c r="M1743">
        <f ca="1">qry_ProdData2_PDI_Cash_Exception_Application[[#This Row],[TODAY]]-qry_ProdData2_PDI_Cash_Exception_Application[[#This Row],[CHANGED ON]]</f>
        <v>5.7429282407392748</v>
      </c>
      <c r="N1743">
        <f ca="1">qry_ProdData2_PDI_Cash_Exception_Application[[#This Row],[TODAY]]-qry_ProdData2_PDI_Cash_Exception_Application[[#This Row],[CHANGED ON]]</f>
        <v>5.7429282407392748</v>
      </c>
    </row>
    <row r="1744" spans="1:14" x14ac:dyDescent="0.35">
      <c r="A1744">
        <v>1016</v>
      </c>
      <c r="B1744" t="s">
        <v>70</v>
      </c>
      <c r="C1744" s="1">
        <v>45190.257071759261</v>
      </c>
      <c r="D1744" t="str">
        <f ca="1">VLOOKUP(qry_ProdData2_PDI_Cash_Exception_Application[[#This Row],[TYPE]],#REF!,2,FALSE)</f>
        <v>type40</v>
      </c>
      <c r="E1744">
        <v>3461.74</v>
      </c>
      <c r="F1744" t="s">
        <v>47</v>
      </c>
      <c r="G1744" s="1">
        <f>qry_ProdData2_PDI_Cash_Exception_Application[[#This Row],[INSERT DATE]]+1</f>
        <v>45191.257071759261</v>
      </c>
      <c r="H1744" t="str">
        <f>VLOOKUP(qry_ProdData2_PDI_Cash_Exception_Application[[#This Row],[MARKET No]],'Site Allocation'!$B$2:$C$37,2,FALSE)</f>
        <v>Analyst3</v>
      </c>
      <c r="I1744" s="4">
        <f t="shared" ca="1" si="27"/>
        <v>45203</v>
      </c>
      <c r="J1744" s="42">
        <f ca="1">TODAY()-qry_ProdData2_PDI_Cash_Exception_Application[[#This Row],[INSERT DATE]]</f>
        <v>12.742928240739275</v>
      </c>
      <c r="K17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44">
        <f ca="1">qry_ProdData2_PDI_Cash_Exception_Application[[#This Row],[TODAY]]-qry_ProdData2_PDI_Cash_Exception_Application[[#This Row],[CHANGED ON]]</f>
        <v>11.742928240739275</v>
      </c>
      <c r="M1744">
        <f ca="1">qry_ProdData2_PDI_Cash_Exception_Application[[#This Row],[TODAY]]-qry_ProdData2_PDI_Cash_Exception_Application[[#This Row],[CHANGED ON]]</f>
        <v>11.742928240739275</v>
      </c>
      <c r="N1744">
        <f ca="1">qry_ProdData2_PDI_Cash_Exception_Application[[#This Row],[TODAY]]-qry_ProdData2_PDI_Cash_Exception_Application[[#This Row],[CHANGED ON]]</f>
        <v>11.742928240739275</v>
      </c>
    </row>
    <row r="1745" spans="1:14" x14ac:dyDescent="0.35">
      <c r="A1745">
        <v>1025</v>
      </c>
      <c r="B1745" t="s">
        <v>79</v>
      </c>
      <c r="C1745" s="1">
        <v>45189.257071759261</v>
      </c>
      <c r="D1745" t="str">
        <f ca="1">VLOOKUP(qry_ProdData2_PDI_Cash_Exception_Application[[#This Row],[TYPE]],#REF!,2,FALSE)</f>
        <v>type13</v>
      </c>
      <c r="E1745">
        <v>19511.82</v>
      </c>
      <c r="F1745" t="s">
        <v>49</v>
      </c>
      <c r="G1745" s="1">
        <f>qry_ProdData2_PDI_Cash_Exception_Application[[#This Row],[INSERT DATE]]+1</f>
        <v>45190.257071759261</v>
      </c>
      <c r="H1745" t="str">
        <f>VLOOKUP(qry_ProdData2_PDI_Cash_Exception_Application[[#This Row],[MARKET No]],'Site Allocation'!$B$2:$C$37,2,FALSE)</f>
        <v>Analyst5</v>
      </c>
      <c r="I1745" s="4">
        <f t="shared" ca="1" si="27"/>
        <v>45203</v>
      </c>
      <c r="J1745" s="42">
        <f ca="1">TODAY()-qry_ProdData2_PDI_Cash_Exception_Application[[#This Row],[INSERT DATE]]</f>
        <v>13.742928240739275</v>
      </c>
      <c r="K17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45">
        <f ca="1">qry_ProdData2_PDI_Cash_Exception_Application[[#This Row],[TODAY]]-qry_ProdData2_PDI_Cash_Exception_Application[[#This Row],[CHANGED ON]]</f>
        <v>12.742928240739275</v>
      </c>
      <c r="M1745">
        <f ca="1">qry_ProdData2_PDI_Cash_Exception_Application[[#This Row],[TODAY]]-qry_ProdData2_PDI_Cash_Exception_Application[[#This Row],[CHANGED ON]]</f>
        <v>12.742928240739275</v>
      </c>
      <c r="N1745">
        <f ca="1">qry_ProdData2_PDI_Cash_Exception_Application[[#This Row],[TODAY]]-qry_ProdData2_PDI_Cash_Exception_Application[[#This Row],[CHANGED ON]]</f>
        <v>12.742928240739275</v>
      </c>
    </row>
    <row r="1746" spans="1:14" x14ac:dyDescent="0.35">
      <c r="A1746">
        <v>1016</v>
      </c>
      <c r="B1746" t="s">
        <v>70</v>
      </c>
      <c r="C1746" s="1">
        <v>45189.257071759261</v>
      </c>
      <c r="D1746" t="str">
        <f ca="1">VLOOKUP(qry_ProdData2_PDI_Cash_Exception_Application[[#This Row],[TYPE]],#REF!,2,FALSE)</f>
        <v>type13</v>
      </c>
      <c r="E1746">
        <v>25730.66</v>
      </c>
      <c r="F1746" t="s">
        <v>52</v>
      </c>
      <c r="G1746" s="1">
        <f>qry_ProdData2_PDI_Cash_Exception_Application[[#This Row],[INSERT DATE]]+1</f>
        <v>45190.257071759261</v>
      </c>
      <c r="H1746" t="str">
        <f>VLOOKUP(qry_ProdData2_PDI_Cash_Exception_Application[[#This Row],[MARKET No]],'Site Allocation'!$B$2:$C$37,2,FALSE)</f>
        <v>Analyst3</v>
      </c>
      <c r="I1746" s="4">
        <f t="shared" ca="1" si="27"/>
        <v>45203</v>
      </c>
      <c r="J1746" s="42">
        <f ca="1">TODAY()-qry_ProdData2_PDI_Cash_Exception_Application[[#This Row],[INSERT DATE]]</f>
        <v>13.742928240739275</v>
      </c>
      <c r="K17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46">
        <f ca="1">qry_ProdData2_PDI_Cash_Exception_Application[[#This Row],[TODAY]]-qry_ProdData2_PDI_Cash_Exception_Application[[#This Row],[CHANGED ON]]</f>
        <v>12.742928240739275</v>
      </c>
      <c r="M1746">
        <f ca="1">qry_ProdData2_PDI_Cash_Exception_Application[[#This Row],[TODAY]]-qry_ProdData2_PDI_Cash_Exception_Application[[#This Row],[CHANGED ON]]</f>
        <v>12.742928240739275</v>
      </c>
      <c r="N1746">
        <f ca="1">qry_ProdData2_PDI_Cash_Exception_Application[[#This Row],[TODAY]]-qry_ProdData2_PDI_Cash_Exception_Application[[#This Row],[CHANGED ON]]</f>
        <v>12.742928240739275</v>
      </c>
    </row>
    <row r="1747" spans="1:14" x14ac:dyDescent="0.35">
      <c r="A1747">
        <v>1011</v>
      </c>
      <c r="B1747" t="s">
        <v>65</v>
      </c>
      <c r="C1747" s="1">
        <v>45189.257071759261</v>
      </c>
      <c r="D1747" t="str">
        <f ca="1">VLOOKUP(qry_ProdData2_PDI_Cash_Exception_Application[[#This Row],[TYPE]],#REF!,2,FALSE)</f>
        <v>type15</v>
      </c>
      <c r="E1747">
        <v>-1045</v>
      </c>
      <c r="F1747" t="s">
        <v>50</v>
      </c>
      <c r="G1747" s="1">
        <f>qry_ProdData2_PDI_Cash_Exception_Application[[#This Row],[INSERT DATE]]+1</f>
        <v>45190.257071759261</v>
      </c>
      <c r="H1747" t="str">
        <f>VLOOKUP(qry_ProdData2_PDI_Cash_Exception_Application[[#This Row],[MARKET No]],'Site Allocation'!$B$2:$C$37,2,FALSE)</f>
        <v>Analyst2</v>
      </c>
      <c r="I1747" s="4">
        <f t="shared" ca="1" si="27"/>
        <v>45203</v>
      </c>
      <c r="J1747" s="42">
        <f ca="1">TODAY()-qry_ProdData2_PDI_Cash_Exception_Application[[#This Row],[INSERT DATE]]</f>
        <v>13.742928240739275</v>
      </c>
      <c r="K17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47">
        <f ca="1">qry_ProdData2_PDI_Cash_Exception_Application[[#This Row],[TODAY]]-qry_ProdData2_PDI_Cash_Exception_Application[[#This Row],[CHANGED ON]]</f>
        <v>12.742928240739275</v>
      </c>
      <c r="M1747">
        <f ca="1">qry_ProdData2_PDI_Cash_Exception_Application[[#This Row],[TODAY]]-qry_ProdData2_PDI_Cash_Exception_Application[[#This Row],[CHANGED ON]]</f>
        <v>12.742928240739275</v>
      </c>
      <c r="N1747">
        <f ca="1">qry_ProdData2_PDI_Cash_Exception_Application[[#This Row],[TODAY]]-qry_ProdData2_PDI_Cash_Exception_Application[[#This Row],[CHANGED ON]]</f>
        <v>12.742928240739275</v>
      </c>
    </row>
    <row r="1748" spans="1:14" x14ac:dyDescent="0.35">
      <c r="A1748">
        <v>1032</v>
      </c>
      <c r="B1748" t="s">
        <v>86</v>
      </c>
      <c r="C1748" s="1">
        <v>45184.257071759261</v>
      </c>
      <c r="D1748" t="str">
        <f ca="1">VLOOKUP(qry_ProdData2_PDI_Cash_Exception_Application[[#This Row],[TYPE]],#REF!,2,FALSE)</f>
        <v>type13</v>
      </c>
      <c r="E1748">
        <v>27850.29</v>
      </c>
      <c r="F1748" t="s">
        <v>49</v>
      </c>
      <c r="G1748" s="1">
        <f>qry_ProdData2_PDI_Cash_Exception_Application[[#This Row],[INSERT DATE]]+2</f>
        <v>45186.257071759261</v>
      </c>
      <c r="H1748" t="str">
        <f>VLOOKUP(qry_ProdData2_PDI_Cash_Exception_Application[[#This Row],[MARKET No]],'Site Allocation'!$B$2:$C$37,2,FALSE)</f>
        <v>Analyst6</v>
      </c>
      <c r="I1748" s="4">
        <f t="shared" ca="1" si="27"/>
        <v>45203</v>
      </c>
      <c r="J1748" s="42">
        <f ca="1">TODAY()-qry_ProdData2_PDI_Cash_Exception_Application[[#This Row],[INSERT DATE]]</f>
        <v>18.742928240739275</v>
      </c>
      <c r="K17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48">
        <f ca="1">qry_ProdData2_PDI_Cash_Exception_Application[[#This Row],[TODAY]]-qry_ProdData2_PDI_Cash_Exception_Application[[#This Row],[CHANGED ON]]</f>
        <v>16.742928240739275</v>
      </c>
      <c r="M1748">
        <f ca="1">qry_ProdData2_PDI_Cash_Exception_Application[[#This Row],[TODAY]]-qry_ProdData2_PDI_Cash_Exception_Application[[#This Row],[CHANGED ON]]</f>
        <v>16.742928240739275</v>
      </c>
      <c r="N1748">
        <f ca="1">qry_ProdData2_PDI_Cash_Exception_Application[[#This Row],[TODAY]]-qry_ProdData2_PDI_Cash_Exception_Application[[#This Row],[CHANGED ON]]</f>
        <v>16.742928240739275</v>
      </c>
    </row>
    <row r="1749" spans="1:14" x14ac:dyDescent="0.35">
      <c r="A1749">
        <v>1018</v>
      </c>
      <c r="B1749" t="s">
        <v>72</v>
      </c>
      <c r="C1749" s="1">
        <v>45186.257071759261</v>
      </c>
      <c r="D1749" t="str">
        <f ca="1">VLOOKUP(qry_ProdData2_PDI_Cash_Exception_Application[[#This Row],[TYPE]],#REF!,2,FALSE)</f>
        <v>type42</v>
      </c>
      <c r="E1749">
        <v>189</v>
      </c>
      <c r="F1749" t="s">
        <v>49</v>
      </c>
      <c r="G1749" s="1">
        <f>qry_ProdData2_PDI_Cash_Exception_Application[[#This Row],[INSERT DATE]]+2</f>
        <v>45188.257071759261</v>
      </c>
      <c r="H1749" t="str">
        <f>VLOOKUP(qry_ProdData2_PDI_Cash_Exception_Application[[#This Row],[MARKET No]],'Site Allocation'!$B$2:$C$37,2,FALSE)</f>
        <v>Analyst4</v>
      </c>
      <c r="I1749" s="4">
        <f t="shared" ca="1" si="27"/>
        <v>45203</v>
      </c>
      <c r="J1749" s="42">
        <f ca="1">TODAY()-qry_ProdData2_PDI_Cash_Exception_Application[[#This Row],[INSERT DATE]]</f>
        <v>16.742928240739275</v>
      </c>
      <c r="K17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49">
        <f ca="1">qry_ProdData2_PDI_Cash_Exception_Application[[#This Row],[TODAY]]-qry_ProdData2_PDI_Cash_Exception_Application[[#This Row],[CHANGED ON]]</f>
        <v>14.742928240739275</v>
      </c>
      <c r="M1749">
        <f ca="1">qry_ProdData2_PDI_Cash_Exception_Application[[#This Row],[TODAY]]-qry_ProdData2_PDI_Cash_Exception_Application[[#This Row],[CHANGED ON]]</f>
        <v>14.742928240739275</v>
      </c>
      <c r="N1749">
        <f ca="1">qry_ProdData2_PDI_Cash_Exception_Application[[#This Row],[TODAY]]-qry_ProdData2_PDI_Cash_Exception_Application[[#This Row],[CHANGED ON]]</f>
        <v>14.742928240739275</v>
      </c>
    </row>
    <row r="1750" spans="1:14" x14ac:dyDescent="0.35">
      <c r="A1750">
        <v>1031</v>
      </c>
      <c r="B1750" t="s">
        <v>85</v>
      </c>
      <c r="C1750" s="1">
        <v>45191.257071759261</v>
      </c>
      <c r="D1750" t="str">
        <f ca="1">VLOOKUP(qry_ProdData2_PDI_Cash_Exception_Application[[#This Row],[TYPE]],#REF!,2,FALSE)</f>
        <v>type40</v>
      </c>
      <c r="E1750">
        <v>36.020000000000003</v>
      </c>
      <c r="F1750" t="s">
        <v>52</v>
      </c>
      <c r="G1750" s="1">
        <f>qry_ProdData2_PDI_Cash_Exception_Application[[#This Row],[INSERT DATE]]+1</f>
        <v>45192.257071759261</v>
      </c>
      <c r="H1750" t="str">
        <f>VLOOKUP(qry_ProdData2_PDI_Cash_Exception_Application[[#This Row],[MARKET No]],'Site Allocation'!$B$2:$C$37,2,FALSE)</f>
        <v>Analyst6</v>
      </c>
      <c r="I1750" s="4">
        <f t="shared" ca="1" si="27"/>
        <v>45203</v>
      </c>
      <c r="J1750" s="42">
        <f ca="1">TODAY()-qry_ProdData2_PDI_Cash_Exception_Application[[#This Row],[INSERT DATE]]</f>
        <v>11.742928240739275</v>
      </c>
      <c r="K17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50">
        <f ca="1">qry_ProdData2_PDI_Cash_Exception_Application[[#This Row],[TODAY]]-qry_ProdData2_PDI_Cash_Exception_Application[[#This Row],[CHANGED ON]]</f>
        <v>10.742928240739275</v>
      </c>
      <c r="M1750">
        <f ca="1">qry_ProdData2_PDI_Cash_Exception_Application[[#This Row],[TODAY]]-qry_ProdData2_PDI_Cash_Exception_Application[[#This Row],[CHANGED ON]]</f>
        <v>10.742928240739275</v>
      </c>
      <c r="N1750">
        <f ca="1">qry_ProdData2_PDI_Cash_Exception_Application[[#This Row],[TODAY]]-qry_ProdData2_PDI_Cash_Exception_Application[[#This Row],[CHANGED ON]]</f>
        <v>10.742928240739275</v>
      </c>
    </row>
    <row r="1751" spans="1:14" x14ac:dyDescent="0.35">
      <c r="A1751">
        <v>1011</v>
      </c>
      <c r="B1751" t="s">
        <v>65</v>
      </c>
      <c r="C1751" s="1">
        <v>45186.257071759261</v>
      </c>
      <c r="D1751" t="str">
        <f ca="1">VLOOKUP(qry_ProdData2_PDI_Cash_Exception_Application[[#This Row],[TYPE]],#REF!,2,FALSE)</f>
        <v>type40</v>
      </c>
      <c r="E1751">
        <v>2422.75</v>
      </c>
      <c r="F1751" t="s">
        <v>47</v>
      </c>
      <c r="G1751" s="1">
        <f>qry_ProdData2_PDI_Cash_Exception_Application[[#This Row],[INSERT DATE]]+1</f>
        <v>45187.257071759261</v>
      </c>
      <c r="H1751" t="str">
        <f>VLOOKUP(qry_ProdData2_PDI_Cash_Exception_Application[[#This Row],[MARKET No]],'Site Allocation'!$B$2:$C$37,2,FALSE)</f>
        <v>Analyst2</v>
      </c>
      <c r="I1751" s="4">
        <f t="shared" ca="1" si="27"/>
        <v>45203</v>
      </c>
      <c r="J1751" s="42">
        <f ca="1">TODAY()-qry_ProdData2_PDI_Cash_Exception_Application[[#This Row],[INSERT DATE]]</f>
        <v>16.742928240739275</v>
      </c>
      <c r="K17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51">
        <f ca="1">qry_ProdData2_PDI_Cash_Exception_Application[[#This Row],[TODAY]]-qry_ProdData2_PDI_Cash_Exception_Application[[#This Row],[CHANGED ON]]</f>
        <v>15.742928240739275</v>
      </c>
      <c r="M1751">
        <f ca="1">qry_ProdData2_PDI_Cash_Exception_Application[[#This Row],[TODAY]]-qry_ProdData2_PDI_Cash_Exception_Application[[#This Row],[CHANGED ON]]</f>
        <v>15.742928240739275</v>
      </c>
      <c r="N1751">
        <f ca="1">qry_ProdData2_PDI_Cash_Exception_Application[[#This Row],[TODAY]]-qry_ProdData2_PDI_Cash_Exception_Application[[#This Row],[CHANGED ON]]</f>
        <v>15.742928240739275</v>
      </c>
    </row>
    <row r="1752" spans="1:14" x14ac:dyDescent="0.35">
      <c r="A1752">
        <v>1014</v>
      </c>
      <c r="B1752" t="s">
        <v>68</v>
      </c>
      <c r="C1752" s="1">
        <v>45189.257071759261</v>
      </c>
      <c r="D1752" t="str">
        <f ca="1">VLOOKUP(qry_ProdData2_PDI_Cash_Exception_Application[[#This Row],[TYPE]],#REF!,2,FALSE)</f>
        <v>type54</v>
      </c>
      <c r="E1752">
        <v>223.55</v>
      </c>
      <c r="F1752" t="s">
        <v>48</v>
      </c>
      <c r="G1752" s="1">
        <f>qry_ProdData2_PDI_Cash_Exception_Application[[#This Row],[INSERT DATE]]+2</f>
        <v>45191.257071759261</v>
      </c>
      <c r="H1752" t="str">
        <f>VLOOKUP(qry_ProdData2_PDI_Cash_Exception_Application[[#This Row],[MARKET No]],'Site Allocation'!$B$2:$C$37,2,FALSE)</f>
        <v>Analyst3</v>
      </c>
      <c r="I1752" s="4">
        <f t="shared" ca="1" si="27"/>
        <v>45203</v>
      </c>
      <c r="J1752" s="42">
        <f ca="1">TODAY()-qry_ProdData2_PDI_Cash_Exception_Application[[#This Row],[INSERT DATE]]</f>
        <v>13.742928240739275</v>
      </c>
      <c r="K17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52">
        <f ca="1">qry_ProdData2_PDI_Cash_Exception_Application[[#This Row],[TODAY]]-qry_ProdData2_PDI_Cash_Exception_Application[[#This Row],[CHANGED ON]]</f>
        <v>11.742928240739275</v>
      </c>
      <c r="M1752">
        <f ca="1">qry_ProdData2_PDI_Cash_Exception_Application[[#This Row],[TODAY]]-qry_ProdData2_PDI_Cash_Exception_Application[[#This Row],[CHANGED ON]]</f>
        <v>11.742928240739275</v>
      </c>
      <c r="N1752">
        <f ca="1">qry_ProdData2_PDI_Cash_Exception_Application[[#This Row],[TODAY]]-qry_ProdData2_PDI_Cash_Exception_Application[[#This Row],[CHANGED ON]]</f>
        <v>11.742928240739275</v>
      </c>
    </row>
    <row r="1753" spans="1:14" x14ac:dyDescent="0.35">
      <c r="A1753">
        <v>1024</v>
      </c>
      <c r="B1753" t="s">
        <v>78</v>
      </c>
      <c r="C1753" s="1">
        <v>45189.257071759261</v>
      </c>
      <c r="D1753" t="str">
        <f ca="1">VLOOKUP(qry_ProdData2_PDI_Cash_Exception_Application[[#This Row],[TYPE]],#REF!,2,FALSE)</f>
        <v>type41</v>
      </c>
      <c r="E1753">
        <v>1505.31</v>
      </c>
      <c r="F1753" t="s">
        <v>47</v>
      </c>
      <c r="G1753" s="1">
        <f>qry_ProdData2_PDI_Cash_Exception_Application[[#This Row],[INSERT DATE]]+1</f>
        <v>45190.257071759261</v>
      </c>
      <c r="H1753" t="str">
        <f>VLOOKUP(qry_ProdData2_PDI_Cash_Exception_Application[[#This Row],[MARKET No]],'Site Allocation'!$B$2:$C$37,2,FALSE)</f>
        <v>Analyst5</v>
      </c>
      <c r="I1753" s="4">
        <f t="shared" ca="1" si="27"/>
        <v>45203</v>
      </c>
      <c r="J1753" s="42">
        <f ca="1">TODAY()-qry_ProdData2_PDI_Cash_Exception_Application[[#This Row],[INSERT DATE]]</f>
        <v>13.742928240739275</v>
      </c>
      <c r="K17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53">
        <f ca="1">qry_ProdData2_PDI_Cash_Exception_Application[[#This Row],[TODAY]]-qry_ProdData2_PDI_Cash_Exception_Application[[#This Row],[CHANGED ON]]</f>
        <v>12.742928240739275</v>
      </c>
      <c r="M1753">
        <f ca="1">qry_ProdData2_PDI_Cash_Exception_Application[[#This Row],[TODAY]]-qry_ProdData2_PDI_Cash_Exception_Application[[#This Row],[CHANGED ON]]</f>
        <v>12.742928240739275</v>
      </c>
      <c r="N1753">
        <f ca="1">qry_ProdData2_PDI_Cash_Exception_Application[[#This Row],[TODAY]]-qry_ProdData2_PDI_Cash_Exception_Application[[#This Row],[CHANGED ON]]</f>
        <v>12.742928240739275</v>
      </c>
    </row>
    <row r="1754" spans="1:14" x14ac:dyDescent="0.35">
      <c r="A1754">
        <v>1021</v>
      </c>
      <c r="B1754" t="s">
        <v>75</v>
      </c>
      <c r="C1754" s="1">
        <v>45190.257071759261</v>
      </c>
      <c r="D1754" t="str">
        <f ca="1">VLOOKUP(qry_ProdData2_PDI_Cash_Exception_Application[[#This Row],[TYPE]],#REF!,2,FALSE)</f>
        <v>type40</v>
      </c>
      <c r="E1754">
        <v>1536.72</v>
      </c>
      <c r="F1754" t="s">
        <v>48</v>
      </c>
      <c r="G1754" s="1">
        <f>qry_ProdData2_PDI_Cash_Exception_Application[[#This Row],[INSERT DATE]]+5</f>
        <v>45195.257071759261</v>
      </c>
      <c r="H1754" t="str">
        <f>VLOOKUP(qry_ProdData2_PDI_Cash_Exception_Application[[#This Row],[MARKET No]],'Site Allocation'!$B$2:$C$37,2,FALSE)</f>
        <v>Analyst4</v>
      </c>
      <c r="I1754" s="4">
        <f t="shared" ca="1" si="27"/>
        <v>45203</v>
      </c>
      <c r="J1754" s="42">
        <f ca="1">TODAY()-qry_ProdData2_PDI_Cash_Exception_Application[[#This Row],[INSERT DATE]]</f>
        <v>12.742928240739275</v>
      </c>
      <c r="K17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54">
        <f ca="1">qry_ProdData2_PDI_Cash_Exception_Application[[#This Row],[TODAY]]-qry_ProdData2_PDI_Cash_Exception_Application[[#This Row],[CHANGED ON]]</f>
        <v>7.7429282407392748</v>
      </c>
      <c r="M1754">
        <f ca="1">qry_ProdData2_PDI_Cash_Exception_Application[[#This Row],[TODAY]]-qry_ProdData2_PDI_Cash_Exception_Application[[#This Row],[CHANGED ON]]</f>
        <v>7.7429282407392748</v>
      </c>
      <c r="N1754">
        <f ca="1">qry_ProdData2_PDI_Cash_Exception_Application[[#This Row],[TODAY]]-qry_ProdData2_PDI_Cash_Exception_Application[[#This Row],[CHANGED ON]]</f>
        <v>7.7429282407392748</v>
      </c>
    </row>
    <row r="1755" spans="1:14" x14ac:dyDescent="0.35">
      <c r="A1755">
        <v>1008</v>
      </c>
      <c r="B1755" t="s">
        <v>62</v>
      </c>
      <c r="C1755" s="1">
        <v>45180.257071759261</v>
      </c>
      <c r="D1755" t="str">
        <f ca="1">VLOOKUP(qry_ProdData2_PDI_Cash_Exception_Application[[#This Row],[TYPE]],#REF!,2,FALSE)</f>
        <v>type22</v>
      </c>
      <c r="E1755">
        <v>721.4</v>
      </c>
      <c r="F1755" t="s">
        <v>47</v>
      </c>
      <c r="G1755" s="1">
        <f>qry_ProdData2_PDI_Cash_Exception_Application[[#This Row],[INSERT DATE]]+2</f>
        <v>45182.257071759261</v>
      </c>
      <c r="H1755" t="str">
        <f>VLOOKUP(qry_ProdData2_PDI_Cash_Exception_Application[[#This Row],[MARKET No]],'Site Allocation'!$B$2:$C$37,2,FALSE)</f>
        <v>Analyst2</v>
      </c>
      <c r="I1755" s="4">
        <f t="shared" ca="1" si="27"/>
        <v>45203</v>
      </c>
      <c r="J1755" s="42">
        <f ca="1">TODAY()-qry_ProdData2_PDI_Cash_Exception_Application[[#This Row],[INSERT DATE]]</f>
        <v>22.742928240739275</v>
      </c>
      <c r="K17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55">
        <f ca="1">qry_ProdData2_PDI_Cash_Exception_Application[[#This Row],[TODAY]]-qry_ProdData2_PDI_Cash_Exception_Application[[#This Row],[CHANGED ON]]</f>
        <v>20.742928240739275</v>
      </c>
      <c r="M1755">
        <f ca="1">qry_ProdData2_PDI_Cash_Exception_Application[[#This Row],[TODAY]]-qry_ProdData2_PDI_Cash_Exception_Application[[#This Row],[CHANGED ON]]</f>
        <v>20.742928240739275</v>
      </c>
      <c r="N1755">
        <f ca="1">qry_ProdData2_PDI_Cash_Exception_Application[[#This Row],[TODAY]]-qry_ProdData2_PDI_Cash_Exception_Application[[#This Row],[CHANGED ON]]</f>
        <v>20.742928240739275</v>
      </c>
    </row>
    <row r="1756" spans="1:14" x14ac:dyDescent="0.35">
      <c r="A1756">
        <v>1020</v>
      </c>
      <c r="B1756" t="s">
        <v>74</v>
      </c>
      <c r="C1756" s="1">
        <v>45185.257071759261</v>
      </c>
      <c r="D1756" t="str">
        <f ca="1">VLOOKUP(qry_ProdData2_PDI_Cash_Exception_Application[[#This Row],[TYPE]],#REF!,2,FALSE)</f>
        <v>type40</v>
      </c>
      <c r="E1756">
        <v>4269.4399999999996</v>
      </c>
      <c r="F1756" t="s">
        <v>48</v>
      </c>
      <c r="G1756" s="1">
        <f>qry_ProdData2_PDI_Cash_Exception_Application[[#This Row],[INSERT DATE]]+5</f>
        <v>45190.257071759261</v>
      </c>
      <c r="H1756" t="str">
        <f>VLOOKUP(qry_ProdData2_PDI_Cash_Exception_Application[[#This Row],[MARKET No]],'Site Allocation'!$B$2:$C$37,2,FALSE)</f>
        <v>Analyst4</v>
      </c>
      <c r="I1756" s="4">
        <f t="shared" ca="1" si="27"/>
        <v>45203</v>
      </c>
      <c r="J1756" s="42">
        <f ca="1">TODAY()-qry_ProdData2_PDI_Cash_Exception_Application[[#This Row],[INSERT DATE]]</f>
        <v>17.742928240739275</v>
      </c>
      <c r="K17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56">
        <f ca="1">qry_ProdData2_PDI_Cash_Exception_Application[[#This Row],[TODAY]]-qry_ProdData2_PDI_Cash_Exception_Application[[#This Row],[CHANGED ON]]</f>
        <v>12.742928240739275</v>
      </c>
      <c r="M1756">
        <f ca="1">qry_ProdData2_PDI_Cash_Exception_Application[[#This Row],[TODAY]]-qry_ProdData2_PDI_Cash_Exception_Application[[#This Row],[CHANGED ON]]</f>
        <v>12.742928240739275</v>
      </c>
      <c r="N1756">
        <f ca="1">qry_ProdData2_PDI_Cash_Exception_Application[[#This Row],[TODAY]]-qry_ProdData2_PDI_Cash_Exception_Application[[#This Row],[CHANGED ON]]</f>
        <v>12.742928240739275</v>
      </c>
    </row>
    <row r="1757" spans="1:14" x14ac:dyDescent="0.35">
      <c r="A1757">
        <v>1021</v>
      </c>
      <c r="B1757" t="s">
        <v>75</v>
      </c>
      <c r="C1757" s="1">
        <v>45179.257071759261</v>
      </c>
      <c r="D1757" t="str">
        <f ca="1">VLOOKUP(qry_ProdData2_PDI_Cash_Exception_Application[[#This Row],[TYPE]],#REF!,2,FALSE)</f>
        <v>type25</v>
      </c>
      <c r="E1757">
        <v>192.38</v>
      </c>
      <c r="F1757" t="s">
        <v>52</v>
      </c>
      <c r="G1757" s="1">
        <f>qry_ProdData2_PDI_Cash_Exception_Application[[#This Row],[INSERT DATE]]+1</f>
        <v>45180.257071759261</v>
      </c>
      <c r="H1757" t="str">
        <f>VLOOKUP(qry_ProdData2_PDI_Cash_Exception_Application[[#This Row],[MARKET No]],'Site Allocation'!$B$2:$C$37,2,FALSE)</f>
        <v>Analyst4</v>
      </c>
      <c r="I1757" s="4">
        <f t="shared" ca="1" si="27"/>
        <v>45203</v>
      </c>
      <c r="J1757" s="42">
        <f ca="1">TODAY()-qry_ProdData2_PDI_Cash_Exception_Application[[#This Row],[INSERT DATE]]</f>
        <v>23.742928240739275</v>
      </c>
      <c r="K17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57">
        <f ca="1">qry_ProdData2_PDI_Cash_Exception_Application[[#This Row],[TODAY]]-qry_ProdData2_PDI_Cash_Exception_Application[[#This Row],[CHANGED ON]]</f>
        <v>22.742928240739275</v>
      </c>
      <c r="M1757">
        <f ca="1">qry_ProdData2_PDI_Cash_Exception_Application[[#This Row],[TODAY]]-qry_ProdData2_PDI_Cash_Exception_Application[[#This Row],[CHANGED ON]]</f>
        <v>22.742928240739275</v>
      </c>
      <c r="N1757">
        <f ca="1">qry_ProdData2_PDI_Cash_Exception_Application[[#This Row],[TODAY]]-qry_ProdData2_PDI_Cash_Exception_Application[[#This Row],[CHANGED ON]]</f>
        <v>22.742928240739275</v>
      </c>
    </row>
    <row r="1758" spans="1:14" x14ac:dyDescent="0.35">
      <c r="A1758">
        <v>1031</v>
      </c>
      <c r="B1758" t="s">
        <v>85</v>
      </c>
      <c r="C1758" s="1">
        <v>45187.257071759261</v>
      </c>
      <c r="D1758" t="str">
        <f ca="1">VLOOKUP(qry_ProdData2_PDI_Cash_Exception_Application[[#This Row],[TYPE]],#REF!,2,FALSE)</f>
        <v>type40</v>
      </c>
      <c r="E1758">
        <v>4229.25</v>
      </c>
      <c r="F1758" t="s">
        <v>48</v>
      </c>
      <c r="G1758" s="1">
        <f>qry_ProdData2_PDI_Cash_Exception_Application[[#This Row],[INSERT DATE]]+7</f>
        <v>45194.257071759261</v>
      </c>
      <c r="H1758" t="str">
        <f>VLOOKUP(qry_ProdData2_PDI_Cash_Exception_Application[[#This Row],[MARKET No]],'Site Allocation'!$B$2:$C$37,2,FALSE)</f>
        <v>Analyst6</v>
      </c>
      <c r="I1758" s="4">
        <f t="shared" ca="1" si="27"/>
        <v>45203</v>
      </c>
      <c r="J1758" s="42">
        <f ca="1">TODAY()-qry_ProdData2_PDI_Cash_Exception_Application[[#This Row],[INSERT DATE]]</f>
        <v>15.742928240739275</v>
      </c>
      <c r="K17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58">
        <f ca="1">qry_ProdData2_PDI_Cash_Exception_Application[[#This Row],[TODAY]]-qry_ProdData2_PDI_Cash_Exception_Application[[#This Row],[CHANGED ON]]</f>
        <v>8.7429282407392748</v>
      </c>
      <c r="M1758">
        <f ca="1">qry_ProdData2_PDI_Cash_Exception_Application[[#This Row],[TODAY]]-qry_ProdData2_PDI_Cash_Exception_Application[[#This Row],[CHANGED ON]]</f>
        <v>8.7429282407392748</v>
      </c>
      <c r="N1758">
        <f ca="1">qry_ProdData2_PDI_Cash_Exception_Application[[#This Row],[TODAY]]-qry_ProdData2_PDI_Cash_Exception_Application[[#This Row],[CHANGED ON]]</f>
        <v>8.7429282407392748</v>
      </c>
    </row>
    <row r="1759" spans="1:14" x14ac:dyDescent="0.35">
      <c r="A1759">
        <v>1006</v>
      </c>
      <c r="B1759" t="s">
        <v>60</v>
      </c>
      <c r="C1759" s="1">
        <v>45188.257071759261</v>
      </c>
      <c r="D1759" t="str">
        <f ca="1">VLOOKUP(qry_ProdData2_PDI_Cash_Exception_Application[[#This Row],[TYPE]],#REF!,2,FALSE)</f>
        <v>type38</v>
      </c>
      <c r="E1759">
        <v>455.54</v>
      </c>
      <c r="F1759" t="s">
        <v>51</v>
      </c>
      <c r="G1759" s="1">
        <f>qry_ProdData2_PDI_Cash_Exception_Application[[#This Row],[INSERT DATE]]+2</f>
        <v>45190.257071759261</v>
      </c>
      <c r="H1759" t="str">
        <f>VLOOKUP(qry_ProdData2_PDI_Cash_Exception_Application[[#This Row],[MARKET No]],'Site Allocation'!$B$2:$C$37,2,FALSE)</f>
        <v>Analyst2</v>
      </c>
      <c r="I1759" s="4">
        <f t="shared" ca="1" si="27"/>
        <v>45203</v>
      </c>
      <c r="J1759" s="42">
        <f ca="1">TODAY()-qry_ProdData2_PDI_Cash_Exception_Application[[#This Row],[INSERT DATE]]</f>
        <v>14.742928240739275</v>
      </c>
      <c r="K17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59">
        <f ca="1">qry_ProdData2_PDI_Cash_Exception_Application[[#This Row],[TODAY]]-qry_ProdData2_PDI_Cash_Exception_Application[[#This Row],[CHANGED ON]]</f>
        <v>12.742928240739275</v>
      </c>
      <c r="M1759">
        <f ca="1">qry_ProdData2_PDI_Cash_Exception_Application[[#This Row],[TODAY]]-qry_ProdData2_PDI_Cash_Exception_Application[[#This Row],[CHANGED ON]]</f>
        <v>12.742928240739275</v>
      </c>
      <c r="N1759">
        <f ca="1">qry_ProdData2_PDI_Cash_Exception_Application[[#This Row],[TODAY]]-qry_ProdData2_PDI_Cash_Exception_Application[[#This Row],[CHANGED ON]]</f>
        <v>12.742928240739275</v>
      </c>
    </row>
    <row r="1760" spans="1:14" x14ac:dyDescent="0.35">
      <c r="A1760">
        <v>1021</v>
      </c>
      <c r="B1760" t="s">
        <v>75</v>
      </c>
      <c r="C1760" s="1">
        <v>45182.257071759261</v>
      </c>
      <c r="D1760" t="str">
        <f ca="1">VLOOKUP(qry_ProdData2_PDI_Cash_Exception_Application[[#This Row],[TYPE]],#REF!,2,FALSE)</f>
        <v>type13</v>
      </c>
      <c r="E1760">
        <v>25096.14</v>
      </c>
      <c r="F1760" t="s">
        <v>52</v>
      </c>
      <c r="G1760" s="1">
        <f>qry_ProdData2_PDI_Cash_Exception_Application[[#This Row],[INSERT DATE]]+1</f>
        <v>45183.257071759261</v>
      </c>
      <c r="H1760" t="str">
        <f>VLOOKUP(qry_ProdData2_PDI_Cash_Exception_Application[[#This Row],[MARKET No]],'Site Allocation'!$B$2:$C$37,2,FALSE)</f>
        <v>Analyst4</v>
      </c>
      <c r="I1760" s="4">
        <f t="shared" ca="1" si="27"/>
        <v>45203</v>
      </c>
      <c r="J1760" s="42">
        <f ca="1">TODAY()-qry_ProdData2_PDI_Cash_Exception_Application[[#This Row],[INSERT DATE]]</f>
        <v>20.742928240739275</v>
      </c>
      <c r="K17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60">
        <f ca="1">qry_ProdData2_PDI_Cash_Exception_Application[[#This Row],[TODAY]]-qry_ProdData2_PDI_Cash_Exception_Application[[#This Row],[CHANGED ON]]</f>
        <v>19.742928240739275</v>
      </c>
      <c r="M1760">
        <f ca="1">qry_ProdData2_PDI_Cash_Exception_Application[[#This Row],[TODAY]]-qry_ProdData2_PDI_Cash_Exception_Application[[#This Row],[CHANGED ON]]</f>
        <v>19.742928240739275</v>
      </c>
      <c r="N1760">
        <f ca="1">qry_ProdData2_PDI_Cash_Exception_Application[[#This Row],[TODAY]]-qry_ProdData2_PDI_Cash_Exception_Application[[#This Row],[CHANGED ON]]</f>
        <v>19.742928240739275</v>
      </c>
    </row>
    <row r="1761" spans="1:14" x14ac:dyDescent="0.35">
      <c r="A1761">
        <v>1011</v>
      </c>
      <c r="B1761" t="s">
        <v>65</v>
      </c>
      <c r="C1761" s="1">
        <v>45182.257071759261</v>
      </c>
      <c r="D1761" t="str">
        <f ca="1">VLOOKUP(qry_ProdData2_PDI_Cash_Exception_Application[[#This Row],[TYPE]],#REF!,2,FALSE)</f>
        <v>type40</v>
      </c>
      <c r="E1761">
        <v>40</v>
      </c>
      <c r="F1761" t="s">
        <v>50</v>
      </c>
      <c r="G1761" s="1">
        <f>qry_ProdData2_PDI_Cash_Exception_Application[[#This Row],[INSERT DATE]]+1</f>
        <v>45183.257071759261</v>
      </c>
      <c r="H1761" t="str">
        <f>VLOOKUP(qry_ProdData2_PDI_Cash_Exception_Application[[#This Row],[MARKET No]],'Site Allocation'!$B$2:$C$37,2,FALSE)</f>
        <v>Analyst2</v>
      </c>
      <c r="I1761" s="4">
        <f t="shared" ca="1" si="27"/>
        <v>45203</v>
      </c>
      <c r="J1761" s="42">
        <f ca="1">TODAY()-qry_ProdData2_PDI_Cash_Exception_Application[[#This Row],[INSERT DATE]]</f>
        <v>20.742928240739275</v>
      </c>
      <c r="K17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61">
        <f ca="1">qry_ProdData2_PDI_Cash_Exception_Application[[#This Row],[TODAY]]-qry_ProdData2_PDI_Cash_Exception_Application[[#This Row],[CHANGED ON]]</f>
        <v>19.742928240739275</v>
      </c>
      <c r="M1761">
        <f ca="1">qry_ProdData2_PDI_Cash_Exception_Application[[#This Row],[TODAY]]-qry_ProdData2_PDI_Cash_Exception_Application[[#This Row],[CHANGED ON]]</f>
        <v>19.742928240739275</v>
      </c>
      <c r="N1761">
        <f ca="1">qry_ProdData2_PDI_Cash_Exception_Application[[#This Row],[TODAY]]-qry_ProdData2_PDI_Cash_Exception_Application[[#This Row],[CHANGED ON]]</f>
        <v>19.742928240739275</v>
      </c>
    </row>
    <row r="1762" spans="1:14" x14ac:dyDescent="0.35">
      <c r="A1762">
        <v>1022</v>
      </c>
      <c r="B1762" t="s">
        <v>76</v>
      </c>
      <c r="C1762" s="1">
        <v>45181.257071759261</v>
      </c>
      <c r="D1762" t="str">
        <f ca="1">VLOOKUP(qry_ProdData2_PDI_Cash_Exception_Application[[#This Row],[TYPE]],#REF!,2,FALSE)</f>
        <v>type40</v>
      </c>
      <c r="E1762">
        <v>-1899.3</v>
      </c>
      <c r="F1762" t="s">
        <v>47</v>
      </c>
      <c r="G1762" s="1">
        <f>qry_ProdData2_PDI_Cash_Exception_Application[[#This Row],[INSERT DATE]]+2</f>
        <v>45183.257071759261</v>
      </c>
      <c r="H1762" t="str">
        <f>VLOOKUP(qry_ProdData2_PDI_Cash_Exception_Application[[#This Row],[MARKET No]],'Site Allocation'!$B$2:$C$37,2,FALSE)</f>
        <v>Analyst4</v>
      </c>
      <c r="I1762" s="4">
        <f t="shared" ca="1" si="27"/>
        <v>45203</v>
      </c>
      <c r="J1762" s="42">
        <f ca="1">TODAY()-qry_ProdData2_PDI_Cash_Exception_Application[[#This Row],[INSERT DATE]]</f>
        <v>21.742928240739275</v>
      </c>
      <c r="K17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62">
        <f ca="1">qry_ProdData2_PDI_Cash_Exception_Application[[#This Row],[TODAY]]-qry_ProdData2_PDI_Cash_Exception_Application[[#This Row],[CHANGED ON]]</f>
        <v>19.742928240739275</v>
      </c>
      <c r="M1762">
        <f ca="1">qry_ProdData2_PDI_Cash_Exception_Application[[#This Row],[TODAY]]-qry_ProdData2_PDI_Cash_Exception_Application[[#This Row],[CHANGED ON]]</f>
        <v>19.742928240739275</v>
      </c>
      <c r="N1762">
        <f ca="1">qry_ProdData2_PDI_Cash_Exception_Application[[#This Row],[TODAY]]-qry_ProdData2_PDI_Cash_Exception_Application[[#This Row],[CHANGED ON]]</f>
        <v>19.742928240739275</v>
      </c>
    </row>
    <row r="1763" spans="1:14" x14ac:dyDescent="0.35">
      <c r="A1763">
        <v>1027</v>
      </c>
      <c r="B1763" t="s">
        <v>81</v>
      </c>
      <c r="C1763" s="1">
        <v>45183.257071759261</v>
      </c>
      <c r="D1763" t="str">
        <f ca="1">VLOOKUP(qry_ProdData2_PDI_Cash_Exception_Application[[#This Row],[TYPE]],#REF!,2,FALSE)</f>
        <v>type40</v>
      </c>
      <c r="E1763">
        <v>568.84</v>
      </c>
      <c r="F1763" t="s">
        <v>52</v>
      </c>
      <c r="G1763" s="1">
        <f>qry_ProdData2_PDI_Cash_Exception_Application[[#This Row],[INSERT DATE]]+2</f>
        <v>45185.257071759261</v>
      </c>
      <c r="H1763" t="str">
        <f>VLOOKUP(qry_ProdData2_PDI_Cash_Exception_Application[[#This Row],[MARKET No]],'Site Allocation'!$B$2:$C$37,2,FALSE)</f>
        <v>Analyst5</v>
      </c>
      <c r="I1763" s="4">
        <f t="shared" ca="1" si="27"/>
        <v>45203</v>
      </c>
      <c r="J1763" s="42">
        <f ca="1">TODAY()-qry_ProdData2_PDI_Cash_Exception_Application[[#This Row],[INSERT DATE]]</f>
        <v>19.742928240739275</v>
      </c>
      <c r="K17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63">
        <f ca="1">qry_ProdData2_PDI_Cash_Exception_Application[[#This Row],[TODAY]]-qry_ProdData2_PDI_Cash_Exception_Application[[#This Row],[CHANGED ON]]</f>
        <v>17.742928240739275</v>
      </c>
      <c r="M1763">
        <f ca="1">qry_ProdData2_PDI_Cash_Exception_Application[[#This Row],[TODAY]]-qry_ProdData2_PDI_Cash_Exception_Application[[#This Row],[CHANGED ON]]</f>
        <v>17.742928240739275</v>
      </c>
      <c r="N1763">
        <f ca="1">qry_ProdData2_PDI_Cash_Exception_Application[[#This Row],[TODAY]]-qry_ProdData2_PDI_Cash_Exception_Application[[#This Row],[CHANGED ON]]</f>
        <v>17.742928240739275</v>
      </c>
    </row>
    <row r="1764" spans="1:14" x14ac:dyDescent="0.35">
      <c r="A1764">
        <v>1013</v>
      </c>
      <c r="B1764" t="s">
        <v>67</v>
      </c>
      <c r="C1764" s="1">
        <v>45184.257071759261</v>
      </c>
      <c r="D1764" t="str">
        <f ca="1">VLOOKUP(qry_ProdData2_PDI_Cash_Exception_Application[[#This Row],[TYPE]],#REF!,2,FALSE)</f>
        <v>type40</v>
      </c>
      <c r="E1764">
        <v>856.67</v>
      </c>
      <c r="F1764" t="s">
        <v>50</v>
      </c>
      <c r="G1764" s="1">
        <f>qry_ProdData2_PDI_Cash_Exception_Application[[#This Row],[INSERT DATE]]+2</f>
        <v>45186.257071759261</v>
      </c>
      <c r="H1764" t="str">
        <f>VLOOKUP(qry_ProdData2_PDI_Cash_Exception_Application[[#This Row],[MARKET No]],'Site Allocation'!$B$2:$C$37,2,FALSE)</f>
        <v>Analyst3</v>
      </c>
      <c r="I1764" s="4">
        <f t="shared" ca="1" si="27"/>
        <v>45203</v>
      </c>
      <c r="J1764" s="42">
        <f ca="1">TODAY()-qry_ProdData2_PDI_Cash_Exception_Application[[#This Row],[INSERT DATE]]</f>
        <v>18.742928240739275</v>
      </c>
      <c r="K17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64">
        <f ca="1">qry_ProdData2_PDI_Cash_Exception_Application[[#This Row],[TODAY]]-qry_ProdData2_PDI_Cash_Exception_Application[[#This Row],[CHANGED ON]]</f>
        <v>16.742928240739275</v>
      </c>
      <c r="M1764">
        <f ca="1">qry_ProdData2_PDI_Cash_Exception_Application[[#This Row],[TODAY]]-qry_ProdData2_PDI_Cash_Exception_Application[[#This Row],[CHANGED ON]]</f>
        <v>16.742928240739275</v>
      </c>
      <c r="N1764">
        <f ca="1">qry_ProdData2_PDI_Cash_Exception_Application[[#This Row],[TODAY]]-qry_ProdData2_PDI_Cash_Exception_Application[[#This Row],[CHANGED ON]]</f>
        <v>16.742928240739275</v>
      </c>
    </row>
    <row r="1765" spans="1:14" x14ac:dyDescent="0.35">
      <c r="A1765">
        <v>1017</v>
      </c>
      <c r="B1765" t="s">
        <v>71</v>
      </c>
      <c r="C1765" s="1">
        <v>45184.257071759261</v>
      </c>
      <c r="D1765" t="str">
        <f ca="1">VLOOKUP(qry_ProdData2_PDI_Cash_Exception_Application[[#This Row],[TYPE]],#REF!,2,FALSE)</f>
        <v>type40</v>
      </c>
      <c r="E1765">
        <v>-827.14</v>
      </c>
      <c r="F1765" t="s">
        <v>52</v>
      </c>
      <c r="G1765" s="1">
        <f>qry_ProdData2_PDI_Cash_Exception_Application[[#This Row],[INSERT DATE]]+2</f>
        <v>45186.257071759261</v>
      </c>
      <c r="H1765" t="str">
        <f>VLOOKUP(qry_ProdData2_PDI_Cash_Exception_Application[[#This Row],[MARKET No]],'Site Allocation'!$B$2:$C$37,2,FALSE)</f>
        <v>Analyst3</v>
      </c>
      <c r="I1765" s="4">
        <f t="shared" ca="1" si="27"/>
        <v>45203</v>
      </c>
      <c r="J1765" s="42">
        <f ca="1">TODAY()-qry_ProdData2_PDI_Cash_Exception_Application[[#This Row],[INSERT DATE]]</f>
        <v>18.742928240739275</v>
      </c>
      <c r="K17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65">
        <f ca="1">qry_ProdData2_PDI_Cash_Exception_Application[[#This Row],[TODAY]]-qry_ProdData2_PDI_Cash_Exception_Application[[#This Row],[CHANGED ON]]</f>
        <v>16.742928240739275</v>
      </c>
      <c r="M1765">
        <f ca="1">qry_ProdData2_PDI_Cash_Exception_Application[[#This Row],[TODAY]]-qry_ProdData2_PDI_Cash_Exception_Application[[#This Row],[CHANGED ON]]</f>
        <v>16.742928240739275</v>
      </c>
      <c r="N1765">
        <f ca="1">qry_ProdData2_PDI_Cash_Exception_Application[[#This Row],[TODAY]]-qry_ProdData2_PDI_Cash_Exception_Application[[#This Row],[CHANGED ON]]</f>
        <v>16.742928240739275</v>
      </c>
    </row>
    <row r="1766" spans="1:14" x14ac:dyDescent="0.35">
      <c r="A1766">
        <v>1020</v>
      </c>
      <c r="B1766" t="s">
        <v>74</v>
      </c>
      <c r="C1766" s="1">
        <v>45185.257071759261</v>
      </c>
      <c r="D1766" t="str">
        <f ca="1">VLOOKUP(qry_ProdData2_PDI_Cash_Exception_Application[[#This Row],[TYPE]],#REF!,2,FALSE)</f>
        <v>type40</v>
      </c>
      <c r="E1766">
        <v>-2695.5</v>
      </c>
      <c r="F1766" t="s">
        <v>52</v>
      </c>
      <c r="G1766" s="1">
        <f>qry_ProdData2_PDI_Cash_Exception_Application[[#This Row],[INSERT DATE]]+2</f>
        <v>45187.257071759261</v>
      </c>
      <c r="H1766" t="str">
        <f>VLOOKUP(qry_ProdData2_PDI_Cash_Exception_Application[[#This Row],[MARKET No]],'Site Allocation'!$B$2:$C$37,2,FALSE)</f>
        <v>Analyst4</v>
      </c>
      <c r="I1766" s="4">
        <f t="shared" ca="1" si="27"/>
        <v>45203</v>
      </c>
      <c r="J1766" s="42">
        <f ca="1">TODAY()-qry_ProdData2_PDI_Cash_Exception_Application[[#This Row],[INSERT DATE]]</f>
        <v>17.742928240739275</v>
      </c>
      <c r="K17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66">
        <f ca="1">qry_ProdData2_PDI_Cash_Exception_Application[[#This Row],[TODAY]]-qry_ProdData2_PDI_Cash_Exception_Application[[#This Row],[CHANGED ON]]</f>
        <v>15.742928240739275</v>
      </c>
      <c r="M1766">
        <f ca="1">qry_ProdData2_PDI_Cash_Exception_Application[[#This Row],[TODAY]]-qry_ProdData2_PDI_Cash_Exception_Application[[#This Row],[CHANGED ON]]</f>
        <v>15.742928240739275</v>
      </c>
      <c r="N1766">
        <f ca="1">qry_ProdData2_PDI_Cash_Exception_Application[[#This Row],[TODAY]]-qry_ProdData2_PDI_Cash_Exception_Application[[#This Row],[CHANGED ON]]</f>
        <v>15.742928240739275</v>
      </c>
    </row>
    <row r="1767" spans="1:14" x14ac:dyDescent="0.35">
      <c r="A1767">
        <v>1032</v>
      </c>
      <c r="B1767" t="s">
        <v>86</v>
      </c>
      <c r="C1767" s="1">
        <v>45187.257071759261</v>
      </c>
      <c r="D1767" t="str">
        <f ca="1">VLOOKUP(qry_ProdData2_PDI_Cash_Exception_Application[[#This Row],[TYPE]],#REF!,2,FALSE)</f>
        <v>type26</v>
      </c>
      <c r="E1767">
        <v>120.12</v>
      </c>
      <c r="F1767" t="s">
        <v>49</v>
      </c>
      <c r="G1767" s="1">
        <f>qry_ProdData2_PDI_Cash_Exception_Application[[#This Row],[INSERT DATE]]+5</f>
        <v>45192.257071759261</v>
      </c>
      <c r="H1767" t="str">
        <f>VLOOKUP(qry_ProdData2_PDI_Cash_Exception_Application[[#This Row],[MARKET No]],'Site Allocation'!$B$2:$C$37,2,FALSE)</f>
        <v>Analyst6</v>
      </c>
      <c r="I1767" s="4">
        <f t="shared" ca="1" si="27"/>
        <v>45203</v>
      </c>
      <c r="J1767" s="42">
        <f ca="1">TODAY()-qry_ProdData2_PDI_Cash_Exception_Application[[#This Row],[INSERT DATE]]</f>
        <v>15.742928240739275</v>
      </c>
      <c r="K17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67">
        <f ca="1">qry_ProdData2_PDI_Cash_Exception_Application[[#This Row],[TODAY]]-qry_ProdData2_PDI_Cash_Exception_Application[[#This Row],[CHANGED ON]]</f>
        <v>10.742928240739275</v>
      </c>
      <c r="M1767">
        <f ca="1">qry_ProdData2_PDI_Cash_Exception_Application[[#This Row],[TODAY]]-qry_ProdData2_PDI_Cash_Exception_Application[[#This Row],[CHANGED ON]]</f>
        <v>10.742928240739275</v>
      </c>
      <c r="N1767">
        <f ca="1">qry_ProdData2_PDI_Cash_Exception_Application[[#This Row],[TODAY]]-qry_ProdData2_PDI_Cash_Exception_Application[[#This Row],[CHANGED ON]]</f>
        <v>10.742928240739275</v>
      </c>
    </row>
    <row r="1768" spans="1:14" x14ac:dyDescent="0.35">
      <c r="A1768">
        <v>1035</v>
      </c>
      <c r="B1768" t="s">
        <v>89</v>
      </c>
      <c r="C1768" s="1">
        <v>45190.257071759261</v>
      </c>
      <c r="D1768" t="str">
        <f ca="1">VLOOKUP(qry_ProdData2_PDI_Cash_Exception_Application[[#This Row],[TYPE]],#REF!,2,FALSE)</f>
        <v>type42</v>
      </c>
      <c r="E1768">
        <v>227.61</v>
      </c>
      <c r="F1768" t="s">
        <v>49</v>
      </c>
      <c r="G1768" s="1">
        <f>qry_ProdData2_PDI_Cash_Exception_Application[[#This Row],[INSERT DATE]]+5</f>
        <v>45195.257071759261</v>
      </c>
      <c r="H1768" t="str">
        <f>VLOOKUP(qry_ProdData2_PDI_Cash_Exception_Application[[#This Row],[MARKET No]],'Site Allocation'!$B$2:$C$37,2,FALSE)</f>
        <v>Analyst6</v>
      </c>
      <c r="I1768" s="4">
        <f t="shared" ca="1" si="27"/>
        <v>45203</v>
      </c>
      <c r="J1768" s="42">
        <f ca="1">TODAY()-qry_ProdData2_PDI_Cash_Exception_Application[[#This Row],[INSERT DATE]]</f>
        <v>12.742928240739275</v>
      </c>
      <c r="K17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68">
        <f ca="1">qry_ProdData2_PDI_Cash_Exception_Application[[#This Row],[TODAY]]-qry_ProdData2_PDI_Cash_Exception_Application[[#This Row],[CHANGED ON]]</f>
        <v>7.7429282407392748</v>
      </c>
      <c r="M1768">
        <f ca="1">qry_ProdData2_PDI_Cash_Exception_Application[[#This Row],[TODAY]]-qry_ProdData2_PDI_Cash_Exception_Application[[#This Row],[CHANGED ON]]</f>
        <v>7.7429282407392748</v>
      </c>
      <c r="N1768">
        <f ca="1">qry_ProdData2_PDI_Cash_Exception_Application[[#This Row],[TODAY]]-qry_ProdData2_PDI_Cash_Exception_Application[[#This Row],[CHANGED ON]]</f>
        <v>7.7429282407392748</v>
      </c>
    </row>
    <row r="1769" spans="1:14" x14ac:dyDescent="0.35">
      <c r="A1769">
        <v>1011</v>
      </c>
      <c r="B1769" t="s">
        <v>65</v>
      </c>
      <c r="C1769" s="1">
        <v>45191.257071759261</v>
      </c>
      <c r="D1769" t="str">
        <f ca="1">VLOOKUP(qry_ProdData2_PDI_Cash_Exception_Application[[#This Row],[TYPE]],#REF!,2,FALSE)</f>
        <v>type25</v>
      </c>
      <c r="E1769">
        <v>449.71</v>
      </c>
      <c r="F1769" t="s">
        <v>49</v>
      </c>
      <c r="G1769" s="1">
        <f>qry_ProdData2_PDI_Cash_Exception_Application[[#This Row],[INSERT DATE]]+5</f>
        <v>45196.257071759261</v>
      </c>
      <c r="H1769" t="str">
        <f>VLOOKUP(qry_ProdData2_PDI_Cash_Exception_Application[[#This Row],[MARKET No]],'Site Allocation'!$B$2:$C$37,2,FALSE)</f>
        <v>Analyst2</v>
      </c>
      <c r="I1769" s="4">
        <f t="shared" ca="1" si="27"/>
        <v>45203</v>
      </c>
      <c r="J1769" s="42">
        <f ca="1">TODAY()-qry_ProdData2_PDI_Cash_Exception_Application[[#This Row],[INSERT DATE]]</f>
        <v>11.742928240739275</v>
      </c>
      <c r="K17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69">
        <f ca="1">qry_ProdData2_PDI_Cash_Exception_Application[[#This Row],[TODAY]]-qry_ProdData2_PDI_Cash_Exception_Application[[#This Row],[CHANGED ON]]</f>
        <v>6.7429282407392748</v>
      </c>
      <c r="M1769">
        <f ca="1">qry_ProdData2_PDI_Cash_Exception_Application[[#This Row],[TODAY]]-qry_ProdData2_PDI_Cash_Exception_Application[[#This Row],[CHANGED ON]]</f>
        <v>6.7429282407392748</v>
      </c>
      <c r="N1769">
        <f ca="1">qry_ProdData2_PDI_Cash_Exception_Application[[#This Row],[TODAY]]-qry_ProdData2_PDI_Cash_Exception_Application[[#This Row],[CHANGED ON]]</f>
        <v>6.7429282407392748</v>
      </c>
    </row>
    <row r="1770" spans="1:14" x14ac:dyDescent="0.35">
      <c r="A1770">
        <v>1015</v>
      </c>
      <c r="B1770" t="s">
        <v>69</v>
      </c>
      <c r="C1770" s="1">
        <v>45187.257071759261</v>
      </c>
      <c r="D1770" t="str">
        <f ca="1">VLOOKUP(qry_ProdData2_PDI_Cash_Exception_Application[[#This Row],[TYPE]],#REF!,2,FALSE)</f>
        <v>type40</v>
      </c>
      <c r="E1770">
        <v>620.70000000000005</v>
      </c>
      <c r="F1770" t="s">
        <v>52</v>
      </c>
      <c r="G1770" s="1">
        <f>qry_ProdData2_PDI_Cash_Exception_Application[[#This Row],[INSERT DATE]]+2</f>
        <v>45189.257071759261</v>
      </c>
      <c r="H1770" t="str">
        <f>VLOOKUP(qry_ProdData2_PDI_Cash_Exception_Application[[#This Row],[MARKET No]],'Site Allocation'!$B$2:$C$37,2,FALSE)</f>
        <v>Analyst3</v>
      </c>
      <c r="I1770" s="4">
        <f t="shared" ca="1" si="27"/>
        <v>45203</v>
      </c>
      <c r="J1770" s="42">
        <f ca="1">TODAY()-qry_ProdData2_PDI_Cash_Exception_Application[[#This Row],[INSERT DATE]]</f>
        <v>15.742928240739275</v>
      </c>
      <c r="K17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70">
        <f ca="1">qry_ProdData2_PDI_Cash_Exception_Application[[#This Row],[TODAY]]-qry_ProdData2_PDI_Cash_Exception_Application[[#This Row],[CHANGED ON]]</f>
        <v>13.742928240739275</v>
      </c>
      <c r="M1770">
        <f ca="1">qry_ProdData2_PDI_Cash_Exception_Application[[#This Row],[TODAY]]-qry_ProdData2_PDI_Cash_Exception_Application[[#This Row],[CHANGED ON]]</f>
        <v>13.742928240739275</v>
      </c>
      <c r="N1770">
        <f ca="1">qry_ProdData2_PDI_Cash_Exception_Application[[#This Row],[TODAY]]-qry_ProdData2_PDI_Cash_Exception_Application[[#This Row],[CHANGED ON]]</f>
        <v>13.742928240739275</v>
      </c>
    </row>
    <row r="1771" spans="1:14" x14ac:dyDescent="0.35">
      <c r="A1771">
        <v>1028</v>
      </c>
      <c r="B1771" t="s">
        <v>82</v>
      </c>
      <c r="C1771" s="1">
        <v>45189.257071759261</v>
      </c>
      <c r="D1771" t="str">
        <f ca="1">VLOOKUP(qry_ProdData2_PDI_Cash_Exception_Application[[#This Row],[TYPE]],#REF!,2,FALSE)</f>
        <v>type40</v>
      </c>
      <c r="E1771">
        <v>-1316.59</v>
      </c>
      <c r="F1771" t="s">
        <v>48</v>
      </c>
      <c r="G1771" s="1">
        <f>qry_ProdData2_PDI_Cash_Exception_Application[[#This Row],[INSERT DATE]]+1</f>
        <v>45190.257071759261</v>
      </c>
      <c r="H1771" t="str">
        <f>VLOOKUP(qry_ProdData2_PDI_Cash_Exception_Application[[#This Row],[MARKET No]],'Site Allocation'!$B$2:$C$37,2,FALSE)</f>
        <v>Analyst5</v>
      </c>
      <c r="I1771" s="4">
        <f t="shared" ca="1" si="27"/>
        <v>45203</v>
      </c>
      <c r="J1771" s="42">
        <f ca="1">TODAY()-qry_ProdData2_PDI_Cash_Exception_Application[[#This Row],[INSERT DATE]]</f>
        <v>13.742928240739275</v>
      </c>
      <c r="K17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71">
        <f ca="1">qry_ProdData2_PDI_Cash_Exception_Application[[#This Row],[TODAY]]-qry_ProdData2_PDI_Cash_Exception_Application[[#This Row],[CHANGED ON]]</f>
        <v>12.742928240739275</v>
      </c>
      <c r="M1771">
        <f ca="1">qry_ProdData2_PDI_Cash_Exception_Application[[#This Row],[TODAY]]-qry_ProdData2_PDI_Cash_Exception_Application[[#This Row],[CHANGED ON]]</f>
        <v>12.742928240739275</v>
      </c>
      <c r="N1771">
        <f ca="1">qry_ProdData2_PDI_Cash_Exception_Application[[#This Row],[TODAY]]-qry_ProdData2_PDI_Cash_Exception_Application[[#This Row],[CHANGED ON]]</f>
        <v>12.742928240739275</v>
      </c>
    </row>
    <row r="1772" spans="1:14" x14ac:dyDescent="0.35">
      <c r="A1772">
        <v>1005</v>
      </c>
      <c r="B1772" t="s">
        <v>59</v>
      </c>
      <c r="C1772" s="1">
        <v>45189.257071759261</v>
      </c>
      <c r="D1772" t="str">
        <f ca="1">VLOOKUP(qry_ProdData2_PDI_Cash_Exception_Application[[#This Row],[TYPE]],#REF!,2,FALSE)</f>
        <v>type40</v>
      </c>
      <c r="E1772">
        <v>-639.75</v>
      </c>
      <c r="F1772" t="s">
        <v>52</v>
      </c>
      <c r="G1772" s="1">
        <f>qry_ProdData2_PDI_Cash_Exception_Application[[#This Row],[INSERT DATE]]+2</f>
        <v>45191.257071759261</v>
      </c>
      <c r="H1772" t="str">
        <f>VLOOKUP(qry_ProdData2_PDI_Cash_Exception_Application[[#This Row],[MARKET No]],'Site Allocation'!$B$2:$C$37,2,FALSE)</f>
        <v>Analyst1</v>
      </c>
      <c r="I1772" s="4">
        <f t="shared" ca="1" si="27"/>
        <v>45203</v>
      </c>
      <c r="J1772" s="42">
        <f ca="1">TODAY()-qry_ProdData2_PDI_Cash_Exception_Application[[#This Row],[INSERT DATE]]</f>
        <v>13.742928240739275</v>
      </c>
      <c r="K17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72">
        <f ca="1">qry_ProdData2_PDI_Cash_Exception_Application[[#This Row],[TODAY]]-qry_ProdData2_PDI_Cash_Exception_Application[[#This Row],[CHANGED ON]]</f>
        <v>11.742928240739275</v>
      </c>
      <c r="M1772">
        <f ca="1">qry_ProdData2_PDI_Cash_Exception_Application[[#This Row],[TODAY]]-qry_ProdData2_PDI_Cash_Exception_Application[[#This Row],[CHANGED ON]]</f>
        <v>11.742928240739275</v>
      </c>
      <c r="N1772">
        <f ca="1">qry_ProdData2_PDI_Cash_Exception_Application[[#This Row],[TODAY]]-qry_ProdData2_PDI_Cash_Exception_Application[[#This Row],[CHANGED ON]]</f>
        <v>11.742928240739275</v>
      </c>
    </row>
    <row r="1773" spans="1:14" x14ac:dyDescent="0.35">
      <c r="A1773">
        <v>1035</v>
      </c>
      <c r="B1773" t="s">
        <v>89</v>
      </c>
      <c r="C1773" s="1">
        <v>45190.257071759261</v>
      </c>
      <c r="D1773" t="str">
        <f ca="1">VLOOKUP(qry_ProdData2_PDI_Cash_Exception_Application[[#This Row],[TYPE]],#REF!,2,FALSE)</f>
        <v>type38</v>
      </c>
      <c r="E1773">
        <v>151.81</v>
      </c>
      <c r="F1773" t="s">
        <v>51</v>
      </c>
      <c r="G1773" s="1">
        <f>qry_ProdData2_PDI_Cash_Exception_Application[[#This Row],[INSERT DATE]]+5</f>
        <v>45195.257071759261</v>
      </c>
      <c r="H1773" t="str">
        <f>VLOOKUP(qry_ProdData2_PDI_Cash_Exception_Application[[#This Row],[MARKET No]],'Site Allocation'!$B$2:$C$37,2,FALSE)</f>
        <v>Analyst6</v>
      </c>
      <c r="I1773" s="4">
        <f t="shared" ca="1" si="27"/>
        <v>45203</v>
      </c>
      <c r="J1773" s="42">
        <f ca="1">TODAY()-qry_ProdData2_PDI_Cash_Exception_Application[[#This Row],[INSERT DATE]]</f>
        <v>12.742928240739275</v>
      </c>
      <c r="K17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73">
        <f ca="1">qry_ProdData2_PDI_Cash_Exception_Application[[#This Row],[TODAY]]-qry_ProdData2_PDI_Cash_Exception_Application[[#This Row],[CHANGED ON]]</f>
        <v>7.7429282407392748</v>
      </c>
      <c r="M1773">
        <f ca="1">qry_ProdData2_PDI_Cash_Exception_Application[[#This Row],[TODAY]]-qry_ProdData2_PDI_Cash_Exception_Application[[#This Row],[CHANGED ON]]</f>
        <v>7.7429282407392748</v>
      </c>
      <c r="N1773">
        <f ca="1">qry_ProdData2_PDI_Cash_Exception_Application[[#This Row],[TODAY]]-qry_ProdData2_PDI_Cash_Exception_Application[[#This Row],[CHANGED ON]]</f>
        <v>7.7429282407392748</v>
      </c>
    </row>
    <row r="1774" spans="1:14" x14ac:dyDescent="0.35">
      <c r="A1774">
        <v>1019</v>
      </c>
      <c r="B1774" t="s">
        <v>73</v>
      </c>
      <c r="C1774" s="1">
        <v>45191.257071759261</v>
      </c>
      <c r="D1774" t="str">
        <f ca="1">VLOOKUP(qry_ProdData2_PDI_Cash_Exception_Application[[#This Row],[TYPE]],#REF!,2,FALSE)</f>
        <v>type42</v>
      </c>
      <c r="E1774">
        <v>195.49</v>
      </c>
      <c r="F1774" t="s">
        <v>51</v>
      </c>
      <c r="G1774" s="1">
        <f>qry_ProdData2_PDI_Cash_Exception_Application[[#This Row],[INSERT DATE]]+7</f>
        <v>45198.257071759261</v>
      </c>
      <c r="H1774" t="str">
        <f>VLOOKUP(qry_ProdData2_PDI_Cash_Exception_Application[[#This Row],[MARKET No]],'Site Allocation'!$B$2:$C$37,2,FALSE)</f>
        <v>Analyst4</v>
      </c>
      <c r="I1774" s="4">
        <f t="shared" ca="1" si="27"/>
        <v>45203</v>
      </c>
      <c r="J1774" s="42">
        <f ca="1">TODAY()-qry_ProdData2_PDI_Cash_Exception_Application[[#This Row],[INSERT DATE]]</f>
        <v>11.742928240739275</v>
      </c>
      <c r="K17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74">
        <f ca="1">qry_ProdData2_PDI_Cash_Exception_Application[[#This Row],[TODAY]]-qry_ProdData2_PDI_Cash_Exception_Application[[#This Row],[CHANGED ON]]</f>
        <v>4.7429282407392748</v>
      </c>
      <c r="M1774">
        <f ca="1">qry_ProdData2_PDI_Cash_Exception_Application[[#This Row],[TODAY]]-qry_ProdData2_PDI_Cash_Exception_Application[[#This Row],[CHANGED ON]]</f>
        <v>4.7429282407392748</v>
      </c>
      <c r="N1774">
        <f ca="1">qry_ProdData2_PDI_Cash_Exception_Application[[#This Row],[TODAY]]-qry_ProdData2_PDI_Cash_Exception_Application[[#This Row],[CHANGED ON]]</f>
        <v>4.7429282407392748</v>
      </c>
    </row>
    <row r="1775" spans="1:14" x14ac:dyDescent="0.35">
      <c r="A1775">
        <v>1031</v>
      </c>
      <c r="B1775" t="s">
        <v>85</v>
      </c>
      <c r="C1775" s="1">
        <v>45190.257071759261</v>
      </c>
      <c r="D1775" t="str">
        <f ca="1">VLOOKUP(qry_ProdData2_PDI_Cash_Exception_Application[[#This Row],[TYPE]],#REF!,2,FALSE)</f>
        <v>type40</v>
      </c>
      <c r="E1775">
        <v>40</v>
      </c>
      <c r="F1775" t="s">
        <v>52</v>
      </c>
      <c r="G1775" s="1">
        <f>qry_ProdData2_PDI_Cash_Exception_Application[[#This Row],[INSERT DATE]]+2</f>
        <v>45192.257071759261</v>
      </c>
      <c r="H1775" t="str">
        <f>VLOOKUP(qry_ProdData2_PDI_Cash_Exception_Application[[#This Row],[MARKET No]],'Site Allocation'!$B$2:$C$37,2,FALSE)</f>
        <v>Analyst6</v>
      </c>
      <c r="I1775" s="4">
        <f t="shared" ca="1" si="27"/>
        <v>45203</v>
      </c>
      <c r="J1775" s="42">
        <f ca="1">TODAY()-qry_ProdData2_PDI_Cash_Exception_Application[[#This Row],[INSERT DATE]]</f>
        <v>12.742928240739275</v>
      </c>
      <c r="K17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75">
        <f ca="1">qry_ProdData2_PDI_Cash_Exception_Application[[#This Row],[TODAY]]-qry_ProdData2_PDI_Cash_Exception_Application[[#This Row],[CHANGED ON]]</f>
        <v>10.742928240739275</v>
      </c>
      <c r="M1775">
        <f ca="1">qry_ProdData2_PDI_Cash_Exception_Application[[#This Row],[TODAY]]-qry_ProdData2_PDI_Cash_Exception_Application[[#This Row],[CHANGED ON]]</f>
        <v>10.742928240739275</v>
      </c>
      <c r="N1775">
        <f ca="1">qry_ProdData2_PDI_Cash_Exception_Application[[#This Row],[TODAY]]-qry_ProdData2_PDI_Cash_Exception_Application[[#This Row],[CHANGED ON]]</f>
        <v>10.742928240739275</v>
      </c>
    </row>
    <row r="1776" spans="1:14" x14ac:dyDescent="0.35">
      <c r="A1776">
        <v>1017</v>
      </c>
      <c r="B1776" t="s">
        <v>71</v>
      </c>
      <c r="C1776" s="1">
        <v>45182.257071759261</v>
      </c>
      <c r="D1776" t="str">
        <f ca="1">VLOOKUP(qry_ProdData2_PDI_Cash_Exception_Application[[#This Row],[TYPE]],#REF!,2,FALSE)</f>
        <v>type27</v>
      </c>
      <c r="E1776">
        <v>862.56</v>
      </c>
      <c r="F1776" t="s">
        <v>51</v>
      </c>
      <c r="G1776" s="1">
        <f>qry_ProdData2_PDI_Cash_Exception_Application[[#This Row],[INSERT DATE]]+1</f>
        <v>45183.257071759261</v>
      </c>
      <c r="H1776" t="str">
        <f>VLOOKUP(qry_ProdData2_PDI_Cash_Exception_Application[[#This Row],[MARKET No]],'Site Allocation'!$B$2:$C$37,2,FALSE)</f>
        <v>Analyst3</v>
      </c>
      <c r="I1776" s="4">
        <f t="shared" ca="1" si="27"/>
        <v>45203</v>
      </c>
      <c r="J1776" s="42">
        <f ca="1">TODAY()-qry_ProdData2_PDI_Cash_Exception_Application[[#This Row],[INSERT DATE]]</f>
        <v>20.742928240739275</v>
      </c>
      <c r="K17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76">
        <f ca="1">qry_ProdData2_PDI_Cash_Exception_Application[[#This Row],[TODAY]]-qry_ProdData2_PDI_Cash_Exception_Application[[#This Row],[CHANGED ON]]</f>
        <v>19.742928240739275</v>
      </c>
      <c r="M1776">
        <f ca="1">qry_ProdData2_PDI_Cash_Exception_Application[[#This Row],[TODAY]]-qry_ProdData2_PDI_Cash_Exception_Application[[#This Row],[CHANGED ON]]</f>
        <v>19.742928240739275</v>
      </c>
      <c r="N1776">
        <f ca="1">qry_ProdData2_PDI_Cash_Exception_Application[[#This Row],[TODAY]]-qry_ProdData2_PDI_Cash_Exception_Application[[#This Row],[CHANGED ON]]</f>
        <v>19.742928240739275</v>
      </c>
    </row>
    <row r="1777" spans="1:14" x14ac:dyDescent="0.35">
      <c r="A1777">
        <v>1022</v>
      </c>
      <c r="B1777" t="s">
        <v>76</v>
      </c>
      <c r="C1777" s="1">
        <v>45192.257071759261</v>
      </c>
      <c r="D1777" t="str">
        <f ca="1">VLOOKUP(qry_ProdData2_PDI_Cash_Exception_Application[[#This Row],[TYPE]],#REF!,2,FALSE)</f>
        <v>type24</v>
      </c>
      <c r="E1777">
        <v>711.06</v>
      </c>
      <c r="F1777" t="s">
        <v>49</v>
      </c>
      <c r="G1777" s="1">
        <f>qry_ProdData2_PDI_Cash_Exception_Application[[#This Row],[INSERT DATE]]+5</f>
        <v>45197.257071759261</v>
      </c>
      <c r="H1777" t="str">
        <f>VLOOKUP(qry_ProdData2_PDI_Cash_Exception_Application[[#This Row],[MARKET No]],'Site Allocation'!$B$2:$C$37,2,FALSE)</f>
        <v>Analyst4</v>
      </c>
      <c r="I1777" s="4">
        <f t="shared" ca="1" si="27"/>
        <v>45203</v>
      </c>
      <c r="J1777" s="42">
        <f ca="1">TODAY()-qry_ProdData2_PDI_Cash_Exception_Application[[#This Row],[INSERT DATE]]</f>
        <v>10.742928240739275</v>
      </c>
      <c r="K17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77">
        <f ca="1">qry_ProdData2_PDI_Cash_Exception_Application[[#This Row],[TODAY]]-qry_ProdData2_PDI_Cash_Exception_Application[[#This Row],[CHANGED ON]]</f>
        <v>5.7429282407392748</v>
      </c>
      <c r="M1777">
        <f ca="1">qry_ProdData2_PDI_Cash_Exception_Application[[#This Row],[TODAY]]-qry_ProdData2_PDI_Cash_Exception_Application[[#This Row],[CHANGED ON]]</f>
        <v>5.7429282407392748</v>
      </c>
      <c r="N1777">
        <f ca="1">qry_ProdData2_PDI_Cash_Exception_Application[[#This Row],[TODAY]]-qry_ProdData2_PDI_Cash_Exception_Application[[#This Row],[CHANGED ON]]</f>
        <v>5.7429282407392748</v>
      </c>
    </row>
    <row r="1778" spans="1:14" x14ac:dyDescent="0.35">
      <c r="A1778">
        <v>1011</v>
      </c>
      <c r="B1778" t="s">
        <v>65</v>
      </c>
      <c r="C1778" s="1">
        <v>45183.257071759261</v>
      </c>
      <c r="D1778" t="str">
        <f ca="1">VLOOKUP(qry_ProdData2_PDI_Cash_Exception_Application[[#This Row],[TYPE]],#REF!,2,FALSE)</f>
        <v>type48</v>
      </c>
      <c r="E1778">
        <v>-528.37</v>
      </c>
      <c r="F1778" t="s">
        <v>47</v>
      </c>
      <c r="G1778" s="1">
        <f>qry_ProdData2_PDI_Cash_Exception_Application[[#This Row],[INSERT DATE]]+2</f>
        <v>45185.257071759261</v>
      </c>
      <c r="H1778" t="str">
        <f>VLOOKUP(qry_ProdData2_PDI_Cash_Exception_Application[[#This Row],[MARKET No]],'Site Allocation'!$B$2:$C$37,2,FALSE)</f>
        <v>Analyst2</v>
      </c>
      <c r="I1778" s="4">
        <f t="shared" ca="1" si="27"/>
        <v>45203</v>
      </c>
      <c r="J1778" s="42">
        <f ca="1">TODAY()-qry_ProdData2_PDI_Cash_Exception_Application[[#This Row],[INSERT DATE]]</f>
        <v>19.742928240739275</v>
      </c>
      <c r="K17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78">
        <f ca="1">qry_ProdData2_PDI_Cash_Exception_Application[[#This Row],[TODAY]]-qry_ProdData2_PDI_Cash_Exception_Application[[#This Row],[CHANGED ON]]</f>
        <v>17.742928240739275</v>
      </c>
      <c r="M1778">
        <f ca="1">qry_ProdData2_PDI_Cash_Exception_Application[[#This Row],[TODAY]]-qry_ProdData2_PDI_Cash_Exception_Application[[#This Row],[CHANGED ON]]</f>
        <v>17.742928240739275</v>
      </c>
      <c r="N1778">
        <f ca="1">qry_ProdData2_PDI_Cash_Exception_Application[[#This Row],[TODAY]]-qry_ProdData2_PDI_Cash_Exception_Application[[#This Row],[CHANGED ON]]</f>
        <v>17.742928240739275</v>
      </c>
    </row>
    <row r="1779" spans="1:14" x14ac:dyDescent="0.35">
      <c r="A1779">
        <v>1016</v>
      </c>
      <c r="B1779" t="s">
        <v>70</v>
      </c>
      <c r="C1779" s="1">
        <v>45194.257071759261</v>
      </c>
      <c r="D1779" t="str">
        <f ca="1">VLOOKUP(qry_ProdData2_PDI_Cash_Exception_Application[[#This Row],[TYPE]],#REF!,2,FALSE)</f>
        <v>type40</v>
      </c>
      <c r="E1779">
        <v>527.72</v>
      </c>
      <c r="F1779" t="s">
        <v>50</v>
      </c>
      <c r="G1779" s="1">
        <f>qry_ProdData2_PDI_Cash_Exception_Application[[#This Row],[INSERT DATE]]+2</f>
        <v>45196.257071759261</v>
      </c>
      <c r="H1779" t="str">
        <f>VLOOKUP(qry_ProdData2_PDI_Cash_Exception_Application[[#This Row],[MARKET No]],'Site Allocation'!$B$2:$C$37,2,FALSE)</f>
        <v>Analyst3</v>
      </c>
      <c r="I1779" s="4">
        <f t="shared" ca="1" si="27"/>
        <v>45203</v>
      </c>
      <c r="J1779" s="42">
        <f ca="1">TODAY()-qry_ProdData2_PDI_Cash_Exception_Application[[#This Row],[INSERT DATE]]</f>
        <v>8.7429282407392748</v>
      </c>
      <c r="K17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779">
        <f ca="1">qry_ProdData2_PDI_Cash_Exception_Application[[#This Row],[TODAY]]-qry_ProdData2_PDI_Cash_Exception_Application[[#This Row],[CHANGED ON]]</f>
        <v>6.7429282407392748</v>
      </c>
      <c r="M1779">
        <f ca="1">qry_ProdData2_PDI_Cash_Exception_Application[[#This Row],[TODAY]]-qry_ProdData2_PDI_Cash_Exception_Application[[#This Row],[CHANGED ON]]</f>
        <v>6.7429282407392748</v>
      </c>
      <c r="N1779">
        <f ca="1">qry_ProdData2_PDI_Cash_Exception_Application[[#This Row],[TODAY]]-qry_ProdData2_PDI_Cash_Exception_Application[[#This Row],[CHANGED ON]]</f>
        <v>6.7429282407392748</v>
      </c>
    </row>
    <row r="1780" spans="1:14" x14ac:dyDescent="0.35">
      <c r="A1780">
        <v>1031</v>
      </c>
      <c r="B1780" t="s">
        <v>85</v>
      </c>
      <c r="C1780" s="1">
        <v>45185.257071759261</v>
      </c>
      <c r="D1780" t="str">
        <f ca="1">VLOOKUP(qry_ProdData2_PDI_Cash_Exception_Application[[#This Row],[TYPE]],#REF!,2,FALSE)</f>
        <v>type40</v>
      </c>
      <c r="E1780">
        <v>347.74</v>
      </c>
      <c r="F1780" t="s">
        <v>48</v>
      </c>
      <c r="G1780" s="1">
        <f>qry_ProdData2_PDI_Cash_Exception_Application[[#This Row],[INSERT DATE]]+1</f>
        <v>45186.257071759261</v>
      </c>
      <c r="H1780" t="str">
        <f>VLOOKUP(qry_ProdData2_PDI_Cash_Exception_Application[[#This Row],[MARKET No]],'Site Allocation'!$B$2:$C$37,2,FALSE)</f>
        <v>Analyst6</v>
      </c>
      <c r="I1780" s="4">
        <f t="shared" ca="1" si="27"/>
        <v>45203</v>
      </c>
      <c r="J1780" s="42">
        <f ca="1">TODAY()-qry_ProdData2_PDI_Cash_Exception_Application[[#This Row],[INSERT DATE]]</f>
        <v>17.742928240739275</v>
      </c>
      <c r="K17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80">
        <f ca="1">qry_ProdData2_PDI_Cash_Exception_Application[[#This Row],[TODAY]]-qry_ProdData2_PDI_Cash_Exception_Application[[#This Row],[CHANGED ON]]</f>
        <v>16.742928240739275</v>
      </c>
      <c r="M1780">
        <f ca="1">qry_ProdData2_PDI_Cash_Exception_Application[[#This Row],[TODAY]]-qry_ProdData2_PDI_Cash_Exception_Application[[#This Row],[CHANGED ON]]</f>
        <v>16.742928240739275</v>
      </c>
      <c r="N1780">
        <f ca="1">qry_ProdData2_PDI_Cash_Exception_Application[[#This Row],[TODAY]]-qry_ProdData2_PDI_Cash_Exception_Application[[#This Row],[CHANGED ON]]</f>
        <v>16.742928240739275</v>
      </c>
    </row>
    <row r="1781" spans="1:14" x14ac:dyDescent="0.35">
      <c r="A1781">
        <v>1014</v>
      </c>
      <c r="B1781" t="s">
        <v>68</v>
      </c>
      <c r="C1781" s="1">
        <v>45187.257071759261</v>
      </c>
      <c r="D1781" t="str">
        <f ca="1">VLOOKUP(qry_ProdData2_PDI_Cash_Exception_Application[[#This Row],[TYPE]],#REF!,2,FALSE)</f>
        <v>type40</v>
      </c>
      <c r="E1781">
        <v>24.74</v>
      </c>
      <c r="F1781" t="s">
        <v>48</v>
      </c>
      <c r="G1781" s="1">
        <f>qry_ProdData2_PDI_Cash_Exception_Application[[#This Row],[INSERT DATE]]+1</f>
        <v>45188.257071759261</v>
      </c>
      <c r="H1781" t="str">
        <f>VLOOKUP(qry_ProdData2_PDI_Cash_Exception_Application[[#This Row],[MARKET No]],'Site Allocation'!$B$2:$C$37,2,FALSE)</f>
        <v>Analyst3</v>
      </c>
      <c r="I1781" s="4">
        <f t="shared" ca="1" si="27"/>
        <v>45203</v>
      </c>
      <c r="J1781" s="42">
        <f ca="1">TODAY()-qry_ProdData2_PDI_Cash_Exception_Application[[#This Row],[INSERT DATE]]</f>
        <v>15.742928240739275</v>
      </c>
      <c r="K17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81">
        <f ca="1">qry_ProdData2_PDI_Cash_Exception_Application[[#This Row],[TODAY]]-qry_ProdData2_PDI_Cash_Exception_Application[[#This Row],[CHANGED ON]]</f>
        <v>14.742928240739275</v>
      </c>
      <c r="M1781">
        <f ca="1">qry_ProdData2_PDI_Cash_Exception_Application[[#This Row],[TODAY]]-qry_ProdData2_PDI_Cash_Exception_Application[[#This Row],[CHANGED ON]]</f>
        <v>14.742928240739275</v>
      </c>
      <c r="N1781">
        <f ca="1">qry_ProdData2_PDI_Cash_Exception_Application[[#This Row],[TODAY]]-qry_ProdData2_PDI_Cash_Exception_Application[[#This Row],[CHANGED ON]]</f>
        <v>14.742928240739275</v>
      </c>
    </row>
    <row r="1782" spans="1:14" x14ac:dyDescent="0.35">
      <c r="A1782">
        <v>1015</v>
      </c>
      <c r="B1782" t="s">
        <v>69</v>
      </c>
      <c r="C1782" s="1">
        <v>45197.257071759261</v>
      </c>
      <c r="D1782" t="str">
        <f ca="1">VLOOKUP(qry_ProdData2_PDI_Cash_Exception_Application[[#This Row],[TYPE]],#REF!,2,FALSE)</f>
        <v>type40</v>
      </c>
      <c r="E1782">
        <v>-1174.1199999999999</v>
      </c>
      <c r="F1782" t="s">
        <v>52</v>
      </c>
      <c r="G1782" s="1">
        <f>qry_ProdData2_PDI_Cash_Exception_Application[[#This Row],[INSERT DATE]]+2</f>
        <v>45199.257071759261</v>
      </c>
      <c r="H1782" t="str">
        <f>VLOOKUP(qry_ProdData2_PDI_Cash_Exception_Application[[#This Row],[MARKET No]],'Site Allocation'!$B$2:$C$37,2,FALSE)</f>
        <v>Analyst3</v>
      </c>
      <c r="I1782" s="4">
        <f t="shared" ca="1" si="27"/>
        <v>45203</v>
      </c>
      <c r="J1782" s="42">
        <f ca="1">TODAY()-qry_ProdData2_PDI_Cash_Exception_Application[[#This Row],[INSERT DATE]]</f>
        <v>5.7429282407392748</v>
      </c>
      <c r="K17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782">
        <f ca="1">qry_ProdData2_PDI_Cash_Exception_Application[[#This Row],[TODAY]]-qry_ProdData2_PDI_Cash_Exception_Application[[#This Row],[CHANGED ON]]</f>
        <v>3.7429282407392748</v>
      </c>
      <c r="M1782">
        <f ca="1">qry_ProdData2_PDI_Cash_Exception_Application[[#This Row],[TODAY]]-qry_ProdData2_PDI_Cash_Exception_Application[[#This Row],[CHANGED ON]]</f>
        <v>3.7429282407392748</v>
      </c>
      <c r="N1782">
        <f ca="1">qry_ProdData2_PDI_Cash_Exception_Application[[#This Row],[TODAY]]-qry_ProdData2_PDI_Cash_Exception_Application[[#This Row],[CHANGED ON]]</f>
        <v>3.7429282407392748</v>
      </c>
    </row>
    <row r="1783" spans="1:14" x14ac:dyDescent="0.35">
      <c r="A1783">
        <v>1025</v>
      </c>
      <c r="B1783" t="s">
        <v>79</v>
      </c>
      <c r="C1783" s="1">
        <v>45179.257071759261</v>
      </c>
      <c r="D1783" t="str">
        <f ca="1">VLOOKUP(qry_ProdData2_PDI_Cash_Exception_Application[[#This Row],[TYPE]],#REF!,2,FALSE)</f>
        <v>type40</v>
      </c>
      <c r="E1783">
        <v>-378.45</v>
      </c>
      <c r="F1783" t="s">
        <v>49</v>
      </c>
      <c r="G1783" s="1">
        <f>qry_ProdData2_PDI_Cash_Exception_Application[[#This Row],[INSERT DATE]]+7</f>
        <v>45186.257071759261</v>
      </c>
      <c r="H1783" t="str">
        <f>VLOOKUP(qry_ProdData2_PDI_Cash_Exception_Application[[#This Row],[MARKET No]],'Site Allocation'!$B$2:$C$37,2,FALSE)</f>
        <v>Analyst5</v>
      </c>
      <c r="I1783" s="4">
        <f t="shared" ca="1" si="27"/>
        <v>45203</v>
      </c>
      <c r="J1783" s="42">
        <f ca="1">TODAY()-qry_ProdData2_PDI_Cash_Exception_Application[[#This Row],[INSERT DATE]]</f>
        <v>23.742928240739275</v>
      </c>
      <c r="K17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83">
        <f ca="1">qry_ProdData2_PDI_Cash_Exception_Application[[#This Row],[TODAY]]-qry_ProdData2_PDI_Cash_Exception_Application[[#This Row],[CHANGED ON]]</f>
        <v>16.742928240739275</v>
      </c>
      <c r="M1783">
        <f ca="1">qry_ProdData2_PDI_Cash_Exception_Application[[#This Row],[TODAY]]-qry_ProdData2_PDI_Cash_Exception_Application[[#This Row],[CHANGED ON]]</f>
        <v>16.742928240739275</v>
      </c>
      <c r="N1783">
        <f ca="1">qry_ProdData2_PDI_Cash_Exception_Application[[#This Row],[TODAY]]-qry_ProdData2_PDI_Cash_Exception_Application[[#This Row],[CHANGED ON]]</f>
        <v>16.742928240739275</v>
      </c>
    </row>
    <row r="1784" spans="1:14" x14ac:dyDescent="0.35">
      <c r="A1784">
        <v>1008</v>
      </c>
      <c r="B1784" t="s">
        <v>62</v>
      </c>
      <c r="C1784" s="1">
        <v>45189.257071759261</v>
      </c>
      <c r="D1784" t="str">
        <f ca="1">VLOOKUP(qry_ProdData2_PDI_Cash_Exception_Application[[#This Row],[TYPE]],#REF!,2,FALSE)</f>
        <v>type40</v>
      </c>
      <c r="E1784">
        <v>367.9</v>
      </c>
      <c r="F1784" t="s">
        <v>48</v>
      </c>
      <c r="G1784" s="1">
        <f>qry_ProdData2_PDI_Cash_Exception_Application[[#This Row],[INSERT DATE]]+2</f>
        <v>45191.257071759261</v>
      </c>
      <c r="H1784" t="str">
        <f>VLOOKUP(qry_ProdData2_PDI_Cash_Exception_Application[[#This Row],[MARKET No]],'Site Allocation'!$B$2:$C$37,2,FALSE)</f>
        <v>Analyst2</v>
      </c>
      <c r="I1784" s="4">
        <f t="shared" ca="1" si="27"/>
        <v>45203</v>
      </c>
      <c r="J1784" s="42">
        <f ca="1">TODAY()-qry_ProdData2_PDI_Cash_Exception_Application[[#This Row],[INSERT DATE]]</f>
        <v>13.742928240739275</v>
      </c>
      <c r="K17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84">
        <f ca="1">qry_ProdData2_PDI_Cash_Exception_Application[[#This Row],[TODAY]]-qry_ProdData2_PDI_Cash_Exception_Application[[#This Row],[CHANGED ON]]</f>
        <v>11.742928240739275</v>
      </c>
      <c r="M1784">
        <f ca="1">qry_ProdData2_PDI_Cash_Exception_Application[[#This Row],[TODAY]]-qry_ProdData2_PDI_Cash_Exception_Application[[#This Row],[CHANGED ON]]</f>
        <v>11.742928240739275</v>
      </c>
      <c r="N1784">
        <f ca="1">qry_ProdData2_PDI_Cash_Exception_Application[[#This Row],[TODAY]]-qry_ProdData2_PDI_Cash_Exception_Application[[#This Row],[CHANGED ON]]</f>
        <v>11.742928240739275</v>
      </c>
    </row>
    <row r="1785" spans="1:14" x14ac:dyDescent="0.35">
      <c r="A1785">
        <v>1013</v>
      </c>
      <c r="B1785" t="s">
        <v>67</v>
      </c>
      <c r="C1785" s="1">
        <v>45187.257071759261</v>
      </c>
      <c r="D1785" t="str">
        <f ca="1">VLOOKUP(qry_ProdData2_PDI_Cash_Exception_Application[[#This Row],[TYPE]],#REF!,2,FALSE)</f>
        <v>type40</v>
      </c>
      <c r="E1785">
        <v>-715.6</v>
      </c>
      <c r="F1785" t="s">
        <v>52</v>
      </c>
      <c r="G1785" s="1">
        <f>qry_ProdData2_PDI_Cash_Exception_Application[[#This Row],[INSERT DATE]]+5</f>
        <v>45192.257071759261</v>
      </c>
      <c r="H1785" t="str">
        <f>VLOOKUP(qry_ProdData2_PDI_Cash_Exception_Application[[#This Row],[MARKET No]],'Site Allocation'!$B$2:$C$37,2,FALSE)</f>
        <v>Analyst3</v>
      </c>
      <c r="I1785" s="4">
        <f t="shared" ca="1" si="27"/>
        <v>45203</v>
      </c>
      <c r="J1785" s="42">
        <f ca="1">TODAY()-qry_ProdData2_PDI_Cash_Exception_Application[[#This Row],[INSERT DATE]]</f>
        <v>15.742928240739275</v>
      </c>
      <c r="K17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85">
        <f ca="1">qry_ProdData2_PDI_Cash_Exception_Application[[#This Row],[TODAY]]-qry_ProdData2_PDI_Cash_Exception_Application[[#This Row],[CHANGED ON]]</f>
        <v>10.742928240739275</v>
      </c>
      <c r="M1785">
        <f ca="1">qry_ProdData2_PDI_Cash_Exception_Application[[#This Row],[TODAY]]-qry_ProdData2_PDI_Cash_Exception_Application[[#This Row],[CHANGED ON]]</f>
        <v>10.742928240739275</v>
      </c>
      <c r="N1785">
        <f ca="1">qry_ProdData2_PDI_Cash_Exception_Application[[#This Row],[TODAY]]-qry_ProdData2_PDI_Cash_Exception_Application[[#This Row],[CHANGED ON]]</f>
        <v>10.742928240739275</v>
      </c>
    </row>
    <row r="1786" spans="1:14" x14ac:dyDescent="0.35">
      <c r="A1786">
        <v>1016</v>
      </c>
      <c r="B1786" t="s">
        <v>70</v>
      </c>
      <c r="C1786" s="1">
        <v>45185.257071759261</v>
      </c>
      <c r="D1786" t="str">
        <f ca="1">VLOOKUP(qry_ProdData2_PDI_Cash_Exception_Application[[#This Row],[TYPE]],#REF!,2,FALSE)</f>
        <v>type30</v>
      </c>
      <c r="E1786">
        <v>266.57</v>
      </c>
      <c r="F1786" t="s">
        <v>47</v>
      </c>
      <c r="G1786" s="1">
        <f>qry_ProdData2_PDI_Cash_Exception_Application[[#This Row],[INSERT DATE]]+2</f>
        <v>45187.257071759261</v>
      </c>
      <c r="H1786" t="str">
        <f>VLOOKUP(qry_ProdData2_PDI_Cash_Exception_Application[[#This Row],[MARKET No]],'Site Allocation'!$B$2:$C$37,2,FALSE)</f>
        <v>Analyst3</v>
      </c>
      <c r="I1786" s="4">
        <f t="shared" ca="1" si="27"/>
        <v>45203</v>
      </c>
      <c r="J1786" s="42">
        <f ca="1">TODAY()-qry_ProdData2_PDI_Cash_Exception_Application[[#This Row],[INSERT DATE]]</f>
        <v>17.742928240739275</v>
      </c>
      <c r="K17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86">
        <f ca="1">qry_ProdData2_PDI_Cash_Exception_Application[[#This Row],[TODAY]]-qry_ProdData2_PDI_Cash_Exception_Application[[#This Row],[CHANGED ON]]</f>
        <v>15.742928240739275</v>
      </c>
      <c r="M1786">
        <f ca="1">qry_ProdData2_PDI_Cash_Exception_Application[[#This Row],[TODAY]]-qry_ProdData2_PDI_Cash_Exception_Application[[#This Row],[CHANGED ON]]</f>
        <v>15.742928240739275</v>
      </c>
      <c r="N1786">
        <f ca="1">qry_ProdData2_PDI_Cash_Exception_Application[[#This Row],[TODAY]]-qry_ProdData2_PDI_Cash_Exception_Application[[#This Row],[CHANGED ON]]</f>
        <v>15.742928240739275</v>
      </c>
    </row>
    <row r="1787" spans="1:14" x14ac:dyDescent="0.35">
      <c r="A1787">
        <v>1032</v>
      </c>
      <c r="B1787" t="s">
        <v>86</v>
      </c>
      <c r="C1787" s="1">
        <v>45187.257071759261</v>
      </c>
      <c r="D1787" t="str">
        <f ca="1">VLOOKUP(qry_ProdData2_PDI_Cash_Exception_Application[[#This Row],[TYPE]],#REF!,2,FALSE)</f>
        <v>type40</v>
      </c>
      <c r="E1787">
        <v>13.53</v>
      </c>
      <c r="F1787" t="s">
        <v>48</v>
      </c>
      <c r="G1787" s="1">
        <f>qry_ProdData2_PDI_Cash_Exception_Application[[#This Row],[INSERT DATE]]+2</f>
        <v>45189.257071759261</v>
      </c>
      <c r="H1787" t="str">
        <f>VLOOKUP(qry_ProdData2_PDI_Cash_Exception_Application[[#This Row],[MARKET No]],'Site Allocation'!$B$2:$C$37,2,FALSE)</f>
        <v>Analyst6</v>
      </c>
      <c r="I1787" s="4">
        <f t="shared" ca="1" si="27"/>
        <v>45203</v>
      </c>
      <c r="J1787" s="42">
        <f ca="1">TODAY()-qry_ProdData2_PDI_Cash_Exception_Application[[#This Row],[INSERT DATE]]</f>
        <v>15.742928240739275</v>
      </c>
      <c r="K17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87">
        <f ca="1">qry_ProdData2_PDI_Cash_Exception_Application[[#This Row],[TODAY]]-qry_ProdData2_PDI_Cash_Exception_Application[[#This Row],[CHANGED ON]]</f>
        <v>13.742928240739275</v>
      </c>
      <c r="M1787">
        <f ca="1">qry_ProdData2_PDI_Cash_Exception_Application[[#This Row],[TODAY]]-qry_ProdData2_PDI_Cash_Exception_Application[[#This Row],[CHANGED ON]]</f>
        <v>13.742928240739275</v>
      </c>
      <c r="N1787">
        <f ca="1">qry_ProdData2_PDI_Cash_Exception_Application[[#This Row],[TODAY]]-qry_ProdData2_PDI_Cash_Exception_Application[[#This Row],[CHANGED ON]]</f>
        <v>13.742928240739275</v>
      </c>
    </row>
    <row r="1788" spans="1:14" x14ac:dyDescent="0.35">
      <c r="A1788">
        <v>1009</v>
      </c>
      <c r="B1788" t="s">
        <v>63</v>
      </c>
      <c r="C1788" s="1">
        <v>45186.257071759261</v>
      </c>
      <c r="D1788" t="str">
        <f ca="1">VLOOKUP(qry_ProdData2_PDI_Cash_Exception_Application[[#This Row],[TYPE]],#REF!,2,FALSE)</f>
        <v>type15</v>
      </c>
      <c r="E1788">
        <v>1002.25</v>
      </c>
      <c r="F1788" t="s">
        <v>47</v>
      </c>
      <c r="G1788" s="1">
        <f>qry_ProdData2_PDI_Cash_Exception_Application[[#This Row],[INSERT DATE]]+7</f>
        <v>45193.257071759261</v>
      </c>
      <c r="H1788" t="str">
        <f>VLOOKUP(qry_ProdData2_PDI_Cash_Exception_Application[[#This Row],[MARKET No]],'Site Allocation'!$B$2:$C$37,2,FALSE)</f>
        <v>Analyst2</v>
      </c>
      <c r="I1788" s="4">
        <f t="shared" ca="1" si="27"/>
        <v>45203</v>
      </c>
      <c r="J1788" s="42">
        <f ca="1">TODAY()-qry_ProdData2_PDI_Cash_Exception_Application[[#This Row],[INSERT DATE]]</f>
        <v>16.742928240739275</v>
      </c>
      <c r="K17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88">
        <f ca="1">qry_ProdData2_PDI_Cash_Exception_Application[[#This Row],[TODAY]]-qry_ProdData2_PDI_Cash_Exception_Application[[#This Row],[CHANGED ON]]</f>
        <v>9.7429282407392748</v>
      </c>
      <c r="M1788">
        <f ca="1">qry_ProdData2_PDI_Cash_Exception_Application[[#This Row],[TODAY]]-qry_ProdData2_PDI_Cash_Exception_Application[[#This Row],[CHANGED ON]]</f>
        <v>9.7429282407392748</v>
      </c>
      <c r="N1788">
        <f ca="1">qry_ProdData2_PDI_Cash_Exception_Application[[#This Row],[TODAY]]-qry_ProdData2_PDI_Cash_Exception_Application[[#This Row],[CHANGED ON]]</f>
        <v>9.7429282407392748</v>
      </c>
    </row>
    <row r="1789" spans="1:14" x14ac:dyDescent="0.35">
      <c r="A1789">
        <v>1018</v>
      </c>
      <c r="B1789" t="s">
        <v>72</v>
      </c>
      <c r="C1789" s="1">
        <v>45189.257071759261</v>
      </c>
      <c r="D1789" t="str">
        <f ca="1">VLOOKUP(qry_ProdData2_PDI_Cash_Exception_Application[[#This Row],[TYPE]],#REF!,2,FALSE)</f>
        <v>type40</v>
      </c>
      <c r="E1789">
        <v>3.89</v>
      </c>
      <c r="F1789" t="s">
        <v>47</v>
      </c>
      <c r="G1789" s="1">
        <f>qry_ProdData2_PDI_Cash_Exception_Application[[#This Row],[INSERT DATE]]+1</f>
        <v>45190.257071759261</v>
      </c>
      <c r="H1789" t="str">
        <f>VLOOKUP(qry_ProdData2_PDI_Cash_Exception_Application[[#This Row],[MARKET No]],'Site Allocation'!$B$2:$C$37,2,FALSE)</f>
        <v>Analyst4</v>
      </c>
      <c r="I1789" s="4">
        <f t="shared" ca="1" si="27"/>
        <v>45203</v>
      </c>
      <c r="J1789" s="42">
        <f ca="1">TODAY()-qry_ProdData2_PDI_Cash_Exception_Application[[#This Row],[INSERT DATE]]</f>
        <v>13.742928240739275</v>
      </c>
      <c r="K17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89">
        <f ca="1">qry_ProdData2_PDI_Cash_Exception_Application[[#This Row],[TODAY]]-qry_ProdData2_PDI_Cash_Exception_Application[[#This Row],[CHANGED ON]]</f>
        <v>12.742928240739275</v>
      </c>
      <c r="M1789">
        <f ca="1">qry_ProdData2_PDI_Cash_Exception_Application[[#This Row],[TODAY]]-qry_ProdData2_PDI_Cash_Exception_Application[[#This Row],[CHANGED ON]]</f>
        <v>12.742928240739275</v>
      </c>
      <c r="N1789">
        <f ca="1">qry_ProdData2_PDI_Cash_Exception_Application[[#This Row],[TODAY]]-qry_ProdData2_PDI_Cash_Exception_Application[[#This Row],[CHANGED ON]]</f>
        <v>12.742928240739275</v>
      </c>
    </row>
    <row r="1790" spans="1:14" x14ac:dyDescent="0.35">
      <c r="A1790">
        <v>1033</v>
      </c>
      <c r="B1790" t="s">
        <v>87</v>
      </c>
      <c r="C1790" s="1">
        <v>45190.257071759261</v>
      </c>
      <c r="D1790" t="str">
        <f ca="1">VLOOKUP(qry_ProdData2_PDI_Cash_Exception_Application[[#This Row],[TYPE]],#REF!,2,FALSE)</f>
        <v>type46</v>
      </c>
      <c r="E1790">
        <v>263.88</v>
      </c>
      <c r="F1790" t="s">
        <v>47</v>
      </c>
      <c r="G1790" s="1">
        <f>qry_ProdData2_PDI_Cash_Exception_Application[[#This Row],[INSERT DATE]]+1</f>
        <v>45191.257071759261</v>
      </c>
      <c r="H1790" t="str">
        <f>VLOOKUP(qry_ProdData2_PDI_Cash_Exception_Application[[#This Row],[MARKET No]],'Site Allocation'!$B$2:$C$37,2,FALSE)</f>
        <v>Analyst6</v>
      </c>
      <c r="I1790" s="4">
        <f t="shared" ca="1" si="27"/>
        <v>45203</v>
      </c>
      <c r="J1790" s="42">
        <f ca="1">TODAY()-qry_ProdData2_PDI_Cash_Exception_Application[[#This Row],[INSERT DATE]]</f>
        <v>12.742928240739275</v>
      </c>
      <c r="K17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90">
        <f ca="1">qry_ProdData2_PDI_Cash_Exception_Application[[#This Row],[TODAY]]-qry_ProdData2_PDI_Cash_Exception_Application[[#This Row],[CHANGED ON]]</f>
        <v>11.742928240739275</v>
      </c>
      <c r="M1790">
        <f ca="1">qry_ProdData2_PDI_Cash_Exception_Application[[#This Row],[TODAY]]-qry_ProdData2_PDI_Cash_Exception_Application[[#This Row],[CHANGED ON]]</f>
        <v>11.742928240739275</v>
      </c>
      <c r="N1790">
        <f ca="1">qry_ProdData2_PDI_Cash_Exception_Application[[#This Row],[TODAY]]-qry_ProdData2_PDI_Cash_Exception_Application[[#This Row],[CHANGED ON]]</f>
        <v>11.742928240739275</v>
      </c>
    </row>
    <row r="1791" spans="1:14" x14ac:dyDescent="0.35">
      <c r="A1791">
        <v>1015</v>
      </c>
      <c r="B1791" t="s">
        <v>69</v>
      </c>
      <c r="C1791" s="1">
        <v>45181.257071759261</v>
      </c>
      <c r="D1791" t="str">
        <f ca="1">VLOOKUP(qry_ProdData2_PDI_Cash_Exception_Application[[#This Row],[TYPE]],#REF!,2,FALSE)</f>
        <v>type40</v>
      </c>
      <c r="E1791">
        <v>878.85</v>
      </c>
      <c r="F1791" t="s">
        <v>49</v>
      </c>
      <c r="G1791" s="1">
        <f>qry_ProdData2_PDI_Cash_Exception_Application[[#This Row],[INSERT DATE]]+7</f>
        <v>45188.257071759261</v>
      </c>
      <c r="H1791" t="str">
        <f>VLOOKUP(qry_ProdData2_PDI_Cash_Exception_Application[[#This Row],[MARKET No]],'Site Allocation'!$B$2:$C$37,2,FALSE)</f>
        <v>Analyst3</v>
      </c>
      <c r="I1791" s="4">
        <f t="shared" ca="1" si="27"/>
        <v>45203</v>
      </c>
      <c r="J1791" s="42">
        <f ca="1">TODAY()-qry_ProdData2_PDI_Cash_Exception_Application[[#This Row],[INSERT DATE]]</f>
        <v>21.742928240739275</v>
      </c>
      <c r="K17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91">
        <f ca="1">qry_ProdData2_PDI_Cash_Exception_Application[[#This Row],[TODAY]]-qry_ProdData2_PDI_Cash_Exception_Application[[#This Row],[CHANGED ON]]</f>
        <v>14.742928240739275</v>
      </c>
      <c r="M1791">
        <f ca="1">qry_ProdData2_PDI_Cash_Exception_Application[[#This Row],[TODAY]]-qry_ProdData2_PDI_Cash_Exception_Application[[#This Row],[CHANGED ON]]</f>
        <v>14.742928240739275</v>
      </c>
      <c r="N1791">
        <f ca="1">qry_ProdData2_PDI_Cash_Exception_Application[[#This Row],[TODAY]]-qry_ProdData2_PDI_Cash_Exception_Application[[#This Row],[CHANGED ON]]</f>
        <v>14.742928240739275</v>
      </c>
    </row>
    <row r="1792" spans="1:14" x14ac:dyDescent="0.35">
      <c r="A1792">
        <v>1022</v>
      </c>
      <c r="B1792" t="s">
        <v>76</v>
      </c>
      <c r="C1792" s="1">
        <v>45190.257071759261</v>
      </c>
      <c r="D1792" t="str">
        <f ca="1">VLOOKUP(qry_ProdData2_PDI_Cash_Exception_Application[[#This Row],[TYPE]],#REF!,2,FALSE)</f>
        <v>type40</v>
      </c>
      <c r="E1792">
        <v>-412.77</v>
      </c>
      <c r="F1792" t="s">
        <v>48</v>
      </c>
      <c r="G1792" s="1">
        <f>qry_ProdData2_PDI_Cash_Exception_Application[[#This Row],[INSERT DATE]]+5</f>
        <v>45195.257071759261</v>
      </c>
      <c r="H1792" t="str">
        <f>VLOOKUP(qry_ProdData2_PDI_Cash_Exception_Application[[#This Row],[MARKET No]],'Site Allocation'!$B$2:$C$37,2,FALSE)</f>
        <v>Analyst4</v>
      </c>
      <c r="I1792" s="4">
        <f t="shared" ca="1" si="27"/>
        <v>45203</v>
      </c>
      <c r="J1792" s="42">
        <f ca="1">TODAY()-qry_ProdData2_PDI_Cash_Exception_Application[[#This Row],[INSERT DATE]]</f>
        <v>12.742928240739275</v>
      </c>
      <c r="K17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92">
        <f ca="1">qry_ProdData2_PDI_Cash_Exception_Application[[#This Row],[TODAY]]-qry_ProdData2_PDI_Cash_Exception_Application[[#This Row],[CHANGED ON]]</f>
        <v>7.7429282407392748</v>
      </c>
      <c r="M1792">
        <f ca="1">qry_ProdData2_PDI_Cash_Exception_Application[[#This Row],[TODAY]]-qry_ProdData2_PDI_Cash_Exception_Application[[#This Row],[CHANGED ON]]</f>
        <v>7.7429282407392748</v>
      </c>
      <c r="N1792">
        <f ca="1">qry_ProdData2_PDI_Cash_Exception_Application[[#This Row],[TODAY]]-qry_ProdData2_PDI_Cash_Exception_Application[[#This Row],[CHANGED ON]]</f>
        <v>7.7429282407392748</v>
      </c>
    </row>
    <row r="1793" spans="1:14" x14ac:dyDescent="0.35">
      <c r="A1793">
        <v>1028</v>
      </c>
      <c r="B1793" t="s">
        <v>82</v>
      </c>
      <c r="C1793" s="1">
        <v>45187.257071759261</v>
      </c>
      <c r="D1793" t="str">
        <f ca="1">VLOOKUP(qry_ProdData2_PDI_Cash_Exception_Application[[#This Row],[TYPE]],#REF!,2,FALSE)</f>
        <v>type40</v>
      </c>
      <c r="E1793">
        <v>-362.82</v>
      </c>
      <c r="F1793" t="s">
        <v>48</v>
      </c>
      <c r="G1793" s="1">
        <f>qry_ProdData2_PDI_Cash_Exception_Application[[#This Row],[INSERT DATE]]+5</f>
        <v>45192.257071759261</v>
      </c>
      <c r="H1793" t="str">
        <f>VLOOKUP(qry_ProdData2_PDI_Cash_Exception_Application[[#This Row],[MARKET No]],'Site Allocation'!$B$2:$C$37,2,FALSE)</f>
        <v>Analyst5</v>
      </c>
      <c r="I1793" s="4">
        <f t="shared" ca="1" si="27"/>
        <v>45203</v>
      </c>
      <c r="J1793" s="42">
        <f ca="1">TODAY()-qry_ProdData2_PDI_Cash_Exception_Application[[#This Row],[INSERT DATE]]</f>
        <v>15.742928240739275</v>
      </c>
      <c r="K17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93">
        <f ca="1">qry_ProdData2_PDI_Cash_Exception_Application[[#This Row],[TODAY]]-qry_ProdData2_PDI_Cash_Exception_Application[[#This Row],[CHANGED ON]]</f>
        <v>10.742928240739275</v>
      </c>
      <c r="M1793">
        <f ca="1">qry_ProdData2_PDI_Cash_Exception_Application[[#This Row],[TODAY]]-qry_ProdData2_PDI_Cash_Exception_Application[[#This Row],[CHANGED ON]]</f>
        <v>10.742928240739275</v>
      </c>
      <c r="N1793">
        <f ca="1">qry_ProdData2_PDI_Cash_Exception_Application[[#This Row],[TODAY]]-qry_ProdData2_PDI_Cash_Exception_Application[[#This Row],[CHANGED ON]]</f>
        <v>10.742928240739275</v>
      </c>
    </row>
    <row r="1794" spans="1:14" x14ac:dyDescent="0.35">
      <c r="A1794">
        <v>1008</v>
      </c>
      <c r="B1794" t="s">
        <v>62</v>
      </c>
      <c r="C1794" s="1">
        <v>45193.257071759261</v>
      </c>
      <c r="D1794" t="str">
        <f ca="1">VLOOKUP(qry_ProdData2_PDI_Cash_Exception_Application[[#This Row],[TYPE]],#REF!,2,FALSE)</f>
        <v>type40</v>
      </c>
      <c r="E1794">
        <v>-1961.81</v>
      </c>
      <c r="F1794" t="s">
        <v>50</v>
      </c>
      <c r="G1794" s="1">
        <f>qry_ProdData2_PDI_Cash_Exception_Application[[#This Row],[INSERT DATE]]+7</f>
        <v>45200.257071759261</v>
      </c>
      <c r="H1794" t="str">
        <f>VLOOKUP(qry_ProdData2_PDI_Cash_Exception_Application[[#This Row],[MARKET No]],'Site Allocation'!$B$2:$C$37,2,FALSE)</f>
        <v>Analyst2</v>
      </c>
      <c r="I1794" s="4">
        <f t="shared" ref="I1794:I1857" ca="1" si="28">TODAY()</f>
        <v>45203</v>
      </c>
      <c r="J1794" s="42">
        <f ca="1">TODAY()-qry_ProdData2_PDI_Cash_Exception_Application[[#This Row],[INSERT DATE]]</f>
        <v>9.7429282407392748</v>
      </c>
      <c r="K17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94">
        <f ca="1">qry_ProdData2_PDI_Cash_Exception_Application[[#This Row],[TODAY]]-qry_ProdData2_PDI_Cash_Exception_Application[[#This Row],[CHANGED ON]]</f>
        <v>2.7429282407392748</v>
      </c>
      <c r="M1794">
        <f ca="1">qry_ProdData2_PDI_Cash_Exception_Application[[#This Row],[TODAY]]-qry_ProdData2_PDI_Cash_Exception_Application[[#This Row],[CHANGED ON]]</f>
        <v>2.7429282407392748</v>
      </c>
      <c r="N1794">
        <f ca="1">qry_ProdData2_PDI_Cash_Exception_Application[[#This Row],[TODAY]]-qry_ProdData2_PDI_Cash_Exception_Application[[#This Row],[CHANGED ON]]</f>
        <v>2.7429282407392748</v>
      </c>
    </row>
    <row r="1795" spans="1:14" x14ac:dyDescent="0.35">
      <c r="A1795">
        <v>1027</v>
      </c>
      <c r="B1795" t="s">
        <v>81</v>
      </c>
      <c r="C1795" s="1">
        <v>45194.257071759261</v>
      </c>
      <c r="D1795" t="str">
        <f ca="1">VLOOKUP(qry_ProdData2_PDI_Cash_Exception_Application[[#This Row],[TYPE]],#REF!,2,FALSE)</f>
        <v>type40</v>
      </c>
      <c r="E1795">
        <v>310.83</v>
      </c>
      <c r="F1795" t="s">
        <v>50</v>
      </c>
      <c r="G1795" s="1">
        <f>qry_ProdData2_PDI_Cash_Exception_Application[[#This Row],[INSERT DATE]]+7</f>
        <v>45201.257071759261</v>
      </c>
      <c r="H1795" t="str">
        <f>VLOOKUP(qry_ProdData2_PDI_Cash_Exception_Application[[#This Row],[MARKET No]],'Site Allocation'!$B$2:$C$37,2,FALSE)</f>
        <v>Analyst5</v>
      </c>
      <c r="I1795" s="4">
        <f t="shared" ca="1" si="28"/>
        <v>45203</v>
      </c>
      <c r="J1795" s="42">
        <f ca="1">TODAY()-qry_ProdData2_PDI_Cash_Exception_Application[[#This Row],[INSERT DATE]]</f>
        <v>8.7429282407392748</v>
      </c>
      <c r="K17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795">
        <f ca="1">qry_ProdData2_PDI_Cash_Exception_Application[[#This Row],[TODAY]]-qry_ProdData2_PDI_Cash_Exception_Application[[#This Row],[CHANGED ON]]</f>
        <v>1.7429282407392748</v>
      </c>
      <c r="M1795">
        <f ca="1">qry_ProdData2_PDI_Cash_Exception_Application[[#This Row],[TODAY]]-qry_ProdData2_PDI_Cash_Exception_Application[[#This Row],[CHANGED ON]]</f>
        <v>1.7429282407392748</v>
      </c>
      <c r="N1795">
        <f ca="1">qry_ProdData2_PDI_Cash_Exception_Application[[#This Row],[TODAY]]-qry_ProdData2_PDI_Cash_Exception_Application[[#This Row],[CHANGED ON]]</f>
        <v>1.7429282407392748</v>
      </c>
    </row>
    <row r="1796" spans="1:14" x14ac:dyDescent="0.35">
      <c r="A1796">
        <v>1028</v>
      </c>
      <c r="B1796" t="s">
        <v>82</v>
      </c>
      <c r="C1796" s="1">
        <v>45195.257071759261</v>
      </c>
      <c r="D1796" t="str">
        <f ca="1">VLOOKUP(qry_ProdData2_PDI_Cash_Exception_Application[[#This Row],[TYPE]],#REF!,2,FALSE)</f>
        <v>type40</v>
      </c>
      <c r="E1796">
        <v>8943.2999999999993</v>
      </c>
      <c r="F1796" t="s">
        <v>50</v>
      </c>
      <c r="G1796" s="1">
        <f>qry_ProdData2_PDI_Cash_Exception_Application[[#This Row],[INSERT DATE]]+7</f>
        <v>45202.257071759261</v>
      </c>
      <c r="H1796" t="str">
        <f>VLOOKUP(qry_ProdData2_PDI_Cash_Exception_Application[[#This Row],[MARKET No]],'Site Allocation'!$B$2:$C$37,2,FALSE)</f>
        <v>Analyst5</v>
      </c>
      <c r="I1796" s="4">
        <f t="shared" ca="1" si="28"/>
        <v>45203</v>
      </c>
      <c r="J1796" s="42">
        <f ca="1">TODAY()-qry_ProdData2_PDI_Cash_Exception_Application[[#This Row],[INSERT DATE]]</f>
        <v>7.7429282407392748</v>
      </c>
      <c r="K17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796">
        <f ca="1">qry_ProdData2_PDI_Cash_Exception_Application[[#This Row],[TODAY]]-qry_ProdData2_PDI_Cash_Exception_Application[[#This Row],[CHANGED ON]]</f>
        <v>0.74292824073927477</v>
      </c>
      <c r="M1796">
        <f ca="1">qry_ProdData2_PDI_Cash_Exception_Application[[#This Row],[TODAY]]-qry_ProdData2_PDI_Cash_Exception_Application[[#This Row],[CHANGED ON]]</f>
        <v>0.74292824073927477</v>
      </c>
      <c r="N1796">
        <f ca="1">qry_ProdData2_PDI_Cash_Exception_Application[[#This Row],[TODAY]]-qry_ProdData2_PDI_Cash_Exception_Application[[#This Row],[CHANGED ON]]</f>
        <v>0.74292824073927477</v>
      </c>
    </row>
    <row r="1797" spans="1:14" x14ac:dyDescent="0.35">
      <c r="A1797">
        <v>1017</v>
      </c>
      <c r="B1797" t="s">
        <v>71</v>
      </c>
      <c r="C1797" s="1">
        <v>45196.257071759261</v>
      </c>
      <c r="D1797" t="str">
        <f ca="1">VLOOKUP(qry_ProdData2_PDI_Cash_Exception_Application[[#This Row],[TYPE]],#REF!,2,FALSE)</f>
        <v>type40</v>
      </c>
      <c r="E1797">
        <v>2631.47</v>
      </c>
      <c r="F1797" t="s">
        <v>50</v>
      </c>
      <c r="G1797" s="1">
        <f>qry_ProdData2_PDI_Cash_Exception_Application[[#This Row],[INSERT DATE]]+7</f>
        <v>45203.257071759261</v>
      </c>
      <c r="H1797" t="str">
        <f>VLOOKUP(qry_ProdData2_PDI_Cash_Exception_Application[[#This Row],[MARKET No]],'Site Allocation'!$B$2:$C$37,2,FALSE)</f>
        <v>Analyst3</v>
      </c>
      <c r="I1797" s="4">
        <f t="shared" ca="1" si="28"/>
        <v>45203</v>
      </c>
      <c r="J1797" s="42">
        <f ca="1">TODAY()-qry_ProdData2_PDI_Cash_Exception_Application[[#This Row],[INSERT DATE]]</f>
        <v>6.7429282407392748</v>
      </c>
      <c r="K17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797">
        <f ca="1">qry_ProdData2_PDI_Cash_Exception_Application[[#This Row],[TODAY]]-qry_ProdData2_PDI_Cash_Exception_Application[[#This Row],[CHANGED ON]]</f>
        <v>-0.25707175926072523</v>
      </c>
      <c r="M1797">
        <f ca="1">qry_ProdData2_PDI_Cash_Exception_Application[[#This Row],[TODAY]]-qry_ProdData2_PDI_Cash_Exception_Application[[#This Row],[CHANGED ON]]</f>
        <v>-0.25707175926072523</v>
      </c>
      <c r="N1797">
        <f ca="1">qry_ProdData2_PDI_Cash_Exception_Application[[#This Row],[TODAY]]-qry_ProdData2_PDI_Cash_Exception_Application[[#This Row],[CHANGED ON]]</f>
        <v>-0.25707175926072523</v>
      </c>
    </row>
    <row r="1798" spans="1:14" x14ac:dyDescent="0.35">
      <c r="A1798">
        <v>1014</v>
      </c>
      <c r="B1798" t="s">
        <v>68</v>
      </c>
      <c r="C1798" s="1">
        <v>45184.257071759261</v>
      </c>
      <c r="D1798" t="str">
        <f ca="1">VLOOKUP(qry_ProdData2_PDI_Cash_Exception_Application[[#This Row],[TYPE]],#REF!,2,FALSE)</f>
        <v>type40</v>
      </c>
      <c r="E1798">
        <v>1116.99</v>
      </c>
      <c r="F1798" t="s">
        <v>49</v>
      </c>
      <c r="G1798" s="1">
        <f>qry_ProdData2_PDI_Cash_Exception_Application[[#This Row],[INSERT DATE]]+7</f>
        <v>45191.257071759261</v>
      </c>
      <c r="H1798" t="str">
        <f>VLOOKUP(qry_ProdData2_PDI_Cash_Exception_Application[[#This Row],[MARKET No]],'Site Allocation'!$B$2:$C$37,2,FALSE)</f>
        <v>Analyst3</v>
      </c>
      <c r="I1798" s="4">
        <f t="shared" ca="1" si="28"/>
        <v>45203</v>
      </c>
      <c r="J1798" s="42">
        <f ca="1">TODAY()-qry_ProdData2_PDI_Cash_Exception_Application[[#This Row],[INSERT DATE]]</f>
        <v>18.742928240739275</v>
      </c>
      <c r="K17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98">
        <f ca="1">qry_ProdData2_PDI_Cash_Exception_Application[[#This Row],[TODAY]]-qry_ProdData2_PDI_Cash_Exception_Application[[#This Row],[CHANGED ON]]</f>
        <v>11.742928240739275</v>
      </c>
      <c r="M1798">
        <f ca="1">qry_ProdData2_PDI_Cash_Exception_Application[[#This Row],[TODAY]]-qry_ProdData2_PDI_Cash_Exception_Application[[#This Row],[CHANGED ON]]</f>
        <v>11.742928240739275</v>
      </c>
      <c r="N1798">
        <f ca="1">qry_ProdData2_PDI_Cash_Exception_Application[[#This Row],[TODAY]]-qry_ProdData2_PDI_Cash_Exception_Application[[#This Row],[CHANGED ON]]</f>
        <v>11.742928240739275</v>
      </c>
    </row>
    <row r="1799" spans="1:14" x14ac:dyDescent="0.35">
      <c r="A1799">
        <v>1022</v>
      </c>
      <c r="B1799" t="s">
        <v>76</v>
      </c>
      <c r="C1799" s="1">
        <v>45179.257071759261</v>
      </c>
      <c r="D1799" t="str">
        <f ca="1">VLOOKUP(qry_ProdData2_PDI_Cash_Exception_Application[[#This Row],[TYPE]],#REF!,2,FALSE)</f>
        <v>type40</v>
      </c>
      <c r="E1799">
        <v>-791.04</v>
      </c>
      <c r="F1799" t="s">
        <v>50</v>
      </c>
      <c r="G1799" s="1">
        <f>qry_ProdData2_PDI_Cash_Exception_Application[[#This Row],[INSERT DATE]]+7</f>
        <v>45186.257071759261</v>
      </c>
      <c r="H1799" t="str">
        <f>VLOOKUP(qry_ProdData2_PDI_Cash_Exception_Application[[#This Row],[MARKET No]],'Site Allocation'!$B$2:$C$37,2,FALSE)</f>
        <v>Analyst4</v>
      </c>
      <c r="I1799" s="4">
        <f t="shared" ca="1" si="28"/>
        <v>45203</v>
      </c>
      <c r="J1799" s="42">
        <f ca="1">TODAY()-qry_ProdData2_PDI_Cash_Exception_Application[[#This Row],[INSERT DATE]]</f>
        <v>23.742928240739275</v>
      </c>
      <c r="K17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799">
        <f ca="1">qry_ProdData2_PDI_Cash_Exception_Application[[#This Row],[TODAY]]-qry_ProdData2_PDI_Cash_Exception_Application[[#This Row],[CHANGED ON]]</f>
        <v>16.742928240739275</v>
      </c>
      <c r="M1799">
        <f ca="1">qry_ProdData2_PDI_Cash_Exception_Application[[#This Row],[TODAY]]-qry_ProdData2_PDI_Cash_Exception_Application[[#This Row],[CHANGED ON]]</f>
        <v>16.742928240739275</v>
      </c>
      <c r="N1799">
        <f ca="1">qry_ProdData2_PDI_Cash_Exception_Application[[#This Row],[TODAY]]-qry_ProdData2_PDI_Cash_Exception_Application[[#This Row],[CHANGED ON]]</f>
        <v>16.742928240739275</v>
      </c>
    </row>
    <row r="1800" spans="1:14" x14ac:dyDescent="0.35">
      <c r="A1800">
        <v>1026</v>
      </c>
      <c r="B1800" t="s">
        <v>80</v>
      </c>
      <c r="C1800" s="1">
        <v>45189.257071759261</v>
      </c>
      <c r="D1800" t="str">
        <f ca="1">VLOOKUP(qry_ProdData2_PDI_Cash_Exception_Application[[#This Row],[TYPE]],#REF!,2,FALSE)</f>
        <v>type40</v>
      </c>
      <c r="E1800">
        <v>466.81</v>
      </c>
      <c r="F1800" t="s">
        <v>48</v>
      </c>
      <c r="G1800" s="1">
        <f>qry_ProdData2_PDI_Cash_Exception_Application[[#This Row],[INSERT DATE]]+7</f>
        <v>45196.257071759261</v>
      </c>
      <c r="H1800" t="str">
        <f>VLOOKUP(qry_ProdData2_PDI_Cash_Exception_Application[[#This Row],[MARKET No]],'Site Allocation'!$B$2:$C$37,2,FALSE)</f>
        <v>Analyst5</v>
      </c>
      <c r="I1800" s="4">
        <f t="shared" ca="1" si="28"/>
        <v>45203</v>
      </c>
      <c r="J1800" s="42">
        <f ca="1">TODAY()-qry_ProdData2_PDI_Cash_Exception_Application[[#This Row],[INSERT DATE]]</f>
        <v>13.742928240739275</v>
      </c>
      <c r="K18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00">
        <f ca="1">qry_ProdData2_PDI_Cash_Exception_Application[[#This Row],[TODAY]]-qry_ProdData2_PDI_Cash_Exception_Application[[#This Row],[CHANGED ON]]</f>
        <v>6.7429282407392748</v>
      </c>
      <c r="M1800">
        <f ca="1">qry_ProdData2_PDI_Cash_Exception_Application[[#This Row],[TODAY]]-qry_ProdData2_PDI_Cash_Exception_Application[[#This Row],[CHANGED ON]]</f>
        <v>6.7429282407392748</v>
      </c>
      <c r="N1800">
        <f ca="1">qry_ProdData2_PDI_Cash_Exception_Application[[#This Row],[TODAY]]-qry_ProdData2_PDI_Cash_Exception_Application[[#This Row],[CHANGED ON]]</f>
        <v>6.7429282407392748</v>
      </c>
    </row>
    <row r="1801" spans="1:14" x14ac:dyDescent="0.35">
      <c r="A1801">
        <v>1006</v>
      </c>
      <c r="B1801" t="s">
        <v>60</v>
      </c>
      <c r="C1801" s="1">
        <v>45189.257071759261</v>
      </c>
      <c r="D1801" t="str">
        <f ca="1">VLOOKUP(qry_ProdData2_PDI_Cash_Exception_Application[[#This Row],[TYPE]],#REF!,2,FALSE)</f>
        <v>type40</v>
      </c>
      <c r="E1801">
        <v>-437.48</v>
      </c>
      <c r="F1801" t="s">
        <v>47</v>
      </c>
      <c r="G1801" s="1">
        <f>qry_ProdData2_PDI_Cash_Exception_Application[[#This Row],[INSERT DATE]]+1</f>
        <v>45190.257071759261</v>
      </c>
      <c r="H1801" t="str">
        <f>VLOOKUP(qry_ProdData2_PDI_Cash_Exception_Application[[#This Row],[MARKET No]],'Site Allocation'!$B$2:$C$37,2,FALSE)</f>
        <v>Analyst2</v>
      </c>
      <c r="I1801" s="4">
        <f t="shared" ca="1" si="28"/>
        <v>45203</v>
      </c>
      <c r="J1801" s="42">
        <f ca="1">TODAY()-qry_ProdData2_PDI_Cash_Exception_Application[[#This Row],[INSERT DATE]]</f>
        <v>13.742928240739275</v>
      </c>
      <c r="K18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01">
        <f ca="1">qry_ProdData2_PDI_Cash_Exception_Application[[#This Row],[TODAY]]-qry_ProdData2_PDI_Cash_Exception_Application[[#This Row],[CHANGED ON]]</f>
        <v>12.742928240739275</v>
      </c>
      <c r="M1801">
        <f ca="1">qry_ProdData2_PDI_Cash_Exception_Application[[#This Row],[TODAY]]-qry_ProdData2_PDI_Cash_Exception_Application[[#This Row],[CHANGED ON]]</f>
        <v>12.742928240739275</v>
      </c>
      <c r="N1801">
        <f ca="1">qry_ProdData2_PDI_Cash_Exception_Application[[#This Row],[TODAY]]-qry_ProdData2_PDI_Cash_Exception_Application[[#This Row],[CHANGED ON]]</f>
        <v>12.742928240739275</v>
      </c>
    </row>
    <row r="1802" spans="1:14" x14ac:dyDescent="0.35">
      <c r="A1802">
        <v>1035</v>
      </c>
      <c r="B1802" t="s">
        <v>89</v>
      </c>
      <c r="C1802" s="1">
        <v>45185.257071759261</v>
      </c>
      <c r="D1802" t="str">
        <f ca="1">VLOOKUP(qry_ProdData2_PDI_Cash_Exception_Application[[#This Row],[TYPE]],#REF!,2,FALSE)</f>
        <v>type10</v>
      </c>
      <c r="E1802">
        <v>340</v>
      </c>
      <c r="F1802" t="s">
        <v>51</v>
      </c>
      <c r="G1802" s="1">
        <f>qry_ProdData2_PDI_Cash_Exception_Application[[#This Row],[INSERT DATE]]+1</f>
        <v>45186.257071759261</v>
      </c>
      <c r="H1802" t="str">
        <f>VLOOKUP(qry_ProdData2_PDI_Cash_Exception_Application[[#This Row],[MARKET No]],'Site Allocation'!$B$2:$C$37,2,FALSE)</f>
        <v>Analyst6</v>
      </c>
      <c r="I1802" s="4">
        <f t="shared" ca="1" si="28"/>
        <v>45203</v>
      </c>
      <c r="J1802" s="42">
        <f ca="1">TODAY()-qry_ProdData2_PDI_Cash_Exception_Application[[#This Row],[INSERT DATE]]</f>
        <v>17.742928240739275</v>
      </c>
      <c r="K18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02">
        <f ca="1">qry_ProdData2_PDI_Cash_Exception_Application[[#This Row],[TODAY]]-qry_ProdData2_PDI_Cash_Exception_Application[[#This Row],[CHANGED ON]]</f>
        <v>16.742928240739275</v>
      </c>
      <c r="M1802">
        <f ca="1">qry_ProdData2_PDI_Cash_Exception_Application[[#This Row],[TODAY]]-qry_ProdData2_PDI_Cash_Exception_Application[[#This Row],[CHANGED ON]]</f>
        <v>16.742928240739275</v>
      </c>
      <c r="N1802">
        <f ca="1">qry_ProdData2_PDI_Cash_Exception_Application[[#This Row],[TODAY]]-qry_ProdData2_PDI_Cash_Exception_Application[[#This Row],[CHANGED ON]]</f>
        <v>16.742928240739275</v>
      </c>
    </row>
    <row r="1803" spans="1:14" x14ac:dyDescent="0.35">
      <c r="A1803">
        <v>1006</v>
      </c>
      <c r="B1803" t="s">
        <v>60</v>
      </c>
      <c r="C1803" s="1">
        <v>45187.257071759261</v>
      </c>
      <c r="D1803" t="str">
        <f ca="1">VLOOKUP(qry_ProdData2_PDI_Cash_Exception_Application[[#This Row],[TYPE]],#REF!,2,FALSE)</f>
        <v>type36</v>
      </c>
      <c r="E1803">
        <v>436.28</v>
      </c>
      <c r="F1803" t="s">
        <v>47</v>
      </c>
      <c r="G1803" s="1">
        <f>qry_ProdData2_PDI_Cash_Exception_Application[[#This Row],[INSERT DATE]]+2</f>
        <v>45189.257071759261</v>
      </c>
      <c r="H1803" t="str">
        <f>VLOOKUP(qry_ProdData2_PDI_Cash_Exception_Application[[#This Row],[MARKET No]],'Site Allocation'!$B$2:$C$37,2,FALSE)</f>
        <v>Analyst2</v>
      </c>
      <c r="I1803" s="4">
        <f t="shared" ca="1" si="28"/>
        <v>45203</v>
      </c>
      <c r="J1803" s="42">
        <f ca="1">TODAY()-qry_ProdData2_PDI_Cash_Exception_Application[[#This Row],[INSERT DATE]]</f>
        <v>15.742928240739275</v>
      </c>
      <c r="K18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03">
        <f ca="1">qry_ProdData2_PDI_Cash_Exception_Application[[#This Row],[TODAY]]-qry_ProdData2_PDI_Cash_Exception_Application[[#This Row],[CHANGED ON]]</f>
        <v>13.742928240739275</v>
      </c>
      <c r="M1803">
        <f ca="1">qry_ProdData2_PDI_Cash_Exception_Application[[#This Row],[TODAY]]-qry_ProdData2_PDI_Cash_Exception_Application[[#This Row],[CHANGED ON]]</f>
        <v>13.742928240739275</v>
      </c>
      <c r="N1803">
        <f ca="1">qry_ProdData2_PDI_Cash_Exception_Application[[#This Row],[TODAY]]-qry_ProdData2_PDI_Cash_Exception_Application[[#This Row],[CHANGED ON]]</f>
        <v>13.742928240739275</v>
      </c>
    </row>
    <row r="1804" spans="1:14" x14ac:dyDescent="0.35">
      <c r="A1804">
        <v>1006</v>
      </c>
      <c r="B1804" t="s">
        <v>60</v>
      </c>
      <c r="C1804" s="1">
        <v>45189.257071759261</v>
      </c>
      <c r="D1804" t="str">
        <f ca="1">VLOOKUP(qry_ProdData2_PDI_Cash_Exception_Application[[#This Row],[TYPE]],#REF!,2,FALSE)</f>
        <v>type40</v>
      </c>
      <c r="E1804">
        <v>333.03</v>
      </c>
      <c r="F1804" t="s">
        <v>51</v>
      </c>
      <c r="G1804" s="1">
        <f>qry_ProdData2_PDI_Cash_Exception_Application[[#This Row],[INSERT DATE]]+1</f>
        <v>45190.257071759261</v>
      </c>
      <c r="H1804" t="str">
        <f>VLOOKUP(qry_ProdData2_PDI_Cash_Exception_Application[[#This Row],[MARKET No]],'Site Allocation'!$B$2:$C$37,2,FALSE)</f>
        <v>Analyst2</v>
      </c>
      <c r="I1804" s="4">
        <f t="shared" ca="1" si="28"/>
        <v>45203</v>
      </c>
      <c r="J1804" s="42">
        <f ca="1">TODAY()-qry_ProdData2_PDI_Cash_Exception_Application[[#This Row],[INSERT DATE]]</f>
        <v>13.742928240739275</v>
      </c>
      <c r="K18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04">
        <f ca="1">qry_ProdData2_PDI_Cash_Exception_Application[[#This Row],[TODAY]]-qry_ProdData2_PDI_Cash_Exception_Application[[#This Row],[CHANGED ON]]</f>
        <v>12.742928240739275</v>
      </c>
      <c r="M1804">
        <f ca="1">qry_ProdData2_PDI_Cash_Exception_Application[[#This Row],[TODAY]]-qry_ProdData2_PDI_Cash_Exception_Application[[#This Row],[CHANGED ON]]</f>
        <v>12.742928240739275</v>
      </c>
      <c r="N1804">
        <f ca="1">qry_ProdData2_PDI_Cash_Exception_Application[[#This Row],[TODAY]]-qry_ProdData2_PDI_Cash_Exception_Application[[#This Row],[CHANGED ON]]</f>
        <v>12.742928240739275</v>
      </c>
    </row>
    <row r="1805" spans="1:14" x14ac:dyDescent="0.35">
      <c r="A1805">
        <v>1033</v>
      </c>
      <c r="B1805" t="s">
        <v>87</v>
      </c>
      <c r="C1805" s="1">
        <v>45183.257071759261</v>
      </c>
      <c r="D1805" t="str">
        <f ca="1">VLOOKUP(qry_ProdData2_PDI_Cash_Exception_Application[[#This Row],[TYPE]],#REF!,2,FALSE)</f>
        <v>type40</v>
      </c>
      <c r="E1805">
        <v>3855.97</v>
      </c>
      <c r="F1805" t="s">
        <v>52</v>
      </c>
      <c r="G1805" s="1">
        <f>qry_ProdData2_PDI_Cash_Exception_Application[[#This Row],[INSERT DATE]]+7</f>
        <v>45190.257071759261</v>
      </c>
      <c r="H1805" t="str">
        <f>VLOOKUP(qry_ProdData2_PDI_Cash_Exception_Application[[#This Row],[MARKET No]],'Site Allocation'!$B$2:$C$37,2,FALSE)</f>
        <v>Analyst6</v>
      </c>
      <c r="I1805" s="4">
        <f t="shared" ca="1" si="28"/>
        <v>45203</v>
      </c>
      <c r="J1805" s="42">
        <f ca="1">TODAY()-qry_ProdData2_PDI_Cash_Exception_Application[[#This Row],[INSERT DATE]]</f>
        <v>19.742928240739275</v>
      </c>
      <c r="K18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05">
        <f ca="1">qry_ProdData2_PDI_Cash_Exception_Application[[#This Row],[TODAY]]-qry_ProdData2_PDI_Cash_Exception_Application[[#This Row],[CHANGED ON]]</f>
        <v>12.742928240739275</v>
      </c>
      <c r="M1805">
        <f ca="1">qry_ProdData2_PDI_Cash_Exception_Application[[#This Row],[TODAY]]-qry_ProdData2_PDI_Cash_Exception_Application[[#This Row],[CHANGED ON]]</f>
        <v>12.742928240739275</v>
      </c>
      <c r="N1805">
        <f ca="1">qry_ProdData2_PDI_Cash_Exception_Application[[#This Row],[TODAY]]-qry_ProdData2_PDI_Cash_Exception_Application[[#This Row],[CHANGED ON]]</f>
        <v>12.742928240739275</v>
      </c>
    </row>
    <row r="1806" spans="1:14" x14ac:dyDescent="0.35">
      <c r="A1806">
        <v>1002</v>
      </c>
      <c r="B1806" t="s">
        <v>56</v>
      </c>
      <c r="C1806" s="1">
        <v>45188.257071759261</v>
      </c>
      <c r="D1806" t="str">
        <f ca="1">VLOOKUP(qry_ProdData2_PDI_Cash_Exception_Application[[#This Row],[TYPE]],#REF!,2,FALSE)</f>
        <v>type40</v>
      </c>
      <c r="E1806">
        <v>307.73</v>
      </c>
      <c r="F1806" t="s">
        <v>47</v>
      </c>
      <c r="G1806" s="1">
        <f>qry_ProdData2_PDI_Cash_Exception_Application[[#This Row],[INSERT DATE]]+5</f>
        <v>45193.257071759261</v>
      </c>
      <c r="H1806" t="str">
        <f>VLOOKUP(qry_ProdData2_PDI_Cash_Exception_Application[[#This Row],[MARKET No]],'Site Allocation'!$B$2:$C$37,2,FALSE)</f>
        <v>Analyst1</v>
      </c>
      <c r="I1806" s="4">
        <f t="shared" ca="1" si="28"/>
        <v>45203</v>
      </c>
      <c r="J1806" s="42">
        <f ca="1">TODAY()-qry_ProdData2_PDI_Cash_Exception_Application[[#This Row],[INSERT DATE]]</f>
        <v>14.742928240739275</v>
      </c>
      <c r="K18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06">
        <f ca="1">qry_ProdData2_PDI_Cash_Exception_Application[[#This Row],[TODAY]]-qry_ProdData2_PDI_Cash_Exception_Application[[#This Row],[CHANGED ON]]</f>
        <v>9.7429282407392748</v>
      </c>
      <c r="M1806">
        <f ca="1">qry_ProdData2_PDI_Cash_Exception_Application[[#This Row],[TODAY]]-qry_ProdData2_PDI_Cash_Exception_Application[[#This Row],[CHANGED ON]]</f>
        <v>9.7429282407392748</v>
      </c>
      <c r="N1806">
        <f ca="1">qry_ProdData2_PDI_Cash_Exception_Application[[#This Row],[TODAY]]-qry_ProdData2_PDI_Cash_Exception_Application[[#This Row],[CHANGED ON]]</f>
        <v>9.7429282407392748</v>
      </c>
    </row>
    <row r="1807" spans="1:14" x14ac:dyDescent="0.35">
      <c r="A1807">
        <v>1002</v>
      </c>
      <c r="B1807" t="s">
        <v>56</v>
      </c>
      <c r="C1807" s="1">
        <v>45191.257071759261</v>
      </c>
      <c r="D1807" t="str">
        <f ca="1">VLOOKUP(qry_ProdData2_PDI_Cash_Exception_Application[[#This Row],[TYPE]],#REF!,2,FALSE)</f>
        <v>type19</v>
      </c>
      <c r="E1807">
        <v>352.29</v>
      </c>
      <c r="F1807" t="s">
        <v>47</v>
      </c>
      <c r="G1807" s="1">
        <f>qry_ProdData2_PDI_Cash_Exception_Application[[#This Row],[INSERT DATE]]+5</f>
        <v>45196.257071759261</v>
      </c>
      <c r="H1807" t="str">
        <f>VLOOKUP(qry_ProdData2_PDI_Cash_Exception_Application[[#This Row],[MARKET No]],'Site Allocation'!$B$2:$C$37,2,FALSE)</f>
        <v>Analyst1</v>
      </c>
      <c r="I1807" s="4">
        <f t="shared" ca="1" si="28"/>
        <v>45203</v>
      </c>
      <c r="J1807" s="42">
        <f ca="1">TODAY()-qry_ProdData2_PDI_Cash_Exception_Application[[#This Row],[INSERT DATE]]</f>
        <v>11.742928240739275</v>
      </c>
      <c r="K18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07">
        <f ca="1">qry_ProdData2_PDI_Cash_Exception_Application[[#This Row],[TODAY]]-qry_ProdData2_PDI_Cash_Exception_Application[[#This Row],[CHANGED ON]]</f>
        <v>6.7429282407392748</v>
      </c>
      <c r="M1807">
        <f ca="1">qry_ProdData2_PDI_Cash_Exception_Application[[#This Row],[TODAY]]-qry_ProdData2_PDI_Cash_Exception_Application[[#This Row],[CHANGED ON]]</f>
        <v>6.7429282407392748</v>
      </c>
      <c r="N1807">
        <f ca="1">qry_ProdData2_PDI_Cash_Exception_Application[[#This Row],[TODAY]]-qry_ProdData2_PDI_Cash_Exception_Application[[#This Row],[CHANGED ON]]</f>
        <v>6.7429282407392748</v>
      </c>
    </row>
    <row r="1808" spans="1:14" x14ac:dyDescent="0.35">
      <c r="A1808">
        <v>1023</v>
      </c>
      <c r="B1808" t="s">
        <v>77</v>
      </c>
      <c r="C1808" s="1">
        <v>45185.257071759261</v>
      </c>
      <c r="D1808" t="str">
        <f ca="1">VLOOKUP(qry_ProdData2_PDI_Cash_Exception_Application[[#This Row],[TYPE]],#REF!,2,FALSE)</f>
        <v>type40</v>
      </c>
      <c r="E1808">
        <v>4442.0200000000004</v>
      </c>
      <c r="F1808" t="s">
        <v>49</v>
      </c>
      <c r="G1808" s="1">
        <f>qry_ProdData2_PDI_Cash_Exception_Application[[#This Row],[INSERT DATE]]+7</f>
        <v>45192.257071759261</v>
      </c>
      <c r="H1808" t="str">
        <f>VLOOKUP(qry_ProdData2_PDI_Cash_Exception_Application[[#This Row],[MARKET No]],'Site Allocation'!$B$2:$C$37,2,FALSE)</f>
        <v>Analyst4</v>
      </c>
      <c r="I1808" s="4">
        <f t="shared" ca="1" si="28"/>
        <v>45203</v>
      </c>
      <c r="J1808" s="42">
        <f ca="1">TODAY()-qry_ProdData2_PDI_Cash_Exception_Application[[#This Row],[INSERT DATE]]</f>
        <v>17.742928240739275</v>
      </c>
      <c r="K18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08">
        <f ca="1">qry_ProdData2_PDI_Cash_Exception_Application[[#This Row],[TODAY]]-qry_ProdData2_PDI_Cash_Exception_Application[[#This Row],[CHANGED ON]]</f>
        <v>10.742928240739275</v>
      </c>
      <c r="M1808">
        <f ca="1">qry_ProdData2_PDI_Cash_Exception_Application[[#This Row],[TODAY]]-qry_ProdData2_PDI_Cash_Exception_Application[[#This Row],[CHANGED ON]]</f>
        <v>10.742928240739275</v>
      </c>
      <c r="N1808">
        <f ca="1">qry_ProdData2_PDI_Cash_Exception_Application[[#This Row],[TODAY]]-qry_ProdData2_PDI_Cash_Exception_Application[[#This Row],[CHANGED ON]]</f>
        <v>10.742928240739275</v>
      </c>
    </row>
    <row r="1809" spans="1:14" x14ac:dyDescent="0.35">
      <c r="A1809">
        <v>1031</v>
      </c>
      <c r="B1809" t="s">
        <v>85</v>
      </c>
      <c r="C1809" s="1">
        <v>45182.257071759261</v>
      </c>
      <c r="D1809" t="str">
        <f ca="1">VLOOKUP(qry_ProdData2_PDI_Cash_Exception_Application[[#This Row],[TYPE]],#REF!,2,FALSE)</f>
        <v>type26</v>
      </c>
      <c r="E1809">
        <v>1288451.2</v>
      </c>
      <c r="F1809" t="s">
        <v>47</v>
      </c>
      <c r="G1809" s="1">
        <f>qry_ProdData2_PDI_Cash_Exception_Application[[#This Row],[INSERT DATE]]+7</f>
        <v>45189.257071759261</v>
      </c>
      <c r="H1809" t="str">
        <f>VLOOKUP(qry_ProdData2_PDI_Cash_Exception_Application[[#This Row],[MARKET No]],'Site Allocation'!$B$2:$C$37,2,FALSE)</f>
        <v>Analyst6</v>
      </c>
      <c r="I1809" s="4">
        <f t="shared" ca="1" si="28"/>
        <v>45203</v>
      </c>
      <c r="J1809" s="42">
        <f ca="1">TODAY()-qry_ProdData2_PDI_Cash_Exception_Application[[#This Row],[INSERT DATE]]</f>
        <v>20.742928240739275</v>
      </c>
      <c r="K18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09">
        <f ca="1">qry_ProdData2_PDI_Cash_Exception_Application[[#This Row],[TODAY]]-qry_ProdData2_PDI_Cash_Exception_Application[[#This Row],[CHANGED ON]]</f>
        <v>13.742928240739275</v>
      </c>
      <c r="M1809">
        <f ca="1">qry_ProdData2_PDI_Cash_Exception_Application[[#This Row],[TODAY]]-qry_ProdData2_PDI_Cash_Exception_Application[[#This Row],[CHANGED ON]]</f>
        <v>13.742928240739275</v>
      </c>
      <c r="N1809">
        <f ca="1">qry_ProdData2_PDI_Cash_Exception_Application[[#This Row],[TODAY]]-qry_ProdData2_PDI_Cash_Exception_Application[[#This Row],[CHANGED ON]]</f>
        <v>13.742928240739275</v>
      </c>
    </row>
    <row r="1810" spans="1:14" x14ac:dyDescent="0.35">
      <c r="A1810">
        <v>1031</v>
      </c>
      <c r="B1810" t="s">
        <v>85</v>
      </c>
      <c r="C1810" s="1">
        <v>45186.257071759261</v>
      </c>
      <c r="D1810" t="str">
        <f ca="1">VLOOKUP(qry_ProdData2_PDI_Cash_Exception_Application[[#This Row],[TYPE]],#REF!,2,FALSE)</f>
        <v>type40</v>
      </c>
      <c r="E1810">
        <v>605.59</v>
      </c>
      <c r="F1810" t="s">
        <v>52</v>
      </c>
      <c r="G1810" s="1">
        <f>qry_ProdData2_PDI_Cash_Exception_Application[[#This Row],[INSERT DATE]]+7</f>
        <v>45193.257071759261</v>
      </c>
      <c r="H1810" t="str">
        <f>VLOOKUP(qry_ProdData2_PDI_Cash_Exception_Application[[#This Row],[MARKET No]],'Site Allocation'!$B$2:$C$37,2,FALSE)</f>
        <v>Analyst6</v>
      </c>
      <c r="I1810" s="4">
        <f t="shared" ca="1" si="28"/>
        <v>45203</v>
      </c>
      <c r="J1810" s="42">
        <f ca="1">TODAY()-qry_ProdData2_PDI_Cash_Exception_Application[[#This Row],[INSERT DATE]]</f>
        <v>16.742928240739275</v>
      </c>
      <c r="K18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10">
        <f ca="1">qry_ProdData2_PDI_Cash_Exception_Application[[#This Row],[TODAY]]-qry_ProdData2_PDI_Cash_Exception_Application[[#This Row],[CHANGED ON]]</f>
        <v>9.7429282407392748</v>
      </c>
      <c r="M1810">
        <f ca="1">qry_ProdData2_PDI_Cash_Exception_Application[[#This Row],[TODAY]]-qry_ProdData2_PDI_Cash_Exception_Application[[#This Row],[CHANGED ON]]</f>
        <v>9.7429282407392748</v>
      </c>
      <c r="N1810">
        <f ca="1">qry_ProdData2_PDI_Cash_Exception_Application[[#This Row],[TODAY]]-qry_ProdData2_PDI_Cash_Exception_Application[[#This Row],[CHANGED ON]]</f>
        <v>9.7429282407392748</v>
      </c>
    </row>
    <row r="1811" spans="1:14" x14ac:dyDescent="0.35">
      <c r="A1811">
        <v>1035</v>
      </c>
      <c r="B1811" t="s">
        <v>89</v>
      </c>
      <c r="C1811" s="1">
        <v>45185.257071759261</v>
      </c>
      <c r="D1811" t="str">
        <f ca="1">VLOOKUP(qry_ProdData2_PDI_Cash_Exception_Application[[#This Row],[TYPE]],#REF!,2,FALSE)</f>
        <v>type13</v>
      </c>
      <c r="E1811">
        <v>69328</v>
      </c>
      <c r="F1811" t="s">
        <v>51</v>
      </c>
      <c r="G1811" s="1">
        <f>qry_ProdData2_PDI_Cash_Exception_Application[[#This Row],[INSERT DATE]]+2</f>
        <v>45187.257071759261</v>
      </c>
      <c r="H1811" t="str">
        <f>VLOOKUP(qry_ProdData2_PDI_Cash_Exception_Application[[#This Row],[MARKET No]],'Site Allocation'!$B$2:$C$37,2,FALSE)</f>
        <v>Analyst6</v>
      </c>
      <c r="I1811" s="4">
        <f t="shared" ca="1" si="28"/>
        <v>45203</v>
      </c>
      <c r="J1811" s="42">
        <f ca="1">TODAY()-qry_ProdData2_PDI_Cash_Exception_Application[[#This Row],[INSERT DATE]]</f>
        <v>17.742928240739275</v>
      </c>
      <c r="K18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11">
        <f ca="1">qry_ProdData2_PDI_Cash_Exception_Application[[#This Row],[TODAY]]-qry_ProdData2_PDI_Cash_Exception_Application[[#This Row],[CHANGED ON]]</f>
        <v>15.742928240739275</v>
      </c>
      <c r="M1811">
        <f ca="1">qry_ProdData2_PDI_Cash_Exception_Application[[#This Row],[TODAY]]-qry_ProdData2_PDI_Cash_Exception_Application[[#This Row],[CHANGED ON]]</f>
        <v>15.742928240739275</v>
      </c>
      <c r="N1811">
        <f ca="1">qry_ProdData2_PDI_Cash_Exception_Application[[#This Row],[TODAY]]-qry_ProdData2_PDI_Cash_Exception_Application[[#This Row],[CHANGED ON]]</f>
        <v>15.742928240739275</v>
      </c>
    </row>
    <row r="1812" spans="1:14" x14ac:dyDescent="0.35">
      <c r="A1812">
        <v>1001</v>
      </c>
      <c r="B1812" t="s">
        <v>55</v>
      </c>
      <c r="C1812" s="1">
        <v>45190.257071759261</v>
      </c>
      <c r="D1812" t="str">
        <f ca="1">VLOOKUP(qry_ProdData2_PDI_Cash_Exception_Application[[#This Row],[TYPE]],#REF!,2,FALSE)</f>
        <v>type40</v>
      </c>
      <c r="E1812">
        <v>31.49</v>
      </c>
      <c r="F1812" t="s">
        <v>48</v>
      </c>
      <c r="G1812" s="1">
        <f>qry_ProdData2_PDI_Cash_Exception_Application[[#This Row],[INSERT DATE]]+7</f>
        <v>45197.257071759261</v>
      </c>
      <c r="H1812" t="str">
        <f>VLOOKUP(qry_ProdData2_PDI_Cash_Exception_Application[[#This Row],[MARKET No]],'Site Allocation'!$B$2:$C$37,2,FALSE)</f>
        <v>Analyst1</v>
      </c>
      <c r="I1812" s="4">
        <f t="shared" ca="1" si="28"/>
        <v>45203</v>
      </c>
      <c r="J1812" s="42">
        <f ca="1">TODAY()-qry_ProdData2_PDI_Cash_Exception_Application[[#This Row],[INSERT DATE]]</f>
        <v>12.742928240739275</v>
      </c>
      <c r="K18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12">
        <f ca="1">qry_ProdData2_PDI_Cash_Exception_Application[[#This Row],[TODAY]]-qry_ProdData2_PDI_Cash_Exception_Application[[#This Row],[CHANGED ON]]</f>
        <v>5.7429282407392748</v>
      </c>
      <c r="M1812">
        <f ca="1">qry_ProdData2_PDI_Cash_Exception_Application[[#This Row],[TODAY]]-qry_ProdData2_PDI_Cash_Exception_Application[[#This Row],[CHANGED ON]]</f>
        <v>5.7429282407392748</v>
      </c>
      <c r="N1812">
        <f ca="1">qry_ProdData2_PDI_Cash_Exception_Application[[#This Row],[TODAY]]-qry_ProdData2_PDI_Cash_Exception_Application[[#This Row],[CHANGED ON]]</f>
        <v>5.7429282407392748</v>
      </c>
    </row>
    <row r="1813" spans="1:14" x14ac:dyDescent="0.35">
      <c r="A1813">
        <v>1014</v>
      </c>
      <c r="B1813" t="s">
        <v>68</v>
      </c>
      <c r="C1813" s="1">
        <v>45188.257071759261</v>
      </c>
      <c r="D1813" t="str">
        <f ca="1">VLOOKUP(qry_ProdData2_PDI_Cash_Exception_Application[[#This Row],[TYPE]],#REF!,2,FALSE)</f>
        <v>type40</v>
      </c>
      <c r="E1813">
        <v>-1467.9</v>
      </c>
      <c r="F1813" t="s">
        <v>50</v>
      </c>
      <c r="G1813" s="1">
        <f>qry_ProdData2_PDI_Cash_Exception_Application[[#This Row],[INSERT DATE]]+1</f>
        <v>45189.257071759261</v>
      </c>
      <c r="H1813" t="str">
        <f>VLOOKUP(qry_ProdData2_PDI_Cash_Exception_Application[[#This Row],[MARKET No]],'Site Allocation'!$B$2:$C$37,2,FALSE)</f>
        <v>Analyst3</v>
      </c>
      <c r="I1813" s="4">
        <f t="shared" ca="1" si="28"/>
        <v>45203</v>
      </c>
      <c r="J1813" s="42">
        <f ca="1">TODAY()-qry_ProdData2_PDI_Cash_Exception_Application[[#This Row],[INSERT DATE]]</f>
        <v>14.742928240739275</v>
      </c>
      <c r="K18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13">
        <f ca="1">qry_ProdData2_PDI_Cash_Exception_Application[[#This Row],[TODAY]]-qry_ProdData2_PDI_Cash_Exception_Application[[#This Row],[CHANGED ON]]</f>
        <v>13.742928240739275</v>
      </c>
      <c r="M1813">
        <f ca="1">qry_ProdData2_PDI_Cash_Exception_Application[[#This Row],[TODAY]]-qry_ProdData2_PDI_Cash_Exception_Application[[#This Row],[CHANGED ON]]</f>
        <v>13.742928240739275</v>
      </c>
      <c r="N1813">
        <f ca="1">qry_ProdData2_PDI_Cash_Exception_Application[[#This Row],[TODAY]]-qry_ProdData2_PDI_Cash_Exception_Application[[#This Row],[CHANGED ON]]</f>
        <v>13.742928240739275</v>
      </c>
    </row>
    <row r="1814" spans="1:14" x14ac:dyDescent="0.35">
      <c r="A1814">
        <v>1006</v>
      </c>
      <c r="B1814" t="s">
        <v>60</v>
      </c>
      <c r="C1814" s="1">
        <v>45182.257071759261</v>
      </c>
      <c r="D1814" t="str">
        <f ca="1">VLOOKUP(qry_ProdData2_PDI_Cash_Exception_Application[[#This Row],[TYPE]],#REF!,2,FALSE)</f>
        <v>type42</v>
      </c>
      <c r="E1814">
        <v>440</v>
      </c>
      <c r="F1814" t="s">
        <v>48</v>
      </c>
      <c r="G1814" s="1">
        <f>qry_ProdData2_PDI_Cash_Exception_Application[[#This Row],[INSERT DATE]]+7</f>
        <v>45189.257071759261</v>
      </c>
      <c r="H1814" t="str">
        <f>VLOOKUP(qry_ProdData2_PDI_Cash_Exception_Application[[#This Row],[MARKET No]],'Site Allocation'!$B$2:$C$37,2,FALSE)</f>
        <v>Analyst2</v>
      </c>
      <c r="I1814" s="4">
        <f t="shared" ca="1" si="28"/>
        <v>45203</v>
      </c>
      <c r="J1814" s="42">
        <f ca="1">TODAY()-qry_ProdData2_PDI_Cash_Exception_Application[[#This Row],[INSERT DATE]]</f>
        <v>20.742928240739275</v>
      </c>
      <c r="K18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14">
        <f ca="1">qry_ProdData2_PDI_Cash_Exception_Application[[#This Row],[TODAY]]-qry_ProdData2_PDI_Cash_Exception_Application[[#This Row],[CHANGED ON]]</f>
        <v>13.742928240739275</v>
      </c>
      <c r="M1814">
        <f ca="1">qry_ProdData2_PDI_Cash_Exception_Application[[#This Row],[TODAY]]-qry_ProdData2_PDI_Cash_Exception_Application[[#This Row],[CHANGED ON]]</f>
        <v>13.742928240739275</v>
      </c>
      <c r="N1814">
        <f ca="1">qry_ProdData2_PDI_Cash_Exception_Application[[#This Row],[TODAY]]-qry_ProdData2_PDI_Cash_Exception_Application[[#This Row],[CHANGED ON]]</f>
        <v>13.742928240739275</v>
      </c>
    </row>
    <row r="1815" spans="1:14" x14ac:dyDescent="0.35">
      <c r="A1815">
        <v>1016</v>
      </c>
      <c r="B1815" t="s">
        <v>70</v>
      </c>
      <c r="C1815" s="1">
        <v>45189.257071759261</v>
      </c>
      <c r="D1815" t="str">
        <f ca="1">VLOOKUP(qry_ProdData2_PDI_Cash_Exception_Application[[#This Row],[TYPE]],#REF!,2,FALSE)</f>
        <v>type40</v>
      </c>
      <c r="E1815">
        <v>1462.88</v>
      </c>
      <c r="F1815" t="s">
        <v>47</v>
      </c>
      <c r="G1815" s="1">
        <f>qry_ProdData2_PDI_Cash_Exception_Application[[#This Row],[INSERT DATE]]+1</f>
        <v>45190.257071759261</v>
      </c>
      <c r="H1815" t="str">
        <f>VLOOKUP(qry_ProdData2_PDI_Cash_Exception_Application[[#This Row],[MARKET No]],'Site Allocation'!$B$2:$C$37,2,FALSE)</f>
        <v>Analyst3</v>
      </c>
      <c r="I1815" s="4">
        <f t="shared" ca="1" si="28"/>
        <v>45203</v>
      </c>
      <c r="J1815" s="42">
        <f ca="1">TODAY()-qry_ProdData2_PDI_Cash_Exception_Application[[#This Row],[INSERT DATE]]</f>
        <v>13.742928240739275</v>
      </c>
      <c r="K18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15">
        <f ca="1">qry_ProdData2_PDI_Cash_Exception_Application[[#This Row],[TODAY]]-qry_ProdData2_PDI_Cash_Exception_Application[[#This Row],[CHANGED ON]]</f>
        <v>12.742928240739275</v>
      </c>
      <c r="M1815">
        <f ca="1">qry_ProdData2_PDI_Cash_Exception_Application[[#This Row],[TODAY]]-qry_ProdData2_PDI_Cash_Exception_Application[[#This Row],[CHANGED ON]]</f>
        <v>12.742928240739275</v>
      </c>
      <c r="N1815">
        <f ca="1">qry_ProdData2_PDI_Cash_Exception_Application[[#This Row],[TODAY]]-qry_ProdData2_PDI_Cash_Exception_Application[[#This Row],[CHANGED ON]]</f>
        <v>12.742928240739275</v>
      </c>
    </row>
    <row r="1816" spans="1:14" x14ac:dyDescent="0.35">
      <c r="A1816">
        <v>1016</v>
      </c>
      <c r="B1816" t="s">
        <v>70</v>
      </c>
      <c r="C1816" s="1">
        <v>45184.257071759261</v>
      </c>
      <c r="D1816" t="str">
        <f ca="1">VLOOKUP(qry_ProdData2_PDI_Cash_Exception_Application[[#This Row],[TYPE]],#REF!,2,FALSE)</f>
        <v>type24</v>
      </c>
      <c r="E1816">
        <v>169.9</v>
      </c>
      <c r="F1816" t="s">
        <v>47</v>
      </c>
      <c r="G1816" s="1">
        <f>qry_ProdData2_PDI_Cash_Exception_Application[[#This Row],[INSERT DATE]]+2</f>
        <v>45186.257071759261</v>
      </c>
      <c r="H1816" t="str">
        <f>VLOOKUP(qry_ProdData2_PDI_Cash_Exception_Application[[#This Row],[MARKET No]],'Site Allocation'!$B$2:$C$37,2,FALSE)</f>
        <v>Analyst3</v>
      </c>
      <c r="I1816" s="4">
        <f t="shared" ca="1" si="28"/>
        <v>45203</v>
      </c>
      <c r="J1816" s="42">
        <f ca="1">TODAY()-qry_ProdData2_PDI_Cash_Exception_Application[[#This Row],[INSERT DATE]]</f>
        <v>18.742928240739275</v>
      </c>
      <c r="K18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16">
        <f ca="1">qry_ProdData2_PDI_Cash_Exception_Application[[#This Row],[TODAY]]-qry_ProdData2_PDI_Cash_Exception_Application[[#This Row],[CHANGED ON]]</f>
        <v>16.742928240739275</v>
      </c>
      <c r="M1816">
        <f ca="1">qry_ProdData2_PDI_Cash_Exception_Application[[#This Row],[TODAY]]-qry_ProdData2_PDI_Cash_Exception_Application[[#This Row],[CHANGED ON]]</f>
        <v>16.742928240739275</v>
      </c>
      <c r="N1816">
        <f ca="1">qry_ProdData2_PDI_Cash_Exception_Application[[#This Row],[TODAY]]-qry_ProdData2_PDI_Cash_Exception_Application[[#This Row],[CHANGED ON]]</f>
        <v>16.742928240739275</v>
      </c>
    </row>
    <row r="1817" spans="1:14" x14ac:dyDescent="0.35">
      <c r="A1817">
        <v>1022</v>
      </c>
      <c r="B1817" t="s">
        <v>76</v>
      </c>
      <c r="C1817" s="1">
        <v>45190.257071759261</v>
      </c>
      <c r="D1817" t="str">
        <f ca="1">VLOOKUP(qry_ProdData2_PDI_Cash_Exception_Application[[#This Row],[TYPE]],#REF!,2,FALSE)</f>
        <v>type40</v>
      </c>
      <c r="E1817">
        <v>-1992.57</v>
      </c>
      <c r="F1817" t="s">
        <v>50</v>
      </c>
      <c r="G1817" s="1">
        <f>qry_ProdData2_PDI_Cash_Exception_Application[[#This Row],[INSERT DATE]]+1</f>
        <v>45191.257071759261</v>
      </c>
      <c r="H1817" t="str">
        <f>VLOOKUP(qry_ProdData2_PDI_Cash_Exception_Application[[#This Row],[MARKET No]],'Site Allocation'!$B$2:$C$37,2,FALSE)</f>
        <v>Analyst4</v>
      </c>
      <c r="I1817" s="4">
        <f t="shared" ca="1" si="28"/>
        <v>45203</v>
      </c>
      <c r="J1817" s="42">
        <f ca="1">TODAY()-qry_ProdData2_PDI_Cash_Exception_Application[[#This Row],[INSERT DATE]]</f>
        <v>12.742928240739275</v>
      </c>
      <c r="K18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17">
        <f ca="1">qry_ProdData2_PDI_Cash_Exception_Application[[#This Row],[TODAY]]-qry_ProdData2_PDI_Cash_Exception_Application[[#This Row],[CHANGED ON]]</f>
        <v>11.742928240739275</v>
      </c>
      <c r="M1817">
        <f ca="1">qry_ProdData2_PDI_Cash_Exception_Application[[#This Row],[TODAY]]-qry_ProdData2_PDI_Cash_Exception_Application[[#This Row],[CHANGED ON]]</f>
        <v>11.742928240739275</v>
      </c>
      <c r="N1817">
        <f ca="1">qry_ProdData2_PDI_Cash_Exception_Application[[#This Row],[TODAY]]-qry_ProdData2_PDI_Cash_Exception_Application[[#This Row],[CHANGED ON]]</f>
        <v>11.742928240739275</v>
      </c>
    </row>
    <row r="1818" spans="1:14" x14ac:dyDescent="0.35">
      <c r="A1818">
        <v>1013</v>
      </c>
      <c r="B1818" t="s">
        <v>67</v>
      </c>
      <c r="C1818" s="1">
        <v>45186.257071759261</v>
      </c>
      <c r="D1818" t="str">
        <f ca="1">VLOOKUP(qry_ProdData2_PDI_Cash_Exception_Application[[#This Row],[TYPE]],#REF!,2,FALSE)</f>
        <v>type40</v>
      </c>
      <c r="E1818">
        <v>2489.7600000000002</v>
      </c>
      <c r="F1818" t="s">
        <v>48</v>
      </c>
      <c r="G1818" s="1">
        <f>qry_ProdData2_PDI_Cash_Exception_Application[[#This Row],[INSERT DATE]]+1</f>
        <v>45187.257071759261</v>
      </c>
      <c r="H1818" t="str">
        <f>VLOOKUP(qry_ProdData2_PDI_Cash_Exception_Application[[#This Row],[MARKET No]],'Site Allocation'!$B$2:$C$37,2,FALSE)</f>
        <v>Analyst3</v>
      </c>
      <c r="I1818" s="4">
        <f t="shared" ca="1" si="28"/>
        <v>45203</v>
      </c>
      <c r="J1818" s="42">
        <f ca="1">TODAY()-qry_ProdData2_PDI_Cash_Exception_Application[[#This Row],[INSERT DATE]]</f>
        <v>16.742928240739275</v>
      </c>
      <c r="K18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18">
        <f ca="1">qry_ProdData2_PDI_Cash_Exception_Application[[#This Row],[TODAY]]-qry_ProdData2_PDI_Cash_Exception_Application[[#This Row],[CHANGED ON]]</f>
        <v>15.742928240739275</v>
      </c>
      <c r="M1818">
        <f ca="1">qry_ProdData2_PDI_Cash_Exception_Application[[#This Row],[TODAY]]-qry_ProdData2_PDI_Cash_Exception_Application[[#This Row],[CHANGED ON]]</f>
        <v>15.742928240739275</v>
      </c>
      <c r="N1818">
        <f ca="1">qry_ProdData2_PDI_Cash_Exception_Application[[#This Row],[TODAY]]-qry_ProdData2_PDI_Cash_Exception_Application[[#This Row],[CHANGED ON]]</f>
        <v>15.742928240739275</v>
      </c>
    </row>
    <row r="1819" spans="1:14" x14ac:dyDescent="0.35">
      <c r="A1819">
        <v>1022</v>
      </c>
      <c r="B1819" t="s">
        <v>76</v>
      </c>
      <c r="C1819" s="1">
        <v>45192.257071759261</v>
      </c>
      <c r="D1819" t="str">
        <f ca="1">VLOOKUP(qry_ProdData2_PDI_Cash_Exception_Application[[#This Row],[TYPE]],#REF!,2,FALSE)</f>
        <v>type40</v>
      </c>
      <c r="E1819">
        <v>582.29</v>
      </c>
      <c r="F1819" t="s">
        <v>50</v>
      </c>
      <c r="G1819" s="1">
        <f>qry_ProdData2_PDI_Cash_Exception_Application[[#This Row],[INSERT DATE]]+1</f>
        <v>45193.257071759261</v>
      </c>
      <c r="H1819" t="str">
        <f>VLOOKUP(qry_ProdData2_PDI_Cash_Exception_Application[[#This Row],[MARKET No]],'Site Allocation'!$B$2:$C$37,2,FALSE)</f>
        <v>Analyst4</v>
      </c>
      <c r="I1819" s="4">
        <f t="shared" ca="1" si="28"/>
        <v>45203</v>
      </c>
      <c r="J1819" s="42">
        <f ca="1">TODAY()-qry_ProdData2_PDI_Cash_Exception_Application[[#This Row],[INSERT DATE]]</f>
        <v>10.742928240739275</v>
      </c>
      <c r="K18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19">
        <f ca="1">qry_ProdData2_PDI_Cash_Exception_Application[[#This Row],[TODAY]]-qry_ProdData2_PDI_Cash_Exception_Application[[#This Row],[CHANGED ON]]</f>
        <v>9.7429282407392748</v>
      </c>
      <c r="M1819">
        <f ca="1">qry_ProdData2_PDI_Cash_Exception_Application[[#This Row],[TODAY]]-qry_ProdData2_PDI_Cash_Exception_Application[[#This Row],[CHANGED ON]]</f>
        <v>9.7429282407392748</v>
      </c>
      <c r="N1819">
        <f ca="1">qry_ProdData2_PDI_Cash_Exception_Application[[#This Row],[TODAY]]-qry_ProdData2_PDI_Cash_Exception_Application[[#This Row],[CHANGED ON]]</f>
        <v>9.7429282407392748</v>
      </c>
    </row>
    <row r="1820" spans="1:14" x14ac:dyDescent="0.35">
      <c r="A1820">
        <v>1016</v>
      </c>
      <c r="B1820" t="s">
        <v>70</v>
      </c>
      <c r="C1820" s="1">
        <v>45193.257071759261</v>
      </c>
      <c r="D1820" t="str">
        <f ca="1">VLOOKUP(qry_ProdData2_PDI_Cash_Exception_Application[[#This Row],[TYPE]],#REF!,2,FALSE)</f>
        <v>type40</v>
      </c>
      <c r="E1820">
        <v>358.5</v>
      </c>
      <c r="F1820" t="s">
        <v>50</v>
      </c>
      <c r="G1820" s="1">
        <f>qry_ProdData2_PDI_Cash_Exception_Application[[#This Row],[INSERT DATE]]+1</f>
        <v>45194.257071759261</v>
      </c>
      <c r="H1820" t="str">
        <f>VLOOKUP(qry_ProdData2_PDI_Cash_Exception_Application[[#This Row],[MARKET No]],'Site Allocation'!$B$2:$C$37,2,FALSE)</f>
        <v>Analyst3</v>
      </c>
      <c r="I1820" s="4">
        <f t="shared" ca="1" si="28"/>
        <v>45203</v>
      </c>
      <c r="J1820" s="42">
        <f ca="1">TODAY()-qry_ProdData2_PDI_Cash_Exception_Application[[#This Row],[INSERT DATE]]</f>
        <v>9.7429282407392748</v>
      </c>
      <c r="K18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20">
        <f ca="1">qry_ProdData2_PDI_Cash_Exception_Application[[#This Row],[TODAY]]-qry_ProdData2_PDI_Cash_Exception_Application[[#This Row],[CHANGED ON]]</f>
        <v>8.7429282407392748</v>
      </c>
      <c r="M1820">
        <f ca="1">qry_ProdData2_PDI_Cash_Exception_Application[[#This Row],[TODAY]]-qry_ProdData2_PDI_Cash_Exception_Application[[#This Row],[CHANGED ON]]</f>
        <v>8.7429282407392748</v>
      </c>
      <c r="N1820">
        <f ca="1">qry_ProdData2_PDI_Cash_Exception_Application[[#This Row],[TODAY]]-qry_ProdData2_PDI_Cash_Exception_Application[[#This Row],[CHANGED ON]]</f>
        <v>8.7429282407392748</v>
      </c>
    </row>
    <row r="1821" spans="1:14" x14ac:dyDescent="0.35">
      <c r="A1821">
        <v>1005</v>
      </c>
      <c r="B1821" t="s">
        <v>59</v>
      </c>
      <c r="C1821" s="1">
        <v>45188.257071759261</v>
      </c>
      <c r="D1821" t="str">
        <f ca="1">VLOOKUP(qry_ProdData2_PDI_Cash_Exception_Application[[#This Row],[TYPE]],#REF!,2,FALSE)</f>
        <v>type30</v>
      </c>
      <c r="E1821">
        <v>1258259.92</v>
      </c>
      <c r="F1821" t="s">
        <v>51</v>
      </c>
      <c r="G1821" s="1">
        <f>qry_ProdData2_PDI_Cash_Exception_Application[[#This Row],[INSERT DATE]]+2</f>
        <v>45190.257071759261</v>
      </c>
      <c r="H1821" t="str">
        <f>VLOOKUP(qry_ProdData2_PDI_Cash_Exception_Application[[#This Row],[MARKET No]],'Site Allocation'!$B$2:$C$37,2,FALSE)</f>
        <v>Analyst1</v>
      </c>
      <c r="I1821" s="4">
        <f t="shared" ca="1" si="28"/>
        <v>45203</v>
      </c>
      <c r="J1821" s="42">
        <f ca="1">TODAY()-qry_ProdData2_PDI_Cash_Exception_Application[[#This Row],[INSERT DATE]]</f>
        <v>14.742928240739275</v>
      </c>
      <c r="K18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21">
        <f ca="1">qry_ProdData2_PDI_Cash_Exception_Application[[#This Row],[TODAY]]-qry_ProdData2_PDI_Cash_Exception_Application[[#This Row],[CHANGED ON]]</f>
        <v>12.742928240739275</v>
      </c>
      <c r="M1821">
        <f ca="1">qry_ProdData2_PDI_Cash_Exception_Application[[#This Row],[TODAY]]-qry_ProdData2_PDI_Cash_Exception_Application[[#This Row],[CHANGED ON]]</f>
        <v>12.742928240739275</v>
      </c>
      <c r="N1821">
        <f ca="1">qry_ProdData2_PDI_Cash_Exception_Application[[#This Row],[TODAY]]-qry_ProdData2_PDI_Cash_Exception_Application[[#This Row],[CHANGED ON]]</f>
        <v>12.742928240739275</v>
      </c>
    </row>
    <row r="1822" spans="1:14" x14ac:dyDescent="0.35">
      <c r="A1822">
        <v>1020</v>
      </c>
      <c r="B1822" t="s">
        <v>74</v>
      </c>
      <c r="C1822" s="1">
        <v>45195.257071759261</v>
      </c>
      <c r="D1822" t="str">
        <f ca="1">VLOOKUP(qry_ProdData2_PDI_Cash_Exception_Application[[#This Row],[TYPE]],#REF!,2,FALSE)</f>
        <v>type40</v>
      </c>
      <c r="E1822">
        <v>-436.3</v>
      </c>
      <c r="F1822" t="s">
        <v>52</v>
      </c>
      <c r="G1822" s="1">
        <f>qry_ProdData2_PDI_Cash_Exception_Application[[#This Row],[INSERT DATE]]+1</f>
        <v>45196.257071759261</v>
      </c>
      <c r="H1822" t="str">
        <f>VLOOKUP(qry_ProdData2_PDI_Cash_Exception_Application[[#This Row],[MARKET No]],'Site Allocation'!$B$2:$C$37,2,FALSE)</f>
        <v>Analyst4</v>
      </c>
      <c r="I1822" s="4">
        <f t="shared" ca="1" si="28"/>
        <v>45203</v>
      </c>
      <c r="J1822" s="42">
        <f ca="1">TODAY()-qry_ProdData2_PDI_Cash_Exception_Application[[#This Row],[INSERT DATE]]</f>
        <v>7.7429282407392748</v>
      </c>
      <c r="K18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822">
        <f ca="1">qry_ProdData2_PDI_Cash_Exception_Application[[#This Row],[TODAY]]-qry_ProdData2_PDI_Cash_Exception_Application[[#This Row],[CHANGED ON]]</f>
        <v>6.7429282407392748</v>
      </c>
      <c r="M1822">
        <f ca="1">qry_ProdData2_PDI_Cash_Exception_Application[[#This Row],[TODAY]]-qry_ProdData2_PDI_Cash_Exception_Application[[#This Row],[CHANGED ON]]</f>
        <v>6.7429282407392748</v>
      </c>
      <c r="N1822">
        <f ca="1">qry_ProdData2_PDI_Cash_Exception_Application[[#This Row],[TODAY]]-qry_ProdData2_PDI_Cash_Exception_Application[[#This Row],[CHANGED ON]]</f>
        <v>6.7429282407392748</v>
      </c>
    </row>
    <row r="1823" spans="1:14" x14ac:dyDescent="0.35">
      <c r="A1823">
        <v>1022</v>
      </c>
      <c r="B1823" t="s">
        <v>76</v>
      </c>
      <c r="C1823" s="1">
        <v>45192.257071759261</v>
      </c>
      <c r="D1823" t="str">
        <f ca="1">VLOOKUP(qry_ProdData2_PDI_Cash_Exception_Application[[#This Row],[TYPE]],#REF!,2,FALSE)</f>
        <v>type40</v>
      </c>
      <c r="E1823">
        <v>867.12</v>
      </c>
      <c r="F1823" t="s">
        <v>49</v>
      </c>
      <c r="G1823" s="1">
        <f>qry_ProdData2_PDI_Cash_Exception_Application[[#This Row],[INSERT DATE]]+1</f>
        <v>45193.257071759261</v>
      </c>
      <c r="H1823" t="str">
        <f>VLOOKUP(qry_ProdData2_PDI_Cash_Exception_Application[[#This Row],[MARKET No]],'Site Allocation'!$B$2:$C$37,2,FALSE)</f>
        <v>Analyst4</v>
      </c>
      <c r="I1823" s="4">
        <f t="shared" ca="1" si="28"/>
        <v>45203</v>
      </c>
      <c r="J1823" s="42">
        <f ca="1">TODAY()-qry_ProdData2_PDI_Cash_Exception_Application[[#This Row],[INSERT DATE]]</f>
        <v>10.742928240739275</v>
      </c>
      <c r="K18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23">
        <f ca="1">qry_ProdData2_PDI_Cash_Exception_Application[[#This Row],[TODAY]]-qry_ProdData2_PDI_Cash_Exception_Application[[#This Row],[CHANGED ON]]</f>
        <v>9.7429282407392748</v>
      </c>
      <c r="M1823">
        <f ca="1">qry_ProdData2_PDI_Cash_Exception_Application[[#This Row],[TODAY]]-qry_ProdData2_PDI_Cash_Exception_Application[[#This Row],[CHANGED ON]]</f>
        <v>9.7429282407392748</v>
      </c>
      <c r="N1823">
        <f ca="1">qry_ProdData2_PDI_Cash_Exception_Application[[#This Row],[TODAY]]-qry_ProdData2_PDI_Cash_Exception_Application[[#This Row],[CHANGED ON]]</f>
        <v>9.7429282407392748</v>
      </c>
    </row>
    <row r="1824" spans="1:14" x14ac:dyDescent="0.35">
      <c r="A1824">
        <v>1012</v>
      </c>
      <c r="B1824" t="s">
        <v>66</v>
      </c>
      <c r="C1824" s="1">
        <v>45197.257071759261</v>
      </c>
      <c r="D1824" t="str">
        <f ca="1">VLOOKUP(qry_ProdData2_PDI_Cash_Exception_Application[[#This Row],[TYPE]],#REF!,2,FALSE)</f>
        <v>type40</v>
      </c>
      <c r="E1824">
        <v>-305.76</v>
      </c>
      <c r="F1824" t="s">
        <v>52</v>
      </c>
      <c r="G1824" s="1">
        <f>qry_ProdData2_PDI_Cash_Exception_Application[[#This Row],[INSERT DATE]]+1</f>
        <v>45198.257071759261</v>
      </c>
      <c r="H1824" t="str">
        <f>VLOOKUP(qry_ProdData2_PDI_Cash_Exception_Application[[#This Row],[MARKET No]],'Site Allocation'!$B$2:$C$37,2,FALSE)</f>
        <v>Analyst3</v>
      </c>
      <c r="I1824" s="4">
        <f t="shared" ca="1" si="28"/>
        <v>45203</v>
      </c>
      <c r="J1824" s="42">
        <f ca="1">TODAY()-qry_ProdData2_PDI_Cash_Exception_Application[[#This Row],[INSERT DATE]]</f>
        <v>5.7429282407392748</v>
      </c>
      <c r="K18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824">
        <f ca="1">qry_ProdData2_PDI_Cash_Exception_Application[[#This Row],[TODAY]]-qry_ProdData2_PDI_Cash_Exception_Application[[#This Row],[CHANGED ON]]</f>
        <v>4.7429282407392748</v>
      </c>
      <c r="M1824">
        <f ca="1">qry_ProdData2_PDI_Cash_Exception_Application[[#This Row],[TODAY]]-qry_ProdData2_PDI_Cash_Exception_Application[[#This Row],[CHANGED ON]]</f>
        <v>4.7429282407392748</v>
      </c>
      <c r="N1824">
        <f ca="1">qry_ProdData2_PDI_Cash_Exception_Application[[#This Row],[TODAY]]-qry_ProdData2_PDI_Cash_Exception_Application[[#This Row],[CHANGED ON]]</f>
        <v>4.7429282407392748</v>
      </c>
    </row>
    <row r="1825" spans="1:14" x14ac:dyDescent="0.35">
      <c r="A1825">
        <v>1032</v>
      </c>
      <c r="B1825" t="s">
        <v>86</v>
      </c>
      <c r="C1825" s="1">
        <v>45185.257071759261</v>
      </c>
      <c r="D1825" t="str">
        <f ca="1">VLOOKUP(qry_ProdData2_PDI_Cash_Exception_Application[[#This Row],[TYPE]],#REF!,2,FALSE)</f>
        <v>type13</v>
      </c>
      <c r="E1825">
        <v>21215.33</v>
      </c>
      <c r="F1825" t="s">
        <v>47</v>
      </c>
      <c r="G1825" s="1">
        <f>qry_ProdData2_PDI_Cash_Exception_Application[[#This Row],[INSERT DATE]]+2</f>
        <v>45187.257071759261</v>
      </c>
      <c r="H1825" t="str">
        <f>VLOOKUP(qry_ProdData2_PDI_Cash_Exception_Application[[#This Row],[MARKET No]],'Site Allocation'!$B$2:$C$37,2,FALSE)</f>
        <v>Analyst6</v>
      </c>
      <c r="I1825" s="4">
        <f t="shared" ca="1" si="28"/>
        <v>45203</v>
      </c>
      <c r="J1825" s="42">
        <f ca="1">TODAY()-qry_ProdData2_PDI_Cash_Exception_Application[[#This Row],[INSERT DATE]]</f>
        <v>17.742928240739275</v>
      </c>
      <c r="K18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25">
        <f ca="1">qry_ProdData2_PDI_Cash_Exception_Application[[#This Row],[TODAY]]-qry_ProdData2_PDI_Cash_Exception_Application[[#This Row],[CHANGED ON]]</f>
        <v>15.742928240739275</v>
      </c>
      <c r="M1825">
        <f ca="1">qry_ProdData2_PDI_Cash_Exception_Application[[#This Row],[TODAY]]-qry_ProdData2_PDI_Cash_Exception_Application[[#This Row],[CHANGED ON]]</f>
        <v>15.742928240739275</v>
      </c>
      <c r="N1825">
        <f ca="1">qry_ProdData2_PDI_Cash_Exception_Application[[#This Row],[TODAY]]-qry_ProdData2_PDI_Cash_Exception_Application[[#This Row],[CHANGED ON]]</f>
        <v>15.742928240739275</v>
      </c>
    </row>
    <row r="1826" spans="1:14" x14ac:dyDescent="0.35">
      <c r="A1826">
        <v>1001</v>
      </c>
      <c r="B1826" t="s">
        <v>55</v>
      </c>
      <c r="C1826" s="1">
        <v>45188.257071759261</v>
      </c>
      <c r="D1826" t="str">
        <f ca="1">VLOOKUP(qry_ProdData2_PDI_Cash_Exception_Application[[#This Row],[TYPE]],#REF!,2,FALSE)</f>
        <v>type11</v>
      </c>
      <c r="E1826">
        <v>290</v>
      </c>
      <c r="F1826" t="s">
        <v>47</v>
      </c>
      <c r="G1826" s="1">
        <f>qry_ProdData2_PDI_Cash_Exception_Application[[#This Row],[INSERT DATE]]+2</f>
        <v>45190.257071759261</v>
      </c>
      <c r="H1826" t="str">
        <f>VLOOKUP(qry_ProdData2_PDI_Cash_Exception_Application[[#This Row],[MARKET No]],'Site Allocation'!$B$2:$C$37,2,FALSE)</f>
        <v>Analyst1</v>
      </c>
      <c r="I1826" s="4">
        <f t="shared" ca="1" si="28"/>
        <v>45203</v>
      </c>
      <c r="J1826" s="42">
        <f ca="1">TODAY()-qry_ProdData2_PDI_Cash_Exception_Application[[#This Row],[INSERT DATE]]</f>
        <v>14.742928240739275</v>
      </c>
      <c r="K18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26">
        <f ca="1">qry_ProdData2_PDI_Cash_Exception_Application[[#This Row],[TODAY]]-qry_ProdData2_PDI_Cash_Exception_Application[[#This Row],[CHANGED ON]]</f>
        <v>12.742928240739275</v>
      </c>
      <c r="M1826">
        <f ca="1">qry_ProdData2_PDI_Cash_Exception_Application[[#This Row],[TODAY]]-qry_ProdData2_PDI_Cash_Exception_Application[[#This Row],[CHANGED ON]]</f>
        <v>12.742928240739275</v>
      </c>
      <c r="N1826">
        <f ca="1">qry_ProdData2_PDI_Cash_Exception_Application[[#This Row],[TODAY]]-qry_ProdData2_PDI_Cash_Exception_Application[[#This Row],[CHANGED ON]]</f>
        <v>12.742928240739275</v>
      </c>
    </row>
    <row r="1827" spans="1:14" x14ac:dyDescent="0.35">
      <c r="A1827">
        <v>1027</v>
      </c>
      <c r="B1827" t="s">
        <v>81</v>
      </c>
      <c r="C1827" s="1">
        <v>45187.257071759261</v>
      </c>
      <c r="D1827" t="str">
        <f ca="1">VLOOKUP(qry_ProdData2_PDI_Cash_Exception_Application[[#This Row],[TYPE]],#REF!,2,FALSE)</f>
        <v>type26</v>
      </c>
      <c r="E1827">
        <v>109.89</v>
      </c>
      <c r="F1827" t="s">
        <v>48</v>
      </c>
      <c r="G1827" s="1">
        <f>qry_ProdData2_PDI_Cash_Exception_Application[[#This Row],[INSERT DATE]]+2</f>
        <v>45189.257071759261</v>
      </c>
      <c r="H1827" t="str">
        <f>VLOOKUP(qry_ProdData2_PDI_Cash_Exception_Application[[#This Row],[MARKET No]],'Site Allocation'!$B$2:$C$37,2,FALSE)</f>
        <v>Analyst5</v>
      </c>
      <c r="I1827" s="4">
        <f t="shared" ca="1" si="28"/>
        <v>45203</v>
      </c>
      <c r="J1827" s="42">
        <f ca="1">TODAY()-qry_ProdData2_PDI_Cash_Exception_Application[[#This Row],[INSERT DATE]]</f>
        <v>15.742928240739275</v>
      </c>
      <c r="K18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27">
        <f ca="1">qry_ProdData2_PDI_Cash_Exception_Application[[#This Row],[TODAY]]-qry_ProdData2_PDI_Cash_Exception_Application[[#This Row],[CHANGED ON]]</f>
        <v>13.742928240739275</v>
      </c>
      <c r="M1827">
        <f ca="1">qry_ProdData2_PDI_Cash_Exception_Application[[#This Row],[TODAY]]-qry_ProdData2_PDI_Cash_Exception_Application[[#This Row],[CHANGED ON]]</f>
        <v>13.742928240739275</v>
      </c>
      <c r="N1827">
        <f ca="1">qry_ProdData2_PDI_Cash_Exception_Application[[#This Row],[TODAY]]-qry_ProdData2_PDI_Cash_Exception_Application[[#This Row],[CHANGED ON]]</f>
        <v>13.742928240739275</v>
      </c>
    </row>
    <row r="1828" spans="1:14" x14ac:dyDescent="0.35">
      <c r="A1828">
        <v>1001</v>
      </c>
      <c r="B1828" t="s">
        <v>55</v>
      </c>
      <c r="C1828" s="1">
        <v>45187.257071759261</v>
      </c>
      <c r="D1828" t="str">
        <f ca="1">VLOOKUP(qry_ProdData2_PDI_Cash_Exception_Application[[#This Row],[TYPE]],#REF!,2,FALSE)</f>
        <v>type40</v>
      </c>
      <c r="E1828">
        <v>20</v>
      </c>
      <c r="F1828" t="s">
        <v>52</v>
      </c>
      <c r="G1828" s="1">
        <f>qry_ProdData2_PDI_Cash_Exception_Application[[#This Row],[INSERT DATE]]+1</f>
        <v>45188.257071759261</v>
      </c>
      <c r="H1828" t="str">
        <f>VLOOKUP(qry_ProdData2_PDI_Cash_Exception_Application[[#This Row],[MARKET No]],'Site Allocation'!$B$2:$C$37,2,FALSE)</f>
        <v>Analyst1</v>
      </c>
      <c r="I1828" s="4">
        <f t="shared" ca="1" si="28"/>
        <v>45203</v>
      </c>
      <c r="J1828" s="42">
        <f ca="1">TODAY()-qry_ProdData2_PDI_Cash_Exception_Application[[#This Row],[INSERT DATE]]</f>
        <v>15.742928240739275</v>
      </c>
      <c r="K18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28">
        <f ca="1">qry_ProdData2_PDI_Cash_Exception_Application[[#This Row],[TODAY]]-qry_ProdData2_PDI_Cash_Exception_Application[[#This Row],[CHANGED ON]]</f>
        <v>14.742928240739275</v>
      </c>
      <c r="M1828">
        <f ca="1">qry_ProdData2_PDI_Cash_Exception_Application[[#This Row],[TODAY]]-qry_ProdData2_PDI_Cash_Exception_Application[[#This Row],[CHANGED ON]]</f>
        <v>14.742928240739275</v>
      </c>
      <c r="N1828">
        <f ca="1">qry_ProdData2_PDI_Cash_Exception_Application[[#This Row],[TODAY]]-qry_ProdData2_PDI_Cash_Exception_Application[[#This Row],[CHANGED ON]]</f>
        <v>14.742928240739275</v>
      </c>
    </row>
    <row r="1829" spans="1:14" x14ac:dyDescent="0.35">
      <c r="A1829">
        <v>1006</v>
      </c>
      <c r="B1829" t="s">
        <v>60</v>
      </c>
      <c r="C1829" s="1">
        <v>45190.257071759261</v>
      </c>
      <c r="D1829" t="str">
        <f ca="1">VLOOKUP(qry_ProdData2_PDI_Cash_Exception_Application[[#This Row],[TYPE]],#REF!,2,FALSE)</f>
        <v>type13</v>
      </c>
      <c r="E1829">
        <v>26027.21</v>
      </c>
      <c r="F1829" t="s">
        <v>47</v>
      </c>
      <c r="G1829" s="1">
        <f>qry_ProdData2_PDI_Cash_Exception_Application[[#This Row],[INSERT DATE]]+5</f>
        <v>45195.257071759261</v>
      </c>
      <c r="H1829" t="str">
        <f>VLOOKUP(qry_ProdData2_PDI_Cash_Exception_Application[[#This Row],[MARKET No]],'Site Allocation'!$B$2:$C$37,2,FALSE)</f>
        <v>Analyst2</v>
      </c>
      <c r="I1829" s="4">
        <f t="shared" ca="1" si="28"/>
        <v>45203</v>
      </c>
      <c r="J1829" s="42">
        <f ca="1">TODAY()-qry_ProdData2_PDI_Cash_Exception_Application[[#This Row],[INSERT DATE]]</f>
        <v>12.742928240739275</v>
      </c>
      <c r="K18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29">
        <f ca="1">qry_ProdData2_PDI_Cash_Exception_Application[[#This Row],[TODAY]]-qry_ProdData2_PDI_Cash_Exception_Application[[#This Row],[CHANGED ON]]</f>
        <v>7.7429282407392748</v>
      </c>
      <c r="M1829">
        <f ca="1">qry_ProdData2_PDI_Cash_Exception_Application[[#This Row],[TODAY]]-qry_ProdData2_PDI_Cash_Exception_Application[[#This Row],[CHANGED ON]]</f>
        <v>7.7429282407392748</v>
      </c>
      <c r="N1829">
        <f ca="1">qry_ProdData2_PDI_Cash_Exception_Application[[#This Row],[TODAY]]-qry_ProdData2_PDI_Cash_Exception_Application[[#This Row],[CHANGED ON]]</f>
        <v>7.7429282407392748</v>
      </c>
    </row>
    <row r="1830" spans="1:14" x14ac:dyDescent="0.35">
      <c r="A1830">
        <v>1011</v>
      </c>
      <c r="B1830" t="s">
        <v>65</v>
      </c>
      <c r="C1830" s="1">
        <v>45189.257071759261</v>
      </c>
      <c r="D1830" t="str">
        <f ca="1">VLOOKUP(qry_ProdData2_PDI_Cash_Exception_Application[[#This Row],[TYPE]],#REF!,2,FALSE)</f>
        <v>type34</v>
      </c>
      <c r="E1830">
        <v>104.82</v>
      </c>
      <c r="F1830" t="s">
        <v>50</v>
      </c>
      <c r="G1830" s="1">
        <f>qry_ProdData2_PDI_Cash_Exception_Application[[#This Row],[INSERT DATE]]+2</f>
        <v>45191.257071759261</v>
      </c>
      <c r="H1830" t="str">
        <f>VLOOKUP(qry_ProdData2_PDI_Cash_Exception_Application[[#This Row],[MARKET No]],'Site Allocation'!$B$2:$C$37,2,FALSE)</f>
        <v>Analyst2</v>
      </c>
      <c r="I1830" s="4">
        <f t="shared" ca="1" si="28"/>
        <v>45203</v>
      </c>
      <c r="J1830" s="42">
        <f ca="1">TODAY()-qry_ProdData2_PDI_Cash_Exception_Application[[#This Row],[INSERT DATE]]</f>
        <v>13.742928240739275</v>
      </c>
      <c r="K18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30">
        <f ca="1">qry_ProdData2_PDI_Cash_Exception_Application[[#This Row],[TODAY]]-qry_ProdData2_PDI_Cash_Exception_Application[[#This Row],[CHANGED ON]]</f>
        <v>11.742928240739275</v>
      </c>
      <c r="M1830">
        <f ca="1">qry_ProdData2_PDI_Cash_Exception_Application[[#This Row],[TODAY]]-qry_ProdData2_PDI_Cash_Exception_Application[[#This Row],[CHANGED ON]]</f>
        <v>11.742928240739275</v>
      </c>
      <c r="N1830">
        <f ca="1">qry_ProdData2_PDI_Cash_Exception_Application[[#This Row],[TODAY]]-qry_ProdData2_PDI_Cash_Exception_Application[[#This Row],[CHANGED ON]]</f>
        <v>11.742928240739275</v>
      </c>
    </row>
    <row r="1831" spans="1:14" x14ac:dyDescent="0.35">
      <c r="A1831">
        <v>1001</v>
      </c>
      <c r="B1831" t="s">
        <v>55</v>
      </c>
      <c r="C1831" s="1">
        <v>45187.257071759261</v>
      </c>
      <c r="D1831" t="str">
        <f ca="1">VLOOKUP(qry_ProdData2_PDI_Cash_Exception_Application[[#This Row],[TYPE]],#REF!,2,FALSE)</f>
        <v>type10</v>
      </c>
      <c r="E1831">
        <v>22.01</v>
      </c>
      <c r="F1831" t="s">
        <v>48</v>
      </c>
      <c r="G1831" s="1">
        <f>qry_ProdData2_PDI_Cash_Exception_Application[[#This Row],[INSERT DATE]]+2</f>
        <v>45189.257071759261</v>
      </c>
      <c r="H1831" t="str">
        <f>VLOOKUP(qry_ProdData2_PDI_Cash_Exception_Application[[#This Row],[MARKET No]],'Site Allocation'!$B$2:$C$37,2,FALSE)</f>
        <v>Analyst1</v>
      </c>
      <c r="I1831" s="4">
        <f t="shared" ca="1" si="28"/>
        <v>45203</v>
      </c>
      <c r="J1831" s="42">
        <f ca="1">TODAY()-qry_ProdData2_PDI_Cash_Exception_Application[[#This Row],[INSERT DATE]]</f>
        <v>15.742928240739275</v>
      </c>
      <c r="K18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31">
        <f ca="1">qry_ProdData2_PDI_Cash_Exception_Application[[#This Row],[TODAY]]-qry_ProdData2_PDI_Cash_Exception_Application[[#This Row],[CHANGED ON]]</f>
        <v>13.742928240739275</v>
      </c>
      <c r="M1831">
        <f ca="1">qry_ProdData2_PDI_Cash_Exception_Application[[#This Row],[TODAY]]-qry_ProdData2_PDI_Cash_Exception_Application[[#This Row],[CHANGED ON]]</f>
        <v>13.742928240739275</v>
      </c>
      <c r="N1831">
        <f ca="1">qry_ProdData2_PDI_Cash_Exception_Application[[#This Row],[TODAY]]-qry_ProdData2_PDI_Cash_Exception_Application[[#This Row],[CHANGED ON]]</f>
        <v>13.742928240739275</v>
      </c>
    </row>
    <row r="1832" spans="1:14" x14ac:dyDescent="0.35">
      <c r="A1832">
        <v>1029</v>
      </c>
      <c r="B1832" t="s">
        <v>83</v>
      </c>
      <c r="C1832" s="1">
        <v>45187.257071759261</v>
      </c>
      <c r="D1832" t="str">
        <f ca="1">VLOOKUP(qry_ProdData2_PDI_Cash_Exception_Application[[#This Row],[TYPE]],#REF!,2,FALSE)</f>
        <v>type40</v>
      </c>
      <c r="E1832">
        <v>3300.75</v>
      </c>
      <c r="F1832" t="s">
        <v>49</v>
      </c>
      <c r="G1832" s="1">
        <f>qry_ProdData2_PDI_Cash_Exception_Application[[#This Row],[INSERT DATE]]+1</f>
        <v>45188.257071759261</v>
      </c>
      <c r="H1832" t="str">
        <f>VLOOKUP(qry_ProdData2_PDI_Cash_Exception_Application[[#This Row],[MARKET No]],'Site Allocation'!$B$2:$C$37,2,FALSE)</f>
        <v>Analyst5</v>
      </c>
      <c r="I1832" s="4">
        <f t="shared" ca="1" si="28"/>
        <v>45203</v>
      </c>
      <c r="J1832" s="42">
        <f ca="1">TODAY()-qry_ProdData2_PDI_Cash_Exception_Application[[#This Row],[INSERT DATE]]</f>
        <v>15.742928240739275</v>
      </c>
      <c r="K18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32">
        <f ca="1">qry_ProdData2_PDI_Cash_Exception_Application[[#This Row],[TODAY]]-qry_ProdData2_PDI_Cash_Exception_Application[[#This Row],[CHANGED ON]]</f>
        <v>14.742928240739275</v>
      </c>
      <c r="M1832">
        <f ca="1">qry_ProdData2_PDI_Cash_Exception_Application[[#This Row],[TODAY]]-qry_ProdData2_PDI_Cash_Exception_Application[[#This Row],[CHANGED ON]]</f>
        <v>14.742928240739275</v>
      </c>
      <c r="N1832">
        <f ca="1">qry_ProdData2_PDI_Cash_Exception_Application[[#This Row],[TODAY]]-qry_ProdData2_PDI_Cash_Exception_Application[[#This Row],[CHANGED ON]]</f>
        <v>14.742928240739275</v>
      </c>
    </row>
    <row r="1833" spans="1:14" x14ac:dyDescent="0.35">
      <c r="A1833">
        <v>1005</v>
      </c>
      <c r="B1833" t="s">
        <v>59</v>
      </c>
      <c r="C1833" s="1">
        <v>45192.257071759261</v>
      </c>
      <c r="D1833" t="str">
        <f ca="1">VLOOKUP(qry_ProdData2_PDI_Cash_Exception_Application[[#This Row],[TYPE]],#REF!,2,FALSE)</f>
        <v>type35</v>
      </c>
      <c r="E1833">
        <v>1111.6600000000001</v>
      </c>
      <c r="F1833" t="s">
        <v>47</v>
      </c>
      <c r="G1833" s="1">
        <f>qry_ProdData2_PDI_Cash_Exception_Application[[#This Row],[INSERT DATE]]+7</f>
        <v>45199.257071759261</v>
      </c>
      <c r="H1833" t="str">
        <f>VLOOKUP(qry_ProdData2_PDI_Cash_Exception_Application[[#This Row],[MARKET No]],'Site Allocation'!$B$2:$C$37,2,FALSE)</f>
        <v>Analyst1</v>
      </c>
      <c r="I1833" s="4">
        <f t="shared" ca="1" si="28"/>
        <v>45203</v>
      </c>
      <c r="J1833" s="42">
        <f ca="1">TODAY()-qry_ProdData2_PDI_Cash_Exception_Application[[#This Row],[INSERT DATE]]</f>
        <v>10.742928240739275</v>
      </c>
      <c r="K18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33">
        <f ca="1">qry_ProdData2_PDI_Cash_Exception_Application[[#This Row],[TODAY]]-qry_ProdData2_PDI_Cash_Exception_Application[[#This Row],[CHANGED ON]]</f>
        <v>3.7429282407392748</v>
      </c>
      <c r="M1833">
        <f ca="1">qry_ProdData2_PDI_Cash_Exception_Application[[#This Row],[TODAY]]-qry_ProdData2_PDI_Cash_Exception_Application[[#This Row],[CHANGED ON]]</f>
        <v>3.7429282407392748</v>
      </c>
      <c r="N1833">
        <f ca="1">qry_ProdData2_PDI_Cash_Exception_Application[[#This Row],[TODAY]]-qry_ProdData2_PDI_Cash_Exception_Application[[#This Row],[CHANGED ON]]</f>
        <v>3.7429282407392748</v>
      </c>
    </row>
    <row r="1834" spans="1:14" x14ac:dyDescent="0.35">
      <c r="A1834">
        <v>1020</v>
      </c>
      <c r="B1834" t="s">
        <v>74</v>
      </c>
      <c r="C1834" s="1">
        <v>45191.257071759261</v>
      </c>
      <c r="D1834" t="str">
        <f ca="1">VLOOKUP(qry_ProdData2_PDI_Cash_Exception_Application[[#This Row],[TYPE]],#REF!,2,FALSE)</f>
        <v>type40</v>
      </c>
      <c r="E1834">
        <v>712.14</v>
      </c>
      <c r="F1834" t="s">
        <v>50</v>
      </c>
      <c r="G1834" s="1">
        <f>qry_ProdData2_PDI_Cash_Exception_Application[[#This Row],[INSERT DATE]]+2</f>
        <v>45193.257071759261</v>
      </c>
      <c r="H1834" t="str">
        <f>VLOOKUP(qry_ProdData2_PDI_Cash_Exception_Application[[#This Row],[MARKET No]],'Site Allocation'!$B$2:$C$37,2,FALSE)</f>
        <v>Analyst4</v>
      </c>
      <c r="I1834" s="4">
        <f t="shared" ca="1" si="28"/>
        <v>45203</v>
      </c>
      <c r="J1834" s="42">
        <f ca="1">TODAY()-qry_ProdData2_PDI_Cash_Exception_Application[[#This Row],[INSERT DATE]]</f>
        <v>11.742928240739275</v>
      </c>
      <c r="K18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34">
        <f ca="1">qry_ProdData2_PDI_Cash_Exception_Application[[#This Row],[TODAY]]-qry_ProdData2_PDI_Cash_Exception_Application[[#This Row],[CHANGED ON]]</f>
        <v>9.7429282407392748</v>
      </c>
      <c r="M1834">
        <f ca="1">qry_ProdData2_PDI_Cash_Exception_Application[[#This Row],[TODAY]]-qry_ProdData2_PDI_Cash_Exception_Application[[#This Row],[CHANGED ON]]</f>
        <v>9.7429282407392748</v>
      </c>
      <c r="N1834">
        <f ca="1">qry_ProdData2_PDI_Cash_Exception_Application[[#This Row],[TODAY]]-qry_ProdData2_PDI_Cash_Exception_Application[[#This Row],[CHANGED ON]]</f>
        <v>9.7429282407392748</v>
      </c>
    </row>
    <row r="1835" spans="1:14" x14ac:dyDescent="0.35">
      <c r="A1835">
        <v>1027</v>
      </c>
      <c r="B1835" t="s">
        <v>81</v>
      </c>
      <c r="C1835" s="1">
        <v>45182.257071759261</v>
      </c>
      <c r="D1835" t="str">
        <f ca="1">VLOOKUP(qry_ProdData2_PDI_Cash_Exception_Application[[#This Row],[TYPE]],#REF!,2,FALSE)</f>
        <v>type42</v>
      </c>
      <c r="E1835">
        <v>171.68</v>
      </c>
      <c r="F1835" t="s">
        <v>49</v>
      </c>
      <c r="G1835" s="1">
        <f>qry_ProdData2_PDI_Cash_Exception_Application[[#This Row],[INSERT DATE]]+2</f>
        <v>45184.257071759261</v>
      </c>
      <c r="H1835" t="str">
        <f>VLOOKUP(qry_ProdData2_PDI_Cash_Exception_Application[[#This Row],[MARKET No]],'Site Allocation'!$B$2:$C$37,2,FALSE)</f>
        <v>Analyst5</v>
      </c>
      <c r="I1835" s="4">
        <f t="shared" ca="1" si="28"/>
        <v>45203</v>
      </c>
      <c r="J1835" s="42">
        <f ca="1">TODAY()-qry_ProdData2_PDI_Cash_Exception_Application[[#This Row],[INSERT DATE]]</f>
        <v>20.742928240739275</v>
      </c>
      <c r="K18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35">
        <f ca="1">qry_ProdData2_PDI_Cash_Exception_Application[[#This Row],[TODAY]]-qry_ProdData2_PDI_Cash_Exception_Application[[#This Row],[CHANGED ON]]</f>
        <v>18.742928240739275</v>
      </c>
      <c r="M1835">
        <f ca="1">qry_ProdData2_PDI_Cash_Exception_Application[[#This Row],[TODAY]]-qry_ProdData2_PDI_Cash_Exception_Application[[#This Row],[CHANGED ON]]</f>
        <v>18.742928240739275</v>
      </c>
      <c r="N1835">
        <f ca="1">qry_ProdData2_PDI_Cash_Exception_Application[[#This Row],[TODAY]]-qry_ProdData2_PDI_Cash_Exception_Application[[#This Row],[CHANGED ON]]</f>
        <v>18.742928240739275</v>
      </c>
    </row>
    <row r="1836" spans="1:14" x14ac:dyDescent="0.35">
      <c r="A1836">
        <v>1012</v>
      </c>
      <c r="B1836" t="s">
        <v>66</v>
      </c>
      <c r="C1836" s="1">
        <v>45193.257071759261</v>
      </c>
      <c r="D1836" t="str">
        <f ca="1">VLOOKUP(qry_ProdData2_PDI_Cash_Exception_Application[[#This Row],[TYPE]],#REF!,2,FALSE)</f>
        <v>type40</v>
      </c>
      <c r="E1836">
        <v>4819.82</v>
      </c>
      <c r="F1836" t="s">
        <v>50</v>
      </c>
      <c r="G1836" s="1">
        <f>qry_ProdData2_PDI_Cash_Exception_Application[[#This Row],[INSERT DATE]]+2</f>
        <v>45195.257071759261</v>
      </c>
      <c r="H1836" t="str">
        <f>VLOOKUP(qry_ProdData2_PDI_Cash_Exception_Application[[#This Row],[MARKET No]],'Site Allocation'!$B$2:$C$37,2,FALSE)</f>
        <v>Analyst3</v>
      </c>
      <c r="I1836" s="4">
        <f t="shared" ca="1" si="28"/>
        <v>45203</v>
      </c>
      <c r="J1836" s="42">
        <f ca="1">TODAY()-qry_ProdData2_PDI_Cash_Exception_Application[[#This Row],[INSERT DATE]]</f>
        <v>9.7429282407392748</v>
      </c>
      <c r="K18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36">
        <f ca="1">qry_ProdData2_PDI_Cash_Exception_Application[[#This Row],[TODAY]]-qry_ProdData2_PDI_Cash_Exception_Application[[#This Row],[CHANGED ON]]</f>
        <v>7.7429282407392748</v>
      </c>
      <c r="M1836">
        <f ca="1">qry_ProdData2_PDI_Cash_Exception_Application[[#This Row],[TODAY]]-qry_ProdData2_PDI_Cash_Exception_Application[[#This Row],[CHANGED ON]]</f>
        <v>7.7429282407392748</v>
      </c>
      <c r="N1836">
        <f ca="1">qry_ProdData2_PDI_Cash_Exception_Application[[#This Row],[TODAY]]-qry_ProdData2_PDI_Cash_Exception_Application[[#This Row],[CHANGED ON]]</f>
        <v>7.7429282407392748</v>
      </c>
    </row>
    <row r="1837" spans="1:14" x14ac:dyDescent="0.35">
      <c r="A1837">
        <v>1020</v>
      </c>
      <c r="B1837" t="s">
        <v>74</v>
      </c>
      <c r="C1837" s="1">
        <v>45194.257071759261</v>
      </c>
      <c r="D1837" t="str">
        <f ca="1">VLOOKUP(qry_ProdData2_PDI_Cash_Exception_Application[[#This Row],[TYPE]],#REF!,2,FALSE)</f>
        <v>type40</v>
      </c>
      <c r="E1837">
        <v>429.91</v>
      </c>
      <c r="F1837" t="s">
        <v>52</v>
      </c>
      <c r="G1837" s="1">
        <f>qry_ProdData2_PDI_Cash_Exception_Application[[#This Row],[INSERT DATE]]+2</f>
        <v>45196.257071759261</v>
      </c>
      <c r="H1837" t="str">
        <f>VLOOKUP(qry_ProdData2_PDI_Cash_Exception_Application[[#This Row],[MARKET No]],'Site Allocation'!$B$2:$C$37,2,FALSE)</f>
        <v>Analyst4</v>
      </c>
      <c r="I1837" s="4">
        <f t="shared" ca="1" si="28"/>
        <v>45203</v>
      </c>
      <c r="J1837" s="42">
        <f ca="1">TODAY()-qry_ProdData2_PDI_Cash_Exception_Application[[#This Row],[INSERT DATE]]</f>
        <v>8.7429282407392748</v>
      </c>
      <c r="K18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837">
        <f ca="1">qry_ProdData2_PDI_Cash_Exception_Application[[#This Row],[TODAY]]-qry_ProdData2_PDI_Cash_Exception_Application[[#This Row],[CHANGED ON]]</f>
        <v>6.7429282407392748</v>
      </c>
      <c r="M1837">
        <f ca="1">qry_ProdData2_PDI_Cash_Exception_Application[[#This Row],[TODAY]]-qry_ProdData2_PDI_Cash_Exception_Application[[#This Row],[CHANGED ON]]</f>
        <v>6.7429282407392748</v>
      </c>
      <c r="N1837">
        <f ca="1">qry_ProdData2_PDI_Cash_Exception_Application[[#This Row],[TODAY]]-qry_ProdData2_PDI_Cash_Exception_Application[[#This Row],[CHANGED ON]]</f>
        <v>6.7429282407392748</v>
      </c>
    </row>
    <row r="1838" spans="1:14" x14ac:dyDescent="0.35">
      <c r="A1838">
        <v>1031</v>
      </c>
      <c r="B1838" t="s">
        <v>85</v>
      </c>
      <c r="C1838" s="1">
        <v>45189.257071759261</v>
      </c>
      <c r="D1838" t="str">
        <f ca="1">VLOOKUP(qry_ProdData2_PDI_Cash_Exception_Application[[#This Row],[TYPE]],#REF!,2,FALSE)</f>
        <v>type40</v>
      </c>
      <c r="E1838">
        <v>1.89</v>
      </c>
      <c r="F1838" t="s">
        <v>48</v>
      </c>
      <c r="G1838" s="1">
        <f>qry_ProdData2_PDI_Cash_Exception_Application[[#This Row],[INSERT DATE]]+2</f>
        <v>45191.257071759261</v>
      </c>
      <c r="H1838" t="str">
        <f>VLOOKUP(qry_ProdData2_PDI_Cash_Exception_Application[[#This Row],[MARKET No]],'Site Allocation'!$B$2:$C$37,2,FALSE)</f>
        <v>Analyst6</v>
      </c>
      <c r="I1838" s="4">
        <f t="shared" ca="1" si="28"/>
        <v>45203</v>
      </c>
      <c r="J1838" s="42">
        <f ca="1">TODAY()-qry_ProdData2_PDI_Cash_Exception_Application[[#This Row],[INSERT DATE]]</f>
        <v>13.742928240739275</v>
      </c>
      <c r="K18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38">
        <f ca="1">qry_ProdData2_PDI_Cash_Exception_Application[[#This Row],[TODAY]]-qry_ProdData2_PDI_Cash_Exception_Application[[#This Row],[CHANGED ON]]</f>
        <v>11.742928240739275</v>
      </c>
      <c r="M1838">
        <f ca="1">qry_ProdData2_PDI_Cash_Exception_Application[[#This Row],[TODAY]]-qry_ProdData2_PDI_Cash_Exception_Application[[#This Row],[CHANGED ON]]</f>
        <v>11.742928240739275</v>
      </c>
      <c r="N1838">
        <f ca="1">qry_ProdData2_PDI_Cash_Exception_Application[[#This Row],[TODAY]]-qry_ProdData2_PDI_Cash_Exception_Application[[#This Row],[CHANGED ON]]</f>
        <v>11.742928240739275</v>
      </c>
    </row>
    <row r="1839" spans="1:14" x14ac:dyDescent="0.35">
      <c r="A1839">
        <v>1018</v>
      </c>
      <c r="B1839" t="s">
        <v>72</v>
      </c>
      <c r="C1839" s="1">
        <v>45187.257071759261</v>
      </c>
      <c r="D1839" t="str">
        <f ca="1">VLOOKUP(qry_ProdData2_PDI_Cash_Exception_Application[[#This Row],[TYPE]],#REF!,2,FALSE)</f>
        <v>type40</v>
      </c>
      <c r="E1839">
        <v>26.49</v>
      </c>
      <c r="F1839" t="s">
        <v>47</v>
      </c>
      <c r="G1839" s="1">
        <f>qry_ProdData2_PDI_Cash_Exception_Application[[#This Row],[INSERT DATE]]+7</f>
        <v>45194.257071759261</v>
      </c>
      <c r="H1839" t="str">
        <f>VLOOKUP(qry_ProdData2_PDI_Cash_Exception_Application[[#This Row],[MARKET No]],'Site Allocation'!$B$2:$C$37,2,FALSE)</f>
        <v>Analyst4</v>
      </c>
      <c r="I1839" s="4">
        <f t="shared" ca="1" si="28"/>
        <v>45203</v>
      </c>
      <c r="J1839" s="42">
        <f ca="1">TODAY()-qry_ProdData2_PDI_Cash_Exception_Application[[#This Row],[INSERT DATE]]</f>
        <v>15.742928240739275</v>
      </c>
      <c r="K18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39">
        <f ca="1">qry_ProdData2_PDI_Cash_Exception_Application[[#This Row],[TODAY]]-qry_ProdData2_PDI_Cash_Exception_Application[[#This Row],[CHANGED ON]]</f>
        <v>8.7429282407392748</v>
      </c>
      <c r="M1839">
        <f ca="1">qry_ProdData2_PDI_Cash_Exception_Application[[#This Row],[TODAY]]-qry_ProdData2_PDI_Cash_Exception_Application[[#This Row],[CHANGED ON]]</f>
        <v>8.7429282407392748</v>
      </c>
      <c r="N1839">
        <f ca="1">qry_ProdData2_PDI_Cash_Exception_Application[[#This Row],[TODAY]]-qry_ProdData2_PDI_Cash_Exception_Application[[#This Row],[CHANGED ON]]</f>
        <v>8.7429282407392748</v>
      </c>
    </row>
    <row r="1840" spans="1:14" x14ac:dyDescent="0.35">
      <c r="A1840">
        <v>1023</v>
      </c>
      <c r="B1840" t="s">
        <v>77</v>
      </c>
      <c r="C1840" s="1">
        <v>45197.257071759261</v>
      </c>
      <c r="D1840" t="str">
        <f ca="1">VLOOKUP(qry_ProdData2_PDI_Cash_Exception_Application[[#This Row],[TYPE]],#REF!,2,FALSE)</f>
        <v>type40</v>
      </c>
      <c r="E1840">
        <v>378.31</v>
      </c>
      <c r="F1840" t="s">
        <v>50</v>
      </c>
      <c r="G1840" s="1">
        <f>qry_ProdData2_PDI_Cash_Exception_Application[[#This Row],[INSERT DATE]]+2</f>
        <v>45199.257071759261</v>
      </c>
      <c r="H1840" t="str">
        <f>VLOOKUP(qry_ProdData2_PDI_Cash_Exception_Application[[#This Row],[MARKET No]],'Site Allocation'!$B$2:$C$37,2,FALSE)</f>
        <v>Analyst4</v>
      </c>
      <c r="I1840" s="4">
        <f t="shared" ca="1" si="28"/>
        <v>45203</v>
      </c>
      <c r="J1840" s="42">
        <f ca="1">TODAY()-qry_ProdData2_PDI_Cash_Exception_Application[[#This Row],[INSERT DATE]]</f>
        <v>5.7429282407392748</v>
      </c>
      <c r="K18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840">
        <f ca="1">qry_ProdData2_PDI_Cash_Exception_Application[[#This Row],[TODAY]]-qry_ProdData2_PDI_Cash_Exception_Application[[#This Row],[CHANGED ON]]</f>
        <v>3.7429282407392748</v>
      </c>
      <c r="M1840">
        <f ca="1">qry_ProdData2_PDI_Cash_Exception_Application[[#This Row],[TODAY]]-qry_ProdData2_PDI_Cash_Exception_Application[[#This Row],[CHANGED ON]]</f>
        <v>3.7429282407392748</v>
      </c>
      <c r="N1840">
        <f ca="1">qry_ProdData2_PDI_Cash_Exception_Application[[#This Row],[TODAY]]-qry_ProdData2_PDI_Cash_Exception_Application[[#This Row],[CHANGED ON]]</f>
        <v>3.7429282407392748</v>
      </c>
    </row>
    <row r="1841" spans="1:14" x14ac:dyDescent="0.35">
      <c r="A1841">
        <v>1033</v>
      </c>
      <c r="B1841" t="s">
        <v>87</v>
      </c>
      <c r="C1841" s="1">
        <v>45190.257071759261</v>
      </c>
      <c r="D1841" t="str">
        <f ca="1">VLOOKUP(qry_ProdData2_PDI_Cash_Exception_Application[[#This Row],[TYPE]],#REF!,2,FALSE)</f>
        <v>type35</v>
      </c>
      <c r="E1841">
        <v>1618.89</v>
      </c>
      <c r="F1841" t="s">
        <v>51</v>
      </c>
      <c r="G1841" s="1">
        <f>qry_ProdData2_PDI_Cash_Exception_Application[[#This Row],[INSERT DATE]]+2</f>
        <v>45192.257071759261</v>
      </c>
      <c r="H1841" t="str">
        <f>VLOOKUP(qry_ProdData2_PDI_Cash_Exception_Application[[#This Row],[MARKET No]],'Site Allocation'!$B$2:$C$37,2,FALSE)</f>
        <v>Analyst6</v>
      </c>
      <c r="I1841" s="4">
        <f t="shared" ca="1" si="28"/>
        <v>45203</v>
      </c>
      <c r="J1841" s="42">
        <f ca="1">TODAY()-qry_ProdData2_PDI_Cash_Exception_Application[[#This Row],[INSERT DATE]]</f>
        <v>12.742928240739275</v>
      </c>
      <c r="K18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41">
        <f ca="1">qry_ProdData2_PDI_Cash_Exception_Application[[#This Row],[TODAY]]-qry_ProdData2_PDI_Cash_Exception_Application[[#This Row],[CHANGED ON]]</f>
        <v>10.742928240739275</v>
      </c>
      <c r="M1841">
        <f ca="1">qry_ProdData2_PDI_Cash_Exception_Application[[#This Row],[TODAY]]-qry_ProdData2_PDI_Cash_Exception_Application[[#This Row],[CHANGED ON]]</f>
        <v>10.742928240739275</v>
      </c>
      <c r="N1841">
        <f ca="1">qry_ProdData2_PDI_Cash_Exception_Application[[#This Row],[TODAY]]-qry_ProdData2_PDI_Cash_Exception_Application[[#This Row],[CHANGED ON]]</f>
        <v>10.742928240739275</v>
      </c>
    </row>
    <row r="1842" spans="1:14" x14ac:dyDescent="0.35">
      <c r="A1842">
        <v>1025</v>
      </c>
      <c r="B1842" t="s">
        <v>79</v>
      </c>
      <c r="C1842" s="1">
        <v>45190.257071759261</v>
      </c>
      <c r="D1842" t="str">
        <f ca="1">VLOOKUP(qry_ProdData2_PDI_Cash_Exception_Application[[#This Row],[TYPE]],#REF!,2,FALSE)</f>
        <v>type40</v>
      </c>
      <c r="E1842">
        <v>11.4</v>
      </c>
      <c r="F1842" t="s">
        <v>47</v>
      </c>
      <c r="G1842" s="1">
        <f>qry_ProdData2_PDI_Cash_Exception_Application[[#This Row],[INSERT DATE]]+7</f>
        <v>45197.257071759261</v>
      </c>
      <c r="H1842" t="str">
        <f>VLOOKUP(qry_ProdData2_PDI_Cash_Exception_Application[[#This Row],[MARKET No]],'Site Allocation'!$B$2:$C$37,2,FALSE)</f>
        <v>Analyst5</v>
      </c>
      <c r="I1842" s="4">
        <f t="shared" ca="1" si="28"/>
        <v>45203</v>
      </c>
      <c r="J1842" s="42">
        <f ca="1">TODAY()-qry_ProdData2_PDI_Cash_Exception_Application[[#This Row],[INSERT DATE]]</f>
        <v>12.742928240739275</v>
      </c>
      <c r="K18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42">
        <f ca="1">qry_ProdData2_PDI_Cash_Exception_Application[[#This Row],[TODAY]]-qry_ProdData2_PDI_Cash_Exception_Application[[#This Row],[CHANGED ON]]</f>
        <v>5.7429282407392748</v>
      </c>
      <c r="M1842">
        <f ca="1">qry_ProdData2_PDI_Cash_Exception_Application[[#This Row],[TODAY]]-qry_ProdData2_PDI_Cash_Exception_Application[[#This Row],[CHANGED ON]]</f>
        <v>5.7429282407392748</v>
      </c>
      <c r="N1842">
        <f ca="1">qry_ProdData2_PDI_Cash_Exception_Application[[#This Row],[TODAY]]-qry_ProdData2_PDI_Cash_Exception_Application[[#This Row],[CHANGED ON]]</f>
        <v>5.7429282407392748</v>
      </c>
    </row>
    <row r="1843" spans="1:14" x14ac:dyDescent="0.35">
      <c r="A1843">
        <v>1012</v>
      </c>
      <c r="B1843" t="s">
        <v>66</v>
      </c>
      <c r="C1843" s="1">
        <v>45189.257071759261</v>
      </c>
      <c r="D1843" t="str">
        <f ca="1">VLOOKUP(qry_ProdData2_PDI_Cash_Exception_Application[[#This Row],[TYPE]],#REF!,2,FALSE)</f>
        <v>type48</v>
      </c>
      <c r="E1843">
        <v>560.5</v>
      </c>
      <c r="F1843" t="s">
        <v>51</v>
      </c>
      <c r="G1843" s="1">
        <f>qry_ProdData2_PDI_Cash_Exception_Application[[#This Row],[INSERT DATE]]+7</f>
        <v>45196.257071759261</v>
      </c>
      <c r="H1843" t="str">
        <f>VLOOKUP(qry_ProdData2_PDI_Cash_Exception_Application[[#This Row],[MARKET No]],'Site Allocation'!$B$2:$C$37,2,FALSE)</f>
        <v>Analyst3</v>
      </c>
      <c r="I1843" s="4">
        <f t="shared" ca="1" si="28"/>
        <v>45203</v>
      </c>
      <c r="J1843" s="42">
        <f ca="1">TODAY()-qry_ProdData2_PDI_Cash_Exception_Application[[#This Row],[INSERT DATE]]</f>
        <v>13.742928240739275</v>
      </c>
      <c r="K18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43">
        <f ca="1">qry_ProdData2_PDI_Cash_Exception_Application[[#This Row],[TODAY]]-qry_ProdData2_PDI_Cash_Exception_Application[[#This Row],[CHANGED ON]]</f>
        <v>6.7429282407392748</v>
      </c>
      <c r="M1843">
        <f ca="1">qry_ProdData2_PDI_Cash_Exception_Application[[#This Row],[TODAY]]-qry_ProdData2_PDI_Cash_Exception_Application[[#This Row],[CHANGED ON]]</f>
        <v>6.7429282407392748</v>
      </c>
      <c r="N1843">
        <f ca="1">qry_ProdData2_PDI_Cash_Exception_Application[[#This Row],[TODAY]]-qry_ProdData2_PDI_Cash_Exception_Application[[#This Row],[CHANGED ON]]</f>
        <v>6.7429282407392748</v>
      </c>
    </row>
    <row r="1844" spans="1:14" x14ac:dyDescent="0.35">
      <c r="A1844">
        <v>1002</v>
      </c>
      <c r="B1844" t="s">
        <v>56</v>
      </c>
      <c r="C1844" s="1">
        <v>45182.257071759261</v>
      </c>
      <c r="D1844" t="str">
        <f ca="1">VLOOKUP(qry_ProdData2_PDI_Cash_Exception_Application[[#This Row],[TYPE]],#REF!,2,FALSE)</f>
        <v>type40</v>
      </c>
      <c r="E1844">
        <v>-303.75</v>
      </c>
      <c r="F1844" t="s">
        <v>50</v>
      </c>
      <c r="G1844" s="1">
        <f>qry_ProdData2_PDI_Cash_Exception_Application[[#This Row],[INSERT DATE]]+2</f>
        <v>45184.257071759261</v>
      </c>
      <c r="H1844" t="str">
        <f>VLOOKUP(qry_ProdData2_PDI_Cash_Exception_Application[[#This Row],[MARKET No]],'Site Allocation'!$B$2:$C$37,2,FALSE)</f>
        <v>Analyst1</v>
      </c>
      <c r="I1844" s="4">
        <f t="shared" ca="1" si="28"/>
        <v>45203</v>
      </c>
      <c r="J1844" s="42">
        <f ca="1">TODAY()-qry_ProdData2_PDI_Cash_Exception_Application[[#This Row],[INSERT DATE]]</f>
        <v>20.742928240739275</v>
      </c>
      <c r="K18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44">
        <f ca="1">qry_ProdData2_PDI_Cash_Exception_Application[[#This Row],[TODAY]]-qry_ProdData2_PDI_Cash_Exception_Application[[#This Row],[CHANGED ON]]</f>
        <v>18.742928240739275</v>
      </c>
      <c r="M1844">
        <f ca="1">qry_ProdData2_PDI_Cash_Exception_Application[[#This Row],[TODAY]]-qry_ProdData2_PDI_Cash_Exception_Application[[#This Row],[CHANGED ON]]</f>
        <v>18.742928240739275</v>
      </c>
      <c r="N1844">
        <f ca="1">qry_ProdData2_PDI_Cash_Exception_Application[[#This Row],[TODAY]]-qry_ProdData2_PDI_Cash_Exception_Application[[#This Row],[CHANGED ON]]</f>
        <v>18.742928240739275</v>
      </c>
    </row>
    <row r="1845" spans="1:14" x14ac:dyDescent="0.35">
      <c r="A1845">
        <v>1024</v>
      </c>
      <c r="B1845" t="s">
        <v>78</v>
      </c>
      <c r="C1845" s="1">
        <v>45182.257071759261</v>
      </c>
      <c r="D1845" t="str">
        <f ca="1">VLOOKUP(qry_ProdData2_PDI_Cash_Exception_Application[[#This Row],[TYPE]],#REF!,2,FALSE)</f>
        <v>type40</v>
      </c>
      <c r="E1845">
        <v>-958.54</v>
      </c>
      <c r="F1845" t="s">
        <v>52</v>
      </c>
      <c r="G1845" s="1">
        <f>qry_ProdData2_PDI_Cash_Exception_Application[[#This Row],[INSERT DATE]]+2</f>
        <v>45184.257071759261</v>
      </c>
      <c r="H1845" t="str">
        <f>VLOOKUP(qry_ProdData2_PDI_Cash_Exception_Application[[#This Row],[MARKET No]],'Site Allocation'!$B$2:$C$37,2,FALSE)</f>
        <v>Analyst5</v>
      </c>
      <c r="I1845" s="4">
        <f t="shared" ca="1" si="28"/>
        <v>45203</v>
      </c>
      <c r="J1845" s="42">
        <f ca="1">TODAY()-qry_ProdData2_PDI_Cash_Exception_Application[[#This Row],[INSERT DATE]]</f>
        <v>20.742928240739275</v>
      </c>
      <c r="K18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45">
        <f ca="1">qry_ProdData2_PDI_Cash_Exception_Application[[#This Row],[TODAY]]-qry_ProdData2_PDI_Cash_Exception_Application[[#This Row],[CHANGED ON]]</f>
        <v>18.742928240739275</v>
      </c>
      <c r="M1845">
        <f ca="1">qry_ProdData2_PDI_Cash_Exception_Application[[#This Row],[TODAY]]-qry_ProdData2_PDI_Cash_Exception_Application[[#This Row],[CHANGED ON]]</f>
        <v>18.742928240739275</v>
      </c>
      <c r="N1845">
        <f ca="1">qry_ProdData2_PDI_Cash_Exception_Application[[#This Row],[TODAY]]-qry_ProdData2_PDI_Cash_Exception_Application[[#This Row],[CHANGED ON]]</f>
        <v>18.742928240739275</v>
      </c>
    </row>
    <row r="1846" spans="1:14" x14ac:dyDescent="0.35">
      <c r="A1846">
        <v>1007</v>
      </c>
      <c r="B1846" t="s">
        <v>61</v>
      </c>
      <c r="C1846" s="1">
        <v>45190.257071759261</v>
      </c>
      <c r="D1846" t="str">
        <f ca="1">VLOOKUP(qry_ProdData2_PDI_Cash_Exception_Application[[#This Row],[TYPE]],#REF!,2,FALSE)</f>
        <v>type40</v>
      </c>
      <c r="E1846">
        <v>-351.38</v>
      </c>
      <c r="F1846" t="s">
        <v>48</v>
      </c>
      <c r="G1846" s="1">
        <f>qry_ProdData2_PDI_Cash_Exception_Application[[#This Row],[INSERT DATE]]+7</f>
        <v>45197.257071759261</v>
      </c>
      <c r="H1846" t="str">
        <f>VLOOKUP(qry_ProdData2_PDI_Cash_Exception_Application[[#This Row],[MARKET No]],'Site Allocation'!$B$2:$C$37,2,FALSE)</f>
        <v>Analyst2</v>
      </c>
      <c r="I1846" s="4">
        <f t="shared" ca="1" si="28"/>
        <v>45203</v>
      </c>
      <c r="J1846" s="42">
        <f ca="1">TODAY()-qry_ProdData2_PDI_Cash_Exception_Application[[#This Row],[INSERT DATE]]</f>
        <v>12.742928240739275</v>
      </c>
      <c r="K18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46">
        <f ca="1">qry_ProdData2_PDI_Cash_Exception_Application[[#This Row],[TODAY]]-qry_ProdData2_PDI_Cash_Exception_Application[[#This Row],[CHANGED ON]]</f>
        <v>5.7429282407392748</v>
      </c>
      <c r="M1846">
        <f ca="1">qry_ProdData2_PDI_Cash_Exception_Application[[#This Row],[TODAY]]-qry_ProdData2_PDI_Cash_Exception_Application[[#This Row],[CHANGED ON]]</f>
        <v>5.7429282407392748</v>
      </c>
      <c r="N1846">
        <f ca="1">qry_ProdData2_PDI_Cash_Exception_Application[[#This Row],[TODAY]]-qry_ProdData2_PDI_Cash_Exception_Application[[#This Row],[CHANGED ON]]</f>
        <v>5.7429282407392748</v>
      </c>
    </row>
    <row r="1847" spans="1:14" x14ac:dyDescent="0.35">
      <c r="A1847">
        <v>1000</v>
      </c>
      <c r="B1847" t="s">
        <v>54</v>
      </c>
      <c r="C1847" s="1">
        <v>45185.257071759261</v>
      </c>
      <c r="D1847" t="str">
        <f ca="1">VLOOKUP(qry_ProdData2_PDI_Cash_Exception_Application[[#This Row],[TYPE]],#REF!,2,FALSE)</f>
        <v>type40</v>
      </c>
      <c r="E1847">
        <v>-9151.66</v>
      </c>
      <c r="F1847" t="s">
        <v>49</v>
      </c>
      <c r="G1847" s="1">
        <f>qry_ProdData2_PDI_Cash_Exception_Application[[#This Row],[INSERT DATE]]+2</f>
        <v>45187.257071759261</v>
      </c>
      <c r="H1847" t="str">
        <f>VLOOKUP(qry_ProdData2_PDI_Cash_Exception_Application[[#This Row],[MARKET No]],'Site Allocation'!$B$2:$C$37,2,FALSE)</f>
        <v>Analyst1</v>
      </c>
      <c r="I1847" s="4">
        <f t="shared" ca="1" si="28"/>
        <v>45203</v>
      </c>
      <c r="J1847" s="42">
        <f ca="1">TODAY()-qry_ProdData2_PDI_Cash_Exception_Application[[#This Row],[INSERT DATE]]</f>
        <v>17.742928240739275</v>
      </c>
      <c r="K18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47">
        <f ca="1">qry_ProdData2_PDI_Cash_Exception_Application[[#This Row],[TODAY]]-qry_ProdData2_PDI_Cash_Exception_Application[[#This Row],[CHANGED ON]]</f>
        <v>15.742928240739275</v>
      </c>
      <c r="M1847">
        <f ca="1">qry_ProdData2_PDI_Cash_Exception_Application[[#This Row],[TODAY]]-qry_ProdData2_PDI_Cash_Exception_Application[[#This Row],[CHANGED ON]]</f>
        <v>15.742928240739275</v>
      </c>
      <c r="N1847">
        <f ca="1">qry_ProdData2_PDI_Cash_Exception_Application[[#This Row],[TODAY]]-qry_ProdData2_PDI_Cash_Exception_Application[[#This Row],[CHANGED ON]]</f>
        <v>15.742928240739275</v>
      </c>
    </row>
    <row r="1848" spans="1:14" x14ac:dyDescent="0.35">
      <c r="A1848">
        <v>1001</v>
      </c>
      <c r="B1848" t="s">
        <v>55</v>
      </c>
      <c r="C1848" s="1">
        <v>45179.257071759261</v>
      </c>
      <c r="D1848" t="str">
        <f ca="1">VLOOKUP(qry_ProdData2_PDI_Cash_Exception_Application[[#This Row],[TYPE]],#REF!,2,FALSE)</f>
        <v>type23</v>
      </c>
      <c r="E1848">
        <v>303.41000000000003</v>
      </c>
      <c r="F1848" t="s">
        <v>47</v>
      </c>
      <c r="G1848" s="1">
        <f>qry_ProdData2_PDI_Cash_Exception_Application[[#This Row],[INSERT DATE]]+7</f>
        <v>45186.257071759261</v>
      </c>
      <c r="H1848" t="str">
        <f>VLOOKUP(qry_ProdData2_PDI_Cash_Exception_Application[[#This Row],[MARKET No]],'Site Allocation'!$B$2:$C$37,2,FALSE)</f>
        <v>Analyst1</v>
      </c>
      <c r="I1848" s="4">
        <f t="shared" ca="1" si="28"/>
        <v>45203</v>
      </c>
      <c r="J1848" s="42">
        <f ca="1">TODAY()-qry_ProdData2_PDI_Cash_Exception_Application[[#This Row],[INSERT DATE]]</f>
        <v>23.742928240739275</v>
      </c>
      <c r="K18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48">
        <f ca="1">qry_ProdData2_PDI_Cash_Exception_Application[[#This Row],[TODAY]]-qry_ProdData2_PDI_Cash_Exception_Application[[#This Row],[CHANGED ON]]</f>
        <v>16.742928240739275</v>
      </c>
      <c r="M1848">
        <f ca="1">qry_ProdData2_PDI_Cash_Exception_Application[[#This Row],[TODAY]]-qry_ProdData2_PDI_Cash_Exception_Application[[#This Row],[CHANGED ON]]</f>
        <v>16.742928240739275</v>
      </c>
      <c r="N1848">
        <f ca="1">qry_ProdData2_PDI_Cash_Exception_Application[[#This Row],[TODAY]]-qry_ProdData2_PDI_Cash_Exception_Application[[#This Row],[CHANGED ON]]</f>
        <v>16.742928240739275</v>
      </c>
    </row>
    <row r="1849" spans="1:14" x14ac:dyDescent="0.35">
      <c r="A1849">
        <v>1011</v>
      </c>
      <c r="B1849" t="s">
        <v>65</v>
      </c>
      <c r="C1849" s="1">
        <v>45184.257071759261</v>
      </c>
      <c r="D1849" t="str">
        <f ca="1">VLOOKUP(qry_ProdData2_PDI_Cash_Exception_Application[[#This Row],[TYPE]],#REF!,2,FALSE)</f>
        <v>type38</v>
      </c>
      <c r="E1849">
        <v>358.71</v>
      </c>
      <c r="F1849" t="s">
        <v>48</v>
      </c>
      <c r="G1849" s="1">
        <f>qry_ProdData2_PDI_Cash_Exception_Application[[#This Row],[INSERT DATE]]+7</f>
        <v>45191.257071759261</v>
      </c>
      <c r="H1849" t="str">
        <f>VLOOKUP(qry_ProdData2_PDI_Cash_Exception_Application[[#This Row],[MARKET No]],'Site Allocation'!$B$2:$C$37,2,FALSE)</f>
        <v>Analyst2</v>
      </c>
      <c r="I1849" s="4">
        <f t="shared" ca="1" si="28"/>
        <v>45203</v>
      </c>
      <c r="J1849" s="42">
        <f ca="1">TODAY()-qry_ProdData2_PDI_Cash_Exception_Application[[#This Row],[INSERT DATE]]</f>
        <v>18.742928240739275</v>
      </c>
      <c r="K18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49">
        <f ca="1">qry_ProdData2_PDI_Cash_Exception_Application[[#This Row],[TODAY]]-qry_ProdData2_PDI_Cash_Exception_Application[[#This Row],[CHANGED ON]]</f>
        <v>11.742928240739275</v>
      </c>
      <c r="M1849">
        <f ca="1">qry_ProdData2_PDI_Cash_Exception_Application[[#This Row],[TODAY]]-qry_ProdData2_PDI_Cash_Exception_Application[[#This Row],[CHANGED ON]]</f>
        <v>11.742928240739275</v>
      </c>
      <c r="N1849">
        <f ca="1">qry_ProdData2_PDI_Cash_Exception_Application[[#This Row],[TODAY]]-qry_ProdData2_PDI_Cash_Exception_Application[[#This Row],[CHANGED ON]]</f>
        <v>11.742928240739275</v>
      </c>
    </row>
    <row r="1850" spans="1:14" x14ac:dyDescent="0.35">
      <c r="A1850">
        <v>1001</v>
      </c>
      <c r="B1850" t="s">
        <v>55</v>
      </c>
      <c r="C1850" s="1">
        <v>45185.257071759261</v>
      </c>
      <c r="D1850" t="str">
        <f ca="1">VLOOKUP(qry_ProdData2_PDI_Cash_Exception_Application[[#This Row],[TYPE]],#REF!,2,FALSE)</f>
        <v>type40</v>
      </c>
      <c r="E1850">
        <v>2214.9699999999998</v>
      </c>
      <c r="F1850" t="s">
        <v>49</v>
      </c>
      <c r="G1850" s="1">
        <f>qry_ProdData2_PDI_Cash_Exception_Application[[#This Row],[INSERT DATE]]+5</f>
        <v>45190.257071759261</v>
      </c>
      <c r="H1850" t="str">
        <f>VLOOKUP(qry_ProdData2_PDI_Cash_Exception_Application[[#This Row],[MARKET No]],'Site Allocation'!$B$2:$C$37,2,FALSE)</f>
        <v>Analyst1</v>
      </c>
      <c r="I1850" s="4">
        <f t="shared" ca="1" si="28"/>
        <v>45203</v>
      </c>
      <c r="J1850" s="42">
        <f ca="1">TODAY()-qry_ProdData2_PDI_Cash_Exception_Application[[#This Row],[INSERT DATE]]</f>
        <v>17.742928240739275</v>
      </c>
      <c r="K18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50">
        <f ca="1">qry_ProdData2_PDI_Cash_Exception_Application[[#This Row],[TODAY]]-qry_ProdData2_PDI_Cash_Exception_Application[[#This Row],[CHANGED ON]]</f>
        <v>12.742928240739275</v>
      </c>
      <c r="M1850">
        <f ca="1">qry_ProdData2_PDI_Cash_Exception_Application[[#This Row],[TODAY]]-qry_ProdData2_PDI_Cash_Exception_Application[[#This Row],[CHANGED ON]]</f>
        <v>12.742928240739275</v>
      </c>
      <c r="N1850">
        <f ca="1">qry_ProdData2_PDI_Cash_Exception_Application[[#This Row],[TODAY]]-qry_ProdData2_PDI_Cash_Exception_Application[[#This Row],[CHANGED ON]]</f>
        <v>12.742928240739275</v>
      </c>
    </row>
    <row r="1851" spans="1:14" x14ac:dyDescent="0.35">
      <c r="A1851">
        <v>1016</v>
      </c>
      <c r="B1851" t="s">
        <v>70</v>
      </c>
      <c r="C1851" s="1">
        <v>45192.257071759261</v>
      </c>
      <c r="D1851" t="str">
        <f ca="1">VLOOKUP(qry_ProdData2_PDI_Cash_Exception_Application[[#This Row],[TYPE]],#REF!,2,FALSE)</f>
        <v>type26</v>
      </c>
      <c r="E1851">
        <v>3303.49</v>
      </c>
      <c r="F1851" t="s">
        <v>51</v>
      </c>
      <c r="G1851" s="1">
        <f>qry_ProdData2_PDI_Cash_Exception_Application[[#This Row],[INSERT DATE]]+7</f>
        <v>45199.257071759261</v>
      </c>
      <c r="H1851" t="str">
        <f>VLOOKUP(qry_ProdData2_PDI_Cash_Exception_Application[[#This Row],[MARKET No]],'Site Allocation'!$B$2:$C$37,2,FALSE)</f>
        <v>Analyst3</v>
      </c>
      <c r="I1851" s="4">
        <f t="shared" ca="1" si="28"/>
        <v>45203</v>
      </c>
      <c r="J1851" s="42">
        <f ca="1">TODAY()-qry_ProdData2_PDI_Cash_Exception_Application[[#This Row],[INSERT DATE]]</f>
        <v>10.742928240739275</v>
      </c>
      <c r="K18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51">
        <f ca="1">qry_ProdData2_PDI_Cash_Exception_Application[[#This Row],[TODAY]]-qry_ProdData2_PDI_Cash_Exception_Application[[#This Row],[CHANGED ON]]</f>
        <v>3.7429282407392748</v>
      </c>
      <c r="M1851">
        <f ca="1">qry_ProdData2_PDI_Cash_Exception_Application[[#This Row],[TODAY]]-qry_ProdData2_PDI_Cash_Exception_Application[[#This Row],[CHANGED ON]]</f>
        <v>3.7429282407392748</v>
      </c>
      <c r="N1851">
        <f ca="1">qry_ProdData2_PDI_Cash_Exception_Application[[#This Row],[TODAY]]-qry_ProdData2_PDI_Cash_Exception_Application[[#This Row],[CHANGED ON]]</f>
        <v>3.7429282407392748</v>
      </c>
    </row>
    <row r="1852" spans="1:14" x14ac:dyDescent="0.35">
      <c r="A1852">
        <v>1021</v>
      </c>
      <c r="B1852" t="s">
        <v>75</v>
      </c>
      <c r="C1852" s="1">
        <v>45186.257071759261</v>
      </c>
      <c r="D1852" t="str">
        <f ca="1">VLOOKUP(qry_ProdData2_PDI_Cash_Exception_Application[[#This Row],[TYPE]],#REF!,2,FALSE)</f>
        <v>type13</v>
      </c>
      <c r="E1852">
        <v>27620.560000000001</v>
      </c>
      <c r="F1852" t="s">
        <v>47</v>
      </c>
      <c r="G1852" s="1">
        <f>qry_ProdData2_PDI_Cash_Exception_Application[[#This Row],[INSERT DATE]]+7</f>
        <v>45193.257071759261</v>
      </c>
      <c r="H1852" t="str">
        <f>VLOOKUP(qry_ProdData2_PDI_Cash_Exception_Application[[#This Row],[MARKET No]],'Site Allocation'!$B$2:$C$37,2,FALSE)</f>
        <v>Analyst4</v>
      </c>
      <c r="I1852" s="4">
        <f t="shared" ca="1" si="28"/>
        <v>45203</v>
      </c>
      <c r="J1852" s="42">
        <f ca="1">TODAY()-qry_ProdData2_PDI_Cash_Exception_Application[[#This Row],[INSERT DATE]]</f>
        <v>16.742928240739275</v>
      </c>
      <c r="K18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52">
        <f ca="1">qry_ProdData2_PDI_Cash_Exception_Application[[#This Row],[TODAY]]-qry_ProdData2_PDI_Cash_Exception_Application[[#This Row],[CHANGED ON]]</f>
        <v>9.7429282407392748</v>
      </c>
      <c r="M1852">
        <f ca="1">qry_ProdData2_PDI_Cash_Exception_Application[[#This Row],[TODAY]]-qry_ProdData2_PDI_Cash_Exception_Application[[#This Row],[CHANGED ON]]</f>
        <v>9.7429282407392748</v>
      </c>
      <c r="N1852">
        <f ca="1">qry_ProdData2_PDI_Cash_Exception_Application[[#This Row],[TODAY]]-qry_ProdData2_PDI_Cash_Exception_Application[[#This Row],[CHANGED ON]]</f>
        <v>9.7429282407392748</v>
      </c>
    </row>
    <row r="1853" spans="1:14" x14ac:dyDescent="0.35">
      <c r="A1853">
        <v>1000</v>
      </c>
      <c r="B1853" t="s">
        <v>54</v>
      </c>
      <c r="C1853" s="1">
        <v>45192.257071759261</v>
      </c>
      <c r="D1853" t="str">
        <f ca="1">VLOOKUP(qry_ProdData2_PDI_Cash_Exception_Application[[#This Row],[TYPE]],#REF!,2,FALSE)</f>
        <v>type40</v>
      </c>
      <c r="E1853">
        <v>333.21</v>
      </c>
      <c r="F1853" t="s">
        <v>49</v>
      </c>
      <c r="G1853" s="1">
        <f>qry_ProdData2_PDI_Cash_Exception_Application[[#This Row],[INSERT DATE]]+7</f>
        <v>45199.257071759261</v>
      </c>
      <c r="H1853" t="str">
        <f>VLOOKUP(qry_ProdData2_PDI_Cash_Exception_Application[[#This Row],[MARKET No]],'Site Allocation'!$B$2:$C$37,2,FALSE)</f>
        <v>Analyst1</v>
      </c>
      <c r="I1853" s="4">
        <f t="shared" ca="1" si="28"/>
        <v>45203</v>
      </c>
      <c r="J1853" s="42">
        <f ca="1">TODAY()-qry_ProdData2_PDI_Cash_Exception_Application[[#This Row],[INSERT DATE]]</f>
        <v>10.742928240739275</v>
      </c>
      <c r="K18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53">
        <f ca="1">qry_ProdData2_PDI_Cash_Exception_Application[[#This Row],[TODAY]]-qry_ProdData2_PDI_Cash_Exception_Application[[#This Row],[CHANGED ON]]</f>
        <v>3.7429282407392748</v>
      </c>
      <c r="M1853">
        <f ca="1">qry_ProdData2_PDI_Cash_Exception_Application[[#This Row],[TODAY]]-qry_ProdData2_PDI_Cash_Exception_Application[[#This Row],[CHANGED ON]]</f>
        <v>3.7429282407392748</v>
      </c>
      <c r="N1853">
        <f ca="1">qry_ProdData2_PDI_Cash_Exception_Application[[#This Row],[TODAY]]-qry_ProdData2_PDI_Cash_Exception_Application[[#This Row],[CHANGED ON]]</f>
        <v>3.7429282407392748</v>
      </c>
    </row>
    <row r="1854" spans="1:14" x14ac:dyDescent="0.35">
      <c r="A1854">
        <v>1028</v>
      </c>
      <c r="B1854" t="s">
        <v>82</v>
      </c>
      <c r="C1854" s="1">
        <v>45188.257071759261</v>
      </c>
      <c r="D1854" t="str">
        <f ca="1">VLOOKUP(qry_ProdData2_PDI_Cash_Exception_Application[[#This Row],[TYPE]],#REF!,2,FALSE)</f>
        <v>type19</v>
      </c>
      <c r="E1854">
        <v>306.14999999999998</v>
      </c>
      <c r="F1854" t="s">
        <v>47</v>
      </c>
      <c r="G1854" s="1">
        <f>qry_ProdData2_PDI_Cash_Exception_Application[[#This Row],[INSERT DATE]]+1</f>
        <v>45189.257071759261</v>
      </c>
      <c r="H1854" t="str">
        <f>VLOOKUP(qry_ProdData2_PDI_Cash_Exception_Application[[#This Row],[MARKET No]],'Site Allocation'!$B$2:$C$37,2,FALSE)</f>
        <v>Analyst5</v>
      </c>
      <c r="I1854" s="4">
        <f t="shared" ca="1" si="28"/>
        <v>45203</v>
      </c>
      <c r="J1854" s="42">
        <f ca="1">TODAY()-qry_ProdData2_PDI_Cash_Exception_Application[[#This Row],[INSERT DATE]]</f>
        <v>14.742928240739275</v>
      </c>
      <c r="K18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54">
        <f ca="1">qry_ProdData2_PDI_Cash_Exception_Application[[#This Row],[TODAY]]-qry_ProdData2_PDI_Cash_Exception_Application[[#This Row],[CHANGED ON]]</f>
        <v>13.742928240739275</v>
      </c>
      <c r="M1854">
        <f ca="1">qry_ProdData2_PDI_Cash_Exception_Application[[#This Row],[TODAY]]-qry_ProdData2_PDI_Cash_Exception_Application[[#This Row],[CHANGED ON]]</f>
        <v>13.742928240739275</v>
      </c>
      <c r="N1854">
        <f ca="1">qry_ProdData2_PDI_Cash_Exception_Application[[#This Row],[TODAY]]-qry_ProdData2_PDI_Cash_Exception_Application[[#This Row],[CHANGED ON]]</f>
        <v>13.742928240739275</v>
      </c>
    </row>
    <row r="1855" spans="1:14" x14ac:dyDescent="0.35">
      <c r="A1855">
        <v>1022</v>
      </c>
      <c r="B1855" t="s">
        <v>76</v>
      </c>
      <c r="C1855" s="1">
        <v>45189.257071759261</v>
      </c>
      <c r="D1855" t="str">
        <f ca="1">VLOOKUP(qry_ProdData2_PDI_Cash_Exception_Application[[#This Row],[TYPE]],#REF!,2,FALSE)</f>
        <v>type17</v>
      </c>
      <c r="E1855">
        <v>1771.9</v>
      </c>
      <c r="F1855" t="s">
        <v>47</v>
      </c>
      <c r="G1855" s="1">
        <f>qry_ProdData2_PDI_Cash_Exception_Application[[#This Row],[INSERT DATE]]+2</f>
        <v>45191.257071759261</v>
      </c>
      <c r="H1855" t="str">
        <f>VLOOKUP(qry_ProdData2_PDI_Cash_Exception_Application[[#This Row],[MARKET No]],'Site Allocation'!$B$2:$C$37,2,FALSE)</f>
        <v>Analyst4</v>
      </c>
      <c r="I1855" s="4">
        <f t="shared" ca="1" si="28"/>
        <v>45203</v>
      </c>
      <c r="J1855" s="42">
        <f ca="1">TODAY()-qry_ProdData2_PDI_Cash_Exception_Application[[#This Row],[INSERT DATE]]</f>
        <v>13.742928240739275</v>
      </c>
      <c r="K18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55">
        <f ca="1">qry_ProdData2_PDI_Cash_Exception_Application[[#This Row],[TODAY]]-qry_ProdData2_PDI_Cash_Exception_Application[[#This Row],[CHANGED ON]]</f>
        <v>11.742928240739275</v>
      </c>
      <c r="M1855">
        <f ca="1">qry_ProdData2_PDI_Cash_Exception_Application[[#This Row],[TODAY]]-qry_ProdData2_PDI_Cash_Exception_Application[[#This Row],[CHANGED ON]]</f>
        <v>11.742928240739275</v>
      </c>
      <c r="N1855">
        <f ca="1">qry_ProdData2_PDI_Cash_Exception_Application[[#This Row],[TODAY]]-qry_ProdData2_PDI_Cash_Exception_Application[[#This Row],[CHANGED ON]]</f>
        <v>11.742928240739275</v>
      </c>
    </row>
    <row r="1856" spans="1:14" x14ac:dyDescent="0.35">
      <c r="A1856">
        <v>1029</v>
      </c>
      <c r="B1856" t="s">
        <v>83</v>
      </c>
      <c r="C1856" s="1">
        <v>45179.257071759261</v>
      </c>
      <c r="D1856" t="str">
        <f ca="1">VLOOKUP(qry_ProdData2_PDI_Cash_Exception_Application[[#This Row],[TYPE]],#REF!,2,FALSE)</f>
        <v>type54</v>
      </c>
      <c r="E1856">
        <v>-0.02</v>
      </c>
      <c r="F1856" t="s">
        <v>51</v>
      </c>
      <c r="G1856" s="1">
        <f>qry_ProdData2_PDI_Cash_Exception_Application[[#This Row],[INSERT DATE]]+1</f>
        <v>45180.257071759261</v>
      </c>
      <c r="H1856" t="str">
        <f>VLOOKUP(qry_ProdData2_PDI_Cash_Exception_Application[[#This Row],[MARKET No]],'Site Allocation'!$B$2:$C$37,2,FALSE)</f>
        <v>Analyst5</v>
      </c>
      <c r="I1856" s="4">
        <f t="shared" ca="1" si="28"/>
        <v>45203</v>
      </c>
      <c r="J1856" s="42">
        <f ca="1">TODAY()-qry_ProdData2_PDI_Cash_Exception_Application[[#This Row],[INSERT DATE]]</f>
        <v>23.742928240739275</v>
      </c>
      <c r="K18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56">
        <f ca="1">qry_ProdData2_PDI_Cash_Exception_Application[[#This Row],[TODAY]]-qry_ProdData2_PDI_Cash_Exception_Application[[#This Row],[CHANGED ON]]</f>
        <v>22.742928240739275</v>
      </c>
      <c r="M1856">
        <f ca="1">qry_ProdData2_PDI_Cash_Exception_Application[[#This Row],[TODAY]]-qry_ProdData2_PDI_Cash_Exception_Application[[#This Row],[CHANGED ON]]</f>
        <v>22.742928240739275</v>
      </c>
      <c r="N1856">
        <f ca="1">qry_ProdData2_PDI_Cash_Exception_Application[[#This Row],[TODAY]]-qry_ProdData2_PDI_Cash_Exception_Application[[#This Row],[CHANGED ON]]</f>
        <v>22.742928240739275</v>
      </c>
    </row>
    <row r="1857" spans="1:14" x14ac:dyDescent="0.35">
      <c r="A1857">
        <v>1025</v>
      </c>
      <c r="B1857" t="s">
        <v>79</v>
      </c>
      <c r="C1857" s="1">
        <v>45185.257071759261</v>
      </c>
      <c r="D1857" t="str">
        <f ca="1">VLOOKUP(qry_ProdData2_PDI_Cash_Exception_Application[[#This Row],[TYPE]],#REF!,2,FALSE)</f>
        <v>type40</v>
      </c>
      <c r="E1857">
        <v>-577.08000000000004</v>
      </c>
      <c r="F1857" t="s">
        <v>48</v>
      </c>
      <c r="G1857" s="1">
        <f>qry_ProdData2_PDI_Cash_Exception_Application[[#This Row],[INSERT DATE]]+7</f>
        <v>45192.257071759261</v>
      </c>
      <c r="H1857" t="str">
        <f>VLOOKUP(qry_ProdData2_PDI_Cash_Exception_Application[[#This Row],[MARKET No]],'Site Allocation'!$B$2:$C$37,2,FALSE)</f>
        <v>Analyst5</v>
      </c>
      <c r="I1857" s="4">
        <f t="shared" ca="1" si="28"/>
        <v>45203</v>
      </c>
      <c r="J1857" s="42">
        <f ca="1">TODAY()-qry_ProdData2_PDI_Cash_Exception_Application[[#This Row],[INSERT DATE]]</f>
        <v>17.742928240739275</v>
      </c>
      <c r="K18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57">
        <f ca="1">qry_ProdData2_PDI_Cash_Exception_Application[[#This Row],[TODAY]]-qry_ProdData2_PDI_Cash_Exception_Application[[#This Row],[CHANGED ON]]</f>
        <v>10.742928240739275</v>
      </c>
      <c r="M1857">
        <f ca="1">qry_ProdData2_PDI_Cash_Exception_Application[[#This Row],[TODAY]]-qry_ProdData2_PDI_Cash_Exception_Application[[#This Row],[CHANGED ON]]</f>
        <v>10.742928240739275</v>
      </c>
      <c r="N1857">
        <f ca="1">qry_ProdData2_PDI_Cash_Exception_Application[[#This Row],[TODAY]]-qry_ProdData2_PDI_Cash_Exception_Application[[#This Row],[CHANGED ON]]</f>
        <v>10.742928240739275</v>
      </c>
    </row>
    <row r="1858" spans="1:14" x14ac:dyDescent="0.35">
      <c r="A1858">
        <v>1032</v>
      </c>
      <c r="B1858" t="s">
        <v>86</v>
      </c>
      <c r="C1858" s="1">
        <v>45190.257071759261</v>
      </c>
      <c r="D1858" t="str">
        <f ca="1">VLOOKUP(qry_ProdData2_PDI_Cash_Exception_Application[[#This Row],[TYPE]],#REF!,2,FALSE)</f>
        <v>type40</v>
      </c>
      <c r="E1858">
        <v>-6702.61</v>
      </c>
      <c r="F1858" t="s">
        <v>50</v>
      </c>
      <c r="G1858" s="1">
        <f>qry_ProdData2_PDI_Cash_Exception_Application[[#This Row],[INSERT DATE]]+5</f>
        <v>45195.257071759261</v>
      </c>
      <c r="H1858" t="str">
        <f>VLOOKUP(qry_ProdData2_PDI_Cash_Exception_Application[[#This Row],[MARKET No]],'Site Allocation'!$B$2:$C$37,2,FALSE)</f>
        <v>Analyst6</v>
      </c>
      <c r="I1858" s="4">
        <f t="shared" ref="I1858:I1921" ca="1" si="29">TODAY()</f>
        <v>45203</v>
      </c>
      <c r="J1858" s="42">
        <f ca="1">TODAY()-qry_ProdData2_PDI_Cash_Exception_Application[[#This Row],[INSERT DATE]]</f>
        <v>12.742928240739275</v>
      </c>
      <c r="K18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58">
        <f ca="1">qry_ProdData2_PDI_Cash_Exception_Application[[#This Row],[TODAY]]-qry_ProdData2_PDI_Cash_Exception_Application[[#This Row],[CHANGED ON]]</f>
        <v>7.7429282407392748</v>
      </c>
      <c r="M1858">
        <f ca="1">qry_ProdData2_PDI_Cash_Exception_Application[[#This Row],[TODAY]]-qry_ProdData2_PDI_Cash_Exception_Application[[#This Row],[CHANGED ON]]</f>
        <v>7.7429282407392748</v>
      </c>
      <c r="N1858">
        <f ca="1">qry_ProdData2_PDI_Cash_Exception_Application[[#This Row],[TODAY]]-qry_ProdData2_PDI_Cash_Exception_Application[[#This Row],[CHANGED ON]]</f>
        <v>7.7429282407392748</v>
      </c>
    </row>
    <row r="1859" spans="1:14" x14ac:dyDescent="0.35">
      <c r="A1859">
        <v>1003</v>
      </c>
      <c r="B1859" t="s">
        <v>57</v>
      </c>
      <c r="C1859" s="1">
        <v>45190.257071759261</v>
      </c>
      <c r="D1859" t="str">
        <f ca="1">VLOOKUP(qry_ProdData2_PDI_Cash_Exception_Application[[#This Row],[TYPE]],#REF!,2,FALSE)</f>
        <v>type40</v>
      </c>
      <c r="E1859">
        <v>-2412.5</v>
      </c>
      <c r="F1859" t="s">
        <v>50</v>
      </c>
      <c r="G1859" s="1">
        <f>qry_ProdData2_PDI_Cash_Exception_Application[[#This Row],[INSERT DATE]]+7</f>
        <v>45197.257071759261</v>
      </c>
      <c r="H1859" t="str">
        <f>VLOOKUP(qry_ProdData2_PDI_Cash_Exception_Application[[#This Row],[MARKET No]],'Site Allocation'!$B$2:$C$37,2,FALSE)</f>
        <v>Analyst1</v>
      </c>
      <c r="I1859" s="4">
        <f t="shared" ca="1" si="29"/>
        <v>45203</v>
      </c>
      <c r="J1859" s="42">
        <f ca="1">TODAY()-qry_ProdData2_PDI_Cash_Exception_Application[[#This Row],[INSERT DATE]]</f>
        <v>12.742928240739275</v>
      </c>
      <c r="K18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59">
        <f ca="1">qry_ProdData2_PDI_Cash_Exception_Application[[#This Row],[TODAY]]-qry_ProdData2_PDI_Cash_Exception_Application[[#This Row],[CHANGED ON]]</f>
        <v>5.7429282407392748</v>
      </c>
      <c r="M1859">
        <f ca="1">qry_ProdData2_PDI_Cash_Exception_Application[[#This Row],[TODAY]]-qry_ProdData2_PDI_Cash_Exception_Application[[#This Row],[CHANGED ON]]</f>
        <v>5.7429282407392748</v>
      </c>
      <c r="N1859">
        <f ca="1">qry_ProdData2_PDI_Cash_Exception_Application[[#This Row],[TODAY]]-qry_ProdData2_PDI_Cash_Exception_Application[[#This Row],[CHANGED ON]]</f>
        <v>5.7429282407392748</v>
      </c>
    </row>
    <row r="1860" spans="1:14" x14ac:dyDescent="0.35">
      <c r="A1860">
        <v>1033</v>
      </c>
      <c r="B1860" t="s">
        <v>87</v>
      </c>
      <c r="C1860" s="1">
        <v>45191.257071759261</v>
      </c>
      <c r="D1860" t="str">
        <f ca="1">VLOOKUP(qry_ProdData2_PDI_Cash_Exception_Application[[#This Row],[TYPE]],#REF!,2,FALSE)</f>
        <v>type40</v>
      </c>
      <c r="E1860">
        <v>-460.53</v>
      </c>
      <c r="F1860" t="s">
        <v>52</v>
      </c>
      <c r="G1860" s="1">
        <f>qry_ProdData2_PDI_Cash_Exception_Application[[#This Row],[INSERT DATE]]+7</f>
        <v>45198.257071759261</v>
      </c>
      <c r="H1860" t="str">
        <f>VLOOKUP(qry_ProdData2_PDI_Cash_Exception_Application[[#This Row],[MARKET No]],'Site Allocation'!$B$2:$C$37,2,FALSE)</f>
        <v>Analyst6</v>
      </c>
      <c r="I1860" s="4">
        <f t="shared" ca="1" si="29"/>
        <v>45203</v>
      </c>
      <c r="J1860" s="42">
        <f ca="1">TODAY()-qry_ProdData2_PDI_Cash_Exception_Application[[#This Row],[INSERT DATE]]</f>
        <v>11.742928240739275</v>
      </c>
      <c r="K18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60">
        <f ca="1">qry_ProdData2_PDI_Cash_Exception_Application[[#This Row],[TODAY]]-qry_ProdData2_PDI_Cash_Exception_Application[[#This Row],[CHANGED ON]]</f>
        <v>4.7429282407392748</v>
      </c>
      <c r="M1860">
        <f ca="1">qry_ProdData2_PDI_Cash_Exception_Application[[#This Row],[TODAY]]-qry_ProdData2_PDI_Cash_Exception_Application[[#This Row],[CHANGED ON]]</f>
        <v>4.7429282407392748</v>
      </c>
      <c r="N1860">
        <f ca="1">qry_ProdData2_PDI_Cash_Exception_Application[[#This Row],[TODAY]]-qry_ProdData2_PDI_Cash_Exception_Application[[#This Row],[CHANGED ON]]</f>
        <v>4.7429282407392748</v>
      </c>
    </row>
    <row r="1861" spans="1:14" x14ac:dyDescent="0.35">
      <c r="A1861">
        <v>1011</v>
      </c>
      <c r="B1861" t="s">
        <v>65</v>
      </c>
      <c r="C1861" s="1">
        <v>45192.257071759261</v>
      </c>
      <c r="D1861" t="str">
        <f ca="1">VLOOKUP(qry_ProdData2_PDI_Cash_Exception_Application[[#This Row],[TYPE]],#REF!,2,FALSE)</f>
        <v>type40</v>
      </c>
      <c r="E1861">
        <v>-4787.13</v>
      </c>
      <c r="F1861" t="s">
        <v>50</v>
      </c>
      <c r="G1861" s="1">
        <f>qry_ProdData2_PDI_Cash_Exception_Application[[#This Row],[INSERT DATE]]+7</f>
        <v>45199.257071759261</v>
      </c>
      <c r="H1861" t="str">
        <f>VLOOKUP(qry_ProdData2_PDI_Cash_Exception_Application[[#This Row],[MARKET No]],'Site Allocation'!$B$2:$C$37,2,FALSE)</f>
        <v>Analyst2</v>
      </c>
      <c r="I1861" s="4">
        <f t="shared" ca="1" si="29"/>
        <v>45203</v>
      </c>
      <c r="J1861" s="42">
        <f ca="1">TODAY()-qry_ProdData2_PDI_Cash_Exception_Application[[#This Row],[INSERT DATE]]</f>
        <v>10.742928240739275</v>
      </c>
      <c r="K18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61">
        <f ca="1">qry_ProdData2_PDI_Cash_Exception_Application[[#This Row],[TODAY]]-qry_ProdData2_PDI_Cash_Exception_Application[[#This Row],[CHANGED ON]]</f>
        <v>3.7429282407392748</v>
      </c>
      <c r="M1861">
        <f ca="1">qry_ProdData2_PDI_Cash_Exception_Application[[#This Row],[TODAY]]-qry_ProdData2_PDI_Cash_Exception_Application[[#This Row],[CHANGED ON]]</f>
        <v>3.7429282407392748</v>
      </c>
      <c r="N1861">
        <f ca="1">qry_ProdData2_PDI_Cash_Exception_Application[[#This Row],[TODAY]]-qry_ProdData2_PDI_Cash_Exception_Application[[#This Row],[CHANGED ON]]</f>
        <v>3.7429282407392748</v>
      </c>
    </row>
    <row r="1862" spans="1:14" x14ac:dyDescent="0.35">
      <c r="A1862">
        <v>1017</v>
      </c>
      <c r="B1862" t="s">
        <v>71</v>
      </c>
      <c r="C1862" s="1">
        <v>45190.257071759261</v>
      </c>
      <c r="D1862" t="str">
        <f ca="1">VLOOKUP(qry_ProdData2_PDI_Cash_Exception_Application[[#This Row],[TYPE]],#REF!,2,FALSE)</f>
        <v>type40</v>
      </c>
      <c r="E1862">
        <v>30</v>
      </c>
      <c r="F1862" t="s">
        <v>47</v>
      </c>
      <c r="G1862" s="1">
        <f>qry_ProdData2_PDI_Cash_Exception_Application[[#This Row],[INSERT DATE]]+2</f>
        <v>45192.257071759261</v>
      </c>
      <c r="H1862" t="str">
        <f>VLOOKUP(qry_ProdData2_PDI_Cash_Exception_Application[[#This Row],[MARKET No]],'Site Allocation'!$B$2:$C$37,2,FALSE)</f>
        <v>Analyst3</v>
      </c>
      <c r="I1862" s="4">
        <f t="shared" ca="1" si="29"/>
        <v>45203</v>
      </c>
      <c r="J1862" s="42">
        <f ca="1">TODAY()-qry_ProdData2_PDI_Cash_Exception_Application[[#This Row],[INSERT DATE]]</f>
        <v>12.742928240739275</v>
      </c>
      <c r="K18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62">
        <f ca="1">qry_ProdData2_PDI_Cash_Exception_Application[[#This Row],[TODAY]]-qry_ProdData2_PDI_Cash_Exception_Application[[#This Row],[CHANGED ON]]</f>
        <v>10.742928240739275</v>
      </c>
      <c r="M1862">
        <f ca="1">qry_ProdData2_PDI_Cash_Exception_Application[[#This Row],[TODAY]]-qry_ProdData2_PDI_Cash_Exception_Application[[#This Row],[CHANGED ON]]</f>
        <v>10.742928240739275</v>
      </c>
      <c r="N1862">
        <f ca="1">qry_ProdData2_PDI_Cash_Exception_Application[[#This Row],[TODAY]]-qry_ProdData2_PDI_Cash_Exception_Application[[#This Row],[CHANGED ON]]</f>
        <v>10.742928240739275</v>
      </c>
    </row>
    <row r="1863" spans="1:14" x14ac:dyDescent="0.35">
      <c r="A1863">
        <v>1006</v>
      </c>
      <c r="B1863" t="s">
        <v>60</v>
      </c>
      <c r="C1863" s="1">
        <v>45191.257071759261</v>
      </c>
      <c r="D1863" t="str">
        <f ca="1">VLOOKUP(qry_ProdData2_PDI_Cash_Exception_Application[[#This Row],[TYPE]],#REF!,2,FALSE)</f>
        <v>type13</v>
      </c>
      <c r="E1863">
        <v>22756.03</v>
      </c>
      <c r="F1863" t="s">
        <v>47</v>
      </c>
      <c r="G1863" s="1">
        <f>qry_ProdData2_PDI_Cash_Exception_Application[[#This Row],[INSERT DATE]]+5</f>
        <v>45196.257071759261</v>
      </c>
      <c r="H1863" t="str">
        <f>VLOOKUP(qry_ProdData2_PDI_Cash_Exception_Application[[#This Row],[MARKET No]],'Site Allocation'!$B$2:$C$37,2,FALSE)</f>
        <v>Analyst2</v>
      </c>
      <c r="I1863" s="4">
        <f t="shared" ca="1" si="29"/>
        <v>45203</v>
      </c>
      <c r="J1863" s="42">
        <f ca="1">TODAY()-qry_ProdData2_PDI_Cash_Exception_Application[[#This Row],[INSERT DATE]]</f>
        <v>11.742928240739275</v>
      </c>
      <c r="K18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63">
        <f ca="1">qry_ProdData2_PDI_Cash_Exception_Application[[#This Row],[TODAY]]-qry_ProdData2_PDI_Cash_Exception_Application[[#This Row],[CHANGED ON]]</f>
        <v>6.7429282407392748</v>
      </c>
      <c r="M1863">
        <f ca="1">qry_ProdData2_PDI_Cash_Exception_Application[[#This Row],[TODAY]]-qry_ProdData2_PDI_Cash_Exception_Application[[#This Row],[CHANGED ON]]</f>
        <v>6.7429282407392748</v>
      </c>
      <c r="N1863">
        <f ca="1">qry_ProdData2_PDI_Cash_Exception_Application[[#This Row],[TODAY]]-qry_ProdData2_PDI_Cash_Exception_Application[[#This Row],[CHANGED ON]]</f>
        <v>6.7429282407392748</v>
      </c>
    </row>
    <row r="1864" spans="1:14" x14ac:dyDescent="0.35">
      <c r="A1864">
        <v>1021</v>
      </c>
      <c r="B1864" t="s">
        <v>75</v>
      </c>
      <c r="C1864" s="1">
        <v>45187.257071759261</v>
      </c>
      <c r="D1864" t="str">
        <f ca="1">VLOOKUP(qry_ProdData2_PDI_Cash_Exception_Application[[#This Row],[TYPE]],#REF!,2,FALSE)</f>
        <v>type40</v>
      </c>
      <c r="E1864">
        <v>27.16</v>
      </c>
      <c r="F1864" t="s">
        <v>48</v>
      </c>
      <c r="G1864" s="1">
        <f>qry_ProdData2_PDI_Cash_Exception_Application[[#This Row],[INSERT DATE]]+7</f>
        <v>45194.257071759261</v>
      </c>
      <c r="H1864" t="str">
        <f>VLOOKUP(qry_ProdData2_PDI_Cash_Exception_Application[[#This Row],[MARKET No]],'Site Allocation'!$B$2:$C$37,2,FALSE)</f>
        <v>Analyst4</v>
      </c>
      <c r="I1864" s="4">
        <f t="shared" ca="1" si="29"/>
        <v>45203</v>
      </c>
      <c r="J1864" s="42">
        <f ca="1">TODAY()-qry_ProdData2_PDI_Cash_Exception_Application[[#This Row],[INSERT DATE]]</f>
        <v>15.742928240739275</v>
      </c>
      <c r="K18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64">
        <f ca="1">qry_ProdData2_PDI_Cash_Exception_Application[[#This Row],[TODAY]]-qry_ProdData2_PDI_Cash_Exception_Application[[#This Row],[CHANGED ON]]</f>
        <v>8.7429282407392748</v>
      </c>
      <c r="M1864">
        <f ca="1">qry_ProdData2_PDI_Cash_Exception_Application[[#This Row],[TODAY]]-qry_ProdData2_PDI_Cash_Exception_Application[[#This Row],[CHANGED ON]]</f>
        <v>8.7429282407392748</v>
      </c>
      <c r="N1864">
        <f ca="1">qry_ProdData2_PDI_Cash_Exception_Application[[#This Row],[TODAY]]-qry_ProdData2_PDI_Cash_Exception_Application[[#This Row],[CHANGED ON]]</f>
        <v>8.7429282407392748</v>
      </c>
    </row>
    <row r="1865" spans="1:14" x14ac:dyDescent="0.35">
      <c r="A1865">
        <v>1009</v>
      </c>
      <c r="B1865" t="s">
        <v>63</v>
      </c>
      <c r="C1865" s="1">
        <v>45196.257071759261</v>
      </c>
      <c r="D1865" t="str">
        <f ca="1">VLOOKUP(qry_ProdData2_PDI_Cash_Exception_Application[[#This Row],[TYPE]],#REF!,2,FALSE)</f>
        <v>type40</v>
      </c>
      <c r="E1865">
        <v>-6025.84</v>
      </c>
      <c r="F1865" t="s">
        <v>52</v>
      </c>
      <c r="G1865" s="1">
        <f>qry_ProdData2_PDI_Cash_Exception_Application[[#This Row],[INSERT DATE]]+7</f>
        <v>45203.257071759261</v>
      </c>
      <c r="H1865" t="str">
        <f>VLOOKUP(qry_ProdData2_PDI_Cash_Exception_Application[[#This Row],[MARKET No]],'Site Allocation'!$B$2:$C$37,2,FALSE)</f>
        <v>Analyst2</v>
      </c>
      <c r="I1865" s="4">
        <f t="shared" ca="1" si="29"/>
        <v>45203</v>
      </c>
      <c r="J1865" s="42">
        <f ca="1">TODAY()-qry_ProdData2_PDI_Cash_Exception_Application[[#This Row],[INSERT DATE]]</f>
        <v>6.7429282407392748</v>
      </c>
      <c r="K18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865">
        <f ca="1">qry_ProdData2_PDI_Cash_Exception_Application[[#This Row],[TODAY]]-qry_ProdData2_PDI_Cash_Exception_Application[[#This Row],[CHANGED ON]]</f>
        <v>-0.25707175926072523</v>
      </c>
      <c r="M1865">
        <f ca="1">qry_ProdData2_PDI_Cash_Exception_Application[[#This Row],[TODAY]]-qry_ProdData2_PDI_Cash_Exception_Application[[#This Row],[CHANGED ON]]</f>
        <v>-0.25707175926072523</v>
      </c>
      <c r="N1865">
        <f ca="1">qry_ProdData2_PDI_Cash_Exception_Application[[#This Row],[TODAY]]-qry_ProdData2_PDI_Cash_Exception_Application[[#This Row],[CHANGED ON]]</f>
        <v>-0.25707175926072523</v>
      </c>
    </row>
    <row r="1866" spans="1:14" x14ac:dyDescent="0.35">
      <c r="A1866">
        <v>1020</v>
      </c>
      <c r="B1866" t="s">
        <v>74</v>
      </c>
      <c r="C1866" s="1">
        <v>45183.257071759261</v>
      </c>
      <c r="D1866" t="str">
        <f ca="1">VLOOKUP(qry_ProdData2_PDI_Cash_Exception_Application[[#This Row],[TYPE]],#REF!,2,FALSE)</f>
        <v>type40</v>
      </c>
      <c r="E1866">
        <v>922.42</v>
      </c>
      <c r="F1866" t="s">
        <v>51</v>
      </c>
      <c r="G1866" s="1">
        <f>qry_ProdData2_PDI_Cash_Exception_Application[[#This Row],[INSERT DATE]]+2</f>
        <v>45185.257071759261</v>
      </c>
      <c r="H1866" t="str">
        <f>VLOOKUP(qry_ProdData2_PDI_Cash_Exception_Application[[#This Row],[MARKET No]],'Site Allocation'!$B$2:$C$37,2,FALSE)</f>
        <v>Analyst4</v>
      </c>
      <c r="I1866" s="4">
        <f t="shared" ca="1" si="29"/>
        <v>45203</v>
      </c>
      <c r="J1866" s="42">
        <f ca="1">TODAY()-qry_ProdData2_PDI_Cash_Exception_Application[[#This Row],[INSERT DATE]]</f>
        <v>19.742928240739275</v>
      </c>
      <c r="K18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66">
        <f ca="1">qry_ProdData2_PDI_Cash_Exception_Application[[#This Row],[TODAY]]-qry_ProdData2_PDI_Cash_Exception_Application[[#This Row],[CHANGED ON]]</f>
        <v>17.742928240739275</v>
      </c>
      <c r="M1866">
        <f ca="1">qry_ProdData2_PDI_Cash_Exception_Application[[#This Row],[TODAY]]-qry_ProdData2_PDI_Cash_Exception_Application[[#This Row],[CHANGED ON]]</f>
        <v>17.742928240739275</v>
      </c>
      <c r="N1866">
        <f ca="1">qry_ProdData2_PDI_Cash_Exception_Application[[#This Row],[TODAY]]-qry_ProdData2_PDI_Cash_Exception_Application[[#This Row],[CHANGED ON]]</f>
        <v>17.742928240739275</v>
      </c>
    </row>
    <row r="1867" spans="1:14" x14ac:dyDescent="0.35">
      <c r="A1867">
        <v>1001</v>
      </c>
      <c r="B1867" t="s">
        <v>55</v>
      </c>
      <c r="C1867" s="1">
        <v>45192.257071759261</v>
      </c>
      <c r="D1867" t="str">
        <f ca="1">VLOOKUP(qry_ProdData2_PDI_Cash_Exception_Application[[#This Row],[TYPE]],#REF!,2,FALSE)</f>
        <v>type42</v>
      </c>
      <c r="E1867">
        <v>197.91</v>
      </c>
      <c r="F1867" t="s">
        <v>47</v>
      </c>
      <c r="G1867" s="1">
        <f>qry_ProdData2_PDI_Cash_Exception_Application[[#This Row],[INSERT DATE]]+7</f>
        <v>45199.257071759261</v>
      </c>
      <c r="H1867" t="str">
        <f>VLOOKUP(qry_ProdData2_PDI_Cash_Exception_Application[[#This Row],[MARKET No]],'Site Allocation'!$B$2:$C$37,2,FALSE)</f>
        <v>Analyst1</v>
      </c>
      <c r="I1867" s="4">
        <f t="shared" ca="1" si="29"/>
        <v>45203</v>
      </c>
      <c r="J1867" s="42">
        <f ca="1">TODAY()-qry_ProdData2_PDI_Cash_Exception_Application[[#This Row],[INSERT DATE]]</f>
        <v>10.742928240739275</v>
      </c>
      <c r="K18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67">
        <f ca="1">qry_ProdData2_PDI_Cash_Exception_Application[[#This Row],[TODAY]]-qry_ProdData2_PDI_Cash_Exception_Application[[#This Row],[CHANGED ON]]</f>
        <v>3.7429282407392748</v>
      </c>
      <c r="M1867">
        <f ca="1">qry_ProdData2_PDI_Cash_Exception_Application[[#This Row],[TODAY]]-qry_ProdData2_PDI_Cash_Exception_Application[[#This Row],[CHANGED ON]]</f>
        <v>3.7429282407392748</v>
      </c>
      <c r="N1867">
        <f ca="1">qry_ProdData2_PDI_Cash_Exception_Application[[#This Row],[TODAY]]-qry_ProdData2_PDI_Cash_Exception_Application[[#This Row],[CHANGED ON]]</f>
        <v>3.7429282407392748</v>
      </c>
    </row>
    <row r="1868" spans="1:14" x14ac:dyDescent="0.35">
      <c r="A1868">
        <v>1021</v>
      </c>
      <c r="B1868" t="s">
        <v>75</v>
      </c>
      <c r="C1868" s="1">
        <v>45185.257071759261</v>
      </c>
      <c r="D1868" t="str">
        <f ca="1">VLOOKUP(qry_ProdData2_PDI_Cash_Exception_Application[[#This Row],[TYPE]],#REF!,2,FALSE)</f>
        <v>type33</v>
      </c>
      <c r="E1868">
        <v>552.59</v>
      </c>
      <c r="F1868" t="s">
        <v>51</v>
      </c>
      <c r="G1868" s="1">
        <f>qry_ProdData2_PDI_Cash_Exception_Application[[#This Row],[INSERT DATE]]+2</f>
        <v>45187.257071759261</v>
      </c>
      <c r="H1868" t="str">
        <f>VLOOKUP(qry_ProdData2_PDI_Cash_Exception_Application[[#This Row],[MARKET No]],'Site Allocation'!$B$2:$C$37,2,FALSE)</f>
        <v>Analyst4</v>
      </c>
      <c r="I1868" s="4">
        <f t="shared" ca="1" si="29"/>
        <v>45203</v>
      </c>
      <c r="J1868" s="42">
        <f ca="1">TODAY()-qry_ProdData2_PDI_Cash_Exception_Application[[#This Row],[INSERT DATE]]</f>
        <v>17.742928240739275</v>
      </c>
      <c r="K18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68">
        <f ca="1">qry_ProdData2_PDI_Cash_Exception_Application[[#This Row],[TODAY]]-qry_ProdData2_PDI_Cash_Exception_Application[[#This Row],[CHANGED ON]]</f>
        <v>15.742928240739275</v>
      </c>
      <c r="M1868">
        <f ca="1">qry_ProdData2_PDI_Cash_Exception_Application[[#This Row],[TODAY]]-qry_ProdData2_PDI_Cash_Exception_Application[[#This Row],[CHANGED ON]]</f>
        <v>15.742928240739275</v>
      </c>
      <c r="N1868">
        <f ca="1">qry_ProdData2_PDI_Cash_Exception_Application[[#This Row],[TODAY]]-qry_ProdData2_PDI_Cash_Exception_Application[[#This Row],[CHANGED ON]]</f>
        <v>15.742928240739275</v>
      </c>
    </row>
    <row r="1869" spans="1:14" x14ac:dyDescent="0.35">
      <c r="A1869">
        <v>1018</v>
      </c>
      <c r="B1869" t="s">
        <v>72</v>
      </c>
      <c r="C1869" s="1">
        <v>45189.257071759261</v>
      </c>
      <c r="D1869" t="str">
        <f ca="1">VLOOKUP(qry_ProdData2_PDI_Cash_Exception_Application[[#This Row],[TYPE]],#REF!,2,FALSE)</f>
        <v>type40</v>
      </c>
      <c r="E1869">
        <v>20</v>
      </c>
      <c r="F1869" t="s">
        <v>48</v>
      </c>
      <c r="G1869" s="1">
        <f>qry_ProdData2_PDI_Cash_Exception_Application[[#This Row],[INSERT DATE]]+1</f>
        <v>45190.257071759261</v>
      </c>
      <c r="H1869" t="str">
        <f>VLOOKUP(qry_ProdData2_PDI_Cash_Exception_Application[[#This Row],[MARKET No]],'Site Allocation'!$B$2:$C$37,2,FALSE)</f>
        <v>Analyst4</v>
      </c>
      <c r="I1869" s="4">
        <f t="shared" ca="1" si="29"/>
        <v>45203</v>
      </c>
      <c r="J1869" s="42">
        <f ca="1">TODAY()-qry_ProdData2_PDI_Cash_Exception_Application[[#This Row],[INSERT DATE]]</f>
        <v>13.742928240739275</v>
      </c>
      <c r="K18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69">
        <f ca="1">qry_ProdData2_PDI_Cash_Exception_Application[[#This Row],[TODAY]]-qry_ProdData2_PDI_Cash_Exception_Application[[#This Row],[CHANGED ON]]</f>
        <v>12.742928240739275</v>
      </c>
      <c r="M1869">
        <f ca="1">qry_ProdData2_PDI_Cash_Exception_Application[[#This Row],[TODAY]]-qry_ProdData2_PDI_Cash_Exception_Application[[#This Row],[CHANGED ON]]</f>
        <v>12.742928240739275</v>
      </c>
      <c r="N1869">
        <f ca="1">qry_ProdData2_PDI_Cash_Exception_Application[[#This Row],[TODAY]]-qry_ProdData2_PDI_Cash_Exception_Application[[#This Row],[CHANGED ON]]</f>
        <v>12.742928240739275</v>
      </c>
    </row>
    <row r="1870" spans="1:14" x14ac:dyDescent="0.35">
      <c r="A1870">
        <v>1006</v>
      </c>
      <c r="B1870" t="s">
        <v>60</v>
      </c>
      <c r="C1870" s="1">
        <v>45190.257071759261</v>
      </c>
      <c r="D1870" t="str">
        <f ca="1">VLOOKUP(qry_ProdData2_PDI_Cash_Exception_Application[[#This Row],[TYPE]],#REF!,2,FALSE)</f>
        <v>type40</v>
      </c>
      <c r="E1870">
        <v>361.86</v>
      </c>
      <c r="F1870" t="s">
        <v>48</v>
      </c>
      <c r="G1870" s="1">
        <f>qry_ProdData2_PDI_Cash_Exception_Application[[#This Row],[INSERT DATE]]+1</f>
        <v>45191.257071759261</v>
      </c>
      <c r="H1870" t="str">
        <f>VLOOKUP(qry_ProdData2_PDI_Cash_Exception_Application[[#This Row],[MARKET No]],'Site Allocation'!$B$2:$C$37,2,FALSE)</f>
        <v>Analyst2</v>
      </c>
      <c r="I1870" s="4">
        <f t="shared" ca="1" si="29"/>
        <v>45203</v>
      </c>
      <c r="J1870" s="42">
        <f ca="1">TODAY()-qry_ProdData2_PDI_Cash_Exception_Application[[#This Row],[INSERT DATE]]</f>
        <v>12.742928240739275</v>
      </c>
      <c r="K18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70">
        <f ca="1">qry_ProdData2_PDI_Cash_Exception_Application[[#This Row],[TODAY]]-qry_ProdData2_PDI_Cash_Exception_Application[[#This Row],[CHANGED ON]]</f>
        <v>11.742928240739275</v>
      </c>
      <c r="M1870">
        <f ca="1">qry_ProdData2_PDI_Cash_Exception_Application[[#This Row],[TODAY]]-qry_ProdData2_PDI_Cash_Exception_Application[[#This Row],[CHANGED ON]]</f>
        <v>11.742928240739275</v>
      </c>
      <c r="N1870">
        <f ca="1">qry_ProdData2_PDI_Cash_Exception_Application[[#This Row],[TODAY]]-qry_ProdData2_PDI_Cash_Exception_Application[[#This Row],[CHANGED ON]]</f>
        <v>11.742928240739275</v>
      </c>
    </row>
    <row r="1871" spans="1:14" x14ac:dyDescent="0.35">
      <c r="A1871">
        <v>1009</v>
      </c>
      <c r="B1871" t="s">
        <v>63</v>
      </c>
      <c r="C1871" s="1">
        <v>45187.257071759261</v>
      </c>
      <c r="D1871" t="str">
        <f ca="1">VLOOKUP(qry_ProdData2_PDI_Cash_Exception_Application[[#This Row],[TYPE]],#REF!,2,FALSE)</f>
        <v>type40</v>
      </c>
      <c r="E1871">
        <v>2</v>
      </c>
      <c r="F1871" t="s">
        <v>51</v>
      </c>
      <c r="G1871" s="1">
        <f>qry_ProdData2_PDI_Cash_Exception_Application[[#This Row],[INSERT DATE]]+2</f>
        <v>45189.257071759261</v>
      </c>
      <c r="H1871" t="str">
        <f>VLOOKUP(qry_ProdData2_PDI_Cash_Exception_Application[[#This Row],[MARKET No]],'Site Allocation'!$B$2:$C$37,2,FALSE)</f>
        <v>Analyst2</v>
      </c>
      <c r="I1871" s="4">
        <f t="shared" ca="1" si="29"/>
        <v>45203</v>
      </c>
      <c r="J1871" s="42">
        <f ca="1">TODAY()-qry_ProdData2_PDI_Cash_Exception_Application[[#This Row],[INSERT DATE]]</f>
        <v>15.742928240739275</v>
      </c>
      <c r="K18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71">
        <f ca="1">qry_ProdData2_PDI_Cash_Exception_Application[[#This Row],[TODAY]]-qry_ProdData2_PDI_Cash_Exception_Application[[#This Row],[CHANGED ON]]</f>
        <v>13.742928240739275</v>
      </c>
      <c r="M1871">
        <f ca="1">qry_ProdData2_PDI_Cash_Exception_Application[[#This Row],[TODAY]]-qry_ProdData2_PDI_Cash_Exception_Application[[#This Row],[CHANGED ON]]</f>
        <v>13.742928240739275</v>
      </c>
      <c r="N1871">
        <f ca="1">qry_ProdData2_PDI_Cash_Exception_Application[[#This Row],[TODAY]]-qry_ProdData2_PDI_Cash_Exception_Application[[#This Row],[CHANGED ON]]</f>
        <v>13.742928240739275</v>
      </c>
    </row>
    <row r="1872" spans="1:14" x14ac:dyDescent="0.35">
      <c r="A1872">
        <v>1020</v>
      </c>
      <c r="B1872" t="s">
        <v>74</v>
      </c>
      <c r="C1872" s="1">
        <v>45179.257071759261</v>
      </c>
      <c r="D1872" t="str">
        <f ca="1">VLOOKUP(qry_ProdData2_PDI_Cash_Exception_Application[[#This Row],[TYPE]],#REF!,2,FALSE)</f>
        <v>type40</v>
      </c>
      <c r="E1872">
        <v>-810.34</v>
      </c>
      <c r="F1872" t="s">
        <v>49</v>
      </c>
      <c r="G1872" s="1">
        <f>qry_ProdData2_PDI_Cash_Exception_Application[[#This Row],[INSERT DATE]]+1</f>
        <v>45180.257071759261</v>
      </c>
      <c r="H1872" t="str">
        <f>VLOOKUP(qry_ProdData2_PDI_Cash_Exception_Application[[#This Row],[MARKET No]],'Site Allocation'!$B$2:$C$37,2,FALSE)</f>
        <v>Analyst4</v>
      </c>
      <c r="I1872" s="4">
        <f t="shared" ca="1" si="29"/>
        <v>45203</v>
      </c>
      <c r="J1872" s="42">
        <f ca="1">TODAY()-qry_ProdData2_PDI_Cash_Exception_Application[[#This Row],[INSERT DATE]]</f>
        <v>23.742928240739275</v>
      </c>
      <c r="K18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72">
        <f ca="1">qry_ProdData2_PDI_Cash_Exception_Application[[#This Row],[TODAY]]-qry_ProdData2_PDI_Cash_Exception_Application[[#This Row],[CHANGED ON]]</f>
        <v>22.742928240739275</v>
      </c>
      <c r="M1872">
        <f ca="1">qry_ProdData2_PDI_Cash_Exception_Application[[#This Row],[TODAY]]-qry_ProdData2_PDI_Cash_Exception_Application[[#This Row],[CHANGED ON]]</f>
        <v>22.742928240739275</v>
      </c>
      <c r="N1872">
        <f ca="1">qry_ProdData2_PDI_Cash_Exception_Application[[#This Row],[TODAY]]-qry_ProdData2_PDI_Cash_Exception_Application[[#This Row],[CHANGED ON]]</f>
        <v>22.742928240739275</v>
      </c>
    </row>
    <row r="1873" spans="1:14" x14ac:dyDescent="0.35">
      <c r="A1873">
        <v>1025</v>
      </c>
      <c r="B1873" t="s">
        <v>79</v>
      </c>
      <c r="C1873" s="1">
        <v>45188.257071759261</v>
      </c>
      <c r="D1873" t="str">
        <f ca="1">VLOOKUP(qry_ProdData2_PDI_Cash_Exception_Application[[#This Row],[TYPE]],#REF!,2,FALSE)</f>
        <v>type8</v>
      </c>
      <c r="E1873">
        <v>166.06</v>
      </c>
      <c r="F1873" t="s">
        <v>51</v>
      </c>
      <c r="G1873" s="1">
        <f>qry_ProdData2_PDI_Cash_Exception_Application[[#This Row],[INSERT DATE]]+2</f>
        <v>45190.257071759261</v>
      </c>
      <c r="H1873" t="str">
        <f>VLOOKUP(qry_ProdData2_PDI_Cash_Exception_Application[[#This Row],[MARKET No]],'Site Allocation'!$B$2:$C$37,2,FALSE)</f>
        <v>Analyst5</v>
      </c>
      <c r="I1873" s="4">
        <f t="shared" ca="1" si="29"/>
        <v>45203</v>
      </c>
      <c r="J1873" s="42">
        <f ca="1">TODAY()-qry_ProdData2_PDI_Cash_Exception_Application[[#This Row],[INSERT DATE]]</f>
        <v>14.742928240739275</v>
      </c>
      <c r="K18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73">
        <f ca="1">qry_ProdData2_PDI_Cash_Exception_Application[[#This Row],[TODAY]]-qry_ProdData2_PDI_Cash_Exception_Application[[#This Row],[CHANGED ON]]</f>
        <v>12.742928240739275</v>
      </c>
      <c r="M1873">
        <f ca="1">qry_ProdData2_PDI_Cash_Exception_Application[[#This Row],[TODAY]]-qry_ProdData2_PDI_Cash_Exception_Application[[#This Row],[CHANGED ON]]</f>
        <v>12.742928240739275</v>
      </c>
      <c r="N1873">
        <f ca="1">qry_ProdData2_PDI_Cash_Exception_Application[[#This Row],[TODAY]]-qry_ProdData2_PDI_Cash_Exception_Application[[#This Row],[CHANGED ON]]</f>
        <v>12.742928240739275</v>
      </c>
    </row>
    <row r="1874" spans="1:14" x14ac:dyDescent="0.35">
      <c r="A1874">
        <v>1002</v>
      </c>
      <c r="B1874" t="s">
        <v>56</v>
      </c>
      <c r="C1874" s="1">
        <v>45190.257071759261</v>
      </c>
      <c r="D1874" t="str">
        <f ca="1">VLOOKUP(qry_ProdData2_PDI_Cash_Exception_Application[[#This Row],[TYPE]],#REF!,2,FALSE)</f>
        <v>type40</v>
      </c>
      <c r="E1874">
        <v>-849.4</v>
      </c>
      <c r="F1874" t="s">
        <v>48</v>
      </c>
      <c r="G1874" s="1">
        <f>qry_ProdData2_PDI_Cash_Exception_Application[[#This Row],[INSERT DATE]]+1</f>
        <v>45191.257071759261</v>
      </c>
      <c r="H1874" t="str">
        <f>VLOOKUP(qry_ProdData2_PDI_Cash_Exception_Application[[#This Row],[MARKET No]],'Site Allocation'!$B$2:$C$37,2,FALSE)</f>
        <v>Analyst1</v>
      </c>
      <c r="I1874" s="4">
        <f t="shared" ca="1" si="29"/>
        <v>45203</v>
      </c>
      <c r="J1874" s="42">
        <f ca="1">TODAY()-qry_ProdData2_PDI_Cash_Exception_Application[[#This Row],[INSERT DATE]]</f>
        <v>12.742928240739275</v>
      </c>
      <c r="K18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74">
        <f ca="1">qry_ProdData2_PDI_Cash_Exception_Application[[#This Row],[TODAY]]-qry_ProdData2_PDI_Cash_Exception_Application[[#This Row],[CHANGED ON]]</f>
        <v>11.742928240739275</v>
      </c>
      <c r="M1874">
        <f ca="1">qry_ProdData2_PDI_Cash_Exception_Application[[#This Row],[TODAY]]-qry_ProdData2_PDI_Cash_Exception_Application[[#This Row],[CHANGED ON]]</f>
        <v>11.742928240739275</v>
      </c>
      <c r="N1874">
        <f ca="1">qry_ProdData2_PDI_Cash_Exception_Application[[#This Row],[TODAY]]-qry_ProdData2_PDI_Cash_Exception_Application[[#This Row],[CHANGED ON]]</f>
        <v>11.742928240739275</v>
      </c>
    </row>
    <row r="1875" spans="1:14" x14ac:dyDescent="0.35">
      <c r="A1875">
        <v>1025</v>
      </c>
      <c r="B1875" t="s">
        <v>79</v>
      </c>
      <c r="C1875" s="1">
        <v>45183.257071759261</v>
      </c>
      <c r="D1875" t="str">
        <f ca="1">VLOOKUP(qry_ProdData2_PDI_Cash_Exception_Application[[#This Row],[TYPE]],#REF!,2,FALSE)</f>
        <v>type13</v>
      </c>
      <c r="E1875">
        <v>18615.849999999999</v>
      </c>
      <c r="F1875" t="s">
        <v>47</v>
      </c>
      <c r="G1875" s="1">
        <f>qry_ProdData2_PDI_Cash_Exception_Application[[#This Row],[INSERT DATE]]+7</f>
        <v>45190.257071759261</v>
      </c>
      <c r="H1875" t="str">
        <f>VLOOKUP(qry_ProdData2_PDI_Cash_Exception_Application[[#This Row],[MARKET No]],'Site Allocation'!$B$2:$C$37,2,FALSE)</f>
        <v>Analyst5</v>
      </c>
      <c r="I1875" s="4">
        <f t="shared" ca="1" si="29"/>
        <v>45203</v>
      </c>
      <c r="J1875" s="42">
        <f ca="1">TODAY()-qry_ProdData2_PDI_Cash_Exception_Application[[#This Row],[INSERT DATE]]</f>
        <v>19.742928240739275</v>
      </c>
      <c r="K18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75">
        <f ca="1">qry_ProdData2_PDI_Cash_Exception_Application[[#This Row],[TODAY]]-qry_ProdData2_PDI_Cash_Exception_Application[[#This Row],[CHANGED ON]]</f>
        <v>12.742928240739275</v>
      </c>
      <c r="M1875">
        <f ca="1">qry_ProdData2_PDI_Cash_Exception_Application[[#This Row],[TODAY]]-qry_ProdData2_PDI_Cash_Exception_Application[[#This Row],[CHANGED ON]]</f>
        <v>12.742928240739275</v>
      </c>
      <c r="N1875">
        <f ca="1">qry_ProdData2_PDI_Cash_Exception_Application[[#This Row],[TODAY]]-qry_ProdData2_PDI_Cash_Exception_Application[[#This Row],[CHANGED ON]]</f>
        <v>12.742928240739275</v>
      </c>
    </row>
    <row r="1876" spans="1:14" x14ac:dyDescent="0.35">
      <c r="A1876">
        <v>1023</v>
      </c>
      <c r="B1876" t="s">
        <v>77</v>
      </c>
      <c r="C1876" s="1">
        <v>45190.257071759261</v>
      </c>
      <c r="D1876" t="str">
        <f ca="1">VLOOKUP(qry_ProdData2_PDI_Cash_Exception_Application[[#This Row],[TYPE]],#REF!,2,FALSE)</f>
        <v>type40</v>
      </c>
      <c r="E1876">
        <v>51.06</v>
      </c>
      <c r="F1876" t="s">
        <v>47</v>
      </c>
      <c r="G1876" s="1">
        <f>qry_ProdData2_PDI_Cash_Exception_Application[[#This Row],[INSERT DATE]]+1</f>
        <v>45191.257071759261</v>
      </c>
      <c r="H1876" t="str">
        <f>VLOOKUP(qry_ProdData2_PDI_Cash_Exception_Application[[#This Row],[MARKET No]],'Site Allocation'!$B$2:$C$37,2,FALSE)</f>
        <v>Analyst4</v>
      </c>
      <c r="I1876" s="4">
        <f t="shared" ca="1" si="29"/>
        <v>45203</v>
      </c>
      <c r="J1876" s="42">
        <f ca="1">TODAY()-qry_ProdData2_PDI_Cash_Exception_Application[[#This Row],[INSERT DATE]]</f>
        <v>12.742928240739275</v>
      </c>
      <c r="K18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76">
        <f ca="1">qry_ProdData2_PDI_Cash_Exception_Application[[#This Row],[TODAY]]-qry_ProdData2_PDI_Cash_Exception_Application[[#This Row],[CHANGED ON]]</f>
        <v>11.742928240739275</v>
      </c>
      <c r="M1876">
        <f ca="1">qry_ProdData2_PDI_Cash_Exception_Application[[#This Row],[TODAY]]-qry_ProdData2_PDI_Cash_Exception_Application[[#This Row],[CHANGED ON]]</f>
        <v>11.742928240739275</v>
      </c>
      <c r="N1876">
        <f ca="1">qry_ProdData2_PDI_Cash_Exception_Application[[#This Row],[TODAY]]-qry_ProdData2_PDI_Cash_Exception_Application[[#This Row],[CHANGED ON]]</f>
        <v>11.742928240739275</v>
      </c>
    </row>
    <row r="1877" spans="1:14" x14ac:dyDescent="0.35">
      <c r="A1877">
        <v>1004</v>
      </c>
      <c r="B1877" t="s">
        <v>58</v>
      </c>
      <c r="C1877" s="1">
        <v>45182.257071759261</v>
      </c>
      <c r="D1877" t="str">
        <f ca="1">VLOOKUP(qry_ProdData2_PDI_Cash_Exception_Application[[#This Row],[TYPE]],#REF!,2,FALSE)</f>
        <v>type40</v>
      </c>
      <c r="E1877">
        <v>-704.77</v>
      </c>
      <c r="F1877" t="s">
        <v>49</v>
      </c>
      <c r="G1877" s="1">
        <f>qry_ProdData2_PDI_Cash_Exception_Application[[#This Row],[INSERT DATE]]+1</f>
        <v>45183.257071759261</v>
      </c>
      <c r="H1877" t="str">
        <f>VLOOKUP(qry_ProdData2_PDI_Cash_Exception_Application[[#This Row],[MARKET No]],'Site Allocation'!$B$2:$C$37,2,FALSE)</f>
        <v>Analyst1</v>
      </c>
      <c r="I1877" s="4">
        <f t="shared" ca="1" si="29"/>
        <v>45203</v>
      </c>
      <c r="J1877" s="42">
        <f ca="1">TODAY()-qry_ProdData2_PDI_Cash_Exception_Application[[#This Row],[INSERT DATE]]</f>
        <v>20.742928240739275</v>
      </c>
      <c r="K18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77">
        <f ca="1">qry_ProdData2_PDI_Cash_Exception_Application[[#This Row],[TODAY]]-qry_ProdData2_PDI_Cash_Exception_Application[[#This Row],[CHANGED ON]]</f>
        <v>19.742928240739275</v>
      </c>
      <c r="M1877">
        <f ca="1">qry_ProdData2_PDI_Cash_Exception_Application[[#This Row],[TODAY]]-qry_ProdData2_PDI_Cash_Exception_Application[[#This Row],[CHANGED ON]]</f>
        <v>19.742928240739275</v>
      </c>
      <c r="N1877">
        <f ca="1">qry_ProdData2_PDI_Cash_Exception_Application[[#This Row],[TODAY]]-qry_ProdData2_PDI_Cash_Exception_Application[[#This Row],[CHANGED ON]]</f>
        <v>19.742928240739275</v>
      </c>
    </row>
    <row r="1878" spans="1:14" x14ac:dyDescent="0.35">
      <c r="A1878">
        <v>1025</v>
      </c>
      <c r="B1878" t="s">
        <v>79</v>
      </c>
      <c r="C1878" s="1">
        <v>45189.257071759261</v>
      </c>
      <c r="D1878" t="str">
        <f ca="1">VLOOKUP(qry_ProdData2_PDI_Cash_Exception_Application[[#This Row],[TYPE]],#REF!,2,FALSE)</f>
        <v>type40</v>
      </c>
      <c r="E1878">
        <v>17.739999999999998</v>
      </c>
      <c r="F1878" t="s">
        <v>51</v>
      </c>
      <c r="G1878" s="1">
        <f>qry_ProdData2_PDI_Cash_Exception_Application[[#This Row],[INSERT DATE]]+2</f>
        <v>45191.257071759261</v>
      </c>
      <c r="H1878" t="str">
        <f>VLOOKUP(qry_ProdData2_PDI_Cash_Exception_Application[[#This Row],[MARKET No]],'Site Allocation'!$B$2:$C$37,2,FALSE)</f>
        <v>Analyst5</v>
      </c>
      <c r="I1878" s="4">
        <f t="shared" ca="1" si="29"/>
        <v>45203</v>
      </c>
      <c r="J1878" s="42">
        <f ca="1">TODAY()-qry_ProdData2_PDI_Cash_Exception_Application[[#This Row],[INSERT DATE]]</f>
        <v>13.742928240739275</v>
      </c>
      <c r="K18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78">
        <f ca="1">qry_ProdData2_PDI_Cash_Exception_Application[[#This Row],[TODAY]]-qry_ProdData2_PDI_Cash_Exception_Application[[#This Row],[CHANGED ON]]</f>
        <v>11.742928240739275</v>
      </c>
      <c r="M1878">
        <f ca="1">qry_ProdData2_PDI_Cash_Exception_Application[[#This Row],[TODAY]]-qry_ProdData2_PDI_Cash_Exception_Application[[#This Row],[CHANGED ON]]</f>
        <v>11.742928240739275</v>
      </c>
      <c r="N1878">
        <f ca="1">qry_ProdData2_PDI_Cash_Exception_Application[[#This Row],[TODAY]]-qry_ProdData2_PDI_Cash_Exception_Application[[#This Row],[CHANGED ON]]</f>
        <v>11.742928240739275</v>
      </c>
    </row>
    <row r="1879" spans="1:14" x14ac:dyDescent="0.35">
      <c r="A1879">
        <v>1016</v>
      </c>
      <c r="B1879" t="s">
        <v>70</v>
      </c>
      <c r="C1879" s="1">
        <v>45188.257071759261</v>
      </c>
      <c r="D1879" t="str">
        <f ca="1">VLOOKUP(qry_ProdData2_PDI_Cash_Exception_Application[[#This Row],[TYPE]],#REF!,2,FALSE)</f>
        <v>type13</v>
      </c>
      <c r="E1879">
        <v>12276</v>
      </c>
      <c r="F1879" t="s">
        <v>47</v>
      </c>
      <c r="G1879" s="1">
        <f>qry_ProdData2_PDI_Cash_Exception_Application[[#This Row],[INSERT DATE]]+1</f>
        <v>45189.257071759261</v>
      </c>
      <c r="H1879" t="str">
        <f>VLOOKUP(qry_ProdData2_PDI_Cash_Exception_Application[[#This Row],[MARKET No]],'Site Allocation'!$B$2:$C$37,2,FALSE)</f>
        <v>Analyst3</v>
      </c>
      <c r="I1879" s="4">
        <f t="shared" ca="1" si="29"/>
        <v>45203</v>
      </c>
      <c r="J1879" s="42">
        <f ca="1">TODAY()-qry_ProdData2_PDI_Cash_Exception_Application[[#This Row],[INSERT DATE]]</f>
        <v>14.742928240739275</v>
      </c>
      <c r="K18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79">
        <f ca="1">qry_ProdData2_PDI_Cash_Exception_Application[[#This Row],[TODAY]]-qry_ProdData2_PDI_Cash_Exception_Application[[#This Row],[CHANGED ON]]</f>
        <v>13.742928240739275</v>
      </c>
      <c r="M1879">
        <f ca="1">qry_ProdData2_PDI_Cash_Exception_Application[[#This Row],[TODAY]]-qry_ProdData2_PDI_Cash_Exception_Application[[#This Row],[CHANGED ON]]</f>
        <v>13.742928240739275</v>
      </c>
      <c r="N1879">
        <f ca="1">qry_ProdData2_PDI_Cash_Exception_Application[[#This Row],[TODAY]]-qry_ProdData2_PDI_Cash_Exception_Application[[#This Row],[CHANGED ON]]</f>
        <v>13.742928240739275</v>
      </c>
    </row>
    <row r="1880" spans="1:14" x14ac:dyDescent="0.35">
      <c r="A1880">
        <v>1004</v>
      </c>
      <c r="B1880" t="s">
        <v>58</v>
      </c>
      <c r="C1880" s="1">
        <v>45195.257071759261</v>
      </c>
      <c r="D1880" t="str">
        <f ca="1">VLOOKUP(qry_ProdData2_PDI_Cash_Exception_Application[[#This Row],[TYPE]],#REF!,2,FALSE)</f>
        <v>type40</v>
      </c>
      <c r="E1880">
        <v>303.5</v>
      </c>
      <c r="F1880" t="s">
        <v>52</v>
      </c>
      <c r="G1880" s="1">
        <f>qry_ProdData2_PDI_Cash_Exception_Application[[#This Row],[INSERT DATE]]+1</f>
        <v>45196.257071759261</v>
      </c>
      <c r="H1880" t="str">
        <f>VLOOKUP(qry_ProdData2_PDI_Cash_Exception_Application[[#This Row],[MARKET No]],'Site Allocation'!$B$2:$C$37,2,FALSE)</f>
        <v>Analyst1</v>
      </c>
      <c r="I1880" s="4">
        <f t="shared" ca="1" si="29"/>
        <v>45203</v>
      </c>
      <c r="J1880" s="42">
        <f ca="1">TODAY()-qry_ProdData2_PDI_Cash_Exception_Application[[#This Row],[INSERT DATE]]</f>
        <v>7.7429282407392748</v>
      </c>
      <c r="K18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880">
        <f ca="1">qry_ProdData2_PDI_Cash_Exception_Application[[#This Row],[TODAY]]-qry_ProdData2_PDI_Cash_Exception_Application[[#This Row],[CHANGED ON]]</f>
        <v>6.7429282407392748</v>
      </c>
      <c r="M1880">
        <f ca="1">qry_ProdData2_PDI_Cash_Exception_Application[[#This Row],[TODAY]]-qry_ProdData2_PDI_Cash_Exception_Application[[#This Row],[CHANGED ON]]</f>
        <v>6.7429282407392748</v>
      </c>
      <c r="N1880">
        <f ca="1">qry_ProdData2_PDI_Cash_Exception_Application[[#This Row],[TODAY]]-qry_ProdData2_PDI_Cash_Exception_Application[[#This Row],[CHANGED ON]]</f>
        <v>6.7429282407392748</v>
      </c>
    </row>
    <row r="1881" spans="1:14" x14ac:dyDescent="0.35">
      <c r="A1881">
        <v>1024</v>
      </c>
      <c r="B1881" t="s">
        <v>78</v>
      </c>
      <c r="C1881" s="1">
        <v>45192.257071759261</v>
      </c>
      <c r="D1881" t="str">
        <f ca="1">VLOOKUP(qry_ProdData2_PDI_Cash_Exception_Application[[#This Row],[TYPE]],#REF!,2,FALSE)</f>
        <v>type40</v>
      </c>
      <c r="E1881">
        <v>4715.76</v>
      </c>
      <c r="F1881" t="s">
        <v>48</v>
      </c>
      <c r="G1881" s="1">
        <f>qry_ProdData2_PDI_Cash_Exception_Application[[#This Row],[INSERT DATE]]+1</f>
        <v>45193.257071759261</v>
      </c>
      <c r="H1881" t="str">
        <f>VLOOKUP(qry_ProdData2_PDI_Cash_Exception_Application[[#This Row],[MARKET No]],'Site Allocation'!$B$2:$C$37,2,FALSE)</f>
        <v>Analyst5</v>
      </c>
      <c r="I1881" s="4">
        <f t="shared" ca="1" si="29"/>
        <v>45203</v>
      </c>
      <c r="J1881" s="42">
        <f ca="1">TODAY()-qry_ProdData2_PDI_Cash_Exception_Application[[#This Row],[INSERT DATE]]</f>
        <v>10.742928240739275</v>
      </c>
      <c r="K18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81">
        <f ca="1">qry_ProdData2_PDI_Cash_Exception_Application[[#This Row],[TODAY]]-qry_ProdData2_PDI_Cash_Exception_Application[[#This Row],[CHANGED ON]]</f>
        <v>9.7429282407392748</v>
      </c>
      <c r="M1881">
        <f ca="1">qry_ProdData2_PDI_Cash_Exception_Application[[#This Row],[TODAY]]-qry_ProdData2_PDI_Cash_Exception_Application[[#This Row],[CHANGED ON]]</f>
        <v>9.7429282407392748</v>
      </c>
      <c r="N1881">
        <f ca="1">qry_ProdData2_PDI_Cash_Exception_Application[[#This Row],[TODAY]]-qry_ProdData2_PDI_Cash_Exception_Application[[#This Row],[CHANGED ON]]</f>
        <v>9.7429282407392748</v>
      </c>
    </row>
    <row r="1882" spans="1:14" x14ac:dyDescent="0.35">
      <c r="A1882">
        <v>1007</v>
      </c>
      <c r="B1882" t="s">
        <v>61</v>
      </c>
      <c r="C1882" s="1">
        <v>45190.257071759261</v>
      </c>
      <c r="D1882" t="str">
        <f ca="1">VLOOKUP(qry_ProdData2_PDI_Cash_Exception_Application[[#This Row],[TYPE]],#REF!,2,FALSE)</f>
        <v>type7</v>
      </c>
      <c r="E1882">
        <v>1374.67</v>
      </c>
      <c r="F1882" t="s">
        <v>47</v>
      </c>
      <c r="G1882" s="1">
        <f>qry_ProdData2_PDI_Cash_Exception_Application[[#This Row],[INSERT DATE]]+2</f>
        <v>45192.257071759261</v>
      </c>
      <c r="H1882" t="str">
        <f>VLOOKUP(qry_ProdData2_PDI_Cash_Exception_Application[[#This Row],[MARKET No]],'Site Allocation'!$B$2:$C$37,2,FALSE)</f>
        <v>Analyst2</v>
      </c>
      <c r="I1882" s="4">
        <f t="shared" ca="1" si="29"/>
        <v>45203</v>
      </c>
      <c r="J1882" s="42">
        <f ca="1">TODAY()-qry_ProdData2_PDI_Cash_Exception_Application[[#This Row],[INSERT DATE]]</f>
        <v>12.742928240739275</v>
      </c>
      <c r="K18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82">
        <f ca="1">qry_ProdData2_PDI_Cash_Exception_Application[[#This Row],[TODAY]]-qry_ProdData2_PDI_Cash_Exception_Application[[#This Row],[CHANGED ON]]</f>
        <v>10.742928240739275</v>
      </c>
      <c r="M1882">
        <f ca="1">qry_ProdData2_PDI_Cash_Exception_Application[[#This Row],[TODAY]]-qry_ProdData2_PDI_Cash_Exception_Application[[#This Row],[CHANGED ON]]</f>
        <v>10.742928240739275</v>
      </c>
      <c r="N1882">
        <f ca="1">qry_ProdData2_PDI_Cash_Exception_Application[[#This Row],[TODAY]]-qry_ProdData2_PDI_Cash_Exception_Application[[#This Row],[CHANGED ON]]</f>
        <v>10.742928240739275</v>
      </c>
    </row>
    <row r="1883" spans="1:14" x14ac:dyDescent="0.35">
      <c r="A1883">
        <v>1030</v>
      </c>
      <c r="B1883" t="s">
        <v>84</v>
      </c>
      <c r="C1883" s="1">
        <v>45184.257071759261</v>
      </c>
      <c r="D1883" t="str">
        <f ca="1">VLOOKUP(qry_ProdData2_PDI_Cash_Exception_Application[[#This Row],[TYPE]],#REF!,2,FALSE)</f>
        <v>type42</v>
      </c>
      <c r="E1883">
        <v>200.56</v>
      </c>
      <c r="F1883" t="s">
        <v>49</v>
      </c>
      <c r="G1883" s="1">
        <f>qry_ProdData2_PDI_Cash_Exception_Application[[#This Row],[INSERT DATE]]+1</f>
        <v>45185.257071759261</v>
      </c>
      <c r="H1883" t="str">
        <f>VLOOKUP(qry_ProdData2_PDI_Cash_Exception_Application[[#This Row],[MARKET No]],'Site Allocation'!$B$2:$C$37,2,FALSE)</f>
        <v>Analyst6</v>
      </c>
      <c r="I1883" s="4">
        <f t="shared" ca="1" si="29"/>
        <v>45203</v>
      </c>
      <c r="J1883" s="42">
        <f ca="1">TODAY()-qry_ProdData2_PDI_Cash_Exception_Application[[#This Row],[INSERT DATE]]</f>
        <v>18.742928240739275</v>
      </c>
      <c r="K18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83">
        <f ca="1">qry_ProdData2_PDI_Cash_Exception_Application[[#This Row],[TODAY]]-qry_ProdData2_PDI_Cash_Exception_Application[[#This Row],[CHANGED ON]]</f>
        <v>17.742928240739275</v>
      </c>
      <c r="M1883">
        <f ca="1">qry_ProdData2_PDI_Cash_Exception_Application[[#This Row],[TODAY]]-qry_ProdData2_PDI_Cash_Exception_Application[[#This Row],[CHANGED ON]]</f>
        <v>17.742928240739275</v>
      </c>
      <c r="N1883">
        <f ca="1">qry_ProdData2_PDI_Cash_Exception_Application[[#This Row],[TODAY]]-qry_ProdData2_PDI_Cash_Exception_Application[[#This Row],[CHANGED ON]]</f>
        <v>17.742928240739275</v>
      </c>
    </row>
    <row r="1884" spans="1:14" x14ac:dyDescent="0.35">
      <c r="A1884">
        <v>1024</v>
      </c>
      <c r="B1884" t="s">
        <v>78</v>
      </c>
      <c r="C1884" s="1">
        <v>45181.257071759261</v>
      </c>
      <c r="D1884" t="str">
        <f ca="1">VLOOKUP(qry_ProdData2_PDI_Cash_Exception_Application[[#This Row],[TYPE]],#REF!,2,FALSE)</f>
        <v>type31</v>
      </c>
      <c r="E1884">
        <v>1200282.17</v>
      </c>
      <c r="F1884" t="s">
        <v>48</v>
      </c>
      <c r="G1884" s="1">
        <f>qry_ProdData2_PDI_Cash_Exception_Application[[#This Row],[INSERT DATE]]+2</f>
        <v>45183.257071759261</v>
      </c>
      <c r="H1884" t="str">
        <f>VLOOKUP(qry_ProdData2_PDI_Cash_Exception_Application[[#This Row],[MARKET No]],'Site Allocation'!$B$2:$C$37,2,FALSE)</f>
        <v>Analyst5</v>
      </c>
      <c r="I1884" s="4">
        <f t="shared" ca="1" si="29"/>
        <v>45203</v>
      </c>
      <c r="J1884" s="42">
        <f ca="1">TODAY()-qry_ProdData2_PDI_Cash_Exception_Application[[#This Row],[INSERT DATE]]</f>
        <v>21.742928240739275</v>
      </c>
      <c r="K18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84">
        <f ca="1">qry_ProdData2_PDI_Cash_Exception_Application[[#This Row],[TODAY]]-qry_ProdData2_PDI_Cash_Exception_Application[[#This Row],[CHANGED ON]]</f>
        <v>19.742928240739275</v>
      </c>
      <c r="M1884">
        <f ca="1">qry_ProdData2_PDI_Cash_Exception_Application[[#This Row],[TODAY]]-qry_ProdData2_PDI_Cash_Exception_Application[[#This Row],[CHANGED ON]]</f>
        <v>19.742928240739275</v>
      </c>
      <c r="N1884">
        <f ca="1">qry_ProdData2_PDI_Cash_Exception_Application[[#This Row],[TODAY]]-qry_ProdData2_PDI_Cash_Exception_Application[[#This Row],[CHANGED ON]]</f>
        <v>19.742928240739275</v>
      </c>
    </row>
    <row r="1885" spans="1:14" x14ac:dyDescent="0.35">
      <c r="A1885">
        <v>1017</v>
      </c>
      <c r="B1885" t="s">
        <v>71</v>
      </c>
      <c r="C1885" s="1">
        <v>45187.257071759261</v>
      </c>
      <c r="D1885" t="str">
        <f ca="1">VLOOKUP(qry_ProdData2_PDI_Cash_Exception_Application[[#This Row],[TYPE]],#REF!,2,FALSE)</f>
        <v>type40</v>
      </c>
      <c r="E1885">
        <v>3017.33</v>
      </c>
      <c r="F1885" t="s">
        <v>47</v>
      </c>
      <c r="G1885" s="1">
        <f>qry_ProdData2_PDI_Cash_Exception_Application[[#This Row],[INSERT DATE]]+5</f>
        <v>45192.257071759261</v>
      </c>
      <c r="H1885" t="str">
        <f>VLOOKUP(qry_ProdData2_PDI_Cash_Exception_Application[[#This Row],[MARKET No]],'Site Allocation'!$B$2:$C$37,2,FALSE)</f>
        <v>Analyst3</v>
      </c>
      <c r="I1885" s="4">
        <f t="shared" ca="1" si="29"/>
        <v>45203</v>
      </c>
      <c r="J1885" s="42">
        <f ca="1">TODAY()-qry_ProdData2_PDI_Cash_Exception_Application[[#This Row],[INSERT DATE]]</f>
        <v>15.742928240739275</v>
      </c>
      <c r="K18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85">
        <f ca="1">qry_ProdData2_PDI_Cash_Exception_Application[[#This Row],[TODAY]]-qry_ProdData2_PDI_Cash_Exception_Application[[#This Row],[CHANGED ON]]</f>
        <v>10.742928240739275</v>
      </c>
      <c r="M1885">
        <f ca="1">qry_ProdData2_PDI_Cash_Exception_Application[[#This Row],[TODAY]]-qry_ProdData2_PDI_Cash_Exception_Application[[#This Row],[CHANGED ON]]</f>
        <v>10.742928240739275</v>
      </c>
      <c r="N1885">
        <f ca="1">qry_ProdData2_PDI_Cash_Exception_Application[[#This Row],[TODAY]]-qry_ProdData2_PDI_Cash_Exception_Application[[#This Row],[CHANGED ON]]</f>
        <v>10.742928240739275</v>
      </c>
    </row>
    <row r="1886" spans="1:14" x14ac:dyDescent="0.35">
      <c r="A1886">
        <v>1015</v>
      </c>
      <c r="B1886" t="s">
        <v>69</v>
      </c>
      <c r="C1886" s="1">
        <v>45182.257071759261</v>
      </c>
      <c r="D1886" t="str">
        <f ca="1">VLOOKUP(qry_ProdData2_PDI_Cash_Exception_Application[[#This Row],[TYPE]],#REF!,2,FALSE)</f>
        <v>type7</v>
      </c>
      <c r="E1886">
        <v>2006.04</v>
      </c>
      <c r="F1886" t="s">
        <v>52</v>
      </c>
      <c r="G1886" s="1">
        <f>qry_ProdData2_PDI_Cash_Exception_Application[[#This Row],[INSERT DATE]]+1</f>
        <v>45183.257071759261</v>
      </c>
      <c r="H1886" t="str">
        <f>VLOOKUP(qry_ProdData2_PDI_Cash_Exception_Application[[#This Row],[MARKET No]],'Site Allocation'!$B$2:$C$37,2,FALSE)</f>
        <v>Analyst3</v>
      </c>
      <c r="I1886" s="4">
        <f t="shared" ca="1" si="29"/>
        <v>45203</v>
      </c>
      <c r="J1886" s="42">
        <f ca="1">TODAY()-qry_ProdData2_PDI_Cash_Exception_Application[[#This Row],[INSERT DATE]]</f>
        <v>20.742928240739275</v>
      </c>
      <c r="K18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86">
        <f ca="1">qry_ProdData2_PDI_Cash_Exception_Application[[#This Row],[TODAY]]-qry_ProdData2_PDI_Cash_Exception_Application[[#This Row],[CHANGED ON]]</f>
        <v>19.742928240739275</v>
      </c>
      <c r="M1886">
        <f ca="1">qry_ProdData2_PDI_Cash_Exception_Application[[#This Row],[TODAY]]-qry_ProdData2_PDI_Cash_Exception_Application[[#This Row],[CHANGED ON]]</f>
        <v>19.742928240739275</v>
      </c>
      <c r="N1886">
        <f ca="1">qry_ProdData2_PDI_Cash_Exception_Application[[#This Row],[TODAY]]-qry_ProdData2_PDI_Cash_Exception_Application[[#This Row],[CHANGED ON]]</f>
        <v>19.742928240739275</v>
      </c>
    </row>
    <row r="1887" spans="1:14" x14ac:dyDescent="0.35">
      <c r="A1887">
        <v>1030</v>
      </c>
      <c r="B1887" t="s">
        <v>84</v>
      </c>
      <c r="C1887" s="1">
        <v>45182.257071759261</v>
      </c>
      <c r="D1887" t="str">
        <f ca="1">VLOOKUP(qry_ProdData2_PDI_Cash_Exception_Application[[#This Row],[TYPE]],#REF!,2,FALSE)</f>
        <v>type40</v>
      </c>
      <c r="E1887">
        <v>310.57</v>
      </c>
      <c r="F1887" t="s">
        <v>52</v>
      </c>
      <c r="G1887" s="1">
        <f>qry_ProdData2_PDI_Cash_Exception_Application[[#This Row],[INSERT DATE]]+1</f>
        <v>45183.257071759261</v>
      </c>
      <c r="H1887" t="str">
        <f>VLOOKUP(qry_ProdData2_PDI_Cash_Exception_Application[[#This Row],[MARKET No]],'Site Allocation'!$B$2:$C$37,2,FALSE)</f>
        <v>Analyst6</v>
      </c>
      <c r="I1887" s="4">
        <f t="shared" ca="1" si="29"/>
        <v>45203</v>
      </c>
      <c r="J1887" s="42">
        <f ca="1">TODAY()-qry_ProdData2_PDI_Cash_Exception_Application[[#This Row],[INSERT DATE]]</f>
        <v>20.742928240739275</v>
      </c>
      <c r="K18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87">
        <f ca="1">qry_ProdData2_PDI_Cash_Exception_Application[[#This Row],[TODAY]]-qry_ProdData2_PDI_Cash_Exception_Application[[#This Row],[CHANGED ON]]</f>
        <v>19.742928240739275</v>
      </c>
      <c r="M1887">
        <f ca="1">qry_ProdData2_PDI_Cash_Exception_Application[[#This Row],[TODAY]]-qry_ProdData2_PDI_Cash_Exception_Application[[#This Row],[CHANGED ON]]</f>
        <v>19.742928240739275</v>
      </c>
      <c r="N1887">
        <f ca="1">qry_ProdData2_PDI_Cash_Exception_Application[[#This Row],[TODAY]]-qry_ProdData2_PDI_Cash_Exception_Application[[#This Row],[CHANGED ON]]</f>
        <v>19.742928240739275</v>
      </c>
    </row>
    <row r="1888" spans="1:14" x14ac:dyDescent="0.35">
      <c r="A1888">
        <v>1000</v>
      </c>
      <c r="B1888" t="s">
        <v>54</v>
      </c>
      <c r="C1888" s="1">
        <v>45191.257071759261</v>
      </c>
      <c r="D1888" t="str">
        <f ca="1">VLOOKUP(qry_ProdData2_PDI_Cash_Exception_Application[[#This Row],[TYPE]],#REF!,2,FALSE)</f>
        <v>type40</v>
      </c>
      <c r="E1888">
        <v>-352.63</v>
      </c>
      <c r="F1888" t="s">
        <v>51</v>
      </c>
      <c r="G1888" s="1">
        <f>qry_ProdData2_PDI_Cash_Exception_Application[[#This Row],[INSERT DATE]]+2</f>
        <v>45193.257071759261</v>
      </c>
      <c r="H1888" t="str">
        <f>VLOOKUP(qry_ProdData2_PDI_Cash_Exception_Application[[#This Row],[MARKET No]],'Site Allocation'!$B$2:$C$37,2,FALSE)</f>
        <v>Analyst1</v>
      </c>
      <c r="I1888" s="4">
        <f t="shared" ca="1" si="29"/>
        <v>45203</v>
      </c>
      <c r="J1888" s="42">
        <f ca="1">TODAY()-qry_ProdData2_PDI_Cash_Exception_Application[[#This Row],[INSERT DATE]]</f>
        <v>11.742928240739275</v>
      </c>
      <c r="K18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88">
        <f ca="1">qry_ProdData2_PDI_Cash_Exception_Application[[#This Row],[TODAY]]-qry_ProdData2_PDI_Cash_Exception_Application[[#This Row],[CHANGED ON]]</f>
        <v>9.7429282407392748</v>
      </c>
      <c r="M1888">
        <f ca="1">qry_ProdData2_PDI_Cash_Exception_Application[[#This Row],[TODAY]]-qry_ProdData2_PDI_Cash_Exception_Application[[#This Row],[CHANGED ON]]</f>
        <v>9.7429282407392748</v>
      </c>
      <c r="N1888">
        <f ca="1">qry_ProdData2_PDI_Cash_Exception_Application[[#This Row],[TODAY]]-qry_ProdData2_PDI_Cash_Exception_Application[[#This Row],[CHANGED ON]]</f>
        <v>9.7429282407392748</v>
      </c>
    </row>
    <row r="1889" spans="1:14" x14ac:dyDescent="0.35">
      <c r="A1889">
        <v>1013</v>
      </c>
      <c r="B1889" t="s">
        <v>67</v>
      </c>
      <c r="C1889" s="1">
        <v>45183.257071759261</v>
      </c>
      <c r="D1889" t="str">
        <f ca="1">VLOOKUP(qry_ProdData2_PDI_Cash_Exception_Application[[#This Row],[TYPE]],#REF!,2,FALSE)</f>
        <v>type40</v>
      </c>
      <c r="E1889">
        <v>-350.15</v>
      </c>
      <c r="F1889" t="s">
        <v>52</v>
      </c>
      <c r="G1889" s="1">
        <f>qry_ProdData2_PDI_Cash_Exception_Application[[#This Row],[INSERT DATE]]+1</f>
        <v>45184.257071759261</v>
      </c>
      <c r="H1889" t="str">
        <f>VLOOKUP(qry_ProdData2_PDI_Cash_Exception_Application[[#This Row],[MARKET No]],'Site Allocation'!$B$2:$C$37,2,FALSE)</f>
        <v>Analyst3</v>
      </c>
      <c r="I1889" s="4">
        <f t="shared" ca="1" si="29"/>
        <v>45203</v>
      </c>
      <c r="J1889" s="42">
        <f ca="1">TODAY()-qry_ProdData2_PDI_Cash_Exception_Application[[#This Row],[INSERT DATE]]</f>
        <v>19.742928240739275</v>
      </c>
      <c r="K18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89">
        <f ca="1">qry_ProdData2_PDI_Cash_Exception_Application[[#This Row],[TODAY]]-qry_ProdData2_PDI_Cash_Exception_Application[[#This Row],[CHANGED ON]]</f>
        <v>18.742928240739275</v>
      </c>
      <c r="M1889">
        <f ca="1">qry_ProdData2_PDI_Cash_Exception_Application[[#This Row],[TODAY]]-qry_ProdData2_PDI_Cash_Exception_Application[[#This Row],[CHANGED ON]]</f>
        <v>18.742928240739275</v>
      </c>
      <c r="N1889">
        <f ca="1">qry_ProdData2_PDI_Cash_Exception_Application[[#This Row],[TODAY]]-qry_ProdData2_PDI_Cash_Exception_Application[[#This Row],[CHANGED ON]]</f>
        <v>18.742928240739275</v>
      </c>
    </row>
    <row r="1890" spans="1:14" x14ac:dyDescent="0.35">
      <c r="A1890">
        <v>1008</v>
      </c>
      <c r="B1890" t="s">
        <v>62</v>
      </c>
      <c r="C1890" s="1">
        <v>45189.257071759261</v>
      </c>
      <c r="D1890" t="str">
        <f ca="1">VLOOKUP(qry_ProdData2_PDI_Cash_Exception_Application[[#This Row],[TYPE]],#REF!,2,FALSE)</f>
        <v>type33</v>
      </c>
      <c r="E1890">
        <v>367.71</v>
      </c>
      <c r="F1890" t="s">
        <v>49</v>
      </c>
      <c r="G1890" s="1">
        <f>qry_ProdData2_PDI_Cash_Exception_Application[[#This Row],[INSERT DATE]]+2</f>
        <v>45191.257071759261</v>
      </c>
      <c r="H1890" t="str">
        <f>VLOOKUP(qry_ProdData2_PDI_Cash_Exception_Application[[#This Row],[MARKET No]],'Site Allocation'!$B$2:$C$37,2,FALSE)</f>
        <v>Analyst2</v>
      </c>
      <c r="I1890" s="4">
        <f t="shared" ca="1" si="29"/>
        <v>45203</v>
      </c>
      <c r="J1890" s="42">
        <f ca="1">TODAY()-qry_ProdData2_PDI_Cash_Exception_Application[[#This Row],[INSERT DATE]]</f>
        <v>13.742928240739275</v>
      </c>
      <c r="K18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90">
        <f ca="1">qry_ProdData2_PDI_Cash_Exception_Application[[#This Row],[TODAY]]-qry_ProdData2_PDI_Cash_Exception_Application[[#This Row],[CHANGED ON]]</f>
        <v>11.742928240739275</v>
      </c>
      <c r="M1890">
        <f ca="1">qry_ProdData2_PDI_Cash_Exception_Application[[#This Row],[TODAY]]-qry_ProdData2_PDI_Cash_Exception_Application[[#This Row],[CHANGED ON]]</f>
        <v>11.742928240739275</v>
      </c>
      <c r="N1890">
        <f ca="1">qry_ProdData2_PDI_Cash_Exception_Application[[#This Row],[TODAY]]-qry_ProdData2_PDI_Cash_Exception_Application[[#This Row],[CHANGED ON]]</f>
        <v>11.742928240739275</v>
      </c>
    </row>
    <row r="1891" spans="1:14" x14ac:dyDescent="0.35">
      <c r="A1891">
        <v>1028</v>
      </c>
      <c r="B1891" t="s">
        <v>82</v>
      </c>
      <c r="C1891" s="1">
        <v>45184.257071759261</v>
      </c>
      <c r="D1891" t="str">
        <f ca="1">VLOOKUP(qry_ProdData2_PDI_Cash_Exception_Application[[#This Row],[TYPE]],#REF!,2,FALSE)</f>
        <v>type40</v>
      </c>
      <c r="E1891">
        <v>1311.95</v>
      </c>
      <c r="F1891" t="s">
        <v>52</v>
      </c>
      <c r="G1891" s="1">
        <f>qry_ProdData2_PDI_Cash_Exception_Application[[#This Row],[INSERT DATE]]+1</f>
        <v>45185.257071759261</v>
      </c>
      <c r="H1891" t="str">
        <f>VLOOKUP(qry_ProdData2_PDI_Cash_Exception_Application[[#This Row],[MARKET No]],'Site Allocation'!$B$2:$C$37,2,FALSE)</f>
        <v>Analyst5</v>
      </c>
      <c r="I1891" s="4">
        <f t="shared" ca="1" si="29"/>
        <v>45203</v>
      </c>
      <c r="J1891" s="42">
        <f ca="1">TODAY()-qry_ProdData2_PDI_Cash_Exception_Application[[#This Row],[INSERT DATE]]</f>
        <v>18.742928240739275</v>
      </c>
      <c r="K18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91">
        <f ca="1">qry_ProdData2_PDI_Cash_Exception_Application[[#This Row],[TODAY]]-qry_ProdData2_PDI_Cash_Exception_Application[[#This Row],[CHANGED ON]]</f>
        <v>17.742928240739275</v>
      </c>
      <c r="M1891">
        <f ca="1">qry_ProdData2_PDI_Cash_Exception_Application[[#This Row],[TODAY]]-qry_ProdData2_PDI_Cash_Exception_Application[[#This Row],[CHANGED ON]]</f>
        <v>17.742928240739275</v>
      </c>
      <c r="N1891">
        <f ca="1">qry_ProdData2_PDI_Cash_Exception_Application[[#This Row],[TODAY]]-qry_ProdData2_PDI_Cash_Exception_Application[[#This Row],[CHANGED ON]]</f>
        <v>17.742928240739275</v>
      </c>
    </row>
    <row r="1892" spans="1:14" x14ac:dyDescent="0.35">
      <c r="A1892">
        <v>1027</v>
      </c>
      <c r="B1892" t="s">
        <v>81</v>
      </c>
      <c r="C1892" s="1">
        <v>45191.257071759261</v>
      </c>
      <c r="D1892" t="str">
        <f ca="1">VLOOKUP(qry_ProdData2_PDI_Cash_Exception_Application[[#This Row],[TYPE]],#REF!,2,FALSE)</f>
        <v>type40</v>
      </c>
      <c r="E1892">
        <v>492.56</v>
      </c>
      <c r="F1892" t="s">
        <v>47</v>
      </c>
      <c r="G1892" s="1">
        <f>qry_ProdData2_PDI_Cash_Exception_Application[[#This Row],[INSERT DATE]]+7</f>
        <v>45198.257071759261</v>
      </c>
      <c r="H1892" t="str">
        <f>VLOOKUP(qry_ProdData2_PDI_Cash_Exception_Application[[#This Row],[MARKET No]],'Site Allocation'!$B$2:$C$37,2,FALSE)</f>
        <v>Analyst5</v>
      </c>
      <c r="I1892" s="4">
        <f t="shared" ca="1" si="29"/>
        <v>45203</v>
      </c>
      <c r="J1892" s="42">
        <f ca="1">TODAY()-qry_ProdData2_PDI_Cash_Exception_Application[[#This Row],[INSERT DATE]]</f>
        <v>11.742928240739275</v>
      </c>
      <c r="K18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92">
        <f ca="1">qry_ProdData2_PDI_Cash_Exception_Application[[#This Row],[TODAY]]-qry_ProdData2_PDI_Cash_Exception_Application[[#This Row],[CHANGED ON]]</f>
        <v>4.7429282407392748</v>
      </c>
      <c r="M1892">
        <f ca="1">qry_ProdData2_PDI_Cash_Exception_Application[[#This Row],[TODAY]]-qry_ProdData2_PDI_Cash_Exception_Application[[#This Row],[CHANGED ON]]</f>
        <v>4.7429282407392748</v>
      </c>
      <c r="N1892">
        <f ca="1">qry_ProdData2_PDI_Cash_Exception_Application[[#This Row],[TODAY]]-qry_ProdData2_PDI_Cash_Exception_Application[[#This Row],[CHANGED ON]]</f>
        <v>4.7429282407392748</v>
      </c>
    </row>
    <row r="1893" spans="1:14" x14ac:dyDescent="0.35">
      <c r="A1893">
        <v>1015</v>
      </c>
      <c r="B1893" t="s">
        <v>69</v>
      </c>
      <c r="C1893" s="1">
        <v>45185.257071759261</v>
      </c>
      <c r="D1893" t="str">
        <f ca="1">VLOOKUP(qry_ProdData2_PDI_Cash_Exception_Application[[#This Row],[TYPE]],#REF!,2,FALSE)</f>
        <v>type40</v>
      </c>
      <c r="E1893">
        <v>319.51</v>
      </c>
      <c r="F1893" t="s">
        <v>52</v>
      </c>
      <c r="G1893" s="1">
        <f>qry_ProdData2_PDI_Cash_Exception_Application[[#This Row],[INSERT DATE]]+1</f>
        <v>45186.257071759261</v>
      </c>
      <c r="H1893" t="str">
        <f>VLOOKUP(qry_ProdData2_PDI_Cash_Exception_Application[[#This Row],[MARKET No]],'Site Allocation'!$B$2:$C$37,2,FALSE)</f>
        <v>Analyst3</v>
      </c>
      <c r="I1893" s="4">
        <f t="shared" ca="1" si="29"/>
        <v>45203</v>
      </c>
      <c r="J1893" s="42">
        <f ca="1">TODAY()-qry_ProdData2_PDI_Cash_Exception_Application[[#This Row],[INSERT DATE]]</f>
        <v>17.742928240739275</v>
      </c>
      <c r="K18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93">
        <f ca="1">qry_ProdData2_PDI_Cash_Exception_Application[[#This Row],[TODAY]]-qry_ProdData2_PDI_Cash_Exception_Application[[#This Row],[CHANGED ON]]</f>
        <v>16.742928240739275</v>
      </c>
      <c r="M1893">
        <f ca="1">qry_ProdData2_PDI_Cash_Exception_Application[[#This Row],[TODAY]]-qry_ProdData2_PDI_Cash_Exception_Application[[#This Row],[CHANGED ON]]</f>
        <v>16.742928240739275</v>
      </c>
      <c r="N1893">
        <f ca="1">qry_ProdData2_PDI_Cash_Exception_Application[[#This Row],[TODAY]]-qry_ProdData2_PDI_Cash_Exception_Application[[#This Row],[CHANGED ON]]</f>
        <v>16.742928240739275</v>
      </c>
    </row>
    <row r="1894" spans="1:14" x14ac:dyDescent="0.35">
      <c r="A1894">
        <v>1028</v>
      </c>
      <c r="B1894" t="s">
        <v>82</v>
      </c>
      <c r="C1894" s="1">
        <v>45184.257071759261</v>
      </c>
      <c r="D1894" t="str">
        <f ca="1">VLOOKUP(qry_ProdData2_PDI_Cash_Exception_Application[[#This Row],[TYPE]],#REF!,2,FALSE)</f>
        <v>type40</v>
      </c>
      <c r="E1894">
        <v>336.19</v>
      </c>
      <c r="F1894" t="s">
        <v>47</v>
      </c>
      <c r="G1894" s="1">
        <f>qry_ProdData2_PDI_Cash_Exception_Application[[#This Row],[INSERT DATE]]+7</f>
        <v>45191.257071759261</v>
      </c>
      <c r="H1894" t="str">
        <f>VLOOKUP(qry_ProdData2_PDI_Cash_Exception_Application[[#This Row],[MARKET No]],'Site Allocation'!$B$2:$C$37,2,FALSE)</f>
        <v>Analyst5</v>
      </c>
      <c r="I1894" s="4">
        <f t="shared" ca="1" si="29"/>
        <v>45203</v>
      </c>
      <c r="J1894" s="42">
        <f ca="1">TODAY()-qry_ProdData2_PDI_Cash_Exception_Application[[#This Row],[INSERT DATE]]</f>
        <v>18.742928240739275</v>
      </c>
      <c r="K18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94">
        <f ca="1">qry_ProdData2_PDI_Cash_Exception_Application[[#This Row],[TODAY]]-qry_ProdData2_PDI_Cash_Exception_Application[[#This Row],[CHANGED ON]]</f>
        <v>11.742928240739275</v>
      </c>
      <c r="M1894">
        <f ca="1">qry_ProdData2_PDI_Cash_Exception_Application[[#This Row],[TODAY]]-qry_ProdData2_PDI_Cash_Exception_Application[[#This Row],[CHANGED ON]]</f>
        <v>11.742928240739275</v>
      </c>
      <c r="N1894">
        <f ca="1">qry_ProdData2_PDI_Cash_Exception_Application[[#This Row],[TODAY]]-qry_ProdData2_PDI_Cash_Exception_Application[[#This Row],[CHANGED ON]]</f>
        <v>11.742928240739275</v>
      </c>
    </row>
    <row r="1895" spans="1:14" x14ac:dyDescent="0.35">
      <c r="A1895">
        <v>1003</v>
      </c>
      <c r="B1895" t="s">
        <v>57</v>
      </c>
      <c r="C1895" s="1">
        <v>45187.257071759261</v>
      </c>
      <c r="D1895" t="str">
        <f ca="1">VLOOKUP(qry_ProdData2_PDI_Cash_Exception_Application[[#This Row],[TYPE]],#REF!,2,FALSE)</f>
        <v>type40</v>
      </c>
      <c r="E1895">
        <v>-665.26</v>
      </c>
      <c r="F1895" t="s">
        <v>50</v>
      </c>
      <c r="G1895" s="1">
        <f>qry_ProdData2_PDI_Cash_Exception_Application[[#This Row],[INSERT DATE]]+2</f>
        <v>45189.257071759261</v>
      </c>
      <c r="H1895" t="str">
        <f>VLOOKUP(qry_ProdData2_PDI_Cash_Exception_Application[[#This Row],[MARKET No]],'Site Allocation'!$B$2:$C$37,2,FALSE)</f>
        <v>Analyst1</v>
      </c>
      <c r="I1895" s="4">
        <f t="shared" ca="1" si="29"/>
        <v>45203</v>
      </c>
      <c r="J1895" s="42">
        <f ca="1">TODAY()-qry_ProdData2_PDI_Cash_Exception_Application[[#This Row],[INSERT DATE]]</f>
        <v>15.742928240739275</v>
      </c>
      <c r="K18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95">
        <f ca="1">qry_ProdData2_PDI_Cash_Exception_Application[[#This Row],[TODAY]]-qry_ProdData2_PDI_Cash_Exception_Application[[#This Row],[CHANGED ON]]</f>
        <v>13.742928240739275</v>
      </c>
      <c r="M1895">
        <f ca="1">qry_ProdData2_PDI_Cash_Exception_Application[[#This Row],[TODAY]]-qry_ProdData2_PDI_Cash_Exception_Application[[#This Row],[CHANGED ON]]</f>
        <v>13.742928240739275</v>
      </c>
      <c r="N1895">
        <f ca="1">qry_ProdData2_PDI_Cash_Exception_Application[[#This Row],[TODAY]]-qry_ProdData2_PDI_Cash_Exception_Application[[#This Row],[CHANGED ON]]</f>
        <v>13.742928240739275</v>
      </c>
    </row>
    <row r="1896" spans="1:14" x14ac:dyDescent="0.35">
      <c r="A1896">
        <v>1023</v>
      </c>
      <c r="B1896" t="s">
        <v>77</v>
      </c>
      <c r="C1896" s="1">
        <v>45187.257071759261</v>
      </c>
      <c r="D1896" t="str">
        <f ca="1">VLOOKUP(qry_ProdData2_PDI_Cash_Exception_Application[[#This Row],[TYPE]],#REF!,2,FALSE)</f>
        <v>type40</v>
      </c>
      <c r="E1896">
        <v>-374.59</v>
      </c>
      <c r="F1896" t="s">
        <v>50</v>
      </c>
      <c r="G1896" s="1">
        <f>qry_ProdData2_PDI_Cash_Exception_Application[[#This Row],[INSERT DATE]]+2</f>
        <v>45189.257071759261</v>
      </c>
      <c r="H1896" t="str">
        <f>VLOOKUP(qry_ProdData2_PDI_Cash_Exception_Application[[#This Row],[MARKET No]],'Site Allocation'!$B$2:$C$37,2,FALSE)</f>
        <v>Analyst4</v>
      </c>
      <c r="I1896" s="4">
        <f t="shared" ca="1" si="29"/>
        <v>45203</v>
      </c>
      <c r="J1896" s="42">
        <f ca="1">TODAY()-qry_ProdData2_PDI_Cash_Exception_Application[[#This Row],[INSERT DATE]]</f>
        <v>15.742928240739275</v>
      </c>
      <c r="K18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96">
        <f ca="1">qry_ProdData2_PDI_Cash_Exception_Application[[#This Row],[TODAY]]-qry_ProdData2_PDI_Cash_Exception_Application[[#This Row],[CHANGED ON]]</f>
        <v>13.742928240739275</v>
      </c>
      <c r="M1896">
        <f ca="1">qry_ProdData2_PDI_Cash_Exception_Application[[#This Row],[TODAY]]-qry_ProdData2_PDI_Cash_Exception_Application[[#This Row],[CHANGED ON]]</f>
        <v>13.742928240739275</v>
      </c>
      <c r="N1896">
        <f ca="1">qry_ProdData2_PDI_Cash_Exception_Application[[#This Row],[TODAY]]-qry_ProdData2_PDI_Cash_Exception_Application[[#This Row],[CHANGED ON]]</f>
        <v>13.742928240739275</v>
      </c>
    </row>
    <row r="1897" spans="1:14" x14ac:dyDescent="0.35">
      <c r="A1897">
        <v>1028</v>
      </c>
      <c r="B1897" t="s">
        <v>82</v>
      </c>
      <c r="C1897" s="1">
        <v>45188.257071759261</v>
      </c>
      <c r="D1897" t="str">
        <f ca="1">VLOOKUP(qry_ProdData2_PDI_Cash_Exception_Application[[#This Row],[TYPE]],#REF!,2,FALSE)</f>
        <v>type40</v>
      </c>
      <c r="E1897">
        <v>320.68</v>
      </c>
      <c r="F1897" t="s">
        <v>50</v>
      </c>
      <c r="G1897" s="1">
        <f>qry_ProdData2_PDI_Cash_Exception_Application[[#This Row],[INSERT DATE]]+2</f>
        <v>45190.257071759261</v>
      </c>
      <c r="H1897" t="str">
        <f>VLOOKUP(qry_ProdData2_PDI_Cash_Exception_Application[[#This Row],[MARKET No]],'Site Allocation'!$B$2:$C$37,2,FALSE)</f>
        <v>Analyst5</v>
      </c>
      <c r="I1897" s="4">
        <f t="shared" ca="1" si="29"/>
        <v>45203</v>
      </c>
      <c r="J1897" s="42">
        <f ca="1">TODAY()-qry_ProdData2_PDI_Cash_Exception_Application[[#This Row],[INSERT DATE]]</f>
        <v>14.742928240739275</v>
      </c>
      <c r="K18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97">
        <f ca="1">qry_ProdData2_PDI_Cash_Exception_Application[[#This Row],[TODAY]]-qry_ProdData2_PDI_Cash_Exception_Application[[#This Row],[CHANGED ON]]</f>
        <v>12.742928240739275</v>
      </c>
      <c r="M1897">
        <f ca="1">qry_ProdData2_PDI_Cash_Exception_Application[[#This Row],[TODAY]]-qry_ProdData2_PDI_Cash_Exception_Application[[#This Row],[CHANGED ON]]</f>
        <v>12.742928240739275</v>
      </c>
      <c r="N1897">
        <f ca="1">qry_ProdData2_PDI_Cash_Exception_Application[[#This Row],[TODAY]]-qry_ProdData2_PDI_Cash_Exception_Application[[#This Row],[CHANGED ON]]</f>
        <v>12.742928240739275</v>
      </c>
    </row>
    <row r="1898" spans="1:14" x14ac:dyDescent="0.35">
      <c r="A1898">
        <v>1023</v>
      </c>
      <c r="B1898" t="s">
        <v>77</v>
      </c>
      <c r="C1898" s="1">
        <v>45183.257071759261</v>
      </c>
      <c r="D1898" t="str">
        <f ca="1">VLOOKUP(qry_ProdData2_PDI_Cash_Exception_Application[[#This Row],[TYPE]],#REF!,2,FALSE)</f>
        <v>type27</v>
      </c>
      <c r="E1898">
        <v>1124.76</v>
      </c>
      <c r="F1898" t="s">
        <v>48</v>
      </c>
      <c r="G1898" s="1">
        <f>qry_ProdData2_PDI_Cash_Exception_Application[[#This Row],[INSERT DATE]]+2</f>
        <v>45185.257071759261</v>
      </c>
      <c r="H1898" t="str">
        <f>VLOOKUP(qry_ProdData2_PDI_Cash_Exception_Application[[#This Row],[MARKET No]],'Site Allocation'!$B$2:$C$37,2,FALSE)</f>
        <v>Analyst4</v>
      </c>
      <c r="I1898" s="4">
        <f t="shared" ca="1" si="29"/>
        <v>45203</v>
      </c>
      <c r="J1898" s="42">
        <f ca="1">TODAY()-qry_ProdData2_PDI_Cash_Exception_Application[[#This Row],[INSERT DATE]]</f>
        <v>19.742928240739275</v>
      </c>
      <c r="K18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98">
        <f ca="1">qry_ProdData2_PDI_Cash_Exception_Application[[#This Row],[TODAY]]-qry_ProdData2_PDI_Cash_Exception_Application[[#This Row],[CHANGED ON]]</f>
        <v>17.742928240739275</v>
      </c>
      <c r="M1898">
        <f ca="1">qry_ProdData2_PDI_Cash_Exception_Application[[#This Row],[TODAY]]-qry_ProdData2_PDI_Cash_Exception_Application[[#This Row],[CHANGED ON]]</f>
        <v>17.742928240739275</v>
      </c>
      <c r="N1898">
        <f ca="1">qry_ProdData2_PDI_Cash_Exception_Application[[#This Row],[TODAY]]-qry_ProdData2_PDI_Cash_Exception_Application[[#This Row],[CHANGED ON]]</f>
        <v>17.742928240739275</v>
      </c>
    </row>
    <row r="1899" spans="1:14" x14ac:dyDescent="0.35">
      <c r="A1899">
        <v>1015</v>
      </c>
      <c r="B1899" t="s">
        <v>69</v>
      </c>
      <c r="C1899" s="1">
        <v>45184.257071759261</v>
      </c>
      <c r="D1899" t="str">
        <f ca="1">VLOOKUP(qry_ProdData2_PDI_Cash_Exception_Application[[#This Row],[TYPE]],#REF!,2,FALSE)</f>
        <v>type40</v>
      </c>
      <c r="E1899">
        <v>987.99</v>
      </c>
      <c r="F1899" t="s">
        <v>48</v>
      </c>
      <c r="G1899" s="1">
        <f>qry_ProdData2_PDI_Cash_Exception_Application[[#This Row],[INSERT DATE]]+5</f>
        <v>45189.257071759261</v>
      </c>
      <c r="H1899" t="str">
        <f>VLOOKUP(qry_ProdData2_PDI_Cash_Exception_Application[[#This Row],[MARKET No]],'Site Allocation'!$B$2:$C$37,2,FALSE)</f>
        <v>Analyst3</v>
      </c>
      <c r="I1899" s="4">
        <f t="shared" ca="1" si="29"/>
        <v>45203</v>
      </c>
      <c r="J1899" s="42">
        <f ca="1">TODAY()-qry_ProdData2_PDI_Cash_Exception_Application[[#This Row],[INSERT DATE]]</f>
        <v>18.742928240739275</v>
      </c>
      <c r="K18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899">
        <f ca="1">qry_ProdData2_PDI_Cash_Exception_Application[[#This Row],[TODAY]]-qry_ProdData2_PDI_Cash_Exception_Application[[#This Row],[CHANGED ON]]</f>
        <v>13.742928240739275</v>
      </c>
      <c r="M1899">
        <f ca="1">qry_ProdData2_PDI_Cash_Exception_Application[[#This Row],[TODAY]]-qry_ProdData2_PDI_Cash_Exception_Application[[#This Row],[CHANGED ON]]</f>
        <v>13.742928240739275</v>
      </c>
      <c r="N1899">
        <f ca="1">qry_ProdData2_PDI_Cash_Exception_Application[[#This Row],[TODAY]]-qry_ProdData2_PDI_Cash_Exception_Application[[#This Row],[CHANGED ON]]</f>
        <v>13.742928240739275</v>
      </c>
    </row>
    <row r="1900" spans="1:14" x14ac:dyDescent="0.35">
      <c r="A1900">
        <v>1033</v>
      </c>
      <c r="B1900" t="s">
        <v>87</v>
      </c>
      <c r="C1900" s="1">
        <v>45190.257071759261</v>
      </c>
      <c r="D1900" t="str">
        <f ca="1">VLOOKUP(qry_ProdData2_PDI_Cash_Exception_Application[[#This Row],[TYPE]],#REF!,2,FALSE)</f>
        <v>type40</v>
      </c>
      <c r="E1900">
        <v>-528.61</v>
      </c>
      <c r="F1900" t="s">
        <v>52</v>
      </c>
      <c r="G1900" s="1">
        <f>qry_ProdData2_PDI_Cash_Exception_Application[[#This Row],[INSERT DATE]]+2</f>
        <v>45192.257071759261</v>
      </c>
      <c r="H1900" t="str">
        <f>VLOOKUP(qry_ProdData2_PDI_Cash_Exception_Application[[#This Row],[MARKET No]],'Site Allocation'!$B$2:$C$37,2,FALSE)</f>
        <v>Analyst6</v>
      </c>
      <c r="I1900" s="4">
        <f t="shared" ca="1" si="29"/>
        <v>45203</v>
      </c>
      <c r="J1900" s="42">
        <f ca="1">TODAY()-qry_ProdData2_PDI_Cash_Exception_Application[[#This Row],[INSERT DATE]]</f>
        <v>12.742928240739275</v>
      </c>
      <c r="K19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00">
        <f ca="1">qry_ProdData2_PDI_Cash_Exception_Application[[#This Row],[TODAY]]-qry_ProdData2_PDI_Cash_Exception_Application[[#This Row],[CHANGED ON]]</f>
        <v>10.742928240739275</v>
      </c>
      <c r="M1900">
        <f ca="1">qry_ProdData2_PDI_Cash_Exception_Application[[#This Row],[TODAY]]-qry_ProdData2_PDI_Cash_Exception_Application[[#This Row],[CHANGED ON]]</f>
        <v>10.742928240739275</v>
      </c>
      <c r="N1900">
        <f ca="1">qry_ProdData2_PDI_Cash_Exception_Application[[#This Row],[TODAY]]-qry_ProdData2_PDI_Cash_Exception_Application[[#This Row],[CHANGED ON]]</f>
        <v>10.742928240739275</v>
      </c>
    </row>
    <row r="1901" spans="1:14" x14ac:dyDescent="0.35">
      <c r="A1901">
        <v>1014</v>
      </c>
      <c r="B1901" t="s">
        <v>68</v>
      </c>
      <c r="C1901" s="1">
        <v>45186.257071759261</v>
      </c>
      <c r="D1901" t="str">
        <f ca="1">VLOOKUP(qry_ProdData2_PDI_Cash_Exception_Application[[#This Row],[TYPE]],#REF!,2,FALSE)</f>
        <v>type40</v>
      </c>
      <c r="E1901">
        <v>2958.17</v>
      </c>
      <c r="F1901" t="s">
        <v>48</v>
      </c>
      <c r="G1901" s="1">
        <f>qry_ProdData2_PDI_Cash_Exception_Application[[#This Row],[INSERT DATE]]+7</f>
        <v>45193.257071759261</v>
      </c>
      <c r="H1901" t="str">
        <f>VLOOKUP(qry_ProdData2_PDI_Cash_Exception_Application[[#This Row],[MARKET No]],'Site Allocation'!$B$2:$C$37,2,FALSE)</f>
        <v>Analyst3</v>
      </c>
      <c r="I1901" s="4">
        <f t="shared" ca="1" si="29"/>
        <v>45203</v>
      </c>
      <c r="J1901" s="42">
        <f ca="1">TODAY()-qry_ProdData2_PDI_Cash_Exception_Application[[#This Row],[INSERT DATE]]</f>
        <v>16.742928240739275</v>
      </c>
      <c r="K19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01">
        <f ca="1">qry_ProdData2_PDI_Cash_Exception_Application[[#This Row],[TODAY]]-qry_ProdData2_PDI_Cash_Exception_Application[[#This Row],[CHANGED ON]]</f>
        <v>9.7429282407392748</v>
      </c>
      <c r="M1901">
        <f ca="1">qry_ProdData2_PDI_Cash_Exception_Application[[#This Row],[TODAY]]-qry_ProdData2_PDI_Cash_Exception_Application[[#This Row],[CHANGED ON]]</f>
        <v>9.7429282407392748</v>
      </c>
      <c r="N1901">
        <f ca="1">qry_ProdData2_PDI_Cash_Exception_Application[[#This Row],[TODAY]]-qry_ProdData2_PDI_Cash_Exception_Application[[#This Row],[CHANGED ON]]</f>
        <v>9.7429282407392748</v>
      </c>
    </row>
    <row r="1902" spans="1:14" x14ac:dyDescent="0.35">
      <c r="A1902">
        <v>1012</v>
      </c>
      <c r="B1902" t="s">
        <v>66</v>
      </c>
      <c r="C1902" s="1">
        <v>45191.257071759261</v>
      </c>
      <c r="D1902" t="str">
        <f ca="1">VLOOKUP(qry_ProdData2_PDI_Cash_Exception_Application[[#This Row],[TYPE]],#REF!,2,FALSE)</f>
        <v>type40</v>
      </c>
      <c r="E1902">
        <v>-7499.93</v>
      </c>
      <c r="F1902" t="s">
        <v>50</v>
      </c>
      <c r="G1902" s="1">
        <f>qry_ProdData2_PDI_Cash_Exception_Application[[#This Row],[INSERT DATE]]+2</f>
        <v>45193.257071759261</v>
      </c>
      <c r="H1902" t="str">
        <f>VLOOKUP(qry_ProdData2_PDI_Cash_Exception_Application[[#This Row],[MARKET No]],'Site Allocation'!$B$2:$C$37,2,FALSE)</f>
        <v>Analyst3</v>
      </c>
      <c r="I1902" s="4">
        <f t="shared" ca="1" si="29"/>
        <v>45203</v>
      </c>
      <c r="J1902" s="42">
        <f ca="1">TODAY()-qry_ProdData2_PDI_Cash_Exception_Application[[#This Row],[INSERT DATE]]</f>
        <v>11.742928240739275</v>
      </c>
      <c r="K19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02">
        <f ca="1">qry_ProdData2_PDI_Cash_Exception_Application[[#This Row],[TODAY]]-qry_ProdData2_PDI_Cash_Exception_Application[[#This Row],[CHANGED ON]]</f>
        <v>9.7429282407392748</v>
      </c>
      <c r="M1902">
        <f ca="1">qry_ProdData2_PDI_Cash_Exception_Application[[#This Row],[TODAY]]-qry_ProdData2_PDI_Cash_Exception_Application[[#This Row],[CHANGED ON]]</f>
        <v>9.7429282407392748</v>
      </c>
      <c r="N1902">
        <f ca="1">qry_ProdData2_PDI_Cash_Exception_Application[[#This Row],[TODAY]]-qry_ProdData2_PDI_Cash_Exception_Application[[#This Row],[CHANGED ON]]</f>
        <v>9.7429282407392748</v>
      </c>
    </row>
    <row r="1903" spans="1:14" x14ac:dyDescent="0.35">
      <c r="A1903">
        <v>1012</v>
      </c>
      <c r="B1903" t="s">
        <v>66</v>
      </c>
      <c r="C1903" s="1">
        <v>45189.257071759261</v>
      </c>
      <c r="D1903" t="str">
        <f ca="1">VLOOKUP(qry_ProdData2_PDI_Cash_Exception_Application[[#This Row],[TYPE]],#REF!,2,FALSE)</f>
        <v>type19</v>
      </c>
      <c r="E1903">
        <v>305.27999999999997</v>
      </c>
      <c r="F1903" t="s">
        <v>48</v>
      </c>
      <c r="G1903" s="1">
        <f>qry_ProdData2_PDI_Cash_Exception_Application[[#This Row],[INSERT DATE]]+7</f>
        <v>45196.257071759261</v>
      </c>
      <c r="H1903" t="str">
        <f>VLOOKUP(qry_ProdData2_PDI_Cash_Exception_Application[[#This Row],[MARKET No]],'Site Allocation'!$B$2:$C$37,2,FALSE)</f>
        <v>Analyst3</v>
      </c>
      <c r="I1903" s="4">
        <f t="shared" ca="1" si="29"/>
        <v>45203</v>
      </c>
      <c r="J1903" s="42">
        <f ca="1">TODAY()-qry_ProdData2_PDI_Cash_Exception_Application[[#This Row],[INSERT DATE]]</f>
        <v>13.742928240739275</v>
      </c>
      <c r="K19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03">
        <f ca="1">qry_ProdData2_PDI_Cash_Exception_Application[[#This Row],[TODAY]]-qry_ProdData2_PDI_Cash_Exception_Application[[#This Row],[CHANGED ON]]</f>
        <v>6.7429282407392748</v>
      </c>
      <c r="M1903">
        <f ca="1">qry_ProdData2_PDI_Cash_Exception_Application[[#This Row],[TODAY]]-qry_ProdData2_PDI_Cash_Exception_Application[[#This Row],[CHANGED ON]]</f>
        <v>6.7429282407392748</v>
      </c>
      <c r="N1903">
        <f ca="1">qry_ProdData2_PDI_Cash_Exception_Application[[#This Row],[TODAY]]-qry_ProdData2_PDI_Cash_Exception_Application[[#This Row],[CHANGED ON]]</f>
        <v>6.7429282407392748</v>
      </c>
    </row>
    <row r="1904" spans="1:14" x14ac:dyDescent="0.35">
      <c r="A1904">
        <v>1032</v>
      </c>
      <c r="B1904" t="s">
        <v>86</v>
      </c>
      <c r="C1904" s="1">
        <v>45185.257071759261</v>
      </c>
      <c r="D1904" t="str">
        <f ca="1">VLOOKUP(qry_ProdData2_PDI_Cash_Exception_Application[[#This Row],[TYPE]],#REF!,2,FALSE)</f>
        <v>type40</v>
      </c>
      <c r="E1904">
        <v>990.24</v>
      </c>
      <c r="F1904" t="s">
        <v>47</v>
      </c>
      <c r="G1904" s="1">
        <f>qry_ProdData2_PDI_Cash_Exception_Application[[#This Row],[INSERT DATE]]+1</f>
        <v>45186.257071759261</v>
      </c>
      <c r="H1904" t="str">
        <f>VLOOKUP(qry_ProdData2_PDI_Cash_Exception_Application[[#This Row],[MARKET No]],'Site Allocation'!$B$2:$C$37,2,FALSE)</f>
        <v>Analyst6</v>
      </c>
      <c r="I1904" s="4">
        <f t="shared" ca="1" si="29"/>
        <v>45203</v>
      </c>
      <c r="J1904" s="42">
        <f ca="1">TODAY()-qry_ProdData2_PDI_Cash_Exception_Application[[#This Row],[INSERT DATE]]</f>
        <v>17.742928240739275</v>
      </c>
      <c r="K19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04">
        <f ca="1">qry_ProdData2_PDI_Cash_Exception_Application[[#This Row],[TODAY]]-qry_ProdData2_PDI_Cash_Exception_Application[[#This Row],[CHANGED ON]]</f>
        <v>16.742928240739275</v>
      </c>
      <c r="M1904">
        <f ca="1">qry_ProdData2_PDI_Cash_Exception_Application[[#This Row],[TODAY]]-qry_ProdData2_PDI_Cash_Exception_Application[[#This Row],[CHANGED ON]]</f>
        <v>16.742928240739275</v>
      </c>
      <c r="N1904">
        <f ca="1">qry_ProdData2_PDI_Cash_Exception_Application[[#This Row],[TODAY]]-qry_ProdData2_PDI_Cash_Exception_Application[[#This Row],[CHANGED ON]]</f>
        <v>16.742928240739275</v>
      </c>
    </row>
    <row r="1905" spans="1:14" x14ac:dyDescent="0.35">
      <c r="A1905">
        <v>1003</v>
      </c>
      <c r="B1905" t="s">
        <v>57</v>
      </c>
      <c r="C1905" s="1">
        <v>45189.257071759261</v>
      </c>
      <c r="D1905" t="str">
        <f ca="1">VLOOKUP(qry_ProdData2_PDI_Cash_Exception_Application[[#This Row],[TYPE]],#REF!,2,FALSE)</f>
        <v>type40</v>
      </c>
      <c r="E1905">
        <v>4224.13</v>
      </c>
      <c r="F1905" t="s">
        <v>47</v>
      </c>
      <c r="G1905" s="1">
        <f>qry_ProdData2_PDI_Cash_Exception_Application[[#This Row],[INSERT DATE]]+2</f>
        <v>45191.257071759261</v>
      </c>
      <c r="H1905" t="str">
        <f>VLOOKUP(qry_ProdData2_PDI_Cash_Exception_Application[[#This Row],[MARKET No]],'Site Allocation'!$B$2:$C$37,2,FALSE)</f>
        <v>Analyst1</v>
      </c>
      <c r="I1905" s="4">
        <f t="shared" ca="1" si="29"/>
        <v>45203</v>
      </c>
      <c r="J1905" s="42">
        <f ca="1">TODAY()-qry_ProdData2_PDI_Cash_Exception_Application[[#This Row],[INSERT DATE]]</f>
        <v>13.742928240739275</v>
      </c>
      <c r="K19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05">
        <f ca="1">qry_ProdData2_PDI_Cash_Exception_Application[[#This Row],[TODAY]]-qry_ProdData2_PDI_Cash_Exception_Application[[#This Row],[CHANGED ON]]</f>
        <v>11.742928240739275</v>
      </c>
      <c r="M1905">
        <f ca="1">qry_ProdData2_PDI_Cash_Exception_Application[[#This Row],[TODAY]]-qry_ProdData2_PDI_Cash_Exception_Application[[#This Row],[CHANGED ON]]</f>
        <v>11.742928240739275</v>
      </c>
      <c r="N1905">
        <f ca="1">qry_ProdData2_PDI_Cash_Exception_Application[[#This Row],[TODAY]]-qry_ProdData2_PDI_Cash_Exception_Application[[#This Row],[CHANGED ON]]</f>
        <v>11.742928240739275</v>
      </c>
    </row>
    <row r="1906" spans="1:14" x14ac:dyDescent="0.35">
      <c r="A1906">
        <v>1002</v>
      </c>
      <c r="B1906" t="s">
        <v>56</v>
      </c>
      <c r="C1906" s="1">
        <v>45192.257071759261</v>
      </c>
      <c r="D1906" t="str">
        <f ca="1">VLOOKUP(qry_ProdData2_PDI_Cash_Exception_Application[[#This Row],[TYPE]],#REF!,2,FALSE)</f>
        <v>type17</v>
      </c>
      <c r="E1906">
        <v>740.44</v>
      </c>
      <c r="F1906" t="s">
        <v>51</v>
      </c>
      <c r="G1906" s="1">
        <f>qry_ProdData2_PDI_Cash_Exception_Application[[#This Row],[INSERT DATE]]+2</f>
        <v>45194.257071759261</v>
      </c>
      <c r="H1906" t="str">
        <f>VLOOKUP(qry_ProdData2_PDI_Cash_Exception_Application[[#This Row],[MARKET No]],'Site Allocation'!$B$2:$C$37,2,FALSE)</f>
        <v>Analyst1</v>
      </c>
      <c r="I1906" s="4">
        <f t="shared" ca="1" si="29"/>
        <v>45203</v>
      </c>
      <c r="J1906" s="42">
        <f ca="1">TODAY()-qry_ProdData2_PDI_Cash_Exception_Application[[#This Row],[INSERT DATE]]</f>
        <v>10.742928240739275</v>
      </c>
      <c r="K19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06">
        <f ca="1">qry_ProdData2_PDI_Cash_Exception_Application[[#This Row],[TODAY]]-qry_ProdData2_PDI_Cash_Exception_Application[[#This Row],[CHANGED ON]]</f>
        <v>8.7429282407392748</v>
      </c>
      <c r="M1906">
        <f ca="1">qry_ProdData2_PDI_Cash_Exception_Application[[#This Row],[TODAY]]-qry_ProdData2_PDI_Cash_Exception_Application[[#This Row],[CHANGED ON]]</f>
        <v>8.7429282407392748</v>
      </c>
      <c r="N1906">
        <f ca="1">qry_ProdData2_PDI_Cash_Exception_Application[[#This Row],[TODAY]]-qry_ProdData2_PDI_Cash_Exception_Application[[#This Row],[CHANGED ON]]</f>
        <v>8.7429282407392748</v>
      </c>
    </row>
    <row r="1907" spans="1:14" x14ac:dyDescent="0.35">
      <c r="A1907">
        <v>1025</v>
      </c>
      <c r="B1907" t="s">
        <v>79</v>
      </c>
      <c r="C1907" s="1">
        <v>45190.257071759261</v>
      </c>
      <c r="D1907" t="str">
        <f ca="1">VLOOKUP(qry_ProdData2_PDI_Cash_Exception_Application[[#This Row],[TYPE]],#REF!,2,FALSE)</f>
        <v>type40</v>
      </c>
      <c r="E1907">
        <v>421.79</v>
      </c>
      <c r="F1907" t="s">
        <v>47</v>
      </c>
      <c r="G1907" s="1">
        <f>qry_ProdData2_PDI_Cash_Exception_Application[[#This Row],[INSERT DATE]]+2</f>
        <v>45192.257071759261</v>
      </c>
      <c r="H1907" t="str">
        <f>VLOOKUP(qry_ProdData2_PDI_Cash_Exception_Application[[#This Row],[MARKET No]],'Site Allocation'!$B$2:$C$37,2,FALSE)</f>
        <v>Analyst5</v>
      </c>
      <c r="I1907" s="4">
        <f t="shared" ca="1" si="29"/>
        <v>45203</v>
      </c>
      <c r="J1907" s="42">
        <f ca="1">TODAY()-qry_ProdData2_PDI_Cash_Exception_Application[[#This Row],[INSERT DATE]]</f>
        <v>12.742928240739275</v>
      </c>
      <c r="K19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07">
        <f ca="1">qry_ProdData2_PDI_Cash_Exception_Application[[#This Row],[TODAY]]-qry_ProdData2_PDI_Cash_Exception_Application[[#This Row],[CHANGED ON]]</f>
        <v>10.742928240739275</v>
      </c>
      <c r="M1907">
        <f ca="1">qry_ProdData2_PDI_Cash_Exception_Application[[#This Row],[TODAY]]-qry_ProdData2_PDI_Cash_Exception_Application[[#This Row],[CHANGED ON]]</f>
        <v>10.742928240739275</v>
      </c>
      <c r="N1907">
        <f ca="1">qry_ProdData2_PDI_Cash_Exception_Application[[#This Row],[TODAY]]-qry_ProdData2_PDI_Cash_Exception_Application[[#This Row],[CHANGED ON]]</f>
        <v>10.742928240739275</v>
      </c>
    </row>
    <row r="1908" spans="1:14" x14ac:dyDescent="0.35">
      <c r="A1908">
        <v>1012</v>
      </c>
      <c r="B1908" t="s">
        <v>66</v>
      </c>
      <c r="C1908" s="1">
        <v>45191.257071759261</v>
      </c>
      <c r="D1908" t="str">
        <f ca="1">VLOOKUP(qry_ProdData2_PDI_Cash_Exception_Application[[#This Row],[TYPE]],#REF!,2,FALSE)</f>
        <v>type13</v>
      </c>
      <c r="E1908">
        <v>74338.59</v>
      </c>
      <c r="F1908" t="s">
        <v>48</v>
      </c>
      <c r="G1908" s="1">
        <f>qry_ProdData2_PDI_Cash_Exception_Application[[#This Row],[INSERT DATE]]+7</f>
        <v>45198.257071759261</v>
      </c>
      <c r="H1908" t="str">
        <f>VLOOKUP(qry_ProdData2_PDI_Cash_Exception_Application[[#This Row],[MARKET No]],'Site Allocation'!$B$2:$C$37,2,FALSE)</f>
        <v>Analyst3</v>
      </c>
      <c r="I1908" s="4">
        <f t="shared" ca="1" si="29"/>
        <v>45203</v>
      </c>
      <c r="J1908" s="42">
        <f ca="1">TODAY()-qry_ProdData2_PDI_Cash_Exception_Application[[#This Row],[INSERT DATE]]</f>
        <v>11.742928240739275</v>
      </c>
      <c r="K19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08">
        <f ca="1">qry_ProdData2_PDI_Cash_Exception_Application[[#This Row],[TODAY]]-qry_ProdData2_PDI_Cash_Exception_Application[[#This Row],[CHANGED ON]]</f>
        <v>4.7429282407392748</v>
      </c>
      <c r="M1908">
        <f ca="1">qry_ProdData2_PDI_Cash_Exception_Application[[#This Row],[TODAY]]-qry_ProdData2_PDI_Cash_Exception_Application[[#This Row],[CHANGED ON]]</f>
        <v>4.7429282407392748</v>
      </c>
      <c r="N1908">
        <f ca="1">qry_ProdData2_PDI_Cash_Exception_Application[[#This Row],[TODAY]]-qry_ProdData2_PDI_Cash_Exception_Application[[#This Row],[CHANGED ON]]</f>
        <v>4.7429282407392748</v>
      </c>
    </row>
    <row r="1909" spans="1:14" x14ac:dyDescent="0.35">
      <c r="A1909">
        <v>1012</v>
      </c>
      <c r="B1909" t="s">
        <v>66</v>
      </c>
      <c r="C1909" s="1">
        <v>45185.257071759261</v>
      </c>
      <c r="D1909" t="str">
        <f ca="1">VLOOKUP(qry_ProdData2_PDI_Cash_Exception_Application[[#This Row],[TYPE]],#REF!,2,FALSE)</f>
        <v>type30</v>
      </c>
      <c r="E1909">
        <v>189.72</v>
      </c>
      <c r="F1909" t="s">
        <v>49</v>
      </c>
      <c r="G1909" s="1">
        <f>qry_ProdData2_PDI_Cash_Exception_Application[[#This Row],[INSERT DATE]]+2</f>
        <v>45187.257071759261</v>
      </c>
      <c r="H1909" t="str">
        <f>VLOOKUP(qry_ProdData2_PDI_Cash_Exception_Application[[#This Row],[MARKET No]],'Site Allocation'!$B$2:$C$37,2,FALSE)</f>
        <v>Analyst3</v>
      </c>
      <c r="I1909" s="4">
        <f t="shared" ca="1" si="29"/>
        <v>45203</v>
      </c>
      <c r="J1909" s="42">
        <f ca="1">TODAY()-qry_ProdData2_PDI_Cash_Exception_Application[[#This Row],[INSERT DATE]]</f>
        <v>17.742928240739275</v>
      </c>
      <c r="K19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09">
        <f ca="1">qry_ProdData2_PDI_Cash_Exception_Application[[#This Row],[TODAY]]-qry_ProdData2_PDI_Cash_Exception_Application[[#This Row],[CHANGED ON]]</f>
        <v>15.742928240739275</v>
      </c>
      <c r="M1909">
        <f ca="1">qry_ProdData2_PDI_Cash_Exception_Application[[#This Row],[TODAY]]-qry_ProdData2_PDI_Cash_Exception_Application[[#This Row],[CHANGED ON]]</f>
        <v>15.742928240739275</v>
      </c>
      <c r="N1909">
        <f ca="1">qry_ProdData2_PDI_Cash_Exception_Application[[#This Row],[TODAY]]-qry_ProdData2_PDI_Cash_Exception_Application[[#This Row],[CHANGED ON]]</f>
        <v>15.742928240739275</v>
      </c>
    </row>
    <row r="1910" spans="1:14" x14ac:dyDescent="0.35">
      <c r="A1910">
        <v>1030</v>
      </c>
      <c r="B1910" t="s">
        <v>84</v>
      </c>
      <c r="C1910" s="1">
        <v>45188.257071759261</v>
      </c>
      <c r="D1910" t="str">
        <f ca="1">VLOOKUP(qry_ProdData2_PDI_Cash_Exception_Application[[#This Row],[TYPE]],#REF!,2,FALSE)</f>
        <v>type35</v>
      </c>
      <c r="E1910">
        <v>642.20000000000005</v>
      </c>
      <c r="F1910" t="s">
        <v>49</v>
      </c>
      <c r="G1910" s="1">
        <f>qry_ProdData2_PDI_Cash_Exception_Application[[#This Row],[INSERT DATE]]+2</f>
        <v>45190.257071759261</v>
      </c>
      <c r="H1910" t="str">
        <f>VLOOKUP(qry_ProdData2_PDI_Cash_Exception_Application[[#This Row],[MARKET No]],'Site Allocation'!$B$2:$C$37,2,FALSE)</f>
        <v>Analyst6</v>
      </c>
      <c r="I1910" s="4">
        <f t="shared" ca="1" si="29"/>
        <v>45203</v>
      </c>
      <c r="J1910" s="42">
        <f ca="1">TODAY()-qry_ProdData2_PDI_Cash_Exception_Application[[#This Row],[INSERT DATE]]</f>
        <v>14.742928240739275</v>
      </c>
      <c r="K19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10">
        <f ca="1">qry_ProdData2_PDI_Cash_Exception_Application[[#This Row],[TODAY]]-qry_ProdData2_PDI_Cash_Exception_Application[[#This Row],[CHANGED ON]]</f>
        <v>12.742928240739275</v>
      </c>
      <c r="M1910">
        <f ca="1">qry_ProdData2_PDI_Cash_Exception_Application[[#This Row],[TODAY]]-qry_ProdData2_PDI_Cash_Exception_Application[[#This Row],[CHANGED ON]]</f>
        <v>12.742928240739275</v>
      </c>
      <c r="N1910">
        <f ca="1">qry_ProdData2_PDI_Cash_Exception_Application[[#This Row],[TODAY]]-qry_ProdData2_PDI_Cash_Exception_Application[[#This Row],[CHANGED ON]]</f>
        <v>12.742928240739275</v>
      </c>
    </row>
    <row r="1911" spans="1:14" x14ac:dyDescent="0.35">
      <c r="A1911">
        <v>1028</v>
      </c>
      <c r="B1911" t="s">
        <v>82</v>
      </c>
      <c r="C1911" s="1">
        <v>45182.257071759261</v>
      </c>
      <c r="D1911" t="str">
        <f ca="1">VLOOKUP(qry_ProdData2_PDI_Cash_Exception_Application[[#This Row],[TYPE]],#REF!,2,FALSE)</f>
        <v>type40</v>
      </c>
      <c r="E1911">
        <v>-783.93</v>
      </c>
      <c r="F1911" t="s">
        <v>49</v>
      </c>
      <c r="G1911" s="1">
        <f>qry_ProdData2_PDI_Cash_Exception_Application[[#This Row],[INSERT DATE]]+7</f>
        <v>45189.257071759261</v>
      </c>
      <c r="H1911" t="str">
        <f>VLOOKUP(qry_ProdData2_PDI_Cash_Exception_Application[[#This Row],[MARKET No]],'Site Allocation'!$B$2:$C$37,2,FALSE)</f>
        <v>Analyst5</v>
      </c>
      <c r="I1911" s="4">
        <f t="shared" ca="1" si="29"/>
        <v>45203</v>
      </c>
      <c r="J1911" s="42">
        <f ca="1">TODAY()-qry_ProdData2_PDI_Cash_Exception_Application[[#This Row],[INSERT DATE]]</f>
        <v>20.742928240739275</v>
      </c>
      <c r="K19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11">
        <f ca="1">qry_ProdData2_PDI_Cash_Exception_Application[[#This Row],[TODAY]]-qry_ProdData2_PDI_Cash_Exception_Application[[#This Row],[CHANGED ON]]</f>
        <v>13.742928240739275</v>
      </c>
      <c r="M1911">
        <f ca="1">qry_ProdData2_PDI_Cash_Exception_Application[[#This Row],[TODAY]]-qry_ProdData2_PDI_Cash_Exception_Application[[#This Row],[CHANGED ON]]</f>
        <v>13.742928240739275</v>
      </c>
      <c r="N1911">
        <f ca="1">qry_ProdData2_PDI_Cash_Exception_Application[[#This Row],[TODAY]]-qry_ProdData2_PDI_Cash_Exception_Application[[#This Row],[CHANGED ON]]</f>
        <v>13.742928240739275</v>
      </c>
    </row>
    <row r="1912" spans="1:14" x14ac:dyDescent="0.35">
      <c r="A1912">
        <v>1028</v>
      </c>
      <c r="B1912" t="s">
        <v>82</v>
      </c>
      <c r="C1912" s="1">
        <v>45187.257071759261</v>
      </c>
      <c r="D1912" t="str">
        <f ca="1">VLOOKUP(qry_ProdData2_PDI_Cash_Exception_Application[[#This Row],[TYPE]],#REF!,2,FALSE)</f>
        <v>type13</v>
      </c>
      <c r="E1912">
        <v>27254.73</v>
      </c>
      <c r="F1912" t="s">
        <v>51</v>
      </c>
      <c r="G1912" s="1">
        <f>qry_ProdData2_PDI_Cash_Exception_Application[[#This Row],[INSERT DATE]]+5</f>
        <v>45192.257071759261</v>
      </c>
      <c r="H1912" t="str">
        <f>VLOOKUP(qry_ProdData2_PDI_Cash_Exception_Application[[#This Row],[MARKET No]],'Site Allocation'!$B$2:$C$37,2,FALSE)</f>
        <v>Analyst5</v>
      </c>
      <c r="I1912" s="4">
        <f t="shared" ca="1" si="29"/>
        <v>45203</v>
      </c>
      <c r="J1912" s="42">
        <f ca="1">TODAY()-qry_ProdData2_PDI_Cash_Exception_Application[[#This Row],[INSERT DATE]]</f>
        <v>15.742928240739275</v>
      </c>
      <c r="K19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12">
        <f ca="1">qry_ProdData2_PDI_Cash_Exception_Application[[#This Row],[TODAY]]-qry_ProdData2_PDI_Cash_Exception_Application[[#This Row],[CHANGED ON]]</f>
        <v>10.742928240739275</v>
      </c>
      <c r="M1912">
        <f ca="1">qry_ProdData2_PDI_Cash_Exception_Application[[#This Row],[TODAY]]-qry_ProdData2_PDI_Cash_Exception_Application[[#This Row],[CHANGED ON]]</f>
        <v>10.742928240739275</v>
      </c>
      <c r="N1912">
        <f ca="1">qry_ProdData2_PDI_Cash_Exception_Application[[#This Row],[TODAY]]-qry_ProdData2_PDI_Cash_Exception_Application[[#This Row],[CHANGED ON]]</f>
        <v>10.742928240739275</v>
      </c>
    </row>
    <row r="1913" spans="1:14" x14ac:dyDescent="0.35">
      <c r="A1913">
        <v>1034</v>
      </c>
      <c r="B1913" t="s">
        <v>88</v>
      </c>
      <c r="C1913" s="1">
        <v>45192.257071759261</v>
      </c>
      <c r="D1913" t="str">
        <f ca="1">VLOOKUP(qry_ProdData2_PDI_Cash_Exception_Application[[#This Row],[TYPE]],#REF!,2,FALSE)</f>
        <v>type40</v>
      </c>
      <c r="E1913">
        <v>-4968.67</v>
      </c>
      <c r="F1913" t="s">
        <v>47</v>
      </c>
      <c r="G1913" s="1">
        <f>qry_ProdData2_PDI_Cash_Exception_Application[[#This Row],[INSERT DATE]]+5</f>
        <v>45197.257071759261</v>
      </c>
      <c r="H1913" t="str">
        <f>VLOOKUP(qry_ProdData2_PDI_Cash_Exception_Application[[#This Row],[MARKET No]],'Site Allocation'!$B$2:$C$37,2,FALSE)</f>
        <v>Analyst6</v>
      </c>
      <c r="I1913" s="4">
        <f t="shared" ca="1" si="29"/>
        <v>45203</v>
      </c>
      <c r="J1913" s="42">
        <f ca="1">TODAY()-qry_ProdData2_PDI_Cash_Exception_Application[[#This Row],[INSERT DATE]]</f>
        <v>10.742928240739275</v>
      </c>
      <c r="K19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13">
        <f ca="1">qry_ProdData2_PDI_Cash_Exception_Application[[#This Row],[TODAY]]-qry_ProdData2_PDI_Cash_Exception_Application[[#This Row],[CHANGED ON]]</f>
        <v>5.7429282407392748</v>
      </c>
      <c r="M1913">
        <f ca="1">qry_ProdData2_PDI_Cash_Exception_Application[[#This Row],[TODAY]]-qry_ProdData2_PDI_Cash_Exception_Application[[#This Row],[CHANGED ON]]</f>
        <v>5.7429282407392748</v>
      </c>
      <c r="N1913">
        <f ca="1">qry_ProdData2_PDI_Cash_Exception_Application[[#This Row],[TODAY]]-qry_ProdData2_PDI_Cash_Exception_Application[[#This Row],[CHANGED ON]]</f>
        <v>5.7429282407392748</v>
      </c>
    </row>
    <row r="1914" spans="1:14" x14ac:dyDescent="0.35">
      <c r="A1914">
        <v>1012</v>
      </c>
      <c r="B1914" t="s">
        <v>66</v>
      </c>
      <c r="C1914" s="1">
        <v>45187.257071759261</v>
      </c>
      <c r="D1914" t="str">
        <f ca="1">VLOOKUP(qry_ProdData2_PDI_Cash_Exception_Application[[#This Row],[TYPE]],#REF!,2,FALSE)</f>
        <v>type13</v>
      </c>
      <c r="E1914">
        <v>23358.35</v>
      </c>
      <c r="F1914" t="s">
        <v>51</v>
      </c>
      <c r="G1914" s="1">
        <f>qry_ProdData2_PDI_Cash_Exception_Application[[#This Row],[INSERT DATE]]+5</f>
        <v>45192.257071759261</v>
      </c>
      <c r="H1914" t="str">
        <f>VLOOKUP(qry_ProdData2_PDI_Cash_Exception_Application[[#This Row],[MARKET No]],'Site Allocation'!$B$2:$C$37,2,FALSE)</f>
        <v>Analyst3</v>
      </c>
      <c r="I1914" s="4">
        <f t="shared" ca="1" si="29"/>
        <v>45203</v>
      </c>
      <c r="J1914" s="42">
        <f ca="1">TODAY()-qry_ProdData2_PDI_Cash_Exception_Application[[#This Row],[INSERT DATE]]</f>
        <v>15.742928240739275</v>
      </c>
      <c r="K19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14">
        <f ca="1">qry_ProdData2_PDI_Cash_Exception_Application[[#This Row],[TODAY]]-qry_ProdData2_PDI_Cash_Exception_Application[[#This Row],[CHANGED ON]]</f>
        <v>10.742928240739275</v>
      </c>
      <c r="M1914">
        <f ca="1">qry_ProdData2_PDI_Cash_Exception_Application[[#This Row],[TODAY]]-qry_ProdData2_PDI_Cash_Exception_Application[[#This Row],[CHANGED ON]]</f>
        <v>10.742928240739275</v>
      </c>
      <c r="N1914">
        <f ca="1">qry_ProdData2_PDI_Cash_Exception_Application[[#This Row],[TODAY]]-qry_ProdData2_PDI_Cash_Exception_Application[[#This Row],[CHANGED ON]]</f>
        <v>10.742928240739275</v>
      </c>
    </row>
    <row r="1915" spans="1:14" x14ac:dyDescent="0.35">
      <c r="A1915">
        <v>1022</v>
      </c>
      <c r="B1915" t="s">
        <v>76</v>
      </c>
      <c r="C1915" s="1">
        <v>45186.257071759261</v>
      </c>
      <c r="D1915" t="str">
        <f ca="1">VLOOKUP(qry_ProdData2_PDI_Cash_Exception_Application[[#This Row],[TYPE]],#REF!,2,FALSE)</f>
        <v>type40</v>
      </c>
      <c r="E1915">
        <v>2891.42</v>
      </c>
      <c r="F1915" t="s">
        <v>47</v>
      </c>
      <c r="G1915" s="1">
        <f>qry_ProdData2_PDI_Cash_Exception_Application[[#This Row],[INSERT DATE]]+7</f>
        <v>45193.257071759261</v>
      </c>
      <c r="H1915" t="str">
        <f>VLOOKUP(qry_ProdData2_PDI_Cash_Exception_Application[[#This Row],[MARKET No]],'Site Allocation'!$B$2:$C$37,2,FALSE)</f>
        <v>Analyst4</v>
      </c>
      <c r="I1915" s="4">
        <f t="shared" ca="1" si="29"/>
        <v>45203</v>
      </c>
      <c r="J1915" s="42">
        <f ca="1">TODAY()-qry_ProdData2_PDI_Cash_Exception_Application[[#This Row],[INSERT DATE]]</f>
        <v>16.742928240739275</v>
      </c>
      <c r="K19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15">
        <f ca="1">qry_ProdData2_PDI_Cash_Exception_Application[[#This Row],[TODAY]]-qry_ProdData2_PDI_Cash_Exception_Application[[#This Row],[CHANGED ON]]</f>
        <v>9.7429282407392748</v>
      </c>
      <c r="M1915">
        <f ca="1">qry_ProdData2_PDI_Cash_Exception_Application[[#This Row],[TODAY]]-qry_ProdData2_PDI_Cash_Exception_Application[[#This Row],[CHANGED ON]]</f>
        <v>9.7429282407392748</v>
      </c>
      <c r="N1915">
        <f ca="1">qry_ProdData2_PDI_Cash_Exception_Application[[#This Row],[TODAY]]-qry_ProdData2_PDI_Cash_Exception_Application[[#This Row],[CHANGED ON]]</f>
        <v>9.7429282407392748</v>
      </c>
    </row>
    <row r="1916" spans="1:14" x14ac:dyDescent="0.35">
      <c r="A1916">
        <v>1024</v>
      </c>
      <c r="B1916" t="s">
        <v>78</v>
      </c>
      <c r="C1916" s="1">
        <v>45190.257071759261</v>
      </c>
      <c r="D1916" t="str">
        <f ca="1">VLOOKUP(qry_ProdData2_PDI_Cash_Exception_Application[[#This Row],[TYPE]],#REF!,2,FALSE)</f>
        <v>type40</v>
      </c>
      <c r="E1916">
        <v>876.96</v>
      </c>
      <c r="F1916" t="s">
        <v>50</v>
      </c>
      <c r="G1916" s="1">
        <f>qry_ProdData2_PDI_Cash_Exception_Application[[#This Row],[INSERT DATE]]+5</f>
        <v>45195.257071759261</v>
      </c>
      <c r="H1916" t="str">
        <f>VLOOKUP(qry_ProdData2_PDI_Cash_Exception_Application[[#This Row],[MARKET No]],'Site Allocation'!$B$2:$C$37,2,FALSE)</f>
        <v>Analyst5</v>
      </c>
      <c r="I1916" s="4">
        <f t="shared" ca="1" si="29"/>
        <v>45203</v>
      </c>
      <c r="J1916" s="42">
        <f ca="1">TODAY()-qry_ProdData2_PDI_Cash_Exception_Application[[#This Row],[INSERT DATE]]</f>
        <v>12.742928240739275</v>
      </c>
      <c r="K19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16">
        <f ca="1">qry_ProdData2_PDI_Cash_Exception_Application[[#This Row],[TODAY]]-qry_ProdData2_PDI_Cash_Exception_Application[[#This Row],[CHANGED ON]]</f>
        <v>7.7429282407392748</v>
      </c>
      <c r="M1916">
        <f ca="1">qry_ProdData2_PDI_Cash_Exception_Application[[#This Row],[TODAY]]-qry_ProdData2_PDI_Cash_Exception_Application[[#This Row],[CHANGED ON]]</f>
        <v>7.7429282407392748</v>
      </c>
      <c r="N1916">
        <f ca="1">qry_ProdData2_PDI_Cash_Exception_Application[[#This Row],[TODAY]]-qry_ProdData2_PDI_Cash_Exception_Application[[#This Row],[CHANGED ON]]</f>
        <v>7.7429282407392748</v>
      </c>
    </row>
    <row r="1917" spans="1:14" x14ac:dyDescent="0.35">
      <c r="A1917">
        <v>1003</v>
      </c>
      <c r="B1917" t="s">
        <v>57</v>
      </c>
      <c r="C1917" s="1">
        <v>45182.257071759261</v>
      </c>
      <c r="D1917" t="str">
        <f ca="1">VLOOKUP(qry_ProdData2_PDI_Cash_Exception_Application[[#This Row],[TYPE]],#REF!,2,FALSE)</f>
        <v>type48</v>
      </c>
      <c r="E1917">
        <v>561.1</v>
      </c>
      <c r="F1917" t="s">
        <v>48</v>
      </c>
      <c r="G1917" s="1">
        <f>qry_ProdData2_PDI_Cash_Exception_Application[[#This Row],[INSERT DATE]]+1</f>
        <v>45183.257071759261</v>
      </c>
      <c r="H1917" t="str">
        <f>VLOOKUP(qry_ProdData2_PDI_Cash_Exception_Application[[#This Row],[MARKET No]],'Site Allocation'!$B$2:$C$37,2,FALSE)</f>
        <v>Analyst1</v>
      </c>
      <c r="I1917" s="4">
        <f t="shared" ca="1" si="29"/>
        <v>45203</v>
      </c>
      <c r="J1917" s="42">
        <f ca="1">TODAY()-qry_ProdData2_PDI_Cash_Exception_Application[[#This Row],[INSERT DATE]]</f>
        <v>20.742928240739275</v>
      </c>
      <c r="K19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17">
        <f ca="1">qry_ProdData2_PDI_Cash_Exception_Application[[#This Row],[TODAY]]-qry_ProdData2_PDI_Cash_Exception_Application[[#This Row],[CHANGED ON]]</f>
        <v>19.742928240739275</v>
      </c>
      <c r="M1917">
        <f ca="1">qry_ProdData2_PDI_Cash_Exception_Application[[#This Row],[TODAY]]-qry_ProdData2_PDI_Cash_Exception_Application[[#This Row],[CHANGED ON]]</f>
        <v>19.742928240739275</v>
      </c>
      <c r="N1917">
        <f ca="1">qry_ProdData2_PDI_Cash_Exception_Application[[#This Row],[TODAY]]-qry_ProdData2_PDI_Cash_Exception_Application[[#This Row],[CHANGED ON]]</f>
        <v>19.742928240739275</v>
      </c>
    </row>
    <row r="1918" spans="1:14" x14ac:dyDescent="0.35">
      <c r="A1918">
        <v>1001</v>
      </c>
      <c r="B1918" t="s">
        <v>55</v>
      </c>
      <c r="C1918" s="1">
        <v>45191.257071759261</v>
      </c>
      <c r="D1918" t="str">
        <f ca="1">VLOOKUP(qry_ProdData2_PDI_Cash_Exception_Application[[#This Row],[TYPE]],#REF!,2,FALSE)</f>
        <v>type40</v>
      </c>
      <c r="E1918">
        <v>1257.05</v>
      </c>
      <c r="F1918" t="s">
        <v>52</v>
      </c>
      <c r="G1918" s="1">
        <f>qry_ProdData2_PDI_Cash_Exception_Application[[#This Row],[INSERT DATE]]+5</f>
        <v>45196.257071759261</v>
      </c>
      <c r="H1918" t="str">
        <f>VLOOKUP(qry_ProdData2_PDI_Cash_Exception_Application[[#This Row],[MARKET No]],'Site Allocation'!$B$2:$C$37,2,FALSE)</f>
        <v>Analyst1</v>
      </c>
      <c r="I1918" s="4">
        <f t="shared" ca="1" si="29"/>
        <v>45203</v>
      </c>
      <c r="J1918" s="42">
        <f ca="1">TODAY()-qry_ProdData2_PDI_Cash_Exception_Application[[#This Row],[INSERT DATE]]</f>
        <v>11.742928240739275</v>
      </c>
      <c r="K19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18">
        <f ca="1">qry_ProdData2_PDI_Cash_Exception_Application[[#This Row],[TODAY]]-qry_ProdData2_PDI_Cash_Exception_Application[[#This Row],[CHANGED ON]]</f>
        <v>6.7429282407392748</v>
      </c>
      <c r="M1918">
        <f ca="1">qry_ProdData2_PDI_Cash_Exception_Application[[#This Row],[TODAY]]-qry_ProdData2_PDI_Cash_Exception_Application[[#This Row],[CHANGED ON]]</f>
        <v>6.7429282407392748</v>
      </c>
      <c r="N1918">
        <f ca="1">qry_ProdData2_PDI_Cash_Exception_Application[[#This Row],[TODAY]]-qry_ProdData2_PDI_Cash_Exception_Application[[#This Row],[CHANGED ON]]</f>
        <v>6.7429282407392748</v>
      </c>
    </row>
    <row r="1919" spans="1:14" x14ac:dyDescent="0.35">
      <c r="A1919">
        <v>1031</v>
      </c>
      <c r="B1919" t="s">
        <v>85</v>
      </c>
      <c r="C1919" s="1">
        <v>45192.257071759261</v>
      </c>
      <c r="D1919" t="str">
        <f ca="1">VLOOKUP(qry_ProdData2_PDI_Cash_Exception_Application[[#This Row],[TYPE]],#REF!,2,FALSE)</f>
        <v>type40</v>
      </c>
      <c r="E1919">
        <v>643.66999999999996</v>
      </c>
      <c r="F1919" t="s">
        <v>52</v>
      </c>
      <c r="G1919" s="1">
        <f>qry_ProdData2_PDI_Cash_Exception_Application[[#This Row],[INSERT DATE]]+5</f>
        <v>45197.257071759261</v>
      </c>
      <c r="H1919" t="str">
        <f>VLOOKUP(qry_ProdData2_PDI_Cash_Exception_Application[[#This Row],[MARKET No]],'Site Allocation'!$B$2:$C$37,2,FALSE)</f>
        <v>Analyst6</v>
      </c>
      <c r="I1919" s="4">
        <f t="shared" ca="1" si="29"/>
        <v>45203</v>
      </c>
      <c r="J1919" s="42">
        <f ca="1">TODAY()-qry_ProdData2_PDI_Cash_Exception_Application[[#This Row],[INSERT DATE]]</f>
        <v>10.742928240739275</v>
      </c>
      <c r="K19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19">
        <f ca="1">qry_ProdData2_PDI_Cash_Exception_Application[[#This Row],[TODAY]]-qry_ProdData2_PDI_Cash_Exception_Application[[#This Row],[CHANGED ON]]</f>
        <v>5.7429282407392748</v>
      </c>
      <c r="M1919">
        <f ca="1">qry_ProdData2_PDI_Cash_Exception_Application[[#This Row],[TODAY]]-qry_ProdData2_PDI_Cash_Exception_Application[[#This Row],[CHANGED ON]]</f>
        <v>5.7429282407392748</v>
      </c>
      <c r="N1919">
        <f ca="1">qry_ProdData2_PDI_Cash_Exception_Application[[#This Row],[TODAY]]-qry_ProdData2_PDI_Cash_Exception_Application[[#This Row],[CHANGED ON]]</f>
        <v>5.7429282407392748</v>
      </c>
    </row>
    <row r="1920" spans="1:14" x14ac:dyDescent="0.35">
      <c r="A1920">
        <v>1017</v>
      </c>
      <c r="B1920" t="s">
        <v>71</v>
      </c>
      <c r="C1920" s="1">
        <v>45193.257071759261</v>
      </c>
      <c r="D1920" t="str">
        <f ca="1">VLOOKUP(qry_ProdData2_PDI_Cash_Exception_Application[[#This Row],[TYPE]],#REF!,2,FALSE)</f>
        <v>type1</v>
      </c>
      <c r="E1920">
        <v>12</v>
      </c>
      <c r="F1920" t="s">
        <v>52</v>
      </c>
      <c r="G1920" s="1">
        <f>qry_ProdData2_PDI_Cash_Exception_Application[[#This Row],[INSERT DATE]]+5</f>
        <v>45198.257071759261</v>
      </c>
      <c r="H1920" t="str">
        <f>VLOOKUP(qry_ProdData2_PDI_Cash_Exception_Application[[#This Row],[MARKET No]],'Site Allocation'!$B$2:$C$37,2,FALSE)</f>
        <v>Analyst3</v>
      </c>
      <c r="I1920" s="4">
        <f t="shared" ca="1" si="29"/>
        <v>45203</v>
      </c>
      <c r="J1920" s="42">
        <f ca="1">TODAY()-qry_ProdData2_PDI_Cash_Exception_Application[[#This Row],[INSERT DATE]]</f>
        <v>9.7429282407392748</v>
      </c>
      <c r="K19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20">
        <f ca="1">qry_ProdData2_PDI_Cash_Exception_Application[[#This Row],[TODAY]]-qry_ProdData2_PDI_Cash_Exception_Application[[#This Row],[CHANGED ON]]</f>
        <v>4.7429282407392748</v>
      </c>
      <c r="M1920">
        <f ca="1">qry_ProdData2_PDI_Cash_Exception_Application[[#This Row],[TODAY]]-qry_ProdData2_PDI_Cash_Exception_Application[[#This Row],[CHANGED ON]]</f>
        <v>4.7429282407392748</v>
      </c>
      <c r="N1920">
        <f ca="1">qry_ProdData2_PDI_Cash_Exception_Application[[#This Row],[TODAY]]-qry_ProdData2_PDI_Cash_Exception_Application[[#This Row],[CHANGED ON]]</f>
        <v>4.7429282407392748</v>
      </c>
    </row>
    <row r="1921" spans="1:14" x14ac:dyDescent="0.35">
      <c r="A1921">
        <v>1020</v>
      </c>
      <c r="B1921" t="s">
        <v>74</v>
      </c>
      <c r="C1921" s="1">
        <v>45194.257071759261</v>
      </c>
      <c r="D1921" t="str">
        <f ca="1">VLOOKUP(qry_ProdData2_PDI_Cash_Exception_Application[[#This Row],[TYPE]],#REF!,2,FALSE)</f>
        <v>type40</v>
      </c>
      <c r="E1921">
        <v>343.19</v>
      </c>
      <c r="F1921" t="s">
        <v>50</v>
      </c>
      <c r="G1921" s="1">
        <f>qry_ProdData2_PDI_Cash_Exception_Application[[#This Row],[INSERT DATE]]+5</f>
        <v>45199.257071759261</v>
      </c>
      <c r="H1921" t="str">
        <f>VLOOKUP(qry_ProdData2_PDI_Cash_Exception_Application[[#This Row],[MARKET No]],'Site Allocation'!$B$2:$C$37,2,FALSE)</f>
        <v>Analyst4</v>
      </c>
      <c r="I1921" s="4">
        <f t="shared" ca="1" si="29"/>
        <v>45203</v>
      </c>
      <c r="J1921" s="42">
        <f ca="1">TODAY()-qry_ProdData2_PDI_Cash_Exception_Application[[#This Row],[INSERT DATE]]</f>
        <v>8.7429282407392748</v>
      </c>
      <c r="K19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921">
        <f ca="1">qry_ProdData2_PDI_Cash_Exception_Application[[#This Row],[TODAY]]-qry_ProdData2_PDI_Cash_Exception_Application[[#This Row],[CHANGED ON]]</f>
        <v>3.7429282407392748</v>
      </c>
      <c r="M1921">
        <f ca="1">qry_ProdData2_PDI_Cash_Exception_Application[[#This Row],[TODAY]]-qry_ProdData2_PDI_Cash_Exception_Application[[#This Row],[CHANGED ON]]</f>
        <v>3.7429282407392748</v>
      </c>
      <c r="N1921">
        <f ca="1">qry_ProdData2_PDI_Cash_Exception_Application[[#This Row],[TODAY]]-qry_ProdData2_PDI_Cash_Exception_Application[[#This Row],[CHANGED ON]]</f>
        <v>3.7429282407392748</v>
      </c>
    </row>
    <row r="1922" spans="1:14" x14ac:dyDescent="0.35">
      <c r="A1922">
        <v>1033</v>
      </c>
      <c r="B1922" t="s">
        <v>87</v>
      </c>
      <c r="C1922" s="1">
        <v>45183.257071759261</v>
      </c>
      <c r="D1922" t="str">
        <f ca="1">VLOOKUP(qry_ProdData2_PDI_Cash_Exception_Application[[#This Row],[TYPE]],#REF!,2,FALSE)</f>
        <v>type40</v>
      </c>
      <c r="E1922">
        <v>449.28</v>
      </c>
      <c r="F1922" t="s">
        <v>49</v>
      </c>
      <c r="G1922" s="1">
        <f>qry_ProdData2_PDI_Cash_Exception_Application[[#This Row],[INSERT DATE]]+7</f>
        <v>45190.257071759261</v>
      </c>
      <c r="H1922" t="str">
        <f>VLOOKUP(qry_ProdData2_PDI_Cash_Exception_Application[[#This Row],[MARKET No]],'Site Allocation'!$B$2:$C$37,2,FALSE)</f>
        <v>Analyst6</v>
      </c>
      <c r="I1922" s="4">
        <f t="shared" ref="I1922:I1985" ca="1" si="30">TODAY()</f>
        <v>45203</v>
      </c>
      <c r="J1922" s="42">
        <f ca="1">TODAY()-qry_ProdData2_PDI_Cash_Exception_Application[[#This Row],[INSERT DATE]]</f>
        <v>19.742928240739275</v>
      </c>
      <c r="K19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22">
        <f ca="1">qry_ProdData2_PDI_Cash_Exception_Application[[#This Row],[TODAY]]-qry_ProdData2_PDI_Cash_Exception_Application[[#This Row],[CHANGED ON]]</f>
        <v>12.742928240739275</v>
      </c>
      <c r="M1922">
        <f ca="1">qry_ProdData2_PDI_Cash_Exception_Application[[#This Row],[TODAY]]-qry_ProdData2_PDI_Cash_Exception_Application[[#This Row],[CHANGED ON]]</f>
        <v>12.742928240739275</v>
      </c>
      <c r="N1922">
        <f ca="1">qry_ProdData2_PDI_Cash_Exception_Application[[#This Row],[TODAY]]-qry_ProdData2_PDI_Cash_Exception_Application[[#This Row],[CHANGED ON]]</f>
        <v>12.742928240739275</v>
      </c>
    </row>
    <row r="1923" spans="1:14" x14ac:dyDescent="0.35">
      <c r="A1923">
        <v>1022</v>
      </c>
      <c r="B1923" t="s">
        <v>76</v>
      </c>
      <c r="C1923" s="1">
        <v>45183.257071759261</v>
      </c>
      <c r="D1923" t="str">
        <f ca="1">VLOOKUP(qry_ProdData2_PDI_Cash_Exception_Application[[#This Row],[TYPE]],#REF!,2,FALSE)</f>
        <v>type40</v>
      </c>
      <c r="E1923">
        <v>1</v>
      </c>
      <c r="F1923" t="s">
        <v>49</v>
      </c>
      <c r="G1923" s="1">
        <f>qry_ProdData2_PDI_Cash_Exception_Application[[#This Row],[INSERT DATE]]+7</f>
        <v>45190.257071759261</v>
      </c>
      <c r="H1923" t="str">
        <f>VLOOKUP(qry_ProdData2_PDI_Cash_Exception_Application[[#This Row],[MARKET No]],'Site Allocation'!$B$2:$C$37,2,FALSE)</f>
        <v>Analyst4</v>
      </c>
      <c r="I1923" s="4">
        <f t="shared" ca="1" si="30"/>
        <v>45203</v>
      </c>
      <c r="J1923" s="42">
        <f ca="1">TODAY()-qry_ProdData2_PDI_Cash_Exception_Application[[#This Row],[INSERT DATE]]</f>
        <v>19.742928240739275</v>
      </c>
      <c r="K19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23">
        <f ca="1">qry_ProdData2_PDI_Cash_Exception_Application[[#This Row],[TODAY]]-qry_ProdData2_PDI_Cash_Exception_Application[[#This Row],[CHANGED ON]]</f>
        <v>12.742928240739275</v>
      </c>
      <c r="M1923">
        <f ca="1">qry_ProdData2_PDI_Cash_Exception_Application[[#This Row],[TODAY]]-qry_ProdData2_PDI_Cash_Exception_Application[[#This Row],[CHANGED ON]]</f>
        <v>12.742928240739275</v>
      </c>
      <c r="N1923">
        <f ca="1">qry_ProdData2_PDI_Cash_Exception_Application[[#This Row],[TODAY]]-qry_ProdData2_PDI_Cash_Exception_Application[[#This Row],[CHANGED ON]]</f>
        <v>12.742928240739275</v>
      </c>
    </row>
    <row r="1924" spans="1:14" x14ac:dyDescent="0.35">
      <c r="A1924">
        <v>1034</v>
      </c>
      <c r="B1924" t="s">
        <v>88</v>
      </c>
      <c r="C1924" s="1">
        <v>45187.257071759261</v>
      </c>
      <c r="D1924" t="str">
        <f ca="1">VLOOKUP(qry_ProdData2_PDI_Cash_Exception_Application[[#This Row],[TYPE]],#REF!,2,FALSE)</f>
        <v>type40</v>
      </c>
      <c r="E1924">
        <v>-1075.97</v>
      </c>
      <c r="F1924" t="s">
        <v>47</v>
      </c>
      <c r="G1924" s="1">
        <f>qry_ProdData2_PDI_Cash_Exception_Application[[#This Row],[INSERT DATE]]+7</f>
        <v>45194.257071759261</v>
      </c>
      <c r="H1924" t="str">
        <f>VLOOKUP(qry_ProdData2_PDI_Cash_Exception_Application[[#This Row],[MARKET No]],'Site Allocation'!$B$2:$C$37,2,FALSE)</f>
        <v>Analyst6</v>
      </c>
      <c r="I1924" s="4">
        <f t="shared" ca="1" si="30"/>
        <v>45203</v>
      </c>
      <c r="J1924" s="42">
        <f ca="1">TODAY()-qry_ProdData2_PDI_Cash_Exception_Application[[#This Row],[INSERT DATE]]</f>
        <v>15.742928240739275</v>
      </c>
      <c r="K19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24">
        <f ca="1">qry_ProdData2_PDI_Cash_Exception_Application[[#This Row],[TODAY]]-qry_ProdData2_PDI_Cash_Exception_Application[[#This Row],[CHANGED ON]]</f>
        <v>8.7429282407392748</v>
      </c>
      <c r="M1924">
        <f ca="1">qry_ProdData2_PDI_Cash_Exception_Application[[#This Row],[TODAY]]-qry_ProdData2_PDI_Cash_Exception_Application[[#This Row],[CHANGED ON]]</f>
        <v>8.7429282407392748</v>
      </c>
      <c r="N1924">
        <f ca="1">qry_ProdData2_PDI_Cash_Exception_Application[[#This Row],[TODAY]]-qry_ProdData2_PDI_Cash_Exception_Application[[#This Row],[CHANGED ON]]</f>
        <v>8.7429282407392748</v>
      </c>
    </row>
    <row r="1925" spans="1:14" x14ac:dyDescent="0.35">
      <c r="A1925">
        <v>1025</v>
      </c>
      <c r="B1925" t="s">
        <v>79</v>
      </c>
      <c r="C1925" s="1">
        <v>45184.257071759261</v>
      </c>
      <c r="D1925" t="str">
        <f ca="1">VLOOKUP(qry_ProdData2_PDI_Cash_Exception_Application[[#This Row],[TYPE]],#REF!,2,FALSE)</f>
        <v>type40</v>
      </c>
      <c r="E1925">
        <v>-11405.07</v>
      </c>
      <c r="F1925" t="s">
        <v>49</v>
      </c>
      <c r="G1925" s="1">
        <f>qry_ProdData2_PDI_Cash_Exception_Application[[#This Row],[INSERT DATE]]+7</f>
        <v>45191.257071759261</v>
      </c>
      <c r="H1925" t="str">
        <f>VLOOKUP(qry_ProdData2_PDI_Cash_Exception_Application[[#This Row],[MARKET No]],'Site Allocation'!$B$2:$C$37,2,FALSE)</f>
        <v>Analyst5</v>
      </c>
      <c r="I1925" s="4">
        <f t="shared" ca="1" si="30"/>
        <v>45203</v>
      </c>
      <c r="J1925" s="42">
        <f ca="1">TODAY()-qry_ProdData2_PDI_Cash_Exception_Application[[#This Row],[INSERT DATE]]</f>
        <v>18.742928240739275</v>
      </c>
      <c r="K19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25">
        <f ca="1">qry_ProdData2_PDI_Cash_Exception_Application[[#This Row],[TODAY]]-qry_ProdData2_PDI_Cash_Exception_Application[[#This Row],[CHANGED ON]]</f>
        <v>11.742928240739275</v>
      </c>
      <c r="M1925">
        <f ca="1">qry_ProdData2_PDI_Cash_Exception_Application[[#This Row],[TODAY]]-qry_ProdData2_PDI_Cash_Exception_Application[[#This Row],[CHANGED ON]]</f>
        <v>11.742928240739275</v>
      </c>
      <c r="N1925">
        <f ca="1">qry_ProdData2_PDI_Cash_Exception_Application[[#This Row],[TODAY]]-qry_ProdData2_PDI_Cash_Exception_Application[[#This Row],[CHANGED ON]]</f>
        <v>11.742928240739275</v>
      </c>
    </row>
    <row r="1926" spans="1:14" x14ac:dyDescent="0.35">
      <c r="A1926">
        <v>1013</v>
      </c>
      <c r="B1926" t="s">
        <v>67</v>
      </c>
      <c r="C1926" s="1">
        <v>45180.257071759261</v>
      </c>
      <c r="D1926" t="str">
        <f ca="1">VLOOKUP(qry_ProdData2_PDI_Cash_Exception_Application[[#This Row],[TYPE]],#REF!,2,FALSE)</f>
        <v>type40</v>
      </c>
      <c r="E1926">
        <v>466.78</v>
      </c>
      <c r="F1926" t="s">
        <v>52</v>
      </c>
      <c r="G1926" s="1">
        <f>qry_ProdData2_PDI_Cash_Exception_Application[[#This Row],[INSERT DATE]]+7</f>
        <v>45187.257071759261</v>
      </c>
      <c r="H1926" t="str">
        <f>VLOOKUP(qry_ProdData2_PDI_Cash_Exception_Application[[#This Row],[MARKET No]],'Site Allocation'!$B$2:$C$37,2,FALSE)</f>
        <v>Analyst3</v>
      </c>
      <c r="I1926" s="4">
        <f t="shared" ca="1" si="30"/>
        <v>45203</v>
      </c>
      <c r="J1926" s="42">
        <f ca="1">TODAY()-qry_ProdData2_PDI_Cash_Exception_Application[[#This Row],[INSERT DATE]]</f>
        <v>22.742928240739275</v>
      </c>
      <c r="K19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26">
        <f ca="1">qry_ProdData2_PDI_Cash_Exception_Application[[#This Row],[TODAY]]-qry_ProdData2_PDI_Cash_Exception_Application[[#This Row],[CHANGED ON]]</f>
        <v>15.742928240739275</v>
      </c>
      <c r="M1926">
        <f ca="1">qry_ProdData2_PDI_Cash_Exception_Application[[#This Row],[TODAY]]-qry_ProdData2_PDI_Cash_Exception_Application[[#This Row],[CHANGED ON]]</f>
        <v>15.742928240739275</v>
      </c>
      <c r="N1926">
        <f ca="1">qry_ProdData2_PDI_Cash_Exception_Application[[#This Row],[TODAY]]-qry_ProdData2_PDI_Cash_Exception_Application[[#This Row],[CHANGED ON]]</f>
        <v>15.742928240739275</v>
      </c>
    </row>
    <row r="1927" spans="1:14" x14ac:dyDescent="0.35">
      <c r="A1927">
        <v>1015</v>
      </c>
      <c r="B1927" t="s">
        <v>69</v>
      </c>
      <c r="C1927" s="1">
        <v>45181.257071759261</v>
      </c>
      <c r="D1927" t="str">
        <f ca="1">VLOOKUP(qry_ProdData2_PDI_Cash_Exception_Application[[#This Row],[TYPE]],#REF!,2,FALSE)</f>
        <v>type40</v>
      </c>
      <c r="E1927">
        <v>17.59</v>
      </c>
      <c r="F1927" t="s">
        <v>50</v>
      </c>
      <c r="G1927" s="1">
        <f>qry_ProdData2_PDI_Cash_Exception_Application[[#This Row],[INSERT DATE]]+7</f>
        <v>45188.257071759261</v>
      </c>
      <c r="H1927" t="str">
        <f>VLOOKUP(qry_ProdData2_PDI_Cash_Exception_Application[[#This Row],[MARKET No]],'Site Allocation'!$B$2:$C$37,2,FALSE)</f>
        <v>Analyst3</v>
      </c>
      <c r="I1927" s="4">
        <f t="shared" ca="1" si="30"/>
        <v>45203</v>
      </c>
      <c r="J1927" s="42">
        <f ca="1">TODAY()-qry_ProdData2_PDI_Cash_Exception_Application[[#This Row],[INSERT DATE]]</f>
        <v>21.742928240739275</v>
      </c>
      <c r="K19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27">
        <f ca="1">qry_ProdData2_PDI_Cash_Exception_Application[[#This Row],[TODAY]]-qry_ProdData2_PDI_Cash_Exception_Application[[#This Row],[CHANGED ON]]</f>
        <v>14.742928240739275</v>
      </c>
      <c r="M1927">
        <f ca="1">qry_ProdData2_PDI_Cash_Exception_Application[[#This Row],[TODAY]]-qry_ProdData2_PDI_Cash_Exception_Application[[#This Row],[CHANGED ON]]</f>
        <v>14.742928240739275</v>
      </c>
      <c r="N1927">
        <f ca="1">qry_ProdData2_PDI_Cash_Exception_Application[[#This Row],[TODAY]]-qry_ProdData2_PDI_Cash_Exception_Application[[#This Row],[CHANGED ON]]</f>
        <v>14.742928240739275</v>
      </c>
    </row>
    <row r="1928" spans="1:14" x14ac:dyDescent="0.35">
      <c r="A1928">
        <v>1014</v>
      </c>
      <c r="B1928" t="s">
        <v>68</v>
      </c>
      <c r="C1928" s="1">
        <v>45189.257071759261</v>
      </c>
      <c r="D1928" t="str">
        <f ca="1">VLOOKUP(qry_ProdData2_PDI_Cash_Exception_Application[[#This Row],[TYPE]],#REF!,2,FALSE)</f>
        <v>type40</v>
      </c>
      <c r="E1928">
        <v>1793.84</v>
      </c>
      <c r="F1928" t="s">
        <v>51</v>
      </c>
      <c r="G1928" s="1">
        <f>qry_ProdData2_PDI_Cash_Exception_Application[[#This Row],[INSERT DATE]]+7</f>
        <v>45196.257071759261</v>
      </c>
      <c r="H1928" t="str">
        <f>VLOOKUP(qry_ProdData2_PDI_Cash_Exception_Application[[#This Row],[MARKET No]],'Site Allocation'!$B$2:$C$37,2,FALSE)</f>
        <v>Analyst3</v>
      </c>
      <c r="I1928" s="4">
        <f t="shared" ca="1" si="30"/>
        <v>45203</v>
      </c>
      <c r="J1928" s="42">
        <f ca="1">TODAY()-qry_ProdData2_PDI_Cash_Exception_Application[[#This Row],[INSERT DATE]]</f>
        <v>13.742928240739275</v>
      </c>
      <c r="K19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28">
        <f ca="1">qry_ProdData2_PDI_Cash_Exception_Application[[#This Row],[TODAY]]-qry_ProdData2_PDI_Cash_Exception_Application[[#This Row],[CHANGED ON]]</f>
        <v>6.7429282407392748</v>
      </c>
      <c r="M1928">
        <f ca="1">qry_ProdData2_PDI_Cash_Exception_Application[[#This Row],[TODAY]]-qry_ProdData2_PDI_Cash_Exception_Application[[#This Row],[CHANGED ON]]</f>
        <v>6.7429282407392748</v>
      </c>
      <c r="N1928">
        <f ca="1">qry_ProdData2_PDI_Cash_Exception_Application[[#This Row],[TODAY]]-qry_ProdData2_PDI_Cash_Exception_Application[[#This Row],[CHANGED ON]]</f>
        <v>6.7429282407392748</v>
      </c>
    </row>
    <row r="1929" spans="1:14" x14ac:dyDescent="0.35">
      <c r="A1929">
        <v>1020</v>
      </c>
      <c r="B1929" t="s">
        <v>74</v>
      </c>
      <c r="C1929" s="1">
        <v>45179.257071759261</v>
      </c>
      <c r="D1929" t="str">
        <f ca="1">VLOOKUP(qry_ProdData2_PDI_Cash_Exception_Application[[#This Row],[TYPE]],#REF!,2,FALSE)</f>
        <v>type26</v>
      </c>
      <c r="E1929">
        <v>256.89999999999998</v>
      </c>
      <c r="F1929" t="s">
        <v>51</v>
      </c>
      <c r="G1929" s="1">
        <f>qry_ProdData2_PDI_Cash_Exception_Application[[#This Row],[INSERT DATE]]+7</f>
        <v>45186.257071759261</v>
      </c>
      <c r="H1929" t="str">
        <f>VLOOKUP(qry_ProdData2_PDI_Cash_Exception_Application[[#This Row],[MARKET No]],'Site Allocation'!$B$2:$C$37,2,FALSE)</f>
        <v>Analyst4</v>
      </c>
      <c r="I1929" s="4">
        <f t="shared" ca="1" si="30"/>
        <v>45203</v>
      </c>
      <c r="J1929" s="42">
        <f ca="1">TODAY()-qry_ProdData2_PDI_Cash_Exception_Application[[#This Row],[INSERT DATE]]</f>
        <v>23.742928240739275</v>
      </c>
      <c r="K19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29">
        <f ca="1">qry_ProdData2_PDI_Cash_Exception_Application[[#This Row],[TODAY]]-qry_ProdData2_PDI_Cash_Exception_Application[[#This Row],[CHANGED ON]]</f>
        <v>16.742928240739275</v>
      </c>
      <c r="M1929">
        <f ca="1">qry_ProdData2_PDI_Cash_Exception_Application[[#This Row],[TODAY]]-qry_ProdData2_PDI_Cash_Exception_Application[[#This Row],[CHANGED ON]]</f>
        <v>16.742928240739275</v>
      </c>
      <c r="N1929">
        <f ca="1">qry_ProdData2_PDI_Cash_Exception_Application[[#This Row],[TODAY]]-qry_ProdData2_PDI_Cash_Exception_Application[[#This Row],[CHANGED ON]]</f>
        <v>16.742928240739275</v>
      </c>
    </row>
    <row r="1930" spans="1:14" x14ac:dyDescent="0.35">
      <c r="A1930">
        <v>1006</v>
      </c>
      <c r="B1930" t="s">
        <v>60</v>
      </c>
      <c r="C1930" s="1">
        <v>45184.257071759261</v>
      </c>
      <c r="D1930" t="str">
        <f ca="1">VLOOKUP(qry_ProdData2_PDI_Cash_Exception_Application[[#This Row],[TYPE]],#REF!,2,FALSE)</f>
        <v>type35</v>
      </c>
      <c r="E1930">
        <v>547.44000000000005</v>
      </c>
      <c r="F1930" t="s">
        <v>49</v>
      </c>
      <c r="G1930" s="1">
        <f>qry_ProdData2_PDI_Cash_Exception_Application[[#This Row],[INSERT DATE]]+7</f>
        <v>45191.257071759261</v>
      </c>
      <c r="H1930" t="str">
        <f>VLOOKUP(qry_ProdData2_PDI_Cash_Exception_Application[[#This Row],[MARKET No]],'Site Allocation'!$B$2:$C$37,2,FALSE)</f>
        <v>Analyst2</v>
      </c>
      <c r="I1930" s="4">
        <f t="shared" ca="1" si="30"/>
        <v>45203</v>
      </c>
      <c r="J1930" s="42">
        <f ca="1">TODAY()-qry_ProdData2_PDI_Cash_Exception_Application[[#This Row],[INSERT DATE]]</f>
        <v>18.742928240739275</v>
      </c>
      <c r="K19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30">
        <f ca="1">qry_ProdData2_PDI_Cash_Exception_Application[[#This Row],[TODAY]]-qry_ProdData2_PDI_Cash_Exception_Application[[#This Row],[CHANGED ON]]</f>
        <v>11.742928240739275</v>
      </c>
      <c r="M1930">
        <f ca="1">qry_ProdData2_PDI_Cash_Exception_Application[[#This Row],[TODAY]]-qry_ProdData2_PDI_Cash_Exception_Application[[#This Row],[CHANGED ON]]</f>
        <v>11.742928240739275</v>
      </c>
      <c r="N1930">
        <f ca="1">qry_ProdData2_PDI_Cash_Exception_Application[[#This Row],[TODAY]]-qry_ProdData2_PDI_Cash_Exception_Application[[#This Row],[CHANGED ON]]</f>
        <v>11.742928240739275</v>
      </c>
    </row>
    <row r="1931" spans="1:14" x14ac:dyDescent="0.35">
      <c r="A1931">
        <v>1027</v>
      </c>
      <c r="B1931" t="s">
        <v>81</v>
      </c>
      <c r="C1931" s="1">
        <v>45186.257071759261</v>
      </c>
      <c r="D1931" t="str">
        <f ca="1">VLOOKUP(qry_ProdData2_PDI_Cash_Exception_Application[[#This Row],[TYPE]],#REF!,2,FALSE)</f>
        <v>type40</v>
      </c>
      <c r="E1931">
        <v>10</v>
      </c>
      <c r="F1931" t="s">
        <v>51</v>
      </c>
      <c r="G1931" s="1">
        <f>qry_ProdData2_PDI_Cash_Exception_Application[[#This Row],[INSERT DATE]]+1</f>
        <v>45187.257071759261</v>
      </c>
      <c r="H1931" t="str">
        <f>VLOOKUP(qry_ProdData2_PDI_Cash_Exception_Application[[#This Row],[MARKET No]],'Site Allocation'!$B$2:$C$37,2,FALSE)</f>
        <v>Analyst5</v>
      </c>
      <c r="I1931" s="4">
        <f t="shared" ca="1" si="30"/>
        <v>45203</v>
      </c>
      <c r="J1931" s="42">
        <f ca="1">TODAY()-qry_ProdData2_PDI_Cash_Exception_Application[[#This Row],[INSERT DATE]]</f>
        <v>16.742928240739275</v>
      </c>
      <c r="K19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31">
        <f ca="1">qry_ProdData2_PDI_Cash_Exception_Application[[#This Row],[TODAY]]-qry_ProdData2_PDI_Cash_Exception_Application[[#This Row],[CHANGED ON]]</f>
        <v>15.742928240739275</v>
      </c>
      <c r="M1931">
        <f ca="1">qry_ProdData2_PDI_Cash_Exception_Application[[#This Row],[TODAY]]-qry_ProdData2_PDI_Cash_Exception_Application[[#This Row],[CHANGED ON]]</f>
        <v>15.742928240739275</v>
      </c>
      <c r="N1931">
        <f ca="1">qry_ProdData2_PDI_Cash_Exception_Application[[#This Row],[TODAY]]-qry_ProdData2_PDI_Cash_Exception_Application[[#This Row],[CHANGED ON]]</f>
        <v>15.742928240739275</v>
      </c>
    </row>
    <row r="1932" spans="1:14" x14ac:dyDescent="0.35">
      <c r="A1932">
        <v>1003</v>
      </c>
      <c r="B1932" t="s">
        <v>57</v>
      </c>
      <c r="C1932" s="1">
        <v>45184.257071759261</v>
      </c>
      <c r="D1932" t="str">
        <f ca="1">VLOOKUP(qry_ProdData2_PDI_Cash_Exception_Application[[#This Row],[TYPE]],#REF!,2,FALSE)</f>
        <v>type40</v>
      </c>
      <c r="E1932">
        <v>776.71</v>
      </c>
      <c r="F1932" t="s">
        <v>52</v>
      </c>
      <c r="G1932" s="1">
        <f>qry_ProdData2_PDI_Cash_Exception_Application[[#This Row],[INSERT DATE]]+7</f>
        <v>45191.257071759261</v>
      </c>
      <c r="H1932" t="str">
        <f>VLOOKUP(qry_ProdData2_PDI_Cash_Exception_Application[[#This Row],[MARKET No]],'Site Allocation'!$B$2:$C$37,2,FALSE)</f>
        <v>Analyst1</v>
      </c>
      <c r="I1932" s="4">
        <f t="shared" ca="1" si="30"/>
        <v>45203</v>
      </c>
      <c r="J1932" s="42">
        <f ca="1">TODAY()-qry_ProdData2_PDI_Cash_Exception_Application[[#This Row],[INSERT DATE]]</f>
        <v>18.742928240739275</v>
      </c>
      <c r="K19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32">
        <f ca="1">qry_ProdData2_PDI_Cash_Exception_Application[[#This Row],[TODAY]]-qry_ProdData2_PDI_Cash_Exception_Application[[#This Row],[CHANGED ON]]</f>
        <v>11.742928240739275</v>
      </c>
      <c r="M1932">
        <f ca="1">qry_ProdData2_PDI_Cash_Exception_Application[[#This Row],[TODAY]]-qry_ProdData2_PDI_Cash_Exception_Application[[#This Row],[CHANGED ON]]</f>
        <v>11.742928240739275</v>
      </c>
      <c r="N1932">
        <f ca="1">qry_ProdData2_PDI_Cash_Exception_Application[[#This Row],[TODAY]]-qry_ProdData2_PDI_Cash_Exception_Application[[#This Row],[CHANGED ON]]</f>
        <v>11.742928240739275</v>
      </c>
    </row>
    <row r="1933" spans="1:14" x14ac:dyDescent="0.35">
      <c r="A1933">
        <v>1025</v>
      </c>
      <c r="B1933" t="s">
        <v>79</v>
      </c>
      <c r="C1933" s="1">
        <v>45185.257071759261</v>
      </c>
      <c r="D1933" t="str">
        <f ca="1">VLOOKUP(qry_ProdData2_PDI_Cash_Exception_Application[[#This Row],[TYPE]],#REF!,2,FALSE)</f>
        <v>type40</v>
      </c>
      <c r="E1933">
        <v>545.65</v>
      </c>
      <c r="F1933" t="s">
        <v>51</v>
      </c>
      <c r="G1933" s="1">
        <f>qry_ProdData2_PDI_Cash_Exception_Application[[#This Row],[INSERT DATE]]+2</f>
        <v>45187.257071759261</v>
      </c>
      <c r="H1933" t="str">
        <f>VLOOKUP(qry_ProdData2_PDI_Cash_Exception_Application[[#This Row],[MARKET No]],'Site Allocation'!$B$2:$C$37,2,FALSE)</f>
        <v>Analyst5</v>
      </c>
      <c r="I1933" s="4">
        <f t="shared" ca="1" si="30"/>
        <v>45203</v>
      </c>
      <c r="J1933" s="42">
        <f ca="1">TODAY()-qry_ProdData2_PDI_Cash_Exception_Application[[#This Row],[INSERT DATE]]</f>
        <v>17.742928240739275</v>
      </c>
      <c r="K19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33">
        <f ca="1">qry_ProdData2_PDI_Cash_Exception_Application[[#This Row],[TODAY]]-qry_ProdData2_PDI_Cash_Exception_Application[[#This Row],[CHANGED ON]]</f>
        <v>15.742928240739275</v>
      </c>
      <c r="M1933">
        <f ca="1">qry_ProdData2_PDI_Cash_Exception_Application[[#This Row],[TODAY]]-qry_ProdData2_PDI_Cash_Exception_Application[[#This Row],[CHANGED ON]]</f>
        <v>15.742928240739275</v>
      </c>
      <c r="N1933">
        <f ca="1">qry_ProdData2_PDI_Cash_Exception_Application[[#This Row],[TODAY]]-qry_ProdData2_PDI_Cash_Exception_Application[[#This Row],[CHANGED ON]]</f>
        <v>15.742928240739275</v>
      </c>
    </row>
    <row r="1934" spans="1:14" x14ac:dyDescent="0.35">
      <c r="A1934">
        <v>1002</v>
      </c>
      <c r="B1934" t="s">
        <v>56</v>
      </c>
      <c r="C1934" s="1">
        <v>45189.257071759261</v>
      </c>
      <c r="D1934" t="str">
        <f ca="1">VLOOKUP(qry_ProdData2_PDI_Cash_Exception_Application[[#This Row],[TYPE]],#REF!,2,FALSE)</f>
        <v>type13</v>
      </c>
      <c r="E1934">
        <v>30057.78</v>
      </c>
      <c r="F1934" t="s">
        <v>47</v>
      </c>
      <c r="G1934" s="1">
        <f>qry_ProdData2_PDI_Cash_Exception_Application[[#This Row],[INSERT DATE]]+1</f>
        <v>45190.257071759261</v>
      </c>
      <c r="H1934" t="str">
        <f>VLOOKUP(qry_ProdData2_PDI_Cash_Exception_Application[[#This Row],[MARKET No]],'Site Allocation'!$B$2:$C$37,2,FALSE)</f>
        <v>Analyst1</v>
      </c>
      <c r="I1934" s="4">
        <f t="shared" ca="1" si="30"/>
        <v>45203</v>
      </c>
      <c r="J1934" s="42">
        <f ca="1">TODAY()-qry_ProdData2_PDI_Cash_Exception_Application[[#This Row],[INSERT DATE]]</f>
        <v>13.742928240739275</v>
      </c>
      <c r="K19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34">
        <f ca="1">qry_ProdData2_PDI_Cash_Exception_Application[[#This Row],[TODAY]]-qry_ProdData2_PDI_Cash_Exception_Application[[#This Row],[CHANGED ON]]</f>
        <v>12.742928240739275</v>
      </c>
      <c r="M1934">
        <f ca="1">qry_ProdData2_PDI_Cash_Exception_Application[[#This Row],[TODAY]]-qry_ProdData2_PDI_Cash_Exception_Application[[#This Row],[CHANGED ON]]</f>
        <v>12.742928240739275</v>
      </c>
      <c r="N1934">
        <f ca="1">qry_ProdData2_PDI_Cash_Exception_Application[[#This Row],[TODAY]]-qry_ProdData2_PDI_Cash_Exception_Application[[#This Row],[CHANGED ON]]</f>
        <v>12.742928240739275</v>
      </c>
    </row>
    <row r="1935" spans="1:14" x14ac:dyDescent="0.35">
      <c r="A1935">
        <v>1007</v>
      </c>
      <c r="B1935" t="s">
        <v>61</v>
      </c>
      <c r="C1935" s="1">
        <v>45185.257071759261</v>
      </c>
      <c r="D1935" t="str">
        <f ca="1">VLOOKUP(qry_ProdData2_PDI_Cash_Exception_Application[[#This Row],[TYPE]],#REF!,2,FALSE)</f>
        <v>type40</v>
      </c>
      <c r="E1935">
        <v>736.37</v>
      </c>
      <c r="F1935" t="s">
        <v>52</v>
      </c>
      <c r="G1935" s="1">
        <f>qry_ProdData2_PDI_Cash_Exception_Application[[#This Row],[INSERT DATE]]+7</f>
        <v>45192.257071759261</v>
      </c>
      <c r="H1935" t="str">
        <f>VLOOKUP(qry_ProdData2_PDI_Cash_Exception_Application[[#This Row],[MARKET No]],'Site Allocation'!$B$2:$C$37,2,FALSE)</f>
        <v>Analyst2</v>
      </c>
      <c r="I1935" s="4">
        <f t="shared" ca="1" si="30"/>
        <v>45203</v>
      </c>
      <c r="J1935" s="42">
        <f ca="1">TODAY()-qry_ProdData2_PDI_Cash_Exception_Application[[#This Row],[INSERT DATE]]</f>
        <v>17.742928240739275</v>
      </c>
      <c r="K19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35">
        <f ca="1">qry_ProdData2_PDI_Cash_Exception_Application[[#This Row],[TODAY]]-qry_ProdData2_PDI_Cash_Exception_Application[[#This Row],[CHANGED ON]]</f>
        <v>10.742928240739275</v>
      </c>
      <c r="M1935">
        <f ca="1">qry_ProdData2_PDI_Cash_Exception_Application[[#This Row],[TODAY]]-qry_ProdData2_PDI_Cash_Exception_Application[[#This Row],[CHANGED ON]]</f>
        <v>10.742928240739275</v>
      </c>
      <c r="N1935">
        <f ca="1">qry_ProdData2_PDI_Cash_Exception_Application[[#This Row],[TODAY]]-qry_ProdData2_PDI_Cash_Exception_Application[[#This Row],[CHANGED ON]]</f>
        <v>10.742928240739275</v>
      </c>
    </row>
    <row r="1936" spans="1:14" x14ac:dyDescent="0.35">
      <c r="A1936">
        <v>1026</v>
      </c>
      <c r="B1936" t="s">
        <v>80</v>
      </c>
      <c r="C1936" s="1">
        <v>45180.257071759261</v>
      </c>
      <c r="D1936" t="str">
        <f ca="1">VLOOKUP(qry_ProdData2_PDI_Cash_Exception_Application[[#This Row],[TYPE]],#REF!,2,FALSE)</f>
        <v>type13</v>
      </c>
      <c r="E1936">
        <v>22564.23</v>
      </c>
      <c r="F1936" t="s">
        <v>47</v>
      </c>
      <c r="G1936" s="1">
        <f>qry_ProdData2_PDI_Cash_Exception_Application[[#This Row],[INSERT DATE]]+1</f>
        <v>45181.257071759261</v>
      </c>
      <c r="H1936" t="str">
        <f>VLOOKUP(qry_ProdData2_PDI_Cash_Exception_Application[[#This Row],[MARKET No]],'Site Allocation'!$B$2:$C$37,2,FALSE)</f>
        <v>Analyst5</v>
      </c>
      <c r="I1936" s="4">
        <f t="shared" ca="1" si="30"/>
        <v>45203</v>
      </c>
      <c r="J1936" s="42">
        <f ca="1">TODAY()-qry_ProdData2_PDI_Cash_Exception_Application[[#This Row],[INSERT DATE]]</f>
        <v>22.742928240739275</v>
      </c>
      <c r="K19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36">
        <f ca="1">qry_ProdData2_PDI_Cash_Exception_Application[[#This Row],[TODAY]]-qry_ProdData2_PDI_Cash_Exception_Application[[#This Row],[CHANGED ON]]</f>
        <v>21.742928240739275</v>
      </c>
      <c r="M1936">
        <f ca="1">qry_ProdData2_PDI_Cash_Exception_Application[[#This Row],[TODAY]]-qry_ProdData2_PDI_Cash_Exception_Application[[#This Row],[CHANGED ON]]</f>
        <v>21.742928240739275</v>
      </c>
      <c r="N1936">
        <f ca="1">qry_ProdData2_PDI_Cash_Exception_Application[[#This Row],[TODAY]]-qry_ProdData2_PDI_Cash_Exception_Application[[#This Row],[CHANGED ON]]</f>
        <v>21.742928240739275</v>
      </c>
    </row>
    <row r="1937" spans="1:14" x14ac:dyDescent="0.35">
      <c r="A1937">
        <v>1018</v>
      </c>
      <c r="B1937" t="s">
        <v>72</v>
      </c>
      <c r="C1937" s="1">
        <v>45185.257071759261</v>
      </c>
      <c r="D1937" t="str">
        <f ca="1">VLOOKUP(qry_ProdData2_PDI_Cash_Exception_Application[[#This Row],[TYPE]],#REF!,2,FALSE)</f>
        <v>type40</v>
      </c>
      <c r="E1937">
        <v>90</v>
      </c>
      <c r="F1937" t="s">
        <v>48</v>
      </c>
      <c r="G1937" s="1">
        <f>qry_ProdData2_PDI_Cash_Exception_Application[[#This Row],[INSERT DATE]]+2</f>
        <v>45187.257071759261</v>
      </c>
      <c r="H1937" t="str">
        <f>VLOOKUP(qry_ProdData2_PDI_Cash_Exception_Application[[#This Row],[MARKET No]],'Site Allocation'!$B$2:$C$37,2,FALSE)</f>
        <v>Analyst4</v>
      </c>
      <c r="I1937" s="4">
        <f t="shared" ca="1" si="30"/>
        <v>45203</v>
      </c>
      <c r="J1937" s="42">
        <f ca="1">TODAY()-qry_ProdData2_PDI_Cash_Exception_Application[[#This Row],[INSERT DATE]]</f>
        <v>17.742928240739275</v>
      </c>
      <c r="K19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37">
        <f ca="1">qry_ProdData2_PDI_Cash_Exception_Application[[#This Row],[TODAY]]-qry_ProdData2_PDI_Cash_Exception_Application[[#This Row],[CHANGED ON]]</f>
        <v>15.742928240739275</v>
      </c>
      <c r="M1937">
        <f ca="1">qry_ProdData2_PDI_Cash_Exception_Application[[#This Row],[TODAY]]-qry_ProdData2_PDI_Cash_Exception_Application[[#This Row],[CHANGED ON]]</f>
        <v>15.742928240739275</v>
      </c>
      <c r="N1937">
        <f ca="1">qry_ProdData2_PDI_Cash_Exception_Application[[#This Row],[TODAY]]-qry_ProdData2_PDI_Cash_Exception_Application[[#This Row],[CHANGED ON]]</f>
        <v>15.742928240739275</v>
      </c>
    </row>
    <row r="1938" spans="1:14" x14ac:dyDescent="0.35">
      <c r="A1938">
        <v>1029</v>
      </c>
      <c r="B1938" t="s">
        <v>83</v>
      </c>
      <c r="C1938" s="1">
        <v>45185.257071759261</v>
      </c>
      <c r="D1938" t="str">
        <f ca="1">VLOOKUP(qry_ProdData2_PDI_Cash_Exception_Application[[#This Row],[TYPE]],#REF!,2,FALSE)</f>
        <v>type40</v>
      </c>
      <c r="E1938">
        <v>-3928.11</v>
      </c>
      <c r="F1938" t="s">
        <v>49</v>
      </c>
      <c r="G1938" s="1">
        <f>qry_ProdData2_PDI_Cash_Exception_Application[[#This Row],[INSERT DATE]]+7</f>
        <v>45192.257071759261</v>
      </c>
      <c r="H1938" t="str">
        <f>VLOOKUP(qry_ProdData2_PDI_Cash_Exception_Application[[#This Row],[MARKET No]],'Site Allocation'!$B$2:$C$37,2,FALSE)</f>
        <v>Analyst5</v>
      </c>
      <c r="I1938" s="4">
        <f t="shared" ca="1" si="30"/>
        <v>45203</v>
      </c>
      <c r="J1938" s="42">
        <f ca="1">TODAY()-qry_ProdData2_PDI_Cash_Exception_Application[[#This Row],[INSERT DATE]]</f>
        <v>17.742928240739275</v>
      </c>
      <c r="K19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38">
        <f ca="1">qry_ProdData2_PDI_Cash_Exception_Application[[#This Row],[TODAY]]-qry_ProdData2_PDI_Cash_Exception_Application[[#This Row],[CHANGED ON]]</f>
        <v>10.742928240739275</v>
      </c>
      <c r="M1938">
        <f ca="1">qry_ProdData2_PDI_Cash_Exception_Application[[#This Row],[TODAY]]-qry_ProdData2_PDI_Cash_Exception_Application[[#This Row],[CHANGED ON]]</f>
        <v>10.742928240739275</v>
      </c>
      <c r="N1938">
        <f ca="1">qry_ProdData2_PDI_Cash_Exception_Application[[#This Row],[TODAY]]-qry_ProdData2_PDI_Cash_Exception_Application[[#This Row],[CHANGED ON]]</f>
        <v>10.742928240739275</v>
      </c>
    </row>
    <row r="1939" spans="1:14" x14ac:dyDescent="0.35">
      <c r="A1939">
        <v>1003</v>
      </c>
      <c r="B1939" t="s">
        <v>57</v>
      </c>
      <c r="C1939" s="1">
        <v>45187.257071759261</v>
      </c>
      <c r="D1939" t="str">
        <f ca="1">VLOOKUP(qry_ProdData2_PDI_Cash_Exception_Application[[#This Row],[TYPE]],#REF!,2,FALSE)</f>
        <v>type40</v>
      </c>
      <c r="E1939">
        <v>934.68</v>
      </c>
      <c r="F1939" t="s">
        <v>48</v>
      </c>
      <c r="G1939" s="1">
        <f>qry_ProdData2_PDI_Cash_Exception_Application[[#This Row],[INSERT DATE]]+2</f>
        <v>45189.257071759261</v>
      </c>
      <c r="H1939" t="str">
        <f>VLOOKUP(qry_ProdData2_PDI_Cash_Exception_Application[[#This Row],[MARKET No]],'Site Allocation'!$B$2:$C$37,2,FALSE)</f>
        <v>Analyst1</v>
      </c>
      <c r="I1939" s="4">
        <f t="shared" ca="1" si="30"/>
        <v>45203</v>
      </c>
      <c r="J1939" s="42">
        <f ca="1">TODAY()-qry_ProdData2_PDI_Cash_Exception_Application[[#This Row],[INSERT DATE]]</f>
        <v>15.742928240739275</v>
      </c>
      <c r="K19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39">
        <f ca="1">qry_ProdData2_PDI_Cash_Exception_Application[[#This Row],[TODAY]]-qry_ProdData2_PDI_Cash_Exception_Application[[#This Row],[CHANGED ON]]</f>
        <v>13.742928240739275</v>
      </c>
      <c r="M1939">
        <f ca="1">qry_ProdData2_PDI_Cash_Exception_Application[[#This Row],[TODAY]]-qry_ProdData2_PDI_Cash_Exception_Application[[#This Row],[CHANGED ON]]</f>
        <v>13.742928240739275</v>
      </c>
      <c r="N1939">
        <f ca="1">qry_ProdData2_PDI_Cash_Exception_Application[[#This Row],[TODAY]]-qry_ProdData2_PDI_Cash_Exception_Application[[#This Row],[CHANGED ON]]</f>
        <v>13.742928240739275</v>
      </c>
    </row>
    <row r="1940" spans="1:14" x14ac:dyDescent="0.35">
      <c r="A1940">
        <v>1000</v>
      </c>
      <c r="B1940" t="s">
        <v>54</v>
      </c>
      <c r="C1940" s="1">
        <v>45189.257071759261</v>
      </c>
      <c r="D1940" t="str">
        <f ca="1">VLOOKUP(qry_ProdData2_PDI_Cash_Exception_Application[[#This Row],[TYPE]],#REF!,2,FALSE)</f>
        <v>type40</v>
      </c>
      <c r="E1940">
        <v>327.45</v>
      </c>
      <c r="F1940" t="s">
        <v>50</v>
      </c>
      <c r="G1940" s="1">
        <f>qry_ProdData2_PDI_Cash_Exception_Application[[#This Row],[INSERT DATE]]+7</f>
        <v>45196.257071759261</v>
      </c>
      <c r="H1940" t="str">
        <f>VLOOKUP(qry_ProdData2_PDI_Cash_Exception_Application[[#This Row],[MARKET No]],'Site Allocation'!$B$2:$C$37,2,FALSE)</f>
        <v>Analyst1</v>
      </c>
      <c r="I1940" s="4">
        <f t="shared" ca="1" si="30"/>
        <v>45203</v>
      </c>
      <c r="J1940" s="42">
        <f ca="1">TODAY()-qry_ProdData2_PDI_Cash_Exception_Application[[#This Row],[INSERT DATE]]</f>
        <v>13.742928240739275</v>
      </c>
      <c r="K19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40">
        <f ca="1">qry_ProdData2_PDI_Cash_Exception_Application[[#This Row],[TODAY]]-qry_ProdData2_PDI_Cash_Exception_Application[[#This Row],[CHANGED ON]]</f>
        <v>6.7429282407392748</v>
      </c>
      <c r="M1940">
        <f ca="1">qry_ProdData2_PDI_Cash_Exception_Application[[#This Row],[TODAY]]-qry_ProdData2_PDI_Cash_Exception_Application[[#This Row],[CHANGED ON]]</f>
        <v>6.7429282407392748</v>
      </c>
      <c r="N1940">
        <f ca="1">qry_ProdData2_PDI_Cash_Exception_Application[[#This Row],[TODAY]]-qry_ProdData2_PDI_Cash_Exception_Application[[#This Row],[CHANGED ON]]</f>
        <v>6.7429282407392748</v>
      </c>
    </row>
    <row r="1941" spans="1:14" x14ac:dyDescent="0.35">
      <c r="A1941">
        <v>1029</v>
      </c>
      <c r="B1941" t="s">
        <v>83</v>
      </c>
      <c r="C1941" s="1">
        <v>45184.257071759261</v>
      </c>
      <c r="D1941" t="str">
        <f ca="1">VLOOKUP(qry_ProdData2_PDI_Cash_Exception_Application[[#This Row],[TYPE]],#REF!,2,FALSE)</f>
        <v>type38</v>
      </c>
      <c r="E1941">
        <v>226.5</v>
      </c>
      <c r="F1941" t="s">
        <v>47</v>
      </c>
      <c r="G1941" s="1">
        <f>qry_ProdData2_PDI_Cash_Exception_Application[[#This Row],[INSERT DATE]]+1</f>
        <v>45185.257071759261</v>
      </c>
      <c r="H1941" t="str">
        <f>VLOOKUP(qry_ProdData2_PDI_Cash_Exception_Application[[#This Row],[MARKET No]],'Site Allocation'!$B$2:$C$37,2,FALSE)</f>
        <v>Analyst5</v>
      </c>
      <c r="I1941" s="4">
        <f t="shared" ca="1" si="30"/>
        <v>45203</v>
      </c>
      <c r="J1941" s="42">
        <f ca="1">TODAY()-qry_ProdData2_PDI_Cash_Exception_Application[[#This Row],[INSERT DATE]]</f>
        <v>18.742928240739275</v>
      </c>
      <c r="K19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41">
        <f ca="1">qry_ProdData2_PDI_Cash_Exception_Application[[#This Row],[TODAY]]-qry_ProdData2_PDI_Cash_Exception_Application[[#This Row],[CHANGED ON]]</f>
        <v>17.742928240739275</v>
      </c>
      <c r="M1941">
        <f ca="1">qry_ProdData2_PDI_Cash_Exception_Application[[#This Row],[TODAY]]-qry_ProdData2_PDI_Cash_Exception_Application[[#This Row],[CHANGED ON]]</f>
        <v>17.742928240739275</v>
      </c>
      <c r="N1941">
        <f ca="1">qry_ProdData2_PDI_Cash_Exception_Application[[#This Row],[TODAY]]-qry_ProdData2_PDI_Cash_Exception_Application[[#This Row],[CHANGED ON]]</f>
        <v>17.742928240739275</v>
      </c>
    </row>
    <row r="1942" spans="1:14" x14ac:dyDescent="0.35">
      <c r="A1942">
        <v>1026</v>
      </c>
      <c r="B1942" t="s">
        <v>80</v>
      </c>
      <c r="C1942" s="1">
        <v>45190.257071759261</v>
      </c>
      <c r="D1942" t="str">
        <f ca="1">VLOOKUP(qry_ProdData2_PDI_Cash_Exception_Application[[#This Row],[TYPE]],#REF!,2,FALSE)</f>
        <v>type40</v>
      </c>
      <c r="E1942">
        <v>5494.09</v>
      </c>
      <c r="F1942" t="s">
        <v>52</v>
      </c>
      <c r="G1942" s="1">
        <f>qry_ProdData2_PDI_Cash_Exception_Application[[#This Row],[INSERT DATE]]+7</f>
        <v>45197.257071759261</v>
      </c>
      <c r="H1942" t="str">
        <f>VLOOKUP(qry_ProdData2_PDI_Cash_Exception_Application[[#This Row],[MARKET No]],'Site Allocation'!$B$2:$C$37,2,FALSE)</f>
        <v>Analyst5</v>
      </c>
      <c r="I1942" s="4">
        <f t="shared" ca="1" si="30"/>
        <v>45203</v>
      </c>
      <c r="J1942" s="42">
        <f ca="1">TODAY()-qry_ProdData2_PDI_Cash_Exception_Application[[#This Row],[INSERT DATE]]</f>
        <v>12.742928240739275</v>
      </c>
      <c r="K19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42">
        <f ca="1">qry_ProdData2_PDI_Cash_Exception_Application[[#This Row],[TODAY]]-qry_ProdData2_PDI_Cash_Exception_Application[[#This Row],[CHANGED ON]]</f>
        <v>5.7429282407392748</v>
      </c>
      <c r="M1942">
        <f ca="1">qry_ProdData2_PDI_Cash_Exception_Application[[#This Row],[TODAY]]-qry_ProdData2_PDI_Cash_Exception_Application[[#This Row],[CHANGED ON]]</f>
        <v>5.7429282407392748</v>
      </c>
      <c r="N1942">
        <f ca="1">qry_ProdData2_PDI_Cash_Exception_Application[[#This Row],[TODAY]]-qry_ProdData2_PDI_Cash_Exception_Application[[#This Row],[CHANGED ON]]</f>
        <v>5.7429282407392748</v>
      </c>
    </row>
    <row r="1943" spans="1:14" x14ac:dyDescent="0.35">
      <c r="A1943">
        <v>1015</v>
      </c>
      <c r="B1943" t="s">
        <v>69</v>
      </c>
      <c r="C1943" s="1">
        <v>45188.257071759261</v>
      </c>
      <c r="D1943" t="str">
        <f ca="1">VLOOKUP(qry_ProdData2_PDI_Cash_Exception_Application[[#This Row],[TYPE]],#REF!,2,FALSE)</f>
        <v>type40</v>
      </c>
      <c r="E1943">
        <v>-352.64</v>
      </c>
      <c r="F1943" t="s">
        <v>48</v>
      </c>
      <c r="G1943" s="1">
        <f>qry_ProdData2_PDI_Cash_Exception_Application[[#This Row],[INSERT DATE]]+2</f>
        <v>45190.257071759261</v>
      </c>
      <c r="H1943" t="str">
        <f>VLOOKUP(qry_ProdData2_PDI_Cash_Exception_Application[[#This Row],[MARKET No]],'Site Allocation'!$B$2:$C$37,2,FALSE)</f>
        <v>Analyst3</v>
      </c>
      <c r="I1943" s="4">
        <f t="shared" ca="1" si="30"/>
        <v>45203</v>
      </c>
      <c r="J1943" s="42">
        <f ca="1">TODAY()-qry_ProdData2_PDI_Cash_Exception_Application[[#This Row],[INSERT DATE]]</f>
        <v>14.742928240739275</v>
      </c>
      <c r="K19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43">
        <f ca="1">qry_ProdData2_PDI_Cash_Exception_Application[[#This Row],[TODAY]]-qry_ProdData2_PDI_Cash_Exception_Application[[#This Row],[CHANGED ON]]</f>
        <v>12.742928240739275</v>
      </c>
      <c r="M1943">
        <f ca="1">qry_ProdData2_PDI_Cash_Exception_Application[[#This Row],[TODAY]]-qry_ProdData2_PDI_Cash_Exception_Application[[#This Row],[CHANGED ON]]</f>
        <v>12.742928240739275</v>
      </c>
      <c r="N1943">
        <f ca="1">qry_ProdData2_PDI_Cash_Exception_Application[[#This Row],[TODAY]]-qry_ProdData2_PDI_Cash_Exception_Application[[#This Row],[CHANGED ON]]</f>
        <v>12.742928240739275</v>
      </c>
    </row>
    <row r="1944" spans="1:14" x14ac:dyDescent="0.35">
      <c r="A1944">
        <v>1016</v>
      </c>
      <c r="B1944" t="s">
        <v>70</v>
      </c>
      <c r="C1944" s="1">
        <v>45190.257071759261</v>
      </c>
      <c r="D1944" t="str">
        <f ca="1">VLOOKUP(qry_ProdData2_PDI_Cash_Exception_Application[[#This Row],[TYPE]],#REF!,2,FALSE)</f>
        <v>type40</v>
      </c>
      <c r="E1944">
        <v>-3084.46</v>
      </c>
      <c r="F1944" t="s">
        <v>47</v>
      </c>
      <c r="G1944" s="1">
        <f>qry_ProdData2_PDI_Cash_Exception_Application[[#This Row],[INSERT DATE]]+2</f>
        <v>45192.257071759261</v>
      </c>
      <c r="H1944" t="str">
        <f>VLOOKUP(qry_ProdData2_PDI_Cash_Exception_Application[[#This Row],[MARKET No]],'Site Allocation'!$B$2:$C$37,2,FALSE)</f>
        <v>Analyst3</v>
      </c>
      <c r="I1944" s="4">
        <f t="shared" ca="1" si="30"/>
        <v>45203</v>
      </c>
      <c r="J1944" s="42">
        <f ca="1">TODAY()-qry_ProdData2_PDI_Cash_Exception_Application[[#This Row],[INSERT DATE]]</f>
        <v>12.742928240739275</v>
      </c>
      <c r="K19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44">
        <f ca="1">qry_ProdData2_PDI_Cash_Exception_Application[[#This Row],[TODAY]]-qry_ProdData2_PDI_Cash_Exception_Application[[#This Row],[CHANGED ON]]</f>
        <v>10.742928240739275</v>
      </c>
      <c r="M1944">
        <f ca="1">qry_ProdData2_PDI_Cash_Exception_Application[[#This Row],[TODAY]]-qry_ProdData2_PDI_Cash_Exception_Application[[#This Row],[CHANGED ON]]</f>
        <v>10.742928240739275</v>
      </c>
      <c r="N1944">
        <f ca="1">qry_ProdData2_PDI_Cash_Exception_Application[[#This Row],[TODAY]]-qry_ProdData2_PDI_Cash_Exception_Application[[#This Row],[CHANGED ON]]</f>
        <v>10.742928240739275</v>
      </c>
    </row>
    <row r="1945" spans="1:14" x14ac:dyDescent="0.35">
      <c r="A1945">
        <v>1028</v>
      </c>
      <c r="B1945" t="s">
        <v>82</v>
      </c>
      <c r="C1945" s="1">
        <v>45191.257071759261</v>
      </c>
      <c r="D1945" t="str">
        <f ca="1">VLOOKUP(qry_ProdData2_PDI_Cash_Exception_Application[[#This Row],[TYPE]],#REF!,2,FALSE)</f>
        <v>type40</v>
      </c>
      <c r="E1945">
        <v>455.99</v>
      </c>
      <c r="F1945" t="s">
        <v>47</v>
      </c>
      <c r="G1945" s="1">
        <f>qry_ProdData2_PDI_Cash_Exception_Application[[#This Row],[INSERT DATE]]+2</f>
        <v>45193.257071759261</v>
      </c>
      <c r="H1945" t="str">
        <f>VLOOKUP(qry_ProdData2_PDI_Cash_Exception_Application[[#This Row],[MARKET No]],'Site Allocation'!$B$2:$C$37,2,FALSE)</f>
        <v>Analyst5</v>
      </c>
      <c r="I1945" s="4">
        <f t="shared" ca="1" si="30"/>
        <v>45203</v>
      </c>
      <c r="J1945" s="42">
        <f ca="1">TODAY()-qry_ProdData2_PDI_Cash_Exception_Application[[#This Row],[INSERT DATE]]</f>
        <v>11.742928240739275</v>
      </c>
      <c r="K19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45">
        <f ca="1">qry_ProdData2_PDI_Cash_Exception_Application[[#This Row],[TODAY]]-qry_ProdData2_PDI_Cash_Exception_Application[[#This Row],[CHANGED ON]]</f>
        <v>9.7429282407392748</v>
      </c>
      <c r="M1945">
        <f ca="1">qry_ProdData2_PDI_Cash_Exception_Application[[#This Row],[TODAY]]-qry_ProdData2_PDI_Cash_Exception_Application[[#This Row],[CHANGED ON]]</f>
        <v>9.7429282407392748</v>
      </c>
      <c r="N1945">
        <f ca="1">qry_ProdData2_PDI_Cash_Exception_Application[[#This Row],[TODAY]]-qry_ProdData2_PDI_Cash_Exception_Application[[#This Row],[CHANGED ON]]</f>
        <v>9.7429282407392748</v>
      </c>
    </row>
    <row r="1946" spans="1:14" x14ac:dyDescent="0.35">
      <c r="A1946">
        <v>1033</v>
      </c>
      <c r="B1946" t="s">
        <v>87</v>
      </c>
      <c r="C1946" s="1">
        <v>45188.257071759261</v>
      </c>
      <c r="D1946" t="str">
        <f ca="1">VLOOKUP(qry_ProdData2_PDI_Cash_Exception_Application[[#This Row],[TYPE]],#REF!,2,FALSE)</f>
        <v>type13</v>
      </c>
      <c r="E1946">
        <v>35663.980000000003</v>
      </c>
      <c r="F1946" t="s">
        <v>51</v>
      </c>
      <c r="G1946" s="1">
        <f>qry_ProdData2_PDI_Cash_Exception_Application[[#This Row],[INSERT DATE]]+2</f>
        <v>45190.257071759261</v>
      </c>
      <c r="H1946" t="str">
        <f>VLOOKUP(qry_ProdData2_PDI_Cash_Exception_Application[[#This Row],[MARKET No]],'Site Allocation'!$B$2:$C$37,2,FALSE)</f>
        <v>Analyst6</v>
      </c>
      <c r="I1946" s="4">
        <f t="shared" ca="1" si="30"/>
        <v>45203</v>
      </c>
      <c r="J1946" s="42">
        <f ca="1">TODAY()-qry_ProdData2_PDI_Cash_Exception_Application[[#This Row],[INSERT DATE]]</f>
        <v>14.742928240739275</v>
      </c>
      <c r="K19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46">
        <f ca="1">qry_ProdData2_PDI_Cash_Exception_Application[[#This Row],[TODAY]]-qry_ProdData2_PDI_Cash_Exception_Application[[#This Row],[CHANGED ON]]</f>
        <v>12.742928240739275</v>
      </c>
      <c r="M1946">
        <f ca="1">qry_ProdData2_PDI_Cash_Exception_Application[[#This Row],[TODAY]]-qry_ProdData2_PDI_Cash_Exception_Application[[#This Row],[CHANGED ON]]</f>
        <v>12.742928240739275</v>
      </c>
      <c r="N1946">
        <f ca="1">qry_ProdData2_PDI_Cash_Exception_Application[[#This Row],[TODAY]]-qry_ProdData2_PDI_Cash_Exception_Application[[#This Row],[CHANGED ON]]</f>
        <v>12.742928240739275</v>
      </c>
    </row>
    <row r="1947" spans="1:14" x14ac:dyDescent="0.35">
      <c r="A1947">
        <v>1029</v>
      </c>
      <c r="B1947" t="s">
        <v>83</v>
      </c>
      <c r="C1947" s="1">
        <v>45194.257071759261</v>
      </c>
      <c r="D1947" t="str">
        <f ca="1">VLOOKUP(qry_ProdData2_PDI_Cash_Exception_Application[[#This Row],[TYPE]],#REF!,2,FALSE)</f>
        <v>type40</v>
      </c>
      <c r="E1947">
        <v>526.01</v>
      </c>
      <c r="F1947" t="s">
        <v>50</v>
      </c>
      <c r="G1947" s="1">
        <f>qry_ProdData2_PDI_Cash_Exception_Application[[#This Row],[INSERT DATE]]+1</f>
        <v>45195.257071759261</v>
      </c>
      <c r="H1947" t="str">
        <f>VLOOKUP(qry_ProdData2_PDI_Cash_Exception_Application[[#This Row],[MARKET No]],'Site Allocation'!$B$2:$C$37,2,FALSE)</f>
        <v>Analyst5</v>
      </c>
      <c r="I1947" s="4">
        <f t="shared" ca="1" si="30"/>
        <v>45203</v>
      </c>
      <c r="J1947" s="42">
        <f ca="1">TODAY()-qry_ProdData2_PDI_Cash_Exception_Application[[#This Row],[INSERT DATE]]</f>
        <v>8.7429282407392748</v>
      </c>
      <c r="K19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947">
        <f ca="1">qry_ProdData2_PDI_Cash_Exception_Application[[#This Row],[TODAY]]-qry_ProdData2_PDI_Cash_Exception_Application[[#This Row],[CHANGED ON]]</f>
        <v>7.7429282407392748</v>
      </c>
      <c r="M1947">
        <f ca="1">qry_ProdData2_PDI_Cash_Exception_Application[[#This Row],[TODAY]]-qry_ProdData2_PDI_Cash_Exception_Application[[#This Row],[CHANGED ON]]</f>
        <v>7.7429282407392748</v>
      </c>
      <c r="N1947">
        <f ca="1">qry_ProdData2_PDI_Cash_Exception_Application[[#This Row],[TODAY]]-qry_ProdData2_PDI_Cash_Exception_Application[[#This Row],[CHANGED ON]]</f>
        <v>7.7429282407392748</v>
      </c>
    </row>
    <row r="1948" spans="1:14" x14ac:dyDescent="0.35">
      <c r="A1948">
        <v>1009</v>
      </c>
      <c r="B1948" t="s">
        <v>63</v>
      </c>
      <c r="C1948" s="1">
        <v>45181.257071759261</v>
      </c>
      <c r="D1948" t="str">
        <f ca="1">VLOOKUP(qry_ProdData2_PDI_Cash_Exception_Application[[#This Row],[TYPE]],#REF!,2,FALSE)</f>
        <v>type20</v>
      </c>
      <c r="E1948">
        <v>240</v>
      </c>
      <c r="F1948" t="s">
        <v>48</v>
      </c>
      <c r="G1948" s="1">
        <f>qry_ProdData2_PDI_Cash_Exception_Application[[#This Row],[INSERT DATE]]+5</f>
        <v>45186.257071759261</v>
      </c>
      <c r="H1948" t="str">
        <f>VLOOKUP(qry_ProdData2_PDI_Cash_Exception_Application[[#This Row],[MARKET No]],'Site Allocation'!$B$2:$C$37,2,FALSE)</f>
        <v>Analyst2</v>
      </c>
      <c r="I1948" s="4">
        <f t="shared" ca="1" si="30"/>
        <v>45203</v>
      </c>
      <c r="J1948" s="42">
        <f ca="1">TODAY()-qry_ProdData2_PDI_Cash_Exception_Application[[#This Row],[INSERT DATE]]</f>
        <v>21.742928240739275</v>
      </c>
      <c r="K19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48">
        <f ca="1">qry_ProdData2_PDI_Cash_Exception_Application[[#This Row],[TODAY]]-qry_ProdData2_PDI_Cash_Exception_Application[[#This Row],[CHANGED ON]]</f>
        <v>16.742928240739275</v>
      </c>
      <c r="M1948">
        <f ca="1">qry_ProdData2_PDI_Cash_Exception_Application[[#This Row],[TODAY]]-qry_ProdData2_PDI_Cash_Exception_Application[[#This Row],[CHANGED ON]]</f>
        <v>16.742928240739275</v>
      </c>
      <c r="N1948">
        <f ca="1">qry_ProdData2_PDI_Cash_Exception_Application[[#This Row],[TODAY]]-qry_ProdData2_PDI_Cash_Exception_Application[[#This Row],[CHANGED ON]]</f>
        <v>16.742928240739275</v>
      </c>
    </row>
    <row r="1949" spans="1:14" x14ac:dyDescent="0.35">
      <c r="A1949">
        <v>1011</v>
      </c>
      <c r="B1949" t="s">
        <v>65</v>
      </c>
      <c r="C1949" s="1">
        <v>45189.257071759261</v>
      </c>
      <c r="D1949" t="str">
        <f ca="1">VLOOKUP(qry_ProdData2_PDI_Cash_Exception_Application[[#This Row],[TYPE]],#REF!,2,FALSE)</f>
        <v>type13</v>
      </c>
      <c r="E1949">
        <v>28359.59</v>
      </c>
      <c r="F1949" t="s">
        <v>51</v>
      </c>
      <c r="G1949" s="1">
        <f>qry_ProdData2_PDI_Cash_Exception_Application[[#This Row],[INSERT DATE]]+2</f>
        <v>45191.257071759261</v>
      </c>
      <c r="H1949" t="str">
        <f>VLOOKUP(qry_ProdData2_PDI_Cash_Exception_Application[[#This Row],[MARKET No]],'Site Allocation'!$B$2:$C$37,2,FALSE)</f>
        <v>Analyst2</v>
      </c>
      <c r="I1949" s="4">
        <f t="shared" ca="1" si="30"/>
        <v>45203</v>
      </c>
      <c r="J1949" s="42">
        <f ca="1">TODAY()-qry_ProdData2_PDI_Cash_Exception_Application[[#This Row],[INSERT DATE]]</f>
        <v>13.742928240739275</v>
      </c>
      <c r="K19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49">
        <f ca="1">qry_ProdData2_PDI_Cash_Exception_Application[[#This Row],[TODAY]]-qry_ProdData2_PDI_Cash_Exception_Application[[#This Row],[CHANGED ON]]</f>
        <v>11.742928240739275</v>
      </c>
      <c r="M1949">
        <f ca="1">qry_ProdData2_PDI_Cash_Exception_Application[[#This Row],[TODAY]]-qry_ProdData2_PDI_Cash_Exception_Application[[#This Row],[CHANGED ON]]</f>
        <v>11.742928240739275</v>
      </c>
      <c r="N1949">
        <f ca="1">qry_ProdData2_PDI_Cash_Exception_Application[[#This Row],[TODAY]]-qry_ProdData2_PDI_Cash_Exception_Application[[#This Row],[CHANGED ON]]</f>
        <v>11.742928240739275</v>
      </c>
    </row>
    <row r="1950" spans="1:14" x14ac:dyDescent="0.35">
      <c r="A1950">
        <v>1002</v>
      </c>
      <c r="B1950" t="s">
        <v>56</v>
      </c>
      <c r="C1950" s="1">
        <v>45182.257071759261</v>
      </c>
      <c r="D1950" t="str">
        <f ca="1">VLOOKUP(qry_ProdData2_PDI_Cash_Exception_Application[[#This Row],[TYPE]],#REF!,2,FALSE)</f>
        <v>type40</v>
      </c>
      <c r="E1950">
        <v>20</v>
      </c>
      <c r="F1950" t="s">
        <v>48</v>
      </c>
      <c r="G1950" s="1">
        <f>qry_ProdData2_PDI_Cash_Exception_Application[[#This Row],[INSERT DATE]]+5</f>
        <v>45187.257071759261</v>
      </c>
      <c r="H1950" t="str">
        <f>VLOOKUP(qry_ProdData2_PDI_Cash_Exception_Application[[#This Row],[MARKET No]],'Site Allocation'!$B$2:$C$37,2,FALSE)</f>
        <v>Analyst1</v>
      </c>
      <c r="I1950" s="4">
        <f t="shared" ca="1" si="30"/>
        <v>45203</v>
      </c>
      <c r="J1950" s="42">
        <f ca="1">TODAY()-qry_ProdData2_PDI_Cash_Exception_Application[[#This Row],[INSERT DATE]]</f>
        <v>20.742928240739275</v>
      </c>
      <c r="K19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50">
        <f ca="1">qry_ProdData2_PDI_Cash_Exception_Application[[#This Row],[TODAY]]-qry_ProdData2_PDI_Cash_Exception_Application[[#This Row],[CHANGED ON]]</f>
        <v>15.742928240739275</v>
      </c>
      <c r="M1950">
        <f ca="1">qry_ProdData2_PDI_Cash_Exception_Application[[#This Row],[TODAY]]-qry_ProdData2_PDI_Cash_Exception_Application[[#This Row],[CHANGED ON]]</f>
        <v>15.742928240739275</v>
      </c>
      <c r="N1950">
        <f ca="1">qry_ProdData2_PDI_Cash_Exception_Application[[#This Row],[TODAY]]-qry_ProdData2_PDI_Cash_Exception_Application[[#This Row],[CHANGED ON]]</f>
        <v>15.742928240739275</v>
      </c>
    </row>
    <row r="1951" spans="1:14" x14ac:dyDescent="0.35">
      <c r="A1951">
        <v>1035</v>
      </c>
      <c r="B1951" t="s">
        <v>89</v>
      </c>
      <c r="C1951" s="1">
        <v>45185.257071759261</v>
      </c>
      <c r="D1951" t="str">
        <f ca="1">VLOOKUP(qry_ProdData2_PDI_Cash_Exception_Application[[#This Row],[TYPE]],#REF!,2,FALSE)</f>
        <v>type10</v>
      </c>
      <c r="E1951">
        <v>-30</v>
      </c>
      <c r="F1951" t="s">
        <v>48</v>
      </c>
      <c r="G1951" s="1">
        <f>qry_ProdData2_PDI_Cash_Exception_Application[[#This Row],[INSERT DATE]]+7</f>
        <v>45192.257071759261</v>
      </c>
      <c r="H1951" t="str">
        <f>VLOOKUP(qry_ProdData2_PDI_Cash_Exception_Application[[#This Row],[MARKET No]],'Site Allocation'!$B$2:$C$37,2,FALSE)</f>
        <v>Analyst6</v>
      </c>
      <c r="I1951" s="4">
        <f t="shared" ca="1" si="30"/>
        <v>45203</v>
      </c>
      <c r="J1951" s="42">
        <f ca="1">TODAY()-qry_ProdData2_PDI_Cash_Exception_Application[[#This Row],[INSERT DATE]]</f>
        <v>17.742928240739275</v>
      </c>
      <c r="K19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51">
        <f ca="1">qry_ProdData2_PDI_Cash_Exception_Application[[#This Row],[TODAY]]-qry_ProdData2_PDI_Cash_Exception_Application[[#This Row],[CHANGED ON]]</f>
        <v>10.742928240739275</v>
      </c>
      <c r="M1951">
        <f ca="1">qry_ProdData2_PDI_Cash_Exception_Application[[#This Row],[TODAY]]-qry_ProdData2_PDI_Cash_Exception_Application[[#This Row],[CHANGED ON]]</f>
        <v>10.742928240739275</v>
      </c>
      <c r="N1951">
        <f ca="1">qry_ProdData2_PDI_Cash_Exception_Application[[#This Row],[TODAY]]-qry_ProdData2_PDI_Cash_Exception_Application[[#This Row],[CHANGED ON]]</f>
        <v>10.742928240739275</v>
      </c>
    </row>
    <row r="1952" spans="1:14" x14ac:dyDescent="0.35">
      <c r="A1952">
        <v>1001</v>
      </c>
      <c r="B1952" t="s">
        <v>55</v>
      </c>
      <c r="C1952" s="1">
        <v>45180.257071759261</v>
      </c>
      <c r="D1952" t="str">
        <f ca="1">VLOOKUP(qry_ProdData2_PDI_Cash_Exception_Application[[#This Row],[TYPE]],#REF!,2,FALSE)</f>
        <v>type40</v>
      </c>
      <c r="E1952">
        <v>840.38</v>
      </c>
      <c r="F1952" t="s">
        <v>51</v>
      </c>
      <c r="G1952" s="1">
        <f>qry_ProdData2_PDI_Cash_Exception_Application[[#This Row],[INSERT DATE]]+2</f>
        <v>45182.257071759261</v>
      </c>
      <c r="H1952" t="str">
        <f>VLOOKUP(qry_ProdData2_PDI_Cash_Exception_Application[[#This Row],[MARKET No]],'Site Allocation'!$B$2:$C$37,2,FALSE)</f>
        <v>Analyst1</v>
      </c>
      <c r="I1952" s="4">
        <f t="shared" ca="1" si="30"/>
        <v>45203</v>
      </c>
      <c r="J1952" s="42">
        <f ca="1">TODAY()-qry_ProdData2_PDI_Cash_Exception_Application[[#This Row],[INSERT DATE]]</f>
        <v>22.742928240739275</v>
      </c>
      <c r="K19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52">
        <f ca="1">qry_ProdData2_PDI_Cash_Exception_Application[[#This Row],[TODAY]]-qry_ProdData2_PDI_Cash_Exception_Application[[#This Row],[CHANGED ON]]</f>
        <v>20.742928240739275</v>
      </c>
      <c r="M1952">
        <f ca="1">qry_ProdData2_PDI_Cash_Exception_Application[[#This Row],[TODAY]]-qry_ProdData2_PDI_Cash_Exception_Application[[#This Row],[CHANGED ON]]</f>
        <v>20.742928240739275</v>
      </c>
      <c r="N1952">
        <f ca="1">qry_ProdData2_PDI_Cash_Exception_Application[[#This Row],[TODAY]]-qry_ProdData2_PDI_Cash_Exception_Application[[#This Row],[CHANGED ON]]</f>
        <v>20.742928240739275</v>
      </c>
    </row>
    <row r="1953" spans="1:14" x14ac:dyDescent="0.35">
      <c r="A1953">
        <v>1025</v>
      </c>
      <c r="B1953" t="s">
        <v>79</v>
      </c>
      <c r="C1953" s="1">
        <v>45189.257071759261</v>
      </c>
      <c r="D1953" t="str">
        <f ca="1">VLOOKUP(qry_ProdData2_PDI_Cash_Exception_Application[[#This Row],[TYPE]],#REF!,2,FALSE)</f>
        <v>type17</v>
      </c>
      <c r="E1953">
        <v>1163.69</v>
      </c>
      <c r="F1953" t="s">
        <v>48</v>
      </c>
      <c r="G1953" s="1">
        <f>qry_ProdData2_PDI_Cash_Exception_Application[[#This Row],[INSERT DATE]]+7</f>
        <v>45196.257071759261</v>
      </c>
      <c r="H1953" t="str">
        <f>VLOOKUP(qry_ProdData2_PDI_Cash_Exception_Application[[#This Row],[MARKET No]],'Site Allocation'!$B$2:$C$37,2,FALSE)</f>
        <v>Analyst5</v>
      </c>
      <c r="I1953" s="4">
        <f t="shared" ca="1" si="30"/>
        <v>45203</v>
      </c>
      <c r="J1953" s="42">
        <f ca="1">TODAY()-qry_ProdData2_PDI_Cash_Exception_Application[[#This Row],[INSERT DATE]]</f>
        <v>13.742928240739275</v>
      </c>
      <c r="K19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53">
        <f ca="1">qry_ProdData2_PDI_Cash_Exception_Application[[#This Row],[TODAY]]-qry_ProdData2_PDI_Cash_Exception_Application[[#This Row],[CHANGED ON]]</f>
        <v>6.7429282407392748</v>
      </c>
      <c r="M1953">
        <f ca="1">qry_ProdData2_PDI_Cash_Exception_Application[[#This Row],[TODAY]]-qry_ProdData2_PDI_Cash_Exception_Application[[#This Row],[CHANGED ON]]</f>
        <v>6.7429282407392748</v>
      </c>
      <c r="N1953">
        <f ca="1">qry_ProdData2_PDI_Cash_Exception_Application[[#This Row],[TODAY]]-qry_ProdData2_PDI_Cash_Exception_Application[[#This Row],[CHANGED ON]]</f>
        <v>6.7429282407392748</v>
      </c>
    </row>
    <row r="1954" spans="1:14" x14ac:dyDescent="0.35">
      <c r="A1954">
        <v>1009</v>
      </c>
      <c r="B1954" t="s">
        <v>63</v>
      </c>
      <c r="C1954" s="1">
        <v>45185.257071759261</v>
      </c>
      <c r="D1954" t="str">
        <f ca="1">VLOOKUP(qry_ProdData2_PDI_Cash_Exception_Application[[#This Row],[TYPE]],#REF!,2,FALSE)</f>
        <v>type40</v>
      </c>
      <c r="E1954">
        <v>-1414.28</v>
      </c>
      <c r="F1954" t="s">
        <v>49</v>
      </c>
      <c r="G1954" s="1">
        <f>qry_ProdData2_PDI_Cash_Exception_Application[[#This Row],[INSERT DATE]]+1</f>
        <v>45186.257071759261</v>
      </c>
      <c r="H1954" t="str">
        <f>VLOOKUP(qry_ProdData2_PDI_Cash_Exception_Application[[#This Row],[MARKET No]],'Site Allocation'!$B$2:$C$37,2,FALSE)</f>
        <v>Analyst2</v>
      </c>
      <c r="I1954" s="4">
        <f t="shared" ca="1" si="30"/>
        <v>45203</v>
      </c>
      <c r="J1954" s="42">
        <f ca="1">TODAY()-qry_ProdData2_PDI_Cash_Exception_Application[[#This Row],[INSERT DATE]]</f>
        <v>17.742928240739275</v>
      </c>
      <c r="K19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54">
        <f ca="1">qry_ProdData2_PDI_Cash_Exception_Application[[#This Row],[TODAY]]-qry_ProdData2_PDI_Cash_Exception_Application[[#This Row],[CHANGED ON]]</f>
        <v>16.742928240739275</v>
      </c>
      <c r="M1954">
        <f ca="1">qry_ProdData2_PDI_Cash_Exception_Application[[#This Row],[TODAY]]-qry_ProdData2_PDI_Cash_Exception_Application[[#This Row],[CHANGED ON]]</f>
        <v>16.742928240739275</v>
      </c>
      <c r="N1954">
        <f ca="1">qry_ProdData2_PDI_Cash_Exception_Application[[#This Row],[TODAY]]-qry_ProdData2_PDI_Cash_Exception_Application[[#This Row],[CHANGED ON]]</f>
        <v>16.742928240739275</v>
      </c>
    </row>
    <row r="1955" spans="1:14" x14ac:dyDescent="0.35">
      <c r="A1955">
        <v>1016</v>
      </c>
      <c r="B1955" t="s">
        <v>70</v>
      </c>
      <c r="C1955" s="1">
        <v>45186.257071759261</v>
      </c>
      <c r="D1955" t="str">
        <f ca="1">VLOOKUP(qry_ProdData2_PDI_Cash_Exception_Application[[#This Row],[TYPE]],#REF!,2,FALSE)</f>
        <v>type40</v>
      </c>
      <c r="E1955">
        <v>-400.82</v>
      </c>
      <c r="F1955" t="s">
        <v>49</v>
      </c>
      <c r="G1955" s="1">
        <f>qry_ProdData2_PDI_Cash_Exception_Application[[#This Row],[INSERT DATE]]+1</f>
        <v>45187.257071759261</v>
      </c>
      <c r="H1955" t="str">
        <f>VLOOKUP(qry_ProdData2_PDI_Cash_Exception_Application[[#This Row],[MARKET No]],'Site Allocation'!$B$2:$C$37,2,FALSE)</f>
        <v>Analyst3</v>
      </c>
      <c r="I1955" s="4">
        <f t="shared" ca="1" si="30"/>
        <v>45203</v>
      </c>
      <c r="J1955" s="42">
        <f ca="1">TODAY()-qry_ProdData2_PDI_Cash_Exception_Application[[#This Row],[INSERT DATE]]</f>
        <v>16.742928240739275</v>
      </c>
      <c r="K19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55">
        <f ca="1">qry_ProdData2_PDI_Cash_Exception_Application[[#This Row],[TODAY]]-qry_ProdData2_PDI_Cash_Exception_Application[[#This Row],[CHANGED ON]]</f>
        <v>15.742928240739275</v>
      </c>
      <c r="M1955">
        <f ca="1">qry_ProdData2_PDI_Cash_Exception_Application[[#This Row],[TODAY]]-qry_ProdData2_PDI_Cash_Exception_Application[[#This Row],[CHANGED ON]]</f>
        <v>15.742928240739275</v>
      </c>
      <c r="N1955">
        <f ca="1">qry_ProdData2_PDI_Cash_Exception_Application[[#This Row],[TODAY]]-qry_ProdData2_PDI_Cash_Exception_Application[[#This Row],[CHANGED ON]]</f>
        <v>15.742928240739275</v>
      </c>
    </row>
    <row r="1956" spans="1:14" x14ac:dyDescent="0.35">
      <c r="A1956">
        <v>1032</v>
      </c>
      <c r="B1956" t="s">
        <v>86</v>
      </c>
      <c r="C1956" s="1">
        <v>45189.257071759261</v>
      </c>
      <c r="D1956" t="str">
        <f ca="1">VLOOKUP(qry_ProdData2_PDI_Cash_Exception_Application[[#This Row],[TYPE]],#REF!,2,FALSE)</f>
        <v>type18</v>
      </c>
      <c r="E1956">
        <v>609.96</v>
      </c>
      <c r="F1956" t="s">
        <v>49</v>
      </c>
      <c r="G1956" s="1">
        <f>qry_ProdData2_PDI_Cash_Exception_Application[[#This Row],[INSERT DATE]]+1</f>
        <v>45190.257071759261</v>
      </c>
      <c r="H1956" t="str">
        <f>VLOOKUP(qry_ProdData2_PDI_Cash_Exception_Application[[#This Row],[MARKET No]],'Site Allocation'!$B$2:$C$37,2,FALSE)</f>
        <v>Analyst6</v>
      </c>
      <c r="I1956" s="4">
        <f t="shared" ca="1" si="30"/>
        <v>45203</v>
      </c>
      <c r="J1956" s="42">
        <f ca="1">TODAY()-qry_ProdData2_PDI_Cash_Exception_Application[[#This Row],[INSERT DATE]]</f>
        <v>13.742928240739275</v>
      </c>
      <c r="K19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56">
        <f ca="1">qry_ProdData2_PDI_Cash_Exception_Application[[#This Row],[TODAY]]-qry_ProdData2_PDI_Cash_Exception_Application[[#This Row],[CHANGED ON]]</f>
        <v>12.742928240739275</v>
      </c>
      <c r="M1956">
        <f ca="1">qry_ProdData2_PDI_Cash_Exception_Application[[#This Row],[TODAY]]-qry_ProdData2_PDI_Cash_Exception_Application[[#This Row],[CHANGED ON]]</f>
        <v>12.742928240739275</v>
      </c>
      <c r="N1956">
        <f ca="1">qry_ProdData2_PDI_Cash_Exception_Application[[#This Row],[TODAY]]-qry_ProdData2_PDI_Cash_Exception_Application[[#This Row],[CHANGED ON]]</f>
        <v>12.742928240739275</v>
      </c>
    </row>
    <row r="1957" spans="1:14" x14ac:dyDescent="0.35">
      <c r="A1957">
        <v>1012</v>
      </c>
      <c r="B1957" t="s">
        <v>66</v>
      </c>
      <c r="C1957" s="1">
        <v>45189.257071759261</v>
      </c>
      <c r="D1957" t="str">
        <f ca="1">VLOOKUP(qry_ProdData2_PDI_Cash_Exception_Application[[#This Row],[TYPE]],#REF!,2,FALSE)</f>
        <v>type40</v>
      </c>
      <c r="E1957">
        <v>-475.65</v>
      </c>
      <c r="F1957" t="s">
        <v>52</v>
      </c>
      <c r="G1957" s="1">
        <f>qry_ProdData2_PDI_Cash_Exception_Application[[#This Row],[INSERT DATE]]+1</f>
        <v>45190.257071759261</v>
      </c>
      <c r="H1957" t="str">
        <f>VLOOKUP(qry_ProdData2_PDI_Cash_Exception_Application[[#This Row],[MARKET No]],'Site Allocation'!$B$2:$C$37,2,FALSE)</f>
        <v>Analyst3</v>
      </c>
      <c r="I1957" s="4">
        <f t="shared" ca="1" si="30"/>
        <v>45203</v>
      </c>
      <c r="J1957" s="42">
        <f ca="1">TODAY()-qry_ProdData2_PDI_Cash_Exception_Application[[#This Row],[INSERT DATE]]</f>
        <v>13.742928240739275</v>
      </c>
      <c r="K19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57">
        <f ca="1">qry_ProdData2_PDI_Cash_Exception_Application[[#This Row],[TODAY]]-qry_ProdData2_PDI_Cash_Exception_Application[[#This Row],[CHANGED ON]]</f>
        <v>12.742928240739275</v>
      </c>
      <c r="M1957">
        <f ca="1">qry_ProdData2_PDI_Cash_Exception_Application[[#This Row],[TODAY]]-qry_ProdData2_PDI_Cash_Exception_Application[[#This Row],[CHANGED ON]]</f>
        <v>12.742928240739275</v>
      </c>
      <c r="N1957">
        <f ca="1">qry_ProdData2_PDI_Cash_Exception_Application[[#This Row],[TODAY]]-qry_ProdData2_PDI_Cash_Exception_Application[[#This Row],[CHANGED ON]]</f>
        <v>12.742928240739275</v>
      </c>
    </row>
    <row r="1958" spans="1:14" x14ac:dyDescent="0.35">
      <c r="A1958">
        <v>1035</v>
      </c>
      <c r="B1958" t="s">
        <v>89</v>
      </c>
      <c r="C1958" s="1">
        <v>45190.257071759261</v>
      </c>
      <c r="D1958" t="str">
        <f ca="1">VLOOKUP(qry_ProdData2_PDI_Cash_Exception_Application[[#This Row],[TYPE]],#REF!,2,FALSE)</f>
        <v>type40</v>
      </c>
      <c r="E1958">
        <v>-1400.02</v>
      </c>
      <c r="F1958" t="s">
        <v>52</v>
      </c>
      <c r="G1958" s="1">
        <f>qry_ProdData2_PDI_Cash_Exception_Application[[#This Row],[INSERT DATE]]+1</f>
        <v>45191.257071759261</v>
      </c>
      <c r="H1958" t="str">
        <f>VLOOKUP(qry_ProdData2_PDI_Cash_Exception_Application[[#This Row],[MARKET No]],'Site Allocation'!$B$2:$C$37,2,FALSE)</f>
        <v>Analyst6</v>
      </c>
      <c r="I1958" s="4">
        <f t="shared" ca="1" si="30"/>
        <v>45203</v>
      </c>
      <c r="J1958" s="42">
        <f ca="1">TODAY()-qry_ProdData2_PDI_Cash_Exception_Application[[#This Row],[INSERT DATE]]</f>
        <v>12.742928240739275</v>
      </c>
      <c r="K19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58">
        <f ca="1">qry_ProdData2_PDI_Cash_Exception_Application[[#This Row],[TODAY]]-qry_ProdData2_PDI_Cash_Exception_Application[[#This Row],[CHANGED ON]]</f>
        <v>11.742928240739275</v>
      </c>
      <c r="M1958">
        <f ca="1">qry_ProdData2_PDI_Cash_Exception_Application[[#This Row],[TODAY]]-qry_ProdData2_PDI_Cash_Exception_Application[[#This Row],[CHANGED ON]]</f>
        <v>11.742928240739275</v>
      </c>
      <c r="N1958">
        <f ca="1">qry_ProdData2_PDI_Cash_Exception_Application[[#This Row],[TODAY]]-qry_ProdData2_PDI_Cash_Exception_Application[[#This Row],[CHANGED ON]]</f>
        <v>11.742928240739275</v>
      </c>
    </row>
    <row r="1959" spans="1:14" x14ac:dyDescent="0.35">
      <c r="A1959">
        <v>1034</v>
      </c>
      <c r="B1959" t="s">
        <v>88</v>
      </c>
      <c r="C1959" s="1">
        <v>45190.257071759261</v>
      </c>
      <c r="D1959" t="str">
        <f ca="1">VLOOKUP(qry_ProdData2_PDI_Cash_Exception_Application[[#This Row],[TYPE]],#REF!,2,FALSE)</f>
        <v>type40</v>
      </c>
      <c r="E1959">
        <v>877.57</v>
      </c>
      <c r="F1959" t="s">
        <v>50</v>
      </c>
      <c r="G1959" s="1">
        <f>qry_ProdData2_PDI_Cash_Exception_Application[[#This Row],[INSERT DATE]]+1</f>
        <v>45191.257071759261</v>
      </c>
      <c r="H1959" t="str">
        <f>VLOOKUP(qry_ProdData2_PDI_Cash_Exception_Application[[#This Row],[MARKET No]],'Site Allocation'!$B$2:$C$37,2,FALSE)</f>
        <v>Analyst6</v>
      </c>
      <c r="I1959" s="4">
        <f t="shared" ca="1" si="30"/>
        <v>45203</v>
      </c>
      <c r="J1959" s="42">
        <f ca="1">TODAY()-qry_ProdData2_PDI_Cash_Exception_Application[[#This Row],[INSERT DATE]]</f>
        <v>12.742928240739275</v>
      </c>
      <c r="K19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59">
        <f ca="1">qry_ProdData2_PDI_Cash_Exception_Application[[#This Row],[TODAY]]-qry_ProdData2_PDI_Cash_Exception_Application[[#This Row],[CHANGED ON]]</f>
        <v>11.742928240739275</v>
      </c>
      <c r="M1959">
        <f ca="1">qry_ProdData2_PDI_Cash_Exception_Application[[#This Row],[TODAY]]-qry_ProdData2_PDI_Cash_Exception_Application[[#This Row],[CHANGED ON]]</f>
        <v>11.742928240739275</v>
      </c>
      <c r="N1959">
        <f ca="1">qry_ProdData2_PDI_Cash_Exception_Application[[#This Row],[TODAY]]-qry_ProdData2_PDI_Cash_Exception_Application[[#This Row],[CHANGED ON]]</f>
        <v>11.742928240739275</v>
      </c>
    </row>
    <row r="1960" spans="1:14" x14ac:dyDescent="0.35">
      <c r="A1960">
        <v>1018</v>
      </c>
      <c r="B1960" t="s">
        <v>72</v>
      </c>
      <c r="C1960" s="1">
        <v>45186.257071759261</v>
      </c>
      <c r="D1960" t="str">
        <f ca="1">VLOOKUP(qry_ProdData2_PDI_Cash_Exception_Application[[#This Row],[TYPE]],#REF!,2,FALSE)</f>
        <v>type40</v>
      </c>
      <c r="E1960">
        <v>25.56</v>
      </c>
      <c r="F1960" t="s">
        <v>48</v>
      </c>
      <c r="G1960" s="1">
        <f>qry_ProdData2_PDI_Cash_Exception_Application[[#This Row],[INSERT DATE]]+7</f>
        <v>45193.257071759261</v>
      </c>
      <c r="H1960" t="str">
        <f>VLOOKUP(qry_ProdData2_PDI_Cash_Exception_Application[[#This Row],[MARKET No]],'Site Allocation'!$B$2:$C$37,2,FALSE)</f>
        <v>Analyst4</v>
      </c>
      <c r="I1960" s="4">
        <f t="shared" ca="1" si="30"/>
        <v>45203</v>
      </c>
      <c r="J1960" s="42">
        <f ca="1">TODAY()-qry_ProdData2_PDI_Cash_Exception_Application[[#This Row],[INSERT DATE]]</f>
        <v>16.742928240739275</v>
      </c>
      <c r="K19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60">
        <f ca="1">qry_ProdData2_PDI_Cash_Exception_Application[[#This Row],[TODAY]]-qry_ProdData2_PDI_Cash_Exception_Application[[#This Row],[CHANGED ON]]</f>
        <v>9.7429282407392748</v>
      </c>
      <c r="M1960">
        <f ca="1">qry_ProdData2_PDI_Cash_Exception_Application[[#This Row],[TODAY]]-qry_ProdData2_PDI_Cash_Exception_Application[[#This Row],[CHANGED ON]]</f>
        <v>9.7429282407392748</v>
      </c>
      <c r="N1960">
        <f ca="1">qry_ProdData2_PDI_Cash_Exception_Application[[#This Row],[TODAY]]-qry_ProdData2_PDI_Cash_Exception_Application[[#This Row],[CHANGED ON]]</f>
        <v>9.7429282407392748</v>
      </c>
    </row>
    <row r="1961" spans="1:14" x14ac:dyDescent="0.35">
      <c r="A1961">
        <v>1009</v>
      </c>
      <c r="B1961" t="s">
        <v>63</v>
      </c>
      <c r="C1961" s="1">
        <v>45181.257071759261</v>
      </c>
      <c r="D1961" t="str">
        <f ca="1">VLOOKUP(qry_ProdData2_PDI_Cash_Exception_Application[[#This Row],[TYPE]],#REF!,2,FALSE)</f>
        <v>type42</v>
      </c>
      <c r="E1961">
        <v>414</v>
      </c>
      <c r="F1961" t="s">
        <v>47</v>
      </c>
      <c r="G1961" s="1">
        <f>qry_ProdData2_PDI_Cash_Exception_Application[[#This Row],[INSERT DATE]]+5</f>
        <v>45186.257071759261</v>
      </c>
      <c r="H1961" t="str">
        <f>VLOOKUP(qry_ProdData2_PDI_Cash_Exception_Application[[#This Row],[MARKET No]],'Site Allocation'!$B$2:$C$37,2,FALSE)</f>
        <v>Analyst2</v>
      </c>
      <c r="I1961" s="4">
        <f t="shared" ca="1" si="30"/>
        <v>45203</v>
      </c>
      <c r="J1961" s="42">
        <f ca="1">TODAY()-qry_ProdData2_PDI_Cash_Exception_Application[[#This Row],[INSERT DATE]]</f>
        <v>21.742928240739275</v>
      </c>
      <c r="K19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61">
        <f ca="1">qry_ProdData2_PDI_Cash_Exception_Application[[#This Row],[TODAY]]-qry_ProdData2_PDI_Cash_Exception_Application[[#This Row],[CHANGED ON]]</f>
        <v>16.742928240739275</v>
      </c>
      <c r="M1961">
        <f ca="1">qry_ProdData2_PDI_Cash_Exception_Application[[#This Row],[TODAY]]-qry_ProdData2_PDI_Cash_Exception_Application[[#This Row],[CHANGED ON]]</f>
        <v>16.742928240739275</v>
      </c>
      <c r="N1961">
        <f ca="1">qry_ProdData2_PDI_Cash_Exception_Application[[#This Row],[TODAY]]-qry_ProdData2_PDI_Cash_Exception_Application[[#This Row],[CHANGED ON]]</f>
        <v>16.742928240739275</v>
      </c>
    </row>
    <row r="1962" spans="1:14" x14ac:dyDescent="0.35">
      <c r="A1962">
        <v>1023</v>
      </c>
      <c r="B1962" t="s">
        <v>77</v>
      </c>
      <c r="C1962" s="1">
        <v>45193.257071759261</v>
      </c>
      <c r="D1962" t="str">
        <f ca="1">VLOOKUP(qry_ProdData2_PDI_Cash_Exception_Application[[#This Row],[TYPE]],#REF!,2,FALSE)</f>
        <v>type40</v>
      </c>
      <c r="E1962">
        <v>-1152.8599999999999</v>
      </c>
      <c r="F1962" t="s">
        <v>50</v>
      </c>
      <c r="G1962" s="1">
        <f>qry_ProdData2_PDI_Cash_Exception_Application[[#This Row],[INSERT DATE]]+2</f>
        <v>45195.257071759261</v>
      </c>
      <c r="H1962" t="str">
        <f>VLOOKUP(qry_ProdData2_PDI_Cash_Exception_Application[[#This Row],[MARKET No]],'Site Allocation'!$B$2:$C$37,2,FALSE)</f>
        <v>Analyst4</v>
      </c>
      <c r="I1962" s="4">
        <f t="shared" ca="1" si="30"/>
        <v>45203</v>
      </c>
      <c r="J1962" s="42">
        <f ca="1">TODAY()-qry_ProdData2_PDI_Cash_Exception_Application[[#This Row],[INSERT DATE]]</f>
        <v>9.7429282407392748</v>
      </c>
      <c r="K19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62">
        <f ca="1">qry_ProdData2_PDI_Cash_Exception_Application[[#This Row],[TODAY]]-qry_ProdData2_PDI_Cash_Exception_Application[[#This Row],[CHANGED ON]]</f>
        <v>7.7429282407392748</v>
      </c>
      <c r="M1962">
        <f ca="1">qry_ProdData2_PDI_Cash_Exception_Application[[#This Row],[TODAY]]-qry_ProdData2_PDI_Cash_Exception_Application[[#This Row],[CHANGED ON]]</f>
        <v>7.7429282407392748</v>
      </c>
      <c r="N1962">
        <f ca="1">qry_ProdData2_PDI_Cash_Exception_Application[[#This Row],[TODAY]]-qry_ProdData2_PDI_Cash_Exception_Application[[#This Row],[CHANGED ON]]</f>
        <v>7.7429282407392748</v>
      </c>
    </row>
    <row r="1963" spans="1:14" x14ac:dyDescent="0.35">
      <c r="A1963">
        <v>1004</v>
      </c>
      <c r="B1963" t="s">
        <v>58</v>
      </c>
      <c r="C1963" s="1">
        <v>45183.257071759261</v>
      </c>
      <c r="D1963" t="str">
        <f ca="1">VLOOKUP(qry_ProdData2_PDI_Cash_Exception_Application[[#This Row],[TYPE]],#REF!,2,FALSE)</f>
        <v>type40</v>
      </c>
      <c r="E1963">
        <v>1373.92</v>
      </c>
      <c r="F1963" t="s">
        <v>47</v>
      </c>
      <c r="G1963" s="1">
        <f>qry_ProdData2_PDI_Cash_Exception_Application[[#This Row],[INSERT DATE]]+5</f>
        <v>45188.257071759261</v>
      </c>
      <c r="H1963" t="str">
        <f>VLOOKUP(qry_ProdData2_PDI_Cash_Exception_Application[[#This Row],[MARKET No]],'Site Allocation'!$B$2:$C$37,2,FALSE)</f>
        <v>Analyst1</v>
      </c>
      <c r="I1963" s="4">
        <f t="shared" ca="1" si="30"/>
        <v>45203</v>
      </c>
      <c r="J1963" s="42">
        <f ca="1">TODAY()-qry_ProdData2_PDI_Cash_Exception_Application[[#This Row],[INSERT DATE]]</f>
        <v>19.742928240739275</v>
      </c>
      <c r="K19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63">
        <f ca="1">qry_ProdData2_PDI_Cash_Exception_Application[[#This Row],[TODAY]]-qry_ProdData2_PDI_Cash_Exception_Application[[#This Row],[CHANGED ON]]</f>
        <v>14.742928240739275</v>
      </c>
      <c r="M1963">
        <f ca="1">qry_ProdData2_PDI_Cash_Exception_Application[[#This Row],[TODAY]]-qry_ProdData2_PDI_Cash_Exception_Application[[#This Row],[CHANGED ON]]</f>
        <v>14.742928240739275</v>
      </c>
      <c r="N1963">
        <f ca="1">qry_ProdData2_PDI_Cash_Exception_Application[[#This Row],[TODAY]]-qry_ProdData2_PDI_Cash_Exception_Application[[#This Row],[CHANGED ON]]</f>
        <v>14.742928240739275</v>
      </c>
    </row>
    <row r="1964" spans="1:14" x14ac:dyDescent="0.35">
      <c r="A1964">
        <v>1026</v>
      </c>
      <c r="B1964" t="s">
        <v>80</v>
      </c>
      <c r="C1964" s="1">
        <v>45195.257071759261</v>
      </c>
      <c r="D1964" t="str">
        <f ca="1">VLOOKUP(qry_ProdData2_PDI_Cash_Exception_Application[[#This Row],[TYPE]],#REF!,2,FALSE)</f>
        <v>type40</v>
      </c>
      <c r="E1964">
        <v>3919.97</v>
      </c>
      <c r="F1964" t="s">
        <v>50</v>
      </c>
      <c r="G1964" s="1">
        <f>qry_ProdData2_PDI_Cash_Exception_Application[[#This Row],[INSERT DATE]]+2</f>
        <v>45197.257071759261</v>
      </c>
      <c r="H1964" t="str">
        <f>VLOOKUP(qry_ProdData2_PDI_Cash_Exception_Application[[#This Row],[MARKET No]],'Site Allocation'!$B$2:$C$37,2,FALSE)</f>
        <v>Analyst5</v>
      </c>
      <c r="I1964" s="4">
        <f t="shared" ca="1" si="30"/>
        <v>45203</v>
      </c>
      <c r="J1964" s="42">
        <f ca="1">TODAY()-qry_ProdData2_PDI_Cash_Exception_Application[[#This Row],[INSERT DATE]]</f>
        <v>7.7429282407392748</v>
      </c>
      <c r="K19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964">
        <f ca="1">qry_ProdData2_PDI_Cash_Exception_Application[[#This Row],[TODAY]]-qry_ProdData2_PDI_Cash_Exception_Application[[#This Row],[CHANGED ON]]</f>
        <v>5.7429282407392748</v>
      </c>
      <c r="M1964">
        <f ca="1">qry_ProdData2_PDI_Cash_Exception_Application[[#This Row],[TODAY]]-qry_ProdData2_PDI_Cash_Exception_Application[[#This Row],[CHANGED ON]]</f>
        <v>5.7429282407392748</v>
      </c>
      <c r="N1964">
        <f ca="1">qry_ProdData2_PDI_Cash_Exception_Application[[#This Row],[TODAY]]-qry_ProdData2_PDI_Cash_Exception_Application[[#This Row],[CHANGED ON]]</f>
        <v>5.7429282407392748</v>
      </c>
    </row>
    <row r="1965" spans="1:14" x14ac:dyDescent="0.35">
      <c r="A1965">
        <v>1020</v>
      </c>
      <c r="B1965" t="s">
        <v>74</v>
      </c>
      <c r="C1965" s="1">
        <v>45196.257071759261</v>
      </c>
      <c r="D1965" t="str">
        <f ca="1">VLOOKUP(qry_ProdData2_PDI_Cash_Exception_Application[[#This Row],[TYPE]],#REF!,2,FALSE)</f>
        <v>type40</v>
      </c>
      <c r="E1965">
        <v>2572.79</v>
      </c>
      <c r="F1965" t="s">
        <v>50</v>
      </c>
      <c r="G1965" s="1">
        <f>qry_ProdData2_PDI_Cash_Exception_Application[[#This Row],[INSERT DATE]]+2</f>
        <v>45198.257071759261</v>
      </c>
      <c r="H1965" t="str">
        <f>VLOOKUP(qry_ProdData2_PDI_Cash_Exception_Application[[#This Row],[MARKET No]],'Site Allocation'!$B$2:$C$37,2,FALSE)</f>
        <v>Analyst4</v>
      </c>
      <c r="I1965" s="4">
        <f t="shared" ca="1" si="30"/>
        <v>45203</v>
      </c>
      <c r="J1965" s="42">
        <f ca="1">TODAY()-qry_ProdData2_PDI_Cash_Exception_Application[[#This Row],[INSERT DATE]]</f>
        <v>6.7429282407392748</v>
      </c>
      <c r="K19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1965">
        <f ca="1">qry_ProdData2_PDI_Cash_Exception_Application[[#This Row],[TODAY]]-qry_ProdData2_PDI_Cash_Exception_Application[[#This Row],[CHANGED ON]]</f>
        <v>4.7429282407392748</v>
      </c>
      <c r="M1965">
        <f ca="1">qry_ProdData2_PDI_Cash_Exception_Application[[#This Row],[TODAY]]-qry_ProdData2_PDI_Cash_Exception_Application[[#This Row],[CHANGED ON]]</f>
        <v>4.7429282407392748</v>
      </c>
      <c r="N1965">
        <f ca="1">qry_ProdData2_PDI_Cash_Exception_Application[[#This Row],[TODAY]]-qry_ProdData2_PDI_Cash_Exception_Application[[#This Row],[CHANGED ON]]</f>
        <v>4.7429282407392748</v>
      </c>
    </row>
    <row r="1966" spans="1:14" x14ac:dyDescent="0.35">
      <c r="A1966">
        <v>1000</v>
      </c>
      <c r="B1966" t="s">
        <v>54</v>
      </c>
      <c r="C1966" s="1">
        <v>45190.257071759261</v>
      </c>
      <c r="D1966" t="str">
        <f ca="1">VLOOKUP(qry_ProdData2_PDI_Cash_Exception_Application[[#This Row],[TYPE]],#REF!,2,FALSE)</f>
        <v>type12</v>
      </c>
      <c r="E1966">
        <v>100</v>
      </c>
      <c r="F1966" t="s">
        <v>48</v>
      </c>
      <c r="G1966" s="1">
        <f>qry_ProdData2_PDI_Cash_Exception_Application[[#This Row],[INSERT DATE]]+1</f>
        <v>45191.257071759261</v>
      </c>
      <c r="H1966" t="str">
        <f>VLOOKUP(qry_ProdData2_PDI_Cash_Exception_Application[[#This Row],[MARKET No]],'Site Allocation'!$B$2:$C$37,2,FALSE)</f>
        <v>Analyst1</v>
      </c>
      <c r="I1966" s="4">
        <f t="shared" ca="1" si="30"/>
        <v>45203</v>
      </c>
      <c r="J1966" s="42">
        <f ca="1">TODAY()-qry_ProdData2_PDI_Cash_Exception_Application[[#This Row],[INSERT DATE]]</f>
        <v>12.742928240739275</v>
      </c>
      <c r="K19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66">
        <f ca="1">qry_ProdData2_PDI_Cash_Exception_Application[[#This Row],[TODAY]]-qry_ProdData2_PDI_Cash_Exception_Application[[#This Row],[CHANGED ON]]</f>
        <v>11.742928240739275</v>
      </c>
      <c r="M1966">
        <f ca="1">qry_ProdData2_PDI_Cash_Exception_Application[[#This Row],[TODAY]]-qry_ProdData2_PDI_Cash_Exception_Application[[#This Row],[CHANGED ON]]</f>
        <v>11.742928240739275</v>
      </c>
      <c r="N1966">
        <f ca="1">qry_ProdData2_PDI_Cash_Exception_Application[[#This Row],[TODAY]]-qry_ProdData2_PDI_Cash_Exception_Application[[#This Row],[CHANGED ON]]</f>
        <v>11.742928240739275</v>
      </c>
    </row>
    <row r="1967" spans="1:14" x14ac:dyDescent="0.35">
      <c r="A1967">
        <v>1033</v>
      </c>
      <c r="B1967" t="s">
        <v>87</v>
      </c>
      <c r="C1967" s="1">
        <v>45184.257071759261</v>
      </c>
      <c r="D1967" t="str">
        <f ca="1">VLOOKUP(qry_ProdData2_PDI_Cash_Exception_Application[[#This Row],[TYPE]],#REF!,2,FALSE)</f>
        <v>type40</v>
      </c>
      <c r="E1967">
        <v>-1657.9</v>
      </c>
      <c r="F1967" t="s">
        <v>51</v>
      </c>
      <c r="G1967" s="1">
        <f>qry_ProdData2_PDI_Cash_Exception_Application[[#This Row],[INSERT DATE]]+5</f>
        <v>45189.257071759261</v>
      </c>
      <c r="H1967" t="str">
        <f>VLOOKUP(qry_ProdData2_PDI_Cash_Exception_Application[[#This Row],[MARKET No]],'Site Allocation'!$B$2:$C$37,2,FALSE)</f>
        <v>Analyst6</v>
      </c>
      <c r="I1967" s="4">
        <f t="shared" ca="1" si="30"/>
        <v>45203</v>
      </c>
      <c r="J1967" s="42">
        <f ca="1">TODAY()-qry_ProdData2_PDI_Cash_Exception_Application[[#This Row],[INSERT DATE]]</f>
        <v>18.742928240739275</v>
      </c>
      <c r="K19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67">
        <f ca="1">qry_ProdData2_PDI_Cash_Exception_Application[[#This Row],[TODAY]]-qry_ProdData2_PDI_Cash_Exception_Application[[#This Row],[CHANGED ON]]</f>
        <v>13.742928240739275</v>
      </c>
      <c r="M1967">
        <f ca="1">qry_ProdData2_PDI_Cash_Exception_Application[[#This Row],[TODAY]]-qry_ProdData2_PDI_Cash_Exception_Application[[#This Row],[CHANGED ON]]</f>
        <v>13.742928240739275</v>
      </c>
      <c r="N1967">
        <f ca="1">qry_ProdData2_PDI_Cash_Exception_Application[[#This Row],[TODAY]]-qry_ProdData2_PDI_Cash_Exception_Application[[#This Row],[CHANGED ON]]</f>
        <v>13.742928240739275</v>
      </c>
    </row>
    <row r="1968" spans="1:14" x14ac:dyDescent="0.35">
      <c r="A1968">
        <v>1004</v>
      </c>
      <c r="B1968" t="s">
        <v>58</v>
      </c>
      <c r="C1968" s="1">
        <v>45190.257071759261</v>
      </c>
      <c r="D1968" t="str">
        <f ca="1">VLOOKUP(qry_ProdData2_PDI_Cash_Exception_Application[[#This Row],[TYPE]],#REF!,2,FALSE)</f>
        <v>type40</v>
      </c>
      <c r="E1968">
        <v>-678.5</v>
      </c>
      <c r="F1968" t="s">
        <v>49</v>
      </c>
      <c r="G1968" s="1">
        <f>qry_ProdData2_PDI_Cash_Exception_Application[[#This Row],[INSERT DATE]]+1</f>
        <v>45191.257071759261</v>
      </c>
      <c r="H1968" t="str">
        <f>VLOOKUP(qry_ProdData2_PDI_Cash_Exception_Application[[#This Row],[MARKET No]],'Site Allocation'!$B$2:$C$37,2,FALSE)</f>
        <v>Analyst1</v>
      </c>
      <c r="I1968" s="4">
        <f t="shared" ca="1" si="30"/>
        <v>45203</v>
      </c>
      <c r="J1968" s="42">
        <f ca="1">TODAY()-qry_ProdData2_PDI_Cash_Exception_Application[[#This Row],[INSERT DATE]]</f>
        <v>12.742928240739275</v>
      </c>
      <c r="K19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68">
        <f ca="1">qry_ProdData2_PDI_Cash_Exception_Application[[#This Row],[TODAY]]-qry_ProdData2_PDI_Cash_Exception_Application[[#This Row],[CHANGED ON]]</f>
        <v>11.742928240739275</v>
      </c>
      <c r="M1968">
        <f ca="1">qry_ProdData2_PDI_Cash_Exception_Application[[#This Row],[TODAY]]-qry_ProdData2_PDI_Cash_Exception_Application[[#This Row],[CHANGED ON]]</f>
        <v>11.742928240739275</v>
      </c>
      <c r="N1968">
        <f ca="1">qry_ProdData2_PDI_Cash_Exception_Application[[#This Row],[TODAY]]-qry_ProdData2_PDI_Cash_Exception_Application[[#This Row],[CHANGED ON]]</f>
        <v>11.742928240739275</v>
      </c>
    </row>
    <row r="1969" spans="1:14" x14ac:dyDescent="0.35">
      <c r="A1969">
        <v>1010</v>
      </c>
      <c r="B1969" t="s">
        <v>64</v>
      </c>
      <c r="C1969" s="1">
        <v>45180.257071759261</v>
      </c>
      <c r="D1969" t="str">
        <f ca="1">VLOOKUP(qry_ProdData2_PDI_Cash_Exception_Application[[#This Row],[TYPE]],#REF!,2,FALSE)</f>
        <v>type40</v>
      </c>
      <c r="E1969">
        <v>5522.15</v>
      </c>
      <c r="F1969" t="s">
        <v>49</v>
      </c>
      <c r="G1969" s="1">
        <f>qry_ProdData2_PDI_Cash_Exception_Application[[#This Row],[INSERT DATE]]+2</f>
        <v>45182.257071759261</v>
      </c>
      <c r="H1969" t="str">
        <f>VLOOKUP(qry_ProdData2_PDI_Cash_Exception_Application[[#This Row],[MARKET No]],'Site Allocation'!$B$2:$C$37,2,FALSE)</f>
        <v>Analyst2</v>
      </c>
      <c r="I1969" s="4">
        <f t="shared" ca="1" si="30"/>
        <v>45203</v>
      </c>
      <c r="J1969" s="42">
        <f ca="1">TODAY()-qry_ProdData2_PDI_Cash_Exception_Application[[#This Row],[INSERT DATE]]</f>
        <v>22.742928240739275</v>
      </c>
      <c r="K19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69">
        <f ca="1">qry_ProdData2_PDI_Cash_Exception_Application[[#This Row],[TODAY]]-qry_ProdData2_PDI_Cash_Exception_Application[[#This Row],[CHANGED ON]]</f>
        <v>20.742928240739275</v>
      </c>
      <c r="M1969">
        <f ca="1">qry_ProdData2_PDI_Cash_Exception_Application[[#This Row],[TODAY]]-qry_ProdData2_PDI_Cash_Exception_Application[[#This Row],[CHANGED ON]]</f>
        <v>20.742928240739275</v>
      </c>
      <c r="N1969">
        <f ca="1">qry_ProdData2_PDI_Cash_Exception_Application[[#This Row],[TODAY]]-qry_ProdData2_PDI_Cash_Exception_Application[[#This Row],[CHANGED ON]]</f>
        <v>20.742928240739275</v>
      </c>
    </row>
    <row r="1970" spans="1:14" x14ac:dyDescent="0.35">
      <c r="A1970">
        <v>1006</v>
      </c>
      <c r="B1970" t="s">
        <v>60</v>
      </c>
      <c r="C1970" s="1">
        <v>45186.257071759261</v>
      </c>
      <c r="D1970" t="str">
        <f ca="1">VLOOKUP(qry_ProdData2_PDI_Cash_Exception_Application[[#This Row],[TYPE]],#REF!,2,FALSE)</f>
        <v>type42</v>
      </c>
      <c r="E1970">
        <v>262.60000000000002</v>
      </c>
      <c r="F1970" t="s">
        <v>49</v>
      </c>
      <c r="G1970" s="1">
        <f>qry_ProdData2_PDI_Cash_Exception_Application[[#This Row],[INSERT DATE]]+2</f>
        <v>45188.257071759261</v>
      </c>
      <c r="H1970" t="str">
        <f>VLOOKUP(qry_ProdData2_PDI_Cash_Exception_Application[[#This Row],[MARKET No]],'Site Allocation'!$B$2:$C$37,2,FALSE)</f>
        <v>Analyst2</v>
      </c>
      <c r="I1970" s="4">
        <f t="shared" ca="1" si="30"/>
        <v>45203</v>
      </c>
      <c r="J1970" s="42">
        <f ca="1">TODAY()-qry_ProdData2_PDI_Cash_Exception_Application[[#This Row],[INSERT DATE]]</f>
        <v>16.742928240739275</v>
      </c>
      <c r="K19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70">
        <f ca="1">qry_ProdData2_PDI_Cash_Exception_Application[[#This Row],[TODAY]]-qry_ProdData2_PDI_Cash_Exception_Application[[#This Row],[CHANGED ON]]</f>
        <v>14.742928240739275</v>
      </c>
      <c r="M1970">
        <f ca="1">qry_ProdData2_PDI_Cash_Exception_Application[[#This Row],[TODAY]]-qry_ProdData2_PDI_Cash_Exception_Application[[#This Row],[CHANGED ON]]</f>
        <v>14.742928240739275</v>
      </c>
      <c r="N1970">
        <f ca="1">qry_ProdData2_PDI_Cash_Exception_Application[[#This Row],[TODAY]]-qry_ProdData2_PDI_Cash_Exception_Application[[#This Row],[CHANGED ON]]</f>
        <v>14.742928240739275</v>
      </c>
    </row>
    <row r="1971" spans="1:14" x14ac:dyDescent="0.35">
      <c r="A1971">
        <v>1030</v>
      </c>
      <c r="B1971" t="s">
        <v>84</v>
      </c>
      <c r="C1971" s="1">
        <v>45186.257071759261</v>
      </c>
      <c r="D1971" t="str">
        <f ca="1">VLOOKUP(qry_ProdData2_PDI_Cash_Exception_Application[[#This Row],[TYPE]],#REF!,2,FALSE)</f>
        <v>type40</v>
      </c>
      <c r="E1971">
        <v>-3057.58</v>
      </c>
      <c r="F1971" t="s">
        <v>51</v>
      </c>
      <c r="G1971" s="1">
        <f>qry_ProdData2_PDI_Cash_Exception_Application[[#This Row],[INSERT DATE]]+5</f>
        <v>45191.257071759261</v>
      </c>
      <c r="H1971" t="str">
        <f>VLOOKUP(qry_ProdData2_PDI_Cash_Exception_Application[[#This Row],[MARKET No]],'Site Allocation'!$B$2:$C$37,2,FALSE)</f>
        <v>Analyst6</v>
      </c>
      <c r="I1971" s="4">
        <f t="shared" ca="1" si="30"/>
        <v>45203</v>
      </c>
      <c r="J1971" s="42">
        <f ca="1">TODAY()-qry_ProdData2_PDI_Cash_Exception_Application[[#This Row],[INSERT DATE]]</f>
        <v>16.742928240739275</v>
      </c>
      <c r="K19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71">
        <f ca="1">qry_ProdData2_PDI_Cash_Exception_Application[[#This Row],[TODAY]]-qry_ProdData2_PDI_Cash_Exception_Application[[#This Row],[CHANGED ON]]</f>
        <v>11.742928240739275</v>
      </c>
      <c r="M1971">
        <f ca="1">qry_ProdData2_PDI_Cash_Exception_Application[[#This Row],[TODAY]]-qry_ProdData2_PDI_Cash_Exception_Application[[#This Row],[CHANGED ON]]</f>
        <v>11.742928240739275</v>
      </c>
      <c r="N1971">
        <f ca="1">qry_ProdData2_PDI_Cash_Exception_Application[[#This Row],[TODAY]]-qry_ProdData2_PDI_Cash_Exception_Application[[#This Row],[CHANGED ON]]</f>
        <v>11.742928240739275</v>
      </c>
    </row>
    <row r="1972" spans="1:14" x14ac:dyDescent="0.35">
      <c r="A1972">
        <v>1033</v>
      </c>
      <c r="B1972" t="s">
        <v>87</v>
      </c>
      <c r="C1972" s="1">
        <v>45192.257071759261</v>
      </c>
      <c r="D1972" t="str">
        <f ca="1">VLOOKUP(qry_ProdData2_PDI_Cash_Exception_Application[[#This Row],[TYPE]],#REF!,2,FALSE)</f>
        <v>type13</v>
      </c>
      <c r="E1972">
        <v>21717.48</v>
      </c>
      <c r="F1972" t="s">
        <v>48</v>
      </c>
      <c r="G1972" s="1">
        <f>qry_ProdData2_PDI_Cash_Exception_Application[[#This Row],[INSERT DATE]]+1</f>
        <v>45193.257071759261</v>
      </c>
      <c r="H1972" t="str">
        <f>VLOOKUP(qry_ProdData2_PDI_Cash_Exception_Application[[#This Row],[MARKET No]],'Site Allocation'!$B$2:$C$37,2,FALSE)</f>
        <v>Analyst6</v>
      </c>
      <c r="I1972" s="4">
        <f t="shared" ca="1" si="30"/>
        <v>45203</v>
      </c>
      <c r="J1972" s="42">
        <f ca="1">TODAY()-qry_ProdData2_PDI_Cash_Exception_Application[[#This Row],[INSERT DATE]]</f>
        <v>10.742928240739275</v>
      </c>
      <c r="K19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72">
        <f ca="1">qry_ProdData2_PDI_Cash_Exception_Application[[#This Row],[TODAY]]-qry_ProdData2_PDI_Cash_Exception_Application[[#This Row],[CHANGED ON]]</f>
        <v>9.7429282407392748</v>
      </c>
      <c r="M1972">
        <f ca="1">qry_ProdData2_PDI_Cash_Exception_Application[[#This Row],[TODAY]]-qry_ProdData2_PDI_Cash_Exception_Application[[#This Row],[CHANGED ON]]</f>
        <v>9.7429282407392748</v>
      </c>
      <c r="N1972">
        <f ca="1">qry_ProdData2_PDI_Cash_Exception_Application[[#This Row],[TODAY]]-qry_ProdData2_PDI_Cash_Exception_Application[[#This Row],[CHANGED ON]]</f>
        <v>9.7429282407392748</v>
      </c>
    </row>
    <row r="1973" spans="1:14" x14ac:dyDescent="0.35">
      <c r="A1973">
        <v>1034</v>
      </c>
      <c r="B1973" t="s">
        <v>88</v>
      </c>
      <c r="C1973" s="1">
        <v>45187.257071759261</v>
      </c>
      <c r="D1973" t="str">
        <f ca="1">VLOOKUP(qry_ProdData2_PDI_Cash_Exception_Application[[#This Row],[TYPE]],#REF!,2,FALSE)</f>
        <v>type40</v>
      </c>
      <c r="E1973">
        <v>1700.31</v>
      </c>
      <c r="F1973" t="s">
        <v>51</v>
      </c>
      <c r="G1973" s="1">
        <f>qry_ProdData2_PDI_Cash_Exception_Application[[#This Row],[INSERT DATE]]+7</f>
        <v>45194.257071759261</v>
      </c>
      <c r="H1973" t="str">
        <f>VLOOKUP(qry_ProdData2_PDI_Cash_Exception_Application[[#This Row],[MARKET No]],'Site Allocation'!$B$2:$C$37,2,FALSE)</f>
        <v>Analyst6</v>
      </c>
      <c r="I1973" s="4">
        <f t="shared" ca="1" si="30"/>
        <v>45203</v>
      </c>
      <c r="J1973" s="42">
        <f ca="1">TODAY()-qry_ProdData2_PDI_Cash_Exception_Application[[#This Row],[INSERT DATE]]</f>
        <v>15.742928240739275</v>
      </c>
      <c r="K19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73">
        <f ca="1">qry_ProdData2_PDI_Cash_Exception_Application[[#This Row],[TODAY]]-qry_ProdData2_PDI_Cash_Exception_Application[[#This Row],[CHANGED ON]]</f>
        <v>8.7429282407392748</v>
      </c>
      <c r="M1973">
        <f ca="1">qry_ProdData2_PDI_Cash_Exception_Application[[#This Row],[TODAY]]-qry_ProdData2_PDI_Cash_Exception_Application[[#This Row],[CHANGED ON]]</f>
        <v>8.7429282407392748</v>
      </c>
      <c r="N1973">
        <f ca="1">qry_ProdData2_PDI_Cash_Exception_Application[[#This Row],[TODAY]]-qry_ProdData2_PDI_Cash_Exception_Application[[#This Row],[CHANGED ON]]</f>
        <v>8.7429282407392748</v>
      </c>
    </row>
    <row r="1974" spans="1:14" x14ac:dyDescent="0.35">
      <c r="A1974">
        <v>1017</v>
      </c>
      <c r="B1974" t="s">
        <v>71</v>
      </c>
      <c r="C1974" s="1">
        <v>45184.257071759261</v>
      </c>
      <c r="D1974" t="str">
        <f ca="1">VLOOKUP(qry_ProdData2_PDI_Cash_Exception_Application[[#This Row],[TYPE]],#REF!,2,FALSE)</f>
        <v>type40</v>
      </c>
      <c r="E1974">
        <v>-387.72</v>
      </c>
      <c r="F1974" t="s">
        <v>50</v>
      </c>
      <c r="G1974" s="1">
        <f>qry_ProdData2_PDI_Cash_Exception_Application[[#This Row],[INSERT DATE]]+2</f>
        <v>45186.257071759261</v>
      </c>
      <c r="H1974" t="str">
        <f>VLOOKUP(qry_ProdData2_PDI_Cash_Exception_Application[[#This Row],[MARKET No]],'Site Allocation'!$B$2:$C$37,2,FALSE)</f>
        <v>Analyst3</v>
      </c>
      <c r="I1974" s="4">
        <f t="shared" ca="1" si="30"/>
        <v>45203</v>
      </c>
      <c r="J1974" s="42">
        <f ca="1">TODAY()-qry_ProdData2_PDI_Cash_Exception_Application[[#This Row],[INSERT DATE]]</f>
        <v>18.742928240739275</v>
      </c>
      <c r="K19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74">
        <f ca="1">qry_ProdData2_PDI_Cash_Exception_Application[[#This Row],[TODAY]]-qry_ProdData2_PDI_Cash_Exception_Application[[#This Row],[CHANGED ON]]</f>
        <v>16.742928240739275</v>
      </c>
      <c r="M1974">
        <f ca="1">qry_ProdData2_PDI_Cash_Exception_Application[[#This Row],[TODAY]]-qry_ProdData2_PDI_Cash_Exception_Application[[#This Row],[CHANGED ON]]</f>
        <v>16.742928240739275</v>
      </c>
      <c r="N1974">
        <f ca="1">qry_ProdData2_PDI_Cash_Exception_Application[[#This Row],[TODAY]]-qry_ProdData2_PDI_Cash_Exception_Application[[#This Row],[CHANGED ON]]</f>
        <v>16.742928240739275</v>
      </c>
    </row>
    <row r="1975" spans="1:14" x14ac:dyDescent="0.35">
      <c r="A1975">
        <v>1021</v>
      </c>
      <c r="B1975" t="s">
        <v>75</v>
      </c>
      <c r="C1975" s="1">
        <v>45184.257071759261</v>
      </c>
      <c r="D1975" t="str">
        <f ca="1">VLOOKUP(qry_ProdData2_PDI_Cash_Exception_Application[[#This Row],[TYPE]],#REF!,2,FALSE)</f>
        <v>type40</v>
      </c>
      <c r="E1975">
        <v>-661.85</v>
      </c>
      <c r="F1975" t="s">
        <v>50</v>
      </c>
      <c r="G1975" s="1">
        <f>qry_ProdData2_PDI_Cash_Exception_Application[[#This Row],[INSERT DATE]]+2</f>
        <v>45186.257071759261</v>
      </c>
      <c r="H1975" t="str">
        <f>VLOOKUP(qry_ProdData2_PDI_Cash_Exception_Application[[#This Row],[MARKET No]],'Site Allocation'!$B$2:$C$37,2,FALSE)</f>
        <v>Analyst4</v>
      </c>
      <c r="I1975" s="4">
        <f t="shared" ca="1" si="30"/>
        <v>45203</v>
      </c>
      <c r="J1975" s="42">
        <f ca="1">TODAY()-qry_ProdData2_PDI_Cash_Exception_Application[[#This Row],[INSERT DATE]]</f>
        <v>18.742928240739275</v>
      </c>
      <c r="K19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75">
        <f ca="1">qry_ProdData2_PDI_Cash_Exception_Application[[#This Row],[TODAY]]-qry_ProdData2_PDI_Cash_Exception_Application[[#This Row],[CHANGED ON]]</f>
        <v>16.742928240739275</v>
      </c>
      <c r="M1975">
        <f ca="1">qry_ProdData2_PDI_Cash_Exception_Application[[#This Row],[TODAY]]-qry_ProdData2_PDI_Cash_Exception_Application[[#This Row],[CHANGED ON]]</f>
        <v>16.742928240739275</v>
      </c>
      <c r="N1975">
        <f ca="1">qry_ProdData2_PDI_Cash_Exception_Application[[#This Row],[TODAY]]-qry_ProdData2_PDI_Cash_Exception_Application[[#This Row],[CHANGED ON]]</f>
        <v>16.742928240739275</v>
      </c>
    </row>
    <row r="1976" spans="1:14" x14ac:dyDescent="0.35">
      <c r="A1976">
        <v>1009</v>
      </c>
      <c r="B1976" t="s">
        <v>63</v>
      </c>
      <c r="C1976" s="1">
        <v>45181.257071759261</v>
      </c>
      <c r="D1976" t="str">
        <f ca="1">VLOOKUP(qry_ProdData2_PDI_Cash_Exception_Application[[#This Row],[TYPE]],#REF!,2,FALSE)</f>
        <v>type13</v>
      </c>
      <c r="E1976">
        <v>34083.46</v>
      </c>
      <c r="F1976" t="s">
        <v>48</v>
      </c>
      <c r="G1976" s="1">
        <f>qry_ProdData2_PDI_Cash_Exception_Application[[#This Row],[INSERT DATE]]+1</f>
        <v>45182.257071759261</v>
      </c>
      <c r="H1976" t="str">
        <f>VLOOKUP(qry_ProdData2_PDI_Cash_Exception_Application[[#This Row],[MARKET No]],'Site Allocation'!$B$2:$C$37,2,FALSE)</f>
        <v>Analyst2</v>
      </c>
      <c r="I1976" s="4">
        <f t="shared" ca="1" si="30"/>
        <v>45203</v>
      </c>
      <c r="J1976" s="42">
        <f ca="1">TODAY()-qry_ProdData2_PDI_Cash_Exception_Application[[#This Row],[INSERT DATE]]</f>
        <v>21.742928240739275</v>
      </c>
      <c r="K19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76">
        <f ca="1">qry_ProdData2_PDI_Cash_Exception_Application[[#This Row],[TODAY]]-qry_ProdData2_PDI_Cash_Exception_Application[[#This Row],[CHANGED ON]]</f>
        <v>20.742928240739275</v>
      </c>
      <c r="M1976">
        <f ca="1">qry_ProdData2_PDI_Cash_Exception_Application[[#This Row],[TODAY]]-qry_ProdData2_PDI_Cash_Exception_Application[[#This Row],[CHANGED ON]]</f>
        <v>20.742928240739275</v>
      </c>
      <c r="N1976">
        <f ca="1">qry_ProdData2_PDI_Cash_Exception_Application[[#This Row],[TODAY]]-qry_ProdData2_PDI_Cash_Exception_Application[[#This Row],[CHANGED ON]]</f>
        <v>20.742928240739275</v>
      </c>
    </row>
    <row r="1977" spans="1:14" x14ac:dyDescent="0.35">
      <c r="A1977">
        <v>1026</v>
      </c>
      <c r="B1977" t="s">
        <v>80</v>
      </c>
      <c r="C1977" s="1">
        <v>45187.257071759261</v>
      </c>
      <c r="D1977" t="str">
        <f ca="1">VLOOKUP(qry_ProdData2_PDI_Cash_Exception_Application[[#This Row],[TYPE]],#REF!,2,FALSE)</f>
        <v>type40</v>
      </c>
      <c r="E1977">
        <v>-484.28</v>
      </c>
      <c r="F1977" t="s">
        <v>49</v>
      </c>
      <c r="G1977" s="1">
        <f>qry_ProdData2_PDI_Cash_Exception_Application[[#This Row],[INSERT DATE]]+2</f>
        <v>45189.257071759261</v>
      </c>
      <c r="H1977" t="str">
        <f>VLOOKUP(qry_ProdData2_PDI_Cash_Exception_Application[[#This Row],[MARKET No]],'Site Allocation'!$B$2:$C$37,2,FALSE)</f>
        <v>Analyst5</v>
      </c>
      <c r="I1977" s="4">
        <f t="shared" ca="1" si="30"/>
        <v>45203</v>
      </c>
      <c r="J1977" s="42">
        <f ca="1">TODAY()-qry_ProdData2_PDI_Cash_Exception_Application[[#This Row],[INSERT DATE]]</f>
        <v>15.742928240739275</v>
      </c>
      <c r="K19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77">
        <f ca="1">qry_ProdData2_PDI_Cash_Exception_Application[[#This Row],[TODAY]]-qry_ProdData2_PDI_Cash_Exception_Application[[#This Row],[CHANGED ON]]</f>
        <v>13.742928240739275</v>
      </c>
      <c r="M1977">
        <f ca="1">qry_ProdData2_PDI_Cash_Exception_Application[[#This Row],[TODAY]]-qry_ProdData2_PDI_Cash_Exception_Application[[#This Row],[CHANGED ON]]</f>
        <v>13.742928240739275</v>
      </c>
      <c r="N1977">
        <f ca="1">qry_ProdData2_PDI_Cash_Exception_Application[[#This Row],[TODAY]]-qry_ProdData2_PDI_Cash_Exception_Application[[#This Row],[CHANGED ON]]</f>
        <v>13.742928240739275</v>
      </c>
    </row>
    <row r="1978" spans="1:14" x14ac:dyDescent="0.35">
      <c r="A1978">
        <v>1008</v>
      </c>
      <c r="B1978" t="s">
        <v>62</v>
      </c>
      <c r="C1978" s="1">
        <v>45186.257071759261</v>
      </c>
      <c r="D1978" t="str">
        <f ca="1">VLOOKUP(qry_ProdData2_PDI_Cash_Exception_Application[[#This Row],[TYPE]],#REF!,2,FALSE)</f>
        <v>type40</v>
      </c>
      <c r="E1978">
        <v>5434.53</v>
      </c>
      <c r="F1978" t="s">
        <v>50</v>
      </c>
      <c r="G1978" s="1">
        <f>qry_ProdData2_PDI_Cash_Exception_Application[[#This Row],[INSERT DATE]]+2</f>
        <v>45188.257071759261</v>
      </c>
      <c r="H1978" t="str">
        <f>VLOOKUP(qry_ProdData2_PDI_Cash_Exception_Application[[#This Row],[MARKET No]],'Site Allocation'!$B$2:$C$37,2,FALSE)</f>
        <v>Analyst2</v>
      </c>
      <c r="I1978" s="4">
        <f t="shared" ca="1" si="30"/>
        <v>45203</v>
      </c>
      <c r="J1978" s="42">
        <f ca="1">TODAY()-qry_ProdData2_PDI_Cash_Exception_Application[[#This Row],[INSERT DATE]]</f>
        <v>16.742928240739275</v>
      </c>
      <c r="K19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78">
        <f ca="1">qry_ProdData2_PDI_Cash_Exception_Application[[#This Row],[TODAY]]-qry_ProdData2_PDI_Cash_Exception_Application[[#This Row],[CHANGED ON]]</f>
        <v>14.742928240739275</v>
      </c>
      <c r="M1978">
        <f ca="1">qry_ProdData2_PDI_Cash_Exception_Application[[#This Row],[TODAY]]-qry_ProdData2_PDI_Cash_Exception_Application[[#This Row],[CHANGED ON]]</f>
        <v>14.742928240739275</v>
      </c>
      <c r="N1978">
        <f ca="1">qry_ProdData2_PDI_Cash_Exception_Application[[#This Row],[TODAY]]-qry_ProdData2_PDI_Cash_Exception_Application[[#This Row],[CHANGED ON]]</f>
        <v>14.742928240739275</v>
      </c>
    </row>
    <row r="1979" spans="1:14" x14ac:dyDescent="0.35">
      <c r="A1979">
        <v>1031</v>
      </c>
      <c r="B1979" t="s">
        <v>85</v>
      </c>
      <c r="C1979" s="1">
        <v>45187.257071759261</v>
      </c>
      <c r="D1979" t="str">
        <f ca="1">VLOOKUP(qry_ProdData2_PDI_Cash_Exception_Application[[#This Row],[TYPE]],#REF!,2,FALSE)</f>
        <v>type40</v>
      </c>
      <c r="E1979">
        <v>589.79</v>
      </c>
      <c r="F1979" t="s">
        <v>50</v>
      </c>
      <c r="G1979" s="1">
        <f>qry_ProdData2_PDI_Cash_Exception_Application[[#This Row],[INSERT DATE]]+2</f>
        <v>45189.257071759261</v>
      </c>
      <c r="H1979" t="str">
        <f>VLOOKUP(qry_ProdData2_PDI_Cash_Exception_Application[[#This Row],[MARKET No]],'Site Allocation'!$B$2:$C$37,2,FALSE)</f>
        <v>Analyst6</v>
      </c>
      <c r="I1979" s="4">
        <f t="shared" ca="1" si="30"/>
        <v>45203</v>
      </c>
      <c r="J1979" s="42">
        <f ca="1">TODAY()-qry_ProdData2_PDI_Cash_Exception_Application[[#This Row],[INSERT DATE]]</f>
        <v>15.742928240739275</v>
      </c>
      <c r="K19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79">
        <f ca="1">qry_ProdData2_PDI_Cash_Exception_Application[[#This Row],[TODAY]]-qry_ProdData2_PDI_Cash_Exception_Application[[#This Row],[CHANGED ON]]</f>
        <v>13.742928240739275</v>
      </c>
      <c r="M1979">
        <f ca="1">qry_ProdData2_PDI_Cash_Exception_Application[[#This Row],[TODAY]]-qry_ProdData2_PDI_Cash_Exception_Application[[#This Row],[CHANGED ON]]</f>
        <v>13.742928240739275</v>
      </c>
      <c r="N1979">
        <f ca="1">qry_ProdData2_PDI_Cash_Exception_Application[[#This Row],[TODAY]]-qry_ProdData2_PDI_Cash_Exception_Application[[#This Row],[CHANGED ON]]</f>
        <v>13.742928240739275</v>
      </c>
    </row>
    <row r="1980" spans="1:14" x14ac:dyDescent="0.35">
      <c r="A1980">
        <v>1008</v>
      </c>
      <c r="B1980" t="s">
        <v>62</v>
      </c>
      <c r="C1980" s="1">
        <v>45182.257071759261</v>
      </c>
      <c r="D1980" t="str">
        <f ca="1">VLOOKUP(qry_ProdData2_PDI_Cash_Exception_Application[[#This Row],[TYPE]],#REF!,2,FALSE)</f>
        <v>type40</v>
      </c>
      <c r="E1980">
        <v>457.32</v>
      </c>
      <c r="F1980" t="s">
        <v>48</v>
      </c>
      <c r="G1980" s="1">
        <f>qry_ProdData2_PDI_Cash_Exception_Application[[#This Row],[INSERT DATE]]+1</f>
        <v>45183.257071759261</v>
      </c>
      <c r="H1980" t="str">
        <f>VLOOKUP(qry_ProdData2_PDI_Cash_Exception_Application[[#This Row],[MARKET No]],'Site Allocation'!$B$2:$C$37,2,FALSE)</f>
        <v>Analyst2</v>
      </c>
      <c r="I1980" s="4">
        <f t="shared" ca="1" si="30"/>
        <v>45203</v>
      </c>
      <c r="J1980" s="42">
        <f ca="1">TODAY()-qry_ProdData2_PDI_Cash_Exception_Application[[#This Row],[INSERT DATE]]</f>
        <v>20.742928240739275</v>
      </c>
      <c r="K19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80">
        <f ca="1">qry_ProdData2_PDI_Cash_Exception_Application[[#This Row],[TODAY]]-qry_ProdData2_PDI_Cash_Exception_Application[[#This Row],[CHANGED ON]]</f>
        <v>19.742928240739275</v>
      </c>
      <c r="M1980">
        <f ca="1">qry_ProdData2_PDI_Cash_Exception_Application[[#This Row],[TODAY]]-qry_ProdData2_PDI_Cash_Exception_Application[[#This Row],[CHANGED ON]]</f>
        <v>19.742928240739275</v>
      </c>
      <c r="N1980">
        <f ca="1">qry_ProdData2_PDI_Cash_Exception_Application[[#This Row],[TODAY]]-qry_ProdData2_PDI_Cash_Exception_Application[[#This Row],[CHANGED ON]]</f>
        <v>19.742928240739275</v>
      </c>
    </row>
    <row r="1981" spans="1:14" x14ac:dyDescent="0.35">
      <c r="A1981">
        <v>1021</v>
      </c>
      <c r="B1981" t="s">
        <v>75</v>
      </c>
      <c r="C1981" s="1">
        <v>45184.257071759261</v>
      </c>
      <c r="D1981" t="str">
        <f ca="1">VLOOKUP(qry_ProdData2_PDI_Cash_Exception_Application[[#This Row],[TYPE]],#REF!,2,FALSE)</f>
        <v>type19</v>
      </c>
      <c r="E1981">
        <v>311.02</v>
      </c>
      <c r="F1981" t="s">
        <v>47</v>
      </c>
      <c r="G1981" s="1">
        <f>qry_ProdData2_PDI_Cash_Exception_Application[[#This Row],[INSERT DATE]]+7</f>
        <v>45191.257071759261</v>
      </c>
      <c r="H1981" t="str">
        <f>VLOOKUP(qry_ProdData2_PDI_Cash_Exception_Application[[#This Row],[MARKET No]],'Site Allocation'!$B$2:$C$37,2,FALSE)</f>
        <v>Analyst4</v>
      </c>
      <c r="I1981" s="4">
        <f t="shared" ca="1" si="30"/>
        <v>45203</v>
      </c>
      <c r="J1981" s="42">
        <f ca="1">TODAY()-qry_ProdData2_PDI_Cash_Exception_Application[[#This Row],[INSERT DATE]]</f>
        <v>18.742928240739275</v>
      </c>
      <c r="K19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81">
        <f ca="1">qry_ProdData2_PDI_Cash_Exception_Application[[#This Row],[TODAY]]-qry_ProdData2_PDI_Cash_Exception_Application[[#This Row],[CHANGED ON]]</f>
        <v>11.742928240739275</v>
      </c>
      <c r="M1981">
        <f ca="1">qry_ProdData2_PDI_Cash_Exception_Application[[#This Row],[TODAY]]-qry_ProdData2_PDI_Cash_Exception_Application[[#This Row],[CHANGED ON]]</f>
        <v>11.742928240739275</v>
      </c>
      <c r="N1981">
        <f ca="1">qry_ProdData2_PDI_Cash_Exception_Application[[#This Row],[TODAY]]-qry_ProdData2_PDI_Cash_Exception_Application[[#This Row],[CHANGED ON]]</f>
        <v>11.742928240739275</v>
      </c>
    </row>
    <row r="1982" spans="1:14" x14ac:dyDescent="0.35">
      <c r="A1982">
        <v>1030</v>
      </c>
      <c r="B1982" t="s">
        <v>84</v>
      </c>
      <c r="C1982" s="1">
        <v>45189.257071759261</v>
      </c>
      <c r="D1982" t="str">
        <f ca="1">VLOOKUP(qry_ProdData2_PDI_Cash_Exception_Application[[#This Row],[TYPE]],#REF!,2,FALSE)</f>
        <v>type40</v>
      </c>
      <c r="E1982">
        <v>6135.15</v>
      </c>
      <c r="F1982" t="s">
        <v>51</v>
      </c>
      <c r="G1982" s="1">
        <f>qry_ProdData2_PDI_Cash_Exception_Application[[#This Row],[INSERT DATE]]+7</f>
        <v>45196.257071759261</v>
      </c>
      <c r="H1982" t="str">
        <f>VLOOKUP(qry_ProdData2_PDI_Cash_Exception_Application[[#This Row],[MARKET No]],'Site Allocation'!$B$2:$C$37,2,FALSE)</f>
        <v>Analyst6</v>
      </c>
      <c r="I1982" s="4">
        <f t="shared" ca="1" si="30"/>
        <v>45203</v>
      </c>
      <c r="J1982" s="42">
        <f ca="1">TODAY()-qry_ProdData2_PDI_Cash_Exception_Application[[#This Row],[INSERT DATE]]</f>
        <v>13.742928240739275</v>
      </c>
      <c r="K19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82">
        <f ca="1">qry_ProdData2_PDI_Cash_Exception_Application[[#This Row],[TODAY]]-qry_ProdData2_PDI_Cash_Exception_Application[[#This Row],[CHANGED ON]]</f>
        <v>6.7429282407392748</v>
      </c>
      <c r="M1982">
        <f ca="1">qry_ProdData2_PDI_Cash_Exception_Application[[#This Row],[TODAY]]-qry_ProdData2_PDI_Cash_Exception_Application[[#This Row],[CHANGED ON]]</f>
        <v>6.7429282407392748</v>
      </c>
      <c r="N1982">
        <f ca="1">qry_ProdData2_PDI_Cash_Exception_Application[[#This Row],[TODAY]]-qry_ProdData2_PDI_Cash_Exception_Application[[#This Row],[CHANGED ON]]</f>
        <v>6.7429282407392748</v>
      </c>
    </row>
    <row r="1983" spans="1:14" x14ac:dyDescent="0.35">
      <c r="A1983">
        <v>1014</v>
      </c>
      <c r="B1983" t="s">
        <v>68</v>
      </c>
      <c r="C1983" s="1">
        <v>45187.257071759261</v>
      </c>
      <c r="D1983" t="str">
        <f ca="1">VLOOKUP(qry_ProdData2_PDI_Cash_Exception_Application[[#This Row],[TYPE]],#REF!,2,FALSE)</f>
        <v>type40</v>
      </c>
      <c r="E1983">
        <v>-478.39</v>
      </c>
      <c r="F1983" t="s">
        <v>47</v>
      </c>
      <c r="G1983" s="1">
        <f>qry_ProdData2_PDI_Cash_Exception_Application[[#This Row],[INSERT DATE]]+7</f>
        <v>45194.257071759261</v>
      </c>
      <c r="H1983" t="str">
        <f>VLOOKUP(qry_ProdData2_PDI_Cash_Exception_Application[[#This Row],[MARKET No]],'Site Allocation'!$B$2:$C$37,2,FALSE)</f>
        <v>Analyst3</v>
      </c>
      <c r="I1983" s="4">
        <f t="shared" ca="1" si="30"/>
        <v>45203</v>
      </c>
      <c r="J1983" s="42">
        <f ca="1">TODAY()-qry_ProdData2_PDI_Cash_Exception_Application[[#This Row],[INSERT DATE]]</f>
        <v>15.742928240739275</v>
      </c>
      <c r="K19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83">
        <f ca="1">qry_ProdData2_PDI_Cash_Exception_Application[[#This Row],[TODAY]]-qry_ProdData2_PDI_Cash_Exception_Application[[#This Row],[CHANGED ON]]</f>
        <v>8.7429282407392748</v>
      </c>
      <c r="M1983">
        <f ca="1">qry_ProdData2_PDI_Cash_Exception_Application[[#This Row],[TODAY]]-qry_ProdData2_PDI_Cash_Exception_Application[[#This Row],[CHANGED ON]]</f>
        <v>8.7429282407392748</v>
      </c>
      <c r="N1983">
        <f ca="1">qry_ProdData2_PDI_Cash_Exception_Application[[#This Row],[TODAY]]-qry_ProdData2_PDI_Cash_Exception_Application[[#This Row],[CHANGED ON]]</f>
        <v>8.7429282407392748</v>
      </c>
    </row>
    <row r="1984" spans="1:14" x14ac:dyDescent="0.35">
      <c r="A1984">
        <v>1008</v>
      </c>
      <c r="B1984" t="s">
        <v>62</v>
      </c>
      <c r="C1984" s="1">
        <v>45189.257071759261</v>
      </c>
      <c r="D1984" t="str">
        <f ca="1">VLOOKUP(qry_ProdData2_PDI_Cash_Exception_Application[[#This Row],[TYPE]],#REF!,2,FALSE)</f>
        <v>type40</v>
      </c>
      <c r="E1984">
        <v>-1381.92</v>
      </c>
      <c r="F1984" t="s">
        <v>47</v>
      </c>
      <c r="G1984" s="1">
        <f>qry_ProdData2_PDI_Cash_Exception_Application[[#This Row],[INSERT DATE]]+7</f>
        <v>45196.257071759261</v>
      </c>
      <c r="H1984" t="str">
        <f>VLOOKUP(qry_ProdData2_PDI_Cash_Exception_Application[[#This Row],[MARKET No]],'Site Allocation'!$B$2:$C$37,2,FALSE)</f>
        <v>Analyst2</v>
      </c>
      <c r="I1984" s="4">
        <f t="shared" ca="1" si="30"/>
        <v>45203</v>
      </c>
      <c r="J1984" s="42">
        <f ca="1">TODAY()-qry_ProdData2_PDI_Cash_Exception_Application[[#This Row],[INSERT DATE]]</f>
        <v>13.742928240739275</v>
      </c>
      <c r="K19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84">
        <f ca="1">qry_ProdData2_PDI_Cash_Exception_Application[[#This Row],[TODAY]]-qry_ProdData2_PDI_Cash_Exception_Application[[#This Row],[CHANGED ON]]</f>
        <v>6.7429282407392748</v>
      </c>
      <c r="M1984">
        <f ca="1">qry_ProdData2_PDI_Cash_Exception_Application[[#This Row],[TODAY]]-qry_ProdData2_PDI_Cash_Exception_Application[[#This Row],[CHANGED ON]]</f>
        <v>6.7429282407392748</v>
      </c>
      <c r="N1984">
        <f ca="1">qry_ProdData2_PDI_Cash_Exception_Application[[#This Row],[TODAY]]-qry_ProdData2_PDI_Cash_Exception_Application[[#This Row],[CHANGED ON]]</f>
        <v>6.7429282407392748</v>
      </c>
    </row>
    <row r="1985" spans="1:14" x14ac:dyDescent="0.35">
      <c r="A1985">
        <v>1011</v>
      </c>
      <c r="B1985" t="s">
        <v>65</v>
      </c>
      <c r="C1985" s="1">
        <v>45190.257071759261</v>
      </c>
      <c r="D1985" t="str">
        <f ca="1">VLOOKUP(qry_ProdData2_PDI_Cash_Exception_Application[[#This Row],[TYPE]],#REF!,2,FALSE)</f>
        <v>type10</v>
      </c>
      <c r="E1985">
        <v>61.2</v>
      </c>
      <c r="F1985" t="s">
        <v>47</v>
      </c>
      <c r="G1985" s="1">
        <f>qry_ProdData2_PDI_Cash_Exception_Application[[#This Row],[INSERT DATE]]+7</f>
        <v>45197.257071759261</v>
      </c>
      <c r="H1985" t="str">
        <f>VLOOKUP(qry_ProdData2_PDI_Cash_Exception_Application[[#This Row],[MARKET No]],'Site Allocation'!$B$2:$C$37,2,FALSE)</f>
        <v>Analyst2</v>
      </c>
      <c r="I1985" s="4">
        <f t="shared" ca="1" si="30"/>
        <v>45203</v>
      </c>
      <c r="J1985" s="42">
        <f ca="1">TODAY()-qry_ProdData2_PDI_Cash_Exception_Application[[#This Row],[INSERT DATE]]</f>
        <v>12.742928240739275</v>
      </c>
      <c r="K19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85">
        <f ca="1">qry_ProdData2_PDI_Cash_Exception_Application[[#This Row],[TODAY]]-qry_ProdData2_PDI_Cash_Exception_Application[[#This Row],[CHANGED ON]]</f>
        <v>5.7429282407392748</v>
      </c>
      <c r="M1985">
        <f ca="1">qry_ProdData2_PDI_Cash_Exception_Application[[#This Row],[TODAY]]-qry_ProdData2_PDI_Cash_Exception_Application[[#This Row],[CHANGED ON]]</f>
        <v>5.7429282407392748</v>
      </c>
      <c r="N1985">
        <f ca="1">qry_ProdData2_PDI_Cash_Exception_Application[[#This Row],[TODAY]]-qry_ProdData2_PDI_Cash_Exception_Application[[#This Row],[CHANGED ON]]</f>
        <v>5.7429282407392748</v>
      </c>
    </row>
    <row r="1986" spans="1:14" x14ac:dyDescent="0.35">
      <c r="A1986">
        <v>1010</v>
      </c>
      <c r="B1986" t="s">
        <v>64</v>
      </c>
      <c r="C1986" s="1">
        <v>45191.257071759261</v>
      </c>
      <c r="D1986" t="str">
        <f ca="1">VLOOKUP(qry_ProdData2_PDI_Cash_Exception_Application[[#This Row],[TYPE]],#REF!,2,FALSE)</f>
        <v>type13</v>
      </c>
      <c r="E1986">
        <v>25572.39</v>
      </c>
      <c r="F1986" t="s">
        <v>51</v>
      </c>
      <c r="G1986" s="1">
        <f>qry_ProdData2_PDI_Cash_Exception_Application[[#This Row],[INSERT DATE]]+7</f>
        <v>45198.257071759261</v>
      </c>
      <c r="H1986" t="str">
        <f>VLOOKUP(qry_ProdData2_PDI_Cash_Exception_Application[[#This Row],[MARKET No]],'Site Allocation'!$B$2:$C$37,2,FALSE)</f>
        <v>Analyst2</v>
      </c>
      <c r="I1986" s="4">
        <f t="shared" ref="I1986:I2049" ca="1" si="31">TODAY()</f>
        <v>45203</v>
      </c>
      <c r="J1986" s="42">
        <f ca="1">TODAY()-qry_ProdData2_PDI_Cash_Exception_Application[[#This Row],[INSERT DATE]]</f>
        <v>11.742928240739275</v>
      </c>
      <c r="K19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86">
        <f ca="1">qry_ProdData2_PDI_Cash_Exception_Application[[#This Row],[TODAY]]-qry_ProdData2_PDI_Cash_Exception_Application[[#This Row],[CHANGED ON]]</f>
        <v>4.7429282407392748</v>
      </c>
      <c r="M1986">
        <f ca="1">qry_ProdData2_PDI_Cash_Exception_Application[[#This Row],[TODAY]]-qry_ProdData2_PDI_Cash_Exception_Application[[#This Row],[CHANGED ON]]</f>
        <v>4.7429282407392748</v>
      </c>
      <c r="N1986">
        <f ca="1">qry_ProdData2_PDI_Cash_Exception_Application[[#This Row],[TODAY]]-qry_ProdData2_PDI_Cash_Exception_Application[[#This Row],[CHANGED ON]]</f>
        <v>4.7429282407392748</v>
      </c>
    </row>
    <row r="1987" spans="1:14" x14ac:dyDescent="0.35">
      <c r="A1987">
        <v>1035</v>
      </c>
      <c r="B1987" t="s">
        <v>89</v>
      </c>
      <c r="C1987" s="1">
        <v>45192.257071759261</v>
      </c>
      <c r="D1987" t="str">
        <f ca="1">VLOOKUP(qry_ProdData2_PDI_Cash_Exception_Application[[#This Row],[TYPE]],#REF!,2,FALSE)</f>
        <v>type40</v>
      </c>
      <c r="E1987">
        <v>1494.83</v>
      </c>
      <c r="F1987" t="s">
        <v>52</v>
      </c>
      <c r="G1987" s="1">
        <f>qry_ProdData2_PDI_Cash_Exception_Application[[#This Row],[INSERT DATE]]+5</f>
        <v>45197.257071759261</v>
      </c>
      <c r="H1987" t="str">
        <f>VLOOKUP(qry_ProdData2_PDI_Cash_Exception_Application[[#This Row],[MARKET No]],'Site Allocation'!$B$2:$C$37,2,FALSE)</f>
        <v>Analyst6</v>
      </c>
      <c r="I1987" s="4">
        <f t="shared" ca="1" si="31"/>
        <v>45203</v>
      </c>
      <c r="J1987" s="42">
        <f ca="1">TODAY()-qry_ProdData2_PDI_Cash_Exception_Application[[#This Row],[INSERT DATE]]</f>
        <v>10.742928240739275</v>
      </c>
      <c r="K19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87">
        <f ca="1">qry_ProdData2_PDI_Cash_Exception_Application[[#This Row],[TODAY]]-qry_ProdData2_PDI_Cash_Exception_Application[[#This Row],[CHANGED ON]]</f>
        <v>5.7429282407392748</v>
      </c>
      <c r="M1987">
        <f ca="1">qry_ProdData2_PDI_Cash_Exception_Application[[#This Row],[TODAY]]-qry_ProdData2_PDI_Cash_Exception_Application[[#This Row],[CHANGED ON]]</f>
        <v>5.7429282407392748</v>
      </c>
      <c r="N1987">
        <f ca="1">qry_ProdData2_PDI_Cash_Exception_Application[[#This Row],[TODAY]]-qry_ProdData2_PDI_Cash_Exception_Application[[#This Row],[CHANGED ON]]</f>
        <v>5.7429282407392748</v>
      </c>
    </row>
    <row r="1988" spans="1:14" x14ac:dyDescent="0.35">
      <c r="A1988">
        <v>1023</v>
      </c>
      <c r="B1988" t="s">
        <v>77</v>
      </c>
      <c r="C1988" s="1">
        <v>45193.257071759261</v>
      </c>
      <c r="D1988" t="str">
        <f ca="1">VLOOKUP(qry_ProdData2_PDI_Cash_Exception_Application[[#This Row],[TYPE]],#REF!,2,FALSE)</f>
        <v>type40</v>
      </c>
      <c r="E1988">
        <v>-564.99</v>
      </c>
      <c r="F1988" t="s">
        <v>50</v>
      </c>
      <c r="G1988" s="1">
        <f>qry_ProdData2_PDI_Cash_Exception_Application[[#This Row],[INSERT DATE]]+5</f>
        <v>45198.257071759261</v>
      </c>
      <c r="H1988" t="str">
        <f>VLOOKUP(qry_ProdData2_PDI_Cash_Exception_Application[[#This Row],[MARKET No]],'Site Allocation'!$B$2:$C$37,2,FALSE)</f>
        <v>Analyst4</v>
      </c>
      <c r="I1988" s="4">
        <f t="shared" ca="1" si="31"/>
        <v>45203</v>
      </c>
      <c r="J1988" s="42">
        <f ca="1">TODAY()-qry_ProdData2_PDI_Cash_Exception_Application[[#This Row],[INSERT DATE]]</f>
        <v>9.7429282407392748</v>
      </c>
      <c r="K19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88">
        <f ca="1">qry_ProdData2_PDI_Cash_Exception_Application[[#This Row],[TODAY]]-qry_ProdData2_PDI_Cash_Exception_Application[[#This Row],[CHANGED ON]]</f>
        <v>4.7429282407392748</v>
      </c>
      <c r="M1988">
        <f ca="1">qry_ProdData2_PDI_Cash_Exception_Application[[#This Row],[TODAY]]-qry_ProdData2_PDI_Cash_Exception_Application[[#This Row],[CHANGED ON]]</f>
        <v>4.7429282407392748</v>
      </c>
      <c r="N1988">
        <f ca="1">qry_ProdData2_PDI_Cash_Exception_Application[[#This Row],[TODAY]]-qry_ProdData2_PDI_Cash_Exception_Application[[#This Row],[CHANGED ON]]</f>
        <v>4.7429282407392748</v>
      </c>
    </row>
    <row r="1989" spans="1:14" x14ac:dyDescent="0.35">
      <c r="A1989">
        <v>1035</v>
      </c>
      <c r="B1989" t="s">
        <v>89</v>
      </c>
      <c r="C1989" s="1">
        <v>45188.257071759261</v>
      </c>
      <c r="D1989" t="str">
        <f ca="1">VLOOKUP(qry_ProdData2_PDI_Cash_Exception_Application[[#This Row],[TYPE]],#REF!,2,FALSE)</f>
        <v>type13</v>
      </c>
      <c r="E1989">
        <v>27241.11</v>
      </c>
      <c r="F1989" t="s">
        <v>51</v>
      </c>
      <c r="G1989" s="1">
        <f>qry_ProdData2_PDI_Cash_Exception_Application[[#This Row],[INSERT DATE]]+7</f>
        <v>45195.257071759261</v>
      </c>
      <c r="H1989" t="str">
        <f>VLOOKUP(qry_ProdData2_PDI_Cash_Exception_Application[[#This Row],[MARKET No]],'Site Allocation'!$B$2:$C$37,2,FALSE)</f>
        <v>Analyst6</v>
      </c>
      <c r="I1989" s="4">
        <f t="shared" ca="1" si="31"/>
        <v>45203</v>
      </c>
      <c r="J1989" s="42">
        <f ca="1">TODAY()-qry_ProdData2_PDI_Cash_Exception_Application[[#This Row],[INSERT DATE]]</f>
        <v>14.742928240739275</v>
      </c>
      <c r="K19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89">
        <f ca="1">qry_ProdData2_PDI_Cash_Exception_Application[[#This Row],[TODAY]]-qry_ProdData2_PDI_Cash_Exception_Application[[#This Row],[CHANGED ON]]</f>
        <v>7.7429282407392748</v>
      </c>
      <c r="M1989">
        <f ca="1">qry_ProdData2_PDI_Cash_Exception_Application[[#This Row],[TODAY]]-qry_ProdData2_PDI_Cash_Exception_Application[[#This Row],[CHANGED ON]]</f>
        <v>7.7429282407392748</v>
      </c>
      <c r="N1989">
        <f ca="1">qry_ProdData2_PDI_Cash_Exception_Application[[#This Row],[TODAY]]-qry_ProdData2_PDI_Cash_Exception_Application[[#This Row],[CHANGED ON]]</f>
        <v>7.7429282407392748</v>
      </c>
    </row>
    <row r="1990" spans="1:14" x14ac:dyDescent="0.35">
      <c r="A1990">
        <v>1028</v>
      </c>
      <c r="B1990" t="s">
        <v>82</v>
      </c>
      <c r="C1990" s="1">
        <v>45191.257071759261</v>
      </c>
      <c r="D1990" t="str">
        <f ca="1">VLOOKUP(qry_ProdData2_PDI_Cash_Exception_Application[[#This Row],[TYPE]],#REF!,2,FALSE)</f>
        <v>type40</v>
      </c>
      <c r="E1990">
        <v>2918.5</v>
      </c>
      <c r="F1990" t="s">
        <v>47</v>
      </c>
      <c r="G1990" s="1">
        <f>qry_ProdData2_PDI_Cash_Exception_Application[[#This Row],[INSERT DATE]]+2</f>
        <v>45193.257071759261</v>
      </c>
      <c r="H1990" t="str">
        <f>VLOOKUP(qry_ProdData2_PDI_Cash_Exception_Application[[#This Row],[MARKET No]],'Site Allocation'!$B$2:$C$37,2,FALSE)</f>
        <v>Analyst5</v>
      </c>
      <c r="I1990" s="4">
        <f t="shared" ca="1" si="31"/>
        <v>45203</v>
      </c>
      <c r="J1990" s="42">
        <f ca="1">TODAY()-qry_ProdData2_PDI_Cash_Exception_Application[[#This Row],[INSERT DATE]]</f>
        <v>11.742928240739275</v>
      </c>
      <c r="K19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90">
        <f ca="1">qry_ProdData2_PDI_Cash_Exception_Application[[#This Row],[TODAY]]-qry_ProdData2_PDI_Cash_Exception_Application[[#This Row],[CHANGED ON]]</f>
        <v>9.7429282407392748</v>
      </c>
      <c r="M1990">
        <f ca="1">qry_ProdData2_PDI_Cash_Exception_Application[[#This Row],[TODAY]]-qry_ProdData2_PDI_Cash_Exception_Application[[#This Row],[CHANGED ON]]</f>
        <v>9.7429282407392748</v>
      </c>
      <c r="N1990">
        <f ca="1">qry_ProdData2_PDI_Cash_Exception_Application[[#This Row],[TODAY]]-qry_ProdData2_PDI_Cash_Exception_Application[[#This Row],[CHANGED ON]]</f>
        <v>9.7429282407392748</v>
      </c>
    </row>
    <row r="1991" spans="1:14" x14ac:dyDescent="0.35">
      <c r="A1991">
        <v>1022</v>
      </c>
      <c r="B1991" t="s">
        <v>76</v>
      </c>
      <c r="C1991" s="1">
        <v>45187.257071759261</v>
      </c>
      <c r="D1991" t="str">
        <f ca="1">VLOOKUP(qry_ProdData2_PDI_Cash_Exception_Application[[#This Row],[TYPE]],#REF!,2,FALSE)</f>
        <v>type9</v>
      </c>
      <c r="E1991">
        <v>80.3</v>
      </c>
      <c r="F1991" t="s">
        <v>47</v>
      </c>
      <c r="G1991" s="1">
        <f>qry_ProdData2_PDI_Cash_Exception_Application[[#This Row],[INSERT DATE]]+2</f>
        <v>45189.257071759261</v>
      </c>
      <c r="H1991" t="str">
        <f>VLOOKUP(qry_ProdData2_PDI_Cash_Exception_Application[[#This Row],[MARKET No]],'Site Allocation'!$B$2:$C$37,2,FALSE)</f>
        <v>Analyst4</v>
      </c>
      <c r="I1991" s="4">
        <f t="shared" ca="1" si="31"/>
        <v>45203</v>
      </c>
      <c r="J1991" s="42">
        <f ca="1">TODAY()-qry_ProdData2_PDI_Cash_Exception_Application[[#This Row],[INSERT DATE]]</f>
        <v>15.742928240739275</v>
      </c>
      <c r="K19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91">
        <f ca="1">qry_ProdData2_PDI_Cash_Exception_Application[[#This Row],[TODAY]]-qry_ProdData2_PDI_Cash_Exception_Application[[#This Row],[CHANGED ON]]</f>
        <v>13.742928240739275</v>
      </c>
      <c r="M1991">
        <f ca="1">qry_ProdData2_PDI_Cash_Exception_Application[[#This Row],[TODAY]]-qry_ProdData2_PDI_Cash_Exception_Application[[#This Row],[CHANGED ON]]</f>
        <v>13.742928240739275</v>
      </c>
      <c r="N1991">
        <f ca="1">qry_ProdData2_PDI_Cash_Exception_Application[[#This Row],[TODAY]]-qry_ProdData2_PDI_Cash_Exception_Application[[#This Row],[CHANGED ON]]</f>
        <v>13.742928240739275</v>
      </c>
    </row>
    <row r="1992" spans="1:14" x14ac:dyDescent="0.35">
      <c r="A1992">
        <v>1032</v>
      </c>
      <c r="B1992" t="s">
        <v>86</v>
      </c>
      <c r="C1992" s="1">
        <v>45197.257071759261</v>
      </c>
      <c r="D1992" t="str">
        <f ca="1">VLOOKUP(qry_ProdData2_PDI_Cash_Exception_Application[[#This Row],[TYPE]],#REF!,2,FALSE)</f>
        <v>type40</v>
      </c>
      <c r="E1992">
        <v>608.94000000000005</v>
      </c>
      <c r="F1992" t="s">
        <v>50</v>
      </c>
      <c r="G1992" s="1">
        <f>qry_ProdData2_PDI_Cash_Exception_Application[[#This Row],[INSERT DATE]]+7</f>
        <v>45204.257071759261</v>
      </c>
      <c r="H1992" t="str">
        <f>VLOOKUP(qry_ProdData2_PDI_Cash_Exception_Application[[#This Row],[MARKET No]],'Site Allocation'!$B$2:$C$37,2,FALSE)</f>
        <v>Analyst6</v>
      </c>
      <c r="I1992" s="4">
        <f t="shared" ca="1" si="31"/>
        <v>45203</v>
      </c>
      <c r="J1992" s="42">
        <f ca="1">TODAY()-qry_ProdData2_PDI_Cash_Exception_Application[[#This Row],[INSERT DATE]]</f>
        <v>5.7429282407392748</v>
      </c>
      <c r="K19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1992">
        <f ca="1">qry_ProdData2_PDI_Cash_Exception_Application[[#This Row],[TODAY]]-qry_ProdData2_PDI_Cash_Exception_Application[[#This Row],[CHANGED ON]]</f>
        <v>-1.2570717592607252</v>
      </c>
      <c r="M1992">
        <f ca="1">qry_ProdData2_PDI_Cash_Exception_Application[[#This Row],[TODAY]]-qry_ProdData2_PDI_Cash_Exception_Application[[#This Row],[CHANGED ON]]</f>
        <v>-1.2570717592607252</v>
      </c>
      <c r="N1992">
        <f ca="1">qry_ProdData2_PDI_Cash_Exception_Application[[#This Row],[TODAY]]-qry_ProdData2_PDI_Cash_Exception_Application[[#This Row],[CHANGED ON]]</f>
        <v>-1.2570717592607252</v>
      </c>
    </row>
    <row r="1993" spans="1:14" x14ac:dyDescent="0.35">
      <c r="A1993">
        <v>1008</v>
      </c>
      <c r="B1993" t="s">
        <v>62</v>
      </c>
      <c r="C1993" s="1">
        <v>45185.257071759261</v>
      </c>
      <c r="D1993" t="str">
        <f ca="1">VLOOKUP(qry_ProdData2_PDI_Cash_Exception_Application[[#This Row],[TYPE]],#REF!,2,FALSE)</f>
        <v>type40</v>
      </c>
      <c r="E1993">
        <v>-3819.71</v>
      </c>
      <c r="F1993" t="s">
        <v>50</v>
      </c>
      <c r="G1993" s="1">
        <f>qry_ProdData2_PDI_Cash_Exception_Application[[#This Row],[INSERT DATE]]+7</f>
        <v>45192.257071759261</v>
      </c>
      <c r="H1993" t="str">
        <f>VLOOKUP(qry_ProdData2_PDI_Cash_Exception_Application[[#This Row],[MARKET No]],'Site Allocation'!$B$2:$C$37,2,FALSE)</f>
        <v>Analyst2</v>
      </c>
      <c r="I1993" s="4">
        <f t="shared" ca="1" si="31"/>
        <v>45203</v>
      </c>
      <c r="J1993" s="42">
        <f ca="1">TODAY()-qry_ProdData2_PDI_Cash_Exception_Application[[#This Row],[INSERT DATE]]</f>
        <v>17.742928240739275</v>
      </c>
      <c r="K19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93">
        <f ca="1">qry_ProdData2_PDI_Cash_Exception_Application[[#This Row],[TODAY]]-qry_ProdData2_PDI_Cash_Exception_Application[[#This Row],[CHANGED ON]]</f>
        <v>10.742928240739275</v>
      </c>
      <c r="M1993">
        <f ca="1">qry_ProdData2_PDI_Cash_Exception_Application[[#This Row],[TODAY]]-qry_ProdData2_PDI_Cash_Exception_Application[[#This Row],[CHANGED ON]]</f>
        <v>10.742928240739275</v>
      </c>
      <c r="N1993">
        <f ca="1">qry_ProdData2_PDI_Cash_Exception_Application[[#This Row],[TODAY]]-qry_ProdData2_PDI_Cash_Exception_Application[[#This Row],[CHANGED ON]]</f>
        <v>10.742928240739275</v>
      </c>
    </row>
    <row r="1994" spans="1:14" x14ac:dyDescent="0.35">
      <c r="A1994">
        <v>1008</v>
      </c>
      <c r="B1994" t="s">
        <v>62</v>
      </c>
      <c r="C1994" s="1">
        <v>45186.257071759261</v>
      </c>
      <c r="D1994" t="str">
        <f ca="1">VLOOKUP(qry_ProdData2_PDI_Cash_Exception_Application[[#This Row],[TYPE]],#REF!,2,FALSE)</f>
        <v>type13</v>
      </c>
      <c r="E1994">
        <v>28693.7</v>
      </c>
      <c r="F1994" t="s">
        <v>52</v>
      </c>
      <c r="G1994" s="1">
        <f>qry_ProdData2_PDI_Cash_Exception_Application[[#This Row],[INSERT DATE]]+7</f>
        <v>45193.257071759261</v>
      </c>
      <c r="H1994" t="str">
        <f>VLOOKUP(qry_ProdData2_PDI_Cash_Exception_Application[[#This Row],[MARKET No]],'Site Allocation'!$B$2:$C$37,2,FALSE)</f>
        <v>Analyst2</v>
      </c>
      <c r="I1994" s="4">
        <f t="shared" ca="1" si="31"/>
        <v>45203</v>
      </c>
      <c r="J1994" s="42">
        <f ca="1">TODAY()-qry_ProdData2_PDI_Cash_Exception_Application[[#This Row],[INSERT DATE]]</f>
        <v>16.742928240739275</v>
      </c>
      <c r="K19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94">
        <f ca="1">qry_ProdData2_PDI_Cash_Exception_Application[[#This Row],[TODAY]]-qry_ProdData2_PDI_Cash_Exception_Application[[#This Row],[CHANGED ON]]</f>
        <v>9.7429282407392748</v>
      </c>
      <c r="M1994">
        <f ca="1">qry_ProdData2_PDI_Cash_Exception_Application[[#This Row],[TODAY]]-qry_ProdData2_PDI_Cash_Exception_Application[[#This Row],[CHANGED ON]]</f>
        <v>9.7429282407392748</v>
      </c>
      <c r="N1994">
        <f ca="1">qry_ProdData2_PDI_Cash_Exception_Application[[#This Row],[TODAY]]-qry_ProdData2_PDI_Cash_Exception_Application[[#This Row],[CHANGED ON]]</f>
        <v>9.7429282407392748</v>
      </c>
    </row>
    <row r="1995" spans="1:14" x14ac:dyDescent="0.35">
      <c r="A1995">
        <v>1025</v>
      </c>
      <c r="B1995" t="s">
        <v>79</v>
      </c>
      <c r="C1995" s="1">
        <v>45189.257071759261</v>
      </c>
      <c r="D1995" t="str">
        <f ca="1">VLOOKUP(qry_ProdData2_PDI_Cash_Exception_Application[[#This Row],[TYPE]],#REF!,2,FALSE)</f>
        <v>type8</v>
      </c>
      <c r="E1995">
        <v>55</v>
      </c>
      <c r="F1995" t="s">
        <v>49</v>
      </c>
      <c r="G1995" s="1">
        <f>qry_ProdData2_PDI_Cash_Exception_Application[[#This Row],[INSERT DATE]]+2</f>
        <v>45191.257071759261</v>
      </c>
      <c r="H1995" t="str">
        <f>VLOOKUP(qry_ProdData2_PDI_Cash_Exception_Application[[#This Row],[MARKET No]],'Site Allocation'!$B$2:$C$37,2,FALSE)</f>
        <v>Analyst5</v>
      </c>
      <c r="I1995" s="4">
        <f t="shared" ca="1" si="31"/>
        <v>45203</v>
      </c>
      <c r="J1995" s="42">
        <f ca="1">TODAY()-qry_ProdData2_PDI_Cash_Exception_Application[[#This Row],[INSERT DATE]]</f>
        <v>13.742928240739275</v>
      </c>
      <c r="K19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95">
        <f ca="1">qry_ProdData2_PDI_Cash_Exception_Application[[#This Row],[TODAY]]-qry_ProdData2_PDI_Cash_Exception_Application[[#This Row],[CHANGED ON]]</f>
        <v>11.742928240739275</v>
      </c>
      <c r="M1995">
        <f ca="1">qry_ProdData2_PDI_Cash_Exception_Application[[#This Row],[TODAY]]-qry_ProdData2_PDI_Cash_Exception_Application[[#This Row],[CHANGED ON]]</f>
        <v>11.742928240739275</v>
      </c>
      <c r="N1995">
        <f ca="1">qry_ProdData2_PDI_Cash_Exception_Application[[#This Row],[TODAY]]-qry_ProdData2_PDI_Cash_Exception_Application[[#This Row],[CHANGED ON]]</f>
        <v>11.742928240739275</v>
      </c>
    </row>
    <row r="1996" spans="1:14" x14ac:dyDescent="0.35">
      <c r="A1996">
        <v>1026</v>
      </c>
      <c r="B1996" t="s">
        <v>80</v>
      </c>
      <c r="C1996" s="1">
        <v>45189.257071759261</v>
      </c>
      <c r="D1996" t="str">
        <f ca="1">VLOOKUP(qry_ProdData2_PDI_Cash_Exception_Application[[#This Row],[TYPE]],#REF!,2,FALSE)</f>
        <v>type40</v>
      </c>
      <c r="E1996">
        <v>318.87</v>
      </c>
      <c r="F1996" t="s">
        <v>47</v>
      </c>
      <c r="G1996" s="1">
        <f>qry_ProdData2_PDI_Cash_Exception_Application[[#This Row],[INSERT DATE]]+5</f>
        <v>45194.257071759261</v>
      </c>
      <c r="H1996" t="str">
        <f>VLOOKUP(qry_ProdData2_PDI_Cash_Exception_Application[[#This Row],[MARKET No]],'Site Allocation'!$B$2:$C$37,2,FALSE)</f>
        <v>Analyst5</v>
      </c>
      <c r="I1996" s="4">
        <f t="shared" ca="1" si="31"/>
        <v>45203</v>
      </c>
      <c r="J1996" s="42">
        <f ca="1">TODAY()-qry_ProdData2_PDI_Cash_Exception_Application[[#This Row],[INSERT DATE]]</f>
        <v>13.742928240739275</v>
      </c>
      <c r="K19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96">
        <f ca="1">qry_ProdData2_PDI_Cash_Exception_Application[[#This Row],[TODAY]]-qry_ProdData2_PDI_Cash_Exception_Application[[#This Row],[CHANGED ON]]</f>
        <v>8.7429282407392748</v>
      </c>
      <c r="M1996">
        <f ca="1">qry_ProdData2_PDI_Cash_Exception_Application[[#This Row],[TODAY]]-qry_ProdData2_PDI_Cash_Exception_Application[[#This Row],[CHANGED ON]]</f>
        <v>8.7429282407392748</v>
      </c>
      <c r="N1996">
        <f ca="1">qry_ProdData2_PDI_Cash_Exception_Application[[#This Row],[TODAY]]-qry_ProdData2_PDI_Cash_Exception_Application[[#This Row],[CHANGED ON]]</f>
        <v>8.7429282407392748</v>
      </c>
    </row>
    <row r="1997" spans="1:14" x14ac:dyDescent="0.35">
      <c r="A1997">
        <v>1032</v>
      </c>
      <c r="B1997" t="s">
        <v>86</v>
      </c>
      <c r="C1997" s="1">
        <v>45185.257071759261</v>
      </c>
      <c r="D1997" t="str">
        <f ca="1">VLOOKUP(qry_ProdData2_PDI_Cash_Exception_Application[[#This Row],[TYPE]],#REF!,2,FALSE)</f>
        <v>type40</v>
      </c>
      <c r="E1997">
        <v>-1608.41</v>
      </c>
      <c r="F1997" t="s">
        <v>51</v>
      </c>
      <c r="G1997" s="1">
        <f>qry_ProdData2_PDI_Cash_Exception_Application[[#This Row],[INSERT DATE]]+2</f>
        <v>45187.257071759261</v>
      </c>
      <c r="H1997" t="str">
        <f>VLOOKUP(qry_ProdData2_PDI_Cash_Exception_Application[[#This Row],[MARKET No]],'Site Allocation'!$B$2:$C$37,2,FALSE)</f>
        <v>Analyst6</v>
      </c>
      <c r="I1997" s="4">
        <f t="shared" ca="1" si="31"/>
        <v>45203</v>
      </c>
      <c r="J1997" s="42">
        <f ca="1">TODAY()-qry_ProdData2_PDI_Cash_Exception_Application[[#This Row],[INSERT DATE]]</f>
        <v>17.742928240739275</v>
      </c>
      <c r="K19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97">
        <f ca="1">qry_ProdData2_PDI_Cash_Exception_Application[[#This Row],[TODAY]]-qry_ProdData2_PDI_Cash_Exception_Application[[#This Row],[CHANGED ON]]</f>
        <v>15.742928240739275</v>
      </c>
      <c r="M1997">
        <f ca="1">qry_ProdData2_PDI_Cash_Exception_Application[[#This Row],[TODAY]]-qry_ProdData2_PDI_Cash_Exception_Application[[#This Row],[CHANGED ON]]</f>
        <v>15.742928240739275</v>
      </c>
      <c r="N1997">
        <f ca="1">qry_ProdData2_PDI_Cash_Exception_Application[[#This Row],[TODAY]]-qry_ProdData2_PDI_Cash_Exception_Application[[#This Row],[CHANGED ON]]</f>
        <v>15.742928240739275</v>
      </c>
    </row>
    <row r="1998" spans="1:14" x14ac:dyDescent="0.35">
      <c r="A1998">
        <v>1010</v>
      </c>
      <c r="B1998" t="s">
        <v>64</v>
      </c>
      <c r="C1998" s="1">
        <v>45184.257071759261</v>
      </c>
      <c r="D1998" t="str">
        <f ca="1">VLOOKUP(qry_ProdData2_PDI_Cash_Exception_Application[[#This Row],[TYPE]],#REF!,2,FALSE)</f>
        <v>type7</v>
      </c>
      <c r="E1998">
        <v>-8131.18</v>
      </c>
      <c r="F1998" t="s">
        <v>48</v>
      </c>
      <c r="G1998" s="1">
        <f>qry_ProdData2_PDI_Cash_Exception_Application[[#This Row],[INSERT DATE]]+1</f>
        <v>45185.257071759261</v>
      </c>
      <c r="H1998" t="str">
        <f>VLOOKUP(qry_ProdData2_PDI_Cash_Exception_Application[[#This Row],[MARKET No]],'Site Allocation'!$B$2:$C$37,2,FALSE)</f>
        <v>Analyst2</v>
      </c>
      <c r="I1998" s="4">
        <f t="shared" ca="1" si="31"/>
        <v>45203</v>
      </c>
      <c r="J1998" s="42">
        <f ca="1">TODAY()-qry_ProdData2_PDI_Cash_Exception_Application[[#This Row],[INSERT DATE]]</f>
        <v>18.742928240739275</v>
      </c>
      <c r="K19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98">
        <f ca="1">qry_ProdData2_PDI_Cash_Exception_Application[[#This Row],[TODAY]]-qry_ProdData2_PDI_Cash_Exception_Application[[#This Row],[CHANGED ON]]</f>
        <v>17.742928240739275</v>
      </c>
      <c r="M1998">
        <f ca="1">qry_ProdData2_PDI_Cash_Exception_Application[[#This Row],[TODAY]]-qry_ProdData2_PDI_Cash_Exception_Application[[#This Row],[CHANGED ON]]</f>
        <v>17.742928240739275</v>
      </c>
      <c r="N1998">
        <f ca="1">qry_ProdData2_PDI_Cash_Exception_Application[[#This Row],[TODAY]]-qry_ProdData2_PDI_Cash_Exception_Application[[#This Row],[CHANGED ON]]</f>
        <v>17.742928240739275</v>
      </c>
    </row>
    <row r="1999" spans="1:14" x14ac:dyDescent="0.35">
      <c r="A1999">
        <v>1017</v>
      </c>
      <c r="B1999" t="s">
        <v>71</v>
      </c>
      <c r="C1999" s="1">
        <v>45184.257071759261</v>
      </c>
      <c r="D1999" t="str">
        <f ca="1">VLOOKUP(qry_ProdData2_PDI_Cash_Exception_Application[[#This Row],[TYPE]],#REF!,2,FALSE)</f>
        <v>type40</v>
      </c>
      <c r="E1999">
        <v>-780.45</v>
      </c>
      <c r="F1999" t="s">
        <v>48</v>
      </c>
      <c r="G1999" s="1">
        <f>qry_ProdData2_PDI_Cash_Exception_Application[[#This Row],[INSERT DATE]]+1</f>
        <v>45185.257071759261</v>
      </c>
      <c r="H1999" t="str">
        <f>VLOOKUP(qry_ProdData2_PDI_Cash_Exception_Application[[#This Row],[MARKET No]],'Site Allocation'!$B$2:$C$37,2,FALSE)</f>
        <v>Analyst3</v>
      </c>
      <c r="I1999" s="4">
        <f t="shared" ca="1" si="31"/>
        <v>45203</v>
      </c>
      <c r="J1999" s="42">
        <f ca="1">TODAY()-qry_ProdData2_PDI_Cash_Exception_Application[[#This Row],[INSERT DATE]]</f>
        <v>18.742928240739275</v>
      </c>
      <c r="K19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1999">
        <f ca="1">qry_ProdData2_PDI_Cash_Exception_Application[[#This Row],[TODAY]]-qry_ProdData2_PDI_Cash_Exception_Application[[#This Row],[CHANGED ON]]</f>
        <v>17.742928240739275</v>
      </c>
      <c r="M1999">
        <f ca="1">qry_ProdData2_PDI_Cash_Exception_Application[[#This Row],[TODAY]]-qry_ProdData2_PDI_Cash_Exception_Application[[#This Row],[CHANGED ON]]</f>
        <v>17.742928240739275</v>
      </c>
      <c r="N1999">
        <f ca="1">qry_ProdData2_PDI_Cash_Exception_Application[[#This Row],[TODAY]]-qry_ProdData2_PDI_Cash_Exception_Application[[#This Row],[CHANGED ON]]</f>
        <v>17.742928240739275</v>
      </c>
    </row>
    <row r="2000" spans="1:14" x14ac:dyDescent="0.35">
      <c r="A2000">
        <v>1000</v>
      </c>
      <c r="B2000" t="s">
        <v>54</v>
      </c>
      <c r="C2000" s="1">
        <v>45190.257071759261</v>
      </c>
      <c r="D2000" t="str">
        <f ca="1">VLOOKUP(qry_ProdData2_PDI_Cash_Exception_Application[[#This Row],[TYPE]],#REF!,2,FALSE)</f>
        <v>type40</v>
      </c>
      <c r="E2000">
        <v>-330.15</v>
      </c>
      <c r="F2000" t="s">
        <v>50</v>
      </c>
      <c r="G2000" s="1">
        <f>qry_ProdData2_PDI_Cash_Exception_Application[[#This Row],[INSERT DATE]]+7</f>
        <v>45197.257071759261</v>
      </c>
      <c r="H2000" t="str">
        <f>VLOOKUP(qry_ProdData2_PDI_Cash_Exception_Application[[#This Row],[MARKET No]],'Site Allocation'!$B$2:$C$37,2,FALSE)</f>
        <v>Analyst1</v>
      </c>
      <c r="I2000" s="4">
        <f t="shared" ca="1" si="31"/>
        <v>45203</v>
      </c>
      <c r="J2000" s="42">
        <f ca="1">TODAY()-qry_ProdData2_PDI_Cash_Exception_Application[[#This Row],[INSERT DATE]]</f>
        <v>12.742928240739275</v>
      </c>
      <c r="K20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00">
        <f ca="1">qry_ProdData2_PDI_Cash_Exception_Application[[#This Row],[TODAY]]-qry_ProdData2_PDI_Cash_Exception_Application[[#This Row],[CHANGED ON]]</f>
        <v>5.7429282407392748</v>
      </c>
      <c r="M2000">
        <f ca="1">qry_ProdData2_PDI_Cash_Exception_Application[[#This Row],[TODAY]]-qry_ProdData2_PDI_Cash_Exception_Application[[#This Row],[CHANGED ON]]</f>
        <v>5.7429282407392748</v>
      </c>
      <c r="N2000">
        <f ca="1">qry_ProdData2_PDI_Cash_Exception_Application[[#This Row],[TODAY]]-qry_ProdData2_PDI_Cash_Exception_Application[[#This Row],[CHANGED ON]]</f>
        <v>5.7429282407392748</v>
      </c>
    </row>
    <row r="2001" spans="1:14" x14ac:dyDescent="0.35">
      <c r="A2001">
        <v>1015</v>
      </c>
      <c r="B2001" t="s">
        <v>69</v>
      </c>
      <c r="C2001" s="1">
        <v>45190.257071759261</v>
      </c>
      <c r="D2001" t="str">
        <f ca="1">VLOOKUP(qry_ProdData2_PDI_Cash_Exception_Application[[#This Row],[TYPE]],#REF!,2,FALSE)</f>
        <v>type40</v>
      </c>
      <c r="E2001">
        <v>-1215.0899999999999</v>
      </c>
      <c r="F2001" t="s">
        <v>50</v>
      </c>
      <c r="G2001" s="1">
        <f>qry_ProdData2_PDI_Cash_Exception_Application[[#This Row],[INSERT DATE]]+7</f>
        <v>45197.257071759261</v>
      </c>
      <c r="H2001" t="str">
        <f>VLOOKUP(qry_ProdData2_PDI_Cash_Exception_Application[[#This Row],[MARKET No]],'Site Allocation'!$B$2:$C$37,2,FALSE)</f>
        <v>Analyst3</v>
      </c>
      <c r="I2001" s="4">
        <f t="shared" ca="1" si="31"/>
        <v>45203</v>
      </c>
      <c r="J2001" s="42">
        <f ca="1">TODAY()-qry_ProdData2_PDI_Cash_Exception_Application[[#This Row],[INSERT DATE]]</f>
        <v>12.742928240739275</v>
      </c>
      <c r="K20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01">
        <f ca="1">qry_ProdData2_PDI_Cash_Exception_Application[[#This Row],[TODAY]]-qry_ProdData2_PDI_Cash_Exception_Application[[#This Row],[CHANGED ON]]</f>
        <v>5.7429282407392748</v>
      </c>
      <c r="M2001">
        <f ca="1">qry_ProdData2_PDI_Cash_Exception_Application[[#This Row],[TODAY]]-qry_ProdData2_PDI_Cash_Exception_Application[[#This Row],[CHANGED ON]]</f>
        <v>5.7429282407392748</v>
      </c>
      <c r="N2001">
        <f ca="1">qry_ProdData2_PDI_Cash_Exception_Application[[#This Row],[TODAY]]-qry_ProdData2_PDI_Cash_Exception_Application[[#This Row],[CHANGED ON]]</f>
        <v>5.7429282407392748</v>
      </c>
    </row>
    <row r="2002" spans="1:14" x14ac:dyDescent="0.35">
      <c r="A2002">
        <v>1003</v>
      </c>
      <c r="B2002" t="s">
        <v>57</v>
      </c>
      <c r="C2002" s="1">
        <v>45185.257071759261</v>
      </c>
      <c r="D2002" t="str">
        <f ca="1">VLOOKUP(qry_ProdData2_PDI_Cash_Exception_Application[[#This Row],[TYPE]],#REF!,2,FALSE)</f>
        <v>type40</v>
      </c>
      <c r="E2002">
        <v>6667.95</v>
      </c>
      <c r="F2002" t="s">
        <v>48</v>
      </c>
      <c r="G2002" s="1">
        <f>qry_ProdData2_PDI_Cash_Exception_Application[[#This Row],[INSERT DATE]]+2</f>
        <v>45187.257071759261</v>
      </c>
      <c r="H2002" t="str">
        <f>VLOOKUP(qry_ProdData2_PDI_Cash_Exception_Application[[#This Row],[MARKET No]],'Site Allocation'!$B$2:$C$37,2,FALSE)</f>
        <v>Analyst1</v>
      </c>
      <c r="I2002" s="4">
        <f t="shared" ca="1" si="31"/>
        <v>45203</v>
      </c>
      <c r="J2002" s="42">
        <f ca="1">TODAY()-qry_ProdData2_PDI_Cash_Exception_Application[[#This Row],[INSERT DATE]]</f>
        <v>17.742928240739275</v>
      </c>
      <c r="K20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02">
        <f ca="1">qry_ProdData2_PDI_Cash_Exception_Application[[#This Row],[TODAY]]-qry_ProdData2_PDI_Cash_Exception_Application[[#This Row],[CHANGED ON]]</f>
        <v>15.742928240739275</v>
      </c>
      <c r="M2002">
        <f ca="1">qry_ProdData2_PDI_Cash_Exception_Application[[#This Row],[TODAY]]-qry_ProdData2_PDI_Cash_Exception_Application[[#This Row],[CHANGED ON]]</f>
        <v>15.742928240739275</v>
      </c>
      <c r="N2002">
        <f ca="1">qry_ProdData2_PDI_Cash_Exception_Application[[#This Row],[TODAY]]-qry_ProdData2_PDI_Cash_Exception_Application[[#This Row],[CHANGED ON]]</f>
        <v>15.742928240739275</v>
      </c>
    </row>
    <row r="2003" spans="1:14" x14ac:dyDescent="0.35">
      <c r="A2003">
        <v>1004</v>
      </c>
      <c r="B2003" t="s">
        <v>58</v>
      </c>
      <c r="C2003" s="1">
        <v>45191.257071759261</v>
      </c>
      <c r="D2003" t="str">
        <f ca="1">VLOOKUP(qry_ProdData2_PDI_Cash_Exception_Application[[#This Row],[TYPE]],#REF!,2,FALSE)</f>
        <v>type24</v>
      </c>
      <c r="E2003">
        <v>202.37</v>
      </c>
      <c r="F2003" t="s">
        <v>49</v>
      </c>
      <c r="G2003" s="1">
        <f>qry_ProdData2_PDI_Cash_Exception_Application[[#This Row],[INSERT DATE]]+5</f>
        <v>45196.257071759261</v>
      </c>
      <c r="H2003" t="str">
        <f>VLOOKUP(qry_ProdData2_PDI_Cash_Exception_Application[[#This Row],[MARKET No]],'Site Allocation'!$B$2:$C$37,2,FALSE)</f>
        <v>Analyst1</v>
      </c>
      <c r="I2003" s="4">
        <f t="shared" ca="1" si="31"/>
        <v>45203</v>
      </c>
      <c r="J2003" s="42">
        <f ca="1">TODAY()-qry_ProdData2_PDI_Cash_Exception_Application[[#This Row],[INSERT DATE]]</f>
        <v>11.742928240739275</v>
      </c>
      <c r="K20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03">
        <f ca="1">qry_ProdData2_PDI_Cash_Exception_Application[[#This Row],[TODAY]]-qry_ProdData2_PDI_Cash_Exception_Application[[#This Row],[CHANGED ON]]</f>
        <v>6.7429282407392748</v>
      </c>
      <c r="M2003">
        <f ca="1">qry_ProdData2_PDI_Cash_Exception_Application[[#This Row],[TODAY]]-qry_ProdData2_PDI_Cash_Exception_Application[[#This Row],[CHANGED ON]]</f>
        <v>6.7429282407392748</v>
      </c>
      <c r="N2003">
        <f ca="1">qry_ProdData2_PDI_Cash_Exception_Application[[#This Row],[TODAY]]-qry_ProdData2_PDI_Cash_Exception_Application[[#This Row],[CHANGED ON]]</f>
        <v>6.7429282407392748</v>
      </c>
    </row>
    <row r="2004" spans="1:14" x14ac:dyDescent="0.35">
      <c r="A2004">
        <v>1010</v>
      </c>
      <c r="B2004" t="s">
        <v>64</v>
      </c>
      <c r="C2004" s="1">
        <v>45187.257071759261</v>
      </c>
      <c r="D2004" t="str">
        <f ca="1">VLOOKUP(qry_ProdData2_PDI_Cash_Exception_Application[[#This Row],[TYPE]],#REF!,2,FALSE)</f>
        <v>type13</v>
      </c>
      <c r="E2004">
        <v>26144.83</v>
      </c>
      <c r="F2004" t="s">
        <v>51</v>
      </c>
      <c r="G2004" s="1">
        <f>qry_ProdData2_PDI_Cash_Exception_Application[[#This Row],[INSERT DATE]]+2</f>
        <v>45189.257071759261</v>
      </c>
      <c r="H2004" t="str">
        <f>VLOOKUP(qry_ProdData2_PDI_Cash_Exception_Application[[#This Row],[MARKET No]],'Site Allocation'!$B$2:$C$37,2,FALSE)</f>
        <v>Analyst2</v>
      </c>
      <c r="I2004" s="4">
        <f t="shared" ca="1" si="31"/>
        <v>45203</v>
      </c>
      <c r="J2004" s="42">
        <f ca="1">TODAY()-qry_ProdData2_PDI_Cash_Exception_Application[[#This Row],[INSERT DATE]]</f>
        <v>15.742928240739275</v>
      </c>
      <c r="K20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04">
        <f ca="1">qry_ProdData2_PDI_Cash_Exception_Application[[#This Row],[TODAY]]-qry_ProdData2_PDI_Cash_Exception_Application[[#This Row],[CHANGED ON]]</f>
        <v>13.742928240739275</v>
      </c>
      <c r="M2004">
        <f ca="1">qry_ProdData2_PDI_Cash_Exception_Application[[#This Row],[TODAY]]-qry_ProdData2_PDI_Cash_Exception_Application[[#This Row],[CHANGED ON]]</f>
        <v>13.742928240739275</v>
      </c>
      <c r="N2004">
        <f ca="1">qry_ProdData2_PDI_Cash_Exception_Application[[#This Row],[TODAY]]-qry_ProdData2_PDI_Cash_Exception_Application[[#This Row],[CHANGED ON]]</f>
        <v>13.742928240739275</v>
      </c>
    </row>
    <row r="2005" spans="1:14" x14ac:dyDescent="0.35">
      <c r="A2005">
        <v>1028</v>
      </c>
      <c r="B2005" t="s">
        <v>82</v>
      </c>
      <c r="C2005" s="1">
        <v>45194.257071759261</v>
      </c>
      <c r="D2005" t="str">
        <f ca="1">VLOOKUP(qry_ProdData2_PDI_Cash_Exception_Application[[#This Row],[TYPE]],#REF!,2,FALSE)</f>
        <v>type40</v>
      </c>
      <c r="E2005">
        <v>-488.79</v>
      </c>
      <c r="F2005" t="s">
        <v>52</v>
      </c>
      <c r="G2005" s="1">
        <f>qry_ProdData2_PDI_Cash_Exception_Application[[#This Row],[INSERT DATE]]+7</f>
        <v>45201.257071759261</v>
      </c>
      <c r="H2005" t="str">
        <f>VLOOKUP(qry_ProdData2_PDI_Cash_Exception_Application[[#This Row],[MARKET No]],'Site Allocation'!$B$2:$C$37,2,FALSE)</f>
        <v>Analyst5</v>
      </c>
      <c r="I2005" s="4">
        <f t="shared" ca="1" si="31"/>
        <v>45203</v>
      </c>
      <c r="J2005" s="42">
        <f ca="1">TODAY()-qry_ProdData2_PDI_Cash_Exception_Application[[#This Row],[INSERT DATE]]</f>
        <v>8.7429282407392748</v>
      </c>
      <c r="K20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005">
        <f ca="1">qry_ProdData2_PDI_Cash_Exception_Application[[#This Row],[TODAY]]-qry_ProdData2_PDI_Cash_Exception_Application[[#This Row],[CHANGED ON]]</f>
        <v>1.7429282407392748</v>
      </c>
      <c r="M2005">
        <f ca="1">qry_ProdData2_PDI_Cash_Exception_Application[[#This Row],[TODAY]]-qry_ProdData2_PDI_Cash_Exception_Application[[#This Row],[CHANGED ON]]</f>
        <v>1.7429282407392748</v>
      </c>
      <c r="N2005">
        <f ca="1">qry_ProdData2_PDI_Cash_Exception_Application[[#This Row],[TODAY]]-qry_ProdData2_PDI_Cash_Exception_Application[[#This Row],[CHANGED ON]]</f>
        <v>1.7429282407392748</v>
      </c>
    </row>
    <row r="2006" spans="1:14" x14ac:dyDescent="0.35">
      <c r="A2006">
        <v>1024</v>
      </c>
      <c r="B2006" t="s">
        <v>78</v>
      </c>
      <c r="C2006" s="1">
        <v>45187.257071759261</v>
      </c>
      <c r="D2006" t="str">
        <f ca="1">VLOOKUP(qry_ProdData2_PDI_Cash_Exception_Application[[#This Row],[TYPE]],#REF!,2,FALSE)</f>
        <v>type7</v>
      </c>
      <c r="E2006">
        <v>1488.16</v>
      </c>
      <c r="F2006" t="s">
        <v>51</v>
      </c>
      <c r="G2006" s="1">
        <f>qry_ProdData2_PDI_Cash_Exception_Application[[#This Row],[INSERT DATE]]+2</f>
        <v>45189.257071759261</v>
      </c>
      <c r="H2006" t="str">
        <f>VLOOKUP(qry_ProdData2_PDI_Cash_Exception_Application[[#This Row],[MARKET No]],'Site Allocation'!$B$2:$C$37,2,FALSE)</f>
        <v>Analyst5</v>
      </c>
      <c r="I2006" s="4">
        <f t="shared" ca="1" si="31"/>
        <v>45203</v>
      </c>
      <c r="J2006" s="42">
        <f ca="1">TODAY()-qry_ProdData2_PDI_Cash_Exception_Application[[#This Row],[INSERT DATE]]</f>
        <v>15.742928240739275</v>
      </c>
      <c r="K20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06">
        <f ca="1">qry_ProdData2_PDI_Cash_Exception_Application[[#This Row],[TODAY]]-qry_ProdData2_PDI_Cash_Exception_Application[[#This Row],[CHANGED ON]]</f>
        <v>13.742928240739275</v>
      </c>
      <c r="M2006">
        <f ca="1">qry_ProdData2_PDI_Cash_Exception_Application[[#This Row],[TODAY]]-qry_ProdData2_PDI_Cash_Exception_Application[[#This Row],[CHANGED ON]]</f>
        <v>13.742928240739275</v>
      </c>
      <c r="N2006">
        <f ca="1">qry_ProdData2_PDI_Cash_Exception_Application[[#This Row],[TODAY]]-qry_ProdData2_PDI_Cash_Exception_Application[[#This Row],[CHANGED ON]]</f>
        <v>13.742928240739275</v>
      </c>
    </row>
    <row r="2007" spans="1:14" x14ac:dyDescent="0.35">
      <c r="A2007">
        <v>1013</v>
      </c>
      <c r="B2007" t="s">
        <v>67</v>
      </c>
      <c r="C2007" s="1">
        <v>45188.257071759261</v>
      </c>
      <c r="D2007" t="str">
        <f ca="1">VLOOKUP(qry_ProdData2_PDI_Cash_Exception_Application[[#This Row],[TYPE]],#REF!,2,FALSE)</f>
        <v>type13</v>
      </c>
      <c r="E2007">
        <v>30383.32</v>
      </c>
      <c r="F2007" t="s">
        <v>47</v>
      </c>
      <c r="G2007" s="1">
        <f>qry_ProdData2_PDI_Cash_Exception_Application[[#This Row],[INSERT DATE]]+7</f>
        <v>45195.257071759261</v>
      </c>
      <c r="H2007" t="str">
        <f>VLOOKUP(qry_ProdData2_PDI_Cash_Exception_Application[[#This Row],[MARKET No]],'Site Allocation'!$B$2:$C$37,2,FALSE)</f>
        <v>Analyst3</v>
      </c>
      <c r="I2007" s="4">
        <f t="shared" ca="1" si="31"/>
        <v>45203</v>
      </c>
      <c r="J2007" s="42">
        <f ca="1">TODAY()-qry_ProdData2_PDI_Cash_Exception_Application[[#This Row],[INSERT DATE]]</f>
        <v>14.742928240739275</v>
      </c>
      <c r="K20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07">
        <f ca="1">qry_ProdData2_PDI_Cash_Exception_Application[[#This Row],[TODAY]]-qry_ProdData2_PDI_Cash_Exception_Application[[#This Row],[CHANGED ON]]</f>
        <v>7.7429282407392748</v>
      </c>
      <c r="M2007">
        <f ca="1">qry_ProdData2_PDI_Cash_Exception_Application[[#This Row],[TODAY]]-qry_ProdData2_PDI_Cash_Exception_Application[[#This Row],[CHANGED ON]]</f>
        <v>7.7429282407392748</v>
      </c>
      <c r="N2007">
        <f ca="1">qry_ProdData2_PDI_Cash_Exception_Application[[#This Row],[TODAY]]-qry_ProdData2_PDI_Cash_Exception_Application[[#This Row],[CHANGED ON]]</f>
        <v>7.7429282407392748</v>
      </c>
    </row>
    <row r="2008" spans="1:14" x14ac:dyDescent="0.35">
      <c r="A2008">
        <v>1020</v>
      </c>
      <c r="B2008" t="s">
        <v>74</v>
      </c>
      <c r="C2008" s="1">
        <v>45189.257071759261</v>
      </c>
      <c r="D2008" t="str">
        <f ca="1">VLOOKUP(qry_ProdData2_PDI_Cash_Exception_Application[[#This Row],[TYPE]],#REF!,2,FALSE)</f>
        <v>type13</v>
      </c>
      <c r="E2008">
        <v>13966.65</v>
      </c>
      <c r="F2008" t="s">
        <v>47</v>
      </c>
      <c r="G2008" s="1">
        <f>qry_ProdData2_PDI_Cash_Exception_Application[[#This Row],[INSERT DATE]]+1</f>
        <v>45190.257071759261</v>
      </c>
      <c r="H2008" t="str">
        <f>VLOOKUP(qry_ProdData2_PDI_Cash_Exception_Application[[#This Row],[MARKET No]],'Site Allocation'!$B$2:$C$37,2,FALSE)</f>
        <v>Analyst4</v>
      </c>
      <c r="I2008" s="4">
        <f t="shared" ca="1" si="31"/>
        <v>45203</v>
      </c>
      <c r="J2008" s="42">
        <f ca="1">TODAY()-qry_ProdData2_PDI_Cash_Exception_Application[[#This Row],[INSERT DATE]]</f>
        <v>13.742928240739275</v>
      </c>
      <c r="K20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08">
        <f ca="1">qry_ProdData2_PDI_Cash_Exception_Application[[#This Row],[TODAY]]-qry_ProdData2_PDI_Cash_Exception_Application[[#This Row],[CHANGED ON]]</f>
        <v>12.742928240739275</v>
      </c>
      <c r="M2008">
        <f ca="1">qry_ProdData2_PDI_Cash_Exception_Application[[#This Row],[TODAY]]-qry_ProdData2_PDI_Cash_Exception_Application[[#This Row],[CHANGED ON]]</f>
        <v>12.742928240739275</v>
      </c>
      <c r="N2008">
        <f ca="1">qry_ProdData2_PDI_Cash_Exception_Application[[#This Row],[TODAY]]-qry_ProdData2_PDI_Cash_Exception_Application[[#This Row],[CHANGED ON]]</f>
        <v>12.742928240739275</v>
      </c>
    </row>
    <row r="2009" spans="1:14" x14ac:dyDescent="0.35">
      <c r="A2009">
        <v>1027</v>
      </c>
      <c r="B2009" t="s">
        <v>81</v>
      </c>
      <c r="C2009" s="1">
        <v>45191.257071759261</v>
      </c>
      <c r="D2009" t="str">
        <f ca="1">VLOOKUP(qry_ProdData2_PDI_Cash_Exception_Application[[#This Row],[TYPE]],#REF!,2,FALSE)</f>
        <v>type13</v>
      </c>
      <c r="E2009">
        <v>15887.76</v>
      </c>
      <c r="F2009" t="s">
        <v>47</v>
      </c>
      <c r="G2009" s="1">
        <f>qry_ProdData2_PDI_Cash_Exception_Application[[#This Row],[INSERT DATE]]+1</f>
        <v>45192.257071759261</v>
      </c>
      <c r="H2009" t="str">
        <f>VLOOKUP(qry_ProdData2_PDI_Cash_Exception_Application[[#This Row],[MARKET No]],'Site Allocation'!$B$2:$C$37,2,FALSE)</f>
        <v>Analyst5</v>
      </c>
      <c r="I2009" s="4">
        <f t="shared" ca="1" si="31"/>
        <v>45203</v>
      </c>
      <c r="J2009" s="42">
        <f ca="1">TODAY()-qry_ProdData2_PDI_Cash_Exception_Application[[#This Row],[INSERT DATE]]</f>
        <v>11.742928240739275</v>
      </c>
      <c r="K20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09">
        <f ca="1">qry_ProdData2_PDI_Cash_Exception_Application[[#This Row],[TODAY]]-qry_ProdData2_PDI_Cash_Exception_Application[[#This Row],[CHANGED ON]]</f>
        <v>10.742928240739275</v>
      </c>
      <c r="M2009">
        <f ca="1">qry_ProdData2_PDI_Cash_Exception_Application[[#This Row],[TODAY]]-qry_ProdData2_PDI_Cash_Exception_Application[[#This Row],[CHANGED ON]]</f>
        <v>10.742928240739275</v>
      </c>
      <c r="N2009">
        <f ca="1">qry_ProdData2_PDI_Cash_Exception_Application[[#This Row],[TODAY]]-qry_ProdData2_PDI_Cash_Exception_Application[[#This Row],[CHANGED ON]]</f>
        <v>10.742928240739275</v>
      </c>
    </row>
    <row r="2010" spans="1:14" x14ac:dyDescent="0.35">
      <c r="A2010">
        <v>1009</v>
      </c>
      <c r="B2010" t="s">
        <v>63</v>
      </c>
      <c r="C2010" s="1">
        <v>45188.257071759261</v>
      </c>
      <c r="D2010" t="str">
        <f ca="1">VLOOKUP(qry_ProdData2_PDI_Cash_Exception_Application[[#This Row],[TYPE]],#REF!,2,FALSE)</f>
        <v>type40</v>
      </c>
      <c r="E2010">
        <v>2977.03</v>
      </c>
      <c r="F2010" t="s">
        <v>49</v>
      </c>
      <c r="G2010" s="1">
        <f>qry_ProdData2_PDI_Cash_Exception_Application[[#This Row],[INSERT DATE]]+7</f>
        <v>45195.257071759261</v>
      </c>
      <c r="H2010" t="str">
        <f>VLOOKUP(qry_ProdData2_PDI_Cash_Exception_Application[[#This Row],[MARKET No]],'Site Allocation'!$B$2:$C$37,2,FALSE)</f>
        <v>Analyst2</v>
      </c>
      <c r="I2010" s="4">
        <f t="shared" ca="1" si="31"/>
        <v>45203</v>
      </c>
      <c r="J2010" s="42">
        <f ca="1">TODAY()-qry_ProdData2_PDI_Cash_Exception_Application[[#This Row],[INSERT DATE]]</f>
        <v>14.742928240739275</v>
      </c>
      <c r="K20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10">
        <f ca="1">qry_ProdData2_PDI_Cash_Exception_Application[[#This Row],[TODAY]]-qry_ProdData2_PDI_Cash_Exception_Application[[#This Row],[CHANGED ON]]</f>
        <v>7.7429282407392748</v>
      </c>
      <c r="M2010">
        <f ca="1">qry_ProdData2_PDI_Cash_Exception_Application[[#This Row],[TODAY]]-qry_ProdData2_PDI_Cash_Exception_Application[[#This Row],[CHANGED ON]]</f>
        <v>7.7429282407392748</v>
      </c>
      <c r="N2010">
        <f ca="1">qry_ProdData2_PDI_Cash_Exception_Application[[#This Row],[TODAY]]-qry_ProdData2_PDI_Cash_Exception_Application[[#This Row],[CHANGED ON]]</f>
        <v>7.7429282407392748</v>
      </c>
    </row>
    <row r="2011" spans="1:14" x14ac:dyDescent="0.35">
      <c r="A2011">
        <v>1015</v>
      </c>
      <c r="B2011" t="s">
        <v>69</v>
      </c>
      <c r="C2011" s="1">
        <v>45181.257071759261</v>
      </c>
      <c r="D2011" t="str">
        <f ca="1">VLOOKUP(qry_ProdData2_PDI_Cash_Exception_Application[[#This Row],[TYPE]],#REF!,2,FALSE)</f>
        <v>type40</v>
      </c>
      <c r="E2011">
        <v>1123.8399999999999</v>
      </c>
      <c r="F2011" t="s">
        <v>52</v>
      </c>
      <c r="G2011" s="1">
        <f>qry_ProdData2_PDI_Cash_Exception_Application[[#This Row],[INSERT DATE]]+1</f>
        <v>45182.257071759261</v>
      </c>
      <c r="H2011" t="str">
        <f>VLOOKUP(qry_ProdData2_PDI_Cash_Exception_Application[[#This Row],[MARKET No]],'Site Allocation'!$B$2:$C$37,2,FALSE)</f>
        <v>Analyst3</v>
      </c>
      <c r="I2011" s="4">
        <f t="shared" ca="1" si="31"/>
        <v>45203</v>
      </c>
      <c r="J2011" s="42">
        <f ca="1">TODAY()-qry_ProdData2_PDI_Cash_Exception_Application[[#This Row],[INSERT DATE]]</f>
        <v>21.742928240739275</v>
      </c>
      <c r="K20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11">
        <f ca="1">qry_ProdData2_PDI_Cash_Exception_Application[[#This Row],[TODAY]]-qry_ProdData2_PDI_Cash_Exception_Application[[#This Row],[CHANGED ON]]</f>
        <v>20.742928240739275</v>
      </c>
      <c r="M2011">
        <f ca="1">qry_ProdData2_PDI_Cash_Exception_Application[[#This Row],[TODAY]]-qry_ProdData2_PDI_Cash_Exception_Application[[#This Row],[CHANGED ON]]</f>
        <v>20.742928240739275</v>
      </c>
      <c r="N2011">
        <f ca="1">qry_ProdData2_PDI_Cash_Exception_Application[[#This Row],[TODAY]]-qry_ProdData2_PDI_Cash_Exception_Application[[#This Row],[CHANGED ON]]</f>
        <v>20.742928240739275</v>
      </c>
    </row>
    <row r="2012" spans="1:14" x14ac:dyDescent="0.35">
      <c r="A2012">
        <v>1019</v>
      </c>
      <c r="B2012" t="s">
        <v>73</v>
      </c>
      <c r="C2012" s="1">
        <v>45182.257071759261</v>
      </c>
      <c r="D2012" t="str">
        <f ca="1">VLOOKUP(qry_ProdData2_PDI_Cash_Exception_Application[[#This Row],[TYPE]],#REF!,2,FALSE)</f>
        <v>type40</v>
      </c>
      <c r="E2012">
        <v>319.69</v>
      </c>
      <c r="F2012" t="s">
        <v>50</v>
      </c>
      <c r="G2012" s="1">
        <f>qry_ProdData2_PDI_Cash_Exception_Application[[#This Row],[INSERT DATE]]+1</f>
        <v>45183.257071759261</v>
      </c>
      <c r="H2012" t="str">
        <f>VLOOKUP(qry_ProdData2_PDI_Cash_Exception_Application[[#This Row],[MARKET No]],'Site Allocation'!$B$2:$C$37,2,FALSE)</f>
        <v>Analyst4</v>
      </c>
      <c r="I2012" s="4">
        <f t="shared" ca="1" si="31"/>
        <v>45203</v>
      </c>
      <c r="J2012" s="42">
        <f ca="1">TODAY()-qry_ProdData2_PDI_Cash_Exception_Application[[#This Row],[INSERT DATE]]</f>
        <v>20.742928240739275</v>
      </c>
      <c r="K20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12">
        <f ca="1">qry_ProdData2_PDI_Cash_Exception_Application[[#This Row],[TODAY]]-qry_ProdData2_PDI_Cash_Exception_Application[[#This Row],[CHANGED ON]]</f>
        <v>19.742928240739275</v>
      </c>
      <c r="M2012">
        <f ca="1">qry_ProdData2_PDI_Cash_Exception_Application[[#This Row],[TODAY]]-qry_ProdData2_PDI_Cash_Exception_Application[[#This Row],[CHANGED ON]]</f>
        <v>19.742928240739275</v>
      </c>
      <c r="N2012">
        <f ca="1">qry_ProdData2_PDI_Cash_Exception_Application[[#This Row],[TODAY]]-qry_ProdData2_PDI_Cash_Exception_Application[[#This Row],[CHANGED ON]]</f>
        <v>19.742928240739275</v>
      </c>
    </row>
    <row r="2013" spans="1:14" x14ac:dyDescent="0.35">
      <c r="A2013">
        <v>1020</v>
      </c>
      <c r="B2013" t="s">
        <v>74</v>
      </c>
      <c r="C2013" s="1">
        <v>45184.257071759261</v>
      </c>
      <c r="D2013" t="str">
        <f ca="1">VLOOKUP(qry_ProdData2_PDI_Cash_Exception_Application[[#This Row],[TYPE]],#REF!,2,FALSE)</f>
        <v>type13</v>
      </c>
      <c r="E2013">
        <v>15769.74</v>
      </c>
      <c r="F2013" t="s">
        <v>47</v>
      </c>
      <c r="G2013" s="1">
        <f>qry_ProdData2_PDI_Cash_Exception_Application[[#This Row],[INSERT DATE]]+2</f>
        <v>45186.257071759261</v>
      </c>
      <c r="H2013" t="str">
        <f>VLOOKUP(qry_ProdData2_PDI_Cash_Exception_Application[[#This Row],[MARKET No]],'Site Allocation'!$B$2:$C$37,2,FALSE)</f>
        <v>Analyst4</v>
      </c>
      <c r="I2013" s="4">
        <f t="shared" ca="1" si="31"/>
        <v>45203</v>
      </c>
      <c r="J2013" s="42">
        <f ca="1">TODAY()-qry_ProdData2_PDI_Cash_Exception_Application[[#This Row],[INSERT DATE]]</f>
        <v>18.742928240739275</v>
      </c>
      <c r="K20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13">
        <f ca="1">qry_ProdData2_PDI_Cash_Exception_Application[[#This Row],[TODAY]]-qry_ProdData2_PDI_Cash_Exception_Application[[#This Row],[CHANGED ON]]</f>
        <v>16.742928240739275</v>
      </c>
      <c r="M2013">
        <f ca="1">qry_ProdData2_PDI_Cash_Exception_Application[[#This Row],[TODAY]]-qry_ProdData2_PDI_Cash_Exception_Application[[#This Row],[CHANGED ON]]</f>
        <v>16.742928240739275</v>
      </c>
      <c r="N2013">
        <f ca="1">qry_ProdData2_PDI_Cash_Exception_Application[[#This Row],[TODAY]]-qry_ProdData2_PDI_Cash_Exception_Application[[#This Row],[CHANGED ON]]</f>
        <v>16.742928240739275</v>
      </c>
    </row>
    <row r="2014" spans="1:14" x14ac:dyDescent="0.35">
      <c r="A2014">
        <v>1025</v>
      </c>
      <c r="B2014" t="s">
        <v>79</v>
      </c>
      <c r="C2014" s="1">
        <v>45183.257071759261</v>
      </c>
      <c r="D2014" t="str">
        <f ca="1">VLOOKUP(qry_ProdData2_PDI_Cash_Exception_Application[[#This Row],[TYPE]],#REF!,2,FALSE)</f>
        <v>type40</v>
      </c>
      <c r="E2014">
        <v>-1145.3900000000001</v>
      </c>
      <c r="F2014" t="s">
        <v>52</v>
      </c>
      <c r="G2014" s="1">
        <f>qry_ProdData2_PDI_Cash_Exception_Application[[#This Row],[INSERT DATE]]+1</f>
        <v>45184.257071759261</v>
      </c>
      <c r="H2014" t="str">
        <f>VLOOKUP(qry_ProdData2_PDI_Cash_Exception_Application[[#This Row],[MARKET No]],'Site Allocation'!$B$2:$C$37,2,FALSE)</f>
        <v>Analyst5</v>
      </c>
      <c r="I2014" s="4">
        <f t="shared" ca="1" si="31"/>
        <v>45203</v>
      </c>
      <c r="J2014" s="42">
        <f ca="1">TODAY()-qry_ProdData2_PDI_Cash_Exception_Application[[#This Row],[INSERT DATE]]</f>
        <v>19.742928240739275</v>
      </c>
      <c r="K20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14">
        <f ca="1">qry_ProdData2_PDI_Cash_Exception_Application[[#This Row],[TODAY]]-qry_ProdData2_PDI_Cash_Exception_Application[[#This Row],[CHANGED ON]]</f>
        <v>18.742928240739275</v>
      </c>
      <c r="M2014">
        <f ca="1">qry_ProdData2_PDI_Cash_Exception_Application[[#This Row],[TODAY]]-qry_ProdData2_PDI_Cash_Exception_Application[[#This Row],[CHANGED ON]]</f>
        <v>18.742928240739275</v>
      </c>
      <c r="N2014">
        <f ca="1">qry_ProdData2_PDI_Cash_Exception_Application[[#This Row],[TODAY]]-qry_ProdData2_PDI_Cash_Exception_Application[[#This Row],[CHANGED ON]]</f>
        <v>18.742928240739275</v>
      </c>
    </row>
    <row r="2015" spans="1:14" x14ac:dyDescent="0.35">
      <c r="A2015">
        <v>1019</v>
      </c>
      <c r="B2015" t="s">
        <v>73</v>
      </c>
      <c r="C2015" s="1">
        <v>45189.257071759261</v>
      </c>
      <c r="D2015" t="str">
        <f ca="1">VLOOKUP(qry_ProdData2_PDI_Cash_Exception_Application[[#This Row],[TYPE]],#REF!,2,FALSE)</f>
        <v>type26</v>
      </c>
      <c r="E2015">
        <v>219.19</v>
      </c>
      <c r="F2015" t="s">
        <v>51</v>
      </c>
      <c r="G2015" s="1">
        <f>qry_ProdData2_PDI_Cash_Exception_Application[[#This Row],[INSERT DATE]]+2</f>
        <v>45191.257071759261</v>
      </c>
      <c r="H2015" t="str">
        <f>VLOOKUP(qry_ProdData2_PDI_Cash_Exception_Application[[#This Row],[MARKET No]],'Site Allocation'!$B$2:$C$37,2,FALSE)</f>
        <v>Analyst4</v>
      </c>
      <c r="I2015" s="4">
        <f t="shared" ca="1" si="31"/>
        <v>45203</v>
      </c>
      <c r="J2015" s="42">
        <f ca="1">TODAY()-qry_ProdData2_PDI_Cash_Exception_Application[[#This Row],[INSERT DATE]]</f>
        <v>13.742928240739275</v>
      </c>
      <c r="K20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15">
        <f ca="1">qry_ProdData2_PDI_Cash_Exception_Application[[#This Row],[TODAY]]-qry_ProdData2_PDI_Cash_Exception_Application[[#This Row],[CHANGED ON]]</f>
        <v>11.742928240739275</v>
      </c>
      <c r="M2015">
        <f ca="1">qry_ProdData2_PDI_Cash_Exception_Application[[#This Row],[TODAY]]-qry_ProdData2_PDI_Cash_Exception_Application[[#This Row],[CHANGED ON]]</f>
        <v>11.742928240739275</v>
      </c>
      <c r="N2015">
        <f ca="1">qry_ProdData2_PDI_Cash_Exception_Application[[#This Row],[TODAY]]-qry_ProdData2_PDI_Cash_Exception_Application[[#This Row],[CHANGED ON]]</f>
        <v>11.742928240739275</v>
      </c>
    </row>
    <row r="2016" spans="1:14" x14ac:dyDescent="0.35">
      <c r="A2016">
        <v>1034</v>
      </c>
      <c r="B2016" t="s">
        <v>88</v>
      </c>
      <c r="C2016" s="1">
        <v>45184.257071759261</v>
      </c>
      <c r="D2016" t="str">
        <f ca="1">VLOOKUP(qry_ProdData2_PDI_Cash_Exception_Application[[#This Row],[TYPE]],#REF!,2,FALSE)</f>
        <v>type40</v>
      </c>
      <c r="E2016">
        <v>-5748.01</v>
      </c>
      <c r="F2016" t="s">
        <v>50</v>
      </c>
      <c r="G2016" s="1">
        <f>qry_ProdData2_PDI_Cash_Exception_Application[[#This Row],[INSERT DATE]]+1</f>
        <v>45185.257071759261</v>
      </c>
      <c r="H2016" t="str">
        <f>VLOOKUP(qry_ProdData2_PDI_Cash_Exception_Application[[#This Row],[MARKET No]],'Site Allocation'!$B$2:$C$37,2,FALSE)</f>
        <v>Analyst6</v>
      </c>
      <c r="I2016" s="4">
        <f t="shared" ca="1" si="31"/>
        <v>45203</v>
      </c>
      <c r="J2016" s="42">
        <f ca="1">TODAY()-qry_ProdData2_PDI_Cash_Exception_Application[[#This Row],[INSERT DATE]]</f>
        <v>18.742928240739275</v>
      </c>
      <c r="K20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16">
        <f ca="1">qry_ProdData2_PDI_Cash_Exception_Application[[#This Row],[TODAY]]-qry_ProdData2_PDI_Cash_Exception_Application[[#This Row],[CHANGED ON]]</f>
        <v>17.742928240739275</v>
      </c>
      <c r="M2016">
        <f ca="1">qry_ProdData2_PDI_Cash_Exception_Application[[#This Row],[TODAY]]-qry_ProdData2_PDI_Cash_Exception_Application[[#This Row],[CHANGED ON]]</f>
        <v>17.742928240739275</v>
      </c>
      <c r="N2016">
        <f ca="1">qry_ProdData2_PDI_Cash_Exception_Application[[#This Row],[TODAY]]-qry_ProdData2_PDI_Cash_Exception_Application[[#This Row],[CHANGED ON]]</f>
        <v>17.742928240739275</v>
      </c>
    </row>
    <row r="2017" spans="1:14" x14ac:dyDescent="0.35">
      <c r="A2017">
        <v>1034</v>
      </c>
      <c r="B2017" t="s">
        <v>88</v>
      </c>
      <c r="C2017" s="1">
        <v>45191.257071759261</v>
      </c>
      <c r="D2017" t="str">
        <f ca="1">VLOOKUP(qry_ProdData2_PDI_Cash_Exception_Application[[#This Row],[TYPE]],#REF!,2,FALSE)</f>
        <v>type13</v>
      </c>
      <c r="E2017">
        <v>13449.86</v>
      </c>
      <c r="F2017" t="s">
        <v>47</v>
      </c>
      <c r="G2017" s="1">
        <f>qry_ProdData2_PDI_Cash_Exception_Application[[#This Row],[INSERT DATE]]+5</f>
        <v>45196.257071759261</v>
      </c>
      <c r="H2017" t="str">
        <f>VLOOKUP(qry_ProdData2_PDI_Cash_Exception_Application[[#This Row],[MARKET No]],'Site Allocation'!$B$2:$C$37,2,FALSE)</f>
        <v>Analyst6</v>
      </c>
      <c r="I2017" s="4">
        <f t="shared" ca="1" si="31"/>
        <v>45203</v>
      </c>
      <c r="J2017" s="42">
        <f ca="1">TODAY()-qry_ProdData2_PDI_Cash_Exception_Application[[#This Row],[INSERT DATE]]</f>
        <v>11.742928240739275</v>
      </c>
      <c r="K20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17">
        <f ca="1">qry_ProdData2_PDI_Cash_Exception_Application[[#This Row],[TODAY]]-qry_ProdData2_PDI_Cash_Exception_Application[[#This Row],[CHANGED ON]]</f>
        <v>6.7429282407392748</v>
      </c>
      <c r="M2017">
        <f ca="1">qry_ProdData2_PDI_Cash_Exception_Application[[#This Row],[TODAY]]-qry_ProdData2_PDI_Cash_Exception_Application[[#This Row],[CHANGED ON]]</f>
        <v>6.7429282407392748</v>
      </c>
      <c r="N2017">
        <f ca="1">qry_ProdData2_PDI_Cash_Exception_Application[[#This Row],[TODAY]]-qry_ProdData2_PDI_Cash_Exception_Application[[#This Row],[CHANGED ON]]</f>
        <v>6.7429282407392748</v>
      </c>
    </row>
    <row r="2018" spans="1:14" x14ac:dyDescent="0.35">
      <c r="A2018">
        <v>1018</v>
      </c>
      <c r="B2018" t="s">
        <v>72</v>
      </c>
      <c r="C2018" s="1">
        <v>45185.257071759261</v>
      </c>
      <c r="D2018" t="str">
        <f ca="1">VLOOKUP(qry_ProdData2_PDI_Cash_Exception_Application[[#This Row],[TYPE]],#REF!,2,FALSE)</f>
        <v>type40</v>
      </c>
      <c r="E2018">
        <v>1532.53</v>
      </c>
      <c r="F2018" t="s">
        <v>50</v>
      </c>
      <c r="G2018" s="1">
        <f>qry_ProdData2_PDI_Cash_Exception_Application[[#This Row],[INSERT DATE]]+1</f>
        <v>45186.257071759261</v>
      </c>
      <c r="H2018" t="str">
        <f>VLOOKUP(qry_ProdData2_PDI_Cash_Exception_Application[[#This Row],[MARKET No]],'Site Allocation'!$B$2:$C$37,2,FALSE)</f>
        <v>Analyst4</v>
      </c>
      <c r="I2018" s="4">
        <f t="shared" ca="1" si="31"/>
        <v>45203</v>
      </c>
      <c r="J2018" s="42">
        <f ca="1">TODAY()-qry_ProdData2_PDI_Cash_Exception_Application[[#This Row],[INSERT DATE]]</f>
        <v>17.742928240739275</v>
      </c>
      <c r="K20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18">
        <f ca="1">qry_ProdData2_PDI_Cash_Exception_Application[[#This Row],[TODAY]]-qry_ProdData2_PDI_Cash_Exception_Application[[#This Row],[CHANGED ON]]</f>
        <v>16.742928240739275</v>
      </c>
      <c r="M2018">
        <f ca="1">qry_ProdData2_PDI_Cash_Exception_Application[[#This Row],[TODAY]]-qry_ProdData2_PDI_Cash_Exception_Application[[#This Row],[CHANGED ON]]</f>
        <v>16.742928240739275</v>
      </c>
      <c r="N2018">
        <f ca="1">qry_ProdData2_PDI_Cash_Exception_Application[[#This Row],[TODAY]]-qry_ProdData2_PDI_Cash_Exception_Application[[#This Row],[CHANGED ON]]</f>
        <v>16.742928240739275</v>
      </c>
    </row>
    <row r="2019" spans="1:14" x14ac:dyDescent="0.35">
      <c r="A2019">
        <v>1026</v>
      </c>
      <c r="B2019" t="s">
        <v>80</v>
      </c>
      <c r="C2019" s="1">
        <v>45185.257071759261</v>
      </c>
      <c r="D2019" t="str">
        <f ca="1">VLOOKUP(qry_ProdData2_PDI_Cash_Exception_Application[[#This Row],[TYPE]],#REF!,2,FALSE)</f>
        <v>type40</v>
      </c>
      <c r="E2019">
        <v>-523</v>
      </c>
      <c r="F2019" t="s">
        <v>50</v>
      </c>
      <c r="G2019" s="1">
        <f>qry_ProdData2_PDI_Cash_Exception_Application[[#This Row],[INSERT DATE]]+1</f>
        <v>45186.257071759261</v>
      </c>
      <c r="H2019" t="str">
        <f>VLOOKUP(qry_ProdData2_PDI_Cash_Exception_Application[[#This Row],[MARKET No]],'Site Allocation'!$B$2:$C$37,2,FALSE)</f>
        <v>Analyst5</v>
      </c>
      <c r="I2019" s="4">
        <f t="shared" ca="1" si="31"/>
        <v>45203</v>
      </c>
      <c r="J2019" s="42">
        <f ca="1">TODAY()-qry_ProdData2_PDI_Cash_Exception_Application[[#This Row],[INSERT DATE]]</f>
        <v>17.742928240739275</v>
      </c>
      <c r="K20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19">
        <f ca="1">qry_ProdData2_PDI_Cash_Exception_Application[[#This Row],[TODAY]]-qry_ProdData2_PDI_Cash_Exception_Application[[#This Row],[CHANGED ON]]</f>
        <v>16.742928240739275</v>
      </c>
      <c r="M2019">
        <f ca="1">qry_ProdData2_PDI_Cash_Exception_Application[[#This Row],[TODAY]]-qry_ProdData2_PDI_Cash_Exception_Application[[#This Row],[CHANGED ON]]</f>
        <v>16.742928240739275</v>
      </c>
      <c r="N2019">
        <f ca="1">qry_ProdData2_PDI_Cash_Exception_Application[[#This Row],[TODAY]]-qry_ProdData2_PDI_Cash_Exception_Application[[#This Row],[CHANGED ON]]</f>
        <v>16.742928240739275</v>
      </c>
    </row>
    <row r="2020" spans="1:14" x14ac:dyDescent="0.35">
      <c r="A2020">
        <v>1021</v>
      </c>
      <c r="B2020" t="s">
        <v>75</v>
      </c>
      <c r="C2020" s="1">
        <v>45191.257071759261</v>
      </c>
      <c r="D2020" t="str">
        <f ca="1">VLOOKUP(qry_ProdData2_PDI_Cash_Exception_Application[[#This Row],[TYPE]],#REF!,2,FALSE)</f>
        <v>type40</v>
      </c>
      <c r="E2020">
        <v>412.22</v>
      </c>
      <c r="F2020" t="s">
        <v>51</v>
      </c>
      <c r="G2020" s="1">
        <f>qry_ProdData2_PDI_Cash_Exception_Application[[#This Row],[INSERT DATE]]+2</f>
        <v>45193.257071759261</v>
      </c>
      <c r="H2020" t="str">
        <f>VLOOKUP(qry_ProdData2_PDI_Cash_Exception_Application[[#This Row],[MARKET No]],'Site Allocation'!$B$2:$C$37,2,FALSE)</f>
        <v>Analyst4</v>
      </c>
      <c r="I2020" s="4">
        <f t="shared" ca="1" si="31"/>
        <v>45203</v>
      </c>
      <c r="J2020" s="42">
        <f ca="1">TODAY()-qry_ProdData2_PDI_Cash_Exception_Application[[#This Row],[INSERT DATE]]</f>
        <v>11.742928240739275</v>
      </c>
      <c r="K20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20">
        <f ca="1">qry_ProdData2_PDI_Cash_Exception_Application[[#This Row],[TODAY]]-qry_ProdData2_PDI_Cash_Exception_Application[[#This Row],[CHANGED ON]]</f>
        <v>9.7429282407392748</v>
      </c>
      <c r="M2020">
        <f ca="1">qry_ProdData2_PDI_Cash_Exception_Application[[#This Row],[TODAY]]-qry_ProdData2_PDI_Cash_Exception_Application[[#This Row],[CHANGED ON]]</f>
        <v>9.7429282407392748</v>
      </c>
      <c r="N2020">
        <f ca="1">qry_ProdData2_PDI_Cash_Exception_Application[[#This Row],[TODAY]]-qry_ProdData2_PDI_Cash_Exception_Application[[#This Row],[CHANGED ON]]</f>
        <v>9.7429282407392748</v>
      </c>
    </row>
    <row r="2021" spans="1:14" x14ac:dyDescent="0.35">
      <c r="A2021">
        <v>1022</v>
      </c>
      <c r="B2021" t="s">
        <v>76</v>
      </c>
      <c r="C2021" s="1">
        <v>45185.257071759261</v>
      </c>
      <c r="D2021" t="str">
        <f ca="1">VLOOKUP(qry_ProdData2_PDI_Cash_Exception_Application[[#This Row],[TYPE]],#REF!,2,FALSE)</f>
        <v>type13</v>
      </c>
      <c r="E2021">
        <v>14411.64</v>
      </c>
      <c r="F2021" t="s">
        <v>47</v>
      </c>
      <c r="G2021" s="1">
        <f>qry_ProdData2_PDI_Cash_Exception_Application[[#This Row],[INSERT DATE]]+5</f>
        <v>45190.257071759261</v>
      </c>
      <c r="H2021" t="str">
        <f>VLOOKUP(qry_ProdData2_PDI_Cash_Exception_Application[[#This Row],[MARKET No]],'Site Allocation'!$B$2:$C$37,2,FALSE)</f>
        <v>Analyst4</v>
      </c>
      <c r="I2021" s="4">
        <f t="shared" ca="1" si="31"/>
        <v>45203</v>
      </c>
      <c r="J2021" s="42">
        <f ca="1">TODAY()-qry_ProdData2_PDI_Cash_Exception_Application[[#This Row],[INSERT DATE]]</f>
        <v>17.742928240739275</v>
      </c>
      <c r="K20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21">
        <f ca="1">qry_ProdData2_PDI_Cash_Exception_Application[[#This Row],[TODAY]]-qry_ProdData2_PDI_Cash_Exception_Application[[#This Row],[CHANGED ON]]</f>
        <v>12.742928240739275</v>
      </c>
      <c r="M2021">
        <f ca="1">qry_ProdData2_PDI_Cash_Exception_Application[[#This Row],[TODAY]]-qry_ProdData2_PDI_Cash_Exception_Application[[#This Row],[CHANGED ON]]</f>
        <v>12.742928240739275</v>
      </c>
      <c r="N2021">
        <f ca="1">qry_ProdData2_PDI_Cash_Exception_Application[[#This Row],[TODAY]]-qry_ProdData2_PDI_Cash_Exception_Application[[#This Row],[CHANGED ON]]</f>
        <v>12.742928240739275</v>
      </c>
    </row>
    <row r="2022" spans="1:14" x14ac:dyDescent="0.35">
      <c r="A2022">
        <v>1006</v>
      </c>
      <c r="B2022" t="s">
        <v>60</v>
      </c>
      <c r="C2022" s="1">
        <v>45179.257071759261</v>
      </c>
      <c r="D2022" t="str">
        <f ca="1">VLOOKUP(qry_ProdData2_PDI_Cash_Exception_Application[[#This Row],[TYPE]],#REF!,2,FALSE)</f>
        <v>type18</v>
      </c>
      <c r="E2022">
        <v>405.79</v>
      </c>
      <c r="F2022" t="s">
        <v>49</v>
      </c>
      <c r="G2022" s="1">
        <f>qry_ProdData2_PDI_Cash_Exception_Application[[#This Row],[INSERT DATE]]+7</f>
        <v>45186.257071759261</v>
      </c>
      <c r="H2022" t="str">
        <f>VLOOKUP(qry_ProdData2_PDI_Cash_Exception_Application[[#This Row],[MARKET No]],'Site Allocation'!$B$2:$C$37,2,FALSE)</f>
        <v>Analyst2</v>
      </c>
      <c r="I2022" s="4">
        <f t="shared" ca="1" si="31"/>
        <v>45203</v>
      </c>
      <c r="J2022" s="42">
        <f ca="1">TODAY()-qry_ProdData2_PDI_Cash_Exception_Application[[#This Row],[INSERT DATE]]</f>
        <v>23.742928240739275</v>
      </c>
      <c r="K20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22">
        <f ca="1">qry_ProdData2_PDI_Cash_Exception_Application[[#This Row],[TODAY]]-qry_ProdData2_PDI_Cash_Exception_Application[[#This Row],[CHANGED ON]]</f>
        <v>16.742928240739275</v>
      </c>
      <c r="M2022">
        <f ca="1">qry_ProdData2_PDI_Cash_Exception_Application[[#This Row],[TODAY]]-qry_ProdData2_PDI_Cash_Exception_Application[[#This Row],[CHANGED ON]]</f>
        <v>16.742928240739275</v>
      </c>
      <c r="N2022">
        <f ca="1">qry_ProdData2_PDI_Cash_Exception_Application[[#This Row],[TODAY]]-qry_ProdData2_PDI_Cash_Exception_Application[[#This Row],[CHANGED ON]]</f>
        <v>16.742928240739275</v>
      </c>
    </row>
    <row r="2023" spans="1:14" x14ac:dyDescent="0.35">
      <c r="A2023">
        <v>1034</v>
      </c>
      <c r="B2023" t="s">
        <v>88</v>
      </c>
      <c r="C2023" s="1">
        <v>45188.257071759261</v>
      </c>
      <c r="D2023" t="str">
        <f ca="1">VLOOKUP(qry_ProdData2_PDI_Cash_Exception_Application[[#This Row],[TYPE]],#REF!,2,FALSE)</f>
        <v>type13</v>
      </c>
      <c r="E2023">
        <v>27020.45</v>
      </c>
      <c r="F2023" t="s">
        <v>51</v>
      </c>
      <c r="G2023" s="1">
        <f>qry_ProdData2_PDI_Cash_Exception_Application[[#This Row],[INSERT DATE]]+5</f>
        <v>45193.257071759261</v>
      </c>
      <c r="H2023" t="str">
        <f>VLOOKUP(qry_ProdData2_PDI_Cash_Exception_Application[[#This Row],[MARKET No]],'Site Allocation'!$B$2:$C$37,2,FALSE)</f>
        <v>Analyst6</v>
      </c>
      <c r="I2023" s="4">
        <f t="shared" ca="1" si="31"/>
        <v>45203</v>
      </c>
      <c r="J2023" s="42">
        <f ca="1">TODAY()-qry_ProdData2_PDI_Cash_Exception_Application[[#This Row],[INSERT DATE]]</f>
        <v>14.742928240739275</v>
      </c>
      <c r="K20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23">
        <f ca="1">qry_ProdData2_PDI_Cash_Exception_Application[[#This Row],[TODAY]]-qry_ProdData2_PDI_Cash_Exception_Application[[#This Row],[CHANGED ON]]</f>
        <v>9.7429282407392748</v>
      </c>
      <c r="M2023">
        <f ca="1">qry_ProdData2_PDI_Cash_Exception_Application[[#This Row],[TODAY]]-qry_ProdData2_PDI_Cash_Exception_Application[[#This Row],[CHANGED ON]]</f>
        <v>9.7429282407392748</v>
      </c>
      <c r="N2023">
        <f ca="1">qry_ProdData2_PDI_Cash_Exception_Application[[#This Row],[TODAY]]-qry_ProdData2_PDI_Cash_Exception_Application[[#This Row],[CHANGED ON]]</f>
        <v>9.7429282407392748</v>
      </c>
    </row>
    <row r="2024" spans="1:14" x14ac:dyDescent="0.35">
      <c r="A2024">
        <v>1022</v>
      </c>
      <c r="B2024" t="s">
        <v>76</v>
      </c>
      <c r="C2024" s="1">
        <v>45183.257071759261</v>
      </c>
      <c r="D2024" t="str">
        <f ca="1">VLOOKUP(qry_ProdData2_PDI_Cash_Exception_Application[[#This Row],[TYPE]],#REF!,2,FALSE)</f>
        <v>type40</v>
      </c>
      <c r="E2024">
        <v>331.25</v>
      </c>
      <c r="F2024" t="s">
        <v>51</v>
      </c>
      <c r="G2024" s="1">
        <f>qry_ProdData2_PDI_Cash_Exception_Application[[#This Row],[INSERT DATE]]+7</f>
        <v>45190.257071759261</v>
      </c>
      <c r="H2024" t="str">
        <f>VLOOKUP(qry_ProdData2_PDI_Cash_Exception_Application[[#This Row],[MARKET No]],'Site Allocation'!$B$2:$C$37,2,FALSE)</f>
        <v>Analyst4</v>
      </c>
      <c r="I2024" s="4">
        <f t="shared" ca="1" si="31"/>
        <v>45203</v>
      </c>
      <c r="J2024" s="42">
        <f ca="1">TODAY()-qry_ProdData2_PDI_Cash_Exception_Application[[#This Row],[INSERT DATE]]</f>
        <v>19.742928240739275</v>
      </c>
      <c r="K20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24">
        <f ca="1">qry_ProdData2_PDI_Cash_Exception_Application[[#This Row],[TODAY]]-qry_ProdData2_PDI_Cash_Exception_Application[[#This Row],[CHANGED ON]]</f>
        <v>12.742928240739275</v>
      </c>
      <c r="M2024">
        <f ca="1">qry_ProdData2_PDI_Cash_Exception_Application[[#This Row],[TODAY]]-qry_ProdData2_PDI_Cash_Exception_Application[[#This Row],[CHANGED ON]]</f>
        <v>12.742928240739275</v>
      </c>
      <c r="N2024">
        <f ca="1">qry_ProdData2_PDI_Cash_Exception_Application[[#This Row],[TODAY]]-qry_ProdData2_PDI_Cash_Exception_Application[[#This Row],[CHANGED ON]]</f>
        <v>12.742928240739275</v>
      </c>
    </row>
    <row r="2025" spans="1:14" x14ac:dyDescent="0.35">
      <c r="A2025">
        <v>1015</v>
      </c>
      <c r="B2025" t="s">
        <v>69</v>
      </c>
      <c r="C2025" s="1">
        <v>45189.257071759261</v>
      </c>
      <c r="D2025" t="str">
        <f ca="1">VLOOKUP(qry_ProdData2_PDI_Cash_Exception_Application[[#This Row],[TYPE]],#REF!,2,FALSE)</f>
        <v>type40</v>
      </c>
      <c r="E2025">
        <v>1055.04</v>
      </c>
      <c r="F2025" t="s">
        <v>50</v>
      </c>
      <c r="G2025" s="1">
        <f>qry_ProdData2_PDI_Cash_Exception_Application[[#This Row],[INSERT DATE]]+1</f>
        <v>45190.257071759261</v>
      </c>
      <c r="H2025" t="str">
        <f>VLOOKUP(qry_ProdData2_PDI_Cash_Exception_Application[[#This Row],[MARKET No]],'Site Allocation'!$B$2:$C$37,2,FALSE)</f>
        <v>Analyst3</v>
      </c>
      <c r="I2025" s="4">
        <f t="shared" ca="1" si="31"/>
        <v>45203</v>
      </c>
      <c r="J2025" s="42">
        <f ca="1">TODAY()-qry_ProdData2_PDI_Cash_Exception_Application[[#This Row],[INSERT DATE]]</f>
        <v>13.742928240739275</v>
      </c>
      <c r="K20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25">
        <f ca="1">qry_ProdData2_PDI_Cash_Exception_Application[[#This Row],[TODAY]]-qry_ProdData2_PDI_Cash_Exception_Application[[#This Row],[CHANGED ON]]</f>
        <v>12.742928240739275</v>
      </c>
      <c r="M2025">
        <f ca="1">qry_ProdData2_PDI_Cash_Exception_Application[[#This Row],[TODAY]]-qry_ProdData2_PDI_Cash_Exception_Application[[#This Row],[CHANGED ON]]</f>
        <v>12.742928240739275</v>
      </c>
      <c r="N2025">
        <f ca="1">qry_ProdData2_PDI_Cash_Exception_Application[[#This Row],[TODAY]]-qry_ProdData2_PDI_Cash_Exception_Application[[#This Row],[CHANGED ON]]</f>
        <v>12.742928240739275</v>
      </c>
    </row>
    <row r="2026" spans="1:14" x14ac:dyDescent="0.35">
      <c r="A2026">
        <v>1019</v>
      </c>
      <c r="B2026" t="s">
        <v>73</v>
      </c>
      <c r="C2026" s="1">
        <v>45190.257071759261</v>
      </c>
      <c r="D2026" t="str">
        <f ca="1">VLOOKUP(qry_ProdData2_PDI_Cash_Exception_Application[[#This Row],[TYPE]],#REF!,2,FALSE)</f>
        <v>type40</v>
      </c>
      <c r="E2026">
        <v>1392.21</v>
      </c>
      <c r="F2026" t="s">
        <v>52</v>
      </c>
      <c r="G2026" s="1">
        <f>qry_ProdData2_PDI_Cash_Exception_Application[[#This Row],[INSERT DATE]]+1</f>
        <v>45191.257071759261</v>
      </c>
      <c r="H2026" t="str">
        <f>VLOOKUP(qry_ProdData2_PDI_Cash_Exception_Application[[#This Row],[MARKET No]],'Site Allocation'!$B$2:$C$37,2,FALSE)</f>
        <v>Analyst4</v>
      </c>
      <c r="I2026" s="4">
        <f t="shared" ca="1" si="31"/>
        <v>45203</v>
      </c>
      <c r="J2026" s="42">
        <f ca="1">TODAY()-qry_ProdData2_PDI_Cash_Exception_Application[[#This Row],[INSERT DATE]]</f>
        <v>12.742928240739275</v>
      </c>
      <c r="K20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26">
        <f ca="1">qry_ProdData2_PDI_Cash_Exception_Application[[#This Row],[TODAY]]-qry_ProdData2_PDI_Cash_Exception_Application[[#This Row],[CHANGED ON]]</f>
        <v>11.742928240739275</v>
      </c>
      <c r="M2026">
        <f ca="1">qry_ProdData2_PDI_Cash_Exception_Application[[#This Row],[TODAY]]-qry_ProdData2_PDI_Cash_Exception_Application[[#This Row],[CHANGED ON]]</f>
        <v>11.742928240739275</v>
      </c>
      <c r="N2026">
        <f ca="1">qry_ProdData2_PDI_Cash_Exception_Application[[#This Row],[TODAY]]-qry_ProdData2_PDI_Cash_Exception_Application[[#This Row],[CHANGED ON]]</f>
        <v>11.742928240739275</v>
      </c>
    </row>
    <row r="2027" spans="1:14" x14ac:dyDescent="0.35">
      <c r="A2027">
        <v>1034</v>
      </c>
      <c r="B2027" t="s">
        <v>88</v>
      </c>
      <c r="C2027" s="1">
        <v>45180.257071759261</v>
      </c>
      <c r="D2027" t="str">
        <f ca="1">VLOOKUP(qry_ProdData2_PDI_Cash_Exception_Application[[#This Row],[TYPE]],#REF!,2,FALSE)</f>
        <v>type42</v>
      </c>
      <c r="E2027">
        <v>201.77</v>
      </c>
      <c r="F2027" t="s">
        <v>49</v>
      </c>
      <c r="G2027" s="1">
        <f>qry_ProdData2_PDI_Cash_Exception_Application[[#This Row],[INSERT DATE]]+1</f>
        <v>45181.257071759261</v>
      </c>
      <c r="H2027" t="str">
        <f>VLOOKUP(qry_ProdData2_PDI_Cash_Exception_Application[[#This Row],[MARKET No]],'Site Allocation'!$B$2:$C$37,2,FALSE)</f>
        <v>Analyst6</v>
      </c>
      <c r="I2027" s="4">
        <f t="shared" ca="1" si="31"/>
        <v>45203</v>
      </c>
      <c r="J2027" s="42">
        <f ca="1">TODAY()-qry_ProdData2_PDI_Cash_Exception_Application[[#This Row],[INSERT DATE]]</f>
        <v>22.742928240739275</v>
      </c>
      <c r="K20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27">
        <f ca="1">qry_ProdData2_PDI_Cash_Exception_Application[[#This Row],[TODAY]]-qry_ProdData2_PDI_Cash_Exception_Application[[#This Row],[CHANGED ON]]</f>
        <v>21.742928240739275</v>
      </c>
      <c r="M2027">
        <f ca="1">qry_ProdData2_PDI_Cash_Exception_Application[[#This Row],[TODAY]]-qry_ProdData2_PDI_Cash_Exception_Application[[#This Row],[CHANGED ON]]</f>
        <v>21.742928240739275</v>
      </c>
      <c r="N2027">
        <f ca="1">qry_ProdData2_PDI_Cash_Exception_Application[[#This Row],[TODAY]]-qry_ProdData2_PDI_Cash_Exception_Application[[#This Row],[CHANGED ON]]</f>
        <v>21.742928240739275</v>
      </c>
    </row>
    <row r="2028" spans="1:14" x14ac:dyDescent="0.35">
      <c r="A2028">
        <v>1033</v>
      </c>
      <c r="B2028" t="s">
        <v>87</v>
      </c>
      <c r="C2028" s="1">
        <v>45192.257071759261</v>
      </c>
      <c r="D2028" t="str">
        <f ca="1">VLOOKUP(qry_ProdData2_PDI_Cash_Exception_Application[[#This Row],[TYPE]],#REF!,2,FALSE)</f>
        <v>type40</v>
      </c>
      <c r="E2028">
        <v>820.91</v>
      </c>
      <c r="F2028" t="s">
        <v>48</v>
      </c>
      <c r="G2028" s="1">
        <f>qry_ProdData2_PDI_Cash_Exception_Application[[#This Row],[INSERT DATE]]+2</f>
        <v>45194.257071759261</v>
      </c>
      <c r="H2028" t="str">
        <f>VLOOKUP(qry_ProdData2_PDI_Cash_Exception_Application[[#This Row],[MARKET No]],'Site Allocation'!$B$2:$C$37,2,FALSE)</f>
        <v>Analyst6</v>
      </c>
      <c r="I2028" s="4">
        <f t="shared" ca="1" si="31"/>
        <v>45203</v>
      </c>
      <c r="J2028" s="42">
        <f ca="1">TODAY()-qry_ProdData2_PDI_Cash_Exception_Application[[#This Row],[INSERT DATE]]</f>
        <v>10.742928240739275</v>
      </c>
      <c r="K20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28">
        <f ca="1">qry_ProdData2_PDI_Cash_Exception_Application[[#This Row],[TODAY]]-qry_ProdData2_PDI_Cash_Exception_Application[[#This Row],[CHANGED ON]]</f>
        <v>8.7429282407392748</v>
      </c>
      <c r="M2028">
        <f ca="1">qry_ProdData2_PDI_Cash_Exception_Application[[#This Row],[TODAY]]-qry_ProdData2_PDI_Cash_Exception_Application[[#This Row],[CHANGED ON]]</f>
        <v>8.7429282407392748</v>
      </c>
      <c r="N2028">
        <f ca="1">qry_ProdData2_PDI_Cash_Exception_Application[[#This Row],[TODAY]]-qry_ProdData2_PDI_Cash_Exception_Application[[#This Row],[CHANGED ON]]</f>
        <v>8.7429282407392748</v>
      </c>
    </row>
    <row r="2029" spans="1:14" x14ac:dyDescent="0.35">
      <c r="A2029">
        <v>1001</v>
      </c>
      <c r="B2029" t="s">
        <v>55</v>
      </c>
      <c r="C2029" s="1">
        <v>45191.257071759261</v>
      </c>
      <c r="D2029" t="str">
        <f ca="1">VLOOKUP(qry_ProdData2_PDI_Cash_Exception_Application[[#This Row],[TYPE]],#REF!,2,FALSE)</f>
        <v>type13</v>
      </c>
      <c r="E2029">
        <v>38873.31</v>
      </c>
      <c r="F2029" t="s">
        <v>47</v>
      </c>
      <c r="G2029" s="1">
        <f>qry_ProdData2_PDI_Cash_Exception_Application[[#This Row],[INSERT DATE]]+5</f>
        <v>45196.257071759261</v>
      </c>
      <c r="H2029" t="str">
        <f>VLOOKUP(qry_ProdData2_PDI_Cash_Exception_Application[[#This Row],[MARKET No]],'Site Allocation'!$B$2:$C$37,2,FALSE)</f>
        <v>Analyst1</v>
      </c>
      <c r="I2029" s="4">
        <f t="shared" ca="1" si="31"/>
        <v>45203</v>
      </c>
      <c r="J2029" s="42">
        <f ca="1">TODAY()-qry_ProdData2_PDI_Cash_Exception_Application[[#This Row],[INSERT DATE]]</f>
        <v>11.742928240739275</v>
      </c>
      <c r="K20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29">
        <f ca="1">qry_ProdData2_PDI_Cash_Exception_Application[[#This Row],[TODAY]]-qry_ProdData2_PDI_Cash_Exception_Application[[#This Row],[CHANGED ON]]</f>
        <v>6.7429282407392748</v>
      </c>
      <c r="M2029">
        <f ca="1">qry_ProdData2_PDI_Cash_Exception_Application[[#This Row],[TODAY]]-qry_ProdData2_PDI_Cash_Exception_Application[[#This Row],[CHANGED ON]]</f>
        <v>6.7429282407392748</v>
      </c>
      <c r="N2029">
        <f ca="1">qry_ProdData2_PDI_Cash_Exception_Application[[#This Row],[TODAY]]-qry_ProdData2_PDI_Cash_Exception_Application[[#This Row],[CHANGED ON]]</f>
        <v>6.7429282407392748</v>
      </c>
    </row>
    <row r="2030" spans="1:14" x14ac:dyDescent="0.35">
      <c r="A2030">
        <v>1001</v>
      </c>
      <c r="B2030" t="s">
        <v>55</v>
      </c>
      <c r="C2030" s="1">
        <v>45193.257071759261</v>
      </c>
      <c r="D2030" t="str">
        <f ca="1">VLOOKUP(qry_ProdData2_PDI_Cash_Exception_Application[[#This Row],[TYPE]],#REF!,2,FALSE)</f>
        <v>type40</v>
      </c>
      <c r="E2030">
        <v>458.77</v>
      </c>
      <c r="F2030" t="s">
        <v>52</v>
      </c>
      <c r="G2030" s="1">
        <f>qry_ProdData2_PDI_Cash_Exception_Application[[#This Row],[INSERT DATE]]+2</f>
        <v>45195.257071759261</v>
      </c>
      <c r="H2030" t="str">
        <f>VLOOKUP(qry_ProdData2_PDI_Cash_Exception_Application[[#This Row],[MARKET No]],'Site Allocation'!$B$2:$C$37,2,FALSE)</f>
        <v>Analyst1</v>
      </c>
      <c r="I2030" s="4">
        <f t="shared" ca="1" si="31"/>
        <v>45203</v>
      </c>
      <c r="J2030" s="42">
        <f ca="1">TODAY()-qry_ProdData2_PDI_Cash_Exception_Application[[#This Row],[INSERT DATE]]</f>
        <v>9.7429282407392748</v>
      </c>
      <c r="K20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30">
        <f ca="1">qry_ProdData2_PDI_Cash_Exception_Application[[#This Row],[TODAY]]-qry_ProdData2_PDI_Cash_Exception_Application[[#This Row],[CHANGED ON]]</f>
        <v>7.7429282407392748</v>
      </c>
      <c r="M2030">
        <f ca="1">qry_ProdData2_PDI_Cash_Exception_Application[[#This Row],[TODAY]]-qry_ProdData2_PDI_Cash_Exception_Application[[#This Row],[CHANGED ON]]</f>
        <v>7.7429282407392748</v>
      </c>
      <c r="N2030">
        <f ca="1">qry_ProdData2_PDI_Cash_Exception_Application[[#This Row],[TODAY]]-qry_ProdData2_PDI_Cash_Exception_Application[[#This Row],[CHANGED ON]]</f>
        <v>7.7429282407392748</v>
      </c>
    </row>
    <row r="2031" spans="1:14" x14ac:dyDescent="0.35">
      <c r="A2031">
        <v>1008</v>
      </c>
      <c r="B2031" t="s">
        <v>62</v>
      </c>
      <c r="C2031" s="1">
        <v>45186.257071759261</v>
      </c>
      <c r="D2031" t="str">
        <f ca="1">VLOOKUP(qry_ProdData2_PDI_Cash_Exception_Application[[#This Row],[TYPE]],#REF!,2,FALSE)</f>
        <v>type40</v>
      </c>
      <c r="E2031">
        <v>3347.62</v>
      </c>
      <c r="F2031" t="s">
        <v>48</v>
      </c>
      <c r="G2031" s="1">
        <f>qry_ProdData2_PDI_Cash_Exception_Application[[#This Row],[INSERT DATE]]+5</f>
        <v>45191.257071759261</v>
      </c>
      <c r="H2031" t="str">
        <f>VLOOKUP(qry_ProdData2_PDI_Cash_Exception_Application[[#This Row],[MARKET No]],'Site Allocation'!$B$2:$C$37,2,FALSE)</f>
        <v>Analyst2</v>
      </c>
      <c r="I2031" s="4">
        <f t="shared" ca="1" si="31"/>
        <v>45203</v>
      </c>
      <c r="J2031" s="42">
        <f ca="1">TODAY()-qry_ProdData2_PDI_Cash_Exception_Application[[#This Row],[INSERT DATE]]</f>
        <v>16.742928240739275</v>
      </c>
      <c r="K20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31">
        <f ca="1">qry_ProdData2_PDI_Cash_Exception_Application[[#This Row],[TODAY]]-qry_ProdData2_PDI_Cash_Exception_Application[[#This Row],[CHANGED ON]]</f>
        <v>11.742928240739275</v>
      </c>
      <c r="M2031">
        <f ca="1">qry_ProdData2_PDI_Cash_Exception_Application[[#This Row],[TODAY]]-qry_ProdData2_PDI_Cash_Exception_Application[[#This Row],[CHANGED ON]]</f>
        <v>11.742928240739275</v>
      </c>
      <c r="N2031">
        <f ca="1">qry_ProdData2_PDI_Cash_Exception_Application[[#This Row],[TODAY]]-qry_ProdData2_PDI_Cash_Exception_Application[[#This Row],[CHANGED ON]]</f>
        <v>11.742928240739275</v>
      </c>
    </row>
    <row r="2032" spans="1:14" x14ac:dyDescent="0.35">
      <c r="A2032">
        <v>1019</v>
      </c>
      <c r="B2032" t="s">
        <v>73</v>
      </c>
      <c r="C2032" s="1">
        <v>45187.257071759261</v>
      </c>
      <c r="D2032" t="str">
        <f ca="1">VLOOKUP(qry_ProdData2_PDI_Cash_Exception_Application[[#This Row],[TYPE]],#REF!,2,FALSE)</f>
        <v>type13</v>
      </c>
      <c r="E2032">
        <v>24569.87</v>
      </c>
      <c r="F2032" t="s">
        <v>49</v>
      </c>
      <c r="G2032" s="1">
        <f>qry_ProdData2_PDI_Cash_Exception_Application[[#This Row],[INSERT DATE]]+1</f>
        <v>45188.257071759261</v>
      </c>
      <c r="H2032" t="str">
        <f>VLOOKUP(qry_ProdData2_PDI_Cash_Exception_Application[[#This Row],[MARKET No]],'Site Allocation'!$B$2:$C$37,2,FALSE)</f>
        <v>Analyst4</v>
      </c>
      <c r="I2032" s="4">
        <f t="shared" ca="1" si="31"/>
        <v>45203</v>
      </c>
      <c r="J2032" s="42">
        <f ca="1">TODAY()-qry_ProdData2_PDI_Cash_Exception_Application[[#This Row],[INSERT DATE]]</f>
        <v>15.742928240739275</v>
      </c>
      <c r="K20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32">
        <f ca="1">qry_ProdData2_PDI_Cash_Exception_Application[[#This Row],[TODAY]]-qry_ProdData2_PDI_Cash_Exception_Application[[#This Row],[CHANGED ON]]</f>
        <v>14.742928240739275</v>
      </c>
      <c r="M2032">
        <f ca="1">qry_ProdData2_PDI_Cash_Exception_Application[[#This Row],[TODAY]]-qry_ProdData2_PDI_Cash_Exception_Application[[#This Row],[CHANGED ON]]</f>
        <v>14.742928240739275</v>
      </c>
      <c r="N2032">
        <f ca="1">qry_ProdData2_PDI_Cash_Exception_Application[[#This Row],[TODAY]]-qry_ProdData2_PDI_Cash_Exception_Application[[#This Row],[CHANGED ON]]</f>
        <v>14.742928240739275</v>
      </c>
    </row>
    <row r="2033" spans="1:14" x14ac:dyDescent="0.35">
      <c r="A2033">
        <v>1019</v>
      </c>
      <c r="B2033" t="s">
        <v>73</v>
      </c>
      <c r="C2033" s="1">
        <v>45187.257071759261</v>
      </c>
      <c r="D2033" t="str">
        <f ca="1">VLOOKUP(qry_ProdData2_PDI_Cash_Exception_Application[[#This Row],[TYPE]],#REF!,2,FALSE)</f>
        <v>type40</v>
      </c>
      <c r="E2033">
        <v>11523.87</v>
      </c>
      <c r="F2033" t="s">
        <v>48</v>
      </c>
      <c r="G2033" s="1">
        <f>qry_ProdData2_PDI_Cash_Exception_Application[[#This Row],[INSERT DATE]]+5</f>
        <v>45192.257071759261</v>
      </c>
      <c r="H2033" t="str">
        <f>VLOOKUP(qry_ProdData2_PDI_Cash_Exception_Application[[#This Row],[MARKET No]],'Site Allocation'!$B$2:$C$37,2,FALSE)</f>
        <v>Analyst4</v>
      </c>
      <c r="I2033" s="4">
        <f t="shared" ca="1" si="31"/>
        <v>45203</v>
      </c>
      <c r="J2033" s="42">
        <f ca="1">TODAY()-qry_ProdData2_PDI_Cash_Exception_Application[[#This Row],[INSERT DATE]]</f>
        <v>15.742928240739275</v>
      </c>
      <c r="K20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33">
        <f ca="1">qry_ProdData2_PDI_Cash_Exception_Application[[#This Row],[TODAY]]-qry_ProdData2_PDI_Cash_Exception_Application[[#This Row],[CHANGED ON]]</f>
        <v>10.742928240739275</v>
      </c>
      <c r="M2033">
        <f ca="1">qry_ProdData2_PDI_Cash_Exception_Application[[#This Row],[TODAY]]-qry_ProdData2_PDI_Cash_Exception_Application[[#This Row],[CHANGED ON]]</f>
        <v>10.742928240739275</v>
      </c>
      <c r="N2033">
        <f ca="1">qry_ProdData2_PDI_Cash_Exception_Application[[#This Row],[TODAY]]-qry_ProdData2_PDI_Cash_Exception_Application[[#This Row],[CHANGED ON]]</f>
        <v>10.742928240739275</v>
      </c>
    </row>
    <row r="2034" spans="1:14" x14ac:dyDescent="0.35">
      <c r="A2034">
        <v>1035</v>
      </c>
      <c r="B2034" t="s">
        <v>89</v>
      </c>
      <c r="C2034" s="1">
        <v>45187.257071759261</v>
      </c>
      <c r="D2034" t="str">
        <f ca="1">VLOOKUP(qry_ProdData2_PDI_Cash_Exception_Application[[#This Row],[TYPE]],#REF!,2,FALSE)</f>
        <v>type13</v>
      </c>
      <c r="E2034">
        <v>28196.68</v>
      </c>
      <c r="F2034" t="s">
        <v>49</v>
      </c>
      <c r="G2034" s="1">
        <f>qry_ProdData2_PDI_Cash_Exception_Application[[#This Row],[INSERT DATE]]+2</f>
        <v>45189.257071759261</v>
      </c>
      <c r="H2034" t="str">
        <f>VLOOKUP(qry_ProdData2_PDI_Cash_Exception_Application[[#This Row],[MARKET No]],'Site Allocation'!$B$2:$C$37,2,FALSE)</f>
        <v>Analyst6</v>
      </c>
      <c r="I2034" s="4">
        <f t="shared" ca="1" si="31"/>
        <v>45203</v>
      </c>
      <c r="J2034" s="42">
        <f ca="1">TODAY()-qry_ProdData2_PDI_Cash_Exception_Application[[#This Row],[INSERT DATE]]</f>
        <v>15.742928240739275</v>
      </c>
      <c r="K20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34">
        <f ca="1">qry_ProdData2_PDI_Cash_Exception_Application[[#This Row],[TODAY]]-qry_ProdData2_PDI_Cash_Exception_Application[[#This Row],[CHANGED ON]]</f>
        <v>13.742928240739275</v>
      </c>
      <c r="M2034">
        <f ca="1">qry_ProdData2_PDI_Cash_Exception_Application[[#This Row],[TODAY]]-qry_ProdData2_PDI_Cash_Exception_Application[[#This Row],[CHANGED ON]]</f>
        <v>13.742928240739275</v>
      </c>
      <c r="N2034">
        <f ca="1">qry_ProdData2_PDI_Cash_Exception_Application[[#This Row],[TODAY]]-qry_ProdData2_PDI_Cash_Exception_Application[[#This Row],[CHANGED ON]]</f>
        <v>13.742928240739275</v>
      </c>
    </row>
    <row r="2035" spans="1:14" x14ac:dyDescent="0.35">
      <c r="A2035">
        <v>1000</v>
      </c>
      <c r="B2035" t="s">
        <v>54</v>
      </c>
      <c r="C2035" s="1">
        <v>45185.257071759261</v>
      </c>
      <c r="D2035" t="str">
        <f ca="1">VLOOKUP(qry_ProdData2_PDI_Cash_Exception_Application[[#This Row],[TYPE]],#REF!,2,FALSE)</f>
        <v>type13</v>
      </c>
      <c r="E2035">
        <v>27516.23</v>
      </c>
      <c r="F2035" t="s">
        <v>50</v>
      </c>
      <c r="G2035" s="1">
        <f>qry_ProdData2_PDI_Cash_Exception_Application[[#This Row],[INSERT DATE]]+2</f>
        <v>45187.257071759261</v>
      </c>
      <c r="H2035" t="str">
        <f>VLOOKUP(qry_ProdData2_PDI_Cash_Exception_Application[[#This Row],[MARKET No]],'Site Allocation'!$B$2:$C$37,2,FALSE)</f>
        <v>Analyst1</v>
      </c>
      <c r="I2035" s="4">
        <f t="shared" ca="1" si="31"/>
        <v>45203</v>
      </c>
      <c r="J2035" s="42">
        <f ca="1">TODAY()-qry_ProdData2_PDI_Cash_Exception_Application[[#This Row],[INSERT DATE]]</f>
        <v>17.742928240739275</v>
      </c>
      <c r="K20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35">
        <f ca="1">qry_ProdData2_PDI_Cash_Exception_Application[[#This Row],[TODAY]]-qry_ProdData2_PDI_Cash_Exception_Application[[#This Row],[CHANGED ON]]</f>
        <v>15.742928240739275</v>
      </c>
      <c r="M2035">
        <f ca="1">qry_ProdData2_PDI_Cash_Exception_Application[[#This Row],[TODAY]]-qry_ProdData2_PDI_Cash_Exception_Application[[#This Row],[CHANGED ON]]</f>
        <v>15.742928240739275</v>
      </c>
      <c r="N2035">
        <f ca="1">qry_ProdData2_PDI_Cash_Exception_Application[[#This Row],[TODAY]]-qry_ProdData2_PDI_Cash_Exception_Application[[#This Row],[CHANGED ON]]</f>
        <v>15.742928240739275</v>
      </c>
    </row>
    <row r="2036" spans="1:14" x14ac:dyDescent="0.35">
      <c r="A2036">
        <v>1011</v>
      </c>
      <c r="B2036" t="s">
        <v>65</v>
      </c>
      <c r="C2036" s="1">
        <v>45186.257071759261</v>
      </c>
      <c r="D2036" t="str">
        <f ca="1">VLOOKUP(qry_ProdData2_PDI_Cash_Exception_Application[[#This Row],[TYPE]],#REF!,2,FALSE)</f>
        <v>type40</v>
      </c>
      <c r="E2036">
        <v>485.47</v>
      </c>
      <c r="F2036" t="s">
        <v>52</v>
      </c>
      <c r="G2036" s="1">
        <f>qry_ProdData2_PDI_Cash_Exception_Application[[#This Row],[INSERT DATE]]+2</f>
        <v>45188.257071759261</v>
      </c>
      <c r="H2036" t="str">
        <f>VLOOKUP(qry_ProdData2_PDI_Cash_Exception_Application[[#This Row],[MARKET No]],'Site Allocation'!$B$2:$C$37,2,FALSE)</f>
        <v>Analyst2</v>
      </c>
      <c r="I2036" s="4">
        <f t="shared" ca="1" si="31"/>
        <v>45203</v>
      </c>
      <c r="J2036" s="42">
        <f ca="1">TODAY()-qry_ProdData2_PDI_Cash_Exception_Application[[#This Row],[INSERT DATE]]</f>
        <v>16.742928240739275</v>
      </c>
      <c r="K20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36">
        <f ca="1">qry_ProdData2_PDI_Cash_Exception_Application[[#This Row],[TODAY]]-qry_ProdData2_PDI_Cash_Exception_Application[[#This Row],[CHANGED ON]]</f>
        <v>14.742928240739275</v>
      </c>
      <c r="M2036">
        <f ca="1">qry_ProdData2_PDI_Cash_Exception_Application[[#This Row],[TODAY]]-qry_ProdData2_PDI_Cash_Exception_Application[[#This Row],[CHANGED ON]]</f>
        <v>14.742928240739275</v>
      </c>
      <c r="N2036">
        <f ca="1">qry_ProdData2_PDI_Cash_Exception_Application[[#This Row],[TODAY]]-qry_ProdData2_PDI_Cash_Exception_Application[[#This Row],[CHANGED ON]]</f>
        <v>14.742928240739275</v>
      </c>
    </row>
    <row r="2037" spans="1:14" x14ac:dyDescent="0.35">
      <c r="A2037">
        <v>1011</v>
      </c>
      <c r="B2037" t="s">
        <v>65</v>
      </c>
      <c r="C2037" s="1">
        <v>45187.257071759261</v>
      </c>
      <c r="D2037" t="str">
        <f ca="1">VLOOKUP(qry_ProdData2_PDI_Cash_Exception_Application[[#This Row],[TYPE]],#REF!,2,FALSE)</f>
        <v>type13</v>
      </c>
      <c r="E2037">
        <v>15031.86</v>
      </c>
      <c r="F2037" t="s">
        <v>47</v>
      </c>
      <c r="G2037" s="1">
        <f>qry_ProdData2_PDI_Cash_Exception_Application[[#This Row],[INSERT DATE]]+7</f>
        <v>45194.257071759261</v>
      </c>
      <c r="H2037" t="str">
        <f>VLOOKUP(qry_ProdData2_PDI_Cash_Exception_Application[[#This Row],[MARKET No]],'Site Allocation'!$B$2:$C$37,2,FALSE)</f>
        <v>Analyst2</v>
      </c>
      <c r="I2037" s="4">
        <f t="shared" ca="1" si="31"/>
        <v>45203</v>
      </c>
      <c r="J2037" s="42">
        <f ca="1">TODAY()-qry_ProdData2_PDI_Cash_Exception_Application[[#This Row],[INSERT DATE]]</f>
        <v>15.742928240739275</v>
      </c>
      <c r="K20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37">
        <f ca="1">qry_ProdData2_PDI_Cash_Exception_Application[[#This Row],[TODAY]]-qry_ProdData2_PDI_Cash_Exception_Application[[#This Row],[CHANGED ON]]</f>
        <v>8.7429282407392748</v>
      </c>
      <c r="M2037">
        <f ca="1">qry_ProdData2_PDI_Cash_Exception_Application[[#This Row],[TODAY]]-qry_ProdData2_PDI_Cash_Exception_Application[[#This Row],[CHANGED ON]]</f>
        <v>8.7429282407392748</v>
      </c>
      <c r="N2037">
        <f ca="1">qry_ProdData2_PDI_Cash_Exception_Application[[#This Row],[TODAY]]-qry_ProdData2_PDI_Cash_Exception_Application[[#This Row],[CHANGED ON]]</f>
        <v>8.7429282407392748</v>
      </c>
    </row>
    <row r="2038" spans="1:14" x14ac:dyDescent="0.35">
      <c r="A2038">
        <v>1022</v>
      </c>
      <c r="B2038" t="s">
        <v>76</v>
      </c>
      <c r="C2038" s="1">
        <v>45189.257071759261</v>
      </c>
      <c r="D2038" t="str">
        <f ca="1">VLOOKUP(qry_ProdData2_PDI_Cash_Exception_Application[[#This Row],[TYPE]],#REF!,2,FALSE)</f>
        <v>type40</v>
      </c>
      <c r="E2038">
        <v>1158.8</v>
      </c>
      <c r="F2038" t="s">
        <v>48</v>
      </c>
      <c r="G2038" s="1">
        <f>qry_ProdData2_PDI_Cash_Exception_Application[[#This Row],[INSERT DATE]]+7</f>
        <v>45196.257071759261</v>
      </c>
      <c r="H2038" t="str">
        <f>VLOOKUP(qry_ProdData2_PDI_Cash_Exception_Application[[#This Row],[MARKET No]],'Site Allocation'!$B$2:$C$37,2,FALSE)</f>
        <v>Analyst4</v>
      </c>
      <c r="I2038" s="4">
        <f t="shared" ca="1" si="31"/>
        <v>45203</v>
      </c>
      <c r="J2038" s="42">
        <f ca="1">TODAY()-qry_ProdData2_PDI_Cash_Exception_Application[[#This Row],[INSERT DATE]]</f>
        <v>13.742928240739275</v>
      </c>
      <c r="K20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38">
        <f ca="1">qry_ProdData2_PDI_Cash_Exception_Application[[#This Row],[TODAY]]-qry_ProdData2_PDI_Cash_Exception_Application[[#This Row],[CHANGED ON]]</f>
        <v>6.7429282407392748</v>
      </c>
      <c r="M2038">
        <f ca="1">qry_ProdData2_PDI_Cash_Exception_Application[[#This Row],[TODAY]]-qry_ProdData2_PDI_Cash_Exception_Application[[#This Row],[CHANGED ON]]</f>
        <v>6.7429282407392748</v>
      </c>
      <c r="N2038">
        <f ca="1">qry_ProdData2_PDI_Cash_Exception_Application[[#This Row],[TODAY]]-qry_ProdData2_PDI_Cash_Exception_Application[[#This Row],[CHANGED ON]]</f>
        <v>6.7429282407392748</v>
      </c>
    </row>
    <row r="2039" spans="1:14" x14ac:dyDescent="0.35">
      <c r="A2039">
        <v>1010</v>
      </c>
      <c r="B2039" t="s">
        <v>64</v>
      </c>
      <c r="C2039" s="1">
        <v>45183.257071759261</v>
      </c>
      <c r="D2039" t="str">
        <f ca="1">VLOOKUP(qry_ProdData2_PDI_Cash_Exception_Application[[#This Row],[TYPE]],#REF!,2,FALSE)</f>
        <v>type36</v>
      </c>
      <c r="E2039">
        <v>413.5</v>
      </c>
      <c r="F2039" t="s">
        <v>49</v>
      </c>
      <c r="G2039" s="1">
        <f>qry_ProdData2_PDI_Cash_Exception_Application[[#This Row],[INSERT DATE]]+5</f>
        <v>45188.257071759261</v>
      </c>
      <c r="H2039" t="str">
        <f>VLOOKUP(qry_ProdData2_PDI_Cash_Exception_Application[[#This Row],[MARKET No]],'Site Allocation'!$B$2:$C$37,2,FALSE)</f>
        <v>Analyst2</v>
      </c>
      <c r="I2039" s="4">
        <f t="shared" ca="1" si="31"/>
        <v>45203</v>
      </c>
      <c r="J2039" s="42">
        <f ca="1">TODAY()-qry_ProdData2_PDI_Cash_Exception_Application[[#This Row],[INSERT DATE]]</f>
        <v>19.742928240739275</v>
      </c>
      <c r="K20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39">
        <f ca="1">qry_ProdData2_PDI_Cash_Exception_Application[[#This Row],[TODAY]]-qry_ProdData2_PDI_Cash_Exception_Application[[#This Row],[CHANGED ON]]</f>
        <v>14.742928240739275</v>
      </c>
      <c r="M2039">
        <f ca="1">qry_ProdData2_PDI_Cash_Exception_Application[[#This Row],[TODAY]]-qry_ProdData2_PDI_Cash_Exception_Application[[#This Row],[CHANGED ON]]</f>
        <v>14.742928240739275</v>
      </c>
      <c r="N2039">
        <f ca="1">qry_ProdData2_PDI_Cash_Exception_Application[[#This Row],[TODAY]]-qry_ProdData2_PDI_Cash_Exception_Application[[#This Row],[CHANGED ON]]</f>
        <v>14.742928240739275</v>
      </c>
    </row>
    <row r="2040" spans="1:14" x14ac:dyDescent="0.35">
      <c r="A2040">
        <v>1013</v>
      </c>
      <c r="B2040" t="s">
        <v>67</v>
      </c>
      <c r="C2040" s="1">
        <v>45184.257071759261</v>
      </c>
      <c r="D2040" t="str">
        <f ca="1">VLOOKUP(qry_ProdData2_PDI_Cash_Exception_Application[[#This Row],[TYPE]],#REF!,2,FALSE)</f>
        <v>type40</v>
      </c>
      <c r="E2040">
        <v>379.09</v>
      </c>
      <c r="F2040" t="s">
        <v>51</v>
      </c>
      <c r="G2040" s="1">
        <f>qry_ProdData2_PDI_Cash_Exception_Application[[#This Row],[INSERT DATE]]+7</f>
        <v>45191.257071759261</v>
      </c>
      <c r="H2040" t="str">
        <f>VLOOKUP(qry_ProdData2_PDI_Cash_Exception_Application[[#This Row],[MARKET No]],'Site Allocation'!$B$2:$C$37,2,FALSE)</f>
        <v>Analyst3</v>
      </c>
      <c r="I2040" s="4">
        <f t="shared" ca="1" si="31"/>
        <v>45203</v>
      </c>
      <c r="J2040" s="42">
        <f ca="1">TODAY()-qry_ProdData2_PDI_Cash_Exception_Application[[#This Row],[INSERT DATE]]</f>
        <v>18.742928240739275</v>
      </c>
      <c r="K20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40">
        <f ca="1">qry_ProdData2_PDI_Cash_Exception_Application[[#This Row],[TODAY]]-qry_ProdData2_PDI_Cash_Exception_Application[[#This Row],[CHANGED ON]]</f>
        <v>11.742928240739275</v>
      </c>
      <c r="M2040">
        <f ca="1">qry_ProdData2_PDI_Cash_Exception_Application[[#This Row],[TODAY]]-qry_ProdData2_PDI_Cash_Exception_Application[[#This Row],[CHANGED ON]]</f>
        <v>11.742928240739275</v>
      </c>
      <c r="N2040">
        <f ca="1">qry_ProdData2_PDI_Cash_Exception_Application[[#This Row],[TODAY]]-qry_ProdData2_PDI_Cash_Exception_Application[[#This Row],[CHANGED ON]]</f>
        <v>11.742928240739275</v>
      </c>
    </row>
    <row r="2041" spans="1:14" x14ac:dyDescent="0.35">
      <c r="A2041">
        <v>1024</v>
      </c>
      <c r="B2041" t="s">
        <v>78</v>
      </c>
      <c r="C2041" s="1">
        <v>45189.257071759261</v>
      </c>
      <c r="D2041" t="str">
        <f ca="1">VLOOKUP(qry_ProdData2_PDI_Cash_Exception_Application[[#This Row],[TYPE]],#REF!,2,FALSE)</f>
        <v>type13</v>
      </c>
      <c r="E2041">
        <v>24107.35</v>
      </c>
      <c r="F2041" t="s">
        <v>52</v>
      </c>
      <c r="G2041" s="1">
        <f>qry_ProdData2_PDI_Cash_Exception_Application[[#This Row],[INSERT DATE]]+2</f>
        <v>45191.257071759261</v>
      </c>
      <c r="H2041" t="str">
        <f>VLOOKUP(qry_ProdData2_PDI_Cash_Exception_Application[[#This Row],[MARKET No]],'Site Allocation'!$B$2:$C$37,2,FALSE)</f>
        <v>Analyst5</v>
      </c>
      <c r="I2041" s="4">
        <f t="shared" ca="1" si="31"/>
        <v>45203</v>
      </c>
      <c r="J2041" s="42">
        <f ca="1">TODAY()-qry_ProdData2_PDI_Cash_Exception_Application[[#This Row],[INSERT DATE]]</f>
        <v>13.742928240739275</v>
      </c>
      <c r="K20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41">
        <f ca="1">qry_ProdData2_PDI_Cash_Exception_Application[[#This Row],[TODAY]]-qry_ProdData2_PDI_Cash_Exception_Application[[#This Row],[CHANGED ON]]</f>
        <v>11.742928240739275</v>
      </c>
      <c r="M2041">
        <f ca="1">qry_ProdData2_PDI_Cash_Exception_Application[[#This Row],[TODAY]]-qry_ProdData2_PDI_Cash_Exception_Application[[#This Row],[CHANGED ON]]</f>
        <v>11.742928240739275</v>
      </c>
      <c r="N2041">
        <f ca="1">qry_ProdData2_PDI_Cash_Exception_Application[[#This Row],[TODAY]]-qry_ProdData2_PDI_Cash_Exception_Application[[#This Row],[CHANGED ON]]</f>
        <v>11.742928240739275</v>
      </c>
    </row>
    <row r="2042" spans="1:14" x14ac:dyDescent="0.35">
      <c r="A2042">
        <v>1031</v>
      </c>
      <c r="B2042" t="s">
        <v>85</v>
      </c>
      <c r="C2042" s="1">
        <v>45190.257071759261</v>
      </c>
      <c r="D2042" t="str">
        <f ca="1">VLOOKUP(qry_ProdData2_PDI_Cash_Exception_Application[[#This Row],[TYPE]],#REF!,2,FALSE)</f>
        <v>type13</v>
      </c>
      <c r="E2042">
        <v>19364.12</v>
      </c>
      <c r="F2042" t="s">
        <v>50</v>
      </c>
      <c r="G2042" s="1">
        <f>qry_ProdData2_PDI_Cash_Exception_Application[[#This Row],[INSERT DATE]]+2</f>
        <v>45192.257071759261</v>
      </c>
      <c r="H2042" t="str">
        <f>VLOOKUP(qry_ProdData2_PDI_Cash_Exception_Application[[#This Row],[MARKET No]],'Site Allocation'!$B$2:$C$37,2,FALSE)</f>
        <v>Analyst6</v>
      </c>
      <c r="I2042" s="4">
        <f t="shared" ca="1" si="31"/>
        <v>45203</v>
      </c>
      <c r="J2042" s="42">
        <f ca="1">TODAY()-qry_ProdData2_PDI_Cash_Exception_Application[[#This Row],[INSERT DATE]]</f>
        <v>12.742928240739275</v>
      </c>
      <c r="K20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42">
        <f ca="1">qry_ProdData2_PDI_Cash_Exception_Application[[#This Row],[TODAY]]-qry_ProdData2_PDI_Cash_Exception_Application[[#This Row],[CHANGED ON]]</f>
        <v>10.742928240739275</v>
      </c>
      <c r="M2042">
        <f ca="1">qry_ProdData2_PDI_Cash_Exception_Application[[#This Row],[TODAY]]-qry_ProdData2_PDI_Cash_Exception_Application[[#This Row],[CHANGED ON]]</f>
        <v>10.742928240739275</v>
      </c>
      <c r="N2042">
        <f ca="1">qry_ProdData2_PDI_Cash_Exception_Application[[#This Row],[TODAY]]-qry_ProdData2_PDI_Cash_Exception_Application[[#This Row],[CHANGED ON]]</f>
        <v>10.742928240739275</v>
      </c>
    </row>
    <row r="2043" spans="1:14" x14ac:dyDescent="0.35">
      <c r="A2043">
        <v>1021</v>
      </c>
      <c r="B2043" t="s">
        <v>75</v>
      </c>
      <c r="C2043" s="1">
        <v>45189.257071759261</v>
      </c>
      <c r="D2043" t="str">
        <f ca="1">VLOOKUP(qry_ProdData2_PDI_Cash_Exception_Application[[#This Row],[TYPE]],#REF!,2,FALSE)</f>
        <v>type40</v>
      </c>
      <c r="E2043">
        <v>10.89</v>
      </c>
      <c r="F2043" t="s">
        <v>47</v>
      </c>
      <c r="G2043" s="1">
        <f>qry_ProdData2_PDI_Cash_Exception_Application[[#This Row],[INSERT DATE]]+7</f>
        <v>45196.257071759261</v>
      </c>
      <c r="H2043" t="str">
        <f>VLOOKUP(qry_ProdData2_PDI_Cash_Exception_Application[[#This Row],[MARKET No]],'Site Allocation'!$B$2:$C$37,2,FALSE)</f>
        <v>Analyst4</v>
      </c>
      <c r="I2043" s="4">
        <f t="shared" ca="1" si="31"/>
        <v>45203</v>
      </c>
      <c r="J2043" s="42">
        <f ca="1">TODAY()-qry_ProdData2_PDI_Cash_Exception_Application[[#This Row],[INSERT DATE]]</f>
        <v>13.742928240739275</v>
      </c>
      <c r="K20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43">
        <f ca="1">qry_ProdData2_PDI_Cash_Exception_Application[[#This Row],[TODAY]]-qry_ProdData2_PDI_Cash_Exception_Application[[#This Row],[CHANGED ON]]</f>
        <v>6.7429282407392748</v>
      </c>
      <c r="M2043">
        <f ca="1">qry_ProdData2_PDI_Cash_Exception_Application[[#This Row],[TODAY]]-qry_ProdData2_PDI_Cash_Exception_Application[[#This Row],[CHANGED ON]]</f>
        <v>6.7429282407392748</v>
      </c>
      <c r="N2043">
        <f ca="1">qry_ProdData2_PDI_Cash_Exception_Application[[#This Row],[TODAY]]-qry_ProdData2_PDI_Cash_Exception_Application[[#This Row],[CHANGED ON]]</f>
        <v>6.7429282407392748</v>
      </c>
    </row>
    <row r="2044" spans="1:14" x14ac:dyDescent="0.35">
      <c r="A2044">
        <v>1002</v>
      </c>
      <c r="B2044" t="s">
        <v>56</v>
      </c>
      <c r="C2044" s="1">
        <v>45191.257071759261</v>
      </c>
      <c r="D2044" t="str">
        <f ca="1">VLOOKUP(qry_ProdData2_PDI_Cash_Exception_Application[[#This Row],[TYPE]],#REF!,2,FALSE)</f>
        <v>type13</v>
      </c>
      <c r="E2044">
        <v>15375.24</v>
      </c>
      <c r="F2044" t="s">
        <v>52</v>
      </c>
      <c r="G2044" s="1">
        <f>qry_ProdData2_PDI_Cash_Exception_Application[[#This Row],[INSERT DATE]]+2</f>
        <v>45193.257071759261</v>
      </c>
      <c r="H2044" t="str">
        <f>VLOOKUP(qry_ProdData2_PDI_Cash_Exception_Application[[#This Row],[MARKET No]],'Site Allocation'!$B$2:$C$37,2,FALSE)</f>
        <v>Analyst1</v>
      </c>
      <c r="I2044" s="4">
        <f t="shared" ca="1" si="31"/>
        <v>45203</v>
      </c>
      <c r="J2044" s="42">
        <f ca="1">TODAY()-qry_ProdData2_PDI_Cash_Exception_Application[[#This Row],[INSERT DATE]]</f>
        <v>11.742928240739275</v>
      </c>
      <c r="K20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44">
        <f ca="1">qry_ProdData2_PDI_Cash_Exception_Application[[#This Row],[TODAY]]-qry_ProdData2_PDI_Cash_Exception_Application[[#This Row],[CHANGED ON]]</f>
        <v>9.7429282407392748</v>
      </c>
      <c r="M2044">
        <f ca="1">qry_ProdData2_PDI_Cash_Exception_Application[[#This Row],[TODAY]]-qry_ProdData2_PDI_Cash_Exception_Application[[#This Row],[CHANGED ON]]</f>
        <v>9.7429282407392748</v>
      </c>
      <c r="N2044">
        <f ca="1">qry_ProdData2_PDI_Cash_Exception_Application[[#This Row],[TODAY]]-qry_ProdData2_PDI_Cash_Exception_Application[[#This Row],[CHANGED ON]]</f>
        <v>9.7429282407392748</v>
      </c>
    </row>
    <row r="2045" spans="1:14" x14ac:dyDescent="0.35">
      <c r="A2045">
        <v>1004</v>
      </c>
      <c r="B2045" t="s">
        <v>58</v>
      </c>
      <c r="C2045" s="1">
        <v>45183.257071759261</v>
      </c>
      <c r="D2045" t="str">
        <f ca="1">VLOOKUP(qry_ProdData2_PDI_Cash_Exception_Application[[#This Row],[TYPE]],#REF!,2,FALSE)</f>
        <v>type13</v>
      </c>
      <c r="E2045">
        <v>38051.589999999997</v>
      </c>
      <c r="F2045" t="s">
        <v>48</v>
      </c>
      <c r="G2045" s="1">
        <f>qry_ProdData2_PDI_Cash_Exception_Application[[#This Row],[INSERT DATE]]+7</f>
        <v>45190.257071759261</v>
      </c>
      <c r="H2045" t="str">
        <f>VLOOKUP(qry_ProdData2_PDI_Cash_Exception_Application[[#This Row],[MARKET No]],'Site Allocation'!$B$2:$C$37,2,FALSE)</f>
        <v>Analyst1</v>
      </c>
      <c r="I2045" s="4">
        <f t="shared" ca="1" si="31"/>
        <v>45203</v>
      </c>
      <c r="J2045" s="42">
        <f ca="1">TODAY()-qry_ProdData2_PDI_Cash_Exception_Application[[#This Row],[INSERT DATE]]</f>
        <v>19.742928240739275</v>
      </c>
      <c r="K20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45">
        <f ca="1">qry_ProdData2_PDI_Cash_Exception_Application[[#This Row],[TODAY]]-qry_ProdData2_PDI_Cash_Exception_Application[[#This Row],[CHANGED ON]]</f>
        <v>12.742928240739275</v>
      </c>
      <c r="M2045">
        <f ca="1">qry_ProdData2_PDI_Cash_Exception_Application[[#This Row],[TODAY]]-qry_ProdData2_PDI_Cash_Exception_Application[[#This Row],[CHANGED ON]]</f>
        <v>12.742928240739275</v>
      </c>
      <c r="N2045">
        <f ca="1">qry_ProdData2_PDI_Cash_Exception_Application[[#This Row],[TODAY]]-qry_ProdData2_PDI_Cash_Exception_Application[[#This Row],[CHANGED ON]]</f>
        <v>12.742928240739275</v>
      </c>
    </row>
    <row r="2046" spans="1:14" x14ac:dyDescent="0.35">
      <c r="A2046">
        <v>1007</v>
      </c>
      <c r="B2046" t="s">
        <v>61</v>
      </c>
      <c r="C2046" s="1">
        <v>45187.257071759261</v>
      </c>
      <c r="D2046" t="str">
        <f ca="1">VLOOKUP(qry_ProdData2_PDI_Cash_Exception_Application[[#This Row],[TYPE]],#REF!,2,FALSE)</f>
        <v>type13</v>
      </c>
      <c r="E2046">
        <v>25161.919999999998</v>
      </c>
      <c r="F2046" t="s">
        <v>48</v>
      </c>
      <c r="G2046" s="1">
        <f>qry_ProdData2_PDI_Cash_Exception_Application[[#This Row],[INSERT DATE]]+1</f>
        <v>45188.257071759261</v>
      </c>
      <c r="H2046" t="str">
        <f>VLOOKUP(qry_ProdData2_PDI_Cash_Exception_Application[[#This Row],[MARKET No]],'Site Allocation'!$B$2:$C$37,2,FALSE)</f>
        <v>Analyst2</v>
      </c>
      <c r="I2046" s="4">
        <f t="shared" ca="1" si="31"/>
        <v>45203</v>
      </c>
      <c r="J2046" s="42">
        <f ca="1">TODAY()-qry_ProdData2_PDI_Cash_Exception_Application[[#This Row],[INSERT DATE]]</f>
        <v>15.742928240739275</v>
      </c>
      <c r="K20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46">
        <f ca="1">qry_ProdData2_PDI_Cash_Exception_Application[[#This Row],[TODAY]]-qry_ProdData2_PDI_Cash_Exception_Application[[#This Row],[CHANGED ON]]</f>
        <v>14.742928240739275</v>
      </c>
      <c r="M2046">
        <f ca="1">qry_ProdData2_PDI_Cash_Exception_Application[[#This Row],[TODAY]]-qry_ProdData2_PDI_Cash_Exception_Application[[#This Row],[CHANGED ON]]</f>
        <v>14.742928240739275</v>
      </c>
      <c r="N2046">
        <f ca="1">qry_ProdData2_PDI_Cash_Exception_Application[[#This Row],[TODAY]]-qry_ProdData2_PDI_Cash_Exception_Application[[#This Row],[CHANGED ON]]</f>
        <v>14.742928240739275</v>
      </c>
    </row>
    <row r="2047" spans="1:14" x14ac:dyDescent="0.35">
      <c r="A2047">
        <v>1019</v>
      </c>
      <c r="B2047" t="s">
        <v>73</v>
      </c>
      <c r="C2047" s="1">
        <v>45194.257071759261</v>
      </c>
      <c r="D2047" t="str">
        <f ca="1">VLOOKUP(qry_ProdData2_PDI_Cash_Exception_Application[[#This Row],[TYPE]],#REF!,2,FALSE)</f>
        <v>type40</v>
      </c>
      <c r="E2047">
        <v>315.93</v>
      </c>
      <c r="F2047" t="s">
        <v>52</v>
      </c>
      <c r="G2047" s="1">
        <f>qry_ProdData2_PDI_Cash_Exception_Application[[#This Row],[INSERT DATE]]+2</f>
        <v>45196.257071759261</v>
      </c>
      <c r="H2047" t="str">
        <f>VLOOKUP(qry_ProdData2_PDI_Cash_Exception_Application[[#This Row],[MARKET No]],'Site Allocation'!$B$2:$C$37,2,FALSE)</f>
        <v>Analyst4</v>
      </c>
      <c r="I2047" s="4">
        <f t="shared" ca="1" si="31"/>
        <v>45203</v>
      </c>
      <c r="J2047" s="42">
        <f ca="1">TODAY()-qry_ProdData2_PDI_Cash_Exception_Application[[#This Row],[INSERT DATE]]</f>
        <v>8.7429282407392748</v>
      </c>
      <c r="K20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047">
        <f ca="1">qry_ProdData2_PDI_Cash_Exception_Application[[#This Row],[TODAY]]-qry_ProdData2_PDI_Cash_Exception_Application[[#This Row],[CHANGED ON]]</f>
        <v>6.7429282407392748</v>
      </c>
      <c r="M2047">
        <f ca="1">qry_ProdData2_PDI_Cash_Exception_Application[[#This Row],[TODAY]]-qry_ProdData2_PDI_Cash_Exception_Application[[#This Row],[CHANGED ON]]</f>
        <v>6.7429282407392748</v>
      </c>
      <c r="N2047">
        <f ca="1">qry_ProdData2_PDI_Cash_Exception_Application[[#This Row],[TODAY]]-qry_ProdData2_PDI_Cash_Exception_Application[[#This Row],[CHANGED ON]]</f>
        <v>6.7429282407392748</v>
      </c>
    </row>
    <row r="2048" spans="1:14" x14ac:dyDescent="0.35">
      <c r="A2048">
        <v>1005</v>
      </c>
      <c r="B2048" t="s">
        <v>59</v>
      </c>
      <c r="C2048" s="1">
        <v>45195.257071759261</v>
      </c>
      <c r="D2048" t="str">
        <f ca="1">VLOOKUP(qry_ProdData2_PDI_Cash_Exception_Application[[#This Row],[TYPE]],#REF!,2,FALSE)</f>
        <v>type7</v>
      </c>
      <c r="E2048">
        <v>-1304</v>
      </c>
      <c r="F2048" t="s">
        <v>50</v>
      </c>
      <c r="G2048" s="1">
        <f>qry_ProdData2_PDI_Cash_Exception_Application[[#This Row],[INSERT DATE]]+5</f>
        <v>45200.257071759261</v>
      </c>
      <c r="H2048" t="str">
        <f>VLOOKUP(qry_ProdData2_PDI_Cash_Exception_Application[[#This Row],[MARKET No]],'Site Allocation'!$B$2:$C$37,2,FALSE)</f>
        <v>Analyst1</v>
      </c>
      <c r="I2048" s="4">
        <f t="shared" ca="1" si="31"/>
        <v>45203</v>
      </c>
      <c r="J2048" s="42">
        <f ca="1">TODAY()-qry_ProdData2_PDI_Cash_Exception_Application[[#This Row],[INSERT DATE]]</f>
        <v>7.7429282407392748</v>
      </c>
      <c r="K20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048">
        <f ca="1">qry_ProdData2_PDI_Cash_Exception_Application[[#This Row],[TODAY]]-qry_ProdData2_PDI_Cash_Exception_Application[[#This Row],[CHANGED ON]]</f>
        <v>2.7429282407392748</v>
      </c>
      <c r="M2048">
        <f ca="1">qry_ProdData2_PDI_Cash_Exception_Application[[#This Row],[TODAY]]-qry_ProdData2_PDI_Cash_Exception_Application[[#This Row],[CHANGED ON]]</f>
        <v>2.7429282407392748</v>
      </c>
      <c r="N2048">
        <f ca="1">qry_ProdData2_PDI_Cash_Exception_Application[[#This Row],[TODAY]]-qry_ProdData2_PDI_Cash_Exception_Application[[#This Row],[CHANGED ON]]</f>
        <v>2.7429282407392748</v>
      </c>
    </row>
    <row r="2049" spans="1:14" x14ac:dyDescent="0.35">
      <c r="A2049">
        <v>1006</v>
      </c>
      <c r="B2049" t="s">
        <v>60</v>
      </c>
      <c r="C2049" s="1">
        <v>45185.257071759261</v>
      </c>
      <c r="D2049" t="str">
        <f ca="1">VLOOKUP(qry_ProdData2_PDI_Cash_Exception_Application[[#This Row],[TYPE]],#REF!,2,FALSE)</f>
        <v>type38</v>
      </c>
      <c r="E2049">
        <v>159.41</v>
      </c>
      <c r="F2049" t="s">
        <v>51</v>
      </c>
      <c r="G2049" s="1">
        <f>qry_ProdData2_PDI_Cash_Exception_Application[[#This Row],[INSERT DATE]]+1</f>
        <v>45186.257071759261</v>
      </c>
      <c r="H2049" t="str">
        <f>VLOOKUP(qry_ProdData2_PDI_Cash_Exception_Application[[#This Row],[MARKET No]],'Site Allocation'!$B$2:$C$37,2,FALSE)</f>
        <v>Analyst2</v>
      </c>
      <c r="I2049" s="4">
        <f t="shared" ca="1" si="31"/>
        <v>45203</v>
      </c>
      <c r="J2049" s="42">
        <f ca="1">TODAY()-qry_ProdData2_PDI_Cash_Exception_Application[[#This Row],[INSERT DATE]]</f>
        <v>17.742928240739275</v>
      </c>
      <c r="K20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49">
        <f ca="1">qry_ProdData2_PDI_Cash_Exception_Application[[#This Row],[TODAY]]-qry_ProdData2_PDI_Cash_Exception_Application[[#This Row],[CHANGED ON]]</f>
        <v>16.742928240739275</v>
      </c>
      <c r="M2049">
        <f ca="1">qry_ProdData2_PDI_Cash_Exception_Application[[#This Row],[TODAY]]-qry_ProdData2_PDI_Cash_Exception_Application[[#This Row],[CHANGED ON]]</f>
        <v>16.742928240739275</v>
      </c>
      <c r="N2049">
        <f ca="1">qry_ProdData2_PDI_Cash_Exception_Application[[#This Row],[TODAY]]-qry_ProdData2_PDI_Cash_Exception_Application[[#This Row],[CHANGED ON]]</f>
        <v>16.742928240739275</v>
      </c>
    </row>
    <row r="2050" spans="1:14" x14ac:dyDescent="0.35">
      <c r="A2050">
        <v>1034</v>
      </c>
      <c r="B2050" t="s">
        <v>88</v>
      </c>
      <c r="C2050" s="1">
        <v>45197.257071759261</v>
      </c>
      <c r="D2050" t="str">
        <f ca="1">VLOOKUP(qry_ProdData2_PDI_Cash_Exception_Application[[#This Row],[TYPE]],#REF!,2,FALSE)</f>
        <v>type40</v>
      </c>
      <c r="E2050">
        <v>-585.91999999999996</v>
      </c>
      <c r="F2050" t="s">
        <v>52</v>
      </c>
      <c r="G2050" s="1">
        <f>qry_ProdData2_PDI_Cash_Exception_Application[[#This Row],[INSERT DATE]]+5</f>
        <v>45202.257071759261</v>
      </c>
      <c r="H2050" t="str">
        <f>VLOOKUP(qry_ProdData2_PDI_Cash_Exception_Application[[#This Row],[MARKET No]],'Site Allocation'!$B$2:$C$37,2,FALSE)</f>
        <v>Analyst6</v>
      </c>
      <c r="I2050" s="4">
        <f t="shared" ref="I2050:I2113" ca="1" si="32">TODAY()</f>
        <v>45203</v>
      </c>
      <c r="J2050" s="42">
        <f ca="1">TODAY()-qry_ProdData2_PDI_Cash_Exception_Application[[#This Row],[INSERT DATE]]</f>
        <v>5.7429282407392748</v>
      </c>
      <c r="K20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050">
        <f ca="1">qry_ProdData2_PDI_Cash_Exception_Application[[#This Row],[TODAY]]-qry_ProdData2_PDI_Cash_Exception_Application[[#This Row],[CHANGED ON]]</f>
        <v>0.74292824073927477</v>
      </c>
      <c r="M2050">
        <f ca="1">qry_ProdData2_PDI_Cash_Exception_Application[[#This Row],[TODAY]]-qry_ProdData2_PDI_Cash_Exception_Application[[#This Row],[CHANGED ON]]</f>
        <v>0.74292824073927477</v>
      </c>
      <c r="N2050">
        <f ca="1">qry_ProdData2_PDI_Cash_Exception_Application[[#This Row],[TODAY]]-qry_ProdData2_PDI_Cash_Exception_Application[[#This Row],[CHANGED ON]]</f>
        <v>0.74292824073927477</v>
      </c>
    </row>
    <row r="2051" spans="1:14" x14ac:dyDescent="0.35">
      <c r="A2051">
        <v>1026</v>
      </c>
      <c r="B2051" t="s">
        <v>80</v>
      </c>
      <c r="C2051" s="1">
        <v>45179.257071759261</v>
      </c>
      <c r="D2051" t="str">
        <f ca="1">VLOOKUP(qry_ProdData2_PDI_Cash_Exception_Application[[#This Row],[TYPE]],#REF!,2,FALSE)</f>
        <v>type40</v>
      </c>
      <c r="E2051">
        <v>3586.58</v>
      </c>
      <c r="F2051" t="s">
        <v>52</v>
      </c>
      <c r="G2051" s="1">
        <f>qry_ProdData2_PDI_Cash_Exception_Application[[#This Row],[INSERT DATE]]+5</f>
        <v>45184.257071759261</v>
      </c>
      <c r="H2051" t="str">
        <f>VLOOKUP(qry_ProdData2_PDI_Cash_Exception_Application[[#This Row],[MARKET No]],'Site Allocation'!$B$2:$C$37,2,FALSE)</f>
        <v>Analyst5</v>
      </c>
      <c r="I2051" s="4">
        <f t="shared" ca="1" si="32"/>
        <v>45203</v>
      </c>
      <c r="J2051" s="42">
        <f ca="1">TODAY()-qry_ProdData2_PDI_Cash_Exception_Application[[#This Row],[INSERT DATE]]</f>
        <v>23.742928240739275</v>
      </c>
      <c r="K20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51">
        <f ca="1">qry_ProdData2_PDI_Cash_Exception_Application[[#This Row],[TODAY]]-qry_ProdData2_PDI_Cash_Exception_Application[[#This Row],[CHANGED ON]]</f>
        <v>18.742928240739275</v>
      </c>
      <c r="M2051">
        <f ca="1">qry_ProdData2_PDI_Cash_Exception_Application[[#This Row],[TODAY]]-qry_ProdData2_PDI_Cash_Exception_Application[[#This Row],[CHANGED ON]]</f>
        <v>18.742928240739275</v>
      </c>
      <c r="N2051">
        <f ca="1">qry_ProdData2_PDI_Cash_Exception_Application[[#This Row],[TODAY]]-qry_ProdData2_PDI_Cash_Exception_Application[[#This Row],[CHANGED ON]]</f>
        <v>18.742928240739275</v>
      </c>
    </row>
    <row r="2052" spans="1:14" x14ac:dyDescent="0.35">
      <c r="A2052">
        <v>1000</v>
      </c>
      <c r="B2052" t="s">
        <v>54</v>
      </c>
      <c r="C2052" s="1">
        <v>45190.257071759261</v>
      </c>
      <c r="D2052" t="str">
        <f ca="1">VLOOKUP(qry_ProdData2_PDI_Cash_Exception_Application[[#This Row],[TYPE]],#REF!,2,FALSE)</f>
        <v>type38</v>
      </c>
      <c r="E2052">
        <v>180.86</v>
      </c>
      <c r="F2052" t="s">
        <v>51</v>
      </c>
      <c r="G2052" s="1">
        <f>qry_ProdData2_PDI_Cash_Exception_Application[[#This Row],[INSERT DATE]]+2</f>
        <v>45192.257071759261</v>
      </c>
      <c r="H2052" t="str">
        <f>VLOOKUP(qry_ProdData2_PDI_Cash_Exception_Application[[#This Row],[MARKET No]],'Site Allocation'!$B$2:$C$37,2,FALSE)</f>
        <v>Analyst1</v>
      </c>
      <c r="I2052" s="4">
        <f t="shared" ca="1" si="32"/>
        <v>45203</v>
      </c>
      <c r="J2052" s="42">
        <f ca="1">TODAY()-qry_ProdData2_PDI_Cash_Exception_Application[[#This Row],[INSERT DATE]]</f>
        <v>12.742928240739275</v>
      </c>
      <c r="K20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52">
        <f ca="1">qry_ProdData2_PDI_Cash_Exception_Application[[#This Row],[TODAY]]-qry_ProdData2_PDI_Cash_Exception_Application[[#This Row],[CHANGED ON]]</f>
        <v>10.742928240739275</v>
      </c>
      <c r="M2052">
        <f ca="1">qry_ProdData2_PDI_Cash_Exception_Application[[#This Row],[TODAY]]-qry_ProdData2_PDI_Cash_Exception_Application[[#This Row],[CHANGED ON]]</f>
        <v>10.742928240739275</v>
      </c>
      <c r="N2052">
        <f ca="1">qry_ProdData2_PDI_Cash_Exception_Application[[#This Row],[TODAY]]-qry_ProdData2_PDI_Cash_Exception_Application[[#This Row],[CHANGED ON]]</f>
        <v>10.742928240739275</v>
      </c>
    </row>
    <row r="2053" spans="1:14" x14ac:dyDescent="0.35">
      <c r="A2053">
        <v>1002</v>
      </c>
      <c r="B2053" t="s">
        <v>56</v>
      </c>
      <c r="C2053" s="1">
        <v>45181.257071759261</v>
      </c>
      <c r="D2053" t="str">
        <f ca="1">VLOOKUP(qry_ProdData2_PDI_Cash_Exception_Application[[#This Row],[TYPE]],#REF!,2,FALSE)</f>
        <v>type7</v>
      </c>
      <c r="E2053">
        <v>-1483.99</v>
      </c>
      <c r="F2053" t="s">
        <v>50</v>
      </c>
      <c r="G2053" s="1">
        <f>qry_ProdData2_PDI_Cash_Exception_Application[[#This Row],[INSERT DATE]]+5</f>
        <v>45186.257071759261</v>
      </c>
      <c r="H2053" t="str">
        <f>VLOOKUP(qry_ProdData2_PDI_Cash_Exception_Application[[#This Row],[MARKET No]],'Site Allocation'!$B$2:$C$37,2,FALSE)</f>
        <v>Analyst1</v>
      </c>
      <c r="I2053" s="4">
        <f t="shared" ca="1" si="32"/>
        <v>45203</v>
      </c>
      <c r="J2053" s="42">
        <f ca="1">TODAY()-qry_ProdData2_PDI_Cash_Exception_Application[[#This Row],[INSERT DATE]]</f>
        <v>21.742928240739275</v>
      </c>
      <c r="K20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53">
        <f ca="1">qry_ProdData2_PDI_Cash_Exception_Application[[#This Row],[TODAY]]-qry_ProdData2_PDI_Cash_Exception_Application[[#This Row],[CHANGED ON]]</f>
        <v>16.742928240739275</v>
      </c>
      <c r="M2053">
        <f ca="1">qry_ProdData2_PDI_Cash_Exception_Application[[#This Row],[TODAY]]-qry_ProdData2_PDI_Cash_Exception_Application[[#This Row],[CHANGED ON]]</f>
        <v>16.742928240739275</v>
      </c>
      <c r="N2053">
        <f ca="1">qry_ProdData2_PDI_Cash_Exception_Application[[#This Row],[TODAY]]-qry_ProdData2_PDI_Cash_Exception_Application[[#This Row],[CHANGED ON]]</f>
        <v>16.742928240739275</v>
      </c>
    </row>
    <row r="2054" spans="1:14" x14ac:dyDescent="0.35">
      <c r="A2054">
        <v>1005</v>
      </c>
      <c r="B2054" t="s">
        <v>59</v>
      </c>
      <c r="C2054" s="1">
        <v>45183.257071759261</v>
      </c>
      <c r="D2054" t="str">
        <f ca="1">VLOOKUP(qry_ProdData2_PDI_Cash_Exception_Application[[#This Row],[TYPE]],#REF!,2,FALSE)</f>
        <v>type40</v>
      </c>
      <c r="E2054">
        <v>366.97</v>
      </c>
      <c r="F2054" t="s">
        <v>49</v>
      </c>
      <c r="G2054" s="1">
        <f>qry_ProdData2_PDI_Cash_Exception_Application[[#This Row],[INSERT DATE]]+5</f>
        <v>45188.257071759261</v>
      </c>
      <c r="H2054" t="str">
        <f>VLOOKUP(qry_ProdData2_PDI_Cash_Exception_Application[[#This Row],[MARKET No]],'Site Allocation'!$B$2:$C$37,2,FALSE)</f>
        <v>Analyst1</v>
      </c>
      <c r="I2054" s="4">
        <f t="shared" ca="1" si="32"/>
        <v>45203</v>
      </c>
      <c r="J2054" s="42">
        <f ca="1">TODAY()-qry_ProdData2_PDI_Cash_Exception_Application[[#This Row],[INSERT DATE]]</f>
        <v>19.742928240739275</v>
      </c>
      <c r="K20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54">
        <f ca="1">qry_ProdData2_PDI_Cash_Exception_Application[[#This Row],[TODAY]]-qry_ProdData2_PDI_Cash_Exception_Application[[#This Row],[CHANGED ON]]</f>
        <v>14.742928240739275</v>
      </c>
      <c r="M2054">
        <f ca="1">qry_ProdData2_PDI_Cash_Exception_Application[[#This Row],[TODAY]]-qry_ProdData2_PDI_Cash_Exception_Application[[#This Row],[CHANGED ON]]</f>
        <v>14.742928240739275</v>
      </c>
      <c r="N2054">
        <f ca="1">qry_ProdData2_PDI_Cash_Exception_Application[[#This Row],[TODAY]]-qry_ProdData2_PDI_Cash_Exception_Application[[#This Row],[CHANGED ON]]</f>
        <v>14.742928240739275</v>
      </c>
    </row>
    <row r="2055" spans="1:14" x14ac:dyDescent="0.35">
      <c r="A2055">
        <v>1029</v>
      </c>
      <c r="B2055" t="s">
        <v>83</v>
      </c>
      <c r="C2055" s="1">
        <v>45184.257071759261</v>
      </c>
      <c r="D2055" t="str">
        <f ca="1">VLOOKUP(qry_ProdData2_PDI_Cash_Exception_Application[[#This Row],[TYPE]],#REF!,2,FALSE)</f>
        <v>type36</v>
      </c>
      <c r="E2055">
        <v>295.87</v>
      </c>
      <c r="F2055" t="s">
        <v>49</v>
      </c>
      <c r="G2055" s="1">
        <f>qry_ProdData2_PDI_Cash_Exception_Application[[#This Row],[INSERT DATE]]+7</f>
        <v>45191.257071759261</v>
      </c>
      <c r="H2055" t="str">
        <f>VLOOKUP(qry_ProdData2_PDI_Cash_Exception_Application[[#This Row],[MARKET No]],'Site Allocation'!$B$2:$C$37,2,FALSE)</f>
        <v>Analyst5</v>
      </c>
      <c r="I2055" s="4">
        <f t="shared" ca="1" si="32"/>
        <v>45203</v>
      </c>
      <c r="J2055" s="42">
        <f ca="1">TODAY()-qry_ProdData2_PDI_Cash_Exception_Application[[#This Row],[INSERT DATE]]</f>
        <v>18.742928240739275</v>
      </c>
      <c r="K20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55">
        <f ca="1">qry_ProdData2_PDI_Cash_Exception_Application[[#This Row],[TODAY]]-qry_ProdData2_PDI_Cash_Exception_Application[[#This Row],[CHANGED ON]]</f>
        <v>11.742928240739275</v>
      </c>
      <c r="M2055">
        <f ca="1">qry_ProdData2_PDI_Cash_Exception_Application[[#This Row],[TODAY]]-qry_ProdData2_PDI_Cash_Exception_Application[[#This Row],[CHANGED ON]]</f>
        <v>11.742928240739275</v>
      </c>
      <c r="N2055">
        <f ca="1">qry_ProdData2_PDI_Cash_Exception_Application[[#This Row],[TODAY]]-qry_ProdData2_PDI_Cash_Exception_Application[[#This Row],[CHANGED ON]]</f>
        <v>11.742928240739275</v>
      </c>
    </row>
    <row r="2056" spans="1:14" x14ac:dyDescent="0.35">
      <c r="A2056">
        <v>1023</v>
      </c>
      <c r="B2056" t="s">
        <v>77</v>
      </c>
      <c r="C2056" s="1">
        <v>45184.257071759261</v>
      </c>
      <c r="D2056" t="str">
        <f ca="1">VLOOKUP(qry_ProdData2_PDI_Cash_Exception_Application[[#This Row],[TYPE]],#REF!,2,FALSE)</f>
        <v>type42</v>
      </c>
      <c r="E2056">
        <v>315.36</v>
      </c>
      <c r="F2056" t="s">
        <v>49</v>
      </c>
      <c r="G2056" s="1">
        <f>qry_ProdData2_PDI_Cash_Exception_Application[[#This Row],[INSERT DATE]]+7</f>
        <v>45191.257071759261</v>
      </c>
      <c r="H2056" t="str">
        <f>VLOOKUP(qry_ProdData2_PDI_Cash_Exception_Application[[#This Row],[MARKET No]],'Site Allocation'!$B$2:$C$37,2,FALSE)</f>
        <v>Analyst4</v>
      </c>
      <c r="I2056" s="4">
        <f t="shared" ca="1" si="32"/>
        <v>45203</v>
      </c>
      <c r="J2056" s="42">
        <f ca="1">TODAY()-qry_ProdData2_PDI_Cash_Exception_Application[[#This Row],[INSERT DATE]]</f>
        <v>18.742928240739275</v>
      </c>
      <c r="K20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56">
        <f ca="1">qry_ProdData2_PDI_Cash_Exception_Application[[#This Row],[TODAY]]-qry_ProdData2_PDI_Cash_Exception_Application[[#This Row],[CHANGED ON]]</f>
        <v>11.742928240739275</v>
      </c>
      <c r="M2056">
        <f ca="1">qry_ProdData2_PDI_Cash_Exception_Application[[#This Row],[TODAY]]-qry_ProdData2_PDI_Cash_Exception_Application[[#This Row],[CHANGED ON]]</f>
        <v>11.742928240739275</v>
      </c>
      <c r="N2056">
        <f ca="1">qry_ProdData2_PDI_Cash_Exception_Application[[#This Row],[TODAY]]-qry_ProdData2_PDI_Cash_Exception_Application[[#This Row],[CHANGED ON]]</f>
        <v>11.742928240739275</v>
      </c>
    </row>
    <row r="2057" spans="1:14" x14ac:dyDescent="0.35">
      <c r="A2057">
        <v>1010</v>
      </c>
      <c r="B2057" t="s">
        <v>64</v>
      </c>
      <c r="C2057" s="1">
        <v>45183.257071759261</v>
      </c>
      <c r="D2057" t="str">
        <f ca="1">VLOOKUP(qry_ProdData2_PDI_Cash_Exception_Application[[#This Row],[TYPE]],#REF!,2,FALSE)</f>
        <v>type40</v>
      </c>
      <c r="E2057">
        <v>532.32000000000005</v>
      </c>
      <c r="F2057" t="s">
        <v>50</v>
      </c>
      <c r="G2057" s="1">
        <f>qry_ProdData2_PDI_Cash_Exception_Application[[#This Row],[INSERT DATE]]+7</f>
        <v>45190.257071759261</v>
      </c>
      <c r="H2057" t="str">
        <f>VLOOKUP(qry_ProdData2_PDI_Cash_Exception_Application[[#This Row],[MARKET No]],'Site Allocation'!$B$2:$C$37,2,FALSE)</f>
        <v>Analyst2</v>
      </c>
      <c r="I2057" s="4">
        <f t="shared" ca="1" si="32"/>
        <v>45203</v>
      </c>
      <c r="J2057" s="42">
        <f ca="1">TODAY()-qry_ProdData2_PDI_Cash_Exception_Application[[#This Row],[INSERT DATE]]</f>
        <v>19.742928240739275</v>
      </c>
      <c r="K20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57">
        <f ca="1">qry_ProdData2_PDI_Cash_Exception_Application[[#This Row],[TODAY]]-qry_ProdData2_PDI_Cash_Exception_Application[[#This Row],[CHANGED ON]]</f>
        <v>12.742928240739275</v>
      </c>
      <c r="M2057">
        <f ca="1">qry_ProdData2_PDI_Cash_Exception_Application[[#This Row],[TODAY]]-qry_ProdData2_PDI_Cash_Exception_Application[[#This Row],[CHANGED ON]]</f>
        <v>12.742928240739275</v>
      </c>
      <c r="N2057">
        <f ca="1">qry_ProdData2_PDI_Cash_Exception_Application[[#This Row],[TODAY]]-qry_ProdData2_PDI_Cash_Exception_Application[[#This Row],[CHANGED ON]]</f>
        <v>12.742928240739275</v>
      </c>
    </row>
    <row r="2058" spans="1:14" x14ac:dyDescent="0.35">
      <c r="A2058">
        <v>1005</v>
      </c>
      <c r="B2058" t="s">
        <v>59</v>
      </c>
      <c r="C2058" s="1">
        <v>45190.257071759261</v>
      </c>
      <c r="D2058" t="str">
        <f ca="1">VLOOKUP(qry_ProdData2_PDI_Cash_Exception_Application[[#This Row],[TYPE]],#REF!,2,FALSE)</f>
        <v>type38</v>
      </c>
      <c r="E2058">
        <v>239.07</v>
      </c>
      <c r="F2058" t="s">
        <v>51</v>
      </c>
      <c r="G2058" s="1">
        <f>qry_ProdData2_PDI_Cash_Exception_Application[[#This Row],[INSERT DATE]]+2</f>
        <v>45192.257071759261</v>
      </c>
      <c r="H2058" t="str">
        <f>VLOOKUP(qry_ProdData2_PDI_Cash_Exception_Application[[#This Row],[MARKET No]],'Site Allocation'!$B$2:$C$37,2,FALSE)</f>
        <v>Analyst1</v>
      </c>
      <c r="I2058" s="4">
        <f t="shared" ca="1" si="32"/>
        <v>45203</v>
      </c>
      <c r="J2058" s="42">
        <f ca="1">TODAY()-qry_ProdData2_PDI_Cash_Exception_Application[[#This Row],[INSERT DATE]]</f>
        <v>12.742928240739275</v>
      </c>
      <c r="K20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58">
        <f ca="1">qry_ProdData2_PDI_Cash_Exception_Application[[#This Row],[TODAY]]-qry_ProdData2_PDI_Cash_Exception_Application[[#This Row],[CHANGED ON]]</f>
        <v>10.742928240739275</v>
      </c>
      <c r="M2058">
        <f ca="1">qry_ProdData2_PDI_Cash_Exception_Application[[#This Row],[TODAY]]-qry_ProdData2_PDI_Cash_Exception_Application[[#This Row],[CHANGED ON]]</f>
        <v>10.742928240739275</v>
      </c>
      <c r="N2058">
        <f ca="1">qry_ProdData2_PDI_Cash_Exception_Application[[#This Row],[TODAY]]-qry_ProdData2_PDI_Cash_Exception_Application[[#This Row],[CHANGED ON]]</f>
        <v>10.742928240739275</v>
      </c>
    </row>
    <row r="2059" spans="1:14" x14ac:dyDescent="0.35">
      <c r="A2059">
        <v>1030</v>
      </c>
      <c r="B2059" t="s">
        <v>84</v>
      </c>
      <c r="C2059" s="1">
        <v>45180.257071759261</v>
      </c>
      <c r="D2059" t="str">
        <f ca="1">VLOOKUP(qry_ProdData2_PDI_Cash_Exception_Application[[#This Row],[TYPE]],#REF!,2,FALSE)</f>
        <v>type40</v>
      </c>
      <c r="E2059">
        <v>359.93</v>
      </c>
      <c r="F2059" t="s">
        <v>51</v>
      </c>
      <c r="G2059" s="1">
        <f>qry_ProdData2_PDI_Cash_Exception_Application[[#This Row],[INSERT DATE]]+2</f>
        <v>45182.257071759261</v>
      </c>
      <c r="H2059" t="str">
        <f>VLOOKUP(qry_ProdData2_PDI_Cash_Exception_Application[[#This Row],[MARKET No]],'Site Allocation'!$B$2:$C$37,2,FALSE)</f>
        <v>Analyst6</v>
      </c>
      <c r="I2059" s="4">
        <f t="shared" ca="1" si="32"/>
        <v>45203</v>
      </c>
      <c r="J2059" s="42">
        <f ca="1">TODAY()-qry_ProdData2_PDI_Cash_Exception_Application[[#This Row],[INSERT DATE]]</f>
        <v>22.742928240739275</v>
      </c>
      <c r="K20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59">
        <f ca="1">qry_ProdData2_PDI_Cash_Exception_Application[[#This Row],[TODAY]]-qry_ProdData2_PDI_Cash_Exception_Application[[#This Row],[CHANGED ON]]</f>
        <v>20.742928240739275</v>
      </c>
      <c r="M2059">
        <f ca="1">qry_ProdData2_PDI_Cash_Exception_Application[[#This Row],[TODAY]]-qry_ProdData2_PDI_Cash_Exception_Application[[#This Row],[CHANGED ON]]</f>
        <v>20.742928240739275</v>
      </c>
      <c r="N2059">
        <f ca="1">qry_ProdData2_PDI_Cash_Exception_Application[[#This Row],[TODAY]]-qry_ProdData2_PDI_Cash_Exception_Application[[#This Row],[CHANGED ON]]</f>
        <v>20.742928240739275</v>
      </c>
    </row>
    <row r="2060" spans="1:14" x14ac:dyDescent="0.35">
      <c r="A2060">
        <v>1011</v>
      </c>
      <c r="B2060" t="s">
        <v>65</v>
      </c>
      <c r="C2060" s="1">
        <v>45185.257071759261</v>
      </c>
      <c r="D2060" t="str">
        <f ca="1">VLOOKUP(qry_ProdData2_PDI_Cash_Exception_Application[[#This Row],[TYPE]],#REF!,2,FALSE)</f>
        <v>type13</v>
      </c>
      <c r="E2060">
        <v>26361.85</v>
      </c>
      <c r="F2060" t="s">
        <v>51</v>
      </c>
      <c r="G2060" s="1">
        <f>qry_ProdData2_PDI_Cash_Exception_Application[[#This Row],[INSERT DATE]]+2</f>
        <v>45187.257071759261</v>
      </c>
      <c r="H2060" t="str">
        <f>VLOOKUP(qry_ProdData2_PDI_Cash_Exception_Application[[#This Row],[MARKET No]],'Site Allocation'!$B$2:$C$37,2,FALSE)</f>
        <v>Analyst2</v>
      </c>
      <c r="I2060" s="4">
        <f t="shared" ca="1" si="32"/>
        <v>45203</v>
      </c>
      <c r="J2060" s="42">
        <f ca="1">TODAY()-qry_ProdData2_PDI_Cash_Exception_Application[[#This Row],[INSERT DATE]]</f>
        <v>17.742928240739275</v>
      </c>
      <c r="K20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60">
        <f ca="1">qry_ProdData2_PDI_Cash_Exception_Application[[#This Row],[TODAY]]-qry_ProdData2_PDI_Cash_Exception_Application[[#This Row],[CHANGED ON]]</f>
        <v>15.742928240739275</v>
      </c>
      <c r="M2060">
        <f ca="1">qry_ProdData2_PDI_Cash_Exception_Application[[#This Row],[TODAY]]-qry_ProdData2_PDI_Cash_Exception_Application[[#This Row],[CHANGED ON]]</f>
        <v>15.742928240739275</v>
      </c>
      <c r="N2060">
        <f ca="1">qry_ProdData2_PDI_Cash_Exception_Application[[#This Row],[TODAY]]-qry_ProdData2_PDI_Cash_Exception_Application[[#This Row],[CHANGED ON]]</f>
        <v>15.742928240739275</v>
      </c>
    </row>
    <row r="2061" spans="1:14" x14ac:dyDescent="0.35">
      <c r="A2061">
        <v>1016</v>
      </c>
      <c r="B2061" t="s">
        <v>70</v>
      </c>
      <c r="C2061" s="1">
        <v>45188.257071759261</v>
      </c>
      <c r="D2061" t="str">
        <f ca="1">VLOOKUP(qry_ProdData2_PDI_Cash_Exception_Application[[#This Row],[TYPE]],#REF!,2,FALSE)</f>
        <v>type13</v>
      </c>
      <c r="E2061">
        <v>27351.5</v>
      </c>
      <c r="F2061" t="s">
        <v>51</v>
      </c>
      <c r="G2061" s="1">
        <f>qry_ProdData2_PDI_Cash_Exception_Application[[#This Row],[INSERT DATE]]+5</f>
        <v>45193.257071759261</v>
      </c>
      <c r="H2061" t="str">
        <f>VLOOKUP(qry_ProdData2_PDI_Cash_Exception_Application[[#This Row],[MARKET No]],'Site Allocation'!$B$2:$C$37,2,FALSE)</f>
        <v>Analyst3</v>
      </c>
      <c r="I2061" s="4">
        <f t="shared" ca="1" si="32"/>
        <v>45203</v>
      </c>
      <c r="J2061" s="42">
        <f ca="1">TODAY()-qry_ProdData2_PDI_Cash_Exception_Application[[#This Row],[INSERT DATE]]</f>
        <v>14.742928240739275</v>
      </c>
      <c r="K20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61">
        <f ca="1">qry_ProdData2_PDI_Cash_Exception_Application[[#This Row],[TODAY]]-qry_ProdData2_PDI_Cash_Exception_Application[[#This Row],[CHANGED ON]]</f>
        <v>9.7429282407392748</v>
      </c>
      <c r="M2061">
        <f ca="1">qry_ProdData2_PDI_Cash_Exception_Application[[#This Row],[TODAY]]-qry_ProdData2_PDI_Cash_Exception_Application[[#This Row],[CHANGED ON]]</f>
        <v>9.7429282407392748</v>
      </c>
      <c r="N2061">
        <f ca="1">qry_ProdData2_PDI_Cash_Exception_Application[[#This Row],[TODAY]]-qry_ProdData2_PDI_Cash_Exception_Application[[#This Row],[CHANGED ON]]</f>
        <v>9.7429282407392748</v>
      </c>
    </row>
    <row r="2062" spans="1:14" x14ac:dyDescent="0.35">
      <c r="A2062">
        <v>1012</v>
      </c>
      <c r="B2062" t="s">
        <v>66</v>
      </c>
      <c r="C2062" s="1">
        <v>45188.257071759261</v>
      </c>
      <c r="D2062" t="str">
        <f ca="1">VLOOKUP(qry_ProdData2_PDI_Cash_Exception_Application[[#This Row],[TYPE]],#REF!,2,FALSE)</f>
        <v>type33</v>
      </c>
      <c r="E2062">
        <v>405.25</v>
      </c>
      <c r="F2062" t="s">
        <v>48</v>
      </c>
      <c r="G2062" s="1">
        <f>qry_ProdData2_PDI_Cash_Exception_Application[[#This Row],[INSERT DATE]]+1</f>
        <v>45189.257071759261</v>
      </c>
      <c r="H2062" t="str">
        <f>VLOOKUP(qry_ProdData2_PDI_Cash_Exception_Application[[#This Row],[MARKET No]],'Site Allocation'!$B$2:$C$37,2,FALSE)</f>
        <v>Analyst3</v>
      </c>
      <c r="I2062" s="4">
        <f t="shared" ca="1" si="32"/>
        <v>45203</v>
      </c>
      <c r="J2062" s="42">
        <f ca="1">TODAY()-qry_ProdData2_PDI_Cash_Exception_Application[[#This Row],[INSERT DATE]]</f>
        <v>14.742928240739275</v>
      </c>
      <c r="K20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62">
        <f ca="1">qry_ProdData2_PDI_Cash_Exception_Application[[#This Row],[TODAY]]-qry_ProdData2_PDI_Cash_Exception_Application[[#This Row],[CHANGED ON]]</f>
        <v>13.742928240739275</v>
      </c>
      <c r="M2062">
        <f ca="1">qry_ProdData2_PDI_Cash_Exception_Application[[#This Row],[TODAY]]-qry_ProdData2_PDI_Cash_Exception_Application[[#This Row],[CHANGED ON]]</f>
        <v>13.742928240739275</v>
      </c>
      <c r="N2062">
        <f ca="1">qry_ProdData2_PDI_Cash_Exception_Application[[#This Row],[TODAY]]-qry_ProdData2_PDI_Cash_Exception_Application[[#This Row],[CHANGED ON]]</f>
        <v>13.742928240739275</v>
      </c>
    </row>
    <row r="2063" spans="1:14" x14ac:dyDescent="0.35">
      <c r="A2063">
        <v>1029</v>
      </c>
      <c r="B2063" t="s">
        <v>83</v>
      </c>
      <c r="C2063" s="1">
        <v>45187.257071759261</v>
      </c>
      <c r="D2063" t="str">
        <f ca="1">VLOOKUP(qry_ProdData2_PDI_Cash_Exception_Application[[#This Row],[TYPE]],#REF!,2,FALSE)</f>
        <v>type40</v>
      </c>
      <c r="E2063">
        <v>-961.48</v>
      </c>
      <c r="F2063" t="s">
        <v>52</v>
      </c>
      <c r="G2063" s="1">
        <f>qry_ProdData2_PDI_Cash_Exception_Application[[#This Row],[INSERT DATE]]+7</f>
        <v>45194.257071759261</v>
      </c>
      <c r="H2063" t="str">
        <f>VLOOKUP(qry_ProdData2_PDI_Cash_Exception_Application[[#This Row],[MARKET No]],'Site Allocation'!$B$2:$C$37,2,FALSE)</f>
        <v>Analyst5</v>
      </c>
      <c r="I2063" s="4">
        <f t="shared" ca="1" si="32"/>
        <v>45203</v>
      </c>
      <c r="J2063" s="42">
        <f ca="1">TODAY()-qry_ProdData2_PDI_Cash_Exception_Application[[#This Row],[INSERT DATE]]</f>
        <v>15.742928240739275</v>
      </c>
      <c r="K20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63">
        <f ca="1">qry_ProdData2_PDI_Cash_Exception_Application[[#This Row],[TODAY]]-qry_ProdData2_PDI_Cash_Exception_Application[[#This Row],[CHANGED ON]]</f>
        <v>8.7429282407392748</v>
      </c>
      <c r="M2063">
        <f ca="1">qry_ProdData2_PDI_Cash_Exception_Application[[#This Row],[TODAY]]-qry_ProdData2_PDI_Cash_Exception_Application[[#This Row],[CHANGED ON]]</f>
        <v>8.7429282407392748</v>
      </c>
      <c r="N2063">
        <f ca="1">qry_ProdData2_PDI_Cash_Exception_Application[[#This Row],[TODAY]]-qry_ProdData2_PDI_Cash_Exception_Application[[#This Row],[CHANGED ON]]</f>
        <v>8.7429282407392748</v>
      </c>
    </row>
    <row r="2064" spans="1:14" x14ac:dyDescent="0.35">
      <c r="A2064">
        <v>1000</v>
      </c>
      <c r="B2064" t="s">
        <v>54</v>
      </c>
      <c r="C2064" s="1">
        <v>45192.257071759261</v>
      </c>
      <c r="D2064" t="str">
        <f ca="1">VLOOKUP(qry_ProdData2_PDI_Cash_Exception_Application[[#This Row],[TYPE]],#REF!,2,FALSE)</f>
        <v>type40</v>
      </c>
      <c r="E2064">
        <v>2070.73</v>
      </c>
      <c r="F2064" t="s">
        <v>51</v>
      </c>
      <c r="G2064" s="1">
        <f>qry_ProdData2_PDI_Cash_Exception_Application[[#This Row],[INSERT DATE]]+7</f>
        <v>45199.257071759261</v>
      </c>
      <c r="H2064" t="str">
        <f>VLOOKUP(qry_ProdData2_PDI_Cash_Exception_Application[[#This Row],[MARKET No]],'Site Allocation'!$B$2:$C$37,2,FALSE)</f>
        <v>Analyst1</v>
      </c>
      <c r="I2064" s="4">
        <f t="shared" ca="1" si="32"/>
        <v>45203</v>
      </c>
      <c r="J2064" s="42">
        <f ca="1">TODAY()-qry_ProdData2_PDI_Cash_Exception_Application[[#This Row],[INSERT DATE]]</f>
        <v>10.742928240739275</v>
      </c>
      <c r="K20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64">
        <f ca="1">qry_ProdData2_PDI_Cash_Exception_Application[[#This Row],[TODAY]]-qry_ProdData2_PDI_Cash_Exception_Application[[#This Row],[CHANGED ON]]</f>
        <v>3.7429282407392748</v>
      </c>
      <c r="M2064">
        <f ca="1">qry_ProdData2_PDI_Cash_Exception_Application[[#This Row],[TODAY]]-qry_ProdData2_PDI_Cash_Exception_Application[[#This Row],[CHANGED ON]]</f>
        <v>3.7429282407392748</v>
      </c>
      <c r="N2064">
        <f ca="1">qry_ProdData2_PDI_Cash_Exception_Application[[#This Row],[TODAY]]-qry_ProdData2_PDI_Cash_Exception_Application[[#This Row],[CHANGED ON]]</f>
        <v>3.7429282407392748</v>
      </c>
    </row>
    <row r="2065" spans="1:14" x14ac:dyDescent="0.35">
      <c r="A2065">
        <v>1005</v>
      </c>
      <c r="B2065" t="s">
        <v>59</v>
      </c>
      <c r="C2065" s="1">
        <v>45181.257071759261</v>
      </c>
      <c r="D2065" t="str">
        <f ca="1">VLOOKUP(qry_ProdData2_PDI_Cash_Exception_Application[[#This Row],[TYPE]],#REF!,2,FALSE)</f>
        <v>type40</v>
      </c>
      <c r="E2065">
        <v>1940.95</v>
      </c>
      <c r="F2065" t="s">
        <v>51</v>
      </c>
      <c r="G2065" s="1">
        <f>qry_ProdData2_PDI_Cash_Exception_Application[[#This Row],[INSERT DATE]]+1</f>
        <v>45182.257071759261</v>
      </c>
      <c r="H2065" t="str">
        <f>VLOOKUP(qry_ProdData2_PDI_Cash_Exception_Application[[#This Row],[MARKET No]],'Site Allocation'!$B$2:$C$37,2,FALSE)</f>
        <v>Analyst1</v>
      </c>
      <c r="I2065" s="4">
        <f t="shared" ca="1" si="32"/>
        <v>45203</v>
      </c>
      <c r="J2065" s="42">
        <f ca="1">TODAY()-qry_ProdData2_PDI_Cash_Exception_Application[[#This Row],[INSERT DATE]]</f>
        <v>21.742928240739275</v>
      </c>
      <c r="K20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65">
        <f ca="1">qry_ProdData2_PDI_Cash_Exception_Application[[#This Row],[TODAY]]-qry_ProdData2_PDI_Cash_Exception_Application[[#This Row],[CHANGED ON]]</f>
        <v>20.742928240739275</v>
      </c>
      <c r="M2065">
        <f ca="1">qry_ProdData2_PDI_Cash_Exception_Application[[#This Row],[TODAY]]-qry_ProdData2_PDI_Cash_Exception_Application[[#This Row],[CHANGED ON]]</f>
        <v>20.742928240739275</v>
      </c>
      <c r="N2065">
        <f ca="1">qry_ProdData2_PDI_Cash_Exception_Application[[#This Row],[TODAY]]-qry_ProdData2_PDI_Cash_Exception_Application[[#This Row],[CHANGED ON]]</f>
        <v>20.742928240739275</v>
      </c>
    </row>
    <row r="2066" spans="1:14" x14ac:dyDescent="0.35">
      <c r="A2066">
        <v>1000</v>
      </c>
      <c r="B2066" t="s">
        <v>54</v>
      </c>
      <c r="C2066" s="1">
        <v>45187.257071759261</v>
      </c>
      <c r="D2066" t="str">
        <f ca="1">VLOOKUP(qry_ProdData2_PDI_Cash_Exception_Application[[#This Row],[TYPE]],#REF!,2,FALSE)</f>
        <v>type40</v>
      </c>
      <c r="E2066">
        <v>30</v>
      </c>
      <c r="F2066" t="s">
        <v>49</v>
      </c>
      <c r="G2066" s="1">
        <f>qry_ProdData2_PDI_Cash_Exception_Application[[#This Row],[INSERT DATE]]+7</f>
        <v>45194.257071759261</v>
      </c>
      <c r="H2066" t="str">
        <f>VLOOKUP(qry_ProdData2_PDI_Cash_Exception_Application[[#This Row],[MARKET No]],'Site Allocation'!$B$2:$C$37,2,FALSE)</f>
        <v>Analyst1</v>
      </c>
      <c r="I2066" s="4">
        <f t="shared" ca="1" si="32"/>
        <v>45203</v>
      </c>
      <c r="J2066" s="42">
        <f ca="1">TODAY()-qry_ProdData2_PDI_Cash_Exception_Application[[#This Row],[INSERT DATE]]</f>
        <v>15.742928240739275</v>
      </c>
      <c r="K20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66">
        <f ca="1">qry_ProdData2_PDI_Cash_Exception_Application[[#This Row],[TODAY]]-qry_ProdData2_PDI_Cash_Exception_Application[[#This Row],[CHANGED ON]]</f>
        <v>8.7429282407392748</v>
      </c>
      <c r="M2066">
        <f ca="1">qry_ProdData2_PDI_Cash_Exception_Application[[#This Row],[TODAY]]-qry_ProdData2_PDI_Cash_Exception_Application[[#This Row],[CHANGED ON]]</f>
        <v>8.7429282407392748</v>
      </c>
      <c r="N2066">
        <f ca="1">qry_ProdData2_PDI_Cash_Exception_Application[[#This Row],[TODAY]]-qry_ProdData2_PDI_Cash_Exception_Application[[#This Row],[CHANGED ON]]</f>
        <v>8.7429282407392748</v>
      </c>
    </row>
    <row r="2067" spans="1:14" x14ac:dyDescent="0.35">
      <c r="A2067">
        <v>1031</v>
      </c>
      <c r="B2067" t="s">
        <v>85</v>
      </c>
      <c r="C2067" s="1">
        <v>45189.257071759261</v>
      </c>
      <c r="D2067" t="str">
        <f ca="1">VLOOKUP(qry_ProdData2_PDI_Cash_Exception_Application[[#This Row],[TYPE]],#REF!,2,FALSE)</f>
        <v>type7</v>
      </c>
      <c r="E2067">
        <v>15559.8</v>
      </c>
      <c r="F2067" t="s">
        <v>50</v>
      </c>
      <c r="G2067" s="1">
        <f>qry_ProdData2_PDI_Cash_Exception_Application[[#This Row],[INSERT DATE]]+7</f>
        <v>45196.257071759261</v>
      </c>
      <c r="H2067" t="str">
        <f>VLOOKUP(qry_ProdData2_PDI_Cash_Exception_Application[[#This Row],[MARKET No]],'Site Allocation'!$B$2:$C$37,2,FALSE)</f>
        <v>Analyst6</v>
      </c>
      <c r="I2067" s="4">
        <f t="shared" ca="1" si="32"/>
        <v>45203</v>
      </c>
      <c r="J2067" s="42">
        <f ca="1">TODAY()-qry_ProdData2_PDI_Cash_Exception_Application[[#This Row],[INSERT DATE]]</f>
        <v>13.742928240739275</v>
      </c>
      <c r="K20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67">
        <f ca="1">qry_ProdData2_PDI_Cash_Exception_Application[[#This Row],[TODAY]]-qry_ProdData2_PDI_Cash_Exception_Application[[#This Row],[CHANGED ON]]</f>
        <v>6.7429282407392748</v>
      </c>
      <c r="M2067">
        <f ca="1">qry_ProdData2_PDI_Cash_Exception_Application[[#This Row],[TODAY]]-qry_ProdData2_PDI_Cash_Exception_Application[[#This Row],[CHANGED ON]]</f>
        <v>6.7429282407392748</v>
      </c>
      <c r="N2067">
        <f ca="1">qry_ProdData2_PDI_Cash_Exception_Application[[#This Row],[TODAY]]-qry_ProdData2_PDI_Cash_Exception_Application[[#This Row],[CHANGED ON]]</f>
        <v>6.7429282407392748</v>
      </c>
    </row>
    <row r="2068" spans="1:14" x14ac:dyDescent="0.35">
      <c r="A2068">
        <v>1001</v>
      </c>
      <c r="B2068" t="s">
        <v>55</v>
      </c>
      <c r="C2068" s="1">
        <v>45185.257071759261</v>
      </c>
      <c r="D2068" t="str">
        <f ca="1">VLOOKUP(qry_ProdData2_PDI_Cash_Exception_Application[[#This Row],[TYPE]],#REF!,2,FALSE)</f>
        <v>type40</v>
      </c>
      <c r="E2068">
        <v>9495.77</v>
      </c>
      <c r="F2068" t="s">
        <v>48</v>
      </c>
      <c r="G2068" s="1">
        <f>qry_ProdData2_PDI_Cash_Exception_Application[[#This Row],[INSERT DATE]]+1</f>
        <v>45186.257071759261</v>
      </c>
      <c r="H2068" t="str">
        <f>VLOOKUP(qry_ProdData2_PDI_Cash_Exception_Application[[#This Row],[MARKET No]],'Site Allocation'!$B$2:$C$37,2,FALSE)</f>
        <v>Analyst1</v>
      </c>
      <c r="I2068" s="4">
        <f t="shared" ca="1" si="32"/>
        <v>45203</v>
      </c>
      <c r="J2068" s="42">
        <f ca="1">TODAY()-qry_ProdData2_PDI_Cash_Exception_Application[[#This Row],[INSERT DATE]]</f>
        <v>17.742928240739275</v>
      </c>
      <c r="K20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68">
        <f ca="1">qry_ProdData2_PDI_Cash_Exception_Application[[#This Row],[TODAY]]-qry_ProdData2_PDI_Cash_Exception_Application[[#This Row],[CHANGED ON]]</f>
        <v>16.742928240739275</v>
      </c>
      <c r="M2068">
        <f ca="1">qry_ProdData2_PDI_Cash_Exception_Application[[#This Row],[TODAY]]-qry_ProdData2_PDI_Cash_Exception_Application[[#This Row],[CHANGED ON]]</f>
        <v>16.742928240739275</v>
      </c>
      <c r="N2068">
        <f ca="1">qry_ProdData2_PDI_Cash_Exception_Application[[#This Row],[TODAY]]-qry_ProdData2_PDI_Cash_Exception_Application[[#This Row],[CHANGED ON]]</f>
        <v>16.742928240739275</v>
      </c>
    </row>
    <row r="2069" spans="1:14" x14ac:dyDescent="0.35">
      <c r="A2069">
        <v>1024</v>
      </c>
      <c r="B2069" t="s">
        <v>78</v>
      </c>
      <c r="C2069" s="1">
        <v>45187.257071759261</v>
      </c>
      <c r="D2069" t="str">
        <f ca="1">VLOOKUP(qry_ProdData2_PDI_Cash_Exception_Application[[#This Row],[TYPE]],#REF!,2,FALSE)</f>
        <v>type13</v>
      </c>
      <c r="E2069">
        <v>31137.97</v>
      </c>
      <c r="F2069" t="s">
        <v>48</v>
      </c>
      <c r="G2069" s="1">
        <f>qry_ProdData2_PDI_Cash_Exception_Application[[#This Row],[INSERT DATE]]+1</f>
        <v>45188.257071759261</v>
      </c>
      <c r="H2069" t="str">
        <f>VLOOKUP(qry_ProdData2_PDI_Cash_Exception_Application[[#This Row],[MARKET No]],'Site Allocation'!$B$2:$C$37,2,FALSE)</f>
        <v>Analyst5</v>
      </c>
      <c r="I2069" s="4">
        <f t="shared" ca="1" si="32"/>
        <v>45203</v>
      </c>
      <c r="J2069" s="42">
        <f ca="1">TODAY()-qry_ProdData2_PDI_Cash_Exception_Application[[#This Row],[INSERT DATE]]</f>
        <v>15.742928240739275</v>
      </c>
      <c r="K20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69">
        <f ca="1">qry_ProdData2_PDI_Cash_Exception_Application[[#This Row],[TODAY]]-qry_ProdData2_PDI_Cash_Exception_Application[[#This Row],[CHANGED ON]]</f>
        <v>14.742928240739275</v>
      </c>
      <c r="M2069">
        <f ca="1">qry_ProdData2_PDI_Cash_Exception_Application[[#This Row],[TODAY]]-qry_ProdData2_PDI_Cash_Exception_Application[[#This Row],[CHANGED ON]]</f>
        <v>14.742928240739275</v>
      </c>
      <c r="N2069">
        <f ca="1">qry_ProdData2_PDI_Cash_Exception_Application[[#This Row],[TODAY]]-qry_ProdData2_PDI_Cash_Exception_Application[[#This Row],[CHANGED ON]]</f>
        <v>14.742928240739275</v>
      </c>
    </row>
    <row r="2070" spans="1:14" x14ac:dyDescent="0.35">
      <c r="A2070">
        <v>1003</v>
      </c>
      <c r="B2070" t="s">
        <v>57</v>
      </c>
      <c r="C2070" s="1">
        <v>45189.257071759261</v>
      </c>
      <c r="D2070" t="str">
        <f ca="1">VLOOKUP(qry_ProdData2_PDI_Cash_Exception_Application[[#This Row],[TYPE]],#REF!,2,FALSE)</f>
        <v>type7</v>
      </c>
      <c r="E2070">
        <v>9296.34</v>
      </c>
      <c r="F2070" t="s">
        <v>51</v>
      </c>
      <c r="G2070" s="1">
        <f>qry_ProdData2_PDI_Cash_Exception_Application[[#This Row],[INSERT DATE]]+2</f>
        <v>45191.257071759261</v>
      </c>
      <c r="H2070" t="str">
        <f>VLOOKUP(qry_ProdData2_PDI_Cash_Exception_Application[[#This Row],[MARKET No]],'Site Allocation'!$B$2:$C$37,2,FALSE)</f>
        <v>Analyst1</v>
      </c>
      <c r="I2070" s="4">
        <f t="shared" ca="1" si="32"/>
        <v>45203</v>
      </c>
      <c r="J2070" s="42">
        <f ca="1">TODAY()-qry_ProdData2_PDI_Cash_Exception_Application[[#This Row],[INSERT DATE]]</f>
        <v>13.742928240739275</v>
      </c>
      <c r="K20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70">
        <f ca="1">qry_ProdData2_PDI_Cash_Exception_Application[[#This Row],[TODAY]]-qry_ProdData2_PDI_Cash_Exception_Application[[#This Row],[CHANGED ON]]</f>
        <v>11.742928240739275</v>
      </c>
      <c r="M2070">
        <f ca="1">qry_ProdData2_PDI_Cash_Exception_Application[[#This Row],[TODAY]]-qry_ProdData2_PDI_Cash_Exception_Application[[#This Row],[CHANGED ON]]</f>
        <v>11.742928240739275</v>
      </c>
      <c r="N2070">
        <f ca="1">qry_ProdData2_PDI_Cash_Exception_Application[[#This Row],[TODAY]]-qry_ProdData2_PDI_Cash_Exception_Application[[#This Row],[CHANGED ON]]</f>
        <v>11.742928240739275</v>
      </c>
    </row>
    <row r="2071" spans="1:14" x14ac:dyDescent="0.35">
      <c r="A2071">
        <v>1031</v>
      </c>
      <c r="B2071" t="s">
        <v>85</v>
      </c>
      <c r="C2071" s="1">
        <v>45192.257071759261</v>
      </c>
      <c r="D2071" t="str">
        <f ca="1">VLOOKUP(qry_ProdData2_PDI_Cash_Exception_Application[[#This Row],[TYPE]],#REF!,2,FALSE)</f>
        <v>type40</v>
      </c>
      <c r="E2071">
        <v>-494.97</v>
      </c>
      <c r="F2071" t="s">
        <v>50</v>
      </c>
      <c r="G2071" s="1">
        <f>qry_ProdData2_PDI_Cash_Exception_Application[[#This Row],[INSERT DATE]]+7</f>
        <v>45199.257071759261</v>
      </c>
      <c r="H2071" t="str">
        <f>VLOOKUP(qry_ProdData2_PDI_Cash_Exception_Application[[#This Row],[MARKET No]],'Site Allocation'!$B$2:$C$37,2,FALSE)</f>
        <v>Analyst6</v>
      </c>
      <c r="I2071" s="4">
        <f t="shared" ca="1" si="32"/>
        <v>45203</v>
      </c>
      <c r="J2071" s="42">
        <f ca="1">TODAY()-qry_ProdData2_PDI_Cash_Exception_Application[[#This Row],[INSERT DATE]]</f>
        <v>10.742928240739275</v>
      </c>
      <c r="K20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71">
        <f ca="1">qry_ProdData2_PDI_Cash_Exception_Application[[#This Row],[TODAY]]-qry_ProdData2_PDI_Cash_Exception_Application[[#This Row],[CHANGED ON]]</f>
        <v>3.7429282407392748</v>
      </c>
      <c r="M2071">
        <f ca="1">qry_ProdData2_PDI_Cash_Exception_Application[[#This Row],[TODAY]]-qry_ProdData2_PDI_Cash_Exception_Application[[#This Row],[CHANGED ON]]</f>
        <v>3.7429282407392748</v>
      </c>
      <c r="N2071">
        <f ca="1">qry_ProdData2_PDI_Cash_Exception_Application[[#This Row],[TODAY]]-qry_ProdData2_PDI_Cash_Exception_Application[[#This Row],[CHANGED ON]]</f>
        <v>3.7429282407392748</v>
      </c>
    </row>
    <row r="2072" spans="1:14" x14ac:dyDescent="0.35">
      <c r="A2072">
        <v>1019</v>
      </c>
      <c r="B2072" t="s">
        <v>73</v>
      </c>
      <c r="C2072" s="1">
        <v>45193.257071759261</v>
      </c>
      <c r="D2072" t="str">
        <f ca="1">VLOOKUP(qry_ProdData2_PDI_Cash_Exception_Application[[#This Row],[TYPE]],#REF!,2,FALSE)</f>
        <v>type40</v>
      </c>
      <c r="E2072">
        <v>392.45</v>
      </c>
      <c r="F2072" t="s">
        <v>52</v>
      </c>
      <c r="G2072" s="1">
        <f>qry_ProdData2_PDI_Cash_Exception_Application[[#This Row],[INSERT DATE]]+7</f>
        <v>45200.257071759261</v>
      </c>
      <c r="H2072" t="str">
        <f>VLOOKUP(qry_ProdData2_PDI_Cash_Exception_Application[[#This Row],[MARKET No]],'Site Allocation'!$B$2:$C$37,2,FALSE)</f>
        <v>Analyst4</v>
      </c>
      <c r="I2072" s="4">
        <f t="shared" ca="1" si="32"/>
        <v>45203</v>
      </c>
      <c r="J2072" s="42">
        <f ca="1">TODAY()-qry_ProdData2_PDI_Cash_Exception_Application[[#This Row],[INSERT DATE]]</f>
        <v>9.7429282407392748</v>
      </c>
      <c r="K20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72">
        <f ca="1">qry_ProdData2_PDI_Cash_Exception_Application[[#This Row],[TODAY]]-qry_ProdData2_PDI_Cash_Exception_Application[[#This Row],[CHANGED ON]]</f>
        <v>2.7429282407392748</v>
      </c>
      <c r="M2072">
        <f ca="1">qry_ProdData2_PDI_Cash_Exception_Application[[#This Row],[TODAY]]-qry_ProdData2_PDI_Cash_Exception_Application[[#This Row],[CHANGED ON]]</f>
        <v>2.7429282407392748</v>
      </c>
      <c r="N2072">
        <f ca="1">qry_ProdData2_PDI_Cash_Exception_Application[[#This Row],[TODAY]]-qry_ProdData2_PDI_Cash_Exception_Application[[#This Row],[CHANGED ON]]</f>
        <v>2.7429282407392748</v>
      </c>
    </row>
    <row r="2073" spans="1:14" x14ac:dyDescent="0.35">
      <c r="A2073">
        <v>1021</v>
      </c>
      <c r="B2073" t="s">
        <v>75</v>
      </c>
      <c r="C2073" s="1">
        <v>45189.257071759261</v>
      </c>
      <c r="D2073" t="str">
        <f ca="1">VLOOKUP(qry_ProdData2_PDI_Cash_Exception_Application[[#This Row],[TYPE]],#REF!,2,FALSE)</f>
        <v>type13</v>
      </c>
      <c r="E2073">
        <v>27031.16</v>
      </c>
      <c r="F2073" t="s">
        <v>48</v>
      </c>
      <c r="G2073" s="1">
        <f>qry_ProdData2_PDI_Cash_Exception_Application[[#This Row],[INSERT DATE]]+2</f>
        <v>45191.257071759261</v>
      </c>
      <c r="H2073" t="str">
        <f>VLOOKUP(qry_ProdData2_PDI_Cash_Exception_Application[[#This Row],[MARKET No]],'Site Allocation'!$B$2:$C$37,2,FALSE)</f>
        <v>Analyst4</v>
      </c>
      <c r="I2073" s="4">
        <f t="shared" ca="1" si="32"/>
        <v>45203</v>
      </c>
      <c r="J2073" s="42">
        <f ca="1">TODAY()-qry_ProdData2_PDI_Cash_Exception_Application[[#This Row],[INSERT DATE]]</f>
        <v>13.742928240739275</v>
      </c>
      <c r="K20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73">
        <f ca="1">qry_ProdData2_PDI_Cash_Exception_Application[[#This Row],[TODAY]]-qry_ProdData2_PDI_Cash_Exception_Application[[#This Row],[CHANGED ON]]</f>
        <v>11.742928240739275</v>
      </c>
      <c r="M2073">
        <f ca="1">qry_ProdData2_PDI_Cash_Exception_Application[[#This Row],[TODAY]]-qry_ProdData2_PDI_Cash_Exception_Application[[#This Row],[CHANGED ON]]</f>
        <v>11.742928240739275</v>
      </c>
      <c r="N2073">
        <f ca="1">qry_ProdData2_PDI_Cash_Exception_Application[[#This Row],[TODAY]]-qry_ProdData2_PDI_Cash_Exception_Application[[#This Row],[CHANGED ON]]</f>
        <v>11.742928240739275</v>
      </c>
    </row>
    <row r="2074" spans="1:14" x14ac:dyDescent="0.35">
      <c r="A2074">
        <v>1015</v>
      </c>
      <c r="B2074" t="s">
        <v>69</v>
      </c>
      <c r="C2074" s="1">
        <v>45195.257071759261</v>
      </c>
      <c r="D2074" t="str">
        <f ca="1">VLOOKUP(qry_ProdData2_PDI_Cash_Exception_Application[[#This Row],[TYPE]],#REF!,2,FALSE)</f>
        <v>type10</v>
      </c>
      <c r="E2074">
        <v>228.51</v>
      </c>
      <c r="F2074" t="s">
        <v>50</v>
      </c>
      <c r="G2074" s="1">
        <f>qry_ProdData2_PDI_Cash_Exception_Application[[#This Row],[INSERT DATE]]+7</f>
        <v>45202.257071759261</v>
      </c>
      <c r="H2074" t="str">
        <f>VLOOKUP(qry_ProdData2_PDI_Cash_Exception_Application[[#This Row],[MARKET No]],'Site Allocation'!$B$2:$C$37,2,FALSE)</f>
        <v>Analyst3</v>
      </c>
      <c r="I2074" s="4">
        <f t="shared" ca="1" si="32"/>
        <v>45203</v>
      </c>
      <c r="J2074" s="42">
        <f ca="1">TODAY()-qry_ProdData2_PDI_Cash_Exception_Application[[#This Row],[INSERT DATE]]</f>
        <v>7.7429282407392748</v>
      </c>
      <c r="K20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074">
        <f ca="1">qry_ProdData2_PDI_Cash_Exception_Application[[#This Row],[TODAY]]-qry_ProdData2_PDI_Cash_Exception_Application[[#This Row],[CHANGED ON]]</f>
        <v>0.74292824073927477</v>
      </c>
      <c r="M2074">
        <f ca="1">qry_ProdData2_PDI_Cash_Exception_Application[[#This Row],[TODAY]]-qry_ProdData2_PDI_Cash_Exception_Application[[#This Row],[CHANGED ON]]</f>
        <v>0.74292824073927477</v>
      </c>
      <c r="N2074">
        <f ca="1">qry_ProdData2_PDI_Cash_Exception_Application[[#This Row],[TODAY]]-qry_ProdData2_PDI_Cash_Exception_Application[[#This Row],[CHANGED ON]]</f>
        <v>0.74292824073927477</v>
      </c>
    </row>
    <row r="2075" spans="1:14" x14ac:dyDescent="0.35">
      <c r="A2075">
        <v>1004</v>
      </c>
      <c r="B2075" t="s">
        <v>58</v>
      </c>
      <c r="C2075" s="1">
        <v>45190.257071759261</v>
      </c>
      <c r="D2075" t="str">
        <f ca="1">VLOOKUP(qry_ProdData2_PDI_Cash_Exception_Application[[#This Row],[TYPE]],#REF!,2,FALSE)</f>
        <v>type23</v>
      </c>
      <c r="E2075">
        <v>714.65</v>
      </c>
      <c r="F2075" t="s">
        <v>49</v>
      </c>
      <c r="G2075" s="1">
        <f>qry_ProdData2_PDI_Cash_Exception_Application[[#This Row],[INSERT DATE]]+7</f>
        <v>45197.257071759261</v>
      </c>
      <c r="H2075" t="str">
        <f>VLOOKUP(qry_ProdData2_PDI_Cash_Exception_Application[[#This Row],[MARKET No]],'Site Allocation'!$B$2:$C$37,2,FALSE)</f>
        <v>Analyst1</v>
      </c>
      <c r="I2075" s="4">
        <f t="shared" ca="1" si="32"/>
        <v>45203</v>
      </c>
      <c r="J2075" s="42">
        <f ca="1">TODAY()-qry_ProdData2_PDI_Cash_Exception_Application[[#This Row],[INSERT DATE]]</f>
        <v>12.742928240739275</v>
      </c>
      <c r="K20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75">
        <f ca="1">qry_ProdData2_PDI_Cash_Exception_Application[[#This Row],[TODAY]]-qry_ProdData2_PDI_Cash_Exception_Application[[#This Row],[CHANGED ON]]</f>
        <v>5.7429282407392748</v>
      </c>
      <c r="M2075">
        <f ca="1">qry_ProdData2_PDI_Cash_Exception_Application[[#This Row],[TODAY]]-qry_ProdData2_PDI_Cash_Exception_Application[[#This Row],[CHANGED ON]]</f>
        <v>5.7429282407392748</v>
      </c>
      <c r="N2075">
        <f ca="1">qry_ProdData2_PDI_Cash_Exception_Application[[#This Row],[TODAY]]-qry_ProdData2_PDI_Cash_Exception_Application[[#This Row],[CHANGED ON]]</f>
        <v>5.7429282407392748</v>
      </c>
    </row>
    <row r="2076" spans="1:14" x14ac:dyDescent="0.35">
      <c r="A2076">
        <v>1011</v>
      </c>
      <c r="B2076" t="s">
        <v>65</v>
      </c>
      <c r="C2076" s="1">
        <v>45187.257071759261</v>
      </c>
      <c r="D2076" t="str">
        <f ca="1">VLOOKUP(qry_ProdData2_PDI_Cash_Exception_Application[[#This Row],[TYPE]],#REF!,2,FALSE)</f>
        <v>type40</v>
      </c>
      <c r="E2076">
        <v>-1382.8</v>
      </c>
      <c r="F2076" t="s">
        <v>47</v>
      </c>
      <c r="G2076" s="1">
        <f>qry_ProdData2_PDI_Cash_Exception_Application[[#This Row],[INSERT DATE]]+2</f>
        <v>45189.257071759261</v>
      </c>
      <c r="H2076" t="str">
        <f>VLOOKUP(qry_ProdData2_PDI_Cash_Exception_Application[[#This Row],[MARKET No]],'Site Allocation'!$B$2:$C$37,2,FALSE)</f>
        <v>Analyst2</v>
      </c>
      <c r="I2076" s="4">
        <f t="shared" ca="1" si="32"/>
        <v>45203</v>
      </c>
      <c r="J2076" s="42">
        <f ca="1">TODAY()-qry_ProdData2_PDI_Cash_Exception_Application[[#This Row],[INSERT DATE]]</f>
        <v>15.742928240739275</v>
      </c>
      <c r="K20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76">
        <f ca="1">qry_ProdData2_PDI_Cash_Exception_Application[[#This Row],[TODAY]]-qry_ProdData2_PDI_Cash_Exception_Application[[#This Row],[CHANGED ON]]</f>
        <v>13.742928240739275</v>
      </c>
      <c r="M2076">
        <f ca="1">qry_ProdData2_PDI_Cash_Exception_Application[[#This Row],[TODAY]]-qry_ProdData2_PDI_Cash_Exception_Application[[#This Row],[CHANGED ON]]</f>
        <v>13.742928240739275</v>
      </c>
      <c r="N2076">
        <f ca="1">qry_ProdData2_PDI_Cash_Exception_Application[[#This Row],[TODAY]]-qry_ProdData2_PDI_Cash_Exception_Application[[#This Row],[CHANGED ON]]</f>
        <v>13.742928240739275</v>
      </c>
    </row>
    <row r="2077" spans="1:14" x14ac:dyDescent="0.35">
      <c r="A2077">
        <v>1002</v>
      </c>
      <c r="B2077" t="s">
        <v>56</v>
      </c>
      <c r="C2077" s="1">
        <v>45190.257071759261</v>
      </c>
      <c r="D2077" t="str">
        <f ca="1">VLOOKUP(qry_ProdData2_PDI_Cash_Exception_Application[[#This Row],[TYPE]],#REF!,2,FALSE)</f>
        <v>type40</v>
      </c>
      <c r="E2077">
        <v>-410.46</v>
      </c>
      <c r="F2077" t="s">
        <v>49</v>
      </c>
      <c r="G2077" s="1">
        <f>qry_ProdData2_PDI_Cash_Exception_Application[[#This Row],[INSERT DATE]]+7</f>
        <v>45197.257071759261</v>
      </c>
      <c r="H2077" t="str">
        <f>VLOOKUP(qry_ProdData2_PDI_Cash_Exception_Application[[#This Row],[MARKET No]],'Site Allocation'!$B$2:$C$37,2,FALSE)</f>
        <v>Analyst1</v>
      </c>
      <c r="I2077" s="4">
        <f t="shared" ca="1" si="32"/>
        <v>45203</v>
      </c>
      <c r="J2077" s="42">
        <f ca="1">TODAY()-qry_ProdData2_PDI_Cash_Exception_Application[[#This Row],[INSERT DATE]]</f>
        <v>12.742928240739275</v>
      </c>
      <c r="K20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77">
        <f ca="1">qry_ProdData2_PDI_Cash_Exception_Application[[#This Row],[TODAY]]-qry_ProdData2_PDI_Cash_Exception_Application[[#This Row],[CHANGED ON]]</f>
        <v>5.7429282407392748</v>
      </c>
      <c r="M2077">
        <f ca="1">qry_ProdData2_PDI_Cash_Exception_Application[[#This Row],[TODAY]]-qry_ProdData2_PDI_Cash_Exception_Application[[#This Row],[CHANGED ON]]</f>
        <v>5.7429282407392748</v>
      </c>
      <c r="N2077">
        <f ca="1">qry_ProdData2_PDI_Cash_Exception_Application[[#This Row],[TODAY]]-qry_ProdData2_PDI_Cash_Exception_Application[[#This Row],[CHANGED ON]]</f>
        <v>5.7429282407392748</v>
      </c>
    </row>
    <row r="2078" spans="1:14" x14ac:dyDescent="0.35">
      <c r="A2078">
        <v>1016</v>
      </c>
      <c r="B2078" t="s">
        <v>70</v>
      </c>
      <c r="C2078" s="1">
        <v>45192.257071759261</v>
      </c>
      <c r="D2078" t="str">
        <f ca="1">VLOOKUP(qry_ProdData2_PDI_Cash_Exception_Application[[#This Row],[TYPE]],#REF!,2,FALSE)</f>
        <v>type13</v>
      </c>
      <c r="E2078">
        <v>26398.97</v>
      </c>
      <c r="F2078" t="s">
        <v>51</v>
      </c>
      <c r="G2078" s="1">
        <f>qry_ProdData2_PDI_Cash_Exception_Application[[#This Row],[INSERT DATE]]+2</f>
        <v>45194.257071759261</v>
      </c>
      <c r="H2078" t="str">
        <f>VLOOKUP(qry_ProdData2_PDI_Cash_Exception_Application[[#This Row],[MARKET No]],'Site Allocation'!$B$2:$C$37,2,FALSE)</f>
        <v>Analyst3</v>
      </c>
      <c r="I2078" s="4">
        <f t="shared" ca="1" si="32"/>
        <v>45203</v>
      </c>
      <c r="J2078" s="42">
        <f ca="1">TODAY()-qry_ProdData2_PDI_Cash_Exception_Application[[#This Row],[INSERT DATE]]</f>
        <v>10.742928240739275</v>
      </c>
      <c r="K20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78">
        <f ca="1">qry_ProdData2_PDI_Cash_Exception_Application[[#This Row],[TODAY]]-qry_ProdData2_PDI_Cash_Exception_Application[[#This Row],[CHANGED ON]]</f>
        <v>8.7429282407392748</v>
      </c>
      <c r="M2078">
        <f ca="1">qry_ProdData2_PDI_Cash_Exception_Application[[#This Row],[TODAY]]-qry_ProdData2_PDI_Cash_Exception_Application[[#This Row],[CHANGED ON]]</f>
        <v>8.7429282407392748</v>
      </c>
      <c r="N2078">
        <f ca="1">qry_ProdData2_PDI_Cash_Exception_Application[[#This Row],[TODAY]]-qry_ProdData2_PDI_Cash_Exception_Application[[#This Row],[CHANGED ON]]</f>
        <v>8.7429282407392748</v>
      </c>
    </row>
    <row r="2079" spans="1:14" x14ac:dyDescent="0.35">
      <c r="A2079">
        <v>1003</v>
      </c>
      <c r="B2079" t="s">
        <v>57</v>
      </c>
      <c r="C2079" s="1">
        <v>45182.257071759261</v>
      </c>
      <c r="D2079" t="str">
        <f ca="1">VLOOKUP(qry_ProdData2_PDI_Cash_Exception_Application[[#This Row],[TYPE]],#REF!,2,FALSE)</f>
        <v>type40</v>
      </c>
      <c r="E2079">
        <v>452.56</v>
      </c>
      <c r="F2079" t="s">
        <v>48</v>
      </c>
      <c r="G2079" s="1">
        <f>qry_ProdData2_PDI_Cash_Exception_Application[[#This Row],[INSERT DATE]]+2</f>
        <v>45184.257071759261</v>
      </c>
      <c r="H2079" t="str">
        <f>VLOOKUP(qry_ProdData2_PDI_Cash_Exception_Application[[#This Row],[MARKET No]],'Site Allocation'!$B$2:$C$37,2,FALSE)</f>
        <v>Analyst1</v>
      </c>
      <c r="I2079" s="4">
        <f t="shared" ca="1" si="32"/>
        <v>45203</v>
      </c>
      <c r="J2079" s="42">
        <f ca="1">TODAY()-qry_ProdData2_PDI_Cash_Exception_Application[[#This Row],[INSERT DATE]]</f>
        <v>20.742928240739275</v>
      </c>
      <c r="K20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79">
        <f ca="1">qry_ProdData2_PDI_Cash_Exception_Application[[#This Row],[TODAY]]-qry_ProdData2_PDI_Cash_Exception_Application[[#This Row],[CHANGED ON]]</f>
        <v>18.742928240739275</v>
      </c>
      <c r="M2079">
        <f ca="1">qry_ProdData2_PDI_Cash_Exception_Application[[#This Row],[TODAY]]-qry_ProdData2_PDI_Cash_Exception_Application[[#This Row],[CHANGED ON]]</f>
        <v>18.742928240739275</v>
      </c>
      <c r="N2079">
        <f ca="1">qry_ProdData2_PDI_Cash_Exception_Application[[#This Row],[TODAY]]-qry_ProdData2_PDI_Cash_Exception_Application[[#This Row],[CHANGED ON]]</f>
        <v>18.742928240739275</v>
      </c>
    </row>
    <row r="2080" spans="1:14" x14ac:dyDescent="0.35">
      <c r="A2080">
        <v>1034</v>
      </c>
      <c r="B2080" t="s">
        <v>88</v>
      </c>
      <c r="C2080" s="1">
        <v>45187.257071759261</v>
      </c>
      <c r="D2080" t="str">
        <f ca="1">VLOOKUP(qry_ProdData2_PDI_Cash_Exception_Application[[#This Row],[TYPE]],#REF!,2,FALSE)</f>
        <v>type13</v>
      </c>
      <c r="E2080">
        <v>35446.379999999997</v>
      </c>
      <c r="F2080" t="s">
        <v>51</v>
      </c>
      <c r="G2080" s="1">
        <f>qry_ProdData2_PDI_Cash_Exception_Application[[#This Row],[INSERT DATE]]+2</f>
        <v>45189.257071759261</v>
      </c>
      <c r="H2080" t="str">
        <f>VLOOKUP(qry_ProdData2_PDI_Cash_Exception_Application[[#This Row],[MARKET No]],'Site Allocation'!$B$2:$C$37,2,FALSE)</f>
        <v>Analyst6</v>
      </c>
      <c r="I2080" s="4">
        <f t="shared" ca="1" si="32"/>
        <v>45203</v>
      </c>
      <c r="J2080" s="42">
        <f ca="1">TODAY()-qry_ProdData2_PDI_Cash_Exception_Application[[#This Row],[INSERT DATE]]</f>
        <v>15.742928240739275</v>
      </c>
      <c r="K20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80">
        <f ca="1">qry_ProdData2_PDI_Cash_Exception_Application[[#This Row],[TODAY]]-qry_ProdData2_PDI_Cash_Exception_Application[[#This Row],[CHANGED ON]]</f>
        <v>13.742928240739275</v>
      </c>
      <c r="M2080">
        <f ca="1">qry_ProdData2_PDI_Cash_Exception_Application[[#This Row],[TODAY]]-qry_ProdData2_PDI_Cash_Exception_Application[[#This Row],[CHANGED ON]]</f>
        <v>13.742928240739275</v>
      </c>
      <c r="N2080">
        <f ca="1">qry_ProdData2_PDI_Cash_Exception_Application[[#This Row],[TODAY]]-qry_ProdData2_PDI_Cash_Exception_Application[[#This Row],[CHANGED ON]]</f>
        <v>13.742928240739275</v>
      </c>
    </row>
    <row r="2081" spans="1:14" x14ac:dyDescent="0.35">
      <c r="A2081">
        <v>1008</v>
      </c>
      <c r="B2081" t="s">
        <v>62</v>
      </c>
      <c r="C2081" s="1">
        <v>45186.257071759261</v>
      </c>
      <c r="D2081" t="str">
        <f ca="1">VLOOKUP(qry_ProdData2_PDI_Cash_Exception_Application[[#This Row],[TYPE]],#REF!,2,FALSE)</f>
        <v>type40</v>
      </c>
      <c r="E2081">
        <v>899.62</v>
      </c>
      <c r="F2081" t="s">
        <v>48</v>
      </c>
      <c r="G2081" s="1">
        <f>qry_ProdData2_PDI_Cash_Exception_Application[[#This Row],[INSERT DATE]]+7</f>
        <v>45193.257071759261</v>
      </c>
      <c r="H2081" t="str">
        <f>VLOOKUP(qry_ProdData2_PDI_Cash_Exception_Application[[#This Row],[MARKET No]],'Site Allocation'!$B$2:$C$37,2,FALSE)</f>
        <v>Analyst2</v>
      </c>
      <c r="I2081" s="4">
        <f t="shared" ca="1" si="32"/>
        <v>45203</v>
      </c>
      <c r="J2081" s="42">
        <f ca="1">TODAY()-qry_ProdData2_PDI_Cash_Exception_Application[[#This Row],[INSERT DATE]]</f>
        <v>16.742928240739275</v>
      </c>
      <c r="K20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81">
        <f ca="1">qry_ProdData2_PDI_Cash_Exception_Application[[#This Row],[TODAY]]-qry_ProdData2_PDI_Cash_Exception_Application[[#This Row],[CHANGED ON]]</f>
        <v>9.7429282407392748</v>
      </c>
      <c r="M2081">
        <f ca="1">qry_ProdData2_PDI_Cash_Exception_Application[[#This Row],[TODAY]]-qry_ProdData2_PDI_Cash_Exception_Application[[#This Row],[CHANGED ON]]</f>
        <v>9.7429282407392748</v>
      </c>
      <c r="N2081">
        <f ca="1">qry_ProdData2_PDI_Cash_Exception_Application[[#This Row],[TODAY]]-qry_ProdData2_PDI_Cash_Exception_Application[[#This Row],[CHANGED ON]]</f>
        <v>9.7429282407392748</v>
      </c>
    </row>
    <row r="2082" spans="1:14" x14ac:dyDescent="0.35">
      <c r="A2082">
        <v>1005</v>
      </c>
      <c r="B2082" t="s">
        <v>59</v>
      </c>
      <c r="C2082" s="1">
        <v>45185.257071759261</v>
      </c>
      <c r="D2082" t="str">
        <f ca="1">VLOOKUP(qry_ProdData2_PDI_Cash_Exception_Application[[#This Row],[TYPE]],#REF!,2,FALSE)</f>
        <v>type13</v>
      </c>
      <c r="E2082">
        <v>23669.67</v>
      </c>
      <c r="F2082" t="s">
        <v>49</v>
      </c>
      <c r="G2082" s="1">
        <f>qry_ProdData2_PDI_Cash_Exception_Application[[#This Row],[INSERT DATE]]+1</f>
        <v>45186.257071759261</v>
      </c>
      <c r="H2082" t="str">
        <f>VLOOKUP(qry_ProdData2_PDI_Cash_Exception_Application[[#This Row],[MARKET No]],'Site Allocation'!$B$2:$C$37,2,FALSE)</f>
        <v>Analyst1</v>
      </c>
      <c r="I2082" s="4">
        <f t="shared" ca="1" si="32"/>
        <v>45203</v>
      </c>
      <c r="J2082" s="42">
        <f ca="1">TODAY()-qry_ProdData2_PDI_Cash_Exception_Application[[#This Row],[INSERT DATE]]</f>
        <v>17.742928240739275</v>
      </c>
      <c r="K20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82">
        <f ca="1">qry_ProdData2_PDI_Cash_Exception_Application[[#This Row],[TODAY]]-qry_ProdData2_PDI_Cash_Exception_Application[[#This Row],[CHANGED ON]]</f>
        <v>16.742928240739275</v>
      </c>
      <c r="M2082">
        <f ca="1">qry_ProdData2_PDI_Cash_Exception_Application[[#This Row],[TODAY]]-qry_ProdData2_PDI_Cash_Exception_Application[[#This Row],[CHANGED ON]]</f>
        <v>16.742928240739275</v>
      </c>
      <c r="N2082">
        <f ca="1">qry_ProdData2_PDI_Cash_Exception_Application[[#This Row],[TODAY]]-qry_ProdData2_PDI_Cash_Exception_Application[[#This Row],[CHANGED ON]]</f>
        <v>16.742928240739275</v>
      </c>
    </row>
    <row r="2083" spans="1:14" x14ac:dyDescent="0.35">
      <c r="A2083">
        <v>1010</v>
      </c>
      <c r="B2083" t="s">
        <v>64</v>
      </c>
      <c r="C2083" s="1">
        <v>45190.257071759261</v>
      </c>
      <c r="D2083" t="str">
        <f ca="1">VLOOKUP(qry_ProdData2_PDI_Cash_Exception_Application[[#This Row],[TYPE]],#REF!,2,FALSE)</f>
        <v>type23</v>
      </c>
      <c r="E2083">
        <v>696.95</v>
      </c>
      <c r="F2083" t="s">
        <v>47</v>
      </c>
      <c r="G2083" s="1">
        <f>qry_ProdData2_PDI_Cash_Exception_Application[[#This Row],[INSERT DATE]]+2</f>
        <v>45192.257071759261</v>
      </c>
      <c r="H2083" t="str">
        <f>VLOOKUP(qry_ProdData2_PDI_Cash_Exception_Application[[#This Row],[MARKET No]],'Site Allocation'!$B$2:$C$37,2,FALSE)</f>
        <v>Analyst2</v>
      </c>
      <c r="I2083" s="4">
        <f t="shared" ca="1" si="32"/>
        <v>45203</v>
      </c>
      <c r="J2083" s="42">
        <f ca="1">TODAY()-qry_ProdData2_PDI_Cash_Exception_Application[[#This Row],[INSERT DATE]]</f>
        <v>12.742928240739275</v>
      </c>
      <c r="K20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83">
        <f ca="1">qry_ProdData2_PDI_Cash_Exception_Application[[#This Row],[TODAY]]-qry_ProdData2_PDI_Cash_Exception_Application[[#This Row],[CHANGED ON]]</f>
        <v>10.742928240739275</v>
      </c>
      <c r="M2083">
        <f ca="1">qry_ProdData2_PDI_Cash_Exception_Application[[#This Row],[TODAY]]-qry_ProdData2_PDI_Cash_Exception_Application[[#This Row],[CHANGED ON]]</f>
        <v>10.742928240739275</v>
      </c>
      <c r="N2083">
        <f ca="1">qry_ProdData2_PDI_Cash_Exception_Application[[#This Row],[TODAY]]-qry_ProdData2_PDI_Cash_Exception_Application[[#This Row],[CHANGED ON]]</f>
        <v>10.742928240739275</v>
      </c>
    </row>
    <row r="2084" spans="1:14" x14ac:dyDescent="0.35">
      <c r="A2084">
        <v>1033</v>
      </c>
      <c r="B2084" t="s">
        <v>87</v>
      </c>
      <c r="C2084" s="1">
        <v>45188.257071759261</v>
      </c>
      <c r="D2084" t="str">
        <f ca="1">VLOOKUP(qry_ProdData2_PDI_Cash_Exception_Application[[#This Row],[TYPE]],#REF!,2,FALSE)</f>
        <v>type26</v>
      </c>
      <c r="E2084">
        <v>116.7</v>
      </c>
      <c r="F2084" t="s">
        <v>51</v>
      </c>
      <c r="G2084" s="1">
        <f>qry_ProdData2_PDI_Cash_Exception_Application[[#This Row],[INSERT DATE]]+7</f>
        <v>45195.257071759261</v>
      </c>
      <c r="H2084" t="str">
        <f>VLOOKUP(qry_ProdData2_PDI_Cash_Exception_Application[[#This Row],[MARKET No]],'Site Allocation'!$B$2:$C$37,2,FALSE)</f>
        <v>Analyst6</v>
      </c>
      <c r="I2084" s="4">
        <f t="shared" ca="1" si="32"/>
        <v>45203</v>
      </c>
      <c r="J2084" s="42">
        <f ca="1">TODAY()-qry_ProdData2_PDI_Cash_Exception_Application[[#This Row],[INSERT DATE]]</f>
        <v>14.742928240739275</v>
      </c>
      <c r="K20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84">
        <f ca="1">qry_ProdData2_PDI_Cash_Exception_Application[[#This Row],[TODAY]]-qry_ProdData2_PDI_Cash_Exception_Application[[#This Row],[CHANGED ON]]</f>
        <v>7.7429282407392748</v>
      </c>
      <c r="M2084">
        <f ca="1">qry_ProdData2_PDI_Cash_Exception_Application[[#This Row],[TODAY]]-qry_ProdData2_PDI_Cash_Exception_Application[[#This Row],[CHANGED ON]]</f>
        <v>7.7429282407392748</v>
      </c>
      <c r="N2084">
        <f ca="1">qry_ProdData2_PDI_Cash_Exception_Application[[#This Row],[TODAY]]-qry_ProdData2_PDI_Cash_Exception_Application[[#This Row],[CHANGED ON]]</f>
        <v>7.7429282407392748</v>
      </c>
    </row>
    <row r="2085" spans="1:14" x14ac:dyDescent="0.35">
      <c r="A2085">
        <v>1019</v>
      </c>
      <c r="B2085" t="s">
        <v>73</v>
      </c>
      <c r="C2085" s="1">
        <v>45186.257071759261</v>
      </c>
      <c r="D2085" t="str">
        <f ca="1">VLOOKUP(qry_ProdData2_PDI_Cash_Exception_Application[[#This Row],[TYPE]],#REF!,2,FALSE)</f>
        <v>type40</v>
      </c>
      <c r="E2085">
        <v>10</v>
      </c>
      <c r="F2085" t="s">
        <v>49</v>
      </c>
      <c r="G2085" s="1">
        <f>qry_ProdData2_PDI_Cash_Exception_Application[[#This Row],[INSERT DATE]]+1</f>
        <v>45187.257071759261</v>
      </c>
      <c r="H2085" t="str">
        <f>VLOOKUP(qry_ProdData2_PDI_Cash_Exception_Application[[#This Row],[MARKET No]],'Site Allocation'!$B$2:$C$37,2,FALSE)</f>
        <v>Analyst4</v>
      </c>
      <c r="I2085" s="4">
        <f t="shared" ca="1" si="32"/>
        <v>45203</v>
      </c>
      <c r="J2085" s="42">
        <f ca="1">TODAY()-qry_ProdData2_PDI_Cash_Exception_Application[[#This Row],[INSERT DATE]]</f>
        <v>16.742928240739275</v>
      </c>
      <c r="K20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85">
        <f ca="1">qry_ProdData2_PDI_Cash_Exception_Application[[#This Row],[TODAY]]-qry_ProdData2_PDI_Cash_Exception_Application[[#This Row],[CHANGED ON]]</f>
        <v>15.742928240739275</v>
      </c>
      <c r="M2085">
        <f ca="1">qry_ProdData2_PDI_Cash_Exception_Application[[#This Row],[TODAY]]-qry_ProdData2_PDI_Cash_Exception_Application[[#This Row],[CHANGED ON]]</f>
        <v>15.742928240739275</v>
      </c>
      <c r="N2085">
        <f ca="1">qry_ProdData2_PDI_Cash_Exception_Application[[#This Row],[TODAY]]-qry_ProdData2_PDI_Cash_Exception_Application[[#This Row],[CHANGED ON]]</f>
        <v>15.742928240739275</v>
      </c>
    </row>
    <row r="2086" spans="1:14" x14ac:dyDescent="0.35">
      <c r="A2086">
        <v>1012</v>
      </c>
      <c r="B2086" t="s">
        <v>66</v>
      </c>
      <c r="C2086" s="1">
        <v>45190.257071759261</v>
      </c>
      <c r="D2086" t="str">
        <f ca="1">VLOOKUP(qry_ProdData2_PDI_Cash_Exception_Application[[#This Row],[TYPE]],#REF!,2,FALSE)</f>
        <v>type40</v>
      </c>
      <c r="E2086">
        <v>-504.66</v>
      </c>
      <c r="F2086" t="s">
        <v>48</v>
      </c>
      <c r="G2086" s="1">
        <f>qry_ProdData2_PDI_Cash_Exception_Application[[#This Row],[INSERT DATE]]+7</f>
        <v>45197.257071759261</v>
      </c>
      <c r="H2086" t="str">
        <f>VLOOKUP(qry_ProdData2_PDI_Cash_Exception_Application[[#This Row],[MARKET No]],'Site Allocation'!$B$2:$C$37,2,FALSE)</f>
        <v>Analyst3</v>
      </c>
      <c r="I2086" s="4">
        <f t="shared" ca="1" si="32"/>
        <v>45203</v>
      </c>
      <c r="J2086" s="42">
        <f ca="1">TODAY()-qry_ProdData2_PDI_Cash_Exception_Application[[#This Row],[INSERT DATE]]</f>
        <v>12.742928240739275</v>
      </c>
      <c r="K20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86">
        <f ca="1">qry_ProdData2_PDI_Cash_Exception_Application[[#This Row],[TODAY]]-qry_ProdData2_PDI_Cash_Exception_Application[[#This Row],[CHANGED ON]]</f>
        <v>5.7429282407392748</v>
      </c>
      <c r="M2086">
        <f ca="1">qry_ProdData2_PDI_Cash_Exception_Application[[#This Row],[TODAY]]-qry_ProdData2_PDI_Cash_Exception_Application[[#This Row],[CHANGED ON]]</f>
        <v>5.7429282407392748</v>
      </c>
      <c r="N2086">
        <f ca="1">qry_ProdData2_PDI_Cash_Exception_Application[[#This Row],[TODAY]]-qry_ProdData2_PDI_Cash_Exception_Application[[#This Row],[CHANGED ON]]</f>
        <v>5.7429282407392748</v>
      </c>
    </row>
    <row r="2087" spans="1:14" x14ac:dyDescent="0.35">
      <c r="A2087">
        <v>1014</v>
      </c>
      <c r="B2087" t="s">
        <v>68</v>
      </c>
      <c r="C2087" s="1">
        <v>45192.257071759261</v>
      </c>
      <c r="D2087" t="str">
        <f ca="1">VLOOKUP(qry_ProdData2_PDI_Cash_Exception_Application[[#This Row],[TYPE]],#REF!,2,FALSE)</f>
        <v>type13</v>
      </c>
      <c r="E2087">
        <v>26437.82</v>
      </c>
      <c r="F2087" t="s">
        <v>51</v>
      </c>
      <c r="G2087" s="1">
        <f>qry_ProdData2_PDI_Cash_Exception_Application[[#This Row],[INSERT DATE]]+1</f>
        <v>45193.257071759261</v>
      </c>
      <c r="H2087" t="str">
        <f>VLOOKUP(qry_ProdData2_PDI_Cash_Exception_Application[[#This Row],[MARKET No]],'Site Allocation'!$B$2:$C$37,2,FALSE)</f>
        <v>Analyst3</v>
      </c>
      <c r="I2087" s="4">
        <f t="shared" ca="1" si="32"/>
        <v>45203</v>
      </c>
      <c r="J2087" s="42">
        <f ca="1">TODAY()-qry_ProdData2_PDI_Cash_Exception_Application[[#This Row],[INSERT DATE]]</f>
        <v>10.742928240739275</v>
      </c>
      <c r="K20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87">
        <f ca="1">qry_ProdData2_PDI_Cash_Exception_Application[[#This Row],[TODAY]]-qry_ProdData2_PDI_Cash_Exception_Application[[#This Row],[CHANGED ON]]</f>
        <v>9.7429282407392748</v>
      </c>
      <c r="M2087">
        <f ca="1">qry_ProdData2_PDI_Cash_Exception_Application[[#This Row],[TODAY]]-qry_ProdData2_PDI_Cash_Exception_Application[[#This Row],[CHANGED ON]]</f>
        <v>9.7429282407392748</v>
      </c>
      <c r="N2087">
        <f ca="1">qry_ProdData2_PDI_Cash_Exception_Application[[#This Row],[TODAY]]-qry_ProdData2_PDI_Cash_Exception_Application[[#This Row],[CHANGED ON]]</f>
        <v>9.7429282407392748</v>
      </c>
    </row>
    <row r="2088" spans="1:14" x14ac:dyDescent="0.35">
      <c r="A2088">
        <v>1019</v>
      </c>
      <c r="B2088" t="s">
        <v>73</v>
      </c>
      <c r="C2088" s="1">
        <v>45187.257071759261</v>
      </c>
      <c r="D2088" t="str">
        <f ca="1">VLOOKUP(qry_ProdData2_PDI_Cash_Exception_Application[[#This Row],[TYPE]],#REF!,2,FALSE)</f>
        <v>type40</v>
      </c>
      <c r="E2088">
        <v>365.22</v>
      </c>
      <c r="F2088" t="s">
        <v>47</v>
      </c>
      <c r="G2088" s="1">
        <f>qry_ProdData2_PDI_Cash_Exception_Application[[#This Row],[INSERT DATE]]+2</f>
        <v>45189.257071759261</v>
      </c>
      <c r="H2088" t="str">
        <f>VLOOKUP(qry_ProdData2_PDI_Cash_Exception_Application[[#This Row],[MARKET No]],'Site Allocation'!$B$2:$C$37,2,FALSE)</f>
        <v>Analyst4</v>
      </c>
      <c r="I2088" s="4">
        <f t="shared" ca="1" si="32"/>
        <v>45203</v>
      </c>
      <c r="J2088" s="42">
        <f ca="1">TODAY()-qry_ProdData2_PDI_Cash_Exception_Application[[#This Row],[INSERT DATE]]</f>
        <v>15.742928240739275</v>
      </c>
      <c r="K20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88">
        <f ca="1">qry_ProdData2_PDI_Cash_Exception_Application[[#This Row],[TODAY]]-qry_ProdData2_PDI_Cash_Exception_Application[[#This Row],[CHANGED ON]]</f>
        <v>13.742928240739275</v>
      </c>
      <c r="M2088">
        <f ca="1">qry_ProdData2_PDI_Cash_Exception_Application[[#This Row],[TODAY]]-qry_ProdData2_PDI_Cash_Exception_Application[[#This Row],[CHANGED ON]]</f>
        <v>13.742928240739275</v>
      </c>
      <c r="N2088">
        <f ca="1">qry_ProdData2_PDI_Cash_Exception_Application[[#This Row],[TODAY]]-qry_ProdData2_PDI_Cash_Exception_Application[[#This Row],[CHANGED ON]]</f>
        <v>13.742928240739275</v>
      </c>
    </row>
    <row r="2089" spans="1:14" x14ac:dyDescent="0.35">
      <c r="A2089">
        <v>1013</v>
      </c>
      <c r="B2089" t="s">
        <v>67</v>
      </c>
      <c r="C2089" s="1">
        <v>45194.257071759261</v>
      </c>
      <c r="D2089" t="str">
        <f ca="1">VLOOKUP(qry_ProdData2_PDI_Cash_Exception_Application[[#This Row],[TYPE]],#REF!,2,FALSE)</f>
        <v>type13</v>
      </c>
      <c r="E2089">
        <v>36319.19</v>
      </c>
      <c r="F2089" t="s">
        <v>50</v>
      </c>
      <c r="G2089" s="1">
        <f>qry_ProdData2_PDI_Cash_Exception_Application[[#This Row],[INSERT DATE]]+1</f>
        <v>45195.257071759261</v>
      </c>
      <c r="H2089" t="str">
        <f>VLOOKUP(qry_ProdData2_PDI_Cash_Exception_Application[[#This Row],[MARKET No]],'Site Allocation'!$B$2:$C$37,2,FALSE)</f>
        <v>Analyst3</v>
      </c>
      <c r="I2089" s="4">
        <f t="shared" ca="1" si="32"/>
        <v>45203</v>
      </c>
      <c r="J2089" s="42">
        <f ca="1">TODAY()-qry_ProdData2_PDI_Cash_Exception_Application[[#This Row],[INSERT DATE]]</f>
        <v>8.7429282407392748</v>
      </c>
      <c r="K20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089">
        <f ca="1">qry_ProdData2_PDI_Cash_Exception_Application[[#This Row],[TODAY]]-qry_ProdData2_PDI_Cash_Exception_Application[[#This Row],[CHANGED ON]]</f>
        <v>7.7429282407392748</v>
      </c>
      <c r="M2089">
        <f ca="1">qry_ProdData2_PDI_Cash_Exception_Application[[#This Row],[TODAY]]-qry_ProdData2_PDI_Cash_Exception_Application[[#This Row],[CHANGED ON]]</f>
        <v>7.7429282407392748</v>
      </c>
      <c r="N2089">
        <f ca="1">qry_ProdData2_PDI_Cash_Exception_Application[[#This Row],[TODAY]]-qry_ProdData2_PDI_Cash_Exception_Application[[#This Row],[CHANGED ON]]</f>
        <v>7.7429282407392748</v>
      </c>
    </row>
    <row r="2090" spans="1:14" x14ac:dyDescent="0.35">
      <c r="A2090">
        <v>1033</v>
      </c>
      <c r="B2090" t="s">
        <v>87</v>
      </c>
      <c r="C2090" s="1">
        <v>45186.257071759261</v>
      </c>
      <c r="D2090" t="str">
        <f ca="1">VLOOKUP(qry_ProdData2_PDI_Cash_Exception_Application[[#This Row],[TYPE]],#REF!,2,FALSE)</f>
        <v>type13</v>
      </c>
      <c r="E2090">
        <v>21569.56</v>
      </c>
      <c r="F2090" t="s">
        <v>51</v>
      </c>
      <c r="G2090" s="1">
        <f>qry_ProdData2_PDI_Cash_Exception_Application[[#This Row],[INSERT DATE]]+1</f>
        <v>45187.257071759261</v>
      </c>
      <c r="H2090" t="str">
        <f>VLOOKUP(qry_ProdData2_PDI_Cash_Exception_Application[[#This Row],[MARKET No]],'Site Allocation'!$B$2:$C$37,2,FALSE)</f>
        <v>Analyst6</v>
      </c>
      <c r="I2090" s="4">
        <f t="shared" ca="1" si="32"/>
        <v>45203</v>
      </c>
      <c r="J2090" s="42">
        <f ca="1">TODAY()-qry_ProdData2_PDI_Cash_Exception_Application[[#This Row],[INSERT DATE]]</f>
        <v>16.742928240739275</v>
      </c>
      <c r="K20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90">
        <f ca="1">qry_ProdData2_PDI_Cash_Exception_Application[[#This Row],[TODAY]]-qry_ProdData2_PDI_Cash_Exception_Application[[#This Row],[CHANGED ON]]</f>
        <v>15.742928240739275</v>
      </c>
      <c r="M2090">
        <f ca="1">qry_ProdData2_PDI_Cash_Exception_Application[[#This Row],[TODAY]]-qry_ProdData2_PDI_Cash_Exception_Application[[#This Row],[CHANGED ON]]</f>
        <v>15.742928240739275</v>
      </c>
      <c r="N2090">
        <f ca="1">qry_ProdData2_PDI_Cash_Exception_Application[[#This Row],[TODAY]]-qry_ProdData2_PDI_Cash_Exception_Application[[#This Row],[CHANGED ON]]</f>
        <v>15.742928240739275</v>
      </c>
    </row>
    <row r="2091" spans="1:14" x14ac:dyDescent="0.35">
      <c r="A2091">
        <v>1009</v>
      </c>
      <c r="B2091" t="s">
        <v>63</v>
      </c>
      <c r="C2091" s="1">
        <v>45191.257071759261</v>
      </c>
      <c r="D2091" t="str">
        <f ca="1">VLOOKUP(qry_ProdData2_PDI_Cash_Exception_Application[[#This Row],[TYPE]],#REF!,2,FALSE)</f>
        <v>type40</v>
      </c>
      <c r="E2091">
        <v>374.53</v>
      </c>
      <c r="F2091" t="s">
        <v>47</v>
      </c>
      <c r="G2091" s="1">
        <f>qry_ProdData2_PDI_Cash_Exception_Application[[#This Row],[INSERT DATE]]+2</f>
        <v>45193.257071759261</v>
      </c>
      <c r="H2091" t="str">
        <f>VLOOKUP(qry_ProdData2_PDI_Cash_Exception_Application[[#This Row],[MARKET No]],'Site Allocation'!$B$2:$C$37,2,FALSE)</f>
        <v>Analyst2</v>
      </c>
      <c r="I2091" s="4">
        <f t="shared" ca="1" si="32"/>
        <v>45203</v>
      </c>
      <c r="J2091" s="42">
        <f ca="1">TODAY()-qry_ProdData2_PDI_Cash_Exception_Application[[#This Row],[INSERT DATE]]</f>
        <v>11.742928240739275</v>
      </c>
      <c r="K20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91">
        <f ca="1">qry_ProdData2_PDI_Cash_Exception_Application[[#This Row],[TODAY]]-qry_ProdData2_PDI_Cash_Exception_Application[[#This Row],[CHANGED ON]]</f>
        <v>9.7429282407392748</v>
      </c>
      <c r="M2091">
        <f ca="1">qry_ProdData2_PDI_Cash_Exception_Application[[#This Row],[TODAY]]-qry_ProdData2_PDI_Cash_Exception_Application[[#This Row],[CHANGED ON]]</f>
        <v>9.7429282407392748</v>
      </c>
      <c r="N2091">
        <f ca="1">qry_ProdData2_PDI_Cash_Exception_Application[[#This Row],[TODAY]]-qry_ProdData2_PDI_Cash_Exception_Application[[#This Row],[CHANGED ON]]</f>
        <v>9.7429282407392748</v>
      </c>
    </row>
    <row r="2092" spans="1:14" x14ac:dyDescent="0.35">
      <c r="A2092">
        <v>1022</v>
      </c>
      <c r="B2092" t="s">
        <v>76</v>
      </c>
      <c r="C2092" s="1">
        <v>45188.257071759261</v>
      </c>
      <c r="D2092" t="str">
        <f ca="1">VLOOKUP(qry_ProdData2_PDI_Cash_Exception_Application[[#This Row],[TYPE]],#REF!,2,FALSE)</f>
        <v>type40</v>
      </c>
      <c r="E2092">
        <v>-2148.19</v>
      </c>
      <c r="F2092" t="s">
        <v>51</v>
      </c>
      <c r="G2092" s="1">
        <f>qry_ProdData2_PDI_Cash_Exception_Application[[#This Row],[INSERT DATE]]+7</f>
        <v>45195.257071759261</v>
      </c>
      <c r="H2092" t="str">
        <f>VLOOKUP(qry_ProdData2_PDI_Cash_Exception_Application[[#This Row],[MARKET No]],'Site Allocation'!$B$2:$C$37,2,FALSE)</f>
        <v>Analyst4</v>
      </c>
      <c r="I2092" s="4">
        <f t="shared" ca="1" si="32"/>
        <v>45203</v>
      </c>
      <c r="J2092" s="42">
        <f ca="1">TODAY()-qry_ProdData2_PDI_Cash_Exception_Application[[#This Row],[INSERT DATE]]</f>
        <v>14.742928240739275</v>
      </c>
      <c r="K20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92">
        <f ca="1">qry_ProdData2_PDI_Cash_Exception_Application[[#This Row],[TODAY]]-qry_ProdData2_PDI_Cash_Exception_Application[[#This Row],[CHANGED ON]]</f>
        <v>7.7429282407392748</v>
      </c>
      <c r="M2092">
        <f ca="1">qry_ProdData2_PDI_Cash_Exception_Application[[#This Row],[TODAY]]-qry_ProdData2_PDI_Cash_Exception_Application[[#This Row],[CHANGED ON]]</f>
        <v>7.7429282407392748</v>
      </c>
      <c r="N2092">
        <f ca="1">qry_ProdData2_PDI_Cash_Exception_Application[[#This Row],[TODAY]]-qry_ProdData2_PDI_Cash_Exception_Application[[#This Row],[CHANGED ON]]</f>
        <v>7.7429282407392748</v>
      </c>
    </row>
    <row r="2093" spans="1:14" x14ac:dyDescent="0.35">
      <c r="A2093">
        <v>1015</v>
      </c>
      <c r="B2093" t="s">
        <v>69</v>
      </c>
      <c r="C2093" s="1">
        <v>45180.257071759261</v>
      </c>
      <c r="D2093" t="str">
        <f ca="1">VLOOKUP(qry_ProdData2_PDI_Cash_Exception_Application[[#This Row],[TYPE]],#REF!,2,FALSE)</f>
        <v>type33</v>
      </c>
      <c r="E2093">
        <v>345.64</v>
      </c>
      <c r="F2093" t="s">
        <v>51</v>
      </c>
      <c r="G2093" s="1">
        <f>qry_ProdData2_PDI_Cash_Exception_Application[[#This Row],[INSERT DATE]]+1</f>
        <v>45181.257071759261</v>
      </c>
      <c r="H2093" t="str">
        <f>VLOOKUP(qry_ProdData2_PDI_Cash_Exception_Application[[#This Row],[MARKET No]],'Site Allocation'!$B$2:$C$37,2,FALSE)</f>
        <v>Analyst3</v>
      </c>
      <c r="I2093" s="4">
        <f t="shared" ca="1" si="32"/>
        <v>45203</v>
      </c>
      <c r="J2093" s="42">
        <f ca="1">TODAY()-qry_ProdData2_PDI_Cash_Exception_Application[[#This Row],[INSERT DATE]]</f>
        <v>22.742928240739275</v>
      </c>
      <c r="K20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93">
        <f ca="1">qry_ProdData2_PDI_Cash_Exception_Application[[#This Row],[TODAY]]-qry_ProdData2_PDI_Cash_Exception_Application[[#This Row],[CHANGED ON]]</f>
        <v>21.742928240739275</v>
      </c>
      <c r="M2093">
        <f ca="1">qry_ProdData2_PDI_Cash_Exception_Application[[#This Row],[TODAY]]-qry_ProdData2_PDI_Cash_Exception_Application[[#This Row],[CHANGED ON]]</f>
        <v>21.742928240739275</v>
      </c>
      <c r="N2093">
        <f ca="1">qry_ProdData2_PDI_Cash_Exception_Application[[#This Row],[TODAY]]-qry_ProdData2_PDI_Cash_Exception_Application[[#This Row],[CHANGED ON]]</f>
        <v>21.742928240739275</v>
      </c>
    </row>
    <row r="2094" spans="1:14" x14ac:dyDescent="0.35">
      <c r="A2094">
        <v>1007</v>
      </c>
      <c r="B2094" t="s">
        <v>61</v>
      </c>
      <c r="C2094" s="1">
        <v>45181.257071759261</v>
      </c>
      <c r="D2094" t="str">
        <f ca="1">VLOOKUP(qry_ProdData2_PDI_Cash_Exception_Application[[#This Row],[TYPE]],#REF!,2,FALSE)</f>
        <v>type40</v>
      </c>
      <c r="E2094">
        <v>-7606.47</v>
      </c>
      <c r="F2094" t="s">
        <v>52</v>
      </c>
      <c r="G2094" s="1">
        <f>qry_ProdData2_PDI_Cash_Exception_Application[[#This Row],[INSERT DATE]]+2</f>
        <v>45183.257071759261</v>
      </c>
      <c r="H2094" t="str">
        <f>VLOOKUP(qry_ProdData2_PDI_Cash_Exception_Application[[#This Row],[MARKET No]],'Site Allocation'!$B$2:$C$37,2,FALSE)</f>
        <v>Analyst2</v>
      </c>
      <c r="I2094" s="4">
        <f t="shared" ca="1" si="32"/>
        <v>45203</v>
      </c>
      <c r="J2094" s="42">
        <f ca="1">TODAY()-qry_ProdData2_PDI_Cash_Exception_Application[[#This Row],[INSERT DATE]]</f>
        <v>21.742928240739275</v>
      </c>
      <c r="K20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94">
        <f ca="1">qry_ProdData2_PDI_Cash_Exception_Application[[#This Row],[TODAY]]-qry_ProdData2_PDI_Cash_Exception_Application[[#This Row],[CHANGED ON]]</f>
        <v>19.742928240739275</v>
      </c>
      <c r="M2094">
        <f ca="1">qry_ProdData2_PDI_Cash_Exception_Application[[#This Row],[TODAY]]-qry_ProdData2_PDI_Cash_Exception_Application[[#This Row],[CHANGED ON]]</f>
        <v>19.742928240739275</v>
      </c>
      <c r="N2094">
        <f ca="1">qry_ProdData2_PDI_Cash_Exception_Application[[#This Row],[TODAY]]-qry_ProdData2_PDI_Cash_Exception_Application[[#This Row],[CHANGED ON]]</f>
        <v>19.742928240739275</v>
      </c>
    </row>
    <row r="2095" spans="1:14" x14ac:dyDescent="0.35">
      <c r="A2095">
        <v>1014</v>
      </c>
      <c r="B2095" t="s">
        <v>68</v>
      </c>
      <c r="C2095" s="1">
        <v>45182.257071759261</v>
      </c>
      <c r="D2095" t="str">
        <f ca="1">VLOOKUP(qry_ProdData2_PDI_Cash_Exception_Application[[#This Row],[TYPE]],#REF!,2,FALSE)</f>
        <v>type38</v>
      </c>
      <c r="E2095">
        <v>219.77</v>
      </c>
      <c r="F2095" t="s">
        <v>50</v>
      </c>
      <c r="G2095" s="1">
        <f>qry_ProdData2_PDI_Cash_Exception_Application[[#This Row],[INSERT DATE]]+2</f>
        <v>45184.257071759261</v>
      </c>
      <c r="H2095" t="str">
        <f>VLOOKUP(qry_ProdData2_PDI_Cash_Exception_Application[[#This Row],[MARKET No]],'Site Allocation'!$B$2:$C$37,2,FALSE)</f>
        <v>Analyst3</v>
      </c>
      <c r="I2095" s="4">
        <f t="shared" ca="1" si="32"/>
        <v>45203</v>
      </c>
      <c r="J2095" s="42">
        <f ca="1">TODAY()-qry_ProdData2_PDI_Cash_Exception_Application[[#This Row],[INSERT DATE]]</f>
        <v>20.742928240739275</v>
      </c>
      <c r="K20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95">
        <f ca="1">qry_ProdData2_PDI_Cash_Exception_Application[[#This Row],[TODAY]]-qry_ProdData2_PDI_Cash_Exception_Application[[#This Row],[CHANGED ON]]</f>
        <v>18.742928240739275</v>
      </c>
      <c r="M2095">
        <f ca="1">qry_ProdData2_PDI_Cash_Exception_Application[[#This Row],[TODAY]]-qry_ProdData2_PDI_Cash_Exception_Application[[#This Row],[CHANGED ON]]</f>
        <v>18.742928240739275</v>
      </c>
      <c r="N2095">
        <f ca="1">qry_ProdData2_PDI_Cash_Exception_Application[[#This Row],[TODAY]]-qry_ProdData2_PDI_Cash_Exception_Application[[#This Row],[CHANGED ON]]</f>
        <v>18.742928240739275</v>
      </c>
    </row>
    <row r="2096" spans="1:14" x14ac:dyDescent="0.35">
      <c r="A2096">
        <v>1018</v>
      </c>
      <c r="B2096" t="s">
        <v>72</v>
      </c>
      <c r="C2096" s="1">
        <v>45182.257071759261</v>
      </c>
      <c r="D2096" t="str">
        <f ca="1">VLOOKUP(qry_ProdData2_PDI_Cash_Exception_Application[[#This Row],[TYPE]],#REF!,2,FALSE)</f>
        <v>type38</v>
      </c>
      <c r="E2096">
        <v>261.98</v>
      </c>
      <c r="F2096" t="s">
        <v>50</v>
      </c>
      <c r="G2096" s="1">
        <f>qry_ProdData2_PDI_Cash_Exception_Application[[#This Row],[INSERT DATE]]+2</f>
        <v>45184.257071759261</v>
      </c>
      <c r="H2096" t="str">
        <f>VLOOKUP(qry_ProdData2_PDI_Cash_Exception_Application[[#This Row],[MARKET No]],'Site Allocation'!$B$2:$C$37,2,FALSE)</f>
        <v>Analyst4</v>
      </c>
      <c r="I2096" s="4">
        <f t="shared" ca="1" si="32"/>
        <v>45203</v>
      </c>
      <c r="J2096" s="42">
        <f ca="1">TODAY()-qry_ProdData2_PDI_Cash_Exception_Application[[#This Row],[INSERT DATE]]</f>
        <v>20.742928240739275</v>
      </c>
      <c r="K20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96">
        <f ca="1">qry_ProdData2_PDI_Cash_Exception_Application[[#This Row],[TODAY]]-qry_ProdData2_PDI_Cash_Exception_Application[[#This Row],[CHANGED ON]]</f>
        <v>18.742928240739275</v>
      </c>
      <c r="M2096">
        <f ca="1">qry_ProdData2_PDI_Cash_Exception_Application[[#This Row],[TODAY]]-qry_ProdData2_PDI_Cash_Exception_Application[[#This Row],[CHANGED ON]]</f>
        <v>18.742928240739275</v>
      </c>
      <c r="N2096">
        <f ca="1">qry_ProdData2_PDI_Cash_Exception_Application[[#This Row],[TODAY]]-qry_ProdData2_PDI_Cash_Exception_Application[[#This Row],[CHANGED ON]]</f>
        <v>18.742928240739275</v>
      </c>
    </row>
    <row r="2097" spans="1:14" x14ac:dyDescent="0.35">
      <c r="A2097">
        <v>1022</v>
      </c>
      <c r="B2097" t="s">
        <v>76</v>
      </c>
      <c r="C2097" s="1">
        <v>45187.257071759261</v>
      </c>
      <c r="D2097" t="str">
        <f ca="1">VLOOKUP(qry_ProdData2_PDI_Cash_Exception_Application[[#This Row],[TYPE]],#REF!,2,FALSE)</f>
        <v>type42</v>
      </c>
      <c r="E2097">
        <v>259.76</v>
      </c>
      <c r="F2097" t="s">
        <v>49</v>
      </c>
      <c r="G2097" s="1">
        <f>qry_ProdData2_PDI_Cash_Exception_Application[[#This Row],[INSERT DATE]]+1</f>
        <v>45188.257071759261</v>
      </c>
      <c r="H2097" t="str">
        <f>VLOOKUP(qry_ProdData2_PDI_Cash_Exception_Application[[#This Row],[MARKET No]],'Site Allocation'!$B$2:$C$37,2,FALSE)</f>
        <v>Analyst4</v>
      </c>
      <c r="I2097" s="4">
        <f t="shared" ca="1" si="32"/>
        <v>45203</v>
      </c>
      <c r="J2097" s="42">
        <f ca="1">TODAY()-qry_ProdData2_PDI_Cash_Exception_Application[[#This Row],[INSERT DATE]]</f>
        <v>15.742928240739275</v>
      </c>
      <c r="K20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97">
        <f ca="1">qry_ProdData2_PDI_Cash_Exception_Application[[#This Row],[TODAY]]-qry_ProdData2_PDI_Cash_Exception_Application[[#This Row],[CHANGED ON]]</f>
        <v>14.742928240739275</v>
      </c>
      <c r="M2097">
        <f ca="1">qry_ProdData2_PDI_Cash_Exception_Application[[#This Row],[TODAY]]-qry_ProdData2_PDI_Cash_Exception_Application[[#This Row],[CHANGED ON]]</f>
        <v>14.742928240739275</v>
      </c>
      <c r="N2097">
        <f ca="1">qry_ProdData2_PDI_Cash_Exception_Application[[#This Row],[TODAY]]-qry_ProdData2_PDI_Cash_Exception_Application[[#This Row],[CHANGED ON]]</f>
        <v>14.742928240739275</v>
      </c>
    </row>
    <row r="2098" spans="1:14" x14ac:dyDescent="0.35">
      <c r="A2098">
        <v>1018</v>
      </c>
      <c r="B2098" t="s">
        <v>72</v>
      </c>
      <c r="C2098" s="1">
        <v>45182.257071759261</v>
      </c>
      <c r="D2098" t="str">
        <f ca="1">VLOOKUP(qry_ProdData2_PDI_Cash_Exception_Application[[#This Row],[TYPE]],#REF!,2,FALSE)</f>
        <v>type45</v>
      </c>
      <c r="E2098">
        <v>249.87</v>
      </c>
      <c r="F2098" t="s">
        <v>51</v>
      </c>
      <c r="G2098" s="1">
        <f>qry_ProdData2_PDI_Cash_Exception_Application[[#This Row],[INSERT DATE]]+1</f>
        <v>45183.257071759261</v>
      </c>
      <c r="H2098" t="str">
        <f>VLOOKUP(qry_ProdData2_PDI_Cash_Exception_Application[[#This Row],[MARKET No]],'Site Allocation'!$B$2:$C$37,2,FALSE)</f>
        <v>Analyst4</v>
      </c>
      <c r="I2098" s="4">
        <f t="shared" ca="1" si="32"/>
        <v>45203</v>
      </c>
      <c r="J2098" s="42">
        <f ca="1">TODAY()-qry_ProdData2_PDI_Cash_Exception_Application[[#This Row],[INSERT DATE]]</f>
        <v>20.742928240739275</v>
      </c>
      <c r="K20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98">
        <f ca="1">qry_ProdData2_PDI_Cash_Exception_Application[[#This Row],[TODAY]]-qry_ProdData2_PDI_Cash_Exception_Application[[#This Row],[CHANGED ON]]</f>
        <v>19.742928240739275</v>
      </c>
      <c r="M2098">
        <f ca="1">qry_ProdData2_PDI_Cash_Exception_Application[[#This Row],[TODAY]]-qry_ProdData2_PDI_Cash_Exception_Application[[#This Row],[CHANGED ON]]</f>
        <v>19.742928240739275</v>
      </c>
      <c r="N2098">
        <f ca="1">qry_ProdData2_PDI_Cash_Exception_Application[[#This Row],[TODAY]]-qry_ProdData2_PDI_Cash_Exception_Application[[#This Row],[CHANGED ON]]</f>
        <v>19.742928240739275</v>
      </c>
    </row>
    <row r="2099" spans="1:14" x14ac:dyDescent="0.35">
      <c r="A2099">
        <v>1024</v>
      </c>
      <c r="B2099" t="s">
        <v>78</v>
      </c>
      <c r="C2099" s="1">
        <v>45183.257071759261</v>
      </c>
      <c r="D2099" t="str">
        <f ca="1">VLOOKUP(qry_ProdData2_PDI_Cash_Exception_Application[[#This Row],[TYPE]],#REF!,2,FALSE)</f>
        <v>type40</v>
      </c>
      <c r="E2099">
        <v>1417.85</v>
      </c>
      <c r="F2099" t="s">
        <v>51</v>
      </c>
      <c r="G2099" s="1">
        <f>qry_ProdData2_PDI_Cash_Exception_Application[[#This Row],[INSERT DATE]]+1</f>
        <v>45184.257071759261</v>
      </c>
      <c r="H2099" t="str">
        <f>VLOOKUP(qry_ProdData2_PDI_Cash_Exception_Application[[#This Row],[MARKET No]],'Site Allocation'!$B$2:$C$37,2,FALSE)</f>
        <v>Analyst5</v>
      </c>
      <c r="I2099" s="4">
        <f t="shared" ca="1" si="32"/>
        <v>45203</v>
      </c>
      <c r="J2099" s="42">
        <f ca="1">TODAY()-qry_ProdData2_PDI_Cash_Exception_Application[[#This Row],[INSERT DATE]]</f>
        <v>19.742928240739275</v>
      </c>
      <c r="K20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099">
        <f ca="1">qry_ProdData2_PDI_Cash_Exception_Application[[#This Row],[TODAY]]-qry_ProdData2_PDI_Cash_Exception_Application[[#This Row],[CHANGED ON]]</f>
        <v>18.742928240739275</v>
      </c>
      <c r="M2099">
        <f ca="1">qry_ProdData2_PDI_Cash_Exception_Application[[#This Row],[TODAY]]-qry_ProdData2_PDI_Cash_Exception_Application[[#This Row],[CHANGED ON]]</f>
        <v>18.742928240739275</v>
      </c>
      <c r="N2099">
        <f ca="1">qry_ProdData2_PDI_Cash_Exception_Application[[#This Row],[TODAY]]-qry_ProdData2_PDI_Cash_Exception_Application[[#This Row],[CHANGED ON]]</f>
        <v>18.742928240739275</v>
      </c>
    </row>
    <row r="2100" spans="1:14" x14ac:dyDescent="0.35">
      <c r="A2100">
        <v>1031</v>
      </c>
      <c r="B2100" t="s">
        <v>85</v>
      </c>
      <c r="C2100" s="1">
        <v>45184.257071759261</v>
      </c>
      <c r="D2100" t="str">
        <f ca="1">VLOOKUP(qry_ProdData2_PDI_Cash_Exception_Application[[#This Row],[TYPE]],#REF!,2,FALSE)</f>
        <v>type17</v>
      </c>
      <c r="E2100">
        <v>977.79</v>
      </c>
      <c r="F2100" t="s">
        <v>50</v>
      </c>
      <c r="G2100" s="1">
        <f>qry_ProdData2_PDI_Cash_Exception_Application[[#This Row],[INSERT DATE]]+2</f>
        <v>45186.257071759261</v>
      </c>
      <c r="H2100" t="str">
        <f>VLOOKUP(qry_ProdData2_PDI_Cash_Exception_Application[[#This Row],[MARKET No]],'Site Allocation'!$B$2:$C$37,2,FALSE)</f>
        <v>Analyst6</v>
      </c>
      <c r="I2100" s="4">
        <f t="shared" ca="1" si="32"/>
        <v>45203</v>
      </c>
      <c r="J2100" s="42">
        <f ca="1">TODAY()-qry_ProdData2_PDI_Cash_Exception_Application[[#This Row],[INSERT DATE]]</f>
        <v>18.742928240739275</v>
      </c>
      <c r="K21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00">
        <f ca="1">qry_ProdData2_PDI_Cash_Exception_Application[[#This Row],[TODAY]]-qry_ProdData2_PDI_Cash_Exception_Application[[#This Row],[CHANGED ON]]</f>
        <v>16.742928240739275</v>
      </c>
      <c r="M2100">
        <f ca="1">qry_ProdData2_PDI_Cash_Exception_Application[[#This Row],[TODAY]]-qry_ProdData2_PDI_Cash_Exception_Application[[#This Row],[CHANGED ON]]</f>
        <v>16.742928240739275</v>
      </c>
      <c r="N2100">
        <f ca="1">qry_ProdData2_PDI_Cash_Exception_Application[[#This Row],[TODAY]]-qry_ProdData2_PDI_Cash_Exception_Application[[#This Row],[CHANGED ON]]</f>
        <v>16.742928240739275</v>
      </c>
    </row>
    <row r="2101" spans="1:14" x14ac:dyDescent="0.35">
      <c r="A2101">
        <v>1026</v>
      </c>
      <c r="B2101" t="s">
        <v>80</v>
      </c>
      <c r="C2101" s="1">
        <v>45185.257071759261</v>
      </c>
      <c r="D2101" t="str">
        <f ca="1">VLOOKUP(qry_ProdData2_PDI_Cash_Exception_Application[[#This Row],[TYPE]],#REF!,2,FALSE)</f>
        <v>type13</v>
      </c>
      <c r="E2101">
        <v>22961.35</v>
      </c>
      <c r="F2101" t="s">
        <v>52</v>
      </c>
      <c r="G2101" s="1">
        <f>qry_ProdData2_PDI_Cash_Exception_Application[[#This Row],[INSERT DATE]]+2</f>
        <v>45187.257071759261</v>
      </c>
      <c r="H2101" t="str">
        <f>VLOOKUP(qry_ProdData2_PDI_Cash_Exception_Application[[#This Row],[MARKET No]],'Site Allocation'!$B$2:$C$37,2,FALSE)</f>
        <v>Analyst5</v>
      </c>
      <c r="I2101" s="4">
        <f t="shared" ca="1" si="32"/>
        <v>45203</v>
      </c>
      <c r="J2101" s="42">
        <f ca="1">TODAY()-qry_ProdData2_PDI_Cash_Exception_Application[[#This Row],[INSERT DATE]]</f>
        <v>17.742928240739275</v>
      </c>
      <c r="K21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01">
        <f ca="1">qry_ProdData2_PDI_Cash_Exception_Application[[#This Row],[TODAY]]-qry_ProdData2_PDI_Cash_Exception_Application[[#This Row],[CHANGED ON]]</f>
        <v>15.742928240739275</v>
      </c>
      <c r="M2101">
        <f ca="1">qry_ProdData2_PDI_Cash_Exception_Application[[#This Row],[TODAY]]-qry_ProdData2_PDI_Cash_Exception_Application[[#This Row],[CHANGED ON]]</f>
        <v>15.742928240739275</v>
      </c>
      <c r="N2101">
        <f ca="1">qry_ProdData2_PDI_Cash_Exception_Application[[#This Row],[TODAY]]-qry_ProdData2_PDI_Cash_Exception_Application[[#This Row],[CHANGED ON]]</f>
        <v>15.742928240739275</v>
      </c>
    </row>
    <row r="2102" spans="1:14" x14ac:dyDescent="0.35">
      <c r="A2102">
        <v>1013</v>
      </c>
      <c r="B2102" t="s">
        <v>67</v>
      </c>
      <c r="C2102" s="1">
        <v>45185.257071759261</v>
      </c>
      <c r="D2102" t="str">
        <f ca="1">VLOOKUP(qry_ProdData2_PDI_Cash_Exception_Application[[#This Row],[TYPE]],#REF!,2,FALSE)</f>
        <v>type13</v>
      </c>
      <c r="E2102">
        <v>19596.78</v>
      </c>
      <c r="F2102" t="s">
        <v>52</v>
      </c>
      <c r="G2102" s="1">
        <f>qry_ProdData2_PDI_Cash_Exception_Application[[#This Row],[INSERT DATE]]+2</f>
        <v>45187.257071759261</v>
      </c>
      <c r="H2102" t="str">
        <f>VLOOKUP(qry_ProdData2_PDI_Cash_Exception_Application[[#This Row],[MARKET No]],'Site Allocation'!$B$2:$C$37,2,FALSE)</f>
        <v>Analyst3</v>
      </c>
      <c r="I2102" s="4">
        <f t="shared" ca="1" si="32"/>
        <v>45203</v>
      </c>
      <c r="J2102" s="42">
        <f ca="1">TODAY()-qry_ProdData2_PDI_Cash_Exception_Application[[#This Row],[INSERT DATE]]</f>
        <v>17.742928240739275</v>
      </c>
      <c r="K21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02">
        <f ca="1">qry_ProdData2_PDI_Cash_Exception_Application[[#This Row],[TODAY]]-qry_ProdData2_PDI_Cash_Exception_Application[[#This Row],[CHANGED ON]]</f>
        <v>15.742928240739275</v>
      </c>
      <c r="M2102">
        <f ca="1">qry_ProdData2_PDI_Cash_Exception_Application[[#This Row],[TODAY]]-qry_ProdData2_PDI_Cash_Exception_Application[[#This Row],[CHANGED ON]]</f>
        <v>15.742928240739275</v>
      </c>
      <c r="N2102">
        <f ca="1">qry_ProdData2_PDI_Cash_Exception_Application[[#This Row],[TODAY]]-qry_ProdData2_PDI_Cash_Exception_Application[[#This Row],[CHANGED ON]]</f>
        <v>15.742928240739275</v>
      </c>
    </row>
    <row r="2103" spans="1:14" x14ac:dyDescent="0.35">
      <c r="A2103">
        <v>1011</v>
      </c>
      <c r="B2103" t="s">
        <v>65</v>
      </c>
      <c r="C2103" s="1">
        <v>45184.257071759261</v>
      </c>
      <c r="D2103" t="str">
        <f ca="1">VLOOKUP(qry_ProdData2_PDI_Cash_Exception_Application[[#This Row],[TYPE]],#REF!,2,FALSE)</f>
        <v>type25</v>
      </c>
      <c r="E2103">
        <v>214.72</v>
      </c>
      <c r="F2103" t="s">
        <v>49</v>
      </c>
      <c r="G2103" s="1">
        <f>qry_ProdData2_PDI_Cash_Exception_Application[[#This Row],[INSERT DATE]]+2</f>
        <v>45186.257071759261</v>
      </c>
      <c r="H2103" t="str">
        <f>VLOOKUP(qry_ProdData2_PDI_Cash_Exception_Application[[#This Row],[MARKET No]],'Site Allocation'!$B$2:$C$37,2,FALSE)</f>
        <v>Analyst2</v>
      </c>
      <c r="I2103" s="4">
        <f t="shared" ca="1" si="32"/>
        <v>45203</v>
      </c>
      <c r="J2103" s="42">
        <f ca="1">TODAY()-qry_ProdData2_PDI_Cash_Exception_Application[[#This Row],[INSERT DATE]]</f>
        <v>18.742928240739275</v>
      </c>
      <c r="K21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03">
        <f ca="1">qry_ProdData2_PDI_Cash_Exception_Application[[#This Row],[TODAY]]-qry_ProdData2_PDI_Cash_Exception_Application[[#This Row],[CHANGED ON]]</f>
        <v>16.742928240739275</v>
      </c>
      <c r="M2103">
        <f ca="1">qry_ProdData2_PDI_Cash_Exception_Application[[#This Row],[TODAY]]-qry_ProdData2_PDI_Cash_Exception_Application[[#This Row],[CHANGED ON]]</f>
        <v>16.742928240739275</v>
      </c>
      <c r="N2103">
        <f ca="1">qry_ProdData2_PDI_Cash_Exception_Application[[#This Row],[TODAY]]-qry_ProdData2_PDI_Cash_Exception_Application[[#This Row],[CHANGED ON]]</f>
        <v>16.742928240739275</v>
      </c>
    </row>
    <row r="2104" spans="1:14" x14ac:dyDescent="0.35">
      <c r="A2104">
        <v>1027</v>
      </c>
      <c r="B2104" t="s">
        <v>81</v>
      </c>
      <c r="C2104" s="1">
        <v>45187.257071759261</v>
      </c>
      <c r="D2104" t="str">
        <f ca="1">VLOOKUP(qry_ProdData2_PDI_Cash_Exception_Application[[#This Row],[TYPE]],#REF!,2,FALSE)</f>
        <v>type13</v>
      </c>
      <c r="E2104">
        <v>16606.5</v>
      </c>
      <c r="F2104" t="s">
        <v>52</v>
      </c>
      <c r="G2104" s="1">
        <f>qry_ProdData2_PDI_Cash_Exception_Application[[#This Row],[INSERT DATE]]+2</f>
        <v>45189.257071759261</v>
      </c>
      <c r="H2104" t="str">
        <f>VLOOKUP(qry_ProdData2_PDI_Cash_Exception_Application[[#This Row],[MARKET No]],'Site Allocation'!$B$2:$C$37,2,FALSE)</f>
        <v>Analyst5</v>
      </c>
      <c r="I2104" s="4">
        <f t="shared" ca="1" si="32"/>
        <v>45203</v>
      </c>
      <c r="J2104" s="42">
        <f ca="1">TODAY()-qry_ProdData2_PDI_Cash_Exception_Application[[#This Row],[INSERT DATE]]</f>
        <v>15.742928240739275</v>
      </c>
      <c r="K21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04">
        <f ca="1">qry_ProdData2_PDI_Cash_Exception_Application[[#This Row],[TODAY]]-qry_ProdData2_PDI_Cash_Exception_Application[[#This Row],[CHANGED ON]]</f>
        <v>13.742928240739275</v>
      </c>
      <c r="M2104">
        <f ca="1">qry_ProdData2_PDI_Cash_Exception_Application[[#This Row],[TODAY]]-qry_ProdData2_PDI_Cash_Exception_Application[[#This Row],[CHANGED ON]]</f>
        <v>13.742928240739275</v>
      </c>
      <c r="N2104">
        <f ca="1">qry_ProdData2_PDI_Cash_Exception_Application[[#This Row],[TODAY]]-qry_ProdData2_PDI_Cash_Exception_Application[[#This Row],[CHANGED ON]]</f>
        <v>13.742928240739275</v>
      </c>
    </row>
    <row r="2105" spans="1:14" x14ac:dyDescent="0.35">
      <c r="A2105">
        <v>1024</v>
      </c>
      <c r="B2105" t="s">
        <v>78</v>
      </c>
      <c r="C2105" s="1">
        <v>45187.257071759261</v>
      </c>
      <c r="D2105" t="str">
        <f ca="1">VLOOKUP(qry_ProdData2_PDI_Cash_Exception_Application[[#This Row],[TYPE]],#REF!,2,FALSE)</f>
        <v>type13</v>
      </c>
      <c r="E2105">
        <v>13466.36</v>
      </c>
      <c r="F2105" t="s">
        <v>52</v>
      </c>
      <c r="G2105" s="1">
        <f>qry_ProdData2_PDI_Cash_Exception_Application[[#This Row],[INSERT DATE]]+2</f>
        <v>45189.257071759261</v>
      </c>
      <c r="H2105" t="str">
        <f>VLOOKUP(qry_ProdData2_PDI_Cash_Exception_Application[[#This Row],[MARKET No]],'Site Allocation'!$B$2:$C$37,2,FALSE)</f>
        <v>Analyst5</v>
      </c>
      <c r="I2105" s="4">
        <f t="shared" ca="1" si="32"/>
        <v>45203</v>
      </c>
      <c r="J2105" s="42">
        <f ca="1">TODAY()-qry_ProdData2_PDI_Cash_Exception_Application[[#This Row],[INSERT DATE]]</f>
        <v>15.742928240739275</v>
      </c>
      <c r="K21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05">
        <f ca="1">qry_ProdData2_PDI_Cash_Exception_Application[[#This Row],[TODAY]]-qry_ProdData2_PDI_Cash_Exception_Application[[#This Row],[CHANGED ON]]</f>
        <v>13.742928240739275</v>
      </c>
      <c r="M2105">
        <f ca="1">qry_ProdData2_PDI_Cash_Exception_Application[[#This Row],[TODAY]]-qry_ProdData2_PDI_Cash_Exception_Application[[#This Row],[CHANGED ON]]</f>
        <v>13.742928240739275</v>
      </c>
      <c r="N2105">
        <f ca="1">qry_ProdData2_PDI_Cash_Exception_Application[[#This Row],[TODAY]]-qry_ProdData2_PDI_Cash_Exception_Application[[#This Row],[CHANGED ON]]</f>
        <v>13.742928240739275</v>
      </c>
    </row>
    <row r="2106" spans="1:14" x14ac:dyDescent="0.35">
      <c r="A2106">
        <v>1027</v>
      </c>
      <c r="B2106" t="s">
        <v>81</v>
      </c>
      <c r="C2106" s="1">
        <v>45186.257071759261</v>
      </c>
      <c r="D2106" t="str">
        <f ca="1">VLOOKUP(qry_ProdData2_PDI_Cash_Exception_Application[[#This Row],[TYPE]],#REF!,2,FALSE)</f>
        <v>type40</v>
      </c>
      <c r="E2106">
        <v>3563.79</v>
      </c>
      <c r="F2106" t="s">
        <v>51</v>
      </c>
      <c r="G2106" s="1">
        <f>qry_ProdData2_PDI_Cash_Exception_Application[[#This Row],[INSERT DATE]]+1</f>
        <v>45187.257071759261</v>
      </c>
      <c r="H2106" t="str">
        <f>VLOOKUP(qry_ProdData2_PDI_Cash_Exception_Application[[#This Row],[MARKET No]],'Site Allocation'!$B$2:$C$37,2,FALSE)</f>
        <v>Analyst5</v>
      </c>
      <c r="I2106" s="4">
        <f t="shared" ca="1" si="32"/>
        <v>45203</v>
      </c>
      <c r="J2106" s="42">
        <f ca="1">TODAY()-qry_ProdData2_PDI_Cash_Exception_Application[[#This Row],[INSERT DATE]]</f>
        <v>16.742928240739275</v>
      </c>
      <c r="K21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06">
        <f ca="1">qry_ProdData2_PDI_Cash_Exception_Application[[#This Row],[TODAY]]-qry_ProdData2_PDI_Cash_Exception_Application[[#This Row],[CHANGED ON]]</f>
        <v>15.742928240739275</v>
      </c>
      <c r="M2106">
        <f ca="1">qry_ProdData2_PDI_Cash_Exception_Application[[#This Row],[TODAY]]-qry_ProdData2_PDI_Cash_Exception_Application[[#This Row],[CHANGED ON]]</f>
        <v>15.742928240739275</v>
      </c>
      <c r="N2106">
        <f ca="1">qry_ProdData2_PDI_Cash_Exception_Application[[#This Row],[TODAY]]-qry_ProdData2_PDI_Cash_Exception_Application[[#This Row],[CHANGED ON]]</f>
        <v>15.742928240739275</v>
      </c>
    </row>
    <row r="2107" spans="1:14" x14ac:dyDescent="0.35">
      <c r="A2107">
        <v>1032</v>
      </c>
      <c r="B2107" t="s">
        <v>86</v>
      </c>
      <c r="C2107" s="1">
        <v>45187.257071759261</v>
      </c>
      <c r="D2107" t="str">
        <f ca="1">VLOOKUP(qry_ProdData2_PDI_Cash_Exception_Application[[#This Row],[TYPE]],#REF!,2,FALSE)</f>
        <v>type40</v>
      </c>
      <c r="E2107">
        <v>48.01</v>
      </c>
      <c r="F2107" t="s">
        <v>49</v>
      </c>
      <c r="G2107" s="1">
        <f>qry_ProdData2_PDI_Cash_Exception_Application[[#This Row],[INSERT DATE]]+2</f>
        <v>45189.257071759261</v>
      </c>
      <c r="H2107" t="str">
        <f>VLOOKUP(qry_ProdData2_PDI_Cash_Exception_Application[[#This Row],[MARKET No]],'Site Allocation'!$B$2:$C$37,2,FALSE)</f>
        <v>Analyst6</v>
      </c>
      <c r="I2107" s="4">
        <f t="shared" ca="1" si="32"/>
        <v>45203</v>
      </c>
      <c r="J2107" s="42">
        <f ca="1">TODAY()-qry_ProdData2_PDI_Cash_Exception_Application[[#This Row],[INSERT DATE]]</f>
        <v>15.742928240739275</v>
      </c>
      <c r="K21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07">
        <f ca="1">qry_ProdData2_PDI_Cash_Exception_Application[[#This Row],[TODAY]]-qry_ProdData2_PDI_Cash_Exception_Application[[#This Row],[CHANGED ON]]</f>
        <v>13.742928240739275</v>
      </c>
      <c r="M2107">
        <f ca="1">qry_ProdData2_PDI_Cash_Exception_Application[[#This Row],[TODAY]]-qry_ProdData2_PDI_Cash_Exception_Application[[#This Row],[CHANGED ON]]</f>
        <v>13.742928240739275</v>
      </c>
      <c r="N2107">
        <f ca="1">qry_ProdData2_PDI_Cash_Exception_Application[[#This Row],[TODAY]]-qry_ProdData2_PDI_Cash_Exception_Application[[#This Row],[CHANGED ON]]</f>
        <v>13.742928240739275</v>
      </c>
    </row>
    <row r="2108" spans="1:14" x14ac:dyDescent="0.35">
      <c r="A2108">
        <v>1031</v>
      </c>
      <c r="B2108" t="s">
        <v>85</v>
      </c>
      <c r="C2108" s="1">
        <v>45190.257071759261</v>
      </c>
      <c r="D2108" t="str">
        <f ca="1">VLOOKUP(qry_ProdData2_PDI_Cash_Exception_Application[[#This Row],[TYPE]],#REF!,2,FALSE)</f>
        <v>type40</v>
      </c>
      <c r="E2108">
        <v>-354.11</v>
      </c>
      <c r="F2108" t="s">
        <v>49</v>
      </c>
      <c r="G2108" s="1">
        <f>qry_ProdData2_PDI_Cash_Exception_Application[[#This Row],[INSERT DATE]]+2</f>
        <v>45192.257071759261</v>
      </c>
      <c r="H2108" t="str">
        <f>VLOOKUP(qry_ProdData2_PDI_Cash_Exception_Application[[#This Row],[MARKET No]],'Site Allocation'!$B$2:$C$37,2,FALSE)</f>
        <v>Analyst6</v>
      </c>
      <c r="I2108" s="4">
        <f t="shared" ca="1" si="32"/>
        <v>45203</v>
      </c>
      <c r="J2108" s="42">
        <f ca="1">TODAY()-qry_ProdData2_PDI_Cash_Exception_Application[[#This Row],[INSERT DATE]]</f>
        <v>12.742928240739275</v>
      </c>
      <c r="K21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08">
        <f ca="1">qry_ProdData2_PDI_Cash_Exception_Application[[#This Row],[TODAY]]-qry_ProdData2_PDI_Cash_Exception_Application[[#This Row],[CHANGED ON]]</f>
        <v>10.742928240739275</v>
      </c>
      <c r="M2108">
        <f ca="1">qry_ProdData2_PDI_Cash_Exception_Application[[#This Row],[TODAY]]-qry_ProdData2_PDI_Cash_Exception_Application[[#This Row],[CHANGED ON]]</f>
        <v>10.742928240739275</v>
      </c>
      <c r="N2108">
        <f ca="1">qry_ProdData2_PDI_Cash_Exception_Application[[#This Row],[TODAY]]-qry_ProdData2_PDI_Cash_Exception_Application[[#This Row],[CHANGED ON]]</f>
        <v>10.742928240739275</v>
      </c>
    </row>
    <row r="2109" spans="1:14" x14ac:dyDescent="0.35">
      <c r="A2109">
        <v>1012</v>
      </c>
      <c r="B2109" t="s">
        <v>66</v>
      </c>
      <c r="C2109" s="1">
        <v>45187.257071759261</v>
      </c>
      <c r="D2109" t="str">
        <f ca="1">VLOOKUP(qry_ProdData2_PDI_Cash_Exception_Application[[#This Row],[TYPE]],#REF!,2,FALSE)</f>
        <v>type40</v>
      </c>
      <c r="E2109">
        <v>-695.41</v>
      </c>
      <c r="F2109" t="s">
        <v>51</v>
      </c>
      <c r="G2109" s="1">
        <f>qry_ProdData2_PDI_Cash_Exception_Application[[#This Row],[INSERT DATE]]+1</f>
        <v>45188.257071759261</v>
      </c>
      <c r="H2109" t="str">
        <f>VLOOKUP(qry_ProdData2_PDI_Cash_Exception_Application[[#This Row],[MARKET No]],'Site Allocation'!$B$2:$C$37,2,FALSE)</f>
        <v>Analyst3</v>
      </c>
      <c r="I2109" s="4">
        <f t="shared" ca="1" si="32"/>
        <v>45203</v>
      </c>
      <c r="J2109" s="42">
        <f ca="1">TODAY()-qry_ProdData2_PDI_Cash_Exception_Application[[#This Row],[INSERT DATE]]</f>
        <v>15.742928240739275</v>
      </c>
      <c r="K21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09">
        <f ca="1">qry_ProdData2_PDI_Cash_Exception_Application[[#This Row],[TODAY]]-qry_ProdData2_PDI_Cash_Exception_Application[[#This Row],[CHANGED ON]]</f>
        <v>14.742928240739275</v>
      </c>
      <c r="M2109">
        <f ca="1">qry_ProdData2_PDI_Cash_Exception_Application[[#This Row],[TODAY]]-qry_ProdData2_PDI_Cash_Exception_Application[[#This Row],[CHANGED ON]]</f>
        <v>14.742928240739275</v>
      </c>
      <c r="N2109">
        <f ca="1">qry_ProdData2_PDI_Cash_Exception_Application[[#This Row],[TODAY]]-qry_ProdData2_PDI_Cash_Exception_Application[[#This Row],[CHANGED ON]]</f>
        <v>14.742928240739275</v>
      </c>
    </row>
    <row r="2110" spans="1:14" x14ac:dyDescent="0.35">
      <c r="A2110">
        <v>1025</v>
      </c>
      <c r="B2110" t="s">
        <v>79</v>
      </c>
      <c r="C2110" s="1">
        <v>45185.257071759261</v>
      </c>
      <c r="D2110" t="str">
        <f ca="1">VLOOKUP(qry_ProdData2_PDI_Cash_Exception_Application[[#This Row],[TYPE]],#REF!,2,FALSE)</f>
        <v>type40</v>
      </c>
      <c r="E2110">
        <v>-448.73</v>
      </c>
      <c r="F2110" t="s">
        <v>47</v>
      </c>
      <c r="G2110" s="1">
        <f>qry_ProdData2_PDI_Cash_Exception_Application[[#This Row],[INSERT DATE]]+5</f>
        <v>45190.257071759261</v>
      </c>
      <c r="H2110" t="str">
        <f>VLOOKUP(qry_ProdData2_PDI_Cash_Exception_Application[[#This Row],[MARKET No]],'Site Allocation'!$B$2:$C$37,2,FALSE)</f>
        <v>Analyst5</v>
      </c>
      <c r="I2110" s="4">
        <f t="shared" ca="1" si="32"/>
        <v>45203</v>
      </c>
      <c r="J2110" s="42">
        <f ca="1">TODAY()-qry_ProdData2_PDI_Cash_Exception_Application[[#This Row],[INSERT DATE]]</f>
        <v>17.742928240739275</v>
      </c>
      <c r="K21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10">
        <f ca="1">qry_ProdData2_PDI_Cash_Exception_Application[[#This Row],[TODAY]]-qry_ProdData2_PDI_Cash_Exception_Application[[#This Row],[CHANGED ON]]</f>
        <v>12.742928240739275</v>
      </c>
      <c r="M2110">
        <f ca="1">qry_ProdData2_PDI_Cash_Exception_Application[[#This Row],[TODAY]]-qry_ProdData2_PDI_Cash_Exception_Application[[#This Row],[CHANGED ON]]</f>
        <v>12.742928240739275</v>
      </c>
      <c r="N2110">
        <f ca="1">qry_ProdData2_PDI_Cash_Exception_Application[[#This Row],[TODAY]]-qry_ProdData2_PDI_Cash_Exception_Application[[#This Row],[CHANGED ON]]</f>
        <v>12.742928240739275</v>
      </c>
    </row>
    <row r="2111" spans="1:14" x14ac:dyDescent="0.35">
      <c r="A2111">
        <v>1019</v>
      </c>
      <c r="B2111" t="s">
        <v>73</v>
      </c>
      <c r="C2111" s="1">
        <v>45189.257071759261</v>
      </c>
      <c r="D2111" t="str">
        <f ca="1">VLOOKUP(qry_ProdData2_PDI_Cash_Exception_Application[[#This Row],[TYPE]],#REF!,2,FALSE)</f>
        <v>type26</v>
      </c>
      <c r="E2111">
        <v>129.69999999999999</v>
      </c>
      <c r="F2111" t="s">
        <v>49</v>
      </c>
      <c r="G2111" s="1">
        <f>qry_ProdData2_PDI_Cash_Exception_Application[[#This Row],[INSERT DATE]]+7</f>
        <v>45196.257071759261</v>
      </c>
      <c r="H2111" t="str">
        <f>VLOOKUP(qry_ProdData2_PDI_Cash_Exception_Application[[#This Row],[MARKET No]],'Site Allocation'!$B$2:$C$37,2,FALSE)</f>
        <v>Analyst4</v>
      </c>
      <c r="I2111" s="4">
        <f t="shared" ca="1" si="32"/>
        <v>45203</v>
      </c>
      <c r="J2111" s="42">
        <f ca="1">TODAY()-qry_ProdData2_PDI_Cash_Exception_Application[[#This Row],[INSERT DATE]]</f>
        <v>13.742928240739275</v>
      </c>
      <c r="K21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11">
        <f ca="1">qry_ProdData2_PDI_Cash_Exception_Application[[#This Row],[TODAY]]-qry_ProdData2_PDI_Cash_Exception_Application[[#This Row],[CHANGED ON]]</f>
        <v>6.7429282407392748</v>
      </c>
      <c r="M2111">
        <f ca="1">qry_ProdData2_PDI_Cash_Exception_Application[[#This Row],[TODAY]]-qry_ProdData2_PDI_Cash_Exception_Application[[#This Row],[CHANGED ON]]</f>
        <v>6.7429282407392748</v>
      </c>
      <c r="N2111">
        <f ca="1">qry_ProdData2_PDI_Cash_Exception_Application[[#This Row],[TODAY]]-qry_ProdData2_PDI_Cash_Exception_Application[[#This Row],[CHANGED ON]]</f>
        <v>6.7429282407392748</v>
      </c>
    </row>
    <row r="2112" spans="1:14" x14ac:dyDescent="0.35">
      <c r="A2112">
        <v>1024</v>
      </c>
      <c r="B2112" t="s">
        <v>78</v>
      </c>
      <c r="C2112" s="1">
        <v>45186.257071759261</v>
      </c>
      <c r="D2112" t="str">
        <f ca="1">VLOOKUP(qry_ProdData2_PDI_Cash_Exception_Application[[#This Row],[TYPE]],#REF!,2,FALSE)</f>
        <v>type27</v>
      </c>
      <c r="E2112">
        <v>1672469.01</v>
      </c>
      <c r="F2112" t="s">
        <v>51</v>
      </c>
      <c r="G2112" s="1">
        <f>qry_ProdData2_PDI_Cash_Exception_Application[[#This Row],[INSERT DATE]]+2</f>
        <v>45188.257071759261</v>
      </c>
      <c r="H2112" t="str">
        <f>VLOOKUP(qry_ProdData2_PDI_Cash_Exception_Application[[#This Row],[MARKET No]],'Site Allocation'!$B$2:$C$37,2,FALSE)</f>
        <v>Analyst5</v>
      </c>
      <c r="I2112" s="4">
        <f t="shared" ca="1" si="32"/>
        <v>45203</v>
      </c>
      <c r="J2112" s="42">
        <f ca="1">TODAY()-qry_ProdData2_PDI_Cash_Exception_Application[[#This Row],[INSERT DATE]]</f>
        <v>16.742928240739275</v>
      </c>
      <c r="K21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12">
        <f ca="1">qry_ProdData2_PDI_Cash_Exception_Application[[#This Row],[TODAY]]-qry_ProdData2_PDI_Cash_Exception_Application[[#This Row],[CHANGED ON]]</f>
        <v>14.742928240739275</v>
      </c>
      <c r="M2112">
        <f ca="1">qry_ProdData2_PDI_Cash_Exception_Application[[#This Row],[TODAY]]-qry_ProdData2_PDI_Cash_Exception_Application[[#This Row],[CHANGED ON]]</f>
        <v>14.742928240739275</v>
      </c>
      <c r="N2112">
        <f ca="1">qry_ProdData2_PDI_Cash_Exception_Application[[#This Row],[TODAY]]-qry_ProdData2_PDI_Cash_Exception_Application[[#This Row],[CHANGED ON]]</f>
        <v>14.742928240739275</v>
      </c>
    </row>
    <row r="2113" spans="1:14" x14ac:dyDescent="0.35">
      <c r="A2113">
        <v>1011</v>
      </c>
      <c r="B2113" t="s">
        <v>65</v>
      </c>
      <c r="C2113" s="1">
        <v>45189.257071759261</v>
      </c>
      <c r="D2113" t="str">
        <f ca="1">VLOOKUP(qry_ProdData2_PDI_Cash_Exception_Application[[#This Row],[TYPE]],#REF!,2,FALSE)</f>
        <v>type10</v>
      </c>
      <c r="E2113">
        <v>51.69</v>
      </c>
      <c r="F2113" t="s">
        <v>47</v>
      </c>
      <c r="G2113" s="1">
        <f>qry_ProdData2_PDI_Cash_Exception_Application[[#This Row],[INSERT DATE]]+7</f>
        <v>45196.257071759261</v>
      </c>
      <c r="H2113" t="str">
        <f>VLOOKUP(qry_ProdData2_PDI_Cash_Exception_Application[[#This Row],[MARKET No]],'Site Allocation'!$B$2:$C$37,2,FALSE)</f>
        <v>Analyst2</v>
      </c>
      <c r="I2113" s="4">
        <f t="shared" ca="1" si="32"/>
        <v>45203</v>
      </c>
      <c r="J2113" s="42">
        <f ca="1">TODAY()-qry_ProdData2_PDI_Cash_Exception_Application[[#This Row],[INSERT DATE]]</f>
        <v>13.742928240739275</v>
      </c>
      <c r="K21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13">
        <f ca="1">qry_ProdData2_PDI_Cash_Exception_Application[[#This Row],[TODAY]]-qry_ProdData2_PDI_Cash_Exception_Application[[#This Row],[CHANGED ON]]</f>
        <v>6.7429282407392748</v>
      </c>
      <c r="M2113">
        <f ca="1">qry_ProdData2_PDI_Cash_Exception_Application[[#This Row],[TODAY]]-qry_ProdData2_PDI_Cash_Exception_Application[[#This Row],[CHANGED ON]]</f>
        <v>6.7429282407392748</v>
      </c>
      <c r="N2113">
        <f ca="1">qry_ProdData2_PDI_Cash_Exception_Application[[#This Row],[TODAY]]-qry_ProdData2_PDI_Cash_Exception_Application[[#This Row],[CHANGED ON]]</f>
        <v>6.7429282407392748</v>
      </c>
    </row>
    <row r="2114" spans="1:14" x14ac:dyDescent="0.35">
      <c r="A2114">
        <v>1034</v>
      </c>
      <c r="B2114" t="s">
        <v>88</v>
      </c>
      <c r="C2114" s="1">
        <v>45190.257071759261</v>
      </c>
      <c r="D2114" t="str">
        <f ca="1">VLOOKUP(qry_ProdData2_PDI_Cash_Exception_Application[[#This Row],[TYPE]],#REF!,2,FALSE)</f>
        <v>type40</v>
      </c>
      <c r="E2114">
        <v>-893.15</v>
      </c>
      <c r="F2114" t="s">
        <v>48</v>
      </c>
      <c r="G2114" s="1">
        <f>qry_ProdData2_PDI_Cash_Exception_Application[[#This Row],[INSERT DATE]]+1</f>
        <v>45191.257071759261</v>
      </c>
      <c r="H2114" t="str">
        <f>VLOOKUP(qry_ProdData2_PDI_Cash_Exception_Application[[#This Row],[MARKET No]],'Site Allocation'!$B$2:$C$37,2,FALSE)</f>
        <v>Analyst6</v>
      </c>
      <c r="I2114" s="4">
        <f t="shared" ref="I2114:I2177" ca="1" si="33">TODAY()</f>
        <v>45203</v>
      </c>
      <c r="J2114" s="42">
        <f ca="1">TODAY()-qry_ProdData2_PDI_Cash_Exception_Application[[#This Row],[INSERT DATE]]</f>
        <v>12.742928240739275</v>
      </c>
      <c r="K21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14">
        <f ca="1">qry_ProdData2_PDI_Cash_Exception_Application[[#This Row],[TODAY]]-qry_ProdData2_PDI_Cash_Exception_Application[[#This Row],[CHANGED ON]]</f>
        <v>11.742928240739275</v>
      </c>
      <c r="M2114">
        <f ca="1">qry_ProdData2_PDI_Cash_Exception_Application[[#This Row],[TODAY]]-qry_ProdData2_PDI_Cash_Exception_Application[[#This Row],[CHANGED ON]]</f>
        <v>11.742928240739275</v>
      </c>
      <c r="N2114">
        <f ca="1">qry_ProdData2_PDI_Cash_Exception_Application[[#This Row],[TODAY]]-qry_ProdData2_PDI_Cash_Exception_Application[[#This Row],[CHANGED ON]]</f>
        <v>11.742928240739275</v>
      </c>
    </row>
    <row r="2115" spans="1:14" x14ac:dyDescent="0.35">
      <c r="A2115">
        <v>1023</v>
      </c>
      <c r="B2115" t="s">
        <v>77</v>
      </c>
      <c r="C2115" s="1">
        <v>45180.257071759261</v>
      </c>
      <c r="D2115" t="str">
        <f ca="1">VLOOKUP(qry_ProdData2_PDI_Cash_Exception_Application[[#This Row],[TYPE]],#REF!,2,FALSE)</f>
        <v>type40</v>
      </c>
      <c r="E2115">
        <v>25</v>
      </c>
      <c r="F2115" t="s">
        <v>49</v>
      </c>
      <c r="G2115" s="1">
        <f>qry_ProdData2_PDI_Cash_Exception_Application[[#This Row],[INSERT DATE]]+7</f>
        <v>45187.257071759261</v>
      </c>
      <c r="H2115" t="str">
        <f>VLOOKUP(qry_ProdData2_PDI_Cash_Exception_Application[[#This Row],[MARKET No]],'Site Allocation'!$B$2:$C$37,2,FALSE)</f>
        <v>Analyst4</v>
      </c>
      <c r="I2115" s="4">
        <f t="shared" ca="1" si="33"/>
        <v>45203</v>
      </c>
      <c r="J2115" s="42">
        <f ca="1">TODAY()-qry_ProdData2_PDI_Cash_Exception_Application[[#This Row],[INSERT DATE]]</f>
        <v>22.742928240739275</v>
      </c>
      <c r="K21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15">
        <f ca="1">qry_ProdData2_PDI_Cash_Exception_Application[[#This Row],[TODAY]]-qry_ProdData2_PDI_Cash_Exception_Application[[#This Row],[CHANGED ON]]</f>
        <v>15.742928240739275</v>
      </c>
      <c r="M2115">
        <f ca="1">qry_ProdData2_PDI_Cash_Exception_Application[[#This Row],[TODAY]]-qry_ProdData2_PDI_Cash_Exception_Application[[#This Row],[CHANGED ON]]</f>
        <v>15.742928240739275</v>
      </c>
      <c r="N2115">
        <f ca="1">qry_ProdData2_PDI_Cash_Exception_Application[[#This Row],[TODAY]]-qry_ProdData2_PDI_Cash_Exception_Application[[#This Row],[CHANGED ON]]</f>
        <v>15.742928240739275</v>
      </c>
    </row>
    <row r="2116" spans="1:14" x14ac:dyDescent="0.35">
      <c r="A2116">
        <v>1002</v>
      </c>
      <c r="B2116" t="s">
        <v>56</v>
      </c>
      <c r="C2116" s="1">
        <v>45196.257071759261</v>
      </c>
      <c r="D2116" t="str">
        <f ca="1">VLOOKUP(qry_ProdData2_PDI_Cash_Exception_Application[[#This Row],[TYPE]],#REF!,2,FALSE)</f>
        <v>type40</v>
      </c>
      <c r="E2116">
        <v>-462.3</v>
      </c>
      <c r="F2116" t="s">
        <v>50</v>
      </c>
      <c r="G2116" s="1">
        <f>qry_ProdData2_PDI_Cash_Exception_Application[[#This Row],[INSERT DATE]]+5</f>
        <v>45201.257071759261</v>
      </c>
      <c r="H2116" t="str">
        <f>VLOOKUP(qry_ProdData2_PDI_Cash_Exception_Application[[#This Row],[MARKET No]],'Site Allocation'!$B$2:$C$37,2,FALSE)</f>
        <v>Analyst1</v>
      </c>
      <c r="I2116" s="4">
        <f t="shared" ca="1" si="33"/>
        <v>45203</v>
      </c>
      <c r="J2116" s="42">
        <f ca="1">TODAY()-qry_ProdData2_PDI_Cash_Exception_Application[[#This Row],[INSERT DATE]]</f>
        <v>6.7429282407392748</v>
      </c>
      <c r="K21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116">
        <f ca="1">qry_ProdData2_PDI_Cash_Exception_Application[[#This Row],[TODAY]]-qry_ProdData2_PDI_Cash_Exception_Application[[#This Row],[CHANGED ON]]</f>
        <v>1.7429282407392748</v>
      </c>
      <c r="M2116">
        <f ca="1">qry_ProdData2_PDI_Cash_Exception_Application[[#This Row],[TODAY]]-qry_ProdData2_PDI_Cash_Exception_Application[[#This Row],[CHANGED ON]]</f>
        <v>1.7429282407392748</v>
      </c>
      <c r="N2116">
        <f ca="1">qry_ProdData2_PDI_Cash_Exception_Application[[#This Row],[TODAY]]-qry_ProdData2_PDI_Cash_Exception_Application[[#This Row],[CHANGED ON]]</f>
        <v>1.7429282407392748</v>
      </c>
    </row>
    <row r="2117" spans="1:14" x14ac:dyDescent="0.35">
      <c r="A2117">
        <v>1005</v>
      </c>
      <c r="B2117" t="s">
        <v>59</v>
      </c>
      <c r="C2117" s="1">
        <v>45185.257071759261</v>
      </c>
      <c r="D2117" t="str">
        <f ca="1">VLOOKUP(qry_ProdData2_PDI_Cash_Exception_Application[[#This Row],[TYPE]],#REF!,2,FALSE)</f>
        <v>type8</v>
      </c>
      <c r="E2117">
        <v>60</v>
      </c>
      <c r="F2117" t="s">
        <v>49</v>
      </c>
      <c r="G2117" s="1">
        <f>qry_ProdData2_PDI_Cash_Exception_Application[[#This Row],[INSERT DATE]]+1</f>
        <v>45186.257071759261</v>
      </c>
      <c r="H2117" t="str">
        <f>VLOOKUP(qry_ProdData2_PDI_Cash_Exception_Application[[#This Row],[MARKET No]],'Site Allocation'!$B$2:$C$37,2,FALSE)</f>
        <v>Analyst1</v>
      </c>
      <c r="I2117" s="4">
        <f t="shared" ca="1" si="33"/>
        <v>45203</v>
      </c>
      <c r="J2117" s="42">
        <f ca="1">TODAY()-qry_ProdData2_PDI_Cash_Exception_Application[[#This Row],[INSERT DATE]]</f>
        <v>17.742928240739275</v>
      </c>
      <c r="K21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17">
        <f ca="1">qry_ProdData2_PDI_Cash_Exception_Application[[#This Row],[TODAY]]-qry_ProdData2_PDI_Cash_Exception_Application[[#This Row],[CHANGED ON]]</f>
        <v>16.742928240739275</v>
      </c>
      <c r="M2117">
        <f ca="1">qry_ProdData2_PDI_Cash_Exception_Application[[#This Row],[TODAY]]-qry_ProdData2_PDI_Cash_Exception_Application[[#This Row],[CHANGED ON]]</f>
        <v>16.742928240739275</v>
      </c>
      <c r="N2117">
        <f ca="1">qry_ProdData2_PDI_Cash_Exception_Application[[#This Row],[TODAY]]-qry_ProdData2_PDI_Cash_Exception_Application[[#This Row],[CHANGED ON]]</f>
        <v>16.742928240739275</v>
      </c>
    </row>
    <row r="2118" spans="1:14" x14ac:dyDescent="0.35">
      <c r="A2118">
        <v>1011</v>
      </c>
      <c r="B2118" t="s">
        <v>65</v>
      </c>
      <c r="C2118" s="1">
        <v>45192.257071759261</v>
      </c>
      <c r="D2118" t="str">
        <f ca="1">VLOOKUP(qry_ProdData2_PDI_Cash_Exception_Application[[#This Row],[TYPE]],#REF!,2,FALSE)</f>
        <v>type40</v>
      </c>
      <c r="E2118">
        <v>19.04</v>
      </c>
      <c r="F2118" t="s">
        <v>47</v>
      </c>
      <c r="G2118" s="1">
        <f>qry_ProdData2_PDI_Cash_Exception_Application[[#This Row],[INSERT DATE]]+7</f>
        <v>45199.257071759261</v>
      </c>
      <c r="H2118" t="str">
        <f>VLOOKUP(qry_ProdData2_PDI_Cash_Exception_Application[[#This Row],[MARKET No]],'Site Allocation'!$B$2:$C$37,2,FALSE)</f>
        <v>Analyst2</v>
      </c>
      <c r="I2118" s="4">
        <f t="shared" ca="1" si="33"/>
        <v>45203</v>
      </c>
      <c r="J2118" s="42">
        <f ca="1">TODAY()-qry_ProdData2_PDI_Cash_Exception_Application[[#This Row],[INSERT DATE]]</f>
        <v>10.742928240739275</v>
      </c>
      <c r="K21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18">
        <f ca="1">qry_ProdData2_PDI_Cash_Exception_Application[[#This Row],[TODAY]]-qry_ProdData2_PDI_Cash_Exception_Application[[#This Row],[CHANGED ON]]</f>
        <v>3.7429282407392748</v>
      </c>
      <c r="M2118">
        <f ca="1">qry_ProdData2_PDI_Cash_Exception_Application[[#This Row],[TODAY]]-qry_ProdData2_PDI_Cash_Exception_Application[[#This Row],[CHANGED ON]]</f>
        <v>3.7429282407392748</v>
      </c>
      <c r="N2118">
        <f ca="1">qry_ProdData2_PDI_Cash_Exception_Application[[#This Row],[TODAY]]-qry_ProdData2_PDI_Cash_Exception_Application[[#This Row],[CHANGED ON]]</f>
        <v>3.7429282407392748</v>
      </c>
    </row>
    <row r="2119" spans="1:14" x14ac:dyDescent="0.35">
      <c r="A2119">
        <v>1010</v>
      </c>
      <c r="B2119" t="s">
        <v>64</v>
      </c>
      <c r="C2119" s="1">
        <v>45191.257071759261</v>
      </c>
      <c r="D2119" t="str">
        <f ca="1">VLOOKUP(qry_ProdData2_PDI_Cash_Exception_Application[[#This Row],[TYPE]],#REF!,2,FALSE)</f>
        <v>type40</v>
      </c>
      <c r="E2119">
        <v>-348.82</v>
      </c>
      <c r="F2119" t="s">
        <v>51</v>
      </c>
      <c r="G2119" s="1">
        <f>qry_ProdData2_PDI_Cash_Exception_Application[[#This Row],[INSERT DATE]]+2</f>
        <v>45193.257071759261</v>
      </c>
      <c r="H2119" t="str">
        <f>VLOOKUP(qry_ProdData2_PDI_Cash_Exception_Application[[#This Row],[MARKET No]],'Site Allocation'!$B$2:$C$37,2,FALSE)</f>
        <v>Analyst2</v>
      </c>
      <c r="I2119" s="4">
        <f t="shared" ca="1" si="33"/>
        <v>45203</v>
      </c>
      <c r="J2119" s="42">
        <f ca="1">TODAY()-qry_ProdData2_PDI_Cash_Exception_Application[[#This Row],[INSERT DATE]]</f>
        <v>11.742928240739275</v>
      </c>
      <c r="K21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19">
        <f ca="1">qry_ProdData2_PDI_Cash_Exception_Application[[#This Row],[TODAY]]-qry_ProdData2_PDI_Cash_Exception_Application[[#This Row],[CHANGED ON]]</f>
        <v>9.7429282407392748</v>
      </c>
      <c r="M2119">
        <f ca="1">qry_ProdData2_PDI_Cash_Exception_Application[[#This Row],[TODAY]]-qry_ProdData2_PDI_Cash_Exception_Application[[#This Row],[CHANGED ON]]</f>
        <v>9.7429282407392748</v>
      </c>
      <c r="N2119">
        <f ca="1">qry_ProdData2_PDI_Cash_Exception_Application[[#This Row],[TODAY]]-qry_ProdData2_PDI_Cash_Exception_Application[[#This Row],[CHANGED ON]]</f>
        <v>9.7429282407392748</v>
      </c>
    </row>
    <row r="2120" spans="1:14" x14ac:dyDescent="0.35">
      <c r="A2120">
        <v>1001</v>
      </c>
      <c r="B2120" t="s">
        <v>55</v>
      </c>
      <c r="C2120" s="1">
        <v>45183.257071759261</v>
      </c>
      <c r="D2120" t="str">
        <f ca="1">VLOOKUP(qry_ProdData2_PDI_Cash_Exception_Application[[#This Row],[TYPE]],#REF!,2,FALSE)</f>
        <v>type42</v>
      </c>
      <c r="E2120">
        <v>208.18</v>
      </c>
      <c r="F2120" t="s">
        <v>47</v>
      </c>
      <c r="G2120" s="1">
        <f>qry_ProdData2_PDI_Cash_Exception_Application[[#This Row],[INSERT DATE]]+7</f>
        <v>45190.257071759261</v>
      </c>
      <c r="H2120" t="str">
        <f>VLOOKUP(qry_ProdData2_PDI_Cash_Exception_Application[[#This Row],[MARKET No]],'Site Allocation'!$B$2:$C$37,2,FALSE)</f>
        <v>Analyst1</v>
      </c>
      <c r="I2120" s="4">
        <f t="shared" ca="1" si="33"/>
        <v>45203</v>
      </c>
      <c r="J2120" s="42">
        <f ca="1">TODAY()-qry_ProdData2_PDI_Cash_Exception_Application[[#This Row],[INSERT DATE]]</f>
        <v>19.742928240739275</v>
      </c>
      <c r="K21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20">
        <f ca="1">qry_ProdData2_PDI_Cash_Exception_Application[[#This Row],[TODAY]]-qry_ProdData2_PDI_Cash_Exception_Application[[#This Row],[CHANGED ON]]</f>
        <v>12.742928240739275</v>
      </c>
      <c r="M2120">
        <f ca="1">qry_ProdData2_PDI_Cash_Exception_Application[[#This Row],[TODAY]]-qry_ProdData2_PDI_Cash_Exception_Application[[#This Row],[CHANGED ON]]</f>
        <v>12.742928240739275</v>
      </c>
      <c r="N2120">
        <f ca="1">qry_ProdData2_PDI_Cash_Exception_Application[[#This Row],[TODAY]]-qry_ProdData2_PDI_Cash_Exception_Application[[#This Row],[CHANGED ON]]</f>
        <v>12.742928240739275</v>
      </c>
    </row>
    <row r="2121" spans="1:14" x14ac:dyDescent="0.35">
      <c r="A2121">
        <v>1032</v>
      </c>
      <c r="B2121" t="s">
        <v>86</v>
      </c>
      <c r="C2121" s="1">
        <v>45181.257071759261</v>
      </c>
      <c r="D2121" t="str">
        <f ca="1">VLOOKUP(qry_ProdData2_PDI_Cash_Exception_Application[[#This Row],[TYPE]],#REF!,2,FALSE)</f>
        <v>type40</v>
      </c>
      <c r="E2121">
        <v>-1685.92</v>
      </c>
      <c r="F2121" t="s">
        <v>48</v>
      </c>
      <c r="G2121" s="1">
        <f>qry_ProdData2_PDI_Cash_Exception_Application[[#This Row],[INSERT DATE]]+2</f>
        <v>45183.257071759261</v>
      </c>
      <c r="H2121" t="str">
        <f>VLOOKUP(qry_ProdData2_PDI_Cash_Exception_Application[[#This Row],[MARKET No]],'Site Allocation'!$B$2:$C$37,2,FALSE)</f>
        <v>Analyst6</v>
      </c>
      <c r="I2121" s="4">
        <f t="shared" ca="1" si="33"/>
        <v>45203</v>
      </c>
      <c r="J2121" s="42">
        <f ca="1">TODAY()-qry_ProdData2_PDI_Cash_Exception_Application[[#This Row],[INSERT DATE]]</f>
        <v>21.742928240739275</v>
      </c>
      <c r="K21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21">
        <f ca="1">qry_ProdData2_PDI_Cash_Exception_Application[[#This Row],[TODAY]]-qry_ProdData2_PDI_Cash_Exception_Application[[#This Row],[CHANGED ON]]</f>
        <v>19.742928240739275</v>
      </c>
      <c r="M2121">
        <f ca="1">qry_ProdData2_PDI_Cash_Exception_Application[[#This Row],[TODAY]]-qry_ProdData2_PDI_Cash_Exception_Application[[#This Row],[CHANGED ON]]</f>
        <v>19.742928240739275</v>
      </c>
      <c r="N2121">
        <f ca="1">qry_ProdData2_PDI_Cash_Exception_Application[[#This Row],[TODAY]]-qry_ProdData2_PDI_Cash_Exception_Application[[#This Row],[CHANGED ON]]</f>
        <v>19.742928240739275</v>
      </c>
    </row>
    <row r="2122" spans="1:14" x14ac:dyDescent="0.35">
      <c r="A2122">
        <v>1022</v>
      </c>
      <c r="B2122" t="s">
        <v>76</v>
      </c>
      <c r="C2122" s="1">
        <v>45188.257071759261</v>
      </c>
      <c r="D2122" t="str">
        <f ca="1">VLOOKUP(qry_ProdData2_PDI_Cash_Exception_Application[[#This Row],[TYPE]],#REF!,2,FALSE)</f>
        <v>type26</v>
      </c>
      <c r="E2122">
        <v>139.86000000000001</v>
      </c>
      <c r="F2122" t="s">
        <v>50</v>
      </c>
      <c r="G2122" s="1">
        <f>qry_ProdData2_PDI_Cash_Exception_Application[[#This Row],[INSERT DATE]]+5</f>
        <v>45193.257071759261</v>
      </c>
      <c r="H2122" t="str">
        <f>VLOOKUP(qry_ProdData2_PDI_Cash_Exception_Application[[#This Row],[MARKET No]],'Site Allocation'!$B$2:$C$37,2,FALSE)</f>
        <v>Analyst4</v>
      </c>
      <c r="I2122" s="4">
        <f t="shared" ca="1" si="33"/>
        <v>45203</v>
      </c>
      <c r="J2122" s="42">
        <f ca="1">TODAY()-qry_ProdData2_PDI_Cash_Exception_Application[[#This Row],[INSERT DATE]]</f>
        <v>14.742928240739275</v>
      </c>
      <c r="K21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22">
        <f ca="1">qry_ProdData2_PDI_Cash_Exception_Application[[#This Row],[TODAY]]-qry_ProdData2_PDI_Cash_Exception_Application[[#This Row],[CHANGED ON]]</f>
        <v>9.7429282407392748</v>
      </c>
      <c r="M2122">
        <f ca="1">qry_ProdData2_PDI_Cash_Exception_Application[[#This Row],[TODAY]]-qry_ProdData2_PDI_Cash_Exception_Application[[#This Row],[CHANGED ON]]</f>
        <v>9.7429282407392748</v>
      </c>
      <c r="N2122">
        <f ca="1">qry_ProdData2_PDI_Cash_Exception_Application[[#This Row],[TODAY]]-qry_ProdData2_PDI_Cash_Exception_Application[[#This Row],[CHANGED ON]]</f>
        <v>9.7429282407392748</v>
      </c>
    </row>
    <row r="2123" spans="1:14" x14ac:dyDescent="0.35">
      <c r="A2123">
        <v>1011</v>
      </c>
      <c r="B2123" t="s">
        <v>65</v>
      </c>
      <c r="C2123" s="1">
        <v>45189.257071759261</v>
      </c>
      <c r="D2123" t="str">
        <f ca="1">VLOOKUP(qry_ProdData2_PDI_Cash_Exception_Application[[#This Row],[TYPE]],#REF!,2,FALSE)</f>
        <v>type40</v>
      </c>
      <c r="E2123">
        <v>1</v>
      </c>
      <c r="F2123" t="s">
        <v>52</v>
      </c>
      <c r="G2123" s="1">
        <f>qry_ProdData2_PDI_Cash_Exception_Application[[#This Row],[INSERT DATE]]+7</f>
        <v>45196.257071759261</v>
      </c>
      <c r="H2123" t="str">
        <f>VLOOKUP(qry_ProdData2_PDI_Cash_Exception_Application[[#This Row],[MARKET No]],'Site Allocation'!$B$2:$C$37,2,FALSE)</f>
        <v>Analyst2</v>
      </c>
      <c r="I2123" s="4">
        <f t="shared" ca="1" si="33"/>
        <v>45203</v>
      </c>
      <c r="J2123" s="42">
        <f ca="1">TODAY()-qry_ProdData2_PDI_Cash_Exception_Application[[#This Row],[INSERT DATE]]</f>
        <v>13.742928240739275</v>
      </c>
      <c r="K21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23">
        <f ca="1">qry_ProdData2_PDI_Cash_Exception_Application[[#This Row],[TODAY]]-qry_ProdData2_PDI_Cash_Exception_Application[[#This Row],[CHANGED ON]]</f>
        <v>6.7429282407392748</v>
      </c>
      <c r="M2123">
        <f ca="1">qry_ProdData2_PDI_Cash_Exception_Application[[#This Row],[TODAY]]-qry_ProdData2_PDI_Cash_Exception_Application[[#This Row],[CHANGED ON]]</f>
        <v>6.7429282407392748</v>
      </c>
      <c r="N2123">
        <f ca="1">qry_ProdData2_PDI_Cash_Exception_Application[[#This Row],[TODAY]]-qry_ProdData2_PDI_Cash_Exception_Application[[#This Row],[CHANGED ON]]</f>
        <v>6.7429282407392748</v>
      </c>
    </row>
    <row r="2124" spans="1:14" x14ac:dyDescent="0.35">
      <c r="A2124">
        <v>1005</v>
      </c>
      <c r="B2124" t="s">
        <v>59</v>
      </c>
      <c r="C2124" s="1">
        <v>45182.257071759261</v>
      </c>
      <c r="D2124" t="str">
        <f ca="1">VLOOKUP(qry_ProdData2_PDI_Cash_Exception_Application[[#This Row],[TYPE]],#REF!,2,FALSE)</f>
        <v>type40</v>
      </c>
      <c r="E2124">
        <v>1164.32</v>
      </c>
      <c r="F2124" t="s">
        <v>51</v>
      </c>
      <c r="G2124" s="1">
        <f>qry_ProdData2_PDI_Cash_Exception_Application[[#This Row],[INSERT DATE]]+5</f>
        <v>45187.257071759261</v>
      </c>
      <c r="H2124" t="str">
        <f>VLOOKUP(qry_ProdData2_PDI_Cash_Exception_Application[[#This Row],[MARKET No]],'Site Allocation'!$B$2:$C$37,2,FALSE)</f>
        <v>Analyst1</v>
      </c>
      <c r="I2124" s="4">
        <f t="shared" ca="1" si="33"/>
        <v>45203</v>
      </c>
      <c r="J2124" s="42">
        <f ca="1">TODAY()-qry_ProdData2_PDI_Cash_Exception_Application[[#This Row],[INSERT DATE]]</f>
        <v>20.742928240739275</v>
      </c>
      <c r="K21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24">
        <f ca="1">qry_ProdData2_PDI_Cash_Exception_Application[[#This Row],[TODAY]]-qry_ProdData2_PDI_Cash_Exception_Application[[#This Row],[CHANGED ON]]</f>
        <v>15.742928240739275</v>
      </c>
      <c r="M2124">
        <f ca="1">qry_ProdData2_PDI_Cash_Exception_Application[[#This Row],[TODAY]]-qry_ProdData2_PDI_Cash_Exception_Application[[#This Row],[CHANGED ON]]</f>
        <v>15.742928240739275</v>
      </c>
      <c r="N2124">
        <f ca="1">qry_ProdData2_PDI_Cash_Exception_Application[[#This Row],[TODAY]]-qry_ProdData2_PDI_Cash_Exception_Application[[#This Row],[CHANGED ON]]</f>
        <v>15.742928240739275</v>
      </c>
    </row>
    <row r="2125" spans="1:14" x14ac:dyDescent="0.35">
      <c r="A2125">
        <v>1026</v>
      </c>
      <c r="B2125" t="s">
        <v>80</v>
      </c>
      <c r="C2125" s="1">
        <v>45183.257071759261</v>
      </c>
      <c r="D2125" t="str">
        <f ca="1">VLOOKUP(qry_ProdData2_PDI_Cash_Exception_Application[[#This Row],[TYPE]],#REF!,2,FALSE)</f>
        <v>type40</v>
      </c>
      <c r="E2125">
        <v>10.27</v>
      </c>
      <c r="F2125" t="s">
        <v>47</v>
      </c>
      <c r="G2125" s="1">
        <f>qry_ProdData2_PDI_Cash_Exception_Application[[#This Row],[INSERT DATE]]+7</f>
        <v>45190.257071759261</v>
      </c>
      <c r="H2125" t="str">
        <f>VLOOKUP(qry_ProdData2_PDI_Cash_Exception_Application[[#This Row],[MARKET No]],'Site Allocation'!$B$2:$C$37,2,FALSE)</f>
        <v>Analyst5</v>
      </c>
      <c r="I2125" s="4">
        <f t="shared" ca="1" si="33"/>
        <v>45203</v>
      </c>
      <c r="J2125" s="42">
        <f ca="1">TODAY()-qry_ProdData2_PDI_Cash_Exception_Application[[#This Row],[INSERT DATE]]</f>
        <v>19.742928240739275</v>
      </c>
      <c r="K21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25">
        <f ca="1">qry_ProdData2_PDI_Cash_Exception_Application[[#This Row],[TODAY]]-qry_ProdData2_PDI_Cash_Exception_Application[[#This Row],[CHANGED ON]]</f>
        <v>12.742928240739275</v>
      </c>
      <c r="M2125">
        <f ca="1">qry_ProdData2_PDI_Cash_Exception_Application[[#This Row],[TODAY]]-qry_ProdData2_PDI_Cash_Exception_Application[[#This Row],[CHANGED ON]]</f>
        <v>12.742928240739275</v>
      </c>
      <c r="N2125">
        <f ca="1">qry_ProdData2_PDI_Cash_Exception_Application[[#This Row],[TODAY]]-qry_ProdData2_PDI_Cash_Exception_Application[[#This Row],[CHANGED ON]]</f>
        <v>12.742928240739275</v>
      </c>
    </row>
    <row r="2126" spans="1:14" x14ac:dyDescent="0.35">
      <c r="A2126">
        <v>1018</v>
      </c>
      <c r="B2126" t="s">
        <v>72</v>
      </c>
      <c r="C2126" s="1">
        <v>45190.257071759261</v>
      </c>
      <c r="D2126" t="str">
        <f ca="1">VLOOKUP(qry_ProdData2_PDI_Cash_Exception_Application[[#This Row],[TYPE]],#REF!,2,FALSE)</f>
        <v>type40</v>
      </c>
      <c r="E2126">
        <v>-957.66</v>
      </c>
      <c r="F2126" t="s">
        <v>50</v>
      </c>
      <c r="G2126" s="1">
        <f>qry_ProdData2_PDI_Cash_Exception_Application[[#This Row],[INSERT DATE]]+7</f>
        <v>45197.257071759261</v>
      </c>
      <c r="H2126" t="str">
        <f>VLOOKUP(qry_ProdData2_PDI_Cash_Exception_Application[[#This Row],[MARKET No]],'Site Allocation'!$B$2:$C$37,2,FALSE)</f>
        <v>Analyst4</v>
      </c>
      <c r="I2126" s="4">
        <f t="shared" ca="1" si="33"/>
        <v>45203</v>
      </c>
      <c r="J2126" s="42">
        <f ca="1">TODAY()-qry_ProdData2_PDI_Cash_Exception_Application[[#This Row],[INSERT DATE]]</f>
        <v>12.742928240739275</v>
      </c>
      <c r="K21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26">
        <f ca="1">qry_ProdData2_PDI_Cash_Exception_Application[[#This Row],[TODAY]]-qry_ProdData2_PDI_Cash_Exception_Application[[#This Row],[CHANGED ON]]</f>
        <v>5.7429282407392748</v>
      </c>
      <c r="M2126">
        <f ca="1">qry_ProdData2_PDI_Cash_Exception_Application[[#This Row],[TODAY]]-qry_ProdData2_PDI_Cash_Exception_Application[[#This Row],[CHANGED ON]]</f>
        <v>5.7429282407392748</v>
      </c>
      <c r="N2126">
        <f ca="1">qry_ProdData2_PDI_Cash_Exception_Application[[#This Row],[TODAY]]-qry_ProdData2_PDI_Cash_Exception_Application[[#This Row],[CHANGED ON]]</f>
        <v>5.7429282407392748</v>
      </c>
    </row>
    <row r="2127" spans="1:14" x14ac:dyDescent="0.35">
      <c r="A2127">
        <v>1022</v>
      </c>
      <c r="B2127" t="s">
        <v>76</v>
      </c>
      <c r="C2127" s="1">
        <v>45191.257071759261</v>
      </c>
      <c r="D2127" t="str">
        <f ca="1">VLOOKUP(qry_ProdData2_PDI_Cash_Exception_Application[[#This Row],[TYPE]],#REF!,2,FALSE)</f>
        <v>type40</v>
      </c>
      <c r="E2127">
        <v>308.36</v>
      </c>
      <c r="F2127" t="s">
        <v>50</v>
      </c>
      <c r="G2127" s="1">
        <f>qry_ProdData2_PDI_Cash_Exception_Application[[#This Row],[INSERT DATE]]+7</f>
        <v>45198.257071759261</v>
      </c>
      <c r="H2127" t="str">
        <f>VLOOKUP(qry_ProdData2_PDI_Cash_Exception_Application[[#This Row],[MARKET No]],'Site Allocation'!$B$2:$C$37,2,FALSE)</f>
        <v>Analyst4</v>
      </c>
      <c r="I2127" s="4">
        <f t="shared" ca="1" si="33"/>
        <v>45203</v>
      </c>
      <c r="J2127" s="42">
        <f ca="1">TODAY()-qry_ProdData2_PDI_Cash_Exception_Application[[#This Row],[INSERT DATE]]</f>
        <v>11.742928240739275</v>
      </c>
      <c r="K21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27">
        <f ca="1">qry_ProdData2_PDI_Cash_Exception_Application[[#This Row],[TODAY]]-qry_ProdData2_PDI_Cash_Exception_Application[[#This Row],[CHANGED ON]]</f>
        <v>4.7429282407392748</v>
      </c>
      <c r="M2127">
        <f ca="1">qry_ProdData2_PDI_Cash_Exception_Application[[#This Row],[TODAY]]-qry_ProdData2_PDI_Cash_Exception_Application[[#This Row],[CHANGED ON]]</f>
        <v>4.7429282407392748</v>
      </c>
      <c r="N2127">
        <f ca="1">qry_ProdData2_PDI_Cash_Exception_Application[[#This Row],[TODAY]]-qry_ProdData2_PDI_Cash_Exception_Application[[#This Row],[CHANGED ON]]</f>
        <v>4.7429282407392748</v>
      </c>
    </row>
    <row r="2128" spans="1:14" x14ac:dyDescent="0.35">
      <c r="A2128">
        <v>1001</v>
      </c>
      <c r="B2128" t="s">
        <v>55</v>
      </c>
      <c r="C2128" s="1">
        <v>45192.257071759261</v>
      </c>
      <c r="D2128" t="str">
        <f ca="1">VLOOKUP(qry_ProdData2_PDI_Cash_Exception_Application[[#This Row],[TYPE]],#REF!,2,FALSE)</f>
        <v>type40</v>
      </c>
      <c r="E2128">
        <v>408.36</v>
      </c>
      <c r="F2128" t="s">
        <v>52</v>
      </c>
      <c r="G2128" s="1">
        <f>qry_ProdData2_PDI_Cash_Exception_Application[[#This Row],[INSERT DATE]]+7</f>
        <v>45199.257071759261</v>
      </c>
      <c r="H2128" t="str">
        <f>VLOOKUP(qry_ProdData2_PDI_Cash_Exception_Application[[#This Row],[MARKET No]],'Site Allocation'!$B$2:$C$37,2,FALSE)</f>
        <v>Analyst1</v>
      </c>
      <c r="I2128" s="4">
        <f t="shared" ca="1" si="33"/>
        <v>45203</v>
      </c>
      <c r="J2128" s="42">
        <f ca="1">TODAY()-qry_ProdData2_PDI_Cash_Exception_Application[[#This Row],[INSERT DATE]]</f>
        <v>10.742928240739275</v>
      </c>
      <c r="K21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28">
        <f ca="1">qry_ProdData2_PDI_Cash_Exception_Application[[#This Row],[TODAY]]-qry_ProdData2_PDI_Cash_Exception_Application[[#This Row],[CHANGED ON]]</f>
        <v>3.7429282407392748</v>
      </c>
      <c r="M2128">
        <f ca="1">qry_ProdData2_PDI_Cash_Exception_Application[[#This Row],[TODAY]]-qry_ProdData2_PDI_Cash_Exception_Application[[#This Row],[CHANGED ON]]</f>
        <v>3.7429282407392748</v>
      </c>
      <c r="N2128">
        <f ca="1">qry_ProdData2_PDI_Cash_Exception_Application[[#This Row],[TODAY]]-qry_ProdData2_PDI_Cash_Exception_Application[[#This Row],[CHANGED ON]]</f>
        <v>3.7429282407392748</v>
      </c>
    </row>
    <row r="2129" spans="1:14" x14ac:dyDescent="0.35">
      <c r="A2129">
        <v>1020</v>
      </c>
      <c r="B2129" t="s">
        <v>74</v>
      </c>
      <c r="C2129" s="1">
        <v>45188.257071759261</v>
      </c>
      <c r="D2129" t="str">
        <f ca="1">VLOOKUP(qry_ProdData2_PDI_Cash_Exception_Application[[#This Row],[TYPE]],#REF!,2,FALSE)</f>
        <v>type23</v>
      </c>
      <c r="E2129">
        <v>322.27999999999997</v>
      </c>
      <c r="F2129" t="s">
        <v>49</v>
      </c>
      <c r="G2129" s="1">
        <f>qry_ProdData2_PDI_Cash_Exception_Application[[#This Row],[INSERT DATE]]+1</f>
        <v>45189.257071759261</v>
      </c>
      <c r="H2129" t="str">
        <f>VLOOKUP(qry_ProdData2_PDI_Cash_Exception_Application[[#This Row],[MARKET No]],'Site Allocation'!$B$2:$C$37,2,FALSE)</f>
        <v>Analyst4</v>
      </c>
      <c r="I2129" s="4">
        <f t="shared" ca="1" si="33"/>
        <v>45203</v>
      </c>
      <c r="J2129" s="42">
        <f ca="1">TODAY()-qry_ProdData2_PDI_Cash_Exception_Application[[#This Row],[INSERT DATE]]</f>
        <v>14.742928240739275</v>
      </c>
      <c r="K21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29">
        <f ca="1">qry_ProdData2_PDI_Cash_Exception_Application[[#This Row],[TODAY]]-qry_ProdData2_PDI_Cash_Exception_Application[[#This Row],[CHANGED ON]]</f>
        <v>13.742928240739275</v>
      </c>
      <c r="M2129">
        <f ca="1">qry_ProdData2_PDI_Cash_Exception_Application[[#This Row],[TODAY]]-qry_ProdData2_PDI_Cash_Exception_Application[[#This Row],[CHANGED ON]]</f>
        <v>13.742928240739275</v>
      </c>
      <c r="N2129">
        <f ca="1">qry_ProdData2_PDI_Cash_Exception_Application[[#This Row],[TODAY]]-qry_ProdData2_PDI_Cash_Exception_Application[[#This Row],[CHANGED ON]]</f>
        <v>13.742928240739275</v>
      </c>
    </row>
    <row r="2130" spans="1:14" x14ac:dyDescent="0.35">
      <c r="A2130">
        <v>1024</v>
      </c>
      <c r="B2130" t="s">
        <v>78</v>
      </c>
      <c r="C2130" s="1">
        <v>45194.257071759261</v>
      </c>
      <c r="D2130" t="str">
        <f ca="1">VLOOKUP(qry_ProdData2_PDI_Cash_Exception_Application[[#This Row],[TYPE]],#REF!,2,FALSE)</f>
        <v>type40</v>
      </c>
      <c r="E2130">
        <v>916.06</v>
      </c>
      <c r="F2130" t="s">
        <v>50</v>
      </c>
      <c r="G2130" s="1">
        <f>qry_ProdData2_PDI_Cash_Exception_Application[[#This Row],[INSERT DATE]]+7</f>
        <v>45201.257071759261</v>
      </c>
      <c r="H2130" t="str">
        <f>VLOOKUP(qry_ProdData2_PDI_Cash_Exception_Application[[#This Row],[MARKET No]],'Site Allocation'!$B$2:$C$37,2,FALSE)</f>
        <v>Analyst5</v>
      </c>
      <c r="I2130" s="4">
        <f t="shared" ca="1" si="33"/>
        <v>45203</v>
      </c>
      <c r="J2130" s="42">
        <f ca="1">TODAY()-qry_ProdData2_PDI_Cash_Exception_Application[[#This Row],[INSERT DATE]]</f>
        <v>8.7429282407392748</v>
      </c>
      <c r="K21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130">
        <f ca="1">qry_ProdData2_PDI_Cash_Exception_Application[[#This Row],[TODAY]]-qry_ProdData2_PDI_Cash_Exception_Application[[#This Row],[CHANGED ON]]</f>
        <v>1.7429282407392748</v>
      </c>
      <c r="M2130">
        <f ca="1">qry_ProdData2_PDI_Cash_Exception_Application[[#This Row],[TODAY]]-qry_ProdData2_PDI_Cash_Exception_Application[[#This Row],[CHANGED ON]]</f>
        <v>1.7429282407392748</v>
      </c>
      <c r="N2130">
        <f ca="1">qry_ProdData2_PDI_Cash_Exception_Application[[#This Row],[TODAY]]-qry_ProdData2_PDI_Cash_Exception_Application[[#This Row],[CHANGED ON]]</f>
        <v>1.7429282407392748</v>
      </c>
    </row>
    <row r="2131" spans="1:14" x14ac:dyDescent="0.35">
      <c r="A2131">
        <v>1006</v>
      </c>
      <c r="B2131" t="s">
        <v>60</v>
      </c>
      <c r="C2131" s="1">
        <v>45195.257071759261</v>
      </c>
      <c r="D2131" t="str">
        <f ca="1">VLOOKUP(qry_ProdData2_PDI_Cash_Exception_Application[[#This Row],[TYPE]],#REF!,2,FALSE)</f>
        <v>type7</v>
      </c>
      <c r="E2131">
        <v>-15570.84</v>
      </c>
      <c r="F2131" t="s">
        <v>52</v>
      </c>
      <c r="G2131" s="1">
        <f>qry_ProdData2_PDI_Cash_Exception_Application[[#This Row],[INSERT DATE]]+7</f>
        <v>45202.257071759261</v>
      </c>
      <c r="H2131" t="str">
        <f>VLOOKUP(qry_ProdData2_PDI_Cash_Exception_Application[[#This Row],[MARKET No]],'Site Allocation'!$B$2:$C$37,2,FALSE)</f>
        <v>Analyst2</v>
      </c>
      <c r="I2131" s="4">
        <f t="shared" ca="1" si="33"/>
        <v>45203</v>
      </c>
      <c r="J2131" s="42">
        <f ca="1">TODAY()-qry_ProdData2_PDI_Cash_Exception_Application[[#This Row],[INSERT DATE]]</f>
        <v>7.7429282407392748</v>
      </c>
      <c r="K21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131">
        <f ca="1">qry_ProdData2_PDI_Cash_Exception_Application[[#This Row],[TODAY]]-qry_ProdData2_PDI_Cash_Exception_Application[[#This Row],[CHANGED ON]]</f>
        <v>0.74292824073927477</v>
      </c>
      <c r="M2131">
        <f ca="1">qry_ProdData2_PDI_Cash_Exception_Application[[#This Row],[TODAY]]-qry_ProdData2_PDI_Cash_Exception_Application[[#This Row],[CHANGED ON]]</f>
        <v>0.74292824073927477</v>
      </c>
      <c r="N2131">
        <f ca="1">qry_ProdData2_PDI_Cash_Exception_Application[[#This Row],[TODAY]]-qry_ProdData2_PDI_Cash_Exception_Application[[#This Row],[CHANGED ON]]</f>
        <v>0.74292824073927477</v>
      </c>
    </row>
    <row r="2132" spans="1:14" x14ac:dyDescent="0.35">
      <c r="A2132">
        <v>1023</v>
      </c>
      <c r="B2132" t="s">
        <v>77</v>
      </c>
      <c r="C2132" s="1">
        <v>45196.257071759261</v>
      </c>
      <c r="D2132" t="str">
        <f ca="1">VLOOKUP(qry_ProdData2_PDI_Cash_Exception_Application[[#This Row],[TYPE]],#REF!,2,FALSE)</f>
        <v>type40</v>
      </c>
      <c r="E2132">
        <v>-394.3</v>
      </c>
      <c r="F2132" t="s">
        <v>52</v>
      </c>
      <c r="G2132" s="1">
        <f>qry_ProdData2_PDI_Cash_Exception_Application[[#This Row],[INSERT DATE]]+7</f>
        <v>45203.257071759261</v>
      </c>
      <c r="H2132" t="str">
        <f>VLOOKUP(qry_ProdData2_PDI_Cash_Exception_Application[[#This Row],[MARKET No]],'Site Allocation'!$B$2:$C$37,2,FALSE)</f>
        <v>Analyst4</v>
      </c>
      <c r="I2132" s="4">
        <f t="shared" ca="1" si="33"/>
        <v>45203</v>
      </c>
      <c r="J2132" s="42">
        <f ca="1">TODAY()-qry_ProdData2_PDI_Cash_Exception_Application[[#This Row],[INSERT DATE]]</f>
        <v>6.7429282407392748</v>
      </c>
      <c r="K21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132">
        <f ca="1">qry_ProdData2_PDI_Cash_Exception_Application[[#This Row],[TODAY]]-qry_ProdData2_PDI_Cash_Exception_Application[[#This Row],[CHANGED ON]]</f>
        <v>-0.25707175926072523</v>
      </c>
      <c r="M2132">
        <f ca="1">qry_ProdData2_PDI_Cash_Exception_Application[[#This Row],[TODAY]]-qry_ProdData2_PDI_Cash_Exception_Application[[#This Row],[CHANGED ON]]</f>
        <v>-0.25707175926072523</v>
      </c>
      <c r="N2132">
        <f ca="1">qry_ProdData2_PDI_Cash_Exception_Application[[#This Row],[TODAY]]-qry_ProdData2_PDI_Cash_Exception_Application[[#This Row],[CHANGED ON]]</f>
        <v>-0.25707175926072523</v>
      </c>
    </row>
    <row r="2133" spans="1:14" x14ac:dyDescent="0.35">
      <c r="A2133">
        <v>1008</v>
      </c>
      <c r="B2133" t="s">
        <v>62</v>
      </c>
      <c r="C2133" s="1">
        <v>45189.257071759261</v>
      </c>
      <c r="D2133" t="str">
        <f ca="1">VLOOKUP(qry_ProdData2_PDI_Cash_Exception_Application[[#This Row],[TYPE]],#REF!,2,FALSE)</f>
        <v>type40</v>
      </c>
      <c r="E2133">
        <v>20</v>
      </c>
      <c r="F2133" t="s">
        <v>49</v>
      </c>
      <c r="G2133" s="1">
        <f>qry_ProdData2_PDI_Cash_Exception_Application[[#This Row],[INSERT DATE]]+1</f>
        <v>45190.257071759261</v>
      </c>
      <c r="H2133" t="str">
        <f>VLOOKUP(qry_ProdData2_PDI_Cash_Exception_Application[[#This Row],[MARKET No]],'Site Allocation'!$B$2:$C$37,2,FALSE)</f>
        <v>Analyst2</v>
      </c>
      <c r="I2133" s="4">
        <f t="shared" ca="1" si="33"/>
        <v>45203</v>
      </c>
      <c r="J2133" s="42">
        <f ca="1">TODAY()-qry_ProdData2_PDI_Cash_Exception_Application[[#This Row],[INSERT DATE]]</f>
        <v>13.742928240739275</v>
      </c>
      <c r="K21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33">
        <f ca="1">qry_ProdData2_PDI_Cash_Exception_Application[[#This Row],[TODAY]]-qry_ProdData2_PDI_Cash_Exception_Application[[#This Row],[CHANGED ON]]</f>
        <v>12.742928240739275</v>
      </c>
      <c r="M2133">
        <f ca="1">qry_ProdData2_PDI_Cash_Exception_Application[[#This Row],[TODAY]]-qry_ProdData2_PDI_Cash_Exception_Application[[#This Row],[CHANGED ON]]</f>
        <v>12.742928240739275</v>
      </c>
      <c r="N2133">
        <f ca="1">qry_ProdData2_PDI_Cash_Exception_Application[[#This Row],[TODAY]]-qry_ProdData2_PDI_Cash_Exception_Application[[#This Row],[CHANGED ON]]</f>
        <v>12.742928240739275</v>
      </c>
    </row>
    <row r="2134" spans="1:14" x14ac:dyDescent="0.35">
      <c r="A2134">
        <v>1005</v>
      </c>
      <c r="B2134" t="s">
        <v>59</v>
      </c>
      <c r="C2134" s="1">
        <v>45184.257071759261</v>
      </c>
      <c r="D2134" t="str">
        <f ca="1">VLOOKUP(qry_ProdData2_PDI_Cash_Exception_Application[[#This Row],[TYPE]],#REF!,2,FALSE)</f>
        <v>type40</v>
      </c>
      <c r="E2134">
        <v>-873.65</v>
      </c>
      <c r="F2134" t="s">
        <v>51</v>
      </c>
      <c r="G2134" s="1">
        <f>qry_ProdData2_PDI_Cash_Exception_Application[[#This Row],[INSERT DATE]]+7</f>
        <v>45191.257071759261</v>
      </c>
      <c r="H2134" t="str">
        <f>VLOOKUP(qry_ProdData2_PDI_Cash_Exception_Application[[#This Row],[MARKET No]],'Site Allocation'!$B$2:$C$37,2,FALSE)</f>
        <v>Analyst1</v>
      </c>
      <c r="I2134" s="4">
        <f t="shared" ca="1" si="33"/>
        <v>45203</v>
      </c>
      <c r="J2134" s="42">
        <f ca="1">TODAY()-qry_ProdData2_PDI_Cash_Exception_Application[[#This Row],[INSERT DATE]]</f>
        <v>18.742928240739275</v>
      </c>
      <c r="K21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34">
        <f ca="1">qry_ProdData2_PDI_Cash_Exception_Application[[#This Row],[TODAY]]-qry_ProdData2_PDI_Cash_Exception_Application[[#This Row],[CHANGED ON]]</f>
        <v>11.742928240739275</v>
      </c>
      <c r="M2134">
        <f ca="1">qry_ProdData2_PDI_Cash_Exception_Application[[#This Row],[TODAY]]-qry_ProdData2_PDI_Cash_Exception_Application[[#This Row],[CHANGED ON]]</f>
        <v>11.742928240739275</v>
      </c>
      <c r="N2134">
        <f ca="1">qry_ProdData2_PDI_Cash_Exception_Application[[#This Row],[TODAY]]-qry_ProdData2_PDI_Cash_Exception_Application[[#This Row],[CHANGED ON]]</f>
        <v>11.742928240739275</v>
      </c>
    </row>
    <row r="2135" spans="1:14" x14ac:dyDescent="0.35">
      <c r="A2135">
        <v>1009</v>
      </c>
      <c r="B2135" t="s">
        <v>63</v>
      </c>
      <c r="C2135" s="1">
        <v>45190.257071759261</v>
      </c>
      <c r="D2135" t="str">
        <f ca="1">VLOOKUP(qry_ProdData2_PDI_Cash_Exception_Application[[#This Row],[TYPE]],#REF!,2,FALSE)</f>
        <v>type13</v>
      </c>
      <c r="E2135">
        <v>14477.5</v>
      </c>
      <c r="F2135" t="s">
        <v>49</v>
      </c>
      <c r="G2135" s="1">
        <f>qry_ProdData2_PDI_Cash_Exception_Application[[#This Row],[INSERT DATE]]+1</f>
        <v>45191.257071759261</v>
      </c>
      <c r="H2135" t="str">
        <f>VLOOKUP(qry_ProdData2_PDI_Cash_Exception_Application[[#This Row],[MARKET No]],'Site Allocation'!$B$2:$C$37,2,FALSE)</f>
        <v>Analyst2</v>
      </c>
      <c r="I2135" s="4">
        <f t="shared" ca="1" si="33"/>
        <v>45203</v>
      </c>
      <c r="J2135" s="42">
        <f ca="1">TODAY()-qry_ProdData2_PDI_Cash_Exception_Application[[#This Row],[INSERT DATE]]</f>
        <v>12.742928240739275</v>
      </c>
      <c r="K21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35">
        <f ca="1">qry_ProdData2_PDI_Cash_Exception_Application[[#This Row],[TODAY]]-qry_ProdData2_PDI_Cash_Exception_Application[[#This Row],[CHANGED ON]]</f>
        <v>11.742928240739275</v>
      </c>
      <c r="M2135">
        <f ca="1">qry_ProdData2_PDI_Cash_Exception_Application[[#This Row],[TODAY]]-qry_ProdData2_PDI_Cash_Exception_Application[[#This Row],[CHANGED ON]]</f>
        <v>11.742928240739275</v>
      </c>
      <c r="N2135">
        <f ca="1">qry_ProdData2_PDI_Cash_Exception_Application[[#This Row],[TODAY]]-qry_ProdData2_PDI_Cash_Exception_Application[[#This Row],[CHANGED ON]]</f>
        <v>11.742928240739275</v>
      </c>
    </row>
    <row r="2136" spans="1:14" x14ac:dyDescent="0.35">
      <c r="A2136">
        <v>1003</v>
      </c>
      <c r="B2136" t="s">
        <v>57</v>
      </c>
      <c r="C2136" s="1">
        <v>45182.257071759261</v>
      </c>
      <c r="D2136" t="str">
        <f ca="1">VLOOKUP(qry_ProdData2_PDI_Cash_Exception_Application[[#This Row],[TYPE]],#REF!,2,FALSE)</f>
        <v>type40</v>
      </c>
      <c r="E2136">
        <v>401.83</v>
      </c>
      <c r="F2136" t="s">
        <v>49</v>
      </c>
      <c r="G2136" s="1">
        <f>qry_ProdData2_PDI_Cash_Exception_Application[[#This Row],[INSERT DATE]]+5</f>
        <v>45187.257071759261</v>
      </c>
      <c r="H2136" t="str">
        <f>VLOOKUP(qry_ProdData2_PDI_Cash_Exception_Application[[#This Row],[MARKET No]],'Site Allocation'!$B$2:$C$37,2,FALSE)</f>
        <v>Analyst1</v>
      </c>
      <c r="I2136" s="4">
        <f t="shared" ca="1" si="33"/>
        <v>45203</v>
      </c>
      <c r="J2136" s="42">
        <f ca="1">TODAY()-qry_ProdData2_PDI_Cash_Exception_Application[[#This Row],[INSERT DATE]]</f>
        <v>20.742928240739275</v>
      </c>
      <c r="K21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36">
        <f ca="1">qry_ProdData2_PDI_Cash_Exception_Application[[#This Row],[TODAY]]-qry_ProdData2_PDI_Cash_Exception_Application[[#This Row],[CHANGED ON]]</f>
        <v>15.742928240739275</v>
      </c>
      <c r="M2136">
        <f ca="1">qry_ProdData2_PDI_Cash_Exception_Application[[#This Row],[TODAY]]-qry_ProdData2_PDI_Cash_Exception_Application[[#This Row],[CHANGED ON]]</f>
        <v>15.742928240739275</v>
      </c>
      <c r="N2136">
        <f ca="1">qry_ProdData2_PDI_Cash_Exception_Application[[#This Row],[TODAY]]-qry_ProdData2_PDI_Cash_Exception_Application[[#This Row],[CHANGED ON]]</f>
        <v>15.742928240739275</v>
      </c>
    </row>
    <row r="2137" spans="1:14" x14ac:dyDescent="0.35">
      <c r="A2137">
        <v>1028</v>
      </c>
      <c r="B2137" t="s">
        <v>82</v>
      </c>
      <c r="C2137" s="1">
        <v>45185.257071759261</v>
      </c>
      <c r="D2137" t="str">
        <f ca="1">VLOOKUP(qry_ProdData2_PDI_Cash_Exception_Application[[#This Row],[TYPE]],#REF!,2,FALSE)</f>
        <v>type13</v>
      </c>
      <c r="E2137">
        <v>68470.490000000005</v>
      </c>
      <c r="F2137" t="s">
        <v>51</v>
      </c>
      <c r="G2137" s="1">
        <f>qry_ProdData2_PDI_Cash_Exception_Application[[#This Row],[INSERT DATE]]+7</f>
        <v>45192.257071759261</v>
      </c>
      <c r="H2137" t="str">
        <f>VLOOKUP(qry_ProdData2_PDI_Cash_Exception_Application[[#This Row],[MARKET No]],'Site Allocation'!$B$2:$C$37,2,FALSE)</f>
        <v>Analyst5</v>
      </c>
      <c r="I2137" s="4">
        <f t="shared" ca="1" si="33"/>
        <v>45203</v>
      </c>
      <c r="J2137" s="42">
        <f ca="1">TODAY()-qry_ProdData2_PDI_Cash_Exception_Application[[#This Row],[INSERT DATE]]</f>
        <v>17.742928240739275</v>
      </c>
      <c r="K21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37">
        <f ca="1">qry_ProdData2_PDI_Cash_Exception_Application[[#This Row],[TODAY]]-qry_ProdData2_PDI_Cash_Exception_Application[[#This Row],[CHANGED ON]]</f>
        <v>10.742928240739275</v>
      </c>
      <c r="M2137">
        <f ca="1">qry_ProdData2_PDI_Cash_Exception_Application[[#This Row],[TODAY]]-qry_ProdData2_PDI_Cash_Exception_Application[[#This Row],[CHANGED ON]]</f>
        <v>10.742928240739275</v>
      </c>
      <c r="N2137">
        <f ca="1">qry_ProdData2_PDI_Cash_Exception_Application[[#This Row],[TODAY]]-qry_ProdData2_PDI_Cash_Exception_Application[[#This Row],[CHANGED ON]]</f>
        <v>10.742928240739275</v>
      </c>
    </row>
    <row r="2138" spans="1:14" x14ac:dyDescent="0.35">
      <c r="A2138">
        <v>1031</v>
      </c>
      <c r="B2138" t="s">
        <v>85</v>
      </c>
      <c r="C2138" s="1">
        <v>45185.257071759261</v>
      </c>
      <c r="D2138" t="str">
        <f ca="1">VLOOKUP(qry_ProdData2_PDI_Cash_Exception_Application[[#This Row],[TYPE]],#REF!,2,FALSE)</f>
        <v>type40</v>
      </c>
      <c r="E2138">
        <v>498.02</v>
      </c>
      <c r="F2138" t="s">
        <v>49</v>
      </c>
      <c r="G2138" s="1">
        <f>qry_ProdData2_PDI_Cash_Exception_Application[[#This Row],[INSERT DATE]]+5</f>
        <v>45190.257071759261</v>
      </c>
      <c r="H2138" t="str">
        <f>VLOOKUP(qry_ProdData2_PDI_Cash_Exception_Application[[#This Row],[MARKET No]],'Site Allocation'!$B$2:$C$37,2,FALSE)</f>
        <v>Analyst6</v>
      </c>
      <c r="I2138" s="4">
        <f t="shared" ca="1" si="33"/>
        <v>45203</v>
      </c>
      <c r="J2138" s="42">
        <f ca="1">TODAY()-qry_ProdData2_PDI_Cash_Exception_Application[[#This Row],[INSERT DATE]]</f>
        <v>17.742928240739275</v>
      </c>
      <c r="K21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38">
        <f ca="1">qry_ProdData2_PDI_Cash_Exception_Application[[#This Row],[TODAY]]-qry_ProdData2_PDI_Cash_Exception_Application[[#This Row],[CHANGED ON]]</f>
        <v>12.742928240739275</v>
      </c>
      <c r="M2138">
        <f ca="1">qry_ProdData2_PDI_Cash_Exception_Application[[#This Row],[TODAY]]-qry_ProdData2_PDI_Cash_Exception_Application[[#This Row],[CHANGED ON]]</f>
        <v>12.742928240739275</v>
      </c>
      <c r="N2138">
        <f ca="1">qry_ProdData2_PDI_Cash_Exception_Application[[#This Row],[TODAY]]-qry_ProdData2_PDI_Cash_Exception_Application[[#This Row],[CHANGED ON]]</f>
        <v>12.742928240739275</v>
      </c>
    </row>
    <row r="2139" spans="1:14" x14ac:dyDescent="0.35">
      <c r="A2139">
        <v>1025</v>
      </c>
      <c r="B2139" t="s">
        <v>79</v>
      </c>
      <c r="C2139" s="1">
        <v>45187.257071759261</v>
      </c>
      <c r="D2139" t="str">
        <f ca="1">VLOOKUP(qry_ProdData2_PDI_Cash_Exception_Application[[#This Row],[TYPE]],#REF!,2,FALSE)</f>
        <v>type13</v>
      </c>
      <c r="E2139">
        <v>32217.77</v>
      </c>
      <c r="F2139" t="s">
        <v>48</v>
      </c>
      <c r="G2139" s="1">
        <f>qry_ProdData2_PDI_Cash_Exception_Application[[#This Row],[INSERT DATE]]+2</f>
        <v>45189.257071759261</v>
      </c>
      <c r="H2139" t="str">
        <f>VLOOKUP(qry_ProdData2_PDI_Cash_Exception_Application[[#This Row],[MARKET No]],'Site Allocation'!$B$2:$C$37,2,FALSE)</f>
        <v>Analyst5</v>
      </c>
      <c r="I2139" s="4">
        <f t="shared" ca="1" si="33"/>
        <v>45203</v>
      </c>
      <c r="J2139" s="42">
        <f ca="1">TODAY()-qry_ProdData2_PDI_Cash_Exception_Application[[#This Row],[INSERT DATE]]</f>
        <v>15.742928240739275</v>
      </c>
      <c r="K21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39">
        <f ca="1">qry_ProdData2_PDI_Cash_Exception_Application[[#This Row],[TODAY]]-qry_ProdData2_PDI_Cash_Exception_Application[[#This Row],[CHANGED ON]]</f>
        <v>13.742928240739275</v>
      </c>
      <c r="M2139">
        <f ca="1">qry_ProdData2_PDI_Cash_Exception_Application[[#This Row],[TODAY]]-qry_ProdData2_PDI_Cash_Exception_Application[[#This Row],[CHANGED ON]]</f>
        <v>13.742928240739275</v>
      </c>
      <c r="N2139">
        <f ca="1">qry_ProdData2_PDI_Cash_Exception_Application[[#This Row],[TODAY]]-qry_ProdData2_PDI_Cash_Exception_Application[[#This Row],[CHANGED ON]]</f>
        <v>13.742928240739275</v>
      </c>
    </row>
    <row r="2140" spans="1:14" x14ac:dyDescent="0.35">
      <c r="A2140">
        <v>1013</v>
      </c>
      <c r="B2140" t="s">
        <v>67</v>
      </c>
      <c r="C2140" s="1">
        <v>45183.257071759261</v>
      </c>
      <c r="D2140" t="str">
        <f ca="1">VLOOKUP(qry_ProdData2_PDI_Cash_Exception_Application[[#This Row],[TYPE]],#REF!,2,FALSE)</f>
        <v>type38</v>
      </c>
      <c r="E2140">
        <v>361.79</v>
      </c>
      <c r="F2140" t="s">
        <v>50</v>
      </c>
      <c r="G2140" s="1">
        <f>qry_ProdData2_PDI_Cash_Exception_Application[[#This Row],[INSERT DATE]]+7</f>
        <v>45190.257071759261</v>
      </c>
      <c r="H2140" t="str">
        <f>VLOOKUP(qry_ProdData2_PDI_Cash_Exception_Application[[#This Row],[MARKET No]],'Site Allocation'!$B$2:$C$37,2,FALSE)</f>
        <v>Analyst3</v>
      </c>
      <c r="I2140" s="4">
        <f t="shared" ca="1" si="33"/>
        <v>45203</v>
      </c>
      <c r="J2140" s="42">
        <f ca="1">TODAY()-qry_ProdData2_PDI_Cash_Exception_Application[[#This Row],[INSERT DATE]]</f>
        <v>19.742928240739275</v>
      </c>
      <c r="K21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40">
        <f ca="1">qry_ProdData2_PDI_Cash_Exception_Application[[#This Row],[TODAY]]-qry_ProdData2_PDI_Cash_Exception_Application[[#This Row],[CHANGED ON]]</f>
        <v>12.742928240739275</v>
      </c>
      <c r="M2140">
        <f ca="1">qry_ProdData2_PDI_Cash_Exception_Application[[#This Row],[TODAY]]-qry_ProdData2_PDI_Cash_Exception_Application[[#This Row],[CHANGED ON]]</f>
        <v>12.742928240739275</v>
      </c>
      <c r="N2140">
        <f ca="1">qry_ProdData2_PDI_Cash_Exception_Application[[#This Row],[TODAY]]-qry_ProdData2_PDI_Cash_Exception_Application[[#This Row],[CHANGED ON]]</f>
        <v>12.742928240739275</v>
      </c>
    </row>
    <row r="2141" spans="1:14" x14ac:dyDescent="0.35">
      <c r="A2141">
        <v>1014</v>
      </c>
      <c r="B2141" t="s">
        <v>68</v>
      </c>
      <c r="C2141" s="1">
        <v>45184.257071759261</v>
      </c>
      <c r="D2141" t="str">
        <f ca="1">VLOOKUP(qry_ProdData2_PDI_Cash_Exception_Application[[#This Row],[TYPE]],#REF!,2,FALSE)</f>
        <v>type38</v>
      </c>
      <c r="E2141">
        <v>264.64999999999998</v>
      </c>
      <c r="F2141" t="s">
        <v>52</v>
      </c>
      <c r="G2141" s="1">
        <f>qry_ProdData2_PDI_Cash_Exception_Application[[#This Row],[INSERT DATE]]+1</f>
        <v>45185.257071759261</v>
      </c>
      <c r="H2141" t="str">
        <f>VLOOKUP(qry_ProdData2_PDI_Cash_Exception_Application[[#This Row],[MARKET No]],'Site Allocation'!$B$2:$C$37,2,FALSE)</f>
        <v>Analyst3</v>
      </c>
      <c r="I2141" s="4">
        <f t="shared" ca="1" si="33"/>
        <v>45203</v>
      </c>
      <c r="J2141" s="42">
        <f ca="1">TODAY()-qry_ProdData2_PDI_Cash_Exception_Application[[#This Row],[INSERT DATE]]</f>
        <v>18.742928240739275</v>
      </c>
      <c r="K21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41">
        <f ca="1">qry_ProdData2_PDI_Cash_Exception_Application[[#This Row],[TODAY]]-qry_ProdData2_PDI_Cash_Exception_Application[[#This Row],[CHANGED ON]]</f>
        <v>17.742928240739275</v>
      </c>
      <c r="M2141">
        <f ca="1">qry_ProdData2_PDI_Cash_Exception_Application[[#This Row],[TODAY]]-qry_ProdData2_PDI_Cash_Exception_Application[[#This Row],[CHANGED ON]]</f>
        <v>17.742928240739275</v>
      </c>
      <c r="N2141">
        <f ca="1">qry_ProdData2_PDI_Cash_Exception_Application[[#This Row],[TODAY]]-qry_ProdData2_PDI_Cash_Exception_Application[[#This Row],[CHANGED ON]]</f>
        <v>17.742928240739275</v>
      </c>
    </row>
    <row r="2142" spans="1:14" x14ac:dyDescent="0.35">
      <c r="A2142">
        <v>1027</v>
      </c>
      <c r="B2142" t="s">
        <v>81</v>
      </c>
      <c r="C2142" s="1">
        <v>45187.257071759261</v>
      </c>
      <c r="D2142" t="str">
        <f ca="1">VLOOKUP(qry_ProdData2_PDI_Cash_Exception_Application[[#This Row],[TYPE]],#REF!,2,FALSE)</f>
        <v>type13</v>
      </c>
      <c r="E2142">
        <v>25996.39</v>
      </c>
      <c r="F2142" t="s">
        <v>49</v>
      </c>
      <c r="G2142" s="1">
        <f>qry_ProdData2_PDI_Cash_Exception_Application[[#This Row],[INSERT DATE]]+7</f>
        <v>45194.257071759261</v>
      </c>
      <c r="H2142" t="str">
        <f>VLOOKUP(qry_ProdData2_PDI_Cash_Exception_Application[[#This Row],[MARKET No]],'Site Allocation'!$B$2:$C$37,2,FALSE)</f>
        <v>Analyst5</v>
      </c>
      <c r="I2142" s="4">
        <f t="shared" ca="1" si="33"/>
        <v>45203</v>
      </c>
      <c r="J2142" s="42">
        <f ca="1">TODAY()-qry_ProdData2_PDI_Cash_Exception_Application[[#This Row],[INSERT DATE]]</f>
        <v>15.742928240739275</v>
      </c>
      <c r="K21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42">
        <f ca="1">qry_ProdData2_PDI_Cash_Exception_Application[[#This Row],[TODAY]]-qry_ProdData2_PDI_Cash_Exception_Application[[#This Row],[CHANGED ON]]</f>
        <v>8.7429282407392748</v>
      </c>
      <c r="M2142">
        <f ca="1">qry_ProdData2_PDI_Cash_Exception_Application[[#This Row],[TODAY]]-qry_ProdData2_PDI_Cash_Exception_Application[[#This Row],[CHANGED ON]]</f>
        <v>8.7429282407392748</v>
      </c>
      <c r="N2142">
        <f ca="1">qry_ProdData2_PDI_Cash_Exception_Application[[#This Row],[TODAY]]-qry_ProdData2_PDI_Cash_Exception_Application[[#This Row],[CHANGED ON]]</f>
        <v>8.7429282407392748</v>
      </c>
    </row>
    <row r="2143" spans="1:14" x14ac:dyDescent="0.35">
      <c r="A2143">
        <v>1004</v>
      </c>
      <c r="B2143" t="s">
        <v>58</v>
      </c>
      <c r="C2143" s="1">
        <v>45190.257071759261</v>
      </c>
      <c r="D2143" t="str">
        <f ca="1">VLOOKUP(qry_ProdData2_PDI_Cash_Exception_Application[[#This Row],[TYPE]],#REF!,2,FALSE)</f>
        <v>type40</v>
      </c>
      <c r="E2143">
        <v>2257.58</v>
      </c>
      <c r="F2143" t="s">
        <v>49</v>
      </c>
      <c r="G2143" s="1">
        <f>qry_ProdData2_PDI_Cash_Exception_Application[[#This Row],[INSERT DATE]]+1</f>
        <v>45191.257071759261</v>
      </c>
      <c r="H2143" t="str">
        <f>VLOOKUP(qry_ProdData2_PDI_Cash_Exception_Application[[#This Row],[MARKET No]],'Site Allocation'!$B$2:$C$37,2,FALSE)</f>
        <v>Analyst1</v>
      </c>
      <c r="I2143" s="4">
        <f t="shared" ca="1" si="33"/>
        <v>45203</v>
      </c>
      <c r="J2143" s="42">
        <f ca="1">TODAY()-qry_ProdData2_PDI_Cash_Exception_Application[[#This Row],[INSERT DATE]]</f>
        <v>12.742928240739275</v>
      </c>
      <c r="K21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43">
        <f ca="1">qry_ProdData2_PDI_Cash_Exception_Application[[#This Row],[TODAY]]-qry_ProdData2_PDI_Cash_Exception_Application[[#This Row],[CHANGED ON]]</f>
        <v>11.742928240739275</v>
      </c>
      <c r="M2143">
        <f ca="1">qry_ProdData2_PDI_Cash_Exception_Application[[#This Row],[TODAY]]-qry_ProdData2_PDI_Cash_Exception_Application[[#This Row],[CHANGED ON]]</f>
        <v>11.742928240739275</v>
      </c>
      <c r="N2143">
        <f ca="1">qry_ProdData2_PDI_Cash_Exception_Application[[#This Row],[TODAY]]-qry_ProdData2_PDI_Cash_Exception_Application[[#This Row],[CHANGED ON]]</f>
        <v>11.742928240739275</v>
      </c>
    </row>
    <row r="2144" spans="1:14" x14ac:dyDescent="0.35">
      <c r="A2144">
        <v>1011</v>
      </c>
      <c r="B2144" t="s">
        <v>65</v>
      </c>
      <c r="C2144" s="1">
        <v>45185.257071759261</v>
      </c>
      <c r="D2144" t="str">
        <f ca="1">VLOOKUP(qry_ProdData2_PDI_Cash_Exception_Application[[#This Row],[TYPE]],#REF!,2,FALSE)</f>
        <v>type40</v>
      </c>
      <c r="E2144">
        <v>-562.29999999999995</v>
      </c>
      <c r="F2144" t="s">
        <v>47</v>
      </c>
      <c r="G2144" s="1">
        <f>qry_ProdData2_PDI_Cash_Exception_Application[[#This Row],[INSERT DATE]]+1</f>
        <v>45186.257071759261</v>
      </c>
      <c r="H2144" t="str">
        <f>VLOOKUP(qry_ProdData2_PDI_Cash_Exception_Application[[#This Row],[MARKET No]],'Site Allocation'!$B$2:$C$37,2,FALSE)</f>
        <v>Analyst2</v>
      </c>
      <c r="I2144" s="4">
        <f t="shared" ca="1" si="33"/>
        <v>45203</v>
      </c>
      <c r="J2144" s="42">
        <f ca="1">TODAY()-qry_ProdData2_PDI_Cash_Exception_Application[[#This Row],[INSERT DATE]]</f>
        <v>17.742928240739275</v>
      </c>
      <c r="K21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44">
        <f ca="1">qry_ProdData2_PDI_Cash_Exception_Application[[#This Row],[TODAY]]-qry_ProdData2_PDI_Cash_Exception_Application[[#This Row],[CHANGED ON]]</f>
        <v>16.742928240739275</v>
      </c>
      <c r="M2144">
        <f ca="1">qry_ProdData2_PDI_Cash_Exception_Application[[#This Row],[TODAY]]-qry_ProdData2_PDI_Cash_Exception_Application[[#This Row],[CHANGED ON]]</f>
        <v>16.742928240739275</v>
      </c>
      <c r="N2144">
        <f ca="1">qry_ProdData2_PDI_Cash_Exception_Application[[#This Row],[TODAY]]-qry_ProdData2_PDI_Cash_Exception_Application[[#This Row],[CHANGED ON]]</f>
        <v>16.742928240739275</v>
      </c>
    </row>
    <row r="2145" spans="1:14" x14ac:dyDescent="0.35">
      <c r="A2145">
        <v>1001</v>
      </c>
      <c r="B2145" t="s">
        <v>55</v>
      </c>
      <c r="C2145" s="1">
        <v>45190.257071759261</v>
      </c>
      <c r="D2145" t="str">
        <f ca="1">VLOOKUP(qry_ProdData2_PDI_Cash_Exception_Application[[#This Row],[TYPE]],#REF!,2,FALSE)</f>
        <v>type7</v>
      </c>
      <c r="E2145">
        <v>8703.5499999999993</v>
      </c>
      <c r="F2145" t="s">
        <v>47</v>
      </c>
      <c r="G2145" s="1">
        <f>qry_ProdData2_PDI_Cash_Exception_Application[[#This Row],[INSERT DATE]]+1</f>
        <v>45191.257071759261</v>
      </c>
      <c r="H2145" t="str">
        <f>VLOOKUP(qry_ProdData2_PDI_Cash_Exception_Application[[#This Row],[MARKET No]],'Site Allocation'!$B$2:$C$37,2,FALSE)</f>
        <v>Analyst1</v>
      </c>
      <c r="I2145" s="4">
        <f t="shared" ca="1" si="33"/>
        <v>45203</v>
      </c>
      <c r="J2145" s="42">
        <f ca="1">TODAY()-qry_ProdData2_PDI_Cash_Exception_Application[[#This Row],[INSERT DATE]]</f>
        <v>12.742928240739275</v>
      </c>
      <c r="K21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45">
        <f ca="1">qry_ProdData2_PDI_Cash_Exception_Application[[#This Row],[TODAY]]-qry_ProdData2_PDI_Cash_Exception_Application[[#This Row],[CHANGED ON]]</f>
        <v>11.742928240739275</v>
      </c>
      <c r="M2145">
        <f ca="1">qry_ProdData2_PDI_Cash_Exception_Application[[#This Row],[TODAY]]-qry_ProdData2_PDI_Cash_Exception_Application[[#This Row],[CHANGED ON]]</f>
        <v>11.742928240739275</v>
      </c>
      <c r="N2145">
        <f ca="1">qry_ProdData2_PDI_Cash_Exception_Application[[#This Row],[TODAY]]-qry_ProdData2_PDI_Cash_Exception_Application[[#This Row],[CHANGED ON]]</f>
        <v>11.742928240739275</v>
      </c>
    </row>
    <row r="2146" spans="1:14" x14ac:dyDescent="0.35">
      <c r="A2146">
        <v>1027</v>
      </c>
      <c r="B2146" t="s">
        <v>81</v>
      </c>
      <c r="C2146" s="1">
        <v>45191.257071759261</v>
      </c>
      <c r="D2146" t="str">
        <f ca="1">VLOOKUP(qry_ProdData2_PDI_Cash_Exception_Application[[#This Row],[TYPE]],#REF!,2,FALSE)</f>
        <v>type40</v>
      </c>
      <c r="E2146">
        <v>-1166.28</v>
      </c>
      <c r="F2146" t="s">
        <v>47</v>
      </c>
      <c r="G2146" s="1">
        <f>qry_ProdData2_PDI_Cash_Exception_Application[[#This Row],[INSERT DATE]]+1</f>
        <v>45192.257071759261</v>
      </c>
      <c r="H2146" t="str">
        <f>VLOOKUP(qry_ProdData2_PDI_Cash_Exception_Application[[#This Row],[MARKET No]],'Site Allocation'!$B$2:$C$37,2,FALSE)</f>
        <v>Analyst5</v>
      </c>
      <c r="I2146" s="4">
        <f t="shared" ca="1" si="33"/>
        <v>45203</v>
      </c>
      <c r="J2146" s="42">
        <f ca="1">TODAY()-qry_ProdData2_PDI_Cash_Exception_Application[[#This Row],[INSERT DATE]]</f>
        <v>11.742928240739275</v>
      </c>
      <c r="K21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46">
        <f ca="1">qry_ProdData2_PDI_Cash_Exception_Application[[#This Row],[TODAY]]-qry_ProdData2_PDI_Cash_Exception_Application[[#This Row],[CHANGED ON]]</f>
        <v>10.742928240739275</v>
      </c>
      <c r="M2146">
        <f ca="1">qry_ProdData2_PDI_Cash_Exception_Application[[#This Row],[TODAY]]-qry_ProdData2_PDI_Cash_Exception_Application[[#This Row],[CHANGED ON]]</f>
        <v>10.742928240739275</v>
      </c>
      <c r="N2146">
        <f ca="1">qry_ProdData2_PDI_Cash_Exception_Application[[#This Row],[TODAY]]-qry_ProdData2_PDI_Cash_Exception_Application[[#This Row],[CHANGED ON]]</f>
        <v>10.742928240739275</v>
      </c>
    </row>
    <row r="2147" spans="1:14" x14ac:dyDescent="0.35">
      <c r="A2147">
        <v>1009</v>
      </c>
      <c r="B2147" t="s">
        <v>63</v>
      </c>
      <c r="C2147" s="1">
        <v>45188.257071759261</v>
      </c>
      <c r="D2147" t="str">
        <f ca="1">VLOOKUP(qry_ProdData2_PDI_Cash_Exception_Application[[#This Row],[TYPE]],#REF!,2,FALSE)</f>
        <v>type40</v>
      </c>
      <c r="E2147">
        <v>40</v>
      </c>
      <c r="F2147" t="s">
        <v>47</v>
      </c>
      <c r="G2147" s="1">
        <f>qry_ProdData2_PDI_Cash_Exception_Application[[#This Row],[INSERT DATE]]+2</f>
        <v>45190.257071759261</v>
      </c>
      <c r="H2147" t="str">
        <f>VLOOKUP(qry_ProdData2_PDI_Cash_Exception_Application[[#This Row],[MARKET No]],'Site Allocation'!$B$2:$C$37,2,FALSE)</f>
        <v>Analyst2</v>
      </c>
      <c r="I2147" s="4">
        <f t="shared" ca="1" si="33"/>
        <v>45203</v>
      </c>
      <c r="J2147" s="42">
        <f ca="1">TODAY()-qry_ProdData2_PDI_Cash_Exception_Application[[#This Row],[INSERT DATE]]</f>
        <v>14.742928240739275</v>
      </c>
      <c r="K21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47">
        <f ca="1">qry_ProdData2_PDI_Cash_Exception_Application[[#This Row],[TODAY]]-qry_ProdData2_PDI_Cash_Exception_Application[[#This Row],[CHANGED ON]]</f>
        <v>12.742928240739275</v>
      </c>
      <c r="M2147">
        <f ca="1">qry_ProdData2_PDI_Cash_Exception_Application[[#This Row],[TODAY]]-qry_ProdData2_PDI_Cash_Exception_Application[[#This Row],[CHANGED ON]]</f>
        <v>12.742928240739275</v>
      </c>
      <c r="N2147">
        <f ca="1">qry_ProdData2_PDI_Cash_Exception_Application[[#This Row],[TODAY]]-qry_ProdData2_PDI_Cash_Exception_Application[[#This Row],[CHANGED ON]]</f>
        <v>12.742928240739275</v>
      </c>
    </row>
    <row r="2148" spans="1:14" x14ac:dyDescent="0.35">
      <c r="A2148">
        <v>1000</v>
      </c>
      <c r="B2148" t="s">
        <v>54</v>
      </c>
      <c r="C2148" s="1">
        <v>45188.257071759261</v>
      </c>
      <c r="D2148" t="str">
        <f ca="1">VLOOKUP(qry_ProdData2_PDI_Cash_Exception_Application[[#This Row],[TYPE]],#REF!,2,FALSE)</f>
        <v>type38</v>
      </c>
      <c r="E2148">
        <v>182.88</v>
      </c>
      <c r="F2148" t="s">
        <v>52</v>
      </c>
      <c r="G2148" s="1">
        <f>qry_ProdData2_PDI_Cash_Exception_Application[[#This Row],[INSERT DATE]]+1</f>
        <v>45189.257071759261</v>
      </c>
      <c r="H2148" t="str">
        <f>VLOOKUP(qry_ProdData2_PDI_Cash_Exception_Application[[#This Row],[MARKET No]],'Site Allocation'!$B$2:$C$37,2,FALSE)</f>
        <v>Analyst1</v>
      </c>
      <c r="I2148" s="4">
        <f t="shared" ca="1" si="33"/>
        <v>45203</v>
      </c>
      <c r="J2148" s="42">
        <f ca="1">TODAY()-qry_ProdData2_PDI_Cash_Exception_Application[[#This Row],[INSERT DATE]]</f>
        <v>14.742928240739275</v>
      </c>
      <c r="K21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48">
        <f ca="1">qry_ProdData2_PDI_Cash_Exception_Application[[#This Row],[TODAY]]-qry_ProdData2_PDI_Cash_Exception_Application[[#This Row],[CHANGED ON]]</f>
        <v>13.742928240739275</v>
      </c>
      <c r="M2148">
        <f ca="1">qry_ProdData2_PDI_Cash_Exception_Application[[#This Row],[TODAY]]-qry_ProdData2_PDI_Cash_Exception_Application[[#This Row],[CHANGED ON]]</f>
        <v>13.742928240739275</v>
      </c>
      <c r="N2148">
        <f ca="1">qry_ProdData2_PDI_Cash_Exception_Application[[#This Row],[TODAY]]-qry_ProdData2_PDI_Cash_Exception_Application[[#This Row],[CHANGED ON]]</f>
        <v>13.742928240739275</v>
      </c>
    </row>
    <row r="2149" spans="1:14" x14ac:dyDescent="0.35">
      <c r="A2149">
        <v>1025</v>
      </c>
      <c r="B2149" t="s">
        <v>79</v>
      </c>
      <c r="C2149" s="1">
        <v>45189.257071759261</v>
      </c>
      <c r="D2149" t="str">
        <f ca="1">VLOOKUP(qry_ProdData2_PDI_Cash_Exception_Application[[#This Row],[TYPE]],#REF!,2,FALSE)</f>
        <v>type40</v>
      </c>
      <c r="E2149">
        <v>-493.25</v>
      </c>
      <c r="F2149" t="s">
        <v>52</v>
      </c>
      <c r="G2149" s="1">
        <f>qry_ProdData2_PDI_Cash_Exception_Application[[#This Row],[INSERT DATE]]+1</f>
        <v>45190.257071759261</v>
      </c>
      <c r="H2149" t="str">
        <f>VLOOKUP(qry_ProdData2_PDI_Cash_Exception_Application[[#This Row],[MARKET No]],'Site Allocation'!$B$2:$C$37,2,FALSE)</f>
        <v>Analyst5</v>
      </c>
      <c r="I2149" s="4">
        <f t="shared" ca="1" si="33"/>
        <v>45203</v>
      </c>
      <c r="J2149" s="42">
        <f ca="1">TODAY()-qry_ProdData2_PDI_Cash_Exception_Application[[#This Row],[INSERT DATE]]</f>
        <v>13.742928240739275</v>
      </c>
      <c r="K21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49">
        <f ca="1">qry_ProdData2_PDI_Cash_Exception_Application[[#This Row],[TODAY]]-qry_ProdData2_PDI_Cash_Exception_Application[[#This Row],[CHANGED ON]]</f>
        <v>12.742928240739275</v>
      </c>
      <c r="M2149">
        <f ca="1">qry_ProdData2_PDI_Cash_Exception_Application[[#This Row],[TODAY]]-qry_ProdData2_PDI_Cash_Exception_Application[[#This Row],[CHANGED ON]]</f>
        <v>12.742928240739275</v>
      </c>
      <c r="N2149">
        <f ca="1">qry_ProdData2_PDI_Cash_Exception_Application[[#This Row],[TODAY]]-qry_ProdData2_PDI_Cash_Exception_Application[[#This Row],[CHANGED ON]]</f>
        <v>12.742928240739275</v>
      </c>
    </row>
    <row r="2150" spans="1:14" x14ac:dyDescent="0.35">
      <c r="A2150">
        <v>1034</v>
      </c>
      <c r="B2150" t="s">
        <v>88</v>
      </c>
      <c r="C2150" s="1">
        <v>45188.257071759261</v>
      </c>
      <c r="D2150" t="str">
        <f ca="1">VLOOKUP(qry_ProdData2_PDI_Cash_Exception_Application[[#This Row],[TYPE]],#REF!,2,FALSE)</f>
        <v>type13</v>
      </c>
      <c r="E2150">
        <v>32957.9</v>
      </c>
      <c r="F2150" t="s">
        <v>51</v>
      </c>
      <c r="G2150" s="1">
        <f>qry_ProdData2_PDI_Cash_Exception_Application[[#This Row],[INSERT DATE]]+7</f>
        <v>45195.257071759261</v>
      </c>
      <c r="H2150" t="str">
        <f>VLOOKUP(qry_ProdData2_PDI_Cash_Exception_Application[[#This Row],[MARKET No]],'Site Allocation'!$B$2:$C$37,2,FALSE)</f>
        <v>Analyst6</v>
      </c>
      <c r="I2150" s="4">
        <f t="shared" ca="1" si="33"/>
        <v>45203</v>
      </c>
      <c r="J2150" s="42">
        <f ca="1">TODAY()-qry_ProdData2_PDI_Cash_Exception_Application[[#This Row],[INSERT DATE]]</f>
        <v>14.742928240739275</v>
      </c>
      <c r="K21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50">
        <f ca="1">qry_ProdData2_PDI_Cash_Exception_Application[[#This Row],[TODAY]]-qry_ProdData2_PDI_Cash_Exception_Application[[#This Row],[CHANGED ON]]</f>
        <v>7.7429282407392748</v>
      </c>
      <c r="M2150">
        <f ca="1">qry_ProdData2_PDI_Cash_Exception_Application[[#This Row],[TODAY]]-qry_ProdData2_PDI_Cash_Exception_Application[[#This Row],[CHANGED ON]]</f>
        <v>7.7429282407392748</v>
      </c>
      <c r="N2150">
        <f ca="1">qry_ProdData2_PDI_Cash_Exception_Application[[#This Row],[TODAY]]-qry_ProdData2_PDI_Cash_Exception_Application[[#This Row],[CHANGED ON]]</f>
        <v>7.7429282407392748</v>
      </c>
    </row>
    <row r="2151" spans="1:14" x14ac:dyDescent="0.35">
      <c r="A2151">
        <v>1014</v>
      </c>
      <c r="B2151" t="s">
        <v>68</v>
      </c>
      <c r="C2151" s="1">
        <v>45180.257071759261</v>
      </c>
      <c r="D2151" t="str">
        <f ca="1">VLOOKUP(qry_ProdData2_PDI_Cash_Exception_Application[[#This Row],[TYPE]],#REF!,2,FALSE)</f>
        <v>type7</v>
      </c>
      <c r="E2151">
        <v>-1339.83</v>
      </c>
      <c r="F2151" t="s">
        <v>49</v>
      </c>
      <c r="G2151" s="1">
        <f>qry_ProdData2_PDI_Cash_Exception_Application[[#This Row],[INSERT DATE]]+1</f>
        <v>45181.257071759261</v>
      </c>
      <c r="H2151" t="str">
        <f>VLOOKUP(qry_ProdData2_PDI_Cash_Exception_Application[[#This Row],[MARKET No]],'Site Allocation'!$B$2:$C$37,2,FALSE)</f>
        <v>Analyst3</v>
      </c>
      <c r="I2151" s="4">
        <f t="shared" ca="1" si="33"/>
        <v>45203</v>
      </c>
      <c r="J2151" s="42">
        <f ca="1">TODAY()-qry_ProdData2_PDI_Cash_Exception_Application[[#This Row],[INSERT DATE]]</f>
        <v>22.742928240739275</v>
      </c>
      <c r="K21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51">
        <f ca="1">qry_ProdData2_PDI_Cash_Exception_Application[[#This Row],[TODAY]]-qry_ProdData2_PDI_Cash_Exception_Application[[#This Row],[CHANGED ON]]</f>
        <v>21.742928240739275</v>
      </c>
      <c r="M2151">
        <f ca="1">qry_ProdData2_PDI_Cash_Exception_Application[[#This Row],[TODAY]]-qry_ProdData2_PDI_Cash_Exception_Application[[#This Row],[CHANGED ON]]</f>
        <v>21.742928240739275</v>
      </c>
      <c r="N2151">
        <f ca="1">qry_ProdData2_PDI_Cash_Exception_Application[[#This Row],[TODAY]]-qry_ProdData2_PDI_Cash_Exception_Application[[#This Row],[CHANGED ON]]</f>
        <v>21.742928240739275</v>
      </c>
    </row>
    <row r="2152" spans="1:14" x14ac:dyDescent="0.35">
      <c r="A2152">
        <v>1006</v>
      </c>
      <c r="B2152" t="s">
        <v>60</v>
      </c>
      <c r="C2152" s="1">
        <v>45190.257071759261</v>
      </c>
      <c r="D2152" t="str">
        <f ca="1">VLOOKUP(qry_ProdData2_PDI_Cash_Exception_Application[[#This Row],[TYPE]],#REF!,2,FALSE)</f>
        <v>type13</v>
      </c>
      <c r="E2152">
        <v>27829.279999999999</v>
      </c>
      <c r="F2152" t="s">
        <v>50</v>
      </c>
      <c r="G2152" s="1">
        <f>qry_ProdData2_PDI_Cash_Exception_Application[[#This Row],[INSERT DATE]]+1</f>
        <v>45191.257071759261</v>
      </c>
      <c r="H2152" t="str">
        <f>VLOOKUP(qry_ProdData2_PDI_Cash_Exception_Application[[#This Row],[MARKET No]],'Site Allocation'!$B$2:$C$37,2,FALSE)</f>
        <v>Analyst2</v>
      </c>
      <c r="I2152" s="4">
        <f t="shared" ca="1" si="33"/>
        <v>45203</v>
      </c>
      <c r="J2152" s="42">
        <f ca="1">TODAY()-qry_ProdData2_PDI_Cash_Exception_Application[[#This Row],[INSERT DATE]]</f>
        <v>12.742928240739275</v>
      </c>
      <c r="K21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52">
        <f ca="1">qry_ProdData2_PDI_Cash_Exception_Application[[#This Row],[TODAY]]-qry_ProdData2_PDI_Cash_Exception_Application[[#This Row],[CHANGED ON]]</f>
        <v>11.742928240739275</v>
      </c>
      <c r="M2152">
        <f ca="1">qry_ProdData2_PDI_Cash_Exception_Application[[#This Row],[TODAY]]-qry_ProdData2_PDI_Cash_Exception_Application[[#This Row],[CHANGED ON]]</f>
        <v>11.742928240739275</v>
      </c>
      <c r="N2152">
        <f ca="1">qry_ProdData2_PDI_Cash_Exception_Application[[#This Row],[TODAY]]-qry_ProdData2_PDI_Cash_Exception_Application[[#This Row],[CHANGED ON]]</f>
        <v>11.742928240739275</v>
      </c>
    </row>
    <row r="2153" spans="1:14" x14ac:dyDescent="0.35">
      <c r="A2153">
        <v>1018</v>
      </c>
      <c r="B2153" t="s">
        <v>72</v>
      </c>
      <c r="C2153" s="1">
        <v>45189.257071759261</v>
      </c>
      <c r="D2153" t="str">
        <f ca="1">VLOOKUP(qry_ProdData2_PDI_Cash_Exception_Application[[#This Row],[TYPE]],#REF!,2,FALSE)</f>
        <v>type13</v>
      </c>
      <c r="E2153">
        <v>21605.99</v>
      </c>
      <c r="F2153" t="s">
        <v>51</v>
      </c>
      <c r="G2153" s="1">
        <f>qry_ProdData2_PDI_Cash_Exception_Application[[#This Row],[INSERT DATE]]+7</f>
        <v>45196.257071759261</v>
      </c>
      <c r="H2153" t="str">
        <f>VLOOKUP(qry_ProdData2_PDI_Cash_Exception_Application[[#This Row],[MARKET No]],'Site Allocation'!$B$2:$C$37,2,FALSE)</f>
        <v>Analyst4</v>
      </c>
      <c r="I2153" s="4">
        <f t="shared" ca="1" si="33"/>
        <v>45203</v>
      </c>
      <c r="J2153" s="42">
        <f ca="1">TODAY()-qry_ProdData2_PDI_Cash_Exception_Application[[#This Row],[INSERT DATE]]</f>
        <v>13.742928240739275</v>
      </c>
      <c r="K21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53">
        <f ca="1">qry_ProdData2_PDI_Cash_Exception_Application[[#This Row],[TODAY]]-qry_ProdData2_PDI_Cash_Exception_Application[[#This Row],[CHANGED ON]]</f>
        <v>6.7429282407392748</v>
      </c>
      <c r="M2153">
        <f ca="1">qry_ProdData2_PDI_Cash_Exception_Application[[#This Row],[TODAY]]-qry_ProdData2_PDI_Cash_Exception_Application[[#This Row],[CHANGED ON]]</f>
        <v>6.7429282407392748</v>
      </c>
      <c r="N2153">
        <f ca="1">qry_ProdData2_PDI_Cash_Exception_Application[[#This Row],[TODAY]]-qry_ProdData2_PDI_Cash_Exception_Application[[#This Row],[CHANGED ON]]</f>
        <v>6.7429282407392748</v>
      </c>
    </row>
    <row r="2154" spans="1:14" x14ac:dyDescent="0.35">
      <c r="A2154">
        <v>1016</v>
      </c>
      <c r="B2154" t="s">
        <v>70</v>
      </c>
      <c r="C2154" s="1">
        <v>45188.257071759261</v>
      </c>
      <c r="D2154" t="str">
        <f ca="1">VLOOKUP(qry_ProdData2_PDI_Cash_Exception_Application[[#This Row],[TYPE]],#REF!,2,FALSE)</f>
        <v>type13</v>
      </c>
      <c r="E2154">
        <v>25736.880000000001</v>
      </c>
      <c r="F2154" t="s">
        <v>48</v>
      </c>
      <c r="G2154" s="1">
        <f>qry_ProdData2_PDI_Cash_Exception_Application[[#This Row],[INSERT DATE]]+2</f>
        <v>45190.257071759261</v>
      </c>
      <c r="H2154" t="str">
        <f>VLOOKUP(qry_ProdData2_PDI_Cash_Exception_Application[[#This Row],[MARKET No]],'Site Allocation'!$B$2:$C$37,2,FALSE)</f>
        <v>Analyst3</v>
      </c>
      <c r="I2154" s="4">
        <f t="shared" ca="1" si="33"/>
        <v>45203</v>
      </c>
      <c r="J2154" s="42">
        <f ca="1">TODAY()-qry_ProdData2_PDI_Cash_Exception_Application[[#This Row],[INSERT DATE]]</f>
        <v>14.742928240739275</v>
      </c>
      <c r="K21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54">
        <f ca="1">qry_ProdData2_PDI_Cash_Exception_Application[[#This Row],[TODAY]]-qry_ProdData2_PDI_Cash_Exception_Application[[#This Row],[CHANGED ON]]</f>
        <v>12.742928240739275</v>
      </c>
      <c r="M2154">
        <f ca="1">qry_ProdData2_PDI_Cash_Exception_Application[[#This Row],[TODAY]]-qry_ProdData2_PDI_Cash_Exception_Application[[#This Row],[CHANGED ON]]</f>
        <v>12.742928240739275</v>
      </c>
      <c r="N2154">
        <f ca="1">qry_ProdData2_PDI_Cash_Exception_Application[[#This Row],[TODAY]]-qry_ProdData2_PDI_Cash_Exception_Application[[#This Row],[CHANGED ON]]</f>
        <v>12.742928240739275</v>
      </c>
    </row>
    <row r="2155" spans="1:14" x14ac:dyDescent="0.35">
      <c r="A2155">
        <v>1026</v>
      </c>
      <c r="B2155" t="s">
        <v>80</v>
      </c>
      <c r="C2155" s="1">
        <v>45193.257071759261</v>
      </c>
      <c r="D2155" t="str">
        <f ca="1">VLOOKUP(qry_ProdData2_PDI_Cash_Exception_Application[[#This Row],[TYPE]],#REF!,2,FALSE)</f>
        <v>type13</v>
      </c>
      <c r="E2155">
        <v>40924.76</v>
      </c>
      <c r="F2155" t="s">
        <v>52</v>
      </c>
      <c r="G2155" s="1">
        <f>qry_ProdData2_PDI_Cash_Exception_Application[[#This Row],[INSERT DATE]]+1</f>
        <v>45194.257071759261</v>
      </c>
      <c r="H2155" t="str">
        <f>VLOOKUP(qry_ProdData2_PDI_Cash_Exception_Application[[#This Row],[MARKET No]],'Site Allocation'!$B$2:$C$37,2,FALSE)</f>
        <v>Analyst5</v>
      </c>
      <c r="I2155" s="4">
        <f t="shared" ca="1" si="33"/>
        <v>45203</v>
      </c>
      <c r="J2155" s="42">
        <f ca="1">TODAY()-qry_ProdData2_PDI_Cash_Exception_Application[[#This Row],[INSERT DATE]]</f>
        <v>9.7429282407392748</v>
      </c>
      <c r="K21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55">
        <f ca="1">qry_ProdData2_PDI_Cash_Exception_Application[[#This Row],[TODAY]]-qry_ProdData2_PDI_Cash_Exception_Application[[#This Row],[CHANGED ON]]</f>
        <v>8.7429282407392748</v>
      </c>
      <c r="M2155">
        <f ca="1">qry_ProdData2_PDI_Cash_Exception_Application[[#This Row],[TODAY]]-qry_ProdData2_PDI_Cash_Exception_Application[[#This Row],[CHANGED ON]]</f>
        <v>8.7429282407392748</v>
      </c>
      <c r="N2155">
        <f ca="1">qry_ProdData2_PDI_Cash_Exception_Application[[#This Row],[TODAY]]-qry_ProdData2_PDI_Cash_Exception_Application[[#This Row],[CHANGED ON]]</f>
        <v>8.7429282407392748</v>
      </c>
    </row>
    <row r="2156" spans="1:14" x14ac:dyDescent="0.35">
      <c r="A2156">
        <v>1033</v>
      </c>
      <c r="B2156" t="s">
        <v>87</v>
      </c>
      <c r="C2156" s="1">
        <v>45194.257071759261</v>
      </c>
      <c r="D2156" t="str">
        <f ca="1">VLOOKUP(qry_ProdData2_PDI_Cash_Exception_Application[[#This Row],[TYPE]],#REF!,2,FALSE)</f>
        <v>type38</v>
      </c>
      <c r="E2156">
        <v>206.43</v>
      </c>
      <c r="F2156" t="s">
        <v>52</v>
      </c>
      <c r="G2156" s="1">
        <f>qry_ProdData2_PDI_Cash_Exception_Application[[#This Row],[INSERT DATE]]+1</f>
        <v>45195.257071759261</v>
      </c>
      <c r="H2156" t="str">
        <f>VLOOKUP(qry_ProdData2_PDI_Cash_Exception_Application[[#This Row],[MARKET No]],'Site Allocation'!$B$2:$C$37,2,FALSE)</f>
        <v>Analyst6</v>
      </c>
      <c r="I2156" s="4">
        <f t="shared" ca="1" si="33"/>
        <v>45203</v>
      </c>
      <c r="J2156" s="42">
        <f ca="1">TODAY()-qry_ProdData2_PDI_Cash_Exception_Application[[#This Row],[INSERT DATE]]</f>
        <v>8.7429282407392748</v>
      </c>
      <c r="K21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156">
        <f ca="1">qry_ProdData2_PDI_Cash_Exception_Application[[#This Row],[TODAY]]-qry_ProdData2_PDI_Cash_Exception_Application[[#This Row],[CHANGED ON]]</f>
        <v>7.7429282407392748</v>
      </c>
      <c r="M2156">
        <f ca="1">qry_ProdData2_PDI_Cash_Exception_Application[[#This Row],[TODAY]]-qry_ProdData2_PDI_Cash_Exception_Application[[#This Row],[CHANGED ON]]</f>
        <v>7.7429282407392748</v>
      </c>
      <c r="N2156">
        <f ca="1">qry_ProdData2_PDI_Cash_Exception_Application[[#This Row],[TODAY]]-qry_ProdData2_PDI_Cash_Exception_Application[[#This Row],[CHANGED ON]]</f>
        <v>7.7429282407392748</v>
      </c>
    </row>
    <row r="2157" spans="1:14" x14ac:dyDescent="0.35">
      <c r="A2157">
        <v>1024</v>
      </c>
      <c r="B2157" t="s">
        <v>78</v>
      </c>
      <c r="C2157" s="1">
        <v>45189.257071759261</v>
      </c>
      <c r="D2157" t="str">
        <f ca="1">VLOOKUP(qry_ProdData2_PDI_Cash_Exception_Application[[#This Row],[TYPE]],#REF!,2,FALSE)</f>
        <v>type40</v>
      </c>
      <c r="E2157">
        <v>-512.44000000000005</v>
      </c>
      <c r="F2157" t="s">
        <v>47</v>
      </c>
      <c r="G2157" s="1">
        <f>qry_ProdData2_PDI_Cash_Exception_Application[[#This Row],[INSERT DATE]]+2</f>
        <v>45191.257071759261</v>
      </c>
      <c r="H2157" t="str">
        <f>VLOOKUP(qry_ProdData2_PDI_Cash_Exception_Application[[#This Row],[MARKET No]],'Site Allocation'!$B$2:$C$37,2,FALSE)</f>
        <v>Analyst5</v>
      </c>
      <c r="I2157" s="4">
        <f t="shared" ca="1" si="33"/>
        <v>45203</v>
      </c>
      <c r="J2157" s="42">
        <f ca="1">TODAY()-qry_ProdData2_PDI_Cash_Exception_Application[[#This Row],[INSERT DATE]]</f>
        <v>13.742928240739275</v>
      </c>
      <c r="K21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57">
        <f ca="1">qry_ProdData2_PDI_Cash_Exception_Application[[#This Row],[TODAY]]-qry_ProdData2_PDI_Cash_Exception_Application[[#This Row],[CHANGED ON]]</f>
        <v>11.742928240739275</v>
      </c>
      <c r="M2157">
        <f ca="1">qry_ProdData2_PDI_Cash_Exception_Application[[#This Row],[TODAY]]-qry_ProdData2_PDI_Cash_Exception_Application[[#This Row],[CHANGED ON]]</f>
        <v>11.742928240739275</v>
      </c>
      <c r="N2157">
        <f ca="1">qry_ProdData2_PDI_Cash_Exception_Application[[#This Row],[TODAY]]-qry_ProdData2_PDI_Cash_Exception_Application[[#This Row],[CHANGED ON]]</f>
        <v>11.742928240739275</v>
      </c>
    </row>
    <row r="2158" spans="1:14" x14ac:dyDescent="0.35">
      <c r="A2158">
        <v>1029</v>
      </c>
      <c r="B2158" t="s">
        <v>83</v>
      </c>
      <c r="C2158" s="1">
        <v>45196.257071759261</v>
      </c>
      <c r="D2158" t="str">
        <f ca="1">VLOOKUP(qry_ProdData2_PDI_Cash_Exception_Application[[#This Row],[TYPE]],#REF!,2,FALSE)</f>
        <v>type38</v>
      </c>
      <c r="E2158">
        <v>391.88</v>
      </c>
      <c r="F2158" t="s">
        <v>52</v>
      </c>
      <c r="G2158" s="1">
        <f>qry_ProdData2_PDI_Cash_Exception_Application[[#This Row],[INSERT DATE]]+1</f>
        <v>45197.257071759261</v>
      </c>
      <c r="H2158" t="str">
        <f>VLOOKUP(qry_ProdData2_PDI_Cash_Exception_Application[[#This Row],[MARKET No]],'Site Allocation'!$B$2:$C$37,2,FALSE)</f>
        <v>Analyst5</v>
      </c>
      <c r="I2158" s="4">
        <f t="shared" ca="1" si="33"/>
        <v>45203</v>
      </c>
      <c r="J2158" s="42">
        <f ca="1">TODAY()-qry_ProdData2_PDI_Cash_Exception_Application[[#This Row],[INSERT DATE]]</f>
        <v>6.7429282407392748</v>
      </c>
      <c r="K21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158">
        <f ca="1">qry_ProdData2_PDI_Cash_Exception_Application[[#This Row],[TODAY]]-qry_ProdData2_PDI_Cash_Exception_Application[[#This Row],[CHANGED ON]]</f>
        <v>5.7429282407392748</v>
      </c>
      <c r="M2158">
        <f ca="1">qry_ProdData2_PDI_Cash_Exception_Application[[#This Row],[TODAY]]-qry_ProdData2_PDI_Cash_Exception_Application[[#This Row],[CHANGED ON]]</f>
        <v>5.7429282407392748</v>
      </c>
      <c r="N2158">
        <f ca="1">qry_ProdData2_PDI_Cash_Exception_Application[[#This Row],[TODAY]]-qry_ProdData2_PDI_Cash_Exception_Application[[#This Row],[CHANGED ON]]</f>
        <v>5.7429282407392748</v>
      </c>
    </row>
    <row r="2159" spans="1:14" x14ac:dyDescent="0.35">
      <c r="A2159">
        <v>1028</v>
      </c>
      <c r="B2159" t="s">
        <v>82</v>
      </c>
      <c r="C2159" s="1">
        <v>45197.257071759261</v>
      </c>
      <c r="D2159" t="str">
        <f ca="1">VLOOKUP(qry_ProdData2_PDI_Cash_Exception_Application[[#This Row],[TYPE]],#REF!,2,FALSE)</f>
        <v>type13</v>
      </c>
      <c r="E2159">
        <v>43776.27</v>
      </c>
      <c r="F2159" t="s">
        <v>52</v>
      </c>
      <c r="G2159" s="1">
        <f>qry_ProdData2_PDI_Cash_Exception_Application[[#This Row],[INSERT DATE]]+2</f>
        <v>45199.257071759261</v>
      </c>
      <c r="H2159" t="str">
        <f>VLOOKUP(qry_ProdData2_PDI_Cash_Exception_Application[[#This Row],[MARKET No]],'Site Allocation'!$B$2:$C$37,2,FALSE)</f>
        <v>Analyst5</v>
      </c>
      <c r="I2159" s="4">
        <f t="shared" ca="1" si="33"/>
        <v>45203</v>
      </c>
      <c r="J2159" s="42">
        <f ca="1">TODAY()-qry_ProdData2_PDI_Cash_Exception_Application[[#This Row],[INSERT DATE]]</f>
        <v>5.7429282407392748</v>
      </c>
      <c r="K21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159">
        <f ca="1">qry_ProdData2_PDI_Cash_Exception_Application[[#This Row],[TODAY]]-qry_ProdData2_PDI_Cash_Exception_Application[[#This Row],[CHANGED ON]]</f>
        <v>3.7429282407392748</v>
      </c>
      <c r="M2159">
        <f ca="1">qry_ProdData2_PDI_Cash_Exception_Application[[#This Row],[TODAY]]-qry_ProdData2_PDI_Cash_Exception_Application[[#This Row],[CHANGED ON]]</f>
        <v>3.7429282407392748</v>
      </c>
      <c r="N2159">
        <f ca="1">qry_ProdData2_PDI_Cash_Exception_Application[[#This Row],[TODAY]]-qry_ProdData2_PDI_Cash_Exception_Application[[#This Row],[CHANGED ON]]</f>
        <v>3.7429282407392748</v>
      </c>
    </row>
    <row r="2160" spans="1:14" x14ac:dyDescent="0.35">
      <c r="A2160">
        <v>1033</v>
      </c>
      <c r="B2160" t="s">
        <v>87</v>
      </c>
      <c r="C2160" s="1">
        <v>45187.257071759261</v>
      </c>
      <c r="D2160" t="str">
        <f ca="1">VLOOKUP(qry_ProdData2_PDI_Cash_Exception_Application[[#This Row],[TYPE]],#REF!,2,FALSE)</f>
        <v>type40</v>
      </c>
      <c r="E2160">
        <v>-359.07</v>
      </c>
      <c r="F2160" t="s">
        <v>51</v>
      </c>
      <c r="G2160" s="1">
        <f>qry_ProdData2_PDI_Cash_Exception_Application[[#This Row],[INSERT DATE]]+1</f>
        <v>45188.257071759261</v>
      </c>
      <c r="H2160" t="str">
        <f>VLOOKUP(qry_ProdData2_PDI_Cash_Exception_Application[[#This Row],[MARKET No]],'Site Allocation'!$B$2:$C$37,2,FALSE)</f>
        <v>Analyst6</v>
      </c>
      <c r="I2160" s="4">
        <f t="shared" ca="1" si="33"/>
        <v>45203</v>
      </c>
      <c r="J2160" s="42">
        <f ca="1">TODAY()-qry_ProdData2_PDI_Cash_Exception_Application[[#This Row],[INSERT DATE]]</f>
        <v>15.742928240739275</v>
      </c>
      <c r="K21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60">
        <f ca="1">qry_ProdData2_PDI_Cash_Exception_Application[[#This Row],[TODAY]]-qry_ProdData2_PDI_Cash_Exception_Application[[#This Row],[CHANGED ON]]</f>
        <v>14.742928240739275</v>
      </c>
      <c r="M2160">
        <f ca="1">qry_ProdData2_PDI_Cash_Exception_Application[[#This Row],[TODAY]]-qry_ProdData2_PDI_Cash_Exception_Application[[#This Row],[CHANGED ON]]</f>
        <v>14.742928240739275</v>
      </c>
      <c r="N2160">
        <f ca="1">qry_ProdData2_PDI_Cash_Exception_Application[[#This Row],[TODAY]]-qry_ProdData2_PDI_Cash_Exception_Application[[#This Row],[CHANGED ON]]</f>
        <v>14.742928240739275</v>
      </c>
    </row>
    <row r="2161" spans="1:14" x14ac:dyDescent="0.35">
      <c r="A2161">
        <v>1033</v>
      </c>
      <c r="B2161" t="s">
        <v>87</v>
      </c>
      <c r="C2161" s="1">
        <v>45182.257071759261</v>
      </c>
      <c r="D2161" t="str">
        <f ca="1">VLOOKUP(qry_ProdData2_PDI_Cash_Exception_Application[[#This Row],[TYPE]],#REF!,2,FALSE)</f>
        <v>type40</v>
      </c>
      <c r="E2161">
        <v>-704.52</v>
      </c>
      <c r="F2161" t="s">
        <v>49</v>
      </c>
      <c r="G2161" s="1">
        <f>qry_ProdData2_PDI_Cash_Exception_Application[[#This Row],[INSERT DATE]]+1</f>
        <v>45183.257071759261</v>
      </c>
      <c r="H2161" t="str">
        <f>VLOOKUP(qry_ProdData2_PDI_Cash_Exception_Application[[#This Row],[MARKET No]],'Site Allocation'!$B$2:$C$37,2,FALSE)</f>
        <v>Analyst6</v>
      </c>
      <c r="I2161" s="4">
        <f t="shared" ca="1" si="33"/>
        <v>45203</v>
      </c>
      <c r="J2161" s="42">
        <f ca="1">TODAY()-qry_ProdData2_PDI_Cash_Exception_Application[[#This Row],[INSERT DATE]]</f>
        <v>20.742928240739275</v>
      </c>
      <c r="K21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61">
        <f ca="1">qry_ProdData2_PDI_Cash_Exception_Application[[#This Row],[TODAY]]-qry_ProdData2_PDI_Cash_Exception_Application[[#This Row],[CHANGED ON]]</f>
        <v>19.742928240739275</v>
      </c>
      <c r="M2161">
        <f ca="1">qry_ProdData2_PDI_Cash_Exception_Application[[#This Row],[TODAY]]-qry_ProdData2_PDI_Cash_Exception_Application[[#This Row],[CHANGED ON]]</f>
        <v>19.742928240739275</v>
      </c>
      <c r="N2161">
        <f ca="1">qry_ProdData2_PDI_Cash_Exception_Application[[#This Row],[TODAY]]-qry_ProdData2_PDI_Cash_Exception_Application[[#This Row],[CHANGED ON]]</f>
        <v>19.742928240739275</v>
      </c>
    </row>
    <row r="2162" spans="1:14" x14ac:dyDescent="0.35">
      <c r="A2162">
        <v>1018</v>
      </c>
      <c r="B2162" t="s">
        <v>72</v>
      </c>
      <c r="C2162" s="1">
        <v>45187.257071759261</v>
      </c>
      <c r="D2162" t="str">
        <f ca="1">VLOOKUP(qry_ProdData2_PDI_Cash_Exception_Application[[#This Row],[TYPE]],#REF!,2,FALSE)</f>
        <v>type38</v>
      </c>
      <c r="E2162">
        <v>155.47999999999999</v>
      </c>
      <c r="F2162" t="s">
        <v>50</v>
      </c>
      <c r="G2162" s="1">
        <f>qry_ProdData2_PDI_Cash_Exception_Application[[#This Row],[INSERT DATE]]+2</f>
        <v>45189.257071759261</v>
      </c>
      <c r="H2162" t="str">
        <f>VLOOKUP(qry_ProdData2_PDI_Cash_Exception_Application[[#This Row],[MARKET No]],'Site Allocation'!$B$2:$C$37,2,FALSE)</f>
        <v>Analyst4</v>
      </c>
      <c r="I2162" s="4">
        <f t="shared" ca="1" si="33"/>
        <v>45203</v>
      </c>
      <c r="J2162" s="42">
        <f ca="1">TODAY()-qry_ProdData2_PDI_Cash_Exception_Application[[#This Row],[INSERT DATE]]</f>
        <v>15.742928240739275</v>
      </c>
      <c r="K21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62">
        <f ca="1">qry_ProdData2_PDI_Cash_Exception_Application[[#This Row],[TODAY]]-qry_ProdData2_PDI_Cash_Exception_Application[[#This Row],[CHANGED ON]]</f>
        <v>13.742928240739275</v>
      </c>
      <c r="M2162">
        <f ca="1">qry_ProdData2_PDI_Cash_Exception_Application[[#This Row],[TODAY]]-qry_ProdData2_PDI_Cash_Exception_Application[[#This Row],[CHANGED ON]]</f>
        <v>13.742928240739275</v>
      </c>
      <c r="N2162">
        <f ca="1">qry_ProdData2_PDI_Cash_Exception_Application[[#This Row],[TODAY]]-qry_ProdData2_PDI_Cash_Exception_Application[[#This Row],[CHANGED ON]]</f>
        <v>13.742928240739275</v>
      </c>
    </row>
    <row r="2163" spans="1:14" x14ac:dyDescent="0.35">
      <c r="A2163">
        <v>1035</v>
      </c>
      <c r="B2163" t="s">
        <v>89</v>
      </c>
      <c r="C2163" s="1">
        <v>45182.257071759261</v>
      </c>
      <c r="D2163" t="str">
        <f ca="1">VLOOKUP(qry_ProdData2_PDI_Cash_Exception_Application[[#This Row],[TYPE]],#REF!,2,FALSE)</f>
        <v>type40</v>
      </c>
      <c r="E2163">
        <v>-368.03</v>
      </c>
      <c r="F2163" t="s">
        <v>48</v>
      </c>
      <c r="G2163" s="1">
        <f>qry_ProdData2_PDI_Cash_Exception_Application[[#This Row],[INSERT DATE]]+7</f>
        <v>45189.257071759261</v>
      </c>
      <c r="H2163" t="str">
        <f>VLOOKUP(qry_ProdData2_PDI_Cash_Exception_Application[[#This Row],[MARKET No]],'Site Allocation'!$B$2:$C$37,2,FALSE)</f>
        <v>Analyst6</v>
      </c>
      <c r="I2163" s="4">
        <f t="shared" ca="1" si="33"/>
        <v>45203</v>
      </c>
      <c r="J2163" s="42">
        <f ca="1">TODAY()-qry_ProdData2_PDI_Cash_Exception_Application[[#This Row],[INSERT DATE]]</f>
        <v>20.742928240739275</v>
      </c>
      <c r="K21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63">
        <f ca="1">qry_ProdData2_PDI_Cash_Exception_Application[[#This Row],[TODAY]]-qry_ProdData2_PDI_Cash_Exception_Application[[#This Row],[CHANGED ON]]</f>
        <v>13.742928240739275</v>
      </c>
      <c r="M2163">
        <f ca="1">qry_ProdData2_PDI_Cash_Exception_Application[[#This Row],[TODAY]]-qry_ProdData2_PDI_Cash_Exception_Application[[#This Row],[CHANGED ON]]</f>
        <v>13.742928240739275</v>
      </c>
      <c r="N2163">
        <f ca="1">qry_ProdData2_PDI_Cash_Exception_Application[[#This Row],[TODAY]]-qry_ProdData2_PDI_Cash_Exception_Application[[#This Row],[CHANGED ON]]</f>
        <v>13.742928240739275</v>
      </c>
    </row>
    <row r="2164" spans="1:14" x14ac:dyDescent="0.35">
      <c r="A2164">
        <v>1007</v>
      </c>
      <c r="B2164" t="s">
        <v>61</v>
      </c>
      <c r="C2164" s="1">
        <v>45183.257071759261</v>
      </c>
      <c r="D2164" t="str">
        <f ca="1">VLOOKUP(qry_ProdData2_PDI_Cash_Exception_Application[[#This Row],[TYPE]],#REF!,2,FALSE)</f>
        <v>type40</v>
      </c>
      <c r="E2164">
        <v>-369.66</v>
      </c>
      <c r="F2164" t="s">
        <v>49</v>
      </c>
      <c r="G2164" s="1">
        <f>qry_ProdData2_PDI_Cash_Exception_Application[[#This Row],[INSERT DATE]]+1</f>
        <v>45184.257071759261</v>
      </c>
      <c r="H2164" t="str">
        <f>VLOOKUP(qry_ProdData2_PDI_Cash_Exception_Application[[#This Row],[MARKET No]],'Site Allocation'!$B$2:$C$37,2,FALSE)</f>
        <v>Analyst2</v>
      </c>
      <c r="I2164" s="4">
        <f t="shared" ca="1" si="33"/>
        <v>45203</v>
      </c>
      <c r="J2164" s="42">
        <f ca="1">TODAY()-qry_ProdData2_PDI_Cash_Exception_Application[[#This Row],[INSERT DATE]]</f>
        <v>19.742928240739275</v>
      </c>
      <c r="K21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64">
        <f ca="1">qry_ProdData2_PDI_Cash_Exception_Application[[#This Row],[TODAY]]-qry_ProdData2_PDI_Cash_Exception_Application[[#This Row],[CHANGED ON]]</f>
        <v>18.742928240739275</v>
      </c>
      <c r="M2164">
        <f ca="1">qry_ProdData2_PDI_Cash_Exception_Application[[#This Row],[TODAY]]-qry_ProdData2_PDI_Cash_Exception_Application[[#This Row],[CHANGED ON]]</f>
        <v>18.742928240739275</v>
      </c>
      <c r="N2164">
        <f ca="1">qry_ProdData2_PDI_Cash_Exception_Application[[#This Row],[TODAY]]-qry_ProdData2_PDI_Cash_Exception_Application[[#This Row],[CHANGED ON]]</f>
        <v>18.742928240739275</v>
      </c>
    </row>
    <row r="2165" spans="1:14" x14ac:dyDescent="0.35">
      <c r="A2165">
        <v>1009</v>
      </c>
      <c r="B2165" t="s">
        <v>63</v>
      </c>
      <c r="C2165" s="1">
        <v>45189.257071759261</v>
      </c>
      <c r="D2165" t="str">
        <f ca="1">VLOOKUP(qry_ProdData2_PDI_Cash_Exception_Application[[#This Row],[TYPE]],#REF!,2,FALSE)</f>
        <v>type40</v>
      </c>
      <c r="E2165">
        <v>406.41</v>
      </c>
      <c r="F2165" t="s">
        <v>52</v>
      </c>
      <c r="G2165" s="1">
        <f>qry_ProdData2_PDI_Cash_Exception_Application[[#This Row],[INSERT DATE]]+2</f>
        <v>45191.257071759261</v>
      </c>
      <c r="H2165" t="str">
        <f>VLOOKUP(qry_ProdData2_PDI_Cash_Exception_Application[[#This Row],[MARKET No]],'Site Allocation'!$B$2:$C$37,2,FALSE)</f>
        <v>Analyst2</v>
      </c>
      <c r="I2165" s="4">
        <f t="shared" ca="1" si="33"/>
        <v>45203</v>
      </c>
      <c r="J2165" s="42">
        <f ca="1">TODAY()-qry_ProdData2_PDI_Cash_Exception_Application[[#This Row],[INSERT DATE]]</f>
        <v>13.742928240739275</v>
      </c>
      <c r="K21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65">
        <f ca="1">qry_ProdData2_PDI_Cash_Exception_Application[[#This Row],[TODAY]]-qry_ProdData2_PDI_Cash_Exception_Application[[#This Row],[CHANGED ON]]</f>
        <v>11.742928240739275</v>
      </c>
      <c r="M2165">
        <f ca="1">qry_ProdData2_PDI_Cash_Exception_Application[[#This Row],[TODAY]]-qry_ProdData2_PDI_Cash_Exception_Application[[#This Row],[CHANGED ON]]</f>
        <v>11.742928240739275</v>
      </c>
      <c r="N2165">
        <f ca="1">qry_ProdData2_PDI_Cash_Exception_Application[[#This Row],[TODAY]]-qry_ProdData2_PDI_Cash_Exception_Application[[#This Row],[CHANGED ON]]</f>
        <v>11.742928240739275</v>
      </c>
    </row>
    <row r="2166" spans="1:14" x14ac:dyDescent="0.35">
      <c r="A2166">
        <v>1027</v>
      </c>
      <c r="B2166" t="s">
        <v>81</v>
      </c>
      <c r="C2166" s="1">
        <v>45190.257071759261</v>
      </c>
      <c r="D2166" t="str">
        <f ca="1">VLOOKUP(qry_ProdData2_PDI_Cash_Exception_Application[[#This Row],[TYPE]],#REF!,2,FALSE)</f>
        <v>type40</v>
      </c>
      <c r="E2166">
        <v>-421.45</v>
      </c>
      <c r="F2166" t="s">
        <v>47</v>
      </c>
      <c r="G2166" s="1">
        <f>qry_ProdData2_PDI_Cash_Exception_Application[[#This Row],[INSERT DATE]]+2</f>
        <v>45192.257071759261</v>
      </c>
      <c r="H2166" t="str">
        <f>VLOOKUP(qry_ProdData2_PDI_Cash_Exception_Application[[#This Row],[MARKET No]],'Site Allocation'!$B$2:$C$37,2,FALSE)</f>
        <v>Analyst5</v>
      </c>
      <c r="I2166" s="4">
        <f t="shared" ca="1" si="33"/>
        <v>45203</v>
      </c>
      <c r="J2166" s="42">
        <f ca="1">TODAY()-qry_ProdData2_PDI_Cash_Exception_Application[[#This Row],[INSERT DATE]]</f>
        <v>12.742928240739275</v>
      </c>
      <c r="K21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66">
        <f ca="1">qry_ProdData2_PDI_Cash_Exception_Application[[#This Row],[TODAY]]-qry_ProdData2_PDI_Cash_Exception_Application[[#This Row],[CHANGED ON]]</f>
        <v>10.742928240739275</v>
      </c>
      <c r="M2166">
        <f ca="1">qry_ProdData2_PDI_Cash_Exception_Application[[#This Row],[TODAY]]-qry_ProdData2_PDI_Cash_Exception_Application[[#This Row],[CHANGED ON]]</f>
        <v>10.742928240739275</v>
      </c>
      <c r="N2166">
        <f ca="1">qry_ProdData2_PDI_Cash_Exception_Application[[#This Row],[TODAY]]-qry_ProdData2_PDI_Cash_Exception_Application[[#This Row],[CHANGED ON]]</f>
        <v>10.742928240739275</v>
      </c>
    </row>
    <row r="2167" spans="1:14" x14ac:dyDescent="0.35">
      <c r="A2167">
        <v>1000</v>
      </c>
      <c r="B2167" t="s">
        <v>54</v>
      </c>
      <c r="C2167" s="1">
        <v>45183.257071759261</v>
      </c>
      <c r="D2167" t="str">
        <f ca="1">VLOOKUP(qry_ProdData2_PDI_Cash_Exception_Application[[#This Row],[TYPE]],#REF!,2,FALSE)</f>
        <v>type13</v>
      </c>
      <c r="E2167">
        <v>28621.06</v>
      </c>
      <c r="F2167" t="s">
        <v>48</v>
      </c>
      <c r="G2167" s="1">
        <f>qry_ProdData2_PDI_Cash_Exception_Application[[#This Row],[INSERT DATE]]+7</f>
        <v>45190.257071759261</v>
      </c>
      <c r="H2167" t="str">
        <f>VLOOKUP(qry_ProdData2_PDI_Cash_Exception_Application[[#This Row],[MARKET No]],'Site Allocation'!$B$2:$C$37,2,FALSE)</f>
        <v>Analyst1</v>
      </c>
      <c r="I2167" s="4">
        <f t="shared" ca="1" si="33"/>
        <v>45203</v>
      </c>
      <c r="J2167" s="42">
        <f ca="1">TODAY()-qry_ProdData2_PDI_Cash_Exception_Application[[#This Row],[INSERT DATE]]</f>
        <v>19.742928240739275</v>
      </c>
      <c r="K21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67">
        <f ca="1">qry_ProdData2_PDI_Cash_Exception_Application[[#This Row],[TODAY]]-qry_ProdData2_PDI_Cash_Exception_Application[[#This Row],[CHANGED ON]]</f>
        <v>12.742928240739275</v>
      </c>
      <c r="M2167">
        <f ca="1">qry_ProdData2_PDI_Cash_Exception_Application[[#This Row],[TODAY]]-qry_ProdData2_PDI_Cash_Exception_Application[[#This Row],[CHANGED ON]]</f>
        <v>12.742928240739275</v>
      </c>
      <c r="N2167">
        <f ca="1">qry_ProdData2_PDI_Cash_Exception_Application[[#This Row],[TODAY]]-qry_ProdData2_PDI_Cash_Exception_Application[[#This Row],[CHANGED ON]]</f>
        <v>12.742928240739275</v>
      </c>
    </row>
    <row r="2168" spans="1:14" x14ac:dyDescent="0.35">
      <c r="A2168">
        <v>1002</v>
      </c>
      <c r="B2168" t="s">
        <v>56</v>
      </c>
      <c r="C2168" s="1">
        <v>45190.257071759261</v>
      </c>
      <c r="D2168" t="str">
        <f ca="1">VLOOKUP(qry_ProdData2_PDI_Cash_Exception_Application[[#This Row],[TYPE]],#REF!,2,FALSE)</f>
        <v>type38</v>
      </c>
      <c r="E2168">
        <v>226.05</v>
      </c>
      <c r="F2168" t="s">
        <v>52</v>
      </c>
      <c r="G2168" s="1">
        <f>qry_ProdData2_PDI_Cash_Exception_Application[[#This Row],[INSERT DATE]]+2</f>
        <v>45192.257071759261</v>
      </c>
      <c r="H2168" t="str">
        <f>VLOOKUP(qry_ProdData2_PDI_Cash_Exception_Application[[#This Row],[MARKET No]],'Site Allocation'!$B$2:$C$37,2,FALSE)</f>
        <v>Analyst1</v>
      </c>
      <c r="I2168" s="4">
        <f t="shared" ca="1" si="33"/>
        <v>45203</v>
      </c>
      <c r="J2168" s="42">
        <f ca="1">TODAY()-qry_ProdData2_PDI_Cash_Exception_Application[[#This Row],[INSERT DATE]]</f>
        <v>12.742928240739275</v>
      </c>
      <c r="K21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68">
        <f ca="1">qry_ProdData2_PDI_Cash_Exception_Application[[#This Row],[TODAY]]-qry_ProdData2_PDI_Cash_Exception_Application[[#This Row],[CHANGED ON]]</f>
        <v>10.742928240739275</v>
      </c>
      <c r="M2168">
        <f ca="1">qry_ProdData2_PDI_Cash_Exception_Application[[#This Row],[TODAY]]-qry_ProdData2_PDI_Cash_Exception_Application[[#This Row],[CHANGED ON]]</f>
        <v>10.742928240739275</v>
      </c>
      <c r="N2168">
        <f ca="1">qry_ProdData2_PDI_Cash_Exception_Application[[#This Row],[TODAY]]-qry_ProdData2_PDI_Cash_Exception_Application[[#This Row],[CHANGED ON]]</f>
        <v>10.742928240739275</v>
      </c>
    </row>
    <row r="2169" spans="1:14" x14ac:dyDescent="0.35">
      <c r="A2169">
        <v>1016</v>
      </c>
      <c r="B2169" t="s">
        <v>70</v>
      </c>
      <c r="C2169" s="1">
        <v>45184.257071759261</v>
      </c>
      <c r="D2169" t="str">
        <f ca="1">VLOOKUP(qry_ProdData2_PDI_Cash_Exception_Application[[#This Row],[TYPE]],#REF!,2,FALSE)</f>
        <v>type13</v>
      </c>
      <c r="E2169">
        <v>27252.5</v>
      </c>
      <c r="F2169" t="s">
        <v>48</v>
      </c>
      <c r="G2169" s="1">
        <f>qry_ProdData2_PDI_Cash_Exception_Application[[#This Row],[INSERT DATE]]+1</f>
        <v>45185.257071759261</v>
      </c>
      <c r="H2169" t="str">
        <f>VLOOKUP(qry_ProdData2_PDI_Cash_Exception_Application[[#This Row],[MARKET No]],'Site Allocation'!$B$2:$C$37,2,FALSE)</f>
        <v>Analyst3</v>
      </c>
      <c r="I2169" s="4">
        <f t="shared" ca="1" si="33"/>
        <v>45203</v>
      </c>
      <c r="J2169" s="42">
        <f ca="1">TODAY()-qry_ProdData2_PDI_Cash_Exception_Application[[#This Row],[INSERT DATE]]</f>
        <v>18.742928240739275</v>
      </c>
      <c r="K21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69">
        <f ca="1">qry_ProdData2_PDI_Cash_Exception_Application[[#This Row],[TODAY]]-qry_ProdData2_PDI_Cash_Exception_Application[[#This Row],[CHANGED ON]]</f>
        <v>17.742928240739275</v>
      </c>
      <c r="M2169">
        <f ca="1">qry_ProdData2_PDI_Cash_Exception_Application[[#This Row],[TODAY]]-qry_ProdData2_PDI_Cash_Exception_Application[[#This Row],[CHANGED ON]]</f>
        <v>17.742928240739275</v>
      </c>
      <c r="N2169">
        <f ca="1">qry_ProdData2_PDI_Cash_Exception_Application[[#This Row],[TODAY]]-qry_ProdData2_PDI_Cash_Exception_Application[[#This Row],[CHANGED ON]]</f>
        <v>17.742928240739275</v>
      </c>
    </row>
    <row r="2170" spans="1:14" x14ac:dyDescent="0.35">
      <c r="A2170">
        <v>1004</v>
      </c>
      <c r="B2170" t="s">
        <v>58</v>
      </c>
      <c r="C2170" s="1">
        <v>45182.257071759261</v>
      </c>
      <c r="D2170" t="str">
        <f ca="1">VLOOKUP(qry_ProdData2_PDI_Cash_Exception_Application[[#This Row],[TYPE]],#REF!,2,FALSE)</f>
        <v>type10</v>
      </c>
      <c r="E2170">
        <v>107.83</v>
      </c>
      <c r="F2170" t="s">
        <v>47</v>
      </c>
      <c r="G2170" s="1">
        <f>qry_ProdData2_PDI_Cash_Exception_Application[[#This Row],[INSERT DATE]]+2</f>
        <v>45184.257071759261</v>
      </c>
      <c r="H2170" t="str">
        <f>VLOOKUP(qry_ProdData2_PDI_Cash_Exception_Application[[#This Row],[MARKET No]],'Site Allocation'!$B$2:$C$37,2,FALSE)</f>
        <v>Analyst1</v>
      </c>
      <c r="I2170" s="4">
        <f t="shared" ca="1" si="33"/>
        <v>45203</v>
      </c>
      <c r="J2170" s="42">
        <f ca="1">TODAY()-qry_ProdData2_PDI_Cash_Exception_Application[[#This Row],[INSERT DATE]]</f>
        <v>20.742928240739275</v>
      </c>
      <c r="K21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70">
        <f ca="1">qry_ProdData2_PDI_Cash_Exception_Application[[#This Row],[TODAY]]-qry_ProdData2_PDI_Cash_Exception_Application[[#This Row],[CHANGED ON]]</f>
        <v>18.742928240739275</v>
      </c>
      <c r="M2170">
        <f ca="1">qry_ProdData2_PDI_Cash_Exception_Application[[#This Row],[TODAY]]-qry_ProdData2_PDI_Cash_Exception_Application[[#This Row],[CHANGED ON]]</f>
        <v>18.742928240739275</v>
      </c>
      <c r="N2170">
        <f ca="1">qry_ProdData2_PDI_Cash_Exception_Application[[#This Row],[TODAY]]-qry_ProdData2_PDI_Cash_Exception_Application[[#This Row],[CHANGED ON]]</f>
        <v>18.742928240739275</v>
      </c>
    </row>
    <row r="2171" spans="1:14" x14ac:dyDescent="0.35">
      <c r="A2171">
        <v>1010</v>
      </c>
      <c r="B2171" t="s">
        <v>64</v>
      </c>
      <c r="C2171" s="1">
        <v>45193.257071759261</v>
      </c>
      <c r="D2171" t="str">
        <f ca="1">VLOOKUP(qry_ProdData2_PDI_Cash_Exception_Application[[#This Row],[TYPE]],#REF!,2,FALSE)</f>
        <v>type13</v>
      </c>
      <c r="E2171">
        <v>21802.35</v>
      </c>
      <c r="F2171" t="s">
        <v>52</v>
      </c>
      <c r="G2171" s="1">
        <f>qry_ProdData2_PDI_Cash_Exception_Application[[#This Row],[INSERT DATE]]+2</f>
        <v>45195.257071759261</v>
      </c>
      <c r="H2171" t="str">
        <f>VLOOKUP(qry_ProdData2_PDI_Cash_Exception_Application[[#This Row],[MARKET No]],'Site Allocation'!$B$2:$C$37,2,FALSE)</f>
        <v>Analyst2</v>
      </c>
      <c r="I2171" s="4">
        <f t="shared" ca="1" si="33"/>
        <v>45203</v>
      </c>
      <c r="J2171" s="42">
        <f ca="1">TODAY()-qry_ProdData2_PDI_Cash_Exception_Application[[#This Row],[INSERT DATE]]</f>
        <v>9.7429282407392748</v>
      </c>
      <c r="K21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71">
        <f ca="1">qry_ProdData2_PDI_Cash_Exception_Application[[#This Row],[TODAY]]-qry_ProdData2_PDI_Cash_Exception_Application[[#This Row],[CHANGED ON]]</f>
        <v>7.7429282407392748</v>
      </c>
      <c r="M2171">
        <f ca="1">qry_ProdData2_PDI_Cash_Exception_Application[[#This Row],[TODAY]]-qry_ProdData2_PDI_Cash_Exception_Application[[#This Row],[CHANGED ON]]</f>
        <v>7.7429282407392748</v>
      </c>
      <c r="N2171">
        <f ca="1">qry_ProdData2_PDI_Cash_Exception_Application[[#This Row],[TODAY]]-qry_ProdData2_PDI_Cash_Exception_Application[[#This Row],[CHANGED ON]]</f>
        <v>7.7429282407392748</v>
      </c>
    </row>
    <row r="2172" spans="1:14" x14ac:dyDescent="0.35">
      <c r="A2172">
        <v>1016</v>
      </c>
      <c r="B2172" t="s">
        <v>70</v>
      </c>
      <c r="C2172" s="1">
        <v>45194.257071759261</v>
      </c>
      <c r="D2172" t="str">
        <f ca="1">VLOOKUP(qry_ProdData2_PDI_Cash_Exception_Application[[#This Row],[TYPE]],#REF!,2,FALSE)</f>
        <v>type13</v>
      </c>
      <c r="E2172">
        <v>19400.84</v>
      </c>
      <c r="F2172" t="s">
        <v>50</v>
      </c>
      <c r="G2172" s="1">
        <f>qry_ProdData2_PDI_Cash_Exception_Application[[#This Row],[INSERT DATE]]+2</f>
        <v>45196.257071759261</v>
      </c>
      <c r="H2172" t="str">
        <f>VLOOKUP(qry_ProdData2_PDI_Cash_Exception_Application[[#This Row],[MARKET No]],'Site Allocation'!$B$2:$C$37,2,FALSE)</f>
        <v>Analyst3</v>
      </c>
      <c r="I2172" s="4">
        <f t="shared" ca="1" si="33"/>
        <v>45203</v>
      </c>
      <c r="J2172" s="42">
        <f ca="1">TODAY()-qry_ProdData2_PDI_Cash_Exception_Application[[#This Row],[INSERT DATE]]</f>
        <v>8.7429282407392748</v>
      </c>
      <c r="K21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172">
        <f ca="1">qry_ProdData2_PDI_Cash_Exception_Application[[#This Row],[TODAY]]-qry_ProdData2_PDI_Cash_Exception_Application[[#This Row],[CHANGED ON]]</f>
        <v>6.7429282407392748</v>
      </c>
      <c r="M2172">
        <f ca="1">qry_ProdData2_PDI_Cash_Exception_Application[[#This Row],[TODAY]]-qry_ProdData2_PDI_Cash_Exception_Application[[#This Row],[CHANGED ON]]</f>
        <v>6.7429282407392748</v>
      </c>
      <c r="N2172">
        <f ca="1">qry_ProdData2_PDI_Cash_Exception_Application[[#This Row],[TODAY]]-qry_ProdData2_PDI_Cash_Exception_Application[[#This Row],[CHANGED ON]]</f>
        <v>6.7429282407392748</v>
      </c>
    </row>
    <row r="2173" spans="1:14" x14ac:dyDescent="0.35">
      <c r="A2173">
        <v>1006</v>
      </c>
      <c r="B2173" t="s">
        <v>60</v>
      </c>
      <c r="C2173" s="1">
        <v>45183.257071759261</v>
      </c>
      <c r="D2173" t="str">
        <f ca="1">VLOOKUP(qry_ProdData2_PDI_Cash_Exception_Application[[#This Row],[TYPE]],#REF!,2,FALSE)</f>
        <v>type40</v>
      </c>
      <c r="E2173">
        <v>-488.46</v>
      </c>
      <c r="F2173" t="s">
        <v>47</v>
      </c>
      <c r="G2173" s="1">
        <f>qry_ProdData2_PDI_Cash_Exception_Application[[#This Row],[INSERT DATE]]+5</f>
        <v>45188.257071759261</v>
      </c>
      <c r="H2173" t="str">
        <f>VLOOKUP(qry_ProdData2_PDI_Cash_Exception_Application[[#This Row],[MARKET No]],'Site Allocation'!$B$2:$C$37,2,FALSE)</f>
        <v>Analyst2</v>
      </c>
      <c r="I2173" s="4">
        <f t="shared" ca="1" si="33"/>
        <v>45203</v>
      </c>
      <c r="J2173" s="42">
        <f ca="1">TODAY()-qry_ProdData2_PDI_Cash_Exception_Application[[#This Row],[INSERT DATE]]</f>
        <v>19.742928240739275</v>
      </c>
      <c r="K21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73">
        <f ca="1">qry_ProdData2_PDI_Cash_Exception_Application[[#This Row],[TODAY]]-qry_ProdData2_PDI_Cash_Exception_Application[[#This Row],[CHANGED ON]]</f>
        <v>14.742928240739275</v>
      </c>
      <c r="M2173">
        <f ca="1">qry_ProdData2_PDI_Cash_Exception_Application[[#This Row],[TODAY]]-qry_ProdData2_PDI_Cash_Exception_Application[[#This Row],[CHANGED ON]]</f>
        <v>14.742928240739275</v>
      </c>
      <c r="N2173">
        <f ca="1">qry_ProdData2_PDI_Cash_Exception_Application[[#This Row],[TODAY]]-qry_ProdData2_PDI_Cash_Exception_Application[[#This Row],[CHANGED ON]]</f>
        <v>14.742928240739275</v>
      </c>
    </row>
    <row r="2174" spans="1:14" x14ac:dyDescent="0.35">
      <c r="A2174">
        <v>1020</v>
      </c>
      <c r="B2174" t="s">
        <v>74</v>
      </c>
      <c r="C2174" s="1">
        <v>45196.257071759261</v>
      </c>
      <c r="D2174" t="str">
        <f ca="1">VLOOKUP(qry_ProdData2_PDI_Cash_Exception_Application[[#This Row],[TYPE]],#REF!,2,FALSE)</f>
        <v>type13</v>
      </c>
      <c r="E2174">
        <v>15718.9</v>
      </c>
      <c r="F2174" t="s">
        <v>52</v>
      </c>
      <c r="G2174" s="1">
        <f>qry_ProdData2_PDI_Cash_Exception_Application[[#This Row],[INSERT DATE]]+2</f>
        <v>45198.257071759261</v>
      </c>
      <c r="H2174" t="str">
        <f>VLOOKUP(qry_ProdData2_PDI_Cash_Exception_Application[[#This Row],[MARKET No]],'Site Allocation'!$B$2:$C$37,2,FALSE)</f>
        <v>Analyst4</v>
      </c>
      <c r="I2174" s="4">
        <f t="shared" ca="1" si="33"/>
        <v>45203</v>
      </c>
      <c r="J2174" s="42">
        <f ca="1">TODAY()-qry_ProdData2_PDI_Cash_Exception_Application[[#This Row],[INSERT DATE]]</f>
        <v>6.7429282407392748</v>
      </c>
      <c r="K21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174">
        <f ca="1">qry_ProdData2_PDI_Cash_Exception_Application[[#This Row],[TODAY]]-qry_ProdData2_PDI_Cash_Exception_Application[[#This Row],[CHANGED ON]]</f>
        <v>4.7429282407392748</v>
      </c>
      <c r="M2174">
        <f ca="1">qry_ProdData2_PDI_Cash_Exception_Application[[#This Row],[TODAY]]-qry_ProdData2_PDI_Cash_Exception_Application[[#This Row],[CHANGED ON]]</f>
        <v>4.7429282407392748</v>
      </c>
      <c r="N2174">
        <f ca="1">qry_ProdData2_PDI_Cash_Exception_Application[[#This Row],[TODAY]]-qry_ProdData2_PDI_Cash_Exception_Application[[#This Row],[CHANGED ON]]</f>
        <v>4.7429282407392748</v>
      </c>
    </row>
    <row r="2175" spans="1:14" x14ac:dyDescent="0.35">
      <c r="A2175">
        <v>1028</v>
      </c>
      <c r="B2175" t="s">
        <v>82</v>
      </c>
      <c r="C2175" s="1">
        <v>45190.257071759261</v>
      </c>
      <c r="D2175" t="str">
        <f ca="1">VLOOKUP(qry_ProdData2_PDI_Cash_Exception_Application[[#This Row],[TYPE]],#REF!,2,FALSE)</f>
        <v>type13</v>
      </c>
      <c r="E2175">
        <v>34993.760000000002</v>
      </c>
      <c r="F2175" t="s">
        <v>47</v>
      </c>
      <c r="G2175" s="1">
        <f>qry_ProdData2_PDI_Cash_Exception_Application[[#This Row],[INSERT DATE]]+5</f>
        <v>45195.257071759261</v>
      </c>
      <c r="H2175" t="str">
        <f>VLOOKUP(qry_ProdData2_PDI_Cash_Exception_Application[[#This Row],[MARKET No]],'Site Allocation'!$B$2:$C$37,2,FALSE)</f>
        <v>Analyst5</v>
      </c>
      <c r="I2175" s="4">
        <f t="shared" ca="1" si="33"/>
        <v>45203</v>
      </c>
      <c r="J2175" s="42">
        <f ca="1">TODAY()-qry_ProdData2_PDI_Cash_Exception_Application[[#This Row],[INSERT DATE]]</f>
        <v>12.742928240739275</v>
      </c>
      <c r="K21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75">
        <f ca="1">qry_ProdData2_PDI_Cash_Exception_Application[[#This Row],[TODAY]]-qry_ProdData2_PDI_Cash_Exception_Application[[#This Row],[CHANGED ON]]</f>
        <v>7.7429282407392748</v>
      </c>
      <c r="M2175">
        <f ca="1">qry_ProdData2_PDI_Cash_Exception_Application[[#This Row],[TODAY]]-qry_ProdData2_PDI_Cash_Exception_Application[[#This Row],[CHANGED ON]]</f>
        <v>7.7429282407392748</v>
      </c>
      <c r="N2175">
        <f ca="1">qry_ProdData2_PDI_Cash_Exception_Application[[#This Row],[TODAY]]-qry_ProdData2_PDI_Cash_Exception_Application[[#This Row],[CHANGED ON]]</f>
        <v>7.7429282407392748</v>
      </c>
    </row>
    <row r="2176" spans="1:14" x14ac:dyDescent="0.35">
      <c r="A2176">
        <v>1011</v>
      </c>
      <c r="B2176" t="s">
        <v>65</v>
      </c>
      <c r="C2176" s="1">
        <v>45188.257071759261</v>
      </c>
      <c r="D2176" t="str">
        <f ca="1">VLOOKUP(qry_ProdData2_PDI_Cash_Exception_Application[[#This Row],[TYPE]],#REF!,2,FALSE)</f>
        <v>type13</v>
      </c>
      <c r="E2176">
        <v>27850.61</v>
      </c>
      <c r="F2176" t="s">
        <v>49</v>
      </c>
      <c r="G2176" s="1">
        <f>qry_ProdData2_PDI_Cash_Exception_Application[[#This Row],[INSERT DATE]]+2</f>
        <v>45190.257071759261</v>
      </c>
      <c r="H2176" t="str">
        <f>VLOOKUP(qry_ProdData2_PDI_Cash_Exception_Application[[#This Row],[MARKET No]],'Site Allocation'!$B$2:$C$37,2,FALSE)</f>
        <v>Analyst2</v>
      </c>
      <c r="I2176" s="4">
        <f t="shared" ca="1" si="33"/>
        <v>45203</v>
      </c>
      <c r="J2176" s="42">
        <f ca="1">TODAY()-qry_ProdData2_PDI_Cash_Exception_Application[[#This Row],[INSERT DATE]]</f>
        <v>14.742928240739275</v>
      </c>
      <c r="K21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76">
        <f ca="1">qry_ProdData2_PDI_Cash_Exception_Application[[#This Row],[TODAY]]-qry_ProdData2_PDI_Cash_Exception_Application[[#This Row],[CHANGED ON]]</f>
        <v>12.742928240739275</v>
      </c>
      <c r="M2176">
        <f ca="1">qry_ProdData2_PDI_Cash_Exception_Application[[#This Row],[TODAY]]-qry_ProdData2_PDI_Cash_Exception_Application[[#This Row],[CHANGED ON]]</f>
        <v>12.742928240739275</v>
      </c>
      <c r="N2176">
        <f ca="1">qry_ProdData2_PDI_Cash_Exception_Application[[#This Row],[TODAY]]-qry_ProdData2_PDI_Cash_Exception_Application[[#This Row],[CHANGED ON]]</f>
        <v>12.742928240739275</v>
      </c>
    </row>
    <row r="2177" spans="1:14" x14ac:dyDescent="0.35">
      <c r="A2177">
        <v>1033</v>
      </c>
      <c r="B2177" t="s">
        <v>87</v>
      </c>
      <c r="C2177" s="1">
        <v>45187.257071759261</v>
      </c>
      <c r="D2177" t="str">
        <f ca="1">VLOOKUP(qry_ProdData2_PDI_Cash_Exception_Application[[#This Row],[TYPE]],#REF!,2,FALSE)</f>
        <v>type17</v>
      </c>
      <c r="E2177">
        <v>411.56</v>
      </c>
      <c r="F2177" t="s">
        <v>51</v>
      </c>
      <c r="G2177" s="1">
        <f>qry_ProdData2_PDI_Cash_Exception_Application[[#This Row],[INSERT DATE]]+1</f>
        <v>45188.257071759261</v>
      </c>
      <c r="H2177" t="str">
        <f>VLOOKUP(qry_ProdData2_PDI_Cash_Exception_Application[[#This Row],[MARKET No]],'Site Allocation'!$B$2:$C$37,2,FALSE)</f>
        <v>Analyst6</v>
      </c>
      <c r="I2177" s="4">
        <f t="shared" ca="1" si="33"/>
        <v>45203</v>
      </c>
      <c r="J2177" s="42">
        <f ca="1">TODAY()-qry_ProdData2_PDI_Cash_Exception_Application[[#This Row],[INSERT DATE]]</f>
        <v>15.742928240739275</v>
      </c>
      <c r="K21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77">
        <f ca="1">qry_ProdData2_PDI_Cash_Exception_Application[[#This Row],[TODAY]]-qry_ProdData2_PDI_Cash_Exception_Application[[#This Row],[CHANGED ON]]</f>
        <v>14.742928240739275</v>
      </c>
      <c r="M2177">
        <f ca="1">qry_ProdData2_PDI_Cash_Exception_Application[[#This Row],[TODAY]]-qry_ProdData2_PDI_Cash_Exception_Application[[#This Row],[CHANGED ON]]</f>
        <v>14.742928240739275</v>
      </c>
      <c r="N2177">
        <f ca="1">qry_ProdData2_PDI_Cash_Exception_Application[[#This Row],[TODAY]]-qry_ProdData2_PDI_Cash_Exception_Application[[#This Row],[CHANGED ON]]</f>
        <v>14.742928240739275</v>
      </c>
    </row>
    <row r="2178" spans="1:14" x14ac:dyDescent="0.35">
      <c r="A2178">
        <v>1035</v>
      </c>
      <c r="B2178" t="s">
        <v>89</v>
      </c>
      <c r="C2178" s="1">
        <v>45191.257071759261</v>
      </c>
      <c r="D2178" t="str">
        <f ca="1">VLOOKUP(qry_ProdData2_PDI_Cash_Exception_Application[[#This Row],[TYPE]],#REF!,2,FALSE)</f>
        <v>type40</v>
      </c>
      <c r="E2178">
        <v>714.35</v>
      </c>
      <c r="F2178" t="s">
        <v>47</v>
      </c>
      <c r="G2178" s="1">
        <f>qry_ProdData2_PDI_Cash_Exception_Application[[#This Row],[INSERT DATE]]+5</f>
        <v>45196.257071759261</v>
      </c>
      <c r="H2178" t="str">
        <f>VLOOKUP(qry_ProdData2_PDI_Cash_Exception_Application[[#This Row],[MARKET No]],'Site Allocation'!$B$2:$C$37,2,FALSE)</f>
        <v>Analyst6</v>
      </c>
      <c r="I2178" s="4">
        <f t="shared" ref="I2178:I2241" ca="1" si="34">TODAY()</f>
        <v>45203</v>
      </c>
      <c r="J2178" s="42">
        <f ca="1">TODAY()-qry_ProdData2_PDI_Cash_Exception_Application[[#This Row],[INSERT DATE]]</f>
        <v>11.742928240739275</v>
      </c>
      <c r="K21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78">
        <f ca="1">qry_ProdData2_PDI_Cash_Exception_Application[[#This Row],[TODAY]]-qry_ProdData2_PDI_Cash_Exception_Application[[#This Row],[CHANGED ON]]</f>
        <v>6.7429282407392748</v>
      </c>
      <c r="M2178">
        <f ca="1">qry_ProdData2_PDI_Cash_Exception_Application[[#This Row],[TODAY]]-qry_ProdData2_PDI_Cash_Exception_Application[[#This Row],[CHANGED ON]]</f>
        <v>6.7429282407392748</v>
      </c>
      <c r="N2178">
        <f ca="1">qry_ProdData2_PDI_Cash_Exception_Application[[#This Row],[TODAY]]-qry_ProdData2_PDI_Cash_Exception_Application[[#This Row],[CHANGED ON]]</f>
        <v>6.7429282407392748</v>
      </c>
    </row>
    <row r="2179" spans="1:14" x14ac:dyDescent="0.35">
      <c r="A2179">
        <v>1009</v>
      </c>
      <c r="B2179" t="s">
        <v>63</v>
      </c>
      <c r="C2179" s="1">
        <v>45192.257071759261</v>
      </c>
      <c r="D2179" t="str">
        <f ca="1">VLOOKUP(qry_ProdData2_PDI_Cash_Exception_Application[[#This Row],[TYPE]],#REF!,2,FALSE)</f>
        <v>type28</v>
      </c>
      <c r="E2179">
        <v>311.62</v>
      </c>
      <c r="F2179" t="s">
        <v>47</v>
      </c>
      <c r="G2179" s="1">
        <f>qry_ProdData2_PDI_Cash_Exception_Application[[#This Row],[INSERT DATE]]+7</f>
        <v>45199.257071759261</v>
      </c>
      <c r="H2179" t="str">
        <f>VLOOKUP(qry_ProdData2_PDI_Cash_Exception_Application[[#This Row],[MARKET No]],'Site Allocation'!$B$2:$C$37,2,FALSE)</f>
        <v>Analyst2</v>
      </c>
      <c r="I2179" s="4">
        <f t="shared" ca="1" si="34"/>
        <v>45203</v>
      </c>
      <c r="J2179" s="42">
        <f ca="1">TODAY()-qry_ProdData2_PDI_Cash_Exception_Application[[#This Row],[INSERT DATE]]</f>
        <v>10.742928240739275</v>
      </c>
      <c r="K21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79">
        <f ca="1">qry_ProdData2_PDI_Cash_Exception_Application[[#This Row],[TODAY]]-qry_ProdData2_PDI_Cash_Exception_Application[[#This Row],[CHANGED ON]]</f>
        <v>3.7429282407392748</v>
      </c>
      <c r="M2179">
        <f ca="1">qry_ProdData2_PDI_Cash_Exception_Application[[#This Row],[TODAY]]-qry_ProdData2_PDI_Cash_Exception_Application[[#This Row],[CHANGED ON]]</f>
        <v>3.7429282407392748</v>
      </c>
      <c r="N2179">
        <f ca="1">qry_ProdData2_PDI_Cash_Exception_Application[[#This Row],[TODAY]]-qry_ProdData2_PDI_Cash_Exception_Application[[#This Row],[CHANGED ON]]</f>
        <v>3.7429282407392748</v>
      </c>
    </row>
    <row r="2180" spans="1:14" x14ac:dyDescent="0.35">
      <c r="A2180">
        <v>1011</v>
      </c>
      <c r="B2180" t="s">
        <v>65</v>
      </c>
      <c r="C2180" s="1">
        <v>45182.257071759261</v>
      </c>
      <c r="D2180" t="str">
        <f ca="1">VLOOKUP(qry_ProdData2_PDI_Cash_Exception_Application[[#This Row],[TYPE]],#REF!,2,FALSE)</f>
        <v>type40</v>
      </c>
      <c r="E2180">
        <v>-490.61</v>
      </c>
      <c r="F2180" t="s">
        <v>52</v>
      </c>
      <c r="G2180" s="1">
        <f>qry_ProdData2_PDI_Cash_Exception_Application[[#This Row],[INSERT DATE]]+5</f>
        <v>45187.257071759261</v>
      </c>
      <c r="H2180" t="str">
        <f>VLOOKUP(qry_ProdData2_PDI_Cash_Exception_Application[[#This Row],[MARKET No]],'Site Allocation'!$B$2:$C$37,2,FALSE)</f>
        <v>Analyst2</v>
      </c>
      <c r="I2180" s="4">
        <f t="shared" ca="1" si="34"/>
        <v>45203</v>
      </c>
      <c r="J2180" s="42">
        <f ca="1">TODAY()-qry_ProdData2_PDI_Cash_Exception_Application[[#This Row],[INSERT DATE]]</f>
        <v>20.742928240739275</v>
      </c>
      <c r="K21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80">
        <f ca="1">qry_ProdData2_PDI_Cash_Exception_Application[[#This Row],[TODAY]]-qry_ProdData2_PDI_Cash_Exception_Application[[#This Row],[CHANGED ON]]</f>
        <v>15.742928240739275</v>
      </c>
      <c r="M2180">
        <f ca="1">qry_ProdData2_PDI_Cash_Exception_Application[[#This Row],[TODAY]]-qry_ProdData2_PDI_Cash_Exception_Application[[#This Row],[CHANGED ON]]</f>
        <v>15.742928240739275</v>
      </c>
      <c r="N2180">
        <f ca="1">qry_ProdData2_PDI_Cash_Exception_Application[[#This Row],[TODAY]]-qry_ProdData2_PDI_Cash_Exception_Application[[#This Row],[CHANGED ON]]</f>
        <v>15.742928240739275</v>
      </c>
    </row>
    <row r="2181" spans="1:14" x14ac:dyDescent="0.35">
      <c r="A2181">
        <v>1032</v>
      </c>
      <c r="B2181" t="s">
        <v>86</v>
      </c>
      <c r="C2181" s="1">
        <v>45191.257071759261</v>
      </c>
      <c r="D2181" t="str">
        <f ca="1">VLOOKUP(qry_ProdData2_PDI_Cash_Exception_Application[[#This Row],[TYPE]],#REF!,2,FALSE)</f>
        <v>type13</v>
      </c>
      <c r="E2181">
        <v>25178.46</v>
      </c>
      <c r="F2181" t="s">
        <v>51</v>
      </c>
      <c r="G2181" s="1">
        <f>qry_ProdData2_PDI_Cash_Exception_Application[[#This Row],[INSERT DATE]]+1</f>
        <v>45192.257071759261</v>
      </c>
      <c r="H2181" t="str">
        <f>VLOOKUP(qry_ProdData2_PDI_Cash_Exception_Application[[#This Row],[MARKET No]],'Site Allocation'!$B$2:$C$37,2,FALSE)</f>
        <v>Analyst6</v>
      </c>
      <c r="I2181" s="4">
        <f t="shared" ca="1" si="34"/>
        <v>45203</v>
      </c>
      <c r="J2181" s="42">
        <f ca="1">TODAY()-qry_ProdData2_PDI_Cash_Exception_Application[[#This Row],[INSERT DATE]]</f>
        <v>11.742928240739275</v>
      </c>
      <c r="K21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81">
        <f ca="1">qry_ProdData2_PDI_Cash_Exception_Application[[#This Row],[TODAY]]-qry_ProdData2_PDI_Cash_Exception_Application[[#This Row],[CHANGED ON]]</f>
        <v>10.742928240739275</v>
      </c>
      <c r="M2181">
        <f ca="1">qry_ProdData2_PDI_Cash_Exception_Application[[#This Row],[TODAY]]-qry_ProdData2_PDI_Cash_Exception_Application[[#This Row],[CHANGED ON]]</f>
        <v>10.742928240739275</v>
      </c>
      <c r="N2181">
        <f ca="1">qry_ProdData2_PDI_Cash_Exception_Application[[#This Row],[TODAY]]-qry_ProdData2_PDI_Cash_Exception_Application[[#This Row],[CHANGED ON]]</f>
        <v>10.742928240739275</v>
      </c>
    </row>
    <row r="2182" spans="1:14" x14ac:dyDescent="0.35">
      <c r="A2182">
        <v>1004</v>
      </c>
      <c r="B2182" t="s">
        <v>58</v>
      </c>
      <c r="C2182" s="1">
        <v>45187.257071759261</v>
      </c>
      <c r="D2182" t="str">
        <f ca="1">VLOOKUP(qry_ProdData2_PDI_Cash_Exception_Application[[#This Row],[TYPE]],#REF!,2,FALSE)</f>
        <v>type40</v>
      </c>
      <c r="E2182">
        <v>453.79</v>
      </c>
      <c r="F2182" t="s">
        <v>51</v>
      </c>
      <c r="G2182" s="1">
        <f>qry_ProdData2_PDI_Cash_Exception_Application[[#This Row],[INSERT DATE]]+1</f>
        <v>45188.257071759261</v>
      </c>
      <c r="H2182" t="str">
        <f>VLOOKUP(qry_ProdData2_PDI_Cash_Exception_Application[[#This Row],[MARKET No]],'Site Allocation'!$B$2:$C$37,2,FALSE)</f>
        <v>Analyst1</v>
      </c>
      <c r="I2182" s="4">
        <f t="shared" ca="1" si="34"/>
        <v>45203</v>
      </c>
      <c r="J2182" s="42">
        <f ca="1">TODAY()-qry_ProdData2_PDI_Cash_Exception_Application[[#This Row],[INSERT DATE]]</f>
        <v>15.742928240739275</v>
      </c>
      <c r="K21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82">
        <f ca="1">qry_ProdData2_PDI_Cash_Exception_Application[[#This Row],[TODAY]]-qry_ProdData2_PDI_Cash_Exception_Application[[#This Row],[CHANGED ON]]</f>
        <v>14.742928240739275</v>
      </c>
      <c r="M2182">
        <f ca="1">qry_ProdData2_PDI_Cash_Exception_Application[[#This Row],[TODAY]]-qry_ProdData2_PDI_Cash_Exception_Application[[#This Row],[CHANGED ON]]</f>
        <v>14.742928240739275</v>
      </c>
      <c r="N2182">
        <f ca="1">qry_ProdData2_PDI_Cash_Exception_Application[[#This Row],[TODAY]]-qry_ProdData2_PDI_Cash_Exception_Application[[#This Row],[CHANGED ON]]</f>
        <v>14.742928240739275</v>
      </c>
    </row>
    <row r="2183" spans="1:14" x14ac:dyDescent="0.35">
      <c r="A2183">
        <v>1002</v>
      </c>
      <c r="B2183" t="s">
        <v>56</v>
      </c>
      <c r="C2183" s="1">
        <v>45184.257071759261</v>
      </c>
      <c r="D2183" t="str">
        <f ca="1">VLOOKUP(qry_ProdData2_PDI_Cash_Exception_Application[[#This Row],[TYPE]],#REF!,2,FALSE)</f>
        <v>type40</v>
      </c>
      <c r="E2183">
        <v>28</v>
      </c>
      <c r="F2183" t="s">
        <v>52</v>
      </c>
      <c r="G2183" s="1">
        <f>qry_ProdData2_PDI_Cash_Exception_Application[[#This Row],[INSERT DATE]]+5</f>
        <v>45189.257071759261</v>
      </c>
      <c r="H2183" t="str">
        <f>VLOOKUP(qry_ProdData2_PDI_Cash_Exception_Application[[#This Row],[MARKET No]],'Site Allocation'!$B$2:$C$37,2,FALSE)</f>
        <v>Analyst1</v>
      </c>
      <c r="I2183" s="4">
        <f t="shared" ca="1" si="34"/>
        <v>45203</v>
      </c>
      <c r="J2183" s="42">
        <f ca="1">TODAY()-qry_ProdData2_PDI_Cash_Exception_Application[[#This Row],[INSERT DATE]]</f>
        <v>18.742928240739275</v>
      </c>
      <c r="K21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83">
        <f ca="1">qry_ProdData2_PDI_Cash_Exception_Application[[#This Row],[TODAY]]-qry_ProdData2_PDI_Cash_Exception_Application[[#This Row],[CHANGED ON]]</f>
        <v>13.742928240739275</v>
      </c>
      <c r="M2183">
        <f ca="1">qry_ProdData2_PDI_Cash_Exception_Application[[#This Row],[TODAY]]-qry_ProdData2_PDI_Cash_Exception_Application[[#This Row],[CHANGED ON]]</f>
        <v>13.742928240739275</v>
      </c>
      <c r="N2183">
        <f ca="1">qry_ProdData2_PDI_Cash_Exception_Application[[#This Row],[TODAY]]-qry_ProdData2_PDI_Cash_Exception_Application[[#This Row],[CHANGED ON]]</f>
        <v>13.742928240739275</v>
      </c>
    </row>
    <row r="2184" spans="1:14" x14ac:dyDescent="0.35">
      <c r="A2184">
        <v>1033</v>
      </c>
      <c r="B2184" t="s">
        <v>87</v>
      </c>
      <c r="C2184" s="1">
        <v>45189.257071759261</v>
      </c>
      <c r="D2184" t="str">
        <f ca="1">VLOOKUP(qry_ProdData2_PDI_Cash_Exception_Application[[#This Row],[TYPE]],#REF!,2,FALSE)</f>
        <v>type40</v>
      </c>
      <c r="E2184">
        <v>919.04</v>
      </c>
      <c r="F2184" t="s">
        <v>49</v>
      </c>
      <c r="G2184" s="1">
        <f>qry_ProdData2_PDI_Cash_Exception_Application[[#This Row],[INSERT DATE]]+2</f>
        <v>45191.257071759261</v>
      </c>
      <c r="H2184" t="str">
        <f>VLOOKUP(qry_ProdData2_PDI_Cash_Exception_Application[[#This Row],[MARKET No]],'Site Allocation'!$B$2:$C$37,2,FALSE)</f>
        <v>Analyst6</v>
      </c>
      <c r="I2184" s="4">
        <f t="shared" ca="1" si="34"/>
        <v>45203</v>
      </c>
      <c r="J2184" s="42">
        <f ca="1">TODAY()-qry_ProdData2_PDI_Cash_Exception_Application[[#This Row],[INSERT DATE]]</f>
        <v>13.742928240739275</v>
      </c>
      <c r="K21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84">
        <f ca="1">qry_ProdData2_PDI_Cash_Exception_Application[[#This Row],[TODAY]]-qry_ProdData2_PDI_Cash_Exception_Application[[#This Row],[CHANGED ON]]</f>
        <v>11.742928240739275</v>
      </c>
      <c r="M2184">
        <f ca="1">qry_ProdData2_PDI_Cash_Exception_Application[[#This Row],[TODAY]]-qry_ProdData2_PDI_Cash_Exception_Application[[#This Row],[CHANGED ON]]</f>
        <v>11.742928240739275</v>
      </c>
      <c r="N2184">
        <f ca="1">qry_ProdData2_PDI_Cash_Exception_Application[[#This Row],[TODAY]]-qry_ProdData2_PDI_Cash_Exception_Application[[#This Row],[CHANGED ON]]</f>
        <v>11.742928240739275</v>
      </c>
    </row>
    <row r="2185" spans="1:14" x14ac:dyDescent="0.35">
      <c r="A2185">
        <v>1028</v>
      </c>
      <c r="B2185" t="s">
        <v>82</v>
      </c>
      <c r="C2185" s="1">
        <v>45185.257071759261</v>
      </c>
      <c r="D2185" t="str">
        <f ca="1">VLOOKUP(qry_ProdData2_PDI_Cash_Exception_Application[[#This Row],[TYPE]],#REF!,2,FALSE)</f>
        <v>type40</v>
      </c>
      <c r="E2185">
        <v>1010.84</v>
      </c>
      <c r="F2185" t="s">
        <v>50</v>
      </c>
      <c r="G2185" s="1">
        <f>qry_ProdData2_PDI_Cash_Exception_Application[[#This Row],[INSERT DATE]]+5</f>
        <v>45190.257071759261</v>
      </c>
      <c r="H2185" t="str">
        <f>VLOOKUP(qry_ProdData2_PDI_Cash_Exception_Application[[#This Row],[MARKET No]],'Site Allocation'!$B$2:$C$37,2,FALSE)</f>
        <v>Analyst5</v>
      </c>
      <c r="I2185" s="4">
        <f t="shared" ca="1" si="34"/>
        <v>45203</v>
      </c>
      <c r="J2185" s="42">
        <f ca="1">TODAY()-qry_ProdData2_PDI_Cash_Exception_Application[[#This Row],[INSERT DATE]]</f>
        <v>17.742928240739275</v>
      </c>
      <c r="K21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85">
        <f ca="1">qry_ProdData2_PDI_Cash_Exception_Application[[#This Row],[TODAY]]-qry_ProdData2_PDI_Cash_Exception_Application[[#This Row],[CHANGED ON]]</f>
        <v>12.742928240739275</v>
      </c>
      <c r="M2185">
        <f ca="1">qry_ProdData2_PDI_Cash_Exception_Application[[#This Row],[TODAY]]-qry_ProdData2_PDI_Cash_Exception_Application[[#This Row],[CHANGED ON]]</f>
        <v>12.742928240739275</v>
      </c>
      <c r="N2185">
        <f ca="1">qry_ProdData2_PDI_Cash_Exception_Application[[#This Row],[TODAY]]-qry_ProdData2_PDI_Cash_Exception_Application[[#This Row],[CHANGED ON]]</f>
        <v>12.742928240739275</v>
      </c>
    </row>
    <row r="2186" spans="1:14" x14ac:dyDescent="0.35">
      <c r="A2186">
        <v>1014</v>
      </c>
      <c r="B2186" t="s">
        <v>68</v>
      </c>
      <c r="C2186" s="1">
        <v>45185.257071759261</v>
      </c>
      <c r="D2186" t="str">
        <f ca="1">VLOOKUP(qry_ProdData2_PDI_Cash_Exception_Application[[#This Row],[TYPE]],#REF!,2,FALSE)</f>
        <v>type40</v>
      </c>
      <c r="E2186">
        <v>-495.65</v>
      </c>
      <c r="F2186" t="s">
        <v>52</v>
      </c>
      <c r="G2186" s="1">
        <f>qry_ProdData2_PDI_Cash_Exception_Application[[#This Row],[INSERT DATE]]+5</f>
        <v>45190.257071759261</v>
      </c>
      <c r="H2186" t="str">
        <f>VLOOKUP(qry_ProdData2_PDI_Cash_Exception_Application[[#This Row],[MARKET No]],'Site Allocation'!$B$2:$C$37,2,FALSE)</f>
        <v>Analyst3</v>
      </c>
      <c r="I2186" s="4">
        <f t="shared" ca="1" si="34"/>
        <v>45203</v>
      </c>
      <c r="J2186" s="42">
        <f ca="1">TODAY()-qry_ProdData2_PDI_Cash_Exception_Application[[#This Row],[INSERT DATE]]</f>
        <v>17.742928240739275</v>
      </c>
      <c r="K21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86">
        <f ca="1">qry_ProdData2_PDI_Cash_Exception_Application[[#This Row],[TODAY]]-qry_ProdData2_PDI_Cash_Exception_Application[[#This Row],[CHANGED ON]]</f>
        <v>12.742928240739275</v>
      </c>
      <c r="M2186">
        <f ca="1">qry_ProdData2_PDI_Cash_Exception_Application[[#This Row],[TODAY]]-qry_ProdData2_PDI_Cash_Exception_Application[[#This Row],[CHANGED ON]]</f>
        <v>12.742928240739275</v>
      </c>
      <c r="N2186">
        <f ca="1">qry_ProdData2_PDI_Cash_Exception_Application[[#This Row],[TODAY]]-qry_ProdData2_PDI_Cash_Exception_Application[[#This Row],[CHANGED ON]]</f>
        <v>12.742928240739275</v>
      </c>
    </row>
    <row r="2187" spans="1:14" x14ac:dyDescent="0.35">
      <c r="A2187">
        <v>1020</v>
      </c>
      <c r="B2187" t="s">
        <v>74</v>
      </c>
      <c r="C2187" s="1">
        <v>45186.257071759261</v>
      </c>
      <c r="D2187" t="str">
        <f ca="1">VLOOKUP(qry_ProdData2_PDI_Cash_Exception_Application[[#This Row],[TYPE]],#REF!,2,FALSE)</f>
        <v>type40</v>
      </c>
      <c r="E2187">
        <v>-467.31</v>
      </c>
      <c r="F2187" t="s">
        <v>50</v>
      </c>
      <c r="G2187" s="1">
        <f>qry_ProdData2_PDI_Cash_Exception_Application[[#This Row],[INSERT DATE]]+5</f>
        <v>45191.257071759261</v>
      </c>
      <c r="H2187" t="str">
        <f>VLOOKUP(qry_ProdData2_PDI_Cash_Exception_Application[[#This Row],[MARKET No]],'Site Allocation'!$B$2:$C$37,2,FALSE)</f>
        <v>Analyst4</v>
      </c>
      <c r="I2187" s="4">
        <f t="shared" ca="1" si="34"/>
        <v>45203</v>
      </c>
      <c r="J2187" s="42">
        <f ca="1">TODAY()-qry_ProdData2_PDI_Cash_Exception_Application[[#This Row],[INSERT DATE]]</f>
        <v>16.742928240739275</v>
      </c>
      <c r="K21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87">
        <f ca="1">qry_ProdData2_PDI_Cash_Exception_Application[[#This Row],[TODAY]]-qry_ProdData2_PDI_Cash_Exception_Application[[#This Row],[CHANGED ON]]</f>
        <v>11.742928240739275</v>
      </c>
      <c r="M2187">
        <f ca="1">qry_ProdData2_PDI_Cash_Exception_Application[[#This Row],[TODAY]]-qry_ProdData2_PDI_Cash_Exception_Application[[#This Row],[CHANGED ON]]</f>
        <v>11.742928240739275</v>
      </c>
      <c r="N2187">
        <f ca="1">qry_ProdData2_PDI_Cash_Exception_Application[[#This Row],[TODAY]]-qry_ProdData2_PDI_Cash_Exception_Application[[#This Row],[CHANGED ON]]</f>
        <v>11.742928240739275</v>
      </c>
    </row>
    <row r="2188" spans="1:14" x14ac:dyDescent="0.35">
      <c r="A2188">
        <v>1029</v>
      </c>
      <c r="B2188" t="s">
        <v>83</v>
      </c>
      <c r="C2188" s="1">
        <v>45187.257071759261</v>
      </c>
      <c r="D2188" t="str">
        <f ca="1">VLOOKUP(qry_ProdData2_PDI_Cash_Exception_Application[[#This Row],[TYPE]],#REF!,2,FALSE)</f>
        <v>type17</v>
      </c>
      <c r="E2188">
        <v>342.43</v>
      </c>
      <c r="F2188" t="s">
        <v>47</v>
      </c>
      <c r="G2188" s="1">
        <f>qry_ProdData2_PDI_Cash_Exception_Application[[#This Row],[INSERT DATE]]+7</f>
        <v>45194.257071759261</v>
      </c>
      <c r="H2188" t="str">
        <f>VLOOKUP(qry_ProdData2_PDI_Cash_Exception_Application[[#This Row],[MARKET No]],'Site Allocation'!$B$2:$C$37,2,FALSE)</f>
        <v>Analyst5</v>
      </c>
      <c r="I2188" s="4">
        <f t="shared" ca="1" si="34"/>
        <v>45203</v>
      </c>
      <c r="J2188" s="42">
        <f ca="1">TODAY()-qry_ProdData2_PDI_Cash_Exception_Application[[#This Row],[INSERT DATE]]</f>
        <v>15.742928240739275</v>
      </c>
      <c r="K21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88">
        <f ca="1">qry_ProdData2_PDI_Cash_Exception_Application[[#This Row],[TODAY]]-qry_ProdData2_PDI_Cash_Exception_Application[[#This Row],[CHANGED ON]]</f>
        <v>8.7429282407392748</v>
      </c>
      <c r="M2188">
        <f ca="1">qry_ProdData2_PDI_Cash_Exception_Application[[#This Row],[TODAY]]-qry_ProdData2_PDI_Cash_Exception_Application[[#This Row],[CHANGED ON]]</f>
        <v>8.7429282407392748</v>
      </c>
      <c r="N2188">
        <f ca="1">qry_ProdData2_PDI_Cash_Exception_Application[[#This Row],[TODAY]]-qry_ProdData2_PDI_Cash_Exception_Application[[#This Row],[CHANGED ON]]</f>
        <v>8.7429282407392748</v>
      </c>
    </row>
    <row r="2189" spans="1:14" x14ac:dyDescent="0.35">
      <c r="A2189">
        <v>1006</v>
      </c>
      <c r="B2189" t="s">
        <v>60</v>
      </c>
      <c r="C2189" s="1">
        <v>45187.257071759261</v>
      </c>
      <c r="D2189" t="str">
        <f ca="1">VLOOKUP(qry_ProdData2_PDI_Cash_Exception_Application[[#This Row],[TYPE]],#REF!,2,FALSE)</f>
        <v>type40</v>
      </c>
      <c r="E2189">
        <v>661.72</v>
      </c>
      <c r="F2189" t="s">
        <v>52</v>
      </c>
      <c r="G2189" s="1">
        <f>qry_ProdData2_PDI_Cash_Exception_Application[[#This Row],[INSERT DATE]]+7</f>
        <v>45194.257071759261</v>
      </c>
      <c r="H2189" t="str">
        <f>VLOOKUP(qry_ProdData2_PDI_Cash_Exception_Application[[#This Row],[MARKET No]],'Site Allocation'!$B$2:$C$37,2,FALSE)</f>
        <v>Analyst2</v>
      </c>
      <c r="I2189" s="4">
        <f t="shared" ca="1" si="34"/>
        <v>45203</v>
      </c>
      <c r="J2189" s="42">
        <f ca="1">TODAY()-qry_ProdData2_PDI_Cash_Exception_Application[[#This Row],[INSERT DATE]]</f>
        <v>15.742928240739275</v>
      </c>
      <c r="K21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89">
        <f ca="1">qry_ProdData2_PDI_Cash_Exception_Application[[#This Row],[TODAY]]-qry_ProdData2_PDI_Cash_Exception_Application[[#This Row],[CHANGED ON]]</f>
        <v>8.7429282407392748</v>
      </c>
      <c r="M2189">
        <f ca="1">qry_ProdData2_PDI_Cash_Exception_Application[[#This Row],[TODAY]]-qry_ProdData2_PDI_Cash_Exception_Application[[#This Row],[CHANGED ON]]</f>
        <v>8.7429282407392748</v>
      </c>
      <c r="N2189">
        <f ca="1">qry_ProdData2_PDI_Cash_Exception_Application[[#This Row],[TODAY]]-qry_ProdData2_PDI_Cash_Exception_Application[[#This Row],[CHANGED ON]]</f>
        <v>8.7429282407392748</v>
      </c>
    </row>
    <row r="2190" spans="1:14" x14ac:dyDescent="0.35">
      <c r="A2190">
        <v>1016</v>
      </c>
      <c r="B2190" t="s">
        <v>70</v>
      </c>
      <c r="C2190" s="1">
        <v>45190.257071759261</v>
      </c>
      <c r="D2190" t="str">
        <f ca="1">VLOOKUP(qry_ProdData2_PDI_Cash_Exception_Application[[#This Row],[TYPE]],#REF!,2,FALSE)</f>
        <v>type40</v>
      </c>
      <c r="E2190">
        <v>-507.31</v>
      </c>
      <c r="F2190" t="s">
        <v>51</v>
      </c>
      <c r="G2190" s="1">
        <f>qry_ProdData2_PDI_Cash_Exception_Application[[#This Row],[INSERT DATE]]+1</f>
        <v>45191.257071759261</v>
      </c>
      <c r="H2190" t="str">
        <f>VLOOKUP(qry_ProdData2_PDI_Cash_Exception_Application[[#This Row],[MARKET No]],'Site Allocation'!$B$2:$C$37,2,FALSE)</f>
        <v>Analyst3</v>
      </c>
      <c r="I2190" s="4">
        <f t="shared" ca="1" si="34"/>
        <v>45203</v>
      </c>
      <c r="J2190" s="42">
        <f ca="1">TODAY()-qry_ProdData2_PDI_Cash_Exception_Application[[#This Row],[INSERT DATE]]</f>
        <v>12.742928240739275</v>
      </c>
      <c r="K21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90">
        <f ca="1">qry_ProdData2_PDI_Cash_Exception_Application[[#This Row],[TODAY]]-qry_ProdData2_PDI_Cash_Exception_Application[[#This Row],[CHANGED ON]]</f>
        <v>11.742928240739275</v>
      </c>
      <c r="M2190">
        <f ca="1">qry_ProdData2_PDI_Cash_Exception_Application[[#This Row],[TODAY]]-qry_ProdData2_PDI_Cash_Exception_Application[[#This Row],[CHANGED ON]]</f>
        <v>11.742928240739275</v>
      </c>
      <c r="N2190">
        <f ca="1">qry_ProdData2_PDI_Cash_Exception_Application[[#This Row],[TODAY]]-qry_ProdData2_PDI_Cash_Exception_Application[[#This Row],[CHANGED ON]]</f>
        <v>11.742928240739275</v>
      </c>
    </row>
    <row r="2191" spans="1:14" x14ac:dyDescent="0.35">
      <c r="A2191">
        <v>1008</v>
      </c>
      <c r="B2191" t="s">
        <v>62</v>
      </c>
      <c r="C2191" s="1">
        <v>45190.257071759261</v>
      </c>
      <c r="D2191" t="str">
        <f ca="1">VLOOKUP(qry_ProdData2_PDI_Cash_Exception_Application[[#This Row],[TYPE]],#REF!,2,FALSE)</f>
        <v>type40</v>
      </c>
      <c r="E2191">
        <v>197.98</v>
      </c>
      <c r="F2191" t="s">
        <v>48</v>
      </c>
      <c r="G2191" s="1">
        <f>qry_ProdData2_PDI_Cash_Exception_Application[[#This Row],[INSERT DATE]]+1</f>
        <v>45191.257071759261</v>
      </c>
      <c r="H2191" t="str">
        <f>VLOOKUP(qry_ProdData2_PDI_Cash_Exception_Application[[#This Row],[MARKET No]],'Site Allocation'!$B$2:$C$37,2,FALSE)</f>
        <v>Analyst2</v>
      </c>
      <c r="I2191" s="4">
        <f t="shared" ca="1" si="34"/>
        <v>45203</v>
      </c>
      <c r="J2191" s="42">
        <f ca="1">TODAY()-qry_ProdData2_PDI_Cash_Exception_Application[[#This Row],[INSERT DATE]]</f>
        <v>12.742928240739275</v>
      </c>
      <c r="K21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91">
        <f ca="1">qry_ProdData2_PDI_Cash_Exception_Application[[#This Row],[TODAY]]-qry_ProdData2_PDI_Cash_Exception_Application[[#This Row],[CHANGED ON]]</f>
        <v>11.742928240739275</v>
      </c>
      <c r="M2191">
        <f ca="1">qry_ProdData2_PDI_Cash_Exception_Application[[#This Row],[TODAY]]-qry_ProdData2_PDI_Cash_Exception_Application[[#This Row],[CHANGED ON]]</f>
        <v>11.742928240739275</v>
      </c>
      <c r="N2191">
        <f ca="1">qry_ProdData2_PDI_Cash_Exception_Application[[#This Row],[TODAY]]-qry_ProdData2_PDI_Cash_Exception_Application[[#This Row],[CHANGED ON]]</f>
        <v>11.742928240739275</v>
      </c>
    </row>
    <row r="2192" spans="1:14" x14ac:dyDescent="0.35">
      <c r="A2192">
        <v>1011</v>
      </c>
      <c r="B2192" t="s">
        <v>65</v>
      </c>
      <c r="C2192" s="1">
        <v>45189.257071759261</v>
      </c>
      <c r="D2192" t="str">
        <f ca="1">VLOOKUP(qry_ProdData2_PDI_Cash_Exception_Application[[#This Row],[TYPE]],#REF!,2,FALSE)</f>
        <v>type40</v>
      </c>
      <c r="E2192">
        <v>-382.07</v>
      </c>
      <c r="F2192" t="s">
        <v>47</v>
      </c>
      <c r="G2192" s="1">
        <f>qry_ProdData2_PDI_Cash_Exception_Application[[#This Row],[INSERT DATE]]+7</f>
        <v>45196.257071759261</v>
      </c>
      <c r="H2192" t="str">
        <f>VLOOKUP(qry_ProdData2_PDI_Cash_Exception_Application[[#This Row],[MARKET No]],'Site Allocation'!$B$2:$C$37,2,FALSE)</f>
        <v>Analyst2</v>
      </c>
      <c r="I2192" s="4">
        <f t="shared" ca="1" si="34"/>
        <v>45203</v>
      </c>
      <c r="J2192" s="42">
        <f ca="1">TODAY()-qry_ProdData2_PDI_Cash_Exception_Application[[#This Row],[INSERT DATE]]</f>
        <v>13.742928240739275</v>
      </c>
      <c r="K21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92">
        <f ca="1">qry_ProdData2_PDI_Cash_Exception_Application[[#This Row],[TODAY]]-qry_ProdData2_PDI_Cash_Exception_Application[[#This Row],[CHANGED ON]]</f>
        <v>6.7429282407392748</v>
      </c>
      <c r="M2192">
        <f ca="1">qry_ProdData2_PDI_Cash_Exception_Application[[#This Row],[TODAY]]-qry_ProdData2_PDI_Cash_Exception_Application[[#This Row],[CHANGED ON]]</f>
        <v>6.7429282407392748</v>
      </c>
      <c r="N2192">
        <f ca="1">qry_ProdData2_PDI_Cash_Exception_Application[[#This Row],[TODAY]]-qry_ProdData2_PDI_Cash_Exception_Application[[#This Row],[CHANGED ON]]</f>
        <v>6.7429282407392748</v>
      </c>
    </row>
    <row r="2193" spans="1:14" x14ac:dyDescent="0.35">
      <c r="A2193">
        <v>1021</v>
      </c>
      <c r="B2193" t="s">
        <v>75</v>
      </c>
      <c r="C2193" s="1">
        <v>45189.257071759261</v>
      </c>
      <c r="D2193" t="str">
        <f ca="1">VLOOKUP(qry_ProdData2_PDI_Cash_Exception_Application[[#This Row],[TYPE]],#REF!,2,FALSE)</f>
        <v>type40</v>
      </c>
      <c r="E2193">
        <v>1040.3499999999999</v>
      </c>
      <c r="F2193" t="s">
        <v>49</v>
      </c>
      <c r="G2193" s="1">
        <f>qry_ProdData2_PDI_Cash_Exception_Application[[#This Row],[INSERT DATE]]+5</f>
        <v>45194.257071759261</v>
      </c>
      <c r="H2193" t="str">
        <f>VLOOKUP(qry_ProdData2_PDI_Cash_Exception_Application[[#This Row],[MARKET No]],'Site Allocation'!$B$2:$C$37,2,FALSE)</f>
        <v>Analyst4</v>
      </c>
      <c r="I2193" s="4">
        <f t="shared" ca="1" si="34"/>
        <v>45203</v>
      </c>
      <c r="J2193" s="42">
        <f ca="1">TODAY()-qry_ProdData2_PDI_Cash_Exception_Application[[#This Row],[INSERT DATE]]</f>
        <v>13.742928240739275</v>
      </c>
      <c r="K21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93">
        <f ca="1">qry_ProdData2_PDI_Cash_Exception_Application[[#This Row],[TODAY]]-qry_ProdData2_PDI_Cash_Exception_Application[[#This Row],[CHANGED ON]]</f>
        <v>8.7429282407392748</v>
      </c>
      <c r="M2193">
        <f ca="1">qry_ProdData2_PDI_Cash_Exception_Application[[#This Row],[TODAY]]-qry_ProdData2_PDI_Cash_Exception_Application[[#This Row],[CHANGED ON]]</f>
        <v>8.7429282407392748</v>
      </c>
      <c r="N2193">
        <f ca="1">qry_ProdData2_PDI_Cash_Exception_Application[[#This Row],[TODAY]]-qry_ProdData2_PDI_Cash_Exception_Application[[#This Row],[CHANGED ON]]</f>
        <v>8.7429282407392748</v>
      </c>
    </row>
    <row r="2194" spans="1:14" x14ac:dyDescent="0.35">
      <c r="A2194">
        <v>1003</v>
      </c>
      <c r="B2194" t="s">
        <v>57</v>
      </c>
      <c r="C2194" s="1">
        <v>45190.257071759261</v>
      </c>
      <c r="D2194" t="str">
        <f ca="1">VLOOKUP(qry_ProdData2_PDI_Cash_Exception_Application[[#This Row],[TYPE]],#REF!,2,FALSE)</f>
        <v>type13</v>
      </c>
      <c r="E2194">
        <v>27119.54</v>
      </c>
      <c r="F2194" t="s">
        <v>48</v>
      </c>
      <c r="G2194" s="1">
        <f>qry_ProdData2_PDI_Cash_Exception_Application[[#This Row],[INSERT DATE]]+2</f>
        <v>45192.257071759261</v>
      </c>
      <c r="H2194" t="str">
        <f>VLOOKUP(qry_ProdData2_PDI_Cash_Exception_Application[[#This Row],[MARKET No]],'Site Allocation'!$B$2:$C$37,2,FALSE)</f>
        <v>Analyst1</v>
      </c>
      <c r="I2194" s="4">
        <f t="shared" ca="1" si="34"/>
        <v>45203</v>
      </c>
      <c r="J2194" s="42">
        <f ca="1">TODAY()-qry_ProdData2_PDI_Cash_Exception_Application[[#This Row],[INSERT DATE]]</f>
        <v>12.742928240739275</v>
      </c>
      <c r="K21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94">
        <f ca="1">qry_ProdData2_PDI_Cash_Exception_Application[[#This Row],[TODAY]]-qry_ProdData2_PDI_Cash_Exception_Application[[#This Row],[CHANGED ON]]</f>
        <v>10.742928240739275</v>
      </c>
      <c r="M2194">
        <f ca="1">qry_ProdData2_PDI_Cash_Exception_Application[[#This Row],[TODAY]]-qry_ProdData2_PDI_Cash_Exception_Application[[#This Row],[CHANGED ON]]</f>
        <v>10.742928240739275</v>
      </c>
      <c r="N2194">
        <f ca="1">qry_ProdData2_PDI_Cash_Exception_Application[[#This Row],[TODAY]]-qry_ProdData2_PDI_Cash_Exception_Application[[#This Row],[CHANGED ON]]</f>
        <v>10.742928240739275</v>
      </c>
    </row>
    <row r="2195" spans="1:14" x14ac:dyDescent="0.35">
      <c r="A2195">
        <v>1007</v>
      </c>
      <c r="B2195" t="s">
        <v>61</v>
      </c>
      <c r="C2195" s="1">
        <v>45191.257071759261</v>
      </c>
      <c r="D2195" t="str">
        <f ca="1">VLOOKUP(qry_ProdData2_PDI_Cash_Exception_Application[[#This Row],[TYPE]],#REF!,2,FALSE)</f>
        <v>type13</v>
      </c>
      <c r="E2195">
        <v>28689.040000000001</v>
      </c>
      <c r="F2195" t="s">
        <v>52</v>
      </c>
      <c r="G2195" s="1">
        <f>qry_ProdData2_PDI_Cash_Exception_Application[[#This Row],[INSERT DATE]]+7</f>
        <v>45198.257071759261</v>
      </c>
      <c r="H2195" t="str">
        <f>VLOOKUP(qry_ProdData2_PDI_Cash_Exception_Application[[#This Row],[MARKET No]],'Site Allocation'!$B$2:$C$37,2,FALSE)</f>
        <v>Analyst2</v>
      </c>
      <c r="I2195" s="4">
        <f t="shared" ca="1" si="34"/>
        <v>45203</v>
      </c>
      <c r="J2195" s="42">
        <f ca="1">TODAY()-qry_ProdData2_PDI_Cash_Exception_Application[[#This Row],[INSERT DATE]]</f>
        <v>11.742928240739275</v>
      </c>
      <c r="K21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95">
        <f ca="1">qry_ProdData2_PDI_Cash_Exception_Application[[#This Row],[TODAY]]-qry_ProdData2_PDI_Cash_Exception_Application[[#This Row],[CHANGED ON]]</f>
        <v>4.7429282407392748</v>
      </c>
      <c r="M2195">
        <f ca="1">qry_ProdData2_PDI_Cash_Exception_Application[[#This Row],[TODAY]]-qry_ProdData2_PDI_Cash_Exception_Application[[#This Row],[CHANGED ON]]</f>
        <v>4.7429282407392748</v>
      </c>
      <c r="N2195">
        <f ca="1">qry_ProdData2_PDI_Cash_Exception_Application[[#This Row],[TODAY]]-qry_ProdData2_PDI_Cash_Exception_Application[[#This Row],[CHANGED ON]]</f>
        <v>4.7429282407392748</v>
      </c>
    </row>
    <row r="2196" spans="1:14" x14ac:dyDescent="0.35">
      <c r="A2196">
        <v>1020</v>
      </c>
      <c r="B2196" t="s">
        <v>74</v>
      </c>
      <c r="C2196" s="1">
        <v>45192.257071759261</v>
      </c>
      <c r="D2196" t="str">
        <f ca="1">VLOOKUP(qry_ProdData2_PDI_Cash_Exception_Application[[#This Row],[TYPE]],#REF!,2,FALSE)</f>
        <v>type1</v>
      </c>
      <c r="E2196">
        <v>20</v>
      </c>
      <c r="F2196" t="s">
        <v>50</v>
      </c>
      <c r="G2196" s="1">
        <f>qry_ProdData2_PDI_Cash_Exception_Application[[#This Row],[INSERT DATE]]+7</f>
        <v>45199.257071759261</v>
      </c>
      <c r="H2196" t="str">
        <f>VLOOKUP(qry_ProdData2_PDI_Cash_Exception_Application[[#This Row],[MARKET No]],'Site Allocation'!$B$2:$C$37,2,FALSE)</f>
        <v>Analyst4</v>
      </c>
      <c r="I2196" s="4">
        <f t="shared" ca="1" si="34"/>
        <v>45203</v>
      </c>
      <c r="J2196" s="42">
        <f ca="1">TODAY()-qry_ProdData2_PDI_Cash_Exception_Application[[#This Row],[INSERT DATE]]</f>
        <v>10.742928240739275</v>
      </c>
      <c r="K21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96">
        <f ca="1">qry_ProdData2_PDI_Cash_Exception_Application[[#This Row],[TODAY]]-qry_ProdData2_PDI_Cash_Exception_Application[[#This Row],[CHANGED ON]]</f>
        <v>3.7429282407392748</v>
      </c>
      <c r="M2196">
        <f ca="1">qry_ProdData2_PDI_Cash_Exception_Application[[#This Row],[TODAY]]-qry_ProdData2_PDI_Cash_Exception_Application[[#This Row],[CHANGED ON]]</f>
        <v>3.7429282407392748</v>
      </c>
      <c r="N2196">
        <f ca="1">qry_ProdData2_PDI_Cash_Exception_Application[[#This Row],[TODAY]]-qry_ProdData2_PDI_Cash_Exception_Application[[#This Row],[CHANGED ON]]</f>
        <v>3.7429282407392748</v>
      </c>
    </row>
    <row r="2197" spans="1:14" x14ac:dyDescent="0.35">
      <c r="A2197">
        <v>1033</v>
      </c>
      <c r="B2197" t="s">
        <v>87</v>
      </c>
      <c r="C2197" s="1">
        <v>45191.257071759261</v>
      </c>
      <c r="D2197" t="str">
        <f ca="1">VLOOKUP(qry_ProdData2_PDI_Cash_Exception_Application[[#This Row],[TYPE]],#REF!,2,FALSE)</f>
        <v>type40</v>
      </c>
      <c r="E2197">
        <v>323.95999999999998</v>
      </c>
      <c r="F2197" t="s">
        <v>51</v>
      </c>
      <c r="G2197" s="1">
        <f>qry_ProdData2_PDI_Cash_Exception_Application[[#This Row],[INSERT DATE]]+1</f>
        <v>45192.257071759261</v>
      </c>
      <c r="H2197" t="str">
        <f>VLOOKUP(qry_ProdData2_PDI_Cash_Exception_Application[[#This Row],[MARKET No]],'Site Allocation'!$B$2:$C$37,2,FALSE)</f>
        <v>Analyst6</v>
      </c>
      <c r="I2197" s="4">
        <f t="shared" ca="1" si="34"/>
        <v>45203</v>
      </c>
      <c r="J2197" s="42">
        <f ca="1">TODAY()-qry_ProdData2_PDI_Cash_Exception_Application[[#This Row],[INSERT DATE]]</f>
        <v>11.742928240739275</v>
      </c>
      <c r="K21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97">
        <f ca="1">qry_ProdData2_PDI_Cash_Exception_Application[[#This Row],[TODAY]]-qry_ProdData2_PDI_Cash_Exception_Application[[#This Row],[CHANGED ON]]</f>
        <v>10.742928240739275</v>
      </c>
      <c r="M2197">
        <f ca="1">qry_ProdData2_PDI_Cash_Exception_Application[[#This Row],[TODAY]]-qry_ProdData2_PDI_Cash_Exception_Application[[#This Row],[CHANGED ON]]</f>
        <v>10.742928240739275</v>
      </c>
      <c r="N2197">
        <f ca="1">qry_ProdData2_PDI_Cash_Exception_Application[[#This Row],[TODAY]]-qry_ProdData2_PDI_Cash_Exception_Application[[#This Row],[CHANGED ON]]</f>
        <v>10.742928240739275</v>
      </c>
    </row>
    <row r="2198" spans="1:14" x14ac:dyDescent="0.35">
      <c r="A2198">
        <v>1026</v>
      </c>
      <c r="B2198" t="s">
        <v>80</v>
      </c>
      <c r="C2198" s="1">
        <v>45191.257071759261</v>
      </c>
      <c r="D2198" t="str">
        <f ca="1">VLOOKUP(qry_ProdData2_PDI_Cash_Exception_Application[[#This Row],[TYPE]],#REF!,2,FALSE)</f>
        <v>type13</v>
      </c>
      <c r="E2198">
        <v>20316.77</v>
      </c>
      <c r="F2198" t="s">
        <v>49</v>
      </c>
      <c r="G2198" s="1">
        <f>qry_ProdData2_PDI_Cash_Exception_Application[[#This Row],[INSERT DATE]]+5</f>
        <v>45196.257071759261</v>
      </c>
      <c r="H2198" t="str">
        <f>VLOOKUP(qry_ProdData2_PDI_Cash_Exception_Application[[#This Row],[MARKET No]],'Site Allocation'!$B$2:$C$37,2,FALSE)</f>
        <v>Analyst5</v>
      </c>
      <c r="I2198" s="4">
        <f t="shared" ca="1" si="34"/>
        <v>45203</v>
      </c>
      <c r="J2198" s="42">
        <f ca="1">TODAY()-qry_ProdData2_PDI_Cash_Exception_Application[[#This Row],[INSERT DATE]]</f>
        <v>11.742928240739275</v>
      </c>
      <c r="K21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198">
        <f ca="1">qry_ProdData2_PDI_Cash_Exception_Application[[#This Row],[TODAY]]-qry_ProdData2_PDI_Cash_Exception_Application[[#This Row],[CHANGED ON]]</f>
        <v>6.7429282407392748</v>
      </c>
      <c r="M2198">
        <f ca="1">qry_ProdData2_PDI_Cash_Exception_Application[[#This Row],[TODAY]]-qry_ProdData2_PDI_Cash_Exception_Application[[#This Row],[CHANGED ON]]</f>
        <v>6.7429282407392748</v>
      </c>
      <c r="N2198">
        <f ca="1">qry_ProdData2_PDI_Cash_Exception_Application[[#This Row],[TODAY]]-qry_ProdData2_PDI_Cash_Exception_Application[[#This Row],[CHANGED ON]]</f>
        <v>6.7429282407392748</v>
      </c>
    </row>
    <row r="2199" spans="1:14" x14ac:dyDescent="0.35">
      <c r="A2199">
        <v>1012</v>
      </c>
      <c r="B2199" t="s">
        <v>66</v>
      </c>
      <c r="C2199" s="1">
        <v>45195.257071759261</v>
      </c>
      <c r="D2199" t="str">
        <f ca="1">VLOOKUP(qry_ProdData2_PDI_Cash_Exception_Application[[#This Row],[TYPE]],#REF!,2,FALSE)</f>
        <v>type13</v>
      </c>
      <c r="E2199">
        <v>40806.76</v>
      </c>
      <c r="F2199" t="s">
        <v>52</v>
      </c>
      <c r="G2199" s="1">
        <f>qry_ProdData2_PDI_Cash_Exception_Application[[#This Row],[INSERT DATE]]+7</f>
        <v>45202.257071759261</v>
      </c>
      <c r="H2199" t="str">
        <f>VLOOKUP(qry_ProdData2_PDI_Cash_Exception_Application[[#This Row],[MARKET No]],'Site Allocation'!$B$2:$C$37,2,FALSE)</f>
        <v>Analyst3</v>
      </c>
      <c r="I2199" s="4">
        <f t="shared" ca="1" si="34"/>
        <v>45203</v>
      </c>
      <c r="J2199" s="42">
        <f ca="1">TODAY()-qry_ProdData2_PDI_Cash_Exception_Application[[#This Row],[INSERT DATE]]</f>
        <v>7.7429282407392748</v>
      </c>
      <c r="K21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199">
        <f ca="1">qry_ProdData2_PDI_Cash_Exception_Application[[#This Row],[TODAY]]-qry_ProdData2_PDI_Cash_Exception_Application[[#This Row],[CHANGED ON]]</f>
        <v>0.74292824073927477</v>
      </c>
      <c r="M2199">
        <f ca="1">qry_ProdData2_PDI_Cash_Exception_Application[[#This Row],[TODAY]]-qry_ProdData2_PDI_Cash_Exception_Application[[#This Row],[CHANGED ON]]</f>
        <v>0.74292824073927477</v>
      </c>
      <c r="N2199">
        <f ca="1">qry_ProdData2_PDI_Cash_Exception_Application[[#This Row],[TODAY]]-qry_ProdData2_PDI_Cash_Exception_Application[[#This Row],[CHANGED ON]]</f>
        <v>0.74292824073927477</v>
      </c>
    </row>
    <row r="2200" spans="1:14" x14ac:dyDescent="0.35">
      <c r="A2200">
        <v>1032</v>
      </c>
      <c r="B2200" t="s">
        <v>86</v>
      </c>
      <c r="C2200" s="1">
        <v>45196.257071759261</v>
      </c>
      <c r="D2200" t="str">
        <f ca="1">VLOOKUP(qry_ProdData2_PDI_Cash_Exception_Application[[#This Row],[TYPE]],#REF!,2,FALSE)</f>
        <v>type40</v>
      </c>
      <c r="E2200">
        <v>350.99</v>
      </c>
      <c r="F2200" t="s">
        <v>50</v>
      </c>
      <c r="G2200" s="1">
        <f>qry_ProdData2_PDI_Cash_Exception_Application[[#This Row],[INSERT DATE]]+7</f>
        <v>45203.257071759261</v>
      </c>
      <c r="H2200" t="str">
        <f>VLOOKUP(qry_ProdData2_PDI_Cash_Exception_Application[[#This Row],[MARKET No]],'Site Allocation'!$B$2:$C$37,2,FALSE)</f>
        <v>Analyst6</v>
      </c>
      <c r="I2200" s="4">
        <f t="shared" ca="1" si="34"/>
        <v>45203</v>
      </c>
      <c r="J2200" s="42">
        <f ca="1">TODAY()-qry_ProdData2_PDI_Cash_Exception_Application[[#This Row],[INSERT DATE]]</f>
        <v>6.7429282407392748</v>
      </c>
      <c r="K22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200">
        <f ca="1">qry_ProdData2_PDI_Cash_Exception_Application[[#This Row],[TODAY]]-qry_ProdData2_PDI_Cash_Exception_Application[[#This Row],[CHANGED ON]]</f>
        <v>-0.25707175926072523</v>
      </c>
      <c r="M2200">
        <f ca="1">qry_ProdData2_PDI_Cash_Exception_Application[[#This Row],[TODAY]]-qry_ProdData2_PDI_Cash_Exception_Application[[#This Row],[CHANGED ON]]</f>
        <v>-0.25707175926072523</v>
      </c>
      <c r="N2200">
        <f ca="1">qry_ProdData2_PDI_Cash_Exception_Application[[#This Row],[TODAY]]-qry_ProdData2_PDI_Cash_Exception_Application[[#This Row],[CHANGED ON]]</f>
        <v>-0.25707175926072523</v>
      </c>
    </row>
    <row r="2201" spans="1:14" x14ac:dyDescent="0.35">
      <c r="A2201">
        <v>1031</v>
      </c>
      <c r="B2201" t="s">
        <v>85</v>
      </c>
      <c r="C2201" s="1">
        <v>45190.257071759261</v>
      </c>
      <c r="D2201" t="str">
        <f ca="1">VLOOKUP(qry_ProdData2_PDI_Cash_Exception_Application[[#This Row],[TYPE]],#REF!,2,FALSE)</f>
        <v>type40</v>
      </c>
      <c r="E2201">
        <v>-3639.35</v>
      </c>
      <c r="F2201" t="s">
        <v>47</v>
      </c>
      <c r="G2201" s="1">
        <f>qry_ProdData2_PDI_Cash_Exception_Application[[#This Row],[INSERT DATE]]+1</f>
        <v>45191.257071759261</v>
      </c>
      <c r="H2201" t="str">
        <f>VLOOKUP(qry_ProdData2_PDI_Cash_Exception_Application[[#This Row],[MARKET No]],'Site Allocation'!$B$2:$C$37,2,FALSE)</f>
        <v>Analyst6</v>
      </c>
      <c r="I2201" s="4">
        <f t="shared" ca="1" si="34"/>
        <v>45203</v>
      </c>
      <c r="J2201" s="42">
        <f ca="1">TODAY()-qry_ProdData2_PDI_Cash_Exception_Application[[#This Row],[INSERT DATE]]</f>
        <v>12.742928240739275</v>
      </c>
      <c r="K22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01">
        <f ca="1">qry_ProdData2_PDI_Cash_Exception_Application[[#This Row],[TODAY]]-qry_ProdData2_PDI_Cash_Exception_Application[[#This Row],[CHANGED ON]]</f>
        <v>11.742928240739275</v>
      </c>
      <c r="M2201">
        <f ca="1">qry_ProdData2_PDI_Cash_Exception_Application[[#This Row],[TODAY]]-qry_ProdData2_PDI_Cash_Exception_Application[[#This Row],[CHANGED ON]]</f>
        <v>11.742928240739275</v>
      </c>
      <c r="N2201">
        <f ca="1">qry_ProdData2_PDI_Cash_Exception_Application[[#This Row],[TODAY]]-qry_ProdData2_PDI_Cash_Exception_Application[[#This Row],[CHANGED ON]]</f>
        <v>11.742928240739275</v>
      </c>
    </row>
    <row r="2202" spans="1:14" x14ac:dyDescent="0.35">
      <c r="A2202">
        <v>1019</v>
      </c>
      <c r="B2202" t="s">
        <v>73</v>
      </c>
      <c r="C2202" s="1">
        <v>45185.257071759261</v>
      </c>
      <c r="D2202" t="str">
        <f ca="1">VLOOKUP(qry_ProdData2_PDI_Cash_Exception_Application[[#This Row],[TYPE]],#REF!,2,FALSE)</f>
        <v>type40</v>
      </c>
      <c r="E2202">
        <v>487.83</v>
      </c>
      <c r="F2202" t="s">
        <v>52</v>
      </c>
      <c r="G2202" s="1">
        <f>qry_ProdData2_PDI_Cash_Exception_Application[[#This Row],[INSERT DATE]]+7</f>
        <v>45192.257071759261</v>
      </c>
      <c r="H2202" t="str">
        <f>VLOOKUP(qry_ProdData2_PDI_Cash_Exception_Application[[#This Row],[MARKET No]],'Site Allocation'!$B$2:$C$37,2,FALSE)</f>
        <v>Analyst4</v>
      </c>
      <c r="I2202" s="4">
        <f t="shared" ca="1" si="34"/>
        <v>45203</v>
      </c>
      <c r="J2202" s="42">
        <f ca="1">TODAY()-qry_ProdData2_PDI_Cash_Exception_Application[[#This Row],[INSERT DATE]]</f>
        <v>17.742928240739275</v>
      </c>
      <c r="K22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02">
        <f ca="1">qry_ProdData2_PDI_Cash_Exception_Application[[#This Row],[TODAY]]-qry_ProdData2_PDI_Cash_Exception_Application[[#This Row],[CHANGED ON]]</f>
        <v>10.742928240739275</v>
      </c>
      <c r="M2202">
        <f ca="1">qry_ProdData2_PDI_Cash_Exception_Application[[#This Row],[TODAY]]-qry_ProdData2_PDI_Cash_Exception_Application[[#This Row],[CHANGED ON]]</f>
        <v>10.742928240739275</v>
      </c>
      <c r="N2202">
        <f ca="1">qry_ProdData2_PDI_Cash_Exception_Application[[#This Row],[TODAY]]-qry_ProdData2_PDI_Cash_Exception_Application[[#This Row],[CHANGED ON]]</f>
        <v>10.742928240739275</v>
      </c>
    </row>
    <row r="2203" spans="1:14" x14ac:dyDescent="0.35">
      <c r="A2203">
        <v>1019</v>
      </c>
      <c r="B2203" t="s">
        <v>73</v>
      </c>
      <c r="C2203" s="1">
        <v>45180.257071759261</v>
      </c>
      <c r="D2203" t="str">
        <f ca="1">VLOOKUP(qry_ProdData2_PDI_Cash_Exception_Application[[#This Row],[TYPE]],#REF!,2,FALSE)</f>
        <v>type40</v>
      </c>
      <c r="E2203">
        <v>-575.84</v>
      </c>
      <c r="F2203" t="s">
        <v>47</v>
      </c>
      <c r="G2203" s="1">
        <f>qry_ProdData2_PDI_Cash_Exception_Application[[#This Row],[INSERT DATE]]+1</f>
        <v>45181.257071759261</v>
      </c>
      <c r="H2203" t="str">
        <f>VLOOKUP(qry_ProdData2_PDI_Cash_Exception_Application[[#This Row],[MARKET No]],'Site Allocation'!$B$2:$C$37,2,FALSE)</f>
        <v>Analyst4</v>
      </c>
      <c r="I2203" s="4">
        <f t="shared" ca="1" si="34"/>
        <v>45203</v>
      </c>
      <c r="J2203" s="42">
        <f ca="1">TODAY()-qry_ProdData2_PDI_Cash_Exception_Application[[#This Row],[INSERT DATE]]</f>
        <v>22.742928240739275</v>
      </c>
      <c r="K22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03">
        <f ca="1">qry_ProdData2_PDI_Cash_Exception_Application[[#This Row],[TODAY]]-qry_ProdData2_PDI_Cash_Exception_Application[[#This Row],[CHANGED ON]]</f>
        <v>21.742928240739275</v>
      </c>
      <c r="M2203">
        <f ca="1">qry_ProdData2_PDI_Cash_Exception_Application[[#This Row],[TODAY]]-qry_ProdData2_PDI_Cash_Exception_Application[[#This Row],[CHANGED ON]]</f>
        <v>21.742928240739275</v>
      </c>
      <c r="N2203">
        <f ca="1">qry_ProdData2_PDI_Cash_Exception_Application[[#This Row],[TODAY]]-qry_ProdData2_PDI_Cash_Exception_Application[[#This Row],[CHANGED ON]]</f>
        <v>21.742928240739275</v>
      </c>
    </row>
    <row r="2204" spans="1:14" x14ac:dyDescent="0.35">
      <c r="A2204">
        <v>1022</v>
      </c>
      <c r="B2204" t="s">
        <v>76</v>
      </c>
      <c r="C2204" s="1">
        <v>45189.257071759261</v>
      </c>
      <c r="D2204" t="str">
        <f ca="1">VLOOKUP(qry_ProdData2_PDI_Cash_Exception_Application[[#This Row],[TYPE]],#REF!,2,FALSE)</f>
        <v>type40</v>
      </c>
      <c r="E2204">
        <v>5157.41</v>
      </c>
      <c r="F2204" t="s">
        <v>51</v>
      </c>
      <c r="G2204" s="1">
        <f>qry_ProdData2_PDI_Cash_Exception_Application[[#This Row],[INSERT DATE]]+2</f>
        <v>45191.257071759261</v>
      </c>
      <c r="H2204" t="str">
        <f>VLOOKUP(qry_ProdData2_PDI_Cash_Exception_Application[[#This Row],[MARKET No]],'Site Allocation'!$B$2:$C$37,2,FALSE)</f>
        <v>Analyst4</v>
      </c>
      <c r="I2204" s="4">
        <f t="shared" ca="1" si="34"/>
        <v>45203</v>
      </c>
      <c r="J2204" s="42">
        <f ca="1">TODAY()-qry_ProdData2_PDI_Cash_Exception_Application[[#This Row],[INSERT DATE]]</f>
        <v>13.742928240739275</v>
      </c>
      <c r="K22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04">
        <f ca="1">qry_ProdData2_PDI_Cash_Exception_Application[[#This Row],[TODAY]]-qry_ProdData2_PDI_Cash_Exception_Application[[#This Row],[CHANGED ON]]</f>
        <v>11.742928240739275</v>
      </c>
      <c r="M2204">
        <f ca="1">qry_ProdData2_PDI_Cash_Exception_Application[[#This Row],[TODAY]]-qry_ProdData2_PDI_Cash_Exception_Application[[#This Row],[CHANGED ON]]</f>
        <v>11.742928240739275</v>
      </c>
      <c r="N2204">
        <f ca="1">qry_ProdData2_PDI_Cash_Exception_Application[[#This Row],[TODAY]]-qry_ProdData2_PDI_Cash_Exception_Application[[#This Row],[CHANGED ON]]</f>
        <v>11.742928240739275</v>
      </c>
    </row>
    <row r="2205" spans="1:14" x14ac:dyDescent="0.35">
      <c r="A2205">
        <v>1030</v>
      </c>
      <c r="B2205" t="s">
        <v>84</v>
      </c>
      <c r="C2205" s="1">
        <v>45187.257071759261</v>
      </c>
      <c r="D2205" t="str">
        <f ca="1">VLOOKUP(qry_ProdData2_PDI_Cash_Exception_Application[[#This Row],[TYPE]],#REF!,2,FALSE)</f>
        <v>type2</v>
      </c>
      <c r="E2205">
        <v>1436</v>
      </c>
      <c r="F2205" t="s">
        <v>52</v>
      </c>
      <c r="G2205" s="1">
        <f>qry_ProdData2_PDI_Cash_Exception_Application[[#This Row],[INSERT DATE]]+7</f>
        <v>45194.257071759261</v>
      </c>
      <c r="H2205" t="str">
        <f>VLOOKUP(qry_ProdData2_PDI_Cash_Exception_Application[[#This Row],[MARKET No]],'Site Allocation'!$B$2:$C$37,2,FALSE)</f>
        <v>Analyst6</v>
      </c>
      <c r="I2205" s="4">
        <f t="shared" ca="1" si="34"/>
        <v>45203</v>
      </c>
      <c r="J2205" s="42">
        <f ca="1">TODAY()-qry_ProdData2_PDI_Cash_Exception_Application[[#This Row],[INSERT DATE]]</f>
        <v>15.742928240739275</v>
      </c>
      <c r="K22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05">
        <f ca="1">qry_ProdData2_PDI_Cash_Exception_Application[[#This Row],[TODAY]]-qry_ProdData2_PDI_Cash_Exception_Application[[#This Row],[CHANGED ON]]</f>
        <v>8.7429282407392748</v>
      </c>
      <c r="M2205">
        <f ca="1">qry_ProdData2_PDI_Cash_Exception_Application[[#This Row],[TODAY]]-qry_ProdData2_PDI_Cash_Exception_Application[[#This Row],[CHANGED ON]]</f>
        <v>8.7429282407392748</v>
      </c>
      <c r="N2205">
        <f ca="1">qry_ProdData2_PDI_Cash_Exception_Application[[#This Row],[TODAY]]-qry_ProdData2_PDI_Cash_Exception_Application[[#This Row],[CHANGED ON]]</f>
        <v>8.7429282407392748</v>
      </c>
    </row>
    <row r="2206" spans="1:14" x14ac:dyDescent="0.35">
      <c r="A2206">
        <v>1027</v>
      </c>
      <c r="B2206" t="s">
        <v>81</v>
      </c>
      <c r="C2206" s="1">
        <v>45191.257071759261</v>
      </c>
      <c r="D2206" t="str">
        <f ca="1">VLOOKUP(qry_ProdData2_PDI_Cash_Exception_Application[[#This Row],[TYPE]],#REF!,2,FALSE)</f>
        <v>type13</v>
      </c>
      <c r="E2206">
        <v>26146.240000000002</v>
      </c>
      <c r="F2206" t="s">
        <v>48</v>
      </c>
      <c r="G2206" s="1">
        <f>qry_ProdData2_PDI_Cash_Exception_Application[[#This Row],[INSERT DATE]]+2</f>
        <v>45193.257071759261</v>
      </c>
      <c r="H2206" t="str">
        <f>VLOOKUP(qry_ProdData2_PDI_Cash_Exception_Application[[#This Row],[MARKET No]],'Site Allocation'!$B$2:$C$37,2,FALSE)</f>
        <v>Analyst5</v>
      </c>
      <c r="I2206" s="4">
        <f t="shared" ca="1" si="34"/>
        <v>45203</v>
      </c>
      <c r="J2206" s="42">
        <f ca="1">TODAY()-qry_ProdData2_PDI_Cash_Exception_Application[[#This Row],[INSERT DATE]]</f>
        <v>11.742928240739275</v>
      </c>
      <c r="K22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06">
        <f ca="1">qry_ProdData2_PDI_Cash_Exception_Application[[#This Row],[TODAY]]-qry_ProdData2_PDI_Cash_Exception_Application[[#This Row],[CHANGED ON]]</f>
        <v>9.7429282407392748</v>
      </c>
      <c r="M2206">
        <f ca="1">qry_ProdData2_PDI_Cash_Exception_Application[[#This Row],[TODAY]]-qry_ProdData2_PDI_Cash_Exception_Application[[#This Row],[CHANGED ON]]</f>
        <v>9.7429282407392748</v>
      </c>
      <c r="N2206">
        <f ca="1">qry_ProdData2_PDI_Cash_Exception_Application[[#This Row],[TODAY]]-qry_ProdData2_PDI_Cash_Exception_Application[[#This Row],[CHANGED ON]]</f>
        <v>9.7429282407392748</v>
      </c>
    </row>
    <row r="2207" spans="1:14" x14ac:dyDescent="0.35">
      <c r="A2207">
        <v>1008</v>
      </c>
      <c r="B2207" t="s">
        <v>62</v>
      </c>
      <c r="C2207" s="1">
        <v>45192.257071759261</v>
      </c>
      <c r="D2207" t="str">
        <f ca="1">VLOOKUP(qry_ProdData2_PDI_Cash_Exception_Application[[#This Row],[TYPE]],#REF!,2,FALSE)</f>
        <v>type13</v>
      </c>
      <c r="E2207">
        <v>33919.31</v>
      </c>
      <c r="F2207" t="s">
        <v>49</v>
      </c>
      <c r="G2207" s="1">
        <f>qry_ProdData2_PDI_Cash_Exception_Application[[#This Row],[INSERT DATE]]+5</f>
        <v>45197.257071759261</v>
      </c>
      <c r="H2207" t="str">
        <f>VLOOKUP(qry_ProdData2_PDI_Cash_Exception_Application[[#This Row],[MARKET No]],'Site Allocation'!$B$2:$C$37,2,FALSE)</f>
        <v>Analyst2</v>
      </c>
      <c r="I2207" s="4">
        <f t="shared" ca="1" si="34"/>
        <v>45203</v>
      </c>
      <c r="J2207" s="42">
        <f ca="1">TODAY()-qry_ProdData2_PDI_Cash_Exception_Application[[#This Row],[INSERT DATE]]</f>
        <v>10.742928240739275</v>
      </c>
      <c r="K22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07">
        <f ca="1">qry_ProdData2_PDI_Cash_Exception_Application[[#This Row],[TODAY]]-qry_ProdData2_PDI_Cash_Exception_Application[[#This Row],[CHANGED ON]]</f>
        <v>5.7429282407392748</v>
      </c>
      <c r="M2207">
        <f ca="1">qry_ProdData2_PDI_Cash_Exception_Application[[#This Row],[TODAY]]-qry_ProdData2_PDI_Cash_Exception_Application[[#This Row],[CHANGED ON]]</f>
        <v>5.7429282407392748</v>
      </c>
      <c r="N2207">
        <f ca="1">qry_ProdData2_PDI_Cash_Exception_Application[[#This Row],[TODAY]]-qry_ProdData2_PDI_Cash_Exception_Application[[#This Row],[CHANGED ON]]</f>
        <v>5.7429282407392748</v>
      </c>
    </row>
    <row r="2208" spans="1:14" x14ac:dyDescent="0.35">
      <c r="A2208">
        <v>1025</v>
      </c>
      <c r="B2208" t="s">
        <v>79</v>
      </c>
      <c r="C2208" s="1">
        <v>45183.257071759261</v>
      </c>
      <c r="D2208" t="str">
        <f ca="1">VLOOKUP(qry_ProdData2_PDI_Cash_Exception_Application[[#This Row],[TYPE]],#REF!,2,FALSE)</f>
        <v>type17</v>
      </c>
      <c r="E2208">
        <v>314.23</v>
      </c>
      <c r="F2208" t="s">
        <v>47</v>
      </c>
      <c r="G2208" s="1">
        <f>qry_ProdData2_PDI_Cash_Exception_Application[[#This Row],[INSERT DATE]]+2</f>
        <v>45185.257071759261</v>
      </c>
      <c r="H2208" t="str">
        <f>VLOOKUP(qry_ProdData2_PDI_Cash_Exception_Application[[#This Row],[MARKET No]],'Site Allocation'!$B$2:$C$37,2,FALSE)</f>
        <v>Analyst5</v>
      </c>
      <c r="I2208" s="4">
        <f t="shared" ca="1" si="34"/>
        <v>45203</v>
      </c>
      <c r="J2208" s="42">
        <f ca="1">TODAY()-qry_ProdData2_PDI_Cash_Exception_Application[[#This Row],[INSERT DATE]]</f>
        <v>19.742928240739275</v>
      </c>
      <c r="K22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08">
        <f ca="1">qry_ProdData2_PDI_Cash_Exception_Application[[#This Row],[TODAY]]-qry_ProdData2_PDI_Cash_Exception_Application[[#This Row],[CHANGED ON]]</f>
        <v>17.742928240739275</v>
      </c>
      <c r="M2208">
        <f ca="1">qry_ProdData2_PDI_Cash_Exception_Application[[#This Row],[TODAY]]-qry_ProdData2_PDI_Cash_Exception_Application[[#This Row],[CHANGED ON]]</f>
        <v>17.742928240739275</v>
      </c>
      <c r="N2208">
        <f ca="1">qry_ProdData2_PDI_Cash_Exception_Application[[#This Row],[TODAY]]-qry_ProdData2_PDI_Cash_Exception_Application[[#This Row],[CHANGED ON]]</f>
        <v>17.742928240739275</v>
      </c>
    </row>
    <row r="2209" spans="1:14" x14ac:dyDescent="0.35">
      <c r="A2209">
        <v>1006</v>
      </c>
      <c r="B2209" t="s">
        <v>60</v>
      </c>
      <c r="C2209" s="1">
        <v>45184.257071759261</v>
      </c>
      <c r="D2209" t="str">
        <f ca="1">VLOOKUP(qry_ProdData2_PDI_Cash_Exception_Application[[#This Row],[TYPE]],#REF!,2,FALSE)</f>
        <v>type38</v>
      </c>
      <c r="E2209">
        <v>427.71</v>
      </c>
      <c r="F2209" t="s">
        <v>47</v>
      </c>
      <c r="G2209" s="1">
        <f>qry_ProdData2_PDI_Cash_Exception_Application[[#This Row],[INSERT DATE]]+2</f>
        <v>45186.257071759261</v>
      </c>
      <c r="H2209" t="str">
        <f>VLOOKUP(qry_ProdData2_PDI_Cash_Exception_Application[[#This Row],[MARKET No]],'Site Allocation'!$B$2:$C$37,2,FALSE)</f>
        <v>Analyst2</v>
      </c>
      <c r="I2209" s="4">
        <f t="shared" ca="1" si="34"/>
        <v>45203</v>
      </c>
      <c r="J2209" s="42">
        <f ca="1">TODAY()-qry_ProdData2_PDI_Cash_Exception_Application[[#This Row],[INSERT DATE]]</f>
        <v>18.742928240739275</v>
      </c>
      <c r="K22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09">
        <f ca="1">qry_ProdData2_PDI_Cash_Exception_Application[[#This Row],[TODAY]]-qry_ProdData2_PDI_Cash_Exception_Application[[#This Row],[CHANGED ON]]</f>
        <v>16.742928240739275</v>
      </c>
      <c r="M2209">
        <f ca="1">qry_ProdData2_PDI_Cash_Exception_Application[[#This Row],[TODAY]]-qry_ProdData2_PDI_Cash_Exception_Application[[#This Row],[CHANGED ON]]</f>
        <v>16.742928240739275</v>
      </c>
      <c r="N2209">
        <f ca="1">qry_ProdData2_PDI_Cash_Exception_Application[[#This Row],[TODAY]]-qry_ProdData2_PDI_Cash_Exception_Application[[#This Row],[CHANGED ON]]</f>
        <v>16.742928240739275</v>
      </c>
    </row>
    <row r="2210" spans="1:14" x14ac:dyDescent="0.35">
      <c r="A2210">
        <v>1026</v>
      </c>
      <c r="B2210" t="s">
        <v>80</v>
      </c>
      <c r="C2210" s="1">
        <v>45190.257071759261</v>
      </c>
      <c r="D2210" t="str">
        <f ca="1">VLOOKUP(qry_ProdData2_PDI_Cash_Exception_Application[[#This Row],[TYPE]],#REF!,2,FALSE)</f>
        <v>type40</v>
      </c>
      <c r="E2210">
        <v>-370.6</v>
      </c>
      <c r="F2210" t="s">
        <v>52</v>
      </c>
      <c r="G2210" s="1">
        <f>qry_ProdData2_PDI_Cash_Exception_Application[[#This Row],[INSERT DATE]]+1</f>
        <v>45191.257071759261</v>
      </c>
      <c r="H2210" t="str">
        <f>VLOOKUP(qry_ProdData2_PDI_Cash_Exception_Application[[#This Row],[MARKET No]],'Site Allocation'!$B$2:$C$37,2,FALSE)</f>
        <v>Analyst5</v>
      </c>
      <c r="I2210" s="4">
        <f t="shared" ca="1" si="34"/>
        <v>45203</v>
      </c>
      <c r="J2210" s="42">
        <f ca="1">TODAY()-qry_ProdData2_PDI_Cash_Exception_Application[[#This Row],[INSERT DATE]]</f>
        <v>12.742928240739275</v>
      </c>
      <c r="K22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10">
        <f ca="1">qry_ProdData2_PDI_Cash_Exception_Application[[#This Row],[TODAY]]-qry_ProdData2_PDI_Cash_Exception_Application[[#This Row],[CHANGED ON]]</f>
        <v>11.742928240739275</v>
      </c>
      <c r="M2210">
        <f ca="1">qry_ProdData2_PDI_Cash_Exception_Application[[#This Row],[TODAY]]-qry_ProdData2_PDI_Cash_Exception_Application[[#This Row],[CHANGED ON]]</f>
        <v>11.742928240739275</v>
      </c>
      <c r="N2210">
        <f ca="1">qry_ProdData2_PDI_Cash_Exception_Application[[#This Row],[TODAY]]-qry_ProdData2_PDI_Cash_Exception_Application[[#This Row],[CHANGED ON]]</f>
        <v>11.742928240739275</v>
      </c>
    </row>
    <row r="2211" spans="1:14" x14ac:dyDescent="0.35">
      <c r="A2211">
        <v>1009</v>
      </c>
      <c r="B2211" t="s">
        <v>63</v>
      </c>
      <c r="C2211" s="1">
        <v>45186.257071759261</v>
      </c>
      <c r="D2211" t="str">
        <f ca="1">VLOOKUP(qry_ProdData2_PDI_Cash_Exception_Application[[#This Row],[TYPE]],#REF!,2,FALSE)</f>
        <v>type40</v>
      </c>
      <c r="E2211">
        <v>328.75</v>
      </c>
      <c r="F2211" t="s">
        <v>48</v>
      </c>
      <c r="G2211" s="1">
        <f>qry_ProdData2_PDI_Cash_Exception_Application[[#This Row],[INSERT DATE]]+7</f>
        <v>45193.257071759261</v>
      </c>
      <c r="H2211" t="str">
        <f>VLOOKUP(qry_ProdData2_PDI_Cash_Exception_Application[[#This Row],[MARKET No]],'Site Allocation'!$B$2:$C$37,2,FALSE)</f>
        <v>Analyst2</v>
      </c>
      <c r="I2211" s="4">
        <f t="shared" ca="1" si="34"/>
        <v>45203</v>
      </c>
      <c r="J2211" s="42">
        <f ca="1">TODAY()-qry_ProdData2_PDI_Cash_Exception_Application[[#This Row],[INSERT DATE]]</f>
        <v>16.742928240739275</v>
      </c>
      <c r="K22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11">
        <f ca="1">qry_ProdData2_PDI_Cash_Exception_Application[[#This Row],[TODAY]]-qry_ProdData2_PDI_Cash_Exception_Application[[#This Row],[CHANGED ON]]</f>
        <v>9.7429282407392748</v>
      </c>
      <c r="M2211">
        <f ca="1">qry_ProdData2_PDI_Cash_Exception_Application[[#This Row],[TODAY]]-qry_ProdData2_PDI_Cash_Exception_Application[[#This Row],[CHANGED ON]]</f>
        <v>9.7429282407392748</v>
      </c>
      <c r="N2211">
        <f ca="1">qry_ProdData2_PDI_Cash_Exception_Application[[#This Row],[TODAY]]-qry_ProdData2_PDI_Cash_Exception_Application[[#This Row],[CHANGED ON]]</f>
        <v>9.7429282407392748</v>
      </c>
    </row>
    <row r="2212" spans="1:14" x14ac:dyDescent="0.35">
      <c r="A2212">
        <v>1006</v>
      </c>
      <c r="B2212" t="s">
        <v>60</v>
      </c>
      <c r="C2212" s="1">
        <v>45190.257071759261</v>
      </c>
      <c r="D2212" t="str">
        <f ca="1">VLOOKUP(qry_ProdData2_PDI_Cash_Exception_Application[[#This Row],[TYPE]],#REF!,2,FALSE)</f>
        <v>type13</v>
      </c>
      <c r="E2212">
        <v>30103.85</v>
      </c>
      <c r="F2212" t="s">
        <v>47</v>
      </c>
      <c r="G2212" s="1">
        <f>qry_ProdData2_PDI_Cash_Exception_Application[[#This Row],[INSERT DATE]]+2</f>
        <v>45192.257071759261</v>
      </c>
      <c r="H2212" t="str">
        <f>VLOOKUP(qry_ProdData2_PDI_Cash_Exception_Application[[#This Row],[MARKET No]],'Site Allocation'!$B$2:$C$37,2,FALSE)</f>
        <v>Analyst2</v>
      </c>
      <c r="I2212" s="4">
        <f t="shared" ca="1" si="34"/>
        <v>45203</v>
      </c>
      <c r="J2212" s="42">
        <f ca="1">TODAY()-qry_ProdData2_PDI_Cash_Exception_Application[[#This Row],[INSERT DATE]]</f>
        <v>12.742928240739275</v>
      </c>
      <c r="K22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12">
        <f ca="1">qry_ProdData2_PDI_Cash_Exception_Application[[#This Row],[TODAY]]-qry_ProdData2_PDI_Cash_Exception_Application[[#This Row],[CHANGED ON]]</f>
        <v>10.742928240739275</v>
      </c>
      <c r="M2212">
        <f ca="1">qry_ProdData2_PDI_Cash_Exception_Application[[#This Row],[TODAY]]-qry_ProdData2_PDI_Cash_Exception_Application[[#This Row],[CHANGED ON]]</f>
        <v>10.742928240739275</v>
      </c>
      <c r="N2212">
        <f ca="1">qry_ProdData2_PDI_Cash_Exception_Application[[#This Row],[TODAY]]-qry_ProdData2_PDI_Cash_Exception_Application[[#This Row],[CHANGED ON]]</f>
        <v>10.742928240739275</v>
      </c>
    </row>
    <row r="2213" spans="1:14" x14ac:dyDescent="0.35">
      <c r="A2213">
        <v>1023</v>
      </c>
      <c r="B2213" t="s">
        <v>77</v>
      </c>
      <c r="C2213" s="1">
        <v>45182.257071759261</v>
      </c>
      <c r="D2213" t="str">
        <f ca="1">VLOOKUP(qry_ProdData2_PDI_Cash_Exception_Application[[#This Row],[TYPE]],#REF!,2,FALSE)</f>
        <v>type40</v>
      </c>
      <c r="E2213">
        <v>-410.26</v>
      </c>
      <c r="F2213" t="s">
        <v>49</v>
      </c>
      <c r="G2213" s="1">
        <f>qry_ProdData2_PDI_Cash_Exception_Application[[#This Row],[INSERT DATE]]+7</f>
        <v>45189.257071759261</v>
      </c>
      <c r="H2213" t="str">
        <f>VLOOKUP(qry_ProdData2_PDI_Cash_Exception_Application[[#This Row],[MARKET No]],'Site Allocation'!$B$2:$C$37,2,FALSE)</f>
        <v>Analyst4</v>
      </c>
      <c r="I2213" s="4">
        <f t="shared" ca="1" si="34"/>
        <v>45203</v>
      </c>
      <c r="J2213" s="42">
        <f ca="1">TODAY()-qry_ProdData2_PDI_Cash_Exception_Application[[#This Row],[INSERT DATE]]</f>
        <v>20.742928240739275</v>
      </c>
      <c r="K22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13">
        <f ca="1">qry_ProdData2_PDI_Cash_Exception_Application[[#This Row],[TODAY]]-qry_ProdData2_PDI_Cash_Exception_Application[[#This Row],[CHANGED ON]]</f>
        <v>13.742928240739275</v>
      </c>
      <c r="M2213">
        <f ca="1">qry_ProdData2_PDI_Cash_Exception_Application[[#This Row],[TODAY]]-qry_ProdData2_PDI_Cash_Exception_Application[[#This Row],[CHANGED ON]]</f>
        <v>13.742928240739275</v>
      </c>
      <c r="N2213">
        <f ca="1">qry_ProdData2_PDI_Cash_Exception_Application[[#This Row],[TODAY]]-qry_ProdData2_PDI_Cash_Exception_Application[[#This Row],[CHANGED ON]]</f>
        <v>13.742928240739275</v>
      </c>
    </row>
    <row r="2214" spans="1:14" x14ac:dyDescent="0.35">
      <c r="A2214">
        <v>1011</v>
      </c>
      <c r="B2214" t="s">
        <v>65</v>
      </c>
      <c r="C2214" s="1">
        <v>45194.257071759261</v>
      </c>
      <c r="D2214" t="str">
        <f ca="1">VLOOKUP(qry_ProdData2_PDI_Cash_Exception_Application[[#This Row],[TYPE]],#REF!,2,FALSE)</f>
        <v>type40</v>
      </c>
      <c r="E2214">
        <v>408.05</v>
      </c>
      <c r="F2214" t="s">
        <v>52</v>
      </c>
      <c r="G2214" s="1">
        <f>qry_ProdData2_PDI_Cash_Exception_Application[[#This Row],[INSERT DATE]]+1</f>
        <v>45195.257071759261</v>
      </c>
      <c r="H2214" t="str">
        <f>VLOOKUP(qry_ProdData2_PDI_Cash_Exception_Application[[#This Row],[MARKET No]],'Site Allocation'!$B$2:$C$37,2,FALSE)</f>
        <v>Analyst2</v>
      </c>
      <c r="I2214" s="4">
        <f t="shared" ca="1" si="34"/>
        <v>45203</v>
      </c>
      <c r="J2214" s="42">
        <f ca="1">TODAY()-qry_ProdData2_PDI_Cash_Exception_Application[[#This Row],[INSERT DATE]]</f>
        <v>8.7429282407392748</v>
      </c>
      <c r="K22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214">
        <f ca="1">qry_ProdData2_PDI_Cash_Exception_Application[[#This Row],[TODAY]]-qry_ProdData2_PDI_Cash_Exception_Application[[#This Row],[CHANGED ON]]</f>
        <v>7.7429282407392748</v>
      </c>
      <c r="M2214">
        <f ca="1">qry_ProdData2_PDI_Cash_Exception_Application[[#This Row],[TODAY]]-qry_ProdData2_PDI_Cash_Exception_Application[[#This Row],[CHANGED ON]]</f>
        <v>7.7429282407392748</v>
      </c>
      <c r="N2214">
        <f ca="1">qry_ProdData2_PDI_Cash_Exception_Application[[#This Row],[TODAY]]-qry_ProdData2_PDI_Cash_Exception_Application[[#This Row],[CHANGED ON]]</f>
        <v>7.7429282407392748</v>
      </c>
    </row>
    <row r="2215" spans="1:14" x14ac:dyDescent="0.35">
      <c r="A2215">
        <v>1021</v>
      </c>
      <c r="B2215" t="s">
        <v>75</v>
      </c>
      <c r="C2215" s="1">
        <v>45192.257071759261</v>
      </c>
      <c r="D2215" t="str">
        <f ca="1">VLOOKUP(qry_ProdData2_PDI_Cash_Exception_Application[[#This Row],[TYPE]],#REF!,2,FALSE)</f>
        <v>type38</v>
      </c>
      <c r="E2215">
        <v>526.32000000000005</v>
      </c>
      <c r="F2215" t="s">
        <v>51</v>
      </c>
      <c r="G2215" s="1">
        <f>qry_ProdData2_PDI_Cash_Exception_Application[[#This Row],[INSERT DATE]]+2</f>
        <v>45194.257071759261</v>
      </c>
      <c r="H2215" t="str">
        <f>VLOOKUP(qry_ProdData2_PDI_Cash_Exception_Application[[#This Row],[MARKET No]],'Site Allocation'!$B$2:$C$37,2,FALSE)</f>
        <v>Analyst4</v>
      </c>
      <c r="I2215" s="4">
        <f t="shared" ca="1" si="34"/>
        <v>45203</v>
      </c>
      <c r="J2215" s="42">
        <f ca="1">TODAY()-qry_ProdData2_PDI_Cash_Exception_Application[[#This Row],[INSERT DATE]]</f>
        <v>10.742928240739275</v>
      </c>
      <c r="K22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15">
        <f ca="1">qry_ProdData2_PDI_Cash_Exception_Application[[#This Row],[TODAY]]-qry_ProdData2_PDI_Cash_Exception_Application[[#This Row],[CHANGED ON]]</f>
        <v>8.7429282407392748</v>
      </c>
      <c r="M2215">
        <f ca="1">qry_ProdData2_PDI_Cash_Exception_Application[[#This Row],[TODAY]]-qry_ProdData2_PDI_Cash_Exception_Application[[#This Row],[CHANGED ON]]</f>
        <v>8.7429282407392748</v>
      </c>
      <c r="N2215">
        <f ca="1">qry_ProdData2_PDI_Cash_Exception_Application[[#This Row],[TODAY]]-qry_ProdData2_PDI_Cash_Exception_Application[[#This Row],[CHANGED ON]]</f>
        <v>8.7429282407392748</v>
      </c>
    </row>
    <row r="2216" spans="1:14" x14ac:dyDescent="0.35">
      <c r="A2216">
        <v>1015</v>
      </c>
      <c r="B2216" t="s">
        <v>69</v>
      </c>
      <c r="C2216" s="1">
        <v>45196.257071759261</v>
      </c>
      <c r="D2216" t="str">
        <f ca="1">VLOOKUP(qry_ProdData2_PDI_Cash_Exception_Application[[#This Row],[TYPE]],#REF!,2,FALSE)</f>
        <v>type40</v>
      </c>
      <c r="E2216">
        <v>-1327.82</v>
      </c>
      <c r="F2216" t="s">
        <v>52</v>
      </c>
      <c r="G2216" s="1">
        <f>qry_ProdData2_PDI_Cash_Exception_Application[[#This Row],[INSERT DATE]]+1</f>
        <v>45197.257071759261</v>
      </c>
      <c r="H2216" t="str">
        <f>VLOOKUP(qry_ProdData2_PDI_Cash_Exception_Application[[#This Row],[MARKET No]],'Site Allocation'!$B$2:$C$37,2,FALSE)</f>
        <v>Analyst3</v>
      </c>
      <c r="I2216" s="4">
        <f t="shared" ca="1" si="34"/>
        <v>45203</v>
      </c>
      <c r="J2216" s="42">
        <f ca="1">TODAY()-qry_ProdData2_PDI_Cash_Exception_Application[[#This Row],[INSERT DATE]]</f>
        <v>6.7429282407392748</v>
      </c>
      <c r="K22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216">
        <f ca="1">qry_ProdData2_PDI_Cash_Exception_Application[[#This Row],[TODAY]]-qry_ProdData2_PDI_Cash_Exception_Application[[#This Row],[CHANGED ON]]</f>
        <v>5.7429282407392748</v>
      </c>
      <c r="M2216">
        <f ca="1">qry_ProdData2_PDI_Cash_Exception_Application[[#This Row],[TODAY]]-qry_ProdData2_PDI_Cash_Exception_Application[[#This Row],[CHANGED ON]]</f>
        <v>5.7429282407392748</v>
      </c>
      <c r="N2216">
        <f ca="1">qry_ProdData2_PDI_Cash_Exception_Application[[#This Row],[TODAY]]-qry_ProdData2_PDI_Cash_Exception_Application[[#This Row],[CHANGED ON]]</f>
        <v>5.7429282407392748</v>
      </c>
    </row>
    <row r="2217" spans="1:14" x14ac:dyDescent="0.35">
      <c r="A2217">
        <v>1025</v>
      </c>
      <c r="B2217" t="s">
        <v>79</v>
      </c>
      <c r="C2217" s="1">
        <v>45189.257071759261</v>
      </c>
      <c r="D2217" t="str">
        <f ca="1">VLOOKUP(qry_ProdData2_PDI_Cash_Exception_Application[[#This Row],[TYPE]],#REF!,2,FALSE)</f>
        <v>type40</v>
      </c>
      <c r="E2217">
        <v>40</v>
      </c>
      <c r="F2217" t="s">
        <v>48</v>
      </c>
      <c r="G2217" s="1">
        <f>qry_ProdData2_PDI_Cash_Exception_Application[[#This Row],[INSERT DATE]]+7</f>
        <v>45196.257071759261</v>
      </c>
      <c r="H2217" t="str">
        <f>VLOOKUP(qry_ProdData2_PDI_Cash_Exception_Application[[#This Row],[MARKET No]],'Site Allocation'!$B$2:$C$37,2,FALSE)</f>
        <v>Analyst5</v>
      </c>
      <c r="I2217" s="4">
        <f t="shared" ca="1" si="34"/>
        <v>45203</v>
      </c>
      <c r="J2217" s="42">
        <f ca="1">TODAY()-qry_ProdData2_PDI_Cash_Exception_Application[[#This Row],[INSERT DATE]]</f>
        <v>13.742928240739275</v>
      </c>
      <c r="K22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17">
        <f ca="1">qry_ProdData2_PDI_Cash_Exception_Application[[#This Row],[TODAY]]-qry_ProdData2_PDI_Cash_Exception_Application[[#This Row],[CHANGED ON]]</f>
        <v>6.7429282407392748</v>
      </c>
      <c r="M2217">
        <f ca="1">qry_ProdData2_PDI_Cash_Exception_Application[[#This Row],[TODAY]]-qry_ProdData2_PDI_Cash_Exception_Application[[#This Row],[CHANGED ON]]</f>
        <v>6.7429282407392748</v>
      </c>
      <c r="N2217">
        <f ca="1">qry_ProdData2_PDI_Cash_Exception_Application[[#This Row],[TODAY]]-qry_ProdData2_PDI_Cash_Exception_Application[[#This Row],[CHANGED ON]]</f>
        <v>6.7429282407392748</v>
      </c>
    </row>
    <row r="2218" spans="1:14" x14ac:dyDescent="0.35">
      <c r="A2218">
        <v>1009</v>
      </c>
      <c r="B2218" t="s">
        <v>63</v>
      </c>
      <c r="C2218" s="1">
        <v>45187.257071759261</v>
      </c>
      <c r="D2218" t="str">
        <f ca="1">VLOOKUP(qry_ProdData2_PDI_Cash_Exception_Application[[#This Row],[TYPE]],#REF!,2,FALSE)</f>
        <v>type17</v>
      </c>
      <c r="E2218">
        <v>500.94</v>
      </c>
      <c r="F2218" t="s">
        <v>47</v>
      </c>
      <c r="G2218" s="1">
        <f>qry_ProdData2_PDI_Cash_Exception_Application[[#This Row],[INSERT DATE]]+5</f>
        <v>45192.257071759261</v>
      </c>
      <c r="H2218" t="str">
        <f>VLOOKUP(qry_ProdData2_PDI_Cash_Exception_Application[[#This Row],[MARKET No]],'Site Allocation'!$B$2:$C$37,2,FALSE)</f>
        <v>Analyst2</v>
      </c>
      <c r="I2218" s="4">
        <f t="shared" ca="1" si="34"/>
        <v>45203</v>
      </c>
      <c r="J2218" s="42">
        <f ca="1">TODAY()-qry_ProdData2_PDI_Cash_Exception_Application[[#This Row],[INSERT DATE]]</f>
        <v>15.742928240739275</v>
      </c>
      <c r="K22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18">
        <f ca="1">qry_ProdData2_PDI_Cash_Exception_Application[[#This Row],[TODAY]]-qry_ProdData2_PDI_Cash_Exception_Application[[#This Row],[CHANGED ON]]</f>
        <v>10.742928240739275</v>
      </c>
      <c r="M2218">
        <f ca="1">qry_ProdData2_PDI_Cash_Exception_Application[[#This Row],[TODAY]]-qry_ProdData2_PDI_Cash_Exception_Application[[#This Row],[CHANGED ON]]</f>
        <v>10.742928240739275</v>
      </c>
      <c r="N2218">
        <f ca="1">qry_ProdData2_PDI_Cash_Exception_Application[[#This Row],[TODAY]]-qry_ProdData2_PDI_Cash_Exception_Application[[#This Row],[CHANGED ON]]</f>
        <v>10.742928240739275</v>
      </c>
    </row>
    <row r="2219" spans="1:14" x14ac:dyDescent="0.35">
      <c r="A2219">
        <v>1025</v>
      </c>
      <c r="B2219" t="s">
        <v>79</v>
      </c>
      <c r="C2219" s="1">
        <v>45180.257071759261</v>
      </c>
      <c r="D2219" t="str">
        <f ca="1">VLOOKUP(qry_ProdData2_PDI_Cash_Exception_Application[[#This Row],[TYPE]],#REF!,2,FALSE)</f>
        <v>type26</v>
      </c>
      <c r="E2219">
        <v>170.67</v>
      </c>
      <c r="F2219" t="s">
        <v>50</v>
      </c>
      <c r="G2219" s="1">
        <f>qry_ProdData2_PDI_Cash_Exception_Application[[#This Row],[INSERT DATE]]+1</f>
        <v>45181.257071759261</v>
      </c>
      <c r="H2219" t="str">
        <f>VLOOKUP(qry_ProdData2_PDI_Cash_Exception_Application[[#This Row],[MARKET No]],'Site Allocation'!$B$2:$C$37,2,FALSE)</f>
        <v>Analyst5</v>
      </c>
      <c r="I2219" s="4">
        <f t="shared" ca="1" si="34"/>
        <v>45203</v>
      </c>
      <c r="J2219" s="42">
        <f ca="1">TODAY()-qry_ProdData2_PDI_Cash_Exception_Application[[#This Row],[INSERT DATE]]</f>
        <v>22.742928240739275</v>
      </c>
      <c r="K22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19">
        <f ca="1">qry_ProdData2_PDI_Cash_Exception_Application[[#This Row],[TODAY]]-qry_ProdData2_PDI_Cash_Exception_Application[[#This Row],[CHANGED ON]]</f>
        <v>21.742928240739275</v>
      </c>
      <c r="M2219">
        <f ca="1">qry_ProdData2_PDI_Cash_Exception_Application[[#This Row],[TODAY]]-qry_ProdData2_PDI_Cash_Exception_Application[[#This Row],[CHANGED ON]]</f>
        <v>21.742928240739275</v>
      </c>
      <c r="N2219">
        <f ca="1">qry_ProdData2_PDI_Cash_Exception_Application[[#This Row],[TODAY]]-qry_ProdData2_PDI_Cash_Exception_Application[[#This Row],[CHANGED ON]]</f>
        <v>21.742928240739275</v>
      </c>
    </row>
    <row r="2220" spans="1:14" x14ac:dyDescent="0.35">
      <c r="A2220">
        <v>1031</v>
      </c>
      <c r="B2220" t="s">
        <v>85</v>
      </c>
      <c r="C2220" s="1">
        <v>45181.257071759261</v>
      </c>
      <c r="D2220" t="str">
        <f ca="1">VLOOKUP(qry_ProdData2_PDI_Cash_Exception_Application[[#This Row],[TYPE]],#REF!,2,FALSE)</f>
        <v>type40</v>
      </c>
      <c r="E2220">
        <v>-4473.3100000000004</v>
      </c>
      <c r="F2220" t="s">
        <v>52</v>
      </c>
      <c r="G2220" s="1">
        <f>qry_ProdData2_PDI_Cash_Exception_Application[[#This Row],[INSERT DATE]]+1</f>
        <v>45182.257071759261</v>
      </c>
      <c r="H2220" t="str">
        <f>VLOOKUP(qry_ProdData2_PDI_Cash_Exception_Application[[#This Row],[MARKET No]],'Site Allocation'!$B$2:$C$37,2,FALSE)</f>
        <v>Analyst6</v>
      </c>
      <c r="I2220" s="4">
        <f t="shared" ca="1" si="34"/>
        <v>45203</v>
      </c>
      <c r="J2220" s="42">
        <f ca="1">TODAY()-qry_ProdData2_PDI_Cash_Exception_Application[[#This Row],[INSERT DATE]]</f>
        <v>21.742928240739275</v>
      </c>
      <c r="K22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20">
        <f ca="1">qry_ProdData2_PDI_Cash_Exception_Application[[#This Row],[TODAY]]-qry_ProdData2_PDI_Cash_Exception_Application[[#This Row],[CHANGED ON]]</f>
        <v>20.742928240739275</v>
      </c>
      <c r="M2220">
        <f ca="1">qry_ProdData2_PDI_Cash_Exception_Application[[#This Row],[TODAY]]-qry_ProdData2_PDI_Cash_Exception_Application[[#This Row],[CHANGED ON]]</f>
        <v>20.742928240739275</v>
      </c>
      <c r="N2220">
        <f ca="1">qry_ProdData2_PDI_Cash_Exception_Application[[#This Row],[TODAY]]-qry_ProdData2_PDI_Cash_Exception_Application[[#This Row],[CHANGED ON]]</f>
        <v>20.742928240739275</v>
      </c>
    </row>
    <row r="2221" spans="1:14" x14ac:dyDescent="0.35">
      <c r="A2221">
        <v>1000</v>
      </c>
      <c r="B2221" t="s">
        <v>54</v>
      </c>
      <c r="C2221" s="1">
        <v>45182.257071759261</v>
      </c>
      <c r="D2221" t="str">
        <f ca="1">VLOOKUP(qry_ProdData2_PDI_Cash_Exception_Application[[#This Row],[TYPE]],#REF!,2,FALSE)</f>
        <v>type40</v>
      </c>
      <c r="E2221">
        <v>-689.11</v>
      </c>
      <c r="F2221" t="s">
        <v>50</v>
      </c>
      <c r="G2221" s="1">
        <f>qry_ProdData2_PDI_Cash_Exception_Application[[#This Row],[INSERT DATE]]+1</f>
        <v>45183.257071759261</v>
      </c>
      <c r="H2221" t="str">
        <f>VLOOKUP(qry_ProdData2_PDI_Cash_Exception_Application[[#This Row],[MARKET No]],'Site Allocation'!$B$2:$C$37,2,FALSE)</f>
        <v>Analyst1</v>
      </c>
      <c r="I2221" s="4">
        <f t="shared" ca="1" si="34"/>
        <v>45203</v>
      </c>
      <c r="J2221" s="42">
        <f ca="1">TODAY()-qry_ProdData2_PDI_Cash_Exception_Application[[#This Row],[INSERT DATE]]</f>
        <v>20.742928240739275</v>
      </c>
      <c r="K22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21">
        <f ca="1">qry_ProdData2_PDI_Cash_Exception_Application[[#This Row],[TODAY]]-qry_ProdData2_PDI_Cash_Exception_Application[[#This Row],[CHANGED ON]]</f>
        <v>19.742928240739275</v>
      </c>
      <c r="M2221">
        <f ca="1">qry_ProdData2_PDI_Cash_Exception_Application[[#This Row],[TODAY]]-qry_ProdData2_PDI_Cash_Exception_Application[[#This Row],[CHANGED ON]]</f>
        <v>19.742928240739275</v>
      </c>
      <c r="N2221">
        <f ca="1">qry_ProdData2_PDI_Cash_Exception_Application[[#This Row],[TODAY]]-qry_ProdData2_PDI_Cash_Exception_Application[[#This Row],[CHANGED ON]]</f>
        <v>19.742928240739275</v>
      </c>
    </row>
    <row r="2222" spans="1:14" x14ac:dyDescent="0.35">
      <c r="A2222">
        <v>1034</v>
      </c>
      <c r="B2222" t="s">
        <v>88</v>
      </c>
      <c r="C2222" s="1">
        <v>45179.257071759261</v>
      </c>
      <c r="D2222" t="str">
        <f ca="1">VLOOKUP(qry_ProdData2_PDI_Cash_Exception_Application[[#This Row],[TYPE]],#REF!,2,FALSE)</f>
        <v>type38</v>
      </c>
      <c r="E2222">
        <v>158.69999999999999</v>
      </c>
      <c r="F2222" t="s">
        <v>51</v>
      </c>
      <c r="G2222" s="1">
        <f>qry_ProdData2_PDI_Cash_Exception_Application[[#This Row],[INSERT DATE]]+2</f>
        <v>45181.257071759261</v>
      </c>
      <c r="H2222" t="str">
        <f>VLOOKUP(qry_ProdData2_PDI_Cash_Exception_Application[[#This Row],[MARKET No]],'Site Allocation'!$B$2:$C$37,2,FALSE)</f>
        <v>Analyst6</v>
      </c>
      <c r="I2222" s="4">
        <f t="shared" ca="1" si="34"/>
        <v>45203</v>
      </c>
      <c r="J2222" s="42">
        <f ca="1">TODAY()-qry_ProdData2_PDI_Cash_Exception_Application[[#This Row],[INSERT DATE]]</f>
        <v>23.742928240739275</v>
      </c>
      <c r="K22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22">
        <f ca="1">qry_ProdData2_PDI_Cash_Exception_Application[[#This Row],[TODAY]]-qry_ProdData2_PDI_Cash_Exception_Application[[#This Row],[CHANGED ON]]</f>
        <v>21.742928240739275</v>
      </c>
      <c r="M2222">
        <f ca="1">qry_ProdData2_PDI_Cash_Exception_Application[[#This Row],[TODAY]]-qry_ProdData2_PDI_Cash_Exception_Application[[#This Row],[CHANGED ON]]</f>
        <v>21.742928240739275</v>
      </c>
      <c r="N2222">
        <f ca="1">qry_ProdData2_PDI_Cash_Exception_Application[[#This Row],[TODAY]]-qry_ProdData2_PDI_Cash_Exception_Application[[#This Row],[CHANGED ON]]</f>
        <v>21.742928240739275</v>
      </c>
    </row>
    <row r="2223" spans="1:14" x14ac:dyDescent="0.35">
      <c r="A2223">
        <v>1008</v>
      </c>
      <c r="B2223" t="s">
        <v>62</v>
      </c>
      <c r="C2223" s="1">
        <v>45183.257071759261</v>
      </c>
      <c r="D2223" t="str">
        <f ca="1">VLOOKUP(qry_ProdData2_PDI_Cash_Exception_Application[[#This Row],[TYPE]],#REF!,2,FALSE)</f>
        <v>type40</v>
      </c>
      <c r="E2223">
        <v>-378.68</v>
      </c>
      <c r="F2223" t="s">
        <v>52</v>
      </c>
      <c r="G2223" s="1">
        <f>qry_ProdData2_PDI_Cash_Exception_Application[[#This Row],[INSERT DATE]]+1</f>
        <v>45184.257071759261</v>
      </c>
      <c r="H2223" t="str">
        <f>VLOOKUP(qry_ProdData2_PDI_Cash_Exception_Application[[#This Row],[MARKET No]],'Site Allocation'!$B$2:$C$37,2,FALSE)</f>
        <v>Analyst2</v>
      </c>
      <c r="I2223" s="4">
        <f t="shared" ca="1" si="34"/>
        <v>45203</v>
      </c>
      <c r="J2223" s="42">
        <f ca="1">TODAY()-qry_ProdData2_PDI_Cash_Exception_Application[[#This Row],[INSERT DATE]]</f>
        <v>19.742928240739275</v>
      </c>
      <c r="K22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23">
        <f ca="1">qry_ProdData2_PDI_Cash_Exception_Application[[#This Row],[TODAY]]-qry_ProdData2_PDI_Cash_Exception_Application[[#This Row],[CHANGED ON]]</f>
        <v>18.742928240739275</v>
      </c>
      <c r="M2223">
        <f ca="1">qry_ProdData2_PDI_Cash_Exception_Application[[#This Row],[TODAY]]-qry_ProdData2_PDI_Cash_Exception_Application[[#This Row],[CHANGED ON]]</f>
        <v>18.742928240739275</v>
      </c>
      <c r="N2223">
        <f ca="1">qry_ProdData2_PDI_Cash_Exception_Application[[#This Row],[TODAY]]-qry_ProdData2_PDI_Cash_Exception_Application[[#This Row],[CHANGED ON]]</f>
        <v>18.742928240739275</v>
      </c>
    </row>
    <row r="2224" spans="1:14" x14ac:dyDescent="0.35">
      <c r="A2224">
        <v>1020</v>
      </c>
      <c r="B2224" t="s">
        <v>74</v>
      </c>
      <c r="C2224" s="1">
        <v>45183.257071759261</v>
      </c>
      <c r="D2224" t="str">
        <f ca="1">VLOOKUP(qry_ProdData2_PDI_Cash_Exception_Application[[#This Row],[TYPE]],#REF!,2,FALSE)</f>
        <v>type13</v>
      </c>
      <c r="E2224">
        <v>26758.46</v>
      </c>
      <c r="F2224" t="s">
        <v>52</v>
      </c>
      <c r="G2224" s="1">
        <f>qry_ProdData2_PDI_Cash_Exception_Application[[#This Row],[INSERT DATE]]+1</f>
        <v>45184.257071759261</v>
      </c>
      <c r="H2224" t="str">
        <f>VLOOKUP(qry_ProdData2_PDI_Cash_Exception_Application[[#This Row],[MARKET No]],'Site Allocation'!$B$2:$C$37,2,FALSE)</f>
        <v>Analyst4</v>
      </c>
      <c r="I2224" s="4">
        <f t="shared" ca="1" si="34"/>
        <v>45203</v>
      </c>
      <c r="J2224" s="42">
        <f ca="1">TODAY()-qry_ProdData2_PDI_Cash_Exception_Application[[#This Row],[INSERT DATE]]</f>
        <v>19.742928240739275</v>
      </c>
      <c r="K22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24">
        <f ca="1">qry_ProdData2_PDI_Cash_Exception_Application[[#This Row],[TODAY]]-qry_ProdData2_PDI_Cash_Exception_Application[[#This Row],[CHANGED ON]]</f>
        <v>18.742928240739275</v>
      </c>
      <c r="M2224">
        <f ca="1">qry_ProdData2_PDI_Cash_Exception_Application[[#This Row],[TODAY]]-qry_ProdData2_PDI_Cash_Exception_Application[[#This Row],[CHANGED ON]]</f>
        <v>18.742928240739275</v>
      </c>
      <c r="N2224">
        <f ca="1">qry_ProdData2_PDI_Cash_Exception_Application[[#This Row],[TODAY]]-qry_ProdData2_PDI_Cash_Exception_Application[[#This Row],[CHANGED ON]]</f>
        <v>18.742928240739275</v>
      </c>
    </row>
    <row r="2225" spans="1:14" x14ac:dyDescent="0.35">
      <c r="A2225">
        <v>1011</v>
      </c>
      <c r="B2225" t="s">
        <v>65</v>
      </c>
      <c r="C2225" s="1">
        <v>45183.257071759261</v>
      </c>
      <c r="D2225" t="str">
        <f ca="1">VLOOKUP(qry_ProdData2_PDI_Cash_Exception_Application[[#This Row],[TYPE]],#REF!,2,FALSE)</f>
        <v>type40</v>
      </c>
      <c r="E2225">
        <v>3277.67</v>
      </c>
      <c r="F2225" t="s">
        <v>47</v>
      </c>
      <c r="G2225" s="1">
        <f>qry_ProdData2_PDI_Cash_Exception_Application[[#This Row],[INSERT DATE]]+1</f>
        <v>45184.257071759261</v>
      </c>
      <c r="H2225" t="str">
        <f>VLOOKUP(qry_ProdData2_PDI_Cash_Exception_Application[[#This Row],[MARKET No]],'Site Allocation'!$B$2:$C$37,2,FALSE)</f>
        <v>Analyst2</v>
      </c>
      <c r="I2225" s="4">
        <f t="shared" ca="1" si="34"/>
        <v>45203</v>
      </c>
      <c r="J2225" s="42">
        <f ca="1">TODAY()-qry_ProdData2_PDI_Cash_Exception_Application[[#This Row],[INSERT DATE]]</f>
        <v>19.742928240739275</v>
      </c>
      <c r="K22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25">
        <f ca="1">qry_ProdData2_PDI_Cash_Exception_Application[[#This Row],[TODAY]]-qry_ProdData2_PDI_Cash_Exception_Application[[#This Row],[CHANGED ON]]</f>
        <v>18.742928240739275</v>
      </c>
      <c r="M2225">
        <f ca="1">qry_ProdData2_PDI_Cash_Exception_Application[[#This Row],[TODAY]]-qry_ProdData2_PDI_Cash_Exception_Application[[#This Row],[CHANGED ON]]</f>
        <v>18.742928240739275</v>
      </c>
      <c r="N2225">
        <f ca="1">qry_ProdData2_PDI_Cash_Exception_Application[[#This Row],[TODAY]]-qry_ProdData2_PDI_Cash_Exception_Application[[#This Row],[CHANGED ON]]</f>
        <v>18.742928240739275</v>
      </c>
    </row>
    <row r="2226" spans="1:14" x14ac:dyDescent="0.35">
      <c r="A2226">
        <v>1002</v>
      </c>
      <c r="B2226" t="s">
        <v>56</v>
      </c>
      <c r="C2226" s="1">
        <v>45186.257071759261</v>
      </c>
      <c r="D2226" t="str">
        <f ca="1">VLOOKUP(qry_ProdData2_PDI_Cash_Exception_Application[[#This Row],[TYPE]],#REF!,2,FALSE)</f>
        <v>type13</v>
      </c>
      <c r="E2226">
        <v>35912.769999999997</v>
      </c>
      <c r="F2226" t="s">
        <v>49</v>
      </c>
      <c r="G2226" s="1">
        <f>qry_ProdData2_PDI_Cash_Exception_Application[[#This Row],[INSERT DATE]]+1</f>
        <v>45187.257071759261</v>
      </c>
      <c r="H2226" t="str">
        <f>VLOOKUP(qry_ProdData2_PDI_Cash_Exception_Application[[#This Row],[MARKET No]],'Site Allocation'!$B$2:$C$37,2,FALSE)</f>
        <v>Analyst1</v>
      </c>
      <c r="I2226" s="4">
        <f t="shared" ca="1" si="34"/>
        <v>45203</v>
      </c>
      <c r="J2226" s="42">
        <f ca="1">TODAY()-qry_ProdData2_PDI_Cash_Exception_Application[[#This Row],[INSERT DATE]]</f>
        <v>16.742928240739275</v>
      </c>
      <c r="K22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26">
        <f ca="1">qry_ProdData2_PDI_Cash_Exception_Application[[#This Row],[TODAY]]-qry_ProdData2_PDI_Cash_Exception_Application[[#This Row],[CHANGED ON]]</f>
        <v>15.742928240739275</v>
      </c>
      <c r="M2226">
        <f ca="1">qry_ProdData2_PDI_Cash_Exception_Application[[#This Row],[TODAY]]-qry_ProdData2_PDI_Cash_Exception_Application[[#This Row],[CHANGED ON]]</f>
        <v>15.742928240739275</v>
      </c>
      <c r="N2226">
        <f ca="1">qry_ProdData2_PDI_Cash_Exception_Application[[#This Row],[TODAY]]-qry_ProdData2_PDI_Cash_Exception_Application[[#This Row],[CHANGED ON]]</f>
        <v>15.742928240739275</v>
      </c>
    </row>
    <row r="2227" spans="1:14" x14ac:dyDescent="0.35">
      <c r="A2227">
        <v>1025</v>
      </c>
      <c r="B2227" t="s">
        <v>79</v>
      </c>
      <c r="C2227" s="1">
        <v>45189.257071759261</v>
      </c>
      <c r="D2227" t="str">
        <f ca="1">VLOOKUP(qry_ProdData2_PDI_Cash_Exception_Application[[#This Row],[TYPE]],#REF!,2,FALSE)</f>
        <v>type13</v>
      </c>
      <c r="E2227">
        <v>22178.639999999999</v>
      </c>
      <c r="F2227" t="s">
        <v>48</v>
      </c>
      <c r="G2227" s="1">
        <f>qry_ProdData2_PDI_Cash_Exception_Application[[#This Row],[INSERT DATE]]+7</f>
        <v>45196.257071759261</v>
      </c>
      <c r="H2227" t="str">
        <f>VLOOKUP(qry_ProdData2_PDI_Cash_Exception_Application[[#This Row],[MARKET No]],'Site Allocation'!$B$2:$C$37,2,FALSE)</f>
        <v>Analyst5</v>
      </c>
      <c r="I2227" s="4">
        <f t="shared" ca="1" si="34"/>
        <v>45203</v>
      </c>
      <c r="J2227" s="42">
        <f ca="1">TODAY()-qry_ProdData2_PDI_Cash_Exception_Application[[#This Row],[INSERT DATE]]</f>
        <v>13.742928240739275</v>
      </c>
      <c r="K22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27">
        <f ca="1">qry_ProdData2_PDI_Cash_Exception_Application[[#This Row],[TODAY]]-qry_ProdData2_PDI_Cash_Exception_Application[[#This Row],[CHANGED ON]]</f>
        <v>6.7429282407392748</v>
      </c>
      <c r="M2227">
        <f ca="1">qry_ProdData2_PDI_Cash_Exception_Application[[#This Row],[TODAY]]-qry_ProdData2_PDI_Cash_Exception_Application[[#This Row],[CHANGED ON]]</f>
        <v>6.7429282407392748</v>
      </c>
      <c r="N2227">
        <f ca="1">qry_ProdData2_PDI_Cash_Exception_Application[[#This Row],[TODAY]]-qry_ProdData2_PDI_Cash_Exception_Application[[#This Row],[CHANGED ON]]</f>
        <v>6.7429282407392748</v>
      </c>
    </row>
    <row r="2228" spans="1:14" x14ac:dyDescent="0.35">
      <c r="A2228">
        <v>1027</v>
      </c>
      <c r="B2228" t="s">
        <v>81</v>
      </c>
      <c r="C2228" s="1">
        <v>45187.257071759261</v>
      </c>
      <c r="D2228" t="str">
        <f ca="1">VLOOKUP(qry_ProdData2_PDI_Cash_Exception_Application[[#This Row],[TYPE]],#REF!,2,FALSE)</f>
        <v>type13</v>
      </c>
      <c r="E2228">
        <v>32034.74</v>
      </c>
      <c r="F2228" t="s">
        <v>51</v>
      </c>
      <c r="G2228" s="1">
        <f>qry_ProdData2_PDI_Cash_Exception_Application[[#This Row],[INSERT DATE]]+7</f>
        <v>45194.257071759261</v>
      </c>
      <c r="H2228" t="str">
        <f>VLOOKUP(qry_ProdData2_PDI_Cash_Exception_Application[[#This Row],[MARKET No]],'Site Allocation'!$B$2:$C$37,2,FALSE)</f>
        <v>Analyst5</v>
      </c>
      <c r="I2228" s="4">
        <f t="shared" ca="1" si="34"/>
        <v>45203</v>
      </c>
      <c r="J2228" s="42">
        <f ca="1">TODAY()-qry_ProdData2_PDI_Cash_Exception_Application[[#This Row],[INSERT DATE]]</f>
        <v>15.742928240739275</v>
      </c>
      <c r="K22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28">
        <f ca="1">qry_ProdData2_PDI_Cash_Exception_Application[[#This Row],[TODAY]]-qry_ProdData2_PDI_Cash_Exception_Application[[#This Row],[CHANGED ON]]</f>
        <v>8.7429282407392748</v>
      </c>
      <c r="M2228">
        <f ca="1">qry_ProdData2_PDI_Cash_Exception_Application[[#This Row],[TODAY]]-qry_ProdData2_PDI_Cash_Exception_Application[[#This Row],[CHANGED ON]]</f>
        <v>8.7429282407392748</v>
      </c>
      <c r="N2228">
        <f ca="1">qry_ProdData2_PDI_Cash_Exception_Application[[#This Row],[TODAY]]-qry_ProdData2_PDI_Cash_Exception_Application[[#This Row],[CHANGED ON]]</f>
        <v>8.7429282407392748</v>
      </c>
    </row>
    <row r="2229" spans="1:14" x14ac:dyDescent="0.35">
      <c r="A2229">
        <v>1017</v>
      </c>
      <c r="B2229" t="s">
        <v>71</v>
      </c>
      <c r="C2229" s="1">
        <v>45186.257071759261</v>
      </c>
      <c r="D2229" t="str">
        <f ca="1">VLOOKUP(qry_ProdData2_PDI_Cash_Exception_Application[[#This Row],[TYPE]],#REF!,2,FALSE)</f>
        <v>type40</v>
      </c>
      <c r="E2229">
        <v>-308.08999999999997</v>
      </c>
      <c r="F2229" t="s">
        <v>50</v>
      </c>
      <c r="G2229" s="1">
        <f>qry_ProdData2_PDI_Cash_Exception_Application[[#This Row],[INSERT DATE]]+2</f>
        <v>45188.257071759261</v>
      </c>
      <c r="H2229" t="str">
        <f>VLOOKUP(qry_ProdData2_PDI_Cash_Exception_Application[[#This Row],[MARKET No]],'Site Allocation'!$B$2:$C$37,2,FALSE)</f>
        <v>Analyst3</v>
      </c>
      <c r="I2229" s="4">
        <f t="shared" ca="1" si="34"/>
        <v>45203</v>
      </c>
      <c r="J2229" s="42">
        <f ca="1">TODAY()-qry_ProdData2_PDI_Cash_Exception_Application[[#This Row],[INSERT DATE]]</f>
        <v>16.742928240739275</v>
      </c>
      <c r="K22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29">
        <f ca="1">qry_ProdData2_PDI_Cash_Exception_Application[[#This Row],[TODAY]]-qry_ProdData2_PDI_Cash_Exception_Application[[#This Row],[CHANGED ON]]</f>
        <v>14.742928240739275</v>
      </c>
      <c r="M2229">
        <f ca="1">qry_ProdData2_PDI_Cash_Exception_Application[[#This Row],[TODAY]]-qry_ProdData2_PDI_Cash_Exception_Application[[#This Row],[CHANGED ON]]</f>
        <v>14.742928240739275</v>
      </c>
      <c r="N2229">
        <f ca="1">qry_ProdData2_PDI_Cash_Exception_Application[[#This Row],[TODAY]]-qry_ProdData2_PDI_Cash_Exception_Application[[#This Row],[CHANGED ON]]</f>
        <v>14.742928240739275</v>
      </c>
    </row>
    <row r="2230" spans="1:14" x14ac:dyDescent="0.35">
      <c r="A2230">
        <v>1029</v>
      </c>
      <c r="B2230" t="s">
        <v>83</v>
      </c>
      <c r="C2230" s="1">
        <v>45190.257071759261</v>
      </c>
      <c r="D2230" t="str">
        <f ca="1">VLOOKUP(qry_ProdData2_PDI_Cash_Exception_Application[[#This Row],[TYPE]],#REF!,2,FALSE)</f>
        <v>type13</v>
      </c>
      <c r="E2230">
        <v>20553.830000000002</v>
      </c>
      <c r="F2230" t="s">
        <v>48</v>
      </c>
      <c r="G2230" s="1">
        <f>qry_ProdData2_PDI_Cash_Exception_Application[[#This Row],[INSERT DATE]]+1</f>
        <v>45191.257071759261</v>
      </c>
      <c r="H2230" t="str">
        <f>VLOOKUP(qry_ProdData2_PDI_Cash_Exception_Application[[#This Row],[MARKET No]],'Site Allocation'!$B$2:$C$37,2,FALSE)</f>
        <v>Analyst5</v>
      </c>
      <c r="I2230" s="4">
        <f t="shared" ca="1" si="34"/>
        <v>45203</v>
      </c>
      <c r="J2230" s="42">
        <f ca="1">TODAY()-qry_ProdData2_PDI_Cash_Exception_Application[[#This Row],[INSERT DATE]]</f>
        <v>12.742928240739275</v>
      </c>
      <c r="K22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30">
        <f ca="1">qry_ProdData2_PDI_Cash_Exception_Application[[#This Row],[TODAY]]-qry_ProdData2_PDI_Cash_Exception_Application[[#This Row],[CHANGED ON]]</f>
        <v>11.742928240739275</v>
      </c>
      <c r="M2230">
        <f ca="1">qry_ProdData2_PDI_Cash_Exception_Application[[#This Row],[TODAY]]-qry_ProdData2_PDI_Cash_Exception_Application[[#This Row],[CHANGED ON]]</f>
        <v>11.742928240739275</v>
      </c>
      <c r="N2230">
        <f ca="1">qry_ProdData2_PDI_Cash_Exception_Application[[#This Row],[TODAY]]-qry_ProdData2_PDI_Cash_Exception_Application[[#This Row],[CHANGED ON]]</f>
        <v>11.742928240739275</v>
      </c>
    </row>
    <row r="2231" spans="1:14" x14ac:dyDescent="0.35">
      <c r="A2231">
        <v>1023</v>
      </c>
      <c r="B2231" t="s">
        <v>77</v>
      </c>
      <c r="C2231" s="1">
        <v>45187.257071759261</v>
      </c>
      <c r="D2231" t="str">
        <f ca="1">VLOOKUP(qry_ProdData2_PDI_Cash_Exception_Application[[#This Row],[TYPE]],#REF!,2,FALSE)</f>
        <v>type40</v>
      </c>
      <c r="E2231">
        <v>-498.1</v>
      </c>
      <c r="F2231" t="s">
        <v>52</v>
      </c>
      <c r="G2231" s="1">
        <f>qry_ProdData2_PDI_Cash_Exception_Application[[#This Row],[INSERT DATE]]+2</f>
        <v>45189.257071759261</v>
      </c>
      <c r="H2231" t="str">
        <f>VLOOKUP(qry_ProdData2_PDI_Cash_Exception_Application[[#This Row],[MARKET No]],'Site Allocation'!$B$2:$C$37,2,FALSE)</f>
        <v>Analyst4</v>
      </c>
      <c r="I2231" s="4">
        <f t="shared" ca="1" si="34"/>
        <v>45203</v>
      </c>
      <c r="J2231" s="42">
        <f ca="1">TODAY()-qry_ProdData2_PDI_Cash_Exception_Application[[#This Row],[INSERT DATE]]</f>
        <v>15.742928240739275</v>
      </c>
      <c r="K22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31">
        <f ca="1">qry_ProdData2_PDI_Cash_Exception_Application[[#This Row],[TODAY]]-qry_ProdData2_PDI_Cash_Exception_Application[[#This Row],[CHANGED ON]]</f>
        <v>13.742928240739275</v>
      </c>
      <c r="M2231">
        <f ca="1">qry_ProdData2_PDI_Cash_Exception_Application[[#This Row],[TODAY]]-qry_ProdData2_PDI_Cash_Exception_Application[[#This Row],[CHANGED ON]]</f>
        <v>13.742928240739275</v>
      </c>
      <c r="N2231">
        <f ca="1">qry_ProdData2_PDI_Cash_Exception_Application[[#This Row],[TODAY]]-qry_ProdData2_PDI_Cash_Exception_Application[[#This Row],[CHANGED ON]]</f>
        <v>13.742928240739275</v>
      </c>
    </row>
    <row r="2232" spans="1:14" x14ac:dyDescent="0.35">
      <c r="A2232">
        <v>1030</v>
      </c>
      <c r="B2232" t="s">
        <v>84</v>
      </c>
      <c r="C2232" s="1">
        <v>45180.257071759261</v>
      </c>
      <c r="D2232" t="str">
        <f ca="1">VLOOKUP(qry_ProdData2_PDI_Cash_Exception_Application[[#This Row],[TYPE]],#REF!,2,FALSE)</f>
        <v>type13</v>
      </c>
      <c r="E2232">
        <v>13968.35</v>
      </c>
      <c r="F2232" t="s">
        <v>48</v>
      </c>
      <c r="G2232" s="1">
        <f>qry_ProdData2_PDI_Cash_Exception_Application[[#This Row],[INSERT DATE]]+1</f>
        <v>45181.257071759261</v>
      </c>
      <c r="H2232" t="str">
        <f>VLOOKUP(qry_ProdData2_PDI_Cash_Exception_Application[[#This Row],[MARKET No]],'Site Allocation'!$B$2:$C$37,2,FALSE)</f>
        <v>Analyst6</v>
      </c>
      <c r="I2232" s="4">
        <f t="shared" ca="1" si="34"/>
        <v>45203</v>
      </c>
      <c r="J2232" s="42">
        <f ca="1">TODAY()-qry_ProdData2_PDI_Cash_Exception_Application[[#This Row],[INSERT DATE]]</f>
        <v>22.742928240739275</v>
      </c>
      <c r="K22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32">
        <f ca="1">qry_ProdData2_PDI_Cash_Exception_Application[[#This Row],[TODAY]]-qry_ProdData2_PDI_Cash_Exception_Application[[#This Row],[CHANGED ON]]</f>
        <v>21.742928240739275</v>
      </c>
      <c r="M2232">
        <f ca="1">qry_ProdData2_PDI_Cash_Exception_Application[[#This Row],[TODAY]]-qry_ProdData2_PDI_Cash_Exception_Application[[#This Row],[CHANGED ON]]</f>
        <v>21.742928240739275</v>
      </c>
      <c r="N2232">
        <f ca="1">qry_ProdData2_PDI_Cash_Exception_Application[[#This Row],[TODAY]]-qry_ProdData2_PDI_Cash_Exception_Application[[#This Row],[CHANGED ON]]</f>
        <v>21.742928240739275</v>
      </c>
    </row>
    <row r="2233" spans="1:14" x14ac:dyDescent="0.35">
      <c r="A2233">
        <v>1028</v>
      </c>
      <c r="B2233" t="s">
        <v>82</v>
      </c>
      <c r="C2233" s="1">
        <v>45189.257071759261</v>
      </c>
      <c r="D2233" t="str">
        <f ca="1">VLOOKUP(qry_ProdData2_PDI_Cash_Exception_Application[[#This Row],[TYPE]],#REF!,2,FALSE)</f>
        <v>type40</v>
      </c>
      <c r="E2233">
        <v>413.17</v>
      </c>
      <c r="F2233" t="s">
        <v>50</v>
      </c>
      <c r="G2233" s="1">
        <f>qry_ProdData2_PDI_Cash_Exception_Application[[#This Row],[INSERT DATE]]+2</f>
        <v>45191.257071759261</v>
      </c>
      <c r="H2233" t="str">
        <f>VLOOKUP(qry_ProdData2_PDI_Cash_Exception_Application[[#This Row],[MARKET No]],'Site Allocation'!$B$2:$C$37,2,FALSE)</f>
        <v>Analyst5</v>
      </c>
      <c r="I2233" s="4">
        <f t="shared" ca="1" si="34"/>
        <v>45203</v>
      </c>
      <c r="J2233" s="42">
        <f ca="1">TODAY()-qry_ProdData2_PDI_Cash_Exception_Application[[#This Row],[INSERT DATE]]</f>
        <v>13.742928240739275</v>
      </c>
      <c r="K22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33">
        <f ca="1">qry_ProdData2_PDI_Cash_Exception_Application[[#This Row],[TODAY]]-qry_ProdData2_PDI_Cash_Exception_Application[[#This Row],[CHANGED ON]]</f>
        <v>11.742928240739275</v>
      </c>
      <c r="M2233">
        <f ca="1">qry_ProdData2_PDI_Cash_Exception_Application[[#This Row],[TODAY]]-qry_ProdData2_PDI_Cash_Exception_Application[[#This Row],[CHANGED ON]]</f>
        <v>11.742928240739275</v>
      </c>
      <c r="N2233">
        <f ca="1">qry_ProdData2_PDI_Cash_Exception_Application[[#This Row],[TODAY]]-qry_ProdData2_PDI_Cash_Exception_Application[[#This Row],[CHANGED ON]]</f>
        <v>11.742928240739275</v>
      </c>
    </row>
    <row r="2234" spans="1:14" x14ac:dyDescent="0.35">
      <c r="A2234">
        <v>1024</v>
      </c>
      <c r="B2234" t="s">
        <v>78</v>
      </c>
      <c r="C2234" s="1">
        <v>45185.257071759261</v>
      </c>
      <c r="D2234" t="str">
        <f ca="1">VLOOKUP(qry_ProdData2_PDI_Cash_Exception_Application[[#This Row],[TYPE]],#REF!,2,FALSE)</f>
        <v>type13</v>
      </c>
      <c r="E2234">
        <v>28201.01</v>
      </c>
      <c r="F2234" t="s">
        <v>47</v>
      </c>
      <c r="G2234" s="1">
        <f>qry_ProdData2_PDI_Cash_Exception_Application[[#This Row],[INSERT DATE]]+1</f>
        <v>45186.257071759261</v>
      </c>
      <c r="H2234" t="str">
        <f>VLOOKUP(qry_ProdData2_PDI_Cash_Exception_Application[[#This Row],[MARKET No]],'Site Allocation'!$B$2:$C$37,2,FALSE)</f>
        <v>Analyst5</v>
      </c>
      <c r="I2234" s="4">
        <f t="shared" ca="1" si="34"/>
        <v>45203</v>
      </c>
      <c r="J2234" s="42">
        <f ca="1">TODAY()-qry_ProdData2_PDI_Cash_Exception_Application[[#This Row],[INSERT DATE]]</f>
        <v>17.742928240739275</v>
      </c>
      <c r="K22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34">
        <f ca="1">qry_ProdData2_PDI_Cash_Exception_Application[[#This Row],[TODAY]]-qry_ProdData2_PDI_Cash_Exception_Application[[#This Row],[CHANGED ON]]</f>
        <v>16.742928240739275</v>
      </c>
      <c r="M2234">
        <f ca="1">qry_ProdData2_PDI_Cash_Exception_Application[[#This Row],[TODAY]]-qry_ProdData2_PDI_Cash_Exception_Application[[#This Row],[CHANGED ON]]</f>
        <v>16.742928240739275</v>
      </c>
      <c r="N2234">
        <f ca="1">qry_ProdData2_PDI_Cash_Exception_Application[[#This Row],[TODAY]]-qry_ProdData2_PDI_Cash_Exception_Application[[#This Row],[CHANGED ON]]</f>
        <v>16.742928240739275</v>
      </c>
    </row>
    <row r="2235" spans="1:14" x14ac:dyDescent="0.35">
      <c r="A2235">
        <v>1034</v>
      </c>
      <c r="B2235" t="s">
        <v>88</v>
      </c>
      <c r="C2235" s="1">
        <v>45190.257071759261</v>
      </c>
      <c r="D2235" t="str">
        <f ca="1">VLOOKUP(qry_ProdData2_PDI_Cash_Exception_Application[[#This Row],[TYPE]],#REF!,2,FALSE)</f>
        <v>type40</v>
      </c>
      <c r="E2235">
        <v>-305.27999999999997</v>
      </c>
      <c r="F2235" t="s">
        <v>52</v>
      </c>
      <c r="G2235" s="1">
        <f>qry_ProdData2_PDI_Cash_Exception_Application[[#This Row],[INSERT DATE]]+2</f>
        <v>45192.257071759261</v>
      </c>
      <c r="H2235" t="str">
        <f>VLOOKUP(qry_ProdData2_PDI_Cash_Exception_Application[[#This Row],[MARKET No]],'Site Allocation'!$B$2:$C$37,2,FALSE)</f>
        <v>Analyst6</v>
      </c>
      <c r="I2235" s="4">
        <f t="shared" ca="1" si="34"/>
        <v>45203</v>
      </c>
      <c r="J2235" s="42">
        <f ca="1">TODAY()-qry_ProdData2_PDI_Cash_Exception_Application[[#This Row],[INSERT DATE]]</f>
        <v>12.742928240739275</v>
      </c>
      <c r="K22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35">
        <f ca="1">qry_ProdData2_PDI_Cash_Exception_Application[[#This Row],[TODAY]]-qry_ProdData2_PDI_Cash_Exception_Application[[#This Row],[CHANGED ON]]</f>
        <v>10.742928240739275</v>
      </c>
      <c r="M2235">
        <f ca="1">qry_ProdData2_PDI_Cash_Exception_Application[[#This Row],[TODAY]]-qry_ProdData2_PDI_Cash_Exception_Application[[#This Row],[CHANGED ON]]</f>
        <v>10.742928240739275</v>
      </c>
      <c r="N2235">
        <f ca="1">qry_ProdData2_PDI_Cash_Exception_Application[[#This Row],[TODAY]]-qry_ProdData2_PDI_Cash_Exception_Application[[#This Row],[CHANGED ON]]</f>
        <v>10.742928240739275</v>
      </c>
    </row>
    <row r="2236" spans="1:14" x14ac:dyDescent="0.35">
      <c r="A2236">
        <v>1034</v>
      </c>
      <c r="B2236" t="s">
        <v>88</v>
      </c>
      <c r="C2236" s="1">
        <v>45188.257071759261</v>
      </c>
      <c r="D2236" t="str">
        <f ca="1">VLOOKUP(qry_ProdData2_PDI_Cash_Exception_Application[[#This Row],[TYPE]],#REF!,2,FALSE)</f>
        <v>type13</v>
      </c>
      <c r="E2236">
        <v>28870.41</v>
      </c>
      <c r="F2236" t="s">
        <v>51</v>
      </c>
      <c r="G2236" s="1">
        <f>qry_ProdData2_PDI_Cash_Exception_Application[[#This Row],[INSERT DATE]]+7</f>
        <v>45195.257071759261</v>
      </c>
      <c r="H2236" t="str">
        <f>VLOOKUP(qry_ProdData2_PDI_Cash_Exception_Application[[#This Row],[MARKET No]],'Site Allocation'!$B$2:$C$37,2,FALSE)</f>
        <v>Analyst6</v>
      </c>
      <c r="I2236" s="4">
        <f t="shared" ca="1" si="34"/>
        <v>45203</v>
      </c>
      <c r="J2236" s="42">
        <f ca="1">TODAY()-qry_ProdData2_PDI_Cash_Exception_Application[[#This Row],[INSERT DATE]]</f>
        <v>14.742928240739275</v>
      </c>
      <c r="K22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36">
        <f ca="1">qry_ProdData2_PDI_Cash_Exception_Application[[#This Row],[TODAY]]-qry_ProdData2_PDI_Cash_Exception_Application[[#This Row],[CHANGED ON]]</f>
        <v>7.7429282407392748</v>
      </c>
      <c r="M2236">
        <f ca="1">qry_ProdData2_PDI_Cash_Exception_Application[[#This Row],[TODAY]]-qry_ProdData2_PDI_Cash_Exception_Application[[#This Row],[CHANGED ON]]</f>
        <v>7.7429282407392748</v>
      </c>
      <c r="N2236">
        <f ca="1">qry_ProdData2_PDI_Cash_Exception_Application[[#This Row],[TODAY]]-qry_ProdData2_PDI_Cash_Exception_Application[[#This Row],[CHANGED ON]]</f>
        <v>7.7429282407392748</v>
      </c>
    </row>
    <row r="2237" spans="1:14" x14ac:dyDescent="0.35">
      <c r="A2237">
        <v>1027</v>
      </c>
      <c r="B2237" t="s">
        <v>81</v>
      </c>
      <c r="C2237" s="1">
        <v>45191.257071759261</v>
      </c>
      <c r="D2237" t="str">
        <f ca="1">VLOOKUP(qry_ProdData2_PDI_Cash_Exception_Application[[#This Row],[TYPE]],#REF!,2,FALSE)</f>
        <v>type40</v>
      </c>
      <c r="E2237">
        <v>1311.66</v>
      </c>
      <c r="F2237" t="s">
        <v>52</v>
      </c>
      <c r="G2237" s="1">
        <f>qry_ProdData2_PDI_Cash_Exception_Application[[#This Row],[INSERT DATE]]+2</f>
        <v>45193.257071759261</v>
      </c>
      <c r="H2237" t="str">
        <f>VLOOKUP(qry_ProdData2_PDI_Cash_Exception_Application[[#This Row],[MARKET No]],'Site Allocation'!$B$2:$C$37,2,FALSE)</f>
        <v>Analyst5</v>
      </c>
      <c r="I2237" s="4">
        <f t="shared" ca="1" si="34"/>
        <v>45203</v>
      </c>
      <c r="J2237" s="42">
        <f ca="1">TODAY()-qry_ProdData2_PDI_Cash_Exception_Application[[#This Row],[INSERT DATE]]</f>
        <v>11.742928240739275</v>
      </c>
      <c r="K22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37">
        <f ca="1">qry_ProdData2_PDI_Cash_Exception_Application[[#This Row],[TODAY]]-qry_ProdData2_PDI_Cash_Exception_Application[[#This Row],[CHANGED ON]]</f>
        <v>9.7429282407392748</v>
      </c>
      <c r="M2237">
        <f ca="1">qry_ProdData2_PDI_Cash_Exception_Application[[#This Row],[TODAY]]-qry_ProdData2_PDI_Cash_Exception_Application[[#This Row],[CHANGED ON]]</f>
        <v>9.7429282407392748</v>
      </c>
      <c r="N2237">
        <f ca="1">qry_ProdData2_PDI_Cash_Exception_Application[[#This Row],[TODAY]]-qry_ProdData2_PDI_Cash_Exception_Application[[#This Row],[CHANGED ON]]</f>
        <v>9.7429282407392748</v>
      </c>
    </row>
    <row r="2238" spans="1:14" x14ac:dyDescent="0.35">
      <c r="A2238">
        <v>1028</v>
      </c>
      <c r="B2238" t="s">
        <v>82</v>
      </c>
      <c r="C2238" s="1">
        <v>45192.257071759261</v>
      </c>
      <c r="D2238" t="str">
        <f ca="1">VLOOKUP(qry_ProdData2_PDI_Cash_Exception_Application[[#This Row],[TYPE]],#REF!,2,FALSE)</f>
        <v>type53</v>
      </c>
      <c r="E2238">
        <v>314</v>
      </c>
      <c r="F2238" t="s">
        <v>52</v>
      </c>
      <c r="G2238" s="1">
        <f>qry_ProdData2_PDI_Cash_Exception_Application[[#This Row],[INSERT DATE]]+2</f>
        <v>45194.257071759261</v>
      </c>
      <c r="H2238" t="str">
        <f>VLOOKUP(qry_ProdData2_PDI_Cash_Exception_Application[[#This Row],[MARKET No]],'Site Allocation'!$B$2:$C$37,2,FALSE)</f>
        <v>Analyst5</v>
      </c>
      <c r="I2238" s="4">
        <f t="shared" ca="1" si="34"/>
        <v>45203</v>
      </c>
      <c r="J2238" s="42">
        <f ca="1">TODAY()-qry_ProdData2_PDI_Cash_Exception_Application[[#This Row],[INSERT DATE]]</f>
        <v>10.742928240739275</v>
      </c>
      <c r="K22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38">
        <f ca="1">qry_ProdData2_PDI_Cash_Exception_Application[[#This Row],[TODAY]]-qry_ProdData2_PDI_Cash_Exception_Application[[#This Row],[CHANGED ON]]</f>
        <v>8.7429282407392748</v>
      </c>
      <c r="M2238">
        <f ca="1">qry_ProdData2_PDI_Cash_Exception_Application[[#This Row],[TODAY]]-qry_ProdData2_PDI_Cash_Exception_Application[[#This Row],[CHANGED ON]]</f>
        <v>8.7429282407392748</v>
      </c>
      <c r="N2238">
        <f ca="1">qry_ProdData2_PDI_Cash_Exception_Application[[#This Row],[TODAY]]-qry_ProdData2_PDI_Cash_Exception_Application[[#This Row],[CHANGED ON]]</f>
        <v>8.7429282407392748</v>
      </c>
    </row>
    <row r="2239" spans="1:14" x14ac:dyDescent="0.35">
      <c r="A2239">
        <v>1027</v>
      </c>
      <c r="B2239" t="s">
        <v>81</v>
      </c>
      <c r="C2239" s="1">
        <v>45184.257071759261</v>
      </c>
      <c r="D2239" t="str">
        <f ca="1">VLOOKUP(qry_ProdData2_PDI_Cash_Exception_Application[[#This Row],[TYPE]],#REF!,2,FALSE)</f>
        <v>type13</v>
      </c>
      <c r="E2239">
        <v>13468.44</v>
      </c>
      <c r="F2239" t="s">
        <v>48</v>
      </c>
      <c r="G2239" s="1">
        <f>qry_ProdData2_PDI_Cash_Exception_Application[[#This Row],[INSERT DATE]]+2</f>
        <v>45186.257071759261</v>
      </c>
      <c r="H2239" t="str">
        <f>VLOOKUP(qry_ProdData2_PDI_Cash_Exception_Application[[#This Row],[MARKET No]],'Site Allocation'!$B$2:$C$37,2,FALSE)</f>
        <v>Analyst5</v>
      </c>
      <c r="I2239" s="4">
        <f t="shared" ca="1" si="34"/>
        <v>45203</v>
      </c>
      <c r="J2239" s="42">
        <f ca="1">TODAY()-qry_ProdData2_PDI_Cash_Exception_Application[[#This Row],[INSERT DATE]]</f>
        <v>18.742928240739275</v>
      </c>
      <c r="K22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39">
        <f ca="1">qry_ProdData2_PDI_Cash_Exception_Application[[#This Row],[TODAY]]-qry_ProdData2_PDI_Cash_Exception_Application[[#This Row],[CHANGED ON]]</f>
        <v>16.742928240739275</v>
      </c>
      <c r="M2239">
        <f ca="1">qry_ProdData2_PDI_Cash_Exception_Application[[#This Row],[TODAY]]-qry_ProdData2_PDI_Cash_Exception_Application[[#This Row],[CHANGED ON]]</f>
        <v>16.742928240739275</v>
      </c>
      <c r="N2239">
        <f ca="1">qry_ProdData2_PDI_Cash_Exception_Application[[#This Row],[TODAY]]-qry_ProdData2_PDI_Cash_Exception_Application[[#This Row],[CHANGED ON]]</f>
        <v>16.742928240739275</v>
      </c>
    </row>
    <row r="2240" spans="1:14" x14ac:dyDescent="0.35">
      <c r="A2240">
        <v>1015</v>
      </c>
      <c r="B2240" t="s">
        <v>69</v>
      </c>
      <c r="C2240" s="1">
        <v>45192.257071759261</v>
      </c>
      <c r="D2240" t="str">
        <f ca="1">VLOOKUP(qry_ProdData2_PDI_Cash_Exception_Application[[#This Row],[TYPE]],#REF!,2,FALSE)</f>
        <v>type40</v>
      </c>
      <c r="E2240">
        <v>4456.5</v>
      </c>
      <c r="F2240" t="s">
        <v>51</v>
      </c>
      <c r="G2240" s="1">
        <f>qry_ProdData2_PDI_Cash_Exception_Application[[#This Row],[INSERT DATE]]+7</f>
        <v>45199.257071759261</v>
      </c>
      <c r="H2240" t="str">
        <f>VLOOKUP(qry_ProdData2_PDI_Cash_Exception_Application[[#This Row],[MARKET No]],'Site Allocation'!$B$2:$C$37,2,FALSE)</f>
        <v>Analyst3</v>
      </c>
      <c r="I2240" s="4">
        <f t="shared" ca="1" si="34"/>
        <v>45203</v>
      </c>
      <c r="J2240" s="42">
        <f ca="1">TODAY()-qry_ProdData2_PDI_Cash_Exception_Application[[#This Row],[INSERT DATE]]</f>
        <v>10.742928240739275</v>
      </c>
      <c r="K22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40">
        <f ca="1">qry_ProdData2_PDI_Cash_Exception_Application[[#This Row],[TODAY]]-qry_ProdData2_PDI_Cash_Exception_Application[[#This Row],[CHANGED ON]]</f>
        <v>3.7429282407392748</v>
      </c>
      <c r="M2240">
        <f ca="1">qry_ProdData2_PDI_Cash_Exception_Application[[#This Row],[TODAY]]-qry_ProdData2_PDI_Cash_Exception_Application[[#This Row],[CHANGED ON]]</f>
        <v>3.7429282407392748</v>
      </c>
      <c r="N2240">
        <f ca="1">qry_ProdData2_PDI_Cash_Exception_Application[[#This Row],[TODAY]]-qry_ProdData2_PDI_Cash_Exception_Application[[#This Row],[CHANGED ON]]</f>
        <v>3.7429282407392748</v>
      </c>
    </row>
    <row r="2241" spans="1:14" x14ac:dyDescent="0.35">
      <c r="A2241">
        <v>1030</v>
      </c>
      <c r="B2241" t="s">
        <v>84</v>
      </c>
      <c r="C2241" s="1">
        <v>45190.257071759261</v>
      </c>
      <c r="D2241" t="str">
        <f ca="1">VLOOKUP(qry_ProdData2_PDI_Cash_Exception_Application[[#This Row],[TYPE]],#REF!,2,FALSE)</f>
        <v>type13</v>
      </c>
      <c r="E2241">
        <v>22483.599999999999</v>
      </c>
      <c r="F2241" t="s">
        <v>48</v>
      </c>
      <c r="G2241" s="1">
        <f>qry_ProdData2_PDI_Cash_Exception_Application[[#This Row],[INSERT DATE]]+2</f>
        <v>45192.257071759261</v>
      </c>
      <c r="H2241" t="str">
        <f>VLOOKUP(qry_ProdData2_PDI_Cash_Exception_Application[[#This Row],[MARKET No]],'Site Allocation'!$B$2:$C$37,2,FALSE)</f>
        <v>Analyst6</v>
      </c>
      <c r="I2241" s="4">
        <f t="shared" ca="1" si="34"/>
        <v>45203</v>
      </c>
      <c r="J2241" s="42">
        <f ca="1">TODAY()-qry_ProdData2_PDI_Cash_Exception_Application[[#This Row],[INSERT DATE]]</f>
        <v>12.742928240739275</v>
      </c>
      <c r="K22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41">
        <f ca="1">qry_ProdData2_PDI_Cash_Exception_Application[[#This Row],[TODAY]]-qry_ProdData2_PDI_Cash_Exception_Application[[#This Row],[CHANGED ON]]</f>
        <v>10.742928240739275</v>
      </c>
      <c r="M2241">
        <f ca="1">qry_ProdData2_PDI_Cash_Exception_Application[[#This Row],[TODAY]]-qry_ProdData2_PDI_Cash_Exception_Application[[#This Row],[CHANGED ON]]</f>
        <v>10.742928240739275</v>
      </c>
      <c r="N2241">
        <f ca="1">qry_ProdData2_PDI_Cash_Exception_Application[[#This Row],[TODAY]]-qry_ProdData2_PDI_Cash_Exception_Application[[#This Row],[CHANGED ON]]</f>
        <v>10.742928240739275</v>
      </c>
    </row>
    <row r="2242" spans="1:14" x14ac:dyDescent="0.35">
      <c r="A2242">
        <v>1017</v>
      </c>
      <c r="B2242" t="s">
        <v>71</v>
      </c>
      <c r="C2242" s="1">
        <v>45196.257071759261</v>
      </c>
      <c r="D2242" t="str">
        <f ca="1">VLOOKUP(qry_ProdData2_PDI_Cash_Exception_Application[[#This Row],[TYPE]],#REF!,2,FALSE)</f>
        <v>type40</v>
      </c>
      <c r="E2242">
        <v>-340.01</v>
      </c>
      <c r="F2242" t="s">
        <v>50</v>
      </c>
      <c r="G2242" s="1">
        <f>qry_ProdData2_PDI_Cash_Exception_Application[[#This Row],[INSERT DATE]]+2</f>
        <v>45198.257071759261</v>
      </c>
      <c r="H2242" t="str">
        <f>VLOOKUP(qry_ProdData2_PDI_Cash_Exception_Application[[#This Row],[MARKET No]],'Site Allocation'!$B$2:$C$37,2,FALSE)</f>
        <v>Analyst3</v>
      </c>
      <c r="I2242" s="4">
        <f t="shared" ref="I2242:I2305" ca="1" si="35">TODAY()</f>
        <v>45203</v>
      </c>
      <c r="J2242" s="42">
        <f ca="1">TODAY()-qry_ProdData2_PDI_Cash_Exception_Application[[#This Row],[INSERT DATE]]</f>
        <v>6.7429282407392748</v>
      </c>
      <c r="K22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242">
        <f ca="1">qry_ProdData2_PDI_Cash_Exception_Application[[#This Row],[TODAY]]-qry_ProdData2_PDI_Cash_Exception_Application[[#This Row],[CHANGED ON]]</f>
        <v>4.7429282407392748</v>
      </c>
      <c r="M2242">
        <f ca="1">qry_ProdData2_PDI_Cash_Exception_Application[[#This Row],[TODAY]]-qry_ProdData2_PDI_Cash_Exception_Application[[#This Row],[CHANGED ON]]</f>
        <v>4.7429282407392748</v>
      </c>
      <c r="N2242">
        <f ca="1">qry_ProdData2_PDI_Cash_Exception_Application[[#This Row],[TODAY]]-qry_ProdData2_PDI_Cash_Exception_Application[[#This Row],[CHANGED ON]]</f>
        <v>4.7429282407392748</v>
      </c>
    </row>
    <row r="2243" spans="1:14" x14ac:dyDescent="0.35">
      <c r="A2243">
        <v>1034</v>
      </c>
      <c r="B2243" t="s">
        <v>88</v>
      </c>
      <c r="C2243" s="1">
        <v>45189.257071759261</v>
      </c>
      <c r="D2243" t="str">
        <f ca="1">VLOOKUP(qry_ProdData2_PDI_Cash_Exception_Application[[#This Row],[TYPE]],#REF!,2,FALSE)</f>
        <v>type40</v>
      </c>
      <c r="E2243">
        <v>-1313.76</v>
      </c>
      <c r="F2243" t="s">
        <v>51</v>
      </c>
      <c r="G2243" s="1">
        <f>qry_ProdData2_PDI_Cash_Exception_Application[[#This Row],[INSERT DATE]]+1</f>
        <v>45190.257071759261</v>
      </c>
      <c r="H2243" t="str">
        <f>VLOOKUP(qry_ProdData2_PDI_Cash_Exception_Application[[#This Row],[MARKET No]],'Site Allocation'!$B$2:$C$37,2,FALSE)</f>
        <v>Analyst6</v>
      </c>
      <c r="I2243" s="4">
        <f t="shared" ca="1" si="35"/>
        <v>45203</v>
      </c>
      <c r="J2243" s="42">
        <f ca="1">TODAY()-qry_ProdData2_PDI_Cash_Exception_Application[[#This Row],[INSERT DATE]]</f>
        <v>13.742928240739275</v>
      </c>
      <c r="K22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43">
        <f ca="1">qry_ProdData2_PDI_Cash_Exception_Application[[#This Row],[TODAY]]-qry_ProdData2_PDI_Cash_Exception_Application[[#This Row],[CHANGED ON]]</f>
        <v>12.742928240739275</v>
      </c>
      <c r="M2243">
        <f ca="1">qry_ProdData2_PDI_Cash_Exception_Application[[#This Row],[TODAY]]-qry_ProdData2_PDI_Cash_Exception_Application[[#This Row],[CHANGED ON]]</f>
        <v>12.742928240739275</v>
      </c>
      <c r="N2243">
        <f ca="1">qry_ProdData2_PDI_Cash_Exception_Application[[#This Row],[TODAY]]-qry_ProdData2_PDI_Cash_Exception_Application[[#This Row],[CHANGED ON]]</f>
        <v>12.742928240739275</v>
      </c>
    </row>
    <row r="2244" spans="1:14" x14ac:dyDescent="0.35">
      <c r="A2244">
        <v>1027</v>
      </c>
      <c r="B2244" t="s">
        <v>81</v>
      </c>
      <c r="C2244" s="1">
        <v>45185.257071759261</v>
      </c>
      <c r="D2244" t="str">
        <f ca="1">VLOOKUP(qry_ProdData2_PDI_Cash_Exception_Application[[#This Row],[TYPE]],#REF!,2,FALSE)</f>
        <v>type26</v>
      </c>
      <c r="E2244">
        <v>2142.75</v>
      </c>
      <c r="F2244" t="s">
        <v>52</v>
      </c>
      <c r="G2244" s="1">
        <f>qry_ProdData2_PDI_Cash_Exception_Application[[#This Row],[INSERT DATE]]+2</f>
        <v>45187.257071759261</v>
      </c>
      <c r="H2244" t="str">
        <f>VLOOKUP(qry_ProdData2_PDI_Cash_Exception_Application[[#This Row],[MARKET No]],'Site Allocation'!$B$2:$C$37,2,FALSE)</f>
        <v>Analyst5</v>
      </c>
      <c r="I2244" s="4">
        <f t="shared" ca="1" si="35"/>
        <v>45203</v>
      </c>
      <c r="J2244" s="42">
        <f ca="1">TODAY()-qry_ProdData2_PDI_Cash_Exception_Application[[#This Row],[INSERT DATE]]</f>
        <v>17.742928240739275</v>
      </c>
      <c r="K22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44">
        <f ca="1">qry_ProdData2_PDI_Cash_Exception_Application[[#This Row],[TODAY]]-qry_ProdData2_PDI_Cash_Exception_Application[[#This Row],[CHANGED ON]]</f>
        <v>15.742928240739275</v>
      </c>
      <c r="M2244">
        <f ca="1">qry_ProdData2_PDI_Cash_Exception_Application[[#This Row],[TODAY]]-qry_ProdData2_PDI_Cash_Exception_Application[[#This Row],[CHANGED ON]]</f>
        <v>15.742928240739275</v>
      </c>
      <c r="N2244">
        <f ca="1">qry_ProdData2_PDI_Cash_Exception_Application[[#This Row],[TODAY]]-qry_ProdData2_PDI_Cash_Exception_Application[[#This Row],[CHANGED ON]]</f>
        <v>15.742928240739275</v>
      </c>
    </row>
    <row r="2245" spans="1:14" x14ac:dyDescent="0.35">
      <c r="A2245">
        <v>1018</v>
      </c>
      <c r="B2245" t="s">
        <v>72</v>
      </c>
      <c r="C2245" s="1">
        <v>45182.257071759261</v>
      </c>
      <c r="D2245" t="str">
        <f ca="1">VLOOKUP(qry_ProdData2_PDI_Cash_Exception_Application[[#This Row],[TYPE]],#REF!,2,FALSE)</f>
        <v>type40</v>
      </c>
      <c r="E2245">
        <v>-790.27</v>
      </c>
      <c r="F2245" t="s">
        <v>49</v>
      </c>
      <c r="G2245" s="1">
        <f>qry_ProdData2_PDI_Cash_Exception_Application[[#This Row],[INSERT DATE]]+2</f>
        <v>45184.257071759261</v>
      </c>
      <c r="H2245" t="str">
        <f>VLOOKUP(qry_ProdData2_PDI_Cash_Exception_Application[[#This Row],[MARKET No]],'Site Allocation'!$B$2:$C$37,2,FALSE)</f>
        <v>Analyst4</v>
      </c>
      <c r="I2245" s="4">
        <f t="shared" ca="1" si="35"/>
        <v>45203</v>
      </c>
      <c r="J2245" s="42">
        <f ca="1">TODAY()-qry_ProdData2_PDI_Cash_Exception_Application[[#This Row],[INSERT DATE]]</f>
        <v>20.742928240739275</v>
      </c>
      <c r="K22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45">
        <f ca="1">qry_ProdData2_PDI_Cash_Exception_Application[[#This Row],[TODAY]]-qry_ProdData2_PDI_Cash_Exception_Application[[#This Row],[CHANGED ON]]</f>
        <v>18.742928240739275</v>
      </c>
      <c r="M2245">
        <f ca="1">qry_ProdData2_PDI_Cash_Exception_Application[[#This Row],[TODAY]]-qry_ProdData2_PDI_Cash_Exception_Application[[#This Row],[CHANGED ON]]</f>
        <v>18.742928240739275</v>
      </c>
      <c r="N2245">
        <f ca="1">qry_ProdData2_PDI_Cash_Exception_Application[[#This Row],[TODAY]]-qry_ProdData2_PDI_Cash_Exception_Application[[#This Row],[CHANGED ON]]</f>
        <v>18.742928240739275</v>
      </c>
    </row>
    <row r="2246" spans="1:14" x14ac:dyDescent="0.35">
      <c r="A2246">
        <v>1011</v>
      </c>
      <c r="B2246" t="s">
        <v>65</v>
      </c>
      <c r="C2246" s="1">
        <v>45191.257071759261</v>
      </c>
      <c r="D2246" t="str">
        <f ca="1">VLOOKUP(qry_ProdData2_PDI_Cash_Exception_Application[[#This Row],[TYPE]],#REF!,2,FALSE)</f>
        <v>type40</v>
      </c>
      <c r="E2246">
        <v>-1114.95</v>
      </c>
      <c r="F2246" t="s">
        <v>51</v>
      </c>
      <c r="G2246" s="1">
        <f>qry_ProdData2_PDI_Cash_Exception_Application[[#This Row],[INSERT DATE]]+1</f>
        <v>45192.257071759261</v>
      </c>
      <c r="H2246" t="str">
        <f>VLOOKUP(qry_ProdData2_PDI_Cash_Exception_Application[[#This Row],[MARKET No]],'Site Allocation'!$B$2:$C$37,2,FALSE)</f>
        <v>Analyst2</v>
      </c>
      <c r="I2246" s="4">
        <f t="shared" ca="1" si="35"/>
        <v>45203</v>
      </c>
      <c r="J2246" s="42">
        <f ca="1">TODAY()-qry_ProdData2_PDI_Cash_Exception_Application[[#This Row],[INSERT DATE]]</f>
        <v>11.742928240739275</v>
      </c>
      <c r="K22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46">
        <f ca="1">qry_ProdData2_PDI_Cash_Exception_Application[[#This Row],[TODAY]]-qry_ProdData2_PDI_Cash_Exception_Application[[#This Row],[CHANGED ON]]</f>
        <v>10.742928240739275</v>
      </c>
      <c r="M2246">
        <f ca="1">qry_ProdData2_PDI_Cash_Exception_Application[[#This Row],[TODAY]]-qry_ProdData2_PDI_Cash_Exception_Application[[#This Row],[CHANGED ON]]</f>
        <v>10.742928240739275</v>
      </c>
      <c r="N2246">
        <f ca="1">qry_ProdData2_PDI_Cash_Exception_Application[[#This Row],[TODAY]]-qry_ProdData2_PDI_Cash_Exception_Application[[#This Row],[CHANGED ON]]</f>
        <v>10.742928240739275</v>
      </c>
    </row>
    <row r="2247" spans="1:14" x14ac:dyDescent="0.35">
      <c r="A2247">
        <v>1019</v>
      </c>
      <c r="B2247" t="s">
        <v>73</v>
      </c>
      <c r="C2247" s="1">
        <v>45187.257071759261</v>
      </c>
      <c r="D2247" t="str">
        <f ca="1">VLOOKUP(qry_ProdData2_PDI_Cash_Exception_Application[[#This Row],[TYPE]],#REF!,2,FALSE)</f>
        <v>type10</v>
      </c>
      <c r="E2247">
        <v>25.99</v>
      </c>
      <c r="F2247" t="s">
        <v>49</v>
      </c>
      <c r="G2247" s="1">
        <f>qry_ProdData2_PDI_Cash_Exception_Application[[#This Row],[INSERT DATE]]+5</f>
        <v>45192.257071759261</v>
      </c>
      <c r="H2247" t="str">
        <f>VLOOKUP(qry_ProdData2_PDI_Cash_Exception_Application[[#This Row],[MARKET No]],'Site Allocation'!$B$2:$C$37,2,FALSE)</f>
        <v>Analyst4</v>
      </c>
      <c r="I2247" s="4">
        <f t="shared" ca="1" si="35"/>
        <v>45203</v>
      </c>
      <c r="J2247" s="42">
        <f ca="1">TODAY()-qry_ProdData2_PDI_Cash_Exception_Application[[#This Row],[INSERT DATE]]</f>
        <v>15.742928240739275</v>
      </c>
      <c r="K22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47">
        <f ca="1">qry_ProdData2_PDI_Cash_Exception_Application[[#This Row],[TODAY]]-qry_ProdData2_PDI_Cash_Exception_Application[[#This Row],[CHANGED ON]]</f>
        <v>10.742928240739275</v>
      </c>
      <c r="M2247">
        <f ca="1">qry_ProdData2_PDI_Cash_Exception_Application[[#This Row],[TODAY]]-qry_ProdData2_PDI_Cash_Exception_Application[[#This Row],[CHANGED ON]]</f>
        <v>10.742928240739275</v>
      </c>
      <c r="N2247">
        <f ca="1">qry_ProdData2_PDI_Cash_Exception_Application[[#This Row],[TODAY]]-qry_ProdData2_PDI_Cash_Exception_Application[[#This Row],[CHANGED ON]]</f>
        <v>10.742928240739275</v>
      </c>
    </row>
    <row r="2248" spans="1:14" x14ac:dyDescent="0.35">
      <c r="A2248">
        <v>1013</v>
      </c>
      <c r="B2248" t="s">
        <v>67</v>
      </c>
      <c r="C2248" s="1">
        <v>45183.257071759261</v>
      </c>
      <c r="D2248" t="str">
        <f ca="1">VLOOKUP(qry_ProdData2_PDI_Cash_Exception_Application[[#This Row],[TYPE]],#REF!,2,FALSE)</f>
        <v>type40</v>
      </c>
      <c r="E2248">
        <v>977.43</v>
      </c>
      <c r="F2248" t="s">
        <v>51</v>
      </c>
      <c r="G2248" s="1">
        <f>qry_ProdData2_PDI_Cash_Exception_Application[[#This Row],[INSERT DATE]]+1</f>
        <v>45184.257071759261</v>
      </c>
      <c r="H2248" t="str">
        <f>VLOOKUP(qry_ProdData2_PDI_Cash_Exception_Application[[#This Row],[MARKET No]],'Site Allocation'!$B$2:$C$37,2,FALSE)</f>
        <v>Analyst3</v>
      </c>
      <c r="I2248" s="4">
        <f t="shared" ca="1" si="35"/>
        <v>45203</v>
      </c>
      <c r="J2248" s="42">
        <f ca="1">TODAY()-qry_ProdData2_PDI_Cash_Exception_Application[[#This Row],[INSERT DATE]]</f>
        <v>19.742928240739275</v>
      </c>
      <c r="K22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48">
        <f ca="1">qry_ProdData2_PDI_Cash_Exception_Application[[#This Row],[TODAY]]-qry_ProdData2_PDI_Cash_Exception_Application[[#This Row],[CHANGED ON]]</f>
        <v>18.742928240739275</v>
      </c>
      <c r="M2248">
        <f ca="1">qry_ProdData2_PDI_Cash_Exception_Application[[#This Row],[TODAY]]-qry_ProdData2_PDI_Cash_Exception_Application[[#This Row],[CHANGED ON]]</f>
        <v>18.742928240739275</v>
      </c>
      <c r="N2248">
        <f ca="1">qry_ProdData2_PDI_Cash_Exception_Application[[#This Row],[TODAY]]-qry_ProdData2_PDI_Cash_Exception_Application[[#This Row],[CHANGED ON]]</f>
        <v>18.742928240739275</v>
      </c>
    </row>
    <row r="2249" spans="1:14" x14ac:dyDescent="0.35">
      <c r="A2249">
        <v>1017</v>
      </c>
      <c r="B2249" t="s">
        <v>71</v>
      </c>
      <c r="C2249" s="1">
        <v>45189.257071759261</v>
      </c>
      <c r="D2249" t="str">
        <f ca="1">VLOOKUP(qry_ProdData2_PDI_Cash_Exception_Application[[#This Row],[TYPE]],#REF!,2,FALSE)</f>
        <v>type40</v>
      </c>
      <c r="E2249">
        <v>7.48</v>
      </c>
      <c r="F2249" t="s">
        <v>50</v>
      </c>
      <c r="G2249" s="1">
        <f>qry_ProdData2_PDI_Cash_Exception_Application[[#This Row],[INSERT DATE]]+5</f>
        <v>45194.257071759261</v>
      </c>
      <c r="H2249" t="str">
        <f>VLOOKUP(qry_ProdData2_PDI_Cash_Exception_Application[[#This Row],[MARKET No]],'Site Allocation'!$B$2:$C$37,2,FALSE)</f>
        <v>Analyst3</v>
      </c>
      <c r="I2249" s="4">
        <f t="shared" ca="1" si="35"/>
        <v>45203</v>
      </c>
      <c r="J2249" s="42">
        <f ca="1">TODAY()-qry_ProdData2_PDI_Cash_Exception_Application[[#This Row],[INSERT DATE]]</f>
        <v>13.742928240739275</v>
      </c>
      <c r="K22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49">
        <f ca="1">qry_ProdData2_PDI_Cash_Exception_Application[[#This Row],[TODAY]]-qry_ProdData2_PDI_Cash_Exception_Application[[#This Row],[CHANGED ON]]</f>
        <v>8.7429282407392748</v>
      </c>
      <c r="M2249">
        <f ca="1">qry_ProdData2_PDI_Cash_Exception_Application[[#This Row],[TODAY]]-qry_ProdData2_PDI_Cash_Exception_Application[[#This Row],[CHANGED ON]]</f>
        <v>8.7429282407392748</v>
      </c>
      <c r="N2249">
        <f ca="1">qry_ProdData2_PDI_Cash_Exception_Application[[#This Row],[TODAY]]-qry_ProdData2_PDI_Cash_Exception_Application[[#This Row],[CHANGED ON]]</f>
        <v>8.7429282407392748</v>
      </c>
    </row>
    <row r="2250" spans="1:14" x14ac:dyDescent="0.35">
      <c r="A2250">
        <v>1001</v>
      </c>
      <c r="B2250" t="s">
        <v>55</v>
      </c>
      <c r="C2250" s="1">
        <v>45189.257071759261</v>
      </c>
      <c r="D2250" t="str">
        <f ca="1">VLOOKUP(qry_ProdData2_PDI_Cash_Exception_Application[[#This Row],[TYPE]],#REF!,2,FALSE)</f>
        <v>type40</v>
      </c>
      <c r="E2250">
        <v>-549.45000000000005</v>
      </c>
      <c r="F2250" t="s">
        <v>50</v>
      </c>
      <c r="G2250" s="1">
        <f>qry_ProdData2_PDI_Cash_Exception_Application[[#This Row],[INSERT DATE]]+5</f>
        <v>45194.257071759261</v>
      </c>
      <c r="H2250" t="str">
        <f>VLOOKUP(qry_ProdData2_PDI_Cash_Exception_Application[[#This Row],[MARKET No]],'Site Allocation'!$B$2:$C$37,2,FALSE)</f>
        <v>Analyst1</v>
      </c>
      <c r="I2250" s="4">
        <f t="shared" ca="1" si="35"/>
        <v>45203</v>
      </c>
      <c r="J2250" s="42">
        <f ca="1">TODAY()-qry_ProdData2_PDI_Cash_Exception_Application[[#This Row],[INSERT DATE]]</f>
        <v>13.742928240739275</v>
      </c>
      <c r="K22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50">
        <f ca="1">qry_ProdData2_PDI_Cash_Exception_Application[[#This Row],[TODAY]]-qry_ProdData2_PDI_Cash_Exception_Application[[#This Row],[CHANGED ON]]</f>
        <v>8.7429282407392748</v>
      </c>
      <c r="M2250">
        <f ca="1">qry_ProdData2_PDI_Cash_Exception_Application[[#This Row],[TODAY]]-qry_ProdData2_PDI_Cash_Exception_Application[[#This Row],[CHANGED ON]]</f>
        <v>8.7429282407392748</v>
      </c>
      <c r="N2250">
        <f ca="1">qry_ProdData2_PDI_Cash_Exception_Application[[#This Row],[TODAY]]-qry_ProdData2_PDI_Cash_Exception_Application[[#This Row],[CHANGED ON]]</f>
        <v>8.7429282407392748</v>
      </c>
    </row>
    <row r="2251" spans="1:14" x14ac:dyDescent="0.35">
      <c r="A2251">
        <v>1028</v>
      </c>
      <c r="B2251" t="s">
        <v>82</v>
      </c>
      <c r="C2251" s="1">
        <v>45189.257071759261</v>
      </c>
      <c r="D2251" t="str">
        <f ca="1">VLOOKUP(qry_ProdData2_PDI_Cash_Exception_Application[[#This Row],[TYPE]],#REF!,2,FALSE)</f>
        <v>type40</v>
      </c>
      <c r="E2251">
        <v>530.82000000000005</v>
      </c>
      <c r="F2251" t="s">
        <v>49</v>
      </c>
      <c r="G2251" s="1">
        <f>qry_ProdData2_PDI_Cash_Exception_Application[[#This Row],[INSERT DATE]]+5</f>
        <v>45194.257071759261</v>
      </c>
      <c r="H2251" t="str">
        <f>VLOOKUP(qry_ProdData2_PDI_Cash_Exception_Application[[#This Row],[MARKET No]],'Site Allocation'!$B$2:$C$37,2,FALSE)</f>
        <v>Analyst5</v>
      </c>
      <c r="I2251" s="4">
        <f t="shared" ca="1" si="35"/>
        <v>45203</v>
      </c>
      <c r="J2251" s="42">
        <f ca="1">TODAY()-qry_ProdData2_PDI_Cash_Exception_Application[[#This Row],[INSERT DATE]]</f>
        <v>13.742928240739275</v>
      </c>
      <c r="K22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51">
        <f ca="1">qry_ProdData2_PDI_Cash_Exception_Application[[#This Row],[TODAY]]-qry_ProdData2_PDI_Cash_Exception_Application[[#This Row],[CHANGED ON]]</f>
        <v>8.7429282407392748</v>
      </c>
      <c r="M2251">
        <f ca="1">qry_ProdData2_PDI_Cash_Exception_Application[[#This Row],[TODAY]]-qry_ProdData2_PDI_Cash_Exception_Application[[#This Row],[CHANGED ON]]</f>
        <v>8.7429282407392748</v>
      </c>
      <c r="N2251">
        <f ca="1">qry_ProdData2_PDI_Cash_Exception_Application[[#This Row],[TODAY]]-qry_ProdData2_PDI_Cash_Exception_Application[[#This Row],[CHANGED ON]]</f>
        <v>8.7429282407392748</v>
      </c>
    </row>
    <row r="2252" spans="1:14" x14ac:dyDescent="0.35">
      <c r="A2252">
        <v>1022</v>
      </c>
      <c r="B2252" t="s">
        <v>76</v>
      </c>
      <c r="C2252" s="1">
        <v>45190.257071759261</v>
      </c>
      <c r="D2252" t="str">
        <f ca="1">VLOOKUP(qry_ProdData2_PDI_Cash_Exception_Application[[#This Row],[TYPE]],#REF!,2,FALSE)</f>
        <v>type17</v>
      </c>
      <c r="E2252">
        <v>627.46</v>
      </c>
      <c r="F2252" t="s">
        <v>52</v>
      </c>
      <c r="G2252" s="1">
        <f>qry_ProdData2_PDI_Cash_Exception_Application[[#This Row],[INSERT DATE]]+5</f>
        <v>45195.257071759261</v>
      </c>
      <c r="H2252" t="str">
        <f>VLOOKUP(qry_ProdData2_PDI_Cash_Exception_Application[[#This Row],[MARKET No]],'Site Allocation'!$B$2:$C$37,2,FALSE)</f>
        <v>Analyst4</v>
      </c>
      <c r="I2252" s="4">
        <f t="shared" ca="1" si="35"/>
        <v>45203</v>
      </c>
      <c r="J2252" s="42">
        <f ca="1">TODAY()-qry_ProdData2_PDI_Cash_Exception_Application[[#This Row],[INSERT DATE]]</f>
        <v>12.742928240739275</v>
      </c>
      <c r="K22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52">
        <f ca="1">qry_ProdData2_PDI_Cash_Exception_Application[[#This Row],[TODAY]]-qry_ProdData2_PDI_Cash_Exception_Application[[#This Row],[CHANGED ON]]</f>
        <v>7.7429282407392748</v>
      </c>
      <c r="M2252">
        <f ca="1">qry_ProdData2_PDI_Cash_Exception_Application[[#This Row],[TODAY]]-qry_ProdData2_PDI_Cash_Exception_Application[[#This Row],[CHANGED ON]]</f>
        <v>7.7429282407392748</v>
      </c>
      <c r="N2252">
        <f ca="1">qry_ProdData2_PDI_Cash_Exception_Application[[#This Row],[TODAY]]-qry_ProdData2_PDI_Cash_Exception_Application[[#This Row],[CHANGED ON]]</f>
        <v>7.7429282407392748</v>
      </c>
    </row>
    <row r="2253" spans="1:14" x14ac:dyDescent="0.35">
      <c r="A2253">
        <v>1004</v>
      </c>
      <c r="B2253" t="s">
        <v>58</v>
      </c>
      <c r="C2253" s="1">
        <v>45192.257071759261</v>
      </c>
      <c r="D2253" t="str">
        <f ca="1">VLOOKUP(qry_ProdData2_PDI_Cash_Exception_Application[[#This Row],[TYPE]],#REF!,2,FALSE)</f>
        <v>type40</v>
      </c>
      <c r="E2253">
        <v>504.21</v>
      </c>
      <c r="F2253" t="s">
        <v>49</v>
      </c>
      <c r="G2253" s="1">
        <f>qry_ProdData2_PDI_Cash_Exception_Application[[#This Row],[INSERT DATE]]+7</f>
        <v>45199.257071759261</v>
      </c>
      <c r="H2253" t="str">
        <f>VLOOKUP(qry_ProdData2_PDI_Cash_Exception_Application[[#This Row],[MARKET No]],'Site Allocation'!$B$2:$C$37,2,FALSE)</f>
        <v>Analyst1</v>
      </c>
      <c r="I2253" s="4">
        <f t="shared" ca="1" si="35"/>
        <v>45203</v>
      </c>
      <c r="J2253" s="42">
        <f ca="1">TODAY()-qry_ProdData2_PDI_Cash_Exception_Application[[#This Row],[INSERT DATE]]</f>
        <v>10.742928240739275</v>
      </c>
      <c r="K22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53">
        <f ca="1">qry_ProdData2_PDI_Cash_Exception_Application[[#This Row],[TODAY]]-qry_ProdData2_PDI_Cash_Exception_Application[[#This Row],[CHANGED ON]]</f>
        <v>3.7429282407392748</v>
      </c>
      <c r="M2253">
        <f ca="1">qry_ProdData2_PDI_Cash_Exception_Application[[#This Row],[TODAY]]-qry_ProdData2_PDI_Cash_Exception_Application[[#This Row],[CHANGED ON]]</f>
        <v>3.7429282407392748</v>
      </c>
      <c r="N2253">
        <f ca="1">qry_ProdData2_PDI_Cash_Exception_Application[[#This Row],[TODAY]]-qry_ProdData2_PDI_Cash_Exception_Application[[#This Row],[CHANGED ON]]</f>
        <v>3.7429282407392748</v>
      </c>
    </row>
    <row r="2254" spans="1:14" x14ac:dyDescent="0.35">
      <c r="A2254">
        <v>1022</v>
      </c>
      <c r="B2254" t="s">
        <v>76</v>
      </c>
      <c r="C2254" s="1">
        <v>45185.257071759261</v>
      </c>
      <c r="D2254" t="str">
        <f ca="1">VLOOKUP(qry_ProdData2_PDI_Cash_Exception_Application[[#This Row],[TYPE]],#REF!,2,FALSE)</f>
        <v>type40</v>
      </c>
      <c r="E2254">
        <v>978.46</v>
      </c>
      <c r="F2254" t="s">
        <v>49</v>
      </c>
      <c r="G2254" s="1">
        <f>qry_ProdData2_PDI_Cash_Exception_Application[[#This Row],[INSERT DATE]]+7</f>
        <v>45192.257071759261</v>
      </c>
      <c r="H2254" t="str">
        <f>VLOOKUP(qry_ProdData2_PDI_Cash_Exception_Application[[#This Row],[MARKET No]],'Site Allocation'!$B$2:$C$37,2,FALSE)</f>
        <v>Analyst4</v>
      </c>
      <c r="I2254" s="4">
        <f t="shared" ca="1" si="35"/>
        <v>45203</v>
      </c>
      <c r="J2254" s="42">
        <f ca="1">TODAY()-qry_ProdData2_PDI_Cash_Exception_Application[[#This Row],[INSERT DATE]]</f>
        <v>17.742928240739275</v>
      </c>
      <c r="K22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54">
        <f ca="1">qry_ProdData2_PDI_Cash_Exception_Application[[#This Row],[TODAY]]-qry_ProdData2_PDI_Cash_Exception_Application[[#This Row],[CHANGED ON]]</f>
        <v>10.742928240739275</v>
      </c>
      <c r="M2254">
        <f ca="1">qry_ProdData2_PDI_Cash_Exception_Application[[#This Row],[TODAY]]-qry_ProdData2_PDI_Cash_Exception_Application[[#This Row],[CHANGED ON]]</f>
        <v>10.742928240739275</v>
      </c>
      <c r="N2254">
        <f ca="1">qry_ProdData2_PDI_Cash_Exception_Application[[#This Row],[TODAY]]-qry_ProdData2_PDI_Cash_Exception_Application[[#This Row],[CHANGED ON]]</f>
        <v>10.742928240739275</v>
      </c>
    </row>
    <row r="2255" spans="1:14" x14ac:dyDescent="0.35">
      <c r="A2255">
        <v>1017</v>
      </c>
      <c r="B2255" t="s">
        <v>71</v>
      </c>
      <c r="C2255" s="1">
        <v>45193.257071759261</v>
      </c>
      <c r="D2255" t="str">
        <f ca="1">VLOOKUP(qry_ProdData2_PDI_Cash_Exception_Application[[#This Row],[TYPE]],#REF!,2,FALSE)</f>
        <v>type40</v>
      </c>
      <c r="E2255">
        <v>602.85</v>
      </c>
      <c r="F2255" t="s">
        <v>52</v>
      </c>
      <c r="G2255" s="1">
        <f>qry_ProdData2_PDI_Cash_Exception_Application[[#This Row],[INSERT DATE]]+7</f>
        <v>45200.257071759261</v>
      </c>
      <c r="H2255" t="str">
        <f>VLOOKUP(qry_ProdData2_PDI_Cash_Exception_Application[[#This Row],[MARKET No]],'Site Allocation'!$B$2:$C$37,2,FALSE)</f>
        <v>Analyst3</v>
      </c>
      <c r="I2255" s="4">
        <f t="shared" ca="1" si="35"/>
        <v>45203</v>
      </c>
      <c r="J2255" s="42">
        <f ca="1">TODAY()-qry_ProdData2_PDI_Cash_Exception_Application[[#This Row],[INSERT DATE]]</f>
        <v>9.7429282407392748</v>
      </c>
      <c r="K22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55">
        <f ca="1">qry_ProdData2_PDI_Cash_Exception_Application[[#This Row],[TODAY]]-qry_ProdData2_PDI_Cash_Exception_Application[[#This Row],[CHANGED ON]]</f>
        <v>2.7429282407392748</v>
      </c>
      <c r="M2255">
        <f ca="1">qry_ProdData2_PDI_Cash_Exception_Application[[#This Row],[TODAY]]-qry_ProdData2_PDI_Cash_Exception_Application[[#This Row],[CHANGED ON]]</f>
        <v>2.7429282407392748</v>
      </c>
      <c r="N2255">
        <f ca="1">qry_ProdData2_PDI_Cash_Exception_Application[[#This Row],[TODAY]]-qry_ProdData2_PDI_Cash_Exception_Application[[#This Row],[CHANGED ON]]</f>
        <v>2.7429282407392748</v>
      </c>
    </row>
    <row r="2256" spans="1:14" x14ac:dyDescent="0.35">
      <c r="A2256">
        <v>1035</v>
      </c>
      <c r="B2256" t="s">
        <v>89</v>
      </c>
      <c r="C2256" s="1">
        <v>45185.257071759261</v>
      </c>
      <c r="D2256" t="str">
        <f ca="1">VLOOKUP(qry_ProdData2_PDI_Cash_Exception_Application[[#This Row],[TYPE]],#REF!,2,FALSE)</f>
        <v>type30</v>
      </c>
      <c r="E2256">
        <v>157.68</v>
      </c>
      <c r="F2256" t="s">
        <v>51</v>
      </c>
      <c r="G2256" s="1">
        <f>qry_ProdData2_PDI_Cash_Exception_Application[[#This Row],[INSERT DATE]]+2</f>
        <v>45187.257071759261</v>
      </c>
      <c r="H2256" t="str">
        <f>VLOOKUP(qry_ProdData2_PDI_Cash_Exception_Application[[#This Row],[MARKET No]],'Site Allocation'!$B$2:$C$37,2,FALSE)</f>
        <v>Analyst6</v>
      </c>
      <c r="I2256" s="4">
        <f t="shared" ca="1" si="35"/>
        <v>45203</v>
      </c>
      <c r="J2256" s="42">
        <f ca="1">TODAY()-qry_ProdData2_PDI_Cash_Exception_Application[[#This Row],[INSERT DATE]]</f>
        <v>17.742928240739275</v>
      </c>
      <c r="K22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56">
        <f ca="1">qry_ProdData2_PDI_Cash_Exception_Application[[#This Row],[TODAY]]-qry_ProdData2_PDI_Cash_Exception_Application[[#This Row],[CHANGED ON]]</f>
        <v>15.742928240739275</v>
      </c>
      <c r="M2256">
        <f ca="1">qry_ProdData2_PDI_Cash_Exception_Application[[#This Row],[TODAY]]-qry_ProdData2_PDI_Cash_Exception_Application[[#This Row],[CHANGED ON]]</f>
        <v>15.742928240739275</v>
      </c>
      <c r="N2256">
        <f ca="1">qry_ProdData2_PDI_Cash_Exception_Application[[#This Row],[TODAY]]-qry_ProdData2_PDI_Cash_Exception_Application[[#This Row],[CHANGED ON]]</f>
        <v>15.742928240739275</v>
      </c>
    </row>
    <row r="2257" spans="1:14" x14ac:dyDescent="0.35">
      <c r="A2257">
        <v>1001</v>
      </c>
      <c r="B2257" t="s">
        <v>55</v>
      </c>
      <c r="C2257" s="1">
        <v>45195.257071759261</v>
      </c>
      <c r="D2257" t="str">
        <f ca="1">VLOOKUP(qry_ProdData2_PDI_Cash_Exception_Application[[#This Row],[TYPE]],#REF!,2,FALSE)</f>
        <v>type36</v>
      </c>
      <c r="E2257">
        <v>276.72000000000003</v>
      </c>
      <c r="F2257" t="s">
        <v>52</v>
      </c>
      <c r="G2257" s="1">
        <f>qry_ProdData2_PDI_Cash_Exception_Application[[#This Row],[INSERT DATE]]+7</f>
        <v>45202.257071759261</v>
      </c>
      <c r="H2257" t="str">
        <f>VLOOKUP(qry_ProdData2_PDI_Cash_Exception_Application[[#This Row],[MARKET No]],'Site Allocation'!$B$2:$C$37,2,FALSE)</f>
        <v>Analyst1</v>
      </c>
      <c r="I2257" s="4">
        <f t="shared" ca="1" si="35"/>
        <v>45203</v>
      </c>
      <c r="J2257" s="42">
        <f ca="1">TODAY()-qry_ProdData2_PDI_Cash_Exception_Application[[#This Row],[INSERT DATE]]</f>
        <v>7.7429282407392748</v>
      </c>
      <c r="K22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257">
        <f ca="1">qry_ProdData2_PDI_Cash_Exception_Application[[#This Row],[TODAY]]-qry_ProdData2_PDI_Cash_Exception_Application[[#This Row],[CHANGED ON]]</f>
        <v>0.74292824073927477</v>
      </c>
      <c r="M2257">
        <f ca="1">qry_ProdData2_PDI_Cash_Exception_Application[[#This Row],[TODAY]]-qry_ProdData2_PDI_Cash_Exception_Application[[#This Row],[CHANGED ON]]</f>
        <v>0.74292824073927477</v>
      </c>
      <c r="N2257">
        <f ca="1">qry_ProdData2_PDI_Cash_Exception_Application[[#This Row],[TODAY]]-qry_ProdData2_PDI_Cash_Exception_Application[[#This Row],[CHANGED ON]]</f>
        <v>0.74292824073927477</v>
      </c>
    </row>
    <row r="2258" spans="1:14" x14ac:dyDescent="0.35">
      <c r="A2258">
        <v>1002</v>
      </c>
      <c r="B2258" t="s">
        <v>56</v>
      </c>
      <c r="C2258" s="1">
        <v>45196.257071759261</v>
      </c>
      <c r="D2258" t="str">
        <f ca="1">VLOOKUP(qry_ProdData2_PDI_Cash_Exception_Application[[#This Row],[TYPE]],#REF!,2,FALSE)</f>
        <v>type40</v>
      </c>
      <c r="E2258">
        <v>1734.7</v>
      </c>
      <c r="F2258" t="s">
        <v>52</v>
      </c>
      <c r="G2258" s="1">
        <f>qry_ProdData2_PDI_Cash_Exception_Application[[#This Row],[INSERT DATE]]+7</f>
        <v>45203.257071759261</v>
      </c>
      <c r="H2258" t="str">
        <f>VLOOKUP(qry_ProdData2_PDI_Cash_Exception_Application[[#This Row],[MARKET No]],'Site Allocation'!$B$2:$C$37,2,FALSE)</f>
        <v>Analyst1</v>
      </c>
      <c r="I2258" s="4">
        <f t="shared" ca="1" si="35"/>
        <v>45203</v>
      </c>
      <c r="J2258" s="42">
        <f ca="1">TODAY()-qry_ProdData2_PDI_Cash_Exception_Application[[#This Row],[INSERT DATE]]</f>
        <v>6.7429282407392748</v>
      </c>
      <c r="K22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258">
        <f ca="1">qry_ProdData2_PDI_Cash_Exception_Application[[#This Row],[TODAY]]-qry_ProdData2_PDI_Cash_Exception_Application[[#This Row],[CHANGED ON]]</f>
        <v>-0.25707175926072523</v>
      </c>
      <c r="M2258">
        <f ca="1">qry_ProdData2_PDI_Cash_Exception_Application[[#This Row],[TODAY]]-qry_ProdData2_PDI_Cash_Exception_Application[[#This Row],[CHANGED ON]]</f>
        <v>-0.25707175926072523</v>
      </c>
      <c r="N2258">
        <f ca="1">qry_ProdData2_PDI_Cash_Exception_Application[[#This Row],[TODAY]]-qry_ProdData2_PDI_Cash_Exception_Application[[#This Row],[CHANGED ON]]</f>
        <v>-0.25707175926072523</v>
      </c>
    </row>
    <row r="2259" spans="1:14" x14ac:dyDescent="0.35">
      <c r="A2259">
        <v>1012</v>
      </c>
      <c r="B2259" t="s">
        <v>66</v>
      </c>
      <c r="C2259" s="1">
        <v>45190.257071759261</v>
      </c>
      <c r="D2259" t="str">
        <f ca="1">VLOOKUP(qry_ProdData2_PDI_Cash_Exception_Application[[#This Row],[TYPE]],#REF!,2,FALSE)</f>
        <v>type13</v>
      </c>
      <c r="E2259">
        <v>14524.76</v>
      </c>
      <c r="F2259" t="s">
        <v>48</v>
      </c>
      <c r="G2259" s="1">
        <f>qry_ProdData2_PDI_Cash_Exception_Application[[#This Row],[INSERT DATE]]+2</f>
        <v>45192.257071759261</v>
      </c>
      <c r="H2259" t="str">
        <f>VLOOKUP(qry_ProdData2_PDI_Cash_Exception_Application[[#This Row],[MARKET No]],'Site Allocation'!$B$2:$C$37,2,FALSE)</f>
        <v>Analyst3</v>
      </c>
      <c r="I2259" s="4">
        <f t="shared" ca="1" si="35"/>
        <v>45203</v>
      </c>
      <c r="J2259" s="42">
        <f ca="1">TODAY()-qry_ProdData2_PDI_Cash_Exception_Application[[#This Row],[INSERT DATE]]</f>
        <v>12.742928240739275</v>
      </c>
      <c r="K22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59">
        <f ca="1">qry_ProdData2_PDI_Cash_Exception_Application[[#This Row],[TODAY]]-qry_ProdData2_PDI_Cash_Exception_Application[[#This Row],[CHANGED ON]]</f>
        <v>10.742928240739275</v>
      </c>
      <c r="M2259">
        <f ca="1">qry_ProdData2_PDI_Cash_Exception_Application[[#This Row],[TODAY]]-qry_ProdData2_PDI_Cash_Exception_Application[[#This Row],[CHANGED ON]]</f>
        <v>10.742928240739275</v>
      </c>
      <c r="N2259">
        <f ca="1">qry_ProdData2_PDI_Cash_Exception_Application[[#This Row],[TODAY]]-qry_ProdData2_PDI_Cash_Exception_Application[[#This Row],[CHANGED ON]]</f>
        <v>10.742928240739275</v>
      </c>
    </row>
    <row r="2260" spans="1:14" x14ac:dyDescent="0.35">
      <c r="A2260">
        <v>1011</v>
      </c>
      <c r="B2260" t="s">
        <v>65</v>
      </c>
      <c r="C2260" s="1">
        <v>45187.257071759261</v>
      </c>
      <c r="D2260" t="str">
        <f ca="1">VLOOKUP(qry_ProdData2_PDI_Cash_Exception_Application[[#This Row],[TYPE]],#REF!,2,FALSE)</f>
        <v>type40</v>
      </c>
      <c r="E2260">
        <v>-10455.23</v>
      </c>
      <c r="F2260" t="s">
        <v>49</v>
      </c>
      <c r="G2260" s="1">
        <f>qry_ProdData2_PDI_Cash_Exception_Application[[#This Row],[INSERT DATE]]+7</f>
        <v>45194.257071759261</v>
      </c>
      <c r="H2260" t="str">
        <f>VLOOKUP(qry_ProdData2_PDI_Cash_Exception_Application[[#This Row],[MARKET No]],'Site Allocation'!$B$2:$C$37,2,FALSE)</f>
        <v>Analyst2</v>
      </c>
      <c r="I2260" s="4">
        <f t="shared" ca="1" si="35"/>
        <v>45203</v>
      </c>
      <c r="J2260" s="42">
        <f ca="1">TODAY()-qry_ProdData2_PDI_Cash_Exception_Application[[#This Row],[INSERT DATE]]</f>
        <v>15.742928240739275</v>
      </c>
      <c r="K22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60">
        <f ca="1">qry_ProdData2_PDI_Cash_Exception_Application[[#This Row],[TODAY]]-qry_ProdData2_PDI_Cash_Exception_Application[[#This Row],[CHANGED ON]]</f>
        <v>8.7429282407392748</v>
      </c>
      <c r="M2260">
        <f ca="1">qry_ProdData2_PDI_Cash_Exception_Application[[#This Row],[TODAY]]-qry_ProdData2_PDI_Cash_Exception_Application[[#This Row],[CHANGED ON]]</f>
        <v>8.7429282407392748</v>
      </c>
      <c r="N2260">
        <f ca="1">qry_ProdData2_PDI_Cash_Exception_Application[[#This Row],[TODAY]]-qry_ProdData2_PDI_Cash_Exception_Application[[#This Row],[CHANGED ON]]</f>
        <v>8.7429282407392748</v>
      </c>
    </row>
    <row r="2261" spans="1:14" x14ac:dyDescent="0.35">
      <c r="A2261">
        <v>1022</v>
      </c>
      <c r="B2261" t="s">
        <v>76</v>
      </c>
      <c r="C2261" s="1">
        <v>45187.257071759261</v>
      </c>
      <c r="D2261" t="str">
        <f ca="1">VLOOKUP(qry_ProdData2_PDI_Cash_Exception_Application[[#This Row],[TYPE]],#REF!,2,FALSE)</f>
        <v>type40</v>
      </c>
      <c r="E2261">
        <v>6415.32</v>
      </c>
      <c r="F2261" t="s">
        <v>47</v>
      </c>
      <c r="G2261" s="1">
        <f>qry_ProdData2_PDI_Cash_Exception_Application[[#This Row],[INSERT DATE]]+2</f>
        <v>45189.257071759261</v>
      </c>
      <c r="H2261" t="str">
        <f>VLOOKUP(qry_ProdData2_PDI_Cash_Exception_Application[[#This Row],[MARKET No]],'Site Allocation'!$B$2:$C$37,2,FALSE)</f>
        <v>Analyst4</v>
      </c>
      <c r="I2261" s="4">
        <f t="shared" ca="1" si="35"/>
        <v>45203</v>
      </c>
      <c r="J2261" s="42">
        <f ca="1">TODAY()-qry_ProdData2_PDI_Cash_Exception_Application[[#This Row],[INSERT DATE]]</f>
        <v>15.742928240739275</v>
      </c>
      <c r="K22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61">
        <f ca="1">qry_ProdData2_PDI_Cash_Exception_Application[[#This Row],[TODAY]]-qry_ProdData2_PDI_Cash_Exception_Application[[#This Row],[CHANGED ON]]</f>
        <v>13.742928240739275</v>
      </c>
      <c r="M2261">
        <f ca="1">qry_ProdData2_PDI_Cash_Exception_Application[[#This Row],[TODAY]]-qry_ProdData2_PDI_Cash_Exception_Application[[#This Row],[CHANGED ON]]</f>
        <v>13.742928240739275</v>
      </c>
      <c r="N2261">
        <f ca="1">qry_ProdData2_PDI_Cash_Exception_Application[[#This Row],[TODAY]]-qry_ProdData2_PDI_Cash_Exception_Application[[#This Row],[CHANGED ON]]</f>
        <v>13.742928240739275</v>
      </c>
    </row>
    <row r="2262" spans="1:14" x14ac:dyDescent="0.35">
      <c r="A2262">
        <v>1008</v>
      </c>
      <c r="B2262" t="s">
        <v>62</v>
      </c>
      <c r="C2262" s="1">
        <v>45189.257071759261</v>
      </c>
      <c r="D2262" t="str">
        <f ca="1">VLOOKUP(qry_ProdData2_PDI_Cash_Exception_Application[[#This Row],[TYPE]],#REF!,2,FALSE)</f>
        <v>type40</v>
      </c>
      <c r="E2262">
        <v>1069.49</v>
      </c>
      <c r="F2262" t="s">
        <v>49</v>
      </c>
      <c r="G2262" s="1">
        <f>qry_ProdData2_PDI_Cash_Exception_Application[[#This Row],[INSERT DATE]]+7</f>
        <v>45196.257071759261</v>
      </c>
      <c r="H2262" t="str">
        <f>VLOOKUP(qry_ProdData2_PDI_Cash_Exception_Application[[#This Row],[MARKET No]],'Site Allocation'!$B$2:$C$37,2,FALSE)</f>
        <v>Analyst2</v>
      </c>
      <c r="I2262" s="4">
        <f t="shared" ca="1" si="35"/>
        <v>45203</v>
      </c>
      <c r="J2262" s="42">
        <f ca="1">TODAY()-qry_ProdData2_PDI_Cash_Exception_Application[[#This Row],[INSERT DATE]]</f>
        <v>13.742928240739275</v>
      </c>
      <c r="K22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62">
        <f ca="1">qry_ProdData2_PDI_Cash_Exception_Application[[#This Row],[TODAY]]-qry_ProdData2_PDI_Cash_Exception_Application[[#This Row],[CHANGED ON]]</f>
        <v>6.7429282407392748</v>
      </c>
      <c r="M2262">
        <f ca="1">qry_ProdData2_PDI_Cash_Exception_Application[[#This Row],[TODAY]]-qry_ProdData2_PDI_Cash_Exception_Application[[#This Row],[CHANGED ON]]</f>
        <v>6.7429282407392748</v>
      </c>
      <c r="N2262">
        <f ca="1">qry_ProdData2_PDI_Cash_Exception_Application[[#This Row],[TODAY]]-qry_ProdData2_PDI_Cash_Exception_Application[[#This Row],[CHANGED ON]]</f>
        <v>6.7429282407392748</v>
      </c>
    </row>
    <row r="2263" spans="1:14" x14ac:dyDescent="0.35">
      <c r="A2263">
        <v>1014</v>
      </c>
      <c r="B2263" t="s">
        <v>68</v>
      </c>
      <c r="C2263" s="1">
        <v>45182.257071759261</v>
      </c>
      <c r="D2263" t="str">
        <f ca="1">VLOOKUP(qry_ProdData2_PDI_Cash_Exception_Application[[#This Row],[TYPE]],#REF!,2,FALSE)</f>
        <v>type40</v>
      </c>
      <c r="E2263">
        <v>-2710.29</v>
      </c>
      <c r="F2263" t="s">
        <v>47</v>
      </c>
      <c r="G2263" s="1">
        <f>qry_ProdData2_PDI_Cash_Exception_Application[[#This Row],[INSERT DATE]]+7</f>
        <v>45189.257071759261</v>
      </c>
      <c r="H2263" t="str">
        <f>VLOOKUP(qry_ProdData2_PDI_Cash_Exception_Application[[#This Row],[MARKET No]],'Site Allocation'!$B$2:$C$37,2,FALSE)</f>
        <v>Analyst3</v>
      </c>
      <c r="I2263" s="4">
        <f t="shared" ca="1" si="35"/>
        <v>45203</v>
      </c>
      <c r="J2263" s="42">
        <f ca="1">TODAY()-qry_ProdData2_PDI_Cash_Exception_Application[[#This Row],[INSERT DATE]]</f>
        <v>20.742928240739275</v>
      </c>
      <c r="K22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63">
        <f ca="1">qry_ProdData2_PDI_Cash_Exception_Application[[#This Row],[TODAY]]-qry_ProdData2_PDI_Cash_Exception_Application[[#This Row],[CHANGED ON]]</f>
        <v>13.742928240739275</v>
      </c>
      <c r="M2263">
        <f ca="1">qry_ProdData2_PDI_Cash_Exception_Application[[#This Row],[TODAY]]-qry_ProdData2_PDI_Cash_Exception_Application[[#This Row],[CHANGED ON]]</f>
        <v>13.742928240739275</v>
      </c>
      <c r="N2263">
        <f ca="1">qry_ProdData2_PDI_Cash_Exception_Application[[#This Row],[TODAY]]-qry_ProdData2_PDI_Cash_Exception_Application[[#This Row],[CHANGED ON]]</f>
        <v>13.742928240739275</v>
      </c>
    </row>
    <row r="2264" spans="1:14" x14ac:dyDescent="0.35">
      <c r="A2264">
        <v>1011</v>
      </c>
      <c r="B2264" t="s">
        <v>65</v>
      </c>
      <c r="C2264" s="1">
        <v>45186.257071759261</v>
      </c>
      <c r="D2264" t="str">
        <f ca="1">VLOOKUP(qry_ProdData2_PDI_Cash_Exception_Application[[#This Row],[TYPE]],#REF!,2,FALSE)</f>
        <v>type40</v>
      </c>
      <c r="E2264">
        <v>1241.3800000000001</v>
      </c>
      <c r="F2264" t="s">
        <v>51</v>
      </c>
      <c r="G2264" s="1">
        <f>qry_ProdData2_PDI_Cash_Exception_Application[[#This Row],[INSERT DATE]]+2</f>
        <v>45188.257071759261</v>
      </c>
      <c r="H2264" t="str">
        <f>VLOOKUP(qry_ProdData2_PDI_Cash_Exception_Application[[#This Row],[MARKET No]],'Site Allocation'!$B$2:$C$37,2,FALSE)</f>
        <v>Analyst2</v>
      </c>
      <c r="I2264" s="4">
        <f t="shared" ca="1" si="35"/>
        <v>45203</v>
      </c>
      <c r="J2264" s="42">
        <f ca="1">TODAY()-qry_ProdData2_PDI_Cash_Exception_Application[[#This Row],[INSERT DATE]]</f>
        <v>16.742928240739275</v>
      </c>
      <c r="K22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64">
        <f ca="1">qry_ProdData2_PDI_Cash_Exception_Application[[#This Row],[TODAY]]-qry_ProdData2_PDI_Cash_Exception_Application[[#This Row],[CHANGED ON]]</f>
        <v>14.742928240739275</v>
      </c>
      <c r="M2264">
        <f ca="1">qry_ProdData2_PDI_Cash_Exception_Application[[#This Row],[TODAY]]-qry_ProdData2_PDI_Cash_Exception_Application[[#This Row],[CHANGED ON]]</f>
        <v>14.742928240739275</v>
      </c>
      <c r="N2264">
        <f ca="1">qry_ProdData2_PDI_Cash_Exception_Application[[#This Row],[TODAY]]-qry_ProdData2_PDI_Cash_Exception_Application[[#This Row],[CHANGED ON]]</f>
        <v>14.742928240739275</v>
      </c>
    </row>
    <row r="2265" spans="1:14" x14ac:dyDescent="0.35">
      <c r="A2265">
        <v>1011</v>
      </c>
      <c r="B2265" t="s">
        <v>65</v>
      </c>
      <c r="C2265" s="1">
        <v>45183.257071759261</v>
      </c>
      <c r="D2265" t="str">
        <f ca="1">VLOOKUP(qry_ProdData2_PDI_Cash_Exception_Application[[#This Row],[TYPE]],#REF!,2,FALSE)</f>
        <v>type40</v>
      </c>
      <c r="E2265">
        <v>505.71</v>
      </c>
      <c r="F2265" t="s">
        <v>50</v>
      </c>
      <c r="G2265" s="1">
        <f>qry_ProdData2_PDI_Cash_Exception_Application[[#This Row],[INSERT DATE]]+7</f>
        <v>45190.257071759261</v>
      </c>
      <c r="H2265" t="str">
        <f>VLOOKUP(qry_ProdData2_PDI_Cash_Exception_Application[[#This Row],[MARKET No]],'Site Allocation'!$B$2:$C$37,2,FALSE)</f>
        <v>Analyst2</v>
      </c>
      <c r="I2265" s="4">
        <f t="shared" ca="1" si="35"/>
        <v>45203</v>
      </c>
      <c r="J2265" s="42">
        <f ca="1">TODAY()-qry_ProdData2_PDI_Cash_Exception_Application[[#This Row],[INSERT DATE]]</f>
        <v>19.742928240739275</v>
      </c>
      <c r="K22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65">
        <f ca="1">qry_ProdData2_PDI_Cash_Exception_Application[[#This Row],[TODAY]]-qry_ProdData2_PDI_Cash_Exception_Application[[#This Row],[CHANGED ON]]</f>
        <v>12.742928240739275</v>
      </c>
      <c r="M2265">
        <f ca="1">qry_ProdData2_PDI_Cash_Exception_Application[[#This Row],[TODAY]]-qry_ProdData2_PDI_Cash_Exception_Application[[#This Row],[CHANGED ON]]</f>
        <v>12.742928240739275</v>
      </c>
      <c r="N2265">
        <f ca="1">qry_ProdData2_PDI_Cash_Exception_Application[[#This Row],[TODAY]]-qry_ProdData2_PDI_Cash_Exception_Application[[#This Row],[CHANGED ON]]</f>
        <v>12.742928240739275</v>
      </c>
    </row>
    <row r="2266" spans="1:14" x14ac:dyDescent="0.35">
      <c r="A2266">
        <v>1019</v>
      </c>
      <c r="B2266" t="s">
        <v>73</v>
      </c>
      <c r="C2266" s="1">
        <v>45187.257071759261</v>
      </c>
      <c r="D2266" t="str">
        <f ca="1">VLOOKUP(qry_ProdData2_PDI_Cash_Exception_Application[[#This Row],[TYPE]],#REF!,2,FALSE)</f>
        <v>type40</v>
      </c>
      <c r="E2266">
        <v>5407.02</v>
      </c>
      <c r="F2266" t="s">
        <v>51</v>
      </c>
      <c r="G2266" s="1">
        <f>qry_ProdData2_PDI_Cash_Exception_Application[[#This Row],[INSERT DATE]]+2</f>
        <v>45189.257071759261</v>
      </c>
      <c r="H2266" t="str">
        <f>VLOOKUP(qry_ProdData2_PDI_Cash_Exception_Application[[#This Row],[MARKET No]],'Site Allocation'!$B$2:$C$37,2,FALSE)</f>
        <v>Analyst4</v>
      </c>
      <c r="I2266" s="4">
        <f t="shared" ca="1" si="35"/>
        <v>45203</v>
      </c>
      <c r="J2266" s="42">
        <f ca="1">TODAY()-qry_ProdData2_PDI_Cash_Exception_Application[[#This Row],[INSERT DATE]]</f>
        <v>15.742928240739275</v>
      </c>
      <c r="K22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66">
        <f ca="1">qry_ProdData2_PDI_Cash_Exception_Application[[#This Row],[TODAY]]-qry_ProdData2_PDI_Cash_Exception_Application[[#This Row],[CHANGED ON]]</f>
        <v>13.742928240739275</v>
      </c>
      <c r="M2266">
        <f ca="1">qry_ProdData2_PDI_Cash_Exception_Application[[#This Row],[TODAY]]-qry_ProdData2_PDI_Cash_Exception_Application[[#This Row],[CHANGED ON]]</f>
        <v>13.742928240739275</v>
      </c>
      <c r="N2266">
        <f ca="1">qry_ProdData2_PDI_Cash_Exception_Application[[#This Row],[TODAY]]-qry_ProdData2_PDI_Cash_Exception_Application[[#This Row],[CHANGED ON]]</f>
        <v>13.742928240739275</v>
      </c>
    </row>
    <row r="2267" spans="1:14" x14ac:dyDescent="0.35">
      <c r="A2267">
        <v>1014</v>
      </c>
      <c r="B2267" t="s">
        <v>68</v>
      </c>
      <c r="C2267" s="1">
        <v>45184.257071759261</v>
      </c>
      <c r="D2267" t="str">
        <f ca="1">VLOOKUP(qry_ProdData2_PDI_Cash_Exception_Application[[#This Row],[TYPE]],#REF!,2,FALSE)</f>
        <v>type40</v>
      </c>
      <c r="E2267">
        <v>464.92</v>
      </c>
      <c r="F2267" t="s">
        <v>52</v>
      </c>
      <c r="G2267" s="1">
        <f>qry_ProdData2_PDI_Cash_Exception_Application[[#This Row],[INSERT DATE]]+7</f>
        <v>45191.257071759261</v>
      </c>
      <c r="H2267" t="str">
        <f>VLOOKUP(qry_ProdData2_PDI_Cash_Exception_Application[[#This Row],[MARKET No]],'Site Allocation'!$B$2:$C$37,2,FALSE)</f>
        <v>Analyst3</v>
      </c>
      <c r="I2267" s="4">
        <f t="shared" ca="1" si="35"/>
        <v>45203</v>
      </c>
      <c r="J2267" s="42">
        <f ca="1">TODAY()-qry_ProdData2_PDI_Cash_Exception_Application[[#This Row],[INSERT DATE]]</f>
        <v>18.742928240739275</v>
      </c>
      <c r="K22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67">
        <f ca="1">qry_ProdData2_PDI_Cash_Exception_Application[[#This Row],[TODAY]]-qry_ProdData2_PDI_Cash_Exception_Application[[#This Row],[CHANGED ON]]</f>
        <v>11.742928240739275</v>
      </c>
      <c r="M2267">
        <f ca="1">qry_ProdData2_PDI_Cash_Exception_Application[[#This Row],[TODAY]]-qry_ProdData2_PDI_Cash_Exception_Application[[#This Row],[CHANGED ON]]</f>
        <v>11.742928240739275</v>
      </c>
      <c r="N2267">
        <f ca="1">qry_ProdData2_PDI_Cash_Exception_Application[[#This Row],[TODAY]]-qry_ProdData2_PDI_Cash_Exception_Application[[#This Row],[CHANGED ON]]</f>
        <v>11.742928240739275</v>
      </c>
    </row>
    <row r="2268" spans="1:14" x14ac:dyDescent="0.35">
      <c r="A2268">
        <v>1004</v>
      </c>
      <c r="B2268" t="s">
        <v>58</v>
      </c>
      <c r="C2268" s="1">
        <v>45179.257071759261</v>
      </c>
      <c r="D2268" t="str">
        <f ca="1">VLOOKUP(qry_ProdData2_PDI_Cash_Exception_Application[[#This Row],[TYPE]],#REF!,2,FALSE)</f>
        <v>type13</v>
      </c>
      <c r="E2268">
        <v>33181.440000000002</v>
      </c>
      <c r="F2268" t="s">
        <v>49</v>
      </c>
      <c r="G2268" s="1">
        <f>qry_ProdData2_PDI_Cash_Exception_Application[[#This Row],[INSERT DATE]]+1</f>
        <v>45180.257071759261</v>
      </c>
      <c r="H2268" t="str">
        <f>VLOOKUP(qry_ProdData2_PDI_Cash_Exception_Application[[#This Row],[MARKET No]],'Site Allocation'!$B$2:$C$37,2,FALSE)</f>
        <v>Analyst1</v>
      </c>
      <c r="I2268" s="4">
        <f t="shared" ca="1" si="35"/>
        <v>45203</v>
      </c>
      <c r="J2268" s="42">
        <f ca="1">TODAY()-qry_ProdData2_PDI_Cash_Exception_Application[[#This Row],[INSERT DATE]]</f>
        <v>23.742928240739275</v>
      </c>
      <c r="K22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68">
        <f ca="1">qry_ProdData2_PDI_Cash_Exception_Application[[#This Row],[TODAY]]-qry_ProdData2_PDI_Cash_Exception_Application[[#This Row],[CHANGED ON]]</f>
        <v>22.742928240739275</v>
      </c>
      <c r="M2268">
        <f ca="1">qry_ProdData2_PDI_Cash_Exception_Application[[#This Row],[TODAY]]-qry_ProdData2_PDI_Cash_Exception_Application[[#This Row],[CHANGED ON]]</f>
        <v>22.742928240739275</v>
      </c>
      <c r="N2268">
        <f ca="1">qry_ProdData2_PDI_Cash_Exception_Application[[#This Row],[TODAY]]-qry_ProdData2_PDI_Cash_Exception_Application[[#This Row],[CHANGED ON]]</f>
        <v>22.742928240739275</v>
      </c>
    </row>
    <row r="2269" spans="1:14" x14ac:dyDescent="0.35">
      <c r="A2269">
        <v>1008</v>
      </c>
      <c r="B2269" t="s">
        <v>62</v>
      </c>
      <c r="C2269" s="1">
        <v>45185.257071759261</v>
      </c>
      <c r="D2269" t="str">
        <f ca="1">VLOOKUP(qry_ProdData2_PDI_Cash_Exception_Application[[#This Row],[TYPE]],#REF!,2,FALSE)</f>
        <v>type40</v>
      </c>
      <c r="E2269">
        <v>309.33999999999997</v>
      </c>
      <c r="F2269" t="s">
        <v>50</v>
      </c>
      <c r="G2269" s="1">
        <f>qry_ProdData2_PDI_Cash_Exception_Application[[#This Row],[INSERT DATE]]+7</f>
        <v>45192.257071759261</v>
      </c>
      <c r="H2269" t="str">
        <f>VLOOKUP(qry_ProdData2_PDI_Cash_Exception_Application[[#This Row],[MARKET No]],'Site Allocation'!$B$2:$C$37,2,FALSE)</f>
        <v>Analyst2</v>
      </c>
      <c r="I2269" s="4">
        <f t="shared" ca="1" si="35"/>
        <v>45203</v>
      </c>
      <c r="J2269" s="42">
        <f ca="1">TODAY()-qry_ProdData2_PDI_Cash_Exception_Application[[#This Row],[INSERT DATE]]</f>
        <v>17.742928240739275</v>
      </c>
      <c r="K22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69">
        <f ca="1">qry_ProdData2_PDI_Cash_Exception_Application[[#This Row],[TODAY]]-qry_ProdData2_PDI_Cash_Exception_Application[[#This Row],[CHANGED ON]]</f>
        <v>10.742928240739275</v>
      </c>
      <c r="M2269">
        <f ca="1">qry_ProdData2_PDI_Cash_Exception_Application[[#This Row],[TODAY]]-qry_ProdData2_PDI_Cash_Exception_Application[[#This Row],[CHANGED ON]]</f>
        <v>10.742928240739275</v>
      </c>
      <c r="N2269">
        <f ca="1">qry_ProdData2_PDI_Cash_Exception_Application[[#This Row],[TODAY]]-qry_ProdData2_PDI_Cash_Exception_Application[[#This Row],[CHANGED ON]]</f>
        <v>10.742928240739275</v>
      </c>
    </row>
    <row r="2270" spans="1:14" x14ac:dyDescent="0.35">
      <c r="A2270">
        <v>1012</v>
      </c>
      <c r="B2270" t="s">
        <v>66</v>
      </c>
      <c r="C2270" s="1">
        <v>45182.257071759261</v>
      </c>
      <c r="D2270" t="str">
        <f ca="1">VLOOKUP(qry_ProdData2_PDI_Cash_Exception_Application[[#This Row],[TYPE]],#REF!,2,FALSE)</f>
        <v>type13</v>
      </c>
      <c r="E2270">
        <v>29017.06</v>
      </c>
      <c r="F2270" t="s">
        <v>49</v>
      </c>
      <c r="G2270" s="1">
        <f>qry_ProdData2_PDI_Cash_Exception_Application[[#This Row],[INSERT DATE]]+1</f>
        <v>45183.257071759261</v>
      </c>
      <c r="H2270" t="str">
        <f>VLOOKUP(qry_ProdData2_PDI_Cash_Exception_Application[[#This Row],[MARKET No]],'Site Allocation'!$B$2:$C$37,2,FALSE)</f>
        <v>Analyst3</v>
      </c>
      <c r="I2270" s="4">
        <f t="shared" ca="1" si="35"/>
        <v>45203</v>
      </c>
      <c r="J2270" s="42">
        <f ca="1">TODAY()-qry_ProdData2_PDI_Cash_Exception_Application[[#This Row],[INSERT DATE]]</f>
        <v>20.742928240739275</v>
      </c>
      <c r="K22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70">
        <f ca="1">qry_ProdData2_PDI_Cash_Exception_Application[[#This Row],[TODAY]]-qry_ProdData2_PDI_Cash_Exception_Application[[#This Row],[CHANGED ON]]</f>
        <v>19.742928240739275</v>
      </c>
      <c r="M2270">
        <f ca="1">qry_ProdData2_PDI_Cash_Exception_Application[[#This Row],[TODAY]]-qry_ProdData2_PDI_Cash_Exception_Application[[#This Row],[CHANGED ON]]</f>
        <v>19.742928240739275</v>
      </c>
      <c r="N2270">
        <f ca="1">qry_ProdData2_PDI_Cash_Exception_Application[[#This Row],[TODAY]]-qry_ProdData2_PDI_Cash_Exception_Application[[#This Row],[CHANGED ON]]</f>
        <v>19.742928240739275</v>
      </c>
    </row>
    <row r="2271" spans="1:14" x14ac:dyDescent="0.35">
      <c r="A2271">
        <v>1032</v>
      </c>
      <c r="B2271" t="s">
        <v>86</v>
      </c>
      <c r="C2271" s="1">
        <v>45186.257071759261</v>
      </c>
      <c r="D2271" t="str">
        <f ca="1">VLOOKUP(qry_ProdData2_PDI_Cash_Exception_Application[[#This Row],[TYPE]],#REF!,2,FALSE)</f>
        <v>type38</v>
      </c>
      <c r="E2271">
        <v>190.92</v>
      </c>
      <c r="F2271" t="s">
        <v>51</v>
      </c>
      <c r="G2271" s="1">
        <f>qry_ProdData2_PDI_Cash_Exception_Application[[#This Row],[INSERT DATE]]+2</f>
        <v>45188.257071759261</v>
      </c>
      <c r="H2271" t="str">
        <f>VLOOKUP(qry_ProdData2_PDI_Cash_Exception_Application[[#This Row],[MARKET No]],'Site Allocation'!$B$2:$C$37,2,FALSE)</f>
        <v>Analyst6</v>
      </c>
      <c r="I2271" s="4">
        <f t="shared" ca="1" si="35"/>
        <v>45203</v>
      </c>
      <c r="J2271" s="42">
        <f ca="1">TODAY()-qry_ProdData2_PDI_Cash_Exception_Application[[#This Row],[INSERT DATE]]</f>
        <v>16.742928240739275</v>
      </c>
      <c r="K22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71">
        <f ca="1">qry_ProdData2_PDI_Cash_Exception_Application[[#This Row],[TODAY]]-qry_ProdData2_PDI_Cash_Exception_Application[[#This Row],[CHANGED ON]]</f>
        <v>14.742928240739275</v>
      </c>
      <c r="M2271">
        <f ca="1">qry_ProdData2_PDI_Cash_Exception_Application[[#This Row],[TODAY]]-qry_ProdData2_PDI_Cash_Exception_Application[[#This Row],[CHANGED ON]]</f>
        <v>14.742928240739275</v>
      </c>
      <c r="N2271">
        <f ca="1">qry_ProdData2_PDI_Cash_Exception_Application[[#This Row],[TODAY]]-qry_ProdData2_PDI_Cash_Exception_Application[[#This Row],[CHANGED ON]]</f>
        <v>14.742928240739275</v>
      </c>
    </row>
    <row r="2272" spans="1:14" x14ac:dyDescent="0.35">
      <c r="A2272">
        <v>1027</v>
      </c>
      <c r="B2272" t="s">
        <v>81</v>
      </c>
      <c r="C2272" s="1">
        <v>45187.257071759261</v>
      </c>
      <c r="D2272" t="str">
        <f ca="1">VLOOKUP(qry_ProdData2_PDI_Cash_Exception_Application[[#This Row],[TYPE]],#REF!,2,FALSE)</f>
        <v>type40</v>
      </c>
      <c r="E2272">
        <v>1866.77</v>
      </c>
      <c r="F2272" t="s">
        <v>50</v>
      </c>
      <c r="G2272" s="1">
        <f>qry_ProdData2_PDI_Cash_Exception_Application[[#This Row],[INSERT DATE]]+7</f>
        <v>45194.257071759261</v>
      </c>
      <c r="H2272" t="str">
        <f>VLOOKUP(qry_ProdData2_PDI_Cash_Exception_Application[[#This Row],[MARKET No]],'Site Allocation'!$B$2:$C$37,2,FALSE)</f>
        <v>Analyst5</v>
      </c>
      <c r="I2272" s="4">
        <f t="shared" ca="1" si="35"/>
        <v>45203</v>
      </c>
      <c r="J2272" s="42">
        <f ca="1">TODAY()-qry_ProdData2_PDI_Cash_Exception_Application[[#This Row],[INSERT DATE]]</f>
        <v>15.742928240739275</v>
      </c>
      <c r="K22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72">
        <f ca="1">qry_ProdData2_PDI_Cash_Exception_Application[[#This Row],[TODAY]]-qry_ProdData2_PDI_Cash_Exception_Application[[#This Row],[CHANGED ON]]</f>
        <v>8.7429282407392748</v>
      </c>
      <c r="M2272">
        <f ca="1">qry_ProdData2_PDI_Cash_Exception_Application[[#This Row],[TODAY]]-qry_ProdData2_PDI_Cash_Exception_Application[[#This Row],[CHANGED ON]]</f>
        <v>8.7429282407392748</v>
      </c>
      <c r="N2272">
        <f ca="1">qry_ProdData2_PDI_Cash_Exception_Application[[#This Row],[TODAY]]-qry_ProdData2_PDI_Cash_Exception_Application[[#This Row],[CHANGED ON]]</f>
        <v>8.7429282407392748</v>
      </c>
    </row>
    <row r="2273" spans="1:14" x14ac:dyDescent="0.35">
      <c r="A2273">
        <v>1004</v>
      </c>
      <c r="B2273" t="s">
        <v>58</v>
      </c>
      <c r="C2273" s="1">
        <v>45192.257071759261</v>
      </c>
      <c r="D2273" t="str">
        <f ca="1">VLOOKUP(qry_ProdData2_PDI_Cash_Exception_Application[[#This Row],[TYPE]],#REF!,2,FALSE)</f>
        <v>type13</v>
      </c>
      <c r="E2273">
        <v>21385.31</v>
      </c>
      <c r="F2273" t="s">
        <v>48</v>
      </c>
      <c r="G2273" s="1">
        <f>qry_ProdData2_PDI_Cash_Exception_Application[[#This Row],[INSERT DATE]]+2</f>
        <v>45194.257071759261</v>
      </c>
      <c r="H2273" t="str">
        <f>VLOOKUP(qry_ProdData2_PDI_Cash_Exception_Application[[#This Row],[MARKET No]],'Site Allocation'!$B$2:$C$37,2,FALSE)</f>
        <v>Analyst1</v>
      </c>
      <c r="I2273" s="4">
        <f t="shared" ca="1" si="35"/>
        <v>45203</v>
      </c>
      <c r="J2273" s="42">
        <f ca="1">TODAY()-qry_ProdData2_PDI_Cash_Exception_Application[[#This Row],[INSERT DATE]]</f>
        <v>10.742928240739275</v>
      </c>
      <c r="K22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73">
        <f ca="1">qry_ProdData2_PDI_Cash_Exception_Application[[#This Row],[TODAY]]-qry_ProdData2_PDI_Cash_Exception_Application[[#This Row],[CHANGED ON]]</f>
        <v>8.7429282407392748</v>
      </c>
      <c r="M2273">
        <f ca="1">qry_ProdData2_PDI_Cash_Exception_Application[[#This Row],[TODAY]]-qry_ProdData2_PDI_Cash_Exception_Application[[#This Row],[CHANGED ON]]</f>
        <v>8.7429282407392748</v>
      </c>
      <c r="N2273">
        <f ca="1">qry_ProdData2_PDI_Cash_Exception_Application[[#This Row],[TODAY]]-qry_ProdData2_PDI_Cash_Exception_Application[[#This Row],[CHANGED ON]]</f>
        <v>8.7429282407392748</v>
      </c>
    </row>
    <row r="2274" spans="1:14" x14ac:dyDescent="0.35">
      <c r="A2274">
        <v>1034</v>
      </c>
      <c r="B2274" t="s">
        <v>88</v>
      </c>
      <c r="C2274" s="1">
        <v>45188.257071759261</v>
      </c>
      <c r="D2274" t="str">
        <f ca="1">VLOOKUP(qry_ProdData2_PDI_Cash_Exception_Application[[#This Row],[TYPE]],#REF!,2,FALSE)</f>
        <v>type40</v>
      </c>
      <c r="E2274">
        <v>-601.79999999999995</v>
      </c>
      <c r="F2274" t="s">
        <v>52</v>
      </c>
      <c r="G2274" s="1">
        <f>qry_ProdData2_PDI_Cash_Exception_Application[[#This Row],[INSERT DATE]]+1</f>
        <v>45189.257071759261</v>
      </c>
      <c r="H2274" t="str">
        <f>VLOOKUP(qry_ProdData2_PDI_Cash_Exception_Application[[#This Row],[MARKET No]],'Site Allocation'!$B$2:$C$37,2,FALSE)</f>
        <v>Analyst6</v>
      </c>
      <c r="I2274" s="4">
        <f t="shared" ca="1" si="35"/>
        <v>45203</v>
      </c>
      <c r="J2274" s="42">
        <f ca="1">TODAY()-qry_ProdData2_PDI_Cash_Exception_Application[[#This Row],[INSERT DATE]]</f>
        <v>14.742928240739275</v>
      </c>
      <c r="K22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74">
        <f ca="1">qry_ProdData2_PDI_Cash_Exception_Application[[#This Row],[TODAY]]-qry_ProdData2_PDI_Cash_Exception_Application[[#This Row],[CHANGED ON]]</f>
        <v>13.742928240739275</v>
      </c>
      <c r="M2274">
        <f ca="1">qry_ProdData2_PDI_Cash_Exception_Application[[#This Row],[TODAY]]-qry_ProdData2_PDI_Cash_Exception_Application[[#This Row],[CHANGED ON]]</f>
        <v>13.742928240739275</v>
      </c>
      <c r="N2274">
        <f ca="1">qry_ProdData2_PDI_Cash_Exception_Application[[#This Row],[TODAY]]-qry_ProdData2_PDI_Cash_Exception_Application[[#This Row],[CHANGED ON]]</f>
        <v>13.742928240739275</v>
      </c>
    </row>
    <row r="2275" spans="1:14" x14ac:dyDescent="0.35">
      <c r="A2275">
        <v>1002</v>
      </c>
      <c r="B2275" t="s">
        <v>56</v>
      </c>
      <c r="C2275" s="1">
        <v>45189.257071759261</v>
      </c>
      <c r="D2275" t="str">
        <f ca="1">VLOOKUP(qry_ProdData2_PDI_Cash_Exception_Application[[#This Row],[TYPE]],#REF!,2,FALSE)</f>
        <v>type40</v>
      </c>
      <c r="E2275">
        <v>1056.45</v>
      </c>
      <c r="F2275" t="s">
        <v>52</v>
      </c>
      <c r="G2275" s="1">
        <f>qry_ProdData2_PDI_Cash_Exception_Application[[#This Row],[INSERT DATE]]+1</f>
        <v>45190.257071759261</v>
      </c>
      <c r="H2275" t="str">
        <f>VLOOKUP(qry_ProdData2_PDI_Cash_Exception_Application[[#This Row],[MARKET No]],'Site Allocation'!$B$2:$C$37,2,FALSE)</f>
        <v>Analyst1</v>
      </c>
      <c r="I2275" s="4">
        <f t="shared" ca="1" si="35"/>
        <v>45203</v>
      </c>
      <c r="J2275" s="42">
        <f ca="1">TODAY()-qry_ProdData2_PDI_Cash_Exception_Application[[#This Row],[INSERT DATE]]</f>
        <v>13.742928240739275</v>
      </c>
      <c r="K22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75">
        <f ca="1">qry_ProdData2_PDI_Cash_Exception_Application[[#This Row],[TODAY]]-qry_ProdData2_PDI_Cash_Exception_Application[[#This Row],[CHANGED ON]]</f>
        <v>12.742928240739275</v>
      </c>
      <c r="M2275">
        <f ca="1">qry_ProdData2_PDI_Cash_Exception_Application[[#This Row],[TODAY]]-qry_ProdData2_PDI_Cash_Exception_Application[[#This Row],[CHANGED ON]]</f>
        <v>12.742928240739275</v>
      </c>
      <c r="N2275">
        <f ca="1">qry_ProdData2_PDI_Cash_Exception_Application[[#This Row],[TODAY]]-qry_ProdData2_PDI_Cash_Exception_Application[[#This Row],[CHANGED ON]]</f>
        <v>12.742928240739275</v>
      </c>
    </row>
    <row r="2276" spans="1:14" x14ac:dyDescent="0.35">
      <c r="A2276">
        <v>1020</v>
      </c>
      <c r="B2276" t="s">
        <v>74</v>
      </c>
      <c r="C2276" s="1">
        <v>45180.257071759261</v>
      </c>
      <c r="D2276" t="str">
        <f ca="1">VLOOKUP(qry_ProdData2_PDI_Cash_Exception_Application[[#This Row],[TYPE]],#REF!,2,FALSE)</f>
        <v>type13</v>
      </c>
      <c r="E2276">
        <v>15486.3</v>
      </c>
      <c r="F2276" t="s">
        <v>48</v>
      </c>
      <c r="G2276" s="1">
        <f>qry_ProdData2_PDI_Cash_Exception_Application[[#This Row],[INSERT DATE]]+2</f>
        <v>45182.257071759261</v>
      </c>
      <c r="H2276" t="str">
        <f>VLOOKUP(qry_ProdData2_PDI_Cash_Exception_Application[[#This Row],[MARKET No]],'Site Allocation'!$B$2:$C$37,2,FALSE)</f>
        <v>Analyst4</v>
      </c>
      <c r="I2276" s="4">
        <f t="shared" ca="1" si="35"/>
        <v>45203</v>
      </c>
      <c r="J2276" s="42">
        <f ca="1">TODAY()-qry_ProdData2_PDI_Cash_Exception_Application[[#This Row],[INSERT DATE]]</f>
        <v>22.742928240739275</v>
      </c>
      <c r="K22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76">
        <f ca="1">qry_ProdData2_PDI_Cash_Exception_Application[[#This Row],[TODAY]]-qry_ProdData2_PDI_Cash_Exception_Application[[#This Row],[CHANGED ON]]</f>
        <v>20.742928240739275</v>
      </c>
      <c r="M2276">
        <f ca="1">qry_ProdData2_PDI_Cash_Exception_Application[[#This Row],[TODAY]]-qry_ProdData2_PDI_Cash_Exception_Application[[#This Row],[CHANGED ON]]</f>
        <v>20.742928240739275</v>
      </c>
      <c r="N2276">
        <f ca="1">qry_ProdData2_PDI_Cash_Exception_Application[[#This Row],[TODAY]]-qry_ProdData2_PDI_Cash_Exception_Application[[#This Row],[CHANGED ON]]</f>
        <v>20.742928240739275</v>
      </c>
    </row>
    <row r="2277" spans="1:14" x14ac:dyDescent="0.35">
      <c r="A2277">
        <v>1010</v>
      </c>
      <c r="B2277" t="s">
        <v>64</v>
      </c>
      <c r="C2277" s="1">
        <v>45190.257071759261</v>
      </c>
      <c r="D2277" t="str">
        <f ca="1">VLOOKUP(qry_ProdData2_PDI_Cash_Exception_Application[[#This Row],[TYPE]],#REF!,2,FALSE)</f>
        <v>type40</v>
      </c>
      <c r="E2277">
        <v>1261.51</v>
      </c>
      <c r="F2277" t="s">
        <v>50</v>
      </c>
      <c r="G2277" s="1">
        <f>qry_ProdData2_PDI_Cash_Exception_Application[[#This Row],[INSERT DATE]]+1</f>
        <v>45191.257071759261</v>
      </c>
      <c r="H2277" t="str">
        <f>VLOOKUP(qry_ProdData2_PDI_Cash_Exception_Application[[#This Row],[MARKET No]],'Site Allocation'!$B$2:$C$37,2,FALSE)</f>
        <v>Analyst2</v>
      </c>
      <c r="I2277" s="4">
        <f t="shared" ca="1" si="35"/>
        <v>45203</v>
      </c>
      <c r="J2277" s="42">
        <f ca="1">TODAY()-qry_ProdData2_PDI_Cash_Exception_Application[[#This Row],[INSERT DATE]]</f>
        <v>12.742928240739275</v>
      </c>
      <c r="K22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77">
        <f ca="1">qry_ProdData2_PDI_Cash_Exception_Application[[#This Row],[TODAY]]-qry_ProdData2_PDI_Cash_Exception_Application[[#This Row],[CHANGED ON]]</f>
        <v>11.742928240739275</v>
      </c>
      <c r="M2277">
        <f ca="1">qry_ProdData2_PDI_Cash_Exception_Application[[#This Row],[TODAY]]-qry_ProdData2_PDI_Cash_Exception_Application[[#This Row],[CHANGED ON]]</f>
        <v>11.742928240739275</v>
      </c>
      <c r="N2277">
        <f ca="1">qry_ProdData2_PDI_Cash_Exception_Application[[#This Row],[TODAY]]-qry_ProdData2_PDI_Cash_Exception_Application[[#This Row],[CHANGED ON]]</f>
        <v>11.742928240739275</v>
      </c>
    </row>
    <row r="2278" spans="1:14" x14ac:dyDescent="0.35">
      <c r="A2278">
        <v>1031</v>
      </c>
      <c r="B2278" t="s">
        <v>85</v>
      </c>
      <c r="C2278" s="1">
        <v>45182.257071759261</v>
      </c>
      <c r="D2278" t="str">
        <f ca="1">VLOOKUP(qry_ProdData2_PDI_Cash_Exception_Application[[#This Row],[TYPE]],#REF!,2,FALSE)</f>
        <v>type13</v>
      </c>
      <c r="E2278">
        <v>13821.35</v>
      </c>
      <c r="F2278" t="s">
        <v>48</v>
      </c>
      <c r="G2278" s="1">
        <f>qry_ProdData2_PDI_Cash_Exception_Application[[#This Row],[INSERT DATE]]+2</f>
        <v>45184.257071759261</v>
      </c>
      <c r="H2278" t="str">
        <f>VLOOKUP(qry_ProdData2_PDI_Cash_Exception_Application[[#This Row],[MARKET No]],'Site Allocation'!$B$2:$C$37,2,FALSE)</f>
        <v>Analyst6</v>
      </c>
      <c r="I2278" s="4">
        <f t="shared" ca="1" si="35"/>
        <v>45203</v>
      </c>
      <c r="J2278" s="42">
        <f ca="1">TODAY()-qry_ProdData2_PDI_Cash_Exception_Application[[#This Row],[INSERT DATE]]</f>
        <v>20.742928240739275</v>
      </c>
      <c r="K22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78">
        <f ca="1">qry_ProdData2_PDI_Cash_Exception_Application[[#This Row],[TODAY]]-qry_ProdData2_PDI_Cash_Exception_Application[[#This Row],[CHANGED ON]]</f>
        <v>18.742928240739275</v>
      </c>
      <c r="M2278">
        <f ca="1">qry_ProdData2_PDI_Cash_Exception_Application[[#This Row],[TODAY]]-qry_ProdData2_PDI_Cash_Exception_Application[[#This Row],[CHANGED ON]]</f>
        <v>18.742928240739275</v>
      </c>
      <c r="N2278">
        <f ca="1">qry_ProdData2_PDI_Cash_Exception_Application[[#This Row],[TODAY]]-qry_ProdData2_PDI_Cash_Exception_Application[[#This Row],[CHANGED ON]]</f>
        <v>18.742928240739275</v>
      </c>
    </row>
    <row r="2279" spans="1:14" x14ac:dyDescent="0.35">
      <c r="A2279">
        <v>1029</v>
      </c>
      <c r="B2279" t="s">
        <v>83</v>
      </c>
      <c r="C2279" s="1">
        <v>45187.257071759261</v>
      </c>
      <c r="D2279" t="str">
        <f ca="1">VLOOKUP(qry_ProdData2_PDI_Cash_Exception_Application[[#This Row],[TYPE]],#REF!,2,FALSE)</f>
        <v>type13</v>
      </c>
      <c r="E2279">
        <v>30187.58</v>
      </c>
      <c r="F2279" t="s">
        <v>47</v>
      </c>
      <c r="G2279" s="1">
        <f>qry_ProdData2_PDI_Cash_Exception_Application[[#This Row],[INSERT DATE]]+7</f>
        <v>45194.257071759261</v>
      </c>
      <c r="H2279" t="str">
        <f>VLOOKUP(qry_ProdData2_PDI_Cash_Exception_Application[[#This Row],[MARKET No]],'Site Allocation'!$B$2:$C$37,2,FALSE)</f>
        <v>Analyst5</v>
      </c>
      <c r="I2279" s="4">
        <f t="shared" ca="1" si="35"/>
        <v>45203</v>
      </c>
      <c r="J2279" s="42">
        <f ca="1">TODAY()-qry_ProdData2_PDI_Cash_Exception_Application[[#This Row],[INSERT DATE]]</f>
        <v>15.742928240739275</v>
      </c>
      <c r="K22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79">
        <f ca="1">qry_ProdData2_PDI_Cash_Exception_Application[[#This Row],[TODAY]]-qry_ProdData2_PDI_Cash_Exception_Application[[#This Row],[CHANGED ON]]</f>
        <v>8.7429282407392748</v>
      </c>
      <c r="M2279">
        <f ca="1">qry_ProdData2_PDI_Cash_Exception_Application[[#This Row],[TODAY]]-qry_ProdData2_PDI_Cash_Exception_Application[[#This Row],[CHANGED ON]]</f>
        <v>8.7429282407392748</v>
      </c>
      <c r="N2279">
        <f ca="1">qry_ProdData2_PDI_Cash_Exception_Application[[#This Row],[TODAY]]-qry_ProdData2_PDI_Cash_Exception_Application[[#This Row],[CHANGED ON]]</f>
        <v>8.7429282407392748</v>
      </c>
    </row>
    <row r="2280" spans="1:14" x14ac:dyDescent="0.35">
      <c r="A2280">
        <v>1004</v>
      </c>
      <c r="B2280" t="s">
        <v>58</v>
      </c>
      <c r="C2280" s="1">
        <v>45184.257071759261</v>
      </c>
      <c r="D2280" t="str">
        <f ca="1">VLOOKUP(qry_ProdData2_PDI_Cash_Exception_Application[[#This Row],[TYPE]],#REF!,2,FALSE)</f>
        <v>type40</v>
      </c>
      <c r="E2280">
        <v>36.26</v>
      </c>
      <c r="F2280" t="s">
        <v>49</v>
      </c>
      <c r="G2280" s="1">
        <f>qry_ProdData2_PDI_Cash_Exception_Application[[#This Row],[INSERT DATE]]+1</f>
        <v>45185.257071759261</v>
      </c>
      <c r="H2280" t="str">
        <f>VLOOKUP(qry_ProdData2_PDI_Cash_Exception_Application[[#This Row],[MARKET No]],'Site Allocation'!$B$2:$C$37,2,FALSE)</f>
        <v>Analyst1</v>
      </c>
      <c r="I2280" s="4">
        <f t="shared" ca="1" si="35"/>
        <v>45203</v>
      </c>
      <c r="J2280" s="42">
        <f ca="1">TODAY()-qry_ProdData2_PDI_Cash_Exception_Application[[#This Row],[INSERT DATE]]</f>
        <v>18.742928240739275</v>
      </c>
      <c r="K22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80">
        <f ca="1">qry_ProdData2_PDI_Cash_Exception_Application[[#This Row],[TODAY]]-qry_ProdData2_PDI_Cash_Exception_Application[[#This Row],[CHANGED ON]]</f>
        <v>17.742928240739275</v>
      </c>
      <c r="M2280">
        <f ca="1">qry_ProdData2_PDI_Cash_Exception_Application[[#This Row],[TODAY]]-qry_ProdData2_PDI_Cash_Exception_Application[[#This Row],[CHANGED ON]]</f>
        <v>17.742928240739275</v>
      </c>
      <c r="N2280">
        <f ca="1">qry_ProdData2_PDI_Cash_Exception_Application[[#This Row],[TODAY]]-qry_ProdData2_PDI_Cash_Exception_Application[[#This Row],[CHANGED ON]]</f>
        <v>17.742928240739275</v>
      </c>
    </row>
    <row r="2281" spans="1:14" x14ac:dyDescent="0.35">
      <c r="A2281">
        <v>1020</v>
      </c>
      <c r="B2281" t="s">
        <v>74</v>
      </c>
      <c r="C2281" s="1">
        <v>45190.257071759261</v>
      </c>
      <c r="D2281" t="str">
        <f ca="1">VLOOKUP(qry_ProdData2_PDI_Cash_Exception_Application[[#This Row],[TYPE]],#REF!,2,FALSE)</f>
        <v>type40</v>
      </c>
      <c r="E2281">
        <v>5606.32</v>
      </c>
      <c r="F2281" t="s">
        <v>51</v>
      </c>
      <c r="G2281" s="1">
        <f>qry_ProdData2_PDI_Cash_Exception_Application[[#This Row],[INSERT DATE]]+5</f>
        <v>45195.257071759261</v>
      </c>
      <c r="H2281" t="str">
        <f>VLOOKUP(qry_ProdData2_PDI_Cash_Exception_Application[[#This Row],[MARKET No]],'Site Allocation'!$B$2:$C$37,2,FALSE)</f>
        <v>Analyst4</v>
      </c>
      <c r="I2281" s="4">
        <f t="shared" ca="1" si="35"/>
        <v>45203</v>
      </c>
      <c r="J2281" s="42">
        <f ca="1">TODAY()-qry_ProdData2_PDI_Cash_Exception_Application[[#This Row],[INSERT DATE]]</f>
        <v>12.742928240739275</v>
      </c>
      <c r="K22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81">
        <f ca="1">qry_ProdData2_PDI_Cash_Exception_Application[[#This Row],[TODAY]]-qry_ProdData2_PDI_Cash_Exception_Application[[#This Row],[CHANGED ON]]</f>
        <v>7.7429282407392748</v>
      </c>
      <c r="M2281">
        <f ca="1">qry_ProdData2_PDI_Cash_Exception_Application[[#This Row],[TODAY]]-qry_ProdData2_PDI_Cash_Exception_Application[[#This Row],[CHANGED ON]]</f>
        <v>7.7429282407392748</v>
      </c>
      <c r="N2281">
        <f ca="1">qry_ProdData2_PDI_Cash_Exception_Application[[#This Row],[TODAY]]-qry_ProdData2_PDI_Cash_Exception_Application[[#This Row],[CHANGED ON]]</f>
        <v>7.7429282407392748</v>
      </c>
    </row>
    <row r="2282" spans="1:14" x14ac:dyDescent="0.35">
      <c r="A2282">
        <v>1014</v>
      </c>
      <c r="B2282" t="s">
        <v>68</v>
      </c>
      <c r="C2282" s="1">
        <v>45192.257071759261</v>
      </c>
      <c r="D2282" t="str">
        <f ca="1">VLOOKUP(qry_ProdData2_PDI_Cash_Exception_Application[[#This Row],[TYPE]],#REF!,2,FALSE)</f>
        <v>type40</v>
      </c>
      <c r="E2282">
        <v>30</v>
      </c>
      <c r="F2282" t="s">
        <v>51</v>
      </c>
      <c r="G2282" s="1">
        <f>qry_ProdData2_PDI_Cash_Exception_Application[[#This Row],[INSERT DATE]]+5</f>
        <v>45197.257071759261</v>
      </c>
      <c r="H2282" t="str">
        <f>VLOOKUP(qry_ProdData2_PDI_Cash_Exception_Application[[#This Row],[MARKET No]],'Site Allocation'!$B$2:$C$37,2,FALSE)</f>
        <v>Analyst3</v>
      </c>
      <c r="I2282" s="4">
        <f t="shared" ca="1" si="35"/>
        <v>45203</v>
      </c>
      <c r="J2282" s="42">
        <f ca="1">TODAY()-qry_ProdData2_PDI_Cash_Exception_Application[[#This Row],[INSERT DATE]]</f>
        <v>10.742928240739275</v>
      </c>
      <c r="K22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82">
        <f ca="1">qry_ProdData2_PDI_Cash_Exception_Application[[#This Row],[TODAY]]-qry_ProdData2_PDI_Cash_Exception_Application[[#This Row],[CHANGED ON]]</f>
        <v>5.7429282407392748</v>
      </c>
      <c r="M2282">
        <f ca="1">qry_ProdData2_PDI_Cash_Exception_Application[[#This Row],[TODAY]]-qry_ProdData2_PDI_Cash_Exception_Application[[#This Row],[CHANGED ON]]</f>
        <v>5.7429282407392748</v>
      </c>
      <c r="N2282">
        <f ca="1">qry_ProdData2_PDI_Cash_Exception_Application[[#This Row],[TODAY]]-qry_ProdData2_PDI_Cash_Exception_Application[[#This Row],[CHANGED ON]]</f>
        <v>5.7429282407392748</v>
      </c>
    </row>
    <row r="2283" spans="1:14" x14ac:dyDescent="0.35">
      <c r="A2283">
        <v>1017</v>
      </c>
      <c r="B2283" t="s">
        <v>71</v>
      </c>
      <c r="C2283" s="1">
        <v>45187.257071759261</v>
      </c>
      <c r="D2283" t="str">
        <f ca="1">VLOOKUP(qry_ProdData2_PDI_Cash_Exception_Application[[#This Row],[TYPE]],#REF!,2,FALSE)</f>
        <v>type13</v>
      </c>
      <c r="E2283">
        <v>27235.21</v>
      </c>
      <c r="F2283" t="s">
        <v>47</v>
      </c>
      <c r="G2283" s="1">
        <f>qry_ProdData2_PDI_Cash_Exception_Application[[#This Row],[INSERT DATE]]+1</f>
        <v>45188.257071759261</v>
      </c>
      <c r="H2283" t="str">
        <f>VLOOKUP(qry_ProdData2_PDI_Cash_Exception_Application[[#This Row],[MARKET No]],'Site Allocation'!$B$2:$C$37,2,FALSE)</f>
        <v>Analyst3</v>
      </c>
      <c r="I2283" s="4">
        <f t="shared" ca="1" si="35"/>
        <v>45203</v>
      </c>
      <c r="J2283" s="42">
        <f ca="1">TODAY()-qry_ProdData2_PDI_Cash_Exception_Application[[#This Row],[INSERT DATE]]</f>
        <v>15.742928240739275</v>
      </c>
      <c r="K22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83">
        <f ca="1">qry_ProdData2_PDI_Cash_Exception_Application[[#This Row],[TODAY]]-qry_ProdData2_PDI_Cash_Exception_Application[[#This Row],[CHANGED ON]]</f>
        <v>14.742928240739275</v>
      </c>
      <c r="M2283">
        <f ca="1">qry_ProdData2_PDI_Cash_Exception_Application[[#This Row],[TODAY]]-qry_ProdData2_PDI_Cash_Exception_Application[[#This Row],[CHANGED ON]]</f>
        <v>14.742928240739275</v>
      </c>
      <c r="N2283">
        <f ca="1">qry_ProdData2_PDI_Cash_Exception_Application[[#This Row],[TODAY]]-qry_ProdData2_PDI_Cash_Exception_Application[[#This Row],[CHANGED ON]]</f>
        <v>14.742928240739275</v>
      </c>
    </row>
    <row r="2284" spans="1:14" x14ac:dyDescent="0.35">
      <c r="A2284">
        <v>1034</v>
      </c>
      <c r="B2284" t="s">
        <v>88</v>
      </c>
      <c r="C2284" s="1">
        <v>45185.257071759261</v>
      </c>
      <c r="D2284" t="str">
        <f ca="1">VLOOKUP(qry_ProdData2_PDI_Cash_Exception_Application[[#This Row],[TYPE]],#REF!,2,FALSE)</f>
        <v>type26</v>
      </c>
      <c r="E2284">
        <v>109.89</v>
      </c>
      <c r="F2284" t="s">
        <v>49</v>
      </c>
      <c r="G2284" s="1">
        <f>qry_ProdData2_PDI_Cash_Exception_Application[[#This Row],[INSERT DATE]]+1</f>
        <v>45186.257071759261</v>
      </c>
      <c r="H2284" t="str">
        <f>VLOOKUP(qry_ProdData2_PDI_Cash_Exception_Application[[#This Row],[MARKET No]],'Site Allocation'!$B$2:$C$37,2,FALSE)</f>
        <v>Analyst6</v>
      </c>
      <c r="I2284" s="4">
        <f t="shared" ca="1" si="35"/>
        <v>45203</v>
      </c>
      <c r="J2284" s="42">
        <f ca="1">TODAY()-qry_ProdData2_PDI_Cash_Exception_Application[[#This Row],[INSERT DATE]]</f>
        <v>17.742928240739275</v>
      </c>
      <c r="K22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84">
        <f ca="1">qry_ProdData2_PDI_Cash_Exception_Application[[#This Row],[TODAY]]-qry_ProdData2_PDI_Cash_Exception_Application[[#This Row],[CHANGED ON]]</f>
        <v>16.742928240739275</v>
      </c>
      <c r="M2284">
        <f ca="1">qry_ProdData2_PDI_Cash_Exception_Application[[#This Row],[TODAY]]-qry_ProdData2_PDI_Cash_Exception_Application[[#This Row],[CHANGED ON]]</f>
        <v>16.742928240739275</v>
      </c>
      <c r="N2284">
        <f ca="1">qry_ProdData2_PDI_Cash_Exception_Application[[#This Row],[TODAY]]-qry_ProdData2_PDI_Cash_Exception_Application[[#This Row],[CHANGED ON]]</f>
        <v>16.742928240739275</v>
      </c>
    </row>
    <row r="2285" spans="1:14" x14ac:dyDescent="0.35">
      <c r="A2285">
        <v>1015</v>
      </c>
      <c r="B2285" t="s">
        <v>69</v>
      </c>
      <c r="C2285" s="1">
        <v>45197.257071759261</v>
      </c>
      <c r="D2285" t="str">
        <f ca="1">VLOOKUP(qry_ProdData2_PDI_Cash_Exception_Application[[#This Row],[TYPE]],#REF!,2,FALSE)</f>
        <v>type35</v>
      </c>
      <c r="E2285">
        <v>434.38</v>
      </c>
      <c r="F2285" t="s">
        <v>50</v>
      </c>
      <c r="G2285" s="1">
        <f>qry_ProdData2_PDI_Cash_Exception_Application[[#This Row],[INSERT DATE]]+1</f>
        <v>45198.257071759261</v>
      </c>
      <c r="H2285" t="str">
        <f>VLOOKUP(qry_ProdData2_PDI_Cash_Exception_Application[[#This Row],[MARKET No]],'Site Allocation'!$B$2:$C$37,2,FALSE)</f>
        <v>Analyst3</v>
      </c>
      <c r="I2285" s="4">
        <f t="shared" ca="1" si="35"/>
        <v>45203</v>
      </c>
      <c r="J2285" s="42">
        <f ca="1">TODAY()-qry_ProdData2_PDI_Cash_Exception_Application[[#This Row],[INSERT DATE]]</f>
        <v>5.7429282407392748</v>
      </c>
      <c r="K22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285">
        <f ca="1">qry_ProdData2_PDI_Cash_Exception_Application[[#This Row],[TODAY]]-qry_ProdData2_PDI_Cash_Exception_Application[[#This Row],[CHANGED ON]]</f>
        <v>4.7429282407392748</v>
      </c>
      <c r="M2285">
        <f ca="1">qry_ProdData2_PDI_Cash_Exception_Application[[#This Row],[TODAY]]-qry_ProdData2_PDI_Cash_Exception_Application[[#This Row],[CHANGED ON]]</f>
        <v>4.7429282407392748</v>
      </c>
      <c r="N2285">
        <f ca="1">qry_ProdData2_PDI_Cash_Exception_Application[[#This Row],[TODAY]]-qry_ProdData2_PDI_Cash_Exception_Application[[#This Row],[CHANGED ON]]</f>
        <v>4.7429282407392748</v>
      </c>
    </row>
    <row r="2286" spans="1:14" x14ac:dyDescent="0.35">
      <c r="A2286">
        <v>1033</v>
      </c>
      <c r="B2286" t="s">
        <v>87</v>
      </c>
      <c r="C2286" s="1">
        <v>45183.257071759261</v>
      </c>
      <c r="D2286" t="str">
        <f ca="1">VLOOKUP(qry_ProdData2_PDI_Cash_Exception_Application[[#This Row],[TYPE]],#REF!,2,FALSE)</f>
        <v>type13</v>
      </c>
      <c r="E2286">
        <v>17674.13</v>
      </c>
      <c r="F2286" t="s">
        <v>48</v>
      </c>
      <c r="G2286" s="1">
        <f>qry_ProdData2_PDI_Cash_Exception_Application[[#This Row],[INSERT DATE]]+5</f>
        <v>45188.257071759261</v>
      </c>
      <c r="H2286" t="str">
        <f>VLOOKUP(qry_ProdData2_PDI_Cash_Exception_Application[[#This Row],[MARKET No]],'Site Allocation'!$B$2:$C$37,2,FALSE)</f>
        <v>Analyst6</v>
      </c>
      <c r="I2286" s="4">
        <f t="shared" ca="1" si="35"/>
        <v>45203</v>
      </c>
      <c r="J2286" s="42">
        <f ca="1">TODAY()-qry_ProdData2_PDI_Cash_Exception_Application[[#This Row],[INSERT DATE]]</f>
        <v>19.742928240739275</v>
      </c>
      <c r="K22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86">
        <f ca="1">qry_ProdData2_PDI_Cash_Exception_Application[[#This Row],[TODAY]]-qry_ProdData2_PDI_Cash_Exception_Application[[#This Row],[CHANGED ON]]</f>
        <v>14.742928240739275</v>
      </c>
      <c r="M2286">
        <f ca="1">qry_ProdData2_PDI_Cash_Exception_Application[[#This Row],[TODAY]]-qry_ProdData2_PDI_Cash_Exception_Application[[#This Row],[CHANGED ON]]</f>
        <v>14.742928240739275</v>
      </c>
      <c r="N2286">
        <f ca="1">qry_ProdData2_PDI_Cash_Exception_Application[[#This Row],[TODAY]]-qry_ProdData2_PDI_Cash_Exception_Application[[#This Row],[CHANGED ON]]</f>
        <v>14.742928240739275</v>
      </c>
    </row>
    <row r="2287" spans="1:14" x14ac:dyDescent="0.35">
      <c r="A2287">
        <v>1012</v>
      </c>
      <c r="B2287" t="s">
        <v>66</v>
      </c>
      <c r="C2287" s="1">
        <v>45184.257071759261</v>
      </c>
      <c r="D2287" t="str">
        <f ca="1">VLOOKUP(qry_ProdData2_PDI_Cash_Exception_Application[[#This Row],[TYPE]],#REF!,2,FALSE)</f>
        <v>type40</v>
      </c>
      <c r="E2287">
        <v>5326.65</v>
      </c>
      <c r="F2287" t="s">
        <v>47</v>
      </c>
      <c r="G2287" s="1">
        <f>qry_ProdData2_PDI_Cash_Exception_Application[[#This Row],[INSERT DATE]]+1</f>
        <v>45185.257071759261</v>
      </c>
      <c r="H2287" t="str">
        <f>VLOOKUP(qry_ProdData2_PDI_Cash_Exception_Application[[#This Row],[MARKET No]],'Site Allocation'!$B$2:$C$37,2,FALSE)</f>
        <v>Analyst3</v>
      </c>
      <c r="I2287" s="4">
        <f t="shared" ca="1" si="35"/>
        <v>45203</v>
      </c>
      <c r="J2287" s="42">
        <f ca="1">TODAY()-qry_ProdData2_PDI_Cash_Exception_Application[[#This Row],[INSERT DATE]]</f>
        <v>18.742928240739275</v>
      </c>
      <c r="K22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87">
        <f ca="1">qry_ProdData2_PDI_Cash_Exception_Application[[#This Row],[TODAY]]-qry_ProdData2_PDI_Cash_Exception_Application[[#This Row],[CHANGED ON]]</f>
        <v>17.742928240739275</v>
      </c>
      <c r="M2287">
        <f ca="1">qry_ProdData2_PDI_Cash_Exception_Application[[#This Row],[TODAY]]-qry_ProdData2_PDI_Cash_Exception_Application[[#This Row],[CHANGED ON]]</f>
        <v>17.742928240739275</v>
      </c>
      <c r="N2287">
        <f ca="1">qry_ProdData2_PDI_Cash_Exception_Application[[#This Row],[TODAY]]-qry_ProdData2_PDI_Cash_Exception_Application[[#This Row],[CHANGED ON]]</f>
        <v>17.742928240739275</v>
      </c>
    </row>
    <row r="2288" spans="1:14" x14ac:dyDescent="0.35">
      <c r="A2288">
        <v>1012</v>
      </c>
      <c r="B2288" t="s">
        <v>66</v>
      </c>
      <c r="C2288" s="1">
        <v>45187.257071759261</v>
      </c>
      <c r="D2288" t="str">
        <f ca="1">VLOOKUP(qry_ProdData2_PDI_Cash_Exception_Application[[#This Row],[TYPE]],#REF!,2,FALSE)</f>
        <v>type40</v>
      </c>
      <c r="E2288">
        <v>3725.84</v>
      </c>
      <c r="F2288" t="s">
        <v>50</v>
      </c>
      <c r="G2288" s="1">
        <f>qry_ProdData2_PDI_Cash_Exception_Application[[#This Row],[INSERT DATE]]+1</f>
        <v>45188.257071759261</v>
      </c>
      <c r="H2288" t="str">
        <f>VLOOKUP(qry_ProdData2_PDI_Cash_Exception_Application[[#This Row],[MARKET No]],'Site Allocation'!$B$2:$C$37,2,FALSE)</f>
        <v>Analyst3</v>
      </c>
      <c r="I2288" s="4">
        <f t="shared" ca="1" si="35"/>
        <v>45203</v>
      </c>
      <c r="J2288" s="42">
        <f ca="1">TODAY()-qry_ProdData2_PDI_Cash_Exception_Application[[#This Row],[INSERT DATE]]</f>
        <v>15.742928240739275</v>
      </c>
      <c r="K22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88">
        <f ca="1">qry_ProdData2_PDI_Cash_Exception_Application[[#This Row],[TODAY]]-qry_ProdData2_PDI_Cash_Exception_Application[[#This Row],[CHANGED ON]]</f>
        <v>14.742928240739275</v>
      </c>
      <c r="M2288">
        <f ca="1">qry_ProdData2_PDI_Cash_Exception_Application[[#This Row],[TODAY]]-qry_ProdData2_PDI_Cash_Exception_Application[[#This Row],[CHANGED ON]]</f>
        <v>14.742928240739275</v>
      </c>
      <c r="N2288">
        <f ca="1">qry_ProdData2_PDI_Cash_Exception_Application[[#This Row],[TODAY]]-qry_ProdData2_PDI_Cash_Exception_Application[[#This Row],[CHANGED ON]]</f>
        <v>14.742928240739275</v>
      </c>
    </row>
    <row r="2289" spans="1:14" x14ac:dyDescent="0.35">
      <c r="A2289">
        <v>1000</v>
      </c>
      <c r="B2289" t="s">
        <v>54</v>
      </c>
      <c r="C2289" s="1">
        <v>45187.257071759261</v>
      </c>
      <c r="D2289" t="str">
        <f ca="1">VLOOKUP(qry_ProdData2_PDI_Cash_Exception_Application[[#This Row],[TYPE]],#REF!,2,FALSE)</f>
        <v>type40</v>
      </c>
      <c r="E2289">
        <v>-3301.08</v>
      </c>
      <c r="F2289" t="s">
        <v>49</v>
      </c>
      <c r="G2289" s="1">
        <f>qry_ProdData2_PDI_Cash_Exception_Application[[#This Row],[INSERT DATE]]+2</f>
        <v>45189.257071759261</v>
      </c>
      <c r="H2289" t="str">
        <f>VLOOKUP(qry_ProdData2_PDI_Cash_Exception_Application[[#This Row],[MARKET No]],'Site Allocation'!$B$2:$C$37,2,FALSE)</f>
        <v>Analyst1</v>
      </c>
      <c r="I2289" s="4">
        <f t="shared" ca="1" si="35"/>
        <v>45203</v>
      </c>
      <c r="J2289" s="42">
        <f ca="1">TODAY()-qry_ProdData2_PDI_Cash_Exception_Application[[#This Row],[INSERT DATE]]</f>
        <v>15.742928240739275</v>
      </c>
      <c r="K22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89">
        <f ca="1">qry_ProdData2_PDI_Cash_Exception_Application[[#This Row],[TODAY]]-qry_ProdData2_PDI_Cash_Exception_Application[[#This Row],[CHANGED ON]]</f>
        <v>13.742928240739275</v>
      </c>
      <c r="M2289">
        <f ca="1">qry_ProdData2_PDI_Cash_Exception_Application[[#This Row],[TODAY]]-qry_ProdData2_PDI_Cash_Exception_Application[[#This Row],[CHANGED ON]]</f>
        <v>13.742928240739275</v>
      </c>
      <c r="N2289">
        <f ca="1">qry_ProdData2_PDI_Cash_Exception_Application[[#This Row],[TODAY]]-qry_ProdData2_PDI_Cash_Exception_Application[[#This Row],[CHANGED ON]]</f>
        <v>13.742928240739275</v>
      </c>
    </row>
    <row r="2290" spans="1:14" x14ac:dyDescent="0.35">
      <c r="A2290">
        <v>1013</v>
      </c>
      <c r="B2290" t="s">
        <v>67</v>
      </c>
      <c r="C2290" s="1">
        <v>45188.257071759261</v>
      </c>
      <c r="D2290" t="str">
        <f ca="1">VLOOKUP(qry_ProdData2_PDI_Cash_Exception_Application[[#This Row],[TYPE]],#REF!,2,FALSE)</f>
        <v>type40</v>
      </c>
      <c r="E2290">
        <v>30</v>
      </c>
      <c r="F2290" t="s">
        <v>52</v>
      </c>
      <c r="G2290" s="1">
        <f>qry_ProdData2_PDI_Cash_Exception_Application[[#This Row],[INSERT DATE]]+1</f>
        <v>45189.257071759261</v>
      </c>
      <c r="H2290" t="str">
        <f>VLOOKUP(qry_ProdData2_PDI_Cash_Exception_Application[[#This Row],[MARKET No]],'Site Allocation'!$B$2:$C$37,2,FALSE)</f>
        <v>Analyst3</v>
      </c>
      <c r="I2290" s="4">
        <f t="shared" ca="1" si="35"/>
        <v>45203</v>
      </c>
      <c r="J2290" s="42">
        <f ca="1">TODAY()-qry_ProdData2_PDI_Cash_Exception_Application[[#This Row],[INSERT DATE]]</f>
        <v>14.742928240739275</v>
      </c>
      <c r="K22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90">
        <f ca="1">qry_ProdData2_PDI_Cash_Exception_Application[[#This Row],[TODAY]]-qry_ProdData2_PDI_Cash_Exception_Application[[#This Row],[CHANGED ON]]</f>
        <v>13.742928240739275</v>
      </c>
      <c r="M2290">
        <f ca="1">qry_ProdData2_PDI_Cash_Exception_Application[[#This Row],[TODAY]]-qry_ProdData2_PDI_Cash_Exception_Application[[#This Row],[CHANGED ON]]</f>
        <v>13.742928240739275</v>
      </c>
      <c r="N2290">
        <f ca="1">qry_ProdData2_PDI_Cash_Exception_Application[[#This Row],[TODAY]]-qry_ProdData2_PDI_Cash_Exception_Application[[#This Row],[CHANGED ON]]</f>
        <v>13.742928240739275</v>
      </c>
    </row>
    <row r="2291" spans="1:14" x14ac:dyDescent="0.35">
      <c r="A2291">
        <v>1000</v>
      </c>
      <c r="B2291" t="s">
        <v>54</v>
      </c>
      <c r="C2291" s="1">
        <v>45179.257071759261</v>
      </c>
      <c r="D2291" t="str">
        <f ca="1">VLOOKUP(qry_ProdData2_PDI_Cash_Exception_Application[[#This Row],[TYPE]],#REF!,2,FALSE)</f>
        <v>type7</v>
      </c>
      <c r="E2291">
        <v>-1057.8599999999999</v>
      </c>
      <c r="F2291" t="s">
        <v>51</v>
      </c>
      <c r="G2291" s="1">
        <f>qry_ProdData2_PDI_Cash_Exception_Application[[#This Row],[INSERT DATE]]+7</f>
        <v>45186.257071759261</v>
      </c>
      <c r="H2291" t="str">
        <f>VLOOKUP(qry_ProdData2_PDI_Cash_Exception_Application[[#This Row],[MARKET No]],'Site Allocation'!$B$2:$C$37,2,FALSE)</f>
        <v>Analyst1</v>
      </c>
      <c r="I2291" s="4">
        <f t="shared" ca="1" si="35"/>
        <v>45203</v>
      </c>
      <c r="J2291" s="42">
        <f ca="1">TODAY()-qry_ProdData2_PDI_Cash_Exception_Application[[#This Row],[INSERT DATE]]</f>
        <v>23.742928240739275</v>
      </c>
      <c r="K22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91">
        <f ca="1">qry_ProdData2_PDI_Cash_Exception_Application[[#This Row],[TODAY]]-qry_ProdData2_PDI_Cash_Exception_Application[[#This Row],[CHANGED ON]]</f>
        <v>16.742928240739275</v>
      </c>
      <c r="M2291">
        <f ca="1">qry_ProdData2_PDI_Cash_Exception_Application[[#This Row],[TODAY]]-qry_ProdData2_PDI_Cash_Exception_Application[[#This Row],[CHANGED ON]]</f>
        <v>16.742928240739275</v>
      </c>
      <c r="N2291">
        <f ca="1">qry_ProdData2_PDI_Cash_Exception_Application[[#This Row],[TODAY]]-qry_ProdData2_PDI_Cash_Exception_Application[[#This Row],[CHANGED ON]]</f>
        <v>16.742928240739275</v>
      </c>
    </row>
    <row r="2292" spans="1:14" x14ac:dyDescent="0.35">
      <c r="A2292">
        <v>1009</v>
      </c>
      <c r="B2292" t="s">
        <v>63</v>
      </c>
      <c r="C2292" s="1">
        <v>45189.257071759261</v>
      </c>
      <c r="D2292" t="str">
        <f ca="1">VLOOKUP(qry_ProdData2_PDI_Cash_Exception_Application[[#This Row],[TYPE]],#REF!,2,FALSE)</f>
        <v>type40</v>
      </c>
      <c r="E2292">
        <v>1985.08</v>
      </c>
      <c r="F2292" t="s">
        <v>52</v>
      </c>
      <c r="G2292" s="1">
        <f>qry_ProdData2_PDI_Cash_Exception_Application[[#This Row],[INSERT DATE]]+2</f>
        <v>45191.257071759261</v>
      </c>
      <c r="H2292" t="str">
        <f>VLOOKUP(qry_ProdData2_PDI_Cash_Exception_Application[[#This Row],[MARKET No]],'Site Allocation'!$B$2:$C$37,2,FALSE)</f>
        <v>Analyst2</v>
      </c>
      <c r="I2292" s="4">
        <f t="shared" ca="1" si="35"/>
        <v>45203</v>
      </c>
      <c r="J2292" s="42">
        <f ca="1">TODAY()-qry_ProdData2_PDI_Cash_Exception_Application[[#This Row],[INSERT DATE]]</f>
        <v>13.742928240739275</v>
      </c>
      <c r="K22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92">
        <f ca="1">qry_ProdData2_PDI_Cash_Exception_Application[[#This Row],[TODAY]]-qry_ProdData2_PDI_Cash_Exception_Application[[#This Row],[CHANGED ON]]</f>
        <v>11.742928240739275</v>
      </c>
      <c r="M2292">
        <f ca="1">qry_ProdData2_PDI_Cash_Exception_Application[[#This Row],[TODAY]]-qry_ProdData2_PDI_Cash_Exception_Application[[#This Row],[CHANGED ON]]</f>
        <v>11.742928240739275</v>
      </c>
      <c r="N2292">
        <f ca="1">qry_ProdData2_PDI_Cash_Exception_Application[[#This Row],[TODAY]]-qry_ProdData2_PDI_Cash_Exception_Application[[#This Row],[CHANGED ON]]</f>
        <v>11.742928240739275</v>
      </c>
    </row>
    <row r="2293" spans="1:14" x14ac:dyDescent="0.35">
      <c r="A2293">
        <v>1027</v>
      </c>
      <c r="B2293" t="s">
        <v>81</v>
      </c>
      <c r="C2293" s="1">
        <v>45190.257071759261</v>
      </c>
      <c r="D2293" t="str">
        <f ca="1">VLOOKUP(qry_ProdData2_PDI_Cash_Exception_Application[[#This Row],[TYPE]],#REF!,2,FALSE)</f>
        <v>type40</v>
      </c>
      <c r="E2293">
        <v>3210.93</v>
      </c>
      <c r="F2293" t="s">
        <v>52</v>
      </c>
      <c r="G2293" s="1">
        <f>qry_ProdData2_PDI_Cash_Exception_Application[[#This Row],[INSERT DATE]]+2</f>
        <v>45192.257071759261</v>
      </c>
      <c r="H2293" t="str">
        <f>VLOOKUP(qry_ProdData2_PDI_Cash_Exception_Application[[#This Row],[MARKET No]],'Site Allocation'!$B$2:$C$37,2,FALSE)</f>
        <v>Analyst5</v>
      </c>
      <c r="I2293" s="4">
        <f t="shared" ca="1" si="35"/>
        <v>45203</v>
      </c>
      <c r="J2293" s="42">
        <f ca="1">TODAY()-qry_ProdData2_PDI_Cash_Exception_Application[[#This Row],[INSERT DATE]]</f>
        <v>12.742928240739275</v>
      </c>
      <c r="K22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93">
        <f ca="1">qry_ProdData2_PDI_Cash_Exception_Application[[#This Row],[TODAY]]-qry_ProdData2_PDI_Cash_Exception_Application[[#This Row],[CHANGED ON]]</f>
        <v>10.742928240739275</v>
      </c>
      <c r="M2293">
        <f ca="1">qry_ProdData2_PDI_Cash_Exception_Application[[#This Row],[TODAY]]-qry_ProdData2_PDI_Cash_Exception_Application[[#This Row],[CHANGED ON]]</f>
        <v>10.742928240739275</v>
      </c>
      <c r="N2293">
        <f ca="1">qry_ProdData2_PDI_Cash_Exception_Application[[#This Row],[TODAY]]-qry_ProdData2_PDI_Cash_Exception_Application[[#This Row],[CHANGED ON]]</f>
        <v>10.742928240739275</v>
      </c>
    </row>
    <row r="2294" spans="1:14" x14ac:dyDescent="0.35">
      <c r="A2294">
        <v>1009</v>
      </c>
      <c r="B2294" t="s">
        <v>63</v>
      </c>
      <c r="C2294" s="1">
        <v>45190.257071759261</v>
      </c>
      <c r="D2294" t="str">
        <f ca="1">VLOOKUP(qry_ProdData2_PDI_Cash_Exception_Application[[#This Row],[TYPE]],#REF!,2,FALSE)</f>
        <v>type7</v>
      </c>
      <c r="E2294">
        <v>-1286.8800000000001</v>
      </c>
      <c r="F2294" t="s">
        <v>52</v>
      </c>
      <c r="G2294" s="1">
        <f>qry_ProdData2_PDI_Cash_Exception_Application[[#This Row],[INSERT DATE]]+2</f>
        <v>45192.257071759261</v>
      </c>
      <c r="H2294" t="str">
        <f>VLOOKUP(qry_ProdData2_PDI_Cash_Exception_Application[[#This Row],[MARKET No]],'Site Allocation'!$B$2:$C$37,2,FALSE)</f>
        <v>Analyst2</v>
      </c>
      <c r="I2294" s="4">
        <f t="shared" ca="1" si="35"/>
        <v>45203</v>
      </c>
      <c r="J2294" s="42">
        <f ca="1">TODAY()-qry_ProdData2_PDI_Cash_Exception_Application[[#This Row],[INSERT DATE]]</f>
        <v>12.742928240739275</v>
      </c>
      <c r="K22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94">
        <f ca="1">qry_ProdData2_PDI_Cash_Exception_Application[[#This Row],[TODAY]]-qry_ProdData2_PDI_Cash_Exception_Application[[#This Row],[CHANGED ON]]</f>
        <v>10.742928240739275</v>
      </c>
      <c r="M2294">
        <f ca="1">qry_ProdData2_PDI_Cash_Exception_Application[[#This Row],[TODAY]]-qry_ProdData2_PDI_Cash_Exception_Application[[#This Row],[CHANGED ON]]</f>
        <v>10.742928240739275</v>
      </c>
      <c r="N2294">
        <f ca="1">qry_ProdData2_PDI_Cash_Exception_Application[[#This Row],[TODAY]]-qry_ProdData2_PDI_Cash_Exception_Application[[#This Row],[CHANGED ON]]</f>
        <v>10.742928240739275</v>
      </c>
    </row>
    <row r="2295" spans="1:14" x14ac:dyDescent="0.35">
      <c r="A2295">
        <v>1012</v>
      </c>
      <c r="B2295" t="s">
        <v>66</v>
      </c>
      <c r="C2295" s="1">
        <v>45191.257071759261</v>
      </c>
      <c r="D2295" t="str">
        <f ca="1">VLOOKUP(qry_ProdData2_PDI_Cash_Exception_Application[[#This Row],[TYPE]],#REF!,2,FALSE)</f>
        <v>type40</v>
      </c>
      <c r="E2295">
        <v>6701.28</v>
      </c>
      <c r="F2295" t="s">
        <v>52</v>
      </c>
      <c r="G2295" s="1">
        <f>qry_ProdData2_PDI_Cash_Exception_Application[[#This Row],[INSERT DATE]]+2</f>
        <v>45193.257071759261</v>
      </c>
      <c r="H2295" t="str">
        <f>VLOOKUP(qry_ProdData2_PDI_Cash_Exception_Application[[#This Row],[MARKET No]],'Site Allocation'!$B$2:$C$37,2,FALSE)</f>
        <v>Analyst3</v>
      </c>
      <c r="I2295" s="4">
        <f t="shared" ca="1" si="35"/>
        <v>45203</v>
      </c>
      <c r="J2295" s="42">
        <f ca="1">TODAY()-qry_ProdData2_PDI_Cash_Exception_Application[[#This Row],[INSERT DATE]]</f>
        <v>11.742928240739275</v>
      </c>
      <c r="K22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95">
        <f ca="1">qry_ProdData2_PDI_Cash_Exception_Application[[#This Row],[TODAY]]-qry_ProdData2_PDI_Cash_Exception_Application[[#This Row],[CHANGED ON]]</f>
        <v>9.7429282407392748</v>
      </c>
      <c r="M2295">
        <f ca="1">qry_ProdData2_PDI_Cash_Exception_Application[[#This Row],[TODAY]]-qry_ProdData2_PDI_Cash_Exception_Application[[#This Row],[CHANGED ON]]</f>
        <v>9.7429282407392748</v>
      </c>
      <c r="N2295">
        <f ca="1">qry_ProdData2_PDI_Cash_Exception_Application[[#This Row],[TODAY]]-qry_ProdData2_PDI_Cash_Exception_Application[[#This Row],[CHANGED ON]]</f>
        <v>9.7429282407392748</v>
      </c>
    </row>
    <row r="2296" spans="1:14" x14ac:dyDescent="0.35">
      <c r="A2296">
        <v>1020</v>
      </c>
      <c r="B2296" t="s">
        <v>74</v>
      </c>
      <c r="C2296" s="1">
        <v>45192.257071759261</v>
      </c>
      <c r="D2296" t="str">
        <f ca="1">VLOOKUP(qry_ProdData2_PDI_Cash_Exception_Application[[#This Row],[TYPE]],#REF!,2,FALSE)</f>
        <v>type40</v>
      </c>
      <c r="E2296">
        <v>1078.49</v>
      </c>
      <c r="F2296" t="s">
        <v>50</v>
      </c>
      <c r="G2296" s="1">
        <f>qry_ProdData2_PDI_Cash_Exception_Application[[#This Row],[INSERT DATE]]+2</f>
        <v>45194.257071759261</v>
      </c>
      <c r="H2296" t="str">
        <f>VLOOKUP(qry_ProdData2_PDI_Cash_Exception_Application[[#This Row],[MARKET No]],'Site Allocation'!$B$2:$C$37,2,FALSE)</f>
        <v>Analyst4</v>
      </c>
      <c r="I2296" s="4">
        <f t="shared" ca="1" si="35"/>
        <v>45203</v>
      </c>
      <c r="J2296" s="42">
        <f ca="1">TODAY()-qry_ProdData2_PDI_Cash_Exception_Application[[#This Row],[INSERT DATE]]</f>
        <v>10.742928240739275</v>
      </c>
      <c r="K22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96">
        <f ca="1">qry_ProdData2_PDI_Cash_Exception_Application[[#This Row],[TODAY]]-qry_ProdData2_PDI_Cash_Exception_Application[[#This Row],[CHANGED ON]]</f>
        <v>8.7429282407392748</v>
      </c>
      <c r="M2296">
        <f ca="1">qry_ProdData2_PDI_Cash_Exception_Application[[#This Row],[TODAY]]-qry_ProdData2_PDI_Cash_Exception_Application[[#This Row],[CHANGED ON]]</f>
        <v>8.7429282407392748</v>
      </c>
      <c r="N2296">
        <f ca="1">qry_ProdData2_PDI_Cash_Exception_Application[[#This Row],[TODAY]]-qry_ProdData2_PDI_Cash_Exception_Application[[#This Row],[CHANGED ON]]</f>
        <v>8.7429282407392748</v>
      </c>
    </row>
    <row r="2297" spans="1:14" x14ac:dyDescent="0.35">
      <c r="A2297">
        <v>1023</v>
      </c>
      <c r="B2297" t="s">
        <v>77</v>
      </c>
      <c r="C2297" s="1">
        <v>45190.257071759261</v>
      </c>
      <c r="D2297" t="str">
        <f ca="1">VLOOKUP(qry_ProdData2_PDI_Cash_Exception_Application[[#This Row],[TYPE]],#REF!,2,FALSE)</f>
        <v>type40</v>
      </c>
      <c r="E2297">
        <v>378.13</v>
      </c>
      <c r="F2297" t="s">
        <v>49</v>
      </c>
      <c r="G2297" s="1">
        <f>qry_ProdData2_PDI_Cash_Exception_Application[[#This Row],[INSERT DATE]]+2</f>
        <v>45192.257071759261</v>
      </c>
      <c r="H2297" t="str">
        <f>VLOOKUP(qry_ProdData2_PDI_Cash_Exception_Application[[#This Row],[MARKET No]],'Site Allocation'!$B$2:$C$37,2,FALSE)</f>
        <v>Analyst4</v>
      </c>
      <c r="I2297" s="4">
        <f t="shared" ca="1" si="35"/>
        <v>45203</v>
      </c>
      <c r="J2297" s="42">
        <f ca="1">TODAY()-qry_ProdData2_PDI_Cash_Exception_Application[[#This Row],[INSERT DATE]]</f>
        <v>12.742928240739275</v>
      </c>
      <c r="K22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97">
        <f ca="1">qry_ProdData2_PDI_Cash_Exception_Application[[#This Row],[TODAY]]-qry_ProdData2_PDI_Cash_Exception_Application[[#This Row],[CHANGED ON]]</f>
        <v>10.742928240739275</v>
      </c>
      <c r="M2297">
        <f ca="1">qry_ProdData2_PDI_Cash_Exception_Application[[#This Row],[TODAY]]-qry_ProdData2_PDI_Cash_Exception_Application[[#This Row],[CHANGED ON]]</f>
        <v>10.742928240739275</v>
      </c>
      <c r="N2297">
        <f ca="1">qry_ProdData2_PDI_Cash_Exception_Application[[#This Row],[TODAY]]-qry_ProdData2_PDI_Cash_Exception_Application[[#This Row],[CHANGED ON]]</f>
        <v>10.742928240739275</v>
      </c>
    </row>
    <row r="2298" spans="1:14" x14ac:dyDescent="0.35">
      <c r="A2298">
        <v>1004</v>
      </c>
      <c r="B2298" t="s">
        <v>58</v>
      </c>
      <c r="C2298" s="1">
        <v>45190.257071759261</v>
      </c>
      <c r="D2298" t="str">
        <f ca="1">VLOOKUP(qry_ProdData2_PDI_Cash_Exception_Application[[#This Row],[TYPE]],#REF!,2,FALSE)</f>
        <v>type40</v>
      </c>
      <c r="E2298">
        <v>350.88</v>
      </c>
      <c r="F2298" t="s">
        <v>51</v>
      </c>
      <c r="G2298" s="1">
        <f>qry_ProdData2_PDI_Cash_Exception_Application[[#This Row],[INSERT DATE]]+1</f>
        <v>45191.257071759261</v>
      </c>
      <c r="H2298" t="str">
        <f>VLOOKUP(qry_ProdData2_PDI_Cash_Exception_Application[[#This Row],[MARKET No]],'Site Allocation'!$B$2:$C$37,2,FALSE)</f>
        <v>Analyst1</v>
      </c>
      <c r="I2298" s="4">
        <f t="shared" ca="1" si="35"/>
        <v>45203</v>
      </c>
      <c r="J2298" s="42">
        <f ca="1">TODAY()-qry_ProdData2_PDI_Cash_Exception_Application[[#This Row],[INSERT DATE]]</f>
        <v>12.742928240739275</v>
      </c>
      <c r="K22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98">
        <f ca="1">qry_ProdData2_PDI_Cash_Exception_Application[[#This Row],[TODAY]]-qry_ProdData2_PDI_Cash_Exception_Application[[#This Row],[CHANGED ON]]</f>
        <v>11.742928240739275</v>
      </c>
      <c r="M2298">
        <f ca="1">qry_ProdData2_PDI_Cash_Exception_Application[[#This Row],[TODAY]]-qry_ProdData2_PDI_Cash_Exception_Application[[#This Row],[CHANGED ON]]</f>
        <v>11.742928240739275</v>
      </c>
      <c r="N2298">
        <f ca="1">qry_ProdData2_PDI_Cash_Exception_Application[[#This Row],[TODAY]]-qry_ProdData2_PDI_Cash_Exception_Application[[#This Row],[CHANGED ON]]</f>
        <v>11.742928240739275</v>
      </c>
    </row>
    <row r="2299" spans="1:14" x14ac:dyDescent="0.35">
      <c r="A2299">
        <v>1018</v>
      </c>
      <c r="B2299" t="s">
        <v>72</v>
      </c>
      <c r="C2299" s="1">
        <v>45184.257071759261</v>
      </c>
      <c r="D2299" t="str">
        <f ca="1">VLOOKUP(qry_ProdData2_PDI_Cash_Exception_Application[[#This Row],[TYPE]],#REF!,2,FALSE)</f>
        <v>type40</v>
      </c>
      <c r="E2299">
        <v>-1717.91</v>
      </c>
      <c r="F2299" t="s">
        <v>48</v>
      </c>
      <c r="G2299" s="1">
        <f>qry_ProdData2_PDI_Cash_Exception_Application[[#This Row],[INSERT DATE]]+7</f>
        <v>45191.257071759261</v>
      </c>
      <c r="H2299" t="str">
        <f>VLOOKUP(qry_ProdData2_PDI_Cash_Exception_Application[[#This Row],[MARKET No]],'Site Allocation'!$B$2:$C$37,2,FALSE)</f>
        <v>Analyst4</v>
      </c>
      <c r="I2299" s="4">
        <f t="shared" ca="1" si="35"/>
        <v>45203</v>
      </c>
      <c r="J2299" s="42">
        <f ca="1">TODAY()-qry_ProdData2_PDI_Cash_Exception_Application[[#This Row],[INSERT DATE]]</f>
        <v>18.742928240739275</v>
      </c>
      <c r="K22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299">
        <f ca="1">qry_ProdData2_PDI_Cash_Exception_Application[[#This Row],[TODAY]]-qry_ProdData2_PDI_Cash_Exception_Application[[#This Row],[CHANGED ON]]</f>
        <v>11.742928240739275</v>
      </c>
      <c r="M2299">
        <f ca="1">qry_ProdData2_PDI_Cash_Exception_Application[[#This Row],[TODAY]]-qry_ProdData2_PDI_Cash_Exception_Application[[#This Row],[CHANGED ON]]</f>
        <v>11.742928240739275</v>
      </c>
      <c r="N2299">
        <f ca="1">qry_ProdData2_PDI_Cash_Exception_Application[[#This Row],[TODAY]]-qry_ProdData2_PDI_Cash_Exception_Application[[#This Row],[CHANGED ON]]</f>
        <v>11.742928240739275</v>
      </c>
    </row>
    <row r="2300" spans="1:14" x14ac:dyDescent="0.35">
      <c r="A2300">
        <v>1023</v>
      </c>
      <c r="B2300" t="s">
        <v>77</v>
      </c>
      <c r="C2300" s="1">
        <v>45185.257071759261</v>
      </c>
      <c r="D2300" t="str">
        <f ca="1">VLOOKUP(qry_ProdData2_PDI_Cash_Exception_Application[[#This Row],[TYPE]],#REF!,2,FALSE)</f>
        <v>type13</v>
      </c>
      <c r="E2300">
        <v>30144.38</v>
      </c>
      <c r="F2300" t="s">
        <v>49</v>
      </c>
      <c r="G2300" s="1">
        <f>qry_ProdData2_PDI_Cash_Exception_Application[[#This Row],[INSERT DATE]]+2</f>
        <v>45187.257071759261</v>
      </c>
      <c r="H2300" t="str">
        <f>VLOOKUP(qry_ProdData2_PDI_Cash_Exception_Application[[#This Row],[MARKET No]],'Site Allocation'!$B$2:$C$37,2,FALSE)</f>
        <v>Analyst4</v>
      </c>
      <c r="I2300" s="4">
        <f t="shared" ca="1" si="35"/>
        <v>45203</v>
      </c>
      <c r="J2300" s="42">
        <f ca="1">TODAY()-qry_ProdData2_PDI_Cash_Exception_Application[[#This Row],[INSERT DATE]]</f>
        <v>17.742928240739275</v>
      </c>
      <c r="K23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00">
        <f ca="1">qry_ProdData2_PDI_Cash_Exception_Application[[#This Row],[TODAY]]-qry_ProdData2_PDI_Cash_Exception_Application[[#This Row],[CHANGED ON]]</f>
        <v>15.742928240739275</v>
      </c>
      <c r="M2300">
        <f ca="1">qry_ProdData2_PDI_Cash_Exception_Application[[#This Row],[TODAY]]-qry_ProdData2_PDI_Cash_Exception_Application[[#This Row],[CHANGED ON]]</f>
        <v>15.742928240739275</v>
      </c>
      <c r="N2300">
        <f ca="1">qry_ProdData2_PDI_Cash_Exception_Application[[#This Row],[TODAY]]-qry_ProdData2_PDI_Cash_Exception_Application[[#This Row],[CHANGED ON]]</f>
        <v>15.742928240739275</v>
      </c>
    </row>
    <row r="2301" spans="1:14" x14ac:dyDescent="0.35">
      <c r="A2301">
        <v>1006</v>
      </c>
      <c r="B2301" t="s">
        <v>60</v>
      </c>
      <c r="C2301" s="1">
        <v>45185.257071759261</v>
      </c>
      <c r="D2301" t="str">
        <f ca="1">VLOOKUP(qry_ProdData2_PDI_Cash_Exception_Application[[#This Row],[TYPE]],#REF!,2,FALSE)</f>
        <v>type40</v>
      </c>
      <c r="E2301">
        <v>5930.14</v>
      </c>
      <c r="F2301" t="s">
        <v>48</v>
      </c>
      <c r="G2301" s="1">
        <f>qry_ProdData2_PDI_Cash_Exception_Application[[#This Row],[INSERT DATE]]+7</f>
        <v>45192.257071759261</v>
      </c>
      <c r="H2301" t="str">
        <f>VLOOKUP(qry_ProdData2_PDI_Cash_Exception_Application[[#This Row],[MARKET No]],'Site Allocation'!$B$2:$C$37,2,FALSE)</f>
        <v>Analyst2</v>
      </c>
      <c r="I2301" s="4">
        <f t="shared" ca="1" si="35"/>
        <v>45203</v>
      </c>
      <c r="J2301" s="42">
        <f ca="1">TODAY()-qry_ProdData2_PDI_Cash_Exception_Application[[#This Row],[INSERT DATE]]</f>
        <v>17.742928240739275</v>
      </c>
      <c r="K23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01">
        <f ca="1">qry_ProdData2_PDI_Cash_Exception_Application[[#This Row],[TODAY]]-qry_ProdData2_PDI_Cash_Exception_Application[[#This Row],[CHANGED ON]]</f>
        <v>10.742928240739275</v>
      </c>
      <c r="M2301">
        <f ca="1">qry_ProdData2_PDI_Cash_Exception_Application[[#This Row],[TODAY]]-qry_ProdData2_PDI_Cash_Exception_Application[[#This Row],[CHANGED ON]]</f>
        <v>10.742928240739275</v>
      </c>
      <c r="N2301">
        <f ca="1">qry_ProdData2_PDI_Cash_Exception_Application[[#This Row],[TODAY]]-qry_ProdData2_PDI_Cash_Exception_Application[[#This Row],[CHANGED ON]]</f>
        <v>10.742928240739275</v>
      </c>
    </row>
    <row r="2302" spans="1:14" x14ac:dyDescent="0.35">
      <c r="A2302">
        <v>1013</v>
      </c>
      <c r="B2302" t="s">
        <v>67</v>
      </c>
      <c r="C2302" s="1">
        <v>45185.257071759261</v>
      </c>
      <c r="D2302" t="str">
        <f ca="1">VLOOKUP(qry_ProdData2_PDI_Cash_Exception_Application[[#This Row],[TYPE]],#REF!,2,FALSE)</f>
        <v>type40</v>
      </c>
      <c r="E2302">
        <v>-405.2</v>
      </c>
      <c r="F2302" t="s">
        <v>51</v>
      </c>
      <c r="G2302" s="1">
        <f>qry_ProdData2_PDI_Cash_Exception_Application[[#This Row],[INSERT DATE]]+1</f>
        <v>45186.257071759261</v>
      </c>
      <c r="H2302" t="str">
        <f>VLOOKUP(qry_ProdData2_PDI_Cash_Exception_Application[[#This Row],[MARKET No]],'Site Allocation'!$B$2:$C$37,2,FALSE)</f>
        <v>Analyst3</v>
      </c>
      <c r="I2302" s="4">
        <f t="shared" ca="1" si="35"/>
        <v>45203</v>
      </c>
      <c r="J2302" s="42">
        <f ca="1">TODAY()-qry_ProdData2_PDI_Cash_Exception_Application[[#This Row],[INSERT DATE]]</f>
        <v>17.742928240739275</v>
      </c>
      <c r="K23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02">
        <f ca="1">qry_ProdData2_PDI_Cash_Exception_Application[[#This Row],[TODAY]]-qry_ProdData2_PDI_Cash_Exception_Application[[#This Row],[CHANGED ON]]</f>
        <v>16.742928240739275</v>
      </c>
      <c r="M2302">
        <f ca="1">qry_ProdData2_PDI_Cash_Exception_Application[[#This Row],[TODAY]]-qry_ProdData2_PDI_Cash_Exception_Application[[#This Row],[CHANGED ON]]</f>
        <v>16.742928240739275</v>
      </c>
      <c r="N2302">
        <f ca="1">qry_ProdData2_PDI_Cash_Exception_Application[[#This Row],[TODAY]]-qry_ProdData2_PDI_Cash_Exception_Application[[#This Row],[CHANGED ON]]</f>
        <v>16.742928240739275</v>
      </c>
    </row>
    <row r="2303" spans="1:14" x14ac:dyDescent="0.35">
      <c r="A2303">
        <v>1012</v>
      </c>
      <c r="B2303" t="s">
        <v>66</v>
      </c>
      <c r="C2303" s="1">
        <v>45180.257071759261</v>
      </c>
      <c r="D2303" t="str">
        <f ca="1">VLOOKUP(qry_ProdData2_PDI_Cash_Exception_Application[[#This Row],[TYPE]],#REF!,2,FALSE)</f>
        <v>type26</v>
      </c>
      <c r="E2303">
        <v>270.81</v>
      </c>
      <c r="F2303" t="s">
        <v>52</v>
      </c>
      <c r="G2303" s="1">
        <f>qry_ProdData2_PDI_Cash_Exception_Application[[#This Row],[INSERT DATE]]+2</f>
        <v>45182.257071759261</v>
      </c>
      <c r="H2303" t="str">
        <f>VLOOKUP(qry_ProdData2_PDI_Cash_Exception_Application[[#This Row],[MARKET No]],'Site Allocation'!$B$2:$C$37,2,FALSE)</f>
        <v>Analyst3</v>
      </c>
      <c r="I2303" s="4">
        <f t="shared" ca="1" si="35"/>
        <v>45203</v>
      </c>
      <c r="J2303" s="42">
        <f ca="1">TODAY()-qry_ProdData2_PDI_Cash_Exception_Application[[#This Row],[INSERT DATE]]</f>
        <v>22.742928240739275</v>
      </c>
      <c r="K23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03">
        <f ca="1">qry_ProdData2_PDI_Cash_Exception_Application[[#This Row],[TODAY]]-qry_ProdData2_PDI_Cash_Exception_Application[[#This Row],[CHANGED ON]]</f>
        <v>20.742928240739275</v>
      </c>
      <c r="M2303">
        <f ca="1">qry_ProdData2_PDI_Cash_Exception_Application[[#This Row],[TODAY]]-qry_ProdData2_PDI_Cash_Exception_Application[[#This Row],[CHANGED ON]]</f>
        <v>20.742928240739275</v>
      </c>
      <c r="N2303">
        <f ca="1">qry_ProdData2_PDI_Cash_Exception_Application[[#This Row],[TODAY]]-qry_ProdData2_PDI_Cash_Exception_Application[[#This Row],[CHANGED ON]]</f>
        <v>20.742928240739275</v>
      </c>
    </row>
    <row r="2304" spans="1:14" x14ac:dyDescent="0.35">
      <c r="A2304">
        <v>1018</v>
      </c>
      <c r="B2304" t="s">
        <v>72</v>
      </c>
      <c r="C2304" s="1">
        <v>45190.257071759261</v>
      </c>
      <c r="D2304" t="str">
        <f ca="1">VLOOKUP(qry_ProdData2_PDI_Cash_Exception_Application[[#This Row],[TYPE]],#REF!,2,FALSE)</f>
        <v>type40</v>
      </c>
      <c r="E2304">
        <v>2243.0300000000002</v>
      </c>
      <c r="F2304" t="s">
        <v>51</v>
      </c>
      <c r="G2304" s="1">
        <f>qry_ProdData2_PDI_Cash_Exception_Application[[#This Row],[INSERT DATE]]+2</f>
        <v>45192.257071759261</v>
      </c>
      <c r="H2304" t="str">
        <f>VLOOKUP(qry_ProdData2_PDI_Cash_Exception_Application[[#This Row],[MARKET No]],'Site Allocation'!$B$2:$C$37,2,FALSE)</f>
        <v>Analyst4</v>
      </c>
      <c r="I2304" s="4">
        <f t="shared" ca="1" si="35"/>
        <v>45203</v>
      </c>
      <c r="J2304" s="42">
        <f ca="1">TODAY()-qry_ProdData2_PDI_Cash_Exception_Application[[#This Row],[INSERT DATE]]</f>
        <v>12.742928240739275</v>
      </c>
      <c r="K23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04">
        <f ca="1">qry_ProdData2_PDI_Cash_Exception_Application[[#This Row],[TODAY]]-qry_ProdData2_PDI_Cash_Exception_Application[[#This Row],[CHANGED ON]]</f>
        <v>10.742928240739275</v>
      </c>
      <c r="M2304">
        <f ca="1">qry_ProdData2_PDI_Cash_Exception_Application[[#This Row],[TODAY]]-qry_ProdData2_PDI_Cash_Exception_Application[[#This Row],[CHANGED ON]]</f>
        <v>10.742928240739275</v>
      </c>
      <c r="N2304">
        <f ca="1">qry_ProdData2_PDI_Cash_Exception_Application[[#This Row],[TODAY]]-qry_ProdData2_PDI_Cash_Exception_Application[[#This Row],[CHANGED ON]]</f>
        <v>10.742928240739275</v>
      </c>
    </row>
    <row r="2305" spans="1:14" x14ac:dyDescent="0.35">
      <c r="A2305">
        <v>1010</v>
      </c>
      <c r="B2305" t="s">
        <v>64</v>
      </c>
      <c r="C2305" s="1">
        <v>45182.257071759261</v>
      </c>
      <c r="D2305" t="str">
        <f ca="1">VLOOKUP(qry_ProdData2_PDI_Cash_Exception_Application[[#This Row],[TYPE]],#REF!,2,FALSE)</f>
        <v>type10</v>
      </c>
      <c r="E2305">
        <v>30</v>
      </c>
      <c r="F2305" t="s">
        <v>52</v>
      </c>
      <c r="G2305" s="1">
        <f>qry_ProdData2_PDI_Cash_Exception_Application[[#This Row],[INSERT DATE]]+2</f>
        <v>45184.257071759261</v>
      </c>
      <c r="H2305" t="str">
        <f>VLOOKUP(qry_ProdData2_PDI_Cash_Exception_Application[[#This Row],[MARKET No]],'Site Allocation'!$B$2:$C$37,2,FALSE)</f>
        <v>Analyst2</v>
      </c>
      <c r="I2305" s="4">
        <f t="shared" ca="1" si="35"/>
        <v>45203</v>
      </c>
      <c r="J2305" s="42">
        <f ca="1">TODAY()-qry_ProdData2_PDI_Cash_Exception_Application[[#This Row],[INSERT DATE]]</f>
        <v>20.742928240739275</v>
      </c>
      <c r="K23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05">
        <f ca="1">qry_ProdData2_PDI_Cash_Exception_Application[[#This Row],[TODAY]]-qry_ProdData2_PDI_Cash_Exception_Application[[#This Row],[CHANGED ON]]</f>
        <v>18.742928240739275</v>
      </c>
      <c r="M2305">
        <f ca="1">qry_ProdData2_PDI_Cash_Exception_Application[[#This Row],[TODAY]]-qry_ProdData2_PDI_Cash_Exception_Application[[#This Row],[CHANGED ON]]</f>
        <v>18.742928240739275</v>
      </c>
      <c r="N2305">
        <f ca="1">qry_ProdData2_PDI_Cash_Exception_Application[[#This Row],[TODAY]]-qry_ProdData2_PDI_Cash_Exception_Application[[#This Row],[CHANGED ON]]</f>
        <v>18.742928240739275</v>
      </c>
    </row>
    <row r="2306" spans="1:14" x14ac:dyDescent="0.35">
      <c r="A2306">
        <v>1028</v>
      </c>
      <c r="B2306" t="s">
        <v>82</v>
      </c>
      <c r="C2306" s="1">
        <v>45187.257071759261</v>
      </c>
      <c r="D2306" t="str">
        <f ca="1">VLOOKUP(qry_ProdData2_PDI_Cash_Exception_Application[[#This Row],[TYPE]],#REF!,2,FALSE)</f>
        <v>type13</v>
      </c>
      <c r="E2306">
        <v>33335.279999999999</v>
      </c>
      <c r="F2306" t="s">
        <v>49</v>
      </c>
      <c r="G2306" s="1">
        <f>qry_ProdData2_PDI_Cash_Exception_Application[[#This Row],[INSERT DATE]]+2</f>
        <v>45189.257071759261</v>
      </c>
      <c r="H2306" t="str">
        <f>VLOOKUP(qry_ProdData2_PDI_Cash_Exception_Application[[#This Row],[MARKET No]],'Site Allocation'!$B$2:$C$37,2,FALSE)</f>
        <v>Analyst5</v>
      </c>
      <c r="I2306" s="4">
        <f t="shared" ref="I2306:I2369" ca="1" si="36">TODAY()</f>
        <v>45203</v>
      </c>
      <c r="J2306" s="42">
        <f ca="1">TODAY()-qry_ProdData2_PDI_Cash_Exception_Application[[#This Row],[INSERT DATE]]</f>
        <v>15.742928240739275</v>
      </c>
      <c r="K23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06">
        <f ca="1">qry_ProdData2_PDI_Cash_Exception_Application[[#This Row],[TODAY]]-qry_ProdData2_PDI_Cash_Exception_Application[[#This Row],[CHANGED ON]]</f>
        <v>13.742928240739275</v>
      </c>
      <c r="M2306">
        <f ca="1">qry_ProdData2_PDI_Cash_Exception_Application[[#This Row],[TODAY]]-qry_ProdData2_PDI_Cash_Exception_Application[[#This Row],[CHANGED ON]]</f>
        <v>13.742928240739275</v>
      </c>
      <c r="N2306">
        <f ca="1">qry_ProdData2_PDI_Cash_Exception_Application[[#This Row],[TODAY]]-qry_ProdData2_PDI_Cash_Exception_Application[[#This Row],[CHANGED ON]]</f>
        <v>13.742928240739275</v>
      </c>
    </row>
    <row r="2307" spans="1:14" x14ac:dyDescent="0.35">
      <c r="A2307">
        <v>1031</v>
      </c>
      <c r="B2307" t="s">
        <v>85</v>
      </c>
      <c r="C2307" s="1">
        <v>45183.257071759261</v>
      </c>
      <c r="D2307" t="str">
        <f ca="1">VLOOKUP(qry_ProdData2_PDI_Cash_Exception_Application[[#This Row],[TYPE]],#REF!,2,FALSE)</f>
        <v>type40</v>
      </c>
      <c r="E2307">
        <v>43.99</v>
      </c>
      <c r="F2307" t="s">
        <v>50</v>
      </c>
      <c r="G2307" s="1">
        <f>qry_ProdData2_PDI_Cash_Exception_Application[[#This Row],[INSERT DATE]]+2</f>
        <v>45185.257071759261</v>
      </c>
      <c r="H2307" t="str">
        <f>VLOOKUP(qry_ProdData2_PDI_Cash_Exception_Application[[#This Row],[MARKET No]],'Site Allocation'!$B$2:$C$37,2,FALSE)</f>
        <v>Analyst6</v>
      </c>
      <c r="I2307" s="4">
        <f t="shared" ca="1" si="36"/>
        <v>45203</v>
      </c>
      <c r="J2307" s="42">
        <f ca="1">TODAY()-qry_ProdData2_PDI_Cash_Exception_Application[[#This Row],[INSERT DATE]]</f>
        <v>19.742928240739275</v>
      </c>
      <c r="K23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07">
        <f ca="1">qry_ProdData2_PDI_Cash_Exception_Application[[#This Row],[TODAY]]-qry_ProdData2_PDI_Cash_Exception_Application[[#This Row],[CHANGED ON]]</f>
        <v>17.742928240739275</v>
      </c>
      <c r="M2307">
        <f ca="1">qry_ProdData2_PDI_Cash_Exception_Application[[#This Row],[TODAY]]-qry_ProdData2_PDI_Cash_Exception_Application[[#This Row],[CHANGED ON]]</f>
        <v>17.742928240739275</v>
      </c>
      <c r="N2307">
        <f ca="1">qry_ProdData2_PDI_Cash_Exception_Application[[#This Row],[TODAY]]-qry_ProdData2_PDI_Cash_Exception_Application[[#This Row],[CHANGED ON]]</f>
        <v>17.742928240739275</v>
      </c>
    </row>
    <row r="2308" spans="1:14" x14ac:dyDescent="0.35">
      <c r="A2308">
        <v>1027</v>
      </c>
      <c r="B2308" t="s">
        <v>81</v>
      </c>
      <c r="C2308" s="1">
        <v>45183.257071759261</v>
      </c>
      <c r="D2308" t="str">
        <f ca="1">VLOOKUP(qry_ProdData2_PDI_Cash_Exception_Application[[#This Row],[TYPE]],#REF!,2,FALSE)</f>
        <v>type40</v>
      </c>
      <c r="E2308">
        <v>-456.84</v>
      </c>
      <c r="F2308" t="s">
        <v>50</v>
      </c>
      <c r="G2308" s="1">
        <f>qry_ProdData2_PDI_Cash_Exception_Application[[#This Row],[INSERT DATE]]+2</f>
        <v>45185.257071759261</v>
      </c>
      <c r="H2308" t="str">
        <f>VLOOKUP(qry_ProdData2_PDI_Cash_Exception_Application[[#This Row],[MARKET No]],'Site Allocation'!$B$2:$C$37,2,FALSE)</f>
        <v>Analyst5</v>
      </c>
      <c r="I2308" s="4">
        <f t="shared" ca="1" si="36"/>
        <v>45203</v>
      </c>
      <c r="J2308" s="42">
        <f ca="1">TODAY()-qry_ProdData2_PDI_Cash_Exception_Application[[#This Row],[INSERT DATE]]</f>
        <v>19.742928240739275</v>
      </c>
      <c r="K23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08">
        <f ca="1">qry_ProdData2_PDI_Cash_Exception_Application[[#This Row],[TODAY]]-qry_ProdData2_PDI_Cash_Exception_Application[[#This Row],[CHANGED ON]]</f>
        <v>17.742928240739275</v>
      </c>
      <c r="M2308">
        <f ca="1">qry_ProdData2_PDI_Cash_Exception_Application[[#This Row],[TODAY]]-qry_ProdData2_PDI_Cash_Exception_Application[[#This Row],[CHANGED ON]]</f>
        <v>17.742928240739275</v>
      </c>
      <c r="N2308">
        <f ca="1">qry_ProdData2_PDI_Cash_Exception_Application[[#This Row],[TODAY]]-qry_ProdData2_PDI_Cash_Exception_Application[[#This Row],[CHANGED ON]]</f>
        <v>17.742928240739275</v>
      </c>
    </row>
    <row r="2309" spans="1:14" x14ac:dyDescent="0.35">
      <c r="A2309">
        <v>1017</v>
      </c>
      <c r="B2309" t="s">
        <v>71</v>
      </c>
      <c r="C2309" s="1">
        <v>45184.257071759261</v>
      </c>
      <c r="D2309" t="str">
        <f ca="1">VLOOKUP(qry_ProdData2_PDI_Cash_Exception_Application[[#This Row],[TYPE]],#REF!,2,FALSE)</f>
        <v>type40</v>
      </c>
      <c r="E2309">
        <v>-590.92999999999995</v>
      </c>
      <c r="F2309" t="s">
        <v>52</v>
      </c>
      <c r="G2309" s="1">
        <f>qry_ProdData2_PDI_Cash_Exception_Application[[#This Row],[INSERT DATE]]+2</f>
        <v>45186.257071759261</v>
      </c>
      <c r="H2309" t="str">
        <f>VLOOKUP(qry_ProdData2_PDI_Cash_Exception_Application[[#This Row],[MARKET No]],'Site Allocation'!$B$2:$C$37,2,FALSE)</f>
        <v>Analyst3</v>
      </c>
      <c r="I2309" s="4">
        <f t="shared" ca="1" si="36"/>
        <v>45203</v>
      </c>
      <c r="J2309" s="42">
        <f ca="1">TODAY()-qry_ProdData2_PDI_Cash_Exception_Application[[#This Row],[INSERT DATE]]</f>
        <v>18.742928240739275</v>
      </c>
      <c r="K23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09">
        <f ca="1">qry_ProdData2_PDI_Cash_Exception_Application[[#This Row],[TODAY]]-qry_ProdData2_PDI_Cash_Exception_Application[[#This Row],[CHANGED ON]]</f>
        <v>16.742928240739275</v>
      </c>
      <c r="M2309">
        <f ca="1">qry_ProdData2_PDI_Cash_Exception_Application[[#This Row],[TODAY]]-qry_ProdData2_PDI_Cash_Exception_Application[[#This Row],[CHANGED ON]]</f>
        <v>16.742928240739275</v>
      </c>
      <c r="N2309">
        <f ca="1">qry_ProdData2_PDI_Cash_Exception_Application[[#This Row],[TODAY]]-qry_ProdData2_PDI_Cash_Exception_Application[[#This Row],[CHANGED ON]]</f>
        <v>16.742928240739275</v>
      </c>
    </row>
    <row r="2310" spans="1:14" x14ac:dyDescent="0.35">
      <c r="A2310">
        <v>1032</v>
      </c>
      <c r="B2310" t="s">
        <v>86</v>
      </c>
      <c r="C2310" s="1">
        <v>45184.257071759261</v>
      </c>
      <c r="D2310" t="str">
        <f ca="1">VLOOKUP(qry_ProdData2_PDI_Cash_Exception_Application[[#This Row],[TYPE]],#REF!,2,FALSE)</f>
        <v>type40</v>
      </c>
      <c r="E2310">
        <v>-411.8</v>
      </c>
      <c r="F2310" t="s">
        <v>50</v>
      </c>
      <c r="G2310" s="1">
        <f>qry_ProdData2_PDI_Cash_Exception_Application[[#This Row],[INSERT DATE]]+2</f>
        <v>45186.257071759261</v>
      </c>
      <c r="H2310" t="str">
        <f>VLOOKUP(qry_ProdData2_PDI_Cash_Exception_Application[[#This Row],[MARKET No]],'Site Allocation'!$B$2:$C$37,2,FALSE)</f>
        <v>Analyst6</v>
      </c>
      <c r="I2310" s="4">
        <f t="shared" ca="1" si="36"/>
        <v>45203</v>
      </c>
      <c r="J2310" s="42">
        <f ca="1">TODAY()-qry_ProdData2_PDI_Cash_Exception_Application[[#This Row],[INSERT DATE]]</f>
        <v>18.742928240739275</v>
      </c>
      <c r="K23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10">
        <f ca="1">qry_ProdData2_PDI_Cash_Exception_Application[[#This Row],[TODAY]]-qry_ProdData2_PDI_Cash_Exception_Application[[#This Row],[CHANGED ON]]</f>
        <v>16.742928240739275</v>
      </c>
      <c r="M2310">
        <f ca="1">qry_ProdData2_PDI_Cash_Exception_Application[[#This Row],[TODAY]]-qry_ProdData2_PDI_Cash_Exception_Application[[#This Row],[CHANGED ON]]</f>
        <v>16.742928240739275</v>
      </c>
      <c r="N2310">
        <f ca="1">qry_ProdData2_PDI_Cash_Exception_Application[[#This Row],[TODAY]]-qry_ProdData2_PDI_Cash_Exception_Application[[#This Row],[CHANGED ON]]</f>
        <v>16.742928240739275</v>
      </c>
    </row>
    <row r="2311" spans="1:14" x14ac:dyDescent="0.35">
      <c r="A2311">
        <v>1012</v>
      </c>
      <c r="B2311" t="s">
        <v>66</v>
      </c>
      <c r="C2311" s="1">
        <v>45181.257071759261</v>
      </c>
      <c r="D2311" t="str">
        <f ca="1">VLOOKUP(qry_ProdData2_PDI_Cash_Exception_Application[[#This Row],[TYPE]],#REF!,2,FALSE)</f>
        <v>type40</v>
      </c>
      <c r="E2311">
        <v>-305.48</v>
      </c>
      <c r="F2311" t="s">
        <v>49</v>
      </c>
      <c r="G2311" s="1">
        <f>qry_ProdData2_PDI_Cash_Exception_Application[[#This Row],[INSERT DATE]]+7</f>
        <v>45188.257071759261</v>
      </c>
      <c r="H2311" t="str">
        <f>VLOOKUP(qry_ProdData2_PDI_Cash_Exception_Application[[#This Row],[MARKET No]],'Site Allocation'!$B$2:$C$37,2,FALSE)</f>
        <v>Analyst3</v>
      </c>
      <c r="I2311" s="4">
        <f t="shared" ca="1" si="36"/>
        <v>45203</v>
      </c>
      <c r="J2311" s="42">
        <f ca="1">TODAY()-qry_ProdData2_PDI_Cash_Exception_Application[[#This Row],[INSERT DATE]]</f>
        <v>21.742928240739275</v>
      </c>
      <c r="K23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11">
        <f ca="1">qry_ProdData2_PDI_Cash_Exception_Application[[#This Row],[TODAY]]-qry_ProdData2_PDI_Cash_Exception_Application[[#This Row],[CHANGED ON]]</f>
        <v>14.742928240739275</v>
      </c>
      <c r="M2311">
        <f ca="1">qry_ProdData2_PDI_Cash_Exception_Application[[#This Row],[TODAY]]-qry_ProdData2_PDI_Cash_Exception_Application[[#This Row],[CHANGED ON]]</f>
        <v>14.742928240739275</v>
      </c>
      <c r="N2311">
        <f ca="1">qry_ProdData2_PDI_Cash_Exception_Application[[#This Row],[TODAY]]-qry_ProdData2_PDI_Cash_Exception_Application[[#This Row],[CHANGED ON]]</f>
        <v>14.742928240739275</v>
      </c>
    </row>
    <row r="2312" spans="1:14" x14ac:dyDescent="0.35">
      <c r="A2312">
        <v>1033</v>
      </c>
      <c r="B2312" t="s">
        <v>87</v>
      </c>
      <c r="C2312" s="1">
        <v>45183.257071759261</v>
      </c>
      <c r="D2312" t="str">
        <f ca="1">VLOOKUP(qry_ProdData2_PDI_Cash_Exception_Application[[#This Row],[TYPE]],#REF!,2,FALSE)</f>
        <v>type13</v>
      </c>
      <c r="E2312">
        <v>20961.48</v>
      </c>
      <c r="F2312" t="s">
        <v>49</v>
      </c>
      <c r="G2312" s="1">
        <f>qry_ProdData2_PDI_Cash_Exception_Application[[#This Row],[INSERT DATE]]+7</f>
        <v>45190.257071759261</v>
      </c>
      <c r="H2312" t="str">
        <f>VLOOKUP(qry_ProdData2_PDI_Cash_Exception_Application[[#This Row],[MARKET No]],'Site Allocation'!$B$2:$C$37,2,FALSE)</f>
        <v>Analyst6</v>
      </c>
      <c r="I2312" s="4">
        <f t="shared" ca="1" si="36"/>
        <v>45203</v>
      </c>
      <c r="J2312" s="42">
        <f ca="1">TODAY()-qry_ProdData2_PDI_Cash_Exception_Application[[#This Row],[INSERT DATE]]</f>
        <v>19.742928240739275</v>
      </c>
      <c r="K23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12">
        <f ca="1">qry_ProdData2_PDI_Cash_Exception_Application[[#This Row],[TODAY]]-qry_ProdData2_PDI_Cash_Exception_Application[[#This Row],[CHANGED ON]]</f>
        <v>12.742928240739275</v>
      </c>
      <c r="M2312">
        <f ca="1">qry_ProdData2_PDI_Cash_Exception_Application[[#This Row],[TODAY]]-qry_ProdData2_PDI_Cash_Exception_Application[[#This Row],[CHANGED ON]]</f>
        <v>12.742928240739275</v>
      </c>
      <c r="N2312">
        <f ca="1">qry_ProdData2_PDI_Cash_Exception_Application[[#This Row],[TODAY]]-qry_ProdData2_PDI_Cash_Exception_Application[[#This Row],[CHANGED ON]]</f>
        <v>12.742928240739275</v>
      </c>
    </row>
    <row r="2313" spans="1:14" x14ac:dyDescent="0.35">
      <c r="A2313">
        <v>1001</v>
      </c>
      <c r="B2313" t="s">
        <v>55</v>
      </c>
      <c r="C2313" s="1">
        <v>45182.257071759261</v>
      </c>
      <c r="D2313" t="str">
        <f ca="1">VLOOKUP(qry_ProdData2_PDI_Cash_Exception_Application[[#This Row],[TYPE]],#REF!,2,FALSE)</f>
        <v>type40</v>
      </c>
      <c r="E2313">
        <v>-361.75</v>
      </c>
      <c r="F2313" t="s">
        <v>51</v>
      </c>
      <c r="G2313" s="1">
        <f>qry_ProdData2_PDI_Cash_Exception_Application[[#This Row],[INSERT DATE]]+2</f>
        <v>45184.257071759261</v>
      </c>
      <c r="H2313" t="str">
        <f>VLOOKUP(qry_ProdData2_PDI_Cash_Exception_Application[[#This Row],[MARKET No]],'Site Allocation'!$B$2:$C$37,2,FALSE)</f>
        <v>Analyst1</v>
      </c>
      <c r="I2313" s="4">
        <f t="shared" ca="1" si="36"/>
        <v>45203</v>
      </c>
      <c r="J2313" s="42">
        <f ca="1">TODAY()-qry_ProdData2_PDI_Cash_Exception_Application[[#This Row],[INSERT DATE]]</f>
        <v>20.742928240739275</v>
      </c>
      <c r="K23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13">
        <f ca="1">qry_ProdData2_PDI_Cash_Exception_Application[[#This Row],[TODAY]]-qry_ProdData2_PDI_Cash_Exception_Application[[#This Row],[CHANGED ON]]</f>
        <v>18.742928240739275</v>
      </c>
      <c r="M2313">
        <f ca="1">qry_ProdData2_PDI_Cash_Exception_Application[[#This Row],[TODAY]]-qry_ProdData2_PDI_Cash_Exception_Application[[#This Row],[CHANGED ON]]</f>
        <v>18.742928240739275</v>
      </c>
      <c r="N2313">
        <f ca="1">qry_ProdData2_PDI_Cash_Exception_Application[[#This Row],[TODAY]]-qry_ProdData2_PDI_Cash_Exception_Application[[#This Row],[CHANGED ON]]</f>
        <v>18.742928240739275</v>
      </c>
    </row>
    <row r="2314" spans="1:14" x14ac:dyDescent="0.35">
      <c r="A2314">
        <v>1002</v>
      </c>
      <c r="B2314" t="s">
        <v>56</v>
      </c>
      <c r="C2314" s="1">
        <v>45187.257071759261</v>
      </c>
      <c r="D2314" t="str">
        <f ca="1">VLOOKUP(qry_ProdData2_PDI_Cash_Exception_Application[[#This Row],[TYPE]],#REF!,2,FALSE)</f>
        <v>type40</v>
      </c>
      <c r="E2314">
        <v>-356.41</v>
      </c>
      <c r="F2314" t="s">
        <v>50</v>
      </c>
      <c r="G2314" s="1">
        <f>qry_ProdData2_PDI_Cash_Exception_Application[[#This Row],[INSERT DATE]]+5</f>
        <v>45192.257071759261</v>
      </c>
      <c r="H2314" t="str">
        <f>VLOOKUP(qry_ProdData2_PDI_Cash_Exception_Application[[#This Row],[MARKET No]],'Site Allocation'!$B$2:$C$37,2,FALSE)</f>
        <v>Analyst1</v>
      </c>
      <c r="I2314" s="4">
        <f t="shared" ca="1" si="36"/>
        <v>45203</v>
      </c>
      <c r="J2314" s="42">
        <f ca="1">TODAY()-qry_ProdData2_PDI_Cash_Exception_Application[[#This Row],[INSERT DATE]]</f>
        <v>15.742928240739275</v>
      </c>
      <c r="K23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14">
        <f ca="1">qry_ProdData2_PDI_Cash_Exception_Application[[#This Row],[TODAY]]-qry_ProdData2_PDI_Cash_Exception_Application[[#This Row],[CHANGED ON]]</f>
        <v>10.742928240739275</v>
      </c>
      <c r="M2314">
        <f ca="1">qry_ProdData2_PDI_Cash_Exception_Application[[#This Row],[TODAY]]-qry_ProdData2_PDI_Cash_Exception_Application[[#This Row],[CHANGED ON]]</f>
        <v>10.742928240739275</v>
      </c>
      <c r="N2314">
        <f ca="1">qry_ProdData2_PDI_Cash_Exception_Application[[#This Row],[TODAY]]-qry_ProdData2_PDI_Cash_Exception_Application[[#This Row],[CHANGED ON]]</f>
        <v>10.742928240739275</v>
      </c>
    </row>
    <row r="2315" spans="1:14" x14ac:dyDescent="0.35">
      <c r="A2315">
        <v>1005</v>
      </c>
      <c r="B2315" t="s">
        <v>59</v>
      </c>
      <c r="C2315" s="1">
        <v>45185.257071759261</v>
      </c>
      <c r="D2315" t="str">
        <f ca="1">VLOOKUP(qry_ProdData2_PDI_Cash_Exception_Application[[#This Row],[TYPE]],#REF!,2,FALSE)</f>
        <v>type40</v>
      </c>
      <c r="E2315">
        <v>3218.18</v>
      </c>
      <c r="F2315" t="s">
        <v>48</v>
      </c>
      <c r="G2315" s="1">
        <f>qry_ProdData2_PDI_Cash_Exception_Application[[#This Row],[INSERT DATE]]+7</f>
        <v>45192.257071759261</v>
      </c>
      <c r="H2315" t="str">
        <f>VLOOKUP(qry_ProdData2_PDI_Cash_Exception_Application[[#This Row],[MARKET No]],'Site Allocation'!$B$2:$C$37,2,FALSE)</f>
        <v>Analyst1</v>
      </c>
      <c r="I2315" s="4">
        <f t="shared" ca="1" si="36"/>
        <v>45203</v>
      </c>
      <c r="J2315" s="42">
        <f ca="1">TODAY()-qry_ProdData2_PDI_Cash_Exception_Application[[#This Row],[INSERT DATE]]</f>
        <v>17.742928240739275</v>
      </c>
      <c r="K23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15">
        <f ca="1">qry_ProdData2_PDI_Cash_Exception_Application[[#This Row],[TODAY]]-qry_ProdData2_PDI_Cash_Exception_Application[[#This Row],[CHANGED ON]]</f>
        <v>10.742928240739275</v>
      </c>
      <c r="M2315">
        <f ca="1">qry_ProdData2_PDI_Cash_Exception_Application[[#This Row],[TODAY]]-qry_ProdData2_PDI_Cash_Exception_Application[[#This Row],[CHANGED ON]]</f>
        <v>10.742928240739275</v>
      </c>
      <c r="N2315">
        <f ca="1">qry_ProdData2_PDI_Cash_Exception_Application[[#This Row],[TODAY]]-qry_ProdData2_PDI_Cash_Exception_Application[[#This Row],[CHANGED ON]]</f>
        <v>10.742928240739275</v>
      </c>
    </row>
    <row r="2316" spans="1:14" x14ac:dyDescent="0.35">
      <c r="A2316">
        <v>1007</v>
      </c>
      <c r="B2316" t="s">
        <v>61</v>
      </c>
      <c r="C2316" s="1">
        <v>45188.257071759261</v>
      </c>
      <c r="D2316" t="str">
        <f ca="1">VLOOKUP(qry_ProdData2_PDI_Cash_Exception_Application[[#This Row],[TYPE]],#REF!,2,FALSE)</f>
        <v>type40</v>
      </c>
      <c r="E2316">
        <v>4409.37</v>
      </c>
      <c r="F2316" t="s">
        <v>52</v>
      </c>
      <c r="G2316" s="1">
        <f>qry_ProdData2_PDI_Cash_Exception_Application[[#This Row],[INSERT DATE]]+5</f>
        <v>45193.257071759261</v>
      </c>
      <c r="H2316" t="str">
        <f>VLOOKUP(qry_ProdData2_PDI_Cash_Exception_Application[[#This Row],[MARKET No]],'Site Allocation'!$B$2:$C$37,2,FALSE)</f>
        <v>Analyst2</v>
      </c>
      <c r="I2316" s="4">
        <f t="shared" ca="1" si="36"/>
        <v>45203</v>
      </c>
      <c r="J2316" s="42">
        <f ca="1">TODAY()-qry_ProdData2_PDI_Cash_Exception_Application[[#This Row],[INSERT DATE]]</f>
        <v>14.742928240739275</v>
      </c>
      <c r="K23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16">
        <f ca="1">qry_ProdData2_PDI_Cash_Exception_Application[[#This Row],[TODAY]]-qry_ProdData2_PDI_Cash_Exception_Application[[#This Row],[CHANGED ON]]</f>
        <v>9.7429282407392748</v>
      </c>
      <c r="M2316">
        <f ca="1">qry_ProdData2_PDI_Cash_Exception_Application[[#This Row],[TODAY]]-qry_ProdData2_PDI_Cash_Exception_Application[[#This Row],[CHANGED ON]]</f>
        <v>9.7429282407392748</v>
      </c>
      <c r="N2316">
        <f ca="1">qry_ProdData2_PDI_Cash_Exception_Application[[#This Row],[TODAY]]-qry_ProdData2_PDI_Cash_Exception_Application[[#This Row],[CHANGED ON]]</f>
        <v>9.7429282407392748</v>
      </c>
    </row>
    <row r="2317" spans="1:14" x14ac:dyDescent="0.35">
      <c r="A2317">
        <v>1015</v>
      </c>
      <c r="B2317" t="s">
        <v>69</v>
      </c>
      <c r="C2317" s="1">
        <v>45189.257071759261</v>
      </c>
      <c r="D2317" t="str">
        <f ca="1">VLOOKUP(qry_ProdData2_PDI_Cash_Exception_Application[[#This Row],[TYPE]],#REF!,2,FALSE)</f>
        <v>type40</v>
      </c>
      <c r="E2317">
        <v>-6534.33</v>
      </c>
      <c r="F2317" t="s">
        <v>48</v>
      </c>
      <c r="G2317" s="1">
        <f>qry_ProdData2_PDI_Cash_Exception_Application[[#This Row],[INSERT DATE]]+2</f>
        <v>45191.257071759261</v>
      </c>
      <c r="H2317" t="str">
        <f>VLOOKUP(qry_ProdData2_PDI_Cash_Exception_Application[[#This Row],[MARKET No]],'Site Allocation'!$B$2:$C$37,2,FALSE)</f>
        <v>Analyst3</v>
      </c>
      <c r="I2317" s="4">
        <f t="shared" ca="1" si="36"/>
        <v>45203</v>
      </c>
      <c r="J2317" s="42">
        <f ca="1">TODAY()-qry_ProdData2_PDI_Cash_Exception_Application[[#This Row],[INSERT DATE]]</f>
        <v>13.742928240739275</v>
      </c>
      <c r="K23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17">
        <f ca="1">qry_ProdData2_PDI_Cash_Exception_Application[[#This Row],[TODAY]]-qry_ProdData2_PDI_Cash_Exception_Application[[#This Row],[CHANGED ON]]</f>
        <v>11.742928240739275</v>
      </c>
      <c r="M2317">
        <f ca="1">qry_ProdData2_PDI_Cash_Exception_Application[[#This Row],[TODAY]]-qry_ProdData2_PDI_Cash_Exception_Application[[#This Row],[CHANGED ON]]</f>
        <v>11.742928240739275</v>
      </c>
      <c r="N2317">
        <f ca="1">qry_ProdData2_PDI_Cash_Exception_Application[[#This Row],[TODAY]]-qry_ProdData2_PDI_Cash_Exception_Application[[#This Row],[CHANGED ON]]</f>
        <v>11.742928240739275</v>
      </c>
    </row>
    <row r="2318" spans="1:14" x14ac:dyDescent="0.35">
      <c r="A2318">
        <v>1029</v>
      </c>
      <c r="B2318" t="s">
        <v>83</v>
      </c>
      <c r="C2318" s="1">
        <v>45189.257071759261</v>
      </c>
      <c r="D2318" t="str">
        <f ca="1">VLOOKUP(qry_ProdData2_PDI_Cash_Exception_Application[[#This Row],[TYPE]],#REF!,2,FALSE)</f>
        <v>type26</v>
      </c>
      <c r="E2318">
        <v>123.23</v>
      </c>
      <c r="F2318" t="s">
        <v>50</v>
      </c>
      <c r="G2318" s="1">
        <f>qry_ProdData2_PDI_Cash_Exception_Application[[#This Row],[INSERT DATE]]+5</f>
        <v>45194.257071759261</v>
      </c>
      <c r="H2318" t="str">
        <f>VLOOKUP(qry_ProdData2_PDI_Cash_Exception_Application[[#This Row],[MARKET No]],'Site Allocation'!$B$2:$C$37,2,FALSE)</f>
        <v>Analyst5</v>
      </c>
      <c r="I2318" s="4">
        <f t="shared" ca="1" si="36"/>
        <v>45203</v>
      </c>
      <c r="J2318" s="42">
        <f ca="1">TODAY()-qry_ProdData2_PDI_Cash_Exception_Application[[#This Row],[INSERT DATE]]</f>
        <v>13.742928240739275</v>
      </c>
      <c r="K23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18">
        <f ca="1">qry_ProdData2_PDI_Cash_Exception_Application[[#This Row],[TODAY]]-qry_ProdData2_PDI_Cash_Exception_Application[[#This Row],[CHANGED ON]]</f>
        <v>8.7429282407392748</v>
      </c>
      <c r="M2318">
        <f ca="1">qry_ProdData2_PDI_Cash_Exception_Application[[#This Row],[TODAY]]-qry_ProdData2_PDI_Cash_Exception_Application[[#This Row],[CHANGED ON]]</f>
        <v>8.7429282407392748</v>
      </c>
      <c r="N2318">
        <f ca="1">qry_ProdData2_PDI_Cash_Exception_Application[[#This Row],[TODAY]]-qry_ProdData2_PDI_Cash_Exception_Application[[#This Row],[CHANGED ON]]</f>
        <v>8.7429282407392748</v>
      </c>
    </row>
    <row r="2319" spans="1:14" x14ac:dyDescent="0.35">
      <c r="A2319">
        <v>1027</v>
      </c>
      <c r="B2319" t="s">
        <v>81</v>
      </c>
      <c r="C2319" s="1">
        <v>45183.257071759261</v>
      </c>
      <c r="D2319" t="str">
        <f ca="1">VLOOKUP(qry_ProdData2_PDI_Cash_Exception_Application[[#This Row],[TYPE]],#REF!,2,FALSE)</f>
        <v>type40</v>
      </c>
      <c r="E2319">
        <v>-2014.11</v>
      </c>
      <c r="F2319" t="s">
        <v>51</v>
      </c>
      <c r="G2319" s="1">
        <f>qry_ProdData2_PDI_Cash_Exception_Application[[#This Row],[INSERT DATE]]+2</f>
        <v>45185.257071759261</v>
      </c>
      <c r="H2319" t="str">
        <f>VLOOKUP(qry_ProdData2_PDI_Cash_Exception_Application[[#This Row],[MARKET No]],'Site Allocation'!$B$2:$C$37,2,FALSE)</f>
        <v>Analyst5</v>
      </c>
      <c r="I2319" s="4">
        <f t="shared" ca="1" si="36"/>
        <v>45203</v>
      </c>
      <c r="J2319" s="42">
        <f ca="1">TODAY()-qry_ProdData2_PDI_Cash_Exception_Application[[#This Row],[INSERT DATE]]</f>
        <v>19.742928240739275</v>
      </c>
      <c r="K23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19">
        <f ca="1">qry_ProdData2_PDI_Cash_Exception_Application[[#This Row],[TODAY]]-qry_ProdData2_PDI_Cash_Exception_Application[[#This Row],[CHANGED ON]]</f>
        <v>17.742928240739275</v>
      </c>
      <c r="M2319">
        <f ca="1">qry_ProdData2_PDI_Cash_Exception_Application[[#This Row],[TODAY]]-qry_ProdData2_PDI_Cash_Exception_Application[[#This Row],[CHANGED ON]]</f>
        <v>17.742928240739275</v>
      </c>
      <c r="N2319">
        <f ca="1">qry_ProdData2_PDI_Cash_Exception_Application[[#This Row],[TODAY]]-qry_ProdData2_PDI_Cash_Exception_Application[[#This Row],[CHANGED ON]]</f>
        <v>17.742928240739275</v>
      </c>
    </row>
    <row r="2320" spans="1:14" x14ac:dyDescent="0.35">
      <c r="A2320">
        <v>1013</v>
      </c>
      <c r="B2320" t="s">
        <v>67</v>
      </c>
      <c r="C2320" s="1">
        <v>45185.257071759261</v>
      </c>
      <c r="D2320" t="str">
        <f ca="1">VLOOKUP(qry_ProdData2_PDI_Cash_Exception_Application[[#This Row],[TYPE]],#REF!,2,FALSE)</f>
        <v>type40</v>
      </c>
      <c r="E2320">
        <v>1246.79</v>
      </c>
      <c r="F2320" t="s">
        <v>47</v>
      </c>
      <c r="G2320" s="1">
        <f>qry_ProdData2_PDI_Cash_Exception_Application[[#This Row],[INSERT DATE]]+1</f>
        <v>45186.257071759261</v>
      </c>
      <c r="H2320" t="str">
        <f>VLOOKUP(qry_ProdData2_PDI_Cash_Exception_Application[[#This Row],[MARKET No]],'Site Allocation'!$B$2:$C$37,2,FALSE)</f>
        <v>Analyst3</v>
      </c>
      <c r="I2320" s="4">
        <f t="shared" ca="1" si="36"/>
        <v>45203</v>
      </c>
      <c r="J2320" s="42">
        <f ca="1">TODAY()-qry_ProdData2_PDI_Cash_Exception_Application[[#This Row],[INSERT DATE]]</f>
        <v>17.742928240739275</v>
      </c>
      <c r="K23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20">
        <f ca="1">qry_ProdData2_PDI_Cash_Exception_Application[[#This Row],[TODAY]]-qry_ProdData2_PDI_Cash_Exception_Application[[#This Row],[CHANGED ON]]</f>
        <v>16.742928240739275</v>
      </c>
      <c r="M2320">
        <f ca="1">qry_ProdData2_PDI_Cash_Exception_Application[[#This Row],[TODAY]]-qry_ProdData2_PDI_Cash_Exception_Application[[#This Row],[CHANGED ON]]</f>
        <v>16.742928240739275</v>
      </c>
      <c r="N2320">
        <f ca="1">qry_ProdData2_PDI_Cash_Exception_Application[[#This Row],[TODAY]]-qry_ProdData2_PDI_Cash_Exception_Application[[#This Row],[CHANGED ON]]</f>
        <v>16.742928240739275</v>
      </c>
    </row>
    <row r="2321" spans="1:14" x14ac:dyDescent="0.35">
      <c r="A2321">
        <v>1002</v>
      </c>
      <c r="B2321" t="s">
        <v>56</v>
      </c>
      <c r="C2321" s="1">
        <v>45191.257071759261</v>
      </c>
      <c r="D2321" t="str">
        <f ca="1">VLOOKUP(qry_ProdData2_PDI_Cash_Exception_Application[[#This Row],[TYPE]],#REF!,2,FALSE)</f>
        <v>type13</v>
      </c>
      <c r="E2321">
        <v>26049.75</v>
      </c>
      <c r="F2321" t="s">
        <v>50</v>
      </c>
      <c r="G2321" s="1">
        <f>qry_ProdData2_PDI_Cash_Exception_Application[[#This Row],[INSERT DATE]]+7</f>
        <v>45198.257071759261</v>
      </c>
      <c r="H2321" t="str">
        <f>VLOOKUP(qry_ProdData2_PDI_Cash_Exception_Application[[#This Row],[MARKET No]],'Site Allocation'!$B$2:$C$37,2,FALSE)</f>
        <v>Analyst1</v>
      </c>
      <c r="I2321" s="4">
        <f t="shared" ca="1" si="36"/>
        <v>45203</v>
      </c>
      <c r="J2321" s="42">
        <f ca="1">TODAY()-qry_ProdData2_PDI_Cash_Exception_Application[[#This Row],[INSERT DATE]]</f>
        <v>11.742928240739275</v>
      </c>
      <c r="K23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21">
        <f ca="1">qry_ProdData2_PDI_Cash_Exception_Application[[#This Row],[TODAY]]-qry_ProdData2_PDI_Cash_Exception_Application[[#This Row],[CHANGED ON]]</f>
        <v>4.7429282407392748</v>
      </c>
      <c r="M2321">
        <f ca="1">qry_ProdData2_PDI_Cash_Exception_Application[[#This Row],[TODAY]]-qry_ProdData2_PDI_Cash_Exception_Application[[#This Row],[CHANGED ON]]</f>
        <v>4.7429282407392748</v>
      </c>
      <c r="N2321">
        <f ca="1">qry_ProdData2_PDI_Cash_Exception_Application[[#This Row],[TODAY]]-qry_ProdData2_PDI_Cash_Exception_Application[[#This Row],[CHANGED ON]]</f>
        <v>4.7429282407392748</v>
      </c>
    </row>
    <row r="2322" spans="1:14" x14ac:dyDescent="0.35">
      <c r="A2322">
        <v>1027</v>
      </c>
      <c r="B2322" t="s">
        <v>81</v>
      </c>
      <c r="C2322" s="1">
        <v>45192.257071759261</v>
      </c>
      <c r="D2322" t="str">
        <f ca="1">VLOOKUP(qry_ProdData2_PDI_Cash_Exception_Application[[#This Row],[TYPE]],#REF!,2,FALSE)</f>
        <v>type40</v>
      </c>
      <c r="E2322">
        <v>-2280.9699999999998</v>
      </c>
      <c r="F2322" t="s">
        <v>50</v>
      </c>
      <c r="G2322" s="1">
        <f>qry_ProdData2_PDI_Cash_Exception_Application[[#This Row],[INSERT DATE]]+7</f>
        <v>45199.257071759261</v>
      </c>
      <c r="H2322" t="str">
        <f>VLOOKUP(qry_ProdData2_PDI_Cash_Exception_Application[[#This Row],[MARKET No]],'Site Allocation'!$B$2:$C$37,2,FALSE)</f>
        <v>Analyst5</v>
      </c>
      <c r="I2322" s="4">
        <f t="shared" ca="1" si="36"/>
        <v>45203</v>
      </c>
      <c r="J2322" s="42">
        <f ca="1">TODAY()-qry_ProdData2_PDI_Cash_Exception_Application[[#This Row],[INSERT DATE]]</f>
        <v>10.742928240739275</v>
      </c>
      <c r="K23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22">
        <f ca="1">qry_ProdData2_PDI_Cash_Exception_Application[[#This Row],[TODAY]]-qry_ProdData2_PDI_Cash_Exception_Application[[#This Row],[CHANGED ON]]</f>
        <v>3.7429282407392748</v>
      </c>
      <c r="M2322">
        <f ca="1">qry_ProdData2_PDI_Cash_Exception_Application[[#This Row],[TODAY]]-qry_ProdData2_PDI_Cash_Exception_Application[[#This Row],[CHANGED ON]]</f>
        <v>3.7429282407392748</v>
      </c>
      <c r="N2322">
        <f ca="1">qry_ProdData2_PDI_Cash_Exception_Application[[#This Row],[TODAY]]-qry_ProdData2_PDI_Cash_Exception_Application[[#This Row],[CHANGED ON]]</f>
        <v>3.7429282407392748</v>
      </c>
    </row>
    <row r="2323" spans="1:14" x14ac:dyDescent="0.35">
      <c r="A2323">
        <v>1032</v>
      </c>
      <c r="B2323" t="s">
        <v>86</v>
      </c>
      <c r="C2323" s="1">
        <v>45186.257071759261</v>
      </c>
      <c r="D2323" t="str">
        <f ca="1">VLOOKUP(qry_ProdData2_PDI_Cash_Exception_Application[[#This Row],[TYPE]],#REF!,2,FALSE)</f>
        <v>type40</v>
      </c>
      <c r="E2323">
        <v>352.87</v>
      </c>
      <c r="F2323" t="s">
        <v>47</v>
      </c>
      <c r="G2323" s="1">
        <f>qry_ProdData2_PDI_Cash_Exception_Application[[#This Row],[INSERT DATE]]+1</f>
        <v>45187.257071759261</v>
      </c>
      <c r="H2323" t="str">
        <f>VLOOKUP(qry_ProdData2_PDI_Cash_Exception_Application[[#This Row],[MARKET No]],'Site Allocation'!$B$2:$C$37,2,FALSE)</f>
        <v>Analyst6</v>
      </c>
      <c r="I2323" s="4">
        <f t="shared" ca="1" si="36"/>
        <v>45203</v>
      </c>
      <c r="J2323" s="42">
        <f ca="1">TODAY()-qry_ProdData2_PDI_Cash_Exception_Application[[#This Row],[INSERT DATE]]</f>
        <v>16.742928240739275</v>
      </c>
      <c r="K23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23">
        <f ca="1">qry_ProdData2_PDI_Cash_Exception_Application[[#This Row],[TODAY]]-qry_ProdData2_PDI_Cash_Exception_Application[[#This Row],[CHANGED ON]]</f>
        <v>15.742928240739275</v>
      </c>
      <c r="M2323">
        <f ca="1">qry_ProdData2_PDI_Cash_Exception_Application[[#This Row],[TODAY]]-qry_ProdData2_PDI_Cash_Exception_Application[[#This Row],[CHANGED ON]]</f>
        <v>15.742928240739275</v>
      </c>
      <c r="N2323">
        <f ca="1">qry_ProdData2_PDI_Cash_Exception_Application[[#This Row],[TODAY]]-qry_ProdData2_PDI_Cash_Exception_Application[[#This Row],[CHANGED ON]]</f>
        <v>15.742928240739275</v>
      </c>
    </row>
    <row r="2324" spans="1:14" x14ac:dyDescent="0.35">
      <c r="A2324">
        <v>1003</v>
      </c>
      <c r="B2324" t="s">
        <v>57</v>
      </c>
      <c r="C2324" s="1">
        <v>45185.257071759261</v>
      </c>
      <c r="D2324" t="str">
        <f ca="1">VLOOKUP(qry_ProdData2_PDI_Cash_Exception_Application[[#This Row],[TYPE]],#REF!,2,FALSE)</f>
        <v>type13</v>
      </c>
      <c r="E2324">
        <v>25725.07</v>
      </c>
      <c r="F2324" t="s">
        <v>49</v>
      </c>
      <c r="G2324" s="1">
        <f>qry_ProdData2_PDI_Cash_Exception_Application[[#This Row],[INSERT DATE]]+7</f>
        <v>45192.257071759261</v>
      </c>
      <c r="H2324" t="str">
        <f>VLOOKUP(qry_ProdData2_PDI_Cash_Exception_Application[[#This Row],[MARKET No]],'Site Allocation'!$B$2:$C$37,2,FALSE)</f>
        <v>Analyst1</v>
      </c>
      <c r="I2324" s="4">
        <f t="shared" ca="1" si="36"/>
        <v>45203</v>
      </c>
      <c r="J2324" s="42">
        <f ca="1">TODAY()-qry_ProdData2_PDI_Cash_Exception_Application[[#This Row],[INSERT DATE]]</f>
        <v>17.742928240739275</v>
      </c>
      <c r="K23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24">
        <f ca="1">qry_ProdData2_PDI_Cash_Exception_Application[[#This Row],[TODAY]]-qry_ProdData2_PDI_Cash_Exception_Application[[#This Row],[CHANGED ON]]</f>
        <v>10.742928240739275</v>
      </c>
      <c r="M2324">
        <f ca="1">qry_ProdData2_PDI_Cash_Exception_Application[[#This Row],[TODAY]]-qry_ProdData2_PDI_Cash_Exception_Application[[#This Row],[CHANGED ON]]</f>
        <v>10.742928240739275</v>
      </c>
      <c r="N2324">
        <f ca="1">qry_ProdData2_PDI_Cash_Exception_Application[[#This Row],[TODAY]]-qry_ProdData2_PDI_Cash_Exception_Application[[#This Row],[CHANGED ON]]</f>
        <v>10.742928240739275</v>
      </c>
    </row>
    <row r="2325" spans="1:14" x14ac:dyDescent="0.35">
      <c r="A2325">
        <v>1012</v>
      </c>
      <c r="B2325" t="s">
        <v>66</v>
      </c>
      <c r="C2325" s="1">
        <v>45195.257071759261</v>
      </c>
      <c r="D2325" t="str">
        <f ca="1">VLOOKUP(qry_ProdData2_PDI_Cash_Exception_Application[[#This Row],[TYPE]],#REF!,2,FALSE)</f>
        <v>type26</v>
      </c>
      <c r="E2325">
        <v>294.02999999999997</v>
      </c>
      <c r="F2325" t="s">
        <v>52</v>
      </c>
      <c r="G2325" s="1">
        <f>qry_ProdData2_PDI_Cash_Exception_Application[[#This Row],[INSERT DATE]]+7</f>
        <v>45202.257071759261</v>
      </c>
      <c r="H2325" t="str">
        <f>VLOOKUP(qry_ProdData2_PDI_Cash_Exception_Application[[#This Row],[MARKET No]],'Site Allocation'!$B$2:$C$37,2,FALSE)</f>
        <v>Analyst3</v>
      </c>
      <c r="I2325" s="4">
        <f t="shared" ca="1" si="36"/>
        <v>45203</v>
      </c>
      <c r="J2325" s="42">
        <f ca="1">TODAY()-qry_ProdData2_PDI_Cash_Exception_Application[[#This Row],[INSERT DATE]]</f>
        <v>7.7429282407392748</v>
      </c>
      <c r="K23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325">
        <f ca="1">qry_ProdData2_PDI_Cash_Exception_Application[[#This Row],[TODAY]]-qry_ProdData2_PDI_Cash_Exception_Application[[#This Row],[CHANGED ON]]</f>
        <v>0.74292824073927477</v>
      </c>
      <c r="M2325">
        <f ca="1">qry_ProdData2_PDI_Cash_Exception_Application[[#This Row],[TODAY]]-qry_ProdData2_PDI_Cash_Exception_Application[[#This Row],[CHANGED ON]]</f>
        <v>0.74292824073927477</v>
      </c>
      <c r="N2325">
        <f ca="1">qry_ProdData2_PDI_Cash_Exception_Application[[#This Row],[TODAY]]-qry_ProdData2_PDI_Cash_Exception_Application[[#This Row],[CHANGED ON]]</f>
        <v>0.74292824073927477</v>
      </c>
    </row>
    <row r="2326" spans="1:14" x14ac:dyDescent="0.35">
      <c r="A2326">
        <v>1019</v>
      </c>
      <c r="B2326" t="s">
        <v>73</v>
      </c>
      <c r="C2326" s="1">
        <v>45196.257071759261</v>
      </c>
      <c r="D2326" t="str">
        <f ca="1">VLOOKUP(qry_ProdData2_PDI_Cash_Exception_Application[[#This Row],[TYPE]],#REF!,2,FALSE)</f>
        <v>type40</v>
      </c>
      <c r="E2326">
        <v>5410.95</v>
      </c>
      <c r="F2326" t="s">
        <v>52</v>
      </c>
      <c r="G2326" s="1">
        <f>qry_ProdData2_PDI_Cash_Exception_Application[[#This Row],[INSERT DATE]]+7</f>
        <v>45203.257071759261</v>
      </c>
      <c r="H2326" t="str">
        <f>VLOOKUP(qry_ProdData2_PDI_Cash_Exception_Application[[#This Row],[MARKET No]],'Site Allocation'!$B$2:$C$37,2,FALSE)</f>
        <v>Analyst4</v>
      </c>
      <c r="I2326" s="4">
        <f t="shared" ca="1" si="36"/>
        <v>45203</v>
      </c>
      <c r="J2326" s="42">
        <f ca="1">TODAY()-qry_ProdData2_PDI_Cash_Exception_Application[[#This Row],[INSERT DATE]]</f>
        <v>6.7429282407392748</v>
      </c>
      <c r="K23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326">
        <f ca="1">qry_ProdData2_PDI_Cash_Exception_Application[[#This Row],[TODAY]]-qry_ProdData2_PDI_Cash_Exception_Application[[#This Row],[CHANGED ON]]</f>
        <v>-0.25707175926072523</v>
      </c>
      <c r="M2326">
        <f ca="1">qry_ProdData2_PDI_Cash_Exception_Application[[#This Row],[TODAY]]-qry_ProdData2_PDI_Cash_Exception_Application[[#This Row],[CHANGED ON]]</f>
        <v>-0.25707175926072523</v>
      </c>
      <c r="N2326">
        <f ca="1">qry_ProdData2_PDI_Cash_Exception_Application[[#This Row],[TODAY]]-qry_ProdData2_PDI_Cash_Exception_Application[[#This Row],[CHANGED ON]]</f>
        <v>-0.25707175926072523</v>
      </c>
    </row>
    <row r="2327" spans="1:14" x14ac:dyDescent="0.35">
      <c r="A2327">
        <v>1028</v>
      </c>
      <c r="B2327" t="s">
        <v>82</v>
      </c>
      <c r="C2327" s="1">
        <v>45197.257071759261</v>
      </c>
      <c r="D2327" t="str">
        <f ca="1">VLOOKUP(qry_ProdData2_PDI_Cash_Exception_Application[[#This Row],[TYPE]],#REF!,2,FALSE)</f>
        <v>type40</v>
      </c>
      <c r="E2327">
        <v>1014.35</v>
      </c>
      <c r="F2327" t="s">
        <v>52</v>
      </c>
      <c r="G2327" s="1">
        <f>qry_ProdData2_PDI_Cash_Exception_Application[[#This Row],[INSERT DATE]]+7</f>
        <v>45204.257071759261</v>
      </c>
      <c r="H2327" t="str">
        <f>VLOOKUP(qry_ProdData2_PDI_Cash_Exception_Application[[#This Row],[MARKET No]],'Site Allocation'!$B$2:$C$37,2,FALSE)</f>
        <v>Analyst5</v>
      </c>
      <c r="I2327" s="4">
        <f t="shared" ca="1" si="36"/>
        <v>45203</v>
      </c>
      <c r="J2327" s="42">
        <f ca="1">TODAY()-qry_ProdData2_PDI_Cash_Exception_Application[[#This Row],[INSERT DATE]]</f>
        <v>5.7429282407392748</v>
      </c>
      <c r="K23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327">
        <f ca="1">qry_ProdData2_PDI_Cash_Exception_Application[[#This Row],[TODAY]]-qry_ProdData2_PDI_Cash_Exception_Application[[#This Row],[CHANGED ON]]</f>
        <v>-1.2570717592607252</v>
      </c>
      <c r="M2327">
        <f ca="1">qry_ProdData2_PDI_Cash_Exception_Application[[#This Row],[TODAY]]-qry_ProdData2_PDI_Cash_Exception_Application[[#This Row],[CHANGED ON]]</f>
        <v>-1.2570717592607252</v>
      </c>
      <c r="N2327">
        <f ca="1">qry_ProdData2_PDI_Cash_Exception_Application[[#This Row],[TODAY]]-qry_ProdData2_PDI_Cash_Exception_Application[[#This Row],[CHANGED ON]]</f>
        <v>-1.2570717592607252</v>
      </c>
    </row>
    <row r="2328" spans="1:14" x14ac:dyDescent="0.35">
      <c r="A2328">
        <v>1007</v>
      </c>
      <c r="B2328" t="s">
        <v>61</v>
      </c>
      <c r="C2328" s="1">
        <v>45191.257071759261</v>
      </c>
      <c r="D2328" t="str">
        <f ca="1">VLOOKUP(qry_ProdData2_PDI_Cash_Exception_Application[[#This Row],[TYPE]],#REF!,2,FALSE)</f>
        <v>type40</v>
      </c>
      <c r="E2328">
        <v>334.64</v>
      </c>
      <c r="F2328" t="s">
        <v>48</v>
      </c>
      <c r="G2328" s="1">
        <f>qry_ProdData2_PDI_Cash_Exception_Application[[#This Row],[INSERT DATE]]+2</f>
        <v>45193.257071759261</v>
      </c>
      <c r="H2328" t="str">
        <f>VLOOKUP(qry_ProdData2_PDI_Cash_Exception_Application[[#This Row],[MARKET No]],'Site Allocation'!$B$2:$C$37,2,FALSE)</f>
        <v>Analyst2</v>
      </c>
      <c r="I2328" s="4">
        <f t="shared" ca="1" si="36"/>
        <v>45203</v>
      </c>
      <c r="J2328" s="42">
        <f ca="1">TODAY()-qry_ProdData2_PDI_Cash_Exception_Application[[#This Row],[INSERT DATE]]</f>
        <v>11.742928240739275</v>
      </c>
      <c r="K23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28">
        <f ca="1">qry_ProdData2_PDI_Cash_Exception_Application[[#This Row],[TODAY]]-qry_ProdData2_PDI_Cash_Exception_Application[[#This Row],[CHANGED ON]]</f>
        <v>9.7429282407392748</v>
      </c>
      <c r="M2328">
        <f ca="1">qry_ProdData2_PDI_Cash_Exception_Application[[#This Row],[TODAY]]-qry_ProdData2_PDI_Cash_Exception_Application[[#This Row],[CHANGED ON]]</f>
        <v>9.7429282407392748</v>
      </c>
      <c r="N2328">
        <f ca="1">qry_ProdData2_PDI_Cash_Exception_Application[[#This Row],[TODAY]]-qry_ProdData2_PDI_Cash_Exception_Application[[#This Row],[CHANGED ON]]</f>
        <v>9.7429282407392748</v>
      </c>
    </row>
    <row r="2329" spans="1:14" x14ac:dyDescent="0.35">
      <c r="A2329">
        <v>1007</v>
      </c>
      <c r="B2329" t="s">
        <v>61</v>
      </c>
      <c r="C2329" s="1">
        <v>45190.257071759261</v>
      </c>
      <c r="D2329" t="str">
        <f ca="1">VLOOKUP(qry_ProdData2_PDI_Cash_Exception_Application[[#This Row],[TYPE]],#REF!,2,FALSE)</f>
        <v>type40</v>
      </c>
      <c r="E2329">
        <v>31468.65</v>
      </c>
      <c r="F2329" t="s">
        <v>47</v>
      </c>
      <c r="G2329" s="1">
        <f>qry_ProdData2_PDI_Cash_Exception_Application[[#This Row],[INSERT DATE]]+2</f>
        <v>45192.257071759261</v>
      </c>
      <c r="H2329" t="str">
        <f>VLOOKUP(qry_ProdData2_PDI_Cash_Exception_Application[[#This Row],[MARKET No]],'Site Allocation'!$B$2:$C$37,2,FALSE)</f>
        <v>Analyst2</v>
      </c>
      <c r="I2329" s="4">
        <f t="shared" ca="1" si="36"/>
        <v>45203</v>
      </c>
      <c r="J2329" s="42">
        <f ca="1">TODAY()-qry_ProdData2_PDI_Cash_Exception_Application[[#This Row],[INSERT DATE]]</f>
        <v>12.742928240739275</v>
      </c>
      <c r="K23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29">
        <f ca="1">qry_ProdData2_PDI_Cash_Exception_Application[[#This Row],[TODAY]]-qry_ProdData2_PDI_Cash_Exception_Application[[#This Row],[CHANGED ON]]</f>
        <v>10.742928240739275</v>
      </c>
      <c r="M2329">
        <f ca="1">qry_ProdData2_PDI_Cash_Exception_Application[[#This Row],[TODAY]]-qry_ProdData2_PDI_Cash_Exception_Application[[#This Row],[CHANGED ON]]</f>
        <v>10.742928240739275</v>
      </c>
      <c r="N2329">
        <f ca="1">qry_ProdData2_PDI_Cash_Exception_Application[[#This Row],[TODAY]]-qry_ProdData2_PDI_Cash_Exception_Application[[#This Row],[CHANGED ON]]</f>
        <v>10.742928240739275</v>
      </c>
    </row>
    <row r="2330" spans="1:14" x14ac:dyDescent="0.35">
      <c r="A2330">
        <v>1032</v>
      </c>
      <c r="B2330" t="s">
        <v>86</v>
      </c>
      <c r="C2330" s="1">
        <v>45192.257071759261</v>
      </c>
      <c r="D2330" t="str">
        <f ca="1">VLOOKUP(qry_ProdData2_PDI_Cash_Exception_Application[[#This Row],[TYPE]],#REF!,2,FALSE)</f>
        <v>type40</v>
      </c>
      <c r="E2330">
        <v>361.12</v>
      </c>
      <c r="F2330" t="s">
        <v>48</v>
      </c>
      <c r="G2330" s="1">
        <f>qry_ProdData2_PDI_Cash_Exception_Application[[#This Row],[INSERT DATE]]+2</f>
        <v>45194.257071759261</v>
      </c>
      <c r="H2330" t="str">
        <f>VLOOKUP(qry_ProdData2_PDI_Cash_Exception_Application[[#This Row],[MARKET No]],'Site Allocation'!$B$2:$C$37,2,FALSE)</f>
        <v>Analyst6</v>
      </c>
      <c r="I2330" s="4">
        <f t="shared" ca="1" si="36"/>
        <v>45203</v>
      </c>
      <c r="J2330" s="42">
        <f ca="1">TODAY()-qry_ProdData2_PDI_Cash_Exception_Application[[#This Row],[INSERT DATE]]</f>
        <v>10.742928240739275</v>
      </c>
      <c r="K23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30">
        <f ca="1">qry_ProdData2_PDI_Cash_Exception_Application[[#This Row],[TODAY]]-qry_ProdData2_PDI_Cash_Exception_Application[[#This Row],[CHANGED ON]]</f>
        <v>8.7429282407392748</v>
      </c>
      <c r="M2330">
        <f ca="1">qry_ProdData2_PDI_Cash_Exception_Application[[#This Row],[TODAY]]-qry_ProdData2_PDI_Cash_Exception_Application[[#This Row],[CHANGED ON]]</f>
        <v>8.7429282407392748</v>
      </c>
      <c r="N2330">
        <f ca="1">qry_ProdData2_PDI_Cash_Exception_Application[[#This Row],[TODAY]]-qry_ProdData2_PDI_Cash_Exception_Application[[#This Row],[CHANGED ON]]</f>
        <v>8.7429282407392748</v>
      </c>
    </row>
    <row r="2331" spans="1:14" x14ac:dyDescent="0.35">
      <c r="A2331">
        <v>1032</v>
      </c>
      <c r="B2331" t="s">
        <v>86</v>
      </c>
      <c r="C2331" s="1">
        <v>45187.257071759261</v>
      </c>
      <c r="D2331" t="str">
        <f ca="1">VLOOKUP(qry_ProdData2_PDI_Cash_Exception_Application[[#This Row],[TYPE]],#REF!,2,FALSE)</f>
        <v>type40</v>
      </c>
      <c r="E2331">
        <v>442.15</v>
      </c>
      <c r="F2331" t="s">
        <v>50</v>
      </c>
      <c r="G2331" s="1">
        <f>qry_ProdData2_PDI_Cash_Exception_Application[[#This Row],[INSERT DATE]]+7</f>
        <v>45194.257071759261</v>
      </c>
      <c r="H2331" t="str">
        <f>VLOOKUP(qry_ProdData2_PDI_Cash_Exception_Application[[#This Row],[MARKET No]],'Site Allocation'!$B$2:$C$37,2,FALSE)</f>
        <v>Analyst6</v>
      </c>
      <c r="I2331" s="4">
        <f t="shared" ca="1" si="36"/>
        <v>45203</v>
      </c>
      <c r="J2331" s="42">
        <f ca="1">TODAY()-qry_ProdData2_PDI_Cash_Exception_Application[[#This Row],[INSERT DATE]]</f>
        <v>15.742928240739275</v>
      </c>
      <c r="K23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31">
        <f ca="1">qry_ProdData2_PDI_Cash_Exception_Application[[#This Row],[TODAY]]-qry_ProdData2_PDI_Cash_Exception_Application[[#This Row],[CHANGED ON]]</f>
        <v>8.7429282407392748</v>
      </c>
      <c r="M2331">
        <f ca="1">qry_ProdData2_PDI_Cash_Exception_Application[[#This Row],[TODAY]]-qry_ProdData2_PDI_Cash_Exception_Application[[#This Row],[CHANGED ON]]</f>
        <v>8.7429282407392748</v>
      </c>
      <c r="N2331">
        <f ca="1">qry_ProdData2_PDI_Cash_Exception_Application[[#This Row],[TODAY]]-qry_ProdData2_PDI_Cash_Exception_Application[[#This Row],[CHANGED ON]]</f>
        <v>8.7429282407392748</v>
      </c>
    </row>
    <row r="2332" spans="1:14" x14ac:dyDescent="0.35">
      <c r="A2332">
        <v>1018</v>
      </c>
      <c r="B2332" t="s">
        <v>72</v>
      </c>
      <c r="C2332" s="1">
        <v>45183.257071759261</v>
      </c>
      <c r="D2332" t="str">
        <f ca="1">VLOOKUP(qry_ProdData2_PDI_Cash_Exception_Application[[#This Row],[TYPE]],#REF!,2,FALSE)</f>
        <v>type40</v>
      </c>
      <c r="E2332">
        <v>-525.95000000000005</v>
      </c>
      <c r="F2332" t="s">
        <v>51</v>
      </c>
      <c r="G2332" s="1">
        <f>qry_ProdData2_PDI_Cash_Exception_Application[[#This Row],[INSERT DATE]]+2</f>
        <v>45185.257071759261</v>
      </c>
      <c r="H2332" t="str">
        <f>VLOOKUP(qry_ProdData2_PDI_Cash_Exception_Application[[#This Row],[MARKET No]],'Site Allocation'!$B$2:$C$37,2,FALSE)</f>
        <v>Analyst4</v>
      </c>
      <c r="I2332" s="4">
        <f t="shared" ca="1" si="36"/>
        <v>45203</v>
      </c>
      <c r="J2332" s="42">
        <f ca="1">TODAY()-qry_ProdData2_PDI_Cash_Exception_Application[[#This Row],[INSERT DATE]]</f>
        <v>19.742928240739275</v>
      </c>
      <c r="K23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32">
        <f ca="1">qry_ProdData2_PDI_Cash_Exception_Application[[#This Row],[TODAY]]-qry_ProdData2_PDI_Cash_Exception_Application[[#This Row],[CHANGED ON]]</f>
        <v>17.742928240739275</v>
      </c>
      <c r="M2332">
        <f ca="1">qry_ProdData2_PDI_Cash_Exception_Application[[#This Row],[TODAY]]-qry_ProdData2_PDI_Cash_Exception_Application[[#This Row],[CHANGED ON]]</f>
        <v>17.742928240739275</v>
      </c>
      <c r="N2332">
        <f ca="1">qry_ProdData2_PDI_Cash_Exception_Application[[#This Row],[TODAY]]-qry_ProdData2_PDI_Cash_Exception_Application[[#This Row],[CHANGED ON]]</f>
        <v>17.742928240739275</v>
      </c>
    </row>
    <row r="2333" spans="1:14" x14ac:dyDescent="0.35">
      <c r="A2333">
        <v>1002</v>
      </c>
      <c r="B2333" t="s">
        <v>56</v>
      </c>
      <c r="C2333" s="1">
        <v>45187.257071759261</v>
      </c>
      <c r="D2333" t="str">
        <f ca="1">VLOOKUP(qry_ProdData2_PDI_Cash_Exception_Application[[#This Row],[TYPE]],#REF!,2,FALSE)</f>
        <v>type40</v>
      </c>
      <c r="E2333">
        <v>-5829.15</v>
      </c>
      <c r="F2333" t="s">
        <v>47</v>
      </c>
      <c r="G2333" s="1">
        <f>qry_ProdData2_PDI_Cash_Exception_Application[[#This Row],[INSERT DATE]]+7</f>
        <v>45194.257071759261</v>
      </c>
      <c r="H2333" t="str">
        <f>VLOOKUP(qry_ProdData2_PDI_Cash_Exception_Application[[#This Row],[MARKET No]],'Site Allocation'!$B$2:$C$37,2,FALSE)</f>
        <v>Analyst1</v>
      </c>
      <c r="I2333" s="4">
        <f t="shared" ca="1" si="36"/>
        <v>45203</v>
      </c>
      <c r="J2333" s="42">
        <f ca="1">TODAY()-qry_ProdData2_PDI_Cash_Exception_Application[[#This Row],[INSERT DATE]]</f>
        <v>15.742928240739275</v>
      </c>
      <c r="K23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33">
        <f ca="1">qry_ProdData2_PDI_Cash_Exception_Application[[#This Row],[TODAY]]-qry_ProdData2_PDI_Cash_Exception_Application[[#This Row],[CHANGED ON]]</f>
        <v>8.7429282407392748</v>
      </c>
      <c r="M2333">
        <f ca="1">qry_ProdData2_PDI_Cash_Exception_Application[[#This Row],[TODAY]]-qry_ProdData2_PDI_Cash_Exception_Application[[#This Row],[CHANGED ON]]</f>
        <v>8.7429282407392748</v>
      </c>
      <c r="N2333">
        <f ca="1">qry_ProdData2_PDI_Cash_Exception_Application[[#This Row],[TODAY]]-qry_ProdData2_PDI_Cash_Exception_Application[[#This Row],[CHANGED ON]]</f>
        <v>8.7429282407392748</v>
      </c>
    </row>
    <row r="2334" spans="1:14" x14ac:dyDescent="0.35">
      <c r="A2334">
        <v>1006</v>
      </c>
      <c r="B2334" t="s">
        <v>60</v>
      </c>
      <c r="C2334" s="1">
        <v>45184.257071759261</v>
      </c>
      <c r="D2334" t="str">
        <f ca="1">VLOOKUP(qry_ProdData2_PDI_Cash_Exception_Application[[#This Row],[TYPE]],#REF!,2,FALSE)</f>
        <v>type18</v>
      </c>
      <c r="E2334">
        <v>319.77</v>
      </c>
      <c r="F2334" t="s">
        <v>48</v>
      </c>
      <c r="G2334" s="1">
        <f>qry_ProdData2_PDI_Cash_Exception_Application[[#This Row],[INSERT DATE]]+5</f>
        <v>45189.257071759261</v>
      </c>
      <c r="H2334" t="str">
        <f>VLOOKUP(qry_ProdData2_PDI_Cash_Exception_Application[[#This Row],[MARKET No]],'Site Allocation'!$B$2:$C$37,2,FALSE)</f>
        <v>Analyst2</v>
      </c>
      <c r="I2334" s="4">
        <f t="shared" ca="1" si="36"/>
        <v>45203</v>
      </c>
      <c r="J2334" s="42">
        <f ca="1">TODAY()-qry_ProdData2_PDI_Cash_Exception_Application[[#This Row],[INSERT DATE]]</f>
        <v>18.742928240739275</v>
      </c>
      <c r="K23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34">
        <f ca="1">qry_ProdData2_PDI_Cash_Exception_Application[[#This Row],[TODAY]]-qry_ProdData2_PDI_Cash_Exception_Application[[#This Row],[CHANGED ON]]</f>
        <v>13.742928240739275</v>
      </c>
      <c r="M2334">
        <f ca="1">qry_ProdData2_PDI_Cash_Exception_Application[[#This Row],[TODAY]]-qry_ProdData2_PDI_Cash_Exception_Application[[#This Row],[CHANGED ON]]</f>
        <v>13.742928240739275</v>
      </c>
      <c r="N2334">
        <f ca="1">qry_ProdData2_PDI_Cash_Exception_Application[[#This Row],[TODAY]]-qry_ProdData2_PDI_Cash_Exception_Application[[#This Row],[CHANGED ON]]</f>
        <v>13.742928240739275</v>
      </c>
    </row>
    <row r="2335" spans="1:14" x14ac:dyDescent="0.35">
      <c r="A2335">
        <v>1017</v>
      </c>
      <c r="B2335" t="s">
        <v>71</v>
      </c>
      <c r="C2335" s="1">
        <v>45190.257071759261</v>
      </c>
      <c r="D2335" t="str">
        <f ca="1">VLOOKUP(qry_ProdData2_PDI_Cash_Exception_Application[[#This Row],[TYPE]],#REF!,2,FALSE)</f>
        <v>type40</v>
      </c>
      <c r="E2335">
        <v>521.42999999999995</v>
      </c>
      <c r="F2335" t="s">
        <v>52</v>
      </c>
      <c r="G2335" s="1">
        <f>qry_ProdData2_PDI_Cash_Exception_Application[[#This Row],[INSERT DATE]]+7</f>
        <v>45197.257071759261</v>
      </c>
      <c r="H2335" t="str">
        <f>VLOOKUP(qry_ProdData2_PDI_Cash_Exception_Application[[#This Row],[MARKET No]],'Site Allocation'!$B$2:$C$37,2,FALSE)</f>
        <v>Analyst3</v>
      </c>
      <c r="I2335" s="4">
        <f t="shared" ca="1" si="36"/>
        <v>45203</v>
      </c>
      <c r="J2335" s="42">
        <f ca="1">TODAY()-qry_ProdData2_PDI_Cash_Exception_Application[[#This Row],[INSERT DATE]]</f>
        <v>12.742928240739275</v>
      </c>
      <c r="K23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35">
        <f ca="1">qry_ProdData2_PDI_Cash_Exception_Application[[#This Row],[TODAY]]-qry_ProdData2_PDI_Cash_Exception_Application[[#This Row],[CHANGED ON]]</f>
        <v>5.7429282407392748</v>
      </c>
      <c r="M2335">
        <f ca="1">qry_ProdData2_PDI_Cash_Exception_Application[[#This Row],[TODAY]]-qry_ProdData2_PDI_Cash_Exception_Application[[#This Row],[CHANGED ON]]</f>
        <v>5.7429282407392748</v>
      </c>
      <c r="N2335">
        <f ca="1">qry_ProdData2_PDI_Cash_Exception_Application[[#This Row],[TODAY]]-qry_ProdData2_PDI_Cash_Exception_Application[[#This Row],[CHANGED ON]]</f>
        <v>5.7429282407392748</v>
      </c>
    </row>
    <row r="2336" spans="1:14" x14ac:dyDescent="0.35">
      <c r="A2336">
        <v>1005</v>
      </c>
      <c r="B2336" t="s">
        <v>59</v>
      </c>
      <c r="C2336" s="1">
        <v>45190.257071759261</v>
      </c>
      <c r="D2336" t="str">
        <f ca="1">VLOOKUP(qry_ProdData2_PDI_Cash_Exception_Application[[#This Row],[TYPE]],#REF!,2,FALSE)</f>
        <v>type40</v>
      </c>
      <c r="E2336">
        <v>1952.28</v>
      </c>
      <c r="F2336" t="s">
        <v>52</v>
      </c>
      <c r="G2336" s="1">
        <f>qry_ProdData2_PDI_Cash_Exception_Application[[#This Row],[INSERT DATE]]+7</f>
        <v>45197.257071759261</v>
      </c>
      <c r="H2336" t="str">
        <f>VLOOKUP(qry_ProdData2_PDI_Cash_Exception_Application[[#This Row],[MARKET No]],'Site Allocation'!$B$2:$C$37,2,FALSE)</f>
        <v>Analyst1</v>
      </c>
      <c r="I2336" s="4">
        <f t="shared" ca="1" si="36"/>
        <v>45203</v>
      </c>
      <c r="J2336" s="42">
        <f ca="1">TODAY()-qry_ProdData2_PDI_Cash_Exception_Application[[#This Row],[INSERT DATE]]</f>
        <v>12.742928240739275</v>
      </c>
      <c r="K23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36">
        <f ca="1">qry_ProdData2_PDI_Cash_Exception_Application[[#This Row],[TODAY]]-qry_ProdData2_PDI_Cash_Exception_Application[[#This Row],[CHANGED ON]]</f>
        <v>5.7429282407392748</v>
      </c>
      <c r="M2336">
        <f ca="1">qry_ProdData2_PDI_Cash_Exception_Application[[#This Row],[TODAY]]-qry_ProdData2_PDI_Cash_Exception_Application[[#This Row],[CHANGED ON]]</f>
        <v>5.7429282407392748</v>
      </c>
      <c r="N2336">
        <f ca="1">qry_ProdData2_PDI_Cash_Exception_Application[[#This Row],[TODAY]]-qry_ProdData2_PDI_Cash_Exception_Application[[#This Row],[CHANGED ON]]</f>
        <v>5.7429282407392748</v>
      </c>
    </row>
    <row r="2337" spans="1:14" x14ac:dyDescent="0.35">
      <c r="A2337">
        <v>1025</v>
      </c>
      <c r="B2337" t="s">
        <v>79</v>
      </c>
      <c r="C2337" s="1">
        <v>45191.257071759261</v>
      </c>
      <c r="D2337" t="str">
        <f ca="1">VLOOKUP(qry_ProdData2_PDI_Cash_Exception_Application[[#This Row],[TYPE]],#REF!,2,FALSE)</f>
        <v>type40</v>
      </c>
      <c r="E2337">
        <v>8280.42</v>
      </c>
      <c r="F2337" t="s">
        <v>52</v>
      </c>
      <c r="G2337" s="1">
        <f>qry_ProdData2_PDI_Cash_Exception_Application[[#This Row],[INSERT DATE]]+7</f>
        <v>45198.257071759261</v>
      </c>
      <c r="H2337" t="str">
        <f>VLOOKUP(qry_ProdData2_PDI_Cash_Exception_Application[[#This Row],[MARKET No]],'Site Allocation'!$B$2:$C$37,2,FALSE)</f>
        <v>Analyst5</v>
      </c>
      <c r="I2337" s="4">
        <f t="shared" ca="1" si="36"/>
        <v>45203</v>
      </c>
      <c r="J2337" s="42">
        <f ca="1">TODAY()-qry_ProdData2_PDI_Cash_Exception_Application[[#This Row],[INSERT DATE]]</f>
        <v>11.742928240739275</v>
      </c>
      <c r="K23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37">
        <f ca="1">qry_ProdData2_PDI_Cash_Exception_Application[[#This Row],[TODAY]]-qry_ProdData2_PDI_Cash_Exception_Application[[#This Row],[CHANGED ON]]</f>
        <v>4.7429282407392748</v>
      </c>
      <c r="M2337">
        <f ca="1">qry_ProdData2_PDI_Cash_Exception_Application[[#This Row],[TODAY]]-qry_ProdData2_PDI_Cash_Exception_Application[[#This Row],[CHANGED ON]]</f>
        <v>4.7429282407392748</v>
      </c>
      <c r="N2337">
        <f ca="1">qry_ProdData2_PDI_Cash_Exception_Application[[#This Row],[TODAY]]-qry_ProdData2_PDI_Cash_Exception_Application[[#This Row],[CHANGED ON]]</f>
        <v>4.7429282407392748</v>
      </c>
    </row>
    <row r="2338" spans="1:14" x14ac:dyDescent="0.35">
      <c r="A2338">
        <v>1002</v>
      </c>
      <c r="B2338" t="s">
        <v>56</v>
      </c>
      <c r="C2338" s="1">
        <v>45181.257071759261</v>
      </c>
      <c r="D2338" t="str">
        <f ca="1">VLOOKUP(qry_ProdData2_PDI_Cash_Exception_Application[[#This Row],[TYPE]],#REF!,2,FALSE)</f>
        <v>type13</v>
      </c>
      <c r="E2338">
        <v>13467.35</v>
      </c>
      <c r="F2338" t="s">
        <v>49</v>
      </c>
      <c r="G2338" s="1">
        <f>qry_ProdData2_PDI_Cash_Exception_Application[[#This Row],[INSERT DATE]]+2</f>
        <v>45183.257071759261</v>
      </c>
      <c r="H2338" t="str">
        <f>VLOOKUP(qry_ProdData2_PDI_Cash_Exception_Application[[#This Row],[MARKET No]],'Site Allocation'!$B$2:$C$37,2,FALSE)</f>
        <v>Analyst1</v>
      </c>
      <c r="I2338" s="4">
        <f t="shared" ca="1" si="36"/>
        <v>45203</v>
      </c>
      <c r="J2338" s="42">
        <f ca="1">TODAY()-qry_ProdData2_PDI_Cash_Exception_Application[[#This Row],[INSERT DATE]]</f>
        <v>21.742928240739275</v>
      </c>
      <c r="K23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38">
        <f ca="1">qry_ProdData2_PDI_Cash_Exception_Application[[#This Row],[TODAY]]-qry_ProdData2_PDI_Cash_Exception_Application[[#This Row],[CHANGED ON]]</f>
        <v>19.742928240739275</v>
      </c>
      <c r="M2338">
        <f ca="1">qry_ProdData2_PDI_Cash_Exception_Application[[#This Row],[TODAY]]-qry_ProdData2_PDI_Cash_Exception_Application[[#This Row],[CHANGED ON]]</f>
        <v>19.742928240739275</v>
      </c>
      <c r="N2338">
        <f ca="1">qry_ProdData2_PDI_Cash_Exception_Application[[#This Row],[TODAY]]-qry_ProdData2_PDI_Cash_Exception_Application[[#This Row],[CHANGED ON]]</f>
        <v>19.742928240739275</v>
      </c>
    </row>
    <row r="2339" spans="1:14" x14ac:dyDescent="0.35">
      <c r="A2339">
        <v>1015</v>
      </c>
      <c r="B2339" t="s">
        <v>69</v>
      </c>
      <c r="C2339" s="1">
        <v>45187.257071759261</v>
      </c>
      <c r="D2339" t="str">
        <f ca="1">VLOOKUP(qry_ProdData2_PDI_Cash_Exception_Application[[#This Row],[TYPE]],#REF!,2,FALSE)</f>
        <v>type40</v>
      </c>
      <c r="E2339">
        <v>-682.64</v>
      </c>
      <c r="F2339" t="s">
        <v>48</v>
      </c>
      <c r="G2339" s="1">
        <f>qry_ProdData2_PDI_Cash_Exception_Application[[#This Row],[INSERT DATE]]+5</f>
        <v>45192.257071759261</v>
      </c>
      <c r="H2339" t="str">
        <f>VLOOKUP(qry_ProdData2_PDI_Cash_Exception_Application[[#This Row],[MARKET No]],'Site Allocation'!$B$2:$C$37,2,FALSE)</f>
        <v>Analyst3</v>
      </c>
      <c r="I2339" s="4">
        <f t="shared" ca="1" si="36"/>
        <v>45203</v>
      </c>
      <c r="J2339" s="42">
        <f ca="1">TODAY()-qry_ProdData2_PDI_Cash_Exception_Application[[#This Row],[INSERT DATE]]</f>
        <v>15.742928240739275</v>
      </c>
      <c r="K23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39">
        <f ca="1">qry_ProdData2_PDI_Cash_Exception_Application[[#This Row],[TODAY]]-qry_ProdData2_PDI_Cash_Exception_Application[[#This Row],[CHANGED ON]]</f>
        <v>10.742928240739275</v>
      </c>
      <c r="M2339">
        <f ca="1">qry_ProdData2_PDI_Cash_Exception_Application[[#This Row],[TODAY]]-qry_ProdData2_PDI_Cash_Exception_Application[[#This Row],[CHANGED ON]]</f>
        <v>10.742928240739275</v>
      </c>
      <c r="N2339">
        <f ca="1">qry_ProdData2_PDI_Cash_Exception_Application[[#This Row],[TODAY]]-qry_ProdData2_PDI_Cash_Exception_Application[[#This Row],[CHANGED ON]]</f>
        <v>10.742928240739275</v>
      </c>
    </row>
    <row r="2340" spans="1:14" x14ac:dyDescent="0.35">
      <c r="A2340">
        <v>1033</v>
      </c>
      <c r="B2340" t="s">
        <v>87</v>
      </c>
      <c r="C2340" s="1">
        <v>45190.257071759261</v>
      </c>
      <c r="D2340" t="str">
        <f ca="1">VLOOKUP(qry_ProdData2_PDI_Cash_Exception_Application[[#This Row],[TYPE]],#REF!,2,FALSE)</f>
        <v>type13</v>
      </c>
      <c r="E2340">
        <v>33270.49</v>
      </c>
      <c r="F2340" t="s">
        <v>48</v>
      </c>
      <c r="G2340" s="1">
        <f>qry_ProdData2_PDI_Cash_Exception_Application[[#This Row],[INSERT DATE]]+7</f>
        <v>45197.257071759261</v>
      </c>
      <c r="H2340" t="str">
        <f>VLOOKUP(qry_ProdData2_PDI_Cash_Exception_Application[[#This Row],[MARKET No]],'Site Allocation'!$B$2:$C$37,2,FALSE)</f>
        <v>Analyst6</v>
      </c>
      <c r="I2340" s="4">
        <f t="shared" ca="1" si="36"/>
        <v>45203</v>
      </c>
      <c r="J2340" s="42">
        <f ca="1">TODAY()-qry_ProdData2_PDI_Cash_Exception_Application[[#This Row],[INSERT DATE]]</f>
        <v>12.742928240739275</v>
      </c>
      <c r="K23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40">
        <f ca="1">qry_ProdData2_PDI_Cash_Exception_Application[[#This Row],[TODAY]]-qry_ProdData2_PDI_Cash_Exception_Application[[#This Row],[CHANGED ON]]</f>
        <v>5.7429282407392748</v>
      </c>
      <c r="M2340">
        <f ca="1">qry_ProdData2_PDI_Cash_Exception_Application[[#This Row],[TODAY]]-qry_ProdData2_PDI_Cash_Exception_Application[[#This Row],[CHANGED ON]]</f>
        <v>5.7429282407392748</v>
      </c>
      <c r="N2340">
        <f ca="1">qry_ProdData2_PDI_Cash_Exception_Application[[#This Row],[TODAY]]-qry_ProdData2_PDI_Cash_Exception_Application[[#This Row],[CHANGED ON]]</f>
        <v>5.7429282407392748</v>
      </c>
    </row>
    <row r="2341" spans="1:14" x14ac:dyDescent="0.35">
      <c r="A2341">
        <v>1030</v>
      </c>
      <c r="B2341" t="s">
        <v>84</v>
      </c>
      <c r="C2341" s="1">
        <v>45189.257071759261</v>
      </c>
      <c r="D2341" t="str">
        <f ca="1">VLOOKUP(qry_ProdData2_PDI_Cash_Exception_Application[[#This Row],[TYPE]],#REF!,2,FALSE)</f>
        <v>type40</v>
      </c>
      <c r="E2341">
        <v>10.48</v>
      </c>
      <c r="F2341" t="s">
        <v>47</v>
      </c>
      <c r="G2341" s="1">
        <f>qry_ProdData2_PDI_Cash_Exception_Application[[#This Row],[INSERT DATE]]+7</f>
        <v>45196.257071759261</v>
      </c>
      <c r="H2341" t="str">
        <f>VLOOKUP(qry_ProdData2_PDI_Cash_Exception_Application[[#This Row],[MARKET No]],'Site Allocation'!$B$2:$C$37,2,FALSE)</f>
        <v>Analyst6</v>
      </c>
      <c r="I2341" s="4">
        <f t="shared" ca="1" si="36"/>
        <v>45203</v>
      </c>
      <c r="J2341" s="42">
        <f ca="1">TODAY()-qry_ProdData2_PDI_Cash_Exception_Application[[#This Row],[INSERT DATE]]</f>
        <v>13.742928240739275</v>
      </c>
      <c r="K23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41">
        <f ca="1">qry_ProdData2_PDI_Cash_Exception_Application[[#This Row],[TODAY]]-qry_ProdData2_PDI_Cash_Exception_Application[[#This Row],[CHANGED ON]]</f>
        <v>6.7429282407392748</v>
      </c>
      <c r="M2341">
        <f ca="1">qry_ProdData2_PDI_Cash_Exception_Application[[#This Row],[TODAY]]-qry_ProdData2_PDI_Cash_Exception_Application[[#This Row],[CHANGED ON]]</f>
        <v>6.7429282407392748</v>
      </c>
      <c r="N2341">
        <f ca="1">qry_ProdData2_PDI_Cash_Exception_Application[[#This Row],[TODAY]]-qry_ProdData2_PDI_Cash_Exception_Application[[#This Row],[CHANGED ON]]</f>
        <v>6.7429282407392748</v>
      </c>
    </row>
    <row r="2342" spans="1:14" x14ac:dyDescent="0.35">
      <c r="A2342">
        <v>1011</v>
      </c>
      <c r="B2342" t="s">
        <v>65</v>
      </c>
      <c r="C2342" s="1">
        <v>45192.257071759261</v>
      </c>
      <c r="D2342" t="str">
        <f ca="1">VLOOKUP(qry_ProdData2_PDI_Cash_Exception_Application[[#This Row],[TYPE]],#REF!,2,FALSE)</f>
        <v>type40</v>
      </c>
      <c r="E2342">
        <v>-974.75</v>
      </c>
      <c r="F2342" t="s">
        <v>47</v>
      </c>
      <c r="G2342" s="1">
        <f>qry_ProdData2_PDI_Cash_Exception_Application[[#This Row],[INSERT DATE]]+7</f>
        <v>45199.257071759261</v>
      </c>
      <c r="H2342" t="str">
        <f>VLOOKUP(qry_ProdData2_PDI_Cash_Exception_Application[[#This Row],[MARKET No]],'Site Allocation'!$B$2:$C$37,2,FALSE)</f>
        <v>Analyst2</v>
      </c>
      <c r="I2342" s="4">
        <f t="shared" ca="1" si="36"/>
        <v>45203</v>
      </c>
      <c r="J2342" s="42">
        <f ca="1">TODAY()-qry_ProdData2_PDI_Cash_Exception_Application[[#This Row],[INSERT DATE]]</f>
        <v>10.742928240739275</v>
      </c>
      <c r="K23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42">
        <f ca="1">qry_ProdData2_PDI_Cash_Exception_Application[[#This Row],[TODAY]]-qry_ProdData2_PDI_Cash_Exception_Application[[#This Row],[CHANGED ON]]</f>
        <v>3.7429282407392748</v>
      </c>
      <c r="M2342">
        <f ca="1">qry_ProdData2_PDI_Cash_Exception_Application[[#This Row],[TODAY]]-qry_ProdData2_PDI_Cash_Exception_Application[[#This Row],[CHANGED ON]]</f>
        <v>3.7429282407392748</v>
      </c>
      <c r="N2342">
        <f ca="1">qry_ProdData2_PDI_Cash_Exception_Application[[#This Row],[TODAY]]-qry_ProdData2_PDI_Cash_Exception_Application[[#This Row],[CHANGED ON]]</f>
        <v>3.7429282407392748</v>
      </c>
    </row>
    <row r="2343" spans="1:14" x14ac:dyDescent="0.35">
      <c r="A2343">
        <v>1032</v>
      </c>
      <c r="B2343" t="s">
        <v>86</v>
      </c>
      <c r="C2343" s="1">
        <v>45187.257071759261</v>
      </c>
      <c r="D2343" t="str">
        <f ca="1">VLOOKUP(qry_ProdData2_PDI_Cash_Exception_Application[[#This Row],[TYPE]],#REF!,2,FALSE)</f>
        <v>type40</v>
      </c>
      <c r="E2343">
        <v>-1338.37</v>
      </c>
      <c r="F2343" t="s">
        <v>51</v>
      </c>
      <c r="G2343" s="1">
        <f>qry_ProdData2_PDI_Cash_Exception_Application[[#This Row],[INSERT DATE]]+5</f>
        <v>45192.257071759261</v>
      </c>
      <c r="H2343" t="str">
        <f>VLOOKUP(qry_ProdData2_PDI_Cash_Exception_Application[[#This Row],[MARKET No]],'Site Allocation'!$B$2:$C$37,2,FALSE)</f>
        <v>Analyst6</v>
      </c>
      <c r="I2343" s="4">
        <f t="shared" ca="1" si="36"/>
        <v>45203</v>
      </c>
      <c r="J2343" s="42">
        <f ca="1">TODAY()-qry_ProdData2_PDI_Cash_Exception_Application[[#This Row],[INSERT DATE]]</f>
        <v>15.742928240739275</v>
      </c>
      <c r="K23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43">
        <f ca="1">qry_ProdData2_PDI_Cash_Exception_Application[[#This Row],[TODAY]]-qry_ProdData2_PDI_Cash_Exception_Application[[#This Row],[CHANGED ON]]</f>
        <v>10.742928240739275</v>
      </c>
      <c r="M2343">
        <f ca="1">qry_ProdData2_PDI_Cash_Exception_Application[[#This Row],[TODAY]]-qry_ProdData2_PDI_Cash_Exception_Application[[#This Row],[CHANGED ON]]</f>
        <v>10.742928240739275</v>
      </c>
      <c r="N2343">
        <f ca="1">qry_ProdData2_PDI_Cash_Exception_Application[[#This Row],[TODAY]]-qry_ProdData2_PDI_Cash_Exception_Application[[#This Row],[CHANGED ON]]</f>
        <v>10.742928240739275</v>
      </c>
    </row>
    <row r="2344" spans="1:14" x14ac:dyDescent="0.35">
      <c r="A2344">
        <v>1011</v>
      </c>
      <c r="B2344" t="s">
        <v>65</v>
      </c>
      <c r="C2344" s="1">
        <v>45185.257071759261</v>
      </c>
      <c r="D2344" t="str">
        <f ca="1">VLOOKUP(qry_ProdData2_PDI_Cash_Exception_Application[[#This Row],[TYPE]],#REF!,2,FALSE)</f>
        <v>type13</v>
      </c>
      <c r="E2344">
        <v>14480.08</v>
      </c>
      <c r="F2344" t="s">
        <v>49</v>
      </c>
      <c r="G2344" s="1">
        <f>qry_ProdData2_PDI_Cash_Exception_Application[[#This Row],[INSERT DATE]]+7</f>
        <v>45192.257071759261</v>
      </c>
      <c r="H2344" t="str">
        <f>VLOOKUP(qry_ProdData2_PDI_Cash_Exception_Application[[#This Row],[MARKET No]],'Site Allocation'!$B$2:$C$37,2,FALSE)</f>
        <v>Analyst2</v>
      </c>
      <c r="I2344" s="4">
        <f t="shared" ca="1" si="36"/>
        <v>45203</v>
      </c>
      <c r="J2344" s="42">
        <f ca="1">TODAY()-qry_ProdData2_PDI_Cash_Exception_Application[[#This Row],[INSERT DATE]]</f>
        <v>17.742928240739275</v>
      </c>
      <c r="K23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44">
        <f ca="1">qry_ProdData2_PDI_Cash_Exception_Application[[#This Row],[TODAY]]-qry_ProdData2_PDI_Cash_Exception_Application[[#This Row],[CHANGED ON]]</f>
        <v>10.742928240739275</v>
      </c>
      <c r="M2344">
        <f ca="1">qry_ProdData2_PDI_Cash_Exception_Application[[#This Row],[TODAY]]-qry_ProdData2_PDI_Cash_Exception_Application[[#This Row],[CHANGED ON]]</f>
        <v>10.742928240739275</v>
      </c>
      <c r="N2344">
        <f ca="1">qry_ProdData2_PDI_Cash_Exception_Application[[#This Row],[TODAY]]-qry_ProdData2_PDI_Cash_Exception_Application[[#This Row],[CHANGED ON]]</f>
        <v>10.742928240739275</v>
      </c>
    </row>
    <row r="2345" spans="1:14" x14ac:dyDescent="0.35">
      <c r="A2345">
        <v>1008</v>
      </c>
      <c r="B2345" t="s">
        <v>62</v>
      </c>
      <c r="C2345" s="1">
        <v>45187.257071759261</v>
      </c>
      <c r="D2345" t="str">
        <f ca="1">VLOOKUP(qry_ProdData2_PDI_Cash_Exception_Application[[#This Row],[TYPE]],#REF!,2,FALSE)</f>
        <v>type8</v>
      </c>
      <c r="E2345">
        <v>60</v>
      </c>
      <c r="F2345" t="s">
        <v>47</v>
      </c>
      <c r="G2345" s="1">
        <f>qry_ProdData2_PDI_Cash_Exception_Application[[#This Row],[INSERT DATE]]+2</f>
        <v>45189.257071759261</v>
      </c>
      <c r="H2345" t="str">
        <f>VLOOKUP(qry_ProdData2_PDI_Cash_Exception_Application[[#This Row],[MARKET No]],'Site Allocation'!$B$2:$C$37,2,FALSE)</f>
        <v>Analyst2</v>
      </c>
      <c r="I2345" s="4">
        <f t="shared" ca="1" si="36"/>
        <v>45203</v>
      </c>
      <c r="J2345" s="42">
        <f ca="1">TODAY()-qry_ProdData2_PDI_Cash_Exception_Application[[#This Row],[INSERT DATE]]</f>
        <v>15.742928240739275</v>
      </c>
      <c r="K23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45">
        <f ca="1">qry_ProdData2_PDI_Cash_Exception_Application[[#This Row],[TODAY]]-qry_ProdData2_PDI_Cash_Exception_Application[[#This Row],[CHANGED ON]]</f>
        <v>13.742928240739275</v>
      </c>
      <c r="M2345">
        <f ca="1">qry_ProdData2_PDI_Cash_Exception_Application[[#This Row],[TODAY]]-qry_ProdData2_PDI_Cash_Exception_Application[[#This Row],[CHANGED ON]]</f>
        <v>13.742928240739275</v>
      </c>
      <c r="N2345">
        <f ca="1">qry_ProdData2_PDI_Cash_Exception_Application[[#This Row],[TODAY]]-qry_ProdData2_PDI_Cash_Exception_Application[[#This Row],[CHANGED ON]]</f>
        <v>13.742928240739275</v>
      </c>
    </row>
    <row r="2346" spans="1:14" x14ac:dyDescent="0.35">
      <c r="A2346">
        <v>1030</v>
      </c>
      <c r="B2346" t="s">
        <v>84</v>
      </c>
      <c r="C2346" s="1">
        <v>45189.257071759261</v>
      </c>
      <c r="D2346" t="str">
        <f ca="1">VLOOKUP(qry_ProdData2_PDI_Cash_Exception_Application[[#This Row],[TYPE]],#REF!,2,FALSE)</f>
        <v>type40</v>
      </c>
      <c r="E2346">
        <v>-443.17</v>
      </c>
      <c r="F2346" t="s">
        <v>47</v>
      </c>
      <c r="G2346" s="1">
        <f>qry_ProdData2_PDI_Cash_Exception_Application[[#This Row],[INSERT DATE]]+2</f>
        <v>45191.257071759261</v>
      </c>
      <c r="H2346" t="str">
        <f>VLOOKUP(qry_ProdData2_PDI_Cash_Exception_Application[[#This Row],[MARKET No]],'Site Allocation'!$B$2:$C$37,2,FALSE)</f>
        <v>Analyst6</v>
      </c>
      <c r="I2346" s="4">
        <f t="shared" ca="1" si="36"/>
        <v>45203</v>
      </c>
      <c r="J2346" s="42">
        <f ca="1">TODAY()-qry_ProdData2_PDI_Cash_Exception_Application[[#This Row],[INSERT DATE]]</f>
        <v>13.742928240739275</v>
      </c>
      <c r="K23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46">
        <f ca="1">qry_ProdData2_PDI_Cash_Exception_Application[[#This Row],[TODAY]]-qry_ProdData2_PDI_Cash_Exception_Application[[#This Row],[CHANGED ON]]</f>
        <v>11.742928240739275</v>
      </c>
      <c r="M2346">
        <f ca="1">qry_ProdData2_PDI_Cash_Exception_Application[[#This Row],[TODAY]]-qry_ProdData2_PDI_Cash_Exception_Application[[#This Row],[CHANGED ON]]</f>
        <v>11.742928240739275</v>
      </c>
      <c r="N2346">
        <f ca="1">qry_ProdData2_PDI_Cash_Exception_Application[[#This Row],[TODAY]]-qry_ProdData2_PDI_Cash_Exception_Application[[#This Row],[CHANGED ON]]</f>
        <v>11.742928240739275</v>
      </c>
    </row>
    <row r="2347" spans="1:14" x14ac:dyDescent="0.35">
      <c r="A2347">
        <v>1031</v>
      </c>
      <c r="B2347" t="s">
        <v>85</v>
      </c>
      <c r="C2347" s="1">
        <v>45186.257071759261</v>
      </c>
      <c r="D2347" t="str">
        <f ca="1">VLOOKUP(qry_ProdData2_PDI_Cash_Exception_Application[[#This Row],[TYPE]],#REF!,2,FALSE)</f>
        <v>type13</v>
      </c>
      <c r="E2347">
        <v>14761.61</v>
      </c>
      <c r="F2347" t="s">
        <v>49</v>
      </c>
      <c r="G2347" s="1">
        <f>qry_ProdData2_PDI_Cash_Exception_Application[[#This Row],[INSERT DATE]]+7</f>
        <v>45193.257071759261</v>
      </c>
      <c r="H2347" t="str">
        <f>VLOOKUP(qry_ProdData2_PDI_Cash_Exception_Application[[#This Row],[MARKET No]],'Site Allocation'!$B$2:$C$37,2,FALSE)</f>
        <v>Analyst6</v>
      </c>
      <c r="I2347" s="4">
        <f t="shared" ca="1" si="36"/>
        <v>45203</v>
      </c>
      <c r="J2347" s="42">
        <f ca="1">TODAY()-qry_ProdData2_PDI_Cash_Exception_Application[[#This Row],[INSERT DATE]]</f>
        <v>16.742928240739275</v>
      </c>
      <c r="K23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47">
        <f ca="1">qry_ProdData2_PDI_Cash_Exception_Application[[#This Row],[TODAY]]-qry_ProdData2_PDI_Cash_Exception_Application[[#This Row],[CHANGED ON]]</f>
        <v>9.7429282407392748</v>
      </c>
      <c r="M2347">
        <f ca="1">qry_ProdData2_PDI_Cash_Exception_Application[[#This Row],[TODAY]]-qry_ProdData2_PDI_Cash_Exception_Application[[#This Row],[CHANGED ON]]</f>
        <v>9.7429282407392748</v>
      </c>
      <c r="N2347">
        <f ca="1">qry_ProdData2_PDI_Cash_Exception_Application[[#This Row],[TODAY]]-qry_ProdData2_PDI_Cash_Exception_Application[[#This Row],[CHANGED ON]]</f>
        <v>9.7429282407392748</v>
      </c>
    </row>
    <row r="2348" spans="1:14" x14ac:dyDescent="0.35">
      <c r="A2348">
        <v>1035</v>
      </c>
      <c r="B2348" t="s">
        <v>89</v>
      </c>
      <c r="C2348" s="1">
        <v>45182.257071759261</v>
      </c>
      <c r="D2348" t="str">
        <f ca="1">VLOOKUP(qry_ProdData2_PDI_Cash_Exception_Application[[#This Row],[TYPE]],#REF!,2,FALSE)</f>
        <v>type17</v>
      </c>
      <c r="E2348">
        <v>305.8</v>
      </c>
      <c r="F2348" t="s">
        <v>50</v>
      </c>
      <c r="G2348" s="1">
        <f>qry_ProdData2_PDI_Cash_Exception_Application[[#This Row],[INSERT DATE]]+1</f>
        <v>45183.257071759261</v>
      </c>
      <c r="H2348" t="str">
        <f>VLOOKUP(qry_ProdData2_PDI_Cash_Exception_Application[[#This Row],[MARKET No]],'Site Allocation'!$B$2:$C$37,2,FALSE)</f>
        <v>Analyst6</v>
      </c>
      <c r="I2348" s="4">
        <f t="shared" ca="1" si="36"/>
        <v>45203</v>
      </c>
      <c r="J2348" s="42">
        <f ca="1">TODAY()-qry_ProdData2_PDI_Cash_Exception_Application[[#This Row],[INSERT DATE]]</f>
        <v>20.742928240739275</v>
      </c>
      <c r="K23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48">
        <f ca="1">qry_ProdData2_PDI_Cash_Exception_Application[[#This Row],[TODAY]]-qry_ProdData2_PDI_Cash_Exception_Application[[#This Row],[CHANGED ON]]</f>
        <v>19.742928240739275</v>
      </c>
      <c r="M2348">
        <f ca="1">qry_ProdData2_PDI_Cash_Exception_Application[[#This Row],[TODAY]]-qry_ProdData2_PDI_Cash_Exception_Application[[#This Row],[CHANGED ON]]</f>
        <v>19.742928240739275</v>
      </c>
      <c r="N2348">
        <f ca="1">qry_ProdData2_PDI_Cash_Exception_Application[[#This Row],[TODAY]]-qry_ProdData2_PDI_Cash_Exception_Application[[#This Row],[CHANGED ON]]</f>
        <v>19.742928240739275</v>
      </c>
    </row>
    <row r="2349" spans="1:14" x14ac:dyDescent="0.35">
      <c r="A2349">
        <v>1022</v>
      </c>
      <c r="B2349" t="s">
        <v>76</v>
      </c>
      <c r="C2349" s="1">
        <v>45191.257071759261</v>
      </c>
      <c r="D2349" t="str">
        <f ca="1">VLOOKUP(qry_ProdData2_PDI_Cash_Exception_Application[[#This Row],[TYPE]],#REF!,2,FALSE)</f>
        <v>type13</v>
      </c>
      <c r="E2349">
        <v>13995</v>
      </c>
      <c r="F2349" t="s">
        <v>47</v>
      </c>
      <c r="G2349" s="1">
        <f>qry_ProdData2_PDI_Cash_Exception_Application[[#This Row],[INSERT DATE]]+5</f>
        <v>45196.257071759261</v>
      </c>
      <c r="H2349" t="str">
        <f>VLOOKUP(qry_ProdData2_PDI_Cash_Exception_Application[[#This Row],[MARKET No]],'Site Allocation'!$B$2:$C$37,2,FALSE)</f>
        <v>Analyst4</v>
      </c>
      <c r="I2349" s="4">
        <f t="shared" ca="1" si="36"/>
        <v>45203</v>
      </c>
      <c r="J2349" s="42">
        <f ca="1">TODAY()-qry_ProdData2_PDI_Cash_Exception_Application[[#This Row],[INSERT DATE]]</f>
        <v>11.742928240739275</v>
      </c>
      <c r="K23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49">
        <f ca="1">qry_ProdData2_PDI_Cash_Exception_Application[[#This Row],[TODAY]]-qry_ProdData2_PDI_Cash_Exception_Application[[#This Row],[CHANGED ON]]</f>
        <v>6.7429282407392748</v>
      </c>
      <c r="M2349">
        <f ca="1">qry_ProdData2_PDI_Cash_Exception_Application[[#This Row],[TODAY]]-qry_ProdData2_PDI_Cash_Exception_Application[[#This Row],[CHANGED ON]]</f>
        <v>6.7429282407392748</v>
      </c>
      <c r="N2349">
        <f ca="1">qry_ProdData2_PDI_Cash_Exception_Application[[#This Row],[TODAY]]-qry_ProdData2_PDI_Cash_Exception_Application[[#This Row],[CHANGED ON]]</f>
        <v>6.7429282407392748</v>
      </c>
    </row>
    <row r="2350" spans="1:14" x14ac:dyDescent="0.35">
      <c r="A2350">
        <v>1018</v>
      </c>
      <c r="B2350" t="s">
        <v>72</v>
      </c>
      <c r="C2350" s="1">
        <v>45183.257071759261</v>
      </c>
      <c r="D2350" t="str">
        <f ca="1">VLOOKUP(qry_ProdData2_PDI_Cash_Exception_Application[[#This Row],[TYPE]],#REF!,2,FALSE)</f>
        <v>type10</v>
      </c>
      <c r="E2350">
        <v>100.57</v>
      </c>
      <c r="F2350" t="s">
        <v>50</v>
      </c>
      <c r="G2350" s="1">
        <f>qry_ProdData2_PDI_Cash_Exception_Application[[#This Row],[INSERT DATE]]+1</f>
        <v>45184.257071759261</v>
      </c>
      <c r="H2350" t="str">
        <f>VLOOKUP(qry_ProdData2_PDI_Cash_Exception_Application[[#This Row],[MARKET No]],'Site Allocation'!$B$2:$C$37,2,FALSE)</f>
        <v>Analyst4</v>
      </c>
      <c r="I2350" s="4">
        <f t="shared" ca="1" si="36"/>
        <v>45203</v>
      </c>
      <c r="J2350" s="42">
        <f ca="1">TODAY()-qry_ProdData2_PDI_Cash_Exception_Application[[#This Row],[INSERT DATE]]</f>
        <v>19.742928240739275</v>
      </c>
      <c r="K23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50">
        <f ca="1">qry_ProdData2_PDI_Cash_Exception_Application[[#This Row],[TODAY]]-qry_ProdData2_PDI_Cash_Exception_Application[[#This Row],[CHANGED ON]]</f>
        <v>18.742928240739275</v>
      </c>
      <c r="M2350">
        <f ca="1">qry_ProdData2_PDI_Cash_Exception_Application[[#This Row],[TODAY]]-qry_ProdData2_PDI_Cash_Exception_Application[[#This Row],[CHANGED ON]]</f>
        <v>18.742928240739275</v>
      </c>
      <c r="N2350">
        <f ca="1">qry_ProdData2_PDI_Cash_Exception_Application[[#This Row],[TODAY]]-qry_ProdData2_PDI_Cash_Exception_Application[[#This Row],[CHANGED ON]]</f>
        <v>18.742928240739275</v>
      </c>
    </row>
    <row r="2351" spans="1:14" x14ac:dyDescent="0.35">
      <c r="A2351">
        <v>1031</v>
      </c>
      <c r="B2351" t="s">
        <v>85</v>
      </c>
      <c r="C2351" s="1">
        <v>45184.257071759261</v>
      </c>
      <c r="D2351" t="str">
        <f ca="1">VLOOKUP(qry_ProdData2_PDI_Cash_Exception_Application[[#This Row],[TYPE]],#REF!,2,FALSE)</f>
        <v>type35</v>
      </c>
      <c r="E2351">
        <v>479.82</v>
      </c>
      <c r="F2351" t="s">
        <v>52</v>
      </c>
      <c r="G2351" s="1">
        <f>qry_ProdData2_PDI_Cash_Exception_Application[[#This Row],[INSERT DATE]]+1</f>
        <v>45185.257071759261</v>
      </c>
      <c r="H2351" t="str">
        <f>VLOOKUP(qry_ProdData2_PDI_Cash_Exception_Application[[#This Row],[MARKET No]],'Site Allocation'!$B$2:$C$37,2,FALSE)</f>
        <v>Analyst6</v>
      </c>
      <c r="I2351" s="4">
        <f t="shared" ca="1" si="36"/>
        <v>45203</v>
      </c>
      <c r="J2351" s="42">
        <f ca="1">TODAY()-qry_ProdData2_PDI_Cash_Exception_Application[[#This Row],[INSERT DATE]]</f>
        <v>18.742928240739275</v>
      </c>
      <c r="K23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51">
        <f ca="1">qry_ProdData2_PDI_Cash_Exception_Application[[#This Row],[TODAY]]-qry_ProdData2_PDI_Cash_Exception_Application[[#This Row],[CHANGED ON]]</f>
        <v>17.742928240739275</v>
      </c>
      <c r="M2351">
        <f ca="1">qry_ProdData2_PDI_Cash_Exception_Application[[#This Row],[TODAY]]-qry_ProdData2_PDI_Cash_Exception_Application[[#This Row],[CHANGED ON]]</f>
        <v>17.742928240739275</v>
      </c>
      <c r="N2351">
        <f ca="1">qry_ProdData2_PDI_Cash_Exception_Application[[#This Row],[TODAY]]-qry_ProdData2_PDI_Cash_Exception_Application[[#This Row],[CHANGED ON]]</f>
        <v>17.742928240739275</v>
      </c>
    </row>
    <row r="2352" spans="1:14" x14ac:dyDescent="0.35">
      <c r="A2352">
        <v>1004</v>
      </c>
      <c r="B2352" t="s">
        <v>58</v>
      </c>
      <c r="C2352" s="1">
        <v>45187.257071759261</v>
      </c>
      <c r="D2352" t="str">
        <f ca="1">VLOOKUP(qry_ProdData2_PDI_Cash_Exception_Application[[#This Row],[TYPE]],#REF!,2,FALSE)</f>
        <v>type13</v>
      </c>
      <c r="E2352">
        <v>20024.32</v>
      </c>
      <c r="F2352" t="s">
        <v>49</v>
      </c>
      <c r="G2352" s="1">
        <f>qry_ProdData2_PDI_Cash_Exception_Application[[#This Row],[INSERT DATE]]+7</f>
        <v>45194.257071759261</v>
      </c>
      <c r="H2352" t="str">
        <f>VLOOKUP(qry_ProdData2_PDI_Cash_Exception_Application[[#This Row],[MARKET No]],'Site Allocation'!$B$2:$C$37,2,FALSE)</f>
        <v>Analyst1</v>
      </c>
      <c r="I2352" s="4">
        <f t="shared" ca="1" si="36"/>
        <v>45203</v>
      </c>
      <c r="J2352" s="42">
        <f ca="1">TODAY()-qry_ProdData2_PDI_Cash_Exception_Application[[#This Row],[INSERT DATE]]</f>
        <v>15.742928240739275</v>
      </c>
      <c r="K23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52">
        <f ca="1">qry_ProdData2_PDI_Cash_Exception_Application[[#This Row],[TODAY]]-qry_ProdData2_PDI_Cash_Exception_Application[[#This Row],[CHANGED ON]]</f>
        <v>8.7429282407392748</v>
      </c>
      <c r="M2352">
        <f ca="1">qry_ProdData2_PDI_Cash_Exception_Application[[#This Row],[TODAY]]-qry_ProdData2_PDI_Cash_Exception_Application[[#This Row],[CHANGED ON]]</f>
        <v>8.7429282407392748</v>
      </c>
      <c r="N2352">
        <f ca="1">qry_ProdData2_PDI_Cash_Exception_Application[[#This Row],[TODAY]]-qry_ProdData2_PDI_Cash_Exception_Application[[#This Row],[CHANGED ON]]</f>
        <v>8.7429282407392748</v>
      </c>
    </row>
    <row r="2353" spans="1:14" x14ac:dyDescent="0.35">
      <c r="A2353">
        <v>1004</v>
      </c>
      <c r="B2353" t="s">
        <v>58</v>
      </c>
      <c r="C2353" s="1">
        <v>45185.257071759261</v>
      </c>
      <c r="D2353" t="str">
        <f ca="1">VLOOKUP(qry_ProdData2_PDI_Cash_Exception_Application[[#This Row],[TYPE]],#REF!,2,FALSE)</f>
        <v>type18</v>
      </c>
      <c r="E2353">
        <v>809.3</v>
      </c>
      <c r="F2353" t="s">
        <v>50</v>
      </c>
      <c r="G2353" s="1">
        <f>qry_ProdData2_PDI_Cash_Exception_Application[[#This Row],[INSERT DATE]]+1</f>
        <v>45186.257071759261</v>
      </c>
      <c r="H2353" t="str">
        <f>VLOOKUP(qry_ProdData2_PDI_Cash_Exception_Application[[#This Row],[MARKET No]],'Site Allocation'!$B$2:$C$37,2,FALSE)</f>
        <v>Analyst1</v>
      </c>
      <c r="I2353" s="4">
        <f t="shared" ca="1" si="36"/>
        <v>45203</v>
      </c>
      <c r="J2353" s="42">
        <f ca="1">TODAY()-qry_ProdData2_PDI_Cash_Exception_Application[[#This Row],[INSERT DATE]]</f>
        <v>17.742928240739275</v>
      </c>
      <c r="K23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53">
        <f ca="1">qry_ProdData2_PDI_Cash_Exception_Application[[#This Row],[TODAY]]-qry_ProdData2_PDI_Cash_Exception_Application[[#This Row],[CHANGED ON]]</f>
        <v>16.742928240739275</v>
      </c>
      <c r="M2353">
        <f ca="1">qry_ProdData2_PDI_Cash_Exception_Application[[#This Row],[TODAY]]-qry_ProdData2_PDI_Cash_Exception_Application[[#This Row],[CHANGED ON]]</f>
        <v>16.742928240739275</v>
      </c>
      <c r="N2353">
        <f ca="1">qry_ProdData2_PDI_Cash_Exception_Application[[#This Row],[TODAY]]-qry_ProdData2_PDI_Cash_Exception_Application[[#This Row],[CHANGED ON]]</f>
        <v>16.742928240739275</v>
      </c>
    </row>
    <row r="2354" spans="1:14" x14ac:dyDescent="0.35">
      <c r="A2354">
        <v>1029</v>
      </c>
      <c r="B2354" t="s">
        <v>83</v>
      </c>
      <c r="C2354" s="1">
        <v>45184.257071759261</v>
      </c>
      <c r="D2354" t="str">
        <f ca="1">VLOOKUP(qry_ProdData2_PDI_Cash_Exception_Application[[#This Row],[TYPE]],#REF!,2,FALSE)</f>
        <v>type40</v>
      </c>
      <c r="E2354">
        <v>498.75</v>
      </c>
      <c r="F2354" t="s">
        <v>47</v>
      </c>
      <c r="G2354" s="1">
        <f>qry_ProdData2_PDI_Cash_Exception_Application[[#This Row],[INSERT DATE]]+7</f>
        <v>45191.257071759261</v>
      </c>
      <c r="H2354" t="str">
        <f>VLOOKUP(qry_ProdData2_PDI_Cash_Exception_Application[[#This Row],[MARKET No]],'Site Allocation'!$B$2:$C$37,2,FALSE)</f>
        <v>Analyst5</v>
      </c>
      <c r="I2354" s="4">
        <f t="shared" ca="1" si="36"/>
        <v>45203</v>
      </c>
      <c r="J2354" s="42">
        <f ca="1">TODAY()-qry_ProdData2_PDI_Cash_Exception_Application[[#This Row],[INSERT DATE]]</f>
        <v>18.742928240739275</v>
      </c>
      <c r="K23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54">
        <f ca="1">qry_ProdData2_PDI_Cash_Exception_Application[[#This Row],[TODAY]]-qry_ProdData2_PDI_Cash_Exception_Application[[#This Row],[CHANGED ON]]</f>
        <v>11.742928240739275</v>
      </c>
      <c r="M2354">
        <f ca="1">qry_ProdData2_PDI_Cash_Exception_Application[[#This Row],[TODAY]]-qry_ProdData2_PDI_Cash_Exception_Application[[#This Row],[CHANGED ON]]</f>
        <v>11.742928240739275</v>
      </c>
      <c r="N2354">
        <f ca="1">qry_ProdData2_PDI_Cash_Exception_Application[[#This Row],[TODAY]]-qry_ProdData2_PDI_Cash_Exception_Application[[#This Row],[CHANGED ON]]</f>
        <v>11.742928240739275</v>
      </c>
    </row>
    <row r="2355" spans="1:14" x14ac:dyDescent="0.35">
      <c r="A2355">
        <v>1030</v>
      </c>
      <c r="B2355" t="s">
        <v>84</v>
      </c>
      <c r="C2355" s="1">
        <v>45186.257071759261</v>
      </c>
      <c r="D2355" t="str">
        <f ca="1">VLOOKUP(qry_ProdData2_PDI_Cash_Exception_Application[[#This Row],[TYPE]],#REF!,2,FALSE)</f>
        <v>type40</v>
      </c>
      <c r="E2355">
        <v>24.97</v>
      </c>
      <c r="F2355" t="s">
        <v>52</v>
      </c>
      <c r="G2355" s="1">
        <f>qry_ProdData2_PDI_Cash_Exception_Application[[#This Row],[INSERT DATE]]+1</f>
        <v>45187.257071759261</v>
      </c>
      <c r="H2355" t="str">
        <f>VLOOKUP(qry_ProdData2_PDI_Cash_Exception_Application[[#This Row],[MARKET No]],'Site Allocation'!$B$2:$C$37,2,FALSE)</f>
        <v>Analyst6</v>
      </c>
      <c r="I2355" s="4">
        <f t="shared" ca="1" si="36"/>
        <v>45203</v>
      </c>
      <c r="J2355" s="42">
        <f ca="1">TODAY()-qry_ProdData2_PDI_Cash_Exception_Application[[#This Row],[INSERT DATE]]</f>
        <v>16.742928240739275</v>
      </c>
      <c r="K23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55">
        <f ca="1">qry_ProdData2_PDI_Cash_Exception_Application[[#This Row],[TODAY]]-qry_ProdData2_PDI_Cash_Exception_Application[[#This Row],[CHANGED ON]]</f>
        <v>15.742928240739275</v>
      </c>
      <c r="M2355">
        <f ca="1">qry_ProdData2_PDI_Cash_Exception_Application[[#This Row],[TODAY]]-qry_ProdData2_PDI_Cash_Exception_Application[[#This Row],[CHANGED ON]]</f>
        <v>15.742928240739275</v>
      </c>
      <c r="N2355">
        <f ca="1">qry_ProdData2_PDI_Cash_Exception_Application[[#This Row],[TODAY]]-qry_ProdData2_PDI_Cash_Exception_Application[[#This Row],[CHANGED ON]]</f>
        <v>15.742928240739275</v>
      </c>
    </row>
    <row r="2356" spans="1:14" x14ac:dyDescent="0.35">
      <c r="A2356">
        <v>1004</v>
      </c>
      <c r="B2356" t="s">
        <v>58</v>
      </c>
      <c r="C2356" s="1">
        <v>45179.257071759261</v>
      </c>
      <c r="D2356" t="str">
        <f ca="1">VLOOKUP(qry_ProdData2_PDI_Cash_Exception_Application[[#This Row],[TYPE]],#REF!,2,FALSE)</f>
        <v>type2</v>
      </c>
      <c r="E2356">
        <v>1171</v>
      </c>
      <c r="F2356" t="s">
        <v>48</v>
      </c>
      <c r="G2356" s="1">
        <f>qry_ProdData2_PDI_Cash_Exception_Application[[#This Row],[INSERT DATE]]+7</f>
        <v>45186.257071759261</v>
      </c>
      <c r="H2356" t="str">
        <f>VLOOKUP(qry_ProdData2_PDI_Cash_Exception_Application[[#This Row],[MARKET No]],'Site Allocation'!$B$2:$C$37,2,FALSE)</f>
        <v>Analyst1</v>
      </c>
      <c r="I2356" s="4">
        <f t="shared" ca="1" si="36"/>
        <v>45203</v>
      </c>
      <c r="J2356" s="42">
        <f ca="1">TODAY()-qry_ProdData2_PDI_Cash_Exception_Application[[#This Row],[INSERT DATE]]</f>
        <v>23.742928240739275</v>
      </c>
      <c r="K23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56">
        <f ca="1">qry_ProdData2_PDI_Cash_Exception_Application[[#This Row],[TODAY]]-qry_ProdData2_PDI_Cash_Exception_Application[[#This Row],[CHANGED ON]]</f>
        <v>16.742928240739275</v>
      </c>
      <c r="M2356">
        <f ca="1">qry_ProdData2_PDI_Cash_Exception_Application[[#This Row],[TODAY]]-qry_ProdData2_PDI_Cash_Exception_Application[[#This Row],[CHANGED ON]]</f>
        <v>16.742928240739275</v>
      </c>
      <c r="N2356">
        <f ca="1">qry_ProdData2_PDI_Cash_Exception_Application[[#This Row],[TODAY]]-qry_ProdData2_PDI_Cash_Exception_Application[[#This Row],[CHANGED ON]]</f>
        <v>16.742928240739275</v>
      </c>
    </row>
    <row r="2357" spans="1:14" x14ac:dyDescent="0.35">
      <c r="A2357">
        <v>1007</v>
      </c>
      <c r="B2357" t="s">
        <v>61</v>
      </c>
      <c r="C2357" s="1">
        <v>45188.257071759261</v>
      </c>
      <c r="D2357" t="str">
        <f ca="1">VLOOKUP(qry_ProdData2_PDI_Cash_Exception_Application[[#This Row],[TYPE]],#REF!,2,FALSE)</f>
        <v>type40</v>
      </c>
      <c r="E2357">
        <v>5870.95</v>
      </c>
      <c r="F2357" t="s">
        <v>51</v>
      </c>
      <c r="G2357" s="1">
        <f>qry_ProdData2_PDI_Cash_Exception_Application[[#This Row],[INSERT DATE]]+5</f>
        <v>45193.257071759261</v>
      </c>
      <c r="H2357" t="str">
        <f>VLOOKUP(qry_ProdData2_PDI_Cash_Exception_Application[[#This Row],[MARKET No]],'Site Allocation'!$B$2:$C$37,2,FALSE)</f>
        <v>Analyst2</v>
      </c>
      <c r="I2357" s="4">
        <f t="shared" ca="1" si="36"/>
        <v>45203</v>
      </c>
      <c r="J2357" s="42">
        <f ca="1">TODAY()-qry_ProdData2_PDI_Cash_Exception_Application[[#This Row],[INSERT DATE]]</f>
        <v>14.742928240739275</v>
      </c>
      <c r="K23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57">
        <f ca="1">qry_ProdData2_PDI_Cash_Exception_Application[[#This Row],[TODAY]]-qry_ProdData2_PDI_Cash_Exception_Application[[#This Row],[CHANGED ON]]</f>
        <v>9.7429282407392748</v>
      </c>
      <c r="M2357">
        <f ca="1">qry_ProdData2_PDI_Cash_Exception_Application[[#This Row],[TODAY]]-qry_ProdData2_PDI_Cash_Exception_Application[[#This Row],[CHANGED ON]]</f>
        <v>9.7429282407392748</v>
      </c>
      <c r="N2357">
        <f ca="1">qry_ProdData2_PDI_Cash_Exception_Application[[#This Row],[TODAY]]-qry_ProdData2_PDI_Cash_Exception_Application[[#This Row],[CHANGED ON]]</f>
        <v>9.7429282407392748</v>
      </c>
    </row>
    <row r="2358" spans="1:14" x14ac:dyDescent="0.35">
      <c r="A2358">
        <v>1027</v>
      </c>
      <c r="B2358" t="s">
        <v>81</v>
      </c>
      <c r="C2358" s="1">
        <v>45188.257071759261</v>
      </c>
      <c r="D2358" t="str">
        <f ca="1">VLOOKUP(qry_ProdData2_PDI_Cash_Exception_Application[[#This Row],[TYPE]],#REF!,2,FALSE)</f>
        <v>type32</v>
      </c>
      <c r="E2358">
        <v>3648.52</v>
      </c>
      <c r="F2358" t="s">
        <v>52</v>
      </c>
      <c r="G2358" s="1">
        <f>qry_ProdData2_PDI_Cash_Exception_Application[[#This Row],[INSERT DATE]]+2</f>
        <v>45190.257071759261</v>
      </c>
      <c r="H2358" t="str">
        <f>VLOOKUP(qry_ProdData2_PDI_Cash_Exception_Application[[#This Row],[MARKET No]],'Site Allocation'!$B$2:$C$37,2,FALSE)</f>
        <v>Analyst5</v>
      </c>
      <c r="I2358" s="4">
        <f t="shared" ca="1" si="36"/>
        <v>45203</v>
      </c>
      <c r="J2358" s="42">
        <f ca="1">TODAY()-qry_ProdData2_PDI_Cash_Exception_Application[[#This Row],[INSERT DATE]]</f>
        <v>14.742928240739275</v>
      </c>
      <c r="K23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58">
        <f ca="1">qry_ProdData2_PDI_Cash_Exception_Application[[#This Row],[TODAY]]-qry_ProdData2_PDI_Cash_Exception_Application[[#This Row],[CHANGED ON]]</f>
        <v>12.742928240739275</v>
      </c>
      <c r="M2358">
        <f ca="1">qry_ProdData2_PDI_Cash_Exception_Application[[#This Row],[TODAY]]-qry_ProdData2_PDI_Cash_Exception_Application[[#This Row],[CHANGED ON]]</f>
        <v>12.742928240739275</v>
      </c>
      <c r="N2358">
        <f ca="1">qry_ProdData2_PDI_Cash_Exception_Application[[#This Row],[TODAY]]-qry_ProdData2_PDI_Cash_Exception_Application[[#This Row],[CHANGED ON]]</f>
        <v>12.742928240739275</v>
      </c>
    </row>
    <row r="2359" spans="1:14" x14ac:dyDescent="0.35">
      <c r="A2359">
        <v>1014</v>
      </c>
      <c r="B2359" t="s">
        <v>68</v>
      </c>
      <c r="C2359" s="1">
        <v>45190.257071759261</v>
      </c>
      <c r="D2359" t="str">
        <f ca="1">VLOOKUP(qry_ProdData2_PDI_Cash_Exception_Application[[#This Row],[TYPE]],#REF!,2,FALSE)</f>
        <v>type40</v>
      </c>
      <c r="E2359">
        <v>6446.03</v>
      </c>
      <c r="F2359" t="s">
        <v>49</v>
      </c>
      <c r="G2359" s="1">
        <f>qry_ProdData2_PDI_Cash_Exception_Application[[#This Row],[INSERT DATE]]+7</f>
        <v>45197.257071759261</v>
      </c>
      <c r="H2359" t="str">
        <f>VLOOKUP(qry_ProdData2_PDI_Cash_Exception_Application[[#This Row],[MARKET No]],'Site Allocation'!$B$2:$C$37,2,FALSE)</f>
        <v>Analyst3</v>
      </c>
      <c r="I2359" s="4">
        <f t="shared" ca="1" si="36"/>
        <v>45203</v>
      </c>
      <c r="J2359" s="42">
        <f ca="1">TODAY()-qry_ProdData2_PDI_Cash_Exception_Application[[#This Row],[INSERT DATE]]</f>
        <v>12.742928240739275</v>
      </c>
      <c r="K23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59">
        <f ca="1">qry_ProdData2_PDI_Cash_Exception_Application[[#This Row],[TODAY]]-qry_ProdData2_PDI_Cash_Exception_Application[[#This Row],[CHANGED ON]]</f>
        <v>5.7429282407392748</v>
      </c>
      <c r="M2359">
        <f ca="1">qry_ProdData2_PDI_Cash_Exception_Application[[#This Row],[TODAY]]-qry_ProdData2_PDI_Cash_Exception_Application[[#This Row],[CHANGED ON]]</f>
        <v>5.7429282407392748</v>
      </c>
      <c r="N2359">
        <f ca="1">qry_ProdData2_PDI_Cash_Exception_Application[[#This Row],[TODAY]]-qry_ProdData2_PDI_Cash_Exception_Application[[#This Row],[CHANGED ON]]</f>
        <v>5.7429282407392748</v>
      </c>
    </row>
    <row r="2360" spans="1:14" x14ac:dyDescent="0.35">
      <c r="A2360">
        <v>1000</v>
      </c>
      <c r="B2360" t="s">
        <v>54</v>
      </c>
      <c r="C2360" s="1">
        <v>45189.257071759261</v>
      </c>
      <c r="D2360" t="str">
        <f ca="1">VLOOKUP(qry_ProdData2_PDI_Cash_Exception_Application[[#This Row],[TYPE]],#REF!,2,FALSE)</f>
        <v>type40</v>
      </c>
      <c r="E2360">
        <v>598.92999999999995</v>
      </c>
      <c r="F2360" t="s">
        <v>51</v>
      </c>
      <c r="G2360" s="1">
        <f>qry_ProdData2_PDI_Cash_Exception_Application[[#This Row],[INSERT DATE]]+5</f>
        <v>45194.257071759261</v>
      </c>
      <c r="H2360" t="str">
        <f>VLOOKUP(qry_ProdData2_PDI_Cash_Exception_Application[[#This Row],[MARKET No]],'Site Allocation'!$B$2:$C$37,2,FALSE)</f>
        <v>Analyst1</v>
      </c>
      <c r="I2360" s="4">
        <f t="shared" ca="1" si="36"/>
        <v>45203</v>
      </c>
      <c r="J2360" s="42">
        <f ca="1">TODAY()-qry_ProdData2_PDI_Cash_Exception_Application[[#This Row],[INSERT DATE]]</f>
        <v>13.742928240739275</v>
      </c>
      <c r="K23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60">
        <f ca="1">qry_ProdData2_PDI_Cash_Exception_Application[[#This Row],[TODAY]]-qry_ProdData2_PDI_Cash_Exception_Application[[#This Row],[CHANGED ON]]</f>
        <v>8.7429282407392748</v>
      </c>
      <c r="M2360">
        <f ca="1">qry_ProdData2_PDI_Cash_Exception_Application[[#This Row],[TODAY]]-qry_ProdData2_PDI_Cash_Exception_Application[[#This Row],[CHANGED ON]]</f>
        <v>8.7429282407392748</v>
      </c>
      <c r="N2360">
        <f ca="1">qry_ProdData2_PDI_Cash_Exception_Application[[#This Row],[TODAY]]-qry_ProdData2_PDI_Cash_Exception_Application[[#This Row],[CHANGED ON]]</f>
        <v>8.7429282407392748</v>
      </c>
    </row>
    <row r="2361" spans="1:14" x14ac:dyDescent="0.35">
      <c r="A2361">
        <v>1031</v>
      </c>
      <c r="B2361" t="s">
        <v>85</v>
      </c>
      <c r="C2361" s="1">
        <v>45190.257071759261</v>
      </c>
      <c r="D2361" t="str">
        <f ca="1">VLOOKUP(qry_ProdData2_PDI_Cash_Exception_Application[[#This Row],[TYPE]],#REF!,2,FALSE)</f>
        <v>type40</v>
      </c>
      <c r="E2361">
        <v>472.17</v>
      </c>
      <c r="F2361" t="s">
        <v>50</v>
      </c>
      <c r="G2361" s="1">
        <f>qry_ProdData2_PDI_Cash_Exception_Application[[#This Row],[INSERT DATE]]+2</f>
        <v>45192.257071759261</v>
      </c>
      <c r="H2361" t="str">
        <f>VLOOKUP(qry_ProdData2_PDI_Cash_Exception_Application[[#This Row],[MARKET No]],'Site Allocation'!$B$2:$C$37,2,FALSE)</f>
        <v>Analyst6</v>
      </c>
      <c r="I2361" s="4">
        <f t="shared" ca="1" si="36"/>
        <v>45203</v>
      </c>
      <c r="J2361" s="42">
        <f ca="1">TODAY()-qry_ProdData2_PDI_Cash_Exception_Application[[#This Row],[INSERT DATE]]</f>
        <v>12.742928240739275</v>
      </c>
      <c r="K23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61">
        <f ca="1">qry_ProdData2_PDI_Cash_Exception_Application[[#This Row],[TODAY]]-qry_ProdData2_PDI_Cash_Exception_Application[[#This Row],[CHANGED ON]]</f>
        <v>10.742928240739275</v>
      </c>
      <c r="M2361">
        <f ca="1">qry_ProdData2_PDI_Cash_Exception_Application[[#This Row],[TODAY]]-qry_ProdData2_PDI_Cash_Exception_Application[[#This Row],[CHANGED ON]]</f>
        <v>10.742928240739275</v>
      </c>
      <c r="N2361">
        <f ca="1">qry_ProdData2_PDI_Cash_Exception_Application[[#This Row],[TODAY]]-qry_ProdData2_PDI_Cash_Exception_Application[[#This Row],[CHANGED ON]]</f>
        <v>10.742928240739275</v>
      </c>
    </row>
    <row r="2362" spans="1:14" x14ac:dyDescent="0.35">
      <c r="A2362">
        <v>1014</v>
      </c>
      <c r="B2362" t="s">
        <v>68</v>
      </c>
      <c r="C2362" s="1">
        <v>45182.257071759261</v>
      </c>
      <c r="D2362" t="str">
        <f ca="1">VLOOKUP(qry_ProdData2_PDI_Cash_Exception_Application[[#This Row],[TYPE]],#REF!,2,FALSE)</f>
        <v>type40</v>
      </c>
      <c r="E2362">
        <v>-711</v>
      </c>
      <c r="F2362" t="s">
        <v>48</v>
      </c>
      <c r="G2362" s="1">
        <f>qry_ProdData2_PDI_Cash_Exception_Application[[#This Row],[INSERT DATE]]+7</f>
        <v>45189.257071759261</v>
      </c>
      <c r="H2362" t="str">
        <f>VLOOKUP(qry_ProdData2_PDI_Cash_Exception_Application[[#This Row],[MARKET No]],'Site Allocation'!$B$2:$C$37,2,FALSE)</f>
        <v>Analyst3</v>
      </c>
      <c r="I2362" s="4">
        <f t="shared" ca="1" si="36"/>
        <v>45203</v>
      </c>
      <c r="J2362" s="42">
        <f ca="1">TODAY()-qry_ProdData2_PDI_Cash_Exception_Application[[#This Row],[INSERT DATE]]</f>
        <v>20.742928240739275</v>
      </c>
      <c r="K23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62">
        <f ca="1">qry_ProdData2_PDI_Cash_Exception_Application[[#This Row],[TODAY]]-qry_ProdData2_PDI_Cash_Exception_Application[[#This Row],[CHANGED ON]]</f>
        <v>13.742928240739275</v>
      </c>
      <c r="M2362">
        <f ca="1">qry_ProdData2_PDI_Cash_Exception_Application[[#This Row],[TODAY]]-qry_ProdData2_PDI_Cash_Exception_Application[[#This Row],[CHANGED ON]]</f>
        <v>13.742928240739275</v>
      </c>
      <c r="N2362">
        <f ca="1">qry_ProdData2_PDI_Cash_Exception_Application[[#This Row],[TODAY]]-qry_ProdData2_PDI_Cash_Exception_Application[[#This Row],[CHANGED ON]]</f>
        <v>13.742928240739275</v>
      </c>
    </row>
    <row r="2363" spans="1:14" x14ac:dyDescent="0.35">
      <c r="A2363">
        <v>1035</v>
      </c>
      <c r="B2363" t="s">
        <v>89</v>
      </c>
      <c r="C2363" s="1">
        <v>45191.257071759261</v>
      </c>
      <c r="D2363" t="str">
        <f ca="1">VLOOKUP(qry_ProdData2_PDI_Cash_Exception_Application[[#This Row],[TYPE]],#REF!,2,FALSE)</f>
        <v>type40</v>
      </c>
      <c r="E2363">
        <v>19.64</v>
      </c>
      <c r="F2363" t="s">
        <v>52</v>
      </c>
      <c r="G2363" s="1">
        <f>qry_ProdData2_PDI_Cash_Exception_Application[[#This Row],[INSERT DATE]]+2</f>
        <v>45193.257071759261</v>
      </c>
      <c r="H2363" t="str">
        <f>VLOOKUP(qry_ProdData2_PDI_Cash_Exception_Application[[#This Row],[MARKET No]],'Site Allocation'!$B$2:$C$37,2,FALSE)</f>
        <v>Analyst6</v>
      </c>
      <c r="I2363" s="4">
        <f t="shared" ca="1" si="36"/>
        <v>45203</v>
      </c>
      <c r="J2363" s="42">
        <f ca="1">TODAY()-qry_ProdData2_PDI_Cash_Exception_Application[[#This Row],[INSERT DATE]]</f>
        <v>11.742928240739275</v>
      </c>
      <c r="K23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63">
        <f ca="1">qry_ProdData2_PDI_Cash_Exception_Application[[#This Row],[TODAY]]-qry_ProdData2_PDI_Cash_Exception_Application[[#This Row],[CHANGED ON]]</f>
        <v>9.7429282407392748</v>
      </c>
      <c r="M2363">
        <f ca="1">qry_ProdData2_PDI_Cash_Exception_Application[[#This Row],[TODAY]]-qry_ProdData2_PDI_Cash_Exception_Application[[#This Row],[CHANGED ON]]</f>
        <v>9.7429282407392748</v>
      </c>
      <c r="N2363">
        <f ca="1">qry_ProdData2_PDI_Cash_Exception_Application[[#This Row],[TODAY]]-qry_ProdData2_PDI_Cash_Exception_Application[[#This Row],[CHANGED ON]]</f>
        <v>9.7429282407392748</v>
      </c>
    </row>
    <row r="2364" spans="1:14" x14ac:dyDescent="0.35">
      <c r="A2364">
        <v>1011</v>
      </c>
      <c r="B2364" t="s">
        <v>65</v>
      </c>
      <c r="C2364" s="1">
        <v>45192.257071759261</v>
      </c>
      <c r="D2364" t="str">
        <f ca="1">VLOOKUP(qry_ProdData2_PDI_Cash_Exception_Application[[#This Row],[TYPE]],#REF!,2,FALSE)</f>
        <v>type40</v>
      </c>
      <c r="E2364">
        <v>143.88999999999999</v>
      </c>
      <c r="F2364" t="s">
        <v>52</v>
      </c>
      <c r="G2364" s="1">
        <f>qry_ProdData2_PDI_Cash_Exception_Application[[#This Row],[INSERT DATE]]+2</f>
        <v>45194.257071759261</v>
      </c>
      <c r="H2364" t="str">
        <f>VLOOKUP(qry_ProdData2_PDI_Cash_Exception_Application[[#This Row],[MARKET No]],'Site Allocation'!$B$2:$C$37,2,FALSE)</f>
        <v>Analyst2</v>
      </c>
      <c r="I2364" s="4">
        <f t="shared" ca="1" si="36"/>
        <v>45203</v>
      </c>
      <c r="J2364" s="42">
        <f ca="1">TODAY()-qry_ProdData2_PDI_Cash_Exception_Application[[#This Row],[INSERT DATE]]</f>
        <v>10.742928240739275</v>
      </c>
      <c r="K23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64">
        <f ca="1">qry_ProdData2_PDI_Cash_Exception_Application[[#This Row],[TODAY]]-qry_ProdData2_PDI_Cash_Exception_Application[[#This Row],[CHANGED ON]]</f>
        <v>8.7429282407392748</v>
      </c>
      <c r="M2364">
        <f ca="1">qry_ProdData2_PDI_Cash_Exception_Application[[#This Row],[TODAY]]-qry_ProdData2_PDI_Cash_Exception_Application[[#This Row],[CHANGED ON]]</f>
        <v>8.7429282407392748</v>
      </c>
      <c r="N2364">
        <f ca="1">qry_ProdData2_PDI_Cash_Exception_Application[[#This Row],[TODAY]]-qry_ProdData2_PDI_Cash_Exception_Application[[#This Row],[CHANGED ON]]</f>
        <v>8.7429282407392748</v>
      </c>
    </row>
    <row r="2365" spans="1:14" x14ac:dyDescent="0.35">
      <c r="A2365">
        <v>1017</v>
      </c>
      <c r="B2365" t="s">
        <v>71</v>
      </c>
      <c r="C2365" s="1">
        <v>45191.257071759261</v>
      </c>
      <c r="D2365" t="str">
        <f ca="1">VLOOKUP(qry_ProdData2_PDI_Cash_Exception_Application[[#This Row],[TYPE]],#REF!,2,FALSE)</f>
        <v>type41</v>
      </c>
      <c r="E2365">
        <v>284.72000000000003</v>
      </c>
      <c r="F2365" t="s">
        <v>47</v>
      </c>
      <c r="G2365" s="1">
        <f>qry_ProdData2_PDI_Cash_Exception_Application[[#This Row],[INSERT DATE]]+7</f>
        <v>45198.257071759261</v>
      </c>
      <c r="H2365" t="str">
        <f>VLOOKUP(qry_ProdData2_PDI_Cash_Exception_Application[[#This Row],[MARKET No]],'Site Allocation'!$B$2:$C$37,2,FALSE)</f>
        <v>Analyst3</v>
      </c>
      <c r="I2365" s="4">
        <f t="shared" ca="1" si="36"/>
        <v>45203</v>
      </c>
      <c r="J2365" s="42">
        <f ca="1">TODAY()-qry_ProdData2_PDI_Cash_Exception_Application[[#This Row],[INSERT DATE]]</f>
        <v>11.742928240739275</v>
      </c>
      <c r="K23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65">
        <f ca="1">qry_ProdData2_PDI_Cash_Exception_Application[[#This Row],[TODAY]]-qry_ProdData2_PDI_Cash_Exception_Application[[#This Row],[CHANGED ON]]</f>
        <v>4.7429282407392748</v>
      </c>
      <c r="M2365">
        <f ca="1">qry_ProdData2_PDI_Cash_Exception_Application[[#This Row],[TODAY]]-qry_ProdData2_PDI_Cash_Exception_Application[[#This Row],[CHANGED ON]]</f>
        <v>4.7429282407392748</v>
      </c>
      <c r="N2365">
        <f ca="1">qry_ProdData2_PDI_Cash_Exception_Application[[#This Row],[TODAY]]-qry_ProdData2_PDI_Cash_Exception_Application[[#This Row],[CHANGED ON]]</f>
        <v>4.7429282407392748</v>
      </c>
    </row>
    <row r="2366" spans="1:14" x14ac:dyDescent="0.35">
      <c r="A2366">
        <v>1033</v>
      </c>
      <c r="B2366" t="s">
        <v>87</v>
      </c>
      <c r="C2366" s="1">
        <v>45183.257071759261</v>
      </c>
      <c r="D2366" t="str">
        <f ca="1">VLOOKUP(qry_ProdData2_PDI_Cash_Exception_Application[[#This Row],[TYPE]],#REF!,2,FALSE)</f>
        <v>type40</v>
      </c>
      <c r="E2366">
        <v>2982.28</v>
      </c>
      <c r="F2366" t="s">
        <v>49</v>
      </c>
      <c r="G2366" s="1">
        <f>qry_ProdData2_PDI_Cash_Exception_Application[[#This Row],[INSERT DATE]]+1</f>
        <v>45184.257071759261</v>
      </c>
      <c r="H2366" t="str">
        <f>VLOOKUP(qry_ProdData2_PDI_Cash_Exception_Application[[#This Row],[MARKET No]],'Site Allocation'!$B$2:$C$37,2,FALSE)</f>
        <v>Analyst6</v>
      </c>
      <c r="I2366" s="4">
        <f t="shared" ca="1" si="36"/>
        <v>45203</v>
      </c>
      <c r="J2366" s="42">
        <f ca="1">TODAY()-qry_ProdData2_PDI_Cash_Exception_Application[[#This Row],[INSERT DATE]]</f>
        <v>19.742928240739275</v>
      </c>
      <c r="K23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66">
        <f ca="1">qry_ProdData2_PDI_Cash_Exception_Application[[#This Row],[TODAY]]-qry_ProdData2_PDI_Cash_Exception_Application[[#This Row],[CHANGED ON]]</f>
        <v>18.742928240739275</v>
      </c>
      <c r="M2366">
        <f ca="1">qry_ProdData2_PDI_Cash_Exception_Application[[#This Row],[TODAY]]-qry_ProdData2_PDI_Cash_Exception_Application[[#This Row],[CHANGED ON]]</f>
        <v>18.742928240739275</v>
      </c>
      <c r="N2366">
        <f ca="1">qry_ProdData2_PDI_Cash_Exception_Application[[#This Row],[TODAY]]-qry_ProdData2_PDI_Cash_Exception_Application[[#This Row],[CHANGED ON]]</f>
        <v>18.742928240739275</v>
      </c>
    </row>
    <row r="2367" spans="1:14" x14ac:dyDescent="0.35">
      <c r="A2367">
        <v>1004</v>
      </c>
      <c r="B2367" t="s">
        <v>58</v>
      </c>
      <c r="C2367" s="1">
        <v>45189.257071759261</v>
      </c>
      <c r="D2367" t="str">
        <f ca="1">VLOOKUP(qry_ProdData2_PDI_Cash_Exception_Application[[#This Row],[TYPE]],#REF!,2,FALSE)</f>
        <v>type40</v>
      </c>
      <c r="E2367">
        <v>441.23</v>
      </c>
      <c r="F2367" t="s">
        <v>51</v>
      </c>
      <c r="G2367" s="1">
        <f>qry_ProdData2_PDI_Cash_Exception_Application[[#This Row],[INSERT DATE]]+5</f>
        <v>45194.257071759261</v>
      </c>
      <c r="H2367" t="str">
        <f>VLOOKUP(qry_ProdData2_PDI_Cash_Exception_Application[[#This Row],[MARKET No]],'Site Allocation'!$B$2:$C$37,2,FALSE)</f>
        <v>Analyst1</v>
      </c>
      <c r="I2367" s="4">
        <f t="shared" ca="1" si="36"/>
        <v>45203</v>
      </c>
      <c r="J2367" s="42">
        <f ca="1">TODAY()-qry_ProdData2_PDI_Cash_Exception_Application[[#This Row],[INSERT DATE]]</f>
        <v>13.742928240739275</v>
      </c>
      <c r="K23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67">
        <f ca="1">qry_ProdData2_PDI_Cash_Exception_Application[[#This Row],[TODAY]]-qry_ProdData2_PDI_Cash_Exception_Application[[#This Row],[CHANGED ON]]</f>
        <v>8.7429282407392748</v>
      </c>
      <c r="M2367">
        <f ca="1">qry_ProdData2_PDI_Cash_Exception_Application[[#This Row],[TODAY]]-qry_ProdData2_PDI_Cash_Exception_Application[[#This Row],[CHANGED ON]]</f>
        <v>8.7429282407392748</v>
      </c>
      <c r="N2367">
        <f ca="1">qry_ProdData2_PDI_Cash_Exception_Application[[#This Row],[TODAY]]-qry_ProdData2_PDI_Cash_Exception_Application[[#This Row],[CHANGED ON]]</f>
        <v>8.7429282407392748</v>
      </c>
    </row>
    <row r="2368" spans="1:14" x14ac:dyDescent="0.35">
      <c r="A2368">
        <v>1012</v>
      </c>
      <c r="B2368" t="s">
        <v>66</v>
      </c>
      <c r="C2368" s="1">
        <v>45182.257071759261</v>
      </c>
      <c r="D2368" t="str">
        <f ca="1">VLOOKUP(qry_ProdData2_PDI_Cash_Exception_Application[[#This Row],[TYPE]],#REF!,2,FALSE)</f>
        <v>type40</v>
      </c>
      <c r="E2368">
        <v>-682.74</v>
      </c>
      <c r="F2368" t="s">
        <v>47</v>
      </c>
      <c r="G2368" s="1">
        <f>qry_ProdData2_PDI_Cash_Exception_Application[[#This Row],[INSERT DATE]]+1</f>
        <v>45183.257071759261</v>
      </c>
      <c r="H2368" t="str">
        <f>VLOOKUP(qry_ProdData2_PDI_Cash_Exception_Application[[#This Row],[MARKET No]],'Site Allocation'!$B$2:$C$37,2,FALSE)</f>
        <v>Analyst3</v>
      </c>
      <c r="I2368" s="4">
        <f t="shared" ca="1" si="36"/>
        <v>45203</v>
      </c>
      <c r="J2368" s="42">
        <f ca="1">TODAY()-qry_ProdData2_PDI_Cash_Exception_Application[[#This Row],[INSERT DATE]]</f>
        <v>20.742928240739275</v>
      </c>
      <c r="K23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68">
        <f ca="1">qry_ProdData2_PDI_Cash_Exception_Application[[#This Row],[TODAY]]-qry_ProdData2_PDI_Cash_Exception_Application[[#This Row],[CHANGED ON]]</f>
        <v>19.742928240739275</v>
      </c>
      <c r="M2368">
        <f ca="1">qry_ProdData2_PDI_Cash_Exception_Application[[#This Row],[TODAY]]-qry_ProdData2_PDI_Cash_Exception_Application[[#This Row],[CHANGED ON]]</f>
        <v>19.742928240739275</v>
      </c>
      <c r="N2368">
        <f ca="1">qry_ProdData2_PDI_Cash_Exception_Application[[#This Row],[TODAY]]-qry_ProdData2_PDI_Cash_Exception_Application[[#This Row],[CHANGED ON]]</f>
        <v>19.742928240739275</v>
      </c>
    </row>
    <row r="2369" spans="1:14" x14ac:dyDescent="0.35">
      <c r="A2369">
        <v>1023</v>
      </c>
      <c r="B2369" t="s">
        <v>77</v>
      </c>
      <c r="C2369" s="1">
        <v>45197.257071759261</v>
      </c>
      <c r="D2369" t="str">
        <f ca="1">VLOOKUP(qry_ProdData2_PDI_Cash_Exception_Application[[#This Row],[TYPE]],#REF!,2,FALSE)</f>
        <v>type30</v>
      </c>
      <c r="E2369">
        <v>157.68</v>
      </c>
      <c r="F2369" t="s">
        <v>52</v>
      </c>
      <c r="G2369" s="1">
        <f>qry_ProdData2_PDI_Cash_Exception_Application[[#This Row],[INSERT DATE]]+2</f>
        <v>45199.257071759261</v>
      </c>
      <c r="H2369" t="str">
        <f>VLOOKUP(qry_ProdData2_PDI_Cash_Exception_Application[[#This Row],[MARKET No]],'Site Allocation'!$B$2:$C$37,2,FALSE)</f>
        <v>Analyst4</v>
      </c>
      <c r="I2369" s="4">
        <f t="shared" ca="1" si="36"/>
        <v>45203</v>
      </c>
      <c r="J2369" s="42">
        <f ca="1">TODAY()-qry_ProdData2_PDI_Cash_Exception_Application[[#This Row],[INSERT DATE]]</f>
        <v>5.7429282407392748</v>
      </c>
      <c r="K23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369">
        <f ca="1">qry_ProdData2_PDI_Cash_Exception_Application[[#This Row],[TODAY]]-qry_ProdData2_PDI_Cash_Exception_Application[[#This Row],[CHANGED ON]]</f>
        <v>3.7429282407392748</v>
      </c>
      <c r="M2369">
        <f ca="1">qry_ProdData2_PDI_Cash_Exception_Application[[#This Row],[TODAY]]-qry_ProdData2_PDI_Cash_Exception_Application[[#This Row],[CHANGED ON]]</f>
        <v>3.7429282407392748</v>
      </c>
      <c r="N2369">
        <f ca="1">qry_ProdData2_PDI_Cash_Exception_Application[[#This Row],[TODAY]]-qry_ProdData2_PDI_Cash_Exception_Application[[#This Row],[CHANGED ON]]</f>
        <v>3.7429282407392748</v>
      </c>
    </row>
    <row r="2370" spans="1:14" x14ac:dyDescent="0.35">
      <c r="A2370">
        <v>1034</v>
      </c>
      <c r="B2370" t="s">
        <v>88</v>
      </c>
      <c r="C2370" s="1">
        <v>45189.257071759261</v>
      </c>
      <c r="D2370" t="str">
        <f ca="1">VLOOKUP(qry_ProdData2_PDI_Cash_Exception_Application[[#This Row],[TYPE]],#REF!,2,FALSE)</f>
        <v>type40</v>
      </c>
      <c r="E2370">
        <v>700.86</v>
      </c>
      <c r="F2370" t="s">
        <v>49</v>
      </c>
      <c r="G2370" s="1">
        <f>qry_ProdData2_PDI_Cash_Exception_Application[[#This Row],[INSERT DATE]]+2</f>
        <v>45191.257071759261</v>
      </c>
      <c r="H2370" t="str">
        <f>VLOOKUP(qry_ProdData2_PDI_Cash_Exception_Application[[#This Row],[MARKET No]],'Site Allocation'!$B$2:$C$37,2,FALSE)</f>
        <v>Analyst6</v>
      </c>
      <c r="I2370" s="4">
        <f t="shared" ref="I2370:I2433" ca="1" si="37">TODAY()</f>
        <v>45203</v>
      </c>
      <c r="J2370" s="42">
        <f ca="1">TODAY()-qry_ProdData2_PDI_Cash_Exception_Application[[#This Row],[INSERT DATE]]</f>
        <v>13.742928240739275</v>
      </c>
      <c r="K23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70">
        <f ca="1">qry_ProdData2_PDI_Cash_Exception_Application[[#This Row],[TODAY]]-qry_ProdData2_PDI_Cash_Exception_Application[[#This Row],[CHANGED ON]]</f>
        <v>11.742928240739275</v>
      </c>
      <c r="M2370">
        <f ca="1">qry_ProdData2_PDI_Cash_Exception_Application[[#This Row],[TODAY]]-qry_ProdData2_PDI_Cash_Exception_Application[[#This Row],[CHANGED ON]]</f>
        <v>11.742928240739275</v>
      </c>
      <c r="N2370">
        <f ca="1">qry_ProdData2_PDI_Cash_Exception_Application[[#This Row],[TODAY]]-qry_ProdData2_PDI_Cash_Exception_Application[[#This Row],[CHANGED ON]]</f>
        <v>11.742928240739275</v>
      </c>
    </row>
    <row r="2371" spans="1:14" x14ac:dyDescent="0.35">
      <c r="A2371">
        <v>1018</v>
      </c>
      <c r="B2371" t="s">
        <v>72</v>
      </c>
      <c r="C2371" s="1">
        <v>45187.257071759261</v>
      </c>
      <c r="D2371" t="str">
        <f ca="1">VLOOKUP(qry_ProdData2_PDI_Cash_Exception_Application[[#This Row],[TYPE]],#REF!,2,FALSE)</f>
        <v>type40</v>
      </c>
      <c r="E2371">
        <v>356.54</v>
      </c>
      <c r="F2371" t="s">
        <v>47</v>
      </c>
      <c r="G2371" s="1">
        <f>qry_ProdData2_PDI_Cash_Exception_Application[[#This Row],[INSERT DATE]]+1</f>
        <v>45188.257071759261</v>
      </c>
      <c r="H2371" t="str">
        <f>VLOOKUP(qry_ProdData2_PDI_Cash_Exception_Application[[#This Row],[MARKET No]],'Site Allocation'!$B$2:$C$37,2,FALSE)</f>
        <v>Analyst4</v>
      </c>
      <c r="I2371" s="4">
        <f t="shared" ca="1" si="37"/>
        <v>45203</v>
      </c>
      <c r="J2371" s="42">
        <f ca="1">TODAY()-qry_ProdData2_PDI_Cash_Exception_Application[[#This Row],[INSERT DATE]]</f>
        <v>15.742928240739275</v>
      </c>
      <c r="K23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71">
        <f ca="1">qry_ProdData2_PDI_Cash_Exception_Application[[#This Row],[TODAY]]-qry_ProdData2_PDI_Cash_Exception_Application[[#This Row],[CHANGED ON]]</f>
        <v>14.742928240739275</v>
      </c>
      <c r="M2371">
        <f ca="1">qry_ProdData2_PDI_Cash_Exception_Application[[#This Row],[TODAY]]-qry_ProdData2_PDI_Cash_Exception_Application[[#This Row],[CHANGED ON]]</f>
        <v>14.742928240739275</v>
      </c>
      <c r="N2371">
        <f ca="1">qry_ProdData2_PDI_Cash_Exception_Application[[#This Row],[TODAY]]-qry_ProdData2_PDI_Cash_Exception_Application[[#This Row],[CHANGED ON]]</f>
        <v>14.742928240739275</v>
      </c>
    </row>
    <row r="2372" spans="1:14" x14ac:dyDescent="0.35">
      <c r="A2372">
        <v>1007</v>
      </c>
      <c r="B2372" t="s">
        <v>61</v>
      </c>
      <c r="C2372" s="1">
        <v>45186.257071759261</v>
      </c>
      <c r="D2372" t="str">
        <f ca="1">VLOOKUP(qry_ProdData2_PDI_Cash_Exception_Application[[#This Row],[TYPE]],#REF!,2,FALSE)</f>
        <v>type40</v>
      </c>
      <c r="E2372">
        <v>10663.12</v>
      </c>
      <c r="F2372" t="s">
        <v>48</v>
      </c>
      <c r="G2372" s="1">
        <f>qry_ProdData2_PDI_Cash_Exception_Application[[#This Row],[INSERT DATE]]+1</f>
        <v>45187.257071759261</v>
      </c>
      <c r="H2372" t="str">
        <f>VLOOKUP(qry_ProdData2_PDI_Cash_Exception_Application[[#This Row],[MARKET No]],'Site Allocation'!$B$2:$C$37,2,FALSE)</f>
        <v>Analyst2</v>
      </c>
      <c r="I2372" s="4">
        <f t="shared" ca="1" si="37"/>
        <v>45203</v>
      </c>
      <c r="J2372" s="42">
        <f ca="1">TODAY()-qry_ProdData2_PDI_Cash_Exception_Application[[#This Row],[INSERT DATE]]</f>
        <v>16.742928240739275</v>
      </c>
      <c r="K23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72">
        <f ca="1">qry_ProdData2_PDI_Cash_Exception_Application[[#This Row],[TODAY]]-qry_ProdData2_PDI_Cash_Exception_Application[[#This Row],[CHANGED ON]]</f>
        <v>15.742928240739275</v>
      </c>
      <c r="M2372">
        <f ca="1">qry_ProdData2_PDI_Cash_Exception_Application[[#This Row],[TODAY]]-qry_ProdData2_PDI_Cash_Exception_Application[[#This Row],[CHANGED ON]]</f>
        <v>15.742928240739275</v>
      </c>
      <c r="N2372">
        <f ca="1">qry_ProdData2_PDI_Cash_Exception_Application[[#This Row],[TODAY]]-qry_ProdData2_PDI_Cash_Exception_Application[[#This Row],[CHANGED ON]]</f>
        <v>15.742928240739275</v>
      </c>
    </row>
    <row r="2373" spans="1:14" x14ac:dyDescent="0.35">
      <c r="A2373">
        <v>1012</v>
      </c>
      <c r="B2373" t="s">
        <v>66</v>
      </c>
      <c r="C2373" s="1">
        <v>45187.257071759261</v>
      </c>
      <c r="D2373" t="str">
        <f ca="1">VLOOKUP(qry_ProdData2_PDI_Cash_Exception_Application[[#This Row],[TYPE]],#REF!,2,FALSE)</f>
        <v>type40</v>
      </c>
      <c r="E2373">
        <v>-389.76</v>
      </c>
      <c r="F2373" t="s">
        <v>50</v>
      </c>
      <c r="G2373" s="1">
        <f>qry_ProdData2_PDI_Cash_Exception_Application[[#This Row],[INSERT DATE]]+2</f>
        <v>45189.257071759261</v>
      </c>
      <c r="H2373" t="str">
        <f>VLOOKUP(qry_ProdData2_PDI_Cash_Exception_Application[[#This Row],[MARKET No]],'Site Allocation'!$B$2:$C$37,2,FALSE)</f>
        <v>Analyst3</v>
      </c>
      <c r="I2373" s="4">
        <f t="shared" ca="1" si="37"/>
        <v>45203</v>
      </c>
      <c r="J2373" s="42">
        <f ca="1">TODAY()-qry_ProdData2_PDI_Cash_Exception_Application[[#This Row],[INSERT DATE]]</f>
        <v>15.742928240739275</v>
      </c>
      <c r="K23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73">
        <f ca="1">qry_ProdData2_PDI_Cash_Exception_Application[[#This Row],[TODAY]]-qry_ProdData2_PDI_Cash_Exception_Application[[#This Row],[CHANGED ON]]</f>
        <v>13.742928240739275</v>
      </c>
      <c r="M2373">
        <f ca="1">qry_ProdData2_PDI_Cash_Exception_Application[[#This Row],[TODAY]]-qry_ProdData2_PDI_Cash_Exception_Application[[#This Row],[CHANGED ON]]</f>
        <v>13.742928240739275</v>
      </c>
      <c r="N2373">
        <f ca="1">qry_ProdData2_PDI_Cash_Exception_Application[[#This Row],[TODAY]]-qry_ProdData2_PDI_Cash_Exception_Application[[#This Row],[CHANGED ON]]</f>
        <v>13.742928240739275</v>
      </c>
    </row>
    <row r="2374" spans="1:14" x14ac:dyDescent="0.35">
      <c r="A2374">
        <v>1024</v>
      </c>
      <c r="B2374" t="s">
        <v>78</v>
      </c>
      <c r="C2374" s="1">
        <v>45190.257071759261</v>
      </c>
      <c r="D2374" t="str">
        <f ca="1">VLOOKUP(qry_ProdData2_PDI_Cash_Exception_Application[[#This Row],[TYPE]],#REF!,2,FALSE)</f>
        <v>type40</v>
      </c>
      <c r="E2374">
        <v>1151.4000000000001</v>
      </c>
      <c r="F2374" t="s">
        <v>49</v>
      </c>
      <c r="G2374" s="1">
        <f>qry_ProdData2_PDI_Cash_Exception_Application[[#This Row],[INSERT DATE]]+2</f>
        <v>45192.257071759261</v>
      </c>
      <c r="H2374" t="str">
        <f>VLOOKUP(qry_ProdData2_PDI_Cash_Exception_Application[[#This Row],[MARKET No]],'Site Allocation'!$B$2:$C$37,2,FALSE)</f>
        <v>Analyst5</v>
      </c>
      <c r="I2374" s="4">
        <f t="shared" ca="1" si="37"/>
        <v>45203</v>
      </c>
      <c r="J2374" s="42">
        <f ca="1">TODAY()-qry_ProdData2_PDI_Cash_Exception_Application[[#This Row],[INSERT DATE]]</f>
        <v>12.742928240739275</v>
      </c>
      <c r="K23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74">
        <f ca="1">qry_ProdData2_PDI_Cash_Exception_Application[[#This Row],[TODAY]]-qry_ProdData2_PDI_Cash_Exception_Application[[#This Row],[CHANGED ON]]</f>
        <v>10.742928240739275</v>
      </c>
      <c r="M2374">
        <f ca="1">qry_ProdData2_PDI_Cash_Exception_Application[[#This Row],[TODAY]]-qry_ProdData2_PDI_Cash_Exception_Application[[#This Row],[CHANGED ON]]</f>
        <v>10.742928240739275</v>
      </c>
      <c r="N2374">
        <f ca="1">qry_ProdData2_PDI_Cash_Exception_Application[[#This Row],[TODAY]]-qry_ProdData2_PDI_Cash_Exception_Application[[#This Row],[CHANGED ON]]</f>
        <v>10.742928240739275</v>
      </c>
    </row>
    <row r="2375" spans="1:14" x14ac:dyDescent="0.35">
      <c r="A2375">
        <v>1013</v>
      </c>
      <c r="B2375" t="s">
        <v>67</v>
      </c>
      <c r="C2375" s="1">
        <v>45187.257071759261</v>
      </c>
      <c r="D2375" t="str">
        <f ca="1">VLOOKUP(qry_ProdData2_PDI_Cash_Exception_Application[[#This Row],[TYPE]],#REF!,2,FALSE)</f>
        <v>type9</v>
      </c>
      <c r="E2375">
        <v>95.82</v>
      </c>
      <c r="F2375" t="s">
        <v>48</v>
      </c>
      <c r="G2375" s="1">
        <f>qry_ProdData2_PDI_Cash_Exception_Application[[#This Row],[INSERT DATE]]+1</f>
        <v>45188.257071759261</v>
      </c>
      <c r="H2375" t="str">
        <f>VLOOKUP(qry_ProdData2_PDI_Cash_Exception_Application[[#This Row],[MARKET No]],'Site Allocation'!$B$2:$C$37,2,FALSE)</f>
        <v>Analyst3</v>
      </c>
      <c r="I2375" s="4">
        <f t="shared" ca="1" si="37"/>
        <v>45203</v>
      </c>
      <c r="J2375" s="42">
        <f ca="1">TODAY()-qry_ProdData2_PDI_Cash_Exception_Application[[#This Row],[INSERT DATE]]</f>
        <v>15.742928240739275</v>
      </c>
      <c r="K23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75">
        <f ca="1">qry_ProdData2_PDI_Cash_Exception_Application[[#This Row],[TODAY]]-qry_ProdData2_PDI_Cash_Exception_Application[[#This Row],[CHANGED ON]]</f>
        <v>14.742928240739275</v>
      </c>
      <c r="M2375">
        <f ca="1">qry_ProdData2_PDI_Cash_Exception_Application[[#This Row],[TODAY]]-qry_ProdData2_PDI_Cash_Exception_Application[[#This Row],[CHANGED ON]]</f>
        <v>14.742928240739275</v>
      </c>
      <c r="N2375">
        <f ca="1">qry_ProdData2_PDI_Cash_Exception_Application[[#This Row],[TODAY]]-qry_ProdData2_PDI_Cash_Exception_Application[[#This Row],[CHANGED ON]]</f>
        <v>14.742928240739275</v>
      </c>
    </row>
    <row r="2376" spans="1:14" x14ac:dyDescent="0.35">
      <c r="A2376">
        <v>1031</v>
      </c>
      <c r="B2376" t="s">
        <v>85</v>
      </c>
      <c r="C2376" s="1">
        <v>45191.257071759261</v>
      </c>
      <c r="D2376" t="str">
        <f ca="1">VLOOKUP(qry_ProdData2_PDI_Cash_Exception_Application[[#This Row],[TYPE]],#REF!,2,FALSE)</f>
        <v>type32</v>
      </c>
      <c r="E2376">
        <v>496529.94</v>
      </c>
      <c r="F2376" t="s">
        <v>47</v>
      </c>
      <c r="G2376" s="1">
        <f>qry_ProdData2_PDI_Cash_Exception_Application[[#This Row],[INSERT DATE]]+1</f>
        <v>45192.257071759261</v>
      </c>
      <c r="H2376" t="str">
        <f>VLOOKUP(qry_ProdData2_PDI_Cash_Exception_Application[[#This Row],[MARKET No]],'Site Allocation'!$B$2:$C$37,2,FALSE)</f>
        <v>Analyst6</v>
      </c>
      <c r="I2376" s="4">
        <f t="shared" ca="1" si="37"/>
        <v>45203</v>
      </c>
      <c r="J2376" s="42">
        <f ca="1">TODAY()-qry_ProdData2_PDI_Cash_Exception_Application[[#This Row],[INSERT DATE]]</f>
        <v>11.742928240739275</v>
      </c>
      <c r="K23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76">
        <f ca="1">qry_ProdData2_PDI_Cash_Exception_Application[[#This Row],[TODAY]]-qry_ProdData2_PDI_Cash_Exception_Application[[#This Row],[CHANGED ON]]</f>
        <v>10.742928240739275</v>
      </c>
      <c r="M2376">
        <f ca="1">qry_ProdData2_PDI_Cash_Exception_Application[[#This Row],[TODAY]]-qry_ProdData2_PDI_Cash_Exception_Application[[#This Row],[CHANGED ON]]</f>
        <v>10.742928240739275</v>
      </c>
      <c r="N2376">
        <f ca="1">qry_ProdData2_PDI_Cash_Exception_Application[[#This Row],[TODAY]]-qry_ProdData2_PDI_Cash_Exception_Application[[#This Row],[CHANGED ON]]</f>
        <v>10.742928240739275</v>
      </c>
    </row>
    <row r="2377" spans="1:14" x14ac:dyDescent="0.35">
      <c r="A2377">
        <v>1024</v>
      </c>
      <c r="B2377" t="s">
        <v>78</v>
      </c>
      <c r="C2377" s="1">
        <v>45185.257071759261</v>
      </c>
      <c r="D2377" t="str">
        <f ca="1">VLOOKUP(qry_ProdData2_PDI_Cash_Exception_Application[[#This Row],[TYPE]],#REF!,2,FALSE)</f>
        <v>type41</v>
      </c>
      <c r="E2377">
        <v>250.9</v>
      </c>
      <c r="F2377" t="s">
        <v>48</v>
      </c>
      <c r="G2377" s="1">
        <f>qry_ProdData2_PDI_Cash_Exception_Application[[#This Row],[INSERT DATE]]+2</f>
        <v>45187.257071759261</v>
      </c>
      <c r="H2377" t="str">
        <f>VLOOKUP(qry_ProdData2_PDI_Cash_Exception_Application[[#This Row],[MARKET No]],'Site Allocation'!$B$2:$C$37,2,FALSE)</f>
        <v>Analyst5</v>
      </c>
      <c r="I2377" s="4">
        <f t="shared" ca="1" si="37"/>
        <v>45203</v>
      </c>
      <c r="J2377" s="42">
        <f ca="1">TODAY()-qry_ProdData2_PDI_Cash_Exception_Application[[#This Row],[INSERT DATE]]</f>
        <v>17.742928240739275</v>
      </c>
      <c r="K23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77">
        <f ca="1">qry_ProdData2_PDI_Cash_Exception_Application[[#This Row],[TODAY]]-qry_ProdData2_PDI_Cash_Exception_Application[[#This Row],[CHANGED ON]]</f>
        <v>15.742928240739275</v>
      </c>
      <c r="M2377">
        <f ca="1">qry_ProdData2_PDI_Cash_Exception_Application[[#This Row],[TODAY]]-qry_ProdData2_PDI_Cash_Exception_Application[[#This Row],[CHANGED ON]]</f>
        <v>15.742928240739275</v>
      </c>
      <c r="N2377">
        <f ca="1">qry_ProdData2_PDI_Cash_Exception_Application[[#This Row],[TODAY]]-qry_ProdData2_PDI_Cash_Exception_Application[[#This Row],[CHANGED ON]]</f>
        <v>15.742928240739275</v>
      </c>
    </row>
    <row r="2378" spans="1:14" x14ac:dyDescent="0.35">
      <c r="A2378">
        <v>1020</v>
      </c>
      <c r="B2378" t="s">
        <v>74</v>
      </c>
      <c r="C2378" s="1">
        <v>45187.257071759261</v>
      </c>
      <c r="D2378" t="str">
        <f ca="1">VLOOKUP(qry_ProdData2_PDI_Cash_Exception_Application[[#This Row],[TYPE]],#REF!,2,FALSE)</f>
        <v>type40</v>
      </c>
      <c r="E2378">
        <v>467.56</v>
      </c>
      <c r="F2378" t="s">
        <v>47</v>
      </c>
      <c r="G2378" s="1">
        <f>qry_ProdData2_PDI_Cash_Exception_Application[[#This Row],[INSERT DATE]]+2</f>
        <v>45189.257071759261</v>
      </c>
      <c r="H2378" t="str">
        <f>VLOOKUP(qry_ProdData2_PDI_Cash_Exception_Application[[#This Row],[MARKET No]],'Site Allocation'!$B$2:$C$37,2,FALSE)</f>
        <v>Analyst4</v>
      </c>
      <c r="I2378" s="4">
        <f t="shared" ca="1" si="37"/>
        <v>45203</v>
      </c>
      <c r="J2378" s="42">
        <f ca="1">TODAY()-qry_ProdData2_PDI_Cash_Exception_Application[[#This Row],[INSERT DATE]]</f>
        <v>15.742928240739275</v>
      </c>
      <c r="K23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78">
        <f ca="1">qry_ProdData2_PDI_Cash_Exception_Application[[#This Row],[TODAY]]-qry_ProdData2_PDI_Cash_Exception_Application[[#This Row],[CHANGED ON]]</f>
        <v>13.742928240739275</v>
      </c>
      <c r="M2378">
        <f ca="1">qry_ProdData2_PDI_Cash_Exception_Application[[#This Row],[TODAY]]-qry_ProdData2_PDI_Cash_Exception_Application[[#This Row],[CHANGED ON]]</f>
        <v>13.742928240739275</v>
      </c>
      <c r="N2378">
        <f ca="1">qry_ProdData2_PDI_Cash_Exception_Application[[#This Row],[TODAY]]-qry_ProdData2_PDI_Cash_Exception_Application[[#This Row],[CHANGED ON]]</f>
        <v>13.742928240739275</v>
      </c>
    </row>
    <row r="2379" spans="1:14" x14ac:dyDescent="0.35">
      <c r="A2379">
        <v>1000</v>
      </c>
      <c r="B2379" t="s">
        <v>54</v>
      </c>
      <c r="C2379" s="1">
        <v>45191.257071759261</v>
      </c>
      <c r="D2379" t="str">
        <f ca="1">VLOOKUP(qry_ProdData2_PDI_Cash_Exception_Application[[#This Row],[TYPE]],#REF!,2,FALSE)</f>
        <v>type40</v>
      </c>
      <c r="E2379">
        <v>-450.81</v>
      </c>
      <c r="F2379" t="s">
        <v>52</v>
      </c>
      <c r="G2379" s="1">
        <f>qry_ProdData2_PDI_Cash_Exception_Application[[#This Row],[INSERT DATE]]+5</f>
        <v>45196.257071759261</v>
      </c>
      <c r="H2379" t="str">
        <f>VLOOKUP(qry_ProdData2_PDI_Cash_Exception_Application[[#This Row],[MARKET No]],'Site Allocation'!$B$2:$C$37,2,FALSE)</f>
        <v>Analyst1</v>
      </c>
      <c r="I2379" s="4">
        <f t="shared" ca="1" si="37"/>
        <v>45203</v>
      </c>
      <c r="J2379" s="42">
        <f ca="1">TODAY()-qry_ProdData2_PDI_Cash_Exception_Application[[#This Row],[INSERT DATE]]</f>
        <v>11.742928240739275</v>
      </c>
      <c r="K23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79">
        <f ca="1">qry_ProdData2_PDI_Cash_Exception_Application[[#This Row],[TODAY]]-qry_ProdData2_PDI_Cash_Exception_Application[[#This Row],[CHANGED ON]]</f>
        <v>6.7429282407392748</v>
      </c>
      <c r="M2379">
        <f ca="1">qry_ProdData2_PDI_Cash_Exception_Application[[#This Row],[TODAY]]-qry_ProdData2_PDI_Cash_Exception_Application[[#This Row],[CHANGED ON]]</f>
        <v>6.7429282407392748</v>
      </c>
      <c r="N2379">
        <f ca="1">qry_ProdData2_PDI_Cash_Exception_Application[[#This Row],[TODAY]]-qry_ProdData2_PDI_Cash_Exception_Application[[#This Row],[CHANGED ON]]</f>
        <v>6.7429282407392748</v>
      </c>
    </row>
    <row r="2380" spans="1:14" x14ac:dyDescent="0.35">
      <c r="A2380">
        <v>1027</v>
      </c>
      <c r="B2380" t="s">
        <v>81</v>
      </c>
      <c r="C2380" s="1">
        <v>45182.257071759261</v>
      </c>
      <c r="D2380" t="str">
        <f ca="1">VLOOKUP(qry_ProdData2_PDI_Cash_Exception_Application[[#This Row],[TYPE]],#REF!,2,FALSE)</f>
        <v>type40</v>
      </c>
      <c r="E2380">
        <v>6.11</v>
      </c>
      <c r="F2380" t="s">
        <v>51</v>
      </c>
      <c r="G2380" s="1">
        <f>qry_ProdData2_PDI_Cash_Exception_Application[[#This Row],[INSERT DATE]]+1</f>
        <v>45183.257071759261</v>
      </c>
      <c r="H2380" t="str">
        <f>VLOOKUP(qry_ProdData2_PDI_Cash_Exception_Application[[#This Row],[MARKET No]],'Site Allocation'!$B$2:$C$37,2,FALSE)</f>
        <v>Analyst5</v>
      </c>
      <c r="I2380" s="4">
        <f t="shared" ca="1" si="37"/>
        <v>45203</v>
      </c>
      <c r="J2380" s="42">
        <f ca="1">TODAY()-qry_ProdData2_PDI_Cash_Exception_Application[[#This Row],[INSERT DATE]]</f>
        <v>20.742928240739275</v>
      </c>
      <c r="K23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80">
        <f ca="1">qry_ProdData2_PDI_Cash_Exception_Application[[#This Row],[TODAY]]-qry_ProdData2_PDI_Cash_Exception_Application[[#This Row],[CHANGED ON]]</f>
        <v>19.742928240739275</v>
      </c>
      <c r="M2380">
        <f ca="1">qry_ProdData2_PDI_Cash_Exception_Application[[#This Row],[TODAY]]-qry_ProdData2_PDI_Cash_Exception_Application[[#This Row],[CHANGED ON]]</f>
        <v>19.742928240739275</v>
      </c>
      <c r="N2380">
        <f ca="1">qry_ProdData2_PDI_Cash_Exception_Application[[#This Row],[TODAY]]-qry_ProdData2_PDI_Cash_Exception_Application[[#This Row],[CHANGED ON]]</f>
        <v>19.742928240739275</v>
      </c>
    </row>
    <row r="2381" spans="1:14" x14ac:dyDescent="0.35">
      <c r="A2381">
        <v>1034</v>
      </c>
      <c r="B2381" t="s">
        <v>88</v>
      </c>
      <c r="C2381" s="1">
        <v>45189.257071759261</v>
      </c>
      <c r="D2381" t="str">
        <f ca="1">VLOOKUP(qry_ProdData2_PDI_Cash_Exception_Application[[#This Row],[TYPE]],#REF!,2,FALSE)</f>
        <v>type35</v>
      </c>
      <c r="E2381">
        <v>999.56</v>
      </c>
      <c r="F2381" t="s">
        <v>47</v>
      </c>
      <c r="G2381" s="1">
        <f>qry_ProdData2_PDI_Cash_Exception_Application[[#This Row],[INSERT DATE]]+2</f>
        <v>45191.257071759261</v>
      </c>
      <c r="H2381" t="str">
        <f>VLOOKUP(qry_ProdData2_PDI_Cash_Exception_Application[[#This Row],[MARKET No]],'Site Allocation'!$B$2:$C$37,2,FALSE)</f>
        <v>Analyst6</v>
      </c>
      <c r="I2381" s="4">
        <f t="shared" ca="1" si="37"/>
        <v>45203</v>
      </c>
      <c r="J2381" s="42">
        <f ca="1">TODAY()-qry_ProdData2_PDI_Cash_Exception_Application[[#This Row],[INSERT DATE]]</f>
        <v>13.742928240739275</v>
      </c>
      <c r="K23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81">
        <f ca="1">qry_ProdData2_PDI_Cash_Exception_Application[[#This Row],[TODAY]]-qry_ProdData2_PDI_Cash_Exception_Application[[#This Row],[CHANGED ON]]</f>
        <v>11.742928240739275</v>
      </c>
      <c r="M2381">
        <f ca="1">qry_ProdData2_PDI_Cash_Exception_Application[[#This Row],[TODAY]]-qry_ProdData2_PDI_Cash_Exception_Application[[#This Row],[CHANGED ON]]</f>
        <v>11.742928240739275</v>
      </c>
      <c r="N2381">
        <f ca="1">qry_ProdData2_PDI_Cash_Exception_Application[[#This Row],[TODAY]]-qry_ProdData2_PDI_Cash_Exception_Application[[#This Row],[CHANGED ON]]</f>
        <v>11.742928240739275</v>
      </c>
    </row>
    <row r="2382" spans="1:14" x14ac:dyDescent="0.35">
      <c r="A2382">
        <v>1028</v>
      </c>
      <c r="B2382" t="s">
        <v>82</v>
      </c>
      <c r="C2382" s="1">
        <v>45192.257071759261</v>
      </c>
      <c r="D2382" t="str">
        <f ca="1">VLOOKUP(qry_ProdData2_PDI_Cash_Exception_Application[[#This Row],[TYPE]],#REF!,2,FALSE)</f>
        <v>type40</v>
      </c>
      <c r="E2382">
        <v>357.27</v>
      </c>
      <c r="F2382" t="s">
        <v>48</v>
      </c>
      <c r="G2382" s="1">
        <f>qry_ProdData2_PDI_Cash_Exception_Application[[#This Row],[INSERT DATE]]+2</f>
        <v>45194.257071759261</v>
      </c>
      <c r="H2382" t="str">
        <f>VLOOKUP(qry_ProdData2_PDI_Cash_Exception_Application[[#This Row],[MARKET No]],'Site Allocation'!$B$2:$C$37,2,FALSE)</f>
        <v>Analyst5</v>
      </c>
      <c r="I2382" s="4">
        <f t="shared" ca="1" si="37"/>
        <v>45203</v>
      </c>
      <c r="J2382" s="42">
        <f ca="1">TODAY()-qry_ProdData2_PDI_Cash_Exception_Application[[#This Row],[INSERT DATE]]</f>
        <v>10.742928240739275</v>
      </c>
      <c r="K23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82">
        <f ca="1">qry_ProdData2_PDI_Cash_Exception_Application[[#This Row],[TODAY]]-qry_ProdData2_PDI_Cash_Exception_Application[[#This Row],[CHANGED ON]]</f>
        <v>8.7429282407392748</v>
      </c>
      <c r="M2382">
        <f ca="1">qry_ProdData2_PDI_Cash_Exception_Application[[#This Row],[TODAY]]-qry_ProdData2_PDI_Cash_Exception_Application[[#This Row],[CHANGED ON]]</f>
        <v>8.7429282407392748</v>
      </c>
      <c r="N2382">
        <f ca="1">qry_ProdData2_PDI_Cash_Exception_Application[[#This Row],[TODAY]]-qry_ProdData2_PDI_Cash_Exception_Application[[#This Row],[CHANGED ON]]</f>
        <v>8.7429282407392748</v>
      </c>
    </row>
    <row r="2383" spans="1:14" x14ac:dyDescent="0.35">
      <c r="A2383">
        <v>1017</v>
      </c>
      <c r="B2383" t="s">
        <v>71</v>
      </c>
      <c r="C2383" s="1">
        <v>45189.257071759261</v>
      </c>
      <c r="D2383" t="str">
        <f ca="1">VLOOKUP(qry_ProdData2_PDI_Cash_Exception_Application[[#This Row],[TYPE]],#REF!,2,FALSE)</f>
        <v>type40</v>
      </c>
      <c r="E2383">
        <v>757.21</v>
      </c>
      <c r="F2383" t="s">
        <v>49</v>
      </c>
      <c r="G2383" s="1">
        <f>qry_ProdData2_PDI_Cash_Exception_Application[[#This Row],[INSERT DATE]]+7</f>
        <v>45196.257071759261</v>
      </c>
      <c r="H2383" t="str">
        <f>VLOOKUP(qry_ProdData2_PDI_Cash_Exception_Application[[#This Row],[MARKET No]],'Site Allocation'!$B$2:$C$37,2,FALSE)</f>
        <v>Analyst3</v>
      </c>
      <c r="I2383" s="4">
        <f t="shared" ca="1" si="37"/>
        <v>45203</v>
      </c>
      <c r="J2383" s="42">
        <f ca="1">TODAY()-qry_ProdData2_PDI_Cash_Exception_Application[[#This Row],[INSERT DATE]]</f>
        <v>13.742928240739275</v>
      </c>
      <c r="K23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83">
        <f ca="1">qry_ProdData2_PDI_Cash_Exception_Application[[#This Row],[TODAY]]-qry_ProdData2_PDI_Cash_Exception_Application[[#This Row],[CHANGED ON]]</f>
        <v>6.7429282407392748</v>
      </c>
      <c r="M2383">
        <f ca="1">qry_ProdData2_PDI_Cash_Exception_Application[[#This Row],[TODAY]]-qry_ProdData2_PDI_Cash_Exception_Application[[#This Row],[CHANGED ON]]</f>
        <v>6.7429282407392748</v>
      </c>
      <c r="N2383">
        <f ca="1">qry_ProdData2_PDI_Cash_Exception_Application[[#This Row],[TODAY]]-qry_ProdData2_PDI_Cash_Exception_Application[[#This Row],[CHANGED ON]]</f>
        <v>6.7429282407392748</v>
      </c>
    </row>
    <row r="2384" spans="1:14" x14ac:dyDescent="0.35">
      <c r="A2384">
        <v>1027</v>
      </c>
      <c r="B2384" t="s">
        <v>81</v>
      </c>
      <c r="C2384" s="1">
        <v>45196.257071759261</v>
      </c>
      <c r="D2384" t="str">
        <f ca="1">VLOOKUP(qry_ProdData2_PDI_Cash_Exception_Application[[#This Row],[TYPE]],#REF!,2,FALSE)</f>
        <v>type30</v>
      </c>
      <c r="E2384">
        <v>436965.6</v>
      </c>
      <c r="F2384" t="s">
        <v>52</v>
      </c>
      <c r="G2384" s="1">
        <f>qry_ProdData2_PDI_Cash_Exception_Application[[#This Row],[INSERT DATE]]+5</f>
        <v>45201.257071759261</v>
      </c>
      <c r="H2384" t="str">
        <f>VLOOKUP(qry_ProdData2_PDI_Cash_Exception_Application[[#This Row],[MARKET No]],'Site Allocation'!$B$2:$C$37,2,FALSE)</f>
        <v>Analyst5</v>
      </c>
      <c r="I2384" s="4">
        <f t="shared" ca="1" si="37"/>
        <v>45203</v>
      </c>
      <c r="J2384" s="42">
        <f ca="1">TODAY()-qry_ProdData2_PDI_Cash_Exception_Application[[#This Row],[INSERT DATE]]</f>
        <v>6.7429282407392748</v>
      </c>
      <c r="K23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384">
        <f ca="1">qry_ProdData2_PDI_Cash_Exception_Application[[#This Row],[TODAY]]-qry_ProdData2_PDI_Cash_Exception_Application[[#This Row],[CHANGED ON]]</f>
        <v>1.7429282407392748</v>
      </c>
      <c r="M2384">
        <f ca="1">qry_ProdData2_PDI_Cash_Exception_Application[[#This Row],[TODAY]]-qry_ProdData2_PDI_Cash_Exception_Application[[#This Row],[CHANGED ON]]</f>
        <v>1.7429282407392748</v>
      </c>
      <c r="N2384">
        <f ca="1">qry_ProdData2_PDI_Cash_Exception_Application[[#This Row],[TODAY]]-qry_ProdData2_PDI_Cash_Exception_Application[[#This Row],[CHANGED ON]]</f>
        <v>1.7429282407392748</v>
      </c>
    </row>
    <row r="2385" spans="1:14" x14ac:dyDescent="0.35">
      <c r="A2385">
        <v>1005</v>
      </c>
      <c r="B2385" t="s">
        <v>59</v>
      </c>
      <c r="C2385" s="1">
        <v>45182.257071759261</v>
      </c>
      <c r="D2385" t="str">
        <f ca="1">VLOOKUP(qry_ProdData2_PDI_Cash_Exception_Application[[#This Row],[TYPE]],#REF!,2,FALSE)</f>
        <v>type40</v>
      </c>
      <c r="E2385">
        <v>-3212.41</v>
      </c>
      <c r="F2385" t="s">
        <v>48</v>
      </c>
      <c r="G2385" s="1">
        <f>qry_ProdData2_PDI_Cash_Exception_Application[[#This Row],[INSERT DATE]]+2</f>
        <v>45184.257071759261</v>
      </c>
      <c r="H2385" t="str">
        <f>VLOOKUP(qry_ProdData2_PDI_Cash_Exception_Application[[#This Row],[MARKET No]],'Site Allocation'!$B$2:$C$37,2,FALSE)</f>
        <v>Analyst1</v>
      </c>
      <c r="I2385" s="4">
        <f t="shared" ca="1" si="37"/>
        <v>45203</v>
      </c>
      <c r="J2385" s="42">
        <f ca="1">TODAY()-qry_ProdData2_PDI_Cash_Exception_Application[[#This Row],[INSERT DATE]]</f>
        <v>20.742928240739275</v>
      </c>
      <c r="K23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85">
        <f ca="1">qry_ProdData2_PDI_Cash_Exception_Application[[#This Row],[TODAY]]-qry_ProdData2_PDI_Cash_Exception_Application[[#This Row],[CHANGED ON]]</f>
        <v>18.742928240739275</v>
      </c>
      <c r="M2385">
        <f ca="1">qry_ProdData2_PDI_Cash_Exception_Application[[#This Row],[TODAY]]-qry_ProdData2_PDI_Cash_Exception_Application[[#This Row],[CHANGED ON]]</f>
        <v>18.742928240739275</v>
      </c>
      <c r="N2385">
        <f ca="1">qry_ProdData2_PDI_Cash_Exception_Application[[#This Row],[TODAY]]-qry_ProdData2_PDI_Cash_Exception_Application[[#This Row],[CHANGED ON]]</f>
        <v>18.742928240739275</v>
      </c>
    </row>
    <row r="2386" spans="1:14" x14ac:dyDescent="0.35">
      <c r="A2386">
        <v>1008</v>
      </c>
      <c r="B2386" t="s">
        <v>62</v>
      </c>
      <c r="C2386" s="1">
        <v>45179.257071759261</v>
      </c>
      <c r="D2386" t="str">
        <f ca="1">VLOOKUP(qry_ProdData2_PDI_Cash_Exception_Application[[#This Row],[TYPE]],#REF!,2,FALSE)</f>
        <v>type40</v>
      </c>
      <c r="E2386">
        <v>2567.5700000000002</v>
      </c>
      <c r="F2386" t="s">
        <v>52</v>
      </c>
      <c r="G2386" s="1">
        <f>qry_ProdData2_PDI_Cash_Exception_Application[[#This Row],[INSERT DATE]]+5</f>
        <v>45184.257071759261</v>
      </c>
      <c r="H2386" t="str">
        <f>VLOOKUP(qry_ProdData2_PDI_Cash_Exception_Application[[#This Row],[MARKET No]],'Site Allocation'!$B$2:$C$37,2,FALSE)</f>
        <v>Analyst2</v>
      </c>
      <c r="I2386" s="4">
        <f t="shared" ca="1" si="37"/>
        <v>45203</v>
      </c>
      <c r="J2386" s="42">
        <f ca="1">TODAY()-qry_ProdData2_PDI_Cash_Exception_Application[[#This Row],[INSERT DATE]]</f>
        <v>23.742928240739275</v>
      </c>
      <c r="K23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86">
        <f ca="1">qry_ProdData2_PDI_Cash_Exception_Application[[#This Row],[TODAY]]-qry_ProdData2_PDI_Cash_Exception_Application[[#This Row],[CHANGED ON]]</f>
        <v>18.742928240739275</v>
      </c>
      <c r="M2386">
        <f ca="1">qry_ProdData2_PDI_Cash_Exception_Application[[#This Row],[TODAY]]-qry_ProdData2_PDI_Cash_Exception_Application[[#This Row],[CHANGED ON]]</f>
        <v>18.742928240739275</v>
      </c>
      <c r="N2386">
        <f ca="1">qry_ProdData2_PDI_Cash_Exception_Application[[#This Row],[TODAY]]-qry_ProdData2_PDI_Cash_Exception_Application[[#This Row],[CHANGED ON]]</f>
        <v>18.742928240739275</v>
      </c>
    </row>
    <row r="2387" spans="1:14" x14ac:dyDescent="0.35">
      <c r="A2387">
        <v>1014</v>
      </c>
      <c r="B2387" t="s">
        <v>68</v>
      </c>
      <c r="C2387" s="1">
        <v>45180.257071759261</v>
      </c>
      <c r="D2387" t="str">
        <f ca="1">VLOOKUP(qry_ProdData2_PDI_Cash_Exception_Application[[#This Row],[TYPE]],#REF!,2,FALSE)</f>
        <v>type17</v>
      </c>
      <c r="E2387">
        <v>604.08000000000004</v>
      </c>
      <c r="F2387" t="s">
        <v>52</v>
      </c>
      <c r="G2387" s="1">
        <f>qry_ProdData2_PDI_Cash_Exception_Application[[#This Row],[INSERT DATE]]+7</f>
        <v>45187.257071759261</v>
      </c>
      <c r="H2387" t="str">
        <f>VLOOKUP(qry_ProdData2_PDI_Cash_Exception_Application[[#This Row],[MARKET No]],'Site Allocation'!$B$2:$C$37,2,FALSE)</f>
        <v>Analyst3</v>
      </c>
      <c r="I2387" s="4">
        <f t="shared" ca="1" si="37"/>
        <v>45203</v>
      </c>
      <c r="J2387" s="42">
        <f ca="1">TODAY()-qry_ProdData2_PDI_Cash_Exception_Application[[#This Row],[INSERT DATE]]</f>
        <v>22.742928240739275</v>
      </c>
      <c r="K23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87">
        <f ca="1">qry_ProdData2_PDI_Cash_Exception_Application[[#This Row],[TODAY]]-qry_ProdData2_PDI_Cash_Exception_Application[[#This Row],[CHANGED ON]]</f>
        <v>15.742928240739275</v>
      </c>
      <c r="M2387">
        <f ca="1">qry_ProdData2_PDI_Cash_Exception_Application[[#This Row],[TODAY]]-qry_ProdData2_PDI_Cash_Exception_Application[[#This Row],[CHANGED ON]]</f>
        <v>15.742928240739275</v>
      </c>
      <c r="N2387">
        <f ca="1">qry_ProdData2_PDI_Cash_Exception_Application[[#This Row],[TODAY]]-qry_ProdData2_PDI_Cash_Exception_Application[[#This Row],[CHANGED ON]]</f>
        <v>15.742928240739275</v>
      </c>
    </row>
    <row r="2388" spans="1:14" x14ac:dyDescent="0.35">
      <c r="A2388">
        <v>1000</v>
      </c>
      <c r="B2388" t="s">
        <v>54</v>
      </c>
      <c r="C2388" s="1">
        <v>45181.257071759261</v>
      </c>
      <c r="D2388" t="str">
        <f ca="1">VLOOKUP(qry_ProdData2_PDI_Cash_Exception_Application[[#This Row],[TYPE]],#REF!,2,FALSE)</f>
        <v>type33</v>
      </c>
      <c r="E2388">
        <v>352.23</v>
      </c>
      <c r="F2388" t="s">
        <v>50</v>
      </c>
      <c r="G2388" s="1">
        <f>qry_ProdData2_PDI_Cash_Exception_Application[[#This Row],[INSERT DATE]]+7</f>
        <v>45188.257071759261</v>
      </c>
      <c r="H2388" t="str">
        <f>VLOOKUP(qry_ProdData2_PDI_Cash_Exception_Application[[#This Row],[MARKET No]],'Site Allocation'!$B$2:$C$37,2,FALSE)</f>
        <v>Analyst1</v>
      </c>
      <c r="I2388" s="4">
        <f t="shared" ca="1" si="37"/>
        <v>45203</v>
      </c>
      <c r="J2388" s="42">
        <f ca="1">TODAY()-qry_ProdData2_PDI_Cash_Exception_Application[[#This Row],[INSERT DATE]]</f>
        <v>21.742928240739275</v>
      </c>
      <c r="K23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88">
        <f ca="1">qry_ProdData2_PDI_Cash_Exception_Application[[#This Row],[TODAY]]-qry_ProdData2_PDI_Cash_Exception_Application[[#This Row],[CHANGED ON]]</f>
        <v>14.742928240739275</v>
      </c>
      <c r="M2388">
        <f ca="1">qry_ProdData2_PDI_Cash_Exception_Application[[#This Row],[TODAY]]-qry_ProdData2_PDI_Cash_Exception_Application[[#This Row],[CHANGED ON]]</f>
        <v>14.742928240739275</v>
      </c>
      <c r="N2388">
        <f ca="1">qry_ProdData2_PDI_Cash_Exception_Application[[#This Row],[TODAY]]-qry_ProdData2_PDI_Cash_Exception_Application[[#This Row],[CHANGED ON]]</f>
        <v>14.742928240739275</v>
      </c>
    </row>
    <row r="2389" spans="1:14" x14ac:dyDescent="0.35">
      <c r="A2389">
        <v>1001</v>
      </c>
      <c r="B2389" t="s">
        <v>55</v>
      </c>
      <c r="C2389" s="1">
        <v>45192.257071759261</v>
      </c>
      <c r="D2389" t="str">
        <f ca="1">VLOOKUP(qry_ProdData2_PDI_Cash_Exception_Application[[#This Row],[TYPE]],#REF!,2,FALSE)</f>
        <v>type42</v>
      </c>
      <c r="E2389">
        <v>247.47</v>
      </c>
      <c r="F2389" t="s">
        <v>49</v>
      </c>
      <c r="G2389" s="1">
        <f>qry_ProdData2_PDI_Cash_Exception_Application[[#This Row],[INSERT DATE]]+7</f>
        <v>45199.257071759261</v>
      </c>
      <c r="H2389" t="str">
        <f>VLOOKUP(qry_ProdData2_PDI_Cash_Exception_Application[[#This Row],[MARKET No]],'Site Allocation'!$B$2:$C$37,2,FALSE)</f>
        <v>Analyst1</v>
      </c>
      <c r="I2389" s="4">
        <f t="shared" ca="1" si="37"/>
        <v>45203</v>
      </c>
      <c r="J2389" s="42">
        <f ca="1">TODAY()-qry_ProdData2_PDI_Cash_Exception_Application[[#This Row],[INSERT DATE]]</f>
        <v>10.742928240739275</v>
      </c>
      <c r="K23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89">
        <f ca="1">qry_ProdData2_PDI_Cash_Exception_Application[[#This Row],[TODAY]]-qry_ProdData2_PDI_Cash_Exception_Application[[#This Row],[CHANGED ON]]</f>
        <v>3.7429282407392748</v>
      </c>
      <c r="M2389">
        <f ca="1">qry_ProdData2_PDI_Cash_Exception_Application[[#This Row],[TODAY]]-qry_ProdData2_PDI_Cash_Exception_Application[[#This Row],[CHANGED ON]]</f>
        <v>3.7429282407392748</v>
      </c>
      <c r="N2389">
        <f ca="1">qry_ProdData2_PDI_Cash_Exception_Application[[#This Row],[TODAY]]-qry_ProdData2_PDI_Cash_Exception_Application[[#This Row],[CHANGED ON]]</f>
        <v>3.7429282407392748</v>
      </c>
    </row>
    <row r="2390" spans="1:14" x14ac:dyDescent="0.35">
      <c r="A2390">
        <v>1028</v>
      </c>
      <c r="B2390" t="s">
        <v>82</v>
      </c>
      <c r="C2390" s="1">
        <v>45184.257071759261</v>
      </c>
      <c r="D2390" t="str">
        <f ca="1">VLOOKUP(qry_ProdData2_PDI_Cash_Exception_Application[[#This Row],[TYPE]],#REF!,2,FALSE)</f>
        <v>type13</v>
      </c>
      <c r="E2390">
        <v>31775.759999999998</v>
      </c>
      <c r="F2390" t="s">
        <v>48</v>
      </c>
      <c r="G2390" s="1">
        <f>qry_ProdData2_PDI_Cash_Exception_Application[[#This Row],[INSERT DATE]]+5</f>
        <v>45189.257071759261</v>
      </c>
      <c r="H2390" t="str">
        <f>VLOOKUP(qry_ProdData2_PDI_Cash_Exception_Application[[#This Row],[MARKET No]],'Site Allocation'!$B$2:$C$37,2,FALSE)</f>
        <v>Analyst5</v>
      </c>
      <c r="I2390" s="4">
        <f t="shared" ca="1" si="37"/>
        <v>45203</v>
      </c>
      <c r="J2390" s="42">
        <f ca="1">TODAY()-qry_ProdData2_PDI_Cash_Exception_Application[[#This Row],[INSERT DATE]]</f>
        <v>18.742928240739275</v>
      </c>
      <c r="K23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90">
        <f ca="1">qry_ProdData2_PDI_Cash_Exception_Application[[#This Row],[TODAY]]-qry_ProdData2_PDI_Cash_Exception_Application[[#This Row],[CHANGED ON]]</f>
        <v>13.742928240739275</v>
      </c>
      <c r="M2390">
        <f ca="1">qry_ProdData2_PDI_Cash_Exception_Application[[#This Row],[TODAY]]-qry_ProdData2_PDI_Cash_Exception_Application[[#This Row],[CHANGED ON]]</f>
        <v>13.742928240739275</v>
      </c>
      <c r="N2390">
        <f ca="1">qry_ProdData2_PDI_Cash_Exception_Application[[#This Row],[TODAY]]-qry_ProdData2_PDI_Cash_Exception_Application[[#This Row],[CHANGED ON]]</f>
        <v>13.742928240739275</v>
      </c>
    </row>
    <row r="2391" spans="1:14" x14ac:dyDescent="0.35">
      <c r="A2391">
        <v>1003</v>
      </c>
      <c r="B2391" t="s">
        <v>57</v>
      </c>
      <c r="C2391" s="1">
        <v>45190.257071759261</v>
      </c>
      <c r="D2391" t="str">
        <f ca="1">VLOOKUP(qry_ProdData2_PDI_Cash_Exception_Application[[#This Row],[TYPE]],#REF!,2,FALSE)</f>
        <v>type40</v>
      </c>
      <c r="E2391">
        <v>3093.72</v>
      </c>
      <c r="F2391" t="s">
        <v>49</v>
      </c>
      <c r="G2391" s="1">
        <f>qry_ProdData2_PDI_Cash_Exception_Application[[#This Row],[INSERT DATE]]+1</f>
        <v>45191.257071759261</v>
      </c>
      <c r="H2391" t="str">
        <f>VLOOKUP(qry_ProdData2_PDI_Cash_Exception_Application[[#This Row],[MARKET No]],'Site Allocation'!$B$2:$C$37,2,FALSE)</f>
        <v>Analyst1</v>
      </c>
      <c r="I2391" s="4">
        <f t="shared" ca="1" si="37"/>
        <v>45203</v>
      </c>
      <c r="J2391" s="42">
        <f ca="1">TODAY()-qry_ProdData2_PDI_Cash_Exception_Application[[#This Row],[INSERT DATE]]</f>
        <v>12.742928240739275</v>
      </c>
      <c r="K23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91">
        <f ca="1">qry_ProdData2_PDI_Cash_Exception_Application[[#This Row],[TODAY]]-qry_ProdData2_PDI_Cash_Exception_Application[[#This Row],[CHANGED ON]]</f>
        <v>11.742928240739275</v>
      </c>
      <c r="M2391">
        <f ca="1">qry_ProdData2_PDI_Cash_Exception_Application[[#This Row],[TODAY]]-qry_ProdData2_PDI_Cash_Exception_Application[[#This Row],[CHANGED ON]]</f>
        <v>11.742928240739275</v>
      </c>
      <c r="N2391">
        <f ca="1">qry_ProdData2_PDI_Cash_Exception_Application[[#This Row],[TODAY]]-qry_ProdData2_PDI_Cash_Exception_Application[[#This Row],[CHANGED ON]]</f>
        <v>11.742928240739275</v>
      </c>
    </row>
    <row r="2392" spans="1:14" x14ac:dyDescent="0.35">
      <c r="A2392">
        <v>1011</v>
      </c>
      <c r="B2392" t="s">
        <v>65</v>
      </c>
      <c r="C2392" s="1">
        <v>45186.257071759261</v>
      </c>
      <c r="D2392" t="str">
        <f ca="1">VLOOKUP(qry_ProdData2_PDI_Cash_Exception_Application[[#This Row],[TYPE]],#REF!,2,FALSE)</f>
        <v>type40</v>
      </c>
      <c r="E2392">
        <v>447.78</v>
      </c>
      <c r="F2392" t="s">
        <v>49</v>
      </c>
      <c r="G2392" s="1">
        <f>qry_ProdData2_PDI_Cash_Exception_Application[[#This Row],[INSERT DATE]]+5</f>
        <v>45191.257071759261</v>
      </c>
      <c r="H2392" t="str">
        <f>VLOOKUP(qry_ProdData2_PDI_Cash_Exception_Application[[#This Row],[MARKET No]],'Site Allocation'!$B$2:$C$37,2,FALSE)</f>
        <v>Analyst2</v>
      </c>
      <c r="I2392" s="4">
        <f t="shared" ca="1" si="37"/>
        <v>45203</v>
      </c>
      <c r="J2392" s="42">
        <f ca="1">TODAY()-qry_ProdData2_PDI_Cash_Exception_Application[[#This Row],[INSERT DATE]]</f>
        <v>16.742928240739275</v>
      </c>
      <c r="K23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92">
        <f ca="1">qry_ProdData2_PDI_Cash_Exception_Application[[#This Row],[TODAY]]-qry_ProdData2_PDI_Cash_Exception_Application[[#This Row],[CHANGED ON]]</f>
        <v>11.742928240739275</v>
      </c>
      <c r="M2392">
        <f ca="1">qry_ProdData2_PDI_Cash_Exception_Application[[#This Row],[TODAY]]-qry_ProdData2_PDI_Cash_Exception_Application[[#This Row],[CHANGED ON]]</f>
        <v>11.742928240739275</v>
      </c>
      <c r="N2392">
        <f ca="1">qry_ProdData2_PDI_Cash_Exception_Application[[#This Row],[TODAY]]-qry_ProdData2_PDI_Cash_Exception_Application[[#This Row],[CHANGED ON]]</f>
        <v>11.742928240739275</v>
      </c>
    </row>
    <row r="2393" spans="1:14" x14ac:dyDescent="0.35">
      <c r="A2393">
        <v>1018</v>
      </c>
      <c r="B2393" t="s">
        <v>72</v>
      </c>
      <c r="C2393" s="1">
        <v>45187.257071759261</v>
      </c>
      <c r="D2393" t="str">
        <f ca="1">VLOOKUP(qry_ProdData2_PDI_Cash_Exception_Application[[#This Row],[TYPE]],#REF!,2,FALSE)</f>
        <v>type13</v>
      </c>
      <c r="E2393">
        <v>31659.24</v>
      </c>
      <c r="F2393" t="s">
        <v>49</v>
      </c>
      <c r="G2393" s="1">
        <f>qry_ProdData2_PDI_Cash_Exception_Application[[#This Row],[INSERT DATE]]+5</f>
        <v>45192.257071759261</v>
      </c>
      <c r="H2393" t="str">
        <f>VLOOKUP(qry_ProdData2_PDI_Cash_Exception_Application[[#This Row],[MARKET No]],'Site Allocation'!$B$2:$C$37,2,FALSE)</f>
        <v>Analyst4</v>
      </c>
      <c r="I2393" s="4">
        <f t="shared" ca="1" si="37"/>
        <v>45203</v>
      </c>
      <c r="J2393" s="42">
        <f ca="1">TODAY()-qry_ProdData2_PDI_Cash_Exception_Application[[#This Row],[INSERT DATE]]</f>
        <v>15.742928240739275</v>
      </c>
      <c r="K23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93">
        <f ca="1">qry_ProdData2_PDI_Cash_Exception_Application[[#This Row],[TODAY]]-qry_ProdData2_PDI_Cash_Exception_Application[[#This Row],[CHANGED ON]]</f>
        <v>10.742928240739275</v>
      </c>
      <c r="M2393">
        <f ca="1">qry_ProdData2_PDI_Cash_Exception_Application[[#This Row],[TODAY]]-qry_ProdData2_PDI_Cash_Exception_Application[[#This Row],[CHANGED ON]]</f>
        <v>10.742928240739275</v>
      </c>
      <c r="N2393">
        <f ca="1">qry_ProdData2_PDI_Cash_Exception_Application[[#This Row],[TODAY]]-qry_ProdData2_PDI_Cash_Exception_Application[[#This Row],[CHANGED ON]]</f>
        <v>10.742928240739275</v>
      </c>
    </row>
    <row r="2394" spans="1:14" x14ac:dyDescent="0.35">
      <c r="A2394">
        <v>1000</v>
      </c>
      <c r="B2394" t="s">
        <v>54</v>
      </c>
      <c r="C2394" s="1">
        <v>45189.257071759261</v>
      </c>
      <c r="D2394" t="str">
        <f ca="1">VLOOKUP(qry_ProdData2_PDI_Cash_Exception_Application[[#This Row],[TYPE]],#REF!,2,FALSE)</f>
        <v>type13</v>
      </c>
      <c r="E2394">
        <v>21521.93</v>
      </c>
      <c r="F2394" t="s">
        <v>49</v>
      </c>
      <c r="G2394" s="1">
        <f>qry_ProdData2_PDI_Cash_Exception_Application[[#This Row],[INSERT DATE]]+7</f>
        <v>45196.257071759261</v>
      </c>
      <c r="H2394" t="str">
        <f>VLOOKUP(qry_ProdData2_PDI_Cash_Exception_Application[[#This Row],[MARKET No]],'Site Allocation'!$B$2:$C$37,2,FALSE)</f>
        <v>Analyst1</v>
      </c>
      <c r="I2394" s="4">
        <f t="shared" ca="1" si="37"/>
        <v>45203</v>
      </c>
      <c r="J2394" s="42">
        <f ca="1">TODAY()-qry_ProdData2_PDI_Cash_Exception_Application[[#This Row],[INSERT DATE]]</f>
        <v>13.742928240739275</v>
      </c>
      <c r="K23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94">
        <f ca="1">qry_ProdData2_PDI_Cash_Exception_Application[[#This Row],[TODAY]]-qry_ProdData2_PDI_Cash_Exception_Application[[#This Row],[CHANGED ON]]</f>
        <v>6.7429282407392748</v>
      </c>
      <c r="M2394">
        <f ca="1">qry_ProdData2_PDI_Cash_Exception_Application[[#This Row],[TODAY]]-qry_ProdData2_PDI_Cash_Exception_Application[[#This Row],[CHANGED ON]]</f>
        <v>6.7429282407392748</v>
      </c>
      <c r="N2394">
        <f ca="1">qry_ProdData2_PDI_Cash_Exception_Application[[#This Row],[TODAY]]-qry_ProdData2_PDI_Cash_Exception_Application[[#This Row],[CHANGED ON]]</f>
        <v>6.7429282407392748</v>
      </c>
    </row>
    <row r="2395" spans="1:14" x14ac:dyDescent="0.35">
      <c r="A2395">
        <v>1034</v>
      </c>
      <c r="B2395" t="s">
        <v>88</v>
      </c>
      <c r="C2395" s="1">
        <v>45185.257071759261</v>
      </c>
      <c r="D2395" t="str">
        <f ca="1">VLOOKUP(qry_ProdData2_PDI_Cash_Exception_Application[[#This Row],[TYPE]],#REF!,2,FALSE)</f>
        <v>type33</v>
      </c>
      <c r="E2395">
        <v>524.52</v>
      </c>
      <c r="F2395" t="s">
        <v>52</v>
      </c>
      <c r="G2395" s="1">
        <f>qry_ProdData2_PDI_Cash_Exception_Application[[#This Row],[INSERT DATE]]+7</f>
        <v>45192.257071759261</v>
      </c>
      <c r="H2395" t="str">
        <f>VLOOKUP(qry_ProdData2_PDI_Cash_Exception_Application[[#This Row],[MARKET No]],'Site Allocation'!$B$2:$C$37,2,FALSE)</f>
        <v>Analyst6</v>
      </c>
      <c r="I2395" s="4">
        <f t="shared" ca="1" si="37"/>
        <v>45203</v>
      </c>
      <c r="J2395" s="42">
        <f ca="1">TODAY()-qry_ProdData2_PDI_Cash_Exception_Application[[#This Row],[INSERT DATE]]</f>
        <v>17.742928240739275</v>
      </c>
      <c r="K23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95">
        <f ca="1">qry_ProdData2_PDI_Cash_Exception_Application[[#This Row],[TODAY]]-qry_ProdData2_PDI_Cash_Exception_Application[[#This Row],[CHANGED ON]]</f>
        <v>10.742928240739275</v>
      </c>
      <c r="M2395">
        <f ca="1">qry_ProdData2_PDI_Cash_Exception_Application[[#This Row],[TODAY]]-qry_ProdData2_PDI_Cash_Exception_Application[[#This Row],[CHANGED ON]]</f>
        <v>10.742928240739275</v>
      </c>
      <c r="N2395">
        <f ca="1">qry_ProdData2_PDI_Cash_Exception_Application[[#This Row],[TODAY]]-qry_ProdData2_PDI_Cash_Exception_Application[[#This Row],[CHANGED ON]]</f>
        <v>10.742928240739275</v>
      </c>
    </row>
    <row r="2396" spans="1:14" x14ac:dyDescent="0.35">
      <c r="A2396">
        <v>1004</v>
      </c>
      <c r="B2396" t="s">
        <v>58</v>
      </c>
      <c r="C2396" s="1">
        <v>45183.257071759261</v>
      </c>
      <c r="D2396" t="str">
        <f ca="1">VLOOKUP(qry_ProdData2_PDI_Cash_Exception_Application[[#This Row],[TYPE]],#REF!,2,FALSE)</f>
        <v>type40</v>
      </c>
      <c r="E2396">
        <v>-417.87</v>
      </c>
      <c r="F2396" t="s">
        <v>49</v>
      </c>
      <c r="G2396" s="1">
        <f>qry_ProdData2_PDI_Cash_Exception_Application[[#This Row],[INSERT DATE]]+7</f>
        <v>45190.257071759261</v>
      </c>
      <c r="H2396" t="str">
        <f>VLOOKUP(qry_ProdData2_PDI_Cash_Exception_Application[[#This Row],[MARKET No]],'Site Allocation'!$B$2:$C$37,2,FALSE)</f>
        <v>Analyst1</v>
      </c>
      <c r="I2396" s="4">
        <f t="shared" ca="1" si="37"/>
        <v>45203</v>
      </c>
      <c r="J2396" s="42">
        <f ca="1">TODAY()-qry_ProdData2_PDI_Cash_Exception_Application[[#This Row],[INSERT DATE]]</f>
        <v>19.742928240739275</v>
      </c>
      <c r="K23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96">
        <f ca="1">qry_ProdData2_PDI_Cash_Exception_Application[[#This Row],[TODAY]]-qry_ProdData2_PDI_Cash_Exception_Application[[#This Row],[CHANGED ON]]</f>
        <v>12.742928240739275</v>
      </c>
      <c r="M2396">
        <f ca="1">qry_ProdData2_PDI_Cash_Exception_Application[[#This Row],[TODAY]]-qry_ProdData2_PDI_Cash_Exception_Application[[#This Row],[CHANGED ON]]</f>
        <v>12.742928240739275</v>
      </c>
      <c r="N2396">
        <f ca="1">qry_ProdData2_PDI_Cash_Exception_Application[[#This Row],[TODAY]]-qry_ProdData2_PDI_Cash_Exception_Application[[#This Row],[CHANGED ON]]</f>
        <v>12.742928240739275</v>
      </c>
    </row>
    <row r="2397" spans="1:14" x14ac:dyDescent="0.35">
      <c r="A2397">
        <v>1032</v>
      </c>
      <c r="B2397" t="s">
        <v>86</v>
      </c>
      <c r="C2397" s="1">
        <v>45185.257071759261</v>
      </c>
      <c r="D2397" t="str">
        <f ca="1">VLOOKUP(qry_ProdData2_PDI_Cash_Exception_Application[[#This Row],[TYPE]],#REF!,2,FALSE)</f>
        <v>type13</v>
      </c>
      <c r="E2397">
        <v>35993.760000000002</v>
      </c>
      <c r="F2397" t="s">
        <v>48</v>
      </c>
      <c r="G2397" s="1">
        <f>qry_ProdData2_PDI_Cash_Exception_Application[[#This Row],[INSERT DATE]]+5</f>
        <v>45190.257071759261</v>
      </c>
      <c r="H2397" t="str">
        <f>VLOOKUP(qry_ProdData2_PDI_Cash_Exception_Application[[#This Row],[MARKET No]],'Site Allocation'!$B$2:$C$37,2,FALSE)</f>
        <v>Analyst6</v>
      </c>
      <c r="I2397" s="4">
        <f t="shared" ca="1" si="37"/>
        <v>45203</v>
      </c>
      <c r="J2397" s="42">
        <f ca="1">TODAY()-qry_ProdData2_PDI_Cash_Exception_Application[[#This Row],[INSERT DATE]]</f>
        <v>17.742928240739275</v>
      </c>
      <c r="K23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97">
        <f ca="1">qry_ProdData2_PDI_Cash_Exception_Application[[#This Row],[TODAY]]-qry_ProdData2_PDI_Cash_Exception_Application[[#This Row],[CHANGED ON]]</f>
        <v>12.742928240739275</v>
      </c>
      <c r="M2397">
        <f ca="1">qry_ProdData2_PDI_Cash_Exception_Application[[#This Row],[TODAY]]-qry_ProdData2_PDI_Cash_Exception_Application[[#This Row],[CHANGED ON]]</f>
        <v>12.742928240739275</v>
      </c>
      <c r="N2397">
        <f ca="1">qry_ProdData2_PDI_Cash_Exception_Application[[#This Row],[TODAY]]-qry_ProdData2_PDI_Cash_Exception_Application[[#This Row],[CHANGED ON]]</f>
        <v>12.742928240739275</v>
      </c>
    </row>
    <row r="2398" spans="1:14" x14ac:dyDescent="0.35">
      <c r="A2398">
        <v>1011</v>
      </c>
      <c r="B2398" t="s">
        <v>65</v>
      </c>
      <c r="C2398" s="1">
        <v>45187.257071759261</v>
      </c>
      <c r="D2398" t="str">
        <f ca="1">VLOOKUP(qry_ProdData2_PDI_Cash_Exception_Application[[#This Row],[TYPE]],#REF!,2,FALSE)</f>
        <v>type40</v>
      </c>
      <c r="E2398">
        <v>768.15</v>
      </c>
      <c r="F2398" t="s">
        <v>48</v>
      </c>
      <c r="G2398" s="1">
        <f>qry_ProdData2_PDI_Cash_Exception_Application[[#This Row],[INSERT DATE]]+5</f>
        <v>45192.257071759261</v>
      </c>
      <c r="H2398" t="str">
        <f>VLOOKUP(qry_ProdData2_PDI_Cash_Exception_Application[[#This Row],[MARKET No]],'Site Allocation'!$B$2:$C$37,2,FALSE)</f>
        <v>Analyst2</v>
      </c>
      <c r="I2398" s="4">
        <f t="shared" ca="1" si="37"/>
        <v>45203</v>
      </c>
      <c r="J2398" s="42">
        <f ca="1">TODAY()-qry_ProdData2_PDI_Cash_Exception_Application[[#This Row],[INSERT DATE]]</f>
        <v>15.742928240739275</v>
      </c>
      <c r="K23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98">
        <f ca="1">qry_ProdData2_PDI_Cash_Exception_Application[[#This Row],[TODAY]]-qry_ProdData2_PDI_Cash_Exception_Application[[#This Row],[CHANGED ON]]</f>
        <v>10.742928240739275</v>
      </c>
      <c r="M2398">
        <f ca="1">qry_ProdData2_PDI_Cash_Exception_Application[[#This Row],[TODAY]]-qry_ProdData2_PDI_Cash_Exception_Application[[#This Row],[CHANGED ON]]</f>
        <v>10.742928240739275</v>
      </c>
      <c r="N2398">
        <f ca="1">qry_ProdData2_PDI_Cash_Exception_Application[[#This Row],[TODAY]]-qry_ProdData2_PDI_Cash_Exception_Application[[#This Row],[CHANGED ON]]</f>
        <v>10.742928240739275</v>
      </c>
    </row>
    <row r="2399" spans="1:14" x14ac:dyDescent="0.35">
      <c r="A2399">
        <v>1012</v>
      </c>
      <c r="B2399" t="s">
        <v>66</v>
      </c>
      <c r="C2399" s="1">
        <v>45189.257071759261</v>
      </c>
      <c r="D2399" t="str">
        <f ca="1">VLOOKUP(qry_ProdData2_PDI_Cash_Exception_Application[[#This Row],[TYPE]],#REF!,2,FALSE)</f>
        <v>type26</v>
      </c>
      <c r="E2399">
        <v>311.73</v>
      </c>
      <c r="F2399" t="s">
        <v>48</v>
      </c>
      <c r="G2399" s="1">
        <f>qry_ProdData2_PDI_Cash_Exception_Application[[#This Row],[INSERT DATE]]+7</f>
        <v>45196.257071759261</v>
      </c>
      <c r="H2399" t="str">
        <f>VLOOKUP(qry_ProdData2_PDI_Cash_Exception_Application[[#This Row],[MARKET No]],'Site Allocation'!$B$2:$C$37,2,FALSE)</f>
        <v>Analyst3</v>
      </c>
      <c r="I2399" s="4">
        <f t="shared" ca="1" si="37"/>
        <v>45203</v>
      </c>
      <c r="J2399" s="42">
        <f ca="1">TODAY()-qry_ProdData2_PDI_Cash_Exception_Application[[#This Row],[INSERT DATE]]</f>
        <v>13.742928240739275</v>
      </c>
      <c r="K23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399">
        <f ca="1">qry_ProdData2_PDI_Cash_Exception_Application[[#This Row],[TODAY]]-qry_ProdData2_PDI_Cash_Exception_Application[[#This Row],[CHANGED ON]]</f>
        <v>6.7429282407392748</v>
      </c>
      <c r="M2399">
        <f ca="1">qry_ProdData2_PDI_Cash_Exception_Application[[#This Row],[TODAY]]-qry_ProdData2_PDI_Cash_Exception_Application[[#This Row],[CHANGED ON]]</f>
        <v>6.7429282407392748</v>
      </c>
      <c r="N2399">
        <f ca="1">qry_ProdData2_PDI_Cash_Exception_Application[[#This Row],[TODAY]]-qry_ProdData2_PDI_Cash_Exception_Application[[#This Row],[CHANGED ON]]</f>
        <v>6.7429282407392748</v>
      </c>
    </row>
    <row r="2400" spans="1:14" x14ac:dyDescent="0.35">
      <c r="A2400">
        <v>1028</v>
      </c>
      <c r="B2400" t="s">
        <v>82</v>
      </c>
      <c r="C2400" s="1">
        <v>45188.257071759261</v>
      </c>
      <c r="D2400" t="str">
        <f ca="1">VLOOKUP(qry_ProdData2_PDI_Cash_Exception_Application[[#This Row],[TYPE]],#REF!,2,FALSE)</f>
        <v>type40</v>
      </c>
      <c r="E2400">
        <v>4593.3100000000004</v>
      </c>
      <c r="F2400" t="s">
        <v>52</v>
      </c>
      <c r="G2400" s="1">
        <f>qry_ProdData2_PDI_Cash_Exception_Application[[#This Row],[INSERT DATE]]+7</f>
        <v>45195.257071759261</v>
      </c>
      <c r="H2400" t="str">
        <f>VLOOKUP(qry_ProdData2_PDI_Cash_Exception_Application[[#This Row],[MARKET No]],'Site Allocation'!$B$2:$C$37,2,FALSE)</f>
        <v>Analyst5</v>
      </c>
      <c r="I2400" s="4">
        <f t="shared" ca="1" si="37"/>
        <v>45203</v>
      </c>
      <c r="J2400" s="42">
        <f ca="1">TODAY()-qry_ProdData2_PDI_Cash_Exception_Application[[#This Row],[INSERT DATE]]</f>
        <v>14.742928240739275</v>
      </c>
      <c r="K24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00">
        <f ca="1">qry_ProdData2_PDI_Cash_Exception_Application[[#This Row],[TODAY]]-qry_ProdData2_PDI_Cash_Exception_Application[[#This Row],[CHANGED ON]]</f>
        <v>7.7429282407392748</v>
      </c>
      <c r="M2400">
        <f ca="1">qry_ProdData2_PDI_Cash_Exception_Application[[#This Row],[TODAY]]-qry_ProdData2_PDI_Cash_Exception_Application[[#This Row],[CHANGED ON]]</f>
        <v>7.7429282407392748</v>
      </c>
      <c r="N2400">
        <f ca="1">qry_ProdData2_PDI_Cash_Exception_Application[[#This Row],[TODAY]]-qry_ProdData2_PDI_Cash_Exception_Application[[#This Row],[CHANGED ON]]</f>
        <v>7.7429282407392748</v>
      </c>
    </row>
    <row r="2401" spans="1:14" x14ac:dyDescent="0.35">
      <c r="A2401">
        <v>1025</v>
      </c>
      <c r="B2401" t="s">
        <v>79</v>
      </c>
      <c r="C2401" s="1">
        <v>45190.257071759261</v>
      </c>
      <c r="D2401" t="str">
        <f ca="1">VLOOKUP(qry_ProdData2_PDI_Cash_Exception_Application[[#This Row],[TYPE]],#REF!,2,FALSE)</f>
        <v>type13</v>
      </c>
      <c r="E2401">
        <v>37753.17</v>
      </c>
      <c r="F2401" t="s">
        <v>47</v>
      </c>
      <c r="G2401" s="1">
        <f>qry_ProdData2_PDI_Cash_Exception_Application[[#This Row],[INSERT DATE]]+2</f>
        <v>45192.257071759261</v>
      </c>
      <c r="H2401" t="str">
        <f>VLOOKUP(qry_ProdData2_PDI_Cash_Exception_Application[[#This Row],[MARKET No]],'Site Allocation'!$B$2:$C$37,2,FALSE)</f>
        <v>Analyst5</v>
      </c>
      <c r="I2401" s="4">
        <f t="shared" ca="1" si="37"/>
        <v>45203</v>
      </c>
      <c r="J2401" s="42">
        <f ca="1">TODAY()-qry_ProdData2_PDI_Cash_Exception_Application[[#This Row],[INSERT DATE]]</f>
        <v>12.742928240739275</v>
      </c>
      <c r="K24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01">
        <f ca="1">qry_ProdData2_PDI_Cash_Exception_Application[[#This Row],[TODAY]]-qry_ProdData2_PDI_Cash_Exception_Application[[#This Row],[CHANGED ON]]</f>
        <v>10.742928240739275</v>
      </c>
      <c r="M2401">
        <f ca="1">qry_ProdData2_PDI_Cash_Exception_Application[[#This Row],[TODAY]]-qry_ProdData2_PDI_Cash_Exception_Application[[#This Row],[CHANGED ON]]</f>
        <v>10.742928240739275</v>
      </c>
      <c r="N2401">
        <f ca="1">qry_ProdData2_PDI_Cash_Exception_Application[[#This Row],[TODAY]]-qry_ProdData2_PDI_Cash_Exception_Application[[#This Row],[CHANGED ON]]</f>
        <v>10.742928240739275</v>
      </c>
    </row>
    <row r="2402" spans="1:14" x14ac:dyDescent="0.35">
      <c r="A2402">
        <v>1029</v>
      </c>
      <c r="B2402" t="s">
        <v>83</v>
      </c>
      <c r="C2402" s="1">
        <v>45185.257071759261</v>
      </c>
      <c r="D2402" t="str">
        <f ca="1">VLOOKUP(qry_ProdData2_PDI_Cash_Exception_Application[[#This Row],[TYPE]],#REF!,2,FALSE)</f>
        <v>type38</v>
      </c>
      <c r="E2402">
        <v>191.6</v>
      </c>
      <c r="F2402" t="s">
        <v>48</v>
      </c>
      <c r="G2402" s="1">
        <f>qry_ProdData2_PDI_Cash_Exception_Application[[#This Row],[INSERT DATE]]+2</f>
        <v>45187.257071759261</v>
      </c>
      <c r="H2402" t="str">
        <f>VLOOKUP(qry_ProdData2_PDI_Cash_Exception_Application[[#This Row],[MARKET No]],'Site Allocation'!$B$2:$C$37,2,FALSE)</f>
        <v>Analyst5</v>
      </c>
      <c r="I2402" s="4">
        <f t="shared" ca="1" si="37"/>
        <v>45203</v>
      </c>
      <c r="J2402" s="42">
        <f ca="1">TODAY()-qry_ProdData2_PDI_Cash_Exception_Application[[#This Row],[INSERT DATE]]</f>
        <v>17.742928240739275</v>
      </c>
      <c r="K24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02">
        <f ca="1">qry_ProdData2_PDI_Cash_Exception_Application[[#This Row],[TODAY]]-qry_ProdData2_PDI_Cash_Exception_Application[[#This Row],[CHANGED ON]]</f>
        <v>15.742928240739275</v>
      </c>
      <c r="M2402">
        <f ca="1">qry_ProdData2_PDI_Cash_Exception_Application[[#This Row],[TODAY]]-qry_ProdData2_PDI_Cash_Exception_Application[[#This Row],[CHANGED ON]]</f>
        <v>15.742928240739275</v>
      </c>
      <c r="N2402">
        <f ca="1">qry_ProdData2_PDI_Cash_Exception_Application[[#This Row],[TODAY]]-qry_ProdData2_PDI_Cash_Exception_Application[[#This Row],[CHANGED ON]]</f>
        <v>15.742928240739275</v>
      </c>
    </row>
    <row r="2403" spans="1:14" x14ac:dyDescent="0.35">
      <c r="A2403">
        <v>1029</v>
      </c>
      <c r="B2403" t="s">
        <v>83</v>
      </c>
      <c r="C2403" s="1">
        <v>45185.257071759261</v>
      </c>
      <c r="D2403" t="str">
        <f ca="1">VLOOKUP(qry_ProdData2_PDI_Cash_Exception_Application[[#This Row],[TYPE]],#REF!,2,FALSE)</f>
        <v>type41</v>
      </c>
      <c r="E2403">
        <v>493.92</v>
      </c>
      <c r="F2403" t="s">
        <v>51</v>
      </c>
      <c r="G2403" s="1">
        <f>qry_ProdData2_PDI_Cash_Exception_Application[[#This Row],[INSERT DATE]]+1</f>
        <v>45186.257071759261</v>
      </c>
      <c r="H2403" t="str">
        <f>VLOOKUP(qry_ProdData2_PDI_Cash_Exception_Application[[#This Row],[MARKET No]],'Site Allocation'!$B$2:$C$37,2,FALSE)</f>
        <v>Analyst5</v>
      </c>
      <c r="I2403" s="4">
        <f t="shared" ca="1" si="37"/>
        <v>45203</v>
      </c>
      <c r="J2403" s="42">
        <f ca="1">TODAY()-qry_ProdData2_PDI_Cash_Exception_Application[[#This Row],[INSERT DATE]]</f>
        <v>17.742928240739275</v>
      </c>
      <c r="K24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03">
        <f ca="1">qry_ProdData2_PDI_Cash_Exception_Application[[#This Row],[TODAY]]-qry_ProdData2_PDI_Cash_Exception_Application[[#This Row],[CHANGED ON]]</f>
        <v>16.742928240739275</v>
      </c>
      <c r="M2403">
        <f ca="1">qry_ProdData2_PDI_Cash_Exception_Application[[#This Row],[TODAY]]-qry_ProdData2_PDI_Cash_Exception_Application[[#This Row],[CHANGED ON]]</f>
        <v>16.742928240739275</v>
      </c>
      <c r="N2403">
        <f ca="1">qry_ProdData2_PDI_Cash_Exception_Application[[#This Row],[TODAY]]-qry_ProdData2_PDI_Cash_Exception_Application[[#This Row],[CHANGED ON]]</f>
        <v>16.742928240739275</v>
      </c>
    </row>
    <row r="2404" spans="1:14" x14ac:dyDescent="0.35">
      <c r="A2404">
        <v>1012</v>
      </c>
      <c r="B2404" t="s">
        <v>66</v>
      </c>
      <c r="C2404" s="1">
        <v>45190.257071759261</v>
      </c>
      <c r="D2404" t="str">
        <f ca="1">VLOOKUP(qry_ProdData2_PDI_Cash_Exception_Application[[#This Row],[TYPE]],#REF!,2,FALSE)</f>
        <v>type40</v>
      </c>
      <c r="E2404">
        <v>-600.35</v>
      </c>
      <c r="F2404" t="s">
        <v>52</v>
      </c>
      <c r="G2404" s="1">
        <f>qry_ProdData2_PDI_Cash_Exception_Application[[#This Row],[INSERT DATE]]+7</f>
        <v>45197.257071759261</v>
      </c>
      <c r="H2404" t="str">
        <f>VLOOKUP(qry_ProdData2_PDI_Cash_Exception_Application[[#This Row],[MARKET No]],'Site Allocation'!$B$2:$C$37,2,FALSE)</f>
        <v>Analyst3</v>
      </c>
      <c r="I2404" s="4">
        <f t="shared" ca="1" si="37"/>
        <v>45203</v>
      </c>
      <c r="J2404" s="42">
        <f ca="1">TODAY()-qry_ProdData2_PDI_Cash_Exception_Application[[#This Row],[INSERT DATE]]</f>
        <v>12.742928240739275</v>
      </c>
      <c r="K24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04">
        <f ca="1">qry_ProdData2_PDI_Cash_Exception_Application[[#This Row],[TODAY]]-qry_ProdData2_PDI_Cash_Exception_Application[[#This Row],[CHANGED ON]]</f>
        <v>5.7429282407392748</v>
      </c>
      <c r="M2404">
        <f ca="1">qry_ProdData2_PDI_Cash_Exception_Application[[#This Row],[TODAY]]-qry_ProdData2_PDI_Cash_Exception_Application[[#This Row],[CHANGED ON]]</f>
        <v>5.7429282407392748</v>
      </c>
      <c r="N2404">
        <f ca="1">qry_ProdData2_PDI_Cash_Exception_Application[[#This Row],[TODAY]]-qry_ProdData2_PDI_Cash_Exception_Application[[#This Row],[CHANGED ON]]</f>
        <v>5.7429282407392748</v>
      </c>
    </row>
    <row r="2405" spans="1:14" x14ac:dyDescent="0.35">
      <c r="A2405">
        <v>1027</v>
      </c>
      <c r="B2405" t="s">
        <v>81</v>
      </c>
      <c r="C2405" s="1">
        <v>45191.257071759261</v>
      </c>
      <c r="D2405" t="str">
        <f ca="1">VLOOKUP(qry_ProdData2_PDI_Cash_Exception_Application[[#This Row],[TYPE]],#REF!,2,FALSE)</f>
        <v>type40</v>
      </c>
      <c r="E2405">
        <v>0.5</v>
      </c>
      <c r="F2405" t="s">
        <v>50</v>
      </c>
      <c r="G2405" s="1">
        <f>qry_ProdData2_PDI_Cash_Exception_Application[[#This Row],[INSERT DATE]]+1</f>
        <v>45192.257071759261</v>
      </c>
      <c r="H2405" t="str">
        <f>VLOOKUP(qry_ProdData2_PDI_Cash_Exception_Application[[#This Row],[MARKET No]],'Site Allocation'!$B$2:$C$37,2,FALSE)</f>
        <v>Analyst5</v>
      </c>
      <c r="I2405" s="4">
        <f t="shared" ca="1" si="37"/>
        <v>45203</v>
      </c>
      <c r="J2405" s="42">
        <f ca="1">TODAY()-qry_ProdData2_PDI_Cash_Exception_Application[[#This Row],[INSERT DATE]]</f>
        <v>11.742928240739275</v>
      </c>
      <c r="K24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05">
        <f ca="1">qry_ProdData2_PDI_Cash_Exception_Application[[#This Row],[TODAY]]-qry_ProdData2_PDI_Cash_Exception_Application[[#This Row],[CHANGED ON]]</f>
        <v>10.742928240739275</v>
      </c>
      <c r="M2405">
        <f ca="1">qry_ProdData2_PDI_Cash_Exception_Application[[#This Row],[TODAY]]-qry_ProdData2_PDI_Cash_Exception_Application[[#This Row],[CHANGED ON]]</f>
        <v>10.742928240739275</v>
      </c>
      <c r="N2405">
        <f ca="1">qry_ProdData2_PDI_Cash_Exception_Application[[#This Row],[TODAY]]-qry_ProdData2_PDI_Cash_Exception_Application[[#This Row],[CHANGED ON]]</f>
        <v>10.742928240739275</v>
      </c>
    </row>
    <row r="2406" spans="1:14" x14ac:dyDescent="0.35">
      <c r="A2406">
        <v>1021</v>
      </c>
      <c r="B2406" t="s">
        <v>75</v>
      </c>
      <c r="C2406" s="1">
        <v>45185.257071759261</v>
      </c>
      <c r="D2406" t="str">
        <f ca="1">VLOOKUP(qry_ProdData2_PDI_Cash_Exception_Application[[#This Row],[TYPE]],#REF!,2,FALSE)</f>
        <v>type40</v>
      </c>
      <c r="E2406">
        <v>-395.12</v>
      </c>
      <c r="F2406" t="s">
        <v>51</v>
      </c>
      <c r="G2406" s="1">
        <f>qry_ProdData2_PDI_Cash_Exception_Application[[#This Row],[INSERT DATE]]+1</f>
        <v>45186.257071759261</v>
      </c>
      <c r="H2406" t="str">
        <f>VLOOKUP(qry_ProdData2_PDI_Cash_Exception_Application[[#This Row],[MARKET No]],'Site Allocation'!$B$2:$C$37,2,FALSE)</f>
        <v>Analyst4</v>
      </c>
      <c r="I2406" s="4">
        <f t="shared" ca="1" si="37"/>
        <v>45203</v>
      </c>
      <c r="J2406" s="42">
        <f ca="1">TODAY()-qry_ProdData2_PDI_Cash_Exception_Application[[#This Row],[INSERT DATE]]</f>
        <v>17.742928240739275</v>
      </c>
      <c r="K24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06">
        <f ca="1">qry_ProdData2_PDI_Cash_Exception_Application[[#This Row],[TODAY]]-qry_ProdData2_PDI_Cash_Exception_Application[[#This Row],[CHANGED ON]]</f>
        <v>16.742928240739275</v>
      </c>
      <c r="M2406">
        <f ca="1">qry_ProdData2_PDI_Cash_Exception_Application[[#This Row],[TODAY]]-qry_ProdData2_PDI_Cash_Exception_Application[[#This Row],[CHANGED ON]]</f>
        <v>16.742928240739275</v>
      </c>
      <c r="N2406">
        <f ca="1">qry_ProdData2_PDI_Cash_Exception_Application[[#This Row],[TODAY]]-qry_ProdData2_PDI_Cash_Exception_Application[[#This Row],[CHANGED ON]]</f>
        <v>16.742928240739275</v>
      </c>
    </row>
    <row r="2407" spans="1:14" x14ac:dyDescent="0.35">
      <c r="A2407">
        <v>1025</v>
      </c>
      <c r="B2407" t="s">
        <v>79</v>
      </c>
      <c r="C2407" s="1">
        <v>45186.257071759261</v>
      </c>
      <c r="D2407" t="str">
        <f ca="1">VLOOKUP(qry_ProdData2_PDI_Cash_Exception_Application[[#This Row],[TYPE]],#REF!,2,FALSE)</f>
        <v>type22</v>
      </c>
      <c r="E2407">
        <v>661.58</v>
      </c>
      <c r="F2407" t="s">
        <v>51</v>
      </c>
      <c r="G2407" s="1">
        <f>qry_ProdData2_PDI_Cash_Exception_Application[[#This Row],[INSERT DATE]]+1</f>
        <v>45187.257071759261</v>
      </c>
      <c r="H2407" t="str">
        <f>VLOOKUP(qry_ProdData2_PDI_Cash_Exception_Application[[#This Row],[MARKET No]],'Site Allocation'!$B$2:$C$37,2,FALSE)</f>
        <v>Analyst5</v>
      </c>
      <c r="I2407" s="4">
        <f t="shared" ca="1" si="37"/>
        <v>45203</v>
      </c>
      <c r="J2407" s="42">
        <f ca="1">TODAY()-qry_ProdData2_PDI_Cash_Exception_Application[[#This Row],[INSERT DATE]]</f>
        <v>16.742928240739275</v>
      </c>
      <c r="K24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07">
        <f ca="1">qry_ProdData2_PDI_Cash_Exception_Application[[#This Row],[TODAY]]-qry_ProdData2_PDI_Cash_Exception_Application[[#This Row],[CHANGED ON]]</f>
        <v>15.742928240739275</v>
      </c>
      <c r="M2407">
        <f ca="1">qry_ProdData2_PDI_Cash_Exception_Application[[#This Row],[TODAY]]-qry_ProdData2_PDI_Cash_Exception_Application[[#This Row],[CHANGED ON]]</f>
        <v>15.742928240739275</v>
      </c>
      <c r="N2407">
        <f ca="1">qry_ProdData2_PDI_Cash_Exception_Application[[#This Row],[TODAY]]-qry_ProdData2_PDI_Cash_Exception_Application[[#This Row],[CHANGED ON]]</f>
        <v>15.742928240739275</v>
      </c>
    </row>
    <row r="2408" spans="1:14" x14ac:dyDescent="0.35">
      <c r="A2408">
        <v>1004</v>
      </c>
      <c r="B2408" t="s">
        <v>58</v>
      </c>
      <c r="C2408" s="1">
        <v>45184.257071759261</v>
      </c>
      <c r="D2408" t="str">
        <f ca="1">VLOOKUP(qry_ProdData2_PDI_Cash_Exception_Application[[#This Row],[TYPE]],#REF!,2,FALSE)</f>
        <v>type40</v>
      </c>
      <c r="E2408">
        <v>1869.64</v>
      </c>
      <c r="F2408" t="s">
        <v>49</v>
      </c>
      <c r="G2408" s="1">
        <f>qry_ProdData2_PDI_Cash_Exception_Application[[#This Row],[INSERT DATE]]+1</f>
        <v>45185.257071759261</v>
      </c>
      <c r="H2408" t="str">
        <f>VLOOKUP(qry_ProdData2_PDI_Cash_Exception_Application[[#This Row],[MARKET No]],'Site Allocation'!$B$2:$C$37,2,FALSE)</f>
        <v>Analyst1</v>
      </c>
      <c r="I2408" s="4">
        <f t="shared" ca="1" si="37"/>
        <v>45203</v>
      </c>
      <c r="J2408" s="42">
        <f ca="1">TODAY()-qry_ProdData2_PDI_Cash_Exception_Application[[#This Row],[INSERT DATE]]</f>
        <v>18.742928240739275</v>
      </c>
      <c r="K24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08">
        <f ca="1">qry_ProdData2_PDI_Cash_Exception_Application[[#This Row],[TODAY]]-qry_ProdData2_PDI_Cash_Exception_Application[[#This Row],[CHANGED ON]]</f>
        <v>17.742928240739275</v>
      </c>
      <c r="M2408">
        <f ca="1">qry_ProdData2_PDI_Cash_Exception_Application[[#This Row],[TODAY]]-qry_ProdData2_PDI_Cash_Exception_Application[[#This Row],[CHANGED ON]]</f>
        <v>17.742928240739275</v>
      </c>
      <c r="N2408">
        <f ca="1">qry_ProdData2_PDI_Cash_Exception_Application[[#This Row],[TODAY]]-qry_ProdData2_PDI_Cash_Exception_Application[[#This Row],[CHANGED ON]]</f>
        <v>17.742928240739275</v>
      </c>
    </row>
    <row r="2409" spans="1:14" x14ac:dyDescent="0.35">
      <c r="A2409">
        <v>1032</v>
      </c>
      <c r="B2409" t="s">
        <v>86</v>
      </c>
      <c r="C2409" s="1">
        <v>45187.257071759261</v>
      </c>
      <c r="D2409" t="str">
        <f ca="1">VLOOKUP(qry_ProdData2_PDI_Cash_Exception_Application[[#This Row],[TYPE]],#REF!,2,FALSE)</f>
        <v>type40</v>
      </c>
      <c r="E2409">
        <v>766.47</v>
      </c>
      <c r="F2409" t="s">
        <v>49</v>
      </c>
      <c r="G2409" s="1">
        <f>qry_ProdData2_PDI_Cash_Exception_Application[[#This Row],[INSERT DATE]]+2</f>
        <v>45189.257071759261</v>
      </c>
      <c r="H2409" t="str">
        <f>VLOOKUP(qry_ProdData2_PDI_Cash_Exception_Application[[#This Row],[MARKET No]],'Site Allocation'!$B$2:$C$37,2,FALSE)</f>
        <v>Analyst6</v>
      </c>
      <c r="I2409" s="4">
        <f t="shared" ca="1" si="37"/>
        <v>45203</v>
      </c>
      <c r="J2409" s="42">
        <f ca="1">TODAY()-qry_ProdData2_PDI_Cash_Exception_Application[[#This Row],[INSERT DATE]]</f>
        <v>15.742928240739275</v>
      </c>
      <c r="K24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09">
        <f ca="1">qry_ProdData2_PDI_Cash_Exception_Application[[#This Row],[TODAY]]-qry_ProdData2_PDI_Cash_Exception_Application[[#This Row],[CHANGED ON]]</f>
        <v>13.742928240739275</v>
      </c>
      <c r="M2409">
        <f ca="1">qry_ProdData2_PDI_Cash_Exception_Application[[#This Row],[TODAY]]-qry_ProdData2_PDI_Cash_Exception_Application[[#This Row],[CHANGED ON]]</f>
        <v>13.742928240739275</v>
      </c>
      <c r="N2409">
        <f ca="1">qry_ProdData2_PDI_Cash_Exception_Application[[#This Row],[TODAY]]-qry_ProdData2_PDI_Cash_Exception_Application[[#This Row],[CHANGED ON]]</f>
        <v>13.742928240739275</v>
      </c>
    </row>
    <row r="2410" spans="1:14" x14ac:dyDescent="0.35">
      <c r="A2410">
        <v>1025</v>
      </c>
      <c r="B2410" t="s">
        <v>79</v>
      </c>
      <c r="C2410" s="1">
        <v>45196.257071759261</v>
      </c>
      <c r="D2410" t="str">
        <f ca="1">VLOOKUP(qry_ProdData2_PDI_Cash_Exception_Application[[#This Row],[TYPE]],#REF!,2,FALSE)</f>
        <v>type8</v>
      </c>
      <c r="E2410">
        <v>55.02</v>
      </c>
      <c r="F2410" t="s">
        <v>50</v>
      </c>
      <c r="G2410" s="1">
        <f>qry_ProdData2_PDI_Cash_Exception_Application[[#This Row],[INSERT DATE]]+1</f>
        <v>45197.257071759261</v>
      </c>
      <c r="H2410" t="str">
        <f>VLOOKUP(qry_ProdData2_PDI_Cash_Exception_Application[[#This Row],[MARKET No]],'Site Allocation'!$B$2:$C$37,2,FALSE)</f>
        <v>Analyst5</v>
      </c>
      <c r="I2410" s="4">
        <f t="shared" ca="1" si="37"/>
        <v>45203</v>
      </c>
      <c r="J2410" s="42">
        <f ca="1">TODAY()-qry_ProdData2_PDI_Cash_Exception_Application[[#This Row],[INSERT DATE]]</f>
        <v>6.7429282407392748</v>
      </c>
      <c r="K24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410">
        <f ca="1">qry_ProdData2_PDI_Cash_Exception_Application[[#This Row],[TODAY]]-qry_ProdData2_PDI_Cash_Exception_Application[[#This Row],[CHANGED ON]]</f>
        <v>5.7429282407392748</v>
      </c>
      <c r="M2410">
        <f ca="1">qry_ProdData2_PDI_Cash_Exception_Application[[#This Row],[TODAY]]-qry_ProdData2_PDI_Cash_Exception_Application[[#This Row],[CHANGED ON]]</f>
        <v>5.7429282407392748</v>
      </c>
      <c r="N2410">
        <f ca="1">qry_ProdData2_PDI_Cash_Exception_Application[[#This Row],[TODAY]]-qry_ProdData2_PDI_Cash_Exception_Application[[#This Row],[CHANGED ON]]</f>
        <v>5.7429282407392748</v>
      </c>
    </row>
    <row r="2411" spans="1:14" x14ac:dyDescent="0.35">
      <c r="A2411">
        <v>1034</v>
      </c>
      <c r="B2411" t="s">
        <v>88</v>
      </c>
      <c r="C2411" s="1">
        <v>45182.257071759261</v>
      </c>
      <c r="D2411" t="str">
        <f ca="1">VLOOKUP(qry_ProdData2_PDI_Cash_Exception_Application[[#This Row],[TYPE]],#REF!,2,FALSE)</f>
        <v>type25</v>
      </c>
      <c r="E2411">
        <v>150.24</v>
      </c>
      <c r="F2411" t="s">
        <v>47</v>
      </c>
      <c r="G2411" s="1">
        <f>qry_ProdData2_PDI_Cash_Exception_Application[[#This Row],[INSERT DATE]]+7</f>
        <v>45189.257071759261</v>
      </c>
      <c r="H2411" t="str">
        <f>VLOOKUP(qry_ProdData2_PDI_Cash_Exception_Application[[#This Row],[MARKET No]],'Site Allocation'!$B$2:$C$37,2,FALSE)</f>
        <v>Analyst6</v>
      </c>
      <c r="I2411" s="4">
        <f t="shared" ca="1" si="37"/>
        <v>45203</v>
      </c>
      <c r="J2411" s="42">
        <f ca="1">TODAY()-qry_ProdData2_PDI_Cash_Exception_Application[[#This Row],[INSERT DATE]]</f>
        <v>20.742928240739275</v>
      </c>
      <c r="K24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11">
        <f ca="1">qry_ProdData2_PDI_Cash_Exception_Application[[#This Row],[TODAY]]-qry_ProdData2_PDI_Cash_Exception_Application[[#This Row],[CHANGED ON]]</f>
        <v>13.742928240739275</v>
      </c>
      <c r="M2411">
        <f ca="1">qry_ProdData2_PDI_Cash_Exception_Application[[#This Row],[TODAY]]-qry_ProdData2_PDI_Cash_Exception_Application[[#This Row],[CHANGED ON]]</f>
        <v>13.742928240739275</v>
      </c>
      <c r="N2411">
        <f ca="1">qry_ProdData2_PDI_Cash_Exception_Application[[#This Row],[TODAY]]-qry_ProdData2_PDI_Cash_Exception_Application[[#This Row],[CHANGED ON]]</f>
        <v>13.742928240739275</v>
      </c>
    </row>
    <row r="2412" spans="1:14" x14ac:dyDescent="0.35">
      <c r="A2412">
        <v>1009</v>
      </c>
      <c r="B2412" t="s">
        <v>63</v>
      </c>
      <c r="C2412" s="1">
        <v>45181.257071759261</v>
      </c>
      <c r="D2412" t="str">
        <f ca="1">VLOOKUP(qry_ProdData2_PDI_Cash_Exception_Application[[#This Row],[TYPE]],#REF!,2,FALSE)</f>
        <v>type26</v>
      </c>
      <c r="E2412">
        <v>188.66</v>
      </c>
      <c r="F2412" t="s">
        <v>49</v>
      </c>
      <c r="G2412" s="1">
        <f>qry_ProdData2_PDI_Cash_Exception_Application[[#This Row],[INSERT DATE]]+2</f>
        <v>45183.257071759261</v>
      </c>
      <c r="H2412" t="str">
        <f>VLOOKUP(qry_ProdData2_PDI_Cash_Exception_Application[[#This Row],[MARKET No]],'Site Allocation'!$B$2:$C$37,2,FALSE)</f>
        <v>Analyst2</v>
      </c>
      <c r="I2412" s="4">
        <f t="shared" ca="1" si="37"/>
        <v>45203</v>
      </c>
      <c r="J2412" s="42">
        <f ca="1">TODAY()-qry_ProdData2_PDI_Cash_Exception_Application[[#This Row],[INSERT DATE]]</f>
        <v>21.742928240739275</v>
      </c>
      <c r="K24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12">
        <f ca="1">qry_ProdData2_PDI_Cash_Exception_Application[[#This Row],[TODAY]]-qry_ProdData2_PDI_Cash_Exception_Application[[#This Row],[CHANGED ON]]</f>
        <v>19.742928240739275</v>
      </c>
      <c r="M2412">
        <f ca="1">qry_ProdData2_PDI_Cash_Exception_Application[[#This Row],[TODAY]]-qry_ProdData2_PDI_Cash_Exception_Application[[#This Row],[CHANGED ON]]</f>
        <v>19.742928240739275</v>
      </c>
      <c r="N2412">
        <f ca="1">qry_ProdData2_PDI_Cash_Exception_Application[[#This Row],[TODAY]]-qry_ProdData2_PDI_Cash_Exception_Application[[#This Row],[CHANGED ON]]</f>
        <v>19.742928240739275</v>
      </c>
    </row>
    <row r="2413" spans="1:14" x14ac:dyDescent="0.35">
      <c r="A2413">
        <v>1022</v>
      </c>
      <c r="B2413" t="s">
        <v>76</v>
      </c>
      <c r="C2413" s="1">
        <v>45182.257071759261</v>
      </c>
      <c r="D2413" t="str">
        <f ca="1">VLOOKUP(qry_ProdData2_PDI_Cash_Exception_Application[[#This Row],[TYPE]],#REF!,2,FALSE)</f>
        <v>type38</v>
      </c>
      <c r="E2413">
        <v>183.02</v>
      </c>
      <c r="F2413" t="s">
        <v>49</v>
      </c>
      <c r="G2413" s="1">
        <f>qry_ProdData2_PDI_Cash_Exception_Application[[#This Row],[INSERT DATE]]+2</f>
        <v>45184.257071759261</v>
      </c>
      <c r="H2413" t="str">
        <f>VLOOKUP(qry_ProdData2_PDI_Cash_Exception_Application[[#This Row],[MARKET No]],'Site Allocation'!$B$2:$C$37,2,FALSE)</f>
        <v>Analyst4</v>
      </c>
      <c r="I2413" s="4">
        <f t="shared" ca="1" si="37"/>
        <v>45203</v>
      </c>
      <c r="J2413" s="42">
        <f ca="1">TODAY()-qry_ProdData2_PDI_Cash_Exception_Application[[#This Row],[INSERT DATE]]</f>
        <v>20.742928240739275</v>
      </c>
      <c r="K24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13">
        <f ca="1">qry_ProdData2_PDI_Cash_Exception_Application[[#This Row],[TODAY]]-qry_ProdData2_PDI_Cash_Exception_Application[[#This Row],[CHANGED ON]]</f>
        <v>18.742928240739275</v>
      </c>
      <c r="M2413">
        <f ca="1">qry_ProdData2_PDI_Cash_Exception_Application[[#This Row],[TODAY]]-qry_ProdData2_PDI_Cash_Exception_Application[[#This Row],[CHANGED ON]]</f>
        <v>18.742928240739275</v>
      </c>
      <c r="N2413">
        <f ca="1">qry_ProdData2_PDI_Cash_Exception_Application[[#This Row],[TODAY]]-qry_ProdData2_PDI_Cash_Exception_Application[[#This Row],[CHANGED ON]]</f>
        <v>18.742928240739275</v>
      </c>
    </row>
    <row r="2414" spans="1:14" x14ac:dyDescent="0.35">
      <c r="A2414">
        <v>1030</v>
      </c>
      <c r="B2414" t="s">
        <v>84</v>
      </c>
      <c r="C2414" s="1">
        <v>45187.257071759261</v>
      </c>
      <c r="D2414" t="str">
        <f ca="1">VLOOKUP(qry_ProdData2_PDI_Cash_Exception_Application[[#This Row],[TYPE]],#REF!,2,FALSE)</f>
        <v>type40</v>
      </c>
      <c r="E2414">
        <v>4434.12</v>
      </c>
      <c r="F2414" t="s">
        <v>51</v>
      </c>
      <c r="G2414" s="1">
        <f>qry_ProdData2_PDI_Cash_Exception_Application[[#This Row],[INSERT DATE]]+1</f>
        <v>45188.257071759261</v>
      </c>
      <c r="H2414" t="str">
        <f>VLOOKUP(qry_ProdData2_PDI_Cash_Exception_Application[[#This Row],[MARKET No]],'Site Allocation'!$B$2:$C$37,2,FALSE)</f>
        <v>Analyst6</v>
      </c>
      <c r="I2414" s="4">
        <f t="shared" ca="1" si="37"/>
        <v>45203</v>
      </c>
      <c r="J2414" s="42">
        <f ca="1">TODAY()-qry_ProdData2_PDI_Cash_Exception_Application[[#This Row],[INSERT DATE]]</f>
        <v>15.742928240739275</v>
      </c>
      <c r="K24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14">
        <f ca="1">qry_ProdData2_PDI_Cash_Exception_Application[[#This Row],[TODAY]]-qry_ProdData2_PDI_Cash_Exception_Application[[#This Row],[CHANGED ON]]</f>
        <v>14.742928240739275</v>
      </c>
      <c r="M2414">
        <f ca="1">qry_ProdData2_PDI_Cash_Exception_Application[[#This Row],[TODAY]]-qry_ProdData2_PDI_Cash_Exception_Application[[#This Row],[CHANGED ON]]</f>
        <v>14.742928240739275</v>
      </c>
      <c r="N2414">
        <f ca="1">qry_ProdData2_PDI_Cash_Exception_Application[[#This Row],[TODAY]]-qry_ProdData2_PDI_Cash_Exception_Application[[#This Row],[CHANGED ON]]</f>
        <v>14.742928240739275</v>
      </c>
    </row>
    <row r="2415" spans="1:14" x14ac:dyDescent="0.35">
      <c r="A2415">
        <v>1010</v>
      </c>
      <c r="B2415" t="s">
        <v>64</v>
      </c>
      <c r="C2415" s="1">
        <v>45185.257071759261</v>
      </c>
      <c r="D2415" t="str">
        <f ca="1">VLOOKUP(qry_ProdData2_PDI_Cash_Exception_Application[[#This Row],[TYPE]],#REF!,2,FALSE)</f>
        <v>type40</v>
      </c>
      <c r="E2415">
        <v>5</v>
      </c>
      <c r="F2415" t="s">
        <v>47</v>
      </c>
      <c r="G2415" s="1">
        <f>qry_ProdData2_PDI_Cash_Exception_Application[[#This Row],[INSERT DATE]]+7</f>
        <v>45192.257071759261</v>
      </c>
      <c r="H2415" t="str">
        <f>VLOOKUP(qry_ProdData2_PDI_Cash_Exception_Application[[#This Row],[MARKET No]],'Site Allocation'!$B$2:$C$37,2,FALSE)</f>
        <v>Analyst2</v>
      </c>
      <c r="I2415" s="4">
        <f t="shared" ca="1" si="37"/>
        <v>45203</v>
      </c>
      <c r="J2415" s="42">
        <f ca="1">TODAY()-qry_ProdData2_PDI_Cash_Exception_Application[[#This Row],[INSERT DATE]]</f>
        <v>17.742928240739275</v>
      </c>
      <c r="K24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15">
        <f ca="1">qry_ProdData2_PDI_Cash_Exception_Application[[#This Row],[TODAY]]-qry_ProdData2_PDI_Cash_Exception_Application[[#This Row],[CHANGED ON]]</f>
        <v>10.742928240739275</v>
      </c>
      <c r="M2415">
        <f ca="1">qry_ProdData2_PDI_Cash_Exception_Application[[#This Row],[TODAY]]-qry_ProdData2_PDI_Cash_Exception_Application[[#This Row],[CHANGED ON]]</f>
        <v>10.742928240739275</v>
      </c>
      <c r="N2415">
        <f ca="1">qry_ProdData2_PDI_Cash_Exception_Application[[#This Row],[TODAY]]-qry_ProdData2_PDI_Cash_Exception_Application[[#This Row],[CHANGED ON]]</f>
        <v>10.742928240739275</v>
      </c>
    </row>
    <row r="2416" spans="1:14" x14ac:dyDescent="0.35">
      <c r="A2416">
        <v>1019</v>
      </c>
      <c r="B2416" t="s">
        <v>73</v>
      </c>
      <c r="C2416" s="1">
        <v>45189.257071759261</v>
      </c>
      <c r="D2416" t="str">
        <f ca="1">VLOOKUP(qry_ProdData2_PDI_Cash_Exception_Application[[#This Row],[TYPE]],#REF!,2,FALSE)</f>
        <v>type2</v>
      </c>
      <c r="E2416">
        <v>1042</v>
      </c>
      <c r="F2416" t="s">
        <v>47</v>
      </c>
      <c r="G2416" s="1">
        <f>qry_ProdData2_PDI_Cash_Exception_Application[[#This Row],[INSERT DATE]]+7</f>
        <v>45196.257071759261</v>
      </c>
      <c r="H2416" t="str">
        <f>VLOOKUP(qry_ProdData2_PDI_Cash_Exception_Application[[#This Row],[MARKET No]],'Site Allocation'!$B$2:$C$37,2,FALSE)</f>
        <v>Analyst4</v>
      </c>
      <c r="I2416" s="4">
        <f t="shared" ca="1" si="37"/>
        <v>45203</v>
      </c>
      <c r="J2416" s="42">
        <f ca="1">TODAY()-qry_ProdData2_PDI_Cash_Exception_Application[[#This Row],[INSERT DATE]]</f>
        <v>13.742928240739275</v>
      </c>
      <c r="K24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16">
        <f ca="1">qry_ProdData2_PDI_Cash_Exception_Application[[#This Row],[TODAY]]-qry_ProdData2_PDI_Cash_Exception_Application[[#This Row],[CHANGED ON]]</f>
        <v>6.7429282407392748</v>
      </c>
      <c r="M2416">
        <f ca="1">qry_ProdData2_PDI_Cash_Exception_Application[[#This Row],[TODAY]]-qry_ProdData2_PDI_Cash_Exception_Application[[#This Row],[CHANGED ON]]</f>
        <v>6.7429282407392748</v>
      </c>
      <c r="N2416">
        <f ca="1">qry_ProdData2_PDI_Cash_Exception_Application[[#This Row],[TODAY]]-qry_ProdData2_PDI_Cash_Exception_Application[[#This Row],[CHANGED ON]]</f>
        <v>6.7429282407392748</v>
      </c>
    </row>
    <row r="2417" spans="1:14" x14ac:dyDescent="0.35">
      <c r="A2417">
        <v>1002</v>
      </c>
      <c r="B2417" t="s">
        <v>56</v>
      </c>
      <c r="C2417" s="1">
        <v>45182.257071759261</v>
      </c>
      <c r="D2417" t="str">
        <f ca="1">VLOOKUP(qry_ProdData2_PDI_Cash_Exception_Application[[#This Row],[TYPE]],#REF!,2,FALSE)</f>
        <v>type38</v>
      </c>
      <c r="E2417">
        <v>201.82</v>
      </c>
      <c r="F2417" t="s">
        <v>49</v>
      </c>
      <c r="G2417" s="1">
        <f>qry_ProdData2_PDI_Cash_Exception_Application[[#This Row],[INSERT DATE]]+5</f>
        <v>45187.257071759261</v>
      </c>
      <c r="H2417" t="str">
        <f>VLOOKUP(qry_ProdData2_PDI_Cash_Exception_Application[[#This Row],[MARKET No]],'Site Allocation'!$B$2:$C$37,2,FALSE)</f>
        <v>Analyst1</v>
      </c>
      <c r="I2417" s="4">
        <f t="shared" ca="1" si="37"/>
        <v>45203</v>
      </c>
      <c r="J2417" s="42">
        <f ca="1">TODAY()-qry_ProdData2_PDI_Cash_Exception_Application[[#This Row],[INSERT DATE]]</f>
        <v>20.742928240739275</v>
      </c>
      <c r="K24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17">
        <f ca="1">qry_ProdData2_PDI_Cash_Exception_Application[[#This Row],[TODAY]]-qry_ProdData2_PDI_Cash_Exception_Application[[#This Row],[CHANGED ON]]</f>
        <v>15.742928240739275</v>
      </c>
      <c r="M2417">
        <f ca="1">qry_ProdData2_PDI_Cash_Exception_Application[[#This Row],[TODAY]]-qry_ProdData2_PDI_Cash_Exception_Application[[#This Row],[CHANGED ON]]</f>
        <v>15.742928240739275</v>
      </c>
      <c r="N2417">
        <f ca="1">qry_ProdData2_PDI_Cash_Exception_Application[[#This Row],[TODAY]]-qry_ProdData2_PDI_Cash_Exception_Application[[#This Row],[CHANGED ON]]</f>
        <v>15.742928240739275</v>
      </c>
    </row>
    <row r="2418" spans="1:14" x14ac:dyDescent="0.35">
      <c r="A2418">
        <v>1009</v>
      </c>
      <c r="B2418" t="s">
        <v>63</v>
      </c>
      <c r="C2418" s="1">
        <v>45189.257071759261</v>
      </c>
      <c r="D2418" t="str">
        <f ca="1">VLOOKUP(qry_ProdData2_PDI_Cash_Exception_Application[[#This Row],[TYPE]],#REF!,2,FALSE)</f>
        <v>type18</v>
      </c>
      <c r="E2418">
        <v>624.27</v>
      </c>
      <c r="F2418" t="s">
        <v>52</v>
      </c>
      <c r="G2418" s="1">
        <f>qry_ProdData2_PDI_Cash_Exception_Application[[#This Row],[INSERT DATE]]+1</f>
        <v>45190.257071759261</v>
      </c>
      <c r="H2418" t="str">
        <f>VLOOKUP(qry_ProdData2_PDI_Cash_Exception_Application[[#This Row],[MARKET No]],'Site Allocation'!$B$2:$C$37,2,FALSE)</f>
        <v>Analyst2</v>
      </c>
      <c r="I2418" s="4">
        <f t="shared" ca="1" si="37"/>
        <v>45203</v>
      </c>
      <c r="J2418" s="42">
        <f ca="1">TODAY()-qry_ProdData2_PDI_Cash_Exception_Application[[#This Row],[INSERT DATE]]</f>
        <v>13.742928240739275</v>
      </c>
      <c r="K24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18">
        <f ca="1">qry_ProdData2_PDI_Cash_Exception_Application[[#This Row],[TODAY]]-qry_ProdData2_PDI_Cash_Exception_Application[[#This Row],[CHANGED ON]]</f>
        <v>12.742928240739275</v>
      </c>
      <c r="M2418">
        <f ca="1">qry_ProdData2_PDI_Cash_Exception_Application[[#This Row],[TODAY]]-qry_ProdData2_PDI_Cash_Exception_Application[[#This Row],[CHANGED ON]]</f>
        <v>12.742928240739275</v>
      </c>
      <c r="N2418">
        <f ca="1">qry_ProdData2_PDI_Cash_Exception_Application[[#This Row],[TODAY]]-qry_ProdData2_PDI_Cash_Exception_Application[[#This Row],[CHANGED ON]]</f>
        <v>12.742928240739275</v>
      </c>
    </row>
    <row r="2419" spans="1:14" x14ac:dyDescent="0.35">
      <c r="A2419">
        <v>1013</v>
      </c>
      <c r="B2419" t="s">
        <v>67</v>
      </c>
      <c r="C2419" s="1">
        <v>45186.257071759261</v>
      </c>
      <c r="D2419" t="str">
        <f ca="1">VLOOKUP(qry_ProdData2_PDI_Cash_Exception_Application[[#This Row],[TYPE]],#REF!,2,FALSE)</f>
        <v>type13</v>
      </c>
      <c r="E2419">
        <v>25288.78</v>
      </c>
      <c r="F2419" t="s">
        <v>49</v>
      </c>
      <c r="G2419" s="1">
        <f>qry_ProdData2_PDI_Cash_Exception_Application[[#This Row],[INSERT DATE]]+5</f>
        <v>45191.257071759261</v>
      </c>
      <c r="H2419" t="str">
        <f>VLOOKUP(qry_ProdData2_PDI_Cash_Exception_Application[[#This Row],[MARKET No]],'Site Allocation'!$B$2:$C$37,2,FALSE)</f>
        <v>Analyst3</v>
      </c>
      <c r="I2419" s="4">
        <f t="shared" ca="1" si="37"/>
        <v>45203</v>
      </c>
      <c r="J2419" s="42">
        <f ca="1">TODAY()-qry_ProdData2_PDI_Cash_Exception_Application[[#This Row],[INSERT DATE]]</f>
        <v>16.742928240739275</v>
      </c>
      <c r="K24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19">
        <f ca="1">qry_ProdData2_PDI_Cash_Exception_Application[[#This Row],[TODAY]]-qry_ProdData2_PDI_Cash_Exception_Application[[#This Row],[CHANGED ON]]</f>
        <v>11.742928240739275</v>
      </c>
      <c r="M2419">
        <f ca="1">qry_ProdData2_PDI_Cash_Exception_Application[[#This Row],[TODAY]]-qry_ProdData2_PDI_Cash_Exception_Application[[#This Row],[CHANGED ON]]</f>
        <v>11.742928240739275</v>
      </c>
      <c r="N2419">
        <f ca="1">qry_ProdData2_PDI_Cash_Exception_Application[[#This Row],[TODAY]]-qry_ProdData2_PDI_Cash_Exception_Application[[#This Row],[CHANGED ON]]</f>
        <v>11.742928240739275</v>
      </c>
    </row>
    <row r="2420" spans="1:14" x14ac:dyDescent="0.35">
      <c r="A2420">
        <v>1002</v>
      </c>
      <c r="B2420" t="s">
        <v>56</v>
      </c>
      <c r="C2420" s="1">
        <v>45190.257071759261</v>
      </c>
      <c r="D2420" t="str">
        <f ca="1">VLOOKUP(qry_ProdData2_PDI_Cash_Exception_Application[[#This Row],[TYPE]],#REF!,2,FALSE)</f>
        <v>type38</v>
      </c>
      <c r="E2420">
        <v>229.85</v>
      </c>
      <c r="F2420" t="s">
        <v>48</v>
      </c>
      <c r="G2420" s="1">
        <f>qry_ProdData2_PDI_Cash_Exception_Application[[#This Row],[INSERT DATE]]+5</f>
        <v>45195.257071759261</v>
      </c>
      <c r="H2420" t="str">
        <f>VLOOKUP(qry_ProdData2_PDI_Cash_Exception_Application[[#This Row],[MARKET No]],'Site Allocation'!$B$2:$C$37,2,FALSE)</f>
        <v>Analyst1</v>
      </c>
      <c r="I2420" s="4">
        <f t="shared" ca="1" si="37"/>
        <v>45203</v>
      </c>
      <c r="J2420" s="42">
        <f ca="1">TODAY()-qry_ProdData2_PDI_Cash_Exception_Application[[#This Row],[INSERT DATE]]</f>
        <v>12.742928240739275</v>
      </c>
      <c r="K24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20">
        <f ca="1">qry_ProdData2_PDI_Cash_Exception_Application[[#This Row],[TODAY]]-qry_ProdData2_PDI_Cash_Exception_Application[[#This Row],[CHANGED ON]]</f>
        <v>7.7429282407392748</v>
      </c>
      <c r="M2420">
        <f ca="1">qry_ProdData2_PDI_Cash_Exception_Application[[#This Row],[TODAY]]-qry_ProdData2_PDI_Cash_Exception_Application[[#This Row],[CHANGED ON]]</f>
        <v>7.7429282407392748</v>
      </c>
      <c r="N2420">
        <f ca="1">qry_ProdData2_PDI_Cash_Exception_Application[[#This Row],[TODAY]]-qry_ProdData2_PDI_Cash_Exception_Application[[#This Row],[CHANGED ON]]</f>
        <v>7.7429282407392748</v>
      </c>
    </row>
    <row r="2421" spans="1:14" x14ac:dyDescent="0.35">
      <c r="A2421">
        <v>1007</v>
      </c>
      <c r="B2421" t="s">
        <v>61</v>
      </c>
      <c r="C2421" s="1">
        <v>45190.257071759261</v>
      </c>
      <c r="D2421" t="str">
        <f ca="1">VLOOKUP(qry_ProdData2_PDI_Cash_Exception_Application[[#This Row],[TYPE]],#REF!,2,FALSE)</f>
        <v>type40</v>
      </c>
      <c r="E2421">
        <v>721.57</v>
      </c>
      <c r="F2421" t="s">
        <v>47</v>
      </c>
      <c r="G2421" s="1">
        <f>qry_ProdData2_PDI_Cash_Exception_Application[[#This Row],[INSERT DATE]]+1</f>
        <v>45191.257071759261</v>
      </c>
      <c r="H2421" t="str">
        <f>VLOOKUP(qry_ProdData2_PDI_Cash_Exception_Application[[#This Row],[MARKET No]],'Site Allocation'!$B$2:$C$37,2,FALSE)</f>
        <v>Analyst2</v>
      </c>
      <c r="I2421" s="4">
        <f t="shared" ca="1" si="37"/>
        <v>45203</v>
      </c>
      <c r="J2421" s="42">
        <f ca="1">TODAY()-qry_ProdData2_PDI_Cash_Exception_Application[[#This Row],[INSERT DATE]]</f>
        <v>12.742928240739275</v>
      </c>
      <c r="K24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21">
        <f ca="1">qry_ProdData2_PDI_Cash_Exception_Application[[#This Row],[TODAY]]-qry_ProdData2_PDI_Cash_Exception_Application[[#This Row],[CHANGED ON]]</f>
        <v>11.742928240739275</v>
      </c>
      <c r="M2421">
        <f ca="1">qry_ProdData2_PDI_Cash_Exception_Application[[#This Row],[TODAY]]-qry_ProdData2_PDI_Cash_Exception_Application[[#This Row],[CHANGED ON]]</f>
        <v>11.742928240739275</v>
      </c>
      <c r="N2421">
        <f ca="1">qry_ProdData2_PDI_Cash_Exception_Application[[#This Row],[TODAY]]-qry_ProdData2_PDI_Cash_Exception_Application[[#This Row],[CHANGED ON]]</f>
        <v>11.742928240739275</v>
      </c>
    </row>
    <row r="2422" spans="1:14" x14ac:dyDescent="0.35">
      <c r="A2422">
        <v>1020</v>
      </c>
      <c r="B2422" t="s">
        <v>74</v>
      </c>
      <c r="C2422" s="1">
        <v>45192.257071759261</v>
      </c>
      <c r="D2422" t="str">
        <f ca="1">VLOOKUP(qry_ProdData2_PDI_Cash_Exception_Application[[#This Row],[TYPE]],#REF!,2,FALSE)</f>
        <v>type35</v>
      </c>
      <c r="E2422">
        <v>528.63</v>
      </c>
      <c r="F2422" t="s">
        <v>52</v>
      </c>
      <c r="G2422" s="1">
        <f>qry_ProdData2_PDI_Cash_Exception_Application[[#This Row],[INSERT DATE]]+1</f>
        <v>45193.257071759261</v>
      </c>
      <c r="H2422" t="str">
        <f>VLOOKUP(qry_ProdData2_PDI_Cash_Exception_Application[[#This Row],[MARKET No]],'Site Allocation'!$B$2:$C$37,2,FALSE)</f>
        <v>Analyst4</v>
      </c>
      <c r="I2422" s="4">
        <f t="shared" ca="1" si="37"/>
        <v>45203</v>
      </c>
      <c r="J2422" s="42">
        <f ca="1">TODAY()-qry_ProdData2_PDI_Cash_Exception_Application[[#This Row],[INSERT DATE]]</f>
        <v>10.742928240739275</v>
      </c>
      <c r="K24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22">
        <f ca="1">qry_ProdData2_PDI_Cash_Exception_Application[[#This Row],[TODAY]]-qry_ProdData2_PDI_Cash_Exception_Application[[#This Row],[CHANGED ON]]</f>
        <v>9.7429282407392748</v>
      </c>
      <c r="M2422">
        <f ca="1">qry_ProdData2_PDI_Cash_Exception_Application[[#This Row],[TODAY]]-qry_ProdData2_PDI_Cash_Exception_Application[[#This Row],[CHANGED ON]]</f>
        <v>9.7429282407392748</v>
      </c>
      <c r="N2422">
        <f ca="1">qry_ProdData2_PDI_Cash_Exception_Application[[#This Row],[TODAY]]-qry_ProdData2_PDI_Cash_Exception_Application[[#This Row],[CHANGED ON]]</f>
        <v>9.7429282407392748</v>
      </c>
    </row>
    <row r="2423" spans="1:14" x14ac:dyDescent="0.35">
      <c r="A2423">
        <v>1013</v>
      </c>
      <c r="B2423" t="s">
        <v>67</v>
      </c>
      <c r="C2423" s="1">
        <v>45191.257071759261</v>
      </c>
      <c r="D2423" t="str">
        <f ca="1">VLOOKUP(qry_ProdData2_PDI_Cash_Exception_Application[[#This Row],[TYPE]],#REF!,2,FALSE)</f>
        <v>type40</v>
      </c>
      <c r="E2423">
        <v>-1016.61</v>
      </c>
      <c r="F2423" t="s">
        <v>47</v>
      </c>
      <c r="G2423" s="1">
        <f>qry_ProdData2_PDI_Cash_Exception_Application[[#This Row],[INSERT DATE]]+1</f>
        <v>45192.257071759261</v>
      </c>
      <c r="H2423" t="str">
        <f>VLOOKUP(qry_ProdData2_PDI_Cash_Exception_Application[[#This Row],[MARKET No]],'Site Allocation'!$B$2:$C$37,2,FALSE)</f>
        <v>Analyst3</v>
      </c>
      <c r="I2423" s="4">
        <f t="shared" ca="1" si="37"/>
        <v>45203</v>
      </c>
      <c r="J2423" s="42">
        <f ca="1">TODAY()-qry_ProdData2_PDI_Cash_Exception_Application[[#This Row],[INSERT DATE]]</f>
        <v>11.742928240739275</v>
      </c>
      <c r="K24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23">
        <f ca="1">qry_ProdData2_PDI_Cash_Exception_Application[[#This Row],[TODAY]]-qry_ProdData2_PDI_Cash_Exception_Application[[#This Row],[CHANGED ON]]</f>
        <v>10.742928240739275</v>
      </c>
      <c r="M2423">
        <f ca="1">qry_ProdData2_PDI_Cash_Exception_Application[[#This Row],[TODAY]]-qry_ProdData2_PDI_Cash_Exception_Application[[#This Row],[CHANGED ON]]</f>
        <v>10.742928240739275</v>
      </c>
      <c r="N2423">
        <f ca="1">qry_ProdData2_PDI_Cash_Exception_Application[[#This Row],[TODAY]]-qry_ProdData2_PDI_Cash_Exception_Application[[#This Row],[CHANGED ON]]</f>
        <v>10.742928240739275</v>
      </c>
    </row>
    <row r="2424" spans="1:14" x14ac:dyDescent="0.35">
      <c r="A2424">
        <v>1001</v>
      </c>
      <c r="B2424" t="s">
        <v>55</v>
      </c>
      <c r="C2424" s="1">
        <v>45194.257071759261</v>
      </c>
      <c r="D2424" t="str">
        <f ca="1">VLOOKUP(qry_ProdData2_PDI_Cash_Exception_Application[[#This Row],[TYPE]],#REF!,2,FALSE)</f>
        <v>type40</v>
      </c>
      <c r="E2424">
        <v>5.13</v>
      </c>
      <c r="F2424" t="s">
        <v>52</v>
      </c>
      <c r="G2424" s="1">
        <f>qry_ProdData2_PDI_Cash_Exception_Application[[#This Row],[INSERT DATE]]+2</f>
        <v>45196.257071759261</v>
      </c>
      <c r="H2424" t="str">
        <f>VLOOKUP(qry_ProdData2_PDI_Cash_Exception_Application[[#This Row],[MARKET No]],'Site Allocation'!$B$2:$C$37,2,FALSE)</f>
        <v>Analyst1</v>
      </c>
      <c r="I2424" s="4">
        <f t="shared" ca="1" si="37"/>
        <v>45203</v>
      </c>
      <c r="J2424" s="42">
        <f ca="1">TODAY()-qry_ProdData2_PDI_Cash_Exception_Application[[#This Row],[INSERT DATE]]</f>
        <v>8.7429282407392748</v>
      </c>
      <c r="K24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424">
        <f ca="1">qry_ProdData2_PDI_Cash_Exception_Application[[#This Row],[TODAY]]-qry_ProdData2_PDI_Cash_Exception_Application[[#This Row],[CHANGED ON]]</f>
        <v>6.7429282407392748</v>
      </c>
      <c r="M2424">
        <f ca="1">qry_ProdData2_PDI_Cash_Exception_Application[[#This Row],[TODAY]]-qry_ProdData2_PDI_Cash_Exception_Application[[#This Row],[CHANGED ON]]</f>
        <v>6.7429282407392748</v>
      </c>
      <c r="N2424">
        <f ca="1">qry_ProdData2_PDI_Cash_Exception_Application[[#This Row],[TODAY]]-qry_ProdData2_PDI_Cash_Exception_Application[[#This Row],[CHANGED ON]]</f>
        <v>6.7429282407392748</v>
      </c>
    </row>
    <row r="2425" spans="1:14" x14ac:dyDescent="0.35">
      <c r="A2425">
        <v>1006</v>
      </c>
      <c r="B2425" t="s">
        <v>60</v>
      </c>
      <c r="C2425" s="1">
        <v>45195.257071759261</v>
      </c>
      <c r="D2425" t="str">
        <f ca="1">VLOOKUP(qry_ProdData2_PDI_Cash_Exception_Application[[#This Row],[TYPE]],#REF!,2,FALSE)</f>
        <v>type41</v>
      </c>
      <c r="E2425">
        <v>430.58</v>
      </c>
      <c r="F2425" t="s">
        <v>50</v>
      </c>
      <c r="G2425" s="1">
        <f>qry_ProdData2_PDI_Cash_Exception_Application[[#This Row],[INSERT DATE]]+2</f>
        <v>45197.257071759261</v>
      </c>
      <c r="H2425" t="str">
        <f>VLOOKUP(qry_ProdData2_PDI_Cash_Exception_Application[[#This Row],[MARKET No]],'Site Allocation'!$B$2:$C$37,2,FALSE)</f>
        <v>Analyst2</v>
      </c>
      <c r="I2425" s="4">
        <f t="shared" ca="1" si="37"/>
        <v>45203</v>
      </c>
      <c r="J2425" s="42">
        <f ca="1">TODAY()-qry_ProdData2_PDI_Cash_Exception_Application[[#This Row],[INSERT DATE]]</f>
        <v>7.7429282407392748</v>
      </c>
      <c r="K24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425">
        <f ca="1">qry_ProdData2_PDI_Cash_Exception_Application[[#This Row],[TODAY]]-qry_ProdData2_PDI_Cash_Exception_Application[[#This Row],[CHANGED ON]]</f>
        <v>5.7429282407392748</v>
      </c>
      <c r="M2425">
        <f ca="1">qry_ProdData2_PDI_Cash_Exception_Application[[#This Row],[TODAY]]-qry_ProdData2_PDI_Cash_Exception_Application[[#This Row],[CHANGED ON]]</f>
        <v>5.7429282407392748</v>
      </c>
      <c r="N2425">
        <f ca="1">qry_ProdData2_PDI_Cash_Exception_Application[[#This Row],[TODAY]]-qry_ProdData2_PDI_Cash_Exception_Application[[#This Row],[CHANGED ON]]</f>
        <v>5.7429282407392748</v>
      </c>
    </row>
    <row r="2426" spans="1:14" x14ac:dyDescent="0.35">
      <c r="A2426">
        <v>1010</v>
      </c>
      <c r="B2426" t="s">
        <v>64</v>
      </c>
      <c r="C2426" s="1">
        <v>45188.257071759261</v>
      </c>
      <c r="D2426" t="str">
        <f ca="1">VLOOKUP(qry_ProdData2_PDI_Cash_Exception_Application[[#This Row],[TYPE]],#REF!,2,FALSE)</f>
        <v>type40</v>
      </c>
      <c r="E2426">
        <v>-356.08</v>
      </c>
      <c r="F2426" t="s">
        <v>51</v>
      </c>
      <c r="G2426" s="1">
        <f>qry_ProdData2_PDI_Cash_Exception_Application[[#This Row],[INSERT DATE]]+2</f>
        <v>45190.257071759261</v>
      </c>
      <c r="H2426" t="str">
        <f>VLOOKUP(qry_ProdData2_PDI_Cash_Exception_Application[[#This Row],[MARKET No]],'Site Allocation'!$B$2:$C$37,2,FALSE)</f>
        <v>Analyst2</v>
      </c>
      <c r="I2426" s="4">
        <f t="shared" ca="1" si="37"/>
        <v>45203</v>
      </c>
      <c r="J2426" s="42">
        <f ca="1">TODAY()-qry_ProdData2_PDI_Cash_Exception_Application[[#This Row],[INSERT DATE]]</f>
        <v>14.742928240739275</v>
      </c>
      <c r="K24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26">
        <f ca="1">qry_ProdData2_PDI_Cash_Exception_Application[[#This Row],[TODAY]]-qry_ProdData2_PDI_Cash_Exception_Application[[#This Row],[CHANGED ON]]</f>
        <v>12.742928240739275</v>
      </c>
      <c r="M2426">
        <f ca="1">qry_ProdData2_PDI_Cash_Exception_Application[[#This Row],[TODAY]]-qry_ProdData2_PDI_Cash_Exception_Application[[#This Row],[CHANGED ON]]</f>
        <v>12.742928240739275</v>
      </c>
      <c r="N2426">
        <f ca="1">qry_ProdData2_PDI_Cash_Exception_Application[[#This Row],[TODAY]]-qry_ProdData2_PDI_Cash_Exception_Application[[#This Row],[CHANGED ON]]</f>
        <v>12.742928240739275</v>
      </c>
    </row>
    <row r="2427" spans="1:14" x14ac:dyDescent="0.35">
      <c r="A2427">
        <v>1000</v>
      </c>
      <c r="B2427" t="s">
        <v>54</v>
      </c>
      <c r="C2427" s="1">
        <v>45189.257071759261</v>
      </c>
      <c r="D2427" t="str">
        <f ca="1">VLOOKUP(qry_ProdData2_PDI_Cash_Exception_Application[[#This Row],[TYPE]],#REF!,2,FALSE)</f>
        <v>type40</v>
      </c>
      <c r="E2427">
        <v>313</v>
      </c>
      <c r="F2427" t="s">
        <v>49</v>
      </c>
      <c r="G2427" s="1">
        <f>qry_ProdData2_PDI_Cash_Exception_Application[[#This Row],[INSERT DATE]]+7</f>
        <v>45196.257071759261</v>
      </c>
      <c r="H2427" t="str">
        <f>VLOOKUP(qry_ProdData2_PDI_Cash_Exception_Application[[#This Row],[MARKET No]],'Site Allocation'!$B$2:$C$37,2,FALSE)</f>
        <v>Analyst1</v>
      </c>
      <c r="I2427" s="4">
        <f t="shared" ca="1" si="37"/>
        <v>45203</v>
      </c>
      <c r="J2427" s="42">
        <f ca="1">TODAY()-qry_ProdData2_PDI_Cash_Exception_Application[[#This Row],[INSERT DATE]]</f>
        <v>13.742928240739275</v>
      </c>
      <c r="K24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27">
        <f ca="1">qry_ProdData2_PDI_Cash_Exception_Application[[#This Row],[TODAY]]-qry_ProdData2_PDI_Cash_Exception_Application[[#This Row],[CHANGED ON]]</f>
        <v>6.7429282407392748</v>
      </c>
      <c r="M2427">
        <f ca="1">qry_ProdData2_PDI_Cash_Exception_Application[[#This Row],[TODAY]]-qry_ProdData2_PDI_Cash_Exception_Application[[#This Row],[CHANGED ON]]</f>
        <v>6.7429282407392748</v>
      </c>
      <c r="N2427">
        <f ca="1">qry_ProdData2_PDI_Cash_Exception_Application[[#This Row],[TODAY]]-qry_ProdData2_PDI_Cash_Exception_Application[[#This Row],[CHANGED ON]]</f>
        <v>6.7429282407392748</v>
      </c>
    </row>
    <row r="2428" spans="1:14" x14ac:dyDescent="0.35">
      <c r="A2428">
        <v>1024</v>
      </c>
      <c r="B2428" t="s">
        <v>78</v>
      </c>
      <c r="C2428" s="1">
        <v>45191.257071759261</v>
      </c>
      <c r="D2428" t="str">
        <f ca="1">VLOOKUP(qry_ProdData2_PDI_Cash_Exception_Application[[#This Row],[TYPE]],#REF!,2,FALSE)</f>
        <v>type15</v>
      </c>
      <c r="E2428">
        <v>1419.4</v>
      </c>
      <c r="F2428" t="s">
        <v>51</v>
      </c>
      <c r="G2428" s="1">
        <f>qry_ProdData2_PDI_Cash_Exception_Application[[#This Row],[INSERT DATE]]+5</f>
        <v>45196.257071759261</v>
      </c>
      <c r="H2428" t="str">
        <f>VLOOKUP(qry_ProdData2_PDI_Cash_Exception_Application[[#This Row],[MARKET No]],'Site Allocation'!$B$2:$C$37,2,FALSE)</f>
        <v>Analyst5</v>
      </c>
      <c r="I2428" s="4">
        <f t="shared" ca="1" si="37"/>
        <v>45203</v>
      </c>
      <c r="J2428" s="42">
        <f ca="1">TODAY()-qry_ProdData2_PDI_Cash_Exception_Application[[#This Row],[INSERT DATE]]</f>
        <v>11.742928240739275</v>
      </c>
      <c r="K24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28">
        <f ca="1">qry_ProdData2_PDI_Cash_Exception_Application[[#This Row],[TODAY]]-qry_ProdData2_PDI_Cash_Exception_Application[[#This Row],[CHANGED ON]]</f>
        <v>6.7429282407392748</v>
      </c>
      <c r="M2428">
        <f ca="1">qry_ProdData2_PDI_Cash_Exception_Application[[#This Row],[TODAY]]-qry_ProdData2_PDI_Cash_Exception_Application[[#This Row],[CHANGED ON]]</f>
        <v>6.7429282407392748</v>
      </c>
      <c r="N2428">
        <f ca="1">qry_ProdData2_PDI_Cash_Exception_Application[[#This Row],[TODAY]]-qry_ProdData2_PDI_Cash_Exception_Application[[#This Row],[CHANGED ON]]</f>
        <v>6.7429282407392748</v>
      </c>
    </row>
    <row r="2429" spans="1:14" x14ac:dyDescent="0.35">
      <c r="A2429">
        <v>1002</v>
      </c>
      <c r="B2429" t="s">
        <v>56</v>
      </c>
      <c r="C2429" s="1">
        <v>45185.257071759261</v>
      </c>
      <c r="D2429" t="str">
        <f ca="1">VLOOKUP(qry_ProdData2_PDI_Cash_Exception_Application[[#This Row],[TYPE]],#REF!,2,FALSE)</f>
        <v>type40</v>
      </c>
      <c r="E2429">
        <v>-2560.54</v>
      </c>
      <c r="F2429" t="s">
        <v>49</v>
      </c>
      <c r="G2429" s="1">
        <f>qry_ProdData2_PDI_Cash_Exception_Application[[#This Row],[INSERT DATE]]+7</f>
        <v>45192.257071759261</v>
      </c>
      <c r="H2429" t="str">
        <f>VLOOKUP(qry_ProdData2_PDI_Cash_Exception_Application[[#This Row],[MARKET No]],'Site Allocation'!$B$2:$C$37,2,FALSE)</f>
        <v>Analyst1</v>
      </c>
      <c r="I2429" s="4">
        <f t="shared" ca="1" si="37"/>
        <v>45203</v>
      </c>
      <c r="J2429" s="42">
        <f ca="1">TODAY()-qry_ProdData2_PDI_Cash_Exception_Application[[#This Row],[INSERT DATE]]</f>
        <v>17.742928240739275</v>
      </c>
      <c r="K24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29">
        <f ca="1">qry_ProdData2_PDI_Cash_Exception_Application[[#This Row],[TODAY]]-qry_ProdData2_PDI_Cash_Exception_Application[[#This Row],[CHANGED ON]]</f>
        <v>10.742928240739275</v>
      </c>
      <c r="M2429">
        <f ca="1">qry_ProdData2_PDI_Cash_Exception_Application[[#This Row],[TODAY]]-qry_ProdData2_PDI_Cash_Exception_Application[[#This Row],[CHANGED ON]]</f>
        <v>10.742928240739275</v>
      </c>
      <c r="N2429">
        <f ca="1">qry_ProdData2_PDI_Cash_Exception_Application[[#This Row],[TODAY]]-qry_ProdData2_PDI_Cash_Exception_Application[[#This Row],[CHANGED ON]]</f>
        <v>10.742928240739275</v>
      </c>
    </row>
    <row r="2430" spans="1:14" x14ac:dyDescent="0.35">
      <c r="A2430">
        <v>1005</v>
      </c>
      <c r="B2430" t="s">
        <v>59</v>
      </c>
      <c r="C2430" s="1">
        <v>45181.257071759261</v>
      </c>
      <c r="D2430" t="str">
        <f ca="1">VLOOKUP(qry_ProdData2_PDI_Cash_Exception_Application[[#This Row],[TYPE]],#REF!,2,FALSE)</f>
        <v>type40</v>
      </c>
      <c r="E2430">
        <v>-1936.17</v>
      </c>
      <c r="F2430" t="s">
        <v>50</v>
      </c>
      <c r="G2430" s="1">
        <f>qry_ProdData2_PDI_Cash_Exception_Application[[#This Row],[INSERT DATE]]+2</f>
        <v>45183.257071759261</v>
      </c>
      <c r="H2430" t="str">
        <f>VLOOKUP(qry_ProdData2_PDI_Cash_Exception_Application[[#This Row],[MARKET No]],'Site Allocation'!$B$2:$C$37,2,FALSE)</f>
        <v>Analyst1</v>
      </c>
      <c r="I2430" s="4">
        <f t="shared" ca="1" si="37"/>
        <v>45203</v>
      </c>
      <c r="J2430" s="42">
        <f ca="1">TODAY()-qry_ProdData2_PDI_Cash_Exception_Application[[#This Row],[INSERT DATE]]</f>
        <v>21.742928240739275</v>
      </c>
      <c r="K24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30">
        <f ca="1">qry_ProdData2_PDI_Cash_Exception_Application[[#This Row],[TODAY]]-qry_ProdData2_PDI_Cash_Exception_Application[[#This Row],[CHANGED ON]]</f>
        <v>19.742928240739275</v>
      </c>
      <c r="M2430">
        <f ca="1">qry_ProdData2_PDI_Cash_Exception_Application[[#This Row],[TODAY]]-qry_ProdData2_PDI_Cash_Exception_Application[[#This Row],[CHANGED ON]]</f>
        <v>19.742928240739275</v>
      </c>
      <c r="N2430">
        <f ca="1">qry_ProdData2_PDI_Cash_Exception_Application[[#This Row],[TODAY]]-qry_ProdData2_PDI_Cash_Exception_Application[[#This Row],[CHANGED ON]]</f>
        <v>19.742928240739275</v>
      </c>
    </row>
    <row r="2431" spans="1:14" x14ac:dyDescent="0.35">
      <c r="A2431">
        <v>1021</v>
      </c>
      <c r="B2431" t="s">
        <v>75</v>
      </c>
      <c r="C2431" s="1">
        <v>45179.257071759261</v>
      </c>
      <c r="D2431" t="str">
        <f ca="1">VLOOKUP(qry_ProdData2_PDI_Cash_Exception_Application[[#This Row],[TYPE]],#REF!,2,FALSE)</f>
        <v>type40</v>
      </c>
      <c r="E2431">
        <v>2399.37</v>
      </c>
      <c r="F2431" t="s">
        <v>47</v>
      </c>
      <c r="G2431" s="1">
        <f>qry_ProdData2_PDI_Cash_Exception_Application[[#This Row],[INSERT DATE]]+2</f>
        <v>45181.257071759261</v>
      </c>
      <c r="H2431" t="str">
        <f>VLOOKUP(qry_ProdData2_PDI_Cash_Exception_Application[[#This Row],[MARKET No]],'Site Allocation'!$B$2:$C$37,2,FALSE)</f>
        <v>Analyst4</v>
      </c>
      <c r="I2431" s="4">
        <f t="shared" ca="1" si="37"/>
        <v>45203</v>
      </c>
      <c r="J2431" s="42">
        <f ca="1">TODAY()-qry_ProdData2_PDI_Cash_Exception_Application[[#This Row],[INSERT DATE]]</f>
        <v>23.742928240739275</v>
      </c>
      <c r="K24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31">
        <f ca="1">qry_ProdData2_PDI_Cash_Exception_Application[[#This Row],[TODAY]]-qry_ProdData2_PDI_Cash_Exception_Application[[#This Row],[CHANGED ON]]</f>
        <v>21.742928240739275</v>
      </c>
      <c r="M2431">
        <f ca="1">qry_ProdData2_PDI_Cash_Exception_Application[[#This Row],[TODAY]]-qry_ProdData2_PDI_Cash_Exception_Application[[#This Row],[CHANGED ON]]</f>
        <v>21.742928240739275</v>
      </c>
      <c r="N2431">
        <f ca="1">qry_ProdData2_PDI_Cash_Exception_Application[[#This Row],[TODAY]]-qry_ProdData2_PDI_Cash_Exception_Application[[#This Row],[CHANGED ON]]</f>
        <v>21.742928240739275</v>
      </c>
    </row>
    <row r="2432" spans="1:14" x14ac:dyDescent="0.35">
      <c r="A2432">
        <v>1015</v>
      </c>
      <c r="B2432" t="s">
        <v>69</v>
      </c>
      <c r="C2432" s="1">
        <v>45182.257071759261</v>
      </c>
      <c r="D2432" t="str">
        <f ca="1">VLOOKUP(qry_ProdData2_PDI_Cash_Exception_Application[[#This Row],[TYPE]],#REF!,2,FALSE)</f>
        <v>type27</v>
      </c>
      <c r="E2432">
        <v>1477.05</v>
      </c>
      <c r="F2432" t="s">
        <v>52</v>
      </c>
      <c r="G2432" s="1">
        <f>qry_ProdData2_PDI_Cash_Exception_Application[[#This Row],[INSERT DATE]]+2</f>
        <v>45184.257071759261</v>
      </c>
      <c r="H2432" t="str">
        <f>VLOOKUP(qry_ProdData2_PDI_Cash_Exception_Application[[#This Row],[MARKET No]],'Site Allocation'!$B$2:$C$37,2,FALSE)</f>
        <v>Analyst3</v>
      </c>
      <c r="I2432" s="4">
        <f t="shared" ca="1" si="37"/>
        <v>45203</v>
      </c>
      <c r="J2432" s="42">
        <f ca="1">TODAY()-qry_ProdData2_PDI_Cash_Exception_Application[[#This Row],[INSERT DATE]]</f>
        <v>20.742928240739275</v>
      </c>
      <c r="K24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32">
        <f ca="1">qry_ProdData2_PDI_Cash_Exception_Application[[#This Row],[TODAY]]-qry_ProdData2_PDI_Cash_Exception_Application[[#This Row],[CHANGED ON]]</f>
        <v>18.742928240739275</v>
      </c>
      <c r="M2432">
        <f ca="1">qry_ProdData2_PDI_Cash_Exception_Application[[#This Row],[TODAY]]-qry_ProdData2_PDI_Cash_Exception_Application[[#This Row],[CHANGED ON]]</f>
        <v>18.742928240739275</v>
      </c>
      <c r="N2432">
        <f ca="1">qry_ProdData2_PDI_Cash_Exception_Application[[#This Row],[TODAY]]-qry_ProdData2_PDI_Cash_Exception_Application[[#This Row],[CHANGED ON]]</f>
        <v>18.742928240739275</v>
      </c>
    </row>
    <row r="2433" spans="1:14" x14ac:dyDescent="0.35">
      <c r="A2433">
        <v>1017</v>
      </c>
      <c r="B2433" t="s">
        <v>71</v>
      </c>
      <c r="C2433" s="1">
        <v>45183.257071759261</v>
      </c>
      <c r="D2433" t="str">
        <f ca="1">VLOOKUP(qry_ProdData2_PDI_Cash_Exception_Application[[#This Row],[TYPE]],#REF!,2,FALSE)</f>
        <v>type30</v>
      </c>
      <c r="E2433">
        <v>157.68</v>
      </c>
      <c r="F2433" t="s">
        <v>50</v>
      </c>
      <c r="G2433" s="1">
        <f>qry_ProdData2_PDI_Cash_Exception_Application[[#This Row],[INSERT DATE]]+2</f>
        <v>45185.257071759261</v>
      </c>
      <c r="H2433" t="str">
        <f>VLOOKUP(qry_ProdData2_PDI_Cash_Exception_Application[[#This Row],[MARKET No]],'Site Allocation'!$B$2:$C$37,2,FALSE)</f>
        <v>Analyst3</v>
      </c>
      <c r="I2433" s="4">
        <f t="shared" ca="1" si="37"/>
        <v>45203</v>
      </c>
      <c r="J2433" s="42">
        <f ca="1">TODAY()-qry_ProdData2_PDI_Cash_Exception_Application[[#This Row],[INSERT DATE]]</f>
        <v>19.742928240739275</v>
      </c>
      <c r="K24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33">
        <f ca="1">qry_ProdData2_PDI_Cash_Exception_Application[[#This Row],[TODAY]]-qry_ProdData2_PDI_Cash_Exception_Application[[#This Row],[CHANGED ON]]</f>
        <v>17.742928240739275</v>
      </c>
      <c r="M2433">
        <f ca="1">qry_ProdData2_PDI_Cash_Exception_Application[[#This Row],[TODAY]]-qry_ProdData2_PDI_Cash_Exception_Application[[#This Row],[CHANGED ON]]</f>
        <v>17.742928240739275</v>
      </c>
      <c r="N2433">
        <f ca="1">qry_ProdData2_PDI_Cash_Exception_Application[[#This Row],[TODAY]]-qry_ProdData2_PDI_Cash_Exception_Application[[#This Row],[CHANGED ON]]</f>
        <v>17.742928240739275</v>
      </c>
    </row>
    <row r="2434" spans="1:14" x14ac:dyDescent="0.35">
      <c r="A2434">
        <v>1026</v>
      </c>
      <c r="B2434" t="s">
        <v>80</v>
      </c>
      <c r="C2434" s="1">
        <v>45183.257071759261</v>
      </c>
      <c r="D2434" t="str">
        <f ca="1">VLOOKUP(qry_ProdData2_PDI_Cash_Exception_Application[[#This Row],[TYPE]],#REF!,2,FALSE)</f>
        <v>type42</v>
      </c>
      <c r="E2434">
        <v>257.22000000000003</v>
      </c>
      <c r="F2434" t="s">
        <v>52</v>
      </c>
      <c r="G2434" s="1">
        <f>qry_ProdData2_PDI_Cash_Exception_Application[[#This Row],[INSERT DATE]]+2</f>
        <v>45185.257071759261</v>
      </c>
      <c r="H2434" t="str">
        <f>VLOOKUP(qry_ProdData2_PDI_Cash_Exception_Application[[#This Row],[MARKET No]],'Site Allocation'!$B$2:$C$37,2,FALSE)</f>
        <v>Analyst5</v>
      </c>
      <c r="I2434" s="4">
        <f t="shared" ref="I2434:I2497" ca="1" si="38">TODAY()</f>
        <v>45203</v>
      </c>
      <c r="J2434" s="42">
        <f ca="1">TODAY()-qry_ProdData2_PDI_Cash_Exception_Application[[#This Row],[INSERT DATE]]</f>
        <v>19.742928240739275</v>
      </c>
      <c r="K24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34">
        <f ca="1">qry_ProdData2_PDI_Cash_Exception_Application[[#This Row],[TODAY]]-qry_ProdData2_PDI_Cash_Exception_Application[[#This Row],[CHANGED ON]]</f>
        <v>17.742928240739275</v>
      </c>
      <c r="M2434">
        <f ca="1">qry_ProdData2_PDI_Cash_Exception_Application[[#This Row],[TODAY]]-qry_ProdData2_PDI_Cash_Exception_Application[[#This Row],[CHANGED ON]]</f>
        <v>17.742928240739275</v>
      </c>
      <c r="N2434">
        <f ca="1">qry_ProdData2_PDI_Cash_Exception_Application[[#This Row],[TODAY]]-qry_ProdData2_PDI_Cash_Exception_Application[[#This Row],[CHANGED ON]]</f>
        <v>17.742928240739275</v>
      </c>
    </row>
    <row r="2435" spans="1:14" x14ac:dyDescent="0.35">
      <c r="A2435">
        <v>1000</v>
      </c>
      <c r="B2435" t="s">
        <v>54</v>
      </c>
      <c r="C2435" s="1">
        <v>45186.257071759261</v>
      </c>
      <c r="D2435" t="str">
        <f ca="1">VLOOKUP(qry_ProdData2_PDI_Cash_Exception_Application[[#This Row],[TYPE]],#REF!,2,FALSE)</f>
        <v>type26</v>
      </c>
      <c r="E2435">
        <v>139.86000000000001</v>
      </c>
      <c r="F2435" t="s">
        <v>48</v>
      </c>
      <c r="G2435" s="1">
        <f>qry_ProdData2_PDI_Cash_Exception_Application[[#This Row],[INSERT DATE]]+7</f>
        <v>45193.257071759261</v>
      </c>
      <c r="H2435" t="str">
        <f>VLOOKUP(qry_ProdData2_PDI_Cash_Exception_Application[[#This Row],[MARKET No]],'Site Allocation'!$B$2:$C$37,2,FALSE)</f>
        <v>Analyst1</v>
      </c>
      <c r="I2435" s="4">
        <f t="shared" ca="1" si="38"/>
        <v>45203</v>
      </c>
      <c r="J2435" s="42">
        <f ca="1">TODAY()-qry_ProdData2_PDI_Cash_Exception_Application[[#This Row],[INSERT DATE]]</f>
        <v>16.742928240739275</v>
      </c>
      <c r="K24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35">
        <f ca="1">qry_ProdData2_PDI_Cash_Exception_Application[[#This Row],[TODAY]]-qry_ProdData2_PDI_Cash_Exception_Application[[#This Row],[CHANGED ON]]</f>
        <v>9.7429282407392748</v>
      </c>
      <c r="M2435">
        <f ca="1">qry_ProdData2_PDI_Cash_Exception_Application[[#This Row],[TODAY]]-qry_ProdData2_PDI_Cash_Exception_Application[[#This Row],[CHANGED ON]]</f>
        <v>9.7429282407392748</v>
      </c>
      <c r="N2435">
        <f ca="1">qry_ProdData2_PDI_Cash_Exception_Application[[#This Row],[TODAY]]-qry_ProdData2_PDI_Cash_Exception_Application[[#This Row],[CHANGED ON]]</f>
        <v>9.7429282407392748</v>
      </c>
    </row>
    <row r="2436" spans="1:14" x14ac:dyDescent="0.35">
      <c r="A2436">
        <v>1030</v>
      </c>
      <c r="B2436" t="s">
        <v>84</v>
      </c>
      <c r="C2436" s="1">
        <v>45184.257071759261</v>
      </c>
      <c r="D2436" t="str">
        <f ca="1">VLOOKUP(qry_ProdData2_PDI_Cash_Exception_Application[[#This Row],[TYPE]],#REF!,2,FALSE)</f>
        <v>type32</v>
      </c>
      <c r="E2436">
        <v>1804.56</v>
      </c>
      <c r="F2436" t="s">
        <v>52</v>
      </c>
      <c r="G2436" s="1">
        <f>qry_ProdData2_PDI_Cash_Exception_Application[[#This Row],[INSERT DATE]]+2</f>
        <v>45186.257071759261</v>
      </c>
      <c r="H2436" t="str">
        <f>VLOOKUP(qry_ProdData2_PDI_Cash_Exception_Application[[#This Row],[MARKET No]],'Site Allocation'!$B$2:$C$37,2,FALSE)</f>
        <v>Analyst6</v>
      </c>
      <c r="I2436" s="4">
        <f t="shared" ca="1" si="38"/>
        <v>45203</v>
      </c>
      <c r="J2436" s="42">
        <f ca="1">TODAY()-qry_ProdData2_PDI_Cash_Exception_Application[[#This Row],[INSERT DATE]]</f>
        <v>18.742928240739275</v>
      </c>
      <c r="K24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36">
        <f ca="1">qry_ProdData2_PDI_Cash_Exception_Application[[#This Row],[TODAY]]-qry_ProdData2_PDI_Cash_Exception_Application[[#This Row],[CHANGED ON]]</f>
        <v>16.742928240739275</v>
      </c>
      <c r="M2436">
        <f ca="1">qry_ProdData2_PDI_Cash_Exception_Application[[#This Row],[TODAY]]-qry_ProdData2_PDI_Cash_Exception_Application[[#This Row],[CHANGED ON]]</f>
        <v>16.742928240739275</v>
      </c>
      <c r="N2436">
        <f ca="1">qry_ProdData2_PDI_Cash_Exception_Application[[#This Row],[TODAY]]-qry_ProdData2_PDI_Cash_Exception_Application[[#This Row],[CHANGED ON]]</f>
        <v>16.742928240739275</v>
      </c>
    </row>
    <row r="2437" spans="1:14" x14ac:dyDescent="0.35">
      <c r="A2437">
        <v>1033</v>
      </c>
      <c r="B2437" t="s">
        <v>87</v>
      </c>
      <c r="C2437" s="1">
        <v>45189.257071759261</v>
      </c>
      <c r="D2437" t="str">
        <f ca="1">VLOOKUP(qry_ProdData2_PDI_Cash_Exception_Application[[#This Row],[TYPE]],#REF!,2,FALSE)</f>
        <v>type40</v>
      </c>
      <c r="E2437">
        <v>380.25</v>
      </c>
      <c r="F2437" t="s">
        <v>48</v>
      </c>
      <c r="G2437" s="1">
        <f>qry_ProdData2_PDI_Cash_Exception_Application[[#This Row],[INSERT DATE]]+7</f>
        <v>45196.257071759261</v>
      </c>
      <c r="H2437" t="str">
        <f>VLOOKUP(qry_ProdData2_PDI_Cash_Exception_Application[[#This Row],[MARKET No]],'Site Allocation'!$B$2:$C$37,2,FALSE)</f>
        <v>Analyst6</v>
      </c>
      <c r="I2437" s="4">
        <f t="shared" ca="1" si="38"/>
        <v>45203</v>
      </c>
      <c r="J2437" s="42">
        <f ca="1">TODAY()-qry_ProdData2_PDI_Cash_Exception_Application[[#This Row],[INSERT DATE]]</f>
        <v>13.742928240739275</v>
      </c>
      <c r="K24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37">
        <f ca="1">qry_ProdData2_PDI_Cash_Exception_Application[[#This Row],[TODAY]]-qry_ProdData2_PDI_Cash_Exception_Application[[#This Row],[CHANGED ON]]</f>
        <v>6.7429282407392748</v>
      </c>
      <c r="M2437">
        <f ca="1">qry_ProdData2_PDI_Cash_Exception_Application[[#This Row],[TODAY]]-qry_ProdData2_PDI_Cash_Exception_Application[[#This Row],[CHANGED ON]]</f>
        <v>6.7429282407392748</v>
      </c>
      <c r="N2437">
        <f ca="1">qry_ProdData2_PDI_Cash_Exception_Application[[#This Row],[TODAY]]-qry_ProdData2_PDI_Cash_Exception_Application[[#This Row],[CHANGED ON]]</f>
        <v>6.7429282407392748</v>
      </c>
    </row>
    <row r="2438" spans="1:14" x14ac:dyDescent="0.35">
      <c r="A2438">
        <v>1022</v>
      </c>
      <c r="B2438" t="s">
        <v>76</v>
      </c>
      <c r="C2438" s="1">
        <v>45185.257071759261</v>
      </c>
      <c r="D2438" t="str">
        <f ca="1">VLOOKUP(qry_ProdData2_PDI_Cash_Exception_Application[[#This Row],[TYPE]],#REF!,2,FALSE)</f>
        <v>type27</v>
      </c>
      <c r="E2438">
        <v>65770.5</v>
      </c>
      <c r="F2438" t="s">
        <v>51</v>
      </c>
      <c r="G2438" s="1">
        <f>qry_ProdData2_PDI_Cash_Exception_Application[[#This Row],[INSERT DATE]]+7</f>
        <v>45192.257071759261</v>
      </c>
      <c r="H2438" t="str">
        <f>VLOOKUP(qry_ProdData2_PDI_Cash_Exception_Application[[#This Row],[MARKET No]],'Site Allocation'!$B$2:$C$37,2,FALSE)</f>
        <v>Analyst4</v>
      </c>
      <c r="I2438" s="4">
        <f t="shared" ca="1" si="38"/>
        <v>45203</v>
      </c>
      <c r="J2438" s="42">
        <f ca="1">TODAY()-qry_ProdData2_PDI_Cash_Exception_Application[[#This Row],[INSERT DATE]]</f>
        <v>17.742928240739275</v>
      </c>
      <c r="K24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38">
        <f ca="1">qry_ProdData2_PDI_Cash_Exception_Application[[#This Row],[TODAY]]-qry_ProdData2_PDI_Cash_Exception_Application[[#This Row],[CHANGED ON]]</f>
        <v>10.742928240739275</v>
      </c>
      <c r="M2438">
        <f ca="1">qry_ProdData2_PDI_Cash_Exception_Application[[#This Row],[TODAY]]-qry_ProdData2_PDI_Cash_Exception_Application[[#This Row],[CHANGED ON]]</f>
        <v>10.742928240739275</v>
      </c>
      <c r="N2438">
        <f ca="1">qry_ProdData2_PDI_Cash_Exception_Application[[#This Row],[TODAY]]-qry_ProdData2_PDI_Cash_Exception_Application[[#This Row],[CHANGED ON]]</f>
        <v>10.742928240739275</v>
      </c>
    </row>
    <row r="2439" spans="1:14" x14ac:dyDescent="0.35">
      <c r="A2439">
        <v>1028</v>
      </c>
      <c r="B2439" t="s">
        <v>82</v>
      </c>
      <c r="C2439" s="1">
        <v>45188.257071759261</v>
      </c>
      <c r="D2439" t="str">
        <f ca="1">VLOOKUP(qry_ProdData2_PDI_Cash_Exception_Application[[#This Row],[TYPE]],#REF!,2,FALSE)</f>
        <v>type40</v>
      </c>
      <c r="E2439">
        <v>-3283</v>
      </c>
      <c r="F2439" t="s">
        <v>49</v>
      </c>
      <c r="G2439" s="1">
        <f>qry_ProdData2_PDI_Cash_Exception_Application[[#This Row],[INSERT DATE]]+7</f>
        <v>45195.257071759261</v>
      </c>
      <c r="H2439" t="str">
        <f>VLOOKUP(qry_ProdData2_PDI_Cash_Exception_Application[[#This Row],[MARKET No]],'Site Allocation'!$B$2:$C$37,2,FALSE)</f>
        <v>Analyst5</v>
      </c>
      <c r="I2439" s="4">
        <f t="shared" ca="1" si="38"/>
        <v>45203</v>
      </c>
      <c r="J2439" s="42">
        <f ca="1">TODAY()-qry_ProdData2_PDI_Cash_Exception_Application[[#This Row],[INSERT DATE]]</f>
        <v>14.742928240739275</v>
      </c>
      <c r="K24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39">
        <f ca="1">qry_ProdData2_PDI_Cash_Exception_Application[[#This Row],[TODAY]]-qry_ProdData2_PDI_Cash_Exception_Application[[#This Row],[CHANGED ON]]</f>
        <v>7.7429282407392748</v>
      </c>
      <c r="M2439">
        <f ca="1">qry_ProdData2_PDI_Cash_Exception_Application[[#This Row],[TODAY]]-qry_ProdData2_PDI_Cash_Exception_Application[[#This Row],[CHANGED ON]]</f>
        <v>7.7429282407392748</v>
      </c>
      <c r="N2439">
        <f ca="1">qry_ProdData2_PDI_Cash_Exception_Application[[#This Row],[TODAY]]-qry_ProdData2_PDI_Cash_Exception_Application[[#This Row],[CHANGED ON]]</f>
        <v>7.7429282407392748</v>
      </c>
    </row>
    <row r="2440" spans="1:14" x14ac:dyDescent="0.35">
      <c r="A2440">
        <v>1034</v>
      </c>
      <c r="B2440" t="s">
        <v>88</v>
      </c>
      <c r="C2440" s="1">
        <v>45188.257071759261</v>
      </c>
      <c r="D2440" t="str">
        <f ca="1">VLOOKUP(qry_ProdData2_PDI_Cash_Exception_Application[[#This Row],[TYPE]],#REF!,2,FALSE)</f>
        <v>type40</v>
      </c>
      <c r="E2440">
        <v>-449.8</v>
      </c>
      <c r="F2440" t="s">
        <v>48</v>
      </c>
      <c r="G2440" s="1">
        <f>qry_ProdData2_PDI_Cash_Exception_Application[[#This Row],[INSERT DATE]]+7</f>
        <v>45195.257071759261</v>
      </c>
      <c r="H2440" t="str">
        <f>VLOOKUP(qry_ProdData2_PDI_Cash_Exception_Application[[#This Row],[MARKET No]],'Site Allocation'!$B$2:$C$37,2,FALSE)</f>
        <v>Analyst6</v>
      </c>
      <c r="I2440" s="4">
        <f t="shared" ca="1" si="38"/>
        <v>45203</v>
      </c>
      <c r="J2440" s="42">
        <f ca="1">TODAY()-qry_ProdData2_PDI_Cash_Exception_Application[[#This Row],[INSERT DATE]]</f>
        <v>14.742928240739275</v>
      </c>
      <c r="K24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40">
        <f ca="1">qry_ProdData2_PDI_Cash_Exception_Application[[#This Row],[TODAY]]-qry_ProdData2_PDI_Cash_Exception_Application[[#This Row],[CHANGED ON]]</f>
        <v>7.7429282407392748</v>
      </c>
      <c r="M2440">
        <f ca="1">qry_ProdData2_PDI_Cash_Exception_Application[[#This Row],[TODAY]]-qry_ProdData2_PDI_Cash_Exception_Application[[#This Row],[CHANGED ON]]</f>
        <v>7.7429282407392748</v>
      </c>
      <c r="N2440">
        <f ca="1">qry_ProdData2_PDI_Cash_Exception_Application[[#This Row],[TODAY]]-qry_ProdData2_PDI_Cash_Exception_Application[[#This Row],[CHANGED ON]]</f>
        <v>7.7429282407392748</v>
      </c>
    </row>
    <row r="2441" spans="1:14" x14ac:dyDescent="0.35">
      <c r="A2441">
        <v>1028</v>
      </c>
      <c r="B2441" t="s">
        <v>82</v>
      </c>
      <c r="C2441" s="1">
        <v>45180.257071759261</v>
      </c>
      <c r="D2441" t="str">
        <f ca="1">VLOOKUP(qry_ProdData2_PDI_Cash_Exception_Application[[#This Row],[TYPE]],#REF!,2,FALSE)</f>
        <v>type40</v>
      </c>
      <c r="E2441">
        <v>-24285.81</v>
      </c>
      <c r="F2441" t="s">
        <v>49</v>
      </c>
      <c r="G2441" s="1">
        <f>qry_ProdData2_PDI_Cash_Exception_Application[[#This Row],[INSERT DATE]]+1</f>
        <v>45181.257071759261</v>
      </c>
      <c r="H2441" t="str">
        <f>VLOOKUP(qry_ProdData2_PDI_Cash_Exception_Application[[#This Row],[MARKET No]],'Site Allocation'!$B$2:$C$37,2,FALSE)</f>
        <v>Analyst5</v>
      </c>
      <c r="I2441" s="4">
        <f t="shared" ca="1" si="38"/>
        <v>45203</v>
      </c>
      <c r="J2441" s="42">
        <f ca="1">TODAY()-qry_ProdData2_PDI_Cash_Exception_Application[[#This Row],[INSERT DATE]]</f>
        <v>22.742928240739275</v>
      </c>
      <c r="K24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41">
        <f ca="1">qry_ProdData2_PDI_Cash_Exception_Application[[#This Row],[TODAY]]-qry_ProdData2_PDI_Cash_Exception_Application[[#This Row],[CHANGED ON]]</f>
        <v>21.742928240739275</v>
      </c>
      <c r="M2441">
        <f ca="1">qry_ProdData2_PDI_Cash_Exception_Application[[#This Row],[TODAY]]-qry_ProdData2_PDI_Cash_Exception_Application[[#This Row],[CHANGED ON]]</f>
        <v>21.742928240739275</v>
      </c>
      <c r="N2441">
        <f ca="1">qry_ProdData2_PDI_Cash_Exception_Application[[#This Row],[TODAY]]-qry_ProdData2_PDI_Cash_Exception_Application[[#This Row],[CHANGED ON]]</f>
        <v>21.742928240739275</v>
      </c>
    </row>
    <row r="2442" spans="1:14" x14ac:dyDescent="0.35">
      <c r="A2442">
        <v>1007</v>
      </c>
      <c r="B2442" t="s">
        <v>61</v>
      </c>
      <c r="C2442" s="1">
        <v>45186.257071759261</v>
      </c>
      <c r="D2442" t="str">
        <f ca="1">VLOOKUP(qry_ProdData2_PDI_Cash_Exception_Application[[#This Row],[TYPE]],#REF!,2,FALSE)</f>
        <v>type35</v>
      </c>
      <c r="E2442">
        <v>2545.52</v>
      </c>
      <c r="F2442" t="s">
        <v>51</v>
      </c>
      <c r="G2442" s="1">
        <f>qry_ProdData2_PDI_Cash_Exception_Application[[#This Row],[INSERT DATE]]+7</f>
        <v>45193.257071759261</v>
      </c>
      <c r="H2442" t="str">
        <f>VLOOKUP(qry_ProdData2_PDI_Cash_Exception_Application[[#This Row],[MARKET No]],'Site Allocation'!$B$2:$C$37,2,FALSE)</f>
        <v>Analyst2</v>
      </c>
      <c r="I2442" s="4">
        <f t="shared" ca="1" si="38"/>
        <v>45203</v>
      </c>
      <c r="J2442" s="42">
        <f ca="1">TODAY()-qry_ProdData2_PDI_Cash_Exception_Application[[#This Row],[INSERT DATE]]</f>
        <v>16.742928240739275</v>
      </c>
      <c r="K24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42">
        <f ca="1">qry_ProdData2_PDI_Cash_Exception_Application[[#This Row],[TODAY]]-qry_ProdData2_PDI_Cash_Exception_Application[[#This Row],[CHANGED ON]]</f>
        <v>9.7429282407392748</v>
      </c>
      <c r="M2442">
        <f ca="1">qry_ProdData2_PDI_Cash_Exception_Application[[#This Row],[TODAY]]-qry_ProdData2_PDI_Cash_Exception_Application[[#This Row],[CHANGED ON]]</f>
        <v>9.7429282407392748</v>
      </c>
      <c r="N2442">
        <f ca="1">qry_ProdData2_PDI_Cash_Exception_Application[[#This Row],[TODAY]]-qry_ProdData2_PDI_Cash_Exception_Application[[#This Row],[CHANGED ON]]</f>
        <v>9.7429282407392748</v>
      </c>
    </row>
    <row r="2443" spans="1:14" x14ac:dyDescent="0.35">
      <c r="A2443">
        <v>1025</v>
      </c>
      <c r="B2443" t="s">
        <v>79</v>
      </c>
      <c r="C2443" s="1">
        <v>45188.257071759261</v>
      </c>
      <c r="D2443" t="str">
        <f ca="1">VLOOKUP(qry_ProdData2_PDI_Cash_Exception_Application[[#This Row],[TYPE]],#REF!,2,FALSE)</f>
        <v>type33</v>
      </c>
      <c r="E2443">
        <v>395.56</v>
      </c>
      <c r="F2443" t="s">
        <v>49</v>
      </c>
      <c r="G2443" s="1">
        <f>qry_ProdData2_PDI_Cash_Exception_Application[[#This Row],[INSERT DATE]]+5</f>
        <v>45193.257071759261</v>
      </c>
      <c r="H2443" t="str">
        <f>VLOOKUP(qry_ProdData2_PDI_Cash_Exception_Application[[#This Row],[MARKET No]],'Site Allocation'!$B$2:$C$37,2,FALSE)</f>
        <v>Analyst5</v>
      </c>
      <c r="I2443" s="4">
        <f t="shared" ca="1" si="38"/>
        <v>45203</v>
      </c>
      <c r="J2443" s="42">
        <f ca="1">TODAY()-qry_ProdData2_PDI_Cash_Exception_Application[[#This Row],[INSERT DATE]]</f>
        <v>14.742928240739275</v>
      </c>
      <c r="K24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43">
        <f ca="1">qry_ProdData2_PDI_Cash_Exception_Application[[#This Row],[TODAY]]-qry_ProdData2_PDI_Cash_Exception_Application[[#This Row],[CHANGED ON]]</f>
        <v>9.7429282407392748</v>
      </c>
      <c r="M2443">
        <f ca="1">qry_ProdData2_PDI_Cash_Exception_Application[[#This Row],[TODAY]]-qry_ProdData2_PDI_Cash_Exception_Application[[#This Row],[CHANGED ON]]</f>
        <v>9.7429282407392748</v>
      </c>
      <c r="N2443">
        <f ca="1">qry_ProdData2_PDI_Cash_Exception_Application[[#This Row],[TODAY]]-qry_ProdData2_PDI_Cash_Exception_Application[[#This Row],[CHANGED ON]]</f>
        <v>9.7429282407392748</v>
      </c>
    </row>
    <row r="2444" spans="1:14" x14ac:dyDescent="0.35">
      <c r="A2444">
        <v>1000</v>
      </c>
      <c r="B2444" t="s">
        <v>54</v>
      </c>
      <c r="C2444" s="1">
        <v>45189.257071759261</v>
      </c>
      <c r="D2444" t="str">
        <f ca="1">VLOOKUP(qry_ProdData2_PDI_Cash_Exception_Application[[#This Row],[TYPE]],#REF!,2,FALSE)</f>
        <v>type10</v>
      </c>
      <c r="E2444">
        <v>200</v>
      </c>
      <c r="F2444" t="s">
        <v>52</v>
      </c>
      <c r="G2444" s="1">
        <f>qry_ProdData2_PDI_Cash_Exception_Application[[#This Row],[INSERT DATE]]+5</f>
        <v>45194.257071759261</v>
      </c>
      <c r="H2444" t="str">
        <f>VLOOKUP(qry_ProdData2_PDI_Cash_Exception_Application[[#This Row],[MARKET No]],'Site Allocation'!$B$2:$C$37,2,FALSE)</f>
        <v>Analyst1</v>
      </c>
      <c r="I2444" s="4">
        <f t="shared" ca="1" si="38"/>
        <v>45203</v>
      </c>
      <c r="J2444" s="42">
        <f ca="1">TODAY()-qry_ProdData2_PDI_Cash_Exception_Application[[#This Row],[INSERT DATE]]</f>
        <v>13.742928240739275</v>
      </c>
      <c r="K24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44">
        <f ca="1">qry_ProdData2_PDI_Cash_Exception_Application[[#This Row],[TODAY]]-qry_ProdData2_PDI_Cash_Exception_Application[[#This Row],[CHANGED ON]]</f>
        <v>8.7429282407392748</v>
      </c>
      <c r="M2444">
        <f ca="1">qry_ProdData2_PDI_Cash_Exception_Application[[#This Row],[TODAY]]-qry_ProdData2_PDI_Cash_Exception_Application[[#This Row],[CHANGED ON]]</f>
        <v>8.7429282407392748</v>
      </c>
      <c r="N2444">
        <f ca="1">qry_ProdData2_PDI_Cash_Exception_Application[[#This Row],[TODAY]]-qry_ProdData2_PDI_Cash_Exception_Application[[#This Row],[CHANGED ON]]</f>
        <v>8.7429282407392748</v>
      </c>
    </row>
    <row r="2445" spans="1:14" x14ac:dyDescent="0.35">
      <c r="A2445">
        <v>1027</v>
      </c>
      <c r="B2445" t="s">
        <v>81</v>
      </c>
      <c r="C2445" s="1">
        <v>45190.257071759261</v>
      </c>
      <c r="D2445" t="str">
        <f ca="1">VLOOKUP(qry_ProdData2_PDI_Cash_Exception_Application[[#This Row],[TYPE]],#REF!,2,FALSE)</f>
        <v>type40</v>
      </c>
      <c r="E2445">
        <v>953.53</v>
      </c>
      <c r="F2445" t="s">
        <v>50</v>
      </c>
      <c r="G2445" s="1">
        <f>qry_ProdData2_PDI_Cash_Exception_Application[[#This Row],[INSERT DATE]]+5</f>
        <v>45195.257071759261</v>
      </c>
      <c r="H2445" t="str">
        <f>VLOOKUP(qry_ProdData2_PDI_Cash_Exception_Application[[#This Row],[MARKET No]],'Site Allocation'!$B$2:$C$37,2,FALSE)</f>
        <v>Analyst5</v>
      </c>
      <c r="I2445" s="4">
        <f t="shared" ca="1" si="38"/>
        <v>45203</v>
      </c>
      <c r="J2445" s="42">
        <f ca="1">TODAY()-qry_ProdData2_PDI_Cash_Exception_Application[[#This Row],[INSERT DATE]]</f>
        <v>12.742928240739275</v>
      </c>
      <c r="K24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45">
        <f ca="1">qry_ProdData2_PDI_Cash_Exception_Application[[#This Row],[TODAY]]-qry_ProdData2_PDI_Cash_Exception_Application[[#This Row],[CHANGED ON]]</f>
        <v>7.7429282407392748</v>
      </c>
      <c r="M2445">
        <f ca="1">qry_ProdData2_PDI_Cash_Exception_Application[[#This Row],[TODAY]]-qry_ProdData2_PDI_Cash_Exception_Application[[#This Row],[CHANGED ON]]</f>
        <v>7.7429282407392748</v>
      </c>
      <c r="N2445">
        <f ca="1">qry_ProdData2_PDI_Cash_Exception_Application[[#This Row],[TODAY]]-qry_ProdData2_PDI_Cash_Exception_Application[[#This Row],[CHANGED ON]]</f>
        <v>7.7429282407392748</v>
      </c>
    </row>
    <row r="2446" spans="1:14" x14ac:dyDescent="0.35">
      <c r="A2446">
        <v>1013</v>
      </c>
      <c r="B2446" t="s">
        <v>67</v>
      </c>
      <c r="C2446" s="1">
        <v>45190.257071759261</v>
      </c>
      <c r="D2446" t="str">
        <f ca="1">VLOOKUP(qry_ProdData2_PDI_Cash_Exception_Application[[#This Row],[TYPE]],#REF!,2,FALSE)</f>
        <v>type40</v>
      </c>
      <c r="E2446">
        <v>-902.79</v>
      </c>
      <c r="F2446" t="s">
        <v>51</v>
      </c>
      <c r="G2446" s="1">
        <f>qry_ProdData2_PDI_Cash_Exception_Application[[#This Row],[INSERT DATE]]+7</f>
        <v>45197.257071759261</v>
      </c>
      <c r="H2446" t="str">
        <f>VLOOKUP(qry_ProdData2_PDI_Cash_Exception_Application[[#This Row],[MARKET No]],'Site Allocation'!$B$2:$C$37,2,FALSE)</f>
        <v>Analyst3</v>
      </c>
      <c r="I2446" s="4">
        <f t="shared" ca="1" si="38"/>
        <v>45203</v>
      </c>
      <c r="J2446" s="42">
        <f ca="1">TODAY()-qry_ProdData2_PDI_Cash_Exception_Application[[#This Row],[INSERT DATE]]</f>
        <v>12.742928240739275</v>
      </c>
      <c r="K24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46">
        <f ca="1">qry_ProdData2_PDI_Cash_Exception_Application[[#This Row],[TODAY]]-qry_ProdData2_PDI_Cash_Exception_Application[[#This Row],[CHANGED ON]]</f>
        <v>5.7429282407392748</v>
      </c>
      <c r="M2446">
        <f ca="1">qry_ProdData2_PDI_Cash_Exception_Application[[#This Row],[TODAY]]-qry_ProdData2_PDI_Cash_Exception_Application[[#This Row],[CHANGED ON]]</f>
        <v>5.7429282407392748</v>
      </c>
      <c r="N2446">
        <f ca="1">qry_ProdData2_PDI_Cash_Exception_Application[[#This Row],[TODAY]]-qry_ProdData2_PDI_Cash_Exception_Application[[#This Row],[CHANGED ON]]</f>
        <v>5.7429282407392748</v>
      </c>
    </row>
    <row r="2447" spans="1:14" x14ac:dyDescent="0.35">
      <c r="A2447">
        <v>1021</v>
      </c>
      <c r="B2447" t="s">
        <v>75</v>
      </c>
      <c r="C2447" s="1">
        <v>45181.257071759261</v>
      </c>
      <c r="D2447" t="str">
        <f ca="1">VLOOKUP(qry_ProdData2_PDI_Cash_Exception_Application[[#This Row],[TYPE]],#REF!,2,FALSE)</f>
        <v>type40</v>
      </c>
      <c r="E2447">
        <v>-2035.06</v>
      </c>
      <c r="F2447" t="s">
        <v>49</v>
      </c>
      <c r="G2447" s="1">
        <f>qry_ProdData2_PDI_Cash_Exception_Application[[#This Row],[INSERT DATE]]+7</f>
        <v>45188.257071759261</v>
      </c>
      <c r="H2447" t="str">
        <f>VLOOKUP(qry_ProdData2_PDI_Cash_Exception_Application[[#This Row],[MARKET No]],'Site Allocation'!$B$2:$C$37,2,FALSE)</f>
        <v>Analyst4</v>
      </c>
      <c r="I2447" s="4">
        <f t="shared" ca="1" si="38"/>
        <v>45203</v>
      </c>
      <c r="J2447" s="42">
        <f ca="1">TODAY()-qry_ProdData2_PDI_Cash_Exception_Application[[#This Row],[INSERT DATE]]</f>
        <v>21.742928240739275</v>
      </c>
      <c r="K24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47">
        <f ca="1">qry_ProdData2_PDI_Cash_Exception_Application[[#This Row],[TODAY]]-qry_ProdData2_PDI_Cash_Exception_Application[[#This Row],[CHANGED ON]]</f>
        <v>14.742928240739275</v>
      </c>
      <c r="M2447">
        <f ca="1">qry_ProdData2_PDI_Cash_Exception_Application[[#This Row],[TODAY]]-qry_ProdData2_PDI_Cash_Exception_Application[[#This Row],[CHANGED ON]]</f>
        <v>14.742928240739275</v>
      </c>
      <c r="N2447">
        <f ca="1">qry_ProdData2_PDI_Cash_Exception_Application[[#This Row],[TODAY]]-qry_ProdData2_PDI_Cash_Exception_Application[[#This Row],[CHANGED ON]]</f>
        <v>14.742928240739275</v>
      </c>
    </row>
    <row r="2448" spans="1:14" x14ac:dyDescent="0.35">
      <c r="A2448">
        <v>1033</v>
      </c>
      <c r="B2448" t="s">
        <v>87</v>
      </c>
      <c r="C2448" s="1">
        <v>45192.257071759261</v>
      </c>
      <c r="D2448" t="str">
        <f ca="1">VLOOKUP(qry_ProdData2_PDI_Cash_Exception_Application[[#This Row],[TYPE]],#REF!,2,FALSE)</f>
        <v>type17</v>
      </c>
      <c r="E2448">
        <v>796.94</v>
      </c>
      <c r="F2448" t="s">
        <v>52</v>
      </c>
      <c r="G2448" s="1">
        <f>qry_ProdData2_PDI_Cash_Exception_Application[[#This Row],[INSERT DATE]]+5</f>
        <v>45197.257071759261</v>
      </c>
      <c r="H2448" t="str">
        <f>VLOOKUP(qry_ProdData2_PDI_Cash_Exception_Application[[#This Row],[MARKET No]],'Site Allocation'!$B$2:$C$37,2,FALSE)</f>
        <v>Analyst6</v>
      </c>
      <c r="I2448" s="4">
        <f t="shared" ca="1" si="38"/>
        <v>45203</v>
      </c>
      <c r="J2448" s="42">
        <f ca="1">TODAY()-qry_ProdData2_PDI_Cash_Exception_Application[[#This Row],[INSERT DATE]]</f>
        <v>10.742928240739275</v>
      </c>
      <c r="K24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48">
        <f ca="1">qry_ProdData2_PDI_Cash_Exception_Application[[#This Row],[TODAY]]-qry_ProdData2_PDI_Cash_Exception_Application[[#This Row],[CHANGED ON]]</f>
        <v>5.7429282407392748</v>
      </c>
      <c r="M2448">
        <f ca="1">qry_ProdData2_PDI_Cash_Exception_Application[[#This Row],[TODAY]]-qry_ProdData2_PDI_Cash_Exception_Application[[#This Row],[CHANGED ON]]</f>
        <v>5.7429282407392748</v>
      </c>
      <c r="N2448">
        <f ca="1">qry_ProdData2_PDI_Cash_Exception_Application[[#This Row],[TODAY]]-qry_ProdData2_PDI_Cash_Exception_Application[[#This Row],[CHANGED ON]]</f>
        <v>5.7429282407392748</v>
      </c>
    </row>
    <row r="2449" spans="1:14" x14ac:dyDescent="0.35">
      <c r="A2449">
        <v>1009</v>
      </c>
      <c r="B2449" t="s">
        <v>63</v>
      </c>
      <c r="C2449" s="1">
        <v>45181.257071759261</v>
      </c>
      <c r="D2449" t="str">
        <f ca="1">VLOOKUP(qry_ProdData2_PDI_Cash_Exception_Application[[#This Row],[TYPE]],#REF!,2,FALSE)</f>
        <v>type40</v>
      </c>
      <c r="E2449">
        <v>-333.51</v>
      </c>
      <c r="F2449" t="s">
        <v>47</v>
      </c>
      <c r="G2449" s="1">
        <f>qry_ProdData2_PDI_Cash_Exception_Application[[#This Row],[INSERT DATE]]+2</f>
        <v>45183.257071759261</v>
      </c>
      <c r="H2449" t="str">
        <f>VLOOKUP(qry_ProdData2_PDI_Cash_Exception_Application[[#This Row],[MARKET No]],'Site Allocation'!$B$2:$C$37,2,FALSE)</f>
        <v>Analyst2</v>
      </c>
      <c r="I2449" s="4">
        <f t="shared" ca="1" si="38"/>
        <v>45203</v>
      </c>
      <c r="J2449" s="42">
        <f ca="1">TODAY()-qry_ProdData2_PDI_Cash_Exception_Application[[#This Row],[INSERT DATE]]</f>
        <v>21.742928240739275</v>
      </c>
      <c r="K24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49">
        <f ca="1">qry_ProdData2_PDI_Cash_Exception_Application[[#This Row],[TODAY]]-qry_ProdData2_PDI_Cash_Exception_Application[[#This Row],[CHANGED ON]]</f>
        <v>19.742928240739275</v>
      </c>
      <c r="M2449">
        <f ca="1">qry_ProdData2_PDI_Cash_Exception_Application[[#This Row],[TODAY]]-qry_ProdData2_PDI_Cash_Exception_Application[[#This Row],[CHANGED ON]]</f>
        <v>19.742928240739275</v>
      </c>
      <c r="N2449">
        <f ca="1">qry_ProdData2_PDI_Cash_Exception_Application[[#This Row],[TODAY]]-qry_ProdData2_PDI_Cash_Exception_Application[[#This Row],[CHANGED ON]]</f>
        <v>19.742928240739275</v>
      </c>
    </row>
    <row r="2450" spans="1:14" x14ac:dyDescent="0.35">
      <c r="A2450">
        <v>1018</v>
      </c>
      <c r="B2450" t="s">
        <v>72</v>
      </c>
      <c r="C2450" s="1">
        <v>45190.257071759261</v>
      </c>
      <c r="D2450" t="str">
        <f ca="1">VLOOKUP(qry_ProdData2_PDI_Cash_Exception_Application[[#This Row],[TYPE]],#REF!,2,FALSE)</f>
        <v>type7</v>
      </c>
      <c r="E2450">
        <v>-1449.69</v>
      </c>
      <c r="F2450" t="s">
        <v>47</v>
      </c>
      <c r="G2450" s="1">
        <f>qry_ProdData2_PDI_Cash_Exception_Application[[#This Row],[INSERT DATE]]+2</f>
        <v>45192.257071759261</v>
      </c>
      <c r="H2450" t="str">
        <f>VLOOKUP(qry_ProdData2_PDI_Cash_Exception_Application[[#This Row],[MARKET No]],'Site Allocation'!$B$2:$C$37,2,FALSE)</f>
        <v>Analyst4</v>
      </c>
      <c r="I2450" s="4">
        <f t="shared" ca="1" si="38"/>
        <v>45203</v>
      </c>
      <c r="J2450" s="42">
        <f ca="1">TODAY()-qry_ProdData2_PDI_Cash_Exception_Application[[#This Row],[INSERT DATE]]</f>
        <v>12.742928240739275</v>
      </c>
      <c r="K24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50">
        <f ca="1">qry_ProdData2_PDI_Cash_Exception_Application[[#This Row],[TODAY]]-qry_ProdData2_PDI_Cash_Exception_Application[[#This Row],[CHANGED ON]]</f>
        <v>10.742928240739275</v>
      </c>
      <c r="M2450">
        <f ca="1">qry_ProdData2_PDI_Cash_Exception_Application[[#This Row],[TODAY]]-qry_ProdData2_PDI_Cash_Exception_Application[[#This Row],[CHANGED ON]]</f>
        <v>10.742928240739275</v>
      </c>
      <c r="N2450">
        <f ca="1">qry_ProdData2_PDI_Cash_Exception_Application[[#This Row],[TODAY]]-qry_ProdData2_PDI_Cash_Exception_Application[[#This Row],[CHANGED ON]]</f>
        <v>10.742928240739275</v>
      </c>
    </row>
    <row r="2451" spans="1:14" x14ac:dyDescent="0.35">
      <c r="A2451">
        <v>1015</v>
      </c>
      <c r="B2451" t="s">
        <v>69</v>
      </c>
      <c r="C2451" s="1">
        <v>45195.257071759261</v>
      </c>
      <c r="D2451" t="str">
        <f ca="1">VLOOKUP(qry_ProdData2_PDI_Cash_Exception_Application[[#This Row],[TYPE]],#REF!,2,FALSE)</f>
        <v>type19</v>
      </c>
      <c r="E2451">
        <v>493.53</v>
      </c>
      <c r="F2451" t="s">
        <v>50</v>
      </c>
      <c r="G2451" s="1">
        <f>qry_ProdData2_PDI_Cash_Exception_Application[[#This Row],[INSERT DATE]]+5</f>
        <v>45200.257071759261</v>
      </c>
      <c r="H2451" t="str">
        <f>VLOOKUP(qry_ProdData2_PDI_Cash_Exception_Application[[#This Row],[MARKET No]],'Site Allocation'!$B$2:$C$37,2,FALSE)</f>
        <v>Analyst3</v>
      </c>
      <c r="I2451" s="4">
        <f t="shared" ca="1" si="38"/>
        <v>45203</v>
      </c>
      <c r="J2451" s="42">
        <f ca="1">TODAY()-qry_ProdData2_PDI_Cash_Exception_Application[[#This Row],[INSERT DATE]]</f>
        <v>7.7429282407392748</v>
      </c>
      <c r="K24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451">
        <f ca="1">qry_ProdData2_PDI_Cash_Exception_Application[[#This Row],[TODAY]]-qry_ProdData2_PDI_Cash_Exception_Application[[#This Row],[CHANGED ON]]</f>
        <v>2.7429282407392748</v>
      </c>
      <c r="M2451">
        <f ca="1">qry_ProdData2_PDI_Cash_Exception_Application[[#This Row],[TODAY]]-qry_ProdData2_PDI_Cash_Exception_Application[[#This Row],[CHANGED ON]]</f>
        <v>2.7429282407392748</v>
      </c>
      <c r="N2451">
        <f ca="1">qry_ProdData2_PDI_Cash_Exception_Application[[#This Row],[TODAY]]-qry_ProdData2_PDI_Cash_Exception_Application[[#This Row],[CHANGED ON]]</f>
        <v>2.7429282407392748</v>
      </c>
    </row>
    <row r="2452" spans="1:14" x14ac:dyDescent="0.35">
      <c r="A2452">
        <v>1010</v>
      </c>
      <c r="B2452" t="s">
        <v>64</v>
      </c>
      <c r="C2452" s="1">
        <v>45188.257071759261</v>
      </c>
      <c r="D2452" t="str">
        <f ca="1">VLOOKUP(qry_ProdData2_PDI_Cash_Exception_Application[[#This Row],[TYPE]],#REF!,2,FALSE)</f>
        <v>type40</v>
      </c>
      <c r="E2452">
        <v>1014.03</v>
      </c>
      <c r="F2452" t="s">
        <v>51</v>
      </c>
      <c r="G2452" s="1">
        <f>qry_ProdData2_PDI_Cash_Exception_Application[[#This Row],[INSERT DATE]]+1</f>
        <v>45189.257071759261</v>
      </c>
      <c r="H2452" t="str">
        <f>VLOOKUP(qry_ProdData2_PDI_Cash_Exception_Application[[#This Row],[MARKET No]],'Site Allocation'!$B$2:$C$37,2,FALSE)</f>
        <v>Analyst2</v>
      </c>
      <c r="I2452" s="4">
        <f t="shared" ca="1" si="38"/>
        <v>45203</v>
      </c>
      <c r="J2452" s="42">
        <f ca="1">TODAY()-qry_ProdData2_PDI_Cash_Exception_Application[[#This Row],[INSERT DATE]]</f>
        <v>14.742928240739275</v>
      </c>
      <c r="K24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52">
        <f ca="1">qry_ProdData2_PDI_Cash_Exception_Application[[#This Row],[TODAY]]-qry_ProdData2_PDI_Cash_Exception_Application[[#This Row],[CHANGED ON]]</f>
        <v>13.742928240739275</v>
      </c>
      <c r="M2452">
        <f ca="1">qry_ProdData2_PDI_Cash_Exception_Application[[#This Row],[TODAY]]-qry_ProdData2_PDI_Cash_Exception_Application[[#This Row],[CHANGED ON]]</f>
        <v>13.742928240739275</v>
      </c>
      <c r="N2452">
        <f ca="1">qry_ProdData2_PDI_Cash_Exception_Application[[#This Row],[TODAY]]-qry_ProdData2_PDI_Cash_Exception_Application[[#This Row],[CHANGED ON]]</f>
        <v>13.742928240739275</v>
      </c>
    </row>
    <row r="2453" spans="1:14" x14ac:dyDescent="0.35">
      <c r="A2453">
        <v>1027</v>
      </c>
      <c r="B2453" t="s">
        <v>81</v>
      </c>
      <c r="C2453" s="1">
        <v>45197.257071759261</v>
      </c>
      <c r="D2453" t="str">
        <f ca="1">VLOOKUP(qry_ProdData2_PDI_Cash_Exception_Application[[#This Row],[TYPE]],#REF!,2,FALSE)</f>
        <v>type36</v>
      </c>
      <c r="E2453">
        <v>236.6</v>
      </c>
      <c r="F2453" t="s">
        <v>52</v>
      </c>
      <c r="G2453" s="1">
        <f>qry_ProdData2_PDI_Cash_Exception_Application[[#This Row],[INSERT DATE]]+7</f>
        <v>45204.257071759261</v>
      </c>
      <c r="H2453" t="str">
        <f>VLOOKUP(qry_ProdData2_PDI_Cash_Exception_Application[[#This Row],[MARKET No]],'Site Allocation'!$B$2:$C$37,2,FALSE)</f>
        <v>Analyst5</v>
      </c>
      <c r="I2453" s="4">
        <f t="shared" ca="1" si="38"/>
        <v>45203</v>
      </c>
      <c r="J2453" s="42">
        <f ca="1">TODAY()-qry_ProdData2_PDI_Cash_Exception_Application[[#This Row],[INSERT DATE]]</f>
        <v>5.7429282407392748</v>
      </c>
      <c r="K24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453">
        <f ca="1">qry_ProdData2_PDI_Cash_Exception_Application[[#This Row],[TODAY]]-qry_ProdData2_PDI_Cash_Exception_Application[[#This Row],[CHANGED ON]]</f>
        <v>-1.2570717592607252</v>
      </c>
      <c r="M2453">
        <f ca="1">qry_ProdData2_PDI_Cash_Exception_Application[[#This Row],[TODAY]]-qry_ProdData2_PDI_Cash_Exception_Application[[#This Row],[CHANGED ON]]</f>
        <v>-1.2570717592607252</v>
      </c>
      <c r="N2453">
        <f ca="1">qry_ProdData2_PDI_Cash_Exception_Application[[#This Row],[TODAY]]-qry_ProdData2_PDI_Cash_Exception_Application[[#This Row],[CHANGED ON]]</f>
        <v>-1.2570717592607252</v>
      </c>
    </row>
    <row r="2454" spans="1:14" x14ac:dyDescent="0.35">
      <c r="A2454">
        <v>1020</v>
      </c>
      <c r="B2454" t="s">
        <v>74</v>
      </c>
      <c r="C2454" s="1">
        <v>45185.257071759261</v>
      </c>
      <c r="D2454" t="str">
        <f ca="1">VLOOKUP(qry_ProdData2_PDI_Cash_Exception_Application[[#This Row],[TYPE]],#REF!,2,FALSE)</f>
        <v>type28</v>
      </c>
      <c r="E2454">
        <v>311.79000000000002</v>
      </c>
      <c r="F2454" t="s">
        <v>52</v>
      </c>
      <c r="G2454" s="1">
        <f>qry_ProdData2_PDI_Cash_Exception_Application[[#This Row],[INSERT DATE]]+7</f>
        <v>45192.257071759261</v>
      </c>
      <c r="H2454" t="str">
        <f>VLOOKUP(qry_ProdData2_PDI_Cash_Exception_Application[[#This Row],[MARKET No]],'Site Allocation'!$B$2:$C$37,2,FALSE)</f>
        <v>Analyst4</v>
      </c>
      <c r="I2454" s="4">
        <f t="shared" ca="1" si="38"/>
        <v>45203</v>
      </c>
      <c r="J2454" s="42">
        <f ca="1">TODAY()-qry_ProdData2_PDI_Cash_Exception_Application[[#This Row],[INSERT DATE]]</f>
        <v>17.742928240739275</v>
      </c>
      <c r="K24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54">
        <f ca="1">qry_ProdData2_PDI_Cash_Exception_Application[[#This Row],[TODAY]]-qry_ProdData2_PDI_Cash_Exception_Application[[#This Row],[CHANGED ON]]</f>
        <v>10.742928240739275</v>
      </c>
      <c r="M2454">
        <f ca="1">qry_ProdData2_PDI_Cash_Exception_Application[[#This Row],[TODAY]]-qry_ProdData2_PDI_Cash_Exception_Application[[#This Row],[CHANGED ON]]</f>
        <v>10.742928240739275</v>
      </c>
      <c r="N2454">
        <f ca="1">qry_ProdData2_PDI_Cash_Exception_Application[[#This Row],[TODAY]]-qry_ProdData2_PDI_Cash_Exception_Application[[#This Row],[CHANGED ON]]</f>
        <v>10.742928240739275</v>
      </c>
    </row>
    <row r="2455" spans="1:14" x14ac:dyDescent="0.35">
      <c r="A2455">
        <v>1001</v>
      </c>
      <c r="B2455" t="s">
        <v>55</v>
      </c>
      <c r="C2455" s="1">
        <v>45186.257071759261</v>
      </c>
      <c r="D2455" t="str">
        <f ca="1">VLOOKUP(qry_ProdData2_PDI_Cash_Exception_Application[[#This Row],[TYPE]],#REF!,2,FALSE)</f>
        <v>type40</v>
      </c>
      <c r="E2455">
        <v>345.24</v>
      </c>
      <c r="F2455" t="s">
        <v>50</v>
      </c>
      <c r="G2455" s="1">
        <f>qry_ProdData2_PDI_Cash_Exception_Application[[#This Row],[INSERT DATE]]+7</f>
        <v>45193.257071759261</v>
      </c>
      <c r="H2455" t="str">
        <f>VLOOKUP(qry_ProdData2_PDI_Cash_Exception_Application[[#This Row],[MARKET No]],'Site Allocation'!$B$2:$C$37,2,FALSE)</f>
        <v>Analyst1</v>
      </c>
      <c r="I2455" s="4">
        <f t="shared" ca="1" si="38"/>
        <v>45203</v>
      </c>
      <c r="J2455" s="42">
        <f ca="1">TODAY()-qry_ProdData2_PDI_Cash_Exception_Application[[#This Row],[INSERT DATE]]</f>
        <v>16.742928240739275</v>
      </c>
      <c r="K24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55">
        <f ca="1">qry_ProdData2_PDI_Cash_Exception_Application[[#This Row],[TODAY]]-qry_ProdData2_PDI_Cash_Exception_Application[[#This Row],[CHANGED ON]]</f>
        <v>9.7429282407392748</v>
      </c>
      <c r="M2455">
        <f ca="1">qry_ProdData2_PDI_Cash_Exception_Application[[#This Row],[TODAY]]-qry_ProdData2_PDI_Cash_Exception_Application[[#This Row],[CHANGED ON]]</f>
        <v>9.7429282407392748</v>
      </c>
      <c r="N2455">
        <f ca="1">qry_ProdData2_PDI_Cash_Exception_Application[[#This Row],[TODAY]]-qry_ProdData2_PDI_Cash_Exception_Application[[#This Row],[CHANGED ON]]</f>
        <v>9.7429282407392748</v>
      </c>
    </row>
    <row r="2456" spans="1:14" x14ac:dyDescent="0.35">
      <c r="A2456">
        <v>1021</v>
      </c>
      <c r="B2456" t="s">
        <v>75</v>
      </c>
      <c r="C2456" s="1">
        <v>45187.257071759261</v>
      </c>
      <c r="D2456" t="str">
        <f ca="1">VLOOKUP(qry_ProdData2_PDI_Cash_Exception_Application[[#This Row],[TYPE]],#REF!,2,FALSE)</f>
        <v>type40</v>
      </c>
      <c r="E2456">
        <v>488.91</v>
      </c>
      <c r="F2456" t="s">
        <v>50</v>
      </c>
      <c r="G2456" s="1">
        <f>qry_ProdData2_PDI_Cash_Exception_Application[[#This Row],[INSERT DATE]]+7</f>
        <v>45194.257071759261</v>
      </c>
      <c r="H2456" t="str">
        <f>VLOOKUP(qry_ProdData2_PDI_Cash_Exception_Application[[#This Row],[MARKET No]],'Site Allocation'!$B$2:$C$37,2,FALSE)</f>
        <v>Analyst4</v>
      </c>
      <c r="I2456" s="4">
        <f t="shared" ca="1" si="38"/>
        <v>45203</v>
      </c>
      <c r="J2456" s="42">
        <f ca="1">TODAY()-qry_ProdData2_PDI_Cash_Exception_Application[[#This Row],[INSERT DATE]]</f>
        <v>15.742928240739275</v>
      </c>
      <c r="K24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56">
        <f ca="1">qry_ProdData2_PDI_Cash_Exception_Application[[#This Row],[TODAY]]-qry_ProdData2_PDI_Cash_Exception_Application[[#This Row],[CHANGED ON]]</f>
        <v>8.7429282407392748</v>
      </c>
      <c r="M2456">
        <f ca="1">qry_ProdData2_PDI_Cash_Exception_Application[[#This Row],[TODAY]]-qry_ProdData2_PDI_Cash_Exception_Application[[#This Row],[CHANGED ON]]</f>
        <v>8.7429282407392748</v>
      </c>
      <c r="N2456">
        <f ca="1">qry_ProdData2_PDI_Cash_Exception_Application[[#This Row],[TODAY]]-qry_ProdData2_PDI_Cash_Exception_Application[[#This Row],[CHANGED ON]]</f>
        <v>8.7429282407392748</v>
      </c>
    </row>
    <row r="2457" spans="1:14" x14ac:dyDescent="0.35">
      <c r="A2457">
        <v>1001</v>
      </c>
      <c r="B2457" t="s">
        <v>55</v>
      </c>
      <c r="C2457" s="1">
        <v>45187.257071759261</v>
      </c>
      <c r="D2457" t="str">
        <f ca="1">VLOOKUP(qry_ProdData2_PDI_Cash_Exception_Application[[#This Row],[TYPE]],#REF!,2,FALSE)</f>
        <v>type40</v>
      </c>
      <c r="E2457">
        <v>1190.2</v>
      </c>
      <c r="F2457" t="s">
        <v>52</v>
      </c>
      <c r="G2457" s="1">
        <f>qry_ProdData2_PDI_Cash_Exception_Application[[#This Row],[INSERT DATE]]+7</f>
        <v>45194.257071759261</v>
      </c>
      <c r="H2457" t="str">
        <f>VLOOKUP(qry_ProdData2_PDI_Cash_Exception_Application[[#This Row],[MARKET No]],'Site Allocation'!$B$2:$C$37,2,FALSE)</f>
        <v>Analyst1</v>
      </c>
      <c r="I2457" s="4">
        <f t="shared" ca="1" si="38"/>
        <v>45203</v>
      </c>
      <c r="J2457" s="42">
        <f ca="1">TODAY()-qry_ProdData2_PDI_Cash_Exception_Application[[#This Row],[INSERT DATE]]</f>
        <v>15.742928240739275</v>
      </c>
      <c r="K24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57">
        <f ca="1">qry_ProdData2_PDI_Cash_Exception_Application[[#This Row],[TODAY]]-qry_ProdData2_PDI_Cash_Exception_Application[[#This Row],[CHANGED ON]]</f>
        <v>8.7429282407392748</v>
      </c>
      <c r="M2457">
        <f ca="1">qry_ProdData2_PDI_Cash_Exception_Application[[#This Row],[TODAY]]-qry_ProdData2_PDI_Cash_Exception_Application[[#This Row],[CHANGED ON]]</f>
        <v>8.7429282407392748</v>
      </c>
      <c r="N2457">
        <f ca="1">qry_ProdData2_PDI_Cash_Exception_Application[[#This Row],[TODAY]]-qry_ProdData2_PDI_Cash_Exception_Application[[#This Row],[CHANGED ON]]</f>
        <v>8.7429282407392748</v>
      </c>
    </row>
    <row r="2458" spans="1:14" x14ac:dyDescent="0.35">
      <c r="A2458">
        <v>1031</v>
      </c>
      <c r="B2458" t="s">
        <v>85</v>
      </c>
      <c r="C2458" s="1">
        <v>45185.257071759261</v>
      </c>
      <c r="D2458" t="str">
        <f ca="1">VLOOKUP(qry_ProdData2_PDI_Cash_Exception_Application[[#This Row],[TYPE]],#REF!,2,FALSE)</f>
        <v>type40</v>
      </c>
      <c r="E2458">
        <v>-668.65</v>
      </c>
      <c r="F2458" t="s">
        <v>49</v>
      </c>
      <c r="G2458" s="1">
        <f>qry_ProdData2_PDI_Cash_Exception_Application[[#This Row],[INSERT DATE]]+7</f>
        <v>45192.257071759261</v>
      </c>
      <c r="H2458" t="str">
        <f>VLOOKUP(qry_ProdData2_PDI_Cash_Exception_Application[[#This Row],[MARKET No]],'Site Allocation'!$B$2:$C$37,2,FALSE)</f>
        <v>Analyst6</v>
      </c>
      <c r="I2458" s="4">
        <f t="shared" ca="1" si="38"/>
        <v>45203</v>
      </c>
      <c r="J2458" s="42">
        <f ca="1">TODAY()-qry_ProdData2_PDI_Cash_Exception_Application[[#This Row],[INSERT DATE]]</f>
        <v>17.742928240739275</v>
      </c>
      <c r="K24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58">
        <f ca="1">qry_ProdData2_PDI_Cash_Exception_Application[[#This Row],[TODAY]]-qry_ProdData2_PDI_Cash_Exception_Application[[#This Row],[CHANGED ON]]</f>
        <v>10.742928240739275</v>
      </c>
      <c r="M2458">
        <f ca="1">qry_ProdData2_PDI_Cash_Exception_Application[[#This Row],[TODAY]]-qry_ProdData2_PDI_Cash_Exception_Application[[#This Row],[CHANGED ON]]</f>
        <v>10.742928240739275</v>
      </c>
      <c r="N2458">
        <f ca="1">qry_ProdData2_PDI_Cash_Exception_Application[[#This Row],[TODAY]]-qry_ProdData2_PDI_Cash_Exception_Application[[#This Row],[CHANGED ON]]</f>
        <v>10.742928240739275</v>
      </c>
    </row>
    <row r="2459" spans="1:14" x14ac:dyDescent="0.35">
      <c r="A2459">
        <v>1000</v>
      </c>
      <c r="B2459" t="s">
        <v>54</v>
      </c>
      <c r="C2459" s="1">
        <v>45191.257071759261</v>
      </c>
      <c r="D2459" t="str">
        <f ca="1">VLOOKUP(qry_ProdData2_PDI_Cash_Exception_Application[[#This Row],[TYPE]],#REF!,2,FALSE)</f>
        <v>type40</v>
      </c>
      <c r="E2459">
        <v>505.12</v>
      </c>
      <c r="F2459" t="s">
        <v>47</v>
      </c>
      <c r="G2459" s="1">
        <f>qry_ProdData2_PDI_Cash_Exception_Application[[#This Row],[INSERT DATE]]+5</f>
        <v>45196.257071759261</v>
      </c>
      <c r="H2459" t="str">
        <f>VLOOKUP(qry_ProdData2_PDI_Cash_Exception_Application[[#This Row],[MARKET No]],'Site Allocation'!$B$2:$C$37,2,FALSE)</f>
        <v>Analyst1</v>
      </c>
      <c r="I2459" s="4">
        <f t="shared" ca="1" si="38"/>
        <v>45203</v>
      </c>
      <c r="J2459" s="42">
        <f ca="1">TODAY()-qry_ProdData2_PDI_Cash_Exception_Application[[#This Row],[INSERT DATE]]</f>
        <v>11.742928240739275</v>
      </c>
      <c r="K24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59">
        <f ca="1">qry_ProdData2_PDI_Cash_Exception_Application[[#This Row],[TODAY]]-qry_ProdData2_PDI_Cash_Exception_Application[[#This Row],[CHANGED ON]]</f>
        <v>6.7429282407392748</v>
      </c>
      <c r="M2459">
        <f ca="1">qry_ProdData2_PDI_Cash_Exception_Application[[#This Row],[TODAY]]-qry_ProdData2_PDI_Cash_Exception_Application[[#This Row],[CHANGED ON]]</f>
        <v>6.7429282407392748</v>
      </c>
      <c r="N2459">
        <f ca="1">qry_ProdData2_PDI_Cash_Exception_Application[[#This Row],[TODAY]]-qry_ProdData2_PDI_Cash_Exception_Application[[#This Row],[CHANGED ON]]</f>
        <v>6.7429282407392748</v>
      </c>
    </row>
    <row r="2460" spans="1:14" x14ac:dyDescent="0.35">
      <c r="A2460">
        <v>1001</v>
      </c>
      <c r="B2460" t="s">
        <v>55</v>
      </c>
      <c r="C2460" s="1">
        <v>45184.257071759261</v>
      </c>
      <c r="D2460" t="str">
        <f ca="1">VLOOKUP(qry_ProdData2_PDI_Cash_Exception_Application[[#This Row],[TYPE]],#REF!,2,FALSE)</f>
        <v>type40</v>
      </c>
      <c r="E2460">
        <v>-950.79</v>
      </c>
      <c r="F2460" t="s">
        <v>48</v>
      </c>
      <c r="G2460" s="1">
        <f>qry_ProdData2_PDI_Cash_Exception_Application[[#This Row],[INSERT DATE]]+1</f>
        <v>45185.257071759261</v>
      </c>
      <c r="H2460" t="str">
        <f>VLOOKUP(qry_ProdData2_PDI_Cash_Exception_Application[[#This Row],[MARKET No]],'Site Allocation'!$B$2:$C$37,2,FALSE)</f>
        <v>Analyst1</v>
      </c>
      <c r="I2460" s="4">
        <f t="shared" ca="1" si="38"/>
        <v>45203</v>
      </c>
      <c r="J2460" s="42">
        <f ca="1">TODAY()-qry_ProdData2_PDI_Cash_Exception_Application[[#This Row],[INSERT DATE]]</f>
        <v>18.742928240739275</v>
      </c>
      <c r="K24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60">
        <f ca="1">qry_ProdData2_PDI_Cash_Exception_Application[[#This Row],[TODAY]]-qry_ProdData2_PDI_Cash_Exception_Application[[#This Row],[CHANGED ON]]</f>
        <v>17.742928240739275</v>
      </c>
      <c r="M2460">
        <f ca="1">qry_ProdData2_PDI_Cash_Exception_Application[[#This Row],[TODAY]]-qry_ProdData2_PDI_Cash_Exception_Application[[#This Row],[CHANGED ON]]</f>
        <v>17.742928240739275</v>
      </c>
      <c r="N2460">
        <f ca="1">qry_ProdData2_PDI_Cash_Exception_Application[[#This Row],[TODAY]]-qry_ProdData2_PDI_Cash_Exception_Application[[#This Row],[CHANGED ON]]</f>
        <v>17.742928240739275</v>
      </c>
    </row>
    <row r="2461" spans="1:14" x14ac:dyDescent="0.35">
      <c r="A2461">
        <v>1030</v>
      </c>
      <c r="B2461" t="s">
        <v>84</v>
      </c>
      <c r="C2461" s="1">
        <v>45189.257071759261</v>
      </c>
      <c r="D2461" t="str">
        <f ca="1">VLOOKUP(qry_ProdData2_PDI_Cash_Exception_Application[[#This Row],[TYPE]],#REF!,2,FALSE)</f>
        <v>type35</v>
      </c>
      <c r="E2461">
        <v>2780.92</v>
      </c>
      <c r="F2461" t="s">
        <v>48</v>
      </c>
      <c r="G2461" s="1">
        <f>qry_ProdData2_PDI_Cash_Exception_Application[[#This Row],[INSERT DATE]]+1</f>
        <v>45190.257071759261</v>
      </c>
      <c r="H2461" t="str">
        <f>VLOOKUP(qry_ProdData2_PDI_Cash_Exception_Application[[#This Row],[MARKET No]],'Site Allocation'!$B$2:$C$37,2,FALSE)</f>
        <v>Analyst6</v>
      </c>
      <c r="I2461" s="4">
        <f t="shared" ca="1" si="38"/>
        <v>45203</v>
      </c>
      <c r="J2461" s="42">
        <f ca="1">TODAY()-qry_ProdData2_PDI_Cash_Exception_Application[[#This Row],[INSERT DATE]]</f>
        <v>13.742928240739275</v>
      </c>
      <c r="K24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61">
        <f ca="1">qry_ProdData2_PDI_Cash_Exception_Application[[#This Row],[TODAY]]-qry_ProdData2_PDI_Cash_Exception_Application[[#This Row],[CHANGED ON]]</f>
        <v>12.742928240739275</v>
      </c>
      <c r="M2461">
        <f ca="1">qry_ProdData2_PDI_Cash_Exception_Application[[#This Row],[TODAY]]-qry_ProdData2_PDI_Cash_Exception_Application[[#This Row],[CHANGED ON]]</f>
        <v>12.742928240739275</v>
      </c>
      <c r="N2461">
        <f ca="1">qry_ProdData2_PDI_Cash_Exception_Application[[#This Row],[TODAY]]-qry_ProdData2_PDI_Cash_Exception_Application[[#This Row],[CHANGED ON]]</f>
        <v>12.742928240739275</v>
      </c>
    </row>
    <row r="2462" spans="1:14" x14ac:dyDescent="0.35">
      <c r="A2462">
        <v>1016</v>
      </c>
      <c r="B2462" t="s">
        <v>70</v>
      </c>
      <c r="C2462" s="1">
        <v>45191.257071759261</v>
      </c>
      <c r="D2462" t="str">
        <f ca="1">VLOOKUP(qry_ProdData2_PDI_Cash_Exception_Application[[#This Row],[TYPE]],#REF!,2,FALSE)</f>
        <v>type40</v>
      </c>
      <c r="E2462">
        <v>50.57</v>
      </c>
      <c r="F2462" t="s">
        <v>48</v>
      </c>
      <c r="G2462" s="1">
        <f>qry_ProdData2_PDI_Cash_Exception_Application[[#This Row],[INSERT DATE]]+1</f>
        <v>45192.257071759261</v>
      </c>
      <c r="H2462" t="str">
        <f>VLOOKUP(qry_ProdData2_PDI_Cash_Exception_Application[[#This Row],[MARKET No]],'Site Allocation'!$B$2:$C$37,2,FALSE)</f>
        <v>Analyst3</v>
      </c>
      <c r="I2462" s="4">
        <f t="shared" ca="1" si="38"/>
        <v>45203</v>
      </c>
      <c r="J2462" s="42">
        <f ca="1">TODAY()-qry_ProdData2_PDI_Cash_Exception_Application[[#This Row],[INSERT DATE]]</f>
        <v>11.742928240739275</v>
      </c>
      <c r="K24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62">
        <f ca="1">qry_ProdData2_PDI_Cash_Exception_Application[[#This Row],[TODAY]]-qry_ProdData2_PDI_Cash_Exception_Application[[#This Row],[CHANGED ON]]</f>
        <v>10.742928240739275</v>
      </c>
      <c r="M2462">
        <f ca="1">qry_ProdData2_PDI_Cash_Exception_Application[[#This Row],[TODAY]]-qry_ProdData2_PDI_Cash_Exception_Application[[#This Row],[CHANGED ON]]</f>
        <v>10.742928240739275</v>
      </c>
      <c r="N2462">
        <f ca="1">qry_ProdData2_PDI_Cash_Exception_Application[[#This Row],[TODAY]]-qry_ProdData2_PDI_Cash_Exception_Application[[#This Row],[CHANGED ON]]</f>
        <v>10.742928240739275</v>
      </c>
    </row>
    <row r="2463" spans="1:14" x14ac:dyDescent="0.35">
      <c r="A2463">
        <v>1006</v>
      </c>
      <c r="B2463" t="s">
        <v>60</v>
      </c>
      <c r="C2463" s="1">
        <v>45190.257071759261</v>
      </c>
      <c r="D2463" t="str">
        <f ca="1">VLOOKUP(qry_ProdData2_PDI_Cash_Exception_Application[[#This Row],[TYPE]],#REF!,2,FALSE)</f>
        <v>type7</v>
      </c>
      <c r="E2463">
        <v>-1732.94</v>
      </c>
      <c r="F2463" t="s">
        <v>51</v>
      </c>
      <c r="G2463" s="1">
        <f>qry_ProdData2_PDI_Cash_Exception_Application[[#This Row],[INSERT DATE]]+1</f>
        <v>45191.257071759261</v>
      </c>
      <c r="H2463" t="str">
        <f>VLOOKUP(qry_ProdData2_PDI_Cash_Exception_Application[[#This Row],[MARKET No]],'Site Allocation'!$B$2:$C$37,2,FALSE)</f>
        <v>Analyst2</v>
      </c>
      <c r="I2463" s="4">
        <f t="shared" ca="1" si="38"/>
        <v>45203</v>
      </c>
      <c r="J2463" s="42">
        <f ca="1">TODAY()-qry_ProdData2_PDI_Cash_Exception_Application[[#This Row],[INSERT DATE]]</f>
        <v>12.742928240739275</v>
      </c>
      <c r="K24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63">
        <f ca="1">qry_ProdData2_PDI_Cash_Exception_Application[[#This Row],[TODAY]]-qry_ProdData2_PDI_Cash_Exception_Application[[#This Row],[CHANGED ON]]</f>
        <v>11.742928240739275</v>
      </c>
      <c r="M2463">
        <f ca="1">qry_ProdData2_PDI_Cash_Exception_Application[[#This Row],[TODAY]]-qry_ProdData2_PDI_Cash_Exception_Application[[#This Row],[CHANGED ON]]</f>
        <v>11.742928240739275</v>
      </c>
      <c r="N2463">
        <f ca="1">qry_ProdData2_PDI_Cash_Exception_Application[[#This Row],[TODAY]]-qry_ProdData2_PDI_Cash_Exception_Application[[#This Row],[CHANGED ON]]</f>
        <v>11.742928240739275</v>
      </c>
    </row>
    <row r="2464" spans="1:14" x14ac:dyDescent="0.35">
      <c r="A2464">
        <v>1022</v>
      </c>
      <c r="B2464" t="s">
        <v>76</v>
      </c>
      <c r="C2464" s="1">
        <v>45189.257071759261</v>
      </c>
      <c r="D2464" t="str">
        <f ca="1">VLOOKUP(qry_ProdData2_PDI_Cash_Exception_Application[[#This Row],[TYPE]],#REF!,2,FALSE)</f>
        <v>type40</v>
      </c>
      <c r="E2464">
        <v>-617.61</v>
      </c>
      <c r="F2464" t="s">
        <v>48</v>
      </c>
      <c r="G2464" s="1">
        <f>qry_ProdData2_PDI_Cash_Exception_Application[[#This Row],[INSERT DATE]]+1</f>
        <v>45190.257071759261</v>
      </c>
      <c r="H2464" t="str">
        <f>VLOOKUP(qry_ProdData2_PDI_Cash_Exception_Application[[#This Row],[MARKET No]],'Site Allocation'!$B$2:$C$37,2,FALSE)</f>
        <v>Analyst4</v>
      </c>
      <c r="I2464" s="4">
        <f t="shared" ca="1" si="38"/>
        <v>45203</v>
      </c>
      <c r="J2464" s="42">
        <f ca="1">TODAY()-qry_ProdData2_PDI_Cash_Exception_Application[[#This Row],[INSERT DATE]]</f>
        <v>13.742928240739275</v>
      </c>
      <c r="K24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64">
        <f ca="1">qry_ProdData2_PDI_Cash_Exception_Application[[#This Row],[TODAY]]-qry_ProdData2_PDI_Cash_Exception_Application[[#This Row],[CHANGED ON]]</f>
        <v>12.742928240739275</v>
      </c>
      <c r="M2464">
        <f ca="1">qry_ProdData2_PDI_Cash_Exception_Application[[#This Row],[TODAY]]-qry_ProdData2_PDI_Cash_Exception_Application[[#This Row],[CHANGED ON]]</f>
        <v>12.742928240739275</v>
      </c>
      <c r="N2464">
        <f ca="1">qry_ProdData2_PDI_Cash_Exception_Application[[#This Row],[TODAY]]-qry_ProdData2_PDI_Cash_Exception_Application[[#This Row],[CHANGED ON]]</f>
        <v>12.742928240739275</v>
      </c>
    </row>
    <row r="2465" spans="1:14" x14ac:dyDescent="0.35">
      <c r="A2465">
        <v>1027</v>
      </c>
      <c r="B2465" t="s">
        <v>81</v>
      </c>
      <c r="C2465" s="1">
        <v>45188.257071759261</v>
      </c>
      <c r="D2465" t="str">
        <f ca="1">VLOOKUP(qry_ProdData2_PDI_Cash_Exception_Application[[#This Row],[TYPE]],#REF!,2,FALSE)</f>
        <v>type40</v>
      </c>
      <c r="E2465">
        <v>-3289.92</v>
      </c>
      <c r="F2465" t="s">
        <v>49</v>
      </c>
      <c r="G2465" s="1">
        <f>qry_ProdData2_PDI_Cash_Exception_Application[[#This Row],[INSERT DATE]]+1</f>
        <v>45189.257071759261</v>
      </c>
      <c r="H2465" t="str">
        <f>VLOOKUP(qry_ProdData2_PDI_Cash_Exception_Application[[#This Row],[MARKET No]],'Site Allocation'!$B$2:$C$37,2,FALSE)</f>
        <v>Analyst5</v>
      </c>
      <c r="I2465" s="4">
        <f t="shared" ca="1" si="38"/>
        <v>45203</v>
      </c>
      <c r="J2465" s="42">
        <f ca="1">TODAY()-qry_ProdData2_PDI_Cash_Exception_Application[[#This Row],[INSERT DATE]]</f>
        <v>14.742928240739275</v>
      </c>
      <c r="K24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65">
        <f ca="1">qry_ProdData2_PDI_Cash_Exception_Application[[#This Row],[TODAY]]-qry_ProdData2_PDI_Cash_Exception_Application[[#This Row],[CHANGED ON]]</f>
        <v>13.742928240739275</v>
      </c>
      <c r="M2465">
        <f ca="1">qry_ProdData2_PDI_Cash_Exception_Application[[#This Row],[TODAY]]-qry_ProdData2_PDI_Cash_Exception_Application[[#This Row],[CHANGED ON]]</f>
        <v>13.742928240739275</v>
      </c>
      <c r="N2465">
        <f ca="1">qry_ProdData2_PDI_Cash_Exception_Application[[#This Row],[TODAY]]-qry_ProdData2_PDI_Cash_Exception_Application[[#This Row],[CHANGED ON]]</f>
        <v>13.742928240739275</v>
      </c>
    </row>
    <row r="2466" spans="1:14" x14ac:dyDescent="0.35">
      <c r="A2466">
        <v>1035</v>
      </c>
      <c r="B2466" t="s">
        <v>89</v>
      </c>
      <c r="C2466" s="1">
        <v>45187.257071759261</v>
      </c>
      <c r="D2466" t="str">
        <f ca="1">VLOOKUP(qry_ProdData2_PDI_Cash_Exception_Application[[#This Row],[TYPE]],#REF!,2,FALSE)</f>
        <v>type40</v>
      </c>
      <c r="E2466">
        <v>486.48</v>
      </c>
      <c r="F2466" t="s">
        <v>47</v>
      </c>
      <c r="G2466" s="1">
        <f>qry_ProdData2_PDI_Cash_Exception_Application[[#This Row],[INSERT DATE]]+5</f>
        <v>45192.257071759261</v>
      </c>
      <c r="H2466" t="str">
        <f>VLOOKUP(qry_ProdData2_PDI_Cash_Exception_Application[[#This Row],[MARKET No]],'Site Allocation'!$B$2:$C$37,2,FALSE)</f>
        <v>Analyst6</v>
      </c>
      <c r="I2466" s="4">
        <f t="shared" ca="1" si="38"/>
        <v>45203</v>
      </c>
      <c r="J2466" s="42">
        <f ca="1">TODAY()-qry_ProdData2_PDI_Cash_Exception_Application[[#This Row],[INSERT DATE]]</f>
        <v>15.742928240739275</v>
      </c>
      <c r="K24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66">
        <f ca="1">qry_ProdData2_PDI_Cash_Exception_Application[[#This Row],[TODAY]]-qry_ProdData2_PDI_Cash_Exception_Application[[#This Row],[CHANGED ON]]</f>
        <v>10.742928240739275</v>
      </c>
      <c r="M2466">
        <f ca="1">qry_ProdData2_PDI_Cash_Exception_Application[[#This Row],[TODAY]]-qry_ProdData2_PDI_Cash_Exception_Application[[#This Row],[CHANGED ON]]</f>
        <v>10.742928240739275</v>
      </c>
      <c r="N2466">
        <f ca="1">qry_ProdData2_PDI_Cash_Exception_Application[[#This Row],[TODAY]]-qry_ProdData2_PDI_Cash_Exception_Application[[#This Row],[CHANGED ON]]</f>
        <v>10.742928240739275</v>
      </c>
    </row>
    <row r="2467" spans="1:14" x14ac:dyDescent="0.35">
      <c r="A2467">
        <v>1002</v>
      </c>
      <c r="B2467" t="s">
        <v>56</v>
      </c>
      <c r="C2467" s="1">
        <v>45189.257071759261</v>
      </c>
      <c r="D2467" t="str">
        <f ca="1">VLOOKUP(qry_ProdData2_PDI_Cash_Exception_Application[[#This Row],[TYPE]],#REF!,2,FALSE)</f>
        <v>type40</v>
      </c>
      <c r="E2467">
        <v>-1071.5899999999999</v>
      </c>
      <c r="F2467" t="s">
        <v>49</v>
      </c>
      <c r="G2467" s="1">
        <f>qry_ProdData2_PDI_Cash_Exception_Application[[#This Row],[INSERT DATE]]+1</f>
        <v>45190.257071759261</v>
      </c>
      <c r="H2467" t="str">
        <f>VLOOKUP(qry_ProdData2_PDI_Cash_Exception_Application[[#This Row],[MARKET No]],'Site Allocation'!$B$2:$C$37,2,FALSE)</f>
        <v>Analyst1</v>
      </c>
      <c r="I2467" s="4">
        <f t="shared" ca="1" si="38"/>
        <v>45203</v>
      </c>
      <c r="J2467" s="42">
        <f ca="1">TODAY()-qry_ProdData2_PDI_Cash_Exception_Application[[#This Row],[INSERT DATE]]</f>
        <v>13.742928240739275</v>
      </c>
      <c r="K24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67">
        <f ca="1">qry_ProdData2_PDI_Cash_Exception_Application[[#This Row],[TODAY]]-qry_ProdData2_PDI_Cash_Exception_Application[[#This Row],[CHANGED ON]]</f>
        <v>12.742928240739275</v>
      </c>
      <c r="M2467">
        <f ca="1">qry_ProdData2_PDI_Cash_Exception_Application[[#This Row],[TODAY]]-qry_ProdData2_PDI_Cash_Exception_Application[[#This Row],[CHANGED ON]]</f>
        <v>12.742928240739275</v>
      </c>
      <c r="N2467">
        <f ca="1">qry_ProdData2_PDI_Cash_Exception_Application[[#This Row],[TODAY]]-qry_ProdData2_PDI_Cash_Exception_Application[[#This Row],[CHANGED ON]]</f>
        <v>12.742928240739275</v>
      </c>
    </row>
    <row r="2468" spans="1:14" x14ac:dyDescent="0.35">
      <c r="A2468">
        <v>1011</v>
      </c>
      <c r="B2468" t="s">
        <v>65</v>
      </c>
      <c r="C2468" s="1">
        <v>45196.257071759261</v>
      </c>
      <c r="D2468" t="str">
        <f ca="1">VLOOKUP(qry_ProdData2_PDI_Cash_Exception_Application[[#This Row],[TYPE]],#REF!,2,FALSE)</f>
        <v>type40</v>
      </c>
      <c r="E2468">
        <v>707.41</v>
      </c>
      <c r="F2468" t="s">
        <v>52</v>
      </c>
      <c r="G2468" s="1">
        <f>qry_ProdData2_PDI_Cash_Exception_Application[[#This Row],[INSERT DATE]]+7</f>
        <v>45203.257071759261</v>
      </c>
      <c r="H2468" t="str">
        <f>VLOOKUP(qry_ProdData2_PDI_Cash_Exception_Application[[#This Row],[MARKET No]],'Site Allocation'!$B$2:$C$37,2,FALSE)</f>
        <v>Analyst2</v>
      </c>
      <c r="I2468" s="4">
        <f t="shared" ca="1" si="38"/>
        <v>45203</v>
      </c>
      <c r="J2468" s="42">
        <f ca="1">TODAY()-qry_ProdData2_PDI_Cash_Exception_Application[[#This Row],[INSERT DATE]]</f>
        <v>6.7429282407392748</v>
      </c>
      <c r="K24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468">
        <f ca="1">qry_ProdData2_PDI_Cash_Exception_Application[[#This Row],[TODAY]]-qry_ProdData2_PDI_Cash_Exception_Application[[#This Row],[CHANGED ON]]</f>
        <v>-0.25707175926072523</v>
      </c>
      <c r="M2468">
        <f ca="1">qry_ProdData2_PDI_Cash_Exception_Application[[#This Row],[TODAY]]-qry_ProdData2_PDI_Cash_Exception_Application[[#This Row],[CHANGED ON]]</f>
        <v>-0.25707175926072523</v>
      </c>
      <c r="N2468">
        <f ca="1">qry_ProdData2_PDI_Cash_Exception_Application[[#This Row],[TODAY]]-qry_ProdData2_PDI_Cash_Exception_Application[[#This Row],[CHANGED ON]]</f>
        <v>-0.25707175926072523</v>
      </c>
    </row>
    <row r="2469" spans="1:14" x14ac:dyDescent="0.35">
      <c r="A2469">
        <v>1024</v>
      </c>
      <c r="B2469" t="s">
        <v>78</v>
      </c>
      <c r="C2469" s="1">
        <v>45180.257071759261</v>
      </c>
      <c r="D2469" t="str">
        <f ca="1">VLOOKUP(qry_ProdData2_PDI_Cash_Exception_Application[[#This Row],[TYPE]],#REF!,2,FALSE)</f>
        <v>type15</v>
      </c>
      <c r="E2469">
        <v>-8378.0499999999993</v>
      </c>
      <c r="F2469" t="s">
        <v>47</v>
      </c>
      <c r="G2469" s="1">
        <f>qry_ProdData2_PDI_Cash_Exception_Application[[#This Row],[INSERT DATE]]+1</f>
        <v>45181.257071759261</v>
      </c>
      <c r="H2469" t="str">
        <f>VLOOKUP(qry_ProdData2_PDI_Cash_Exception_Application[[#This Row],[MARKET No]],'Site Allocation'!$B$2:$C$37,2,FALSE)</f>
        <v>Analyst5</v>
      </c>
      <c r="I2469" s="4">
        <f t="shared" ca="1" si="38"/>
        <v>45203</v>
      </c>
      <c r="J2469" s="42">
        <f ca="1">TODAY()-qry_ProdData2_PDI_Cash_Exception_Application[[#This Row],[INSERT DATE]]</f>
        <v>22.742928240739275</v>
      </c>
      <c r="K24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69">
        <f ca="1">qry_ProdData2_PDI_Cash_Exception_Application[[#This Row],[TODAY]]-qry_ProdData2_PDI_Cash_Exception_Application[[#This Row],[CHANGED ON]]</f>
        <v>21.742928240739275</v>
      </c>
      <c r="M2469">
        <f ca="1">qry_ProdData2_PDI_Cash_Exception_Application[[#This Row],[TODAY]]-qry_ProdData2_PDI_Cash_Exception_Application[[#This Row],[CHANGED ON]]</f>
        <v>21.742928240739275</v>
      </c>
      <c r="N2469">
        <f ca="1">qry_ProdData2_PDI_Cash_Exception_Application[[#This Row],[TODAY]]-qry_ProdData2_PDI_Cash_Exception_Application[[#This Row],[CHANGED ON]]</f>
        <v>21.742928240739275</v>
      </c>
    </row>
    <row r="2470" spans="1:14" x14ac:dyDescent="0.35">
      <c r="A2470">
        <v>1001</v>
      </c>
      <c r="B2470" t="s">
        <v>55</v>
      </c>
      <c r="C2470" s="1">
        <v>45191.257071759261</v>
      </c>
      <c r="D2470" t="str">
        <f ca="1">VLOOKUP(qry_ProdData2_PDI_Cash_Exception_Application[[#This Row],[TYPE]],#REF!,2,FALSE)</f>
        <v>type40</v>
      </c>
      <c r="E2470">
        <v>-787.72</v>
      </c>
      <c r="F2470" t="s">
        <v>49</v>
      </c>
      <c r="G2470" s="1">
        <f>qry_ProdData2_PDI_Cash_Exception_Application[[#This Row],[INSERT DATE]]+1</f>
        <v>45192.257071759261</v>
      </c>
      <c r="H2470" t="str">
        <f>VLOOKUP(qry_ProdData2_PDI_Cash_Exception_Application[[#This Row],[MARKET No]],'Site Allocation'!$B$2:$C$37,2,FALSE)</f>
        <v>Analyst1</v>
      </c>
      <c r="I2470" s="4">
        <f t="shared" ca="1" si="38"/>
        <v>45203</v>
      </c>
      <c r="J2470" s="42">
        <f ca="1">TODAY()-qry_ProdData2_PDI_Cash_Exception_Application[[#This Row],[INSERT DATE]]</f>
        <v>11.742928240739275</v>
      </c>
      <c r="K24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70">
        <f ca="1">qry_ProdData2_PDI_Cash_Exception_Application[[#This Row],[TODAY]]-qry_ProdData2_PDI_Cash_Exception_Application[[#This Row],[CHANGED ON]]</f>
        <v>10.742928240739275</v>
      </c>
      <c r="M2470">
        <f ca="1">qry_ProdData2_PDI_Cash_Exception_Application[[#This Row],[TODAY]]-qry_ProdData2_PDI_Cash_Exception_Application[[#This Row],[CHANGED ON]]</f>
        <v>10.742928240739275</v>
      </c>
      <c r="N2470">
        <f ca="1">qry_ProdData2_PDI_Cash_Exception_Application[[#This Row],[TODAY]]-qry_ProdData2_PDI_Cash_Exception_Application[[#This Row],[CHANGED ON]]</f>
        <v>10.742928240739275</v>
      </c>
    </row>
    <row r="2471" spans="1:14" x14ac:dyDescent="0.35">
      <c r="A2471">
        <v>1023</v>
      </c>
      <c r="B2471" t="s">
        <v>77</v>
      </c>
      <c r="C2471" s="1">
        <v>45184.257071759261</v>
      </c>
      <c r="D2471" t="str">
        <f ca="1">VLOOKUP(qry_ProdData2_PDI_Cash_Exception_Application[[#This Row],[TYPE]],#REF!,2,FALSE)</f>
        <v>type40</v>
      </c>
      <c r="E2471">
        <v>-1805.33</v>
      </c>
      <c r="F2471" t="s">
        <v>49</v>
      </c>
      <c r="G2471" s="1">
        <f>qry_ProdData2_PDI_Cash_Exception_Application[[#This Row],[INSERT DATE]]+2</f>
        <v>45186.257071759261</v>
      </c>
      <c r="H2471" t="str">
        <f>VLOOKUP(qry_ProdData2_PDI_Cash_Exception_Application[[#This Row],[MARKET No]],'Site Allocation'!$B$2:$C$37,2,FALSE)</f>
        <v>Analyst4</v>
      </c>
      <c r="I2471" s="4">
        <f t="shared" ca="1" si="38"/>
        <v>45203</v>
      </c>
      <c r="J2471" s="42">
        <f ca="1">TODAY()-qry_ProdData2_PDI_Cash_Exception_Application[[#This Row],[INSERT DATE]]</f>
        <v>18.742928240739275</v>
      </c>
      <c r="K24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71">
        <f ca="1">qry_ProdData2_PDI_Cash_Exception_Application[[#This Row],[TODAY]]-qry_ProdData2_PDI_Cash_Exception_Application[[#This Row],[CHANGED ON]]</f>
        <v>16.742928240739275</v>
      </c>
      <c r="M2471">
        <f ca="1">qry_ProdData2_PDI_Cash_Exception_Application[[#This Row],[TODAY]]-qry_ProdData2_PDI_Cash_Exception_Application[[#This Row],[CHANGED ON]]</f>
        <v>16.742928240739275</v>
      </c>
      <c r="N2471">
        <f ca="1">qry_ProdData2_PDI_Cash_Exception_Application[[#This Row],[TODAY]]-qry_ProdData2_PDI_Cash_Exception_Application[[#This Row],[CHANGED ON]]</f>
        <v>16.742928240739275</v>
      </c>
    </row>
    <row r="2472" spans="1:14" x14ac:dyDescent="0.35">
      <c r="A2472">
        <v>1024</v>
      </c>
      <c r="B2472" t="s">
        <v>78</v>
      </c>
      <c r="C2472" s="1">
        <v>45190.257071759261</v>
      </c>
      <c r="D2472" t="str">
        <f ca="1">VLOOKUP(qry_ProdData2_PDI_Cash_Exception_Application[[#This Row],[TYPE]],#REF!,2,FALSE)</f>
        <v>type40</v>
      </c>
      <c r="E2472">
        <v>2369.4299999999998</v>
      </c>
      <c r="F2472" t="s">
        <v>48</v>
      </c>
      <c r="G2472" s="1">
        <f>qry_ProdData2_PDI_Cash_Exception_Application[[#This Row],[INSERT DATE]]+1</f>
        <v>45191.257071759261</v>
      </c>
      <c r="H2472" t="str">
        <f>VLOOKUP(qry_ProdData2_PDI_Cash_Exception_Application[[#This Row],[MARKET No]],'Site Allocation'!$B$2:$C$37,2,FALSE)</f>
        <v>Analyst5</v>
      </c>
      <c r="I2472" s="4">
        <f t="shared" ca="1" si="38"/>
        <v>45203</v>
      </c>
      <c r="J2472" s="42">
        <f ca="1">TODAY()-qry_ProdData2_PDI_Cash_Exception_Application[[#This Row],[INSERT DATE]]</f>
        <v>12.742928240739275</v>
      </c>
      <c r="K24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72">
        <f ca="1">qry_ProdData2_PDI_Cash_Exception_Application[[#This Row],[TODAY]]-qry_ProdData2_PDI_Cash_Exception_Application[[#This Row],[CHANGED ON]]</f>
        <v>11.742928240739275</v>
      </c>
      <c r="M2472">
        <f ca="1">qry_ProdData2_PDI_Cash_Exception_Application[[#This Row],[TODAY]]-qry_ProdData2_PDI_Cash_Exception_Application[[#This Row],[CHANGED ON]]</f>
        <v>11.742928240739275</v>
      </c>
      <c r="N2472">
        <f ca="1">qry_ProdData2_PDI_Cash_Exception_Application[[#This Row],[TODAY]]-qry_ProdData2_PDI_Cash_Exception_Application[[#This Row],[CHANGED ON]]</f>
        <v>11.742928240739275</v>
      </c>
    </row>
    <row r="2473" spans="1:14" x14ac:dyDescent="0.35">
      <c r="A2473">
        <v>1021</v>
      </c>
      <c r="B2473" t="s">
        <v>75</v>
      </c>
      <c r="C2473" s="1">
        <v>45181.257071759261</v>
      </c>
      <c r="D2473" t="str">
        <f ca="1">VLOOKUP(qry_ProdData2_PDI_Cash_Exception_Application[[#This Row],[TYPE]],#REF!,2,FALSE)</f>
        <v>type40</v>
      </c>
      <c r="E2473">
        <v>2453.7399999999998</v>
      </c>
      <c r="F2473" t="s">
        <v>51</v>
      </c>
      <c r="G2473" s="1">
        <f>qry_ProdData2_PDI_Cash_Exception_Application[[#This Row],[INSERT DATE]]+2</f>
        <v>45183.257071759261</v>
      </c>
      <c r="H2473" t="str">
        <f>VLOOKUP(qry_ProdData2_PDI_Cash_Exception_Application[[#This Row],[MARKET No]],'Site Allocation'!$B$2:$C$37,2,FALSE)</f>
        <v>Analyst4</v>
      </c>
      <c r="I2473" s="4">
        <f t="shared" ca="1" si="38"/>
        <v>45203</v>
      </c>
      <c r="J2473" s="42">
        <f ca="1">TODAY()-qry_ProdData2_PDI_Cash_Exception_Application[[#This Row],[INSERT DATE]]</f>
        <v>21.742928240739275</v>
      </c>
      <c r="K24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73">
        <f ca="1">qry_ProdData2_PDI_Cash_Exception_Application[[#This Row],[TODAY]]-qry_ProdData2_PDI_Cash_Exception_Application[[#This Row],[CHANGED ON]]</f>
        <v>19.742928240739275</v>
      </c>
      <c r="M2473">
        <f ca="1">qry_ProdData2_PDI_Cash_Exception_Application[[#This Row],[TODAY]]-qry_ProdData2_PDI_Cash_Exception_Application[[#This Row],[CHANGED ON]]</f>
        <v>19.742928240739275</v>
      </c>
      <c r="N2473">
        <f ca="1">qry_ProdData2_PDI_Cash_Exception_Application[[#This Row],[TODAY]]-qry_ProdData2_PDI_Cash_Exception_Application[[#This Row],[CHANGED ON]]</f>
        <v>19.742928240739275</v>
      </c>
    </row>
    <row r="2474" spans="1:14" x14ac:dyDescent="0.35">
      <c r="A2474">
        <v>1024</v>
      </c>
      <c r="B2474" t="s">
        <v>78</v>
      </c>
      <c r="C2474" s="1">
        <v>45182.257071759261</v>
      </c>
      <c r="D2474" t="str">
        <f ca="1">VLOOKUP(qry_ProdData2_PDI_Cash_Exception_Application[[#This Row],[TYPE]],#REF!,2,FALSE)</f>
        <v>type29</v>
      </c>
      <c r="E2474">
        <v>648955.57999999996</v>
      </c>
      <c r="F2474" t="s">
        <v>52</v>
      </c>
      <c r="G2474" s="1">
        <f>qry_ProdData2_PDI_Cash_Exception_Application[[#This Row],[INSERT DATE]]+1</f>
        <v>45183.257071759261</v>
      </c>
      <c r="H2474" t="str">
        <f>VLOOKUP(qry_ProdData2_PDI_Cash_Exception_Application[[#This Row],[MARKET No]],'Site Allocation'!$B$2:$C$37,2,FALSE)</f>
        <v>Analyst5</v>
      </c>
      <c r="I2474" s="4">
        <f t="shared" ca="1" si="38"/>
        <v>45203</v>
      </c>
      <c r="J2474" s="42">
        <f ca="1">TODAY()-qry_ProdData2_PDI_Cash_Exception_Application[[#This Row],[INSERT DATE]]</f>
        <v>20.742928240739275</v>
      </c>
      <c r="K24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74">
        <f ca="1">qry_ProdData2_PDI_Cash_Exception_Application[[#This Row],[TODAY]]-qry_ProdData2_PDI_Cash_Exception_Application[[#This Row],[CHANGED ON]]</f>
        <v>19.742928240739275</v>
      </c>
      <c r="M2474">
        <f ca="1">qry_ProdData2_PDI_Cash_Exception_Application[[#This Row],[TODAY]]-qry_ProdData2_PDI_Cash_Exception_Application[[#This Row],[CHANGED ON]]</f>
        <v>19.742928240739275</v>
      </c>
      <c r="N2474">
        <f ca="1">qry_ProdData2_PDI_Cash_Exception_Application[[#This Row],[TODAY]]-qry_ProdData2_PDI_Cash_Exception_Application[[#This Row],[CHANGED ON]]</f>
        <v>19.742928240739275</v>
      </c>
    </row>
    <row r="2475" spans="1:14" x14ac:dyDescent="0.35">
      <c r="A2475">
        <v>1006</v>
      </c>
      <c r="B2475" t="s">
        <v>60</v>
      </c>
      <c r="C2475" s="1">
        <v>45190.257071759261</v>
      </c>
      <c r="D2475" t="str">
        <f ca="1">VLOOKUP(qry_ProdData2_PDI_Cash_Exception_Application[[#This Row],[TYPE]],#REF!,2,FALSE)</f>
        <v>type40</v>
      </c>
      <c r="E2475">
        <v>-472.45</v>
      </c>
      <c r="F2475" t="s">
        <v>48</v>
      </c>
      <c r="G2475" s="1">
        <f>qry_ProdData2_PDI_Cash_Exception_Application[[#This Row],[INSERT DATE]]+1</f>
        <v>45191.257071759261</v>
      </c>
      <c r="H2475" t="str">
        <f>VLOOKUP(qry_ProdData2_PDI_Cash_Exception_Application[[#This Row],[MARKET No]],'Site Allocation'!$B$2:$C$37,2,FALSE)</f>
        <v>Analyst2</v>
      </c>
      <c r="I2475" s="4">
        <f t="shared" ca="1" si="38"/>
        <v>45203</v>
      </c>
      <c r="J2475" s="42">
        <f ca="1">TODAY()-qry_ProdData2_PDI_Cash_Exception_Application[[#This Row],[INSERT DATE]]</f>
        <v>12.742928240739275</v>
      </c>
      <c r="K24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75">
        <f ca="1">qry_ProdData2_PDI_Cash_Exception_Application[[#This Row],[TODAY]]-qry_ProdData2_PDI_Cash_Exception_Application[[#This Row],[CHANGED ON]]</f>
        <v>11.742928240739275</v>
      </c>
      <c r="M2475">
        <f ca="1">qry_ProdData2_PDI_Cash_Exception_Application[[#This Row],[TODAY]]-qry_ProdData2_PDI_Cash_Exception_Application[[#This Row],[CHANGED ON]]</f>
        <v>11.742928240739275</v>
      </c>
      <c r="N2475">
        <f ca="1">qry_ProdData2_PDI_Cash_Exception_Application[[#This Row],[TODAY]]-qry_ProdData2_PDI_Cash_Exception_Application[[#This Row],[CHANGED ON]]</f>
        <v>11.742928240739275</v>
      </c>
    </row>
    <row r="2476" spans="1:14" x14ac:dyDescent="0.35">
      <c r="A2476">
        <v>1020</v>
      </c>
      <c r="B2476" t="s">
        <v>74</v>
      </c>
      <c r="C2476" s="1">
        <v>45183.257071759261</v>
      </c>
      <c r="D2476" t="str">
        <f ca="1">VLOOKUP(qry_ProdData2_PDI_Cash_Exception_Application[[#This Row],[TYPE]],#REF!,2,FALSE)</f>
        <v>type40</v>
      </c>
      <c r="E2476">
        <v>20</v>
      </c>
      <c r="F2476" t="s">
        <v>52</v>
      </c>
      <c r="G2476" s="1">
        <f>qry_ProdData2_PDI_Cash_Exception_Application[[#This Row],[INSERT DATE]]+1</f>
        <v>45184.257071759261</v>
      </c>
      <c r="H2476" t="str">
        <f>VLOOKUP(qry_ProdData2_PDI_Cash_Exception_Application[[#This Row],[MARKET No]],'Site Allocation'!$B$2:$C$37,2,FALSE)</f>
        <v>Analyst4</v>
      </c>
      <c r="I2476" s="4">
        <f t="shared" ca="1" si="38"/>
        <v>45203</v>
      </c>
      <c r="J2476" s="42">
        <f ca="1">TODAY()-qry_ProdData2_PDI_Cash_Exception_Application[[#This Row],[INSERT DATE]]</f>
        <v>19.742928240739275</v>
      </c>
      <c r="K24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76">
        <f ca="1">qry_ProdData2_PDI_Cash_Exception_Application[[#This Row],[TODAY]]-qry_ProdData2_PDI_Cash_Exception_Application[[#This Row],[CHANGED ON]]</f>
        <v>18.742928240739275</v>
      </c>
      <c r="M2476">
        <f ca="1">qry_ProdData2_PDI_Cash_Exception_Application[[#This Row],[TODAY]]-qry_ProdData2_PDI_Cash_Exception_Application[[#This Row],[CHANGED ON]]</f>
        <v>18.742928240739275</v>
      </c>
      <c r="N2476">
        <f ca="1">qry_ProdData2_PDI_Cash_Exception_Application[[#This Row],[TODAY]]-qry_ProdData2_PDI_Cash_Exception_Application[[#This Row],[CHANGED ON]]</f>
        <v>18.742928240739275</v>
      </c>
    </row>
    <row r="2477" spans="1:14" x14ac:dyDescent="0.35">
      <c r="A2477">
        <v>1002</v>
      </c>
      <c r="B2477" t="s">
        <v>56</v>
      </c>
      <c r="C2477" s="1">
        <v>45182.257071759261</v>
      </c>
      <c r="D2477" t="str">
        <f ca="1">VLOOKUP(qry_ProdData2_PDI_Cash_Exception_Application[[#This Row],[TYPE]],#REF!,2,FALSE)</f>
        <v>type7</v>
      </c>
      <c r="E2477">
        <v>-1598.83</v>
      </c>
      <c r="F2477" t="s">
        <v>47</v>
      </c>
      <c r="G2477" s="1">
        <f>qry_ProdData2_PDI_Cash_Exception_Application[[#This Row],[INSERT DATE]]+1</f>
        <v>45183.257071759261</v>
      </c>
      <c r="H2477" t="str">
        <f>VLOOKUP(qry_ProdData2_PDI_Cash_Exception_Application[[#This Row],[MARKET No]],'Site Allocation'!$B$2:$C$37,2,FALSE)</f>
        <v>Analyst1</v>
      </c>
      <c r="I2477" s="4">
        <f t="shared" ca="1" si="38"/>
        <v>45203</v>
      </c>
      <c r="J2477" s="42">
        <f ca="1">TODAY()-qry_ProdData2_PDI_Cash_Exception_Application[[#This Row],[INSERT DATE]]</f>
        <v>20.742928240739275</v>
      </c>
      <c r="K24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77">
        <f ca="1">qry_ProdData2_PDI_Cash_Exception_Application[[#This Row],[TODAY]]-qry_ProdData2_PDI_Cash_Exception_Application[[#This Row],[CHANGED ON]]</f>
        <v>19.742928240739275</v>
      </c>
      <c r="M2477">
        <f ca="1">qry_ProdData2_PDI_Cash_Exception_Application[[#This Row],[TODAY]]-qry_ProdData2_PDI_Cash_Exception_Application[[#This Row],[CHANGED ON]]</f>
        <v>19.742928240739275</v>
      </c>
      <c r="N2477">
        <f ca="1">qry_ProdData2_PDI_Cash_Exception_Application[[#This Row],[TODAY]]-qry_ProdData2_PDI_Cash_Exception_Application[[#This Row],[CHANGED ON]]</f>
        <v>19.742928240739275</v>
      </c>
    </row>
    <row r="2478" spans="1:14" x14ac:dyDescent="0.35">
      <c r="A2478">
        <v>1020</v>
      </c>
      <c r="B2478" t="s">
        <v>74</v>
      </c>
      <c r="C2478" s="1">
        <v>45192.257071759261</v>
      </c>
      <c r="D2478" t="str">
        <f ca="1">VLOOKUP(qry_ProdData2_PDI_Cash_Exception_Application[[#This Row],[TYPE]],#REF!,2,FALSE)</f>
        <v>type40</v>
      </c>
      <c r="E2478">
        <v>-34693.279999999999</v>
      </c>
      <c r="F2478" t="s">
        <v>48</v>
      </c>
      <c r="G2478" s="1">
        <f>qry_ProdData2_PDI_Cash_Exception_Application[[#This Row],[INSERT DATE]]+2</f>
        <v>45194.257071759261</v>
      </c>
      <c r="H2478" t="str">
        <f>VLOOKUP(qry_ProdData2_PDI_Cash_Exception_Application[[#This Row],[MARKET No]],'Site Allocation'!$B$2:$C$37,2,FALSE)</f>
        <v>Analyst4</v>
      </c>
      <c r="I2478" s="4">
        <f t="shared" ca="1" si="38"/>
        <v>45203</v>
      </c>
      <c r="J2478" s="42">
        <f ca="1">TODAY()-qry_ProdData2_PDI_Cash_Exception_Application[[#This Row],[INSERT DATE]]</f>
        <v>10.742928240739275</v>
      </c>
      <c r="K24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78">
        <f ca="1">qry_ProdData2_PDI_Cash_Exception_Application[[#This Row],[TODAY]]-qry_ProdData2_PDI_Cash_Exception_Application[[#This Row],[CHANGED ON]]</f>
        <v>8.7429282407392748</v>
      </c>
      <c r="M2478">
        <f ca="1">qry_ProdData2_PDI_Cash_Exception_Application[[#This Row],[TODAY]]-qry_ProdData2_PDI_Cash_Exception_Application[[#This Row],[CHANGED ON]]</f>
        <v>8.7429282407392748</v>
      </c>
      <c r="N2478">
        <f ca="1">qry_ProdData2_PDI_Cash_Exception_Application[[#This Row],[TODAY]]-qry_ProdData2_PDI_Cash_Exception_Application[[#This Row],[CHANGED ON]]</f>
        <v>8.7429282407392748</v>
      </c>
    </row>
    <row r="2479" spans="1:14" x14ac:dyDescent="0.35">
      <c r="A2479">
        <v>1023</v>
      </c>
      <c r="B2479" t="s">
        <v>77</v>
      </c>
      <c r="C2479" s="1">
        <v>45191.257071759261</v>
      </c>
      <c r="D2479" t="str">
        <f ca="1">VLOOKUP(qry_ProdData2_PDI_Cash_Exception_Application[[#This Row],[TYPE]],#REF!,2,FALSE)</f>
        <v>type13</v>
      </c>
      <c r="E2479">
        <v>28588.39</v>
      </c>
      <c r="F2479" t="s">
        <v>47</v>
      </c>
      <c r="G2479" s="1">
        <f>qry_ProdData2_PDI_Cash_Exception_Application[[#This Row],[INSERT DATE]]+2</f>
        <v>45193.257071759261</v>
      </c>
      <c r="H2479" t="str">
        <f>VLOOKUP(qry_ProdData2_PDI_Cash_Exception_Application[[#This Row],[MARKET No]],'Site Allocation'!$B$2:$C$37,2,FALSE)</f>
        <v>Analyst4</v>
      </c>
      <c r="I2479" s="4">
        <f t="shared" ca="1" si="38"/>
        <v>45203</v>
      </c>
      <c r="J2479" s="42">
        <f ca="1">TODAY()-qry_ProdData2_PDI_Cash_Exception_Application[[#This Row],[INSERT DATE]]</f>
        <v>11.742928240739275</v>
      </c>
      <c r="K24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79">
        <f ca="1">qry_ProdData2_PDI_Cash_Exception_Application[[#This Row],[TODAY]]-qry_ProdData2_PDI_Cash_Exception_Application[[#This Row],[CHANGED ON]]</f>
        <v>9.7429282407392748</v>
      </c>
      <c r="M2479">
        <f ca="1">qry_ProdData2_PDI_Cash_Exception_Application[[#This Row],[TODAY]]-qry_ProdData2_PDI_Cash_Exception_Application[[#This Row],[CHANGED ON]]</f>
        <v>9.7429282407392748</v>
      </c>
      <c r="N2479">
        <f ca="1">qry_ProdData2_PDI_Cash_Exception_Application[[#This Row],[TODAY]]-qry_ProdData2_PDI_Cash_Exception_Application[[#This Row],[CHANGED ON]]</f>
        <v>9.7429282407392748</v>
      </c>
    </row>
    <row r="2480" spans="1:14" x14ac:dyDescent="0.35">
      <c r="A2480">
        <v>1007</v>
      </c>
      <c r="B2480" t="s">
        <v>61</v>
      </c>
      <c r="C2480" s="1">
        <v>45184.257071759261</v>
      </c>
      <c r="D2480" t="str">
        <f ca="1">VLOOKUP(qry_ProdData2_PDI_Cash_Exception_Application[[#This Row],[TYPE]],#REF!,2,FALSE)</f>
        <v>type40</v>
      </c>
      <c r="E2480">
        <v>788.1</v>
      </c>
      <c r="F2480" t="s">
        <v>51</v>
      </c>
      <c r="G2480" s="1">
        <f>qry_ProdData2_PDI_Cash_Exception_Application[[#This Row],[INSERT DATE]]+2</f>
        <v>45186.257071759261</v>
      </c>
      <c r="H2480" t="str">
        <f>VLOOKUP(qry_ProdData2_PDI_Cash_Exception_Application[[#This Row],[MARKET No]],'Site Allocation'!$B$2:$C$37,2,FALSE)</f>
        <v>Analyst2</v>
      </c>
      <c r="I2480" s="4">
        <f t="shared" ca="1" si="38"/>
        <v>45203</v>
      </c>
      <c r="J2480" s="42">
        <f ca="1">TODAY()-qry_ProdData2_PDI_Cash_Exception_Application[[#This Row],[INSERT DATE]]</f>
        <v>18.742928240739275</v>
      </c>
      <c r="K24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80">
        <f ca="1">qry_ProdData2_PDI_Cash_Exception_Application[[#This Row],[TODAY]]-qry_ProdData2_PDI_Cash_Exception_Application[[#This Row],[CHANGED ON]]</f>
        <v>16.742928240739275</v>
      </c>
      <c r="M2480">
        <f ca="1">qry_ProdData2_PDI_Cash_Exception_Application[[#This Row],[TODAY]]-qry_ProdData2_PDI_Cash_Exception_Application[[#This Row],[CHANGED ON]]</f>
        <v>16.742928240739275</v>
      </c>
      <c r="N2480">
        <f ca="1">qry_ProdData2_PDI_Cash_Exception_Application[[#This Row],[TODAY]]-qry_ProdData2_PDI_Cash_Exception_Application[[#This Row],[CHANGED ON]]</f>
        <v>16.742928240739275</v>
      </c>
    </row>
    <row r="2481" spans="1:14" x14ac:dyDescent="0.35">
      <c r="A2481">
        <v>1005</v>
      </c>
      <c r="B2481" t="s">
        <v>59</v>
      </c>
      <c r="C2481" s="1">
        <v>45182.257071759261</v>
      </c>
      <c r="D2481" t="str">
        <f ca="1">VLOOKUP(qry_ProdData2_PDI_Cash_Exception_Application[[#This Row],[TYPE]],#REF!,2,FALSE)</f>
        <v>type40</v>
      </c>
      <c r="E2481">
        <v>-574.41999999999996</v>
      </c>
      <c r="F2481" t="s">
        <v>48</v>
      </c>
      <c r="G2481" s="1">
        <f>qry_ProdData2_PDI_Cash_Exception_Application[[#This Row],[INSERT DATE]]+2</f>
        <v>45184.257071759261</v>
      </c>
      <c r="H2481" t="str">
        <f>VLOOKUP(qry_ProdData2_PDI_Cash_Exception_Application[[#This Row],[MARKET No]],'Site Allocation'!$B$2:$C$37,2,FALSE)</f>
        <v>Analyst1</v>
      </c>
      <c r="I2481" s="4">
        <f t="shared" ca="1" si="38"/>
        <v>45203</v>
      </c>
      <c r="J2481" s="42">
        <f ca="1">TODAY()-qry_ProdData2_PDI_Cash_Exception_Application[[#This Row],[INSERT DATE]]</f>
        <v>20.742928240739275</v>
      </c>
      <c r="K24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81">
        <f ca="1">qry_ProdData2_PDI_Cash_Exception_Application[[#This Row],[TODAY]]-qry_ProdData2_PDI_Cash_Exception_Application[[#This Row],[CHANGED ON]]</f>
        <v>18.742928240739275</v>
      </c>
      <c r="M2481">
        <f ca="1">qry_ProdData2_PDI_Cash_Exception_Application[[#This Row],[TODAY]]-qry_ProdData2_PDI_Cash_Exception_Application[[#This Row],[CHANGED ON]]</f>
        <v>18.742928240739275</v>
      </c>
      <c r="N2481">
        <f ca="1">qry_ProdData2_PDI_Cash_Exception_Application[[#This Row],[TODAY]]-qry_ProdData2_PDI_Cash_Exception_Application[[#This Row],[CHANGED ON]]</f>
        <v>18.742928240739275</v>
      </c>
    </row>
    <row r="2482" spans="1:14" x14ac:dyDescent="0.35">
      <c r="A2482">
        <v>1026</v>
      </c>
      <c r="B2482" t="s">
        <v>80</v>
      </c>
      <c r="C2482" s="1">
        <v>45186.257071759261</v>
      </c>
      <c r="D2482" t="str">
        <f ca="1">VLOOKUP(qry_ProdData2_PDI_Cash_Exception_Application[[#This Row],[TYPE]],#REF!,2,FALSE)</f>
        <v>type40</v>
      </c>
      <c r="E2482">
        <v>-1338.38</v>
      </c>
      <c r="F2482" t="s">
        <v>49</v>
      </c>
      <c r="G2482" s="1">
        <f>qry_ProdData2_PDI_Cash_Exception_Application[[#This Row],[INSERT DATE]]+5</f>
        <v>45191.257071759261</v>
      </c>
      <c r="H2482" t="str">
        <f>VLOOKUP(qry_ProdData2_PDI_Cash_Exception_Application[[#This Row],[MARKET No]],'Site Allocation'!$B$2:$C$37,2,FALSE)</f>
        <v>Analyst5</v>
      </c>
      <c r="I2482" s="4">
        <f t="shared" ca="1" si="38"/>
        <v>45203</v>
      </c>
      <c r="J2482" s="42">
        <f ca="1">TODAY()-qry_ProdData2_PDI_Cash_Exception_Application[[#This Row],[INSERT DATE]]</f>
        <v>16.742928240739275</v>
      </c>
      <c r="K24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82">
        <f ca="1">qry_ProdData2_PDI_Cash_Exception_Application[[#This Row],[TODAY]]-qry_ProdData2_PDI_Cash_Exception_Application[[#This Row],[CHANGED ON]]</f>
        <v>11.742928240739275</v>
      </c>
      <c r="M2482">
        <f ca="1">qry_ProdData2_PDI_Cash_Exception_Application[[#This Row],[TODAY]]-qry_ProdData2_PDI_Cash_Exception_Application[[#This Row],[CHANGED ON]]</f>
        <v>11.742928240739275</v>
      </c>
      <c r="N2482">
        <f ca="1">qry_ProdData2_PDI_Cash_Exception_Application[[#This Row],[TODAY]]-qry_ProdData2_PDI_Cash_Exception_Application[[#This Row],[CHANGED ON]]</f>
        <v>11.742928240739275</v>
      </c>
    </row>
    <row r="2483" spans="1:14" x14ac:dyDescent="0.35">
      <c r="A2483">
        <v>1034</v>
      </c>
      <c r="B2483" t="s">
        <v>88</v>
      </c>
      <c r="C2483" s="1">
        <v>45187.257071759261</v>
      </c>
      <c r="D2483" t="str">
        <f ca="1">VLOOKUP(qry_ProdData2_PDI_Cash_Exception_Application[[#This Row],[TYPE]],#REF!,2,FALSE)</f>
        <v>type8</v>
      </c>
      <c r="E2483">
        <v>68.92</v>
      </c>
      <c r="F2483" t="s">
        <v>50</v>
      </c>
      <c r="G2483" s="1">
        <f>qry_ProdData2_PDI_Cash_Exception_Application[[#This Row],[INSERT DATE]]+1</f>
        <v>45188.257071759261</v>
      </c>
      <c r="H2483" t="str">
        <f>VLOOKUP(qry_ProdData2_PDI_Cash_Exception_Application[[#This Row],[MARKET No]],'Site Allocation'!$B$2:$C$37,2,FALSE)</f>
        <v>Analyst6</v>
      </c>
      <c r="I2483" s="4">
        <f t="shared" ca="1" si="38"/>
        <v>45203</v>
      </c>
      <c r="J2483" s="42">
        <f ca="1">TODAY()-qry_ProdData2_PDI_Cash_Exception_Application[[#This Row],[INSERT DATE]]</f>
        <v>15.742928240739275</v>
      </c>
      <c r="K24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83">
        <f ca="1">qry_ProdData2_PDI_Cash_Exception_Application[[#This Row],[TODAY]]-qry_ProdData2_PDI_Cash_Exception_Application[[#This Row],[CHANGED ON]]</f>
        <v>14.742928240739275</v>
      </c>
      <c r="M2483">
        <f ca="1">qry_ProdData2_PDI_Cash_Exception_Application[[#This Row],[TODAY]]-qry_ProdData2_PDI_Cash_Exception_Application[[#This Row],[CHANGED ON]]</f>
        <v>14.742928240739275</v>
      </c>
      <c r="N2483">
        <f ca="1">qry_ProdData2_PDI_Cash_Exception_Application[[#This Row],[TODAY]]-qry_ProdData2_PDI_Cash_Exception_Application[[#This Row],[CHANGED ON]]</f>
        <v>14.742928240739275</v>
      </c>
    </row>
    <row r="2484" spans="1:14" x14ac:dyDescent="0.35">
      <c r="A2484">
        <v>1005</v>
      </c>
      <c r="B2484" t="s">
        <v>59</v>
      </c>
      <c r="C2484" s="1">
        <v>45187.257071759261</v>
      </c>
      <c r="D2484" t="str">
        <f ca="1">VLOOKUP(qry_ProdData2_PDI_Cash_Exception_Application[[#This Row],[TYPE]],#REF!,2,FALSE)</f>
        <v>type40</v>
      </c>
      <c r="E2484">
        <v>3021.02</v>
      </c>
      <c r="F2484" t="s">
        <v>47</v>
      </c>
      <c r="G2484" s="1">
        <f>qry_ProdData2_PDI_Cash_Exception_Application[[#This Row],[INSERT DATE]]+2</f>
        <v>45189.257071759261</v>
      </c>
      <c r="H2484" t="str">
        <f>VLOOKUP(qry_ProdData2_PDI_Cash_Exception_Application[[#This Row],[MARKET No]],'Site Allocation'!$B$2:$C$37,2,FALSE)</f>
        <v>Analyst1</v>
      </c>
      <c r="I2484" s="4">
        <f t="shared" ca="1" si="38"/>
        <v>45203</v>
      </c>
      <c r="J2484" s="42">
        <f ca="1">TODAY()-qry_ProdData2_PDI_Cash_Exception_Application[[#This Row],[INSERT DATE]]</f>
        <v>15.742928240739275</v>
      </c>
      <c r="K24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84">
        <f ca="1">qry_ProdData2_PDI_Cash_Exception_Application[[#This Row],[TODAY]]-qry_ProdData2_PDI_Cash_Exception_Application[[#This Row],[CHANGED ON]]</f>
        <v>13.742928240739275</v>
      </c>
      <c r="M2484">
        <f ca="1">qry_ProdData2_PDI_Cash_Exception_Application[[#This Row],[TODAY]]-qry_ProdData2_PDI_Cash_Exception_Application[[#This Row],[CHANGED ON]]</f>
        <v>13.742928240739275</v>
      </c>
      <c r="N2484">
        <f ca="1">qry_ProdData2_PDI_Cash_Exception_Application[[#This Row],[TODAY]]-qry_ProdData2_PDI_Cash_Exception_Application[[#This Row],[CHANGED ON]]</f>
        <v>13.742928240739275</v>
      </c>
    </row>
    <row r="2485" spans="1:14" x14ac:dyDescent="0.35">
      <c r="A2485">
        <v>1014</v>
      </c>
      <c r="B2485" t="s">
        <v>68</v>
      </c>
      <c r="C2485" s="1">
        <v>45186.257071759261</v>
      </c>
      <c r="D2485" t="str">
        <f ca="1">VLOOKUP(qry_ProdData2_PDI_Cash_Exception_Application[[#This Row],[TYPE]],#REF!,2,FALSE)</f>
        <v>type13</v>
      </c>
      <c r="E2485">
        <v>26434.68</v>
      </c>
      <c r="F2485" t="s">
        <v>51</v>
      </c>
      <c r="G2485" s="1">
        <f>qry_ProdData2_PDI_Cash_Exception_Application[[#This Row],[INSERT DATE]]+2</f>
        <v>45188.257071759261</v>
      </c>
      <c r="H2485" t="str">
        <f>VLOOKUP(qry_ProdData2_PDI_Cash_Exception_Application[[#This Row],[MARKET No]],'Site Allocation'!$B$2:$C$37,2,FALSE)</f>
        <v>Analyst3</v>
      </c>
      <c r="I2485" s="4">
        <f t="shared" ca="1" si="38"/>
        <v>45203</v>
      </c>
      <c r="J2485" s="42">
        <f ca="1">TODAY()-qry_ProdData2_PDI_Cash_Exception_Application[[#This Row],[INSERT DATE]]</f>
        <v>16.742928240739275</v>
      </c>
      <c r="K24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85">
        <f ca="1">qry_ProdData2_PDI_Cash_Exception_Application[[#This Row],[TODAY]]-qry_ProdData2_PDI_Cash_Exception_Application[[#This Row],[CHANGED ON]]</f>
        <v>14.742928240739275</v>
      </c>
      <c r="M2485">
        <f ca="1">qry_ProdData2_PDI_Cash_Exception_Application[[#This Row],[TODAY]]-qry_ProdData2_PDI_Cash_Exception_Application[[#This Row],[CHANGED ON]]</f>
        <v>14.742928240739275</v>
      </c>
      <c r="N2485">
        <f ca="1">qry_ProdData2_PDI_Cash_Exception_Application[[#This Row],[TODAY]]-qry_ProdData2_PDI_Cash_Exception_Application[[#This Row],[CHANGED ON]]</f>
        <v>14.742928240739275</v>
      </c>
    </row>
    <row r="2486" spans="1:14" x14ac:dyDescent="0.35">
      <c r="A2486">
        <v>1007</v>
      </c>
      <c r="B2486" t="s">
        <v>61</v>
      </c>
      <c r="C2486" s="1">
        <v>45189.257071759261</v>
      </c>
      <c r="D2486" t="str">
        <f ca="1">VLOOKUP(qry_ProdData2_PDI_Cash_Exception_Application[[#This Row],[TYPE]],#REF!,2,FALSE)</f>
        <v>type18</v>
      </c>
      <c r="E2486">
        <v>328.44</v>
      </c>
      <c r="F2486" t="s">
        <v>50</v>
      </c>
      <c r="G2486" s="1">
        <f>qry_ProdData2_PDI_Cash_Exception_Application[[#This Row],[INSERT DATE]]+1</f>
        <v>45190.257071759261</v>
      </c>
      <c r="H2486" t="str">
        <f>VLOOKUP(qry_ProdData2_PDI_Cash_Exception_Application[[#This Row],[MARKET No]],'Site Allocation'!$B$2:$C$37,2,FALSE)</f>
        <v>Analyst2</v>
      </c>
      <c r="I2486" s="4">
        <f t="shared" ca="1" si="38"/>
        <v>45203</v>
      </c>
      <c r="J2486" s="42">
        <f ca="1">TODAY()-qry_ProdData2_PDI_Cash_Exception_Application[[#This Row],[INSERT DATE]]</f>
        <v>13.742928240739275</v>
      </c>
      <c r="K24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86">
        <f ca="1">qry_ProdData2_PDI_Cash_Exception_Application[[#This Row],[TODAY]]-qry_ProdData2_PDI_Cash_Exception_Application[[#This Row],[CHANGED ON]]</f>
        <v>12.742928240739275</v>
      </c>
      <c r="M2486">
        <f ca="1">qry_ProdData2_PDI_Cash_Exception_Application[[#This Row],[TODAY]]-qry_ProdData2_PDI_Cash_Exception_Application[[#This Row],[CHANGED ON]]</f>
        <v>12.742928240739275</v>
      </c>
      <c r="N2486">
        <f ca="1">qry_ProdData2_PDI_Cash_Exception_Application[[#This Row],[TODAY]]-qry_ProdData2_PDI_Cash_Exception_Application[[#This Row],[CHANGED ON]]</f>
        <v>12.742928240739275</v>
      </c>
    </row>
    <row r="2487" spans="1:14" x14ac:dyDescent="0.35">
      <c r="A2487">
        <v>1029</v>
      </c>
      <c r="B2487" t="s">
        <v>83</v>
      </c>
      <c r="C2487" s="1">
        <v>45190.257071759261</v>
      </c>
      <c r="D2487" t="str">
        <f ca="1">VLOOKUP(qry_ProdData2_PDI_Cash_Exception_Application[[#This Row],[TYPE]],#REF!,2,FALSE)</f>
        <v>type30</v>
      </c>
      <c r="E2487">
        <v>877.99</v>
      </c>
      <c r="F2487" t="s">
        <v>50</v>
      </c>
      <c r="G2487" s="1">
        <f>qry_ProdData2_PDI_Cash_Exception_Application[[#This Row],[INSERT DATE]]+1</f>
        <v>45191.257071759261</v>
      </c>
      <c r="H2487" t="str">
        <f>VLOOKUP(qry_ProdData2_PDI_Cash_Exception_Application[[#This Row],[MARKET No]],'Site Allocation'!$B$2:$C$37,2,FALSE)</f>
        <v>Analyst5</v>
      </c>
      <c r="I2487" s="4">
        <f t="shared" ca="1" si="38"/>
        <v>45203</v>
      </c>
      <c r="J2487" s="42">
        <f ca="1">TODAY()-qry_ProdData2_PDI_Cash_Exception_Application[[#This Row],[INSERT DATE]]</f>
        <v>12.742928240739275</v>
      </c>
      <c r="K24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87">
        <f ca="1">qry_ProdData2_PDI_Cash_Exception_Application[[#This Row],[TODAY]]-qry_ProdData2_PDI_Cash_Exception_Application[[#This Row],[CHANGED ON]]</f>
        <v>11.742928240739275</v>
      </c>
      <c r="M2487">
        <f ca="1">qry_ProdData2_PDI_Cash_Exception_Application[[#This Row],[TODAY]]-qry_ProdData2_PDI_Cash_Exception_Application[[#This Row],[CHANGED ON]]</f>
        <v>11.742928240739275</v>
      </c>
      <c r="N2487">
        <f ca="1">qry_ProdData2_PDI_Cash_Exception_Application[[#This Row],[TODAY]]-qry_ProdData2_PDI_Cash_Exception_Application[[#This Row],[CHANGED ON]]</f>
        <v>11.742928240739275</v>
      </c>
    </row>
    <row r="2488" spans="1:14" x14ac:dyDescent="0.35">
      <c r="A2488">
        <v>1001</v>
      </c>
      <c r="B2488" t="s">
        <v>55</v>
      </c>
      <c r="C2488" s="1">
        <v>45189.257071759261</v>
      </c>
      <c r="D2488" t="str">
        <f ca="1">VLOOKUP(qry_ProdData2_PDI_Cash_Exception_Application[[#This Row],[TYPE]],#REF!,2,FALSE)</f>
        <v>type40</v>
      </c>
      <c r="E2488">
        <v>318.27999999999997</v>
      </c>
      <c r="F2488" t="s">
        <v>47</v>
      </c>
      <c r="G2488" s="1">
        <f>qry_ProdData2_PDI_Cash_Exception_Application[[#This Row],[INSERT DATE]]+2</f>
        <v>45191.257071759261</v>
      </c>
      <c r="H2488" t="str">
        <f>VLOOKUP(qry_ProdData2_PDI_Cash_Exception_Application[[#This Row],[MARKET No]],'Site Allocation'!$B$2:$C$37,2,FALSE)</f>
        <v>Analyst1</v>
      </c>
      <c r="I2488" s="4">
        <f t="shared" ca="1" si="38"/>
        <v>45203</v>
      </c>
      <c r="J2488" s="42">
        <f ca="1">TODAY()-qry_ProdData2_PDI_Cash_Exception_Application[[#This Row],[INSERT DATE]]</f>
        <v>13.742928240739275</v>
      </c>
      <c r="K24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88">
        <f ca="1">qry_ProdData2_PDI_Cash_Exception_Application[[#This Row],[TODAY]]-qry_ProdData2_PDI_Cash_Exception_Application[[#This Row],[CHANGED ON]]</f>
        <v>11.742928240739275</v>
      </c>
      <c r="M2488">
        <f ca="1">qry_ProdData2_PDI_Cash_Exception_Application[[#This Row],[TODAY]]-qry_ProdData2_PDI_Cash_Exception_Application[[#This Row],[CHANGED ON]]</f>
        <v>11.742928240739275</v>
      </c>
      <c r="N2488">
        <f ca="1">qry_ProdData2_PDI_Cash_Exception_Application[[#This Row],[TODAY]]-qry_ProdData2_PDI_Cash_Exception_Application[[#This Row],[CHANGED ON]]</f>
        <v>11.742928240739275</v>
      </c>
    </row>
    <row r="2489" spans="1:14" x14ac:dyDescent="0.35">
      <c r="A2489">
        <v>1034</v>
      </c>
      <c r="B2489" t="s">
        <v>88</v>
      </c>
      <c r="C2489" s="1">
        <v>45191.257071759261</v>
      </c>
      <c r="D2489" t="str">
        <f ca="1">VLOOKUP(qry_ProdData2_PDI_Cash_Exception_Application[[#This Row],[TYPE]],#REF!,2,FALSE)</f>
        <v>type40</v>
      </c>
      <c r="E2489">
        <v>4.1100000000000003</v>
      </c>
      <c r="F2489" t="s">
        <v>50</v>
      </c>
      <c r="G2489" s="1">
        <f>qry_ProdData2_PDI_Cash_Exception_Application[[#This Row],[INSERT DATE]]+2</f>
        <v>45193.257071759261</v>
      </c>
      <c r="H2489" t="str">
        <f>VLOOKUP(qry_ProdData2_PDI_Cash_Exception_Application[[#This Row],[MARKET No]],'Site Allocation'!$B$2:$C$37,2,FALSE)</f>
        <v>Analyst6</v>
      </c>
      <c r="I2489" s="4">
        <f t="shared" ca="1" si="38"/>
        <v>45203</v>
      </c>
      <c r="J2489" s="42">
        <f ca="1">TODAY()-qry_ProdData2_PDI_Cash_Exception_Application[[#This Row],[INSERT DATE]]</f>
        <v>11.742928240739275</v>
      </c>
      <c r="K24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89">
        <f ca="1">qry_ProdData2_PDI_Cash_Exception_Application[[#This Row],[TODAY]]-qry_ProdData2_PDI_Cash_Exception_Application[[#This Row],[CHANGED ON]]</f>
        <v>9.7429282407392748</v>
      </c>
      <c r="M2489">
        <f ca="1">qry_ProdData2_PDI_Cash_Exception_Application[[#This Row],[TODAY]]-qry_ProdData2_PDI_Cash_Exception_Application[[#This Row],[CHANGED ON]]</f>
        <v>9.7429282407392748</v>
      </c>
      <c r="N2489">
        <f ca="1">qry_ProdData2_PDI_Cash_Exception_Application[[#This Row],[TODAY]]-qry_ProdData2_PDI_Cash_Exception_Application[[#This Row],[CHANGED ON]]</f>
        <v>9.7429282407392748</v>
      </c>
    </row>
    <row r="2490" spans="1:14" x14ac:dyDescent="0.35">
      <c r="A2490">
        <v>1003</v>
      </c>
      <c r="B2490" t="s">
        <v>57</v>
      </c>
      <c r="C2490" s="1">
        <v>45190.257071759261</v>
      </c>
      <c r="D2490" t="str">
        <f ca="1">VLOOKUP(qry_ProdData2_PDI_Cash_Exception_Application[[#This Row],[TYPE]],#REF!,2,FALSE)</f>
        <v>type40</v>
      </c>
      <c r="E2490">
        <v>20</v>
      </c>
      <c r="F2490" t="str">
        <f>qry_ProdData2_PDI_Cash_Exception_Application[[#This Row],[ANALYST]]</f>
        <v>Analyst1</v>
      </c>
      <c r="G2490" s="1">
        <f>qry_ProdData2_PDI_Cash_Exception_Application[[#This Row],[INSERT DATE]]+2</f>
        <v>45192.257071759261</v>
      </c>
      <c r="H2490" t="str">
        <f>VLOOKUP(qry_ProdData2_PDI_Cash_Exception_Application[[#This Row],[MARKET No]],'Site Allocation'!$B$2:$C$37,2,FALSE)</f>
        <v>Analyst1</v>
      </c>
      <c r="I2490" s="4">
        <f t="shared" ca="1" si="38"/>
        <v>45203</v>
      </c>
      <c r="J2490" s="42">
        <f ca="1">TODAY()-qry_ProdData2_PDI_Cash_Exception_Application[[#This Row],[INSERT DATE]]</f>
        <v>12.742928240739275</v>
      </c>
      <c r="K24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90">
        <f ca="1">qry_ProdData2_PDI_Cash_Exception_Application[[#This Row],[TODAY]]-qry_ProdData2_PDI_Cash_Exception_Application[[#This Row],[CHANGED ON]]</f>
        <v>10.742928240739275</v>
      </c>
      <c r="M2490">
        <f ca="1">qry_ProdData2_PDI_Cash_Exception_Application[[#This Row],[TODAY]]-qry_ProdData2_PDI_Cash_Exception_Application[[#This Row],[CHANGED ON]]</f>
        <v>10.742928240739275</v>
      </c>
      <c r="N2490">
        <f ca="1">qry_ProdData2_PDI_Cash_Exception_Application[[#This Row],[TODAY]]-qry_ProdData2_PDI_Cash_Exception_Application[[#This Row],[CHANGED ON]]</f>
        <v>10.742928240739275</v>
      </c>
    </row>
    <row r="2491" spans="1:14" x14ac:dyDescent="0.35">
      <c r="A2491">
        <v>1020</v>
      </c>
      <c r="B2491" t="s">
        <v>74</v>
      </c>
      <c r="C2491" s="1">
        <v>45193.257071759261</v>
      </c>
      <c r="D2491" t="str">
        <f ca="1">VLOOKUP(qry_ProdData2_PDI_Cash_Exception_Application[[#This Row],[TYPE]],#REF!,2,FALSE)</f>
        <v>type4</v>
      </c>
      <c r="E2491">
        <v>6</v>
      </c>
      <c r="F2491" t="s">
        <v>50</v>
      </c>
      <c r="G2491" s="1">
        <f>qry_ProdData2_PDI_Cash_Exception_Application[[#This Row],[INSERT DATE]]+2</f>
        <v>45195.257071759261</v>
      </c>
      <c r="H2491" t="str">
        <f>VLOOKUP(qry_ProdData2_PDI_Cash_Exception_Application[[#This Row],[MARKET No]],'Site Allocation'!$B$2:$C$37,2,FALSE)</f>
        <v>Analyst4</v>
      </c>
      <c r="I2491" s="4">
        <f t="shared" ca="1" si="38"/>
        <v>45203</v>
      </c>
      <c r="J2491" s="42">
        <f ca="1">TODAY()-qry_ProdData2_PDI_Cash_Exception_Application[[#This Row],[INSERT DATE]]</f>
        <v>9.7429282407392748</v>
      </c>
      <c r="K24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91">
        <f ca="1">qry_ProdData2_PDI_Cash_Exception_Application[[#This Row],[TODAY]]-qry_ProdData2_PDI_Cash_Exception_Application[[#This Row],[CHANGED ON]]</f>
        <v>7.7429282407392748</v>
      </c>
      <c r="M2491">
        <f ca="1">qry_ProdData2_PDI_Cash_Exception_Application[[#This Row],[TODAY]]-qry_ProdData2_PDI_Cash_Exception_Application[[#This Row],[CHANGED ON]]</f>
        <v>7.7429282407392748</v>
      </c>
      <c r="N2491">
        <f ca="1">qry_ProdData2_PDI_Cash_Exception_Application[[#This Row],[TODAY]]-qry_ProdData2_PDI_Cash_Exception_Application[[#This Row],[CHANGED ON]]</f>
        <v>7.7429282407392748</v>
      </c>
    </row>
    <row r="2492" spans="1:14" x14ac:dyDescent="0.35">
      <c r="A2492">
        <v>1022</v>
      </c>
      <c r="B2492" t="s">
        <v>76</v>
      </c>
      <c r="C2492" s="1">
        <v>45194.257071759261</v>
      </c>
      <c r="D2492" t="str">
        <f ca="1">VLOOKUP(qry_ProdData2_PDI_Cash_Exception_Application[[#This Row],[TYPE]],#REF!,2,FALSE)</f>
        <v>type40</v>
      </c>
      <c r="E2492">
        <v>-3566.6</v>
      </c>
      <c r="F2492" t="s">
        <v>52</v>
      </c>
      <c r="G2492" s="1">
        <f>qry_ProdData2_PDI_Cash_Exception_Application[[#This Row],[INSERT DATE]]+2</f>
        <v>45196.257071759261</v>
      </c>
      <c r="H2492" t="str">
        <f>VLOOKUP(qry_ProdData2_PDI_Cash_Exception_Application[[#This Row],[MARKET No]],'Site Allocation'!$B$2:$C$37,2,FALSE)</f>
        <v>Analyst4</v>
      </c>
      <c r="I2492" s="4">
        <f t="shared" ca="1" si="38"/>
        <v>45203</v>
      </c>
      <c r="J2492" s="42">
        <f ca="1">TODAY()-qry_ProdData2_PDI_Cash_Exception_Application[[#This Row],[INSERT DATE]]</f>
        <v>8.7429282407392748</v>
      </c>
      <c r="K24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492">
        <f ca="1">qry_ProdData2_PDI_Cash_Exception_Application[[#This Row],[TODAY]]-qry_ProdData2_PDI_Cash_Exception_Application[[#This Row],[CHANGED ON]]</f>
        <v>6.7429282407392748</v>
      </c>
      <c r="M2492">
        <f ca="1">qry_ProdData2_PDI_Cash_Exception_Application[[#This Row],[TODAY]]-qry_ProdData2_PDI_Cash_Exception_Application[[#This Row],[CHANGED ON]]</f>
        <v>6.7429282407392748</v>
      </c>
      <c r="N2492">
        <f ca="1">qry_ProdData2_PDI_Cash_Exception_Application[[#This Row],[TODAY]]-qry_ProdData2_PDI_Cash_Exception_Application[[#This Row],[CHANGED ON]]</f>
        <v>6.7429282407392748</v>
      </c>
    </row>
    <row r="2493" spans="1:14" x14ac:dyDescent="0.35">
      <c r="A2493">
        <v>1015</v>
      </c>
      <c r="B2493" t="s">
        <v>69</v>
      </c>
      <c r="C2493" s="1">
        <v>45187.257071759261</v>
      </c>
      <c r="D2493" t="str">
        <f ca="1">VLOOKUP(qry_ProdData2_PDI_Cash_Exception_Application[[#This Row],[TYPE]],#REF!,2,FALSE)</f>
        <v>type40</v>
      </c>
      <c r="E2493">
        <v>-1954.31</v>
      </c>
      <c r="F2493" t="s">
        <v>51</v>
      </c>
      <c r="G2493" s="1">
        <f>qry_ProdData2_PDI_Cash_Exception_Application[[#This Row],[INSERT DATE]]+2</f>
        <v>45189.257071759261</v>
      </c>
      <c r="H2493" t="str">
        <f>VLOOKUP(qry_ProdData2_PDI_Cash_Exception_Application[[#This Row],[MARKET No]],'Site Allocation'!$B$2:$C$37,2,FALSE)</f>
        <v>Analyst3</v>
      </c>
      <c r="I2493" s="4">
        <f t="shared" ca="1" si="38"/>
        <v>45203</v>
      </c>
      <c r="J2493" s="42">
        <f ca="1">TODAY()-qry_ProdData2_PDI_Cash_Exception_Application[[#This Row],[INSERT DATE]]</f>
        <v>15.742928240739275</v>
      </c>
      <c r="K24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93">
        <f ca="1">qry_ProdData2_PDI_Cash_Exception_Application[[#This Row],[TODAY]]-qry_ProdData2_PDI_Cash_Exception_Application[[#This Row],[CHANGED ON]]</f>
        <v>13.742928240739275</v>
      </c>
      <c r="M2493">
        <f ca="1">qry_ProdData2_PDI_Cash_Exception_Application[[#This Row],[TODAY]]-qry_ProdData2_PDI_Cash_Exception_Application[[#This Row],[CHANGED ON]]</f>
        <v>13.742928240739275</v>
      </c>
      <c r="N2493">
        <f ca="1">qry_ProdData2_PDI_Cash_Exception_Application[[#This Row],[TODAY]]-qry_ProdData2_PDI_Cash_Exception_Application[[#This Row],[CHANGED ON]]</f>
        <v>13.742928240739275</v>
      </c>
    </row>
    <row r="2494" spans="1:14" x14ac:dyDescent="0.35">
      <c r="A2494">
        <v>1033</v>
      </c>
      <c r="B2494" t="s">
        <v>87</v>
      </c>
      <c r="C2494" s="1">
        <v>45196.257071759261</v>
      </c>
      <c r="D2494" t="str">
        <f ca="1">VLOOKUP(qry_ProdData2_PDI_Cash_Exception_Application[[#This Row],[TYPE]],#REF!,2,FALSE)</f>
        <v>type26</v>
      </c>
      <c r="E2494">
        <v>4163.93</v>
      </c>
      <c r="F2494" t="s">
        <v>50</v>
      </c>
      <c r="G2494" s="1">
        <f>qry_ProdData2_PDI_Cash_Exception_Application[[#This Row],[INSERT DATE]]+2</f>
        <v>45198.257071759261</v>
      </c>
      <c r="H2494" t="str">
        <f>VLOOKUP(qry_ProdData2_PDI_Cash_Exception_Application[[#This Row],[MARKET No]],'Site Allocation'!$B$2:$C$37,2,FALSE)</f>
        <v>Analyst6</v>
      </c>
      <c r="I2494" s="4">
        <f t="shared" ca="1" si="38"/>
        <v>45203</v>
      </c>
      <c r="J2494" s="42">
        <f ca="1">TODAY()-qry_ProdData2_PDI_Cash_Exception_Application[[#This Row],[INSERT DATE]]</f>
        <v>6.7429282407392748</v>
      </c>
      <c r="K24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494">
        <f ca="1">qry_ProdData2_PDI_Cash_Exception_Application[[#This Row],[TODAY]]-qry_ProdData2_PDI_Cash_Exception_Application[[#This Row],[CHANGED ON]]</f>
        <v>4.7429282407392748</v>
      </c>
      <c r="M2494">
        <f ca="1">qry_ProdData2_PDI_Cash_Exception_Application[[#This Row],[TODAY]]-qry_ProdData2_PDI_Cash_Exception_Application[[#This Row],[CHANGED ON]]</f>
        <v>4.7429282407392748</v>
      </c>
      <c r="N2494">
        <f ca="1">qry_ProdData2_PDI_Cash_Exception_Application[[#This Row],[TODAY]]-qry_ProdData2_PDI_Cash_Exception_Application[[#This Row],[CHANGED ON]]</f>
        <v>4.7429282407392748</v>
      </c>
    </row>
    <row r="2495" spans="1:14" x14ac:dyDescent="0.35">
      <c r="A2495">
        <v>1001</v>
      </c>
      <c r="B2495" t="s">
        <v>55</v>
      </c>
      <c r="C2495" s="1">
        <v>45190.257071759261</v>
      </c>
      <c r="D2495" t="str">
        <f ca="1">VLOOKUP(qry_ProdData2_PDI_Cash_Exception_Application[[#This Row],[TYPE]],#REF!,2,FALSE)</f>
        <v>type40</v>
      </c>
      <c r="E2495">
        <v>392.12</v>
      </c>
      <c r="F2495" t="s">
        <v>49</v>
      </c>
      <c r="G2495" s="1">
        <f>qry_ProdData2_PDI_Cash_Exception_Application[[#This Row],[INSERT DATE]]+5</f>
        <v>45195.257071759261</v>
      </c>
      <c r="H2495" t="str">
        <f>VLOOKUP(qry_ProdData2_PDI_Cash_Exception_Application[[#This Row],[MARKET No]],'Site Allocation'!$B$2:$C$37,2,FALSE)</f>
        <v>Analyst1</v>
      </c>
      <c r="I2495" s="4">
        <f t="shared" ca="1" si="38"/>
        <v>45203</v>
      </c>
      <c r="J2495" s="42">
        <f ca="1">TODAY()-qry_ProdData2_PDI_Cash_Exception_Application[[#This Row],[INSERT DATE]]</f>
        <v>12.742928240739275</v>
      </c>
      <c r="K24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95">
        <f ca="1">qry_ProdData2_PDI_Cash_Exception_Application[[#This Row],[TODAY]]-qry_ProdData2_PDI_Cash_Exception_Application[[#This Row],[CHANGED ON]]</f>
        <v>7.7429282407392748</v>
      </c>
      <c r="M2495">
        <f ca="1">qry_ProdData2_PDI_Cash_Exception_Application[[#This Row],[TODAY]]-qry_ProdData2_PDI_Cash_Exception_Application[[#This Row],[CHANGED ON]]</f>
        <v>7.7429282407392748</v>
      </c>
      <c r="N2495">
        <f ca="1">qry_ProdData2_PDI_Cash_Exception_Application[[#This Row],[TODAY]]-qry_ProdData2_PDI_Cash_Exception_Application[[#This Row],[CHANGED ON]]</f>
        <v>7.7429282407392748</v>
      </c>
    </row>
    <row r="2496" spans="1:14" x14ac:dyDescent="0.35">
      <c r="A2496">
        <v>1018</v>
      </c>
      <c r="B2496" t="s">
        <v>72</v>
      </c>
      <c r="C2496" s="1">
        <v>45185.257071759261</v>
      </c>
      <c r="D2496" t="str">
        <f ca="1">VLOOKUP(qry_ProdData2_PDI_Cash_Exception_Application[[#This Row],[TYPE]],#REF!,2,FALSE)</f>
        <v>type40</v>
      </c>
      <c r="E2496">
        <v>-383.52</v>
      </c>
      <c r="F2496" t="s">
        <v>51</v>
      </c>
      <c r="G2496" s="1">
        <f>qry_ProdData2_PDI_Cash_Exception_Application[[#This Row],[INSERT DATE]]+7</f>
        <v>45192.257071759261</v>
      </c>
      <c r="H2496" t="str">
        <f>VLOOKUP(qry_ProdData2_PDI_Cash_Exception_Application[[#This Row],[MARKET No]],'Site Allocation'!$B$2:$C$37,2,FALSE)</f>
        <v>Analyst4</v>
      </c>
      <c r="I2496" s="4">
        <f t="shared" ca="1" si="38"/>
        <v>45203</v>
      </c>
      <c r="J2496" s="42">
        <f ca="1">TODAY()-qry_ProdData2_PDI_Cash_Exception_Application[[#This Row],[INSERT DATE]]</f>
        <v>17.742928240739275</v>
      </c>
      <c r="K24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96">
        <f ca="1">qry_ProdData2_PDI_Cash_Exception_Application[[#This Row],[TODAY]]-qry_ProdData2_PDI_Cash_Exception_Application[[#This Row],[CHANGED ON]]</f>
        <v>10.742928240739275</v>
      </c>
      <c r="M2496">
        <f ca="1">qry_ProdData2_PDI_Cash_Exception_Application[[#This Row],[TODAY]]-qry_ProdData2_PDI_Cash_Exception_Application[[#This Row],[CHANGED ON]]</f>
        <v>10.742928240739275</v>
      </c>
      <c r="N2496">
        <f ca="1">qry_ProdData2_PDI_Cash_Exception_Application[[#This Row],[TODAY]]-qry_ProdData2_PDI_Cash_Exception_Application[[#This Row],[CHANGED ON]]</f>
        <v>10.742928240739275</v>
      </c>
    </row>
    <row r="2497" spans="1:14" x14ac:dyDescent="0.35">
      <c r="A2497">
        <v>1017</v>
      </c>
      <c r="B2497" t="s">
        <v>71</v>
      </c>
      <c r="C2497" s="1">
        <v>45186.257071759261</v>
      </c>
      <c r="D2497" t="str">
        <f ca="1">VLOOKUP(qry_ProdData2_PDI_Cash_Exception_Application[[#This Row],[TYPE]],#REF!,2,FALSE)</f>
        <v>type13</v>
      </c>
      <c r="E2497">
        <v>31458.59</v>
      </c>
      <c r="F2497" t="s">
        <v>52</v>
      </c>
      <c r="G2497" s="1">
        <f>qry_ProdData2_PDI_Cash_Exception_Application[[#This Row],[INSERT DATE]]+2</f>
        <v>45188.257071759261</v>
      </c>
      <c r="H2497" t="str">
        <f>VLOOKUP(qry_ProdData2_PDI_Cash_Exception_Application[[#This Row],[MARKET No]],'Site Allocation'!$B$2:$C$37,2,FALSE)</f>
        <v>Analyst3</v>
      </c>
      <c r="I2497" s="4">
        <f t="shared" ca="1" si="38"/>
        <v>45203</v>
      </c>
      <c r="J2497" s="42">
        <f ca="1">TODAY()-qry_ProdData2_PDI_Cash_Exception_Application[[#This Row],[INSERT DATE]]</f>
        <v>16.742928240739275</v>
      </c>
      <c r="K24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97">
        <f ca="1">qry_ProdData2_PDI_Cash_Exception_Application[[#This Row],[TODAY]]-qry_ProdData2_PDI_Cash_Exception_Application[[#This Row],[CHANGED ON]]</f>
        <v>14.742928240739275</v>
      </c>
      <c r="M2497">
        <f ca="1">qry_ProdData2_PDI_Cash_Exception_Application[[#This Row],[TODAY]]-qry_ProdData2_PDI_Cash_Exception_Application[[#This Row],[CHANGED ON]]</f>
        <v>14.742928240739275</v>
      </c>
      <c r="N2497">
        <f ca="1">qry_ProdData2_PDI_Cash_Exception_Application[[#This Row],[TODAY]]-qry_ProdData2_PDI_Cash_Exception_Application[[#This Row],[CHANGED ON]]</f>
        <v>14.742928240739275</v>
      </c>
    </row>
    <row r="2498" spans="1:14" x14ac:dyDescent="0.35">
      <c r="A2498">
        <v>1025</v>
      </c>
      <c r="B2498" t="s">
        <v>79</v>
      </c>
      <c r="C2498" s="1">
        <v>45187.257071759261</v>
      </c>
      <c r="D2498" t="str">
        <f ca="1">VLOOKUP(qry_ProdData2_PDI_Cash_Exception_Application[[#This Row],[TYPE]],#REF!,2,FALSE)</f>
        <v>type22</v>
      </c>
      <c r="E2498">
        <v>549.66</v>
      </c>
      <c r="F2498" t="s">
        <v>49</v>
      </c>
      <c r="G2498" s="1">
        <f>qry_ProdData2_PDI_Cash_Exception_Application[[#This Row],[INSERT DATE]]+7</f>
        <v>45194.257071759261</v>
      </c>
      <c r="H2498" t="str">
        <f>VLOOKUP(qry_ProdData2_PDI_Cash_Exception_Application[[#This Row],[MARKET No]],'Site Allocation'!$B$2:$C$37,2,FALSE)</f>
        <v>Analyst5</v>
      </c>
      <c r="I2498" s="4">
        <f t="shared" ref="I2498:I2561" ca="1" si="39">TODAY()</f>
        <v>45203</v>
      </c>
      <c r="J2498" s="42">
        <f ca="1">TODAY()-qry_ProdData2_PDI_Cash_Exception_Application[[#This Row],[INSERT DATE]]</f>
        <v>15.742928240739275</v>
      </c>
      <c r="K24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98">
        <f ca="1">qry_ProdData2_PDI_Cash_Exception_Application[[#This Row],[TODAY]]-qry_ProdData2_PDI_Cash_Exception_Application[[#This Row],[CHANGED ON]]</f>
        <v>8.7429282407392748</v>
      </c>
      <c r="M2498">
        <f ca="1">qry_ProdData2_PDI_Cash_Exception_Application[[#This Row],[TODAY]]-qry_ProdData2_PDI_Cash_Exception_Application[[#This Row],[CHANGED ON]]</f>
        <v>8.7429282407392748</v>
      </c>
      <c r="N2498">
        <f ca="1">qry_ProdData2_PDI_Cash_Exception_Application[[#This Row],[TODAY]]-qry_ProdData2_PDI_Cash_Exception_Application[[#This Row],[CHANGED ON]]</f>
        <v>8.7429282407392748</v>
      </c>
    </row>
    <row r="2499" spans="1:14" x14ac:dyDescent="0.35">
      <c r="A2499">
        <v>1021</v>
      </c>
      <c r="B2499" t="s">
        <v>75</v>
      </c>
      <c r="C2499" s="1">
        <v>45192.257071759261</v>
      </c>
      <c r="D2499" t="str">
        <f ca="1">VLOOKUP(qry_ProdData2_PDI_Cash_Exception_Application[[#This Row],[TYPE]],#REF!,2,FALSE)</f>
        <v>type2</v>
      </c>
      <c r="E2499">
        <v>1132</v>
      </c>
      <c r="F2499" t="s">
        <v>47</v>
      </c>
      <c r="G2499" s="1">
        <f>qry_ProdData2_PDI_Cash_Exception_Application[[#This Row],[INSERT DATE]]+2</f>
        <v>45194.257071759261</v>
      </c>
      <c r="H2499" t="str">
        <f>VLOOKUP(qry_ProdData2_PDI_Cash_Exception_Application[[#This Row],[MARKET No]],'Site Allocation'!$B$2:$C$37,2,FALSE)</f>
        <v>Analyst4</v>
      </c>
      <c r="I2499" s="4">
        <f t="shared" ca="1" si="39"/>
        <v>45203</v>
      </c>
      <c r="J2499" s="42">
        <f ca="1">TODAY()-qry_ProdData2_PDI_Cash_Exception_Application[[#This Row],[INSERT DATE]]</f>
        <v>10.742928240739275</v>
      </c>
      <c r="K24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499">
        <f ca="1">qry_ProdData2_PDI_Cash_Exception_Application[[#This Row],[TODAY]]-qry_ProdData2_PDI_Cash_Exception_Application[[#This Row],[CHANGED ON]]</f>
        <v>8.7429282407392748</v>
      </c>
      <c r="M2499">
        <f ca="1">qry_ProdData2_PDI_Cash_Exception_Application[[#This Row],[TODAY]]-qry_ProdData2_PDI_Cash_Exception_Application[[#This Row],[CHANGED ON]]</f>
        <v>8.7429282407392748</v>
      </c>
      <c r="N2499">
        <f ca="1">qry_ProdData2_PDI_Cash_Exception_Application[[#This Row],[TODAY]]-qry_ProdData2_PDI_Cash_Exception_Application[[#This Row],[CHANGED ON]]</f>
        <v>8.7429282407392748</v>
      </c>
    </row>
    <row r="2500" spans="1:14" x14ac:dyDescent="0.35">
      <c r="A2500">
        <v>1030</v>
      </c>
      <c r="B2500" t="s">
        <v>84</v>
      </c>
      <c r="C2500" s="1">
        <v>45189.257071759261</v>
      </c>
      <c r="D2500" t="str">
        <f ca="1">VLOOKUP(qry_ProdData2_PDI_Cash_Exception_Application[[#This Row],[TYPE]],#REF!,2,FALSE)</f>
        <v>type40</v>
      </c>
      <c r="E2500">
        <v>-1110.01</v>
      </c>
      <c r="F2500" t="s">
        <v>51</v>
      </c>
      <c r="G2500" s="1">
        <f>qry_ProdData2_PDI_Cash_Exception_Application[[#This Row],[INSERT DATE]]+7</f>
        <v>45196.257071759261</v>
      </c>
      <c r="H2500" t="str">
        <f>VLOOKUP(qry_ProdData2_PDI_Cash_Exception_Application[[#This Row],[MARKET No]],'Site Allocation'!$B$2:$C$37,2,FALSE)</f>
        <v>Analyst6</v>
      </c>
      <c r="I2500" s="4">
        <f t="shared" ca="1" si="39"/>
        <v>45203</v>
      </c>
      <c r="J2500" s="42">
        <f ca="1">TODAY()-qry_ProdData2_PDI_Cash_Exception_Application[[#This Row],[INSERT DATE]]</f>
        <v>13.742928240739275</v>
      </c>
      <c r="K25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00">
        <f ca="1">qry_ProdData2_PDI_Cash_Exception_Application[[#This Row],[TODAY]]-qry_ProdData2_PDI_Cash_Exception_Application[[#This Row],[CHANGED ON]]</f>
        <v>6.7429282407392748</v>
      </c>
      <c r="M2500">
        <f ca="1">qry_ProdData2_PDI_Cash_Exception_Application[[#This Row],[TODAY]]-qry_ProdData2_PDI_Cash_Exception_Application[[#This Row],[CHANGED ON]]</f>
        <v>6.7429282407392748</v>
      </c>
      <c r="N2500">
        <f ca="1">qry_ProdData2_PDI_Cash_Exception_Application[[#This Row],[TODAY]]-qry_ProdData2_PDI_Cash_Exception_Application[[#This Row],[CHANGED ON]]</f>
        <v>6.7429282407392748</v>
      </c>
    </row>
    <row r="2501" spans="1:14" x14ac:dyDescent="0.35">
      <c r="A2501">
        <v>1030</v>
      </c>
      <c r="B2501" t="s">
        <v>84</v>
      </c>
      <c r="C2501" s="1">
        <v>45189.257071759261</v>
      </c>
      <c r="D2501" t="str">
        <f ca="1">VLOOKUP(qry_ProdData2_PDI_Cash_Exception_Application[[#This Row],[TYPE]],#REF!,2,FALSE)</f>
        <v>type54</v>
      </c>
      <c r="E2501">
        <v>-236.73</v>
      </c>
      <c r="F2501" t="s">
        <v>50</v>
      </c>
      <c r="G2501" s="1">
        <f>qry_ProdData2_PDI_Cash_Exception_Application[[#This Row],[INSERT DATE]]+2</f>
        <v>45191.257071759261</v>
      </c>
      <c r="H2501" t="str">
        <f>VLOOKUP(qry_ProdData2_PDI_Cash_Exception_Application[[#This Row],[MARKET No]],'Site Allocation'!$B$2:$C$37,2,FALSE)</f>
        <v>Analyst6</v>
      </c>
      <c r="I2501" s="4">
        <f t="shared" ca="1" si="39"/>
        <v>45203</v>
      </c>
      <c r="J2501" s="42">
        <f ca="1">TODAY()-qry_ProdData2_PDI_Cash_Exception_Application[[#This Row],[INSERT DATE]]</f>
        <v>13.742928240739275</v>
      </c>
      <c r="K25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01">
        <f ca="1">qry_ProdData2_PDI_Cash_Exception_Application[[#This Row],[TODAY]]-qry_ProdData2_PDI_Cash_Exception_Application[[#This Row],[CHANGED ON]]</f>
        <v>11.742928240739275</v>
      </c>
      <c r="M2501">
        <f ca="1">qry_ProdData2_PDI_Cash_Exception_Application[[#This Row],[TODAY]]-qry_ProdData2_PDI_Cash_Exception_Application[[#This Row],[CHANGED ON]]</f>
        <v>11.742928240739275</v>
      </c>
      <c r="N2501">
        <f ca="1">qry_ProdData2_PDI_Cash_Exception_Application[[#This Row],[TODAY]]-qry_ProdData2_PDI_Cash_Exception_Application[[#This Row],[CHANGED ON]]</f>
        <v>11.742928240739275</v>
      </c>
    </row>
    <row r="2502" spans="1:14" x14ac:dyDescent="0.35">
      <c r="A2502">
        <v>1018</v>
      </c>
      <c r="B2502" t="s">
        <v>72</v>
      </c>
      <c r="C2502" s="1">
        <v>45188.257071759261</v>
      </c>
      <c r="D2502" t="str">
        <f ca="1">VLOOKUP(qry_ProdData2_PDI_Cash_Exception_Application[[#This Row],[TYPE]],#REF!,2,FALSE)</f>
        <v>type40</v>
      </c>
      <c r="E2502">
        <v>-344.78</v>
      </c>
      <c r="F2502" t="s">
        <v>48</v>
      </c>
      <c r="G2502" s="1">
        <f>qry_ProdData2_PDI_Cash_Exception_Application[[#This Row],[INSERT DATE]]+2</f>
        <v>45190.257071759261</v>
      </c>
      <c r="H2502" t="str">
        <f>VLOOKUP(qry_ProdData2_PDI_Cash_Exception_Application[[#This Row],[MARKET No]],'Site Allocation'!$B$2:$C$37,2,FALSE)</f>
        <v>Analyst4</v>
      </c>
      <c r="I2502" s="4">
        <f t="shared" ca="1" si="39"/>
        <v>45203</v>
      </c>
      <c r="J2502" s="42">
        <f ca="1">TODAY()-qry_ProdData2_PDI_Cash_Exception_Application[[#This Row],[INSERT DATE]]</f>
        <v>14.742928240739275</v>
      </c>
      <c r="K25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02">
        <f ca="1">qry_ProdData2_PDI_Cash_Exception_Application[[#This Row],[TODAY]]-qry_ProdData2_PDI_Cash_Exception_Application[[#This Row],[CHANGED ON]]</f>
        <v>12.742928240739275</v>
      </c>
      <c r="M2502">
        <f ca="1">qry_ProdData2_PDI_Cash_Exception_Application[[#This Row],[TODAY]]-qry_ProdData2_PDI_Cash_Exception_Application[[#This Row],[CHANGED ON]]</f>
        <v>12.742928240739275</v>
      </c>
      <c r="N2502">
        <f ca="1">qry_ProdData2_PDI_Cash_Exception_Application[[#This Row],[TODAY]]-qry_ProdData2_PDI_Cash_Exception_Application[[#This Row],[CHANGED ON]]</f>
        <v>12.742928240739275</v>
      </c>
    </row>
    <row r="2503" spans="1:14" x14ac:dyDescent="0.35">
      <c r="A2503">
        <v>1022</v>
      </c>
      <c r="B2503" t="s">
        <v>76</v>
      </c>
      <c r="C2503" s="1">
        <v>45185.257071759261</v>
      </c>
      <c r="D2503" t="str">
        <f ca="1">VLOOKUP(qry_ProdData2_PDI_Cash_Exception_Application[[#This Row],[TYPE]],#REF!,2,FALSE)</f>
        <v>type23</v>
      </c>
      <c r="E2503">
        <v>697.21</v>
      </c>
      <c r="F2503" t="s">
        <v>47</v>
      </c>
      <c r="G2503" s="1">
        <f>qry_ProdData2_PDI_Cash_Exception_Application[[#This Row],[INSERT DATE]]+5</f>
        <v>45190.257071759261</v>
      </c>
      <c r="H2503" t="str">
        <f>VLOOKUP(qry_ProdData2_PDI_Cash_Exception_Application[[#This Row],[MARKET No]],'Site Allocation'!$B$2:$C$37,2,FALSE)</f>
        <v>Analyst4</v>
      </c>
      <c r="I2503" s="4">
        <f t="shared" ca="1" si="39"/>
        <v>45203</v>
      </c>
      <c r="J2503" s="42">
        <f ca="1">TODAY()-qry_ProdData2_PDI_Cash_Exception_Application[[#This Row],[INSERT DATE]]</f>
        <v>17.742928240739275</v>
      </c>
      <c r="K25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03">
        <f ca="1">qry_ProdData2_PDI_Cash_Exception_Application[[#This Row],[TODAY]]-qry_ProdData2_PDI_Cash_Exception_Application[[#This Row],[CHANGED ON]]</f>
        <v>12.742928240739275</v>
      </c>
      <c r="M2503">
        <f ca="1">qry_ProdData2_PDI_Cash_Exception_Application[[#This Row],[TODAY]]-qry_ProdData2_PDI_Cash_Exception_Application[[#This Row],[CHANGED ON]]</f>
        <v>12.742928240739275</v>
      </c>
      <c r="N2503">
        <f ca="1">qry_ProdData2_PDI_Cash_Exception_Application[[#This Row],[TODAY]]-qry_ProdData2_PDI_Cash_Exception_Application[[#This Row],[CHANGED ON]]</f>
        <v>12.742928240739275</v>
      </c>
    </row>
    <row r="2504" spans="1:14" x14ac:dyDescent="0.35">
      <c r="A2504">
        <v>1021</v>
      </c>
      <c r="B2504" t="s">
        <v>75</v>
      </c>
      <c r="C2504" s="1">
        <v>45180.257071759261</v>
      </c>
      <c r="D2504" t="str">
        <f ca="1">VLOOKUP(qry_ProdData2_PDI_Cash_Exception_Application[[#This Row],[TYPE]],#REF!,2,FALSE)</f>
        <v>type27</v>
      </c>
      <c r="E2504">
        <v>2792.18</v>
      </c>
      <c r="F2504" t="s">
        <v>51</v>
      </c>
      <c r="G2504" s="1">
        <f>qry_ProdData2_PDI_Cash_Exception_Application[[#This Row],[INSERT DATE]]+7</f>
        <v>45187.257071759261</v>
      </c>
      <c r="H2504" t="str">
        <f>VLOOKUP(qry_ProdData2_PDI_Cash_Exception_Application[[#This Row],[MARKET No]],'Site Allocation'!$B$2:$C$37,2,FALSE)</f>
        <v>Analyst4</v>
      </c>
      <c r="I2504" s="4">
        <f t="shared" ca="1" si="39"/>
        <v>45203</v>
      </c>
      <c r="J2504" s="42">
        <f ca="1">TODAY()-qry_ProdData2_PDI_Cash_Exception_Application[[#This Row],[INSERT DATE]]</f>
        <v>22.742928240739275</v>
      </c>
      <c r="K25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04">
        <f ca="1">qry_ProdData2_PDI_Cash_Exception_Application[[#This Row],[TODAY]]-qry_ProdData2_PDI_Cash_Exception_Application[[#This Row],[CHANGED ON]]</f>
        <v>15.742928240739275</v>
      </c>
      <c r="M2504">
        <f ca="1">qry_ProdData2_PDI_Cash_Exception_Application[[#This Row],[TODAY]]-qry_ProdData2_PDI_Cash_Exception_Application[[#This Row],[CHANGED ON]]</f>
        <v>15.742928240739275</v>
      </c>
      <c r="N2504">
        <f ca="1">qry_ProdData2_PDI_Cash_Exception_Application[[#This Row],[TODAY]]-qry_ProdData2_PDI_Cash_Exception_Application[[#This Row],[CHANGED ON]]</f>
        <v>15.742928240739275</v>
      </c>
    </row>
    <row r="2505" spans="1:14" x14ac:dyDescent="0.35">
      <c r="A2505">
        <v>1019</v>
      </c>
      <c r="B2505" t="s">
        <v>73</v>
      </c>
      <c r="C2505" s="1">
        <v>45189.257071759261</v>
      </c>
      <c r="D2505" t="str">
        <f ca="1">VLOOKUP(qry_ProdData2_PDI_Cash_Exception_Application[[#This Row],[TYPE]],#REF!,2,FALSE)</f>
        <v>type40</v>
      </c>
      <c r="E2505">
        <v>586.80999999999995</v>
      </c>
      <c r="F2505" t="s">
        <v>48</v>
      </c>
      <c r="G2505" s="1">
        <f>qry_ProdData2_PDI_Cash_Exception_Application[[#This Row],[INSERT DATE]]+2</f>
        <v>45191.257071759261</v>
      </c>
      <c r="H2505" t="str">
        <f>VLOOKUP(qry_ProdData2_PDI_Cash_Exception_Application[[#This Row],[MARKET No]],'Site Allocation'!$B$2:$C$37,2,FALSE)</f>
        <v>Analyst4</v>
      </c>
      <c r="I2505" s="4">
        <f t="shared" ca="1" si="39"/>
        <v>45203</v>
      </c>
      <c r="J2505" s="42">
        <f ca="1">TODAY()-qry_ProdData2_PDI_Cash_Exception_Application[[#This Row],[INSERT DATE]]</f>
        <v>13.742928240739275</v>
      </c>
      <c r="K25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05">
        <f ca="1">qry_ProdData2_PDI_Cash_Exception_Application[[#This Row],[TODAY]]-qry_ProdData2_PDI_Cash_Exception_Application[[#This Row],[CHANGED ON]]</f>
        <v>11.742928240739275</v>
      </c>
      <c r="M2505">
        <f ca="1">qry_ProdData2_PDI_Cash_Exception_Application[[#This Row],[TODAY]]-qry_ProdData2_PDI_Cash_Exception_Application[[#This Row],[CHANGED ON]]</f>
        <v>11.742928240739275</v>
      </c>
      <c r="N2505">
        <f ca="1">qry_ProdData2_PDI_Cash_Exception_Application[[#This Row],[TODAY]]-qry_ProdData2_PDI_Cash_Exception_Application[[#This Row],[CHANGED ON]]</f>
        <v>11.742928240739275</v>
      </c>
    </row>
    <row r="2506" spans="1:14" x14ac:dyDescent="0.35">
      <c r="A2506">
        <v>1020</v>
      </c>
      <c r="B2506" t="s">
        <v>74</v>
      </c>
      <c r="C2506" s="1">
        <v>45192.257071759261</v>
      </c>
      <c r="D2506" t="str">
        <f ca="1">VLOOKUP(qry_ProdData2_PDI_Cash_Exception_Application[[#This Row],[TYPE]],#REF!,2,FALSE)</f>
        <v>type40</v>
      </c>
      <c r="E2506">
        <v>610.82000000000005</v>
      </c>
      <c r="F2506" t="s">
        <v>50</v>
      </c>
      <c r="G2506" s="1">
        <f>qry_ProdData2_PDI_Cash_Exception_Application[[#This Row],[INSERT DATE]]+2</f>
        <v>45194.257071759261</v>
      </c>
      <c r="H2506" t="str">
        <f>VLOOKUP(qry_ProdData2_PDI_Cash_Exception_Application[[#This Row],[MARKET No]],'Site Allocation'!$B$2:$C$37,2,FALSE)</f>
        <v>Analyst4</v>
      </c>
      <c r="I2506" s="4">
        <f t="shared" ca="1" si="39"/>
        <v>45203</v>
      </c>
      <c r="J2506" s="42">
        <f ca="1">TODAY()-qry_ProdData2_PDI_Cash_Exception_Application[[#This Row],[INSERT DATE]]</f>
        <v>10.742928240739275</v>
      </c>
      <c r="K25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06">
        <f ca="1">qry_ProdData2_PDI_Cash_Exception_Application[[#This Row],[TODAY]]-qry_ProdData2_PDI_Cash_Exception_Application[[#This Row],[CHANGED ON]]</f>
        <v>8.7429282407392748</v>
      </c>
      <c r="M2506">
        <f ca="1">qry_ProdData2_PDI_Cash_Exception_Application[[#This Row],[TODAY]]-qry_ProdData2_PDI_Cash_Exception_Application[[#This Row],[CHANGED ON]]</f>
        <v>8.7429282407392748</v>
      </c>
      <c r="N2506">
        <f ca="1">qry_ProdData2_PDI_Cash_Exception_Application[[#This Row],[TODAY]]-qry_ProdData2_PDI_Cash_Exception_Application[[#This Row],[CHANGED ON]]</f>
        <v>8.7429282407392748</v>
      </c>
    </row>
    <row r="2507" spans="1:14" x14ac:dyDescent="0.35">
      <c r="A2507">
        <v>1000</v>
      </c>
      <c r="B2507" t="s">
        <v>54</v>
      </c>
      <c r="C2507" s="1">
        <v>45193.257071759261</v>
      </c>
      <c r="D2507" t="str">
        <f ca="1">VLOOKUP(qry_ProdData2_PDI_Cash_Exception_Application[[#This Row],[TYPE]],#REF!,2,FALSE)</f>
        <v>type40</v>
      </c>
      <c r="E2507">
        <v>1111.3399999999999</v>
      </c>
      <c r="F2507" t="s">
        <v>50</v>
      </c>
      <c r="G2507" s="1">
        <f>qry_ProdData2_PDI_Cash_Exception_Application[[#This Row],[INSERT DATE]]+2</f>
        <v>45195.257071759261</v>
      </c>
      <c r="H2507" t="str">
        <f>VLOOKUP(qry_ProdData2_PDI_Cash_Exception_Application[[#This Row],[MARKET No]],'Site Allocation'!$B$2:$C$37,2,FALSE)</f>
        <v>Analyst1</v>
      </c>
      <c r="I2507" s="4">
        <f t="shared" ca="1" si="39"/>
        <v>45203</v>
      </c>
      <c r="J2507" s="42">
        <f ca="1">TODAY()-qry_ProdData2_PDI_Cash_Exception_Application[[#This Row],[INSERT DATE]]</f>
        <v>9.7429282407392748</v>
      </c>
      <c r="K25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07">
        <f ca="1">qry_ProdData2_PDI_Cash_Exception_Application[[#This Row],[TODAY]]-qry_ProdData2_PDI_Cash_Exception_Application[[#This Row],[CHANGED ON]]</f>
        <v>7.7429282407392748</v>
      </c>
      <c r="M2507">
        <f ca="1">qry_ProdData2_PDI_Cash_Exception_Application[[#This Row],[TODAY]]-qry_ProdData2_PDI_Cash_Exception_Application[[#This Row],[CHANGED ON]]</f>
        <v>7.7429282407392748</v>
      </c>
      <c r="N2507">
        <f ca="1">qry_ProdData2_PDI_Cash_Exception_Application[[#This Row],[TODAY]]-qry_ProdData2_PDI_Cash_Exception_Application[[#This Row],[CHANGED ON]]</f>
        <v>7.7429282407392748</v>
      </c>
    </row>
    <row r="2508" spans="1:14" x14ac:dyDescent="0.35">
      <c r="A2508">
        <v>1033</v>
      </c>
      <c r="B2508" t="s">
        <v>87</v>
      </c>
      <c r="C2508" s="1">
        <v>45183.257071759261</v>
      </c>
      <c r="D2508" t="str">
        <f ca="1">VLOOKUP(qry_ProdData2_PDI_Cash_Exception_Application[[#This Row],[TYPE]],#REF!,2,FALSE)</f>
        <v>type32</v>
      </c>
      <c r="E2508">
        <v>1261.44</v>
      </c>
      <c r="F2508" t="s">
        <v>51</v>
      </c>
      <c r="G2508" s="1">
        <f>qry_ProdData2_PDI_Cash_Exception_Application[[#This Row],[INSERT DATE]]+1</f>
        <v>45184.257071759261</v>
      </c>
      <c r="H2508" t="str">
        <f>VLOOKUP(qry_ProdData2_PDI_Cash_Exception_Application[[#This Row],[MARKET No]],'Site Allocation'!$B$2:$C$37,2,FALSE)</f>
        <v>Analyst6</v>
      </c>
      <c r="I2508" s="4">
        <f t="shared" ca="1" si="39"/>
        <v>45203</v>
      </c>
      <c r="J2508" s="42">
        <f ca="1">TODAY()-qry_ProdData2_PDI_Cash_Exception_Application[[#This Row],[INSERT DATE]]</f>
        <v>19.742928240739275</v>
      </c>
      <c r="K25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08">
        <f ca="1">qry_ProdData2_PDI_Cash_Exception_Application[[#This Row],[TODAY]]-qry_ProdData2_PDI_Cash_Exception_Application[[#This Row],[CHANGED ON]]</f>
        <v>18.742928240739275</v>
      </c>
      <c r="M2508">
        <f ca="1">qry_ProdData2_PDI_Cash_Exception_Application[[#This Row],[TODAY]]-qry_ProdData2_PDI_Cash_Exception_Application[[#This Row],[CHANGED ON]]</f>
        <v>18.742928240739275</v>
      </c>
      <c r="N2508">
        <f ca="1">qry_ProdData2_PDI_Cash_Exception_Application[[#This Row],[TODAY]]-qry_ProdData2_PDI_Cash_Exception_Application[[#This Row],[CHANGED ON]]</f>
        <v>18.742928240739275</v>
      </c>
    </row>
    <row r="2509" spans="1:14" x14ac:dyDescent="0.35">
      <c r="A2509">
        <v>1010</v>
      </c>
      <c r="B2509" t="s">
        <v>64</v>
      </c>
      <c r="C2509" s="1">
        <v>45195.257071759261</v>
      </c>
      <c r="D2509" t="str">
        <f ca="1">VLOOKUP(qry_ProdData2_PDI_Cash_Exception_Application[[#This Row],[TYPE]],#REF!,2,FALSE)</f>
        <v>type40</v>
      </c>
      <c r="E2509">
        <v>-908.23</v>
      </c>
      <c r="F2509" t="s">
        <v>50</v>
      </c>
      <c r="G2509" s="1">
        <f>qry_ProdData2_PDI_Cash_Exception_Application[[#This Row],[INSERT DATE]]+2</f>
        <v>45197.257071759261</v>
      </c>
      <c r="H2509" t="str">
        <f>VLOOKUP(qry_ProdData2_PDI_Cash_Exception_Application[[#This Row],[MARKET No]],'Site Allocation'!$B$2:$C$37,2,FALSE)</f>
        <v>Analyst2</v>
      </c>
      <c r="I2509" s="4">
        <f t="shared" ca="1" si="39"/>
        <v>45203</v>
      </c>
      <c r="J2509" s="42">
        <f ca="1">TODAY()-qry_ProdData2_PDI_Cash_Exception_Application[[#This Row],[INSERT DATE]]</f>
        <v>7.7429282407392748</v>
      </c>
      <c r="K25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509">
        <f ca="1">qry_ProdData2_PDI_Cash_Exception_Application[[#This Row],[TODAY]]-qry_ProdData2_PDI_Cash_Exception_Application[[#This Row],[CHANGED ON]]</f>
        <v>5.7429282407392748</v>
      </c>
      <c r="M2509">
        <f ca="1">qry_ProdData2_PDI_Cash_Exception_Application[[#This Row],[TODAY]]-qry_ProdData2_PDI_Cash_Exception_Application[[#This Row],[CHANGED ON]]</f>
        <v>5.7429282407392748</v>
      </c>
      <c r="N2509">
        <f ca="1">qry_ProdData2_PDI_Cash_Exception_Application[[#This Row],[TODAY]]-qry_ProdData2_PDI_Cash_Exception_Application[[#This Row],[CHANGED ON]]</f>
        <v>5.7429282407392748</v>
      </c>
    </row>
    <row r="2510" spans="1:14" x14ac:dyDescent="0.35">
      <c r="A2510">
        <v>1010</v>
      </c>
      <c r="B2510" t="s">
        <v>64</v>
      </c>
      <c r="C2510" s="1">
        <v>45185.257071759261</v>
      </c>
      <c r="D2510" t="str">
        <f ca="1">VLOOKUP(qry_ProdData2_PDI_Cash_Exception_Application[[#This Row],[TYPE]],#REF!,2,FALSE)</f>
        <v>type5</v>
      </c>
      <c r="E2510">
        <v>612</v>
      </c>
      <c r="F2510" t="s">
        <v>51</v>
      </c>
      <c r="G2510" s="1">
        <f>qry_ProdData2_PDI_Cash_Exception_Application[[#This Row],[INSERT DATE]]+1</f>
        <v>45186.257071759261</v>
      </c>
      <c r="H2510" t="str">
        <f>VLOOKUP(qry_ProdData2_PDI_Cash_Exception_Application[[#This Row],[MARKET No]],'Site Allocation'!$B$2:$C$37,2,FALSE)</f>
        <v>Analyst2</v>
      </c>
      <c r="I2510" s="4">
        <f t="shared" ca="1" si="39"/>
        <v>45203</v>
      </c>
      <c r="J2510" s="42">
        <f ca="1">TODAY()-qry_ProdData2_PDI_Cash_Exception_Application[[#This Row],[INSERT DATE]]</f>
        <v>17.742928240739275</v>
      </c>
      <c r="K25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10">
        <f ca="1">qry_ProdData2_PDI_Cash_Exception_Application[[#This Row],[TODAY]]-qry_ProdData2_PDI_Cash_Exception_Application[[#This Row],[CHANGED ON]]</f>
        <v>16.742928240739275</v>
      </c>
      <c r="M2510">
        <f ca="1">qry_ProdData2_PDI_Cash_Exception_Application[[#This Row],[TODAY]]-qry_ProdData2_PDI_Cash_Exception_Application[[#This Row],[CHANGED ON]]</f>
        <v>16.742928240739275</v>
      </c>
      <c r="N2510">
        <f ca="1">qry_ProdData2_PDI_Cash_Exception_Application[[#This Row],[TODAY]]-qry_ProdData2_PDI_Cash_Exception_Application[[#This Row],[CHANGED ON]]</f>
        <v>16.742928240739275</v>
      </c>
    </row>
    <row r="2511" spans="1:14" x14ac:dyDescent="0.35">
      <c r="A2511">
        <v>1011</v>
      </c>
      <c r="B2511" t="s">
        <v>65</v>
      </c>
      <c r="C2511" s="1">
        <v>45187.257071759261</v>
      </c>
      <c r="D2511" t="str">
        <f ca="1">VLOOKUP(qry_ProdData2_PDI_Cash_Exception_Application[[#This Row],[TYPE]],#REF!,2,FALSE)</f>
        <v>type40</v>
      </c>
      <c r="E2511">
        <v>690.26</v>
      </c>
      <c r="F2511" t="s">
        <v>51</v>
      </c>
      <c r="G2511" s="1">
        <f>qry_ProdData2_PDI_Cash_Exception_Application[[#This Row],[INSERT DATE]]+1</f>
        <v>45188.257071759261</v>
      </c>
      <c r="H2511" t="str">
        <f>VLOOKUP(qry_ProdData2_PDI_Cash_Exception_Application[[#This Row],[MARKET No]],'Site Allocation'!$B$2:$C$37,2,FALSE)</f>
        <v>Analyst2</v>
      </c>
      <c r="I2511" s="4">
        <f t="shared" ca="1" si="39"/>
        <v>45203</v>
      </c>
      <c r="J2511" s="42">
        <f ca="1">TODAY()-qry_ProdData2_PDI_Cash_Exception_Application[[#This Row],[INSERT DATE]]</f>
        <v>15.742928240739275</v>
      </c>
      <c r="K25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11">
        <f ca="1">qry_ProdData2_PDI_Cash_Exception_Application[[#This Row],[TODAY]]-qry_ProdData2_PDI_Cash_Exception_Application[[#This Row],[CHANGED ON]]</f>
        <v>14.742928240739275</v>
      </c>
      <c r="M2511">
        <f ca="1">qry_ProdData2_PDI_Cash_Exception_Application[[#This Row],[TODAY]]-qry_ProdData2_PDI_Cash_Exception_Application[[#This Row],[CHANGED ON]]</f>
        <v>14.742928240739275</v>
      </c>
      <c r="N2511">
        <f ca="1">qry_ProdData2_PDI_Cash_Exception_Application[[#This Row],[TODAY]]-qry_ProdData2_PDI_Cash_Exception_Application[[#This Row],[CHANGED ON]]</f>
        <v>14.742928240739275</v>
      </c>
    </row>
    <row r="2512" spans="1:14" x14ac:dyDescent="0.35">
      <c r="A2512">
        <v>1032</v>
      </c>
      <c r="B2512" t="s">
        <v>86</v>
      </c>
      <c r="C2512" s="1">
        <v>45187.257071759261</v>
      </c>
      <c r="D2512" t="str">
        <f ca="1">VLOOKUP(qry_ProdData2_PDI_Cash_Exception_Application[[#This Row],[TYPE]],#REF!,2,FALSE)</f>
        <v>type41</v>
      </c>
      <c r="E2512">
        <v>631.17999999999995</v>
      </c>
      <c r="F2512" t="s">
        <v>47</v>
      </c>
      <c r="G2512" s="1">
        <f>qry_ProdData2_PDI_Cash_Exception_Application[[#This Row],[INSERT DATE]]+5</f>
        <v>45192.257071759261</v>
      </c>
      <c r="H2512" t="str">
        <f>VLOOKUP(qry_ProdData2_PDI_Cash_Exception_Application[[#This Row],[MARKET No]],'Site Allocation'!$B$2:$C$37,2,FALSE)</f>
        <v>Analyst6</v>
      </c>
      <c r="I2512" s="4">
        <f t="shared" ca="1" si="39"/>
        <v>45203</v>
      </c>
      <c r="J2512" s="42">
        <f ca="1">TODAY()-qry_ProdData2_PDI_Cash_Exception_Application[[#This Row],[INSERT DATE]]</f>
        <v>15.742928240739275</v>
      </c>
      <c r="K25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12">
        <f ca="1">qry_ProdData2_PDI_Cash_Exception_Application[[#This Row],[TODAY]]-qry_ProdData2_PDI_Cash_Exception_Application[[#This Row],[CHANGED ON]]</f>
        <v>10.742928240739275</v>
      </c>
      <c r="M2512">
        <f ca="1">qry_ProdData2_PDI_Cash_Exception_Application[[#This Row],[TODAY]]-qry_ProdData2_PDI_Cash_Exception_Application[[#This Row],[CHANGED ON]]</f>
        <v>10.742928240739275</v>
      </c>
      <c r="N2512">
        <f ca="1">qry_ProdData2_PDI_Cash_Exception_Application[[#This Row],[TODAY]]-qry_ProdData2_PDI_Cash_Exception_Application[[#This Row],[CHANGED ON]]</f>
        <v>10.742928240739275</v>
      </c>
    </row>
    <row r="2513" spans="1:14" x14ac:dyDescent="0.35">
      <c r="A2513">
        <v>1018</v>
      </c>
      <c r="B2513" t="s">
        <v>72</v>
      </c>
      <c r="C2513" s="1">
        <v>45180.257071759261</v>
      </c>
      <c r="D2513" t="str">
        <f ca="1">VLOOKUP(qry_ProdData2_PDI_Cash_Exception_Application[[#This Row],[TYPE]],#REF!,2,FALSE)</f>
        <v>type40</v>
      </c>
      <c r="E2513">
        <v>-987.52</v>
      </c>
      <c r="F2513" t="s">
        <v>52</v>
      </c>
      <c r="G2513" s="1">
        <f>qry_ProdData2_PDI_Cash_Exception_Application[[#This Row],[INSERT DATE]]+5</f>
        <v>45185.257071759261</v>
      </c>
      <c r="H2513" t="str">
        <f>VLOOKUP(qry_ProdData2_PDI_Cash_Exception_Application[[#This Row],[MARKET No]],'Site Allocation'!$B$2:$C$37,2,FALSE)</f>
        <v>Analyst4</v>
      </c>
      <c r="I2513" s="4">
        <f t="shared" ca="1" si="39"/>
        <v>45203</v>
      </c>
      <c r="J2513" s="42">
        <f ca="1">TODAY()-qry_ProdData2_PDI_Cash_Exception_Application[[#This Row],[INSERT DATE]]</f>
        <v>22.742928240739275</v>
      </c>
      <c r="K25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13">
        <f ca="1">qry_ProdData2_PDI_Cash_Exception_Application[[#This Row],[TODAY]]-qry_ProdData2_PDI_Cash_Exception_Application[[#This Row],[CHANGED ON]]</f>
        <v>17.742928240739275</v>
      </c>
      <c r="M2513">
        <f ca="1">qry_ProdData2_PDI_Cash_Exception_Application[[#This Row],[TODAY]]-qry_ProdData2_PDI_Cash_Exception_Application[[#This Row],[CHANGED ON]]</f>
        <v>17.742928240739275</v>
      </c>
      <c r="N2513">
        <f ca="1">qry_ProdData2_PDI_Cash_Exception_Application[[#This Row],[TODAY]]-qry_ProdData2_PDI_Cash_Exception_Application[[#This Row],[CHANGED ON]]</f>
        <v>17.742928240739275</v>
      </c>
    </row>
    <row r="2514" spans="1:14" x14ac:dyDescent="0.35">
      <c r="A2514">
        <v>1013</v>
      </c>
      <c r="B2514" t="s">
        <v>67</v>
      </c>
      <c r="C2514" s="1">
        <v>45181.257071759261</v>
      </c>
      <c r="D2514" t="str">
        <f ca="1">VLOOKUP(qry_ProdData2_PDI_Cash_Exception_Application[[#This Row],[TYPE]],#REF!,2,FALSE)</f>
        <v>type40</v>
      </c>
      <c r="E2514">
        <v>338.58</v>
      </c>
      <c r="F2514" t="s">
        <v>50</v>
      </c>
      <c r="G2514" s="1">
        <f>qry_ProdData2_PDI_Cash_Exception_Application[[#This Row],[INSERT DATE]]+5</f>
        <v>45186.257071759261</v>
      </c>
      <c r="H2514" t="str">
        <f>VLOOKUP(qry_ProdData2_PDI_Cash_Exception_Application[[#This Row],[MARKET No]],'Site Allocation'!$B$2:$C$37,2,FALSE)</f>
        <v>Analyst3</v>
      </c>
      <c r="I2514" s="4">
        <f t="shared" ca="1" si="39"/>
        <v>45203</v>
      </c>
      <c r="J2514" s="42">
        <f ca="1">TODAY()-qry_ProdData2_PDI_Cash_Exception_Application[[#This Row],[INSERT DATE]]</f>
        <v>21.742928240739275</v>
      </c>
      <c r="K25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14">
        <f ca="1">qry_ProdData2_PDI_Cash_Exception_Application[[#This Row],[TODAY]]-qry_ProdData2_PDI_Cash_Exception_Application[[#This Row],[CHANGED ON]]</f>
        <v>16.742928240739275</v>
      </c>
      <c r="M2514">
        <f ca="1">qry_ProdData2_PDI_Cash_Exception_Application[[#This Row],[TODAY]]-qry_ProdData2_PDI_Cash_Exception_Application[[#This Row],[CHANGED ON]]</f>
        <v>16.742928240739275</v>
      </c>
      <c r="N2514">
        <f ca="1">qry_ProdData2_PDI_Cash_Exception_Application[[#This Row],[TODAY]]-qry_ProdData2_PDI_Cash_Exception_Application[[#This Row],[CHANGED ON]]</f>
        <v>16.742928240739275</v>
      </c>
    </row>
    <row r="2515" spans="1:14" x14ac:dyDescent="0.35">
      <c r="A2515">
        <v>1001</v>
      </c>
      <c r="B2515" t="s">
        <v>55</v>
      </c>
      <c r="C2515" s="1">
        <v>45182.257071759261</v>
      </c>
      <c r="D2515" t="str">
        <f ca="1">VLOOKUP(qry_ProdData2_PDI_Cash_Exception_Application[[#This Row],[TYPE]],#REF!,2,FALSE)</f>
        <v>type26</v>
      </c>
      <c r="E2515">
        <v>132.99</v>
      </c>
      <c r="F2515" t="s">
        <v>52</v>
      </c>
      <c r="G2515" s="1">
        <f>qry_ProdData2_PDI_Cash_Exception_Application[[#This Row],[INSERT DATE]]+5</f>
        <v>45187.257071759261</v>
      </c>
      <c r="H2515" t="str">
        <f>VLOOKUP(qry_ProdData2_PDI_Cash_Exception_Application[[#This Row],[MARKET No]],'Site Allocation'!$B$2:$C$37,2,FALSE)</f>
        <v>Analyst1</v>
      </c>
      <c r="I2515" s="4">
        <f t="shared" ca="1" si="39"/>
        <v>45203</v>
      </c>
      <c r="J2515" s="42">
        <f ca="1">TODAY()-qry_ProdData2_PDI_Cash_Exception_Application[[#This Row],[INSERT DATE]]</f>
        <v>20.742928240739275</v>
      </c>
      <c r="K25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15">
        <f ca="1">qry_ProdData2_PDI_Cash_Exception_Application[[#This Row],[TODAY]]-qry_ProdData2_PDI_Cash_Exception_Application[[#This Row],[CHANGED ON]]</f>
        <v>15.742928240739275</v>
      </c>
      <c r="M2515">
        <f ca="1">qry_ProdData2_PDI_Cash_Exception_Application[[#This Row],[TODAY]]-qry_ProdData2_PDI_Cash_Exception_Application[[#This Row],[CHANGED ON]]</f>
        <v>15.742928240739275</v>
      </c>
      <c r="N2515">
        <f ca="1">qry_ProdData2_PDI_Cash_Exception_Application[[#This Row],[TODAY]]-qry_ProdData2_PDI_Cash_Exception_Application[[#This Row],[CHANGED ON]]</f>
        <v>15.742928240739275</v>
      </c>
    </row>
    <row r="2516" spans="1:14" x14ac:dyDescent="0.35">
      <c r="A2516">
        <v>1003</v>
      </c>
      <c r="B2516" t="s">
        <v>57</v>
      </c>
      <c r="C2516" s="1">
        <v>45190.257071759261</v>
      </c>
      <c r="D2516" t="str">
        <f ca="1">VLOOKUP(qry_ProdData2_PDI_Cash_Exception_Application[[#This Row],[TYPE]],#REF!,2,FALSE)</f>
        <v>type38</v>
      </c>
      <c r="E2516">
        <v>203.58</v>
      </c>
      <c r="F2516" t="s">
        <v>48</v>
      </c>
      <c r="G2516" s="1">
        <f>qry_ProdData2_PDI_Cash_Exception_Application[[#This Row],[INSERT DATE]]+5</f>
        <v>45195.257071759261</v>
      </c>
      <c r="H2516" t="str">
        <f>VLOOKUP(qry_ProdData2_PDI_Cash_Exception_Application[[#This Row],[MARKET No]],'Site Allocation'!$B$2:$C$37,2,FALSE)</f>
        <v>Analyst1</v>
      </c>
      <c r="I2516" s="4">
        <f t="shared" ca="1" si="39"/>
        <v>45203</v>
      </c>
      <c r="J2516" s="42">
        <f ca="1">TODAY()-qry_ProdData2_PDI_Cash_Exception_Application[[#This Row],[INSERT DATE]]</f>
        <v>12.742928240739275</v>
      </c>
      <c r="K25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16">
        <f ca="1">qry_ProdData2_PDI_Cash_Exception_Application[[#This Row],[TODAY]]-qry_ProdData2_PDI_Cash_Exception_Application[[#This Row],[CHANGED ON]]</f>
        <v>7.7429282407392748</v>
      </c>
      <c r="M2516">
        <f ca="1">qry_ProdData2_PDI_Cash_Exception_Application[[#This Row],[TODAY]]-qry_ProdData2_PDI_Cash_Exception_Application[[#This Row],[CHANGED ON]]</f>
        <v>7.7429282407392748</v>
      </c>
      <c r="N2516">
        <f ca="1">qry_ProdData2_PDI_Cash_Exception_Application[[#This Row],[TODAY]]-qry_ProdData2_PDI_Cash_Exception_Application[[#This Row],[CHANGED ON]]</f>
        <v>7.7429282407392748</v>
      </c>
    </row>
    <row r="2517" spans="1:14" x14ac:dyDescent="0.35">
      <c r="A2517">
        <v>1008</v>
      </c>
      <c r="B2517" t="s">
        <v>62</v>
      </c>
      <c r="C2517" s="1">
        <v>45188.257071759261</v>
      </c>
      <c r="D2517" t="str">
        <f ca="1">VLOOKUP(qry_ProdData2_PDI_Cash_Exception_Application[[#This Row],[TYPE]],#REF!,2,FALSE)</f>
        <v>type40</v>
      </c>
      <c r="E2517">
        <v>-378.73</v>
      </c>
      <c r="F2517" t="s">
        <v>49</v>
      </c>
      <c r="G2517" s="1">
        <f>qry_ProdData2_PDI_Cash_Exception_Application[[#This Row],[INSERT DATE]]+7</f>
        <v>45195.257071759261</v>
      </c>
      <c r="H2517" t="str">
        <f>VLOOKUP(qry_ProdData2_PDI_Cash_Exception_Application[[#This Row],[MARKET No]],'Site Allocation'!$B$2:$C$37,2,FALSE)</f>
        <v>Analyst2</v>
      </c>
      <c r="I2517" s="4">
        <f t="shared" ca="1" si="39"/>
        <v>45203</v>
      </c>
      <c r="J2517" s="42">
        <f ca="1">TODAY()-qry_ProdData2_PDI_Cash_Exception_Application[[#This Row],[INSERT DATE]]</f>
        <v>14.742928240739275</v>
      </c>
      <c r="K25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17">
        <f ca="1">qry_ProdData2_PDI_Cash_Exception_Application[[#This Row],[TODAY]]-qry_ProdData2_PDI_Cash_Exception_Application[[#This Row],[CHANGED ON]]</f>
        <v>7.7429282407392748</v>
      </c>
      <c r="M2517">
        <f ca="1">qry_ProdData2_PDI_Cash_Exception_Application[[#This Row],[TODAY]]-qry_ProdData2_PDI_Cash_Exception_Application[[#This Row],[CHANGED ON]]</f>
        <v>7.7429282407392748</v>
      </c>
      <c r="N2517">
        <f ca="1">qry_ProdData2_PDI_Cash_Exception_Application[[#This Row],[TODAY]]-qry_ProdData2_PDI_Cash_Exception_Application[[#This Row],[CHANGED ON]]</f>
        <v>7.7429282407392748</v>
      </c>
    </row>
    <row r="2518" spans="1:14" x14ac:dyDescent="0.35">
      <c r="A2518">
        <v>1032</v>
      </c>
      <c r="B2518" t="s">
        <v>86</v>
      </c>
      <c r="C2518" s="1">
        <v>45180.257071759261</v>
      </c>
      <c r="D2518" t="str">
        <f ca="1">VLOOKUP(qry_ProdData2_PDI_Cash_Exception_Application[[#This Row],[TYPE]],#REF!,2,FALSE)</f>
        <v>type40</v>
      </c>
      <c r="E2518">
        <v>-352.72</v>
      </c>
      <c r="F2518" t="s">
        <v>49</v>
      </c>
      <c r="G2518" s="1">
        <f>qry_ProdData2_PDI_Cash_Exception_Application[[#This Row],[INSERT DATE]]+1</f>
        <v>45181.257071759261</v>
      </c>
      <c r="H2518" t="str">
        <f>VLOOKUP(qry_ProdData2_PDI_Cash_Exception_Application[[#This Row],[MARKET No]],'Site Allocation'!$B$2:$C$37,2,FALSE)</f>
        <v>Analyst6</v>
      </c>
      <c r="I2518" s="4">
        <f t="shared" ca="1" si="39"/>
        <v>45203</v>
      </c>
      <c r="J2518" s="42">
        <f ca="1">TODAY()-qry_ProdData2_PDI_Cash_Exception_Application[[#This Row],[INSERT DATE]]</f>
        <v>22.742928240739275</v>
      </c>
      <c r="K25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18">
        <f ca="1">qry_ProdData2_PDI_Cash_Exception_Application[[#This Row],[TODAY]]-qry_ProdData2_PDI_Cash_Exception_Application[[#This Row],[CHANGED ON]]</f>
        <v>21.742928240739275</v>
      </c>
      <c r="M2518">
        <f ca="1">qry_ProdData2_PDI_Cash_Exception_Application[[#This Row],[TODAY]]-qry_ProdData2_PDI_Cash_Exception_Application[[#This Row],[CHANGED ON]]</f>
        <v>21.742928240739275</v>
      </c>
      <c r="N2518">
        <f ca="1">qry_ProdData2_PDI_Cash_Exception_Application[[#This Row],[TODAY]]-qry_ProdData2_PDI_Cash_Exception_Application[[#This Row],[CHANGED ON]]</f>
        <v>21.742928240739275</v>
      </c>
    </row>
    <row r="2519" spans="1:14" x14ac:dyDescent="0.35">
      <c r="A2519">
        <v>1029</v>
      </c>
      <c r="B2519" t="s">
        <v>83</v>
      </c>
      <c r="C2519" s="1">
        <v>45181.257071759261</v>
      </c>
      <c r="D2519" t="str">
        <f ca="1">VLOOKUP(qry_ProdData2_PDI_Cash_Exception_Application[[#This Row],[TYPE]],#REF!,2,FALSE)</f>
        <v>type40</v>
      </c>
      <c r="E2519">
        <v>-50</v>
      </c>
      <c r="F2519" t="s">
        <v>49</v>
      </c>
      <c r="G2519" s="1">
        <f>qry_ProdData2_PDI_Cash_Exception_Application[[#This Row],[INSERT DATE]]+1</f>
        <v>45182.257071759261</v>
      </c>
      <c r="H2519" t="str">
        <f>VLOOKUP(qry_ProdData2_PDI_Cash_Exception_Application[[#This Row],[MARKET No]],'Site Allocation'!$B$2:$C$37,2,FALSE)</f>
        <v>Analyst5</v>
      </c>
      <c r="I2519" s="4">
        <f t="shared" ca="1" si="39"/>
        <v>45203</v>
      </c>
      <c r="J2519" s="42">
        <f ca="1">TODAY()-qry_ProdData2_PDI_Cash_Exception_Application[[#This Row],[INSERT DATE]]</f>
        <v>21.742928240739275</v>
      </c>
      <c r="K25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19">
        <f ca="1">qry_ProdData2_PDI_Cash_Exception_Application[[#This Row],[TODAY]]-qry_ProdData2_PDI_Cash_Exception_Application[[#This Row],[CHANGED ON]]</f>
        <v>20.742928240739275</v>
      </c>
      <c r="M2519">
        <f ca="1">qry_ProdData2_PDI_Cash_Exception_Application[[#This Row],[TODAY]]-qry_ProdData2_PDI_Cash_Exception_Application[[#This Row],[CHANGED ON]]</f>
        <v>20.742928240739275</v>
      </c>
      <c r="N2519">
        <f ca="1">qry_ProdData2_PDI_Cash_Exception_Application[[#This Row],[TODAY]]-qry_ProdData2_PDI_Cash_Exception_Application[[#This Row],[CHANGED ON]]</f>
        <v>20.742928240739275</v>
      </c>
    </row>
    <row r="2520" spans="1:14" x14ac:dyDescent="0.35">
      <c r="A2520">
        <v>1027</v>
      </c>
      <c r="B2520" t="s">
        <v>81</v>
      </c>
      <c r="C2520" s="1">
        <v>45183.257071759261</v>
      </c>
      <c r="D2520" t="str">
        <f ca="1">VLOOKUP(qry_ProdData2_PDI_Cash_Exception_Application[[#This Row],[TYPE]],#REF!,2,FALSE)</f>
        <v>type29</v>
      </c>
      <c r="E2520">
        <v>357.23</v>
      </c>
      <c r="F2520" t="s">
        <v>49</v>
      </c>
      <c r="G2520" s="1">
        <f>qry_ProdData2_PDI_Cash_Exception_Application[[#This Row],[INSERT DATE]]+1</f>
        <v>45184.257071759261</v>
      </c>
      <c r="H2520" t="str">
        <f>VLOOKUP(qry_ProdData2_PDI_Cash_Exception_Application[[#This Row],[MARKET No]],'Site Allocation'!$B$2:$C$37,2,FALSE)</f>
        <v>Analyst5</v>
      </c>
      <c r="I2520" s="4">
        <f t="shared" ca="1" si="39"/>
        <v>45203</v>
      </c>
      <c r="J2520" s="42">
        <f ca="1">TODAY()-qry_ProdData2_PDI_Cash_Exception_Application[[#This Row],[INSERT DATE]]</f>
        <v>19.742928240739275</v>
      </c>
      <c r="K25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20">
        <f ca="1">qry_ProdData2_PDI_Cash_Exception_Application[[#This Row],[TODAY]]-qry_ProdData2_PDI_Cash_Exception_Application[[#This Row],[CHANGED ON]]</f>
        <v>18.742928240739275</v>
      </c>
      <c r="M2520">
        <f ca="1">qry_ProdData2_PDI_Cash_Exception_Application[[#This Row],[TODAY]]-qry_ProdData2_PDI_Cash_Exception_Application[[#This Row],[CHANGED ON]]</f>
        <v>18.742928240739275</v>
      </c>
      <c r="N2520">
        <f ca="1">qry_ProdData2_PDI_Cash_Exception_Application[[#This Row],[TODAY]]-qry_ProdData2_PDI_Cash_Exception_Application[[#This Row],[CHANGED ON]]</f>
        <v>18.742928240739275</v>
      </c>
    </row>
    <row r="2521" spans="1:14" x14ac:dyDescent="0.35">
      <c r="A2521">
        <v>1024</v>
      </c>
      <c r="B2521" t="s">
        <v>78</v>
      </c>
      <c r="C2521" s="1">
        <v>45190.257071759261</v>
      </c>
      <c r="D2521" t="str">
        <f ca="1">VLOOKUP(qry_ProdData2_PDI_Cash_Exception_Application[[#This Row],[TYPE]],#REF!,2,FALSE)</f>
        <v>type40</v>
      </c>
      <c r="E2521">
        <v>-869.53</v>
      </c>
      <c r="F2521" t="s">
        <v>48</v>
      </c>
      <c r="G2521" s="1">
        <f>qry_ProdData2_PDI_Cash_Exception_Application[[#This Row],[INSERT DATE]]+7</f>
        <v>45197.257071759261</v>
      </c>
      <c r="H2521" t="str">
        <f>VLOOKUP(qry_ProdData2_PDI_Cash_Exception_Application[[#This Row],[MARKET No]],'Site Allocation'!$B$2:$C$37,2,FALSE)</f>
        <v>Analyst5</v>
      </c>
      <c r="I2521" s="4">
        <f t="shared" ca="1" si="39"/>
        <v>45203</v>
      </c>
      <c r="J2521" s="42">
        <f ca="1">TODAY()-qry_ProdData2_PDI_Cash_Exception_Application[[#This Row],[INSERT DATE]]</f>
        <v>12.742928240739275</v>
      </c>
      <c r="K25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21">
        <f ca="1">qry_ProdData2_PDI_Cash_Exception_Application[[#This Row],[TODAY]]-qry_ProdData2_PDI_Cash_Exception_Application[[#This Row],[CHANGED ON]]</f>
        <v>5.7429282407392748</v>
      </c>
      <c r="M2521">
        <f ca="1">qry_ProdData2_PDI_Cash_Exception_Application[[#This Row],[TODAY]]-qry_ProdData2_PDI_Cash_Exception_Application[[#This Row],[CHANGED ON]]</f>
        <v>5.7429282407392748</v>
      </c>
      <c r="N2521">
        <f ca="1">qry_ProdData2_PDI_Cash_Exception_Application[[#This Row],[TODAY]]-qry_ProdData2_PDI_Cash_Exception_Application[[#This Row],[CHANGED ON]]</f>
        <v>5.7429282407392748</v>
      </c>
    </row>
    <row r="2522" spans="1:14" x14ac:dyDescent="0.35">
      <c r="A2522">
        <v>1012</v>
      </c>
      <c r="B2522" t="s">
        <v>66</v>
      </c>
      <c r="C2522" s="1">
        <v>45185.257071759261</v>
      </c>
      <c r="D2522" t="str">
        <f ca="1">VLOOKUP(qry_ProdData2_PDI_Cash_Exception_Application[[#This Row],[TYPE]],#REF!,2,FALSE)</f>
        <v>type40</v>
      </c>
      <c r="E2522">
        <v>10</v>
      </c>
      <c r="F2522" t="s">
        <v>52</v>
      </c>
      <c r="G2522" s="1">
        <f>qry_ProdData2_PDI_Cash_Exception_Application[[#This Row],[INSERT DATE]]+7</f>
        <v>45192.257071759261</v>
      </c>
      <c r="H2522" t="str">
        <f>VLOOKUP(qry_ProdData2_PDI_Cash_Exception_Application[[#This Row],[MARKET No]],'Site Allocation'!$B$2:$C$37,2,FALSE)</f>
        <v>Analyst3</v>
      </c>
      <c r="I2522" s="4">
        <f t="shared" ca="1" si="39"/>
        <v>45203</v>
      </c>
      <c r="J2522" s="42">
        <f ca="1">TODAY()-qry_ProdData2_PDI_Cash_Exception_Application[[#This Row],[INSERT DATE]]</f>
        <v>17.742928240739275</v>
      </c>
      <c r="K25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22">
        <f ca="1">qry_ProdData2_PDI_Cash_Exception_Application[[#This Row],[TODAY]]-qry_ProdData2_PDI_Cash_Exception_Application[[#This Row],[CHANGED ON]]</f>
        <v>10.742928240739275</v>
      </c>
      <c r="M2522">
        <f ca="1">qry_ProdData2_PDI_Cash_Exception_Application[[#This Row],[TODAY]]-qry_ProdData2_PDI_Cash_Exception_Application[[#This Row],[CHANGED ON]]</f>
        <v>10.742928240739275</v>
      </c>
      <c r="N2522">
        <f ca="1">qry_ProdData2_PDI_Cash_Exception_Application[[#This Row],[TODAY]]-qry_ProdData2_PDI_Cash_Exception_Application[[#This Row],[CHANGED ON]]</f>
        <v>10.742928240739275</v>
      </c>
    </row>
    <row r="2523" spans="1:14" x14ac:dyDescent="0.35">
      <c r="A2523">
        <v>1034</v>
      </c>
      <c r="B2523" t="s">
        <v>88</v>
      </c>
      <c r="C2523" s="1">
        <v>45189.257071759261</v>
      </c>
      <c r="D2523" t="str">
        <f ca="1">VLOOKUP(qry_ProdData2_PDI_Cash_Exception_Application[[#This Row],[TYPE]],#REF!,2,FALSE)</f>
        <v>type17</v>
      </c>
      <c r="E2523">
        <v>317.62</v>
      </c>
      <c r="F2523" t="s">
        <v>47</v>
      </c>
      <c r="G2523" s="1">
        <f>qry_ProdData2_PDI_Cash_Exception_Application[[#This Row],[INSERT DATE]]+7</f>
        <v>45196.257071759261</v>
      </c>
      <c r="H2523" t="str">
        <f>VLOOKUP(qry_ProdData2_PDI_Cash_Exception_Application[[#This Row],[MARKET No]],'Site Allocation'!$B$2:$C$37,2,FALSE)</f>
        <v>Analyst6</v>
      </c>
      <c r="I2523" s="4">
        <f t="shared" ca="1" si="39"/>
        <v>45203</v>
      </c>
      <c r="J2523" s="42">
        <f ca="1">TODAY()-qry_ProdData2_PDI_Cash_Exception_Application[[#This Row],[INSERT DATE]]</f>
        <v>13.742928240739275</v>
      </c>
      <c r="K25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23">
        <f ca="1">qry_ProdData2_PDI_Cash_Exception_Application[[#This Row],[TODAY]]-qry_ProdData2_PDI_Cash_Exception_Application[[#This Row],[CHANGED ON]]</f>
        <v>6.7429282407392748</v>
      </c>
      <c r="M2523">
        <f ca="1">qry_ProdData2_PDI_Cash_Exception_Application[[#This Row],[TODAY]]-qry_ProdData2_PDI_Cash_Exception_Application[[#This Row],[CHANGED ON]]</f>
        <v>6.7429282407392748</v>
      </c>
      <c r="N2523">
        <f ca="1">qry_ProdData2_PDI_Cash_Exception_Application[[#This Row],[TODAY]]-qry_ProdData2_PDI_Cash_Exception_Application[[#This Row],[CHANGED ON]]</f>
        <v>6.7429282407392748</v>
      </c>
    </row>
    <row r="2524" spans="1:14" x14ac:dyDescent="0.35">
      <c r="A2524">
        <v>1012</v>
      </c>
      <c r="B2524" t="s">
        <v>66</v>
      </c>
      <c r="C2524" s="1">
        <v>45190.257071759261</v>
      </c>
      <c r="D2524" t="str">
        <f ca="1">VLOOKUP(qry_ProdData2_PDI_Cash_Exception_Application[[#This Row],[TYPE]],#REF!,2,FALSE)</f>
        <v>type13</v>
      </c>
      <c r="E2524">
        <v>26584.84</v>
      </c>
      <c r="F2524" t="s">
        <v>49</v>
      </c>
      <c r="G2524" s="1">
        <f>qry_ProdData2_PDI_Cash_Exception_Application[[#This Row],[INSERT DATE]]+2</f>
        <v>45192.257071759261</v>
      </c>
      <c r="H2524" t="str">
        <f>VLOOKUP(qry_ProdData2_PDI_Cash_Exception_Application[[#This Row],[MARKET No]],'Site Allocation'!$B$2:$C$37,2,FALSE)</f>
        <v>Analyst3</v>
      </c>
      <c r="I2524" s="4">
        <f t="shared" ca="1" si="39"/>
        <v>45203</v>
      </c>
      <c r="J2524" s="42">
        <f ca="1">TODAY()-qry_ProdData2_PDI_Cash_Exception_Application[[#This Row],[INSERT DATE]]</f>
        <v>12.742928240739275</v>
      </c>
      <c r="K25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24">
        <f ca="1">qry_ProdData2_PDI_Cash_Exception_Application[[#This Row],[TODAY]]-qry_ProdData2_PDI_Cash_Exception_Application[[#This Row],[CHANGED ON]]</f>
        <v>10.742928240739275</v>
      </c>
      <c r="M2524">
        <f ca="1">qry_ProdData2_PDI_Cash_Exception_Application[[#This Row],[TODAY]]-qry_ProdData2_PDI_Cash_Exception_Application[[#This Row],[CHANGED ON]]</f>
        <v>10.742928240739275</v>
      </c>
      <c r="N2524">
        <f ca="1">qry_ProdData2_PDI_Cash_Exception_Application[[#This Row],[TODAY]]-qry_ProdData2_PDI_Cash_Exception_Application[[#This Row],[CHANGED ON]]</f>
        <v>10.742928240739275</v>
      </c>
    </row>
    <row r="2525" spans="1:14" x14ac:dyDescent="0.35">
      <c r="A2525">
        <v>1034</v>
      </c>
      <c r="B2525" t="s">
        <v>88</v>
      </c>
      <c r="C2525" s="1">
        <v>45191.257071759261</v>
      </c>
      <c r="D2525" t="str">
        <f ca="1">VLOOKUP(qry_ProdData2_PDI_Cash_Exception_Application[[#This Row],[TYPE]],#REF!,2,FALSE)</f>
        <v>type40</v>
      </c>
      <c r="E2525">
        <v>-3442.18</v>
      </c>
      <c r="F2525" t="s">
        <v>48</v>
      </c>
      <c r="G2525" s="1">
        <f>qry_ProdData2_PDI_Cash_Exception_Application[[#This Row],[INSERT DATE]]+7</f>
        <v>45198.257071759261</v>
      </c>
      <c r="H2525" t="str">
        <f>VLOOKUP(qry_ProdData2_PDI_Cash_Exception_Application[[#This Row],[MARKET No]],'Site Allocation'!$B$2:$C$37,2,FALSE)</f>
        <v>Analyst6</v>
      </c>
      <c r="I2525" s="4">
        <f t="shared" ca="1" si="39"/>
        <v>45203</v>
      </c>
      <c r="J2525" s="42">
        <f ca="1">TODAY()-qry_ProdData2_PDI_Cash_Exception_Application[[#This Row],[INSERT DATE]]</f>
        <v>11.742928240739275</v>
      </c>
      <c r="K25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25">
        <f ca="1">qry_ProdData2_PDI_Cash_Exception_Application[[#This Row],[TODAY]]-qry_ProdData2_PDI_Cash_Exception_Application[[#This Row],[CHANGED ON]]</f>
        <v>4.7429282407392748</v>
      </c>
      <c r="M2525">
        <f ca="1">qry_ProdData2_PDI_Cash_Exception_Application[[#This Row],[TODAY]]-qry_ProdData2_PDI_Cash_Exception_Application[[#This Row],[CHANGED ON]]</f>
        <v>4.7429282407392748</v>
      </c>
      <c r="N2525">
        <f ca="1">qry_ProdData2_PDI_Cash_Exception_Application[[#This Row],[TODAY]]-qry_ProdData2_PDI_Cash_Exception_Application[[#This Row],[CHANGED ON]]</f>
        <v>4.7429282407392748</v>
      </c>
    </row>
    <row r="2526" spans="1:14" x14ac:dyDescent="0.35">
      <c r="A2526">
        <v>1011</v>
      </c>
      <c r="B2526" t="s">
        <v>65</v>
      </c>
      <c r="C2526" s="1">
        <v>45189.257071759261</v>
      </c>
      <c r="D2526" t="str">
        <f ca="1">VLOOKUP(qry_ProdData2_PDI_Cash_Exception_Application[[#This Row],[TYPE]],#REF!,2,FALSE)</f>
        <v>type13</v>
      </c>
      <c r="E2526">
        <v>28663.07</v>
      </c>
      <c r="F2526" t="s">
        <v>47</v>
      </c>
      <c r="G2526" s="1">
        <f>qry_ProdData2_PDI_Cash_Exception_Application[[#This Row],[INSERT DATE]]+7</f>
        <v>45196.257071759261</v>
      </c>
      <c r="H2526" t="str">
        <f>VLOOKUP(qry_ProdData2_PDI_Cash_Exception_Application[[#This Row],[MARKET No]],'Site Allocation'!$B$2:$C$37,2,FALSE)</f>
        <v>Analyst2</v>
      </c>
      <c r="I2526" s="4">
        <f t="shared" ca="1" si="39"/>
        <v>45203</v>
      </c>
      <c r="J2526" s="42">
        <f ca="1">TODAY()-qry_ProdData2_PDI_Cash_Exception_Application[[#This Row],[INSERT DATE]]</f>
        <v>13.742928240739275</v>
      </c>
      <c r="K25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26">
        <f ca="1">qry_ProdData2_PDI_Cash_Exception_Application[[#This Row],[TODAY]]-qry_ProdData2_PDI_Cash_Exception_Application[[#This Row],[CHANGED ON]]</f>
        <v>6.7429282407392748</v>
      </c>
      <c r="M2526">
        <f ca="1">qry_ProdData2_PDI_Cash_Exception_Application[[#This Row],[TODAY]]-qry_ProdData2_PDI_Cash_Exception_Application[[#This Row],[CHANGED ON]]</f>
        <v>6.7429282407392748</v>
      </c>
      <c r="N2526">
        <f ca="1">qry_ProdData2_PDI_Cash_Exception_Application[[#This Row],[TODAY]]-qry_ProdData2_PDI_Cash_Exception_Application[[#This Row],[CHANGED ON]]</f>
        <v>6.7429282407392748</v>
      </c>
    </row>
    <row r="2527" spans="1:14" x14ac:dyDescent="0.35">
      <c r="A2527">
        <v>1015</v>
      </c>
      <c r="B2527" t="s">
        <v>69</v>
      </c>
      <c r="C2527" s="1">
        <v>45188.257071759261</v>
      </c>
      <c r="D2527" t="str">
        <f ca="1">VLOOKUP(qry_ProdData2_PDI_Cash_Exception_Application[[#This Row],[TYPE]],#REF!,2,FALSE)</f>
        <v>type40</v>
      </c>
      <c r="E2527">
        <v>-444.38</v>
      </c>
      <c r="F2527" t="s">
        <v>51</v>
      </c>
      <c r="G2527" s="1">
        <f>qry_ProdData2_PDI_Cash_Exception_Application[[#This Row],[INSERT DATE]]+1</f>
        <v>45189.257071759261</v>
      </c>
      <c r="H2527" t="str">
        <f>VLOOKUP(qry_ProdData2_PDI_Cash_Exception_Application[[#This Row],[MARKET No]],'Site Allocation'!$B$2:$C$37,2,FALSE)</f>
        <v>Analyst3</v>
      </c>
      <c r="I2527" s="4">
        <f t="shared" ca="1" si="39"/>
        <v>45203</v>
      </c>
      <c r="J2527" s="42">
        <f ca="1">TODAY()-qry_ProdData2_PDI_Cash_Exception_Application[[#This Row],[INSERT DATE]]</f>
        <v>14.742928240739275</v>
      </c>
      <c r="K25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27">
        <f ca="1">qry_ProdData2_PDI_Cash_Exception_Application[[#This Row],[TODAY]]-qry_ProdData2_PDI_Cash_Exception_Application[[#This Row],[CHANGED ON]]</f>
        <v>13.742928240739275</v>
      </c>
      <c r="M2527">
        <f ca="1">qry_ProdData2_PDI_Cash_Exception_Application[[#This Row],[TODAY]]-qry_ProdData2_PDI_Cash_Exception_Application[[#This Row],[CHANGED ON]]</f>
        <v>13.742928240739275</v>
      </c>
      <c r="N2527">
        <f ca="1">qry_ProdData2_PDI_Cash_Exception_Application[[#This Row],[TODAY]]-qry_ProdData2_PDI_Cash_Exception_Application[[#This Row],[CHANGED ON]]</f>
        <v>13.742928240739275</v>
      </c>
    </row>
    <row r="2528" spans="1:14" x14ac:dyDescent="0.35">
      <c r="A2528">
        <v>1021</v>
      </c>
      <c r="B2528" t="s">
        <v>75</v>
      </c>
      <c r="C2528" s="1">
        <v>45189.257071759261</v>
      </c>
      <c r="D2528" t="str">
        <f ca="1">VLOOKUP(qry_ProdData2_PDI_Cash_Exception_Application[[#This Row],[TYPE]],#REF!,2,FALSE)</f>
        <v>type26</v>
      </c>
      <c r="E2528">
        <v>155.97</v>
      </c>
      <c r="F2528" t="s">
        <v>52</v>
      </c>
      <c r="G2528" s="1">
        <f>qry_ProdData2_PDI_Cash_Exception_Application[[#This Row],[INSERT DATE]]+7</f>
        <v>45196.257071759261</v>
      </c>
      <c r="H2528" t="str">
        <f>VLOOKUP(qry_ProdData2_PDI_Cash_Exception_Application[[#This Row],[MARKET No]],'Site Allocation'!$B$2:$C$37,2,FALSE)</f>
        <v>Analyst4</v>
      </c>
      <c r="I2528" s="4">
        <f t="shared" ca="1" si="39"/>
        <v>45203</v>
      </c>
      <c r="J2528" s="42">
        <f ca="1">TODAY()-qry_ProdData2_PDI_Cash_Exception_Application[[#This Row],[INSERT DATE]]</f>
        <v>13.742928240739275</v>
      </c>
      <c r="K25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28">
        <f ca="1">qry_ProdData2_PDI_Cash_Exception_Application[[#This Row],[TODAY]]-qry_ProdData2_PDI_Cash_Exception_Application[[#This Row],[CHANGED ON]]</f>
        <v>6.7429282407392748</v>
      </c>
      <c r="M2528">
        <f ca="1">qry_ProdData2_PDI_Cash_Exception_Application[[#This Row],[TODAY]]-qry_ProdData2_PDI_Cash_Exception_Application[[#This Row],[CHANGED ON]]</f>
        <v>6.7429282407392748</v>
      </c>
      <c r="N2528">
        <f ca="1">qry_ProdData2_PDI_Cash_Exception_Application[[#This Row],[TODAY]]-qry_ProdData2_PDI_Cash_Exception_Application[[#This Row],[CHANGED ON]]</f>
        <v>6.7429282407392748</v>
      </c>
    </row>
    <row r="2529" spans="1:14" x14ac:dyDescent="0.35">
      <c r="A2529">
        <v>1033</v>
      </c>
      <c r="B2529" t="s">
        <v>87</v>
      </c>
      <c r="C2529" s="1">
        <v>45190.257071759261</v>
      </c>
      <c r="D2529" t="str">
        <f ca="1">VLOOKUP(qry_ProdData2_PDI_Cash_Exception_Application[[#This Row],[TYPE]],#REF!,2,FALSE)</f>
        <v>type40</v>
      </c>
      <c r="E2529">
        <v>-985.12</v>
      </c>
      <c r="F2529" t="s">
        <v>49</v>
      </c>
      <c r="G2529" s="1">
        <f>qry_ProdData2_PDI_Cash_Exception_Application[[#This Row],[INSERT DATE]]+2</f>
        <v>45192.257071759261</v>
      </c>
      <c r="H2529" t="str">
        <f>VLOOKUP(qry_ProdData2_PDI_Cash_Exception_Application[[#This Row],[MARKET No]],'Site Allocation'!$B$2:$C$37,2,FALSE)</f>
        <v>Analyst6</v>
      </c>
      <c r="I2529" s="4">
        <f t="shared" ca="1" si="39"/>
        <v>45203</v>
      </c>
      <c r="J2529" s="42">
        <f ca="1">TODAY()-qry_ProdData2_PDI_Cash_Exception_Application[[#This Row],[INSERT DATE]]</f>
        <v>12.742928240739275</v>
      </c>
      <c r="K25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29">
        <f ca="1">qry_ProdData2_PDI_Cash_Exception_Application[[#This Row],[TODAY]]-qry_ProdData2_PDI_Cash_Exception_Application[[#This Row],[CHANGED ON]]</f>
        <v>10.742928240739275</v>
      </c>
      <c r="M2529">
        <f ca="1">qry_ProdData2_PDI_Cash_Exception_Application[[#This Row],[TODAY]]-qry_ProdData2_PDI_Cash_Exception_Application[[#This Row],[CHANGED ON]]</f>
        <v>10.742928240739275</v>
      </c>
      <c r="N2529">
        <f ca="1">qry_ProdData2_PDI_Cash_Exception_Application[[#This Row],[TODAY]]-qry_ProdData2_PDI_Cash_Exception_Application[[#This Row],[CHANGED ON]]</f>
        <v>10.742928240739275</v>
      </c>
    </row>
    <row r="2530" spans="1:14" x14ac:dyDescent="0.35">
      <c r="A2530">
        <v>1011</v>
      </c>
      <c r="B2530" t="s">
        <v>65</v>
      </c>
      <c r="C2530" s="1">
        <v>45192.257071759261</v>
      </c>
      <c r="D2530" t="str">
        <f ca="1">VLOOKUP(qry_ProdData2_PDI_Cash_Exception_Application[[#This Row],[TYPE]],#REF!,2,FALSE)</f>
        <v>type32</v>
      </c>
      <c r="E2530">
        <v>1911.87</v>
      </c>
      <c r="F2530" t="s">
        <v>49</v>
      </c>
      <c r="G2530" s="1">
        <f>qry_ProdData2_PDI_Cash_Exception_Application[[#This Row],[INSERT DATE]]+2</f>
        <v>45194.257071759261</v>
      </c>
      <c r="H2530" t="str">
        <f>VLOOKUP(qry_ProdData2_PDI_Cash_Exception_Application[[#This Row],[MARKET No]],'Site Allocation'!$B$2:$C$37,2,FALSE)</f>
        <v>Analyst2</v>
      </c>
      <c r="I2530" s="4">
        <f t="shared" ca="1" si="39"/>
        <v>45203</v>
      </c>
      <c r="J2530" s="42">
        <f ca="1">TODAY()-qry_ProdData2_PDI_Cash_Exception_Application[[#This Row],[INSERT DATE]]</f>
        <v>10.742928240739275</v>
      </c>
      <c r="K25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30">
        <f ca="1">qry_ProdData2_PDI_Cash_Exception_Application[[#This Row],[TODAY]]-qry_ProdData2_PDI_Cash_Exception_Application[[#This Row],[CHANGED ON]]</f>
        <v>8.7429282407392748</v>
      </c>
      <c r="M2530">
        <f ca="1">qry_ProdData2_PDI_Cash_Exception_Application[[#This Row],[TODAY]]-qry_ProdData2_PDI_Cash_Exception_Application[[#This Row],[CHANGED ON]]</f>
        <v>8.7429282407392748</v>
      </c>
      <c r="N2530">
        <f ca="1">qry_ProdData2_PDI_Cash_Exception_Application[[#This Row],[TODAY]]-qry_ProdData2_PDI_Cash_Exception_Application[[#This Row],[CHANGED ON]]</f>
        <v>8.7429282407392748</v>
      </c>
    </row>
    <row r="2531" spans="1:14" x14ac:dyDescent="0.35">
      <c r="A2531">
        <v>1032</v>
      </c>
      <c r="B2531" t="s">
        <v>86</v>
      </c>
      <c r="C2531" s="1">
        <v>45191.257071759261</v>
      </c>
      <c r="D2531" t="str">
        <f ca="1">VLOOKUP(qry_ProdData2_PDI_Cash_Exception_Application[[#This Row],[TYPE]],#REF!,2,FALSE)</f>
        <v>type32</v>
      </c>
      <c r="E2531">
        <v>748.98</v>
      </c>
      <c r="F2531" t="s">
        <v>50</v>
      </c>
      <c r="G2531" s="1">
        <f>qry_ProdData2_PDI_Cash_Exception_Application[[#This Row],[INSERT DATE]]+7</f>
        <v>45198.257071759261</v>
      </c>
      <c r="H2531" t="str">
        <f>VLOOKUP(qry_ProdData2_PDI_Cash_Exception_Application[[#This Row],[MARKET No]],'Site Allocation'!$B$2:$C$37,2,FALSE)</f>
        <v>Analyst6</v>
      </c>
      <c r="I2531" s="4">
        <f t="shared" ca="1" si="39"/>
        <v>45203</v>
      </c>
      <c r="J2531" s="42">
        <f ca="1">TODAY()-qry_ProdData2_PDI_Cash_Exception_Application[[#This Row],[INSERT DATE]]</f>
        <v>11.742928240739275</v>
      </c>
      <c r="K25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31">
        <f ca="1">qry_ProdData2_PDI_Cash_Exception_Application[[#This Row],[TODAY]]-qry_ProdData2_PDI_Cash_Exception_Application[[#This Row],[CHANGED ON]]</f>
        <v>4.7429282407392748</v>
      </c>
      <c r="M2531">
        <f ca="1">qry_ProdData2_PDI_Cash_Exception_Application[[#This Row],[TODAY]]-qry_ProdData2_PDI_Cash_Exception_Application[[#This Row],[CHANGED ON]]</f>
        <v>4.7429282407392748</v>
      </c>
      <c r="N2531">
        <f ca="1">qry_ProdData2_PDI_Cash_Exception_Application[[#This Row],[TODAY]]-qry_ProdData2_PDI_Cash_Exception_Application[[#This Row],[CHANGED ON]]</f>
        <v>4.7429282407392748</v>
      </c>
    </row>
    <row r="2532" spans="1:14" x14ac:dyDescent="0.35">
      <c r="A2532">
        <v>1004</v>
      </c>
      <c r="B2532" t="s">
        <v>58</v>
      </c>
      <c r="C2532" s="1">
        <v>45190.257071759261</v>
      </c>
      <c r="D2532" t="str">
        <f ca="1">VLOOKUP(qry_ProdData2_PDI_Cash_Exception_Application[[#This Row],[TYPE]],#REF!,2,FALSE)</f>
        <v>type40</v>
      </c>
      <c r="E2532">
        <v>2725.21</v>
      </c>
      <c r="F2532" t="s">
        <v>51</v>
      </c>
      <c r="G2532" s="1">
        <f>qry_ProdData2_PDI_Cash_Exception_Application[[#This Row],[INSERT DATE]]+2</f>
        <v>45192.257071759261</v>
      </c>
      <c r="H2532" t="str">
        <f>VLOOKUP(qry_ProdData2_PDI_Cash_Exception_Application[[#This Row],[MARKET No]],'Site Allocation'!$B$2:$C$37,2,FALSE)</f>
        <v>Analyst1</v>
      </c>
      <c r="I2532" s="4">
        <f t="shared" ca="1" si="39"/>
        <v>45203</v>
      </c>
      <c r="J2532" s="42">
        <f ca="1">TODAY()-qry_ProdData2_PDI_Cash_Exception_Application[[#This Row],[INSERT DATE]]</f>
        <v>12.742928240739275</v>
      </c>
      <c r="K25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32">
        <f ca="1">qry_ProdData2_PDI_Cash_Exception_Application[[#This Row],[TODAY]]-qry_ProdData2_PDI_Cash_Exception_Application[[#This Row],[CHANGED ON]]</f>
        <v>10.742928240739275</v>
      </c>
      <c r="M2532">
        <f ca="1">qry_ProdData2_PDI_Cash_Exception_Application[[#This Row],[TODAY]]-qry_ProdData2_PDI_Cash_Exception_Application[[#This Row],[CHANGED ON]]</f>
        <v>10.742928240739275</v>
      </c>
      <c r="N2532">
        <f ca="1">qry_ProdData2_PDI_Cash_Exception_Application[[#This Row],[TODAY]]-qry_ProdData2_PDI_Cash_Exception_Application[[#This Row],[CHANGED ON]]</f>
        <v>10.742928240739275</v>
      </c>
    </row>
    <row r="2533" spans="1:14" x14ac:dyDescent="0.35">
      <c r="A2533">
        <v>1033</v>
      </c>
      <c r="B2533" t="s">
        <v>87</v>
      </c>
      <c r="C2533" s="1">
        <v>45190.257071759261</v>
      </c>
      <c r="D2533" t="str">
        <f ca="1">VLOOKUP(qry_ProdData2_PDI_Cash_Exception_Application[[#This Row],[TYPE]],#REF!,2,FALSE)</f>
        <v>type13</v>
      </c>
      <c r="E2533">
        <v>22822.06</v>
      </c>
      <c r="F2533" t="s">
        <v>47</v>
      </c>
      <c r="G2533" s="1">
        <f>qry_ProdData2_PDI_Cash_Exception_Application[[#This Row],[INSERT DATE]]+7</f>
        <v>45197.257071759261</v>
      </c>
      <c r="H2533" t="str">
        <f>VLOOKUP(qry_ProdData2_PDI_Cash_Exception_Application[[#This Row],[MARKET No]],'Site Allocation'!$B$2:$C$37,2,FALSE)</f>
        <v>Analyst6</v>
      </c>
      <c r="I2533" s="4">
        <f t="shared" ca="1" si="39"/>
        <v>45203</v>
      </c>
      <c r="J2533" s="42">
        <f ca="1">TODAY()-qry_ProdData2_PDI_Cash_Exception_Application[[#This Row],[INSERT DATE]]</f>
        <v>12.742928240739275</v>
      </c>
      <c r="K25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33">
        <f ca="1">qry_ProdData2_PDI_Cash_Exception_Application[[#This Row],[TODAY]]-qry_ProdData2_PDI_Cash_Exception_Application[[#This Row],[CHANGED ON]]</f>
        <v>5.7429282407392748</v>
      </c>
      <c r="M2533">
        <f ca="1">qry_ProdData2_PDI_Cash_Exception_Application[[#This Row],[TODAY]]-qry_ProdData2_PDI_Cash_Exception_Application[[#This Row],[CHANGED ON]]</f>
        <v>5.7429282407392748</v>
      </c>
      <c r="N2533">
        <f ca="1">qry_ProdData2_PDI_Cash_Exception_Application[[#This Row],[TODAY]]-qry_ProdData2_PDI_Cash_Exception_Application[[#This Row],[CHANGED ON]]</f>
        <v>5.7429282407392748</v>
      </c>
    </row>
    <row r="2534" spans="1:14" x14ac:dyDescent="0.35">
      <c r="A2534">
        <v>1021</v>
      </c>
      <c r="B2534" t="s">
        <v>75</v>
      </c>
      <c r="C2534" s="1">
        <v>45190.257071759261</v>
      </c>
      <c r="D2534" t="str">
        <f ca="1">VLOOKUP(qry_ProdData2_PDI_Cash_Exception_Application[[#This Row],[TYPE]],#REF!,2,FALSE)</f>
        <v>type40</v>
      </c>
      <c r="E2534">
        <v>346.88</v>
      </c>
      <c r="F2534" t="s">
        <v>48</v>
      </c>
      <c r="G2534" s="1">
        <f>qry_ProdData2_PDI_Cash_Exception_Application[[#This Row],[INSERT DATE]]+1</f>
        <v>45191.257071759261</v>
      </c>
      <c r="H2534" t="str">
        <f>VLOOKUP(qry_ProdData2_PDI_Cash_Exception_Application[[#This Row],[MARKET No]],'Site Allocation'!$B$2:$C$37,2,FALSE)</f>
        <v>Analyst4</v>
      </c>
      <c r="I2534" s="4">
        <f t="shared" ca="1" si="39"/>
        <v>45203</v>
      </c>
      <c r="J2534" s="42">
        <f ca="1">TODAY()-qry_ProdData2_PDI_Cash_Exception_Application[[#This Row],[INSERT DATE]]</f>
        <v>12.742928240739275</v>
      </c>
      <c r="K25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34">
        <f ca="1">qry_ProdData2_PDI_Cash_Exception_Application[[#This Row],[TODAY]]-qry_ProdData2_PDI_Cash_Exception_Application[[#This Row],[CHANGED ON]]</f>
        <v>11.742928240739275</v>
      </c>
      <c r="M2534">
        <f ca="1">qry_ProdData2_PDI_Cash_Exception_Application[[#This Row],[TODAY]]-qry_ProdData2_PDI_Cash_Exception_Application[[#This Row],[CHANGED ON]]</f>
        <v>11.742928240739275</v>
      </c>
      <c r="N2534">
        <f ca="1">qry_ProdData2_PDI_Cash_Exception_Application[[#This Row],[TODAY]]-qry_ProdData2_PDI_Cash_Exception_Application[[#This Row],[CHANGED ON]]</f>
        <v>11.742928240739275</v>
      </c>
    </row>
    <row r="2535" spans="1:14" x14ac:dyDescent="0.35">
      <c r="A2535">
        <v>1001</v>
      </c>
      <c r="B2535" t="s">
        <v>55</v>
      </c>
      <c r="C2535" s="1">
        <v>45180.257071759261</v>
      </c>
      <c r="D2535" t="str">
        <f ca="1">VLOOKUP(qry_ProdData2_PDI_Cash_Exception_Application[[#This Row],[TYPE]],#REF!,2,FALSE)</f>
        <v>type13</v>
      </c>
      <c r="E2535">
        <v>21120.77</v>
      </c>
      <c r="F2535" t="str">
        <f>qry_ProdData2_PDI_Cash_Exception_Application[[#This Row],[ANALYST]]</f>
        <v>Analyst1</v>
      </c>
      <c r="G2535" s="1">
        <f>qry_ProdData2_PDI_Cash_Exception_Application[[#This Row],[INSERT DATE]]+1</f>
        <v>45181.257071759261</v>
      </c>
      <c r="H2535" t="str">
        <f>VLOOKUP(qry_ProdData2_PDI_Cash_Exception_Application[[#This Row],[MARKET No]],'Site Allocation'!$B$2:$C$37,2,FALSE)</f>
        <v>Analyst1</v>
      </c>
      <c r="I2535" s="4">
        <f t="shared" ca="1" si="39"/>
        <v>45203</v>
      </c>
      <c r="J2535" s="42">
        <f ca="1">TODAY()-qry_ProdData2_PDI_Cash_Exception_Application[[#This Row],[INSERT DATE]]</f>
        <v>22.742928240739275</v>
      </c>
      <c r="K25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35">
        <f ca="1">qry_ProdData2_PDI_Cash_Exception_Application[[#This Row],[TODAY]]-qry_ProdData2_PDI_Cash_Exception_Application[[#This Row],[CHANGED ON]]</f>
        <v>21.742928240739275</v>
      </c>
      <c r="M2535">
        <f ca="1">qry_ProdData2_PDI_Cash_Exception_Application[[#This Row],[TODAY]]-qry_ProdData2_PDI_Cash_Exception_Application[[#This Row],[CHANGED ON]]</f>
        <v>21.742928240739275</v>
      </c>
      <c r="N2535">
        <f ca="1">qry_ProdData2_PDI_Cash_Exception_Application[[#This Row],[TODAY]]-qry_ProdData2_PDI_Cash_Exception_Application[[#This Row],[CHANGED ON]]</f>
        <v>21.742928240739275</v>
      </c>
    </row>
    <row r="2536" spans="1:14" x14ac:dyDescent="0.35">
      <c r="A2536">
        <v>1004</v>
      </c>
      <c r="B2536" t="s">
        <v>58</v>
      </c>
      <c r="C2536" s="1">
        <v>45179.257071759261</v>
      </c>
      <c r="D2536" t="str">
        <f ca="1">VLOOKUP(qry_ProdData2_PDI_Cash_Exception_Application[[#This Row],[TYPE]],#REF!,2,FALSE)</f>
        <v>type40</v>
      </c>
      <c r="E2536">
        <v>932.91</v>
      </c>
      <c r="F2536" t="str">
        <f>qry_ProdData2_PDI_Cash_Exception_Application[[#This Row],[ANALYST]]</f>
        <v>Analyst1</v>
      </c>
      <c r="G2536" s="1">
        <f>qry_ProdData2_PDI_Cash_Exception_Application[[#This Row],[INSERT DATE]]+1</f>
        <v>45180.257071759261</v>
      </c>
      <c r="H2536" t="str">
        <f>VLOOKUP(qry_ProdData2_PDI_Cash_Exception_Application[[#This Row],[MARKET No]],'Site Allocation'!$B$2:$C$37,2,FALSE)</f>
        <v>Analyst1</v>
      </c>
      <c r="I2536" s="4">
        <f t="shared" ca="1" si="39"/>
        <v>45203</v>
      </c>
      <c r="J2536" s="42">
        <f ca="1">TODAY()-qry_ProdData2_PDI_Cash_Exception_Application[[#This Row],[INSERT DATE]]</f>
        <v>23.742928240739275</v>
      </c>
      <c r="K25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36">
        <f ca="1">qry_ProdData2_PDI_Cash_Exception_Application[[#This Row],[TODAY]]-qry_ProdData2_PDI_Cash_Exception_Application[[#This Row],[CHANGED ON]]</f>
        <v>22.742928240739275</v>
      </c>
      <c r="M2536">
        <f ca="1">qry_ProdData2_PDI_Cash_Exception_Application[[#This Row],[TODAY]]-qry_ProdData2_PDI_Cash_Exception_Application[[#This Row],[CHANGED ON]]</f>
        <v>22.742928240739275</v>
      </c>
      <c r="N2536">
        <f ca="1">qry_ProdData2_PDI_Cash_Exception_Application[[#This Row],[TODAY]]-qry_ProdData2_PDI_Cash_Exception_Application[[#This Row],[CHANGED ON]]</f>
        <v>22.742928240739275</v>
      </c>
    </row>
    <row r="2537" spans="1:14" x14ac:dyDescent="0.35">
      <c r="A2537">
        <v>1011</v>
      </c>
      <c r="B2537" t="s">
        <v>65</v>
      </c>
      <c r="C2537" s="1">
        <v>45197.257071759261</v>
      </c>
      <c r="D2537" t="str">
        <f ca="1">VLOOKUP(qry_ProdData2_PDI_Cash_Exception_Application[[#This Row],[TYPE]],#REF!,2,FALSE)</f>
        <v>type13</v>
      </c>
      <c r="E2537">
        <v>23353.99</v>
      </c>
      <c r="F2537" t="s">
        <v>52</v>
      </c>
      <c r="G2537" s="1">
        <f>qry_ProdData2_PDI_Cash_Exception_Application[[#This Row],[INSERT DATE]]+1</f>
        <v>45198.257071759261</v>
      </c>
      <c r="H2537" t="str">
        <f>VLOOKUP(qry_ProdData2_PDI_Cash_Exception_Application[[#This Row],[MARKET No]],'Site Allocation'!$B$2:$C$37,2,FALSE)</f>
        <v>Analyst2</v>
      </c>
      <c r="I2537" s="4">
        <f t="shared" ca="1" si="39"/>
        <v>45203</v>
      </c>
      <c r="J2537" s="42">
        <f ca="1">TODAY()-qry_ProdData2_PDI_Cash_Exception_Application[[#This Row],[INSERT DATE]]</f>
        <v>5.7429282407392748</v>
      </c>
      <c r="K25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537">
        <f ca="1">qry_ProdData2_PDI_Cash_Exception_Application[[#This Row],[TODAY]]-qry_ProdData2_PDI_Cash_Exception_Application[[#This Row],[CHANGED ON]]</f>
        <v>4.7429282407392748</v>
      </c>
      <c r="M2537">
        <f ca="1">qry_ProdData2_PDI_Cash_Exception_Application[[#This Row],[TODAY]]-qry_ProdData2_PDI_Cash_Exception_Application[[#This Row],[CHANGED ON]]</f>
        <v>4.7429282407392748</v>
      </c>
      <c r="N2537">
        <f ca="1">qry_ProdData2_PDI_Cash_Exception_Application[[#This Row],[TODAY]]-qry_ProdData2_PDI_Cash_Exception_Application[[#This Row],[CHANGED ON]]</f>
        <v>4.7429282407392748</v>
      </c>
    </row>
    <row r="2538" spans="1:14" x14ac:dyDescent="0.35">
      <c r="A2538">
        <v>1030</v>
      </c>
      <c r="B2538" t="s">
        <v>84</v>
      </c>
      <c r="C2538" s="1">
        <v>45181.257071759261</v>
      </c>
      <c r="D2538" t="str">
        <f ca="1">VLOOKUP(qry_ProdData2_PDI_Cash_Exception_Application[[#This Row],[TYPE]],#REF!,2,FALSE)</f>
        <v>type40</v>
      </c>
      <c r="E2538">
        <v>-773.63</v>
      </c>
      <c r="F2538" t="s">
        <v>49</v>
      </c>
      <c r="G2538" s="1">
        <f>qry_ProdData2_PDI_Cash_Exception_Application[[#This Row],[INSERT DATE]]+7</f>
        <v>45188.257071759261</v>
      </c>
      <c r="H2538" t="str">
        <f>VLOOKUP(qry_ProdData2_PDI_Cash_Exception_Application[[#This Row],[MARKET No]],'Site Allocation'!$B$2:$C$37,2,FALSE)</f>
        <v>Analyst6</v>
      </c>
      <c r="I2538" s="4">
        <f t="shared" ca="1" si="39"/>
        <v>45203</v>
      </c>
      <c r="J2538" s="42">
        <f ca="1">TODAY()-qry_ProdData2_PDI_Cash_Exception_Application[[#This Row],[INSERT DATE]]</f>
        <v>21.742928240739275</v>
      </c>
      <c r="K25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38">
        <f ca="1">qry_ProdData2_PDI_Cash_Exception_Application[[#This Row],[TODAY]]-qry_ProdData2_PDI_Cash_Exception_Application[[#This Row],[CHANGED ON]]</f>
        <v>14.742928240739275</v>
      </c>
      <c r="M2538">
        <f ca="1">qry_ProdData2_PDI_Cash_Exception_Application[[#This Row],[TODAY]]-qry_ProdData2_PDI_Cash_Exception_Application[[#This Row],[CHANGED ON]]</f>
        <v>14.742928240739275</v>
      </c>
      <c r="N2538">
        <f ca="1">qry_ProdData2_PDI_Cash_Exception_Application[[#This Row],[TODAY]]-qry_ProdData2_PDI_Cash_Exception_Application[[#This Row],[CHANGED ON]]</f>
        <v>14.742928240739275</v>
      </c>
    </row>
    <row r="2539" spans="1:14" x14ac:dyDescent="0.35">
      <c r="A2539">
        <v>1015</v>
      </c>
      <c r="B2539" t="s">
        <v>69</v>
      </c>
      <c r="C2539" s="1">
        <v>45184.257071759261</v>
      </c>
      <c r="D2539" t="str">
        <f ca="1">VLOOKUP(qry_ProdData2_PDI_Cash_Exception_Application[[#This Row],[TYPE]],#REF!,2,FALSE)</f>
        <v>type40</v>
      </c>
      <c r="E2539">
        <v>-316.55</v>
      </c>
      <c r="F2539" t="s">
        <v>49</v>
      </c>
      <c r="G2539" s="1">
        <f>qry_ProdData2_PDI_Cash_Exception_Application[[#This Row],[INSERT DATE]]+7</f>
        <v>45191.257071759261</v>
      </c>
      <c r="H2539" t="str">
        <f>VLOOKUP(qry_ProdData2_PDI_Cash_Exception_Application[[#This Row],[MARKET No]],'Site Allocation'!$B$2:$C$37,2,FALSE)</f>
        <v>Analyst3</v>
      </c>
      <c r="I2539" s="4">
        <f t="shared" ca="1" si="39"/>
        <v>45203</v>
      </c>
      <c r="J2539" s="42">
        <f ca="1">TODAY()-qry_ProdData2_PDI_Cash_Exception_Application[[#This Row],[INSERT DATE]]</f>
        <v>18.742928240739275</v>
      </c>
      <c r="K25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39">
        <f ca="1">qry_ProdData2_PDI_Cash_Exception_Application[[#This Row],[TODAY]]-qry_ProdData2_PDI_Cash_Exception_Application[[#This Row],[CHANGED ON]]</f>
        <v>11.742928240739275</v>
      </c>
      <c r="M2539">
        <f ca="1">qry_ProdData2_PDI_Cash_Exception_Application[[#This Row],[TODAY]]-qry_ProdData2_PDI_Cash_Exception_Application[[#This Row],[CHANGED ON]]</f>
        <v>11.742928240739275</v>
      </c>
      <c r="N2539">
        <f ca="1">qry_ProdData2_PDI_Cash_Exception_Application[[#This Row],[TODAY]]-qry_ProdData2_PDI_Cash_Exception_Application[[#This Row],[CHANGED ON]]</f>
        <v>11.742928240739275</v>
      </c>
    </row>
    <row r="2540" spans="1:14" x14ac:dyDescent="0.35">
      <c r="A2540">
        <v>1031</v>
      </c>
      <c r="B2540" t="s">
        <v>85</v>
      </c>
      <c r="C2540" s="1">
        <v>45187.257071759261</v>
      </c>
      <c r="D2540" t="str">
        <f ca="1">VLOOKUP(qry_ProdData2_PDI_Cash_Exception_Application[[#This Row],[TYPE]],#REF!,2,FALSE)</f>
        <v>type40</v>
      </c>
      <c r="E2540">
        <v>-564.01</v>
      </c>
      <c r="F2540" t="s">
        <v>50</v>
      </c>
      <c r="G2540" s="1">
        <f>qry_ProdData2_PDI_Cash_Exception_Application[[#This Row],[INSERT DATE]]+1</f>
        <v>45188.257071759261</v>
      </c>
      <c r="H2540" t="str">
        <f>VLOOKUP(qry_ProdData2_PDI_Cash_Exception_Application[[#This Row],[MARKET No]],'Site Allocation'!$B$2:$C$37,2,FALSE)</f>
        <v>Analyst6</v>
      </c>
      <c r="I2540" s="4">
        <f t="shared" ca="1" si="39"/>
        <v>45203</v>
      </c>
      <c r="J2540" s="42">
        <f ca="1">TODAY()-qry_ProdData2_PDI_Cash_Exception_Application[[#This Row],[INSERT DATE]]</f>
        <v>15.742928240739275</v>
      </c>
      <c r="K25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40">
        <f ca="1">qry_ProdData2_PDI_Cash_Exception_Application[[#This Row],[TODAY]]-qry_ProdData2_PDI_Cash_Exception_Application[[#This Row],[CHANGED ON]]</f>
        <v>14.742928240739275</v>
      </c>
      <c r="M2540">
        <f ca="1">qry_ProdData2_PDI_Cash_Exception_Application[[#This Row],[TODAY]]-qry_ProdData2_PDI_Cash_Exception_Application[[#This Row],[CHANGED ON]]</f>
        <v>14.742928240739275</v>
      </c>
      <c r="N2540">
        <f ca="1">qry_ProdData2_PDI_Cash_Exception_Application[[#This Row],[TODAY]]-qry_ProdData2_PDI_Cash_Exception_Application[[#This Row],[CHANGED ON]]</f>
        <v>14.742928240739275</v>
      </c>
    </row>
    <row r="2541" spans="1:14" x14ac:dyDescent="0.35">
      <c r="A2541">
        <v>1006</v>
      </c>
      <c r="B2541" t="s">
        <v>60</v>
      </c>
      <c r="C2541" s="1">
        <v>45190.257071759261</v>
      </c>
      <c r="D2541" t="str">
        <f ca="1">VLOOKUP(qry_ProdData2_PDI_Cash_Exception_Application[[#This Row],[TYPE]],#REF!,2,FALSE)</f>
        <v>type40</v>
      </c>
      <c r="E2541">
        <v>-473.94</v>
      </c>
      <c r="F2541" t="s">
        <v>49</v>
      </c>
      <c r="G2541" s="1">
        <f>qry_ProdData2_PDI_Cash_Exception_Application[[#This Row],[INSERT DATE]]+7</f>
        <v>45197.257071759261</v>
      </c>
      <c r="H2541" t="str">
        <f>VLOOKUP(qry_ProdData2_PDI_Cash_Exception_Application[[#This Row],[MARKET No]],'Site Allocation'!$B$2:$C$37,2,FALSE)</f>
        <v>Analyst2</v>
      </c>
      <c r="I2541" s="4">
        <f t="shared" ca="1" si="39"/>
        <v>45203</v>
      </c>
      <c r="J2541" s="42">
        <f ca="1">TODAY()-qry_ProdData2_PDI_Cash_Exception_Application[[#This Row],[INSERT DATE]]</f>
        <v>12.742928240739275</v>
      </c>
      <c r="K25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41">
        <f ca="1">qry_ProdData2_PDI_Cash_Exception_Application[[#This Row],[TODAY]]-qry_ProdData2_PDI_Cash_Exception_Application[[#This Row],[CHANGED ON]]</f>
        <v>5.7429282407392748</v>
      </c>
      <c r="M2541">
        <f ca="1">qry_ProdData2_PDI_Cash_Exception_Application[[#This Row],[TODAY]]-qry_ProdData2_PDI_Cash_Exception_Application[[#This Row],[CHANGED ON]]</f>
        <v>5.7429282407392748</v>
      </c>
      <c r="N2541">
        <f ca="1">qry_ProdData2_PDI_Cash_Exception_Application[[#This Row],[TODAY]]-qry_ProdData2_PDI_Cash_Exception_Application[[#This Row],[CHANGED ON]]</f>
        <v>5.7429282407392748</v>
      </c>
    </row>
    <row r="2542" spans="1:14" x14ac:dyDescent="0.35">
      <c r="A2542">
        <v>1015</v>
      </c>
      <c r="B2542" t="s">
        <v>69</v>
      </c>
      <c r="C2542" s="1">
        <v>45182.257071759261</v>
      </c>
      <c r="D2542" t="str">
        <f ca="1">VLOOKUP(qry_ProdData2_PDI_Cash_Exception_Application[[#This Row],[TYPE]],#REF!,2,FALSE)</f>
        <v>type40</v>
      </c>
      <c r="E2542">
        <v>-508.08</v>
      </c>
      <c r="F2542" t="s">
        <v>48</v>
      </c>
      <c r="G2542" s="1">
        <f>qry_ProdData2_PDI_Cash_Exception_Application[[#This Row],[INSERT DATE]]+1</f>
        <v>45183.257071759261</v>
      </c>
      <c r="H2542" t="str">
        <f>VLOOKUP(qry_ProdData2_PDI_Cash_Exception_Application[[#This Row],[MARKET No]],'Site Allocation'!$B$2:$C$37,2,FALSE)</f>
        <v>Analyst3</v>
      </c>
      <c r="I2542" s="4">
        <f t="shared" ca="1" si="39"/>
        <v>45203</v>
      </c>
      <c r="J2542" s="42">
        <f ca="1">TODAY()-qry_ProdData2_PDI_Cash_Exception_Application[[#This Row],[INSERT DATE]]</f>
        <v>20.742928240739275</v>
      </c>
      <c r="K25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42">
        <f ca="1">qry_ProdData2_PDI_Cash_Exception_Application[[#This Row],[TODAY]]-qry_ProdData2_PDI_Cash_Exception_Application[[#This Row],[CHANGED ON]]</f>
        <v>19.742928240739275</v>
      </c>
      <c r="M2542">
        <f ca="1">qry_ProdData2_PDI_Cash_Exception_Application[[#This Row],[TODAY]]-qry_ProdData2_PDI_Cash_Exception_Application[[#This Row],[CHANGED ON]]</f>
        <v>19.742928240739275</v>
      </c>
      <c r="N2542">
        <f ca="1">qry_ProdData2_PDI_Cash_Exception_Application[[#This Row],[TODAY]]-qry_ProdData2_PDI_Cash_Exception_Application[[#This Row],[CHANGED ON]]</f>
        <v>19.742928240739275</v>
      </c>
    </row>
    <row r="2543" spans="1:14" x14ac:dyDescent="0.35">
      <c r="A2543">
        <v>1005</v>
      </c>
      <c r="B2543" t="s">
        <v>59</v>
      </c>
      <c r="C2543" s="1">
        <v>45191.257071759261</v>
      </c>
      <c r="D2543" t="str">
        <f ca="1">VLOOKUP(qry_ProdData2_PDI_Cash_Exception_Application[[#This Row],[TYPE]],#REF!,2,FALSE)</f>
        <v>type40</v>
      </c>
      <c r="E2543">
        <v>-1078.74</v>
      </c>
      <c r="F2543" t="s">
        <v>47</v>
      </c>
      <c r="G2543" s="1">
        <f>qry_ProdData2_PDI_Cash_Exception_Application[[#This Row],[INSERT DATE]]+1</f>
        <v>45192.257071759261</v>
      </c>
      <c r="H2543" t="str">
        <f>VLOOKUP(qry_ProdData2_PDI_Cash_Exception_Application[[#This Row],[MARKET No]],'Site Allocation'!$B$2:$C$37,2,FALSE)</f>
        <v>Analyst1</v>
      </c>
      <c r="I2543" s="4">
        <f t="shared" ca="1" si="39"/>
        <v>45203</v>
      </c>
      <c r="J2543" s="42">
        <f ca="1">TODAY()-qry_ProdData2_PDI_Cash_Exception_Application[[#This Row],[INSERT DATE]]</f>
        <v>11.742928240739275</v>
      </c>
      <c r="K25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43">
        <f ca="1">qry_ProdData2_PDI_Cash_Exception_Application[[#This Row],[TODAY]]-qry_ProdData2_PDI_Cash_Exception_Application[[#This Row],[CHANGED ON]]</f>
        <v>10.742928240739275</v>
      </c>
      <c r="M2543">
        <f ca="1">qry_ProdData2_PDI_Cash_Exception_Application[[#This Row],[TODAY]]-qry_ProdData2_PDI_Cash_Exception_Application[[#This Row],[CHANGED ON]]</f>
        <v>10.742928240739275</v>
      </c>
      <c r="N2543">
        <f ca="1">qry_ProdData2_PDI_Cash_Exception_Application[[#This Row],[TODAY]]-qry_ProdData2_PDI_Cash_Exception_Application[[#This Row],[CHANGED ON]]</f>
        <v>10.742928240739275</v>
      </c>
    </row>
    <row r="2544" spans="1:14" x14ac:dyDescent="0.35">
      <c r="A2544">
        <v>1002</v>
      </c>
      <c r="B2544" t="s">
        <v>56</v>
      </c>
      <c r="C2544" s="1">
        <v>45189.257071759261</v>
      </c>
      <c r="D2544" t="str">
        <f ca="1">VLOOKUP(qry_ProdData2_PDI_Cash_Exception_Application[[#This Row],[TYPE]],#REF!,2,FALSE)</f>
        <v>type13</v>
      </c>
      <c r="E2544">
        <v>22020.39</v>
      </c>
      <c r="F2544" t="s">
        <v>52</v>
      </c>
      <c r="G2544" s="1">
        <f>qry_ProdData2_PDI_Cash_Exception_Application[[#This Row],[INSERT DATE]]+1</f>
        <v>45190.257071759261</v>
      </c>
      <c r="H2544" t="str">
        <f>VLOOKUP(qry_ProdData2_PDI_Cash_Exception_Application[[#This Row],[MARKET No]],'Site Allocation'!$B$2:$C$37,2,FALSE)</f>
        <v>Analyst1</v>
      </c>
      <c r="I2544" s="4">
        <f t="shared" ca="1" si="39"/>
        <v>45203</v>
      </c>
      <c r="J2544" s="42">
        <f ca="1">TODAY()-qry_ProdData2_PDI_Cash_Exception_Application[[#This Row],[INSERT DATE]]</f>
        <v>13.742928240739275</v>
      </c>
      <c r="K25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44">
        <f ca="1">qry_ProdData2_PDI_Cash_Exception_Application[[#This Row],[TODAY]]-qry_ProdData2_PDI_Cash_Exception_Application[[#This Row],[CHANGED ON]]</f>
        <v>12.742928240739275</v>
      </c>
      <c r="M2544">
        <f ca="1">qry_ProdData2_PDI_Cash_Exception_Application[[#This Row],[TODAY]]-qry_ProdData2_PDI_Cash_Exception_Application[[#This Row],[CHANGED ON]]</f>
        <v>12.742928240739275</v>
      </c>
      <c r="N2544">
        <f ca="1">qry_ProdData2_PDI_Cash_Exception_Application[[#This Row],[TODAY]]-qry_ProdData2_PDI_Cash_Exception_Application[[#This Row],[CHANGED ON]]</f>
        <v>12.742928240739275</v>
      </c>
    </row>
    <row r="2545" spans="1:14" x14ac:dyDescent="0.35">
      <c r="A2545">
        <v>1009</v>
      </c>
      <c r="B2545" t="s">
        <v>63</v>
      </c>
      <c r="C2545" s="1">
        <v>45190.257071759261</v>
      </c>
      <c r="D2545" t="str">
        <f ca="1">VLOOKUP(qry_ProdData2_PDI_Cash_Exception_Application[[#This Row],[TYPE]],#REF!,2,FALSE)</f>
        <v>type40</v>
      </c>
      <c r="E2545">
        <v>50.01</v>
      </c>
      <c r="F2545" t="s">
        <v>50</v>
      </c>
      <c r="G2545" s="1">
        <f>qry_ProdData2_PDI_Cash_Exception_Application[[#This Row],[INSERT DATE]]+1</f>
        <v>45191.257071759261</v>
      </c>
      <c r="H2545" t="str">
        <f>VLOOKUP(qry_ProdData2_PDI_Cash_Exception_Application[[#This Row],[MARKET No]],'Site Allocation'!$B$2:$C$37,2,FALSE)</f>
        <v>Analyst2</v>
      </c>
      <c r="I2545" s="4">
        <f t="shared" ca="1" si="39"/>
        <v>45203</v>
      </c>
      <c r="J2545" s="42">
        <f ca="1">TODAY()-qry_ProdData2_PDI_Cash_Exception_Application[[#This Row],[INSERT DATE]]</f>
        <v>12.742928240739275</v>
      </c>
      <c r="K25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45">
        <f ca="1">qry_ProdData2_PDI_Cash_Exception_Application[[#This Row],[TODAY]]-qry_ProdData2_PDI_Cash_Exception_Application[[#This Row],[CHANGED ON]]</f>
        <v>11.742928240739275</v>
      </c>
      <c r="M2545">
        <f ca="1">qry_ProdData2_PDI_Cash_Exception_Application[[#This Row],[TODAY]]-qry_ProdData2_PDI_Cash_Exception_Application[[#This Row],[CHANGED ON]]</f>
        <v>11.742928240739275</v>
      </c>
      <c r="N2545">
        <f ca="1">qry_ProdData2_PDI_Cash_Exception_Application[[#This Row],[TODAY]]-qry_ProdData2_PDI_Cash_Exception_Application[[#This Row],[CHANGED ON]]</f>
        <v>11.742928240739275</v>
      </c>
    </row>
    <row r="2546" spans="1:14" x14ac:dyDescent="0.35">
      <c r="A2546">
        <v>1017</v>
      </c>
      <c r="B2546" t="s">
        <v>71</v>
      </c>
      <c r="C2546" s="1">
        <v>45184.257071759261</v>
      </c>
      <c r="D2546" t="str">
        <f ca="1">VLOOKUP(qry_ProdData2_PDI_Cash_Exception_Application[[#This Row],[TYPE]],#REF!,2,FALSE)</f>
        <v>type40</v>
      </c>
      <c r="E2546">
        <v>2101.5100000000002</v>
      </c>
      <c r="F2546" t="s">
        <v>47</v>
      </c>
      <c r="G2546" s="1">
        <f>qry_ProdData2_PDI_Cash_Exception_Application[[#This Row],[INSERT DATE]]+2</f>
        <v>45186.257071759261</v>
      </c>
      <c r="H2546" t="str">
        <f>VLOOKUP(qry_ProdData2_PDI_Cash_Exception_Application[[#This Row],[MARKET No]],'Site Allocation'!$B$2:$C$37,2,FALSE)</f>
        <v>Analyst3</v>
      </c>
      <c r="I2546" s="4">
        <f t="shared" ca="1" si="39"/>
        <v>45203</v>
      </c>
      <c r="J2546" s="42">
        <f ca="1">TODAY()-qry_ProdData2_PDI_Cash_Exception_Application[[#This Row],[INSERT DATE]]</f>
        <v>18.742928240739275</v>
      </c>
      <c r="K25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46">
        <f ca="1">qry_ProdData2_PDI_Cash_Exception_Application[[#This Row],[TODAY]]-qry_ProdData2_PDI_Cash_Exception_Application[[#This Row],[CHANGED ON]]</f>
        <v>16.742928240739275</v>
      </c>
      <c r="M2546">
        <f ca="1">qry_ProdData2_PDI_Cash_Exception_Application[[#This Row],[TODAY]]-qry_ProdData2_PDI_Cash_Exception_Application[[#This Row],[CHANGED ON]]</f>
        <v>16.742928240739275</v>
      </c>
      <c r="N2546">
        <f ca="1">qry_ProdData2_PDI_Cash_Exception_Application[[#This Row],[TODAY]]-qry_ProdData2_PDI_Cash_Exception_Application[[#This Row],[CHANGED ON]]</f>
        <v>16.742928240739275</v>
      </c>
    </row>
    <row r="2547" spans="1:14" x14ac:dyDescent="0.35">
      <c r="A2547">
        <v>1027</v>
      </c>
      <c r="B2547" t="s">
        <v>81</v>
      </c>
      <c r="C2547" s="1">
        <v>45190.257071759261</v>
      </c>
      <c r="D2547" t="str">
        <f ca="1">VLOOKUP(qry_ProdData2_PDI_Cash_Exception_Application[[#This Row],[TYPE]],#REF!,2,FALSE)</f>
        <v>type40</v>
      </c>
      <c r="E2547">
        <v>-423.09</v>
      </c>
      <c r="F2547" t="s">
        <v>47</v>
      </c>
      <c r="G2547" s="1">
        <f>qry_ProdData2_PDI_Cash_Exception_Application[[#This Row],[INSERT DATE]]+2</f>
        <v>45192.257071759261</v>
      </c>
      <c r="H2547" t="str">
        <f>VLOOKUP(qry_ProdData2_PDI_Cash_Exception_Application[[#This Row],[MARKET No]],'Site Allocation'!$B$2:$C$37,2,FALSE)</f>
        <v>Analyst5</v>
      </c>
      <c r="I2547" s="4">
        <f t="shared" ca="1" si="39"/>
        <v>45203</v>
      </c>
      <c r="J2547" s="42">
        <f ca="1">TODAY()-qry_ProdData2_PDI_Cash_Exception_Application[[#This Row],[INSERT DATE]]</f>
        <v>12.742928240739275</v>
      </c>
      <c r="K25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47">
        <f ca="1">qry_ProdData2_PDI_Cash_Exception_Application[[#This Row],[TODAY]]-qry_ProdData2_PDI_Cash_Exception_Application[[#This Row],[CHANGED ON]]</f>
        <v>10.742928240739275</v>
      </c>
      <c r="M2547">
        <f ca="1">qry_ProdData2_PDI_Cash_Exception_Application[[#This Row],[TODAY]]-qry_ProdData2_PDI_Cash_Exception_Application[[#This Row],[CHANGED ON]]</f>
        <v>10.742928240739275</v>
      </c>
      <c r="N2547">
        <f ca="1">qry_ProdData2_PDI_Cash_Exception_Application[[#This Row],[TODAY]]-qry_ProdData2_PDI_Cash_Exception_Application[[#This Row],[CHANGED ON]]</f>
        <v>10.742928240739275</v>
      </c>
    </row>
    <row r="2548" spans="1:14" x14ac:dyDescent="0.35">
      <c r="A2548">
        <v>1000</v>
      </c>
      <c r="B2548" t="s">
        <v>54</v>
      </c>
      <c r="C2548" s="1">
        <v>45186.257071759261</v>
      </c>
      <c r="D2548" t="str">
        <f ca="1">VLOOKUP(qry_ProdData2_PDI_Cash_Exception_Application[[#This Row],[TYPE]],#REF!,2,FALSE)</f>
        <v>type40</v>
      </c>
      <c r="E2548">
        <v>403.35</v>
      </c>
      <c r="F2548" t="s">
        <v>47</v>
      </c>
      <c r="G2548" s="1">
        <f>qry_ProdData2_PDI_Cash_Exception_Application[[#This Row],[INSERT DATE]]+2</f>
        <v>45188.257071759261</v>
      </c>
      <c r="H2548" t="str">
        <f>VLOOKUP(qry_ProdData2_PDI_Cash_Exception_Application[[#This Row],[MARKET No]],'Site Allocation'!$B$2:$C$37,2,FALSE)</f>
        <v>Analyst1</v>
      </c>
      <c r="I2548" s="4">
        <f t="shared" ca="1" si="39"/>
        <v>45203</v>
      </c>
      <c r="J2548" s="42">
        <f ca="1">TODAY()-qry_ProdData2_PDI_Cash_Exception_Application[[#This Row],[INSERT DATE]]</f>
        <v>16.742928240739275</v>
      </c>
      <c r="K25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48">
        <f ca="1">qry_ProdData2_PDI_Cash_Exception_Application[[#This Row],[TODAY]]-qry_ProdData2_PDI_Cash_Exception_Application[[#This Row],[CHANGED ON]]</f>
        <v>14.742928240739275</v>
      </c>
      <c r="M2548">
        <f ca="1">qry_ProdData2_PDI_Cash_Exception_Application[[#This Row],[TODAY]]-qry_ProdData2_PDI_Cash_Exception_Application[[#This Row],[CHANGED ON]]</f>
        <v>14.742928240739275</v>
      </c>
      <c r="N2548">
        <f ca="1">qry_ProdData2_PDI_Cash_Exception_Application[[#This Row],[TODAY]]-qry_ProdData2_PDI_Cash_Exception_Application[[#This Row],[CHANGED ON]]</f>
        <v>14.742928240739275</v>
      </c>
    </row>
    <row r="2549" spans="1:14" x14ac:dyDescent="0.35">
      <c r="A2549">
        <v>1015</v>
      </c>
      <c r="B2549" t="s">
        <v>69</v>
      </c>
      <c r="C2549" s="1">
        <v>45193.257071759261</v>
      </c>
      <c r="D2549" t="str">
        <f ca="1">VLOOKUP(qry_ProdData2_PDI_Cash_Exception_Application[[#This Row],[TYPE]],#REF!,2,FALSE)</f>
        <v>type48</v>
      </c>
      <c r="E2549">
        <v>554.51</v>
      </c>
      <c r="F2549" t="s">
        <v>50</v>
      </c>
      <c r="G2549" s="1">
        <f>qry_ProdData2_PDI_Cash_Exception_Application[[#This Row],[INSERT DATE]]+1</f>
        <v>45194.257071759261</v>
      </c>
      <c r="H2549" t="str">
        <f>VLOOKUP(qry_ProdData2_PDI_Cash_Exception_Application[[#This Row],[MARKET No]],'Site Allocation'!$B$2:$C$37,2,FALSE)</f>
        <v>Analyst3</v>
      </c>
      <c r="I2549" s="4">
        <f t="shared" ca="1" si="39"/>
        <v>45203</v>
      </c>
      <c r="J2549" s="42">
        <f ca="1">TODAY()-qry_ProdData2_PDI_Cash_Exception_Application[[#This Row],[INSERT DATE]]</f>
        <v>9.7429282407392748</v>
      </c>
      <c r="K25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49">
        <f ca="1">qry_ProdData2_PDI_Cash_Exception_Application[[#This Row],[TODAY]]-qry_ProdData2_PDI_Cash_Exception_Application[[#This Row],[CHANGED ON]]</f>
        <v>8.7429282407392748</v>
      </c>
      <c r="M2549">
        <f ca="1">qry_ProdData2_PDI_Cash_Exception_Application[[#This Row],[TODAY]]-qry_ProdData2_PDI_Cash_Exception_Application[[#This Row],[CHANGED ON]]</f>
        <v>8.7429282407392748</v>
      </c>
      <c r="N2549">
        <f ca="1">qry_ProdData2_PDI_Cash_Exception_Application[[#This Row],[TODAY]]-qry_ProdData2_PDI_Cash_Exception_Application[[#This Row],[CHANGED ON]]</f>
        <v>8.7429282407392748</v>
      </c>
    </row>
    <row r="2550" spans="1:14" x14ac:dyDescent="0.35">
      <c r="A2550">
        <v>1005</v>
      </c>
      <c r="B2550" t="s">
        <v>59</v>
      </c>
      <c r="C2550" s="1">
        <v>45194.257071759261</v>
      </c>
      <c r="D2550" t="str">
        <f ca="1">VLOOKUP(qry_ProdData2_PDI_Cash_Exception_Application[[#This Row],[TYPE]],#REF!,2,FALSE)</f>
        <v>type27</v>
      </c>
      <c r="E2550">
        <v>1210.42</v>
      </c>
      <c r="F2550" t="s">
        <v>50</v>
      </c>
      <c r="G2550" s="1">
        <f>qry_ProdData2_PDI_Cash_Exception_Application[[#This Row],[INSERT DATE]]+1</f>
        <v>45195.257071759261</v>
      </c>
      <c r="H2550" t="str">
        <f>VLOOKUP(qry_ProdData2_PDI_Cash_Exception_Application[[#This Row],[MARKET No]],'Site Allocation'!$B$2:$C$37,2,FALSE)</f>
        <v>Analyst1</v>
      </c>
      <c r="I2550" s="4">
        <f t="shared" ca="1" si="39"/>
        <v>45203</v>
      </c>
      <c r="J2550" s="42">
        <f ca="1">TODAY()-qry_ProdData2_PDI_Cash_Exception_Application[[#This Row],[INSERT DATE]]</f>
        <v>8.7429282407392748</v>
      </c>
      <c r="K25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550">
        <f ca="1">qry_ProdData2_PDI_Cash_Exception_Application[[#This Row],[TODAY]]-qry_ProdData2_PDI_Cash_Exception_Application[[#This Row],[CHANGED ON]]</f>
        <v>7.7429282407392748</v>
      </c>
      <c r="M2550">
        <f ca="1">qry_ProdData2_PDI_Cash_Exception_Application[[#This Row],[TODAY]]-qry_ProdData2_PDI_Cash_Exception_Application[[#This Row],[CHANGED ON]]</f>
        <v>7.7429282407392748</v>
      </c>
      <c r="N2550">
        <f ca="1">qry_ProdData2_PDI_Cash_Exception_Application[[#This Row],[TODAY]]-qry_ProdData2_PDI_Cash_Exception_Application[[#This Row],[CHANGED ON]]</f>
        <v>7.7429282407392748</v>
      </c>
    </row>
    <row r="2551" spans="1:14" x14ac:dyDescent="0.35">
      <c r="A2551">
        <v>1006</v>
      </c>
      <c r="B2551" t="s">
        <v>60</v>
      </c>
      <c r="C2551" s="1">
        <v>45195.257071759261</v>
      </c>
      <c r="D2551" t="str">
        <f ca="1">VLOOKUP(qry_ProdData2_PDI_Cash_Exception_Application[[#This Row],[TYPE]],#REF!,2,FALSE)</f>
        <v>type40</v>
      </c>
      <c r="E2551">
        <v>-500.99</v>
      </c>
      <c r="F2551" t="s">
        <v>52</v>
      </c>
      <c r="G2551" s="1">
        <f>qry_ProdData2_PDI_Cash_Exception_Application[[#This Row],[INSERT DATE]]+1</f>
        <v>45196.257071759261</v>
      </c>
      <c r="H2551" t="str">
        <f>VLOOKUP(qry_ProdData2_PDI_Cash_Exception_Application[[#This Row],[MARKET No]],'Site Allocation'!$B$2:$C$37,2,FALSE)</f>
        <v>Analyst2</v>
      </c>
      <c r="I2551" s="4">
        <f t="shared" ca="1" si="39"/>
        <v>45203</v>
      </c>
      <c r="J2551" s="42">
        <f ca="1">TODAY()-qry_ProdData2_PDI_Cash_Exception_Application[[#This Row],[INSERT DATE]]</f>
        <v>7.7429282407392748</v>
      </c>
      <c r="K25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551">
        <f ca="1">qry_ProdData2_PDI_Cash_Exception_Application[[#This Row],[TODAY]]-qry_ProdData2_PDI_Cash_Exception_Application[[#This Row],[CHANGED ON]]</f>
        <v>6.7429282407392748</v>
      </c>
      <c r="M2551">
        <f ca="1">qry_ProdData2_PDI_Cash_Exception_Application[[#This Row],[TODAY]]-qry_ProdData2_PDI_Cash_Exception_Application[[#This Row],[CHANGED ON]]</f>
        <v>6.7429282407392748</v>
      </c>
      <c r="N2551">
        <f ca="1">qry_ProdData2_PDI_Cash_Exception_Application[[#This Row],[TODAY]]-qry_ProdData2_PDI_Cash_Exception_Application[[#This Row],[CHANGED ON]]</f>
        <v>6.7429282407392748</v>
      </c>
    </row>
    <row r="2552" spans="1:14" x14ac:dyDescent="0.35">
      <c r="A2552">
        <v>1010</v>
      </c>
      <c r="B2552" t="s">
        <v>64</v>
      </c>
      <c r="C2552" s="1">
        <v>45186.257071759261</v>
      </c>
      <c r="D2552" t="str">
        <f ca="1">VLOOKUP(qry_ProdData2_PDI_Cash_Exception_Application[[#This Row],[TYPE]],#REF!,2,FALSE)</f>
        <v>type40</v>
      </c>
      <c r="E2552">
        <v>-390.2</v>
      </c>
      <c r="F2552" t="s">
        <v>49</v>
      </c>
      <c r="G2552" s="1">
        <f>qry_ProdData2_PDI_Cash_Exception_Application[[#This Row],[INSERT DATE]]+1</f>
        <v>45187.257071759261</v>
      </c>
      <c r="H2552" t="str">
        <f>VLOOKUP(qry_ProdData2_PDI_Cash_Exception_Application[[#This Row],[MARKET No]],'Site Allocation'!$B$2:$C$37,2,FALSE)</f>
        <v>Analyst2</v>
      </c>
      <c r="I2552" s="4">
        <f t="shared" ca="1" si="39"/>
        <v>45203</v>
      </c>
      <c r="J2552" s="42">
        <f ca="1">TODAY()-qry_ProdData2_PDI_Cash_Exception_Application[[#This Row],[INSERT DATE]]</f>
        <v>16.742928240739275</v>
      </c>
      <c r="K25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52">
        <f ca="1">qry_ProdData2_PDI_Cash_Exception_Application[[#This Row],[TODAY]]-qry_ProdData2_PDI_Cash_Exception_Application[[#This Row],[CHANGED ON]]</f>
        <v>15.742928240739275</v>
      </c>
      <c r="M2552">
        <f ca="1">qry_ProdData2_PDI_Cash_Exception_Application[[#This Row],[TODAY]]-qry_ProdData2_PDI_Cash_Exception_Application[[#This Row],[CHANGED ON]]</f>
        <v>15.742928240739275</v>
      </c>
      <c r="N2552">
        <f ca="1">qry_ProdData2_PDI_Cash_Exception_Application[[#This Row],[TODAY]]-qry_ProdData2_PDI_Cash_Exception_Application[[#This Row],[CHANGED ON]]</f>
        <v>15.742928240739275</v>
      </c>
    </row>
    <row r="2553" spans="1:14" x14ac:dyDescent="0.35">
      <c r="A2553">
        <v>1013</v>
      </c>
      <c r="B2553" t="s">
        <v>67</v>
      </c>
      <c r="C2553" s="1">
        <v>45197.257071759261</v>
      </c>
      <c r="D2553" t="str">
        <f ca="1">VLOOKUP(qry_ProdData2_PDI_Cash_Exception_Application[[#This Row],[TYPE]],#REF!,2,FALSE)</f>
        <v>type22</v>
      </c>
      <c r="E2553">
        <v>491.9</v>
      </c>
      <c r="F2553" t="s">
        <v>52</v>
      </c>
      <c r="G2553" s="1">
        <f>qry_ProdData2_PDI_Cash_Exception_Application[[#This Row],[INSERT DATE]]+1</f>
        <v>45198.257071759261</v>
      </c>
      <c r="H2553" t="str">
        <f>VLOOKUP(qry_ProdData2_PDI_Cash_Exception_Application[[#This Row],[MARKET No]],'Site Allocation'!$B$2:$C$37,2,FALSE)</f>
        <v>Analyst3</v>
      </c>
      <c r="I2553" s="4">
        <f t="shared" ca="1" si="39"/>
        <v>45203</v>
      </c>
      <c r="J2553" s="42">
        <f ca="1">TODAY()-qry_ProdData2_PDI_Cash_Exception_Application[[#This Row],[INSERT DATE]]</f>
        <v>5.7429282407392748</v>
      </c>
      <c r="K25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553">
        <f ca="1">qry_ProdData2_PDI_Cash_Exception_Application[[#This Row],[TODAY]]-qry_ProdData2_PDI_Cash_Exception_Application[[#This Row],[CHANGED ON]]</f>
        <v>4.7429282407392748</v>
      </c>
      <c r="M2553">
        <f ca="1">qry_ProdData2_PDI_Cash_Exception_Application[[#This Row],[TODAY]]-qry_ProdData2_PDI_Cash_Exception_Application[[#This Row],[CHANGED ON]]</f>
        <v>4.7429282407392748</v>
      </c>
      <c r="N2553">
        <f ca="1">qry_ProdData2_PDI_Cash_Exception_Application[[#This Row],[TODAY]]-qry_ProdData2_PDI_Cash_Exception_Application[[#This Row],[CHANGED ON]]</f>
        <v>4.7429282407392748</v>
      </c>
    </row>
    <row r="2554" spans="1:14" x14ac:dyDescent="0.35">
      <c r="A2554">
        <v>1021</v>
      </c>
      <c r="B2554" t="s">
        <v>75</v>
      </c>
      <c r="C2554" s="1">
        <v>45185.257071759261</v>
      </c>
      <c r="D2554" t="str">
        <f ca="1">VLOOKUP(qry_ProdData2_PDI_Cash_Exception_Application[[#This Row],[TYPE]],#REF!,2,FALSE)</f>
        <v>type40</v>
      </c>
      <c r="E2554">
        <v>12</v>
      </c>
      <c r="F2554" t="s">
        <v>51</v>
      </c>
      <c r="G2554" s="1">
        <f>qry_ProdData2_PDI_Cash_Exception_Application[[#This Row],[INSERT DATE]]+7</f>
        <v>45192.257071759261</v>
      </c>
      <c r="H2554" t="str">
        <f>VLOOKUP(qry_ProdData2_PDI_Cash_Exception_Application[[#This Row],[MARKET No]],'Site Allocation'!$B$2:$C$37,2,FALSE)</f>
        <v>Analyst4</v>
      </c>
      <c r="I2554" s="4">
        <f t="shared" ca="1" si="39"/>
        <v>45203</v>
      </c>
      <c r="J2554" s="42">
        <f ca="1">TODAY()-qry_ProdData2_PDI_Cash_Exception_Application[[#This Row],[INSERT DATE]]</f>
        <v>17.742928240739275</v>
      </c>
      <c r="K25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54">
        <f ca="1">qry_ProdData2_PDI_Cash_Exception_Application[[#This Row],[TODAY]]-qry_ProdData2_PDI_Cash_Exception_Application[[#This Row],[CHANGED ON]]</f>
        <v>10.742928240739275</v>
      </c>
      <c r="M2554">
        <f ca="1">qry_ProdData2_PDI_Cash_Exception_Application[[#This Row],[TODAY]]-qry_ProdData2_PDI_Cash_Exception_Application[[#This Row],[CHANGED ON]]</f>
        <v>10.742928240739275</v>
      </c>
      <c r="N2554">
        <f ca="1">qry_ProdData2_PDI_Cash_Exception_Application[[#This Row],[TODAY]]-qry_ProdData2_PDI_Cash_Exception_Application[[#This Row],[CHANGED ON]]</f>
        <v>10.742928240739275</v>
      </c>
    </row>
    <row r="2555" spans="1:14" x14ac:dyDescent="0.35">
      <c r="A2555">
        <v>1001</v>
      </c>
      <c r="B2555" t="s">
        <v>55</v>
      </c>
      <c r="C2555" s="1">
        <v>45180.257071759261</v>
      </c>
      <c r="D2555" t="str">
        <f ca="1">VLOOKUP(qry_ProdData2_PDI_Cash_Exception_Application[[#This Row],[TYPE]],#REF!,2,FALSE)</f>
        <v>type7</v>
      </c>
      <c r="E2555">
        <v>-1922.05</v>
      </c>
      <c r="F2555" t="s">
        <v>52</v>
      </c>
      <c r="G2555" s="1">
        <f>qry_ProdData2_PDI_Cash_Exception_Application[[#This Row],[INSERT DATE]]+2</f>
        <v>45182.257071759261</v>
      </c>
      <c r="H2555" t="str">
        <f>VLOOKUP(qry_ProdData2_PDI_Cash_Exception_Application[[#This Row],[MARKET No]],'Site Allocation'!$B$2:$C$37,2,FALSE)</f>
        <v>Analyst1</v>
      </c>
      <c r="I2555" s="4">
        <f t="shared" ca="1" si="39"/>
        <v>45203</v>
      </c>
      <c r="J2555" s="42">
        <f ca="1">TODAY()-qry_ProdData2_PDI_Cash_Exception_Application[[#This Row],[INSERT DATE]]</f>
        <v>22.742928240739275</v>
      </c>
      <c r="K25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55">
        <f ca="1">qry_ProdData2_PDI_Cash_Exception_Application[[#This Row],[TODAY]]-qry_ProdData2_PDI_Cash_Exception_Application[[#This Row],[CHANGED ON]]</f>
        <v>20.742928240739275</v>
      </c>
      <c r="M2555">
        <f ca="1">qry_ProdData2_PDI_Cash_Exception_Application[[#This Row],[TODAY]]-qry_ProdData2_PDI_Cash_Exception_Application[[#This Row],[CHANGED ON]]</f>
        <v>20.742928240739275</v>
      </c>
      <c r="N2555">
        <f ca="1">qry_ProdData2_PDI_Cash_Exception_Application[[#This Row],[TODAY]]-qry_ProdData2_PDI_Cash_Exception_Application[[#This Row],[CHANGED ON]]</f>
        <v>20.742928240739275</v>
      </c>
    </row>
    <row r="2556" spans="1:14" x14ac:dyDescent="0.35">
      <c r="A2556">
        <v>1007</v>
      </c>
      <c r="B2556" t="s">
        <v>61</v>
      </c>
      <c r="C2556" s="1">
        <v>45187.257071759261</v>
      </c>
      <c r="D2556" t="str">
        <f ca="1">VLOOKUP(qry_ProdData2_PDI_Cash_Exception_Application[[#This Row],[TYPE]],#REF!,2,FALSE)</f>
        <v>type40</v>
      </c>
      <c r="E2556">
        <v>717.04</v>
      </c>
      <c r="F2556" t="s">
        <v>48</v>
      </c>
      <c r="G2556" s="1">
        <f>qry_ProdData2_PDI_Cash_Exception_Application[[#This Row],[INSERT DATE]]+1</f>
        <v>45188.257071759261</v>
      </c>
      <c r="H2556" t="str">
        <f>VLOOKUP(qry_ProdData2_PDI_Cash_Exception_Application[[#This Row],[MARKET No]],'Site Allocation'!$B$2:$C$37,2,FALSE)</f>
        <v>Analyst2</v>
      </c>
      <c r="I2556" s="4">
        <f t="shared" ca="1" si="39"/>
        <v>45203</v>
      </c>
      <c r="J2556" s="42">
        <f ca="1">TODAY()-qry_ProdData2_PDI_Cash_Exception_Application[[#This Row],[INSERT DATE]]</f>
        <v>15.742928240739275</v>
      </c>
      <c r="K25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56">
        <f ca="1">qry_ProdData2_PDI_Cash_Exception_Application[[#This Row],[TODAY]]-qry_ProdData2_PDI_Cash_Exception_Application[[#This Row],[CHANGED ON]]</f>
        <v>14.742928240739275</v>
      </c>
      <c r="M2556">
        <f ca="1">qry_ProdData2_PDI_Cash_Exception_Application[[#This Row],[TODAY]]-qry_ProdData2_PDI_Cash_Exception_Application[[#This Row],[CHANGED ON]]</f>
        <v>14.742928240739275</v>
      </c>
      <c r="N2556">
        <f ca="1">qry_ProdData2_PDI_Cash_Exception_Application[[#This Row],[TODAY]]-qry_ProdData2_PDI_Cash_Exception_Application[[#This Row],[CHANGED ON]]</f>
        <v>14.742928240739275</v>
      </c>
    </row>
    <row r="2557" spans="1:14" x14ac:dyDescent="0.35">
      <c r="A2557">
        <v>1024</v>
      </c>
      <c r="B2557" t="s">
        <v>78</v>
      </c>
      <c r="C2557" s="1">
        <v>45189.257071759261</v>
      </c>
      <c r="D2557" t="str">
        <f ca="1">VLOOKUP(qry_ProdData2_PDI_Cash_Exception_Application[[#This Row],[TYPE]],#REF!,2,FALSE)</f>
        <v>type40</v>
      </c>
      <c r="E2557">
        <v>-504.88</v>
      </c>
      <c r="F2557" t="s">
        <v>48</v>
      </c>
      <c r="G2557" s="1">
        <f>qry_ProdData2_PDI_Cash_Exception_Application[[#This Row],[INSERT DATE]]+2</f>
        <v>45191.257071759261</v>
      </c>
      <c r="H2557" t="str">
        <f>VLOOKUP(qry_ProdData2_PDI_Cash_Exception_Application[[#This Row],[MARKET No]],'Site Allocation'!$B$2:$C$37,2,FALSE)</f>
        <v>Analyst5</v>
      </c>
      <c r="I2557" s="4">
        <f t="shared" ca="1" si="39"/>
        <v>45203</v>
      </c>
      <c r="J2557" s="42">
        <f ca="1">TODAY()-qry_ProdData2_PDI_Cash_Exception_Application[[#This Row],[INSERT DATE]]</f>
        <v>13.742928240739275</v>
      </c>
      <c r="K25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57">
        <f ca="1">qry_ProdData2_PDI_Cash_Exception_Application[[#This Row],[TODAY]]-qry_ProdData2_PDI_Cash_Exception_Application[[#This Row],[CHANGED ON]]</f>
        <v>11.742928240739275</v>
      </c>
      <c r="M2557">
        <f ca="1">qry_ProdData2_PDI_Cash_Exception_Application[[#This Row],[TODAY]]-qry_ProdData2_PDI_Cash_Exception_Application[[#This Row],[CHANGED ON]]</f>
        <v>11.742928240739275</v>
      </c>
      <c r="N2557">
        <f ca="1">qry_ProdData2_PDI_Cash_Exception_Application[[#This Row],[TODAY]]-qry_ProdData2_PDI_Cash_Exception_Application[[#This Row],[CHANGED ON]]</f>
        <v>11.742928240739275</v>
      </c>
    </row>
    <row r="2558" spans="1:14" x14ac:dyDescent="0.35">
      <c r="A2558">
        <v>1017</v>
      </c>
      <c r="B2558" t="s">
        <v>71</v>
      </c>
      <c r="C2558" s="1">
        <v>45182.257071759261</v>
      </c>
      <c r="D2558" t="str">
        <f ca="1">VLOOKUP(qry_ProdData2_PDI_Cash_Exception_Application[[#This Row],[TYPE]],#REF!,2,FALSE)</f>
        <v>type13</v>
      </c>
      <c r="E2558">
        <v>12075</v>
      </c>
      <c r="F2558" t="s">
        <v>50</v>
      </c>
      <c r="G2558" s="1">
        <f>qry_ProdData2_PDI_Cash_Exception_Application[[#This Row],[INSERT DATE]]+2</f>
        <v>45184.257071759261</v>
      </c>
      <c r="H2558" t="str">
        <f>VLOOKUP(qry_ProdData2_PDI_Cash_Exception_Application[[#This Row],[MARKET No]],'Site Allocation'!$B$2:$C$37,2,FALSE)</f>
        <v>Analyst3</v>
      </c>
      <c r="I2558" s="4">
        <f t="shared" ca="1" si="39"/>
        <v>45203</v>
      </c>
      <c r="J2558" s="42">
        <f ca="1">TODAY()-qry_ProdData2_PDI_Cash_Exception_Application[[#This Row],[INSERT DATE]]</f>
        <v>20.742928240739275</v>
      </c>
      <c r="K25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58">
        <f ca="1">qry_ProdData2_PDI_Cash_Exception_Application[[#This Row],[TODAY]]-qry_ProdData2_PDI_Cash_Exception_Application[[#This Row],[CHANGED ON]]</f>
        <v>18.742928240739275</v>
      </c>
      <c r="M2558">
        <f ca="1">qry_ProdData2_PDI_Cash_Exception_Application[[#This Row],[TODAY]]-qry_ProdData2_PDI_Cash_Exception_Application[[#This Row],[CHANGED ON]]</f>
        <v>18.742928240739275</v>
      </c>
      <c r="N2558">
        <f ca="1">qry_ProdData2_PDI_Cash_Exception_Application[[#This Row],[TODAY]]-qry_ProdData2_PDI_Cash_Exception_Application[[#This Row],[CHANGED ON]]</f>
        <v>18.742928240739275</v>
      </c>
    </row>
    <row r="2559" spans="1:14" x14ac:dyDescent="0.35">
      <c r="A2559">
        <v>1031</v>
      </c>
      <c r="B2559" t="s">
        <v>85</v>
      </c>
      <c r="C2559" s="1">
        <v>45186.257071759261</v>
      </c>
      <c r="D2559" t="str">
        <f ca="1">VLOOKUP(qry_ProdData2_PDI_Cash_Exception_Application[[#This Row],[TYPE]],#REF!,2,FALSE)</f>
        <v>type40</v>
      </c>
      <c r="E2559">
        <v>-1832.53</v>
      </c>
      <c r="F2559" t="s">
        <v>51</v>
      </c>
      <c r="G2559" s="1">
        <f>qry_ProdData2_PDI_Cash_Exception_Application[[#This Row],[INSERT DATE]]+7</f>
        <v>45193.257071759261</v>
      </c>
      <c r="H2559" t="str">
        <f>VLOOKUP(qry_ProdData2_PDI_Cash_Exception_Application[[#This Row],[MARKET No]],'Site Allocation'!$B$2:$C$37,2,FALSE)</f>
        <v>Analyst6</v>
      </c>
      <c r="I2559" s="4">
        <f t="shared" ca="1" si="39"/>
        <v>45203</v>
      </c>
      <c r="J2559" s="42">
        <f ca="1">TODAY()-qry_ProdData2_PDI_Cash_Exception_Application[[#This Row],[INSERT DATE]]</f>
        <v>16.742928240739275</v>
      </c>
      <c r="K25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59">
        <f ca="1">qry_ProdData2_PDI_Cash_Exception_Application[[#This Row],[TODAY]]-qry_ProdData2_PDI_Cash_Exception_Application[[#This Row],[CHANGED ON]]</f>
        <v>9.7429282407392748</v>
      </c>
      <c r="M2559">
        <f ca="1">qry_ProdData2_PDI_Cash_Exception_Application[[#This Row],[TODAY]]-qry_ProdData2_PDI_Cash_Exception_Application[[#This Row],[CHANGED ON]]</f>
        <v>9.7429282407392748</v>
      </c>
      <c r="N2559">
        <f ca="1">qry_ProdData2_PDI_Cash_Exception_Application[[#This Row],[TODAY]]-qry_ProdData2_PDI_Cash_Exception_Application[[#This Row],[CHANGED ON]]</f>
        <v>9.7429282407392748</v>
      </c>
    </row>
    <row r="2560" spans="1:14" x14ac:dyDescent="0.35">
      <c r="A2560">
        <v>1025</v>
      </c>
      <c r="B2560" t="s">
        <v>79</v>
      </c>
      <c r="C2560" s="1">
        <v>45191.257071759261</v>
      </c>
      <c r="D2560" t="str">
        <f ca="1">VLOOKUP(qry_ProdData2_PDI_Cash_Exception_Application[[#This Row],[TYPE]],#REF!,2,FALSE)</f>
        <v>type40</v>
      </c>
      <c r="E2560">
        <v>-353.35</v>
      </c>
      <c r="F2560" t="s">
        <v>47</v>
      </c>
      <c r="G2560" s="1">
        <f>qry_ProdData2_PDI_Cash_Exception_Application[[#This Row],[INSERT DATE]]+2</f>
        <v>45193.257071759261</v>
      </c>
      <c r="H2560" t="str">
        <f>VLOOKUP(qry_ProdData2_PDI_Cash_Exception_Application[[#This Row],[MARKET No]],'Site Allocation'!$B$2:$C$37,2,FALSE)</f>
        <v>Analyst5</v>
      </c>
      <c r="I2560" s="4">
        <f t="shared" ca="1" si="39"/>
        <v>45203</v>
      </c>
      <c r="J2560" s="42">
        <f ca="1">TODAY()-qry_ProdData2_PDI_Cash_Exception_Application[[#This Row],[INSERT DATE]]</f>
        <v>11.742928240739275</v>
      </c>
      <c r="K25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60">
        <f ca="1">qry_ProdData2_PDI_Cash_Exception_Application[[#This Row],[TODAY]]-qry_ProdData2_PDI_Cash_Exception_Application[[#This Row],[CHANGED ON]]</f>
        <v>9.7429282407392748</v>
      </c>
      <c r="M2560">
        <f ca="1">qry_ProdData2_PDI_Cash_Exception_Application[[#This Row],[TODAY]]-qry_ProdData2_PDI_Cash_Exception_Application[[#This Row],[CHANGED ON]]</f>
        <v>9.7429282407392748</v>
      </c>
      <c r="N2560">
        <f ca="1">qry_ProdData2_PDI_Cash_Exception_Application[[#This Row],[TODAY]]-qry_ProdData2_PDI_Cash_Exception_Application[[#This Row],[CHANGED ON]]</f>
        <v>9.7429282407392748</v>
      </c>
    </row>
    <row r="2561" spans="1:14" x14ac:dyDescent="0.35">
      <c r="A2561">
        <v>1021</v>
      </c>
      <c r="B2561" t="s">
        <v>75</v>
      </c>
      <c r="C2561" s="1">
        <v>45184.257071759261</v>
      </c>
      <c r="D2561" t="str">
        <f ca="1">VLOOKUP(qry_ProdData2_PDI_Cash_Exception_Application[[#This Row],[TYPE]],#REF!,2,FALSE)</f>
        <v>type22</v>
      </c>
      <c r="E2561">
        <v>605.83000000000004</v>
      </c>
      <c r="F2561" t="s">
        <v>52</v>
      </c>
      <c r="G2561" s="1">
        <f>qry_ProdData2_PDI_Cash_Exception_Application[[#This Row],[INSERT DATE]]+2</f>
        <v>45186.257071759261</v>
      </c>
      <c r="H2561" t="str">
        <f>VLOOKUP(qry_ProdData2_PDI_Cash_Exception_Application[[#This Row],[MARKET No]],'Site Allocation'!$B$2:$C$37,2,FALSE)</f>
        <v>Analyst4</v>
      </c>
      <c r="I2561" s="4">
        <f t="shared" ca="1" si="39"/>
        <v>45203</v>
      </c>
      <c r="J2561" s="42">
        <f ca="1">TODAY()-qry_ProdData2_PDI_Cash_Exception_Application[[#This Row],[INSERT DATE]]</f>
        <v>18.742928240739275</v>
      </c>
      <c r="K25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61">
        <f ca="1">qry_ProdData2_PDI_Cash_Exception_Application[[#This Row],[TODAY]]-qry_ProdData2_PDI_Cash_Exception_Application[[#This Row],[CHANGED ON]]</f>
        <v>16.742928240739275</v>
      </c>
      <c r="M2561">
        <f ca="1">qry_ProdData2_PDI_Cash_Exception_Application[[#This Row],[TODAY]]-qry_ProdData2_PDI_Cash_Exception_Application[[#This Row],[CHANGED ON]]</f>
        <v>16.742928240739275</v>
      </c>
      <c r="N2561">
        <f ca="1">qry_ProdData2_PDI_Cash_Exception_Application[[#This Row],[TODAY]]-qry_ProdData2_PDI_Cash_Exception_Application[[#This Row],[CHANGED ON]]</f>
        <v>16.742928240739275</v>
      </c>
    </row>
    <row r="2562" spans="1:14" x14ac:dyDescent="0.35">
      <c r="A2562">
        <v>1031</v>
      </c>
      <c r="B2562" t="s">
        <v>85</v>
      </c>
      <c r="C2562" s="1">
        <v>45187.257071759261</v>
      </c>
      <c r="D2562" t="str">
        <f ca="1">VLOOKUP(qry_ProdData2_PDI_Cash_Exception_Application[[#This Row],[TYPE]],#REF!,2,FALSE)</f>
        <v>type40</v>
      </c>
      <c r="E2562">
        <v>846.24</v>
      </c>
      <c r="F2562" t="s">
        <v>49</v>
      </c>
      <c r="G2562" s="1">
        <f>qry_ProdData2_PDI_Cash_Exception_Application[[#This Row],[INSERT DATE]]+1</f>
        <v>45188.257071759261</v>
      </c>
      <c r="H2562" t="str">
        <f>VLOOKUP(qry_ProdData2_PDI_Cash_Exception_Application[[#This Row],[MARKET No]],'Site Allocation'!$B$2:$C$37,2,FALSE)</f>
        <v>Analyst6</v>
      </c>
      <c r="I2562" s="4">
        <f t="shared" ref="I2562:I2625" ca="1" si="40">TODAY()</f>
        <v>45203</v>
      </c>
      <c r="J2562" s="42">
        <f ca="1">TODAY()-qry_ProdData2_PDI_Cash_Exception_Application[[#This Row],[INSERT DATE]]</f>
        <v>15.742928240739275</v>
      </c>
      <c r="K25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62">
        <f ca="1">qry_ProdData2_PDI_Cash_Exception_Application[[#This Row],[TODAY]]-qry_ProdData2_PDI_Cash_Exception_Application[[#This Row],[CHANGED ON]]</f>
        <v>14.742928240739275</v>
      </c>
      <c r="M2562">
        <f ca="1">qry_ProdData2_PDI_Cash_Exception_Application[[#This Row],[TODAY]]-qry_ProdData2_PDI_Cash_Exception_Application[[#This Row],[CHANGED ON]]</f>
        <v>14.742928240739275</v>
      </c>
      <c r="N2562">
        <f ca="1">qry_ProdData2_PDI_Cash_Exception_Application[[#This Row],[TODAY]]-qry_ProdData2_PDI_Cash_Exception_Application[[#This Row],[CHANGED ON]]</f>
        <v>14.742928240739275</v>
      </c>
    </row>
    <row r="2563" spans="1:14" x14ac:dyDescent="0.35">
      <c r="A2563">
        <v>1033</v>
      </c>
      <c r="B2563" t="s">
        <v>87</v>
      </c>
      <c r="C2563" s="1">
        <v>45192.257071759261</v>
      </c>
      <c r="D2563" t="str">
        <f ca="1">VLOOKUP(qry_ProdData2_PDI_Cash_Exception_Application[[#This Row],[TYPE]],#REF!,2,FALSE)</f>
        <v>type40</v>
      </c>
      <c r="E2563">
        <v>-3156.32</v>
      </c>
      <c r="F2563" t="s">
        <v>48</v>
      </c>
      <c r="G2563" s="1">
        <f>qry_ProdData2_PDI_Cash_Exception_Application[[#This Row],[INSERT DATE]]+2</f>
        <v>45194.257071759261</v>
      </c>
      <c r="H2563" t="str">
        <f>VLOOKUP(qry_ProdData2_PDI_Cash_Exception_Application[[#This Row],[MARKET No]],'Site Allocation'!$B$2:$C$37,2,FALSE)</f>
        <v>Analyst6</v>
      </c>
      <c r="I2563" s="4">
        <f t="shared" ca="1" si="40"/>
        <v>45203</v>
      </c>
      <c r="J2563" s="42">
        <f ca="1">TODAY()-qry_ProdData2_PDI_Cash_Exception_Application[[#This Row],[INSERT DATE]]</f>
        <v>10.742928240739275</v>
      </c>
      <c r="K25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63">
        <f ca="1">qry_ProdData2_PDI_Cash_Exception_Application[[#This Row],[TODAY]]-qry_ProdData2_PDI_Cash_Exception_Application[[#This Row],[CHANGED ON]]</f>
        <v>8.7429282407392748</v>
      </c>
      <c r="M2563">
        <f ca="1">qry_ProdData2_PDI_Cash_Exception_Application[[#This Row],[TODAY]]-qry_ProdData2_PDI_Cash_Exception_Application[[#This Row],[CHANGED ON]]</f>
        <v>8.7429282407392748</v>
      </c>
      <c r="N2563">
        <f ca="1">qry_ProdData2_PDI_Cash_Exception_Application[[#This Row],[TODAY]]-qry_ProdData2_PDI_Cash_Exception_Application[[#This Row],[CHANGED ON]]</f>
        <v>8.7429282407392748</v>
      </c>
    </row>
    <row r="2564" spans="1:14" x14ac:dyDescent="0.35">
      <c r="A2564">
        <v>1001</v>
      </c>
      <c r="B2564" t="s">
        <v>55</v>
      </c>
      <c r="C2564" s="1">
        <v>45188.257071759261</v>
      </c>
      <c r="D2564" t="str">
        <f ca="1">VLOOKUP(qry_ProdData2_PDI_Cash_Exception_Application[[#This Row],[TYPE]],#REF!,2,FALSE)</f>
        <v>type40</v>
      </c>
      <c r="E2564">
        <v>638.58000000000004</v>
      </c>
      <c r="F2564" t="s">
        <v>51</v>
      </c>
      <c r="G2564" s="1">
        <f>qry_ProdData2_PDI_Cash_Exception_Application[[#This Row],[INSERT DATE]]+7</f>
        <v>45195.257071759261</v>
      </c>
      <c r="H2564" t="str">
        <f>VLOOKUP(qry_ProdData2_PDI_Cash_Exception_Application[[#This Row],[MARKET No]],'Site Allocation'!$B$2:$C$37,2,FALSE)</f>
        <v>Analyst1</v>
      </c>
      <c r="I2564" s="4">
        <f t="shared" ca="1" si="40"/>
        <v>45203</v>
      </c>
      <c r="J2564" s="42">
        <f ca="1">TODAY()-qry_ProdData2_PDI_Cash_Exception_Application[[#This Row],[INSERT DATE]]</f>
        <v>14.742928240739275</v>
      </c>
      <c r="K25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64">
        <f ca="1">qry_ProdData2_PDI_Cash_Exception_Application[[#This Row],[TODAY]]-qry_ProdData2_PDI_Cash_Exception_Application[[#This Row],[CHANGED ON]]</f>
        <v>7.7429282407392748</v>
      </c>
      <c r="M2564">
        <f ca="1">qry_ProdData2_PDI_Cash_Exception_Application[[#This Row],[TODAY]]-qry_ProdData2_PDI_Cash_Exception_Application[[#This Row],[CHANGED ON]]</f>
        <v>7.7429282407392748</v>
      </c>
      <c r="N2564">
        <f ca="1">qry_ProdData2_PDI_Cash_Exception_Application[[#This Row],[TODAY]]-qry_ProdData2_PDI_Cash_Exception_Application[[#This Row],[CHANGED ON]]</f>
        <v>7.7429282407392748</v>
      </c>
    </row>
    <row r="2565" spans="1:14" x14ac:dyDescent="0.35">
      <c r="A2565">
        <v>1007</v>
      </c>
      <c r="B2565" t="s">
        <v>61</v>
      </c>
      <c r="C2565" s="1">
        <v>45186.257071759261</v>
      </c>
      <c r="D2565" t="str">
        <f ca="1">VLOOKUP(qry_ProdData2_PDI_Cash_Exception_Application[[#This Row],[TYPE]],#REF!,2,FALSE)</f>
        <v>type40</v>
      </c>
      <c r="E2565">
        <v>-881.06</v>
      </c>
      <c r="F2565" t="s">
        <v>52</v>
      </c>
      <c r="G2565" s="1">
        <f>qry_ProdData2_PDI_Cash_Exception_Application[[#This Row],[INSERT DATE]]+2</f>
        <v>45188.257071759261</v>
      </c>
      <c r="H2565" t="str">
        <f>VLOOKUP(qry_ProdData2_PDI_Cash_Exception_Application[[#This Row],[MARKET No]],'Site Allocation'!$B$2:$C$37,2,FALSE)</f>
        <v>Analyst2</v>
      </c>
      <c r="I2565" s="4">
        <f t="shared" ca="1" si="40"/>
        <v>45203</v>
      </c>
      <c r="J2565" s="42">
        <f ca="1">TODAY()-qry_ProdData2_PDI_Cash_Exception_Application[[#This Row],[INSERT DATE]]</f>
        <v>16.742928240739275</v>
      </c>
      <c r="K25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65">
        <f ca="1">qry_ProdData2_PDI_Cash_Exception_Application[[#This Row],[TODAY]]-qry_ProdData2_PDI_Cash_Exception_Application[[#This Row],[CHANGED ON]]</f>
        <v>14.742928240739275</v>
      </c>
      <c r="M2565">
        <f ca="1">qry_ProdData2_PDI_Cash_Exception_Application[[#This Row],[TODAY]]-qry_ProdData2_PDI_Cash_Exception_Application[[#This Row],[CHANGED ON]]</f>
        <v>14.742928240739275</v>
      </c>
      <c r="N2565">
        <f ca="1">qry_ProdData2_PDI_Cash_Exception_Application[[#This Row],[TODAY]]-qry_ProdData2_PDI_Cash_Exception_Application[[#This Row],[CHANGED ON]]</f>
        <v>14.742928240739275</v>
      </c>
    </row>
    <row r="2566" spans="1:14" x14ac:dyDescent="0.35">
      <c r="A2566">
        <v>1014</v>
      </c>
      <c r="B2566" t="s">
        <v>68</v>
      </c>
      <c r="C2566" s="1">
        <v>45182.257071759261</v>
      </c>
      <c r="D2566" t="str">
        <f ca="1">VLOOKUP(qry_ProdData2_PDI_Cash_Exception_Application[[#This Row],[TYPE]],#REF!,2,FALSE)</f>
        <v>type40</v>
      </c>
      <c r="E2566">
        <v>1306.0899999999999</v>
      </c>
      <c r="F2566" t="s">
        <v>49</v>
      </c>
      <c r="G2566" s="1">
        <f>qry_ProdData2_PDI_Cash_Exception_Application[[#This Row],[INSERT DATE]]+2</f>
        <v>45184.257071759261</v>
      </c>
      <c r="H2566" t="str">
        <f>VLOOKUP(qry_ProdData2_PDI_Cash_Exception_Application[[#This Row],[MARKET No]],'Site Allocation'!$B$2:$C$37,2,FALSE)</f>
        <v>Analyst3</v>
      </c>
      <c r="I2566" s="4">
        <f t="shared" ca="1" si="40"/>
        <v>45203</v>
      </c>
      <c r="J2566" s="42">
        <f ca="1">TODAY()-qry_ProdData2_PDI_Cash_Exception_Application[[#This Row],[INSERT DATE]]</f>
        <v>20.742928240739275</v>
      </c>
      <c r="K25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66">
        <f ca="1">qry_ProdData2_PDI_Cash_Exception_Application[[#This Row],[TODAY]]-qry_ProdData2_PDI_Cash_Exception_Application[[#This Row],[CHANGED ON]]</f>
        <v>18.742928240739275</v>
      </c>
      <c r="M2566">
        <f ca="1">qry_ProdData2_PDI_Cash_Exception_Application[[#This Row],[TODAY]]-qry_ProdData2_PDI_Cash_Exception_Application[[#This Row],[CHANGED ON]]</f>
        <v>18.742928240739275</v>
      </c>
      <c r="N2566">
        <f ca="1">qry_ProdData2_PDI_Cash_Exception_Application[[#This Row],[TODAY]]-qry_ProdData2_PDI_Cash_Exception_Application[[#This Row],[CHANGED ON]]</f>
        <v>18.742928240739275</v>
      </c>
    </row>
    <row r="2567" spans="1:14" x14ac:dyDescent="0.35">
      <c r="A2567">
        <v>1026</v>
      </c>
      <c r="B2567" t="s">
        <v>80</v>
      </c>
      <c r="C2567" s="1">
        <v>45189.257071759261</v>
      </c>
      <c r="D2567" t="str">
        <f ca="1">VLOOKUP(qry_ProdData2_PDI_Cash_Exception_Application[[#This Row],[TYPE]],#REF!,2,FALSE)</f>
        <v>type41</v>
      </c>
      <c r="E2567">
        <v>427.5</v>
      </c>
      <c r="F2567" t="s">
        <v>51</v>
      </c>
      <c r="G2567" s="1">
        <f>qry_ProdData2_PDI_Cash_Exception_Application[[#This Row],[INSERT DATE]]+7</f>
        <v>45196.257071759261</v>
      </c>
      <c r="H2567" t="str">
        <f>VLOOKUP(qry_ProdData2_PDI_Cash_Exception_Application[[#This Row],[MARKET No]],'Site Allocation'!$B$2:$C$37,2,FALSE)</f>
        <v>Analyst5</v>
      </c>
      <c r="I2567" s="4">
        <f t="shared" ca="1" si="40"/>
        <v>45203</v>
      </c>
      <c r="J2567" s="42">
        <f ca="1">TODAY()-qry_ProdData2_PDI_Cash_Exception_Application[[#This Row],[INSERT DATE]]</f>
        <v>13.742928240739275</v>
      </c>
      <c r="K25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67">
        <f ca="1">qry_ProdData2_PDI_Cash_Exception_Application[[#This Row],[TODAY]]-qry_ProdData2_PDI_Cash_Exception_Application[[#This Row],[CHANGED ON]]</f>
        <v>6.7429282407392748</v>
      </c>
      <c r="M2567">
        <f ca="1">qry_ProdData2_PDI_Cash_Exception_Application[[#This Row],[TODAY]]-qry_ProdData2_PDI_Cash_Exception_Application[[#This Row],[CHANGED ON]]</f>
        <v>6.7429282407392748</v>
      </c>
      <c r="N2567">
        <f ca="1">qry_ProdData2_PDI_Cash_Exception_Application[[#This Row],[TODAY]]-qry_ProdData2_PDI_Cash_Exception_Application[[#This Row],[CHANGED ON]]</f>
        <v>6.7429282407392748</v>
      </c>
    </row>
    <row r="2568" spans="1:14" x14ac:dyDescent="0.35">
      <c r="A2568">
        <v>1025</v>
      </c>
      <c r="B2568" t="s">
        <v>79</v>
      </c>
      <c r="C2568" s="1">
        <v>45181.257071759261</v>
      </c>
      <c r="D2568" t="str">
        <f ca="1">VLOOKUP(qry_ProdData2_PDI_Cash_Exception_Application[[#This Row],[TYPE]],#REF!,2,FALSE)</f>
        <v>type40</v>
      </c>
      <c r="E2568">
        <v>34.840000000000003</v>
      </c>
      <c r="F2568" t="s">
        <v>51</v>
      </c>
      <c r="G2568" s="1">
        <f>qry_ProdData2_PDI_Cash_Exception_Application[[#This Row],[INSERT DATE]]+2</f>
        <v>45183.257071759261</v>
      </c>
      <c r="H2568" t="str">
        <f>VLOOKUP(qry_ProdData2_PDI_Cash_Exception_Application[[#This Row],[MARKET No]],'Site Allocation'!$B$2:$C$37,2,FALSE)</f>
        <v>Analyst5</v>
      </c>
      <c r="I2568" s="4">
        <f t="shared" ca="1" si="40"/>
        <v>45203</v>
      </c>
      <c r="J2568" s="42">
        <f ca="1">TODAY()-qry_ProdData2_PDI_Cash_Exception_Application[[#This Row],[INSERT DATE]]</f>
        <v>21.742928240739275</v>
      </c>
      <c r="K25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68">
        <f ca="1">qry_ProdData2_PDI_Cash_Exception_Application[[#This Row],[TODAY]]-qry_ProdData2_PDI_Cash_Exception_Application[[#This Row],[CHANGED ON]]</f>
        <v>19.742928240739275</v>
      </c>
      <c r="M2568">
        <f ca="1">qry_ProdData2_PDI_Cash_Exception_Application[[#This Row],[TODAY]]-qry_ProdData2_PDI_Cash_Exception_Application[[#This Row],[CHANGED ON]]</f>
        <v>19.742928240739275</v>
      </c>
      <c r="N2568">
        <f ca="1">qry_ProdData2_PDI_Cash_Exception_Application[[#This Row],[TODAY]]-qry_ProdData2_PDI_Cash_Exception_Application[[#This Row],[CHANGED ON]]</f>
        <v>19.742928240739275</v>
      </c>
    </row>
    <row r="2569" spans="1:14" x14ac:dyDescent="0.35">
      <c r="A2569">
        <v>1029</v>
      </c>
      <c r="B2569" t="s">
        <v>83</v>
      </c>
      <c r="C2569" s="1">
        <v>45184.257071759261</v>
      </c>
      <c r="D2569" t="str">
        <f ca="1">VLOOKUP(qry_ProdData2_PDI_Cash_Exception_Application[[#This Row],[TYPE]],#REF!,2,FALSE)</f>
        <v>type13</v>
      </c>
      <c r="E2569">
        <v>31432.77</v>
      </c>
      <c r="F2569" t="s">
        <v>51</v>
      </c>
      <c r="G2569" s="1">
        <f>qry_ProdData2_PDI_Cash_Exception_Application[[#This Row],[INSERT DATE]]+2</f>
        <v>45186.257071759261</v>
      </c>
      <c r="H2569" t="str">
        <f>VLOOKUP(qry_ProdData2_PDI_Cash_Exception_Application[[#This Row],[MARKET No]],'Site Allocation'!$B$2:$C$37,2,FALSE)</f>
        <v>Analyst5</v>
      </c>
      <c r="I2569" s="4">
        <f t="shared" ca="1" si="40"/>
        <v>45203</v>
      </c>
      <c r="J2569" s="42">
        <f ca="1">TODAY()-qry_ProdData2_PDI_Cash_Exception_Application[[#This Row],[INSERT DATE]]</f>
        <v>18.742928240739275</v>
      </c>
      <c r="K25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69">
        <f ca="1">qry_ProdData2_PDI_Cash_Exception_Application[[#This Row],[TODAY]]-qry_ProdData2_PDI_Cash_Exception_Application[[#This Row],[CHANGED ON]]</f>
        <v>16.742928240739275</v>
      </c>
      <c r="M2569">
        <f ca="1">qry_ProdData2_PDI_Cash_Exception_Application[[#This Row],[TODAY]]-qry_ProdData2_PDI_Cash_Exception_Application[[#This Row],[CHANGED ON]]</f>
        <v>16.742928240739275</v>
      </c>
      <c r="N2569">
        <f ca="1">qry_ProdData2_PDI_Cash_Exception_Application[[#This Row],[TODAY]]-qry_ProdData2_PDI_Cash_Exception_Application[[#This Row],[CHANGED ON]]</f>
        <v>16.742928240739275</v>
      </c>
    </row>
    <row r="2570" spans="1:14" x14ac:dyDescent="0.35">
      <c r="A2570">
        <v>1021</v>
      </c>
      <c r="B2570" t="s">
        <v>75</v>
      </c>
      <c r="C2570" s="1">
        <v>45186.257071759261</v>
      </c>
      <c r="D2570" t="str">
        <f ca="1">VLOOKUP(qry_ProdData2_PDI_Cash_Exception_Application[[#This Row],[TYPE]],#REF!,2,FALSE)</f>
        <v>type40</v>
      </c>
      <c r="E2570">
        <v>499.14</v>
      </c>
      <c r="F2570" t="s">
        <v>48</v>
      </c>
      <c r="G2570" s="1">
        <f>qry_ProdData2_PDI_Cash_Exception_Application[[#This Row],[INSERT DATE]]+2</f>
        <v>45188.257071759261</v>
      </c>
      <c r="H2570" t="str">
        <f>VLOOKUP(qry_ProdData2_PDI_Cash_Exception_Application[[#This Row],[MARKET No]],'Site Allocation'!$B$2:$C$37,2,FALSE)</f>
        <v>Analyst4</v>
      </c>
      <c r="I2570" s="4">
        <f t="shared" ca="1" si="40"/>
        <v>45203</v>
      </c>
      <c r="J2570" s="42">
        <f ca="1">TODAY()-qry_ProdData2_PDI_Cash_Exception_Application[[#This Row],[INSERT DATE]]</f>
        <v>16.742928240739275</v>
      </c>
      <c r="K25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70">
        <f ca="1">qry_ProdData2_PDI_Cash_Exception_Application[[#This Row],[TODAY]]-qry_ProdData2_PDI_Cash_Exception_Application[[#This Row],[CHANGED ON]]</f>
        <v>14.742928240739275</v>
      </c>
      <c r="M2570">
        <f ca="1">qry_ProdData2_PDI_Cash_Exception_Application[[#This Row],[TODAY]]-qry_ProdData2_PDI_Cash_Exception_Application[[#This Row],[CHANGED ON]]</f>
        <v>14.742928240739275</v>
      </c>
      <c r="N2570">
        <f ca="1">qry_ProdData2_PDI_Cash_Exception_Application[[#This Row],[TODAY]]-qry_ProdData2_PDI_Cash_Exception_Application[[#This Row],[CHANGED ON]]</f>
        <v>14.742928240739275</v>
      </c>
    </row>
    <row r="2571" spans="1:14" x14ac:dyDescent="0.35">
      <c r="A2571">
        <v>1029</v>
      </c>
      <c r="B2571" t="s">
        <v>83</v>
      </c>
      <c r="C2571" s="1">
        <v>45185.257071759261</v>
      </c>
      <c r="D2571" t="str">
        <f ca="1">VLOOKUP(qry_ProdData2_PDI_Cash_Exception_Application[[#This Row],[TYPE]],#REF!,2,FALSE)</f>
        <v>type40</v>
      </c>
      <c r="E2571">
        <v>702.74</v>
      </c>
      <c r="F2571" t="s">
        <v>49</v>
      </c>
      <c r="G2571" s="1">
        <f>qry_ProdData2_PDI_Cash_Exception_Application[[#This Row],[INSERT DATE]]+2</f>
        <v>45187.257071759261</v>
      </c>
      <c r="H2571" t="str">
        <f>VLOOKUP(qry_ProdData2_PDI_Cash_Exception_Application[[#This Row],[MARKET No]],'Site Allocation'!$B$2:$C$37,2,FALSE)</f>
        <v>Analyst5</v>
      </c>
      <c r="I2571" s="4">
        <f t="shared" ca="1" si="40"/>
        <v>45203</v>
      </c>
      <c r="J2571" s="42">
        <f ca="1">TODAY()-qry_ProdData2_PDI_Cash_Exception_Application[[#This Row],[INSERT DATE]]</f>
        <v>17.742928240739275</v>
      </c>
      <c r="K25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71">
        <f ca="1">qry_ProdData2_PDI_Cash_Exception_Application[[#This Row],[TODAY]]-qry_ProdData2_PDI_Cash_Exception_Application[[#This Row],[CHANGED ON]]</f>
        <v>15.742928240739275</v>
      </c>
      <c r="M2571">
        <f ca="1">qry_ProdData2_PDI_Cash_Exception_Application[[#This Row],[TODAY]]-qry_ProdData2_PDI_Cash_Exception_Application[[#This Row],[CHANGED ON]]</f>
        <v>15.742928240739275</v>
      </c>
      <c r="N2571">
        <f ca="1">qry_ProdData2_PDI_Cash_Exception_Application[[#This Row],[TODAY]]-qry_ProdData2_PDI_Cash_Exception_Application[[#This Row],[CHANGED ON]]</f>
        <v>15.742928240739275</v>
      </c>
    </row>
    <row r="2572" spans="1:14" x14ac:dyDescent="0.35">
      <c r="A2572">
        <v>1014</v>
      </c>
      <c r="B2572" t="s">
        <v>68</v>
      </c>
      <c r="C2572" s="1">
        <v>45182.257071759261</v>
      </c>
      <c r="D2572" t="str">
        <f ca="1">VLOOKUP(qry_ProdData2_PDI_Cash_Exception_Application[[#This Row],[TYPE]],#REF!,2,FALSE)</f>
        <v>type38</v>
      </c>
      <c r="E2572">
        <v>160.26</v>
      </c>
      <c r="F2572" t="s">
        <v>47</v>
      </c>
      <c r="G2572" s="1">
        <f>qry_ProdData2_PDI_Cash_Exception_Application[[#This Row],[INSERT DATE]]+7</f>
        <v>45189.257071759261</v>
      </c>
      <c r="H2572" t="str">
        <f>VLOOKUP(qry_ProdData2_PDI_Cash_Exception_Application[[#This Row],[MARKET No]],'Site Allocation'!$B$2:$C$37,2,FALSE)</f>
        <v>Analyst3</v>
      </c>
      <c r="I2572" s="4">
        <f t="shared" ca="1" si="40"/>
        <v>45203</v>
      </c>
      <c r="J2572" s="42">
        <f ca="1">TODAY()-qry_ProdData2_PDI_Cash_Exception_Application[[#This Row],[INSERT DATE]]</f>
        <v>20.742928240739275</v>
      </c>
      <c r="K25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72">
        <f ca="1">qry_ProdData2_PDI_Cash_Exception_Application[[#This Row],[TODAY]]-qry_ProdData2_PDI_Cash_Exception_Application[[#This Row],[CHANGED ON]]</f>
        <v>13.742928240739275</v>
      </c>
      <c r="M2572">
        <f ca="1">qry_ProdData2_PDI_Cash_Exception_Application[[#This Row],[TODAY]]-qry_ProdData2_PDI_Cash_Exception_Application[[#This Row],[CHANGED ON]]</f>
        <v>13.742928240739275</v>
      </c>
      <c r="N2572">
        <f ca="1">qry_ProdData2_PDI_Cash_Exception_Application[[#This Row],[TODAY]]-qry_ProdData2_PDI_Cash_Exception_Application[[#This Row],[CHANGED ON]]</f>
        <v>13.742928240739275</v>
      </c>
    </row>
    <row r="2573" spans="1:14" x14ac:dyDescent="0.35">
      <c r="A2573">
        <v>1030</v>
      </c>
      <c r="B2573" t="s">
        <v>84</v>
      </c>
      <c r="C2573" s="1">
        <v>45188.257071759261</v>
      </c>
      <c r="D2573" t="str">
        <f ca="1">VLOOKUP(qry_ProdData2_PDI_Cash_Exception_Application[[#This Row],[TYPE]],#REF!,2,FALSE)</f>
        <v>type40</v>
      </c>
      <c r="E2573">
        <v>-726.36</v>
      </c>
      <c r="F2573" t="s">
        <v>51</v>
      </c>
      <c r="G2573" s="1">
        <f>qry_ProdData2_PDI_Cash_Exception_Application[[#This Row],[INSERT DATE]]+2</f>
        <v>45190.257071759261</v>
      </c>
      <c r="H2573" t="str">
        <f>VLOOKUP(qry_ProdData2_PDI_Cash_Exception_Application[[#This Row],[MARKET No]],'Site Allocation'!$B$2:$C$37,2,FALSE)</f>
        <v>Analyst6</v>
      </c>
      <c r="I2573" s="4">
        <f t="shared" ca="1" si="40"/>
        <v>45203</v>
      </c>
      <c r="J2573" s="42">
        <f ca="1">TODAY()-qry_ProdData2_PDI_Cash_Exception_Application[[#This Row],[INSERT DATE]]</f>
        <v>14.742928240739275</v>
      </c>
      <c r="K25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73">
        <f ca="1">qry_ProdData2_PDI_Cash_Exception_Application[[#This Row],[TODAY]]-qry_ProdData2_PDI_Cash_Exception_Application[[#This Row],[CHANGED ON]]</f>
        <v>12.742928240739275</v>
      </c>
      <c r="M2573">
        <f ca="1">qry_ProdData2_PDI_Cash_Exception_Application[[#This Row],[TODAY]]-qry_ProdData2_PDI_Cash_Exception_Application[[#This Row],[CHANGED ON]]</f>
        <v>12.742928240739275</v>
      </c>
      <c r="N2573">
        <f ca="1">qry_ProdData2_PDI_Cash_Exception_Application[[#This Row],[TODAY]]-qry_ProdData2_PDI_Cash_Exception_Application[[#This Row],[CHANGED ON]]</f>
        <v>12.742928240739275</v>
      </c>
    </row>
    <row r="2574" spans="1:14" x14ac:dyDescent="0.35">
      <c r="A2574">
        <v>1002</v>
      </c>
      <c r="B2574" t="s">
        <v>56</v>
      </c>
      <c r="C2574" s="1">
        <v>45190.257071759261</v>
      </c>
      <c r="D2574" t="str">
        <f ca="1">VLOOKUP(qry_ProdData2_PDI_Cash_Exception_Application[[#This Row],[TYPE]],#REF!,2,FALSE)</f>
        <v>type40</v>
      </c>
      <c r="E2574">
        <v>10</v>
      </c>
      <c r="F2574" t="s">
        <v>51</v>
      </c>
      <c r="G2574" s="1">
        <f>qry_ProdData2_PDI_Cash_Exception_Application[[#This Row],[INSERT DATE]]+2</f>
        <v>45192.257071759261</v>
      </c>
      <c r="H2574" t="str">
        <f>VLOOKUP(qry_ProdData2_PDI_Cash_Exception_Application[[#This Row],[MARKET No]],'Site Allocation'!$B$2:$C$37,2,FALSE)</f>
        <v>Analyst1</v>
      </c>
      <c r="I2574" s="4">
        <f t="shared" ca="1" si="40"/>
        <v>45203</v>
      </c>
      <c r="J2574" s="42">
        <f ca="1">TODAY()-qry_ProdData2_PDI_Cash_Exception_Application[[#This Row],[INSERT DATE]]</f>
        <v>12.742928240739275</v>
      </c>
      <c r="K25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74">
        <f ca="1">qry_ProdData2_PDI_Cash_Exception_Application[[#This Row],[TODAY]]-qry_ProdData2_PDI_Cash_Exception_Application[[#This Row],[CHANGED ON]]</f>
        <v>10.742928240739275</v>
      </c>
      <c r="M2574">
        <f ca="1">qry_ProdData2_PDI_Cash_Exception_Application[[#This Row],[TODAY]]-qry_ProdData2_PDI_Cash_Exception_Application[[#This Row],[CHANGED ON]]</f>
        <v>10.742928240739275</v>
      </c>
      <c r="N2574">
        <f ca="1">qry_ProdData2_PDI_Cash_Exception_Application[[#This Row],[TODAY]]-qry_ProdData2_PDI_Cash_Exception_Application[[#This Row],[CHANGED ON]]</f>
        <v>10.742928240739275</v>
      </c>
    </row>
    <row r="2575" spans="1:14" x14ac:dyDescent="0.35">
      <c r="A2575">
        <v>1027</v>
      </c>
      <c r="B2575" t="s">
        <v>81</v>
      </c>
      <c r="C2575" s="1">
        <v>45193.257071759261</v>
      </c>
      <c r="D2575" t="str">
        <f ca="1">VLOOKUP(qry_ProdData2_PDI_Cash_Exception_Application[[#This Row],[TYPE]],#REF!,2,FALSE)</f>
        <v>type40</v>
      </c>
      <c r="E2575">
        <v>-2736.11</v>
      </c>
      <c r="F2575" t="s">
        <v>50</v>
      </c>
      <c r="G2575" s="1">
        <f>qry_ProdData2_PDI_Cash_Exception_Application[[#This Row],[INSERT DATE]]+2</f>
        <v>45195.257071759261</v>
      </c>
      <c r="H2575" t="str">
        <f>VLOOKUP(qry_ProdData2_PDI_Cash_Exception_Application[[#This Row],[MARKET No]],'Site Allocation'!$B$2:$C$37,2,FALSE)</f>
        <v>Analyst5</v>
      </c>
      <c r="I2575" s="4">
        <f t="shared" ca="1" si="40"/>
        <v>45203</v>
      </c>
      <c r="J2575" s="42">
        <f ca="1">TODAY()-qry_ProdData2_PDI_Cash_Exception_Application[[#This Row],[INSERT DATE]]</f>
        <v>9.7429282407392748</v>
      </c>
      <c r="K25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75">
        <f ca="1">qry_ProdData2_PDI_Cash_Exception_Application[[#This Row],[TODAY]]-qry_ProdData2_PDI_Cash_Exception_Application[[#This Row],[CHANGED ON]]</f>
        <v>7.7429282407392748</v>
      </c>
      <c r="M2575">
        <f ca="1">qry_ProdData2_PDI_Cash_Exception_Application[[#This Row],[TODAY]]-qry_ProdData2_PDI_Cash_Exception_Application[[#This Row],[CHANGED ON]]</f>
        <v>7.7429282407392748</v>
      </c>
      <c r="N2575">
        <f ca="1">qry_ProdData2_PDI_Cash_Exception_Application[[#This Row],[TODAY]]-qry_ProdData2_PDI_Cash_Exception_Application[[#This Row],[CHANGED ON]]</f>
        <v>7.7429282407392748</v>
      </c>
    </row>
    <row r="2576" spans="1:14" x14ac:dyDescent="0.35">
      <c r="A2576">
        <v>1035</v>
      </c>
      <c r="B2576" t="s">
        <v>89</v>
      </c>
      <c r="C2576" s="1">
        <v>45187.257071759261</v>
      </c>
      <c r="D2576" t="str">
        <f ca="1">VLOOKUP(qry_ProdData2_PDI_Cash_Exception_Application[[#This Row],[TYPE]],#REF!,2,FALSE)</f>
        <v>type1</v>
      </c>
      <c r="E2576">
        <v>12</v>
      </c>
      <c r="F2576" t="s">
        <v>48</v>
      </c>
      <c r="G2576" s="1">
        <f>qry_ProdData2_PDI_Cash_Exception_Application[[#This Row],[INSERT DATE]]+2</f>
        <v>45189.257071759261</v>
      </c>
      <c r="H2576" t="str">
        <f>VLOOKUP(qry_ProdData2_PDI_Cash_Exception_Application[[#This Row],[MARKET No]],'Site Allocation'!$B$2:$C$37,2,FALSE)</f>
        <v>Analyst6</v>
      </c>
      <c r="I2576" s="4">
        <f t="shared" ca="1" si="40"/>
        <v>45203</v>
      </c>
      <c r="J2576" s="42">
        <f ca="1">TODAY()-qry_ProdData2_PDI_Cash_Exception_Application[[#This Row],[INSERT DATE]]</f>
        <v>15.742928240739275</v>
      </c>
      <c r="K25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76">
        <f ca="1">qry_ProdData2_PDI_Cash_Exception_Application[[#This Row],[TODAY]]-qry_ProdData2_PDI_Cash_Exception_Application[[#This Row],[CHANGED ON]]</f>
        <v>13.742928240739275</v>
      </c>
      <c r="M2576">
        <f ca="1">qry_ProdData2_PDI_Cash_Exception_Application[[#This Row],[TODAY]]-qry_ProdData2_PDI_Cash_Exception_Application[[#This Row],[CHANGED ON]]</f>
        <v>13.742928240739275</v>
      </c>
      <c r="N2576">
        <f ca="1">qry_ProdData2_PDI_Cash_Exception_Application[[#This Row],[TODAY]]-qry_ProdData2_PDI_Cash_Exception_Application[[#This Row],[CHANGED ON]]</f>
        <v>13.742928240739275</v>
      </c>
    </row>
    <row r="2577" spans="1:14" x14ac:dyDescent="0.35">
      <c r="A2577">
        <v>1013</v>
      </c>
      <c r="B2577" t="s">
        <v>67</v>
      </c>
      <c r="C2577" s="1">
        <v>45188.257071759261</v>
      </c>
      <c r="D2577" t="str">
        <f ca="1">VLOOKUP(qry_ProdData2_PDI_Cash_Exception_Application[[#This Row],[TYPE]],#REF!,2,FALSE)</f>
        <v>type40</v>
      </c>
      <c r="E2577">
        <v>318.54000000000002</v>
      </c>
      <c r="F2577" t="s">
        <v>49</v>
      </c>
      <c r="G2577" s="1">
        <f>qry_ProdData2_PDI_Cash_Exception_Application[[#This Row],[INSERT DATE]]+2</f>
        <v>45190.257071759261</v>
      </c>
      <c r="H2577" t="str">
        <f>VLOOKUP(qry_ProdData2_PDI_Cash_Exception_Application[[#This Row],[MARKET No]],'Site Allocation'!$B$2:$C$37,2,FALSE)</f>
        <v>Analyst3</v>
      </c>
      <c r="I2577" s="4">
        <f t="shared" ca="1" si="40"/>
        <v>45203</v>
      </c>
      <c r="J2577" s="42">
        <f ca="1">TODAY()-qry_ProdData2_PDI_Cash_Exception_Application[[#This Row],[INSERT DATE]]</f>
        <v>14.742928240739275</v>
      </c>
      <c r="K25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77">
        <f ca="1">qry_ProdData2_PDI_Cash_Exception_Application[[#This Row],[TODAY]]-qry_ProdData2_PDI_Cash_Exception_Application[[#This Row],[CHANGED ON]]</f>
        <v>12.742928240739275</v>
      </c>
      <c r="M2577">
        <f ca="1">qry_ProdData2_PDI_Cash_Exception_Application[[#This Row],[TODAY]]-qry_ProdData2_PDI_Cash_Exception_Application[[#This Row],[CHANGED ON]]</f>
        <v>12.742928240739275</v>
      </c>
      <c r="N2577">
        <f ca="1">qry_ProdData2_PDI_Cash_Exception_Application[[#This Row],[TODAY]]-qry_ProdData2_PDI_Cash_Exception_Application[[#This Row],[CHANGED ON]]</f>
        <v>12.742928240739275</v>
      </c>
    </row>
    <row r="2578" spans="1:14" x14ac:dyDescent="0.35">
      <c r="A2578">
        <v>1032</v>
      </c>
      <c r="B2578" t="s">
        <v>86</v>
      </c>
      <c r="C2578" s="1">
        <v>45196.257071759261</v>
      </c>
      <c r="D2578" t="str">
        <f ca="1">VLOOKUP(qry_ProdData2_PDI_Cash_Exception_Application[[#This Row],[TYPE]],#REF!,2,FALSE)</f>
        <v>type15</v>
      </c>
      <c r="E2578">
        <v>1786</v>
      </c>
      <c r="F2578" t="s">
        <v>50</v>
      </c>
      <c r="G2578" s="1">
        <f>qry_ProdData2_PDI_Cash_Exception_Application[[#This Row],[INSERT DATE]]+5</f>
        <v>45201.257071759261</v>
      </c>
      <c r="H2578" t="str">
        <f>VLOOKUP(qry_ProdData2_PDI_Cash_Exception_Application[[#This Row],[MARKET No]],'Site Allocation'!$B$2:$C$37,2,FALSE)</f>
        <v>Analyst6</v>
      </c>
      <c r="I2578" s="4">
        <f t="shared" ca="1" si="40"/>
        <v>45203</v>
      </c>
      <c r="J2578" s="42">
        <f ca="1">TODAY()-qry_ProdData2_PDI_Cash_Exception_Application[[#This Row],[INSERT DATE]]</f>
        <v>6.7429282407392748</v>
      </c>
      <c r="K25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578">
        <f ca="1">qry_ProdData2_PDI_Cash_Exception_Application[[#This Row],[TODAY]]-qry_ProdData2_PDI_Cash_Exception_Application[[#This Row],[CHANGED ON]]</f>
        <v>1.7429282407392748</v>
      </c>
      <c r="M2578">
        <f ca="1">qry_ProdData2_PDI_Cash_Exception_Application[[#This Row],[TODAY]]-qry_ProdData2_PDI_Cash_Exception_Application[[#This Row],[CHANGED ON]]</f>
        <v>1.7429282407392748</v>
      </c>
      <c r="N2578">
        <f ca="1">qry_ProdData2_PDI_Cash_Exception_Application[[#This Row],[TODAY]]-qry_ProdData2_PDI_Cash_Exception_Application[[#This Row],[CHANGED ON]]</f>
        <v>1.7429282407392748</v>
      </c>
    </row>
    <row r="2579" spans="1:14" x14ac:dyDescent="0.35">
      <c r="A2579">
        <v>1016</v>
      </c>
      <c r="B2579" t="s">
        <v>70</v>
      </c>
      <c r="C2579" s="1">
        <v>45187.257071759261</v>
      </c>
      <c r="D2579" t="str">
        <f ca="1">VLOOKUP(qry_ProdData2_PDI_Cash_Exception_Application[[#This Row],[TYPE]],#REF!,2,FALSE)</f>
        <v>type40</v>
      </c>
      <c r="E2579">
        <v>417.15</v>
      </c>
      <c r="F2579" t="s">
        <v>49</v>
      </c>
      <c r="G2579" s="1">
        <f>qry_ProdData2_PDI_Cash_Exception_Application[[#This Row],[INSERT DATE]]+7</f>
        <v>45194.257071759261</v>
      </c>
      <c r="H2579" t="str">
        <f>VLOOKUP(qry_ProdData2_PDI_Cash_Exception_Application[[#This Row],[MARKET No]],'Site Allocation'!$B$2:$C$37,2,FALSE)</f>
        <v>Analyst3</v>
      </c>
      <c r="I2579" s="4">
        <f t="shared" ca="1" si="40"/>
        <v>45203</v>
      </c>
      <c r="J2579" s="42">
        <f ca="1">TODAY()-qry_ProdData2_PDI_Cash_Exception_Application[[#This Row],[INSERT DATE]]</f>
        <v>15.742928240739275</v>
      </c>
      <c r="K25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79">
        <f ca="1">qry_ProdData2_PDI_Cash_Exception_Application[[#This Row],[TODAY]]-qry_ProdData2_PDI_Cash_Exception_Application[[#This Row],[CHANGED ON]]</f>
        <v>8.7429282407392748</v>
      </c>
      <c r="M2579">
        <f ca="1">qry_ProdData2_PDI_Cash_Exception_Application[[#This Row],[TODAY]]-qry_ProdData2_PDI_Cash_Exception_Application[[#This Row],[CHANGED ON]]</f>
        <v>8.7429282407392748</v>
      </c>
      <c r="N2579">
        <f ca="1">qry_ProdData2_PDI_Cash_Exception_Application[[#This Row],[TODAY]]-qry_ProdData2_PDI_Cash_Exception_Application[[#This Row],[CHANGED ON]]</f>
        <v>8.7429282407392748</v>
      </c>
    </row>
    <row r="2580" spans="1:14" x14ac:dyDescent="0.35">
      <c r="A2580">
        <v>1006</v>
      </c>
      <c r="B2580" t="s">
        <v>60</v>
      </c>
      <c r="C2580" s="1">
        <v>45185.257071759261</v>
      </c>
      <c r="D2580" t="str">
        <f ca="1">VLOOKUP(qry_ProdData2_PDI_Cash_Exception_Application[[#This Row],[TYPE]],#REF!,2,FALSE)</f>
        <v>type13</v>
      </c>
      <c r="E2580">
        <v>31448.51</v>
      </c>
      <c r="F2580" t="s">
        <v>52</v>
      </c>
      <c r="G2580" s="1">
        <f>qry_ProdData2_PDI_Cash_Exception_Application[[#This Row],[INSERT DATE]]+5</f>
        <v>45190.257071759261</v>
      </c>
      <c r="H2580" t="str">
        <f>VLOOKUP(qry_ProdData2_PDI_Cash_Exception_Application[[#This Row],[MARKET No]],'Site Allocation'!$B$2:$C$37,2,FALSE)</f>
        <v>Analyst2</v>
      </c>
      <c r="I2580" s="4">
        <f t="shared" ca="1" si="40"/>
        <v>45203</v>
      </c>
      <c r="J2580" s="42">
        <f ca="1">TODAY()-qry_ProdData2_PDI_Cash_Exception_Application[[#This Row],[INSERT DATE]]</f>
        <v>17.742928240739275</v>
      </c>
      <c r="K25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80">
        <f ca="1">qry_ProdData2_PDI_Cash_Exception_Application[[#This Row],[TODAY]]-qry_ProdData2_PDI_Cash_Exception_Application[[#This Row],[CHANGED ON]]</f>
        <v>12.742928240739275</v>
      </c>
      <c r="M2580">
        <f ca="1">qry_ProdData2_PDI_Cash_Exception_Application[[#This Row],[TODAY]]-qry_ProdData2_PDI_Cash_Exception_Application[[#This Row],[CHANGED ON]]</f>
        <v>12.742928240739275</v>
      </c>
      <c r="N2580">
        <f ca="1">qry_ProdData2_PDI_Cash_Exception_Application[[#This Row],[TODAY]]-qry_ProdData2_PDI_Cash_Exception_Application[[#This Row],[CHANGED ON]]</f>
        <v>12.742928240739275</v>
      </c>
    </row>
    <row r="2581" spans="1:14" x14ac:dyDescent="0.35">
      <c r="A2581">
        <v>1004</v>
      </c>
      <c r="B2581" t="s">
        <v>58</v>
      </c>
      <c r="C2581" s="1">
        <v>45190.257071759261</v>
      </c>
      <c r="D2581" t="str">
        <f ca="1">VLOOKUP(qry_ProdData2_PDI_Cash_Exception_Application[[#This Row],[TYPE]],#REF!,2,FALSE)</f>
        <v>type13</v>
      </c>
      <c r="E2581">
        <v>28575.78</v>
      </c>
      <c r="F2581" t="s">
        <v>48</v>
      </c>
      <c r="G2581" s="1">
        <f>qry_ProdData2_PDI_Cash_Exception_Application[[#This Row],[INSERT DATE]]+5</f>
        <v>45195.257071759261</v>
      </c>
      <c r="H2581" t="str">
        <f>VLOOKUP(qry_ProdData2_PDI_Cash_Exception_Application[[#This Row],[MARKET No]],'Site Allocation'!$B$2:$C$37,2,FALSE)</f>
        <v>Analyst1</v>
      </c>
      <c r="I2581" s="4">
        <f t="shared" ca="1" si="40"/>
        <v>45203</v>
      </c>
      <c r="J2581" s="42">
        <f ca="1">TODAY()-qry_ProdData2_PDI_Cash_Exception_Application[[#This Row],[INSERT DATE]]</f>
        <v>12.742928240739275</v>
      </c>
      <c r="K25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81">
        <f ca="1">qry_ProdData2_PDI_Cash_Exception_Application[[#This Row],[TODAY]]-qry_ProdData2_PDI_Cash_Exception_Application[[#This Row],[CHANGED ON]]</f>
        <v>7.7429282407392748</v>
      </c>
      <c r="M2581">
        <f ca="1">qry_ProdData2_PDI_Cash_Exception_Application[[#This Row],[TODAY]]-qry_ProdData2_PDI_Cash_Exception_Application[[#This Row],[CHANGED ON]]</f>
        <v>7.7429282407392748</v>
      </c>
      <c r="N2581">
        <f ca="1">qry_ProdData2_PDI_Cash_Exception_Application[[#This Row],[TODAY]]-qry_ProdData2_PDI_Cash_Exception_Application[[#This Row],[CHANGED ON]]</f>
        <v>7.7429282407392748</v>
      </c>
    </row>
    <row r="2582" spans="1:14" x14ac:dyDescent="0.35">
      <c r="A2582">
        <v>1033</v>
      </c>
      <c r="B2582" t="s">
        <v>87</v>
      </c>
      <c r="C2582" s="1">
        <v>45192.257071759261</v>
      </c>
      <c r="D2582" t="str">
        <f ca="1">VLOOKUP(qry_ProdData2_PDI_Cash_Exception_Application[[#This Row],[TYPE]],#REF!,2,FALSE)</f>
        <v>type40</v>
      </c>
      <c r="E2582">
        <v>4887.3</v>
      </c>
      <c r="F2582" t="s">
        <v>51</v>
      </c>
      <c r="G2582" s="1">
        <f>qry_ProdData2_PDI_Cash_Exception_Application[[#This Row],[INSERT DATE]]+2</f>
        <v>45194.257071759261</v>
      </c>
      <c r="H2582" t="str">
        <f>VLOOKUP(qry_ProdData2_PDI_Cash_Exception_Application[[#This Row],[MARKET No]],'Site Allocation'!$B$2:$C$37,2,FALSE)</f>
        <v>Analyst6</v>
      </c>
      <c r="I2582" s="4">
        <f t="shared" ca="1" si="40"/>
        <v>45203</v>
      </c>
      <c r="J2582" s="42">
        <f ca="1">TODAY()-qry_ProdData2_PDI_Cash_Exception_Application[[#This Row],[INSERT DATE]]</f>
        <v>10.742928240739275</v>
      </c>
      <c r="K25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82">
        <f ca="1">qry_ProdData2_PDI_Cash_Exception_Application[[#This Row],[TODAY]]-qry_ProdData2_PDI_Cash_Exception_Application[[#This Row],[CHANGED ON]]</f>
        <v>8.7429282407392748</v>
      </c>
      <c r="M2582">
        <f ca="1">qry_ProdData2_PDI_Cash_Exception_Application[[#This Row],[TODAY]]-qry_ProdData2_PDI_Cash_Exception_Application[[#This Row],[CHANGED ON]]</f>
        <v>8.7429282407392748</v>
      </c>
      <c r="N2582">
        <f ca="1">qry_ProdData2_PDI_Cash_Exception_Application[[#This Row],[TODAY]]-qry_ProdData2_PDI_Cash_Exception_Application[[#This Row],[CHANGED ON]]</f>
        <v>8.7429282407392748</v>
      </c>
    </row>
    <row r="2583" spans="1:14" x14ac:dyDescent="0.35">
      <c r="A2583">
        <v>1003</v>
      </c>
      <c r="B2583" t="s">
        <v>57</v>
      </c>
      <c r="C2583" s="1">
        <v>45182.257071759261</v>
      </c>
      <c r="D2583" t="str">
        <f ca="1">VLOOKUP(qry_ProdData2_PDI_Cash_Exception_Application[[#This Row],[TYPE]],#REF!,2,FALSE)</f>
        <v>type13</v>
      </c>
      <c r="E2583">
        <v>13570</v>
      </c>
      <c r="F2583" t="s">
        <v>51</v>
      </c>
      <c r="G2583" s="1">
        <f>qry_ProdData2_PDI_Cash_Exception_Application[[#This Row],[INSERT DATE]]+7</f>
        <v>45189.257071759261</v>
      </c>
      <c r="H2583" t="str">
        <f>VLOOKUP(qry_ProdData2_PDI_Cash_Exception_Application[[#This Row],[MARKET No]],'Site Allocation'!$B$2:$C$37,2,FALSE)</f>
        <v>Analyst1</v>
      </c>
      <c r="I2583" s="4">
        <f t="shared" ca="1" si="40"/>
        <v>45203</v>
      </c>
      <c r="J2583" s="42">
        <f ca="1">TODAY()-qry_ProdData2_PDI_Cash_Exception_Application[[#This Row],[INSERT DATE]]</f>
        <v>20.742928240739275</v>
      </c>
      <c r="K25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83">
        <f ca="1">qry_ProdData2_PDI_Cash_Exception_Application[[#This Row],[TODAY]]-qry_ProdData2_PDI_Cash_Exception_Application[[#This Row],[CHANGED ON]]</f>
        <v>13.742928240739275</v>
      </c>
      <c r="M2583">
        <f ca="1">qry_ProdData2_PDI_Cash_Exception_Application[[#This Row],[TODAY]]-qry_ProdData2_PDI_Cash_Exception_Application[[#This Row],[CHANGED ON]]</f>
        <v>13.742928240739275</v>
      </c>
      <c r="N2583">
        <f ca="1">qry_ProdData2_PDI_Cash_Exception_Application[[#This Row],[TODAY]]-qry_ProdData2_PDI_Cash_Exception_Application[[#This Row],[CHANGED ON]]</f>
        <v>13.742928240739275</v>
      </c>
    </row>
    <row r="2584" spans="1:14" x14ac:dyDescent="0.35">
      <c r="A2584">
        <v>1000</v>
      </c>
      <c r="B2584" t="s">
        <v>54</v>
      </c>
      <c r="C2584" s="1">
        <v>45191.257071759261</v>
      </c>
      <c r="D2584" t="str">
        <f ca="1">VLOOKUP(qry_ProdData2_PDI_Cash_Exception_Application[[#This Row],[TYPE]],#REF!,2,FALSE)</f>
        <v>type13</v>
      </c>
      <c r="E2584">
        <v>25693.05</v>
      </c>
      <c r="G2584" s="1">
        <f>qry_ProdData2_PDI_Cash_Exception_Application[[#This Row],[INSERT DATE]]+1</f>
        <v>45192.257071759261</v>
      </c>
      <c r="H2584" t="str">
        <f>VLOOKUP(qry_ProdData2_PDI_Cash_Exception_Application[[#This Row],[MARKET No]],'Site Allocation'!$B$2:$C$37,2,FALSE)</f>
        <v>Analyst1</v>
      </c>
      <c r="I2584" s="4">
        <f t="shared" ca="1" si="40"/>
        <v>45203</v>
      </c>
      <c r="J2584" s="42">
        <f ca="1">TODAY()-qry_ProdData2_PDI_Cash_Exception_Application[[#This Row],[INSERT DATE]]</f>
        <v>11.742928240739275</v>
      </c>
      <c r="K25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84">
        <f ca="1">qry_ProdData2_PDI_Cash_Exception_Application[[#This Row],[TODAY]]-qry_ProdData2_PDI_Cash_Exception_Application[[#This Row],[CHANGED ON]]</f>
        <v>10.742928240739275</v>
      </c>
      <c r="M2584">
        <f ca="1">qry_ProdData2_PDI_Cash_Exception_Application[[#This Row],[TODAY]]-qry_ProdData2_PDI_Cash_Exception_Application[[#This Row],[CHANGED ON]]</f>
        <v>10.742928240739275</v>
      </c>
      <c r="N2584">
        <f ca="1">qry_ProdData2_PDI_Cash_Exception_Application[[#This Row],[TODAY]]-qry_ProdData2_PDI_Cash_Exception_Application[[#This Row],[CHANGED ON]]</f>
        <v>10.742928240739275</v>
      </c>
    </row>
    <row r="2585" spans="1:14" x14ac:dyDescent="0.35">
      <c r="A2585">
        <v>1002</v>
      </c>
      <c r="B2585" t="s">
        <v>56</v>
      </c>
      <c r="C2585" s="1">
        <v>45188.257071759261</v>
      </c>
      <c r="D2585" t="str">
        <f ca="1">VLOOKUP(qry_ProdData2_PDI_Cash_Exception_Application[[#This Row],[TYPE]],#REF!,2,FALSE)</f>
        <v>type40</v>
      </c>
      <c r="E2585">
        <v>5009.8500000000004</v>
      </c>
      <c r="F2585" t="s">
        <v>51</v>
      </c>
      <c r="G2585" s="1">
        <f>qry_ProdData2_PDI_Cash_Exception_Application[[#This Row],[INSERT DATE]]+1</f>
        <v>45189.257071759261</v>
      </c>
      <c r="H2585" t="str">
        <f>VLOOKUP(qry_ProdData2_PDI_Cash_Exception_Application[[#This Row],[MARKET No]],'Site Allocation'!$B$2:$C$37,2,FALSE)</f>
        <v>Analyst1</v>
      </c>
      <c r="I2585" s="4">
        <f t="shared" ca="1" si="40"/>
        <v>45203</v>
      </c>
      <c r="J2585" s="42">
        <f ca="1">TODAY()-qry_ProdData2_PDI_Cash_Exception_Application[[#This Row],[INSERT DATE]]</f>
        <v>14.742928240739275</v>
      </c>
      <c r="K25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85">
        <f ca="1">qry_ProdData2_PDI_Cash_Exception_Application[[#This Row],[TODAY]]-qry_ProdData2_PDI_Cash_Exception_Application[[#This Row],[CHANGED ON]]</f>
        <v>13.742928240739275</v>
      </c>
      <c r="M2585">
        <f ca="1">qry_ProdData2_PDI_Cash_Exception_Application[[#This Row],[TODAY]]-qry_ProdData2_PDI_Cash_Exception_Application[[#This Row],[CHANGED ON]]</f>
        <v>13.742928240739275</v>
      </c>
      <c r="N2585">
        <f ca="1">qry_ProdData2_PDI_Cash_Exception_Application[[#This Row],[TODAY]]-qry_ProdData2_PDI_Cash_Exception_Application[[#This Row],[CHANGED ON]]</f>
        <v>13.742928240739275</v>
      </c>
    </row>
    <row r="2586" spans="1:14" x14ac:dyDescent="0.35">
      <c r="A2586">
        <v>1016</v>
      </c>
      <c r="B2586" t="s">
        <v>70</v>
      </c>
      <c r="C2586" s="1">
        <v>45187.257071759261</v>
      </c>
      <c r="D2586" t="str">
        <f ca="1">VLOOKUP(qry_ProdData2_PDI_Cash_Exception_Application[[#This Row],[TYPE]],#REF!,2,FALSE)</f>
        <v>type40</v>
      </c>
      <c r="E2586">
        <v>-5136.3599999999997</v>
      </c>
      <c r="F2586" t="s">
        <v>49</v>
      </c>
      <c r="G2586" s="1">
        <f>qry_ProdData2_PDI_Cash_Exception_Application[[#This Row],[INSERT DATE]]+7</f>
        <v>45194.257071759261</v>
      </c>
      <c r="H2586" t="str">
        <f>VLOOKUP(qry_ProdData2_PDI_Cash_Exception_Application[[#This Row],[MARKET No]],'Site Allocation'!$B$2:$C$37,2,FALSE)</f>
        <v>Analyst3</v>
      </c>
      <c r="I2586" s="4">
        <f t="shared" ca="1" si="40"/>
        <v>45203</v>
      </c>
      <c r="J2586" s="42">
        <f ca="1">TODAY()-qry_ProdData2_PDI_Cash_Exception_Application[[#This Row],[INSERT DATE]]</f>
        <v>15.742928240739275</v>
      </c>
      <c r="K25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86">
        <f ca="1">qry_ProdData2_PDI_Cash_Exception_Application[[#This Row],[TODAY]]-qry_ProdData2_PDI_Cash_Exception_Application[[#This Row],[CHANGED ON]]</f>
        <v>8.7429282407392748</v>
      </c>
      <c r="M2586">
        <f ca="1">qry_ProdData2_PDI_Cash_Exception_Application[[#This Row],[TODAY]]-qry_ProdData2_PDI_Cash_Exception_Application[[#This Row],[CHANGED ON]]</f>
        <v>8.7429282407392748</v>
      </c>
      <c r="N2586">
        <f ca="1">qry_ProdData2_PDI_Cash_Exception_Application[[#This Row],[TODAY]]-qry_ProdData2_PDI_Cash_Exception_Application[[#This Row],[CHANGED ON]]</f>
        <v>8.7429282407392748</v>
      </c>
    </row>
    <row r="2587" spans="1:14" x14ac:dyDescent="0.35">
      <c r="A2587">
        <v>1010</v>
      </c>
      <c r="B2587" t="s">
        <v>64</v>
      </c>
      <c r="C2587" s="1">
        <v>45180.257071759261</v>
      </c>
      <c r="D2587" t="str">
        <f ca="1">VLOOKUP(qry_ProdData2_PDI_Cash_Exception_Application[[#This Row],[TYPE]],#REF!,2,FALSE)</f>
        <v>type40</v>
      </c>
      <c r="E2587">
        <v>1227.8399999999999</v>
      </c>
      <c r="F2587" t="s">
        <v>48</v>
      </c>
      <c r="G2587" s="1">
        <f>qry_ProdData2_PDI_Cash_Exception_Application[[#This Row],[INSERT DATE]]+7</f>
        <v>45187.257071759261</v>
      </c>
      <c r="H2587" t="str">
        <f>VLOOKUP(qry_ProdData2_PDI_Cash_Exception_Application[[#This Row],[MARKET No]],'Site Allocation'!$B$2:$C$37,2,FALSE)</f>
        <v>Analyst2</v>
      </c>
      <c r="I2587" s="4">
        <f t="shared" ca="1" si="40"/>
        <v>45203</v>
      </c>
      <c r="J2587" s="42">
        <f ca="1">TODAY()-qry_ProdData2_PDI_Cash_Exception_Application[[#This Row],[INSERT DATE]]</f>
        <v>22.742928240739275</v>
      </c>
      <c r="K25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87">
        <f ca="1">qry_ProdData2_PDI_Cash_Exception_Application[[#This Row],[TODAY]]-qry_ProdData2_PDI_Cash_Exception_Application[[#This Row],[CHANGED ON]]</f>
        <v>15.742928240739275</v>
      </c>
      <c r="M2587">
        <f ca="1">qry_ProdData2_PDI_Cash_Exception_Application[[#This Row],[TODAY]]-qry_ProdData2_PDI_Cash_Exception_Application[[#This Row],[CHANGED ON]]</f>
        <v>15.742928240739275</v>
      </c>
      <c r="N2587">
        <f ca="1">qry_ProdData2_PDI_Cash_Exception_Application[[#This Row],[TODAY]]-qry_ProdData2_PDI_Cash_Exception_Application[[#This Row],[CHANGED ON]]</f>
        <v>15.742928240739275</v>
      </c>
    </row>
    <row r="2588" spans="1:14" x14ac:dyDescent="0.35">
      <c r="A2588">
        <v>1034</v>
      </c>
      <c r="B2588" t="s">
        <v>88</v>
      </c>
      <c r="C2588" s="1">
        <v>45184.257071759261</v>
      </c>
      <c r="D2588" t="str">
        <f ca="1">VLOOKUP(qry_ProdData2_PDI_Cash_Exception_Application[[#This Row],[TYPE]],#REF!,2,FALSE)</f>
        <v>type40</v>
      </c>
      <c r="E2588">
        <v>515.66</v>
      </c>
      <c r="G2588" s="1">
        <f>qry_ProdData2_PDI_Cash_Exception_Application[[#This Row],[INSERT DATE]]+1</f>
        <v>45185.257071759261</v>
      </c>
      <c r="H2588" t="str">
        <f>VLOOKUP(qry_ProdData2_PDI_Cash_Exception_Application[[#This Row],[MARKET No]],'Site Allocation'!$B$2:$C$37,2,FALSE)</f>
        <v>Analyst6</v>
      </c>
      <c r="I2588" s="4">
        <f t="shared" ca="1" si="40"/>
        <v>45203</v>
      </c>
      <c r="J2588" s="42">
        <f ca="1">TODAY()-qry_ProdData2_PDI_Cash_Exception_Application[[#This Row],[INSERT DATE]]</f>
        <v>18.742928240739275</v>
      </c>
      <c r="K25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88">
        <f ca="1">qry_ProdData2_PDI_Cash_Exception_Application[[#This Row],[TODAY]]-qry_ProdData2_PDI_Cash_Exception_Application[[#This Row],[CHANGED ON]]</f>
        <v>17.742928240739275</v>
      </c>
      <c r="M2588">
        <f ca="1">qry_ProdData2_PDI_Cash_Exception_Application[[#This Row],[TODAY]]-qry_ProdData2_PDI_Cash_Exception_Application[[#This Row],[CHANGED ON]]</f>
        <v>17.742928240739275</v>
      </c>
      <c r="N2588">
        <f ca="1">qry_ProdData2_PDI_Cash_Exception_Application[[#This Row],[TODAY]]-qry_ProdData2_PDI_Cash_Exception_Application[[#This Row],[CHANGED ON]]</f>
        <v>17.742928240739275</v>
      </c>
    </row>
    <row r="2589" spans="1:14" x14ac:dyDescent="0.35">
      <c r="A2589">
        <v>1014</v>
      </c>
      <c r="B2589" t="s">
        <v>68</v>
      </c>
      <c r="C2589" s="1">
        <v>45191.257071759261</v>
      </c>
      <c r="D2589" t="str">
        <f ca="1">VLOOKUP(qry_ProdData2_PDI_Cash_Exception_Application[[#This Row],[TYPE]],#REF!,2,FALSE)</f>
        <v>type8</v>
      </c>
      <c r="E2589">
        <v>62.75</v>
      </c>
      <c r="F2589" t="s">
        <v>52</v>
      </c>
      <c r="G2589" s="1">
        <f>qry_ProdData2_PDI_Cash_Exception_Application[[#This Row],[INSERT DATE]]+7</f>
        <v>45198.257071759261</v>
      </c>
      <c r="H2589" t="str">
        <f>VLOOKUP(qry_ProdData2_PDI_Cash_Exception_Application[[#This Row],[MARKET No]],'Site Allocation'!$B$2:$C$37,2,FALSE)</f>
        <v>Analyst3</v>
      </c>
      <c r="I2589" s="4">
        <f t="shared" ca="1" si="40"/>
        <v>45203</v>
      </c>
      <c r="J2589" s="42">
        <f ca="1">TODAY()-qry_ProdData2_PDI_Cash_Exception_Application[[#This Row],[INSERT DATE]]</f>
        <v>11.742928240739275</v>
      </c>
      <c r="K25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89">
        <f ca="1">qry_ProdData2_PDI_Cash_Exception_Application[[#This Row],[TODAY]]-qry_ProdData2_PDI_Cash_Exception_Application[[#This Row],[CHANGED ON]]</f>
        <v>4.7429282407392748</v>
      </c>
      <c r="M2589">
        <f ca="1">qry_ProdData2_PDI_Cash_Exception_Application[[#This Row],[TODAY]]-qry_ProdData2_PDI_Cash_Exception_Application[[#This Row],[CHANGED ON]]</f>
        <v>4.7429282407392748</v>
      </c>
      <c r="N2589">
        <f ca="1">qry_ProdData2_PDI_Cash_Exception_Application[[#This Row],[TODAY]]-qry_ProdData2_PDI_Cash_Exception_Application[[#This Row],[CHANGED ON]]</f>
        <v>4.7429282407392748</v>
      </c>
    </row>
    <row r="2590" spans="1:14" x14ac:dyDescent="0.35">
      <c r="A2590">
        <v>1002</v>
      </c>
      <c r="B2590" t="s">
        <v>56</v>
      </c>
      <c r="C2590" s="1">
        <v>45182.257071759261</v>
      </c>
      <c r="D2590" t="str">
        <f ca="1">VLOOKUP(qry_ProdData2_PDI_Cash_Exception_Application[[#This Row],[TYPE]],#REF!,2,FALSE)</f>
        <v>type40</v>
      </c>
      <c r="E2590">
        <v>-2080.44</v>
      </c>
      <c r="F2590" t="s">
        <v>48</v>
      </c>
      <c r="G2590" s="1">
        <f>qry_ProdData2_PDI_Cash_Exception_Application[[#This Row],[INSERT DATE]]+7</f>
        <v>45189.257071759261</v>
      </c>
      <c r="H2590" t="str">
        <f>VLOOKUP(qry_ProdData2_PDI_Cash_Exception_Application[[#This Row],[MARKET No]],'Site Allocation'!$B$2:$C$37,2,FALSE)</f>
        <v>Analyst1</v>
      </c>
      <c r="I2590" s="4">
        <f t="shared" ca="1" si="40"/>
        <v>45203</v>
      </c>
      <c r="J2590" s="42">
        <f ca="1">TODAY()-qry_ProdData2_PDI_Cash_Exception_Application[[#This Row],[INSERT DATE]]</f>
        <v>20.742928240739275</v>
      </c>
      <c r="K25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90">
        <f ca="1">qry_ProdData2_PDI_Cash_Exception_Application[[#This Row],[TODAY]]-qry_ProdData2_PDI_Cash_Exception_Application[[#This Row],[CHANGED ON]]</f>
        <v>13.742928240739275</v>
      </c>
      <c r="M2590">
        <f ca="1">qry_ProdData2_PDI_Cash_Exception_Application[[#This Row],[TODAY]]-qry_ProdData2_PDI_Cash_Exception_Application[[#This Row],[CHANGED ON]]</f>
        <v>13.742928240739275</v>
      </c>
      <c r="N2590">
        <f ca="1">qry_ProdData2_PDI_Cash_Exception_Application[[#This Row],[TODAY]]-qry_ProdData2_PDI_Cash_Exception_Application[[#This Row],[CHANGED ON]]</f>
        <v>13.742928240739275</v>
      </c>
    </row>
    <row r="2591" spans="1:14" x14ac:dyDescent="0.35">
      <c r="A2591">
        <v>1013</v>
      </c>
      <c r="B2591" t="s">
        <v>67</v>
      </c>
      <c r="C2591" s="1">
        <v>45190.257071759261</v>
      </c>
      <c r="D2591" t="str">
        <f ca="1">VLOOKUP(qry_ProdData2_PDI_Cash_Exception_Application[[#This Row],[TYPE]],#REF!,2,FALSE)</f>
        <v>type40</v>
      </c>
      <c r="E2591">
        <v>-515.27</v>
      </c>
      <c r="G2591" s="1">
        <f>qry_ProdData2_PDI_Cash_Exception_Application[[#This Row],[INSERT DATE]]+1</f>
        <v>45191.257071759261</v>
      </c>
      <c r="H2591" t="str">
        <f>VLOOKUP(qry_ProdData2_PDI_Cash_Exception_Application[[#This Row],[MARKET No]],'Site Allocation'!$B$2:$C$37,2,FALSE)</f>
        <v>Analyst3</v>
      </c>
      <c r="I2591" s="4">
        <f t="shared" ca="1" si="40"/>
        <v>45203</v>
      </c>
      <c r="J2591" s="42">
        <f ca="1">TODAY()-qry_ProdData2_PDI_Cash_Exception_Application[[#This Row],[INSERT DATE]]</f>
        <v>12.742928240739275</v>
      </c>
      <c r="K25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91">
        <f ca="1">qry_ProdData2_PDI_Cash_Exception_Application[[#This Row],[TODAY]]-qry_ProdData2_PDI_Cash_Exception_Application[[#This Row],[CHANGED ON]]</f>
        <v>11.742928240739275</v>
      </c>
      <c r="M2591">
        <f ca="1">qry_ProdData2_PDI_Cash_Exception_Application[[#This Row],[TODAY]]-qry_ProdData2_PDI_Cash_Exception_Application[[#This Row],[CHANGED ON]]</f>
        <v>11.742928240739275</v>
      </c>
      <c r="N2591">
        <f ca="1">qry_ProdData2_PDI_Cash_Exception_Application[[#This Row],[TODAY]]-qry_ProdData2_PDI_Cash_Exception_Application[[#This Row],[CHANGED ON]]</f>
        <v>11.742928240739275</v>
      </c>
    </row>
    <row r="2592" spans="1:14" x14ac:dyDescent="0.35">
      <c r="A2592">
        <v>1017</v>
      </c>
      <c r="B2592" t="s">
        <v>71</v>
      </c>
      <c r="C2592" s="1">
        <v>45189.257071759261</v>
      </c>
      <c r="D2592" t="str">
        <f ca="1">VLOOKUP(qry_ProdData2_PDI_Cash_Exception_Application[[#This Row],[TYPE]],#REF!,2,FALSE)</f>
        <v>type40</v>
      </c>
      <c r="E2592">
        <v>-543.62</v>
      </c>
      <c r="F2592" t="s">
        <v>49</v>
      </c>
      <c r="G2592" s="1">
        <f>qry_ProdData2_PDI_Cash_Exception_Application[[#This Row],[INSERT DATE]]+7</f>
        <v>45196.257071759261</v>
      </c>
      <c r="H2592" t="str">
        <f>VLOOKUP(qry_ProdData2_PDI_Cash_Exception_Application[[#This Row],[MARKET No]],'Site Allocation'!$B$2:$C$37,2,FALSE)</f>
        <v>Analyst3</v>
      </c>
      <c r="I2592" s="4">
        <f t="shared" ca="1" si="40"/>
        <v>45203</v>
      </c>
      <c r="J2592" s="42">
        <f ca="1">TODAY()-qry_ProdData2_PDI_Cash_Exception_Application[[#This Row],[INSERT DATE]]</f>
        <v>13.742928240739275</v>
      </c>
      <c r="K25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92">
        <f ca="1">qry_ProdData2_PDI_Cash_Exception_Application[[#This Row],[TODAY]]-qry_ProdData2_PDI_Cash_Exception_Application[[#This Row],[CHANGED ON]]</f>
        <v>6.7429282407392748</v>
      </c>
      <c r="M2592">
        <f ca="1">qry_ProdData2_PDI_Cash_Exception_Application[[#This Row],[TODAY]]-qry_ProdData2_PDI_Cash_Exception_Application[[#This Row],[CHANGED ON]]</f>
        <v>6.7429282407392748</v>
      </c>
      <c r="N2592">
        <f ca="1">qry_ProdData2_PDI_Cash_Exception_Application[[#This Row],[TODAY]]-qry_ProdData2_PDI_Cash_Exception_Application[[#This Row],[CHANGED ON]]</f>
        <v>6.7429282407392748</v>
      </c>
    </row>
    <row r="2593" spans="1:14" x14ac:dyDescent="0.35">
      <c r="A2593">
        <v>1024</v>
      </c>
      <c r="B2593" t="s">
        <v>78</v>
      </c>
      <c r="C2593" s="1">
        <v>45190.257071759261</v>
      </c>
      <c r="D2593" t="str">
        <f ca="1">VLOOKUP(qry_ProdData2_PDI_Cash_Exception_Application[[#This Row],[TYPE]],#REF!,2,FALSE)</f>
        <v>type26</v>
      </c>
      <c r="E2593">
        <v>263.12</v>
      </c>
      <c r="F2593" t="s">
        <v>51</v>
      </c>
      <c r="G2593" s="1">
        <f>qry_ProdData2_PDI_Cash_Exception_Application[[#This Row],[INSERT DATE]]+1</f>
        <v>45191.257071759261</v>
      </c>
      <c r="H2593" t="str">
        <f>VLOOKUP(qry_ProdData2_PDI_Cash_Exception_Application[[#This Row],[MARKET No]],'Site Allocation'!$B$2:$C$37,2,FALSE)</f>
        <v>Analyst5</v>
      </c>
      <c r="I2593" s="4">
        <f t="shared" ca="1" si="40"/>
        <v>45203</v>
      </c>
      <c r="J2593" s="42">
        <f ca="1">TODAY()-qry_ProdData2_PDI_Cash_Exception_Application[[#This Row],[INSERT DATE]]</f>
        <v>12.742928240739275</v>
      </c>
      <c r="K25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93">
        <f ca="1">qry_ProdData2_PDI_Cash_Exception_Application[[#This Row],[TODAY]]-qry_ProdData2_PDI_Cash_Exception_Application[[#This Row],[CHANGED ON]]</f>
        <v>11.742928240739275</v>
      </c>
      <c r="M2593">
        <f ca="1">qry_ProdData2_PDI_Cash_Exception_Application[[#This Row],[TODAY]]-qry_ProdData2_PDI_Cash_Exception_Application[[#This Row],[CHANGED ON]]</f>
        <v>11.742928240739275</v>
      </c>
      <c r="N2593">
        <f ca="1">qry_ProdData2_PDI_Cash_Exception_Application[[#This Row],[TODAY]]-qry_ProdData2_PDI_Cash_Exception_Application[[#This Row],[CHANGED ON]]</f>
        <v>11.742928240739275</v>
      </c>
    </row>
    <row r="2594" spans="1:14" x14ac:dyDescent="0.35">
      <c r="A2594">
        <v>1019</v>
      </c>
      <c r="B2594" t="s">
        <v>73</v>
      </c>
      <c r="C2594" s="1">
        <v>45187.257071759261</v>
      </c>
      <c r="D2594" t="str">
        <f ca="1">VLOOKUP(qry_ProdData2_PDI_Cash_Exception_Application[[#This Row],[TYPE]],#REF!,2,FALSE)</f>
        <v>type41</v>
      </c>
      <c r="E2594">
        <v>336.43</v>
      </c>
      <c r="F2594" t="s">
        <v>51</v>
      </c>
      <c r="G2594" s="1">
        <f>qry_ProdData2_PDI_Cash_Exception_Application[[#This Row],[INSERT DATE]]+2</f>
        <v>45189.257071759261</v>
      </c>
      <c r="H2594" t="str">
        <f>VLOOKUP(qry_ProdData2_PDI_Cash_Exception_Application[[#This Row],[MARKET No]],'Site Allocation'!$B$2:$C$37,2,FALSE)</f>
        <v>Analyst4</v>
      </c>
      <c r="I2594" s="4">
        <f t="shared" ca="1" si="40"/>
        <v>45203</v>
      </c>
      <c r="J2594" s="42">
        <f ca="1">TODAY()-qry_ProdData2_PDI_Cash_Exception_Application[[#This Row],[INSERT DATE]]</f>
        <v>15.742928240739275</v>
      </c>
      <c r="K25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94">
        <f ca="1">qry_ProdData2_PDI_Cash_Exception_Application[[#This Row],[TODAY]]-qry_ProdData2_PDI_Cash_Exception_Application[[#This Row],[CHANGED ON]]</f>
        <v>13.742928240739275</v>
      </c>
      <c r="M2594">
        <f ca="1">qry_ProdData2_PDI_Cash_Exception_Application[[#This Row],[TODAY]]-qry_ProdData2_PDI_Cash_Exception_Application[[#This Row],[CHANGED ON]]</f>
        <v>13.742928240739275</v>
      </c>
      <c r="N2594">
        <f ca="1">qry_ProdData2_PDI_Cash_Exception_Application[[#This Row],[TODAY]]-qry_ProdData2_PDI_Cash_Exception_Application[[#This Row],[CHANGED ON]]</f>
        <v>13.742928240739275</v>
      </c>
    </row>
    <row r="2595" spans="1:14" x14ac:dyDescent="0.35">
      <c r="A2595">
        <v>1004</v>
      </c>
      <c r="B2595" t="s">
        <v>58</v>
      </c>
      <c r="C2595" s="1">
        <v>45197.257071759261</v>
      </c>
      <c r="D2595" t="str">
        <f ca="1">VLOOKUP(qry_ProdData2_PDI_Cash_Exception_Application[[#This Row],[TYPE]],#REF!,2,FALSE)</f>
        <v>type40</v>
      </c>
      <c r="E2595">
        <v>685.74</v>
      </c>
      <c r="F2595" t="s">
        <v>50</v>
      </c>
      <c r="G2595" s="1">
        <f>qry_ProdData2_PDI_Cash_Exception_Application[[#This Row],[INSERT DATE]]+7</f>
        <v>45204.257071759261</v>
      </c>
      <c r="H2595" t="str">
        <f>VLOOKUP(qry_ProdData2_PDI_Cash_Exception_Application[[#This Row],[MARKET No]],'Site Allocation'!$B$2:$C$37,2,FALSE)</f>
        <v>Analyst1</v>
      </c>
      <c r="I2595" s="4">
        <f t="shared" ca="1" si="40"/>
        <v>45203</v>
      </c>
      <c r="J2595" s="42">
        <f ca="1">TODAY()-qry_ProdData2_PDI_Cash_Exception_Application[[#This Row],[INSERT DATE]]</f>
        <v>5.7429282407392748</v>
      </c>
      <c r="K25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595">
        <f ca="1">qry_ProdData2_PDI_Cash_Exception_Application[[#This Row],[TODAY]]-qry_ProdData2_PDI_Cash_Exception_Application[[#This Row],[CHANGED ON]]</f>
        <v>-1.2570717592607252</v>
      </c>
      <c r="M2595">
        <f ca="1">qry_ProdData2_PDI_Cash_Exception_Application[[#This Row],[TODAY]]-qry_ProdData2_PDI_Cash_Exception_Application[[#This Row],[CHANGED ON]]</f>
        <v>-1.2570717592607252</v>
      </c>
      <c r="N2595">
        <f ca="1">qry_ProdData2_PDI_Cash_Exception_Application[[#This Row],[TODAY]]-qry_ProdData2_PDI_Cash_Exception_Application[[#This Row],[CHANGED ON]]</f>
        <v>-1.2570717592607252</v>
      </c>
    </row>
    <row r="2596" spans="1:14" x14ac:dyDescent="0.35">
      <c r="A2596">
        <v>1026</v>
      </c>
      <c r="B2596" t="s">
        <v>80</v>
      </c>
      <c r="C2596" s="1">
        <v>45191.257071759261</v>
      </c>
      <c r="D2596" t="str">
        <f ca="1">VLOOKUP(qry_ProdData2_PDI_Cash_Exception_Application[[#This Row],[TYPE]],#REF!,2,FALSE)</f>
        <v>type40</v>
      </c>
      <c r="E2596">
        <v>-3483.08</v>
      </c>
      <c r="F2596" t="str">
        <f>qry_ProdData2_PDI_Cash_Exception_Application[[#This Row],[ANALYST]]</f>
        <v>Analyst5</v>
      </c>
      <c r="G2596" s="1">
        <f>qry_ProdData2_PDI_Cash_Exception_Application[[#This Row],[INSERT DATE]]+2</f>
        <v>45193.257071759261</v>
      </c>
      <c r="H2596" t="str">
        <f>VLOOKUP(qry_ProdData2_PDI_Cash_Exception_Application[[#This Row],[MARKET No]],'Site Allocation'!$B$2:$C$37,2,FALSE)</f>
        <v>Analyst5</v>
      </c>
      <c r="I2596" s="4">
        <f t="shared" ca="1" si="40"/>
        <v>45203</v>
      </c>
      <c r="J2596" s="42">
        <f ca="1">TODAY()-qry_ProdData2_PDI_Cash_Exception_Application[[#This Row],[INSERT DATE]]</f>
        <v>11.742928240739275</v>
      </c>
      <c r="K25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96">
        <f ca="1">qry_ProdData2_PDI_Cash_Exception_Application[[#This Row],[TODAY]]-qry_ProdData2_PDI_Cash_Exception_Application[[#This Row],[CHANGED ON]]</f>
        <v>9.7429282407392748</v>
      </c>
      <c r="M2596">
        <f ca="1">qry_ProdData2_PDI_Cash_Exception_Application[[#This Row],[TODAY]]-qry_ProdData2_PDI_Cash_Exception_Application[[#This Row],[CHANGED ON]]</f>
        <v>9.7429282407392748</v>
      </c>
      <c r="N2596">
        <f ca="1">qry_ProdData2_PDI_Cash_Exception_Application[[#This Row],[TODAY]]-qry_ProdData2_PDI_Cash_Exception_Application[[#This Row],[CHANGED ON]]</f>
        <v>9.7429282407392748</v>
      </c>
    </row>
    <row r="2597" spans="1:14" x14ac:dyDescent="0.35">
      <c r="A2597">
        <v>1000</v>
      </c>
      <c r="B2597" t="s">
        <v>54</v>
      </c>
      <c r="C2597" s="1">
        <v>45192.257071759261</v>
      </c>
      <c r="D2597" t="str">
        <f ca="1">VLOOKUP(qry_ProdData2_PDI_Cash_Exception_Application[[#This Row],[TYPE]],#REF!,2,FALSE)</f>
        <v>type15</v>
      </c>
      <c r="E2597">
        <v>-1410</v>
      </c>
      <c r="F2597" t="s">
        <v>49</v>
      </c>
      <c r="G2597" s="1">
        <f>qry_ProdData2_PDI_Cash_Exception_Application[[#This Row],[INSERT DATE]]+7</f>
        <v>45199.257071759261</v>
      </c>
      <c r="H2597" t="str">
        <f>VLOOKUP(qry_ProdData2_PDI_Cash_Exception_Application[[#This Row],[MARKET No]],'Site Allocation'!$B$2:$C$37,2,FALSE)</f>
        <v>Analyst1</v>
      </c>
      <c r="I2597" s="4">
        <f t="shared" ca="1" si="40"/>
        <v>45203</v>
      </c>
      <c r="J2597" s="42">
        <f ca="1">TODAY()-qry_ProdData2_PDI_Cash_Exception_Application[[#This Row],[INSERT DATE]]</f>
        <v>10.742928240739275</v>
      </c>
      <c r="K25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97">
        <f ca="1">qry_ProdData2_PDI_Cash_Exception_Application[[#This Row],[TODAY]]-qry_ProdData2_PDI_Cash_Exception_Application[[#This Row],[CHANGED ON]]</f>
        <v>3.7429282407392748</v>
      </c>
      <c r="M2597">
        <f ca="1">qry_ProdData2_PDI_Cash_Exception_Application[[#This Row],[TODAY]]-qry_ProdData2_PDI_Cash_Exception_Application[[#This Row],[CHANGED ON]]</f>
        <v>3.7429282407392748</v>
      </c>
      <c r="N2597">
        <f ca="1">qry_ProdData2_PDI_Cash_Exception_Application[[#This Row],[TODAY]]-qry_ProdData2_PDI_Cash_Exception_Application[[#This Row],[CHANGED ON]]</f>
        <v>3.7429282407392748</v>
      </c>
    </row>
    <row r="2598" spans="1:14" x14ac:dyDescent="0.35">
      <c r="A2598">
        <v>1029</v>
      </c>
      <c r="B2598" t="s">
        <v>83</v>
      </c>
      <c r="C2598" s="1">
        <v>45185.257071759261</v>
      </c>
      <c r="D2598" t="str">
        <f ca="1">VLOOKUP(qry_ProdData2_PDI_Cash_Exception_Application[[#This Row],[TYPE]],#REF!,2,FALSE)</f>
        <v>type40</v>
      </c>
      <c r="E2598">
        <v>-969.96</v>
      </c>
      <c r="F2598" t="s">
        <v>48</v>
      </c>
      <c r="G2598" s="1">
        <f>qry_ProdData2_PDI_Cash_Exception_Application[[#This Row],[INSERT DATE]]+7</f>
        <v>45192.257071759261</v>
      </c>
      <c r="H2598" t="str">
        <f>VLOOKUP(qry_ProdData2_PDI_Cash_Exception_Application[[#This Row],[MARKET No]],'Site Allocation'!$B$2:$C$37,2,FALSE)</f>
        <v>Analyst5</v>
      </c>
      <c r="I2598" s="4">
        <f t="shared" ca="1" si="40"/>
        <v>45203</v>
      </c>
      <c r="J2598" s="42">
        <f ca="1">TODAY()-qry_ProdData2_PDI_Cash_Exception_Application[[#This Row],[INSERT DATE]]</f>
        <v>17.742928240739275</v>
      </c>
      <c r="K25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98">
        <f ca="1">qry_ProdData2_PDI_Cash_Exception_Application[[#This Row],[TODAY]]-qry_ProdData2_PDI_Cash_Exception_Application[[#This Row],[CHANGED ON]]</f>
        <v>10.742928240739275</v>
      </c>
      <c r="M2598">
        <f ca="1">qry_ProdData2_PDI_Cash_Exception_Application[[#This Row],[TODAY]]-qry_ProdData2_PDI_Cash_Exception_Application[[#This Row],[CHANGED ON]]</f>
        <v>10.742928240739275</v>
      </c>
      <c r="N2598">
        <f ca="1">qry_ProdData2_PDI_Cash_Exception_Application[[#This Row],[TODAY]]-qry_ProdData2_PDI_Cash_Exception_Application[[#This Row],[CHANGED ON]]</f>
        <v>10.742928240739275</v>
      </c>
    </row>
    <row r="2599" spans="1:14" x14ac:dyDescent="0.35">
      <c r="A2599">
        <v>1023</v>
      </c>
      <c r="B2599" t="s">
        <v>77</v>
      </c>
      <c r="C2599" s="1">
        <v>45182.257071759261</v>
      </c>
      <c r="D2599" t="str">
        <f ca="1">VLOOKUP(qry_ProdData2_PDI_Cash_Exception_Application[[#This Row],[TYPE]],#REF!,2,FALSE)</f>
        <v>type40</v>
      </c>
      <c r="E2599">
        <v>353.16</v>
      </c>
      <c r="F2599" t="s">
        <v>52</v>
      </c>
      <c r="G2599" s="1">
        <f>qry_ProdData2_PDI_Cash_Exception_Application[[#This Row],[INSERT DATE]]+7</f>
        <v>45189.257071759261</v>
      </c>
      <c r="H2599" t="str">
        <f>VLOOKUP(qry_ProdData2_PDI_Cash_Exception_Application[[#This Row],[MARKET No]],'Site Allocation'!$B$2:$C$37,2,FALSE)</f>
        <v>Analyst4</v>
      </c>
      <c r="I2599" s="4">
        <f t="shared" ca="1" si="40"/>
        <v>45203</v>
      </c>
      <c r="J2599" s="42">
        <f ca="1">TODAY()-qry_ProdData2_PDI_Cash_Exception_Application[[#This Row],[INSERT DATE]]</f>
        <v>20.742928240739275</v>
      </c>
      <c r="K25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599">
        <f ca="1">qry_ProdData2_PDI_Cash_Exception_Application[[#This Row],[TODAY]]-qry_ProdData2_PDI_Cash_Exception_Application[[#This Row],[CHANGED ON]]</f>
        <v>13.742928240739275</v>
      </c>
      <c r="M2599">
        <f ca="1">qry_ProdData2_PDI_Cash_Exception_Application[[#This Row],[TODAY]]-qry_ProdData2_PDI_Cash_Exception_Application[[#This Row],[CHANGED ON]]</f>
        <v>13.742928240739275</v>
      </c>
      <c r="N2599">
        <f ca="1">qry_ProdData2_PDI_Cash_Exception_Application[[#This Row],[TODAY]]-qry_ProdData2_PDI_Cash_Exception_Application[[#This Row],[CHANGED ON]]</f>
        <v>13.742928240739275</v>
      </c>
    </row>
    <row r="2600" spans="1:14" x14ac:dyDescent="0.35">
      <c r="A2600">
        <v>1003</v>
      </c>
      <c r="B2600" t="s">
        <v>57</v>
      </c>
      <c r="C2600" s="1">
        <v>45190.257071759261</v>
      </c>
      <c r="D2600" t="str">
        <f ca="1">VLOOKUP(qry_ProdData2_PDI_Cash_Exception_Application[[#This Row],[TYPE]],#REF!,2,FALSE)</f>
        <v>type40</v>
      </c>
      <c r="E2600">
        <v>388.23</v>
      </c>
      <c r="F2600" t="s">
        <v>48</v>
      </c>
      <c r="G2600" s="1">
        <f>qry_ProdData2_PDI_Cash_Exception_Application[[#This Row],[INSERT DATE]]+1</f>
        <v>45191.257071759261</v>
      </c>
      <c r="H2600" t="str">
        <f>VLOOKUP(qry_ProdData2_PDI_Cash_Exception_Application[[#This Row],[MARKET No]],'Site Allocation'!$B$2:$C$37,2,FALSE)</f>
        <v>Analyst1</v>
      </c>
      <c r="I2600" s="4">
        <f t="shared" ca="1" si="40"/>
        <v>45203</v>
      </c>
      <c r="J2600" s="42">
        <f ca="1">TODAY()-qry_ProdData2_PDI_Cash_Exception_Application[[#This Row],[INSERT DATE]]</f>
        <v>12.742928240739275</v>
      </c>
      <c r="K26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00">
        <f ca="1">qry_ProdData2_PDI_Cash_Exception_Application[[#This Row],[TODAY]]-qry_ProdData2_PDI_Cash_Exception_Application[[#This Row],[CHANGED ON]]</f>
        <v>11.742928240739275</v>
      </c>
      <c r="M2600">
        <f ca="1">qry_ProdData2_PDI_Cash_Exception_Application[[#This Row],[TODAY]]-qry_ProdData2_PDI_Cash_Exception_Application[[#This Row],[CHANGED ON]]</f>
        <v>11.742928240739275</v>
      </c>
      <c r="N2600">
        <f ca="1">qry_ProdData2_PDI_Cash_Exception_Application[[#This Row],[TODAY]]-qry_ProdData2_PDI_Cash_Exception_Application[[#This Row],[CHANGED ON]]</f>
        <v>11.742928240739275</v>
      </c>
    </row>
    <row r="2601" spans="1:14" x14ac:dyDescent="0.35">
      <c r="A2601">
        <v>1010</v>
      </c>
      <c r="B2601" t="s">
        <v>64</v>
      </c>
      <c r="C2601" s="1">
        <v>45183.257071759261</v>
      </c>
      <c r="D2601" t="str">
        <f ca="1">VLOOKUP(qry_ProdData2_PDI_Cash_Exception_Application[[#This Row],[TYPE]],#REF!,2,FALSE)</f>
        <v>type40</v>
      </c>
      <c r="E2601">
        <v>2750.38</v>
      </c>
      <c r="F2601" t="s">
        <v>52</v>
      </c>
      <c r="G2601" s="1">
        <f>qry_ProdData2_PDI_Cash_Exception_Application[[#This Row],[INSERT DATE]]+7</f>
        <v>45190.257071759261</v>
      </c>
      <c r="H2601" t="str">
        <f>VLOOKUP(qry_ProdData2_PDI_Cash_Exception_Application[[#This Row],[MARKET No]],'Site Allocation'!$B$2:$C$37,2,FALSE)</f>
        <v>Analyst2</v>
      </c>
      <c r="I2601" s="4">
        <f t="shared" ca="1" si="40"/>
        <v>45203</v>
      </c>
      <c r="J2601" s="42">
        <f ca="1">TODAY()-qry_ProdData2_PDI_Cash_Exception_Application[[#This Row],[INSERT DATE]]</f>
        <v>19.742928240739275</v>
      </c>
      <c r="K26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01">
        <f ca="1">qry_ProdData2_PDI_Cash_Exception_Application[[#This Row],[TODAY]]-qry_ProdData2_PDI_Cash_Exception_Application[[#This Row],[CHANGED ON]]</f>
        <v>12.742928240739275</v>
      </c>
      <c r="M2601">
        <f ca="1">qry_ProdData2_PDI_Cash_Exception_Application[[#This Row],[TODAY]]-qry_ProdData2_PDI_Cash_Exception_Application[[#This Row],[CHANGED ON]]</f>
        <v>12.742928240739275</v>
      </c>
      <c r="N2601">
        <f ca="1">qry_ProdData2_PDI_Cash_Exception_Application[[#This Row],[TODAY]]-qry_ProdData2_PDI_Cash_Exception_Application[[#This Row],[CHANGED ON]]</f>
        <v>12.742928240739275</v>
      </c>
    </row>
    <row r="2602" spans="1:14" x14ac:dyDescent="0.35">
      <c r="A2602">
        <v>1025</v>
      </c>
      <c r="B2602" t="s">
        <v>79</v>
      </c>
      <c r="C2602" s="1">
        <v>45183.257071759261</v>
      </c>
      <c r="D2602" t="str">
        <f ca="1">VLOOKUP(qry_ProdData2_PDI_Cash_Exception_Application[[#This Row],[TYPE]],#REF!,2,FALSE)</f>
        <v>type7</v>
      </c>
      <c r="E2602">
        <v>10427.52</v>
      </c>
      <c r="F2602" t="s">
        <v>50</v>
      </c>
      <c r="G2602" s="1">
        <f>qry_ProdData2_PDI_Cash_Exception_Application[[#This Row],[INSERT DATE]]+7</f>
        <v>45190.257071759261</v>
      </c>
      <c r="H2602" t="str">
        <f>VLOOKUP(qry_ProdData2_PDI_Cash_Exception_Application[[#This Row],[MARKET No]],'Site Allocation'!$B$2:$C$37,2,FALSE)</f>
        <v>Analyst5</v>
      </c>
      <c r="I2602" s="4">
        <f t="shared" ca="1" si="40"/>
        <v>45203</v>
      </c>
      <c r="J2602" s="42">
        <f ca="1">TODAY()-qry_ProdData2_PDI_Cash_Exception_Application[[#This Row],[INSERT DATE]]</f>
        <v>19.742928240739275</v>
      </c>
      <c r="K26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02">
        <f ca="1">qry_ProdData2_PDI_Cash_Exception_Application[[#This Row],[TODAY]]-qry_ProdData2_PDI_Cash_Exception_Application[[#This Row],[CHANGED ON]]</f>
        <v>12.742928240739275</v>
      </c>
      <c r="M2602">
        <f ca="1">qry_ProdData2_PDI_Cash_Exception_Application[[#This Row],[TODAY]]-qry_ProdData2_PDI_Cash_Exception_Application[[#This Row],[CHANGED ON]]</f>
        <v>12.742928240739275</v>
      </c>
      <c r="N2602">
        <f ca="1">qry_ProdData2_PDI_Cash_Exception_Application[[#This Row],[TODAY]]-qry_ProdData2_PDI_Cash_Exception_Application[[#This Row],[CHANGED ON]]</f>
        <v>12.742928240739275</v>
      </c>
    </row>
    <row r="2603" spans="1:14" x14ac:dyDescent="0.35">
      <c r="A2603">
        <v>1022</v>
      </c>
      <c r="B2603" t="s">
        <v>76</v>
      </c>
      <c r="C2603" s="1">
        <v>45189.257071759261</v>
      </c>
      <c r="D2603" t="str">
        <f ca="1">VLOOKUP(qry_ProdData2_PDI_Cash_Exception_Application[[#This Row],[TYPE]],#REF!,2,FALSE)</f>
        <v>type40</v>
      </c>
      <c r="E2603">
        <v>-414.69</v>
      </c>
      <c r="F2603" t="s">
        <v>48</v>
      </c>
      <c r="G2603" s="1">
        <f>qry_ProdData2_PDI_Cash_Exception_Application[[#This Row],[INSERT DATE]]+1</f>
        <v>45190.257071759261</v>
      </c>
      <c r="H2603" t="str">
        <f>VLOOKUP(qry_ProdData2_PDI_Cash_Exception_Application[[#This Row],[MARKET No]],'Site Allocation'!$B$2:$C$37,2,FALSE)</f>
        <v>Analyst4</v>
      </c>
      <c r="I2603" s="4">
        <f t="shared" ca="1" si="40"/>
        <v>45203</v>
      </c>
      <c r="J2603" s="42">
        <f ca="1">TODAY()-qry_ProdData2_PDI_Cash_Exception_Application[[#This Row],[INSERT DATE]]</f>
        <v>13.742928240739275</v>
      </c>
      <c r="K26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03">
        <f ca="1">qry_ProdData2_PDI_Cash_Exception_Application[[#This Row],[TODAY]]-qry_ProdData2_PDI_Cash_Exception_Application[[#This Row],[CHANGED ON]]</f>
        <v>12.742928240739275</v>
      </c>
      <c r="M2603">
        <f ca="1">qry_ProdData2_PDI_Cash_Exception_Application[[#This Row],[TODAY]]-qry_ProdData2_PDI_Cash_Exception_Application[[#This Row],[CHANGED ON]]</f>
        <v>12.742928240739275</v>
      </c>
      <c r="N2603">
        <f ca="1">qry_ProdData2_PDI_Cash_Exception_Application[[#This Row],[TODAY]]-qry_ProdData2_PDI_Cash_Exception_Application[[#This Row],[CHANGED ON]]</f>
        <v>12.742928240739275</v>
      </c>
    </row>
    <row r="2604" spans="1:14" x14ac:dyDescent="0.35">
      <c r="A2604">
        <v>1011</v>
      </c>
      <c r="B2604" t="s">
        <v>65</v>
      </c>
      <c r="C2604" s="1">
        <v>45190.257071759261</v>
      </c>
      <c r="D2604" t="str">
        <f ca="1">VLOOKUP(qry_ProdData2_PDI_Cash_Exception_Application[[#This Row],[TYPE]],#REF!,2,FALSE)</f>
        <v>type40</v>
      </c>
      <c r="E2604">
        <v>4.53</v>
      </c>
      <c r="F2604" t="s">
        <v>48</v>
      </c>
      <c r="G2604" s="1">
        <f>qry_ProdData2_PDI_Cash_Exception_Application[[#This Row],[INSERT DATE]]+2</f>
        <v>45192.257071759261</v>
      </c>
      <c r="H2604" t="str">
        <f>VLOOKUP(qry_ProdData2_PDI_Cash_Exception_Application[[#This Row],[MARKET No]],'Site Allocation'!$B$2:$C$37,2,FALSE)</f>
        <v>Analyst2</v>
      </c>
      <c r="I2604" s="4">
        <f t="shared" ca="1" si="40"/>
        <v>45203</v>
      </c>
      <c r="J2604" s="42">
        <f ca="1">TODAY()-qry_ProdData2_PDI_Cash_Exception_Application[[#This Row],[INSERT DATE]]</f>
        <v>12.742928240739275</v>
      </c>
      <c r="K26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04">
        <f ca="1">qry_ProdData2_PDI_Cash_Exception_Application[[#This Row],[TODAY]]-qry_ProdData2_PDI_Cash_Exception_Application[[#This Row],[CHANGED ON]]</f>
        <v>10.742928240739275</v>
      </c>
      <c r="M2604">
        <f ca="1">qry_ProdData2_PDI_Cash_Exception_Application[[#This Row],[TODAY]]-qry_ProdData2_PDI_Cash_Exception_Application[[#This Row],[CHANGED ON]]</f>
        <v>10.742928240739275</v>
      </c>
      <c r="N2604">
        <f ca="1">qry_ProdData2_PDI_Cash_Exception_Application[[#This Row],[TODAY]]-qry_ProdData2_PDI_Cash_Exception_Application[[#This Row],[CHANGED ON]]</f>
        <v>10.742928240739275</v>
      </c>
    </row>
    <row r="2605" spans="1:14" x14ac:dyDescent="0.35">
      <c r="A2605">
        <v>1029</v>
      </c>
      <c r="B2605" t="s">
        <v>83</v>
      </c>
      <c r="C2605" s="1">
        <v>45179.257071759261</v>
      </c>
      <c r="D2605" t="str">
        <f ca="1">VLOOKUP(qry_ProdData2_PDI_Cash_Exception_Application[[#This Row],[TYPE]],#REF!,2,FALSE)</f>
        <v>type40</v>
      </c>
      <c r="E2605">
        <v>-455.38</v>
      </c>
      <c r="F2605" t="s">
        <v>48</v>
      </c>
      <c r="G2605" s="1">
        <f>qry_ProdData2_PDI_Cash_Exception_Application[[#This Row],[INSERT DATE]]+2</f>
        <v>45181.257071759261</v>
      </c>
      <c r="H2605" t="str">
        <f>VLOOKUP(qry_ProdData2_PDI_Cash_Exception_Application[[#This Row],[MARKET No]],'Site Allocation'!$B$2:$C$37,2,FALSE)</f>
        <v>Analyst5</v>
      </c>
      <c r="I2605" s="4">
        <f t="shared" ca="1" si="40"/>
        <v>45203</v>
      </c>
      <c r="J2605" s="42">
        <f ca="1">TODAY()-qry_ProdData2_PDI_Cash_Exception_Application[[#This Row],[INSERT DATE]]</f>
        <v>23.742928240739275</v>
      </c>
      <c r="K26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05">
        <f ca="1">qry_ProdData2_PDI_Cash_Exception_Application[[#This Row],[TODAY]]-qry_ProdData2_PDI_Cash_Exception_Application[[#This Row],[CHANGED ON]]</f>
        <v>21.742928240739275</v>
      </c>
      <c r="M2605">
        <f ca="1">qry_ProdData2_PDI_Cash_Exception_Application[[#This Row],[TODAY]]-qry_ProdData2_PDI_Cash_Exception_Application[[#This Row],[CHANGED ON]]</f>
        <v>21.742928240739275</v>
      </c>
      <c r="N2605">
        <f ca="1">qry_ProdData2_PDI_Cash_Exception_Application[[#This Row],[TODAY]]-qry_ProdData2_PDI_Cash_Exception_Application[[#This Row],[CHANGED ON]]</f>
        <v>21.742928240739275</v>
      </c>
    </row>
    <row r="2606" spans="1:14" x14ac:dyDescent="0.35">
      <c r="A2606">
        <v>1009</v>
      </c>
      <c r="B2606" t="s">
        <v>63</v>
      </c>
      <c r="C2606" s="1">
        <v>45184.257071759261</v>
      </c>
      <c r="D2606" t="str">
        <f ca="1">VLOOKUP(qry_ProdData2_PDI_Cash_Exception_Application[[#This Row],[TYPE]],#REF!,2,FALSE)</f>
        <v>type7</v>
      </c>
      <c r="E2606">
        <v>-1155.57</v>
      </c>
      <c r="F2606" t="s">
        <v>49</v>
      </c>
      <c r="G2606" s="1">
        <f>qry_ProdData2_PDI_Cash_Exception_Application[[#This Row],[INSERT DATE]]+1</f>
        <v>45185.257071759261</v>
      </c>
      <c r="H2606" t="str">
        <f>VLOOKUP(qry_ProdData2_PDI_Cash_Exception_Application[[#This Row],[MARKET No]],'Site Allocation'!$B$2:$C$37,2,FALSE)</f>
        <v>Analyst2</v>
      </c>
      <c r="I2606" s="4">
        <f t="shared" ca="1" si="40"/>
        <v>45203</v>
      </c>
      <c r="J2606" s="42">
        <f ca="1">TODAY()-qry_ProdData2_PDI_Cash_Exception_Application[[#This Row],[INSERT DATE]]</f>
        <v>18.742928240739275</v>
      </c>
      <c r="K26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06">
        <f ca="1">qry_ProdData2_PDI_Cash_Exception_Application[[#This Row],[TODAY]]-qry_ProdData2_PDI_Cash_Exception_Application[[#This Row],[CHANGED ON]]</f>
        <v>17.742928240739275</v>
      </c>
      <c r="M2606">
        <f ca="1">qry_ProdData2_PDI_Cash_Exception_Application[[#This Row],[TODAY]]-qry_ProdData2_PDI_Cash_Exception_Application[[#This Row],[CHANGED ON]]</f>
        <v>17.742928240739275</v>
      </c>
      <c r="N2606">
        <f ca="1">qry_ProdData2_PDI_Cash_Exception_Application[[#This Row],[TODAY]]-qry_ProdData2_PDI_Cash_Exception_Application[[#This Row],[CHANGED ON]]</f>
        <v>17.742928240739275</v>
      </c>
    </row>
    <row r="2607" spans="1:14" x14ac:dyDescent="0.35">
      <c r="A2607">
        <v>1026</v>
      </c>
      <c r="B2607" t="s">
        <v>80</v>
      </c>
      <c r="C2607" s="1">
        <v>45183.257071759261</v>
      </c>
      <c r="D2607" t="str">
        <f ca="1">VLOOKUP(qry_ProdData2_PDI_Cash_Exception_Application[[#This Row],[TYPE]],#REF!,2,FALSE)</f>
        <v>type40</v>
      </c>
      <c r="E2607">
        <v>1279.52</v>
      </c>
      <c r="F2607" t="str">
        <f>qry_ProdData2_PDI_Cash_Exception_Application[[#This Row],[ANALYST]]</f>
        <v>Analyst5</v>
      </c>
      <c r="G2607" s="1">
        <f>qry_ProdData2_PDI_Cash_Exception_Application[[#This Row],[INSERT DATE]]+5</f>
        <v>45188.257071759261</v>
      </c>
      <c r="H2607" t="str">
        <f>VLOOKUP(qry_ProdData2_PDI_Cash_Exception_Application[[#This Row],[MARKET No]],'Site Allocation'!$B$2:$C$37,2,FALSE)</f>
        <v>Analyst5</v>
      </c>
      <c r="I2607" s="4">
        <f t="shared" ca="1" si="40"/>
        <v>45203</v>
      </c>
      <c r="J2607" s="42">
        <f ca="1">TODAY()-qry_ProdData2_PDI_Cash_Exception_Application[[#This Row],[INSERT DATE]]</f>
        <v>19.742928240739275</v>
      </c>
      <c r="K26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07">
        <f ca="1">qry_ProdData2_PDI_Cash_Exception_Application[[#This Row],[TODAY]]-qry_ProdData2_PDI_Cash_Exception_Application[[#This Row],[CHANGED ON]]</f>
        <v>14.742928240739275</v>
      </c>
      <c r="M2607">
        <f ca="1">qry_ProdData2_PDI_Cash_Exception_Application[[#This Row],[TODAY]]-qry_ProdData2_PDI_Cash_Exception_Application[[#This Row],[CHANGED ON]]</f>
        <v>14.742928240739275</v>
      </c>
      <c r="N2607">
        <f ca="1">qry_ProdData2_PDI_Cash_Exception_Application[[#This Row],[TODAY]]-qry_ProdData2_PDI_Cash_Exception_Application[[#This Row],[CHANGED ON]]</f>
        <v>14.742928240739275</v>
      </c>
    </row>
    <row r="2608" spans="1:14" x14ac:dyDescent="0.35">
      <c r="A2608">
        <v>1001</v>
      </c>
      <c r="B2608" t="s">
        <v>55</v>
      </c>
      <c r="C2608" s="1">
        <v>45196.257071759261</v>
      </c>
      <c r="D2608" t="str">
        <f ca="1">VLOOKUP(qry_ProdData2_PDI_Cash_Exception_Application[[#This Row],[TYPE]],#REF!,2,FALSE)</f>
        <v>type13</v>
      </c>
      <c r="E2608">
        <v>55841.97</v>
      </c>
      <c r="G2608" s="1">
        <f>qry_ProdData2_PDI_Cash_Exception_Application[[#This Row],[INSERT DATE]]+1</f>
        <v>45197.257071759261</v>
      </c>
      <c r="H2608" t="str">
        <f>VLOOKUP(qry_ProdData2_PDI_Cash_Exception_Application[[#This Row],[MARKET No]],'Site Allocation'!$B$2:$C$37,2,FALSE)</f>
        <v>Analyst1</v>
      </c>
      <c r="I2608" s="4">
        <f t="shared" ca="1" si="40"/>
        <v>45203</v>
      </c>
      <c r="J2608" s="42">
        <f ca="1">TODAY()-qry_ProdData2_PDI_Cash_Exception_Application[[#This Row],[INSERT DATE]]</f>
        <v>6.7429282407392748</v>
      </c>
      <c r="K26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608">
        <f ca="1">qry_ProdData2_PDI_Cash_Exception_Application[[#This Row],[TODAY]]-qry_ProdData2_PDI_Cash_Exception_Application[[#This Row],[CHANGED ON]]</f>
        <v>5.7429282407392748</v>
      </c>
      <c r="M2608">
        <f ca="1">qry_ProdData2_PDI_Cash_Exception_Application[[#This Row],[TODAY]]-qry_ProdData2_PDI_Cash_Exception_Application[[#This Row],[CHANGED ON]]</f>
        <v>5.7429282407392748</v>
      </c>
      <c r="N2608">
        <f ca="1">qry_ProdData2_PDI_Cash_Exception_Application[[#This Row],[TODAY]]-qry_ProdData2_PDI_Cash_Exception_Application[[#This Row],[CHANGED ON]]</f>
        <v>5.7429282407392748</v>
      </c>
    </row>
    <row r="2609" spans="1:14" x14ac:dyDescent="0.35">
      <c r="A2609">
        <v>1018</v>
      </c>
      <c r="B2609" t="s">
        <v>72</v>
      </c>
      <c r="C2609" s="1">
        <v>45187.257071759261</v>
      </c>
      <c r="D2609" t="str">
        <f ca="1">VLOOKUP(qry_ProdData2_PDI_Cash_Exception_Application[[#This Row],[TYPE]],#REF!,2,FALSE)</f>
        <v>type13</v>
      </c>
      <c r="E2609">
        <v>24991.86</v>
      </c>
      <c r="F2609" t="s">
        <v>52</v>
      </c>
      <c r="G2609" s="1">
        <f>qry_ProdData2_PDI_Cash_Exception_Application[[#This Row],[INSERT DATE]]+1</f>
        <v>45188.257071759261</v>
      </c>
      <c r="H2609" t="str">
        <f>VLOOKUP(qry_ProdData2_PDI_Cash_Exception_Application[[#This Row],[MARKET No]],'Site Allocation'!$B$2:$C$37,2,FALSE)</f>
        <v>Analyst4</v>
      </c>
      <c r="I2609" s="4">
        <f t="shared" ca="1" si="40"/>
        <v>45203</v>
      </c>
      <c r="J2609" s="42">
        <f ca="1">TODAY()-qry_ProdData2_PDI_Cash_Exception_Application[[#This Row],[INSERT DATE]]</f>
        <v>15.742928240739275</v>
      </c>
      <c r="K26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09">
        <f ca="1">qry_ProdData2_PDI_Cash_Exception_Application[[#This Row],[TODAY]]-qry_ProdData2_PDI_Cash_Exception_Application[[#This Row],[CHANGED ON]]</f>
        <v>14.742928240739275</v>
      </c>
      <c r="M2609">
        <f ca="1">qry_ProdData2_PDI_Cash_Exception_Application[[#This Row],[TODAY]]-qry_ProdData2_PDI_Cash_Exception_Application[[#This Row],[CHANGED ON]]</f>
        <v>14.742928240739275</v>
      </c>
      <c r="N2609">
        <f ca="1">qry_ProdData2_PDI_Cash_Exception_Application[[#This Row],[TODAY]]-qry_ProdData2_PDI_Cash_Exception_Application[[#This Row],[CHANGED ON]]</f>
        <v>14.742928240739275</v>
      </c>
    </row>
    <row r="2610" spans="1:14" x14ac:dyDescent="0.35">
      <c r="A2610">
        <v>1020</v>
      </c>
      <c r="B2610" t="s">
        <v>74</v>
      </c>
      <c r="C2610" s="1">
        <v>45189.257071759261</v>
      </c>
      <c r="D2610" t="str">
        <f ca="1">VLOOKUP(qry_ProdData2_PDI_Cash_Exception_Application[[#This Row],[TYPE]],#REF!,2,FALSE)</f>
        <v>type54</v>
      </c>
      <c r="E2610">
        <v>0.1</v>
      </c>
      <c r="F2610" t="s">
        <v>49</v>
      </c>
      <c r="G2610" s="1">
        <f>qry_ProdData2_PDI_Cash_Exception_Application[[#This Row],[INSERT DATE]]+1</f>
        <v>45190.257071759261</v>
      </c>
      <c r="H2610" t="str">
        <f>VLOOKUP(qry_ProdData2_PDI_Cash_Exception_Application[[#This Row],[MARKET No]],'Site Allocation'!$B$2:$C$37,2,FALSE)</f>
        <v>Analyst4</v>
      </c>
      <c r="I2610" s="4">
        <f t="shared" ca="1" si="40"/>
        <v>45203</v>
      </c>
      <c r="J2610" s="42">
        <f ca="1">TODAY()-qry_ProdData2_PDI_Cash_Exception_Application[[#This Row],[INSERT DATE]]</f>
        <v>13.742928240739275</v>
      </c>
      <c r="K26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10">
        <f ca="1">qry_ProdData2_PDI_Cash_Exception_Application[[#This Row],[TODAY]]-qry_ProdData2_PDI_Cash_Exception_Application[[#This Row],[CHANGED ON]]</f>
        <v>12.742928240739275</v>
      </c>
      <c r="M2610">
        <f ca="1">qry_ProdData2_PDI_Cash_Exception_Application[[#This Row],[TODAY]]-qry_ProdData2_PDI_Cash_Exception_Application[[#This Row],[CHANGED ON]]</f>
        <v>12.742928240739275</v>
      </c>
      <c r="N2610">
        <f ca="1">qry_ProdData2_PDI_Cash_Exception_Application[[#This Row],[TODAY]]-qry_ProdData2_PDI_Cash_Exception_Application[[#This Row],[CHANGED ON]]</f>
        <v>12.742928240739275</v>
      </c>
    </row>
    <row r="2611" spans="1:14" x14ac:dyDescent="0.35">
      <c r="A2611">
        <v>1027</v>
      </c>
      <c r="B2611" t="s">
        <v>81</v>
      </c>
      <c r="C2611" s="1">
        <v>45189.257071759261</v>
      </c>
      <c r="D2611" t="str">
        <f ca="1">VLOOKUP(qry_ProdData2_PDI_Cash_Exception_Application[[#This Row],[TYPE]],#REF!,2,FALSE)</f>
        <v>type42</v>
      </c>
      <c r="E2611">
        <v>164.8</v>
      </c>
      <c r="F2611" t="s">
        <v>52</v>
      </c>
      <c r="G2611" s="1">
        <f>qry_ProdData2_PDI_Cash_Exception_Application[[#This Row],[INSERT DATE]]+1</f>
        <v>45190.257071759261</v>
      </c>
      <c r="H2611" t="str">
        <f>VLOOKUP(qry_ProdData2_PDI_Cash_Exception_Application[[#This Row],[MARKET No]],'Site Allocation'!$B$2:$C$37,2,FALSE)</f>
        <v>Analyst5</v>
      </c>
      <c r="I2611" s="4">
        <f t="shared" ca="1" si="40"/>
        <v>45203</v>
      </c>
      <c r="J2611" s="42">
        <f ca="1">TODAY()-qry_ProdData2_PDI_Cash_Exception_Application[[#This Row],[INSERT DATE]]</f>
        <v>13.742928240739275</v>
      </c>
      <c r="K26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11">
        <f ca="1">qry_ProdData2_PDI_Cash_Exception_Application[[#This Row],[TODAY]]-qry_ProdData2_PDI_Cash_Exception_Application[[#This Row],[CHANGED ON]]</f>
        <v>12.742928240739275</v>
      </c>
      <c r="M2611">
        <f ca="1">qry_ProdData2_PDI_Cash_Exception_Application[[#This Row],[TODAY]]-qry_ProdData2_PDI_Cash_Exception_Application[[#This Row],[CHANGED ON]]</f>
        <v>12.742928240739275</v>
      </c>
      <c r="N2611">
        <f ca="1">qry_ProdData2_PDI_Cash_Exception_Application[[#This Row],[TODAY]]-qry_ProdData2_PDI_Cash_Exception_Application[[#This Row],[CHANGED ON]]</f>
        <v>12.742928240739275</v>
      </c>
    </row>
    <row r="2612" spans="1:14" x14ac:dyDescent="0.35">
      <c r="A2612">
        <v>1027</v>
      </c>
      <c r="B2612" t="s">
        <v>81</v>
      </c>
      <c r="C2612" s="1">
        <v>45192.257071759261</v>
      </c>
      <c r="D2612" t="str">
        <f ca="1">VLOOKUP(qry_ProdData2_PDI_Cash_Exception_Application[[#This Row],[TYPE]],#REF!,2,FALSE)</f>
        <v>type40</v>
      </c>
      <c r="E2612">
        <v>967.44</v>
      </c>
      <c r="F2612" t="s">
        <v>49</v>
      </c>
      <c r="G2612" s="1">
        <f>qry_ProdData2_PDI_Cash_Exception_Application[[#This Row],[INSERT DATE]]+2</f>
        <v>45194.257071759261</v>
      </c>
      <c r="H2612" t="str">
        <f>VLOOKUP(qry_ProdData2_PDI_Cash_Exception_Application[[#This Row],[MARKET No]],'Site Allocation'!$B$2:$C$37,2,FALSE)</f>
        <v>Analyst5</v>
      </c>
      <c r="I2612" s="4">
        <f t="shared" ca="1" si="40"/>
        <v>45203</v>
      </c>
      <c r="J2612" s="42">
        <f ca="1">TODAY()-qry_ProdData2_PDI_Cash_Exception_Application[[#This Row],[INSERT DATE]]</f>
        <v>10.742928240739275</v>
      </c>
      <c r="K26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12">
        <f ca="1">qry_ProdData2_PDI_Cash_Exception_Application[[#This Row],[TODAY]]-qry_ProdData2_PDI_Cash_Exception_Application[[#This Row],[CHANGED ON]]</f>
        <v>8.7429282407392748</v>
      </c>
      <c r="M2612">
        <f ca="1">qry_ProdData2_PDI_Cash_Exception_Application[[#This Row],[TODAY]]-qry_ProdData2_PDI_Cash_Exception_Application[[#This Row],[CHANGED ON]]</f>
        <v>8.7429282407392748</v>
      </c>
      <c r="N2612">
        <f ca="1">qry_ProdData2_PDI_Cash_Exception_Application[[#This Row],[TODAY]]-qry_ProdData2_PDI_Cash_Exception_Application[[#This Row],[CHANGED ON]]</f>
        <v>8.7429282407392748</v>
      </c>
    </row>
    <row r="2613" spans="1:14" x14ac:dyDescent="0.35">
      <c r="A2613">
        <v>1009</v>
      </c>
      <c r="B2613" t="s">
        <v>63</v>
      </c>
      <c r="C2613" s="1">
        <v>45190.257071759261</v>
      </c>
      <c r="D2613" t="str">
        <f ca="1">VLOOKUP(qry_ProdData2_PDI_Cash_Exception_Application[[#This Row],[TYPE]],#REF!,2,FALSE)</f>
        <v>type10</v>
      </c>
      <c r="E2613">
        <v>42.06</v>
      </c>
      <c r="F2613" t="s">
        <v>52</v>
      </c>
      <c r="G2613" s="1">
        <f>qry_ProdData2_PDI_Cash_Exception_Application[[#This Row],[INSERT DATE]]+1</f>
        <v>45191.257071759261</v>
      </c>
      <c r="H2613" t="str">
        <f>VLOOKUP(qry_ProdData2_PDI_Cash_Exception_Application[[#This Row],[MARKET No]],'Site Allocation'!$B$2:$C$37,2,FALSE)</f>
        <v>Analyst2</v>
      </c>
      <c r="I2613" s="4">
        <f t="shared" ca="1" si="40"/>
        <v>45203</v>
      </c>
      <c r="J2613" s="42">
        <f ca="1">TODAY()-qry_ProdData2_PDI_Cash_Exception_Application[[#This Row],[INSERT DATE]]</f>
        <v>12.742928240739275</v>
      </c>
      <c r="K26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13">
        <f ca="1">qry_ProdData2_PDI_Cash_Exception_Application[[#This Row],[TODAY]]-qry_ProdData2_PDI_Cash_Exception_Application[[#This Row],[CHANGED ON]]</f>
        <v>11.742928240739275</v>
      </c>
      <c r="M2613">
        <f ca="1">qry_ProdData2_PDI_Cash_Exception_Application[[#This Row],[TODAY]]-qry_ProdData2_PDI_Cash_Exception_Application[[#This Row],[CHANGED ON]]</f>
        <v>11.742928240739275</v>
      </c>
      <c r="N2613">
        <f ca="1">qry_ProdData2_PDI_Cash_Exception_Application[[#This Row],[TODAY]]-qry_ProdData2_PDI_Cash_Exception_Application[[#This Row],[CHANGED ON]]</f>
        <v>11.742928240739275</v>
      </c>
    </row>
    <row r="2614" spans="1:14" x14ac:dyDescent="0.35">
      <c r="A2614">
        <v>1034</v>
      </c>
      <c r="B2614" t="s">
        <v>88</v>
      </c>
      <c r="C2614" s="1">
        <v>45179.257071759261</v>
      </c>
      <c r="D2614" t="str">
        <f ca="1">VLOOKUP(qry_ProdData2_PDI_Cash_Exception_Application[[#This Row],[TYPE]],#REF!,2,FALSE)</f>
        <v>type7</v>
      </c>
      <c r="E2614">
        <v>-8962.7900000000009</v>
      </c>
      <c r="F2614" t="s">
        <v>49</v>
      </c>
      <c r="G2614" s="1">
        <f>qry_ProdData2_PDI_Cash_Exception_Application[[#This Row],[INSERT DATE]]+5</f>
        <v>45184.257071759261</v>
      </c>
      <c r="H2614" t="str">
        <f>VLOOKUP(qry_ProdData2_PDI_Cash_Exception_Application[[#This Row],[MARKET No]],'Site Allocation'!$B$2:$C$37,2,FALSE)</f>
        <v>Analyst6</v>
      </c>
      <c r="I2614" s="4">
        <f t="shared" ca="1" si="40"/>
        <v>45203</v>
      </c>
      <c r="J2614" s="42">
        <f ca="1">TODAY()-qry_ProdData2_PDI_Cash_Exception_Application[[#This Row],[INSERT DATE]]</f>
        <v>23.742928240739275</v>
      </c>
      <c r="K26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14">
        <f ca="1">qry_ProdData2_PDI_Cash_Exception_Application[[#This Row],[TODAY]]-qry_ProdData2_PDI_Cash_Exception_Application[[#This Row],[CHANGED ON]]</f>
        <v>18.742928240739275</v>
      </c>
      <c r="M2614">
        <f ca="1">qry_ProdData2_PDI_Cash_Exception_Application[[#This Row],[TODAY]]-qry_ProdData2_PDI_Cash_Exception_Application[[#This Row],[CHANGED ON]]</f>
        <v>18.742928240739275</v>
      </c>
      <c r="N2614">
        <f ca="1">qry_ProdData2_PDI_Cash_Exception_Application[[#This Row],[TODAY]]-qry_ProdData2_PDI_Cash_Exception_Application[[#This Row],[CHANGED ON]]</f>
        <v>18.742928240739275</v>
      </c>
    </row>
    <row r="2615" spans="1:14" x14ac:dyDescent="0.35">
      <c r="A2615">
        <v>1000</v>
      </c>
      <c r="B2615" t="s">
        <v>54</v>
      </c>
      <c r="C2615" s="1">
        <v>45197.257071759261</v>
      </c>
      <c r="D2615" t="str">
        <f ca="1">VLOOKUP(qry_ProdData2_PDI_Cash_Exception_Application[[#This Row],[TYPE]],#REF!,2,FALSE)</f>
        <v>type40</v>
      </c>
      <c r="E2615">
        <v>479.53</v>
      </c>
      <c r="G2615" s="1">
        <f>qry_ProdData2_PDI_Cash_Exception_Application[[#This Row],[INSERT DATE]]+1</f>
        <v>45198.257071759261</v>
      </c>
      <c r="H2615" t="str">
        <f>VLOOKUP(qry_ProdData2_PDI_Cash_Exception_Application[[#This Row],[MARKET No]],'Site Allocation'!$B$2:$C$37,2,FALSE)</f>
        <v>Analyst1</v>
      </c>
      <c r="I2615" s="4">
        <f t="shared" ca="1" si="40"/>
        <v>45203</v>
      </c>
      <c r="J2615" s="42">
        <f ca="1">TODAY()-qry_ProdData2_PDI_Cash_Exception_Application[[#This Row],[INSERT DATE]]</f>
        <v>5.7429282407392748</v>
      </c>
      <c r="K26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615">
        <f ca="1">qry_ProdData2_PDI_Cash_Exception_Application[[#This Row],[TODAY]]-qry_ProdData2_PDI_Cash_Exception_Application[[#This Row],[CHANGED ON]]</f>
        <v>4.7429282407392748</v>
      </c>
      <c r="M2615">
        <f ca="1">qry_ProdData2_PDI_Cash_Exception_Application[[#This Row],[TODAY]]-qry_ProdData2_PDI_Cash_Exception_Application[[#This Row],[CHANGED ON]]</f>
        <v>4.7429282407392748</v>
      </c>
      <c r="N2615">
        <f ca="1">qry_ProdData2_PDI_Cash_Exception_Application[[#This Row],[TODAY]]-qry_ProdData2_PDI_Cash_Exception_Application[[#This Row],[CHANGED ON]]</f>
        <v>4.7429282407392748</v>
      </c>
    </row>
    <row r="2616" spans="1:14" x14ac:dyDescent="0.35">
      <c r="A2616">
        <v>1009</v>
      </c>
      <c r="B2616" t="s">
        <v>63</v>
      </c>
      <c r="C2616" s="1">
        <v>45183.257071759261</v>
      </c>
      <c r="D2616" t="str">
        <f ca="1">VLOOKUP(qry_ProdData2_PDI_Cash_Exception_Application[[#This Row],[TYPE]],#REF!,2,FALSE)</f>
        <v>type32</v>
      </c>
      <c r="E2616">
        <v>1918.44</v>
      </c>
      <c r="F2616" t="s">
        <v>48</v>
      </c>
      <c r="G2616" s="1">
        <f>qry_ProdData2_PDI_Cash_Exception_Application[[#This Row],[INSERT DATE]]+2</f>
        <v>45185.257071759261</v>
      </c>
      <c r="H2616" t="str">
        <f>VLOOKUP(qry_ProdData2_PDI_Cash_Exception_Application[[#This Row],[MARKET No]],'Site Allocation'!$B$2:$C$37,2,FALSE)</f>
        <v>Analyst2</v>
      </c>
      <c r="I2616" s="4">
        <f t="shared" ca="1" si="40"/>
        <v>45203</v>
      </c>
      <c r="J2616" s="42">
        <f ca="1">TODAY()-qry_ProdData2_PDI_Cash_Exception_Application[[#This Row],[INSERT DATE]]</f>
        <v>19.742928240739275</v>
      </c>
      <c r="K26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16">
        <f ca="1">qry_ProdData2_PDI_Cash_Exception_Application[[#This Row],[TODAY]]-qry_ProdData2_PDI_Cash_Exception_Application[[#This Row],[CHANGED ON]]</f>
        <v>17.742928240739275</v>
      </c>
      <c r="M2616">
        <f ca="1">qry_ProdData2_PDI_Cash_Exception_Application[[#This Row],[TODAY]]-qry_ProdData2_PDI_Cash_Exception_Application[[#This Row],[CHANGED ON]]</f>
        <v>17.742928240739275</v>
      </c>
      <c r="N2616">
        <f ca="1">qry_ProdData2_PDI_Cash_Exception_Application[[#This Row],[TODAY]]-qry_ProdData2_PDI_Cash_Exception_Application[[#This Row],[CHANGED ON]]</f>
        <v>17.742928240739275</v>
      </c>
    </row>
    <row r="2617" spans="1:14" x14ac:dyDescent="0.35">
      <c r="A2617">
        <v>1011</v>
      </c>
      <c r="B2617" t="s">
        <v>65</v>
      </c>
      <c r="C2617" s="1">
        <v>45193.257071759261</v>
      </c>
      <c r="D2617" t="str">
        <f ca="1">VLOOKUP(qry_ProdData2_PDI_Cash_Exception_Application[[#This Row],[TYPE]],#REF!,2,FALSE)</f>
        <v>type40</v>
      </c>
      <c r="E2617">
        <v>5241.4799999999996</v>
      </c>
      <c r="F2617" t="s">
        <v>52</v>
      </c>
      <c r="G2617" s="1">
        <f>qry_ProdData2_PDI_Cash_Exception_Application[[#This Row],[INSERT DATE]]+1</f>
        <v>45194.257071759261</v>
      </c>
      <c r="H2617" t="str">
        <f>VLOOKUP(qry_ProdData2_PDI_Cash_Exception_Application[[#This Row],[MARKET No]],'Site Allocation'!$B$2:$C$37,2,FALSE)</f>
        <v>Analyst2</v>
      </c>
      <c r="I2617" s="4">
        <f t="shared" ca="1" si="40"/>
        <v>45203</v>
      </c>
      <c r="J2617" s="42">
        <f ca="1">TODAY()-qry_ProdData2_PDI_Cash_Exception_Application[[#This Row],[INSERT DATE]]</f>
        <v>9.7429282407392748</v>
      </c>
      <c r="K26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17">
        <f ca="1">qry_ProdData2_PDI_Cash_Exception_Application[[#This Row],[TODAY]]-qry_ProdData2_PDI_Cash_Exception_Application[[#This Row],[CHANGED ON]]</f>
        <v>8.7429282407392748</v>
      </c>
      <c r="M2617">
        <f ca="1">qry_ProdData2_PDI_Cash_Exception_Application[[#This Row],[TODAY]]-qry_ProdData2_PDI_Cash_Exception_Application[[#This Row],[CHANGED ON]]</f>
        <v>8.7429282407392748</v>
      </c>
      <c r="N2617">
        <f ca="1">qry_ProdData2_PDI_Cash_Exception_Application[[#This Row],[TODAY]]-qry_ProdData2_PDI_Cash_Exception_Application[[#This Row],[CHANGED ON]]</f>
        <v>8.7429282407392748</v>
      </c>
    </row>
    <row r="2618" spans="1:14" x14ac:dyDescent="0.35">
      <c r="A2618">
        <v>1031</v>
      </c>
      <c r="B2618" t="s">
        <v>85</v>
      </c>
      <c r="C2618" s="1">
        <v>45183.257071759261</v>
      </c>
      <c r="D2618" t="str">
        <f ca="1">VLOOKUP(qry_ProdData2_PDI_Cash_Exception_Application[[#This Row],[TYPE]],#REF!,2,FALSE)</f>
        <v>type23</v>
      </c>
      <c r="E2618">
        <v>318.68</v>
      </c>
      <c r="F2618" t="s">
        <v>49</v>
      </c>
      <c r="G2618" s="1">
        <f>qry_ProdData2_PDI_Cash_Exception_Application[[#This Row],[INSERT DATE]]+5</f>
        <v>45188.257071759261</v>
      </c>
      <c r="H2618" t="str">
        <f>VLOOKUP(qry_ProdData2_PDI_Cash_Exception_Application[[#This Row],[MARKET No]],'Site Allocation'!$B$2:$C$37,2,FALSE)</f>
        <v>Analyst6</v>
      </c>
      <c r="I2618" s="4">
        <f t="shared" ca="1" si="40"/>
        <v>45203</v>
      </c>
      <c r="J2618" s="42">
        <f ca="1">TODAY()-qry_ProdData2_PDI_Cash_Exception_Application[[#This Row],[INSERT DATE]]</f>
        <v>19.742928240739275</v>
      </c>
      <c r="K26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18">
        <f ca="1">qry_ProdData2_PDI_Cash_Exception_Application[[#This Row],[TODAY]]-qry_ProdData2_PDI_Cash_Exception_Application[[#This Row],[CHANGED ON]]</f>
        <v>14.742928240739275</v>
      </c>
      <c r="M2618">
        <f ca="1">qry_ProdData2_PDI_Cash_Exception_Application[[#This Row],[TODAY]]-qry_ProdData2_PDI_Cash_Exception_Application[[#This Row],[CHANGED ON]]</f>
        <v>14.742928240739275</v>
      </c>
      <c r="N2618">
        <f ca="1">qry_ProdData2_PDI_Cash_Exception_Application[[#This Row],[TODAY]]-qry_ProdData2_PDI_Cash_Exception_Application[[#This Row],[CHANGED ON]]</f>
        <v>14.742928240739275</v>
      </c>
    </row>
    <row r="2619" spans="1:14" x14ac:dyDescent="0.35">
      <c r="A2619">
        <v>1031</v>
      </c>
      <c r="B2619" t="s">
        <v>85</v>
      </c>
      <c r="C2619" s="1">
        <v>45187.257071759261</v>
      </c>
      <c r="D2619" t="str">
        <f ca="1">VLOOKUP(qry_ProdData2_PDI_Cash_Exception_Application[[#This Row],[TYPE]],#REF!,2,FALSE)</f>
        <v>type34</v>
      </c>
      <c r="E2619">
        <v>113.26</v>
      </c>
      <c r="F2619" t="s">
        <v>48</v>
      </c>
      <c r="G2619" s="1">
        <f>qry_ProdData2_PDI_Cash_Exception_Application[[#This Row],[INSERT DATE]]+2</f>
        <v>45189.257071759261</v>
      </c>
      <c r="H2619" t="str">
        <f>VLOOKUP(qry_ProdData2_PDI_Cash_Exception_Application[[#This Row],[MARKET No]],'Site Allocation'!$B$2:$C$37,2,FALSE)</f>
        <v>Analyst6</v>
      </c>
      <c r="I2619" s="4">
        <f t="shared" ca="1" si="40"/>
        <v>45203</v>
      </c>
      <c r="J2619" s="42">
        <f ca="1">TODAY()-qry_ProdData2_PDI_Cash_Exception_Application[[#This Row],[INSERT DATE]]</f>
        <v>15.742928240739275</v>
      </c>
      <c r="K26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19">
        <f ca="1">qry_ProdData2_PDI_Cash_Exception_Application[[#This Row],[TODAY]]-qry_ProdData2_PDI_Cash_Exception_Application[[#This Row],[CHANGED ON]]</f>
        <v>13.742928240739275</v>
      </c>
      <c r="M2619">
        <f ca="1">qry_ProdData2_PDI_Cash_Exception_Application[[#This Row],[TODAY]]-qry_ProdData2_PDI_Cash_Exception_Application[[#This Row],[CHANGED ON]]</f>
        <v>13.742928240739275</v>
      </c>
      <c r="N2619">
        <f ca="1">qry_ProdData2_PDI_Cash_Exception_Application[[#This Row],[TODAY]]-qry_ProdData2_PDI_Cash_Exception_Application[[#This Row],[CHANGED ON]]</f>
        <v>13.742928240739275</v>
      </c>
    </row>
    <row r="2620" spans="1:14" x14ac:dyDescent="0.35">
      <c r="A2620">
        <v>1020</v>
      </c>
      <c r="B2620" t="s">
        <v>74</v>
      </c>
      <c r="C2620" s="1">
        <v>45189.257071759261</v>
      </c>
      <c r="D2620" t="str">
        <f ca="1">VLOOKUP(qry_ProdData2_PDI_Cash_Exception_Application[[#This Row],[TYPE]],#REF!,2,FALSE)</f>
        <v>type40</v>
      </c>
      <c r="E2620">
        <v>1139.68</v>
      </c>
      <c r="F2620" t="s">
        <v>48</v>
      </c>
      <c r="G2620" s="1">
        <f>qry_ProdData2_PDI_Cash_Exception_Application[[#This Row],[INSERT DATE]]+2</f>
        <v>45191.257071759261</v>
      </c>
      <c r="H2620" t="str">
        <f>VLOOKUP(qry_ProdData2_PDI_Cash_Exception_Application[[#This Row],[MARKET No]],'Site Allocation'!$B$2:$C$37,2,FALSE)</f>
        <v>Analyst4</v>
      </c>
      <c r="I2620" s="4">
        <f t="shared" ca="1" si="40"/>
        <v>45203</v>
      </c>
      <c r="J2620" s="42">
        <f ca="1">TODAY()-qry_ProdData2_PDI_Cash_Exception_Application[[#This Row],[INSERT DATE]]</f>
        <v>13.742928240739275</v>
      </c>
      <c r="K26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20">
        <f ca="1">qry_ProdData2_PDI_Cash_Exception_Application[[#This Row],[TODAY]]-qry_ProdData2_PDI_Cash_Exception_Application[[#This Row],[CHANGED ON]]</f>
        <v>11.742928240739275</v>
      </c>
      <c r="M2620">
        <f ca="1">qry_ProdData2_PDI_Cash_Exception_Application[[#This Row],[TODAY]]-qry_ProdData2_PDI_Cash_Exception_Application[[#This Row],[CHANGED ON]]</f>
        <v>11.742928240739275</v>
      </c>
      <c r="N2620">
        <f ca="1">qry_ProdData2_PDI_Cash_Exception_Application[[#This Row],[TODAY]]-qry_ProdData2_PDI_Cash_Exception_Application[[#This Row],[CHANGED ON]]</f>
        <v>11.742928240739275</v>
      </c>
    </row>
    <row r="2621" spans="1:14" x14ac:dyDescent="0.35">
      <c r="A2621">
        <v>1026</v>
      </c>
      <c r="B2621" t="s">
        <v>80</v>
      </c>
      <c r="C2621" s="1">
        <v>45197.257071759261</v>
      </c>
      <c r="D2621" t="str">
        <f ca="1">VLOOKUP(qry_ProdData2_PDI_Cash_Exception_Application[[#This Row],[TYPE]],#REF!,2,FALSE)</f>
        <v>type40</v>
      </c>
      <c r="E2621">
        <v>1600.45</v>
      </c>
      <c r="F2621" t="s">
        <v>50</v>
      </c>
      <c r="G2621" s="1">
        <f>qry_ProdData2_PDI_Cash_Exception_Application[[#This Row],[INSERT DATE]]+2</f>
        <v>45199.257071759261</v>
      </c>
      <c r="H2621" t="str">
        <f>VLOOKUP(qry_ProdData2_PDI_Cash_Exception_Application[[#This Row],[MARKET No]],'Site Allocation'!$B$2:$C$37,2,FALSE)</f>
        <v>Analyst5</v>
      </c>
      <c r="I2621" s="4">
        <f t="shared" ca="1" si="40"/>
        <v>45203</v>
      </c>
      <c r="J2621" s="42">
        <f ca="1">TODAY()-qry_ProdData2_PDI_Cash_Exception_Application[[#This Row],[INSERT DATE]]</f>
        <v>5.7429282407392748</v>
      </c>
      <c r="K26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621">
        <f ca="1">qry_ProdData2_PDI_Cash_Exception_Application[[#This Row],[TODAY]]-qry_ProdData2_PDI_Cash_Exception_Application[[#This Row],[CHANGED ON]]</f>
        <v>3.7429282407392748</v>
      </c>
      <c r="M2621">
        <f ca="1">qry_ProdData2_PDI_Cash_Exception_Application[[#This Row],[TODAY]]-qry_ProdData2_PDI_Cash_Exception_Application[[#This Row],[CHANGED ON]]</f>
        <v>3.7429282407392748</v>
      </c>
      <c r="N2621">
        <f ca="1">qry_ProdData2_PDI_Cash_Exception_Application[[#This Row],[TODAY]]-qry_ProdData2_PDI_Cash_Exception_Application[[#This Row],[CHANGED ON]]</f>
        <v>3.7429282407392748</v>
      </c>
    </row>
    <row r="2622" spans="1:14" x14ac:dyDescent="0.35">
      <c r="A2622">
        <v>1024</v>
      </c>
      <c r="B2622" t="s">
        <v>78</v>
      </c>
      <c r="C2622" s="1">
        <v>45185.257071759261</v>
      </c>
      <c r="D2622" t="str">
        <f ca="1">VLOOKUP(qry_ProdData2_PDI_Cash_Exception_Application[[#This Row],[TYPE]],#REF!,2,FALSE)</f>
        <v>type32</v>
      </c>
      <c r="E2622">
        <v>562.83000000000004</v>
      </c>
      <c r="F2622" t="s">
        <v>51</v>
      </c>
      <c r="G2622" s="1">
        <f>qry_ProdData2_PDI_Cash_Exception_Application[[#This Row],[INSERT DATE]]+5</f>
        <v>45190.257071759261</v>
      </c>
      <c r="H2622" t="str">
        <f>VLOOKUP(qry_ProdData2_PDI_Cash_Exception_Application[[#This Row],[MARKET No]],'Site Allocation'!$B$2:$C$37,2,FALSE)</f>
        <v>Analyst5</v>
      </c>
      <c r="I2622" s="4">
        <f t="shared" ca="1" si="40"/>
        <v>45203</v>
      </c>
      <c r="J2622" s="42">
        <f ca="1">TODAY()-qry_ProdData2_PDI_Cash_Exception_Application[[#This Row],[INSERT DATE]]</f>
        <v>17.742928240739275</v>
      </c>
      <c r="K26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22">
        <f ca="1">qry_ProdData2_PDI_Cash_Exception_Application[[#This Row],[TODAY]]-qry_ProdData2_PDI_Cash_Exception_Application[[#This Row],[CHANGED ON]]</f>
        <v>12.742928240739275</v>
      </c>
      <c r="M2622">
        <f ca="1">qry_ProdData2_PDI_Cash_Exception_Application[[#This Row],[TODAY]]-qry_ProdData2_PDI_Cash_Exception_Application[[#This Row],[CHANGED ON]]</f>
        <v>12.742928240739275</v>
      </c>
      <c r="N2622">
        <f ca="1">qry_ProdData2_PDI_Cash_Exception_Application[[#This Row],[TODAY]]-qry_ProdData2_PDI_Cash_Exception_Application[[#This Row],[CHANGED ON]]</f>
        <v>12.742928240739275</v>
      </c>
    </row>
    <row r="2623" spans="1:14" x14ac:dyDescent="0.35">
      <c r="A2623">
        <v>1016</v>
      </c>
      <c r="B2623" t="s">
        <v>70</v>
      </c>
      <c r="C2623" s="1">
        <v>45189.257071759261</v>
      </c>
      <c r="D2623" t="str">
        <f ca="1">VLOOKUP(qry_ProdData2_PDI_Cash_Exception_Application[[#This Row],[TYPE]],#REF!,2,FALSE)</f>
        <v>type13</v>
      </c>
      <c r="E2623">
        <v>23176.81</v>
      </c>
      <c r="F2623" t="s">
        <v>48</v>
      </c>
      <c r="G2623" s="1">
        <f>qry_ProdData2_PDI_Cash_Exception_Application[[#This Row],[INSERT DATE]]+2</f>
        <v>45191.257071759261</v>
      </c>
      <c r="H2623" t="str">
        <f>VLOOKUP(qry_ProdData2_PDI_Cash_Exception_Application[[#This Row],[MARKET No]],'Site Allocation'!$B$2:$C$37,2,FALSE)</f>
        <v>Analyst3</v>
      </c>
      <c r="I2623" s="4">
        <f t="shared" ca="1" si="40"/>
        <v>45203</v>
      </c>
      <c r="J2623" s="42">
        <f ca="1">TODAY()-qry_ProdData2_PDI_Cash_Exception_Application[[#This Row],[INSERT DATE]]</f>
        <v>13.742928240739275</v>
      </c>
      <c r="K26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23">
        <f ca="1">qry_ProdData2_PDI_Cash_Exception_Application[[#This Row],[TODAY]]-qry_ProdData2_PDI_Cash_Exception_Application[[#This Row],[CHANGED ON]]</f>
        <v>11.742928240739275</v>
      </c>
      <c r="M2623">
        <f ca="1">qry_ProdData2_PDI_Cash_Exception_Application[[#This Row],[TODAY]]-qry_ProdData2_PDI_Cash_Exception_Application[[#This Row],[CHANGED ON]]</f>
        <v>11.742928240739275</v>
      </c>
      <c r="N2623">
        <f ca="1">qry_ProdData2_PDI_Cash_Exception_Application[[#This Row],[TODAY]]-qry_ProdData2_PDI_Cash_Exception_Application[[#This Row],[CHANGED ON]]</f>
        <v>11.742928240739275</v>
      </c>
    </row>
    <row r="2624" spans="1:14" x14ac:dyDescent="0.35">
      <c r="A2624">
        <v>1022</v>
      </c>
      <c r="B2624" t="s">
        <v>76</v>
      </c>
      <c r="C2624" s="1">
        <v>45185.257071759261</v>
      </c>
      <c r="D2624" t="str">
        <f ca="1">VLOOKUP(qry_ProdData2_PDI_Cash_Exception_Application[[#This Row],[TYPE]],#REF!,2,FALSE)</f>
        <v>type40</v>
      </c>
      <c r="E2624">
        <v>46.69</v>
      </c>
      <c r="F2624" t="s">
        <v>48</v>
      </c>
      <c r="G2624" s="1">
        <f>qry_ProdData2_PDI_Cash_Exception_Application[[#This Row],[INSERT DATE]]+5</f>
        <v>45190.257071759261</v>
      </c>
      <c r="H2624" t="str">
        <f>VLOOKUP(qry_ProdData2_PDI_Cash_Exception_Application[[#This Row],[MARKET No]],'Site Allocation'!$B$2:$C$37,2,FALSE)</f>
        <v>Analyst4</v>
      </c>
      <c r="I2624" s="4">
        <f t="shared" ca="1" si="40"/>
        <v>45203</v>
      </c>
      <c r="J2624" s="42">
        <f ca="1">TODAY()-qry_ProdData2_PDI_Cash_Exception_Application[[#This Row],[INSERT DATE]]</f>
        <v>17.742928240739275</v>
      </c>
      <c r="K26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24">
        <f ca="1">qry_ProdData2_PDI_Cash_Exception_Application[[#This Row],[TODAY]]-qry_ProdData2_PDI_Cash_Exception_Application[[#This Row],[CHANGED ON]]</f>
        <v>12.742928240739275</v>
      </c>
      <c r="M2624">
        <f ca="1">qry_ProdData2_PDI_Cash_Exception_Application[[#This Row],[TODAY]]-qry_ProdData2_PDI_Cash_Exception_Application[[#This Row],[CHANGED ON]]</f>
        <v>12.742928240739275</v>
      </c>
      <c r="N2624">
        <f ca="1">qry_ProdData2_PDI_Cash_Exception_Application[[#This Row],[TODAY]]-qry_ProdData2_PDI_Cash_Exception_Application[[#This Row],[CHANGED ON]]</f>
        <v>12.742928240739275</v>
      </c>
    </row>
    <row r="2625" spans="1:14" x14ac:dyDescent="0.35">
      <c r="A2625">
        <v>1003</v>
      </c>
      <c r="B2625" t="s">
        <v>57</v>
      </c>
      <c r="C2625" s="1">
        <v>45187.257071759261</v>
      </c>
      <c r="D2625" t="str">
        <f ca="1">VLOOKUP(qry_ProdData2_PDI_Cash_Exception_Application[[#This Row],[TYPE]],#REF!,2,FALSE)</f>
        <v>type13</v>
      </c>
      <c r="E2625">
        <v>25932.3</v>
      </c>
      <c r="F2625" t="s">
        <v>50</v>
      </c>
      <c r="G2625" s="1">
        <f>qry_ProdData2_PDI_Cash_Exception_Application[[#This Row],[INSERT DATE]]+2</f>
        <v>45189.257071759261</v>
      </c>
      <c r="H2625" t="str">
        <f>VLOOKUP(qry_ProdData2_PDI_Cash_Exception_Application[[#This Row],[MARKET No]],'Site Allocation'!$B$2:$C$37,2,FALSE)</f>
        <v>Analyst1</v>
      </c>
      <c r="I2625" s="4">
        <f t="shared" ca="1" si="40"/>
        <v>45203</v>
      </c>
      <c r="J2625" s="42">
        <f ca="1">TODAY()-qry_ProdData2_PDI_Cash_Exception_Application[[#This Row],[INSERT DATE]]</f>
        <v>15.742928240739275</v>
      </c>
      <c r="K26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25">
        <f ca="1">qry_ProdData2_PDI_Cash_Exception_Application[[#This Row],[TODAY]]-qry_ProdData2_PDI_Cash_Exception_Application[[#This Row],[CHANGED ON]]</f>
        <v>13.742928240739275</v>
      </c>
      <c r="M2625">
        <f ca="1">qry_ProdData2_PDI_Cash_Exception_Application[[#This Row],[TODAY]]-qry_ProdData2_PDI_Cash_Exception_Application[[#This Row],[CHANGED ON]]</f>
        <v>13.742928240739275</v>
      </c>
      <c r="N2625">
        <f ca="1">qry_ProdData2_PDI_Cash_Exception_Application[[#This Row],[TODAY]]-qry_ProdData2_PDI_Cash_Exception_Application[[#This Row],[CHANGED ON]]</f>
        <v>13.742928240739275</v>
      </c>
    </row>
    <row r="2626" spans="1:14" x14ac:dyDescent="0.35">
      <c r="A2626">
        <v>1029</v>
      </c>
      <c r="B2626" t="s">
        <v>83</v>
      </c>
      <c r="C2626" s="1">
        <v>45190.257071759261</v>
      </c>
      <c r="D2626" t="str">
        <f ca="1">VLOOKUP(qry_ProdData2_PDI_Cash_Exception_Application[[#This Row],[TYPE]],#REF!,2,FALSE)</f>
        <v>type40</v>
      </c>
      <c r="E2626">
        <v>-1050.3</v>
      </c>
      <c r="F2626" t="str">
        <f>qry_ProdData2_PDI_Cash_Exception_Application[[#This Row],[ANALYST]]</f>
        <v>Analyst5</v>
      </c>
      <c r="G2626" s="1">
        <f>qry_ProdData2_PDI_Cash_Exception_Application[[#This Row],[INSERT DATE]]+7</f>
        <v>45197.257071759261</v>
      </c>
      <c r="H2626" t="str">
        <f>VLOOKUP(qry_ProdData2_PDI_Cash_Exception_Application[[#This Row],[MARKET No]],'Site Allocation'!$B$2:$C$37,2,FALSE)</f>
        <v>Analyst5</v>
      </c>
      <c r="I2626" s="4">
        <f t="shared" ref="I2626:I2689" ca="1" si="41">TODAY()</f>
        <v>45203</v>
      </c>
      <c r="J2626" s="42">
        <f ca="1">TODAY()-qry_ProdData2_PDI_Cash_Exception_Application[[#This Row],[INSERT DATE]]</f>
        <v>12.742928240739275</v>
      </c>
      <c r="K26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26">
        <f ca="1">qry_ProdData2_PDI_Cash_Exception_Application[[#This Row],[TODAY]]-qry_ProdData2_PDI_Cash_Exception_Application[[#This Row],[CHANGED ON]]</f>
        <v>5.7429282407392748</v>
      </c>
      <c r="M2626">
        <f ca="1">qry_ProdData2_PDI_Cash_Exception_Application[[#This Row],[TODAY]]-qry_ProdData2_PDI_Cash_Exception_Application[[#This Row],[CHANGED ON]]</f>
        <v>5.7429282407392748</v>
      </c>
      <c r="N2626">
        <f ca="1">qry_ProdData2_PDI_Cash_Exception_Application[[#This Row],[TODAY]]-qry_ProdData2_PDI_Cash_Exception_Application[[#This Row],[CHANGED ON]]</f>
        <v>5.7429282407392748</v>
      </c>
    </row>
    <row r="2627" spans="1:14" x14ac:dyDescent="0.35">
      <c r="A2627">
        <v>1026</v>
      </c>
      <c r="B2627" t="s">
        <v>80</v>
      </c>
      <c r="C2627" s="1">
        <v>45185.257071759261</v>
      </c>
      <c r="D2627" t="str">
        <f ca="1">VLOOKUP(qry_ProdData2_PDI_Cash_Exception_Application[[#This Row],[TYPE]],#REF!,2,FALSE)</f>
        <v>type40</v>
      </c>
      <c r="E2627">
        <v>-2637.78</v>
      </c>
      <c r="F2627" t="s">
        <v>51</v>
      </c>
      <c r="G2627" s="1">
        <f>qry_ProdData2_PDI_Cash_Exception_Application[[#This Row],[INSERT DATE]]+7</f>
        <v>45192.257071759261</v>
      </c>
      <c r="H2627" t="str">
        <f>VLOOKUP(qry_ProdData2_PDI_Cash_Exception_Application[[#This Row],[MARKET No]],'Site Allocation'!$B$2:$C$37,2,FALSE)</f>
        <v>Analyst5</v>
      </c>
      <c r="I2627" s="4">
        <f t="shared" ca="1" si="41"/>
        <v>45203</v>
      </c>
      <c r="J2627" s="42">
        <f ca="1">TODAY()-qry_ProdData2_PDI_Cash_Exception_Application[[#This Row],[INSERT DATE]]</f>
        <v>17.742928240739275</v>
      </c>
      <c r="K26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27">
        <f ca="1">qry_ProdData2_PDI_Cash_Exception_Application[[#This Row],[TODAY]]-qry_ProdData2_PDI_Cash_Exception_Application[[#This Row],[CHANGED ON]]</f>
        <v>10.742928240739275</v>
      </c>
      <c r="M2627">
        <f ca="1">qry_ProdData2_PDI_Cash_Exception_Application[[#This Row],[TODAY]]-qry_ProdData2_PDI_Cash_Exception_Application[[#This Row],[CHANGED ON]]</f>
        <v>10.742928240739275</v>
      </c>
      <c r="N2627">
        <f ca="1">qry_ProdData2_PDI_Cash_Exception_Application[[#This Row],[TODAY]]-qry_ProdData2_PDI_Cash_Exception_Application[[#This Row],[CHANGED ON]]</f>
        <v>10.742928240739275</v>
      </c>
    </row>
    <row r="2628" spans="1:14" x14ac:dyDescent="0.35">
      <c r="A2628">
        <v>1003</v>
      </c>
      <c r="B2628" t="s">
        <v>57</v>
      </c>
      <c r="C2628" s="1">
        <v>45186.257071759261</v>
      </c>
      <c r="D2628" t="str">
        <f ca="1">VLOOKUP(qry_ProdData2_PDI_Cash_Exception_Application[[#This Row],[TYPE]],#REF!,2,FALSE)</f>
        <v>type13</v>
      </c>
      <c r="E2628">
        <v>20487.259999999998</v>
      </c>
      <c r="F2628" t="s">
        <v>48</v>
      </c>
      <c r="G2628" s="1">
        <f>qry_ProdData2_PDI_Cash_Exception_Application[[#This Row],[INSERT DATE]]+5</f>
        <v>45191.257071759261</v>
      </c>
      <c r="H2628" t="str">
        <f>VLOOKUP(qry_ProdData2_PDI_Cash_Exception_Application[[#This Row],[MARKET No]],'Site Allocation'!$B$2:$C$37,2,FALSE)</f>
        <v>Analyst1</v>
      </c>
      <c r="I2628" s="4">
        <f t="shared" ca="1" si="41"/>
        <v>45203</v>
      </c>
      <c r="J2628" s="42">
        <f ca="1">TODAY()-qry_ProdData2_PDI_Cash_Exception_Application[[#This Row],[INSERT DATE]]</f>
        <v>16.742928240739275</v>
      </c>
      <c r="K26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28">
        <f ca="1">qry_ProdData2_PDI_Cash_Exception_Application[[#This Row],[TODAY]]-qry_ProdData2_PDI_Cash_Exception_Application[[#This Row],[CHANGED ON]]</f>
        <v>11.742928240739275</v>
      </c>
      <c r="M2628">
        <f ca="1">qry_ProdData2_PDI_Cash_Exception_Application[[#This Row],[TODAY]]-qry_ProdData2_PDI_Cash_Exception_Application[[#This Row],[CHANGED ON]]</f>
        <v>11.742928240739275</v>
      </c>
      <c r="N2628">
        <f ca="1">qry_ProdData2_PDI_Cash_Exception_Application[[#This Row],[TODAY]]-qry_ProdData2_PDI_Cash_Exception_Application[[#This Row],[CHANGED ON]]</f>
        <v>11.742928240739275</v>
      </c>
    </row>
    <row r="2629" spans="1:14" x14ac:dyDescent="0.35">
      <c r="A2629">
        <v>1021</v>
      </c>
      <c r="B2629" t="s">
        <v>75</v>
      </c>
      <c r="C2629" s="1">
        <v>45190.257071759261</v>
      </c>
      <c r="D2629" t="str">
        <f ca="1">VLOOKUP(qry_ProdData2_PDI_Cash_Exception_Application[[#This Row],[TYPE]],#REF!,2,FALSE)</f>
        <v>type40</v>
      </c>
      <c r="E2629">
        <v>-510.48</v>
      </c>
      <c r="F2629" t="s">
        <v>52</v>
      </c>
      <c r="G2629" s="1">
        <f>qry_ProdData2_PDI_Cash_Exception_Application[[#This Row],[INSERT DATE]]+2</f>
        <v>45192.257071759261</v>
      </c>
      <c r="H2629" t="str">
        <f>VLOOKUP(qry_ProdData2_PDI_Cash_Exception_Application[[#This Row],[MARKET No]],'Site Allocation'!$B$2:$C$37,2,FALSE)</f>
        <v>Analyst4</v>
      </c>
      <c r="I2629" s="4">
        <f t="shared" ca="1" si="41"/>
        <v>45203</v>
      </c>
      <c r="J2629" s="42">
        <f ca="1">TODAY()-qry_ProdData2_PDI_Cash_Exception_Application[[#This Row],[INSERT DATE]]</f>
        <v>12.742928240739275</v>
      </c>
      <c r="K26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29">
        <f ca="1">qry_ProdData2_PDI_Cash_Exception_Application[[#This Row],[TODAY]]-qry_ProdData2_PDI_Cash_Exception_Application[[#This Row],[CHANGED ON]]</f>
        <v>10.742928240739275</v>
      </c>
      <c r="M2629">
        <f ca="1">qry_ProdData2_PDI_Cash_Exception_Application[[#This Row],[TODAY]]-qry_ProdData2_PDI_Cash_Exception_Application[[#This Row],[CHANGED ON]]</f>
        <v>10.742928240739275</v>
      </c>
      <c r="N2629">
        <f ca="1">qry_ProdData2_PDI_Cash_Exception_Application[[#This Row],[TODAY]]-qry_ProdData2_PDI_Cash_Exception_Application[[#This Row],[CHANGED ON]]</f>
        <v>10.742928240739275</v>
      </c>
    </row>
    <row r="2630" spans="1:14" x14ac:dyDescent="0.35">
      <c r="A2630">
        <v>1030</v>
      </c>
      <c r="B2630" t="s">
        <v>84</v>
      </c>
      <c r="C2630" s="1">
        <v>45190.257071759261</v>
      </c>
      <c r="D2630" t="str">
        <f ca="1">VLOOKUP(qry_ProdData2_PDI_Cash_Exception_Application[[#This Row],[TYPE]],#REF!,2,FALSE)</f>
        <v>type13</v>
      </c>
      <c r="E2630">
        <v>29427.37</v>
      </c>
      <c r="F2630" t="s">
        <v>52</v>
      </c>
      <c r="G2630" s="1">
        <f>qry_ProdData2_PDI_Cash_Exception_Application[[#This Row],[INSERT DATE]]+2</f>
        <v>45192.257071759261</v>
      </c>
      <c r="H2630" t="str">
        <f>VLOOKUP(qry_ProdData2_PDI_Cash_Exception_Application[[#This Row],[MARKET No]],'Site Allocation'!$B$2:$C$37,2,FALSE)</f>
        <v>Analyst6</v>
      </c>
      <c r="I2630" s="4">
        <f t="shared" ca="1" si="41"/>
        <v>45203</v>
      </c>
      <c r="J2630" s="42">
        <f ca="1">TODAY()-qry_ProdData2_PDI_Cash_Exception_Application[[#This Row],[INSERT DATE]]</f>
        <v>12.742928240739275</v>
      </c>
      <c r="K26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30">
        <f ca="1">qry_ProdData2_PDI_Cash_Exception_Application[[#This Row],[TODAY]]-qry_ProdData2_PDI_Cash_Exception_Application[[#This Row],[CHANGED ON]]</f>
        <v>10.742928240739275</v>
      </c>
      <c r="M2630">
        <f ca="1">qry_ProdData2_PDI_Cash_Exception_Application[[#This Row],[TODAY]]-qry_ProdData2_PDI_Cash_Exception_Application[[#This Row],[CHANGED ON]]</f>
        <v>10.742928240739275</v>
      </c>
      <c r="N2630">
        <f ca="1">qry_ProdData2_PDI_Cash_Exception_Application[[#This Row],[TODAY]]-qry_ProdData2_PDI_Cash_Exception_Application[[#This Row],[CHANGED ON]]</f>
        <v>10.742928240739275</v>
      </c>
    </row>
    <row r="2631" spans="1:14" x14ac:dyDescent="0.35">
      <c r="A2631">
        <v>1019</v>
      </c>
      <c r="B2631" t="s">
        <v>73</v>
      </c>
      <c r="C2631" s="1">
        <v>45191.257071759261</v>
      </c>
      <c r="D2631" t="str">
        <f ca="1">VLOOKUP(qry_ProdData2_PDI_Cash_Exception_Application[[#This Row],[TYPE]],#REF!,2,FALSE)</f>
        <v>type13</v>
      </c>
      <c r="E2631">
        <v>23513.23</v>
      </c>
      <c r="F2631" t="s">
        <v>50</v>
      </c>
      <c r="G2631" s="1">
        <f>qry_ProdData2_PDI_Cash_Exception_Application[[#This Row],[INSERT DATE]]+2</f>
        <v>45193.257071759261</v>
      </c>
      <c r="H2631" t="str">
        <f>VLOOKUP(qry_ProdData2_PDI_Cash_Exception_Application[[#This Row],[MARKET No]],'Site Allocation'!$B$2:$C$37,2,FALSE)</f>
        <v>Analyst4</v>
      </c>
      <c r="I2631" s="4">
        <f t="shared" ca="1" si="41"/>
        <v>45203</v>
      </c>
      <c r="J2631" s="42">
        <f ca="1">TODAY()-qry_ProdData2_PDI_Cash_Exception_Application[[#This Row],[INSERT DATE]]</f>
        <v>11.742928240739275</v>
      </c>
      <c r="K26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31">
        <f ca="1">qry_ProdData2_PDI_Cash_Exception_Application[[#This Row],[TODAY]]-qry_ProdData2_PDI_Cash_Exception_Application[[#This Row],[CHANGED ON]]</f>
        <v>9.7429282407392748</v>
      </c>
      <c r="M2631">
        <f ca="1">qry_ProdData2_PDI_Cash_Exception_Application[[#This Row],[TODAY]]-qry_ProdData2_PDI_Cash_Exception_Application[[#This Row],[CHANGED ON]]</f>
        <v>9.7429282407392748</v>
      </c>
      <c r="N2631">
        <f ca="1">qry_ProdData2_PDI_Cash_Exception_Application[[#This Row],[TODAY]]-qry_ProdData2_PDI_Cash_Exception_Application[[#This Row],[CHANGED ON]]</f>
        <v>9.7429282407392748</v>
      </c>
    </row>
    <row r="2632" spans="1:14" x14ac:dyDescent="0.35">
      <c r="A2632">
        <v>1028</v>
      </c>
      <c r="B2632" t="s">
        <v>82</v>
      </c>
      <c r="C2632" s="1">
        <v>45192.257071759261</v>
      </c>
      <c r="D2632" t="str">
        <f ca="1">VLOOKUP(qry_ProdData2_PDI_Cash_Exception_Application[[#This Row],[TYPE]],#REF!,2,FALSE)</f>
        <v>type13</v>
      </c>
      <c r="E2632">
        <v>27907.759999999998</v>
      </c>
      <c r="F2632" t="s">
        <v>50</v>
      </c>
      <c r="G2632" s="1">
        <f>qry_ProdData2_PDI_Cash_Exception_Application[[#This Row],[INSERT DATE]]+2</f>
        <v>45194.257071759261</v>
      </c>
      <c r="H2632" t="str">
        <f>VLOOKUP(qry_ProdData2_PDI_Cash_Exception_Application[[#This Row],[MARKET No]],'Site Allocation'!$B$2:$C$37,2,FALSE)</f>
        <v>Analyst5</v>
      </c>
      <c r="I2632" s="4">
        <f t="shared" ca="1" si="41"/>
        <v>45203</v>
      </c>
      <c r="J2632" s="42">
        <f ca="1">TODAY()-qry_ProdData2_PDI_Cash_Exception_Application[[#This Row],[INSERT DATE]]</f>
        <v>10.742928240739275</v>
      </c>
      <c r="K26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32">
        <f ca="1">qry_ProdData2_PDI_Cash_Exception_Application[[#This Row],[TODAY]]-qry_ProdData2_PDI_Cash_Exception_Application[[#This Row],[CHANGED ON]]</f>
        <v>8.7429282407392748</v>
      </c>
      <c r="M2632">
        <f ca="1">qry_ProdData2_PDI_Cash_Exception_Application[[#This Row],[TODAY]]-qry_ProdData2_PDI_Cash_Exception_Application[[#This Row],[CHANGED ON]]</f>
        <v>8.7429282407392748</v>
      </c>
      <c r="N2632">
        <f ca="1">qry_ProdData2_PDI_Cash_Exception_Application[[#This Row],[TODAY]]-qry_ProdData2_PDI_Cash_Exception_Application[[#This Row],[CHANGED ON]]</f>
        <v>8.7429282407392748</v>
      </c>
    </row>
    <row r="2633" spans="1:14" x14ac:dyDescent="0.35">
      <c r="A2633">
        <v>1032</v>
      </c>
      <c r="B2633" t="s">
        <v>86</v>
      </c>
      <c r="C2633" s="1">
        <v>45193.257071759261</v>
      </c>
      <c r="D2633" t="str">
        <f ca="1">VLOOKUP(qry_ProdData2_PDI_Cash_Exception_Application[[#This Row],[TYPE]],#REF!,2,FALSE)</f>
        <v>type13</v>
      </c>
      <c r="E2633">
        <v>37174.46</v>
      </c>
      <c r="F2633" t="s">
        <v>50</v>
      </c>
      <c r="G2633" s="1">
        <f>qry_ProdData2_PDI_Cash_Exception_Application[[#This Row],[INSERT DATE]]+2</f>
        <v>45195.257071759261</v>
      </c>
      <c r="H2633" t="str">
        <f>VLOOKUP(qry_ProdData2_PDI_Cash_Exception_Application[[#This Row],[MARKET No]],'Site Allocation'!$B$2:$C$37,2,FALSE)</f>
        <v>Analyst6</v>
      </c>
      <c r="I2633" s="4">
        <f t="shared" ca="1" si="41"/>
        <v>45203</v>
      </c>
      <c r="J2633" s="42">
        <f ca="1">TODAY()-qry_ProdData2_PDI_Cash_Exception_Application[[#This Row],[INSERT DATE]]</f>
        <v>9.7429282407392748</v>
      </c>
      <c r="K26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33">
        <f ca="1">qry_ProdData2_PDI_Cash_Exception_Application[[#This Row],[TODAY]]-qry_ProdData2_PDI_Cash_Exception_Application[[#This Row],[CHANGED ON]]</f>
        <v>7.7429282407392748</v>
      </c>
      <c r="M2633">
        <f ca="1">qry_ProdData2_PDI_Cash_Exception_Application[[#This Row],[TODAY]]-qry_ProdData2_PDI_Cash_Exception_Application[[#This Row],[CHANGED ON]]</f>
        <v>7.7429282407392748</v>
      </c>
      <c r="N2633">
        <f ca="1">qry_ProdData2_PDI_Cash_Exception_Application[[#This Row],[TODAY]]-qry_ProdData2_PDI_Cash_Exception_Application[[#This Row],[CHANGED ON]]</f>
        <v>7.7429282407392748</v>
      </c>
    </row>
    <row r="2634" spans="1:14" x14ac:dyDescent="0.35">
      <c r="A2634">
        <v>1023</v>
      </c>
      <c r="B2634" t="s">
        <v>77</v>
      </c>
      <c r="C2634" s="1">
        <v>45187.257071759261</v>
      </c>
      <c r="D2634" t="str">
        <f ca="1">VLOOKUP(qry_ProdData2_PDI_Cash_Exception_Application[[#This Row],[TYPE]],#REF!,2,FALSE)</f>
        <v>type40</v>
      </c>
      <c r="E2634">
        <v>-845.87</v>
      </c>
      <c r="F2634" t="s">
        <v>51</v>
      </c>
      <c r="G2634" s="1">
        <f>qry_ProdData2_PDI_Cash_Exception_Application[[#This Row],[INSERT DATE]]+7</f>
        <v>45194.257071759261</v>
      </c>
      <c r="H2634" t="str">
        <f>VLOOKUP(qry_ProdData2_PDI_Cash_Exception_Application[[#This Row],[MARKET No]],'Site Allocation'!$B$2:$C$37,2,FALSE)</f>
        <v>Analyst4</v>
      </c>
      <c r="I2634" s="4">
        <f t="shared" ca="1" si="41"/>
        <v>45203</v>
      </c>
      <c r="J2634" s="42">
        <f ca="1">TODAY()-qry_ProdData2_PDI_Cash_Exception_Application[[#This Row],[INSERT DATE]]</f>
        <v>15.742928240739275</v>
      </c>
      <c r="K26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34">
        <f ca="1">qry_ProdData2_PDI_Cash_Exception_Application[[#This Row],[TODAY]]-qry_ProdData2_PDI_Cash_Exception_Application[[#This Row],[CHANGED ON]]</f>
        <v>8.7429282407392748</v>
      </c>
      <c r="M2634">
        <f ca="1">qry_ProdData2_PDI_Cash_Exception_Application[[#This Row],[TODAY]]-qry_ProdData2_PDI_Cash_Exception_Application[[#This Row],[CHANGED ON]]</f>
        <v>8.7429282407392748</v>
      </c>
      <c r="N2634">
        <f ca="1">qry_ProdData2_PDI_Cash_Exception_Application[[#This Row],[TODAY]]-qry_ProdData2_PDI_Cash_Exception_Application[[#This Row],[CHANGED ON]]</f>
        <v>8.7429282407392748</v>
      </c>
    </row>
    <row r="2635" spans="1:14" x14ac:dyDescent="0.35">
      <c r="A2635">
        <v>1020</v>
      </c>
      <c r="B2635" t="s">
        <v>74</v>
      </c>
      <c r="C2635" s="1">
        <v>45187.257071759261</v>
      </c>
      <c r="D2635" t="str">
        <f ca="1">VLOOKUP(qry_ProdData2_PDI_Cash_Exception_Application[[#This Row],[TYPE]],#REF!,2,FALSE)</f>
        <v>type40</v>
      </c>
      <c r="E2635">
        <v>-2753.51</v>
      </c>
      <c r="F2635" t="s">
        <v>48</v>
      </c>
      <c r="G2635" s="1">
        <f>qry_ProdData2_PDI_Cash_Exception_Application[[#This Row],[INSERT DATE]]+7</f>
        <v>45194.257071759261</v>
      </c>
      <c r="H2635" t="str">
        <f>VLOOKUP(qry_ProdData2_PDI_Cash_Exception_Application[[#This Row],[MARKET No]],'Site Allocation'!$B$2:$C$37,2,FALSE)</f>
        <v>Analyst4</v>
      </c>
      <c r="I2635" s="4">
        <f t="shared" ca="1" si="41"/>
        <v>45203</v>
      </c>
      <c r="J2635" s="42">
        <f ca="1">TODAY()-qry_ProdData2_PDI_Cash_Exception_Application[[#This Row],[INSERT DATE]]</f>
        <v>15.742928240739275</v>
      </c>
      <c r="K26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35">
        <f ca="1">qry_ProdData2_PDI_Cash_Exception_Application[[#This Row],[TODAY]]-qry_ProdData2_PDI_Cash_Exception_Application[[#This Row],[CHANGED ON]]</f>
        <v>8.7429282407392748</v>
      </c>
      <c r="M2635">
        <f ca="1">qry_ProdData2_PDI_Cash_Exception_Application[[#This Row],[TODAY]]-qry_ProdData2_PDI_Cash_Exception_Application[[#This Row],[CHANGED ON]]</f>
        <v>8.7429282407392748</v>
      </c>
      <c r="N2635">
        <f ca="1">qry_ProdData2_PDI_Cash_Exception_Application[[#This Row],[TODAY]]-qry_ProdData2_PDI_Cash_Exception_Application[[#This Row],[CHANGED ON]]</f>
        <v>8.7429282407392748</v>
      </c>
    </row>
    <row r="2636" spans="1:14" x14ac:dyDescent="0.35">
      <c r="A2636">
        <v>1003</v>
      </c>
      <c r="B2636" t="s">
        <v>57</v>
      </c>
      <c r="C2636" s="1">
        <v>45196.257071759261</v>
      </c>
      <c r="D2636" t="str">
        <f ca="1">VLOOKUP(qry_ProdData2_PDI_Cash_Exception_Application[[#This Row],[TYPE]],#REF!,2,FALSE)</f>
        <v>type40</v>
      </c>
      <c r="E2636">
        <v>-521.65</v>
      </c>
      <c r="G2636" s="1">
        <f>qry_ProdData2_PDI_Cash_Exception_Application[[#This Row],[INSERT DATE]]+5</f>
        <v>45201.257071759261</v>
      </c>
      <c r="H2636" t="str">
        <f>VLOOKUP(qry_ProdData2_PDI_Cash_Exception_Application[[#This Row],[MARKET No]],'Site Allocation'!$B$2:$C$37,2,FALSE)</f>
        <v>Analyst1</v>
      </c>
      <c r="I2636" s="4">
        <f t="shared" ca="1" si="41"/>
        <v>45203</v>
      </c>
      <c r="J2636" s="42">
        <f ca="1">TODAY()-qry_ProdData2_PDI_Cash_Exception_Application[[#This Row],[INSERT DATE]]</f>
        <v>6.7429282407392748</v>
      </c>
      <c r="K26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636">
        <f ca="1">qry_ProdData2_PDI_Cash_Exception_Application[[#This Row],[TODAY]]-qry_ProdData2_PDI_Cash_Exception_Application[[#This Row],[CHANGED ON]]</f>
        <v>1.7429282407392748</v>
      </c>
      <c r="M2636">
        <f ca="1">qry_ProdData2_PDI_Cash_Exception_Application[[#This Row],[TODAY]]-qry_ProdData2_PDI_Cash_Exception_Application[[#This Row],[CHANGED ON]]</f>
        <v>1.7429282407392748</v>
      </c>
      <c r="N2636">
        <f ca="1">qry_ProdData2_PDI_Cash_Exception_Application[[#This Row],[TODAY]]-qry_ProdData2_PDI_Cash_Exception_Application[[#This Row],[CHANGED ON]]</f>
        <v>1.7429282407392748</v>
      </c>
    </row>
    <row r="2637" spans="1:14" x14ac:dyDescent="0.35">
      <c r="A2637">
        <v>1029</v>
      </c>
      <c r="B2637" t="s">
        <v>83</v>
      </c>
      <c r="C2637" s="1">
        <v>45185.257071759261</v>
      </c>
      <c r="D2637" t="str">
        <f ca="1">VLOOKUP(qry_ProdData2_PDI_Cash_Exception_Application[[#This Row],[TYPE]],#REF!,2,FALSE)</f>
        <v>type40</v>
      </c>
      <c r="E2637">
        <v>-351.56</v>
      </c>
      <c r="F2637" t="s">
        <v>49</v>
      </c>
      <c r="G2637" s="1">
        <f>qry_ProdData2_PDI_Cash_Exception_Application[[#This Row],[INSERT DATE]]+7</f>
        <v>45192.257071759261</v>
      </c>
      <c r="H2637" t="str">
        <f>VLOOKUP(qry_ProdData2_PDI_Cash_Exception_Application[[#This Row],[MARKET No]],'Site Allocation'!$B$2:$C$37,2,FALSE)</f>
        <v>Analyst5</v>
      </c>
      <c r="I2637" s="4">
        <f t="shared" ca="1" si="41"/>
        <v>45203</v>
      </c>
      <c r="J2637" s="42">
        <f ca="1">TODAY()-qry_ProdData2_PDI_Cash_Exception_Application[[#This Row],[INSERT DATE]]</f>
        <v>17.742928240739275</v>
      </c>
      <c r="K26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37">
        <f ca="1">qry_ProdData2_PDI_Cash_Exception_Application[[#This Row],[TODAY]]-qry_ProdData2_PDI_Cash_Exception_Application[[#This Row],[CHANGED ON]]</f>
        <v>10.742928240739275</v>
      </c>
      <c r="M2637">
        <f ca="1">qry_ProdData2_PDI_Cash_Exception_Application[[#This Row],[TODAY]]-qry_ProdData2_PDI_Cash_Exception_Application[[#This Row],[CHANGED ON]]</f>
        <v>10.742928240739275</v>
      </c>
      <c r="N2637">
        <f ca="1">qry_ProdData2_PDI_Cash_Exception_Application[[#This Row],[TODAY]]-qry_ProdData2_PDI_Cash_Exception_Application[[#This Row],[CHANGED ON]]</f>
        <v>10.742928240739275</v>
      </c>
    </row>
    <row r="2638" spans="1:14" x14ac:dyDescent="0.35">
      <c r="A2638">
        <v>1027</v>
      </c>
      <c r="B2638" t="s">
        <v>81</v>
      </c>
      <c r="C2638" s="1">
        <v>45179.257071759261</v>
      </c>
      <c r="D2638" t="str">
        <f ca="1">VLOOKUP(qry_ProdData2_PDI_Cash_Exception_Application[[#This Row],[TYPE]],#REF!,2,FALSE)</f>
        <v>type13</v>
      </c>
      <c r="E2638">
        <v>26974.57</v>
      </c>
      <c r="F2638" t="s">
        <v>52</v>
      </c>
      <c r="G2638" s="1">
        <f>qry_ProdData2_PDI_Cash_Exception_Application[[#This Row],[INSERT DATE]]+2</f>
        <v>45181.257071759261</v>
      </c>
      <c r="H2638" t="str">
        <f>VLOOKUP(qry_ProdData2_PDI_Cash_Exception_Application[[#This Row],[MARKET No]],'Site Allocation'!$B$2:$C$37,2,FALSE)</f>
        <v>Analyst5</v>
      </c>
      <c r="I2638" s="4">
        <f t="shared" ca="1" si="41"/>
        <v>45203</v>
      </c>
      <c r="J2638" s="42">
        <f ca="1">TODAY()-qry_ProdData2_PDI_Cash_Exception_Application[[#This Row],[INSERT DATE]]</f>
        <v>23.742928240739275</v>
      </c>
      <c r="K26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38">
        <f ca="1">qry_ProdData2_PDI_Cash_Exception_Application[[#This Row],[TODAY]]-qry_ProdData2_PDI_Cash_Exception_Application[[#This Row],[CHANGED ON]]</f>
        <v>21.742928240739275</v>
      </c>
      <c r="M2638">
        <f ca="1">qry_ProdData2_PDI_Cash_Exception_Application[[#This Row],[TODAY]]-qry_ProdData2_PDI_Cash_Exception_Application[[#This Row],[CHANGED ON]]</f>
        <v>21.742928240739275</v>
      </c>
      <c r="N2638">
        <f ca="1">qry_ProdData2_PDI_Cash_Exception_Application[[#This Row],[TODAY]]-qry_ProdData2_PDI_Cash_Exception_Application[[#This Row],[CHANGED ON]]</f>
        <v>21.742928240739275</v>
      </c>
    </row>
    <row r="2639" spans="1:14" x14ac:dyDescent="0.35">
      <c r="A2639">
        <v>1019</v>
      </c>
      <c r="B2639" t="s">
        <v>73</v>
      </c>
      <c r="C2639" s="1">
        <v>45190.257071759261</v>
      </c>
      <c r="D2639" t="str">
        <f ca="1">VLOOKUP(qry_ProdData2_PDI_Cash_Exception_Application[[#This Row],[TYPE]],#REF!,2,FALSE)</f>
        <v>type40</v>
      </c>
      <c r="E2639">
        <v>-305.95999999999998</v>
      </c>
      <c r="F2639" t="s">
        <v>51</v>
      </c>
      <c r="G2639" s="1">
        <f>qry_ProdData2_PDI_Cash_Exception_Application[[#This Row],[INSERT DATE]]+1</f>
        <v>45191.257071759261</v>
      </c>
      <c r="H2639" t="str">
        <f>VLOOKUP(qry_ProdData2_PDI_Cash_Exception_Application[[#This Row],[MARKET No]],'Site Allocation'!$B$2:$C$37,2,FALSE)</f>
        <v>Analyst4</v>
      </c>
      <c r="I2639" s="4">
        <f t="shared" ca="1" si="41"/>
        <v>45203</v>
      </c>
      <c r="J2639" s="42">
        <f ca="1">TODAY()-qry_ProdData2_PDI_Cash_Exception_Application[[#This Row],[INSERT DATE]]</f>
        <v>12.742928240739275</v>
      </c>
      <c r="K26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39">
        <f ca="1">qry_ProdData2_PDI_Cash_Exception_Application[[#This Row],[TODAY]]-qry_ProdData2_PDI_Cash_Exception_Application[[#This Row],[CHANGED ON]]</f>
        <v>11.742928240739275</v>
      </c>
      <c r="M2639">
        <f ca="1">qry_ProdData2_PDI_Cash_Exception_Application[[#This Row],[TODAY]]-qry_ProdData2_PDI_Cash_Exception_Application[[#This Row],[CHANGED ON]]</f>
        <v>11.742928240739275</v>
      </c>
      <c r="N2639">
        <f ca="1">qry_ProdData2_PDI_Cash_Exception_Application[[#This Row],[TODAY]]-qry_ProdData2_PDI_Cash_Exception_Application[[#This Row],[CHANGED ON]]</f>
        <v>11.742928240739275</v>
      </c>
    </row>
    <row r="2640" spans="1:14" x14ac:dyDescent="0.35">
      <c r="A2640">
        <v>1030</v>
      </c>
      <c r="B2640" t="s">
        <v>84</v>
      </c>
      <c r="C2640" s="1">
        <v>45181.257071759261</v>
      </c>
      <c r="D2640" t="str">
        <f ca="1">VLOOKUP(qry_ProdData2_PDI_Cash_Exception_Application[[#This Row],[TYPE]],#REF!,2,FALSE)</f>
        <v>type40</v>
      </c>
      <c r="E2640">
        <v>5775.83</v>
      </c>
      <c r="F2640" t="s">
        <v>52</v>
      </c>
      <c r="G2640" s="1">
        <f>qry_ProdData2_PDI_Cash_Exception_Application[[#This Row],[INSERT DATE]]+2</f>
        <v>45183.257071759261</v>
      </c>
      <c r="H2640" t="str">
        <f>VLOOKUP(qry_ProdData2_PDI_Cash_Exception_Application[[#This Row],[MARKET No]],'Site Allocation'!$B$2:$C$37,2,FALSE)</f>
        <v>Analyst6</v>
      </c>
      <c r="I2640" s="4">
        <f t="shared" ca="1" si="41"/>
        <v>45203</v>
      </c>
      <c r="J2640" s="42">
        <f ca="1">TODAY()-qry_ProdData2_PDI_Cash_Exception_Application[[#This Row],[INSERT DATE]]</f>
        <v>21.742928240739275</v>
      </c>
      <c r="K26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40">
        <f ca="1">qry_ProdData2_PDI_Cash_Exception_Application[[#This Row],[TODAY]]-qry_ProdData2_PDI_Cash_Exception_Application[[#This Row],[CHANGED ON]]</f>
        <v>19.742928240739275</v>
      </c>
      <c r="M2640">
        <f ca="1">qry_ProdData2_PDI_Cash_Exception_Application[[#This Row],[TODAY]]-qry_ProdData2_PDI_Cash_Exception_Application[[#This Row],[CHANGED ON]]</f>
        <v>19.742928240739275</v>
      </c>
      <c r="N2640">
        <f ca="1">qry_ProdData2_PDI_Cash_Exception_Application[[#This Row],[TODAY]]-qry_ProdData2_PDI_Cash_Exception_Application[[#This Row],[CHANGED ON]]</f>
        <v>19.742928240739275</v>
      </c>
    </row>
    <row r="2641" spans="1:14" x14ac:dyDescent="0.35">
      <c r="A2641">
        <v>1014</v>
      </c>
      <c r="B2641" t="s">
        <v>68</v>
      </c>
      <c r="C2641" s="1">
        <v>45182.257071759261</v>
      </c>
      <c r="D2641" t="str">
        <f ca="1">VLOOKUP(qry_ProdData2_PDI_Cash_Exception_Application[[#This Row],[TYPE]],#REF!,2,FALSE)</f>
        <v>type40</v>
      </c>
      <c r="E2641">
        <v>3692.98</v>
      </c>
      <c r="F2641" t="s">
        <v>50</v>
      </c>
      <c r="G2641" s="1">
        <f>qry_ProdData2_PDI_Cash_Exception_Application[[#This Row],[INSERT DATE]]+2</f>
        <v>45184.257071759261</v>
      </c>
      <c r="H2641" t="str">
        <f>VLOOKUP(qry_ProdData2_PDI_Cash_Exception_Application[[#This Row],[MARKET No]],'Site Allocation'!$B$2:$C$37,2,FALSE)</f>
        <v>Analyst3</v>
      </c>
      <c r="I2641" s="4">
        <f t="shared" ca="1" si="41"/>
        <v>45203</v>
      </c>
      <c r="J2641" s="42">
        <f ca="1">TODAY()-qry_ProdData2_PDI_Cash_Exception_Application[[#This Row],[INSERT DATE]]</f>
        <v>20.742928240739275</v>
      </c>
      <c r="K26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41">
        <f ca="1">qry_ProdData2_PDI_Cash_Exception_Application[[#This Row],[TODAY]]-qry_ProdData2_PDI_Cash_Exception_Application[[#This Row],[CHANGED ON]]</f>
        <v>18.742928240739275</v>
      </c>
      <c r="M2641">
        <f ca="1">qry_ProdData2_PDI_Cash_Exception_Application[[#This Row],[TODAY]]-qry_ProdData2_PDI_Cash_Exception_Application[[#This Row],[CHANGED ON]]</f>
        <v>18.742928240739275</v>
      </c>
      <c r="N2641">
        <f ca="1">qry_ProdData2_PDI_Cash_Exception_Application[[#This Row],[TODAY]]-qry_ProdData2_PDI_Cash_Exception_Application[[#This Row],[CHANGED ON]]</f>
        <v>18.742928240739275</v>
      </c>
    </row>
    <row r="2642" spans="1:14" x14ac:dyDescent="0.35">
      <c r="A2642">
        <v>1032</v>
      </c>
      <c r="B2642" t="s">
        <v>86</v>
      </c>
      <c r="C2642" s="1">
        <v>45187.257071759261</v>
      </c>
      <c r="D2642" t="str">
        <f ca="1">VLOOKUP(qry_ProdData2_PDI_Cash_Exception_Application[[#This Row],[TYPE]],#REF!,2,FALSE)</f>
        <v>type13</v>
      </c>
      <c r="E2642">
        <v>25607.39</v>
      </c>
      <c r="F2642" t="s">
        <v>49</v>
      </c>
      <c r="G2642" s="1">
        <f>qry_ProdData2_PDI_Cash_Exception_Application[[#This Row],[INSERT DATE]]+1</f>
        <v>45188.257071759261</v>
      </c>
      <c r="H2642" t="str">
        <f>VLOOKUP(qry_ProdData2_PDI_Cash_Exception_Application[[#This Row],[MARKET No]],'Site Allocation'!$B$2:$C$37,2,FALSE)</f>
        <v>Analyst6</v>
      </c>
      <c r="I2642" s="4">
        <f t="shared" ca="1" si="41"/>
        <v>45203</v>
      </c>
      <c r="J2642" s="42">
        <f ca="1">TODAY()-qry_ProdData2_PDI_Cash_Exception_Application[[#This Row],[INSERT DATE]]</f>
        <v>15.742928240739275</v>
      </c>
      <c r="K26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42">
        <f ca="1">qry_ProdData2_PDI_Cash_Exception_Application[[#This Row],[TODAY]]-qry_ProdData2_PDI_Cash_Exception_Application[[#This Row],[CHANGED ON]]</f>
        <v>14.742928240739275</v>
      </c>
      <c r="M2642">
        <f ca="1">qry_ProdData2_PDI_Cash_Exception_Application[[#This Row],[TODAY]]-qry_ProdData2_PDI_Cash_Exception_Application[[#This Row],[CHANGED ON]]</f>
        <v>14.742928240739275</v>
      </c>
      <c r="N2642">
        <f ca="1">qry_ProdData2_PDI_Cash_Exception_Application[[#This Row],[TODAY]]-qry_ProdData2_PDI_Cash_Exception_Application[[#This Row],[CHANGED ON]]</f>
        <v>14.742928240739275</v>
      </c>
    </row>
    <row r="2643" spans="1:14" x14ac:dyDescent="0.35">
      <c r="A2643">
        <v>1027</v>
      </c>
      <c r="B2643" t="s">
        <v>81</v>
      </c>
      <c r="C2643" s="1">
        <v>45183.257071759261</v>
      </c>
      <c r="D2643" t="str">
        <f ca="1">VLOOKUP(qry_ProdData2_PDI_Cash_Exception_Application[[#This Row],[TYPE]],#REF!,2,FALSE)</f>
        <v>type40</v>
      </c>
      <c r="E2643">
        <v>-317.26</v>
      </c>
      <c r="F2643" t="s">
        <v>50</v>
      </c>
      <c r="G2643" s="1">
        <f>qry_ProdData2_PDI_Cash_Exception_Application[[#This Row],[INSERT DATE]]+5</f>
        <v>45188.257071759261</v>
      </c>
      <c r="H2643" t="str">
        <f>VLOOKUP(qry_ProdData2_PDI_Cash_Exception_Application[[#This Row],[MARKET No]],'Site Allocation'!$B$2:$C$37,2,FALSE)</f>
        <v>Analyst5</v>
      </c>
      <c r="I2643" s="4">
        <f t="shared" ca="1" si="41"/>
        <v>45203</v>
      </c>
      <c r="J2643" s="42">
        <f ca="1">TODAY()-qry_ProdData2_PDI_Cash_Exception_Application[[#This Row],[INSERT DATE]]</f>
        <v>19.742928240739275</v>
      </c>
      <c r="K26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43">
        <f ca="1">qry_ProdData2_PDI_Cash_Exception_Application[[#This Row],[TODAY]]-qry_ProdData2_PDI_Cash_Exception_Application[[#This Row],[CHANGED ON]]</f>
        <v>14.742928240739275</v>
      </c>
      <c r="M2643">
        <f ca="1">qry_ProdData2_PDI_Cash_Exception_Application[[#This Row],[TODAY]]-qry_ProdData2_PDI_Cash_Exception_Application[[#This Row],[CHANGED ON]]</f>
        <v>14.742928240739275</v>
      </c>
      <c r="N2643">
        <f ca="1">qry_ProdData2_PDI_Cash_Exception_Application[[#This Row],[TODAY]]-qry_ProdData2_PDI_Cash_Exception_Application[[#This Row],[CHANGED ON]]</f>
        <v>14.742928240739275</v>
      </c>
    </row>
    <row r="2644" spans="1:14" x14ac:dyDescent="0.35">
      <c r="A2644">
        <v>1021</v>
      </c>
      <c r="B2644" t="s">
        <v>75</v>
      </c>
      <c r="C2644" s="1">
        <v>45189.257071759261</v>
      </c>
      <c r="D2644" t="str">
        <f ca="1">VLOOKUP(qry_ProdData2_PDI_Cash_Exception_Application[[#This Row],[TYPE]],#REF!,2,FALSE)</f>
        <v>type18</v>
      </c>
      <c r="E2644">
        <v>518643.8</v>
      </c>
      <c r="F2644" t="s">
        <v>48</v>
      </c>
      <c r="G2644" s="1">
        <f>qry_ProdData2_PDI_Cash_Exception_Application[[#This Row],[INSERT DATE]]+7</f>
        <v>45196.257071759261</v>
      </c>
      <c r="H2644" t="str">
        <f>VLOOKUP(qry_ProdData2_PDI_Cash_Exception_Application[[#This Row],[MARKET No]],'Site Allocation'!$B$2:$C$37,2,FALSE)</f>
        <v>Analyst4</v>
      </c>
      <c r="I2644" s="4">
        <f t="shared" ca="1" si="41"/>
        <v>45203</v>
      </c>
      <c r="J2644" s="42">
        <f ca="1">TODAY()-qry_ProdData2_PDI_Cash_Exception_Application[[#This Row],[INSERT DATE]]</f>
        <v>13.742928240739275</v>
      </c>
      <c r="K26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44">
        <f ca="1">qry_ProdData2_PDI_Cash_Exception_Application[[#This Row],[TODAY]]-qry_ProdData2_PDI_Cash_Exception_Application[[#This Row],[CHANGED ON]]</f>
        <v>6.7429282407392748</v>
      </c>
      <c r="M2644">
        <f ca="1">qry_ProdData2_PDI_Cash_Exception_Application[[#This Row],[TODAY]]-qry_ProdData2_PDI_Cash_Exception_Application[[#This Row],[CHANGED ON]]</f>
        <v>6.7429282407392748</v>
      </c>
      <c r="N2644">
        <f ca="1">qry_ProdData2_PDI_Cash_Exception_Application[[#This Row],[TODAY]]-qry_ProdData2_PDI_Cash_Exception_Application[[#This Row],[CHANGED ON]]</f>
        <v>6.7429282407392748</v>
      </c>
    </row>
    <row r="2645" spans="1:14" x14ac:dyDescent="0.35">
      <c r="A2645">
        <v>1024</v>
      </c>
      <c r="B2645" t="s">
        <v>78</v>
      </c>
      <c r="C2645" s="1">
        <v>45183.257071759261</v>
      </c>
      <c r="D2645" t="str">
        <f ca="1">VLOOKUP(qry_ProdData2_PDI_Cash_Exception_Application[[#This Row],[TYPE]],#REF!,2,FALSE)</f>
        <v>type13</v>
      </c>
      <c r="E2645">
        <v>13908.5</v>
      </c>
      <c r="F2645" t="str">
        <f>qry_ProdData2_PDI_Cash_Exception_Application[[#This Row],[ANALYST]]</f>
        <v>Analyst5</v>
      </c>
      <c r="G2645" s="1">
        <f>qry_ProdData2_PDI_Cash_Exception_Application[[#This Row],[INSERT DATE]]+1</f>
        <v>45184.257071759261</v>
      </c>
      <c r="H2645" t="str">
        <f>VLOOKUP(qry_ProdData2_PDI_Cash_Exception_Application[[#This Row],[MARKET No]],'Site Allocation'!$B$2:$C$37,2,FALSE)</f>
        <v>Analyst5</v>
      </c>
      <c r="I2645" s="4">
        <f t="shared" ca="1" si="41"/>
        <v>45203</v>
      </c>
      <c r="J2645" s="42">
        <f ca="1">TODAY()-qry_ProdData2_PDI_Cash_Exception_Application[[#This Row],[INSERT DATE]]</f>
        <v>19.742928240739275</v>
      </c>
      <c r="K26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45">
        <f ca="1">qry_ProdData2_PDI_Cash_Exception_Application[[#This Row],[TODAY]]-qry_ProdData2_PDI_Cash_Exception_Application[[#This Row],[CHANGED ON]]</f>
        <v>18.742928240739275</v>
      </c>
      <c r="M2645">
        <f ca="1">qry_ProdData2_PDI_Cash_Exception_Application[[#This Row],[TODAY]]-qry_ProdData2_PDI_Cash_Exception_Application[[#This Row],[CHANGED ON]]</f>
        <v>18.742928240739275</v>
      </c>
      <c r="N2645">
        <f ca="1">qry_ProdData2_PDI_Cash_Exception_Application[[#This Row],[TODAY]]-qry_ProdData2_PDI_Cash_Exception_Application[[#This Row],[CHANGED ON]]</f>
        <v>18.742928240739275</v>
      </c>
    </row>
    <row r="2646" spans="1:14" x14ac:dyDescent="0.35">
      <c r="A2646">
        <v>1015</v>
      </c>
      <c r="B2646" t="s">
        <v>69</v>
      </c>
      <c r="C2646" s="1">
        <v>45197.257071759261</v>
      </c>
      <c r="D2646" t="str">
        <f ca="1">VLOOKUP(qry_ProdData2_PDI_Cash_Exception_Application[[#This Row],[TYPE]],#REF!,2,FALSE)</f>
        <v>type40</v>
      </c>
      <c r="E2646">
        <v>-24285.61</v>
      </c>
      <c r="G2646" s="1">
        <f>qry_ProdData2_PDI_Cash_Exception_Application[[#This Row],[INSERT DATE]]+7</f>
        <v>45204.257071759261</v>
      </c>
      <c r="H2646" t="str">
        <f>VLOOKUP(qry_ProdData2_PDI_Cash_Exception_Application[[#This Row],[MARKET No]],'Site Allocation'!$B$2:$C$37,2,FALSE)</f>
        <v>Analyst3</v>
      </c>
      <c r="I2646" s="4">
        <f t="shared" ca="1" si="41"/>
        <v>45203</v>
      </c>
      <c r="J2646" s="42">
        <f ca="1">TODAY()-qry_ProdData2_PDI_Cash_Exception_Application[[#This Row],[INSERT DATE]]</f>
        <v>5.7429282407392748</v>
      </c>
      <c r="K26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646">
        <f ca="1">qry_ProdData2_PDI_Cash_Exception_Application[[#This Row],[TODAY]]-qry_ProdData2_PDI_Cash_Exception_Application[[#This Row],[CHANGED ON]]</f>
        <v>-1.2570717592607252</v>
      </c>
      <c r="M2646">
        <f ca="1">qry_ProdData2_PDI_Cash_Exception_Application[[#This Row],[TODAY]]-qry_ProdData2_PDI_Cash_Exception_Application[[#This Row],[CHANGED ON]]</f>
        <v>-1.2570717592607252</v>
      </c>
      <c r="N2646">
        <f ca="1">qry_ProdData2_PDI_Cash_Exception_Application[[#This Row],[TODAY]]-qry_ProdData2_PDI_Cash_Exception_Application[[#This Row],[CHANGED ON]]</f>
        <v>-1.2570717592607252</v>
      </c>
    </row>
    <row r="2647" spans="1:14" x14ac:dyDescent="0.35">
      <c r="A2647">
        <v>1021</v>
      </c>
      <c r="B2647" t="s">
        <v>75</v>
      </c>
      <c r="C2647" s="1">
        <v>45180.257071759261</v>
      </c>
      <c r="D2647" t="str">
        <f ca="1">VLOOKUP(qry_ProdData2_PDI_Cash_Exception_Application[[#This Row],[TYPE]],#REF!,2,FALSE)</f>
        <v>type30</v>
      </c>
      <c r="E2647">
        <v>271.77</v>
      </c>
      <c r="F2647" t="s">
        <v>49</v>
      </c>
      <c r="G2647" s="1">
        <f>qry_ProdData2_PDI_Cash_Exception_Application[[#This Row],[INSERT DATE]]+1</f>
        <v>45181.257071759261</v>
      </c>
      <c r="H2647" t="str">
        <f>VLOOKUP(qry_ProdData2_PDI_Cash_Exception_Application[[#This Row],[MARKET No]],'Site Allocation'!$B$2:$C$37,2,FALSE)</f>
        <v>Analyst4</v>
      </c>
      <c r="I2647" s="4">
        <f t="shared" ca="1" si="41"/>
        <v>45203</v>
      </c>
      <c r="J2647" s="42">
        <f ca="1">TODAY()-qry_ProdData2_PDI_Cash_Exception_Application[[#This Row],[INSERT DATE]]</f>
        <v>22.742928240739275</v>
      </c>
      <c r="K26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47">
        <f ca="1">qry_ProdData2_PDI_Cash_Exception_Application[[#This Row],[TODAY]]-qry_ProdData2_PDI_Cash_Exception_Application[[#This Row],[CHANGED ON]]</f>
        <v>21.742928240739275</v>
      </c>
      <c r="M2647">
        <f ca="1">qry_ProdData2_PDI_Cash_Exception_Application[[#This Row],[TODAY]]-qry_ProdData2_PDI_Cash_Exception_Application[[#This Row],[CHANGED ON]]</f>
        <v>21.742928240739275</v>
      </c>
      <c r="N2647">
        <f ca="1">qry_ProdData2_PDI_Cash_Exception_Application[[#This Row],[TODAY]]-qry_ProdData2_PDI_Cash_Exception_Application[[#This Row],[CHANGED ON]]</f>
        <v>21.742928240739275</v>
      </c>
    </row>
    <row r="2648" spans="1:14" x14ac:dyDescent="0.35">
      <c r="A2648">
        <v>1029</v>
      </c>
      <c r="B2648" t="s">
        <v>83</v>
      </c>
      <c r="C2648" s="1">
        <v>45197.257071759261</v>
      </c>
      <c r="D2648" t="str">
        <f ca="1">VLOOKUP(qry_ProdData2_PDI_Cash_Exception_Application[[#This Row],[TYPE]],#REF!,2,FALSE)</f>
        <v>type40</v>
      </c>
      <c r="E2648">
        <v>-3461.02</v>
      </c>
      <c r="G2648" s="1">
        <f>qry_ProdData2_PDI_Cash_Exception_Application[[#This Row],[INSERT DATE]]+1</f>
        <v>45198.257071759261</v>
      </c>
      <c r="H2648" t="str">
        <f>VLOOKUP(qry_ProdData2_PDI_Cash_Exception_Application[[#This Row],[MARKET No]],'Site Allocation'!$B$2:$C$37,2,FALSE)</f>
        <v>Analyst5</v>
      </c>
      <c r="I2648" s="4">
        <f t="shared" ca="1" si="41"/>
        <v>45203</v>
      </c>
      <c r="J2648" s="42">
        <f ca="1">TODAY()-qry_ProdData2_PDI_Cash_Exception_Application[[#This Row],[INSERT DATE]]</f>
        <v>5.7429282407392748</v>
      </c>
      <c r="K26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648">
        <f ca="1">qry_ProdData2_PDI_Cash_Exception_Application[[#This Row],[TODAY]]-qry_ProdData2_PDI_Cash_Exception_Application[[#This Row],[CHANGED ON]]</f>
        <v>4.7429282407392748</v>
      </c>
      <c r="M2648">
        <f ca="1">qry_ProdData2_PDI_Cash_Exception_Application[[#This Row],[TODAY]]-qry_ProdData2_PDI_Cash_Exception_Application[[#This Row],[CHANGED ON]]</f>
        <v>4.7429282407392748</v>
      </c>
      <c r="N2648">
        <f ca="1">qry_ProdData2_PDI_Cash_Exception_Application[[#This Row],[TODAY]]-qry_ProdData2_PDI_Cash_Exception_Application[[#This Row],[CHANGED ON]]</f>
        <v>4.7429282407392748</v>
      </c>
    </row>
    <row r="2649" spans="1:14" x14ac:dyDescent="0.35">
      <c r="A2649">
        <v>1024</v>
      </c>
      <c r="B2649" t="s">
        <v>78</v>
      </c>
      <c r="C2649" s="1">
        <v>45186.257071759261</v>
      </c>
      <c r="D2649" t="str">
        <f ca="1">VLOOKUP(qry_ProdData2_PDI_Cash_Exception_Application[[#This Row],[TYPE]],#REF!,2,FALSE)</f>
        <v>type13</v>
      </c>
      <c r="E2649">
        <v>13397.71</v>
      </c>
      <c r="F2649" t="s">
        <v>51</v>
      </c>
      <c r="G2649" s="1">
        <f>qry_ProdData2_PDI_Cash_Exception_Application[[#This Row],[INSERT DATE]]+2</f>
        <v>45188.257071759261</v>
      </c>
      <c r="H2649" t="str">
        <f>VLOOKUP(qry_ProdData2_PDI_Cash_Exception_Application[[#This Row],[MARKET No]],'Site Allocation'!$B$2:$C$37,2,FALSE)</f>
        <v>Analyst5</v>
      </c>
      <c r="I2649" s="4">
        <f t="shared" ca="1" si="41"/>
        <v>45203</v>
      </c>
      <c r="J2649" s="42">
        <f ca="1">TODAY()-qry_ProdData2_PDI_Cash_Exception_Application[[#This Row],[INSERT DATE]]</f>
        <v>16.742928240739275</v>
      </c>
      <c r="K26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49">
        <f ca="1">qry_ProdData2_PDI_Cash_Exception_Application[[#This Row],[TODAY]]-qry_ProdData2_PDI_Cash_Exception_Application[[#This Row],[CHANGED ON]]</f>
        <v>14.742928240739275</v>
      </c>
      <c r="M2649">
        <f ca="1">qry_ProdData2_PDI_Cash_Exception_Application[[#This Row],[TODAY]]-qry_ProdData2_PDI_Cash_Exception_Application[[#This Row],[CHANGED ON]]</f>
        <v>14.742928240739275</v>
      </c>
      <c r="N2649">
        <f ca="1">qry_ProdData2_PDI_Cash_Exception_Application[[#This Row],[TODAY]]-qry_ProdData2_PDI_Cash_Exception_Application[[#This Row],[CHANGED ON]]</f>
        <v>14.742928240739275</v>
      </c>
    </row>
    <row r="2650" spans="1:14" x14ac:dyDescent="0.35">
      <c r="A2650">
        <v>1018</v>
      </c>
      <c r="B2650" t="s">
        <v>72</v>
      </c>
      <c r="C2650" s="1">
        <v>45192.257071759261</v>
      </c>
      <c r="D2650" t="str">
        <f ca="1">VLOOKUP(qry_ProdData2_PDI_Cash_Exception_Application[[#This Row],[TYPE]],#REF!,2,FALSE)</f>
        <v>type13</v>
      </c>
      <c r="E2650">
        <v>40940.75</v>
      </c>
      <c r="F2650" t="s">
        <v>48</v>
      </c>
      <c r="G2650" s="1">
        <f>qry_ProdData2_PDI_Cash_Exception_Application[[#This Row],[INSERT DATE]]+1</f>
        <v>45193.257071759261</v>
      </c>
      <c r="H2650" t="str">
        <f>VLOOKUP(qry_ProdData2_PDI_Cash_Exception_Application[[#This Row],[MARKET No]],'Site Allocation'!$B$2:$C$37,2,FALSE)</f>
        <v>Analyst4</v>
      </c>
      <c r="I2650" s="4">
        <f t="shared" ca="1" si="41"/>
        <v>45203</v>
      </c>
      <c r="J2650" s="42">
        <f ca="1">TODAY()-qry_ProdData2_PDI_Cash_Exception_Application[[#This Row],[INSERT DATE]]</f>
        <v>10.742928240739275</v>
      </c>
      <c r="K26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50">
        <f ca="1">qry_ProdData2_PDI_Cash_Exception_Application[[#This Row],[TODAY]]-qry_ProdData2_PDI_Cash_Exception_Application[[#This Row],[CHANGED ON]]</f>
        <v>9.7429282407392748</v>
      </c>
      <c r="M2650">
        <f ca="1">qry_ProdData2_PDI_Cash_Exception_Application[[#This Row],[TODAY]]-qry_ProdData2_PDI_Cash_Exception_Application[[#This Row],[CHANGED ON]]</f>
        <v>9.7429282407392748</v>
      </c>
      <c r="N2650">
        <f ca="1">qry_ProdData2_PDI_Cash_Exception_Application[[#This Row],[TODAY]]-qry_ProdData2_PDI_Cash_Exception_Application[[#This Row],[CHANGED ON]]</f>
        <v>9.7429282407392748</v>
      </c>
    </row>
    <row r="2651" spans="1:14" x14ac:dyDescent="0.35">
      <c r="A2651">
        <v>1025</v>
      </c>
      <c r="B2651" t="s">
        <v>79</v>
      </c>
      <c r="C2651" s="1">
        <v>45182.257071759261</v>
      </c>
      <c r="D2651" t="str">
        <f ca="1">VLOOKUP(qry_ProdData2_PDI_Cash_Exception_Application[[#This Row],[TYPE]],#REF!,2,FALSE)</f>
        <v>type40</v>
      </c>
      <c r="E2651">
        <v>5.35</v>
      </c>
      <c r="F2651" t="str">
        <f>qry_ProdData2_PDI_Cash_Exception_Application[[#This Row],[ANALYST]]</f>
        <v>Analyst5</v>
      </c>
      <c r="G2651" s="1">
        <f>qry_ProdData2_PDI_Cash_Exception_Application[[#This Row],[INSERT DATE]]+2</f>
        <v>45184.257071759261</v>
      </c>
      <c r="H2651" t="str">
        <f>VLOOKUP(qry_ProdData2_PDI_Cash_Exception_Application[[#This Row],[MARKET No]],'Site Allocation'!$B$2:$C$37,2,FALSE)</f>
        <v>Analyst5</v>
      </c>
      <c r="I2651" s="4">
        <f t="shared" ca="1" si="41"/>
        <v>45203</v>
      </c>
      <c r="J2651" s="42">
        <f ca="1">TODAY()-qry_ProdData2_PDI_Cash_Exception_Application[[#This Row],[INSERT DATE]]</f>
        <v>20.742928240739275</v>
      </c>
      <c r="K26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51">
        <f ca="1">qry_ProdData2_PDI_Cash_Exception_Application[[#This Row],[TODAY]]-qry_ProdData2_PDI_Cash_Exception_Application[[#This Row],[CHANGED ON]]</f>
        <v>18.742928240739275</v>
      </c>
      <c r="M2651">
        <f ca="1">qry_ProdData2_PDI_Cash_Exception_Application[[#This Row],[TODAY]]-qry_ProdData2_PDI_Cash_Exception_Application[[#This Row],[CHANGED ON]]</f>
        <v>18.742928240739275</v>
      </c>
      <c r="N2651">
        <f ca="1">qry_ProdData2_PDI_Cash_Exception_Application[[#This Row],[TODAY]]-qry_ProdData2_PDI_Cash_Exception_Application[[#This Row],[CHANGED ON]]</f>
        <v>18.742928240739275</v>
      </c>
    </row>
    <row r="2652" spans="1:14" x14ac:dyDescent="0.35">
      <c r="A2652">
        <v>1002</v>
      </c>
      <c r="B2652" t="s">
        <v>56</v>
      </c>
      <c r="C2652" s="1">
        <v>45179.257071759261</v>
      </c>
      <c r="D2652" t="str">
        <f ca="1">VLOOKUP(qry_ProdData2_PDI_Cash_Exception_Application[[#This Row],[TYPE]],#REF!,2,FALSE)</f>
        <v>type33</v>
      </c>
      <c r="E2652">
        <v>781.35</v>
      </c>
      <c r="F2652" t="s">
        <v>48</v>
      </c>
      <c r="G2652" s="1">
        <f>qry_ProdData2_PDI_Cash_Exception_Application[[#This Row],[INSERT DATE]]+2</f>
        <v>45181.257071759261</v>
      </c>
      <c r="H2652" t="str">
        <f>VLOOKUP(qry_ProdData2_PDI_Cash_Exception_Application[[#This Row],[MARKET No]],'Site Allocation'!$B$2:$C$37,2,FALSE)</f>
        <v>Analyst1</v>
      </c>
      <c r="I2652" s="4">
        <f t="shared" ca="1" si="41"/>
        <v>45203</v>
      </c>
      <c r="J2652" s="42">
        <f ca="1">TODAY()-qry_ProdData2_PDI_Cash_Exception_Application[[#This Row],[INSERT DATE]]</f>
        <v>23.742928240739275</v>
      </c>
      <c r="K26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52">
        <f ca="1">qry_ProdData2_PDI_Cash_Exception_Application[[#This Row],[TODAY]]-qry_ProdData2_PDI_Cash_Exception_Application[[#This Row],[CHANGED ON]]</f>
        <v>21.742928240739275</v>
      </c>
      <c r="M2652">
        <f ca="1">qry_ProdData2_PDI_Cash_Exception_Application[[#This Row],[TODAY]]-qry_ProdData2_PDI_Cash_Exception_Application[[#This Row],[CHANGED ON]]</f>
        <v>21.742928240739275</v>
      </c>
      <c r="N2652">
        <f ca="1">qry_ProdData2_PDI_Cash_Exception_Application[[#This Row],[TODAY]]-qry_ProdData2_PDI_Cash_Exception_Application[[#This Row],[CHANGED ON]]</f>
        <v>21.742928240739275</v>
      </c>
    </row>
    <row r="2653" spans="1:14" x14ac:dyDescent="0.35">
      <c r="A2653">
        <v>1034</v>
      </c>
      <c r="B2653" t="s">
        <v>88</v>
      </c>
      <c r="C2653" s="1">
        <v>45191.257071759261</v>
      </c>
      <c r="D2653" t="str">
        <f ca="1">VLOOKUP(qry_ProdData2_PDI_Cash_Exception_Application[[#This Row],[TYPE]],#REF!,2,FALSE)</f>
        <v>type13</v>
      </c>
      <c r="E2653">
        <v>39836.400000000001</v>
      </c>
      <c r="F2653" t="s">
        <v>51</v>
      </c>
      <c r="G2653" s="1">
        <f>qry_ProdData2_PDI_Cash_Exception_Application[[#This Row],[INSERT DATE]]+2</f>
        <v>45193.257071759261</v>
      </c>
      <c r="H2653" t="str">
        <f>VLOOKUP(qry_ProdData2_PDI_Cash_Exception_Application[[#This Row],[MARKET No]],'Site Allocation'!$B$2:$C$37,2,FALSE)</f>
        <v>Analyst6</v>
      </c>
      <c r="I2653" s="4">
        <f t="shared" ca="1" si="41"/>
        <v>45203</v>
      </c>
      <c r="J2653" s="42">
        <f ca="1">TODAY()-qry_ProdData2_PDI_Cash_Exception_Application[[#This Row],[INSERT DATE]]</f>
        <v>11.742928240739275</v>
      </c>
      <c r="K26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53">
        <f ca="1">qry_ProdData2_PDI_Cash_Exception_Application[[#This Row],[TODAY]]-qry_ProdData2_PDI_Cash_Exception_Application[[#This Row],[CHANGED ON]]</f>
        <v>9.7429282407392748</v>
      </c>
      <c r="M2653">
        <f ca="1">qry_ProdData2_PDI_Cash_Exception_Application[[#This Row],[TODAY]]-qry_ProdData2_PDI_Cash_Exception_Application[[#This Row],[CHANGED ON]]</f>
        <v>9.7429282407392748</v>
      </c>
      <c r="N2653">
        <f ca="1">qry_ProdData2_PDI_Cash_Exception_Application[[#This Row],[TODAY]]-qry_ProdData2_PDI_Cash_Exception_Application[[#This Row],[CHANGED ON]]</f>
        <v>9.7429282407392748</v>
      </c>
    </row>
    <row r="2654" spans="1:14" x14ac:dyDescent="0.35">
      <c r="A2654">
        <v>1025</v>
      </c>
      <c r="B2654" t="s">
        <v>79</v>
      </c>
      <c r="C2654" s="1">
        <v>45197.257071759261</v>
      </c>
      <c r="D2654" t="str">
        <f ca="1">VLOOKUP(qry_ProdData2_PDI_Cash_Exception_Application[[#This Row],[TYPE]],#REF!,2,FALSE)</f>
        <v>type40</v>
      </c>
      <c r="E2654">
        <v>-663.26</v>
      </c>
      <c r="G2654" s="1">
        <f>qry_ProdData2_PDI_Cash_Exception_Application[[#This Row],[INSERT DATE]]+7</f>
        <v>45204.257071759261</v>
      </c>
      <c r="H2654" t="str">
        <f>VLOOKUP(qry_ProdData2_PDI_Cash_Exception_Application[[#This Row],[MARKET No]],'Site Allocation'!$B$2:$C$37,2,FALSE)</f>
        <v>Analyst5</v>
      </c>
      <c r="I2654" s="4">
        <f t="shared" ca="1" si="41"/>
        <v>45203</v>
      </c>
      <c r="J2654" s="42">
        <f ca="1">TODAY()-qry_ProdData2_PDI_Cash_Exception_Application[[#This Row],[INSERT DATE]]</f>
        <v>5.7429282407392748</v>
      </c>
      <c r="K26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654">
        <f ca="1">qry_ProdData2_PDI_Cash_Exception_Application[[#This Row],[TODAY]]-qry_ProdData2_PDI_Cash_Exception_Application[[#This Row],[CHANGED ON]]</f>
        <v>-1.2570717592607252</v>
      </c>
      <c r="M2654">
        <f ca="1">qry_ProdData2_PDI_Cash_Exception_Application[[#This Row],[TODAY]]-qry_ProdData2_PDI_Cash_Exception_Application[[#This Row],[CHANGED ON]]</f>
        <v>-1.2570717592607252</v>
      </c>
      <c r="N2654">
        <f ca="1">qry_ProdData2_PDI_Cash_Exception_Application[[#This Row],[TODAY]]-qry_ProdData2_PDI_Cash_Exception_Application[[#This Row],[CHANGED ON]]</f>
        <v>-1.2570717592607252</v>
      </c>
    </row>
    <row r="2655" spans="1:14" x14ac:dyDescent="0.35">
      <c r="A2655">
        <v>1035</v>
      </c>
      <c r="B2655" t="s">
        <v>89</v>
      </c>
      <c r="C2655" s="1">
        <v>45190.257071759261</v>
      </c>
      <c r="D2655" t="str">
        <f ca="1">VLOOKUP(qry_ProdData2_PDI_Cash_Exception_Application[[#This Row],[TYPE]],#REF!,2,FALSE)</f>
        <v>type40</v>
      </c>
      <c r="E2655">
        <v>-634.08000000000004</v>
      </c>
      <c r="F2655" t="s">
        <v>52</v>
      </c>
      <c r="G2655" s="1">
        <f>qry_ProdData2_PDI_Cash_Exception_Application[[#This Row],[INSERT DATE]]+7</f>
        <v>45197.257071759261</v>
      </c>
      <c r="H2655" t="str">
        <f>VLOOKUP(qry_ProdData2_PDI_Cash_Exception_Application[[#This Row],[MARKET No]],'Site Allocation'!$B$2:$C$37,2,FALSE)</f>
        <v>Analyst6</v>
      </c>
      <c r="I2655" s="4">
        <f t="shared" ca="1" si="41"/>
        <v>45203</v>
      </c>
      <c r="J2655" s="42">
        <f ca="1">TODAY()-qry_ProdData2_PDI_Cash_Exception_Application[[#This Row],[INSERT DATE]]</f>
        <v>12.742928240739275</v>
      </c>
      <c r="K26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55">
        <f ca="1">qry_ProdData2_PDI_Cash_Exception_Application[[#This Row],[TODAY]]-qry_ProdData2_PDI_Cash_Exception_Application[[#This Row],[CHANGED ON]]</f>
        <v>5.7429282407392748</v>
      </c>
      <c r="M2655">
        <f ca="1">qry_ProdData2_PDI_Cash_Exception_Application[[#This Row],[TODAY]]-qry_ProdData2_PDI_Cash_Exception_Application[[#This Row],[CHANGED ON]]</f>
        <v>5.7429282407392748</v>
      </c>
      <c r="N2655">
        <f ca="1">qry_ProdData2_PDI_Cash_Exception_Application[[#This Row],[TODAY]]-qry_ProdData2_PDI_Cash_Exception_Application[[#This Row],[CHANGED ON]]</f>
        <v>5.7429282407392748</v>
      </c>
    </row>
    <row r="2656" spans="1:14" x14ac:dyDescent="0.35">
      <c r="A2656">
        <v>1003</v>
      </c>
      <c r="B2656" t="s">
        <v>57</v>
      </c>
      <c r="C2656" s="1">
        <v>45197.257071759261</v>
      </c>
      <c r="D2656" t="str">
        <f ca="1">VLOOKUP(qry_ProdData2_PDI_Cash_Exception_Application[[#This Row],[TYPE]],#REF!,2,FALSE)</f>
        <v>type40</v>
      </c>
      <c r="E2656">
        <v>312.32</v>
      </c>
      <c r="G2656" s="1">
        <f>qry_ProdData2_PDI_Cash_Exception_Application[[#This Row],[INSERT DATE]]+1</f>
        <v>45198.257071759261</v>
      </c>
      <c r="H2656" t="str">
        <f>VLOOKUP(qry_ProdData2_PDI_Cash_Exception_Application[[#This Row],[MARKET No]],'Site Allocation'!$B$2:$C$37,2,FALSE)</f>
        <v>Analyst1</v>
      </c>
      <c r="I2656" s="4">
        <f t="shared" ca="1" si="41"/>
        <v>45203</v>
      </c>
      <c r="J2656" s="42">
        <f ca="1">TODAY()-qry_ProdData2_PDI_Cash_Exception_Application[[#This Row],[INSERT DATE]]</f>
        <v>5.7429282407392748</v>
      </c>
      <c r="K26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656">
        <f ca="1">qry_ProdData2_PDI_Cash_Exception_Application[[#This Row],[TODAY]]-qry_ProdData2_PDI_Cash_Exception_Application[[#This Row],[CHANGED ON]]</f>
        <v>4.7429282407392748</v>
      </c>
      <c r="M2656">
        <f ca="1">qry_ProdData2_PDI_Cash_Exception_Application[[#This Row],[TODAY]]-qry_ProdData2_PDI_Cash_Exception_Application[[#This Row],[CHANGED ON]]</f>
        <v>4.7429282407392748</v>
      </c>
      <c r="N2656">
        <f ca="1">qry_ProdData2_PDI_Cash_Exception_Application[[#This Row],[TODAY]]-qry_ProdData2_PDI_Cash_Exception_Application[[#This Row],[CHANGED ON]]</f>
        <v>4.7429282407392748</v>
      </c>
    </row>
    <row r="2657" spans="1:14" x14ac:dyDescent="0.35">
      <c r="A2657">
        <v>1029</v>
      </c>
      <c r="B2657" t="s">
        <v>83</v>
      </c>
      <c r="C2657" s="1">
        <v>45186.257071759261</v>
      </c>
      <c r="D2657" t="str">
        <f ca="1">VLOOKUP(qry_ProdData2_PDI_Cash_Exception_Application[[#This Row],[TYPE]],#REF!,2,FALSE)</f>
        <v>type13</v>
      </c>
      <c r="E2657">
        <v>60335.22</v>
      </c>
      <c r="F2657" t="s">
        <v>51</v>
      </c>
      <c r="G2657" s="1">
        <f>qry_ProdData2_PDI_Cash_Exception_Application[[#This Row],[INSERT DATE]]+2</f>
        <v>45188.257071759261</v>
      </c>
      <c r="H2657" t="str">
        <f>VLOOKUP(qry_ProdData2_PDI_Cash_Exception_Application[[#This Row],[MARKET No]],'Site Allocation'!$B$2:$C$37,2,FALSE)</f>
        <v>Analyst5</v>
      </c>
      <c r="I2657" s="4">
        <f t="shared" ca="1" si="41"/>
        <v>45203</v>
      </c>
      <c r="J2657" s="42">
        <f ca="1">TODAY()-qry_ProdData2_PDI_Cash_Exception_Application[[#This Row],[INSERT DATE]]</f>
        <v>16.742928240739275</v>
      </c>
      <c r="K26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57">
        <f ca="1">qry_ProdData2_PDI_Cash_Exception_Application[[#This Row],[TODAY]]-qry_ProdData2_PDI_Cash_Exception_Application[[#This Row],[CHANGED ON]]</f>
        <v>14.742928240739275</v>
      </c>
      <c r="M2657">
        <f ca="1">qry_ProdData2_PDI_Cash_Exception_Application[[#This Row],[TODAY]]-qry_ProdData2_PDI_Cash_Exception_Application[[#This Row],[CHANGED ON]]</f>
        <v>14.742928240739275</v>
      </c>
      <c r="N2657">
        <f ca="1">qry_ProdData2_PDI_Cash_Exception_Application[[#This Row],[TODAY]]-qry_ProdData2_PDI_Cash_Exception_Application[[#This Row],[CHANGED ON]]</f>
        <v>14.742928240739275</v>
      </c>
    </row>
    <row r="2658" spans="1:14" x14ac:dyDescent="0.35">
      <c r="A2658">
        <v>1002</v>
      </c>
      <c r="B2658" t="s">
        <v>56</v>
      </c>
      <c r="C2658" s="1">
        <v>45197.257071759261</v>
      </c>
      <c r="D2658" t="str">
        <f ca="1">VLOOKUP(qry_ProdData2_PDI_Cash_Exception_Application[[#This Row],[TYPE]],#REF!,2,FALSE)</f>
        <v>type40</v>
      </c>
      <c r="E2658">
        <v>45</v>
      </c>
      <c r="G2658" s="1">
        <f>qry_ProdData2_PDI_Cash_Exception_Application[[#This Row],[INSERT DATE]]+2</f>
        <v>45199.257071759261</v>
      </c>
      <c r="H2658" t="str">
        <f>VLOOKUP(qry_ProdData2_PDI_Cash_Exception_Application[[#This Row],[MARKET No]],'Site Allocation'!$B$2:$C$37,2,FALSE)</f>
        <v>Analyst1</v>
      </c>
      <c r="I2658" s="4">
        <f t="shared" ca="1" si="41"/>
        <v>45203</v>
      </c>
      <c r="J2658" s="42">
        <f ca="1">TODAY()-qry_ProdData2_PDI_Cash_Exception_Application[[#This Row],[INSERT DATE]]</f>
        <v>5.7429282407392748</v>
      </c>
      <c r="K26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658">
        <f ca="1">qry_ProdData2_PDI_Cash_Exception_Application[[#This Row],[TODAY]]-qry_ProdData2_PDI_Cash_Exception_Application[[#This Row],[CHANGED ON]]</f>
        <v>3.7429282407392748</v>
      </c>
      <c r="M2658">
        <f ca="1">qry_ProdData2_PDI_Cash_Exception_Application[[#This Row],[TODAY]]-qry_ProdData2_PDI_Cash_Exception_Application[[#This Row],[CHANGED ON]]</f>
        <v>3.7429282407392748</v>
      </c>
      <c r="N2658">
        <f ca="1">qry_ProdData2_PDI_Cash_Exception_Application[[#This Row],[TODAY]]-qry_ProdData2_PDI_Cash_Exception_Application[[#This Row],[CHANGED ON]]</f>
        <v>3.7429282407392748</v>
      </c>
    </row>
    <row r="2659" spans="1:14" x14ac:dyDescent="0.35">
      <c r="A2659">
        <v>1028</v>
      </c>
      <c r="B2659" t="s">
        <v>82</v>
      </c>
      <c r="C2659" s="1">
        <v>45193.257071759261</v>
      </c>
      <c r="D2659" t="str">
        <f ca="1">VLOOKUP(qry_ProdData2_PDI_Cash_Exception_Application[[#This Row],[TYPE]],#REF!,2,FALSE)</f>
        <v>type13</v>
      </c>
      <c r="E2659">
        <v>26604.61</v>
      </c>
      <c r="F2659" t="s">
        <v>52</v>
      </c>
      <c r="G2659" s="1">
        <f>qry_ProdData2_PDI_Cash_Exception_Application[[#This Row],[INSERT DATE]]+7</f>
        <v>45200.257071759261</v>
      </c>
      <c r="H2659" t="str">
        <f>VLOOKUP(qry_ProdData2_PDI_Cash_Exception_Application[[#This Row],[MARKET No]],'Site Allocation'!$B$2:$C$37,2,FALSE)</f>
        <v>Analyst5</v>
      </c>
      <c r="I2659" s="4">
        <f t="shared" ca="1" si="41"/>
        <v>45203</v>
      </c>
      <c r="J2659" s="42">
        <f ca="1">TODAY()-qry_ProdData2_PDI_Cash_Exception_Application[[#This Row],[INSERT DATE]]</f>
        <v>9.7429282407392748</v>
      </c>
      <c r="K26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59">
        <f ca="1">qry_ProdData2_PDI_Cash_Exception_Application[[#This Row],[TODAY]]-qry_ProdData2_PDI_Cash_Exception_Application[[#This Row],[CHANGED ON]]</f>
        <v>2.7429282407392748</v>
      </c>
      <c r="M2659">
        <f ca="1">qry_ProdData2_PDI_Cash_Exception_Application[[#This Row],[TODAY]]-qry_ProdData2_PDI_Cash_Exception_Application[[#This Row],[CHANGED ON]]</f>
        <v>2.7429282407392748</v>
      </c>
      <c r="N2659">
        <f ca="1">qry_ProdData2_PDI_Cash_Exception_Application[[#This Row],[TODAY]]-qry_ProdData2_PDI_Cash_Exception_Application[[#This Row],[CHANGED ON]]</f>
        <v>2.7429282407392748</v>
      </c>
    </row>
    <row r="2660" spans="1:14" x14ac:dyDescent="0.35">
      <c r="A2660">
        <v>1001</v>
      </c>
      <c r="B2660" t="s">
        <v>55</v>
      </c>
      <c r="C2660" s="1">
        <v>45194.257071759261</v>
      </c>
      <c r="D2660" t="str">
        <f ca="1">VLOOKUP(qry_ProdData2_PDI_Cash_Exception_Application[[#This Row],[TYPE]],#REF!,2,FALSE)</f>
        <v>type40</v>
      </c>
      <c r="E2660">
        <v>-658.34</v>
      </c>
      <c r="F2660" t="s">
        <v>50</v>
      </c>
      <c r="G2660" s="1">
        <f>qry_ProdData2_PDI_Cash_Exception_Application[[#This Row],[INSERT DATE]]+7</f>
        <v>45201.257071759261</v>
      </c>
      <c r="H2660" t="str">
        <f>VLOOKUP(qry_ProdData2_PDI_Cash_Exception_Application[[#This Row],[MARKET No]],'Site Allocation'!$B$2:$C$37,2,FALSE)</f>
        <v>Analyst1</v>
      </c>
      <c r="I2660" s="4">
        <f t="shared" ca="1" si="41"/>
        <v>45203</v>
      </c>
      <c r="J2660" s="42">
        <f ca="1">TODAY()-qry_ProdData2_PDI_Cash_Exception_Application[[#This Row],[INSERT DATE]]</f>
        <v>8.7429282407392748</v>
      </c>
      <c r="K26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660">
        <f ca="1">qry_ProdData2_PDI_Cash_Exception_Application[[#This Row],[TODAY]]-qry_ProdData2_PDI_Cash_Exception_Application[[#This Row],[CHANGED ON]]</f>
        <v>1.7429282407392748</v>
      </c>
      <c r="M2660">
        <f ca="1">qry_ProdData2_PDI_Cash_Exception_Application[[#This Row],[TODAY]]-qry_ProdData2_PDI_Cash_Exception_Application[[#This Row],[CHANGED ON]]</f>
        <v>1.7429282407392748</v>
      </c>
      <c r="N2660">
        <f ca="1">qry_ProdData2_PDI_Cash_Exception_Application[[#This Row],[TODAY]]-qry_ProdData2_PDI_Cash_Exception_Application[[#This Row],[CHANGED ON]]</f>
        <v>1.7429282407392748</v>
      </c>
    </row>
    <row r="2661" spans="1:14" x14ac:dyDescent="0.35">
      <c r="A2661">
        <v>1027</v>
      </c>
      <c r="B2661" t="s">
        <v>81</v>
      </c>
      <c r="C2661" s="1">
        <v>45182.257071759261</v>
      </c>
      <c r="D2661" t="str">
        <f ca="1">VLOOKUP(qry_ProdData2_PDI_Cash_Exception_Application[[#This Row],[TYPE]],#REF!,2,FALSE)</f>
        <v>type40</v>
      </c>
      <c r="E2661">
        <v>307.86</v>
      </c>
      <c r="F2661" t="str">
        <f>qry_ProdData2_PDI_Cash_Exception_Application[[#This Row],[ANALYST]]</f>
        <v>Analyst5</v>
      </c>
      <c r="G2661" s="1">
        <f>qry_ProdData2_PDI_Cash_Exception_Application[[#This Row],[INSERT DATE]]+7</f>
        <v>45189.257071759261</v>
      </c>
      <c r="H2661" t="str">
        <f>VLOOKUP(qry_ProdData2_PDI_Cash_Exception_Application[[#This Row],[MARKET No]],'Site Allocation'!$B$2:$C$37,2,FALSE)</f>
        <v>Analyst5</v>
      </c>
      <c r="I2661" s="4">
        <f t="shared" ca="1" si="41"/>
        <v>45203</v>
      </c>
      <c r="J2661" s="42">
        <f ca="1">TODAY()-qry_ProdData2_PDI_Cash_Exception_Application[[#This Row],[INSERT DATE]]</f>
        <v>20.742928240739275</v>
      </c>
      <c r="K26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61">
        <f ca="1">qry_ProdData2_PDI_Cash_Exception_Application[[#This Row],[TODAY]]-qry_ProdData2_PDI_Cash_Exception_Application[[#This Row],[CHANGED ON]]</f>
        <v>13.742928240739275</v>
      </c>
      <c r="M2661">
        <f ca="1">qry_ProdData2_PDI_Cash_Exception_Application[[#This Row],[TODAY]]-qry_ProdData2_PDI_Cash_Exception_Application[[#This Row],[CHANGED ON]]</f>
        <v>13.742928240739275</v>
      </c>
      <c r="N2661">
        <f ca="1">qry_ProdData2_PDI_Cash_Exception_Application[[#This Row],[TODAY]]-qry_ProdData2_PDI_Cash_Exception_Application[[#This Row],[CHANGED ON]]</f>
        <v>13.742928240739275</v>
      </c>
    </row>
    <row r="2662" spans="1:14" x14ac:dyDescent="0.35">
      <c r="A2662">
        <v>1001</v>
      </c>
      <c r="B2662" t="s">
        <v>55</v>
      </c>
      <c r="C2662" s="1">
        <v>45196.257071759261</v>
      </c>
      <c r="D2662" t="str">
        <f ca="1">VLOOKUP(qry_ProdData2_PDI_Cash_Exception_Application[[#This Row],[TYPE]],#REF!,2,FALSE)</f>
        <v>type13</v>
      </c>
      <c r="E2662">
        <v>21228.45</v>
      </c>
      <c r="F2662" t="s">
        <v>50</v>
      </c>
      <c r="G2662" s="1">
        <f>qry_ProdData2_PDI_Cash_Exception_Application[[#This Row],[INSERT DATE]]+7</f>
        <v>45203.257071759261</v>
      </c>
      <c r="H2662" t="str">
        <f>VLOOKUP(qry_ProdData2_PDI_Cash_Exception_Application[[#This Row],[MARKET No]],'Site Allocation'!$B$2:$C$37,2,FALSE)</f>
        <v>Analyst1</v>
      </c>
      <c r="I2662" s="4">
        <f t="shared" ca="1" si="41"/>
        <v>45203</v>
      </c>
      <c r="J2662" s="42">
        <f ca="1">TODAY()-qry_ProdData2_PDI_Cash_Exception_Application[[#This Row],[INSERT DATE]]</f>
        <v>6.7429282407392748</v>
      </c>
      <c r="K26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662">
        <f ca="1">qry_ProdData2_PDI_Cash_Exception_Application[[#This Row],[TODAY]]-qry_ProdData2_PDI_Cash_Exception_Application[[#This Row],[CHANGED ON]]</f>
        <v>-0.25707175926072523</v>
      </c>
      <c r="M2662">
        <f ca="1">qry_ProdData2_PDI_Cash_Exception_Application[[#This Row],[TODAY]]-qry_ProdData2_PDI_Cash_Exception_Application[[#This Row],[CHANGED ON]]</f>
        <v>-0.25707175926072523</v>
      </c>
      <c r="N2662">
        <f ca="1">qry_ProdData2_PDI_Cash_Exception_Application[[#This Row],[TODAY]]-qry_ProdData2_PDI_Cash_Exception_Application[[#This Row],[CHANGED ON]]</f>
        <v>-0.25707175926072523</v>
      </c>
    </row>
    <row r="2663" spans="1:14" x14ac:dyDescent="0.35">
      <c r="A2663">
        <v>1013</v>
      </c>
      <c r="B2663" t="s">
        <v>67</v>
      </c>
      <c r="C2663" s="1">
        <v>45183.257071759261</v>
      </c>
      <c r="D2663" t="str">
        <f ca="1">VLOOKUP(qry_ProdData2_PDI_Cash_Exception_Application[[#This Row],[TYPE]],#REF!,2,FALSE)</f>
        <v>type40</v>
      </c>
      <c r="E2663">
        <v>65</v>
      </c>
      <c r="F2663" t="str">
        <f>qry_ProdData2_PDI_Cash_Exception_Application[[#This Row],[ANALYST]]</f>
        <v>Analyst3</v>
      </c>
      <c r="G2663" s="1">
        <f>qry_ProdData2_PDI_Cash_Exception_Application[[#This Row],[INSERT DATE]]+2</f>
        <v>45185.257071759261</v>
      </c>
      <c r="H2663" t="str">
        <f>VLOOKUP(qry_ProdData2_PDI_Cash_Exception_Application[[#This Row],[MARKET No]],'Site Allocation'!$B$2:$C$37,2,FALSE)</f>
        <v>Analyst3</v>
      </c>
      <c r="I2663" s="4">
        <f t="shared" ca="1" si="41"/>
        <v>45203</v>
      </c>
      <c r="J2663" s="42">
        <f ca="1">TODAY()-qry_ProdData2_PDI_Cash_Exception_Application[[#This Row],[INSERT DATE]]</f>
        <v>19.742928240739275</v>
      </c>
      <c r="K26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63">
        <f ca="1">qry_ProdData2_PDI_Cash_Exception_Application[[#This Row],[TODAY]]-qry_ProdData2_PDI_Cash_Exception_Application[[#This Row],[CHANGED ON]]</f>
        <v>17.742928240739275</v>
      </c>
      <c r="M2663">
        <f ca="1">qry_ProdData2_PDI_Cash_Exception_Application[[#This Row],[TODAY]]-qry_ProdData2_PDI_Cash_Exception_Application[[#This Row],[CHANGED ON]]</f>
        <v>17.742928240739275</v>
      </c>
      <c r="N2663">
        <f ca="1">qry_ProdData2_PDI_Cash_Exception_Application[[#This Row],[TODAY]]-qry_ProdData2_PDI_Cash_Exception_Application[[#This Row],[CHANGED ON]]</f>
        <v>17.742928240739275</v>
      </c>
    </row>
    <row r="2664" spans="1:14" x14ac:dyDescent="0.35">
      <c r="A2664">
        <v>1004</v>
      </c>
      <c r="B2664" t="s">
        <v>58</v>
      </c>
      <c r="C2664" s="1">
        <v>45180.257071759261</v>
      </c>
      <c r="D2664" t="str">
        <f ca="1">VLOOKUP(qry_ProdData2_PDI_Cash_Exception_Application[[#This Row],[TYPE]],#REF!,2,FALSE)</f>
        <v>type43</v>
      </c>
      <c r="E2664">
        <v>208.71</v>
      </c>
      <c r="F2664" t="s">
        <v>48</v>
      </c>
      <c r="G2664" s="1">
        <f>qry_ProdData2_PDI_Cash_Exception_Application[[#This Row],[INSERT DATE]]+2</f>
        <v>45182.257071759261</v>
      </c>
      <c r="H2664" t="str">
        <f>VLOOKUP(qry_ProdData2_PDI_Cash_Exception_Application[[#This Row],[MARKET No]],'Site Allocation'!$B$2:$C$37,2,FALSE)</f>
        <v>Analyst1</v>
      </c>
      <c r="I2664" s="4">
        <f t="shared" ca="1" si="41"/>
        <v>45203</v>
      </c>
      <c r="J2664" s="42">
        <f ca="1">TODAY()-qry_ProdData2_PDI_Cash_Exception_Application[[#This Row],[INSERT DATE]]</f>
        <v>22.742928240739275</v>
      </c>
      <c r="K26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64">
        <f ca="1">qry_ProdData2_PDI_Cash_Exception_Application[[#This Row],[TODAY]]-qry_ProdData2_PDI_Cash_Exception_Application[[#This Row],[CHANGED ON]]</f>
        <v>20.742928240739275</v>
      </c>
      <c r="M2664">
        <f ca="1">qry_ProdData2_PDI_Cash_Exception_Application[[#This Row],[TODAY]]-qry_ProdData2_PDI_Cash_Exception_Application[[#This Row],[CHANGED ON]]</f>
        <v>20.742928240739275</v>
      </c>
      <c r="N2664">
        <f ca="1">qry_ProdData2_PDI_Cash_Exception_Application[[#This Row],[TODAY]]-qry_ProdData2_PDI_Cash_Exception_Application[[#This Row],[CHANGED ON]]</f>
        <v>20.742928240739275</v>
      </c>
    </row>
    <row r="2665" spans="1:14" x14ac:dyDescent="0.35">
      <c r="A2665">
        <v>1003</v>
      </c>
      <c r="B2665" t="s">
        <v>57</v>
      </c>
      <c r="C2665" s="1">
        <v>45186.257071759261</v>
      </c>
      <c r="D2665" t="str">
        <f ca="1">VLOOKUP(qry_ProdData2_PDI_Cash_Exception_Application[[#This Row],[TYPE]],#REF!,2,FALSE)</f>
        <v>type13</v>
      </c>
      <c r="E2665">
        <v>25067.89</v>
      </c>
      <c r="F2665" t="s">
        <v>52</v>
      </c>
      <c r="G2665" s="1">
        <f>qry_ProdData2_PDI_Cash_Exception_Application[[#This Row],[INSERT DATE]]+7</f>
        <v>45193.257071759261</v>
      </c>
      <c r="H2665" t="str">
        <f>VLOOKUP(qry_ProdData2_PDI_Cash_Exception_Application[[#This Row],[MARKET No]],'Site Allocation'!$B$2:$C$37,2,FALSE)</f>
        <v>Analyst1</v>
      </c>
      <c r="I2665" s="4">
        <f t="shared" ca="1" si="41"/>
        <v>45203</v>
      </c>
      <c r="J2665" s="42">
        <f ca="1">TODAY()-qry_ProdData2_PDI_Cash_Exception_Application[[#This Row],[INSERT DATE]]</f>
        <v>16.742928240739275</v>
      </c>
      <c r="K26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65">
        <f ca="1">qry_ProdData2_PDI_Cash_Exception_Application[[#This Row],[TODAY]]-qry_ProdData2_PDI_Cash_Exception_Application[[#This Row],[CHANGED ON]]</f>
        <v>9.7429282407392748</v>
      </c>
      <c r="M2665">
        <f ca="1">qry_ProdData2_PDI_Cash_Exception_Application[[#This Row],[TODAY]]-qry_ProdData2_PDI_Cash_Exception_Application[[#This Row],[CHANGED ON]]</f>
        <v>9.7429282407392748</v>
      </c>
      <c r="N2665">
        <f ca="1">qry_ProdData2_PDI_Cash_Exception_Application[[#This Row],[TODAY]]-qry_ProdData2_PDI_Cash_Exception_Application[[#This Row],[CHANGED ON]]</f>
        <v>9.7429282407392748</v>
      </c>
    </row>
    <row r="2666" spans="1:14" x14ac:dyDescent="0.35">
      <c r="A2666">
        <v>1031</v>
      </c>
      <c r="B2666" t="s">
        <v>85</v>
      </c>
      <c r="C2666" s="1">
        <v>45188.257071759261</v>
      </c>
      <c r="D2666" t="str">
        <f ca="1">VLOOKUP(qry_ProdData2_PDI_Cash_Exception_Application[[#This Row],[TYPE]],#REF!,2,FALSE)</f>
        <v>type16</v>
      </c>
      <c r="E2666">
        <v>2172</v>
      </c>
      <c r="F2666" t="s">
        <v>48</v>
      </c>
      <c r="G2666" s="1">
        <f>qry_ProdData2_PDI_Cash_Exception_Application[[#This Row],[INSERT DATE]]+2</f>
        <v>45190.257071759261</v>
      </c>
      <c r="H2666" t="str">
        <f>VLOOKUP(qry_ProdData2_PDI_Cash_Exception_Application[[#This Row],[MARKET No]],'Site Allocation'!$B$2:$C$37,2,FALSE)</f>
        <v>Analyst6</v>
      </c>
      <c r="I2666" s="4">
        <f t="shared" ca="1" si="41"/>
        <v>45203</v>
      </c>
      <c r="J2666" s="42">
        <f ca="1">TODAY()-qry_ProdData2_PDI_Cash_Exception_Application[[#This Row],[INSERT DATE]]</f>
        <v>14.742928240739275</v>
      </c>
      <c r="K26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66">
        <f ca="1">qry_ProdData2_PDI_Cash_Exception_Application[[#This Row],[TODAY]]-qry_ProdData2_PDI_Cash_Exception_Application[[#This Row],[CHANGED ON]]</f>
        <v>12.742928240739275</v>
      </c>
      <c r="M2666">
        <f ca="1">qry_ProdData2_PDI_Cash_Exception_Application[[#This Row],[TODAY]]-qry_ProdData2_PDI_Cash_Exception_Application[[#This Row],[CHANGED ON]]</f>
        <v>12.742928240739275</v>
      </c>
      <c r="N2666">
        <f ca="1">qry_ProdData2_PDI_Cash_Exception_Application[[#This Row],[TODAY]]-qry_ProdData2_PDI_Cash_Exception_Application[[#This Row],[CHANGED ON]]</f>
        <v>12.742928240739275</v>
      </c>
    </row>
    <row r="2667" spans="1:14" x14ac:dyDescent="0.35">
      <c r="A2667">
        <v>1017</v>
      </c>
      <c r="B2667" t="s">
        <v>71</v>
      </c>
      <c r="C2667" s="1">
        <v>45191.257071759261</v>
      </c>
      <c r="D2667" t="str">
        <f ca="1">VLOOKUP(qry_ProdData2_PDI_Cash_Exception_Application[[#This Row],[TYPE]],#REF!,2,FALSE)</f>
        <v>type40</v>
      </c>
      <c r="E2667">
        <v>622.08000000000004</v>
      </c>
      <c r="F2667" t="str">
        <f>qry_ProdData2_PDI_Cash_Exception_Application[[#This Row],[ANALYST]]</f>
        <v>Analyst3</v>
      </c>
      <c r="G2667" s="1">
        <f>qry_ProdData2_PDI_Cash_Exception_Application[[#This Row],[INSERT DATE]]+7</f>
        <v>45198.257071759261</v>
      </c>
      <c r="H2667" t="str">
        <f>VLOOKUP(qry_ProdData2_PDI_Cash_Exception_Application[[#This Row],[MARKET No]],'Site Allocation'!$B$2:$C$37,2,FALSE)</f>
        <v>Analyst3</v>
      </c>
      <c r="I2667" s="4">
        <f t="shared" ca="1" si="41"/>
        <v>45203</v>
      </c>
      <c r="J2667" s="42">
        <f ca="1">TODAY()-qry_ProdData2_PDI_Cash_Exception_Application[[#This Row],[INSERT DATE]]</f>
        <v>11.742928240739275</v>
      </c>
      <c r="K26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67">
        <f ca="1">qry_ProdData2_PDI_Cash_Exception_Application[[#This Row],[TODAY]]-qry_ProdData2_PDI_Cash_Exception_Application[[#This Row],[CHANGED ON]]</f>
        <v>4.7429282407392748</v>
      </c>
      <c r="M2667">
        <f ca="1">qry_ProdData2_PDI_Cash_Exception_Application[[#This Row],[TODAY]]-qry_ProdData2_PDI_Cash_Exception_Application[[#This Row],[CHANGED ON]]</f>
        <v>4.7429282407392748</v>
      </c>
      <c r="N2667">
        <f ca="1">qry_ProdData2_PDI_Cash_Exception_Application[[#This Row],[TODAY]]-qry_ProdData2_PDI_Cash_Exception_Application[[#This Row],[CHANGED ON]]</f>
        <v>4.7429282407392748</v>
      </c>
    </row>
    <row r="2668" spans="1:14" x14ac:dyDescent="0.35">
      <c r="A2668">
        <v>1004</v>
      </c>
      <c r="B2668" t="s">
        <v>58</v>
      </c>
      <c r="C2668" s="1">
        <v>45185.257071759261</v>
      </c>
      <c r="D2668" t="str">
        <f ca="1">VLOOKUP(qry_ProdData2_PDI_Cash_Exception_Application[[#This Row],[TYPE]],#REF!,2,FALSE)</f>
        <v>type40</v>
      </c>
      <c r="E2668">
        <v>-2701.45</v>
      </c>
      <c r="F2668" t="s">
        <v>51</v>
      </c>
      <c r="G2668" s="1">
        <f>qry_ProdData2_PDI_Cash_Exception_Application[[#This Row],[INSERT DATE]]+7</f>
        <v>45192.257071759261</v>
      </c>
      <c r="H2668" t="str">
        <f>VLOOKUP(qry_ProdData2_PDI_Cash_Exception_Application[[#This Row],[MARKET No]],'Site Allocation'!$B$2:$C$37,2,FALSE)</f>
        <v>Analyst1</v>
      </c>
      <c r="I2668" s="4">
        <f t="shared" ca="1" si="41"/>
        <v>45203</v>
      </c>
      <c r="J2668" s="42">
        <f ca="1">TODAY()-qry_ProdData2_PDI_Cash_Exception_Application[[#This Row],[INSERT DATE]]</f>
        <v>17.742928240739275</v>
      </c>
      <c r="K26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68">
        <f ca="1">qry_ProdData2_PDI_Cash_Exception_Application[[#This Row],[TODAY]]-qry_ProdData2_PDI_Cash_Exception_Application[[#This Row],[CHANGED ON]]</f>
        <v>10.742928240739275</v>
      </c>
      <c r="M2668">
        <f ca="1">qry_ProdData2_PDI_Cash_Exception_Application[[#This Row],[TODAY]]-qry_ProdData2_PDI_Cash_Exception_Application[[#This Row],[CHANGED ON]]</f>
        <v>10.742928240739275</v>
      </c>
      <c r="N2668">
        <f ca="1">qry_ProdData2_PDI_Cash_Exception_Application[[#This Row],[TODAY]]-qry_ProdData2_PDI_Cash_Exception_Application[[#This Row],[CHANGED ON]]</f>
        <v>10.742928240739275</v>
      </c>
    </row>
    <row r="2669" spans="1:14" x14ac:dyDescent="0.35">
      <c r="A2669">
        <v>1014</v>
      </c>
      <c r="B2669" t="s">
        <v>68</v>
      </c>
      <c r="C2669" s="1">
        <v>45189.257071759261</v>
      </c>
      <c r="D2669" t="str">
        <f ca="1">VLOOKUP(qry_ProdData2_PDI_Cash_Exception_Application[[#This Row],[TYPE]],#REF!,2,FALSE)</f>
        <v>type13</v>
      </c>
      <c r="E2669">
        <v>25008.48</v>
      </c>
      <c r="F2669" t="s">
        <v>50</v>
      </c>
      <c r="G2669" s="1">
        <f>qry_ProdData2_PDI_Cash_Exception_Application[[#This Row],[INSERT DATE]]+1</f>
        <v>45190.257071759261</v>
      </c>
      <c r="H2669" t="str">
        <f>VLOOKUP(qry_ProdData2_PDI_Cash_Exception_Application[[#This Row],[MARKET No]],'Site Allocation'!$B$2:$C$37,2,FALSE)</f>
        <v>Analyst3</v>
      </c>
      <c r="I2669" s="4">
        <f t="shared" ca="1" si="41"/>
        <v>45203</v>
      </c>
      <c r="J2669" s="42">
        <f ca="1">TODAY()-qry_ProdData2_PDI_Cash_Exception_Application[[#This Row],[INSERT DATE]]</f>
        <v>13.742928240739275</v>
      </c>
      <c r="K26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69">
        <f ca="1">qry_ProdData2_PDI_Cash_Exception_Application[[#This Row],[TODAY]]-qry_ProdData2_PDI_Cash_Exception_Application[[#This Row],[CHANGED ON]]</f>
        <v>12.742928240739275</v>
      </c>
      <c r="M2669">
        <f ca="1">qry_ProdData2_PDI_Cash_Exception_Application[[#This Row],[TODAY]]-qry_ProdData2_PDI_Cash_Exception_Application[[#This Row],[CHANGED ON]]</f>
        <v>12.742928240739275</v>
      </c>
      <c r="N2669">
        <f ca="1">qry_ProdData2_PDI_Cash_Exception_Application[[#This Row],[TODAY]]-qry_ProdData2_PDI_Cash_Exception_Application[[#This Row],[CHANGED ON]]</f>
        <v>12.742928240739275</v>
      </c>
    </row>
    <row r="2670" spans="1:14" x14ac:dyDescent="0.35">
      <c r="A2670">
        <v>1007</v>
      </c>
      <c r="B2670" t="s">
        <v>61</v>
      </c>
      <c r="C2670" s="1">
        <v>45192.257071759261</v>
      </c>
      <c r="D2670" t="str">
        <f ca="1">VLOOKUP(qry_ProdData2_PDI_Cash_Exception_Application[[#This Row],[TYPE]],#REF!,2,FALSE)</f>
        <v>type40</v>
      </c>
      <c r="E2670">
        <v>1240.55</v>
      </c>
      <c r="F2670" t="s">
        <v>48</v>
      </c>
      <c r="G2670" s="1">
        <f>qry_ProdData2_PDI_Cash_Exception_Application[[#This Row],[INSERT DATE]]+5</f>
        <v>45197.257071759261</v>
      </c>
      <c r="H2670" t="str">
        <f>VLOOKUP(qry_ProdData2_PDI_Cash_Exception_Application[[#This Row],[MARKET No]],'Site Allocation'!$B$2:$C$37,2,FALSE)</f>
        <v>Analyst2</v>
      </c>
      <c r="I2670" s="4">
        <f t="shared" ca="1" si="41"/>
        <v>45203</v>
      </c>
      <c r="J2670" s="42">
        <f ca="1">TODAY()-qry_ProdData2_PDI_Cash_Exception_Application[[#This Row],[INSERT DATE]]</f>
        <v>10.742928240739275</v>
      </c>
      <c r="K26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70">
        <f ca="1">qry_ProdData2_PDI_Cash_Exception_Application[[#This Row],[TODAY]]-qry_ProdData2_PDI_Cash_Exception_Application[[#This Row],[CHANGED ON]]</f>
        <v>5.7429282407392748</v>
      </c>
      <c r="M2670">
        <f ca="1">qry_ProdData2_PDI_Cash_Exception_Application[[#This Row],[TODAY]]-qry_ProdData2_PDI_Cash_Exception_Application[[#This Row],[CHANGED ON]]</f>
        <v>5.7429282407392748</v>
      </c>
      <c r="N2670">
        <f ca="1">qry_ProdData2_PDI_Cash_Exception_Application[[#This Row],[TODAY]]-qry_ProdData2_PDI_Cash_Exception_Application[[#This Row],[CHANGED ON]]</f>
        <v>5.7429282407392748</v>
      </c>
    </row>
    <row r="2671" spans="1:14" x14ac:dyDescent="0.35">
      <c r="A2671">
        <v>1020</v>
      </c>
      <c r="B2671" t="s">
        <v>74</v>
      </c>
      <c r="C2671" s="1">
        <v>45190.257071759261</v>
      </c>
      <c r="D2671" t="str">
        <f ca="1">VLOOKUP(qry_ProdData2_PDI_Cash_Exception_Application[[#This Row],[TYPE]],#REF!,2,FALSE)</f>
        <v>type13</v>
      </c>
      <c r="E2671">
        <v>57800.02</v>
      </c>
      <c r="F2671" t="s">
        <v>50</v>
      </c>
      <c r="G2671" s="1">
        <f>qry_ProdData2_PDI_Cash_Exception_Application[[#This Row],[INSERT DATE]]+1</f>
        <v>45191.257071759261</v>
      </c>
      <c r="H2671" t="str">
        <f>VLOOKUP(qry_ProdData2_PDI_Cash_Exception_Application[[#This Row],[MARKET No]],'Site Allocation'!$B$2:$C$37,2,FALSE)</f>
        <v>Analyst4</v>
      </c>
      <c r="I2671" s="4">
        <f t="shared" ca="1" si="41"/>
        <v>45203</v>
      </c>
      <c r="J2671" s="42">
        <f ca="1">TODAY()-qry_ProdData2_PDI_Cash_Exception_Application[[#This Row],[INSERT DATE]]</f>
        <v>12.742928240739275</v>
      </c>
      <c r="K26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71">
        <f ca="1">qry_ProdData2_PDI_Cash_Exception_Application[[#This Row],[TODAY]]-qry_ProdData2_PDI_Cash_Exception_Application[[#This Row],[CHANGED ON]]</f>
        <v>11.742928240739275</v>
      </c>
      <c r="M2671">
        <f ca="1">qry_ProdData2_PDI_Cash_Exception_Application[[#This Row],[TODAY]]-qry_ProdData2_PDI_Cash_Exception_Application[[#This Row],[CHANGED ON]]</f>
        <v>11.742928240739275</v>
      </c>
      <c r="N2671">
        <f ca="1">qry_ProdData2_PDI_Cash_Exception_Application[[#This Row],[TODAY]]-qry_ProdData2_PDI_Cash_Exception_Application[[#This Row],[CHANGED ON]]</f>
        <v>11.742928240739275</v>
      </c>
    </row>
    <row r="2672" spans="1:14" x14ac:dyDescent="0.35">
      <c r="A2672">
        <v>1013</v>
      </c>
      <c r="B2672" t="s">
        <v>67</v>
      </c>
      <c r="C2672" s="1">
        <v>45186.257071759261</v>
      </c>
      <c r="D2672" t="str">
        <f ca="1">VLOOKUP(qry_ProdData2_PDI_Cash_Exception_Application[[#This Row],[TYPE]],#REF!,2,FALSE)</f>
        <v>type40</v>
      </c>
      <c r="E2672">
        <v>69.14</v>
      </c>
      <c r="F2672" t="str">
        <f>qry_ProdData2_PDI_Cash_Exception_Application[[#This Row],[ANALYST]]</f>
        <v>Analyst3</v>
      </c>
      <c r="G2672" s="1">
        <f>qry_ProdData2_PDI_Cash_Exception_Application[[#This Row],[INSERT DATE]]+2</f>
        <v>45188.257071759261</v>
      </c>
      <c r="H2672" t="str">
        <f>VLOOKUP(qry_ProdData2_PDI_Cash_Exception_Application[[#This Row],[MARKET No]],'Site Allocation'!$B$2:$C$37,2,FALSE)</f>
        <v>Analyst3</v>
      </c>
      <c r="I2672" s="4">
        <f t="shared" ca="1" si="41"/>
        <v>45203</v>
      </c>
      <c r="J2672" s="42">
        <f ca="1">TODAY()-qry_ProdData2_PDI_Cash_Exception_Application[[#This Row],[INSERT DATE]]</f>
        <v>16.742928240739275</v>
      </c>
      <c r="K26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72">
        <f ca="1">qry_ProdData2_PDI_Cash_Exception_Application[[#This Row],[TODAY]]-qry_ProdData2_PDI_Cash_Exception_Application[[#This Row],[CHANGED ON]]</f>
        <v>14.742928240739275</v>
      </c>
      <c r="M2672">
        <f ca="1">qry_ProdData2_PDI_Cash_Exception_Application[[#This Row],[TODAY]]-qry_ProdData2_PDI_Cash_Exception_Application[[#This Row],[CHANGED ON]]</f>
        <v>14.742928240739275</v>
      </c>
      <c r="N2672">
        <f ca="1">qry_ProdData2_PDI_Cash_Exception_Application[[#This Row],[TODAY]]-qry_ProdData2_PDI_Cash_Exception_Application[[#This Row],[CHANGED ON]]</f>
        <v>14.742928240739275</v>
      </c>
    </row>
    <row r="2673" spans="1:14" x14ac:dyDescent="0.35">
      <c r="A2673">
        <v>1003</v>
      </c>
      <c r="B2673" t="s">
        <v>57</v>
      </c>
      <c r="C2673" s="1">
        <v>45191.257071759261</v>
      </c>
      <c r="D2673" t="str">
        <f ca="1">VLOOKUP(qry_ProdData2_PDI_Cash_Exception_Application[[#This Row],[TYPE]],#REF!,2,FALSE)</f>
        <v>type7</v>
      </c>
      <c r="E2673">
        <v>-1488.16</v>
      </c>
      <c r="F2673" t="s">
        <v>50</v>
      </c>
      <c r="G2673" s="1">
        <f>qry_ProdData2_PDI_Cash_Exception_Application[[#This Row],[INSERT DATE]]+1</f>
        <v>45192.257071759261</v>
      </c>
      <c r="H2673" t="str">
        <f>VLOOKUP(qry_ProdData2_PDI_Cash_Exception_Application[[#This Row],[MARKET No]],'Site Allocation'!$B$2:$C$37,2,FALSE)</f>
        <v>Analyst1</v>
      </c>
      <c r="I2673" s="4">
        <f t="shared" ca="1" si="41"/>
        <v>45203</v>
      </c>
      <c r="J2673" s="42">
        <f ca="1">TODAY()-qry_ProdData2_PDI_Cash_Exception_Application[[#This Row],[INSERT DATE]]</f>
        <v>11.742928240739275</v>
      </c>
      <c r="K26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73">
        <f ca="1">qry_ProdData2_PDI_Cash_Exception_Application[[#This Row],[TODAY]]-qry_ProdData2_PDI_Cash_Exception_Application[[#This Row],[CHANGED ON]]</f>
        <v>10.742928240739275</v>
      </c>
      <c r="M2673">
        <f ca="1">qry_ProdData2_PDI_Cash_Exception_Application[[#This Row],[TODAY]]-qry_ProdData2_PDI_Cash_Exception_Application[[#This Row],[CHANGED ON]]</f>
        <v>10.742928240739275</v>
      </c>
      <c r="N2673">
        <f ca="1">qry_ProdData2_PDI_Cash_Exception_Application[[#This Row],[TODAY]]-qry_ProdData2_PDI_Cash_Exception_Application[[#This Row],[CHANGED ON]]</f>
        <v>10.742928240739275</v>
      </c>
    </row>
    <row r="2674" spans="1:14" x14ac:dyDescent="0.35">
      <c r="A2674">
        <v>1025</v>
      </c>
      <c r="B2674" t="s">
        <v>79</v>
      </c>
      <c r="C2674" s="1">
        <v>45192.257071759261</v>
      </c>
      <c r="D2674" t="str">
        <f ca="1">VLOOKUP(qry_ProdData2_PDI_Cash_Exception_Application[[#This Row],[TYPE]],#REF!,2,FALSE)</f>
        <v>type13</v>
      </c>
      <c r="E2674">
        <v>27753.07</v>
      </c>
      <c r="F2674" t="s">
        <v>50</v>
      </c>
      <c r="G2674" s="1">
        <f>qry_ProdData2_PDI_Cash_Exception_Application[[#This Row],[INSERT DATE]]+1</f>
        <v>45193.257071759261</v>
      </c>
      <c r="H2674" t="str">
        <f>VLOOKUP(qry_ProdData2_PDI_Cash_Exception_Application[[#This Row],[MARKET No]],'Site Allocation'!$B$2:$C$37,2,FALSE)</f>
        <v>Analyst5</v>
      </c>
      <c r="I2674" s="4">
        <f t="shared" ca="1" si="41"/>
        <v>45203</v>
      </c>
      <c r="J2674" s="42">
        <f ca="1">TODAY()-qry_ProdData2_PDI_Cash_Exception_Application[[#This Row],[INSERT DATE]]</f>
        <v>10.742928240739275</v>
      </c>
      <c r="K26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74">
        <f ca="1">qry_ProdData2_PDI_Cash_Exception_Application[[#This Row],[TODAY]]-qry_ProdData2_PDI_Cash_Exception_Application[[#This Row],[CHANGED ON]]</f>
        <v>9.7429282407392748</v>
      </c>
      <c r="M2674">
        <f ca="1">qry_ProdData2_PDI_Cash_Exception_Application[[#This Row],[TODAY]]-qry_ProdData2_PDI_Cash_Exception_Application[[#This Row],[CHANGED ON]]</f>
        <v>9.7429282407392748</v>
      </c>
      <c r="N2674">
        <f ca="1">qry_ProdData2_PDI_Cash_Exception_Application[[#This Row],[TODAY]]-qry_ProdData2_PDI_Cash_Exception_Application[[#This Row],[CHANGED ON]]</f>
        <v>9.7429282407392748</v>
      </c>
    </row>
    <row r="2675" spans="1:14" x14ac:dyDescent="0.35">
      <c r="A2675">
        <v>1018</v>
      </c>
      <c r="B2675" t="s">
        <v>72</v>
      </c>
      <c r="C2675" s="1">
        <v>45183.257071759261</v>
      </c>
      <c r="D2675" t="str">
        <f ca="1">VLOOKUP(qry_ProdData2_PDI_Cash_Exception_Application[[#This Row],[TYPE]],#REF!,2,FALSE)</f>
        <v>type40</v>
      </c>
      <c r="E2675">
        <v>-4561.9799999999996</v>
      </c>
      <c r="F2675" t="s">
        <v>48</v>
      </c>
      <c r="G2675" s="1">
        <f>qry_ProdData2_PDI_Cash_Exception_Application[[#This Row],[INSERT DATE]]+5</f>
        <v>45188.257071759261</v>
      </c>
      <c r="H2675" t="str">
        <f>VLOOKUP(qry_ProdData2_PDI_Cash_Exception_Application[[#This Row],[MARKET No]],'Site Allocation'!$B$2:$C$37,2,FALSE)</f>
        <v>Analyst4</v>
      </c>
      <c r="I2675" s="4">
        <f t="shared" ca="1" si="41"/>
        <v>45203</v>
      </c>
      <c r="J2675" s="42">
        <f ca="1">TODAY()-qry_ProdData2_PDI_Cash_Exception_Application[[#This Row],[INSERT DATE]]</f>
        <v>19.742928240739275</v>
      </c>
      <c r="K26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75">
        <f ca="1">qry_ProdData2_PDI_Cash_Exception_Application[[#This Row],[TODAY]]-qry_ProdData2_PDI_Cash_Exception_Application[[#This Row],[CHANGED ON]]</f>
        <v>14.742928240739275</v>
      </c>
      <c r="M2675">
        <f ca="1">qry_ProdData2_PDI_Cash_Exception_Application[[#This Row],[TODAY]]-qry_ProdData2_PDI_Cash_Exception_Application[[#This Row],[CHANGED ON]]</f>
        <v>14.742928240739275</v>
      </c>
      <c r="N2675">
        <f ca="1">qry_ProdData2_PDI_Cash_Exception_Application[[#This Row],[TODAY]]-qry_ProdData2_PDI_Cash_Exception_Application[[#This Row],[CHANGED ON]]</f>
        <v>14.742928240739275</v>
      </c>
    </row>
    <row r="2676" spans="1:14" x14ac:dyDescent="0.35">
      <c r="A2676">
        <v>1032</v>
      </c>
      <c r="B2676" t="s">
        <v>86</v>
      </c>
      <c r="C2676" s="1">
        <v>45194.257071759261</v>
      </c>
      <c r="D2676" t="str">
        <f ca="1">VLOOKUP(qry_ProdData2_PDI_Cash_Exception_Application[[#This Row],[TYPE]],#REF!,2,FALSE)</f>
        <v>type40</v>
      </c>
      <c r="E2676">
        <v>-1036.6300000000001</v>
      </c>
      <c r="F2676" t="s">
        <v>52</v>
      </c>
      <c r="G2676" s="1">
        <f>qry_ProdData2_PDI_Cash_Exception_Application[[#This Row],[INSERT DATE]]+1</f>
        <v>45195.257071759261</v>
      </c>
      <c r="H2676" t="str">
        <f>VLOOKUP(qry_ProdData2_PDI_Cash_Exception_Application[[#This Row],[MARKET No]],'Site Allocation'!$B$2:$C$37,2,FALSE)</f>
        <v>Analyst6</v>
      </c>
      <c r="I2676" s="4">
        <f t="shared" ca="1" si="41"/>
        <v>45203</v>
      </c>
      <c r="J2676" s="42">
        <f ca="1">TODAY()-qry_ProdData2_PDI_Cash_Exception_Application[[#This Row],[INSERT DATE]]</f>
        <v>8.7429282407392748</v>
      </c>
      <c r="K26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676">
        <f ca="1">qry_ProdData2_PDI_Cash_Exception_Application[[#This Row],[TODAY]]-qry_ProdData2_PDI_Cash_Exception_Application[[#This Row],[CHANGED ON]]</f>
        <v>7.7429282407392748</v>
      </c>
      <c r="M2676">
        <f ca="1">qry_ProdData2_PDI_Cash_Exception_Application[[#This Row],[TODAY]]-qry_ProdData2_PDI_Cash_Exception_Application[[#This Row],[CHANGED ON]]</f>
        <v>7.7429282407392748</v>
      </c>
      <c r="N2676">
        <f ca="1">qry_ProdData2_PDI_Cash_Exception_Application[[#This Row],[TODAY]]-qry_ProdData2_PDI_Cash_Exception_Application[[#This Row],[CHANGED ON]]</f>
        <v>7.7429282407392748</v>
      </c>
    </row>
    <row r="2677" spans="1:14" x14ac:dyDescent="0.35">
      <c r="A2677">
        <v>1021</v>
      </c>
      <c r="B2677" t="s">
        <v>75</v>
      </c>
      <c r="C2677" s="1">
        <v>45184.257071759261</v>
      </c>
      <c r="D2677" t="str">
        <f ca="1">VLOOKUP(qry_ProdData2_PDI_Cash_Exception_Application[[#This Row],[TYPE]],#REF!,2,FALSE)</f>
        <v>type40</v>
      </c>
      <c r="E2677">
        <v>-320.83</v>
      </c>
      <c r="F2677" t="s">
        <v>48</v>
      </c>
      <c r="G2677" s="1">
        <f>qry_ProdData2_PDI_Cash_Exception_Application[[#This Row],[INSERT DATE]]+5</f>
        <v>45189.257071759261</v>
      </c>
      <c r="H2677" t="str">
        <f>VLOOKUP(qry_ProdData2_PDI_Cash_Exception_Application[[#This Row],[MARKET No]],'Site Allocation'!$B$2:$C$37,2,FALSE)</f>
        <v>Analyst4</v>
      </c>
      <c r="I2677" s="4">
        <f t="shared" ca="1" si="41"/>
        <v>45203</v>
      </c>
      <c r="J2677" s="42">
        <f ca="1">TODAY()-qry_ProdData2_PDI_Cash_Exception_Application[[#This Row],[INSERT DATE]]</f>
        <v>18.742928240739275</v>
      </c>
      <c r="K26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77">
        <f ca="1">qry_ProdData2_PDI_Cash_Exception_Application[[#This Row],[TODAY]]-qry_ProdData2_PDI_Cash_Exception_Application[[#This Row],[CHANGED ON]]</f>
        <v>13.742928240739275</v>
      </c>
      <c r="M2677">
        <f ca="1">qry_ProdData2_PDI_Cash_Exception_Application[[#This Row],[TODAY]]-qry_ProdData2_PDI_Cash_Exception_Application[[#This Row],[CHANGED ON]]</f>
        <v>13.742928240739275</v>
      </c>
      <c r="N2677">
        <f ca="1">qry_ProdData2_PDI_Cash_Exception_Application[[#This Row],[TODAY]]-qry_ProdData2_PDI_Cash_Exception_Application[[#This Row],[CHANGED ON]]</f>
        <v>13.742928240739275</v>
      </c>
    </row>
    <row r="2678" spans="1:14" x14ac:dyDescent="0.35">
      <c r="A2678">
        <v>1035</v>
      </c>
      <c r="B2678" t="s">
        <v>89</v>
      </c>
      <c r="C2678" s="1">
        <v>45196.257071759261</v>
      </c>
      <c r="D2678" t="str">
        <f ca="1">VLOOKUP(qry_ProdData2_PDI_Cash_Exception_Application[[#This Row],[TYPE]],#REF!,2,FALSE)</f>
        <v>type38</v>
      </c>
      <c r="E2678">
        <v>276.48</v>
      </c>
      <c r="G2678" s="1">
        <f>qry_ProdData2_PDI_Cash_Exception_Application[[#This Row],[INSERT DATE]]+5</f>
        <v>45201.257071759261</v>
      </c>
      <c r="H2678" t="str">
        <f>VLOOKUP(qry_ProdData2_PDI_Cash_Exception_Application[[#This Row],[MARKET No]],'Site Allocation'!$B$2:$C$37,2,FALSE)</f>
        <v>Analyst6</v>
      </c>
      <c r="I2678" s="4">
        <f t="shared" ca="1" si="41"/>
        <v>45203</v>
      </c>
      <c r="J2678" s="42">
        <f ca="1">TODAY()-qry_ProdData2_PDI_Cash_Exception_Application[[#This Row],[INSERT DATE]]</f>
        <v>6.7429282407392748</v>
      </c>
      <c r="K26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678">
        <f ca="1">qry_ProdData2_PDI_Cash_Exception_Application[[#This Row],[TODAY]]-qry_ProdData2_PDI_Cash_Exception_Application[[#This Row],[CHANGED ON]]</f>
        <v>1.7429282407392748</v>
      </c>
      <c r="M2678">
        <f ca="1">qry_ProdData2_PDI_Cash_Exception_Application[[#This Row],[TODAY]]-qry_ProdData2_PDI_Cash_Exception_Application[[#This Row],[CHANGED ON]]</f>
        <v>1.7429282407392748</v>
      </c>
      <c r="N2678">
        <f ca="1">qry_ProdData2_PDI_Cash_Exception_Application[[#This Row],[TODAY]]-qry_ProdData2_PDI_Cash_Exception_Application[[#This Row],[CHANGED ON]]</f>
        <v>1.7429282407392748</v>
      </c>
    </row>
    <row r="2679" spans="1:14" x14ac:dyDescent="0.35">
      <c r="A2679">
        <v>1013</v>
      </c>
      <c r="B2679" t="s">
        <v>67</v>
      </c>
      <c r="C2679" s="1">
        <v>45191.257071759261</v>
      </c>
      <c r="D2679" t="str">
        <f ca="1">VLOOKUP(qry_ProdData2_PDI_Cash_Exception_Application[[#This Row],[TYPE]],#REF!,2,FALSE)</f>
        <v>type40</v>
      </c>
      <c r="E2679">
        <v>-497.78</v>
      </c>
      <c r="F2679" t="str">
        <f>qry_ProdData2_PDI_Cash_Exception_Application[[#This Row],[ANALYST]]</f>
        <v>Analyst3</v>
      </c>
      <c r="G2679" s="1">
        <f>qry_ProdData2_PDI_Cash_Exception_Application[[#This Row],[INSERT DATE]]+7</f>
        <v>45198.257071759261</v>
      </c>
      <c r="H2679" t="str">
        <f>VLOOKUP(qry_ProdData2_PDI_Cash_Exception_Application[[#This Row],[MARKET No]],'Site Allocation'!$B$2:$C$37,2,FALSE)</f>
        <v>Analyst3</v>
      </c>
      <c r="I2679" s="4">
        <f t="shared" ca="1" si="41"/>
        <v>45203</v>
      </c>
      <c r="J2679" s="42">
        <f ca="1">TODAY()-qry_ProdData2_PDI_Cash_Exception_Application[[#This Row],[INSERT DATE]]</f>
        <v>11.742928240739275</v>
      </c>
      <c r="K26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79">
        <f ca="1">qry_ProdData2_PDI_Cash_Exception_Application[[#This Row],[TODAY]]-qry_ProdData2_PDI_Cash_Exception_Application[[#This Row],[CHANGED ON]]</f>
        <v>4.7429282407392748</v>
      </c>
      <c r="M2679">
        <f ca="1">qry_ProdData2_PDI_Cash_Exception_Application[[#This Row],[TODAY]]-qry_ProdData2_PDI_Cash_Exception_Application[[#This Row],[CHANGED ON]]</f>
        <v>4.7429282407392748</v>
      </c>
      <c r="N2679">
        <f ca="1">qry_ProdData2_PDI_Cash_Exception_Application[[#This Row],[TODAY]]-qry_ProdData2_PDI_Cash_Exception_Application[[#This Row],[CHANGED ON]]</f>
        <v>4.7429282407392748</v>
      </c>
    </row>
    <row r="2680" spans="1:14" x14ac:dyDescent="0.35">
      <c r="A2680">
        <v>1010</v>
      </c>
      <c r="B2680" t="s">
        <v>64</v>
      </c>
      <c r="C2680" s="1">
        <v>45179.257071759261</v>
      </c>
      <c r="D2680" t="str">
        <f ca="1">VLOOKUP(qry_ProdData2_PDI_Cash_Exception_Application[[#This Row],[TYPE]],#REF!,2,FALSE)</f>
        <v>type40</v>
      </c>
      <c r="E2680">
        <v>-3957.33</v>
      </c>
      <c r="F2680" t="s">
        <v>50</v>
      </c>
      <c r="G2680" s="1">
        <f>qry_ProdData2_PDI_Cash_Exception_Application[[#This Row],[INSERT DATE]]+1</f>
        <v>45180.257071759261</v>
      </c>
      <c r="H2680" t="str">
        <f>VLOOKUP(qry_ProdData2_PDI_Cash_Exception_Application[[#This Row],[MARKET No]],'Site Allocation'!$B$2:$C$37,2,FALSE)</f>
        <v>Analyst2</v>
      </c>
      <c r="I2680" s="4">
        <f t="shared" ca="1" si="41"/>
        <v>45203</v>
      </c>
      <c r="J2680" s="42">
        <f ca="1">TODAY()-qry_ProdData2_PDI_Cash_Exception_Application[[#This Row],[INSERT DATE]]</f>
        <v>23.742928240739275</v>
      </c>
      <c r="K26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80">
        <f ca="1">qry_ProdData2_PDI_Cash_Exception_Application[[#This Row],[TODAY]]-qry_ProdData2_PDI_Cash_Exception_Application[[#This Row],[CHANGED ON]]</f>
        <v>22.742928240739275</v>
      </c>
      <c r="M2680">
        <f ca="1">qry_ProdData2_PDI_Cash_Exception_Application[[#This Row],[TODAY]]-qry_ProdData2_PDI_Cash_Exception_Application[[#This Row],[CHANGED ON]]</f>
        <v>22.742928240739275</v>
      </c>
      <c r="N2680">
        <f ca="1">qry_ProdData2_PDI_Cash_Exception_Application[[#This Row],[TODAY]]-qry_ProdData2_PDI_Cash_Exception_Application[[#This Row],[CHANGED ON]]</f>
        <v>22.742928240739275</v>
      </c>
    </row>
    <row r="2681" spans="1:14" x14ac:dyDescent="0.35">
      <c r="A2681">
        <v>1014</v>
      </c>
      <c r="B2681" t="s">
        <v>68</v>
      </c>
      <c r="C2681" s="1">
        <v>45185.257071759261</v>
      </c>
      <c r="D2681" t="str">
        <f ca="1">VLOOKUP(qry_ProdData2_PDI_Cash_Exception_Application[[#This Row],[TYPE]],#REF!,2,FALSE)</f>
        <v>type40</v>
      </c>
      <c r="E2681">
        <v>-2229.15</v>
      </c>
      <c r="F2681" t="str">
        <f>qry_ProdData2_PDI_Cash_Exception_Application[[#This Row],[ANALYST]]</f>
        <v>Analyst3</v>
      </c>
      <c r="G2681" s="1">
        <f>qry_ProdData2_PDI_Cash_Exception_Application[[#This Row],[INSERT DATE]]+2</f>
        <v>45187.257071759261</v>
      </c>
      <c r="H2681" t="str">
        <f>VLOOKUP(qry_ProdData2_PDI_Cash_Exception_Application[[#This Row],[MARKET No]],'Site Allocation'!$B$2:$C$37,2,FALSE)</f>
        <v>Analyst3</v>
      </c>
      <c r="I2681" s="4">
        <f t="shared" ca="1" si="41"/>
        <v>45203</v>
      </c>
      <c r="J2681" s="42">
        <f ca="1">TODAY()-qry_ProdData2_PDI_Cash_Exception_Application[[#This Row],[INSERT DATE]]</f>
        <v>17.742928240739275</v>
      </c>
      <c r="K26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81">
        <f ca="1">qry_ProdData2_PDI_Cash_Exception_Application[[#This Row],[TODAY]]-qry_ProdData2_PDI_Cash_Exception_Application[[#This Row],[CHANGED ON]]</f>
        <v>15.742928240739275</v>
      </c>
      <c r="M2681">
        <f ca="1">qry_ProdData2_PDI_Cash_Exception_Application[[#This Row],[TODAY]]-qry_ProdData2_PDI_Cash_Exception_Application[[#This Row],[CHANGED ON]]</f>
        <v>15.742928240739275</v>
      </c>
      <c r="N2681">
        <f ca="1">qry_ProdData2_PDI_Cash_Exception_Application[[#This Row],[TODAY]]-qry_ProdData2_PDI_Cash_Exception_Application[[#This Row],[CHANGED ON]]</f>
        <v>15.742928240739275</v>
      </c>
    </row>
    <row r="2682" spans="1:14" x14ac:dyDescent="0.35">
      <c r="A2682">
        <v>1011</v>
      </c>
      <c r="B2682" t="s">
        <v>65</v>
      </c>
      <c r="C2682" s="1">
        <v>45181.257071759261</v>
      </c>
      <c r="D2682" t="str">
        <f ca="1">VLOOKUP(qry_ProdData2_PDI_Cash_Exception_Application[[#This Row],[TYPE]],#REF!,2,FALSE)</f>
        <v>type40</v>
      </c>
      <c r="E2682">
        <v>-681.71</v>
      </c>
      <c r="F2682" t="s">
        <v>52</v>
      </c>
      <c r="G2682" s="1">
        <f>qry_ProdData2_PDI_Cash_Exception_Application[[#This Row],[INSERT DATE]]+1</f>
        <v>45182.257071759261</v>
      </c>
      <c r="H2682" t="str">
        <f>VLOOKUP(qry_ProdData2_PDI_Cash_Exception_Application[[#This Row],[MARKET No]],'Site Allocation'!$B$2:$C$37,2,FALSE)</f>
        <v>Analyst2</v>
      </c>
      <c r="I2682" s="4">
        <f t="shared" ca="1" si="41"/>
        <v>45203</v>
      </c>
      <c r="J2682" s="42">
        <f ca="1">TODAY()-qry_ProdData2_PDI_Cash_Exception_Application[[#This Row],[INSERT DATE]]</f>
        <v>21.742928240739275</v>
      </c>
      <c r="K26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82">
        <f ca="1">qry_ProdData2_PDI_Cash_Exception_Application[[#This Row],[TODAY]]-qry_ProdData2_PDI_Cash_Exception_Application[[#This Row],[CHANGED ON]]</f>
        <v>20.742928240739275</v>
      </c>
      <c r="M2682">
        <f ca="1">qry_ProdData2_PDI_Cash_Exception_Application[[#This Row],[TODAY]]-qry_ProdData2_PDI_Cash_Exception_Application[[#This Row],[CHANGED ON]]</f>
        <v>20.742928240739275</v>
      </c>
      <c r="N2682">
        <f ca="1">qry_ProdData2_PDI_Cash_Exception_Application[[#This Row],[TODAY]]-qry_ProdData2_PDI_Cash_Exception_Application[[#This Row],[CHANGED ON]]</f>
        <v>20.742928240739275</v>
      </c>
    </row>
    <row r="2683" spans="1:14" x14ac:dyDescent="0.35">
      <c r="A2683">
        <v>1016</v>
      </c>
      <c r="B2683" t="s">
        <v>70</v>
      </c>
      <c r="C2683" s="1">
        <v>45196.257071759261</v>
      </c>
      <c r="D2683" t="str">
        <f ca="1">VLOOKUP(qry_ProdData2_PDI_Cash_Exception_Application[[#This Row],[TYPE]],#REF!,2,FALSE)</f>
        <v>type26</v>
      </c>
      <c r="E2683">
        <v>927.24</v>
      </c>
      <c r="F2683" t="str">
        <f>qry_ProdData2_PDI_Cash_Exception_Application[[#This Row],[ANALYST]]</f>
        <v>Analyst3</v>
      </c>
      <c r="G2683" s="1">
        <f>qry_ProdData2_PDI_Cash_Exception_Application[[#This Row],[INSERT DATE]]+7</f>
        <v>45203.257071759261</v>
      </c>
      <c r="H2683" t="str">
        <f>VLOOKUP(qry_ProdData2_PDI_Cash_Exception_Application[[#This Row],[MARKET No]],'Site Allocation'!$B$2:$C$37,2,FALSE)</f>
        <v>Analyst3</v>
      </c>
      <c r="I2683" s="4">
        <f t="shared" ca="1" si="41"/>
        <v>45203</v>
      </c>
      <c r="J2683" s="42">
        <f ca="1">TODAY()-qry_ProdData2_PDI_Cash_Exception_Application[[#This Row],[INSERT DATE]]</f>
        <v>6.7429282407392748</v>
      </c>
      <c r="K26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683">
        <f ca="1">qry_ProdData2_PDI_Cash_Exception_Application[[#This Row],[TODAY]]-qry_ProdData2_PDI_Cash_Exception_Application[[#This Row],[CHANGED ON]]</f>
        <v>-0.25707175926072523</v>
      </c>
      <c r="M2683">
        <f ca="1">qry_ProdData2_PDI_Cash_Exception_Application[[#This Row],[TODAY]]-qry_ProdData2_PDI_Cash_Exception_Application[[#This Row],[CHANGED ON]]</f>
        <v>-0.25707175926072523</v>
      </c>
      <c r="N2683">
        <f ca="1">qry_ProdData2_PDI_Cash_Exception_Application[[#This Row],[TODAY]]-qry_ProdData2_PDI_Cash_Exception_Application[[#This Row],[CHANGED ON]]</f>
        <v>-0.25707175926072523</v>
      </c>
    </row>
    <row r="2684" spans="1:14" x14ac:dyDescent="0.35">
      <c r="A2684">
        <v>1031</v>
      </c>
      <c r="B2684" t="s">
        <v>85</v>
      </c>
      <c r="C2684" s="1">
        <v>45187.257071759261</v>
      </c>
      <c r="D2684" t="str">
        <f ca="1">VLOOKUP(qry_ProdData2_PDI_Cash_Exception_Application[[#This Row],[TYPE]],#REF!,2,FALSE)</f>
        <v>type15</v>
      </c>
      <c r="E2684">
        <v>-2406.4</v>
      </c>
      <c r="F2684" t="s">
        <v>48</v>
      </c>
      <c r="G2684" s="1">
        <f>qry_ProdData2_PDI_Cash_Exception_Application[[#This Row],[INSERT DATE]]+5</f>
        <v>45192.257071759261</v>
      </c>
      <c r="H2684" t="str">
        <f>VLOOKUP(qry_ProdData2_PDI_Cash_Exception_Application[[#This Row],[MARKET No]],'Site Allocation'!$B$2:$C$37,2,FALSE)</f>
        <v>Analyst6</v>
      </c>
      <c r="I2684" s="4">
        <f t="shared" ca="1" si="41"/>
        <v>45203</v>
      </c>
      <c r="J2684" s="42">
        <f ca="1">TODAY()-qry_ProdData2_PDI_Cash_Exception_Application[[#This Row],[INSERT DATE]]</f>
        <v>15.742928240739275</v>
      </c>
      <c r="K26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84">
        <f ca="1">qry_ProdData2_PDI_Cash_Exception_Application[[#This Row],[TODAY]]-qry_ProdData2_PDI_Cash_Exception_Application[[#This Row],[CHANGED ON]]</f>
        <v>10.742928240739275</v>
      </c>
      <c r="M2684">
        <f ca="1">qry_ProdData2_PDI_Cash_Exception_Application[[#This Row],[TODAY]]-qry_ProdData2_PDI_Cash_Exception_Application[[#This Row],[CHANGED ON]]</f>
        <v>10.742928240739275</v>
      </c>
      <c r="N2684">
        <f ca="1">qry_ProdData2_PDI_Cash_Exception_Application[[#This Row],[TODAY]]-qry_ProdData2_PDI_Cash_Exception_Application[[#This Row],[CHANGED ON]]</f>
        <v>10.742928240739275</v>
      </c>
    </row>
    <row r="2685" spans="1:14" x14ac:dyDescent="0.35">
      <c r="A2685">
        <v>1017</v>
      </c>
      <c r="B2685" t="s">
        <v>71</v>
      </c>
      <c r="C2685" s="1">
        <v>45197.257071759261</v>
      </c>
      <c r="D2685" t="str">
        <f ca="1">VLOOKUP(qry_ProdData2_PDI_Cash_Exception_Application[[#This Row],[TYPE]],#REF!,2,FALSE)</f>
        <v>type40</v>
      </c>
      <c r="E2685">
        <v>-658.46</v>
      </c>
      <c r="F2685" t="str">
        <f>qry_ProdData2_PDI_Cash_Exception_Application[[#This Row],[ANALYST]]</f>
        <v>Analyst3</v>
      </c>
      <c r="G2685" s="1">
        <f>qry_ProdData2_PDI_Cash_Exception_Application[[#This Row],[INSERT DATE]]+5</f>
        <v>45202.257071759261</v>
      </c>
      <c r="H2685" t="str">
        <f>VLOOKUP(qry_ProdData2_PDI_Cash_Exception_Application[[#This Row],[MARKET No]],'Site Allocation'!$B$2:$C$37,2,FALSE)</f>
        <v>Analyst3</v>
      </c>
      <c r="I2685" s="4">
        <f t="shared" ca="1" si="41"/>
        <v>45203</v>
      </c>
      <c r="J2685" s="42">
        <f ca="1">TODAY()-qry_ProdData2_PDI_Cash_Exception_Application[[#This Row],[INSERT DATE]]</f>
        <v>5.7429282407392748</v>
      </c>
      <c r="K26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685">
        <f ca="1">qry_ProdData2_PDI_Cash_Exception_Application[[#This Row],[TODAY]]-qry_ProdData2_PDI_Cash_Exception_Application[[#This Row],[CHANGED ON]]</f>
        <v>0.74292824073927477</v>
      </c>
      <c r="M2685">
        <f ca="1">qry_ProdData2_PDI_Cash_Exception_Application[[#This Row],[TODAY]]-qry_ProdData2_PDI_Cash_Exception_Application[[#This Row],[CHANGED ON]]</f>
        <v>0.74292824073927477</v>
      </c>
      <c r="N2685">
        <f ca="1">qry_ProdData2_PDI_Cash_Exception_Application[[#This Row],[TODAY]]-qry_ProdData2_PDI_Cash_Exception_Application[[#This Row],[CHANGED ON]]</f>
        <v>0.74292824073927477</v>
      </c>
    </row>
    <row r="2686" spans="1:14" x14ac:dyDescent="0.35">
      <c r="A2686">
        <v>1002</v>
      </c>
      <c r="B2686" t="s">
        <v>56</v>
      </c>
      <c r="C2686" s="1">
        <v>45183.257071759261</v>
      </c>
      <c r="D2686" t="str">
        <f ca="1">VLOOKUP(qry_ProdData2_PDI_Cash_Exception_Application[[#This Row],[TYPE]],#REF!,2,FALSE)</f>
        <v>type13</v>
      </c>
      <c r="E2686">
        <v>28805.4</v>
      </c>
      <c r="F2686" t="s">
        <v>52</v>
      </c>
      <c r="G2686" s="1">
        <f>qry_ProdData2_PDI_Cash_Exception_Application[[#This Row],[INSERT DATE]]+1</f>
        <v>45184.257071759261</v>
      </c>
      <c r="H2686" t="str">
        <f>VLOOKUP(qry_ProdData2_PDI_Cash_Exception_Application[[#This Row],[MARKET No]],'Site Allocation'!$B$2:$C$37,2,FALSE)</f>
        <v>Analyst1</v>
      </c>
      <c r="I2686" s="4">
        <f t="shared" ca="1" si="41"/>
        <v>45203</v>
      </c>
      <c r="J2686" s="42">
        <f ca="1">TODAY()-qry_ProdData2_PDI_Cash_Exception_Application[[#This Row],[INSERT DATE]]</f>
        <v>19.742928240739275</v>
      </c>
      <c r="K26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86">
        <f ca="1">qry_ProdData2_PDI_Cash_Exception_Application[[#This Row],[TODAY]]-qry_ProdData2_PDI_Cash_Exception_Application[[#This Row],[CHANGED ON]]</f>
        <v>18.742928240739275</v>
      </c>
      <c r="M2686">
        <f ca="1">qry_ProdData2_PDI_Cash_Exception_Application[[#This Row],[TODAY]]-qry_ProdData2_PDI_Cash_Exception_Application[[#This Row],[CHANGED ON]]</f>
        <v>18.742928240739275</v>
      </c>
      <c r="N2686">
        <f ca="1">qry_ProdData2_PDI_Cash_Exception_Application[[#This Row],[TODAY]]-qry_ProdData2_PDI_Cash_Exception_Application[[#This Row],[CHANGED ON]]</f>
        <v>18.742928240739275</v>
      </c>
    </row>
    <row r="2687" spans="1:14" x14ac:dyDescent="0.35">
      <c r="A2687">
        <v>1032</v>
      </c>
      <c r="B2687" t="s">
        <v>86</v>
      </c>
      <c r="C2687" s="1">
        <v>45184.257071759261</v>
      </c>
      <c r="D2687" t="str">
        <f ca="1">VLOOKUP(qry_ProdData2_PDI_Cash_Exception_Application[[#This Row],[TYPE]],#REF!,2,FALSE)</f>
        <v>type40</v>
      </c>
      <c r="E2687">
        <v>353.32</v>
      </c>
      <c r="F2687" t="s">
        <v>52</v>
      </c>
      <c r="G2687" s="1">
        <f>qry_ProdData2_PDI_Cash_Exception_Application[[#This Row],[INSERT DATE]]+2</f>
        <v>45186.257071759261</v>
      </c>
      <c r="H2687" t="str">
        <f>VLOOKUP(qry_ProdData2_PDI_Cash_Exception_Application[[#This Row],[MARKET No]],'Site Allocation'!$B$2:$C$37,2,FALSE)</f>
        <v>Analyst6</v>
      </c>
      <c r="I2687" s="4">
        <f t="shared" ca="1" si="41"/>
        <v>45203</v>
      </c>
      <c r="J2687" s="42">
        <f ca="1">TODAY()-qry_ProdData2_PDI_Cash_Exception_Application[[#This Row],[INSERT DATE]]</f>
        <v>18.742928240739275</v>
      </c>
      <c r="K26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87">
        <f ca="1">qry_ProdData2_PDI_Cash_Exception_Application[[#This Row],[TODAY]]-qry_ProdData2_PDI_Cash_Exception_Application[[#This Row],[CHANGED ON]]</f>
        <v>16.742928240739275</v>
      </c>
      <c r="M2687">
        <f ca="1">qry_ProdData2_PDI_Cash_Exception_Application[[#This Row],[TODAY]]-qry_ProdData2_PDI_Cash_Exception_Application[[#This Row],[CHANGED ON]]</f>
        <v>16.742928240739275</v>
      </c>
      <c r="N2687">
        <f ca="1">qry_ProdData2_PDI_Cash_Exception_Application[[#This Row],[TODAY]]-qry_ProdData2_PDI_Cash_Exception_Application[[#This Row],[CHANGED ON]]</f>
        <v>16.742928240739275</v>
      </c>
    </row>
    <row r="2688" spans="1:14" x14ac:dyDescent="0.35">
      <c r="A2688">
        <v>1024</v>
      </c>
      <c r="B2688" t="s">
        <v>78</v>
      </c>
      <c r="C2688" s="1">
        <v>45184.257071759261</v>
      </c>
      <c r="D2688" t="str">
        <f ca="1">VLOOKUP(qry_ProdData2_PDI_Cash_Exception_Application[[#This Row],[TYPE]],#REF!,2,FALSE)</f>
        <v>type13</v>
      </c>
      <c r="E2688">
        <v>26424.07</v>
      </c>
      <c r="F2688" t="s">
        <v>50</v>
      </c>
      <c r="G2688" s="1">
        <f>qry_ProdData2_PDI_Cash_Exception_Application[[#This Row],[INSERT DATE]]+2</f>
        <v>45186.257071759261</v>
      </c>
      <c r="H2688" t="str">
        <f>VLOOKUP(qry_ProdData2_PDI_Cash_Exception_Application[[#This Row],[MARKET No]],'Site Allocation'!$B$2:$C$37,2,FALSE)</f>
        <v>Analyst5</v>
      </c>
      <c r="I2688" s="4">
        <f t="shared" ca="1" si="41"/>
        <v>45203</v>
      </c>
      <c r="J2688" s="42">
        <f ca="1">TODAY()-qry_ProdData2_PDI_Cash_Exception_Application[[#This Row],[INSERT DATE]]</f>
        <v>18.742928240739275</v>
      </c>
      <c r="K26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88">
        <f ca="1">qry_ProdData2_PDI_Cash_Exception_Application[[#This Row],[TODAY]]-qry_ProdData2_PDI_Cash_Exception_Application[[#This Row],[CHANGED ON]]</f>
        <v>16.742928240739275</v>
      </c>
      <c r="M2688">
        <f ca="1">qry_ProdData2_PDI_Cash_Exception_Application[[#This Row],[TODAY]]-qry_ProdData2_PDI_Cash_Exception_Application[[#This Row],[CHANGED ON]]</f>
        <v>16.742928240739275</v>
      </c>
      <c r="N2688">
        <f ca="1">qry_ProdData2_PDI_Cash_Exception_Application[[#This Row],[TODAY]]-qry_ProdData2_PDI_Cash_Exception_Application[[#This Row],[CHANGED ON]]</f>
        <v>16.742928240739275</v>
      </c>
    </row>
    <row r="2689" spans="1:14" x14ac:dyDescent="0.35">
      <c r="A2689">
        <v>1016</v>
      </c>
      <c r="B2689" t="s">
        <v>70</v>
      </c>
      <c r="C2689" s="1">
        <v>45189.257071759261</v>
      </c>
      <c r="D2689" t="str">
        <f ca="1">VLOOKUP(qry_ProdData2_PDI_Cash_Exception_Application[[#This Row],[TYPE]],#REF!,2,FALSE)</f>
        <v>type40</v>
      </c>
      <c r="E2689">
        <v>694.4</v>
      </c>
      <c r="F2689" t="s">
        <v>51</v>
      </c>
      <c r="G2689" s="1">
        <f>qry_ProdData2_PDI_Cash_Exception_Application[[#This Row],[INSERT DATE]]+1</f>
        <v>45190.257071759261</v>
      </c>
      <c r="H2689" t="str">
        <f>VLOOKUP(qry_ProdData2_PDI_Cash_Exception_Application[[#This Row],[MARKET No]],'Site Allocation'!$B$2:$C$37,2,FALSE)</f>
        <v>Analyst3</v>
      </c>
      <c r="I2689" s="4">
        <f t="shared" ca="1" si="41"/>
        <v>45203</v>
      </c>
      <c r="J2689" s="42">
        <f ca="1">TODAY()-qry_ProdData2_PDI_Cash_Exception_Application[[#This Row],[INSERT DATE]]</f>
        <v>13.742928240739275</v>
      </c>
      <c r="K26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89">
        <f ca="1">qry_ProdData2_PDI_Cash_Exception_Application[[#This Row],[TODAY]]-qry_ProdData2_PDI_Cash_Exception_Application[[#This Row],[CHANGED ON]]</f>
        <v>12.742928240739275</v>
      </c>
      <c r="M2689">
        <f ca="1">qry_ProdData2_PDI_Cash_Exception_Application[[#This Row],[TODAY]]-qry_ProdData2_PDI_Cash_Exception_Application[[#This Row],[CHANGED ON]]</f>
        <v>12.742928240739275</v>
      </c>
      <c r="N2689">
        <f ca="1">qry_ProdData2_PDI_Cash_Exception_Application[[#This Row],[TODAY]]-qry_ProdData2_PDI_Cash_Exception_Application[[#This Row],[CHANGED ON]]</f>
        <v>12.742928240739275</v>
      </c>
    </row>
    <row r="2690" spans="1:14" x14ac:dyDescent="0.35">
      <c r="A2690">
        <v>1011</v>
      </c>
      <c r="B2690" t="s">
        <v>65</v>
      </c>
      <c r="C2690" s="1">
        <v>45185.257071759261</v>
      </c>
      <c r="D2690" t="str">
        <f ca="1">VLOOKUP(qry_ProdData2_PDI_Cash_Exception_Application[[#This Row],[TYPE]],#REF!,2,FALSE)</f>
        <v>type13</v>
      </c>
      <c r="E2690">
        <v>36152.269999999997</v>
      </c>
      <c r="F2690" t="s">
        <v>50</v>
      </c>
      <c r="G2690" s="1">
        <f>qry_ProdData2_PDI_Cash_Exception_Application[[#This Row],[INSERT DATE]]+2</f>
        <v>45187.257071759261</v>
      </c>
      <c r="H2690" t="str">
        <f>VLOOKUP(qry_ProdData2_PDI_Cash_Exception_Application[[#This Row],[MARKET No]],'Site Allocation'!$B$2:$C$37,2,FALSE)</f>
        <v>Analyst2</v>
      </c>
      <c r="I2690" s="4">
        <f t="shared" ref="I2690:I2753" ca="1" si="42">TODAY()</f>
        <v>45203</v>
      </c>
      <c r="J2690" s="42">
        <f ca="1">TODAY()-qry_ProdData2_PDI_Cash_Exception_Application[[#This Row],[INSERT DATE]]</f>
        <v>17.742928240739275</v>
      </c>
      <c r="K26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90">
        <f ca="1">qry_ProdData2_PDI_Cash_Exception_Application[[#This Row],[TODAY]]-qry_ProdData2_PDI_Cash_Exception_Application[[#This Row],[CHANGED ON]]</f>
        <v>15.742928240739275</v>
      </c>
      <c r="M2690">
        <f ca="1">qry_ProdData2_PDI_Cash_Exception_Application[[#This Row],[TODAY]]-qry_ProdData2_PDI_Cash_Exception_Application[[#This Row],[CHANGED ON]]</f>
        <v>15.742928240739275</v>
      </c>
      <c r="N2690">
        <f ca="1">qry_ProdData2_PDI_Cash_Exception_Application[[#This Row],[TODAY]]-qry_ProdData2_PDI_Cash_Exception_Application[[#This Row],[CHANGED ON]]</f>
        <v>15.742928240739275</v>
      </c>
    </row>
    <row r="2691" spans="1:14" x14ac:dyDescent="0.35">
      <c r="A2691">
        <v>1001</v>
      </c>
      <c r="B2691" t="s">
        <v>55</v>
      </c>
      <c r="C2691" s="1">
        <v>45190.257071759261</v>
      </c>
      <c r="D2691" t="str">
        <f ca="1">VLOOKUP(qry_ProdData2_PDI_Cash_Exception_Application[[#This Row],[TYPE]],#REF!,2,FALSE)</f>
        <v>type8</v>
      </c>
      <c r="E2691">
        <v>118</v>
      </c>
      <c r="F2691" t="s">
        <v>48</v>
      </c>
      <c r="G2691" s="1">
        <f>qry_ProdData2_PDI_Cash_Exception_Application[[#This Row],[INSERT DATE]]+7</f>
        <v>45197.257071759261</v>
      </c>
      <c r="H2691" t="str">
        <f>VLOOKUP(qry_ProdData2_PDI_Cash_Exception_Application[[#This Row],[MARKET No]],'Site Allocation'!$B$2:$C$37,2,FALSE)</f>
        <v>Analyst1</v>
      </c>
      <c r="I2691" s="4">
        <f t="shared" ca="1" si="42"/>
        <v>45203</v>
      </c>
      <c r="J2691" s="42">
        <f ca="1">TODAY()-qry_ProdData2_PDI_Cash_Exception_Application[[#This Row],[INSERT DATE]]</f>
        <v>12.742928240739275</v>
      </c>
      <c r="K26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91">
        <f ca="1">qry_ProdData2_PDI_Cash_Exception_Application[[#This Row],[TODAY]]-qry_ProdData2_PDI_Cash_Exception_Application[[#This Row],[CHANGED ON]]</f>
        <v>5.7429282407392748</v>
      </c>
      <c r="M2691">
        <f ca="1">qry_ProdData2_PDI_Cash_Exception_Application[[#This Row],[TODAY]]-qry_ProdData2_PDI_Cash_Exception_Application[[#This Row],[CHANGED ON]]</f>
        <v>5.7429282407392748</v>
      </c>
      <c r="N2691">
        <f ca="1">qry_ProdData2_PDI_Cash_Exception_Application[[#This Row],[TODAY]]-qry_ProdData2_PDI_Cash_Exception_Application[[#This Row],[CHANGED ON]]</f>
        <v>5.7429282407392748</v>
      </c>
    </row>
    <row r="2692" spans="1:14" x14ac:dyDescent="0.35">
      <c r="A2692">
        <v>1023</v>
      </c>
      <c r="B2692" t="s">
        <v>77</v>
      </c>
      <c r="C2692" s="1">
        <v>45185.257071759261</v>
      </c>
      <c r="D2692" t="str">
        <f ca="1">VLOOKUP(qry_ProdData2_PDI_Cash_Exception_Application[[#This Row],[TYPE]],#REF!,2,FALSE)</f>
        <v>type33</v>
      </c>
      <c r="E2692">
        <v>388.26</v>
      </c>
      <c r="F2692" t="s">
        <v>51</v>
      </c>
      <c r="G2692" s="1">
        <f>qry_ProdData2_PDI_Cash_Exception_Application[[#This Row],[INSERT DATE]]+1</f>
        <v>45186.257071759261</v>
      </c>
      <c r="H2692" t="str">
        <f>VLOOKUP(qry_ProdData2_PDI_Cash_Exception_Application[[#This Row],[MARKET No]],'Site Allocation'!$B$2:$C$37,2,FALSE)</f>
        <v>Analyst4</v>
      </c>
      <c r="I2692" s="4">
        <f t="shared" ca="1" si="42"/>
        <v>45203</v>
      </c>
      <c r="J2692" s="42">
        <f ca="1">TODAY()-qry_ProdData2_PDI_Cash_Exception_Application[[#This Row],[INSERT DATE]]</f>
        <v>17.742928240739275</v>
      </c>
      <c r="K26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92">
        <f ca="1">qry_ProdData2_PDI_Cash_Exception_Application[[#This Row],[TODAY]]-qry_ProdData2_PDI_Cash_Exception_Application[[#This Row],[CHANGED ON]]</f>
        <v>16.742928240739275</v>
      </c>
      <c r="M2692">
        <f ca="1">qry_ProdData2_PDI_Cash_Exception_Application[[#This Row],[TODAY]]-qry_ProdData2_PDI_Cash_Exception_Application[[#This Row],[CHANGED ON]]</f>
        <v>16.742928240739275</v>
      </c>
      <c r="N2692">
        <f ca="1">qry_ProdData2_PDI_Cash_Exception_Application[[#This Row],[TODAY]]-qry_ProdData2_PDI_Cash_Exception_Application[[#This Row],[CHANGED ON]]</f>
        <v>16.742928240739275</v>
      </c>
    </row>
    <row r="2693" spans="1:14" x14ac:dyDescent="0.35">
      <c r="A2693">
        <v>1026</v>
      </c>
      <c r="B2693" t="s">
        <v>80</v>
      </c>
      <c r="C2693" s="1">
        <v>45189.257071759261</v>
      </c>
      <c r="D2693" t="str">
        <f ca="1">VLOOKUP(qry_ProdData2_PDI_Cash_Exception_Application[[#This Row],[TYPE]],#REF!,2,FALSE)</f>
        <v>type40</v>
      </c>
      <c r="E2693">
        <v>-5376.3</v>
      </c>
      <c r="F2693" t="s">
        <v>51</v>
      </c>
      <c r="G2693" s="1">
        <f>qry_ProdData2_PDI_Cash_Exception_Application[[#This Row],[INSERT DATE]]+1</f>
        <v>45190.257071759261</v>
      </c>
      <c r="H2693" t="str">
        <f>VLOOKUP(qry_ProdData2_PDI_Cash_Exception_Application[[#This Row],[MARKET No]],'Site Allocation'!$B$2:$C$37,2,FALSE)</f>
        <v>Analyst5</v>
      </c>
      <c r="I2693" s="4">
        <f t="shared" ca="1" si="42"/>
        <v>45203</v>
      </c>
      <c r="J2693" s="42">
        <f ca="1">TODAY()-qry_ProdData2_PDI_Cash_Exception_Application[[#This Row],[INSERT DATE]]</f>
        <v>13.742928240739275</v>
      </c>
      <c r="K26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93">
        <f ca="1">qry_ProdData2_PDI_Cash_Exception_Application[[#This Row],[TODAY]]-qry_ProdData2_PDI_Cash_Exception_Application[[#This Row],[CHANGED ON]]</f>
        <v>12.742928240739275</v>
      </c>
      <c r="M2693">
        <f ca="1">qry_ProdData2_PDI_Cash_Exception_Application[[#This Row],[TODAY]]-qry_ProdData2_PDI_Cash_Exception_Application[[#This Row],[CHANGED ON]]</f>
        <v>12.742928240739275</v>
      </c>
      <c r="N2693">
        <f ca="1">qry_ProdData2_PDI_Cash_Exception_Application[[#This Row],[TODAY]]-qry_ProdData2_PDI_Cash_Exception_Application[[#This Row],[CHANGED ON]]</f>
        <v>12.742928240739275</v>
      </c>
    </row>
    <row r="2694" spans="1:14" x14ac:dyDescent="0.35">
      <c r="A2694">
        <v>1025</v>
      </c>
      <c r="B2694" t="s">
        <v>79</v>
      </c>
      <c r="C2694" s="1">
        <v>45197.257071759261</v>
      </c>
      <c r="D2694" t="str">
        <f ca="1">VLOOKUP(qry_ProdData2_PDI_Cash_Exception_Application[[#This Row],[TYPE]],#REF!,2,FALSE)</f>
        <v>type35</v>
      </c>
      <c r="E2694">
        <v>1280.92</v>
      </c>
      <c r="F2694" t="s">
        <v>49</v>
      </c>
      <c r="G2694" s="1">
        <f>qry_ProdData2_PDI_Cash_Exception_Application[[#This Row],[INSERT DATE]]+7</f>
        <v>45204.257071759261</v>
      </c>
      <c r="H2694" t="str">
        <f>VLOOKUP(qry_ProdData2_PDI_Cash_Exception_Application[[#This Row],[MARKET No]],'Site Allocation'!$B$2:$C$37,2,FALSE)</f>
        <v>Analyst5</v>
      </c>
      <c r="I2694" s="4">
        <f t="shared" ca="1" si="42"/>
        <v>45203</v>
      </c>
      <c r="J2694" s="42">
        <f ca="1">TODAY()-qry_ProdData2_PDI_Cash_Exception_Application[[#This Row],[INSERT DATE]]</f>
        <v>5.7429282407392748</v>
      </c>
      <c r="K26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694">
        <f ca="1">qry_ProdData2_PDI_Cash_Exception_Application[[#This Row],[TODAY]]-qry_ProdData2_PDI_Cash_Exception_Application[[#This Row],[CHANGED ON]]</f>
        <v>-1.2570717592607252</v>
      </c>
      <c r="M2694">
        <f ca="1">qry_ProdData2_PDI_Cash_Exception_Application[[#This Row],[TODAY]]-qry_ProdData2_PDI_Cash_Exception_Application[[#This Row],[CHANGED ON]]</f>
        <v>-1.2570717592607252</v>
      </c>
      <c r="N2694">
        <f ca="1">qry_ProdData2_PDI_Cash_Exception_Application[[#This Row],[TODAY]]-qry_ProdData2_PDI_Cash_Exception_Application[[#This Row],[CHANGED ON]]</f>
        <v>-1.2570717592607252</v>
      </c>
    </row>
    <row r="2695" spans="1:14" x14ac:dyDescent="0.35">
      <c r="A2695">
        <v>1027</v>
      </c>
      <c r="B2695" t="s">
        <v>81</v>
      </c>
      <c r="C2695" s="1">
        <v>45190.257071759261</v>
      </c>
      <c r="D2695" t="str">
        <f ca="1">VLOOKUP(qry_ProdData2_PDI_Cash_Exception_Application[[#This Row],[TYPE]],#REF!,2,FALSE)</f>
        <v>type13</v>
      </c>
      <c r="E2695">
        <v>27443.21</v>
      </c>
      <c r="F2695" t="s">
        <v>51</v>
      </c>
      <c r="G2695" s="1">
        <f>qry_ProdData2_PDI_Cash_Exception_Application[[#This Row],[INSERT DATE]]+2</f>
        <v>45192.257071759261</v>
      </c>
      <c r="H2695" t="str">
        <f>VLOOKUP(qry_ProdData2_PDI_Cash_Exception_Application[[#This Row],[MARKET No]],'Site Allocation'!$B$2:$C$37,2,FALSE)</f>
        <v>Analyst5</v>
      </c>
      <c r="I2695" s="4">
        <f t="shared" ca="1" si="42"/>
        <v>45203</v>
      </c>
      <c r="J2695" s="42">
        <f ca="1">TODAY()-qry_ProdData2_PDI_Cash_Exception_Application[[#This Row],[INSERT DATE]]</f>
        <v>12.742928240739275</v>
      </c>
      <c r="K26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95">
        <f ca="1">qry_ProdData2_PDI_Cash_Exception_Application[[#This Row],[TODAY]]-qry_ProdData2_PDI_Cash_Exception_Application[[#This Row],[CHANGED ON]]</f>
        <v>10.742928240739275</v>
      </c>
      <c r="M2695">
        <f ca="1">qry_ProdData2_PDI_Cash_Exception_Application[[#This Row],[TODAY]]-qry_ProdData2_PDI_Cash_Exception_Application[[#This Row],[CHANGED ON]]</f>
        <v>10.742928240739275</v>
      </c>
      <c r="N2695">
        <f ca="1">qry_ProdData2_PDI_Cash_Exception_Application[[#This Row],[TODAY]]-qry_ProdData2_PDI_Cash_Exception_Application[[#This Row],[CHANGED ON]]</f>
        <v>10.742928240739275</v>
      </c>
    </row>
    <row r="2696" spans="1:14" x14ac:dyDescent="0.35">
      <c r="A2696">
        <v>1018</v>
      </c>
      <c r="B2696" t="s">
        <v>72</v>
      </c>
      <c r="C2696" s="1">
        <v>45196.257071759261</v>
      </c>
      <c r="D2696" t="str">
        <f ca="1">VLOOKUP(qry_ProdData2_PDI_Cash_Exception_Application[[#This Row],[TYPE]],#REF!,2,FALSE)</f>
        <v>type32</v>
      </c>
      <c r="E2696">
        <v>476579.04</v>
      </c>
      <c r="F2696" t="s">
        <v>49</v>
      </c>
      <c r="G2696" s="1">
        <f>qry_ProdData2_PDI_Cash_Exception_Application[[#This Row],[INSERT DATE]]+5</f>
        <v>45201.257071759261</v>
      </c>
      <c r="H2696" t="str">
        <f>VLOOKUP(qry_ProdData2_PDI_Cash_Exception_Application[[#This Row],[MARKET No]],'Site Allocation'!$B$2:$C$37,2,FALSE)</f>
        <v>Analyst4</v>
      </c>
      <c r="I2696" s="4">
        <f t="shared" ca="1" si="42"/>
        <v>45203</v>
      </c>
      <c r="J2696" s="42">
        <f ca="1">TODAY()-qry_ProdData2_PDI_Cash_Exception_Application[[#This Row],[INSERT DATE]]</f>
        <v>6.7429282407392748</v>
      </c>
      <c r="K26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696">
        <f ca="1">qry_ProdData2_PDI_Cash_Exception_Application[[#This Row],[TODAY]]-qry_ProdData2_PDI_Cash_Exception_Application[[#This Row],[CHANGED ON]]</f>
        <v>1.7429282407392748</v>
      </c>
      <c r="M2696">
        <f ca="1">qry_ProdData2_PDI_Cash_Exception_Application[[#This Row],[TODAY]]-qry_ProdData2_PDI_Cash_Exception_Application[[#This Row],[CHANGED ON]]</f>
        <v>1.7429282407392748</v>
      </c>
      <c r="N2696">
        <f ca="1">qry_ProdData2_PDI_Cash_Exception_Application[[#This Row],[TODAY]]-qry_ProdData2_PDI_Cash_Exception_Application[[#This Row],[CHANGED ON]]</f>
        <v>1.7429282407392748</v>
      </c>
    </row>
    <row r="2697" spans="1:14" x14ac:dyDescent="0.35">
      <c r="A2697">
        <v>1013</v>
      </c>
      <c r="B2697" t="s">
        <v>67</v>
      </c>
      <c r="C2697" s="1">
        <v>45192.257071759261</v>
      </c>
      <c r="D2697" t="str">
        <f ca="1">VLOOKUP(qry_ProdData2_PDI_Cash_Exception_Application[[#This Row],[TYPE]],#REF!,2,FALSE)</f>
        <v>type40</v>
      </c>
      <c r="E2697">
        <v>-515.79</v>
      </c>
      <c r="F2697" t="s">
        <v>48</v>
      </c>
      <c r="G2697" s="1">
        <f>qry_ProdData2_PDI_Cash_Exception_Application[[#This Row],[INSERT DATE]]+7</f>
        <v>45199.257071759261</v>
      </c>
      <c r="H2697" t="str">
        <f>VLOOKUP(qry_ProdData2_PDI_Cash_Exception_Application[[#This Row],[MARKET No]],'Site Allocation'!$B$2:$C$37,2,FALSE)</f>
        <v>Analyst3</v>
      </c>
      <c r="I2697" s="4">
        <f t="shared" ca="1" si="42"/>
        <v>45203</v>
      </c>
      <c r="J2697" s="42">
        <f ca="1">TODAY()-qry_ProdData2_PDI_Cash_Exception_Application[[#This Row],[INSERT DATE]]</f>
        <v>10.742928240739275</v>
      </c>
      <c r="K26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97">
        <f ca="1">qry_ProdData2_PDI_Cash_Exception_Application[[#This Row],[TODAY]]-qry_ProdData2_PDI_Cash_Exception_Application[[#This Row],[CHANGED ON]]</f>
        <v>3.7429282407392748</v>
      </c>
      <c r="M2697">
        <f ca="1">qry_ProdData2_PDI_Cash_Exception_Application[[#This Row],[TODAY]]-qry_ProdData2_PDI_Cash_Exception_Application[[#This Row],[CHANGED ON]]</f>
        <v>3.7429282407392748</v>
      </c>
      <c r="N2697">
        <f ca="1">qry_ProdData2_PDI_Cash_Exception_Application[[#This Row],[TODAY]]-qry_ProdData2_PDI_Cash_Exception_Application[[#This Row],[CHANGED ON]]</f>
        <v>3.7429282407392748</v>
      </c>
    </row>
    <row r="2698" spans="1:14" x14ac:dyDescent="0.35">
      <c r="A2698">
        <v>1006</v>
      </c>
      <c r="B2698" t="s">
        <v>60</v>
      </c>
      <c r="C2698" s="1">
        <v>45188.257071759261</v>
      </c>
      <c r="D2698" t="str">
        <f ca="1">VLOOKUP(qry_ProdData2_PDI_Cash_Exception_Application[[#This Row],[TYPE]],#REF!,2,FALSE)</f>
        <v>type8</v>
      </c>
      <c r="E2698">
        <v>54.29</v>
      </c>
      <c r="F2698" t="s">
        <v>48</v>
      </c>
      <c r="G2698" s="1">
        <f>qry_ProdData2_PDI_Cash_Exception_Application[[#This Row],[INSERT DATE]]+2</f>
        <v>45190.257071759261</v>
      </c>
      <c r="H2698" t="str">
        <f>VLOOKUP(qry_ProdData2_PDI_Cash_Exception_Application[[#This Row],[MARKET No]],'Site Allocation'!$B$2:$C$37,2,FALSE)</f>
        <v>Analyst2</v>
      </c>
      <c r="I2698" s="4">
        <f t="shared" ca="1" si="42"/>
        <v>45203</v>
      </c>
      <c r="J2698" s="42">
        <f ca="1">TODAY()-qry_ProdData2_PDI_Cash_Exception_Application[[#This Row],[INSERT DATE]]</f>
        <v>14.742928240739275</v>
      </c>
      <c r="K26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98">
        <f ca="1">qry_ProdData2_PDI_Cash_Exception_Application[[#This Row],[TODAY]]-qry_ProdData2_PDI_Cash_Exception_Application[[#This Row],[CHANGED ON]]</f>
        <v>12.742928240739275</v>
      </c>
      <c r="M2698">
        <f ca="1">qry_ProdData2_PDI_Cash_Exception_Application[[#This Row],[TODAY]]-qry_ProdData2_PDI_Cash_Exception_Application[[#This Row],[CHANGED ON]]</f>
        <v>12.742928240739275</v>
      </c>
      <c r="N2698">
        <f ca="1">qry_ProdData2_PDI_Cash_Exception_Application[[#This Row],[TODAY]]-qry_ProdData2_PDI_Cash_Exception_Application[[#This Row],[CHANGED ON]]</f>
        <v>12.742928240739275</v>
      </c>
    </row>
    <row r="2699" spans="1:14" x14ac:dyDescent="0.35">
      <c r="A2699">
        <v>1015</v>
      </c>
      <c r="B2699" t="s">
        <v>69</v>
      </c>
      <c r="C2699" s="1">
        <v>45192.257071759261</v>
      </c>
      <c r="D2699" t="str">
        <f ca="1">VLOOKUP(qry_ProdData2_PDI_Cash_Exception_Application[[#This Row],[TYPE]],#REF!,2,FALSE)</f>
        <v>type8</v>
      </c>
      <c r="E2699">
        <v>291.49</v>
      </c>
      <c r="F2699" t="s">
        <v>51</v>
      </c>
      <c r="G2699" s="1">
        <f>qry_ProdData2_PDI_Cash_Exception_Application[[#This Row],[INSERT DATE]]+2</f>
        <v>45194.257071759261</v>
      </c>
      <c r="H2699" t="str">
        <f>VLOOKUP(qry_ProdData2_PDI_Cash_Exception_Application[[#This Row],[MARKET No]],'Site Allocation'!$B$2:$C$37,2,FALSE)</f>
        <v>Analyst3</v>
      </c>
      <c r="I2699" s="4">
        <f t="shared" ca="1" si="42"/>
        <v>45203</v>
      </c>
      <c r="J2699" s="42">
        <f ca="1">TODAY()-qry_ProdData2_PDI_Cash_Exception_Application[[#This Row],[INSERT DATE]]</f>
        <v>10.742928240739275</v>
      </c>
      <c r="K26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699">
        <f ca="1">qry_ProdData2_PDI_Cash_Exception_Application[[#This Row],[TODAY]]-qry_ProdData2_PDI_Cash_Exception_Application[[#This Row],[CHANGED ON]]</f>
        <v>8.7429282407392748</v>
      </c>
      <c r="M2699">
        <f ca="1">qry_ProdData2_PDI_Cash_Exception_Application[[#This Row],[TODAY]]-qry_ProdData2_PDI_Cash_Exception_Application[[#This Row],[CHANGED ON]]</f>
        <v>8.7429282407392748</v>
      </c>
      <c r="N2699">
        <f ca="1">qry_ProdData2_PDI_Cash_Exception_Application[[#This Row],[TODAY]]-qry_ProdData2_PDI_Cash_Exception_Application[[#This Row],[CHANGED ON]]</f>
        <v>8.7429282407392748</v>
      </c>
    </row>
    <row r="2700" spans="1:14" x14ac:dyDescent="0.35">
      <c r="A2700">
        <v>1026</v>
      </c>
      <c r="B2700" t="s">
        <v>80</v>
      </c>
      <c r="C2700" s="1">
        <v>45192.257071759261</v>
      </c>
      <c r="D2700" t="str">
        <f ca="1">VLOOKUP(qry_ProdData2_PDI_Cash_Exception_Application[[#This Row],[TYPE]],#REF!,2,FALSE)</f>
        <v>type40</v>
      </c>
      <c r="E2700">
        <v>-456.76</v>
      </c>
      <c r="F2700" t="s">
        <v>50</v>
      </c>
      <c r="G2700" s="1">
        <f>qry_ProdData2_PDI_Cash_Exception_Application[[#This Row],[INSERT DATE]]+2</f>
        <v>45194.257071759261</v>
      </c>
      <c r="H2700" t="str">
        <f>VLOOKUP(qry_ProdData2_PDI_Cash_Exception_Application[[#This Row],[MARKET No]],'Site Allocation'!$B$2:$C$37,2,FALSE)</f>
        <v>Analyst5</v>
      </c>
      <c r="I2700" s="4">
        <f t="shared" ca="1" si="42"/>
        <v>45203</v>
      </c>
      <c r="J2700" s="42">
        <f ca="1">TODAY()-qry_ProdData2_PDI_Cash_Exception_Application[[#This Row],[INSERT DATE]]</f>
        <v>10.742928240739275</v>
      </c>
      <c r="K27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00">
        <f ca="1">qry_ProdData2_PDI_Cash_Exception_Application[[#This Row],[TODAY]]-qry_ProdData2_PDI_Cash_Exception_Application[[#This Row],[CHANGED ON]]</f>
        <v>8.7429282407392748</v>
      </c>
      <c r="M2700">
        <f ca="1">qry_ProdData2_PDI_Cash_Exception_Application[[#This Row],[TODAY]]-qry_ProdData2_PDI_Cash_Exception_Application[[#This Row],[CHANGED ON]]</f>
        <v>8.7429282407392748</v>
      </c>
      <c r="N2700">
        <f ca="1">qry_ProdData2_PDI_Cash_Exception_Application[[#This Row],[TODAY]]-qry_ProdData2_PDI_Cash_Exception_Application[[#This Row],[CHANGED ON]]</f>
        <v>8.7429282407392748</v>
      </c>
    </row>
    <row r="2701" spans="1:14" x14ac:dyDescent="0.35">
      <c r="A2701">
        <v>1021</v>
      </c>
      <c r="B2701" t="s">
        <v>75</v>
      </c>
      <c r="C2701" s="1">
        <v>45179.257071759261</v>
      </c>
      <c r="D2701" t="str">
        <f ca="1">VLOOKUP(qry_ProdData2_PDI_Cash_Exception_Application[[#This Row],[TYPE]],#REF!,2,FALSE)</f>
        <v>type40</v>
      </c>
      <c r="E2701">
        <v>-1561.03</v>
      </c>
      <c r="F2701" t="s">
        <v>51</v>
      </c>
      <c r="G2701" s="1">
        <f>qry_ProdData2_PDI_Cash_Exception_Application[[#This Row],[INSERT DATE]]+2</f>
        <v>45181.257071759261</v>
      </c>
      <c r="H2701" t="str">
        <f>VLOOKUP(qry_ProdData2_PDI_Cash_Exception_Application[[#This Row],[MARKET No]],'Site Allocation'!$B$2:$C$37,2,FALSE)</f>
        <v>Analyst4</v>
      </c>
      <c r="I2701" s="4">
        <f t="shared" ca="1" si="42"/>
        <v>45203</v>
      </c>
      <c r="J2701" s="42">
        <f ca="1">TODAY()-qry_ProdData2_PDI_Cash_Exception_Application[[#This Row],[INSERT DATE]]</f>
        <v>23.742928240739275</v>
      </c>
      <c r="K27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01">
        <f ca="1">qry_ProdData2_PDI_Cash_Exception_Application[[#This Row],[TODAY]]-qry_ProdData2_PDI_Cash_Exception_Application[[#This Row],[CHANGED ON]]</f>
        <v>21.742928240739275</v>
      </c>
      <c r="M2701">
        <f ca="1">qry_ProdData2_PDI_Cash_Exception_Application[[#This Row],[TODAY]]-qry_ProdData2_PDI_Cash_Exception_Application[[#This Row],[CHANGED ON]]</f>
        <v>21.742928240739275</v>
      </c>
      <c r="N2701">
        <f ca="1">qry_ProdData2_PDI_Cash_Exception_Application[[#This Row],[TODAY]]-qry_ProdData2_PDI_Cash_Exception_Application[[#This Row],[CHANGED ON]]</f>
        <v>21.742928240739275</v>
      </c>
    </row>
    <row r="2702" spans="1:14" x14ac:dyDescent="0.35">
      <c r="A2702">
        <v>1029</v>
      </c>
      <c r="B2702" t="s">
        <v>83</v>
      </c>
      <c r="C2702" s="1">
        <v>45196.257071759261</v>
      </c>
      <c r="D2702" t="str">
        <f ca="1">VLOOKUP(qry_ProdData2_PDI_Cash_Exception_Application[[#This Row],[TYPE]],#REF!,2,FALSE)</f>
        <v>type40</v>
      </c>
      <c r="E2702">
        <v>1247</v>
      </c>
      <c r="F2702" t="s">
        <v>49</v>
      </c>
      <c r="G2702" s="1">
        <f>qry_ProdData2_PDI_Cash_Exception_Application[[#This Row],[INSERT DATE]]+1</f>
        <v>45197.257071759261</v>
      </c>
      <c r="H2702" t="str">
        <f>VLOOKUP(qry_ProdData2_PDI_Cash_Exception_Application[[#This Row],[MARKET No]],'Site Allocation'!$B$2:$C$37,2,FALSE)</f>
        <v>Analyst5</v>
      </c>
      <c r="I2702" s="4">
        <f t="shared" ca="1" si="42"/>
        <v>45203</v>
      </c>
      <c r="J2702" s="42">
        <f ca="1">TODAY()-qry_ProdData2_PDI_Cash_Exception_Application[[#This Row],[INSERT DATE]]</f>
        <v>6.7429282407392748</v>
      </c>
      <c r="K27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02">
        <f ca="1">qry_ProdData2_PDI_Cash_Exception_Application[[#This Row],[TODAY]]-qry_ProdData2_PDI_Cash_Exception_Application[[#This Row],[CHANGED ON]]</f>
        <v>5.7429282407392748</v>
      </c>
      <c r="M2702">
        <f ca="1">qry_ProdData2_PDI_Cash_Exception_Application[[#This Row],[TODAY]]-qry_ProdData2_PDI_Cash_Exception_Application[[#This Row],[CHANGED ON]]</f>
        <v>5.7429282407392748</v>
      </c>
      <c r="N2702">
        <f ca="1">qry_ProdData2_PDI_Cash_Exception_Application[[#This Row],[TODAY]]-qry_ProdData2_PDI_Cash_Exception_Application[[#This Row],[CHANGED ON]]</f>
        <v>5.7429282407392748</v>
      </c>
    </row>
    <row r="2703" spans="1:14" x14ac:dyDescent="0.35">
      <c r="A2703">
        <v>1032</v>
      </c>
      <c r="B2703" t="s">
        <v>86</v>
      </c>
      <c r="C2703" s="1">
        <v>45196.257071759261</v>
      </c>
      <c r="D2703" t="str">
        <f ca="1">VLOOKUP(qry_ProdData2_PDI_Cash_Exception_Application[[#This Row],[TYPE]],#REF!,2,FALSE)</f>
        <v>type48</v>
      </c>
      <c r="E2703">
        <v>-603.13</v>
      </c>
      <c r="F2703" t="s">
        <v>47</v>
      </c>
      <c r="G2703" s="1">
        <f>qry_ProdData2_PDI_Cash_Exception_Application[[#This Row],[INSERT DATE]]+7</f>
        <v>45203.257071759261</v>
      </c>
      <c r="H2703" t="str">
        <f>VLOOKUP(qry_ProdData2_PDI_Cash_Exception_Application[[#This Row],[MARKET No]],'Site Allocation'!$B$2:$C$37,2,FALSE)</f>
        <v>Analyst6</v>
      </c>
      <c r="I2703" s="4">
        <f t="shared" ca="1" si="42"/>
        <v>45203</v>
      </c>
      <c r="J2703" s="42">
        <f ca="1">TODAY()-qry_ProdData2_PDI_Cash_Exception_Application[[#This Row],[INSERT DATE]]</f>
        <v>6.7429282407392748</v>
      </c>
      <c r="K27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03">
        <f ca="1">qry_ProdData2_PDI_Cash_Exception_Application[[#This Row],[TODAY]]-qry_ProdData2_PDI_Cash_Exception_Application[[#This Row],[CHANGED ON]]</f>
        <v>-0.25707175926072523</v>
      </c>
      <c r="M2703">
        <f ca="1">qry_ProdData2_PDI_Cash_Exception_Application[[#This Row],[TODAY]]-qry_ProdData2_PDI_Cash_Exception_Application[[#This Row],[CHANGED ON]]</f>
        <v>-0.25707175926072523</v>
      </c>
      <c r="N2703">
        <f ca="1">qry_ProdData2_PDI_Cash_Exception_Application[[#This Row],[TODAY]]-qry_ProdData2_PDI_Cash_Exception_Application[[#This Row],[CHANGED ON]]</f>
        <v>-0.25707175926072523</v>
      </c>
    </row>
    <row r="2704" spans="1:14" x14ac:dyDescent="0.35">
      <c r="A2704">
        <v>1001</v>
      </c>
      <c r="B2704" t="s">
        <v>55</v>
      </c>
      <c r="C2704" s="1">
        <v>45190.257071759261</v>
      </c>
      <c r="D2704" t="str">
        <f ca="1">VLOOKUP(qry_ProdData2_PDI_Cash_Exception_Application[[#This Row],[TYPE]],#REF!,2,FALSE)</f>
        <v>type40</v>
      </c>
      <c r="E2704">
        <v>1162.33</v>
      </c>
      <c r="F2704" t="s">
        <v>48</v>
      </c>
      <c r="G2704" s="1">
        <f>qry_ProdData2_PDI_Cash_Exception_Application[[#This Row],[INSERT DATE]]+2</f>
        <v>45192.257071759261</v>
      </c>
      <c r="H2704" t="str">
        <f>VLOOKUP(qry_ProdData2_PDI_Cash_Exception_Application[[#This Row],[MARKET No]],'Site Allocation'!$B$2:$C$37,2,FALSE)</f>
        <v>Analyst1</v>
      </c>
      <c r="I2704" s="4">
        <f t="shared" ca="1" si="42"/>
        <v>45203</v>
      </c>
      <c r="J2704" s="42">
        <f ca="1">TODAY()-qry_ProdData2_PDI_Cash_Exception_Application[[#This Row],[INSERT DATE]]</f>
        <v>12.742928240739275</v>
      </c>
      <c r="K27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04">
        <f ca="1">qry_ProdData2_PDI_Cash_Exception_Application[[#This Row],[TODAY]]-qry_ProdData2_PDI_Cash_Exception_Application[[#This Row],[CHANGED ON]]</f>
        <v>10.742928240739275</v>
      </c>
      <c r="M2704">
        <f ca="1">qry_ProdData2_PDI_Cash_Exception_Application[[#This Row],[TODAY]]-qry_ProdData2_PDI_Cash_Exception_Application[[#This Row],[CHANGED ON]]</f>
        <v>10.742928240739275</v>
      </c>
      <c r="N2704">
        <f ca="1">qry_ProdData2_PDI_Cash_Exception_Application[[#This Row],[TODAY]]-qry_ProdData2_PDI_Cash_Exception_Application[[#This Row],[CHANGED ON]]</f>
        <v>10.742928240739275</v>
      </c>
    </row>
    <row r="2705" spans="1:14" x14ac:dyDescent="0.35">
      <c r="A2705">
        <v>1021</v>
      </c>
      <c r="B2705" t="s">
        <v>75</v>
      </c>
      <c r="C2705" s="1">
        <v>45196.257071759261</v>
      </c>
      <c r="D2705" t="str">
        <f ca="1">VLOOKUP(qry_ProdData2_PDI_Cash_Exception_Application[[#This Row],[TYPE]],#REF!,2,FALSE)</f>
        <v>type40</v>
      </c>
      <c r="E2705">
        <v>-22206.25</v>
      </c>
      <c r="F2705" t="s">
        <v>49</v>
      </c>
      <c r="G2705" s="1">
        <f>qry_ProdData2_PDI_Cash_Exception_Application[[#This Row],[INSERT DATE]]+7</f>
        <v>45203.257071759261</v>
      </c>
      <c r="H2705" t="str">
        <f>VLOOKUP(qry_ProdData2_PDI_Cash_Exception_Application[[#This Row],[MARKET No]],'Site Allocation'!$B$2:$C$37,2,FALSE)</f>
        <v>Analyst4</v>
      </c>
      <c r="I2705" s="4">
        <f t="shared" ca="1" si="42"/>
        <v>45203</v>
      </c>
      <c r="J2705" s="42">
        <f ca="1">TODAY()-qry_ProdData2_PDI_Cash_Exception_Application[[#This Row],[INSERT DATE]]</f>
        <v>6.7429282407392748</v>
      </c>
      <c r="K27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05">
        <f ca="1">qry_ProdData2_PDI_Cash_Exception_Application[[#This Row],[TODAY]]-qry_ProdData2_PDI_Cash_Exception_Application[[#This Row],[CHANGED ON]]</f>
        <v>-0.25707175926072523</v>
      </c>
      <c r="M2705">
        <f ca="1">qry_ProdData2_PDI_Cash_Exception_Application[[#This Row],[TODAY]]-qry_ProdData2_PDI_Cash_Exception_Application[[#This Row],[CHANGED ON]]</f>
        <v>-0.25707175926072523</v>
      </c>
      <c r="N2705">
        <f ca="1">qry_ProdData2_PDI_Cash_Exception_Application[[#This Row],[TODAY]]-qry_ProdData2_PDI_Cash_Exception_Application[[#This Row],[CHANGED ON]]</f>
        <v>-0.25707175926072523</v>
      </c>
    </row>
    <row r="2706" spans="1:14" x14ac:dyDescent="0.35">
      <c r="A2706">
        <v>1021</v>
      </c>
      <c r="B2706" t="s">
        <v>75</v>
      </c>
      <c r="C2706" s="1">
        <v>45185.257071759261</v>
      </c>
      <c r="D2706" t="str">
        <f ca="1">VLOOKUP(qry_ProdData2_PDI_Cash_Exception_Application[[#This Row],[TYPE]],#REF!,2,FALSE)</f>
        <v>type10</v>
      </c>
      <c r="E2706">
        <v>66.819999999999993</v>
      </c>
      <c r="F2706" t="s">
        <v>52</v>
      </c>
      <c r="G2706" s="1">
        <f>qry_ProdData2_PDI_Cash_Exception_Application[[#This Row],[INSERT DATE]]+2</f>
        <v>45187.257071759261</v>
      </c>
      <c r="H2706" t="str">
        <f>VLOOKUP(qry_ProdData2_PDI_Cash_Exception_Application[[#This Row],[MARKET No]],'Site Allocation'!$B$2:$C$37,2,FALSE)</f>
        <v>Analyst4</v>
      </c>
      <c r="I2706" s="4">
        <f t="shared" ca="1" si="42"/>
        <v>45203</v>
      </c>
      <c r="J2706" s="42">
        <f ca="1">TODAY()-qry_ProdData2_PDI_Cash_Exception_Application[[#This Row],[INSERT DATE]]</f>
        <v>17.742928240739275</v>
      </c>
      <c r="K27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06">
        <f ca="1">qry_ProdData2_PDI_Cash_Exception_Application[[#This Row],[TODAY]]-qry_ProdData2_PDI_Cash_Exception_Application[[#This Row],[CHANGED ON]]</f>
        <v>15.742928240739275</v>
      </c>
      <c r="M2706">
        <f ca="1">qry_ProdData2_PDI_Cash_Exception_Application[[#This Row],[TODAY]]-qry_ProdData2_PDI_Cash_Exception_Application[[#This Row],[CHANGED ON]]</f>
        <v>15.742928240739275</v>
      </c>
      <c r="N2706">
        <f ca="1">qry_ProdData2_PDI_Cash_Exception_Application[[#This Row],[TODAY]]-qry_ProdData2_PDI_Cash_Exception_Application[[#This Row],[CHANGED ON]]</f>
        <v>15.742928240739275</v>
      </c>
    </row>
    <row r="2707" spans="1:14" x14ac:dyDescent="0.35">
      <c r="A2707">
        <v>1030</v>
      </c>
      <c r="B2707" t="s">
        <v>84</v>
      </c>
      <c r="C2707" s="1">
        <v>45197.257071759261</v>
      </c>
      <c r="D2707" t="str">
        <f ca="1">VLOOKUP(qry_ProdData2_PDI_Cash_Exception_Application[[#This Row],[TYPE]],#REF!,2,FALSE)</f>
        <v>type5</v>
      </c>
      <c r="E2707">
        <v>753.97</v>
      </c>
      <c r="F2707" t="s">
        <v>47</v>
      </c>
      <c r="G2707" s="1">
        <f>qry_ProdData2_PDI_Cash_Exception_Application[[#This Row],[INSERT DATE]]+1</f>
        <v>45198.257071759261</v>
      </c>
      <c r="H2707" t="str">
        <f>VLOOKUP(qry_ProdData2_PDI_Cash_Exception_Application[[#This Row],[MARKET No]],'Site Allocation'!$B$2:$C$37,2,FALSE)</f>
        <v>Analyst6</v>
      </c>
      <c r="I2707" s="4">
        <f t="shared" ca="1" si="42"/>
        <v>45203</v>
      </c>
      <c r="J2707" s="42">
        <f ca="1">TODAY()-qry_ProdData2_PDI_Cash_Exception_Application[[#This Row],[INSERT DATE]]</f>
        <v>5.7429282407392748</v>
      </c>
      <c r="K27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07">
        <f ca="1">qry_ProdData2_PDI_Cash_Exception_Application[[#This Row],[TODAY]]-qry_ProdData2_PDI_Cash_Exception_Application[[#This Row],[CHANGED ON]]</f>
        <v>4.7429282407392748</v>
      </c>
      <c r="M2707">
        <f ca="1">qry_ProdData2_PDI_Cash_Exception_Application[[#This Row],[TODAY]]-qry_ProdData2_PDI_Cash_Exception_Application[[#This Row],[CHANGED ON]]</f>
        <v>4.7429282407392748</v>
      </c>
      <c r="N2707">
        <f ca="1">qry_ProdData2_PDI_Cash_Exception_Application[[#This Row],[TODAY]]-qry_ProdData2_PDI_Cash_Exception_Application[[#This Row],[CHANGED ON]]</f>
        <v>4.7429282407392748</v>
      </c>
    </row>
    <row r="2708" spans="1:14" x14ac:dyDescent="0.35">
      <c r="A2708">
        <v>1012</v>
      </c>
      <c r="B2708" t="s">
        <v>66</v>
      </c>
      <c r="C2708" s="1">
        <v>45196.257071759261</v>
      </c>
      <c r="D2708" t="str">
        <f ca="1">VLOOKUP(qry_ProdData2_PDI_Cash_Exception_Application[[#This Row],[TYPE]],#REF!,2,FALSE)</f>
        <v>type40</v>
      </c>
      <c r="E2708">
        <v>30.69</v>
      </c>
      <c r="F2708" t="s">
        <v>47</v>
      </c>
      <c r="G2708" s="1">
        <f>qry_ProdData2_PDI_Cash_Exception_Application[[#This Row],[INSERT DATE]]+5</f>
        <v>45201.257071759261</v>
      </c>
      <c r="H2708" t="str">
        <f>VLOOKUP(qry_ProdData2_PDI_Cash_Exception_Application[[#This Row],[MARKET No]],'Site Allocation'!$B$2:$C$37,2,FALSE)</f>
        <v>Analyst3</v>
      </c>
      <c r="I2708" s="4">
        <f t="shared" ca="1" si="42"/>
        <v>45203</v>
      </c>
      <c r="J2708" s="42">
        <f ca="1">TODAY()-qry_ProdData2_PDI_Cash_Exception_Application[[#This Row],[INSERT DATE]]</f>
        <v>6.7429282407392748</v>
      </c>
      <c r="K27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08">
        <f ca="1">qry_ProdData2_PDI_Cash_Exception_Application[[#This Row],[TODAY]]-qry_ProdData2_PDI_Cash_Exception_Application[[#This Row],[CHANGED ON]]</f>
        <v>1.7429282407392748</v>
      </c>
      <c r="M2708">
        <f ca="1">qry_ProdData2_PDI_Cash_Exception_Application[[#This Row],[TODAY]]-qry_ProdData2_PDI_Cash_Exception_Application[[#This Row],[CHANGED ON]]</f>
        <v>1.7429282407392748</v>
      </c>
      <c r="N2708">
        <f ca="1">qry_ProdData2_PDI_Cash_Exception_Application[[#This Row],[TODAY]]-qry_ProdData2_PDI_Cash_Exception_Application[[#This Row],[CHANGED ON]]</f>
        <v>1.7429282407392748</v>
      </c>
    </row>
    <row r="2709" spans="1:14" x14ac:dyDescent="0.35">
      <c r="A2709">
        <v>1022</v>
      </c>
      <c r="B2709" t="s">
        <v>76</v>
      </c>
      <c r="C2709" s="1">
        <v>45187.257071759261</v>
      </c>
      <c r="D2709" t="str">
        <f ca="1">VLOOKUP(qry_ProdData2_PDI_Cash_Exception_Application[[#This Row],[TYPE]],#REF!,2,FALSE)</f>
        <v>type13</v>
      </c>
      <c r="E2709">
        <v>31555.45</v>
      </c>
      <c r="F2709" t="s">
        <v>50</v>
      </c>
      <c r="G2709" s="1">
        <f>qry_ProdData2_PDI_Cash_Exception_Application[[#This Row],[INSERT DATE]]+5</f>
        <v>45192.257071759261</v>
      </c>
      <c r="H2709" t="str">
        <f>VLOOKUP(qry_ProdData2_PDI_Cash_Exception_Application[[#This Row],[MARKET No]],'Site Allocation'!$B$2:$C$37,2,FALSE)</f>
        <v>Analyst4</v>
      </c>
      <c r="I2709" s="4">
        <f t="shared" ca="1" si="42"/>
        <v>45203</v>
      </c>
      <c r="J2709" s="42">
        <f ca="1">TODAY()-qry_ProdData2_PDI_Cash_Exception_Application[[#This Row],[INSERT DATE]]</f>
        <v>15.742928240739275</v>
      </c>
      <c r="K27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09">
        <f ca="1">qry_ProdData2_PDI_Cash_Exception_Application[[#This Row],[TODAY]]-qry_ProdData2_PDI_Cash_Exception_Application[[#This Row],[CHANGED ON]]</f>
        <v>10.742928240739275</v>
      </c>
      <c r="M2709">
        <f ca="1">qry_ProdData2_PDI_Cash_Exception_Application[[#This Row],[TODAY]]-qry_ProdData2_PDI_Cash_Exception_Application[[#This Row],[CHANGED ON]]</f>
        <v>10.742928240739275</v>
      </c>
      <c r="N2709">
        <f ca="1">qry_ProdData2_PDI_Cash_Exception_Application[[#This Row],[TODAY]]-qry_ProdData2_PDI_Cash_Exception_Application[[#This Row],[CHANGED ON]]</f>
        <v>10.742928240739275</v>
      </c>
    </row>
    <row r="2710" spans="1:14" x14ac:dyDescent="0.35">
      <c r="A2710">
        <v>1034</v>
      </c>
      <c r="B2710" t="s">
        <v>88</v>
      </c>
      <c r="C2710" s="1">
        <v>45183.257071759261</v>
      </c>
      <c r="D2710" t="str">
        <f ca="1">VLOOKUP(qry_ProdData2_PDI_Cash_Exception_Application[[#This Row],[TYPE]],#REF!,2,FALSE)</f>
        <v>type26</v>
      </c>
      <c r="E2710">
        <v>644.96</v>
      </c>
      <c r="F2710" t="s">
        <v>51</v>
      </c>
      <c r="G2710" s="1">
        <f>qry_ProdData2_PDI_Cash_Exception_Application[[#This Row],[INSERT DATE]]+2</f>
        <v>45185.257071759261</v>
      </c>
      <c r="H2710" t="str">
        <f>VLOOKUP(qry_ProdData2_PDI_Cash_Exception_Application[[#This Row],[MARKET No]],'Site Allocation'!$B$2:$C$37,2,FALSE)</f>
        <v>Analyst6</v>
      </c>
      <c r="I2710" s="4">
        <f t="shared" ca="1" si="42"/>
        <v>45203</v>
      </c>
      <c r="J2710" s="42">
        <f ca="1">TODAY()-qry_ProdData2_PDI_Cash_Exception_Application[[#This Row],[INSERT DATE]]</f>
        <v>19.742928240739275</v>
      </c>
      <c r="K27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10">
        <f ca="1">qry_ProdData2_PDI_Cash_Exception_Application[[#This Row],[TODAY]]-qry_ProdData2_PDI_Cash_Exception_Application[[#This Row],[CHANGED ON]]</f>
        <v>17.742928240739275</v>
      </c>
      <c r="M2710">
        <f ca="1">qry_ProdData2_PDI_Cash_Exception_Application[[#This Row],[TODAY]]-qry_ProdData2_PDI_Cash_Exception_Application[[#This Row],[CHANGED ON]]</f>
        <v>17.742928240739275</v>
      </c>
      <c r="N2710">
        <f ca="1">qry_ProdData2_PDI_Cash_Exception_Application[[#This Row],[TODAY]]-qry_ProdData2_PDI_Cash_Exception_Application[[#This Row],[CHANGED ON]]</f>
        <v>17.742928240739275</v>
      </c>
    </row>
    <row r="2711" spans="1:14" x14ac:dyDescent="0.35">
      <c r="A2711">
        <v>1005</v>
      </c>
      <c r="B2711" t="s">
        <v>59</v>
      </c>
      <c r="C2711" s="1">
        <v>45196.257071759261</v>
      </c>
      <c r="D2711" t="str">
        <f ca="1">VLOOKUP(qry_ProdData2_PDI_Cash_Exception_Application[[#This Row],[TYPE]],#REF!,2,FALSE)</f>
        <v>type29</v>
      </c>
      <c r="E2711">
        <v>467.81</v>
      </c>
      <c r="F2711" t="s">
        <v>47</v>
      </c>
      <c r="G2711" s="1">
        <f>qry_ProdData2_PDI_Cash_Exception_Application[[#This Row],[INSERT DATE]]+7</f>
        <v>45203.257071759261</v>
      </c>
      <c r="H2711" t="str">
        <f>VLOOKUP(qry_ProdData2_PDI_Cash_Exception_Application[[#This Row],[MARKET No]],'Site Allocation'!$B$2:$C$37,2,FALSE)</f>
        <v>Analyst1</v>
      </c>
      <c r="I2711" s="4">
        <f t="shared" ca="1" si="42"/>
        <v>45203</v>
      </c>
      <c r="J2711" s="42">
        <f ca="1">TODAY()-qry_ProdData2_PDI_Cash_Exception_Application[[#This Row],[INSERT DATE]]</f>
        <v>6.7429282407392748</v>
      </c>
      <c r="K27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11">
        <f ca="1">qry_ProdData2_PDI_Cash_Exception_Application[[#This Row],[TODAY]]-qry_ProdData2_PDI_Cash_Exception_Application[[#This Row],[CHANGED ON]]</f>
        <v>-0.25707175926072523</v>
      </c>
      <c r="M2711">
        <f ca="1">qry_ProdData2_PDI_Cash_Exception_Application[[#This Row],[TODAY]]-qry_ProdData2_PDI_Cash_Exception_Application[[#This Row],[CHANGED ON]]</f>
        <v>-0.25707175926072523</v>
      </c>
      <c r="N2711">
        <f ca="1">qry_ProdData2_PDI_Cash_Exception_Application[[#This Row],[TODAY]]-qry_ProdData2_PDI_Cash_Exception_Application[[#This Row],[CHANGED ON]]</f>
        <v>-0.25707175926072523</v>
      </c>
    </row>
    <row r="2712" spans="1:14" x14ac:dyDescent="0.35">
      <c r="A2712">
        <v>1009</v>
      </c>
      <c r="B2712" t="s">
        <v>63</v>
      </c>
      <c r="C2712" s="1">
        <v>45196.257071759261</v>
      </c>
      <c r="D2712" t="str">
        <f ca="1">VLOOKUP(qry_ProdData2_PDI_Cash_Exception_Application[[#This Row],[TYPE]],#REF!,2,FALSE)</f>
        <v>type40</v>
      </c>
      <c r="E2712">
        <v>111.87</v>
      </c>
      <c r="F2712" t="s">
        <v>49</v>
      </c>
      <c r="G2712" s="1">
        <f>qry_ProdData2_PDI_Cash_Exception_Application[[#This Row],[INSERT DATE]]+7</f>
        <v>45203.257071759261</v>
      </c>
      <c r="H2712" t="str">
        <f>VLOOKUP(qry_ProdData2_PDI_Cash_Exception_Application[[#This Row],[MARKET No]],'Site Allocation'!$B$2:$C$37,2,FALSE)</f>
        <v>Analyst2</v>
      </c>
      <c r="I2712" s="4">
        <f t="shared" ca="1" si="42"/>
        <v>45203</v>
      </c>
      <c r="J2712" s="42">
        <f ca="1">TODAY()-qry_ProdData2_PDI_Cash_Exception_Application[[#This Row],[INSERT DATE]]</f>
        <v>6.7429282407392748</v>
      </c>
      <c r="K27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12">
        <f ca="1">qry_ProdData2_PDI_Cash_Exception_Application[[#This Row],[TODAY]]-qry_ProdData2_PDI_Cash_Exception_Application[[#This Row],[CHANGED ON]]</f>
        <v>-0.25707175926072523</v>
      </c>
      <c r="M2712">
        <f ca="1">qry_ProdData2_PDI_Cash_Exception_Application[[#This Row],[TODAY]]-qry_ProdData2_PDI_Cash_Exception_Application[[#This Row],[CHANGED ON]]</f>
        <v>-0.25707175926072523</v>
      </c>
      <c r="N2712">
        <f ca="1">qry_ProdData2_PDI_Cash_Exception_Application[[#This Row],[TODAY]]-qry_ProdData2_PDI_Cash_Exception_Application[[#This Row],[CHANGED ON]]</f>
        <v>-0.25707175926072523</v>
      </c>
    </row>
    <row r="2713" spans="1:14" x14ac:dyDescent="0.35">
      <c r="A2713">
        <v>1028</v>
      </c>
      <c r="B2713" t="s">
        <v>82</v>
      </c>
      <c r="C2713" s="1">
        <v>45190.257071759261</v>
      </c>
      <c r="D2713" t="str">
        <f ca="1">VLOOKUP(qry_ProdData2_PDI_Cash_Exception_Application[[#This Row],[TYPE]],#REF!,2,FALSE)</f>
        <v>type13</v>
      </c>
      <c r="E2713">
        <v>26444.17</v>
      </c>
      <c r="F2713" t="s">
        <v>50</v>
      </c>
      <c r="G2713" s="1">
        <f>qry_ProdData2_PDI_Cash_Exception_Application[[#This Row],[INSERT DATE]]+5</f>
        <v>45195.257071759261</v>
      </c>
      <c r="H2713" t="str">
        <f>VLOOKUP(qry_ProdData2_PDI_Cash_Exception_Application[[#This Row],[MARKET No]],'Site Allocation'!$B$2:$C$37,2,FALSE)</f>
        <v>Analyst5</v>
      </c>
      <c r="I2713" s="4">
        <f t="shared" ca="1" si="42"/>
        <v>45203</v>
      </c>
      <c r="J2713" s="42">
        <f ca="1">TODAY()-qry_ProdData2_PDI_Cash_Exception_Application[[#This Row],[INSERT DATE]]</f>
        <v>12.742928240739275</v>
      </c>
      <c r="K27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13">
        <f ca="1">qry_ProdData2_PDI_Cash_Exception_Application[[#This Row],[TODAY]]-qry_ProdData2_PDI_Cash_Exception_Application[[#This Row],[CHANGED ON]]</f>
        <v>7.7429282407392748</v>
      </c>
      <c r="M2713">
        <f ca="1">qry_ProdData2_PDI_Cash_Exception_Application[[#This Row],[TODAY]]-qry_ProdData2_PDI_Cash_Exception_Application[[#This Row],[CHANGED ON]]</f>
        <v>7.7429282407392748</v>
      </c>
      <c r="N2713">
        <f ca="1">qry_ProdData2_PDI_Cash_Exception_Application[[#This Row],[TODAY]]-qry_ProdData2_PDI_Cash_Exception_Application[[#This Row],[CHANGED ON]]</f>
        <v>7.7429282407392748</v>
      </c>
    </row>
    <row r="2714" spans="1:14" x14ac:dyDescent="0.35">
      <c r="A2714">
        <v>1026</v>
      </c>
      <c r="B2714" t="s">
        <v>80</v>
      </c>
      <c r="C2714" s="1">
        <v>45190.257071759261</v>
      </c>
      <c r="D2714" t="str">
        <f ca="1">VLOOKUP(qry_ProdData2_PDI_Cash_Exception_Application[[#This Row],[TYPE]],#REF!,2,FALSE)</f>
        <v>type13</v>
      </c>
      <c r="E2714">
        <v>25829.94</v>
      </c>
      <c r="F2714" t="s">
        <v>52</v>
      </c>
      <c r="G2714" s="1">
        <f>qry_ProdData2_PDI_Cash_Exception_Application[[#This Row],[INSERT DATE]]+5</f>
        <v>45195.257071759261</v>
      </c>
      <c r="H2714" t="str">
        <f>VLOOKUP(qry_ProdData2_PDI_Cash_Exception_Application[[#This Row],[MARKET No]],'Site Allocation'!$B$2:$C$37,2,FALSE)</f>
        <v>Analyst5</v>
      </c>
      <c r="I2714" s="4">
        <f t="shared" ca="1" si="42"/>
        <v>45203</v>
      </c>
      <c r="J2714" s="42">
        <f ca="1">TODAY()-qry_ProdData2_PDI_Cash_Exception_Application[[#This Row],[INSERT DATE]]</f>
        <v>12.742928240739275</v>
      </c>
      <c r="K27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14">
        <f ca="1">qry_ProdData2_PDI_Cash_Exception_Application[[#This Row],[TODAY]]-qry_ProdData2_PDI_Cash_Exception_Application[[#This Row],[CHANGED ON]]</f>
        <v>7.7429282407392748</v>
      </c>
      <c r="M2714">
        <f ca="1">qry_ProdData2_PDI_Cash_Exception_Application[[#This Row],[TODAY]]-qry_ProdData2_PDI_Cash_Exception_Application[[#This Row],[CHANGED ON]]</f>
        <v>7.7429282407392748</v>
      </c>
      <c r="N2714">
        <f ca="1">qry_ProdData2_PDI_Cash_Exception_Application[[#This Row],[TODAY]]-qry_ProdData2_PDI_Cash_Exception_Application[[#This Row],[CHANGED ON]]</f>
        <v>7.7429282407392748</v>
      </c>
    </row>
    <row r="2715" spans="1:14" x14ac:dyDescent="0.35">
      <c r="A2715">
        <v>1023</v>
      </c>
      <c r="B2715" t="s">
        <v>77</v>
      </c>
      <c r="C2715" s="1">
        <v>45196.257071759261</v>
      </c>
      <c r="D2715" t="str">
        <f ca="1">VLOOKUP(qry_ProdData2_PDI_Cash_Exception_Application[[#This Row],[TYPE]],#REF!,2,FALSE)</f>
        <v>type40</v>
      </c>
      <c r="E2715">
        <v>2340.36</v>
      </c>
      <c r="G2715" s="1">
        <f>qry_ProdData2_PDI_Cash_Exception_Application[[#This Row],[INSERT DATE]]+1</f>
        <v>45197.257071759261</v>
      </c>
      <c r="H2715" t="str">
        <f>VLOOKUP(qry_ProdData2_PDI_Cash_Exception_Application[[#This Row],[MARKET No]],'Site Allocation'!$B$2:$C$37,2,FALSE)</f>
        <v>Analyst4</v>
      </c>
      <c r="I2715" s="4">
        <f t="shared" ca="1" si="42"/>
        <v>45203</v>
      </c>
      <c r="J2715" s="42">
        <f ca="1">TODAY()-qry_ProdData2_PDI_Cash_Exception_Application[[#This Row],[INSERT DATE]]</f>
        <v>6.7429282407392748</v>
      </c>
      <c r="K27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15">
        <f ca="1">qry_ProdData2_PDI_Cash_Exception_Application[[#This Row],[TODAY]]-qry_ProdData2_PDI_Cash_Exception_Application[[#This Row],[CHANGED ON]]</f>
        <v>5.7429282407392748</v>
      </c>
      <c r="M2715">
        <f ca="1">qry_ProdData2_PDI_Cash_Exception_Application[[#This Row],[TODAY]]-qry_ProdData2_PDI_Cash_Exception_Application[[#This Row],[CHANGED ON]]</f>
        <v>5.7429282407392748</v>
      </c>
      <c r="N2715">
        <f ca="1">qry_ProdData2_PDI_Cash_Exception_Application[[#This Row],[TODAY]]-qry_ProdData2_PDI_Cash_Exception_Application[[#This Row],[CHANGED ON]]</f>
        <v>5.7429282407392748</v>
      </c>
    </row>
    <row r="2716" spans="1:14" x14ac:dyDescent="0.35">
      <c r="A2716">
        <v>1009</v>
      </c>
      <c r="B2716" t="s">
        <v>63</v>
      </c>
      <c r="C2716" s="1">
        <v>45196.257071759261</v>
      </c>
      <c r="D2716" t="str">
        <f ca="1">VLOOKUP(qry_ProdData2_PDI_Cash_Exception_Application[[#This Row],[TYPE]],#REF!,2,FALSE)</f>
        <v>type40</v>
      </c>
      <c r="E2716">
        <v>-319.26</v>
      </c>
      <c r="G2716" s="1">
        <f>qry_ProdData2_PDI_Cash_Exception_Application[[#This Row],[INSERT DATE]]+1</f>
        <v>45197.257071759261</v>
      </c>
      <c r="H2716" t="str">
        <f>VLOOKUP(qry_ProdData2_PDI_Cash_Exception_Application[[#This Row],[MARKET No]],'Site Allocation'!$B$2:$C$37,2,FALSE)</f>
        <v>Analyst2</v>
      </c>
      <c r="I2716" s="4">
        <f t="shared" ca="1" si="42"/>
        <v>45203</v>
      </c>
      <c r="J2716" s="42">
        <f ca="1">TODAY()-qry_ProdData2_PDI_Cash_Exception_Application[[#This Row],[INSERT DATE]]</f>
        <v>6.7429282407392748</v>
      </c>
      <c r="K27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16">
        <f ca="1">qry_ProdData2_PDI_Cash_Exception_Application[[#This Row],[TODAY]]-qry_ProdData2_PDI_Cash_Exception_Application[[#This Row],[CHANGED ON]]</f>
        <v>5.7429282407392748</v>
      </c>
      <c r="M2716">
        <f ca="1">qry_ProdData2_PDI_Cash_Exception_Application[[#This Row],[TODAY]]-qry_ProdData2_PDI_Cash_Exception_Application[[#This Row],[CHANGED ON]]</f>
        <v>5.7429282407392748</v>
      </c>
      <c r="N2716">
        <f ca="1">qry_ProdData2_PDI_Cash_Exception_Application[[#This Row],[TODAY]]-qry_ProdData2_PDI_Cash_Exception_Application[[#This Row],[CHANGED ON]]</f>
        <v>5.7429282407392748</v>
      </c>
    </row>
    <row r="2717" spans="1:14" x14ac:dyDescent="0.35">
      <c r="A2717">
        <v>1011</v>
      </c>
      <c r="B2717" t="s">
        <v>65</v>
      </c>
      <c r="C2717" s="1">
        <v>45193.257071759261</v>
      </c>
      <c r="D2717" t="str">
        <f ca="1">VLOOKUP(qry_ProdData2_PDI_Cash_Exception_Application[[#This Row],[TYPE]],#REF!,2,FALSE)</f>
        <v>type13</v>
      </c>
      <c r="E2717">
        <v>26858.3</v>
      </c>
      <c r="F2717" t="s">
        <v>52</v>
      </c>
      <c r="G2717" s="1">
        <f>qry_ProdData2_PDI_Cash_Exception_Application[[#This Row],[INSERT DATE]]+7</f>
        <v>45200.257071759261</v>
      </c>
      <c r="H2717" t="str">
        <f>VLOOKUP(qry_ProdData2_PDI_Cash_Exception_Application[[#This Row],[MARKET No]],'Site Allocation'!$B$2:$C$37,2,FALSE)</f>
        <v>Analyst2</v>
      </c>
      <c r="I2717" s="4">
        <f t="shared" ca="1" si="42"/>
        <v>45203</v>
      </c>
      <c r="J2717" s="42">
        <f ca="1">TODAY()-qry_ProdData2_PDI_Cash_Exception_Application[[#This Row],[INSERT DATE]]</f>
        <v>9.7429282407392748</v>
      </c>
      <c r="K27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17">
        <f ca="1">qry_ProdData2_PDI_Cash_Exception_Application[[#This Row],[TODAY]]-qry_ProdData2_PDI_Cash_Exception_Application[[#This Row],[CHANGED ON]]</f>
        <v>2.7429282407392748</v>
      </c>
      <c r="M2717">
        <f ca="1">qry_ProdData2_PDI_Cash_Exception_Application[[#This Row],[TODAY]]-qry_ProdData2_PDI_Cash_Exception_Application[[#This Row],[CHANGED ON]]</f>
        <v>2.7429282407392748</v>
      </c>
      <c r="N2717">
        <f ca="1">qry_ProdData2_PDI_Cash_Exception_Application[[#This Row],[TODAY]]-qry_ProdData2_PDI_Cash_Exception_Application[[#This Row],[CHANGED ON]]</f>
        <v>2.7429282407392748</v>
      </c>
    </row>
    <row r="2718" spans="1:14" x14ac:dyDescent="0.35">
      <c r="A2718">
        <v>1032</v>
      </c>
      <c r="B2718" t="s">
        <v>86</v>
      </c>
      <c r="C2718" s="1">
        <v>45187.257071759261</v>
      </c>
      <c r="D2718" t="str">
        <f ca="1">VLOOKUP(qry_ProdData2_PDI_Cash_Exception_Application[[#This Row],[TYPE]],#REF!,2,FALSE)</f>
        <v>type40</v>
      </c>
      <c r="E2718">
        <v>-1611.32</v>
      </c>
      <c r="F2718" t="s">
        <v>51</v>
      </c>
      <c r="G2718" s="1">
        <f>qry_ProdData2_PDI_Cash_Exception_Application[[#This Row],[INSERT DATE]]+5</f>
        <v>45192.257071759261</v>
      </c>
      <c r="H2718" t="str">
        <f>VLOOKUP(qry_ProdData2_PDI_Cash_Exception_Application[[#This Row],[MARKET No]],'Site Allocation'!$B$2:$C$37,2,FALSE)</f>
        <v>Analyst6</v>
      </c>
      <c r="I2718" s="4">
        <f t="shared" ca="1" si="42"/>
        <v>45203</v>
      </c>
      <c r="J2718" s="42">
        <f ca="1">TODAY()-qry_ProdData2_PDI_Cash_Exception_Application[[#This Row],[INSERT DATE]]</f>
        <v>15.742928240739275</v>
      </c>
      <c r="K27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18">
        <f ca="1">qry_ProdData2_PDI_Cash_Exception_Application[[#This Row],[TODAY]]-qry_ProdData2_PDI_Cash_Exception_Application[[#This Row],[CHANGED ON]]</f>
        <v>10.742928240739275</v>
      </c>
      <c r="M2718">
        <f ca="1">qry_ProdData2_PDI_Cash_Exception_Application[[#This Row],[TODAY]]-qry_ProdData2_PDI_Cash_Exception_Application[[#This Row],[CHANGED ON]]</f>
        <v>10.742928240739275</v>
      </c>
      <c r="N2718">
        <f ca="1">qry_ProdData2_PDI_Cash_Exception_Application[[#This Row],[TODAY]]-qry_ProdData2_PDI_Cash_Exception_Application[[#This Row],[CHANGED ON]]</f>
        <v>10.742928240739275</v>
      </c>
    </row>
    <row r="2719" spans="1:14" x14ac:dyDescent="0.35">
      <c r="A2719">
        <v>1006</v>
      </c>
      <c r="B2719" t="s">
        <v>60</v>
      </c>
      <c r="C2719" s="1">
        <v>45188.257071759261</v>
      </c>
      <c r="D2719" t="str">
        <f ca="1">VLOOKUP(qry_ProdData2_PDI_Cash_Exception_Application[[#This Row],[TYPE]],#REF!,2,FALSE)</f>
        <v>type40</v>
      </c>
      <c r="E2719">
        <v>5562.27</v>
      </c>
      <c r="F2719" t="s">
        <v>51</v>
      </c>
      <c r="G2719" s="1">
        <f>qry_ProdData2_PDI_Cash_Exception_Application[[#This Row],[INSERT DATE]]+5</f>
        <v>45193.257071759261</v>
      </c>
      <c r="H2719" t="str">
        <f>VLOOKUP(qry_ProdData2_PDI_Cash_Exception_Application[[#This Row],[MARKET No]],'Site Allocation'!$B$2:$C$37,2,FALSE)</f>
        <v>Analyst2</v>
      </c>
      <c r="I2719" s="4">
        <f t="shared" ca="1" si="42"/>
        <v>45203</v>
      </c>
      <c r="J2719" s="42">
        <f ca="1">TODAY()-qry_ProdData2_PDI_Cash_Exception_Application[[#This Row],[INSERT DATE]]</f>
        <v>14.742928240739275</v>
      </c>
      <c r="K27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19">
        <f ca="1">qry_ProdData2_PDI_Cash_Exception_Application[[#This Row],[TODAY]]-qry_ProdData2_PDI_Cash_Exception_Application[[#This Row],[CHANGED ON]]</f>
        <v>9.7429282407392748</v>
      </c>
      <c r="M2719">
        <f ca="1">qry_ProdData2_PDI_Cash_Exception_Application[[#This Row],[TODAY]]-qry_ProdData2_PDI_Cash_Exception_Application[[#This Row],[CHANGED ON]]</f>
        <v>9.7429282407392748</v>
      </c>
      <c r="N2719">
        <f ca="1">qry_ProdData2_PDI_Cash_Exception_Application[[#This Row],[TODAY]]-qry_ProdData2_PDI_Cash_Exception_Application[[#This Row],[CHANGED ON]]</f>
        <v>9.7429282407392748</v>
      </c>
    </row>
    <row r="2720" spans="1:14" x14ac:dyDescent="0.35">
      <c r="A2720">
        <v>1020</v>
      </c>
      <c r="B2720" t="s">
        <v>74</v>
      </c>
      <c r="C2720" s="1">
        <v>45197.257071759261</v>
      </c>
      <c r="D2720" t="str">
        <f ca="1">VLOOKUP(qry_ProdData2_PDI_Cash_Exception_Application[[#This Row],[TYPE]],#REF!,2,FALSE)</f>
        <v>type40</v>
      </c>
      <c r="E2720">
        <v>5822</v>
      </c>
      <c r="F2720" t="s">
        <v>47</v>
      </c>
      <c r="G2720" s="1">
        <f>qry_ProdData2_PDI_Cash_Exception_Application[[#This Row],[INSERT DATE]]+2</f>
        <v>45199.257071759261</v>
      </c>
      <c r="H2720" t="str">
        <f>VLOOKUP(qry_ProdData2_PDI_Cash_Exception_Application[[#This Row],[MARKET No]],'Site Allocation'!$B$2:$C$37,2,FALSE)</f>
        <v>Analyst4</v>
      </c>
      <c r="I2720" s="4">
        <f t="shared" ca="1" si="42"/>
        <v>45203</v>
      </c>
      <c r="J2720" s="42">
        <f ca="1">TODAY()-qry_ProdData2_PDI_Cash_Exception_Application[[#This Row],[INSERT DATE]]</f>
        <v>5.7429282407392748</v>
      </c>
      <c r="K27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20">
        <f ca="1">qry_ProdData2_PDI_Cash_Exception_Application[[#This Row],[TODAY]]-qry_ProdData2_PDI_Cash_Exception_Application[[#This Row],[CHANGED ON]]</f>
        <v>3.7429282407392748</v>
      </c>
      <c r="M2720">
        <f ca="1">qry_ProdData2_PDI_Cash_Exception_Application[[#This Row],[TODAY]]-qry_ProdData2_PDI_Cash_Exception_Application[[#This Row],[CHANGED ON]]</f>
        <v>3.7429282407392748</v>
      </c>
      <c r="N2720">
        <f ca="1">qry_ProdData2_PDI_Cash_Exception_Application[[#This Row],[TODAY]]-qry_ProdData2_PDI_Cash_Exception_Application[[#This Row],[CHANGED ON]]</f>
        <v>3.7429282407392748</v>
      </c>
    </row>
    <row r="2721" spans="1:14" x14ac:dyDescent="0.35">
      <c r="A2721">
        <v>1029</v>
      </c>
      <c r="B2721" t="s">
        <v>83</v>
      </c>
      <c r="C2721" s="1">
        <v>45197.257071759261</v>
      </c>
      <c r="D2721" t="str">
        <f ca="1">VLOOKUP(qry_ProdData2_PDI_Cash_Exception_Application[[#This Row],[TYPE]],#REF!,2,FALSE)</f>
        <v>type26</v>
      </c>
      <c r="E2721">
        <v>149.85</v>
      </c>
      <c r="F2721" t="s">
        <v>50</v>
      </c>
      <c r="G2721" s="1">
        <f>qry_ProdData2_PDI_Cash_Exception_Application[[#This Row],[INSERT DATE]]+7</f>
        <v>45204.257071759261</v>
      </c>
      <c r="H2721" t="str">
        <f>VLOOKUP(qry_ProdData2_PDI_Cash_Exception_Application[[#This Row],[MARKET No]],'Site Allocation'!$B$2:$C$37,2,FALSE)</f>
        <v>Analyst5</v>
      </c>
      <c r="I2721" s="4">
        <f t="shared" ca="1" si="42"/>
        <v>45203</v>
      </c>
      <c r="J2721" s="42">
        <f ca="1">TODAY()-qry_ProdData2_PDI_Cash_Exception_Application[[#This Row],[INSERT DATE]]</f>
        <v>5.7429282407392748</v>
      </c>
      <c r="K27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21">
        <f ca="1">qry_ProdData2_PDI_Cash_Exception_Application[[#This Row],[TODAY]]-qry_ProdData2_PDI_Cash_Exception_Application[[#This Row],[CHANGED ON]]</f>
        <v>-1.2570717592607252</v>
      </c>
      <c r="M2721">
        <f ca="1">qry_ProdData2_PDI_Cash_Exception_Application[[#This Row],[TODAY]]-qry_ProdData2_PDI_Cash_Exception_Application[[#This Row],[CHANGED ON]]</f>
        <v>-1.2570717592607252</v>
      </c>
      <c r="N2721">
        <f ca="1">qry_ProdData2_PDI_Cash_Exception_Application[[#This Row],[TODAY]]-qry_ProdData2_PDI_Cash_Exception_Application[[#This Row],[CHANGED ON]]</f>
        <v>-1.2570717592607252</v>
      </c>
    </row>
    <row r="2722" spans="1:14" x14ac:dyDescent="0.35">
      <c r="A2722">
        <v>1013</v>
      </c>
      <c r="B2722" t="s">
        <v>67</v>
      </c>
      <c r="C2722" s="1">
        <v>45179.257071759261</v>
      </c>
      <c r="D2722" t="str">
        <f ca="1">VLOOKUP(qry_ProdData2_PDI_Cash_Exception_Application[[#This Row],[TYPE]],#REF!,2,FALSE)</f>
        <v>type38</v>
      </c>
      <c r="E2722">
        <v>154.41999999999999</v>
      </c>
      <c r="F2722" t="s">
        <v>52</v>
      </c>
      <c r="G2722" s="1">
        <f>qry_ProdData2_PDI_Cash_Exception_Application[[#This Row],[INSERT DATE]]+7</f>
        <v>45186.257071759261</v>
      </c>
      <c r="H2722" t="str">
        <f>VLOOKUP(qry_ProdData2_PDI_Cash_Exception_Application[[#This Row],[MARKET No]],'Site Allocation'!$B$2:$C$37,2,FALSE)</f>
        <v>Analyst3</v>
      </c>
      <c r="I2722" s="4">
        <f t="shared" ca="1" si="42"/>
        <v>45203</v>
      </c>
      <c r="J2722" s="42">
        <f ca="1">TODAY()-qry_ProdData2_PDI_Cash_Exception_Application[[#This Row],[INSERT DATE]]</f>
        <v>23.742928240739275</v>
      </c>
      <c r="K27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22">
        <f ca="1">qry_ProdData2_PDI_Cash_Exception_Application[[#This Row],[TODAY]]-qry_ProdData2_PDI_Cash_Exception_Application[[#This Row],[CHANGED ON]]</f>
        <v>16.742928240739275</v>
      </c>
      <c r="M2722">
        <f ca="1">qry_ProdData2_PDI_Cash_Exception_Application[[#This Row],[TODAY]]-qry_ProdData2_PDI_Cash_Exception_Application[[#This Row],[CHANGED ON]]</f>
        <v>16.742928240739275</v>
      </c>
      <c r="N2722">
        <f ca="1">qry_ProdData2_PDI_Cash_Exception_Application[[#This Row],[TODAY]]-qry_ProdData2_PDI_Cash_Exception_Application[[#This Row],[CHANGED ON]]</f>
        <v>16.742928240739275</v>
      </c>
    </row>
    <row r="2723" spans="1:14" x14ac:dyDescent="0.35">
      <c r="A2723">
        <v>1030</v>
      </c>
      <c r="B2723" t="s">
        <v>84</v>
      </c>
      <c r="C2723" s="1">
        <v>45197.257071759261</v>
      </c>
      <c r="D2723" t="str">
        <f ca="1">VLOOKUP(qry_ProdData2_PDI_Cash_Exception_Application[[#This Row],[TYPE]],#REF!,2,FALSE)</f>
        <v>type40</v>
      </c>
      <c r="E2723">
        <v>-478.13</v>
      </c>
      <c r="F2723" t="s">
        <v>47</v>
      </c>
      <c r="G2723" s="1">
        <f>qry_ProdData2_PDI_Cash_Exception_Application[[#This Row],[INSERT DATE]]+2</f>
        <v>45199.257071759261</v>
      </c>
      <c r="H2723" t="str">
        <f>VLOOKUP(qry_ProdData2_PDI_Cash_Exception_Application[[#This Row],[MARKET No]],'Site Allocation'!$B$2:$C$37,2,FALSE)</f>
        <v>Analyst6</v>
      </c>
      <c r="I2723" s="4">
        <f t="shared" ca="1" si="42"/>
        <v>45203</v>
      </c>
      <c r="J2723" s="42">
        <f ca="1">TODAY()-qry_ProdData2_PDI_Cash_Exception_Application[[#This Row],[INSERT DATE]]</f>
        <v>5.7429282407392748</v>
      </c>
      <c r="K27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23">
        <f ca="1">qry_ProdData2_PDI_Cash_Exception_Application[[#This Row],[TODAY]]-qry_ProdData2_PDI_Cash_Exception_Application[[#This Row],[CHANGED ON]]</f>
        <v>3.7429282407392748</v>
      </c>
      <c r="M2723">
        <f ca="1">qry_ProdData2_PDI_Cash_Exception_Application[[#This Row],[TODAY]]-qry_ProdData2_PDI_Cash_Exception_Application[[#This Row],[CHANGED ON]]</f>
        <v>3.7429282407392748</v>
      </c>
      <c r="N2723">
        <f ca="1">qry_ProdData2_PDI_Cash_Exception_Application[[#This Row],[TODAY]]-qry_ProdData2_PDI_Cash_Exception_Application[[#This Row],[CHANGED ON]]</f>
        <v>3.7429282407392748</v>
      </c>
    </row>
    <row r="2724" spans="1:14" x14ac:dyDescent="0.35">
      <c r="A2724">
        <v>1013</v>
      </c>
      <c r="B2724" t="s">
        <v>67</v>
      </c>
      <c r="C2724" s="1">
        <v>45182.257071759261</v>
      </c>
      <c r="D2724" t="str">
        <f ca="1">VLOOKUP(qry_ProdData2_PDI_Cash_Exception_Application[[#This Row],[TYPE]],#REF!,2,FALSE)</f>
        <v>type40</v>
      </c>
      <c r="E2724">
        <v>460.26</v>
      </c>
      <c r="F2724" t="s">
        <v>48</v>
      </c>
      <c r="G2724" s="1">
        <f>qry_ProdData2_PDI_Cash_Exception_Application[[#This Row],[INSERT DATE]]+2</f>
        <v>45184.257071759261</v>
      </c>
      <c r="H2724" t="str">
        <f>VLOOKUP(qry_ProdData2_PDI_Cash_Exception_Application[[#This Row],[MARKET No]],'Site Allocation'!$B$2:$C$37,2,FALSE)</f>
        <v>Analyst3</v>
      </c>
      <c r="I2724" s="4">
        <f t="shared" ca="1" si="42"/>
        <v>45203</v>
      </c>
      <c r="J2724" s="42">
        <f ca="1">TODAY()-qry_ProdData2_PDI_Cash_Exception_Application[[#This Row],[INSERT DATE]]</f>
        <v>20.742928240739275</v>
      </c>
      <c r="K27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24">
        <f ca="1">qry_ProdData2_PDI_Cash_Exception_Application[[#This Row],[TODAY]]-qry_ProdData2_PDI_Cash_Exception_Application[[#This Row],[CHANGED ON]]</f>
        <v>18.742928240739275</v>
      </c>
      <c r="M2724">
        <f ca="1">qry_ProdData2_PDI_Cash_Exception_Application[[#This Row],[TODAY]]-qry_ProdData2_PDI_Cash_Exception_Application[[#This Row],[CHANGED ON]]</f>
        <v>18.742928240739275</v>
      </c>
      <c r="N2724">
        <f ca="1">qry_ProdData2_PDI_Cash_Exception_Application[[#This Row],[TODAY]]-qry_ProdData2_PDI_Cash_Exception_Application[[#This Row],[CHANGED ON]]</f>
        <v>18.742928240739275</v>
      </c>
    </row>
    <row r="2725" spans="1:14" x14ac:dyDescent="0.35">
      <c r="A2725">
        <v>1024</v>
      </c>
      <c r="B2725" t="s">
        <v>78</v>
      </c>
      <c r="C2725" s="1">
        <v>45196.257071759261</v>
      </c>
      <c r="D2725" t="str">
        <f ca="1">VLOOKUP(qry_ProdData2_PDI_Cash_Exception_Application[[#This Row],[TYPE]],#REF!,2,FALSE)</f>
        <v>type40</v>
      </c>
      <c r="E2725">
        <v>-436.07</v>
      </c>
      <c r="G2725" s="1">
        <f>qry_ProdData2_PDI_Cash_Exception_Application[[#This Row],[INSERT DATE]]+1</f>
        <v>45197.257071759261</v>
      </c>
      <c r="H2725" t="str">
        <f>VLOOKUP(qry_ProdData2_PDI_Cash_Exception_Application[[#This Row],[MARKET No]],'Site Allocation'!$B$2:$C$37,2,FALSE)</f>
        <v>Analyst5</v>
      </c>
      <c r="I2725" s="4">
        <f t="shared" ca="1" si="42"/>
        <v>45203</v>
      </c>
      <c r="J2725" s="42">
        <f ca="1">TODAY()-qry_ProdData2_PDI_Cash_Exception_Application[[#This Row],[INSERT DATE]]</f>
        <v>6.7429282407392748</v>
      </c>
      <c r="K27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25">
        <f ca="1">qry_ProdData2_PDI_Cash_Exception_Application[[#This Row],[TODAY]]-qry_ProdData2_PDI_Cash_Exception_Application[[#This Row],[CHANGED ON]]</f>
        <v>5.7429282407392748</v>
      </c>
      <c r="M2725">
        <f ca="1">qry_ProdData2_PDI_Cash_Exception_Application[[#This Row],[TODAY]]-qry_ProdData2_PDI_Cash_Exception_Application[[#This Row],[CHANGED ON]]</f>
        <v>5.7429282407392748</v>
      </c>
      <c r="N2725">
        <f ca="1">qry_ProdData2_PDI_Cash_Exception_Application[[#This Row],[TODAY]]-qry_ProdData2_PDI_Cash_Exception_Application[[#This Row],[CHANGED ON]]</f>
        <v>5.7429282407392748</v>
      </c>
    </row>
    <row r="2726" spans="1:14" x14ac:dyDescent="0.35">
      <c r="A2726">
        <v>1020</v>
      </c>
      <c r="B2726" t="s">
        <v>74</v>
      </c>
      <c r="C2726" s="1">
        <v>45182.257071759261</v>
      </c>
      <c r="D2726" t="str">
        <f ca="1">VLOOKUP(qry_ProdData2_PDI_Cash_Exception_Application[[#This Row],[TYPE]],#REF!,2,FALSE)</f>
        <v>type40</v>
      </c>
      <c r="E2726">
        <v>-3795.75</v>
      </c>
      <c r="F2726" t="s">
        <v>50</v>
      </c>
      <c r="G2726" s="1">
        <f>qry_ProdData2_PDI_Cash_Exception_Application[[#This Row],[INSERT DATE]]+7</f>
        <v>45189.257071759261</v>
      </c>
      <c r="H2726" t="str">
        <f>VLOOKUP(qry_ProdData2_PDI_Cash_Exception_Application[[#This Row],[MARKET No]],'Site Allocation'!$B$2:$C$37,2,FALSE)</f>
        <v>Analyst4</v>
      </c>
      <c r="I2726" s="4">
        <f t="shared" ca="1" si="42"/>
        <v>45203</v>
      </c>
      <c r="J2726" s="42">
        <f ca="1">TODAY()-qry_ProdData2_PDI_Cash_Exception_Application[[#This Row],[INSERT DATE]]</f>
        <v>20.742928240739275</v>
      </c>
      <c r="K27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26">
        <f ca="1">qry_ProdData2_PDI_Cash_Exception_Application[[#This Row],[TODAY]]-qry_ProdData2_PDI_Cash_Exception_Application[[#This Row],[CHANGED ON]]</f>
        <v>13.742928240739275</v>
      </c>
      <c r="M2726">
        <f ca="1">qry_ProdData2_PDI_Cash_Exception_Application[[#This Row],[TODAY]]-qry_ProdData2_PDI_Cash_Exception_Application[[#This Row],[CHANGED ON]]</f>
        <v>13.742928240739275</v>
      </c>
      <c r="N2726">
        <f ca="1">qry_ProdData2_PDI_Cash_Exception_Application[[#This Row],[TODAY]]-qry_ProdData2_PDI_Cash_Exception_Application[[#This Row],[CHANGED ON]]</f>
        <v>13.742928240739275</v>
      </c>
    </row>
    <row r="2727" spans="1:14" x14ac:dyDescent="0.35">
      <c r="A2727">
        <v>1028</v>
      </c>
      <c r="B2727" t="s">
        <v>82</v>
      </c>
      <c r="C2727" s="1">
        <v>45192.257071759261</v>
      </c>
      <c r="D2727" t="str">
        <f ca="1">VLOOKUP(qry_ProdData2_PDI_Cash_Exception_Application[[#This Row],[TYPE]],#REF!,2,FALSE)</f>
        <v>type13</v>
      </c>
      <c r="E2727">
        <v>19385</v>
      </c>
      <c r="F2727" t="s">
        <v>51</v>
      </c>
      <c r="G2727" s="1">
        <f>qry_ProdData2_PDI_Cash_Exception_Application[[#This Row],[INSERT DATE]]+7</f>
        <v>45199.257071759261</v>
      </c>
      <c r="H2727" t="str">
        <f>VLOOKUP(qry_ProdData2_PDI_Cash_Exception_Application[[#This Row],[MARKET No]],'Site Allocation'!$B$2:$C$37,2,FALSE)</f>
        <v>Analyst5</v>
      </c>
      <c r="I2727" s="4">
        <f t="shared" ca="1" si="42"/>
        <v>45203</v>
      </c>
      <c r="J2727" s="42">
        <f ca="1">TODAY()-qry_ProdData2_PDI_Cash_Exception_Application[[#This Row],[INSERT DATE]]</f>
        <v>10.742928240739275</v>
      </c>
      <c r="K27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27">
        <f ca="1">qry_ProdData2_PDI_Cash_Exception_Application[[#This Row],[TODAY]]-qry_ProdData2_PDI_Cash_Exception_Application[[#This Row],[CHANGED ON]]</f>
        <v>3.7429282407392748</v>
      </c>
      <c r="M2727">
        <f ca="1">qry_ProdData2_PDI_Cash_Exception_Application[[#This Row],[TODAY]]-qry_ProdData2_PDI_Cash_Exception_Application[[#This Row],[CHANGED ON]]</f>
        <v>3.7429282407392748</v>
      </c>
      <c r="N2727">
        <f ca="1">qry_ProdData2_PDI_Cash_Exception_Application[[#This Row],[TODAY]]-qry_ProdData2_PDI_Cash_Exception_Application[[#This Row],[CHANGED ON]]</f>
        <v>3.7429282407392748</v>
      </c>
    </row>
    <row r="2728" spans="1:14" x14ac:dyDescent="0.35">
      <c r="A2728">
        <v>1017</v>
      </c>
      <c r="B2728" t="s">
        <v>71</v>
      </c>
      <c r="C2728" s="1">
        <v>45183.257071759261</v>
      </c>
      <c r="D2728" t="str">
        <f ca="1">VLOOKUP(qry_ProdData2_PDI_Cash_Exception_Application[[#This Row],[TYPE]],#REF!,2,FALSE)</f>
        <v>type40</v>
      </c>
      <c r="E2728">
        <v>-4291.8100000000004</v>
      </c>
      <c r="F2728" t="s">
        <v>52</v>
      </c>
      <c r="G2728" s="1">
        <f>qry_ProdData2_PDI_Cash_Exception_Application[[#This Row],[INSERT DATE]]+7</f>
        <v>45190.257071759261</v>
      </c>
      <c r="H2728" t="str">
        <f>VLOOKUP(qry_ProdData2_PDI_Cash_Exception_Application[[#This Row],[MARKET No]],'Site Allocation'!$B$2:$C$37,2,FALSE)</f>
        <v>Analyst3</v>
      </c>
      <c r="I2728" s="4">
        <f t="shared" ca="1" si="42"/>
        <v>45203</v>
      </c>
      <c r="J2728" s="42">
        <f ca="1">TODAY()-qry_ProdData2_PDI_Cash_Exception_Application[[#This Row],[INSERT DATE]]</f>
        <v>19.742928240739275</v>
      </c>
      <c r="K27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28">
        <f ca="1">qry_ProdData2_PDI_Cash_Exception_Application[[#This Row],[TODAY]]-qry_ProdData2_PDI_Cash_Exception_Application[[#This Row],[CHANGED ON]]</f>
        <v>12.742928240739275</v>
      </c>
      <c r="M2728">
        <f ca="1">qry_ProdData2_PDI_Cash_Exception_Application[[#This Row],[TODAY]]-qry_ProdData2_PDI_Cash_Exception_Application[[#This Row],[CHANGED ON]]</f>
        <v>12.742928240739275</v>
      </c>
      <c r="N2728">
        <f ca="1">qry_ProdData2_PDI_Cash_Exception_Application[[#This Row],[TODAY]]-qry_ProdData2_PDI_Cash_Exception_Application[[#This Row],[CHANGED ON]]</f>
        <v>12.742928240739275</v>
      </c>
    </row>
    <row r="2729" spans="1:14" x14ac:dyDescent="0.35">
      <c r="A2729">
        <v>1013</v>
      </c>
      <c r="B2729" t="s">
        <v>67</v>
      </c>
      <c r="C2729" s="1">
        <v>45187.257071759261</v>
      </c>
      <c r="D2729" t="str">
        <f ca="1">VLOOKUP(qry_ProdData2_PDI_Cash_Exception_Application[[#This Row],[TYPE]],#REF!,2,FALSE)</f>
        <v>type18</v>
      </c>
      <c r="E2729">
        <v>411.13</v>
      </c>
      <c r="F2729" t="s">
        <v>51</v>
      </c>
      <c r="G2729" s="1">
        <f>qry_ProdData2_PDI_Cash_Exception_Application[[#This Row],[INSERT DATE]]+7</f>
        <v>45194.257071759261</v>
      </c>
      <c r="H2729" t="str">
        <f>VLOOKUP(qry_ProdData2_PDI_Cash_Exception_Application[[#This Row],[MARKET No]],'Site Allocation'!$B$2:$C$37,2,FALSE)</f>
        <v>Analyst3</v>
      </c>
      <c r="I2729" s="4">
        <f t="shared" ca="1" si="42"/>
        <v>45203</v>
      </c>
      <c r="J2729" s="42">
        <f ca="1">TODAY()-qry_ProdData2_PDI_Cash_Exception_Application[[#This Row],[INSERT DATE]]</f>
        <v>15.742928240739275</v>
      </c>
      <c r="K27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29">
        <f ca="1">qry_ProdData2_PDI_Cash_Exception_Application[[#This Row],[TODAY]]-qry_ProdData2_PDI_Cash_Exception_Application[[#This Row],[CHANGED ON]]</f>
        <v>8.7429282407392748</v>
      </c>
      <c r="M2729">
        <f ca="1">qry_ProdData2_PDI_Cash_Exception_Application[[#This Row],[TODAY]]-qry_ProdData2_PDI_Cash_Exception_Application[[#This Row],[CHANGED ON]]</f>
        <v>8.7429282407392748</v>
      </c>
      <c r="N2729">
        <f ca="1">qry_ProdData2_PDI_Cash_Exception_Application[[#This Row],[TODAY]]-qry_ProdData2_PDI_Cash_Exception_Application[[#This Row],[CHANGED ON]]</f>
        <v>8.7429282407392748</v>
      </c>
    </row>
    <row r="2730" spans="1:14" x14ac:dyDescent="0.35">
      <c r="A2730">
        <v>1004</v>
      </c>
      <c r="B2730" t="s">
        <v>58</v>
      </c>
      <c r="C2730" s="1">
        <v>45197.257071759261</v>
      </c>
      <c r="D2730" t="str">
        <f ca="1">VLOOKUP(qry_ProdData2_PDI_Cash_Exception_Application[[#This Row],[TYPE]],#REF!,2,FALSE)</f>
        <v>type22</v>
      </c>
      <c r="E2730">
        <v>426.34</v>
      </c>
      <c r="F2730" t="s">
        <v>47</v>
      </c>
      <c r="G2730" s="1">
        <f>qry_ProdData2_PDI_Cash_Exception_Application[[#This Row],[INSERT DATE]]+1</f>
        <v>45198.257071759261</v>
      </c>
      <c r="H2730" t="str">
        <f>VLOOKUP(qry_ProdData2_PDI_Cash_Exception_Application[[#This Row],[MARKET No]],'Site Allocation'!$B$2:$C$37,2,FALSE)</f>
        <v>Analyst1</v>
      </c>
      <c r="I2730" s="4">
        <f t="shared" ca="1" si="42"/>
        <v>45203</v>
      </c>
      <c r="J2730" s="42">
        <f ca="1">TODAY()-qry_ProdData2_PDI_Cash_Exception_Application[[#This Row],[INSERT DATE]]</f>
        <v>5.7429282407392748</v>
      </c>
      <c r="K27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30">
        <f ca="1">qry_ProdData2_PDI_Cash_Exception_Application[[#This Row],[TODAY]]-qry_ProdData2_PDI_Cash_Exception_Application[[#This Row],[CHANGED ON]]</f>
        <v>4.7429282407392748</v>
      </c>
      <c r="M2730">
        <f ca="1">qry_ProdData2_PDI_Cash_Exception_Application[[#This Row],[TODAY]]-qry_ProdData2_PDI_Cash_Exception_Application[[#This Row],[CHANGED ON]]</f>
        <v>4.7429282407392748</v>
      </c>
      <c r="N2730">
        <f ca="1">qry_ProdData2_PDI_Cash_Exception_Application[[#This Row],[TODAY]]-qry_ProdData2_PDI_Cash_Exception_Application[[#This Row],[CHANGED ON]]</f>
        <v>4.7429282407392748</v>
      </c>
    </row>
    <row r="2731" spans="1:14" x14ac:dyDescent="0.35">
      <c r="A2731">
        <v>1000</v>
      </c>
      <c r="B2731" t="s">
        <v>54</v>
      </c>
      <c r="C2731" s="1">
        <v>45185.257071759261</v>
      </c>
      <c r="D2731" t="str">
        <f ca="1">VLOOKUP(qry_ProdData2_PDI_Cash_Exception_Application[[#This Row],[TYPE]],#REF!,2,FALSE)</f>
        <v>type40</v>
      </c>
      <c r="E2731">
        <v>488.18</v>
      </c>
      <c r="F2731" t="s">
        <v>52</v>
      </c>
      <c r="G2731" s="1">
        <f>qry_ProdData2_PDI_Cash_Exception_Application[[#This Row],[INSERT DATE]]+7</f>
        <v>45192.257071759261</v>
      </c>
      <c r="H2731" t="str">
        <f>VLOOKUP(qry_ProdData2_PDI_Cash_Exception_Application[[#This Row],[MARKET No]],'Site Allocation'!$B$2:$C$37,2,FALSE)</f>
        <v>Analyst1</v>
      </c>
      <c r="I2731" s="4">
        <f t="shared" ca="1" si="42"/>
        <v>45203</v>
      </c>
      <c r="J2731" s="42">
        <f ca="1">TODAY()-qry_ProdData2_PDI_Cash_Exception_Application[[#This Row],[INSERT DATE]]</f>
        <v>17.742928240739275</v>
      </c>
      <c r="K27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31">
        <f ca="1">qry_ProdData2_PDI_Cash_Exception_Application[[#This Row],[TODAY]]-qry_ProdData2_PDI_Cash_Exception_Application[[#This Row],[CHANGED ON]]</f>
        <v>10.742928240739275</v>
      </c>
      <c r="M2731">
        <f ca="1">qry_ProdData2_PDI_Cash_Exception_Application[[#This Row],[TODAY]]-qry_ProdData2_PDI_Cash_Exception_Application[[#This Row],[CHANGED ON]]</f>
        <v>10.742928240739275</v>
      </c>
      <c r="N2731">
        <f ca="1">qry_ProdData2_PDI_Cash_Exception_Application[[#This Row],[TODAY]]-qry_ProdData2_PDI_Cash_Exception_Application[[#This Row],[CHANGED ON]]</f>
        <v>10.742928240739275</v>
      </c>
    </row>
    <row r="2732" spans="1:14" x14ac:dyDescent="0.35">
      <c r="A2732">
        <v>1010</v>
      </c>
      <c r="B2732" t="s">
        <v>64</v>
      </c>
      <c r="C2732" s="1">
        <v>45185.257071759261</v>
      </c>
      <c r="D2732" t="str">
        <f ca="1">VLOOKUP(qry_ProdData2_PDI_Cash_Exception_Application[[#This Row],[TYPE]],#REF!,2,FALSE)</f>
        <v>type40</v>
      </c>
      <c r="E2732">
        <v>-1155.33</v>
      </c>
      <c r="F2732" t="s">
        <v>52</v>
      </c>
      <c r="G2732" s="1">
        <f>qry_ProdData2_PDI_Cash_Exception_Application[[#This Row],[INSERT DATE]]+7</f>
        <v>45192.257071759261</v>
      </c>
      <c r="H2732" t="str">
        <f>VLOOKUP(qry_ProdData2_PDI_Cash_Exception_Application[[#This Row],[MARKET No]],'Site Allocation'!$B$2:$C$37,2,FALSE)</f>
        <v>Analyst2</v>
      </c>
      <c r="I2732" s="4">
        <f t="shared" ca="1" si="42"/>
        <v>45203</v>
      </c>
      <c r="J2732" s="42">
        <f ca="1">TODAY()-qry_ProdData2_PDI_Cash_Exception_Application[[#This Row],[INSERT DATE]]</f>
        <v>17.742928240739275</v>
      </c>
      <c r="K27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32">
        <f ca="1">qry_ProdData2_PDI_Cash_Exception_Application[[#This Row],[TODAY]]-qry_ProdData2_PDI_Cash_Exception_Application[[#This Row],[CHANGED ON]]</f>
        <v>10.742928240739275</v>
      </c>
      <c r="M2732">
        <f ca="1">qry_ProdData2_PDI_Cash_Exception_Application[[#This Row],[TODAY]]-qry_ProdData2_PDI_Cash_Exception_Application[[#This Row],[CHANGED ON]]</f>
        <v>10.742928240739275</v>
      </c>
      <c r="N2732">
        <f ca="1">qry_ProdData2_PDI_Cash_Exception_Application[[#This Row],[TODAY]]-qry_ProdData2_PDI_Cash_Exception_Application[[#This Row],[CHANGED ON]]</f>
        <v>10.742928240739275</v>
      </c>
    </row>
    <row r="2733" spans="1:14" x14ac:dyDescent="0.35">
      <c r="A2733">
        <v>1028</v>
      </c>
      <c r="B2733" t="s">
        <v>82</v>
      </c>
      <c r="C2733" s="1">
        <v>45186.257071759261</v>
      </c>
      <c r="D2733" t="str">
        <f ca="1">VLOOKUP(qry_ProdData2_PDI_Cash_Exception_Application[[#This Row],[TYPE]],#REF!,2,FALSE)</f>
        <v>type40</v>
      </c>
      <c r="E2733">
        <v>1271.07</v>
      </c>
      <c r="F2733" t="s">
        <v>52</v>
      </c>
      <c r="G2733" s="1">
        <f>qry_ProdData2_PDI_Cash_Exception_Application[[#This Row],[INSERT DATE]]+7</f>
        <v>45193.257071759261</v>
      </c>
      <c r="H2733" t="str">
        <f>VLOOKUP(qry_ProdData2_PDI_Cash_Exception_Application[[#This Row],[MARKET No]],'Site Allocation'!$B$2:$C$37,2,FALSE)</f>
        <v>Analyst5</v>
      </c>
      <c r="I2733" s="4">
        <f t="shared" ca="1" si="42"/>
        <v>45203</v>
      </c>
      <c r="J2733" s="42">
        <f ca="1">TODAY()-qry_ProdData2_PDI_Cash_Exception_Application[[#This Row],[INSERT DATE]]</f>
        <v>16.742928240739275</v>
      </c>
      <c r="K27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33">
        <f ca="1">qry_ProdData2_PDI_Cash_Exception_Application[[#This Row],[TODAY]]-qry_ProdData2_PDI_Cash_Exception_Application[[#This Row],[CHANGED ON]]</f>
        <v>9.7429282407392748</v>
      </c>
      <c r="M2733">
        <f ca="1">qry_ProdData2_PDI_Cash_Exception_Application[[#This Row],[TODAY]]-qry_ProdData2_PDI_Cash_Exception_Application[[#This Row],[CHANGED ON]]</f>
        <v>9.7429282407392748</v>
      </c>
      <c r="N2733">
        <f ca="1">qry_ProdData2_PDI_Cash_Exception_Application[[#This Row],[TODAY]]-qry_ProdData2_PDI_Cash_Exception_Application[[#This Row],[CHANGED ON]]</f>
        <v>9.7429282407392748</v>
      </c>
    </row>
    <row r="2734" spans="1:14" x14ac:dyDescent="0.35">
      <c r="A2734">
        <v>1025</v>
      </c>
      <c r="B2734" t="s">
        <v>79</v>
      </c>
      <c r="C2734" s="1">
        <v>45183.257071759261</v>
      </c>
      <c r="D2734" t="str">
        <f ca="1">VLOOKUP(qry_ProdData2_PDI_Cash_Exception_Application[[#This Row],[TYPE]],#REF!,2,FALSE)</f>
        <v>type48</v>
      </c>
      <c r="E2734">
        <v>837.2</v>
      </c>
      <c r="F2734" t="s">
        <v>48</v>
      </c>
      <c r="G2734" s="1">
        <f>qry_ProdData2_PDI_Cash_Exception_Application[[#This Row],[INSERT DATE]]+5</f>
        <v>45188.257071759261</v>
      </c>
      <c r="H2734" t="str">
        <f>VLOOKUP(qry_ProdData2_PDI_Cash_Exception_Application[[#This Row],[MARKET No]],'Site Allocation'!$B$2:$C$37,2,FALSE)</f>
        <v>Analyst5</v>
      </c>
      <c r="I2734" s="4">
        <f t="shared" ca="1" si="42"/>
        <v>45203</v>
      </c>
      <c r="J2734" s="42">
        <f ca="1">TODAY()-qry_ProdData2_PDI_Cash_Exception_Application[[#This Row],[INSERT DATE]]</f>
        <v>19.742928240739275</v>
      </c>
      <c r="K27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34">
        <f ca="1">qry_ProdData2_PDI_Cash_Exception_Application[[#This Row],[TODAY]]-qry_ProdData2_PDI_Cash_Exception_Application[[#This Row],[CHANGED ON]]</f>
        <v>14.742928240739275</v>
      </c>
      <c r="M2734">
        <f ca="1">qry_ProdData2_PDI_Cash_Exception_Application[[#This Row],[TODAY]]-qry_ProdData2_PDI_Cash_Exception_Application[[#This Row],[CHANGED ON]]</f>
        <v>14.742928240739275</v>
      </c>
      <c r="N2734">
        <f ca="1">qry_ProdData2_PDI_Cash_Exception_Application[[#This Row],[TODAY]]-qry_ProdData2_PDI_Cash_Exception_Application[[#This Row],[CHANGED ON]]</f>
        <v>14.742928240739275</v>
      </c>
    </row>
    <row r="2735" spans="1:14" x14ac:dyDescent="0.35">
      <c r="A2735">
        <v>1034</v>
      </c>
      <c r="B2735" t="s">
        <v>88</v>
      </c>
      <c r="C2735" s="1">
        <v>45187.257071759261</v>
      </c>
      <c r="D2735" t="str">
        <f ca="1">VLOOKUP(qry_ProdData2_PDI_Cash_Exception_Application[[#This Row],[TYPE]],#REF!,2,FALSE)</f>
        <v>type40</v>
      </c>
      <c r="E2735">
        <v>-5317.83</v>
      </c>
      <c r="F2735" t="s">
        <v>50</v>
      </c>
      <c r="G2735" s="1">
        <f>qry_ProdData2_PDI_Cash_Exception_Application[[#This Row],[INSERT DATE]]+1</f>
        <v>45188.257071759261</v>
      </c>
      <c r="H2735" t="str">
        <f>VLOOKUP(qry_ProdData2_PDI_Cash_Exception_Application[[#This Row],[MARKET No]],'Site Allocation'!$B$2:$C$37,2,FALSE)</f>
        <v>Analyst6</v>
      </c>
      <c r="I2735" s="4">
        <f t="shared" ca="1" si="42"/>
        <v>45203</v>
      </c>
      <c r="J2735" s="42">
        <f ca="1">TODAY()-qry_ProdData2_PDI_Cash_Exception_Application[[#This Row],[INSERT DATE]]</f>
        <v>15.742928240739275</v>
      </c>
      <c r="K27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35">
        <f ca="1">qry_ProdData2_PDI_Cash_Exception_Application[[#This Row],[TODAY]]-qry_ProdData2_PDI_Cash_Exception_Application[[#This Row],[CHANGED ON]]</f>
        <v>14.742928240739275</v>
      </c>
      <c r="M2735">
        <f ca="1">qry_ProdData2_PDI_Cash_Exception_Application[[#This Row],[TODAY]]-qry_ProdData2_PDI_Cash_Exception_Application[[#This Row],[CHANGED ON]]</f>
        <v>14.742928240739275</v>
      </c>
      <c r="N2735">
        <f ca="1">qry_ProdData2_PDI_Cash_Exception_Application[[#This Row],[TODAY]]-qry_ProdData2_PDI_Cash_Exception_Application[[#This Row],[CHANGED ON]]</f>
        <v>14.742928240739275</v>
      </c>
    </row>
    <row r="2736" spans="1:14" x14ac:dyDescent="0.35">
      <c r="A2736">
        <v>1012</v>
      </c>
      <c r="B2736" t="s">
        <v>66</v>
      </c>
      <c r="C2736" s="1">
        <v>45187.257071759261</v>
      </c>
      <c r="D2736" t="str">
        <f ca="1">VLOOKUP(qry_ProdData2_PDI_Cash_Exception_Application[[#This Row],[TYPE]],#REF!,2,FALSE)</f>
        <v>type40</v>
      </c>
      <c r="E2736">
        <v>-330.33</v>
      </c>
      <c r="F2736" t="s">
        <v>48</v>
      </c>
      <c r="G2736" s="1">
        <f>qry_ProdData2_PDI_Cash_Exception_Application[[#This Row],[INSERT DATE]]+7</f>
        <v>45194.257071759261</v>
      </c>
      <c r="H2736" t="str">
        <f>VLOOKUP(qry_ProdData2_PDI_Cash_Exception_Application[[#This Row],[MARKET No]],'Site Allocation'!$B$2:$C$37,2,FALSE)</f>
        <v>Analyst3</v>
      </c>
      <c r="I2736" s="4">
        <f t="shared" ca="1" si="42"/>
        <v>45203</v>
      </c>
      <c r="J2736" s="42">
        <f ca="1">TODAY()-qry_ProdData2_PDI_Cash_Exception_Application[[#This Row],[INSERT DATE]]</f>
        <v>15.742928240739275</v>
      </c>
      <c r="K27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36">
        <f ca="1">qry_ProdData2_PDI_Cash_Exception_Application[[#This Row],[TODAY]]-qry_ProdData2_PDI_Cash_Exception_Application[[#This Row],[CHANGED ON]]</f>
        <v>8.7429282407392748</v>
      </c>
      <c r="M2736">
        <f ca="1">qry_ProdData2_PDI_Cash_Exception_Application[[#This Row],[TODAY]]-qry_ProdData2_PDI_Cash_Exception_Application[[#This Row],[CHANGED ON]]</f>
        <v>8.7429282407392748</v>
      </c>
      <c r="N2736">
        <f ca="1">qry_ProdData2_PDI_Cash_Exception_Application[[#This Row],[TODAY]]-qry_ProdData2_PDI_Cash_Exception_Application[[#This Row],[CHANGED ON]]</f>
        <v>8.7429282407392748</v>
      </c>
    </row>
    <row r="2737" spans="1:14" x14ac:dyDescent="0.35">
      <c r="A2737">
        <v>1011</v>
      </c>
      <c r="B2737" t="s">
        <v>65</v>
      </c>
      <c r="C2737" s="1">
        <v>45189.257071759261</v>
      </c>
      <c r="D2737" t="str">
        <f ca="1">VLOOKUP(qry_ProdData2_PDI_Cash_Exception_Application[[#This Row],[TYPE]],#REF!,2,FALSE)</f>
        <v>type40</v>
      </c>
      <c r="E2737">
        <v>-4254.57</v>
      </c>
      <c r="F2737" t="s">
        <v>50</v>
      </c>
      <c r="G2737" s="1">
        <f>qry_ProdData2_PDI_Cash_Exception_Application[[#This Row],[INSERT DATE]]+1</f>
        <v>45190.257071759261</v>
      </c>
      <c r="H2737" t="str">
        <f>VLOOKUP(qry_ProdData2_PDI_Cash_Exception_Application[[#This Row],[MARKET No]],'Site Allocation'!$B$2:$C$37,2,FALSE)</f>
        <v>Analyst2</v>
      </c>
      <c r="I2737" s="4">
        <f t="shared" ca="1" si="42"/>
        <v>45203</v>
      </c>
      <c r="J2737" s="42">
        <f ca="1">TODAY()-qry_ProdData2_PDI_Cash_Exception_Application[[#This Row],[INSERT DATE]]</f>
        <v>13.742928240739275</v>
      </c>
      <c r="K27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37">
        <f ca="1">qry_ProdData2_PDI_Cash_Exception_Application[[#This Row],[TODAY]]-qry_ProdData2_PDI_Cash_Exception_Application[[#This Row],[CHANGED ON]]</f>
        <v>12.742928240739275</v>
      </c>
      <c r="M2737">
        <f ca="1">qry_ProdData2_PDI_Cash_Exception_Application[[#This Row],[TODAY]]-qry_ProdData2_PDI_Cash_Exception_Application[[#This Row],[CHANGED ON]]</f>
        <v>12.742928240739275</v>
      </c>
      <c r="N2737">
        <f ca="1">qry_ProdData2_PDI_Cash_Exception_Application[[#This Row],[TODAY]]-qry_ProdData2_PDI_Cash_Exception_Application[[#This Row],[CHANGED ON]]</f>
        <v>12.742928240739275</v>
      </c>
    </row>
    <row r="2738" spans="1:14" x14ac:dyDescent="0.35">
      <c r="A2738">
        <v>1005</v>
      </c>
      <c r="B2738" t="s">
        <v>59</v>
      </c>
      <c r="C2738" s="1">
        <v>45189.257071759261</v>
      </c>
      <c r="D2738" t="str">
        <f ca="1">VLOOKUP(qry_ProdData2_PDI_Cash_Exception_Application[[#This Row],[TYPE]],#REF!,2,FALSE)</f>
        <v>type13</v>
      </c>
      <c r="E2738">
        <v>30046.67</v>
      </c>
      <c r="F2738" t="s">
        <v>50</v>
      </c>
      <c r="G2738" s="1">
        <f>qry_ProdData2_PDI_Cash_Exception_Application[[#This Row],[INSERT DATE]]+1</f>
        <v>45190.257071759261</v>
      </c>
      <c r="H2738" t="str">
        <f>VLOOKUP(qry_ProdData2_PDI_Cash_Exception_Application[[#This Row],[MARKET No]],'Site Allocation'!$B$2:$C$37,2,FALSE)</f>
        <v>Analyst1</v>
      </c>
      <c r="I2738" s="4">
        <f t="shared" ca="1" si="42"/>
        <v>45203</v>
      </c>
      <c r="J2738" s="42">
        <f ca="1">TODAY()-qry_ProdData2_PDI_Cash_Exception_Application[[#This Row],[INSERT DATE]]</f>
        <v>13.742928240739275</v>
      </c>
      <c r="K27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38">
        <f ca="1">qry_ProdData2_PDI_Cash_Exception_Application[[#This Row],[TODAY]]-qry_ProdData2_PDI_Cash_Exception_Application[[#This Row],[CHANGED ON]]</f>
        <v>12.742928240739275</v>
      </c>
      <c r="M2738">
        <f ca="1">qry_ProdData2_PDI_Cash_Exception_Application[[#This Row],[TODAY]]-qry_ProdData2_PDI_Cash_Exception_Application[[#This Row],[CHANGED ON]]</f>
        <v>12.742928240739275</v>
      </c>
      <c r="N2738">
        <f ca="1">qry_ProdData2_PDI_Cash_Exception_Application[[#This Row],[TODAY]]-qry_ProdData2_PDI_Cash_Exception_Application[[#This Row],[CHANGED ON]]</f>
        <v>12.742928240739275</v>
      </c>
    </row>
    <row r="2739" spans="1:14" x14ac:dyDescent="0.35">
      <c r="A2739">
        <v>1022</v>
      </c>
      <c r="B2739" t="s">
        <v>76</v>
      </c>
      <c r="C2739" s="1">
        <v>45197.257071759261</v>
      </c>
      <c r="D2739" t="str">
        <f ca="1">VLOOKUP(qry_ProdData2_PDI_Cash_Exception_Application[[#This Row],[TYPE]],#REF!,2,FALSE)</f>
        <v>type40</v>
      </c>
      <c r="E2739">
        <v>435.53</v>
      </c>
      <c r="F2739" t="s">
        <v>47</v>
      </c>
      <c r="G2739" s="1">
        <f>qry_ProdData2_PDI_Cash_Exception_Application[[#This Row],[INSERT DATE]]+7</f>
        <v>45204.257071759261</v>
      </c>
      <c r="H2739" t="str">
        <f>VLOOKUP(qry_ProdData2_PDI_Cash_Exception_Application[[#This Row],[MARKET No]],'Site Allocation'!$B$2:$C$37,2,FALSE)</f>
        <v>Analyst4</v>
      </c>
      <c r="I2739" s="4">
        <f t="shared" ca="1" si="42"/>
        <v>45203</v>
      </c>
      <c r="J2739" s="42">
        <f ca="1">TODAY()-qry_ProdData2_PDI_Cash_Exception_Application[[#This Row],[INSERT DATE]]</f>
        <v>5.7429282407392748</v>
      </c>
      <c r="K27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39">
        <f ca="1">qry_ProdData2_PDI_Cash_Exception_Application[[#This Row],[TODAY]]-qry_ProdData2_PDI_Cash_Exception_Application[[#This Row],[CHANGED ON]]</f>
        <v>-1.2570717592607252</v>
      </c>
      <c r="M2739">
        <f ca="1">qry_ProdData2_PDI_Cash_Exception_Application[[#This Row],[TODAY]]-qry_ProdData2_PDI_Cash_Exception_Application[[#This Row],[CHANGED ON]]</f>
        <v>-1.2570717592607252</v>
      </c>
      <c r="N2739">
        <f ca="1">qry_ProdData2_PDI_Cash_Exception_Application[[#This Row],[TODAY]]-qry_ProdData2_PDI_Cash_Exception_Application[[#This Row],[CHANGED ON]]</f>
        <v>-1.2570717592607252</v>
      </c>
    </row>
    <row r="2740" spans="1:14" x14ac:dyDescent="0.35">
      <c r="A2740">
        <v>1022</v>
      </c>
      <c r="B2740" t="s">
        <v>76</v>
      </c>
      <c r="C2740" s="1">
        <v>45190.257071759261</v>
      </c>
      <c r="D2740" t="str">
        <f ca="1">VLOOKUP(qry_ProdData2_PDI_Cash_Exception_Application[[#This Row],[TYPE]],#REF!,2,FALSE)</f>
        <v>type38</v>
      </c>
      <c r="E2740">
        <v>177.1</v>
      </c>
      <c r="F2740" t="s">
        <v>52</v>
      </c>
      <c r="G2740" s="1">
        <f>qry_ProdData2_PDI_Cash_Exception_Application[[#This Row],[INSERT DATE]]+1</f>
        <v>45191.257071759261</v>
      </c>
      <c r="H2740" t="str">
        <f>VLOOKUP(qry_ProdData2_PDI_Cash_Exception_Application[[#This Row],[MARKET No]],'Site Allocation'!$B$2:$C$37,2,FALSE)</f>
        <v>Analyst4</v>
      </c>
      <c r="I2740" s="4">
        <f t="shared" ca="1" si="42"/>
        <v>45203</v>
      </c>
      <c r="J2740" s="42">
        <f ca="1">TODAY()-qry_ProdData2_PDI_Cash_Exception_Application[[#This Row],[INSERT DATE]]</f>
        <v>12.742928240739275</v>
      </c>
      <c r="K27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40">
        <f ca="1">qry_ProdData2_PDI_Cash_Exception_Application[[#This Row],[TODAY]]-qry_ProdData2_PDI_Cash_Exception_Application[[#This Row],[CHANGED ON]]</f>
        <v>11.742928240739275</v>
      </c>
      <c r="M2740">
        <f ca="1">qry_ProdData2_PDI_Cash_Exception_Application[[#This Row],[TODAY]]-qry_ProdData2_PDI_Cash_Exception_Application[[#This Row],[CHANGED ON]]</f>
        <v>11.742928240739275</v>
      </c>
      <c r="N2740">
        <f ca="1">qry_ProdData2_PDI_Cash_Exception_Application[[#This Row],[TODAY]]-qry_ProdData2_PDI_Cash_Exception_Application[[#This Row],[CHANGED ON]]</f>
        <v>11.742928240739275</v>
      </c>
    </row>
    <row r="2741" spans="1:14" x14ac:dyDescent="0.35">
      <c r="A2741">
        <v>1033</v>
      </c>
      <c r="B2741" t="s">
        <v>87</v>
      </c>
      <c r="C2741" s="1">
        <v>45191.257071759261</v>
      </c>
      <c r="D2741" t="str">
        <f ca="1">VLOOKUP(qry_ProdData2_PDI_Cash_Exception_Application[[#This Row],[TYPE]],#REF!,2,FALSE)</f>
        <v>type40</v>
      </c>
      <c r="E2741">
        <v>24</v>
      </c>
      <c r="F2741" t="s">
        <v>52</v>
      </c>
      <c r="G2741" s="1">
        <f>qry_ProdData2_PDI_Cash_Exception_Application[[#This Row],[INSERT DATE]]+1</f>
        <v>45192.257071759261</v>
      </c>
      <c r="H2741" t="str">
        <f>VLOOKUP(qry_ProdData2_PDI_Cash_Exception_Application[[#This Row],[MARKET No]],'Site Allocation'!$B$2:$C$37,2,FALSE)</f>
        <v>Analyst6</v>
      </c>
      <c r="I2741" s="4">
        <f t="shared" ca="1" si="42"/>
        <v>45203</v>
      </c>
      <c r="J2741" s="42">
        <f ca="1">TODAY()-qry_ProdData2_PDI_Cash_Exception_Application[[#This Row],[INSERT DATE]]</f>
        <v>11.742928240739275</v>
      </c>
      <c r="K27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41">
        <f ca="1">qry_ProdData2_PDI_Cash_Exception_Application[[#This Row],[TODAY]]-qry_ProdData2_PDI_Cash_Exception_Application[[#This Row],[CHANGED ON]]</f>
        <v>10.742928240739275</v>
      </c>
      <c r="M2741">
        <f ca="1">qry_ProdData2_PDI_Cash_Exception_Application[[#This Row],[TODAY]]-qry_ProdData2_PDI_Cash_Exception_Application[[#This Row],[CHANGED ON]]</f>
        <v>10.742928240739275</v>
      </c>
      <c r="N2741">
        <f ca="1">qry_ProdData2_PDI_Cash_Exception_Application[[#This Row],[TODAY]]-qry_ProdData2_PDI_Cash_Exception_Application[[#This Row],[CHANGED ON]]</f>
        <v>10.742928240739275</v>
      </c>
    </row>
    <row r="2742" spans="1:14" x14ac:dyDescent="0.35">
      <c r="A2742">
        <v>1026</v>
      </c>
      <c r="B2742" t="s">
        <v>80</v>
      </c>
      <c r="C2742" s="1">
        <v>45192.257071759261</v>
      </c>
      <c r="D2742" t="str">
        <f ca="1">VLOOKUP(qry_ProdData2_PDI_Cash_Exception_Application[[#This Row],[TYPE]],#REF!,2,FALSE)</f>
        <v>type13</v>
      </c>
      <c r="E2742">
        <v>30830.75</v>
      </c>
      <c r="F2742" t="s">
        <v>52</v>
      </c>
      <c r="G2742" s="1">
        <f>qry_ProdData2_PDI_Cash_Exception_Application[[#This Row],[INSERT DATE]]+1</f>
        <v>45193.257071759261</v>
      </c>
      <c r="H2742" t="str">
        <f>VLOOKUP(qry_ProdData2_PDI_Cash_Exception_Application[[#This Row],[MARKET No]],'Site Allocation'!$B$2:$C$37,2,FALSE)</f>
        <v>Analyst5</v>
      </c>
      <c r="I2742" s="4">
        <f t="shared" ca="1" si="42"/>
        <v>45203</v>
      </c>
      <c r="J2742" s="42">
        <f ca="1">TODAY()-qry_ProdData2_PDI_Cash_Exception_Application[[#This Row],[INSERT DATE]]</f>
        <v>10.742928240739275</v>
      </c>
      <c r="K27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42">
        <f ca="1">qry_ProdData2_PDI_Cash_Exception_Application[[#This Row],[TODAY]]-qry_ProdData2_PDI_Cash_Exception_Application[[#This Row],[CHANGED ON]]</f>
        <v>9.7429282407392748</v>
      </c>
      <c r="M2742">
        <f ca="1">qry_ProdData2_PDI_Cash_Exception_Application[[#This Row],[TODAY]]-qry_ProdData2_PDI_Cash_Exception_Application[[#This Row],[CHANGED ON]]</f>
        <v>9.7429282407392748</v>
      </c>
      <c r="N2742">
        <f ca="1">qry_ProdData2_PDI_Cash_Exception_Application[[#This Row],[TODAY]]-qry_ProdData2_PDI_Cash_Exception_Application[[#This Row],[CHANGED ON]]</f>
        <v>9.7429282407392748</v>
      </c>
    </row>
    <row r="2743" spans="1:14" x14ac:dyDescent="0.35">
      <c r="A2743">
        <v>1021</v>
      </c>
      <c r="B2743" t="s">
        <v>75</v>
      </c>
      <c r="C2743" s="1">
        <v>45189.257071759261</v>
      </c>
      <c r="D2743" t="str">
        <f ca="1">VLOOKUP(qry_ProdData2_PDI_Cash_Exception_Application[[#This Row],[TYPE]],#REF!,2,FALSE)</f>
        <v>type40</v>
      </c>
      <c r="E2743">
        <v>-3870.46</v>
      </c>
      <c r="F2743" t="s">
        <v>51</v>
      </c>
      <c r="G2743" s="1">
        <f>qry_ProdData2_PDI_Cash_Exception_Application[[#This Row],[INSERT DATE]]+7</f>
        <v>45196.257071759261</v>
      </c>
      <c r="H2743" t="str">
        <f>VLOOKUP(qry_ProdData2_PDI_Cash_Exception_Application[[#This Row],[MARKET No]],'Site Allocation'!$B$2:$C$37,2,FALSE)</f>
        <v>Analyst4</v>
      </c>
      <c r="I2743" s="4">
        <f t="shared" ca="1" si="42"/>
        <v>45203</v>
      </c>
      <c r="J2743" s="42">
        <f ca="1">TODAY()-qry_ProdData2_PDI_Cash_Exception_Application[[#This Row],[INSERT DATE]]</f>
        <v>13.742928240739275</v>
      </c>
      <c r="K27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43">
        <f ca="1">qry_ProdData2_PDI_Cash_Exception_Application[[#This Row],[TODAY]]-qry_ProdData2_PDI_Cash_Exception_Application[[#This Row],[CHANGED ON]]</f>
        <v>6.7429282407392748</v>
      </c>
      <c r="M2743">
        <f ca="1">qry_ProdData2_PDI_Cash_Exception_Application[[#This Row],[TODAY]]-qry_ProdData2_PDI_Cash_Exception_Application[[#This Row],[CHANGED ON]]</f>
        <v>6.7429282407392748</v>
      </c>
      <c r="N2743">
        <f ca="1">qry_ProdData2_PDI_Cash_Exception_Application[[#This Row],[TODAY]]-qry_ProdData2_PDI_Cash_Exception_Application[[#This Row],[CHANGED ON]]</f>
        <v>6.7429282407392748</v>
      </c>
    </row>
    <row r="2744" spans="1:14" x14ac:dyDescent="0.35">
      <c r="A2744">
        <v>1022</v>
      </c>
      <c r="B2744" t="s">
        <v>76</v>
      </c>
      <c r="C2744" s="1">
        <v>45196.257071759261</v>
      </c>
      <c r="D2744" t="str">
        <f ca="1">VLOOKUP(qry_ProdData2_PDI_Cash_Exception_Application[[#This Row],[TYPE]],#REF!,2,FALSE)</f>
        <v>type7</v>
      </c>
      <c r="E2744">
        <v>-1694.76</v>
      </c>
      <c r="F2744" t="s">
        <v>47</v>
      </c>
      <c r="G2744" s="1">
        <f>qry_ProdData2_PDI_Cash_Exception_Application[[#This Row],[INSERT DATE]]+7</f>
        <v>45203.257071759261</v>
      </c>
      <c r="H2744" t="str">
        <f>VLOOKUP(qry_ProdData2_PDI_Cash_Exception_Application[[#This Row],[MARKET No]],'Site Allocation'!$B$2:$C$37,2,FALSE)</f>
        <v>Analyst4</v>
      </c>
      <c r="I2744" s="4">
        <f t="shared" ca="1" si="42"/>
        <v>45203</v>
      </c>
      <c r="J2744" s="42">
        <f ca="1">TODAY()-qry_ProdData2_PDI_Cash_Exception_Application[[#This Row],[INSERT DATE]]</f>
        <v>6.7429282407392748</v>
      </c>
      <c r="K27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44">
        <f ca="1">qry_ProdData2_PDI_Cash_Exception_Application[[#This Row],[TODAY]]-qry_ProdData2_PDI_Cash_Exception_Application[[#This Row],[CHANGED ON]]</f>
        <v>-0.25707175926072523</v>
      </c>
      <c r="M2744">
        <f ca="1">qry_ProdData2_PDI_Cash_Exception_Application[[#This Row],[TODAY]]-qry_ProdData2_PDI_Cash_Exception_Application[[#This Row],[CHANGED ON]]</f>
        <v>-0.25707175926072523</v>
      </c>
      <c r="N2744">
        <f ca="1">qry_ProdData2_PDI_Cash_Exception_Application[[#This Row],[TODAY]]-qry_ProdData2_PDI_Cash_Exception_Application[[#This Row],[CHANGED ON]]</f>
        <v>-0.25707175926072523</v>
      </c>
    </row>
    <row r="2745" spans="1:14" x14ac:dyDescent="0.35">
      <c r="A2745">
        <v>1022</v>
      </c>
      <c r="B2745" t="s">
        <v>76</v>
      </c>
      <c r="C2745" s="1">
        <v>45196.257071759261</v>
      </c>
      <c r="D2745" t="str">
        <f ca="1">VLOOKUP(qry_ProdData2_PDI_Cash_Exception_Application[[#This Row],[TYPE]],#REF!,2,FALSE)</f>
        <v>type13</v>
      </c>
      <c r="E2745">
        <v>60759.86</v>
      </c>
      <c r="F2745" t="s">
        <v>47</v>
      </c>
      <c r="G2745" s="1">
        <f>qry_ProdData2_PDI_Cash_Exception_Application[[#This Row],[INSERT DATE]]+2</f>
        <v>45198.257071759261</v>
      </c>
      <c r="H2745" t="str">
        <f>VLOOKUP(qry_ProdData2_PDI_Cash_Exception_Application[[#This Row],[MARKET No]],'Site Allocation'!$B$2:$C$37,2,FALSE)</f>
        <v>Analyst4</v>
      </c>
      <c r="I2745" s="4">
        <f t="shared" ca="1" si="42"/>
        <v>45203</v>
      </c>
      <c r="J2745" s="42">
        <f ca="1">TODAY()-qry_ProdData2_PDI_Cash_Exception_Application[[#This Row],[INSERT DATE]]</f>
        <v>6.7429282407392748</v>
      </c>
      <c r="K27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45">
        <f ca="1">qry_ProdData2_PDI_Cash_Exception_Application[[#This Row],[TODAY]]-qry_ProdData2_PDI_Cash_Exception_Application[[#This Row],[CHANGED ON]]</f>
        <v>4.7429282407392748</v>
      </c>
      <c r="M2745">
        <f ca="1">qry_ProdData2_PDI_Cash_Exception_Application[[#This Row],[TODAY]]-qry_ProdData2_PDI_Cash_Exception_Application[[#This Row],[CHANGED ON]]</f>
        <v>4.7429282407392748</v>
      </c>
      <c r="N2745">
        <f ca="1">qry_ProdData2_PDI_Cash_Exception_Application[[#This Row],[TODAY]]-qry_ProdData2_PDI_Cash_Exception_Application[[#This Row],[CHANGED ON]]</f>
        <v>4.7429282407392748</v>
      </c>
    </row>
    <row r="2746" spans="1:14" x14ac:dyDescent="0.35">
      <c r="A2746">
        <v>1027</v>
      </c>
      <c r="B2746" t="s">
        <v>81</v>
      </c>
      <c r="C2746" s="1">
        <v>45196.257071759261</v>
      </c>
      <c r="D2746" t="str">
        <f ca="1">VLOOKUP(qry_ProdData2_PDI_Cash_Exception_Application[[#This Row],[TYPE]],#REF!,2,FALSE)</f>
        <v>type13</v>
      </c>
      <c r="E2746">
        <v>25085.57</v>
      </c>
      <c r="F2746" t="s">
        <v>52</v>
      </c>
      <c r="G2746" s="1">
        <f>qry_ProdData2_PDI_Cash_Exception_Application[[#This Row],[INSERT DATE]]+1</f>
        <v>45197.257071759261</v>
      </c>
      <c r="H2746" t="str">
        <f>VLOOKUP(qry_ProdData2_PDI_Cash_Exception_Application[[#This Row],[MARKET No]],'Site Allocation'!$B$2:$C$37,2,FALSE)</f>
        <v>Analyst5</v>
      </c>
      <c r="I2746" s="4">
        <f t="shared" ca="1" si="42"/>
        <v>45203</v>
      </c>
      <c r="J2746" s="42">
        <f ca="1">TODAY()-qry_ProdData2_PDI_Cash_Exception_Application[[#This Row],[INSERT DATE]]</f>
        <v>6.7429282407392748</v>
      </c>
      <c r="K27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46">
        <f ca="1">qry_ProdData2_PDI_Cash_Exception_Application[[#This Row],[TODAY]]-qry_ProdData2_PDI_Cash_Exception_Application[[#This Row],[CHANGED ON]]</f>
        <v>5.7429282407392748</v>
      </c>
      <c r="M2746">
        <f ca="1">qry_ProdData2_PDI_Cash_Exception_Application[[#This Row],[TODAY]]-qry_ProdData2_PDI_Cash_Exception_Application[[#This Row],[CHANGED ON]]</f>
        <v>5.7429282407392748</v>
      </c>
      <c r="N2746">
        <f ca="1">qry_ProdData2_PDI_Cash_Exception_Application[[#This Row],[TODAY]]-qry_ProdData2_PDI_Cash_Exception_Application[[#This Row],[CHANGED ON]]</f>
        <v>5.7429282407392748</v>
      </c>
    </row>
    <row r="2747" spans="1:14" x14ac:dyDescent="0.35">
      <c r="A2747">
        <v>1026</v>
      </c>
      <c r="B2747" t="s">
        <v>80</v>
      </c>
      <c r="C2747" s="1">
        <v>45196.257071759261</v>
      </c>
      <c r="D2747" t="str">
        <f ca="1">VLOOKUP(qry_ProdData2_PDI_Cash_Exception_Application[[#This Row],[TYPE]],#REF!,2,FALSE)</f>
        <v>type40</v>
      </c>
      <c r="E2747">
        <v>32.94</v>
      </c>
      <c r="F2747" t="s">
        <v>47</v>
      </c>
      <c r="G2747" s="1">
        <f>qry_ProdData2_PDI_Cash_Exception_Application[[#This Row],[INSERT DATE]]+5</f>
        <v>45201.257071759261</v>
      </c>
      <c r="H2747" t="str">
        <f>VLOOKUP(qry_ProdData2_PDI_Cash_Exception_Application[[#This Row],[MARKET No]],'Site Allocation'!$B$2:$C$37,2,FALSE)</f>
        <v>Analyst5</v>
      </c>
      <c r="I2747" s="4">
        <f t="shared" ca="1" si="42"/>
        <v>45203</v>
      </c>
      <c r="J2747" s="42">
        <f ca="1">TODAY()-qry_ProdData2_PDI_Cash_Exception_Application[[#This Row],[INSERT DATE]]</f>
        <v>6.7429282407392748</v>
      </c>
      <c r="K27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47">
        <f ca="1">qry_ProdData2_PDI_Cash_Exception_Application[[#This Row],[TODAY]]-qry_ProdData2_PDI_Cash_Exception_Application[[#This Row],[CHANGED ON]]</f>
        <v>1.7429282407392748</v>
      </c>
      <c r="M2747">
        <f ca="1">qry_ProdData2_PDI_Cash_Exception_Application[[#This Row],[TODAY]]-qry_ProdData2_PDI_Cash_Exception_Application[[#This Row],[CHANGED ON]]</f>
        <v>1.7429282407392748</v>
      </c>
      <c r="N2747">
        <f ca="1">qry_ProdData2_PDI_Cash_Exception_Application[[#This Row],[TODAY]]-qry_ProdData2_PDI_Cash_Exception_Application[[#This Row],[CHANGED ON]]</f>
        <v>1.7429282407392748</v>
      </c>
    </row>
    <row r="2748" spans="1:14" x14ac:dyDescent="0.35">
      <c r="A2748">
        <v>1025</v>
      </c>
      <c r="B2748" t="s">
        <v>79</v>
      </c>
      <c r="C2748" s="1">
        <v>45190.257071759261</v>
      </c>
      <c r="D2748" t="str">
        <f ca="1">VLOOKUP(qry_ProdData2_PDI_Cash_Exception_Application[[#This Row],[TYPE]],#REF!,2,FALSE)</f>
        <v>type7</v>
      </c>
      <c r="E2748">
        <v>2031.94</v>
      </c>
      <c r="F2748" t="str">
        <f>qry_ProdData2_PDI_Cash_Exception_Application[[#This Row],[ANALYST]]</f>
        <v>Analyst5</v>
      </c>
      <c r="G2748" s="1">
        <f>qry_ProdData2_PDI_Cash_Exception_Application[[#This Row],[INSERT DATE]]+7</f>
        <v>45197.257071759261</v>
      </c>
      <c r="H2748" t="str">
        <f>VLOOKUP(qry_ProdData2_PDI_Cash_Exception_Application[[#This Row],[MARKET No]],'Site Allocation'!$B$2:$C$37,2,FALSE)</f>
        <v>Analyst5</v>
      </c>
      <c r="I2748" s="4">
        <f t="shared" ca="1" si="42"/>
        <v>45203</v>
      </c>
      <c r="J2748" s="42">
        <f ca="1">TODAY()-qry_ProdData2_PDI_Cash_Exception_Application[[#This Row],[INSERT DATE]]</f>
        <v>12.742928240739275</v>
      </c>
      <c r="K27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48">
        <f ca="1">qry_ProdData2_PDI_Cash_Exception_Application[[#This Row],[TODAY]]-qry_ProdData2_PDI_Cash_Exception_Application[[#This Row],[CHANGED ON]]</f>
        <v>5.7429282407392748</v>
      </c>
      <c r="M2748">
        <f ca="1">qry_ProdData2_PDI_Cash_Exception_Application[[#This Row],[TODAY]]-qry_ProdData2_PDI_Cash_Exception_Application[[#This Row],[CHANGED ON]]</f>
        <v>5.7429282407392748</v>
      </c>
      <c r="N2748">
        <f ca="1">qry_ProdData2_PDI_Cash_Exception_Application[[#This Row],[TODAY]]-qry_ProdData2_PDI_Cash_Exception_Application[[#This Row],[CHANGED ON]]</f>
        <v>5.7429282407392748</v>
      </c>
    </row>
    <row r="2749" spans="1:14" x14ac:dyDescent="0.35">
      <c r="A2749">
        <v>1003</v>
      </c>
      <c r="B2749" t="s">
        <v>57</v>
      </c>
      <c r="C2749" s="1">
        <v>45196.257071759261</v>
      </c>
      <c r="D2749" t="str">
        <f ca="1">VLOOKUP(qry_ProdData2_PDI_Cash_Exception_Application[[#This Row],[TYPE]],#REF!,2,FALSE)</f>
        <v>type35</v>
      </c>
      <c r="E2749">
        <v>542.29999999999995</v>
      </c>
      <c r="G2749" s="1">
        <f>qry_ProdData2_PDI_Cash_Exception_Application[[#This Row],[INSERT DATE]]+2</f>
        <v>45198.257071759261</v>
      </c>
      <c r="H2749" t="str">
        <f>VLOOKUP(qry_ProdData2_PDI_Cash_Exception_Application[[#This Row],[MARKET No]],'Site Allocation'!$B$2:$C$37,2,FALSE)</f>
        <v>Analyst1</v>
      </c>
      <c r="I2749" s="4">
        <f t="shared" ca="1" si="42"/>
        <v>45203</v>
      </c>
      <c r="J2749" s="42">
        <f ca="1">TODAY()-qry_ProdData2_PDI_Cash_Exception_Application[[#This Row],[INSERT DATE]]</f>
        <v>6.7429282407392748</v>
      </c>
      <c r="K27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49">
        <f ca="1">qry_ProdData2_PDI_Cash_Exception_Application[[#This Row],[TODAY]]-qry_ProdData2_PDI_Cash_Exception_Application[[#This Row],[CHANGED ON]]</f>
        <v>4.7429282407392748</v>
      </c>
      <c r="M2749">
        <f ca="1">qry_ProdData2_PDI_Cash_Exception_Application[[#This Row],[TODAY]]-qry_ProdData2_PDI_Cash_Exception_Application[[#This Row],[CHANGED ON]]</f>
        <v>4.7429282407392748</v>
      </c>
      <c r="N2749">
        <f ca="1">qry_ProdData2_PDI_Cash_Exception_Application[[#This Row],[TODAY]]-qry_ProdData2_PDI_Cash_Exception_Application[[#This Row],[CHANGED ON]]</f>
        <v>4.7429282407392748</v>
      </c>
    </row>
    <row r="2750" spans="1:14" x14ac:dyDescent="0.35">
      <c r="A2750">
        <v>1027</v>
      </c>
      <c r="B2750" t="s">
        <v>81</v>
      </c>
      <c r="C2750" s="1">
        <v>45187.257071759261</v>
      </c>
      <c r="D2750" t="str">
        <f ca="1">VLOOKUP(qry_ProdData2_PDI_Cash_Exception_Application[[#This Row],[TYPE]],#REF!,2,FALSE)</f>
        <v>type13</v>
      </c>
      <c r="E2750">
        <v>26406.639999999999</v>
      </c>
      <c r="F2750" t="s">
        <v>52</v>
      </c>
      <c r="G2750" s="1">
        <f>qry_ProdData2_PDI_Cash_Exception_Application[[#This Row],[INSERT DATE]]+1</f>
        <v>45188.257071759261</v>
      </c>
      <c r="H2750" t="str">
        <f>VLOOKUP(qry_ProdData2_PDI_Cash_Exception_Application[[#This Row],[MARKET No]],'Site Allocation'!$B$2:$C$37,2,FALSE)</f>
        <v>Analyst5</v>
      </c>
      <c r="I2750" s="4">
        <f t="shared" ca="1" si="42"/>
        <v>45203</v>
      </c>
      <c r="J2750" s="42">
        <f ca="1">TODAY()-qry_ProdData2_PDI_Cash_Exception_Application[[#This Row],[INSERT DATE]]</f>
        <v>15.742928240739275</v>
      </c>
      <c r="K27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50">
        <f ca="1">qry_ProdData2_PDI_Cash_Exception_Application[[#This Row],[TODAY]]-qry_ProdData2_PDI_Cash_Exception_Application[[#This Row],[CHANGED ON]]</f>
        <v>14.742928240739275</v>
      </c>
      <c r="M2750">
        <f ca="1">qry_ProdData2_PDI_Cash_Exception_Application[[#This Row],[TODAY]]-qry_ProdData2_PDI_Cash_Exception_Application[[#This Row],[CHANGED ON]]</f>
        <v>14.742928240739275</v>
      </c>
      <c r="N2750">
        <f ca="1">qry_ProdData2_PDI_Cash_Exception_Application[[#This Row],[TODAY]]-qry_ProdData2_PDI_Cash_Exception_Application[[#This Row],[CHANGED ON]]</f>
        <v>14.742928240739275</v>
      </c>
    </row>
    <row r="2751" spans="1:14" x14ac:dyDescent="0.35">
      <c r="A2751">
        <v>1015</v>
      </c>
      <c r="B2751" t="s">
        <v>69</v>
      </c>
      <c r="C2751" s="1">
        <v>45187.257071759261</v>
      </c>
      <c r="D2751" t="str">
        <f ca="1">VLOOKUP(qry_ProdData2_PDI_Cash_Exception_Application[[#This Row],[TYPE]],#REF!,2,FALSE)</f>
        <v>type13</v>
      </c>
      <c r="E2751">
        <v>27739.5</v>
      </c>
      <c r="F2751" t="s">
        <v>50</v>
      </c>
      <c r="G2751" s="1">
        <f>qry_ProdData2_PDI_Cash_Exception_Application[[#This Row],[INSERT DATE]]+1</f>
        <v>45188.257071759261</v>
      </c>
      <c r="H2751" t="str">
        <f>VLOOKUP(qry_ProdData2_PDI_Cash_Exception_Application[[#This Row],[MARKET No]],'Site Allocation'!$B$2:$C$37,2,FALSE)</f>
        <v>Analyst3</v>
      </c>
      <c r="I2751" s="4">
        <f t="shared" ca="1" si="42"/>
        <v>45203</v>
      </c>
      <c r="J2751" s="42">
        <f ca="1">TODAY()-qry_ProdData2_PDI_Cash_Exception_Application[[#This Row],[INSERT DATE]]</f>
        <v>15.742928240739275</v>
      </c>
      <c r="K27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51">
        <f ca="1">qry_ProdData2_PDI_Cash_Exception_Application[[#This Row],[TODAY]]-qry_ProdData2_PDI_Cash_Exception_Application[[#This Row],[CHANGED ON]]</f>
        <v>14.742928240739275</v>
      </c>
      <c r="M2751">
        <f ca="1">qry_ProdData2_PDI_Cash_Exception_Application[[#This Row],[TODAY]]-qry_ProdData2_PDI_Cash_Exception_Application[[#This Row],[CHANGED ON]]</f>
        <v>14.742928240739275</v>
      </c>
      <c r="N2751">
        <f ca="1">qry_ProdData2_PDI_Cash_Exception_Application[[#This Row],[TODAY]]-qry_ProdData2_PDI_Cash_Exception_Application[[#This Row],[CHANGED ON]]</f>
        <v>14.742928240739275</v>
      </c>
    </row>
    <row r="2752" spans="1:14" x14ac:dyDescent="0.35">
      <c r="A2752">
        <v>1033</v>
      </c>
      <c r="B2752" t="s">
        <v>87</v>
      </c>
      <c r="C2752" s="1">
        <v>45188.257071759261</v>
      </c>
      <c r="D2752" t="str">
        <f ca="1">VLOOKUP(qry_ProdData2_PDI_Cash_Exception_Application[[#This Row],[TYPE]],#REF!,2,FALSE)</f>
        <v>type51</v>
      </c>
      <c r="E2752">
        <v>9025</v>
      </c>
      <c r="F2752" t="s">
        <v>52</v>
      </c>
      <c r="G2752" s="1">
        <f>qry_ProdData2_PDI_Cash_Exception_Application[[#This Row],[INSERT DATE]]+1</f>
        <v>45189.257071759261</v>
      </c>
      <c r="H2752" t="str">
        <f>VLOOKUP(qry_ProdData2_PDI_Cash_Exception_Application[[#This Row],[MARKET No]],'Site Allocation'!$B$2:$C$37,2,FALSE)</f>
        <v>Analyst6</v>
      </c>
      <c r="I2752" s="4">
        <f t="shared" ca="1" si="42"/>
        <v>45203</v>
      </c>
      <c r="J2752" s="42">
        <f ca="1">TODAY()-qry_ProdData2_PDI_Cash_Exception_Application[[#This Row],[INSERT DATE]]</f>
        <v>14.742928240739275</v>
      </c>
      <c r="K27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52">
        <f ca="1">qry_ProdData2_PDI_Cash_Exception_Application[[#This Row],[TODAY]]-qry_ProdData2_PDI_Cash_Exception_Application[[#This Row],[CHANGED ON]]</f>
        <v>13.742928240739275</v>
      </c>
      <c r="M2752">
        <f ca="1">qry_ProdData2_PDI_Cash_Exception_Application[[#This Row],[TODAY]]-qry_ProdData2_PDI_Cash_Exception_Application[[#This Row],[CHANGED ON]]</f>
        <v>13.742928240739275</v>
      </c>
      <c r="N2752">
        <f ca="1">qry_ProdData2_PDI_Cash_Exception_Application[[#This Row],[TODAY]]-qry_ProdData2_PDI_Cash_Exception_Application[[#This Row],[CHANGED ON]]</f>
        <v>13.742928240739275</v>
      </c>
    </row>
    <row r="2753" spans="1:14" x14ac:dyDescent="0.35">
      <c r="A2753">
        <v>1031</v>
      </c>
      <c r="B2753" t="s">
        <v>85</v>
      </c>
      <c r="C2753" s="1">
        <v>45189.257071759261</v>
      </c>
      <c r="D2753" t="str">
        <f ca="1">VLOOKUP(qry_ProdData2_PDI_Cash_Exception_Application[[#This Row],[TYPE]],#REF!,2,FALSE)</f>
        <v>type7</v>
      </c>
      <c r="E2753">
        <v>1217.24</v>
      </c>
      <c r="F2753" t="s">
        <v>50</v>
      </c>
      <c r="G2753" s="1">
        <f>qry_ProdData2_PDI_Cash_Exception_Application[[#This Row],[INSERT DATE]]+2</f>
        <v>45191.257071759261</v>
      </c>
      <c r="H2753" t="str">
        <f>VLOOKUP(qry_ProdData2_PDI_Cash_Exception_Application[[#This Row],[MARKET No]],'Site Allocation'!$B$2:$C$37,2,FALSE)</f>
        <v>Analyst6</v>
      </c>
      <c r="I2753" s="4">
        <f t="shared" ca="1" si="42"/>
        <v>45203</v>
      </c>
      <c r="J2753" s="42">
        <f ca="1">TODAY()-qry_ProdData2_PDI_Cash_Exception_Application[[#This Row],[INSERT DATE]]</f>
        <v>13.742928240739275</v>
      </c>
      <c r="K27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53">
        <f ca="1">qry_ProdData2_PDI_Cash_Exception_Application[[#This Row],[TODAY]]-qry_ProdData2_PDI_Cash_Exception_Application[[#This Row],[CHANGED ON]]</f>
        <v>11.742928240739275</v>
      </c>
      <c r="M2753">
        <f ca="1">qry_ProdData2_PDI_Cash_Exception_Application[[#This Row],[TODAY]]-qry_ProdData2_PDI_Cash_Exception_Application[[#This Row],[CHANGED ON]]</f>
        <v>11.742928240739275</v>
      </c>
      <c r="N2753">
        <f ca="1">qry_ProdData2_PDI_Cash_Exception_Application[[#This Row],[TODAY]]-qry_ProdData2_PDI_Cash_Exception_Application[[#This Row],[CHANGED ON]]</f>
        <v>11.742928240739275</v>
      </c>
    </row>
    <row r="2754" spans="1:14" x14ac:dyDescent="0.35">
      <c r="A2754">
        <v>1011</v>
      </c>
      <c r="B2754" t="s">
        <v>65</v>
      </c>
      <c r="C2754" s="1">
        <v>45189.257071759261</v>
      </c>
      <c r="D2754" t="str">
        <f ca="1">VLOOKUP(qry_ProdData2_PDI_Cash_Exception_Application[[#This Row],[TYPE]],#REF!,2,FALSE)</f>
        <v>type11</v>
      </c>
      <c r="E2754">
        <v>7800</v>
      </c>
      <c r="F2754" t="s">
        <v>52</v>
      </c>
      <c r="G2754" s="1">
        <f>qry_ProdData2_PDI_Cash_Exception_Application[[#This Row],[INSERT DATE]]+2</f>
        <v>45191.257071759261</v>
      </c>
      <c r="H2754" t="str">
        <f>VLOOKUP(qry_ProdData2_PDI_Cash_Exception_Application[[#This Row],[MARKET No]],'Site Allocation'!$B$2:$C$37,2,FALSE)</f>
        <v>Analyst2</v>
      </c>
      <c r="I2754" s="4">
        <f t="shared" ref="I2754:I2817" ca="1" si="43">TODAY()</f>
        <v>45203</v>
      </c>
      <c r="J2754" s="42">
        <f ca="1">TODAY()-qry_ProdData2_PDI_Cash_Exception_Application[[#This Row],[INSERT DATE]]</f>
        <v>13.742928240739275</v>
      </c>
      <c r="K27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54">
        <f ca="1">qry_ProdData2_PDI_Cash_Exception_Application[[#This Row],[TODAY]]-qry_ProdData2_PDI_Cash_Exception_Application[[#This Row],[CHANGED ON]]</f>
        <v>11.742928240739275</v>
      </c>
      <c r="M2754">
        <f ca="1">qry_ProdData2_PDI_Cash_Exception_Application[[#This Row],[TODAY]]-qry_ProdData2_PDI_Cash_Exception_Application[[#This Row],[CHANGED ON]]</f>
        <v>11.742928240739275</v>
      </c>
      <c r="N2754">
        <f ca="1">qry_ProdData2_PDI_Cash_Exception_Application[[#This Row],[TODAY]]-qry_ProdData2_PDI_Cash_Exception_Application[[#This Row],[CHANGED ON]]</f>
        <v>11.742928240739275</v>
      </c>
    </row>
    <row r="2755" spans="1:14" x14ac:dyDescent="0.35">
      <c r="A2755">
        <v>1024</v>
      </c>
      <c r="B2755" t="s">
        <v>78</v>
      </c>
      <c r="C2755" s="1">
        <v>45185.257071759261</v>
      </c>
      <c r="D2755" t="str">
        <f ca="1">VLOOKUP(qry_ProdData2_PDI_Cash_Exception_Application[[#This Row],[TYPE]],#REF!,2,FALSE)</f>
        <v>type13</v>
      </c>
      <c r="E2755">
        <v>40601.69</v>
      </c>
      <c r="F2755" t="str">
        <f>qry_ProdData2_PDI_Cash_Exception_Application[[#This Row],[ANALYST]]</f>
        <v>Analyst5</v>
      </c>
      <c r="G2755" s="1">
        <f>qry_ProdData2_PDI_Cash_Exception_Application[[#This Row],[INSERT DATE]]+1</f>
        <v>45186.257071759261</v>
      </c>
      <c r="H2755" t="str">
        <f>VLOOKUP(qry_ProdData2_PDI_Cash_Exception_Application[[#This Row],[MARKET No]],'Site Allocation'!$B$2:$C$37,2,FALSE)</f>
        <v>Analyst5</v>
      </c>
      <c r="I2755" s="4">
        <f t="shared" ca="1" si="43"/>
        <v>45203</v>
      </c>
      <c r="J2755" s="42">
        <f ca="1">TODAY()-qry_ProdData2_PDI_Cash_Exception_Application[[#This Row],[INSERT DATE]]</f>
        <v>17.742928240739275</v>
      </c>
      <c r="K27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55">
        <f ca="1">qry_ProdData2_PDI_Cash_Exception_Application[[#This Row],[TODAY]]-qry_ProdData2_PDI_Cash_Exception_Application[[#This Row],[CHANGED ON]]</f>
        <v>16.742928240739275</v>
      </c>
      <c r="M2755">
        <f ca="1">qry_ProdData2_PDI_Cash_Exception_Application[[#This Row],[TODAY]]-qry_ProdData2_PDI_Cash_Exception_Application[[#This Row],[CHANGED ON]]</f>
        <v>16.742928240739275</v>
      </c>
      <c r="N2755">
        <f ca="1">qry_ProdData2_PDI_Cash_Exception_Application[[#This Row],[TODAY]]-qry_ProdData2_PDI_Cash_Exception_Application[[#This Row],[CHANGED ON]]</f>
        <v>16.742928240739275</v>
      </c>
    </row>
    <row r="2756" spans="1:14" x14ac:dyDescent="0.35">
      <c r="A2756">
        <v>1029</v>
      </c>
      <c r="B2756" t="s">
        <v>83</v>
      </c>
      <c r="C2756" s="1">
        <v>45179.257071759261</v>
      </c>
      <c r="D2756" t="str">
        <f ca="1">VLOOKUP(qry_ProdData2_PDI_Cash_Exception_Application[[#This Row],[TYPE]],#REF!,2,FALSE)</f>
        <v>type40</v>
      </c>
      <c r="E2756">
        <v>346.12</v>
      </c>
      <c r="F2756" t="s">
        <v>51</v>
      </c>
      <c r="G2756" s="1">
        <f>qry_ProdData2_PDI_Cash_Exception_Application[[#This Row],[INSERT DATE]]+1</f>
        <v>45180.257071759261</v>
      </c>
      <c r="H2756" t="str">
        <f>VLOOKUP(qry_ProdData2_PDI_Cash_Exception_Application[[#This Row],[MARKET No]],'Site Allocation'!$B$2:$C$37,2,FALSE)</f>
        <v>Analyst5</v>
      </c>
      <c r="I2756" s="4">
        <f t="shared" ca="1" si="43"/>
        <v>45203</v>
      </c>
      <c r="J2756" s="42">
        <f ca="1">TODAY()-qry_ProdData2_PDI_Cash_Exception_Application[[#This Row],[INSERT DATE]]</f>
        <v>23.742928240739275</v>
      </c>
      <c r="K27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56">
        <f ca="1">qry_ProdData2_PDI_Cash_Exception_Application[[#This Row],[TODAY]]-qry_ProdData2_PDI_Cash_Exception_Application[[#This Row],[CHANGED ON]]</f>
        <v>22.742928240739275</v>
      </c>
      <c r="M2756">
        <f ca="1">qry_ProdData2_PDI_Cash_Exception_Application[[#This Row],[TODAY]]-qry_ProdData2_PDI_Cash_Exception_Application[[#This Row],[CHANGED ON]]</f>
        <v>22.742928240739275</v>
      </c>
      <c r="N2756">
        <f ca="1">qry_ProdData2_PDI_Cash_Exception_Application[[#This Row],[TODAY]]-qry_ProdData2_PDI_Cash_Exception_Application[[#This Row],[CHANGED ON]]</f>
        <v>22.742928240739275</v>
      </c>
    </row>
    <row r="2757" spans="1:14" x14ac:dyDescent="0.35">
      <c r="A2757">
        <v>1024</v>
      </c>
      <c r="B2757" t="s">
        <v>78</v>
      </c>
      <c r="C2757" s="1">
        <v>45196.257071759261</v>
      </c>
      <c r="D2757" t="str">
        <f ca="1">VLOOKUP(qry_ProdData2_PDI_Cash_Exception_Application[[#This Row],[TYPE]],#REF!,2,FALSE)</f>
        <v>type13</v>
      </c>
      <c r="E2757">
        <v>23705.45</v>
      </c>
      <c r="F2757" t="s">
        <v>47</v>
      </c>
      <c r="G2757" s="1">
        <f>qry_ProdData2_PDI_Cash_Exception_Application[[#This Row],[INSERT DATE]]+7</f>
        <v>45203.257071759261</v>
      </c>
      <c r="H2757" t="str">
        <f>VLOOKUP(qry_ProdData2_PDI_Cash_Exception_Application[[#This Row],[MARKET No]],'Site Allocation'!$B$2:$C$37,2,FALSE)</f>
        <v>Analyst5</v>
      </c>
      <c r="I2757" s="4">
        <f t="shared" ca="1" si="43"/>
        <v>45203</v>
      </c>
      <c r="J2757" s="42">
        <f ca="1">TODAY()-qry_ProdData2_PDI_Cash_Exception_Application[[#This Row],[INSERT DATE]]</f>
        <v>6.7429282407392748</v>
      </c>
      <c r="K27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57">
        <f ca="1">qry_ProdData2_PDI_Cash_Exception_Application[[#This Row],[TODAY]]-qry_ProdData2_PDI_Cash_Exception_Application[[#This Row],[CHANGED ON]]</f>
        <v>-0.25707175926072523</v>
      </c>
      <c r="M2757">
        <f ca="1">qry_ProdData2_PDI_Cash_Exception_Application[[#This Row],[TODAY]]-qry_ProdData2_PDI_Cash_Exception_Application[[#This Row],[CHANGED ON]]</f>
        <v>-0.25707175926072523</v>
      </c>
      <c r="N2757">
        <f ca="1">qry_ProdData2_PDI_Cash_Exception_Application[[#This Row],[TODAY]]-qry_ProdData2_PDI_Cash_Exception_Application[[#This Row],[CHANGED ON]]</f>
        <v>-0.25707175926072523</v>
      </c>
    </row>
    <row r="2758" spans="1:14" x14ac:dyDescent="0.35">
      <c r="A2758">
        <v>1020</v>
      </c>
      <c r="B2758" t="s">
        <v>74</v>
      </c>
      <c r="C2758" s="1">
        <v>45192.257071759261</v>
      </c>
      <c r="D2758" t="str">
        <f ca="1">VLOOKUP(qry_ProdData2_PDI_Cash_Exception_Application[[#This Row],[TYPE]],#REF!,2,FALSE)</f>
        <v>type40</v>
      </c>
      <c r="E2758">
        <v>-572.38</v>
      </c>
      <c r="F2758" t="s">
        <v>50</v>
      </c>
      <c r="G2758" s="1">
        <f>qry_ProdData2_PDI_Cash_Exception_Application[[#This Row],[INSERT DATE]]+2</f>
        <v>45194.257071759261</v>
      </c>
      <c r="H2758" t="str">
        <f>VLOOKUP(qry_ProdData2_PDI_Cash_Exception_Application[[#This Row],[MARKET No]],'Site Allocation'!$B$2:$C$37,2,FALSE)</f>
        <v>Analyst4</v>
      </c>
      <c r="I2758" s="4">
        <f t="shared" ca="1" si="43"/>
        <v>45203</v>
      </c>
      <c r="J2758" s="42">
        <f ca="1">TODAY()-qry_ProdData2_PDI_Cash_Exception_Application[[#This Row],[INSERT DATE]]</f>
        <v>10.742928240739275</v>
      </c>
      <c r="K27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58">
        <f ca="1">qry_ProdData2_PDI_Cash_Exception_Application[[#This Row],[TODAY]]-qry_ProdData2_PDI_Cash_Exception_Application[[#This Row],[CHANGED ON]]</f>
        <v>8.7429282407392748</v>
      </c>
      <c r="M2758">
        <f ca="1">qry_ProdData2_PDI_Cash_Exception_Application[[#This Row],[TODAY]]-qry_ProdData2_PDI_Cash_Exception_Application[[#This Row],[CHANGED ON]]</f>
        <v>8.7429282407392748</v>
      </c>
      <c r="N2758">
        <f ca="1">qry_ProdData2_PDI_Cash_Exception_Application[[#This Row],[TODAY]]-qry_ProdData2_PDI_Cash_Exception_Application[[#This Row],[CHANGED ON]]</f>
        <v>8.7429282407392748</v>
      </c>
    </row>
    <row r="2759" spans="1:14" x14ac:dyDescent="0.35">
      <c r="A2759">
        <v>1026</v>
      </c>
      <c r="B2759" t="s">
        <v>80</v>
      </c>
      <c r="C2759" s="1">
        <v>45197.257071759261</v>
      </c>
      <c r="D2759" t="str">
        <f ca="1">VLOOKUP(qry_ProdData2_PDI_Cash_Exception_Application[[#This Row],[TYPE]],#REF!,2,FALSE)</f>
        <v>type40</v>
      </c>
      <c r="E2759">
        <v>-2288.3200000000002</v>
      </c>
      <c r="F2759" t="str">
        <f>qry_ProdData2_PDI_Cash_Exception_Application[[#This Row],[ANALYST]]</f>
        <v>Analyst5</v>
      </c>
      <c r="G2759" s="1">
        <f>qry_ProdData2_PDI_Cash_Exception_Application[[#This Row],[INSERT DATE]]+7</f>
        <v>45204.257071759261</v>
      </c>
      <c r="H2759" t="str">
        <f>VLOOKUP(qry_ProdData2_PDI_Cash_Exception_Application[[#This Row],[MARKET No]],'Site Allocation'!$B$2:$C$37,2,FALSE)</f>
        <v>Analyst5</v>
      </c>
      <c r="I2759" s="4">
        <f t="shared" ca="1" si="43"/>
        <v>45203</v>
      </c>
      <c r="J2759" s="42">
        <f ca="1">TODAY()-qry_ProdData2_PDI_Cash_Exception_Application[[#This Row],[INSERT DATE]]</f>
        <v>5.7429282407392748</v>
      </c>
      <c r="K27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59">
        <f ca="1">qry_ProdData2_PDI_Cash_Exception_Application[[#This Row],[TODAY]]-qry_ProdData2_PDI_Cash_Exception_Application[[#This Row],[CHANGED ON]]</f>
        <v>-1.2570717592607252</v>
      </c>
      <c r="M2759">
        <f ca="1">qry_ProdData2_PDI_Cash_Exception_Application[[#This Row],[TODAY]]-qry_ProdData2_PDI_Cash_Exception_Application[[#This Row],[CHANGED ON]]</f>
        <v>-1.2570717592607252</v>
      </c>
      <c r="N2759">
        <f ca="1">qry_ProdData2_PDI_Cash_Exception_Application[[#This Row],[TODAY]]-qry_ProdData2_PDI_Cash_Exception_Application[[#This Row],[CHANGED ON]]</f>
        <v>-1.2570717592607252</v>
      </c>
    </row>
    <row r="2760" spans="1:14" x14ac:dyDescent="0.35">
      <c r="A2760">
        <v>1004</v>
      </c>
      <c r="B2760" t="s">
        <v>58</v>
      </c>
      <c r="C2760" s="1">
        <v>45196.257071759261</v>
      </c>
      <c r="D2760" t="str">
        <f ca="1">VLOOKUP(qry_ProdData2_PDI_Cash_Exception_Application[[#This Row],[TYPE]],#REF!,2,FALSE)</f>
        <v>type40</v>
      </c>
      <c r="E2760">
        <v>-391.27</v>
      </c>
      <c r="F2760" t="s">
        <v>47</v>
      </c>
      <c r="G2760" s="1">
        <f>qry_ProdData2_PDI_Cash_Exception_Application[[#This Row],[INSERT DATE]]+2</f>
        <v>45198.257071759261</v>
      </c>
      <c r="H2760" t="str">
        <f>VLOOKUP(qry_ProdData2_PDI_Cash_Exception_Application[[#This Row],[MARKET No]],'Site Allocation'!$B$2:$C$37,2,FALSE)</f>
        <v>Analyst1</v>
      </c>
      <c r="I2760" s="4">
        <f t="shared" ca="1" si="43"/>
        <v>45203</v>
      </c>
      <c r="J2760" s="42">
        <f ca="1">TODAY()-qry_ProdData2_PDI_Cash_Exception_Application[[#This Row],[INSERT DATE]]</f>
        <v>6.7429282407392748</v>
      </c>
      <c r="K27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60">
        <f ca="1">qry_ProdData2_PDI_Cash_Exception_Application[[#This Row],[TODAY]]-qry_ProdData2_PDI_Cash_Exception_Application[[#This Row],[CHANGED ON]]</f>
        <v>4.7429282407392748</v>
      </c>
      <c r="M2760">
        <f ca="1">qry_ProdData2_PDI_Cash_Exception_Application[[#This Row],[TODAY]]-qry_ProdData2_PDI_Cash_Exception_Application[[#This Row],[CHANGED ON]]</f>
        <v>4.7429282407392748</v>
      </c>
      <c r="N2760">
        <f ca="1">qry_ProdData2_PDI_Cash_Exception_Application[[#This Row],[TODAY]]-qry_ProdData2_PDI_Cash_Exception_Application[[#This Row],[CHANGED ON]]</f>
        <v>4.7429282407392748</v>
      </c>
    </row>
    <row r="2761" spans="1:14" x14ac:dyDescent="0.35">
      <c r="A2761">
        <v>1032</v>
      </c>
      <c r="B2761" t="s">
        <v>86</v>
      </c>
      <c r="C2761" s="1">
        <v>45197.257071759261</v>
      </c>
      <c r="D2761" t="str">
        <f ca="1">VLOOKUP(qry_ProdData2_PDI_Cash_Exception_Application[[#This Row],[TYPE]],#REF!,2,FALSE)</f>
        <v>type13</v>
      </c>
      <c r="E2761">
        <v>32815.51</v>
      </c>
      <c r="G2761" s="1">
        <f>qry_ProdData2_PDI_Cash_Exception_Application[[#This Row],[INSERT DATE]]+7</f>
        <v>45204.257071759261</v>
      </c>
      <c r="H2761" t="str">
        <f>VLOOKUP(qry_ProdData2_PDI_Cash_Exception_Application[[#This Row],[MARKET No]],'Site Allocation'!$B$2:$C$37,2,FALSE)</f>
        <v>Analyst6</v>
      </c>
      <c r="I2761" s="4">
        <f t="shared" ca="1" si="43"/>
        <v>45203</v>
      </c>
      <c r="J2761" s="42">
        <f ca="1">TODAY()-qry_ProdData2_PDI_Cash_Exception_Application[[#This Row],[INSERT DATE]]</f>
        <v>5.7429282407392748</v>
      </c>
      <c r="K27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61">
        <f ca="1">qry_ProdData2_PDI_Cash_Exception_Application[[#This Row],[TODAY]]-qry_ProdData2_PDI_Cash_Exception_Application[[#This Row],[CHANGED ON]]</f>
        <v>-1.2570717592607252</v>
      </c>
      <c r="M2761">
        <f ca="1">qry_ProdData2_PDI_Cash_Exception_Application[[#This Row],[TODAY]]-qry_ProdData2_PDI_Cash_Exception_Application[[#This Row],[CHANGED ON]]</f>
        <v>-1.2570717592607252</v>
      </c>
      <c r="N2761">
        <f ca="1">qry_ProdData2_PDI_Cash_Exception_Application[[#This Row],[TODAY]]-qry_ProdData2_PDI_Cash_Exception_Application[[#This Row],[CHANGED ON]]</f>
        <v>-1.2570717592607252</v>
      </c>
    </row>
    <row r="2762" spans="1:14" x14ac:dyDescent="0.35">
      <c r="A2762">
        <v>1005</v>
      </c>
      <c r="B2762" t="s">
        <v>59</v>
      </c>
      <c r="C2762" s="1">
        <v>45181.257071759261</v>
      </c>
      <c r="D2762" t="str">
        <f ca="1">VLOOKUP(qry_ProdData2_PDI_Cash_Exception_Application[[#This Row],[TYPE]],#REF!,2,FALSE)</f>
        <v>type40</v>
      </c>
      <c r="E2762">
        <v>-1779.42</v>
      </c>
      <c r="F2762" t="s">
        <v>48</v>
      </c>
      <c r="G2762" s="1">
        <f>qry_ProdData2_PDI_Cash_Exception_Application[[#This Row],[INSERT DATE]]+7</f>
        <v>45188.257071759261</v>
      </c>
      <c r="H2762" t="str">
        <f>VLOOKUP(qry_ProdData2_PDI_Cash_Exception_Application[[#This Row],[MARKET No]],'Site Allocation'!$B$2:$C$37,2,FALSE)</f>
        <v>Analyst1</v>
      </c>
      <c r="I2762" s="4">
        <f t="shared" ca="1" si="43"/>
        <v>45203</v>
      </c>
      <c r="J2762" s="42">
        <f ca="1">TODAY()-qry_ProdData2_PDI_Cash_Exception_Application[[#This Row],[INSERT DATE]]</f>
        <v>21.742928240739275</v>
      </c>
      <c r="K27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62">
        <f ca="1">qry_ProdData2_PDI_Cash_Exception_Application[[#This Row],[TODAY]]-qry_ProdData2_PDI_Cash_Exception_Application[[#This Row],[CHANGED ON]]</f>
        <v>14.742928240739275</v>
      </c>
      <c r="M2762">
        <f ca="1">qry_ProdData2_PDI_Cash_Exception_Application[[#This Row],[TODAY]]-qry_ProdData2_PDI_Cash_Exception_Application[[#This Row],[CHANGED ON]]</f>
        <v>14.742928240739275</v>
      </c>
      <c r="N2762">
        <f ca="1">qry_ProdData2_PDI_Cash_Exception_Application[[#This Row],[TODAY]]-qry_ProdData2_PDI_Cash_Exception_Application[[#This Row],[CHANGED ON]]</f>
        <v>14.742928240739275</v>
      </c>
    </row>
    <row r="2763" spans="1:14" x14ac:dyDescent="0.35">
      <c r="A2763">
        <v>1029</v>
      </c>
      <c r="B2763" t="s">
        <v>83</v>
      </c>
      <c r="C2763" s="1">
        <v>45197.257071759261</v>
      </c>
      <c r="D2763" t="str">
        <f ca="1">VLOOKUP(qry_ProdData2_PDI_Cash_Exception_Application[[#This Row],[TYPE]],#REF!,2,FALSE)</f>
        <v>type40</v>
      </c>
      <c r="E2763">
        <v>-9441.18</v>
      </c>
      <c r="F2763" t="s">
        <v>50</v>
      </c>
      <c r="G2763" s="1">
        <f>qry_ProdData2_PDI_Cash_Exception_Application[[#This Row],[INSERT DATE]]+2</f>
        <v>45199.257071759261</v>
      </c>
      <c r="H2763" t="str">
        <f>VLOOKUP(qry_ProdData2_PDI_Cash_Exception_Application[[#This Row],[MARKET No]],'Site Allocation'!$B$2:$C$37,2,FALSE)</f>
        <v>Analyst5</v>
      </c>
      <c r="I2763" s="4">
        <f t="shared" ca="1" si="43"/>
        <v>45203</v>
      </c>
      <c r="J2763" s="42">
        <f ca="1">TODAY()-qry_ProdData2_PDI_Cash_Exception_Application[[#This Row],[INSERT DATE]]</f>
        <v>5.7429282407392748</v>
      </c>
      <c r="K27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63">
        <f ca="1">qry_ProdData2_PDI_Cash_Exception_Application[[#This Row],[TODAY]]-qry_ProdData2_PDI_Cash_Exception_Application[[#This Row],[CHANGED ON]]</f>
        <v>3.7429282407392748</v>
      </c>
      <c r="M2763">
        <f ca="1">qry_ProdData2_PDI_Cash_Exception_Application[[#This Row],[TODAY]]-qry_ProdData2_PDI_Cash_Exception_Application[[#This Row],[CHANGED ON]]</f>
        <v>3.7429282407392748</v>
      </c>
      <c r="N2763">
        <f ca="1">qry_ProdData2_PDI_Cash_Exception_Application[[#This Row],[TODAY]]-qry_ProdData2_PDI_Cash_Exception_Application[[#This Row],[CHANGED ON]]</f>
        <v>3.7429282407392748</v>
      </c>
    </row>
    <row r="2764" spans="1:14" x14ac:dyDescent="0.35">
      <c r="A2764">
        <v>1029</v>
      </c>
      <c r="B2764" t="s">
        <v>83</v>
      </c>
      <c r="C2764" s="1">
        <v>45179.257071759261</v>
      </c>
      <c r="D2764" t="str">
        <f ca="1">VLOOKUP(qry_ProdData2_PDI_Cash_Exception_Application[[#This Row],[TYPE]],#REF!,2,FALSE)</f>
        <v>type40</v>
      </c>
      <c r="E2764">
        <v>-850.13</v>
      </c>
      <c r="F2764" t="s">
        <v>50</v>
      </c>
      <c r="G2764" s="1">
        <f>qry_ProdData2_PDI_Cash_Exception_Application[[#This Row],[INSERT DATE]]+2</f>
        <v>45181.257071759261</v>
      </c>
      <c r="H2764" t="str">
        <f>VLOOKUP(qry_ProdData2_PDI_Cash_Exception_Application[[#This Row],[MARKET No]],'Site Allocation'!$B$2:$C$37,2,FALSE)</f>
        <v>Analyst5</v>
      </c>
      <c r="I2764" s="4">
        <f t="shared" ca="1" si="43"/>
        <v>45203</v>
      </c>
      <c r="J2764" s="42">
        <f ca="1">TODAY()-qry_ProdData2_PDI_Cash_Exception_Application[[#This Row],[INSERT DATE]]</f>
        <v>23.742928240739275</v>
      </c>
      <c r="K27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64">
        <f ca="1">qry_ProdData2_PDI_Cash_Exception_Application[[#This Row],[TODAY]]-qry_ProdData2_PDI_Cash_Exception_Application[[#This Row],[CHANGED ON]]</f>
        <v>21.742928240739275</v>
      </c>
      <c r="M2764">
        <f ca="1">qry_ProdData2_PDI_Cash_Exception_Application[[#This Row],[TODAY]]-qry_ProdData2_PDI_Cash_Exception_Application[[#This Row],[CHANGED ON]]</f>
        <v>21.742928240739275</v>
      </c>
      <c r="N2764">
        <f ca="1">qry_ProdData2_PDI_Cash_Exception_Application[[#This Row],[TODAY]]-qry_ProdData2_PDI_Cash_Exception_Application[[#This Row],[CHANGED ON]]</f>
        <v>21.742928240739275</v>
      </c>
    </row>
    <row r="2765" spans="1:14" x14ac:dyDescent="0.35">
      <c r="A2765">
        <v>1029</v>
      </c>
      <c r="B2765" t="s">
        <v>83</v>
      </c>
      <c r="C2765" s="1">
        <v>45197.257071759261</v>
      </c>
      <c r="D2765" t="str">
        <f ca="1">VLOOKUP(qry_ProdData2_PDI_Cash_Exception_Application[[#This Row],[TYPE]],#REF!,2,FALSE)</f>
        <v>type40</v>
      </c>
      <c r="E2765">
        <v>3776.87</v>
      </c>
      <c r="G2765" s="1">
        <f>qry_ProdData2_PDI_Cash_Exception_Application[[#This Row],[INSERT DATE]]+2</f>
        <v>45199.257071759261</v>
      </c>
      <c r="H2765" t="str">
        <f>VLOOKUP(qry_ProdData2_PDI_Cash_Exception_Application[[#This Row],[MARKET No]],'Site Allocation'!$B$2:$C$37,2,FALSE)</f>
        <v>Analyst5</v>
      </c>
      <c r="I2765" s="4">
        <f t="shared" ca="1" si="43"/>
        <v>45203</v>
      </c>
      <c r="J2765" s="42">
        <f ca="1">TODAY()-qry_ProdData2_PDI_Cash_Exception_Application[[#This Row],[INSERT DATE]]</f>
        <v>5.7429282407392748</v>
      </c>
      <c r="K27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65">
        <f ca="1">qry_ProdData2_PDI_Cash_Exception_Application[[#This Row],[TODAY]]-qry_ProdData2_PDI_Cash_Exception_Application[[#This Row],[CHANGED ON]]</f>
        <v>3.7429282407392748</v>
      </c>
      <c r="M2765">
        <f ca="1">qry_ProdData2_PDI_Cash_Exception_Application[[#This Row],[TODAY]]-qry_ProdData2_PDI_Cash_Exception_Application[[#This Row],[CHANGED ON]]</f>
        <v>3.7429282407392748</v>
      </c>
      <c r="N2765">
        <f ca="1">qry_ProdData2_PDI_Cash_Exception_Application[[#This Row],[TODAY]]-qry_ProdData2_PDI_Cash_Exception_Application[[#This Row],[CHANGED ON]]</f>
        <v>3.7429282407392748</v>
      </c>
    </row>
    <row r="2766" spans="1:14" x14ac:dyDescent="0.35">
      <c r="A2766">
        <v>1010</v>
      </c>
      <c r="B2766" t="s">
        <v>64</v>
      </c>
      <c r="C2766" s="1">
        <v>45197.257071759261</v>
      </c>
      <c r="D2766" t="str">
        <f ca="1">VLOOKUP(qry_ProdData2_PDI_Cash_Exception_Application[[#This Row],[TYPE]],#REF!,2,FALSE)</f>
        <v>type38</v>
      </c>
      <c r="E2766">
        <v>183.2</v>
      </c>
      <c r="F2766" t="s">
        <v>47</v>
      </c>
      <c r="G2766" s="1">
        <f>qry_ProdData2_PDI_Cash_Exception_Application[[#This Row],[INSERT DATE]]+1</f>
        <v>45198.257071759261</v>
      </c>
      <c r="H2766" t="str">
        <f>VLOOKUP(qry_ProdData2_PDI_Cash_Exception_Application[[#This Row],[MARKET No]],'Site Allocation'!$B$2:$C$37,2,FALSE)</f>
        <v>Analyst2</v>
      </c>
      <c r="I2766" s="4">
        <f t="shared" ca="1" si="43"/>
        <v>45203</v>
      </c>
      <c r="J2766" s="42">
        <f ca="1">TODAY()-qry_ProdData2_PDI_Cash_Exception_Application[[#This Row],[INSERT DATE]]</f>
        <v>5.7429282407392748</v>
      </c>
      <c r="K27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66">
        <f ca="1">qry_ProdData2_PDI_Cash_Exception_Application[[#This Row],[TODAY]]-qry_ProdData2_PDI_Cash_Exception_Application[[#This Row],[CHANGED ON]]</f>
        <v>4.7429282407392748</v>
      </c>
      <c r="M2766">
        <f ca="1">qry_ProdData2_PDI_Cash_Exception_Application[[#This Row],[TODAY]]-qry_ProdData2_PDI_Cash_Exception_Application[[#This Row],[CHANGED ON]]</f>
        <v>4.7429282407392748</v>
      </c>
      <c r="N2766">
        <f ca="1">qry_ProdData2_PDI_Cash_Exception_Application[[#This Row],[TODAY]]-qry_ProdData2_PDI_Cash_Exception_Application[[#This Row],[CHANGED ON]]</f>
        <v>4.7429282407392748</v>
      </c>
    </row>
    <row r="2767" spans="1:14" x14ac:dyDescent="0.35">
      <c r="A2767">
        <v>1004</v>
      </c>
      <c r="B2767" t="s">
        <v>58</v>
      </c>
      <c r="C2767" s="1">
        <v>45196.257071759261</v>
      </c>
      <c r="D2767" t="str">
        <f ca="1">VLOOKUP(qry_ProdData2_PDI_Cash_Exception_Application[[#This Row],[TYPE]],#REF!,2,FALSE)</f>
        <v>type40</v>
      </c>
      <c r="E2767">
        <v>-727.07</v>
      </c>
      <c r="G2767" s="1">
        <f>qry_ProdData2_PDI_Cash_Exception_Application[[#This Row],[INSERT DATE]]+7</f>
        <v>45203.257071759261</v>
      </c>
      <c r="H2767" t="str">
        <f>VLOOKUP(qry_ProdData2_PDI_Cash_Exception_Application[[#This Row],[MARKET No]],'Site Allocation'!$B$2:$C$37,2,FALSE)</f>
        <v>Analyst1</v>
      </c>
      <c r="I2767" s="4">
        <f t="shared" ca="1" si="43"/>
        <v>45203</v>
      </c>
      <c r="J2767" s="42">
        <f ca="1">TODAY()-qry_ProdData2_PDI_Cash_Exception_Application[[#This Row],[INSERT DATE]]</f>
        <v>6.7429282407392748</v>
      </c>
      <c r="K27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67">
        <f ca="1">qry_ProdData2_PDI_Cash_Exception_Application[[#This Row],[TODAY]]-qry_ProdData2_PDI_Cash_Exception_Application[[#This Row],[CHANGED ON]]</f>
        <v>-0.25707175926072523</v>
      </c>
      <c r="M2767">
        <f ca="1">qry_ProdData2_PDI_Cash_Exception_Application[[#This Row],[TODAY]]-qry_ProdData2_PDI_Cash_Exception_Application[[#This Row],[CHANGED ON]]</f>
        <v>-0.25707175926072523</v>
      </c>
      <c r="N2767">
        <f ca="1">qry_ProdData2_PDI_Cash_Exception_Application[[#This Row],[TODAY]]-qry_ProdData2_PDI_Cash_Exception_Application[[#This Row],[CHANGED ON]]</f>
        <v>-0.25707175926072523</v>
      </c>
    </row>
    <row r="2768" spans="1:14" x14ac:dyDescent="0.35">
      <c r="A2768">
        <v>1003</v>
      </c>
      <c r="B2768" t="s">
        <v>57</v>
      </c>
      <c r="C2768" s="1">
        <v>45182.257071759261</v>
      </c>
      <c r="D2768" t="str">
        <f ca="1">VLOOKUP(qry_ProdData2_PDI_Cash_Exception_Application[[#This Row],[TYPE]],#REF!,2,FALSE)</f>
        <v>type40</v>
      </c>
      <c r="E2768">
        <v>-306.61</v>
      </c>
      <c r="F2768" t="s">
        <v>48</v>
      </c>
      <c r="G2768" s="1">
        <f>qry_ProdData2_PDI_Cash_Exception_Application[[#This Row],[INSERT DATE]]+7</f>
        <v>45189.257071759261</v>
      </c>
      <c r="H2768" t="str">
        <f>VLOOKUP(qry_ProdData2_PDI_Cash_Exception_Application[[#This Row],[MARKET No]],'Site Allocation'!$B$2:$C$37,2,FALSE)</f>
        <v>Analyst1</v>
      </c>
      <c r="I2768" s="4">
        <f t="shared" ca="1" si="43"/>
        <v>45203</v>
      </c>
      <c r="J2768" s="42">
        <f ca="1">TODAY()-qry_ProdData2_PDI_Cash_Exception_Application[[#This Row],[INSERT DATE]]</f>
        <v>20.742928240739275</v>
      </c>
      <c r="K27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68">
        <f ca="1">qry_ProdData2_PDI_Cash_Exception_Application[[#This Row],[TODAY]]-qry_ProdData2_PDI_Cash_Exception_Application[[#This Row],[CHANGED ON]]</f>
        <v>13.742928240739275</v>
      </c>
      <c r="M2768">
        <f ca="1">qry_ProdData2_PDI_Cash_Exception_Application[[#This Row],[TODAY]]-qry_ProdData2_PDI_Cash_Exception_Application[[#This Row],[CHANGED ON]]</f>
        <v>13.742928240739275</v>
      </c>
      <c r="N2768">
        <f ca="1">qry_ProdData2_PDI_Cash_Exception_Application[[#This Row],[TODAY]]-qry_ProdData2_PDI_Cash_Exception_Application[[#This Row],[CHANGED ON]]</f>
        <v>13.742928240739275</v>
      </c>
    </row>
    <row r="2769" spans="1:14" x14ac:dyDescent="0.35">
      <c r="A2769">
        <v>1001</v>
      </c>
      <c r="B2769" t="s">
        <v>55</v>
      </c>
      <c r="C2769" s="1">
        <v>45184.257071759261</v>
      </c>
      <c r="D2769" t="str">
        <f ca="1">VLOOKUP(qry_ProdData2_PDI_Cash_Exception_Application[[#This Row],[TYPE]],#REF!,2,FALSE)</f>
        <v>type13</v>
      </c>
      <c r="E2769">
        <v>25901.85</v>
      </c>
      <c r="F2769" t="s">
        <v>48</v>
      </c>
      <c r="G2769" s="1">
        <f>qry_ProdData2_PDI_Cash_Exception_Application[[#This Row],[INSERT DATE]]+1</f>
        <v>45185.257071759261</v>
      </c>
      <c r="H2769" t="str">
        <f>VLOOKUP(qry_ProdData2_PDI_Cash_Exception_Application[[#This Row],[MARKET No]],'Site Allocation'!$B$2:$C$37,2,FALSE)</f>
        <v>Analyst1</v>
      </c>
      <c r="I2769" s="4">
        <f t="shared" ca="1" si="43"/>
        <v>45203</v>
      </c>
      <c r="J2769" s="42">
        <f ca="1">TODAY()-qry_ProdData2_PDI_Cash_Exception_Application[[#This Row],[INSERT DATE]]</f>
        <v>18.742928240739275</v>
      </c>
      <c r="K27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69">
        <f ca="1">qry_ProdData2_PDI_Cash_Exception_Application[[#This Row],[TODAY]]-qry_ProdData2_PDI_Cash_Exception_Application[[#This Row],[CHANGED ON]]</f>
        <v>17.742928240739275</v>
      </c>
      <c r="M2769">
        <f ca="1">qry_ProdData2_PDI_Cash_Exception_Application[[#This Row],[TODAY]]-qry_ProdData2_PDI_Cash_Exception_Application[[#This Row],[CHANGED ON]]</f>
        <v>17.742928240739275</v>
      </c>
      <c r="N2769">
        <f ca="1">qry_ProdData2_PDI_Cash_Exception_Application[[#This Row],[TODAY]]-qry_ProdData2_PDI_Cash_Exception_Application[[#This Row],[CHANGED ON]]</f>
        <v>17.742928240739275</v>
      </c>
    </row>
    <row r="2770" spans="1:14" x14ac:dyDescent="0.35">
      <c r="A2770">
        <v>1017</v>
      </c>
      <c r="B2770" t="s">
        <v>71</v>
      </c>
      <c r="C2770" s="1">
        <v>45197.257071759261</v>
      </c>
      <c r="D2770" t="str">
        <f ca="1">VLOOKUP(qry_ProdData2_PDI_Cash_Exception_Application[[#This Row],[TYPE]],#REF!,2,FALSE)</f>
        <v>type13</v>
      </c>
      <c r="E2770">
        <v>29306.51</v>
      </c>
      <c r="F2770" t="s">
        <v>47</v>
      </c>
      <c r="G2770" s="1">
        <f>qry_ProdData2_PDI_Cash_Exception_Application[[#This Row],[INSERT DATE]]+2</f>
        <v>45199.257071759261</v>
      </c>
      <c r="H2770" t="str">
        <f>VLOOKUP(qry_ProdData2_PDI_Cash_Exception_Application[[#This Row],[MARKET No]],'Site Allocation'!$B$2:$C$37,2,FALSE)</f>
        <v>Analyst3</v>
      </c>
      <c r="I2770" s="4">
        <f t="shared" ca="1" si="43"/>
        <v>45203</v>
      </c>
      <c r="J2770" s="42">
        <f ca="1">TODAY()-qry_ProdData2_PDI_Cash_Exception_Application[[#This Row],[INSERT DATE]]</f>
        <v>5.7429282407392748</v>
      </c>
      <c r="K27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70">
        <f ca="1">qry_ProdData2_PDI_Cash_Exception_Application[[#This Row],[TODAY]]-qry_ProdData2_PDI_Cash_Exception_Application[[#This Row],[CHANGED ON]]</f>
        <v>3.7429282407392748</v>
      </c>
      <c r="M2770">
        <f ca="1">qry_ProdData2_PDI_Cash_Exception_Application[[#This Row],[TODAY]]-qry_ProdData2_PDI_Cash_Exception_Application[[#This Row],[CHANGED ON]]</f>
        <v>3.7429282407392748</v>
      </c>
      <c r="N2770">
        <f ca="1">qry_ProdData2_PDI_Cash_Exception_Application[[#This Row],[TODAY]]-qry_ProdData2_PDI_Cash_Exception_Application[[#This Row],[CHANGED ON]]</f>
        <v>3.7429282407392748</v>
      </c>
    </row>
    <row r="2771" spans="1:14" x14ac:dyDescent="0.35">
      <c r="A2771">
        <v>1020</v>
      </c>
      <c r="B2771" t="s">
        <v>74</v>
      </c>
      <c r="C2771" s="1">
        <v>45184.257071759261</v>
      </c>
      <c r="D2771" t="str">
        <f ca="1">VLOOKUP(qry_ProdData2_PDI_Cash_Exception_Application[[#This Row],[TYPE]],#REF!,2,FALSE)</f>
        <v>type40</v>
      </c>
      <c r="E2771">
        <v>363.66</v>
      </c>
      <c r="F2771" t="s">
        <v>48</v>
      </c>
      <c r="G2771" s="1">
        <f>qry_ProdData2_PDI_Cash_Exception_Application[[#This Row],[INSERT DATE]]+1</f>
        <v>45185.257071759261</v>
      </c>
      <c r="H2771" t="str">
        <f>VLOOKUP(qry_ProdData2_PDI_Cash_Exception_Application[[#This Row],[MARKET No]],'Site Allocation'!$B$2:$C$37,2,FALSE)</f>
        <v>Analyst4</v>
      </c>
      <c r="I2771" s="4">
        <f t="shared" ca="1" si="43"/>
        <v>45203</v>
      </c>
      <c r="J2771" s="42">
        <f ca="1">TODAY()-qry_ProdData2_PDI_Cash_Exception_Application[[#This Row],[INSERT DATE]]</f>
        <v>18.742928240739275</v>
      </c>
      <c r="K27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71">
        <f ca="1">qry_ProdData2_PDI_Cash_Exception_Application[[#This Row],[TODAY]]-qry_ProdData2_PDI_Cash_Exception_Application[[#This Row],[CHANGED ON]]</f>
        <v>17.742928240739275</v>
      </c>
      <c r="M2771">
        <f ca="1">qry_ProdData2_PDI_Cash_Exception_Application[[#This Row],[TODAY]]-qry_ProdData2_PDI_Cash_Exception_Application[[#This Row],[CHANGED ON]]</f>
        <v>17.742928240739275</v>
      </c>
      <c r="N2771">
        <f ca="1">qry_ProdData2_PDI_Cash_Exception_Application[[#This Row],[TODAY]]-qry_ProdData2_PDI_Cash_Exception_Application[[#This Row],[CHANGED ON]]</f>
        <v>17.742928240739275</v>
      </c>
    </row>
    <row r="2772" spans="1:14" x14ac:dyDescent="0.35">
      <c r="A2772">
        <v>1029</v>
      </c>
      <c r="B2772" t="s">
        <v>83</v>
      </c>
      <c r="C2772" s="1">
        <v>45196.257071759261</v>
      </c>
      <c r="D2772" t="str">
        <f ca="1">VLOOKUP(qry_ProdData2_PDI_Cash_Exception_Application[[#This Row],[TYPE]],#REF!,2,FALSE)</f>
        <v>type21</v>
      </c>
      <c r="E2772">
        <v>372.12</v>
      </c>
      <c r="F2772" t="s">
        <v>47</v>
      </c>
      <c r="G2772" s="1">
        <f>qry_ProdData2_PDI_Cash_Exception_Application[[#This Row],[INSERT DATE]]+5</f>
        <v>45201.257071759261</v>
      </c>
      <c r="H2772" t="str">
        <f>VLOOKUP(qry_ProdData2_PDI_Cash_Exception_Application[[#This Row],[MARKET No]],'Site Allocation'!$B$2:$C$37,2,FALSE)</f>
        <v>Analyst5</v>
      </c>
      <c r="I2772" s="4">
        <f t="shared" ca="1" si="43"/>
        <v>45203</v>
      </c>
      <c r="J2772" s="42">
        <f ca="1">TODAY()-qry_ProdData2_PDI_Cash_Exception_Application[[#This Row],[INSERT DATE]]</f>
        <v>6.7429282407392748</v>
      </c>
      <c r="K27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72">
        <f ca="1">qry_ProdData2_PDI_Cash_Exception_Application[[#This Row],[TODAY]]-qry_ProdData2_PDI_Cash_Exception_Application[[#This Row],[CHANGED ON]]</f>
        <v>1.7429282407392748</v>
      </c>
      <c r="M2772">
        <f ca="1">qry_ProdData2_PDI_Cash_Exception_Application[[#This Row],[TODAY]]-qry_ProdData2_PDI_Cash_Exception_Application[[#This Row],[CHANGED ON]]</f>
        <v>1.7429282407392748</v>
      </c>
      <c r="N2772">
        <f ca="1">qry_ProdData2_PDI_Cash_Exception_Application[[#This Row],[TODAY]]-qry_ProdData2_PDI_Cash_Exception_Application[[#This Row],[CHANGED ON]]</f>
        <v>1.7429282407392748</v>
      </c>
    </row>
    <row r="2773" spans="1:14" x14ac:dyDescent="0.35">
      <c r="A2773">
        <v>1028</v>
      </c>
      <c r="B2773" t="s">
        <v>82</v>
      </c>
      <c r="C2773" s="1">
        <v>45196.257071759261</v>
      </c>
      <c r="D2773" t="str">
        <f ca="1">VLOOKUP(qry_ProdData2_PDI_Cash_Exception_Application[[#This Row],[TYPE]],#REF!,2,FALSE)</f>
        <v>type38</v>
      </c>
      <c r="E2773">
        <v>332.62</v>
      </c>
      <c r="G2773" s="1">
        <f>qry_ProdData2_PDI_Cash_Exception_Application[[#This Row],[INSERT DATE]]+1</f>
        <v>45197.257071759261</v>
      </c>
      <c r="H2773" t="str">
        <f>VLOOKUP(qry_ProdData2_PDI_Cash_Exception_Application[[#This Row],[MARKET No]],'Site Allocation'!$B$2:$C$37,2,FALSE)</f>
        <v>Analyst5</v>
      </c>
      <c r="I2773" s="4">
        <f t="shared" ca="1" si="43"/>
        <v>45203</v>
      </c>
      <c r="J2773" s="42">
        <f ca="1">TODAY()-qry_ProdData2_PDI_Cash_Exception_Application[[#This Row],[INSERT DATE]]</f>
        <v>6.7429282407392748</v>
      </c>
      <c r="K27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73">
        <f ca="1">qry_ProdData2_PDI_Cash_Exception_Application[[#This Row],[TODAY]]-qry_ProdData2_PDI_Cash_Exception_Application[[#This Row],[CHANGED ON]]</f>
        <v>5.7429282407392748</v>
      </c>
      <c r="M2773">
        <f ca="1">qry_ProdData2_PDI_Cash_Exception_Application[[#This Row],[TODAY]]-qry_ProdData2_PDI_Cash_Exception_Application[[#This Row],[CHANGED ON]]</f>
        <v>5.7429282407392748</v>
      </c>
      <c r="N2773">
        <f ca="1">qry_ProdData2_PDI_Cash_Exception_Application[[#This Row],[TODAY]]-qry_ProdData2_PDI_Cash_Exception_Application[[#This Row],[CHANGED ON]]</f>
        <v>5.7429282407392748</v>
      </c>
    </row>
    <row r="2774" spans="1:14" x14ac:dyDescent="0.35">
      <c r="A2774">
        <v>1009</v>
      </c>
      <c r="B2774" t="s">
        <v>63</v>
      </c>
      <c r="C2774" s="1">
        <v>45185.257071759261</v>
      </c>
      <c r="D2774" t="str">
        <f ca="1">VLOOKUP(qry_ProdData2_PDI_Cash_Exception_Application[[#This Row],[TYPE]],#REF!,2,FALSE)</f>
        <v>type13</v>
      </c>
      <c r="E2774">
        <v>34613.910000000003</v>
      </c>
      <c r="F2774" t="s">
        <v>52</v>
      </c>
      <c r="G2774" s="1">
        <f>qry_ProdData2_PDI_Cash_Exception_Application[[#This Row],[INSERT DATE]]+5</f>
        <v>45190.257071759261</v>
      </c>
      <c r="H2774" t="str">
        <f>VLOOKUP(qry_ProdData2_PDI_Cash_Exception_Application[[#This Row],[MARKET No]],'Site Allocation'!$B$2:$C$37,2,FALSE)</f>
        <v>Analyst2</v>
      </c>
      <c r="I2774" s="4">
        <f t="shared" ca="1" si="43"/>
        <v>45203</v>
      </c>
      <c r="J2774" s="42">
        <f ca="1">TODAY()-qry_ProdData2_PDI_Cash_Exception_Application[[#This Row],[INSERT DATE]]</f>
        <v>17.742928240739275</v>
      </c>
      <c r="K27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74">
        <f ca="1">qry_ProdData2_PDI_Cash_Exception_Application[[#This Row],[TODAY]]-qry_ProdData2_PDI_Cash_Exception_Application[[#This Row],[CHANGED ON]]</f>
        <v>12.742928240739275</v>
      </c>
      <c r="M2774">
        <f ca="1">qry_ProdData2_PDI_Cash_Exception_Application[[#This Row],[TODAY]]-qry_ProdData2_PDI_Cash_Exception_Application[[#This Row],[CHANGED ON]]</f>
        <v>12.742928240739275</v>
      </c>
      <c r="N2774">
        <f ca="1">qry_ProdData2_PDI_Cash_Exception_Application[[#This Row],[TODAY]]-qry_ProdData2_PDI_Cash_Exception_Application[[#This Row],[CHANGED ON]]</f>
        <v>12.742928240739275</v>
      </c>
    </row>
    <row r="2775" spans="1:14" x14ac:dyDescent="0.35">
      <c r="A2775">
        <v>1009</v>
      </c>
      <c r="B2775" t="s">
        <v>63</v>
      </c>
      <c r="C2775" s="1">
        <v>45186.257071759261</v>
      </c>
      <c r="D2775" t="str">
        <f ca="1">VLOOKUP(qry_ProdData2_PDI_Cash_Exception_Application[[#This Row],[TYPE]],#REF!,2,FALSE)</f>
        <v>type13</v>
      </c>
      <c r="E2775">
        <v>25268.38</v>
      </c>
      <c r="F2775" t="s">
        <v>52</v>
      </c>
      <c r="G2775" s="1">
        <f>qry_ProdData2_PDI_Cash_Exception_Application[[#This Row],[INSERT DATE]]+5</f>
        <v>45191.257071759261</v>
      </c>
      <c r="H2775" t="str">
        <f>VLOOKUP(qry_ProdData2_PDI_Cash_Exception_Application[[#This Row],[MARKET No]],'Site Allocation'!$B$2:$C$37,2,FALSE)</f>
        <v>Analyst2</v>
      </c>
      <c r="I2775" s="4">
        <f t="shared" ca="1" si="43"/>
        <v>45203</v>
      </c>
      <c r="J2775" s="42">
        <f ca="1">TODAY()-qry_ProdData2_PDI_Cash_Exception_Application[[#This Row],[INSERT DATE]]</f>
        <v>16.742928240739275</v>
      </c>
      <c r="K27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75">
        <f ca="1">qry_ProdData2_PDI_Cash_Exception_Application[[#This Row],[TODAY]]-qry_ProdData2_PDI_Cash_Exception_Application[[#This Row],[CHANGED ON]]</f>
        <v>11.742928240739275</v>
      </c>
      <c r="M2775">
        <f ca="1">qry_ProdData2_PDI_Cash_Exception_Application[[#This Row],[TODAY]]-qry_ProdData2_PDI_Cash_Exception_Application[[#This Row],[CHANGED ON]]</f>
        <v>11.742928240739275</v>
      </c>
      <c r="N2775">
        <f ca="1">qry_ProdData2_PDI_Cash_Exception_Application[[#This Row],[TODAY]]-qry_ProdData2_PDI_Cash_Exception_Application[[#This Row],[CHANGED ON]]</f>
        <v>11.742928240739275</v>
      </c>
    </row>
    <row r="2776" spans="1:14" x14ac:dyDescent="0.35">
      <c r="A2776">
        <v>1018</v>
      </c>
      <c r="B2776" t="s">
        <v>72</v>
      </c>
      <c r="C2776" s="1">
        <v>45196.257071759261</v>
      </c>
      <c r="D2776" t="str">
        <f ca="1">VLOOKUP(qry_ProdData2_PDI_Cash_Exception_Application[[#This Row],[TYPE]],#REF!,2,FALSE)</f>
        <v>type7</v>
      </c>
      <c r="E2776">
        <v>1521.01</v>
      </c>
      <c r="G2776" s="1">
        <f>qry_ProdData2_PDI_Cash_Exception_Application[[#This Row],[INSERT DATE]]+5</f>
        <v>45201.257071759261</v>
      </c>
      <c r="H2776" t="str">
        <f>VLOOKUP(qry_ProdData2_PDI_Cash_Exception_Application[[#This Row],[MARKET No]],'Site Allocation'!$B$2:$C$37,2,FALSE)</f>
        <v>Analyst4</v>
      </c>
      <c r="I2776" s="4">
        <f t="shared" ca="1" si="43"/>
        <v>45203</v>
      </c>
      <c r="J2776" s="42">
        <f ca="1">TODAY()-qry_ProdData2_PDI_Cash_Exception_Application[[#This Row],[INSERT DATE]]</f>
        <v>6.7429282407392748</v>
      </c>
      <c r="K27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76">
        <f ca="1">qry_ProdData2_PDI_Cash_Exception_Application[[#This Row],[TODAY]]-qry_ProdData2_PDI_Cash_Exception_Application[[#This Row],[CHANGED ON]]</f>
        <v>1.7429282407392748</v>
      </c>
      <c r="M2776">
        <f ca="1">qry_ProdData2_PDI_Cash_Exception_Application[[#This Row],[TODAY]]-qry_ProdData2_PDI_Cash_Exception_Application[[#This Row],[CHANGED ON]]</f>
        <v>1.7429282407392748</v>
      </c>
      <c r="N2776">
        <f ca="1">qry_ProdData2_PDI_Cash_Exception_Application[[#This Row],[TODAY]]-qry_ProdData2_PDI_Cash_Exception_Application[[#This Row],[CHANGED ON]]</f>
        <v>1.7429282407392748</v>
      </c>
    </row>
    <row r="2777" spans="1:14" x14ac:dyDescent="0.35">
      <c r="A2777">
        <v>1020</v>
      </c>
      <c r="B2777" t="s">
        <v>74</v>
      </c>
      <c r="C2777" s="1">
        <v>45196.257071759261</v>
      </c>
      <c r="D2777" t="str">
        <f ca="1">VLOOKUP(qry_ProdData2_PDI_Cash_Exception_Application[[#This Row],[TYPE]],#REF!,2,FALSE)</f>
        <v>type40</v>
      </c>
      <c r="E2777">
        <v>377.4</v>
      </c>
      <c r="F2777" t="s">
        <v>47</v>
      </c>
      <c r="G2777" s="1">
        <f>qry_ProdData2_PDI_Cash_Exception_Application[[#This Row],[INSERT DATE]]+2</f>
        <v>45198.257071759261</v>
      </c>
      <c r="H2777" t="str">
        <f>VLOOKUP(qry_ProdData2_PDI_Cash_Exception_Application[[#This Row],[MARKET No]],'Site Allocation'!$B$2:$C$37,2,FALSE)</f>
        <v>Analyst4</v>
      </c>
      <c r="I2777" s="4">
        <f t="shared" ca="1" si="43"/>
        <v>45203</v>
      </c>
      <c r="J2777" s="42">
        <f ca="1">TODAY()-qry_ProdData2_PDI_Cash_Exception_Application[[#This Row],[INSERT DATE]]</f>
        <v>6.7429282407392748</v>
      </c>
      <c r="K27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77">
        <f ca="1">qry_ProdData2_PDI_Cash_Exception_Application[[#This Row],[TODAY]]-qry_ProdData2_PDI_Cash_Exception_Application[[#This Row],[CHANGED ON]]</f>
        <v>4.7429282407392748</v>
      </c>
      <c r="M2777">
        <f ca="1">qry_ProdData2_PDI_Cash_Exception_Application[[#This Row],[TODAY]]-qry_ProdData2_PDI_Cash_Exception_Application[[#This Row],[CHANGED ON]]</f>
        <v>4.7429282407392748</v>
      </c>
      <c r="N2777">
        <f ca="1">qry_ProdData2_PDI_Cash_Exception_Application[[#This Row],[TODAY]]-qry_ProdData2_PDI_Cash_Exception_Application[[#This Row],[CHANGED ON]]</f>
        <v>4.7429282407392748</v>
      </c>
    </row>
    <row r="2778" spans="1:14" x14ac:dyDescent="0.35">
      <c r="A2778">
        <v>1024</v>
      </c>
      <c r="B2778" t="s">
        <v>78</v>
      </c>
      <c r="C2778" s="1">
        <v>45196.257071759261</v>
      </c>
      <c r="D2778" t="str">
        <f ca="1">VLOOKUP(qry_ProdData2_PDI_Cash_Exception_Application[[#This Row],[TYPE]],#REF!,2,FALSE)</f>
        <v>type40</v>
      </c>
      <c r="E2778">
        <v>9422.15</v>
      </c>
      <c r="G2778" s="1">
        <f>qry_ProdData2_PDI_Cash_Exception_Application[[#This Row],[INSERT DATE]]+5</f>
        <v>45201.257071759261</v>
      </c>
      <c r="H2778" t="str">
        <f>VLOOKUP(qry_ProdData2_PDI_Cash_Exception_Application[[#This Row],[MARKET No]],'Site Allocation'!$B$2:$C$37,2,FALSE)</f>
        <v>Analyst5</v>
      </c>
      <c r="I2778" s="4">
        <f t="shared" ca="1" si="43"/>
        <v>45203</v>
      </c>
      <c r="J2778" s="42">
        <f ca="1">TODAY()-qry_ProdData2_PDI_Cash_Exception_Application[[#This Row],[INSERT DATE]]</f>
        <v>6.7429282407392748</v>
      </c>
      <c r="K27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78">
        <f ca="1">qry_ProdData2_PDI_Cash_Exception_Application[[#This Row],[TODAY]]-qry_ProdData2_PDI_Cash_Exception_Application[[#This Row],[CHANGED ON]]</f>
        <v>1.7429282407392748</v>
      </c>
      <c r="M2778">
        <f ca="1">qry_ProdData2_PDI_Cash_Exception_Application[[#This Row],[TODAY]]-qry_ProdData2_PDI_Cash_Exception_Application[[#This Row],[CHANGED ON]]</f>
        <v>1.7429282407392748</v>
      </c>
      <c r="N2778">
        <f ca="1">qry_ProdData2_PDI_Cash_Exception_Application[[#This Row],[TODAY]]-qry_ProdData2_PDI_Cash_Exception_Application[[#This Row],[CHANGED ON]]</f>
        <v>1.7429282407392748</v>
      </c>
    </row>
    <row r="2779" spans="1:14" x14ac:dyDescent="0.35">
      <c r="A2779">
        <v>1007</v>
      </c>
      <c r="B2779" t="s">
        <v>61</v>
      </c>
      <c r="C2779" s="1">
        <v>45197.257071759261</v>
      </c>
      <c r="D2779" t="str">
        <f ca="1">VLOOKUP(qry_ProdData2_PDI_Cash_Exception_Application[[#This Row],[TYPE]],#REF!,2,FALSE)</f>
        <v>type40</v>
      </c>
      <c r="E2779">
        <v>-1852.92</v>
      </c>
      <c r="F2779" t="s">
        <v>47</v>
      </c>
      <c r="G2779" s="1">
        <f>qry_ProdData2_PDI_Cash_Exception_Application[[#This Row],[INSERT DATE]]+5</f>
        <v>45202.257071759261</v>
      </c>
      <c r="H2779" t="str">
        <f>VLOOKUP(qry_ProdData2_PDI_Cash_Exception_Application[[#This Row],[MARKET No]],'Site Allocation'!$B$2:$C$37,2,FALSE)</f>
        <v>Analyst2</v>
      </c>
      <c r="I2779" s="4">
        <f t="shared" ca="1" si="43"/>
        <v>45203</v>
      </c>
      <c r="J2779" s="42">
        <f ca="1">TODAY()-qry_ProdData2_PDI_Cash_Exception_Application[[#This Row],[INSERT DATE]]</f>
        <v>5.7429282407392748</v>
      </c>
      <c r="K27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79">
        <f ca="1">qry_ProdData2_PDI_Cash_Exception_Application[[#This Row],[TODAY]]-qry_ProdData2_PDI_Cash_Exception_Application[[#This Row],[CHANGED ON]]</f>
        <v>0.74292824073927477</v>
      </c>
      <c r="M2779">
        <f ca="1">qry_ProdData2_PDI_Cash_Exception_Application[[#This Row],[TODAY]]-qry_ProdData2_PDI_Cash_Exception_Application[[#This Row],[CHANGED ON]]</f>
        <v>0.74292824073927477</v>
      </c>
      <c r="N2779">
        <f ca="1">qry_ProdData2_PDI_Cash_Exception_Application[[#This Row],[TODAY]]-qry_ProdData2_PDI_Cash_Exception_Application[[#This Row],[CHANGED ON]]</f>
        <v>0.74292824073927477</v>
      </c>
    </row>
    <row r="2780" spans="1:14" x14ac:dyDescent="0.35">
      <c r="A2780">
        <v>1018</v>
      </c>
      <c r="B2780" t="s">
        <v>72</v>
      </c>
      <c r="C2780" s="1">
        <v>45196.257071759261</v>
      </c>
      <c r="D2780" t="str">
        <f ca="1">VLOOKUP(qry_ProdData2_PDI_Cash_Exception_Application[[#This Row],[TYPE]],#REF!,2,FALSE)</f>
        <v>type40</v>
      </c>
      <c r="E2780">
        <v>665.36</v>
      </c>
      <c r="G2780" s="1">
        <f>qry_ProdData2_PDI_Cash_Exception_Application[[#This Row],[INSERT DATE]]+1</f>
        <v>45197.257071759261</v>
      </c>
      <c r="H2780" t="str">
        <f>VLOOKUP(qry_ProdData2_PDI_Cash_Exception_Application[[#This Row],[MARKET No]],'Site Allocation'!$B$2:$C$37,2,FALSE)</f>
        <v>Analyst4</v>
      </c>
      <c r="I2780" s="4">
        <f t="shared" ca="1" si="43"/>
        <v>45203</v>
      </c>
      <c r="J2780" s="42">
        <f ca="1">TODAY()-qry_ProdData2_PDI_Cash_Exception_Application[[#This Row],[INSERT DATE]]</f>
        <v>6.7429282407392748</v>
      </c>
      <c r="K27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80">
        <f ca="1">qry_ProdData2_PDI_Cash_Exception_Application[[#This Row],[TODAY]]-qry_ProdData2_PDI_Cash_Exception_Application[[#This Row],[CHANGED ON]]</f>
        <v>5.7429282407392748</v>
      </c>
      <c r="M2780">
        <f ca="1">qry_ProdData2_PDI_Cash_Exception_Application[[#This Row],[TODAY]]-qry_ProdData2_PDI_Cash_Exception_Application[[#This Row],[CHANGED ON]]</f>
        <v>5.7429282407392748</v>
      </c>
      <c r="N2780">
        <f ca="1">qry_ProdData2_PDI_Cash_Exception_Application[[#This Row],[TODAY]]-qry_ProdData2_PDI_Cash_Exception_Application[[#This Row],[CHANGED ON]]</f>
        <v>5.7429282407392748</v>
      </c>
    </row>
    <row r="2781" spans="1:14" x14ac:dyDescent="0.35">
      <c r="A2781">
        <v>1007</v>
      </c>
      <c r="B2781" t="s">
        <v>61</v>
      </c>
      <c r="C2781" s="1">
        <v>45196.257071759261</v>
      </c>
      <c r="D2781" t="str">
        <f ca="1">VLOOKUP(qry_ProdData2_PDI_Cash_Exception_Application[[#This Row],[TYPE]],#REF!,2,FALSE)</f>
        <v>type40</v>
      </c>
      <c r="E2781">
        <v>506.57</v>
      </c>
      <c r="F2781" t="s">
        <v>47</v>
      </c>
      <c r="G2781" s="1">
        <f>qry_ProdData2_PDI_Cash_Exception_Application[[#This Row],[INSERT DATE]]+1</f>
        <v>45197.257071759261</v>
      </c>
      <c r="H2781" t="str">
        <f>VLOOKUP(qry_ProdData2_PDI_Cash_Exception_Application[[#This Row],[MARKET No]],'Site Allocation'!$B$2:$C$37,2,FALSE)</f>
        <v>Analyst2</v>
      </c>
      <c r="I2781" s="4">
        <f t="shared" ca="1" si="43"/>
        <v>45203</v>
      </c>
      <c r="J2781" s="42">
        <f ca="1">TODAY()-qry_ProdData2_PDI_Cash_Exception_Application[[#This Row],[INSERT DATE]]</f>
        <v>6.7429282407392748</v>
      </c>
      <c r="K27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81">
        <f ca="1">qry_ProdData2_PDI_Cash_Exception_Application[[#This Row],[TODAY]]-qry_ProdData2_PDI_Cash_Exception_Application[[#This Row],[CHANGED ON]]</f>
        <v>5.7429282407392748</v>
      </c>
      <c r="M2781">
        <f ca="1">qry_ProdData2_PDI_Cash_Exception_Application[[#This Row],[TODAY]]-qry_ProdData2_PDI_Cash_Exception_Application[[#This Row],[CHANGED ON]]</f>
        <v>5.7429282407392748</v>
      </c>
      <c r="N2781">
        <f ca="1">qry_ProdData2_PDI_Cash_Exception_Application[[#This Row],[TODAY]]-qry_ProdData2_PDI_Cash_Exception_Application[[#This Row],[CHANGED ON]]</f>
        <v>5.7429282407392748</v>
      </c>
    </row>
    <row r="2782" spans="1:14" x14ac:dyDescent="0.35">
      <c r="A2782">
        <v>1021</v>
      </c>
      <c r="B2782" t="s">
        <v>75</v>
      </c>
      <c r="C2782" s="1">
        <v>45190.257071759261</v>
      </c>
      <c r="D2782" t="str">
        <f ca="1">VLOOKUP(qry_ProdData2_PDI_Cash_Exception_Application[[#This Row],[TYPE]],#REF!,2,FALSE)</f>
        <v>type40</v>
      </c>
      <c r="E2782">
        <v>-1217.83</v>
      </c>
      <c r="F2782" t="s">
        <v>50</v>
      </c>
      <c r="G2782" s="1">
        <f>qry_ProdData2_PDI_Cash_Exception_Application[[#This Row],[INSERT DATE]]+5</f>
        <v>45195.257071759261</v>
      </c>
      <c r="H2782" t="str">
        <f>VLOOKUP(qry_ProdData2_PDI_Cash_Exception_Application[[#This Row],[MARKET No]],'Site Allocation'!$B$2:$C$37,2,FALSE)</f>
        <v>Analyst4</v>
      </c>
      <c r="I2782" s="4">
        <f t="shared" ca="1" si="43"/>
        <v>45203</v>
      </c>
      <c r="J2782" s="42">
        <f ca="1">TODAY()-qry_ProdData2_PDI_Cash_Exception_Application[[#This Row],[INSERT DATE]]</f>
        <v>12.742928240739275</v>
      </c>
      <c r="K27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82">
        <f ca="1">qry_ProdData2_PDI_Cash_Exception_Application[[#This Row],[TODAY]]-qry_ProdData2_PDI_Cash_Exception_Application[[#This Row],[CHANGED ON]]</f>
        <v>7.7429282407392748</v>
      </c>
      <c r="M2782">
        <f ca="1">qry_ProdData2_PDI_Cash_Exception_Application[[#This Row],[TODAY]]-qry_ProdData2_PDI_Cash_Exception_Application[[#This Row],[CHANGED ON]]</f>
        <v>7.7429282407392748</v>
      </c>
      <c r="N2782">
        <f ca="1">qry_ProdData2_PDI_Cash_Exception_Application[[#This Row],[TODAY]]-qry_ProdData2_PDI_Cash_Exception_Application[[#This Row],[CHANGED ON]]</f>
        <v>7.7429282407392748</v>
      </c>
    </row>
    <row r="2783" spans="1:14" x14ac:dyDescent="0.35">
      <c r="A2783">
        <v>1011</v>
      </c>
      <c r="B2783" t="s">
        <v>65</v>
      </c>
      <c r="C2783" s="1">
        <v>45197.257071759261</v>
      </c>
      <c r="D2783" t="str">
        <f ca="1">VLOOKUP(qry_ProdData2_PDI_Cash_Exception_Application[[#This Row],[TYPE]],#REF!,2,FALSE)</f>
        <v>type49</v>
      </c>
      <c r="E2783">
        <v>0</v>
      </c>
      <c r="F2783" t="s">
        <v>47</v>
      </c>
      <c r="G2783" s="1">
        <f>qry_ProdData2_PDI_Cash_Exception_Application[[#This Row],[INSERT DATE]]+1</f>
        <v>45198.257071759261</v>
      </c>
      <c r="H2783" t="str">
        <f>VLOOKUP(qry_ProdData2_PDI_Cash_Exception_Application[[#This Row],[MARKET No]],'Site Allocation'!$B$2:$C$37,2,FALSE)</f>
        <v>Analyst2</v>
      </c>
      <c r="I2783" s="4">
        <f t="shared" ca="1" si="43"/>
        <v>45203</v>
      </c>
      <c r="J2783" s="42">
        <f ca="1">TODAY()-qry_ProdData2_PDI_Cash_Exception_Application[[#This Row],[INSERT DATE]]</f>
        <v>5.7429282407392748</v>
      </c>
      <c r="K27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83">
        <f ca="1">qry_ProdData2_PDI_Cash_Exception_Application[[#This Row],[TODAY]]-qry_ProdData2_PDI_Cash_Exception_Application[[#This Row],[CHANGED ON]]</f>
        <v>4.7429282407392748</v>
      </c>
      <c r="M2783">
        <f ca="1">qry_ProdData2_PDI_Cash_Exception_Application[[#This Row],[TODAY]]-qry_ProdData2_PDI_Cash_Exception_Application[[#This Row],[CHANGED ON]]</f>
        <v>4.7429282407392748</v>
      </c>
      <c r="N2783">
        <f ca="1">qry_ProdData2_PDI_Cash_Exception_Application[[#This Row],[TODAY]]-qry_ProdData2_PDI_Cash_Exception_Application[[#This Row],[CHANGED ON]]</f>
        <v>4.7429282407392748</v>
      </c>
    </row>
    <row r="2784" spans="1:14" x14ac:dyDescent="0.35">
      <c r="A2784">
        <v>1008</v>
      </c>
      <c r="B2784" t="s">
        <v>62</v>
      </c>
      <c r="C2784" s="1">
        <v>45196.257071759261</v>
      </c>
      <c r="D2784" t="str">
        <f ca="1">VLOOKUP(qry_ProdData2_PDI_Cash_Exception_Application[[#This Row],[TYPE]],#REF!,2,FALSE)</f>
        <v>type40</v>
      </c>
      <c r="E2784">
        <v>1580.82</v>
      </c>
      <c r="G2784" s="1">
        <f>qry_ProdData2_PDI_Cash_Exception_Application[[#This Row],[INSERT DATE]]+2</f>
        <v>45198.257071759261</v>
      </c>
      <c r="H2784" t="str">
        <f>VLOOKUP(qry_ProdData2_PDI_Cash_Exception_Application[[#This Row],[MARKET No]],'Site Allocation'!$B$2:$C$37,2,FALSE)</f>
        <v>Analyst2</v>
      </c>
      <c r="I2784" s="4">
        <f t="shared" ca="1" si="43"/>
        <v>45203</v>
      </c>
      <c r="J2784" s="42">
        <f ca="1">TODAY()-qry_ProdData2_PDI_Cash_Exception_Application[[#This Row],[INSERT DATE]]</f>
        <v>6.7429282407392748</v>
      </c>
      <c r="K27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84">
        <f ca="1">qry_ProdData2_PDI_Cash_Exception_Application[[#This Row],[TODAY]]-qry_ProdData2_PDI_Cash_Exception_Application[[#This Row],[CHANGED ON]]</f>
        <v>4.7429282407392748</v>
      </c>
      <c r="M2784">
        <f ca="1">qry_ProdData2_PDI_Cash_Exception_Application[[#This Row],[TODAY]]-qry_ProdData2_PDI_Cash_Exception_Application[[#This Row],[CHANGED ON]]</f>
        <v>4.7429282407392748</v>
      </c>
      <c r="N2784">
        <f ca="1">qry_ProdData2_PDI_Cash_Exception_Application[[#This Row],[TODAY]]-qry_ProdData2_PDI_Cash_Exception_Application[[#This Row],[CHANGED ON]]</f>
        <v>4.7429282407392748</v>
      </c>
    </row>
    <row r="2785" spans="1:14" x14ac:dyDescent="0.35">
      <c r="A2785">
        <v>1003</v>
      </c>
      <c r="B2785" t="s">
        <v>57</v>
      </c>
      <c r="C2785" s="1">
        <v>45193.257071759261</v>
      </c>
      <c r="D2785" t="str">
        <f ca="1">VLOOKUP(qry_ProdData2_PDI_Cash_Exception_Application[[#This Row],[TYPE]],#REF!,2,FALSE)</f>
        <v>type40</v>
      </c>
      <c r="E2785">
        <v>-9822.4699999999993</v>
      </c>
      <c r="F2785" t="s">
        <v>50</v>
      </c>
      <c r="G2785" s="1">
        <f>qry_ProdData2_PDI_Cash_Exception_Application[[#This Row],[INSERT DATE]]+7</f>
        <v>45200.257071759261</v>
      </c>
      <c r="H2785" t="str">
        <f>VLOOKUP(qry_ProdData2_PDI_Cash_Exception_Application[[#This Row],[MARKET No]],'Site Allocation'!$B$2:$C$37,2,FALSE)</f>
        <v>Analyst1</v>
      </c>
      <c r="I2785" s="4">
        <f t="shared" ca="1" si="43"/>
        <v>45203</v>
      </c>
      <c r="J2785" s="42">
        <f ca="1">TODAY()-qry_ProdData2_PDI_Cash_Exception_Application[[#This Row],[INSERT DATE]]</f>
        <v>9.7429282407392748</v>
      </c>
      <c r="K27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85">
        <f ca="1">qry_ProdData2_PDI_Cash_Exception_Application[[#This Row],[TODAY]]-qry_ProdData2_PDI_Cash_Exception_Application[[#This Row],[CHANGED ON]]</f>
        <v>2.7429282407392748</v>
      </c>
      <c r="M2785">
        <f ca="1">qry_ProdData2_PDI_Cash_Exception_Application[[#This Row],[TODAY]]-qry_ProdData2_PDI_Cash_Exception_Application[[#This Row],[CHANGED ON]]</f>
        <v>2.7429282407392748</v>
      </c>
      <c r="N2785">
        <f ca="1">qry_ProdData2_PDI_Cash_Exception_Application[[#This Row],[TODAY]]-qry_ProdData2_PDI_Cash_Exception_Application[[#This Row],[CHANGED ON]]</f>
        <v>2.7429282407392748</v>
      </c>
    </row>
    <row r="2786" spans="1:14" x14ac:dyDescent="0.35">
      <c r="A2786">
        <v>1029</v>
      </c>
      <c r="B2786" t="s">
        <v>83</v>
      </c>
      <c r="C2786" s="1">
        <v>45196.257071759261</v>
      </c>
      <c r="D2786" t="str">
        <f ca="1">VLOOKUP(qry_ProdData2_PDI_Cash_Exception_Application[[#This Row],[TYPE]],#REF!,2,FALSE)</f>
        <v>type40</v>
      </c>
      <c r="E2786">
        <v>371</v>
      </c>
      <c r="G2786" s="1">
        <f>qry_ProdData2_PDI_Cash_Exception_Application[[#This Row],[INSERT DATE]]+5</f>
        <v>45201.257071759261</v>
      </c>
      <c r="H2786" t="str">
        <f>VLOOKUP(qry_ProdData2_PDI_Cash_Exception_Application[[#This Row],[MARKET No]],'Site Allocation'!$B$2:$C$37,2,FALSE)</f>
        <v>Analyst5</v>
      </c>
      <c r="I2786" s="4">
        <f t="shared" ca="1" si="43"/>
        <v>45203</v>
      </c>
      <c r="J2786" s="42">
        <f ca="1">TODAY()-qry_ProdData2_PDI_Cash_Exception_Application[[#This Row],[INSERT DATE]]</f>
        <v>6.7429282407392748</v>
      </c>
      <c r="K27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86">
        <f ca="1">qry_ProdData2_PDI_Cash_Exception_Application[[#This Row],[TODAY]]-qry_ProdData2_PDI_Cash_Exception_Application[[#This Row],[CHANGED ON]]</f>
        <v>1.7429282407392748</v>
      </c>
      <c r="M2786">
        <f ca="1">qry_ProdData2_PDI_Cash_Exception_Application[[#This Row],[TODAY]]-qry_ProdData2_PDI_Cash_Exception_Application[[#This Row],[CHANGED ON]]</f>
        <v>1.7429282407392748</v>
      </c>
      <c r="N2786">
        <f ca="1">qry_ProdData2_PDI_Cash_Exception_Application[[#This Row],[TODAY]]-qry_ProdData2_PDI_Cash_Exception_Application[[#This Row],[CHANGED ON]]</f>
        <v>1.7429282407392748</v>
      </c>
    </row>
    <row r="2787" spans="1:14" x14ac:dyDescent="0.35">
      <c r="A2787">
        <v>1025</v>
      </c>
      <c r="B2787" t="s">
        <v>79</v>
      </c>
      <c r="C2787" s="1">
        <v>45196.257071759261</v>
      </c>
      <c r="D2787" t="str">
        <f ca="1">VLOOKUP(qry_ProdData2_PDI_Cash_Exception_Application[[#This Row],[TYPE]],#REF!,2,FALSE)</f>
        <v>type15</v>
      </c>
      <c r="E2787">
        <v>-2579.36</v>
      </c>
      <c r="G2787" s="1">
        <f>qry_ProdData2_PDI_Cash_Exception_Application[[#This Row],[INSERT DATE]]+1</f>
        <v>45197.257071759261</v>
      </c>
      <c r="H2787" t="str">
        <f>VLOOKUP(qry_ProdData2_PDI_Cash_Exception_Application[[#This Row],[MARKET No]],'Site Allocation'!$B$2:$C$37,2,FALSE)</f>
        <v>Analyst5</v>
      </c>
      <c r="I2787" s="4">
        <f t="shared" ca="1" si="43"/>
        <v>45203</v>
      </c>
      <c r="J2787" s="42">
        <f ca="1">TODAY()-qry_ProdData2_PDI_Cash_Exception_Application[[#This Row],[INSERT DATE]]</f>
        <v>6.7429282407392748</v>
      </c>
      <c r="K27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87">
        <f ca="1">qry_ProdData2_PDI_Cash_Exception_Application[[#This Row],[TODAY]]-qry_ProdData2_PDI_Cash_Exception_Application[[#This Row],[CHANGED ON]]</f>
        <v>5.7429282407392748</v>
      </c>
      <c r="M2787">
        <f ca="1">qry_ProdData2_PDI_Cash_Exception_Application[[#This Row],[TODAY]]-qry_ProdData2_PDI_Cash_Exception_Application[[#This Row],[CHANGED ON]]</f>
        <v>5.7429282407392748</v>
      </c>
      <c r="N2787">
        <f ca="1">qry_ProdData2_PDI_Cash_Exception_Application[[#This Row],[TODAY]]-qry_ProdData2_PDI_Cash_Exception_Application[[#This Row],[CHANGED ON]]</f>
        <v>5.7429282407392748</v>
      </c>
    </row>
    <row r="2788" spans="1:14" x14ac:dyDescent="0.35">
      <c r="A2788">
        <v>1022</v>
      </c>
      <c r="B2788" t="s">
        <v>76</v>
      </c>
      <c r="C2788" s="1">
        <v>45197.257071759261</v>
      </c>
      <c r="D2788" t="str">
        <f ca="1">VLOOKUP(qry_ProdData2_PDI_Cash_Exception_Application[[#This Row],[TYPE]],#REF!,2,FALSE)</f>
        <v>type7</v>
      </c>
      <c r="E2788">
        <v>-5358.66</v>
      </c>
      <c r="G2788" s="1">
        <f>qry_ProdData2_PDI_Cash_Exception_Application[[#This Row],[INSERT DATE]]+1</f>
        <v>45198.257071759261</v>
      </c>
      <c r="H2788" t="str">
        <f>VLOOKUP(qry_ProdData2_PDI_Cash_Exception_Application[[#This Row],[MARKET No]],'Site Allocation'!$B$2:$C$37,2,FALSE)</f>
        <v>Analyst4</v>
      </c>
      <c r="I2788" s="4">
        <f t="shared" ca="1" si="43"/>
        <v>45203</v>
      </c>
      <c r="J2788" s="42">
        <f ca="1">TODAY()-qry_ProdData2_PDI_Cash_Exception_Application[[#This Row],[INSERT DATE]]</f>
        <v>5.7429282407392748</v>
      </c>
      <c r="K27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88">
        <f ca="1">qry_ProdData2_PDI_Cash_Exception_Application[[#This Row],[TODAY]]-qry_ProdData2_PDI_Cash_Exception_Application[[#This Row],[CHANGED ON]]</f>
        <v>4.7429282407392748</v>
      </c>
      <c r="M2788">
        <f ca="1">qry_ProdData2_PDI_Cash_Exception_Application[[#This Row],[TODAY]]-qry_ProdData2_PDI_Cash_Exception_Application[[#This Row],[CHANGED ON]]</f>
        <v>4.7429282407392748</v>
      </c>
      <c r="N2788">
        <f ca="1">qry_ProdData2_PDI_Cash_Exception_Application[[#This Row],[TODAY]]-qry_ProdData2_PDI_Cash_Exception_Application[[#This Row],[CHANGED ON]]</f>
        <v>4.7429282407392748</v>
      </c>
    </row>
    <row r="2789" spans="1:14" x14ac:dyDescent="0.35">
      <c r="A2789">
        <v>1012</v>
      </c>
      <c r="B2789" t="s">
        <v>66</v>
      </c>
      <c r="C2789" s="1">
        <v>45197.257071759261</v>
      </c>
      <c r="D2789" t="str">
        <f ca="1">VLOOKUP(qry_ProdData2_PDI_Cash_Exception_Application[[#This Row],[TYPE]],#REF!,2,FALSE)</f>
        <v>type52</v>
      </c>
      <c r="E2789">
        <v>522.72</v>
      </c>
      <c r="F2789" t="s">
        <v>47</v>
      </c>
      <c r="G2789" s="1">
        <f>qry_ProdData2_PDI_Cash_Exception_Application[[#This Row],[INSERT DATE]]+7</f>
        <v>45204.257071759261</v>
      </c>
      <c r="H2789" t="str">
        <f>VLOOKUP(qry_ProdData2_PDI_Cash_Exception_Application[[#This Row],[MARKET No]],'Site Allocation'!$B$2:$C$37,2,FALSE)</f>
        <v>Analyst3</v>
      </c>
      <c r="I2789" s="4">
        <f t="shared" ca="1" si="43"/>
        <v>45203</v>
      </c>
      <c r="J2789" s="42">
        <f ca="1">TODAY()-qry_ProdData2_PDI_Cash_Exception_Application[[#This Row],[INSERT DATE]]</f>
        <v>5.7429282407392748</v>
      </c>
      <c r="K27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89">
        <f ca="1">qry_ProdData2_PDI_Cash_Exception_Application[[#This Row],[TODAY]]-qry_ProdData2_PDI_Cash_Exception_Application[[#This Row],[CHANGED ON]]</f>
        <v>-1.2570717592607252</v>
      </c>
      <c r="M2789">
        <f ca="1">qry_ProdData2_PDI_Cash_Exception_Application[[#This Row],[TODAY]]-qry_ProdData2_PDI_Cash_Exception_Application[[#This Row],[CHANGED ON]]</f>
        <v>-1.2570717592607252</v>
      </c>
      <c r="N2789">
        <f ca="1">qry_ProdData2_PDI_Cash_Exception_Application[[#This Row],[TODAY]]-qry_ProdData2_PDI_Cash_Exception_Application[[#This Row],[CHANGED ON]]</f>
        <v>-1.2570717592607252</v>
      </c>
    </row>
    <row r="2790" spans="1:14" x14ac:dyDescent="0.35">
      <c r="A2790">
        <v>1004</v>
      </c>
      <c r="B2790" t="s">
        <v>58</v>
      </c>
      <c r="C2790" s="1">
        <v>45197.257071759261</v>
      </c>
      <c r="D2790" t="str">
        <f ca="1">VLOOKUP(qry_ProdData2_PDI_Cash_Exception_Application[[#This Row],[TYPE]],#REF!,2,FALSE)</f>
        <v>type41</v>
      </c>
      <c r="E2790">
        <v>306.66000000000003</v>
      </c>
      <c r="G2790" s="1">
        <f>qry_ProdData2_PDI_Cash_Exception_Application[[#This Row],[INSERT DATE]]+7</f>
        <v>45204.257071759261</v>
      </c>
      <c r="H2790" t="str">
        <f>VLOOKUP(qry_ProdData2_PDI_Cash_Exception_Application[[#This Row],[MARKET No]],'Site Allocation'!$B$2:$C$37,2,FALSE)</f>
        <v>Analyst1</v>
      </c>
      <c r="I2790" s="4">
        <f t="shared" ca="1" si="43"/>
        <v>45203</v>
      </c>
      <c r="J2790" s="42">
        <f ca="1">TODAY()-qry_ProdData2_PDI_Cash_Exception_Application[[#This Row],[INSERT DATE]]</f>
        <v>5.7429282407392748</v>
      </c>
      <c r="K27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90">
        <f ca="1">qry_ProdData2_PDI_Cash_Exception_Application[[#This Row],[TODAY]]-qry_ProdData2_PDI_Cash_Exception_Application[[#This Row],[CHANGED ON]]</f>
        <v>-1.2570717592607252</v>
      </c>
      <c r="M2790">
        <f ca="1">qry_ProdData2_PDI_Cash_Exception_Application[[#This Row],[TODAY]]-qry_ProdData2_PDI_Cash_Exception_Application[[#This Row],[CHANGED ON]]</f>
        <v>-1.2570717592607252</v>
      </c>
      <c r="N2790">
        <f ca="1">qry_ProdData2_PDI_Cash_Exception_Application[[#This Row],[TODAY]]-qry_ProdData2_PDI_Cash_Exception_Application[[#This Row],[CHANGED ON]]</f>
        <v>-1.2570717592607252</v>
      </c>
    </row>
    <row r="2791" spans="1:14" x14ac:dyDescent="0.35">
      <c r="A2791">
        <v>1003</v>
      </c>
      <c r="B2791" t="s">
        <v>57</v>
      </c>
      <c r="C2791" s="1">
        <v>45186.257071759261</v>
      </c>
      <c r="D2791" t="str">
        <f ca="1">VLOOKUP(qry_ProdData2_PDI_Cash_Exception_Application[[#This Row],[TYPE]],#REF!,2,FALSE)</f>
        <v>type40</v>
      </c>
      <c r="E2791">
        <v>-10196.14</v>
      </c>
      <c r="F2791" t="s">
        <v>52</v>
      </c>
      <c r="G2791" s="1">
        <f>qry_ProdData2_PDI_Cash_Exception_Application[[#This Row],[INSERT DATE]]+7</f>
        <v>45193.257071759261</v>
      </c>
      <c r="H2791" t="str">
        <f>VLOOKUP(qry_ProdData2_PDI_Cash_Exception_Application[[#This Row],[MARKET No]],'Site Allocation'!$B$2:$C$37,2,FALSE)</f>
        <v>Analyst1</v>
      </c>
      <c r="I2791" s="4">
        <f t="shared" ca="1" si="43"/>
        <v>45203</v>
      </c>
      <c r="J2791" s="42">
        <f ca="1">TODAY()-qry_ProdData2_PDI_Cash_Exception_Application[[#This Row],[INSERT DATE]]</f>
        <v>16.742928240739275</v>
      </c>
      <c r="K27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91">
        <f ca="1">qry_ProdData2_PDI_Cash_Exception_Application[[#This Row],[TODAY]]-qry_ProdData2_PDI_Cash_Exception_Application[[#This Row],[CHANGED ON]]</f>
        <v>9.7429282407392748</v>
      </c>
      <c r="M2791">
        <f ca="1">qry_ProdData2_PDI_Cash_Exception_Application[[#This Row],[TODAY]]-qry_ProdData2_PDI_Cash_Exception_Application[[#This Row],[CHANGED ON]]</f>
        <v>9.7429282407392748</v>
      </c>
      <c r="N2791">
        <f ca="1">qry_ProdData2_PDI_Cash_Exception_Application[[#This Row],[TODAY]]-qry_ProdData2_PDI_Cash_Exception_Application[[#This Row],[CHANGED ON]]</f>
        <v>9.7429282407392748</v>
      </c>
    </row>
    <row r="2792" spans="1:14" x14ac:dyDescent="0.35">
      <c r="A2792">
        <v>1029</v>
      </c>
      <c r="B2792" t="s">
        <v>83</v>
      </c>
      <c r="C2792" s="1">
        <v>45196.257071759261</v>
      </c>
      <c r="D2792" t="str">
        <f ca="1">VLOOKUP(qry_ProdData2_PDI_Cash_Exception_Application[[#This Row],[TYPE]],#REF!,2,FALSE)</f>
        <v>type40</v>
      </c>
      <c r="E2792">
        <v>-317.47000000000003</v>
      </c>
      <c r="G2792" s="1">
        <f>qry_ProdData2_PDI_Cash_Exception_Application[[#This Row],[INSERT DATE]]+2</f>
        <v>45198.257071759261</v>
      </c>
      <c r="H2792" t="str">
        <f>VLOOKUP(qry_ProdData2_PDI_Cash_Exception_Application[[#This Row],[MARKET No]],'Site Allocation'!$B$2:$C$37,2,FALSE)</f>
        <v>Analyst5</v>
      </c>
      <c r="I2792" s="4">
        <f t="shared" ca="1" si="43"/>
        <v>45203</v>
      </c>
      <c r="J2792" s="42">
        <f ca="1">TODAY()-qry_ProdData2_PDI_Cash_Exception_Application[[#This Row],[INSERT DATE]]</f>
        <v>6.7429282407392748</v>
      </c>
      <c r="K27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92">
        <f ca="1">qry_ProdData2_PDI_Cash_Exception_Application[[#This Row],[TODAY]]-qry_ProdData2_PDI_Cash_Exception_Application[[#This Row],[CHANGED ON]]</f>
        <v>4.7429282407392748</v>
      </c>
      <c r="M2792">
        <f ca="1">qry_ProdData2_PDI_Cash_Exception_Application[[#This Row],[TODAY]]-qry_ProdData2_PDI_Cash_Exception_Application[[#This Row],[CHANGED ON]]</f>
        <v>4.7429282407392748</v>
      </c>
      <c r="N2792">
        <f ca="1">qry_ProdData2_PDI_Cash_Exception_Application[[#This Row],[TODAY]]-qry_ProdData2_PDI_Cash_Exception_Application[[#This Row],[CHANGED ON]]</f>
        <v>4.7429282407392748</v>
      </c>
    </row>
    <row r="2793" spans="1:14" x14ac:dyDescent="0.35">
      <c r="A2793">
        <v>1035</v>
      </c>
      <c r="B2793" t="s">
        <v>89</v>
      </c>
      <c r="C2793" s="1">
        <v>45197.257071759261</v>
      </c>
      <c r="D2793" t="str">
        <f ca="1">VLOOKUP(qry_ProdData2_PDI_Cash_Exception_Application[[#This Row],[TYPE]],#REF!,2,FALSE)</f>
        <v>type40</v>
      </c>
      <c r="E2793">
        <v>1</v>
      </c>
      <c r="F2793" t="s">
        <v>47</v>
      </c>
      <c r="G2793" s="1">
        <f>qry_ProdData2_PDI_Cash_Exception_Application[[#This Row],[INSERT DATE]]+1</f>
        <v>45198.257071759261</v>
      </c>
      <c r="H2793" t="str">
        <f>VLOOKUP(qry_ProdData2_PDI_Cash_Exception_Application[[#This Row],[MARKET No]],'Site Allocation'!$B$2:$C$37,2,FALSE)</f>
        <v>Analyst6</v>
      </c>
      <c r="I2793" s="4">
        <f t="shared" ca="1" si="43"/>
        <v>45203</v>
      </c>
      <c r="J2793" s="42">
        <f ca="1">TODAY()-qry_ProdData2_PDI_Cash_Exception_Application[[#This Row],[INSERT DATE]]</f>
        <v>5.7429282407392748</v>
      </c>
      <c r="K27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93">
        <f ca="1">qry_ProdData2_PDI_Cash_Exception_Application[[#This Row],[TODAY]]-qry_ProdData2_PDI_Cash_Exception_Application[[#This Row],[CHANGED ON]]</f>
        <v>4.7429282407392748</v>
      </c>
      <c r="M2793">
        <f ca="1">qry_ProdData2_PDI_Cash_Exception_Application[[#This Row],[TODAY]]-qry_ProdData2_PDI_Cash_Exception_Application[[#This Row],[CHANGED ON]]</f>
        <v>4.7429282407392748</v>
      </c>
      <c r="N2793">
        <f ca="1">qry_ProdData2_PDI_Cash_Exception_Application[[#This Row],[TODAY]]-qry_ProdData2_PDI_Cash_Exception_Application[[#This Row],[CHANGED ON]]</f>
        <v>4.7429282407392748</v>
      </c>
    </row>
    <row r="2794" spans="1:14" x14ac:dyDescent="0.35">
      <c r="A2794">
        <v>1025</v>
      </c>
      <c r="B2794" t="s">
        <v>79</v>
      </c>
      <c r="C2794" s="1">
        <v>45188.257071759261</v>
      </c>
      <c r="D2794" t="str">
        <f ca="1">VLOOKUP(qry_ProdData2_PDI_Cash_Exception_Application[[#This Row],[TYPE]],#REF!,2,FALSE)</f>
        <v>type13</v>
      </c>
      <c r="E2794">
        <v>27040.3</v>
      </c>
      <c r="F2794" t="s">
        <v>50</v>
      </c>
      <c r="G2794" s="1">
        <f>qry_ProdData2_PDI_Cash_Exception_Application[[#This Row],[INSERT DATE]]+7</f>
        <v>45195.257071759261</v>
      </c>
      <c r="H2794" t="str">
        <f>VLOOKUP(qry_ProdData2_PDI_Cash_Exception_Application[[#This Row],[MARKET No]],'Site Allocation'!$B$2:$C$37,2,FALSE)</f>
        <v>Analyst5</v>
      </c>
      <c r="I2794" s="4">
        <f t="shared" ca="1" si="43"/>
        <v>45203</v>
      </c>
      <c r="J2794" s="42">
        <f ca="1">TODAY()-qry_ProdData2_PDI_Cash_Exception_Application[[#This Row],[INSERT DATE]]</f>
        <v>14.742928240739275</v>
      </c>
      <c r="K27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94">
        <f ca="1">qry_ProdData2_PDI_Cash_Exception_Application[[#This Row],[TODAY]]-qry_ProdData2_PDI_Cash_Exception_Application[[#This Row],[CHANGED ON]]</f>
        <v>7.7429282407392748</v>
      </c>
      <c r="M2794">
        <f ca="1">qry_ProdData2_PDI_Cash_Exception_Application[[#This Row],[TODAY]]-qry_ProdData2_PDI_Cash_Exception_Application[[#This Row],[CHANGED ON]]</f>
        <v>7.7429282407392748</v>
      </c>
      <c r="N2794">
        <f ca="1">qry_ProdData2_PDI_Cash_Exception_Application[[#This Row],[TODAY]]-qry_ProdData2_PDI_Cash_Exception_Application[[#This Row],[CHANGED ON]]</f>
        <v>7.7429282407392748</v>
      </c>
    </row>
    <row r="2795" spans="1:14" x14ac:dyDescent="0.35">
      <c r="A2795">
        <v>1021</v>
      </c>
      <c r="B2795" t="s">
        <v>75</v>
      </c>
      <c r="C2795" s="1">
        <v>45197.257071759261</v>
      </c>
      <c r="D2795" t="str">
        <f ca="1">VLOOKUP(qry_ProdData2_PDI_Cash_Exception_Application[[#This Row],[TYPE]],#REF!,2,FALSE)</f>
        <v>type38</v>
      </c>
      <c r="E2795">
        <v>307.7</v>
      </c>
      <c r="F2795" t="s">
        <v>47</v>
      </c>
      <c r="G2795" s="1">
        <f>qry_ProdData2_PDI_Cash_Exception_Application[[#This Row],[INSERT DATE]]+7</f>
        <v>45204.257071759261</v>
      </c>
      <c r="H2795" t="str">
        <f>VLOOKUP(qry_ProdData2_PDI_Cash_Exception_Application[[#This Row],[MARKET No]],'Site Allocation'!$B$2:$C$37,2,FALSE)</f>
        <v>Analyst4</v>
      </c>
      <c r="I2795" s="4">
        <f t="shared" ca="1" si="43"/>
        <v>45203</v>
      </c>
      <c r="J2795" s="42">
        <f ca="1">TODAY()-qry_ProdData2_PDI_Cash_Exception_Application[[#This Row],[INSERT DATE]]</f>
        <v>5.7429282407392748</v>
      </c>
      <c r="K27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795">
        <f ca="1">qry_ProdData2_PDI_Cash_Exception_Application[[#This Row],[TODAY]]-qry_ProdData2_PDI_Cash_Exception_Application[[#This Row],[CHANGED ON]]</f>
        <v>-1.2570717592607252</v>
      </c>
      <c r="M2795">
        <f ca="1">qry_ProdData2_PDI_Cash_Exception_Application[[#This Row],[TODAY]]-qry_ProdData2_PDI_Cash_Exception_Application[[#This Row],[CHANGED ON]]</f>
        <v>-1.2570717592607252</v>
      </c>
      <c r="N2795">
        <f ca="1">qry_ProdData2_PDI_Cash_Exception_Application[[#This Row],[TODAY]]-qry_ProdData2_PDI_Cash_Exception_Application[[#This Row],[CHANGED ON]]</f>
        <v>-1.2570717592607252</v>
      </c>
    </row>
    <row r="2796" spans="1:14" x14ac:dyDescent="0.35">
      <c r="A2796">
        <v>1011</v>
      </c>
      <c r="B2796" t="s">
        <v>65</v>
      </c>
      <c r="C2796" s="1">
        <v>45196.257071759261</v>
      </c>
      <c r="D2796" t="str">
        <f ca="1">VLOOKUP(qry_ProdData2_PDI_Cash_Exception_Application[[#This Row],[TYPE]],#REF!,2,FALSE)</f>
        <v>type40</v>
      </c>
      <c r="E2796">
        <v>-1494.82</v>
      </c>
      <c r="G2796" s="1">
        <f>qry_ProdData2_PDI_Cash_Exception_Application[[#This Row],[INSERT DATE]]+1</f>
        <v>45197.257071759261</v>
      </c>
      <c r="H2796" t="str">
        <f>VLOOKUP(qry_ProdData2_PDI_Cash_Exception_Application[[#This Row],[MARKET No]],'Site Allocation'!$B$2:$C$37,2,FALSE)</f>
        <v>Analyst2</v>
      </c>
      <c r="I2796" s="4">
        <f t="shared" ca="1" si="43"/>
        <v>45203</v>
      </c>
      <c r="J2796" s="42">
        <f ca="1">TODAY()-qry_ProdData2_PDI_Cash_Exception_Application[[#This Row],[INSERT DATE]]</f>
        <v>6.7429282407392748</v>
      </c>
      <c r="K27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796">
        <f ca="1">qry_ProdData2_PDI_Cash_Exception_Application[[#This Row],[TODAY]]-qry_ProdData2_PDI_Cash_Exception_Application[[#This Row],[CHANGED ON]]</f>
        <v>5.7429282407392748</v>
      </c>
      <c r="M2796">
        <f ca="1">qry_ProdData2_PDI_Cash_Exception_Application[[#This Row],[TODAY]]-qry_ProdData2_PDI_Cash_Exception_Application[[#This Row],[CHANGED ON]]</f>
        <v>5.7429282407392748</v>
      </c>
      <c r="N2796">
        <f ca="1">qry_ProdData2_PDI_Cash_Exception_Application[[#This Row],[TODAY]]-qry_ProdData2_PDI_Cash_Exception_Application[[#This Row],[CHANGED ON]]</f>
        <v>5.7429282407392748</v>
      </c>
    </row>
    <row r="2797" spans="1:14" x14ac:dyDescent="0.35">
      <c r="A2797">
        <v>1007</v>
      </c>
      <c r="B2797" t="s">
        <v>61</v>
      </c>
      <c r="C2797" s="1">
        <v>45187.257071759261</v>
      </c>
      <c r="D2797" t="str">
        <f ca="1">VLOOKUP(qry_ProdData2_PDI_Cash_Exception_Application[[#This Row],[TYPE]],#REF!,2,FALSE)</f>
        <v>type40</v>
      </c>
      <c r="E2797">
        <v>1446.23</v>
      </c>
      <c r="F2797" t="s">
        <v>48</v>
      </c>
      <c r="G2797" s="1">
        <f>qry_ProdData2_PDI_Cash_Exception_Application[[#This Row],[INSERT DATE]]+1</f>
        <v>45188.257071759261</v>
      </c>
      <c r="H2797" t="str">
        <f>VLOOKUP(qry_ProdData2_PDI_Cash_Exception_Application[[#This Row],[MARKET No]],'Site Allocation'!$B$2:$C$37,2,FALSE)</f>
        <v>Analyst2</v>
      </c>
      <c r="I2797" s="4">
        <f t="shared" ca="1" si="43"/>
        <v>45203</v>
      </c>
      <c r="J2797" s="42">
        <f ca="1">TODAY()-qry_ProdData2_PDI_Cash_Exception_Application[[#This Row],[INSERT DATE]]</f>
        <v>15.742928240739275</v>
      </c>
      <c r="K27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97">
        <f ca="1">qry_ProdData2_PDI_Cash_Exception_Application[[#This Row],[TODAY]]-qry_ProdData2_PDI_Cash_Exception_Application[[#This Row],[CHANGED ON]]</f>
        <v>14.742928240739275</v>
      </c>
      <c r="M2797">
        <f ca="1">qry_ProdData2_PDI_Cash_Exception_Application[[#This Row],[TODAY]]-qry_ProdData2_PDI_Cash_Exception_Application[[#This Row],[CHANGED ON]]</f>
        <v>14.742928240739275</v>
      </c>
      <c r="N2797">
        <f ca="1">qry_ProdData2_PDI_Cash_Exception_Application[[#This Row],[TODAY]]-qry_ProdData2_PDI_Cash_Exception_Application[[#This Row],[CHANGED ON]]</f>
        <v>14.742928240739275</v>
      </c>
    </row>
    <row r="2798" spans="1:14" x14ac:dyDescent="0.35">
      <c r="A2798">
        <v>1006</v>
      </c>
      <c r="B2798" t="s">
        <v>60</v>
      </c>
      <c r="C2798" s="1">
        <v>45184.257071759261</v>
      </c>
      <c r="D2798" t="str">
        <f ca="1">VLOOKUP(qry_ProdData2_PDI_Cash_Exception_Application[[#This Row],[TYPE]],#REF!,2,FALSE)</f>
        <v>type13</v>
      </c>
      <c r="E2798">
        <v>26731.33</v>
      </c>
      <c r="F2798" t="str">
        <f>qry_ProdData2_PDI_Cash_Exception_Application[[#This Row],[ANALYST]]</f>
        <v>Analyst2</v>
      </c>
      <c r="G2798" s="1">
        <f>qry_ProdData2_PDI_Cash_Exception_Application[[#This Row],[INSERT DATE]]+2</f>
        <v>45186.257071759261</v>
      </c>
      <c r="H2798" t="str">
        <f>VLOOKUP(qry_ProdData2_PDI_Cash_Exception_Application[[#This Row],[MARKET No]],'Site Allocation'!$B$2:$C$37,2,FALSE)</f>
        <v>Analyst2</v>
      </c>
      <c r="I2798" s="4">
        <f t="shared" ca="1" si="43"/>
        <v>45203</v>
      </c>
      <c r="J2798" s="42">
        <f ca="1">TODAY()-qry_ProdData2_PDI_Cash_Exception_Application[[#This Row],[INSERT DATE]]</f>
        <v>18.742928240739275</v>
      </c>
      <c r="K27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98">
        <f ca="1">qry_ProdData2_PDI_Cash_Exception_Application[[#This Row],[TODAY]]-qry_ProdData2_PDI_Cash_Exception_Application[[#This Row],[CHANGED ON]]</f>
        <v>16.742928240739275</v>
      </c>
      <c r="M2798">
        <f ca="1">qry_ProdData2_PDI_Cash_Exception_Application[[#This Row],[TODAY]]-qry_ProdData2_PDI_Cash_Exception_Application[[#This Row],[CHANGED ON]]</f>
        <v>16.742928240739275</v>
      </c>
      <c r="N2798">
        <f ca="1">qry_ProdData2_PDI_Cash_Exception_Application[[#This Row],[TODAY]]-qry_ProdData2_PDI_Cash_Exception_Application[[#This Row],[CHANGED ON]]</f>
        <v>16.742928240739275</v>
      </c>
    </row>
    <row r="2799" spans="1:14" x14ac:dyDescent="0.35">
      <c r="A2799">
        <v>1026</v>
      </c>
      <c r="B2799" t="s">
        <v>80</v>
      </c>
      <c r="C2799" s="1">
        <v>45186.257071759261</v>
      </c>
      <c r="D2799" t="str">
        <f ca="1">VLOOKUP(qry_ProdData2_PDI_Cash_Exception_Application[[#This Row],[TYPE]],#REF!,2,FALSE)</f>
        <v>type40</v>
      </c>
      <c r="E2799">
        <v>-434.04</v>
      </c>
      <c r="F2799" t="s">
        <v>48</v>
      </c>
      <c r="G2799" s="1">
        <f>qry_ProdData2_PDI_Cash_Exception_Application[[#This Row],[INSERT DATE]]+2</f>
        <v>45188.257071759261</v>
      </c>
      <c r="H2799" t="str">
        <f>VLOOKUP(qry_ProdData2_PDI_Cash_Exception_Application[[#This Row],[MARKET No]],'Site Allocation'!$B$2:$C$37,2,FALSE)</f>
        <v>Analyst5</v>
      </c>
      <c r="I2799" s="4">
        <f t="shared" ca="1" si="43"/>
        <v>45203</v>
      </c>
      <c r="J2799" s="42">
        <f ca="1">TODAY()-qry_ProdData2_PDI_Cash_Exception_Application[[#This Row],[INSERT DATE]]</f>
        <v>16.742928240739275</v>
      </c>
      <c r="K27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799">
        <f ca="1">qry_ProdData2_PDI_Cash_Exception_Application[[#This Row],[TODAY]]-qry_ProdData2_PDI_Cash_Exception_Application[[#This Row],[CHANGED ON]]</f>
        <v>14.742928240739275</v>
      </c>
      <c r="M2799">
        <f ca="1">qry_ProdData2_PDI_Cash_Exception_Application[[#This Row],[TODAY]]-qry_ProdData2_PDI_Cash_Exception_Application[[#This Row],[CHANGED ON]]</f>
        <v>14.742928240739275</v>
      </c>
      <c r="N2799">
        <f ca="1">qry_ProdData2_PDI_Cash_Exception_Application[[#This Row],[TODAY]]-qry_ProdData2_PDI_Cash_Exception_Application[[#This Row],[CHANGED ON]]</f>
        <v>14.742928240739275</v>
      </c>
    </row>
    <row r="2800" spans="1:14" x14ac:dyDescent="0.35">
      <c r="A2800">
        <v>1031</v>
      </c>
      <c r="B2800" t="s">
        <v>85</v>
      </c>
      <c r="C2800" s="1">
        <v>45197.257071759261</v>
      </c>
      <c r="D2800" t="str">
        <f ca="1">VLOOKUP(qry_ProdData2_PDI_Cash_Exception_Application[[#This Row],[TYPE]],#REF!,2,FALSE)</f>
        <v>type40</v>
      </c>
      <c r="E2800">
        <v>-394.11</v>
      </c>
      <c r="G2800" s="1">
        <f>qry_ProdData2_PDI_Cash_Exception_Application[[#This Row],[INSERT DATE]]+1</f>
        <v>45198.257071759261</v>
      </c>
      <c r="H2800" t="str">
        <f>VLOOKUP(qry_ProdData2_PDI_Cash_Exception_Application[[#This Row],[MARKET No]],'Site Allocation'!$B$2:$C$37,2,FALSE)</f>
        <v>Analyst6</v>
      </c>
      <c r="I2800" s="4">
        <f t="shared" ca="1" si="43"/>
        <v>45203</v>
      </c>
      <c r="J2800" s="42">
        <f ca="1">TODAY()-qry_ProdData2_PDI_Cash_Exception_Application[[#This Row],[INSERT DATE]]</f>
        <v>5.7429282407392748</v>
      </c>
      <c r="K28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00">
        <f ca="1">qry_ProdData2_PDI_Cash_Exception_Application[[#This Row],[TODAY]]-qry_ProdData2_PDI_Cash_Exception_Application[[#This Row],[CHANGED ON]]</f>
        <v>4.7429282407392748</v>
      </c>
      <c r="M2800">
        <f ca="1">qry_ProdData2_PDI_Cash_Exception_Application[[#This Row],[TODAY]]-qry_ProdData2_PDI_Cash_Exception_Application[[#This Row],[CHANGED ON]]</f>
        <v>4.7429282407392748</v>
      </c>
      <c r="N2800">
        <f ca="1">qry_ProdData2_PDI_Cash_Exception_Application[[#This Row],[TODAY]]-qry_ProdData2_PDI_Cash_Exception_Application[[#This Row],[CHANGED ON]]</f>
        <v>4.7429282407392748</v>
      </c>
    </row>
    <row r="2801" spans="1:14" x14ac:dyDescent="0.35">
      <c r="A2801">
        <v>1017</v>
      </c>
      <c r="B2801" t="s">
        <v>71</v>
      </c>
      <c r="C2801" s="1">
        <v>45196.257071759261</v>
      </c>
      <c r="D2801" t="str">
        <f ca="1">VLOOKUP(qry_ProdData2_PDI_Cash_Exception_Application[[#This Row],[TYPE]],#REF!,2,FALSE)</f>
        <v>type40</v>
      </c>
      <c r="E2801">
        <v>1992.24</v>
      </c>
      <c r="G2801" s="1">
        <f>qry_ProdData2_PDI_Cash_Exception_Application[[#This Row],[INSERT DATE]]+2</f>
        <v>45198.257071759261</v>
      </c>
      <c r="H2801" t="str">
        <f>VLOOKUP(qry_ProdData2_PDI_Cash_Exception_Application[[#This Row],[MARKET No]],'Site Allocation'!$B$2:$C$37,2,FALSE)</f>
        <v>Analyst3</v>
      </c>
      <c r="I2801" s="4">
        <f t="shared" ca="1" si="43"/>
        <v>45203</v>
      </c>
      <c r="J2801" s="42">
        <f ca="1">TODAY()-qry_ProdData2_PDI_Cash_Exception_Application[[#This Row],[INSERT DATE]]</f>
        <v>6.7429282407392748</v>
      </c>
      <c r="K28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01">
        <f ca="1">qry_ProdData2_PDI_Cash_Exception_Application[[#This Row],[TODAY]]-qry_ProdData2_PDI_Cash_Exception_Application[[#This Row],[CHANGED ON]]</f>
        <v>4.7429282407392748</v>
      </c>
      <c r="M2801">
        <f ca="1">qry_ProdData2_PDI_Cash_Exception_Application[[#This Row],[TODAY]]-qry_ProdData2_PDI_Cash_Exception_Application[[#This Row],[CHANGED ON]]</f>
        <v>4.7429282407392748</v>
      </c>
      <c r="N2801">
        <f ca="1">qry_ProdData2_PDI_Cash_Exception_Application[[#This Row],[TODAY]]-qry_ProdData2_PDI_Cash_Exception_Application[[#This Row],[CHANGED ON]]</f>
        <v>4.7429282407392748</v>
      </c>
    </row>
    <row r="2802" spans="1:14" x14ac:dyDescent="0.35">
      <c r="A2802">
        <v>1016</v>
      </c>
      <c r="B2802" t="s">
        <v>70</v>
      </c>
      <c r="C2802" s="1">
        <v>45194.257071759261</v>
      </c>
      <c r="D2802" t="str">
        <f ca="1">VLOOKUP(qry_ProdData2_PDI_Cash_Exception_Application[[#This Row],[TYPE]],#REF!,2,FALSE)</f>
        <v>type13</v>
      </c>
      <c r="E2802">
        <v>27674.91</v>
      </c>
      <c r="F2802" t="s">
        <v>50</v>
      </c>
      <c r="G2802" s="1">
        <f>qry_ProdData2_PDI_Cash_Exception_Application[[#This Row],[INSERT DATE]]+1</f>
        <v>45195.257071759261</v>
      </c>
      <c r="H2802" t="str">
        <f>VLOOKUP(qry_ProdData2_PDI_Cash_Exception_Application[[#This Row],[MARKET No]],'Site Allocation'!$B$2:$C$37,2,FALSE)</f>
        <v>Analyst3</v>
      </c>
      <c r="I2802" s="4">
        <f t="shared" ca="1" si="43"/>
        <v>45203</v>
      </c>
      <c r="J2802" s="42">
        <f ca="1">TODAY()-qry_ProdData2_PDI_Cash_Exception_Application[[#This Row],[INSERT DATE]]</f>
        <v>8.7429282407392748</v>
      </c>
      <c r="K28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02">
        <f ca="1">qry_ProdData2_PDI_Cash_Exception_Application[[#This Row],[TODAY]]-qry_ProdData2_PDI_Cash_Exception_Application[[#This Row],[CHANGED ON]]</f>
        <v>7.7429282407392748</v>
      </c>
      <c r="M2802">
        <f ca="1">qry_ProdData2_PDI_Cash_Exception_Application[[#This Row],[TODAY]]-qry_ProdData2_PDI_Cash_Exception_Application[[#This Row],[CHANGED ON]]</f>
        <v>7.7429282407392748</v>
      </c>
      <c r="N2802">
        <f ca="1">qry_ProdData2_PDI_Cash_Exception_Application[[#This Row],[TODAY]]-qry_ProdData2_PDI_Cash_Exception_Application[[#This Row],[CHANGED ON]]</f>
        <v>7.7429282407392748</v>
      </c>
    </row>
    <row r="2803" spans="1:14" x14ac:dyDescent="0.35">
      <c r="A2803">
        <v>1031</v>
      </c>
      <c r="B2803" t="s">
        <v>85</v>
      </c>
      <c r="C2803" s="1">
        <v>45190.257071759261</v>
      </c>
      <c r="D2803" t="str">
        <f ca="1">VLOOKUP(qry_ProdData2_PDI_Cash_Exception_Application[[#This Row],[TYPE]],#REF!,2,FALSE)</f>
        <v>type40</v>
      </c>
      <c r="E2803">
        <v>-425.81</v>
      </c>
      <c r="F2803" t="s">
        <v>48</v>
      </c>
      <c r="G2803" s="1">
        <f>qry_ProdData2_PDI_Cash_Exception_Application[[#This Row],[INSERT DATE]]+5</f>
        <v>45195.257071759261</v>
      </c>
      <c r="H2803" t="str">
        <f>VLOOKUP(qry_ProdData2_PDI_Cash_Exception_Application[[#This Row],[MARKET No]],'Site Allocation'!$B$2:$C$37,2,FALSE)</f>
        <v>Analyst6</v>
      </c>
      <c r="I2803" s="4">
        <f t="shared" ca="1" si="43"/>
        <v>45203</v>
      </c>
      <c r="J2803" s="42">
        <f ca="1">TODAY()-qry_ProdData2_PDI_Cash_Exception_Application[[#This Row],[INSERT DATE]]</f>
        <v>12.742928240739275</v>
      </c>
      <c r="K28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03">
        <f ca="1">qry_ProdData2_PDI_Cash_Exception_Application[[#This Row],[TODAY]]-qry_ProdData2_PDI_Cash_Exception_Application[[#This Row],[CHANGED ON]]</f>
        <v>7.7429282407392748</v>
      </c>
      <c r="M2803">
        <f ca="1">qry_ProdData2_PDI_Cash_Exception_Application[[#This Row],[TODAY]]-qry_ProdData2_PDI_Cash_Exception_Application[[#This Row],[CHANGED ON]]</f>
        <v>7.7429282407392748</v>
      </c>
      <c r="N2803">
        <f ca="1">qry_ProdData2_PDI_Cash_Exception_Application[[#This Row],[TODAY]]-qry_ProdData2_PDI_Cash_Exception_Application[[#This Row],[CHANGED ON]]</f>
        <v>7.7429282407392748</v>
      </c>
    </row>
    <row r="2804" spans="1:14" x14ac:dyDescent="0.35">
      <c r="A2804">
        <v>1031</v>
      </c>
      <c r="B2804" t="s">
        <v>85</v>
      </c>
      <c r="C2804" s="1">
        <v>45191.257071759261</v>
      </c>
      <c r="D2804" t="str">
        <f ca="1">VLOOKUP(qry_ProdData2_PDI_Cash_Exception_Application[[#This Row],[TYPE]],#REF!,2,FALSE)</f>
        <v>type40</v>
      </c>
      <c r="E2804">
        <v>355.89</v>
      </c>
      <c r="F2804" t="s">
        <v>48</v>
      </c>
      <c r="G2804" s="1">
        <f>qry_ProdData2_PDI_Cash_Exception_Application[[#This Row],[INSERT DATE]]+5</f>
        <v>45196.257071759261</v>
      </c>
      <c r="H2804" t="str">
        <f>VLOOKUP(qry_ProdData2_PDI_Cash_Exception_Application[[#This Row],[MARKET No]],'Site Allocation'!$B$2:$C$37,2,FALSE)</f>
        <v>Analyst6</v>
      </c>
      <c r="I2804" s="4">
        <f t="shared" ca="1" si="43"/>
        <v>45203</v>
      </c>
      <c r="J2804" s="42">
        <f ca="1">TODAY()-qry_ProdData2_PDI_Cash_Exception_Application[[#This Row],[INSERT DATE]]</f>
        <v>11.742928240739275</v>
      </c>
      <c r="K28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04">
        <f ca="1">qry_ProdData2_PDI_Cash_Exception_Application[[#This Row],[TODAY]]-qry_ProdData2_PDI_Cash_Exception_Application[[#This Row],[CHANGED ON]]</f>
        <v>6.7429282407392748</v>
      </c>
      <c r="M2804">
        <f ca="1">qry_ProdData2_PDI_Cash_Exception_Application[[#This Row],[TODAY]]-qry_ProdData2_PDI_Cash_Exception_Application[[#This Row],[CHANGED ON]]</f>
        <v>6.7429282407392748</v>
      </c>
      <c r="N2804">
        <f ca="1">qry_ProdData2_PDI_Cash_Exception_Application[[#This Row],[TODAY]]-qry_ProdData2_PDI_Cash_Exception_Application[[#This Row],[CHANGED ON]]</f>
        <v>6.7429282407392748</v>
      </c>
    </row>
    <row r="2805" spans="1:14" x14ac:dyDescent="0.35">
      <c r="A2805">
        <v>1027</v>
      </c>
      <c r="B2805" t="s">
        <v>81</v>
      </c>
      <c r="C2805" s="1">
        <v>45196.257071759261</v>
      </c>
      <c r="D2805" t="str">
        <f ca="1">VLOOKUP(qry_ProdData2_PDI_Cash_Exception_Application[[#This Row],[TYPE]],#REF!,2,FALSE)</f>
        <v>type40</v>
      </c>
      <c r="E2805">
        <v>3009.54</v>
      </c>
      <c r="G2805" s="1">
        <f>qry_ProdData2_PDI_Cash_Exception_Application[[#This Row],[INSERT DATE]]+5</f>
        <v>45201.257071759261</v>
      </c>
      <c r="H2805" t="str">
        <f>VLOOKUP(qry_ProdData2_PDI_Cash_Exception_Application[[#This Row],[MARKET No]],'Site Allocation'!$B$2:$C$37,2,FALSE)</f>
        <v>Analyst5</v>
      </c>
      <c r="I2805" s="4">
        <f t="shared" ca="1" si="43"/>
        <v>45203</v>
      </c>
      <c r="J2805" s="42">
        <f ca="1">TODAY()-qry_ProdData2_PDI_Cash_Exception_Application[[#This Row],[INSERT DATE]]</f>
        <v>6.7429282407392748</v>
      </c>
      <c r="K28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05">
        <f ca="1">qry_ProdData2_PDI_Cash_Exception_Application[[#This Row],[TODAY]]-qry_ProdData2_PDI_Cash_Exception_Application[[#This Row],[CHANGED ON]]</f>
        <v>1.7429282407392748</v>
      </c>
      <c r="M2805">
        <f ca="1">qry_ProdData2_PDI_Cash_Exception_Application[[#This Row],[TODAY]]-qry_ProdData2_PDI_Cash_Exception_Application[[#This Row],[CHANGED ON]]</f>
        <v>1.7429282407392748</v>
      </c>
      <c r="N2805">
        <f ca="1">qry_ProdData2_PDI_Cash_Exception_Application[[#This Row],[TODAY]]-qry_ProdData2_PDI_Cash_Exception_Application[[#This Row],[CHANGED ON]]</f>
        <v>1.7429282407392748</v>
      </c>
    </row>
    <row r="2806" spans="1:14" x14ac:dyDescent="0.35">
      <c r="A2806">
        <v>1027</v>
      </c>
      <c r="B2806" t="s">
        <v>81</v>
      </c>
      <c r="C2806" s="1">
        <v>45196.257071759261</v>
      </c>
      <c r="D2806" t="str">
        <f ca="1">VLOOKUP(qry_ProdData2_PDI_Cash_Exception_Application[[#This Row],[TYPE]],#REF!,2,FALSE)</f>
        <v>type13</v>
      </c>
      <c r="E2806">
        <v>21929.119999999999</v>
      </c>
      <c r="G2806" s="1">
        <f>qry_ProdData2_PDI_Cash_Exception_Application[[#This Row],[INSERT DATE]]+5</f>
        <v>45201.257071759261</v>
      </c>
      <c r="H2806" t="str">
        <f>VLOOKUP(qry_ProdData2_PDI_Cash_Exception_Application[[#This Row],[MARKET No]],'Site Allocation'!$B$2:$C$37,2,FALSE)</f>
        <v>Analyst5</v>
      </c>
      <c r="I2806" s="4">
        <f t="shared" ca="1" si="43"/>
        <v>45203</v>
      </c>
      <c r="J2806" s="42">
        <f ca="1">TODAY()-qry_ProdData2_PDI_Cash_Exception_Application[[#This Row],[INSERT DATE]]</f>
        <v>6.7429282407392748</v>
      </c>
      <c r="K28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06">
        <f ca="1">qry_ProdData2_PDI_Cash_Exception_Application[[#This Row],[TODAY]]-qry_ProdData2_PDI_Cash_Exception_Application[[#This Row],[CHANGED ON]]</f>
        <v>1.7429282407392748</v>
      </c>
      <c r="M2806">
        <f ca="1">qry_ProdData2_PDI_Cash_Exception_Application[[#This Row],[TODAY]]-qry_ProdData2_PDI_Cash_Exception_Application[[#This Row],[CHANGED ON]]</f>
        <v>1.7429282407392748</v>
      </c>
      <c r="N2806">
        <f ca="1">qry_ProdData2_PDI_Cash_Exception_Application[[#This Row],[TODAY]]-qry_ProdData2_PDI_Cash_Exception_Application[[#This Row],[CHANGED ON]]</f>
        <v>1.7429282407392748</v>
      </c>
    </row>
    <row r="2807" spans="1:14" x14ac:dyDescent="0.35">
      <c r="A2807">
        <v>1006</v>
      </c>
      <c r="B2807" t="s">
        <v>60</v>
      </c>
      <c r="C2807" s="1">
        <v>45180.257071759261</v>
      </c>
      <c r="D2807" t="str">
        <f ca="1">VLOOKUP(qry_ProdData2_PDI_Cash_Exception_Application[[#This Row],[TYPE]],#REF!,2,FALSE)</f>
        <v>type13</v>
      </c>
      <c r="E2807">
        <v>29047.93</v>
      </c>
      <c r="F2807" t="s">
        <v>50</v>
      </c>
      <c r="G2807" s="1">
        <f>qry_ProdData2_PDI_Cash_Exception_Application[[#This Row],[INSERT DATE]]+1</f>
        <v>45181.257071759261</v>
      </c>
      <c r="H2807" t="str">
        <f>VLOOKUP(qry_ProdData2_PDI_Cash_Exception_Application[[#This Row],[MARKET No]],'Site Allocation'!$B$2:$C$37,2,FALSE)</f>
        <v>Analyst2</v>
      </c>
      <c r="I2807" s="4">
        <f t="shared" ca="1" si="43"/>
        <v>45203</v>
      </c>
      <c r="J2807" s="42">
        <f ca="1">TODAY()-qry_ProdData2_PDI_Cash_Exception_Application[[#This Row],[INSERT DATE]]</f>
        <v>22.742928240739275</v>
      </c>
      <c r="K28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07">
        <f ca="1">qry_ProdData2_PDI_Cash_Exception_Application[[#This Row],[TODAY]]-qry_ProdData2_PDI_Cash_Exception_Application[[#This Row],[CHANGED ON]]</f>
        <v>21.742928240739275</v>
      </c>
      <c r="M2807">
        <f ca="1">qry_ProdData2_PDI_Cash_Exception_Application[[#This Row],[TODAY]]-qry_ProdData2_PDI_Cash_Exception_Application[[#This Row],[CHANGED ON]]</f>
        <v>21.742928240739275</v>
      </c>
      <c r="N2807">
        <f ca="1">qry_ProdData2_PDI_Cash_Exception_Application[[#This Row],[TODAY]]-qry_ProdData2_PDI_Cash_Exception_Application[[#This Row],[CHANGED ON]]</f>
        <v>21.742928240739275</v>
      </c>
    </row>
    <row r="2808" spans="1:14" x14ac:dyDescent="0.35">
      <c r="A2808">
        <v>1008</v>
      </c>
      <c r="B2808" t="s">
        <v>62</v>
      </c>
      <c r="C2808" s="1">
        <v>45196.257071759261</v>
      </c>
      <c r="D2808" t="str">
        <f ca="1">VLOOKUP(qry_ProdData2_PDI_Cash_Exception_Application[[#This Row],[TYPE]],#REF!,2,FALSE)</f>
        <v>type40</v>
      </c>
      <c r="E2808">
        <v>-526.04</v>
      </c>
      <c r="G2808" s="1">
        <f>qry_ProdData2_PDI_Cash_Exception_Application[[#This Row],[INSERT DATE]]+1</f>
        <v>45197.257071759261</v>
      </c>
      <c r="H2808" t="str">
        <f>VLOOKUP(qry_ProdData2_PDI_Cash_Exception_Application[[#This Row],[MARKET No]],'Site Allocation'!$B$2:$C$37,2,FALSE)</f>
        <v>Analyst2</v>
      </c>
      <c r="I2808" s="4">
        <f t="shared" ca="1" si="43"/>
        <v>45203</v>
      </c>
      <c r="J2808" s="42">
        <f ca="1">TODAY()-qry_ProdData2_PDI_Cash_Exception_Application[[#This Row],[INSERT DATE]]</f>
        <v>6.7429282407392748</v>
      </c>
      <c r="K28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08">
        <f ca="1">qry_ProdData2_PDI_Cash_Exception_Application[[#This Row],[TODAY]]-qry_ProdData2_PDI_Cash_Exception_Application[[#This Row],[CHANGED ON]]</f>
        <v>5.7429282407392748</v>
      </c>
      <c r="M2808">
        <f ca="1">qry_ProdData2_PDI_Cash_Exception_Application[[#This Row],[TODAY]]-qry_ProdData2_PDI_Cash_Exception_Application[[#This Row],[CHANGED ON]]</f>
        <v>5.7429282407392748</v>
      </c>
      <c r="N2808">
        <f ca="1">qry_ProdData2_PDI_Cash_Exception_Application[[#This Row],[TODAY]]-qry_ProdData2_PDI_Cash_Exception_Application[[#This Row],[CHANGED ON]]</f>
        <v>5.7429282407392748</v>
      </c>
    </row>
    <row r="2809" spans="1:14" x14ac:dyDescent="0.35">
      <c r="A2809">
        <v>1002</v>
      </c>
      <c r="B2809" t="s">
        <v>56</v>
      </c>
      <c r="C2809" s="1">
        <v>45197.257071759261</v>
      </c>
      <c r="D2809" t="str">
        <f ca="1">VLOOKUP(qry_ProdData2_PDI_Cash_Exception_Application[[#This Row],[TYPE]],#REF!,2,FALSE)</f>
        <v>type40</v>
      </c>
      <c r="E2809">
        <v>910.42</v>
      </c>
      <c r="G2809" s="1">
        <f>qry_ProdData2_PDI_Cash_Exception_Application[[#This Row],[INSERT DATE]]+2</f>
        <v>45199.257071759261</v>
      </c>
      <c r="H2809" t="str">
        <f>VLOOKUP(qry_ProdData2_PDI_Cash_Exception_Application[[#This Row],[MARKET No]],'Site Allocation'!$B$2:$C$37,2,FALSE)</f>
        <v>Analyst1</v>
      </c>
      <c r="I2809" s="4">
        <f t="shared" ca="1" si="43"/>
        <v>45203</v>
      </c>
      <c r="J2809" s="42">
        <f ca="1">TODAY()-qry_ProdData2_PDI_Cash_Exception_Application[[#This Row],[INSERT DATE]]</f>
        <v>5.7429282407392748</v>
      </c>
      <c r="K28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09">
        <f ca="1">qry_ProdData2_PDI_Cash_Exception_Application[[#This Row],[TODAY]]-qry_ProdData2_PDI_Cash_Exception_Application[[#This Row],[CHANGED ON]]</f>
        <v>3.7429282407392748</v>
      </c>
      <c r="M2809">
        <f ca="1">qry_ProdData2_PDI_Cash_Exception_Application[[#This Row],[TODAY]]-qry_ProdData2_PDI_Cash_Exception_Application[[#This Row],[CHANGED ON]]</f>
        <v>3.7429282407392748</v>
      </c>
      <c r="N2809">
        <f ca="1">qry_ProdData2_PDI_Cash_Exception_Application[[#This Row],[TODAY]]-qry_ProdData2_PDI_Cash_Exception_Application[[#This Row],[CHANGED ON]]</f>
        <v>3.7429282407392748</v>
      </c>
    </row>
    <row r="2810" spans="1:14" x14ac:dyDescent="0.35">
      <c r="A2810">
        <v>1013</v>
      </c>
      <c r="B2810" t="s">
        <v>67</v>
      </c>
      <c r="C2810" s="1">
        <v>45182.257071759261</v>
      </c>
      <c r="D2810" t="str">
        <f ca="1">VLOOKUP(qry_ProdData2_PDI_Cash_Exception_Application[[#This Row],[TYPE]],#REF!,2,FALSE)</f>
        <v>type13</v>
      </c>
      <c r="E2810">
        <v>26710</v>
      </c>
      <c r="F2810" t="s">
        <v>50</v>
      </c>
      <c r="G2810" s="1">
        <f>qry_ProdData2_PDI_Cash_Exception_Application[[#This Row],[INSERT DATE]]+1</f>
        <v>45183.257071759261</v>
      </c>
      <c r="H2810" t="str">
        <f>VLOOKUP(qry_ProdData2_PDI_Cash_Exception_Application[[#This Row],[MARKET No]],'Site Allocation'!$B$2:$C$37,2,FALSE)</f>
        <v>Analyst3</v>
      </c>
      <c r="I2810" s="4">
        <f t="shared" ca="1" si="43"/>
        <v>45203</v>
      </c>
      <c r="J2810" s="42">
        <f ca="1">TODAY()-qry_ProdData2_PDI_Cash_Exception_Application[[#This Row],[INSERT DATE]]</f>
        <v>20.742928240739275</v>
      </c>
      <c r="K28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10">
        <f ca="1">qry_ProdData2_PDI_Cash_Exception_Application[[#This Row],[TODAY]]-qry_ProdData2_PDI_Cash_Exception_Application[[#This Row],[CHANGED ON]]</f>
        <v>19.742928240739275</v>
      </c>
      <c r="M2810">
        <f ca="1">qry_ProdData2_PDI_Cash_Exception_Application[[#This Row],[TODAY]]-qry_ProdData2_PDI_Cash_Exception_Application[[#This Row],[CHANGED ON]]</f>
        <v>19.742928240739275</v>
      </c>
      <c r="N2810">
        <f ca="1">qry_ProdData2_PDI_Cash_Exception_Application[[#This Row],[TODAY]]-qry_ProdData2_PDI_Cash_Exception_Application[[#This Row],[CHANGED ON]]</f>
        <v>19.742928240739275</v>
      </c>
    </row>
    <row r="2811" spans="1:14" x14ac:dyDescent="0.35">
      <c r="A2811">
        <v>1024</v>
      </c>
      <c r="B2811" t="s">
        <v>78</v>
      </c>
      <c r="C2811" s="1">
        <v>45183.257071759261</v>
      </c>
      <c r="D2811" t="str">
        <f ca="1">VLOOKUP(qry_ProdData2_PDI_Cash_Exception_Application[[#This Row],[TYPE]],#REF!,2,FALSE)</f>
        <v>type7</v>
      </c>
      <c r="E2811">
        <v>-1286.3900000000001</v>
      </c>
      <c r="F2811" t="s">
        <v>50</v>
      </c>
      <c r="G2811" s="1">
        <f>qry_ProdData2_PDI_Cash_Exception_Application[[#This Row],[INSERT DATE]]+1</f>
        <v>45184.257071759261</v>
      </c>
      <c r="H2811" t="str">
        <f>VLOOKUP(qry_ProdData2_PDI_Cash_Exception_Application[[#This Row],[MARKET No]],'Site Allocation'!$B$2:$C$37,2,FALSE)</f>
        <v>Analyst5</v>
      </c>
      <c r="I2811" s="4">
        <f t="shared" ca="1" si="43"/>
        <v>45203</v>
      </c>
      <c r="J2811" s="42">
        <f ca="1">TODAY()-qry_ProdData2_PDI_Cash_Exception_Application[[#This Row],[INSERT DATE]]</f>
        <v>19.742928240739275</v>
      </c>
      <c r="K28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11">
        <f ca="1">qry_ProdData2_PDI_Cash_Exception_Application[[#This Row],[TODAY]]-qry_ProdData2_PDI_Cash_Exception_Application[[#This Row],[CHANGED ON]]</f>
        <v>18.742928240739275</v>
      </c>
      <c r="M2811">
        <f ca="1">qry_ProdData2_PDI_Cash_Exception_Application[[#This Row],[TODAY]]-qry_ProdData2_PDI_Cash_Exception_Application[[#This Row],[CHANGED ON]]</f>
        <v>18.742928240739275</v>
      </c>
      <c r="N2811">
        <f ca="1">qry_ProdData2_PDI_Cash_Exception_Application[[#This Row],[TODAY]]-qry_ProdData2_PDI_Cash_Exception_Application[[#This Row],[CHANGED ON]]</f>
        <v>18.742928240739275</v>
      </c>
    </row>
    <row r="2812" spans="1:14" x14ac:dyDescent="0.35">
      <c r="A2812">
        <v>1017</v>
      </c>
      <c r="B2812" t="s">
        <v>71</v>
      </c>
      <c r="C2812" s="1">
        <v>45183.257071759261</v>
      </c>
      <c r="D2812" t="str">
        <f ca="1">VLOOKUP(qry_ProdData2_PDI_Cash_Exception_Application[[#This Row],[TYPE]],#REF!,2,FALSE)</f>
        <v>type13</v>
      </c>
      <c r="E2812">
        <v>26621.17</v>
      </c>
      <c r="F2812" t="s">
        <v>52</v>
      </c>
      <c r="G2812" s="1">
        <f>qry_ProdData2_PDI_Cash_Exception_Application[[#This Row],[INSERT DATE]]+1</f>
        <v>45184.257071759261</v>
      </c>
      <c r="H2812" t="str">
        <f>VLOOKUP(qry_ProdData2_PDI_Cash_Exception_Application[[#This Row],[MARKET No]],'Site Allocation'!$B$2:$C$37,2,FALSE)</f>
        <v>Analyst3</v>
      </c>
      <c r="I2812" s="4">
        <f t="shared" ca="1" si="43"/>
        <v>45203</v>
      </c>
      <c r="J2812" s="42">
        <f ca="1">TODAY()-qry_ProdData2_PDI_Cash_Exception_Application[[#This Row],[INSERT DATE]]</f>
        <v>19.742928240739275</v>
      </c>
      <c r="K28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12">
        <f ca="1">qry_ProdData2_PDI_Cash_Exception_Application[[#This Row],[TODAY]]-qry_ProdData2_PDI_Cash_Exception_Application[[#This Row],[CHANGED ON]]</f>
        <v>18.742928240739275</v>
      </c>
      <c r="M2812">
        <f ca="1">qry_ProdData2_PDI_Cash_Exception_Application[[#This Row],[TODAY]]-qry_ProdData2_PDI_Cash_Exception_Application[[#This Row],[CHANGED ON]]</f>
        <v>18.742928240739275</v>
      </c>
      <c r="N2812">
        <f ca="1">qry_ProdData2_PDI_Cash_Exception_Application[[#This Row],[TODAY]]-qry_ProdData2_PDI_Cash_Exception_Application[[#This Row],[CHANGED ON]]</f>
        <v>18.742928240739275</v>
      </c>
    </row>
    <row r="2813" spans="1:14" x14ac:dyDescent="0.35">
      <c r="A2813">
        <v>1014</v>
      </c>
      <c r="B2813" t="s">
        <v>68</v>
      </c>
      <c r="C2813" s="1">
        <v>45197.257071759261</v>
      </c>
      <c r="D2813" t="str">
        <f ca="1">VLOOKUP(qry_ProdData2_PDI_Cash_Exception_Application[[#This Row],[TYPE]],#REF!,2,FALSE)</f>
        <v>type40</v>
      </c>
      <c r="E2813">
        <v>545.87</v>
      </c>
      <c r="G2813" s="1">
        <f>qry_ProdData2_PDI_Cash_Exception_Application[[#This Row],[INSERT DATE]]+7</f>
        <v>45204.257071759261</v>
      </c>
      <c r="H2813" t="str">
        <f>VLOOKUP(qry_ProdData2_PDI_Cash_Exception_Application[[#This Row],[MARKET No]],'Site Allocation'!$B$2:$C$37,2,FALSE)</f>
        <v>Analyst3</v>
      </c>
      <c r="I2813" s="4">
        <f t="shared" ca="1" si="43"/>
        <v>45203</v>
      </c>
      <c r="J2813" s="42">
        <f ca="1">TODAY()-qry_ProdData2_PDI_Cash_Exception_Application[[#This Row],[INSERT DATE]]</f>
        <v>5.7429282407392748</v>
      </c>
      <c r="K28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13">
        <f ca="1">qry_ProdData2_PDI_Cash_Exception_Application[[#This Row],[TODAY]]-qry_ProdData2_PDI_Cash_Exception_Application[[#This Row],[CHANGED ON]]</f>
        <v>-1.2570717592607252</v>
      </c>
      <c r="M2813">
        <f ca="1">qry_ProdData2_PDI_Cash_Exception_Application[[#This Row],[TODAY]]-qry_ProdData2_PDI_Cash_Exception_Application[[#This Row],[CHANGED ON]]</f>
        <v>-1.2570717592607252</v>
      </c>
      <c r="N2813">
        <f ca="1">qry_ProdData2_PDI_Cash_Exception_Application[[#This Row],[TODAY]]-qry_ProdData2_PDI_Cash_Exception_Application[[#This Row],[CHANGED ON]]</f>
        <v>-1.2570717592607252</v>
      </c>
    </row>
    <row r="2814" spans="1:14" x14ac:dyDescent="0.35">
      <c r="A2814">
        <v>1032</v>
      </c>
      <c r="B2814" t="s">
        <v>86</v>
      </c>
      <c r="C2814" s="1">
        <v>45184.257071759261</v>
      </c>
      <c r="D2814" t="str">
        <f ca="1">VLOOKUP(qry_ProdData2_PDI_Cash_Exception_Application[[#This Row],[TYPE]],#REF!,2,FALSE)</f>
        <v>type22</v>
      </c>
      <c r="E2814">
        <v>620.84</v>
      </c>
      <c r="F2814" t="s">
        <v>50</v>
      </c>
      <c r="G2814" s="1">
        <f>qry_ProdData2_PDI_Cash_Exception_Application[[#This Row],[INSERT DATE]]+1</f>
        <v>45185.257071759261</v>
      </c>
      <c r="H2814" t="str">
        <f>VLOOKUP(qry_ProdData2_PDI_Cash_Exception_Application[[#This Row],[MARKET No]],'Site Allocation'!$B$2:$C$37,2,FALSE)</f>
        <v>Analyst6</v>
      </c>
      <c r="I2814" s="4">
        <f t="shared" ca="1" si="43"/>
        <v>45203</v>
      </c>
      <c r="J2814" s="42">
        <f ca="1">TODAY()-qry_ProdData2_PDI_Cash_Exception_Application[[#This Row],[INSERT DATE]]</f>
        <v>18.742928240739275</v>
      </c>
      <c r="K28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14">
        <f ca="1">qry_ProdData2_PDI_Cash_Exception_Application[[#This Row],[TODAY]]-qry_ProdData2_PDI_Cash_Exception_Application[[#This Row],[CHANGED ON]]</f>
        <v>17.742928240739275</v>
      </c>
      <c r="M2814">
        <f ca="1">qry_ProdData2_PDI_Cash_Exception_Application[[#This Row],[TODAY]]-qry_ProdData2_PDI_Cash_Exception_Application[[#This Row],[CHANGED ON]]</f>
        <v>17.742928240739275</v>
      </c>
      <c r="N2814">
        <f ca="1">qry_ProdData2_PDI_Cash_Exception_Application[[#This Row],[TODAY]]-qry_ProdData2_PDI_Cash_Exception_Application[[#This Row],[CHANGED ON]]</f>
        <v>17.742928240739275</v>
      </c>
    </row>
    <row r="2815" spans="1:14" x14ac:dyDescent="0.35">
      <c r="A2815">
        <v>1031</v>
      </c>
      <c r="B2815" t="s">
        <v>85</v>
      </c>
      <c r="C2815" s="1">
        <v>45196.257071759261</v>
      </c>
      <c r="D2815" t="str">
        <f ca="1">VLOOKUP(qry_ProdData2_PDI_Cash_Exception_Application[[#This Row],[TYPE]],#REF!,2,FALSE)</f>
        <v>type40</v>
      </c>
      <c r="E2815">
        <v>-973.16</v>
      </c>
      <c r="G2815" s="1">
        <f>qry_ProdData2_PDI_Cash_Exception_Application[[#This Row],[INSERT DATE]]+1</f>
        <v>45197.257071759261</v>
      </c>
      <c r="H2815" t="str">
        <f>VLOOKUP(qry_ProdData2_PDI_Cash_Exception_Application[[#This Row],[MARKET No]],'Site Allocation'!$B$2:$C$37,2,FALSE)</f>
        <v>Analyst6</v>
      </c>
      <c r="I2815" s="4">
        <f t="shared" ca="1" si="43"/>
        <v>45203</v>
      </c>
      <c r="J2815" s="42">
        <f ca="1">TODAY()-qry_ProdData2_PDI_Cash_Exception_Application[[#This Row],[INSERT DATE]]</f>
        <v>6.7429282407392748</v>
      </c>
      <c r="K28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15">
        <f ca="1">qry_ProdData2_PDI_Cash_Exception_Application[[#This Row],[TODAY]]-qry_ProdData2_PDI_Cash_Exception_Application[[#This Row],[CHANGED ON]]</f>
        <v>5.7429282407392748</v>
      </c>
      <c r="M2815">
        <f ca="1">qry_ProdData2_PDI_Cash_Exception_Application[[#This Row],[TODAY]]-qry_ProdData2_PDI_Cash_Exception_Application[[#This Row],[CHANGED ON]]</f>
        <v>5.7429282407392748</v>
      </c>
      <c r="N2815">
        <f ca="1">qry_ProdData2_PDI_Cash_Exception_Application[[#This Row],[TODAY]]-qry_ProdData2_PDI_Cash_Exception_Application[[#This Row],[CHANGED ON]]</f>
        <v>5.7429282407392748</v>
      </c>
    </row>
    <row r="2816" spans="1:14" x14ac:dyDescent="0.35">
      <c r="A2816">
        <v>1012</v>
      </c>
      <c r="B2816" t="s">
        <v>66</v>
      </c>
      <c r="C2816" s="1">
        <v>45185.257071759261</v>
      </c>
      <c r="D2816" t="str">
        <f ca="1">VLOOKUP(qry_ProdData2_PDI_Cash_Exception_Application[[#This Row],[TYPE]],#REF!,2,FALSE)</f>
        <v>type40</v>
      </c>
      <c r="E2816">
        <v>-648.82000000000005</v>
      </c>
      <c r="F2816" t="s">
        <v>50</v>
      </c>
      <c r="G2816" s="1">
        <f>qry_ProdData2_PDI_Cash_Exception_Application[[#This Row],[INSERT DATE]]+1</f>
        <v>45186.257071759261</v>
      </c>
      <c r="H2816" t="str">
        <f>VLOOKUP(qry_ProdData2_PDI_Cash_Exception_Application[[#This Row],[MARKET No]],'Site Allocation'!$B$2:$C$37,2,FALSE)</f>
        <v>Analyst3</v>
      </c>
      <c r="I2816" s="4">
        <f t="shared" ca="1" si="43"/>
        <v>45203</v>
      </c>
      <c r="J2816" s="42">
        <f ca="1">TODAY()-qry_ProdData2_PDI_Cash_Exception_Application[[#This Row],[INSERT DATE]]</f>
        <v>17.742928240739275</v>
      </c>
      <c r="K28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16">
        <f ca="1">qry_ProdData2_PDI_Cash_Exception_Application[[#This Row],[TODAY]]-qry_ProdData2_PDI_Cash_Exception_Application[[#This Row],[CHANGED ON]]</f>
        <v>16.742928240739275</v>
      </c>
      <c r="M2816">
        <f ca="1">qry_ProdData2_PDI_Cash_Exception_Application[[#This Row],[TODAY]]-qry_ProdData2_PDI_Cash_Exception_Application[[#This Row],[CHANGED ON]]</f>
        <v>16.742928240739275</v>
      </c>
      <c r="N2816">
        <f ca="1">qry_ProdData2_PDI_Cash_Exception_Application[[#This Row],[TODAY]]-qry_ProdData2_PDI_Cash_Exception_Application[[#This Row],[CHANGED ON]]</f>
        <v>16.742928240739275</v>
      </c>
    </row>
    <row r="2817" spans="1:14" x14ac:dyDescent="0.35">
      <c r="A2817">
        <v>1032</v>
      </c>
      <c r="B2817" t="s">
        <v>86</v>
      </c>
      <c r="C2817" s="1">
        <v>45186.257071759261</v>
      </c>
      <c r="D2817" t="str">
        <f ca="1">VLOOKUP(qry_ProdData2_PDI_Cash_Exception_Application[[#This Row],[TYPE]],#REF!,2,FALSE)</f>
        <v>type40</v>
      </c>
      <c r="E2817">
        <v>-1653</v>
      </c>
      <c r="F2817" t="s">
        <v>52</v>
      </c>
      <c r="G2817" s="1">
        <f>qry_ProdData2_PDI_Cash_Exception_Application[[#This Row],[INSERT DATE]]+1</f>
        <v>45187.257071759261</v>
      </c>
      <c r="H2817" t="str">
        <f>VLOOKUP(qry_ProdData2_PDI_Cash_Exception_Application[[#This Row],[MARKET No]],'Site Allocation'!$B$2:$C$37,2,FALSE)</f>
        <v>Analyst6</v>
      </c>
      <c r="I2817" s="4">
        <f t="shared" ca="1" si="43"/>
        <v>45203</v>
      </c>
      <c r="J2817" s="42">
        <f ca="1">TODAY()-qry_ProdData2_PDI_Cash_Exception_Application[[#This Row],[INSERT DATE]]</f>
        <v>16.742928240739275</v>
      </c>
      <c r="K28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17">
        <f ca="1">qry_ProdData2_PDI_Cash_Exception_Application[[#This Row],[TODAY]]-qry_ProdData2_PDI_Cash_Exception_Application[[#This Row],[CHANGED ON]]</f>
        <v>15.742928240739275</v>
      </c>
      <c r="M2817">
        <f ca="1">qry_ProdData2_PDI_Cash_Exception_Application[[#This Row],[TODAY]]-qry_ProdData2_PDI_Cash_Exception_Application[[#This Row],[CHANGED ON]]</f>
        <v>15.742928240739275</v>
      </c>
      <c r="N2817">
        <f ca="1">qry_ProdData2_PDI_Cash_Exception_Application[[#This Row],[TODAY]]-qry_ProdData2_PDI_Cash_Exception_Application[[#This Row],[CHANGED ON]]</f>
        <v>15.742928240739275</v>
      </c>
    </row>
    <row r="2818" spans="1:14" x14ac:dyDescent="0.35">
      <c r="A2818">
        <v>1020</v>
      </c>
      <c r="B2818" t="s">
        <v>74</v>
      </c>
      <c r="C2818" s="1">
        <v>45187.257071759261</v>
      </c>
      <c r="D2818" t="str">
        <f ca="1">VLOOKUP(qry_ProdData2_PDI_Cash_Exception_Application[[#This Row],[TYPE]],#REF!,2,FALSE)</f>
        <v>type35</v>
      </c>
      <c r="E2818">
        <v>334.42</v>
      </c>
      <c r="F2818" t="s">
        <v>52</v>
      </c>
      <c r="G2818" s="1">
        <f>qry_ProdData2_PDI_Cash_Exception_Application[[#This Row],[INSERT DATE]]+1</f>
        <v>45188.257071759261</v>
      </c>
      <c r="H2818" t="str">
        <f>VLOOKUP(qry_ProdData2_PDI_Cash_Exception_Application[[#This Row],[MARKET No]],'Site Allocation'!$B$2:$C$37,2,FALSE)</f>
        <v>Analyst4</v>
      </c>
      <c r="I2818" s="4">
        <f t="shared" ref="I2818:I2881" ca="1" si="44">TODAY()</f>
        <v>45203</v>
      </c>
      <c r="J2818" s="42">
        <f ca="1">TODAY()-qry_ProdData2_PDI_Cash_Exception_Application[[#This Row],[INSERT DATE]]</f>
        <v>15.742928240739275</v>
      </c>
      <c r="K28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18">
        <f ca="1">qry_ProdData2_PDI_Cash_Exception_Application[[#This Row],[TODAY]]-qry_ProdData2_PDI_Cash_Exception_Application[[#This Row],[CHANGED ON]]</f>
        <v>14.742928240739275</v>
      </c>
      <c r="M2818">
        <f ca="1">qry_ProdData2_PDI_Cash_Exception_Application[[#This Row],[TODAY]]-qry_ProdData2_PDI_Cash_Exception_Application[[#This Row],[CHANGED ON]]</f>
        <v>14.742928240739275</v>
      </c>
      <c r="N2818">
        <f ca="1">qry_ProdData2_PDI_Cash_Exception_Application[[#This Row],[TODAY]]-qry_ProdData2_PDI_Cash_Exception_Application[[#This Row],[CHANGED ON]]</f>
        <v>14.742928240739275</v>
      </c>
    </row>
    <row r="2819" spans="1:14" x14ac:dyDescent="0.35">
      <c r="A2819">
        <v>1002</v>
      </c>
      <c r="B2819" t="s">
        <v>56</v>
      </c>
      <c r="C2819" s="1">
        <v>45196.257071759261</v>
      </c>
      <c r="D2819" t="str">
        <f ca="1">VLOOKUP(qry_ProdData2_PDI_Cash_Exception_Application[[#This Row],[TYPE]],#REF!,2,FALSE)</f>
        <v>type40</v>
      </c>
      <c r="E2819">
        <v>-10492.36</v>
      </c>
      <c r="F2819" t="s">
        <v>49</v>
      </c>
      <c r="G2819" s="1">
        <f>qry_ProdData2_PDI_Cash_Exception_Application[[#This Row],[INSERT DATE]]+5</f>
        <v>45201.257071759261</v>
      </c>
      <c r="H2819" t="str">
        <f>VLOOKUP(qry_ProdData2_PDI_Cash_Exception_Application[[#This Row],[MARKET No]],'Site Allocation'!$B$2:$C$37,2,FALSE)</f>
        <v>Analyst1</v>
      </c>
      <c r="I2819" s="4">
        <f t="shared" ca="1" si="44"/>
        <v>45203</v>
      </c>
      <c r="J2819" s="42">
        <f ca="1">TODAY()-qry_ProdData2_PDI_Cash_Exception_Application[[#This Row],[INSERT DATE]]</f>
        <v>6.7429282407392748</v>
      </c>
      <c r="K28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19">
        <f ca="1">qry_ProdData2_PDI_Cash_Exception_Application[[#This Row],[TODAY]]-qry_ProdData2_PDI_Cash_Exception_Application[[#This Row],[CHANGED ON]]</f>
        <v>1.7429282407392748</v>
      </c>
      <c r="M2819">
        <f ca="1">qry_ProdData2_PDI_Cash_Exception_Application[[#This Row],[TODAY]]-qry_ProdData2_PDI_Cash_Exception_Application[[#This Row],[CHANGED ON]]</f>
        <v>1.7429282407392748</v>
      </c>
      <c r="N2819">
        <f ca="1">qry_ProdData2_PDI_Cash_Exception_Application[[#This Row],[TODAY]]-qry_ProdData2_PDI_Cash_Exception_Application[[#This Row],[CHANGED ON]]</f>
        <v>1.7429282407392748</v>
      </c>
    </row>
    <row r="2820" spans="1:14" x14ac:dyDescent="0.35">
      <c r="A2820">
        <v>1019</v>
      </c>
      <c r="B2820" t="s">
        <v>73</v>
      </c>
      <c r="C2820" s="1">
        <v>45196.257071759261</v>
      </c>
      <c r="D2820" t="str">
        <f ca="1">VLOOKUP(qry_ProdData2_PDI_Cash_Exception_Application[[#This Row],[TYPE]],#REF!,2,FALSE)</f>
        <v>type40</v>
      </c>
      <c r="E2820">
        <v>2361.91</v>
      </c>
      <c r="F2820" t="s">
        <v>47</v>
      </c>
      <c r="G2820" s="1">
        <f>qry_ProdData2_PDI_Cash_Exception_Application[[#This Row],[INSERT DATE]]+5</f>
        <v>45201.257071759261</v>
      </c>
      <c r="H2820" t="str">
        <f>VLOOKUP(qry_ProdData2_PDI_Cash_Exception_Application[[#This Row],[MARKET No]],'Site Allocation'!$B$2:$C$37,2,FALSE)</f>
        <v>Analyst4</v>
      </c>
      <c r="I2820" s="4">
        <f t="shared" ca="1" si="44"/>
        <v>45203</v>
      </c>
      <c r="J2820" s="42">
        <f ca="1">TODAY()-qry_ProdData2_PDI_Cash_Exception_Application[[#This Row],[INSERT DATE]]</f>
        <v>6.7429282407392748</v>
      </c>
      <c r="K28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20">
        <f ca="1">qry_ProdData2_PDI_Cash_Exception_Application[[#This Row],[TODAY]]-qry_ProdData2_PDI_Cash_Exception_Application[[#This Row],[CHANGED ON]]</f>
        <v>1.7429282407392748</v>
      </c>
      <c r="M2820">
        <f ca="1">qry_ProdData2_PDI_Cash_Exception_Application[[#This Row],[TODAY]]-qry_ProdData2_PDI_Cash_Exception_Application[[#This Row],[CHANGED ON]]</f>
        <v>1.7429282407392748</v>
      </c>
      <c r="N2820">
        <f ca="1">qry_ProdData2_PDI_Cash_Exception_Application[[#This Row],[TODAY]]-qry_ProdData2_PDI_Cash_Exception_Application[[#This Row],[CHANGED ON]]</f>
        <v>1.7429282407392748</v>
      </c>
    </row>
    <row r="2821" spans="1:14" x14ac:dyDescent="0.35">
      <c r="A2821">
        <v>1030</v>
      </c>
      <c r="B2821" t="s">
        <v>84</v>
      </c>
      <c r="C2821" s="1">
        <v>45197.257071759261</v>
      </c>
      <c r="D2821" t="str">
        <f ca="1">VLOOKUP(qry_ProdData2_PDI_Cash_Exception_Application[[#This Row],[TYPE]],#REF!,2,FALSE)</f>
        <v>type40</v>
      </c>
      <c r="E2821">
        <v>-2750.29</v>
      </c>
      <c r="G2821" s="1">
        <f>qry_ProdData2_PDI_Cash_Exception_Application[[#This Row],[INSERT DATE]]+1</f>
        <v>45198.257071759261</v>
      </c>
      <c r="H2821" t="str">
        <f>VLOOKUP(qry_ProdData2_PDI_Cash_Exception_Application[[#This Row],[MARKET No]],'Site Allocation'!$B$2:$C$37,2,FALSE)</f>
        <v>Analyst6</v>
      </c>
      <c r="I2821" s="4">
        <f t="shared" ca="1" si="44"/>
        <v>45203</v>
      </c>
      <c r="J2821" s="42">
        <f ca="1">TODAY()-qry_ProdData2_PDI_Cash_Exception_Application[[#This Row],[INSERT DATE]]</f>
        <v>5.7429282407392748</v>
      </c>
      <c r="K28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21">
        <f ca="1">qry_ProdData2_PDI_Cash_Exception_Application[[#This Row],[TODAY]]-qry_ProdData2_PDI_Cash_Exception_Application[[#This Row],[CHANGED ON]]</f>
        <v>4.7429282407392748</v>
      </c>
      <c r="M2821">
        <f ca="1">qry_ProdData2_PDI_Cash_Exception_Application[[#This Row],[TODAY]]-qry_ProdData2_PDI_Cash_Exception_Application[[#This Row],[CHANGED ON]]</f>
        <v>4.7429282407392748</v>
      </c>
      <c r="N2821">
        <f ca="1">qry_ProdData2_PDI_Cash_Exception_Application[[#This Row],[TODAY]]-qry_ProdData2_PDI_Cash_Exception_Application[[#This Row],[CHANGED ON]]</f>
        <v>4.7429282407392748</v>
      </c>
    </row>
    <row r="2822" spans="1:14" x14ac:dyDescent="0.35">
      <c r="A2822">
        <v>1027</v>
      </c>
      <c r="B2822" t="s">
        <v>81</v>
      </c>
      <c r="C2822" s="1">
        <v>45196.257071759261</v>
      </c>
      <c r="D2822" t="str">
        <f ca="1">VLOOKUP(qry_ProdData2_PDI_Cash_Exception_Application[[#This Row],[TYPE]],#REF!,2,FALSE)</f>
        <v>type40</v>
      </c>
      <c r="E2822">
        <v>363.09</v>
      </c>
      <c r="F2822" t="s">
        <v>47</v>
      </c>
      <c r="G2822" s="1">
        <f>qry_ProdData2_PDI_Cash_Exception_Application[[#This Row],[INSERT DATE]]+5</f>
        <v>45201.257071759261</v>
      </c>
      <c r="H2822" t="str">
        <f>VLOOKUP(qry_ProdData2_PDI_Cash_Exception_Application[[#This Row],[MARKET No]],'Site Allocation'!$B$2:$C$37,2,FALSE)</f>
        <v>Analyst5</v>
      </c>
      <c r="I2822" s="4">
        <f t="shared" ca="1" si="44"/>
        <v>45203</v>
      </c>
      <c r="J2822" s="42">
        <f ca="1">TODAY()-qry_ProdData2_PDI_Cash_Exception_Application[[#This Row],[INSERT DATE]]</f>
        <v>6.7429282407392748</v>
      </c>
      <c r="K28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22">
        <f ca="1">qry_ProdData2_PDI_Cash_Exception_Application[[#This Row],[TODAY]]-qry_ProdData2_PDI_Cash_Exception_Application[[#This Row],[CHANGED ON]]</f>
        <v>1.7429282407392748</v>
      </c>
      <c r="M2822">
        <f ca="1">qry_ProdData2_PDI_Cash_Exception_Application[[#This Row],[TODAY]]-qry_ProdData2_PDI_Cash_Exception_Application[[#This Row],[CHANGED ON]]</f>
        <v>1.7429282407392748</v>
      </c>
      <c r="N2822">
        <f ca="1">qry_ProdData2_PDI_Cash_Exception_Application[[#This Row],[TODAY]]-qry_ProdData2_PDI_Cash_Exception_Application[[#This Row],[CHANGED ON]]</f>
        <v>1.7429282407392748</v>
      </c>
    </row>
    <row r="2823" spans="1:14" x14ac:dyDescent="0.35">
      <c r="A2823">
        <v>1033</v>
      </c>
      <c r="B2823" t="s">
        <v>87</v>
      </c>
      <c r="C2823" s="1">
        <v>45197.257071759261</v>
      </c>
      <c r="D2823" t="str">
        <f ca="1">VLOOKUP(qry_ProdData2_PDI_Cash_Exception_Application[[#This Row],[TYPE]],#REF!,2,FALSE)</f>
        <v>type13</v>
      </c>
      <c r="E2823">
        <v>26117.78</v>
      </c>
      <c r="F2823" t="s">
        <v>49</v>
      </c>
      <c r="G2823" s="1">
        <f>qry_ProdData2_PDI_Cash_Exception_Application[[#This Row],[INSERT DATE]]+2</f>
        <v>45199.257071759261</v>
      </c>
      <c r="H2823" t="str">
        <f>VLOOKUP(qry_ProdData2_PDI_Cash_Exception_Application[[#This Row],[MARKET No]],'Site Allocation'!$B$2:$C$37,2,FALSE)</f>
        <v>Analyst6</v>
      </c>
      <c r="I2823" s="4">
        <f t="shared" ca="1" si="44"/>
        <v>45203</v>
      </c>
      <c r="J2823" s="42">
        <f ca="1">TODAY()-qry_ProdData2_PDI_Cash_Exception_Application[[#This Row],[INSERT DATE]]</f>
        <v>5.7429282407392748</v>
      </c>
      <c r="K28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23">
        <f ca="1">qry_ProdData2_PDI_Cash_Exception_Application[[#This Row],[TODAY]]-qry_ProdData2_PDI_Cash_Exception_Application[[#This Row],[CHANGED ON]]</f>
        <v>3.7429282407392748</v>
      </c>
      <c r="M2823">
        <f ca="1">qry_ProdData2_PDI_Cash_Exception_Application[[#This Row],[TODAY]]-qry_ProdData2_PDI_Cash_Exception_Application[[#This Row],[CHANGED ON]]</f>
        <v>3.7429282407392748</v>
      </c>
      <c r="N2823">
        <f ca="1">qry_ProdData2_PDI_Cash_Exception_Application[[#This Row],[TODAY]]-qry_ProdData2_PDI_Cash_Exception_Application[[#This Row],[CHANGED ON]]</f>
        <v>3.7429282407392748</v>
      </c>
    </row>
    <row r="2824" spans="1:14" x14ac:dyDescent="0.35">
      <c r="A2824">
        <v>1015</v>
      </c>
      <c r="B2824" t="s">
        <v>69</v>
      </c>
      <c r="C2824" s="1">
        <v>45190.257071759261</v>
      </c>
      <c r="D2824" t="str">
        <f ca="1">VLOOKUP(qry_ProdData2_PDI_Cash_Exception_Application[[#This Row],[TYPE]],#REF!,2,FALSE)</f>
        <v>type21</v>
      </c>
      <c r="E2824">
        <v>369.54</v>
      </c>
      <c r="F2824" t="s">
        <v>50</v>
      </c>
      <c r="G2824" s="1">
        <f>qry_ProdData2_PDI_Cash_Exception_Application[[#This Row],[INSERT DATE]]+2</f>
        <v>45192.257071759261</v>
      </c>
      <c r="H2824" t="str">
        <f>VLOOKUP(qry_ProdData2_PDI_Cash_Exception_Application[[#This Row],[MARKET No]],'Site Allocation'!$B$2:$C$37,2,FALSE)</f>
        <v>Analyst3</v>
      </c>
      <c r="I2824" s="4">
        <f t="shared" ca="1" si="44"/>
        <v>45203</v>
      </c>
      <c r="J2824" s="42">
        <f ca="1">TODAY()-qry_ProdData2_PDI_Cash_Exception_Application[[#This Row],[INSERT DATE]]</f>
        <v>12.742928240739275</v>
      </c>
      <c r="K28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24">
        <f ca="1">qry_ProdData2_PDI_Cash_Exception_Application[[#This Row],[TODAY]]-qry_ProdData2_PDI_Cash_Exception_Application[[#This Row],[CHANGED ON]]</f>
        <v>10.742928240739275</v>
      </c>
      <c r="M2824">
        <f ca="1">qry_ProdData2_PDI_Cash_Exception_Application[[#This Row],[TODAY]]-qry_ProdData2_PDI_Cash_Exception_Application[[#This Row],[CHANGED ON]]</f>
        <v>10.742928240739275</v>
      </c>
      <c r="N2824">
        <f ca="1">qry_ProdData2_PDI_Cash_Exception_Application[[#This Row],[TODAY]]-qry_ProdData2_PDI_Cash_Exception_Application[[#This Row],[CHANGED ON]]</f>
        <v>10.742928240739275</v>
      </c>
    </row>
    <row r="2825" spans="1:14" x14ac:dyDescent="0.35">
      <c r="A2825">
        <v>1016</v>
      </c>
      <c r="B2825" t="s">
        <v>70</v>
      </c>
      <c r="C2825" s="1">
        <v>45191.257071759261</v>
      </c>
      <c r="D2825" t="str">
        <f ca="1">VLOOKUP(qry_ProdData2_PDI_Cash_Exception_Application[[#This Row],[TYPE]],#REF!,2,FALSE)</f>
        <v>type40</v>
      </c>
      <c r="E2825">
        <v>2256.3200000000002</v>
      </c>
      <c r="F2825" t="s">
        <v>52</v>
      </c>
      <c r="G2825" s="1">
        <f>qry_ProdData2_PDI_Cash_Exception_Application[[#This Row],[INSERT DATE]]+2</f>
        <v>45193.257071759261</v>
      </c>
      <c r="H2825" t="str">
        <f>VLOOKUP(qry_ProdData2_PDI_Cash_Exception_Application[[#This Row],[MARKET No]],'Site Allocation'!$B$2:$C$37,2,FALSE)</f>
        <v>Analyst3</v>
      </c>
      <c r="I2825" s="4">
        <f t="shared" ca="1" si="44"/>
        <v>45203</v>
      </c>
      <c r="J2825" s="42">
        <f ca="1">TODAY()-qry_ProdData2_PDI_Cash_Exception_Application[[#This Row],[INSERT DATE]]</f>
        <v>11.742928240739275</v>
      </c>
      <c r="K28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25">
        <f ca="1">qry_ProdData2_PDI_Cash_Exception_Application[[#This Row],[TODAY]]-qry_ProdData2_PDI_Cash_Exception_Application[[#This Row],[CHANGED ON]]</f>
        <v>9.7429282407392748</v>
      </c>
      <c r="M2825">
        <f ca="1">qry_ProdData2_PDI_Cash_Exception_Application[[#This Row],[TODAY]]-qry_ProdData2_PDI_Cash_Exception_Application[[#This Row],[CHANGED ON]]</f>
        <v>9.7429282407392748</v>
      </c>
      <c r="N2825">
        <f ca="1">qry_ProdData2_PDI_Cash_Exception_Application[[#This Row],[TODAY]]-qry_ProdData2_PDI_Cash_Exception_Application[[#This Row],[CHANGED ON]]</f>
        <v>9.7429282407392748</v>
      </c>
    </row>
    <row r="2826" spans="1:14" x14ac:dyDescent="0.35">
      <c r="A2826">
        <v>1001</v>
      </c>
      <c r="B2826" t="s">
        <v>55</v>
      </c>
      <c r="C2826" s="1">
        <v>45197.257071759261</v>
      </c>
      <c r="D2826" t="str">
        <f ca="1">VLOOKUP(qry_ProdData2_PDI_Cash_Exception_Application[[#This Row],[TYPE]],#REF!,2,FALSE)</f>
        <v>type13</v>
      </c>
      <c r="E2826">
        <v>32702.92</v>
      </c>
      <c r="G2826" s="1">
        <f>qry_ProdData2_PDI_Cash_Exception_Application[[#This Row],[INSERT DATE]]+7</f>
        <v>45204.257071759261</v>
      </c>
      <c r="H2826" t="str">
        <f>VLOOKUP(qry_ProdData2_PDI_Cash_Exception_Application[[#This Row],[MARKET No]],'Site Allocation'!$B$2:$C$37,2,FALSE)</f>
        <v>Analyst1</v>
      </c>
      <c r="I2826" s="4">
        <f t="shared" ca="1" si="44"/>
        <v>45203</v>
      </c>
      <c r="J2826" s="42">
        <f ca="1">TODAY()-qry_ProdData2_PDI_Cash_Exception_Application[[#This Row],[INSERT DATE]]</f>
        <v>5.7429282407392748</v>
      </c>
      <c r="K28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26">
        <f ca="1">qry_ProdData2_PDI_Cash_Exception_Application[[#This Row],[TODAY]]-qry_ProdData2_PDI_Cash_Exception_Application[[#This Row],[CHANGED ON]]</f>
        <v>-1.2570717592607252</v>
      </c>
      <c r="M2826">
        <f ca="1">qry_ProdData2_PDI_Cash_Exception_Application[[#This Row],[TODAY]]-qry_ProdData2_PDI_Cash_Exception_Application[[#This Row],[CHANGED ON]]</f>
        <v>-1.2570717592607252</v>
      </c>
      <c r="N2826">
        <f ca="1">qry_ProdData2_PDI_Cash_Exception_Application[[#This Row],[TODAY]]-qry_ProdData2_PDI_Cash_Exception_Application[[#This Row],[CHANGED ON]]</f>
        <v>-1.2570717592607252</v>
      </c>
    </row>
    <row r="2827" spans="1:14" x14ac:dyDescent="0.35">
      <c r="A2827">
        <v>1019</v>
      </c>
      <c r="B2827" t="s">
        <v>73</v>
      </c>
      <c r="C2827" s="1">
        <v>45197.257071759261</v>
      </c>
      <c r="D2827" t="str">
        <f ca="1">VLOOKUP(qry_ProdData2_PDI_Cash_Exception_Application[[#This Row],[TYPE]],#REF!,2,FALSE)</f>
        <v>type40</v>
      </c>
      <c r="E2827">
        <v>653.95000000000005</v>
      </c>
      <c r="F2827" t="s">
        <v>47</v>
      </c>
      <c r="G2827" s="1">
        <f>qry_ProdData2_PDI_Cash_Exception_Application[[#This Row],[INSERT DATE]]+2</f>
        <v>45199.257071759261</v>
      </c>
      <c r="H2827" t="str">
        <f>VLOOKUP(qry_ProdData2_PDI_Cash_Exception_Application[[#This Row],[MARKET No]],'Site Allocation'!$B$2:$C$37,2,FALSE)</f>
        <v>Analyst4</v>
      </c>
      <c r="I2827" s="4">
        <f t="shared" ca="1" si="44"/>
        <v>45203</v>
      </c>
      <c r="J2827" s="42">
        <f ca="1">TODAY()-qry_ProdData2_PDI_Cash_Exception_Application[[#This Row],[INSERT DATE]]</f>
        <v>5.7429282407392748</v>
      </c>
      <c r="K28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27">
        <f ca="1">qry_ProdData2_PDI_Cash_Exception_Application[[#This Row],[TODAY]]-qry_ProdData2_PDI_Cash_Exception_Application[[#This Row],[CHANGED ON]]</f>
        <v>3.7429282407392748</v>
      </c>
      <c r="M2827">
        <f ca="1">qry_ProdData2_PDI_Cash_Exception_Application[[#This Row],[TODAY]]-qry_ProdData2_PDI_Cash_Exception_Application[[#This Row],[CHANGED ON]]</f>
        <v>3.7429282407392748</v>
      </c>
      <c r="N2827">
        <f ca="1">qry_ProdData2_PDI_Cash_Exception_Application[[#This Row],[TODAY]]-qry_ProdData2_PDI_Cash_Exception_Application[[#This Row],[CHANGED ON]]</f>
        <v>3.7429282407392748</v>
      </c>
    </row>
    <row r="2828" spans="1:14" x14ac:dyDescent="0.35">
      <c r="A2828">
        <v>1018</v>
      </c>
      <c r="B2828" t="s">
        <v>72</v>
      </c>
      <c r="C2828" s="1">
        <v>45196.257071759261</v>
      </c>
      <c r="D2828" t="str">
        <f ca="1">VLOOKUP(qry_ProdData2_PDI_Cash_Exception_Application[[#This Row],[TYPE]],#REF!,2,FALSE)</f>
        <v>type40</v>
      </c>
      <c r="E2828">
        <v>-327.10000000000002</v>
      </c>
      <c r="F2828" t="s">
        <v>49</v>
      </c>
      <c r="G2828" s="1">
        <f>qry_ProdData2_PDI_Cash_Exception_Application[[#This Row],[INSERT DATE]]+1</f>
        <v>45197.257071759261</v>
      </c>
      <c r="H2828" t="str">
        <f>VLOOKUP(qry_ProdData2_PDI_Cash_Exception_Application[[#This Row],[MARKET No]],'Site Allocation'!$B$2:$C$37,2,FALSE)</f>
        <v>Analyst4</v>
      </c>
      <c r="I2828" s="4">
        <f t="shared" ca="1" si="44"/>
        <v>45203</v>
      </c>
      <c r="J2828" s="42">
        <f ca="1">TODAY()-qry_ProdData2_PDI_Cash_Exception_Application[[#This Row],[INSERT DATE]]</f>
        <v>6.7429282407392748</v>
      </c>
      <c r="K28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28">
        <f ca="1">qry_ProdData2_PDI_Cash_Exception_Application[[#This Row],[TODAY]]-qry_ProdData2_PDI_Cash_Exception_Application[[#This Row],[CHANGED ON]]</f>
        <v>5.7429282407392748</v>
      </c>
      <c r="M2828">
        <f ca="1">qry_ProdData2_PDI_Cash_Exception_Application[[#This Row],[TODAY]]-qry_ProdData2_PDI_Cash_Exception_Application[[#This Row],[CHANGED ON]]</f>
        <v>5.7429282407392748</v>
      </c>
      <c r="N2828">
        <f ca="1">qry_ProdData2_PDI_Cash_Exception_Application[[#This Row],[TODAY]]-qry_ProdData2_PDI_Cash_Exception_Application[[#This Row],[CHANGED ON]]</f>
        <v>5.7429282407392748</v>
      </c>
    </row>
    <row r="2829" spans="1:14" x14ac:dyDescent="0.35">
      <c r="A2829">
        <v>1015</v>
      </c>
      <c r="B2829" t="s">
        <v>69</v>
      </c>
      <c r="C2829" s="1">
        <v>45195.257071759261</v>
      </c>
      <c r="D2829" t="str">
        <f ca="1">VLOOKUP(qry_ProdData2_PDI_Cash_Exception_Application[[#This Row],[TYPE]],#REF!,2,FALSE)</f>
        <v>type40</v>
      </c>
      <c r="E2829">
        <v>407.88</v>
      </c>
      <c r="F2829" t="s">
        <v>52</v>
      </c>
      <c r="G2829" s="1">
        <f>qry_ProdData2_PDI_Cash_Exception_Application[[#This Row],[INSERT DATE]]+2</f>
        <v>45197.257071759261</v>
      </c>
      <c r="H2829" t="str">
        <f>VLOOKUP(qry_ProdData2_PDI_Cash_Exception_Application[[#This Row],[MARKET No]],'Site Allocation'!$B$2:$C$37,2,FALSE)</f>
        <v>Analyst3</v>
      </c>
      <c r="I2829" s="4">
        <f t="shared" ca="1" si="44"/>
        <v>45203</v>
      </c>
      <c r="J2829" s="42">
        <f ca="1">TODAY()-qry_ProdData2_PDI_Cash_Exception_Application[[#This Row],[INSERT DATE]]</f>
        <v>7.7429282407392748</v>
      </c>
      <c r="K28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29">
        <f ca="1">qry_ProdData2_PDI_Cash_Exception_Application[[#This Row],[TODAY]]-qry_ProdData2_PDI_Cash_Exception_Application[[#This Row],[CHANGED ON]]</f>
        <v>5.7429282407392748</v>
      </c>
      <c r="M2829">
        <f ca="1">qry_ProdData2_PDI_Cash_Exception_Application[[#This Row],[TODAY]]-qry_ProdData2_PDI_Cash_Exception_Application[[#This Row],[CHANGED ON]]</f>
        <v>5.7429282407392748</v>
      </c>
      <c r="N2829">
        <f ca="1">qry_ProdData2_PDI_Cash_Exception_Application[[#This Row],[TODAY]]-qry_ProdData2_PDI_Cash_Exception_Application[[#This Row],[CHANGED ON]]</f>
        <v>5.7429282407392748</v>
      </c>
    </row>
    <row r="2830" spans="1:14" x14ac:dyDescent="0.35">
      <c r="A2830">
        <v>1024</v>
      </c>
      <c r="B2830" t="s">
        <v>78</v>
      </c>
      <c r="C2830" s="1">
        <v>45182.257071759261</v>
      </c>
      <c r="D2830" t="str">
        <f ca="1">VLOOKUP(qry_ProdData2_PDI_Cash_Exception_Application[[#This Row],[TYPE]],#REF!,2,FALSE)</f>
        <v>type40</v>
      </c>
      <c r="E2830">
        <v>563.41</v>
      </c>
      <c r="F2830" t="s">
        <v>48</v>
      </c>
      <c r="G2830" s="1">
        <f>qry_ProdData2_PDI_Cash_Exception_Application[[#This Row],[INSERT DATE]]+5</f>
        <v>45187.257071759261</v>
      </c>
      <c r="H2830" t="str">
        <f>VLOOKUP(qry_ProdData2_PDI_Cash_Exception_Application[[#This Row],[MARKET No]],'Site Allocation'!$B$2:$C$37,2,FALSE)</f>
        <v>Analyst5</v>
      </c>
      <c r="I2830" s="4">
        <f t="shared" ca="1" si="44"/>
        <v>45203</v>
      </c>
      <c r="J2830" s="42">
        <f ca="1">TODAY()-qry_ProdData2_PDI_Cash_Exception_Application[[#This Row],[INSERT DATE]]</f>
        <v>20.742928240739275</v>
      </c>
      <c r="K28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30">
        <f ca="1">qry_ProdData2_PDI_Cash_Exception_Application[[#This Row],[TODAY]]-qry_ProdData2_PDI_Cash_Exception_Application[[#This Row],[CHANGED ON]]</f>
        <v>15.742928240739275</v>
      </c>
      <c r="M2830">
        <f ca="1">qry_ProdData2_PDI_Cash_Exception_Application[[#This Row],[TODAY]]-qry_ProdData2_PDI_Cash_Exception_Application[[#This Row],[CHANGED ON]]</f>
        <v>15.742928240739275</v>
      </c>
      <c r="N2830">
        <f ca="1">qry_ProdData2_PDI_Cash_Exception_Application[[#This Row],[TODAY]]-qry_ProdData2_PDI_Cash_Exception_Application[[#This Row],[CHANGED ON]]</f>
        <v>15.742928240739275</v>
      </c>
    </row>
    <row r="2831" spans="1:14" x14ac:dyDescent="0.35">
      <c r="A2831">
        <v>1012</v>
      </c>
      <c r="B2831" t="s">
        <v>66</v>
      </c>
      <c r="C2831" s="1">
        <v>45197.257071759261</v>
      </c>
      <c r="D2831" t="str">
        <f ca="1">VLOOKUP(qry_ProdData2_PDI_Cash_Exception_Application[[#This Row],[TYPE]],#REF!,2,FALSE)</f>
        <v>type13</v>
      </c>
      <c r="E2831">
        <v>31069.23</v>
      </c>
      <c r="F2831" t="s">
        <v>50</v>
      </c>
      <c r="G2831" s="1">
        <f>qry_ProdData2_PDI_Cash_Exception_Application[[#This Row],[INSERT DATE]]+2</f>
        <v>45199.257071759261</v>
      </c>
      <c r="H2831" t="str">
        <f>VLOOKUP(qry_ProdData2_PDI_Cash_Exception_Application[[#This Row],[MARKET No]],'Site Allocation'!$B$2:$C$37,2,FALSE)</f>
        <v>Analyst3</v>
      </c>
      <c r="I2831" s="4">
        <f t="shared" ca="1" si="44"/>
        <v>45203</v>
      </c>
      <c r="J2831" s="42">
        <f ca="1">TODAY()-qry_ProdData2_PDI_Cash_Exception_Application[[#This Row],[INSERT DATE]]</f>
        <v>5.7429282407392748</v>
      </c>
      <c r="K28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31">
        <f ca="1">qry_ProdData2_PDI_Cash_Exception_Application[[#This Row],[TODAY]]-qry_ProdData2_PDI_Cash_Exception_Application[[#This Row],[CHANGED ON]]</f>
        <v>3.7429282407392748</v>
      </c>
      <c r="M2831">
        <f ca="1">qry_ProdData2_PDI_Cash_Exception_Application[[#This Row],[TODAY]]-qry_ProdData2_PDI_Cash_Exception_Application[[#This Row],[CHANGED ON]]</f>
        <v>3.7429282407392748</v>
      </c>
      <c r="N2831">
        <f ca="1">qry_ProdData2_PDI_Cash_Exception_Application[[#This Row],[TODAY]]-qry_ProdData2_PDI_Cash_Exception_Application[[#This Row],[CHANGED ON]]</f>
        <v>3.7429282407392748</v>
      </c>
    </row>
    <row r="2832" spans="1:14" x14ac:dyDescent="0.35">
      <c r="A2832">
        <v>1034</v>
      </c>
      <c r="B2832" t="s">
        <v>88</v>
      </c>
      <c r="C2832" s="1">
        <v>45197.257071759261</v>
      </c>
      <c r="D2832" t="str">
        <f ca="1">VLOOKUP(qry_ProdData2_PDI_Cash_Exception_Application[[#This Row],[TYPE]],#REF!,2,FALSE)</f>
        <v>type40</v>
      </c>
      <c r="E2832">
        <v>-333.49</v>
      </c>
      <c r="F2832" t="s">
        <v>49</v>
      </c>
      <c r="G2832" s="1">
        <f>qry_ProdData2_PDI_Cash_Exception_Application[[#This Row],[INSERT DATE]]+5</f>
        <v>45202.257071759261</v>
      </c>
      <c r="H2832" t="str">
        <f>VLOOKUP(qry_ProdData2_PDI_Cash_Exception_Application[[#This Row],[MARKET No]],'Site Allocation'!$B$2:$C$37,2,FALSE)</f>
        <v>Analyst6</v>
      </c>
      <c r="I2832" s="4">
        <f t="shared" ca="1" si="44"/>
        <v>45203</v>
      </c>
      <c r="J2832" s="42">
        <f ca="1">TODAY()-qry_ProdData2_PDI_Cash_Exception_Application[[#This Row],[INSERT DATE]]</f>
        <v>5.7429282407392748</v>
      </c>
      <c r="K28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32">
        <f ca="1">qry_ProdData2_PDI_Cash_Exception_Application[[#This Row],[TODAY]]-qry_ProdData2_PDI_Cash_Exception_Application[[#This Row],[CHANGED ON]]</f>
        <v>0.74292824073927477</v>
      </c>
      <c r="M2832">
        <f ca="1">qry_ProdData2_PDI_Cash_Exception_Application[[#This Row],[TODAY]]-qry_ProdData2_PDI_Cash_Exception_Application[[#This Row],[CHANGED ON]]</f>
        <v>0.74292824073927477</v>
      </c>
      <c r="N2832">
        <f ca="1">qry_ProdData2_PDI_Cash_Exception_Application[[#This Row],[TODAY]]-qry_ProdData2_PDI_Cash_Exception_Application[[#This Row],[CHANGED ON]]</f>
        <v>0.74292824073927477</v>
      </c>
    </row>
    <row r="2833" spans="1:14" x14ac:dyDescent="0.35">
      <c r="A2833">
        <v>1012</v>
      </c>
      <c r="B2833" t="s">
        <v>66</v>
      </c>
      <c r="C2833" s="1">
        <v>45189.257071759261</v>
      </c>
      <c r="D2833" t="str">
        <f ca="1">VLOOKUP(qry_ProdData2_PDI_Cash_Exception_Application[[#This Row],[TYPE]],#REF!,2,FALSE)</f>
        <v>type17</v>
      </c>
      <c r="E2833">
        <v>309.75</v>
      </c>
      <c r="F2833" t="s">
        <v>48</v>
      </c>
      <c r="G2833" s="1">
        <f>qry_ProdData2_PDI_Cash_Exception_Application[[#This Row],[INSERT DATE]]+7</f>
        <v>45196.257071759261</v>
      </c>
      <c r="H2833" t="str">
        <f>VLOOKUP(qry_ProdData2_PDI_Cash_Exception_Application[[#This Row],[MARKET No]],'Site Allocation'!$B$2:$C$37,2,FALSE)</f>
        <v>Analyst3</v>
      </c>
      <c r="I2833" s="4">
        <f t="shared" ca="1" si="44"/>
        <v>45203</v>
      </c>
      <c r="J2833" s="42">
        <f ca="1">TODAY()-qry_ProdData2_PDI_Cash_Exception_Application[[#This Row],[INSERT DATE]]</f>
        <v>13.742928240739275</v>
      </c>
      <c r="K28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33">
        <f ca="1">qry_ProdData2_PDI_Cash_Exception_Application[[#This Row],[TODAY]]-qry_ProdData2_PDI_Cash_Exception_Application[[#This Row],[CHANGED ON]]</f>
        <v>6.7429282407392748</v>
      </c>
      <c r="M2833">
        <f ca="1">qry_ProdData2_PDI_Cash_Exception_Application[[#This Row],[TODAY]]-qry_ProdData2_PDI_Cash_Exception_Application[[#This Row],[CHANGED ON]]</f>
        <v>6.7429282407392748</v>
      </c>
      <c r="N2833">
        <f ca="1">qry_ProdData2_PDI_Cash_Exception_Application[[#This Row],[TODAY]]-qry_ProdData2_PDI_Cash_Exception_Application[[#This Row],[CHANGED ON]]</f>
        <v>6.7429282407392748</v>
      </c>
    </row>
    <row r="2834" spans="1:14" x14ac:dyDescent="0.35">
      <c r="A2834">
        <v>1028</v>
      </c>
      <c r="B2834" t="s">
        <v>82</v>
      </c>
      <c r="C2834" s="1">
        <v>45196.257071759261</v>
      </c>
      <c r="D2834" t="str">
        <f ca="1">VLOOKUP(qry_ProdData2_PDI_Cash_Exception_Application[[#This Row],[TYPE]],#REF!,2,FALSE)</f>
        <v>type40</v>
      </c>
      <c r="E2834">
        <v>18</v>
      </c>
      <c r="G2834" s="1">
        <f>qry_ProdData2_PDI_Cash_Exception_Application[[#This Row],[INSERT DATE]]+7</f>
        <v>45203.257071759261</v>
      </c>
      <c r="H2834" t="str">
        <f>VLOOKUP(qry_ProdData2_PDI_Cash_Exception_Application[[#This Row],[MARKET No]],'Site Allocation'!$B$2:$C$37,2,FALSE)</f>
        <v>Analyst5</v>
      </c>
      <c r="I2834" s="4">
        <f t="shared" ca="1" si="44"/>
        <v>45203</v>
      </c>
      <c r="J2834" s="42">
        <f ca="1">TODAY()-qry_ProdData2_PDI_Cash_Exception_Application[[#This Row],[INSERT DATE]]</f>
        <v>6.7429282407392748</v>
      </c>
      <c r="K28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34">
        <f ca="1">qry_ProdData2_PDI_Cash_Exception_Application[[#This Row],[TODAY]]-qry_ProdData2_PDI_Cash_Exception_Application[[#This Row],[CHANGED ON]]</f>
        <v>-0.25707175926072523</v>
      </c>
      <c r="M2834">
        <f ca="1">qry_ProdData2_PDI_Cash_Exception_Application[[#This Row],[TODAY]]-qry_ProdData2_PDI_Cash_Exception_Application[[#This Row],[CHANGED ON]]</f>
        <v>-0.25707175926072523</v>
      </c>
      <c r="N2834">
        <f ca="1">qry_ProdData2_PDI_Cash_Exception_Application[[#This Row],[TODAY]]-qry_ProdData2_PDI_Cash_Exception_Application[[#This Row],[CHANGED ON]]</f>
        <v>-0.25707175926072523</v>
      </c>
    </row>
    <row r="2835" spans="1:14" x14ac:dyDescent="0.35">
      <c r="A2835">
        <v>1032</v>
      </c>
      <c r="B2835" t="s">
        <v>86</v>
      </c>
      <c r="C2835" s="1">
        <v>45197.257071759261</v>
      </c>
      <c r="D2835" t="str">
        <f ca="1">VLOOKUP(qry_ProdData2_PDI_Cash_Exception_Application[[#This Row],[TYPE]],#REF!,2,FALSE)</f>
        <v>type38</v>
      </c>
      <c r="E2835">
        <v>201.49</v>
      </c>
      <c r="F2835" t="s">
        <v>49</v>
      </c>
      <c r="G2835" s="1">
        <f>qry_ProdData2_PDI_Cash_Exception_Application[[#This Row],[INSERT DATE]]+7</f>
        <v>45204.257071759261</v>
      </c>
      <c r="H2835" t="str">
        <f>VLOOKUP(qry_ProdData2_PDI_Cash_Exception_Application[[#This Row],[MARKET No]],'Site Allocation'!$B$2:$C$37,2,FALSE)</f>
        <v>Analyst6</v>
      </c>
      <c r="I2835" s="4">
        <f t="shared" ca="1" si="44"/>
        <v>45203</v>
      </c>
      <c r="J2835" s="42">
        <f ca="1">TODAY()-qry_ProdData2_PDI_Cash_Exception_Application[[#This Row],[INSERT DATE]]</f>
        <v>5.7429282407392748</v>
      </c>
      <c r="K28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35">
        <f ca="1">qry_ProdData2_PDI_Cash_Exception_Application[[#This Row],[TODAY]]-qry_ProdData2_PDI_Cash_Exception_Application[[#This Row],[CHANGED ON]]</f>
        <v>-1.2570717592607252</v>
      </c>
      <c r="M2835">
        <f ca="1">qry_ProdData2_PDI_Cash_Exception_Application[[#This Row],[TODAY]]-qry_ProdData2_PDI_Cash_Exception_Application[[#This Row],[CHANGED ON]]</f>
        <v>-1.2570717592607252</v>
      </c>
      <c r="N2835">
        <f ca="1">qry_ProdData2_PDI_Cash_Exception_Application[[#This Row],[TODAY]]-qry_ProdData2_PDI_Cash_Exception_Application[[#This Row],[CHANGED ON]]</f>
        <v>-1.2570717592607252</v>
      </c>
    </row>
    <row r="2836" spans="1:14" x14ac:dyDescent="0.35">
      <c r="A2836">
        <v>1014</v>
      </c>
      <c r="B2836" t="s">
        <v>68</v>
      </c>
      <c r="C2836" s="1">
        <v>45188.257071759261</v>
      </c>
      <c r="D2836" t="str">
        <f ca="1">VLOOKUP(qry_ProdData2_PDI_Cash_Exception_Application[[#This Row],[TYPE]],#REF!,2,FALSE)</f>
        <v>type40</v>
      </c>
      <c r="E2836">
        <v>-2177.5300000000002</v>
      </c>
      <c r="F2836" t="s">
        <v>52</v>
      </c>
      <c r="G2836" s="1">
        <f>qry_ProdData2_PDI_Cash_Exception_Application[[#This Row],[INSERT DATE]]+2</f>
        <v>45190.257071759261</v>
      </c>
      <c r="H2836" t="str">
        <f>VLOOKUP(qry_ProdData2_PDI_Cash_Exception_Application[[#This Row],[MARKET No]],'Site Allocation'!$B$2:$C$37,2,FALSE)</f>
        <v>Analyst3</v>
      </c>
      <c r="I2836" s="4">
        <f t="shared" ca="1" si="44"/>
        <v>45203</v>
      </c>
      <c r="J2836" s="42">
        <f ca="1">TODAY()-qry_ProdData2_PDI_Cash_Exception_Application[[#This Row],[INSERT DATE]]</f>
        <v>14.742928240739275</v>
      </c>
      <c r="K28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36">
        <f ca="1">qry_ProdData2_PDI_Cash_Exception_Application[[#This Row],[TODAY]]-qry_ProdData2_PDI_Cash_Exception_Application[[#This Row],[CHANGED ON]]</f>
        <v>12.742928240739275</v>
      </c>
      <c r="M2836">
        <f ca="1">qry_ProdData2_PDI_Cash_Exception_Application[[#This Row],[TODAY]]-qry_ProdData2_PDI_Cash_Exception_Application[[#This Row],[CHANGED ON]]</f>
        <v>12.742928240739275</v>
      </c>
      <c r="N2836">
        <f ca="1">qry_ProdData2_PDI_Cash_Exception_Application[[#This Row],[TODAY]]-qry_ProdData2_PDI_Cash_Exception_Application[[#This Row],[CHANGED ON]]</f>
        <v>12.742928240739275</v>
      </c>
    </row>
    <row r="2837" spans="1:14" x14ac:dyDescent="0.35">
      <c r="A2837">
        <v>1016</v>
      </c>
      <c r="B2837" t="s">
        <v>70</v>
      </c>
      <c r="C2837" s="1">
        <v>45185.257071759261</v>
      </c>
      <c r="D2837" t="str">
        <f ca="1">VLOOKUP(qry_ProdData2_PDI_Cash_Exception_Application[[#This Row],[TYPE]],#REF!,2,FALSE)</f>
        <v>type13</v>
      </c>
      <c r="E2837">
        <v>15216.01</v>
      </c>
      <c r="F2837" t="s">
        <v>48</v>
      </c>
      <c r="G2837" s="1">
        <f>qry_ProdData2_PDI_Cash_Exception_Application[[#This Row],[INSERT DATE]]+7</f>
        <v>45192.257071759261</v>
      </c>
      <c r="H2837" t="str">
        <f>VLOOKUP(qry_ProdData2_PDI_Cash_Exception_Application[[#This Row],[MARKET No]],'Site Allocation'!$B$2:$C$37,2,FALSE)</f>
        <v>Analyst3</v>
      </c>
      <c r="I2837" s="4">
        <f t="shared" ca="1" si="44"/>
        <v>45203</v>
      </c>
      <c r="J2837" s="42">
        <f ca="1">TODAY()-qry_ProdData2_PDI_Cash_Exception_Application[[#This Row],[INSERT DATE]]</f>
        <v>17.742928240739275</v>
      </c>
      <c r="K28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37">
        <f ca="1">qry_ProdData2_PDI_Cash_Exception_Application[[#This Row],[TODAY]]-qry_ProdData2_PDI_Cash_Exception_Application[[#This Row],[CHANGED ON]]</f>
        <v>10.742928240739275</v>
      </c>
      <c r="M2837">
        <f ca="1">qry_ProdData2_PDI_Cash_Exception_Application[[#This Row],[TODAY]]-qry_ProdData2_PDI_Cash_Exception_Application[[#This Row],[CHANGED ON]]</f>
        <v>10.742928240739275</v>
      </c>
      <c r="N2837">
        <f ca="1">qry_ProdData2_PDI_Cash_Exception_Application[[#This Row],[TODAY]]-qry_ProdData2_PDI_Cash_Exception_Application[[#This Row],[CHANGED ON]]</f>
        <v>10.742928240739275</v>
      </c>
    </row>
    <row r="2838" spans="1:14" x14ac:dyDescent="0.35">
      <c r="A2838">
        <v>1013</v>
      </c>
      <c r="B2838" t="s">
        <v>67</v>
      </c>
      <c r="C2838" s="1">
        <v>45187.257071759261</v>
      </c>
      <c r="D2838" t="str">
        <f ca="1">VLOOKUP(qry_ProdData2_PDI_Cash_Exception_Application[[#This Row],[TYPE]],#REF!,2,FALSE)</f>
        <v>type13</v>
      </c>
      <c r="E2838">
        <v>31439.1</v>
      </c>
      <c r="F2838" t="s">
        <v>48</v>
      </c>
      <c r="G2838" s="1">
        <f>qry_ProdData2_PDI_Cash_Exception_Application[[#This Row],[INSERT DATE]]+7</f>
        <v>45194.257071759261</v>
      </c>
      <c r="H2838" t="str">
        <f>VLOOKUP(qry_ProdData2_PDI_Cash_Exception_Application[[#This Row],[MARKET No]],'Site Allocation'!$B$2:$C$37,2,FALSE)</f>
        <v>Analyst3</v>
      </c>
      <c r="I2838" s="4">
        <f t="shared" ca="1" si="44"/>
        <v>45203</v>
      </c>
      <c r="J2838" s="42">
        <f ca="1">TODAY()-qry_ProdData2_PDI_Cash_Exception_Application[[#This Row],[INSERT DATE]]</f>
        <v>15.742928240739275</v>
      </c>
      <c r="K28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38">
        <f ca="1">qry_ProdData2_PDI_Cash_Exception_Application[[#This Row],[TODAY]]-qry_ProdData2_PDI_Cash_Exception_Application[[#This Row],[CHANGED ON]]</f>
        <v>8.7429282407392748</v>
      </c>
      <c r="M2838">
        <f ca="1">qry_ProdData2_PDI_Cash_Exception_Application[[#This Row],[TODAY]]-qry_ProdData2_PDI_Cash_Exception_Application[[#This Row],[CHANGED ON]]</f>
        <v>8.7429282407392748</v>
      </c>
      <c r="N2838">
        <f ca="1">qry_ProdData2_PDI_Cash_Exception_Application[[#This Row],[TODAY]]-qry_ProdData2_PDI_Cash_Exception_Application[[#This Row],[CHANGED ON]]</f>
        <v>8.7429282407392748</v>
      </c>
    </row>
    <row r="2839" spans="1:14" x14ac:dyDescent="0.35">
      <c r="A2839">
        <v>1004</v>
      </c>
      <c r="B2839" t="s">
        <v>58</v>
      </c>
      <c r="C2839" s="1">
        <v>45190.257071759261</v>
      </c>
      <c r="D2839" t="str">
        <f ca="1">VLOOKUP(qry_ProdData2_PDI_Cash_Exception_Application[[#This Row],[TYPE]],#REF!,2,FALSE)</f>
        <v>type13</v>
      </c>
      <c r="E2839">
        <v>25899</v>
      </c>
      <c r="F2839" t="s">
        <v>52</v>
      </c>
      <c r="G2839" s="1">
        <f>qry_ProdData2_PDI_Cash_Exception_Application[[#This Row],[INSERT DATE]]+2</f>
        <v>45192.257071759261</v>
      </c>
      <c r="H2839" t="str">
        <f>VLOOKUP(qry_ProdData2_PDI_Cash_Exception_Application[[#This Row],[MARKET No]],'Site Allocation'!$B$2:$C$37,2,FALSE)</f>
        <v>Analyst1</v>
      </c>
      <c r="I2839" s="4">
        <f t="shared" ca="1" si="44"/>
        <v>45203</v>
      </c>
      <c r="J2839" s="42">
        <f ca="1">TODAY()-qry_ProdData2_PDI_Cash_Exception_Application[[#This Row],[INSERT DATE]]</f>
        <v>12.742928240739275</v>
      </c>
      <c r="K28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39">
        <f ca="1">qry_ProdData2_PDI_Cash_Exception_Application[[#This Row],[TODAY]]-qry_ProdData2_PDI_Cash_Exception_Application[[#This Row],[CHANGED ON]]</f>
        <v>10.742928240739275</v>
      </c>
      <c r="M2839">
        <f ca="1">qry_ProdData2_PDI_Cash_Exception_Application[[#This Row],[TODAY]]-qry_ProdData2_PDI_Cash_Exception_Application[[#This Row],[CHANGED ON]]</f>
        <v>10.742928240739275</v>
      </c>
      <c r="N2839">
        <f ca="1">qry_ProdData2_PDI_Cash_Exception_Application[[#This Row],[TODAY]]-qry_ProdData2_PDI_Cash_Exception_Application[[#This Row],[CHANGED ON]]</f>
        <v>10.742928240739275</v>
      </c>
    </row>
    <row r="2840" spans="1:14" x14ac:dyDescent="0.35">
      <c r="A2840">
        <v>1031</v>
      </c>
      <c r="B2840" t="s">
        <v>85</v>
      </c>
      <c r="C2840" s="1">
        <v>45187.257071759261</v>
      </c>
      <c r="D2840" t="str">
        <f ca="1">VLOOKUP(qry_ProdData2_PDI_Cash_Exception_Application[[#This Row],[TYPE]],#REF!,2,FALSE)</f>
        <v>type40</v>
      </c>
      <c r="E2840">
        <v>460.88</v>
      </c>
      <c r="F2840" t="s">
        <v>48</v>
      </c>
      <c r="G2840" s="1">
        <f>qry_ProdData2_PDI_Cash_Exception_Application[[#This Row],[INSERT DATE]]+1</f>
        <v>45188.257071759261</v>
      </c>
      <c r="H2840" t="str">
        <f>VLOOKUP(qry_ProdData2_PDI_Cash_Exception_Application[[#This Row],[MARKET No]],'Site Allocation'!$B$2:$C$37,2,FALSE)</f>
        <v>Analyst6</v>
      </c>
      <c r="I2840" s="4">
        <f t="shared" ca="1" si="44"/>
        <v>45203</v>
      </c>
      <c r="J2840" s="42">
        <f ca="1">TODAY()-qry_ProdData2_PDI_Cash_Exception_Application[[#This Row],[INSERT DATE]]</f>
        <v>15.742928240739275</v>
      </c>
      <c r="K28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40">
        <f ca="1">qry_ProdData2_PDI_Cash_Exception_Application[[#This Row],[TODAY]]-qry_ProdData2_PDI_Cash_Exception_Application[[#This Row],[CHANGED ON]]</f>
        <v>14.742928240739275</v>
      </c>
      <c r="M2840">
        <f ca="1">qry_ProdData2_PDI_Cash_Exception_Application[[#This Row],[TODAY]]-qry_ProdData2_PDI_Cash_Exception_Application[[#This Row],[CHANGED ON]]</f>
        <v>14.742928240739275</v>
      </c>
      <c r="N2840">
        <f ca="1">qry_ProdData2_PDI_Cash_Exception_Application[[#This Row],[TODAY]]-qry_ProdData2_PDI_Cash_Exception_Application[[#This Row],[CHANGED ON]]</f>
        <v>14.742928240739275</v>
      </c>
    </row>
    <row r="2841" spans="1:14" x14ac:dyDescent="0.35">
      <c r="A2841">
        <v>1001</v>
      </c>
      <c r="B2841" t="s">
        <v>55</v>
      </c>
      <c r="C2841" s="1">
        <v>45196.257071759261</v>
      </c>
      <c r="D2841" t="str">
        <f ca="1">VLOOKUP(qry_ProdData2_PDI_Cash_Exception_Application[[#This Row],[TYPE]],#REF!,2,FALSE)</f>
        <v>type40</v>
      </c>
      <c r="E2841">
        <v>1042.49</v>
      </c>
      <c r="F2841" t="s">
        <v>47</v>
      </c>
      <c r="G2841" s="1">
        <f>qry_ProdData2_PDI_Cash_Exception_Application[[#This Row],[INSERT DATE]]+7</f>
        <v>45203.257071759261</v>
      </c>
      <c r="H2841" t="str">
        <f>VLOOKUP(qry_ProdData2_PDI_Cash_Exception_Application[[#This Row],[MARKET No]],'Site Allocation'!$B$2:$C$37,2,FALSE)</f>
        <v>Analyst1</v>
      </c>
      <c r="I2841" s="4">
        <f t="shared" ca="1" si="44"/>
        <v>45203</v>
      </c>
      <c r="J2841" s="42">
        <f ca="1">TODAY()-qry_ProdData2_PDI_Cash_Exception_Application[[#This Row],[INSERT DATE]]</f>
        <v>6.7429282407392748</v>
      </c>
      <c r="K28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41">
        <f ca="1">qry_ProdData2_PDI_Cash_Exception_Application[[#This Row],[TODAY]]-qry_ProdData2_PDI_Cash_Exception_Application[[#This Row],[CHANGED ON]]</f>
        <v>-0.25707175926072523</v>
      </c>
      <c r="M2841">
        <f ca="1">qry_ProdData2_PDI_Cash_Exception_Application[[#This Row],[TODAY]]-qry_ProdData2_PDI_Cash_Exception_Application[[#This Row],[CHANGED ON]]</f>
        <v>-0.25707175926072523</v>
      </c>
      <c r="N2841">
        <f ca="1">qry_ProdData2_PDI_Cash_Exception_Application[[#This Row],[TODAY]]-qry_ProdData2_PDI_Cash_Exception_Application[[#This Row],[CHANGED ON]]</f>
        <v>-0.25707175926072523</v>
      </c>
    </row>
    <row r="2842" spans="1:14" x14ac:dyDescent="0.35">
      <c r="A2842">
        <v>1012</v>
      </c>
      <c r="B2842" t="s">
        <v>66</v>
      </c>
      <c r="C2842" s="1">
        <v>45192.257071759261</v>
      </c>
      <c r="D2842" t="str">
        <f ca="1">VLOOKUP(qry_ProdData2_PDI_Cash_Exception_Application[[#This Row],[TYPE]],#REF!,2,FALSE)</f>
        <v>type40</v>
      </c>
      <c r="E2842">
        <v>338.87</v>
      </c>
      <c r="F2842" t="s">
        <v>52</v>
      </c>
      <c r="G2842" s="1">
        <f>qry_ProdData2_PDI_Cash_Exception_Application[[#This Row],[INSERT DATE]]+5</f>
        <v>45197.257071759261</v>
      </c>
      <c r="H2842" t="str">
        <f>VLOOKUP(qry_ProdData2_PDI_Cash_Exception_Application[[#This Row],[MARKET No]],'Site Allocation'!$B$2:$C$37,2,FALSE)</f>
        <v>Analyst3</v>
      </c>
      <c r="I2842" s="4">
        <f t="shared" ca="1" si="44"/>
        <v>45203</v>
      </c>
      <c r="J2842" s="42">
        <f ca="1">TODAY()-qry_ProdData2_PDI_Cash_Exception_Application[[#This Row],[INSERT DATE]]</f>
        <v>10.742928240739275</v>
      </c>
      <c r="K28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42">
        <f ca="1">qry_ProdData2_PDI_Cash_Exception_Application[[#This Row],[TODAY]]-qry_ProdData2_PDI_Cash_Exception_Application[[#This Row],[CHANGED ON]]</f>
        <v>5.7429282407392748</v>
      </c>
      <c r="M2842">
        <f ca="1">qry_ProdData2_PDI_Cash_Exception_Application[[#This Row],[TODAY]]-qry_ProdData2_PDI_Cash_Exception_Application[[#This Row],[CHANGED ON]]</f>
        <v>5.7429282407392748</v>
      </c>
      <c r="N2842">
        <f ca="1">qry_ProdData2_PDI_Cash_Exception_Application[[#This Row],[TODAY]]-qry_ProdData2_PDI_Cash_Exception_Application[[#This Row],[CHANGED ON]]</f>
        <v>5.7429282407392748</v>
      </c>
    </row>
    <row r="2843" spans="1:14" x14ac:dyDescent="0.35">
      <c r="A2843">
        <v>1008</v>
      </c>
      <c r="B2843" t="s">
        <v>62</v>
      </c>
      <c r="C2843" s="1">
        <v>45193.257071759261</v>
      </c>
      <c r="D2843" t="str">
        <f ca="1">VLOOKUP(qry_ProdData2_PDI_Cash_Exception_Application[[#This Row],[TYPE]],#REF!,2,FALSE)</f>
        <v>type7</v>
      </c>
      <c r="E2843">
        <v>1266.3900000000001</v>
      </c>
      <c r="F2843" t="s">
        <v>50</v>
      </c>
      <c r="G2843" s="1">
        <f>qry_ProdData2_PDI_Cash_Exception_Application[[#This Row],[INSERT DATE]]+5</f>
        <v>45198.257071759261</v>
      </c>
      <c r="H2843" t="str">
        <f>VLOOKUP(qry_ProdData2_PDI_Cash_Exception_Application[[#This Row],[MARKET No]],'Site Allocation'!$B$2:$C$37,2,FALSE)</f>
        <v>Analyst2</v>
      </c>
      <c r="I2843" s="4">
        <f t="shared" ca="1" si="44"/>
        <v>45203</v>
      </c>
      <c r="J2843" s="42">
        <f ca="1">TODAY()-qry_ProdData2_PDI_Cash_Exception_Application[[#This Row],[INSERT DATE]]</f>
        <v>9.7429282407392748</v>
      </c>
      <c r="K28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43">
        <f ca="1">qry_ProdData2_PDI_Cash_Exception_Application[[#This Row],[TODAY]]-qry_ProdData2_PDI_Cash_Exception_Application[[#This Row],[CHANGED ON]]</f>
        <v>4.7429282407392748</v>
      </c>
      <c r="M2843">
        <f ca="1">qry_ProdData2_PDI_Cash_Exception_Application[[#This Row],[TODAY]]-qry_ProdData2_PDI_Cash_Exception_Application[[#This Row],[CHANGED ON]]</f>
        <v>4.7429282407392748</v>
      </c>
      <c r="N2843">
        <f ca="1">qry_ProdData2_PDI_Cash_Exception_Application[[#This Row],[TODAY]]-qry_ProdData2_PDI_Cash_Exception_Application[[#This Row],[CHANGED ON]]</f>
        <v>4.7429282407392748</v>
      </c>
    </row>
    <row r="2844" spans="1:14" x14ac:dyDescent="0.35">
      <c r="A2844">
        <v>1015</v>
      </c>
      <c r="B2844" t="s">
        <v>69</v>
      </c>
      <c r="C2844" s="1">
        <v>45197.257071759261</v>
      </c>
      <c r="D2844" t="str">
        <f ca="1">VLOOKUP(qry_ProdData2_PDI_Cash_Exception_Application[[#This Row],[TYPE]],#REF!,2,FALSE)</f>
        <v>type40</v>
      </c>
      <c r="E2844">
        <v>570.94000000000005</v>
      </c>
      <c r="G2844" s="1">
        <f>qry_ProdData2_PDI_Cash_Exception_Application[[#This Row],[INSERT DATE]]+2</f>
        <v>45199.257071759261</v>
      </c>
      <c r="H2844" t="str">
        <f>VLOOKUP(qry_ProdData2_PDI_Cash_Exception_Application[[#This Row],[MARKET No]],'Site Allocation'!$B$2:$C$37,2,FALSE)</f>
        <v>Analyst3</v>
      </c>
      <c r="I2844" s="4">
        <f t="shared" ca="1" si="44"/>
        <v>45203</v>
      </c>
      <c r="J2844" s="42">
        <f ca="1">TODAY()-qry_ProdData2_PDI_Cash_Exception_Application[[#This Row],[INSERT DATE]]</f>
        <v>5.7429282407392748</v>
      </c>
      <c r="K28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44">
        <f ca="1">qry_ProdData2_PDI_Cash_Exception_Application[[#This Row],[TODAY]]-qry_ProdData2_PDI_Cash_Exception_Application[[#This Row],[CHANGED ON]]</f>
        <v>3.7429282407392748</v>
      </c>
      <c r="M2844">
        <f ca="1">qry_ProdData2_PDI_Cash_Exception_Application[[#This Row],[TODAY]]-qry_ProdData2_PDI_Cash_Exception_Application[[#This Row],[CHANGED ON]]</f>
        <v>3.7429282407392748</v>
      </c>
      <c r="N2844">
        <f ca="1">qry_ProdData2_PDI_Cash_Exception_Application[[#This Row],[TODAY]]-qry_ProdData2_PDI_Cash_Exception_Application[[#This Row],[CHANGED ON]]</f>
        <v>3.7429282407392748</v>
      </c>
    </row>
    <row r="2845" spans="1:14" x14ac:dyDescent="0.35">
      <c r="A2845">
        <v>1032</v>
      </c>
      <c r="B2845" t="s">
        <v>86</v>
      </c>
      <c r="C2845" s="1">
        <v>45195.257071759261</v>
      </c>
      <c r="D2845" t="str">
        <f ca="1">VLOOKUP(qry_ProdData2_PDI_Cash_Exception_Application[[#This Row],[TYPE]],#REF!,2,FALSE)</f>
        <v>type17</v>
      </c>
      <c r="E2845">
        <v>499.79</v>
      </c>
      <c r="F2845" t="s">
        <v>52</v>
      </c>
      <c r="G2845" s="1">
        <f>qry_ProdData2_PDI_Cash_Exception_Application[[#This Row],[INSERT DATE]]+5</f>
        <v>45200.257071759261</v>
      </c>
      <c r="H2845" t="str">
        <f>VLOOKUP(qry_ProdData2_PDI_Cash_Exception_Application[[#This Row],[MARKET No]],'Site Allocation'!$B$2:$C$37,2,FALSE)</f>
        <v>Analyst6</v>
      </c>
      <c r="I2845" s="4">
        <f t="shared" ca="1" si="44"/>
        <v>45203</v>
      </c>
      <c r="J2845" s="42">
        <f ca="1">TODAY()-qry_ProdData2_PDI_Cash_Exception_Application[[#This Row],[INSERT DATE]]</f>
        <v>7.7429282407392748</v>
      </c>
      <c r="K28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45">
        <f ca="1">qry_ProdData2_PDI_Cash_Exception_Application[[#This Row],[TODAY]]-qry_ProdData2_PDI_Cash_Exception_Application[[#This Row],[CHANGED ON]]</f>
        <v>2.7429282407392748</v>
      </c>
      <c r="M2845">
        <f ca="1">qry_ProdData2_PDI_Cash_Exception_Application[[#This Row],[TODAY]]-qry_ProdData2_PDI_Cash_Exception_Application[[#This Row],[CHANGED ON]]</f>
        <v>2.7429282407392748</v>
      </c>
      <c r="N2845">
        <f ca="1">qry_ProdData2_PDI_Cash_Exception_Application[[#This Row],[TODAY]]-qry_ProdData2_PDI_Cash_Exception_Application[[#This Row],[CHANGED ON]]</f>
        <v>2.7429282407392748</v>
      </c>
    </row>
    <row r="2846" spans="1:14" x14ac:dyDescent="0.35">
      <c r="A2846">
        <v>1005</v>
      </c>
      <c r="B2846" t="s">
        <v>59</v>
      </c>
      <c r="C2846" s="1">
        <v>45196.257071759261</v>
      </c>
      <c r="D2846" t="str">
        <f ca="1">VLOOKUP(qry_ProdData2_PDI_Cash_Exception_Application[[#This Row],[TYPE]],#REF!,2,FALSE)</f>
        <v>type26</v>
      </c>
      <c r="E2846">
        <v>585.27</v>
      </c>
      <c r="F2846" t="s">
        <v>50</v>
      </c>
      <c r="G2846" s="1">
        <f>qry_ProdData2_PDI_Cash_Exception_Application[[#This Row],[INSERT DATE]]+5</f>
        <v>45201.257071759261</v>
      </c>
      <c r="H2846" t="str">
        <f>VLOOKUP(qry_ProdData2_PDI_Cash_Exception_Application[[#This Row],[MARKET No]],'Site Allocation'!$B$2:$C$37,2,FALSE)</f>
        <v>Analyst1</v>
      </c>
      <c r="I2846" s="4">
        <f t="shared" ca="1" si="44"/>
        <v>45203</v>
      </c>
      <c r="J2846" s="42">
        <f ca="1">TODAY()-qry_ProdData2_PDI_Cash_Exception_Application[[#This Row],[INSERT DATE]]</f>
        <v>6.7429282407392748</v>
      </c>
      <c r="K28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46">
        <f ca="1">qry_ProdData2_PDI_Cash_Exception_Application[[#This Row],[TODAY]]-qry_ProdData2_PDI_Cash_Exception_Application[[#This Row],[CHANGED ON]]</f>
        <v>1.7429282407392748</v>
      </c>
      <c r="M2846">
        <f ca="1">qry_ProdData2_PDI_Cash_Exception_Application[[#This Row],[TODAY]]-qry_ProdData2_PDI_Cash_Exception_Application[[#This Row],[CHANGED ON]]</f>
        <v>1.7429282407392748</v>
      </c>
      <c r="N2846">
        <f ca="1">qry_ProdData2_PDI_Cash_Exception_Application[[#This Row],[TODAY]]-qry_ProdData2_PDI_Cash_Exception_Application[[#This Row],[CHANGED ON]]</f>
        <v>1.7429282407392748</v>
      </c>
    </row>
    <row r="2847" spans="1:14" x14ac:dyDescent="0.35">
      <c r="A2847">
        <v>1015</v>
      </c>
      <c r="B2847" t="s">
        <v>69</v>
      </c>
      <c r="C2847" s="1">
        <v>45197.257071759261</v>
      </c>
      <c r="D2847" t="str">
        <f ca="1">VLOOKUP(qry_ProdData2_PDI_Cash_Exception_Application[[#This Row],[TYPE]],#REF!,2,FALSE)</f>
        <v>type17</v>
      </c>
      <c r="E2847">
        <v>673.37</v>
      </c>
      <c r="F2847" t="s">
        <v>52</v>
      </c>
      <c r="G2847" s="1">
        <f>qry_ProdData2_PDI_Cash_Exception_Application[[#This Row],[INSERT DATE]]+5</f>
        <v>45202.257071759261</v>
      </c>
      <c r="H2847" t="str">
        <f>VLOOKUP(qry_ProdData2_PDI_Cash_Exception_Application[[#This Row],[MARKET No]],'Site Allocation'!$B$2:$C$37,2,FALSE)</f>
        <v>Analyst3</v>
      </c>
      <c r="I2847" s="4">
        <f t="shared" ca="1" si="44"/>
        <v>45203</v>
      </c>
      <c r="J2847" s="42">
        <f ca="1">TODAY()-qry_ProdData2_PDI_Cash_Exception_Application[[#This Row],[INSERT DATE]]</f>
        <v>5.7429282407392748</v>
      </c>
      <c r="K28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47">
        <f ca="1">qry_ProdData2_PDI_Cash_Exception_Application[[#This Row],[TODAY]]-qry_ProdData2_PDI_Cash_Exception_Application[[#This Row],[CHANGED ON]]</f>
        <v>0.74292824073927477</v>
      </c>
      <c r="M2847">
        <f ca="1">qry_ProdData2_PDI_Cash_Exception_Application[[#This Row],[TODAY]]-qry_ProdData2_PDI_Cash_Exception_Application[[#This Row],[CHANGED ON]]</f>
        <v>0.74292824073927477</v>
      </c>
      <c r="N2847">
        <f ca="1">qry_ProdData2_PDI_Cash_Exception_Application[[#This Row],[TODAY]]-qry_ProdData2_PDI_Cash_Exception_Application[[#This Row],[CHANGED ON]]</f>
        <v>0.74292824073927477</v>
      </c>
    </row>
    <row r="2848" spans="1:14" x14ac:dyDescent="0.35">
      <c r="A2848">
        <v>1004</v>
      </c>
      <c r="B2848" t="s">
        <v>58</v>
      </c>
      <c r="C2848" s="1">
        <v>45179.257071759261</v>
      </c>
      <c r="D2848" t="str">
        <f ca="1">VLOOKUP(qry_ProdData2_PDI_Cash_Exception_Application[[#This Row],[TYPE]],#REF!,2,FALSE)</f>
        <v>type2</v>
      </c>
      <c r="E2848">
        <v>1071</v>
      </c>
      <c r="F2848" t="s">
        <v>52</v>
      </c>
      <c r="G2848" s="1">
        <f>qry_ProdData2_PDI_Cash_Exception_Application[[#This Row],[INSERT DATE]]+5</f>
        <v>45184.257071759261</v>
      </c>
      <c r="H2848" t="str">
        <f>VLOOKUP(qry_ProdData2_PDI_Cash_Exception_Application[[#This Row],[MARKET No]],'Site Allocation'!$B$2:$C$37,2,FALSE)</f>
        <v>Analyst1</v>
      </c>
      <c r="I2848" s="4">
        <f t="shared" ca="1" si="44"/>
        <v>45203</v>
      </c>
      <c r="J2848" s="42">
        <f ca="1">TODAY()-qry_ProdData2_PDI_Cash_Exception_Application[[#This Row],[INSERT DATE]]</f>
        <v>23.742928240739275</v>
      </c>
      <c r="K28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48">
        <f ca="1">qry_ProdData2_PDI_Cash_Exception_Application[[#This Row],[TODAY]]-qry_ProdData2_PDI_Cash_Exception_Application[[#This Row],[CHANGED ON]]</f>
        <v>18.742928240739275</v>
      </c>
      <c r="M2848">
        <f ca="1">qry_ProdData2_PDI_Cash_Exception_Application[[#This Row],[TODAY]]-qry_ProdData2_PDI_Cash_Exception_Application[[#This Row],[CHANGED ON]]</f>
        <v>18.742928240739275</v>
      </c>
      <c r="N2848">
        <f ca="1">qry_ProdData2_PDI_Cash_Exception_Application[[#This Row],[TODAY]]-qry_ProdData2_PDI_Cash_Exception_Application[[#This Row],[CHANGED ON]]</f>
        <v>18.742928240739275</v>
      </c>
    </row>
    <row r="2849" spans="1:14" x14ac:dyDescent="0.35">
      <c r="A2849">
        <v>1000</v>
      </c>
      <c r="B2849" t="s">
        <v>54</v>
      </c>
      <c r="C2849" s="1">
        <v>45181.257071759261</v>
      </c>
      <c r="D2849" t="str">
        <f ca="1">VLOOKUP(qry_ProdData2_PDI_Cash_Exception_Application[[#This Row],[TYPE]],#REF!,2,FALSE)</f>
        <v>type7</v>
      </c>
      <c r="E2849">
        <v>1155.57</v>
      </c>
      <c r="F2849" t="s">
        <v>48</v>
      </c>
      <c r="G2849" s="1">
        <f>qry_ProdData2_PDI_Cash_Exception_Application[[#This Row],[INSERT DATE]]+1</f>
        <v>45182.257071759261</v>
      </c>
      <c r="H2849" t="str">
        <f>VLOOKUP(qry_ProdData2_PDI_Cash_Exception_Application[[#This Row],[MARKET No]],'Site Allocation'!$B$2:$C$37,2,FALSE)</f>
        <v>Analyst1</v>
      </c>
      <c r="I2849" s="4">
        <f t="shared" ca="1" si="44"/>
        <v>45203</v>
      </c>
      <c r="J2849" s="42">
        <f ca="1">TODAY()-qry_ProdData2_PDI_Cash_Exception_Application[[#This Row],[INSERT DATE]]</f>
        <v>21.742928240739275</v>
      </c>
      <c r="K28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49">
        <f ca="1">qry_ProdData2_PDI_Cash_Exception_Application[[#This Row],[TODAY]]-qry_ProdData2_PDI_Cash_Exception_Application[[#This Row],[CHANGED ON]]</f>
        <v>20.742928240739275</v>
      </c>
      <c r="M2849">
        <f ca="1">qry_ProdData2_PDI_Cash_Exception_Application[[#This Row],[TODAY]]-qry_ProdData2_PDI_Cash_Exception_Application[[#This Row],[CHANGED ON]]</f>
        <v>20.742928240739275</v>
      </c>
      <c r="N2849">
        <f ca="1">qry_ProdData2_PDI_Cash_Exception_Application[[#This Row],[TODAY]]-qry_ProdData2_PDI_Cash_Exception_Application[[#This Row],[CHANGED ON]]</f>
        <v>20.742928240739275</v>
      </c>
    </row>
    <row r="2850" spans="1:14" x14ac:dyDescent="0.35">
      <c r="A2850">
        <v>1022</v>
      </c>
      <c r="B2850" t="s">
        <v>76</v>
      </c>
      <c r="C2850" s="1">
        <v>45196.257071759261</v>
      </c>
      <c r="D2850" t="str">
        <f ca="1">VLOOKUP(qry_ProdData2_PDI_Cash_Exception_Application[[#This Row],[TYPE]],#REF!,2,FALSE)</f>
        <v>type40</v>
      </c>
      <c r="E2850">
        <v>4471.76</v>
      </c>
      <c r="F2850" t="s">
        <v>49</v>
      </c>
      <c r="G2850" s="1">
        <f>qry_ProdData2_PDI_Cash_Exception_Application[[#This Row],[INSERT DATE]]+1</f>
        <v>45197.257071759261</v>
      </c>
      <c r="H2850" t="str">
        <f>VLOOKUP(qry_ProdData2_PDI_Cash_Exception_Application[[#This Row],[MARKET No]],'Site Allocation'!$B$2:$C$37,2,FALSE)</f>
        <v>Analyst4</v>
      </c>
      <c r="I2850" s="4">
        <f t="shared" ca="1" si="44"/>
        <v>45203</v>
      </c>
      <c r="J2850" s="42">
        <f ca="1">TODAY()-qry_ProdData2_PDI_Cash_Exception_Application[[#This Row],[INSERT DATE]]</f>
        <v>6.7429282407392748</v>
      </c>
      <c r="K28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50">
        <f ca="1">qry_ProdData2_PDI_Cash_Exception_Application[[#This Row],[TODAY]]-qry_ProdData2_PDI_Cash_Exception_Application[[#This Row],[CHANGED ON]]</f>
        <v>5.7429282407392748</v>
      </c>
      <c r="M2850">
        <f ca="1">qry_ProdData2_PDI_Cash_Exception_Application[[#This Row],[TODAY]]-qry_ProdData2_PDI_Cash_Exception_Application[[#This Row],[CHANGED ON]]</f>
        <v>5.7429282407392748</v>
      </c>
      <c r="N2850">
        <f ca="1">qry_ProdData2_PDI_Cash_Exception_Application[[#This Row],[TODAY]]-qry_ProdData2_PDI_Cash_Exception_Application[[#This Row],[CHANGED ON]]</f>
        <v>5.7429282407392748</v>
      </c>
    </row>
    <row r="2851" spans="1:14" x14ac:dyDescent="0.35">
      <c r="A2851">
        <v>1026</v>
      </c>
      <c r="B2851" t="s">
        <v>80</v>
      </c>
      <c r="C2851" s="1">
        <v>45182.257071759261</v>
      </c>
      <c r="D2851" t="str">
        <f ca="1">VLOOKUP(qry_ProdData2_PDI_Cash_Exception_Application[[#This Row],[TYPE]],#REF!,2,FALSE)</f>
        <v>type10</v>
      </c>
      <c r="E2851">
        <v>86</v>
      </c>
      <c r="F2851" t="s">
        <v>52</v>
      </c>
      <c r="G2851" s="1">
        <f>qry_ProdData2_PDI_Cash_Exception_Application[[#This Row],[INSERT DATE]]+7</f>
        <v>45189.257071759261</v>
      </c>
      <c r="H2851" t="str">
        <f>VLOOKUP(qry_ProdData2_PDI_Cash_Exception_Application[[#This Row],[MARKET No]],'Site Allocation'!$B$2:$C$37,2,FALSE)</f>
        <v>Analyst5</v>
      </c>
      <c r="I2851" s="4">
        <f t="shared" ca="1" si="44"/>
        <v>45203</v>
      </c>
      <c r="J2851" s="42">
        <f ca="1">TODAY()-qry_ProdData2_PDI_Cash_Exception_Application[[#This Row],[INSERT DATE]]</f>
        <v>20.742928240739275</v>
      </c>
      <c r="K28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51">
        <f ca="1">qry_ProdData2_PDI_Cash_Exception_Application[[#This Row],[TODAY]]-qry_ProdData2_PDI_Cash_Exception_Application[[#This Row],[CHANGED ON]]</f>
        <v>13.742928240739275</v>
      </c>
      <c r="M2851">
        <f ca="1">qry_ProdData2_PDI_Cash_Exception_Application[[#This Row],[TODAY]]-qry_ProdData2_PDI_Cash_Exception_Application[[#This Row],[CHANGED ON]]</f>
        <v>13.742928240739275</v>
      </c>
      <c r="N2851">
        <f ca="1">qry_ProdData2_PDI_Cash_Exception_Application[[#This Row],[TODAY]]-qry_ProdData2_PDI_Cash_Exception_Application[[#This Row],[CHANGED ON]]</f>
        <v>13.742928240739275</v>
      </c>
    </row>
    <row r="2852" spans="1:14" x14ac:dyDescent="0.35">
      <c r="A2852">
        <v>1016</v>
      </c>
      <c r="B2852" t="s">
        <v>70</v>
      </c>
      <c r="C2852" s="1">
        <v>45182.257071759261</v>
      </c>
      <c r="D2852" t="str">
        <f ca="1">VLOOKUP(qry_ProdData2_PDI_Cash_Exception_Application[[#This Row],[TYPE]],#REF!,2,FALSE)</f>
        <v>type40</v>
      </c>
      <c r="E2852">
        <v>10</v>
      </c>
      <c r="F2852" t="s">
        <v>52</v>
      </c>
      <c r="G2852" s="1">
        <f>qry_ProdData2_PDI_Cash_Exception_Application[[#This Row],[INSERT DATE]]+7</f>
        <v>45189.257071759261</v>
      </c>
      <c r="H2852" t="str">
        <f>VLOOKUP(qry_ProdData2_PDI_Cash_Exception_Application[[#This Row],[MARKET No]],'Site Allocation'!$B$2:$C$37,2,FALSE)</f>
        <v>Analyst3</v>
      </c>
      <c r="I2852" s="4">
        <f t="shared" ca="1" si="44"/>
        <v>45203</v>
      </c>
      <c r="J2852" s="42">
        <f ca="1">TODAY()-qry_ProdData2_PDI_Cash_Exception_Application[[#This Row],[INSERT DATE]]</f>
        <v>20.742928240739275</v>
      </c>
      <c r="K28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52">
        <f ca="1">qry_ProdData2_PDI_Cash_Exception_Application[[#This Row],[TODAY]]-qry_ProdData2_PDI_Cash_Exception_Application[[#This Row],[CHANGED ON]]</f>
        <v>13.742928240739275</v>
      </c>
      <c r="M2852">
        <f ca="1">qry_ProdData2_PDI_Cash_Exception_Application[[#This Row],[TODAY]]-qry_ProdData2_PDI_Cash_Exception_Application[[#This Row],[CHANGED ON]]</f>
        <v>13.742928240739275</v>
      </c>
      <c r="N2852">
        <f ca="1">qry_ProdData2_PDI_Cash_Exception_Application[[#This Row],[TODAY]]-qry_ProdData2_PDI_Cash_Exception_Application[[#This Row],[CHANGED ON]]</f>
        <v>13.742928240739275</v>
      </c>
    </row>
    <row r="2853" spans="1:14" x14ac:dyDescent="0.35">
      <c r="A2853">
        <v>1012</v>
      </c>
      <c r="B2853" t="s">
        <v>66</v>
      </c>
      <c r="C2853" s="1">
        <v>45183.257071759261</v>
      </c>
      <c r="D2853" t="str">
        <f ca="1">VLOOKUP(qry_ProdData2_PDI_Cash_Exception_Application[[#This Row],[TYPE]],#REF!,2,FALSE)</f>
        <v>type13</v>
      </c>
      <c r="E2853">
        <v>29989.82</v>
      </c>
      <c r="F2853" t="s">
        <v>52</v>
      </c>
      <c r="G2853" s="1">
        <f>qry_ProdData2_PDI_Cash_Exception_Application[[#This Row],[INSERT DATE]]+7</f>
        <v>45190.257071759261</v>
      </c>
      <c r="H2853" t="str">
        <f>VLOOKUP(qry_ProdData2_PDI_Cash_Exception_Application[[#This Row],[MARKET No]],'Site Allocation'!$B$2:$C$37,2,FALSE)</f>
        <v>Analyst3</v>
      </c>
      <c r="I2853" s="4">
        <f t="shared" ca="1" si="44"/>
        <v>45203</v>
      </c>
      <c r="J2853" s="42">
        <f ca="1">TODAY()-qry_ProdData2_PDI_Cash_Exception_Application[[#This Row],[INSERT DATE]]</f>
        <v>19.742928240739275</v>
      </c>
      <c r="K28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53">
        <f ca="1">qry_ProdData2_PDI_Cash_Exception_Application[[#This Row],[TODAY]]-qry_ProdData2_PDI_Cash_Exception_Application[[#This Row],[CHANGED ON]]</f>
        <v>12.742928240739275</v>
      </c>
      <c r="M2853">
        <f ca="1">qry_ProdData2_PDI_Cash_Exception_Application[[#This Row],[TODAY]]-qry_ProdData2_PDI_Cash_Exception_Application[[#This Row],[CHANGED ON]]</f>
        <v>12.742928240739275</v>
      </c>
      <c r="N2853">
        <f ca="1">qry_ProdData2_PDI_Cash_Exception_Application[[#This Row],[TODAY]]-qry_ProdData2_PDI_Cash_Exception_Application[[#This Row],[CHANGED ON]]</f>
        <v>12.742928240739275</v>
      </c>
    </row>
    <row r="2854" spans="1:14" x14ac:dyDescent="0.35">
      <c r="A2854">
        <v>1016</v>
      </c>
      <c r="B2854" t="s">
        <v>70</v>
      </c>
      <c r="C2854" s="1">
        <v>45196.257071759261</v>
      </c>
      <c r="D2854" t="str">
        <f ca="1">VLOOKUP(qry_ProdData2_PDI_Cash_Exception_Application[[#This Row],[TYPE]],#REF!,2,FALSE)</f>
        <v>type8</v>
      </c>
      <c r="E2854">
        <v>54.95</v>
      </c>
      <c r="F2854" t="s">
        <v>49</v>
      </c>
      <c r="G2854" s="1">
        <f>qry_ProdData2_PDI_Cash_Exception_Application[[#This Row],[INSERT DATE]]+2</f>
        <v>45198.257071759261</v>
      </c>
      <c r="H2854" t="str">
        <f>VLOOKUP(qry_ProdData2_PDI_Cash_Exception_Application[[#This Row],[MARKET No]],'Site Allocation'!$B$2:$C$37,2,FALSE)</f>
        <v>Analyst3</v>
      </c>
      <c r="I2854" s="4">
        <f t="shared" ca="1" si="44"/>
        <v>45203</v>
      </c>
      <c r="J2854" s="42">
        <f ca="1">TODAY()-qry_ProdData2_PDI_Cash_Exception_Application[[#This Row],[INSERT DATE]]</f>
        <v>6.7429282407392748</v>
      </c>
      <c r="K28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54">
        <f ca="1">qry_ProdData2_PDI_Cash_Exception_Application[[#This Row],[TODAY]]-qry_ProdData2_PDI_Cash_Exception_Application[[#This Row],[CHANGED ON]]</f>
        <v>4.7429282407392748</v>
      </c>
      <c r="M2854">
        <f ca="1">qry_ProdData2_PDI_Cash_Exception_Application[[#This Row],[TODAY]]-qry_ProdData2_PDI_Cash_Exception_Application[[#This Row],[CHANGED ON]]</f>
        <v>4.7429282407392748</v>
      </c>
      <c r="N2854">
        <f ca="1">qry_ProdData2_PDI_Cash_Exception_Application[[#This Row],[TODAY]]-qry_ProdData2_PDI_Cash_Exception_Application[[#This Row],[CHANGED ON]]</f>
        <v>4.7429282407392748</v>
      </c>
    </row>
    <row r="2855" spans="1:14" x14ac:dyDescent="0.35">
      <c r="A2855">
        <v>1031</v>
      </c>
      <c r="B2855" t="s">
        <v>85</v>
      </c>
      <c r="C2855" s="1">
        <v>45183.257071759261</v>
      </c>
      <c r="D2855" t="str">
        <f ca="1">VLOOKUP(qry_ProdData2_PDI_Cash_Exception_Application[[#This Row],[TYPE]],#REF!,2,FALSE)</f>
        <v>type40</v>
      </c>
      <c r="E2855">
        <v>1364.72</v>
      </c>
      <c r="F2855" t="s">
        <v>48</v>
      </c>
      <c r="G2855" s="1">
        <f>qry_ProdData2_PDI_Cash_Exception_Application[[#This Row],[INSERT DATE]]+1</f>
        <v>45184.257071759261</v>
      </c>
      <c r="H2855" t="str">
        <f>VLOOKUP(qry_ProdData2_PDI_Cash_Exception_Application[[#This Row],[MARKET No]],'Site Allocation'!$B$2:$C$37,2,FALSE)</f>
        <v>Analyst6</v>
      </c>
      <c r="I2855" s="4">
        <f t="shared" ca="1" si="44"/>
        <v>45203</v>
      </c>
      <c r="J2855" s="42">
        <f ca="1">TODAY()-qry_ProdData2_PDI_Cash_Exception_Application[[#This Row],[INSERT DATE]]</f>
        <v>19.742928240739275</v>
      </c>
      <c r="K28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55">
        <f ca="1">qry_ProdData2_PDI_Cash_Exception_Application[[#This Row],[TODAY]]-qry_ProdData2_PDI_Cash_Exception_Application[[#This Row],[CHANGED ON]]</f>
        <v>18.742928240739275</v>
      </c>
      <c r="M2855">
        <f ca="1">qry_ProdData2_PDI_Cash_Exception_Application[[#This Row],[TODAY]]-qry_ProdData2_PDI_Cash_Exception_Application[[#This Row],[CHANGED ON]]</f>
        <v>18.742928240739275</v>
      </c>
      <c r="N2855">
        <f ca="1">qry_ProdData2_PDI_Cash_Exception_Application[[#This Row],[TODAY]]-qry_ProdData2_PDI_Cash_Exception_Application[[#This Row],[CHANGED ON]]</f>
        <v>18.742928240739275</v>
      </c>
    </row>
    <row r="2856" spans="1:14" x14ac:dyDescent="0.35">
      <c r="A2856">
        <v>1019</v>
      </c>
      <c r="B2856" t="s">
        <v>73</v>
      </c>
      <c r="C2856" s="1">
        <v>45197.257071759261</v>
      </c>
      <c r="D2856" t="str">
        <f ca="1">VLOOKUP(qry_ProdData2_PDI_Cash_Exception_Application[[#This Row],[TYPE]],#REF!,2,FALSE)</f>
        <v>type40</v>
      </c>
      <c r="E2856">
        <v>4785</v>
      </c>
      <c r="F2856" t="s">
        <v>47</v>
      </c>
      <c r="G2856" s="1">
        <f>qry_ProdData2_PDI_Cash_Exception_Application[[#This Row],[INSERT DATE]]+1</f>
        <v>45198.257071759261</v>
      </c>
      <c r="H2856" t="str">
        <f>VLOOKUP(qry_ProdData2_PDI_Cash_Exception_Application[[#This Row],[MARKET No]],'Site Allocation'!$B$2:$C$37,2,FALSE)</f>
        <v>Analyst4</v>
      </c>
      <c r="I2856" s="4">
        <f t="shared" ca="1" si="44"/>
        <v>45203</v>
      </c>
      <c r="J2856" s="42">
        <f ca="1">TODAY()-qry_ProdData2_PDI_Cash_Exception_Application[[#This Row],[INSERT DATE]]</f>
        <v>5.7429282407392748</v>
      </c>
      <c r="K28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56">
        <f ca="1">qry_ProdData2_PDI_Cash_Exception_Application[[#This Row],[TODAY]]-qry_ProdData2_PDI_Cash_Exception_Application[[#This Row],[CHANGED ON]]</f>
        <v>4.7429282407392748</v>
      </c>
      <c r="M2856">
        <f ca="1">qry_ProdData2_PDI_Cash_Exception_Application[[#This Row],[TODAY]]-qry_ProdData2_PDI_Cash_Exception_Application[[#This Row],[CHANGED ON]]</f>
        <v>4.7429282407392748</v>
      </c>
      <c r="N2856">
        <f ca="1">qry_ProdData2_PDI_Cash_Exception_Application[[#This Row],[TODAY]]-qry_ProdData2_PDI_Cash_Exception_Application[[#This Row],[CHANGED ON]]</f>
        <v>4.7429282407392748</v>
      </c>
    </row>
    <row r="2857" spans="1:14" x14ac:dyDescent="0.35">
      <c r="A2857">
        <v>1033</v>
      </c>
      <c r="B2857" t="s">
        <v>87</v>
      </c>
      <c r="C2857" s="1">
        <v>45197.257071759261</v>
      </c>
      <c r="D2857" t="str">
        <f ca="1">VLOOKUP(qry_ProdData2_PDI_Cash_Exception_Application[[#This Row],[TYPE]],#REF!,2,FALSE)</f>
        <v>type35</v>
      </c>
      <c r="E2857">
        <v>607.04999999999995</v>
      </c>
      <c r="F2857" t="s">
        <v>49</v>
      </c>
      <c r="G2857" s="1">
        <f>qry_ProdData2_PDI_Cash_Exception_Application[[#This Row],[INSERT DATE]]+2</f>
        <v>45199.257071759261</v>
      </c>
      <c r="H2857" t="str">
        <f>VLOOKUP(qry_ProdData2_PDI_Cash_Exception_Application[[#This Row],[MARKET No]],'Site Allocation'!$B$2:$C$37,2,FALSE)</f>
        <v>Analyst6</v>
      </c>
      <c r="I2857" s="4">
        <f t="shared" ca="1" si="44"/>
        <v>45203</v>
      </c>
      <c r="J2857" s="42">
        <f ca="1">TODAY()-qry_ProdData2_PDI_Cash_Exception_Application[[#This Row],[INSERT DATE]]</f>
        <v>5.7429282407392748</v>
      </c>
      <c r="K28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57">
        <f ca="1">qry_ProdData2_PDI_Cash_Exception_Application[[#This Row],[TODAY]]-qry_ProdData2_PDI_Cash_Exception_Application[[#This Row],[CHANGED ON]]</f>
        <v>3.7429282407392748</v>
      </c>
      <c r="M2857">
        <f ca="1">qry_ProdData2_PDI_Cash_Exception_Application[[#This Row],[TODAY]]-qry_ProdData2_PDI_Cash_Exception_Application[[#This Row],[CHANGED ON]]</f>
        <v>3.7429282407392748</v>
      </c>
      <c r="N2857">
        <f ca="1">qry_ProdData2_PDI_Cash_Exception_Application[[#This Row],[TODAY]]-qry_ProdData2_PDI_Cash_Exception_Application[[#This Row],[CHANGED ON]]</f>
        <v>3.7429282407392748</v>
      </c>
    </row>
    <row r="2858" spans="1:14" x14ac:dyDescent="0.35">
      <c r="A2858">
        <v>1008</v>
      </c>
      <c r="B2858" t="s">
        <v>62</v>
      </c>
      <c r="C2858" s="1">
        <v>45185.257071759261</v>
      </c>
      <c r="D2858" t="str">
        <f ca="1">VLOOKUP(qry_ProdData2_PDI_Cash_Exception_Application[[#This Row],[TYPE]],#REF!,2,FALSE)</f>
        <v>type13</v>
      </c>
      <c r="E2858">
        <v>25520.47</v>
      </c>
      <c r="F2858" t="s">
        <v>50</v>
      </c>
      <c r="G2858" s="1">
        <f>qry_ProdData2_PDI_Cash_Exception_Application[[#This Row],[INSERT DATE]]+7</f>
        <v>45192.257071759261</v>
      </c>
      <c r="H2858" t="str">
        <f>VLOOKUP(qry_ProdData2_PDI_Cash_Exception_Application[[#This Row],[MARKET No]],'Site Allocation'!$B$2:$C$37,2,FALSE)</f>
        <v>Analyst2</v>
      </c>
      <c r="I2858" s="4">
        <f t="shared" ca="1" si="44"/>
        <v>45203</v>
      </c>
      <c r="J2858" s="42">
        <f ca="1">TODAY()-qry_ProdData2_PDI_Cash_Exception_Application[[#This Row],[INSERT DATE]]</f>
        <v>17.742928240739275</v>
      </c>
      <c r="K28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58">
        <f ca="1">qry_ProdData2_PDI_Cash_Exception_Application[[#This Row],[TODAY]]-qry_ProdData2_PDI_Cash_Exception_Application[[#This Row],[CHANGED ON]]</f>
        <v>10.742928240739275</v>
      </c>
      <c r="M2858">
        <f ca="1">qry_ProdData2_PDI_Cash_Exception_Application[[#This Row],[TODAY]]-qry_ProdData2_PDI_Cash_Exception_Application[[#This Row],[CHANGED ON]]</f>
        <v>10.742928240739275</v>
      </c>
      <c r="N2858">
        <f ca="1">qry_ProdData2_PDI_Cash_Exception_Application[[#This Row],[TODAY]]-qry_ProdData2_PDI_Cash_Exception_Application[[#This Row],[CHANGED ON]]</f>
        <v>10.742928240739275</v>
      </c>
    </row>
    <row r="2859" spans="1:14" x14ac:dyDescent="0.35">
      <c r="A2859">
        <v>1020</v>
      </c>
      <c r="B2859" t="s">
        <v>74</v>
      </c>
      <c r="C2859" s="1">
        <v>45186.257071759261</v>
      </c>
      <c r="D2859" t="str">
        <f ca="1">VLOOKUP(qry_ProdData2_PDI_Cash_Exception_Application[[#This Row],[TYPE]],#REF!,2,FALSE)</f>
        <v>type13</v>
      </c>
      <c r="E2859">
        <v>25382</v>
      </c>
      <c r="F2859" t="s">
        <v>52</v>
      </c>
      <c r="G2859" s="1">
        <f>qry_ProdData2_PDI_Cash_Exception_Application[[#This Row],[INSERT DATE]]+7</f>
        <v>45193.257071759261</v>
      </c>
      <c r="H2859" t="str">
        <f>VLOOKUP(qry_ProdData2_PDI_Cash_Exception_Application[[#This Row],[MARKET No]],'Site Allocation'!$B$2:$C$37,2,FALSE)</f>
        <v>Analyst4</v>
      </c>
      <c r="I2859" s="4">
        <f t="shared" ca="1" si="44"/>
        <v>45203</v>
      </c>
      <c r="J2859" s="42">
        <f ca="1">TODAY()-qry_ProdData2_PDI_Cash_Exception_Application[[#This Row],[INSERT DATE]]</f>
        <v>16.742928240739275</v>
      </c>
      <c r="K28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59">
        <f ca="1">qry_ProdData2_PDI_Cash_Exception_Application[[#This Row],[TODAY]]-qry_ProdData2_PDI_Cash_Exception_Application[[#This Row],[CHANGED ON]]</f>
        <v>9.7429282407392748</v>
      </c>
      <c r="M2859">
        <f ca="1">qry_ProdData2_PDI_Cash_Exception_Application[[#This Row],[TODAY]]-qry_ProdData2_PDI_Cash_Exception_Application[[#This Row],[CHANGED ON]]</f>
        <v>9.7429282407392748</v>
      </c>
      <c r="N2859">
        <f ca="1">qry_ProdData2_PDI_Cash_Exception_Application[[#This Row],[TODAY]]-qry_ProdData2_PDI_Cash_Exception_Application[[#This Row],[CHANGED ON]]</f>
        <v>9.7429282407392748</v>
      </c>
    </row>
    <row r="2860" spans="1:14" x14ac:dyDescent="0.35">
      <c r="A2860">
        <v>1026</v>
      </c>
      <c r="B2860" t="s">
        <v>80</v>
      </c>
      <c r="C2860" s="1">
        <v>45187.257071759261</v>
      </c>
      <c r="D2860" t="str">
        <f ca="1">VLOOKUP(qry_ProdData2_PDI_Cash_Exception_Application[[#This Row],[TYPE]],#REF!,2,FALSE)</f>
        <v>type40</v>
      </c>
      <c r="E2860">
        <v>-2306.65</v>
      </c>
      <c r="F2860" t="s">
        <v>52</v>
      </c>
      <c r="G2860" s="1">
        <f>qry_ProdData2_PDI_Cash_Exception_Application[[#This Row],[INSERT DATE]]+7</f>
        <v>45194.257071759261</v>
      </c>
      <c r="H2860" t="str">
        <f>VLOOKUP(qry_ProdData2_PDI_Cash_Exception_Application[[#This Row],[MARKET No]],'Site Allocation'!$B$2:$C$37,2,FALSE)</f>
        <v>Analyst5</v>
      </c>
      <c r="I2860" s="4">
        <f t="shared" ca="1" si="44"/>
        <v>45203</v>
      </c>
      <c r="J2860" s="42">
        <f ca="1">TODAY()-qry_ProdData2_PDI_Cash_Exception_Application[[#This Row],[INSERT DATE]]</f>
        <v>15.742928240739275</v>
      </c>
      <c r="K28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60">
        <f ca="1">qry_ProdData2_PDI_Cash_Exception_Application[[#This Row],[TODAY]]-qry_ProdData2_PDI_Cash_Exception_Application[[#This Row],[CHANGED ON]]</f>
        <v>8.7429282407392748</v>
      </c>
      <c r="M2860">
        <f ca="1">qry_ProdData2_PDI_Cash_Exception_Application[[#This Row],[TODAY]]-qry_ProdData2_PDI_Cash_Exception_Application[[#This Row],[CHANGED ON]]</f>
        <v>8.7429282407392748</v>
      </c>
      <c r="N2860">
        <f ca="1">qry_ProdData2_PDI_Cash_Exception_Application[[#This Row],[TODAY]]-qry_ProdData2_PDI_Cash_Exception_Application[[#This Row],[CHANGED ON]]</f>
        <v>8.7429282407392748</v>
      </c>
    </row>
    <row r="2861" spans="1:14" x14ac:dyDescent="0.35">
      <c r="A2861">
        <v>1023</v>
      </c>
      <c r="B2861" t="s">
        <v>77</v>
      </c>
      <c r="C2861" s="1">
        <v>45187.257071759261</v>
      </c>
      <c r="D2861" t="str">
        <f ca="1">VLOOKUP(qry_ProdData2_PDI_Cash_Exception_Application[[#This Row],[TYPE]],#REF!,2,FALSE)</f>
        <v>type13</v>
      </c>
      <c r="E2861">
        <v>26614.28</v>
      </c>
      <c r="F2861" t="s">
        <v>52</v>
      </c>
      <c r="G2861" s="1">
        <f>qry_ProdData2_PDI_Cash_Exception_Application[[#This Row],[INSERT DATE]]+7</f>
        <v>45194.257071759261</v>
      </c>
      <c r="H2861" t="str">
        <f>VLOOKUP(qry_ProdData2_PDI_Cash_Exception_Application[[#This Row],[MARKET No]],'Site Allocation'!$B$2:$C$37,2,FALSE)</f>
        <v>Analyst4</v>
      </c>
      <c r="I2861" s="4">
        <f t="shared" ca="1" si="44"/>
        <v>45203</v>
      </c>
      <c r="J2861" s="42">
        <f ca="1">TODAY()-qry_ProdData2_PDI_Cash_Exception_Application[[#This Row],[INSERT DATE]]</f>
        <v>15.742928240739275</v>
      </c>
      <c r="K28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61">
        <f ca="1">qry_ProdData2_PDI_Cash_Exception_Application[[#This Row],[TODAY]]-qry_ProdData2_PDI_Cash_Exception_Application[[#This Row],[CHANGED ON]]</f>
        <v>8.7429282407392748</v>
      </c>
      <c r="M2861">
        <f ca="1">qry_ProdData2_PDI_Cash_Exception_Application[[#This Row],[TODAY]]-qry_ProdData2_PDI_Cash_Exception_Application[[#This Row],[CHANGED ON]]</f>
        <v>8.7429282407392748</v>
      </c>
      <c r="N2861">
        <f ca="1">qry_ProdData2_PDI_Cash_Exception_Application[[#This Row],[TODAY]]-qry_ProdData2_PDI_Cash_Exception_Application[[#This Row],[CHANGED ON]]</f>
        <v>8.7429282407392748</v>
      </c>
    </row>
    <row r="2862" spans="1:14" x14ac:dyDescent="0.35">
      <c r="A2862">
        <v>1021</v>
      </c>
      <c r="B2862" t="s">
        <v>75</v>
      </c>
      <c r="C2862" s="1">
        <v>45196.257071759261</v>
      </c>
      <c r="D2862" t="str">
        <f ca="1">VLOOKUP(qry_ProdData2_PDI_Cash_Exception_Application[[#This Row],[TYPE]],#REF!,2,FALSE)</f>
        <v>type2</v>
      </c>
      <c r="E2862">
        <v>1616</v>
      </c>
      <c r="G2862" s="1">
        <f>qry_ProdData2_PDI_Cash_Exception_Application[[#This Row],[INSERT DATE]]+5</f>
        <v>45201.257071759261</v>
      </c>
      <c r="H2862" t="str">
        <f>VLOOKUP(qry_ProdData2_PDI_Cash_Exception_Application[[#This Row],[MARKET No]],'Site Allocation'!$B$2:$C$37,2,FALSE)</f>
        <v>Analyst4</v>
      </c>
      <c r="I2862" s="4">
        <f t="shared" ca="1" si="44"/>
        <v>45203</v>
      </c>
      <c r="J2862" s="42">
        <f ca="1">TODAY()-qry_ProdData2_PDI_Cash_Exception_Application[[#This Row],[INSERT DATE]]</f>
        <v>6.7429282407392748</v>
      </c>
      <c r="K28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62">
        <f ca="1">qry_ProdData2_PDI_Cash_Exception_Application[[#This Row],[TODAY]]-qry_ProdData2_PDI_Cash_Exception_Application[[#This Row],[CHANGED ON]]</f>
        <v>1.7429282407392748</v>
      </c>
      <c r="M2862">
        <f ca="1">qry_ProdData2_PDI_Cash_Exception_Application[[#This Row],[TODAY]]-qry_ProdData2_PDI_Cash_Exception_Application[[#This Row],[CHANGED ON]]</f>
        <v>1.7429282407392748</v>
      </c>
      <c r="N2862">
        <f ca="1">qry_ProdData2_PDI_Cash_Exception_Application[[#This Row],[TODAY]]-qry_ProdData2_PDI_Cash_Exception_Application[[#This Row],[CHANGED ON]]</f>
        <v>1.7429282407392748</v>
      </c>
    </row>
    <row r="2863" spans="1:14" x14ac:dyDescent="0.35">
      <c r="A2863">
        <v>1015</v>
      </c>
      <c r="B2863" t="s">
        <v>69</v>
      </c>
      <c r="C2863" s="1">
        <v>45189.257071759261</v>
      </c>
      <c r="D2863" t="str">
        <f ca="1">VLOOKUP(qry_ProdData2_PDI_Cash_Exception_Application[[#This Row],[TYPE]],#REF!,2,FALSE)</f>
        <v>type27</v>
      </c>
      <c r="E2863">
        <v>802.32</v>
      </c>
      <c r="F2863" t="s">
        <v>50</v>
      </c>
      <c r="G2863" s="1">
        <f>qry_ProdData2_PDI_Cash_Exception_Application[[#This Row],[INSERT DATE]]+7</f>
        <v>45196.257071759261</v>
      </c>
      <c r="H2863" t="str">
        <f>VLOOKUP(qry_ProdData2_PDI_Cash_Exception_Application[[#This Row],[MARKET No]],'Site Allocation'!$B$2:$C$37,2,FALSE)</f>
        <v>Analyst3</v>
      </c>
      <c r="I2863" s="4">
        <f t="shared" ca="1" si="44"/>
        <v>45203</v>
      </c>
      <c r="J2863" s="42">
        <f ca="1">TODAY()-qry_ProdData2_PDI_Cash_Exception_Application[[#This Row],[INSERT DATE]]</f>
        <v>13.742928240739275</v>
      </c>
      <c r="K28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63">
        <f ca="1">qry_ProdData2_PDI_Cash_Exception_Application[[#This Row],[TODAY]]-qry_ProdData2_PDI_Cash_Exception_Application[[#This Row],[CHANGED ON]]</f>
        <v>6.7429282407392748</v>
      </c>
      <c r="M2863">
        <f ca="1">qry_ProdData2_PDI_Cash_Exception_Application[[#This Row],[TODAY]]-qry_ProdData2_PDI_Cash_Exception_Application[[#This Row],[CHANGED ON]]</f>
        <v>6.7429282407392748</v>
      </c>
      <c r="N2863">
        <f ca="1">qry_ProdData2_PDI_Cash_Exception_Application[[#This Row],[TODAY]]-qry_ProdData2_PDI_Cash_Exception_Application[[#This Row],[CHANGED ON]]</f>
        <v>6.7429282407392748</v>
      </c>
    </row>
    <row r="2864" spans="1:14" x14ac:dyDescent="0.35">
      <c r="A2864">
        <v>1033</v>
      </c>
      <c r="B2864" t="s">
        <v>87</v>
      </c>
      <c r="C2864" s="1">
        <v>45189.257071759261</v>
      </c>
      <c r="D2864" t="str">
        <f ca="1">VLOOKUP(qry_ProdData2_PDI_Cash_Exception_Application[[#This Row],[TYPE]],#REF!,2,FALSE)</f>
        <v>type13</v>
      </c>
      <c r="E2864">
        <v>16186.85</v>
      </c>
      <c r="F2864" t="s">
        <v>52</v>
      </c>
      <c r="G2864" s="1">
        <f>qry_ProdData2_PDI_Cash_Exception_Application[[#This Row],[INSERT DATE]]+7</f>
        <v>45196.257071759261</v>
      </c>
      <c r="H2864" t="str">
        <f>VLOOKUP(qry_ProdData2_PDI_Cash_Exception_Application[[#This Row],[MARKET No]],'Site Allocation'!$B$2:$C$37,2,FALSE)</f>
        <v>Analyst6</v>
      </c>
      <c r="I2864" s="4">
        <f t="shared" ca="1" si="44"/>
        <v>45203</v>
      </c>
      <c r="J2864" s="42">
        <f ca="1">TODAY()-qry_ProdData2_PDI_Cash_Exception_Application[[#This Row],[INSERT DATE]]</f>
        <v>13.742928240739275</v>
      </c>
      <c r="K28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64">
        <f ca="1">qry_ProdData2_PDI_Cash_Exception_Application[[#This Row],[TODAY]]-qry_ProdData2_PDI_Cash_Exception_Application[[#This Row],[CHANGED ON]]</f>
        <v>6.7429282407392748</v>
      </c>
      <c r="M2864">
        <f ca="1">qry_ProdData2_PDI_Cash_Exception_Application[[#This Row],[TODAY]]-qry_ProdData2_PDI_Cash_Exception_Application[[#This Row],[CHANGED ON]]</f>
        <v>6.7429282407392748</v>
      </c>
      <c r="N2864">
        <f ca="1">qry_ProdData2_PDI_Cash_Exception_Application[[#This Row],[TODAY]]-qry_ProdData2_PDI_Cash_Exception_Application[[#This Row],[CHANGED ON]]</f>
        <v>6.7429282407392748</v>
      </c>
    </row>
    <row r="2865" spans="1:14" x14ac:dyDescent="0.35">
      <c r="A2865">
        <v>1028</v>
      </c>
      <c r="B2865" t="s">
        <v>82</v>
      </c>
      <c r="C2865" s="1">
        <v>45190.257071759261</v>
      </c>
      <c r="D2865" t="str">
        <f ca="1">VLOOKUP(qry_ProdData2_PDI_Cash_Exception_Application[[#This Row],[TYPE]],#REF!,2,FALSE)</f>
        <v>type13</v>
      </c>
      <c r="E2865">
        <v>18610.650000000001</v>
      </c>
      <c r="F2865" t="s">
        <v>50</v>
      </c>
      <c r="G2865" s="1">
        <f>qry_ProdData2_PDI_Cash_Exception_Application[[#This Row],[INSERT DATE]]+7</f>
        <v>45197.257071759261</v>
      </c>
      <c r="H2865" t="str">
        <f>VLOOKUP(qry_ProdData2_PDI_Cash_Exception_Application[[#This Row],[MARKET No]],'Site Allocation'!$B$2:$C$37,2,FALSE)</f>
        <v>Analyst5</v>
      </c>
      <c r="I2865" s="4">
        <f t="shared" ca="1" si="44"/>
        <v>45203</v>
      </c>
      <c r="J2865" s="42">
        <f ca="1">TODAY()-qry_ProdData2_PDI_Cash_Exception_Application[[#This Row],[INSERT DATE]]</f>
        <v>12.742928240739275</v>
      </c>
      <c r="K28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65">
        <f ca="1">qry_ProdData2_PDI_Cash_Exception_Application[[#This Row],[TODAY]]-qry_ProdData2_PDI_Cash_Exception_Application[[#This Row],[CHANGED ON]]</f>
        <v>5.7429282407392748</v>
      </c>
      <c r="M2865">
        <f ca="1">qry_ProdData2_PDI_Cash_Exception_Application[[#This Row],[TODAY]]-qry_ProdData2_PDI_Cash_Exception_Application[[#This Row],[CHANGED ON]]</f>
        <v>5.7429282407392748</v>
      </c>
      <c r="N2865">
        <f ca="1">qry_ProdData2_PDI_Cash_Exception_Application[[#This Row],[TODAY]]-qry_ProdData2_PDI_Cash_Exception_Application[[#This Row],[CHANGED ON]]</f>
        <v>5.7429282407392748</v>
      </c>
    </row>
    <row r="2866" spans="1:14" x14ac:dyDescent="0.35">
      <c r="A2866">
        <v>1033</v>
      </c>
      <c r="B2866" t="s">
        <v>87</v>
      </c>
      <c r="C2866" s="1">
        <v>45184.257071759261</v>
      </c>
      <c r="D2866" t="str">
        <f ca="1">VLOOKUP(qry_ProdData2_PDI_Cash_Exception_Application[[#This Row],[TYPE]],#REF!,2,FALSE)</f>
        <v>type40</v>
      </c>
      <c r="E2866">
        <v>516.23</v>
      </c>
      <c r="F2866" t="s">
        <v>48</v>
      </c>
      <c r="G2866" s="1">
        <f>qry_ProdData2_PDI_Cash_Exception_Application[[#This Row],[INSERT DATE]]+1</f>
        <v>45185.257071759261</v>
      </c>
      <c r="H2866" t="str">
        <f>VLOOKUP(qry_ProdData2_PDI_Cash_Exception_Application[[#This Row],[MARKET No]],'Site Allocation'!$B$2:$C$37,2,FALSE)</f>
        <v>Analyst6</v>
      </c>
      <c r="I2866" s="4">
        <f t="shared" ca="1" si="44"/>
        <v>45203</v>
      </c>
      <c r="J2866" s="42">
        <f ca="1">TODAY()-qry_ProdData2_PDI_Cash_Exception_Application[[#This Row],[INSERT DATE]]</f>
        <v>18.742928240739275</v>
      </c>
      <c r="K28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66">
        <f ca="1">qry_ProdData2_PDI_Cash_Exception_Application[[#This Row],[TODAY]]-qry_ProdData2_PDI_Cash_Exception_Application[[#This Row],[CHANGED ON]]</f>
        <v>17.742928240739275</v>
      </c>
      <c r="M2866">
        <f ca="1">qry_ProdData2_PDI_Cash_Exception_Application[[#This Row],[TODAY]]-qry_ProdData2_PDI_Cash_Exception_Application[[#This Row],[CHANGED ON]]</f>
        <v>17.742928240739275</v>
      </c>
      <c r="N2866">
        <f ca="1">qry_ProdData2_PDI_Cash_Exception_Application[[#This Row],[TODAY]]-qry_ProdData2_PDI_Cash_Exception_Application[[#This Row],[CHANGED ON]]</f>
        <v>17.742928240739275</v>
      </c>
    </row>
    <row r="2867" spans="1:14" x14ac:dyDescent="0.35">
      <c r="A2867">
        <v>1020</v>
      </c>
      <c r="B2867" t="s">
        <v>74</v>
      </c>
      <c r="C2867" s="1">
        <v>45196.257071759261</v>
      </c>
      <c r="D2867" t="str">
        <f ca="1">VLOOKUP(qry_ProdData2_PDI_Cash_Exception_Application[[#This Row],[TYPE]],#REF!,2,FALSE)</f>
        <v>type40</v>
      </c>
      <c r="E2867">
        <v>-580.04999999999995</v>
      </c>
      <c r="F2867" t="s">
        <v>47</v>
      </c>
      <c r="G2867" s="1">
        <f>qry_ProdData2_PDI_Cash_Exception_Application[[#This Row],[INSERT DATE]]+1</f>
        <v>45197.257071759261</v>
      </c>
      <c r="H2867" t="str">
        <f>VLOOKUP(qry_ProdData2_PDI_Cash_Exception_Application[[#This Row],[MARKET No]],'Site Allocation'!$B$2:$C$37,2,FALSE)</f>
        <v>Analyst4</v>
      </c>
      <c r="I2867" s="4">
        <f t="shared" ca="1" si="44"/>
        <v>45203</v>
      </c>
      <c r="J2867" s="42">
        <f ca="1">TODAY()-qry_ProdData2_PDI_Cash_Exception_Application[[#This Row],[INSERT DATE]]</f>
        <v>6.7429282407392748</v>
      </c>
      <c r="K28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67">
        <f ca="1">qry_ProdData2_PDI_Cash_Exception_Application[[#This Row],[TODAY]]-qry_ProdData2_PDI_Cash_Exception_Application[[#This Row],[CHANGED ON]]</f>
        <v>5.7429282407392748</v>
      </c>
      <c r="M2867">
        <f ca="1">qry_ProdData2_PDI_Cash_Exception_Application[[#This Row],[TODAY]]-qry_ProdData2_PDI_Cash_Exception_Application[[#This Row],[CHANGED ON]]</f>
        <v>5.7429282407392748</v>
      </c>
      <c r="N2867">
        <f ca="1">qry_ProdData2_PDI_Cash_Exception_Application[[#This Row],[TODAY]]-qry_ProdData2_PDI_Cash_Exception_Application[[#This Row],[CHANGED ON]]</f>
        <v>5.7429282407392748</v>
      </c>
    </row>
    <row r="2868" spans="1:14" x14ac:dyDescent="0.35">
      <c r="A2868">
        <v>1019</v>
      </c>
      <c r="B2868" t="s">
        <v>73</v>
      </c>
      <c r="C2868" s="1">
        <v>45197.257071759261</v>
      </c>
      <c r="D2868" t="str">
        <f ca="1">VLOOKUP(qry_ProdData2_PDI_Cash_Exception_Application[[#This Row],[TYPE]],#REF!,2,FALSE)</f>
        <v>type36</v>
      </c>
      <c r="E2868">
        <v>1461.09</v>
      </c>
      <c r="G2868" s="1">
        <f>qry_ProdData2_PDI_Cash_Exception_Application[[#This Row],[INSERT DATE]]+1</f>
        <v>45198.257071759261</v>
      </c>
      <c r="H2868" t="str">
        <f>VLOOKUP(qry_ProdData2_PDI_Cash_Exception_Application[[#This Row],[MARKET No]],'Site Allocation'!$B$2:$C$37,2,FALSE)</f>
        <v>Analyst4</v>
      </c>
      <c r="I2868" s="4">
        <f t="shared" ca="1" si="44"/>
        <v>45203</v>
      </c>
      <c r="J2868" s="42">
        <f ca="1">TODAY()-qry_ProdData2_PDI_Cash_Exception_Application[[#This Row],[INSERT DATE]]</f>
        <v>5.7429282407392748</v>
      </c>
      <c r="K28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68">
        <f ca="1">qry_ProdData2_PDI_Cash_Exception_Application[[#This Row],[TODAY]]-qry_ProdData2_PDI_Cash_Exception_Application[[#This Row],[CHANGED ON]]</f>
        <v>4.7429282407392748</v>
      </c>
      <c r="M2868">
        <f ca="1">qry_ProdData2_PDI_Cash_Exception_Application[[#This Row],[TODAY]]-qry_ProdData2_PDI_Cash_Exception_Application[[#This Row],[CHANGED ON]]</f>
        <v>4.7429282407392748</v>
      </c>
      <c r="N2868">
        <f ca="1">qry_ProdData2_PDI_Cash_Exception_Application[[#This Row],[TODAY]]-qry_ProdData2_PDI_Cash_Exception_Application[[#This Row],[CHANGED ON]]</f>
        <v>4.7429282407392748</v>
      </c>
    </row>
    <row r="2869" spans="1:14" x14ac:dyDescent="0.35">
      <c r="A2869">
        <v>1002</v>
      </c>
      <c r="B2869" t="s">
        <v>56</v>
      </c>
      <c r="C2869" s="1">
        <v>45197.257071759261</v>
      </c>
      <c r="D2869" t="str">
        <f ca="1">VLOOKUP(qry_ProdData2_PDI_Cash_Exception_Application[[#This Row],[TYPE]],#REF!,2,FALSE)</f>
        <v>type42</v>
      </c>
      <c r="E2869">
        <v>217.87</v>
      </c>
      <c r="F2869" t="s">
        <v>49</v>
      </c>
      <c r="G2869" s="1">
        <f>qry_ProdData2_PDI_Cash_Exception_Application[[#This Row],[INSERT DATE]]+2</f>
        <v>45199.257071759261</v>
      </c>
      <c r="H2869" t="str">
        <f>VLOOKUP(qry_ProdData2_PDI_Cash_Exception_Application[[#This Row],[MARKET No]],'Site Allocation'!$B$2:$C$37,2,FALSE)</f>
        <v>Analyst1</v>
      </c>
      <c r="I2869" s="4">
        <f t="shared" ca="1" si="44"/>
        <v>45203</v>
      </c>
      <c r="J2869" s="42">
        <f ca="1">TODAY()-qry_ProdData2_PDI_Cash_Exception_Application[[#This Row],[INSERT DATE]]</f>
        <v>5.7429282407392748</v>
      </c>
      <c r="K28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69">
        <f ca="1">qry_ProdData2_PDI_Cash_Exception_Application[[#This Row],[TODAY]]-qry_ProdData2_PDI_Cash_Exception_Application[[#This Row],[CHANGED ON]]</f>
        <v>3.7429282407392748</v>
      </c>
      <c r="M2869">
        <f ca="1">qry_ProdData2_PDI_Cash_Exception_Application[[#This Row],[TODAY]]-qry_ProdData2_PDI_Cash_Exception_Application[[#This Row],[CHANGED ON]]</f>
        <v>3.7429282407392748</v>
      </c>
      <c r="N2869">
        <f ca="1">qry_ProdData2_PDI_Cash_Exception_Application[[#This Row],[TODAY]]-qry_ProdData2_PDI_Cash_Exception_Application[[#This Row],[CHANGED ON]]</f>
        <v>3.7429282407392748</v>
      </c>
    </row>
    <row r="2870" spans="1:14" x14ac:dyDescent="0.35">
      <c r="A2870">
        <v>1010</v>
      </c>
      <c r="B2870" t="s">
        <v>64</v>
      </c>
      <c r="C2870" s="1">
        <v>45194.257071759261</v>
      </c>
      <c r="D2870" t="str">
        <f ca="1">VLOOKUP(qry_ProdData2_PDI_Cash_Exception_Application[[#This Row],[TYPE]],#REF!,2,FALSE)</f>
        <v>type13</v>
      </c>
      <c r="E2870">
        <v>15267.35</v>
      </c>
      <c r="F2870" t="s">
        <v>52</v>
      </c>
      <c r="G2870" s="1">
        <f>qry_ProdData2_PDI_Cash_Exception_Application[[#This Row],[INSERT DATE]]+1</f>
        <v>45195.257071759261</v>
      </c>
      <c r="H2870" t="str">
        <f>VLOOKUP(qry_ProdData2_PDI_Cash_Exception_Application[[#This Row],[MARKET No]],'Site Allocation'!$B$2:$C$37,2,FALSE)</f>
        <v>Analyst2</v>
      </c>
      <c r="I2870" s="4">
        <f t="shared" ca="1" si="44"/>
        <v>45203</v>
      </c>
      <c r="J2870" s="42">
        <f ca="1">TODAY()-qry_ProdData2_PDI_Cash_Exception_Application[[#This Row],[INSERT DATE]]</f>
        <v>8.7429282407392748</v>
      </c>
      <c r="K28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70">
        <f ca="1">qry_ProdData2_PDI_Cash_Exception_Application[[#This Row],[TODAY]]-qry_ProdData2_PDI_Cash_Exception_Application[[#This Row],[CHANGED ON]]</f>
        <v>7.7429282407392748</v>
      </c>
      <c r="M2870">
        <f ca="1">qry_ProdData2_PDI_Cash_Exception_Application[[#This Row],[TODAY]]-qry_ProdData2_PDI_Cash_Exception_Application[[#This Row],[CHANGED ON]]</f>
        <v>7.7429282407392748</v>
      </c>
      <c r="N2870">
        <f ca="1">qry_ProdData2_PDI_Cash_Exception_Application[[#This Row],[TODAY]]-qry_ProdData2_PDI_Cash_Exception_Application[[#This Row],[CHANGED ON]]</f>
        <v>7.7429282407392748</v>
      </c>
    </row>
    <row r="2871" spans="1:14" x14ac:dyDescent="0.35">
      <c r="A2871">
        <v>1012</v>
      </c>
      <c r="B2871" t="s">
        <v>66</v>
      </c>
      <c r="C2871" s="1">
        <v>45195.257071759261</v>
      </c>
      <c r="D2871" t="str">
        <f ca="1">VLOOKUP(qry_ProdData2_PDI_Cash_Exception_Application[[#This Row],[TYPE]],#REF!,2,FALSE)</f>
        <v>type13</v>
      </c>
      <c r="E2871">
        <v>18898</v>
      </c>
      <c r="F2871" t="s">
        <v>50</v>
      </c>
      <c r="G2871" s="1">
        <f>qry_ProdData2_PDI_Cash_Exception_Application[[#This Row],[INSERT DATE]]+1</f>
        <v>45196.257071759261</v>
      </c>
      <c r="H2871" t="str">
        <f>VLOOKUP(qry_ProdData2_PDI_Cash_Exception_Application[[#This Row],[MARKET No]],'Site Allocation'!$B$2:$C$37,2,FALSE)</f>
        <v>Analyst3</v>
      </c>
      <c r="I2871" s="4">
        <f t="shared" ca="1" si="44"/>
        <v>45203</v>
      </c>
      <c r="J2871" s="42">
        <f ca="1">TODAY()-qry_ProdData2_PDI_Cash_Exception_Application[[#This Row],[INSERT DATE]]</f>
        <v>7.7429282407392748</v>
      </c>
      <c r="K28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71">
        <f ca="1">qry_ProdData2_PDI_Cash_Exception_Application[[#This Row],[TODAY]]-qry_ProdData2_PDI_Cash_Exception_Application[[#This Row],[CHANGED ON]]</f>
        <v>6.7429282407392748</v>
      </c>
      <c r="M2871">
        <f ca="1">qry_ProdData2_PDI_Cash_Exception_Application[[#This Row],[TODAY]]-qry_ProdData2_PDI_Cash_Exception_Application[[#This Row],[CHANGED ON]]</f>
        <v>6.7429282407392748</v>
      </c>
      <c r="N2871">
        <f ca="1">qry_ProdData2_PDI_Cash_Exception_Application[[#This Row],[TODAY]]-qry_ProdData2_PDI_Cash_Exception_Application[[#This Row],[CHANGED ON]]</f>
        <v>6.7429282407392748</v>
      </c>
    </row>
    <row r="2872" spans="1:14" x14ac:dyDescent="0.35">
      <c r="A2872">
        <v>1033</v>
      </c>
      <c r="B2872" t="s">
        <v>87</v>
      </c>
      <c r="C2872" s="1">
        <v>45196.257071759261</v>
      </c>
      <c r="D2872" t="str">
        <f ca="1">VLOOKUP(qry_ProdData2_PDI_Cash_Exception_Application[[#This Row],[TYPE]],#REF!,2,FALSE)</f>
        <v>type29</v>
      </c>
      <c r="E2872">
        <v>699.41</v>
      </c>
      <c r="F2872" t="s">
        <v>49</v>
      </c>
      <c r="G2872" s="1">
        <f>qry_ProdData2_PDI_Cash_Exception_Application[[#This Row],[INSERT DATE]]+1</f>
        <v>45197.257071759261</v>
      </c>
      <c r="H2872" t="str">
        <f>VLOOKUP(qry_ProdData2_PDI_Cash_Exception_Application[[#This Row],[MARKET No]],'Site Allocation'!$B$2:$C$37,2,FALSE)</f>
        <v>Analyst6</v>
      </c>
      <c r="I2872" s="4">
        <f t="shared" ca="1" si="44"/>
        <v>45203</v>
      </c>
      <c r="J2872" s="42">
        <f ca="1">TODAY()-qry_ProdData2_PDI_Cash_Exception_Application[[#This Row],[INSERT DATE]]</f>
        <v>6.7429282407392748</v>
      </c>
      <c r="K28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72">
        <f ca="1">qry_ProdData2_PDI_Cash_Exception_Application[[#This Row],[TODAY]]-qry_ProdData2_PDI_Cash_Exception_Application[[#This Row],[CHANGED ON]]</f>
        <v>5.7429282407392748</v>
      </c>
      <c r="M2872">
        <f ca="1">qry_ProdData2_PDI_Cash_Exception_Application[[#This Row],[TODAY]]-qry_ProdData2_PDI_Cash_Exception_Application[[#This Row],[CHANGED ON]]</f>
        <v>5.7429282407392748</v>
      </c>
      <c r="N2872">
        <f ca="1">qry_ProdData2_PDI_Cash_Exception_Application[[#This Row],[TODAY]]-qry_ProdData2_PDI_Cash_Exception_Application[[#This Row],[CHANGED ON]]</f>
        <v>5.7429282407392748</v>
      </c>
    </row>
    <row r="2873" spans="1:14" x14ac:dyDescent="0.35">
      <c r="A2873">
        <v>1033</v>
      </c>
      <c r="B2873" t="s">
        <v>87</v>
      </c>
      <c r="C2873" s="1">
        <v>45197.257071759261</v>
      </c>
      <c r="D2873" t="str">
        <f ca="1">VLOOKUP(qry_ProdData2_PDI_Cash_Exception_Application[[#This Row],[TYPE]],#REF!,2,FALSE)</f>
        <v>type40</v>
      </c>
      <c r="E2873">
        <v>-370.11</v>
      </c>
      <c r="G2873" s="1">
        <f>qry_ProdData2_PDI_Cash_Exception_Application[[#This Row],[INSERT DATE]]+7</f>
        <v>45204.257071759261</v>
      </c>
      <c r="H2873" t="str">
        <f>VLOOKUP(qry_ProdData2_PDI_Cash_Exception_Application[[#This Row],[MARKET No]],'Site Allocation'!$B$2:$C$37,2,FALSE)</f>
        <v>Analyst6</v>
      </c>
      <c r="I2873" s="4">
        <f t="shared" ca="1" si="44"/>
        <v>45203</v>
      </c>
      <c r="J2873" s="42">
        <f ca="1">TODAY()-qry_ProdData2_PDI_Cash_Exception_Application[[#This Row],[INSERT DATE]]</f>
        <v>5.7429282407392748</v>
      </c>
      <c r="K28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73">
        <f ca="1">qry_ProdData2_PDI_Cash_Exception_Application[[#This Row],[TODAY]]-qry_ProdData2_PDI_Cash_Exception_Application[[#This Row],[CHANGED ON]]</f>
        <v>-1.2570717592607252</v>
      </c>
      <c r="M2873">
        <f ca="1">qry_ProdData2_PDI_Cash_Exception_Application[[#This Row],[TODAY]]-qry_ProdData2_PDI_Cash_Exception_Application[[#This Row],[CHANGED ON]]</f>
        <v>-1.2570717592607252</v>
      </c>
      <c r="N2873">
        <f ca="1">qry_ProdData2_PDI_Cash_Exception_Application[[#This Row],[TODAY]]-qry_ProdData2_PDI_Cash_Exception_Application[[#This Row],[CHANGED ON]]</f>
        <v>-1.2570717592607252</v>
      </c>
    </row>
    <row r="2874" spans="1:14" x14ac:dyDescent="0.35">
      <c r="A2874">
        <v>1012</v>
      </c>
      <c r="B2874" t="s">
        <v>66</v>
      </c>
      <c r="C2874" s="1">
        <v>45196.257071759261</v>
      </c>
      <c r="D2874" t="str">
        <f ca="1">VLOOKUP(qry_ProdData2_PDI_Cash_Exception_Application[[#This Row],[TYPE]],#REF!,2,FALSE)</f>
        <v>type40</v>
      </c>
      <c r="E2874">
        <v>6336.52</v>
      </c>
      <c r="F2874" t="s">
        <v>47</v>
      </c>
      <c r="G2874" s="1">
        <f>qry_ProdData2_PDI_Cash_Exception_Application[[#This Row],[INSERT DATE]]+1</f>
        <v>45197.257071759261</v>
      </c>
      <c r="H2874" t="str">
        <f>VLOOKUP(qry_ProdData2_PDI_Cash_Exception_Application[[#This Row],[MARKET No]],'Site Allocation'!$B$2:$C$37,2,FALSE)</f>
        <v>Analyst3</v>
      </c>
      <c r="I2874" s="4">
        <f t="shared" ca="1" si="44"/>
        <v>45203</v>
      </c>
      <c r="J2874" s="42">
        <f ca="1">TODAY()-qry_ProdData2_PDI_Cash_Exception_Application[[#This Row],[INSERT DATE]]</f>
        <v>6.7429282407392748</v>
      </c>
      <c r="K28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74">
        <f ca="1">qry_ProdData2_PDI_Cash_Exception_Application[[#This Row],[TODAY]]-qry_ProdData2_PDI_Cash_Exception_Application[[#This Row],[CHANGED ON]]</f>
        <v>5.7429282407392748</v>
      </c>
      <c r="M2874">
        <f ca="1">qry_ProdData2_PDI_Cash_Exception_Application[[#This Row],[TODAY]]-qry_ProdData2_PDI_Cash_Exception_Application[[#This Row],[CHANGED ON]]</f>
        <v>5.7429282407392748</v>
      </c>
      <c r="N2874">
        <f ca="1">qry_ProdData2_PDI_Cash_Exception_Application[[#This Row],[TODAY]]-qry_ProdData2_PDI_Cash_Exception_Application[[#This Row],[CHANGED ON]]</f>
        <v>5.7429282407392748</v>
      </c>
    </row>
    <row r="2875" spans="1:14" x14ac:dyDescent="0.35">
      <c r="A2875">
        <v>1003</v>
      </c>
      <c r="B2875" t="s">
        <v>57</v>
      </c>
      <c r="C2875" s="1">
        <v>45197.257071759261</v>
      </c>
      <c r="D2875" t="str">
        <f ca="1">VLOOKUP(qry_ProdData2_PDI_Cash_Exception_Application[[#This Row],[TYPE]],#REF!,2,FALSE)</f>
        <v>type40</v>
      </c>
      <c r="E2875">
        <v>-536.98</v>
      </c>
      <c r="G2875" s="1">
        <f>qry_ProdData2_PDI_Cash_Exception_Application[[#This Row],[INSERT DATE]]+2</f>
        <v>45199.257071759261</v>
      </c>
      <c r="H2875" t="str">
        <f>VLOOKUP(qry_ProdData2_PDI_Cash_Exception_Application[[#This Row],[MARKET No]],'Site Allocation'!$B$2:$C$37,2,FALSE)</f>
        <v>Analyst1</v>
      </c>
      <c r="I2875" s="4">
        <f t="shared" ca="1" si="44"/>
        <v>45203</v>
      </c>
      <c r="J2875" s="42">
        <f ca="1">TODAY()-qry_ProdData2_PDI_Cash_Exception_Application[[#This Row],[INSERT DATE]]</f>
        <v>5.7429282407392748</v>
      </c>
      <c r="K28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75">
        <f ca="1">qry_ProdData2_PDI_Cash_Exception_Application[[#This Row],[TODAY]]-qry_ProdData2_PDI_Cash_Exception_Application[[#This Row],[CHANGED ON]]</f>
        <v>3.7429282407392748</v>
      </c>
      <c r="M2875">
        <f ca="1">qry_ProdData2_PDI_Cash_Exception_Application[[#This Row],[TODAY]]-qry_ProdData2_PDI_Cash_Exception_Application[[#This Row],[CHANGED ON]]</f>
        <v>3.7429282407392748</v>
      </c>
      <c r="N2875">
        <f ca="1">qry_ProdData2_PDI_Cash_Exception_Application[[#This Row],[TODAY]]-qry_ProdData2_PDI_Cash_Exception_Application[[#This Row],[CHANGED ON]]</f>
        <v>3.7429282407392748</v>
      </c>
    </row>
    <row r="2876" spans="1:14" x14ac:dyDescent="0.35">
      <c r="A2876">
        <v>1030</v>
      </c>
      <c r="B2876" t="s">
        <v>84</v>
      </c>
      <c r="C2876" s="1">
        <v>45187.257071759261</v>
      </c>
      <c r="D2876" t="str">
        <f ca="1">VLOOKUP(qry_ProdData2_PDI_Cash_Exception_Application[[#This Row],[TYPE]],#REF!,2,FALSE)</f>
        <v>type13</v>
      </c>
      <c r="E2876">
        <v>14324.92</v>
      </c>
      <c r="F2876" t="s">
        <v>50</v>
      </c>
      <c r="G2876" s="1">
        <f>qry_ProdData2_PDI_Cash_Exception_Application[[#This Row],[INSERT DATE]]+1</f>
        <v>45188.257071759261</v>
      </c>
      <c r="H2876" t="str">
        <f>VLOOKUP(qry_ProdData2_PDI_Cash_Exception_Application[[#This Row],[MARKET No]],'Site Allocation'!$B$2:$C$37,2,FALSE)</f>
        <v>Analyst6</v>
      </c>
      <c r="I2876" s="4">
        <f t="shared" ca="1" si="44"/>
        <v>45203</v>
      </c>
      <c r="J2876" s="42">
        <f ca="1">TODAY()-qry_ProdData2_PDI_Cash_Exception_Application[[#This Row],[INSERT DATE]]</f>
        <v>15.742928240739275</v>
      </c>
      <c r="K28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76">
        <f ca="1">qry_ProdData2_PDI_Cash_Exception_Application[[#This Row],[TODAY]]-qry_ProdData2_PDI_Cash_Exception_Application[[#This Row],[CHANGED ON]]</f>
        <v>14.742928240739275</v>
      </c>
      <c r="M2876">
        <f ca="1">qry_ProdData2_PDI_Cash_Exception_Application[[#This Row],[TODAY]]-qry_ProdData2_PDI_Cash_Exception_Application[[#This Row],[CHANGED ON]]</f>
        <v>14.742928240739275</v>
      </c>
      <c r="N2876">
        <f ca="1">qry_ProdData2_PDI_Cash_Exception_Application[[#This Row],[TODAY]]-qry_ProdData2_PDI_Cash_Exception_Application[[#This Row],[CHANGED ON]]</f>
        <v>14.742928240739275</v>
      </c>
    </row>
    <row r="2877" spans="1:14" x14ac:dyDescent="0.35">
      <c r="A2877">
        <v>1019</v>
      </c>
      <c r="B2877" t="s">
        <v>73</v>
      </c>
      <c r="C2877" s="1">
        <v>45187.257071759261</v>
      </c>
      <c r="D2877" t="str">
        <f ca="1">VLOOKUP(qry_ProdData2_PDI_Cash_Exception_Application[[#This Row],[TYPE]],#REF!,2,FALSE)</f>
        <v>type13</v>
      </c>
      <c r="E2877">
        <v>14396.85</v>
      </c>
      <c r="F2877" t="s">
        <v>50</v>
      </c>
      <c r="G2877" s="1">
        <f>qry_ProdData2_PDI_Cash_Exception_Application[[#This Row],[INSERT DATE]]+1</f>
        <v>45188.257071759261</v>
      </c>
      <c r="H2877" t="str">
        <f>VLOOKUP(qry_ProdData2_PDI_Cash_Exception_Application[[#This Row],[MARKET No]],'Site Allocation'!$B$2:$C$37,2,FALSE)</f>
        <v>Analyst4</v>
      </c>
      <c r="I2877" s="4">
        <f t="shared" ca="1" si="44"/>
        <v>45203</v>
      </c>
      <c r="J2877" s="42">
        <f ca="1">TODAY()-qry_ProdData2_PDI_Cash_Exception_Application[[#This Row],[INSERT DATE]]</f>
        <v>15.742928240739275</v>
      </c>
      <c r="K28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77">
        <f ca="1">qry_ProdData2_PDI_Cash_Exception_Application[[#This Row],[TODAY]]-qry_ProdData2_PDI_Cash_Exception_Application[[#This Row],[CHANGED ON]]</f>
        <v>14.742928240739275</v>
      </c>
      <c r="M2877">
        <f ca="1">qry_ProdData2_PDI_Cash_Exception_Application[[#This Row],[TODAY]]-qry_ProdData2_PDI_Cash_Exception_Application[[#This Row],[CHANGED ON]]</f>
        <v>14.742928240739275</v>
      </c>
      <c r="N2877">
        <f ca="1">qry_ProdData2_PDI_Cash_Exception_Application[[#This Row],[TODAY]]-qry_ProdData2_PDI_Cash_Exception_Application[[#This Row],[CHANGED ON]]</f>
        <v>14.742928240739275</v>
      </c>
    </row>
    <row r="2878" spans="1:14" x14ac:dyDescent="0.35">
      <c r="A2878">
        <v>1023</v>
      </c>
      <c r="B2878" t="s">
        <v>77</v>
      </c>
      <c r="C2878" s="1">
        <v>45188.257071759261</v>
      </c>
      <c r="D2878" t="str">
        <f ca="1">VLOOKUP(qry_ProdData2_PDI_Cash_Exception_Application[[#This Row],[TYPE]],#REF!,2,FALSE)</f>
        <v>type13</v>
      </c>
      <c r="E2878">
        <v>14595.25</v>
      </c>
      <c r="F2878" t="s">
        <v>52</v>
      </c>
      <c r="G2878" s="1">
        <f>qry_ProdData2_PDI_Cash_Exception_Application[[#This Row],[INSERT DATE]]+1</f>
        <v>45189.257071759261</v>
      </c>
      <c r="H2878" t="str">
        <f>VLOOKUP(qry_ProdData2_PDI_Cash_Exception_Application[[#This Row],[MARKET No]],'Site Allocation'!$B$2:$C$37,2,FALSE)</f>
        <v>Analyst4</v>
      </c>
      <c r="I2878" s="4">
        <f t="shared" ca="1" si="44"/>
        <v>45203</v>
      </c>
      <c r="J2878" s="42">
        <f ca="1">TODAY()-qry_ProdData2_PDI_Cash_Exception_Application[[#This Row],[INSERT DATE]]</f>
        <v>14.742928240739275</v>
      </c>
      <c r="K28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78">
        <f ca="1">qry_ProdData2_PDI_Cash_Exception_Application[[#This Row],[TODAY]]-qry_ProdData2_PDI_Cash_Exception_Application[[#This Row],[CHANGED ON]]</f>
        <v>13.742928240739275</v>
      </c>
      <c r="M2878">
        <f ca="1">qry_ProdData2_PDI_Cash_Exception_Application[[#This Row],[TODAY]]-qry_ProdData2_PDI_Cash_Exception_Application[[#This Row],[CHANGED ON]]</f>
        <v>13.742928240739275</v>
      </c>
      <c r="N2878">
        <f ca="1">qry_ProdData2_PDI_Cash_Exception_Application[[#This Row],[TODAY]]-qry_ProdData2_PDI_Cash_Exception_Application[[#This Row],[CHANGED ON]]</f>
        <v>13.742928240739275</v>
      </c>
    </row>
    <row r="2879" spans="1:14" x14ac:dyDescent="0.35">
      <c r="A2879">
        <v>1008</v>
      </c>
      <c r="B2879" t="s">
        <v>62</v>
      </c>
      <c r="C2879" s="1">
        <v>45189.257071759261</v>
      </c>
      <c r="D2879" t="str">
        <f ca="1">VLOOKUP(qry_ProdData2_PDI_Cash_Exception_Application[[#This Row],[TYPE]],#REF!,2,FALSE)</f>
        <v>type13</v>
      </c>
      <c r="E2879">
        <v>18085.02</v>
      </c>
      <c r="F2879" t="s">
        <v>50</v>
      </c>
      <c r="G2879" s="1">
        <f>qry_ProdData2_PDI_Cash_Exception_Application[[#This Row],[INSERT DATE]]+1</f>
        <v>45190.257071759261</v>
      </c>
      <c r="H2879" t="str">
        <f>VLOOKUP(qry_ProdData2_PDI_Cash_Exception_Application[[#This Row],[MARKET No]],'Site Allocation'!$B$2:$C$37,2,FALSE)</f>
        <v>Analyst2</v>
      </c>
      <c r="I2879" s="4">
        <f t="shared" ca="1" si="44"/>
        <v>45203</v>
      </c>
      <c r="J2879" s="42">
        <f ca="1">TODAY()-qry_ProdData2_PDI_Cash_Exception_Application[[#This Row],[INSERT DATE]]</f>
        <v>13.742928240739275</v>
      </c>
      <c r="K28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79">
        <f ca="1">qry_ProdData2_PDI_Cash_Exception_Application[[#This Row],[TODAY]]-qry_ProdData2_PDI_Cash_Exception_Application[[#This Row],[CHANGED ON]]</f>
        <v>12.742928240739275</v>
      </c>
      <c r="M2879">
        <f ca="1">qry_ProdData2_PDI_Cash_Exception_Application[[#This Row],[TODAY]]-qry_ProdData2_PDI_Cash_Exception_Application[[#This Row],[CHANGED ON]]</f>
        <v>12.742928240739275</v>
      </c>
      <c r="N2879">
        <f ca="1">qry_ProdData2_PDI_Cash_Exception_Application[[#This Row],[TODAY]]-qry_ProdData2_PDI_Cash_Exception_Application[[#This Row],[CHANGED ON]]</f>
        <v>12.742928240739275</v>
      </c>
    </row>
    <row r="2880" spans="1:14" x14ac:dyDescent="0.35">
      <c r="A2880">
        <v>1027</v>
      </c>
      <c r="B2880" t="s">
        <v>81</v>
      </c>
      <c r="C2880" s="1">
        <v>45189.257071759261</v>
      </c>
      <c r="D2880" t="str">
        <f ca="1">VLOOKUP(qry_ProdData2_PDI_Cash_Exception_Application[[#This Row],[TYPE]],#REF!,2,FALSE)</f>
        <v>type13</v>
      </c>
      <c r="E2880">
        <v>13068</v>
      </c>
      <c r="F2880" t="s">
        <v>50</v>
      </c>
      <c r="G2880" s="1">
        <f>qry_ProdData2_PDI_Cash_Exception_Application[[#This Row],[INSERT DATE]]+1</f>
        <v>45190.257071759261</v>
      </c>
      <c r="H2880" t="str">
        <f>VLOOKUP(qry_ProdData2_PDI_Cash_Exception_Application[[#This Row],[MARKET No]],'Site Allocation'!$B$2:$C$37,2,FALSE)</f>
        <v>Analyst5</v>
      </c>
      <c r="I2880" s="4">
        <f t="shared" ca="1" si="44"/>
        <v>45203</v>
      </c>
      <c r="J2880" s="42">
        <f ca="1">TODAY()-qry_ProdData2_PDI_Cash_Exception_Application[[#This Row],[INSERT DATE]]</f>
        <v>13.742928240739275</v>
      </c>
      <c r="K28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80">
        <f ca="1">qry_ProdData2_PDI_Cash_Exception_Application[[#This Row],[TODAY]]-qry_ProdData2_PDI_Cash_Exception_Application[[#This Row],[CHANGED ON]]</f>
        <v>12.742928240739275</v>
      </c>
      <c r="M2880">
        <f ca="1">qry_ProdData2_PDI_Cash_Exception_Application[[#This Row],[TODAY]]-qry_ProdData2_PDI_Cash_Exception_Application[[#This Row],[CHANGED ON]]</f>
        <v>12.742928240739275</v>
      </c>
      <c r="N2880">
        <f ca="1">qry_ProdData2_PDI_Cash_Exception_Application[[#This Row],[TODAY]]-qry_ProdData2_PDI_Cash_Exception_Application[[#This Row],[CHANGED ON]]</f>
        <v>12.742928240739275</v>
      </c>
    </row>
    <row r="2881" spans="1:14" x14ac:dyDescent="0.35">
      <c r="A2881">
        <v>1034</v>
      </c>
      <c r="B2881" t="s">
        <v>88</v>
      </c>
      <c r="C2881" s="1">
        <v>45190.257071759261</v>
      </c>
      <c r="D2881" t="str">
        <f ca="1">VLOOKUP(qry_ProdData2_PDI_Cash_Exception_Application[[#This Row],[TYPE]],#REF!,2,FALSE)</f>
        <v>type13</v>
      </c>
      <c r="E2881">
        <v>20329.38</v>
      </c>
      <c r="F2881" t="s">
        <v>52</v>
      </c>
      <c r="G2881" s="1">
        <f>qry_ProdData2_PDI_Cash_Exception_Application[[#This Row],[INSERT DATE]]+1</f>
        <v>45191.257071759261</v>
      </c>
      <c r="H2881" t="str">
        <f>VLOOKUP(qry_ProdData2_PDI_Cash_Exception_Application[[#This Row],[MARKET No]],'Site Allocation'!$B$2:$C$37,2,FALSE)</f>
        <v>Analyst6</v>
      </c>
      <c r="I2881" s="4">
        <f t="shared" ca="1" si="44"/>
        <v>45203</v>
      </c>
      <c r="J2881" s="42">
        <f ca="1">TODAY()-qry_ProdData2_PDI_Cash_Exception_Application[[#This Row],[INSERT DATE]]</f>
        <v>12.742928240739275</v>
      </c>
      <c r="K28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81">
        <f ca="1">qry_ProdData2_PDI_Cash_Exception_Application[[#This Row],[TODAY]]-qry_ProdData2_PDI_Cash_Exception_Application[[#This Row],[CHANGED ON]]</f>
        <v>11.742928240739275</v>
      </c>
      <c r="M2881">
        <f ca="1">qry_ProdData2_PDI_Cash_Exception_Application[[#This Row],[TODAY]]-qry_ProdData2_PDI_Cash_Exception_Application[[#This Row],[CHANGED ON]]</f>
        <v>11.742928240739275</v>
      </c>
      <c r="N2881">
        <f ca="1">qry_ProdData2_PDI_Cash_Exception_Application[[#This Row],[TODAY]]-qry_ProdData2_PDI_Cash_Exception_Application[[#This Row],[CHANGED ON]]</f>
        <v>11.742928240739275</v>
      </c>
    </row>
    <row r="2882" spans="1:14" x14ac:dyDescent="0.35">
      <c r="A2882">
        <v>1034</v>
      </c>
      <c r="B2882" t="s">
        <v>88</v>
      </c>
      <c r="C2882" s="1">
        <v>45185.257071759261</v>
      </c>
      <c r="D2882" t="str">
        <f ca="1">VLOOKUP(qry_ProdData2_PDI_Cash_Exception_Application[[#This Row],[TYPE]],#REF!,2,FALSE)</f>
        <v>type40</v>
      </c>
      <c r="E2882">
        <v>3969.57</v>
      </c>
      <c r="F2882" t="s">
        <v>48</v>
      </c>
      <c r="G2882" s="1">
        <f>qry_ProdData2_PDI_Cash_Exception_Application[[#This Row],[INSERT DATE]]+1</f>
        <v>45186.257071759261</v>
      </c>
      <c r="H2882" t="str">
        <f>VLOOKUP(qry_ProdData2_PDI_Cash_Exception_Application[[#This Row],[MARKET No]],'Site Allocation'!$B$2:$C$37,2,FALSE)</f>
        <v>Analyst6</v>
      </c>
      <c r="I2882" s="4">
        <f t="shared" ref="I2882:I2945" ca="1" si="45">TODAY()</f>
        <v>45203</v>
      </c>
      <c r="J2882" s="42">
        <f ca="1">TODAY()-qry_ProdData2_PDI_Cash_Exception_Application[[#This Row],[INSERT DATE]]</f>
        <v>17.742928240739275</v>
      </c>
      <c r="K28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82">
        <f ca="1">qry_ProdData2_PDI_Cash_Exception_Application[[#This Row],[TODAY]]-qry_ProdData2_PDI_Cash_Exception_Application[[#This Row],[CHANGED ON]]</f>
        <v>16.742928240739275</v>
      </c>
      <c r="M2882">
        <f ca="1">qry_ProdData2_PDI_Cash_Exception_Application[[#This Row],[TODAY]]-qry_ProdData2_PDI_Cash_Exception_Application[[#This Row],[CHANGED ON]]</f>
        <v>16.742928240739275</v>
      </c>
      <c r="N2882">
        <f ca="1">qry_ProdData2_PDI_Cash_Exception_Application[[#This Row],[TODAY]]-qry_ProdData2_PDI_Cash_Exception_Application[[#This Row],[CHANGED ON]]</f>
        <v>16.742928240739275</v>
      </c>
    </row>
    <row r="2883" spans="1:14" x14ac:dyDescent="0.35">
      <c r="A2883">
        <v>1014</v>
      </c>
      <c r="B2883" t="s">
        <v>68</v>
      </c>
      <c r="C2883" s="1">
        <v>45197.257071759261</v>
      </c>
      <c r="D2883" t="str">
        <f ca="1">VLOOKUP(qry_ProdData2_PDI_Cash_Exception_Application[[#This Row],[TYPE]],#REF!,2,FALSE)</f>
        <v>type40</v>
      </c>
      <c r="E2883">
        <v>648.66</v>
      </c>
      <c r="F2883" t="s">
        <v>47</v>
      </c>
      <c r="G2883" s="1">
        <f>qry_ProdData2_PDI_Cash_Exception_Application[[#This Row],[INSERT DATE]]+1</f>
        <v>45198.257071759261</v>
      </c>
      <c r="H2883" t="str">
        <f>VLOOKUP(qry_ProdData2_PDI_Cash_Exception_Application[[#This Row],[MARKET No]],'Site Allocation'!$B$2:$C$37,2,FALSE)</f>
        <v>Analyst3</v>
      </c>
      <c r="I2883" s="4">
        <f t="shared" ca="1" si="45"/>
        <v>45203</v>
      </c>
      <c r="J2883" s="42">
        <f ca="1">TODAY()-qry_ProdData2_PDI_Cash_Exception_Application[[#This Row],[INSERT DATE]]</f>
        <v>5.7429282407392748</v>
      </c>
      <c r="K28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83">
        <f ca="1">qry_ProdData2_PDI_Cash_Exception_Application[[#This Row],[TODAY]]-qry_ProdData2_PDI_Cash_Exception_Application[[#This Row],[CHANGED ON]]</f>
        <v>4.7429282407392748</v>
      </c>
      <c r="M2883">
        <f ca="1">qry_ProdData2_PDI_Cash_Exception_Application[[#This Row],[TODAY]]-qry_ProdData2_PDI_Cash_Exception_Application[[#This Row],[CHANGED ON]]</f>
        <v>4.7429282407392748</v>
      </c>
      <c r="N2883">
        <f ca="1">qry_ProdData2_PDI_Cash_Exception_Application[[#This Row],[TODAY]]-qry_ProdData2_PDI_Cash_Exception_Application[[#This Row],[CHANGED ON]]</f>
        <v>4.7429282407392748</v>
      </c>
    </row>
    <row r="2884" spans="1:14" x14ac:dyDescent="0.35">
      <c r="A2884">
        <v>1000</v>
      </c>
      <c r="B2884" t="s">
        <v>54</v>
      </c>
      <c r="C2884" s="1">
        <v>45185.257071759261</v>
      </c>
      <c r="D2884" t="str">
        <f ca="1">VLOOKUP(qry_ProdData2_PDI_Cash_Exception_Application[[#This Row],[TYPE]],#REF!,2,FALSE)</f>
        <v>type40</v>
      </c>
      <c r="E2884">
        <v>-997.75</v>
      </c>
      <c r="F2884" t="s">
        <v>48</v>
      </c>
      <c r="G2884" s="1">
        <f>qry_ProdData2_PDI_Cash_Exception_Application[[#This Row],[INSERT DATE]]+1</f>
        <v>45186.257071759261</v>
      </c>
      <c r="H2884" t="str">
        <f>VLOOKUP(qry_ProdData2_PDI_Cash_Exception_Application[[#This Row],[MARKET No]],'Site Allocation'!$B$2:$C$37,2,FALSE)</f>
        <v>Analyst1</v>
      </c>
      <c r="I2884" s="4">
        <f t="shared" ca="1" si="45"/>
        <v>45203</v>
      </c>
      <c r="J2884" s="42">
        <f ca="1">TODAY()-qry_ProdData2_PDI_Cash_Exception_Application[[#This Row],[INSERT DATE]]</f>
        <v>17.742928240739275</v>
      </c>
      <c r="K28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84">
        <f ca="1">qry_ProdData2_PDI_Cash_Exception_Application[[#This Row],[TODAY]]-qry_ProdData2_PDI_Cash_Exception_Application[[#This Row],[CHANGED ON]]</f>
        <v>16.742928240739275</v>
      </c>
      <c r="M2884">
        <f ca="1">qry_ProdData2_PDI_Cash_Exception_Application[[#This Row],[TODAY]]-qry_ProdData2_PDI_Cash_Exception_Application[[#This Row],[CHANGED ON]]</f>
        <v>16.742928240739275</v>
      </c>
      <c r="N2884">
        <f ca="1">qry_ProdData2_PDI_Cash_Exception_Application[[#This Row],[TODAY]]-qry_ProdData2_PDI_Cash_Exception_Application[[#This Row],[CHANGED ON]]</f>
        <v>16.742928240739275</v>
      </c>
    </row>
    <row r="2885" spans="1:14" x14ac:dyDescent="0.35">
      <c r="A2885">
        <v>1013</v>
      </c>
      <c r="B2885" t="s">
        <v>67</v>
      </c>
      <c r="C2885" s="1">
        <v>45197.257071759261</v>
      </c>
      <c r="D2885" t="str">
        <f ca="1">VLOOKUP(qry_ProdData2_PDI_Cash_Exception_Application[[#This Row],[TYPE]],#REF!,2,FALSE)</f>
        <v>type33</v>
      </c>
      <c r="E2885">
        <v>1085.98</v>
      </c>
      <c r="G2885" s="1">
        <f>qry_ProdData2_PDI_Cash_Exception_Application[[#This Row],[INSERT DATE]]+7</f>
        <v>45204.257071759261</v>
      </c>
      <c r="H2885" t="str">
        <f>VLOOKUP(qry_ProdData2_PDI_Cash_Exception_Application[[#This Row],[MARKET No]],'Site Allocation'!$B$2:$C$37,2,FALSE)</f>
        <v>Analyst3</v>
      </c>
      <c r="I2885" s="4">
        <f t="shared" ca="1" si="45"/>
        <v>45203</v>
      </c>
      <c r="J2885" s="42">
        <f ca="1">TODAY()-qry_ProdData2_PDI_Cash_Exception_Application[[#This Row],[INSERT DATE]]</f>
        <v>5.7429282407392748</v>
      </c>
      <c r="K28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85">
        <f ca="1">qry_ProdData2_PDI_Cash_Exception_Application[[#This Row],[TODAY]]-qry_ProdData2_PDI_Cash_Exception_Application[[#This Row],[CHANGED ON]]</f>
        <v>-1.2570717592607252</v>
      </c>
      <c r="M2885">
        <f ca="1">qry_ProdData2_PDI_Cash_Exception_Application[[#This Row],[TODAY]]-qry_ProdData2_PDI_Cash_Exception_Application[[#This Row],[CHANGED ON]]</f>
        <v>-1.2570717592607252</v>
      </c>
      <c r="N2885">
        <f ca="1">qry_ProdData2_PDI_Cash_Exception_Application[[#This Row],[TODAY]]-qry_ProdData2_PDI_Cash_Exception_Application[[#This Row],[CHANGED ON]]</f>
        <v>-1.2570717592607252</v>
      </c>
    </row>
    <row r="2886" spans="1:14" x14ac:dyDescent="0.35">
      <c r="A2886">
        <v>1006</v>
      </c>
      <c r="B2886" t="s">
        <v>60</v>
      </c>
      <c r="C2886" s="1">
        <v>45197.257071759261</v>
      </c>
      <c r="D2886" t="str">
        <f ca="1">VLOOKUP(qry_ProdData2_PDI_Cash_Exception_Application[[#This Row],[TYPE]],#REF!,2,FALSE)</f>
        <v>type40</v>
      </c>
      <c r="E2886">
        <v>-328.11</v>
      </c>
      <c r="G2886" s="1">
        <f>qry_ProdData2_PDI_Cash_Exception_Application[[#This Row],[INSERT DATE]]+2</f>
        <v>45199.257071759261</v>
      </c>
      <c r="H2886" t="str">
        <f>VLOOKUP(qry_ProdData2_PDI_Cash_Exception_Application[[#This Row],[MARKET No]],'Site Allocation'!$B$2:$C$37,2,FALSE)</f>
        <v>Analyst2</v>
      </c>
      <c r="I2886" s="4">
        <f t="shared" ca="1" si="45"/>
        <v>45203</v>
      </c>
      <c r="J2886" s="42">
        <f ca="1">TODAY()-qry_ProdData2_PDI_Cash_Exception_Application[[#This Row],[INSERT DATE]]</f>
        <v>5.7429282407392748</v>
      </c>
      <c r="K28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86">
        <f ca="1">qry_ProdData2_PDI_Cash_Exception_Application[[#This Row],[TODAY]]-qry_ProdData2_PDI_Cash_Exception_Application[[#This Row],[CHANGED ON]]</f>
        <v>3.7429282407392748</v>
      </c>
      <c r="M2886">
        <f ca="1">qry_ProdData2_PDI_Cash_Exception_Application[[#This Row],[TODAY]]-qry_ProdData2_PDI_Cash_Exception_Application[[#This Row],[CHANGED ON]]</f>
        <v>3.7429282407392748</v>
      </c>
      <c r="N2886">
        <f ca="1">qry_ProdData2_PDI_Cash_Exception_Application[[#This Row],[TODAY]]-qry_ProdData2_PDI_Cash_Exception_Application[[#This Row],[CHANGED ON]]</f>
        <v>3.7429282407392748</v>
      </c>
    </row>
    <row r="2887" spans="1:14" x14ac:dyDescent="0.35">
      <c r="A2887">
        <v>1032</v>
      </c>
      <c r="B2887" t="s">
        <v>86</v>
      </c>
      <c r="C2887" s="1">
        <v>45195.257071759261</v>
      </c>
      <c r="D2887" t="str">
        <f ca="1">VLOOKUP(qry_ProdData2_PDI_Cash_Exception_Application[[#This Row],[TYPE]],#REF!,2,FALSE)</f>
        <v>type13</v>
      </c>
      <c r="E2887">
        <v>13770.89</v>
      </c>
      <c r="F2887" t="s">
        <v>52</v>
      </c>
      <c r="G2887" s="1">
        <f>qry_ProdData2_PDI_Cash_Exception_Application[[#This Row],[INSERT DATE]]+2</f>
        <v>45197.257071759261</v>
      </c>
      <c r="H2887" t="str">
        <f>VLOOKUP(qry_ProdData2_PDI_Cash_Exception_Application[[#This Row],[MARKET No]],'Site Allocation'!$B$2:$C$37,2,FALSE)</f>
        <v>Analyst6</v>
      </c>
      <c r="I2887" s="4">
        <f t="shared" ca="1" si="45"/>
        <v>45203</v>
      </c>
      <c r="J2887" s="42">
        <f ca="1">TODAY()-qry_ProdData2_PDI_Cash_Exception_Application[[#This Row],[INSERT DATE]]</f>
        <v>7.7429282407392748</v>
      </c>
      <c r="K28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87">
        <f ca="1">qry_ProdData2_PDI_Cash_Exception_Application[[#This Row],[TODAY]]-qry_ProdData2_PDI_Cash_Exception_Application[[#This Row],[CHANGED ON]]</f>
        <v>5.7429282407392748</v>
      </c>
      <c r="M2887">
        <f ca="1">qry_ProdData2_PDI_Cash_Exception_Application[[#This Row],[TODAY]]-qry_ProdData2_PDI_Cash_Exception_Application[[#This Row],[CHANGED ON]]</f>
        <v>5.7429282407392748</v>
      </c>
      <c r="N2887">
        <f ca="1">qry_ProdData2_PDI_Cash_Exception_Application[[#This Row],[TODAY]]-qry_ProdData2_PDI_Cash_Exception_Application[[#This Row],[CHANGED ON]]</f>
        <v>5.7429282407392748</v>
      </c>
    </row>
    <row r="2888" spans="1:14" x14ac:dyDescent="0.35">
      <c r="A2888">
        <v>1030</v>
      </c>
      <c r="B2888" t="s">
        <v>84</v>
      </c>
      <c r="C2888" s="1">
        <v>45196.257071759261</v>
      </c>
      <c r="D2888" t="str">
        <f ca="1">VLOOKUP(qry_ProdData2_PDI_Cash_Exception_Application[[#This Row],[TYPE]],#REF!,2,FALSE)</f>
        <v>type13</v>
      </c>
      <c r="E2888">
        <v>12355</v>
      </c>
      <c r="F2888" t="s">
        <v>50</v>
      </c>
      <c r="G2888" s="1">
        <f>qry_ProdData2_PDI_Cash_Exception_Application[[#This Row],[INSERT DATE]]+2</f>
        <v>45198.257071759261</v>
      </c>
      <c r="H2888" t="str">
        <f>VLOOKUP(qry_ProdData2_PDI_Cash_Exception_Application[[#This Row],[MARKET No]],'Site Allocation'!$B$2:$C$37,2,FALSE)</f>
        <v>Analyst6</v>
      </c>
      <c r="I2888" s="4">
        <f t="shared" ca="1" si="45"/>
        <v>45203</v>
      </c>
      <c r="J2888" s="42">
        <f ca="1">TODAY()-qry_ProdData2_PDI_Cash_Exception_Application[[#This Row],[INSERT DATE]]</f>
        <v>6.7429282407392748</v>
      </c>
      <c r="K28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888">
        <f ca="1">qry_ProdData2_PDI_Cash_Exception_Application[[#This Row],[TODAY]]-qry_ProdData2_PDI_Cash_Exception_Application[[#This Row],[CHANGED ON]]</f>
        <v>4.7429282407392748</v>
      </c>
      <c r="M2888">
        <f ca="1">qry_ProdData2_PDI_Cash_Exception_Application[[#This Row],[TODAY]]-qry_ProdData2_PDI_Cash_Exception_Application[[#This Row],[CHANGED ON]]</f>
        <v>4.7429282407392748</v>
      </c>
      <c r="N2888">
        <f ca="1">qry_ProdData2_PDI_Cash_Exception_Application[[#This Row],[TODAY]]-qry_ProdData2_PDI_Cash_Exception_Application[[#This Row],[CHANGED ON]]</f>
        <v>4.7429282407392748</v>
      </c>
    </row>
    <row r="2889" spans="1:14" x14ac:dyDescent="0.35">
      <c r="A2889">
        <v>1025</v>
      </c>
      <c r="B2889" t="s">
        <v>79</v>
      </c>
      <c r="C2889" s="1">
        <v>45197.257071759261</v>
      </c>
      <c r="D2889" t="str">
        <f ca="1">VLOOKUP(qry_ProdData2_PDI_Cash_Exception_Application[[#This Row],[TYPE]],#REF!,2,FALSE)</f>
        <v>type13</v>
      </c>
      <c r="E2889">
        <v>78417.740000000005</v>
      </c>
      <c r="F2889" t="s">
        <v>49</v>
      </c>
      <c r="G2889" s="1">
        <f>qry_ProdData2_PDI_Cash_Exception_Application[[#This Row],[INSERT DATE]]+5</f>
        <v>45202.257071759261</v>
      </c>
      <c r="H2889" t="str">
        <f>VLOOKUP(qry_ProdData2_PDI_Cash_Exception_Application[[#This Row],[MARKET No]],'Site Allocation'!$B$2:$C$37,2,FALSE)</f>
        <v>Analyst5</v>
      </c>
      <c r="I2889" s="4">
        <f t="shared" ca="1" si="45"/>
        <v>45203</v>
      </c>
      <c r="J2889" s="42">
        <f ca="1">TODAY()-qry_ProdData2_PDI_Cash_Exception_Application[[#This Row],[INSERT DATE]]</f>
        <v>5.7429282407392748</v>
      </c>
      <c r="K28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89">
        <f ca="1">qry_ProdData2_PDI_Cash_Exception_Application[[#This Row],[TODAY]]-qry_ProdData2_PDI_Cash_Exception_Application[[#This Row],[CHANGED ON]]</f>
        <v>0.74292824073927477</v>
      </c>
      <c r="M2889">
        <f ca="1">qry_ProdData2_PDI_Cash_Exception_Application[[#This Row],[TODAY]]-qry_ProdData2_PDI_Cash_Exception_Application[[#This Row],[CHANGED ON]]</f>
        <v>0.74292824073927477</v>
      </c>
      <c r="N2889">
        <f ca="1">qry_ProdData2_PDI_Cash_Exception_Application[[#This Row],[TODAY]]-qry_ProdData2_PDI_Cash_Exception_Application[[#This Row],[CHANGED ON]]</f>
        <v>0.74292824073927477</v>
      </c>
    </row>
    <row r="2890" spans="1:14" x14ac:dyDescent="0.35">
      <c r="A2890">
        <v>1001</v>
      </c>
      <c r="B2890" t="s">
        <v>55</v>
      </c>
      <c r="C2890" s="1">
        <v>45179.257071759261</v>
      </c>
      <c r="D2890" t="str">
        <f ca="1">VLOOKUP(qry_ProdData2_PDI_Cash_Exception_Application[[#This Row],[TYPE]],#REF!,2,FALSE)</f>
        <v>type13</v>
      </c>
      <c r="E2890">
        <v>19606.22</v>
      </c>
      <c r="F2890" t="s">
        <v>52</v>
      </c>
      <c r="G2890" s="1">
        <f>qry_ProdData2_PDI_Cash_Exception_Application[[#This Row],[INSERT DATE]]+2</f>
        <v>45181.257071759261</v>
      </c>
      <c r="H2890" t="str">
        <f>VLOOKUP(qry_ProdData2_PDI_Cash_Exception_Application[[#This Row],[MARKET No]],'Site Allocation'!$B$2:$C$37,2,FALSE)</f>
        <v>Analyst1</v>
      </c>
      <c r="I2890" s="4">
        <f t="shared" ca="1" si="45"/>
        <v>45203</v>
      </c>
      <c r="J2890" s="42">
        <f ca="1">TODAY()-qry_ProdData2_PDI_Cash_Exception_Application[[#This Row],[INSERT DATE]]</f>
        <v>23.742928240739275</v>
      </c>
      <c r="K28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90">
        <f ca="1">qry_ProdData2_PDI_Cash_Exception_Application[[#This Row],[TODAY]]-qry_ProdData2_PDI_Cash_Exception_Application[[#This Row],[CHANGED ON]]</f>
        <v>21.742928240739275</v>
      </c>
      <c r="M2890">
        <f ca="1">qry_ProdData2_PDI_Cash_Exception_Application[[#This Row],[TODAY]]-qry_ProdData2_PDI_Cash_Exception_Application[[#This Row],[CHANGED ON]]</f>
        <v>21.742928240739275</v>
      </c>
      <c r="N2890">
        <f ca="1">qry_ProdData2_PDI_Cash_Exception_Application[[#This Row],[TODAY]]-qry_ProdData2_PDI_Cash_Exception_Application[[#This Row],[CHANGED ON]]</f>
        <v>21.742928240739275</v>
      </c>
    </row>
    <row r="2891" spans="1:14" x14ac:dyDescent="0.35">
      <c r="A2891">
        <v>1000</v>
      </c>
      <c r="B2891" t="s">
        <v>54</v>
      </c>
      <c r="C2891" s="1">
        <v>45186.257071759261</v>
      </c>
      <c r="D2891" t="str">
        <f ca="1">VLOOKUP(qry_ProdData2_PDI_Cash_Exception_Application[[#This Row],[TYPE]],#REF!,2,FALSE)</f>
        <v>type42</v>
      </c>
      <c r="E2891">
        <v>204</v>
      </c>
      <c r="F2891" t="s">
        <v>48</v>
      </c>
      <c r="G2891" s="1">
        <f>qry_ProdData2_PDI_Cash_Exception_Application[[#This Row],[INSERT DATE]]+1</f>
        <v>45187.257071759261</v>
      </c>
      <c r="H2891" t="str">
        <f>VLOOKUP(qry_ProdData2_PDI_Cash_Exception_Application[[#This Row],[MARKET No]],'Site Allocation'!$B$2:$C$37,2,FALSE)</f>
        <v>Analyst1</v>
      </c>
      <c r="I2891" s="4">
        <f t="shared" ca="1" si="45"/>
        <v>45203</v>
      </c>
      <c r="J2891" s="42">
        <f ca="1">TODAY()-qry_ProdData2_PDI_Cash_Exception_Application[[#This Row],[INSERT DATE]]</f>
        <v>16.742928240739275</v>
      </c>
      <c r="K28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91">
        <f ca="1">qry_ProdData2_PDI_Cash_Exception_Application[[#This Row],[TODAY]]-qry_ProdData2_PDI_Cash_Exception_Application[[#This Row],[CHANGED ON]]</f>
        <v>15.742928240739275</v>
      </c>
      <c r="M2891">
        <f ca="1">qry_ProdData2_PDI_Cash_Exception_Application[[#This Row],[TODAY]]-qry_ProdData2_PDI_Cash_Exception_Application[[#This Row],[CHANGED ON]]</f>
        <v>15.742928240739275</v>
      </c>
      <c r="N2891">
        <f ca="1">qry_ProdData2_PDI_Cash_Exception_Application[[#This Row],[TODAY]]-qry_ProdData2_PDI_Cash_Exception_Application[[#This Row],[CHANGED ON]]</f>
        <v>15.742928240739275</v>
      </c>
    </row>
    <row r="2892" spans="1:14" x14ac:dyDescent="0.35">
      <c r="A2892">
        <v>1023</v>
      </c>
      <c r="B2892" t="s">
        <v>77</v>
      </c>
      <c r="C2892" s="1">
        <v>45197.257071759261</v>
      </c>
      <c r="D2892" t="str">
        <f ca="1">VLOOKUP(qry_ProdData2_PDI_Cash_Exception_Application[[#This Row],[TYPE]],#REF!,2,FALSE)</f>
        <v>type35</v>
      </c>
      <c r="E2892">
        <v>1104.1500000000001</v>
      </c>
      <c r="F2892" t="s">
        <v>49</v>
      </c>
      <c r="G2892" s="1">
        <f>qry_ProdData2_PDI_Cash_Exception_Application[[#This Row],[INSERT DATE]]+2</f>
        <v>45199.257071759261</v>
      </c>
      <c r="H2892" t="str">
        <f>VLOOKUP(qry_ProdData2_PDI_Cash_Exception_Application[[#This Row],[MARKET No]],'Site Allocation'!$B$2:$C$37,2,FALSE)</f>
        <v>Analyst4</v>
      </c>
      <c r="I2892" s="4">
        <f t="shared" ca="1" si="45"/>
        <v>45203</v>
      </c>
      <c r="J2892" s="42">
        <f ca="1">TODAY()-qry_ProdData2_PDI_Cash_Exception_Application[[#This Row],[INSERT DATE]]</f>
        <v>5.7429282407392748</v>
      </c>
      <c r="K28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892">
        <f ca="1">qry_ProdData2_PDI_Cash_Exception_Application[[#This Row],[TODAY]]-qry_ProdData2_PDI_Cash_Exception_Application[[#This Row],[CHANGED ON]]</f>
        <v>3.7429282407392748</v>
      </c>
      <c r="M2892">
        <f ca="1">qry_ProdData2_PDI_Cash_Exception_Application[[#This Row],[TODAY]]-qry_ProdData2_PDI_Cash_Exception_Application[[#This Row],[CHANGED ON]]</f>
        <v>3.7429282407392748</v>
      </c>
      <c r="N2892">
        <f ca="1">qry_ProdData2_PDI_Cash_Exception_Application[[#This Row],[TODAY]]-qry_ProdData2_PDI_Cash_Exception_Application[[#This Row],[CHANGED ON]]</f>
        <v>3.7429282407392748</v>
      </c>
    </row>
    <row r="2893" spans="1:14" x14ac:dyDescent="0.35">
      <c r="A2893">
        <v>1026</v>
      </c>
      <c r="B2893" t="s">
        <v>80</v>
      </c>
      <c r="C2893" s="1">
        <v>45182.257071759261</v>
      </c>
      <c r="D2893" t="str">
        <f ca="1">VLOOKUP(qry_ProdData2_PDI_Cash_Exception_Application[[#This Row],[TYPE]],#REF!,2,FALSE)</f>
        <v>type13</v>
      </c>
      <c r="E2893">
        <v>15930.76</v>
      </c>
      <c r="F2893" t="s">
        <v>50</v>
      </c>
      <c r="G2893" s="1">
        <f>qry_ProdData2_PDI_Cash_Exception_Application[[#This Row],[INSERT DATE]]+2</f>
        <v>45184.257071759261</v>
      </c>
      <c r="H2893" t="str">
        <f>VLOOKUP(qry_ProdData2_PDI_Cash_Exception_Application[[#This Row],[MARKET No]],'Site Allocation'!$B$2:$C$37,2,FALSE)</f>
        <v>Analyst5</v>
      </c>
      <c r="I2893" s="4">
        <f t="shared" ca="1" si="45"/>
        <v>45203</v>
      </c>
      <c r="J2893" s="42">
        <f ca="1">TODAY()-qry_ProdData2_PDI_Cash_Exception_Application[[#This Row],[INSERT DATE]]</f>
        <v>20.742928240739275</v>
      </c>
      <c r="K28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93">
        <f ca="1">qry_ProdData2_PDI_Cash_Exception_Application[[#This Row],[TODAY]]-qry_ProdData2_PDI_Cash_Exception_Application[[#This Row],[CHANGED ON]]</f>
        <v>18.742928240739275</v>
      </c>
      <c r="M2893">
        <f ca="1">qry_ProdData2_PDI_Cash_Exception_Application[[#This Row],[TODAY]]-qry_ProdData2_PDI_Cash_Exception_Application[[#This Row],[CHANGED ON]]</f>
        <v>18.742928240739275</v>
      </c>
      <c r="N2893">
        <f ca="1">qry_ProdData2_PDI_Cash_Exception_Application[[#This Row],[TODAY]]-qry_ProdData2_PDI_Cash_Exception_Application[[#This Row],[CHANGED ON]]</f>
        <v>18.742928240739275</v>
      </c>
    </row>
    <row r="2894" spans="1:14" x14ac:dyDescent="0.35">
      <c r="A2894">
        <v>1018</v>
      </c>
      <c r="B2894" t="s">
        <v>72</v>
      </c>
      <c r="C2894" s="1">
        <v>45190.257071759261</v>
      </c>
      <c r="D2894" t="str">
        <f ca="1">VLOOKUP(qry_ProdData2_PDI_Cash_Exception_Application[[#This Row],[TYPE]],#REF!,2,FALSE)</f>
        <v>type7</v>
      </c>
      <c r="E2894">
        <v>-1139.94</v>
      </c>
      <c r="F2894" t="s">
        <v>48</v>
      </c>
      <c r="G2894" s="1">
        <f>qry_ProdData2_PDI_Cash_Exception_Application[[#This Row],[INSERT DATE]]+1</f>
        <v>45191.257071759261</v>
      </c>
      <c r="H2894" t="str">
        <f>VLOOKUP(qry_ProdData2_PDI_Cash_Exception_Application[[#This Row],[MARKET No]],'Site Allocation'!$B$2:$C$37,2,FALSE)</f>
        <v>Analyst4</v>
      </c>
      <c r="I2894" s="4">
        <f t="shared" ca="1" si="45"/>
        <v>45203</v>
      </c>
      <c r="J2894" s="42">
        <f ca="1">TODAY()-qry_ProdData2_PDI_Cash_Exception_Application[[#This Row],[INSERT DATE]]</f>
        <v>12.742928240739275</v>
      </c>
      <c r="K28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94">
        <f ca="1">qry_ProdData2_PDI_Cash_Exception_Application[[#This Row],[TODAY]]-qry_ProdData2_PDI_Cash_Exception_Application[[#This Row],[CHANGED ON]]</f>
        <v>11.742928240739275</v>
      </c>
      <c r="M2894">
        <f ca="1">qry_ProdData2_PDI_Cash_Exception_Application[[#This Row],[TODAY]]-qry_ProdData2_PDI_Cash_Exception_Application[[#This Row],[CHANGED ON]]</f>
        <v>11.742928240739275</v>
      </c>
      <c r="N2894">
        <f ca="1">qry_ProdData2_PDI_Cash_Exception_Application[[#This Row],[TODAY]]-qry_ProdData2_PDI_Cash_Exception_Application[[#This Row],[CHANGED ON]]</f>
        <v>11.742928240739275</v>
      </c>
    </row>
    <row r="2895" spans="1:14" x14ac:dyDescent="0.35">
      <c r="A2895">
        <v>1034</v>
      </c>
      <c r="B2895" t="s">
        <v>88</v>
      </c>
      <c r="C2895" s="1">
        <v>45187.257071759261</v>
      </c>
      <c r="D2895" t="str">
        <f ca="1">VLOOKUP(qry_ProdData2_PDI_Cash_Exception_Application[[#This Row],[TYPE]],#REF!,2,FALSE)</f>
        <v>type9</v>
      </c>
      <c r="E2895">
        <v>70.59</v>
      </c>
      <c r="F2895" t="s">
        <v>48</v>
      </c>
      <c r="G2895" s="1">
        <f>qry_ProdData2_PDI_Cash_Exception_Application[[#This Row],[INSERT DATE]]+5</f>
        <v>45192.257071759261</v>
      </c>
      <c r="H2895" t="str">
        <f>VLOOKUP(qry_ProdData2_PDI_Cash_Exception_Application[[#This Row],[MARKET No]],'Site Allocation'!$B$2:$C$37,2,FALSE)</f>
        <v>Analyst6</v>
      </c>
      <c r="I2895" s="4">
        <f t="shared" ca="1" si="45"/>
        <v>45203</v>
      </c>
      <c r="J2895" s="42">
        <f ca="1">TODAY()-qry_ProdData2_PDI_Cash_Exception_Application[[#This Row],[INSERT DATE]]</f>
        <v>15.742928240739275</v>
      </c>
      <c r="K28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95">
        <f ca="1">qry_ProdData2_PDI_Cash_Exception_Application[[#This Row],[TODAY]]-qry_ProdData2_PDI_Cash_Exception_Application[[#This Row],[CHANGED ON]]</f>
        <v>10.742928240739275</v>
      </c>
      <c r="M2895">
        <f ca="1">qry_ProdData2_PDI_Cash_Exception_Application[[#This Row],[TODAY]]-qry_ProdData2_PDI_Cash_Exception_Application[[#This Row],[CHANGED ON]]</f>
        <v>10.742928240739275</v>
      </c>
      <c r="N2895">
        <f ca="1">qry_ProdData2_PDI_Cash_Exception_Application[[#This Row],[TODAY]]-qry_ProdData2_PDI_Cash_Exception_Application[[#This Row],[CHANGED ON]]</f>
        <v>10.742928240739275</v>
      </c>
    </row>
    <row r="2896" spans="1:14" x14ac:dyDescent="0.35">
      <c r="A2896">
        <v>1019</v>
      </c>
      <c r="B2896" t="s">
        <v>73</v>
      </c>
      <c r="C2896" s="1">
        <v>45183.257071759261</v>
      </c>
      <c r="D2896" t="str">
        <f ca="1">VLOOKUP(qry_ProdData2_PDI_Cash_Exception_Application[[#This Row],[TYPE]],#REF!,2,FALSE)</f>
        <v>type13</v>
      </c>
      <c r="E2896">
        <v>12469</v>
      </c>
      <c r="F2896" t="s">
        <v>50</v>
      </c>
      <c r="G2896" s="1">
        <f>qry_ProdData2_PDI_Cash_Exception_Application[[#This Row],[INSERT DATE]]+2</f>
        <v>45185.257071759261</v>
      </c>
      <c r="H2896" t="str">
        <f>VLOOKUP(qry_ProdData2_PDI_Cash_Exception_Application[[#This Row],[MARKET No]],'Site Allocation'!$B$2:$C$37,2,FALSE)</f>
        <v>Analyst4</v>
      </c>
      <c r="I2896" s="4">
        <f t="shared" ca="1" si="45"/>
        <v>45203</v>
      </c>
      <c r="J2896" s="42">
        <f ca="1">TODAY()-qry_ProdData2_PDI_Cash_Exception_Application[[#This Row],[INSERT DATE]]</f>
        <v>19.742928240739275</v>
      </c>
      <c r="K28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96">
        <f ca="1">qry_ProdData2_PDI_Cash_Exception_Application[[#This Row],[TODAY]]-qry_ProdData2_PDI_Cash_Exception_Application[[#This Row],[CHANGED ON]]</f>
        <v>17.742928240739275</v>
      </c>
      <c r="M2896">
        <f ca="1">qry_ProdData2_PDI_Cash_Exception_Application[[#This Row],[TODAY]]-qry_ProdData2_PDI_Cash_Exception_Application[[#This Row],[CHANGED ON]]</f>
        <v>17.742928240739275</v>
      </c>
      <c r="N2896">
        <f ca="1">qry_ProdData2_PDI_Cash_Exception_Application[[#This Row],[TODAY]]-qry_ProdData2_PDI_Cash_Exception_Application[[#This Row],[CHANGED ON]]</f>
        <v>17.742928240739275</v>
      </c>
    </row>
    <row r="2897" spans="1:14" x14ac:dyDescent="0.35">
      <c r="A2897">
        <v>1030</v>
      </c>
      <c r="B2897" t="s">
        <v>84</v>
      </c>
      <c r="C2897" s="1">
        <v>45189.257071759261</v>
      </c>
      <c r="D2897" t="str">
        <f ca="1">VLOOKUP(qry_ProdData2_PDI_Cash_Exception_Application[[#This Row],[TYPE]],#REF!,2,FALSE)</f>
        <v>type13</v>
      </c>
      <c r="E2897">
        <v>24762.21</v>
      </c>
      <c r="F2897" t="s">
        <v>48</v>
      </c>
      <c r="G2897" s="1">
        <f>qry_ProdData2_PDI_Cash_Exception_Application[[#This Row],[INSERT DATE]]+5</f>
        <v>45194.257071759261</v>
      </c>
      <c r="H2897" t="str">
        <f>VLOOKUP(qry_ProdData2_PDI_Cash_Exception_Application[[#This Row],[MARKET No]],'Site Allocation'!$B$2:$C$37,2,FALSE)</f>
        <v>Analyst6</v>
      </c>
      <c r="I2897" s="4">
        <f t="shared" ca="1" si="45"/>
        <v>45203</v>
      </c>
      <c r="J2897" s="42">
        <f ca="1">TODAY()-qry_ProdData2_PDI_Cash_Exception_Application[[#This Row],[INSERT DATE]]</f>
        <v>13.742928240739275</v>
      </c>
      <c r="K28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97">
        <f ca="1">qry_ProdData2_PDI_Cash_Exception_Application[[#This Row],[TODAY]]-qry_ProdData2_PDI_Cash_Exception_Application[[#This Row],[CHANGED ON]]</f>
        <v>8.7429282407392748</v>
      </c>
      <c r="M2897">
        <f ca="1">qry_ProdData2_PDI_Cash_Exception_Application[[#This Row],[TODAY]]-qry_ProdData2_PDI_Cash_Exception_Application[[#This Row],[CHANGED ON]]</f>
        <v>8.7429282407392748</v>
      </c>
      <c r="N2897">
        <f ca="1">qry_ProdData2_PDI_Cash_Exception_Application[[#This Row],[TODAY]]-qry_ProdData2_PDI_Cash_Exception_Application[[#This Row],[CHANGED ON]]</f>
        <v>8.7429282407392748</v>
      </c>
    </row>
    <row r="2898" spans="1:14" x14ac:dyDescent="0.35">
      <c r="A2898">
        <v>1016</v>
      </c>
      <c r="B2898" t="s">
        <v>70</v>
      </c>
      <c r="C2898" s="1">
        <v>45184.257071759261</v>
      </c>
      <c r="D2898" t="str">
        <f ca="1">VLOOKUP(qry_ProdData2_PDI_Cash_Exception_Application[[#This Row],[TYPE]],#REF!,2,FALSE)</f>
        <v>type13</v>
      </c>
      <c r="E2898">
        <v>21518.2</v>
      </c>
      <c r="F2898" t="s">
        <v>50</v>
      </c>
      <c r="G2898" s="1">
        <f>qry_ProdData2_PDI_Cash_Exception_Application[[#This Row],[INSERT DATE]]+2</f>
        <v>45186.257071759261</v>
      </c>
      <c r="H2898" t="str">
        <f>VLOOKUP(qry_ProdData2_PDI_Cash_Exception_Application[[#This Row],[MARKET No]],'Site Allocation'!$B$2:$C$37,2,FALSE)</f>
        <v>Analyst3</v>
      </c>
      <c r="I2898" s="4">
        <f t="shared" ca="1" si="45"/>
        <v>45203</v>
      </c>
      <c r="J2898" s="42">
        <f ca="1">TODAY()-qry_ProdData2_PDI_Cash_Exception_Application[[#This Row],[INSERT DATE]]</f>
        <v>18.742928240739275</v>
      </c>
      <c r="K28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98">
        <f ca="1">qry_ProdData2_PDI_Cash_Exception_Application[[#This Row],[TODAY]]-qry_ProdData2_PDI_Cash_Exception_Application[[#This Row],[CHANGED ON]]</f>
        <v>16.742928240739275</v>
      </c>
      <c r="M2898">
        <f ca="1">qry_ProdData2_PDI_Cash_Exception_Application[[#This Row],[TODAY]]-qry_ProdData2_PDI_Cash_Exception_Application[[#This Row],[CHANGED ON]]</f>
        <v>16.742928240739275</v>
      </c>
      <c r="N2898">
        <f ca="1">qry_ProdData2_PDI_Cash_Exception_Application[[#This Row],[TODAY]]-qry_ProdData2_PDI_Cash_Exception_Application[[#This Row],[CHANGED ON]]</f>
        <v>16.742928240739275</v>
      </c>
    </row>
    <row r="2899" spans="1:14" x14ac:dyDescent="0.35">
      <c r="A2899">
        <v>1033</v>
      </c>
      <c r="B2899" t="s">
        <v>87</v>
      </c>
      <c r="C2899" s="1">
        <v>45182.257071759261</v>
      </c>
      <c r="D2899" t="str">
        <f ca="1">VLOOKUP(qry_ProdData2_PDI_Cash_Exception_Application[[#This Row],[TYPE]],#REF!,2,FALSE)</f>
        <v>type13</v>
      </c>
      <c r="E2899">
        <v>27422.2</v>
      </c>
      <c r="F2899" t="s">
        <v>48</v>
      </c>
      <c r="G2899" s="1">
        <f>qry_ProdData2_PDI_Cash_Exception_Application[[#This Row],[INSERT DATE]]+7</f>
        <v>45189.257071759261</v>
      </c>
      <c r="H2899" t="str">
        <f>VLOOKUP(qry_ProdData2_PDI_Cash_Exception_Application[[#This Row],[MARKET No]],'Site Allocation'!$B$2:$C$37,2,FALSE)</f>
        <v>Analyst6</v>
      </c>
      <c r="I2899" s="4">
        <f t="shared" ca="1" si="45"/>
        <v>45203</v>
      </c>
      <c r="J2899" s="42">
        <f ca="1">TODAY()-qry_ProdData2_PDI_Cash_Exception_Application[[#This Row],[INSERT DATE]]</f>
        <v>20.742928240739275</v>
      </c>
      <c r="K28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899">
        <f ca="1">qry_ProdData2_PDI_Cash_Exception_Application[[#This Row],[TODAY]]-qry_ProdData2_PDI_Cash_Exception_Application[[#This Row],[CHANGED ON]]</f>
        <v>13.742928240739275</v>
      </c>
      <c r="M2899">
        <f ca="1">qry_ProdData2_PDI_Cash_Exception_Application[[#This Row],[TODAY]]-qry_ProdData2_PDI_Cash_Exception_Application[[#This Row],[CHANGED ON]]</f>
        <v>13.742928240739275</v>
      </c>
      <c r="N2899">
        <f ca="1">qry_ProdData2_PDI_Cash_Exception_Application[[#This Row],[TODAY]]-qry_ProdData2_PDI_Cash_Exception_Application[[#This Row],[CHANGED ON]]</f>
        <v>13.742928240739275</v>
      </c>
    </row>
    <row r="2900" spans="1:14" x14ac:dyDescent="0.35">
      <c r="A2900">
        <v>1022</v>
      </c>
      <c r="B2900" t="s">
        <v>76</v>
      </c>
      <c r="C2900" s="1">
        <v>45183.257071759261</v>
      </c>
      <c r="D2900" t="str">
        <f ca="1">VLOOKUP(qry_ProdData2_PDI_Cash_Exception_Application[[#This Row],[TYPE]],#REF!,2,FALSE)</f>
        <v>type8</v>
      </c>
      <c r="E2900">
        <v>56</v>
      </c>
      <c r="F2900" t="s">
        <v>48</v>
      </c>
      <c r="G2900" s="1">
        <f>qry_ProdData2_PDI_Cash_Exception_Application[[#This Row],[INSERT DATE]]+7</f>
        <v>45190.257071759261</v>
      </c>
      <c r="H2900" t="str">
        <f>VLOOKUP(qry_ProdData2_PDI_Cash_Exception_Application[[#This Row],[MARKET No]],'Site Allocation'!$B$2:$C$37,2,FALSE)</f>
        <v>Analyst4</v>
      </c>
      <c r="I2900" s="4">
        <f t="shared" ca="1" si="45"/>
        <v>45203</v>
      </c>
      <c r="J2900" s="42">
        <f ca="1">TODAY()-qry_ProdData2_PDI_Cash_Exception_Application[[#This Row],[INSERT DATE]]</f>
        <v>19.742928240739275</v>
      </c>
      <c r="K29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00">
        <f ca="1">qry_ProdData2_PDI_Cash_Exception_Application[[#This Row],[TODAY]]-qry_ProdData2_PDI_Cash_Exception_Application[[#This Row],[CHANGED ON]]</f>
        <v>12.742928240739275</v>
      </c>
      <c r="M2900">
        <f ca="1">qry_ProdData2_PDI_Cash_Exception_Application[[#This Row],[TODAY]]-qry_ProdData2_PDI_Cash_Exception_Application[[#This Row],[CHANGED ON]]</f>
        <v>12.742928240739275</v>
      </c>
      <c r="N2900">
        <f ca="1">qry_ProdData2_PDI_Cash_Exception_Application[[#This Row],[TODAY]]-qry_ProdData2_PDI_Cash_Exception_Application[[#This Row],[CHANGED ON]]</f>
        <v>12.742928240739275</v>
      </c>
    </row>
    <row r="2901" spans="1:14" x14ac:dyDescent="0.35">
      <c r="A2901">
        <v>1007</v>
      </c>
      <c r="B2901" t="s">
        <v>61</v>
      </c>
      <c r="C2901" s="1">
        <v>45186.257071759261</v>
      </c>
      <c r="D2901" t="str">
        <f ca="1">VLOOKUP(qry_ProdData2_PDI_Cash_Exception_Application[[#This Row],[TYPE]],#REF!,2,FALSE)</f>
        <v>type13</v>
      </c>
      <c r="E2901">
        <v>15458.93</v>
      </c>
      <c r="F2901" t="s">
        <v>50</v>
      </c>
      <c r="G2901" s="1">
        <f>qry_ProdData2_PDI_Cash_Exception_Application[[#This Row],[INSERT DATE]]+2</f>
        <v>45188.257071759261</v>
      </c>
      <c r="H2901" t="str">
        <f>VLOOKUP(qry_ProdData2_PDI_Cash_Exception_Application[[#This Row],[MARKET No]],'Site Allocation'!$B$2:$C$37,2,FALSE)</f>
        <v>Analyst2</v>
      </c>
      <c r="I2901" s="4">
        <f t="shared" ca="1" si="45"/>
        <v>45203</v>
      </c>
      <c r="J2901" s="42">
        <f ca="1">TODAY()-qry_ProdData2_PDI_Cash_Exception_Application[[#This Row],[INSERT DATE]]</f>
        <v>16.742928240739275</v>
      </c>
      <c r="K29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01">
        <f ca="1">qry_ProdData2_PDI_Cash_Exception_Application[[#This Row],[TODAY]]-qry_ProdData2_PDI_Cash_Exception_Application[[#This Row],[CHANGED ON]]</f>
        <v>14.742928240739275</v>
      </c>
      <c r="M2901">
        <f ca="1">qry_ProdData2_PDI_Cash_Exception_Application[[#This Row],[TODAY]]-qry_ProdData2_PDI_Cash_Exception_Application[[#This Row],[CHANGED ON]]</f>
        <v>14.742928240739275</v>
      </c>
      <c r="N2901">
        <f ca="1">qry_ProdData2_PDI_Cash_Exception_Application[[#This Row],[TODAY]]-qry_ProdData2_PDI_Cash_Exception_Application[[#This Row],[CHANGED ON]]</f>
        <v>14.742928240739275</v>
      </c>
    </row>
    <row r="2902" spans="1:14" x14ac:dyDescent="0.35">
      <c r="A2902">
        <v>1032</v>
      </c>
      <c r="B2902" t="s">
        <v>86</v>
      </c>
      <c r="C2902" s="1">
        <v>45197.257071759261</v>
      </c>
      <c r="D2902" t="str">
        <f ca="1">VLOOKUP(qry_ProdData2_PDI_Cash_Exception_Application[[#This Row],[TYPE]],#REF!,2,FALSE)</f>
        <v>type40</v>
      </c>
      <c r="E2902">
        <v>1884.56</v>
      </c>
      <c r="F2902" t="s">
        <v>47</v>
      </c>
      <c r="G2902" s="1">
        <f>qry_ProdData2_PDI_Cash_Exception_Application[[#This Row],[INSERT DATE]]+2</f>
        <v>45199.257071759261</v>
      </c>
      <c r="H2902" t="str">
        <f>VLOOKUP(qry_ProdData2_PDI_Cash_Exception_Application[[#This Row],[MARKET No]],'Site Allocation'!$B$2:$C$37,2,FALSE)</f>
        <v>Analyst6</v>
      </c>
      <c r="I2902" s="4">
        <f t="shared" ca="1" si="45"/>
        <v>45203</v>
      </c>
      <c r="J2902" s="42">
        <f ca="1">TODAY()-qry_ProdData2_PDI_Cash_Exception_Application[[#This Row],[INSERT DATE]]</f>
        <v>5.7429282407392748</v>
      </c>
      <c r="K29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02">
        <f ca="1">qry_ProdData2_PDI_Cash_Exception_Application[[#This Row],[TODAY]]-qry_ProdData2_PDI_Cash_Exception_Application[[#This Row],[CHANGED ON]]</f>
        <v>3.7429282407392748</v>
      </c>
      <c r="M2902">
        <f ca="1">qry_ProdData2_PDI_Cash_Exception_Application[[#This Row],[TODAY]]-qry_ProdData2_PDI_Cash_Exception_Application[[#This Row],[CHANGED ON]]</f>
        <v>3.7429282407392748</v>
      </c>
      <c r="N2902">
        <f ca="1">qry_ProdData2_PDI_Cash_Exception_Application[[#This Row],[TODAY]]-qry_ProdData2_PDI_Cash_Exception_Application[[#This Row],[CHANGED ON]]</f>
        <v>3.7429282407392748</v>
      </c>
    </row>
    <row r="2903" spans="1:14" x14ac:dyDescent="0.35">
      <c r="A2903">
        <v>1033</v>
      </c>
      <c r="B2903" t="s">
        <v>87</v>
      </c>
      <c r="C2903" s="1">
        <v>45187.257071759261</v>
      </c>
      <c r="D2903" t="str">
        <f ca="1">VLOOKUP(qry_ProdData2_PDI_Cash_Exception_Application[[#This Row],[TYPE]],#REF!,2,FALSE)</f>
        <v>type13</v>
      </c>
      <c r="E2903">
        <v>12329</v>
      </c>
      <c r="F2903" t="s">
        <v>50</v>
      </c>
      <c r="G2903" s="1">
        <f>qry_ProdData2_PDI_Cash_Exception_Application[[#This Row],[INSERT DATE]]+2</f>
        <v>45189.257071759261</v>
      </c>
      <c r="H2903" t="str">
        <f>VLOOKUP(qry_ProdData2_PDI_Cash_Exception_Application[[#This Row],[MARKET No]],'Site Allocation'!$B$2:$C$37,2,FALSE)</f>
        <v>Analyst6</v>
      </c>
      <c r="I2903" s="4">
        <f t="shared" ca="1" si="45"/>
        <v>45203</v>
      </c>
      <c r="J2903" s="42">
        <f ca="1">TODAY()-qry_ProdData2_PDI_Cash_Exception_Application[[#This Row],[INSERT DATE]]</f>
        <v>15.742928240739275</v>
      </c>
      <c r="K29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03">
        <f ca="1">qry_ProdData2_PDI_Cash_Exception_Application[[#This Row],[TODAY]]-qry_ProdData2_PDI_Cash_Exception_Application[[#This Row],[CHANGED ON]]</f>
        <v>13.742928240739275</v>
      </c>
      <c r="M2903">
        <f ca="1">qry_ProdData2_PDI_Cash_Exception_Application[[#This Row],[TODAY]]-qry_ProdData2_PDI_Cash_Exception_Application[[#This Row],[CHANGED ON]]</f>
        <v>13.742928240739275</v>
      </c>
      <c r="N2903">
        <f ca="1">qry_ProdData2_PDI_Cash_Exception_Application[[#This Row],[TODAY]]-qry_ProdData2_PDI_Cash_Exception_Application[[#This Row],[CHANGED ON]]</f>
        <v>13.742928240739275</v>
      </c>
    </row>
    <row r="2904" spans="1:14" x14ac:dyDescent="0.35">
      <c r="A2904">
        <v>1021</v>
      </c>
      <c r="B2904" t="s">
        <v>75</v>
      </c>
      <c r="C2904" s="1">
        <v>45188.257071759261</v>
      </c>
      <c r="D2904" t="str">
        <f ca="1">VLOOKUP(qry_ProdData2_PDI_Cash_Exception_Application[[#This Row],[TYPE]],#REF!,2,FALSE)</f>
        <v>type13</v>
      </c>
      <c r="E2904">
        <v>22584.7</v>
      </c>
      <c r="F2904" t="s">
        <v>50</v>
      </c>
      <c r="G2904" s="1">
        <f>qry_ProdData2_PDI_Cash_Exception_Application[[#This Row],[INSERT DATE]]+2</f>
        <v>45190.257071759261</v>
      </c>
      <c r="H2904" t="str">
        <f>VLOOKUP(qry_ProdData2_PDI_Cash_Exception_Application[[#This Row],[MARKET No]],'Site Allocation'!$B$2:$C$37,2,FALSE)</f>
        <v>Analyst4</v>
      </c>
      <c r="I2904" s="4">
        <f t="shared" ca="1" si="45"/>
        <v>45203</v>
      </c>
      <c r="J2904" s="42">
        <f ca="1">TODAY()-qry_ProdData2_PDI_Cash_Exception_Application[[#This Row],[INSERT DATE]]</f>
        <v>14.742928240739275</v>
      </c>
      <c r="K29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04">
        <f ca="1">qry_ProdData2_PDI_Cash_Exception_Application[[#This Row],[TODAY]]-qry_ProdData2_PDI_Cash_Exception_Application[[#This Row],[CHANGED ON]]</f>
        <v>12.742928240739275</v>
      </c>
      <c r="M2904">
        <f ca="1">qry_ProdData2_PDI_Cash_Exception_Application[[#This Row],[TODAY]]-qry_ProdData2_PDI_Cash_Exception_Application[[#This Row],[CHANGED ON]]</f>
        <v>12.742928240739275</v>
      </c>
      <c r="N2904">
        <f ca="1">qry_ProdData2_PDI_Cash_Exception_Application[[#This Row],[TODAY]]-qry_ProdData2_PDI_Cash_Exception_Application[[#This Row],[CHANGED ON]]</f>
        <v>12.742928240739275</v>
      </c>
    </row>
    <row r="2905" spans="1:14" x14ac:dyDescent="0.35">
      <c r="A2905">
        <v>1001</v>
      </c>
      <c r="B2905" t="s">
        <v>55</v>
      </c>
      <c r="C2905" s="1">
        <v>45189.257071759261</v>
      </c>
      <c r="D2905" t="str">
        <f ca="1">VLOOKUP(qry_ProdData2_PDI_Cash_Exception_Application[[#This Row],[TYPE]],#REF!,2,FALSE)</f>
        <v>type13</v>
      </c>
      <c r="E2905">
        <v>24114.95</v>
      </c>
      <c r="F2905" t="s">
        <v>50</v>
      </c>
      <c r="G2905" s="1">
        <f>qry_ProdData2_PDI_Cash_Exception_Application[[#This Row],[INSERT DATE]]+2</f>
        <v>45191.257071759261</v>
      </c>
      <c r="H2905" t="str">
        <f>VLOOKUP(qry_ProdData2_PDI_Cash_Exception_Application[[#This Row],[MARKET No]],'Site Allocation'!$B$2:$C$37,2,FALSE)</f>
        <v>Analyst1</v>
      </c>
      <c r="I2905" s="4">
        <f t="shared" ca="1" si="45"/>
        <v>45203</v>
      </c>
      <c r="J2905" s="42">
        <f ca="1">TODAY()-qry_ProdData2_PDI_Cash_Exception_Application[[#This Row],[INSERT DATE]]</f>
        <v>13.742928240739275</v>
      </c>
      <c r="K29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05">
        <f ca="1">qry_ProdData2_PDI_Cash_Exception_Application[[#This Row],[TODAY]]-qry_ProdData2_PDI_Cash_Exception_Application[[#This Row],[CHANGED ON]]</f>
        <v>11.742928240739275</v>
      </c>
      <c r="M2905">
        <f ca="1">qry_ProdData2_PDI_Cash_Exception_Application[[#This Row],[TODAY]]-qry_ProdData2_PDI_Cash_Exception_Application[[#This Row],[CHANGED ON]]</f>
        <v>11.742928240739275</v>
      </c>
      <c r="N2905">
        <f ca="1">qry_ProdData2_PDI_Cash_Exception_Application[[#This Row],[TODAY]]-qry_ProdData2_PDI_Cash_Exception_Application[[#This Row],[CHANGED ON]]</f>
        <v>11.742928240739275</v>
      </c>
    </row>
    <row r="2906" spans="1:14" x14ac:dyDescent="0.35">
      <c r="A2906">
        <v>1005</v>
      </c>
      <c r="B2906" t="s">
        <v>59</v>
      </c>
      <c r="C2906" s="1">
        <v>45196.257071759261</v>
      </c>
      <c r="D2906" t="str">
        <f ca="1">VLOOKUP(qry_ProdData2_PDI_Cash_Exception_Application[[#This Row],[TYPE]],#REF!,2,FALSE)</f>
        <v>type40</v>
      </c>
      <c r="E2906">
        <v>410.99</v>
      </c>
      <c r="F2906" t="s">
        <v>47</v>
      </c>
      <c r="G2906" s="1">
        <f>qry_ProdData2_PDI_Cash_Exception_Application[[#This Row],[INSERT DATE]]+5</f>
        <v>45201.257071759261</v>
      </c>
      <c r="H2906" t="str">
        <f>VLOOKUP(qry_ProdData2_PDI_Cash_Exception_Application[[#This Row],[MARKET No]],'Site Allocation'!$B$2:$C$37,2,FALSE)</f>
        <v>Analyst1</v>
      </c>
      <c r="I2906" s="4">
        <f t="shared" ca="1" si="45"/>
        <v>45203</v>
      </c>
      <c r="J2906" s="42">
        <f ca="1">TODAY()-qry_ProdData2_PDI_Cash_Exception_Application[[#This Row],[INSERT DATE]]</f>
        <v>6.7429282407392748</v>
      </c>
      <c r="K29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06">
        <f ca="1">qry_ProdData2_PDI_Cash_Exception_Application[[#This Row],[TODAY]]-qry_ProdData2_PDI_Cash_Exception_Application[[#This Row],[CHANGED ON]]</f>
        <v>1.7429282407392748</v>
      </c>
      <c r="M2906">
        <f ca="1">qry_ProdData2_PDI_Cash_Exception_Application[[#This Row],[TODAY]]-qry_ProdData2_PDI_Cash_Exception_Application[[#This Row],[CHANGED ON]]</f>
        <v>1.7429282407392748</v>
      </c>
      <c r="N2906">
        <f ca="1">qry_ProdData2_PDI_Cash_Exception_Application[[#This Row],[TODAY]]-qry_ProdData2_PDI_Cash_Exception_Application[[#This Row],[CHANGED ON]]</f>
        <v>1.7429282407392748</v>
      </c>
    </row>
    <row r="2907" spans="1:14" x14ac:dyDescent="0.35">
      <c r="A2907">
        <v>1010</v>
      </c>
      <c r="B2907" t="s">
        <v>64</v>
      </c>
      <c r="C2907" s="1">
        <v>45190.257071759261</v>
      </c>
      <c r="D2907" t="str">
        <f ca="1">VLOOKUP(qry_ProdData2_PDI_Cash_Exception_Application[[#This Row],[TYPE]],#REF!,2,FALSE)</f>
        <v>type13</v>
      </c>
      <c r="E2907">
        <v>16458.349999999999</v>
      </c>
      <c r="F2907" t="s">
        <v>52</v>
      </c>
      <c r="G2907" s="1">
        <f>qry_ProdData2_PDI_Cash_Exception_Application[[#This Row],[INSERT DATE]]+5</f>
        <v>45195.257071759261</v>
      </c>
      <c r="H2907" t="str">
        <f>VLOOKUP(qry_ProdData2_PDI_Cash_Exception_Application[[#This Row],[MARKET No]],'Site Allocation'!$B$2:$C$37,2,FALSE)</f>
        <v>Analyst2</v>
      </c>
      <c r="I2907" s="4">
        <f t="shared" ca="1" si="45"/>
        <v>45203</v>
      </c>
      <c r="J2907" s="42">
        <f ca="1">TODAY()-qry_ProdData2_PDI_Cash_Exception_Application[[#This Row],[INSERT DATE]]</f>
        <v>12.742928240739275</v>
      </c>
      <c r="K29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07">
        <f ca="1">qry_ProdData2_PDI_Cash_Exception_Application[[#This Row],[TODAY]]-qry_ProdData2_PDI_Cash_Exception_Application[[#This Row],[CHANGED ON]]</f>
        <v>7.7429282407392748</v>
      </c>
      <c r="M2907">
        <f ca="1">qry_ProdData2_PDI_Cash_Exception_Application[[#This Row],[TODAY]]-qry_ProdData2_PDI_Cash_Exception_Application[[#This Row],[CHANGED ON]]</f>
        <v>7.7429282407392748</v>
      </c>
      <c r="N2907">
        <f ca="1">qry_ProdData2_PDI_Cash_Exception_Application[[#This Row],[TODAY]]-qry_ProdData2_PDI_Cash_Exception_Application[[#This Row],[CHANGED ON]]</f>
        <v>7.7429282407392748</v>
      </c>
    </row>
    <row r="2908" spans="1:14" x14ac:dyDescent="0.35">
      <c r="A2908">
        <v>1029</v>
      </c>
      <c r="B2908" t="s">
        <v>83</v>
      </c>
      <c r="C2908" s="1">
        <v>45190.257071759261</v>
      </c>
      <c r="D2908" t="str">
        <f ca="1">VLOOKUP(qry_ProdData2_PDI_Cash_Exception_Application[[#This Row],[TYPE]],#REF!,2,FALSE)</f>
        <v>type13</v>
      </c>
      <c r="E2908">
        <v>14941.67</v>
      </c>
      <c r="F2908" t="s">
        <v>50</v>
      </c>
      <c r="G2908" s="1">
        <f>qry_ProdData2_PDI_Cash_Exception_Application[[#This Row],[INSERT DATE]]+5</f>
        <v>45195.257071759261</v>
      </c>
      <c r="H2908" t="str">
        <f>VLOOKUP(qry_ProdData2_PDI_Cash_Exception_Application[[#This Row],[MARKET No]],'Site Allocation'!$B$2:$C$37,2,FALSE)</f>
        <v>Analyst5</v>
      </c>
      <c r="I2908" s="4">
        <f t="shared" ca="1" si="45"/>
        <v>45203</v>
      </c>
      <c r="J2908" s="42">
        <f ca="1">TODAY()-qry_ProdData2_PDI_Cash_Exception_Application[[#This Row],[INSERT DATE]]</f>
        <v>12.742928240739275</v>
      </c>
      <c r="K29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08">
        <f ca="1">qry_ProdData2_PDI_Cash_Exception_Application[[#This Row],[TODAY]]-qry_ProdData2_PDI_Cash_Exception_Application[[#This Row],[CHANGED ON]]</f>
        <v>7.7429282407392748</v>
      </c>
      <c r="M2908">
        <f ca="1">qry_ProdData2_PDI_Cash_Exception_Application[[#This Row],[TODAY]]-qry_ProdData2_PDI_Cash_Exception_Application[[#This Row],[CHANGED ON]]</f>
        <v>7.7429282407392748</v>
      </c>
      <c r="N2908">
        <f ca="1">qry_ProdData2_PDI_Cash_Exception_Application[[#This Row],[TODAY]]-qry_ProdData2_PDI_Cash_Exception_Application[[#This Row],[CHANGED ON]]</f>
        <v>7.7429282407392748</v>
      </c>
    </row>
    <row r="2909" spans="1:14" x14ac:dyDescent="0.35">
      <c r="A2909">
        <v>1006</v>
      </c>
      <c r="B2909" t="s">
        <v>60</v>
      </c>
      <c r="C2909" s="1">
        <v>45191.257071759261</v>
      </c>
      <c r="D2909" t="str">
        <f ca="1">VLOOKUP(qry_ProdData2_PDI_Cash_Exception_Application[[#This Row],[TYPE]],#REF!,2,FALSE)</f>
        <v>type13</v>
      </c>
      <c r="E2909">
        <v>18298.189999999999</v>
      </c>
      <c r="F2909" t="s">
        <v>52</v>
      </c>
      <c r="G2909" s="1">
        <f>qry_ProdData2_PDI_Cash_Exception_Application[[#This Row],[INSERT DATE]]+5</f>
        <v>45196.257071759261</v>
      </c>
      <c r="H2909" t="str">
        <f>VLOOKUP(qry_ProdData2_PDI_Cash_Exception_Application[[#This Row],[MARKET No]],'Site Allocation'!$B$2:$C$37,2,FALSE)</f>
        <v>Analyst2</v>
      </c>
      <c r="I2909" s="4">
        <f t="shared" ca="1" si="45"/>
        <v>45203</v>
      </c>
      <c r="J2909" s="42">
        <f ca="1">TODAY()-qry_ProdData2_PDI_Cash_Exception_Application[[#This Row],[INSERT DATE]]</f>
        <v>11.742928240739275</v>
      </c>
      <c r="K29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09">
        <f ca="1">qry_ProdData2_PDI_Cash_Exception_Application[[#This Row],[TODAY]]-qry_ProdData2_PDI_Cash_Exception_Application[[#This Row],[CHANGED ON]]</f>
        <v>6.7429282407392748</v>
      </c>
      <c r="M2909">
        <f ca="1">qry_ProdData2_PDI_Cash_Exception_Application[[#This Row],[TODAY]]-qry_ProdData2_PDI_Cash_Exception_Application[[#This Row],[CHANGED ON]]</f>
        <v>6.7429282407392748</v>
      </c>
      <c r="N2909">
        <f ca="1">qry_ProdData2_PDI_Cash_Exception_Application[[#This Row],[TODAY]]-qry_ProdData2_PDI_Cash_Exception_Application[[#This Row],[CHANGED ON]]</f>
        <v>6.7429282407392748</v>
      </c>
    </row>
    <row r="2910" spans="1:14" x14ac:dyDescent="0.35">
      <c r="A2910">
        <v>1000</v>
      </c>
      <c r="B2910" t="s">
        <v>54</v>
      </c>
      <c r="C2910" s="1">
        <v>45192.257071759261</v>
      </c>
      <c r="D2910" t="str">
        <f ca="1">VLOOKUP(qry_ProdData2_PDI_Cash_Exception_Application[[#This Row],[TYPE]],#REF!,2,FALSE)</f>
        <v>type13</v>
      </c>
      <c r="E2910">
        <v>13034</v>
      </c>
      <c r="F2910" t="s">
        <v>52</v>
      </c>
      <c r="G2910" s="1">
        <f>qry_ProdData2_PDI_Cash_Exception_Application[[#This Row],[INSERT DATE]]+5</f>
        <v>45197.257071759261</v>
      </c>
      <c r="H2910" t="str">
        <f>VLOOKUP(qry_ProdData2_PDI_Cash_Exception_Application[[#This Row],[MARKET No]],'Site Allocation'!$B$2:$C$37,2,FALSE)</f>
        <v>Analyst1</v>
      </c>
      <c r="I2910" s="4">
        <f t="shared" ca="1" si="45"/>
        <v>45203</v>
      </c>
      <c r="J2910" s="42">
        <f ca="1">TODAY()-qry_ProdData2_PDI_Cash_Exception_Application[[#This Row],[INSERT DATE]]</f>
        <v>10.742928240739275</v>
      </c>
      <c r="K29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10">
        <f ca="1">qry_ProdData2_PDI_Cash_Exception_Application[[#This Row],[TODAY]]-qry_ProdData2_PDI_Cash_Exception_Application[[#This Row],[CHANGED ON]]</f>
        <v>5.7429282407392748</v>
      </c>
      <c r="M2910">
        <f ca="1">qry_ProdData2_PDI_Cash_Exception_Application[[#This Row],[TODAY]]-qry_ProdData2_PDI_Cash_Exception_Application[[#This Row],[CHANGED ON]]</f>
        <v>5.7429282407392748</v>
      </c>
      <c r="N2910">
        <f ca="1">qry_ProdData2_PDI_Cash_Exception_Application[[#This Row],[TODAY]]-qry_ProdData2_PDI_Cash_Exception_Application[[#This Row],[CHANGED ON]]</f>
        <v>5.7429282407392748</v>
      </c>
    </row>
    <row r="2911" spans="1:14" x14ac:dyDescent="0.35">
      <c r="A2911">
        <v>1005</v>
      </c>
      <c r="B2911" t="s">
        <v>59</v>
      </c>
      <c r="C2911" s="1">
        <v>45187.257071759261</v>
      </c>
      <c r="D2911" t="str">
        <f ca="1">VLOOKUP(qry_ProdData2_PDI_Cash_Exception_Application[[#This Row],[TYPE]],#REF!,2,FALSE)</f>
        <v>type26</v>
      </c>
      <c r="E2911">
        <v>113.75</v>
      </c>
      <c r="F2911" t="s">
        <v>48</v>
      </c>
      <c r="G2911" s="1">
        <f>qry_ProdData2_PDI_Cash_Exception_Application[[#This Row],[INSERT DATE]]+7</f>
        <v>45194.257071759261</v>
      </c>
      <c r="H2911" t="str">
        <f>VLOOKUP(qry_ProdData2_PDI_Cash_Exception_Application[[#This Row],[MARKET No]],'Site Allocation'!$B$2:$C$37,2,FALSE)</f>
        <v>Analyst1</v>
      </c>
      <c r="I2911" s="4">
        <f t="shared" ca="1" si="45"/>
        <v>45203</v>
      </c>
      <c r="J2911" s="42">
        <f ca="1">TODAY()-qry_ProdData2_PDI_Cash_Exception_Application[[#This Row],[INSERT DATE]]</f>
        <v>15.742928240739275</v>
      </c>
      <c r="K29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11">
        <f ca="1">qry_ProdData2_PDI_Cash_Exception_Application[[#This Row],[TODAY]]-qry_ProdData2_PDI_Cash_Exception_Application[[#This Row],[CHANGED ON]]</f>
        <v>8.7429282407392748</v>
      </c>
      <c r="M2911">
        <f ca="1">qry_ProdData2_PDI_Cash_Exception_Application[[#This Row],[TODAY]]-qry_ProdData2_PDI_Cash_Exception_Application[[#This Row],[CHANGED ON]]</f>
        <v>8.7429282407392748</v>
      </c>
      <c r="N2911">
        <f ca="1">qry_ProdData2_PDI_Cash_Exception_Application[[#This Row],[TODAY]]-qry_ProdData2_PDI_Cash_Exception_Application[[#This Row],[CHANGED ON]]</f>
        <v>8.7429282407392748</v>
      </c>
    </row>
    <row r="2912" spans="1:14" x14ac:dyDescent="0.35">
      <c r="A2912">
        <v>1015</v>
      </c>
      <c r="B2912" t="s">
        <v>69</v>
      </c>
      <c r="C2912" s="1">
        <v>45196.257071759261</v>
      </c>
      <c r="D2912" t="str">
        <f ca="1">VLOOKUP(qry_ProdData2_PDI_Cash_Exception_Application[[#This Row],[TYPE]],#REF!,2,FALSE)</f>
        <v>type40</v>
      </c>
      <c r="E2912">
        <v>-302.39999999999998</v>
      </c>
      <c r="G2912" s="1">
        <f>qry_ProdData2_PDI_Cash_Exception_Application[[#This Row],[INSERT DATE]]+7</f>
        <v>45203.257071759261</v>
      </c>
      <c r="H2912" t="str">
        <f>VLOOKUP(qry_ProdData2_PDI_Cash_Exception_Application[[#This Row],[MARKET No]],'Site Allocation'!$B$2:$C$37,2,FALSE)</f>
        <v>Analyst3</v>
      </c>
      <c r="I2912" s="4">
        <f t="shared" ca="1" si="45"/>
        <v>45203</v>
      </c>
      <c r="J2912" s="42">
        <f ca="1">TODAY()-qry_ProdData2_PDI_Cash_Exception_Application[[#This Row],[INSERT DATE]]</f>
        <v>6.7429282407392748</v>
      </c>
      <c r="K29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12">
        <f ca="1">qry_ProdData2_PDI_Cash_Exception_Application[[#This Row],[TODAY]]-qry_ProdData2_PDI_Cash_Exception_Application[[#This Row],[CHANGED ON]]</f>
        <v>-0.25707175926072523</v>
      </c>
      <c r="M2912">
        <f ca="1">qry_ProdData2_PDI_Cash_Exception_Application[[#This Row],[TODAY]]-qry_ProdData2_PDI_Cash_Exception_Application[[#This Row],[CHANGED ON]]</f>
        <v>-0.25707175926072523</v>
      </c>
      <c r="N2912">
        <f ca="1">qry_ProdData2_PDI_Cash_Exception_Application[[#This Row],[TODAY]]-qry_ProdData2_PDI_Cash_Exception_Application[[#This Row],[CHANGED ON]]</f>
        <v>-0.25707175926072523</v>
      </c>
    </row>
    <row r="2913" spans="1:14" x14ac:dyDescent="0.35">
      <c r="A2913">
        <v>1014</v>
      </c>
      <c r="B2913" t="s">
        <v>68</v>
      </c>
      <c r="C2913" s="1">
        <v>45197.257071759261</v>
      </c>
      <c r="D2913" t="str">
        <f ca="1">VLOOKUP(qry_ProdData2_PDI_Cash_Exception_Application[[#This Row],[TYPE]],#REF!,2,FALSE)</f>
        <v>type40</v>
      </c>
      <c r="E2913">
        <v>-329.52</v>
      </c>
      <c r="F2913" t="s">
        <v>47</v>
      </c>
      <c r="G2913" s="1">
        <f>qry_ProdData2_PDI_Cash_Exception_Application[[#This Row],[INSERT DATE]]+7</f>
        <v>45204.257071759261</v>
      </c>
      <c r="H2913" t="str">
        <f>VLOOKUP(qry_ProdData2_PDI_Cash_Exception_Application[[#This Row],[MARKET No]],'Site Allocation'!$B$2:$C$37,2,FALSE)</f>
        <v>Analyst3</v>
      </c>
      <c r="I2913" s="4">
        <f t="shared" ca="1" si="45"/>
        <v>45203</v>
      </c>
      <c r="J2913" s="42">
        <f ca="1">TODAY()-qry_ProdData2_PDI_Cash_Exception_Application[[#This Row],[INSERT DATE]]</f>
        <v>5.7429282407392748</v>
      </c>
      <c r="K29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13">
        <f ca="1">qry_ProdData2_PDI_Cash_Exception_Application[[#This Row],[TODAY]]-qry_ProdData2_PDI_Cash_Exception_Application[[#This Row],[CHANGED ON]]</f>
        <v>-1.2570717592607252</v>
      </c>
      <c r="M2913">
        <f ca="1">qry_ProdData2_PDI_Cash_Exception_Application[[#This Row],[TODAY]]-qry_ProdData2_PDI_Cash_Exception_Application[[#This Row],[CHANGED ON]]</f>
        <v>-1.2570717592607252</v>
      </c>
      <c r="N2913">
        <f ca="1">qry_ProdData2_PDI_Cash_Exception_Application[[#This Row],[TODAY]]-qry_ProdData2_PDI_Cash_Exception_Application[[#This Row],[CHANGED ON]]</f>
        <v>-1.2570717592607252</v>
      </c>
    </row>
    <row r="2914" spans="1:14" x14ac:dyDescent="0.35">
      <c r="A2914">
        <v>1004</v>
      </c>
      <c r="B2914" t="s">
        <v>58</v>
      </c>
      <c r="C2914" s="1">
        <v>45197.257071759261</v>
      </c>
      <c r="D2914" t="str">
        <f ca="1">VLOOKUP(qry_ProdData2_PDI_Cash_Exception_Application[[#This Row],[TYPE]],#REF!,2,FALSE)</f>
        <v>type40</v>
      </c>
      <c r="E2914">
        <v>-1071.74</v>
      </c>
      <c r="F2914" t="s">
        <v>47</v>
      </c>
      <c r="G2914" s="1">
        <f>qry_ProdData2_PDI_Cash_Exception_Application[[#This Row],[INSERT DATE]]+1</f>
        <v>45198.257071759261</v>
      </c>
      <c r="H2914" t="str">
        <f>VLOOKUP(qry_ProdData2_PDI_Cash_Exception_Application[[#This Row],[MARKET No]],'Site Allocation'!$B$2:$C$37,2,FALSE)</f>
        <v>Analyst1</v>
      </c>
      <c r="I2914" s="4">
        <f t="shared" ca="1" si="45"/>
        <v>45203</v>
      </c>
      <c r="J2914" s="42">
        <f ca="1">TODAY()-qry_ProdData2_PDI_Cash_Exception_Application[[#This Row],[INSERT DATE]]</f>
        <v>5.7429282407392748</v>
      </c>
      <c r="K29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14">
        <f ca="1">qry_ProdData2_PDI_Cash_Exception_Application[[#This Row],[TODAY]]-qry_ProdData2_PDI_Cash_Exception_Application[[#This Row],[CHANGED ON]]</f>
        <v>4.7429282407392748</v>
      </c>
      <c r="M2914">
        <f ca="1">qry_ProdData2_PDI_Cash_Exception_Application[[#This Row],[TODAY]]-qry_ProdData2_PDI_Cash_Exception_Application[[#This Row],[CHANGED ON]]</f>
        <v>4.7429282407392748</v>
      </c>
      <c r="N2914">
        <f ca="1">qry_ProdData2_PDI_Cash_Exception_Application[[#This Row],[TODAY]]-qry_ProdData2_PDI_Cash_Exception_Application[[#This Row],[CHANGED ON]]</f>
        <v>4.7429282407392748</v>
      </c>
    </row>
    <row r="2915" spans="1:14" x14ac:dyDescent="0.35">
      <c r="A2915">
        <v>1026</v>
      </c>
      <c r="B2915" t="s">
        <v>80</v>
      </c>
      <c r="C2915" s="1">
        <v>45197.257071759261</v>
      </c>
      <c r="D2915" t="str">
        <f ca="1">VLOOKUP(qry_ProdData2_PDI_Cash_Exception_Application[[#This Row],[TYPE]],#REF!,2,FALSE)</f>
        <v>type40</v>
      </c>
      <c r="E2915">
        <v>51.38</v>
      </c>
      <c r="G2915" s="1">
        <f>qry_ProdData2_PDI_Cash_Exception_Application[[#This Row],[INSERT DATE]]+5</f>
        <v>45202.257071759261</v>
      </c>
      <c r="H2915" t="str">
        <f>VLOOKUP(qry_ProdData2_PDI_Cash_Exception_Application[[#This Row],[MARKET No]],'Site Allocation'!$B$2:$C$37,2,FALSE)</f>
        <v>Analyst5</v>
      </c>
      <c r="I2915" s="4">
        <f t="shared" ca="1" si="45"/>
        <v>45203</v>
      </c>
      <c r="J2915" s="42">
        <f ca="1">TODAY()-qry_ProdData2_PDI_Cash_Exception_Application[[#This Row],[INSERT DATE]]</f>
        <v>5.7429282407392748</v>
      </c>
      <c r="K29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15">
        <f ca="1">qry_ProdData2_PDI_Cash_Exception_Application[[#This Row],[TODAY]]-qry_ProdData2_PDI_Cash_Exception_Application[[#This Row],[CHANGED ON]]</f>
        <v>0.74292824073927477</v>
      </c>
      <c r="M2915">
        <f ca="1">qry_ProdData2_PDI_Cash_Exception_Application[[#This Row],[TODAY]]-qry_ProdData2_PDI_Cash_Exception_Application[[#This Row],[CHANGED ON]]</f>
        <v>0.74292824073927477</v>
      </c>
      <c r="N2915">
        <f ca="1">qry_ProdData2_PDI_Cash_Exception_Application[[#This Row],[TODAY]]-qry_ProdData2_PDI_Cash_Exception_Application[[#This Row],[CHANGED ON]]</f>
        <v>0.74292824073927477</v>
      </c>
    </row>
    <row r="2916" spans="1:14" x14ac:dyDescent="0.35">
      <c r="A2916">
        <v>1013</v>
      </c>
      <c r="B2916" t="s">
        <v>67</v>
      </c>
      <c r="C2916" s="1">
        <v>45197.257071759261</v>
      </c>
      <c r="D2916" t="str">
        <f ca="1">VLOOKUP(qry_ProdData2_PDI_Cash_Exception_Application[[#This Row],[TYPE]],#REF!,2,FALSE)</f>
        <v>type40</v>
      </c>
      <c r="E2916">
        <v>1636.97</v>
      </c>
      <c r="F2916" t="s">
        <v>49</v>
      </c>
      <c r="G2916" s="1">
        <f>qry_ProdData2_PDI_Cash_Exception_Application[[#This Row],[INSERT DATE]]+7</f>
        <v>45204.257071759261</v>
      </c>
      <c r="H2916" t="str">
        <f>VLOOKUP(qry_ProdData2_PDI_Cash_Exception_Application[[#This Row],[MARKET No]],'Site Allocation'!$B$2:$C$37,2,FALSE)</f>
        <v>Analyst3</v>
      </c>
      <c r="I2916" s="4">
        <f t="shared" ca="1" si="45"/>
        <v>45203</v>
      </c>
      <c r="J2916" s="42">
        <f ca="1">TODAY()-qry_ProdData2_PDI_Cash_Exception_Application[[#This Row],[INSERT DATE]]</f>
        <v>5.7429282407392748</v>
      </c>
      <c r="K29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16">
        <f ca="1">qry_ProdData2_PDI_Cash_Exception_Application[[#This Row],[TODAY]]-qry_ProdData2_PDI_Cash_Exception_Application[[#This Row],[CHANGED ON]]</f>
        <v>-1.2570717592607252</v>
      </c>
      <c r="M2916">
        <f ca="1">qry_ProdData2_PDI_Cash_Exception_Application[[#This Row],[TODAY]]-qry_ProdData2_PDI_Cash_Exception_Application[[#This Row],[CHANGED ON]]</f>
        <v>-1.2570717592607252</v>
      </c>
      <c r="N2916">
        <f ca="1">qry_ProdData2_PDI_Cash_Exception_Application[[#This Row],[TODAY]]-qry_ProdData2_PDI_Cash_Exception_Application[[#This Row],[CHANGED ON]]</f>
        <v>-1.2570717592607252</v>
      </c>
    </row>
    <row r="2917" spans="1:14" x14ac:dyDescent="0.35">
      <c r="A2917">
        <v>1017</v>
      </c>
      <c r="B2917" t="s">
        <v>71</v>
      </c>
      <c r="C2917" s="1">
        <v>45197.257071759261</v>
      </c>
      <c r="D2917" t="str">
        <f ca="1">VLOOKUP(qry_ProdData2_PDI_Cash_Exception_Application[[#This Row],[TYPE]],#REF!,2,FALSE)</f>
        <v>type40</v>
      </c>
      <c r="E2917">
        <v>410.85</v>
      </c>
      <c r="F2917" t="s">
        <v>49</v>
      </c>
      <c r="G2917" s="1">
        <f>qry_ProdData2_PDI_Cash_Exception_Application[[#This Row],[INSERT DATE]]+1</f>
        <v>45198.257071759261</v>
      </c>
      <c r="H2917" t="str">
        <f>VLOOKUP(qry_ProdData2_PDI_Cash_Exception_Application[[#This Row],[MARKET No]],'Site Allocation'!$B$2:$C$37,2,FALSE)</f>
        <v>Analyst3</v>
      </c>
      <c r="I2917" s="4">
        <f t="shared" ca="1" si="45"/>
        <v>45203</v>
      </c>
      <c r="J2917" s="42">
        <f ca="1">TODAY()-qry_ProdData2_PDI_Cash_Exception_Application[[#This Row],[INSERT DATE]]</f>
        <v>5.7429282407392748</v>
      </c>
      <c r="K29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17">
        <f ca="1">qry_ProdData2_PDI_Cash_Exception_Application[[#This Row],[TODAY]]-qry_ProdData2_PDI_Cash_Exception_Application[[#This Row],[CHANGED ON]]</f>
        <v>4.7429282407392748</v>
      </c>
      <c r="M2917">
        <f ca="1">qry_ProdData2_PDI_Cash_Exception_Application[[#This Row],[TODAY]]-qry_ProdData2_PDI_Cash_Exception_Application[[#This Row],[CHANGED ON]]</f>
        <v>4.7429282407392748</v>
      </c>
      <c r="N2917">
        <f ca="1">qry_ProdData2_PDI_Cash_Exception_Application[[#This Row],[TODAY]]-qry_ProdData2_PDI_Cash_Exception_Application[[#This Row],[CHANGED ON]]</f>
        <v>4.7429282407392748</v>
      </c>
    </row>
    <row r="2918" spans="1:14" x14ac:dyDescent="0.35">
      <c r="A2918">
        <v>1011</v>
      </c>
      <c r="B2918" t="s">
        <v>65</v>
      </c>
      <c r="C2918" s="1">
        <v>45197.257071759261</v>
      </c>
      <c r="D2918" t="str">
        <f ca="1">VLOOKUP(qry_ProdData2_PDI_Cash_Exception_Application[[#This Row],[TYPE]],#REF!,2,FALSE)</f>
        <v>type7</v>
      </c>
      <c r="E2918">
        <v>1319.83</v>
      </c>
      <c r="F2918" t="s">
        <v>49</v>
      </c>
      <c r="G2918" s="1">
        <f>qry_ProdData2_PDI_Cash_Exception_Application[[#This Row],[INSERT DATE]]+2</f>
        <v>45199.257071759261</v>
      </c>
      <c r="H2918" t="str">
        <f>VLOOKUP(qry_ProdData2_PDI_Cash_Exception_Application[[#This Row],[MARKET No]],'Site Allocation'!$B$2:$C$37,2,FALSE)</f>
        <v>Analyst2</v>
      </c>
      <c r="I2918" s="4">
        <f t="shared" ca="1" si="45"/>
        <v>45203</v>
      </c>
      <c r="J2918" s="42">
        <f ca="1">TODAY()-qry_ProdData2_PDI_Cash_Exception_Application[[#This Row],[INSERT DATE]]</f>
        <v>5.7429282407392748</v>
      </c>
      <c r="K29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18">
        <f ca="1">qry_ProdData2_PDI_Cash_Exception_Application[[#This Row],[TODAY]]-qry_ProdData2_PDI_Cash_Exception_Application[[#This Row],[CHANGED ON]]</f>
        <v>3.7429282407392748</v>
      </c>
      <c r="M2918">
        <f ca="1">qry_ProdData2_PDI_Cash_Exception_Application[[#This Row],[TODAY]]-qry_ProdData2_PDI_Cash_Exception_Application[[#This Row],[CHANGED ON]]</f>
        <v>3.7429282407392748</v>
      </c>
      <c r="N2918">
        <f ca="1">qry_ProdData2_PDI_Cash_Exception_Application[[#This Row],[TODAY]]-qry_ProdData2_PDI_Cash_Exception_Application[[#This Row],[CHANGED ON]]</f>
        <v>3.7429282407392748</v>
      </c>
    </row>
    <row r="2919" spans="1:14" x14ac:dyDescent="0.35">
      <c r="A2919">
        <v>1032</v>
      </c>
      <c r="B2919" t="s">
        <v>86</v>
      </c>
      <c r="C2919" s="1">
        <v>45196.257071759261</v>
      </c>
      <c r="D2919" t="str">
        <f ca="1">VLOOKUP(qry_ProdData2_PDI_Cash_Exception_Application[[#This Row],[TYPE]],#REF!,2,FALSE)</f>
        <v>type27</v>
      </c>
      <c r="E2919">
        <v>919.27</v>
      </c>
      <c r="F2919" t="s">
        <v>47</v>
      </c>
      <c r="G2919" s="1">
        <f>qry_ProdData2_PDI_Cash_Exception_Application[[#This Row],[INSERT DATE]]+1</f>
        <v>45197.257071759261</v>
      </c>
      <c r="H2919" t="str">
        <f>VLOOKUP(qry_ProdData2_PDI_Cash_Exception_Application[[#This Row],[MARKET No]],'Site Allocation'!$B$2:$C$37,2,FALSE)</f>
        <v>Analyst6</v>
      </c>
      <c r="I2919" s="4">
        <f t="shared" ca="1" si="45"/>
        <v>45203</v>
      </c>
      <c r="J2919" s="42">
        <f ca="1">TODAY()-qry_ProdData2_PDI_Cash_Exception_Application[[#This Row],[INSERT DATE]]</f>
        <v>6.7429282407392748</v>
      </c>
      <c r="K29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19">
        <f ca="1">qry_ProdData2_PDI_Cash_Exception_Application[[#This Row],[TODAY]]-qry_ProdData2_PDI_Cash_Exception_Application[[#This Row],[CHANGED ON]]</f>
        <v>5.7429282407392748</v>
      </c>
      <c r="M2919">
        <f ca="1">qry_ProdData2_PDI_Cash_Exception_Application[[#This Row],[TODAY]]-qry_ProdData2_PDI_Cash_Exception_Application[[#This Row],[CHANGED ON]]</f>
        <v>5.7429282407392748</v>
      </c>
      <c r="N2919">
        <f ca="1">qry_ProdData2_PDI_Cash_Exception_Application[[#This Row],[TODAY]]-qry_ProdData2_PDI_Cash_Exception_Application[[#This Row],[CHANGED ON]]</f>
        <v>5.7429282407392748</v>
      </c>
    </row>
    <row r="2920" spans="1:14" x14ac:dyDescent="0.35">
      <c r="A2920">
        <v>1030</v>
      </c>
      <c r="B2920" t="s">
        <v>84</v>
      </c>
      <c r="C2920" s="1">
        <v>45197.257071759261</v>
      </c>
      <c r="D2920" t="str">
        <f ca="1">VLOOKUP(qry_ProdData2_PDI_Cash_Exception_Application[[#This Row],[TYPE]],#REF!,2,FALSE)</f>
        <v>type40</v>
      </c>
      <c r="E2920">
        <v>-335.08</v>
      </c>
      <c r="G2920" s="1">
        <f>qry_ProdData2_PDI_Cash_Exception_Application[[#This Row],[INSERT DATE]]+1</f>
        <v>45198.257071759261</v>
      </c>
      <c r="H2920" t="str">
        <f>VLOOKUP(qry_ProdData2_PDI_Cash_Exception_Application[[#This Row],[MARKET No]],'Site Allocation'!$B$2:$C$37,2,FALSE)</f>
        <v>Analyst6</v>
      </c>
      <c r="I2920" s="4">
        <f t="shared" ca="1" si="45"/>
        <v>45203</v>
      </c>
      <c r="J2920" s="42">
        <f ca="1">TODAY()-qry_ProdData2_PDI_Cash_Exception_Application[[#This Row],[INSERT DATE]]</f>
        <v>5.7429282407392748</v>
      </c>
      <c r="K29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20">
        <f ca="1">qry_ProdData2_PDI_Cash_Exception_Application[[#This Row],[TODAY]]-qry_ProdData2_PDI_Cash_Exception_Application[[#This Row],[CHANGED ON]]</f>
        <v>4.7429282407392748</v>
      </c>
      <c r="M2920">
        <f ca="1">qry_ProdData2_PDI_Cash_Exception_Application[[#This Row],[TODAY]]-qry_ProdData2_PDI_Cash_Exception_Application[[#This Row],[CHANGED ON]]</f>
        <v>4.7429282407392748</v>
      </c>
      <c r="N2920">
        <f ca="1">qry_ProdData2_PDI_Cash_Exception_Application[[#This Row],[TODAY]]-qry_ProdData2_PDI_Cash_Exception_Application[[#This Row],[CHANGED ON]]</f>
        <v>4.7429282407392748</v>
      </c>
    </row>
    <row r="2921" spans="1:14" x14ac:dyDescent="0.35">
      <c r="A2921">
        <v>1013</v>
      </c>
      <c r="B2921" t="s">
        <v>67</v>
      </c>
      <c r="C2921" s="1">
        <v>45187.257071759261</v>
      </c>
      <c r="D2921" t="str">
        <f ca="1">VLOOKUP(qry_ProdData2_PDI_Cash_Exception_Application[[#This Row],[TYPE]],#REF!,2,FALSE)</f>
        <v>type40</v>
      </c>
      <c r="E2921">
        <v>5057.8599999999997</v>
      </c>
      <c r="F2921" t="s">
        <v>48</v>
      </c>
      <c r="G2921" s="1">
        <f>qry_ProdData2_PDI_Cash_Exception_Application[[#This Row],[INSERT DATE]]+1</f>
        <v>45188.257071759261</v>
      </c>
      <c r="H2921" t="str">
        <f>VLOOKUP(qry_ProdData2_PDI_Cash_Exception_Application[[#This Row],[MARKET No]],'Site Allocation'!$B$2:$C$37,2,FALSE)</f>
        <v>Analyst3</v>
      </c>
      <c r="I2921" s="4">
        <f t="shared" ca="1" si="45"/>
        <v>45203</v>
      </c>
      <c r="J2921" s="42">
        <f ca="1">TODAY()-qry_ProdData2_PDI_Cash_Exception_Application[[#This Row],[INSERT DATE]]</f>
        <v>15.742928240739275</v>
      </c>
      <c r="K29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21">
        <f ca="1">qry_ProdData2_PDI_Cash_Exception_Application[[#This Row],[TODAY]]-qry_ProdData2_PDI_Cash_Exception_Application[[#This Row],[CHANGED ON]]</f>
        <v>14.742928240739275</v>
      </c>
      <c r="M2921">
        <f ca="1">qry_ProdData2_PDI_Cash_Exception_Application[[#This Row],[TODAY]]-qry_ProdData2_PDI_Cash_Exception_Application[[#This Row],[CHANGED ON]]</f>
        <v>14.742928240739275</v>
      </c>
      <c r="N2921">
        <f ca="1">qry_ProdData2_PDI_Cash_Exception_Application[[#This Row],[TODAY]]-qry_ProdData2_PDI_Cash_Exception_Application[[#This Row],[CHANGED ON]]</f>
        <v>14.742928240739275</v>
      </c>
    </row>
    <row r="2922" spans="1:14" x14ac:dyDescent="0.35">
      <c r="A2922">
        <v>1012</v>
      </c>
      <c r="B2922" t="s">
        <v>66</v>
      </c>
      <c r="C2922" s="1">
        <v>45189.257071759261</v>
      </c>
      <c r="D2922" t="str">
        <f ca="1">VLOOKUP(qry_ProdData2_PDI_Cash_Exception_Application[[#This Row],[TYPE]],#REF!,2,FALSE)</f>
        <v>type40</v>
      </c>
      <c r="E2922">
        <v>4899.13</v>
      </c>
      <c r="F2922" t="s">
        <v>52</v>
      </c>
      <c r="G2922" s="1">
        <f>qry_ProdData2_PDI_Cash_Exception_Application[[#This Row],[INSERT DATE]]+7</f>
        <v>45196.257071759261</v>
      </c>
      <c r="H2922" t="str">
        <f>VLOOKUP(qry_ProdData2_PDI_Cash_Exception_Application[[#This Row],[MARKET No]],'Site Allocation'!$B$2:$C$37,2,FALSE)</f>
        <v>Analyst3</v>
      </c>
      <c r="I2922" s="4">
        <f t="shared" ca="1" si="45"/>
        <v>45203</v>
      </c>
      <c r="J2922" s="42">
        <f ca="1">TODAY()-qry_ProdData2_PDI_Cash_Exception_Application[[#This Row],[INSERT DATE]]</f>
        <v>13.742928240739275</v>
      </c>
      <c r="K29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22">
        <f ca="1">qry_ProdData2_PDI_Cash_Exception_Application[[#This Row],[TODAY]]-qry_ProdData2_PDI_Cash_Exception_Application[[#This Row],[CHANGED ON]]</f>
        <v>6.7429282407392748</v>
      </c>
      <c r="M2922">
        <f ca="1">qry_ProdData2_PDI_Cash_Exception_Application[[#This Row],[TODAY]]-qry_ProdData2_PDI_Cash_Exception_Application[[#This Row],[CHANGED ON]]</f>
        <v>6.7429282407392748</v>
      </c>
      <c r="N2922">
        <f ca="1">qry_ProdData2_PDI_Cash_Exception_Application[[#This Row],[TODAY]]-qry_ProdData2_PDI_Cash_Exception_Application[[#This Row],[CHANGED ON]]</f>
        <v>6.7429282407392748</v>
      </c>
    </row>
    <row r="2923" spans="1:14" x14ac:dyDescent="0.35">
      <c r="A2923">
        <v>1001</v>
      </c>
      <c r="B2923" t="s">
        <v>55</v>
      </c>
      <c r="C2923" s="1">
        <v>45196.257071759261</v>
      </c>
      <c r="D2923" t="str">
        <f ca="1">VLOOKUP(qry_ProdData2_PDI_Cash_Exception_Application[[#This Row],[TYPE]],#REF!,2,FALSE)</f>
        <v>type26</v>
      </c>
      <c r="E2923">
        <v>119.88</v>
      </c>
      <c r="F2923" t="s">
        <v>47</v>
      </c>
      <c r="G2923" s="1">
        <f>qry_ProdData2_PDI_Cash_Exception_Application[[#This Row],[INSERT DATE]]+5</f>
        <v>45201.257071759261</v>
      </c>
      <c r="H2923" t="str">
        <f>VLOOKUP(qry_ProdData2_PDI_Cash_Exception_Application[[#This Row],[MARKET No]],'Site Allocation'!$B$2:$C$37,2,FALSE)</f>
        <v>Analyst1</v>
      </c>
      <c r="I2923" s="4">
        <f t="shared" ca="1" si="45"/>
        <v>45203</v>
      </c>
      <c r="J2923" s="42">
        <f ca="1">TODAY()-qry_ProdData2_PDI_Cash_Exception_Application[[#This Row],[INSERT DATE]]</f>
        <v>6.7429282407392748</v>
      </c>
      <c r="K29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23">
        <f ca="1">qry_ProdData2_PDI_Cash_Exception_Application[[#This Row],[TODAY]]-qry_ProdData2_PDI_Cash_Exception_Application[[#This Row],[CHANGED ON]]</f>
        <v>1.7429282407392748</v>
      </c>
      <c r="M2923">
        <f ca="1">qry_ProdData2_PDI_Cash_Exception_Application[[#This Row],[TODAY]]-qry_ProdData2_PDI_Cash_Exception_Application[[#This Row],[CHANGED ON]]</f>
        <v>1.7429282407392748</v>
      </c>
      <c r="N2923">
        <f ca="1">qry_ProdData2_PDI_Cash_Exception_Application[[#This Row],[TODAY]]-qry_ProdData2_PDI_Cash_Exception_Application[[#This Row],[CHANGED ON]]</f>
        <v>1.7429282407392748</v>
      </c>
    </row>
    <row r="2924" spans="1:14" x14ac:dyDescent="0.35">
      <c r="A2924">
        <v>1005</v>
      </c>
      <c r="B2924" t="s">
        <v>59</v>
      </c>
      <c r="C2924" s="1">
        <v>45197.257071759261</v>
      </c>
      <c r="D2924" t="str">
        <f ca="1">VLOOKUP(qry_ProdData2_PDI_Cash_Exception_Application[[#This Row],[TYPE]],#REF!,2,FALSE)</f>
        <v>type13</v>
      </c>
      <c r="E2924">
        <v>20382.830000000002</v>
      </c>
      <c r="F2924" t="s">
        <v>49</v>
      </c>
      <c r="G2924" s="1">
        <f>qry_ProdData2_PDI_Cash_Exception_Application[[#This Row],[INSERT DATE]]+1</f>
        <v>45198.257071759261</v>
      </c>
      <c r="H2924" t="str">
        <f>VLOOKUP(qry_ProdData2_PDI_Cash_Exception_Application[[#This Row],[MARKET No]],'Site Allocation'!$B$2:$C$37,2,FALSE)</f>
        <v>Analyst1</v>
      </c>
      <c r="I2924" s="4">
        <f t="shared" ca="1" si="45"/>
        <v>45203</v>
      </c>
      <c r="J2924" s="42">
        <f ca="1">TODAY()-qry_ProdData2_PDI_Cash_Exception_Application[[#This Row],[INSERT DATE]]</f>
        <v>5.7429282407392748</v>
      </c>
      <c r="K29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24">
        <f ca="1">qry_ProdData2_PDI_Cash_Exception_Application[[#This Row],[TODAY]]-qry_ProdData2_PDI_Cash_Exception_Application[[#This Row],[CHANGED ON]]</f>
        <v>4.7429282407392748</v>
      </c>
      <c r="M2924">
        <f ca="1">qry_ProdData2_PDI_Cash_Exception_Application[[#This Row],[TODAY]]-qry_ProdData2_PDI_Cash_Exception_Application[[#This Row],[CHANGED ON]]</f>
        <v>4.7429282407392748</v>
      </c>
      <c r="N2924">
        <f ca="1">qry_ProdData2_PDI_Cash_Exception_Application[[#This Row],[TODAY]]-qry_ProdData2_PDI_Cash_Exception_Application[[#This Row],[CHANGED ON]]</f>
        <v>4.7429282407392748</v>
      </c>
    </row>
    <row r="2925" spans="1:14" x14ac:dyDescent="0.35">
      <c r="A2925">
        <v>1004</v>
      </c>
      <c r="B2925" t="s">
        <v>58</v>
      </c>
      <c r="C2925" s="1">
        <v>45188.257071759261</v>
      </c>
      <c r="D2925" t="str">
        <f ca="1">VLOOKUP(qry_ProdData2_PDI_Cash_Exception_Application[[#This Row],[TYPE]],#REF!,2,FALSE)</f>
        <v>type13</v>
      </c>
      <c r="E2925">
        <v>25234.81</v>
      </c>
      <c r="F2925" t="s">
        <v>48</v>
      </c>
      <c r="G2925" s="1">
        <f>qry_ProdData2_PDI_Cash_Exception_Application[[#This Row],[INSERT DATE]]+1</f>
        <v>45189.257071759261</v>
      </c>
      <c r="H2925" t="str">
        <f>VLOOKUP(qry_ProdData2_PDI_Cash_Exception_Application[[#This Row],[MARKET No]],'Site Allocation'!$B$2:$C$37,2,FALSE)</f>
        <v>Analyst1</v>
      </c>
      <c r="I2925" s="4">
        <f t="shared" ca="1" si="45"/>
        <v>45203</v>
      </c>
      <c r="J2925" s="42">
        <f ca="1">TODAY()-qry_ProdData2_PDI_Cash_Exception_Application[[#This Row],[INSERT DATE]]</f>
        <v>14.742928240739275</v>
      </c>
      <c r="K29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25">
        <f ca="1">qry_ProdData2_PDI_Cash_Exception_Application[[#This Row],[TODAY]]-qry_ProdData2_PDI_Cash_Exception_Application[[#This Row],[CHANGED ON]]</f>
        <v>13.742928240739275</v>
      </c>
      <c r="M2925">
        <f ca="1">qry_ProdData2_PDI_Cash_Exception_Application[[#This Row],[TODAY]]-qry_ProdData2_PDI_Cash_Exception_Application[[#This Row],[CHANGED ON]]</f>
        <v>13.742928240739275</v>
      </c>
      <c r="N2925">
        <f ca="1">qry_ProdData2_PDI_Cash_Exception_Application[[#This Row],[TODAY]]-qry_ProdData2_PDI_Cash_Exception_Application[[#This Row],[CHANGED ON]]</f>
        <v>13.742928240739275</v>
      </c>
    </row>
    <row r="2926" spans="1:14" x14ac:dyDescent="0.35">
      <c r="A2926">
        <v>1015</v>
      </c>
      <c r="B2926" t="s">
        <v>69</v>
      </c>
      <c r="C2926" s="1">
        <v>45189.257071759261</v>
      </c>
      <c r="D2926" t="str">
        <f ca="1">VLOOKUP(qry_ProdData2_PDI_Cash_Exception_Application[[#This Row],[TYPE]],#REF!,2,FALSE)</f>
        <v>type13</v>
      </c>
      <c r="E2926">
        <v>12391</v>
      </c>
      <c r="F2926" t="s">
        <v>48</v>
      </c>
      <c r="G2926" s="1">
        <f>qry_ProdData2_PDI_Cash_Exception_Application[[#This Row],[INSERT DATE]]+2</f>
        <v>45191.257071759261</v>
      </c>
      <c r="H2926" t="str">
        <f>VLOOKUP(qry_ProdData2_PDI_Cash_Exception_Application[[#This Row],[MARKET No]],'Site Allocation'!$B$2:$C$37,2,FALSE)</f>
        <v>Analyst3</v>
      </c>
      <c r="I2926" s="4">
        <f t="shared" ca="1" si="45"/>
        <v>45203</v>
      </c>
      <c r="J2926" s="42">
        <f ca="1">TODAY()-qry_ProdData2_PDI_Cash_Exception_Application[[#This Row],[INSERT DATE]]</f>
        <v>13.742928240739275</v>
      </c>
      <c r="K29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26">
        <f ca="1">qry_ProdData2_PDI_Cash_Exception_Application[[#This Row],[TODAY]]-qry_ProdData2_PDI_Cash_Exception_Application[[#This Row],[CHANGED ON]]</f>
        <v>11.742928240739275</v>
      </c>
      <c r="M2926">
        <f ca="1">qry_ProdData2_PDI_Cash_Exception_Application[[#This Row],[TODAY]]-qry_ProdData2_PDI_Cash_Exception_Application[[#This Row],[CHANGED ON]]</f>
        <v>11.742928240739275</v>
      </c>
      <c r="N2926">
        <f ca="1">qry_ProdData2_PDI_Cash_Exception_Application[[#This Row],[TODAY]]-qry_ProdData2_PDI_Cash_Exception_Application[[#This Row],[CHANGED ON]]</f>
        <v>11.742928240739275</v>
      </c>
    </row>
    <row r="2927" spans="1:14" x14ac:dyDescent="0.35">
      <c r="A2927">
        <v>1001</v>
      </c>
      <c r="B2927" t="s">
        <v>55</v>
      </c>
      <c r="C2927" s="1">
        <v>45193.257071759261</v>
      </c>
      <c r="D2927" t="str">
        <f ca="1">VLOOKUP(qry_ProdData2_PDI_Cash_Exception_Application[[#This Row],[TYPE]],#REF!,2,FALSE)</f>
        <v>type40</v>
      </c>
      <c r="E2927">
        <v>3685.71</v>
      </c>
      <c r="F2927" t="s">
        <v>50</v>
      </c>
      <c r="G2927" s="1">
        <f>qry_ProdData2_PDI_Cash_Exception_Application[[#This Row],[INSERT DATE]]+7</f>
        <v>45200.257071759261</v>
      </c>
      <c r="H2927" t="str">
        <f>VLOOKUP(qry_ProdData2_PDI_Cash_Exception_Application[[#This Row],[MARKET No]],'Site Allocation'!$B$2:$C$37,2,FALSE)</f>
        <v>Analyst1</v>
      </c>
      <c r="I2927" s="4">
        <f t="shared" ca="1" si="45"/>
        <v>45203</v>
      </c>
      <c r="J2927" s="42">
        <f ca="1">TODAY()-qry_ProdData2_PDI_Cash_Exception_Application[[#This Row],[INSERT DATE]]</f>
        <v>9.7429282407392748</v>
      </c>
      <c r="K29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27">
        <f ca="1">qry_ProdData2_PDI_Cash_Exception_Application[[#This Row],[TODAY]]-qry_ProdData2_PDI_Cash_Exception_Application[[#This Row],[CHANGED ON]]</f>
        <v>2.7429282407392748</v>
      </c>
      <c r="M2927">
        <f ca="1">qry_ProdData2_PDI_Cash_Exception_Application[[#This Row],[TODAY]]-qry_ProdData2_PDI_Cash_Exception_Application[[#This Row],[CHANGED ON]]</f>
        <v>2.7429282407392748</v>
      </c>
      <c r="N2927">
        <f ca="1">qry_ProdData2_PDI_Cash_Exception_Application[[#This Row],[TODAY]]-qry_ProdData2_PDI_Cash_Exception_Application[[#This Row],[CHANGED ON]]</f>
        <v>2.7429282407392748</v>
      </c>
    </row>
    <row r="2928" spans="1:14" x14ac:dyDescent="0.35">
      <c r="A2928">
        <v>1023</v>
      </c>
      <c r="B2928" t="s">
        <v>77</v>
      </c>
      <c r="C2928" s="1">
        <v>45197.257071759261</v>
      </c>
      <c r="D2928" t="str">
        <f ca="1">VLOOKUP(qry_ProdData2_PDI_Cash_Exception_Application[[#This Row],[TYPE]],#REF!,2,FALSE)</f>
        <v>type25</v>
      </c>
      <c r="E2928">
        <v>281.14999999999998</v>
      </c>
      <c r="F2928" t="s">
        <v>47</v>
      </c>
      <c r="G2928" s="1">
        <f>qry_ProdData2_PDI_Cash_Exception_Application[[#This Row],[INSERT DATE]]+2</f>
        <v>45199.257071759261</v>
      </c>
      <c r="H2928" t="str">
        <f>VLOOKUP(qry_ProdData2_PDI_Cash_Exception_Application[[#This Row],[MARKET No]],'Site Allocation'!$B$2:$C$37,2,FALSE)</f>
        <v>Analyst4</v>
      </c>
      <c r="I2928" s="4">
        <f t="shared" ca="1" si="45"/>
        <v>45203</v>
      </c>
      <c r="J2928" s="42">
        <f ca="1">TODAY()-qry_ProdData2_PDI_Cash_Exception_Application[[#This Row],[INSERT DATE]]</f>
        <v>5.7429282407392748</v>
      </c>
      <c r="K29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28">
        <f ca="1">qry_ProdData2_PDI_Cash_Exception_Application[[#This Row],[TODAY]]-qry_ProdData2_PDI_Cash_Exception_Application[[#This Row],[CHANGED ON]]</f>
        <v>3.7429282407392748</v>
      </c>
      <c r="M2928">
        <f ca="1">qry_ProdData2_PDI_Cash_Exception_Application[[#This Row],[TODAY]]-qry_ProdData2_PDI_Cash_Exception_Application[[#This Row],[CHANGED ON]]</f>
        <v>3.7429282407392748</v>
      </c>
      <c r="N2928">
        <f ca="1">qry_ProdData2_PDI_Cash_Exception_Application[[#This Row],[TODAY]]-qry_ProdData2_PDI_Cash_Exception_Application[[#This Row],[CHANGED ON]]</f>
        <v>3.7429282407392748</v>
      </c>
    </row>
    <row r="2929" spans="1:14" x14ac:dyDescent="0.35">
      <c r="A2929">
        <v>1003</v>
      </c>
      <c r="B2929" t="s">
        <v>57</v>
      </c>
      <c r="C2929" s="1">
        <v>45195.257071759261</v>
      </c>
      <c r="D2929" t="str">
        <f ca="1">VLOOKUP(qry_ProdData2_PDI_Cash_Exception_Application[[#This Row],[TYPE]],#REF!,2,FALSE)</f>
        <v>type40</v>
      </c>
      <c r="E2929">
        <v>1996.79</v>
      </c>
      <c r="F2929" t="s">
        <v>50</v>
      </c>
      <c r="G2929" s="1">
        <f>qry_ProdData2_PDI_Cash_Exception_Application[[#This Row],[INSERT DATE]]+7</f>
        <v>45202.257071759261</v>
      </c>
      <c r="H2929" t="str">
        <f>VLOOKUP(qry_ProdData2_PDI_Cash_Exception_Application[[#This Row],[MARKET No]],'Site Allocation'!$B$2:$C$37,2,FALSE)</f>
        <v>Analyst1</v>
      </c>
      <c r="I2929" s="4">
        <f t="shared" ca="1" si="45"/>
        <v>45203</v>
      </c>
      <c r="J2929" s="42">
        <f ca="1">TODAY()-qry_ProdData2_PDI_Cash_Exception_Application[[#This Row],[INSERT DATE]]</f>
        <v>7.7429282407392748</v>
      </c>
      <c r="K29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29">
        <f ca="1">qry_ProdData2_PDI_Cash_Exception_Application[[#This Row],[TODAY]]-qry_ProdData2_PDI_Cash_Exception_Application[[#This Row],[CHANGED ON]]</f>
        <v>0.74292824073927477</v>
      </c>
      <c r="M2929">
        <f ca="1">qry_ProdData2_PDI_Cash_Exception_Application[[#This Row],[TODAY]]-qry_ProdData2_PDI_Cash_Exception_Application[[#This Row],[CHANGED ON]]</f>
        <v>0.74292824073927477</v>
      </c>
      <c r="N2929">
        <f ca="1">qry_ProdData2_PDI_Cash_Exception_Application[[#This Row],[TODAY]]-qry_ProdData2_PDI_Cash_Exception_Application[[#This Row],[CHANGED ON]]</f>
        <v>0.74292824073927477</v>
      </c>
    </row>
    <row r="2930" spans="1:14" x14ac:dyDescent="0.35">
      <c r="A2930">
        <v>1000</v>
      </c>
      <c r="B2930" t="s">
        <v>54</v>
      </c>
      <c r="C2930" s="1">
        <v>45196.257071759261</v>
      </c>
      <c r="D2930" t="str">
        <f ca="1">VLOOKUP(qry_ProdData2_PDI_Cash_Exception_Application[[#This Row],[TYPE]],#REF!,2,FALSE)</f>
        <v>type13</v>
      </c>
      <c r="E2930">
        <v>15510.69</v>
      </c>
      <c r="F2930" t="s">
        <v>49</v>
      </c>
      <c r="G2930" s="1">
        <f>qry_ProdData2_PDI_Cash_Exception_Application[[#This Row],[INSERT DATE]]+1</f>
        <v>45197.257071759261</v>
      </c>
      <c r="H2930" t="str">
        <f>VLOOKUP(qry_ProdData2_PDI_Cash_Exception_Application[[#This Row],[MARKET No]],'Site Allocation'!$B$2:$C$37,2,FALSE)</f>
        <v>Analyst1</v>
      </c>
      <c r="I2930" s="4">
        <f t="shared" ca="1" si="45"/>
        <v>45203</v>
      </c>
      <c r="J2930" s="42">
        <f ca="1">TODAY()-qry_ProdData2_PDI_Cash_Exception_Application[[#This Row],[INSERT DATE]]</f>
        <v>6.7429282407392748</v>
      </c>
      <c r="K29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30">
        <f ca="1">qry_ProdData2_PDI_Cash_Exception_Application[[#This Row],[TODAY]]-qry_ProdData2_PDI_Cash_Exception_Application[[#This Row],[CHANGED ON]]</f>
        <v>5.7429282407392748</v>
      </c>
      <c r="M2930">
        <f ca="1">qry_ProdData2_PDI_Cash_Exception_Application[[#This Row],[TODAY]]-qry_ProdData2_PDI_Cash_Exception_Application[[#This Row],[CHANGED ON]]</f>
        <v>5.7429282407392748</v>
      </c>
      <c r="N2930">
        <f ca="1">qry_ProdData2_PDI_Cash_Exception_Application[[#This Row],[TODAY]]-qry_ProdData2_PDI_Cash_Exception_Application[[#This Row],[CHANGED ON]]</f>
        <v>5.7429282407392748</v>
      </c>
    </row>
    <row r="2931" spans="1:14" x14ac:dyDescent="0.35">
      <c r="A2931">
        <v>1000</v>
      </c>
      <c r="B2931" t="s">
        <v>54</v>
      </c>
      <c r="C2931" s="1">
        <v>45197.257071759261</v>
      </c>
      <c r="D2931" t="str">
        <f ca="1">VLOOKUP(qry_ProdData2_PDI_Cash_Exception_Application[[#This Row],[TYPE]],#REF!,2,FALSE)</f>
        <v>type13</v>
      </c>
      <c r="E2931">
        <v>20538.689999999999</v>
      </c>
      <c r="G2931" s="1">
        <f>qry_ProdData2_PDI_Cash_Exception_Application[[#This Row],[INSERT DATE]]+1</f>
        <v>45198.257071759261</v>
      </c>
      <c r="H2931" t="str">
        <f>VLOOKUP(qry_ProdData2_PDI_Cash_Exception_Application[[#This Row],[MARKET No]],'Site Allocation'!$B$2:$C$37,2,FALSE)</f>
        <v>Analyst1</v>
      </c>
      <c r="I2931" s="4">
        <f t="shared" ca="1" si="45"/>
        <v>45203</v>
      </c>
      <c r="J2931" s="42">
        <f ca="1">TODAY()-qry_ProdData2_PDI_Cash_Exception_Application[[#This Row],[INSERT DATE]]</f>
        <v>5.7429282407392748</v>
      </c>
      <c r="K29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31">
        <f ca="1">qry_ProdData2_PDI_Cash_Exception_Application[[#This Row],[TODAY]]-qry_ProdData2_PDI_Cash_Exception_Application[[#This Row],[CHANGED ON]]</f>
        <v>4.7429282407392748</v>
      </c>
      <c r="M2931">
        <f ca="1">qry_ProdData2_PDI_Cash_Exception_Application[[#This Row],[TODAY]]-qry_ProdData2_PDI_Cash_Exception_Application[[#This Row],[CHANGED ON]]</f>
        <v>4.7429282407392748</v>
      </c>
      <c r="N2931">
        <f ca="1">qry_ProdData2_PDI_Cash_Exception_Application[[#This Row],[TODAY]]-qry_ProdData2_PDI_Cash_Exception_Application[[#This Row],[CHANGED ON]]</f>
        <v>4.7429282407392748</v>
      </c>
    </row>
    <row r="2932" spans="1:14" x14ac:dyDescent="0.35">
      <c r="A2932">
        <v>1019</v>
      </c>
      <c r="B2932" t="s">
        <v>73</v>
      </c>
      <c r="C2932" s="1">
        <v>45179.257071759261</v>
      </c>
      <c r="D2932" t="str">
        <f ca="1">VLOOKUP(qry_ProdData2_PDI_Cash_Exception_Application[[#This Row],[TYPE]],#REF!,2,FALSE)</f>
        <v>type26</v>
      </c>
      <c r="E2932">
        <v>259.25</v>
      </c>
      <c r="F2932" t="s">
        <v>52</v>
      </c>
      <c r="G2932" s="1">
        <f>qry_ProdData2_PDI_Cash_Exception_Application[[#This Row],[INSERT DATE]]+7</f>
        <v>45186.257071759261</v>
      </c>
      <c r="H2932" t="str">
        <f>VLOOKUP(qry_ProdData2_PDI_Cash_Exception_Application[[#This Row],[MARKET No]],'Site Allocation'!$B$2:$C$37,2,FALSE)</f>
        <v>Analyst4</v>
      </c>
      <c r="I2932" s="4">
        <f t="shared" ca="1" si="45"/>
        <v>45203</v>
      </c>
      <c r="J2932" s="42">
        <f ca="1">TODAY()-qry_ProdData2_PDI_Cash_Exception_Application[[#This Row],[INSERT DATE]]</f>
        <v>23.742928240739275</v>
      </c>
      <c r="K29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32">
        <f ca="1">qry_ProdData2_PDI_Cash_Exception_Application[[#This Row],[TODAY]]-qry_ProdData2_PDI_Cash_Exception_Application[[#This Row],[CHANGED ON]]</f>
        <v>16.742928240739275</v>
      </c>
      <c r="M2932">
        <f ca="1">qry_ProdData2_PDI_Cash_Exception_Application[[#This Row],[TODAY]]-qry_ProdData2_PDI_Cash_Exception_Application[[#This Row],[CHANGED ON]]</f>
        <v>16.742928240739275</v>
      </c>
      <c r="N2932">
        <f ca="1">qry_ProdData2_PDI_Cash_Exception_Application[[#This Row],[TODAY]]-qry_ProdData2_PDI_Cash_Exception_Application[[#This Row],[CHANGED ON]]</f>
        <v>16.742928240739275</v>
      </c>
    </row>
    <row r="2933" spans="1:14" x14ac:dyDescent="0.35">
      <c r="A2933">
        <v>1006</v>
      </c>
      <c r="B2933" t="s">
        <v>60</v>
      </c>
      <c r="C2933" s="1">
        <v>45197.257071759261</v>
      </c>
      <c r="D2933" t="str">
        <f ca="1">VLOOKUP(qry_ProdData2_PDI_Cash_Exception_Application[[#This Row],[TYPE]],#REF!,2,FALSE)</f>
        <v>type40</v>
      </c>
      <c r="E2933">
        <v>-4194.97</v>
      </c>
      <c r="G2933" s="1">
        <f>qry_ProdData2_PDI_Cash_Exception_Application[[#This Row],[INSERT DATE]]+2</f>
        <v>45199.257071759261</v>
      </c>
      <c r="H2933" t="str">
        <f>VLOOKUP(qry_ProdData2_PDI_Cash_Exception_Application[[#This Row],[MARKET No]],'Site Allocation'!$B$2:$C$37,2,FALSE)</f>
        <v>Analyst2</v>
      </c>
      <c r="I2933" s="4">
        <f t="shared" ca="1" si="45"/>
        <v>45203</v>
      </c>
      <c r="J2933" s="42">
        <f ca="1">TODAY()-qry_ProdData2_PDI_Cash_Exception_Application[[#This Row],[INSERT DATE]]</f>
        <v>5.7429282407392748</v>
      </c>
      <c r="K29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33">
        <f ca="1">qry_ProdData2_PDI_Cash_Exception_Application[[#This Row],[TODAY]]-qry_ProdData2_PDI_Cash_Exception_Application[[#This Row],[CHANGED ON]]</f>
        <v>3.7429282407392748</v>
      </c>
      <c r="M2933">
        <f ca="1">qry_ProdData2_PDI_Cash_Exception_Application[[#This Row],[TODAY]]-qry_ProdData2_PDI_Cash_Exception_Application[[#This Row],[CHANGED ON]]</f>
        <v>3.7429282407392748</v>
      </c>
      <c r="N2933">
        <f ca="1">qry_ProdData2_PDI_Cash_Exception_Application[[#This Row],[TODAY]]-qry_ProdData2_PDI_Cash_Exception_Application[[#This Row],[CHANGED ON]]</f>
        <v>3.7429282407392748</v>
      </c>
    </row>
    <row r="2934" spans="1:14" x14ac:dyDescent="0.35">
      <c r="A2934">
        <v>1006</v>
      </c>
      <c r="B2934" t="s">
        <v>60</v>
      </c>
      <c r="C2934" s="1">
        <v>45181.257071759261</v>
      </c>
      <c r="D2934" t="str">
        <f ca="1">VLOOKUP(qry_ProdData2_PDI_Cash_Exception_Application[[#This Row],[TYPE]],#REF!,2,FALSE)</f>
        <v>type35</v>
      </c>
      <c r="E2934">
        <v>2442.5700000000002</v>
      </c>
      <c r="F2934" t="s">
        <v>52</v>
      </c>
      <c r="G2934" s="1">
        <f>qry_ProdData2_PDI_Cash_Exception_Application[[#This Row],[INSERT DATE]]+1</f>
        <v>45182.257071759261</v>
      </c>
      <c r="H2934" t="str">
        <f>VLOOKUP(qry_ProdData2_PDI_Cash_Exception_Application[[#This Row],[MARKET No]],'Site Allocation'!$B$2:$C$37,2,FALSE)</f>
        <v>Analyst2</v>
      </c>
      <c r="I2934" s="4">
        <f t="shared" ca="1" si="45"/>
        <v>45203</v>
      </c>
      <c r="J2934" s="42">
        <f ca="1">TODAY()-qry_ProdData2_PDI_Cash_Exception_Application[[#This Row],[INSERT DATE]]</f>
        <v>21.742928240739275</v>
      </c>
      <c r="K29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34">
        <f ca="1">qry_ProdData2_PDI_Cash_Exception_Application[[#This Row],[TODAY]]-qry_ProdData2_PDI_Cash_Exception_Application[[#This Row],[CHANGED ON]]</f>
        <v>20.742928240739275</v>
      </c>
      <c r="M2934">
        <f ca="1">qry_ProdData2_PDI_Cash_Exception_Application[[#This Row],[TODAY]]-qry_ProdData2_PDI_Cash_Exception_Application[[#This Row],[CHANGED ON]]</f>
        <v>20.742928240739275</v>
      </c>
      <c r="N2934">
        <f ca="1">qry_ProdData2_PDI_Cash_Exception_Application[[#This Row],[TODAY]]-qry_ProdData2_PDI_Cash_Exception_Application[[#This Row],[CHANGED ON]]</f>
        <v>20.742928240739275</v>
      </c>
    </row>
    <row r="2935" spans="1:14" x14ac:dyDescent="0.35">
      <c r="A2935">
        <v>1004</v>
      </c>
      <c r="B2935" t="s">
        <v>58</v>
      </c>
      <c r="C2935" s="1">
        <v>45182.257071759261</v>
      </c>
      <c r="D2935" t="str">
        <f ca="1">VLOOKUP(qry_ProdData2_PDI_Cash_Exception_Application[[#This Row],[TYPE]],#REF!,2,FALSE)</f>
        <v>type36</v>
      </c>
      <c r="E2935">
        <v>356.44</v>
      </c>
      <c r="F2935" t="s">
        <v>50</v>
      </c>
      <c r="G2935" s="1">
        <f>qry_ProdData2_PDI_Cash_Exception_Application[[#This Row],[INSERT DATE]]+1</f>
        <v>45183.257071759261</v>
      </c>
      <c r="H2935" t="str">
        <f>VLOOKUP(qry_ProdData2_PDI_Cash_Exception_Application[[#This Row],[MARKET No]],'Site Allocation'!$B$2:$C$37,2,FALSE)</f>
        <v>Analyst1</v>
      </c>
      <c r="I2935" s="4">
        <f t="shared" ca="1" si="45"/>
        <v>45203</v>
      </c>
      <c r="J2935" s="42">
        <f ca="1">TODAY()-qry_ProdData2_PDI_Cash_Exception_Application[[#This Row],[INSERT DATE]]</f>
        <v>20.742928240739275</v>
      </c>
      <c r="K29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35">
        <f ca="1">qry_ProdData2_PDI_Cash_Exception_Application[[#This Row],[TODAY]]-qry_ProdData2_PDI_Cash_Exception_Application[[#This Row],[CHANGED ON]]</f>
        <v>19.742928240739275</v>
      </c>
      <c r="M2935">
        <f ca="1">qry_ProdData2_PDI_Cash_Exception_Application[[#This Row],[TODAY]]-qry_ProdData2_PDI_Cash_Exception_Application[[#This Row],[CHANGED ON]]</f>
        <v>19.742928240739275</v>
      </c>
      <c r="N2935">
        <f ca="1">qry_ProdData2_PDI_Cash_Exception_Application[[#This Row],[TODAY]]-qry_ProdData2_PDI_Cash_Exception_Application[[#This Row],[CHANGED ON]]</f>
        <v>19.742928240739275</v>
      </c>
    </row>
    <row r="2936" spans="1:14" x14ac:dyDescent="0.35">
      <c r="A2936">
        <v>1015</v>
      </c>
      <c r="B2936" t="s">
        <v>69</v>
      </c>
      <c r="C2936" s="1">
        <v>45197.257071759261</v>
      </c>
      <c r="D2936" t="str">
        <f ca="1">VLOOKUP(qry_ProdData2_PDI_Cash_Exception_Application[[#This Row],[TYPE]],#REF!,2,FALSE)</f>
        <v>type40</v>
      </c>
      <c r="E2936">
        <v>2081.64</v>
      </c>
      <c r="G2936" s="1">
        <f>qry_ProdData2_PDI_Cash_Exception_Application[[#This Row],[INSERT DATE]]+7</f>
        <v>45204.257071759261</v>
      </c>
      <c r="H2936" t="str">
        <f>VLOOKUP(qry_ProdData2_PDI_Cash_Exception_Application[[#This Row],[MARKET No]],'Site Allocation'!$B$2:$C$37,2,FALSE)</f>
        <v>Analyst3</v>
      </c>
      <c r="I2936" s="4">
        <f t="shared" ca="1" si="45"/>
        <v>45203</v>
      </c>
      <c r="J2936" s="42">
        <f ca="1">TODAY()-qry_ProdData2_PDI_Cash_Exception_Application[[#This Row],[INSERT DATE]]</f>
        <v>5.7429282407392748</v>
      </c>
      <c r="K29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36">
        <f ca="1">qry_ProdData2_PDI_Cash_Exception_Application[[#This Row],[TODAY]]-qry_ProdData2_PDI_Cash_Exception_Application[[#This Row],[CHANGED ON]]</f>
        <v>-1.2570717592607252</v>
      </c>
      <c r="M2936">
        <f ca="1">qry_ProdData2_PDI_Cash_Exception_Application[[#This Row],[TODAY]]-qry_ProdData2_PDI_Cash_Exception_Application[[#This Row],[CHANGED ON]]</f>
        <v>-1.2570717592607252</v>
      </c>
      <c r="N2936">
        <f ca="1">qry_ProdData2_PDI_Cash_Exception_Application[[#This Row],[TODAY]]-qry_ProdData2_PDI_Cash_Exception_Application[[#This Row],[CHANGED ON]]</f>
        <v>-1.2570717592607252</v>
      </c>
    </row>
    <row r="2937" spans="1:14" x14ac:dyDescent="0.35">
      <c r="A2937">
        <v>1023</v>
      </c>
      <c r="B2937" t="s">
        <v>77</v>
      </c>
      <c r="C2937" s="1">
        <v>45196.257071759261</v>
      </c>
      <c r="D2937" t="str">
        <f ca="1">VLOOKUP(qry_ProdData2_PDI_Cash_Exception_Application[[#This Row],[TYPE]],#REF!,2,FALSE)</f>
        <v>type7</v>
      </c>
      <c r="E2937">
        <v>1665.51</v>
      </c>
      <c r="G2937" s="1">
        <f>qry_ProdData2_PDI_Cash_Exception_Application[[#This Row],[INSERT DATE]]+1</f>
        <v>45197.257071759261</v>
      </c>
      <c r="H2937" t="str">
        <f>VLOOKUP(qry_ProdData2_PDI_Cash_Exception_Application[[#This Row],[MARKET No]],'Site Allocation'!$B$2:$C$37,2,FALSE)</f>
        <v>Analyst4</v>
      </c>
      <c r="I2937" s="4">
        <f t="shared" ca="1" si="45"/>
        <v>45203</v>
      </c>
      <c r="J2937" s="42">
        <f ca="1">TODAY()-qry_ProdData2_PDI_Cash_Exception_Application[[#This Row],[INSERT DATE]]</f>
        <v>6.7429282407392748</v>
      </c>
      <c r="K29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37">
        <f ca="1">qry_ProdData2_PDI_Cash_Exception_Application[[#This Row],[TODAY]]-qry_ProdData2_PDI_Cash_Exception_Application[[#This Row],[CHANGED ON]]</f>
        <v>5.7429282407392748</v>
      </c>
      <c r="M2937">
        <f ca="1">qry_ProdData2_PDI_Cash_Exception_Application[[#This Row],[TODAY]]-qry_ProdData2_PDI_Cash_Exception_Application[[#This Row],[CHANGED ON]]</f>
        <v>5.7429282407392748</v>
      </c>
      <c r="N2937">
        <f ca="1">qry_ProdData2_PDI_Cash_Exception_Application[[#This Row],[TODAY]]-qry_ProdData2_PDI_Cash_Exception_Application[[#This Row],[CHANGED ON]]</f>
        <v>5.7429282407392748</v>
      </c>
    </row>
    <row r="2938" spans="1:14" x14ac:dyDescent="0.35">
      <c r="A2938">
        <v>1009</v>
      </c>
      <c r="B2938" t="s">
        <v>63</v>
      </c>
      <c r="C2938" s="1">
        <v>45197.257071759261</v>
      </c>
      <c r="D2938" t="str">
        <f ca="1">VLOOKUP(qry_ProdData2_PDI_Cash_Exception_Application[[#This Row],[TYPE]],#REF!,2,FALSE)</f>
        <v>type13</v>
      </c>
      <c r="E2938">
        <v>19731.23</v>
      </c>
      <c r="F2938" t="s">
        <v>49</v>
      </c>
      <c r="G2938" s="1">
        <f>qry_ProdData2_PDI_Cash_Exception_Application[[#This Row],[INSERT DATE]]+2</f>
        <v>45199.257071759261</v>
      </c>
      <c r="H2938" t="str">
        <f>VLOOKUP(qry_ProdData2_PDI_Cash_Exception_Application[[#This Row],[MARKET No]],'Site Allocation'!$B$2:$C$37,2,FALSE)</f>
        <v>Analyst2</v>
      </c>
      <c r="I2938" s="4">
        <f t="shared" ca="1" si="45"/>
        <v>45203</v>
      </c>
      <c r="J2938" s="42">
        <f ca="1">TODAY()-qry_ProdData2_PDI_Cash_Exception_Application[[#This Row],[INSERT DATE]]</f>
        <v>5.7429282407392748</v>
      </c>
      <c r="K29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38">
        <f ca="1">qry_ProdData2_PDI_Cash_Exception_Application[[#This Row],[TODAY]]-qry_ProdData2_PDI_Cash_Exception_Application[[#This Row],[CHANGED ON]]</f>
        <v>3.7429282407392748</v>
      </c>
      <c r="M2938">
        <f ca="1">qry_ProdData2_PDI_Cash_Exception_Application[[#This Row],[TODAY]]-qry_ProdData2_PDI_Cash_Exception_Application[[#This Row],[CHANGED ON]]</f>
        <v>3.7429282407392748</v>
      </c>
      <c r="N2938">
        <f ca="1">qry_ProdData2_PDI_Cash_Exception_Application[[#This Row],[TODAY]]-qry_ProdData2_PDI_Cash_Exception_Application[[#This Row],[CHANGED ON]]</f>
        <v>3.7429282407392748</v>
      </c>
    </row>
    <row r="2939" spans="1:14" x14ac:dyDescent="0.35">
      <c r="A2939">
        <v>1018</v>
      </c>
      <c r="B2939" t="s">
        <v>72</v>
      </c>
      <c r="C2939" s="1">
        <v>45184.257071759261</v>
      </c>
      <c r="D2939" t="str">
        <f ca="1">VLOOKUP(qry_ProdData2_PDI_Cash_Exception_Application[[#This Row],[TYPE]],#REF!,2,FALSE)</f>
        <v>type40</v>
      </c>
      <c r="E2939">
        <v>396.38</v>
      </c>
      <c r="F2939" t="s">
        <v>48</v>
      </c>
      <c r="G2939" s="1">
        <f>qry_ProdData2_PDI_Cash_Exception_Application[[#This Row],[INSERT DATE]]+2</f>
        <v>45186.257071759261</v>
      </c>
      <c r="H2939" t="str">
        <f>VLOOKUP(qry_ProdData2_PDI_Cash_Exception_Application[[#This Row],[MARKET No]],'Site Allocation'!$B$2:$C$37,2,FALSE)</f>
        <v>Analyst4</v>
      </c>
      <c r="I2939" s="4">
        <f t="shared" ca="1" si="45"/>
        <v>45203</v>
      </c>
      <c r="J2939" s="42">
        <f ca="1">TODAY()-qry_ProdData2_PDI_Cash_Exception_Application[[#This Row],[INSERT DATE]]</f>
        <v>18.742928240739275</v>
      </c>
      <c r="K29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39">
        <f ca="1">qry_ProdData2_PDI_Cash_Exception_Application[[#This Row],[TODAY]]-qry_ProdData2_PDI_Cash_Exception_Application[[#This Row],[CHANGED ON]]</f>
        <v>16.742928240739275</v>
      </c>
      <c r="M2939">
        <f ca="1">qry_ProdData2_PDI_Cash_Exception_Application[[#This Row],[TODAY]]-qry_ProdData2_PDI_Cash_Exception_Application[[#This Row],[CHANGED ON]]</f>
        <v>16.742928240739275</v>
      </c>
      <c r="N2939">
        <f ca="1">qry_ProdData2_PDI_Cash_Exception_Application[[#This Row],[TODAY]]-qry_ProdData2_PDI_Cash_Exception_Application[[#This Row],[CHANGED ON]]</f>
        <v>16.742928240739275</v>
      </c>
    </row>
    <row r="2940" spans="1:14" x14ac:dyDescent="0.35">
      <c r="A2940">
        <v>1035</v>
      </c>
      <c r="B2940" t="s">
        <v>89</v>
      </c>
      <c r="C2940" s="1">
        <v>45184.257071759261</v>
      </c>
      <c r="D2940" t="str">
        <f ca="1">VLOOKUP(qry_ProdData2_PDI_Cash_Exception_Application[[#This Row],[TYPE]],#REF!,2,FALSE)</f>
        <v>type40</v>
      </c>
      <c r="E2940">
        <v>7494.79</v>
      </c>
      <c r="F2940" t="s">
        <v>52</v>
      </c>
      <c r="G2940" s="1">
        <f>qry_ProdData2_PDI_Cash_Exception_Application[[#This Row],[INSERT DATE]]+1</f>
        <v>45185.257071759261</v>
      </c>
      <c r="H2940" t="str">
        <f>VLOOKUP(qry_ProdData2_PDI_Cash_Exception_Application[[#This Row],[MARKET No]],'Site Allocation'!$B$2:$C$37,2,FALSE)</f>
        <v>Analyst6</v>
      </c>
      <c r="I2940" s="4">
        <f t="shared" ca="1" si="45"/>
        <v>45203</v>
      </c>
      <c r="J2940" s="42">
        <f ca="1">TODAY()-qry_ProdData2_PDI_Cash_Exception_Application[[#This Row],[INSERT DATE]]</f>
        <v>18.742928240739275</v>
      </c>
      <c r="K29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40">
        <f ca="1">qry_ProdData2_PDI_Cash_Exception_Application[[#This Row],[TODAY]]-qry_ProdData2_PDI_Cash_Exception_Application[[#This Row],[CHANGED ON]]</f>
        <v>17.742928240739275</v>
      </c>
      <c r="M2940">
        <f ca="1">qry_ProdData2_PDI_Cash_Exception_Application[[#This Row],[TODAY]]-qry_ProdData2_PDI_Cash_Exception_Application[[#This Row],[CHANGED ON]]</f>
        <v>17.742928240739275</v>
      </c>
      <c r="N2940">
        <f ca="1">qry_ProdData2_PDI_Cash_Exception_Application[[#This Row],[TODAY]]-qry_ProdData2_PDI_Cash_Exception_Application[[#This Row],[CHANGED ON]]</f>
        <v>17.742928240739275</v>
      </c>
    </row>
    <row r="2941" spans="1:14" x14ac:dyDescent="0.35">
      <c r="A2941">
        <v>1035</v>
      </c>
      <c r="B2941" t="s">
        <v>89</v>
      </c>
      <c r="C2941" s="1">
        <v>45185.257071759261</v>
      </c>
      <c r="D2941" t="str">
        <f ca="1">VLOOKUP(qry_ProdData2_PDI_Cash_Exception_Application[[#This Row],[TYPE]],#REF!,2,FALSE)</f>
        <v>type40</v>
      </c>
      <c r="E2941">
        <v>7728.23</v>
      </c>
      <c r="F2941" t="s">
        <v>52</v>
      </c>
      <c r="G2941" s="1">
        <f>qry_ProdData2_PDI_Cash_Exception_Application[[#This Row],[INSERT DATE]]+1</f>
        <v>45186.257071759261</v>
      </c>
      <c r="H2941" t="str">
        <f>VLOOKUP(qry_ProdData2_PDI_Cash_Exception_Application[[#This Row],[MARKET No]],'Site Allocation'!$B$2:$C$37,2,FALSE)</f>
        <v>Analyst6</v>
      </c>
      <c r="I2941" s="4">
        <f t="shared" ca="1" si="45"/>
        <v>45203</v>
      </c>
      <c r="J2941" s="42">
        <f ca="1">TODAY()-qry_ProdData2_PDI_Cash_Exception_Application[[#This Row],[INSERT DATE]]</f>
        <v>17.742928240739275</v>
      </c>
      <c r="K29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41">
        <f ca="1">qry_ProdData2_PDI_Cash_Exception_Application[[#This Row],[TODAY]]-qry_ProdData2_PDI_Cash_Exception_Application[[#This Row],[CHANGED ON]]</f>
        <v>16.742928240739275</v>
      </c>
      <c r="M2941">
        <f ca="1">qry_ProdData2_PDI_Cash_Exception_Application[[#This Row],[TODAY]]-qry_ProdData2_PDI_Cash_Exception_Application[[#This Row],[CHANGED ON]]</f>
        <v>16.742928240739275</v>
      </c>
      <c r="N2941">
        <f ca="1">qry_ProdData2_PDI_Cash_Exception_Application[[#This Row],[TODAY]]-qry_ProdData2_PDI_Cash_Exception_Application[[#This Row],[CHANGED ON]]</f>
        <v>16.742928240739275</v>
      </c>
    </row>
    <row r="2942" spans="1:14" x14ac:dyDescent="0.35">
      <c r="A2942">
        <v>1031</v>
      </c>
      <c r="B2942" t="s">
        <v>85</v>
      </c>
      <c r="C2942" s="1">
        <v>45185.257071759261</v>
      </c>
      <c r="D2942" t="str">
        <f ca="1">VLOOKUP(qry_ProdData2_PDI_Cash_Exception_Application[[#This Row],[TYPE]],#REF!,2,FALSE)</f>
        <v>type40</v>
      </c>
      <c r="E2942">
        <v>1419.59</v>
      </c>
      <c r="F2942" t="s">
        <v>50</v>
      </c>
      <c r="G2942" s="1">
        <f>qry_ProdData2_PDI_Cash_Exception_Application[[#This Row],[INSERT DATE]]+1</f>
        <v>45186.257071759261</v>
      </c>
      <c r="H2942" t="str">
        <f>VLOOKUP(qry_ProdData2_PDI_Cash_Exception_Application[[#This Row],[MARKET No]],'Site Allocation'!$B$2:$C$37,2,FALSE)</f>
        <v>Analyst6</v>
      </c>
      <c r="I2942" s="4">
        <f t="shared" ca="1" si="45"/>
        <v>45203</v>
      </c>
      <c r="J2942" s="42">
        <f ca="1">TODAY()-qry_ProdData2_PDI_Cash_Exception_Application[[#This Row],[INSERT DATE]]</f>
        <v>17.742928240739275</v>
      </c>
      <c r="K29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42">
        <f ca="1">qry_ProdData2_PDI_Cash_Exception_Application[[#This Row],[TODAY]]-qry_ProdData2_PDI_Cash_Exception_Application[[#This Row],[CHANGED ON]]</f>
        <v>16.742928240739275</v>
      </c>
      <c r="M2942">
        <f ca="1">qry_ProdData2_PDI_Cash_Exception_Application[[#This Row],[TODAY]]-qry_ProdData2_PDI_Cash_Exception_Application[[#This Row],[CHANGED ON]]</f>
        <v>16.742928240739275</v>
      </c>
      <c r="N2942">
        <f ca="1">qry_ProdData2_PDI_Cash_Exception_Application[[#This Row],[TODAY]]-qry_ProdData2_PDI_Cash_Exception_Application[[#This Row],[CHANGED ON]]</f>
        <v>16.742928240739275</v>
      </c>
    </row>
    <row r="2943" spans="1:14" x14ac:dyDescent="0.35">
      <c r="A2943">
        <v>1008</v>
      </c>
      <c r="B2943" t="s">
        <v>62</v>
      </c>
      <c r="C2943" s="1">
        <v>45197.257071759261</v>
      </c>
      <c r="D2943" t="str">
        <f ca="1">VLOOKUP(qry_ProdData2_PDI_Cash_Exception_Application[[#This Row],[TYPE]],#REF!,2,FALSE)</f>
        <v>type40</v>
      </c>
      <c r="E2943">
        <v>-1732.76</v>
      </c>
      <c r="G2943" s="1">
        <f>qry_ProdData2_PDI_Cash_Exception_Application[[#This Row],[INSERT DATE]]+2</f>
        <v>45199.257071759261</v>
      </c>
      <c r="H2943" t="str">
        <f>VLOOKUP(qry_ProdData2_PDI_Cash_Exception_Application[[#This Row],[MARKET No]],'Site Allocation'!$B$2:$C$37,2,FALSE)</f>
        <v>Analyst2</v>
      </c>
      <c r="I2943" s="4">
        <f t="shared" ca="1" si="45"/>
        <v>45203</v>
      </c>
      <c r="J2943" s="42">
        <f ca="1">TODAY()-qry_ProdData2_PDI_Cash_Exception_Application[[#This Row],[INSERT DATE]]</f>
        <v>5.7429282407392748</v>
      </c>
      <c r="K29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43">
        <f ca="1">qry_ProdData2_PDI_Cash_Exception_Application[[#This Row],[TODAY]]-qry_ProdData2_PDI_Cash_Exception_Application[[#This Row],[CHANGED ON]]</f>
        <v>3.7429282407392748</v>
      </c>
      <c r="M2943">
        <f ca="1">qry_ProdData2_PDI_Cash_Exception_Application[[#This Row],[TODAY]]-qry_ProdData2_PDI_Cash_Exception_Application[[#This Row],[CHANGED ON]]</f>
        <v>3.7429282407392748</v>
      </c>
      <c r="N2943">
        <f ca="1">qry_ProdData2_PDI_Cash_Exception_Application[[#This Row],[TODAY]]-qry_ProdData2_PDI_Cash_Exception_Application[[#This Row],[CHANGED ON]]</f>
        <v>3.7429282407392748</v>
      </c>
    </row>
    <row r="2944" spans="1:14" x14ac:dyDescent="0.35">
      <c r="A2944">
        <v>1006</v>
      </c>
      <c r="B2944" t="s">
        <v>60</v>
      </c>
      <c r="C2944" s="1">
        <v>45197.257071759261</v>
      </c>
      <c r="D2944" t="str">
        <f ca="1">VLOOKUP(qry_ProdData2_PDI_Cash_Exception_Application[[#This Row],[TYPE]],#REF!,2,FALSE)</f>
        <v>type13</v>
      </c>
      <c r="E2944">
        <v>35324.53</v>
      </c>
      <c r="F2944" t="s">
        <v>47</v>
      </c>
      <c r="G2944" s="1">
        <f>qry_ProdData2_PDI_Cash_Exception_Application[[#This Row],[INSERT DATE]]+1</f>
        <v>45198.257071759261</v>
      </c>
      <c r="H2944" t="str">
        <f>VLOOKUP(qry_ProdData2_PDI_Cash_Exception_Application[[#This Row],[MARKET No]],'Site Allocation'!$B$2:$C$37,2,FALSE)</f>
        <v>Analyst2</v>
      </c>
      <c r="I2944" s="4">
        <f t="shared" ca="1" si="45"/>
        <v>45203</v>
      </c>
      <c r="J2944" s="42">
        <f ca="1">TODAY()-qry_ProdData2_PDI_Cash_Exception_Application[[#This Row],[INSERT DATE]]</f>
        <v>5.7429282407392748</v>
      </c>
      <c r="K29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44">
        <f ca="1">qry_ProdData2_PDI_Cash_Exception_Application[[#This Row],[TODAY]]-qry_ProdData2_PDI_Cash_Exception_Application[[#This Row],[CHANGED ON]]</f>
        <v>4.7429282407392748</v>
      </c>
      <c r="M2944">
        <f ca="1">qry_ProdData2_PDI_Cash_Exception_Application[[#This Row],[TODAY]]-qry_ProdData2_PDI_Cash_Exception_Application[[#This Row],[CHANGED ON]]</f>
        <v>4.7429282407392748</v>
      </c>
      <c r="N2944">
        <f ca="1">qry_ProdData2_PDI_Cash_Exception_Application[[#This Row],[TODAY]]-qry_ProdData2_PDI_Cash_Exception_Application[[#This Row],[CHANGED ON]]</f>
        <v>4.7429282407392748</v>
      </c>
    </row>
    <row r="2945" spans="1:14" x14ac:dyDescent="0.35">
      <c r="A2945">
        <v>1013</v>
      </c>
      <c r="B2945" t="s">
        <v>67</v>
      </c>
      <c r="C2945" s="1">
        <v>45196.257071759261</v>
      </c>
      <c r="D2945" t="str">
        <f ca="1">VLOOKUP(qry_ProdData2_PDI_Cash_Exception_Application[[#This Row],[TYPE]],#REF!,2,FALSE)</f>
        <v>type40</v>
      </c>
      <c r="E2945">
        <v>-1925.47</v>
      </c>
      <c r="G2945" s="1">
        <f>qry_ProdData2_PDI_Cash_Exception_Application[[#This Row],[INSERT DATE]]+1</f>
        <v>45197.257071759261</v>
      </c>
      <c r="H2945" t="str">
        <f>VLOOKUP(qry_ProdData2_PDI_Cash_Exception_Application[[#This Row],[MARKET No]],'Site Allocation'!$B$2:$C$37,2,FALSE)</f>
        <v>Analyst3</v>
      </c>
      <c r="I2945" s="4">
        <f t="shared" ca="1" si="45"/>
        <v>45203</v>
      </c>
      <c r="J2945" s="42">
        <f ca="1">TODAY()-qry_ProdData2_PDI_Cash_Exception_Application[[#This Row],[INSERT DATE]]</f>
        <v>6.7429282407392748</v>
      </c>
      <c r="K29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45">
        <f ca="1">qry_ProdData2_PDI_Cash_Exception_Application[[#This Row],[TODAY]]-qry_ProdData2_PDI_Cash_Exception_Application[[#This Row],[CHANGED ON]]</f>
        <v>5.7429282407392748</v>
      </c>
      <c r="M2945">
        <f ca="1">qry_ProdData2_PDI_Cash_Exception_Application[[#This Row],[TODAY]]-qry_ProdData2_PDI_Cash_Exception_Application[[#This Row],[CHANGED ON]]</f>
        <v>5.7429282407392748</v>
      </c>
      <c r="N2945">
        <f ca="1">qry_ProdData2_PDI_Cash_Exception_Application[[#This Row],[TODAY]]-qry_ProdData2_PDI_Cash_Exception_Application[[#This Row],[CHANGED ON]]</f>
        <v>5.7429282407392748</v>
      </c>
    </row>
    <row r="2946" spans="1:14" x14ac:dyDescent="0.35">
      <c r="A2946">
        <v>1025</v>
      </c>
      <c r="B2946" t="s">
        <v>79</v>
      </c>
      <c r="C2946" s="1">
        <v>45188.257071759261</v>
      </c>
      <c r="D2946" t="str">
        <f ca="1">VLOOKUP(qry_ProdData2_PDI_Cash_Exception_Application[[#This Row],[TYPE]],#REF!,2,FALSE)</f>
        <v>type40</v>
      </c>
      <c r="E2946">
        <v>2988.57</v>
      </c>
      <c r="F2946" t="s">
        <v>52</v>
      </c>
      <c r="G2946" s="1">
        <f>qry_ProdData2_PDI_Cash_Exception_Application[[#This Row],[INSERT DATE]]+1</f>
        <v>45189.257071759261</v>
      </c>
      <c r="H2946" t="str">
        <f>VLOOKUP(qry_ProdData2_PDI_Cash_Exception_Application[[#This Row],[MARKET No]],'Site Allocation'!$B$2:$C$37,2,FALSE)</f>
        <v>Analyst5</v>
      </c>
      <c r="I2946" s="4">
        <f t="shared" ref="I2946:I3009" ca="1" si="46">TODAY()</f>
        <v>45203</v>
      </c>
      <c r="J2946" s="42">
        <f ca="1">TODAY()-qry_ProdData2_PDI_Cash_Exception_Application[[#This Row],[INSERT DATE]]</f>
        <v>14.742928240739275</v>
      </c>
      <c r="K29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46">
        <f ca="1">qry_ProdData2_PDI_Cash_Exception_Application[[#This Row],[TODAY]]-qry_ProdData2_PDI_Cash_Exception_Application[[#This Row],[CHANGED ON]]</f>
        <v>13.742928240739275</v>
      </c>
      <c r="M2946">
        <f ca="1">qry_ProdData2_PDI_Cash_Exception_Application[[#This Row],[TODAY]]-qry_ProdData2_PDI_Cash_Exception_Application[[#This Row],[CHANGED ON]]</f>
        <v>13.742928240739275</v>
      </c>
      <c r="N2946">
        <f ca="1">qry_ProdData2_PDI_Cash_Exception_Application[[#This Row],[TODAY]]-qry_ProdData2_PDI_Cash_Exception_Application[[#This Row],[CHANGED ON]]</f>
        <v>13.742928240739275</v>
      </c>
    </row>
    <row r="2947" spans="1:14" x14ac:dyDescent="0.35">
      <c r="A2947">
        <v>1011</v>
      </c>
      <c r="B2947" t="s">
        <v>65</v>
      </c>
      <c r="C2947" s="1">
        <v>45189.257071759261</v>
      </c>
      <c r="D2947" t="str">
        <f ca="1">VLOOKUP(qry_ProdData2_PDI_Cash_Exception_Application[[#This Row],[TYPE]],#REF!,2,FALSE)</f>
        <v>type40</v>
      </c>
      <c r="E2947">
        <v>-1163.94</v>
      </c>
      <c r="F2947" t="s">
        <v>50</v>
      </c>
      <c r="G2947" s="1">
        <f>qry_ProdData2_PDI_Cash_Exception_Application[[#This Row],[INSERT DATE]]+1</f>
        <v>45190.257071759261</v>
      </c>
      <c r="H2947" t="str">
        <f>VLOOKUP(qry_ProdData2_PDI_Cash_Exception_Application[[#This Row],[MARKET No]],'Site Allocation'!$B$2:$C$37,2,FALSE)</f>
        <v>Analyst2</v>
      </c>
      <c r="I2947" s="4">
        <f t="shared" ca="1" si="46"/>
        <v>45203</v>
      </c>
      <c r="J2947" s="42">
        <f ca="1">TODAY()-qry_ProdData2_PDI_Cash_Exception_Application[[#This Row],[INSERT DATE]]</f>
        <v>13.742928240739275</v>
      </c>
      <c r="K29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47">
        <f ca="1">qry_ProdData2_PDI_Cash_Exception_Application[[#This Row],[TODAY]]-qry_ProdData2_PDI_Cash_Exception_Application[[#This Row],[CHANGED ON]]</f>
        <v>12.742928240739275</v>
      </c>
      <c r="M2947">
        <f ca="1">qry_ProdData2_PDI_Cash_Exception_Application[[#This Row],[TODAY]]-qry_ProdData2_PDI_Cash_Exception_Application[[#This Row],[CHANGED ON]]</f>
        <v>12.742928240739275</v>
      </c>
      <c r="N2947">
        <f ca="1">qry_ProdData2_PDI_Cash_Exception_Application[[#This Row],[TODAY]]-qry_ProdData2_PDI_Cash_Exception_Application[[#This Row],[CHANGED ON]]</f>
        <v>12.742928240739275</v>
      </c>
    </row>
    <row r="2948" spans="1:14" x14ac:dyDescent="0.35">
      <c r="A2948">
        <v>1020</v>
      </c>
      <c r="B2948" t="s">
        <v>74</v>
      </c>
      <c r="C2948" s="1">
        <v>45189.257071759261</v>
      </c>
      <c r="D2948" t="str">
        <f ca="1">VLOOKUP(qry_ProdData2_PDI_Cash_Exception_Application[[#This Row],[TYPE]],#REF!,2,FALSE)</f>
        <v>type40</v>
      </c>
      <c r="E2948">
        <v>-343.2</v>
      </c>
      <c r="F2948" t="s">
        <v>52</v>
      </c>
      <c r="G2948" s="1">
        <f>qry_ProdData2_PDI_Cash_Exception_Application[[#This Row],[INSERT DATE]]+1</f>
        <v>45190.257071759261</v>
      </c>
      <c r="H2948" t="str">
        <f>VLOOKUP(qry_ProdData2_PDI_Cash_Exception_Application[[#This Row],[MARKET No]],'Site Allocation'!$B$2:$C$37,2,FALSE)</f>
        <v>Analyst4</v>
      </c>
      <c r="I2948" s="4">
        <f t="shared" ca="1" si="46"/>
        <v>45203</v>
      </c>
      <c r="J2948" s="42">
        <f ca="1">TODAY()-qry_ProdData2_PDI_Cash_Exception_Application[[#This Row],[INSERT DATE]]</f>
        <v>13.742928240739275</v>
      </c>
      <c r="K29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48">
        <f ca="1">qry_ProdData2_PDI_Cash_Exception_Application[[#This Row],[TODAY]]-qry_ProdData2_PDI_Cash_Exception_Application[[#This Row],[CHANGED ON]]</f>
        <v>12.742928240739275</v>
      </c>
      <c r="M2948">
        <f ca="1">qry_ProdData2_PDI_Cash_Exception_Application[[#This Row],[TODAY]]-qry_ProdData2_PDI_Cash_Exception_Application[[#This Row],[CHANGED ON]]</f>
        <v>12.742928240739275</v>
      </c>
      <c r="N2948">
        <f ca="1">qry_ProdData2_PDI_Cash_Exception_Application[[#This Row],[TODAY]]-qry_ProdData2_PDI_Cash_Exception_Application[[#This Row],[CHANGED ON]]</f>
        <v>12.742928240739275</v>
      </c>
    </row>
    <row r="2949" spans="1:14" x14ac:dyDescent="0.35">
      <c r="A2949">
        <v>1025</v>
      </c>
      <c r="B2949" t="s">
        <v>79</v>
      </c>
      <c r="C2949" s="1">
        <v>45190.257071759261</v>
      </c>
      <c r="D2949" t="str">
        <f ca="1">VLOOKUP(qry_ProdData2_PDI_Cash_Exception_Application[[#This Row],[TYPE]],#REF!,2,FALSE)</f>
        <v>type40</v>
      </c>
      <c r="E2949">
        <v>524.6</v>
      </c>
      <c r="F2949" t="s">
        <v>52</v>
      </c>
      <c r="G2949" s="1">
        <f>qry_ProdData2_PDI_Cash_Exception_Application[[#This Row],[INSERT DATE]]+1</f>
        <v>45191.257071759261</v>
      </c>
      <c r="H2949" t="str">
        <f>VLOOKUP(qry_ProdData2_PDI_Cash_Exception_Application[[#This Row],[MARKET No]],'Site Allocation'!$B$2:$C$37,2,FALSE)</f>
        <v>Analyst5</v>
      </c>
      <c r="I2949" s="4">
        <f t="shared" ca="1" si="46"/>
        <v>45203</v>
      </c>
      <c r="J2949" s="42">
        <f ca="1">TODAY()-qry_ProdData2_PDI_Cash_Exception_Application[[#This Row],[INSERT DATE]]</f>
        <v>12.742928240739275</v>
      </c>
      <c r="K29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49">
        <f ca="1">qry_ProdData2_PDI_Cash_Exception_Application[[#This Row],[TODAY]]-qry_ProdData2_PDI_Cash_Exception_Application[[#This Row],[CHANGED ON]]</f>
        <v>11.742928240739275</v>
      </c>
      <c r="M2949">
        <f ca="1">qry_ProdData2_PDI_Cash_Exception_Application[[#This Row],[TODAY]]-qry_ProdData2_PDI_Cash_Exception_Application[[#This Row],[CHANGED ON]]</f>
        <v>11.742928240739275</v>
      </c>
      <c r="N2949">
        <f ca="1">qry_ProdData2_PDI_Cash_Exception_Application[[#This Row],[TODAY]]-qry_ProdData2_PDI_Cash_Exception_Application[[#This Row],[CHANGED ON]]</f>
        <v>11.742928240739275</v>
      </c>
    </row>
    <row r="2950" spans="1:14" x14ac:dyDescent="0.35">
      <c r="A2950">
        <v>1006</v>
      </c>
      <c r="B2950" t="s">
        <v>60</v>
      </c>
      <c r="C2950" s="1">
        <v>45190.257071759261</v>
      </c>
      <c r="D2950" t="str">
        <f ca="1">VLOOKUP(qry_ProdData2_PDI_Cash_Exception_Application[[#This Row],[TYPE]],#REF!,2,FALSE)</f>
        <v>type40</v>
      </c>
      <c r="E2950">
        <v>-509.49</v>
      </c>
      <c r="F2950" t="s">
        <v>52</v>
      </c>
      <c r="G2950" s="1">
        <f>qry_ProdData2_PDI_Cash_Exception_Application[[#This Row],[INSERT DATE]]+1</f>
        <v>45191.257071759261</v>
      </c>
      <c r="H2950" t="str">
        <f>VLOOKUP(qry_ProdData2_PDI_Cash_Exception_Application[[#This Row],[MARKET No]],'Site Allocation'!$B$2:$C$37,2,FALSE)</f>
        <v>Analyst2</v>
      </c>
      <c r="I2950" s="4">
        <f t="shared" ca="1" si="46"/>
        <v>45203</v>
      </c>
      <c r="J2950" s="42">
        <f ca="1">TODAY()-qry_ProdData2_PDI_Cash_Exception_Application[[#This Row],[INSERT DATE]]</f>
        <v>12.742928240739275</v>
      </c>
      <c r="K29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50">
        <f ca="1">qry_ProdData2_PDI_Cash_Exception_Application[[#This Row],[TODAY]]-qry_ProdData2_PDI_Cash_Exception_Application[[#This Row],[CHANGED ON]]</f>
        <v>11.742928240739275</v>
      </c>
      <c r="M2950">
        <f ca="1">qry_ProdData2_PDI_Cash_Exception_Application[[#This Row],[TODAY]]-qry_ProdData2_PDI_Cash_Exception_Application[[#This Row],[CHANGED ON]]</f>
        <v>11.742928240739275</v>
      </c>
      <c r="N2950">
        <f ca="1">qry_ProdData2_PDI_Cash_Exception_Application[[#This Row],[TODAY]]-qry_ProdData2_PDI_Cash_Exception_Application[[#This Row],[CHANGED ON]]</f>
        <v>11.742928240739275</v>
      </c>
    </row>
    <row r="2951" spans="1:14" x14ac:dyDescent="0.35">
      <c r="A2951">
        <v>1004</v>
      </c>
      <c r="B2951" t="s">
        <v>58</v>
      </c>
      <c r="C2951" s="1">
        <v>45196.257071759261</v>
      </c>
      <c r="D2951" t="str">
        <f ca="1">VLOOKUP(qry_ProdData2_PDI_Cash_Exception_Application[[#This Row],[TYPE]],#REF!,2,FALSE)</f>
        <v>type26</v>
      </c>
      <c r="E2951">
        <v>208.13</v>
      </c>
      <c r="F2951" t="s">
        <v>47</v>
      </c>
      <c r="G2951" s="1">
        <f>qry_ProdData2_PDI_Cash_Exception_Application[[#This Row],[INSERT DATE]]+1</f>
        <v>45197.257071759261</v>
      </c>
      <c r="H2951" t="str">
        <f>VLOOKUP(qry_ProdData2_PDI_Cash_Exception_Application[[#This Row],[MARKET No]],'Site Allocation'!$B$2:$C$37,2,FALSE)</f>
        <v>Analyst1</v>
      </c>
      <c r="I2951" s="4">
        <f t="shared" ca="1" si="46"/>
        <v>45203</v>
      </c>
      <c r="J2951" s="42">
        <f ca="1">TODAY()-qry_ProdData2_PDI_Cash_Exception_Application[[#This Row],[INSERT DATE]]</f>
        <v>6.7429282407392748</v>
      </c>
      <c r="K29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51">
        <f ca="1">qry_ProdData2_PDI_Cash_Exception_Application[[#This Row],[TODAY]]-qry_ProdData2_PDI_Cash_Exception_Application[[#This Row],[CHANGED ON]]</f>
        <v>5.7429282407392748</v>
      </c>
      <c r="M2951">
        <f ca="1">qry_ProdData2_PDI_Cash_Exception_Application[[#This Row],[TODAY]]-qry_ProdData2_PDI_Cash_Exception_Application[[#This Row],[CHANGED ON]]</f>
        <v>5.7429282407392748</v>
      </c>
      <c r="N2951">
        <f ca="1">qry_ProdData2_PDI_Cash_Exception_Application[[#This Row],[TODAY]]-qry_ProdData2_PDI_Cash_Exception_Application[[#This Row],[CHANGED ON]]</f>
        <v>5.7429282407392748</v>
      </c>
    </row>
    <row r="2952" spans="1:14" x14ac:dyDescent="0.35">
      <c r="A2952">
        <v>1031</v>
      </c>
      <c r="B2952" t="s">
        <v>85</v>
      </c>
      <c r="C2952" s="1">
        <v>45192.257071759261</v>
      </c>
      <c r="D2952" t="str">
        <f ca="1">VLOOKUP(qry_ProdData2_PDI_Cash_Exception_Application[[#This Row],[TYPE]],#REF!,2,FALSE)</f>
        <v>type40</v>
      </c>
      <c r="E2952">
        <v>341.96</v>
      </c>
      <c r="F2952" t="s">
        <v>50</v>
      </c>
      <c r="G2952" s="1">
        <f>qry_ProdData2_PDI_Cash_Exception_Application[[#This Row],[INSERT DATE]]+2</f>
        <v>45194.257071759261</v>
      </c>
      <c r="H2952" t="str">
        <f>VLOOKUP(qry_ProdData2_PDI_Cash_Exception_Application[[#This Row],[MARKET No]],'Site Allocation'!$B$2:$C$37,2,FALSE)</f>
        <v>Analyst6</v>
      </c>
      <c r="I2952" s="4">
        <f t="shared" ca="1" si="46"/>
        <v>45203</v>
      </c>
      <c r="J2952" s="42">
        <f ca="1">TODAY()-qry_ProdData2_PDI_Cash_Exception_Application[[#This Row],[INSERT DATE]]</f>
        <v>10.742928240739275</v>
      </c>
      <c r="K29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52">
        <f ca="1">qry_ProdData2_PDI_Cash_Exception_Application[[#This Row],[TODAY]]-qry_ProdData2_PDI_Cash_Exception_Application[[#This Row],[CHANGED ON]]</f>
        <v>8.7429282407392748</v>
      </c>
      <c r="M2952">
        <f ca="1">qry_ProdData2_PDI_Cash_Exception_Application[[#This Row],[TODAY]]-qry_ProdData2_PDI_Cash_Exception_Application[[#This Row],[CHANGED ON]]</f>
        <v>8.7429282407392748</v>
      </c>
      <c r="N2952">
        <f ca="1">qry_ProdData2_PDI_Cash_Exception_Application[[#This Row],[TODAY]]-qry_ProdData2_PDI_Cash_Exception_Application[[#This Row],[CHANGED ON]]</f>
        <v>8.7429282407392748</v>
      </c>
    </row>
    <row r="2953" spans="1:14" x14ac:dyDescent="0.35">
      <c r="A2953">
        <v>1008</v>
      </c>
      <c r="B2953" t="s">
        <v>62</v>
      </c>
      <c r="C2953" s="1">
        <v>45196.257071759261</v>
      </c>
      <c r="D2953" t="str">
        <f ca="1">VLOOKUP(qry_ProdData2_PDI_Cash_Exception_Application[[#This Row],[TYPE]],#REF!,2,FALSE)</f>
        <v>type20</v>
      </c>
      <c r="E2953">
        <v>7121</v>
      </c>
      <c r="F2953" t="s">
        <v>49</v>
      </c>
      <c r="G2953" s="1">
        <f>qry_ProdData2_PDI_Cash_Exception_Application[[#This Row],[INSERT DATE]]+7</f>
        <v>45203.257071759261</v>
      </c>
      <c r="H2953" t="str">
        <f>VLOOKUP(qry_ProdData2_PDI_Cash_Exception_Application[[#This Row],[MARKET No]],'Site Allocation'!$B$2:$C$37,2,FALSE)</f>
        <v>Analyst2</v>
      </c>
      <c r="I2953" s="4">
        <f t="shared" ca="1" si="46"/>
        <v>45203</v>
      </c>
      <c r="J2953" s="42">
        <f ca="1">TODAY()-qry_ProdData2_PDI_Cash_Exception_Application[[#This Row],[INSERT DATE]]</f>
        <v>6.7429282407392748</v>
      </c>
      <c r="K29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53">
        <f ca="1">qry_ProdData2_PDI_Cash_Exception_Application[[#This Row],[TODAY]]-qry_ProdData2_PDI_Cash_Exception_Application[[#This Row],[CHANGED ON]]</f>
        <v>-0.25707175926072523</v>
      </c>
      <c r="M2953">
        <f ca="1">qry_ProdData2_PDI_Cash_Exception_Application[[#This Row],[TODAY]]-qry_ProdData2_PDI_Cash_Exception_Application[[#This Row],[CHANGED ON]]</f>
        <v>-0.25707175926072523</v>
      </c>
      <c r="N2953">
        <f ca="1">qry_ProdData2_PDI_Cash_Exception_Application[[#This Row],[TODAY]]-qry_ProdData2_PDI_Cash_Exception_Application[[#This Row],[CHANGED ON]]</f>
        <v>-0.25707175926072523</v>
      </c>
    </row>
    <row r="2954" spans="1:14" x14ac:dyDescent="0.35">
      <c r="A2954">
        <v>1011</v>
      </c>
      <c r="B2954" t="s">
        <v>65</v>
      </c>
      <c r="C2954" s="1">
        <v>45196.257071759261</v>
      </c>
      <c r="D2954" t="str">
        <f ca="1">VLOOKUP(qry_ProdData2_PDI_Cash_Exception_Application[[#This Row],[TYPE]],#REF!,2,FALSE)</f>
        <v>type13</v>
      </c>
      <c r="E2954">
        <v>24300.3</v>
      </c>
      <c r="F2954" t="s">
        <v>47</v>
      </c>
      <c r="G2954" s="1">
        <f>qry_ProdData2_PDI_Cash_Exception_Application[[#This Row],[INSERT DATE]]+7</f>
        <v>45203.257071759261</v>
      </c>
      <c r="H2954" t="str">
        <f>VLOOKUP(qry_ProdData2_PDI_Cash_Exception_Application[[#This Row],[MARKET No]],'Site Allocation'!$B$2:$C$37,2,FALSE)</f>
        <v>Analyst2</v>
      </c>
      <c r="I2954" s="4">
        <f t="shared" ca="1" si="46"/>
        <v>45203</v>
      </c>
      <c r="J2954" s="42">
        <f ca="1">TODAY()-qry_ProdData2_PDI_Cash_Exception_Application[[#This Row],[INSERT DATE]]</f>
        <v>6.7429282407392748</v>
      </c>
      <c r="K29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54">
        <f ca="1">qry_ProdData2_PDI_Cash_Exception_Application[[#This Row],[TODAY]]-qry_ProdData2_PDI_Cash_Exception_Application[[#This Row],[CHANGED ON]]</f>
        <v>-0.25707175926072523</v>
      </c>
      <c r="M2954">
        <f ca="1">qry_ProdData2_PDI_Cash_Exception_Application[[#This Row],[TODAY]]-qry_ProdData2_PDI_Cash_Exception_Application[[#This Row],[CHANGED ON]]</f>
        <v>-0.25707175926072523</v>
      </c>
      <c r="N2954">
        <f ca="1">qry_ProdData2_PDI_Cash_Exception_Application[[#This Row],[TODAY]]-qry_ProdData2_PDI_Cash_Exception_Application[[#This Row],[CHANGED ON]]</f>
        <v>-0.25707175926072523</v>
      </c>
    </row>
    <row r="2955" spans="1:14" x14ac:dyDescent="0.35">
      <c r="A2955">
        <v>1030</v>
      </c>
      <c r="B2955" t="s">
        <v>84</v>
      </c>
      <c r="C2955" s="1">
        <v>45197.257071759261</v>
      </c>
      <c r="D2955" t="str">
        <f ca="1">VLOOKUP(qry_ProdData2_PDI_Cash_Exception_Application[[#This Row],[TYPE]],#REF!,2,FALSE)</f>
        <v>type40</v>
      </c>
      <c r="E2955">
        <v>391.79</v>
      </c>
      <c r="F2955" t="s">
        <v>49</v>
      </c>
      <c r="G2955" s="1">
        <f>qry_ProdData2_PDI_Cash_Exception_Application[[#This Row],[INSERT DATE]]+2</f>
        <v>45199.257071759261</v>
      </c>
      <c r="H2955" t="str">
        <f>VLOOKUP(qry_ProdData2_PDI_Cash_Exception_Application[[#This Row],[MARKET No]],'Site Allocation'!$B$2:$C$37,2,FALSE)</f>
        <v>Analyst6</v>
      </c>
      <c r="I2955" s="4">
        <f t="shared" ca="1" si="46"/>
        <v>45203</v>
      </c>
      <c r="J2955" s="42">
        <f ca="1">TODAY()-qry_ProdData2_PDI_Cash_Exception_Application[[#This Row],[INSERT DATE]]</f>
        <v>5.7429282407392748</v>
      </c>
      <c r="K29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55">
        <f ca="1">qry_ProdData2_PDI_Cash_Exception_Application[[#This Row],[TODAY]]-qry_ProdData2_PDI_Cash_Exception_Application[[#This Row],[CHANGED ON]]</f>
        <v>3.7429282407392748</v>
      </c>
      <c r="M2955">
        <f ca="1">qry_ProdData2_PDI_Cash_Exception_Application[[#This Row],[TODAY]]-qry_ProdData2_PDI_Cash_Exception_Application[[#This Row],[CHANGED ON]]</f>
        <v>3.7429282407392748</v>
      </c>
      <c r="N2955">
        <f ca="1">qry_ProdData2_PDI_Cash_Exception_Application[[#This Row],[TODAY]]-qry_ProdData2_PDI_Cash_Exception_Application[[#This Row],[CHANGED ON]]</f>
        <v>3.7429282407392748</v>
      </c>
    </row>
    <row r="2956" spans="1:14" x14ac:dyDescent="0.35">
      <c r="A2956">
        <v>1029</v>
      </c>
      <c r="B2956" t="s">
        <v>83</v>
      </c>
      <c r="C2956" s="1">
        <v>45196.257071759261</v>
      </c>
      <c r="D2956" t="str">
        <f ca="1">VLOOKUP(qry_ProdData2_PDI_Cash_Exception_Application[[#This Row],[TYPE]],#REF!,2,FALSE)</f>
        <v>type40</v>
      </c>
      <c r="E2956">
        <v>363.75</v>
      </c>
      <c r="F2956" t="s">
        <v>52</v>
      </c>
      <c r="G2956" s="1">
        <f>qry_ProdData2_PDI_Cash_Exception_Application[[#This Row],[INSERT DATE]]+2</f>
        <v>45198.257071759261</v>
      </c>
      <c r="H2956" t="str">
        <f>VLOOKUP(qry_ProdData2_PDI_Cash_Exception_Application[[#This Row],[MARKET No]],'Site Allocation'!$B$2:$C$37,2,FALSE)</f>
        <v>Analyst5</v>
      </c>
      <c r="I2956" s="4">
        <f t="shared" ca="1" si="46"/>
        <v>45203</v>
      </c>
      <c r="J2956" s="42">
        <f ca="1">TODAY()-qry_ProdData2_PDI_Cash_Exception_Application[[#This Row],[INSERT DATE]]</f>
        <v>6.7429282407392748</v>
      </c>
      <c r="K29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56">
        <f ca="1">qry_ProdData2_PDI_Cash_Exception_Application[[#This Row],[TODAY]]-qry_ProdData2_PDI_Cash_Exception_Application[[#This Row],[CHANGED ON]]</f>
        <v>4.7429282407392748</v>
      </c>
      <c r="M2956">
        <f ca="1">qry_ProdData2_PDI_Cash_Exception_Application[[#This Row],[TODAY]]-qry_ProdData2_PDI_Cash_Exception_Application[[#This Row],[CHANGED ON]]</f>
        <v>4.7429282407392748</v>
      </c>
      <c r="N2956">
        <f ca="1">qry_ProdData2_PDI_Cash_Exception_Application[[#This Row],[TODAY]]-qry_ProdData2_PDI_Cash_Exception_Application[[#This Row],[CHANGED ON]]</f>
        <v>4.7429282407392748</v>
      </c>
    </row>
    <row r="2957" spans="1:14" x14ac:dyDescent="0.35">
      <c r="A2957">
        <v>1029</v>
      </c>
      <c r="B2957" t="s">
        <v>83</v>
      </c>
      <c r="C2957" s="1">
        <v>45196.257071759261</v>
      </c>
      <c r="D2957" t="str">
        <f ca="1">VLOOKUP(qry_ProdData2_PDI_Cash_Exception_Application[[#This Row],[TYPE]],#REF!,2,FALSE)</f>
        <v>type40</v>
      </c>
      <c r="E2957">
        <v>-457.18</v>
      </c>
      <c r="F2957" t="s">
        <v>47</v>
      </c>
      <c r="G2957" s="1">
        <f>qry_ProdData2_PDI_Cash_Exception_Application[[#This Row],[INSERT DATE]]+5</f>
        <v>45201.257071759261</v>
      </c>
      <c r="H2957" t="str">
        <f>VLOOKUP(qry_ProdData2_PDI_Cash_Exception_Application[[#This Row],[MARKET No]],'Site Allocation'!$B$2:$C$37,2,FALSE)</f>
        <v>Analyst5</v>
      </c>
      <c r="I2957" s="4">
        <f t="shared" ca="1" si="46"/>
        <v>45203</v>
      </c>
      <c r="J2957" s="42">
        <f ca="1">TODAY()-qry_ProdData2_PDI_Cash_Exception_Application[[#This Row],[INSERT DATE]]</f>
        <v>6.7429282407392748</v>
      </c>
      <c r="K29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57">
        <f ca="1">qry_ProdData2_PDI_Cash_Exception_Application[[#This Row],[TODAY]]-qry_ProdData2_PDI_Cash_Exception_Application[[#This Row],[CHANGED ON]]</f>
        <v>1.7429282407392748</v>
      </c>
      <c r="M2957">
        <f ca="1">qry_ProdData2_PDI_Cash_Exception_Application[[#This Row],[TODAY]]-qry_ProdData2_PDI_Cash_Exception_Application[[#This Row],[CHANGED ON]]</f>
        <v>1.7429282407392748</v>
      </c>
      <c r="N2957">
        <f ca="1">qry_ProdData2_PDI_Cash_Exception_Application[[#This Row],[TODAY]]-qry_ProdData2_PDI_Cash_Exception_Application[[#This Row],[CHANGED ON]]</f>
        <v>1.7429282407392748</v>
      </c>
    </row>
    <row r="2958" spans="1:14" x14ac:dyDescent="0.35">
      <c r="A2958">
        <v>1024</v>
      </c>
      <c r="B2958" t="s">
        <v>78</v>
      </c>
      <c r="C2958" s="1">
        <v>45196.257071759261</v>
      </c>
      <c r="D2958" t="str">
        <f ca="1">VLOOKUP(qry_ProdData2_PDI_Cash_Exception_Application[[#This Row],[TYPE]],#REF!,2,FALSE)</f>
        <v>type40</v>
      </c>
      <c r="E2958">
        <v>-454.7</v>
      </c>
      <c r="F2958" t="s">
        <v>47</v>
      </c>
      <c r="G2958" s="1">
        <f>qry_ProdData2_PDI_Cash_Exception_Application[[#This Row],[INSERT DATE]]+1</f>
        <v>45197.257071759261</v>
      </c>
      <c r="H2958" t="str">
        <f>VLOOKUP(qry_ProdData2_PDI_Cash_Exception_Application[[#This Row],[MARKET No]],'Site Allocation'!$B$2:$C$37,2,FALSE)</f>
        <v>Analyst5</v>
      </c>
      <c r="I2958" s="4">
        <f t="shared" ca="1" si="46"/>
        <v>45203</v>
      </c>
      <c r="J2958" s="42">
        <f ca="1">TODAY()-qry_ProdData2_PDI_Cash_Exception_Application[[#This Row],[INSERT DATE]]</f>
        <v>6.7429282407392748</v>
      </c>
      <c r="K29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58">
        <f ca="1">qry_ProdData2_PDI_Cash_Exception_Application[[#This Row],[TODAY]]-qry_ProdData2_PDI_Cash_Exception_Application[[#This Row],[CHANGED ON]]</f>
        <v>5.7429282407392748</v>
      </c>
      <c r="M2958">
        <f ca="1">qry_ProdData2_PDI_Cash_Exception_Application[[#This Row],[TODAY]]-qry_ProdData2_PDI_Cash_Exception_Application[[#This Row],[CHANGED ON]]</f>
        <v>5.7429282407392748</v>
      </c>
      <c r="N2958">
        <f ca="1">qry_ProdData2_PDI_Cash_Exception_Application[[#This Row],[TODAY]]-qry_ProdData2_PDI_Cash_Exception_Application[[#This Row],[CHANGED ON]]</f>
        <v>5.7429282407392748</v>
      </c>
    </row>
    <row r="2959" spans="1:14" x14ac:dyDescent="0.35">
      <c r="A2959">
        <v>1002</v>
      </c>
      <c r="B2959" t="s">
        <v>56</v>
      </c>
      <c r="C2959" s="1">
        <v>45196.257071759261</v>
      </c>
      <c r="D2959" t="str">
        <f ca="1">VLOOKUP(qry_ProdData2_PDI_Cash_Exception_Application[[#This Row],[TYPE]],#REF!,2,FALSE)</f>
        <v>type15</v>
      </c>
      <c r="E2959">
        <v>-1091.55</v>
      </c>
      <c r="G2959" s="1">
        <f>qry_ProdData2_PDI_Cash_Exception_Application[[#This Row],[INSERT DATE]]+2</f>
        <v>45198.257071759261</v>
      </c>
      <c r="H2959" t="str">
        <f>VLOOKUP(qry_ProdData2_PDI_Cash_Exception_Application[[#This Row],[MARKET No]],'Site Allocation'!$B$2:$C$37,2,FALSE)</f>
        <v>Analyst1</v>
      </c>
      <c r="I2959" s="4">
        <f t="shared" ca="1" si="46"/>
        <v>45203</v>
      </c>
      <c r="J2959" s="42">
        <f ca="1">TODAY()-qry_ProdData2_PDI_Cash_Exception_Application[[#This Row],[INSERT DATE]]</f>
        <v>6.7429282407392748</v>
      </c>
      <c r="K29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59">
        <f ca="1">qry_ProdData2_PDI_Cash_Exception_Application[[#This Row],[TODAY]]-qry_ProdData2_PDI_Cash_Exception_Application[[#This Row],[CHANGED ON]]</f>
        <v>4.7429282407392748</v>
      </c>
      <c r="M2959">
        <f ca="1">qry_ProdData2_PDI_Cash_Exception_Application[[#This Row],[TODAY]]-qry_ProdData2_PDI_Cash_Exception_Application[[#This Row],[CHANGED ON]]</f>
        <v>4.7429282407392748</v>
      </c>
      <c r="N2959">
        <f ca="1">qry_ProdData2_PDI_Cash_Exception_Application[[#This Row],[TODAY]]-qry_ProdData2_PDI_Cash_Exception_Application[[#This Row],[CHANGED ON]]</f>
        <v>4.7429282407392748</v>
      </c>
    </row>
    <row r="2960" spans="1:14" x14ac:dyDescent="0.35">
      <c r="A2960">
        <v>1015</v>
      </c>
      <c r="B2960" t="s">
        <v>69</v>
      </c>
      <c r="C2960" s="1">
        <v>45187.257071759261</v>
      </c>
      <c r="D2960" t="str">
        <f ca="1">VLOOKUP(qry_ProdData2_PDI_Cash_Exception_Application[[#This Row],[TYPE]],#REF!,2,FALSE)</f>
        <v>type40</v>
      </c>
      <c r="E2960">
        <v>-2265.7800000000002</v>
      </c>
      <c r="F2960" t="s">
        <v>50</v>
      </c>
      <c r="G2960" s="1">
        <f>qry_ProdData2_PDI_Cash_Exception_Application[[#This Row],[INSERT DATE]]+2</f>
        <v>45189.257071759261</v>
      </c>
      <c r="H2960" t="str">
        <f>VLOOKUP(qry_ProdData2_PDI_Cash_Exception_Application[[#This Row],[MARKET No]],'Site Allocation'!$B$2:$C$37,2,FALSE)</f>
        <v>Analyst3</v>
      </c>
      <c r="I2960" s="4">
        <f t="shared" ca="1" si="46"/>
        <v>45203</v>
      </c>
      <c r="J2960" s="42">
        <f ca="1">TODAY()-qry_ProdData2_PDI_Cash_Exception_Application[[#This Row],[INSERT DATE]]</f>
        <v>15.742928240739275</v>
      </c>
      <c r="K29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60">
        <f ca="1">qry_ProdData2_PDI_Cash_Exception_Application[[#This Row],[TODAY]]-qry_ProdData2_PDI_Cash_Exception_Application[[#This Row],[CHANGED ON]]</f>
        <v>13.742928240739275</v>
      </c>
      <c r="M2960">
        <f ca="1">qry_ProdData2_PDI_Cash_Exception_Application[[#This Row],[TODAY]]-qry_ProdData2_PDI_Cash_Exception_Application[[#This Row],[CHANGED ON]]</f>
        <v>13.742928240739275</v>
      </c>
      <c r="N2960">
        <f ca="1">qry_ProdData2_PDI_Cash_Exception_Application[[#This Row],[TODAY]]-qry_ProdData2_PDI_Cash_Exception_Application[[#This Row],[CHANGED ON]]</f>
        <v>13.742928240739275</v>
      </c>
    </row>
    <row r="2961" spans="1:14" x14ac:dyDescent="0.35">
      <c r="A2961">
        <v>1015</v>
      </c>
      <c r="B2961" t="s">
        <v>69</v>
      </c>
      <c r="C2961" s="1">
        <v>45187.257071759261</v>
      </c>
      <c r="D2961" t="str">
        <f ca="1">VLOOKUP(qry_ProdData2_PDI_Cash_Exception_Application[[#This Row],[TYPE]],#REF!,2,FALSE)</f>
        <v>type13</v>
      </c>
      <c r="E2961">
        <v>40175.4</v>
      </c>
      <c r="F2961" t="s">
        <v>48</v>
      </c>
      <c r="G2961" s="1">
        <f>qry_ProdData2_PDI_Cash_Exception_Application[[#This Row],[INSERT DATE]]+2</f>
        <v>45189.257071759261</v>
      </c>
      <c r="H2961" t="str">
        <f>VLOOKUP(qry_ProdData2_PDI_Cash_Exception_Application[[#This Row],[MARKET No]],'Site Allocation'!$B$2:$C$37,2,FALSE)</f>
        <v>Analyst3</v>
      </c>
      <c r="I2961" s="4">
        <f t="shared" ca="1" si="46"/>
        <v>45203</v>
      </c>
      <c r="J2961" s="42">
        <f ca="1">TODAY()-qry_ProdData2_PDI_Cash_Exception_Application[[#This Row],[INSERT DATE]]</f>
        <v>15.742928240739275</v>
      </c>
      <c r="K29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61">
        <f ca="1">qry_ProdData2_PDI_Cash_Exception_Application[[#This Row],[TODAY]]-qry_ProdData2_PDI_Cash_Exception_Application[[#This Row],[CHANGED ON]]</f>
        <v>13.742928240739275</v>
      </c>
      <c r="M2961">
        <f ca="1">qry_ProdData2_PDI_Cash_Exception_Application[[#This Row],[TODAY]]-qry_ProdData2_PDI_Cash_Exception_Application[[#This Row],[CHANGED ON]]</f>
        <v>13.742928240739275</v>
      </c>
      <c r="N2961">
        <f ca="1">qry_ProdData2_PDI_Cash_Exception_Application[[#This Row],[TODAY]]-qry_ProdData2_PDI_Cash_Exception_Application[[#This Row],[CHANGED ON]]</f>
        <v>13.742928240739275</v>
      </c>
    </row>
    <row r="2962" spans="1:14" x14ac:dyDescent="0.35">
      <c r="A2962">
        <v>1027</v>
      </c>
      <c r="B2962" t="s">
        <v>81</v>
      </c>
      <c r="C2962" s="1">
        <v>45188.257071759261</v>
      </c>
      <c r="D2962" t="str">
        <f ca="1">VLOOKUP(qry_ProdData2_PDI_Cash_Exception_Application[[#This Row],[TYPE]],#REF!,2,FALSE)</f>
        <v>type40</v>
      </c>
      <c r="E2962">
        <v>2245.8000000000002</v>
      </c>
      <c r="F2962" t="s">
        <v>50</v>
      </c>
      <c r="G2962" s="1">
        <f>qry_ProdData2_PDI_Cash_Exception_Application[[#This Row],[INSERT DATE]]+2</f>
        <v>45190.257071759261</v>
      </c>
      <c r="H2962" t="str">
        <f>VLOOKUP(qry_ProdData2_PDI_Cash_Exception_Application[[#This Row],[MARKET No]],'Site Allocation'!$B$2:$C$37,2,FALSE)</f>
        <v>Analyst5</v>
      </c>
      <c r="I2962" s="4">
        <f t="shared" ca="1" si="46"/>
        <v>45203</v>
      </c>
      <c r="J2962" s="42">
        <f ca="1">TODAY()-qry_ProdData2_PDI_Cash_Exception_Application[[#This Row],[INSERT DATE]]</f>
        <v>14.742928240739275</v>
      </c>
      <c r="K29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62">
        <f ca="1">qry_ProdData2_PDI_Cash_Exception_Application[[#This Row],[TODAY]]-qry_ProdData2_PDI_Cash_Exception_Application[[#This Row],[CHANGED ON]]</f>
        <v>12.742928240739275</v>
      </c>
      <c r="M2962">
        <f ca="1">qry_ProdData2_PDI_Cash_Exception_Application[[#This Row],[TODAY]]-qry_ProdData2_PDI_Cash_Exception_Application[[#This Row],[CHANGED ON]]</f>
        <v>12.742928240739275</v>
      </c>
      <c r="N2962">
        <f ca="1">qry_ProdData2_PDI_Cash_Exception_Application[[#This Row],[TODAY]]-qry_ProdData2_PDI_Cash_Exception_Application[[#This Row],[CHANGED ON]]</f>
        <v>12.742928240739275</v>
      </c>
    </row>
    <row r="2963" spans="1:14" x14ac:dyDescent="0.35">
      <c r="A2963">
        <v>1034</v>
      </c>
      <c r="B2963" t="s">
        <v>88</v>
      </c>
      <c r="C2963" s="1">
        <v>45197.257071759261</v>
      </c>
      <c r="D2963" t="str">
        <f ca="1">VLOOKUP(qry_ProdData2_PDI_Cash_Exception_Application[[#This Row],[TYPE]],#REF!,2,FALSE)</f>
        <v>type40</v>
      </c>
      <c r="E2963">
        <v>-2212.64</v>
      </c>
      <c r="F2963" t="s">
        <v>47</v>
      </c>
      <c r="G2963" s="1">
        <f>qry_ProdData2_PDI_Cash_Exception_Application[[#This Row],[INSERT DATE]]+2</f>
        <v>45199.257071759261</v>
      </c>
      <c r="H2963" t="str">
        <f>VLOOKUP(qry_ProdData2_PDI_Cash_Exception_Application[[#This Row],[MARKET No]],'Site Allocation'!$B$2:$C$37,2,FALSE)</f>
        <v>Analyst6</v>
      </c>
      <c r="I2963" s="4">
        <f t="shared" ca="1" si="46"/>
        <v>45203</v>
      </c>
      <c r="J2963" s="42">
        <f ca="1">TODAY()-qry_ProdData2_PDI_Cash_Exception_Application[[#This Row],[INSERT DATE]]</f>
        <v>5.7429282407392748</v>
      </c>
      <c r="K29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63">
        <f ca="1">qry_ProdData2_PDI_Cash_Exception_Application[[#This Row],[TODAY]]-qry_ProdData2_PDI_Cash_Exception_Application[[#This Row],[CHANGED ON]]</f>
        <v>3.7429282407392748</v>
      </c>
      <c r="M2963">
        <f ca="1">qry_ProdData2_PDI_Cash_Exception_Application[[#This Row],[TODAY]]-qry_ProdData2_PDI_Cash_Exception_Application[[#This Row],[CHANGED ON]]</f>
        <v>3.7429282407392748</v>
      </c>
      <c r="N2963">
        <f ca="1">qry_ProdData2_PDI_Cash_Exception_Application[[#This Row],[TODAY]]-qry_ProdData2_PDI_Cash_Exception_Application[[#This Row],[CHANGED ON]]</f>
        <v>3.7429282407392748</v>
      </c>
    </row>
    <row r="2964" spans="1:14" x14ac:dyDescent="0.35">
      <c r="A2964">
        <v>1009</v>
      </c>
      <c r="B2964" t="s">
        <v>63</v>
      </c>
      <c r="C2964" s="1">
        <v>45197.257071759261</v>
      </c>
      <c r="D2964" t="str">
        <f ca="1">VLOOKUP(qry_ProdData2_PDI_Cash_Exception_Application[[#This Row],[TYPE]],#REF!,2,FALSE)</f>
        <v>type40</v>
      </c>
      <c r="E2964">
        <v>3881.75</v>
      </c>
      <c r="F2964" t="s">
        <v>49</v>
      </c>
      <c r="G2964" s="1">
        <f>qry_ProdData2_PDI_Cash_Exception_Application[[#This Row],[INSERT DATE]]+2</f>
        <v>45199.257071759261</v>
      </c>
      <c r="H2964" t="str">
        <f>VLOOKUP(qry_ProdData2_PDI_Cash_Exception_Application[[#This Row],[MARKET No]],'Site Allocation'!$B$2:$C$37,2,FALSE)</f>
        <v>Analyst2</v>
      </c>
      <c r="I2964" s="4">
        <f t="shared" ca="1" si="46"/>
        <v>45203</v>
      </c>
      <c r="J2964" s="42">
        <f ca="1">TODAY()-qry_ProdData2_PDI_Cash_Exception_Application[[#This Row],[INSERT DATE]]</f>
        <v>5.7429282407392748</v>
      </c>
      <c r="K29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64">
        <f ca="1">qry_ProdData2_PDI_Cash_Exception_Application[[#This Row],[TODAY]]-qry_ProdData2_PDI_Cash_Exception_Application[[#This Row],[CHANGED ON]]</f>
        <v>3.7429282407392748</v>
      </c>
      <c r="M2964">
        <f ca="1">qry_ProdData2_PDI_Cash_Exception_Application[[#This Row],[TODAY]]-qry_ProdData2_PDI_Cash_Exception_Application[[#This Row],[CHANGED ON]]</f>
        <v>3.7429282407392748</v>
      </c>
      <c r="N2964">
        <f ca="1">qry_ProdData2_PDI_Cash_Exception_Application[[#This Row],[TODAY]]-qry_ProdData2_PDI_Cash_Exception_Application[[#This Row],[CHANGED ON]]</f>
        <v>3.7429282407392748</v>
      </c>
    </row>
    <row r="2965" spans="1:14" x14ac:dyDescent="0.35">
      <c r="A2965">
        <v>1019</v>
      </c>
      <c r="B2965" t="s">
        <v>73</v>
      </c>
      <c r="C2965" s="1">
        <v>45197.257071759261</v>
      </c>
      <c r="D2965" t="str">
        <f ca="1">VLOOKUP(qry_ProdData2_PDI_Cash_Exception_Application[[#This Row],[TYPE]],#REF!,2,FALSE)</f>
        <v>type40</v>
      </c>
      <c r="E2965">
        <v>395.83</v>
      </c>
      <c r="F2965" t="s">
        <v>49</v>
      </c>
      <c r="G2965" s="1">
        <f>qry_ProdData2_PDI_Cash_Exception_Application[[#This Row],[INSERT DATE]]+1</f>
        <v>45198.257071759261</v>
      </c>
      <c r="H2965" t="str">
        <f>VLOOKUP(qry_ProdData2_PDI_Cash_Exception_Application[[#This Row],[MARKET No]],'Site Allocation'!$B$2:$C$37,2,FALSE)</f>
        <v>Analyst4</v>
      </c>
      <c r="I2965" s="4">
        <f t="shared" ca="1" si="46"/>
        <v>45203</v>
      </c>
      <c r="J2965" s="42">
        <f ca="1">TODAY()-qry_ProdData2_PDI_Cash_Exception_Application[[#This Row],[INSERT DATE]]</f>
        <v>5.7429282407392748</v>
      </c>
      <c r="K29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65">
        <f ca="1">qry_ProdData2_PDI_Cash_Exception_Application[[#This Row],[TODAY]]-qry_ProdData2_PDI_Cash_Exception_Application[[#This Row],[CHANGED ON]]</f>
        <v>4.7429282407392748</v>
      </c>
      <c r="M2965">
        <f ca="1">qry_ProdData2_PDI_Cash_Exception_Application[[#This Row],[TODAY]]-qry_ProdData2_PDI_Cash_Exception_Application[[#This Row],[CHANGED ON]]</f>
        <v>4.7429282407392748</v>
      </c>
      <c r="N2965">
        <f ca="1">qry_ProdData2_PDI_Cash_Exception_Application[[#This Row],[TODAY]]-qry_ProdData2_PDI_Cash_Exception_Application[[#This Row],[CHANGED ON]]</f>
        <v>4.7429282407392748</v>
      </c>
    </row>
    <row r="2966" spans="1:14" x14ac:dyDescent="0.35">
      <c r="A2966">
        <v>1016</v>
      </c>
      <c r="B2966" t="s">
        <v>70</v>
      </c>
      <c r="C2966" s="1">
        <v>45189.257071759261</v>
      </c>
      <c r="D2966" t="str">
        <f ca="1">VLOOKUP(qry_ProdData2_PDI_Cash_Exception_Application[[#This Row],[TYPE]],#REF!,2,FALSE)</f>
        <v>type40</v>
      </c>
      <c r="E2966">
        <v>-326.43</v>
      </c>
      <c r="F2966" t="s">
        <v>48</v>
      </c>
      <c r="G2966" s="1">
        <f>qry_ProdData2_PDI_Cash_Exception_Application[[#This Row],[INSERT DATE]]+2</f>
        <v>45191.257071759261</v>
      </c>
      <c r="H2966" t="str">
        <f>VLOOKUP(qry_ProdData2_PDI_Cash_Exception_Application[[#This Row],[MARKET No]],'Site Allocation'!$B$2:$C$37,2,FALSE)</f>
        <v>Analyst3</v>
      </c>
      <c r="I2966" s="4">
        <f t="shared" ca="1" si="46"/>
        <v>45203</v>
      </c>
      <c r="J2966" s="42">
        <f ca="1">TODAY()-qry_ProdData2_PDI_Cash_Exception_Application[[#This Row],[INSERT DATE]]</f>
        <v>13.742928240739275</v>
      </c>
      <c r="K29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66">
        <f ca="1">qry_ProdData2_PDI_Cash_Exception_Application[[#This Row],[TODAY]]-qry_ProdData2_PDI_Cash_Exception_Application[[#This Row],[CHANGED ON]]</f>
        <v>11.742928240739275</v>
      </c>
      <c r="M2966">
        <f ca="1">qry_ProdData2_PDI_Cash_Exception_Application[[#This Row],[TODAY]]-qry_ProdData2_PDI_Cash_Exception_Application[[#This Row],[CHANGED ON]]</f>
        <v>11.742928240739275</v>
      </c>
      <c r="N2966">
        <f ca="1">qry_ProdData2_PDI_Cash_Exception_Application[[#This Row],[TODAY]]-qry_ProdData2_PDI_Cash_Exception_Application[[#This Row],[CHANGED ON]]</f>
        <v>11.742928240739275</v>
      </c>
    </row>
    <row r="2967" spans="1:14" x14ac:dyDescent="0.35">
      <c r="A2967">
        <v>1034</v>
      </c>
      <c r="B2967" t="s">
        <v>88</v>
      </c>
      <c r="C2967" s="1">
        <v>45196.257071759261</v>
      </c>
      <c r="D2967" t="str">
        <f ca="1">VLOOKUP(qry_ProdData2_PDI_Cash_Exception_Application[[#This Row],[TYPE]],#REF!,2,FALSE)</f>
        <v>type40</v>
      </c>
      <c r="E2967">
        <v>104.34</v>
      </c>
      <c r="G2967" s="1">
        <f>qry_ProdData2_PDI_Cash_Exception_Application[[#This Row],[INSERT DATE]]+2</f>
        <v>45198.257071759261</v>
      </c>
      <c r="H2967" t="str">
        <f>VLOOKUP(qry_ProdData2_PDI_Cash_Exception_Application[[#This Row],[MARKET No]],'Site Allocation'!$B$2:$C$37,2,FALSE)</f>
        <v>Analyst6</v>
      </c>
      <c r="I2967" s="4">
        <f t="shared" ca="1" si="46"/>
        <v>45203</v>
      </c>
      <c r="J2967" s="42">
        <f ca="1">TODAY()-qry_ProdData2_PDI_Cash_Exception_Application[[#This Row],[INSERT DATE]]</f>
        <v>6.7429282407392748</v>
      </c>
      <c r="K29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67">
        <f ca="1">qry_ProdData2_PDI_Cash_Exception_Application[[#This Row],[TODAY]]-qry_ProdData2_PDI_Cash_Exception_Application[[#This Row],[CHANGED ON]]</f>
        <v>4.7429282407392748</v>
      </c>
      <c r="M2967">
        <f ca="1">qry_ProdData2_PDI_Cash_Exception_Application[[#This Row],[TODAY]]-qry_ProdData2_PDI_Cash_Exception_Application[[#This Row],[CHANGED ON]]</f>
        <v>4.7429282407392748</v>
      </c>
      <c r="N2967">
        <f ca="1">qry_ProdData2_PDI_Cash_Exception_Application[[#This Row],[TODAY]]-qry_ProdData2_PDI_Cash_Exception_Application[[#This Row],[CHANGED ON]]</f>
        <v>4.7429282407392748</v>
      </c>
    </row>
    <row r="2968" spans="1:14" x14ac:dyDescent="0.35">
      <c r="A2968">
        <v>1021</v>
      </c>
      <c r="B2968" t="s">
        <v>75</v>
      </c>
      <c r="C2968" s="1">
        <v>45197.257071759261</v>
      </c>
      <c r="D2968" t="str">
        <f ca="1">VLOOKUP(qry_ProdData2_PDI_Cash_Exception_Application[[#This Row],[TYPE]],#REF!,2,FALSE)</f>
        <v>type40</v>
      </c>
      <c r="E2968">
        <v>760.36</v>
      </c>
      <c r="F2968" t="s">
        <v>47</v>
      </c>
      <c r="G2968" s="1">
        <f>qry_ProdData2_PDI_Cash_Exception_Application[[#This Row],[INSERT DATE]]+2</f>
        <v>45199.257071759261</v>
      </c>
      <c r="H2968" t="str">
        <f>VLOOKUP(qry_ProdData2_PDI_Cash_Exception_Application[[#This Row],[MARKET No]],'Site Allocation'!$B$2:$C$37,2,FALSE)</f>
        <v>Analyst4</v>
      </c>
      <c r="I2968" s="4">
        <f t="shared" ca="1" si="46"/>
        <v>45203</v>
      </c>
      <c r="J2968" s="42">
        <f ca="1">TODAY()-qry_ProdData2_PDI_Cash_Exception_Application[[#This Row],[INSERT DATE]]</f>
        <v>5.7429282407392748</v>
      </c>
      <c r="K29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68">
        <f ca="1">qry_ProdData2_PDI_Cash_Exception_Application[[#This Row],[TODAY]]-qry_ProdData2_PDI_Cash_Exception_Application[[#This Row],[CHANGED ON]]</f>
        <v>3.7429282407392748</v>
      </c>
      <c r="M2968">
        <f ca="1">qry_ProdData2_PDI_Cash_Exception_Application[[#This Row],[TODAY]]-qry_ProdData2_PDI_Cash_Exception_Application[[#This Row],[CHANGED ON]]</f>
        <v>3.7429282407392748</v>
      </c>
      <c r="N2968">
        <f ca="1">qry_ProdData2_PDI_Cash_Exception_Application[[#This Row],[TODAY]]-qry_ProdData2_PDI_Cash_Exception_Application[[#This Row],[CHANGED ON]]</f>
        <v>3.7429282407392748</v>
      </c>
    </row>
    <row r="2969" spans="1:14" x14ac:dyDescent="0.35">
      <c r="A2969">
        <v>1014</v>
      </c>
      <c r="B2969" t="s">
        <v>68</v>
      </c>
      <c r="C2969" s="1">
        <v>45193.257071759261</v>
      </c>
      <c r="D2969" t="str">
        <f ca="1">VLOOKUP(qry_ProdData2_PDI_Cash_Exception_Application[[#This Row],[TYPE]],#REF!,2,FALSE)</f>
        <v>type2</v>
      </c>
      <c r="E2969">
        <v>1130</v>
      </c>
      <c r="F2969" t="s">
        <v>50</v>
      </c>
      <c r="G2969" s="1">
        <f>qry_ProdData2_PDI_Cash_Exception_Application[[#This Row],[INSERT DATE]]+2</f>
        <v>45195.257071759261</v>
      </c>
      <c r="H2969" t="str">
        <f>VLOOKUP(qry_ProdData2_PDI_Cash_Exception_Application[[#This Row],[MARKET No]],'Site Allocation'!$B$2:$C$37,2,FALSE)</f>
        <v>Analyst3</v>
      </c>
      <c r="I2969" s="4">
        <f t="shared" ca="1" si="46"/>
        <v>45203</v>
      </c>
      <c r="J2969" s="42">
        <f ca="1">TODAY()-qry_ProdData2_PDI_Cash_Exception_Application[[#This Row],[INSERT DATE]]</f>
        <v>9.7429282407392748</v>
      </c>
      <c r="K29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69">
        <f ca="1">qry_ProdData2_PDI_Cash_Exception_Application[[#This Row],[TODAY]]-qry_ProdData2_PDI_Cash_Exception_Application[[#This Row],[CHANGED ON]]</f>
        <v>7.7429282407392748</v>
      </c>
      <c r="M2969">
        <f ca="1">qry_ProdData2_PDI_Cash_Exception_Application[[#This Row],[TODAY]]-qry_ProdData2_PDI_Cash_Exception_Application[[#This Row],[CHANGED ON]]</f>
        <v>7.7429282407392748</v>
      </c>
      <c r="N2969">
        <f ca="1">qry_ProdData2_PDI_Cash_Exception_Application[[#This Row],[TODAY]]-qry_ProdData2_PDI_Cash_Exception_Application[[#This Row],[CHANGED ON]]</f>
        <v>7.7429282407392748</v>
      </c>
    </row>
    <row r="2970" spans="1:14" x14ac:dyDescent="0.35">
      <c r="A2970">
        <v>1012</v>
      </c>
      <c r="B2970" t="s">
        <v>66</v>
      </c>
      <c r="C2970" s="1">
        <v>45196.257071759261</v>
      </c>
      <c r="D2970" t="str">
        <f ca="1">VLOOKUP(qry_ProdData2_PDI_Cash_Exception_Application[[#This Row],[TYPE]],#REF!,2,FALSE)</f>
        <v>type26</v>
      </c>
      <c r="E2970">
        <v>328.54</v>
      </c>
      <c r="F2970" t="s">
        <v>49</v>
      </c>
      <c r="G2970" s="1">
        <f>qry_ProdData2_PDI_Cash_Exception_Application[[#This Row],[INSERT DATE]]+7</f>
        <v>45203.257071759261</v>
      </c>
      <c r="H2970" t="str">
        <f>VLOOKUP(qry_ProdData2_PDI_Cash_Exception_Application[[#This Row],[MARKET No]],'Site Allocation'!$B$2:$C$37,2,FALSE)</f>
        <v>Analyst3</v>
      </c>
      <c r="I2970" s="4">
        <f t="shared" ca="1" si="46"/>
        <v>45203</v>
      </c>
      <c r="J2970" s="42">
        <f ca="1">TODAY()-qry_ProdData2_PDI_Cash_Exception_Application[[#This Row],[INSERT DATE]]</f>
        <v>6.7429282407392748</v>
      </c>
      <c r="K29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70">
        <f ca="1">qry_ProdData2_PDI_Cash_Exception_Application[[#This Row],[TODAY]]-qry_ProdData2_PDI_Cash_Exception_Application[[#This Row],[CHANGED ON]]</f>
        <v>-0.25707175926072523</v>
      </c>
      <c r="M2970">
        <f ca="1">qry_ProdData2_PDI_Cash_Exception_Application[[#This Row],[TODAY]]-qry_ProdData2_PDI_Cash_Exception_Application[[#This Row],[CHANGED ON]]</f>
        <v>-0.25707175926072523</v>
      </c>
      <c r="N2970">
        <f ca="1">qry_ProdData2_PDI_Cash_Exception_Application[[#This Row],[TODAY]]-qry_ProdData2_PDI_Cash_Exception_Application[[#This Row],[CHANGED ON]]</f>
        <v>-0.25707175926072523</v>
      </c>
    </row>
    <row r="2971" spans="1:14" x14ac:dyDescent="0.35">
      <c r="A2971">
        <v>1008</v>
      </c>
      <c r="B2971" t="s">
        <v>62</v>
      </c>
      <c r="C2971" s="1">
        <v>45190.257071759261</v>
      </c>
      <c r="D2971" t="str">
        <f ca="1">VLOOKUP(qry_ProdData2_PDI_Cash_Exception_Application[[#This Row],[TYPE]],#REF!,2,FALSE)</f>
        <v>type40</v>
      </c>
      <c r="E2971">
        <v>4100</v>
      </c>
      <c r="F2971" t="s">
        <v>48</v>
      </c>
      <c r="G2971" s="1">
        <f>qry_ProdData2_PDI_Cash_Exception_Application[[#This Row],[INSERT DATE]]+7</f>
        <v>45197.257071759261</v>
      </c>
      <c r="H2971" t="str">
        <f>VLOOKUP(qry_ProdData2_PDI_Cash_Exception_Application[[#This Row],[MARKET No]],'Site Allocation'!$B$2:$C$37,2,FALSE)</f>
        <v>Analyst2</v>
      </c>
      <c r="I2971" s="4">
        <f t="shared" ca="1" si="46"/>
        <v>45203</v>
      </c>
      <c r="J2971" s="42">
        <f ca="1">TODAY()-qry_ProdData2_PDI_Cash_Exception_Application[[#This Row],[INSERT DATE]]</f>
        <v>12.742928240739275</v>
      </c>
      <c r="K29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71">
        <f ca="1">qry_ProdData2_PDI_Cash_Exception_Application[[#This Row],[TODAY]]-qry_ProdData2_PDI_Cash_Exception_Application[[#This Row],[CHANGED ON]]</f>
        <v>5.7429282407392748</v>
      </c>
      <c r="M2971">
        <f ca="1">qry_ProdData2_PDI_Cash_Exception_Application[[#This Row],[TODAY]]-qry_ProdData2_PDI_Cash_Exception_Application[[#This Row],[CHANGED ON]]</f>
        <v>5.7429282407392748</v>
      </c>
      <c r="N2971">
        <f ca="1">qry_ProdData2_PDI_Cash_Exception_Application[[#This Row],[TODAY]]-qry_ProdData2_PDI_Cash_Exception_Application[[#This Row],[CHANGED ON]]</f>
        <v>5.7429282407392748</v>
      </c>
    </row>
    <row r="2972" spans="1:14" x14ac:dyDescent="0.35">
      <c r="A2972">
        <v>1002</v>
      </c>
      <c r="B2972" t="s">
        <v>56</v>
      </c>
      <c r="C2972" s="1">
        <v>45196.257071759261</v>
      </c>
      <c r="D2972" t="str">
        <f ca="1">VLOOKUP(qry_ProdData2_PDI_Cash_Exception_Application[[#This Row],[TYPE]],#REF!,2,FALSE)</f>
        <v>type40</v>
      </c>
      <c r="E2972">
        <v>-10879.61</v>
      </c>
      <c r="F2972" t="s">
        <v>50</v>
      </c>
      <c r="G2972" s="1">
        <f>qry_ProdData2_PDI_Cash_Exception_Application[[#This Row],[INSERT DATE]]+5</f>
        <v>45201.257071759261</v>
      </c>
      <c r="H2972" t="str">
        <f>VLOOKUP(qry_ProdData2_PDI_Cash_Exception_Application[[#This Row],[MARKET No]],'Site Allocation'!$B$2:$C$37,2,FALSE)</f>
        <v>Analyst1</v>
      </c>
      <c r="I2972" s="4">
        <f t="shared" ca="1" si="46"/>
        <v>45203</v>
      </c>
      <c r="J2972" s="42">
        <f ca="1">TODAY()-qry_ProdData2_PDI_Cash_Exception_Application[[#This Row],[INSERT DATE]]</f>
        <v>6.7429282407392748</v>
      </c>
      <c r="K29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72">
        <f ca="1">qry_ProdData2_PDI_Cash_Exception_Application[[#This Row],[TODAY]]-qry_ProdData2_PDI_Cash_Exception_Application[[#This Row],[CHANGED ON]]</f>
        <v>1.7429282407392748</v>
      </c>
      <c r="M2972">
        <f ca="1">qry_ProdData2_PDI_Cash_Exception_Application[[#This Row],[TODAY]]-qry_ProdData2_PDI_Cash_Exception_Application[[#This Row],[CHANGED ON]]</f>
        <v>1.7429282407392748</v>
      </c>
      <c r="N2972">
        <f ca="1">qry_ProdData2_PDI_Cash_Exception_Application[[#This Row],[TODAY]]-qry_ProdData2_PDI_Cash_Exception_Application[[#This Row],[CHANGED ON]]</f>
        <v>1.7429282407392748</v>
      </c>
    </row>
    <row r="2973" spans="1:14" x14ac:dyDescent="0.35">
      <c r="A2973">
        <v>1016</v>
      </c>
      <c r="B2973" t="s">
        <v>70</v>
      </c>
      <c r="C2973" s="1">
        <v>45197.257071759261</v>
      </c>
      <c r="D2973" t="str">
        <f ca="1">VLOOKUP(qry_ProdData2_PDI_Cash_Exception_Application[[#This Row],[TYPE]],#REF!,2,FALSE)</f>
        <v>type40</v>
      </c>
      <c r="E2973">
        <v>423.1</v>
      </c>
      <c r="F2973" t="s">
        <v>50</v>
      </c>
      <c r="G2973" s="1">
        <f>qry_ProdData2_PDI_Cash_Exception_Application[[#This Row],[INSERT DATE]]+5</f>
        <v>45202.257071759261</v>
      </c>
      <c r="H2973" t="str">
        <f>VLOOKUP(qry_ProdData2_PDI_Cash_Exception_Application[[#This Row],[MARKET No]],'Site Allocation'!$B$2:$C$37,2,FALSE)</f>
        <v>Analyst3</v>
      </c>
      <c r="I2973" s="4">
        <f t="shared" ca="1" si="46"/>
        <v>45203</v>
      </c>
      <c r="J2973" s="42">
        <f ca="1">TODAY()-qry_ProdData2_PDI_Cash_Exception_Application[[#This Row],[INSERT DATE]]</f>
        <v>5.7429282407392748</v>
      </c>
      <c r="K29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73">
        <f ca="1">qry_ProdData2_PDI_Cash_Exception_Application[[#This Row],[TODAY]]-qry_ProdData2_PDI_Cash_Exception_Application[[#This Row],[CHANGED ON]]</f>
        <v>0.74292824073927477</v>
      </c>
      <c r="M2973">
        <f ca="1">qry_ProdData2_PDI_Cash_Exception_Application[[#This Row],[TODAY]]-qry_ProdData2_PDI_Cash_Exception_Application[[#This Row],[CHANGED ON]]</f>
        <v>0.74292824073927477</v>
      </c>
      <c r="N2973">
        <f ca="1">qry_ProdData2_PDI_Cash_Exception_Application[[#This Row],[TODAY]]-qry_ProdData2_PDI_Cash_Exception_Application[[#This Row],[CHANGED ON]]</f>
        <v>0.74292824073927477</v>
      </c>
    </row>
    <row r="2974" spans="1:14" x14ac:dyDescent="0.35">
      <c r="A2974">
        <v>1011</v>
      </c>
      <c r="B2974" t="s">
        <v>65</v>
      </c>
      <c r="C2974" s="1">
        <v>45190.257071759261</v>
      </c>
      <c r="D2974" t="str">
        <f ca="1">VLOOKUP(qry_ProdData2_PDI_Cash_Exception_Application[[#This Row],[TYPE]],#REF!,2,FALSE)</f>
        <v>type38</v>
      </c>
      <c r="E2974">
        <v>249.93</v>
      </c>
      <c r="F2974" t="s">
        <v>48</v>
      </c>
      <c r="G2974" s="1">
        <f>qry_ProdData2_PDI_Cash_Exception_Application[[#This Row],[INSERT DATE]]+7</f>
        <v>45197.257071759261</v>
      </c>
      <c r="H2974" t="str">
        <f>VLOOKUP(qry_ProdData2_PDI_Cash_Exception_Application[[#This Row],[MARKET No]],'Site Allocation'!$B$2:$C$37,2,FALSE)</f>
        <v>Analyst2</v>
      </c>
      <c r="I2974" s="4">
        <f t="shared" ca="1" si="46"/>
        <v>45203</v>
      </c>
      <c r="J2974" s="42">
        <f ca="1">TODAY()-qry_ProdData2_PDI_Cash_Exception_Application[[#This Row],[INSERT DATE]]</f>
        <v>12.742928240739275</v>
      </c>
      <c r="K29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74">
        <f ca="1">qry_ProdData2_PDI_Cash_Exception_Application[[#This Row],[TODAY]]-qry_ProdData2_PDI_Cash_Exception_Application[[#This Row],[CHANGED ON]]</f>
        <v>5.7429282407392748</v>
      </c>
      <c r="M2974">
        <f ca="1">qry_ProdData2_PDI_Cash_Exception_Application[[#This Row],[TODAY]]-qry_ProdData2_PDI_Cash_Exception_Application[[#This Row],[CHANGED ON]]</f>
        <v>5.7429282407392748</v>
      </c>
      <c r="N2974">
        <f ca="1">qry_ProdData2_PDI_Cash_Exception_Application[[#This Row],[TODAY]]-qry_ProdData2_PDI_Cash_Exception_Application[[#This Row],[CHANGED ON]]</f>
        <v>5.7429282407392748</v>
      </c>
    </row>
    <row r="2975" spans="1:14" x14ac:dyDescent="0.35">
      <c r="A2975">
        <v>1035</v>
      </c>
      <c r="B2975" t="s">
        <v>89</v>
      </c>
      <c r="C2975" s="1">
        <v>45180.257071759261</v>
      </c>
      <c r="D2975" t="str">
        <f ca="1">VLOOKUP(qry_ProdData2_PDI_Cash_Exception_Application[[#This Row],[TYPE]],#REF!,2,FALSE)</f>
        <v>type7</v>
      </c>
      <c r="E2975">
        <v>-8703.5499999999993</v>
      </c>
      <c r="F2975" t="s">
        <v>50</v>
      </c>
      <c r="G2975" s="1">
        <f>qry_ProdData2_PDI_Cash_Exception_Application[[#This Row],[INSERT DATE]]+5</f>
        <v>45185.257071759261</v>
      </c>
      <c r="H2975" t="str">
        <f>VLOOKUP(qry_ProdData2_PDI_Cash_Exception_Application[[#This Row],[MARKET No]],'Site Allocation'!$B$2:$C$37,2,FALSE)</f>
        <v>Analyst6</v>
      </c>
      <c r="I2975" s="4">
        <f t="shared" ca="1" si="46"/>
        <v>45203</v>
      </c>
      <c r="J2975" s="42">
        <f ca="1">TODAY()-qry_ProdData2_PDI_Cash_Exception_Application[[#This Row],[INSERT DATE]]</f>
        <v>22.742928240739275</v>
      </c>
      <c r="K29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75">
        <f ca="1">qry_ProdData2_PDI_Cash_Exception_Application[[#This Row],[TODAY]]-qry_ProdData2_PDI_Cash_Exception_Application[[#This Row],[CHANGED ON]]</f>
        <v>17.742928240739275</v>
      </c>
      <c r="M2975">
        <f ca="1">qry_ProdData2_PDI_Cash_Exception_Application[[#This Row],[TODAY]]-qry_ProdData2_PDI_Cash_Exception_Application[[#This Row],[CHANGED ON]]</f>
        <v>17.742928240739275</v>
      </c>
      <c r="N2975">
        <f ca="1">qry_ProdData2_PDI_Cash_Exception_Application[[#This Row],[TODAY]]-qry_ProdData2_PDI_Cash_Exception_Application[[#This Row],[CHANGED ON]]</f>
        <v>17.742928240739275</v>
      </c>
    </row>
    <row r="2976" spans="1:14" x14ac:dyDescent="0.35">
      <c r="A2976">
        <v>1010</v>
      </c>
      <c r="B2976" t="s">
        <v>64</v>
      </c>
      <c r="C2976" s="1">
        <v>45181.257071759261</v>
      </c>
      <c r="D2976" t="str">
        <f ca="1">VLOOKUP(qry_ProdData2_PDI_Cash_Exception_Application[[#This Row],[TYPE]],#REF!,2,FALSE)</f>
        <v>type17</v>
      </c>
      <c r="E2976">
        <v>405.26</v>
      </c>
      <c r="F2976" t="s">
        <v>50</v>
      </c>
      <c r="G2976" s="1">
        <f>qry_ProdData2_PDI_Cash_Exception_Application[[#This Row],[INSERT DATE]]+5</f>
        <v>45186.257071759261</v>
      </c>
      <c r="H2976" t="str">
        <f>VLOOKUP(qry_ProdData2_PDI_Cash_Exception_Application[[#This Row],[MARKET No]],'Site Allocation'!$B$2:$C$37,2,FALSE)</f>
        <v>Analyst2</v>
      </c>
      <c r="I2976" s="4">
        <f t="shared" ca="1" si="46"/>
        <v>45203</v>
      </c>
      <c r="J2976" s="42">
        <f ca="1">TODAY()-qry_ProdData2_PDI_Cash_Exception_Application[[#This Row],[INSERT DATE]]</f>
        <v>21.742928240739275</v>
      </c>
      <c r="K29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76">
        <f ca="1">qry_ProdData2_PDI_Cash_Exception_Application[[#This Row],[TODAY]]-qry_ProdData2_PDI_Cash_Exception_Application[[#This Row],[CHANGED ON]]</f>
        <v>16.742928240739275</v>
      </c>
      <c r="M2976">
        <f ca="1">qry_ProdData2_PDI_Cash_Exception_Application[[#This Row],[TODAY]]-qry_ProdData2_PDI_Cash_Exception_Application[[#This Row],[CHANGED ON]]</f>
        <v>16.742928240739275</v>
      </c>
      <c r="N2976">
        <f ca="1">qry_ProdData2_PDI_Cash_Exception_Application[[#This Row],[TODAY]]-qry_ProdData2_PDI_Cash_Exception_Application[[#This Row],[CHANGED ON]]</f>
        <v>16.742928240739275</v>
      </c>
    </row>
    <row r="2977" spans="1:14" x14ac:dyDescent="0.35">
      <c r="A2977">
        <v>1006</v>
      </c>
      <c r="B2977" t="s">
        <v>60</v>
      </c>
      <c r="C2977" s="1">
        <v>45183.257071759261</v>
      </c>
      <c r="D2977" t="str">
        <f ca="1">VLOOKUP(qry_ProdData2_PDI_Cash_Exception_Application[[#This Row],[TYPE]],#REF!,2,FALSE)</f>
        <v>type40</v>
      </c>
      <c r="E2977">
        <v>3507.09</v>
      </c>
      <c r="F2977" t="str">
        <f>qry_ProdData2_PDI_Cash_Exception_Application[[#This Row],[ANALYST]]</f>
        <v>Analyst2</v>
      </c>
      <c r="G2977" s="1">
        <f>qry_ProdData2_PDI_Cash_Exception_Application[[#This Row],[INSERT DATE]]+7</f>
        <v>45190.257071759261</v>
      </c>
      <c r="H2977" t="str">
        <f>VLOOKUP(qry_ProdData2_PDI_Cash_Exception_Application[[#This Row],[MARKET No]],'Site Allocation'!$B$2:$C$37,2,FALSE)</f>
        <v>Analyst2</v>
      </c>
      <c r="I2977" s="4">
        <f t="shared" ca="1" si="46"/>
        <v>45203</v>
      </c>
      <c r="J2977" s="42">
        <f ca="1">TODAY()-qry_ProdData2_PDI_Cash_Exception_Application[[#This Row],[INSERT DATE]]</f>
        <v>19.742928240739275</v>
      </c>
      <c r="K29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77">
        <f ca="1">qry_ProdData2_PDI_Cash_Exception_Application[[#This Row],[TODAY]]-qry_ProdData2_PDI_Cash_Exception_Application[[#This Row],[CHANGED ON]]</f>
        <v>12.742928240739275</v>
      </c>
      <c r="M2977">
        <f ca="1">qry_ProdData2_PDI_Cash_Exception_Application[[#This Row],[TODAY]]-qry_ProdData2_PDI_Cash_Exception_Application[[#This Row],[CHANGED ON]]</f>
        <v>12.742928240739275</v>
      </c>
      <c r="N2977">
        <f ca="1">qry_ProdData2_PDI_Cash_Exception_Application[[#This Row],[TODAY]]-qry_ProdData2_PDI_Cash_Exception_Application[[#This Row],[CHANGED ON]]</f>
        <v>12.742928240739275</v>
      </c>
    </row>
    <row r="2978" spans="1:14" x14ac:dyDescent="0.35">
      <c r="A2978">
        <v>1007</v>
      </c>
      <c r="B2978" t="s">
        <v>61</v>
      </c>
      <c r="C2978" s="1">
        <v>45196.257071759261</v>
      </c>
      <c r="D2978" t="str">
        <f ca="1">VLOOKUP(qry_ProdData2_PDI_Cash_Exception_Application[[#This Row],[TYPE]],#REF!,2,FALSE)</f>
        <v>type40</v>
      </c>
      <c r="E2978">
        <v>29.03</v>
      </c>
      <c r="G2978" s="1">
        <f>qry_ProdData2_PDI_Cash_Exception_Application[[#This Row],[INSERT DATE]]+2</f>
        <v>45198.257071759261</v>
      </c>
      <c r="H2978" t="str">
        <f>VLOOKUP(qry_ProdData2_PDI_Cash_Exception_Application[[#This Row],[MARKET No]],'Site Allocation'!$B$2:$C$37,2,FALSE)</f>
        <v>Analyst2</v>
      </c>
      <c r="I2978" s="4">
        <f t="shared" ca="1" si="46"/>
        <v>45203</v>
      </c>
      <c r="J2978" s="42">
        <f ca="1">TODAY()-qry_ProdData2_PDI_Cash_Exception_Application[[#This Row],[INSERT DATE]]</f>
        <v>6.7429282407392748</v>
      </c>
      <c r="K29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78">
        <f ca="1">qry_ProdData2_PDI_Cash_Exception_Application[[#This Row],[TODAY]]-qry_ProdData2_PDI_Cash_Exception_Application[[#This Row],[CHANGED ON]]</f>
        <v>4.7429282407392748</v>
      </c>
      <c r="M2978">
        <f ca="1">qry_ProdData2_PDI_Cash_Exception_Application[[#This Row],[TODAY]]-qry_ProdData2_PDI_Cash_Exception_Application[[#This Row],[CHANGED ON]]</f>
        <v>4.7429282407392748</v>
      </c>
      <c r="N2978">
        <f ca="1">qry_ProdData2_PDI_Cash_Exception_Application[[#This Row],[TODAY]]-qry_ProdData2_PDI_Cash_Exception_Application[[#This Row],[CHANGED ON]]</f>
        <v>4.7429282407392748</v>
      </c>
    </row>
    <row r="2979" spans="1:14" x14ac:dyDescent="0.35">
      <c r="A2979">
        <v>1035</v>
      </c>
      <c r="B2979" t="s">
        <v>89</v>
      </c>
      <c r="C2979" s="1">
        <v>45196.257071759261</v>
      </c>
      <c r="D2979" t="str">
        <f ca="1">VLOOKUP(qry_ProdData2_PDI_Cash_Exception_Application[[#This Row],[TYPE]],#REF!,2,FALSE)</f>
        <v>type40</v>
      </c>
      <c r="E2979">
        <v>3701.48</v>
      </c>
      <c r="F2979" t="s">
        <v>47</v>
      </c>
      <c r="G2979" s="1">
        <f>qry_ProdData2_PDI_Cash_Exception_Application[[#This Row],[INSERT DATE]]+1</f>
        <v>45197.257071759261</v>
      </c>
      <c r="H2979" t="str">
        <f>VLOOKUP(qry_ProdData2_PDI_Cash_Exception_Application[[#This Row],[MARKET No]],'Site Allocation'!$B$2:$C$37,2,FALSE)</f>
        <v>Analyst6</v>
      </c>
      <c r="I2979" s="4">
        <f t="shared" ca="1" si="46"/>
        <v>45203</v>
      </c>
      <c r="J2979" s="42">
        <f ca="1">TODAY()-qry_ProdData2_PDI_Cash_Exception_Application[[#This Row],[INSERT DATE]]</f>
        <v>6.7429282407392748</v>
      </c>
      <c r="K29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79">
        <f ca="1">qry_ProdData2_PDI_Cash_Exception_Application[[#This Row],[TODAY]]-qry_ProdData2_PDI_Cash_Exception_Application[[#This Row],[CHANGED ON]]</f>
        <v>5.7429282407392748</v>
      </c>
      <c r="M2979">
        <f ca="1">qry_ProdData2_PDI_Cash_Exception_Application[[#This Row],[TODAY]]-qry_ProdData2_PDI_Cash_Exception_Application[[#This Row],[CHANGED ON]]</f>
        <v>5.7429282407392748</v>
      </c>
      <c r="N2979">
        <f ca="1">qry_ProdData2_PDI_Cash_Exception_Application[[#This Row],[TODAY]]-qry_ProdData2_PDI_Cash_Exception_Application[[#This Row],[CHANGED ON]]</f>
        <v>5.7429282407392748</v>
      </c>
    </row>
    <row r="2980" spans="1:14" x14ac:dyDescent="0.35">
      <c r="A2980">
        <v>1035</v>
      </c>
      <c r="B2980" t="s">
        <v>89</v>
      </c>
      <c r="C2980" s="1">
        <v>45197.257071759261</v>
      </c>
      <c r="D2980" t="str">
        <f ca="1">VLOOKUP(qry_ProdData2_PDI_Cash_Exception_Application[[#This Row],[TYPE]],#REF!,2,FALSE)</f>
        <v>type40</v>
      </c>
      <c r="E2980">
        <v>-3468.55</v>
      </c>
      <c r="F2980" t="s">
        <v>47</v>
      </c>
      <c r="G2980" s="1">
        <f>qry_ProdData2_PDI_Cash_Exception_Application[[#This Row],[INSERT DATE]]+5</f>
        <v>45202.257071759261</v>
      </c>
      <c r="H2980" t="str">
        <f>VLOOKUP(qry_ProdData2_PDI_Cash_Exception_Application[[#This Row],[MARKET No]],'Site Allocation'!$B$2:$C$37,2,FALSE)</f>
        <v>Analyst6</v>
      </c>
      <c r="I2980" s="4">
        <f t="shared" ca="1" si="46"/>
        <v>45203</v>
      </c>
      <c r="J2980" s="42">
        <f ca="1">TODAY()-qry_ProdData2_PDI_Cash_Exception_Application[[#This Row],[INSERT DATE]]</f>
        <v>5.7429282407392748</v>
      </c>
      <c r="K29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80">
        <f ca="1">qry_ProdData2_PDI_Cash_Exception_Application[[#This Row],[TODAY]]-qry_ProdData2_PDI_Cash_Exception_Application[[#This Row],[CHANGED ON]]</f>
        <v>0.74292824073927477</v>
      </c>
      <c r="M2980">
        <f ca="1">qry_ProdData2_PDI_Cash_Exception_Application[[#This Row],[TODAY]]-qry_ProdData2_PDI_Cash_Exception_Application[[#This Row],[CHANGED ON]]</f>
        <v>0.74292824073927477</v>
      </c>
      <c r="N2980">
        <f ca="1">qry_ProdData2_PDI_Cash_Exception_Application[[#This Row],[TODAY]]-qry_ProdData2_PDI_Cash_Exception_Application[[#This Row],[CHANGED ON]]</f>
        <v>0.74292824073927477</v>
      </c>
    </row>
    <row r="2981" spans="1:14" x14ac:dyDescent="0.35">
      <c r="A2981">
        <v>1007</v>
      </c>
      <c r="B2981" t="s">
        <v>61</v>
      </c>
      <c r="C2981" s="1">
        <v>45196.257071759261</v>
      </c>
      <c r="D2981" t="str">
        <f ca="1">VLOOKUP(qry_ProdData2_PDI_Cash_Exception_Application[[#This Row],[TYPE]],#REF!,2,FALSE)</f>
        <v>type40</v>
      </c>
      <c r="E2981">
        <v>660.5</v>
      </c>
      <c r="G2981" s="1">
        <f>qry_ProdData2_PDI_Cash_Exception_Application[[#This Row],[INSERT DATE]]+2</f>
        <v>45198.257071759261</v>
      </c>
      <c r="H2981" t="str">
        <f>VLOOKUP(qry_ProdData2_PDI_Cash_Exception_Application[[#This Row],[MARKET No]],'Site Allocation'!$B$2:$C$37,2,FALSE)</f>
        <v>Analyst2</v>
      </c>
      <c r="I2981" s="4">
        <f t="shared" ca="1" si="46"/>
        <v>45203</v>
      </c>
      <c r="J2981" s="42">
        <f ca="1">TODAY()-qry_ProdData2_PDI_Cash_Exception_Application[[#This Row],[INSERT DATE]]</f>
        <v>6.7429282407392748</v>
      </c>
      <c r="K29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81">
        <f ca="1">qry_ProdData2_PDI_Cash_Exception_Application[[#This Row],[TODAY]]-qry_ProdData2_PDI_Cash_Exception_Application[[#This Row],[CHANGED ON]]</f>
        <v>4.7429282407392748</v>
      </c>
      <c r="M2981">
        <f ca="1">qry_ProdData2_PDI_Cash_Exception_Application[[#This Row],[TODAY]]-qry_ProdData2_PDI_Cash_Exception_Application[[#This Row],[CHANGED ON]]</f>
        <v>4.7429282407392748</v>
      </c>
      <c r="N2981">
        <f ca="1">qry_ProdData2_PDI_Cash_Exception_Application[[#This Row],[TODAY]]-qry_ProdData2_PDI_Cash_Exception_Application[[#This Row],[CHANGED ON]]</f>
        <v>4.7429282407392748</v>
      </c>
    </row>
    <row r="2982" spans="1:14" x14ac:dyDescent="0.35">
      <c r="A2982">
        <v>1017</v>
      </c>
      <c r="B2982" t="s">
        <v>71</v>
      </c>
      <c r="C2982" s="1">
        <v>45184.257071759261</v>
      </c>
      <c r="D2982" t="str">
        <f ca="1">VLOOKUP(qry_ProdData2_PDI_Cash_Exception_Application[[#This Row],[TYPE]],#REF!,2,FALSE)</f>
        <v>type9</v>
      </c>
      <c r="E2982">
        <v>257.79000000000002</v>
      </c>
      <c r="F2982" t="s">
        <v>50</v>
      </c>
      <c r="G2982" s="1">
        <f>qry_ProdData2_PDI_Cash_Exception_Application[[#This Row],[INSERT DATE]]+7</f>
        <v>45191.257071759261</v>
      </c>
      <c r="H2982" t="str">
        <f>VLOOKUP(qry_ProdData2_PDI_Cash_Exception_Application[[#This Row],[MARKET No]],'Site Allocation'!$B$2:$C$37,2,FALSE)</f>
        <v>Analyst3</v>
      </c>
      <c r="I2982" s="4">
        <f t="shared" ca="1" si="46"/>
        <v>45203</v>
      </c>
      <c r="J2982" s="42">
        <f ca="1">TODAY()-qry_ProdData2_PDI_Cash_Exception_Application[[#This Row],[INSERT DATE]]</f>
        <v>18.742928240739275</v>
      </c>
      <c r="K29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82">
        <f ca="1">qry_ProdData2_PDI_Cash_Exception_Application[[#This Row],[TODAY]]-qry_ProdData2_PDI_Cash_Exception_Application[[#This Row],[CHANGED ON]]</f>
        <v>11.742928240739275</v>
      </c>
      <c r="M2982">
        <f ca="1">qry_ProdData2_PDI_Cash_Exception_Application[[#This Row],[TODAY]]-qry_ProdData2_PDI_Cash_Exception_Application[[#This Row],[CHANGED ON]]</f>
        <v>11.742928240739275</v>
      </c>
      <c r="N2982">
        <f ca="1">qry_ProdData2_PDI_Cash_Exception_Application[[#This Row],[TODAY]]-qry_ProdData2_PDI_Cash_Exception_Application[[#This Row],[CHANGED ON]]</f>
        <v>11.742928240739275</v>
      </c>
    </row>
    <row r="2983" spans="1:14" x14ac:dyDescent="0.35">
      <c r="A2983">
        <v>1008</v>
      </c>
      <c r="B2983" t="s">
        <v>62</v>
      </c>
      <c r="C2983" s="1">
        <v>45197.257071759261</v>
      </c>
      <c r="D2983" t="str">
        <f ca="1">VLOOKUP(qry_ProdData2_PDI_Cash_Exception_Application[[#This Row],[TYPE]],#REF!,2,FALSE)</f>
        <v>type40</v>
      </c>
      <c r="E2983">
        <v>818.21</v>
      </c>
      <c r="F2983" t="s">
        <v>47</v>
      </c>
      <c r="G2983" s="1">
        <f>qry_ProdData2_PDI_Cash_Exception_Application[[#This Row],[INSERT DATE]]+2</f>
        <v>45199.257071759261</v>
      </c>
      <c r="H2983" t="str">
        <f>VLOOKUP(qry_ProdData2_PDI_Cash_Exception_Application[[#This Row],[MARKET No]],'Site Allocation'!$B$2:$C$37,2,FALSE)</f>
        <v>Analyst2</v>
      </c>
      <c r="I2983" s="4">
        <f t="shared" ca="1" si="46"/>
        <v>45203</v>
      </c>
      <c r="J2983" s="42">
        <f ca="1">TODAY()-qry_ProdData2_PDI_Cash_Exception_Application[[#This Row],[INSERT DATE]]</f>
        <v>5.7429282407392748</v>
      </c>
      <c r="K29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83">
        <f ca="1">qry_ProdData2_PDI_Cash_Exception_Application[[#This Row],[TODAY]]-qry_ProdData2_PDI_Cash_Exception_Application[[#This Row],[CHANGED ON]]</f>
        <v>3.7429282407392748</v>
      </c>
      <c r="M2983">
        <f ca="1">qry_ProdData2_PDI_Cash_Exception_Application[[#This Row],[TODAY]]-qry_ProdData2_PDI_Cash_Exception_Application[[#This Row],[CHANGED ON]]</f>
        <v>3.7429282407392748</v>
      </c>
      <c r="N2983">
        <f ca="1">qry_ProdData2_PDI_Cash_Exception_Application[[#This Row],[TODAY]]-qry_ProdData2_PDI_Cash_Exception_Application[[#This Row],[CHANGED ON]]</f>
        <v>3.7429282407392748</v>
      </c>
    </row>
    <row r="2984" spans="1:14" x14ac:dyDescent="0.35">
      <c r="A2984">
        <v>1014</v>
      </c>
      <c r="B2984" t="s">
        <v>68</v>
      </c>
      <c r="C2984" s="1">
        <v>45197.257071759261</v>
      </c>
      <c r="D2984" t="str">
        <f ca="1">VLOOKUP(qry_ProdData2_PDI_Cash_Exception_Application[[#This Row],[TYPE]],#REF!,2,FALSE)</f>
        <v>type40</v>
      </c>
      <c r="E2984">
        <v>-1937.94</v>
      </c>
      <c r="G2984" s="1">
        <f>qry_ProdData2_PDI_Cash_Exception_Application[[#This Row],[INSERT DATE]]+7</f>
        <v>45204.257071759261</v>
      </c>
      <c r="H2984" t="str">
        <f>VLOOKUP(qry_ProdData2_PDI_Cash_Exception_Application[[#This Row],[MARKET No]],'Site Allocation'!$B$2:$C$37,2,FALSE)</f>
        <v>Analyst3</v>
      </c>
      <c r="I2984" s="4">
        <f t="shared" ca="1" si="46"/>
        <v>45203</v>
      </c>
      <c r="J2984" s="42">
        <f ca="1">TODAY()-qry_ProdData2_PDI_Cash_Exception_Application[[#This Row],[INSERT DATE]]</f>
        <v>5.7429282407392748</v>
      </c>
      <c r="K29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84">
        <f ca="1">qry_ProdData2_PDI_Cash_Exception_Application[[#This Row],[TODAY]]-qry_ProdData2_PDI_Cash_Exception_Application[[#This Row],[CHANGED ON]]</f>
        <v>-1.2570717592607252</v>
      </c>
      <c r="M2984">
        <f ca="1">qry_ProdData2_PDI_Cash_Exception_Application[[#This Row],[TODAY]]-qry_ProdData2_PDI_Cash_Exception_Application[[#This Row],[CHANGED ON]]</f>
        <v>-1.2570717592607252</v>
      </c>
      <c r="N2984">
        <f ca="1">qry_ProdData2_PDI_Cash_Exception_Application[[#This Row],[TODAY]]-qry_ProdData2_PDI_Cash_Exception_Application[[#This Row],[CHANGED ON]]</f>
        <v>-1.2570717592607252</v>
      </c>
    </row>
    <row r="2985" spans="1:14" x14ac:dyDescent="0.35">
      <c r="A2985">
        <v>1006</v>
      </c>
      <c r="B2985" t="s">
        <v>60</v>
      </c>
      <c r="C2985" s="1">
        <v>45186.257071759261</v>
      </c>
      <c r="D2985" t="str">
        <f ca="1">VLOOKUP(qry_ProdData2_PDI_Cash_Exception_Application[[#This Row],[TYPE]],#REF!,2,FALSE)</f>
        <v>type24</v>
      </c>
      <c r="E2985">
        <v>231.71</v>
      </c>
      <c r="F2985" t="str">
        <f>qry_ProdData2_PDI_Cash_Exception_Application[[#This Row],[ANALYST]]</f>
        <v>Analyst2</v>
      </c>
      <c r="G2985" s="1">
        <f>qry_ProdData2_PDI_Cash_Exception_Application[[#This Row],[INSERT DATE]]+7</f>
        <v>45193.257071759261</v>
      </c>
      <c r="H2985" t="str">
        <f>VLOOKUP(qry_ProdData2_PDI_Cash_Exception_Application[[#This Row],[MARKET No]],'Site Allocation'!$B$2:$C$37,2,FALSE)</f>
        <v>Analyst2</v>
      </c>
      <c r="I2985" s="4">
        <f t="shared" ca="1" si="46"/>
        <v>45203</v>
      </c>
      <c r="J2985" s="42">
        <f ca="1">TODAY()-qry_ProdData2_PDI_Cash_Exception_Application[[#This Row],[INSERT DATE]]</f>
        <v>16.742928240739275</v>
      </c>
      <c r="K29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85">
        <f ca="1">qry_ProdData2_PDI_Cash_Exception_Application[[#This Row],[TODAY]]-qry_ProdData2_PDI_Cash_Exception_Application[[#This Row],[CHANGED ON]]</f>
        <v>9.7429282407392748</v>
      </c>
      <c r="M2985">
        <f ca="1">qry_ProdData2_PDI_Cash_Exception_Application[[#This Row],[TODAY]]-qry_ProdData2_PDI_Cash_Exception_Application[[#This Row],[CHANGED ON]]</f>
        <v>9.7429282407392748</v>
      </c>
      <c r="N2985">
        <f ca="1">qry_ProdData2_PDI_Cash_Exception_Application[[#This Row],[TODAY]]-qry_ProdData2_PDI_Cash_Exception_Application[[#This Row],[CHANGED ON]]</f>
        <v>9.7429282407392748</v>
      </c>
    </row>
    <row r="2986" spans="1:14" x14ac:dyDescent="0.35">
      <c r="A2986">
        <v>1008</v>
      </c>
      <c r="B2986" t="s">
        <v>62</v>
      </c>
      <c r="C2986" s="1">
        <v>45185.257071759261</v>
      </c>
      <c r="D2986" t="str">
        <f ca="1">VLOOKUP(qry_ProdData2_PDI_Cash_Exception_Application[[#This Row],[TYPE]],#REF!,2,FALSE)</f>
        <v>type41</v>
      </c>
      <c r="E2986">
        <v>376.75</v>
      </c>
      <c r="F2986" t="str">
        <f>qry_ProdData2_PDI_Cash_Exception_Application[[#This Row],[ANALYST]]</f>
        <v>Analyst2</v>
      </c>
      <c r="G2986" s="1">
        <f>qry_ProdData2_PDI_Cash_Exception_Application[[#This Row],[INSERT DATE]]+1</f>
        <v>45186.257071759261</v>
      </c>
      <c r="H2986" t="str">
        <f>VLOOKUP(qry_ProdData2_PDI_Cash_Exception_Application[[#This Row],[MARKET No]],'Site Allocation'!$B$2:$C$37,2,FALSE)</f>
        <v>Analyst2</v>
      </c>
      <c r="I2986" s="4">
        <f t="shared" ca="1" si="46"/>
        <v>45203</v>
      </c>
      <c r="J2986" s="42">
        <f ca="1">TODAY()-qry_ProdData2_PDI_Cash_Exception_Application[[#This Row],[INSERT DATE]]</f>
        <v>17.742928240739275</v>
      </c>
      <c r="K29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86">
        <f ca="1">qry_ProdData2_PDI_Cash_Exception_Application[[#This Row],[TODAY]]-qry_ProdData2_PDI_Cash_Exception_Application[[#This Row],[CHANGED ON]]</f>
        <v>16.742928240739275</v>
      </c>
      <c r="M2986">
        <f ca="1">qry_ProdData2_PDI_Cash_Exception_Application[[#This Row],[TODAY]]-qry_ProdData2_PDI_Cash_Exception_Application[[#This Row],[CHANGED ON]]</f>
        <v>16.742928240739275</v>
      </c>
      <c r="N2986">
        <f ca="1">qry_ProdData2_PDI_Cash_Exception_Application[[#This Row],[TODAY]]-qry_ProdData2_PDI_Cash_Exception_Application[[#This Row],[CHANGED ON]]</f>
        <v>16.742928240739275</v>
      </c>
    </row>
    <row r="2987" spans="1:14" x14ac:dyDescent="0.35">
      <c r="A2987">
        <v>1012</v>
      </c>
      <c r="B2987" t="s">
        <v>66</v>
      </c>
      <c r="C2987" s="1">
        <v>45187.257071759261</v>
      </c>
      <c r="D2987" t="str">
        <f ca="1">VLOOKUP(qry_ProdData2_PDI_Cash_Exception_Application[[#This Row],[TYPE]],#REF!,2,FALSE)</f>
        <v>type25</v>
      </c>
      <c r="E2987">
        <v>151.33000000000001</v>
      </c>
      <c r="F2987" t="s">
        <v>50</v>
      </c>
      <c r="G2987" s="1">
        <f>qry_ProdData2_PDI_Cash_Exception_Application[[#This Row],[INSERT DATE]]+7</f>
        <v>45194.257071759261</v>
      </c>
      <c r="H2987" t="str">
        <f>VLOOKUP(qry_ProdData2_PDI_Cash_Exception_Application[[#This Row],[MARKET No]],'Site Allocation'!$B$2:$C$37,2,FALSE)</f>
        <v>Analyst3</v>
      </c>
      <c r="I2987" s="4">
        <f t="shared" ca="1" si="46"/>
        <v>45203</v>
      </c>
      <c r="J2987" s="42">
        <f ca="1">TODAY()-qry_ProdData2_PDI_Cash_Exception_Application[[#This Row],[INSERT DATE]]</f>
        <v>15.742928240739275</v>
      </c>
      <c r="K29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87">
        <f ca="1">qry_ProdData2_PDI_Cash_Exception_Application[[#This Row],[TODAY]]-qry_ProdData2_PDI_Cash_Exception_Application[[#This Row],[CHANGED ON]]</f>
        <v>8.7429282407392748</v>
      </c>
      <c r="M2987">
        <f ca="1">qry_ProdData2_PDI_Cash_Exception_Application[[#This Row],[TODAY]]-qry_ProdData2_PDI_Cash_Exception_Application[[#This Row],[CHANGED ON]]</f>
        <v>8.7429282407392748</v>
      </c>
      <c r="N2987">
        <f ca="1">qry_ProdData2_PDI_Cash_Exception_Application[[#This Row],[TODAY]]-qry_ProdData2_PDI_Cash_Exception_Application[[#This Row],[CHANGED ON]]</f>
        <v>8.7429282407392748</v>
      </c>
    </row>
    <row r="2988" spans="1:14" x14ac:dyDescent="0.35">
      <c r="A2988">
        <v>1035</v>
      </c>
      <c r="B2988" t="s">
        <v>89</v>
      </c>
      <c r="C2988" s="1">
        <v>45197.257071759261</v>
      </c>
      <c r="D2988" t="str">
        <f ca="1">VLOOKUP(qry_ProdData2_PDI_Cash_Exception_Application[[#This Row],[TYPE]],#REF!,2,FALSE)</f>
        <v>type40</v>
      </c>
      <c r="E2988">
        <v>-857.03</v>
      </c>
      <c r="G2988" s="1">
        <f>qry_ProdData2_PDI_Cash_Exception_Application[[#This Row],[INSERT DATE]]+7</f>
        <v>45204.257071759261</v>
      </c>
      <c r="H2988" t="str">
        <f>VLOOKUP(qry_ProdData2_PDI_Cash_Exception_Application[[#This Row],[MARKET No]],'Site Allocation'!$B$2:$C$37,2,FALSE)</f>
        <v>Analyst6</v>
      </c>
      <c r="I2988" s="4">
        <f t="shared" ca="1" si="46"/>
        <v>45203</v>
      </c>
      <c r="J2988" s="42">
        <f ca="1">TODAY()-qry_ProdData2_PDI_Cash_Exception_Application[[#This Row],[INSERT DATE]]</f>
        <v>5.7429282407392748</v>
      </c>
      <c r="K29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88">
        <f ca="1">qry_ProdData2_PDI_Cash_Exception_Application[[#This Row],[TODAY]]-qry_ProdData2_PDI_Cash_Exception_Application[[#This Row],[CHANGED ON]]</f>
        <v>-1.2570717592607252</v>
      </c>
      <c r="M2988">
        <f ca="1">qry_ProdData2_PDI_Cash_Exception_Application[[#This Row],[TODAY]]-qry_ProdData2_PDI_Cash_Exception_Application[[#This Row],[CHANGED ON]]</f>
        <v>-1.2570717592607252</v>
      </c>
      <c r="N2988">
        <f ca="1">qry_ProdData2_PDI_Cash_Exception_Application[[#This Row],[TODAY]]-qry_ProdData2_PDI_Cash_Exception_Application[[#This Row],[CHANGED ON]]</f>
        <v>-1.2570717592607252</v>
      </c>
    </row>
    <row r="2989" spans="1:14" x14ac:dyDescent="0.35">
      <c r="A2989">
        <v>1023</v>
      </c>
      <c r="B2989" t="s">
        <v>77</v>
      </c>
      <c r="C2989" s="1">
        <v>45196.257071759261</v>
      </c>
      <c r="D2989" t="str">
        <f ca="1">VLOOKUP(qry_ProdData2_PDI_Cash_Exception_Application[[#This Row],[TYPE]],#REF!,2,FALSE)</f>
        <v>type40</v>
      </c>
      <c r="E2989">
        <v>-8136.77</v>
      </c>
      <c r="F2989" t="s">
        <v>51</v>
      </c>
      <c r="G2989" s="1">
        <f>qry_ProdData2_PDI_Cash_Exception_Application[[#This Row],[INSERT DATE]]+1</f>
        <v>45197.257071759261</v>
      </c>
      <c r="H2989" t="str">
        <f>VLOOKUP(qry_ProdData2_PDI_Cash_Exception_Application[[#This Row],[MARKET No]],'Site Allocation'!$B$2:$C$37,2,FALSE)</f>
        <v>Analyst4</v>
      </c>
      <c r="I2989" s="4">
        <f t="shared" ca="1" si="46"/>
        <v>45203</v>
      </c>
      <c r="J2989" s="42">
        <f ca="1">TODAY()-qry_ProdData2_PDI_Cash_Exception_Application[[#This Row],[INSERT DATE]]</f>
        <v>6.7429282407392748</v>
      </c>
      <c r="K29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89">
        <f ca="1">qry_ProdData2_PDI_Cash_Exception_Application[[#This Row],[TODAY]]-qry_ProdData2_PDI_Cash_Exception_Application[[#This Row],[CHANGED ON]]</f>
        <v>5.7429282407392748</v>
      </c>
      <c r="M2989">
        <f ca="1">qry_ProdData2_PDI_Cash_Exception_Application[[#This Row],[TODAY]]-qry_ProdData2_PDI_Cash_Exception_Application[[#This Row],[CHANGED ON]]</f>
        <v>5.7429282407392748</v>
      </c>
      <c r="N2989">
        <f ca="1">qry_ProdData2_PDI_Cash_Exception_Application[[#This Row],[TODAY]]-qry_ProdData2_PDI_Cash_Exception_Application[[#This Row],[CHANGED ON]]</f>
        <v>5.7429282407392748</v>
      </c>
    </row>
    <row r="2990" spans="1:14" x14ac:dyDescent="0.35">
      <c r="A2990">
        <v>1014</v>
      </c>
      <c r="B2990" t="s">
        <v>68</v>
      </c>
      <c r="C2990" s="1">
        <v>45197.257071759261</v>
      </c>
      <c r="D2990" t="str">
        <f ca="1">VLOOKUP(qry_ProdData2_PDI_Cash_Exception_Application[[#This Row],[TYPE]],#REF!,2,FALSE)</f>
        <v>type24</v>
      </c>
      <c r="E2990">
        <v>285.74</v>
      </c>
      <c r="F2990" t="str">
        <f>qry_ProdData2_PDI_Cash_Exception_Application[[#This Row],[ANALYST]]</f>
        <v>Analyst3</v>
      </c>
      <c r="G2990" s="1">
        <f>qry_ProdData2_PDI_Cash_Exception_Application[[#This Row],[INSERT DATE]]+1</f>
        <v>45198.257071759261</v>
      </c>
      <c r="H2990" t="str">
        <f>VLOOKUP(qry_ProdData2_PDI_Cash_Exception_Application[[#This Row],[MARKET No]],'Site Allocation'!$B$2:$C$37,2,FALSE)</f>
        <v>Analyst3</v>
      </c>
      <c r="I2990" s="4">
        <f t="shared" ca="1" si="46"/>
        <v>45203</v>
      </c>
      <c r="J2990" s="42">
        <f ca="1">TODAY()-qry_ProdData2_PDI_Cash_Exception_Application[[#This Row],[INSERT DATE]]</f>
        <v>5.7429282407392748</v>
      </c>
      <c r="K29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2990">
        <f ca="1">qry_ProdData2_PDI_Cash_Exception_Application[[#This Row],[TODAY]]-qry_ProdData2_PDI_Cash_Exception_Application[[#This Row],[CHANGED ON]]</f>
        <v>4.7429282407392748</v>
      </c>
      <c r="M2990">
        <f ca="1">qry_ProdData2_PDI_Cash_Exception_Application[[#This Row],[TODAY]]-qry_ProdData2_PDI_Cash_Exception_Application[[#This Row],[CHANGED ON]]</f>
        <v>4.7429282407392748</v>
      </c>
      <c r="N2990">
        <f ca="1">qry_ProdData2_PDI_Cash_Exception_Application[[#This Row],[TODAY]]-qry_ProdData2_PDI_Cash_Exception_Application[[#This Row],[CHANGED ON]]</f>
        <v>4.7429282407392748</v>
      </c>
    </row>
    <row r="2991" spans="1:14" x14ac:dyDescent="0.35">
      <c r="A2991">
        <v>1010</v>
      </c>
      <c r="B2991" t="s">
        <v>64</v>
      </c>
      <c r="C2991" s="1">
        <v>45190.257071759261</v>
      </c>
      <c r="D2991" t="str">
        <f ca="1">VLOOKUP(qry_ProdData2_PDI_Cash_Exception_Application[[#This Row],[TYPE]],#REF!,2,FALSE)</f>
        <v>type40</v>
      </c>
      <c r="E2991">
        <v>-783.32</v>
      </c>
      <c r="F2991" t="s">
        <v>52</v>
      </c>
      <c r="G2991" s="1">
        <f>qry_ProdData2_PDI_Cash_Exception_Application[[#This Row],[INSERT DATE]]+7</f>
        <v>45197.257071759261</v>
      </c>
      <c r="H2991" t="str">
        <f>VLOOKUP(qry_ProdData2_PDI_Cash_Exception_Application[[#This Row],[MARKET No]],'Site Allocation'!$B$2:$C$37,2,FALSE)</f>
        <v>Analyst2</v>
      </c>
      <c r="I2991" s="4">
        <f t="shared" ca="1" si="46"/>
        <v>45203</v>
      </c>
      <c r="J2991" s="42">
        <f ca="1">TODAY()-qry_ProdData2_PDI_Cash_Exception_Application[[#This Row],[INSERT DATE]]</f>
        <v>12.742928240739275</v>
      </c>
      <c r="K29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91">
        <f ca="1">qry_ProdData2_PDI_Cash_Exception_Application[[#This Row],[TODAY]]-qry_ProdData2_PDI_Cash_Exception_Application[[#This Row],[CHANGED ON]]</f>
        <v>5.7429282407392748</v>
      </c>
      <c r="M2991">
        <f ca="1">qry_ProdData2_PDI_Cash_Exception_Application[[#This Row],[TODAY]]-qry_ProdData2_PDI_Cash_Exception_Application[[#This Row],[CHANGED ON]]</f>
        <v>5.7429282407392748</v>
      </c>
      <c r="N2991">
        <f ca="1">qry_ProdData2_PDI_Cash_Exception_Application[[#This Row],[TODAY]]-qry_ProdData2_PDI_Cash_Exception_Application[[#This Row],[CHANGED ON]]</f>
        <v>5.7429282407392748</v>
      </c>
    </row>
    <row r="2992" spans="1:14" x14ac:dyDescent="0.35">
      <c r="A2992">
        <v>1002</v>
      </c>
      <c r="B2992" t="s">
        <v>56</v>
      </c>
      <c r="C2992" s="1">
        <v>45196.257071759261</v>
      </c>
      <c r="D2992" t="str">
        <f ca="1">VLOOKUP(qry_ProdData2_PDI_Cash_Exception_Application[[#This Row],[TYPE]],#REF!,2,FALSE)</f>
        <v>type40</v>
      </c>
      <c r="E2992">
        <v>10.51</v>
      </c>
      <c r="F2992" t="s">
        <v>47</v>
      </c>
      <c r="G2992" s="1">
        <f>qry_ProdData2_PDI_Cash_Exception_Application[[#This Row],[INSERT DATE]]+7</f>
        <v>45203.257071759261</v>
      </c>
      <c r="H2992" t="str">
        <f>VLOOKUP(qry_ProdData2_PDI_Cash_Exception_Application[[#This Row],[MARKET No]],'Site Allocation'!$B$2:$C$37,2,FALSE)</f>
        <v>Analyst1</v>
      </c>
      <c r="I2992" s="4">
        <f t="shared" ca="1" si="46"/>
        <v>45203</v>
      </c>
      <c r="J2992" s="42">
        <f ca="1">TODAY()-qry_ProdData2_PDI_Cash_Exception_Application[[#This Row],[INSERT DATE]]</f>
        <v>6.7429282407392748</v>
      </c>
      <c r="K29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92">
        <f ca="1">qry_ProdData2_PDI_Cash_Exception_Application[[#This Row],[TODAY]]-qry_ProdData2_PDI_Cash_Exception_Application[[#This Row],[CHANGED ON]]</f>
        <v>-0.25707175926072523</v>
      </c>
      <c r="M2992">
        <f ca="1">qry_ProdData2_PDI_Cash_Exception_Application[[#This Row],[TODAY]]-qry_ProdData2_PDI_Cash_Exception_Application[[#This Row],[CHANGED ON]]</f>
        <v>-0.25707175926072523</v>
      </c>
      <c r="N2992">
        <f ca="1">qry_ProdData2_PDI_Cash_Exception_Application[[#This Row],[TODAY]]-qry_ProdData2_PDI_Cash_Exception_Application[[#This Row],[CHANGED ON]]</f>
        <v>-0.25707175926072523</v>
      </c>
    </row>
    <row r="2993" spans="1:14" x14ac:dyDescent="0.35">
      <c r="A2993">
        <v>1030</v>
      </c>
      <c r="B2993" t="s">
        <v>84</v>
      </c>
      <c r="C2993" s="1">
        <v>45196.257071759261</v>
      </c>
      <c r="D2993" t="str">
        <f ca="1">VLOOKUP(qry_ProdData2_PDI_Cash_Exception_Application[[#This Row],[TYPE]],#REF!,2,FALSE)</f>
        <v>type40</v>
      </c>
      <c r="E2993">
        <v>10.55</v>
      </c>
      <c r="F2993" t="s">
        <v>47</v>
      </c>
      <c r="G2993" s="1">
        <f>qry_ProdData2_PDI_Cash_Exception_Application[[#This Row],[INSERT DATE]]+2</f>
        <v>45198.257071759261</v>
      </c>
      <c r="H2993" t="str">
        <f>VLOOKUP(qry_ProdData2_PDI_Cash_Exception_Application[[#This Row],[MARKET No]],'Site Allocation'!$B$2:$C$37,2,FALSE)</f>
        <v>Analyst6</v>
      </c>
      <c r="I2993" s="4">
        <f t="shared" ca="1" si="46"/>
        <v>45203</v>
      </c>
      <c r="J2993" s="42">
        <f ca="1">TODAY()-qry_ProdData2_PDI_Cash_Exception_Application[[#This Row],[INSERT DATE]]</f>
        <v>6.7429282407392748</v>
      </c>
      <c r="K29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93">
        <f ca="1">qry_ProdData2_PDI_Cash_Exception_Application[[#This Row],[TODAY]]-qry_ProdData2_PDI_Cash_Exception_Application[[#This Row],[CHANGED ON]]</f>
        <v>4.7429282407392748</v>
      </c>
      <c r="M2993">
        <f ca="1">qry_ProdData2_PDI_Cash_Exception_Application[[#This Row],[TODAY]]-qry_ProdData2_PDI_Cash_Exception_Application[[#This Row],[CHANGED ON]]</f>
        <v>4.7429282407392748</v>
      </c>
      <c r="N2993">
        <f ca="1">qry_ProdData2_PDI_Cash_Exception_Application[[#This Row],[TODAY]]-qry_ProdData2_PDI_Cash_Exception_Application[[#This Row],[CHANGED ON]]</f>
        <v>4.7429282407392748</v>
      </c>
    </row>
    <row r="2994" spans="1:14" x14ac:dyDescent="0.35">
      <c r="A2994">
        <v>1018</v>
      </c>
      <c r="B2994" t="s">
        <v>72</v>
      </c>
      <c r="C2994" s="1">
        <v>45196.257071759261</v>
      </c>
      <c r="D2994" t="str">
        <f ca="1">VLOOKUP(qry_ProdData2_PDI_Cash_Exception_Application[[#This Row],[TYPE]],#REF!,2,FALSE)</f>
        <v>type40</v>
      </c>
      <c r="E2994">
        <v>10</v>
      </c>
      <c r="F2994" t="s">
        <v>49</v>
      </c>
      <c r="G2994" s="1">
        <f>qry_ProdData2_PDI_Cash_Exception_Application[[#This Row],[INSERT DATE]]+1</f>
        <v>45197.257071759261</v>
      </c>
      <c r="H2994" t="str">
        <f>VLOOKUP(qry_ProdData2_PDI_Cash_Exception_Application[[#This Row],[MARKET No]],'Site Allocation'!$B$2:$C$37,2,FALSE)</f>
        <v>Analyst4</v>
      </c>
      <c r="I2994" s="4">
        <f t="shared" ca="1" si="46"/>
        <v>45203</v>
      </c>
      <c r="J2994" s="42">
        <f ca="1">TODAY()-qry_ProdData2_PDI_Cash_Exception_Application[[#This Row],[INSERT DATE]]</f>
        <v>6.7429282407392748</v>
      </c>
      <c r="K29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94">
        <f ca="1">qry_ProdData2_PDI_Cash_Exception_Application[[#This Row],[TODAY]]-qry_ProdData2_PDI_Cash_Exception_Application[[#This Row],[CHANGED ON]]</f>
        <v>5.7429282407392748</v>
      </c>
      <c r="M2994">
        <f ca="1">qry_ProdData2_PDI_Cash_Exception_Application[[#This Row],[TODAY]]-qry_ProdData2_PDI_Cash_Exception_Application[[#This Row],[CHANGED ON]]</f>
        <v>5.7429282407392748</v>
      </c>
      <c r="N2994">
        <f ca="1">qry_ProdData2_PDI_Cash_Exception_Application[[#This Row],[TODAY]]-qry_ProdData2_PDI_Cash_Exception_Application[[#This Row],[CHANGED ON]]</f>
        <v>5.7429282407392748</v>
      </c>
    </row>
    <row r="2995" spans="1:14" x14ac:dyDescent="0.35">
      <c r="A2995">
        <v>1028</v>
      </c>
      <c r="B2995" t="s">
        <v>82</v>
      </c>
      <c r="C2995" s="1">
        <v>45196.257071759261</v>
      </c>
      <c r="D2995" t="str">
        <f ca="1">VLOOKUP(qry_ProdData2_PDI_Cash_Exception_Application[[#This Row],[TYPE]],#REF!,2,FALSE)</f>
        <v>type40</v>
      </c>
      <c r="E2995">
        <v>64.040000000000006</v>
      </c>
      <c r="F2995" t="s">
        <v>47</v>
      </c>
      <c r="G2995" s="1">
        <f>qry_ProdData2_PDI_Cash_Exception_Application[[#This Row],[INSERT DATE]]+7</f>
        <v>45203.257071759261</v>
      </c>
      <c r="H2995" t="str">
        <f>VLOOKUP(qry_ProdData2_PDI_Cash_Exception_Application[[#This Row],[MARKET No]],'Site Allocation'!$B$2:$C$37,2,FALSE)</f>
        <v>Analyst5</v>
      </c>
      <c r="I2995" s="4">
        <f t="shared" ca="1" si="46"/>
        <v>45203</v>
      </c>
      <c r="J2995" s="42">
        <f ca="1">TODAY()-qry_ProdData2_PDI_Cash_Exception_Application[[#This Row],[INSERT DATE]]</f>
        <v>6.7429282407392748</v>
      </c>
      <c r="K29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95">
        <f ca="1">qry_ProdData2_PDI_Cash_Exception_Application[[#This Row],[TODAY]]-qry_ProdData2_PDI_Cash_Exception_Application[[#This Row],[CHANGED ON]]</f>
        <v>-0.25707175926072523</v>
      </c>
      <c r="M2995">
        <f ca="1">qry_ProdData2_PDI_Cash_Exception_Application[[#This Row],[TODAY]]-qry_ProdData2_PDI_Cash_Exception_Application[[#This Row],[CHANGED ON]]</f>
        <v>-0.25707175926072523</v>
      </c>
      <c r="N2995">
        <f ca="1">qry_ProdData2_PDI_Cash_Exception_Application[[#This Row],[TODAY]]-qry_ProdData2_PDI_Cash_Exception_Application[[#This Row],[CHANGED ON]]</f>
        <v>-0.25707175926072523</v>
      </c>
    </row>
    <row r="2996" spans="1:14" x14ac:dyDescent="0.35">
      <c r="A2996">
        <v>1012</v>
      </c>
      <c r="B2996" t="s">
        <v>66</v>
      </c>
      <c r="C2996" s="1">
        <v>45181.257071759261</v>
      </c>
      <c r="D2996" t="str">
        <f ca="1">VLOOKUP(qry_ProdData2_PDI_Cash_Exception_Application[[#This Row],[TYPE]],#REF!,2,FALSE)</f>
        <v>type13</v>
      </c>
      <c r="E2996">
        <v>23597.73</v>
      </c>
      <c r="F2996" t="s">
        <v>48</v>
      </c>
      <c r="G2996" s="1">
        <f>qry_ProdData2_PDI_Cash_Exception_Application[[#This Row],[INSERT DATE]]+1</f>
        <v>45182.257071759261</v>
      </c>
      <c r="H2996" t="str">
        <f>VLOOKUP(qry_ProdData2_PDI_Cash_Exception_Application[[#This Row],[MARKET No]],'Site Allocation'!$B$2:$C$37,2,FALSE)</f>
        <v>Analyst3</v>
      </c>
      <c r="I2996" s="4">
        <f t="shared" ca="1" si="46"/>
        <v>45203</v>
      </c>
      <c r="J2996" s="42">
        <f ca="1">TODAY()-qry_ProdData2_PDI_Cash_Exception_Application[[#This Row],[INSERT DATE]]</f>
        <v>21.742928240739275</v>
      </c>
      <c r="K29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96">
        <f ca="1">qry_ProdData2_PDI_Cash_Exception_Application[[#This Row],[TODAY]]-qry_ProdData2_PDI_Cash_Exception_Application[[#This Row],[CHANGED ON]]</f>
        <v>20.742928240739275</v>
      </c>
      <c r="M2996">
        <f ca="1">qry_ProdData2_PDI_Cash_Exception_Application[[#This Row],[TODAY]]-qry_ProdData2_PDI_Cash_Exception_Application[[#This Row],[CHANGED ON]]</f>
        <v>20.742928240739275</v>
      </c>
      <c r="N2996">
        <f ca="1">qry_ProdData2_PDI_Cash_Exception_Application[[#This Row],[TODAY]]-qry_ProdData2_PDI_Cash_Exception_Application[[#This Row],[CHANGED ON]]</f>
        <v>20.742928240739275</v>
      </c>
    </row>
    <row r="2997" spans="1:14" x14ac:dyDescent="0.35">
      <c r="A2997">
        <v>1021</v>
      </c>
      <c r="B2997" t="s">
        <v>75</v>
      </c>
      <c r="C2997" s="1">
        <v>45195.257071759261</v>
      </c>
      <c r="D2997" t="str">
        <f ca="1">VLOOKUP(qry_ProdData2_PDI_Cash_Exception_Application[[#This Row],[TYPE]],#REF!,2,FALSE)</f>
        <v>type40</v>
      </c>
      <c r="E2997">
        <v>39.270000000000003</v>
      </c>
      <c r="F2997" t="s">
        <v>50</v>
      </c>
      <c r="G2997" s="1">
        <f>qry_ProdData2_PDI_Cash_Exception_Application[[#This Row],[INSERT DATE]]+7</f>
        <v>45202.257071759261</v>
      </c>
      <c r="H2997" t="str">
        <f>VLOOKUP(qry_ProdData2_PDI_Cash_Exception_Application[[#This Row],[MARKET No]],'Site Allocation'!$B$2:$C$37,2,FALSE)</f>
        <v>Analyst4</v>
      </c>
      <c r="I2997" s="4">
        <f t="shared" ca="1" si="46"/>
        <v>45203</v>
      </c>
      <c r="J2997" s="42">
        <f ca="1">TODAY()-qry_ProdData2_PDI_Cash_Exception_Application[[#This Row],[INSERT DATE]]</f>
        <v>7.7429282407392748</v>
      </c>
      <c r="K29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97">
        <f ca="1">qry_ProdData2_PDI_Cash_Exception_Application[[#This Row],[TODAY]]-qry_ProdData2_PDI_Cash_Exception_Application[[#This Row],[CHANGED ON]]</f>
        <v>0.74292824073927477</v>
      </c>
      <c r="M2997">
        <f ca="1">qry_ProdData2_PDI_Cash_Exception_Application[[#This Row],[TODAY]]-qry_ProdData2_PDI_Cash_Exception_Application[[#This Row],[CHANGED ON]]</f>
        <v>0.74292824073927477</v>
      </c>
      <c r="N2997">
        <f ca="1">qry_ProdData2_PDI_Cash_Exception_Application[[#This Row],[TODAY]]-qry_ProdData2_PDI_Cash_Exception_Application[[#This Row],[CHANGED ON]]</f>
        <v>0.74292824073927477</v>
      </c>
    </row>
    <row r="2998" spans="1:14" x14ac:dyDescent="0.35">
      <c r="A2998">
        <v>1000</v>
      </c>
      <c r="B2998" t="s">
        <v>54</v>
      </c>
      <c r="C2998" s="1">
        <v>45184.257071759261</v>
      </c>
      <c r="D2998" t="str">
        <f ca="1">VLOOKUP(qry_ProdData2_PDI_Cash_Exception_Application[[#This Row],[TYPE]],#REF!,2,FALSE)</f>
        <v>type40</v>
      </c>
      <c r="E2998">
        <v>-615</v>
      </c>
      <c r="F2998" t="s">
        <v>48</v>
      </c>
      <c r="G2998" s="1">
        <f>qry_ProdData2_PDI_Cash_Exception_Application[[#This Row],[INSERT DATE]]+1</f>
        <v>45185.257071759261</v>
      </c>
      <c r="H2998" t="str">
        <f>VLOOKUP(qry_ProdData2_PDI_Cash_Exception_Application[[#This Row],[MARKET No]],'Site Allocation'!$B$2:$C$37,2,FALSE)</f>
        <v>Analyst1</v>
      </c>
      <c r="I2998" s="4">
        <f t="shared" ca="1" si="46"/>
        <v>45203</v>
      </c>
      <c r="J2998" s="42">
        <f ca="1">TODAY()-qry_ProdData2_PDI_Cash_Exception_Application[[#This Row],[INSERT DATE]]</f>
        <v>18.742928240739275</v>
      </c>
      <c r="K29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2998">
        <f ca="1">qry_ProdData2_PDI_Cash_Exception_Application[[#This Row],[TODAY]]-qry_ProdData2_PDI_Cash_Exception_Application[[#This Row],[CHANGED ON]]</f>
        <v>17.742928240739275</v>
      </c>
      <c r="M2998">
        <f ca="1">qry_ProdData2_PDI_Cash_Exception_Application[[#This Row],[TODAY]]-qry_ProdData2_PDI_Cash_Exception_Application[[#This Row],[CHANGED ON]]</f>
        <v>17.742928240739275</v>
      </c>
      <c r="N2998">
        <f ca="1">qry_ProdData2_PDI_Cash_Exception_Application[[#This Row],[TODAY]]-qry_ProdData2_PDI_Cash_Exception_Application[[#This Row],[CHANGED ON]]</f>
        <v>17.742928240739275</v>
      </c>
    </row>
    <row r="2999" spans="1:14" x14ac:dyDescent="0.35">
      <c r="A2999">
        <v>1029</v>
      </c>
      <c r="B2999" t="s">
        <v>83</v>
      </c>
      <c r="C2999" s="1">
        <v>45196.257071759261</v>
      </c>
      <c r="D2999" t="str">
        <f ca="1">VLOOKUP(qry_ProdData2_PDI_Cash_Exception_Application[[#This Row],[TYPE]],#REF!,2,FALSE)</f>
        <v>type40</v>
      </c>
      <c r="E2999">
        <v>696.76</v>
      </c>
      <c r="F2999" t="s">
        <v>51</v>
      </c>
      <c r="G2999" s="1">
        <f>qry_ProdData2_PDI_Cash_Exception_Application[[#This Row],[INSERT DATE]]+5</f>
        <v>45201.257071759261</v>
      </c>
      <c r="H2999" t="str">
        <f>VLOOKUP(qry_ProdData2_PDI_Cash_Exception_Application[[#This Row],[MARKET No]],'Site Allocation'!$B$2:$C$37,2,FALSE)</f>
        <v>Analyst5</v>
      </c>
      <c r="I2999" s="4">
        <f t="shared" ca="1" si="46"/>
        <v>45203</v>
      </c>
      <c r="J2999" s="42">
        <f ca="1">TODAY()-qry_ProdData2_PDI_Cash_Exception_Application[[#This Row],[INSERT DATE]]</f>
        <v>6.7429282407392748</v>
      </c>
      <c r="K29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2999">
        <f ca="1">qry_ProdData2_PDI_Cash_Exception_Application[[#This Row],[TODAY]]-qry_ProdData2_PDI_Cash_Exception_Application[[#This Row],[CHANGED ON]]</f>
        <v>1.7429282407392748</v>
      </c>
      <c r="M2999">
        <f ca="1">qry_ProdData2_PDI_Cash_Exception_Application[[#This Row],[TODAY]]-qry_ProdData2_PDI_Cash_Exception_Application[[#This Row],[CHANGED ON]]</f>
        <v>1.7429282407392748</v>
      </c>
      <c r="N2999">
        <f ca="1">qry_ProdData2_PDI_Cash_Exception_Application[[#This Row],[TODAY]]-qry_ProdData2_PDI_Cash_Exception_Application[[#This Row],[CHANGED ON]]</f>
        <v>1.7429282407392748</v>
      </c>
    </row>
    <row r="3000" spans="1:14" x14ac:dyDescent="0.35">
      <c r="A3000">
        <v>1020</v>
      </c>
      <c r="B3000" t="s">
        <v>74</v>
      </c>
      <c r="C3000" s="1">
        <v>45188.257071759261</v>
      </c>
      <c r="D3000" t="str">
        <f ca="1">VLOOKUP(qry_ProdData2_PDI_Cash_Exception_Application[[#This Row],[TYPE]],#REF!,2,FALSE)</f>
        <v>type13</v>
      </c>
      <c r="E3000">
        <v>24722.11</v>
      </c>
      <c r="F3000" t="s">
        <v>48</v>
      </c>
      <c r="G3000" s="1">
        <f>qry_ProdData2_PDI_Cash_Exception_Application[[#This Row],[INSERT DATE]]+1</f>
        <v>45189.257071759261</v>
      </c>
      <c r="H3000" t="str">
        <f>VLOOKUP(qry_ProdData2_PDI_Cash_Exception_Application[[#This Row],[MARKET No]],'Site Allocation'!$B$2:$C$37,2,FALSE)</f>
        <v>Analyst4</v>
      </c>
      <c r="I3000" s="4">
        <f t="shared" ca="1" si="46"/>
        <v>45203</v>
      </c>
      <c r="J3000" s="42">
        <f ca="1">TODAY()-qry_ProdData2_PDI_Cash_Exception_Application[[#This Row],[INSERT DATE]]</f>
        <v>14.742928240739275</v>
      </c>
      <c r="K30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00">
        <f ca="1">qry_ProdData2_PDI_Cash_Exception_Application[[#This Row],[TODAY]]-qry_ProdData2_PDI_Cash_Exception_Application[[#This Row],[CHANGED ON]]</f>
        <v>13.742928240739275</v>
      </c>
      <c r="M3000">
        <f ca="1">qry_ProdData2_PDI_Cash_Exception_Application[[#This Row],[TODAY]]-qry_ProdData2_PDI_Cash_Exception_Application[[#This Row],[CHANGED ON]]</f>
        <v>13.742928240739275</v>
      </c>
      <c r="N3000">
        <f ca="1">qry_ProdData2_PDI_Cash_Exception_Application[[#This Row],[TODAY]]-qry_ProdData2_PDI_Cash_Exception_Application[[#This Row],[CHANGED ON]]</f>
        <v>13.742928240739275</v>
      </c>
    </row>
    <row r="3001" spans="1:14" x14ac:dyDescent="0.35">
      <c r="A3001">
        <v>1030</v>
      </c>
      <c r="B3001" t="s">
        <v>84</v>
      </c>
      <c r="C3001" s="1">
        <v>45186.257071759261</v>
      </c>
      <c r="D3001" t="str">
        <f ca="1">VLOOKUP(qry_ProdData2_PDI_Cash_Exception_Application[[#This Row],[TYPE]],#REF!,2,FALSE)</f>
        <v>type40</v>
      </c>
      <c r="E3001">
        <v>1168.78</v>
      </c>
      <c r="F3001" t="s">
        <v>50</v>
      </c>
      <c r="G3001" s="1">
        <f>qry_ProdData2_PDI_Cash_Exception_Application[[#This Row],[INSERT DATE]]+1</f>
        <v>45187.257071759261</v>
      </c>
      <c r="H3001" t="str">
        <f>VLOOKUP(qry_ProdData2_PDI_Cash_Exception_Application[[#This Row],[MARKET No]],'Site Allocation'!$B$2:$C$37,2,FALSE)</f>
        <v>Analyst6</v>
      </c>
      <c r="I3001" s="4">
        <f t="shared" ca="1" si="46"/>
        <v>45203</v>
      </c>
      <c r="J3001" s="42">
        <f ca="1">TODAY()-qry_ProdData2_PDI_Cash_Exception_Application[[#This Row],[INSERT DATE]]</f>
        <v>16.742928240739275</v>
      </c>
      <c r="K30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01">
        <f ca="1">qry_ProdData2_PDI_Cash_Exception_Application[[#This Row],[TODAY]]-qry_ProdData2_PDI_Cash_Exception_Application[[#This Row],[CHANGED ON]]</f>
        <v>15.742928240739275</v>
      </c>
      <c r="M3001">
        <f ca="1">qry_ProdData2_PDI_Cash_Exception_Application[[#This Row],[TODAY]]-qry_ProdData2_PDI_Cash_Exception_Application[[#This Row],[CHANGED ON]]</f>
        <v>15.742928240739275</v>
      </c>
      <c r="N3001">
        <f ca="1">qry_ProdData2_PDI_Cash_Exception_Application[[#This Row],[TODAY]]-qry_ProdData2_PDI_Cash_Exception_Application[[#This Row],[CHANGED ON]]</f>
        <v>15.742928240739275</v>
      </c>
    </row>
    <row r="3002" spans="1:14" x14ac:dyDescent="0.35">
      <c r="A3002">
        <v>1023</v>
      </c>
      <c r="B3002" t="s">
        <v>77</v>
      </c>
      <c r="C3002" s="1">
        <v>45197.257071759261</v>
      </c>
      <c r="D3002" t="str">
        <f ca="1">VLOOKUP(qry_ProdData2_PDI_Cash_Exception_Application[[#This Row],[TYPE]],#REF!,2,FALSE)</f>
        <v>type19</v>
      </c>
      <c r="E3002">
        <v>423.8</v>
      </c>
      <c r="F3002" t="s">
        <v>51</v>
      </c>
      <c r="G3002" s="1">
        <f>qry_ProdData2_PDI_Cash_Exception_Application[[#This Row],[INSERT DATE]]+2</f>
        <v>45199.257071759261</v>
      </c>
      <c r="H3002" t="str">
        <f>VLOOKUP(qry_ProdData2_PDI_Cash_Exception_Application[[#This Row],[MARKET No]],'Site Allocation'!$B$2:$C$37,2,FALSE)</f>
        <v>Analyst4</v>
      </c>
      <c r="I3002" s="4">
        <f t="shared" ca="1" si="46"/>
        <v>45203</v>
      </c>
      <c r="J3002" s="42">
        <f ca="1">TODAY()-qry_ProdData2_PDI_Cash_Exception_Application[[#This Row],[INSERT DATE]]</f>
        <v>5.7429282407392748</v>
      </c>
      <c r="K30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02">
        <f ca="1">qry_ProdData2_PDI_Cash_Exception_Application[[#This Row],[TODAY]]-qry_ProdData2_PDI_Cash_Exception_Application[[#This Row],[CHANGED ON]]</f>
        <v>3.7429282407392748</v>
      </c>
      <c r="M3002">
        <f ca="1">qry_ProdData2_PDI_Cash_Exception_Application[[#This Row],[TODAY]]-qry_ProdData2_PDI_Cash_Exception_Application[[#This Row],[CHANGED ON]]</f>
        <v>3.7429282407392748</v>
      </c>
      <c r="N3002">
        <f ca="1">qry_ProdData2_PDI_Cash_Exception_Application[[#This Row],[TODAY]]-qry_ProdData2_PDI_Cash_Exception_Application[[#This Row],[CHANGED ON]]</f>
        <v>3.7429282407392748</v>
      </c>
    </row>
    <row r="3003" spans="1:14" x14ac:dyDescent="0.35">
      <c r="A3003">
        <v>1031</v>
      </c>
      <c r="B3003" t="s">
        <v>85</v>
      </c>
      <c r="C3003" s="1">
        <v>45197.257071759261</v>
      </c>
      <c r="D3003" t="str">
        <f ca="1">VLOOKUP(qry_ProdData2_PDI_Cash_Exception_Application[[#This Row],[TYPE]],#REF!,2,FALSE)</f>
        <v>type40</v>
      </c>
      <c r="E3003">
        <v>10044.27</v>
      </c>
      <c r="F3003" t="s">
        <v>51</v>
      </c>
      <c r="G3003" s="1">
        <f>qry_ProdData2_PDI_Cash_Exception_Application[[#This Row],[INSERT DATE]]+1</f>
        <v>45198.257071759261</v>
      </c>
      <c r="H3003" t="str">
        <f>VLOOKUP(qry_ProdData2_PDI_Cash_Exception_Application[[#This Row],[MARKET No]],'Site Allocation'!$B$2:$C$37,2,FALSE)</f>
        <v>Analyst6</v>
      </c>
      <c r="I3003" s="4">
        <f t="shared" ca="1" si="46"/>
        <v>45203</v>
      </c>
      <c r="J3003" s="42">
        <f ca="1">TODAY()-qry_ProdData2_PDI_Cash_Exception_Application[[#This Row],[INSERT DATE]]</f>
        <v>5.7429282407392748</v>
      </c>
      <c r="K30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03">
        <f ca="1">qry_ProdData2_PDI_Cash_Exception_Application[[#This Row],[TODAY]]-qry_ProdData2_PDI_Cash_Exception_Application[[#This Row],[CHANGED ON]]</f>
        <v>4.7429282407392748</v>
      </c>
      <c r="M3003">
        <f ca="1">qry_ProdData2_PDI_Cash_Exception_Application[[#This Row],[TODAY]]-qry_ProdData2_PDI_Cash_Exception_Application[[#This Row],[CHANGED ON]]</f>
        <v>4.7429282407392748</v>
      </c>
      <c r="N3003">
        <f ca="1">qry_ProdData2_PDI_Cash_Exception_Application[[#This Row],[TODAY]]-qry_ProdData2_PDI_Cash_Exception_Application[[#This Row],[CHANGED ON]]</f>
        <v>4.7429282407392748</v>
      </c>
    </row>
    <row r="3004" spans="1:14" x14ac:dyDescent="0.35">
      <c r="A3004">
        <v>1032</v>
      </c>
      <c r="B3004" t="s">
        <v>86</v>
      </c>
      <c r="C3004" s="1">
        <v>45197.257071759261</v>
      </c>
      <c r="D3004" t="str">
        <f ca="1">VLOOKUP(qry_ProdData2_PDI_Cash_Exception_Application[[#This Row],[TYPE]],#REF!,2,FALSE)</f>
        <v>type40</v>
      </c>
      <c r="E3004">
        <v>2764.78</v>
      </c>
      <c r="F3004" t="s">
        <v>47</v>
      </c>
      <c r="G3004" s="1">
        <f>qry_ProdData2_PDI_Cash_Exception_Application[[#This Row],[INSERT DATE]]+1</f>
        <v>45198.257071759261</v>
      </c>
      <c r="H3004" t="str">
        <f>VLOOKUP(qry_ProdData2_PDI_Cash_Exception_Application[[#This Row],[MARKET No]],'Site Allocation'!$B$2:$C$37,2,FALSE)</f>
        <v>Analyst6</v>
      </c>
      <c r="I3004" s="4">
        <f t="shared" ca="1" si="46"/>
        <v>45203</v>
      </c>
      <c r="J3004" s="42">
        <f ca="1">TODAY()-qry_ProdData2_PDI_Cash_Exception_Application[[#This Row],[INSERT DATE]]</f>
        <v>5.7429282407392748</v>
      </c>
      <c r="K30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04">
        <f ca="1">qry_ProdData2_PDI_Cash_Exception_Application[[#This Row],[TODAY]]-qry_ProdData2_PDI_Cash_Exception_Application[[#This Row],[CHANGED ON]]</f>
        <v>4.7429282407392748</v>
      </c>
      <c r="M3004">
        <f ca="1">qry_ProdData2_PDI_Cash_Exception_Application[[#This Row],[TODAY]]-qry_ProdData2_PDI_Cash_Exception_Application[[#This Row],[CHANGED ON]]</f>
        <v>4.7429282407392748</v>
      </c>
      <c r="N3004">
        <f ca="1">qry_ProdData2_PDI_Cash_Exception_Application[[#This Row],[TODAY]]-qry_ProdData2_PDI_Cash_Exception_Application[[#This Row],[CHANGED ON]]</f>
        <v>4.7429282407392748</v>
      </c>
    </row>
    <row r="3005" spans="1:14" x14ac:dyDescent="0.35">
      <c r="A3005">
        <v>1034</v>
      </c>
      <c r="B3005" t="s">
        <v>88</v>
      </c>
      <c r="C3005" s="1">
        <v>45196.257071759261</v>
      </c>
      <c r="D3005" t="str">
        <f ca="1">VLOOKUP(qry_ProdData2_PDI_Cash_Exception_Application[[#This Row],[TYPE]],#REF!,2,FALSE)</f>
        <v>type40</v>
      </c>
      <c r="E3005">
        <v>313.83</v>
      </c>
      <c r="F3005" t="s">
        <v>47</v>
      </c>
      <c r="G3005" s="1">
        <f>qry_ProdData2_PDI_Cash_Exception_Application[[#This Row],[INSERT DATE]]+5</f>
        <v>45201.257071759261</v>
      </c>
      <c r="H3005" t="str">
        <f>VLOOKUP(qry_ProdData2_PDI_Cash_Exception_Application[[#This Row],[MARKET No]],'Site Allocation'!$B$2:$C$37,2,FALSE)</f>
        <v>Analyst6</v>
      </c>
      <c r="I3005" s="4">
        <f t="shared" ca="1" si="46"/>
        <v>45203</v>
      </c>
      <c r="J3005" s="42">
        <f ca="1">TODAY()-qry_ProdData2_PDI_Cash_Exception_Application[[#This Row],[INSERT DATE]]</f>
        <v>6.7429282407392748</v>
      </c>
      <c r="K30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05">
        <f ca="1">qry_ProdData2_PDI_Cash_Exception_Application[[#This Row],[TODAY]]-qry_ProdData2_PDI_Cash_Exception_Application[[#This Row],[CHANGED ON]]</f>
        <v>1.7429282407392748</v>
      </c>
      <c r="M3005">
        <f ca="1">qry_ProdData2_PDI_Cash_Exception_Application[[#This Row],[TODAY]]-qry_ProdData2_PDI_Cash_Exception_Application[[#This Row],[CHANGED ON]]</f>
        <v>1.7429282407392748</v>
      </c>
      <c r="N3005">
        <f ca="1">qry_ProdData2_PDI_Cash_Exception_Application[[#This Row],[TODAY]]-qry_ProdData2_PDI_Cash_Exception_Application[[#This Row],[CHANGED ON]]</f>
        <v>1.7429282407392748</v>
      </c>
    </row>
    <row r="3006" spans="1:14" x14ac:dyDescent="0.35">
      <c r="A3006">
        <v>1005</v>
      </c>
      <c r="B3006" t="s">
        <v>59</v>
      </c>
      <c r="C3006" s="1">
        <v>45189.257071759261</v>
      </c>
      <c r="D3006" t="str">
        <f ca="1">VLOOKUP(qry_ProdData2_PDI_Cash_Exception_Application[[#This Row],[TYPE]],#REF!,2,FALSE)</f>
        <v>type40</v>
      </c>
      <c r="E3006">
        <v>-537.41</v>
      </c>
      <c r="F3006" t="s">
        <v>50</v>
      </c>
      <c r="G3006" s="1">
        <f>qry_ProdData2_PDI_Cash_Exception_Application[[#This Row],[INSERT DATE]]+1</f>
        <v>45190.257071759261</v>
      </c>
      <c r="H3006" t="str">
        <f>VLOOKUP(qry_ProdData2_PDI_Cash_Exception_Application[[#This Row],[MARKET No]],'Site Allocation'!$B$2:$C$37,2,FALSE)</f>
        <v>Analyst1</v>
      </c>
      <c r="I3006" s="4">
        <f t="shared" ca="1" si="46"/>
        <v>45203</v>
      </c>
      <c r="J3006" s="42">
        <f ca="1">TODAY()-qry_ProdData2_PDI_Cash_Exception_Application[[#This Row],[INSERT DATE]]</f>
        <v>13.742928240739275</v>
      </c>
      <c r="K30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06">
        <f ca="1">qry_ProdData2_PDI_Cash_Exception_Application[[#This Row],[TODAY]]-qry_ProdData2_PDI_Cash_Exception_Application[[#This Row],[CHANGED ON]]</f>
        <v>12.742928240739275</v>
      </c>
      <c r="M3006">
        <f ca="1">qry_ProdData2_PDI_Cash_Exception_Application[[#This Row],[TODAY]]-qry_ProdData2_PDI_Cash_Exception_Application[[#This Row],[CHANGED ON]]</f>
        <v>12.742928240739275</v>
      </c>
      <c r="N3006">
        <f ca="1">qry_ProdData2_PDI_Cash_Exception_Application[[#This Row],[TODAY]]-qry_ProdData2_PDI_Cash_Exception_Application[[#This Row],[CHANGED ON]]</f>
        <v>12.742928240739275</v>
      </c>
    </row>
    <row r="3007" spans="1:14" x14ac:dyDescent="0.35">
      <c r="A3007">
        <v>1015</v>
      </c>
      <c r="B3007" t="s">
        <v>69</v>
      </c>
      <c r="C3007" s="1">
        <v>45195.257071759261</v>
      </c>
      <c r="D3007" t="str">
        <f ca="1">VLOOKUP(qry_ProdData2_PDI_Cash_Exception_Application[[#This Row],[TYPE]],#REF!,2,FALSE)</f>
        <v>type40</v>
      </c>
      <c r="E3007">
        <v>-2001.33</v>
      </c>
      <c r="F3007" t="str">
        <f>qry_ProdData2_PDI_Cash_Exception_Application[[#This Row],[ANALYST]]</f>
        <v>Analyst3</v>
      </c>
      <c r="G3007" s="1">
        <f>qry_ProdData2_PDI_Cash_Exception_Application[[#This Row],[INSERT DATE]]+5</f>
        <v>45200.257071759261</v>
      </c>
      <c r="H3007" t="str">
        <f>VLOOKUP(qry_ProdData2_PDI_Cash_Exception_Application[[#This Row],[MARKET No]],'Site Allocation'!$B$2:$C$37,2,FALSE)</f>
        <v>Analyst3</v>
      </c>
      <c r="I3007" s="4">
        <f t="shared" ca="1" si="46"/>
        <v>45203</v>
      </c>
      <c r="J3007" s="42">
        <f ca="1">TODAY()-qry_ProdData2_PDI_Cash_Exception_Application[[#This Row],[INSERT DATE]]</f>
        <v>7.7429282407392748</v>
      </c>
      <c r="K30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07">
        <f ca="1">qry_ProdData2_PDI_Cash_Exception_Application[[#This Row],[TODAY]]-qry_ProdData2_PDI_Cash_Exception_Application[[#This Row],[CHANGED ON]]</f>
        <v>2.7429282407392748</v>
      </c>
      <c r="M3007">
        <f ca="1">qry_ProdData2_PDI_Cash_Exception_Application[[#This Row],[TODAY]]-qry_ProdData2_PDI_Cash_Exception_Application[[#This Row],[CHANGED ON]]</f>
        <v>2.7429282407392748</v>
      </c>
      <c r="N3007">
        <f ca="1">qry_ProdData2_PDI_Cash_Exception_Application[[#This Row],[TODAY]]-qry_ProdData2_PDI_Cash_Exception_Application[[#This Row],[CHANGED ON]]</f>
        <v>2.7429282407392748</v>
      </c>
    </row>
    <row r="3008" spans="1:14" x14ac:dyDescent="0.35">
      <c r="A3008">
        <v>1008</v>
      </c>
      <c r="B3008" t="s">
        <v>62</v>
      </c>
      <c r="C3008" s="1">
        <v>45197.257071759261</v>
      </c>
      <c r="D3008" t="str">
        <f ca="1">VLOOKUP(qry_ProdData2_PDI_Cash_Exception_Application[[#This Row],[TYPE]],#REF!,2,FALSE)</f>
        <v>type27</v>
      </c>
      <c r="E3008">
        <v>956271.56</v>
      </c>
      <c r="F3008" t="s">
        <v>47</v>
      </c>
      <c r="G3008" s="1">
        <f>qry_ProdData2_PDI_Cash_Exception_Application[[#This Row],[INSERT DATE]]+7</f>
        <v>45204.257071759261</v>
      </c>
      <c r="H3008" t="str">
        <f>VLOOKUP(qry_ProdData2_PDI_Cash_Exception_Application[[#This Row],[MARKET No]],'Site Allocation'!$B$2:$C$37,2,FALSE)</f>
        <v>Analyst2</v>
      </c>
      <c r="I3008" s="4">
        <f t="shared" ca="1" si="46"/>
        <v>45203</v>
      </c>
      <c r="J3008" s="42">
        <f ca="1">TODAY()-qry_ProdData2_PDI_Cash_Exception_Application[[#This Row],[INSERT DATE]]</f>
        <v>5.7429282407392748</v>
      </c>
      <c r="K30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08">
        <f ca="1">qry_ProdData2_PDI_Cash_Exception_Application[[#This Row],[TODAY]]-qry_ProdData2_PDI_Cash_Exception_Application[[#This Row],[CHANGED ON]]</f>
        <v>-1.2570717592607252</v>
      </c>
      <c r="M3008">
        <f ca="1">qry_ProdData2_PDI_Cash_Exception_Application[[#This Row],[TODAY]]-qry_ProdData2_PDI_Cash_Exception_Application[[#This Row],[CHANGED ON]]</f>
        <v>-1.2570717592607252</v>
      </c>
      <c r="N3008">
        <f ca="1">qry_ProdData2_PDI_Cash_Exception_Application[[#This Row],[TODAY]]-qry_ProdData2_PDI_Cash_Exception_Application[[#This Row],[CHANGED ON]]</f>
        <v>-1.2570717592607252</v>
      </c>
    </row>
    <row r="3009" spans="1:14" x14ac:dyDescent="0.35">
      <c r="A3009">
        <v>1024</v>
      </c>
      <c r="B3009" t="s">
        <v>78</v>
      </c>
      <c r="C3009" s="1">
        <v>45196.257071759261</v>
      </c>
      <c r="D3009" t="str">
        <f ca="1">VLOOKUP(qry_ProdData2_PDI_Cash_Exception_Application[[#This Row],[TYPE]],#REF!,2,FALSE)</f>
        <v>type52</v>
      </c>
      <c r="E3009">
        <v>266.64</v>
      </c>
      <c r="F3009" t="s">
        <v>51</v>
      </c>
      <c r="G3009" s="1">
        <f>qry_ProdData2_PDI_Cash_Exception_Application[[#This Row],[INSERT DATE]]+2</f>
        <v>45198.257071759261</v>
      </c>
      <c r="H3009" t="str">
        <f>VLOOKUP(qry_ProdData2_PDI_Cash_Exception_Application[[#This Row],[MARKET No]],'Site Allocation'!$B$2:$C$37,2,FALSE)</f>
        <v>Analyst5</v>
      </c>
      <c r="I3009" s="4">
        <f t="shared" ca="1" si="46"/>
        <v>45203</v>
      </c>
      <c r="J3009" s="42">
        <f ca="1">TODAY()-qry_ProdData2_PDI_Cash_Exception_Application[[#This Row],[INSERT DATE]]</f>
        <v>6.7429282407392748</v>
      </c>
      <c r="K30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09">
        <f ca="1">qry_ProdData2_PDI_Cash_Exception_Application[[#This Row],[TODAY]]-qry_ProdData2_PDI_Cash_Exception_Application[[#This Row],[CHANGED ON]]</f>
        <v>4.7429282407392748</v>
      </c>
      <c r="M3009">
        <f ca="1">qry_ProdData2_PDI_Cash_Exception_Application[[#This Row],[TODAY]]-qry_ProdData2_PDI_Cash_Exception_Application[[#This Row],[CHANGED ON]]</f>
        <v>4.7429282407392748</v>
      </c>
      <c r="N3009">
        <f ca="1">qry_ProdData2_PDI_Cash_Exception_Application[[#This Row],[TODAY]]-qry_ProdData2_PDI_Cash_Exception_Application[[#This Row],[CHANGED ON]]</f>
        <v>4.7429282407392748</v>
      </c>
    </row>
    <row r="3010" spans="1:14" x14ac:dyDescent="0.35">
      <c r="A3010">
        <v>1023</v>
      </c>
      <c r="B3010" t="s">
        <v>77</v>
      </c>
      <c r="C3010" s="1">
        <v>45190.257071759261</v>
      </c>
      <c r="D3010" t="str">
        <f ca="1">VLOOKUP(qry_ProdData2_PDI_Cash_Exception_Application[[#This Row],[TYPE]],#REF!,2,FALSE)</f>
        <v>type40</v>
      </c>
      <c r="E3010">
        <v>-695.43</v>
      </c>
      <c r="F3010" t="s">
        <v>48</v>
      </c>
      <c r="G3010" s="1">
        <f>qry_ProdData2_PDI_Cash_Exception_Application[[#This Row],[INSERT DATE]]+1</f>
        <v>45191.257071759261</v>
      </c>
      <c r="H3010" t="str">
        <f>VLOOKUP(qry_ProdData2_PDI_Cash_Exception_Application[[#This Row],[MARKET No]],'Site Allocation'!$B$2:$C$37,2,FALSE)</f>
        <v>Analyst4</v>
      </c>
      <c r="I3010" s="4">
        <f t="shared" ref="I3010:I3073" ca="1" si="47">TODAY()</f>
        <v>45203</v>
      </c>
      <c r="J3010" s="42">
        <f ca="1">TODAY()-qry_ProdData2_PDI_Cash_Exception_Application[[#This Row],[INSERT DATE]]</f>
        <v>12.742928240739275</v>
      </c>
      <c r="K30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10">
        <f ca="1">qry_ProdData2_PDI_Cash_Exception_Application[[#This Row],[TODAY]]-qry_ProdData2_PDI_Cash_Exception_Application[[#This Row],[CHANGED ON]]</f>
        <v>11.742928240739275</v>
      </c>
      <c r="M3010">
        <f ca="1">qry_ProdData2_PDI_Cash_Exception_Application[[#This Row],[TODAY]]-qry_ProdData2_PDI_Cash_Exception_Application[[#This Row],[CHANGED ON]]</f>
        <v>11.742928240739275</v>
      </c>
      <c r="N3010">
        <f ca="1">qry_ProdData2_PDI_Cash_Exception_Application[[#This Row],[TODAY]]-qry_ProdData2_PDI_Cash_Exception_Application[[#This Row],[CHANGED ON]]</f>
        <v>11.742928240739275</v>
      </c>
    </row>
    <row r="3011" spans="1:14" x14ac:dyDescent="0.35">
      <c r="A3011">
        <v>1029</v>
      </c>
      <c r="B3011" t="s">
        <v>83</v>
      </c>
      <c r="C3011" s="1">
        <v>45192.257071759261</v>
      </c>
      <c r="D3011" t="str">
        <f ca="1">VLOOKUP(qry_ProdData2_PDI_Cash_Exception_Application[[#This Row],[TYPE]],#REF!,2,FALSE)</f>
        <v>type9</v>
      </c>
      <c r="E3011">
        <v>3025</v>
      </c>
      <c r="F3011" t="s">
        <v>48</v>
      </c>
      <c r="G3011" s="1">
        <f>qry_ProdData2_PDI_Cash_Exception_Application[[#This Row],[INSERT DATE]]+1</f>
        <v>45193.257071759261</v>
      </c>
      <c r="H3011" t="str">
        <f>VLOOKUP(qry_ProdData2_PDI_Cash_Exception_Application[[#This Row],[MARKET No]],'Site Allocation'!$B$2:$C$37,2,FALSE)</f>
        <v>Analyst5</v>
      </c>
      <c r="I3011" s="4">
        <f t="shared" ca="1" si="47"/>
        <v>45203</v>
      </c>
      <c r="J3011" s="42">
        <f ca="1">TODAY()-qry_ProdData2_PDI_Cash_Exception_Application[[#This Row],[INSERT DATE]]</f>
        <v>10.742928240739275</v>
      </c>
      <c r="K30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11">
        <f ca="1">qry_ProdData2_PDI_Cash_Exception_Application[[#This Row],[TODAY]]-qry_ProdData2_PDI_Cash_Exception_Application[[#This Row],[CHANGED ON]]</f>
        <v>9.7429282407392748</v>
      </c>
      <c r="M3011">
        <f ca="1">qry_ProdData2_PDI_Cash_Exception_Application[[#This Row],[TODAY]]-qry_ProdData2_PDI_Cash_Exception_Application[[#This Row],[CHANGED ON]]</f>
        <v>9.7429282407392748</v>
      </c>
      <c r="N3011">
        <f ca="1">qry_ProdData2_PDI_Cash_Exception_Application[[#This Row],[TODAY]]-qry_ProdData2_PDI_Cash_Exception_Application[[#This Row],[CHANGED ON]]</f>
        <v>9.7429282407392748</v>
      </c>
    </row>
    <row r="3012" spans="1:14" x14ac:dyDescent="0.35">
      <c r="A3012">
        <v>1032</v>
      </c>
      <c r="B3012" t="s">
        <v>86</v>
      </c>
      <c r="C3012" s="1">
        <v>45196.257071759261</v>
      </c>
      <c r="D3012" t="str">
        <f ca="1">VLOOKUP(qry_ProdData2_PDI_Cash_Exception_Application[[#This Row],[TYPE]],#REF!,2,FALSE)</f>
        <v>type36</v>
      </c>
      <c r="E3012">
        <v>196.15</v>
      </c>
      <c r="F3012" t="s">
        <v>51</v>
      </c>
      <c r="G3012" s="1">
        <f>qry_ProdData2_PDI_Cash_Exception_Application[[#This Row],[INSERT DATE]]+5</f>
        <v>45201.257071759261</v>
      </c>
      <c r="H3012" t="str">
        <f>VLOOKUP(qry_ProdData2_PDI_Cash_Exception_Application[[#This Row],[MARKET No]],'Site Allocation'!$B$2:$C$37,2,FALSE)</f>
        <v>Analyst6</v>
      </c>
      <c r="I3012" s="4">
        <f t="shared" ca="1" si="47"/>
        <v>45203</v>
      </c>
      <c r="J3012" s="42">
        <f ca="1">TODAY()-qry_ProdData2_PDI_Cash_Exception_Application[[#This Row],[INSERT DATE]]</f>
        <v>6.7429282407392748</v>
      </c>
      <c r="K30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12">
        <f ca="1">qry_ProdData2_PDI_Cash_Exception_Application[[#This Row],[TODAY]]-qry_ProdData2_PDI_Cash_Exception_Application[[#This Row],[CHANGED ON]]</f>
        <v>1.7429282407392748</v>
      </c>
      <c r="M3012">
        <f ca="1">qry_ProdData2_PDI_Cash_Exception_Application[[#This Row],[TODAY]]-qry_ProdData2_PDI_Cash_Exception_Application[[#This Row],[CHANGED ON]]</f>
        <v>1.7429282407392748</v>
      </c>
      <c r="N3012">
        <f ca="1">qry_ProdData2_PDI_Cash_Exception_Application[[#This Row],[TODAY]]-qry_ProdData2_PDI_Cash_Exception_Application[[#This Row],[CHANGED ON]]</f>
        <v>1.7429282407392748</v>
      </c>
    </row>
    <row r="3013" spans="1:14" x14ac:dyDescent="0.35">
      <c r="A3013">
        <v>1013</v>
      </c>
      <c r="B3013" t="s">
        <v>67</v>
      </c>
      <c r="C3013" s="1">
        <v>45195.257071759261</v>
      </c>
      <c r="D3013" t="str">
        <f ca="1">VLOOKUP(qry_ProdData2_PDI_Cash_Exception_Application[[#This Row],[TYPE]],#REF!,2,FALSE)</f>
        <v>type40</v>
      </c>
      <c r="E3013">
        <v>-802.12</v>
      </c>
      <c r="F3013" t="str">
        <f>qry_ProdData2_PDI_Cash_Exception_Application[[#This Row],[ANALYST]]</f>
        <v>Analyst3</v>
      </c>
      <c r="G3013" s="1">
        <f>qry_ProdData2_PDI_Cash_Exception_Application[[#This Row],[INSERT DATE]]+7</f>
        <v>45202.257071759261</v>
      </c>
      <c r="H3013" t="str">
        <f>VLOOKUP(qry_ProdData2_PDI_Cash_Exception_Application[[#This Row],[MARKET No]],'Site Allocation'!$B$2:$C$37,2,FALSE)</f>
        <v>Analyst3</v>
      </c>
      <c r="I3013" s="4">
        <f t="shared" ca="1" si="47"/>
        <v>45203</v>
      </c>
      <c r="J3013" s="42">
        <f ca="1">TODAY()-qry_ProdData2_PDI_Cash_Exception_Application[[#This Row],[INSERT DATE]]</f>
        <v>7.7429282407392748</v>
      </c>
      <c r="K30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13">
        <f ca="1">qry_ProdData2_PDI_Cash_Exception_Application[[#This Row],[TODAY]]-qry_ProdData2_PDI_Cash_Exception_Application[[#This Row],[CHANGED ON]]</f>
        <v>0.74292824073927477</v>
      </c>
      <c r="M3013">
        <f ca="1">qry_ProdData2_PDI_Cash_Exception_Application[[#This Row],[TODAY]]-qry_ProdData2_PDI_Cash_Exception_Application[[#This Row],[CHANGED ON]]</f>
        <v>0.74292824073927477</v>
      </c>
      <c r="N3013">
        <f ca="1">qry_ProdData2_PDI_Cash_Exception_Application[[#This Row],[TODAY]]-qry_ProdData2_PDI_Cash_Exception_Application[[#This Row],[CHANGED ON]]</f>
        <v>0.74292824073927477</v>
      </c>
    </row>
    <row r="3014" spans="1:14" x14ac:dyDescent="0.35">
      <c r="A3014">
        <v>1011</v>
      </c>
      <c r="B3014" t="s">
        <v>65</v>
      </c>
      <c r="C3014" s="1">
        <v>45196.257071759261</v>
      </c>
      <c r="D3014" t="str">
        <f ca="1">VLOOKUP(qry_ProdData2_PDI_Cash_Exception_Application[[#This Row],[TYPE]],#REF!,2,FALSE)</f>
        <v>type13</v>
      </c>
      <c r="E3014">
        <v>32323.93</v>
      </c>
      <c r="F3014" t="s">
        <v>52</v>
      </c>
      <c r="G3014" s="1">
        <f>qry_ProdData2_PDI_Cash_Exception_Application[[#This Row],[INSERT DATE]]+1</f>
        <v>45197.257071759261</v>
      </c>
      <c r="H3014" t="str">
        <f>VLOOKUP(qry_ProdData2_PDI_Cash_Exception_Application[[#This Row],[MARKET No]],'Site Allocation'!$B$2:$C$37,2,FALSE)</f>
        <v>Analyst2</v>
      </c>
      <c r="I3014" s="4">
        <f t="shared" ca="1" si="47"/>
        <v>45203</v>
      </c>
      <c r="J3014" s="42">
        <f ca="1">TODAY()-qry_ProdData2_PDI_Cash_Exception_Application[[#This Row],[INSERT DATE]]</f>
        <v>6.7429282407392748</v>
      </c>
      <c r="K30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14">
        <f ca="1">qry_ProdData2_PDI_Cash_Exception_Application[[#This Row],[TODAY]]-qry_ProdData2_PDI_Cash_Exception_Application[[#This Row],[CHANGED ON]]</f>
        <v>5.7429282407392748</v>
      </c>
      <c r="M3014">
        <f ca="1">qry_ProdData2_PDI_Cash_Exception_Application[[#This Row],[TODAY]]-qry_ProdData2_PDI_Cash_Exception_Application[[#This Row],[CHANGED ON]]</f>
        <v>5.7429282407392748</v>
      </c>
      <c r="N3014">
        <f ca="1">qry_ProdData2_PDI_Cash_Exception_Application[[#This Row],[TODAY]]-qry_ProdData2_PDI_Cash_Exception_Application[[#This Row],[CHANGED ON]]</f>
        <v>5.7429282407392748</v>
      </c>
    </row>
    <row r="3015" spans="1:14" x14ac:dyDescent="0.35">
      <c r="A3015">
        <v>1027</v>
      </c>
      <c r="B3015" t="s">
        <v>81</v>
      </c>
      <c r="C3015" s="1">
        <v>45196.257071759261</v>
      </c>
      <c r="D3015" t="str">
        <f ca="1">VLOOKUP(qry_ProdData2_PDI_Cash_Exception_Application[[#This Row],[TYPE]],#REF!,2,FALSE)</f>
        <v>type40</v>
      </c>
      <c r="E3015">
        <v>-318.92</v>
      </c>
      <c r="F3015" t="s">
        <v>47</v>
      </c>
      <c r="G3015" s="1">
        <f>qry_ProdData2_PDI_Cash_Exception_Application[[#This Row],[INSERT DATE]]+1</f>
        <v>45197.257071759261</v>
      </c>
      <c r="H3015" t="str">
        <f>VLOOKUP(qry_ProdData2_PDI_Cash_Exception_Application[[#This Row],[MARKET No]],'Site Allocation'!$B$2:$C$37,2,FALSE)</f>
        <v>Analyst5</v>
      </c>
      <c r="I3015" s="4">
        <f t="shared" ca="1" si="47"/>
        <v>45203</v>
      </c>
      <c r="J3015" s="42">
        <f ca="1">TODAY()-qry_ProdData2_PDI_Cash_Exception_Application[[#This Row],[INSERT DATE]]</f>
        <v>6.7429282407392748</v>
      </c>
      <c r="K30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15">
        <f ca="1">qry_ProdData2_PDI_Cash_Exception_Application[[#This Row],[TODAY]]-qry_ProdData2_PDI_Cash_Exception_Application[[#This Row],[CHANGED ON]]</f>
        <v>5.7429282407392748</v>
      </c>
      <c r="M3015">
        <f ca="1">qry_ProdData2_PDI_Cash_Exception_Application[[#This Row],[TODAY]]-qry_ProdData2_PDI_Cash_Exception_Application[[#This Row],[CHANGED ON]]</f>
        <v>5.7429282407392748</v>
      </c>
      <c r="N3015">
        <f ca="1">qry_ProdData2_PDI_Cash_Exception_Application[[#This Row],[TODAY]]-qry_ProdData2_PDI_Cash_Exception_Application[[#This Row],[CHANGED ON]]</f>
        <v>5.7429282407392748</v>
      </c>
    </row>
    <row r="3016" spans="1:14" x14ac:dyDescent="0.35">
      <c r="A3016">
        <v>1005</v>
      </c>
      <c r="B3016" t="s">
        <v>59</v>
      </c>
      <c r="C3016" s="1">
        <v>45179.257071759261</v>
      </c>
      <c r="D3016" t="str">
        <f ca="1">VLOOKUP(qry_ProdData2_PDI_Cash_Exception_Application[[#This Row],[TYPE]],#REF!,2,FALSE)</f>
        <v>type40</v>
      </c>
      <c r="E3016">
        <v>-575.67999999999995</v>
      </c>
      <c r="F3016" t="s">
        <v>50</v>
      </c>
      <c r="G3016" s="1">
        <f>qry_ProdData2_PDI_Cash_Exception_Application[[#This Row],[INSERT DATE]]+1</f>
        <v>45180.257071759261</v>
      </c>
      <c r="H3016" t="str">
        <f>VLOOKUP(qry_ProdData2_PDI_Cash_Exception_Application[[#This Row],[MARKET No]],'Site Allocation'!$B$2:$C$37,2,FALSE)</f>
        <v>Analyst1</v>
      </c>
      <c r="I3016" s="4">
        <f t="shared" ca="1" si="47"/>
        <v>45203</v>
      </c>
      <c r="J3016" s="42">
        <f ca="1">TODAY()-qry_ProdData2_PDI_Cash_Exception_Application[[#This Row],[INSERT DATE]]</f>
        <v>23.742928240739275</v>
      </c>
      <c r="K30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16">
        <f ca="1">qry_ProdData2_PDI_Cash_Exception_Application[[#This Row],[TODAY]]-qry_ProdData2_PDI_Cash_Exception_Application[[#This Row],[CHANGED ON]]</f>
        <v>22.742928240739275</v>
      </c>
      <c r="M3016">
        <f ca="1">qry_ProdData2_PDI_Cash_Exception_Application[[#This Row],[TODAY]]-qry_ProdData2_PDI_Cash_Exception_Application[[#This Row],[CHANGED ON]]</f>
        <v>22.742928240739275</v>
      </c>
      <c r="N3016">
        <f ca="1">qry_ProdData2_PDI_Cash_Exception_Application[[#This Row],[TODAY]]-qry_ProdData2_PDI_Cash_Exception_Application[[#This Row],[CHANGED ON]]</f>
        <v>22.742928240739275</v>
      </c>
    </row>
    <row r="3017" spans="1:14" x14ac:dyDescent="0.35">
      <c r="A3017">
        <v>1011</v>
      </c>
      <c r="B3017" t="s">
        <v>65</v>
      </c>
      <c r="C3017" s="1">
        <v>45180.257071759261</v>
      </c>
      <c r="D3017" t="str">
        <f ca="1">VLOOKUP(qry_ProdData2_PDI_Cash_Exception_Application[[#This Row],[TYPE]],#REF!,2,FALSE)</f>
        <v>type26</v>
      </c>
      <c r="E3017">
        <v>147.76</v>
      </c>
      <c r="F3017" t="s">
        <v>52</v>
      </c>
      <c r="G3017" s="1">
        <f>qry_ProdData2_PDI_Cash_Exception_Application[[#This Row],[INSERT DATE]]+2</f>
        <v>45182.257071759261</v>
      </c>
      <c r="H3017" t="str">
        <f>VLOOKUP(qry_ProdData2_PDI_Cash_Exception_Application[[#This Row],[MARKET No]],'Site Allocation'!$B$2:$C$37,2,FALSE)</f>
        <v>Analyst2</v>
      </c>
      <c r="I3017" s="4">
        <f t="shared" ca="1" si="47"/>
        <v>45203</v>
      </c>
      <c r="J3017" s="42">
        <f ca="1">TODAY()-qry_ProdData2_PDI_Cash_Exception_Application[[#This Row],[INSERT DATE]]</f>
        <v>22.742928240739275</v>
      </c>
      <c r="K30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17">
        <f ca="1">qry_ProdData2_PDI_Cash_Exception_Application[[#This Row],[TODAY]]-qry_ProdData2_PDI_Cash_Exception_Application[[#This Row],[CHANGED ON]]</f>
        <v>20.742928240739275</v>
      </c>
      <c r="M3017">
        <f ca="1">qry_ProdData2_PDI_Cash_Exception_Application[[#This Row],[TODAY]]-qry_ProdData2_PDI_Cash_Exception_Application[[#This Row],[CHANGED ON]]</f>
        <v>20.742928240739275</v>
      </c>
      <c r="N3017">
        <f ca="1">qry_ProdData2_PDI_Cash_Exception_Application[[#This Row],[TODAY]]-qry_ProdData2_PDI_Cash_Exception_Application[[#This Row],[CHANGED ON]]</f>
        <v>20.742928240739275</v>
      </c>
    </row>
    <row r="3018" spans="1:14" x14ac:dyDescent="0.35">
      <c r="A3018">
        <v>1030</v>
      </c>
      <c r="B3018" t="s">
        <v>84</v>
      </c>
      <c r="C3018" s="1">
        <v>45181.257071759261</v>
      </c>
      <c r="D3018" t="str">
        <f ca="1">VLOOKUP(qry_ProdData2_PDI_Cash_Exception_Application[[#This Row],[TYPE]],#REF!,2,FALSE)</f>
        <v>type26</v>
      </c>
      <c r="E3018">
        <v>103.84</v>
      </c>
      <c r="F3018" t="s">
        <v>50</v>
      </c>
      <c r="G3018" s="1">
        <f>qry_ProdData2_PDI_Cash_Exception_Application[[#This Row],[INSERT DATE]]+2</f>
        <v>45183.257071759261</v>
      </c>
      <c r="H3018" t="str">
        <f>VLOOKUP(qry_ProdData2_PDI_Cash_Exception_Application[[#This Row],[MARKET No]],'Site Allocation'!$B$2:$C$37,2,FALSE)</f>
        <v>Analyst6</v>
      </c>
      <c r="I3018" s="4">
        <f t="shared" ca="1" si="47"/>
        <v>45203</v>
      </c>
      <c r="J3018" s="42">
        <f ca="1">TODAY()-qry_ProdData2_PDI_Cash_Exception_Application[[#This Row],[INSERT DATE]]</f>
        <v>21.742928240739275</v>
      </c>
      <c r="K30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18">
        <f ca="1">qry_ProdData2_PDI_Cash_Exception_Application[[#This Row],[TODAY]]-qry_ProdData2_PDI_Cash_Exception_Application[[#This Row],[CHANGED ON]]</f>
        <v>19.742928240739275</v>
      </c>
      <c r="M3018">
        <f ca="1">qry_ProdData2_PDI_Cash_Exception_Application[[#This Row],[TODAY]]-qry_ProdData2_PDI_Cash_Exception_Application[[#This Row],[CHANGED ON]]</f>
        <v>19.742928240739275</v>
      </c>
      <c r="N3018">
        <f ca="1">qry_ProdData2_PDI_Cash_Exception_Application[[#This Row],[TODAY]]-qry_ProdData2_PDI_Cash_Exception_Application[[#This Row],[CHANGED ON]]</f>
        <v>19.742928240739275</v>
      </c>
    </row>
    <row r="3019" spans="1:14" x14ac:dyDescent="0.35">
      <c r="A3019">
        <v>1024</v>
      </c>
      <c r="B3019" t="s">
        <v>78</v>
      </c>
      <c r="C3019" s="1">
        <v>45187.257071759261</v>
      </c>
      <c r="D3019" t="str">
        <f ca="1">VLOOKUP(qry_ProdData2_PDI_Cash_Exception_Application[[#This Row],[TYPE]],#REF!,2,FALSE)</f>
        <v>type17</v>
      </c>
      <c r="E3019">
        <v>371.17</v>
      </c>
      <c r="F3019" t="s">
        <v>48</v>
      </c>
      <c r="G3019" s="1">
        <f>qry_ProdData2_PDI_Cash_Exception_Application[[#This Row],[INSERT DATE]]+5</f>
        <v>45192.257071759261</v>
      </c>
      <c r="H3019" t="str">
        <f>VLOOKUP(qry_ProdData2_PDI_Cash_Exception_Application[[#This Row],[MARKET No]],'Site Allocation'!$B$2:$C$37,2,FALSE)</f>
        <v>Analyst5</v>
      </c>
      <c r="I3019" s="4">
        <f t="shared" ca="1" si="47"/>
        <v>45203</v>
      </c>
      <c r="J3019" s="42">
        <f ca="1">TODAY()-qry_ProdData2_PDI_Cash_Exception_Application[[#This Row],[INSERT DATE]]</f>
        <v>15.742928240739275</v>
      </c>
      <c r="K30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19">
        <f ca="1">qry_ProdData2_PDI_Cash_Exception_Application[[#This Row],[TODAY]]-qry_ProdData2_PDI_Cash_Exception_Application[[#This Row],[CHANGED ON]]</f>
        <v>10.742928240739275</v>
      </c>
      <c r="M3019">
        <f ca="1">qry_ProdData2_PDI_Cash_Exception_Application[[#This Row],[TODAY]]-qry_ProdData2_PDI_Cash_Exception_Application[[#This Row],[CHANGED ON]]</f>
        <v>10.742928240739275</v>
      </c>
      <c r="N3019">
        <f ca="1">qry_ProdData2_PDI_Cash_Exception_Application[[#This Row],[TODAY]]-qry_ProdData2_PDI_Cash_Exception_Application[[#This Row],[CHANGED ON]]</f>
        <v>10.742928240739275</v>
      </c>
    </row>
    <row r="3020" spans="1:14" x14ac:dyDescent="0.35">
      <c r="A3020">
        <v>1022</v>
      </c>
      <c r="B3020" t="s">
        <v>76</v>
      </c>
      <c r="C3020" s="1">
        <v>45197.257071759261</v>
      </c>
      <c r="D3020" t="str">
        <f ca="1">VLOOKUP(qry_ProdData2_PDI_Cash_Exception_Application[[#This Row],[TYPE]],#REF!,2,FALSE)</f>
        <v>type13</v>
      </c>
      <c r="E3020">
        <v>21975.17</v>
      </c>
      <c r="F3020" t="s">
        <v>47</v>
      </c>
      <c r="G3020" s="1">
        <f>qry_ProdData2_PDI_Cash_Exception_Application[[#This Row],[INSERT DATE]]+7</f>
        <v>45204.257071759261</v>
      </c>
      <c r="H3020" t="str">
        <f>VLOOKUP(qry_ProdData2_PDI_Cash_Exception_Application[[#This Row],[MARKET No]],'Site Allocation'!$B$2:$C$37,2,FALSE)</f>
        <v>Analyst4</v>
      </c>
      <c r="I3020" s="4">
        <f t="shared" ca="1" si="47"/>
        <v>45203</v>
      </c>
      <c r="J3020" s="42">
        <f ca="1">TODAY()-qry_ProdData2_PDI_Cash_Exception_Application[[#This Row],[INSERT DATE]]</f>
        <v>5.7429282407392748</v>
      </c>
      <c r="K30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20">
        <f ca="1">qry_ProdData2_PDI_Cash_Exception_Application[[#This Row],[TODAY]]-qry_ProdData2_PDI_Cash_Exception_Application[[#This Row],[CHANGED ON]]</f>
        <v>-1.2570717592607252</v>
      </c>
      <c r="M3020">
        <f ca="1">qry_ProdData2_PDI_Cash_Exception_Application[[#This Row],[TODAY]]-qry_ProdData2_PDI_Cash_Exception_Application[[#This Row],[CHANGED ON]]</f>
        <v>-1.2570717592607252</v>
      </c>
      <c r="N3020">
        <f ca="1">qry_ProdData2_PDI_Cash_Exception_Application[[#This Row],[TODAY]]-qry_ProdData2_PDI_Cash_Exception_Application[[#This Row],[CHANGED ON]]</f>
        <v>-1.2570717592607252</v>
      </c>
    </row>
    <row r="3021" spans="1:14" x14ac:dyDescent="0.35">
      <c r="A3021">
        <v>1015</v>
      </c>
      <c r="B3021" t="s">
        <v>69</v>
      </c>
      <c r="C3021" s="1">
        <v>45196.257071759261</v>
      </c>
      <c r="D3021" t="str">
        <f ca="1">VLOOKUP(qry_ProdData2_PDI_Cash_Exception_Application[[#This Row],[TYPE]],#REF!,2,FALSE)</f>
        <v>type40</v>
      </c>
      <c r="E3021">
        <v>586.47</v>
      </c>
      <c r="F3021" t="s">
        <v>47</v>
      </c>
      <c r="G3021" s="1">
        <f>qry_ProdData2_PDI_Cash_Exception_Application[[#This Row],[INSERT DATE]]+1</f>
        <v>45197.257071759261</v>
      </c>
      <c r="H3021" t="str">
        <f>VLOOKUP(qry_ProdData2_PDI_Cash_Exception_Application[[#This Row],[MARKET No]],'Site Allocation'!$B$2:$C$37,2,FALSE)</f>
        <v>Analyst3</v>
      </c>
      <c r="I3021" s="4">
        <f t="shared" ca="1" si="47"/>
        <v>45203</v>
      </c>
      <c r="J3021" s="42">
        <f ca="1">TODAY()-qry_ProdData2_PDI_Cash_Exception_Application[[#This Row],[INSERT DATE]]</f>
        <v>6.7429282407392748</v>
      </c>
      <c r="K30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21">
        <f ca="1">qry_ProdData2_PDI_Cash_Exception_Application[[#This Row],[TODAY]]-qry_ProdData2_PDI_Cash_Exception_Application[[#This Row],[CHANGED ON]]</f>
        <v>5.7429282407392748</v>
      </c>
      <c r="M3021">
        <f ca="1">qry_ProdData2_PDI_Cash_Exception_Application[[#This Row],[TODAY]]-qry_ProdData2_PDI_Cash_Exception_Application[[#This Row],[CHANGED ON]]</f>
        <v>5.7429282407392748</v>
      </c>
      <c r="N3021">
        <f ca="1">qry_ProdData2_PDI_Cash_Exception_Application[[#This Row],[TODAY]]-qry_ProdData2_PDI_Cash_Exception_Application[[#This Row],[CHANGED ON]]</f>
        <v>5.7429282407392748</v>
      </c>
    </row>
    <row r="3022" spans="1:14" x14ac:dyDescent="0.35">
      <c r="A3022">
        <v>1014</v>
      </c>
      <c r="B3022" t="s">
        <v>68</v>
      </c>
      <c r="C3022" s="1">
        <v>45183.257071759261</v>
      </c>
      <c r="D3022" t="str">
        <f ca="1">VLOOKUP(qry_ProdData2_PDI_Cash_Exception_Application[[#This Row],[TYPE]],#REF!,2,FALSE)</f>
        <v>type40</v>
      </c>
      <c r="E3022">
        <v>710.1</v>
      </c>
      <c r="F3022" t="s">
        <v>50</v>
      </c>
      <c r="G3022" s="1">
        <f>qry_ProdData2_PDI_Cash_Exception_Application[[#This Row],[INSERT DATE]]+2</f>
        <v>45185.257071759261</v>
      </c>
      <c r="H3022" t="str">
        <f>VLOOKUP(qry_ProdData2_PDI_Cash_Exception_Application[[#This Row],[MARKET No]],'Site Allocation'!$B$2:$C$37,2,FALSE)</f>
        <v>Analyst3</v>
      </c>
      <c r="I3022" s="4">
        <f t="shared" ca="1" si="47"/>
        <v>45203</v>
      </c>
      <c r="J3022" s="42">
        <f ca="1">TODAY()-qry_ProdData2_PDI_Cash_Exception_Application[[#This Row],[INSERT DATE]]</f>
        <v>19.742928240739275</v>
      </c>
      <c r="K30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22">
        <f ca="1">qry_ProdData2_PDI_Cash_Exception_Application[[#This Row],[TODAY]]-qry_ProdData2_PDI_Cash_Exception_Application[[#This Row],[CHANGED ON]]</f>
        <v>17.742928240739275</v>
      </c>
      <c r="M3022">
        <f ca="1">qry_ProdData2_PDI_Cash_Exception_Application[[#This Row],[TODAY]]-qry_ProdData2_PDI_Cash_Exception_Application[[#This Row],[CHANGED ON]]</f>
        <v>17.742928240739275</v>
      </c>
      <c r="N3022">
        <f ca="1">qry_ProdData2_PDI_Cash_Exception_Application[[#This Row],[TODAY]]-qry_ProdData2_PDI_Cash_Exception_Application[[#This Row],[CHANGED ON]]</f>
        <v>17.742928240739275</v>
      </c>
    </row>
    <row r="3023" spans="1:14" x14ac:dyDescent="0.35">
      <c r="A3023">
        <v>1030</v>
      </c>
      <c r="B3023" t="s">
        <v>84</v>
      </c>
      <c r="C3023" s="1">
        <v>45187.257071759261</v>
      </c>
      <c r="D3023" t="str">
        <f ca="1">VLOOKUP(qry_ProdData2_PDI_Cash_Exception_Application[[#This Row],[TYPE]],#REF!,2,FALSE)</f>
        <v>type40</v>
      </c>
      <c r="E3023">
        <v>-773.14</v>
      </c>
      <c r="F3023" t="s">
        <v>48</v>
      </c>
      <c r="G3023" s="1">
        <f>qry_ProdData2_PDI_Cash_Exception_Application[[#This Row],[INSERT DATE]]+7</f>
        <v>45194.257071759261</v>
      </c>
      <c r="H3023" t="str">
        <f>VLOOKUP(qry_ProdData2_PDI_Cash_Exception_Application[[#This Row],[MARKET No]],'Site Allocation'!$B$2:$C$37,2,FALSE)</f>
        <v>Analyst6</v>
      </c>
      <c r="I3023" s="4">
        <f t="shared" ca="1" si="47"/>
        <v>45203</v>
      </c>
      <c r="J3023" s="42">
        <f ca="1">TODAY()-qry_ProdData2_PDI_Cash_Exception_Application[[#This Row],[INSERT DATE]]</f>
        <v>15.742928240739275</v>
      </c>
      <c r="K30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23">
        <f ca="1">qry_ProdData2_PDI_Cash_Exception_Application[[#This Row],[TODAY]]-qry_ProdData2_PDI_Cash_Exception_Application[[#This Row],[CHANGED ON]]</f>
        <v>8.7429282407392748</v>
      </c>
      <c r="M3023">
        <f ca="1">qry_ProdData2_PDI_Cash_Exception_Application[[#This Row],[TODAY]]-qry_ProdData2_PDI_Cash_Exception_Application[[#This Row],[CHANGED ON]]</f>
        <v>8.7429282407392748</v>
      </c>
      <c r="N3023">
        <f ca="1">qry_ProdData2_PDI_Cash_Exception_Application[[#This Row],[TODAY]]-qry_ProdData2_PDI_Cash_Exception_Application[[#This Row],[CHANGED ON]]</f>
        <v>8.7429282407392748</v>
      </c>
    </row>
    <row r="3024" spans="1:14" x14ac:dyDescent="0.35">
      <c r="A3024">
        <v>1027</v>
      </c>
      <c r="B3024" t="s">
        <v>81</v>
      </c>
      <c r="C3024" s="1">
        <v>45184.257071759261</v>
      </c>
      <c r="D3024" t="str">
        <f ca="1">VLOOKUP(qry_ProdData2_PDI_Cash_Exception_Application[[#This Row],[TYPE]],#REF!,2,FALSE)</f>
        <v>type40</v>
      </c>
      <c r="E3024">
        <v>-1143.19</v>
      </c>
      <c r="F3024" t="s">
        <v>52</v>
      </c>
      <c r="G3024" s="1">
        <f>qry_ProdData2_PDI_Cash_Exception_Application[[#This Row],[INSERT DATE]]+2</f>
        <v>45186.257071759261</v>
      </c>
      <c r="H3024" t="str">
        <f>VLOOKUP(qry_ProdData2_PDI_Cash_Exception_Application[[#This Row],[MARKET No]],'Site Allocation'!$B$2:$C$37,2,FALSE)</f>
        <v>Analyst5</v>
      </c>
      <c r="I3024" s="4">
        <f t="shared" ca="1" si="47"/>
        <v>45203</v>
      </c>
      <c r="J3024" s="42">
        <f ca="1">TODAY()-qry_ProdData2_PDI_Cash_Exception_Application[[#This Row],[INSERT DATE]]</f>
        <v>18.742928240739275</v>
      </c>
      <c r="K30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24">
        <f ca="1">qry_ProdData2_PDI_Cash_Exception_Application[[#This Row],[TODAY]]-qry_ProdData2_PDI_Cash_Exception_Application[[#This Row],[CHANGED ON]]</f>
        <v>16.742928240739275</v>
      </c>
      <c r="M3024">
        <f ca="1">qry_ProdData2_PDI_Cash_Exception_Application[[#This Row],[TODAY]]-qry_ProdData2_PDI_Cash_Exception_Application[[#This Row],[CHANGED ON]]</f>
        <v>16.742928240739275</v>
      </c>
      <c r="N3024">
        <f ca="1">qry_ProdData2_PDI_Cash_Exception_Application[[#This Row],[TODAY]]-qry_ProdData2_PDI_Cash_Exception_Application[[#This Row],[CHANGED ON]]</f>
        <v>16.742928240739275</v>
      </c>
    </row>
    <row r="3025" spans="1:14" x14ac:dyDescent="0.35">
      <c r="A3025">
        <v>1014</v>
      </c>
      <c r="B3025" t="s">
        <v>68</v>
      </c>
      <c r="C3025" s="1">
        <v>45189.257071759261</v>
      </c>
      <c r="D3025" t="str">
        <f ca="1">VLOOKUP(qry_ProdData2_PDI_Cash_Exception_Application[[#This Row],[TYPE]],#REF!,2,FALSE)</f>
        <v>type13</v>
      </c>
      <c r="E3025">
        <v>23222.53</v>
      </c>
      <c r="F3025" t="s">
        <v>48</v>
      </c>
      <c r="G3025" s="1">
        <f>qry_ProdData2_PDI_Cash_Exception_Application[[#This Row],[INSERT DATE]]+7</f>
        <v>45196.257071759261</v>
      </c>
      <c r="H3025" t="str">
        <f>VLOOKUP(qry_ProdData2_PDI_Cash_Exception_Application[[#This Row],[MARKET No]],'Site Allocation'!$B$2:$C$37,2,FALSE)</f>
        <v>Analyst3</v>
      </c>
      <c r="I3025" s="4">
        <f t="shared" ca="1" si="47"/>
        <v>45203</v>
      </c>
      <c r="J3025" s="42">
        <f ca="1">TODAY()-qry_ProdData2_PDI_Cash_Exception_Application[[#This Row],[INSERT DATE]]</f>
        <v>13.742928240739275</v>
      </c>
      <c r="K30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25">
        <f ca="1">qry_ProdData2_PDI_Cash_Exception_Application[[#This Row],[TODAY]]-qry_ProdData2_PDI_Cash_Exception_Application[[#This Row],[CHANGED ON]]</f>
        <v>6.7429282407392748</v>
      </c>
      <c r="M3025">
        <f ca="1">qry_ProdData2_PDI_Cash_Exception_Application[[#This Row],[TODAY]]-qry_ProdData2_PDI_Cash_Exception_Application[[#This Row],[CHANGED ON]]</f>
        <v>6.7429282407392748</v>
      </c>
      <c r="N3025">
        <f ca="1">qry_ProdData2_PDI_Cash_Exception_Application[[#This Row],[TODAY]]-qry_ProdData2_PDI_Cash_Exception_Application[[#This Row],[CHANGED ON]]</f>
        <v>6.7429282407392748</v>
      </c>
    </row>
    <row r="3026" spans="1:14" x14ac:dyDescent="0.35">
      <c r="A3026">
        <v>1023</v>
      </c>
      <c r="B3026" t="s">
        <v>77</v>
      </c>
      <c r="C3026" s="1">
        <v>45185.257071759261</v>
      </c>
      <c r="D3026" t="str">
        <f ca="1">VLOOKUP(qry_ProdData2_PDI_Cash_Exception_Application[[#This Row],[TYPE]],#REF!,2,FALSE)</f>
        <v>type40</v>
      </c>
      <c r="E3026">
        <v>-482.74</v>
      </c>
      <c r="F3026" t="s">
        <v>50</v>
      </c>
      <c r="G3026" s="1">
        <f>qry_ProdData2_PDI_Cash_Exception_Application[[#This Row],[INSERT DATE]]+2</f>
        <v>45187.257071759261</v>
      </c>
      <c r="H3026" t="str">
        <f>VLOOKUP(qry_ProdData2_PDI_Cash_Exception_Application[[#This Row],[MARKET No]],'Site Allocation'!$B$2:$C$37,2,FALSE)</f>
        <v>Analyst4</v>
      </c>
      <c r="I3026" s="4">
        <f t="shared" ca="1" si="47"/>
        <v>45203</v>
      </c>
      <c r="J3026" s="42">
        <f ca="1">TODAY()-qry_ProdData2_PDI_Cash_Exception_Application[[#This Row],[INSERT DATE]]</f>
        <v>17.742928240739275</v>
      </c>
      <c r="K30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26">
        <f ca="1">qry_ProdData2_PDI_Cash_Exception_Application[[#This Row],[TODAY]]-qry_ProdData2_PDI_Cash_Exception_Application[[#This Row],[CHANGED ON]]</f>
        <v>15.742928240739275</v>
      </c>
      <c r="M3026">
        <f ca="1">qry_ProdData2_PDI_Cash_Exception_Application[[#This Row],[TODAY]]-qry_ProdData2_PDI_Cash_Exception_Application[[#This Row],[CHANGED ON]]</f>
        <v>15.742928240739275</v>
      </c>
      <c r="N3026">
        <f ca="1">qry_ProdData2_PDI_Cash_Exception_Application[[#This Row],[TODAY]]-qry_ProdData2_PDI_Cash_Exception_Application[[#This Row],[CHANGED ON]]</f>
        <v>15.742928240739275</v>
      </c>
    </row>
    <row r="3027" spans="1:14" x14ac:dyDescent="0.35">
      <c r="A3027">
        <v>1008</v>
      </c>
      <c r="B3027" t="s">
        <v>62</v>
      </c>
      <c r="C3027" s="1">
        <v>45186.257071759261</v>
      </c>
      <c r="D3027" t="str">
        <f ca="1">VLOOKUP(qry_ProdData2_PDI_Cash_Exception_Application[[#This Row],[TYPE]],#REF!,2,FALSE)</f>
        <v>type40</v>
      </c>
      <c r="E3027">
        <v>672</v>
      </c>
      <c r="F3027" t="s">
        <v>52</v>
      </c>
      <c r="G3027" s="1">
        <f>qry_ProdData2_PDI_Cash_Exception_Application[[#This Row],[INSERT DATE]]+2</f>
        <v>45188.257071759261</v>
      </c>
      <c r="H3027" t="str">
        <f>VLOOKUP(qry_ProdData2_PDI_Cash_Exception_Application[[#This Row],[MARKET No]],'Site Allocation'!$B$2:$C$37,2,FALSE)</f>
        <v>Analyst2</v>
      </c>
      <c r="I3027" s="4">
        <f t="shared" ca="1" si="47"/>
        <v>45203</v>
      </c>
      <c r="J3027" s="42">
        <f ca="1">TODAY()-qry_ProdData2_PDI_Cash_Exception_Application[[#This Row],[INSERT DATE]]</f>
        <v>16.742928240739275</v>
      </c>
      <c r="K30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27">
        <f ca="1">qry_ProdData2_PDI_Cash_Exception_Application[[#This Row],[TODAY]]-qry_ProdData2_PDI_Cash_Exception_Application[[#This Row],[CHANGED ON]]</f>
        <v>14.742928240739275</v>
      </c>
      <c r="M3027">
        <f ca="1">qry_ProdData2_PDI_Cash_Exception_Application[[#This Row],[TODAY]]-qry_ProdData2_PDI_Cash_Exception_Application[[#This Row],[CHANGED ON]]</f>
        <v>14.742928240739275</v>
      </c>
      <c r="N3027">
        <f ca="1">qry_ProdData2_PDI_Cash_Exception_Application[[#This Row],[TODAY]]-qry_ProdData2_PDI_Cash_Exception_Application[[#This Row],[CHANGED ON]]</f>
        <v>14.742928240739275</v>
      </c>
    </row>
    <row r="3028" spans="1:14" x14ac:dyDescent="0.35">
      <c r="A3028">
        <v>1032</v>
      </c>
      <c r="B3028" t="s">
        <v>86</v>
      </c>
      <c r="C3028" s="1">
        <v>45187.257071759261</v>
      </c>
      <c r="D3028" t="str">
        <f ca="1">VLOOKUP(qry_ProdData2_PDI_Cash_Exception_Application[[#This Row],[TYPE]],#REF!,2,FALSE)</f>
        <v>type22</v>
      </c>
      <c r="E3028">
        <v>455.27</v>
      </c>
      <c r="F3028" t="s">
        <v>52</v>
      </c>
      <c r="G3028" s="1">
        <f>qry_ProdData2_PDI_Cash_Exception_Application[[#This Row],[INSERT DATE]]+2</f>
        <v>45189.257071759261</v>
      </c>
      <c r="H3028" t="str">
        <f>VLOOKUP(qry_ProdData2_PDI_Cash_Exception_Application[[#This Row],[MARKET No]],'Site Allocation'!$B$2:$C$37,2,FALSE)</f>
        <v>Analyst6</v>
      </c>
      <c r="I3028" s="4">
        <f t="shared" ca="1" si="47"/>
        <v>45203</v>
      </c>
      <c r="J3028" s="42">
        <f ca="1">TODAY()-qry_ProdData2_PDI_Cash_Exception_Application[[#This Row],[INSERT DATE]]</f>
        <v>15.742928240739275</v>
      </c>
      <c r="K30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28">
        <f ca="1">qry_ProdData2_PDI_Cash_Exception_Application[[#This Row],[TODAY]]-qry_ProdData2_PDI_Cash_Exception_Application[[#This Row],[CHANGED ON]]</f>
        <v>13.742928240739275</v>
      </c>
      <c r="M3028">
        <f ca="1">qry_ProdData2_PDI_Cash_Exception_Application[[#This Row],[TODAY]]-qry_ProdData2_PDI_Cash_Exception_Application[[#This Row],[CHANGED ON]]</f>
        <v>13.742928240739275</v>
      </c>
      <c r="N3028">
        <f ca="1">qry_ProdData2_PDI_Cash_Exception_Application[[#This Row],[TODAY]]-qry_ProdData2_PDI_Cash_Exception_Application[[#This Row],[CHANGED ON]]</f>
        <v>13.742928240739275</v>
      </c>
    </row>
    <row r="3029" spans="1:14" x14ac:dyDescent="0.35">
      <c r="A3029">
        <v>1024</v>
      </c>
      <c r="B3029" t="s">
        <v>78</v>
      </c>
      <c r="C3029" s="1">
        <v>45181.257071759261</v>
      </c>
      <c r="D3029" t="str">
        <f ca="1">VLOOKUP(qry_ProdData2_PDI_Cash_Exception_Application[[#This Row],[TYPE]],#REF!,2,FALSE)</f>
        <v>type13</v>
      </c>
      <c r="E3029">
        <v>28108</v>
      </c>
      <c r="F3029" t="s">
        <v>48</v>
      </c>
      <c r="G3029" s="1">
        <f>qry_ProdData2_PDI_Cash_Exception_Application[[#This Row],[INSERT DATE]]+7</f>
        <v>45188.257071759261</v>
      </c>
      <c r="H3029" t="str">
        <f>VLOOKUP(qry_ProdData2_PDI_Cash_Exception_Application[[#This Row],[MARKET No]],'Site Allocation'!$B$2:$C$37,2,FALSE)</f>
        <v>Analyst5</v>
      </c>
      <c r="I3029" s="4">
        <f t="shared" ca="1" si="47"/>
        <v>45203</v>
      </c>
      <c r="J3029" s="42">
        <f ca="1">TODAY()-qry_ProdData2_PDI_Cash_Exception_Application[[#This Row],[INSERT DATE]]</f>
        <v>21.742928240739275</v>
      </c>
      <c r="K30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29">
        <f ca="1">qry_ProdData2_PDI_Cash_Exception_Application[[#This Row],[TODAY]]-qry_ProdData2_PDI_Cash_Exception_Application[[#This Row],[CHANGED ON]]</f>
        <v>14.742928240739275</v>
      </c>
      <c r="M3029">
        <f ca="1">qry_ProdData2_PDI_Cash_Exception_Application[[#This Row],[TODAY]]-qry_ProdData2_PDI_Cash_Exception_Application[[#This Row],[CHANGED ON]]</f>
        <v>14.742928240739275</v>
      </c>
      <c r="N3029">
        <f ca="1">qry_ProdData2_PDI_Cash_Exception_Application[[#This Row],[TODAY]]-qry_ProdData2_PDI_Cash_Exception_Application[[#This Row],[CHANGED ON]]</f>
        <v>14.742928240739275</v>
      </c>
    </row>
    <row r="3030" spans="1:14" x14ac:dyDescent="0.35">
      <c r="A3030">
        <v>1029</v>
      </c>
      <c r="B3030" t="s">
        <v>83</v>
      </c>
      <c r="C3030" s="1">
        <v>45188.257071759261</v>
      </c>
      <c r="D3030" t="str">
        <f ca="1">VLOOKUP(qry_ProdData2_PDI_Cash_Exception_Application[[#This Row],[TYPE]],#REF!,2,FALSE)</f>
        <v>type40</v>
      </c>
      <c r="E3030">
        <v>-541.65</v>
      </c>
      <c r="F3030" t="s">
        <v>52</v>
      </c>
      <c r="G3030" s="1">
        <f>qry_ProdData2_PDI_Cash_Exception_Application[[#This Row],[INSERT DATE]]+2</f>
        <v>45190.257071759261</v>
      </c>
      <c r="H3030" t="str">
        <f>VLOOKUP(qry_ProdData2_PDI_Cash_Exception_Application[[#This Row],[MARKET No]],'Site Allocation'!$B$2:$C$37,2,FALSE)</f>
        <v>Analyst5</v>
      </c>
      <c r="I3030" s="4">
        <f t="shared" ca="1" si="47"/>
        <v>45203</v>
      </c>
      <c r="J3030" s="42">
        <f ca="1">TODAY()-qry_ProdData2_PDI_Cash_Exception_Application[[#This Row],[INSERT DATE]]</f>
        <v>14.742928240739275</v>
      </c>
      <c r="K30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30">
        <f ca="1">qry_ProdData2_PDI_Cash_Exception_Application[[#This Row],[TODAY]]-qry_ProdData2_PDI_Cash_Exception_Application[[#This Row],[CHANGED ON]]</f>
        <v>12.742928240739275</v>
      </c>
      <c r="M3030">
        <f ca="1">qry_ProdData2_PDI_Cash_Exception_Application[[#This Row],[TODAY]]-qry_ProdData2_PDI_Cash_Exception_Application[[#This Row],[CHANGED ON]]</f>
        <v>12.742928240739275</v>
      </c>
      <c r="N3030">
        <f ca="1">qry_ProdData2_PDI_Cash_Exception_Application[[#This Row],[TODAY]]-qry_ProdData2_PDI_Cash_Exception_Application[[#This Row],[CHANGED ON]]</f>
        <v>12.742928240739275</v>
      </c>
    </row>
    <row r="3031" spans="1:14" x14ac:dyDescent="0.35">
      <c r="A3031">
        <v>1014</v>
      </c>
      <c r="B3031" t="s">
        <v>68</v>
      </c>
      <c r="C3031" s="1">
        <v>45190.257071759261</v>
      </c>
      <c r="D3031" t="str">
        <f ca="1">VLOOKUP(qry_ProdData2_PDI_Cash_Exception_Application[[#This Row],[TYPE]],#REF!,2,FALSE)</f>
        <v>type40</v>
      </c>
      <c r="E3031">
        <v>386.22</v>
      </c>
      <c r="F3031" t="s">
        <v>48</v>
      </c>
      <c r="G3031" s="1">
        <f>qry_ProdData2_PDI_Cash_Exception_Application[[#This Row],[INSERT DATE]]+7</f>
        <v>45197.257071759261</v>
      </c>
      <c r="H3031" t="str">
        <f>VLOOKUP(qry_ProdData2_PDI_Cash_Exception_Application[[#This Row],[MARKET No]],'Site Allocation'!$B$2:$C$37,2,FALSE)</f>
        <v>Analyst3</v>
      </c>
      <c r="I3031" s="4">
        <f t="shared" ca="1" si="47"/>
        <v>45203</v>
      </c>
      <c r="J3031" s="42">
        <f ca="1">TODAY()-qry_ProdData2_PDI_Cash_Exception_Application[[#This Row],[INSERT DATE]]</f>
        <v>12.742928240739275</v>
      </c>
      <c r="K30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31">
        <f ca="1">qry_ProdData2_PDI_Cash_Exception_Application[[#This Row],[TODAY]]-qry_ProdData2_PDI_Cash_Exception_Application[[#This Row],[CHANGED ON]]</f>
        <v>5.7429282407392748</v>
      </c>
      <c r="M3031">
        <f ca="1">qry_ProdData2_PDI_Cash_Exception_Application[[#This Row],[TODAY]]-qry_ProdData2_PDI_Cash_Exception_Application[[#This Row],[CHANGED ON]]</f>
        <v>5.7429282407392748</v>
      </c>
      <c r="N3031">
        <f ca="1">qry_ProdData2_PDI_Cash_Exception_Application[[#This Row],[TODAY]]-qry_ProdData2_PDI_Cash_Exception_Application[[#This Row],[CHANGED ON]]</f>
        <v>5.7429282407392748</v>
      </c>
    </row>
    <row r="3032" spans="1:14" x14ac:dyDescent="0.35">
      <c r="A3032">
        <v>1020</v>
      </c>
      <c r="B3032" t="s">
        <v>74</v>
      </c>
      <c r="C3032" s="1">
        <v>45189.257071759261</v>
      </c>
      <c r="D3032" t="str">
        <f ca="1">VLOOKUP(qry_ProdData2_PDI_Cash_Exception_Application[[#This Row],[TYPE]],#REF!,2,FALSE)</f>
        <v>type40</v>
      </c>
      <c r="E3032">
        <v>523.78</v>
      </c>
      <c r="F3032" t="s">
        <v>50</v>
      </c>
      <c r="G3032" s="1">
        <f>qry_ProdData2_PDI_Cash_Exception_Application[[#This Row],[INSERT DATE]]+2</f>
        <v>45191.257071759261</v>
      </c>
      <c r="H3032" t="str">
        <f>VLOOKUP(qry_ProdData2_PDI_Cash_Exception_Application[[#This Row],[MARKET No]],'Site Allocation'!$B$2:$C$37,2,FALSE)</f>
        <v>Analyst4</v>
      </c>
      <c r="I3032" s="4">
        <f t="shared" ca="1" si="47"/>
        <v>45203</v>
      </c>
      <c r="J3032" s="42">
        <f ca="1">TODAY()-qry_ProdData2_PDI_Cash_Exception_Application[[#This Row],[INSERT DATE]]</f>
        <v>13.742928240739275</v>
      </c>
      <c r="K30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32">
        <f ca="1">qry_ProdData2_PDI_Cash_Exception_Application[[#This Row],[TODAY]]-qry_ProdData2_PDI_Cash_Exception_Application[[#This Row],[CHANGED ON]]</f>
        <v>11.742928240739275</v>
      </c>
      <c r="M3032">
        <f ca="1">qry_ProdData2_PDI_Cash_Exception_Application[[#This Row],[TODAY]]-qry_ProdData2_PDI_Cash_Exception_Application[[#This Row],[CHANGED ON]]</f>
        <v>11.742928240739275</v>
      </c>
      <c r="N3032">
        <f ca="1">qry_ProdData2_PDI_Cash_Exception_Application[[#This Row],[TODAY]]-qry_ProdData2_PDI_Cash_Exception_Application[[#This Row],[CHANGED ON]]</f>
        <v>11.742928240739275</v>
      </c>
    </row>
    <row r="3033" spans="1:14" x14ac:dyDescent="0.35">
      <c r="A3033">
        <v>1023</v>
      </c>
      <c r="B3033" t="s">
        <v>77</v>
      </c>
      <c r="C3033" s="1">
        <v>45190.257071759261</v>
      </c>
      <c r="D3033" t="str">
        <f ca="1">VLOOKUP(qry_ProdData2_PDI_Cash_Exception_Application[[#This Row],[TYPE]],#REF!,2,FALSE)</f>
        <v>type40</v>
      </c>
      <c r="E3033">
        <v>495.62</v>
      </c>
      <c r="F3033" t="s">
        <v>50</v>
      </c>
      <c r="G3033" s="1">
        <f>qry_ProdData2_PDI_Cash_Exception_Application[[#This Row],[INSERT DATE]]+2</f>
        <v>45192.257071759261</v>
      </c>
      <c r="H3033" t="str">
        <f>VLOOKUP(qry_ProdData2_PDI_Cash_Exception_Application[[#This Row],[MARKET No]],'Site Allocation'!$B$2:$C$37,2,FALSE)</f>
        <v>Analyst4</v>
      </c>
      <c r="I3033" s="4">
        <f t="shared" ca="1" si="47"/>
        <v>45203</v>
      </c>
      <c r="J3033" s="42">
        <f ca="1">TODAY()-qry_ProdData2_PDI_Cash_Exception_Application[[#This Row],[INSERT DATE]]</f>
        <v>12.742928240739275</v>
      </c>
      <c r="K30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33">
        <f ca="1">qry_ProdData2_PDI_Cash_Exception_Application[[#This Row],[TODAY]]-qry_ProdData2_PDI_Cash_Exception_Application[[#This Row],[CHANGED ON]]</f>
        <v>10.742928240739275</v>
      </c>
      <c r="M3033">
        <f ca="1">qry_ProdData2_PDI_Cash_Exception_Application[[#This Row],[TODAY]]-qry_ProdData2_PDI_Cash_Exception_Application[[#This Row],[CHANGED ON]]</f>
        <v>10.742928240739275</v>
      </c>
      <c r="N3033">
        <f ca="1">qry_ProdData2_PDI_Cash_Exception_Application[[#This Row],[TODAY]]-qry_ProdData2_PDI_Cash_Exception_Application[[#This Row],[CHANGED ON]]</f>
        <v>10.742928240739275</v>
      </c>
    </row>
    <row r="3034" spans="1:14" x14ac:dyDescent="0.35">
      <c r="A3034">
        <v>1003</v>
      </c>
      <c r="B3034" t="s">
        <v>57</v>
      </c>
      <c r="C3034" s="1">
        <v>45196.257071759261</v>
      </c>
      <c r="D3034" t="str">
        <f ca="1">VLOOKUP(qry_ProdData2_PDI_Cash_Exception_Application[[#This Row],[TYPE]],#REF!,2,FALSE)</f>
        <v>type50</v>
      </c>
      <c r="E3034">
        <v>0</v>
      </c>
      <c r="F3034" t="s">
        <v>47</v>
      </c>
      <c r="G3034" s="1">
        <f>qry_ProdData2_PDI_Cash_Exception_Application[[#This Row],[INSERT DATE]]+7</f>
        <v>45203.257071759261</v>
      </c>
      <c r="H3034" t="str">
        <f>VLOOKUP(qry_ProdData2_PDI_Cash_Exception_Application[[#This Row],[MARKET No]],'Site Allocation'!$B$2:$C$37,2,FALSE)</f>
        <v>Analyst1</v>
      </c>
      <c r="I3034" s="4">
        <f t="shared" ca="1" si="47"/>
        <v>45203</v>
      </c>
      <c r="J3034" s="42">
        <f ca="1">TODAY()-qry_ProdData2_PDI_Cash_Exception_Application[[#This Row],[INSERT DATE]]</f>
        <v>6.7429282407392748</v>
      </c>
      <c r="K30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34">
        <f ca="1">qry_ProdData2_PDI_Cash_Exception_Application[[#This Row],[TODAY]]-qry_ProdData2_PDI_Cash_Exception_Application[[#This Row],[CHANGED ON]]</f>
        <v>-0.25707175926072523</v>
      </c>
      <c r="M3034">
        <f ca="1">qry_ProdData2_PDI_Cash_Exception_Application[[#This Row],[TODAY]]-qry_ProdData2_PDI_Cash_Exception_Application[[#This Row],[CHANGED ON]]</f>
        <v>-0.25707175926072523</v>
      </c>
      <c r="N3034">
        <f ca="1">qry_ProdData2_PDI_Cash_Exception_Application[[#This Row],[TODAY]]-qry_ProdData2_PDI_Cash_Exception_Application[[#This Row],[CHANGED ON]]</f>
        <v>-0.25707175926072523</v>
      </c>
    </row>
    <row r="3035" spans="1:14" x14ac:dyDescent="0.35">
      <c r="A3035">
        <v>1018</v>
      </c>
      <c r="B3035" t="s">
        <v>72</v>
      </c>
      <c r="C3035" s="1">
        <v>45197.257071759261</v>
      </c>
      <c r="D3035" t="str">
        <f ca="1">VLOOKUP(qry_ProdData2_PDI_Cash_Exception_Application[[#This Row],[TYPE]],#REF!,2,FALSE)</f>
        <v>type5</v>
      </c>
      <c r="E3035">
        <v>4149.3999999999996</v>
      </c>
      <c r="F3035" t="s">
        <v>47</v>
      </c>
      <c r="G3035" s="1">
        <f>qry_ProdData2_PDI_Cash_Exception_Application[[#This Row],[INSERT DATE]]+2</f>
        <v>45199.257071759261</v>
      </c>
      <c r="H3035" t="str">
        <f>VLOOKUP(qry_ProdData2_PDI_Cash_Exception_Application[[#This Row],[MARKET No]],'Site Allocation'!$B$2:$C$37,2,FALSE)</f>
        <v>Analyst4</v>
      </c>
      <c r="I3035" s="4">
        <f t="shared" ca="1" si="47"/>
        <v>45203</v>
      </c>
      <c r="J3035" s="42">
        <f ca="1">TODAY()-qry_ProdData2_PDI_Cash_Exception_Application[[#This Row],[INSERT DATE]]</f>
        <v>5.7429282407392748</v>
      </c>
      <c r="K30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35">
        <f ca="1">qry_ProdData2_PDI_Cash_Exception_Application[[#This Row],[TODAY]]-qry_ProdData2_PDI_Cash_Exception_Application[[#This Row],[CHANGED ON]]</f>
        <v>3.7429282407392748</v>
      </c>
      <c r="M3035">
        <f ca="1">qry_ProdData2_PDI_Cash_Exception_Application[[#This Row],[TODAY]]-qry_ProdData2_PDI_Cash_Exception_Application[[#This Row],[CHANGED ON]]</f>
        <v>3.7429282407392748</v>
      </c>
      <c r="N3035">
        <f ca="1">qry_ProdData2_PDI_Cash_Exception_Application[[#This Row],[TODAY]]-qry_ProdData2_PDI_Cash_Exception_Application[[#This Row],[CHANGED ON]]</f>
        <v>3.7429282407392748</v>
      </c>
    </row>
    <row r="3036" spans="1:14" x14ac:dyDescent="0.35">
      <c r="A3036">
        <v>1002</v>
      </c>
      <c r="B3036" t="s">
        <v>56</v>
      </c>
      <c r="C3036" s="1">
        <v>45194.257071759261</v>
      </c>
      <c r="D3036" t="str">
        <f ca="1">VLOOKUP(qry_ProdData2_PDI_Cash_Exception_Application[[#This Row],[TYPE]],#REF!,2,FALSE)</f>
        <v>type13</v>
      </c>
      <c r="E3036">
        <v>50431.99</v>
      </c>
      <c r="F3036" t="str">
        <f>qry_ProdData2_PDI_Cash_Exception_Application[[#This Row],[ANALYST]]</f>
        <v>Analyst1</v>
      </c>
      <c r="G3036" s="1">
        <f>qry_ProdData2_PDI_Cash_Exception_Application[[#This Row],[INSERT DATE]]+1</f>
        <v>45195.257071759261</v>
      </c>
      <c r="H3036" t="str">
        <f>VLOOKUP(qry_ProdData2_PDI_Cash_Exception_Application[[#This Row],[MARKET No]],'Site Allocation'!$B$2:$C$37,2,FALSE)</f>
        <v>Analyst1</v>
      </c>
      <c r="I3036" s="4">
        <f t="shared" ca="1" si="47"/>
        <v>45203</v>
      </c>
      <c r="J3036" s="42">
        <f ca="1">TODAY()-qry_ProdData2_PDI_Cash_Exception_Application[[#This Row],[INSERT DATE]]</f>
        <v>8.7429282407392748</v>
      </c>
      <c r="K30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36">
        <f ca="1">qry_ProdData2_PDI_Cash_Exception_Application[[#This Row],[TODAY]]-qry_ProdData2_PDI_Cash_Exception_Application[[#This Row],[CHANGED ON]]</f>
        <v>7.7429282407392748</v>
      </c>
      <c r="M3036">
        <f ca="1">qry_ProdData2_PDI_Cash_Exception_Application[[#This Row],[TODAY]]-qry_ProdData2_PDI_Cash_Exception_Application[[#This Row],[CHANGED ON]]</f>
        <v>7.7429282407392748</v>
      </c>
      <c r="N3036">
        <f ca="1">qry_ProdData2_PDI_Cash_Exception_Application[[#This Row],[TODAY]]-qry_ProdData2_PDI_Cash_Exception_Application[[#This Row],[CHANGED ON]]</f>
        <v>7.7429282407392748</v>
      </c>
    </row>
    <row r="3037" spans="1:14" x14ac:dyDescent="0.35">
      <c r="A3037">
        <v>1006</v>
      </c>
      <c r="B3037" t="s">
        <v>60</v>
      </c>
      <c r="C3037" s="1">
        <v>45196.257071759261</v>
      </c>
      <c r="D3037" t="str">
        <f ca="1">VLOOKUP(qry_ProdData2_PDI_Cash_Exception_Application[[#This Row],[TYPE]],#REF!,2,FALSE)</f>
        <v>type19</v>
      </c>
      <c r="E3037">
        <v>642.48</v>
      </c>
      <c r="F3037" t="s">
        <v>51</v>
      </c>
      <c r="G3037" s="1">
        <f>qry_ProdData2_PDI_Cash_Exception_Application[[#This Row],[INSERT DATE]]+5</f>
        <v>45201.257071759261</v>
      </c>
      <c r="H3037" t="str">
        <f>VLOOKUP(qry_ProdData2_PDI_Cash_Exception_Application[[#This Row],[MARKET No]],'Site Allocation'!$B$2:$C$37,2,FALSE)</f>
        <v>Analyst2</v>
      </c>
      <c r="I3037" s="4">
        <f t="shared" ca="1" si="47"/>
        <v>45203</v>
      </c>
      <c r="J3037" s="42">
        <f ca="1">TODAY()-qry_ProdData2_PDI_Cash_Exception_Application[[#This Row],[INSERT DATE]]</f>
        <v>6.7429282407392748</v>
      </c>
      <c r="K30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37">
        <f ca="1">qry_ProdData2_PDI_Cash_Exception_Application[[#This Row],[TODAY]]-qry_ProdData2_PDI_Cash_Exception_Application[[#This Row],[CHANGED ON]]</f>
        <v>1.7429282407392748</v>
      </c>
      <c r="M3037">
        <f ca="1">qry_ProdData2_PDI_Cash_Exception_Application[[#This Row],[TODAY]]-qry_ProdData2_PDI_Cash_Exception_Application[[#This Row],[CHANGED ON]]</f>
        <v>1.7429282407392748</v>
      </c>
      <c r="N3037">
        <f ca="1">qry_ProdData2_PDI_Cash_Exception_Application[[#This Row],[TODAY]]-qry_ProdData2_PDI_Cash_Exception_Application[[#This Row],[CHANGED ON]]</f>
        <v>1.7429282407392748</v>
      </c>
    </row>
    <row r="3038" spans="1:14" x14ac:dyDescent="0.35">
      <c r="A3038">
        <v>1003</v>
      </c>
      <c r="B3038" t="s">
        <v>57</v>
      </c>
      <c r="C3038" s="1">
        <v>45195.257071759261</v>
      </c>
      <c r="D3038" t="str">
        <f ca="1">VLOOKUP(qry_ProdData2_PDI_Cash_Exception_Application[[#This Row],[TYPE]],#REF!,2,FALSE)</f>
        <v>type13</v>
      </c>
      <c r="E3038">
        <v>15699.13</v>
      </c>
      <c r="F3038" t="str">
        <f>qry_ProdData2_PDI_Cash_Exception_Application[[#This Row],[ANALYST]]</f>
        <v>Analyst1</v>
      </c>
      <c r="G3038" s="1">
        <f>qry_ProdData2_PDI_Cash_Exception_Application[[#This Row],[INSERT DATE]]+2</f>
        <v>45197.257071759261</v>
      </c>
      <c r="H3038" t="str">
        <f>VLOOKUP(qry_ProdData2_PDI_Cash_Exception_Application[[#This Row],[MARKET No]],'Site Allocation'!$B$2:$C$37,2,FALSE)</f>
        <v>Analyst1</v>
      </c>
      <c r="I3038" s="4">
        <f t="shared" ca="1" si="47"/>
        <v>45203</v>
      </c>
      <c r="J3038" s="42">
        <f ca="1">TODAY()-qry_ProdData2_PDI_Cash_Exception_Application[[#This Row],[INSERT DATE]]</f>
        <v>7.7429282407392748</v>
      </c>
      <c r="K30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38">
        <f ca="1">qry_ProdData2_PDI_Cash_Exception_Application[[#This Row],[TODAY]]-qry_ProdData2_PDI_Cash_Exception_Application[[#This Row],[CHANGED ON]]</f>
        <v>5.7429282407392748</v>
      </c>
      <c r="M3038">
        <f ca="1">qry_ProdData2_PDI_Cash_Exception_Application[[#This Row],[TODAY]]-qry_ProdData2_PDI_Cash_Exception_Application[[#This Row],[CHANGED ON]]</f>
        <v>5.7429282407392748</v>
      </c>
      <c r="N3038">
        <f ca="1">qry_ProdData2_PDI_Cash_Exception_Application[[#This Row],[TODAY]]-qry_ProdData2_PDI_Cash_Exception_Application[[#This Row],[CHANGED ON]]</f>
        <v>5.7429282407392748</v>
      </c>
    </row>
    <row r="3039" spans="1:14" x14ac:dyDescent="0.35">
      <c r="A3039">
        <v>1011</v>
      </c>
      <c r="B3039" t="s">
        <v>65</v>
      </c>
      <c r="C3039" s="1">
        <v>45184.257071759261</v>
      </c>
      <c r="D3039" t="str">
        <f ca="1">VLOOKUP(qry_ProdData2_PDI_Cash_Exception_Application[[#This Row],[TYPE]],#REF!,2,FALSE)</f>
        <v>type33</v>
      </c>
      <c r="E3039">
        <v>600.44000000000005</v>
      </c>
      <c r="F3039" t="str">
        <f>qry_ProdData2_PDI_Cash_Exception_Application[[#This Row],[ANALYST]]</f>
        <v>Analyst2</v>
      </c>
      <c r="G3039" s="1">
        <f>qry_ProdData2_PDI_Cash_Exception_Application[[#This Row],[INSERT DATE]]+7</f>
        <v>45191.257071759261</v>
      </c>
      <c r="H3039" t="str">
        <f>VLOOKUP(qry_ProdData2_PDI_Cash_Exception_Application[[#This Row],[MARKET No]],'Site Allocation'!$B$2:$C$37,2,FALSE)</f>
        <v>Analyst2</v>
      </c>
      <c r="I3039" s="4">
        <f t="shared" ca="1" si="47"/>
        <v>45203</v>
      </c>
      <c r="J3039" s="42">
        <f ca="1">TODAY()-qry_ProdData2_PDI_Cash_Exception_Application[[#This Row],[INSERT DATE]]</f>
        <v>18.742928240739275</v>
      </c>
      <c r="K30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39">
        <f ca="1">qry_ProdData2_PDI_Cash_Exception_Application[[#This Row],[TODAY]]-qry_ProdData2_PDI_Cash_Exception_Application[[#This Row],[CHANGED ON]]</f>
        <v>11.742928240739275</v>
      </c>
      <c r="M3039">
        <f ca="1">qry_ProdData2_PDI_Cash_Exception_Application[[#This Row],[TODAY]]-qry_ProdData2_PDI_Cash_Exception_Application[[#This Row],[CHANGED ON]]</f>
        <v>11.742928240739275</v>
      </c>
      <c r="N3039">
        <f ca="1">qry_ProdData2_PDI_Cash_Exception_Application[[#This Row],[TODAY]]-qry_ProdData2_PDI_Cash_Exception_Application[[#This Row],[CHANGED ON]]</f>
        <v>11.742928240739275</v>
      </c>
    </row>
    <row r="3040" spans="1:14" x14ac:dyDescent="0.35">
      <c r="A3040">
        <v>1002</v>
      </c>
      <c r="B3040" t="s">
        <v>56</v>
      </c>
      <c r="C3040" s="1">
        <v>45193.257071759261</v>
      </c>
      <c r="D3040" t="str">
        <f ca="1">VLOOKUP(qry_ProdData2_PDI_Cash_Exception_Application[[#This Row],[TYPE]],#REF!,2,FALSE)</f>
        <v>type26</v>
      </c>
      <c r="E3040">
        <v>361.33</v>
      </c>
      <c r="F3040" t="str">
        <f>qry_ProdData2_PDI_Cash_Exception_Application[[#This Row],[ANALYST]]</f>
        <v>Analyst1</v>
      </c>
      <c r="G3040" s="1">
        <f>qry_ProdData2_PDI_Cash_Exception_Application[[#This Row],[INSERT DATE]]+5</f>
        <v>45198.257071759261</v>
      </c>
      <c r="H3040" t="str">
        <f>VLOOKUP(qry_ProdData2_PDI_Cash_Exception_Application[[#This Row],[MARKET No]],'Site Allocation'!$B$2:$C$37,2,FALSE)</f>
        <v>Analyst1</v>
      </c>
      <c r="I3040" s="4">
        <f t="shared" ca="1" si="47"/>
        <v>45203</v>
      </c>
      <c r="J3040" s="42">
        <f ca="1">TODAY()-qry_ProdData2_PDI_Cash_Exception_Application[[#This Row],[INSERT DATE]]</f>
        <v>9.7429282407392748</v>
      </c>
      <c r="K30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40">
        <f ca="1">qry_ProdData2_PDI_Cash_Exception_Application[[#This Row],[TODAY]]-qry_ProdData2_PDI_Cash_Exception_Application[[#This Row],[CHANGED ON]]</f>
        <v>4.7429282407392748</v>
      </c>
      <c r="M3040">
        <f ca="1">qry_ProdData2_PDI_Cash_Exception_Application[[#This Row],[TODAY]]-qry_ProdData2_PDI_Cash_Exception_Application[[#This Row],[CHANGED ON]]</f>
        <v>4.7429282407392748</v>
      </c>
      <c r="N3040">
        <f ca="1">qry_ProdData2_PDI_Cash_Exception_Application[[#This Row],[TODAY]]-qry_ProdData2_PDI_Cash_Exception_Application[[#This Row],[CHANGED ON]]</f>
        <v>4.7429282407392748</v>
      </c>
    </row>
    <row r="3041" spans="1:14" x14ac:dyDescent="0.35">
      <c r="A3041">
        <v>1024</v>
      </c>
      <c r="B3041" t="s">
        <v>78</v>
      </c>
      <c r="C3041" s="1">
        <v>45186.257071759261</v>
      </c>
      <c r="D3041" t="str">
        <f ca="1">VLOOKUP(qry_ProdData2_PDI_Cash_Exception_Application[[#This Row],[TYPE]],#REF!,2,FALSE)</f>
        <v>type13</v>
      </c>
      <c r="E3041">
        <v>55300.63</v>
      </c>
      <c r="F3041" t="s">
        <v>48</v>
      </c>
      <c r="G3041" s="1">
        <f>qry_ProdData2_PDI_Cash_Exception_Application[[#This Row],[INSERT DATE]]+1</f>
        <v>45187.257071759261</v>
      </c>
      <c r="H3041" t="str">
        <f>VLOOKUP(qry_ProdData2_PDI_Cash_Exception_Application[[#This Row],[MARKET No]],'Site Allocation'!$B$2:$C$37,2,FALSE)</f>
        <v>Analyst5</v>
      </c>
      <c r="I3041" s="4">
        <f t="shared" ca="1" si="47"/>
        <v>45203</v>
      </c>
      <c r="J3041" s="42">
        <f ca="1">TODAY()-qry_ProdData2_PDI_Cash_Exception_Application[[#This Row],[INSERT DATE]]</f>
        <v>16.742928240739275</v>
      </c>
      <c r="K30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41">
        <f ca="1">qry_ProdData2_PDI_Cash_Exception_Application[[#This Row],[TODAY]]-qry_ProdData2_PDI_Cash_Exception_Application[[#This Row],[CHANGED ON]]</f>
        <v>15.742928240739275</v>
      </c>
      <c r="M3041">
        <f ca="1">qry_ProdData2_PDI_Cash_Exception_Application[[#This Row],[TODAY]]-qry_ProdData2_PDI_Cash_Exception_Application[[#This Row],[CHANGED ON]]</f>
        <v>15.742928240739275</v>
      </c>
      <c r="N3041">
        <f ca="1">qry_ProdData2_PDI_Cash_Exception_Application[[#This Row],[TODAY]]-qry_ProdData2_PDI_Cash_Exception_Application[[#This Row],[CHANGED ON]]</f>
        <v>15.742928240739275</v>
      </c>
    </row>
    <row r="3042" spans="1:14" x14ac:dyDescent="0.35">
      <c r="A3042">
        <v>1008</v>
      </c>
      <c r="B3042" t="s">
        <v>62</v>
      </c>
      <c r="C3042" s="1">
        <v>45196.257071759261</v>
      </c>
      <c r="D3042" t="str">
        <f ca="1">VLOOKUP(qry_ProdData2_PDI_Cash_Exception_Application[[#This Row],[TYPE]],#REF!,2,FALSE)</f>
        <v>type40</v>
      </c>
      <c r="E3042">
        <v>-3305.4</v>
      </c>
      <c r="F3042" t="str">
        <f>qry_ProdData2_PDI_Cash_Exception_Application[[#This Row],[ANALYST]]</f>
        <v>Analyst2</v>
      </c>
      <c r="G3042" s="1">
        <f>qry_ProdData2_PDI_Cash_Exception_Application[[#This Row],[INSERT DATE]]+2</f>
        <v>45198.257071759261</v>
      </c>
      <c r="H3042" t="str">
        <f>VLOOKUP(qry_ProdData2_PDI_Cash_Exception_Application[[#This Row],[MARKET No]],'Site Allocation'!$B$2:$C$37,2,FALSE)</f>
        <v>Analyst2</v>
      </c>
      <c r="I3042" s="4">
        <f t="shared" ca="1" si="47"/>
        <v>45203</v>
      </c>
      <c r="J3042" s="42">
        <f ca="1">TODAY()-qry_ProdData2_PDI_Cash_Exception_Application[[#This Row],[INSERT DATE]]</f>
        <v>6.7429282407392748</v>
      </c>
      <c r="K30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42">
        <f ca="1">qry_ProdData2_PDI_Cash_Exception_Application[[#This Row],[TODAY]]-qry_ProdData2_PDI_Cash_Exception_Application[[#This Row],[CHANGED ON]]</f>
        <v>4.7429282407392748</v>
      </c>
      <c r="M3042">
        <f ca="1">qry_ProdData2_PDI_Cash_Exception_Application[[#This Row],[TODAY]]-qry_ProdData2_PDI_Cash_Exception_Application[[#This Row],[CHANGED ON]]</f>
        <v>4.7429282407392748</v>
      </c>
      <c r="N3042">
        <f ca="1">qry_ProdData2_PDI_Cash_Exception_Application[[#This Row],[TODAY]]-qry_ProdData2_PDI_Cash_Exception_Application[[#This Row],[CHANGED ON]]</f>
        <v>4.7429282407392748</v>
      </c>
    </row>
    <row r="3043" spans="1:14" x14ac:dyDescent="0.35">
      <c r="A3043">
        <v>1016</v>
      </c>
      <c r="B3043" t="s">
        <v>70</v>
      </c>
      <c r="C3043" s="1">
        <v>45193.257071759261</v>
      </c>
      <c r="D3043" t="str">
        <f ca="1">VLOOKUP(qry_ProdData2_PDI_Cash_Exception_Application[[#This Row],[TYPE]],#REF!,2,FALSE)</f>
        <v>type35</v>
      </c>
      <c r="E3043">
        <v>323.11</v>
      </c>
      <c r="F3043" t="str">
        <f>qry_ProdData2_PDI_Cash_Exception_Application[[#This Row],[ANALYST]]</f>
        <v>Analyst3</v>
      </c>
      <c r="G3043" s="1">
        <f>qry_ProdData2_PDI_Cash_Exception_Application[[#This Row],[INSERT DATE]]+2</f>
        <v>45195.257071759261</v>
      </c>
      <c r="H3043" t="str">
        <f>VLOOKUP(qry_ProdData2_PDI_Cash_Exception_Application[[#This Row],[MARKET No]],'Site Allocation'!$B$2:$C$37,2,FALSE)</f>
        <v>Analyst3</v>
      </c>
      <c r="I3043" s="4">
        <f t="shared" ca="1" si="47"/>
        <v>45203</v>
      </c>
      <c r="J3043" s="42">
        <f ca="1">TODAY()-qry_ProdData2_PDI_Cash_Exception_Application[[#This Row],[INSERT DATE]]</f>
        <v>9.7429282407392748</v>
      </c>
      <c r="K30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43">
        <f ca="1">qry_ProdData2_PDI_Cash_Exception_Application[[#This Row],[TODAY]]-qry_ProdData2_PDI_Cash_Exception_Application[[#This Row],[CHANGED ON]]</f>
        <v>7.7429282407392748</v>
      </c>
      <c r="M3043">
        <f ca="1">qry_ProdData2_PDI_Cash_Exception_Application[[#This Row],[TODAY]]-qry_ProdData2_PDI_Cash_Exception_Application[[#This Row],[CHANGED ON]]</f>
        <v>7.7429282407392748</v>
      </c>
      <c r="N3043">
        <f ca="1">qry_ProdData2_PDI_Cash_Exception_Application[[#This Row],[TODAY]]-qry_ProdData2_PDI_Cash_Exception_Application[[#This Row],[CHANGED ON]]</f>
        <v>7.7429282407392748</v>
      </c>
    </row>
    <row r="3044" spans="1:14" x14ac:dyDescent="0.35">
      <c r="A3044">
        <v>1003</v>
      </c>
      <c r="B3044" t="s">
        <v>57</v>
      </c>
      <c r="C3044" s="1">
        <v>45193.257071759261</v>
      </c>
      <c r="D3044" t="str">
        <f ca="1">VLOOKUP(qry_ProdData2_PDI_Cash_Exception_Application[[#This Row],[TYPE]],#REF!,2,FALSE)</f>
        <v>type40</v>
      </c>
      <c r="E3044">
        <v>-513.30999999999995</v>
      </c>
      <c r="F3044" t="str">
        <f>qry_ProdData2_PDI_Cash_Exception_Application[[#This Row],[ANALYST]]</f>
        <v>Analyst1</v>
      </c>
      <c r="G3044" s="1">
        <f>qry_ProdData2_PDI_Cash_Exception_Application[[#This Row],[INSERT DATE]]+7</f>
        <v>45200.257071759261</v>
      </c>
      <c r="H3044" t="str">
        <f>VLOOKUP(qry_ProdData2_PDI_Cash_Exception_Application[[#This Row],[MARKET No]],'Site Allocation'!$B$2:$C$37,2,FALSE)</f>
        <v>Analyst1</v>
      </c>
      <c r="I3044" s="4">
        <f t="shared" ca="1" si="47"/>
        <v>45203</v>
      </c>
      <c r="J3044" s="42">
        <f ca="1">TODAY()-qry_ProdData2_PDI_Cash_Exception_Application[[#This Row],[INSERT DATE]]</f>
        <v>9.7429282407392748</v>
      </c>
      <c r="K30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44">
        <f ca="1">qry_ProdData2_PDI_Cash_Exception_Application[[#This Row],[TODAY]]-qry_ProdData2_PDI_Cash_Exception_Application[[#This Row],[CHANGED ON]]</f>
        <v>2.7429282407392748</v>
      </c>
      <c r="M3044">
        <f ca="1">qry_ProdData2_PDI_Cash_Exception_Application[[#This Row],[TODAY]]-qry_ProdData2_PDI_Cash_Exception_Application[[#This Row],[CHANGED ON]]</f>
        <v>2.7429282407392748</v>
      </c>
      <c r="N3044">
        <f ca="1">qry_ProdData2_PDI_Cash_Exception_Application[[#This Row],[TODAY]]-qry_ProdData2_PDI_Cash_Exception_Application[[#This Row],[CHANGED ON]]</f>
        <v>2.7429282407392748</v>
      </c>
    </row>
    <row r="3045" spans="1:14" x14ac:dyDescent="0.35">
      <c r="A3045">
        <v>1017</v>
      </c>
      <c r="B3045" t="s">
        <v>71</v>
      </c>
      <c r="C3045" s="1">
        <v>45195.257071759261</v>
      </c>
      <c r="D3045" t="str">
        <f ca="1">VLOOKUP(qry_ProdData2_PDI_Cash_Exception_Application[[#This Row],[TYPE]],#REF!,2,FALSE)</f>
        <v>type40</v>
      </c>
      <c r="E3045">
        <v>-958.22</v>
      </c>
      <c r="F3045" t="str">
        <f>qry_ProdData2_PDI_Cash_Exception_Application[[#This Row],[ANALYST]]</f>
        <v>Analyst3</v>
      </c>
      <c r="G3045" s="1">
        <f>qry_ProdData2_PDI_Cash_Exception_Application[[#This Row],[INSERT DATE]]+2</f>
        <v>45197.257071759261</v>
      </c>
      <c r="H3045" t="str">
        <f>VLOOKUP(qry_ProdData2_PDI_Cash_Exception_Application[[#This Row],[MARKET No]],'Site Allocation'!$B$2:$C$37,2,FALSE)</f>
        <v>Analyst3</v>
      </c>
      <c r="I3045" s="4">
        <f t="shared" ca="1" si="47"/>
        <v>45203</v>
      </c>
      <c r="J3045" s="42">
        <f ca="1">TODAY()-qry_ProdData2_PDI_Cash_Exception_Application[[#This Row],[INSERT DATE]]</f>
        <v>7.7429282407392748</v>
      </c>
      <c r="K30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45">
        <f ca="1">qry_ProdData2_PDI_Cash_Exception_Application[[#This Row],[TODAY]]-qry_ProdData2_PDI_Cash_Exception_Application[[#This Row],[CHANGED ON]]</f>
        <v>5.7429282407392748</v>
      </c>
      <c r="M3045">
        <f ca="1">qry_ProdData2_PDI_Cash_Exception_Application[[#This Row],[TODAY]]-qry_ProdData2_PDI_Cash_Exception_Application[[#This Row],[CHANGED ON]]</f>
        <v>5.7429282407392748</v>
      </c>
      <c r="N3045">
        <f ca="1">qry_ProdData2_PDI_Cash_Exception_Application[[#This Row],[TODAY]]-qry_ProdData2_PDI_Cash_Exception_Application[[#This Row],[CHANGED ON]]</f>
        <v>5.7429282407392748</v>
      </c>
    </row>
    <row r="3046" spans="1:14" x14ac:dyDescent="0.35">
      <c r="A3046">
        <v>1032</v>
      </c>
      <c r="B3046" t="s">
        <v>86</v>
      </c>
      <c r="C3046" s="1">
        <v>45188.257071759261</v>
      </c>
      <c r="D3046" t="str">
        <f ca="1">VLOOKUP(qry_ProdData2_PDI_Cash_Exception_Application[[#This Row],[TYPE]],#REF!,2,FALSE)</f>
        <v>type40</v>
      </c>
      <c r="E3046">
        <v>-390.68</v>
      </c>
      <c r="F3046" t="s">
        <v>52</v>
      </c>
      <c r="G3046" s="1">
        <f>qry_ProdData2_PDI_Cash_Exception_Application[[#This Row],[INSERT DATE]]+5</f>
        <v>45193.257071759261</v>
      </c>
      <c r="H3046" t="str">
        <f>VLOOKUP(qry_ProdData2_PDI_Cash_Exception_Application[[#This Row],[MARKET No]],'Site Allocation'!$B$2:$C$37,2,FALSE)</f>
        <v>Analyst6</v>
      </c>
      <c r="I3046" s="4">
        <f t="shared" ca="1" si="47"/>
        <v>45203</v>
      </c>
      <c r="J3046" s="42">
        <f ca="1">TODAY()-qry_ProdData2_PDI_Cash_Exception_Application[[#This Row],[INSERT DATE]]</f>
        <v>14.742928240739275</v>
      </c>
      <c r="K30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46">
        <f ca="1">qry_ProdData2_PDI_Cash_Exception_Application[[#This Row],[TODAY]]-qry_ProdData2_PDI_Cash_Exception_Application[[#This Row],[CHANGED ON]]</f>
        <v>9.7429282407392748</v>
      </c>
      <c r="M3046">
        <f ca="1">qry_ProdData2_PDI_Cash_Exception_Application[[#This Row],[TODAY]]-qry_ProdData2_PDI_Cash_Exception_Application[[#This Row],[CHANGED ON]]</f>
        <v>9.7429282407392748</v>
      </c>
      <c r="N3046">
        <f ca="1">qry_ProdData2_PDI_Cash_Exception_Application[[#This Row],[TODAY]]-qry_ProdData2_PDI_Cash_Exception_Application[[#This Row],[CHANGED ON]]</f>
        <v>9.7429282407392748</v>
      </c>
    </row>
    <row r="3047" spans="1:14" x14ac:dyDescent="0.35">
      <c r="A3047">
        <v>1017</v>
      </c>
      <c r="B3047" t="s">
        <v>71</v>
      </c>
      <c r="C3047" s="1">
        <v>45195.257071759261</v>
      </c>
      <c r="D3047" t="str">
        <f ca="1">VLOOKUP(qry_ProdData2_PDI_Cash_Exception_Application[[#This Row],[TYPE]],#REF!,2,FALSE)</f>
        <v>type40</v>
      </c>
      <c r="E3047">
        <v>-303.20999999999998</v>
      </c>
      <c r="F3047" t="str">
        <f>qry_ProdData2_PDI_Cash_Exception_Application[[#This Row],[ANALYST]]</f>
        <v>Analyst3</v>
      </c>
      <c r="G3047" s="1">
        <f>qry_ProdData2_PDI_Cash_Exception_Application[[#This Row],[INSERT DATE]]+7</f>
        <v>45202.257071759261</v>
      </c>
      <c r="H3047" t="str">
        <f>VLOOKUP(qry_ProdData2_PDI_Cash_Exception_Application[[#This Row],[MARKET No]],'Site Allocation'!$B$2:$C$37,2,FALSE)</f>
        <v>Analyst3</v>
      </c>
      <c r="I3047" s="4">
        <f t="shared" ca="1" si="47"/>
        <v>45203</v>
      </c>
      <c r="J3047" s="42">
        <f ca="1">TODAY()-qry_ProdData2_PDI_Cash_Exception_Application[[#This Row],[INSERT DATE]]</f>
        <v>7.7429282407392748</v>
      </c>
      <c r="K30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47">
        <f ca="1">qry_ProdData2_PDI_Cash_Exception_Application[[#This Row],[TODAY]]-qry_ProdData2_PDI_Cash_Exception_Application[[#This Row],[CHANGED ON]]</f>
        <v>0.74292824073927477</v>
      </c>
      <c r="M3047">
        <f ca="1">qry_ProdData2_PDI_Cash_Exception_Application[[#This Row],[TODAY]]-qry_ProdData2_PDI_Cash_Exception_Application[[#This Row],[CHANGED ON]]</f>
        <v>0.74292824073927477</v>
      </c>
      <c r="N3047">
        <f ca="1">qry_ProdData2_PDI_Cash_Exception_Application[[#This Row],[TODAY]]-qry_ProdData2_PDI_Cash_Exception_Application[[#This Row],[CHANGED ON]]</f>
        <v>0.74292824073927477</v>
      </c>
    </row>
    <row r="3048" spans="1:14" x14ac:dyDescent="0.35">
      <c r="A3048">
        <v>1000</v>
      </c>
      <c r="B3048" t="s">
        <v>54</v>
      </c>
      <c r="C3048" s="1">
        <v>45194.257071759261</v>
      </c>
      <c r="D3048" t="str">
        <f ca="1">VLOOKUP(qry_ProdData2_PDI_Cash_Exception_Application[[#This Row],[TYPE]],#REF!,2,FALSE)</f>
        <v>type40</v>
      </c>
      <c r="E3048">
        <v>-381.5</v>
      </c>
      <c r="F3048" t="str">
        <f>qry_ProdData2_PDI_Cash_Exception_Application[[#This Row],[ANALYST]]</f>
        <v>Analyst1</v>
      </c>
      <c r="G3048" s="1">
        <f>qry_ProdData2_PDI_Cash_Exception_Application[[#This Row],[INSERT DATE]]+7</f>
        <v>45201.257071759261</v>
      </c>
      <c r="H3048" t="str">
        <f>VLOOKUP(qry_ProdData2_PDI_Cash_Exception_Application[[#This Row],[MARKET No]],'Site Allocation'!$B$2:$C$37,2,FALSE)</f>
        <v>Analyst1</v>
      </c>
      <c r="I3048" s="4">
        <f t="shared" ca="1" si="47"/>
        <v>45203</v>
      </c>
      <c r="J3048" s="42">
        <f ca="1">TODAY()-qry_ProdData2_PDI_Cash_Exception_Application[[#This Row],[INSERT DATE]]</f>
        <v>8.7429282407392748</v>
      </c>
      <c r="K30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48">
        <f ca="1">qry_ProdData2_PDI_Cash_Exception_Application[[#This Row],[TODAY]]-qry_ProdData2_PDI_Cash_Exception_Application[[#This Row],[CHANGED ON]]</f>
        <v>1.7429282407392748</v>
      </c>
      <c r="M3048">
        <f ca="1">qry_ProdData2_PDI_Cash_Exception_Application[[#This Row],[TODAY]]-qry_ProdData2_PDI_Cash_Exception_Application[[#This Row],[CHANGED ON]]</f>
        <v>1.7429282407392748</v>
      </c>
      <c r="N3048">
        <f ca="1">qry_ProdData2_PDI_Cash_Exception_Application[[#This Row],[TODAY]]-qry_ProdData2_PDI_Cash_Exception_Application[[#This Row],[CHANGED ON]]</f>
        <v>1.7429282407392748</v>
      </c>
    </row>
    <row r="3049" spans="1:14" x14ac:dyDescent="0.35">
      <c r="A3049">
        <v>1009</v>
      </c>
      <c r="B3049" t="s">
        <v>63</v>
      </c>
      <c r="C3049" s="1">
        <v>45197.257071759261</v>
      </c>
      <c r="D3049" t="str">
        <f ca="1">VLOOKUP(qry_ProdData2_PDI_Cash_Exception_Application[[#This Row],[TYPE]],#REF!,2,FALSE)</f>
        <v>type40</v>
      </c>
      <c r="E3049">
        <v>4187.68</v>
      </c>
      <c r="F3049" t="str">
        <f>qry_ProdData2_PDI_Cash_Exception_Application[[#This Row],[ANALYST]]</f>
        <v>Analyst2</v>
      </c>
      <c r="G3049" s="1">
        <f>qry_ProdData2_PDI_Cash_Exception_Application[[#This Row],[INSERT DATE]]+2</f>
        <v>45199.257071759261</v>
      </c>
      <c r="H3049" t="str">
        <f>VLOOKUP(qry_ProdData2_PDI_Cash_Exception_Application[[#This Row],[MARKET No]],'Site Allocation'!$B$2:$C$37,2,FALSE)</f>
        <v>Analyst2</v>
      </c>
      <c r="I3049" s="4">
        <f t="shared" ca="1" si="47"/>
        <v>45203</v>
      </c>
      <c r="J3049" s="42">
        <f ca="1">TODAY()-qry_ProdData2_PDI_Cash_Exception_Application[[#This Row],[INSERT DATE]]</f>
        <v>5.7429282407392748</v>
      </c>
      <c r="K30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49">
        <f ca="1">qry_ProdData2_PDI_Cash_Exception_Application[[#This Row],[TODAY]]-qry_ProdData2_PDI_Cash_Exception_Application[[#This Row],[CHANGED ON]]</f>
        <v>3.7429282407392748</v>
      </c>
      <c r="M3049">
        <f ca="1">qry_ProdData2_PDI_Cash_Exception_Application[[#This Row],[TODAY]]-qry_ProdData2_PDI_Cash_Exception_Application[[#This Row],[CHANGED ON]]</f>
        <v>3.7429282407392748</v>
      </c>
      <c r="N3049">
        <f ca="1">qry_ProdData2_PDI_Cash_Exception_Application[[#This Row],[TODAY]]-qry_ProdData2_PDI_Cash_Exception_Application[[#This Row],[CHANGED ON]]</f>
        <v>3.7429282407392748</v>
      </c>
    </row>
    <row r="3050" spans="1:14" x14ac:dyDescent="0.35">
      <c r="A3050">
        <v>1005</v>
      </c>
      <c r="B3050" t="s">
        <v>59</v>
      </c>
      <c r="C3050" s="1">
        <v>45195.257071759261</v>
      </c>
      <c r="D3050" t="str">
        <f ca="1">VLOOKUP(qry_ProdData2_PDI_Cash_Exception_Application[[#This Row],[TYPE]],#REF!,2,FALSE)</f>
        <v>type40</v>
      </c>
      <c r="E3050">
        <v>-437.75</v>
      </c>
      <c r="F3050" t="str">
        <f>qry_ProdData2_PDI_Cash_Exception_Application[[#This Row],[ANALYST]]</f>
        <v>Analyst1</v>
      </c>
      <c r="G3050" s="1">
        <f>qry_ProdData2_PDI_Cash_Exception_Application[[#This Row],[INSERT DATE]]+5</f>
        <v>45200.257071759261</v>
      </c>
      <c r="H3050" t="str">
        <f>VLOOKUP(qry_ProdData2_PDI_Cash_Exception_Application[[#This Row],[MARKET No]],'Site Allocation'!$B$2:$C$37,2,FALSE)</f>
        <v>Analyst1</v>
      </c>
      <c r="I3050" s="4">
        <f t="shared" ca="1" si="47"/>
        <v>45203</v>
      </c>
      <c r="J3050" s="42">
        <f ca="1">TODAY()-qry_ProdData2_PDI_Cash_Exception_Application[[#This Row],[INSERT DATE]]</f>
        <v>7.7429282407392748</v>
      </c>
      <c r="K30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50">
        <f ca="1">qry_ProdData2_PDI_Cash_Exception_Application[[#This Row],[TODAY]]-qry_ProdData2_PDI_Cash_Exception_Application[[#This Row],[CHANGED ON]]</f>
        <v>2.7429282407392748</v>
      </c>
      <c r="M3050">
        <f ca="1">qry_ProdData2_PDI_Cash_Exception_Application[[#This Row],[TODAY]]-qry_ProdData2_PDI_Cash_Exception_Application[[#This Row],[CHANGED ON]]</f>
        <v>2.7429282407392748</v>
      </c>
      <c r="N3050">
        <f ca="1">qry_ProdData2_PDI_Cash_Exception_Application[[#This Row],[TODAY]]-qry_ProdData2_PDI_Cash_Exception_Application[[#This Row],[CHANGED ON]]</f>
        <v>2.7429282407392748</v>
      </c>
    </row>
    <row r="3051" spans="1:14" x14ac:dyDescent="0.35">
      <c r="A3051">
        <v>1014</v>
      </c>
      <c r="B3051" t="s">
        <v>68</v>
      </c>
      <c r="C3051" s="1">
        <v>45191.257071759261</v>
      </c>
      <c r="D3051" t="str">
        <f ca="1">VLOOKUP(qry_ProdData2_PDI_Cash_Exception_Application[[#This Row],[TYPE]],#REF!,2,FALSE)</f>
        <v>type2</v>
      </c>
      <c r="E3051">
        <v>1514</v>
      </c>
      <c r="F3051" t="s">
        <v>50</v>
      </c>
      <c r="G3051" s="1">
        <f>qry_ProdData2_PDI_Cash_Exception_Application[[#This Row],[INSERT DATE]]+7</f>
        <v>45198.257071759261</v>
      </c>
      <c r="H3051" t="str">
        <f>VLOOKUP(qry_ProdData2_PDI_Cash_Exception_Application[[#This Row],[MARKET No]],'Site Allocation'!$B$2:$C$37,2,FALSE)</f>
        <v>Analyst3</v>
      </c>
      <c r="I3051" s="4">
        <f t="shared" ca="1" si="47"/>
        <v>45203</v>
      </c>
      <c r="J3051" s="42">
        <f ca="1">TODAY()-qry_ProdData2_PDI_Cash_Exception_Application[[#This Row],[INSERT DATE]]</f>
        <v>11.742928240739275</v>
      </c>
      <c r="K30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51">
        <f ca="1">qry_ProdData2_PDI_Cash_Exception_Application[[#This Row],[TODAY]]-qry_ProdData2_PDI_Cash_Exception_Application[[#This Row],[CHANGED ON]]</f>
        <v>4.7429282407392748</v>
      </c>
      <c r="M3051">
        <f ca="1">qry_ProdData2_PDI_Cash_Exception_Application[[#This Row],[TODAY]]-qry_ProdData2_PDI_Cash_Exception_Application[[#This Row],[CHANGED ON]]</f>
        <v>4.7429282407392748</v>
      </c>
      <c r="N3051">
        <f ca="1">qry_ProdData2_PDI_Cash_Exception_Application[[#This Row],[TODAY]]-qry_ProdData2_PDI_Cash_Exception_Application[[#This Row],[CHANGED ON]]</f>
        <v>4.7429282407392748</v>
      </c>
    </row>
    <row r="3052" spans="1:14" x14ac:dyDescent="0.35">
      <c r="A3052">
        <v>1002</v>
      </c>
      <c r="B3052" t="s">
        <v>56</v>
      </c>
      <c r="C3052" s="1">
        <v>45192.257071759261</v>
      </c>
      <c r="D3052" t="str">
        <f ca="1">VLOOKUP(qry_ProdData2_PDI_Cash_Exception_Application[[#This Row],[TYPE]],#REF!,2,FALSE)</f>
        <v>type40</v>
      </c>
      <c r="E3052">
        <v>49.99</v>
      </c>
      <c r="F3052" t="s">
        <v>50</v>
      </c>
      <c r="G3052" s="1">
        <f>qry_ProdData2_PDI_Cash_Exception_Application[[#This Row],[INSERT DATE]]+7</f>
        <v>45199.257071759261</v>
      </c>
      <c r="H3052" t="str">
        <f>VLOOKUP(qry_ProdData2_PDI_Cash_Exception_Application[[#This Row],[MARKET No]],'Site Allocation'!$B$2:$C$37,2,FALSE)</f>
        <v>Analyst1</v>
      </c>
      <c r="I3052" s="4">
        <f t="shared" ca="1" si="47"/>
        <v>45203</v>
      </c>
      <c r="J3052" s="42">
        <f ca="1">TODAY()-qry_ProdData2_PDI_Cash_Exception_Application[[#This Row],[INSERT DATE]]</f>
        <v>10.742928240739275</v>
      </c>
      <c r="K30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52">
        <f ca="1">qry_ProdData2_PDI_Cash_Exception_Application[[#This Row],[TODAY]]-qry_ProdData2_PDI_Cash_Exception_Application[[#This Row],[CHANGED ON]]</f>
        <v>3.7429282407392748</v>
      </c>
      <c r="M3052">
        <f ca="1">qry_ProdData2_PDI_Cash_Exception_Application[[#This Row],[TODAY]]-qry_ProdData2_PDI_Cash_Exception_Application[[#This Row],[CHANGED ON]]</f>
        <v>3.7429282407392748</v>
      </c>
      <c r="N3052">
        <f ca="1">qry_ProdData2_PDI_Cash_Exception_Application[[#This Row],[TODAY]]-qry_ProdData2_PDI_Cash_Exception_Application[[#This Row],[CHANGED ON]]</f>
        <v>3.7429282407392748</v>
      </c>
    </row>
    <row r="3053" spans="1:14" x14ac:dyDescent="0.35">
      <c r="A3053">
        <v>1006</v>
      </c>
      <c r="B3053" t="s">
        <v>60</v>
      </c>
      <c r="C3053" s="1">
        <v>45193.257071759261</v>
      </c>
      <c r="D3053" t="str">
        <f ca="1">VLOOKUP(qry_ProdData2_PDI_Cash_Exception_Application[[#This Row],[TYPE]],#REF!,2,FALSE)</f>
        <v>type40</v>
      </c>
      <c r="E3053">
        <v>569.94000000000005</v>
      </c>
      <c r="F3053" t="s">
        <v>47</v>
      </c>
      <c r="G3053" s="1">
        <f>qry_ProdData2_PDI_Cash_Exception_Application[[#This Row],[INSERT DATE]]+7</f>
        <v>45200.257071759261</v>
      </c>
      <c r="H3053" t="str">
        <f>VLOOKUP(qry_ProdData2_PDI_Cash_Exception_Application[[#This Row],[MARKET No]],'Site Allocation'!$B$2:$C$37,2,FALSE)</f>
        <v>Analyst2</v>
      </c>
      <c r="I3053" s="4">
        <f t="shared" ca="1" si="47"/>
        <v>45203</v>
      </c>
      <c r="J3053" s="42">
        <f ca="1">TODAY()-qry_ProdData2_PDI_Cash_Exception_Application[[#This Row],[INSERT DATE]]</f>
        <v>9.7429282407392748</v>
      </c>
      <c r="K30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53">
        <f ca="1">qry_ProdData2_PDI_Cash_Exception_Application[[#This Row],[TODAY]]-qry_ProdData2_PDI_Cash_Exception_Application[[#This Row],[CHANGED ON]]</f>
        <v>2.7429282407392748</v>
      </c>
      <c r="M3053">
        <f ca="1">qry_ProdData2_PDI_Cash_Exception_Application[[#This Row],[TODAY]]-qry_ProdData2_PDI_Cash_Exception_Application[[#This Row],[CHANGED ON]]</f>
        <v>2.7429282407392748</v>
      </c>
      <c r="N3053">
        <f ca="1">qry_ProdData2_PDI_Cash_Exception_Application[[#This Row],[TODAY]]-qry_ProdData2_PDI_Cash_Exception_Application[[#This Row],[CHANGED ON]]</f>
        <v>2.7429282407392748</v>
      </c>
    </row>
    <row r="3054" spans="1:14" x14ac:dyDescent="0.35">
      <c r="A3054">
        <v>1026</v>
      </c>
      <c r="B3054" t="s">
        <v>80</v>
      </c>
      <c r="C3054" s="1">
        <v>45195.257071759261</v>
      </c>
      <c r="D3054" t="str">
        <f ca="1">VLOOKUP(qry_ProdData2_PDI_Cash_Exception_Application[[#This Row],[TYPE]],#REF!,2,FALSE)</f>
        <v>type51</v>
      </c>
      <c r="E3054">
        <v>8525</v>
      </c>
      <c r="F3054" t="s">
        <v>49</v>
      </c>
      <c r="G3054" s="1">
        <f>qry_ProdData2_PDI_Cash_Exception_Application[[#This Row],[INSERT DATE]]+2</f>
        <v>45197.257071759261</v>
      </c>
      <c r="H3054" t="str">
        <f>VLOOKUP(qry_ProdData2_PDI_Cash_Exception_Application[[#This Row],[MARKET No]],'Site Allocation'!$B$2:$C$37,2,FALSE)</f>
        <v>Analyst5</v>
      </c>
      <c r="I3054" s="4">
        <f t="shared" ca="1" si="47"/>
        <v>45203</v>
      </c>
      <c r="J3054" s="42">
        <f ca="1">TODAY()-qry_ProdData2_PDI_Cash_Exception_Application[[#This Row],[INSERT DATE]]</f>
        <v>7.7429282407392748</v>
      </c>
      <c r="K30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54">
        <f ca="1">qry_ProdData2_PDI_Cash_Exception_Application[[#This Row],[TODAY]]-qry_ProdData2_PDI_Cash_Exception_Application[[#This Row],[CHANGED ON]]</f>
        <v>5.7429282407392748</v>
      </c>
      <c r="M3054">
        <f ca="1">qry_ProdData2_PDI_Cash_Exception_Application[[#This Row],[TODAY]]-qry_ProdData2_PDI_Cash_Exception_Application[[#This Row],[CHANGED ON]]</f>
        <v>5.7429282407392748</v>
      </c>
      <c r="N3054">
        <f ca="1">qry_ProdData2_PDI_Cash_Exception_Application[[#This Row],[TODAY]]-qry_ProdData2_PDI_Cash_Exception_Application[[#This Row],[CHANGED ON]]</f>
        <v>5.7429282407392748</v>
      </c>
    </row>
    <row r="3055" spans="1:14" x14ac:dyDescent="0.35">
      <c r="A3055">
        <v>1030</v>
      </c>
      <c r="B3055" t="s">
        <v>84</v>
      </c>
      <c r="C3055" s="1">
        <v>45195.257071759261</v>
      </c>
      <c r="D3055" t="str">
        <f ca="1">VLOOKUP(qry_ProdData2_PDI_Cash_Exception_Application[[#This Row],[TYPE]],#REF!,2,FALSE)</f>
        <v>type40</v>
      </c>
      <c r="E3055">
        <v>-1512.45</v>
      </c>
      <c r="F3055" t="s">
        <v>50</v>
      </c>
      <c r="G3055" s="1">
        <f>qry_ProdData2_PDI_Cash_Exception_Application[[#This Row],[INSERT DATE]]+7</f>
        <v>45202.257071759261</v>
      </c>
      <c r="H3055" t="str">
        <f>VLOOKUP(qry_ProdData2_PDI_Cash_Exception_Application[[#This Row],[MARKET No]],'Site Allocation'!$B$2:$C$37,2,FALSE)</f>
        <v>Analyst6</v>
      </c>
      <c r="I3055" s="4">
        <f t="shared" ca="1" si="47"/>
        <v>45203</v>
      </c>
      <c r="J3055" s="42">
        <f ca="1">TODAY()-qry_ProdData2_PDI_Cash_Exception_Application[[#This Row],[INSERT DATE]]</f>
        <v>7.7429282407392748</v>
      </c>
      <c r="K30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55">
        <f ca="1">qry_ProdData2_PDI_Cash_Exception_Application[[#This Row],[TODAY]]-qry_ProdData2_PDI_Cash_Exception_Application[[#This Row],[CHANGED ON]]</f>
        <v>0.74292824073927477</v>
      </c>
      <c r="M3055">
        <f ca="1">qry_ProdData2_PDI_Cash_Exception_Application[[#This Row],[TODAY]]-qry_ProdData2_PDI_Cash_Exception_Application[[#This Row],[CHANGED ON]]</f>
        <v>0.74292824073927477</v>
      </c>
      <c r="N3055">
        <f ca="1">qry_ProdData2_PDI_Cash_Exception_Application[[#This Row],[TODAY]]-qry_ProdData2_PDI_Cash_Exception_Application[[#This Row],[CHANGED ON]]</f>
        <v>0.74292824073927477</v>
      </c>
    </row>
    <row r="3056" spans="1:14" x14ac:dyDescent="0.35">
      <c r="A3056">
        <v>1025</v>
      </c>
      <c r="B3056" t="s">
        <v>79</v>
      </c>
      <c r="C3056" s="1">
        <v>45196.257071759261</v>
      </c>
      <c r="D3056" t="str">
        <f ca="1">VLOOKUP(qry_ProdData2_PDI_Cash_Exception_Application[[#This Row],[TYPE]],#REF!,2,FALSE)</f>
        <v>type18</v>
      </c>
      <c r="E3056">
        <v>405.79</v>
      </c>
      <c r="F3056" t="s">
        <v>50</v>
      </c>
      <c r="G3056" s="1">
        <f>qry_ProdData2_PDI_Cash_Exception_Application[[#This Row],[INSERT DATE]]+7</f>
        <v>45203.257071759261</v>
      </c>
      <c r="H3056" t="str">
        <f>VLOOKUP(qry_ProdData2_PDI_Cash_Exception_Application[[#This Row],[MARKET No]],'Site Allocation'!$B$2:$C$37,2,FALSE)</f>
        <v>Analyst5</v>
      </c>
      <c r="I3056" s="4">
        <f t="shared" ca="1" si="47"/>
        <v>45203</v>
      </c>
      <c r="J3056" s="42">
        <f ca="1">TODAY()-qry_ProdData2_PDI_Cash_Exception_Application[[#This Row],[INSERT DATE]]</f>
        <v>6.7429282407392748</v>
      </c>
      <c r="K30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56">
        <f ca="1">qry_ProdData2_PDI_Cash_Exception_Application[[#This Row],[TODAY]]-qry_ProdData2_PDI_Cash_Exception_Application[[#This Row],[CHANGED ON]]</f>
        <v>-0.25707175926072523</v>
      </c>
      <c r="M3056">
        <f ca="1">qry_ProdData2_PDI_Cash_Exception_Application[[#This Row],[TODAY]]-qry_ProdData2_PDI_Cash_Exception_Application[[#This Row],[CHANGED ON]]</f>
        <v>-0.25707175926072523</v>
      </c>
      <c r="N3056">
        <f ca="1">qry_ProdData2_PDI_Cash_Exception_Application[[#This Row],[TODAY]]-qry_ProdData2_PDI_Cash_Exception_Application[[#This Row],[CHANGED ON]]</f>
        <v>-0.25707175926072523</v>
      </c>
    </row>
    <row r="3057" spans="1:14" x14ac:dyDescent="0.35">
      <c r="A3057">
        <v>1004</v>
      </c>
      <c r="B3057" t="s">
        <v>58</v>
      </c>
      <c r="C3057" s="1">
        <v>45197.257071759261</v>
      </c>
      <c r="D3057" t="str">
        <f ca="1">VLOOKUP(qry_ProdData2_PDI_Cash_Exception_Application[[#This Row],[TYPE]],#REF!,2,FALSE)</f>
        <v>type40</v>
      </c>
      <c r="E3057">
        <v>726.26</v>
      </c>
      <c r="F3057" t="s">
        <v>50</v>
      </c>
      <c r="G3057" s="1">
        <f>qry_ProdData2_PDI_Cash_Exception_Application[[#This Row],[INSERT DATE]]+7</f>
        <v>45204.257071759261</v>
      </c>
      <c r="H3057" t="str">
        <f>VLOOKUP(qry_ProdData2_PDI_Cash_Exception_Application[[#This Row],[MARKET No]],'Site Allocation'!$B$2:$C$37,2,FALSE)</f>
        <v>Analyst1</v>
      </c>
      <c r="I3057" s="4">
        <f t="shared" ca="1" si="47"/>
        <v>45203</v>
      </c>
      <c r="J3057" s="42">
        <f ca="1">TODAY()-qry_ProdData2_PDI_Cash_Exception_Application[[#This Row],[INSERT DATE]]</f>
        <v>5.7429282407392748</v>
      </c>
      <c r="K30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57">
        <f ca="1">qry_ProdData2_PDI_Cash_Exception_Application[[#This Row],[TODAY]]-qry_ProdData2_PDI_Cash_Exception_Application[[#This Row],[CHANGED ON]]</f>
        <v>-1.2570717592607252</v>
      </c>
      <c r="M3057">
        <f ca="1">qry_ProdData2_PDI_Cash_Exception_Application[[#This Row],[TODAY]]-qry_ProdData2_PDI_Cash_Exception_Application[[#This Row],[CHANGED ON]]</f>
        <v>-1.2570717592607252</v>
      </c>
      <c r="N3057">
        <f ca="1">qry_ProdData2_PDI_Cash_Exception_Application[[#This Row],[TODAY]]-qry_ProdData2_PDI_Cash_Exception_Application[[#This Row],[CHANGED ON]]</f>
        <v>-1.2570717592607252</v>
      </c>
    </row>
    <row r="3058" spans="1:14" x14ac:dyDescent="0.35">
      <c r="A3058">
        <v>1013</v>
      </c>
      <c r="B3058" t="s">
        <v>67</v>
      </c>
      <c r="C3058" s="1">
        <v>45179.257071759261</v>
      </c>
      <c r="D3058" t="str">
        <f ca="1">VLOOKUP(qry_ProdData2_PDI_Cash_Exception_Application[[#This Row],[TYPE]],#REF!,2,FALSE)</f>
        <v>type25</v>
      </c>
      <c r="E3058">
        <v>207.56</v>
      </c>
      <c r="F3058" t="s">
        <v>52</v>
      </c>
      <c r="G3058" s="1">
        <f>qry_ProdData2_PDI_Cash_Exception_Application[[#This Row],[INSERT DATE]]+7</f>
        <v>45186.257071759261</v>
      </c>
      <c r="H3058" t="str">
        <f>VLOOKUP(qry_ProdData2_PDI_Cash_Exception_Application[[#This Row],[MARKET No]],'Site Allocation'!$B$2:$C$37,2,FALSE)</f>
        <v>Analyst3</v>
      </c>
      <c r="I3058" s="4">
        <f t="shared" ca="1" si="47"/>
        <v>45203</v>
      </c>
      <c r="J3058" s="42">
        <f ca="1">TODAY()-qry_ProdData2_PDI_Cash_Exception_Application[[#This Row],[INSERT DATE]]</f>
        <v>23.742928240739275</v>
      </c>
      <c r="K30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58">
        <f ca="1">qry_ProdData2_PDI_Cash_Exception_Application[[#This Row],[TODAY]]-qry_ProdData2_PDI_Cash_Exception_Application[[#This Row],[CHANGED ON]]</f>
        <v>16.742928240739275</v>
      </c>
      <c r="M3058">
        <f ca="1">qry_ProdData2_PDI_Cash_Exception_Application[[#This Row],[TODAY]]-qry_ProdData2_PDI_Cash_Exception_Application[[#This Row],[CHANGED ON]]</f>
        <v>16.742928240739275</v>
      </c>
      <c r="N3058">
        <f ca="1">qry_ProdData2_PDI_Cash_Exception_Application[[#This Row],[TODAY]]-qry_ProdData2_PDI_Cash_Exception_Application[[#This Row],[CHANGED ON]]</f>
        <v>16.742928240739275</v>
      </c>
    </row>
    <row r="3059" spans="1:14" x14ac:dyDescent="0.35">
      <c r="A3059">
        <v>1003</v>
      </c>
      <c r="B3059" t="s">
        <v>57</v>
      </c>
      <c r="C3059" s="1">
        <v>45194.257071759261</v>
      </c>
      <c r="D3059" t="str">
        <f ca="1">VLOOKUP(qry_ProdData2_PDI_Cash_Exception_Application[[#This Row],[TYPE]],#REF!,2,FALSE)</f>
        <v>type40</v>
      </c>
      <c r="E3059">
        <v>3754.29</v>
      </c>
      <c r="F3059" t="str">
        <f>qry_ProdData2_PDI_Cash_Exception_Application[[#This Row],[ANALYST]]</f>
        <v>Analyst1</v>
      </c>
      <c r="G3059" s="1">
        <f>qry_ProdData2_PDI_Cash_Exception_Application[[#This Row],[INSERT DATE]]+7</f>
        <v>45201.257071759261</v>
      </c>
      <c r="H3059" t="str">
        <f>VLOOKUP(qry_ProdData2_PDI_Cash_Exception_Application[[#This Row],[MARKET No]],'Site Allocation'!$B$2:$C$37,2,FALSE)</f>
        <v>Analyst1</v>
      </c>
      <c r="I3059" s="4">
        <f t="shared" ca="1" si="47"/>
        <v>45203</v>
      </c>
      <c r="J3059" s="42">
        <f ca="1">TODAY()-qry_ProdData2_PDI_Cash_Exception_Application[[#This Row],[INSERT DATE]]</f>
        <v>8.7429282407392748</v>
      </c>
      <c r="K30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59">
        <f ca="1">qry_ProdData2_PDI_Cash_Exception_Application[[#This Row],[TODAY]]-qry_ProdData2_PDI_Cash_Exception_Application[[#This Row],[CHANGED ON]]</f>
        <v>1.7429282407392748</v>
      </c>
      <c r="M3059">
        <f ca="1">qry_ProdData2_PDI_Cash_Exception_Application[[#This Row],[TODAY]]-qry_ProdData2_PDI_Cash_Exception_Application[[#This Row],[CHANGED ON]]</f>
        <v>1.7429282407392748</v>
      </c>
      <c r="N3059">
        <f ca="1">qry_ProdData2_PDI_Cash_Exception_Application[[#This Row],[TODAY]]-qry_ProdData2_PDI_Cash_Exception_Application[[#This Row],[CHANGED ON]]</f>
        <v>1.7429282407392748</v>
      </c>
    </row>
    <row r="3060" spans="1:14" x14ac:dyDescent="0.35">
      <c r="A3060">
        <v>1019</v>
      </c>
      <c r="B3060" t="s">
        <v>73</v>
      </c>
      <c r="C3060" s="1">
        <v>45181.257071759261</v>
      </c>
      <c r="D3060" t="str">
        <f ca="1">VLOOKUP(qry_ProdData2_PDI_Cash_Exception_Application[[#This Row],[TYPE]],#REF!,2,FALSE)</f>
        <v>type35</v>
      </c>
      <c r="E3060">
        <v>370.56</v>
      </c>
      <c r="F3060" t="s">
        <v>52</v>
      </c>
      <c r="G3060" s="1">
        <f>qry_ProdData2_PDI_Cash_Exception_Application[[#This Row],[INSERT DATE]]+7</f>
        <v>45188.257071759261</v>
      </c>
      <c r="H3060" t="str">
        <f>VLOOKUP(qry_ProdData2_PDI_Cash_Exception_Application[[#This Row],[MARKET No]],'Site Allocation'!$B$2:$C$37,2,FALSE)</f>
        <v>Analyst4</v>
      </c>
      <c r="I3060" s="4">
        <f t="shared" ca="1" si="47"/>
        <v>45203</v>
      </c>
      <c r="J3060" s="42">
        <f ca="1">TODAY()-qry_ProdData2_PDI_Cash_Exception_Application[[#This Row],[INSERT DATE]]</f>
        <v>21.742928240739275</v>
      </c>
      <c r="K30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60">
        <f ca="1">qry_ProdData2_PDI_Cash_Exception_Application[[#This Row],[TODAY]]-qry_ProdData2_PDI_Cash_Exception_Application[[#This Row],[CHANGED ON]]</f>
        <v>14.742928240739275</v>
      </c>
      <c r="M3060">
        <f ca="1">qry_ProdData2_PDI_Cash_Exception_Application[[#This Row],[TODAY]]-qry_ProdData2_PDI_Cash_Exception_Application[[#This Row],[CHANGED ON]]</f>
        <v>14.742928240739275</v>
      </c>
      <c r="N3060">
        <f ca="1">qry_ProdData2_PDI_Cash_Exception_Application[[#This Row],[TODAY]]-qry_ProdData2_PDI_Cash_Exception_Application[[#This Row],[CHANGED ON]]</f>
        <v>14.742928240739275</v>
      </c>
    </row>
    <row r="3061" spans="1:14" x14ac:dyDescent="0.35">
      <c r="A3061">
        <v>1018</v>
      </c>
      <c r="B3061" t="s">
        <v>72</v>
      </c>
      <c r="C3061" s="1">
        <v>45182.257071759261</v>
      </c>
      <c r="D3061" t="str">
        <f ca="1">VLOOKUP(qry_ProdData2_PDI_Cash_Exception_Application[[#This Row],[TYPE]],#REF!,2,FALSE)</f>
        <v>type40</v>
      </c>
      <c r="E3061">
        <v>1220.8</v>
      </c>
      <c r="F3061" t="s">
        <v>50</v>
      </c>
      <c r="G3061" s="1">
        <f>qry_ProdData2_PDI_Cash_Exception_Application[[#This Row],[INSERT DATE]]+7</f>
        <v>45189.257071759261</v>
      </c>
      <c r="H3061" t="str">
        <f>VLOOKUP(qry_ProdData2_PDI_Cash_Exception_Application[[#This Row],[MARKET No]],'Site Allocation'!$B$2:$C$37,2,FALSE)</f>
        <v>Analyst4</v>
      </c>
      <c r="I3061" s="4">
        <f t="shared" ca="1" si="47"/>
        <v>45203</v>
      </c>
      <c r="J3061" s="42">
        <f ca="1">TODAY()-qry_ProdData2_PDI_Cash_Exception_Application[[#This Row],[INSERT DATE]]</f>
        <v>20.742928240739275</v>
      </c>
      <c r="K30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61">
        <f ca="1">qry_ProdData2_PDI_Cash_Exception_Application[[#This Row],[TODAY]]-qry_ProdData2_PDI_Cash_Exception_Application[[#This Row],[CHANGED ON]]</f>
        <v>13.742928240739275</v>
      </c>
      <c r="M3061">
        <f ca="1">qry_ProdData2_PDI_Cash_Exception_Application[[#This Row],[TODAY]]-qry_ProdData2_PDI_Cash_Exception_Application[[#This Row],[CHANGED ON]]</f>
        <v>13.742928240739275</v>
      </c>
      <c r="N3061">
        <f ca="1">qry_ProdData2_PDI_Cash_Exception_Application[[#This Row],[TODAY]]-qry_ProdData2_PDI_Cash_Exception_Application[[#This Row],[CHANGED ON]]</f>
        <v>13.742928240739275</v>
      </c>
    </row>
    <row r="3062" spans="1:14" x14ac:dyDescent="0.35">
      <c r="A3062">
        <v>1019</v>
      </c>
      <c r="B3062" t="s">
        <v>73</v>
      </c>
      <c r="C3062" s="1">
        <v>45182.257071759261</v>
      </c>
      <c r="D3062" t="str">
        <f ca="1">VLOOKUP(qry_ProdData2_PDI_Cash_Exception_Application[[#This Row],[TYPE]],#REF!,2,FALSE)</f>
        <v>type40</v>
      </c>
      <c r="E3062">
        <v>-522.12</v>
      </c>
      <c r="F3062" t="s">
        <v>52</v>
      </c>
      <c r="G3062" s="1">
        <f>qry_ProdData2_PDI_Cash_Exception_Application[[#This Row],[INSERT DATE]]+7</f>
        <v>45189.257071759261</v>
      </c>
      <c r="H3062" t="str">
        <f>VLOOKUP(qry_ProdData2_PDI_Cash_Exception_Application[[#This Row],[MARKET No]],'Site Allocation'!$B$2:$C$37,2,FALSE)</f>
        <v>Analyst4</v>
      </c>
      <c r="I3062" s="4">
        <f t="shared" ca="1" si="47"/>
        <v>45203</v>
      </c>
      <c r="J3062" s="42">
        <f ca="1">TODAY()-qry_ProdData2_PDI_Cash_Exception_Application[[#This Row],[INSERT DATE]]</f>
        <v>20.742928240739275</v>
      </c>
      <c r="K30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62">
        <f ca="1">qry_ProdData2_PDI_Cash_Exception_Application[[#This Row],[TODAY]]-qry_ProdData2_PDI_Cash_Exception_Application[[#This Row],[CHANGED ON]]</f>
        <v>13.742928240739275</v>
      </c>
      <c r="M3062">
        <f ca="1">qry_ProdData2_PDI_Cash_Exception_Application[[#This Row],[TODAY]]-qry_ProdData2_PDI_Cash_Exception_Application[[#This Row],[CHANGED ON]]</f>
        <v>13.742928240739275</v>
      </c>
      <c r="N3062">
        <f ca="1">qry_ProdData2_PDI_Cash_Exception_Application[[#This Row],[TODAY]]-qry_ProdData2_PDI_Cash_Exception_Application[[#This Row],[CHANGED ON]]</f>
        <v>13.742928240739275</v>
      </c>
    </row>
    <row r="3063" spans="1:14" x14ac:dyDescent="0.35">
      <c r="A3063">
        <v>1035</v>
      </c>
      <c r="B3063" t="s">
        <v>89</v>
      </c>
      <c r="C3063" s="1">
        <v>45193.257071759261</v>
      </c>
      <c r="D3063" t="str">
        <f ca="1">VLOOKUP(qry_ProdData2_PDI_Cash_Exception_Application[[#This Row],[TYPE]],#REF!,2,FALSE)</f>
        <v>type40</v>
      </c>
      <c r="E3063">
        <v>6485</v>
      </c>
      <c r="F3063" t="s">
        <v>47</v>
      </c>
      <c r="G3063" s="1">
        <f>qry_ProdData2_PDI_Cash_Exception_Application[[#This Row],[INSERT DATE]]+2</f>
        <v>45195.257071759261</v>
      </c>
      <c r="H3063" t="str">
        <f>VLOOKUP(qry_ProdData2_PDI_Cash_Exception_Application[[#This Row],[MARKET No]],'Site Allocation'!$B$2:$C$37,2,FALSE)</f>
        <v>Analyst6</v>
      </c>
      <c r="I3063" s="4">
        <f t="shared" ca="1" si="47"/>
        <v>45203</v>
      </c>
      <c r="J3063" s="42">
        <f ca="1">TODAY()-qry_ProdData2_PDI_Cash_Exception_Application[[#This Row],[INSERT DATE]]</f>
        <v>9.7429282407392748</v>
      </c>
      <c r="K30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63">
        <f ca="1">qry_ProdData2_PDI_Cash_Exception_Application[[#This Row],[TODAY]]-qry_ProdData2_PDI_Cash_Exception_Application[[#This Row],[CHANGED ON]]</f>
        <v>7.7429282407392748</v>
      </c>
      <c r="M3063">
        <f ca="1">qry_ProdData2_PDI_Cash_Exception_Application[[#This Row],[TODAY]]-qry_ProdData2_PDI_Cash_Exception_Application[[#This Row],[CHANGED ON]]</f>
        <v>7.7429282407392748</v>
      </c>
      <c r="N3063">
        <f ca="1">qry_ProdData2_PDI_Cash_Exception_Application[[#This Row],[TODAY]]-qry_ProdData2_PDI_Cash_Exception_Application[[#This Row],[CHANGED ON]]</f>
        <v>7.7429282407392748</v>
      </c>
    </row>
    <row r="3064" spans="1:14" x14ac:dyDescent="0.35">
      <c r="A3064">
        <v>1031</v>
      </c>
      <c r="B3064" t="s">
        <v>85</v>
      </c>
      <c r="C3064" s="1">
        <v>45193.257071759261</v>
      </c>
      <c r="D3064" t="str">
        <f ca="1">VLOOKUP(qry_ProdData2_PDI_Cash_Exception_Application[[#This Row],[TYPE]],#REF!,2,FALSE)</f>
        <v>type40</v>
      </c>
      <c r="E3064">
        <v>1618.53</v>
      </c>
      <c r="F3064" t="s">
        <v>49</v>
      </c>
      <c r="G3064" s="1">
        <f>qry_ProdData2_PDI_Cash_Exception_Application[[#This Row],[INSERT DATE]]+2</f>
        <v>45195.257071759261</v>
      </c>
      <c r="H3064" t="str">
        <f>VLOOKUP(qry_ProdData2_PDI_Cash_Exception_Application[[#This Row],[MARKET No]],'Site Allocation'!$B$2:$C$37,2,FALSE)</f>
        <v>Analyst6</v>
      </c>
      <c r="I3064" s="4">
        <f t="shared" ca="1" si="47"/>
        <v>45203</v>
      </c>
      <c r="J3064" s="42">
        <f ca="1">TODAY()-qry_ProdData2_PDI_Cash_Exception_Application[[#This Row],[INSERT DATE]]</f>
        <v>9.7429282407392748</v>
      </c>
      <c r="K30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64">
        <f ca="1">qry_ProdData2_PDI_Cash_Exception_Application[[#This Row],[TODAY]]-qry_ProdData2_PDI_Cash_Exception_Application[[#This Row],[CHANGED ON]]</f>
        <v>7.7429282407392748</v>
      </c>
      <c r="M3064">
        <f ca="1">qry_ProdData2_PDI_Cash_Exception_Application[[#This Row],[TODAY]]-qry_ProdData2_PDI_Cash_Exception_Application[[#This Row],[CHANGED ON]]</f>
        <v>7.7429282407392748</v>
      </c>
      <c r="N3064">
        <f ca="1">qry_ProdData2_PDI_Cash_Exception_Application[[#This Row],[TODAY]]-qry_ProdData2_PDI_Cash_Exception_Application[[#This Row],[CHANGED ON]]</f>
        <v>7.7429282407392748</v>
      </c>
    </row>
    <row r="3065" spans="1:14" x14ac:dyDescent="0.35">
      <c r="A3065">
        <v>1006</v>
      </c>
      <c r="B3065" t="s">
        <v>60</v>
      </c>
      <c r="C3065" s="1">
        <v>45193.257071759261</v>
      </c>
      <c r="D3065" t="str">
        <f ca="1">VLOOKUP(qry_ProdData2_PDI_Cash_Exception_Application[[#This Row],[TYPE]],#REF!,2,FALSE)</f>
        <v>type40</v>
      </c>
      <c r="E3065">
        <v>-7992.91</v>
      </c>
      <c r="F3065" t="s">
        <v>49</v>
      </c>
      <c r="G3065" s="1">
        <f>qry_ProdData2_PDI_Cash_Exception_Application[[#This Row],[INSERT DATE]]+1</f>
        <v>45194.257071759261</v>
      </c>
      <c r="H3065" t="str">
        <f>VLOOKUP(qry_ProdData2_PDI_Cash_Exception_Application[[#This Row],[MARKET No]],'Site Allocation'!$B$2:$C$37,2,FALSE)</f>
        <v>Analyst2</v>
      </c>
      <c r="I3065" s="4">
        <f t="shared" ca="1" si="47"/>
        <v>45203</v>
      </c>
      <c r="J3065" s="42">
        <f ca="1">TODAY()-qry_ProdData2_PDI_Cash_Exception_Application[[#This Row],[INSERT DATE]]</f>
        <v>9.7429282407392748</v>
      </c>
      <c r="K30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65">
        <f ca="1">qry_ProdData2_PDI_Cash_Exception_Application[[#This Row],[TODAY]]-qry_ProdData2_PDI_Cash_Exception_Application[[#This Row],[CHANGED ON]]</f>
        <v>8.7429282407392748</v>
      </c>
      <c r="M3065">
        <f ca="1">qry_ProdData2_PDI_Cash_Exception_Application[[#This Row],[TODAY]]-qry_ProdData2_PDI_Cash_Exception_Application[[#This Row],[CHANGED ON]]</f>
        <v>8.7429282407392748</v>
      </c>
      <c r="N3065">
        <f ca="1">qry_ProdData2_PDI_Cash_Exception_Application[[#This Row],[TODAY]]-qry_ProdData2_PDI_Cash_Exception_Application[[#This Row],[CHANGED ON]]</f>
        <v>8.7429282407392748</v>
      </c>
    </row>
    <row r="3066" spans="1:14" x14ac:dyDescent="0.35">
      <c r="A3066">
        <v>1002</v>
      </c>
      <c r="B3066" t="s">
        <v>56</v>
      </c>
      <c r="C3066" s="1">
        <v>45193.257071759261</v>
      </c>
      <c r="D3066" t="str">
        <f ca="1">VLOOKUP(qry_ProdData2_PDI_Cash_Exception_Application[[#This Row],[TYPE]],#REF!,2,FALSE)</f>
        <v>type42</v>
      </c>
      <c r="E3066">
        <v>205</v>
      </c>
      <c r="F3066" t="str">
        <f>qry_ProdData2_PDI_Cash_Exception_Application[[#This Row],[ANALYST]]</f>
        <v>Analyst1</v>
      </c>
      <c r="G3066" s="1">
        <f>qry_ProdData2_PDI_Cash_Exception_Application[[#This Row],[INSERT DATE]]+5</f>
        <v>45198.257071759261</v>
      </c>
      <c r="H3066" t="str">
        <f>VLOOKUP(qry_ProdData2_PDI_Cash_Exception_Application[[#This Row],[MARKET No]],'Site Allocation'!$B$2:$C$37,2,FALSE)</f>
        <v>Analyst1</v>
      </c>
      <c r="I3066" s="4">
        <f t="shared" ca="1" si="47"/>
        <v>45203</v>
      </c>
      <c r="J3066" s="42">
        <f ca="1">TODAY()-qry_ProdData2_PDI_Cash_Exception_Application[[#This Row],[INSERT DATE]]</f>
        <v>9.7429282407392748</v>
      </c>
      <c r="K30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66">
        <f ca="1">qry_ProdData2_PDI_Cash_Exception_Application[[#This Row],[TODAY]]-qry_ProdData2_PDI_Cash_Exception_Application[[#This Row],[CHANGED ON]]</f>
        <v>4.7429282407392748</v>
      </c>
      <c r="M3066">
        <f ca="1">qry_ProdData2_PDI_Cash_Exception_Application[[#This Row],[TODAY]]-qry_ProdData2_PDI_Cash_Exception_Application[[#This Row],[CHANGED ON]]</f>
        <v>4.7429282407392748</v>
      </c>
      <c r="N3066">
        <f ca="1">qry_ProdData2_PDI_Cash_Exception_Application[[#This Row],[TODAY]]-qry_ProdData2_PDI_Cash_Exception_Application[[#This Row],[CHANGED ON]]</f>
        <v>4.7429282407392748</v>
      </c>
    </row>
    <row r="3067" spans="1:14" x14ac:dyDescent="0.35">
      <c r="A3067">
        <v>1027</v>
      </c>
      <c r="B3067" t="s">
        <v>81</v>
      </c>
      <c r="C3067" s="1">
        <v>45185.257071759261</v>
      </c>
      <c r="D3067" t="str">
        <f ca="1">VLOOKUP(qry_ProdData2_PDI_Cash_Exception_Application[[#This Row],[TYPE]],#REF!,2,FALSE)</f>
        <v>type40</v>
      </c>
      <c r="E3067">
        <v>-5427.62</v>
      </c>
      <c r="F3067" t="s">
        <v>52</v>
      </c>
      <c r="G3067" s="1">
        <f>qry_ProdData2_PDI_Cash_Exception_Application[[#This Row],[INSERT DATE]]+1</f>
        <v>45186.257071759261</v>
      </c>
      <c r="H3067" t="str">
        <f>VLOOKUP(qry_ProdData2_PDI_Cash_Exception_Application[[#This Row],[MARKET No]],'Site Allocation'!$B$2:$C$37,2,FALSE)</f>
        <v>Analyst5</v>
      </c>
      <c r="I3067" s="4">
        <f t="shared" ca="1" si="47"/>
        <v>45203</v>
      </c>
      <c r="J3067" s="42">
        <f ca="1">TODAY()-qry_ProdData2_PDI_Cash_Exception_Application[[#This Row],[INSERT DATE]]</f>
        <v>17.742928240739275</v>
      </c>
      <c r="K30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67">
        <f ca="1">qry_ProdData2_PDI_Cash_Exception_Application[[#This Row],[TODAY]]-qry_ProdData2_PDI_Cash_Exception_Application[[#This Row],[CHANGED ON]]</f>
        <v>16.742928240739275</v>
      </c>
      <c r="M3067">
        <f ca="1">qry_ProdData2_PDI_Cash_Exception_Application[[#This Row],[TODAY]]-qry_ProdData2_PDI_Cash_Exception_Application[[#This Row],[CHANGED ON]]</f>
        <v>16.742928240739275</v>
      </c>
      <c r="N3067">
        <f ca="1">qry_ProdData2_PDI_Cash_Exception_Application[[#This Row],[TODAY]]-qry_ProdData2_PDI_Cash_Exception_Application[[#This Row],[CHANGED ON]]</f>
        <v>16.742928240739275</v>
      </c>
    </row>
    <row r="3068" spans="1:14" x14ac:dyDescent="0.35">
      <c r="A3068">
        <v>1013</v>
      </c>
      <c r="B3068" t="s">
        <v>67</v>
      </c>
      <c r="C3068" s="1">
        <v>45185.257071759261</v>
      </c>
      <c r="D3068" t="str">
        <f ca="1">VLOOKUP(qry_ProdData2_PDI_Cash_Exception_Application[[#This Row],[TYPE]],#REF!,2,FALSE)</f>
        <v>type40</v>
      </c>
      <c r="E3068">
        <v>4185.7</v>
      </c>
      <c r="F3068" t="s">
        <v>52</v>
      </c>
      <c r="G3068" s="1">
        <f>qry_ProdData2_PDI_Cash_Exception_Application[[#This Row],[INSERT DATE]]+1</f>
        <v>45186.257071759261</v>
      </c>
      <c r="H3068" t="str">
        <f>VLOOKUP(qry_ProdData2_PDI_Cash_Exception_Application[[#This Row],[MARKET No]],'Site Allocation'!$B$2:$C$37,2,FALSE)</f>
        <v>Analyst3</v>
      </c>
      <c r="I3068" s="4">
        <f t="shared" ca="1" si="47"/>
        <v>45203</v>
      </c>
      <c r="J3068" s="42">
        <f ca="1">TODAY()-qry_ProdData2_PDI_Cash_Exception_Application[[#This Row],[INSERT DATE]]</f>
        <v>17.742928240739275</v>
      </c>
      <c r="K30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68">
        <f ca="1">qry_ProdData2_PDI_Cash_Exception_Application[[#This Row],[TODAY]]-qry_ProdData2_PDI_Cash_Exception_Application[[#This Row],[CHANGED ON]]</f>
        <v>16.742928240739275</v>
      </c>
      <c r="M3068">
        <f ca="1">qry_ProdData2_PDI_Cash_Exception_Application[[#This Row],[TODAY]]-qry_ProdData2_PDI_Cash_Exception_Application[[#This Row],[CHANGED ON]]</f>
        <v>16.742928240739275</v>
      </c>
      <c r="N3068">
        <f ca="1">qry_ProdData2_PDI_Cash_Exception_Application[[#This Row],[TODAY]]-qry_ProdData2_PDI_Cash_Exception_Application[[#This Row],[CHANGED ON]]</f>
        <v>16.742928240739275</v>
      </c>
    </row>
    <row r="3069" spans="1:14" x14ac:dyDescent="0.35">
      <c r="A3069">
        <v>1010</v>
      </c>
      <c r="B3069" t="s">
        <v>64</v>
      </c>
      <c r="C3069" s="1">
        <v>45196.257071759261</v>
      </c>
      <c r="D3069" t="str">
        <f ca="1">VLOOKUP(qry_ProdData2_PDI_Cash_Exception_Application[[#This Row],[TYPE]],#REF!,2,FALSE)</f>
        <v>type22</v>
      </c>
      <c r="E3069">
        <v>631.62</v>
      </c>
      <c r="F3069" t="str">
        <f>qry_ProdData2_PDI_Cash_Exception_Application[[#This Row],[ANALYST]]</f>
        <v>Analyst2</v>
      </c>
      <c r="G3069" s="1">
        <f>qry_ProdData2_PDI_Cash_Exception_Application[[#This Row],[INSERT DATE]]+1</f>
        <v>45197.257071759261</v>
      </c>
      <c r="H3069" t="str">
        <f>VLOOKUP(qry_ProdData2_PDI_Cash_Exception_Application[[#This Row],[MARKET No]],'Site Allocation'!$B$2:$C$37,2,FALSE)</f>
        <v>Analyst2</v>
      </c>
      <c r="I3069" s="4">
        <f t="shared" ca="1" si="47"/>
        <v>45203</v>
      </c>
      <c r="J3069" s="42">
        <f ca="1">TODAY()-qry_ProdData2_PDI_Cash_Exception_Application[[#This Row],[INSERT DATE]]</f>
        <v>6.7429282407392748</v>
      </c>
      <c r="K30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69">
        <f ca="1">qry_ProdData2_PDI_Cash_Exception_Application[[#This Row],[TODAY]]-qry_ProdData2_PDI_Cash_Exception_Application[[#This Row],[CHANGED ON]]</f>
        <v>5.7429282407392748</v>
      </c>
      <c r="M3069">
        <f ca="1">qry_ProdData2_PDI_Cash_Exception_Application[[#This Row],[TODAY]]-qry_ProdData2_PDI_Cash_Exception_Application[[#This Row],[CHANGED ON]]</f>
        <v>5.7429282407392748</v>
      </c>
      <c r="N3069">
        <f ca="1">qry_ProdData2_PDI_Cash_Exception_Application[[#This Row],[TODAY]]-qry_ProdData2_PDI_Cash_Exception_Application[[#This Row],[CHANGED ON]]</f>
        <v>5.7429282407392748</v>
      </c>
    </row>
    <row r="3070" spans="1:14" x14ac:dyDescent="0.35">
      <c r="A3070">
        <v>1003</v>
      </c>
      <c r="B3070" t="s">
        <v>57</v>
      </c>
      <c r="C3070" s="1">
        <v>45187.257071759261</v>
      </c>
      <c r="D3070" t="str">
        <f ca="1">VLOOKUP(qry_ProdData2_PDI_Cash_Exception_Application[[#This Row],[TYPE]],#REF!,2,FALSE)</f>
        <v>type9</v>
      </c>
      <c r="E3070">
        <v>90</v>
      </c>
      <c r="F3070" t="s">
        <v>52</v>
      </c>
      <c r="G3070" s="1">
        <f>qry_ProdData2_PDI_Cash_Exception_Application[[#This Row],[INSERT DATE]]+1</f>
        <v>45188.257071759261</v>
      </c>
      <c r="H3070" t="str">
        <f>VLOOKUP(qry_ProdData2_PDI_Cash_Exception_Application[[#This Row],[MARKET No]],'Site Allocation'!$B$2:$C$37,2,FALSE)</f>
        <v>Analyst1</v>
      </c>
      <c r="I3070" s="4">
        <f t="shared" ca="1" si="47"/>
        <v>45203</v>
      </c>
      <c r="J3070" s="42">
        <f ca="1">TODAY()-qry_ProdData2_PDI_Cash_Exception_Application[[#This Row],[INSERT DATE]]</f>
        <v>15.742928240739275</v>
      </c>
      <c r="K30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70">
        <f ca="1">qry_ProdData2_PDI_Cash_Exception_Application[[#This Row],[TODAY]]-qry_ProdData2_PDI_Cash_Exception_Application[[#This Row],[CHANGED ON]]</f>
        <v>14.742928240739275</v>
      </c>
      <c r="M3070">
        <f ca="1">qry_ProdData2_PDI_Cash_Exception_Application[[#This Row],[TODAY]]-qry_ProdData2_PDI_Cash_Exception_Application[[#This Row],[CHANGED ON]]</f>
        <v>14.742928240739275</v>
      </c>
      <c r="N3070">
        <f ca="1">qry_ProdData2_PDI_Cash_Exception_Application[[#This Row],[TODAY]]-qry_ProdData2_PDI_Cash_Exception_Application[[#This Row],[CHANGED ON]]</f>
        <v>14.742928240739275</v>
      </c>
    </row>
    <row r="3071" spans="1:14" x14ac:dyDescent="0.35">
      <c r="A3071">
        <v>1000</v>
      </c>
      <c r="B3071" t="s">
        <v>54</v>
      </c>
      <c r="C3071" s="1">
        <v>45197.257071759261</v>
      </c>
      <c r="D3071" t="str">
        <f ca="1">VLOOKUP(qry_ProdData2_PDI_Cash_Exception_Application[[#This Row],[TYPE]],#REF!,2,FALSE)</f>
        <v>type40</v>
      </c>
      <c r="E3071">
        <v>1746.65</v>
      </c>
      <c r="F3071" t="s">
        <v>51</v>
      </c>
      <c r="G3071" s="1">
        <f>qry_ProdData2_PDI_Cash_Exception_Application[[#This Row],[INSERT DATE]]+5</f>
        <v>45202.257071759261</v>
      </c>
      <c r="H3071" t="str">
        <f>VLOOKUP(qry_ProdData2_PDI_Cash_Exception_Application[[#This Row],[MARKET No]],'Site Allocation'!$B$2:$C$37,2,FALSE)</f>
        <v>Analyst1</v>
      </c>
      <c r="I3071" s="4">
        <f t="shared" ca="1" si="47"/>
        <v>45203</v>
      </c>
      <c r="J3071" s="42">
        <f ca="1">TODAY()-qry_ProdData2_PDI_Cash_Exception_Application[[#This Row],[INSERT DATE]]</f>
        <v>5.7429282407392748</v>
      </c>
      <c r="K30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71">
        <f ca="1">qry_ProdData2_PDI_Cash_Exception_Application[[#This Row],[TODAY]]-qry_ProdData2_PDI_Cash_Exception_Application[[#This Row],[CHANGED ON]]</f>
        <v>0.74292824073927477</v>
      </c>
      <c r="M3071">
        <f ca="1">qry_ProdData2_PDI_Cash_Exception_Application[[#This Row],[TODAY]]-qry_ProdData2_PDI_Cash_Exception_Application[[#This Row],[CHANGED ON]]</f>
        <v>0.74292824073927477</v>
      </c>
      <c r="N3071">
        <f ca="1">qry_ProdData2_PDI_Cash_Exception_Application[[#This Row],[TODAY]]-qry_ProdData2_PDI_Cash_Exception_Application[[#This Row],[CHANGED ON]]</f>
        <v>0.74292824073927477</v>
      </c>
    </row>
    <row r="3072" spans="1:14" x14ac:dyDescent="0.35">
      <c r="A3072">
        <v>1027</v>
      </c>
      <c r="B3072" t="s">
        <v>81</v>
      </c>
      <c r="C3072" s="1">
        <v>45188.257071759261</v>
      </c>
      <c r="D3072" t="str">
        <f ca="1">VLOOKUP(qry_ProdData2_PDI_Cash_Exception_Application[[#This Row],[TYPE]],#REF!,2,FALSE)</f>
        <v>type13</v>
      </c>
      <c r="E3072">
        <v>33595.9</v>
      </c>
      <c r="F3072" t="s">
        <v>52</v>
      </c>
      <c r="G3072" s="1">
        <f>qry_ProdData2_PDI_Cash_Exception_Application[[#This Row],[INSERT DATE]]+1</f>
        <v>45189.257071759261</v>
      </c>
      <c r="H3072" t="str">
        <f>VLOOKUP(qry_ProdData2_PDI_Cash_Exception_Application[[#This Row],[MARKET No]],'Site Allocation'!$B$2:$C$37,2,FALSE)</f>
        <v>Analyst5</v>
      </c>
      <c r="I3072" s="4">
        <f t="shared" ca="1" si="47"/>
        <v>45203</v>
      </c>
      <c r="J3072" s="42">
        <f ca="1">TODAY()-qry_ProdData2_PDI_Cash_Exception_Application[[#This Row],[INSERT DATE]]</f>
        <v>14.742928240739275</v>
      </c>
      <c r="K30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72">
        <f ca="1">qry_ProdData2_PDI_Cash_Exception_Application[[#This Row],[TODAY]]-qry_ProdData2_PDI_Cash_Exception_Application[[#This Row],[CHANGED ON]]</f>
        <v>13.742928240739275</v>
      </c>
      <c r="M3072">
        <f ca="1">qry_ProdData2_PDI_Cash_Exception_Application[[#This Row],[TODAY]]-qry_ProdData2_PDI_Cash_Exception_Application[[#This Row],[CHANGED ON]]</f>
        <v>13.742928240739275</v>
      </c>
      <c r="N3072">
        <f ca="1">qry_ProdData2_PDI_Cash_Exception_Application[[#This Row],[TODAY]]-qry_ProdData2_PDI_Cash_Exception_Application[[#This Row],[CHANGED ON]]</f>
        <v>13.742928240739275</v>
      </c>
    </row>
    <row r="3073" spans="1:14" x14ac:dyDescent="0.35">
      <c r="A3073">
        <v>1007</v>
      </c>
      <c r="B3073" t="s">
        <v>61</v>
      </c>
      <c r="C3073" s="1">
        <v>45196.257071759261</v>
      </c>
      <c r="D3073" t="str">
        <f ca="1">VLOOKUP(qry_ProdData2_PDI_Cash_Exception_Application[[#This Row],[TYPE]],#REF!,2,FALSE)</f>
        <v>type40</v>
      </c>
      <c r="E3073">
        <v>19.45</v>
      </c>
      <c r="F3073" t="str">
        <f>qry_ProdData2_PDI_Cash_Exception_Application[[#This Row],[ANALYST]]</f>
        <v>Analyst2</v>
      </c>
      <c r="G3073" s="1">
        <f>qry_ProdData2_PDI_Cash_Exception_Application[[#This Row],[INSERT DATE]]+7</f>
        <v>45203.257071759261</v>
      </c>
      <c r="H3073" t="str">
        <f>VLOOKUP(qry_ProdData2_PDI_Cash_Exception_Application[[#This Row],[MARKET No]],'Site Allocation'!$B$2:$C$37,2,FALSE)</f>
        <v>Analyst2</v>
      </c>
      <c r="I3073" s="4">
        <f t="shared" ca="1" si="47"/>
        <v>45203</v>
      </c>
      <c r="J3073" s="42">
        <f ca="1">TODAY()-qry_ProdData2_PDI_Cash_Exception_Application[[#This Row],[INSERT DATE]]</f>
        <v>6.7429282407392748</v>
      </c>
      <c r="K30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73">
        <f ca="1">qry_ProdData2_PDI_Cash_Exception_Application[[#This Row],[TODAY]]-qry_ProdData2_PDI_Cash_Exception_Application[[#This Row],[CHANGED ON]]</f>
        <v>-0.25707175926072523</v>
      </c>
      <c r="M3073">
        <f ca="1">qry_ProdData2_PDI_Cash_Exception_Application[[#This Row],[TODAY]]-qry_ProdData2_PDI_Cash_Exception_Application[[#This Row],[CHANGED ON]]</f>
        <v>-0.25707175926072523</v>
      </c>
      <c r="N3073">
        <f ca="1">qry_ProdData2_PDI_Cash_Exception_Application[[#This Row],[TODAY]]-qry_ProdData2_PDI_Cash_Exception_Application[[#This Row],[CHANGED ON]]</f>
        <v>-0.25707175926072523</v>
      </c>
    </row>
    <row r="3074" spans="1:14" x14ac:dyDescent="0.35">
      <c r="A3074">
        <v>1000</v>
      </c>
      <c r="B3074" t="s">
        <v>54</v>
      </c>
      <c r="C3074" s="1">
        <v>45189.257071759261</v>
      </c>
      <c r="D3074" t="str">
        <f ca="1">VLOOKUP(qry_ProdData2_PDI_Cash_Exception_Application[[#This Row],[TYPE]],#REF!,2,FALSE)</f>
        <v>type40</v>
      </c>
      <c r="E3074">
        <v>-1124.8</v>
      </c>
      <c r="F3074" t="s">
        <v>52</v>
      </c>
      <c r="G3074" s="1">
        <f>qry_ProdData2_PDI_Cash_Exception_Application[[#This Row],[INSERT DATE]]+1</f>
        <v>45190.257071759261</v>
      </c>
      <c r="H3074" t="str">
        <f>VLOOKUP(qry_ProdData2_PDI_Cash_Exception_Application[[#This Row],[MARKET No]],'Site Allocation'!$B$2:$C$37,2,FALSE)</f>
        <v>Analyst1</v>
      </c>
      <c r="I3074" s="4">
        <f t="shared" ref="I3074:I3137" ca="1" si="48">TODAY()</f>
        <v>45203</v>
      </c>
      <c r="J3074" s="42">
        <f ca="1">TODAY()-qry_ProdData2_PDI_Cash_Exception_Application[[#This Row],[INSERT DATE]]</f>
        <v>13.742928240739275</v>
      </c>
      <c r="K30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74">
        <f ca="1">qry_ProdData2_PDI_Cash_Exception_Application[[#This Row],[TODAY]]-qry_ProdData2_PDI_Cash_Exception_Application[[#This Row],[CHANGED ON]]</f>
        <v>12.742928240739275</v>
      </c>
      <c r="M3074">
        <f ca="1">qry_ProdData2_PDI_Cash_Exception_Application[[#This Row],[TODAY]]-qry_ProdData2_PDI_Cash_Exception_Application[[#This Row],[CHANGED ON]]</f>
        <v>12.742928240739275</v>
      </c>
      <c r="N3074">
        <f ca="1">qry_ProdData2_PDI_Cash_Exception_Application[[#This Row],[TODAY]]-qry_ProdData2_PDI_Cash_Exception_Application[[#This Row],[CHANGED ON]]</f>
        <v>12.742928240739275</v>
      </c>
    </row>
    <row r="3075" spans="1:14" x14ac:dyDescent="0.35">
      <c r="A3075">
        <v>1035</v>
      </c>
      <c r="B3075" t="s">
        <v>89</v>
      </c>
      <c r="C3075" s="1">
        <v>45196.257071759261</v>
      </c>
      <c r="D3075" t="str">
        <f ca="1">VLOOKUP(qry_ProdData2_PDI_Cash_Exception_Application[[#This Row],[TYPE]],#REF!,2,FALSE)</f>
        <v>type13</v>
      </c>
      <c r="E3075">
        <v>16246.45</v>
      </c>
      <c r="F3075" t="s">
        <v>51</v>
      </c>
      <c r="G3075" s="1">
        <f>qry_ProdData2_PDI_Cash_Exception_Application[[#This Row],[INSERT DATE]]+7</f>
        <v>45203.257071759261</v>
      </c>
      <c r="H3075" t="str">
        <f>VLOOKUP(qry_ProdData2_PDI_Cash_Exception_Application[[#This Row],[MARKET No]],'Site Allocation'!$B$2:$C$37,2,FALSE)</f>
        <v>Analyst6</v>
      </c>
      <c r="I3075" s="4">
        <f t="shared" ca="1" si="48"/>
        <v>45203</v>
      </c>
      <c r="J3075" s="42">
        <f ca="1">TODAY()-qry_ProdData2_PDI_Cash_Exception_Application[[#This Row],[INSERT DATE]]</f>
        <v>6.7429282407392748</v>
      </c>
      <c r="K30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75">
        <f ca="1">qry_ProdData2_PDI_Cash_Exception_Application[[#This Row],[TODAY]]-qry_ProdData2_PDI_Cash_Exception_Application[[#This Row],[CHANGED ON]]</f>
        <v>-0.25707175926072523</v>
      </c>
      <c r="M3075">
        <f ca="1">qry_ProdData2_PDI_Cash_Exception_Application[[#This Row],[TODAY]]-qry_ProdData2_PDI_Cash_Exception_Application[[#This Row],[CHANGED ON]]</f>
        <v>-0.25707175926072523</v>
      </c>
      <c r="N3075">
        <f ca="1">qry_ProdData2_PDI_Cash_Exception_Application[[#This Row],[TODAY]]-qry_ProdData2_PDI_Cash_Exception_Application[[#This Row],[CHANGED ON]]</f>
        <v>-0.25707175926072523</v>
      </c>
    </row>
    <row r="3076" spans="1:14" x14ac:dyDescent="0.35">
      <c r="A3076">
        <v>1020</v>
      </c>
      <c r="B3076" t="s">
        <v>74</v>
      </c>
      <c r="C3076" s="1">
        <v>45193.257071759261</v>
      </c>
      <c r="D3076" t="str">
        <f ca="1">VLOOKUP(qry_ProdData2_PDI_Cash_Exception_Application[[#This Row],[TYPE]],#REF!,2,FALSE)</f>
        <v>type13</v>
      </c>
      <c r="E3076">
        <v>50589.89</v>
      </c>
      <c r="F3076" t="s">
        <v>47</v>
      </c>
      <c r="G3076" s="1">
        <f>qry_ProdData2_PDI_Cash_Exception_Application[[#This Row],[INSERT DATE]]+1</f>
        <v>45194.257071759261</v>
      </c>
      <c r="H3076" t="str">
        <f>VLOOKUP(qry_ProdData2_PDI_Cash_Exception_Application[[#This Row],[MARKET No]],'Site Allocation'!$B$2:$C$37,2,FALSE)</f>
        <v>Analyst4</v>
      </c>
      <c r="I3076" s="4">
        <f t="shared" ca="1" si="48"/>
        <v>45203</v>
      </c>
      <c r="J3076" s="42">
        <f ca="1">TODAY()-qry_ProdData2_PDI_Cash_Exception_Application[[#This Row],[INSERT DATE]]</f>
        <v>9.7429282407392748</v>
      </c>
      <c r="K30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76">
        <f ca="1">qry_ProdData2_PDI_Cash_Exception_Application[[#This Row],[TODAY]]-qry_ProdData2_PDI_Cash_Exception_Application[[#This Row],[CHANGED ON]]</f>
        <v>8.7429282407392748</v>
      </c>
      <c r="M3076">
        <f ca="1">qry_ProdData2_PDI_Cash_Exception_Application[[#This Row],[TODAY]]-qry_ProdData2_PDI_Cash_Exception_Application[[#This Row],[CHANGED ON]]</f>
        <v>8.7429282407392748</v>
      </c>
      <c r="N3076">
        <f ca="1">qry_ProdData2_PDI_Cash_Exception_Application[[#This Row],[TODAY]]-qry_ProdData2_PDI_Cash_Exception_Application[[#This Row],[CHANGED ON]]</f>
        <v>8.7429282407392748</v>
      </c>
    </row>
    <row r="3077" spans="1:14" x14ac:dyDescent="0.35">
      <c r="A3077">
        <v>1003</v>
      </c>
      <c r="B3077" t="s">
        <v>57</v>
      </c>
      <c r="C3077" s="1">
        <v>45196.257071759261</v>
      </c>
      <c r="D3077" t="str">
        <f ca="1">VLOOKUP(qry_ProdData2_PDI_Cash_Exception_Application[[#This Row],[TYPE]],#REF!,2,FALSE)</f>
        <v>type7</v>
      </c>
      <c r="E3077">
        <v>-9311.34</v>
      </c>
      <c r="F3077" t="s">
        <v>51</v>
      </c>
      <c r="G3077" s="1">
        <f>qry_ProdData2_PDI_Cash_Exception_Application[[#This Row],[INSERT DATE]]+7</f>
        <v>45203.257071759261</v>
      </c>
      <c r="H3077" t="str">
        <f>VLOOKUP(qry_ProdData2_PDI_Cash_Exception_Application[[#This Row],[MARKET No]],'Site Allocation'!$B$2:$C$37,2,FALSE)</f>
        <v>Analyst1</v>
      </c>
      <c r="I3077" s="4">
        <f t="shared" ca="1" si="48"/>
        <v>45203</v>
      </c>
      <c r="J3077" s="42">
        <f ca="1">TODAY()-qry_ProdData2_PDI_Cash_Exception_Application[[#This Row],[INSERT DATE]]</f>
        <v>6.7429282407392748</v>
      </c>
      <c r="K30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77">
        <f ca="1">qry_ProdData2_PDI_Cash_Exception_Application[[#This Row],[TODAY]]-qry_ProdData2_PDI_Cash_Exception_Application[[#This Row],[CHANGED ON]]</f>
        <v>-0.25707175926072523</v>
      </c>
      <c r="M3077">
        <f ca="1">qry_ProdData2_PDI_Cash_Exception_Application[[#This Row],[TODAY]]-qry_ProdData2_PDI_Cash_Exception_Application[[#This Row],[CHANGED ON]]</f>
        <v>-0.25707175926072523</v>
      </c>
      <c r="N3077">
        <f ca="1">qry_ProdData2_PDI_Cash_Exception_Application[[#This Row],[TODAY]]-qry_ProdData2_PDI_Cash_Exception_Application[[#This Row],[CHANGED ON]]</f>
        <v>-0.25707175926072523</v>
      </c>
    </row>
    <row r="3078" spans="1:14" x14ac:dyDescent="0.35">
      <c r="A3078">
        <v>1034</v>
      </c>
      <c r="B3078" t="s">
        <v>88</v>
      </c>
      <c r="C3078" s="1">
        <v>45192.257071759261</v>
      </c>
      <c r="D3078" t="str">
        <f ca="1">VLOOKUP(qry_ProdData2_PDI_Cash_Exception_Application[[#This Row],[TYPE]],#REF!,2,FALSE)</f>
        <v>type40</v>
      </c>
      <c r="E3078">
        <v>355.41</v>
      </c>
      <c r="F3078" t="s">
        <v>52</v>
      </c>
      <c r="G3078" s="1">
        <f>qry_ProdData2_PDI_Cash_Exception_Application[[#This Row],[INSERT DATE]]+1</f>
        <v>45193.257071759261</v>
      </c>
      <c r="H3078" t="str">
        <f>VLOOKUP(qry_ProdData2_PDI_Cash_Exception_Application[[#This Row],[MARKET No]],'Site Allocation'!$B$2:$C$37,2,FALSE)</f>
        <v>Analyst6</v>
      </c>
      <c r="I3078" s="4">
        <f t="shared" ca="1" si="48"/>
        <v>45203</v>
      </c>
      <c r="J3078" s="42">
        <f ca="1">TODAY()-qry_ProdData2_PDI_Cash_Exception_Application[[#This Row],[INSERT DATE]]</f>
        <v>10.742928240739275</v>
      </c>
      <c r="K30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78">
        <f ca="1">qry_ProdData2_PDI_Cash_Exception_Application[[#This Row],[TODAY]]-qry_ProdData2_PDI_Cash_Exception_Application[[#This Row],[CHANGED ON]]</f>
        <v>9.7429282407392748</v>
      </c>
      <c r="M3078">
        <f ca="1">qry_ProdData2_PDI_Cash_Exception_Application[[#This Row],[TODAY]]-qry_ProdData2_PDI_Cash_Exception_Application[[#This Row],[CHANGED ON]]</f>
        <v>9.7429282407392748</v>
      </c>
      <c r="N3078">
        <f ca="1">qry_ProdData2_PDI_Cash_Exception_Application[[#This Row],[TODAY]]-qry_ProdData2_PDI_Cash_Exception_Application[[#This Row],[CHANGED ON]]</f>
        <v>9.7429282407392748</v>
      </c>
    </row>
    <row r="3079" spans="1:14" x14ac:dyDescent="0.35">
      <c r="A3079">
        <v>1006</v>
      </c>
      <c r="B3079" t="s">
        <v>60</v>
      </c>
      <c r="C3079" s="1">
        <v>45195.257071759261</v>
      </c>
      <c r="D3079" t="str">
        <f ca="1">VLOOKUP(qry_ProdData2_PDI_Cash_Exception_Application[[#This Row],[TYPE]],#REF!,2,FALSE)</f>
        <v>type40</v>
      </c>
      <c r="E3079">
        <v>302.26</v>
      </c>
      <c r="F3079" t="s">
        <v>49</v>
      </c>
      <c r="G3079" s="1">
        <f>qry_ProdData2_PDI_Cash_Exception_Application[[#This Row],[INSERT DATE]]+7</f>
        <v>45202.257071759261</v>
      </c>
      <c r="H3079" t="str">
        <f>VLOOKUP(qry_ProdData2_PDI_Cash_Exception_Application[[#This Row],[MARKET No]],'Site Allocation'!$B$2:$C$37,2,FALSE)</f>
        <v>Analyst2</v>
      </c>
      <c r="I3079" s="4">
        <f t="shared" ca="1" si="48"/>
        <v>45203</v>
      </c>
      <c r="J3079" s="42">
        <f ca="1">TODAY()-qry_ProdData2_PDI_Cash_Exception_Application[[#This Row],[INSERT DATE]]</f>
        <v>7.7429282407392748</v>
      </c>
      <c r="K30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79">
        <f ca="1">qry_ProdData2_PDI_Cash_Exception_Application[[#This Row],[TODAY]]-qry_ProdData2_PDI_Cash_Exception_Application[[#This Row],[CHANGED ON]]</f>
        <v>0.74292824073927477</v>
      </c>
      <c r="M3079">
        <f ca="1">qry_ProdData2_PDI_Cash_Exception_Application[[#This Row],[TODAY]]-qry_ProdData2_PDI_Cash_Exception_Application[[#This Row],[CHANGED ON]]</f>
        <v>0.74292824073927477</v>
      </c>
      <c r="N3079">
        <f ca="1">qry_ProdData2_PDI_Cash_Exception_Application[[#This Row],[TODAY]]-qry_ProdData2_PDI_Cash_Exception_Application[[#This Row],[CHANGED ON]]</f>
        <v>0.74292824073927477</v>
      </c>
    </row>
    <row r="3080" spans="1:14" x14ac:dyDescent="0.35">
      <c r="A3080">
        <v>1035</v>
      </c>
      <c r="B3080" t="s">
        <v>89</v>
      </c>
      <c r="C3080" s="1">
        <v>45194.257071759261</v>
      </c>
      <c r="D3080" t="str">
        <f ca="1">VLOOKUP(qry_ProdData2_PDI_Cash_Exception_Application[[#This Row],[TYPE]],#REF!,2,FALSE)</f>
        <v>type13</v>
      </c>
      <c r="E3080">
        <v>20881.63</v>
      </c>
      <c r="F3080" t="s">
        <v>50</v>
      </c>
      <c r="G3080" s="1">
        <f>qry_ProdData2_PDI_Cash_Exception_Application[[#This Row],[INSERT DATE]]+1</f>
        <v>45195.257071759261</v>
      </c>
      <c r="H3080" t="str">
        <f>VLOOKUP(qry_ProdData2_PDI_Cash_Exception_Application[[#This Row],[MARKET No]],'Site Allocation'!$B$2:$C$37,2,FALSE)</f>
        <v>Analyst6</v>
      </c>
      <c r="I3080" s="4">
        <f t="shared" ca="1" si="48"/>
        <v>45203</v>
      </c>
      <c r="J3080" s="42">
        <f ca="1">TODAY()-qry_ProdData2_PDI_Cash_Exception_Application[[#This Row],[INSERT DATE]]</f>
        <v>8.7429282407392748</v>
      </c>
      <c r="K30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80">
        <f ca="1">qry_ProdData2_PDI_Cash_Exception_Application[[#This Row],[TODAY]]-qry_ProdData2_PDI_Cash_Exception_Application[[#This Row],[CHANGED ON]]</f>
        <v>7.7429282407392748</v>
      </c>
      <c r="M3080">
        <f ca="1">qry_ProdData2_PDI_Cash_Exception_Application[[#This Row],[TODAY]]-qry_ProdData2_PDI_Cash_Exception_Application[[#This Row],[CHANGED ON]]</f>
        <v>7.7429282407392748</v>
      </c>
      <c r="N3080">
        <f ca="1">qry_ProdData2_PDI_Cash_Exception_Application[[#This Row],[TODAY]]-qry_ProdData2_PDI_Cash_Exception_Application[[#This Row],[CHANGED ON]]</f>
        <v>7.7429282407392748</v>
      </c>
    </row>
    <row r="3081" spans="1:14" x14ac:dyDescent="0.35">
      <c r="A3081">
        <v>1025</v>
      </c>
      <c r="B3081" t="s">
        <v>79</v>
      </c>
      <c r="C3081" s="1">
        <v>45195.257071759261</v>
      </c>
      <c r="D3081" t="str">
        <f ca="1">VLOOKUP(qry_ProdData2_PDI_Cash_Exception_Application[[#This Row],[TYPE]],#REF!,2,FALSE)</f>
        <v>type40</v>
      </c>
      <c r="E3081">
        <v>28.62</v>
      </c>
      <c r="F3081" t="s">
        <v>52</v>
      </c>
      <c r="G3081" s="1">
        <f>qry_ProdData2_PDI_Cash_Exception_Application[[#This Row],[INSERT DATE]]+1</f>
        <v>45196.257071759261</v>
      </c>
      <c r="H3081" t="str">
        <f>VLOOKUP(qry_ProdData2_PDI_Cash_Exception_Application[[#This Row],[MARKET No]],'Site Allocation'!$B$2:$C$37,2,FALSE)</f>
        <v>Analyst5</v>
      </c>
      <c r="I3081" s="4">
        <f t="shared" ca="1" si="48"/>
        <v>45203</v>
      </c>
      <c r="J3081" s="42">
        <f ca="1">TODAY()-qry_ProdData2_PDI_Cash_Exception_Application[[#This Row],[INSERT DATE]]</f>
        <v>7.7429282407392748</v>
      </c>
      <c r="K30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81">
        <f ca="1">qry_ProdData2_PDI_Cash_Exception_Application[[#This Row],[TODAY]]-qry_ProdData2_PDI_Cash_Exception_Application[[#This Row],[CHANGED ON]]</f>
        <v>6.7429282407392748</v>
      </c>
      <c r="M3081">
        <f ca="1">qry_ProdData2_PDI_Cash_Exception_Application[[#This Row],[TODAY]]-qry_ProdData2_PDI_Cash_Exception_Application[[#This Row],[CHANGED ON]]</f>
        <v>6.7429282407392748</v>
      </c>
      <c r="N3081">
        <f ca="1">qry_ProdData2_PDI_Cash_Exception_Application[[#This Row],[TODAY]]-qry_ProdData2_PDI_Cash_Exception_Application[[#This Row],[CHANGED ON]]</f>
        <v>6.7429282407392748</v>
      </c>
    </row>
    <row r="3082" spans="1:14" x14ac:dyDescent="0.35">
      <c r="A3082">
        <v>1004</v>
      </c>
      <c r="B3082" t="s">
        <v>58</v>
      </c>
      <c r="C3082" s="1">
        <v>45193.257071759261</v>
      </c>
      <c r="D3082" t="str">
        <f ca="1">VLOOKUP(qry_ProdData2_PDI_Cash_Exception_Application[[#This Row],[TYPE]],#REF!,2,FALSE)</f>
        <v>type26</v>
      </c>
      <c r="E3082">
        <v>356.24</v>
      </c>
      <c r="F3082" t="str">
        <f>qry_ProdData2_PDI_Cash_Exception_Application[[#This Row],[ANALYST]]</f>
        <v>Analyst1</v>
      </c>
      <c r="G3082" s="1">
        <f>qry_ProdData2_PDI_Cash_Exception_Application[[#This Row],[INSERT DATE]]+1</f>
        <v>45194.257071759261</v>
      </c>
      <c r="H3082" t="str">
        <f>VLOOKUP(qry_ProdData2_PDI_Cash_Exception_Application[[#This Row],[MARKET No]],'Site Allocation'!$B$2:$C$37,2,FALSE)</f>
        <v>Analyst1</v>
      </c>
      <c r="I3082" s="4">
        <f t="shared" ca="1" si="48"/>
        <v>45203</v>
      </c>
      <c r="J3082" s="42">
        <f ca="1">TODAY()-qry_ProdData2_PDI_Cash_Exception_Application[[#This Row],[INSERT DATE]]</f>
        <v>9.7429282407392748</v>
      </c>
      <c r="K30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82">
        <f ca="1">qry_ProdData2_PDI_Cash_Exception_Application[[#This Row],[TODAY]]-qry_ProdData2_PDI_Cash_Exception_Application[[#This Row],[CHANGED ON]]</f>
        <v>8.7429282407392748</v>
      </c>
      <c r="M3082">
        <f ca="1">qry_ProdData2_PDI_Cash_Exception_Application[[#This Row],[TODAY]]-qry_ProdData2_PDI_Cash_Exception_Application[[#This Row],[CHANGED ON]]</f>
        <v>8.7429282407392748</v>
      </c>
      <c r="N3082">
        <f ca="1">qry_ProdData2_PDI_Cash_Exception_Application[[#This Row],[TODAY]]-qry_ProdData2_PDI_Cash_Exception_Application[[#This Row],[CHANGED ON]]</f>
        <v>8.7429282407392748</v>
      </c>
    </row>
    <row r="3083" spans="1:14" x14ac:dyDescent="0.35">
      <c r="A3083">
        <v>1023</v>
      </c>
      <c r="B3083" t="s">
        <v>77</v>
      </c>
      <c r="C3083" s="1">
        <v>45193.257071759261</v>
      </c>
      <c r="D3083" t="str">
        <f ca="1">VLOOKUP(qry_ProdData2_PDI_Cash_Exception_Application[[#This Row],[TYPE]],#REF!,2,FALSE)</f>
        <v>type40</v>
      </c>
      <c r="E3083">
        <v>336.13</v>
      </c>
      <c r="F3083" t="s">
        <v>49</v>
      </c>
      <c r="G3083" s="1">
        <f>qry_ProdData2_PDI_Cash_Exception_Application[[#This Row],[INSERT DATE]]+2</f>
        <v>45195.257071759261</v>
      </c>
      <c r="H3083" t="str">
        <f>VLOOKUP(qry_ProdData2_PDI_Cash_Exception_Application[[#This Row],[MARKET No]],'Site Allocation'!$B$2:$C$37,2,FALSE)</f>
        <v>Analyst4</v>
      </c>
      <c r="I3083" s="4">
        <f t="shared" ca="1" si="48"/>
        <v>45203</v>
      </c>
      <c r="J3083" s="42">
        <f ca="1">TODAY()-qry_ProdData2_PDI_Cash_Exception_Application[[#This Row],[INSERT DATE]]</f>
        <v>9.7429282407392748</v>
      </c>
      <c r="K30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83">
        <f ca="1">qry_ProdData2_PDI_Cash_Exception_Application[[#This Row],[TODAY]]-qry_ProdData2_PDI_Cash_Exception_Application[[#This Row],[CHANGED ON]]</f>
        <v>7.7429282407392748</v>
      </c>
      <c r="M3083">
        <f ca="1">qry_ProdData2_PDI_Cash_Exception_Application[[#This Row],[TODAY]]-qry_ProdData2_PDI_Cash_Exception_Application[[#This Row],[CHANGED ON]]</f>
        <v>7.7429282407392748</v>
      </c>
      <c r="N3083">
        <f ca="1">qry_ProdData2_PDI_Cash_Exception_Application[[#This Row],[TODAY]]-qry_ProdData2_PDI_Cash_Exception_Application[[#This Row],[CHANGED ON]]</f>
        <v>7.7429282407392748</v>
      </c>
    </row>
    <row r="3084" spans="1:14" x14ac:dyDescent="0.35">
      <c r="A3084">
        <v>1030</v>
      </c>
      <c r="B3084" t="s">
        <v>84</v>
      </c>
      <c r="C3084" s="1">
        <v>45185.257071759261</v>
      </c>
      <c r="D3084" t="str">
        <f ca="1">VLOOKUP(qry_ProdData2_PDI_Cash_Exception_Application[[#This Row],[TYPE]],#REF!,2,FALSE)</f>
        <v>type40</v>
      </c>
      <c r="E3084">
        <v>377.43</v>
      </c>
      <c r="F3084" t="s">
        <v>52</v>
      </c>
      <c r="G3084" s="1">
        <f>qry_ProdData2_PDI_Cash_Exception_Application[[#This Row],[INSERT DATE]]+2</f>
        <v>45187.257071759261</v>
      </c>
      <c r="H3084" t="str">
        <f>VLOOKUP(qry_ProdData2_PDI_Cash_Exception_Application[[#This Row],[MARKET No]],'Site Allocation'!$B$2:$C$37,2,FALSE)</f>
        <v>Analyst6</v>
      </c>
      <c r="I3084" s="4">
        <f t="shared" ca="1" si="48"/>
        <v>45203</v>
      </c>
      <c r="J3084" s="42">
        <f ca="1">TODAY()-qry_ProdData2_PDI_Cash_Exception_Application[[#This Row],[INSERT DATE]]</f>
        <v>17.742928240739275</v>
      </c>
      <c r="K30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84">
        <f ca="1">qry_ProdData2_PDI_Cash_Exception_Application[[#This Row],[TODAY]]-qry_ProdData2_PDI_Cash_Exception_Application[[#This Row],[CHANGED ON]]</f>
        <v>15.742928240739275</v>
      </c>
      <c r="M3084">
        <f ca="1">qry_ProdData2_PDI_Cash_Exception_Application[[#This Row],[TODAY]]-qry_ProdData2_PDI_Cash_Exception_Application[[#This Row],[CHANGED ON]]</f>
        <v>15.742928240739275</v>
      </c>
      <c r="N3084">
        <f ca="1">qry_ProdData2_PDI_Cash_Exception_Application[[#This Row],[TODAY]]-qry_ProdData2_PDI_Cash_Exception_Application[[#This Row],[CHANGED ON]]</f>
        <v>15.742928240739275</v>
      </c>
    </row>
    <row r="3085" spans="1:14" x14ac:dyDescent="0.35">
      <c r="A3085">
        <v>1028</v>
      </c>
      <c r="B3085" t="s">
        <v>82</v>
      </c>
      <c r="C3085" s="1">
        <v>45186.257071759261</v>
      </c>
      <c r="D3085" t="str">
        <f ca="1">VLOOKUP(qry_ProdData2_PDI_Cash_Exception_Application[[#This Row],[TYPE]],#REF!,2,FALSE)</f>
        <v>type40</v>
      </c>
      <c r="E3085">
        <v>-854.24</v>
      </c>
      <c r="F3085" t="s">
        <v>50</v>
      </c>
      <c r="G3085" s="1">
        <f>qry_ProdData2_PDI_Cash_Exception_Application[[#This Row],[INSERT DATE]]+2</f>
        <v>45188.257071759261</v>
      </c>
      <c r="H3085" t="str">
        <f>VLOOKUP(qry_ProdData2_PDI_Cash_Exception_Application[[#This Row],[MARKET No]],'Site Allocation'!$B$2:$C$37,2,FALSE)</f>
        <v>Analyst5</v>
      </c>
      <c r="I3085" s="4">
        <f t="shared" ca="1" si="48"/>
        <v>45203</v>
      </c>
      <c r="J3085" s="42">
        <f ca="1">TODAY()-qry_ProdData2_PDI_Cash_Exception_Application[[#This Row],[INSERT DATE]]</f>
        <v>16.742928240739275</v>
      </c>
      <c r="K30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85">
        <f ca="1">qry_ProdData2_PDI_Cash_Exception_Application[[#This Row],[TODAY]]-qry_ProdData2_PDI_Cash_Exception_Application[[#This Row],[CHANGED ON]]</f>
        <v>14.742928240739275</v>
      </c>
      <c r="M3085">
        <f ca="1">qry_ProdData2_PDI_Cash_Exception_Application[[#This Row],[TODAY]]-qry_ProdData2_PDI_Cash_Exception_Application[[#This Row],[CHANGED ON]]</f>
        <v>14.742928240739275</v>
      </c>
      <c r="N3085">
        <f ca="1">qry_ProdData2_PDI_Cash_Exception_Application[[#This Row],[TODAY]]-qry_ProdData2_PDI_Cash_Exception_Application[[#This Row],[CHANGED ON]]</f>
        <v>14.742928240739275</v>
      </c>
    </row>
    <row r="3086" spans="1:14" x14ac:dyDescent="0.35">
      <c r="A3086">
        <v>1005</v>
      </c>
      <c r="B3086" t="s">
        <v>59</v>
      </c>
      <c r="C3086" s="1">
        <v>45194.257071759261</v>
      </c>
      <c r="D3086" t="str">
        <f ca="1">VLOOKUP(qry_ProdData2_PDI_Cash_Exception_Application[[#This Row],[TYPE]],#REF!,2,FALSE)</f>
        <v>type33</v>
      </c>
      <c r="E3086">
        <v>304.64</v>
      </c>
      <c r="F3086" t="str">
        <f>qry_ProdData2_PDI_Cash_Exception_Application[[#This Row],[ANALYST]]</f>
        <v>Analyst1</v>
      </c>
      <c r="G3086" s="1">
        <f>qry_ProdData2_PDI_Cash_Exception_Application[[#This Row],[INSERT DATE]]+1</f>
        <v>45195.257071759261</v>
      </c>
      <c r="H3086" t="str">
        <f>VLOOKUP(qry_ProdData2_PDI_Cash_Exception_Application[[#This Row],[MARKET No]],'Site Allocation'!$B$2:$C$37,2,FALSE)</f>
        <v>Analyst1</v>
      </c>
      <c r="I3086" s="4">
        <f t="shared" ca="1" si="48"/>
        <v>45203</v>
      </c>
      <c r="J3086" s="42">
        <f ca="1">TODAY()-qry_ProdData2_PDI_Cash_Exception_Application[[#This Row],[INSERT DATE]]</f>
        <v>8.7429282407392748</v>
      </c>
      <c r="K30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86">
        <f ca="1">qry_ProdData2_PDI_Cash_Exception_Application[[#This Row],[TODAY]]-qry_ProdData2_PDI_Cash_Exception_Application[[#This Row],[CHANGED ON]]</f>
        <v>7.7429282407392748</v>
      </c>
      <c r="M3086">
        <f ca="1">qry_ProdData2_PDI_Cash_Exception_Application[[#This Row],[TODAY]]-qry_ProdData2_PDI_Cash_Exception_Application[[#This Row],[CHANGED ON]]</f>
        <v>7.7429282407392748</v>
      </c>
      <c r="N3086">
        <f ca="1">qry_ProdData2_PDI_Cash_Exception_Application[[#This Row],[TODAY]]-qry_ProdData2_PDI_Cash_Exception_Application[[#This Row],[CHANGED ON]]</f>
        <v>7.7429282407392748</v>
      </c>
    </row>
    <row r="3087" spans="1:14" x14ac:dyDescent="0.35">
      <c r="A3087">
        <v>1031</v>
      </c>
      <c r="B3087" t="s">
        <v>85</v>
      </c>
      <c r="C3087" s="1">
        <v>45195.257071759261</v>
      </c>
      <c r="D3087" t="str">
        <f ca="1">VLOOKUP(qry_ProdData2_PDI_Cash_Exception_Application[[#This Row],[TYPE]],#REF!,2,FALSE)</f>
        <v>type40</v>
      </c>
      <c r="E3087">
        <v>-7831.68</v>
      </c>
      <c r="F3087" t="s">
        <v>49</v>
      </c>
      <c r="G3087" s="1">
        <f>qry_ProdData2_PDI_Cash_Exception_Application[[#This Row],[INSERT DATE]]+2</f>
        <v>45197.257071759261</v>
      </c>
      <c r="H3087" t="str">
        <f>VLOOKUP(qry_ProdData2_PDI_Cash_Exception_Application[[#This Row],[MARKET No]],'Site Allocation'!$B$2:$C$37,2,FALSE)</f>
        <v>Analyst6</v>
      </c>
      <c r="I3087" s="4">
        <f t="shared" ca="1" si="48"/>
        <v>45203</v>
      </c>
      <c r="J3087" s="42">
        <f ca="1">TODAY()-qry_ProdData2_PDI_Cash_Exception_Application[[#This Row],[INSERT DATE]]</f>
        <v>7.7429282407392748</v>
      </c>
      <c r="K30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87">
        <f ca="1">qry_ProdData2_PDI_Cash_Exception_Application[[#This Row],[TODAY]]-qry_ProdData2_PDI_Cash_Exception_Application[[#This Row],[CHANGED ON]]</f>
        <v>5.7429282407392748</v>
      </c>
      <c r="M3087">
        <f ca="1">qry_ProdData2_PDI_Cash_Exception_Application[[#This Row],[TODAY]]-qry_ProdData2_PDI_Cash_Exception_Application[[#This Row],[CHANGED ON]]</f>
        <v>5.7429282407392748</v>
      </c>
      <c r="N3087">
        <f ca="1">qry_ProdData2_PDI_Cash_Exception_Application[[#This Row],[TODAY]]-qry_ProdData2_PDI_Cash_Exception_Application[[#This Row],[CHANGED ON]]</f>
        <v>5.7429282407392748</v>
      </c>
    </row>
    <row r="3088" spans="1:14" x14ac:dyDescent="0.35">
      <c r="A3088">
        <v>1010</v>
      </c>
      <c r="B3088" t="s">
        <v>64</v>
      </c>
      <c r="C3088" s="1">
        <v>45197.257071759261</v>
      </c>
      <c r="D3088" t="str">
        <f ca="1">VLOOKUP(qry_ProdData2_PDI_Cash_Exception_Application[[#This Row],[TYPE]],#REF!,2,FALSE)</f>
        <v>type40</v>
      </c>
      <c r="E3088">
        <v>-2207.66</v>
      </c>
      <c r="F3088" t="str">
        <f>qry_ProdData2_PDI_Cash_Exception_Application[[#This Row],[ANALYST]]</f>
        <v>Analyst2</v>
      </c>
      <c r="G3088" s="1">
        <f>qry_ProdData2_PDI_Cash_Exception_Application[[#This Row],[INSERT DATE]]+1</f>
        <v>45198.257071759261</v>
      </c>
      <c r="H3088" t="str">
        <f>VLOOKUP(qry_ProdData2_PDI_Cash_Exception_Application[[#This Row],[MARKET No]],'Site Allocation'!$B$2:$C$37,2,FALSE)</f>
        <v>Analyst2</v>
      </c>
      <c r="I3088" s="4">
        <f t="shared" ca="1" si="48"/>
        <v>45203</v>
      </c>
      <c r="J3088" s="42">
        <f ca="1">TODAY()-qry_ProdData2_PDI_Cash_Exception_Application[[#This Row],[INSERT DATE]]</f>
        <v>5.7429282407392748</v>
      </c>
      <c r="K30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88">
        <f ca="1">qry_ProdData2_PDI_Cash_Exception_Application[[#This Row],[TODAY]]-qry_ProdData2_PDI_Cash_Exception_Application[[#This Row],[CHANGED ON]]</f>
        <v>4.7429282407392748</v>
      </c>
      <c r="M3088">
        <f ca="1">qry_ProdData2_PDI_Cash_Exception_Application[[#This Row],[TODAY]]-qry_ProdData2_PDI_Cash_Exception_Application[[#This Row],[CHANGED ON]]</f>
        <v>4.7429282407392748</v>
      </c>
      <c r="N3088">
        <f ca="1">qry_ProdData2_PDI_Cash_Exception_Application[[#This Row],[TODAY]]-qry_ProdData2_PDI_Cash_Exception_Application[[#This Row],[CHANGED ON]]</f>
        <v>4.7429282407392748</v>
      </c>
    </row>
    <row r="3089" spans="1:14" x14ac:dyDescent="0.35">
      <c r="A3089">
        <v>1014</v>
      </c>
      <c r="B3089" t="s">
        <v>68</v>
      </c>
      <c r="C3089" s="1">
        <v>45189.257071759261</v>
      </c>
      <c r="D3089" t="str">
        <f ca="1">VLOOKUP(qry_ProdData2_PDI_Cash_Exception_Application[[#This Row],[TYPE]],#REF!,2,FALSE)</f>
        <v>type40</v>
      </c>
      <c r="E3089">
        <v>1702.01</v>
      </c>
      <c r="F3089" t="s">
        <v>52</v>
      </c>
      <c r="G3089" s="1">
        <f>qry_ProdData2_PDI_Cash_Exception_Application[[#This Row],[INSERT DATE]]+2</f>
        <v>45191.257071759261</v>
      </c>
      <c r="H3089" t="str">
        <f>VLOOKUP(qry_ProdData2_PDI_Cash_Exception_Application[[#This Row],[MARKET No]],'Site Allocation'!$B$2:$C$37,2,FALSE)</f>
        <v>Analyst3</v>
      </c>
      <c r="I3089" s="4">
        <f t="shared" ca="1" si="48"/>
        <v>45203</v>
      </c>
      <c r="J3089" s="42">
        <f ca="1">TODAY()-qry_ProdData2_PDI_Cash_Exception_Application[[#This Row],[INSERT DATE]]</f>
        <v>13.742928240739275</v>
      </c>
      <c r="K30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89">
        <f ca="1">qry_ProdData2_PDI_Cash_Exception_Application[[#This Row],[TODAY]]-qry_ProdData2_PDI_Cash_Exception_Application[[#This Row],[CHANGED ON]]</f>
        <v>11.742928240739275</v>
      </c>
      <c r="M3089">
        <f ca="1">qry_ProdData2_PDI_Cash_Exception_Application[[#This Row],[TODAY]]-qry_ProdData2_PDI_Cash_Exception_Application[[#This Row],[CHANGED ON]]</f>
        <v>11.742928240739275</v>
      </c>
      <c r="N3089">
        <f ca="1">qry_ProdData2_PDI_Cash_Exception_Application[[#This Row],[TODAY]]-qry_ProdData2_PDI_Cash_Exception_Application[[#This Row],[CHANGED ON]]</f>
        <v>11.742928240739275</v>
      </c>
    </row>
    <row r="3090" spans="1:14" x14ac:dyDescent="0.35">
      <c r="A3090">
        <v>1019</v>
      </c>
      <c r="B3090" t="s">
        <v>73</v>
      </c>
      <c r="C3090" s="1">
        <v>45197.257071759261</v>
      </c>
      <c r="D3090" t="str">
        <f ca="1">VLOOKUP(qry_ProdData2_PDI_Cash_Exception_Application[[#This Row],[TYPE]],#REF!,2,FALSE)</f>
        <v>type13</v>
      </c>
      <c r="E3090">
        <v>13087</v>
      </c>
      <c r="F3090" t="s">
        <v>51</v>
      </c>
      <c r="G3090" s="1">
        <f>qry_ProdData2_PDI_Cash_Exception_Application[[#This Row],[INSERT DATE]]+1</f>
        <v>45198.257071759261</v>
      </c>
      <c r="H3090" t="str">
        <f>VLOOKUP(qry_ProdData2_PDI_Cash_Exception_Application[[#This Row],[MARKET No]],'Site Allocation'!$B$2:$C$37,2,FALSE)</f>
        <v>Analyst4</v>
      </c>
      <c r="I3090" s="4">
        <f t="shared" ca="1" si="48"/>
        <v>45203</v>
      </c>
      <c r="J3090" s="42">
        <f ca="1">TODAY()-qry_ProdData2_PDI_Cash_Exception_Application[[#This Row],[INSERT DATE]]</f>
        <v>5.7429282407392748</v>
      </c>
      <c r="K30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90">
        <f ca="1">qry_ProdData2_PDI_Cash_Exception_Application[[#This Row],[TODAY]]-qry_ProdData2_PDI_Cash_Exception_Application[[#This Row],[CHANGED ON]]</f>
        <v>4.7429282407392748</v>
      </c>
      <c r="M3090">
        <f ca="1">qry_ProdData2_PDI_Cash_Exception_Application[[#This Row],[TODAY]]-qry_ProdData2_PDI_Cash_Exception_Application[[#This Row],[CHANGED ON]]</f>
        <v>4.7429282407392748</v>
      </c>
      <c r="N3090">
        <f ca="1">qry_ProdData2_PDI_Cash_Exception_Application[[#This Row],[TODAY]]-qry_ProdData2_PDI_Cash_Exception_Application[[#This Row],[CHANGED ON]]</f>
        <v>4.7429282407392748</v>
      </c>
    </row>
    <row r="3091" spans="1:14" x14ac:dyDescent="0.35">
      <c r="A3091">
        <v>1004</v>
      </c>
      <c r="B3091" t="s">
        <v>58</v>
      </c>
      <c r="C3091" s="1">
        <v>45190.257071759261</v>
      </c>
      <c r="D3091" t="str">
        <f ca="1">VLOOKUP(qry_ProdData2_PDI_Cash_Exception_Application[[#This Row],[TYPE]],#REF!,2,FALSE)</f>
        <v>type10</v>
      </c>
      <c r="E3091">
        <v>378.08</v>
      </c>
      <c r="F3091" t="s">
        <v>52</v>
      </c>
      <c r="G3091" s="1">
        <f>qry_ProdData2_PDI_Cash_Exception_Application[[#This Row],[INSERT DATE]]+2</f>
        <v>45192.257071759261</v>
      </c>
      <c r="H3091" t="str">
        <f>VLOOKUP(qry_ProdData2_PDI_Cash_Exception_Application[[#This Row],[MARKET No]],'Site Allocation'!$B$2:$C$37,2,FALSE)</f>
        <v>Analyst1</v>
      </c>
      <c r="I3091" s="4">
        <f t="shared" ca="1" si="48"/>
        <v>45203</v>
      </c>
      <c r="J3091" s="42">
        <f ca="1">TODAY()-qry_ProdData2_PDI_Cash_Exception_Application[[#This Row],[INSERT DATE]]</f>
        <v>12.742928240739275</v>
      </c>
      <c r="K30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91">
        <f ca="1">qry_ProdData2_PDI_Cash_Exception_Application[[#This Row],[TODAY]]-qry_ProdData2_PDI_Cash_Exception_Application[[#This Row],[CHANGED ON]]</f>
        <v>10.742928240739275</v>
      </c>
      <c r="M3091">
        <f ca="1">qry_ProdData2_PDI_Cash_Exception_Application[[#This Row],[TODAY]]-qry_ProdData2_PDI_Cash_Exception_Application[[#This Row],[CHANGED ON]]</f>
        <v>10.742928240739275</v>
      </c>
      <c r="N3091">
        <f ca="1">qry_ProdData2_PDI_Cash_Exception_Application[[#This Row],[TODAY]]-qry_ProdData2_PDI_Cash_Exception_Application[[#This Row],[CHANGED ON]]</f>
        <v>10.742928240739275</v>
      </c>
    </row>
    <row r="3092" spans="1:14" x14ac:dyDescent="0.35">
      <c r="A3092">
        <v>1025</v>
      </c>
      <c r="B3092" t="s">
        <v>79</v>
      </c>
      <c r="C3092" s="1">
        <v>45190.257071759261</v>
      </c>
      <c r="D3092" t="str">
        <f ca="1">VLOOKUP(qry_ProdData2_PDI_Cash_Exception_Application[[#This Row],[TYPE]],#REF!,2,FALSE)</f>
        <v>type13</v>
      </c>
      <c r="E3092">
        <v>54585.31</v>
      </c>
      <c r="F3092" t="s">
        <v>52</v>
      </c>
      <c r="G3092" s="1">
        <f>qry_ProdData2_PDI_Cash_Exception_Application[[#This Row],[INSERT DATE]]+2</f>
        <v>45192.257071759261</v>
      </c>
      <c r="H3092" t="str">
        <f>VLOOKUP(qry_ProdData2_PDI_Cash_Exception_Application[[#This Row],[MARKET No]],'Site Allocation'!$B$2:$C$37,2,FALSE)</f>
        <v>Analyst5</v>
      </c>
      <c r="I3092" s="4">
        <f t="shared" ca="1" si="48"/>
        <v>45203</v>
      </c>
      <c r="J3092" s="42">
        <f ca="1">TODAY()-qry_ProdData2_PDI_Cash_Exception_Application[[#This Row],[INSERT DATE]]</f>
        <v>12.742928240739275</v>
      </c>
      <c r="K30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92">
        <f ca="1">qry_ProdData2_PDI_Cash_Exception_Application[[#This Row],[TODAY]]-qry_ProdData2_PDI_Cash_Exception_Application[[#This Row],[CHANGED ON]]</f>
        <v>10.742928240739275</v>
      </c>
      <c r="M3092">
        <f ca="1">qry_ProdData2_PDI_Cash_Exception_Application[[#This Row],[TODAY]]-qry_ProdData2_PDI_Cash_Exception_Application[[#This Row],[CHANGED ON]]</f>
        <v>10.742928240739275</v>
      </c>
      <c r="N3092">
        <f ca="1">qry_ProdData2_PDI_Cash_Exception_Application[[#This Row],[TODAY]]-qry_ProdData2_PDI_Cash_Exception_Application[[#This Row],[CHANGED ON]]</f>
        <v>10.742928240739275</v>
      </c>
    </row>
    <row r="3093" spans="1:14" x14ac:dyDescent="0.35">
      <c r="A3093">
        <v>1018</v>
      </c>
      <c r="B3093" t="s">
        <v>72</v>
      </c>
      <c r="C3093" s="1">
        <v>45191.257071759261</v>
      </c>
      <c r="D3093" t="str">
        <f ca="1">VLOOKUP(qry_ProdData2_PDI_Cash_Exception_Application[[#This Row],[TYPE]],#REF!,2,FALSE)</f>
        <v>type38</v>
      </c>
      <c r="E3093">
        <v>338.14</v>
      </c>
      <c r="F3093" t="s">
        <v>50</v>
      </c>
      <c r="G3093" s="1">
        <f>qry_ProdData2_PDI_Cash_Exception_Application[[#This Row],[INSERT DATE]]+2</f>
        <v>45193.257071759261</v>
      </c>
      <c r="H3093" t="str">
        <f>VLOOKUP(qry_ProdData2_PDI_Cash_Exception_Application[[#This Row],[MARKET No]],'Site Allocation'!$B$2:$C$37,2,FALSE)</f>
        <v>Analyst4</v>
      </c>
      <c r="I3093" s="4">
        <f t="shared" ca="1" si="48"/>
        <v>45203</v>
      </c>
      <c r="J3093" s="42">
        <f ca="1">TODAY()-qry_ProdData2_PDI_Cash_Exception_Application[[#This Row],[INSERT DATE]]</f>
        <v>11.742928240739275</v>
      </c>
      <c r="K30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93">
        <f ca="1">qry_ProdData2_PDI_Cash_Exception_Application[[#This Row],[TODAY]]-qry_ProdData2_PDI_Cash_Exception_Application[[#This Row],[CHANGED ON]]</f>
        <v>9.7429282407392748</v>
      </c>
      <c r="M3093">
        <f ca="1">qry_ProdData2_PDI_Cash_Exception_Application[[#This Row],[TODAY]]-qry_ProdData2_PDI_Cash_Exception_Application[[#This Row],[CHANGED ON]]</f>
        <v>9.7429282407392748</v>
      </c>
      <c r="N3093">
        <f ca="1">qry_ProdData2_PDI_Cash_Exception_Application[[#This Row],[TODAY]]-qry_ProdData2_PDI_Cash_Exception_Application[[#This Row],[CHANGED ON]]</f>
        <v>9.7429282407392748</v>
      </c>
    </row>
    <row r="3094" spans="1:14" x14ac:dyDescent="0.35">
      <c r="A3094">
        <v>1019</v>
      </c>
      <c r="B3094" t="s">
        <v>73</v>
      </c>
      <c r="C3094" s="1">
        <v>45197.257071759261</v>
      </c>
      <c r="D3094" t="str">
        <f ca="1">VLOOKUP(qry_ProdData2_PDI_Cash_Exception_Application[[#This Row],[TYPE]],#REF!,2,FALSE)</f>
        <v>type13</v>
      </c>
      <c r="E3094">
        <v>18497.349999999999</v>
      </c>
      <c r="F3094" t="s">
        <v>51</v>
      </c>
      <c r="G3094" s="1">
        <f>qry_ProdData2_PDI_Cash_Exception_Application[[#This Row],[INSERT DATE]]+7</f>
        <v>45204.257071759261</v>
      </c>
      <c r="H3094" t="str">
        <f>VLOOKUP(qry_ProdData2_PDI_Cash_Exception_Application[[#This Row],[MARKET No]],'Site Allocation'!$B$2:$C$37,2,FALSE)</f>
        <v>Analyst4</v>
      </c>
      <c r="I3094" s="4">
        <f t="shared" ca="1" si="48"/>
        <v>45203</v>
      </c>
      <c r="J3094" s="42">
        <f ca="1">TODAY()-qry_ProdData2_PDI_Cash_Exception_Application[[#This Row],[INSERT DATE]]</f>
        <v>5.7429282407392748</v>
      </c>
      <c r="K30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094">
        <f ca="1">qry_ProdData2_PDI_Cash_Exception_Application[[#This Row],[TODAY]]-qry_ProdData2_PDI_Cash_Exception_Application[[#This Row],[CHANGED ON]]</f>
        <v>-1.2570717592607252</v>
      </c>
      <c r="M3094">
        <f ca="1">qry_ProdData2_PDI_Cash_Exception_Application[[#This Row],[TODAY]]-qry_ProdData2_PDI_Cash_Exception_Application[[#This Row],[CHANGED ON]]</f>
        <v>-1.2570717592607252</v>
      </c>
      <c r="N3094">
        <f ca="1">qry_ProdData2_PDI_Cash_Exception_Application[[#This Row],[TODAY]]-qry_ProdData2_PDI_Cash_Exception_Application[[#This Row],[CHANGED ON]]</f>
        <v>-1.2570717592607252</v>
      </c>
    </row>
    <row r="3095" spans="1:14" x14ac:dyDescent="0.35">
      <c r="A3095">
        <v>1002</v>
      </c>
      <c r="B3095" t="s">
        <v>56</v>
      </c>
      <c r="C3095" s="1">
        <v>45193.257071759261</v>
      </c>
      <c r="D3095" t="str">
        <f ca="1">VLOOKUP(qry_ProdData2_PDI_Cash_Exception_Application[[#This Row],[TYPE]],#REF!,2,FALSE)</f>
        <v>type13</v>
      </c>
      <c r="E3095">
        <v>33278.74</v>
      </c>
      <c r="F3095" t="s">
        <v>50</v>
      </c>
      <c r="G3095" s="1">
        <f>qry_ProdData2_PDI_Cash_Exception_Application[[#This Row],[INSERT DATE]]+2</f>
        <v>45195.257071759261</v>
      </c>
      <c r="H3095" t="str">
        <f>VLOOKUP(qry_ProdData2_PDI_Cash_Exception_Application[[#This Row],[MARKET No]],'Site Allocation'!$B$2:$C$37,2,FALSE)</f>
        <v>Analyst1</v>
      </c>
      <c r="I3095" s="4">
        <f t="shared" ca="1" si="48"/>
        <v>45203</v>
      </c>
      <c r="J3095" s="42">
        <f ca="1">TODAY()-qry_ProdData2_PDI_Cash_Exception_Application[[#This Row],[INSERT DATE]]</f>
        <v>9.7429282407392748</v>
      </c>
      <c r="K30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95">
        <f ca="1">qry_ProdData2_PDI_Cash_Exception_Application[[#This Row],[TODAY]]-qry_ProdData2_PDI_Cash_Exception_Application[[#This Row],[CHANGED ON]]</f>
        <v>7.7429282407392748</v>
      </c>
      <c r="M3095">
        <f ca="1">qry_ProdData2_PDI_Cash_Exception_Application[[#This Row],[TODAY]]-qry_ProdData2_PDI_Cash_Exception_Application[[#This Row],[CHANGED ON]]</f>
        <v>7.7429282407392748</v>
      </c>
      <c r="N3095">
        <f ca="1">qry_ProdData2_PDI_Cash_Exception_Application[[#This Row],[TODAY]]-qry_ProdData2_PDI_Cash_Exception_Application[[#This Row],[CHANGED ON]]</f>
        <v>7.7429282407392748</v>
      </c>
    </row>
    <row r="3096" spans="1:14" x14ac:dyDescent="0.35">
      <c r="A3096">
        <v>1000</v>
      </c>
      <c r="B3096" t="s">
        <v>54</v>
      </c>
      <c r="C3096" s="1">
        <v>45194.257071759261</v>
      </c>
      <c r="D3096" t="str">
        <f ca="1">VLOOKUP(qry_ProdData2_PDI_Cash_Exception_Application[[#This Row],[TYPE]],#REF!,2,FALSE)</f>
        <v>type40</v>
      </c>
      <c r="E3096">
        <v>643.66</v>
      </c>
      <c r="F3096" t="str">
        <f>qry_ProdData2_PDI_Cash_Exception_Application[[#This Row],[ANALYST]]</f>
        <v>Analyst1</v>
      </c>
      <c r="G3096" s="1">
        <f>qry_ProdData2_PDI_Cash_Exception_Application[[#This Row],[INSERT DATE]]+7</f>
        <v>45201.257071759261</v>
      </c>
      <c r="H3096" t="str">
        <f>VLOOKUP(qry_ProdData2_PDI_Cash_Exception_Application[[#This Row],[MARKET No]],'Site Allocation'!$B$2:$C$37,2,FALSE)</f>
        <v>Analyst1</v>
      </c>
      <c r="I3096" s="4">
        <f t="shared" ca="1" si="48"/>
        <v>45203</v>
      </c>
      <c r="J3096" s="42">
        <f ca="1">TODAY()-qry_ProdData2_PDI_Cash_Exception_Application[[#This Row],[INSERT DATE]]</f>
        <v>8.7429282407392748</v>
      </c>
      <c r="K30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96">
        <f ca="1">qry_ProdData2_PDI_Cash_Exception_Application[[#This Row],[TODAY]]-qry_ProdData2_PDI_Cash_Exception_Application[[#This Row],[CHANGED ON]]</f>
        <v>1.7429282407392748</v>
      </c>
      <c r="M3096">
        <f ca="1">qry_ProdData2_PDI_Cash_Exception_Application[[#This Row],[TODAY]]-qry_ProdData2_PDI_Cash_Exception_Application[[#This Row],[CHANGED ON]]</f>
        <v>1.7429282407392748</v>
      </c>
      <c r="N3096">
        <f ca="1">qry_ProdData2_PDI_Cash_Exception_Application[[#This Row],[TODAY]]-qry_ProdData2_PDI_Cash_Exception_Application[[#This Row],[CHANGED ON]]</f>
        <v>1.7429282407392748</v>
      </c>
    </row>
    <row r="3097" spans="1:14" x14ac:dyDescent="0.35">
      <c r="A3097">
        <v>1001</v>
      </c>
      <c r="B3097" t="s">
        <v>55</v>
      </c>
      <c r="C3097" s="1">
        <v>45195.257071759261</v>
      </c>
      <c r="D3097" t="str">
        <f ca="1">VLOOKUP(qry_ProdData2_PDI_Cash_Exception_Application[[#This Row],[TYPE]],#REF!,2,FALSE)</f>
        <v>type38</v>
      </c>
      <c r="E3097">
        <v>258.83999999999997</v>
      </c>
      <c r="F3097" t="s">
        <v>52</v>
      </c>
      <c r="G3097" s="1">
        <f>qry_ProdData2_PDI_Cash_Exception_Application[[#This Row],[INSERT DATE]]+2</f>
        <v>45197.257071759261</v>
      </c>
      <c r="H3097" t="str">
        <f>VLOOKUP(qry_ProdData2_PDI_Cash_Exception_Application[[#This Row],[MARKET No]],'Site Allocation'!$B$2:$C$37,2,FALSE)</f>
        <v>Analyst1</v>
      </c>
      <c r="I3097" s="4">
        <f t="shared" ca="1" si="48"/>
        <v>45203</v>
      </c>
      <c r="J3097" s="42">
        <f ca="1">TODAY()-qry_ProdData2_PDI_Cash_Exception_Application[[#This Row],[INSERT DATE]]</f>
        <v>7.7429282407392748</v>
      </c>
      <c r="K30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097">
        <f ca="1">qry_ProdData2_PDI_Cash_Exception_Application[[#This Row],[TODAY]]-qry_ProdData2_PDI_Cash_Exception_Application[[#This Row],[CHANGED ON]]</f>
        <v>5.7429282407392748</v>
      </c>
      <c r="M3097">
        <f ca="1">qry_ProdData2_PDI_Cash_Exception_Application[[#This Row],[TODAY]]-qry_ProdData2_PDI_Cash_Exception_Application[[#This Row],[CHANGED ON]]</f>
        <v>5.7429282407392748</v>
      </c>
      <c r="N3097">
        <f ca="1">qry_ProdData2_PDI_Cash_Exception_Application[[#This Row],[TODAY]]-qry_ProdData2_PDI_Cash_Exception_Application[[#This Row],[CHANGED ON]]</f>
        <v>5.7429282407392748</v>
      </c>
    </row>
    <row r="3098" spans="1:14" x14ac:dyDescent="0.35">
      <c r="A3098">
        <v>1005</v>
      </c>
      <c r="B3098" t="s">
        <v>59</v>
      </c>
      <c r="C3098" s="1">
        <v>45193.257071759261</v>
      </c>
      <c r="D3098" t="str">
        <f ca="1">VLOOKUP(qry_ProdData2_PDI_Cash_Exception_Application[[#This Row],[TYPE]],#REF!,2,FALSE)</f>
        <v>type10</v>
      </c>
      <c r="E3098">
        <v>57.12</v>
      </c>
      <c r="F3098" t="str">
        <f>qry_ProdData2_PDI_Cash_Exception_Application[[#This Row],[ANALYST]]</f>
        <v>Analyst1</v>
      </c>
      <c r="G3098" s="1">
        <f>qry_ProdData2_PDI_Cash_Exception_Application[[#This Row],[INSERT DATE]]+1</f>
        <v>45194.257071759261</v>
      </c>
      <c r="H3098" t="str">
        <f>VLOOKUP(qry_ProdData2_PDI_Cash_Exception_Application[[#This Row],[MARKET No]],'Site Allocation'!$B$2:$C$37,2,FALSE)</f>
        <v>Analyst1</v>
      </c>
      <c r="I3098" s="4">
        <f t="shared" ca="1" si="48"/>
        <v>45203</v>
      </c>
      <c r="J3098" s="42">
        <f ca="1">TODAY()-qry_ProdData2_PDI_Cash_Exception_Application[[#This Row],[INSERT DATE]]</f>
        <v>9.7429282407392748</v>
      </c>
      <c r="K30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98">
        <f ca="1">qry_ProdData2_PDI_Cash_Exception_Application[[#This Row],[TODAY]]-qry_ProdData2_PDI_Cash_Exception_Application[[#This Row],[CHANGED ON]]</f>
        <v>8.7429282407392748</v>
      </c>
      <c r="M3098">
        <f ca="1">qry_ProdData2_PDI_Cash_Exception_Application[[#This Row],[TODAY]]-qry_ProdData2_PDI_Cash_Exception_Application[[#This Row],[CHANGED ON]]</f>
        <v>8.7429282407392748</v>
      </c>
      <c r="N3098">
        <f ca="1">qry_ProdData2_PDI_Cash_Exception_Application[[#This Row],[TODAY]]-qry_ProdData2_PDI_Cash_Exception_Application[[#This Row],[CHANGED ON]]</f>
        <v>8.7429282407392748</v>
      </c>
    </row>
    <row r="3099" spans="1:14" x14ac:dyDescent="0.35">
      <c r="A3099">
        <v>1001</v>
      </c>
      <c r="B3099" t="s">
        <v>55</v>
      </c>
      <c r="C3099" s="1">
        <v>45193.257071759261</v>
      </c>
      <c r="D3099" t="str">
        <f ca="1">VLOOKUP(qry_ProdData2_PDI_Cash_Exception_Application[[#This Row],[TYPE]],#REF!,2,FALSE)</f>
        <v>type40</v>
      </c>
      <c r="E3099">
        <v>7.3</v>
      </c>
      <c r="F3099" t="str">
        <f>qry_ProdData2_PDI_Cash_Exception_Application[[#This Row],[ANALYST]]</f>
        <v>Analyst1</v>
      </c>
      <c r="G3099" s="1">
        <f>qry_ProdData2_PDI_Cash_Exception_Application[[#This Row],[INSERT DATE]]+1</f>
        <v>45194.257071759261</v>
      </c>
      <c r="H3099" t="str">
        <f>VLOOKUP(qry_ProdData2_PDI_Cash_Exception_Application[[#This Row],[MARKET No]],'Site Allocation'!$B$2:$C$37,2,FALSE)</f>
        <v>Analyst1</v>
      </c>
      <c r="I3099" s="4">
        <f t="shared" ca="1" si="48"/>
        <v>45203</v>
      </c>
      <c r="J3099" s="42">
        <f ca="1">TODAY()-qry_ProdData2_PDI_Cash_Exception_Application[[#This Row],[INSERT DATE]]</f>
        <v>9.7429282407392748</v>
      </c>
      <c r="K30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099">
        <f ca="1">qry_ProdData2_PDI_Cash_Exception_Application[[#This Row],[TODAY]]-qry_ProdData2_PDI_Cash_Exception_Application[[#This Row],[CHANGED ON]]</f>
        <v>8.7429282407392748</v>
      </c>
      <c r="M3099">
        <f ca="1">qry_ProdData2_PDI_Cash_Exception_Application[[#This Row],[TODAY]]-qry_ProdData2_PDI_Cash_Exception_Application[[#This Row],[CHANGED ON]]</f>
        <v>8.7429282407392748</v>
      </c>
      <c r="N3099">
        <f ca="1">qry_ProdData2_PDI_Cash_Exception_Application[[#This Row],[TODAY]]-qry_ProdData2_PDI_Cash_Exception_Application[[#This Row],[CHANGED ON]]</f>
        <v>8.7429282407392748</v>
      </c>
    </row>
    <row r="3100" spans="1:14" x14ac:dyDescent="0.35">
      <c r="A3100">
        <v>1016</v>
      </c>
      <c r="B3100" t="s">
        <v>70</v>
      </c>
      <c r="C3100" s="1">
        <v>45197.257071759261</v>
      </c>
      <c r="D3100" t="str">
        <f ca="1">VLOOKUP(qry_ProdData2_PDI_Cash_Exception_Application[[#This Row],[TYPE]],#REF!,2,FALSE)</f>
        <v>type24</v>
      </c>
      <c r="E3100">
        <v>938.86</v>
      </c>
      <c r="F3100" t="s">
        <v>51</v>
      </c>
      <c r="G3100" s="1">
        <f>qry_ProdData2_PDI_Cash_Exception_Application[[#This Row],[INSERT DATE]]+7</f>
        <v>45204.257071759261</v>
      </c>
      <c r="H3100" t="str">
        <f>VLOOKUP(qry_ProdData2_PDI_Cash_Exception_Application[[#This Row],[MARKET No]],'Site Allocation'!$B$2:$C$37,2,FALSE)</f>
        <v>Analyst3</v>
      </c>
      <c r="I3100" s="4">
        <f t="shared" ca="1" si="48"/>
        <v>45203</v>
      </c>
      <c r="J3100" s="42">
        <f ca="1">TODAY()-qry_ProdData2_PDI_Cash_Exception_Application[[#This Row],[INSERT DATE]]</f>
        <v>5.7429282407392748</v>
      </c>
      <c r="K31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00">
        <f ca="1">qry_ProdData2_PDI_Cash_Exception_Application[[#This Row],[TODAY]]-qry_ProdData2_PDI_Cash_Exception_Application[[#This Row],[CHANGED ON]]</f>
        <v>-1.2570717592607252</v>
      </c>
      <c r="M3100">
        <f ca="1">qry_ProdData2_PDI_Cash_Exception_Application[[#This Row],[TODAY]]-qry_ProdData2_PDI_Cash_Exception_Application[[#This Row],[CHANGED ON]]</f>
        <v>-1.2570717592607252</v>
      </c>
      <c r="N3100">
        <f ca="1">qry_ProdData2_PDI_Cash_Exception_Application[[#This Row],[TODAY]]-qry_ProdData2_PDI_Cash_Exception_Application[[#This Row],[CHANGED ON]]</f>
        <v>-1.2570717592607252</v>
      </c>
    </row>
    <row r="3101" spans="1:14" x14ac:dyDescent="0.35">
      <c r="A3101">
        <v>1005</v>
      </c>
      <c r="B3101" t="s">
        <v>59</v>
      </c>
      <c r="C3101" s="1">
        <v>45180.257071759261</v>
      </c>
      <c r="D3101" t="str">
        <f ca="1">VLOOKUP(qry_ProdData2_PDI_Cash_Exception_Application[[#This Row],[TYPE]],#REF!,2,FALSE)</f>
        <v>type38</v>
      </c>
      <c r="E3101">
        <v>218.03</v>
      </c>
      <c r="F3101" t="s">
        <v>50</v>
      </c>
      <c r="G3101" s="1">
        <f>qry_ProdData2_PDI_Cash_Exception_Application[[#This Row],[INSERT DATE]]+2</f>
        <v>45182.257071759261</v>
      </c>
      <c r="H3101" t="str">
        <f>VLOOKUP(qry_ProdData2_PDI_Cash_Exception_Application[[#This Row],[MARKET No]],'Site Allocation'!$B$2:$C$37,2,FALSE)</f>
        <v>Analyst1</v>
      </c>
      <c r="I3101" s="4">
        <f t="shared" ca="1" si="48"/>
        <v>45203</v>
      </c>
      <c r="J3101" s="42">
        <f ca="1">TODAY()-qry_ProdData2_PDI_Cash_Exception_Application[[#This Row],[INSERT DATE]]</f>
        <v>22.742928240739275</v>
      </c>
      <c r="K31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01">
        <f ca="1">qry_ProdData2_PDI_Cash_Exception_Application[[#This Row],[TODAY]]-qry_ProdData2_PDI_Cash_Exception_Application[[#This Row],[CHANGED ON]]</f>
        <v>20.742928240739275</v>
      </c>
      <c r="M3101">
        <f ca="1">qry_ProdData2_PDI_Cash_Exception_Application[[#This Row],[TODAY]]-qry_ProdData2_PDI_Cash_Exception_Application[[#This Row],[CHANGED ON]]</f>
        <v>20.742928240739275</v>
      </c>
      <c r="N3101">
        <f ca="1">qry_ProdData2_PDI_Cash_Exception_Application[[#This Row],[TODAY]]-qry_ProdData2_PDI_Cash_Exception_Application[[#This Row],[CHANGED ON]]</f>
        <v>20.742928240739275</v>
      </c>
    </row>
    <row r="3102" spans="1:14" x14ac:dyDescent="0.35">
      <c r="A3102">
        <v>1017</v>
      </c>
      <c r="B3102" t="s">
        <v>71</v>
      </c>
      <c r="C3102" s="1">
        <v>45195.257071759261</v>
      </c>
      <c r="D3102" t="str">
        <f ca="1">VLOOKUP(qry_ProdData2_PDI_Cash_Exception_Application[[#This Row],[TYPE]],#REF!,2,FALSE)</f>
        <v>type40</v>
      </c>
      <c r="E3102">
        <v>-12901.99</v>
      </c>
      <c r="F3102" t="s">
        <v>49</v>
      </c>
      <c r="G3102" s="1">
        <f>qry_ProdData2_PDI_Cash_Exception_Application[[#This Row],[INSERT DATE]]+7</f>
        <v>45202.257071759261</v>
      </c>
      <c r="H3102" t="str">
        <f>VLOOKUP(qry_ProdData2_PDI_Cash_Exception_Application[[#This Row],[MARKET No]],'Site Allocation'!$B$2:$C$37,2,FALSE)</f>
        <v>Analyst3</v>
      </c>
      <c r="I3102" s="4">
        <f t="shared" ca="1" si="48"/>
        <v>45203</v>
      </c>
      <c r="J3102" s="42">
        <f ca="1">TODAY()-qry_ProdData2_PDI_Cash_Exception_Application[[#This Row],[INSERT DATE]]</f>
        <v>7.7429282407392748</v>
      </c>
      <c r="K31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02">
        <f ca="1">qry_ProdData2_PDI_Cash_Exception_Application[[#This Row],[TODAY]]-qry_ProdData2_PDI_Cash_Exception_Application[[#This Row],[CHANGED ON]]</f>
        <v>0.74292824073927477</v>
      </c>
      <c r="M3102">
        <f ca="1">qry_ProdData2_PDI_Cash_Exception_Application[[#This Row],[TODAY]]-qry_ProdData2_PDI_Cash_Exception_Application[[#This Row],[CHANGED ON]]</f>
        <v>0.74292824073927477</v>
      </c>
      <c r="N3102">
        <f ca="1">qry_ProdData2_PDI_Cash_Exception_Application[[#This Row],[TODAY]]-qry_ProdData2_PDI_Cash_Exception_Application[[#This Row],[CHANGED ON]]</f>
        <v>0.74292824073927477</v>
      </c>
    </row>
    <row r="3103" spans="1:14" x14ac:dyDescent="0.35">
      <c r="A3103">
        <v>1025</v>
      </c>
      <c r="B3103" t="s">
        <v>79</v>
      </c>
      <c r="C3103" s="1">
        <v>45194.257071759261</v>
      </c>
      <c r="D3103" t="str">
        <f ca="1">VLOOKUP(qry_ProdData2_PDI_Cash_Exception_Application[[#This Row],[TYPE]],#REF!,2,FALSE)</f>
        <v>type13</v>
      </c>
      <c r="E3103">
        <v>28540</v>
      </c>
      <c r="F3103" t="s">
        <v>49</v>
      </c>
      <c r="G3103" s="1">
        <f>qry_ProdData2_PDI_Cash_Exception_Application[[#This Row],[INSERT DATE]]+5</f>
        <v>45199.257071759261</v>
      </c>
      <c r="H3103" t="str">
        <f>VLOOKUP(qry_ProdData2_PDI_Cash_Exception_Application[[#This Row],[MARKET No]],'Site Allocation'!$B$2:$C$37,2,FALSE)</f>
        <v>Analyst5</v>
      </c>
      <c r="I3103" s="4">
        <f t="shared" ca="1" si="48"/>
        <v>45203</v>
      </c>
      <c r="J3103" s="42">
        <f ca="1">TODAY()-qry_ProdData2_PDI_Cash_Exception_Application[[#This Row],[INSERT DATE]]</f>
        <v>8.7429282407392748</v>
      </c>
      <c r="K31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03">
        <f ca="1">qry_ProdData2_PDI_Cash_Exception_Application[[#This Row],[TODAY]]-qry_ProdData2_PDI_Cash_Exception_Application[[#This Row],[CHANGED ON]]</f>
        <v>3.7429282407392748</v>
      </c>
      <c r="M3103">
        <f ca="1">qry_ProdData2_PDI_Cash_Exception_Application[[#This Row],[TODAY]]-qry_ProdData2_PDI_Cash_Exception_Application[[#This Row],[CHANGED ON]]</f>
        <v>3.7429282407392748</v>
      </c>
      <c r="N3103">
        <f ca="1">qry_ProdData2_PDI_Cash_Exception_Application[[#This Row],[TODAY]]-qry_ProdData2_PDI_Cash_Exception_Application[[#This Row],[CHANGED ON]]</f>
        <v>3.7429282407392748</v>
      </c>
    </row>
    <row r="3104" spans="1:14" x14ac:dyDescent="0.35">
      <c r="A3104">
        <v>1012</v>
      </c>
      <c r="B3104" t="s">
        <v>66</v>
      </c>
      <c r="C3104" s="1">
        <v>45194.257071759261</v>
      </c>
      <c r="D3104" t="str">
        <f ca="1">VLOOKUP(qry_ProdData2_PDI_Cash_Exception_Application[[#This Row],[TYPE]],#REF!,2,FALSE)</f>
        <v>type40</v>
      </c>
      <c r="E3104">
        <v>-391.16</v>
      </c>
      <c r="F3104" t="s">
        <v>49</v>
      </c>
      <c r="G3104" s="1">
        <f>qry_ProdData2_PDI_Cash_Exception_Application[[#This Row],[INSERT DATE]]+5</f>
        <v>45199.257071759261</v>
      </c>
      <c r="H3104" t="str">
        <f>VLOOKUP(qry_ProdData2_PDI_Cash_Exception_Application[[#This Row],[MARKET No]],'Site Allocation'!$B$2:$C$37,2,FALSE)</f>
        <v>Analyst3</v>
      </c>
      <c r="I3104" s="4">
        <f t="shared" ca="1" si="48"/>
        <v>45203</v>
      </c>
      <c r="J3104" s="42">
        <f ca="1">TODAY()-qry_ProdData2_PDI_Cash_Exception_Application[[#This Row],[INSERT DATE]]</f>
        <v>8.7429282407392748</v>
      </c>
      <c r="K31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04">
        <f ca="1">qry_ProdData2_PDI_Cash_Exception_Application[[#This Row],[TODAY]]-qry_ProdData2_PDI_Cash_Exception_Application[[#This Row],[CHANGED ON]]</f>
        <v>3.7429282407392748</v>
      </c>
      <c r="M3104">
        <f ca="1">qry_ProdData2_PDI_Cash_Exception_Application[[#This Row],[TODAY]]-qry_ProdData2_PDI_Cash_Exception_Application[[#This Row],[CHANGED ON]]</f>
        <v>3.7429282407392748</v>
      </c>
      <c r="N3104">
        <f ca="1">qry_ProdData2_PDI_Cash_Exception_Application[[#This Row],[TODAY]]-qry_ProdData2_PDI_Cash_Exception_Application[[#This Row],[CHANGED ON]]</f>
        <v>3.7429282407392748</v>
      </c>
    </row>
    <row r="3105" spans="1:14" x14ac:dyDescent="0.35">
      <c r="A3105">
        <v>1029</v>
      </c>
      <c r="B3105" t="s">
        <v>83</v>
      </c>
      <c r="C3105" s="1">
        <v>45195.257071759261</v>
      </c>
      <c r="D3105" t="str">
        <f ca="1">VLOOKUP(qry_ProdData2_PDI_Cash_Exception_Application[[#This Row],[TYPE]],#REF!,2,FALSE)</f>
        <v>type13</v>
      </c>
      <c r="E3105">
        <v>25537.74</v>
      </c>
      <c r="F3105" t="s">
        <v>47</v>
      </c>
      <c r="G3105" s="1">
        <f>qry_ProdData2_PDI_Cash_Exception_Application[[#This Row],[INSERT DATE]]+2</f>
        <v>45197.257071759261</v>
      </c>
      <c r="H3105" t="str">
        <f>VLOOKUP(qry_ProdData2_PDI_Cash_Exception_Application[[#This Row],[MARKET No]],'Site Allocation'!$B$2:$C$37,2,FALSE)</f>
        <v>Analyst5</v>
      </c>
      <c r="I3105" s="4">
        <f t="shared" ca="1" si="48"/>
        <v>45203</v>
      </c>
      <c r="J3105" s="42">
        <f ca="1">TODAY()-qry_ProdData2_PDI_Cash_Exception_Application[[#This Row],[INSERT DATE]]</f>
        <v>7.7429282407392748</v>
      </c>
      <c r="K31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05">
        <f ca="1">qry_ProdData2_PDI_Cash_Exception_Application[[#This Row],[TODAY]]-qry_ProdData2_PDI_Cash_Exception_Application[[#This Row],[CHANGED ON]]</f>
        <v>5.7429282407392748</v>
      </c>
      <c r="M3105">
        <f ca="1">qry_ProdData2_PDI_Cash_Exception_Application[[#This Row],[TODAY]]-qry_ProdData2_PDI_Cash_Exception_Application[[#This Row],[CHANGED ON]]</f>
        <v>5.7429282407392748</v>
      </c>
      <c r="N3105">
        <f ca="1">qry_ProdData2_PDI_Cash_Exception_Application[[#This Row],[TODAY]]-qry_ProdData2_PDI_Cash_Exception_Application[[#This Row],[CHANGED ON]]</f>
        <v>5.7429282407392748</v>
      </c>
    </row>
    <row r="3106" spans="1:14" x14ac:dyDescent="0.35">
      <c r="A3106">
        <v>1012</v>
      </c>
      <c r="B3106" t="s">
        <v>66</v>
      </c>
      <c r="C3106" s="1">
        <v>45183.257071759261</v>
      </c>
      <c r="D3106" t="str">
        <f ca="1">VLOOKUP(qry_ProdData2_PDI_Cash_Exception_Application[[#This Row],[TYPE]],#REF!,2,FALSE)</f>
        <v>type38</v>
      </c>
      <c r="E3106">
        <v>185.98</v>
      </c>
      <c r="F3106" t="s">
        <v>52</v>
      </c>
      <c r="G3106" s="1">
        <f>qry_ProdData2_PDI_Cash_Exception_Application[[#This Row],[INSERT DATE]]+5</f>
        <v>45188.257071759261</v>
      </c>
      <c r="H3106" t="str">
        <f>VLOOKUP(qry_ProdData2_PDI_Cash_Exception_Application[[#This Row],[MARKET No]],'Site Allocation'!$B$2:$C$37,2,FALSE)</f>
        <v>Analyst3</v>
      </c>
      <c r="I3106" s="4">
        <f t="shared" ca="1" si="48"/>
        <v>45203</v>
      </c>
      <c r="J3106" s="42">
        <f ca="1">TODAY()-qry_ProdData2_PDI_Cash_Exception_Application[[#This Row],[INSERT DATE]]</f>
        <v>19.742928240739275</v>
      </c>
      <c r="K31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06">
        <f ca="1">qry_ProdData2_PDI_Cash_Exception_Application[[#This Row],[TODAY]]-qry_ProdData2_PDI_Cash_Exception_Application[[#This Row],[CHANGED ON]]</f>
        <v>14.742928240739275</v>
      </c>
      <c r="M3106">
        <f ca="1">qry_ProdData2_PDI_Cash_Exception_Application[[#This Row],[TODAY]]-qry_ProdData2_PDI_Cash_Exception_Application[[#This Row],[CHANGED ON]]</f>
        <v>14.742928240739275</v>
      </c>
      <c r="N3106">
        <f ca="1">qry_ProdData2_PDI_Cash_Exception_Application[[#This Row],[TODAY]]-qry_ProdData2_PDI_Cash_Exception_Application[[#This Row],[CHANGED ON]]</f>
        <v>14.742928240739275</v>
      </c>
    </row>
    <row r="3107" spans="1:14" x14ac:dyDescent="0.35">
      <c r="A3107">
        <v>1031</v>
      </c>
      <c r="B3107" t="s">
        <v>85</v>
      </c>
      <c r="C3107" s="1">
        <v>45184.257071759261</v>
      </c>
      <c r="D3107" t="str">
        <f ca="1">VLOOKUP(qry_ProdData2_PDI_Cash_Exception_Application[[#This Row],[TYPE]],#REF!,2,FALSE)</f>
        <v>type38</v>
      </c>
      <c r="E3107">
        <v>216.78</v>
      </c>
      <c r="F3107" t="s">
        <v>50</v>
      </c>
      <c r="G3107" s="1">
        <f>qry_ProdData2_PDI_Cash_Exception_Application[[#This Row],[INSERT DATE]]+5</f>
        <v>45189.257071759261</v>
      </c>
      <c r="H3107" t="str">
        <f>VLOOKUP(qry_ProdData2_PDI_Cash_Exception_Application[[#This Row],[MARKET No]],'Site Allocation'!$B$2:$C$37,2,FALSE)</f>
        <v>Analyst6</v>
      </c>
      <c r="I3107" s="4">
        <f t="shared" ca="1" si="48"/>
        <v>45203</v>
      </c>
      <c r="J3107" s="42">
        <f ca="1">TODAY()-qry_ProdData2_PDI_Cash_Exception_Application[[#This Row],[INSERT DATE]]</f>
        <v>18.742928240739275</v>
      </c>
      <c r="K31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07">
        <f ca="1">qry_ProdData2_PDI_Cash_Exception_Application[[#This Row],[TODAY]]-qry_ProdData2_PDI_Cash_Exception_Application[[#This Row],[CHANGED ON]]</f>
        <v>13.742928240739275</v>
      </c>
      <c r="M3107">
        <f ca="1">qry_ProdData2_PDI_Cash_Exception_Application[[#This Row],[TODAY]]-qry_ProdData2_PDI_Cash_Exception_Application[[#This Row],[CHANGED ON]]</f>
        <v>13.742928240739275</v>
      </c>
      <c r="N3107">
        <f ca="1">qry_ProdData2_PDI_Cash_Exception_Application[[#This Row],[TODAY]]-qry_ProdData2_PDI_Cash_Exception_Application[[#This Row],[CHANGED ON]]</f>
        <v>13.742928240739275</v>
      </c>
    </row>
    <row r="3108" spans="1:14" x14ac:dyDescent="0.35">
      <c r="A3108">
        <v>1011</v>
      </c>
      <c r="B3108" t="s">
        <v>65</v>
      </c>
      <c r="C3108" s="1">
        <v>45196.257071759261</v>
      </c>
      <c r="D3108" t="str">
        <f ca="1">VLOOKUP(qry_ProdData2_PDI_Cash_Exception_Application[[#This Row],[TYPE]],#REF!,2,FALSE)</f>
        <v>type40</v>
      </c>
      <c r="E3108">
        <v>-683.26</v>
      </c>
      <c r="F3108" t="str">
        <f>qry_ProdData2_PDI_Cash_Exception_Application[[#This Row],[ANALYST]]</f>
        <v>Analyst2</v>
      </c>
      <c r="G3108" s="1">
        <f>qry_ProdData2_PDI_Cash_Exception_Application[[#This Row],[INSERT DATE]]+2</f>
        <v>45198.257071759261</v>
      </c>
      <c r="H3108" t="str">
        <f>VLOOKUP(qry_ProdData2_PDI_Cash_Exception_Application[[#This Row],[MARKET No]],'Site Allocation'!$B$2:$C$37,2,FALSE)</f>
        <v>Analyst2</v>
      </c>
      <c r="I3108" s="4">
        <f t="shared" ca="1" si="48"/>
        <v>45203</v>
      </c>
      <c r="J3108" s="42">
        <f ca="1">TODAY()-qry_ProdData2_PDI_Cash_Exception_Application[[#This Row],[INSERT DATE]]</f>
        <v>6.7429282407392748</v>
      </c>
      <c r="K31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08">
        <f ca="1">qry_ProdData2_PDI_Cash_Exception_Application[[#This Row],[TODAY]]-qry_ProdData2_PDI_Cash_Exception_Application[[#This Row],[CHANGED ON]]</f>
        <v>4.7429282407392748</v>
      </c>
      <c r="M3108">
        <f ca="1">qry_ProdData2_PDI_Cash_Exception_Application[[#This Row],[TODAY]]-qry_ProdData2_PDI_Cash_Exception_Application[[#This Row],[CHANGED ON]]</f>
        <v>4.7429282407392748</v>
      </c>
      <c r="N3108">
        <f ca="1">qry_ProdData2_PDI_Cash_Exception_Application[[#This Row],[TODAY]]-qry_ProdData2_PDI_Cash_Exception_Application[[#This Row],[CHANGED ON]]</f>
        <v>4.7429282407392748</v>
      </c>
    </row>
    <row r="3109" spans="1:14" x14ac:dyDescent="0.35">
      <c r="A3109">
        <v>1030</v>
      </c>
      <c r="B3109" t="s">
        <v>84</v>
      </c>
      <c r="C3109" s="1">
        <v>45185.257071759261</v>
      </c>
      <c r="D3109" t="str">
        <f ca="1">VLOOKUP(qry_ProdData2_PDI_Cash_Exception_Application[[#This Row],[TYPE]],#REF!,2,FALSE)</f>
        <v>type40</v>
      </c>
      <c r="E3109">
        <v>14.87</v>
      </c>
      <c r="F3109" t="s">
        <v>50</v>
      </c>
      <c r="G3109" s="1">
        <f>qry_ProdData2_PDI_Cash_Exception_Application[[#This Row],[INSERT DATE]]+5</f>
        <v>45190.257071759261</v>
      </c>
      <c r="H3109" t="str">
        <f>VLOOKUP(qry_ProdData2_PDI_Cash_Exception_Application[[#This Row],[MARKET No]],'Site Allocation'!$B$2:$C$37,2,FALSE)</f>
        <v>Analyst6</v>
      </c>
      <c r="I3109" s="4">
        <f t="shared" ca="1" si="48"/>
        <v>45203</v>
      </c>
      <c r="J3109" s="42">
        <f ca="1">TODAY()-qry_ProdData2_PDI_Cash_Exception_Application[[#This Row],[INSERT DATE]]</f>
        <v>17.742928240739275</v>
      </c>
      <c r="K31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09">
        <f ca="1">qry_ProdData2_PDI_Cash_Exception_Application[[#This Row],[TODAY]]-qry_ProdData2_PDI_Cash_Exception_Application[[#This Row],[CHANGED ON]]</f>
        <v>12.742928240739275</v>
      </c>
      <c r="M3109">
        <f ca="1">qry_ProdData2_PDI_Cash_Exception_Application[[#This Row],[TODAY]]-qry_ProdData2_PDI_Cash_Exception_Application[[#This Row],[CHANGED ON]]</f>
        <v>12.742928240739275</v>
      </c>
      <c r="N3109">
        <f ca="1">qry_ProdData2_PDI_Cash_Exception_Application[[#This Row],[TODAY]]-qry_ProdData2_PDI_Cash_Exception_Application[[#This Row],[CHANGED ON]]</f>
        <v>12.742928240739275</v>
      </c>
    </row>
    <row r="3110" spans="1:14" x14ac:dyDescent="0.35">
      <c r="A3110">
        <v>1004</v>
      </c>
      <c r="B3110" t="s">
        <v>58</v>
      </c>
      <c r="C3110" s="1">
        <v>45195.257071759261</v>
      </c>
      <c r="D3110" t="str">
        <f ca="1">VLOOKUP(qry_ProdData2_PDI_Cash_Exception_Application[[#This Row],[TYPE]],#REF!,2,FALSE)</f>
        <v>type40</v>
      </c>
      <c r="E3110">
        <v>5618.11</v>
      </c>
      <c r="F3110" t="str">
        <f>qry_ProdData2_PDI_Cash_Exception_Application[[#This Row],[ANALYST]]</f>
        <v>Analyst1</v>
      </c>
      <c r="G3110" s="1">
        <f>qry_ProdData2_PDI_Cash_Exception_Application[[#This Row],[INSERT DATE]]+2</f>
        <v>45197.257071759261</v>
      </c>
      <c r="H3110" t="str">
        <f>VLOOKUP(qry_ProdData2_PDI_Cash_Exception_Application[[#This Row],[MARKET No]],'Site Allocation'!$B$2:$C$37,2,FALSE)</f>
        <v>Analyst1</v>
      </c>
      <c r="I3110" s="4">
        <f t="shared" ca="1" si="48"/>
        <v>45203</v>
      </c>
      <c r="J3110" s="42">
        <f ca="1">TODAY()-qry_ProdData2_PDI_Cash_Exception_Application[[#This Row],[INSERT DATE]]</f>
        <v>7.7429282407392748</v>
      </c>
      <c r="K31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10">
        <f ca="1">qry_ProdData2_PDI_Cash_Exception_Application[[#This Row],[TODAY]]-qry_ProdData2_PDI_Cash_Exception_Application[[#This Row],[CHANGED ON]]</f>
        <v>5.7429282407392748</v>
      </c>
      <c r="M3110">
        <f ca="1">qry_ProdData2_PDI_Cash_Exception_Application[[#This Row],[TODAY]]-qry_ProdData2_PDI_Cash_Exception_Application[[#This Row],[CHANGED ON]]</f>
        <v>5.7429282407392748</v>
      </c>
      <c r="N3110">
        <f ca="1">qry_ProdData2_PDI_Cash_Exception_Application[[#This Row],[TODAY]]-qry_ProdData2_PDI_Cash_Exception_Application[[#This Row],[CHANGED ON]]</f>
        <v>5.7429282407392748</v>
      </c>
    </row>
    <row r="3111" spans="1:14" x14ac:dyDescent="0.35">
      <c r="A3111">
        <v>1033</v>
      </c>
      <c r="B3111" t="s">
        <v>87</v>
      </c>
      <c r="C3111" s="1">
        <v>45195.257071759261</v>
      </c>
      <c r="D3111" t="str">
        <f ca="1">VLOOKUP(qry_ProdData2_PDI_Cash_Exception_Application[[#This Row],[TYPE]],#REF!,2,FALSE)</f>
        <v>type40</v>
      </c>
      <c r="E3111">
        <v>-1634.24</v>
      </c>
      <c r="F3111" t="s">
        <v>49</v>
      </c>
      <c r="G3111" s="1">
        <f>qry_ProdData2_PDI_Cash_Exception_Application[[#This Row],[INSERT DATE]]+5</f>
        <v>45200.257071759261</v>
      </c>
      <c r="H3111" t="str">
        <f>VLOOKUP(qry_ProdData2_PDI_Cash_Exception_Application[[#This Row],[MARKET No]],'Site Allocation'!$B$2:$C$37,2,FALSE)</f>
        <v>Analyst6</v>
      </c>
      <c r="I3111" s="4">
        <f t="shared" ca="1" si="48"/>
        <v>45203</v>
      </c>
      <c r="J3111" s="42">
        <f ca="1">TODAY()-qry_ProdData2_PDI_Cash_Exception_Application[[#This Row],[INSERT DATE]]</f>
        <v>7.7429282407392748</v>
      </c>
      <c r="K31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11">
        <f ca="1">qry_ProdData2_PDI_Cash_Exception_Application[[#This Row],[TODAY]]-qry_ProdData2_PDI_Cash_Exception_Application[[#This Row],[CHANGED ON]]</f>
        <v>2.7429282407392748</v>
      </c>
      <c r="M3111">
        <f ca="1">qry_ProdData2_PDI_Cash_Exception_Application[[#This Row],[TODAY]]-qry_ProdData2_PDI_Cash_Exception_Application[[#This Row],[CHANGED ON]]</f>
        <v>2.7429282407392748</v>
      </c>
      <c r="N3111">
        <f ca="1">qry_ProdData2_PDI_Cash_Exception_Application[[#This Row],[TODAY]]-qry_ProdData2_PDI_Cash_Exception_Application[[#This Row],[CHANGED ON]]</f>
        <v>2.7429282407392748</v>
      </c>
    </row>
    <row r="3112" spans="1:14" x14ac:dyDescent="0.35">
      <c r="A3112">
        <v>1022</v>
      </c>
      <c r="B3112" t="s">
        <v>76</v>
      </c>
      <c r="C3112" s="1">
        <v>45187.257071759261</v>
      </c>
      <c r="D3112" t="str">
        <f ca="1">VLOOKUP(qry_ProdData2_PDI_Cash_Exception_Application[[#This Row],[TYPE]],#REF!,2,FALSE)</f>
        <v>type13</v>
      </c>
      <c r="E3112">
        <v>62067.57</v>
      </c>
      <c r="F3112" t="s">
        <v>52</v>
      </c>
      <c r="G3112" s="1">
        <f>qry_ProdData2_PDI_Cash_Exception_Application[[#This Row],[INSERT DATE]]+5</f>
        <v>45192.257071759261</v>
      </c>
      <c r="H3112" t="str">
        <f>VLOOKUP(qry_ProdData2_PDI_Cash_Exception_Application[[#This Row],[MARKET No]],'Site Allocation'!$B$2:$C$37,2,FALSE)</f>
        <v>Analyst4</v>
      </c>
      <c r="I3112" s="4">
        <f t="shared" ca="1" si="48"/>
        <v>45203</v>
      </c>
      <c r="J3112" s="42">
        <f ca="1">TODAY()-qry_ProdData2_PDI_Cash_Exception_Application[[#This Row],[INSERT DATE]]</f>
        <v>15.742928240739275</v>
      </c>
      <c r="K31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12">
        <f ca="1">qry_ProdData2_PDI_Cash_Exception_Application[[#This Row],[TODAY]]-qry_ProdData2_PDI_Cash_Exception_Application[[#This Row],[CHANGED ON]]</f>
        <v>10.742928240739275</v>
      </c>
      <c r="M3112">
        <f ca="1">qry_ProdData2_PDI_Cash_Exception_Application[[#This Row],[TODAY]]-qry_ProdData2_PDI_Cash_Exception_Application[[#This Row],[CHANGED ON]]</f>
        <v>10.742928240739275</v>
      </c>
      <c r="N3112">
        <f ca="1">qry_ProdData2_PDI_Cash_Exception_Application[[#This Row],[TODAY]]-qry_ProdData2_PDI_Cash_Exception_Application[[#This Row],[CHANGED ON]]</f>
        <v>10.742928240739275</v>
      </c>
    </row>
    <row r="3113" spans="1:14" x14ac:dyDescent="0.35">
      <c r="A3113">
        <v>1033</v>
      </c>
      <c r="B3113" t="s">
        <v>87</v>
      </c>
      <c r="C3113" s="1">
        <v>45197.257071759261</v>
      </c>
      <c r="D3113" t="str">
        <f ca="1">VLOOKUP(qry_ProdData2_PDI_Cash_Exception_Application[[#This Row],[TYPE]],#REF!,2,FALSE)</f>
        <v>type40</v>
      </c>
      <c r="E3113">
        <v>-478.86</v>
      </c>
      <c r="F3113" t="s">
        <v>51</v>
      </c>
      <c r="G3113" s="1">
        <f>qry_ProdData2_PDI_Cash_Exception_Application[[#This Row],[INSERT DATE]]+1</f>
        <v>45198.257071759261</v>
      </c>
      <c r="H3113" t="str">
        <f>VLOOKUP(qry_ProdData2_PDI_Cash_Exception_Application[[#This Row],[MARKET No]],'Site Allocation'!$B$2:$C$37,2,FALSE)</f>
        <v>Analyst6</v>
      </c>
      <c r="I3113" s="4">
        <f t="shared" ca="1" si="48"/>
        <v>45203</v>
      </c>
      <c r="J3113" s="42">
        <f ca="1">TODAY()-qry_ProdData2_PDI_Cash_Exception_Application[[#This Row],[INSERT DATE]]</f>
        <v>5.7429282407392748</v>
      </c>
      <c r="K31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13">
        <f ca="1">qry_ProdData2_PDI_Cash_Exception_Application[[#This Row],[TODAY]]-qry_ProdData2_PDI_Cash_Exception_Application[[#This Row],[CHANGED ON]]</f>
        <v>4.7429282407392748</v>
      </c>
      <c r="M3113">
        <f ca="1">qry_ProdData2_PDI_Cash_Exception_Application[[#This Row],[TODAY]]-qry_ProdData2_PDI_Cash_Exception_Application[[#This Row],[CHANGED ON]]</f>
        <v>4.7429282407392748</v>
      </c>
      <c r="N3113">
        <f ca="1">qry_ProdData2_PDI_Cash_Exception_Application[[#This Row],[TODAY]]-qry_ProdData2_PDI_Cash_Exception_Application[[#This Row],[CHANGED ON]]</f>
        <v>4.7429282407392748</v>
      </c>
    </row>
    <row r="3114" spans="1:14" x14ac:dyDescent="0.35">
      <c r="A3114">
        <v>1011</v>
      </c>
      <c r="B3114" t="s">
        <v>65</v>
      </c>
      <c r="C3114" s="1">
        <v>45196.257071759261</v>
      </c>
      <c r="D3114" t="str">
        <f ca="1">VLOOKUP(qry_ProdData2_PDI_Cash_Exception_Application[[#This Row],[TYPE]],#REF!,2,FALSE)</f>
        <v>type40</v>
      </c>
      <c r="E3114">
        <v>956.75</v>
      </c>
      <c r="F3114" t="s">
        <v>51</v>
      </c>
      <c r="G3114" s="1">
        <f>qry_ProdData2_PDI_Cash_Exception_Application[[#This Row],[INSERT DATE]]+7</f>
        <v>45203.257071759261</v>
      </c>
      <c r="H3114" t="str">
        <f>VLOOKUP(qry_ProdData2_PDI_Cash_Exception_Application[[#This Row],[MARKET No]],'Site Allocation'!$B$2:$C$37,2,FALSE)</f>
        <v>Analyst2</v>
      </c>
      <c r="I3114" s="4">
        <f t="shared" ca="1" si="48"/>
        <v>45203</v>
      </c>
      <c r="J3114" s="42">
        <f ca="1">TODAY()-qry_ProdData2_PDI_Cash_Exception_Application[[#This Row],[INSERT DATE]]</f>
        <v>6.7429282407392748</v>
      </c>
      <c r="K31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14">
        <f ca="1">qry_ProdData2_PDI_Cash_Exception_Application[[#This Row],[TODAY]]-qry_ProdData2_PDI_Cash_Exception_Application[[#This Row],[CHANGED ON]]</f>
        <v>-0.25707175926072523</v>
      </c>
      <c r="M3114">
        <f ca="1">qry_ProdData2_PDI_Cash_Exception_Application[[#This Row],[TODAY]]-qry_ProdData2_PDI_Cash_Exception_Application[[#This Row],[CHANGED ON]]</f>
        <v>-0.25707175926072523</v>
      </c>
      <c r="N3114">
        <f ca="1">qry_ProdData2_PDI_Cash_Exception_Application[[#This Row],[TODAY]]-qry_ProdData2_PDI_Cash_Exception_Application[[#This Row],[CHANGED ON]]</f>
        <v>-0.25707175926072523</v>
      </c>
    </row>
    <row r="3115" spans="1:14" x14ac:dyDescent="0.35">
      <c r="A3115">
        <v>1003</v>
      </c>
      <c r="B3115" t="s">
        <v>57</v>
      </c>
      <c r="C3115" s="1">
        <v>45193.257071759261</v>
      </c>
      <c r="D3115" t="str">
        <f ca="1">VLOOKUP(qry_ProdData2_PDI_Cash_Exception_Application[[#This Row],[TYPE]],#REF!,2,FALSE)</f>
        <v>type40</v>
      </c>
      <c r="E3115">
        <v>9.6300000000000008</v>
      </c>
      <c r="F3115" t="s">
        <v>49</v>
      </c>
      <c r="G3115" s="1">
        <f>qry_ProdData2_PDI_Cash_Exception_Application[[#This Row],[INSERT DATE]]+7</f>
        <v>45200.257071759261</v>
      </c>
      <c r="H3115" t="str">
        <f>VLOOKUP(qry_ProdData2_PDI_Cash_Exception_Application[[#This Row],[MARKET No]],'Site Allocation'!$B$2:$C$37,2,FALSE)</f>
        <v>Analyst1</v>
      </c>
      <c r="I3115" s="4">
        <f t="shared" ca="1" si="48"/>
        <v>45203</v>
      </c>
      <c r="J3115" s="42">
        <f ca="1">TODAY()-qry_ProdData2_PDI_Cash_Exception_Application[[#This Row],[INSERT DATE]]</f>
        <v>9.7429282407392748</v>
      </c>
      <c r="K31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15">
        <f ca="1">qry_ProdData2_PDI_Cash_Exception_Application[[#This Row],[TODAY]]-qry_ProdData2_PDI_Cash_Exception_Application[[#This Row],[CHANGED ON]]</f>
        <v>2.7429282407392748</v>
      </c>
      <c r="M3115">
        <f ca="1">qry_ProdData2_PDI_Cash_Exception_Application[[#This Row],[TODAY]]-qry_ProdData2_PDI_Cash_Exception_Application[[#This Row],[CHANGED ON]]</f>
        <v>2.7429282407392748</v>
      </c>
      <c r="N3115">
        <f ca="1">qry_ProdData2_PDI_Cash_Exception_Application[[#This Row],[TODAY]]-qry_ProdData2_PDI_Cash_Exception_Application[[#This Row],[CHANGED ON]]</f>
        <v>2.7429282407392748</v>
      </c>
    </row>
    <row r="3116" spans="1:14" x14ac:dyDescent="0.35">
      <c r="A3116">
        <v>1008</v>
      </c>
      <c r="B3116" t="s">
        <v>62</v>
      </c>
      <c r="C3116" s="1">
        <v>45196.257071759261</v>
      </c>
      <c r="D3116" t="str">
        <f ca="1">VLOOKUP(qry_ProdData2_PDI_Cash_Exception_Application[[#This Row],[TYPE]],#REF!,2,FALSE)</f>
        <v>type40</v>
      </c>
      <c r="E3116">
        <v>-325.45999999999998</v>
      </c>
      <c r="F3116" t="str">
        <f>qry_ProdData2_PDI_Cash_Exception_Application[[#This Row],[ANALYST]]</f>
        <v>Analyst2</v>
      </c>
      <c r="G3116" s="1">
        <f>qry_ProdData2_PDI_Cash_Exception_Application[[#This Row],[INSERT DATE]]+7</f>
        <v>45203.257071759261</v>
      </c>
      <c r="H3116" t="str">
        <f>VLOOKUP(qry_ProdData2_PDI_Cash_Exception_Application[[#This Row],[MARKET No]],'Site Allocation'!$B$2:$C$37,2,FALSE)</f>
        <v>Analyst2</v>
      </c>
      <c r="I3116" s="4">
        <f t="shared" ca="1" si="48"/>
        <v>45203</v>
      </c>
      <c r="J3116" s="42">
        <f ca="1">TODAY()-qry_ProdData2_PDI_Cash_Exception_Application[[#This Row],[INSERT DATE]]</f>
        <v>6.7429282407392748</v>
      </c>
      <c r="K31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16">
        <f ca="1">qry_ProdData2_PDI_Cash_Exception_Application[[#This Row],[TODAY]]-qry_ProdData2_PDI_Cash_Exception_Application[[#This Row],[CHANGED ON]]</f>
        <v>-0.25707175926072523</v>
      </c>
      <c r="M3116">
        <f ca="1">qry_ProdData2_PDI_Cash_Exception_Application[[#This Row],[TODAY]]-qry_ProdData2_PDI_Cash_Exception_Application[[#This Row],[CHANGED ON]]</f>
        <v>-0.25707175926072523</v>
      </c>
      <c r="N3116">
        <f ca="1">qry_ProdData2_PDI_Cash_Exception_Application[[#This Row],[TODAY]]-qry_ProdData2_PDI_Cash_Exception_Application[[#This Row],[CHANGED ON]]</f>
        <v>-0.25707175926072523</v>
      </c>
    </row>
    <row r="3117" spans="1:14" x14ac:dyDescent="0.35">
      <c r="A3117">
        <v>1015</v>
      </c>
      <c r="B3117" t="s">
        <v>69</v>
      </c>
      <c r="C3117" s="1">
        <v>45190.257071759261</v>
      </c>
      <c r="D3117" t="str">
        <f ca="1">VLOOKUP(qry_ProdData2_PDI_Cash_Exception_Application[[#This Row],[TYPE]],#REF!,2,FALSE)</f>
        <v>type19</v>
      </c>
      <c r="E3117">
        <v>-361.1</v>
      </c>
      <c r="F3117" t="s">
        <v>50</v>
      </c>
      <c r="G3117" s="1">
        <f>qry_ProdData2_PDI_Cash_Exception_Application[[#This Row],[INSERT DATE]]+7</f>
        <v>45197.257071759261</v>
      </c>
      <c r="H3117" t="str">
        <f>VLOOKUP(qry_ProdData2_PDI_Cash_Exception_Application[[#This Row],[MARKET No]],'Site Allocation'!$B$2:$C$37,2,FALSE)</f>
        <v>Analyst3</v>
      </c>
      <c r="I3117" s="4">
        <f t="shared" ca="1" si="48"/>
        <v>45203</v>
      </c>
      <c r="J3117" s="42">
        <f ca="1">TODAY()-qry_ProdData2_PDI_Cash_Exception_Application[[#This Row],[INSERT DATE]]</f>
        <v>12.742928240739275</v>
      </c>
      <c r="K31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17">
        <f ca="1">qry_ProdData2_PDI_Cash_Exception_Application[[#This Row],[TODAY]]-qry_ProdData2_PDI_Cash_Exception_Application[[#This Row],[CHANGED ON]]</f>
        <v>5.7429282407392748</v>
      </c>
      <c r="M3117">
        <f ca="1">qry_ProdData2_PDI_Cash_Exception_Application[[#This Row],[TODAY]]-qry_ProdData2_PDI_Cash_Exception_Application[[#This Row],[CHANGED ON]]</f>
        <v>5.7429282407392748</v>
      </c>
      <c r="N3117">
        <f ca="1">qry_ProdData2_PDI_Cash_Exception_Application[[#This Row],[TODAY]]-qry_ProdData2_PDI_Cash_Exception_Application[[#This Row],[CHANGED ON]]</f>
        <v>5.7429282407392748</v>
      </c>
    </row>
    <row r="3118" spans="1:14" x14ac:dyDescent="0.35">
      <c r="A3118">
        <v>1030</v>
      </c>
      <c r="B3118" t="s">
        <v>84</v>
      </c>
      <c r="C3118" s="1">
        <v>45190.257071759261</v>
      </c>
      <c r="D3118" t="str">
        <f ca="1">VLOOKUP(qry_ProdData2_PDI_Cash_Exception_Application[[#This Row],[TYPE]],#REF!,2,FALSE)</f>
        <v>type40</v>
      </c>
      <c r="E3118">
        <v>-962.94</v>
      </c>
      <c r="F3118" t="s">
        <v>52</v>
      </c>
      <c r="G3118" s="1">
        <f>qry_ProdData2_PDI_Cash_Exception_Application[[#This Row],[INSERT DATE]]+7</f>
        <v>45197.257071759261</v>
      </c>
      <c r="H3118" t="str">
        <f>VLOOKUP(qry_ProdData2_PDI_Cash_Exception_Application[[#This Row],[MARKET No]],'Site Allocation'!$B$2:$C$37,2,FALSE)</f>
        <v>Analyst6</v>
      </c>
      <c r="I3118" s="4">
        <f t="shared" ca="1" si="48"/>
        <v>45203</v>
      </c>
      <c r="J3118" s="42">
        <f ca="1">TODAY()-qry_ProdData2_PDI_Cash_Exception_Application[[#This Row],[INSERT DATE]]</f>
        <v>12.742928240739275</v>
      </c>
      <c r="K31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18">
        <f ca="1">qry_ProdData2_PDI_Cash_Exception_Application[[#This Row],[TODAY]]-qry_ProdData2_PDI_Cash_Exception_Application[[#This Row],[CHANGED ON]]</f>
        <v>5.7429282407392748</v>
      </c>
      <c r="M3118">
        <f ca="1">qry_ProdData2_PDI_Cash_Exception_Application[[#This Row],[TODAY]]-qry_ProdData2_PDI_Cash_Exception_Application[[#This Row],[CHANGED ON]]</f>
        <v>5.7429282407392748</v>
      </c>
      <c r="N3118">
        <f ca="1">qry_ProdData2_PDI_Cash_Exception_Application[[#This Row],[TODAY]]-qry_ProdData2_PDI_Cash_Exception_Application[[#This Row],[CHANGED ON]]</f>
        <v>5.7429282407392748</v>
      </c>
    </row>
    <row r="3119" spans="1:14" x14ac:dyDescent="0.35">
      <c r="A3119">
        <v>1015</v>
      </c>
      <c r="B3119" t="s">
        <v>69</v>
      </c>
      <c r="C3119" s="1">
        <v>45197.257071759261</v>
      </c>
      <c r="D3119" t="str">
        <f ca="1">VLOOKUP(qry_ProdData2_PDI_Cash_Exception_Application[[#This Row],[TYPE]],#REF!,2,FALSE)</f>
        <v>type54</v>
      </c>
      <c r="E3119">
        <v>-60</v>
      </c>
      <c r="F3119" t="s">
        <v>48</v>
      </c>
      <c r="G3119" s="1">
        <f>qry_ProdData2_PDI_Cash_Exception_Application[[#This Row],[INSERT DATE]]+7</f>
        <v>45204.257071759261</v>
      </c>
      <c r="H3119" t="str">
        <f>VLOOKUP(qry_ProdData2_PDI_Cash_Exception_Application[[#This Row],[MARKET No]],'Site Allocation'!$B$2:$C$37,2,FALSE)</f>
        <v>Analyst3</v>
      </c>
      <c r="I3119" s="4">
        <f t="shared" ca="1" si="48"/>
        <v>45203</v>
      </c>
      <c r="J3119" s="42">
        <f ca="1">TODAY()-qry_ProdData2_PDI_Cash_Exception_Application[[#This Row],[INSERT DATE]]</f>
        <v>5.7429282407392748</v>
      </c>
      <c r="K31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19">
        <f ca="1">qry_ProdData2_PDI_Cash_Exception_Application[[#This Row],[TODAY]]-qry_ProdData2_PDI_Cash_Exception_Application[[#This Row],[CHANGED ON]]</f>
        <v>-1.2570717592607252</v>
      </c>
      <c r="M3119">
        <f ca="1">qry_ProdData2_PDI_Cash_Exception_Application[[#This Row],[TODAY]]-qry_ProdData2_PDI_Cash_Exception_Application[[#This Row],[CHANGED ON]]</f>
        <v>-1.2570717592607252</v>
      </c>
      <c r="N3119">
        <f ca="1">qry_ProdData2_PDI_Cash_Exception_Application[[#This Row],[TODAY]]-qry_ProdData2_PDI_Cash_Exception_Application[[#This Row],[CHANGED ON]]</f>
        <v>-1.2570717592607252</v>
      </c>
    </row>
    <row r="3120" spans="1:14" x14ac:dyDescent="0.35">
      <c r="A3120">
        <v>1011</v>
      </c>
      <c r="B3120" t="s">
        <v>65</v>
      </c>
      <c r="C3120" s="1">
        <v>45196.257071759261</v>
      </c>
      <c r="D3120" t="str">
        <f ca="1">VLOOKUP(qry_ProdData2_PDI_Cash_Exception_Application[[#This Row],[TYPE]],#REF!,2,FALSE)</f>
        <v>type41</v>
      </c>
      <c r="E3120">
        <v>968.98</v>
      </c>
      <c r="F3120" t="s">
        <v>51</v>
      </c>
      <c r="G3120" s="1">
        <f>qry_ProdData2_PDI_Cash_Exception_Application[[#This Row],[INSERT DATE]]+2</f>
        <v>45198.257071759261</v>
      </c>
      <c r="H3120" t="str">
        <f>VLOOKUP(qry_ProdData2_PDI_Cash_Exception_Application[[#This Row],[MARKET No]],'Site Allocation'!$B$2:$C$37,2,FALSE)</f>
        <v>Analyst2</v>
      </c>
      <c r="I3120" s="4">
        <f t="shared" ca="1" si="48"/>
        <v>45203</v>
      </c>
      <c r="J3120" s="42">
        <f ca="1">TODAY()-qry_ProdData2_PDI_Cash_Exception_Application[[#This Row],[INSERT DATE]]</f>
        <v>6.7429282407392748</v>
      </c>
      <c r="K31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20">
        <f ca="1">qry_ProdData2_PDI_Cash_Exception_Application[[#This Row],[TODAY]]-qry_ProdData2_PDI_Cash_Exception_Application[[#This Row],[CHANGED ON]]</f>
        <v>4.7429282407392748</v>
      </c>
      <c r="M3120">
        <f ca="1">qry_ProdData2_PDI_Cash_Exception_Application[[#This Row],[TODAY]]-qry_ProdData2_PDI_Cash_Exception_Application[[#This Row],[CHANGED ON]]</f>
        <v>4.7429282407392748</v>
      </c>
      <c r="N3120">
        <f ca="1">qry_ProdData2_PDI_Cash_Exception_Application[[#This Row],[TODAY]]-qry_ProdData2_PDI_Cash_Exception_Application[[#This Row],[CHANGED ON]]</f>
        <v>4.7429282407392748</v>
      </c>
    </row>
    <row r="3121" spans="1:14" x14ac:dyDescent="0.35">
      <c r="A3121">
        <v>1008</v>
      </c>
      <c r="B3121" t="s">
        <v>62</v>
      </c>
      <c r="C3121" s="1">
        <v>45194.257071759261</v>
      </c>
      <c r="D3121" t="str">
        <f ca="1">VLOOKUP(qry_ProdData2_PDI_Cash_Exception_Application[[#This Row],[TYPE]],#REF!,2,FALSE)</f>
        <v>type10</v>
      </c>
      <c r="E3121">
        <v>41</v>
      </c>
      <c r="F3121" t="s">
        <v>49</v>
      </c>
      <c r="G3121" s="1">
        <f>qry_ProdData2_PDI_Cash_Exception_Application[[#This Row],[INSERT DATE]]+1</f>
        <v>45195.257071759261</v>
      </c>
      <c r="H3121" t="str">
        <f>VLOOKUP(qry_ProdData2_PDI_Cash_Exception_Application[[#This Row],[MARKET No]],'Site Allocation'!$B$2:$C$37,2,FALSE)</f>
        <v>Analyst2</v>
      </c>
      <c r="I3121" s="4">
        <f t="shared" ca="1" si="48"/>
        <v>45203</v>
      </c>
      <c r="J3121" s="42">
        <f ca="1">TODAY()-qry_ProdData2_PDI_Cash_Exception_Application[[#This Row],[INSERT DATE]]</f>
        <v>8.7429282407392748</v>
      </c>
      <c r="K31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21">
        <f ca="1">qry_ProdData2_PDI_Cash_Exception_Application[[#This Row],[TODAY]]-qry_ProdData2_PDI_Cash_Exception_Application[[#This Row],[CHANGED ON]]</f>
        <v>7.7429282407392748</v>
      </c>
      <c r="M3121">
        <f ca="1">qry_ProdData2_PDI_Cash_Exception_Application[[#This Row],[TODAY]]-qry_ProdData2_PDI_Cash_Exception_Application[[#This Row],[CHANGED ON]]</f>
        <v>7.7429282407392748</v>
      </c>
      <c r="N3121">
        <f ca="1">qry_ProdData2_PDI_Cash_Exception_Application[[#This Row],[TODAY]]-qry_ProdData2_PDI_Cash_Exception_Application[[#This Row],[CHANGED ON]]</f>
        <v>7.7429282407392748</v>
      </c>
    </row>
    <row r="3122" spans="1:14" x14ac:dyDescent="0.35">
      <c r="A3122">
        <v>1029</v>
      </c>
      <c r="B3122" t="s">
        <v>83</v>
      </c>
      <c r="C3122" s="1">
        <v>45194.257071759261</v>
      </c>
      <c r="D3122" t="str">
        <f ca="1">VLOOKUP(qry_ProdData2_PDI_Cash_Exception_Application[[#This Row],[TYPE]],#REF!,2,FALSE)</f>
        <v>type40</v>
      </c>
      <c r="E3122">
        <v>535.62</v>
      </c>
      <c r="F3122" t="s">
        <v>52</v>
      </c>
      <c r="G3122" s="1">
        <f>qry_ProdData2_PDI_Cash_Exception_Application[[#This Row],[INSERT DATE]]+7</f>
        <v>45201.257071759261</v>
      </c>
      <c r="H3122" t="str">
        <f>VLOOKUP(qry_ProdData2_PDI_Cash_Exception_Application[[#This Row],[MARKET No]],'Site Allocation'!$B$2:$C$37,2,FALSE)</f>
        <v>Analyst5</v>
      </c>
      <c r="I3122" s="4">
        <f t="shared" ca="1" si="48"/>
        <v>45203</v>
      </c>
      <c r="J3122" s="42">
        <f ca="1">TODAY()-qry_ProdData2_PDI_Cash_Exception_Application[[#This Row],[INSERT DATE]]</f>
        <v>8.7429282407392748</v>
      </c>
      <c r="K31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22">
        <f ca="1">qry_ProdData2_PDI_Cash_Exception_Application[[#This Row],[TODAY]]-qry_ProdData2_PDI_Cash_Exception_Application[[#This Row],[CHANGED ON]]</f>
        <v>1.7429282407392748</v>
      </c>
      <c r="M3122">
        <f ca="1">qry_ProdData2_PDI_Cash_Exception_Application[[#This Row],[TODAY]]-qry_ProdData2_PDI_Cash_Exception_Application[[#This Row],[CHANGED ON]]</f>
        <v>1.7429282407392748</v>
      </c>
      <c r="N3122">
        <f ca="1">qry_ProdData2_PDI_Cash_Exception_Application[[#This Row],[TODAY]]-qry_ProdData2_PDI_Cash_Exception_Application[[#This Row],[CHANGED ON]]</f>
        <v>1.7429282407392748</v>
      </c>
    </row>
    <row r="3123" spans="1:14" x14ac:dyDescent="0.35">
      <c r="A3123">
        <v>1014</v>
      </c>
      <c r="B3123" t="s">
        <v>68</v>
      </c>
      <c r="C3123" s="1">
        <v>45196.257071759261</v>
      </c>
      <c r="D3123" t="str">
        <f ca="1">VLOOKUP(qry_ProdData2_PDI_Cash_Exception_Application[[#This Row],[TYPE]],#REF!,2,FALSE)</f>
        <v>type40</v>
      </c>
      <c r="E3123">
        <v>122.99</v>
      </c>
      <c r="F3123" t="s">
        <v>48</v>
      </c>
      <c r="G3123" s="1">
        <f>qry_ProdData2_PDI_Cash_Exception_Application[[#This Row],[INSERT DATE]]+1</f>
        <v>45197.257071759261</v>
      </c>
      <c r="H3123" t="str">
        <f>VLOOKUP(qry_ProdData2_PDI_Cash_Exception_Application[[#This Row],[MARKET No]],'Site Allocation'!$B$2:$C$37,2,FALSE)</f>
        <v>Analyst3</v>
      </c>
      <c r="I3123" s="4">
        <f t="shared" ca="1" si="48"/>
        <v>45203</v>
      </c>
      <c r="J3123" s="42">
        <f ca="1">TODAY()-qry_ProdData2_PDI_Cash_Exception_Application[[#This Row],[INSERT DATE]]</f>
        <v>6.7429282407392748</v>
      </c>
      <c r="K31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23">
        <f ca="1">qry_ProdData2_PDI_Cash_Exception_Application[[#This Row],[TODAY]]-qry_ProdData2_PDI_Cash_Exception_Application[[#This Row],[CHANGED ON]]</f>
        <v>5.7429282407392748</v>
      </c>
      <c r="M3123">
        <f ca="1">qry_ProdData2_PDI_Cash_Exception_Application[[#This Row],[TODAY]]-qry_ProdData2_PDI_Cash_Exception_Application[[#This Row],[CHANGED ON]]</f>
        <v>5.7429282407392748</v>
      </c>
      <c r="N3123">
        <f ca="1">qry_ProdData2_PDI_Cash_Exception_Application[[#This Row],[TODAY]]-qry_ProdData2_PDI_Cash_Exception_Application[[#This Row],[CHANGED ON]]</f>
        <v>5.7429282407392748</v>
      </c>
    </row>
    <row r="3124" spans="1:14" x14ac:dyDescent="0.35">
      <c r="A3124">
        <v>1032</v>
      </c>
      <c r="B3124" t="s">
        <v>86</v>
      </c>
      <c r="C3124" s="1">
        <v>45196.257071759261</v>
      </c>
      <c r="D3124" t="str">
        <f ca="1">VLOOKUP(qry_ProdData2_PDI_Cash_Exception_Application[[#This Row],[TYPE]],#REF!,2,FALSE)</f>
        <v>type40</v>
      </c>
      <c r="E3124">
        <v>-577.87</v>
      </c>
      <c r="F3124" t="s">
        <v>51</v>
      </c>
      <c r="G3124" s="1">
        <f>qry_ProdData2_PDI_Cash_Exception_Application[[#This Row],[INSERT DATE]]+7</f>
        <v>45203.257071759261</v>
      </c>
      <c r="H3124" t="str">
        <f>VLOOKUP(qry_ProdData2_PDI_Cash_Exception_Application[[#This Row],[MARKET No]],'Site Allocation'!$B$2:$C$37,2,FALSE)</f>
        <v>Analyst6</v>
      </c>
      <c r="I3124" s="4">
        <f t="shared" ca="1" si="48"/>
        <v>45203</v>
      </c>
      <c r="J3124" s="42">
        <f ca="1">TODAY()-qry_ProdData2_PDI_Cash_Exception_Application[[#This Row],[INSERT DATE]]</f>
        <v>6.7429282407392748</v>
      </c>
      <c r="K31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24">
        <f ca="1">qry_ProdData2_PDI_Cash_Exception_Application[[#This Row],[TODAY]]-qry_ProdData2_PDI_Cash_Exception_Application[[#This Row],[CHANGED ON]]</f>
        <v>-0.25707175926072523</v>
      </c>
      <c r="M3124">
        <f ca="1">qry_ProdData2_PDI_Cash_Exception_Application[[#This Row],[TODAY]]-qry_ProdData2_PDI_Cash_Exception_Application[[#This Row],[CHANGED ON]]</f>
        <v>-0.25707175926072523</v>
      </c>
      <c r="N3124">
        <f ca="1">qry_ProdData2_PDI_Cash_Exception_Application[[#This Row],[TODAY]]-qry_ProdData2_PDI_Cash_Exception_Application[[#This Row],[CHANGED ON]]</f>
        <v>-0.25707175926072523</v>
      </c>
    </row>
    <row r="3125" spans="1:14" x14ac:dyDescent="0.35">
      <c r="A3125">
        <v>1000</v>
      </c>
      <c r="B3125" t="s">
        <v>54</v>
      </c>
      <c r="C3125" s="1">
        <v>45197.257071759261</v>
      </c>
      <c r="D3125" t="str">
        <f ca="1">VLOOKUP(qry_ProdData2_PDI_Cash_Exception_Application[[#This Row],[TYPE]],#REF!,2,FALSE)</f>
        <v>type40</v>
      </c>
      <c r="E3125">
        <v>869.19</v>
      </c>
      <c r="F3125" t="s">
        <v>50</v>
      </c>
      <c r="G3125" s="1">
        <f>qry_ProdData2_PDI_Cash_Exception_Application[[#This Row],[INSERT DATE]]+7</f>
        <v>45204.257071759261</v>
      </c>
      <c r="H3125" t="str">
        <f>VLOOKUP(qry_ProdData2_PDI_Cash_Exception_Application[[#This Row],[MARKET No]],'Site Allocation'!$B$2:$C$37,2,FALSE)</f>
        <v>Analyst1</v>
      </c>
      <c r="I3125" s="4">
        <f t="shared" ca="1" si="48"/>
        <v>45203</v>
      </c>
      <c r="J3125" s="42">
        <f ca="1">TODAY()-qry_ProdData2_PDI_Cash_Exception_Application[[#This Row],[INSERT DATE]]</f>
        <v>5.7429282407392748</v>
      </c>
      <c r="K31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25">
        <f ca="1">qry_ProdData2_PDI_Cash_Exception_Application[[#This Row],[TODAY]]-qry_ProdData2_PDI_Cash_Exception_Application[[#This Row],[CHANGED ON]]</f>
        <v>-1.2570717592607252</v>
      </c>
      <c r="M3125">
        <f ca="1">qry_ProdData2_PDI_Cash_Exception_Application[[#This Row],[TODAY]]-qry_ProdData2_PDI_Cash_Exception_Application[[#This Row],[CHANGED ON]]</f>
        <v>-1.2570717592607252</v>
      </c>
      <c r="N3125">
        <f ca="1">qry_ProdData2_PDI_Cash_Exception_Application[[#This Row],[TODAY]]-qry_ProdData2_PDI_Cash_Exception_Application[[#This Row],[CHANGED ON]]</f>
        <v>-1.2570717592607252</v>
      </c>
    </row>
    <row r="3126" spans="1:14" x14ac:dyDescent="0.35">
      <c r="A3126">
        <v>1021</v>
      </c>
      <c r="B3126" t="s">
        <v>75</v>
      </c>
      <c r="C3126" s="1">
        <v>45195.257071759261</v>
      </c>
      <c r="D3126" t="str">
        <f ca="1">VLOOKUP(qry_ProdData2_PDI_Cash_Exception_Application[[#This Row],[TYPE]],#REF!,2,FALSE)</f>
        <v>type35</v>
      </c>
      <c r="E3126">
        <v>1108.94</v>
      </c>
      <c r="F3126" t="s">
        <v>49</v>
      </c>
      <c r="G3126" s="1">
        <f>qry_ProdData2_PDI_Cash_Exception_Application[[#This Row],[INSERT DATE]]+2</f>
        <v>45197.257071759261</v>
      </c>
      <c r="H3126" t="str">
        <f>VLOOKUP(qry_ProdData2_PDI_Cash_Exception_Application[[#This Row],[MARKET No]],'Site Allocation'!$B$2:$C$37,2,FALSE)</f>
        <v>Analyst4</v>
      </c>
      <c r="I3126" s="4">
        <f t="shared" ca="1" si="48"/>
        <v>45203</v>
      </c>
      <c r="J3126" s="42">
        <f ca="1">TODAY()-qry_ProdData2_PDI_Cash_Exception_Application[[#This Row],[INSERT DATE]]</f>
        <v>7.7429282407392748</v>
      </c>
      <c r="K31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26">
        <f ca="1">qry_ProdData2_PDI_Cash_Exception_Application[[#This Row],[TODAY]]-qry_ProdData2_PDI_Cash_Exception_Application[[#This Row],[CHANGED ON]]</f>
        <v>5.7429282407392748</v>
      </c>
      <c r="M3126">
        <f ca="1">qry_ProdData2_PDI_Cash_Exception_Application[[#This Row],[TODAY]]-qry_ProdData2_PDI_Cash_Exception_Application[[#This Row],[CHANGED ON]]</f>
        <v>5.7429282407392748</v>
      </c>
      <c r="N3126">
        <f ca="1">qry_ProdData2_PDI_Cash_Exception_Application[[#This Row],[TODAY]]-qry_ProdData2_PDI_Cash_Exception_Application[[#This Row],[CHANGED ON]]</f>
        <v>5.7429282407392748</v>
      </c>
    </row>
    <row r="3127" spans="1:14" x14ac:dyDescent="0.35">
      <c r="A3127">
        <v>1007</v>
      </c>
      <c r="B3127" t="s">
        <v>61</v>
      </c>
      <c r="C3127" s="1">
        <v>45186.257071759261</v>
      </c>
      <c r="D3127" t="str">
        <f ca="1">VLOOKUP(qry_ProdData2_PDI_Cash_Exception_Application[[#This Row],[TYPE]],#REF!,2,FALSE)</f>
        <v>type40</v>
      </c>
      <c r="E3127">
        <v>-1995</v>
      </c>
      <c r="F3127" t="s">
        <v>50</v>
      </c>
      <c r="G3127" s="1">
        <f>qry_ProdData2_PDI_Cash_Exception_Application[[#This Row],[INSERT DATE]]+7</f>
        <v>45193.257071759261</v>
      </c>
      <c r="H3127" t="str">
        <f>VLOOKUP(qry_ProdData2_PDI_Cash_Exception_Application[[#This Row],[MARKET No]],'Site Allocation'!$B$2:$C$37,2,FALSE)</f>
        <v>Analyst2</v>
      </c>
      <c r="I3127" s="4">
        <f t="shared" ca="1" si="48"/>
        <v>45203</v>
      </c>
      <c r="J3127" s="42">
        <f ca="1">TODAY()-qry_ProdData2_PDI_Cash_Exception_Application[[#This Row],[INSERT DATE]]</f>
        <v>16.742928240739275</v>
      </c>
      <c r="K31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27">
        <f ca="1">qry_ProdData2_PDI_Cash_Exception_Application[[#This Row],[TODAY]]-qry_ProdData2_PDI_Cash_Exception_Application[[#This Row],[CHANGED ON]]</f>
        <v>9.7429282407392748</v>
      </c>
      <c r="M3127">
        <f ca="1">qry_ProdData2_PDI_Cash_Exception_Application[[#This Row],[TODAY]]-qry_ProdData2_PDI_Cash_Exception_Application[[#This Row],[CHANGED ON]]</f>
        <v>9.7429282407392748</v>
      </c>
      <c r="N3127">
        <f ca="1">qry_ProdData2_PDI_Cash_Exception_Application[[#This Row],[TODAY]]-qry_ProdData2_PDI_Cash_Exception_Application[[#This Row],[CHANGED ON]]</f>
        <v>9.7429282407392748</v>
      </c>
    </row>
    <row r="3128" spans="1:14" x14ac:dyDescent="0.35">
      <c r="A3128">
        <v>1020</v>
      </c>
      <c r="B3128" t="s">
        <v>74</v>
      </c>
      <c r="C3128" s="1">
        <v>45187.257071759261</v>
      </c>
      <c r="D3128" t="str">
        <f ca="1">VLOOKUP(qry_ProdData2_PDI_Cash_Exception_Application[[#This Row],[TYPE]],#REF!,2,FALSE)</f>
        <v>type40</v>
      </c>
      <c r="E3128">
        <v>-637.63</v>
      </c>
      <c r="F3128" t="s">
        <v>50</v>
      </c>
      <c r="G3128" s="1">
        <f>qry_ProdData2_PDI_Cash_Exception_Application[[#This Row],[INSERT DATE]]+7</f>
        <v>45194.257071759261</v>
      </c>
      <c r="H3128" t="str">
        <f>VLOOKUP(qry_ProdData2_PDI_Cash_Exception_Application[[#This Row],[MARKET No]],'Site Allocation'!$B$2:$C$37,2,FALSE)</f>
        <v>Analyst4</v>
      </c>
      <c r="I3128" s="4">
        <f t="shared" ca="1" si="48"/>
        <v>45203</v>
      </c>
      <c r="J3128" s="42">
        <f ca="1">TODAY()-qry_ProdData2_PDI_Cash_Exception_Application[[#This Row],[INSERT DATE]]</f>
        <v>15.742928240739275</v>
      </c>
      <c r="K31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28">
        <f ca="1">qry_ProdData2_PDI_Cash_Exception_Application[[#This Row],[TODAY]]-qry_ProdData2_PDI_Cash_Exception_Application[[#This Row],[CHANGED ON]]</f>
        <v>8.7429282407392748</v>
      </c>
      <c r="M3128">
        <f ca="1">qry_ProdData2_PDI_Cash_Exception_Application[[#This Row],[TODAY]]-qry_ProdData2_PDI_Cash_Exception_Application[[#This Row],[CHANGED ON]]</f>
        <v>8.7429282407392748</v>
      </c>
      <c r="N3128">
        <f ca="1">qry_ProdData2_PDI_Cash_Exception_Application[[#This Row],[TODAY]]-qry_ProdData2_PDI_Cash_Exception_Application[[#This Row],[CHANGED ON]]</f>
        <v>8.7429282407392748</v>
      </c>
    </row>
    <row r="3129" spans="1:14" x14ac:dyDescent="0.35">
      <c r="A3129">
        <v>1009</v>
      </c>
      <c r="B3129" t="s">
        <v>63</v>
      </c>
      <c r="C3129" s="1">
        <v>45194.257071759261</v>
      </c>
      <c r="D3129" t="str">
        <f ca="1">VLOOKUP(qry_ProdData2_PDI_Cash_Exception_Application[[#This Row],[TYPE]],#REF!,2,FALSE)</f>
        <v>type40</v>
      </c>
      <c r="E3129">
        <v>-787.06</v>
      </c>
      <c r="F3129" t="s">
        <v>47</v>
      </c>
      <c r="G3129" s="1">
        <f>qry_ProdData2_PDI_Cash_Exception_Application[[#This Row],[INSERT DATE]]+5</f>
        <v>45199.257071759261</v>
      </c>
      <c r="H3129" t="str">
        <f>VLOOKUP(qry_ProdData2_PDI_Cash_Exception_Application[[#This Row],[MARKET No]],'Site Allocation'!$B$2:$C$37,2,FALSE)</f>
        <v>Analyst2</v>
      </c>
      <c r="I3129" s="4">
        <f t="shared" ca="1" si="48"/>
        <v>45203</v>
      </c>
      <c r="J3129" s="42">
        <f ca="1">TODAY()-qry_ProdData2_PDI_Cash_Exception_Application[[#This Row],[INSERT DATE]]</f>
        <v>8.7429282407392748</v>
      </c>
      <c r="K31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29">
        <f ca="1">qry_ProdData2_PDI_Cash_Exception_Application[[#This Row],[TODAY]]-qry_ProdData2_PDI_Cash_Exception_Application[[#This Row],[CHANGED ON]]</f>
        <v>3.7429282407392748</v>
      </c>
      <c r="M3129">
        <f ca="1">qry_ProdData2_PDI_Cash_Exception_Application[[#This Row],[TODAY]]-qry_ProdData2_PDI_Cash_Exception_Application[[#This Row],[CHANGED ON]]</f>
        <v>3.7429282407392748</v>
      </c>
      <c r="N3129">
        <f ca="1">qry_ProdData2_PDI_Cash_Exception_Application[[#This Row],[TODAY]]-qry_ProdData2_PDI_Cash_Exception_Application[[#This Row],[CHANGED ON]]</f>
        <v>3.7429282407392748</v>
      </c>
    </row>
    <row r="3130" spans="1:14" x14ac:dyDescent="0.35">
      <c r="A3130">
        <v>1022</v>
      </c>
      <c r="B3130" t="s">
        <v>76</v>
      </c>
      <c r="C3130" s="1">
        <v>45193.257071759261</v>
      </c>
      <c r="D3130" t="str">
        <f ca="1">VLOOKUP(qry_ProdData2_PDI_Cash_Exception_Application[[#This Row],[TYPE]],#REF!,2,FALSE)</f>
        <v>type40</v>
      </c>
      <c r="E3130">
        <v>-4837</v>
      </c>
      <c r="F3130" t="s">
        <v>49</v>
      </c>
      <c r="G3130" s="1">
        <f>qry_ProdData2_PDI_Cash_Exception_Application[[#This Row],[INSERT DATE]]+7</f>
        <v>45200.257071759261</v>
      </c>
      <c r="H3130" t="str">
        <f>VLOOKUP(qry_ProdData2_PDI_Cash_Exception_Application[[#This Row],[MARKET No]],'Site Allocation'!$B$2:$C$37,2,FALSE)</f>
        <v>Analyst4</v>
      </c>
      <c r="I3130" s="4">
        <f t="shared" ca="1" si="48"/>
        <v>45203</v>
      </c>
      <c r="J3130" s="42">
        <f ca="1">TODAY()-qry_ProdData2_PDI_Cash_Exception_Application[[#This Row],[INSERT DATE]]</f>
        <v>9.7429282407392748</v>
      </c>
      <c r="K31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30">
        <f ca="1">qry_ProdData2_PDI_Cash_Exception_Application[[#This Row],[TODAY]]-qry_ProdData2_PDI_Cash_Exception_Application[[#This Row],[CHANGED ON]]</f>
        <v>2.7429282407392748</v>
      </c>
      <c r="M3130">
        <f ca="1">qry_ProdData2_PDI_Cash_Exception_Application[[#This Row],[TODAY]]-qry_ProdData2_PDI_Cash_Exception_Application[[#This Row],[CHANGED ON]]</f>
        <v>2.7429282407392748</v>
      </c>
      <c r="N3130">
        <f ca="1">qry_ProdData2_PDI_Cash_Exception_Application[[#This Row],[TODAY]]-qry_ProdData2_PDI_Cash_Exception_Application[[#This Row],[CHANGED ON]]</f>
        <v>2.7429282407392748</v>
      </c>
    </row>
    <row r="3131" spans="1:14" x14ac:dyDescent="0.35">
      <c r="A3131">
        <v>1026</v>
      </c>
      <c r="B3131" t="s">
        <v>80</v>
      </c>
      <c r="C3131" s="1">
        <v>45196.257071759261</v>
      </c>
      <c r="D3131" t="str">
        <f ca="1">VLOOKUP(qry_ProdData2_PDI_Cash_Exception_Application[[#This Row],[TYPE]],#REF!,2,FALSE)</f>
        <v>type13</v>
      </c>
      <c r="E3131">
        <v>20102.419999999998</v>
      </c>
      <c r="F3131" t="s">
        <v>51</v>
      </c>
      <c r="G3131" s="1">
        <f>qry_ProdData2_PDI_Cash_Exception_Application[[#This Row],[INSERT DATE]]+1</f>
        <v>45197.257071759261</v>
      </c>
      <c r="H3131" t="str">
        <f>VLOOKUP(qry_ProdData2_PDI_Cash_Exception_Application[[#This Row],[MARKET No]],'Site Allocation'!$B$2:$C$37,2,FALSE)</f>
        <v>Analyst5</v>
      </c>
      <c r="I3131" s="4">
        <f t="shared" ca="1" si="48"/>
        <v>45203</v>
      </c>
      <c r="J3131" s="42">
        <f ca="1">TODAY()-qry_ProdData2_PDI_Cash_Exception_Application[[#This Row],[INSERT DATE]]</f>
        <v>6.7429282407392748</v>
      </c>
      <c r="K31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31">
        <f ca="1">qry_ProdData2_PDI_Cash_Exception_Application[[#This Row],[TODAY]]-qry_ProdData2_PDI_Cash_Exception_Application[[#This Row],[CHANGED ON]]</f>
        <v>5.7429282407392748</v>
      </c>
      <c r="M3131">
        <f ca="1">qry_ProdData2_PDI_Cash_Exception_Application[[#This Row],[TODAY]]-qry_ProdData2_PDI_Cash_Exception_Application[[#This Row],[CHANGED ON]]</f>
        <v>5.7429282407392748</v>
      </c>
      <c r="N3131">
        <f ca="1">qry_ProdData2_PDI_Cash_Exception_Application[[#This Row],[TODAY]]-qry_ProdData2_PDI_Cash_Exception_Application[[#This Row],[CHANGED ON]]</f>
        <v>5.7429282407392748</v>
      </c>
    </row>
    <row r="3132" spans="1:14" x14ac:dyDescent="0.35">
      <c r="A3132">
        <v>1009</v>
      </c>
      <c r="B3132" t="s">
        <v>63</v>
      </c>
      <c r="C3132" s="1">
        <v>45197.257071759261</v>
      </c>
      <c r="D3132" t="str">
        <f ca="1">VLOOKUP(qry_ProdData2_PDI_Cash_Exception_Application[[#This Row],[TYPE]],#REF!,2,FALSE)</f>
        <v>type40</v>
      </c>
      <c r="E3132">
        <v>-3603.41</v>
      </c>
      <c r="F3132" t="str">
        <f>qry_ProdData2_PDI_Cash_Exception_Application[[#This Row],[ANALYST]]</f>
        <v>Analyst2</v>
      </c>
      <c r="G3132" s="1">
        <f>qry_ProdData2_PDI_Cash_Exception_Application[[#This Row],[INSERT DATE]]+2</f>
        <v>45199.257071759261</v>
      </c>
      <c r="H3132" t="str">
        <f>VLOOKUP(qry_ProdData2_PDI_Cash_Exception_Application[[#This Row],[MARKET No]],'Site Allocation'!$B$2:$C$37,2,FALSE)</f>
        <v>Analyst2</v>
      </c>
      <c r="I3132" s="4">
        <f t="shared" ca="1" si="48"/>
        <v>45203</v>
      </c>
      <c r="J3132" s="42">
        <f ca="1">TODAY()-qry_ProdData2_PDI_Cash_Exception_Application[[#This Row],[INSERT DATE]]</f>
        <v>5.7429282407392748</v>
      </c>
      <c r="K31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32">
        <f ca="1">qry_ProdData2_PDI_Cash_Exception_Application[[#This Row],[TODAY]]-qry_ProdData2_PDI_Cash_Exception_Application[[#This Row],[CHANGED ON]]</f>
        <v>3.7429282407392748</v>
      </c>
      <c r="M3132">
        <f ca="1">qry_ProdData2_PDI_Cash_Exception_Application[[#This Row],[TODAY]]-qry_ProdData2_PDI_Cash_Exception_Application[[#This Row],[CHANGED ON]]</f>
        <v>3.7429282407392748</v>
      </c>
      <c r="N3132">
        <f ca="1">qry_ProdData2_PDI_Cash_Exception_Application[[#This Row],[TODAY]]-qry_ProdData2_PDI_Cash_Exception_Application[[#This Row],[CHANGED ON]]</f>
        <v>3.7429282407392748</v>
      </c>
    </row>
    <row r="3133" spans="1:14" x14ac:dyDescent="0.35">
      <c r="A3133">
        <v>1034</v>
      </c>
      <c r="B3133" t="s">
        <v>88</v>
      </c>
      <c r="C3133" s="1">
        <v>45196.257071759261</v>
      </c>
      <c r="D3133" t="str">
        <f ca="1">VLOOKUP(qry_ProdData2_PDI_Cash_Exception_Application[[#This Row],[TYPE]],#REF!,2,FALSE)</f>
        <v>type40</v>
      </c>
      <c r="E3133">
        <v>838.98</v>
      </c>
      <c r="F3133" t="s">
        <v>48</v>
      </c>
      <c r="G3133" s="1">
        <f>qry_ProdData2_PDI_Cash_Exception_Application[[#This Row],[INSERT DATE]]+7</f>
        <v>45203.257071759261</v>
      </c>
      <c r="H3133" t="str">
        <f>VLOOKUP(qry_ProdData2_PDI_Cash_Exception_Application[[#This Row],[MARKET No]],'Site Allocation'!$B$2:$C$37,2,FALSE)</f>
        <v>Analyst6</v>
      </c>
      <c r="I3133" s="4">
        <f t="shared" ca="1" si="48"/>
        <v>45203</v>
      </c>
      <c r="J3133" s="42">
        <f ca="1">TODAY()-qry_ProdData2_PDI_Cash_Exception_Application[[#This Row],[INSERT DATE]]</f>
        <v>6.7429282407392748</v>
      </c>
      <c r="K31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33">
        <f ca="1">qry_ProdData2_PDI_Cash_Exception_Application[[#This Row],[TODAY]]-qry_ProdData2_PDI_Cash_Exception_Application[[#This Row],[CHANGED ON]]</f>
        <v>-0.25707175926072523</v>
      </c>
      <c r="M3133">
        <f ca="1">qry_ProdData2_PDI_Cash_Exception_Application[[#This Row],[TODAY]]-qry_ProdData2_PDI_Cash_Exception_Application[[#This Row],[CHANGED ON]]</f>
        <v>-0.25707175926072523</v>
      </c>
      <c r="N3133">
        <f ca="1">qry_ProdData2_PDI_Cash_Exception_Application[[#This Row],[TODAY]]-qry_ProdData2_PDI_Cash_Exception_Application[[#This Row],[CHANGED ON]]</f>
        <v>-0.25707175926072523</v>
      </c>
    </row>
    <row r="3134" spans="1:14" x14ac:dyDescent="0.35">
      <c r="A3134">
        <v>1018</v>
      </c>
      <c r="B3134" t="s">
        <v>72</v>
      </c>
      <c r="C3134" s="1">
        <v>45197.257071759261</v>
      </c>
      <c r="D3134" t="str">
        <f ca="1">VLOOKUP(qry_ProdData2_PDI_Cash_Exception_Application[[#This Row],[TYPE]],#REF!,2,FALSE)</f>
        <v>type40</v>
      </c>
      <c r="E3134">
        <v>55</v>
      </c>
      <c r="F3134" t="s">
        <v>48</v>
      </c>
      <c r="G3134" s="1">
        <f>qry_ProdData2_PDI_Cash_Exception_Application[[#This Row],[INSERT DATE]]+7</f>
        <v>45204.257071759261</v>
      </c>
      <c r="H3134" t="str">
        <f>VLOOKUP(qry_ProdData2_PDI_Cash_Exception_Application[[#This Row],[MARKET No]],'Site Allocation'!$B$2:$C$37,2,FALSE)</f>
        <v>Analyst4</v>
      </c>
      <c r="I3134" s="4">
        <f t="shared" ca="1" si="48"/>
        <v>45203</v>
      </c>
      <c r="J3134" s="42">
        <f ca="1">TODAY()-qry_ProdData2_PDI_Cash_Exception_Application[[#This Row],[INSERT DATE]]</f>
        <v>5.7429282407392748</v>
      </c>
      <c r="K31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34">
        <f ca="1">qry_ProdData2_PDI_Cash_Exception_Application[[#This Row],[TODAY]]-qry_ProdData2_PDI_Cash_Exception_Application[[#This Row],[CHANGED ON]]</f>
        <v>-1.2570717592607252</v>
      </c>
      <c r="M3134">
        <f ca="1">qry_ProdData2_PDI_Cash_Exception_Application[[#This Row],[TODAY]]-qry_ProdData2_PDI_Cash_Exception_Application[[#This Row],[CHANGED ON]]</f>
        <v>-1.2570717592607252</v>
      </c>
      <c r="N3134">
        <f ca="1">qry_ProdData2_PDI_Cash_Exception_Application[[#This Row],[TODAY]]-qry_ProdData2_PDI_Cash_Exception_Application[[#This Row],[CHANGED ON]]</f>
        <v>-1.2570717592607252</v>
      </c>
    </row>
    <row r="3135" spans="1:14" x14ac:dyDescent="0.35">
      <c r="A3135">
        <v>1012</v>
      </c>
      <c r="B3135" t="s">
        <v>66</v>
      </c>
      <c r="C3135" s="1">
        <v>45196.257071759261</v>
      </c>
      <c r="D3135" t="str">
        <f ca="1">VLOOKUP(qry_ProdData2_PDI_Cash_Exception_Application[[#This Row],[TYPE]],#REF!,2,FALSE)</f>
        <v>type40</v>
      </c>
      <c r="E3135">
        <v>-386.26</v>
      </c>
      <c r="F3135" t="s">
        <v>51</v>
      </c>
      <c r="G3135" s="1">
        <f>qry_ProdData2_PDI_Cash_Exception_Application[[#This Row],[INSERT DATE]]+1</f>
        <v>45197.257071759261</v>
      </c>
      <c r="H3135" t="str">
        <f>VLOOKUP(qry_ProdData2_PDI_Cash_Exception_Application[[#This Row],[MARKET No]],'Site Allocation'!$B$2:$C$37,2,FALSE)</f>
        <v>Analyst3</v>
      </c>
      <c r="I3135" s="4">
        <f t="shared" ca="1" si="48"/>
        <v>45203</v>
      </c>
      <c r="J3135" s="42">
        <f ca="1">TODAY()-qry_ProdData2_PDI_Cash_Exception_Application[[#This Row],[INSERT DATE]]</f>
        <v>6.7429282407392748</v>
      </c>
      <c r="K31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35">
        <f ca="1">qry_ProdData2_PDI_Cash_Exception_Application[[#This Row],[TODAY]]-qry_ProdData2_PDI_Cash_Exception_Application[[#This Row],[CHANGED ON]]</f>
        <v>5.7429282407392748</v>
      </c>
      <c r="M3135">
        <f ca="1">qry_ProdData2_PDI_Cash_Exception_Application[[#This Row],[TODAY]]-qry_ProdData2_PDI_Cash_Exception_Application[[#This Row],[CHANGED ON]]</f>
        <v>5.7429282407392748</v>
      </c>
      <c r="N3135">
        <f ca="1">qry_ProdData2_PDI_Cash_Exception_Application[[#This Row],[TODAY]]-qry_ProdData2_PDI_Cash_Exception_Application[[#This Row],[CHANGED ON]]</f>
        <v>5.7429282407392748</v>
      </c>
    </row>
    <row r="3136" spans="1:14" x14ac:dyDescent="0.35">
      <c r="A3136">
        <v>1007</v>
      </c>
      <c r="B3136" t="s">
        <v>61</v>
      </c>
      <c r="C3136" s="1">
        <v>45197.257071759261</v>
      </c>
      <c r="D3136" t="str">
        <f ca="1">VLOOKUP(qry_ProdData2_PDI_Cash_Exception_Application[[#This Row],[TYPE]],#REF!,2,FALSE)</f>
        <v>type40</v>
      </c>
      <c r="E3136">
        <v>-4024.06</v>
      </c>
      <c r="F3136" t="s">
        <v>48</v>
      </c>
      <c r="G3136" s="1">
        <f>qry_ProdData2_PDI_Cash_Exception_Application[[#This Row],[INSERT DATE]]+7</f>
        <v>45204.257071759261</v>
      </c>
      <c r="H3136" t="str">
        <f>VLOOKUP(qry_ProdData2_PDI_Cash_Exception_Application[[#This Row],[MARKET No]],'Site Allocation'!$B$2:$C$37,2,FALSE)</f>
        <v>Analyst2</v>
      </c>
      <c r="I3136" s="4">
        <f t="shared" ca="1" si="48"/>
        <v>45203</v>
      </c>
      <c r="J3136" s="42">
        <f ca="1">TODAY()-qry_ProdData2_PDI_Cash_Exception_Application[[#This Row],[INSERT DATE]]</f>
        <v>5.7429282407392748</v>
      </c>
      <c r="K31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36">
        <f ca="1">qry_ProdData2_PDI_Cash_Exception_Application[[#This Row],[TODAY]]-qry_ProdData2_PDI_Cash_Exception_Application[[#This Row],[CHANGED ON]]</f>
        <v>-1.2570717592607252</v>
      </c>
      <c r="M3136">
        <f ca="1">qry_ProdData2_PDI_Cash_Exception_Application[[#This Row],[TODAY]]-qry_ProdData2_PDI_Cash_Exception_Application[[#This Row],[CHANGED ON]]</f>
        <v>-1.2570717592607252</v>
      </c>
      <c r="N3136">
        <f ca="1">qry_ProdData2_PDI_Cash_Exception_Application[[#This Row],[TODAY]]-qry_ProdData2_PDI_Cash_Exception_Application[[#This Row],[CHANGED ON]]</f>
        <v>-1.2570717592607252</v>
      </c>
    </row>
    <row r="3137" spans="1:14" x14ac:dyDescent="0.35">
      <c r="A3137">
        <v>1002</v>
      </c>
      <c r="B3137" t="s">
        <v>56</v>
      </c>
      <c r="C3137" s="1">
        <v>45196.257071759261</v>
      </c>
      <c r="D3137" t="str">
        <f ca="1">VLOOKUP(qry_ProdData2_PDI_Cash_Exception_Application[[#This Row],[TYPE]],#REF!,2,FALSE)</f>
        <v>type40</v>
      </c>
      <c r="E3137">
        <v>-616.14</v>
      </c>
      <c r="F3137" t="s">
        <v>51</v>
      </c>
      <c r="G3137" s="1">
        <f>qry_ProdData2_PDI_Cash_Exception_Application[[#This Row],[INSERT DATE]]+1</f>
        <v>45197.257071759261</v>
      </c>
      <c r="H3137" t="str">
        <f>VLOOKUP(qry_ProdData2_PDI_Cash_Exception_Application[[#This Row],[MARKET No]],'Site Allocation'!$B$2:$C$37,2,FALSE)</f>
        <v>Analyst1</v>
      </c>
      <c r="I3137" s="4">
        <f t="shared" ca="1" si="48"/>
        <v>45203</v>
      </c>
      <c r="J3137" s="42">
        <f ca="1">TODAY()-qry_ProdData2_PDI_Cash_Exception_Application[[#This Row],[INSERT DATE]]</f>
        <v>6.7429282407392748</v>
      </c>
      <c r="K31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37">
        <f ca="1">qry_ProdData2_PDI_Cash_Exception_Application[[#This Row],[TODAY]]-qry_ProdData2_PDI_Cash_Exception_Application[[#This Row],[CHANGED ON]]</f>
        <v>5.7429282407392748</v>
      </c>
      <c r="M3137">
        <f ca="1">qry_ProdData2_PDI_Cash_Exception_Application[[#This Row],[TODAY]]-qry_ProdData2_PDI_Cash_Exception_Application[[#This Row],[CHANGED ON]]</f>
        <v>5.7429282407392748</v>
      </c>
      <c r="N3137">
        <f ca="1">qry_ProdData2_PDI_Cash_Exception_Application[[#This Row],[TODAY]]-qry_ProdData2_PDI_Cash_Exception_Application[[#This Row],[CHANGED ON]]</f>
        <v>5.7429282407392748</v>
      </c>
    </row>
    <row r="3138" spans="1:14" x14ac:dyDescent="0.35">
      <c r="A3138">
        <v>1013</v>
      </c>
      <c r="B3138" t="s">
        <v>67</v>
      </c>
      <c r="C3138" s="1">
        <v>45194.257071759261</v>
      </c>
      <c r="D3138" t="str">
        <f ca="1">VLOOKUP(qry_ProdData2_PDI_Cash_Exception_Application[[#This Row],[TYPE]],#REF!,2,FALSE)</f>
        <v>type17</v>
      </c>
      <c r="E3138">
        <v>500.4</v>
      </c>
      <c r="F3138" t="s">
        <v>47</v>
      </c>
      <c r="G3138" s="1">
        <f>qry_ProdData2_PDI_Cash_Exception_Application[[#This Row],[INSERT DATE]]+2</f>
        <v>45196.257071759261</v>
      </c>
      <c r="H3138" t="str">
        <f>VLOOKUP(qry_ProdData2_PDI_Cash_Exception_Application[[#This Row],[MARKET No]],'Site Allocation'!$B$2:$C$37,2,FALSE)</f>
        <v>Analyst3</v>
      </c>
      <c r="I3138" s="4">
        <f t="shared" ref="I3138:I3201" ca="1" si="49">TODAY()</f>
        <v>45203</v>
      </c>
      <c r="J3138" s="42">
        <f ca="1">TODAY()-qry_ProdData2_PDI_Cash_Exception_Application[[#This Row],[INSERT DATE]]</f>
        <v>8.7429282407392748</v>
      </c>
      <c r="K31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38">
        <f ca="1">qry_ProdData2_PDI_Cash_Exception_Application[[#This Row],[TODAY]]-qry_ProdData2_PDI_Cash_Exception_Application[[#This Row],[CHANGED ON]]</f>
        <v>6.7429282407392748</v>
      </c>
      <c r="M3138">
        <f ca="1">qry_ProdData2_PDI_Cash_Exception_Application[[#This Row],[TODAY]]-qry_ProdData2_PDI_Cash_Exception_Application[[#This Row],[CHANGED ON]]</f>
        <v>6.7429282407392748</v>
      </c>
      <c r="N3138">
        <f ca="1">qry_ProdData2_PDI_Cash_Exception_Application[[#This Row],[TODAY]]-qry_ProdData2_PDI_Cash_Exception_Application[[#This Row],[CHANGED ON]]</f>
        <v>6.7429282407392748</v>
      </c>
    </row>
    <row r="3139" spans="1:14" x14ac:dyDescent="0.35">
      <c r="A3139">
        <v>1033</v>
      </c>
      <c r="B3139" t="s">
        <v>87</v>
      </c>
      <c r="C3139" s="1">
        <v>45196.257071759261</v>
      </c>
      <c r="D3139" t="str">
        <f ca="1">VLOOKUP(qry_ProdData2_PDI_Cash_Exception_Application[[#This Row],[TYPE]],#REF!,2,FALSE)</f>
        <v>type40</v>
      </c>
      <c r="E3139">
        <v>719.68</v>
      </c>
      <c r="F3139" t="s">
        <v>48</v>
      </c>
      <c r="G3139" s="1">
        <f>qry_ProdData2_PDI_Cash_Exception_Application[[#This Row],[INSERT DATE]]+5</f>
        <v>45201.257071759261</v>
      </c>
      <c r="H3139" t="str">
        <f>VLOOKUP(qry_ProdData2_PDI_Cash_Exception_Application[[#This Row],[MARKET No]],'Site Allocation'!$B$2:$C$37,2,FALSE)</f>
        <v>Analyst6</v>
      </c>
      <c r="I3139" s="4">
        <f t="shared" ca="1" si="49"/>
        <v>45203</v>
      </c>
      <c r="J3139" s="42">
        <f ca="1">TODAY()-qry_ProdData2_PDI_Cash_Exception_Application[[#This Row],[INSERT DATE]]</f>
        <v>6.7429282407392748</v>
      </c>
      <c r="K31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39">
        <f ca="1">qry_ProdData2_PDI_Cash_Exception_Application[[#This Row],[TODAY]]-qry_ProdData2_PDI_Cash_Exception_Application[[#This Row],[CHANGED ON]]</f>
        <v>1.7429282407392748</v>
      </c>
      <c r="M3139">
        <f ca="1">qry_ProdData2_PDI_Cash_Exception_Application[[#This Row],[TODAY]]-qry_ProdData2_PDI_Cash_Exception_Application[[#This Row],[CHANGED ON]]</f>
        <v>1.7429282407392748</v>
      </c>
      <c r="N3139">
        <f ca="1">qry_ProdData2_PDI_Cash_Exception_Application[[#This Row],[TODAY]]-qry_ProdData2_PDI_Cash_Exception_Application[[#This Row],[CHANGED ON]]</f>
        <v>1.7429282407392748</v>
      </c>
    </row>
    <row r="3140" spans="1:14" x14ac:dyDescent="0.35">
      <c r="A3140">
        <v>1005</v>
      </c>
      <c r="B3140" t="s">
        <v>59</v>
      </c>
      <c r="C3140" s="1">
        <v>45193.257071759261</v>
      </c>
      <c r="D3140" t="str">
        <f ca="1">VLOOKUP(qry_ProdData2_PDI_Cash_Exception_Application[[#This Row],[TYPE]],#REF!,2,FALSE)</f>
        <v>type40</v>
      </c>
      <c r="E3140">
        <v>1796</v>
      </c>
      <c r="F3140" t="s">
        <v>47</v>
      </c>
      <c r="G3140" s="1">
        <f>qry_ProdData2_PDI_Cash_Exception_Application[[#This Row],[INSERT DATE]]+2</f>
        <v>45195.257071759261</v>
      </c>
      <c r="H3140" t="str">
        <f>VLOOKUP(qry_ProdData2_PDI_Cash_Exception_Application[[#This Row],[MARKET No]],'Site Allocation'!$B$2:$C$37,2,FALSE)</f>
        <v>Analyst1</v>
      </c>
      <c r="I3140" s="4">
        <f t="shared" ca="1" si="49"/>
        <v>45203</v>
      </c>
      <c r="J3140" s="42">
        <f ca="1">TODAY()-qry_ProdData2_PDI_Cash_Exception_Application[[#This Row],[INSERT DATE]]</f>
        <v>9.7429282407392748</v>
      </c>
      <c r="K31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40">
        <f ca="1">qry_ProdData2_PDI_Cash_Exception_Application[[#This Row],[TODAY]]-qry_ProdData2_PDI_Cash_Exception_Application[[#This Row],[CHANGED ON]]</f>
        <v>7.7429282407392748</v>
      </c>
      <c r="M3140">
        <f ca="1">qry_ProdData2_PDI_Cash_Exception_Application[[#This Row],[TODAY]]-qry_ProdData2_PDI_Cash_Exception_Application[[#This Row],[CHANGED ON]]</f>
        <v>7.7429282407392748</v>
      </c>
      <c r="N3140">
        <f ca="1">qry_ProdData2_PDI_Cash_Exception_Application[[#This Row],[TODAY]]-qry_ProdData2_PDI_Cash_Exception_Application[[#This Row],[CHANGED ON]]</f>
        <v>7.7429282407392748</v>
      </c>
    </row>
    <row r="3141" spans="1:14" x14ac:dyDescent="0.35">
      <c r="A3141">
        <v>1015</v>
      </c>
      <c r="B3141" t="s">
        <v>69</v>
      </c>
      <c r="C3141" s="1">
        <v>45196.257071759261</v>
      </c>
      <c r="D3141" t="str">
        <f ca="1">VLOOKUP(qry_ProdData2_PDI_Cash_Exception_Application[[#This Row],[TYPE]],#REF!,2,FALSE)</f>
        <v>type13</v>
      </c>
      <c r="E3141">
        <v>42784.27</v>
      </c>
      <c r="F3141" t="s">
        <v>48</v>
      </c>
      <c r="G3141" s="1">
        <f>qry_ProdData2_PDI_Cash_Exception_Application[[#This Row],[INSERT DATE]]+2</f>
        <v>45198.257071759261</v>
      </c>
      <c r="H3141" t="str">
        <f>VLOOKUP(qry_ProdData2_PDI_Cash_Exception_Application[[#This Row],[MARKET No]],'Site Allocation'!$B$2:$C$37,2,FALSE)</f>
        <v>Analyst3</v>
      </c>
      <c r="I3141" s="4">
        <f t="shared" ca="1" si="49"/>
        <v>45203</v>
      </c>
      <c r="J3141" s="42">
        <f ca="1">TODAY()-qry_ProdData2_PDI_Cash_Exception_Application[[#This Row],[INSERT DATE]]</f>
        <v>6.7429282407392748</v>
      </c>
      <c r="K31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41">
        <f ca="1">qry_ProdData2_PDI_Cash_Exception_Application[[#This Row],[TODAY]]-qry_ProdData2_PDI_Cash_Exception_Application[[#This Row],[CHANGED ON]]</f>
        <v>4.7429282407392748</v>
      </c>
      <c r="M3141">
        <f ca="1">qry_ProdData2_PDI_Cash_Exception_Application[[#This Row],[TODAY]]-qry_ProdData2_PDI_Cash_Exception_Application[[#This Row],[CHANGED ON]]</f>
        <v>4.7429282407392748</v>
      </c>
      <c r="N3141">
        <f ca="1">qry_ProdData2_PDI_Cash_Exception_Application[[#This Row],[TODAY]]-qry_ProdData2_PDI_Cash_Exception_Application[[#This Row],[CHANGED ON]]</f>
        <v>4.7429282407392748</v>
      </c>
    </row>
    <row r="3142" spans="1:14" x14ac:dyDescent="0.35">
      <c r="A3142">
        <v>1020</v>
      </c>
      <c r="B3142" t="s">
        <v>74</v>
      </c>
      <c r="C3142" s="1">
        <v>45179.257071759261</v>
      </c>
      <c r="D3142" t="str">
        <f ca="1">VLOOKUP(qry_ProdData2_PDI_Cash_Exception_Application[[#This Row],[TYPE]],#REF!,2,FALSE)</f>
        <v>type40</v>
      </c>
      <c r="E3142">
        <v>-576.6</v>
      </c>
      <c r="F3142" t="s">
        <v>50</v>
      </c>
      <c r="G3142" s="1">
        <f>qry_ProdData2_PDI_Cash_Exception_Application[[#This Row],[INSERT DATE]]+1</f>
        <v>45180.257071759261</v>
      </c>
      <c r="H3142" t="str">
        <f>VLOOKUP(qry_ProdData2_PDI_Cash_Exception_Application[[#This Row],[MARKET No]],'Site Allocation'!$B$2:$C$37,2,FALSE)</f>
        <v>Analyst4</v>
      </c>
      <c r="I3142" s="4">
        <f t="shared" ca="1" si="49"/>
        <v>45203</v>
      </c>
      <c r="J3142" s="42">
        <f ca="1">TODAY()-qry_ProdData2_PDI_Cash_Exception_Application[[#This Row],[INSERT DATE]]</f>
        <v>23.742928240739275</v>
      </c>
      <c r="K31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42">
        <f ca="1">qry_ProdData2_PDI_Cash_Exception_Application[[#This Row],[TODAY]]-qry_ProdData2_PDI_Cash_Exception_Application[[#This Row],[CHANGED ON]]</f>
        <v>22.742928240739275</v>
      </c>
      <c r="M3142">
        <f ca="1">qry_ProdData2_PDI_Cash_Exception_Application[[#This Row],[TODAY]]-qry_ProdData2_PDI_Cash_Exception_Application[[#This Row],[CHANGED ON]]</f>
        <v>22.742928240739275</v>
      </c>
      <c r="N3142">
        <f ca="1">qry_ProdData2_PDI_Cash_Exception_Application[[#This Row],[TODAY]]-qry_ProdData2_PDI_Cash_Exception_Application[[#This Row],[CHANGED ON]]</f>
        <v>22.742928240739275</v>
      </c>
    </row>
    <row r="3143" spans="1:14" x14ac:dyDescent="0.35">
      <c r="A3143">
        <v>1032</v>
      </c>
      <c r="B3143" t="s">
        <v>86</v>
      </c>
      <c r="C3143" s="1">
        <v>45195.257071759261</v>
      </c>
      <c r="D3143" t="str">
        <f ca="1">VLOOKUP(qry_ProdData2_PDI_Cash_Exception_Application[[#This Row],[TYPE]],#REF!,2,FALSE)</f>
        <v>type17</v>
      </c>
      <c r="E3143">
        <v>1386.81</v>
      </c>
      <c r="F3143" t="s">
        <v>49</v>
      </c>
      <c r="G3143" s="1">
        <f>qry_ProdData2_PDI_Cash_Exception_Application[[#This Row],[INSERT DATE]]+7</f>
        <v>45202.257071759261</v>
      </c>
      <c r="H3143" t="str">
        <f>VLOOKUP(qry_ProdData2_PDI_Cash_Exception_Application[[#This Row],[MARKET No]],'Site Allocation'!$B$2:$C$37,2,FALSE)</f>
        <v>Analyst6</v>
      </c>
      <c r="I3143" s="4">
        <f t="shared" ca="1" si="49"/>
        <v>45203</v>
      </c>
      <c r="J3143" s="42">
        <f ca="1">TODAY()-qry_ProdData2_PDI_Cash_Exception_Application[[#This Row],[INSERT DATE]]</f>
        <v>7.7429282407392748</v>
      </c>
      <c r="K31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43">
        <f ca="1">qry_ProdData2_PDI_Cash_Exception_Application[[#This Row],[TODAY]]-qry_ProdData2_PDI_Cash_Exception_Application[[#This Row],[CHANGED ON]]</f>
        <v>0.74292824073927477</v>
      </c>
      <c r="M3143">
        <f ca="1">qry_ProdData2_PDI_Cash_Exception_Application[[#This Row],[TODAY]]-qry_ProdData2_PDI_Cash_Exception_Application[[#This Row],[CHANGED ON]]</f>
        <v>0.74292824073927477</v>
      </c>
      <c r="N3143">
        <f ca="1">qry_ProdData2_PDI_Cash_Exception_Application[[#This Row],[TODAY]]-qry_ProdData2_PDI_Cash_Exception_Application[[#This Row],[CHANGED ON]]</f>
        <v>0.74292824073927477</v>
      </c>
    </row>
    <row r="3144" spans="1:14" x14ac:dyDescent="0.35">
      <c r="A3144">
        <v>1010</v>
      </c>
      <c r="B3144" t="s">
        <v>64</v>
      </c>
      <c r="C3144" s="1">
        <v>45181.257071759261</v>
      </c>
      <c r="D3144" t="str">
        <f ca="1">VLOOKUP(qry_ProdData2_PDI_Cash_Exception_Application[[#This Row],[TYPE]],#REF!,2,FALSE)</f>
        <v>type40</v>
      </c>
      <c r="E3144">
        <v>-1078.0899999999999</v>
      </c>
      <c r="F3144" t="s">
        <v>50</v>
      </c>
      <c r="G3144" s="1">
        <f>qry_ProdData2_PDI_Cash_Exception_Application[[#This Row],[INSERT DATE]]+1</f>
        <v>45182.257071759261</v>
      </c>
      <c r="H3144" t="str">
        <f>VLOOKUP(qry_ProdData2_PDI_Cash_Exception_Application[[#This Row],[MARKET No]],'Site Allocation'!$B$2:$C$37,2,FALSE)</f>
        <v>Analyst2</v>
      </c>
      <c r="I3144" s="4">
        <f t="shared" ca="1" si="49"/>
        <v>45203</v>
      </c>
      <c r="J3144" s="42">
        <f ca="1">TODAY()-qry_ProdData2_PDI_Cash_Exception_Application[[#This Row],[INSERT DATE]]</f>
        <v>21.742928240739275</v>
      </c>
      <c r="K31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44">
        <f ca="1">qry_ProdData2_PDI_Cash_Exception_Application[[#This Row],[TODAY]]-qry_ProdData2_PDI_Cash_Exception_Application[[#This Row],[CHANGED ON]]</f>
        <v>20.742928240739275</v>
      </c>
      <c r="M3144">
        <f ca="1">qry_ProdData2_PDI_Cash_Exception_Application[[#This Row],[TODAY]]-qry_ProdData2_PDI_Cash_Exception_Application[[#This Row],[CHANGED ON]]</f>
        <v>20.742928240739275</v>
      </c>
      <c r="N3144">
        <f ca="1">qry_ProdData2_PDI_Cash_Exception_Application[[#This Row],[TODAY]]-qry_ProdData2_PDI_Cash_Exception_Application[[#This Row],[CHANGED ON]]</f>
        <v>20.742928240739275</v>
      </c>
    </row>
    <row r="3145" spans="1:14" x14ac:dyDescent="0.35">
      <c r="A3145">
        <v>1017</v>
      </c>
      <c r="B3145" t="s">
        <v>71</v>
      </c>
      <c r="C3145" s="1">
        <v>45193.257071759261</v>
      </c>
      <c r="D3145" t="str">
        <f ca="1">VLOOKUP(qry_ProdData2_PDI_Cash_Exception_Application[[#This Row],[TYPE]],#REF!,2,FALSE)</f>
        <v>type40</v>
      </c>
      <c r="E3145">
        <v>-861.03</v>
      </c>
      <c r="F3145" t="s">
        <v>47</v>
      </c>
      <c r="G3145" s="1">
        <f>qry_ProdData2_PDI_Cash_Exception_Application[[#This Row],[INSERT DATE]]+1</f>
        <v>45194.257071759261</v>
      </c>
      <c r="H3145" t="str">
        <f>VLOOKUP(qry_ProdData2_PDI_Cash_Exception_Application[[#This Row],[MARKET No]],'Site Allocation'!$B$2:$C$37,2,FALSE)</f>
        <v>Analyst3</v>
      </c>
      <c r="I3145" s="4">
        <f t="shared" ca="1" si="49"/>
        <v>45203</v>
      </c>
      <c r="J3145" s="42">
        <f ca="1">TODAY()-qry_ProdData2_PDI_Cash_Exception_Application[[#This Row],[INSERT DATE]]</f>
        <v>9.7429282407392748</v>
      </c>
      <c r="K31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45">
        <f ca="1">qry_ProdData2_PDI_Cash_Exception_Application[[#This Row],[TODAY]]-qry_ProdData2_PDI_Cash_Exception_Application[[#This Row],[CHANGED ON]]</f>
        <v>8.7429282407392748</v>
      </c>
      <c r="M3145">
        <f ca="1">qry_ProdData2_PDI_Cash_Exception_Application[[#This Row],[TODAY]]-qry_ProdData2_PDI_Cash_Exception_Application[[#This Row],[CHANGED ON]]</f>
        <v>8.7429282407392748</v>
      </c>
      <c r="N3145">
        <f ca="1">qry_ProdData2_PDI_Cash_Exception_Application[[#This Row],[TODAY]]-qry_ProdData2_PDI_Cash_Exception_Application[[#This Row],[CHANGED ON]]</f>
        <v>8.7429282407392748</v>
      </c>
    </row>
    <row r="3146" spans="1:14" x14ac:dyDescent="0.35">
      <c r="A3146">
        <v>1005</v>
      </c>
      <c r="B3146" t="s">
        <v>59</v>
      </c>
      <c r="C3146" s="1">
        <v>45197.257071759261</v>
      </c>
      <c r="D3146" t="str">
        <f ca="1">VLOOKUP(qry_ProdData2_PDI_Cash_Exception_Application[[#This Row],[TYPE]],#REF!,2,FALSE)</f>
        <v>type13</v>
      </c>
      <c r="E3146">
        <v>36382</v>
      </c>
      <c r="F3146" t="s">
        <v>48</v>
      </c>
      <c r="G3146" s="1">
        <f>qry_ProdData2_PDI_Cash_Exception_Application[[#This Row],[INSERT DATE]]+1</f>
        <v>45198.257071759261</v>
      </c>
      <c r="H3146" t="str">
        <f>VLOOKUP(qry_ProdData2_PDI_Cash_Exception_Application[[#This Row],[MARKET No]],'Site Allocation'!$B$2:$C$37,2,FALSE)</f>
        <v>Analyst1</v>
      </c>
      <c r="I3146" s="4">
        <f t="shared" ca="1" si="49"/>
        <v>45203</v>
      </c>
      <c r="J3146" s="42">
        <f ca="1">TODAY()-qry_ProdData2_PDI_Cash_Exception_Application[[#This Row],[INSERT DATE]]</f>
        <v>5.7429282407392748</v>
      </c>
      <c r="K31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46">
        <f ca="1">qry_ProdData2_PDI_Cash_Exception_Application[[#This Row],[TODAY]]-qry_ProdData2_PDI_Cash_Exception_Application[[#This Row],[CHANGED ON]]</f>
        <v>4.7429282407392748</v>
      </c>
      <c r="M3146">
        <f ca="1">qry_ProdData2_PDI_Cash_Exception_Application[[#This Row],[TODAY]]-qry_ProdData2_PDI_Cash_Exception_Application[[#This Row],[CHANGED ON]]</f>
        <v>4.7429282407392748</v>
      </c>
      <c r="N3146">
        <f ca="1">qry_ProdData2_PDI_Cash_Exception_Application[[#This Row],[TODAY]]-qry_ProdData2_PDI_Cash_Exception_Application[[#This Row],[CHANGED ON]]</f>
        <v>4.7429282407392748</v>
      </c>
    </row>
    <row r="3147" spans="1:14" x14ac:dyDescent="0.35">
      <c r="A3147">
        <v>1003</v>
      </c>
      <c r="B3147" t="s">
        <v>57</v>
      </c>
      <c r="C3147" s="1">
        <v>45196.257071759261</v>
      </c>
      <c r="D3147" t="str">
        <f ca="1">VLOOKUP(qry_ProdData2_PDI_Cash_Exception_Application[[#This Row],[TYPE]],#REF!,2,FALSE)</f>
        <v>type40</v>
      </c>
      <c r="E3147">
        <v>471.66</v>
      </c>
      <c r="F3147" t="s">
        <v>51</v>
      </c>
      <c r="G3147" s="1">
        <f>qry_ProdData2_PDI_Cash_Exception_Application[[#This Row],[INSERT DATE]]+2</f>
        <v>45198.257071759261</v>
      </c>
      <c r="H3147" t="str">
        <f>VLOOKUP(qry_ProdData2_PDI_Cash_Exception_Application[[#This Row],[MARKET No]],'Site Allocation'!$B$2:$C$37,2,FALSE)</f>
        <v>Analyst1</v>
      </c>
      <c r="I3147" s="4">
        <f t="shared" ca="1" si="49"/>
        <v>45203</v>
      </c>
      <c r="J3147" s="42">
        <f ca="1">TODAY()-qry_ProdData2_PDI_Cash_Exception_Application[[#This Row],[INSERT DATE]]</f>
        <v>6.7429282407392748</v>
      </c>
      <c r="K31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47">
        <f ca="1">qry_ProdData2_PDI_Cash_Exception_Application[[#This Row],[TODAY]]-qry_ProdData2_PDI_Cash_Exception_Application[[#This Row],[CHANGED ON]]</f>
        <v>4.7429282407392748</v>
      </c>
      <c r="M3147">
        <f ca="1">qry_ProdData2_PDI_Cash_Exception_Application[[#This Row],[TODAY]]-qry_ProdData2_PDI_Cash_Exception_Application[[#This Row],[CHANGED ON]]</f>
        <v>4.7429282407392748</v>
      </c>
      <c r="N3147">
        <f ca="1">qry_ProdData2_PDI_Cash_Exception_Application[[#This Row],[TODAY]]-qry_ProdData2_PDI_Cash_Exception_Application[[#This Row],[CHANGED ON]]</f>
        <v>4.7429282407392748</v>
      </c>
    </row>
    <row r="3148" spans="1:14" x14ac:dyDescent="0.35">
      <c r="A3148">
        <v>1012</v>
      </c>
      <c r="B3148" t="s">
        <v>66</v>
      </c>
      <c r="C3148" s="1">
        <v>45183.257071759261</v>
      </c>
      <c r="D3148" t="str">
        <f ca="1">VLOOKUP(qry_ProdData2_PDI_Cash_Exception_Application[[#This Row],[TYPE]],#REF!,2,FALSE)</f>
        <v>type40</v>
      </c>
      <c r="E3148">
        <v>804.12</v>
      </c>
      <c r="F3148" t="s">
        <v>52</v>
      </c>
      <c r="G3148" s="1">
        <f>qry_ProdData2_PDI_Cash_Exception_Application[[#This Row],[INSERT DATE]]+1</f>
        <v>45184.257071759261</v>
      </c>
      <c r="H3148" t="str">
        <f>VLOOKUP(qry_ProdData2_PDI_Cash_Exception_Application[[#This Row],[MARKET No]],'Site Allocation'!$B$2:$C$37,2,FALSE)</f>
        <v>Analyst3</v>
      </c>
      <c r="I3148" s="4">
        <f t="shared" ca="1" si="49"/>
        <v>45203</v>
      </c>
      <c r="J3148" s="42">
        <f ca="1">TODAY()-qry_ProdData2_PDI_Cash_Exception_Application[[#This Row],[INSERT DATE]]</f>
        <v>19.742928240739275</v>
      </c>
      <c r="K31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48">
        <f ca="1">qry_ProdData2_PDI_Cash_Exception_Application[[#This Row],[TODAY]]-qry_ProdData2_PDI_Cash_Exception_Application[[#This Row],[CHANGED ON]]</f>
        <v>18.742928240739275</v>
      </c>
      <c r="M3148">
        <f ca="1">qry_ProdData2_PDI_Cash_Exception_Application[[#This Row],[TODAY]]-qry_ProdData2_PDI_Cash_Exception_Application[[#This Row],[CHANGED ON]]</f>
        <v>18.742928240739275</v>
      </c>
      <c r="N3148">
        <f ca="1">qry_ProdData2_PDI_Cash_Exception_Application[[#This Row],[TODAY]]-qry_ProdData2_PDI_Cash_Exception_Application[[#This Row],[CHANGED ON]]</f>
        <v>18.742928240739275</v>
      </c>
    </row>
    <row r="3149" spans="1:14" x14ac:dyDescent="0.35">
      <c r="A3149">
        <v>1011</v>
      </c>
      <c r="B3149" t="s">
        <v>65</v>
      </c>
      <c r="C3149" s="1">
        <v>45184.257071759261</v>
      </c>
      <c r="D3149" t="str">
        <f ca="1">VLOOKUP(qry_ProdData2_PDI_Cash_Exception_Application[[#This Row],[TYPE]],#REF!,2,FALSE)</f>
        <v>type6</v>
      </c>
      <c r="E3149">
        <v>114</v>
      </c>
      <c r="F3149" t="s">
        <v>52</v>
      </c>
      <c r="G3149" s="1">
        <f>qry_ProdData2_PDI_Cash_Exception_Application[[#This Row],[INSERT DATE]]+2</f>
        <v>45186.257071759261</v>
      </c>
      <c r="H3149" t="str">
        <f>VLOOKUP(qry_ProdData2_PDI_Cash_Exception_Application[[#This Row],[MARKET No]],'Site Allocation'!$B$2:$C$37,2,FALSE)</f>
        <v>Analyst2</v>
      </c>
      <c r="I3149" s="4">
        <f t="shared" ca="1" si="49"/>
        <v>45203</v>
      </c>
      <c r="J3149" s="42">
        <f ca="1">TODAY()-qry_ProdData2_PDI_Cash_Exception_Application[[#This Row],[INSERT DATE]]</f>
        <v>18.742928240739275</v>
      </c>
      <c r="K31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49">
        <f ca="1">qry_ProdData2_PDI_Cash_Exception_Application[[#This Row],[TODAY]]-qry_ProdData2_PDI_Cash_Exception_Application[[#This Row],[CHANGED ON]]</f>
        <v>16.742928240739275</v>
      </c>
      <c r="M3149">
        <f ca="1">qry_ProdData2_PDI_Cash_Exception_Application[[#This Row],[TODAY]]-qry_ProdData2_PDI_Cash_Exception_Application[[#This Row],[CHANGED ON]]</f>
        <v>16.742928240739275</v>
      </c>
      <c r="N3149">
        <f ca="1">qry_ProdData2_PDI_Cash_Exception_Application[[#This Row],[TODAY]]-qry_ProdData2_PDI_Cash_Exception_Application[[#This Row],[CHANGED ON]]</f>
        <v>16.742928240739275</v>
      </c>
    </row>
    <row r="3150" spans="1:14" x14ac:dyDescent="0.35">
      <c r="A3150">
        <v>1005</v>
      </c>
      <c r="B3150" t="s">
        <v>59</v>
      </c>
      <c r="C3150" s="1">
        <v>45184.257071759261</v>
      </c>
      <c r="D3150" t="str">
        <f ca="1">VLOOKUP(qry_ProdData2_PDI_Cash_Exception_Application[[#This Row],[TYPE]],#REF!,2,FALSE)</f>
        <v>type40</v>
      </c>
      <c r="E3150">
        <v>697.89</v>
      </c>
      <c r="F3150" t="s">
        <v>50</v>
      </c>
      <c r="G3150" s="1">
        <f>qry_ProdData2_PDI_Cash_Exception_Application[[#This Row],[INSERT DATE]]+2</f>
        <v>45186.257071759261</v>
      </c>
      <c r="H3150" t="str">
        <f>VLOOKUP(qry_ProdData2_PDI_Cash_Exception_Application[[#This Row],[MARKET No]],'Site Allocation'!$B$2:$C$37,2,FALSE)</f>
        <v>Analyst1</v>
      </c>
      <c r="I3150" s="4">
        <f t="shared" ca="1" si="49"/>
        <v>45203</v>
      </c>
      <c r="J3150" s="42">
        <f ca="1">TODAY()-qry_ProdData2_PDI_Cash_Exception_Application[[#This Row],[INSERT DATE]]</f>
        <v>18.742928240739275</v>
      </c>
      <c r="K31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50">
        <f ca="1">qry_ProdData2_PDI_Cash_Exception_Application[[#This Row],[TODAY]]-qry_ProdData2_PDI_Cash_Exception_Application[[#This Row],[CHANGED ON]]</f>
        <v>16.742928240739275</v>
      </c>
      <c r="M3150">
        <f ca="1">qry_ProdData2_PDI_Cash_Exception_Application[[#This Row],[TODAY]]-qry_ProdData2_PDI_Cash_Exception_Application[[#This Row],[CHANGED ON]]</f>
        <v>16.742928240739275</v>
      </c>
      <c r="N3150">
        <f ca="1">qry_ProdData2_PDI_Cash_Exception_Application[[#This Row],[TODAY]]-qry_ProdData2_PDI_Cash_Exception_Application[[#This Row],[CHANGED ON]]</f>
        <v>16.742928240739275</v>
      </c>
    </row>
    <row r="3151" spans="1:14" x14ac:dyDescent="0.35">
      <c r="A3151">
        <v>1005</v>
      </c>
      <c r="B3151" t="s">
        <v>59</v>
      </c>
      <c r="C3151" s="1">
        <v>45196.257071759261</v>
      </c>
      <c r="D3151" t="str">
        <f ca="1">VLOOKUP(qry_ProdData2_PDI_Cash_Exception_Application[[#This Row],[TYPE]],#REF!,2,FALSE)</f>
        <v>type10</v>
      </c>
      <c r="E3151">
        <v>30</v>
      </c>
      <c r="F3151" t="s">
        <v>51</v>
      </c>
      <c r="G3151" s="1">
        <f>qry_ProdData2_PDI_Cash_Exception_Application[[#This Row],[INSERT DATE]]+5</f>
        <v>45201.257071759261</v>
      </c>
      <c r="H3151" t="str">
        <f>VLOOKUP(qry_ProdData2_PDI_Cash_Exception_Application[[#This Row],[MARKET No]],'Site Allocation'!$B$2:$C$37,2,FALSE)</f>
        <v>Analyst1</v>
      </c>
      <c r="I3151" s="4">
        <f t="shared" ca="1" si="49"/>
        <v>45203</v>
      </c>
      <c r="J3151" s="42">
        <f ca="1">TODAY()-qry_ProdData2_PDI_Cash_Exception_Application[[#This Row],[INSERT DATE]]</f>
        <v>6.7429282407392748</v>
      </c>
      <c r="K31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51">
        <f ca="1">qry_ProdData2_PDI_Cash_Exception_Application[[#This Row],[TODAY]]-qry_ProdData2_PDI_Cash_Exception_Application[[#This Row],[CHANGED ON]]</f>
        <v>1.7429282407392748</v>
      </c>
      <c r="M3151">
        <f ca="1">qry_ProdData2_PDI_Cash_Exception_Application[[#This Row],[TODAY]]-qry_ProdData2_PDI_Cash_Exception_Application[[#This Row],[CHANGED ON]]</f>
        <v>1.7429282407392748</v>
      </c>
      <c r="N3151">
        <f ca="1">qry_ProdData2_PDI_Cash_Exception_Application[[#This Row],[TODAY]]-qry_ProdData2_PDI_Cash_Exception_Application[[#This Row],[CHANGED ON]]</f>
        <v>1.7429282407392748</v>
      </c>
    </row>
    <row r="3152" spans="1:14" x14ac:dyDescent="0.35">
      <c r="A3152">
        <v>1030</v>
      </c>
      <c r="B3152" t="s">
        <v>84</v>
      </c>
      <c r="C3152" s="1">
        <v>45185.257071759261</v>
      </c>
      <c r="D3152" t="str">
        <f ca="1">VLOOKUP(qry_ProdData2_PDI_Cash_Exception_Application[[#This Row],[TYPE]],#REF!,2,FALSE)</f>
        <v>type32</v>
      </c>
      <c r="E3152">
        <v>698.61</v>
      </c>
      <c r="F3152" t="s">
        <v>52</v>
      </c>
      <c r="G3152" s="1">
        <f>qry_ProdData2_PDI_Cash_Exception_Application[[#This Row],[INSERT DATE]]+2</f>
        <v>45187.257071759261</v>
      </c>
      <c r="H3152" t="str">
        <f>VLOOKUP(qry_ProdData2_PDI_Cash_Exception_Application[[#This Row],[MARKET No]],'Site Allocation'!$B$2:$C$37,2,FALSE)</f>
        <v>Analyst6</v>
      </c>
      <c r="I3152" s="4">
        <f t="shared" ca="1" si="49"/>
        <v>45203</v>
      </c>
      <c r="J3152" s="42">
        <f ca="1">TODAY()-qry_ProdData2_PDI_Cash_Exception_Application[[#This Row],[INSERT DATE]]</f>
        <v>17.742928240739275</v>
      </c>
      <c r="K31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52">
        <f ca="1">qry_ProdData2_PDI_Cash_Exception_Application[[#This Row],[TODAY]]-qry_ProdData2_PDI_Cash_Exception_Application[[#This Row],[CHANGED ON]]</f>
        <v>15.742928240739275</v>
      </c>
      <c r="M3152">
        <f ca="1">qry_ProdData2_PDI_Cash_Exception_Application[[#This Row],[TODAY]]-qry_ProdData2_PDI_Cash_Exception_Application[[#This Row],[CHANGED ON]]</f>
        <v>15.742928240739275</v>
      </c>
      <c r="N3152">
        <f ca="1">qry_ProdData2_PDI_Cash_Exception_Application[[#This Row],[TODAY]]-qry_ProdData2_PDI_Cash_Exception_Application[[#This Row],[CHANGED ON]]</f>
        <v>15.742928240739275</v>
      </c>
    </row>
    <row r="3153" spans="1:14" x14ac:dyDescent="0.35">
      <c r="A3153">
        <v>1034</v>
      </c>
      <c r="B3153" t="s">
        <v>88</v>
      </c>
      <c r="C3153" s="1">
        <v>45197.257071759261</v>
      </c>
      <c r="D3153" t="str">
        <f ca="1">VLOOKUP(qry_ProdData2_PDI_Cash_Exception_Application[[#This Row],[TYPE]],#REF!,2,FALSE)</f>
        <v>type13</v>
      </c>
      <c r="E3153">
        <v>13692</v>
      </c>
      <c r="F3153" t="s">
        <v>51</v>
      </c>
      <c r="G3153" s="1">
        <f>qry_ProdData2_PDI_Cash_Exception_Application[[#This Row],[INSERT DATE]]+7</f>
        <v>45204.257071759261</v>
      </c>
      <c r="H3153" t="str">
        <f>VLOOKUP(qry_ProdData2_PDI_Cash_Exception_Application[[#This Row],[MARKET No]],'Site Allocation'!$B$2:$C$37,2,FALSE)</f>
        <v>Analyst6</v>
      </c>
      <c r="I3153" s="4">
        <f t="shared" ca="1" si="49"/>
        <v>45203</v>
      </c>
      <c r="J3153" s="42">
        <f ca="1">TODAY()-qry_ProdData2_PDI_Cash_Exception_Application[[#This Row],[INSERT DATE]]</f>
        <v>5.7429282407392748</v>
      </c>
      <c r="K31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53">
        <f ca="1">qry_ProdData2_PDI_Cash_Exception_Application[[#This Row],[TODAY]]-qry_ProdData2_PDI_Cash_Exception_Application[[#This Row],[CHANGED ON]]</f>
        <v>-1.2570717592607252</v>
      </c>
      <c r="M3153">
        <f ca="1">qry_ProdData2_PDI_Cash_Exception_Application[[#This Row],[TODAY]]-qry_ProdData2_PDI_Cash_Exception_Application[[#This Row],[CHANGED ON]]</f>
        <v>-1.2570717592607252</v>
      </c>
      <c r="N3153">
        <f ca="1">qry_ProdData2_PDI_Cash_Exception_Application[[#This Row],[TODAY]]-qry_ProdData2_PDI_Cash_Exception_Application[[#This Row],[CHANGED ON]]</f>
        <v>-1.2570717592607252</v>
      </c>
    </row>
    <row r="3154" spans="1:14" x14ac:dyDescent="0.35">
      <c r="A3154">
        <v>1028</v>
      </c>
      <c r="B3154" t="s">
        <v>82</v>
      </c>
      <c r="C3154" s="1">
        <v>45197.257071759261</v>
      </c>
      <c r="D3154" t="str">
        <f ca="1">VLOOKUP(qry_ProdData2_PDI_Cash_Exception_Application[[#This Row],[TYPE]],#REF!,2,FALSE)</f>
        <v>type33</v>
      </c>
      <c r="E3154">
        <v>418.64</v>
      </c>
      <c r="F3154" t="s">
        <v>51</v>
      </c>
      <c r="G3154" s="1">
        <f>qry_ProdData2_PDI_Cash_Exception_Application[[#This Row],[INSERT DATE]]+5</f>
        <v>45202.257071759261</v>
      </c>
      <c r="H3154" t="str">
        <f>VLOOKUP(qry_ProdData2_PDI_Cash_Exception_Application[[#This Row],[MARKET No]],'Site Allocation'!$B$2:$C$37,2,FALSE)</f>
        <v>Analyst5</v>
      </c>
      <c r="I3154" s="4">
        <f t="shared" ca="1" si="49"/>
        <v>45203</v>
      </c>
      <c r="J3154" s="42">
        <f ca="1">TODAY()-qry_ProdData2_PDI_Cash_Exception_Application[[#This Row],[INSERT DATE]]</f>
        <v>5.7429282407392748</v>
      </c>
      <c r="K31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54">
        <f ca="1">qry_ProdData2_PDI_Cash_Exception_Application[[#This Row],[TODAY]]-qry_ProdData2_PDI_Cash_Exception_Application[[#This Row],[CHANGED ON]]</f>
        <v>0.74292824073927477</v>
      </c>
      <c r="M3154">
        <f ca="1">qry_ProdData2_PDI_Cash_Exception_Application[[#This Row],[TODAY]]-qry_ProdData2_PDI_Cash_Exception_Application[[#This Row],[CHANGED ON]]</f>
        <v>0.74292824073927477</v>
      </c>
      <c r="N3154">
        <f ca="1">qry_ProdData2_PDI_Cash_Exception_Application[[#This Row],[TODAY]]-qry_ProdData2_PDI_Cash_Exception_Application[[#This Row],[CHANGED ON]]</f>
        <v>0.74292824073927477</v>
      </c>
    </row>
    <row r="3155" spans="1:14" x14ac:dyDescent="0.35">
      <c r="A3155">
        <v>1025</v>
      </c>
      <c r="B3155" t="s">
        <v>79</v>
      </c>
      <c r="C3155" s="1">
        <v>45187.257071759261</v>
      </c>
      <c r="D3155" t="str">
        <f ca="1">VLOOKUP(qry_ProdData2_PDI_Cash_Exception_Application[[#This Row],[TYPE]],#REF!,2,FALSE)</f>
        <v>type7</v>
      </c>
      <c r="E3155">
        <v>1312.6</v>
      </c>
      <c r="F3155" t="s">
        <v>50</v>
      </c>
      <c r="G3155" s="1">
        <f>qry_ProdData2_PDI_Cash_Exception_Application[[#This Row],[INSERT DATE]]+2</f>
        <v>45189.257071759261</v>
      </c>
      <c r="H3155" t="str">
        <f>VLOOKUP(qry_ProdData2_PDI_Cash_Exception_Application[[#This Row],[MARKET No]],'Site Allocation'!$B$2:$C$37,2,FALSE)</f>
        <v>Analyst5</v>
      </c>
      <c r="I3155" s="4">
        <f t="shared" ca="1" si="49"/>
        <v>45203</v>
      </c>
      <c r="J3155" s="42">
        <f ca="1">TODAY()-qry_ProdData2_PDI_Cash_Exception_Application[[#This Row],[INSERT DATE]]</f>
        <v>15.742928240739275</v>
      </c>
      <c r="K31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55">
        <f ca="1">qry_ProdData2_PDI_Cash_Exception_Application[[#This Row],[TODAY]]-qry_ProdData2_PDI_Cash_Exception_Application[[#This Row],[CHANGED ON]]</f>
        <v>13.742928240739275</v>
      </c>
      <c r="M3155">
        <f ca="1">qry_ProdData2_PDI_Cash_Exception_Application[[#This Row],[TODAY]]-qry_ProdData2_PDI_Cash_Exception_Application[[#This Row],[CHANGED ON]]</f>
        <v>13.742928240739275</v>
      </c>
      <c r="N3155">
        <f ca="1">qry_ProdData2_PDI_Cash_Exception_Application[[#This Row],[TODAY]]-qry_ProdData2_PDI_Cash_Exception_Application[[#This Row],[CHANGED ON]]</f>
        <v>13.742928240739275</v>
      </c>
    </row>
    <row r="3156" spans="1:14" x14ac:dyDescent="0.35">
      <c r="A3156">
        <v>1016</v>
      </c>
      <c r="B3156" t="s">
        <v>70</v>
      </c>
      <c r="C3156" s="1">
        <v>45196.257071759261</v>
      </c>
      <c r="D3156" t="str">
        <f ca="1">VLOOKUP(qry_ProdData2_PDI_Cash_Exception_Application[[#This Row],[TYPE]],#REF!,2,FALSE)</f>
        <v>type40</v>
      </c>
      <c r="E3156">
        <v>-876.12</v>
      </c>
      <c r="F3156" t="s">
        <v>48</v>
      </c>
      <c r="G3156" s="1">
        <f>qry_ProdData2_PDI_Cash_Exception_Application[[#This Row],[INSERT DATE]]+1</f>
        <v>45197.257071759261</v>
      </c>
      <c r="H3156" t="str">
        <f>VLOOKUP(qry_ProdData2_PDI_Cash_Exception_Application[[#This Row],[MARKET No]],'Site Allocation'!$B$2:$C$37,2,FALSE)</f>
        <v>Analyst3</v>
      </c>
      <c r="I3156" s="4">
        <f t="shared" ca="1" si="49"/>
        <v>45203</v>
      </c>
      <c r="J3156" s="42">
        <f ca="1">TODAY()-qry_ProdData2_PDI_Cash_Exception_Application[[#This Row],[INSERT DATE]]</f>
        <v>6.7429282407392748</v>
      </c>
      <c r="K31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56">
        <f ca="1">qry_ProdData2_PDI_Cash_Exception_Application[[#This Row],[TODAY]]-qry_ProdData2_PDI_Cash_Exception_Application[[#This Row],[CHANGED ON]]</f>
        <v>5.7429282407392748</v>
      </c>
      <c r="M3156">
        <f ca="1">qry_ProdData2_PDI_Cash_Exception_Application[[#This Row],[TODAY]]-qry_ProdData2_PDI_Cash_Exception_Application[[#This Row],[CHANGED ON]]</f>
        <v>5.7429282407392748</v>
      </c>
      <c r="N3156">
        <f ca="1">qry_ProdData2_PDI_Cash_Exception_Application[[#This Row],[TODAY]]-qry_ProdData2_PDI_Cash_Exception_Application[[#This Row],[CHANGED ON]]</f>
        <v>5.7429282407392748</v>
      </c>
    </row>
    <row r="3157" spans="1:14" x14ac:dyDescent="0.35">
      <c r="A3157">
        <v>1017</v>
      </c>
      <c r="B3157" t="s">
        <v>71</v>
      </c>
      <c r="C3157" s="1">
        <v>45197.257071759261</v>
      </c>
      <c r="D3157" t="str">
        <f ca="1">VLOOKUP(qry_ProdData2_PDI_Cash_Exception_Application[[#This Row],[TYPE]],#REF!,2,FALSE)</f>
        <v>type40</v>
      </c>
      <c r="E3157">
        <v>-670.84</v>
      </c>
      <c r="F3157" t="s">
        <v>48</v>
      </c>
      <c r="G3157" s="1">
        <f>qry_ProdData2_PDI_Cash_Exception_Application[[#This Row],[INSERT DATE]]+2</f>
        <v>45199.257071759261</v>
      </c>
      <c r="H3157" t="str">
        <f>VLOOKUP(qry_ProdData2_PDI_Cash_Exception_Application[[#This Row],[MARKET No]],'Site Allocation'!$B$2:$C$37,2,FALSE)</f>
        <v>Analyst3</v>
      </c>
      <c r="I3157" s="4">
        <f t="shared" ca="1" si="49"/>
        <v>45203</v>
      </c>
      <c r="J3157" s="42">
        <f ca="1">TODAY()-qry_ProdData2_PDI_Cash_Exception_Application[[#This Row],[INSERT DATE]]</f>
        <v>5.7429282407392748</v>
      </c>
      <c r="K31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57">
        <f ca="1">qry_ProdData2_PDI_Cash_Exception_Application[[#This Row],[TODAY]]-qry_ProdData2_PDI_Cash_Exception_Application[[#This Row],[CHANGED ON]]</f>
        <v>3.7429282407392748</v>
      </c>
      <c r="M3157">
        <f ca="1">qry_ProdData2_PDI_Cash_Exception_Application[[#This Row],[TODAY]]-qry_ProdData2_PDI_Cash_Exception_Application[[#This Row],[CHANGED ON]]</f>
        <v>3.7429282407392748</v>
      </c>
      <c r="N3157">
        <f ca="1">qry_ProdData2_PDI_Cash_Exception_Application[[#This Row],[TODAY]]-qry_ProdData2_PDI_Cash_Exception_Application[[#This Row],[CHANGED ON]]</f>
        <v>3.7429282407392748</v>
      </c>
    </row>
    <row r="3158" spans="1:14" x14ac:dyDescent="0.35">
      <c r="A3158">
        <v>1022</v>
      </c>
      <c r="B3158" t="s">
        <v>76</v>
      </c>
      <c r="C3158" s="1">
        <v>45189.257071759261</v>
      </c>
      <c r="D3158" t="str">
        <f ca="1">VLOOKUP(qry_ProdData2_PDI_Cash_Exception_Application[[#This Row],[TYPE]],#REF!,2,FALSE)</f>
        <v>type42</v>
      </c>
      <c r="E3158">
        <v>372.52</v>
      </c>
      <c r="F3158" t="s">
        <v>52</v>
      </c>
      <c r="G3158" s="1">
        <f>qry_ProdData2_PDI_Cash_Exception_Application[[#This Row],[INSERT DATE]]+2</f>
        <v>45191.257071759261</v>
      </c>
      <c r="H3158" t="str">
        <f>VLOOKUP(qry_ProdData2_PDI_Cash_Exception_Application[[#This Row],[MARKET No]],'Site Allocation'!$B$2:$C$37,2,FALSE)</f>
        <v>Analyst4</v>
      </c>
      <c r="I3158" s="4">
        <f t="shared" ca="1" si="49"/>
        <v>45203</v>
      </c>
      <c r="J3158" s="42">
        <f ca="1">TODAY()-qry_ProdData2_PDI_Cash_Exception_Application[[#This Row],[INSERT DATE]]</f>
        <v>13.742928240739275</v>
      </c>
      <c r="K31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58">
        <f ca="1">qry_ProdData2_PDI_Cash_Exception_Application[[#This Row],[TODAY]]-qry_ProdData2_PDI_Cash_Exception_Application[[#This Row],[CHANGED ON]]</f>
        <v>11.742928240739275</v>
      </c>
      <c r="M3158">
        <f ca="1">qry_ProdData2_PDI_Cash_Exception_Application[[#This Row],[TODAY]]-qry_ProdData2_PDI_Cash_Exception_Application[[#This Row],[CHANGED ON]]</f>
        <v>11.742928240739275</v>
      </c>
      <c r="N3158">
        <f ca="1">qry_ProdData2_PDI_Cash_Exception_Application[[#This Row],[TODAY]]-qry_ProdData2_PDI_Cash_Exception_Application[[#This Row],[CHANGED ON]]</f>
        <v>11.742928240739275</v>
      </c>
    </row>
    <row r="3159" spans="1:14" x14ac:dyDescent="0.35">
      <c r="A3159">
        <v>1025</v>
      </c>
      <c r="B3159" t="s">
        <v>79</v>
      </c>
      <c r="C3159" s="1">
        <v>45196.257071759261</v>
      </c>
      <c r="D3159" t="str">
        <f ca="1">VLOOKUP(qry_ProdData2_PDI_Cash_Exception_Application[[#This Row],[TYPE]],#REF!,2,FALSE)</f>
        <v>type40</v>
      </c>
      <c r="E3159">
        <v>-1659.34</v>
      </c>
      <c r="F3159" t="s">
        <v>48</v>
      </c>
      <c r="G3159" s="1">
        <f>qry_ProdData2_PDI_Cash_Exception_Application[[#This Row],[INSERT DATE]]+5</f>
        <v>45201.257071759261</v>
      </c>
      <c r="H3159" t="str">
        <f>VLOOKUP(qry_ProdData2_PDI_Cash_Exception_Application[[#This Row],[MARKET No]],'Site Allocation'!$B$2:$C$37,2,FALSE)</f>
        <v>Analyst5</v>
      </c>
      <c r="I3159" s="4">
        <f t="shared" ca="1" si="49"/>
        <v>45203</v>
      </c>
      <c r="J3159" s="42">
        <f ca="1">TODAY()-qry_ProdData2_PDI_Cash_Exception_Application[[#This Row],[INSERT DATE]]</f>
        <v>6.7429282407392748</v>
      </c>
      <c r="K31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59">
        <f ca="1">qry_ProdData2_PDI_Cash_Exception_Application[[#This Row],[TODAY]]-qry_ProdData2_PDI_Cash_Exception_Application[[#This Row],[CHANGED ON]]</f>
        <v>1.7429282407392748</v>
      </c>
      <c r="M3159">
        <f ca="1">qry_ProdData2_PDI_Cash_Exception_Application[[#This Row],[TODAY]]-qry_ProdData2_PDI_Cash_Exception_Application[[#This Row],[CHANGED ON]]</f>
        <v>1.7429282407392748</v>
      </c>
      <c r="N3159">
        <f ca="1">qry_ProdData2_PDI_Cash_Exception_Application[[#This Row],[TODAY]]-qry_ProdData2_PDI_Cash_Exception_Application[[#This Row],[CHANGED ON]]</f>
        <v>1.7429282407392748</v>
      </c>
    </row>
    <row r="3160" spans="1:14" x14ac:dyDescent="0.35">
      <c r="A3160">
        <v>1020</v>
      </c>
      <c r="B3160" t="s">
        <v>74</v>
      </c>
      <c r="C3160" s="1">
        <v>45196.257071759261</v>
      </c>
      <c r="D3160" t="str">
        <f ca="1">VLOOKUP(qry_ProdData2_PDI_Cash_Exception_Application[[#This Row],[TYPE]],#REF!,2,FALSE)</f>
        <v>type40</v>
      </c>
      <c r="E3160">
        <v>606.86</v>
      </c>
      <c r="F3160" t="s">
        <v>48</v>
      </c>
      <c r="G3160" s="1">
        <f>qry_ProdData2_PDI_Cash_Exception_Application[[#This Row],[INSERT DATE]]+7</f>
        <v>45203.257071759261</v>
      </c>
      <c r="H3160" t="str">
        <f>VLOOKUP(qry_ProdData2_PDI_Cash_Exception_Application[[#This Row],[MARKET No]],'Site Allocation'!$B$2:$C$37,2,FALSE)</f>
        <v>Analyst4</v>
      </c>
      <c r="I3160" s="4">
        <f t="shared" ca="1" si="49"/>
        <v>45203</v>
      </c>
      <c r="J3160" s="42">
        <f ca="1">TODAY()-qry_ProdData2_PDI_Cash_Exception_Application[[#This Row],[INSERT DATE]]</f>
        <v>6.7429282407392748</v>
      </c>
      <c r="K31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60">
        <f ca="1">qry_ProdData2_PDI_Cash_Exception_Application[[#This Row],[TODAY]]-qry_ProdData2_PDI_Cash_Exception_Application[[#This Row],[CHANGED ON]]</f>
        <v>-0.25707175926072523</v>
      </c>
      <c r="M3160">
        <f ca="1">qry_ProdData2_PDI_Cash_Exception_Application[[#This Row],[TODAY]]-qry_ProdData2_PDI_Cash_Exception_Application[[#This Row],[CHANGED ON]]</f>
        <v>-0.25707175926072523</v>
      </c>
      <c r="N3160">
        <f ca="1">qry_ProdData2_PDI_Cash_Exception_Application[[#This Row],[TODAY]]-qry_ProdData2_PDI_Cash_Exception_Application[[#This Row],[CHANGED ON]]</f>
        <v>-0.25707175926072523</v>
      </c>
    </row>
    <row r="3161" spans="1:14" x14ac:dyDescent="0.35">
      <c r="A3161">
        <v>1022</v>
      </c>
      <c r="B3161" t="s">
        <v>76</v>
      </c>
      <c r="C3161" s="1">
        <v>45197.257071759261</v>
      </c>
      <c r="D3161" t="str">
        <f ca="1">VLOOKUP(qry_ProdData2_PDI_Cash_Exception_Application[[#This Row],[TYPE]],#REF!,2,FALSE)</f>
        <v>type40</v>
      </c>
      <c r="E3161">
        <v>-408.13</v>
      </c>
      <c r="F3161" t="s">
        <v>48</v>
      </c>
      <c r="G3161" s="1">
        <f>qry_ProdData2_PDI_Cash_Exception_Application[[#This Row],[INSERT DATE]]+1</f>
        <v>45198.257071759261</v>
      </c>
      <c r="H3161" t="str">
        <f>VLOOKUP(qry_ProdData2_PDI_Cash_Exception_Application[[#This Row],[MARKET No]],'Site Allocation'!$B$2:$C$37,2,FALSE)</f>
        <v>Analyst4</v>
      </c>
      <c r="I3161" s="4">
        <f t="shared" ca="1" si="49"/>
        <v>45203</v>
      </c>
      <c r="J3161" s="42">
        <f ca="1">TODAY()-qry_ProdData2_PDI_Cash_Exception_Application[[#This Row],[INSERT DATE]]</f>
        <v>5.7429282407392748</v>
      </c>
      <c r="K31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61">
        <f ca="1">qry_ProdData2_PDI_Cash_Exception_Application[[#This Row],[TODAY]]-qry_ProdData2_PDI_Cash_Exception_Application[[#This Row],[CHANGED ON]]</f>
        <v>4.7429282407392748</v>
      </c>
      <c r="M3161">
        <f ca="1">qry_ProdData2_PDI_Cash_Exception_Application[[#This Row],[TODAY]]-qry_ProdData2_PDI_Cash_Exception_Application[[#This Row],[CHANGED ON]]</f>
        <v>4.7429282407392748</v>
      </c>
      <c r="N3161">
        <f ca="1">qry_ProdData2_PDI_Cash_Exception_Application[[#This Row],[TODAY]]-qry_ProdData2_PDI_Cash_Exception_Application[[#This Row],[CHANGED ON]]</f>
        <v>4.7429282407392748</v>
      </c>
    </row>
    <row r="3162" spans="1:14" x14ac:dyDescent="0.35">
      <c r="A3162">
        <v>1007</v>
      </c>
      <c r="B3162" t="s">
        <v>61</v>
      </c>
      <c r="C3162" s="1">
        <v>45192.257071759261</v>
      </c>
      <c r="D3162" t="str">
        <f ca="1">VLOOKUP(qry_ProdData2_PDI_Cash_Exception_Application[[#This Row],[TYPE]],#REF!,2,FALSE)</f>
        <v>type40</v>
      </c>
      <c r="E3162">
        <v>7024.68</v>
      </c>
      <c r="F3162" t="s">
        <v>52</v>
      </c>
      <c r="G3162" s="1">
        <f>qry_ProdData2_PDI_Cash_Exception_Application[[#This Row],[INSERT DATE]]+2</f>
        <v>45194.257071759261</v>
      </c>
      <c r="H3162" t="str">
        <f>VLOOKUP(qry_ProdData2_PDI_Cash_Exception_Application[[#This Row],[MARKET No]],'Site Allocation'!$B$2:$C$37,2,FALSE)</f>
        <v>Analyst2</v>
      </c>
      <c r="I3162" s="4">
        <f t="shared" ca="1" si="49"/>
        <v>45203</v>
      </c>
      <c r="J3162" s="42">
        <f ca="1">TODAY()-qry_ProdData2_PDI_Cash_Exception_Application[[#This Row],[INSERT DATE]]</f>
        <v>10.742928240739275</v>
      </c>
      <c r="K31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62">
        <f ca="1">qry_ProdData2_PDI_Cash_Exception_Application[[#This Row],[TODAY]]-qry_ProdData2_PDI_Cash_Exception_Application[[#This Row],[CHANGED ON]]</f>
        <v>8.7429282407392748</v>
      </c>
      <c r="M3162">
        <f ca="1">qry_ProdData2_PDI_Cash_Exception_Application[[#This Row],[TODAY]]-qry_ProdData2_PDI_Cash_Exception_Application[[#This Row],[CHANGED ON]]</f>
        <v>8.7429282407392748</v>
      </c>
      <c r="N3162">
        <f ca="1">qry_ProdData2_PDI_Cash_Exception_Application[[#This Row],[TODAY]]-qry_ProdData2_PDI_Cash_Exception_Application[[#This Row],[CHANGED ON]]</f>
        <v>8.7429282407392748</v>
      </c>
    </row>
    <row r="3163" spans="1:14" x14ac:dyDescent="0.35">
      <c r="A3163">
        <v>1034</v>
      </c>
      <c r="B3163" t="s">
        <v>88</v>
      </c>
      <c r="C3163" s="1">
        <v>45197.257071759261</v>
      </c>
      <c r="D3163" t="str">
        <f ca="1">VLOOKUP(qry_ProdData2_PDI_Cash_Exception_Application[[#This Row],[TYPE]],#REF!,2,FALSE)</f>
        <v>type13</v>
      </c>
      <c r="E3163">
        <v>29141.65</v>
      </c>
      <c r="F3163" t="s">
        <v>51</v>
      </c>
      <c r="G3163" s="1">
        <f>qry_ProdData2_PDI_Cash_Exception_Application[[#This Row],[INSERT DATE]]+7</f>
        <v>45204.257071759261</v>
      </c>
      <c r="H3163" t="str">
        <f>VLOOKUP(qry_ProdData2_PDI_Cash_Exception_Application[[#This Row],[MARKET No]],'Site Allocation'!$B$2:$C$37,2,FALSE)</f>
        <v>Analyst6</v>
      </c>
      <c r="I3163" s="4">
        <f t="shared" ca="1" si="49"/>
        <v>45203</v>
      </c>
      <c r="J3163" s="42">
        <f ca="1">TODAY()-qry_ProdData2_PDI_Cash_Exception_Application[[#This Row],[INSERT DATE]]</f>
        <v>5.7429282407392748</v>
      </c>
      <c r="K31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63">
        <f ca="1">qry_ProdData2_PDI_Cash_Exception_Application[[#This Row],[TODAY]]-qry_ProdData2_PDI_Cash_Exception_Application[[#This Row],[CHANGED ON]]</f>
        <v>-1.2570717592607252</v>
      </c>
      <c r="M3163">
        <f ca="1">qry_ProdData2_PDI_Cash_Exception_Application[[#This Row],[TODAY]]-qry_ProdData2_PDI_Cash_Exception_Application[[#This Row],[CHANGED ON]]</f>
        <v>-1.2570717592607252</v>
      </c>
      <c r="N3163">
        <f ca="1">qry_ProdData2_PDI_Cash_Exception_Application[[#This Row],[TODAY]]-qry_ProdData2_PDI_Cash_Exception_Application[[#This Row],[CHANGED ON]]</f>
        <v>-1.2570717592607252</v>
      </c>
    </row>
    <row r="3164" spans="1:14" x14ac:dyDescent="0.35">
      <c r="A3164">
        <v>1018</v>
      </c>
      <c r="B3164" t="s">
        <v>72</v>
      </c>
      <c r="C3164" s="1">
        <v>45197.257071759261</v>
      </c>
      <c r="D3164" t="str">
        <f ca="1">VLOOKUP(qry_ProdData2_PDI_Cash_Exception_Application[[#This Row],[TYPE]],#REF!,2,FALSE)</f>
        <v>type41</v>
      </c>
      <c r="E3164">
        <v>329.25</v>
      </c>
      <c r="F3164" t="s">
        <v>48</v>
      </c>
      <c r="G3164" s="1">
        <f>qry_ProdData2_PDI_Cash_Exception_Application[[#This Row],[INSERT DATE]]+2</f>
        <v>45199.257071759261</v>
      </c>
      <c r="H3164" t="str">
        <f>VLOOKUP(qry_ProdData2_PDI_Cash_Exception_Application[[#This Row],[MARKET No]],'Site Allocation'!$B$2:$C$37,2,FALSE)</f>
        <v>Analyst4</v>
      </c>
      <c r="I3164" s="4">
        <f t="shared" ca="1" si="49"/>
        <v>45203</v>
      </c>
      <c r="J3164" s="42">
        <f ca="1">TODAY()-qry_ProdData2_PDI_Cash_Exception_Application[[#This Row],[INSERT DATE]]</f>
        <v>5.7429282407392748</v>
      </c>
      <c r="K31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64">
        <f ca="1">qry_ProdData2_PDI_Cash_Exception_Application[[#This Row],[TODAY]]-qry_ProdData2_PDI_Cash_Exception_Application[[#This Row],[CHANGED ON]]</f>
        <v>3.7429282407392748</v>
      </c>
      <c r="M3164">
        <f ca="1">qry_ProdData2_PDI_Cash_Exception_Application[[#This Row],[TODAY]]-qry_ProdData2_PDI_Cash_Exception_Application[[#This Row],[CHANGED ON]]</f>
        <v>3.7429282407392748</v>
      </c>
      <c r="N3164">
        <f ca="1">qry_ProdData2_PDI_Cash_Exception_Application[[#This Row],[TODAY]]-qry_ProdData2_PDI_Cash_Exception_Application[[#This Row],[CHANGED ON]]</f>
        <v>3.7429282407392748</v>
      </c>
    </row>
    <row r="3165" spans="1:14" x14ac:dyDescent="0.35">
      <c r="A3165">
        <v>1026</v>
      </c>
      <c r="B3165" t="s">
        <v>80</v>
      </c>
      <c r="C3165" s="1">
        <v>45196.257071759261</v>
      </c>
      <c r="D3165" t="str">
        <f ca="1">VLOOKUP(qry_ProdData2_PDI_Cash_Exception_Application[[#This Row],[TYPE]],#REF!,2,FALSE)</f>
        <v>type40</v>
      </c>
      <c r="E3165">
        <v>-1795.32</v>
      </c>
      <c r="F3165" t="s">
        <v>51</v>
      </c>
      <c r="G3165" s="1">
        <f>qry_ProdData2_PDI_Cash_Exception_Application[[#This Row],[INSERT DATE]]+1</f>
        <v>45197.257071759261</v>
      </c>
      <c r="H3165" t="str">
        <f>VLOOKUP(qry_ProdData2_PDI_Cash_Exception_Application[[#This Row],[MARKET No]],'Site Allocation'!$B$2:$C$37,2,FALSE)</f>
        <v>Analyst5</v>
      </c>
      <c r="I3165" s="4">
        <f t="shared" ca="1" si="49"/>
        <v>45203</v>
      </c>
      <c r="J3165" s="42">
        <f ca="1">TODAY()-qry_ProdData2_PDI_Cash_Exception_Application[[#This Row],[INSERT DATE]]</f>
        <v>6.7429282407392748</v>
      </c>
      <c r="K31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65">
        <f ca="1">qry_ProdData2_PDI_Cash_Exception_Application[[#This Row],[TODAY]]-qry_ProdData2_PDI_Cash_Exception_Application[[#This Row],[CHANGED ON]]</f>
        <v>5.7429282407392748</v>
      </c>
      <c r="M3165">
        <f ca="1">qry_ProdData2_PDI_Cash_Exception_Application[[#This Row],[TODAY]]-qry_ProdData2_PDI_Cash_Exception_Application[[#This Row],[CHANGED ON]]</f>
        <v>5.7429282407392748</v>
      </c>
      <c r="N3165">
        <f ca="1">qry_ProdData2_PDI_Cash_Exception_Application[[#This Row],[TODAY]]-qry_ProdData2_PDI_Cash_Exception_Application[[#This Row],[CHANGED ON]]</f>
        <v>5.7429282407392748</v>
      </c>
    </row>
    <row r="3166" spans="1:14" x14ac:dyDescent="0.35">
      <c r="A3166">
        <v>1020</v>
      </c>
      <c r="B3166" t="s">
        <v>74</v>
      </c>
      <c r="C3166" s="1">
        <v>45196.257071759261</v>
      </c>
      <c r="D3166" t="str">
        <f ca="1">VLOOKUP(qry_ProdData2_PDI_Cash_Exception_Application[[#This Row],[TYPE]],#REF!,2,FALSE)</f>
        <v>type40</v>
      </c>
      <c r="E3166">
        <v>-663.09</v>
      </c>
      <c r="F3166" t="s">
        <v>51</v>
      </c>
      <c r="G3166" s="1">
        <f>qry_ProdData2_PDI_Cash_Exception_Application[[#This Row],[INSERT DATE]]+1</f>
        <v>45197.257071759261</v>
      </c>
      <c r="H3166" t="str">
        <f>VLOOKUP(qry_ProdData2_PDI_Cash_Exception_Application[[#This Row],[MARKET No]],'Site Allocation'!$B$2:$C$37,2,FALSE)</f>
        <v>Analyst4</v>
      </c>
      <c r="I3166" s="4">
        <f t="shared" ca="1" si="49"/>
        <v>45203</v>
      </c>
      <c r="J3166" s="42">
        <f ca="1">TODAY()-qry_ProdData2_PDI_Cash_Exception_Application[[#This Row],[INSERT DATE]]</f>
        <v>6.7429282407392748</v>
      </c>
      <c r="K31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66">
        <f ca="1">qry_ProdData2_PDI_Cash_Exception_Application[[#This Row],[TODAY]]-qry_ProdData2_PDI_Cash_Exception_Application[[#This Row],[CHANGED ON]]</f>
        <v>5.7429282407392748</v>
      </c>
      <c r="M3166">
        <f ca="1">qry_ProdData2_PDI_Cash_Exception_Application[[#This Row],[TODAY]]-qry_ProdData2_PDI_Cash_Exception_Application[[#This Row],[CHANGED ON]]</f>
        <v>5.7429282407392748</v>
      </c>
      <c r="N3166">
        <f ca="1">qry_ProdData2_PDI_Cash_Exception_Application[[#This Row],[TODAY]]-qry_ProdData2_PDI_Cash_Exception_Application[[#This Row],[CHANGED ON]]</f>
        <v>5.7429282407392748</v>
      </c>
    </row>
    <row r="3167" spans="1:14" x14ac:dyDescent="0.35">
      <c r="A3167">
        <v>1002</v>
      </c>
      <c r="B3167" t="s">
        <v>56</v>
      </c>
      <c r="C3167" s="1">
        <v>45195.257071759261</v>
      </c>
      <c r="D3167" t="str">
        <f ca="1">VLOOKUP(qry_ProdData2_PDI_Cash_Exception_Application[[#This Row],[TYPE]],#REF!,2,FALSE)</f>
        <v>type40</v>
      </c>
      <c r="E3167">
        <v>-364.61</v>
      </c>
      <c r="F3167" t="s">
        <v>47</v>
      </c>
      <c r="G3167" s="1">
        <f>qry_ProdData2_PDI_Cash_Exception_Application[[#This Row],[INSERT DATE]]+1</f>
        <v>45196.257071759261</v>
      </c>
      <c r="H3167" t="str">
        <f>VLOOKUP(qry_ProdData2_PDI_Cash_Exception_Application[[#This Row],[MARKET No]],'Site Allocation'!$B$2:$C$37,2,FALSE)</f>
        <v>Analyst1</v>
      </c>
      <c r="I3167" s="4">
        <f t="shared" ca="1" si="49"/>
        <v>45203</v>
      </c>
      <c r="J3167" s="42">
        <f ca="1">TODAY()-qry_ProdData2_PDI_Cash_Exception_Application[[#This Row],[INSERT DATE]]</f>
        <v>7.7429282407392748</v>
      </c>
      <c r="K31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67">
        <f ca="1">qry_ProdData2_PDI_Cash_Exception_Application[[#This Row],[TODAY]]-qry_ProdData2_PDI_Cash_Exception_Application[[#This Row],[CHANGED ON]]</f>
        <v>6.7429282407392748</v>
      </c>
      <c r="M3167">
        <f ca="1">qry_ProdData2_PDI_Cash_Exception_Application[[#This Row],[TODAY]]-qry_ProdData2_PDI_Cash_Exception_Application[[#This Row],[CHANGED ON]]</f>
        <v>6.7429282407392748</v>
      </c>
      <c r="N3167">
        <f ca="1">qry_ProdData2_PDI_Cash_Exception_Application[[#This Row],[TODAY]]-qry_ProdData2_PDI_Cash_Exception_Application[[#This Row],[CHANGED ON]]</f>
        <v>6.7429282407392748</v>
      </c>
    </row>
    <row r="3168" spans="1:14" x14ac:dyDescent="0.35">
      <c r="A3168">
        <v>1016</v>
      </c>
      <c r="B3168" t="s">
        <v>70</v>
      </c>
      <c r="C3168" s="1">
        <v>45185.257071759261</v>
      </c>
      <c r="D3168" t="str">
        <f ca="1">VLOOKUP(qry_ProdData2_PDI_Cash_Exception_Application[[#This Row],[TYPE]],#REF!,2,FALSE)</f>
        <v>type40</v>
      </c>
      <c r="E3168">
        <v>23769.23</v>
      </c>
      <c r="F3168" t="s">
        <v>52</v>
      </c>
      <c r="G3168" s="1">
        <f>qry_ProdData2_PDI_Cash_Exception_Application[[#This Row],[INSERT DATE]]+2</f>
        <v>45187.257071759261</v>
      </c>
      <c r="H3168" t="str">
        <f>VLOOKUP(qry_ProdData2_PDI_Cash_Exception_Application[[#This Row],[MARKET No]],'Site Allocation'!$B$2:$C$37,2,FALSE)</f>
        <v>Analyst3</v>
      </c>
      <c r="I3168" s="4">
        <f t="shared" ca="1" si="49"/>
        <v>45203</v>
      </c>
      <c r="J3168" s="42">
        <f ca="1">TODAY()-qry_ProdData2_PDI_Cash_Exception_Application[[#This Row],[INSERT DATE]]</f>
        <v>17.742928240739275</v>
      </c>
      <c r="K31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68">
        <f ca="1">qry_ProdData2_PDI_Cash_Exception_Application[[#This Row],[TODAY]]-qry_ProdData2_PDI_Cash_Exception_Application[[#This Row],[CHANGED ON]]</f>
        <v>15.742928240739275</v>
      </c>
      <c r="M3168">
        <f ca="1">qry_ProdData2_PDI_Cash_Exception_Application[[#This Row],[TODAY]]-qry_ProdData2_PDI_Cash_Exception_Application[[#This Row],[CHANGED ON]]</f>
        <v>15.742928240739275</v>
      </c>
      <c r="N3168">
        <f ca="1">qry_ProdData2_PDI_Cash_Exception_Application[[#This Row],[TODAY]]-qry_ProdData2_PDI_Cash_Exception_Application[[#This Row],[CHANGED ON]]</f>
        <v>15.742928240739275</v>
      </c>
    </row>
    <row r="3169" spans="1:14" x14ac:dyDescent="0.35">
      <c r="A3169">
        <v>1030</v>
      </c>
      <c r="B3169" t="s">
        <v>84</v>
      </c>
      <c r="C3169" s="1">
        <v>45197.257071759261</v>
      </c>
      <c r="D3169" t="str">
        <f ca="1">VLOOKUP(qry_ProdData2_PDI_Cash_Exception_Application[[#This Row],[TYPE]],#REF!,2,FALSE)</f>
        <v>type22</v>
      </c>
      <c r="E3169">
        <v>766.1</v>
      </c>
      <c r="F3169" t="s">
        <v>51</v>
      </c>
      <c r="G3169" s="1">
        <f>qry_ProdData2_PDI_Cash_Exception_Application[[#This Row],[INSERT DATE]]+1</f>
        <v>45198.257071759261</v>
      </c>
      <c r="H3169" t="str">
        <f>VLOOKUP(qry_ProdData2_PDI_Cash_Exception_Application[[#This Row],[MARKET No]],'Site Allocation'!$B$2:$C$37,2,FALSE)</f>
        <v>Analyst6</v>
      </c>
      <c r="I3169" s="4">
        <f t="shared" ca="1" si="49"/>
        <v>45203</v>
      </c>
      <c r="J3169" s="42">
        <f ca="1">TODAY()-qry_ProdData2_PDI_Cash_Exception_Application[[#This Row],[INSERT DATE]]</f>
        <v>5.7429282407392748</v>
      </c>
      <c r="K31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69">
        <f ca="1">qry_ProdData2_PDI_Cash_Exception_Application[[#This Row],[TODAY]]-qry_ProdData2_PDI_Cash_Exception_Application[[#This Row],[CHANGED ON]]</f>
        <v>4.7429282407392748</v>
      </c>
      <c r="M3169">
        <f ca="1">qry_ProdData2_PDI_Cash_Exception_Application[[#This Row],[TODAY]]-qry_ProdData2_PDI_Cash_Exception_Application[[#This Row],[CHANGED ON]]</f>
        <v>4.7429282407392748</v>
      </c>
      <c r="N3169">
        <f ca="1">qry_ProdData2_PDI_Cash_Exception_Application[[#This Row],[TODAY]]-qry_ProdData2_PDI_Cash_Exception_Application[[#This Row],[CHANGED ON]]</f>
        <v>4.7429282407392748</v>
      </c>
    </row>
    <row r="3170" spans="1:14" x14ac:dyDescent="0.35">
      <c r="A3170">
        <v>1002</v>
      </c>
      <c r="B3170" t="s">
        <v>56</v>
      </c>
      <c r="C3170" s="1">
        <v>45193.257071759261</v>
      </c>
      <c r="D3170" t="str">
        <f ca="1">VLOOKUP(qry_ProdData2_PDI_Cash_Exception_Application[[#This Row],[TYPE]],#REF!,2,FALSE)</f>
        <v>type13</v>
      </c>
      <c r="E3170">
        <v>20243.849999999999</v>
      </c>
      <c r="F3170" t="s">
        <v>47</v>
      </c>
      <c r="G3170" s="1">
        <f>qry_ProdData2_PDI_Cash_Exception_Application[[#This Row],[INSERT DATE]]+1</f>
        <v>45194.257071759261</v>
      </c>
      <c r="H3170" t="str">
        <f>VLOOKUP(qry_ProdData2_PDI_Cash_Exception_Application[[#This Row],[MARKET No]],'Site Allocation'!$B$2:$C$37,2,FALSE)</f>
        <v>Analyst1</v>
      </c>
      <c r="I3170" s="4">
        <f t="shared" ca="1" si="49"/>
        <v>45203</v>
      </c>
      <c r="J3170" s="42">
        <f ca="1">TODAY()-qry_ProdData2_PDI_Cash_Exception_Application[[#This Row],[INSERT DATE]]</f>
        <v>9.7429282407392748</v>
      </c>
      <c r="K31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70">
        <f ca="1">qry_ProdData2_PDI_Cash_Exception_Application[[#This Row],[TODAY]]-qry_ProdData2_PDI_Cash_Exception_Application[[#This Row],[CHANGED ON]]</f>
        <v>8.7429282407392748</v>
      </c>
      <c r="M3170">
        <f ca="1">qry_ProdData2_PDI_Cash_Exception_Application[[#This Row],[TODAY]]-qry_ProdData2_PDI_Cash_Exception_Application[[#This Row],[CHANGED ON]]</f>
        <v>8.7429282407392748</v>
      </c>
      <c r="N3170">
        <f ca="1">qry_ProdData2_PDI_Cash_Exception_Application[[#This Row],[TODAY]]-qry_ProdData2_PDI_Cash_Exception_Application[[#This Row],[CHANGED ON]]</f>
        <v>8.7429282407392748</v>
      </c>
    </row>
    <row r="3171" spans="1:14" x14ac:dyDescent="0.35">
      <c r="A3171">
        <v>1023</v>
      </c>
      <c r="B3171" t="s">
        <v>77</v>
      </c>
      <c r="C3171" s="1">
        <v>45195.257071759261</v>
      </c>
      <c r="D3171" t="str">
        <f ca="1">VLOOKUP(qry_ProdData2_PDI_Cash_Exception_Application[[#This Row],[TYPE]],#REF!,2,FALSE)</f>
        <v>type40</v>
      </c>
      <c r="E3171">
        <v>715.45</v>
      </c>
      <c r="F3171" t="s">
        <v>47</v>
      </c>
      <c r="G3171" s="1">
        <f>qry_ProdData2_PDI_Cash_Exception_Application[[#This Row],[INSERT DATE]]+2</f>
        <v>45197.257071759261</v>
      </c>
      <c r="H3171" t="str">
        <f>VLOOKUP(qry_ProdData2_PDI_Cash_Exception_Application[[#This Row],[MARKET No]],'Site Allocation'!$B$2:$C$37,2,FALSE)</f>
        <v>Analyst4</v>
      </c>
      <c r="I3171" s="4">
        <f t="shared" ca="1" si="49"/>
        <v>45203</v>
      </c>
      <c r="J3171" s="42">
        <f ca="1">TODAY()-qry_ProdData2_PDI_Cash_Exception_Application[[#This Row],[INSERT DATE]]</f>
        <v>7.7429282407392748</v>
      </c>
      <c r="K31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71">
        <f ca="1">qry_ProdData2_PDI_Cash_Exception_Application[[#This Row],[TODAY]]-qry_ProdData2_PDI_Cash_Exception_Application[[#This Row],[CHANGED ON]]</f>
        <v>5.7429282407392748</v>
      </c>
      <c r="M3171">
        <f ca="1">qry_ProdData2_PDI_Cash_Exception_Application[[#This Row],[TODAY]]-qry_ProdData2_PDI_Cash_Exception_Application[[#This Row],[CHANGED ON]]</f>
        <v>5.7429282407392748</v>
      </c>
      <c r="N3171">
        <f ca="1">qry_ProdData2_PDI_Cash_Exception_Application[[#This Row],[TODAY]]-qry_ProdData2_PDI_Cash_Exception_Application[[#This Row],[CHANGED ON]]</f>
        <v>5.7429282407392748</v>
      </c>
    </row>
    <row r="3172" spans="1:14" x14ac:dyDescent="0.35">
      <c r="A3172">
        <v>1012</v>
      </c>
      <c r="B3172" t="s">
        <v>66</v>
      </c>
      <c r="C3172" s="1">
        <v>45195.257071759261</v>
      </c>
      <c r="D3172" t="str">
        <f ca="1">VLOOKUP(qry_ProdData2_PDI_Cash_Exception_Application[[#This Row],[TYPE]],#REF!,2,FALSE)</f>
        <v>type17</v>
      </c>
      <c r="E3172">
        <v>1349.4</v>
      </c>
      <c r="F3172" t="s">
        <v>49</v>
      </c>
      <c r="G3172" s="1">
        <f>qry_ProdData2_PDI_Cash_Exception_Application[[#This Row],[INSERT DATE]]+1</f>
        <v>45196.257071759261</v>
      </c>
      <c r="H3172" t="str">
        <f>VLOOKUP(qry_ProdData2_PDI_Cash_Exception_Application[[#This Row],[MARKET No]],'Site Allocation'!$B$2:$C$37,2,FALSE)</f>
        <v>Analyst3</v>
      </c>
      <c r="I3172" s="4">
        <f t="shared" ca="1" si="49"/>
        <v>45203</v>
      </c>
      <c r="J3172" s="42">
        <f ca="1">TODAY()-qry_ProdData2_PDI_Cash_Exception_Application[[#This Row],[INSERT DATE]]</f>
        <v>7.7429282407392748</v>
      </c>
      <c r="K31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72">
        <f ca="1">qry_ProdData2_PDI_Cash_Exception_Application[[#This Row],[TODAY]]-qry_ProdData2_PDI_Cash_Exception_Application[[#This Row],[CHANGED ON]]</f>
        <v>6.7429282407392748</v>
      </c>
      <c r="M3172">
        <f ca="1">qry_ProdData2_PDI_Cash_Exception_Application[[#This Row],[TODAY]]-qry_ProdData2_PDI_Cash_Exception_Application[[#This Row],[CHANGED ON]]</f>
        <v>6.7429282407392748</v>
      </c>
      <c r="N3172">
        <f ca="1">qry_ProdData2_PDI_Cash_Exception_Application[[#This Row],[TODAY]]-qry_ProdData2_PDI_Cash_Exception_Application[[#This Row],[CHANGED ON]]</f>
        <v>6.7429282407392748</v>
      </c>
    </row>
    <row r="3173" spans="1:14" x14ac:dyDescent="0.35">
      <c r="A3173">
        <v>1009</v>
      </c>
      <c r="B3173" t="s">
        <v>63</v>
      </c>
      <c r="C3173" s="1">
        <v>45189.257071759261</v>
      </c>
      <c r="D3173" t="str">
        <f ca="1">VLOOKUP(qry_ProdData2_PDI_Cash_Exception_Application[[#This Row],[TYPE]],#REF!,2,FALSE)</f>
        <v>type40</v>
      </c>
      <c r="E3173">
        <v>13.2</v>
      </c>
      <c r="F3173" t="s">
        <v>50</v>
      </c>
      <c r="G3173" s="1">
        <f>qry_ProdData2_PDI_Cash_Exception_Application[[#This Row],[INSERT DATE]]+5</f>
        <v>45194.257071759261</v>
      </c>
      <c r="H3173" t="str">
        <f>VLOOKUP(qry_ProdData2_PDI_Cash_Exception_Application[[#This Row],[MARKET No]],'Site Allocation'!$B$2:$C$37,2,FALSE)</f>
        <v>Analyst2</v>
      </c>
      <c r="I3173" s="4">
        <f t="shared" ca="1" si="49"/>
        <v>45203</v>
      </c>
      <c r="J3173" s="42">
        <f ca="1">TODAY()-qry_ProdData2_PDI_Cash_Exception_Application[[#This Row],[INSERT DATE]]</f>
        <v>13.742928240739275</v>
      </c>
      <c r="K31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73">
        <f ca="1">qry_ProdData2_PDI_Cash_Exception_Application[[#This Row],[TODAY]]-qry_ProdData2_PDI_Cash_Exception_Application[[#This Row],[CHANGED ON]]</f>
        <v>8.7429282407392748</v>
      </c>
      <c r="M3173">
        <f ca="1">qry_ProdData2_PDI_Cash_Exception_Application[[#This Row],[TODAY]]-qry_ProdData2_PDI_Cash_Exception_Application[[#This Row],[CHANGED ON]]</f>
        <v>8.7429282407392748</v>
      </c>
      <c r="N3173">
        <f ca="1">qry_ProdData2_PDI_Cash_Exception_Application[[#This Row],[TODAY]]-qry_ProdData2_PDI_Cash_Exception_Application[[#This Row],[CHANGED ON]]</f>
        <v>8.7429282407392748</v>
      </c>
    </row>
    <row r="3174" spans="1:14" x14ac:dyDescent="0.35">
      <c r="A3174">
        <v>1008</v>
      </c>
      <c r="B3174" t="s">
        <v>62</v>
      </c>
      <c r="C3174" s="1">
        <v>45189.257071759261</v>
      </c>
      <c r="D3174" t="str">
        <f ca="1">VLOOKUP(qry_ProdData2_PDI_Cash_Exception_Application[[#This Row],[TYPE]],#REF!,2,FALSE)</f>
        <v>type40</v>
      </c>
      <c r="E3174">
        <v>-475.37</v>
      </c>
      <c r="F3174" t="s">
        <v>52</v>
      </c>
      <c r="G3174" s="1">
        <f>qry_ProdData2_PDI_Cash_Exception_Application[[#This Row],[INSERT DATE]]+5</f>
        <v>45194.257071759261</v>
      </c>
      <c r="H3174" t="str">
        <f>VLOOKUP(qry_ProdData2_PDI_Cash_Exception_Application[[#This Row],[MARKET No]],'Site Allocation'!$B$2:$C$37,2,FALSE)</f>
        <v>Analyst2</v>
      </c>
      <c r="I3174" s="4">
        <f t="shared" ca="1" si="49"/>
        <v>45203</v>
      </c>
      <c r="J3174" s="42">
        <f ca="1">TODAY()-qry_ProdData2_PDI_Cash_Exception_Application[[#This Row],[INSERT DATE]]</f>
        <v>13.742928240739275</v>
      </c>
      <c r="K31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74">
        <f ca="1">qry_ProdData2_PDI_Cash_Exception_Application[[#This Row],[TODAY]]-qry_ProdData2_PDI_Cash_Exception_Application[[#This Row],[CHANGED ON]]</f>
        <v>8.7429282407392748</v>
      </c>
      <c r="M3174">
        <f ca="1">qry_ProdData2_PDI_Cash_Exception_Application[[#This Row],[TODAY]]-qry_ProdData2_PDI_Cash_Exception_Application[[#This Row],[CHANGED ON]]</f>
        <v>8.7429282407392748</v>
      </c>
      <c r="N3174">
        <f ca="1">qry_ProdData2_PDI_Cash_Exception_Application[[#This Row],[TODAY]]-qry_ProdData2_PDI_Cash_Exception_Application[[#This Row],[CHANGED ON]]</f>
        <v>8.7429282407392748</v>
      </c>
    </row>
    <row r="3175" spans="1:14" x14ac:dyDescent="0.35">
      <c r="A3175">
        <v>1015</v>
      </c>
      <c r="B3175" t="s">
        <v>69</v>
      </c>
      <c r="C3175" s="1">
        <v>45196.257071759261</v>
      </c>
      <c r="D3175" t="str">
        <f ca="1">VLOOKUP(qry_ProdData2_PDI_Cash_Exception_Application[[#This Row],[TYPE]],#REF!,2,FALSE)</f>
        <v>type13</v>
      </c>
      <c r="E3175">
        <v>12519</v>
      </c>
      <c r="F3175" t="s">
        <v>51</v>
      </c>
      <c r="G3175" s="1">
        <f>qry_ProdData2_PDI_Cash_Exception_Application[[#This Row],[INSERT DATE]]+7</f>
        <v>45203.257071759261</v>
      </c>
      <c r="H3175" t="str">
        <f>VLOOKUP(qry_ProdData2_PDI_Cash_Exception_Application[[#This Row],[MARKET No]],'Site Allocation'!$B$2:$C$37,2,FALSE)</f>
        <v>Analyst3</v>
      </c>
      <c r="I3175" s="4">
        <f t="shared" ca="1" si="49"/>
        <v>45203</v>
      </c>
      <c r="J3175" s="42">
        <f ca="1">TODAY()-qry_ProdData2_PDI_Cash_Exception_Application[[#This Row],[INSERT DATE]]</f>
        <v>6.7429282407392748</v>
      </c>
      <c r="K31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75">
        <f ca="1">qry_ProdData2_PDI_Cash_Exception_Application[[#This Row],[TODAY]]-qry_ProdData2_PDI_Cash_Exception_Application[[#This Row],[CHANGED ON]]</f>
        <v>-0.25707175926072523</v>
      </c>
      <c r="M3175">
        <f ca="1">qry_ProdData2_PDI_Cash_Exception_Application[[#This Row],[TODAY]]-qry_ProdData2_PDI_Cash_Exception_Application[[#This Row],[CHANGED ON]]</f>
        <v>-0.25707175926072523</v>
      </c>
      <c r="N3175">
        <f ca="1">qry_ProdData2_PDI_Cash_Exception_Application[[#This Row],[TODAY]]-qry_ProdData2_PDI_Cash_Exception_Application[[#This Row],[CHANGED ON]]</f>
        <v>-0.25707175926072523</v>
      </c>
    </row>
    <row r="3176" spans="1:14" x14ac:dyDescent="0.35">
      <c r="A3176">
        <v>1013</v>
      </c>
      <c r="B3176" t="s">
        <v>67</v>
      </c>
      <c r="C3176" s="1">
        <v>45197.257071759261</v>
      </c>
      <c r="D3176" t="str">
        <f ca="1">VLOOKUP(qry_ProdData2_PDI_Cash_Exception_Application[[#This Row],[TYPE]],#REF!,2,FALSE)</f>
        <v>type40</v>
      </c>
      <c r="E3176">
        <v>-338.71</v>
      </c>
      <c r="F3176" t="s">
        <v>48</v>
      </c>
      <c r="G3176" s="1">
        <f>qry_ProdData2_PDI_Cash_Exception_Application[[#This Row],[INSERT DATE]]+7</f>
        <v>45204.257071759261</v>
      </c>
      <c r="H3176" t="str">
        <f>VLOOKUP(qry_ProdData2_PDI_Cash_Exception_Application[[#This Row],[MARKET No]],'Site Allocation'!$B$2:$C$37,2,FALSE)</f>
        <v>Analyst3</v>
      </c>
      <c r="I3176" s="4">
        <f t="shared" ca="1" si="49"/>
        <v>45203</v>
      </c>
      <c r="J3176" s="42">
        <f ca="1">TODAY()-qry_ProdData2_PDI_Cash_Exception_Application[[#This Row],[INSERT DATE]]</f>
        <v>5.7429282407392748</v>
      </c>
      <c r="K31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76">
        <f ca="1">qry_ProdData2_PDI_Cash_Exception_Application[[#This Row],[TODAY]]-qry_ProdData2_PDI_Cash_Exception_Application[[#This Row],[CHANGED ON]]</f>
        <v>-1.2570717592607252</v>
      </c>
      <c r="M3176">
        <f ca="1">qry_ProdData2_PDI_Cash_Exception_Application[[#This Row],[TODAY]]-qry_ProdData2_PDI_Cash_Exception_Application[[#This Row],[CHANGED ON]]</f>
        <v>-1.2570717592607252</v>
      </c>
      <c r="N3176">
        <f ca="1">qry_ProdData2_PDI_Cash_Exception_Application[[#This Row],[TODAY]]-qry_ProdData2_PDI_Cash_Exception_Application[[#This Row],[CHANGED ON]]</f>
        <v>-1.2570717592607252</v>
      </c>
    </row>
    <row r="3177" spans="1:14" x14ac:dyDescent="0.35">
      <c r="A3177">
        <v>1032</v>
      </c>
      <c r="B3177" t="s">
        <v>86</v>
      </c>
      <c r="C3177" s="1">
        <v>45191.257071759261</v>
      </c>
      <c r="D3177" t="str">
        <f ca="1">VLOOKUP(qry_ProdData2_PDI_Cash_Exception_Application[[#This Row],[TYPE]],#REF!,2,FALSE)</f>
        <v>type40</v>
      </c>
      <c r="E3177">
        <v>5780.55</v>
      </c>
      <c r="F3177" t="s">
        <v>50</v>
      </c>
      <c r="G3177" s="1">
        <f>qry_ProdData2_PDI_Cash_Exception_Application[[#This Row],[INSERT DATE]]+5</f>
        <v>45196.257071759261</v>
      </c>
      <c r="H3177" t="str">
        <f>VLOOKUP(qry_ProdData2_PDI_Cash_Exception_Application[[#This Row],[MARKET No]],'Site Allocation'!$B$2:$C$37,2,FALSE)</f>
        <v>Analyst6</v>
      </c>
      <c r="I3177" s="4">
        <f t="shared" ca="1" si="49"/>
        <v>45203</v>
      </c>
      <c r="J3177" s="42">
        <f ca="1">TODAY()-qry_ProdData2_PDI_Cash_Exception_Application[[#This Row],[INSERT DATE]]</f>
        <v>11.742928240739275</v>
      </c>
      <c r="K31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77">
        <f ca="1">qry_ProdData2_PDI_Cash_Exception_Application[[#This Row],[TODAY]]-qry_ProdData2_PDI_Cash_Exception_Application[[#This Row],[CHANGED ON]]</f>
        <v>6.7429282407392748</v>
      </c>
      <c r="M3177">
        <f ca="1">qry_ProdData2_PDI_Cash_Exception_Application[[#This Row],[TODAY]]-qry_ProdData2_PDI_Cash_Exception_Application[[#This Row],[CHANGED ON]]</f>
        <v>6.7429282407392748</v>
      </c>
      <c r="N3177">
        <f ca="1">qry_ProdData2_PDI_Cash_Exception_Application[[#This Row],[TODAY]]-qry_ProdData2_PDI_Cash_Exception_Application[[#This Row],[CHANGED ON]]</f>
        <v>6.7429282407392748</v>
      </c>
    </row>
    <row r="3178" spans="1:14" x14ac:dyDescent="0.35">
      <c r="A3178">
        <v>1029</v>
      </c>
      <c r="B3178" t="s">
        <v>83</v>
      </c>
      <c r="C3178" s="1">
        <v>45194.257071759261</v>
      </c>
      <c r="D3178" t="str">
        <f ca="1">VLOOKUP(qry_ProdData2_PDI_Cash_Exception_Application[[#This Row],[TYPE]],#REF!,2,FALSE)</f>
        <v>type40</v>
      </c>
      <c r="E3178">
        <v>-696.6</v>
      </c>
      <c r="F3178" t="str">
        <f>qry_ProdData2_PDI_Cash_Exception_Application[[#This Row],[ANALYST]]</f>
        <v>Analyst5</v>
      </c>
      <c r="G3178" s="1">
        <f>qry_ProdData2_PDI_Cash_Exception_Application[[#This Row],[INSERT DATE]]+2</f>
        <v>45196.257071759261</v>
      </c>
      <c r="H3178" t="str">
        <f>VLOOKUP(qry_ProdData2_PDI_Cash_Exception_Application[[#This Row],[MARKET No]],'Site Allocation'!$B$2:$C$37,2,FALSE)</f>
        <v>Analyst5</v>
      </c>
      <c r="I3178" s="4">
        <f t="shared" ca="1" si="49"/>
        <v>45203</v>
      </c>
      <c r="J3178" s="42">
        <f ca="1">TODAY()-qry_ProdData2_PDI_Cash_Exception_Application[[#This Row],[INSERT DATE]]</f>
        <v>8.7429282407392748</v>
      </c>
      <c r="K31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78">
        <f ca="1">qry_ProdData2_PDI_Cash_Exception_Application[[#This Row],[TODAY]]-qry_ProdData2_PDI_Cash_Exception_Application[[#This Row],[CHANGED ON]]</f>
        <v>6.7429282407392748</v>
      </c>
      <c r="M3178">
        <f ca="1">qry_ProdData2_PDI_Cash_Exception_Application[[#This Row],[TODAY]]-qry_ProdData2_PDI_Cash_Exception_Application[[#This Row],[CHANGED ON]]</f>
        <v>6.7429282407392748</v>
      </c>
      <c r="N3178">
        <f ca="1">qry_ProdData2_PDI_Cash_Exception_Application[[#This Row],[TODAY]]-qry_ProdData2_PDI_Cash_Exception_Application[[#This Row],[CHANGED ON]]</f>
        <v>6.7429282407392748</v>
      </c>
    </row>
    <row r="3179" spans="1:14" x14ac:dyDescent="0.35">
      <c r="A3179">
        <v>1031</v>
      </c>
      <c r="B3179" t="s">
        <v>85</v>
      </c>
      <c r="C3179" s="1">
        <v>45194.257071759261</v>
      </c>
      <c r="D3179" t="str">
        <f ca="1">VLOOKUP(qry_ProdData2_PDI_Cash_Exception_Application[[#This Row],[TYPE]],#REF!,2,FALSE)</f>
        <v>type8</v>
      </c>
      <c r="E3179">
        <v>140</v>
      </c>
      <c r="F3179" t="s">
        <v>49</v>
      </c>
      <c r="G3179" s="1">
        <f>qry_ProdData2_PDI_Cash_Exception_Application[[#This Row],[INSERT DATE]]+2</f>
        <v>45196.257071759261</v>
      </c>
      <c r="H3179" t="str">
        <f>VLOOKUP(qry_ProdData2_PDI_Cash_Exception_Application[[#This Row],[MARKET No]],'Site Allocation'!$B$2:$C$37,2,FALSE)</f>
        <v>Analyst6</v>
      </c>
      <c r="I3179" s="4">
        <f t="shared" ca="1" si="49"/>
        <v>45203</v>
      </c>
      <c r="J3179" s="42">
        <f ca="1">TODAY()-qry_ProdData2_PDI_Cash_Exception_Application[[#This Row],[INSERT DATE]]</f>
        <v>8.7429282407392748</v>
      </c>
      <c r="K31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79">
        <f ca="1">qry_ProdData2_PDI_Cash_Exception_Application[[#This Row],[TODAY]]-qry_ProdData2_PDI_Cash_Exception_Application[[#This Row],[CHANGED ON]]</f>
        <v>6.7429282407392748</v>
      </c>
      <c r="M3179">
        <f ca="1">qry_ProdData2_PDI_Cash_Exception_Application[[#This Row],[TODAY]]-qry_ProdData2_PDI_Cash_Exception_Application[[#This Row],[CHANGED ON]]</f>
        <v>6.7429282407392748</v>
      </c>
      <c r="N3179">
        <f ca="1">qry_ProdData2_PDI_Cash_Exception_Application[[#This Row],[TODAY]]-qry_ProdData2_PDI_Cash_Exception_Application[[#This Row],[CHANGED ON]]</f>
        <v>6.7429282407392748</v>
      </c>
    </row>
    <row r="3180" spans="1:14" x14ac:dyDescent="0.35">
      <c r="A3180">
        <v>1026</v>
      </c>
      <c r="B3180" t="s">
        <v>80</v>
      </c>
      <c r="C3180" s="1">
        <v>45195.257071759261</v>
      </c>
      <c r="D3180" t="str">
        <f ca="1">VLOOKUP(qry_ProdData2_PDI_Cash_Exception_Application[[#This Row],[TYPE]],#REF!,2,FALSE)</f>
        <v>type40</v>
      </c>
      <c r="E3180">
        <v>-767.77</v>
      </c>
      <c r="F3180" t="str">
        <f>qry_ProdData2_PDI_Cash_Exception_Application[[#This Row],[ANALYST]]</f>
        <v>Analyst5</v>
      </c>
      <c r="G3180" s="1">
        <f>qry_ProdData2_PDI_Cash_Exception_Application[[#This Row],[INSERT DATE]]+2</f>
        <v>45197.257071759261</v>
      </c>
      <c r="H3180" t="str">
        <f>VLOOKUP(qry_ProdData2_PDI_Cash_Exception_Application[[#This Row],[MARKET No]],'Site Allocation'!$B$2:$C$37,2,FALSE)</f>
        <v>Analyst5</v>
      </c>
      <c r="I3180" s="4">
        <f t="shared" ca="1" si="49"/>
        <v>45203</v>
      </c>
      <c r="J3180" s="42">
        <f ca="1">TODAY()-qry_ProdData2_PDI_Cash_Exception_Application[[#This Row],[INSERT DATE]]</f>
        <v>7.7429282407392748</v>
      </c>
      <c r="K31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80">
        <f ca="1">qry_ProdData2_PDI_Cash_Exception_Application[[#This Row],[TODAY]]-qry_ProdData2_PDI_Cash_Exception_Application[[#This Row],[CHANGED ON]]</f>
        <v>5.7429282407392748</v>
      </c>
      <c r="M3180">
        <f ca="1">qry_ProdData2_PDI_Cash_Exception_Application[[#This Row],[TODAY]]-qry_ProdData2_PDI_Cash_Exception_Application[[#This Row],[CHANGED ON]]</f>
        <v>5.7429282407392748</v>
      </c>
      <c r="N3180">
        <f ca="1">qry_ProdData2_PDI_Cash_Exception_Application[[#This Row],[TODAY]]-qry_ProdData2_PDI_Cash_Exception_Application[[#This Row],[CHANGED ON]]</f>
        <v>5.7429282407392748</v>
      </c>
    </row>
    <row r="3181" spans="1:14" x14ac:dyDescent="0.35">
      <c r="A3181">
        <v>1027</v>
      </c>
      <c r="B3181" t="s">
        <v>81</v>
      </c>
      <c r="C3181" s="1">
        <v>45194.257071759261</v>
      </c>
      <c r="D3181" t="str">
        <f ca="1">VLOOKUP(qry_ProdData2_PDI_Cash_Exception_Application[[#This Row],[TYPE]],#REF!,2,FALSE)</f>
        <v>type35</v>
      </c>
      <c r="E3181">
        <v>595.5</v>
      </c>
      <c r="F3181" t="str">
        <f>qry_ProdData2_PDI_Cash_Exception_Application[[#This Row],[ANALYST]]</f>
        <v>Analyst5</v>
      </c>
      <c r="G3181" s="1">
        <f>qry_ProdData2_PDI_Cash_Exception_Application[[#This Row],[INSERT DATE]]+1</f>
        <v>45195.257071759261</v>
      </c>
      <c r="H3181" t="str">
        <f>VLOOKUP(qry_ProdData2_PDI_Cash_Exception_Application[[#This Row],[MARKET No]],'Site Allocation'!$B$2:$C$37,2,FALSE)</f>
        <v>Analyst5</v>
      </c>
      <c r="I3181" s="4">
        <f t="shared" ca="1" si="49"/>
        <v>45203</v>
      </c>
      <c r="J3181" s="42">
        <f ca="1">TODAY()-qry_ProdData2_PDI_Cash_Exception_Application[[#This Row],[INSERT DATE]]</f>
        <v>8.7429282407392748</v>
      </c>
      <c r="K31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81">
        <f ca="1">qry_ProdData2_PDI_Cash_Exception_Application[[#This Row],[TODAY]]-qry_ProdData2_PDI_Cash_Exception_Application[[#This Row],[CHANGED ON]]</f>
        <v>7.7429282407392748</v>
      </c>
      <c r="M3181">
        <f ca="1">qry_ProdData2_PDI_Cash_Exception_Application[[#This Row],[TODAY]]-qry_ProdData2_PDI_Cash_Exception_Application[[#This Row],[CHANGED ON]]</f>
        <v>7.7429282407392748</v>
      </c>
      <c r="N3181">
        <f ca="1">qry_ProdData2_PDI_Cash_Exception_Application[[#This Row],[TODAY]]-qry_ProdData2_PDI_Cash_Exception_Application[[#This Row],[CHANGED ON]]</f>
        <v>7.7429282407392748</v>
      </c>
    </row>
    <row r="3182" spans="1:14" x14ac:dyDescent="0.35">
      <c r="A3182">
        <v>1025</v>
      </c>
      <c r="B3182" t="s">
        <v>79</v>
      </c>
      <c r="C3182" s="1">
        <v>45194.257071759261</v>
      </c>
      <c r="D3182" t="str">
        <f ca="1">VLOOKUP(qry_ProdData2_PDI_Cash_Exception_Application[[#This Row],[TYPE]],#REF!,2,FALSE)</f>
        <v>type40</v>
      </c>
      <c r="E3182">
        <v>1388.35</v>
      </c>
      <c r="F3182" t="str">
        <f>qry_ProdData2_PDI_Cash_Exception_Application[[#This Row],[ANALYST]]</f>
        <v>Analyst5</v>
      </c>
      <c r="G3182" s="1">
        <f>qry_ProdData2_PDI_Cash_Exception_Application[[#This Row],[INSERT DATE]]+5</f>
        <v>45199.257071759261</v>
      </c>
      <c r="H3182" t="str">
        <f>VLOOKUP(qry_ProdData2_PDI_Cash_Exception_Application[[#This Row],[MARKET No]],'Site Allocation'!$B$2:$C$37,2,FALSE)</f>
        <v>Analyst5</v>
      </c>
      <c r="I3182" s="4">
        <f t="shared" ca="1" si="49"/>
        <v>45203</v>
      </c>
      <c r="J3182" s="42">
        <f ca="1">TODAY()-qry_ProdData2_PDI_Cash_Exception_Application[[#This Row],[INSERT DATE]]</f>
        <v>8.7429282407392748</v>
      </c>
      <c r="K31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82">
        <f ca="1">qry_ProdData2_PDI_Cash_Exception_Application[[#This Row],[TODAY]]-qry_ProdData2_PDI_Cash_Exception_Application[[#This Row],[CHANGED ON]]</f>
        <v>3.7429282407392748</v>
      </c>
      <c r="M3182">
        <f ca="1">qry_ProdData2_PDI_Cash_Exception_Application[[#This Row],[TODAY]]-qry_ProdData2_PDI_Cash_Exception_Application[[#This Row],[CHANGED ON]]</f>
        <v>3.7429282407392748</v>
      </c>
      <c r="N3182">
        <f ca="1">qry_ProdData2_PDI_Cash_Exception_Application[[#This Row],[TODAY]]-qry_ProdData2_PDI_Cash_Exception_Application[[#This Row],[CHANGED ON]]</f>
        <v>3.7429282407392748</v>
      </c>
    </row>
    <row r="3183" spans="1:14" x14ac:dyDescent="0.35">
      <c r="A3183">
        <v>1016</v>
      </c>
      <c r="B3183" t="s">
        <v>70</v>
      </c>
      <c r="C3183" s="1">
        <v>45197.257071759261</v>
      </c>
      <c r="D3183" t="str">
        <f ca="1">VLOOKUP(qry_ProdData2_PDI_Cash_Exception_Application[[#This Row],[TYPE]],#REF!,2,FALSE)</f>
        <v>type7</v>
      </c>
      <c r="E3183">
        <v>1219.05</v>
      </c>
      <c r="F3183" t="s">
        <v>48</v>
      </c>
      <c r="G3183" s="1">
        <f>qry_ProdData2_PDI_Cash_Exception_Application[[#This Row],[INSERT DATE]]+7</f>
        <v>45204.257071759261</v>
      </c>
      <c r="H3183" t="str">
        <f>VLOOKUP(qry_ProdData2_PDI_Cash_Exception_Application[[#This Row],[MARKET No]],'Site Allocation'!$B$2:$C$37,2,FALSE)</f>
        <v>Analyst3</v>
      </c>
      <c r="I3183" s="4">
        <f t="shared" ca="1" si="49"/>
        <v>45203</v>
      </c>
      <c r="J3183" s="42">
        <f ca="1">TODAY()-qry_ProdData2_PDI_Cash_Exception_Application[[#This Row],[INSERT DATE]]</f>
        <v>5.7429282407392748</v>
      </c>
      <c r="K31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83">
        <f ca="1">qry_ProdData2_PDI_Cash_Exception_Application[[#This Row],[TODAY]]-qry_ProdData2_PDI_Cash_Exception_Application[[#This Row],[CHANGED ON]]</f>
        <v>-1.2570717592607252</v>
      </c>
      <c r="M3183">
        <f ca="1">qry_ProdData2_PDI_Cash_Exception_Application[[#This Row],[TODAY]]-qry_ProdData2_PDI_Cash_Exception_Application[[#This Row],[CHANGED ON]]</f>
        <v>-1.2570717592607252</v>
      </c>
      <c r="N3183">
        <f ca="1">qry_ProdData2_PDI_Cash_Exception_Application[[#This Row],[TODAY]]-qry_ProdData2_PDI_Cash_Exception_Application[[#This Row],[CHANGED ON]]</f>
        <v>-1.2570717592607252</v>
      </c>
    </row>
    <row r="3184" spans="1:14" x14ac:dyDescent="0.35">
      <c r="A3184">
        <v>1026</v>
      </c>
      <c r="B3184" t="s">
        <v>80</v>
      </c>
      <c r="C3184" s="1">
        <v>45195.257071759261</v>
      </c>
      <c r="D3184" t="str">
        <f ca="1">VLOOKUP(qry_ProdData2_PDI_Cash_Exception_Application[[#This Row],[TYPE]],#REF!,2,FALSE)</f>
        <v>type38</v>
      </c>
      <c r="E3184">
        <v>183.57</v>
      </c>
      <c r="F3184" t="str">
        <f>qry_ProdData2_PDI_Cash_Exception_Application[[#This Row],[ANALYST]]</f>
        <v>Analyst5</v>
      </c>
      <c r="G3184" s="1">
        <f>qry_ProdData2_PDI_Cash_Exception_Application[[#This Row],[INSERT DATE]]+1</f>
        <v>45196.257071759261</v>
      </c>
      <c r="H3184" t="str">
        <f>VLOOKUP(qry_ProdData2_PDI_Cash_Exception_Application[[#This Row],[MARKET No]],'Site Allocation'!$B$2:$C$37,2,FALSE)</f>
        <v>Analyst5</v>
      </c>
      <c r="I3184" s="4">
        <f t="shared" ca="1" si="49"/>
        <v>45203</v>
      </c>
      <c r="J3184" s="42">
        <f ca="1">TODAY()-qry_ProdData2_PDI_Cash_Exception_Application[[#This Row],[INSERT DATE]]</f>
        <v>7.7429282407392748</v>
      </c>
      <c r="K31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84">
        <f ca="1">qry_ProdData2_PDI_Cash_Exception_Application[[#This Row],[TODAY]]-qry_ProdData2_PDI_Cash_Exception_Application[[#This Row],[CHANGED ON]]</f>
        <v>6.7429282407392748</v>
      </c>
      <c r="M3184">
        <f ca="1">qry_ProdData2_PDI_Cash_Exception_Application[[#This Row],[TODAY]]-qry_ProdData2_PDI_Cash_Exception_Application[[#This Row],[CHANGED ON]]</f>
        <v>6.7429282407392748</v>
      </c>
      <c r="N3184">
        <f ca="1">qry_ProdData2_PDI_Cash_Exception_Application[[#This Row],[TODAY]]-qry_ProdData2_PDI_Cash_Exception_Application[[#This Row],[CHANGED ON]]</f>
        <v>6.7429282407392748</v>
      </c>
    </row>
    <row r="3185" spans="1:14" x14ac:dyDescent="0.35">
      <c r="A3185">
        <v>1016</v>
      </c>
      <c r="B3185" t="s">
        <v>70</v>
      </c>
      <c r="C3185" s="1">
        <v>45180.257071759261</v>
      </c>
      <c r="D3185" t="str">
        <f ca="1">VLOOKUP(qry_ProdData2_PDI_Cash_Exception_Application[[#This Row],[TYPE]],#REF!,2,FALSE)</f>
        <v>type13</v>
      </c>
      <c r="E3185">
        <v>18052.05</v>
      </c>
      <c r="F3185" t="s">
        <v>52</v>
      </c>
      <c r="G3185" s="1">
        <f>qry_ProdData2_PDI_Cash_Exception_Application[[#This Row],[INSERT DATE]]+7</f>
        <v>45187.257071759261</v>
      </c>
      <c r="H3185" t="str">
        <f>VLOOKUP(qry_ProdData2_PDI_Cash_Exception_Application[[#This Row],[MARKET No]],'Site Allocation'!$B$2:$C$37,2,FALSE)</f>
        <v>Analyst3</v>
      </c>
      <c r="I3185" s="4">
        <f t="shared" ca="1" si="49"/>
        <v>45203</v>
      </c>
      <c r="J3185" s="42">
        <f ca="1">TODAY()-qry_ProdData2_PDI_Cash_Exception_Application[[#This Row],[INSERT DATE]]</f>
        <v>22.742928240739275</v>
      </c>
      <c r="K31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85">
        <f ca="1">qry_ProdData2_PDI_Cash_Exception_Application[[#This Row],[TODAY]]-qry_ProdData2_PDI_Cash_Exception_Application[[#This Row],[CHANGED ON]]</f>
        <v>15.742928240739275</v>
      </c>
      <c r="M3185">
        <f ca="1">qry_ProdData2_PDI_Cash_Exception_Application[[#This Row],[TODAY]]-qry_ProdData2_PDI_Cash_Exception_Application[[#This Row],[CHANGED ON]]</f>
        <v>15.742928240739275</v>
      </c>
      <c r="N3185">
        <f ca="1">qry_ProdData2_PDI_Cash_Exception_Application[[#This Row],[TODAY]]-qry_ProdData2_PDI_Cash_Exception_Application[[#This Row],[CHANGED ON]]</f>
        <v>15.742928240739275</v>
      </c>
    </row>
    <row r="3186" spans="1:14" x14ac:dyDescent="0.35">
      <c r="A3186">
        <v>1021</v>
      </c>
      <c r="B3186" t="s">
        <v>75</v>
      </c>
      <c r="C3186" s="1">
        <v>45194.257071759261</v>
      </c>
      <c r="D3186" t="str">
        <f ca="1">VLOOKUP(qry_ProdData2_PDI_Cash_Exception_Application[[#This Row],[TYPE]],#REF!,2,FALSE)</f>
        <v>type13</v>
      </c>
      <c r="E3186">
        <v>18779.79</v>
      </c>
      <c r="F3186" t="s">
        <v>49</v>
      </c>
      <c r="G3186" s="1">
        <f>qry_ProdData2_PDI_Cash_Exception_Application[[#This Row],[INSERT DATE]]+5</f>
        <v>45199.257071759261</v>
      </c>
      <c r="H3186" t="str">
        <f>VLOOKUP(qry_ProdData2_PDI_Cash_Exception_Application[[#This Row],[MARKET No]],'Site Allocation'!$B$2:$C$37,2,FALSE)</f>
        <v>Analyst4</v>
      </c>
      <c r="I3186" s="4">
        <f t="shared" ca="1" si="49"/>
        <v>45203</v>
      </c>
      <c r="J3186" s="42">
        <f ca="1">TODAY()-qry_ProdData2_PDI_Cash_Exception_Application[[#This Row],[INSERT DATE]]</f>
        <v>8.7429282407392748</v>
      </c>
      <c r="K31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86">
        <f ca="1">qry_ProdData2_PDI_Cash_Exception_Application[[#This Row],[TODAY]]-qry_ProdData2_PDI_Cash_Exception_Application[[#This Row],[CHANGED ON]]</f>
        <v>3.7429282407392748</v>
      </c>
      <c r="M3186">
        <f ca="1">qry_ProdData2_PDI_Cash_Exception_Application[[#This Row],[TODAY]]-qry_ProdData2_PDI_Cash_Exception_Application[[#This Row],[CHANGED ON]]</f>
        <v>3.7429282407392748</v>
      </c>
      <c r="N3186">
        <f ca="1">qry_ProdData2_PDI_Cash_Exception_Application[[#This Row],[TODAY]]-qry_ProdData2_PDI_Cash_Exception_Application[[#This Row],[CHANGED ON]]</f>
        <v>3.7429282407392748</v>
      </c>
    </row>
    <row r="3187" spans="1:14" x14ac:dyDescent="0.35">
      <c r="A3187">
        <v>1025</v>
      </c>
      <c r="B3187" t="s">
        <v>79</v>
      </c>
      <c r="C3187" s="1">
        <v>45182.257071759261</v>
      </c>
      <c r="D3187" t="str">
        <f ca="1">VLOOKUP(qry_ProdData2_PDI_Cash_Exception_Application[[#This Row],[TYPE]],#REF!,2,FALSE)</f>
        <v>type35</v>
      </c>
      <c r="E3187">
        <v>368.57</v>
      </c>
      <c r="F3187" t="s">
        <v>50</v>
      </c>
      <c r="G3187" s="1">
        <f>qry_ProdData2_PDI_Cash_Exception_Application[[#This Row],[INSERT DATE]]+7</f>
        <v>45189.257071759261</v>
      </c>
      <c r="H3187" t="str">
        <f>VLOOKUP(qry_ProdData2_PDI_Cash_Exception_Application[[#This Row],[MARKET No]],'Site Allocation'!$B$2:$C$37,2,FALSE)</f>
        <v>Analyst5</v>
      </c>
      <c r="I3187" s="4">
        <f t="shared" ca="1" si="49"/>
        <v>45203</v>
      </c>
      <c r="J3187" s="42">
        <f ca="1">TODAY()-qry_ProdData2_PDI_Cash_Exception_Application[[#This Row],[INSERT DATE]]</f>
        <v>20.742928240739275</v>
      </c>
      <c r="K31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87">
        <f ca="1">qry_ProdData2_PDI_Cash_Exception_Application[[#This Row],[TODAY]]-qry_ProdData2_PDI_Cash_Exception_Application[[#This Row],[CHANGED ON]]</f>
        <v>13.742928240739275</v>
      </c>
      <c r="M3187">
        <f ca="1">qry_ProdData2_PDI_Cash_Exception_Application[[#This Row],[TODAY]]-qry_ProdData2_PDI_Cash_Exception_Application[[#This Row],[CHANGED ON]]</f>
        <v>13.742928240739275</v>
      </c>
      <c r="N3187">
        <f ca="1">qry_ProdData2_PDI_Cash_Exception_Application[[#This Row],[TODAY]]-qry_ProdData2_PDI_Cash_Exception_Application[[#This Row],[CHANGED ON]]</f>
        <v>13.742928240739275</v>
      </c>
    </row>
    <row r="3188" spans="1:14" x14ac:dyDescent="0.35">
      <c r="A3188">
        <v>1015</v>
      </c>
      <c r="B3188" t="s">
        <v>69</v>
      </c>
      <c r="C3188" s="1">
        <v>45197.257071759261</v>
      </c>
      <c r="D3188" t="str">
        <f ca="1">VLOOKUP(qry_ProdData2_PDI_Cash_Exception_Application[[#This Row],[TYPE]],#REF!,2,FALSE)</f>
        <v>type13</v>
      </c>
      <c r="E3188">
        <v>45091.49</v>
      </c>
      <c r="F3188" t="s">
        <v>48</v>
      </c>
      <c r="G3188" s="1">
        <f>qry_ProdData2_PDI_Cash_Exception_Application[[#This Row],[INSERT DATE]]+1</f>
        <v>45198.257071759261</v>
      </c>
      <c r="H3188" t="str">
        <f>VLOOKUP(qry_ProdData2_PDI_Cash_Exception_Application[[#This Row],[MARKET No]],'Site Allocation'!$B$2:$C$37,2,FALSE)</f>
        <v>Analyst3</v>
      </c>
      <c r="I3188" s="4">
        <f t="shared" ca="1" si="49"/>
        <v>45203</v>
      </c>
      <c r="J3188" s="42">
        <f ca="1">TODAY()-qry_ProdData2_PDI_Cash_Exception_Application[[#This Row],[INSERT DATE]]</f>
        <v>5.7429282407392748</v>
      </c>
      <c r="K31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88">
        <f ca="1">qry_ProdData2_PDI_Cash_Exception_Application[[#This Row],[TODAY]]-qry_ProdData2_PDI_Cash_Exception_Application[[#This Row],[CHANGED ON]]</f>
        <v>4.7429282407392748</v>
      </c>
      <c r="M3188">
        <f ca="1">qry_ProdData2_PDI_Cash_Exception_Application[[#This Row],[TODAY]]-qry_ProdData2_PDI_Cash_Exception_Application[[#This Row],[CHANGED ON]]</f>
        <v>4.7429282407392748</v>
      </c>
      <c r="N3188">
        <f ca="1">qry_ProdData2_PDI_Cash_Exception_Application[[#This Row],[TODAY]]-qry_ProdData2_PDI_Cash_Exception_Application[[#This Row],[CHANGED ON]]</f>
        <v>4.7429282407392748</v>
      </c>
    </row>
    <row r="3189" spans="1:14" x14ac:dyDescent="0.35">
      <c r="A3189">
        <v>1015</v>
      </c>
      <c r="B3189" t="s">
        <v>69</v>
      </c>
      <c r="C3189" s="1">
        <v>45183.257071759261</v>
      </c>
      <c r="D3189" t="str">
        <f ca="1">VLOOKUP(qry_ProdData2_PDI_Cash_Exception_Application[[#This Row],[TYPE]],#REF!,2,FALSE)</f>
        <v>type40</v>
      </c>
      <c r="E3189">
        <v>-741.87</v>
      </c>
      <c r="F3189" t="s">
        <v>50</v>
      </c>
      <c r="G3189" s="1">
        <f>qry_ProdData2_PDI_Cash_Exception_Application[[#This Row],[INSERT DATE]]+7</f>
        <v>45190.257071759261</v>
      </c>
      <c r="H3189" t="str">
        <f>VLOOKUP(qry_ProdData2_PDI_Cash_Exception_Application[[#This Row],[MARKET No]],'Site Allocation'!$B$2:$C$37,2,FALSE)</f>
        <v>Analyst3</v>
      </c>
      <c r="I3189" s="4">
        <f t="shared" ca="1" si="49"/>
        <v>45203</v>
      </c>
      <c r="J3189" s="42">
        <f ca="1">TODAY()-qry_ProdData2_PDI_Cash_Exception_Application[[#This Row],[INSERT DATE]]</f>
        <v>19.742928240739275</v>
      </c>
      <c r="K31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89">
        <f ca="1">qry_ProdData2_PDI_Cash_Exception_Application[[#This Row],[TODAY]]-qry_ProdData2_PDI_Cash_Exception_Application[[#This Row],[CHANGED ON]]</f>
        <v>12.742928240739275</v>
      </c>
      <c r="M3189">
        <f ca="1">qry_ProdData2_PDI_Cash_Exception_Application[[#This Row],[TODAY]]-qry_ProdData2_PDI_Cash_Exception_Application[[#This Row],[CHANGED ON]]</f>
        <v>12.742928240739275</v>
      </c>
      <c r="N3189">
        <f ca="1">qry_ProdData2_PDI_Cash_Exception_Application[[#This Row],[TODAY]]-qry_ProdData2_PDI_Cash_Exception_Application[[#This Row],[CHANGED ON]]</f>
        <v>12.742928240739275</v>
      </c>
    </row>
    <row r="3190" spans="1:14" x14ac:dyDescent="0.35">
      <c r="A3190">
        <v>1029</v>
      </c>
      <c r="B3190" t="s">
        <v>83</v>
      </c>
      <c r="C3190" s="1">
        <v>45183.257071759261</v>
      </c>
      <c r="D3190" t="str">
        <f ca="1">VLOOKUP(qry_ProdData2_PDI_Cash_Exception_Application[[#This Row],[TYPE]],#REF!,2,FALSE)</f>
        <v>type40</v>
      </c>
      <c r="E3190">
        <v>-1439.95</v>
      </c>
      <c r="F3190" t="s">
        <v>50</v>
      </c>
      <c r="G3190" s="1">
        <f>qry_ProdData2_PDI_Cash_Exception_Application[[#This Row],[INSERT DATE]]+7</f>
        <v>45190.257071759261</v>
      </c>
      <c r="H3190" t="str">
        <f>VLOOKUP(qry_ProdData2_PDI_Cash_Exception_Application[[#This Row],[MARKET No]],'Site Allocation'!$B$2:$C$37,2,FALSE)</f>
        <v>Analyst5</v>
      </c>
      <c r="I3190" s="4">
        <f t="shared" ca="1" si="49"/>
        <v>45203</v>
      </c>
      <c r="J3190" s="42">
        <f ca="1">TODAY()-qry_ProdData2_PDI_Cash_Exception_Application[[#This Row],[INSERT DATE]]</f>
        <v>19.742928240739275</v>
      </c>
      <c r="K31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90">
        <f ca="1">qry_ProdData2_PDI_Cash_Exception_Application[[#This Row],[TODAY]]-qry_ProdData2_PDI_Cash_Exception_Application[[#This Row],[CHANGED ON]]</f>
        <v>12.742928240739275</v>
      </c>
      <c r="M3190">
        <f ca="1">qry_ProdData2_PDI_Cash_Exception_Application[[#This Row],[TODAY]]-qry_ProdData2_PDI_Cash_Exception_Application[[#This Row],[CHANGED ON]]</f>
        <v>12.742928240739275</v>
      </c>
      <c r="N3190">
        <f ca="1">qry_ProdData2_PDI_Cash_Exception_Application[[#This Row],[TODAY]]-qry_ProdData2_PDI_Cash_Exception_Application[[#This Row],[CHANGED ON]]</f>
        <v>12.742928240739275</v>
      </c>
    </row>
    <row r="3191" spans="1:14" x14ac:dyDescent="0.35">
      <c r="A3191">
        <v>1017</v>
      </c>
      <c r="B3191" t="s">
        <v>71</v>
      </c>
      <c r="C3191" s="1">
        <v>45184.257071759261</v>
      </c>
      <c r="D3191" t="str">
        <f ca="1">VLOOKUP(qry_ProdData2_PDI_Cash_Exception_Application[[#This Row],[TYPE]],#REF!,2,FALSE)</f>
        <v>type40</v>
      </c>
      <c r="E3191">
        <v>-670.69</v>
      </c>
      <c r="F3191" t="s">
        <v>50</v>
      </c>
      <c r="G3191" s="1">
        <f>qry_ProdData2_PDI_Cash_Exception_Application[[#This Row],[INSERT DATE]]+7</f>
        <v>45191.257071759261</v>
      </c>
      <c r="H3191" t="str">
        <f>VLOOKUP(qry_ProdData2_PDI_Cash_Exception_Application[[#This Row],[MARKET No]],'Site Allocation'!$B$2:$C$37,2,FALSE)</f>
        <v>Analyst3</v>
      </c>
      <c r="I3191" s="4">
        <f t="shared" ca="1" si="49"/>
        <v>45203</v>
      </c>
      <c r="J3191" s="42">
        <f ca="1">TODAY()-qry_ProdData2_PDI_Cash_Exception_Application[[#This Row],[INSERT DATE]]</f>
        <v>18.742928240739275</v>
      </c>
      <c r="K31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91">
        <f ca="1">qry_ProdData2_PDI_Cash_Exception_Application[[#This Row],[TODAY]]-qry_ProdData2_PDI_Cash_Exception_Application[[#This Row],[CHANGED ON]]</f>
        <v>11.742928240739275</v>
      </c>
      <c r="M3191">
        <f ca="1">qry_ProdData2_PDI_Cash_Exception_Application[[#This Row],[TODAY]]-qry_ProdData2_PDI_Cash_Exception_Application[[#This Row],[CHANGED ON]]</f>
        <v>11.742928240739275</v>
      </c>
      <c r="N3191">
        <f ca="1">qry_ProdData2_PDI_Cash_Exception_Application[[#This Row],[TODAY]]-qry_ProdData2_PDI_Cash_Exception_Application[[#This Row],[CHANGED ON]]</f>
        <v>11.742928240739275</v>
      </c>
    </row>
    <row r="3192" spans="1:14" x14ac:dyDescent="0.35">
      <c r="A3192">
        <v>1012</v>
      </c>
      <c r="B3192" t="s">
        <v>66</v>
      </c>
      <c r="C3192" s="1">
        <v>45194.257071759261</v>
      </c>
      <c r="D3192" t="str">
        <f ca="1">VLOOKUP(qry_ProdData2_PDI_Cash_Exception_Application[[#This Row],[TYPE]],#REF!,2,FALSE)</f>
        <v>type40</v>
      </c>
      <c r="E3192">
        <v>-2278.14</v>
      </c>
      <c r="F3192" t="s">
        <v>47</v>
      </c>
      <c r="G3192" s="1">
        <f>qry_ProdData2_PDI_Cash_Exception_Application[[#This Row],[INSERT DATE]]+7</f>
        <v>45201.257071759261</v>
      </c>
      <c r="H3192" t="str">
        <f>VLOOKUP(qry_ProdData2_PDI_Cash_Exception_Application[[#This Row],[MARKET No]],'Site Allocation'!$B$2:$C$37,2,FALSE)</f>
        <v>Analyst3</v>
      </c>
      <c r="I3192" s="4">
        <f t="shared" ca="1" si="49"/>
        <v>45203</v>
      </c>
      <c r="J3192" s="42">
        <f ca="1">TODAY()-qry_ProdData2_PDI_Cash_Exception_Application[[#This Row],[INSERT DATE]]</f>
        <v>8.7429282407392748</v>
      </c>
      <c r="K31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92">
        <f ca="1">qry_ProdData2_PDI_Cash_Exception_Application[[#This Row],[TODAY]]-qry_ProdData2_PDI_Cash_Exception_Application[[#This Row],[CHANGED ON]]</f>
        <v>1.7429282407392748</v>
      </c>
      <c r="M3192">
        <f ca="1">qry_ProdData2_PDI_Cash_Exception_Application[[#This Row],[TODAY]]-qry_ProdData2_PDI_Cash_Exception_Application[[#This Row],[CHANGED ON]]</f>
        <v>1.7429282407392748</v>
      </c>
      <c r="N3192">
        <f ca="1">qry_ProdData2_PDI_Cash_Exception_Application[[#This Row],[TODAY]]-qry_ProdData2_PDI_Cash_Exception_Application[[#This Row],[CHANGED ON]]</f>
        <v>1.7429282407392748</v>
      </c>
    </row>
    <row r="3193" spans="1:14" x14ac:dyDescent="0.35">
      <c r="A3193">
        <v>1019</v>
      </c>
      <c r="B3193" t="s">
        <v>73</v>
      </c>
      <c r="C3193" s="1">
        <v>45194.257071759261</v>
      </c>
      <c r="D3193" t="str">
        <f ca="1">VLOOKUP(qry_ProdData2_PDI_Cash_Exception_Application[[#This Row],[TYPE]],#REF!,2,FALSE)</f>
        <v>type40</v>
      </c>
      <c r="E3193">
        <v>38.67</v>
      </c>
      <c r="F3193" t="s">
        <v>47</v>
      </c>
      <c r="G3193" s="1">
        <f>qry_ProdData2_PDI_Cash_Exception_Application[[#This Row],[INSERT DATE]]+7</f>
        <v>45201.257071759261</v>
      </c>
      <c r="H3193" t="str">
        <f>VLOOKUP(qry_ProdData2_PDI_Cash_Exception_Application[[#This Row],[MARKET No]],'Site Allocation'!$B$2:$C$37,2,FALSE)</f>
        <v>Analyst4</v>
      </c>
      <c r="I3193" s="4">
        <f t="shared" ca="1" si="49"/>
        <v>45203</v>
      </c>
      <c r="J3193" s="42">
        <f ca="1">TODAY()-qry_ProdData2_PDI_Cash_Exception_Application[[#This Row],[INSERT DATE]]</f>
        <v>8.7429282407392748</v>
      </c>
      <c r="K31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93">
        <f ca="1">qry_ProdData2_PDI_Cash_Exception_Application[[#This Row],[TODAY]]-qry_ProdData2_PDI_Cash_Exception_Application[[#This Row],[CHANGED ON]]</f>
        <v>1.7429282407392748</v>
      </c>
      <c r="M3193">
        <f ca="1">qry_ProdData2_PDI_Cash_Exception_Application[[#This Row],[TODAY]]-qry_ProdData2_PDI_Cash_Exception_Application[[#This Row],[CHANGED ON]]</f>
        <v>1.7429282407392748</v>
      </c>
      <c r="N3193">
        <f ca="1">qry_ProdData2_PDI_Cash_Exception_Application[[#This Row],[TODAY]]-qry_ProdData2_PDI_Cash_Exception_Application[[#This Row],[CHANGED ON]]</f>
        <v>1.7429282407392748</v>
      </c>
    </row>
    <row r="3194" spans="1:14" x14ac:dyDescent="0.35">
      <c r="A3194">
        <v>1025</v>
      </c>
      <c r="B3194" t="s">
        <v>79</v>
      </c>
      <c r="C3194" s="1">
        <v>45194.257071759261</v>
      </c>
      <c r="D3194" t="str">
        <f ca="1">VLOOKUP(qry_ProdData2_PDI_Cash_Exception_Application[[#This Row],[TYPE]],#REF!,2,FALSE)</f>
        <v>type7</v>
      </c>
      <c r="E3194">
        <v>-1182.6199999999999</v>
      </c>
      <c r="F3194" t="s">
        <v>49</v>
      </c>
      <c r="G3194" s="1">
        <f>qry_ProdData2_PDI_Cash_Exception_Application[[#This Row],[INSERT DATE]]+7</f>
        <v>45201.257071759261</v>
      </c>
      <c r="H3194" t="str">
        <f>VLOOKUP(qry_ProdData2_PDI_Cash_Exception_Application[[#This Row],[MARKET No]],'Site Allocation'!$B$2:$C$37,2,FALSE)</f>
        <v>Analyst5</v>
      </c>
      <c r="I3194" s="4">
        <f t="shared" ca="1" si="49"/>
        <v>45203</v>
      </c>
      <c r="J3194" s="42">
        <f ca="1">TODAY()-qry_ProdData2_PDI_Cash_Exception_Application[[#This Row],[INSERT DATE]]</f>
        <v>8.7429282407392748</v>
      </c>
      <c r="K31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94">
        <f ca="1">qry_ProdData2_PDI_Cash_Exception_Application[[#This Row],[TODAY]]-qry_ProdData2_PDI_Cash_Exception_Application[[#This Row],[CHANGED ON]]</f>
        <v>1.7429282407392748</v>
      </c>
      <c r="M3194">
        <f ca="1">qry_ProdData2_PDI_Cash_Exception_Application[[#This Row],[TODAY]]-qry_ProdData2_PDI_Cash_Exception_Application[[#This Row],[CHANGED ON]]</f>
        <v>1.7429282407392748</v>
      </c>
      <c r="N3194">
        <f ca="1">qry_ProdData2_PDI_Cash_Exception_Application[[#This Row],[TODAY]]-qry_ProdData2_PDI_Cash_Exception_Application[[#This Row],[CHANGED ON]]</f>
        <v>1.7429282407392748</v>
      </c>
    </row>
    <row r="3195" spans="1:14" x14ac:dyDescent="0.35">
      <c r="A3195">
        <v>1003</v>
      </c>
      <c r="B3195" t="s">
        <v>57</v>
      </c>
      <c r="C3195" s="1">
        <v>45194.257071759261</v>
      </c>
      <c r="D3195" t="str">
        <f ca="1">VLOOKUP(qry_ProdData2_PDI_Cash_Exception_Application[[#This Row],[TYPE]],#REF!,2,FALSE)</f>
        <v>type7</v>
      </c>
      <c r="E3195">
        <v>1694.76</v>
      </c>
      <c r="F3195" t="s">
        <v>47</v>
      </c>
      <c r="G3195" s="1">
        <f>qry_ProdData2_PDI_Cash_Exception_Application[[#This Row],[INSERT DATE]]+7</f>
        <v>45201.257071759261</v>
      </c>
      <c r="H3195" t="str">
        <f>VLOOKUP(qry_ProdData2_PDI_Cash_Exception_Application[[#This Row],[MARKET No]],'Site Allocation'!$B$2:$C$37,2,FALSE)</f>
        <v>Analyst1</v>
      </c>
      <c r="I3195" s="4">
        <f t="shared" ca="1" si="49"/>
        <v>45203</v>
      </c>
      <c r="J3195" s="42">
        <f ca="1">TODAY()-qry_ProdData2_PDI_Cash_Exception_Application[[#This Row],[INSERT DATE]]</f>
        <v>8.7429282407392748</v>
      </c>
      <c r="K31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95">
        <f ca="1">qry_ProdData2_PDI_Cash_Exception_Application[[#This Row],[TODAY]]-qry_ProdData2_PDI_Cash_Exception_Application[[#This Row],[CHANGED ON]]</f>
        <v>1.7429282407392748</v>
      </c>
      <c r="M3195">
        <f ca="1">qry_ProdData2_PDI_Cash_Exception_Application[[#This Row],[TODAY]]-qry_ProdData2_PDI_Cash_Exception_Application[[#This Row],[CHANGED ON]]</f>
        <v>1.7429282407392748</v>
      </c>
      <c r="N3195">
        <f ca="1">qry_ProdData2_PDI_Cash_Exception_Application[[#This Row],[TODAY]]-qry_ProdData2_PDI_Cash_Exception_Application[[#This Row],[CHANGED ON]]</f>
        <v>1.7429282407392748</v>
      </c>
    </row>
    <row r="3196" spans="1:14" x14ac:dyDescent="0.35">
      <c r="A3196">
        <v>1031</v>
      </c>
      <c r="B3196" t="s">
        <v>85</v>
      </c>
      <c r="C3196" s="1">
        <v>45197.257071759261</v>
      </c>
      <c r="D3196" t="str">
        <f ca="1">VLOOKUP(qry_ProdData2_PDI_Cash_Exception_Application[[#This Row],[TYPE]],#REF!,2,FALSE)</f>
        <v>type7</v>
      </c>
      <c r="E3196">
        <v>-1185.55</v>
      </c>
      <c r="F3196" t="s">
        <v>48</v>
      </c>
      <c r="G3196" s="1">
        <f>qry_ProdData2_PDI_Cash_Exception_Application[[#This Row],[INSERT DATE]]+7</f>
        <v>45204.257071759261</v>
      </c>
      <c r="H3196" t="str">
        <f>VLOOKUP(qry_ProdData2_PDI_Cash_Exception_Application[[#This Row],[MARKET No]],'Site Allocation'!$B$2:$C$37,2,FALSE)</f>
        <v>Analyst6</v>
      </c>
      <c r="I3196" s="4">
        <f t="shared" ca="1" si="49"/>
        <v>45203</v>
      </c>
      <c r="J3196" s="42">
        <f ca="1">TODAY()-qry_ProdData2_PDI_Cash_Exception_Application[[#This Row],[INSERT DATE]]</f>
        <v>5.7429282407392748</v>
      </c>
      <c r="K31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196">
        <f ca="1">qry_ProdData2_PDI_Cash_Exception_Application[[#This Row],[TODAY]]-qry_ProdData2_PDI_Cash_Exception_Application[[#This Row],[CHANGED ON]]</f>
        <v>-1.2570717592607252</v>
      </c>
      <c r="M3196">
        <f ca="1">qry_ProdData2_PDI_Cash_Exception_Application[[#This Row],[TODAY]]-qry_ProdData2_PDI_Cash_Exception_Application[[#This Row],[CHANGED ON]]</f>
        <v>-1.2570717592607252</v>
      </c>
      <c r="N3196">
        <f ca="1">qry_ProdData2_PDI_Cash_Exception_Application[[#This Row],[TODAY]]-qry_ProdData2_PDI_Cash_Exception_Application[[#This Row],[CHANGED ON]]</f>
        <v>-1.2570717592607252</v>
      </c>
    </row>
    <row r="3197" spans="1:14" x14ac:dyDescent="0.35">
      <c r="A3197">
        <v>1003</v>
      </c>
      <c r="B3197" t="s">
        <v>57</v>
      </c>
      <c r="C3197" s="1">
        <v>45187.257071759261</v>
      </c>
      <c r="D3197" t="str">
        <f ca="1">VLOOKUP(qry_ProdData2_PDI_Cash_Exception_Application[[#This Row],[TYPE]],#REF!,2,FALSE)</f>
        <v>type40</v>
      </c>
      <c r="E3197">
        <v>10</v>
      </c>
      <c r="F3197" t="s">
        <v>50</v>
      </c>
      <c r="G3197" s="1">
        <f>qry_ProdData2_PDI_Cash_Exception_Application[[#This Row],[INSERT DATE]]+1</f>
        <v>45188.257071759261</v>
      </c>
      <c r="H3197" t="str">
        <f>VLOOKUP(qry_ProdData2_PDI_Cash_Exception_Application[[#This Row],[MARKET No]],'Site Allocation'!$B$2:$C$37,2,FALSE)</f>
        <v>Analyst1</v>
      </c>
      <c r="I3197" s="4">
        <f t="shared" ca="1" si="49"/>
        <v>45203</v>
      </c>
      <c r="J3197" s="42">
        <f ca="1">TODAY()-qry_ProdData2_PDI_Cash_Exception_Application[[#This Row],[INSERT DATE]]</f>
        <v>15.742928240739275</v>
      </c>
      <c r="K31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197">
        <f ca="1">qry_ProdData2_PDI_Cash_Exception_Application[[#This Row],[TODAY]]-qry_ProdData2_PDI_Cash_Exception_Application[[#This Row],[CHANGED ON]]</f>
        <v>14.742928240739275</v>
      </c>
      <c r="M3197">
        <f ca="1">qry_ProdData2_PDI_Cash_Exception_Application[[#This Row],[TODAY]]-qry_ProdData2_PDI_Cash_Exception_Application[[#This Row],[CHANGED ON]]</f>
        <v>14.742928240739275</v>
      </c>
      <c r="N3197">
        <f ca="1">qry_ProdData2_PDI_Cash_Exception_Application[[#This Row],[TODAY]]-qry_ProdData2_PDI_Cash_Exception_Application[[#This Row],[CHANGED ON]]</f>
        <v>14.742928240739275</v>
      </c>
    </row>
    <row r="3198" spans="1:14" x14ac:dyDescent="0.35">
      <c r="A3198">
        <v>1027</v>
      </c>
      <c r="B3198" t="s">
        <v>81</v>
      </c>
      <c r="C3198" s="1">
        <v>45195.257071759261</v>
      </c>
      <c r="D3198" t="str">
        <f ca="1">VLOOKUP(qry_ProdData2_PDI_Cash_Exception_Application[[#This Row],[TYPE]],#REF!,2,FALSE)</f>
        <v>type40</v>
      </c>
      <c r="E3198">
        <v>-8786.3700000000008</v>
      </c>
      <c r="F3198" t="s">
        <v>49</v>
      </c>
      <c r="G3198" s="1">
        <f>qry_ProdData2_PDI_Cash_Exception_Application[[#This Row],[INSERT DATE]]+7</f>
        <v>45202.257071759261</v>
      </c>
      <c r="H3198" t="str">
        <f>VLOOKUP(qry_ProdData2_PDI_Cash_Exception_Application[[#This Row],[MARKET No]],'Site Allocation'!$B$2:$C$37,2,FALSE)</f>
        <v>Analyst5</v>
      </c>
      <c r="I3198" s="4">
        <f t="shared" ca="1" si="49"/>
        <v>45203</v>
      </c>
      <c r="J3198" s="42">
        <f ca="1">TODAY()-qry_ProdData2_PDI_Cash_Exception_Application[[#This Row],[INSERT DATE]]</f>
        <v>7.7429282407392748</v>
      </c>
      <c r="K31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98">
        <f ca="1">qry_ProdData2_PDI_Cash_Exception_Application[[#This Row],[TODAY]]-qry_ProdData2_PDI_Cash_Exception_Application[[#This Row],[CHANGED ON]]</f>
        <v>0.74292824073927477</v>
      </c>
      <c r="M3198">
        <f ca="1">qry_ProdData2_PDI_Cash_Exception_Application[[#This Row],[TODAY]]-qry_ProdData2_PDI_Cash_Exception_Application[[#This Row],[CHANGED ON]]</f>
        <v>0.74292824073927477</v>
      </c>
      <c r="N3198">
        <f ca="1">qry_ProdData2_PDI_Cash_Exception_Application[[#This Row],[TODAY]]-qry_ProdData2_PDI_Cash_Exception_Application[[#This Row],[CHANGED ON]]</f>
        <v>0.74292824073927477</v>
      </c>
    </row>
    <row r="3199" spans="1:14" x14ac:dyDescent="0.35">
      <c r="A3199">
        <v>1030</v>
      </c>
      <c r="B3199" t="s">
        <v>84</v>
      </c>
      <c r="C3199" s="1">
        <v>45194.257071759261</v>
      </c>
      <c r="D3199" t="str">
        <f ca="1">VLOOKUP(qry_ProdData2_PDI_Cash_Exception_Application[[#This Row],[TYPE]],#REF!,2,FALSE)</f>
        <v>type40</v>
      </c>
      <c r="E3199">
        <v>-312.47000000000003</v>
      </c>
      <c r="F3199" t="s">
        <v>49</v>
      </c>
      <c r="G3199" s="1">
        <f>qry_ProdData2_PDI_Cash_Exception_Application[[#This Row],[INSERT DATE]]+1</f>
        <v>45195.257071759261</v>
      </c>
      <c r="H3199" t="str">
        <f>VLOOKUP(qry_ProdData2_PDI_Cash_Exception_Application[[#This Row],[MARKET No]],'Site Allocation'!$B$2:$C$37,2,FALSE)</f>
        <v>Analyst6</v>
      </c>
      <c r="I3199" s="4">
        <f t="shared" ca="1" si="49"/>
        <v>45203</v>
      </c>
      <c r="J3199" s="42">
        <f ca="1">TODAY()-qry_ProdData2_PDI_Cash_Exception_Application[[#This Row],[INSERT DATE]]</f>
        <v>8.7429282407392748</v>
      </c>
      <c r="K31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199">
        <f ca="1">qry_ProdData2_PDI_Cash_Exception_Application[[#This Row],[TODAY]]-qry_ProdData2_PDI_Cash_Exception_Application[[#This Row],[CHANGED ON]]</f>
        <v>7.7429282407392748</v>
      </c>
      <c r="M3199">
        <f ca="1">qry_ProdData2_PDI_Cash_Exception_Application[[#This Row],[TODAY]]-qry_ProdData2_PDI_Cash_Exception_Application[[#This Row],[CHANGED ON]]</f>
        <v>7.7429282407392748</v>
      </c>
      <c r="N3199">
        <f ca="1">qry_ProdData2_PDI_Cash_Exception_Application[[#This Row],[TODAY]]-qry_ProdData2_PDI_Cash_Exception_Application[[#This Row],[CHANGED ON]]</f>
        <v>7.7429282407392748</v>
      </c>
    </row>
    <row r="3200" spans="1:14" x14ac:dyDescent="0.35">
      <c r="A3200">
        <v>1021</v>
      </c>
      <c r="B3200" t="s">
        <v>75</v>
      </c>
      <c r="C3200" s="1">
        <v>45196.257071759261</v>
      </c>
      <c r="D3200" t="str">
        <f ca="1">VLOOKUP(qry_ProdData2_PDI_Cash_Exception_Application[[#This Row],[TYPE]],#REF!,2,FALSE)</f>
        <v>type40</v>
      </c>
      <c r="E3200">
        <v>-1570.26</v>
      </c>
      <c r="F3200" t="s">
        <v>48</v>
      </c>
      <c r="G3200" s="1">
        <f>qry_ProdData2_PDI_Cash_Exception_Application[[#This Row],[INSERT DATE]]+1</f>
        <v>45197.257071759261</v>
      </c>
      <c r="H3200" t="str">
        <f>VLOOKUP(qry_ProdData2_PDI_Cash_Exception_Application[[#This Row],[MARKET No]],'Site Allocation'!$B$2:$C$37,2,FALSE)</f>
        <v>Analyst4</v>
      </c>
      <c r="I3200" s="4">
        <f t="shared" ca="1" si="49"/>
        <v>45203</v>
      </c>
      <c r="J3200" s="42">
        <f ca="1">TODAY()-qry_ProdData2_PDI_Cash_Exception_Application[[#This Row],[INSERT DATE]]</f>
        <v>6.7429282407392748</v>
      </c>
      <c r="K32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00">
        <f ca="1">qry_ProdData2_PDI_Cash_Exception_Application[[#This Row],[TODAY]]-qry_ProdData2_PDI_Cash_Exception_Application[[#This Row],[CHANGED ON]]</f>
        <v>5.7429282407392748</v>
      </c>
      <c r="M3200">
        <f ca="1">qry_ProdData2_PDI_Cash_Exception_Application[[#This Row],[TODAY]]-qry_ProdData2_PDI_Cash_Exception_Application[[#This Row],[CHANGED ON]]</f>
        <v>5.7429282407392748</v>
      </c>
      <c r="N3200">
        <f ca="1">qry_ProdData2_PDI_Cash_Exception_Application[[#This Row],[TODAY]]-qry_ProdData2_PDI_Cash_Exception_Application[[#This Row],[CHANGED ON]]</f>
        <v>5.7429282407392748</v>
      </c>
    </row>
    <row r="3201" spans="1:14" x14ac:dyDescent="0.35">
      <c r="A3201">
        <v>1024</v>
      </c>
      <c r="B3201" t="s">
        <v>78</v>
      </c>
      <c r="C3201" s="1">
        <v>45195.257071759261</v>
      </c>
      <c r="D3201" t="str">
        <f ca="1">VLOOKUP(qry_ProdData2_PDI_Cash_Exception_Application[[#This Row],[TYPE]],#REF!,2,FALSE)</f>
        <v>type42</v>
      </c>
      <c r="E3201">
        <v>451.75</v>
      </c>
      <c r="F3201" t="str">
        <f>qry_ProdData2_PDI_Cash_Exception_Application[[#This Row],[ANALYST]]</f>
        <v>Analyst5</v>
      </c>
      <c r="G3201" s="1">
        <f>qry_ProdData2_PDI_Cash_Exception_Application[[#This Row],[INSERT DATE]]+7</f>
        <v>45202.257071759261</v>
      </c>
      <c r="H3201" t="str">
        <f>VLOOKUP(qry_ProdData2_PDI_Cash_Exception_Application[[#This Row],[MARKET No]],'Site Allocation'!$B$2:$C$37,2,FALSE)</f>
        <v>Analyst5</v>
      </c>
      <c r="I3201" s="4">
        <f t="shared" ca="1" si="49"/>
        <v>45203</v>
      </c>
      <c r="J3201" s="42">
        <f ca="1">TODAY()-qry_ProdData2_PDI_Cash_Exception_Application[[#This Row],[INSERT DATE]]</f>
        <v>7.7429282407392748</v>
      </c>
      <c r="K32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01">
        <f ca="1">qry_ProdData2_PDI_Cash_Exception_Application[[#This Row],[TODAY]]-qry_ProdData2_PDI_Cash_Exception_Application[[#This Row],[CHANGED ON]]</f>
        <v>0.74292824073927477</v>
      </c>
      <c r="M3201">
        <f ca="1">qry_ProdData2_PDI_Cash_Exception_Application[[#This Row],[TODAY]]-qry_ProdData2_PDI_Cash_Exception_Application[[#This Row],[CHANGED ON]]</f>
        <v>0.74292824073927477</v>
      </c>
      <c r="N3201">
        <f ca="1">qry_ProdData2_PDI_Cash_Exception_Application[[#This Row],[TODAY]]-qry_ProdData2_PDI_Cash_Exception_Application[[#This Row],[CHANGED ON]]</f>
        <v>0.74292824073927477</v>
      </c>
    </row>
    <row r="3202" spans="1:14" x14ac:dyDescent="0.35">
      <c r="A3202">
        <v>1015</v>
      </c>
      <c r="B3202" t="s">
        <v>69</v>
      </c>
      <c r="C3202" s="1">
        <v>45195.257071759261</v>
      </c>
      <c r="D3202" t="str">
        <f ca="1">VLOOKUP(qry_ProdData2_PDI_Cash_Exception_Application[[#This Row],[TYPE]],#REF!,2,FALSE)</f>
        <v>type13</v>
      </c>
      <c r="E3202">
        <v>13233.04</v>
      </c>
      <c r="F3202" t="s">
        <v>47</v>
      </c>
      <c r="G3202" s="1">
        <f>qry_ProdData2_PDI_Cash_Exception_Application[[#This Row],[INSERT DATE]]+2</f>
        <v>45197.257071759261</v>
      </c>
      <c r="H3202" t="str">
        <f>VLOOKUP(qry_ProdData2_PDI_Cash_Exception_Application[[#This Row],[MARKET No]],'Site Allocation'!$B$2:$C$37,2,FALSE)</f>
        <v>Analyst3</v>
      </c>
      <c r="I3202" s="4">
        <f t="shared" ref="I3202:I3265" ca="1" si="50">TODAY()</f>
        <v>45203</v>
      </c>
      <c r="J3202" s="42">
        <f ca="1">TODAY()-qry_ProdData2_PDI_Cash_Exception_Application[[#This Row],[INSERT DATE]]</f>
        <v>7.7429282407392748</v>
      </c>
      <c r="K32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02">
        <f ca="1">qry_ProdData2_PDI_Cash_Exception_Application[[#This Row],[TODAY]]-qry_ProdData2_PDI_Cash_Exception_Application[[#This Row],[CHANGED ON]]</f>
        <v>5.7429282407392748</v>
      </c>
      <c r="M3202">
        <f ca="1">qry_ProdData2_PDI_Cash_Exception_Application[[#This Row],[TODAY]]-qry_ProdData2_PDI_Cash_Exception_Application[[#This Row],[CHANGED ON]]</f>
        <v>5.7429282407392748</v>
      </c>
      <c r="N3202">
        <f ca="1">qry_ProdData2_PDI_Cash_Exception_Application[[#This Row],[TODAY]]-qry_ProdData2_PDI_Cash_Exception_Application[[#This Row],[CHANGED ON]]</f>
        <v>5.7429282407392748</v>
      </c>
    </row>
    <row r="3203" spans="1:14" x14ac:dyDescent="0.35">
      <c r="A3203">
        <v>1009</v>
      </c>
      <c r="B3203" t="s">
        <v>63</v>
      </c>
      <c r="C3203" s="1">
        <v>45195.257071759261</v>
      </c>
      <c r="D3203" t="str">
        <f ca="1">VLOOKUP(qry_ProdData2_PDI_Cash_Exception_Application[[#This Row],[TYPE]],#REF!,2,FALSE)</f>
        <v>type40</v>
      </c>
      <c r="E3203">
        <v>526.4</v>
      </c>
      <c r="F3203" t="s">
        <v>49</v>
      </c>
      <c r="G3203" s="1">
        <f>qry_ProdData2_PDI_Cash_Exception_Application[[#This Row],[INSERT DATE]]+1</f>
        <v>45196.257071759261</v>
      </c>
      <c r="H3203" t="str">
        <f>VLOOKUP(qry_ProdData2_PDI_Cash_Exception_Application[[#This Row],[MARKET No]],'Site Allocation'!$B$2:$C$37,2,FALSE)</f>
        <v>Analyst2</v>
      </c>
      <c r="I3203" s="4">
        <f t="shared" ca="1" si="50"/>
        <v>45203</v>
      </c>
      <c r="J3203" s="42">
        <f ca="1">TODAY()-qry_ProdData2_PDI_Cash_Exception_Application[[#This Row],[INSERT DATE]]</f>
        <v>7.7429282407392748</v>
      </c>
      <c r="K32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03">
        <f ca="1">qry_ProdData2_PDI_Cash_Exception_Application[[#This Row],[TODAY]]-qry_ProdData2_PDI_Cash_Exception_Application[[#This Row],[CHANGED ON]]</f>
        <v>6.7429282407392748</v>
      </c>
      <c r="M3203">
        <f ca="1">qry_ProdData2_PDI_Cash_Exception_Application[[#This Row],[TODAY]]-qry_ProdData2_PDI_Cash_Exception_Application[[#This Row],[CHANGED ON]]</f>
        <v>6.7429282407392748</v>
      </c>
      <c r="N3203">
        <f ca="1">qry_ProdData2_PDI_Cash_Exception_Application[[#This Row],[TODAY]]-qry_ProdData2_PDI_Cash_Exception_Application[[#This Row],[CHANGED ON]]</f>
        <v>6.7429282407392748</v>
      </c>
    </row>
    <row r="3204" spans="1:14" x14ac:dyDescent="0.35">
      <c r="A3204">
        <v>1022</v>
      </c>
      <c r="B3204" t="s">
        <v>76</v>
      </c>
      <c r="C3204" s="1">
        <v>45197.257071759261</v>
      </c>
      <c r="D3204" t="str">
        <f ca="1">VLOOKUP(qry_ProdData2_PDI_Cash_Exception_Application[[#This Row],[TYPE]],#REF!,2,FALSE)</f>
        <v>type42</v>
      </c>
      <c r="E3204">
        <v>215</v>
      </c>
      <c r="F3204" t="s">
        <v>48</v>
      </c>
      <c r="G3204" s="1">
        <f>qry_ProdData2_PDI_Cash_Exception_Application[[#This Row],[INSERT DATE]]+5</f>
        <v>45202.257071759261</v>
      </c>
      <c r="H3204" t="str">
        <f>VLOOKUP(qry_ProdData2_PDI_Cash_Exception_Application[[#This Row],[MARKET No]],'Site Allocation'!$B$2:$C$37,2,FALSE)</f>
        <v>Analyst4</v>
      </c>
      <c r="I3204" s="4">
        <f t="shared" ca="1" si="50"/>
        <v>45203</v>
      </c>
      <c r="J3204" s="42">
        <f ca="1">TODAY()-qry_ProdData2_PDI_Cash_Exception_Application[[#This Row],[INSERT DATE]]</f>
        <v>5.7429282407392748</v>
      </c>
      <c r="K32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04">
        <f ca="1">qry_ProdData2_PDI_Cash_Exception_Application[[#This Row],[TODAY]]-qry_ProdData2_PDI_Cash_Exception_Application[[#This Row],[CHANGED ON]]</f>
        <v>0.74292824073927477</v>
      </c>
      <c r="M3204">
        <f ca="1">qry_ProdData2_PDI_Cash_Exception_Application[[#This Row],[TODAY]]-qry_ProdData2_PDI_Cash_Exception_Application[[#This Row],[CHANGED ON]]</f>
        <v>0.74292824073927477</v>
      </c>
      <c r="N3204">
        <f ca="1">qry_ProdData2_PDI_Cash_Exception_Application[[#This Row],[TODAY]]-qry_ProdData2_PDI_Cash_Exception_Application[[#This Row],[CHANGED ON]]</f>
        <v>0.74292824073927477</v>
      </c>
    </row>
    <row r="3205" spans="1:14" x14ac:dyDescent="0.35">
      <c r="A3205">
        <v>1013</v>
      </c>
      <c r="B3205" t="s">
        <v>67</v>
      </c>
      <c r="C3205" s="1">
        <v>45194.257071759261</v>
      </c>
      <c r="D3205" t="str">
        <f ca="1">VLOOKUP(qry_ProdData2_PDI_Cash_Exception_Application[[#This Row],[TYPE]],#REF!,2,FALSE)</f>
        <v>type40</v>
      </c>
      <c r="E3205">
        <v>303.43</v>
      </c>
      <c r="F3205" t="s">
        <v>47</v>
      </c>
      <c r="G3205" s="1">
        <f>qry_ProdData2_PDI_Cash_Exception_Application[[#This Row],[INSERT DATE]]+2</f>
        <v>45196.257071759261</v>
      </c>
      <c r="H3205" t="str">
        <f>VLOOKUP(qry_ProdData2_PDI_Cash_Exception_Application[[#This Row],[MARKET No]],'Site Allocation'!$B$2:$C$37,2,FALSE)</f>
        <v>Analyst3</v>
      </c>
      <c r="I3205" s="4">
        <f t="shared" ca="1" si="50"/>
        <v>45203</v>
      </c>
      <c r="J3205" s="42">
        <f ca="1">TODAY()-qry_ProdData2_PDI_Cash_Exception_Application[[#This Row],[INSERT DATE]]</f>
        <v>8.7429282407392748</v>
      </c>
      <c r="K32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05">
        <f ca="1">qry_ProdData2_PDI_Cash_Exception_Application[[#This Row],[TODAY]]-qry_ProdData2_PDI_Cash_Exception_Application[[#This Row],[CHANGED ON]]</f>
        <v>6.7429282407392748</v>
      </c>
      <c r="M3205">
        <f ca="1">qry_ProdData2_PDI_Cash_Exception_Application[[#This Row],[TODAY]]-qry_ProdData2_PDI_Cash_Exception_Application[[#This Row],[CHANGED ON]]</f>
        <v>6.7429282407392748</v>
      </c>
      <c r="N3205">
        <f ca="1">qry_ProdData2_PDI_Cash_Exception_Application[[#This Row],[TODAY]]-qry_ProdData2_PDI_Cash_Exception_Application[[#This Row],[CHANGED ON]]</f>
        <v>6.7429282407392748</v>
      </c>
    </row>
    <row r="3206" spans="1:14" x14ac:dyDescent="0.35">
      <c r="A3206">
        <v>1033</v>
      </c>
      <c r="B3206" t="s">
        <v>87</v>
      </c>
      <c r="C3206" s="1">
        <v>45193.257071759261</v>
      </c>
      <c r="D3206" t="str">
        <f ca="1">VLOOKUP(qry_ProdData2_PDI_Cash_Exception_Application[[#This Row],[TYPE]],#REF!,2,FALSE)</f>
        <v>type13</v>
      </c>
      <c r="E3206">
        <v>26109.59</v>
      </c>
      <c r="F3206" t="s">
        <v>47</v>
      </c>
      <c r="G3206" s="1">
        <f>qry_ProdData2_PDI_Cash_Exception_Application[[#This Row],[INSERT DATE]]+2</f>
        <v>45195.257071759261</v>
      </c>
      <c r="H3206" t="str">
        <f>VLOOKUP(qry_ProdData2_PDI_Cash_Exception_Application[[#This Row],[MARKET No]],'Site Allocation'!$B$2:$C$37,2,FALSE)</f>
        <v>Analyst6</v>
      </c>
      <c r="I3206" s="4">
        <f t="shared" ca="1" si="50"/>
        <v>45203</v>
      </c>
      <c r="J3206" s="42">
        <f ca="1">TODAY()-qry_ProdData2_PDI_Cash_Exception_Application[[#This Row],[INSERT DATE]]</f>
        <v>9.7429282407392748</v>
      </c>
      <c r="K32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06">
        <f ca="1">qry_ProdData2_PDI_Cash_Exception_Application[[#This Row],[TODAY]]-qry_ProdData2_PDI_Cash_Exception_Application[[#This Row],[CHANGED ON]]</f>
        <v>7.7429282407392748</v>
      </c>
      <c r="M3206">
        <f ca="1">qry_ProdData2_PDI_Cash_Exception_Application[[#This Row],[TODAY]]-qry_ProdData2_PDI_Cash_Exception_Application[[#This Row],[CHANGED ON]]</f>
        <v>7.7429282407392748</v>
      </c>
      <c r="N3206">
        <f ca="1">qry_ProdData2_PDI_Cash_Exception_Application[[#This Row],[TODAY]]-qry_ProdData2_PDI_Cash_Exception_Application[[#This Row],[CHANGED ON]]</f>
        <v>7.7429282407392748</v>
      </c>
    </row>
    <row r="3207" spans="1:14" x14ac:dyDescent="0.35">
      <c r="A3207">
        <v>1019</v>
      </c>
      <c r="B3207" t="s">
        <v>73</v>
      </c>
      <c r="C3207" s="1">
        <v>45195.257071759261</v>
      </c>
      <c r="D3207" t="str">
        <f ca="1">VLOOKUP(qry_ProdData2_PDI_Cash_Exception_Application[[#This Row],[TYPE]],#REF!,2,FALSE)</f>
        <v>type13</v>
      </c>
      <c r="E3207">
        <v>20687.71</v>
      </c>
      <c r="F3207" t="s">
        <v>50</v>
      </c>
      <c r="G3207" s="1">
        <f>qry_ProdData2_PDI_Cash_Exception_Application[[#This Row],[INSERT DATE]]+1</f>
        <v>45196.257071759261</v>
      </c>
      <c r="H3207" t="str">
        <f>VLOOKUP(qry_ProdData2_PDI_Cash_Exception_Application[[#This Row],[MARKET No]],'Site Allocation'!$B$2:$C$37,2,FALSE)</f>
        <v>Analyst4</v>
      </c>
      <c r="I3207" s="4">
        <f t="shared" ca="1" si="50"/>
        <v>45203</v>
      </c>
      <c r="J3207" s="42">
        <f ca="1">TODAY()-qry_ProdData2_PDI_Cash_Exception_Application[[#This Row],[INSERT DATE]]</f>
        <v>7.7429282407392748</v>
      </c>
      <c r="K32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07">
        <f ca="1">qry_ProdData2_PDI_Cash_Exception_Application[[#This Row],[TODAY]]-qry_ProdData2_PDI_Cash_Exception_Application[[#This Row],[CHANGED ON]]</f>
        <v>6.7429282407392748</v>
      </c>
      <c r="M3207">
        <f ca="1">qry_ProdData2_PDI_Cash_Exception_Application[[#This Row],[TODAY]]-qry_ProdData2_PDI_Cash_Exception_Application[[#This Row],[CHANGED ON]]</f>
        <v>6.7429282407392748</v>
      </c>
      <c r="N3207">
        <f ca="1">qry_ProdData2_PDI_Cash_Exception_Application[[#This Row],[TODAY]]-qry_ProdData2_PDI_Cash_Exception_Application[[#This Row],[CHANGED ON]]</f>
        <v>6.7429282407392748</v>
      </c>
    </row>
    <row r="3208" spans="1:14" x14ac:dyDescent="0.35">
      <c r="A3208">
        <v>1002</v>
      </c>
      <c r="B3208" t="s">
        <v>56</v>
      </c>
      <c r="C3208" s="1">
        <v>45194.257071759261</v>
      </c>
      <c r="D3208" t="str">
        <f ca="1">VLOOKUP(qry_ProdData2_PDI_Cash_Exception_Application[[#This Row],[TYPE]],#REF!,2,FALSE)</f>
        <v>type40</v>
      </c>
      <c r="E3208">
        <v>10.36</v>
      </c>
      <c r="F3208" t="s">
        <v>51</v>
      </c>
      <c r="G3208" s="1">
        <f>qry_ProdData2_PDI_Cash_Exception_Application[[#This Row],[INSERT DATE]]+2</f>
        <v>45196.257071759261</v>
      </c>
      <c r="H3208" t="str">
        <f>VLOOKUP(qry_ProdData2_PDI_Cash_Exception_Application[[#This Row],[MARKET No]],'Site Allocation'!$B$2:$C$37,2,FALSE)</f>
        <v>Analyst1</v>
      </c>
      <c r="I3208" s="4">
        <f t="shared" ca="1" si="50"/>
        <v>45203</v>
      </c>
      <c r="J3208" s="42">
        <f ca="1">TODAY()-qry_ProdData2_PDI_Cash_Exception_Application[[#This Row],[INSERT DATE]]</f>
        <v>8.7429282407392748</v>
      </c>
      <c r="K32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08">
        <f ca="1">qry_ProdData2_PDI_Cash_Exception_Application[[#This Row],[TODAY]]-qry_ProdData2_PDI_Cash_Exception_Application[[#This Row],[CHANGED ON]]</f>
        <v>6.7429282407392748</v>
      </c>
      <c r="M3208">
        <f ca="1">qry_ProdData2_PDI_Cash_Exception_Application[[#This Row],[TODAY]]-qry_ProdData2_PDI_Cash_Exception_Application[[#This Row],[CHANGED ON]]</f>
        <v>6.7429282407392748</v>
      </c>
      <c r="N3208">
        <f ca="1">qry_ProdData2_PDI_Cash_Exception_Application[[#This Row],[TODAY]]-qry_ProdData2_PDI_Cash_Exception_Application[[#This Row],[CHANGED ON]]</f>
        <v>6.7429282407392748</v>
      </c>
    </row>
    <row r="3209" spans="1:14" x14ac:dyDescent="0.35">
      <c r="A3209">
        <v>1019</v>
      </c>
      <c r="B3209" t="s">
        <v>73</v>
      </c>
      <c r="C3209" s="1">
        <v>45197.257071759261</v>
      </c>
      <c r="D3209" t="str">
        <f ca="1">VLOOKUP(qry_ProdData2_PDI_Cash_Exception_Application[[#This Row],[TYPE]],#REF!,2,FALSE)</f>
        <v>type40</v>
      </c>
      <c r="E3209">
        <v>-6093.66</v>
      </c>
      <c r="F3209" t="s">
        <v>50</v>
      </c>
      <c r="G3209" s="1">
        <f>qry_ProdData2_PDI_Cash_Exception_Application[[#This Row],[INSERT DATE]]+1</f>
        <v>45198.257071759261</v>
      </c>
      <c r="H3209" t="str">
        <f>VLOOKUP(qry_ProdData2_PDI_Cash_Exception_Application[[#This Row],[MARKET No]],'Site Allocation'!$B$2:$C$37,2,FALSE)</f>
        <v>Analyst4</v>
      </c>
      <c r="I3209" s="4">
        <f t="shared" ca="1" si="50"/>
        <v>45203</v>
      </c>
      <c r="J3209" s="42">
        <f ca="1">TODAY()-qry_ProdData2_PDI_Cash_Exception_Application[[#This Row],[INSERT DATE]]</f>
        <v>5.7429282407392748</v>
      </c>
      <c r="K32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09">
        <f ca="1">qry_ProdData2_PDI_Cash_Exception_Application[[#This Row],[TODAY]]-qry_ProdData2_PDI_Cash_Exception_Application[[#This Row],[CHANGED ON]]</f>
        <v>4.7429282407392748</v>
      </c>
      <c r="M3209">
        <f ca="1">qry_ProdData2_PDI_Cash_Exception_Application[[#This Row],[TODAY]]-qry_ProdData2_PDI_Cash_Exception_Application[[#This Row],[CHANGED ON]]</f>
        <v>4.7429282407392748</v>
      </c>
      <c r="N3209">
        <f ca="1">qry_ProdData2_PDI_Cash_Exception_Application[[#This Row],[TODAY]]-qry_ProdData2_PDI_Cash_Exception_Application[[#This Row],[CHANGED ON]]</f>
        <v>4.7429282407392748</v>
      </c>
    </row>
    <row r="3210" spans="1:14" x14ac:dyDescent="0.35">
      <c r="A3210">
        <v>1025</v>
      </c>
      <c r="B3210" t="s">
        <v>79</v>
      </c>
      <c r="C3210" s="1">
        <v>45193.257071759261</v>
      </c>
      <c r="D3210" t="str">
        <f ca="1">VLOOKUP(qry_ProdData2_PDI_Cash_Exception_Application[[#This Row],[TYPE]],#REF!,2,FALSE)</f>
        <v>type40</v>
      </c>
      <c r="E3210">
        <v>45.83</v>
      </c>
      <c r="F3210" t="s">
        <v>51</v>
      </c>
      <c r="G3210" s="1">
        <f>qry_ProdData2_PDI_Cash_Exception_Application[[#This Row],[INSERT DATE]]+7</f>
        <v>45200.257071759261</v>
      </c>
      <c r="H3210" t="str">
        <f>VLOOKUP(qry_ProdData2_PDI_Cash_Exception_Application[[#This Row],[MARKET No]],'Site Allocation'!$B$2:$C$37,2,FALSE)</f>
        <v>Analyst5</v>
      </c>
      <c r="I3210" s="4">
        <f t="shared" ca="1" si="50"/>
        <v>45203</v>
      </c>
      <c r="J3210" s="42">
        <f ca="1">TODAY()-qry_ProdData2_PDI_Cash_Exception_Application[[#This Row],[INSERT DATE]]</f>
        <v>9.7429282407392748</v>
      </c>
      <c r="K32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10">
        <f ca="1">qry_ProdData2_PDI_Cash_Exception_Application[[#This Row],[TODAY]]-qry_ProdData2_PDI_Cash_Exception_Application[[#This Row],[CHANGED ON]]</f>
        <v>2.7429282407392748</v>
      </c>
      <c r="M3210">
        <f ca="1">qry_ProdData2_PDI_Cash_Exception_Application[[#This Row],[TODAY]]-qry_ProdData2_PDI_Cash_Exception_Application[[#This Row],[CHANGED ON]]</f>
        <v>2.7429282407392748</v>
      </c>
      <c r="N3210">
        <f ca="1">qry_ProdData2_PDI_Cash_Exception_Application[[#This Row],[TODAY]]-qry_ProdData2_PDI_Cash_Exception_Application[[#This Row],[CHANGED ON]]</f>
        <v>2.7429282407392748</v>
      </c>
    </row>
    <row r="3211" spans="1:14" x14ac:dyDescent="0.35">
      <c r="A3211">
        <v>1008</v>
      </c>
      <c r="B3211" t="s">
        <v>62</v>
      </c>
      <c r="C3211" s="1">
        <v>45196.257071759261</v>
      </c>
      <c r="D3211" t="str">
        <f ca="1">VLOOKUP(qry_ProdData2_PDI_Cash_Exception_Application[[#This Row],[TYPE]],#REF!,2,FALSE)</f>
        <v>type38</v>
      </c>
      <c r="E3211">
        <v>216.98</v>
      </c>
      <c r="F3211" t="s">
        <v>48</v>
      </c>
      <c r="G3211" s="1">
        <f>qry_ProdData2_PDI_Cash_Exception_Application[[#This Row],[INSERT DATE]]+5</f>
        <v>45201.257071759261</v>
      </c>
      <c r="H3211" t="str">
        <f>VLOOKUP(qry_ProdData2_PDI_Cash_Exception_Application[[#This Row],[MARKET No]],'Site Allocation'!$B$2:$C$37,2,FALSE)</f>
        <v>Analyst2</v>
      </c>
      <c r="I3211" s="4">
        <f t="shared" ca="1" si="50"/>
        <v>45203</v>
      </c>
      <c r="J3211" s="42">
        <f ca="1">TODAY()-qry_ProdData2_PDI_Cash_Exception_Application[[#This Row],[INSERT DATE]]</f>
        <v>6.7429282407392748</v>
      </c>
      <c r="K32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11">
        <f ca="1">qry_ProdData2_PDI_Cash_Exception_Application[[#This Row],[TODAY]]-qry_ProdData2_PDI_Cash_Exception_Application[[#This Row],[CHANGED ON]]</f>
        <v>1.7429282407392748</v>
      </c>
      <c r="M3211">
        <f ca="1">qry_ProdData2_PDI_Cash_Exception_Application[[#This Row],[TODAY]]-qry_ProdData2_PDI_Cash_Exception_Application[[#This Row],[CHANGED ON]]</f>
        <v>1.7429282407392748</v>
      </c>
      <c r="N3211">
        <f ca="1">qry_ProdData2_PDI_Cash_Exception_Application[[#This Row],[TODAY]]-qry_ProdData2_PDI_Cash_Exception_Application[[#This Row],[CHANGED ON]]</f>
        <v>1.7429282407392748</v>
      </c>
    </row>
    <row r="3212" spans="1:14" x14ac:dyDescent="0.35">
      <c r="A3212">
        <v>1012</v>
      </c>
      <c r="B3212" t="s">
        <v>66</v>
      </c>
      <c r="C3212" s="1">
        <v>45195.257071759261</v>
      </c>
      <c r="D3212" t="str">
        <f ca="1">VLOOKUP(qry_ProdData2_PDI_Cash_Exception_Application[[#This Row],[TYPE]],#REF!,2,FALSE)</f>
        <v>type40</v>
      </c>
      <c r="E3212">
        <v>433.87</v>
      </c>
      <c r="F3212" t="s">
        <v>47</v>
      </c>
      <c r="G3212" s="1">
        <f>qry_ProdData2_PDI_Cash_Exception_Application[[#This Row],[INSERT DATE]]+1</f>
        <v>45196.257071759261</v>
      </c>
      <c r="H3212" t="str">
        <f>VLOOKUP(qry_ProdData2_PDI_Cash_Exception_Application[[#This Row],[MARKET No]],'Site Allocation'!$B$2:$C$37,2,FALSE)</f>
        <v>Analyst3</v>
      </c>
      <c r="I3212" s="4">
        <f t="shared" ca="1" si="50"/>
        <v>45203</v>
      </c>
      <c r="J3212" s="42">
        <f ca="1">TODAY()-qry_ProdData2_PDI_Cash_Exception_Application[[#This Row],[INSERT DATE]]</f>
        <v>7.7429282407392748</v>
      </c>
      <c r="K32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12">
        <f ca="1">qry_ProdData2_PDI_Cash_Exception_Application[[#This Row],[TODAY]]-qry_ProdData2_PDI_Cash_Exception_Application[[#This Row],[CHANGED ON]]</f>
        <v>6.7429282407392748</v>
      </c>
      <c r="M3212">
        <f ca="1">qry_ProdData2_PDI_Cash_Exception_Application[[#This Row],[TODAY]]-qry_ProdData2_PDI_Cash_Exception_Application[[#This Row],[CHANGED ON]]</f>
        <v>6.7429282407392748</v>
      </c>
      <c r="N3212">
        <f ca="1">qry_ProdData2_PDI_Cash_Exception_Application[[#This Row],[TODAY]]-qry_ProdData2_PDI_Cash_Exception_Application[[#This Row],[CHANGED ON]]</f>
        <v>6.7429282407392748</v>
      </c>
    </row>
    <row r="3213" spans="1:14" x14ac:dyDescent="0.35">
      <c r="A3213">
        <v>1002</v>
      </c>
      <c r="B3213" t="s">
        <v>56</v>
      </c>
      <c r="C3213" s="1">
        <v>45196.257071759261</v>
      </c>
      <c r="D3213" t="str">
        <f ca="1">VLOOKUP(qry_ProdData2_PDI_Cash_Exception_Application[[#This Row],[TYPE]],#REF!,2,FALSE)</f>
        <v>type40</v>
      </c>
      <c r="E3213">
        <v>20</v>
      </c>
      <c r="F3213" t="s">
        <v>48</v>
      </c>
      <c r="G3213" s="1">
        <f>qry_ProdData2_PDI_Cash_Exception_Application[[#This Row],[INSERT DATE]]+1</f>
        <v>45197.257071759261</v>
      </c>
      <c r="H3213" t="str">
        <f>VLOOKUP(qry_ProdData2_PDI_Cash_Exception_Application[[#This Row],[MARKET No]],'Site Allocation'!$B$2:$C$37,2,FALSE)</f>
        <v>Analyst1</v>
      </c>
      <c r="I3213" s="4">
        <f t="shared" ca="1" si="50"/>
        <v>45203</v>
      </c>
      <c r="J3213" s="42">
        <f ca="1">TODAY()-qry_ProdData2_PDI_Cash_Exception_Application[[#This Row],[INSERT DATE]]</f>
        <v>6.7429282407392748</v>
      </c>
      <c r="K32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13">
        <f ca="1">qry_ProdData2_PDI_Cash_Exception_Application[[#This Row],[TODAY]]-qry_ProdData2_PDI_Cash_Exception_Application[[#This Row],[CHANGED ON]]</f>
        <v>5.7429282407392748</v>
      </c>
      <c r="M3213">
        <f ca="1">qry_ProdData2_PDI_Cash_Exception_Application[[#This Row],[TODAY]]-qry_ProdData2_PDI_Cash_Exception_Application[[#This Row],[CHANGED ON]]</f>
        <v>5.7429282407392748</v>
      </c>
      <c r="N3213">
        <f ca="1">qry_ProdData2_PDI_Cash_Exception_Application[[#This Row],[TODAY]]-qry_ProdData2_PDI_Cash_Exception_Application[[#This Row],[CHANGED ON]]</f>
        <v>5.7429282407392748</v>
      </c>
    </row>
    <row r="3214" spans="1:14" x14ac:dyDescent="0.35">
      <c r="A3214">
        <v>1025</v>
      </c>
      <c r="B3214" t="s">
        <v>79</v>
      </c>
      <c r="C3214" s="1">
        <v>45188.257071759261</v>
      </c>
      <c r="D3214" t="str">
        <f ca="1">VLOOKUP(qry_ProdData2_PDI_Cash_Exception_Application[[#This Row],[TYPE]],#REF!,2,FALSE)</f>
        <v>type40</v>
      </c>
      <c r="E3214">
        <v>430.52</v>
      </c>
      <c r="F3214" t="s">
        <v>52</v>
      </c>
      <c r="G3214" s="1">
        <f>qry_ProdData2_PDI_Cash_Exception_Application[[#This Row],[INSERT DATE]]+1</f>
        <v>45189.257071759261</v>
      </c>
      <c r="H3214" t="str">
        <f>VLOOKUP(qry_ProdData2_PDI_Cash_Exception_Application[[#This Row],[MARKET No]],'Site Allocation'!$B$2:$C$37,2,FALSE)</f>
        <v>Analyst5</v>
      </c>
      <c r="I3214" s="4">
        <f t="shared" ca="1" si="50"/>
        <v>45203</v>
      </c>
      <c r="J3214" s="42">
        <f ca="1">TODAY()-qry_ProdData2_PDI_Cash_Exception_Application[[#This Row],[INSERT DATE]]</f>
        <v>14.742928240739275</v>
      </c>
      <c r="K32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14">
        <f ca="1">qry_ProdData2_PDI_Cash_Exception_Application[[#This Row],[TODAY]]-qry_ProdData2_PDI_Cash_Exception_Application[[#This Row],[CHANGED ON]]</f>
        <v>13.742928240739275</v>
      </c>
      <c r="M3214">
        <f ca="1">qry_ProdData2_PDI_Cash_Exception_Application[[#This Row],[TODAY]]-qry_ProdData2_PDI_Cash_Exception_Application[[#This Row],[CHANGED ON]]</f>
        <v>13.742928240739275</v>
      </c>
      <c r="N3214">
        <f ca="1">qry_ProdData2_PDI_Cash_Exception_Application[[#This Row],[TODAY]]-qry_ProdData2_PDI_Cash_Exception_Application[[#This Row],[CHANGED ON]]</f>
        <v>13.742928240739275</v>
      </c>
    </row>
    <row r="3215" spans="1:14" x14ac:dyDescent="0.35">
      <c r="A3215">
        <v>1014</v>
      </c>
      <c r="B3215" t="s">
        <v>68</v>
      </c>
      <c r="C3215" s="1">
        <v>45193.257071759261</v>
      </c>
      <c r="D3215" t="str">
        <f ca="1">VLOOKUP(qry_ProdData2_PDI_Cash_Exception_Application[[#This Row],[TYPE]],#REF!,2,FALSE)</f>
        <v>type40</v>
      </c>
      <c r="E3215">
        <v>-1074.6300000000001</v>
      </c>
      <c r="F3215" t="s">
        <v>47</v>
      </c>
      <c r="G3215" s="1">
        <f>qry_ProdData2_PDI_Cash_Exception_Application[[#This Row],[INSERT DATE]]+1</f>
        <v>45194.257071759261</v>
      </c>
      <c r="H3215" t="str">
        <f>VLOOKUP(qry_ProdData2_PDI_Cash_Exception_Application[[#This Row],[MARKET No]],'Site Allocation'!$B$2:$C$37,2,FALSE)</f>
        <v>Analyst3</v>
      </c>
      <c r="I3215" s="4">
        <f t="shared" ca="1" si="50"/>
        <v>45203</v>
      </c>
      <c r="J3215" s="42">
        <f ca="1">TODAY()-qry_ProdData2_PDI_Cash_Exception_Application[[#This Row],[INSERT DATE]]</f>
        <v>9.7429282407392748</v>
      </c>
      <c r="K32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15">
        <f ca="1">qry_ProdData2_PDI_Cash_Exception_Application[[#This Row],[TODAY]]-qry_ProdData2_PDI_Cash_Exception_Application[[#This Row],[CHANGED ON]]</f>
        <v>8.7429282407392748</v>
      </c>
      <c r="M3215">
        <f ca="1">qry_ProdData2_PDI_Cash_Exception_Application[[#This Row],[TODAY]]-qry_ProdData2_PDI_Cash_Exception_Application[[#This Row],[CHANGED ON]]</f>
        <v>8.7429282407392748</v>
      </c>
      <c r="N3215">
        <f ca="1">qry_ProdData2_PDI_Cash_Exception_Application[[#This Row],[TODAY]]-qry_ProdData2_PDI_Cash_Exception_Application[[#This Row],[CHANGED ON]]</f>
        <v>8.7429282407392748</v>
      </c>
    </row>
    <row r="3216" spans="1:14" x14ac:dyDescent="0.35">
      <c r="A3216">
        <v>1020</v>
      </c>
      <c r="B3216" t="s">
        <v>74</v>
      </c>
      <c r="C3216" s="1">
        <v>45189.257071759261</v>
      </c>
      <c r="D3216" t="str">
        <f ca="1">VLOOKUP(qry_ProdData2_PDI_Cash_Exception_Application[[#This Row],[TYPE]],#REF!,2,FALSE)</f>
        <v>type26</v>
      </c>
      <c r="E3216">
        <v>175.05</v>
      </c>
      <c r="F3216" t="s">
        <v>50</v>
      </c>
      <c r="G3216" s="1">
        <f>qry_ProdData2_PDI_Cash_Exception_Application[[#This Row],[INSERT DATE]]+2</f>
        <v>45191.257071759261</v>
      </c>
      <c r="H3216" t="str">
        <f>VLOOKUP(qry_ProdData2_PDI_Cash_Exception_Application[[#This Row],[MARKET No]],'Site Allocation'!$B$2:$C$37,2,FALSE)</f>
        <v>Analyst4</v>
      </c>
      <c r="I3216" s="4">
        <f t="shared" ca="1" si="50"/>
        <v>45203</v>
      </c>
      <c r="J3216" s="42">
        <f ca="1">TODAY()-qry_ProdData2_PDI_Cash_Exception_Application[[#This Row],[INSERT DATE]]</f>
        <v>13.742928240739275</v>
      </c>
      <c r="K32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16">
        <f ca="1">qry_ProdData2_PDI_Cash_Exception_Application[[#This Row],[TODAY]]-qry_ProdData2_PDI_Cash_Exception_Application[[#This Row],[CHANGED ON]]</f>
        <v>11.742928240739275</v>
      </c>
      <c r="M3216">
        <f ca="1">qry_ProdData2_PDI_Cash_Exception_Application[[#This Row],[TODAY]]-qry_ProdData2_PDI_Cash_Exception_Application[[#This Row],[CHANGED ON]]</f>
        <v>11.742928240739275</v>
      </c>
      <c r="N3216">
        <f ca="1">qry_ProdData2_PDI_Cash_Exception_Application[[#This Row],[TODAY]]-qry_ProdData2_PDI_Cash_Exception_Application[[#This Row],[CHANGED ON]]</f>
        <v>11.742928240739275</v>
      </c>
    </row>
    <row r="3217" spans="1:14" x14ac:dyDescent="0.35">
      <c r="A3217">
        <v>1000</v>
      </c>
      <c r="B3217" t="s">
        <v>54</v>
      </c>
      <c r="C3217" s="1">
        <v>45197.257071759261</v>
      </c>
      <c r="D3217" t="str">
        <f ca="1">VLOOKUP(qry_ProdData2_PDI_Cash_Exception_Application[[#This Row],[TYPE]],#REF!,2,FALSE)</f>
        <v>type40</v>
      </c>
      <c r="E3217">
        <v>5176.88</v>
      </c>
      <c r="F3217" t="s">
        <v>48</v>
      </c>
      <c r="G3217" s="1">
        <f>qry_ProdData2_PDI_Cash_Exception_Application[[#This Row],[INSERT DATE]]+2</f>
        <v>45199.257071759261</v>
      </c>
      <c r="H3217" t="str">
        <f>VLOOKUP(qry_ProdData2_PDI_Cash_Exception_Application[[#This Row],[MARKET No]],'Site Allocation'!$B$2:$C$37,2,FALSE)</f>
        <v>Analyst1</v>
      </c>
      <c r="I3217" s="4">
        <f t="shared" ca="1" si="50"/>
        <v>45203</v>
      </c>
      <c r="J3217" s="42">
        <f ca="1">TODAY()-qry_ProdData2_PDI_Cash_Exception_Application[[#This Row],[INSERT DATE]]</f>
        <v>5.7429282407392748</v>
      </c>
      <c r="K32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17">
        <f ca="1">qry_ProdData2_PDI_Cash_Exception_Application[[#This Row],[TODAY]]-qry_ProdData2_PDI_Cash_Exception_Application[[#This Row],[CHANGED ON]]</f>
        <v>3.7429282407392748</v>
      </c>
      <c r="M3217">
        <f ca="1">qry_ProdData2_PDI_Cash_Exception_Application[[#This Row],[TODAY]]-qry_ProdData2_PDI_Cash_Exception_Application[[#This Row],[CHANGED ON]]</f>
        <v>3.7429282407392748</v>
      </c>
      <c r="N3217">
        <f ca="1">qry_ProdData2_PDI_Cash_Exception_Application[[#This Row],[TODAY]]-qry_ProdData2_PDI_Cash_Exception_Application[[#This Row],[CHANGED ON]]</f>
        <v>3.7429282407392748</v>
      </c>
    </row>
    <row r="3218" spans="1:14" x14ac:dyDescent="0.35">
      <c r="A3218">
        <v>1025</v>
      </c>
      <c r="B3218" t="s">
        <v>79</v>
      </c>
      <c r="C3218" s="1">
        <v>45194.257071759261</v>
      </c>
      <c r="D3218" t="str">
        <f ca="1">VLOOKUP(qry_ProdData2_PDI_Cash_Exception_Application[[#This Row],[TYPE]],#REF!,2,FALSE)</f>
        <v>type40</v>
      </c>
      <c r="E3218">
        <v>25.11</v>
      </c>
      <c r="F3218" t="s">
        <v>51</v>
      </c>
      <c r="G3218" s="1">
        <f>qry_ProdData2_PDI_Cash_Exception_Application[[#This Row],[INSERT DATE]]+7</f>
        <v>45201.257071759261</v>
      </c>
      <c r="H3218" t="str">
        <f>VLOOKUP(qry_ProdData2_PDI_Cash_Exception_Application[[#This Row],[MARKET No]],'Site Allocation'!$B$2:$C$37,2,FALSE)</f>
        <v>Analyst5</v>
      </c>
      <c r="I3218" s="4">
        <f t="shared" ca="1" si="50"/>
        <v>45203</v>
      </c>
      <c r="J3218" s="42">
        <f ca="1">TODAY()-qry_ProdData2_PDI_Cash_Exception_Application[[#This Row],[INSERT DATE]]</f>
        <v>8.7429282407392748</v>
      </c>
      <c r="K32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18">
        <f ca="1">qry_ProdData2_PDI_Cash_Exception_Application[[#This Row],[TODAY]]-qry_ProdData2_PDI_Cash_Exception_Application[[#This Row],[CHANGED ON]]</f>
        <v>1.7429282407392748</v>
      </c>
      <c r="M3218">
        <f ca="1">qry_ProdData2_PDI_Cash_Exception_Application[[#This Row],[TODAY]]-qry_ProdData2_PDI_Cash_Exception_Application[[#This Row],[CHANGED ON]]</f>
        <v>1.7429282407392748</v>
      </c>
      <c r="N3218">
        <f ca="1">qry_ProdData2_PDI_Cash_Exception_Application[[#This Row],[TODAY]]-qry_ProdData2_PDI_Cash_Exception_Application[[#This Row],[CHANGED ON]]</f>
        <v>1.7429282407392748</v>
      </c>
    </row>
    <row r="3219" spans="1:14" x14ac:dyDescent="0.35">
      <c r="A3219">
        <v>1024</v>
      </c>
      <c r="B3219" t="s">
        <v>78</v>
      </c>
      <c r="C3219" s="1">
        <v>45191.257071759261</v>
      </c>
      <c r="D3219" t="str">
        <f ca="1">VLOOKUP(qry_ProdData2_PDI_Cash_Exception_Application[[#This Row],[TYPE]],#REF!,2,FALSE)</f>
        <v>type10</v>
      </c>
      <c r="E3219">
        <v>40</v>
      </c>
      <c r="F3219" t="s">
        <v>50</v>
      </c>
      <c r="G3219" s="1">
        <f>qry_ProdData2_PDI_Cash_Exception_Application[[#This Row],[INSERT DATE]]+2</f>
        <v>45193.257071759261</v>
      </c>
      <c r="H3219" t="str">
        <f>VLOOKUP(qry_ProdData2_PDI_Cash_Exception_Application[[#This Row],[MARKET No]],'Site Allocation'!$B$2:$C$37,2,FALSE)</f>
        <v>Analyst5</v>
      </c>
      <c r="I3219" s="4">
        <f t="shared" ca="1" si="50"/>
        <v>45203</v>
      </c>
      <c r="J3219" s="42">
        <f ca="1">TODAY()-qry_ProdData2_PDI_Cash_Exception_Application[[#This Row],[INSERT DATE]]</f>
        <v>11.742928240739275</v>
      </c>
      <c r="K32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19">
        <f ca="1">qry_ProdData2_PDI_Cash_Exception_Application[[#This Row],[TODAY]]-qry_ProdData2_PDI_Cash_Exception_Application[[#This Row],[CHANGED ON]]</f>
        <v>9.7429282407392748</v>
      </c>
      <c r="M3219">
        <f ca="1">qry_ProdData2_PDI_Cash_Exception_Application[[#This Row],[TODAY]]-qry_ProdData2_PDI_Cash_Exception_Application[[#This Row],[CHANGED ON]]</f>
        <v>9.7429282407392748</v>
      </c>
      <c r="N3219">
        <f ca="1">qry_ProdData2_PDI_Cash_Exception_Application[[#This Row],[TODAY]]-qry_ProdData2_PDI_Cash_Exception_Application[[#This Row],[CHANGED ON]]</f>
        <v>9.7429282407392748</v>
      </c>
    </row>
    <row r="3220" spans="1:14" x14ac:dyDescent="0.35">
      <c r="A3220">
        <v>1030</v>
      </c>
      <c r="B3220" t="s">
        <v>84</v>
      </c>
      <c r="C3220" s="1">
        <v>45192.257071759261</v>
      </c>
      <c r="D3220" t="str">
        <f ca="1">VLOOKUP(qry_ProdData2_PDI_Cash_Exception_Application[[#This Row],[TYPE]],#REF!,2,FALSE)</f>
        <v>type40</v>
      </c>
      <c r="E3220">
        <v>-379.35</v>
      </c>
      <c r="F3220" t="s">
        <v>50</v>
      </c>
      <c r="G3220" s="1">
        <f>qry_ProdData2_PDI_Cash_Exception_Application[[#This Row],[INSERT DATE]]+2</f>
        <v>45194.257071759261</v>
      </c>
      <c r="H3220" t="str">
        <f>VLOOKUP(qry_ProdData2_PDI_Cash_Exception_Application[[#This Row],[MARKET No]],'Site Allocation'!$B$2:$C$37,2,FALSE)</f>
        <v>Analyst6</v>
      </c>
      <c r="I3220" s="4">
        <f t="shared" ca="1" si="50"/>
        <v>45203</v>
      </c>
      <c r="J3220" s="42">
        <f ca="1">TODAY()-qry_ProdData2_PDI_Cash_Exception_Application[[#This Row],[INSERT DATE]]</f>
        <v>10.742928240739275</v>
      </c>
      <c r="K32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20">
        <f ca="1">qry_ProdData2_PDI_Cash_Exception_Application[[#This Row],[TODAY]]-qry_ProdData2_PDI_Cash_Exception_Application[[#This Row],[CHANGED ON]]</f>
        <v>8.7429282407392748</v>
      </c>
      <c r="M3220">
        <f ca="1">qry_ProdData2_PDI_Cash_Exception_Application[[#This Row],[TODAY]]-qry_ProdData2_PDI_Cash_Exception_Application[[#This Row],[CHANGED ON]]</f>
        <v>8.7429282407392748</v>
      </c>
      <c r="N3220">
        <f ca="1">qry_ProdData2_PDI_Cash_Exception_Application[[#This Row],[TODAY]]-qry_ProdData2_PDI_Cash_Exception_Application[[#This Row],[CHANGED ON]]</f>
        <v>8.7429282407392748</v>
      </c>
    </row>
    <row r="3221" spans="1:14" x14ac:dyDescent="0.35">
      <c r="A3221">
        <v>1004</v>
      </c>
      <c r="B3221" t="s">
        <v>58</v>
      </c>
      <c r="C3221" s="1">
        <v>45195.257071759261</v>
      </c>
      <c r="D3221" t="str">
        <f ca="1">VLOOKUP(qry_ProdData2_PDI_Cash_Exception_Application[[#This Row],[TYPE]],#REF!,2,FALSE)</f>
        <v>type8</v>
      </c>
      <c r="E3221">
        <v>83.74</v>
      </c>
      <c r="F3221" t="s">
        <v>51</v>
      </c>
      <c r="G3221" s="1">
        <f>qry_ProdData2_PDI_Cash_Exception_Application[[#This Row],[INSERT DATE]]+7</f>
        <v>45202.257071759261</v>
      </c>
      <c r="H3221" t="str">
        <f>VLOOKUP(qry_ProdData2_PDI_Cash_Exception_Application[[#This Row],[MARKET No]],'Site Allocation'!$B$2:$C$37,2,FALSE)</f>
        <v>Analyst1</v>
      </c>
      <c r="I3221" s="4">
        <f t="shared" ca="1" si="50"/>
        <v>45203</v>
      </c>
      <c r="J3221" s="42">
        <f ca="1">TODAY()-qry_ProdData2_PDI_Cash_Exception_Application[[#This Row],[INSERT DATE]]</f>
        <v>7.7429282407392748</v>
      </c>
      <c r="K32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21">
        <f ca="1">qry_ProdData2_PDI_Cash_Exception_Application[[#This Row],[TODAY]]-qry_ProdData2_PDI_Cash_Exception_Application[[#This Row],[CHANGED ON]]</f>
        <v>0.74292824073927477</v>
      </c>
      <c r="M3221">
        <f ca="1">qry_ProdData2_PDI_Cash_Exception_Application[[#This Row],[TODAY]]-qry_ProdData2_PDI_Cash_Exception_Application[[#This Row],[CHANGED ON]]</f>
        <v>0.74292824073927477</v>
      </c>
      <c r="N3221">
        <f ca="1">qry_ProdData2_PDI_Cash_Exception_Application[[#This Row],[TODAY]]-qry_ProdData2_PDI_Cash_Exception_Application[[#This Row],[CHANGED ON]]</f>
        <v>0.74292824073927477</v>
      </c>
    </row>
    <row r="3222" spans="1:14" x14ac:dyDescent="0.35">
      <c r="A3222">
        <v>1015</v>
      </c>
      <c r="B3222" t="s">
        <v>69</v>
      </c>
      <c r="C3222" s="1">
        <v>45196.257071759261</v>
      </c>
      <c r="D3222" t="str">
        <f ca="1">VLOOKUP(qry_ProdData2_PDI_Cash_Exception_Application[[#This Row],[TYPE]],#REF!,2,FALSE)</f>
        <v>type40</v>
      </c>
      <c r="E3222">
        <v>3514.7</v>
      </c>
      <c r="F3222" t="s">
        <v>48</v>
      </c>
      <c r="G3222" s="1">
        <f>qry_ProdData2_PDI_Cash_Exception_Application[[#This Row],[INSERT DATE]]+7</f>
        <v>45203.257071759261</v>
      </c>
      <c r="H3222" t="str">
        <f>VLOOKUP(qry_ProdData2_PDI_Cash_Exception_Application[[#This Row],[MARKET No]],'Site Allocation'!$B$2:$C$37,2,FALSE)</f>
        <v>Analyst3</v>
      </c>
      <c r="I3222" s="4">
        <f t="shared" ca="1" si="50"/>
        <v>45203</v>
      </c>
      <c r="J3222" s="42">
        <f ca="1">TODAY()-qry_ProdData2_PDI_Cash_Exception_Application[[#This Row],[INSERT DATE]]</f>
        <v>6.7429282407392748</v>
      </c>
      <c r="K32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22">
        <f ca="1">qry_ProdData2_PDI_Cash_Exception_Application[[#This Row],[TODAY]]-qry_ProdData2_PDI_Cash_Exception_Application[[#This Row],[CHANGED ON]]</f>
        <v>-0.25707175926072523</v>
      </c>
      <c r="M3222">
        <f ca="1">qry_ProdData2_PDI_Cash_Exception_Application[[#This Row],[TODAY]]-qry_ProdData2_PDI_Cash_Exception_Application[[#This Row],[CHANGED ON]]</f>
        <v>-0.25707175926072523</v>
      </c>
      <c r="N3222">
        <f ca="1">qry_ProdData2_PDI_Cash_Exception_Application[[#This Row],[TODAY]]-qry_ProdData2_PDI_Cash_Exception_Application[[#This Row],[CHANGED ON]]</f>
        <v>-0.25707175926072523</v>
      </c>
    </row>
    <row r="3223" spans="1:14" x14ac:dyDescent="0.35">
      <c r="A3223">
        <v>1010</v>
      </c>
      <c r="B3223" t="s">
        <v>64</v>
      </c>
      <c r="C3223" s="1">
        <v>45194.257071759261</v>
      </c>
      <c r="D3223" t="str">
        <f ca="1">VLOOKUP(qry_ProdData2_PDI_Cash_Exception_Application[[#This Row],[TYPE]],#REF!,2,FALSE)</f>
        <v>type7</v>
      </c>
      <c r="E3223">
        <v>-13334.24</v>
      </c>
      <c r="F3223" t="s">
        <v>51</v>
      </c>
      <c r="G3223" s="1">
        <f>qry_ProdData2_PDI_Cash_Exception_Application[[#This Row],[INSERT DATE]]+1</f>
        <v>45195.257071759261</v>
      </c>
      <c r="H3223" t="str">
        <f>VLOOKUP(qry_ProdData2_PDI_Cash_Exception_Application[[#This Row],[MARKET No]],'Site Allocation'!$B$2:$C$37,2,FALSE)</f>
        <v>Analyst2</v>
      </c>
      <c r="I3223" s="4">
        <f t="shared" ca="1" si="50"/>
        <v>45203</v>
      </c>
      <c r="J3223" s="42">
        <f ca="1">TODAY()-qry_ProdData2_PDI_Cash_Exception_Application[[#This Row],[INSERT DATE]]</f>
        <v>8.7429282407392748</v>
      </c>
      <c r="K32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23">
        <f ca="1">qry_ProdData2_PDI_Cash_Exception_Application[[#This Row],[TODAY]]-qry_ProdData2_PDI_Cash_Exception_Application[[#This Row],[CHANGED ON]]</f>
        <v>7.7429282407392748</v>
      </c>
      <c r="M3223">
        <f ca="1">qry_ProdData2_PDI_Cash_Exception_Application[[#This Row],[TODAY]]-qry_ProdData2_PDI_Cash_Exception_Application[[#This Row],[CHANGED ON]]</f>
        <v>7.7429282407392748</v>
      </c>
      <c r="N3223">
        <f ca="1">qry_ProdData2_PDI_Cash_Exception_Application[[#This Row],[TODAY]]-qry_ProdData2_PDI_Cash_Exception_Application[[#This Row],[CHANGED ON]]</f>
        <v>7.7429282407392748</v>
      </c>
    </row>
    <row r="3224" spans="1:14" x14ac:dyDescent="0.35">
      <c r="A3224">
        <v>1008</v>
      </c>
      <c r="B3224" t="s">
        <v>62</v>
      </c>
      <c r="C3224" s="1">
        <v>45196.257071759261</v>
      </c>
      <c r="D3224" t="str">
        <f ca="1">VLOOKUP(qry_ProdData2_PDI_Cash_Exception_Application[[#This Row],[TYPE]],#REF!,2,FALSE)</f>
        <v>type40</v>
      </c>
      <c r="E3224">
        <v>3.99</v>
      </c>
      <c r="F3224" t="s">
        <v>50</v>
      </c>
      <c r="G3224" s="1">
        <f>qry_ProdData2_PDI_Cash_Exception_Application[[#This Row],[INSERT DATE]]+2</f>
        <v>45198.257071759261</v>
      </c>
      <c r="H3224" t="str">
        <f>VLOOKUP(qry_ProdData2_PDI_Cash_Exception_Application[[#This Row],[MARKET No]],'Site Allocation'!$B$2:$C$37,2,FALSE)</f>
        <v>Analyst2</v>
      </c>
      <c r="I3224" s="4">
        <f t="shared" ca="1" si="50"/>
        <v>45203</v>
      </c>
      <c r="J3224" s="42">
        <f ca="1">TODAY()-qry_ProdData2_PDI_Cash_Exception_Application[[#This Row],[INSERT DATE]]</f>
        <v>6.7429282407392748</v>
      </c>
      <c r="K32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24">
        <f ca="1">qry_ProdData2_PDI_Cash_Exception_Application[[#This Row],[TODAY]]-qry_ProdData2_PDI_Cash_Exception_Application[[#This Row],[CHANGED ON]]</f>
        <v>4.7429282407392748</v>
      </c>
      <c r="M3224">
        <f ca="1">qry_ProdData2_PDI_Cash_Exception_Application[[#This Row],[TODAY]]-qry_ProdData2_PDI_Cash_Exception_Application[[#This Row],[CHANGED ON]]</f>
        <v>4.7429282407392748</v>
      </c>
      <c r="N3224">
        <f ca="1">qry_ProdData2_PDI_Cash_Exception_Application[[#This Row],[TODAY]]-qry_ProdData2_PDI_Cash_Exception_Application[[#This Row],[CHANGED ON]]</f>
        <v>4.7429282407392748</v>
      </c>
    </row>
    <row r="3225" spans="1:14" x14ac:dyDescent="0.35">
      <c r="A3225">
        <v>1002</v>
      </c>
      <c r="B3225" t="s">
        <v>56</v>
      </c>
      <c r="C3225" s="1">
        <v>45195.257071759261</v>
      </c>
      <c r="D3225" t="str">
        <f ca="1">VLOOKUP(qry_ProdData2_PDI_Cash_Exception_Application[[#This Row],[TYPE]],#REF!,2,FALSE)</f>
        <v>type40</v>
      </c>
      <c r="E3225">
        <v>-918.24</v>
      </c>
      <c r="F3225" t="s">
        <v>49</v>
      </c>
      <c r="G3225" s="1">
        <f>qry_ProdData2_PDI_Cash_Exception_Application[[#This Row],[INSERT DATE]]+5</f>
        <v>45200.257071759261</v>
      </c>
      <c r="H3225" t="str">
        <f>VLOOKUP(qry_ProdData2_PDI_Cash_Exception_Application[[#This Row],[MARKET No]],'Site Allocation'!$B$2:$C$37,2,FALSE)</f>
        <v>Analyst1</v>
      </c>
      <c r="I3225" s="4">
        <f t="shared" ca="1" si="50"/>
        <v>45203</v>
      </c>
      <c r="J3225" s="42">
        <f ca="1">TODAY()-qry_ProdData2_PDI_Cash_Exception_Application[[#This Row],[INSERT DATE]]</f>
        <v>7.7429282407392748</v>
      </c>
      <c r="K32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25">
        <f ca="1">qry_ProdData2_PDI_Cash_Exception_Application[[#This Row],[TODAY]]-qry_ProdData2_PDI_Cash_Exception_Application[[#This Row],[CHANGED ON]]</f>
        <v>2.7429282407392748</v>
      </c>
      <c r="M3225">
        <f ca="1">qry_ProdData2_PDI_Cash_Exception_Application[[#This Row],[TODAY]]-qry_ProdData2_PDI_Cash_Exception_Application[[#This Row],[CHANGED ON]]</f>
        <v>2.7429282407392748</v>
      </c>
      <c r="N3225">
        <f ca="1">qry_ProdData2_PDI_Cash_Exception_Application[[#This Row],[TODAY]]-qry_ProdData2_PDI_Cash_Exception_Application[[#This Row],[CHANGED ON]]</f>
        <v>2.7429282407392748</v>
      </c>
    </row>
    <row r="3226" spans="1:14" x14ac:dyDescent="0.35">
      <c r="A3226">
        <v>1019</v>
      </c>
      <c r="B3226" t="s">
        <v>73</v>
      </c>
      <c r="C3226" s="1">
        <v>45179.257071759261</v>
      </c>
      <c r="D3226" t="str">
        <f ca="1">VLOOKUP(qry_ProdData2_PDI_Cash_Exception_Application[[#This Row],[TYPE]],#REF!,2,FALSE)</f>
        <v>type40</v>
      </c>
      <c r="E3226">
        <v>624.9</v>
      </c>
      <c r="F3226" t="s">
        <v>52</v>
      </c>
      <c r="G3226" s="1">
        <f>qry_ProdData2_PDI_Cash_Exception_Application[[#This Row],[INSERT DATE]]+2</f>
        <v>45181.257071759261</v>
      </c>
      <c r="H3226" t="str">
        <f>VLOOKUP(qry_ProdData2_PDI_Cash_Exception_Application[[#This Row],[MARKET No]],'Site Allocation'!$B$2:$C$37,2,FALSE)</f>
        <v>Analyst4</v>
      </c>
      <c r="I3226" s="4">
        <f t="shared" ca="1" si="50"/>
        <v>45203</v>
      </c>
      <c r="J3226" s="42">
        <f ca="1">TODAY()-qry_ProdData2_PDI_Cash_Exception_Application[[#This Row],[INSERT DATE]]</f>
        <v>23.742928240739275</v>
      </c>
      <c r="K32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26">
        <f ca="1">qry_ProdData2_PDI_Cash_Exception_Application[[#This Row],[TODAY]]-qry_ProdData2_PDI_Cash_Exception_Application[[#This Row],[CHANGED ON]]</f>
        <v>21.742928240739275</v>
      </c>
      <c r="M3226">
        <f ca="1">qry_ProdData2_PDI_Cash_Exception_Application[[#This Row],[TODAY]]-qry_ProdData2_PDI_Cash_Exception_Application[[#This Row],[CHANGED ON]]</f>
        <v>21.742928240739275</v>
      </c>
      <c r="N3226">
        <f ca="1">qry_ProdData2_PDI_Cash_Exception_Application[[#This Row],[TODAY]]-qry_ProdData2_PDI_Cash_Exception_Application[[#This Row],[CHANGED ON]]</f>
        <v>21.742928240739275</v>
      </c>
    </row>
    <row r="3227" spans="1:14" x14ac:dyDescent="0.35">
      <c r="A3227">
        <v>1006</v>
      </c>
      <c r="B3227" t="s">
        <v>60</v>
      </c>
      <c r="C3227" s="1">
        <v>45196.257071759261</v>
      </c>
      <c r="D3227" t="str">
        <f ca="1">VLOOKUP(qry_ProdData2_PDI_Cash_Exception_Application[[#This Row],[TYPE]],#REF!,2,FALSE)</f>
        <v>type40</v>
      </c>
      <c r="E3227">
        <v>-477.61</v>
      </c>
      <c r="F3227" t="s">
        <v>48</v>
      </c>
      <c r="G3227" s="1">
        <f>qry_ProdData2_PDI_Cash_Exception_Application[[#This Row],[INSERT DATE]]+2</f>
        <v>45198.257071759261</v>
      </c>
      <c r="H3227" t="str">
        <f>VLOOKUP(qry_ProdData2_PDI_Cash_Exception_Application[[#This Row],[MARKET No]],'Site Allocation'!$B$2:$C$37,2,FALSE)</f>
        <v>Analyst2</v>
      </c>
      <c r="I3227" s="4">
        <f t="shared" ca="1" si="50"/>
        <v>45203</v>
      </c>
      <c r="J3227" s="42">
        <f ca="1">TODAY()-qry_ProdData2_PDI_Cash_Exception_Application[[#This Row],[INSERT DATE]]</f>
        <v>6.7429282407392748</v>
      </c>
      <c r="K32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27">
        <f ca="1">qry_ProdData2_PDI_Cash_Exception_Application[[#This Row],[TODAY]]-qry_ProdData2_PDI_Cash_Exception_Application[[#This Row],[CHANGED ON]]</f>
        <v>4.7429282407392748</v>
      </c>
      <c r="M3227">
        <f ca="1">qry_ProdData2_PDI_Cash_Exception_Application[[#This Row],[TODAY]]-qry_ProdData2_PDI_Cash_Exception_Application[[#This Row],[CHANGED ON]]</f>
        <v>4.7429282407392748</v>
      </c>
      <c r="N3227">
        <f ca="1">qry_ProdData2_PDI_Cash_Exception_Application[[#This Row],[TODAY]]-qry_ProdData2_PDI_Cash_Exception_Application[[#This Row],[CHANGED ON]]</f>
        <v>4.7429282407392748</v>
      </c>
    </row>
    <row r="3228" spans="1:14" x14ac:dyDescent="0.35">
      <c r="A3228">
        <v>1015</v>
      </c>
      <c r="B3228" t="s">
        <v>69</v>
      </c>
      <c r="C3228" s="1">
        <v>45181.257071759261</v>
      </c>
      <c r="D3228" t="str">
        <f ca="1">VLOOKUP(qry_ProdData2_PDI_Cash_Exception_Application[[#This Row],[TYPE]],#REF!,2,FALSE)</f>
        <v>type40</v>
      </c>
      <c r="E3228">
        <v>1731.12</v>
      </c>
      <c r="F3228" t="s">
        <v>52</v>
      </c>
      <c r="G3228" s="1">
        <f>qry_ProdData2_PDI_Cash_Exception_Application[[#This Row],[INSERT DATE]]+2</f>
        <v>45183.257071759261</v>
      </c>
      <c r="H3228" t="str">
        <f>VLOOKUP(qry_ProdData2_PDI_Cash_Exception_Application[[#This Row],[MARKET No]],'Site Allocation'!$B$2:$C$37,2,FALSE)</f>
        <v>Analyst3</v>
      </c>
      <c r="I3228" s="4">
        <f t="shared" ca="1" si="50"/>
        <v>45203</v>
      </c>
      <c r="J3228" s="42">
        <f ca="1">TODAY()-qry_ProdData2_PDI_Cash_Exception_Application[[#This Row],[INSERT DATE]]</f>
        <v>21.742928240739275</v>
      </c>
      <c r="K32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28">
        <f ca="1">qry_ProdData2_PDI_Cash_Exception_Application[[#This Row],[TODAY]]-qry_ProdData2_PDI_Cash_Exception_Application[[#This Row],[CHANGED ON]]</f>
        <v>19.742928240739275</v>
      </c>
      <c r="M3228">
        <f ca="1">qry_ProdData2_PDI_Cash_Exception_Application[[#This Row],[TODAY]]-qry_ProdData2_PDI_Cash_Exception_Application[[#This Row],[CHANGED ON]]</f>
        <v>19.742928240739275</v>
      </c>
      <c r="N3228">
        <f ca="1">qry_ProdData2_PDI_Cash_Exception_Application[[#This Row],[TODAY]]-qry_ProdData2_PDI_Cash_Exception_Application[[#This Row],[CHANGED ON]]</f>
        <v>19.742928240739275</v>
      </c>
    </row>
    <row r="3229" spans="1:14" x14ac:dyDescent="0.35">
      <c r="A3229">
        <v>1005</v>
      </c>
      <c r="B3229" t="s">
        <v>59</v>
      </c>
      <c r="C3229" s="1">
        <v>45195.257071759261</v>
      </c>
      <c r="D3229" t="str">
        <f ca="1">VLOOKUP(qry_ProdData2_PDI_Cash_Exception_Application[[#This Row],[TYPE]],#REF!,2,FALSE)</f>
        <v>type40</v>
      </c>
      <c r="E3229">
        <v>17.12</v>
      </c>
      <c r="F3229" t="s">
        <v>51</v>
      </c>
      <c r="G3229" s="1">
        <f>qry_ProdData2_PDI_Cash_Exception_Application[[#This Row],[INSERT DATE]]+1</f>
        <v>45196.257071759261</v>
      </c>
      <c r="H3229" t="str">
        <f>VLOOKUP(qry_ProdData2_PDI_Cash_Exception_Application[[#This Row],[MARKET No]],'Site Allocation'!$B$2:$C$37,2,FALSE)</f>
        <v>Analyst1</v>
      </c>
      <c r="I3229" s="4">
        <f t="shared" ca="1" si="50"/>
        <v>45203</v>
      </c>
      <c r="J3229" s="42">
        <f ca="1">TODAY()-qry_ProdData2_PDI_Cash_Exception_Application[[#This Row],[INSERT DATE]]</f>
        <v>7.7429282407392748</v>
      </c>
      <c r="K32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29">
        <f ca="1">qry_ProdData2_PDI_Cash_Exception_Application[[#This Row],[TODAY]]-qry_ProdData2_PDI_Cash_Exception_Application[[#This Row],[CHANGED ON]]</f>
        <v>6.7429282407392748</v>
      </c>
      <c r="M3229">
        <f ca="1">qry_ProdData2_PDI_Cash_Exception_Application[[#This Row],[TODAY]]-qry_ProdData2_PDI_Cash_Exception_Application[[#This Row],[CHANGED ON]]</f>
        <v>6.7429282407392748</v>
      </c>
      <c r="N3229">
        <f ca="1">qry_ProdData2_PDI_Cash_Exception_Application[[#This Row],[TODAY]]-qry_ProdData2_PDI_Cash_Exception_Application[[#This Row],[CHANGED ON]]</f>
        <v>6.7429282407392748</v>
      </c>
    </row>
    <row r="3230" spans="1:14" x14ac:dyDescent="0.35">
      <c r="A3230">
        <v>1002</v>
      </c>
      <c r="B3230" t="s">
        <v>56</v>
      </c>
      <c r="C3230" s="1">
        <v>45197.257071759261</v>
      </c>
      <c r="D3230" t="str">
        <f ca="1">VLOOKUP(qry_ProdData2_PDI_Cash_Exception_Application[[#This Row],[TYPE]],#REF!,2,FALSE)</f>
        <v>type40</v>
      </c>
      <c r="E3230">
        <v>4784.99</v>
      </c>
      <c r="F3230" t="s">
        <v>48</v>
      </c>
      <c r="G3230" s="1">
        <f>qry_ProdData2_PDI_Cash_Exception_Application[[#This Row],[INSERT DATE]]+1</f>
        <v>45198.257071759261</v>
      </c>
      <c r="H3230" t="str">
        <f>VLOOKUP(qry_ProdData2_PDI_Cash_Exception_Application[[#This Row],[MARKET No]],'Site Allocation'!$B$2:$C$37,2,FALSE)</f>
        <v>Analyst1</v>
      </c>
      <c r="I3230" s="4">
        <f t="shared" ca="1" si="50"/>
        <v>45203</v>
      </c>
      <c r="J3230" s="42">
        <f ca="1">TODAY()-qry_ProdData2_PDI_Cash_Exception_Application[[#This Row],[INSERT DATE]]</f>
        <v>5.7429282407392748</v>
      </c>
      <c r="K32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30">
        <f ca="1">qry_ProdData2_PDI_Cash_Exception_Application[[#This Row],[TODAY]]-qry_ProdData2_PDI_Cash_Exception_Application[[#This Row],[CHANGED ON]]</f>
        <v>4.7429282407392748</v>
      </c>
      <c r="M3230">
        <f ca="1">qry_ProdData2_PDI_Cash_Exception_Application[[#This Row],[TODAY]]-qry_ProdData2_PDI_Cash_Exception_Application[[#This Row],[CHANGED ON]]</f>
        <v>4.7429282407392748</v>
      </c>
      <c r="N3230">
        <f ca="1">qry_ProdData2_PDI_Cash_Exception_Application[[#This Row],[TODAY]]-qry_ProdData2_PDI_Cash_Exception_Application[[#This Row],[CHANGED ON]]</f>
        <v>4.7429282407392748</v>
      </c>
    </row>
    <row r="3231" spans="1:14" x14ac:dyDescent="0.35">
      <c r="A3231">
        <v>1030</v>
      </c>
      <c r="B3231" t="s">
        <v>84</v>
      </c>
      <c r="C3231" s="1">
        <v>45195.257071759261</v>
      </c>
      <c r="D3231" t="str">
        <f ca="1">VLOOKUP(qry_ProdData2_PDI_Cash_Exception_Application[[#This Row],[TYPE]],#REF!,2,FALSE)</f>
        <v>type40</v>
      </c>
      <c r="E3231">
        <v>10</v>
      </c>
      <c r="F3231" t="s">
        <v>51</v>
      </c>
      <c r="G3231" s="1">
        <f>qry_ProdData2_PDI_Cash_Exception_Application[[#This Row],[INSERT DATE]]+2</f>
        <v>45197.257071759261</v>
      </c>
      <c r="H3231" t="str">
        <f>VLOOKUP(qry_ProdData2_PDI_Cash_Exception_Application[[#This Row],[MARKET No]],'Site Allocation'!$B$2:$C$37,2,FALSE)</f>
        <v>Analyst6</v>
      </c>
      <c r="I3231" s="4">
        <f t="shared" ca="1" si="50"/>
        <v>45203</v>
      </c>
      <c r="J3231" s="42">
        <f ca="1">TODAY()-qry_ProdData2_PDI_Cash_Exception_Application[[#This Row],[INSERT DATE]]</f>
        <v>7.7429282407392748</v>
      </c>
      <c r="K32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31">
        <f ca="1">qry_ProdData2_PDI_Cash_Exception_Application[[#This Row],[TODAY]]-qry_ProdData2_PDI_Cash_Exception_Application[[#This Row],[CHANGED ON]]</f>
        <v>5.7429282407392748</v>
      </c>
      <c r="M3231">
        <f ca="1">qry_ProdData2_PDI_Cash_Exception_Application[[#This Row],[TODAY]]-qry_ProdData2_PDI_Cash_Exception_Application[[#This Row],[CHANGED ON]]</f>
        <v>5.7429282407392748</v>
      </c>
      <c r="N3231">
        <f ca="1">qry_ProdData2_PDI_Cash_Exception_Application[[#This Row],[TODAY]]-qry_ProdData2_PDI_Cash_Exception_Application[[#This Row],[CHANGED ON]]</f>
        <v>5.7429282407392748</v>
      </c>
    </row>
    <row r="3232" spans="1:14" x14ac:dyDescent="0.35">
      <c r="A3232">
        <v>1013</v>
      </c>
      <c r="B3232" t="s">
        <v>67</v>
      </c>
      <c r="C3232" s="1">
        <v>45193.257071759261</v>
      </c>
      <c r="D3232" t="str">
        <f ca="1">VLOOKUP(qry_ProdData2_PDI_Cash_Exception_Application[[#This Row],[TYPE]],#REF!,2,FALSE)</f>
        <v>type13</v>
      </c>
      <c r="E3232">
        <v>37957.07</v>
      </c>
      <c r="F3232" t="s">
        <v>51</v>
      </c>
      <c r="G3232" s="1">
        <f>qry_ProdData2_PDI_Cash_Exception_Application[[#This Row],[INSERT DATE]]+5</f>
        <v>45198.257071759261</v>
      </c>
      <c r="H3232" t="str">
        <f>VLOOKUP(qry_ProdData2_PDI_Cash_Exception_Application[[#This Row],[MARKET No]],'Site Allocation'!$B$2:$C$37,2,FALSE)</f>
        <v>Analyst3</v>
      </c>
      <c r="I3232" s="4">
        <f t="shared" ca="1" si="50"/>
        <v>45203</v>
      </c>
      <c r="J3232" s="42">
        <f ca="1">TODAY()-qry_ProdData2_PDI_Cash_Exception_Application[[#This Row],[INSERT DATE]]</f>
        <v>9.7429282407392748</v>
      </c>
      <c r="K32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32">
        <f ca="1">qry_ProdData2_PDI_Cash_Exception_Application[[#This Row],[TODAY]]-qry_ProdData2_PDI_Cash_Exception_Application[[#This Row],[CHANGED ON]]</f>
        <v>4.7429282407392748</v>
      </c>
      <c r="M3232">
        <f ca="1">qry_ProdData2_PDI_Cash_Exception_Application[[#This Row],[TODAY]]-qry_ProdData2_PDI_Cash_Exception_Application[[#This Row],[CHANGED ON]]</f>
        <v>4.7429282407392748</v>
      </c>
      <c r="N3232">
        <f ca="1">qry_ProdData2_PDI_Cash_Exception_Application[[#This Row],[TODAY]]-qry_ProdData2_PDI_Cash_Exception_Application[[#This Row],[CHANGED ON]]</f>
        <v>4.7429282407392748</v>
      </c>
    </row>
    <row r="3233" spans="1:14" x14ac:dyDescent="0.35">
      <c r="A3233">
        <v>1032</v>
      </c>
      <c r="B3233" t="s">
        <v>86</v>
      </c>
      <c r="C3233" s="1">
        <v>45184.257071759261</v>
      </c>
      <c r="D3233" t="str">
        <f ca="1">VLOOKUP(qry_ProdData2_PDI_Cash_Exception_Application[[#This Row],[TYPE]],#REF!,2,FALSE)</f>
        <v>type40</v>
      </c>
      <c r="E3233">
        <v>31.25</v>
      </c>
      <c r="F3233" t="s">
        <v>52</v>
      </c>
      <c r="G3233" s="1">
        <f>qry_ProdData2_PDI_Cash_Exception_Application[[#This Row],[INSERT DATE]]+2</f>
        <v>45186.257071759261</v>
      </c>
      <c r="H3233" t="str">
        <f>VLOOKUP(qry_ProdData2_PDI_Cash_Exception_Application[[#This Row],[MARKET No]],'Site Allocation'!$B$2:$C$37,2,FALSE)</f>
        <v>Analyst6</v>
      </c>
      <c r="I3233" s="4">
        <f t="shared" ca="1" si="50"/>
        <v>45203</v>
      </c>
      <c r="J3233" s="42">
        <f ca="1">TODAY()-qry_ProdData2_PDI_Cash_Exception_Application[[#This Row],[INSERT DATE]]</f>
        <v>18.742928240739275</v>
      </c>
      <c r="K32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33">
        <f ca="1">qry_ProdData2_PDI_Cash_Exception_Application[[#This Row],[TODAY]]-qry_ProdData2_PDI_Cash_Exception_Application[[#This Row],[CHANGED ON]]</f>
        <v>16.742928240739275</v>
      </c>
      <c r="M3233">
        <f ca="1">qry_ProdData2_PDI_Cash_Exception_Application[[#This Row],[TODAY]]-qry_ProdData2_PDI_Cash_Exception_Application[[#This Row],[CHANGED ON]]</f>
        <v>16.742928240739275</v>
      </c>
      <c r="N3233">
        <f ca="1">qry_ProdData2_PDI_Cash_Exception_Application[[#This Row],[TODAY]]-qry_ProdData2_PDI_Cash_Exception_Application[[#This Row],[CHANGED ON]]</f>
        <v>16.742928240739275</v>
      </c>
    </row>
    <row r="3234" spans="1:14" x14ac:dyDescent="0.35">
      <c r="A3234">
        <v>1006</v>
      </c>
      <c r="B3234" t="s">
        <v>60</v>
      </c>
      <c r="C3234" s="1">
        <v>45193.257071759261</v>
      </c>
      <c r="D3234" t="str">
        <f ca="1">VLOOKUP(qry_ProdData2_PDI_Cash_Exception_Application[[#This Row],[TYPE]],#REF!,2,FALSE)</f>
        <v>type5</v>
      </c>
      <c r="E3234">
        <v>965</v>
      </c>
      <c r="F3234" t="s">
        <v>49</v>
      </c>
      <c r="G3234" s="1">
        <f>qry_ProdData2_PDI_Cash_Exception_Application[[#This Row],[INSERT DATE]]+7</f>
        <v>45200.257071759261</v>
      </c>
      <c r="H3234" t="str">
        <f>VLOOKUP(qry_ProdData2_PDI_Cash_Exception_Application[[#This Row],[MARKET No]],'Site Allocation'!$B$2:$C$37,2,FALSE)</f>
        <v>Analyst2</v>
      </c>
      <c r="I3234" s="4">
        <f t="shared" ca="1" si="50"/>
        <v>45203</v>
      </c>
      <c r="J3234" s="42">
        <f ca="1">TODAY()-qry_ProdData2_PDI_Cash_Exception_Application[[#This Row],[INSERT DATE]]</f>
        <v>9.7429282407392748</v>
      </c>
      <c r="K32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34">
        <f ca="1">qry_ProdData2_PDI_Cash_Exception_Application[[#This Row],[TODAY]]-qry_ProdData2_PDI_Cash_Exception_Application[[#This Row],[CHANGED ON]]</f>
        <v>2.7429282407392748</v>
      </c>
      <c r="M3234">
        <f ca="1">qry_ProdData2_PDI_Cash_Exception_Application[[#This Row],[TODAY]]-qry_ProdData2_PDI_Cash_Exception_Application[[#This Row],[CHANGED ON]]</f>
        <v>2.7429282407392748</v>
      </c>
      <c r="N3234">
        <f ca="1">qry_ProdData2_PDI_Cash_Exception_Application[[#This Row],[TODAY]]-qry_ProdData2_PDI_Cash_Exception_Application[[#This Row],[CHANGED ON]]</f>
        <v>2.7429282407392748</v>
      </c>
    </row>
    <row r="3235" spans="1:14" x14ac:dyDescent="0.35">
      <c r="A3235">
        <v>1001</v>
      </c>
      <c r="B3235" t="s">
        <v>55</v>
      </c>
      <c r="C3235" s="1">
        <v>45185.257071759261</v>
      </c>
      <c r="D3235" t="str">
        <f ca="1">VLOOKUP(qry_ProdData2_PDI_Cash_Exception_Application[[#This Row],[TYPE]],#REF!,2,FALSE)</f>
        <v>type40</v>
      </c>
      <c r="E3235">
        <v>-367.69</v>
      </c>
      <c r="F3235" t="s">
        <v>50</v>
      </c>
      <c r="G3235" s="1">
        <f>qry_ProdData2_PDI_Cash_Exception_Application[[#This Row],[INSERT DATE]]+2</f>
        <v>45187.257071759261</v>
      </c>
      <c r="H3235" t="str">
        <f>VLOOKUP(qry_ProdData2_PDI_Cash_Exception_Application[[#This Row],[MARKET No]],'Site Allocation'!$B$2:$C$37,2,FALSE)</f>
        <v>Analyst1</v>
      </c>
      <c r="I3235" s="4">
        <f t="shared" ca="1" si="50"/>
        <v>45203</v>
      </c>
      <c r="J3235" s="42">
        <f ca="1">TODAY()-qry_ProdData2_PDI_Cash_Exception_Application[[#This Row],[INSERT DATE]]</f>
        <v>17.742928240739275</v>
      </c>
      <c r="K32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35">
        <f ca="1">qry_ProdData2_PDI_Cash_Exception_Application[[#This Row],[TODAY]]-qry_ProdData2_PDI_Cash_Exception_Application[[#This Row],[CHANGED ON]]</f>
        <v>15.742928240739275</v>
      </c>
      <c r="M3235">
        <f ca="1">qry_ProdData2_PDI_Cash_Exception_Application[[#This Row],[TODAY]]-qry_ProdData2_PDI_Cash_Exception_Application[[#This Row],[CHANGED ON]]</f>
        <v>15.742928240739275</v>
      </c>
      <c r="N3235">
        <f ca="1">qry_ProdData2_PDI_Cash_Exception_Application[[#This Row],[TODAY]]-qry_ProdData2_PDI_Cash_Exception_Application[[#This Row],[CHANGED ON]]</f>
        <v>15.742928240739275</v>
      </c>
    </row>
    <row r="3236" spans="1:14" x14ac:dyDescent="0.35">
      <c r="A3236">
        <v>1020</v>
      </c>
      <c r="B3236" t="s">
        <v>74</v>
      </c>
      <c r="C3236" s="1">
        <v>45197.257071759261</v>
      </c>
      <c r="D3236" t="str">
        <f ca="1">VLOOKUP(qry_ProdData2_PDI_Cash_Exception_Application[[#This Row],[TYPE]],#REF!,2,FALSE)</f>
        <v>type40</v>
      </c>
      <c r="E3236">
        <v>-1296.2</v>
      </c>
      <c r="F3236" t="s">
        <v>48</v>
      </c>
      <c r="G3236" s="1">
        <f>qry_ProdData2_PDI_Cash_Exception_Application[[#This Row],[INSERT DATE]]+2</f>
        <v>45199.257071759261</v>
      </c>
      <c r="H3236" t="str">
        <f>VLOOKUP(qry_ProdData2_PDI_Cash_Exception_Application[[#This Row],[MARKET No]],'Site Allocation'!$B$2:$C$37,2,FALSE)</f>
        <v>Analyst4</v>
      </c>
      <c r="I3236" s="4">
        <f t="shared" ca="1" si="50"/>
        <v>45203</v>
      </c>
      <c r="J3236" s="42">
        <f ca="1">TODAY()-qry_ProdData2_PDI_Cash_Exception_Application[[#This Row],[INSERT DATE]]</f>
        <v>5.7429282407392748</v>
      </c>
      <c r="K32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36">
        <f ca="1">qry_ProdData2_PDI_Cash_Exception_Application[[#This Row],[TODAY]]-qry_ProdData2_PDI_Cash_Exception_Application[[#This Row],[CHANGED ON]]</f>
        <v>3.7429282407392748</v>
      </c>
      <c r="M3236">
        <f ca="1">qry_ProdData2_PDI_Cash_Exception_Application[[#This Row],[TODAY]]-qry_ProdData2_PDI_Cash_Exception_Application[[#This Row],[CHANGED ON]]</f>
        <v>3.7429282407392748</v>
      </c>
      <c r="N3236">
        <f ca="1">qry_ProdData2_PDI_Cash_Exception_Application[[#This Row],[TODAY]]-qry_ProdData2_PDI_Cash_Exception_Application[[#This Row],[CHANGED ON]]</f>
        <v>3.7429282407392748</v>
      </c>
    </row>
    <row r="3237" spans="1:14" x14ac:dyDescent="0.35">
      <c r="A3237">
        <v>1034</v>
      </c>
      <c r="B3237" t="s">
        <v>88</v>
      </c>
      <c r="C3237" s="1">
        <v>45193.257071759261</v>
      </c>
      <c r="D3237" t="str">
        <f ca="1">VLOOKUP(qry_ProdData2_PDI_Cash_Exception_Application[[#This Row],[TYPE]],#REF!,2,FALSE)</f>
        <v>type40</v>
      </c>
      <c r="E3237">
        <v>-325.37</v>
      </c>
      <c r="F3237" t="s">
        <v>49</v>
      </c>
      <c r="G3237" s="1">
        <f>qry_ProdData2_PDI_Cash_Exception_Application[[#This Row],[INSERT DATE]]+7</f>
        <v>45200.257071759261</v>
      </c>
      <c r="H3237" t="str">
        <f>VLOOKUP(qry_ProdData2_PDI_Cash_Exception_Application[[#This Row],[MARKET No]],'Site Allocation'!$B$2:$C$37,2,FALSE)</f>
        <v>Analyst6</v>
      </c>
      <c r="I3237" s="4">
        <f t="shared" ca="1" si="50"/>
        <v>45203</v>
      </c>
      <c r="J3237" s="42">
        <f ca="1">TODAY()-qry_ProdData2_PDI_Cash_Exception_Application[[#This Row],[INSERT DATE]]</f>
        <v>9.7429282407392748</v>
      </c>
      <c r="K32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37">
        <f ca="1">qry_ProdData2_PDI_Cash_Exception_Application[[#This Row],[TODAY]]-qry_ProdData2_PDI_Cash_Exception_Application[[#This Row],[CHANGED ON]]</f>
        <v>2.7429282407392748</v>
      </c>
      <c r="M3237">
        <f ca="1">qry_ProdData2_PDI_Cash_Exception_Application[[#This Row],[TODAY]]-qry_ProdData2_PDI_Cash_Exception_Application[[#This Row],[CHANGED ON]]</f>
        <v>2.7429282407392748</v>
      </c>
      <c r="N3237">
        <f ca="1">qry_ProdData2_PDI_Cash_Exception_Application[[#This Row],[TODAY]]-qry_ProdData2_PDI_Cash_Exception_Application[[#This Row],[CHANGED ON]]</f>
        <v>2.7429282407392748</v>
      </c>
    </row>
    <row r="3238" spans="1:14" x14ac:dyDescent="0.35">
      <c r="A3238">
        <v>1031</v>
      </c>
      <c r="B3238" t="s">
        <v>85</v>
      </c>
      <c r="C3238" s="1">
        <v>45194.257071759261</v>
      </c>
      <c r="D3238" t="str">
        <f ca="1">VLOOKUP(qry_ProdData2_PDI_Cash_Exception_Application[[#This Row],[TYPE]],#REF!,2,FALSE)</f>
        <v>type13</v>
      </c>
      <c r="E3238">
        <v>28140</v>
      </c>
      <c r="F3238" t="s">
        <v>51</v>
      </c>
      <c r="G3238" s="1">
        <f>qry_ProdData2_PDI_Cash_Exception_Application[[#This Row],[INSERT DATE]]+5</f>
        <v>45199.257071759261</v>
      </c>
      <c r="H3238" t="str">
        <f>VLOOKUP(qry_ProdData2_PDI_Cash_Exception_Application[[#This Row],[MARKET No]],'Site Allocation'!$B$2:$C$37,2,FALSE)</f>
        <v>Analyst6</v>
      </c>
      <c r="I3238" s="4">
        <f t="shared" ca="1" si="50"/>
        <v>45203</v>
      </c>
      <c r="J3238" s="42">
        <f ca="1">TODAY()-qry_ProdData2_PDI_Cash_Exception_Application[[#This Row],[INSERT DATE]]</f>
        <v>8.7429282407392748</v>
      </c>
      <c r="K32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38">
        <f ca="1">qry_ProdData2_PDI_Cash_Exception_Application[[#This Row],[TODAY]]-qry_ProdData2_PDI_Cash_Exception_Application[[#This Row],[CHANGED ON]]</f>
        <v>3.7429282407392748</v>
      </c>
      <c r="M3238">
        <f ca="1">qry_ProdData2_PDI_Cash_Exception_Application[[#This Row],[TODAY]]-qry_ProdData2_PDI_Cash_Exception_Application[[#This Row],[CHANGED ON]]</f>
        <v>3.7429282407392748</v>
      </c>
      <c r="N3238">
        <f ca="1">qry_ProdData2_PDI_Cash_Exception_Application[[#This Row],[TODAY]]-qry_ProdData2_PDI_Cash_Exception_Application[[#This Row],[CHANGED ON]]</f>
        <v>3.7429282407392748</v>
      </c>
    </row>
    <row r="3239" spans="1:14" x14ac:dyDescent="0.35">
      <c r="A3239">
        <v>1008</v>
      </c>
      <c r="B3239" t="s">
        <v>62</v>
      </c>
      <c r="C3239" s="1">
        <v>45187.257071759261</v>
      </c>
      <c r="D3239" t="str">
        <f ca="1">VLOOKUP(qry_ProdData2_PDI_Cash_Exception_Application[[#This Row],[TYPE]],#REF!,2,FALSE)</f>
        <v>type40</v>
      </c>
      <c r="E3239">
        <v>-631.15</v>
      </c>
      <c r="F3239" t="s">
        <v>52</v>
      </c>
      <c r="G3239" s="1">
        <f>qry_ProdData2_PDI_Cash_Exception_Application[[#This Row],[INSERT DATE]]+5</f>
        <v>45192.257071759261</v>
      </c>
      <c r="H3239" t="str">
        <f>VLOOKUP(qry_ProdData2_PDI_Cash_Exception_Application[[#This Row],[MARKET No]],'Site Allocation'!$B$2:$C$37,2,FALSE)</f>
        <v>Analyst2</v>
      </c>
      <c r="I3239" s="4">
        <f t="shared" ca="1" si="50"/>
        <v>45203</v>
      </c>
      <c r="J3239" s="42">
        <f ca="1">TODAY()-qry_ProdData2_PDI_Cash_Exception_Application[[#This Row],[INSERT DATE]]</f>
        <v>15.742928240739275</v>
      </c>
      <c r="K32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39">
        <f ca="1">qry_ProdData2_PDI_Cash_Exception_Application[[#This Row],[TODAY]]-qry_ProdData2_PDI_Cash_Exception_Application[[#This Row],[CHANGED ON]]</f>
        <v>10.742928240739275</v>
      </c>
      <c r="M3239">
        <f ca="1">qry_ProdData2_PDI_Cash_Exception_Application[[#This Row],[TODAY]]-qry_ProdData2_PDI_Cash_Exception_Application[[#This Row],[CHANGED ON]]</f>
        <v>10.742928240739275</v>
      </c>
      <c r="N3239">
        <f ca="1">qry_ProdData2_PDI_Cash_Exception_Application[[#This Row],[TODAY]]-qry_ProdData2_PDI_Cash_Exception_Application[[#This Row],[CHANGED ON]]</f>
        <v>10.742928240739275</v>
      </c>
    </row>
    <row r="3240" spans="1:14" x14ac:dyDescent="0.35">
      <c r="A3240">
        <v>1000</v>
      </c>
      <c r="B3240" t="s">
        <v>54</v>
      </c>
      <c r="C3240" s="1">
        <v>45194.257071759261</v>
      </c>
      <c r="D3240" t="str">
        <f ca="1">VLOOKUP(qry_ProdData2_PDI_Cash_Exception_Application[[#This Row],[TYPE]],#REF!,2,FALSE)</f>
        <v>type40</v>
      </c>
      <c r="E3240">
        <v>1100.3800000000001</v>
      </c>
      <c r="F3240" t="s">
        <v>51</v>
      </c>
      <c r="G3240" s="1">
        <f>qry_ProdData2_PDI_Cash_Exception_Application[[#This Row],[INSERT DATE]]+2</f>
        <v>45196.257071759261</v>
      </c>
      <c r="H3240" t="str">
        <f>VLOOKUP(qry_ProdData2_PDI_Cash_Exception_Application[[#This Row],[MARKET No]],'Site Allocation'!$B$2:$C$37,2,FALSE)</f>
        <v>Analyst1</v>
      </c>
      <c r="I3240" s="4">
        <f t="shared" ca="1" si="50"/>
        <v>45203</v>
      </c>
      <c r="J3240" s="42">
        <f ca="1">TODAY()-qry_ProdData2_PDI_Cash_Exception_Application[[#This Row],[INSERT DATE]]</f>
        <v>8.7429282407392748</v>
      </c>
      <c r="K32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40">
        <f ca="1">qry_ProdData2_PDI_Cash_Exception_Application[[#This Row],[TODAY]]-qry_ProdData2_PDI_Cash_Exception_Application[[#This Row],[CHANGED ON]]</f>
        <v>6.7429282407392748</v>
      </c>
      <c r="M3240">
        <f ca="1">qry_ProdData2_PDI_Cash_Exception_Application[[#This Row],[TODAY]]-qry_ProdData2_PDI_Cash_Exception_Application[[#This Row],[CHANGED ON]]</f>
        <v>6.7429282407392748</v>
      </c>
      <c r="N3240">
        <f ca="1">qry_ProdData2_PDI_Cash_Exception_Application[[#This Row],[TODAY]]-qry_ProdData2_PDI_Cash_Exception_Application[[#This Row],[CHANGED ON]]</f>
        <v>6.7429282407392748</v>
      </c>
    </row>
    <row r="3241" spans="1:14" x14ac:dyDescent="0.35">
      <c r="A3241">
        <v>1035</v>
      </c>
      <c r="B3241" t="s">
        <v>89</v>
      </c>
      <c r="C3241" s="1">
        <v>45195.257071759261</v>
      </c>
      <c r="D3241" t="str">
        <f ca="1">VLOOKUP(qry_ProdData2_PDI_Cash_Exception_Application[[#This Row],[TYPE]],#REF!,2,FALSE)</f>
        <v>type40</v>
      </c>
      <c r="E3241">
        <v>38.049999999999997</v>
      </c>
      <c r="F3241" t="s">
        <v>51</v>
      </c>
      <c r="G3241" s="1">
        <f>qry_ProdData2_PDI_Cash_Exception_Application[[#This Row],[INSERT DATE]]+7</f>
        <v>45202.257071759261</v>
      </c>
      <c r="H3241" t="str">
        <f>VLOOKUP(qry_ProdData2_PDI_Cash_Exception_Application[[#This Row],[MARKET No]],'Site Allocation'!$B$2:$C$37,2,FALSE)</f>
        <v>Analyst6</v>
      </c>
      <c r="I3241" s="4">
        <f t="shared" ca="1" si="50"/>
        <v>45203</v>
      </c>
      <c r="J3241" s="42">
        <f ca="1">TODAY()-qry_ProdData2_PDI_Cash_Exception_Application[[#This Row],[INSERT DATE]]</f>
        <v>7.7429282407392748</v>
      </c>
      <c r="K32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41">
        <f ca="1">qry_ProdData2_PDI_Cash_Exception_Application[[#This Row],[TODAY]]-qry_ProdData2_PDI_Cash_Exception_Application[[#This Row],[CHANGED ON]]</f>
        <v>0.74292824073927477</v>
      </c>
      <c r="M3241">
        <f ca="1">qry_ProdData2_PDI_Cash_Exception_Application[[#This Row],[TODAY]]-qry_ProdData2_PDI_Cash_Exception_Application[[#This Row],[CHANGED ON]]</f>
        <v>0.74292824073927477</v>
      </c>
      <c r="N3241">
        <f ca="1">qry_ProdData2_PDI_Cash_Exception_Application[[#This Row],[TODAY]]-qry_ProdData2_PDI_Cash_Exception_Application[[#This Row],[CHANGED ON]]</f>
        <v>0.74292824073927477</v>
      </c>
    </row>
    <row r="3242" spans="1:14" x14ac:dyDescent="0.35">
      <c r="A3242">
        <v>1024</v>
      </c>
      <c r="B3242" t="s">
        <v>78</v>
      </c>
      <c r="C3242" s="1">
        <v>45193.257071759261</v>
      </c>
      <c r="D3242" t="str">
        <f ca="1">VLOOKUP(qry_ProdData2_PDI_Cash_Exception_Application[[#This Row],[TYPE]],#REF!,2,FALSE)</f>
        <v>type13</v>
      </c>
      <c r="E3242">
        <v>47973.63</v>
      </c>
      <c r="F3242" t="s">
        <v>51</v>
      </c>
      <c r="G3242" s="1">
        <f>qry_ProdData2_PDI_Cash_Exception_Application[[#This Row],[INSERT DATE]]+7</f>
        <v>45200.257071759261</v>
      </c>
      <c r="H3242" t="str">
        <f>VLOOKUP(qry_ProdData2_PDI_Cash_Exception_Application[[#This Row],[MARKET No]],'Site Allocation'!$B$2:$C$37,2,FALSE)</f>
        <v>Analyst5</v>
      </c>
      <c r="I3242" s="4">
        <f t="shared" ca="1" si="50"/>
        <v>45203</v>
      </c>
      <c r="J3242" s="42">
        <f ca="1">TODAY()-qry_ProdData2_PDI_Cash_Exception_Application[[#This Row],[INSERT DATE]]</f>
        <v>9.7429282407392748</v>
      </c>
      <c r="K32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42">
        <f ca="1">qry_ProdData2_PDI_Cash_Exception_Application[[#This Row],[TODAY]]-qry_ProdData2_PDI_Cash_Exception_Application[[#This Row],[CHANGED ON]]</f>
        <v>2.7429282407392748</v>
      </c>
      <c r="M3242">
        <f ca="1">qry_ProdData2_PDI_Cash_Exception_Application[[#This Row],[TODAY]]-qry_ProdData2_PDI_Cash_Exception_Application[[#This Row],[CHANGED ON]]</f>
        <v>2.7429282407392748</v>
      </c>
      <c r="N3242">
        <f ca="1">qry_ProdData2_PDI_Cash_Exception_Application[[#This Row],[TODAY]]-qry_ProdData2_PDI_Cash_Exception_Application[[#This Row],[CHANGED ON]]</f>
        <v>2.7429282407392748</v>
      </c>
    </row>
    <row r="3243" spans="1:14" x14ac:dyDescent="0.35">
      <c r="A3243">
        <v>1007</v>
      </c>
      <c r="B3243" t="s">
        <v>61</v>
      </c>
      <c r="C3243" s="1">
        <v>45197.257071759261</v>
      </c>
      <c r="D3243" t="str">
        <f ca="1">VLOOKUP(qry_ProdData2_PDI_Cash_Exception_Application[[#This Row],[TYPE]],#REF!,2,FALSE)</f>
        <v>type40</v>
      </c>
      <c r="E3243">
        <v>3002.29</v>
      </c>
      <c r="F3243" t="s">
        <v>48</v>
      </c>
      <c r="G3243" s="1">
        <f>qry_ProdData2_PDI_Cash_Exception_Application[[#This Row],[INSERT DATE]]+7</f>
        <v>45204.257071759261</v>
      </c>
      <c r="H3243" t="str">
        <f>VLOOKUP(qry_ProdData2_PDI_Cash_Exception_Application[[#This Row],[MARKET No]],'Site Allocation'!$B$2:$C$37,2,FALSE)</f>
        <v>Analyst2</v>
      </c>
      <c r="I3243" s="4">
        <f t="shared" ca="1" si="50"/>
        <v>45203</v>
      </c>
      <c r="J3243" s="42">
        <f ca="1">TODAY()-qry_ProdData2_PDI_Cash_Exception_Application[[#This Row],[INSERT DATE]]</f>
        <v>5.7429282407392748</v>
      </c>
      <c r="K32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43">
        <f ca="1">qry_ProdData2_PDI_Cash_Exception_Application[[#This Row],[TODAY]]-qry_ProdData2_PDI_Cash_Exception_Application[[#This Row],[CHANGED ON]]</f>
        <v>-1.2570717592607252</v>
      </c>
      <c r="M3243">
        <f ca="1">qry_ProdData2_PDI_Cash_Exception_Application[[#This Row],[TODAY]]-qry_ProdData2_PDI_Cash_Exception_Application[[#This Row],[CHANGED ON]]</f>
        <v>-1.2570717592607252</v>
      </c>
      <c r="N3243">
        <f ca="1">qry_ProdData2_PDI_Cash_Exception_Application[[#This Row],[TODAY]]-qry_ProdData2_PDI_Cash_Exception_Application[[#This Row],[CHANGED ON]]</f>
        <v>-1.2570717592607252</v>
      </c>
    </row>
    <row r="3244" spans="1:14" x14ac:dyDescent="0.35">
      <c r="A3244">
        <v>1028</v>
      </c>
      <c r="B3244" t="s">
        <v>82</v>
      </c>
      <c r="C3244" s="1">
        <v>45194.257071759261</v>
      </c>
      <c r="D3244" t="str">
        <f ca="1">VLOOKUP(qry_ProdData2_PDI_Cash_Exception_Application[[#This Row],[TYPE]],#REF!,2,FALSE)</f>
        <v>type13</v>
      </c>
      <c r="E3244">
        <v>26683.040000000001</v>
      </c>
      <c r="F3244" t="s">
        <v>49</v>
      </c>
      <c r="G3244" s="1">
        <f>qry_ProdData2_PDI_Cash_Exception_Application[[#This Row],[INSERT DATE]]+1</f>
        <v>45195.257071759261</v>
      </c>
      <c r="H3244" t="str">
        <f>VLOOKUP(qry_ProdData2_PDI_Cash_Exception_Application[[#This Row],[MARKET No]],'Site Allocation'!$B$2:$C$37,2,FALSE)</f>
        <v>Analyst5</v>
      </c>
      <c r="I3244" s="4">
        <f t="shared" ca="1" si="50"/>
        <v>45203</v>
      </c>
      <c r="J3244" s="42">
        <f ca="1">TODAY()-qry_ProdData2_PDI_Cash_Exception_Application[[#This Row],[INSERT DATE]]</f>
        <v>8.7429282407392748</v>
      </c>
      <c r="K32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44">
        <f ca="1">qry_ProdData2_PDI_Cash_Exception_Application[[#This Row],[TODAY]]-qry_ProdData2_PDI_Cash_Exception_Application[[#This Row],[CHANGED ON]]</f>
        <v>7.7429282407392748</v>
      </c>
      <c r="M3244">
        <f ca="1">qry_ProdData2_PDI_Cash_Exception_Application[[#This Row],[TODAY]]-qry_ProdData2_PDI_Cash_Exception_Application[[#This Row],[CHANGED ON]]</f>
        <v>7.7429282407392748</v>
      </c>
      <c r="N3244">
        <f ca="1">qry_ProdData2_PDI_Cash_Exception_Application[[#This Row],[TODAY]]-qry_ProdData2_PDI_Cash_Exception_Application[[#This Row],[CHANGED ON]]</f>
        <v>7.7429282407392748</v>
      </c>
    </row>
    <row r="3245" spans="1:14" x14ac:dyDescent="0.35">
      <c r="A3245">
        <v>1004</v>
      </c>
      <c r="B3245" t="s">
        <v>58</v>
      </c>
      <c r="C3245" s="1">
        <v>45191.257071759261</v>
      </c>
      <c r="D3245" t="str">
        <f ca="1">VLOOKUP(qry_ProdData2_PDI_Cash_Exception_Application[[#This Row],[TYPE]],#REF!,2,FALSE)</f>
        <v>type40</v>
      </c>
      <c r="E3245">
        <v>-471.93</v>
      </c>
      <c r="F3245" t="s">
        <v>50</v>
      </c>
      <c r="G3245" s="1">
        <f>qry_ProdData2_PDI_Cash_Exception_Application[[#This Row],[INSERT DATE]]+7</f>
        <v>45198.257071759261</v>
      </c>
      <c r="H3245" t="str">
        <f>VLOOKUP(qry_ProdData2_PDI_Cash_Exception_Application[[#This Row],[MARKET No]],'Site Allocation'!$B$2:$C$37,2,FALSE)</f>
        <v>Analyst1</v>
      </c>
      <c r="I3245" s="4">
        <f t="shared" ca="1" si="50"/>
        <v>45203</v>
      </c>
      <c r="J3245" s="42">
        <f ca="1">TODAY()-qry_ProdData2_PDI_Cash_Exception_Application[[#This Row],[INSERT DATE]]</f>
        <v>11.742928240739275</v>
      </c>
      <c r="K32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45">
        <f ca="1">qry_ProdData2_PDI_Cash_Exception_Application[[#This Row],[TODAY]]-qry_ProdData2_PDI_Cash_Exception_Application[[#This Row],[CHANGED ON]]</f>
        <v>4.7429282407392748</v>
      </c>
      <c r="M3245">
        <f ca="1">qry_ProdData2_PDI_Cash_Exception_Application[[#This Row],[TODAY]]-qry_ProdData2_PDI_Cash_Exception_Application[[#This Row],[CHANGED ON]]</f>
        <v>4.7429282407392748</v>
      </c>
      <c r="N3245">
        <f ca="1">qry_ProdData2_PDI_Cash_Exception_Application[[#This Row],[TODAY]]-qry_ProdData2_PDI_Cash_Exception_Application[[#This Row],[CHANGED ON]]</f>
        <v>4.7429282407392748</v>
      </c>
    </row>
    <row r="3246" spans="1:14" x14ac:dyDescent="0.35">
      <c r="A3246">
        <v>1006</v>
      </c>
      <c r="B3246" t="s">
        <v>60</v>
      </c>
      <c r="C3246" s="1">
        <v>45194.257071759261</v>
      </c>
      <c r="D3246" t="str">
        <f ca="1">VLOOKUP(qry_ProdData2_PDI_Cash_Exception_Application[[#This Row],[TYPE]],#REF!,2,FALSE)</f>
        <v>type40</v>
      </c>
      <c r="E3246">
        <v>426.99</v>
      </c>
      <c r="F3246" t="s">
        <v>47</v>
      </c>
      <c r="G3246" s="1">
        <f>qry_ProdData2_PDI_Cash_Exception_Application[[#This Row],[INSERT DATE]]+2</f>
        <v>45196.257071759261</v>
      </c>
      <c r="H3246" t="str">
        <f>VLOOKUP(qry_ProdData2_PDI_Cash_Exception_Application[[#This Row],[MARKET No]],'Site Allocation'!$B$2:$C$37,2,FALSE)</f>
        <v>Analyst2</v>
      </c>
      <c r="I3246" s="4">
        <f t="shared" ca="1" si="50"/>
        <v>45203</v>
      </c>
      <c r="J3246" s="42">
        <f ca="1">TODAY()-qry_ProdData2_PDI_Cash_Exception_Application[[#This Row],[INSERT DATE]]</f>
        <v>8.7429282407392748</v>
      </c>
      <c r="K32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46">
        <f ca="1">qry_ProdData2_PDI_Cash_Exception_Application[[#This Row],[TODAY]]-qry_ProdData2_PDI_Cash_Exception_Application[[#This Row],[CHANGED ON]]</f>
        <v>6.7429282407392748</v>
      </c>
      <c r="M3246">
        <f ca="1">qry_ProdData2_PDI_Cash_Exception_Application[[#This Row],[TODAY]]-qry_ProdData2_PDI_Cash_Exception_Application[[#This Row],[CHANGED ON]]</f>
        <v>6.7429282407392748</v>
      </c>
      <c r="N3246">
        <f ca="1">qry_ProdData2_PDI_Cash_Exception_Application[[#This Row],[TODAY]]-qry_ProdData2_PDI_Cash_Exception_Application[[#This Row],[CHANGED ON]]</f>
        <v>6.7429282407392748</v>
      </c>
    </row>
    <row r="3247" spans="1:14" x14ac:dyDescent="0.35">
      <c r="A3247">
        <v>1008</v>
      </c>
      <c r="B3247" t="s">
        <v>62</v>
      </c>
      <c r="C3247" s="1">
        <v>45193.257071759261</v>
      </c>
      <c r="D3247" t="str">
        <f ca="1">VLOOKUP(qry_ProdData2_PDI_Cash_Exception_Application[[#This Row],[TYPE]],#REF!,2,FALSE)</f>
        <v>type15</v>
      </c>
      <c r="E3247">
        <v>-1616.8</v>
      </c>
      <c r="F3247" t="s">
        <v>52</v>
      </c>
      <c r="G3247" s="1">
        <f>qry_ProdData2_PDI_Cash_Exception_Application[[#This Row],[INSERT DATE]]+7</f>
        <v>45200.257071759261</v>
      </c>
      <c r="H3247" t="str">
        <f>VLOOKUP(qry_ProdData2_PDI_Cash_Exception_Application[[#This Row],[MARKET No]],'Site Allocation'!$B$2:$C$37,2,FALSE)</f>
        <v>Analyst2</v>
      </c>
      <c r="I3247" s="4">
        <f t="shared" ca="1" si="50"/>
        <v>45203</v>
      </c>
      <c r="J3247" s="42">
        <f ca="1">TODAY()-qry_ProdData2_PDI_Cash_Exception_Application[[#This Row],[INSERT DATE]]</f>
        <v>9.7429282407392748</v>
      </c>
      <c r="K32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47">
        <f ca="1">qry_ProdData2_PDI_Cash_Exception_Application[[#This Row],[TODAY]]-qry_ProdData2_PDI_Cash_Exception_Application[[#This Row],[CHANGED ON]]</f>
        <v>2.7429282407392748</v>
      </c>
      <c r="M3247">
        <f ca="1">qry_ProdData2_PDI_Cash_Exception_Application[[#This Row],[TODAY]]-qry_ProdData2_PDI_Cash_Exception_Application[[#This Row],[CHANGED ON]]</f>
        <v>2.7429282407392748</v>
      </c>
      <c r="N3247">
        <f ca="1">qry_ProdData2_PDI_Cash_Exception_Application[[#This Row],[TODAY]]-qry_ProdData2_PDI_Cash_Exception_Application[[#This Row],[CHANGED ON]]</f>
        <v>2.7429282407392748</v>
      </c>
    </row>
    <row r="3248" spans="1:14" x14ac:dyDescent="0.35">
      <c r="A3248">
        <v>1025</v>
      </c>
      <c r="B3248" t="s">
        <v>79</v>
      </c>
      <c r="C3248" s="1">
        <v>45194.257071759261</v>
      </c>
      <c r="D3248" t="str">
        <f ca="1">VLOOKUP(qry_ProdData2_PDI_Cash_Exception_Application[[#This Row],[TYPE]],#REF!,2,FALSE)</f>
        <v>type40</v>
      </c>
      <c r="E3248">
        <v>994.56</v>
      </c>
      <c r="F3248" t="s">
        <v>50</v>
      </c>
      <c r="G3248" s="1">
        <f>qry_ProdData2_PDI_Cash_Exception_Application[[#This Row],[INSERT DATE]]+7</f>
        <v>45201.257071759261</v>
      </c>
      <c r="H3248" t="str">
        <f>VLOOKUP(qry_ProdData2_PDI_Cash_Exception_Application[[#This Row],[MARKET No]],'Site Allocation'!$B$2:$C$37,2,FALSE)</f>
        <v>Analyst5</v>
      </c>
      <c r="I3248" s="4">
        <f t="shared" ca="1" si="50"/>
        <v>45203</v>
      </c>
      <c r="J3248" s="42">
        <f ca="1">TODAY()-qry_ProdData2_PDI_Cash_Exception_Application[[#This Row],[INSERT DATE]]</f>
        <v>8.7429282407392748</v>
      </c>
      <c r="K32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48">
        <f ca="1">qry_ProdData2_PDI_Cash_Exception_Application[[#This Row],[TODAY]]-qry_ProdData2_PDI_Cash_Exception_Application[[#This Row],[CHANGED ON]]</f>
        <v>1.7429282407392748</v>
      </c>
      <c r="M3248">
        <f ca="1">qry_ProdData2_PDI_Cash_Exception_Application[[#This Row],[TODAY]]-qry_ProdData2_PDI_Cash_Exception_Application[[#This Row],[CHANGED ON]]</f>
        <v>1.7429282407392748</v>
      </c>
      <c r="N3248">
        <f ca="1">qry_ProdData2_PDI_Cash_Exception_Application[[#This Row],[TODAY]]-qry_ProdData2_PDI_Cash_Exception_Application[[#This Row],[CHANGED ON]]</f>
        <v>1.7429282407392748</v>
      </c>
    </row>
    <row r="3249" spans="1:14" x14ac:dyDescent="0.35">
      <c r="A3249">
        <v>1016</v>
      </c>
      <c r="B3249" t="s">
        <v>70</v>
      </c>
      <c r="C3249" s="1">
        <v>45194.257071759261</v>
      </c>
      <c r="D3249" t="str">
        <f ca="1">VLOOKUP(qry_ProdData2_PDI_Cash_Exception_Application[[#This Row],[TYPE]],#REF!,2,FALSE)</f>
        <v>type40</v>
      </c>
      <c r="E3249">
        <v>-7785.99</v>
      </c>
      <c r="F3249" t="s">
        <v>47</v>
      </c>
      <c r="G3249" s="1">
        <f>qry_ProdData2_PDI_Cash_Exception_Application[[#This Row],[INSERT DATE]]+1</f>
        <v>45195.257071759261</v>
      </c>
      <c r="H3249" t="str">
        <f>VLOOKUP(qry_ProdData2_PDI_Cash_Exception_Application[[#This Row],[MARKET No]],'Site Allocation'!$B$2:$C$37,2,FALSE)</f>
        <v>Analyst3</v>
      </c>
      <c r="I3249" s="4">
        <f t="shared" ca="1" si="50"/>
        <v>45203</v>
      </c>
      <c r="J3249" s="42">
        <f ca="1">TODAY()-qry_ProdData2_PDI_Cash_Exception_Application[[#This Row],[INSERT DATE]]</f>
        <v>8.7429282407392748</v>
      </c>
      <c r="K32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49">
        <f ca="1">qry_ProdData2_PDI_Cash_Exception_Application[[#This Row],[TODAY]]-qry_ProdData2_PDI_Cash_Exception_Application[[#This Row],[CHANGED ON]]</f>
        <v>7.7429282407392748</v>
      </c>
      <c r="M3249">
        <f ca="1">qry_ProdData2_PDI_Cash_Exception_Application[[#This Row],[TODAY]]-qry_ProdData2_PDI_Cash_Exception_Application[[#This Row],[CHANGED ON]]</f>
        <v>7.7429282407392748</v>
      </c>
      <c r="N3249">
        <f ca="1">qry_ProdData2_PDI_Cash_Exception_Application[[#This Row],[TODAY]]-qry_ProdData2_PDI_Cash_Exception_Application[[#This Row],[CHANGED ON]]</f>
        <v>7.7429282407392748</v>
      </c>
    </row>
    <row r="3250" spans="1:14" x14ac:dyDescent="0.35">
      <c r="A3250">
        <v>1000</v>
      </c>
      <c r="B3250" t="s">
        <v>54</v>
      </c>
      <c r="C3250" s="1">
        <v>45196.257071759261</v>
      </c>
      <c r="D3250" t="str">
        <f ca="1">VLOOKUP(qry_ProdData2_PDI_Cash_Exception_Application[[#This Row],[TYPE]],#REF!,2,FALSE)</f>
        <v>type40</v>
      </c>
      <c r="E3250">
        <v>302.12</v>
      </c>
      <c r="F3250" t="s">
        <v>52</v>
      </c>
      <c r="G3250" s="1">
        <f>qry_ProdData2_PDI_Cash_Exception_Application[[#This Row],[INSERT DATE]]+7</f>
        <v>45203.257071759261</v>
      </c>
      <c r="H3250" t="str">
        <f>VLOOKUP(qry_ProdData2_PDI_Cash_Exception_Application[[#This Row],[MARKET No]],'Site Allocation'!$B$2:$C$37,2,FALSE)</f>
        <v>Analyst1</v>
      </c>
      <c r="I3250" s="4">
        <f t="shared" ca="1" si="50"/>
        <v>45203</v>
      </c>
      <c r="J3250" s="42">
        <f ca="1">TODAY()-qry_ProdData2_PDI_Cash_Exception_Application[[#This Row],[INSERT DATE]]</f>
        <v>6.7429282407392748</v>
      </c>
      <c r="K32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50">
        <f ca="1">qry_ProdData2_PDI_Cash_Exception_Application[[#This Row],[TODAY]]-qry_ProdData2_PDI_Cash_Exception_Application[[#This Row],[CHANGED ON]]</f>
        <v>-0.25707175926072523</v>
      </c>
      <c r="M3250">
        <f ca="1">qry_ProdData2_PDI_Cash_Exception_Application[[#This Row],[TODAY]]-qry_ProdData2_PDI_Cash_Exception_Application[[#This Row],[CHANGED ON]]</f>
        <v>-0.25707175926072523</v>
      </c>
      <c r="N3250">
        <f ca="1">qry_ProdData2_PDI_Cash_Exception_Application[[#This Row],[TODAY]]-qry_ProdData2_PDI_Cash_Exception_Application[[#This Row],[CHANGED ON]]</f>
        <v>-0.25707175926072523</v>
      </c>
    </row>
    <row r="3251" spans="1:14" x14ac:dyDescent="0.35">
      <c r="A3251">
        <v>1034</v>
      </c>
      <c r="B3251" t="s">
        <v>88</v>
      </c>
      <c r="C3251" s="1">
        <v>45196.257071759261</v>
      </c>
      <c r="D3251" t="str">
        <f ca="1">VLOOKUP(qry_ProdData2_PDI_Cash_Exception_Application[[#This Row],[TYPE]],#REF!,2,FALSE)</f>
        <v>type40</v>
      </c>
      <c r="E3251">
        <v>416</v>
      </c>
      <c r="F3251" t="s">
        <v>48</v>
      </c>
      <c r="G3251" s="1">
        <f>qry_ProdData2_PDI_Cash_Exception_Application[[#This Row],[INSERT DATE]]+7</f>
        <v>45203.257071759261</v>
      </c>
      <c r="H3251" t="str">
        <f>VLOOKUP(qry_ProdData2_PDI_Cash_Exception_Application[[#This Row],[MARKET No]],'Site Allocation'!$B$2:$C$37,2,FALSE)</f>
        <v>Analyst6</v>
      </c>
      <c r="I3251" s="4">
        <f t="shared" ca="1" si="50"/>
        <v>45203</v>
      </c>
      <c r="J3251" s="42">
        <f ca="1">TODAY()-qry_ProdData2_PDI_Cash_Exception_Application[[#This Row],[INSERT DATE]]</f>
        <v>6.7429282407392748</v>
      </c>
      <c r="K32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51">
        <f ca="1">qry_ProdData2_PDI_Cash_Exception_Application[[#This Row],[TODAY]]-qry_ProdData2_PDI_Cash_Exception_Application[[#This Row],[CHANGED ON]]</f>
        <v>-0.25707175926072523</v>
      </c>
      <c r="M3251">
        <f ca="1">qry_ProdData2_PDI_Cash_Exception_Application[[#This Row],[TODAY]]-qry_ProdData2_PDI_Cash_Exception_Application[[#This Row],[CHANGED ON]]</f>
        <v>-0.25707175926072523</v>
      </c>
      <c r="N3251">
        <f ca="1">qry_ProdData2_PDI_Cash_Exception_Application[[#This Row],[TODAY]]-qry_ProdData2_PDI_Cash_Exception_Application[[#This Row],[CHANGED ON]]</f>
        <v>-0.25707175926072523</v>
      </c>
    </row>
    <row r="3252" spans="1:14" x14ac:dyDescent="0.35">
      <c r="A3252">
        <v>1032</v>
      </c>
      <c r="B3252" t="s">
        <v>86</v>
      </c>
      <c r="C3252" s="1">
        <v>45185.257071759261</v>
      </c>
      <c r="D3252" t="str">
        <f ca="1">VLOOKUP(qry_ProdData2_PDI_Cash_Exception_Application[[#This Row],[TYPE]],#REF!,2,FALSE)</f>
        <v>type40</v>
      </c>
      <c r="E3252">
        <v>-681.93</v>
      </c>
      <c r="F3252" t="s">
        <v>50</v>
      </c>
      <c r="G3252" s="1">
        <f>qry_ProdData2_PDI_Cash_Exception_Application[[#This Row],[INSERT DATE]]+7</f>
        <v>45192.257071759261</v>
      </c>
      <c r="H3252" t="str">
        <f>VLOOKUP(qry_ProdData2_PDI_Cash_Exception_Application[[#This Row],[MARKET No]],'Site Allocation'!$B$2:$C$37,2,FALSE)</f>
        <v>Analyst6</v>
      </c>
      <c r="I3252" s="4">
        <f t="shared" ca="1" si="50"/>
        <v>45203</v>
      </c>
      <c r="J3252" s="42">
        <f ca="1">TODAY()-qry_ProdData2_PDI_Cash_Exception_Application[[#This Row],[INSERT DATE]]</f>
        <v>17.742928240739275</v>
      </c>
      <c r="K32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52">
        <f ca="1">qry_ProdData2_PDI_Cash_Exception_Application[[#This Row],[TODAY]]-qry_ProdData2_PDI_Cash_Exception_Application[[#This Row],[CHANGED ON]]</f>
        <v>10.742928240739275</v>
      </c>
      <c r="M3252">
        <f ca="1">qry_ProdData2_PDI_Cash_Exception_Application[[#This Row],[TODAY]]-qry_ProdData2_PDI_Cash_Exception_Application[[#This Row],[CHANGED ON]]</f>
        <v>10.742928240739275</v>
      </c>
      <c r="N3252">
        <f ca="1">qry_ProdData2_PDI_Cash_Exception_Application[[#This Row],[TODAY]]-qry_ProdData2_PDI_Cash_Exception_Application[[#This Row],[CHANGED ON]]</f>
        <v>10.742928240739275</v>
      </c>
    </row>
    <row r="3253" spans="1:14" x14ac:dyDescent="0.35">
      <c r="A3253">
        <v>1021</v>
      </c>
      <c r="B3253" t="s">
        <v>75</v>
      </c>
      <c r="C3253" s="1">
        <v>45186.257071759261</v>
      </c>
      <c r="D3253" t="str">
        <f ca="1">VLOOKUP(qry_ProdData2_PDI_Cash_Exception_Application[[#This Row],[TYPE]],#REF!,2,FALSE)</f>
        <v>type40</v>
      </c>
      <c r="E3253">
        <v>-394.02</v>
      </c>
      <c r="F3253" t="s">
        <v>52</v>
      </c>
      <c r="G3253" s="1">
        <f>qry_ProdData2_PDI_Cash_Exception_Application[[#This Row],[INSERT DATE]]+7</f>
        <v>45193.257071759261</v>
      </c>
      <c r="H3253" t="str">
        <f>VLOOKUP(qry_ProdData2_PDI_Cash_Exception_Application[[#This Row],[MARKET No]],'Site Allocation'!$B$2:$C$37,2,FALSE)</f>
        <v>Analyst4</v>
      </c>
      <c r="I3253" s="4">
        <f t="shared" ca="1" si="50"/>
        <v>45203</v>
      </c>
      <c r="J3253" s="42">
        <f ca="1">TODAY()-qry_ProdData2_PDI_Cash_Exception_Application[[#This Row],[INSERT DATE]]</f>
        <v>16.742928240739275</v>
      </c>
      <c r="K32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53">
        <f ca="1">qry_ProdData2_PDI_Cash_Exception_Application[[#This Row],[TODAY]]-qry_ProdData2_PDI_Cash_Exception_Application[[#This Row],[CHANGED ON]]</f>
        <v>9.7429282407392748</v>
      </c>
      <c r="M3253">
        <f ca="1">qry_ProdData2_PDI_Cash_Exception_Application[[#This Row],[TODAY]]-qry_ProdData2_PDI_Cash_Exception_Application[[#This Row],[CHANGED ON]]</f>
        <v>9.7429282407392748</v>
      </c>
      <c r="N3253">
        <f ca="1">qry_ProdData2_PDI_Cash_Exception_Application[[#This Row],[TODAY]]-qry_ProdData2_PDI_Cash_Exception_Application[[#This Row],[CHANGED ON]]</f>
        <v>9.7429282407392748</v>
      </c>
    </row>
    <row r="3254" spans="1:14" x14ac:dyDescent="0.35">
      <c r="A3254">
        <v>1027</v>
      </c>
      <c r="B3254" t="s">
        <v>81</v>
      </c>
      <c r="C3254" s="1">
        <v>45194.257071759261</v>
      </c>
      <c r="D3254" t="str">
        <f ca="1">VLOOKUP(qry_ProdData2_PDI_Cash_Exception_Application[[#This Row],[TYPE]],#REF!,2,FALSE)</f>
        <v>type40</v>
      </c>
      <c r="E3254">
        <v>34663.18</v>
      </c>
      <c r="F3254" t="s">
        <v>49</v>
      </c>
      <c r="G3254" s="1">
        <f>qry_ProdData2_PDI_Cash_Exception_Application[[#This Row],[INSERT DATE]]+2</f>
        <v>45196.257071759261</v>
      </c>
      <c r="H3254" t="str">
        <f>VLOOKUP(qry_ProdData2_PDI_Cash_Exception_Application[[#This Row],[MARKET No]],'Site Allocation'!$B$2:$C$37,2,FALSE)</f>
        <v>Analyst5</v>
      </c>
      <c r="I3254" s="4">
        <f t="shared" ca="1" si="50"/>
        <v>45203</v>
      </c>
      <c r="J3254" s="42">
        <f ca="1">TODAY()-qry_ProdData2_PDI_Cash_Exception_Application[[#This Row],[INSERT DATE]]</f>
        <v>8.7429282407392748</v>
      </c>
      <c r="K32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54">
        <f ca="1">qry_ProdData2_PDI_Cash_Exception_Application[[#This Row],[TODAY]]-qry_ProdData2_PDI_Cash_Exception_Application[[#This Row],[CHANGED ON]]</f>
        <v>6.7429282407392748</v>
      </c>
      <c r="M3254">
        <f ca="1">qry_ProdData2_PDI_Cash_Exception_Application[[#This Row],[TODAY]]-qry_ProdData2_PDI_Cash_Exception_Application[[#This Row],[CHANGED ON]]</f>
        <v>6.7429282407392748</v>
      </c>
      <c r="N3254">
        <f ca="1">qry_ProdData2_PDI_Cash_Exception_Application[[#This Row],[TODAY]]-qry_ProdData2_PDI_Cash_Exception_Application[[#This Row],[CHANGED ON]]</f>
        <v>6.7429282407392748</v>
      </c>
    </row>
    <row r="3255" spans="1:14" x14ac:dyDescent="0.35">
      <c r="A3255">
        <v>1005</v>
      </c>
      <c r="B3255" t="s">
        <v>59</v>
      </c>
      <c r="C3255" s="1">
        <v>45193.257071759261</v>
      </c>
      <c r="D3255" t="str">
        <f ca="1">VLOOKUP(qry_ProdData2_PDI_Cash_Exception_Application[[#This Row],[TYPE]],#REF!,2,FALSE)</f>
        <v>type40</v>
      </c>
      <c r="E3255">
        <v>-641.4</v>
      </c>
      <c r="F3255" t="s">
        <v>47</v>
      </c>
      <c r="G3255" s="1">
        <f>qry_ProdData2_PDI_Cash_Exception_Application[[#This Row],[INSERT DATE]]+7</f>
        <v>45200.257071759261</v>
      </c>
      <c r="H3255" t="str">
        <f>VLOOKUP(qry_ProdData2_PDI_Cash_Exception_Application[[#This Row],[MARKET No]],'Site Allocation'!$B$2:$C$37,2,FALSE)</f>
        <v>Analyst1</v>
      </c>
      <c r="I3255" s="4">
        <f t="shared" ca="1" si="50"/>
        <v>45203</v>
      </c>
      <c r="J3255" s="42">
        <f ca="1">TODAY()-qry_ProdData2_PDI_Cash_Exception_Application[[#This Row],[INSERT DATE]]</f>
        <v>9.7429282407392748</v>
      </c>
      <c r="K32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55">
        <f ca="1">qry_ProdData2_PDI_Cash_Exception_Application[[#This Row],[TODAY]]-qry_ProdData2_PDI_Cash_Exception_Application[[#This Row],[CHANGED ON]]</f>
        <v>2.7429282407392748</v>
      </c>
      <c r="M3255">
        <f ca="1">qry_ProdData2_PDI_Cash_Exception_Application[[#This Row],[TODAY]]-qry_ProdData2_PDI_Cash_Exception_Application[[#This Row],[CHANGED ON]]</f>
        <v>2.7429282407392748</v>
      </c>
      <c r="N3255">
        <f ca="1">qry_ProdData2_PDI_Cash_Exception_Application[[#This Row],[TODAY]]-qry_ProdData2_PDI_Cash_Exception_Application[[#This Row],[CHANGED ON]]</f>
        <v>2.7429282407392748</v>
      </c>
    </row>
    <row r="3256" spans="1:14" x14ac:dyDescent="0.35">
      <c r="A3256">
        <v>1022</v>
      </c>
      <c r="B3256" t="s">
        <v>76</v>
      </c>
      <c r="C3256" s="1">
        <v>45194.257071759261</v>
      </c>
      <c r="D3256" t="str">
        <f ca="1">VLOOKUP(qry_ProdData2_PDI_Cash_Exception_Application[[#This Row],[TYPE]],#REF!,2,FALSE)</f>
        <v>type33</v>
      </c>
      <c r="E3256">
        <v>330.2</v>
      </c>
      <c r="F3256" t="s">
        <v>49</v>
      </c>
      <c r="G3256" s="1">
        <f>qry_ProdData2_PDI_Cash_Exception_Application[[#This Row],[INSERT DATE]]+2</f>
        <v>45196.257071759261</v>
      </c>
      <c r="H3256" t="str">
        <f>VLOOKUP(qry_ProdData2_PDI_Cash_Exception_Application[[#This Row],[MARKET No]],'Site Allocation'!$B$2:$C$37,2,FALSE)</f>
        <v>Analyst4</v>
      </c>
      <c r="I3256" s="4">
        <f t="shared" ca="1" si="50"/>
        <v>45203</v>
      </c>
      <c r="J3256" s="42">
        <f ca="1">TODAY()-qry_ProdData2_PDI_Cash_Exception_Application[[#This Row],[INSERT DATE]]</f>
        <v>8.7429282407392748</v>
      </c>
      <c r="K32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56">
        <f ca="1">qry_ProdData2_PDI_Cash_Exception_Application[[#This Row],[TODAY]]-qry_ProdData2_PDI_Cash_Exception_Application[[#This Row],[CHANGED ON]]</f>
        <v>6.7429282407392748</v>
      </c>
      <c r="M3256">
        <f ca="1">qry_ProdData2_PDI_Cash_Exception_Application[[#This Row],[TODAY]]-qry_ProdData2_PDI_Cash_Exception_Application[[#This Row],[CHANGED ON]]</f>
        <v>6.7429282407392748</v>
      </c>
      <c r="N3256">
        <f ca="1">qry_ProdData2_PDI_Cash_Exception_Application[[#This Row],[TODAY]]-qry_ProdData2_PDI_Cash_Exception_Application[[#This Row],[CHANGED ON]]</f>
        <v>6.7429282407392748</v>
      </c>
    </row>
    <row r="3257" spans="1:14" x14ac:dyDescent="0.35">
      <c r="A3257">
        <v>1017</v>
      </c>
      <c r="B3257" t="s">
        <v>71</v>
      </c>
      <c r="C3257" s="1">
        <v>45197.257071759261</v>
      </c>
      <c r="D3257" t="str">
        <f ca="1">VLOOKUP(qry_ProdData2_PDI_Cash_Exception_Application[[#This Row],[TYPE]],#REF!,2,FALSE)</f>
        <v>type41</v>
      </c>
      <c r="E3257">
        <v>426.09</v>
      </c>
      <c r="F3257" t="s">
        <v>48</v>
      </c>
      <c r="G3257" s="1">
        <f>qry_ProdData2_PDI_Cash_Exception_Application[[#This Row],[INSERT DATE]]+2</f>
        <v>45199.257071759261</v>
      </c>
      <c r="H3257" t="str">
        <f>VLOOKUP(qry_ProdData2_PDI_Cash_Exception_Application[[#This Row],[MARKET No]],'Site Allocation'!$B$2:$C$37,2,FALSE)</f>
        <v>Analyst3</v>
      </c>
      <c r="I3257" s="4">
        <f t="shared" ca="1" si="50"/>
        <v>45203</v>
      </c>
      <c r="J3257" s="42">
        <f ca="1">TODAY()-qry_ProdData2_PDI_Cash_Exception_Application[[#This Row],[INSERT DATE]]</f>
        <v>5.7429282407392748</v>
      </c>
      <c r="K32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57">
        <f ca="1">qry_ProdData2_PDI_Cash_Exception_Application[[#This Row],[TODAY]]-qry_ProdData2_PDI_Cash_Exception_Application[[#This Row],[CHANGED ON]]</f>
        <v>3.7429282407392748</v>
      </c>
      <c r="M3257">
        <f ca="1">qry_ProdData2_PDI_Cash_Exception_Application[[#This Row],[TODAY]]-qry_ProdData2_PDI_Cash_Exception_Application[[#This Row],[CHANGED ON]]</f>
        <v>3.7429282407392748</v>
      </c>
      <c r="N3257">
        <f ca="1">qry_ProdData2_PDI_Cash_Exception_Application[[#This Row],[TODAY]]-qry_ProdData2_PDI_Cash_Exception_Application[[#This Row],[CHANGED ON]]</f>
        <v>3.7429282407392748</v>
      </c>
    </row>
    <row r="3258" spans="1:14" x14ac:dyDescent="0.35">
      <c r="A3258">
        <v>1019</v>
      </c>
      <c r="B3258" t="s">
        <v>73</v>
      </c>
      <c r="C3258" s="1">
        <v>45195.257071759261</v>
      </c>
      <c r="D3258" t="str">
        <f ca="1">VLOOKUP(qry_ProdData2_PDI_Cash_Exception_Application[[#This Row],[TYPE]],#REF!,2,FALSE)</f>
        <v>type40</v>
      </c>
      <c r="E3258">
        <v>-2712.98</v>
      </c>
      <c r="F3258" t="s">
        <v>47</v>
      </c>
      <c r="G3258" s="1">
        <f>qry_ProdData2_PDI_Cash_Exception_Application[[#This Row],[INSERT DATE]]+7</f>
        <v>45202.257071759261</v>
      </c>
      <c r="H3258" t="str">
        <f>VLOOKUP(qry_ProdData2_PDI_Cash_Exception_Application[[#This Row],[MARKET No]],'Site Allocation'!$B$2:$C$37,2,FALSE)</f>
        <v>Analyst4</v>
      </c>
      <c r="I3258" s="4">
        <f t="shared" ca="1" si="50"/>
        <v>45203</v>
      </c>
      <c r="J3258" s="42">
        <f ca="1">TODAY()-qry_ProdData2_PDI_Cash_Exception_Application[[#This Row],[INSERT DATE]]</f>
        <v>7.7429282407392748</v>
      </c>
      <c r="K32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58">
        <f ca="1">qry_ProdData2_PDI_Cash_Exception_Application[[#This Row],[TODAY]]-qry_ProdData2_PDI_Cash_Exception_Application[[#This Row],[CHANGED ON]]</f>
        <v>0.74292824073927477</v>
      </c>
      <c r="M3258">
        <f ca="1">qry_ProdData2_PDI_Cash_Exception_Application[[#This Row],[TODAY]]-qry_ProdData2_PDI_Cash_Exception_Application[[#This Row],[CHANGED ON]]</f>
        <v>0.74292824073927477</v>
      </c>
      <c r="N3258">
        <f ca="1">qry_ProdData2_PDI_Cash_Exception_Application[[#This Row],[TODAY]]-qry_ProdData2_PDI_Cash_Exception_Application[[#This Row],[CHANGED ON]]</f>
        <v>0.74292824073927477</v>
      </c>
    </row>
    <row r="3259" spans="1:14" x14ac:dyDescent="0.35">
      <c r="A3259">
        <v>1007</v>
      </c>
      <c r="B3259" t="s">
        <v>61</v>
      </c>
      <c r="C3259" s="1">
        <v>45190.257071759261</v>
      </c>
      <c r="D3259" t="str">
        <f ca="1">VLOOKUP(qry_ProdData2_PDI_Cash_Exception_Application[[#This Row],[TYPE]],#REF!,2,FALSE)</f>
        <v>type8</v>
      </c>
      <c r="E3259">
        <v>54.59</v>
      </c>
      <c r="F3259" t="s">
        <v>50</v>
      </c>
      <c r="G3259" s="1">
        <f>qry_ProdData2_PDI_Cash_Exception_Application[[#This Row],[INSERT DATE]]+7</f>
        <v>45197.257071759261</v>
      </c>
      <c r="H3259" t="str">
        <f>VLOOKUP(qry_ProdData2_PDI_Cash_Exception_Application[[#This Row],[MARKET No]],'Site Allocation'!$B$2:$C$37,2,FALSE)</f>
        <v>Analyst2</v>
      </c>
      <c r="I3259" s="4">
        <f t="shared" ca="1" si="50"/>
        <v>45203</v>
      </c>
      <c r="J3259" s="42">
        <f ca="1">TODAY()-qry_ProdData2_PDI_Cash_Exception_Application[[#This Row],[INSERT DATE]]</f>
        <v>12.742928240739275</v>
      </c>
      <c r="K32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59">
        <f ca="1">qry_ProdData2_PDI_Cash_Exception_Application[[#This Row],[TODAY]]-qry_ProdData2_PDI_Cash_Exception_Application[[#This Row],[CHANGED ON]]</f>
        <v>5.7429282407392748</v>
      </c>
      <c r="M3259">
        <f ca="1">qry_ProdData2_PDI_Cash_Exception_Application[[#This Row],[TODAY]]-qry_ProdData2_PDI_Cash_Exception_Application[[#This Row],[CHANGED ON]]</f>
        <v>5.7429282407392748</v>
      </c>
      <c r="N3259">
        <f ca="1">qry_ProdData2_PDI_Cash_Exception_Application[[#This Row],[TODAY]]-qry_ProdData2_PDI_Cash_Exception_Application[[#This Row],[CHANGED ON]]</f>
        <v>5.7429282407392748</v>
      </c>
    </row>
    <row r="3260" spans="1:14" x14ac:dyDescent="0.35">
      <c r="A3260">
        <v>1013</v>
      </c>
      <c r="B3260" t="s">
        <v>67</v>
      </c>
      <c r="C3260" s="1">
        <v>45197.257071759261</v>
      </c>
      <c r="D3260" t="str">
        <f ca="1">VLOOKUP(qry_ProdData2_PDI_Cash_Exception_Application[[#This Row],[TYPE]],#REF!,2,FALSE)</f>
        <v>type8</v>
      </c>
      <c r="E3260">
        <v>55</v>
      </c>
      <c r="F3260" t="s">
        <v>48</v>
      </c>
      <c r="G3260" s="1">
        <f>qry_ProdData2_PDI_Cash_Exception_Application[[#This Row],[INSERT DATE]]+1</f>
        <v>45198.257071759261</v>
      </c>
      <c r="H3260" t="str">
        <f>VLOOKUP(qry_ProdData2_PDI_Cash_Exception_Application[[#This Row],[MARKET No]],'Site Allocation'!$B$2:$C$37,2,FALSE)</f>
        <v>Analyst3</v>
      </c>
      <c r="I3260" s="4">
        <f t="shared" ca="1" si="50"/>
        <v>45203</v>
      </c>
      <c r="J3260" s="42">
        <f ca="1">TODAY()-qry_ProdData2_PDI_Cash_Exception_Application[[#This Row],[INSERT DATE]]</f>
        <v>5.7429282407392748</v>
      </c>
      <c r="K32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60">
        <f ca="1">qry_ProdData2_PDI_Cash_Exception_Application[[#This Row],[TODAY]]-qry_ProdData2_PDI_Cash_Exception_Application[[#This Row],[CHANGED ON]]</f>
        <v>4.7429282407392748</v>
      </c>
      <c r="M3260">
        <f ca="1">qry_ProdData2_PDI_Cash_Exception_Application[[#This Row],[TODAY]]-qry_ProdData2_PDI_Cash_Exception_Application[[#This Row],[CHANGED ON]]</f>
        <v>4.7429282407392748</v>
      </c>
      <c r="N3260">
        <f ca="1">qry_ProdData2_PDI_Cash_Exception_Application[[#This Row],[TODAY]]-qry_ProdData2_PDI_Cash_Exception_Application[[#This Row],[CHANGED ON]]</f>
        <v>4.7429282407392748</v>
      </c>
    </row>
    <row r="3261" spans="1:14" x14ac:dyDescent="0.35">
      <c r="A3261">
        <v>1014</v>
      </c>
      <c r="B3261" t="s">
        <v>68</v>
      </c>
      <c r="C3261" s="1">
        <v>45195.257071759261</v>
      </c>
      <c r="D3261" t="str">
        <f ca="1">VLOOKUP(qry_ProdData2_PDI_Cash_Exception_Application[[#This Row],[TYPE]],#REF!,2,FALSE)</f>
        <v>type40</v>
      </c>
      <c r="E3261">
        <v>-441.03</v>
      </c>
      <c r="F3261" t="s">
        <v>47</v>
      </c>
      <c r="G3261" s="1">
        <f>qry_ProdData2_PDI_Cash_Exception_Application[[#This Row],[INSERT DATE]]+5</f>
        <v>45200.257071759261</v>
      </c>
      <c r="H3261" t="str">
        <f>VLOOKUP(qry_ProdData2_PDI_Cash_Exception_Application[[#This Row],[MARKET No]],'Site Allocation'!$B$2:$C$37,2,FALSE)</f>
        <v>Analyst3</v>
      </c>
      <c r="I3261" s="4">
        <f t="shared" ca="1" si="50"/>
        <v>45203</v>
      </c>
      <c r="J3261" s="42">
        <f ca="1">TODAY()-qry_ProdData2_PDI_Cash_Exception_Application[[#This Row],[INSERT DATE]]</f>
        <v>7.7429282407392748</v>
      </c>
      <c r="K32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61">
        <f ca="1">qry_ProdData2_PDI_Cash_Exception_Application[[#This Row],[TODAY]]-qry_ProdData2_PDI_Cash_Exception_Application[[#This Row],[CHANGED ON]]</f>
        <v>2.7429282407392748</v>
      </c>
      <c r="M3261">
        <f ca="1">qry_ProdData2_PDI_Cash_Exception_Application[[#This Row],[TODAY]]-qry_ProdData2_PDI_Cash_Exception_Application[[#This Row],[CHANGED ON]]</f>
        <v>2.7429282407392748</v>
      </c>
      <c r="N3261">
        <f ca="1">qry_ProdData2_PDI_Cash_Exception_Application[[#This Row],[TODAY]]-qry_ProdData2_PDI_Cash_Exception_Application[[#This Row],[CHANGED ON]]</f>
        <v>2.7429282407392748</v>
      </c>
    </row>
    <row r="3262" spans="1:14" x14ac:dyDescent="0.35">
      <c r="A3262">
        <v>1026</v>
      </c>
      <c r="B3262" t="s">
        <v>80</v>
      </c>
      <c r="C3262" s="1">
        <v>45192.257071759261</v>
      </c>
      <c r="D3262" t="str">
        <f ca="1">VLOOKUP(qry_ProdData2_PDI_Cash_Exception_Application[[#This Row],[TYPE]],#REF!,2,FALSE)</f>
        <v>type40</v>
      </c>
      <c r="E3262">
        <v>2962.27</v>
      </c>
      <c r="F3262" t="s">
        <v>50</v>
      </c>
      <c r="G3262" s="1">
        <f>qry_ProdData2_PDI_Cash_Exception_Application[[#This Row],[INSERT DATE]]+7</f>
        <v>45199.257071759261</v>
      </c>
      <c r="H3262" t="str">
        <f>VLOOKUP(qry_ProdData2_PDI_Cash_Exception_Application[[#This Row],[MARKET No]],'Site Allocation'!$B$2:$C$37,2,FALSE)</f>
        <v>Analyst5</v>
      </c>
      <c r="I3262" s="4">
        <f t="shared" ca="1" si="50"/>
        <v>45203</v>
      </c>
      <c r="J3262" s="42">
        <f ca="1">TODAY()-qry_ProdData2_PDI_Cash_Exception_Application[[#This Row],[INSERT DATE]]</f>
        <v>10.742928240739275</v>
      </c>
      <c r="K32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62">
        <f ca="1">qry_ProdData2_PDI_Cash_Exception_Application[[#This Row],[TODAY]]-qry_ProdData2_PDI_Cash_Exception_Application[[#This Row],[CHANGED ON]]</f>
        <v>3.7429282407392748</v>
      </c>
      <c r="M3262">
        <f ca="1">qry_ProdData2_PDI_Cash_Exception_Application[[#This Row],[TODAY]]-qry_ProdData2_PDI_Cash_Exception_Application[[#This Row],[CHANGED ON]]</f>
        <v>3.7429282407392748</v>
      </c>
      <c r="N3262">
        <f ca="1">qry_ProdData2_PDI_Cash_Exception_Application[[#This Row],[TODAY]]-qry_ProdData2_PDI_Cash_Exception_Application[[#This Row],[CHANGED ON]]</f>
        <v>3.7429282407392748</v>
      </c>
    </row>
    <row r="3263" spans="1:14" x14ac:dyDescent="0.35">
      <c r="A3263">
        <v>1035</v>
      </c>
      <c r="B3263" t="s">
        <v>89</v>
      </c>
      <c r="C3263" s="1">
        <v>45193.257071759261</v>
      </c>
      <c r="D3263" t="str">
        <f ca="1">VLOOKUP(qry_ProdData2_PDI_Cash_Exception_Application[[#This Row],[TYPE]],#REF!,2,FALSE)</f>
        <v>type40</v>
      </c>
      <c r="E3263">
        <v>353.47</v>
      </c>
      <c r="F3263" t="s">
        <v>50</v>
      </c>
      <c r="G3263" s="1">
        <f>qry_ProdData2_PDI_Cash_Exception_Application[[#This Row],[INSERT DATE]]+1</f>
        <v>45194.257071759261</v>
      </c>
      <c r="H3263" t="str">
        <f>VLOOKUP(qry_ProdData2_PDI_Cash_Exception_Application[[#This Row],[MARKET No]],'Site Allocation'!$B$2:$C$37,2,FALSE)</f>
        <v>Analyst6</v>
      </c>
      <c r="I3263" s="4">
        <f t="shared" ca="1" si="50"/>
        <v>45203</v>
      </c>
      <c r="J3263" s="42">
        <f ca="1">TODAY()-qry_ProdData2_PDI_Cash_Exception_Application[[#This Row],[INSERT DATE]]</f>
        <v>9.7429282407392748</v>
      </c>
      <c r="K32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63">
        <f ca="1">qry_ProdData2_PDI_Cash_Exception_Application[[#This Row],[TODAY]]-qry_ProdData2_PDI_Cash_Exception_Application[[#This Row],[CHANGED ON]]</f>
        <v>8.7429282407392748</v>
      </c>
      <c r="M3263">
        <f ca="1">qry_ProdData2_PDI_Cash_Exception_Application[[#This Row],[TODAY]]-qry_ProdData2_PDI_Cash_Exception_Application[[#This Row],[CHANGED ON]]</f>
        <v>8.7429282407392748</v>
      </c>
      <c r="N3263">
        <f ca="1">qry_ProdData2_PDI_Cash_Exception_Application[[#This Row],[TODAY]]-qry_ProdData2_PDI_Cash_Exception_Application[[#This Row],[CHANGED ON]]</f>
        <v>8.7429282407392748</v>
      </c>
    </row>
    <row r="3264" spans="1:14" x14ac:dyDescent="0.35">
      <c r="A3264">
        <v>1033</v>
      </c>
      <c r="B3264" t="s">
        <v>87</v>
      </c>
      <c r="C3264" s="1">
        <v>45194.257071759261</v>
      </c>
      <c r="D3264" t="str">
        <f ca="1">VLOOKUP(qry_ProdData2_PDI_Cash_Exception_Application[[#This Row],[TYPE]],#REF!,2,FALSE)</f>
        <v>type53</v>
      </c>
      <c r="E3264">
        <v>176</v>
      </c>
      <c r="F3264" t="s">
        <v>50</v>
      </c>
      <c r="G3264" s="1">
        <f>qry_ProdData2_PDI_Cash_Exception_Application[[#This Row],[INSERT DATE]]+1</f>
        <v>45195.257071759261</v>
      </c>
      <c r="H3264" t="str">
        <f>VLOOKUP(qry_ProdData2_PDI_Cash_Exception_Application[[#This Row],[MARKET No]],'Site Allocation'!$B$2:$C$37,2,FALSE)</f>
        <v>Analyst6</v>
      </c>
      <c r="I3264" s="4">
        <f t="shared" ca="1" si="50"/>
        <v>45203</v>
      </c>
      <c r="J3264" s="42">
        <f ca="1">TODAY()-qry_ProdData2_PDI_Cash_Exception_Application[[#This Row],[INSERT DATE]]</f>
        <v>8.7429282407392748</v>
      </c>
      <c r="K32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64">
        <f ca="1">qry_ProdData2_PDI_Cash_Exception_Application[[#This Row],[TODAY]]-qry_ProdData2_PDI_Cash_Exception_Application[[#This Row],[CHANGED ON]]</f>
        <v>7.7429282407392748</v>
      </c>
      <c r="M3264">
        <f ca="1">qry_ProdData2_PDI_Cash_Exception_Application[[#This Row],[TODAY]]-qry_ProdData2_PDI_Cash_Exception_Application[[#This Row],[CHANGED ON]]</f>
        <v>7.7429282407392748</v>
      </c>
      <c r="N3264">
        <f ca="1">qry_ProdData2_PDI_Cash_Exception_Application[[#This Row],[TODAY]]-qry_ProdData2_PDI_Cash_Exception_Application[[#This Row],[CHANGED ON]]</f>
        <v>7.7429282407392748</v>
      </c>
    </row>
    <row r="3265" spans="1:14" x14ac:dyDescent="0.35">
      <c r="A3265">
        <v>1030</v>
      </c>
      <c r="B3265" t="s">
        <v>84</v>
      </c>
      <c r="C3265" s="1">
        <v>45197.257071759261</v>
      </c>
      <c r="D3265" t="str">
        <f ca="1">VLOOKUP(qry_ProdData2_PDI_Cash_Exception_Application[[#This Row],[TYPE]],#REF!,2,FALSE)</f>
        <v>type40</v>
      </c>
      <c r="E3265">
        <v>3387.22</v>
      </c>
      <c r="F3265" t="s">
        <v>48</v>
      </c>
      <c r="G3265" s="1">
        <f>qry_ProdData2_PDI_Cash_Exception_Application[[#This Row],[INSERT DATE]]+7</f>
        <v>45204.257071759261</v>
      </c>
      <c r="H3265" t="str">
        <f>VLOOKUP(qry_ProdData2_PDI_Cash_Exception_Application[[#This Row],[MARKET No]],'Site Allocation'!$B$2:$C$37,2,FALSE)</f>
        <v>Analyst6</v>
      </c>
      <c r="I3265" s="4">
        <f t="shared" ca="1" si="50"/>
        <v>45203</v>
      </c>
      <c r="J3265" s="42">
        <f ca="1">TODAY()-qry_ProdData2_PDI_Cash_Exception_Application[[#This Row],[INSERT DATE]]</f>
        <v>5.7429282407392748</v>
      </c>
      <c r="K32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65">
        <f ca="1">qry_ProdData2_PDI_Cash_Exception_Application[[#This Row],[TODAY]]-qry_ProdData2_PDI_Cash_Exception_Application[[#This Row],[CHANGED ON]]</f>
        <v>-1.2570717592607252</v>
      </c>
      <c r="M3265">
        <f ca="1">qry_ProdData2_PDI_Cash_Exception_Application[[#This Row],[TODAY]]-qry_ProdData2_PDI_Cash_Exception_Application[[#This Row],[CHANGED ON]]</f>
        <v>-1.2570717592607252</v>
      </c>
      <c r="N3265">
        <f ca="1">qry_ProdData2_PDI_Cash_Exception_Application[[#This Row],[TODAY]]-qry_ProdData2_PDI_Cash_Exception_Application[[#This Row],[CHANGED ON]]</f>
        <v>-1.2570717592607252</v>
      </c>
    </row>
    <row r="3266" spans="1:14" x14ac:dyDescent="0.35">
      <c r="A3266">
        <v>1029</v>
      </c>
      <c r="B3266" t="s">
        <v>83</v>
      </c>
      <c r="C3266" s="1">
        <v>45194.257071759261</v>
      </c>
      <c r="D3266" t="str">
        <f ca="1">VLOOKUP(qry_ProdData2_PDI_Cash_Exception_Application[[#This Row],[TYPE]],#REF!,2,FALSE)</f>
        <v>type13</v>
      </c>
      <c r="E3266">
        <v>29995</v>
      </c>
      <c r="F3266" t="s">
        <v>51</v>
      </c>
      <c r="G3266" s="1">
        <f>qry_ProdData2_PDI_Cash_Exception_Application[[#This Row],[INSERT DATE]]+7</f>
        <v>45201.257071759261</v>
      </c>
      <c r="H3266" t="str">
        <f>VLOOKUP(qry_ProdData2_PDI_Cash_Exception_Application[[#This Row],[MARKET No]],'Site Allocation'!$B$2:$C$37,2,FALSE)</f>
        <v>Analyst5</v>
      </c>
      <c r="I3266" s="4">
        <f t="shared" ref="I3266:I3329" ca="1" si="51">TODAY()</f>
        <v>45203</v>
      </c>
      <c r="J3266" s="42">
        <f ca="1">TODAY()-qry_ProdData2_PDI_Cash_Exception_Application[[#This Row],[INSERT DATE]]</f>
        <v>8.7429282407392748</v>
      </c>
      <c r="K32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66">
        <f ca="1">qry_ProdData2_PDI_Cash_Exception_Application[[#This Row],[TODAY]]-qry_ProdData2_PDI_Cash_Exception_Application[[#This Row],[CHANGED ON]]</f>
        <v>1.7429282407392748</v>
      </c>
      <c r="M3266">
        <f ca="1">qry_ProdData2_PDI_Cash_Exception_Application[[#This Row],[TODAY]]-qry_ProdData2_PDI_Cash_Exception_Application[[#This Row],[CHANGED ON]]</f>
        <v>1.7429282407392748</v>
      </c>
      <c r="N3266">
        <f ca="1">qry_ProdData2_PDI_Cash_Exception_Application[[#This Row],[TODAY]]-qry_ProdData2_PDI_Cash_Exception_Application[[#This Row],[CHANGED ON]]</f>
        <v>1.7429282407392748</v>
      </c>
    </row>
    <row r="3267" spans="1:14" x14ac:dyDescent="0.35">
      <c r="A3267">
        <v>1028</v>
      </c>
      <c r="B3267" t="s">
        <v>82</v>
      </c>
      <c r="C3267" s="1">
        <v>45193.257071759261</v>
      </c>
      <c r="D3267" t="str">
        <f ca="1">VLOOKUP(qry_ProdData2_PDI_Cash_Exception_Application[[#This Row],[TYPE]],#REF!,2,FALSE)</f>
        <v>type40</v>
      </c>
      <c r="E3267">
        <v>6.9</v>
      </c>
      <c r="F3267" t="s">
        <v>49</v>
      </c>
      <c r="G3267" s="1">
        <f>qry_ProdData2_PDI_Cash_Exception_Application[[#This Row],[INSERT DATE]]+2</f>
        <v>45195.257071759261</v>
      </c>
      <c r="H3267" t="str">
        <f>VLOOKUP(qry_ProdData2_PDI_Cash_Exception_Application[[#This Row],[MARKET No]],'Site Allocation'!$B$2:$C$37,2,FALSE)</f>
        <v>Analyst5</v>
      </c>
      <c r="I3267" s="4">
        <f t="shared" ca="1" si="51"/>
        <v>45203</v>
      </c>
      <c r="J3267" s="42">
        <f ca="1">TODAY()-qry_ProdData2_PDI_Cash_Exception_Application[[#This Row],[INSERT DATE]]</f>
        <v>9.7429282407392748</v>
      </c>
      <c r="K32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67">
        <f ca="1">qry_ProdData2_PDI_Cash_Exception_Application[[#This Row],[TODAY]]-qry_ProdData2_PDI_Cash_Exception_Application[[#This Row],[CHANGED ON]]</f>
        <v>7.7429282407392748</v>
      </c>
      <c r="M3267">
        <f ca="1">qry_ProdData2_PDI_Cash_Exception_Application[[#This Row],[TODAY]]-qry_ProdData2_PDI_Cash_Exception_Application[[#This Row],[CHANGED ON]]</f>
        <v>7.7429282407392748</v>
      </c>
      <c r="N3267">
        <f ca="1">qry_ProdData2_PDI_Cash_Exception_Application[[#This Row],[TODAY]]-qry_ProdData2_PDI_Cash_Exception_Application[[#This Row],[CHANGED ON]]</f>
        <v>7.7429282407392748</v>
      </c>
    </row>
    <row r="3268" spans="1:14" x14ac:dyDescent="0.35">
      <c r="A3268">
        <v>1026</v>
      </c>
      <c r="B3268" t="s">
        <v>80</v>
      </c>
      <c r="C3268" s="1">
        <v>45197.257071759261</v>
      </c>
      <c r="D3268" t="str">
        <f ca="1">VLOOKUP(qry_ProdData2_PDI_Cash_Exception_Application[[#This Row],[TYPE]],#REF!,2,FALSE)</f>
        <v>type52</v>
      </c>
      <c r="E3268">
        <v>492.75</v>
      </c>
      <c r="F3268" t="s">
        <v>48</v>
      </c>
      <c r="G3268" s="1">
        <f>qry_ProdData2_PDI_Cash_Exception_Application[[#This Row],[INSERT DATE]]+7</f>
        <v>45204.257071759261</v>
      </c>
      <c r="H3268" t="str">
        <f>VLOOKUP(qry_ProdData2_PDI_Cash_Exception_Application[[#This Row],[MARKET No]],'Site Allocation'!$B$2:$C$37,2,FALSE)</f>
        <v>Analyst5</v>
      </c>
      <c r="I3268" s="4">
        <f t="shared" ca="1" si="51"/>
        <v>45203</v>
      </c>
      <c r="J3268" s="42">
        <f ca="1">TODAY()-qry_ProdData2_PDI_Cash_Exception_Application[[#This Row],[INSERT DATE]]</f>
        <v>5.7429282407392748</v>
      </c>
      <c r="K32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68">
        <f ca="1">qry_ProdData2_PDI_Cash_Exception_Application[[#This Row],[TODAY]]-qry_ProdData2_PDI_Cash_Exception_Application[[#This Row],[CHANGED ON]]</f>
        <v>-1.2570717592607252</v>
      </c>
      <c r="M3268">
        <f ca="1">qry_ProdData2_PDI_Cash_Exception_Application[[#This Row],[TODAY]]-qry_ProdData2_PDI_Cash_Exception_Application[[#This Row],[CHANGED ON]]</f>
        <v>-1.2570717592607252</v>
      </c>
      <c r="N3268">
        <f ca="1">qry_ProdData2_PDI_Cash_Exception_Application[[#This Row],[TODAY]]-qry_ProdData2_PDI_Cash_Exception_Application[[#This Row],[CHANGED ON]]</f>
        <v>-1.2570717592607252</v>
      </c>
    </row>
    <row r="3269" spans="1:14" x14ac:dyDescent="0.35">
      <c r="A3269">
        <v>1015</v>
      </c>
      <c r="B3269" t="s">
        <v>69</v>
      </c>
      <c r="C3269" s="1">
        <v>45194.257071759261</v>
      </c>
      <c r="D3269" t="str">
        <f ca="1">VLOOKUP(qry_ProdData2_PDI_Cash_Exception_Application[[#This Row],[TYPE]],#REF!,2,FALSE)</f>
        <v>type40</v>
      </c>
      <c r="E3269">
        <v>-310.89999999999998</v>
      </c>
      <c r="F3269" t="s">
        <v>49</v>
      </c>
      <c r="G3269" s="1">
        <f>qry_ProdData2_PDI_Cash_Exception_Application[[#This Row],[INSERT DATE]]+5</f>
        <v>45199.257071759261</v>
      </c>
      <c r="H3269" t="str">
        <f>VLOOKUP(qry_ProdData2_PDI_Cash_Exception_Application[[#This Row],[MARKET No]],'Site Allocation'!$B$2:$C$37,2,FALSE)</f>
        <v>Analyst3</v>
      </c>
      <c r="I3269" s="4">
        <f t="shared" ca="1" si="51"/>
        <v>45203</v>
      </c>
      <c r="J3269" s="42">
        <f ca="1">TODAY()-qry_ProdData2_PDI_Cash_Exception_Application[[#This Row],[INSERT DATE]]</f>
        <v>8.7429282407392748</v>
      </c>
      <c r="K32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69">
        <f ca="1">qry_ProdData2_PDI_Cash_Exception_Application[[#This Row],[TODAY]]-qry_ProdData2_PDI_Cash_Exception_Application[[#This Row],[CHANGED ON]]</f>
        <v>3.7429282407392748</v>
      </c>
      <c r="M3269">
        <f ca="1">qry_ProdData2_PDI_Cash_Exception_Application[[#This Row],[TODAY]]-qry_ProdData2_PDI_Cash_Exception_Application[[#This Row],[CHANGED ON]]</f>
        <v>3.7429282407392748</v>
      </c>
      <c r="N3269">
        <f ca="1">qry_ProdData2_PDI_Cash_Exception_Application[[#This Row],[TODAY]]-qry_ProdData2_PDI_Cash_Exception_Application[[#This Row],[CHANGED ON]]</f>
        <v>3.7429282407392748</v>
      </c>
    </row>
    <row r="3270" spans="1:14" x14ac:dyDescent="0.35">
      <c r="A3270">
        <v>1014</v>
      </c>
      <c r="B3270" t="s">
        <v>68</v>
      </c>
      <c r="C3270" s="1">
        <v>45195.257071759261</v>
      </c>
      <c r="D3270" t="str">
        <f ca="1">VLOOKUP(qry_ProdData2_PDI_Cash_Exception_Application[[#This Row],[TYPE]],#REF!,2,FALSE)</f>
        <v>type15</v>
      </c>
      <c r="E3270">
        <v>4157.62</v>
      </c>
      <c r="F3270" t="s">
        <v>49</v>
      </c>
      <c r="G3270" s="1">
        <f>qry_ProdData2_PDI_Cash_Exception_Application[[#This Row],[INSERT DATE]]+7</f>
        <v>45202.257071759261</v>
      </c>
      <c r="H3270" t="str">
        <f>VLOOKUP(qry_ProdData2_PDI_Cash_Exception_Application[[#This Row],[MARKET No]],'Site Allocation'!$B$2:$C$37,2,FALSE)</f>
        <v>Analyst3</v>
      </c>
      <c r="I3270" s="4">
        <f t="shared" ca="1" si="51"/>
        <v>45203</v>
      </c>
      <c r="J3270" s="42">
        <f ca="1">TODAY()-qry_ProdData2_PDI_Cash_Exception_Application[[#This Row],[INSERT DATE]]</f>
        <v>7.7429282407392748</v>
      </c>
      <c r="K32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70">
        <f ca="1">qry_ProdData2_PDI_Cash_Exception_Application[[#This Row],[TODAY]]-qry_ProdData2_PDI_Cash_Exception_Application[[#This Row],[CHANGED ON]]</f>
        <v>0.74292824073927477</v>
      </c>
      <c r="M3270">
        <f ca="1">qry_ProdData2_PDI_Cash_Exception_Application[[#This Row],[TODAY]]-qry_ProdData2_PDI_Cash_Exception_Application[[#This Row],[CHANGED ON]]</f>
        <v>0.74292824073927477</v>
      </c>
      <c r="N3270">
        <f ca="1">qry_ProdData2_PDI_Cash_Exception_Application[[#This Row],[TODAY]]-qry_ProdData2_PDI_Cash_Exception_Application[[#This Row],[CHANGED ON]]</f>
        <v>0.74292824073927477</v>
      </c>
    </row>
    <row r="3271" spans="1:14" x14ac:dyDescent="0.35">
      <c r="A3271">
        <v>1031</v>
      </c>
      <c r="B3271" t="s">
        <v>85</v>
      </c>
      <c r="C3271" s="1">
        <v>45193.257071759261</v>
      </c>
      <c r="D3271" t="str">
        <f ca="1">VLOOKUP(qry_ProdData2_PDI_Cash_Exception_Application[[#This Row],[TYPE]],#REF!,2,FALSE)</f>
        <v>type2</v>
      </c>
      <c r="E3271">
        <v>1108</v>
      </c>
      <c r="F3271" t="s">
        <v>51</v>
      </c>
      <c r="G3271" s="1">
        <f>qry_ProdData2_PDI_Cash_Exception_Application[[#This Row],[INSERT DATE]]+2</f>
        <v>45195.257071759261</v>
      </c>
      <c r="H3271" t="str">
        <f>VLOOKUP(qry_ProdData2_PDI_Cash_Exception_Application[[#This Row],[MARKET No]],'Site Allocation'!$B$2:$C$37,2,FALSE)</f>
        <v>Analyst6</v>
      </c>
      <c r="I3271" s="4">
        <f t="shared" ca="1" si="51"/>
        <v>45203</v>
      </c>
      <c r="J3271" s="42">
        <f ca="1">TODAY()-qry_ProdData2_PDI_Cash_Exception_Application[[#This Row],[INSERT DATE]]</f>
        <v>9.7429282407392748</v>
      </c>
      <c r="K32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71">
        <f ca="1">qry_ProdData2_PDI_Cash_Exception_Application[[#This Row],[TODAY]]-qry_ProdData2_PDI_Cash_Exception_Application[[#This Row],[CHANGED ON]]</f>
        <v>7.7429282407392748</v>
      </c>
      <c r="M3271">
        <f ca="1">qry_ProdData2_PDI_Cash_Exception_Application[[#This Row],[TODAY]]-qry_ProdData2_PDI_Cash_Exception_Application[[#This Row],[CHANGED ON]]</f>
        <v>7.7429282407392748</v>
      </c>
      <c r="N3271">
        <f ca="1">qry_ProdData2_PDI_Cash_Exception_Application[[#This Row],[TODAY]]-qry_ProdData2_PDI_Cash_Exception_Application[[#This Row],[CHANGED ON]]</f>
        <v>7.7429282407392748</v>
      </c>
    </row>
    <row r="3272" spans="1:14" x14ac:dyDescent="0.35">
      <c r="A3272">
        <v>1012</v>
      </c>
      <c r="B3272" t="s">
        <v>66</v>
      </c>
      <c r="C3272" s="1">
        <v>45182.257071759261</v>
      </c>
      <c r="D3272" t="str">
        <f ca="1">VLOOKUP(qry_ProdData2_PDI_Cash_Exception_Application[[#This Row],[TYPE]],#REF!,2,FALSE)</f>
        <v>type40</v>
      </c>
      <c r="E3272">
        <v>-347.12</v>
      </c>
      <c r="F3272" t="s">
        <v>50</v>
      </c>
      <c r="G3272" s="1">
        <f>qry_ProdData2_PDI_Cash_Exception_Application[[#This Row],[INSERT DATE]]+1</f>
        <v>45183.257071759261</v>
      </c>
      <c r="H3272" t="str">
        <f>VLOOKUP(qry_ProdData2_PDI_Cash_Exception_Application[[#This Row],[MARKET No]],'Site Allocation'!$B$2:$C$37,2,FALSE)</f>
        <v>Analyst3</v>
      </c>
      <c r="I3272" s="4">
        <f t="shared" ca="1" si="51"/>
        <v>45203</v>
      </c>
      <c r="J3272" s="42">
        <f ca="1">TODAY()-qry_ProdData2_PDI_Cash_Exception_Application[[#This Row],[INSERT DATE]]</f>
        <v>20.742928240739275</v>
      </c>
      <c r="K32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72">
        <f ca="1">qry_ProdData2_PDI_Cash_Exception_Application[[#This Row],[TODAY]]-qry_ProdData2_PDI_Cash_Exception_Application[[#This Row],[CHANGED ON]]</f>
        <v>19.742928240739275</v>
      </c>
      <c r="M3272">
        <f ca="1">qry_ProdData2_PDI_Cash_Exception_Application[[#This Row],[TODAY]]-qry_ProdData2_PDI_Cash_Exception_Application[[#This Row],[CHANGED ON]]</f>
        <v>19.742928240739275</v>
      </c>
      <c r="N3272">
        <f ca="1">qry_ProdData2_PDI_Cash_Exception_Application[[#This Row],[TODAY]]-qry_ProdData2_PDI_Cash_Exception_Application[[#This Row],[CHANGED ON]]</f>
        <v>19.742928240739275</v>
      </c>
    </row>
    <row r="3273" spans="1:14" x14ac:dyDescent="0.35">
      <c r="A3273">
        <v>1017</v>
      </c>
      <c r="B3273" t="s">
        <v>71</v>
      </c>
      <c r="C3273" s="1">
        <v>45196.257071759261</v>
      </c>
      <c r="D3273" t="str">
        <f ca="1">VLOOKUP(qry_ProdData2_PDI_Cash_Exception_Application[[#This Row],[TYPE]],#REF!,2,FALSE)</f>
        <v>type7</v>
      </c>
      <c r="E3273">
        <v>1875.7</v>
      </c>
      <c r="F3273" t="s">
        <v>48</v>
      </c>
      <c r="G3273" s="1">
        <f>qry_ProdData2_PDI_Cash_Exception_Application[[#This Row],[INSERT DATE]]+2</f>
        <v>45198.257071759261</v>
      </c>
      <c r="H3273" t="str">
        <f>VLOOKUP(qry_ProdData2_PDI_Cash_Exception_Application[[#This Row],[MARKET No]],'Site Allocation'!$B$2:$C$37,2,FALSE)</f>
        <v>Analyst3</v>
      </c>
      <c r="I3273" s="4">
        <f t="shared" ca="1" si="51"/>
        <v>45203</v>
      </c>
      <c r="J3273" s="42">
        <f ca="1">TODAY()-qry_ProdData2_PDI_Cash_Exception_Application[[#This Row],[INSERT DATE]]</f>
        <v>6.7429282407392748</v>
      </c>
      <c r="K32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73">
        <f ca="1">qry_ProdData2_PDI_Cash_Exception_Application[[#This Row],[TODAY]]-qry_ProdData2_PDI_Cash_Exception_Application[[#This Row],[CHANGED ON]]</f>
        <v>4.7429282407392748</v>
      </c>
      <c r="M3273">
        <f ca="1">qry_ProdData2_PDI_Cash_Exception_Application[[#This Row],[TODAY]]-qry_ProdData2_PDI_Cash_Exception_Application[[#This Row],[CHANGED ON]]</f>
        <v>4.7429282407392748</v>
      </c>
      <c r="N3273">
        <f ca="1">qry_ProdData2_PDI_Cash_Exception_Application[[#This Row],[TODAY]]-qry_ProdData2_PDI_Cash_Exception_Application[[#This Row],[CHANGED ON]]</f>
        <v>4.7429282407392748</v>
      </c>
    </row>
    <row r="3274" spans="1:14" x14ac:dyDescent="0.35">
      <c r="A3274">
        <v>1011</v>
      </c>
      <c r="B3274" t="s">
        <v>65</v>
      </c>
      <c r="C3274" s="1">
        <v>45193.257071759261</v>
      </c>
      <c r="D3274" t="str">
        <f ca="1">VLOOKUP(qry_ProdData2_PDI_Cash_Exception_Application[[#This Row],[TYPE]],#REF!,2,FALSE)</f>
        <v>type38</v>
      </c>
      <c r="E3274">
        <v>150.4</v>
      </c>
      <c r="F3274" t="s">
        <v>49</v>
      </c>
      <c r="G3274" s="1">
        <f>qry_ProdData2_PDI_Cash_Exception_Application[[#This Row],[INSERT DATE]]+7</f>
        <v>45200.257071759261</v>
      </c>
      <c r="H3274" t="str">
        <f>VLOOKUP(qry_ProdData2_PDI_Cash_Exception_Application[[#This Row],[MARKET No]],'Site Allocation'!$B$2:$C$37,2,FALSE)</f>
        <v>Analyst2</v>
      </c>
      <c r="I3274" s="4">
        <f t="shared" ca="1" si="51"/>
        <v>45203</v>
      </c>
      <c r="J3274" s="42">
        <f ca="1">TODAY()-qry_ProdData2_PDI_Cash_Exception_Application[[#This Row],[INSERT DATE]]</f>
        <v>9.7429282407392748</v>
      </c>
      <c r="K32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74">
        <f ca="1">qry_ProdData2_PDI_Cash_Exception_Application[[#This Row],[TODAY]]-qry_ProdData2_PDI_Cash_Exception_Application[[#This Row],[CHANGED ON]]</f>
        <v>2.7429282407392748</v>
      </c>
      <c r="M3274">
        <f ca="1">qry_ProdData2_PDI_Cash_Exception_Application[[#This Row],[TODAY]]-qry_ProdData2_PDI_Cash_Exception_Application[[#This Row],[CHANGED ON]]</f>
        <v>2.7429282407392748</v>
      </c>
      <c r="N3274">
        <f ca="1">qry_ProdData2_PDI_Cash_Exception_Application[[#This Row],[TODAY]]-qry_ProdData2_PDI_Cash_Exception_Application[[#This Row],[CHANGED ON]]</f>
        <v>2.7429282407392748</v>
      </c>
    </row>
    <row r="3275" spans="1:14" x14ac:dyDescent="0.35">
      <c r="A3275">
        <v>1016</v>
      </c>
      <c r="B3275" t="s">
        <v>70</v>
      </c>
      <c r="C3275" s="1">
        <v>45184.257071759261</v>
      </c>
      <c r="D3275" t="str">
        <f ca="1">VLOOKUP(qry_ProdData2_PDI_Cash_Exception_Application[[#This Row],[TYPE]],#REF!,2,FALSE)</f>
        <v>type40</v>
      </c>
      <c r="E3275">
        <v>-464.4</v>
      </c>
      <c r="F3275" t="s">
        <v>52</v>
      </c>
      <c r="G3275" s="1">
        <f>qry_ProdData2_PDI_Cash_Exception_Application[[#This Row],[INSERT DATE]]+1</f>
        <v>45185.257071759261</v>
      </c>
      <c r="H3275" t="str">
        <f>VLOOKUP(qry_ProdData2_PDI_Cash_Exception_Application[[#This Row],[MARKET No]],'Site Allocation'!$B$2:$C$37,2,FALSE)</f>
        <v>Analyst3</v>
      </c>
      <c r="I3275" s="4">
        <f t="shared" ca="1" si="51"/>
        <v>45203</v>
      </c>
      <c r="J3275" s="42">
        <f ca="1">TODAY()-qry_ProdData2_PDI_Cash_Exception_Application[[#This Row],[INSERT DATE]]</f>
        <v>18.742928240739275</v>
      </c>
      <c r="K32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75">
        <f ca="1">qry_ProdData2_PDI_Cash_Exception_Application[[#This Row],[TODAY]]-qry_ProdData2_PDI_Cash_Exception_Application[[#This Row],[CHANGED ON]]</f>
        <v>17.742928240739275</v>
      </c>
      <c r="M3275">
        <f ca="1">qry_ProdData2_PDI_Cash_Exception_Application[[#This Row],[TODAY]]-qry_ProdData2_PDI_Cash_Exception_Application[[#This Row],[CHANGED ON]]</f>
        <v>17.742928240739275</v>
      </c>
      <c r="N3275">
        <f ca="1">qry_ProdData2_PDI_Cash_Exception_Application[[#This Row],[TODAY]]-qry_ProdData2_PDI_Cash_Exception_Application[[#This Row],[CHANGED ON]]</f>
        <v>17.742928240739275</v>
      </c>
    </row>
    <row r="3276" spans="1:14" x14ac:dyDescent="0.35">
      <c r="A3276">
        <v>1011</v>
      </c>
      <c r="B3276" t="s">
        <v>65</v>
      </c>
      <c r="C3276" s="1">
        <v>45194.257071759261</v>
      </c>
      <c r="D3276" t="str">
        <f ca="1">VLOOKUP(qry_ProdData2_PDI_Cash_Exception_Application[[#This Row],[TYPE]],#REF!,2,FALSE)</f>
        <v>type40</v>
      </c>
      <c r="E3276">
        <v>555.41999999999996</v>
      </c>
      <c r="F3276" t="s">
        <v>47</v>
      </c>
      <c r="G3276" s="1">
        <f>qry_ProdData2_PDI_Cash_Exception_Application[[#This Row],[INSERT DATE]]+7</f>
        <v>45201.257071759261</v>
      </c>
      <c r="H3276" t="str">
        <f>VLOOKUP(qry_ProdData2_PDI_Cash_Exception_Application[[#This Row],[MARKET No]],'Site Allocation'!$B$2:$C$37,2,FALSE)</f>
        <v>Analyst2</v>
      </c>
      <c r="I3276" s="4">
        <f t="shared" ca="1" si="51"/>
        <v>45203</v>
      </c>
      <c r="J3276" s="42">
        <f ca="1">TODAY()-qry_ProdData2_PDI_Cash_Exception_Application[[#This Row],[INSERT DATE]]</f>
        <v>8.7429282407392748</v>
      </c>
      <c r="K32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76">
        <f ca="1">qry_ProdData2_PDI_Cash_Exception_Application[[#This Row],[TODAY]]-qry_ProdData2_PDI_Cash_Exception_Application[[#This Row],[CHANGED ON]]</f>
        <v>1.7429282407392748</v>
      </c>
      <c r="M3276">
        <f ca="1">qry_ProdData2_PDI_Cash_Exception_Application[[#This Row],[TODAY]]-qry_ProdData2_PDI_Cash_Exception_Application[[#This Row],[CHANGED ON]]</f>
        <v>1.7429282407392748</v>
      </c>
      <c r="N3276">
        <f ca="1">qry_ProdData2_PDI_Cash_Exception_Application[[#This Row],[TODAY]]-qry_ProdData2_PDI_Cash_Exception_Application[[#This Row],[CHANGED ON]]</f>
        <v>1.7429282407392748</v>
      </c>
    </row>
    <row r="3277" spans="1:14" x14ac:dyDescent="0.35">
      <c r="A3277">
        <v>1019</v>
      </c>
      <c r="B3277" t="s">
        <v>73</v>
      </c>
      <c r="C3277" s="1">
        <v>45194.257071759261</v>
      </c>
      <c r="D3277" t="str">
        <f ca="1">VLOOKUP(qry_ProdData2_PDI_Cash_Exception_Application[[#This Row],[TYPE]],#REF!,2,FALSE)</f>
        <v>type40</v>
      </c>
      <c r="E3277">
        <v>2389.7600000000002</v>
      </c>
      <c r="F3277" t="s">
        <v>51</v>
      </c>
      <c r="G3277" s="1">
        <f>qry_ProdData2_PDI_Cash_Exception_Application[[#This Row],[INSERT DATE]]+2</f>
        <v>45196.257071759261</v>
      </c>
      <c r="H3277" t="str">
        <f>VLOOKUP(qry_ProdData2_PDI_Cash_Exception_Application[[#This Row],[MARKET No]],'Site Allocation'!$B$2:$C$37,2,FALSE)</f>
        <v>Analyst4</v>
      </c>
      <c r="I3277" s="4">
        <f t="shared" ca="1" si="51"/>
        <v>45203</v>
      </c>
      <c r="J3277" s="42">
        <f ca="1">TODAY()-qry_ProdData2_PDI_Cash_Exception_Application[[#This Row],[INSERT DATE]]</f>
        <v>8.7429282407392748</v>
      </c>
      <c r="K32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77">
        <f ca="1">qry_ProdData2_PDI_Cash_Exception_Application[[#This Row],[TODAY]]-qry_ProdData2_PDI_Cash_Exception_Application[[#This Row],[CHANGED ON]]</f>
        <v>6.7429282407392748</v>
      </c>
      <c r="M3277">
        <f ca="1">qry_ProdData2_PDI_Cash_Exception_Application[[#This Row],[TODAY]]-qry_ProdData2_PDI_Cash_Exception_Application[[#This Row],[CHANGED ON]]</f>
        <v>6.7429282407392748</v>
      </c>
      <c r="N3277">
        <f ca="1">qry_ProdData2_PDI_Cash_Exception_Application[[#This Row],[TODAY]]-qry_ProdData2_PDI_Cash_Exception_Application[[#This Row],[CHANGED ON]]</f>
        <v>6.7429282407392748</v>
      </c>
    </row>
    <row r="3278" spans="1:14" x14ac:dyDescent="0.35">
      <c r="A3278">
        <v>1035</v>
      </c>
      <c r="B3278" t="s">
        <v>89</v>
      </c>
      <c r="C3278" s="1">
        <v>45193.257071759261</v>
      </c>
      <c r="D3278" t="str">
        <f ca="1">VLOOKUP(qry_ProdData2_PDI_Cash_Exception_Application[[#This Row],[TYPE]],#REF!,2,FALSE)</f>
        <v>type13</v>
      </c>
      <c r="E3278">
        <v>31371.87</v>
      </c>
      <c r="F3278" t="s">
        <v>51</v>
      </c>
      <c r="G3278" s="1">
        <f>qry_ProdData2_PDI_Cash_Exception_Application[[#This Row],[INSERT DATE]]+2</f>
        <v>45195.257071759261</v>
      </c>
      <c r="H3278" t="str">
        <f>VLOOKUP(qry_ProdData2_PDI_Cash_Exception_Application[[#This Row],[MARKET No]],'Site Allocation'!$B$2:$C$37,2,FALSE)</f>
        <v>Analyst6</v>
      </c>
      <c r="I3278" s="4">
        <f t="shared" ca="1" si="51"/>
        <v>45203</v>
      </c>
      <c r="J3278" s="42">
        <f ca="1">TODAY()-qry_ProdData2_PDI_Cash_Exception_Application[[#This Row],[INSERT DATE]]</f>
        <v>9.7429282407392748</v>
      </c>
      <c r="K32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78">
        <f ca="1">qry_ProdData2_PDI_Cash_Exception_Application[[#This Row],[TODAY]]-qry_ProdData2_PDI_Cash_Exception_Application[[#This Row],[CHANGED ON]]</f>
        <v>7.7429282407392748</v>
      </c>
      <c r="M3278">
        <f ca="1">qry_ProdData2_PDI_Cash_Exception_Application[[#This Row],[TODAY]]-qry_ProdData2_PDI_Cash_Exception_Application[[#This Row],[CHANGED ON]]</f>
        <v>7.7429282407392748</v>
      </c>
      <c r="N3278">
        <f ca="1">qry_ProdData2_PDI_Cash_Exception_Application[[#This Row],[TODAY]]-qry_ProdData2_PDI_Cash_Exception_Application[[#This Row],[CHANGED ON]]</f>
        <v>7.7429282407392748</v>
      </c>
    </row>
    <row r="3279" spans="1:14" x14ac:dyDescent="0.35">
      <c r="A3279">
        <v>1033</v>
      </c>
      <c r="B3279" t="s">
        <v>87</v>
      </c>
      <c r="C3279" s="1">
        <v>45194.257071759261</v>
      </c>
      <c r="D3279" t="str">
        <f ca="1">VLOOKUP(qry_ProdData2_PDI_Cash_Exception_Application[[#This Row],[TYPE]],#REF!,2,FALSE)</f>
        <v>type40</v>
      </c>
      <c r="E3279">
        <v>11.99</v>
      </c>
      <c r="F3279" t="s">
        <v>51</v>
      </c>
      <c r="G3279" s="1">
        <f>qry_ProdData2_PDI_Cash_Exception_Application[[#This Row],[INSERT DATE]]+7</f>
        <v>45201.257071759261</v>
      </c>
      <c r="H3279" t="str">
        <f>VLOOKUP(qry_ProdData2_PDI_Cash_Exception_Application[[#This Row],[MARKET No]],'Site Allocation'!$B$2:$C$37,2,FALSE)</f>
        <v>Analyst6</v>
      </c>
      <c r="I3279" s="4">
        <f t="shared" ca="1" si="51"/>
        <v>45203</v>
      </c>
      <c r="J3279" s="42">
        <f ca="1">TODAY()-qry_ProdData2_PDI_Cash_Exception_Application[[#This Row],[INSERT DATE]]</f>
        <v>8.7429282407392748</v>
      </c>
      <c r="K32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79">
        <f ca="1">qry_ProdData2_PDI_Cash_Exception_Application[[#This Row],[TODAY]]-qry_ProdData2_PDI_Cash_Exception_Application[[#This Row],[CHANGED ON]]</f>
        <v>1.7429282407392748</v>
      </c>
      <c r="M3279">
        <f ca="1">qry_ProdData2_PDI_Cash_Exception_Application[[#This Row],[TODAY]]-qry_ProdData2_PDI_Cash_Exception_Application[[#This Row],[CHANGED ON]]</f>
        <v>1.7429282407392748</v>
      </c>
      <c r="N3279">
        <f ca="1">qry_ProdData2_PDI_Cash_Exception_Application[[#This Row],[TODAY]]-qry_ProdData2_PDI_Cash_Exception_Application[[#This Row],[CHANGED ON]]</f>
        <v>1.7429282407392748</v>
      </c>
    </row>
    <row r="3280" spans="1:14" x14ac:dyDescent="0.35">
      <c r="A3280">
        <v>1029</v>
      </c>
      <c r="B3280" t="s">
        <v>83</v>
      </c>
      <c r="C3280" s="1">
        <v>45193.257071759261</v>
      </c>
      <c r="D3280" t="str">
        <f ca="1">VLOOKUP(qry_ProdData2_PDI_Cash_Exception_Application[[#This Row],[TYPE]],#REF!,2,FALSE)</f>
        <v>type40</v>
      </c>
      <c r="E3280">
        <v>-716.33</v>
      </c>
      <c r="F3280" t="s">
        <v>51</v>
      </c>
      <c r="G3280" s="1">
        <f>qry_ProdData2_PDI_Cash_Exception_Application[[#This Row],[INSERT DATE]]+7</f>
        <v>45200.257071759261</v>
      </c>
      <c r="H3280" t="str">
        <f>VLOOKUP(qry_ProdData2_PDI_Cash_Exception_Application[[#This Row],[MARKET No]],'Site Allocation'!$B$2:$C$37,2,FALSE)</f>
        <v>Analyst5</v>
      </c>
      <c r="I3280" s="4">
        <f t="shared" ca="1" si="51"/>
        <v>45203</v>
      </c>
      <c r="J3280" s="42">
        <f ca="1">TODAY()-qry_ProdData2_PDI_Cash_Exception_Application[[#This Row],[INSERT DATE]]</f>
        <v>9.7429282407392748</v>
      </c>
      <c r="K32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80">
        <f ca="1">qry_ProdData2_PDI_Cash_Exception_Application[[#This Row],[TODAY]]-qry_ProdData2_PDI_Cash_Exception_Application[[#This Row],[CHANGED ON]]</f>
        <v>2.7429282407392748</v>
      </c>
      <c r="M3280">
        <f ca="1">qry_ProdData2_PDI_Cash_Exception_Application[[#This Row],[TODAY]]-qry_ProdData2_PDI_Cash_Exception_Application[[#This Row],[CHANGED ON]]</f>
        <v>2.7429282407392748</v>
      </c>
      <c r="N3280">
        <f ca="1">qry_ProdData2_PDI_Cash_Exception_Application[[#This Row],[TODAY]]-qry_ProdData2_PDI_Cash_Exception_Application[[#This Row],[CHANGED ON]]</f>
        <v>2.7429282407392748</v>
      </c>
    </row>
    <row r="3281" spans="1:14" x14ac:dyDescent="0.35">
      <c r="A3281">
        <v>1011</v>
      </c>
      <c r="B3281" t="s">
        <v>65</v>
      </c>
      <c r="C3281" s="1">
        <v>45196.257071759261</v>
      </c>
      <c r="D3281" t="str">
        <f ca="1">VLOOKUP(qry_ProdData2_PDI_Cash_Exception_Application[[#This Row],[TYPE]],#REF!,2,FALSE)</f>
        <v>type40</v>
      </c>
      <c r="E3281">
        <v>4273</v>
      </c>
      <c r="F3281" t="s">
        <v>48</v>
      </c>
      <c r="G3281" s="1">
        <f>qry_ProdData2_PDI_Cash_Exception_Application[[#This Row],[INSERT DATE]]+2</f>
        <v>45198.257071759261</v>
      </c>
      <c r="H3281" t="str">
        <f>VLOOKUP(qry_ProdData2_PDI_Cash_Exception_Application[[#This Row],[MARKET No]],'Site Allocation'!$B$2:$C$37,2,FALSE)</f>
        <v>Analyst2</v>
      </c>
      <c r="I3281" s="4">
        <f t="shared" ca="1" si="51"/>
        <v>45203</v>
      </c>
      <c r="J3281" s="42">
        <f ca="1">TODAY()-qry_ProdData2_PDI_Cash_Exception_Application[[#This Row],[INSERT DATE]]</f>
        <v>6.7429282407392748</v>
      </c>
      <c r="K32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81">
        <f ca="1">qry_ProdData2_PDI_Cash_Exception_Application[[#This Row],[TODAY]]-qry_ProdData2_PDI_Cash_Exception_Application[[#This Row],[CHANGED ON]]</f>
        <v>4.7429282407392748</v>
      </c>
      <c r="M3281">
        <f ca="1">qry_ProdData2_PDI_Cash_Exception_Application[[#This Row],[TODAY]]-qry_ProdData2_PDI_Cash_Exception_Application[[#This Row],[CHANGED ON]]</f>
        <v>4.7429282407392748</v>
      </c>
      <c r="N3281">
        <f ca="1">qry_ProdData2_PDI_Cash_Exception_Application[[#This Row],[TODAY]]-qry_ProdData2_PDI_Cash_Exception_Application[[#This Row],[CHANGED ON]]</f>
        <v>4.7429282407392748</v>
      </c>
    </row>
    <row r="3282" spans="1:14" x14ac:dyDescent="0.35">
      <c r="A3282">
        <v>1003</v>
      </c>
      <c r="B3282" t="s">
        <v>57</v>
      </c>
      <c r="C3282" s="1">
        <v>45194.257071759261</v>
      </c>
      <c r="D3282" t="str">
        <f ca="1">VLOOKUP(qry_ProdData2_PDI_Cash_Exception_Application[[#This Row],[TYPE]],#REF!,2,FALSE)</f>
        <v>type40</v>
      </c>
      <c r="E3282">
        <v>2004.8</v>
      </c>
      <c r="F3282" t="s">
        <v>51</v>
      </c>
      <c r="G3282" s="1">
        <f>qry_ProdData2_PDI_Cash_Exception_Application[[#This Row],[INSERT DATE]]+7</f>
        <v>45201.257071759261</v>
      </c>
      <c r="H3282" t="str">
        <f>VLOOKUP(qry_ProdData2_PDI_Cash_Exception_Application[[#This Row],[MARKET No]],'Site Allocation'!$B$2:$C$37,2,FALSE)</f>
        <v>Analyst1</v>
      </c>
      <c r="I3282" s="4">
        <f t="shared" ca="1" si="51"/>
        <v>45203</v>
      </c>
      <c r="J3282" s="42">
        <f ca="1">TODAY()-qry_ProdData2_PDI_Cash_Exception_Application[[#This Row],[INSERT DATE]]</f>
        <v>8.7429282407392748</v>
      </c>
      <c r="K32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82">
        <f ca="1">qry_ProdData2_PDI_Cash_Exception_Application[[#This Row],[TODAY]]-qry_ProdData2_PDI_Cash_Exception_Application[[#This Row],[CHANGED ON]]</f>
        <v>1.7429282407392748</v>
      </c>
      <c r="M3282">
        <f ca="1">qry_ProdData2_PDI_Cash_Exception_Application[[#This Row],[TODAY]]-qry_ProdData2_PDI_Cash_Exception_Application[[#This Row],[CHANGED ON]]</f>
        <v>1.7429282407392748</v>
      </c>
      <c r="N3282">
        <f ca="1">qry_ProdData2_PDI_Cash_Exception_Application[[#This Row],[TODAY]]-qry_ProdData2_PDI_Cash_Exception_Application[[#This Row],[CHANGED ON]]</f>
        <v>1.7429282407392748</v>
      </c>
    </row>
    <row r="3283" spans="1:14" x14ac:dyDescent="0.35">
      <c r="A3283">
        <v>1024</v>
      </c>
      <c r="B3283" t="s">
        <v>78</v>
      </c>
      <c r="C3283" s="1">
        <v>45196.257071759261</v>
      </c>
      <c r="D3283" t="str">
        <f ca="1">VLOOKUP(qry_ProdData2_PDI_Cash_Exception_Application[[#This Row],[TYPE]],#REF!,2,FALSE)</f>
        <v>type40</v>
      </c>
      <c r="E3283">
        <v>-361.11</v>
      </c>
      <c r="F3283" t="s">
        <v>48</v>
      </c>
      <c r="G3283" s="1">
        <f>qry_ProdData2_PDI_Cash_Exception_Application[[#This Row],[INSERT DATE]]+7</f>
        <v>45203.257071759261</v>
      </c>
      <c r="H3283" t="str">
        <f>VLOOKUP(qry_ProdData2_PDI_Cash_Exception_Application[[#This Row],[MARKET No]],'Site Allocation'!$B$2:$C$37,2,FALSE)</f>
        <v>Analyst5</v>
      </c>
      <c r="I3283" s="4">
        <f t="shared" ca="1" si="51"/>
        <v>45203</v>
      </c>
      <c r="J3283" s="42">
        <f ca="1">TODAY()-qry_ProdData2_PDI_Cash_Exception_Application[[#This Row],[INSERT DATE]]</f>
        <v>6.7429282407392748</v>
      </c>
      <c r="K32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83">
        <f ca="1">qry_ProdData2_PDI_Cash_Exception_Application[[#This Row],[TODAY]]-qry_ProdData2_PDI_Cash_Exception_Application[[#This Row],[CHANGED ON]]</f>
        <v>-0.25707175926072523</v>
      </c>
      <c r="M3283">
        <f ca="1">qry_ProdData2_PDI_Cash_Exception_Application[[#This Row],[TODAY]]-qry_ProdData2_PDI_Cash_Exception_Application[[#This Row],[CHANGED ON]]</f>
        <v>-0.25707175926072523</v>
      </c>
      <c r="N3283">
        <f ca="1">qry_ProdData2_PDI_Cash_Exception_Application[[#This Row],[TODAY]]-qry_ProdData2_PDI_Cash_Exception_Application[[#This Row],[CHANGED ON]]</f>
        <v>-0.25707175926072523</v>
      </c>
    </row>
    <row r="3284" spans="1:14" x14ac:dyDescent="0.35">
      <c r="A3284">
        <v>1021</v>
      </c>
      <c r="B3284" t="s">
        <v>75</v>
      </c>
      <c r="C3284" s="1">
        <v>45196.257071759261</v>
      </c>
      <c r="D3284" t="str">
        <f ca="1">VLOOKUP(qry_ProdData2_PDI_Cash_Exception_Application[[#This Row],[TYPE]],#REF!,2,FALSE)</f>
        <v>type28</v>
      </c>
      <c r="E3284">
        <v>514.27</v>
      </c>
      <c r="F3284" t="s">
        <v>48</v>
      </c>
      <c r="G3284" s="1">
        <f>qry_ProdData2_PDI_Cash_Exception_Application[[#This Row],[INSERT DATE]]+2</f>
        <v>45198.257071759261</v>
      </c>
      <c r="H3284" t="str">
        <f>VLOOKUP(qry_ProdData2_PDI_Cash_Exception_Application[[#This Row],[MARKET No]],'Site Allocation'!$B$2:$C$37,2,FALSE)</f>
        <v>Analyst4</v>
      </c>
      <c r="I3284" s="4">
        <f t="shared" ca="1" si="51"/>
        <v>45203</v>
      </c>
      <c r="J3284" s="42">
        <f ca="1">TODAY()-qry_ProdData2_PDI_Cash_Exception_Application[[#This Row],[INSERT DATE]]</f>
        <v>6.7429282407392748</v>
      </c>
      <c r="K32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84">
        <f ca="1">qry_ProdData2_PDI_Cash_Exception_Application[[#This Row],[TODAY]]-qry_ProdData2_PDI_Cash_Exception_Application[[#This Row],[CHANGED ON]]</f>
        <v>4.7429282407392748</v>
      </c>
      <c r="M3284">
        <f ca="1">qry_ProdData2_PDI_Cash_Exception_Application[[#This Row],[TODAY]]-qry_ProdData2_PDI_Cash_Exception_Application[[#This Row],[CHANGED ON]]</f>
        <v>4.7429282407392748</v>
      </c>
      <c r="N3284">
        <f ca="1">qry_ProdData2_PDI_Cash_Exception_Application[[#This Row],[TODAY]]-qry_ProdData2_PDI_Cash_Exception_Application[[#This Row],[CHANGED ON]]</f>
        <v>4.7429282407392748</v>
      </c>
    </row>
    <row r="3285" spans="1:14" x14ac:dyDescent="0.35">
      <c r="A3285">
        <v>1034</v>
      </c>
      <c r="B3285" t="s">
        <v>88</v>
      </c>
      <c r="C3285" s="1">
        <v>45193.257071759261</v>
      </c>
      <c r="D3285" t="str">
        <f ca="1">VLOOKUP(qry_ProdData2_PDI_Cash_Exception_Application[[#This Row],[TYPE]],#REF!,2,FALSE)</f>
        <v>type13</v>
      </c>
      <c r="E3285">
        <v>26187.8</v>
      </c>
      <c r="F3285" t="s">
        <v>49</v>
      </c>
      <c r="G3285" s="1">
        <f>qry_ProdData2_PDI_Cash_Exception_Application[[#This Row],[INSERT DATE]]+7</f>
        <v>45200.257071759261</v>
      </c>
      <c r="H3285" t="str">
        <f>VLOOKUP(qry_ProdData2_PDI_Cash_Exception_Application[[#This Row],[MARKET No]],'Site Allocation'!$B$2:$C$37,2,FALSE)</f>
        <v>Analyst6</v>
      </c>
      <c r="I3285" s="4">
        <f t="shared" ca="1" si="51"/>
        <v>45203</v>
      </c>
      <c r="J3285" s="42">
        <f ca="1">TODAY()-qry_ProdData2_PDI_Cash_Exception_Application[[#This Row],[INSERT DATE]]</f>
        <v>9.7429282407392748</v>
      </c>
      <c r="K32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85">
        <f ca="1">qry_ProdData2_PDI_Cash_Exception_Application[[#This Row],[TODAY]]-qry_ProdData2_PDI_Cash_Exception_Application[[#This Row],[CHANGED ON]]</f>
        <v>2.7429282407392748</v>
      </c>
      <c r="M3285">
        <f ca="1">qry_ProdData2_PDI_Cash_Exception_Application[[#This Row],[TODAY]]-qry_ProdData2_PDI_Cash_Exception_Application[[#This Row],[CHANGED ON]]</f>
        <v>2.7429282407392748</v>
      </c>
      <c r="N3285">
        <f ca="1">qry_ProdData2_PDI_Cash_Exception_Application[[#This Row],[TODAY]]-qry_ProdData2_PDI_Cash_Exception_Application[[#This Row],[CHANGED ON]]</f>
        <v>2.7429282407392748</v>
      </c>
    </row>
    <row r="3286" spans="1:14" x14ac:dyDescent="0.35">
      <c r="A3286">
        <v>1013</v>
      </c>
      <c r="B3286" t="s">
        <v>67</v>
      </c>
      <c r="C3286" s="1">
        <v>45195.257071759261</v>
      </c>
      <c r="D3286" t="str">
        <f ca="1">VLOOKUP(qry_ProdData2_PDI_Cash_Exception_Application[[#This Row],[TYPE]],#REF!,2,FALSE)</f>
        <v>type40</v>
      </c>
      <c r="E3286">
        <v>-462.43</v>
      </c>
      <c r="F3286" t="s">
        <v>49</v>
      </c>
      <c r="G3286" s="1">
        <f>qry_ProdData2_PDI_Cash_Exception_Application[[#This Row],[INSERT DATE]]+5</f>
        <v>45200.257071759261</v>
      </c>
      <c r="H3286" t="str">
        <f>VLOOKUP(qry_ProdData2_PDI_Cash_Exception_Application[[#This Row],[MARKET No]],'Site Allocation'!$B$2:$C$37,2,FALSE)</f>
        <v>Analyst3</v>
      </c>
      <c r="I3286" s="4">
        <f t="shared" ca="1" si="51"/>
        <v>45203</v>
      </c>
      <c r="J3286" s="42">
        <f ca="1">TODAY()-qry_ProdData2_PDI_Cash_Exception_Application[[#This Row],[INSERT DATE]]</f>
        <v>7.7429282407392748</v>
      </c>
      <c r="K32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86">
        <f ca="1">qry_ProdData2_PDI_Cash_Exception_Application[[#This Row],[TODAY]]-qry_ProdData2_PDI_Cash_Exception_Application[[#This Row],[CHANGED ON]]</f>
        <v>2.7429282407392748</v>
      </c>
      <c r="M3286">
        <f ca="1">qry_ProdData2_PDI_Cash_Exception_Application[[#This Row],[TODAY]]-qry_ProdData2_PDI_Cash_Exception_Application[[#This Row],[CHANGED ON]]</f>
        <v>2.7429282407392748</v>
      </c>
      <c r="N3286">
        <f ca="1">qry_ProdData2_PDI_Cash_Exception_Application[[#This Row],[TODAY]]-qry_ProdData2_PDI_Cash_Exception_Application[[#This Row],[CHANGED ON]]</f>
        <v>2.7429282407392748</v>
      </c>
    </row>
    <row r="3287" spans="1:14" x14ac:dyDescent="0.35">
      <c r="A3287">
        <v>1014</v>
      </c>
      <c r="B3287" t="s">
        <v>68</v>
      </c>
      <c r="C3287" s="1">
        <v>45194.257071759261</v>
      </c>
      <c r="D3287" t="str">
        <f ca="1">VLOOKUP(qry_ProdData2_PDI_Cash_Exception_Application[[#This Row],[TYPE]],#REF!,2,FALSE)</f>
        <v>type40</v>
      </c>
      <c r="E3287">
        <v>-390.2</v>
      </c>
      <c r="F3287" t="s">
        <v>47</v>
      </c>
      <c r="G3287" s="1">
        <f>qry_ProdData2_PDI_Cash_Exception_Application[[#This Row],[INSERT DATE]]+2</f>
        <v>45196.257071759261</v>
      </c>
      <c r="H3287" t="str">
        <f>VLOOKUP(qry_ProdData2_PDI_Cash_Exception_Application[[#This Row],[MARKET No]],'Site Allocation'!$B$2:$C$37,2,FALSE)</f>
        <v>Analyst3</v>
      </c>
      <c r="I3287" s="4">
        <f t="shared" ca="1" si="51"/>
        <v>45203</v>
      </c>
      <c r="J3287" s="42">
        <f ca="1">TODAY()-qry_ProdData2_PDI_Cash_Exception_Application[[#This Row],[INSERT DATE]]</f>
        <v>8.7429282407392748</v>
      </c>
      <c r="K32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87">
        <f ca="1">qry_ProdData2_PDI_Cash_Exception_Application[[#This Row],[TODAY]]-qry_ProdData2_PDI_Cash_Exception_Application[[#This Row],[CHANGED ON]]</f>
        <v>6.7429282407392748</v>
      </c>
      <c r="M3287">
        <f ca="1">qry_ProdData2_PDI_Cash_Exception_Application[[#This Row],[TODAY]]-qry_ProdData2_PDI_Cash_Exception_Application[[#This Row],[CHANGED ON]]</f>
        <v>6.7429282407392748</v>
      </c>
      <c r="N3287">
        <f ca="1">qry_ProdData2_PDI_Cash_Exception_Application[[#This Row],[TODAY]]-qry_ProdData2_PDI_Cash_Exception_Application[[#This Row],[CHANGED ON]]</f>
        <v>6.7429282407392748</v>
      </c>
    </row>
    <row r="3288" spans="1:14" x14ac:dyDescent="0.35">
      <c r="A3288">
        <v>1015</v>
      </c>
      <c r="B3288" t="s">
        <v>69</v>
      </c>
      <c r="C3288" s="1">
        <v>45195.257071759261</v>
      </c>
      <c r="D3288" t="str">
        <f ca="1">VLOOKUP(qry_ProdData2_PDI_Cash_Exception_Application[[#This Row],[TYPE]],#REF!,2,FALSE)</f>
        <v>type13</v>
      </c>
      <c r="E3288">
        <v>25960.94</v>
      </c>
      <c r="G3288" s="1">
        <f>qry_ProdData2_PDI_Cash_Exception_Application[[#This Row],[INSERT DATE]]+2</f>
        <v>45197.257071759261</v>
      </c>
      <c r="H3288" t="str">
        <f>VLOOKUP(qry_ProdData2_PDI_Cash_Exception_Application[[#This Row],[MARKET No]],'Site Allocation'!$B$2:$C$37,2,FALSE)</f>
        <v>Analyst3</v>
      </c>
      <c r="I3288" s="4">
        <f t="shared" ca="1" si="51"/>
        <v>45203</v>
      </c>
      <c r="J3288" s="42">
        <f ca="1">TODAY()-qry_ProdData2_PDI_Cash_Exception_Application[[#This Row],[INSERT DATE]]</f>
        <v>7.7429282407392748</v>
      </c>
      <c r="K32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88">
        <f ca="1">qry_ProdData2_PDI_Cash_Exception_Application[[#This Row],[TODAY]]-qry_ProdData2_PDI_Cash_Exception_Application[[#This Row],[CHANGED ON]]</f>
        <v>5.7429282407392748</v>
      </c>
      <c r="M3288">
        <f ca="1">qry_ProdData2_PDI_Cash_Exception_Application[[#This Row],[TODAY]]-qry_ProdData2_PDI_Cash_Exception_Application[[#This Row],[CHANGED ON]]</f>
        <v>5.7429282407392748</v>
      </c>
      <c r="N3288">
        <f ca="1">qry_ProdData2_PDI_Cash_Exception_Application[[#This Row],[TODAY]]-qry_ProdData2_PDI_Cash_Exception_Application[[#This Row],[CHANGED ON]]</f>
        <v>5.7429282407392748</v>
      </c>
    </row>
    <row r="3289" spans="1:14" x14ac:dyDescent="0.35">
      <c r="A3289">
        <v>1005</v>
      </c>
      <c r="B3289" t="s">
        <v>59</v>
      </c>
      <c r="C3289" s="1">
        <v>45196.257071759261</v>
      </c>
      <c r="D3289" t="str">
        <f ca="1">VLOOKUP(qry_ProdData2_PDI_Cash_Exception_Application[[#This Row],[TYPE]],#REF!,2,FALSE)</f>
        <v>type40</v>
      </c>
      <c r="E3289">
        <v>2221.58</v>
      </c>
      <c r="F3289" t="s">
        <v>48</v>
      </c>
      <c r="G3289" s="1">
        <f>qry_ProdData2_PDI_Cash_Exception_Application[[#This Row],[INSERT DATE]]+5</f>
        <v>45201.257071759261</v>
      </c>
      <c r="H3289" t="str">
        <f>VLOOKUP(qry_ProdData2_PDI_Cash_Exception_Application[[#This Row],[MARKET No]],'Site Allocation'!$B$2:$C$37,2,FALSE)</f>
        <v>Analyst1</v>
      </c>
      <c r="I3289" s="4">
        <f t="shared" ca="1" si="51"/>
        <v>45203</v>
      </c>
      <c r="J3289" s="42">
        <f ca="1">TODAY()-qry_ProdData2_PDI_Cash_Exception_Application[[#This Row],[INSERT DATE]]</f>
        <v>6.7429282407392748</v>
      </c>
      <c r="K32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89">
        <f ca="1">qry_ProdData2_PDI_Cash_Exception_Application[[#This Row],[TODAY]]-qry_ProdData2_PDI_Cash_Exception_Application[[#This Row],[CHANGED ON]]</f>
        <v>1.7429282407392748</v>
      </c>
      <c r="M3289">
        <f ca="1">qry_ProdData2_PDI_Cash_Exception_Application[[#This Row],[TODAY]]-qry_ProdData2_PDI_Cash_Exception_Application[[#This Row],[CHANGED ON]]</f>
        <v>1.7429282407392748</v>
      </c>
      <c r="N3289">
        <f ca="1">qry_ProdData2_PDI_Cash_Exception_Application[[#This Row],[TODAY]]-qry_ProdData2_PDI_Cash_Exception_Application[[#This Row],[CHANGED ON]]</f>
        <v>1.7429282407392748</v>
      </c>
    </row>
    <row r="3290" spans="1:14" x14ac:dyDescent="0.35">
      <c r="A3290">
        <v>1001</v>
      </c>
      <c r="B3290" t="s">
        <v>55</v>
      </c>
      <c r="C3290" s="1">
        <v>45195.257071759261</v>
      </c>
      <c r="D3290" t="str">
        <f ca="1">VLOOKUP(qry_ProdData2_PDI_Cash_Exception_Application[[#This Row],[TYPE]],#REF!,2,FALSE)</f>
        <v>type40</v>
      </c>
      <c r="E3290">
        <v>-543.75</v>
      </c>
      <c r="F3290" t="s">
        <v>47</v>
      </c>
      <c r="G3290" s="1">
        <f>qry_ProdData2_PDI_Cash_Exception_Application[[#This Row],[INSERT DATE]]+2</f>
        <v>45197.257071759261</v>
      </c>
      <c r="H3290" t="str">
        <f>VLOOKUP(qry_ProdData2_PDI_Cash_Exception_Application[[#This Row],[MARKET No]],'Site Allocation'!$B$2:$C$37,2,FALSE)</f>
        <v>Analyst1</v>
      </c>
      <c r="I3290" s="4">
        <f t="shared" ca="1" si="51"/>
        <v>45203</v>
      </c>
      <c r="J3290" s="42">
        <f ca="1">TODAY()-qry_ProdData2_PDI_Cash_Exception_Application[[#This Row],[INSERT DATE]]</f>
        <v>7.7429282407392748</v>
      </c>
      <c r="K32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90">
        <f ca="1">qry_ProdData2_PDI_Cash_Exception_Application[[#This Row],[TODAY]]-qry_ProdData2_PDI_Cash_Exception_Application[[#This Row],[CHANGED ON]]</f>
        <v>5.7429282407392748</v>
      </c>
      <c r="M3290">
        <f ca="1">qry_ProdData2_PDI_Cash_Exception_Application[[#This Row],[TODAY]]-qry_ProdData2_PDI_Cash_Exception_Application[[#This Row],[CHANGED ON]]</f>
        <v>5.7429282407392748</v>
      </c>
      <c r="N3290">
        <f ca="1">qry_ProdData2_PDI_Cash_Exception_Application[[#This Row],[TODAY]]-qry_ProdData2_PDI_Cash_Exception_Application[[#This Row],[CHANGED ON]]</f>
        <v>5.7429282407392748</v>
      </c>
    </row>
    <row r="3291" spans="1:14" x14ac:dyDescent="0.35">
      <c r="A3291">
        <v>1006</v>
      </c>
      <c r="B3291" t="s">
        <v>60</v>
      </c>
      <c r="C3291" s="1">
        <v>45195.257071759261</v>
      </c>
      <c r="D3291" t="str">
        <f ca="1">VLOOKUP(qry_ProdData2_PDI_Cash_Exception_Application[[#This Row],[TYPE]],#REF!,2,FALSE)</f>
        <v>type40</v>
      </c>
      <c r="E3291">
        <v>-472.95</v>
      </c>
      <c r="G3291" s="1">
        <f>qry_ProdData2_PDI_Cash_Exception_Application[[#This Row],[INSERT DATE]]+5</f>
        <v>45200.257071759261</v>
      </c>
      <c r="H3291" t="str">
        <f>VLOOKUP(qry_ProdData2_PDI_Cash_Exception_Application[[#This Row],[MARKET No]],'Site Allocation'!$B$2:$C$37,2,FALSE)</f>
        <v>Analyst2</v>
      </c>
      <c r="I3291" s="4">
        <f t="shared" ca="1" si="51"/>
        <v>45203</v>
      </c>
      <c r="J3291" s="42">
        <f ca="1">TODAY()-qry_ProdData2_PDI_Cash_Exception_Application[[#This Row],[INSERT DATE]]</f>
        <v>7.7429282407392748</v>
      </c>
      <c r="K32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91">
        <f ca="1">qry_ProdData2_PDI_Cash_Exception_Application[[#This Row],[TODAY]]-qry_ProdData2_PDI_Cash_Exception_Application[[#This Row],[CHANGED ON]]</f>
        <v>2.7429282407392748</v>
      </c>
      <c r="M3291">
        <f ca="1">qry_ProdData2_PDI_Cash_Exception_Application[[#This Row],[TODAY]]-qry_ProdData2_PDI_Cash_Exception_Application[[#This Row],[CHANGED ON]]</f>
        <v>2.7429282407392748</v>
      </c>
      <c r="N3291">
        <f ca="1">qry_ProdData2_PDI_Cash_Exception_Application[[#This Row],[TODAY]]-qry_ProdData2_PDI_Cash_Exception_Application[[#This Row],[CHANGED ON]]</f>
        <v>2.7429282407392748</v>
      </c>
    </row>
    <row r="3292" spans="1:14" x14ac:dyDescent="0.35">
      <c r="A3292">
        <v>1025</v>
      </c>
      <c r="B3292" t="s">
        <v>79</v>
      </c>
      <c r="C3292" s="1">
        <v>45196.257071759261</v>
      </c>
      <c r="D3292" t="str">
        <f ca="1">VLOOKUP(qry_ProdData2_PDI_Cash_Exception_Application[[#This Row],[TYPE]],#REF!,2,FALSE)</f>
        <v>type40</v>
      </c>
      <c r="E3292">
        <v>53.26</v>
      </c>
      <c r="F3292" t="s">
        <v>48</v>
      </c>
      <c r="G3292" s="1">
        <f>qry_ProdData2_PDI_Cash_Exception_Application[[#This Row],[INSERT DATE]]+2</f>
        <v>45198.257071759261</v>
      </c>
      <c r="H3292" t="str">
        <f>VLOOKUP(qry_ProdData2_PDI_Cash_Exception_Application[[#This Row],[MARKET No]],'Site Allocation'!$B$2:$C$37,2,FALSE)</f>
        <v>Analyst5</v>
      </c>
      <c r="I3292" s="4">
        <f t="shared" ca="1" si="51"/>
        <v>45203</v>
      </c>
      <c r="J3292" s="42">
        <f ca="1">TODAY()-qry_ProdData2_PDI_Cash_Exception_Application[[#This Row],[INSERT DATE]]</f>
        <v>6.7429282407392748</v>
      </c>
      <c r="K32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292">
        <f ca="1">qry_ProdData2_PDI_Cash_Exception_Application[[#This Row],[TODAY]]-qry_ProdData2_PDI_Cash_Exception_Application[[#This Row],[CHANGED ON]]</f>
        <v>4.7429282407392748</v>
      </c>
      <c r="M3292">
        <f ca="1">qry_ProdData2_PDI_Cash_Exception_Application[[#This Row],[TODAY]]-qry_ProdData2_PDI_Cash_Exception_Application[[#This Row],[CHANGED ON]]</f>
        <v>4.7429282407392748</v>
      </c>
      <c r="N3292">
        <f ca="1">qry_ProdData2_PDI_Cash_Exception_Application[[#This Row],[TODAY]]-qry_ProdData2_PDI_Cash_Exception_Application[[#This Row],[CHANGED ON]]</f>
        <v>4.7429282407392748</v>
      </c>
    </row>
    <row r="3293" spans="1:14" x14ac:dyDescent="0.35">
      <c r="A3293">
        <v>1020</v>
      </c>
      <c r="B3293" t="s">
        <v>74</v>
      </c>
      <c r="C3293" s="1">
        <v>45197.257071759261</v>
      </c>
      <c r="D3293" t="str">
        <f ca="1">VLOOKUP(qry_ProdData2_PDI_Cash_Exception_Application[[#This Row],[TYPE]],#REF!,2,FALSE)</f>
        <v>type13</v>
      </c>
      <c r="E3293">
        <v>33945.9</v>
      </c>
      <c r="F3293" t="s">
        <v>48</v>
      </c>
      <c r="G3293" s="1">
        <f>qry_ProdData2_PDI_Cash_Exception_Application[[#This Row],[INSERT DATE]]+1</f>
        <v>45198.257071759261</v>
      </c>
      <c r="H3293" t="str">
        <f>VLOOKUP(qry_ProdData2_PDI_Cash_Exception_Application[[#This Row],[MARKET No]],'Site Allocation'!$B$2:$C$37,2,FALSE)</f>
        <v>Analyst4</v>
      </c>
      <c r="I3293" s="4">
        <f t="shared" ca="1" si="51"/>
        <v>45203</v>
      </c>
      <c r="J3293" s="42">
        <f ca="1">TODAY()-qry_ProdData2_PDI_Cash_Exception_Application[[#This Row],[INSERT DATE]]</f>
        <v>5.7429282407392748</v>
      </c>
      <c r="K32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93">
        <f ca="1">qry_ProdData2_PDI_Cash_Exception_Application[[#This Row],[TODAY]]-qry_ProdData2_PDI_Cash_Exception_Application[[#This Row],[CHANGED ON]]</f>
        <v>4.7429282407392748</v>
      </c>
      <c r="M3293">
        <f ca="1">qry_ProdData2_PDI_Cash_Exception_Application[[#This Row],[TODAY]]-qry_ProdData2_PDI_Cash_Exception_Application[[#This Row],[CHANGED ON]]</f>
        <v>4.7429282407392748</v>
      </c>
      <c r="N3293">
        <f ca="1">qry_ProdData2_PDI_Cash_Exception_Application[[#This Row],[TODAY]]-qry_ProdData2_PDI_Cash_Exception_Application[[#This Row],[CHANGED ON]]</f>
        <v>4.7429282407392748</v>
      </c>
    </row>
    <row r="3294" spans="1:14" x14ac:dyDescent="0.35">
      <c r="A3294">
        <v>1015</v>
      </c>
      <c r="B3294" t="s">
        <v>69</v>
      </c>
      <c r="C3294" s="1">
        <v>45197.257071759261</v>
      </c>
      <c r="D3294" t="str">
        <f ca="1">VLOOKUP(qry_ProdData2_PDI_Cash_Exception_Application[[#This Row],[TYPE]],#REF!,2,FALSE)</f>
        <v>type40</v>
      </c>
      <c r="E3294">
        <v>-12111.81</v>
      </c>
      <c r="F3294" t="s">
        <v>48</v>
      </c>
      <c r="G3294" s="1">
        <f>qry_ProdData2_PDI_Cash_Exception_Application[[#This Row],[INSERT DATE]]+2</f>
        <v>45199.257071759261</v>
      </c>
      <c r="H3294" t="str">
        <f>VLOOKUP(qry_ProdData2_PDI_Cash_Exception_Application[[#This Row],[MARKET No]],'Site Allocation'!$B$2:$C$37,2,FALSE)</f>
        <v>Analyst3</v>
      </c>
      <c r="I3294" s="4">
        <f t="shared" ca="1" si="51"/>
        <v>45203</v>
      </c>
      <c r="J3294" s="42">
        <f ca="1">TODAY()-qry_ProdData2_PDI_Cash_Exception_Application[[#This Row],[INSERT DATE]]</f>
        <v>5.7429282407392748</v>
      </c>
      <c r="K32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94">
        <f ca="1">qry_ProdData2_PDI_Cash_Exception_Application[[#This Row],[TODAY]]-qry_ProdData2_PDI_Cash_Exception_Application[[#This Row],[CHANGED ON]]</f>
        <v>3.7429282407392748</v>
      </c>
      <c r="M3294">
        <f ca="1">qry_ProdData2_PDI_Cash_Exception_Application[[#This Row],[TODAY]]-qry_ProdData2_PDI_Cash_Exception_Application[[#This Row],[CHANGED ON]]</f>
        <v>3.7429282407392748</v>
      </c>
      <c r="N3294">
        <f ca="1">qry_ProdData2_PDI_Cash_Exception_Application[[#This Row],[TODAY]]-qry_ProdData2_PDI_Cash_Exception_Application[[#This Row],[CHANGED ON]]</f>
        <v>3.7429282407392748</v>
      </c>
    </row>
    <row r="3295" spans="1:14" x14ac:dyDescent="0.35">
      <c r="A3295">
        <v>1015</v>
      </c>
      <c r="B3295" t="s">
        <v>69</v>
      </c>
      <c r="C3295" s="1">
        <v>45197.257071759261</v>
      </c>
      <c r="D3295" t="str">
        <f ca="1">VLOOKUP(qry_ProdData2_PDI_Cash_Exception_Application[[#This Row],[TYPE]],#REF!,2,FALSE)</f>
        <v>type40</v>
      </c>
      <c r="E3295">
        <v>929.27</v>
      </c>
      <c r="F3295" t="s">
        <v>48</v>
      </c>
      <c r="G3295" s="1">
        <f>qry_ProdData2_PDI_Cash_Exception_Application[[#This Row],[INSERT DATE]]+1</f>
        <v>45198.257071759261</v>
      </c>
      <c r="H3295" t="str">
        <f>VLOOKUP(qry_ProdData2_PDI_Cash_Exception_Application[[#This Row],[MARKET No]],'Site Allocation'!$B$2:$C$37,2,FALSE)</f>
        <v>Analyst3</v>
      </c>
      <c r="I3295" s="4">
        <f t="shared" ca="1" si="51"/>
        <v>45203</v>
      </c>
      <c r="J3295" s="42">
        <f ca="1">TODAY()-qry_ProdData2_PDI_Cash_Exception_Application[[#This Row],[INSERT DATE]]</f>
        <v>5.7429282407392748</v>
      </c>
      <c r="K32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95">
        <f ca="1">qry_ProdData2_PDI_Cash_Exception_Application[[#This Row],[TODAY]]-qry_ProdData2_PDI_Cash_Exception_Application[[#This Row],[CHANGED ON]]</f>
        <v>4.7429282407392748</v>
      </c>
      <c r="M3295">
        <f ca="1">qry_ProdData2_PDI_Cash_Exception_Application[[#This Row],[TODAY]]-qry_ProdData2_PDI_Cash_Exception_Application[[#This Row],[CHANGED ON]]</f>
        <v>4.7429282407392748</v>
      </c>
      <c r="N3295">
        <f ca="1">qry_ProdData2_PDI_Cash_Exception_Application[[#This Row],[TODAY]]-qry_ProdData2_PDI_Cash_Exception_Application[[#This Row],[CHANGED ON]]</f>
        <v>4.7429282407392748</v>
      </c>
    </row>
    <row r="3296" spans="1:14" x14ac:dyDescent="0.35">
      <c r="A3296">
        <v>1002</v>
      </c>
      <c r="B3296" t="s">
        <v>56</v>
      </c>
      <c r="C3296" s="1">
        <v>45187.257071759261</v>
      </c>
      <c r="D3296" t="str">
        <f ca="1">VLOOKUP(qry_ProdData2_PDI_Cash_Exception_Application[[#This Row],[TYPE]],#REF!,2,FALSE)</f>
        <v>type40</v>
      </c>
      <c r="E3296">
        <v>1900.64</v>
      </c>
      <c r="F3296" t="s">
        <v>50</v>
      </c>
      <c r="G3296" s="1">
        <f>qry_ProdData2_PDI_Cash_Exception_Application[[#This Row],[INSERT DATE]]+2</f>
        <v>45189.257071759261</v>
      </c>
      <c r="H3296" t="str">
        <f>VLOOKUP(qry_ProdData2_PDI_Cash_Exception_Application[[#This Row],[MARKET No]],'Site Allocation'!$B$2:$C$37,2,FALSE)</f>
        <v>Analyst1</v>
      </c>
      <c r="I3296" s="4">
        <f t="shared" ca="1" si="51"/>
        <v>45203</v>
      </c>
      <c r="J3296" s="42">
        <f ca="1">TODAY()-qry_ProdData2_PDI_Cash_Exception_Application[[#This Row],[INSERT DATE]]</f>
        <v>15.742928240739275</v>
      </c>
      <c r="K32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96">
        <f ca="1">qry_ProdData2_PDI_Cash_Exception_Application[[#This Row],[TODAY]]-qry_ProdData2_PDI_Cash_Exception_Application[[#This Row],[CHANGED ON]]</f>
        <v>13.742928240739275</v>
      </c>
      <c r="M3296">
        <f ca="1">qry_ProdData2_PDI_Cash_Exception_Application[[#This Row],[TODAY]]-qry_ProdData2_PDI_Cash_Exception_Application[[#This Row],[CHANGED ON]]</f>
        <v>13.742928240739275</v>
      </c>
      <c r="N3296">
        <f ca="1">qry_ProdData2_PDI_Cash_Exception_Application[[#This Row],[TODAY]]-qry_ProdData2_PDI_Cash_Exception_Application[[#This Row],[CHANGED ON]]</f>
        <v>13.742928240739275</v>
      </c>
    </row>
    <row r="3297" spans="1:14" x14ac:dyDescent="0.35">
      <c r="A3297">
        <v>1033</v>
      </c>
      <c r="B3297" t="s">
        <v>87</v>
      </c>
      <c r="C3297" s="1">
        <v>45197.257071759261</v>
      </c>
      <c r="D3297" t="str">
        <f ca="1">VLOOKUP(qry_ProdData2_PDI_Cash_Exception_Application[[#This Row],[TYPE]],#REF!,2,FALSE)</f>
        <v>type40</v>
      </c>
      <c r="E3297">
        <v>13.55</v>
      </c>
      <c r="F3297" t="s">
        <v>48</v>
      </c>
      <c r="G3297" s="1">
        <f>qry_ProdData2_PDI_Cash_Exception_Application[[#This Row],[INSERT DATE]]+1</f>
        <v>45198.257071759261</v>
      </c>
      <c r="H3297" t="str">
        <f>VLOOKUP(qry_ProdData2_PDI_Cash_Exception_Application[[#This Row],[MARKET No]],'Site Allocation'!$B$2:$C$37,2,FALSE)</f>
        <v>Analyst6</v>
      </c>
      <c r="I3297" s="4">
        <f t="shared" ca="1" si="51"/>
        <v>45203</v>
      </c>
      <c r="J3297" s="42">
        <f ca="1">TODAY()-qry_ProdData2_PDI_Cash_Exception_Application[[#This Row],[INSERT DATE]]</f>
        <v>5.7429282407392748</v>
      </c>
      <c r="K32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297">
        <f ca="1">qry_ProdData2_PDI_Cash_Exception_Application[[#This Row],[TODAY]]-qry_ProdData2_PDI_Cash_Exception_Application[[#This Row],[CHANGED ON]]</f>
        <v>4.7429282407392748</v>
      </c>
      <c r="M3297">
        <f ca="1">qry_ProdData2_PDI_Cash_Exception_Application[[#This Row],[TODAY]]-qry_ProdData2_PDI_Cash_Exception_Application[[#This Row],[CHANGED ON]]</f>
        <v>4.7429282407392748</v>
      </c>
      <c r="N3297">
        <f ca="1">qry_ProdData2_PDI_Cash_Exception_Application[[#This Row],[TODAY]]-qry_ProdData2_PDI_Cash_Exception_Application[[#This Row],[CHANGED ON]]</f>
        <v>4.7429282407392748</v>
      </c>
    </row>
    <row r="3298" spans="1:14" x14ac:dyDescent="0.35">
      <c r="A3298">
        <v>1028</v>
      </c>
      <c r="B3298" t="s">
        <v>82</v>
      </c>
      <c r="C3298" s="1">
        <v>45188.257071759261</v>
      </c>
      <c r="D3298" t="str">
        <f ca="1">VLOOKUP(qry_ProdData2_PDI_Cash_Exception_Application[[#This Row],[TYPE]],#REF!,2,FALSE)</f>
        <v>type40</v>
      </c>
      <c r="E3298">
        <v>-8502.2199999999993</v>
      </c>
      <c r="F3298" t="s">
        <v>52</v>
      </c>
      <c r="G3298" s="1">
        <f>qry_ProdData2_PDI_Cash_Exception_Application[[#This Row],[INSERT DATE]]+2</f>
        <v>45190.257071759261</v>
      </c>
      <c r="H3298" t="str">
        <f>VLOOKUP(qry_ProdData2_PDI_Cash_Exception_Application[[#This Row],[MARKET No]],'Site Allocation'!$B$2:$C$37,2,FALSE)</f>
        <v>Analyst5</v>
      </c>
      <c r="I3298" s="4">
        <f t="shared" ca="1" si="51"/>
        <v>45203</v>
      </c>
      <c r="J3298" s="42">
        <f ca="1">TODAY()-qry_ProdData2_PDI_Cash_Exception_Application[[#This Row],[INSERT DATE]]</f>
        <v>14.742928240739275</v>
      </c>
      <c r="K32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98">
        <f ca="1">qry_ProdData2_PDI_Cash_Exception_Application[[#This Row],[TODAY]]-qry_ProdData2_PDI_Cash_Exception_Application[[#This Row],[CHANGED ON]]</f>
        <v>12.742928240739275</v>
      </c>
      <c r="M3298">
        <f ca="1">qry_ProdData2_PDI_Cash_Exception_Application[[#This Row],[TODAY]]-qry_ProdData2_PDI_Cash_Exception_Application[[#This Row],[CHANGED ON]]</f>
        <v>12.742928240739275</v>
      </c>
      <c r="N3298">
        <f ca="1">qry_ProdData2_PDI_Cash_Exception_Application[[#This Row],[TODAY]]-qry_ProdData2_PDI_Cash_Exception_Application[[#This Row],[CHANGED ON]]</f>
        <v>12.742928240739275</v>
      </c>
    </row>
    <row r="3299" spans="1:14" x14ac:dyDescent="0.35">
      <c r="A3299">
        <v>1032</v>
      </c>
      <c r="B3299" t="s">
        <v>86</v>
      </c>
      <c r="C3299" s="1">
        <v>45189.257071759261</v>
      </c>
      <c r="D3299" t="str">
        <f ca="1">VLOOKUP(qry_ProdData2_PDI_Cash_Exception_Application[[#This Row],[TYPE]],#REF!,2,FALSE)</f>
        <v>type40</v>
      </c>
      <c r="E3299">
        <v>4337.4799999999996</v>
      </c>
      <c r="F3299" t="s">
        <v>50</v>
      </c>
      <c r="G3299" s="1">
        <f>qry_ProdData2_PDI_Cash_Exception_Application[[#This Row],[INSERT DATE]]+2</f>
        <v>45191.257071759261</v>
      </c>
      <c r="H3299" t="str">
        <f>VLOOKUP(qry_ProdData2_PDI_Cash_Exception_Application[[#This Row],[MARKET No]],'Site Allocation'!$B$2:$C$37,2,FALSE)</f>
        <v>Analyst6</v>
      </c>
      <c r="I3299" s="4">
        <f t="shared" ca="1" si="51"/>
        <v>45203</v>
      </c>
      <c r="J3299" s="42">
        <f ca="1">TODAY()-qry_ProdData2_PDI_Cash_Exception_Application[[#This Row],[INSERT DATE]]</f>
        <v>13.742928240739275</v>
      </c>
      <c r="K32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299">
        <f ca="1">qry_ProdData2_PDI_Cash_Exception_Application[[#This Row],[TODAY]]-qry_ProdData2_PDI_Cash_Exception_Application[[#This Row],[CHANGED ON]]</f>
        <v>11.742928240739275</v>
      </c>
      <c r="M3299">
        <f ca="1">qry_ProdData2_PDI_Cash_Exception_Application[[#This Row],[TODAY]]-qry_ProdData2_PDI_Cash_Exception_Application[[#This Row],[CHANGED ON]]</f>
        <v>11.742928240739275</v>
      </c>
      <c r="N3299">
        <f ca="1">qry_ProdData2_PDI_Cash_Exception_Application[[#This Row],[TODAY]]-qry_ProdData2_PDI_Cash_Exception_Application[[#This Row],[CHANGED ON]]</f>
        <v>11.742928240739275</v>
      </c>
    </row>
    <row r="3300" spans="1:14" x14ac:dyDescent="0.35">
      <c r="A3300">
        <v>1026</v>
      </c>
      <c r="B3300" t="s">
        <v>80</v>
      </c>
      <c r="C3300" s="1">
        <v>45196.257071759261</v>
      </c>
      <c r="D3300" t="str">
        <f ca="1">VLOOKUP(qry_ProdData2_PDI_Cash_Exception_Application[[#This Row],[TYPE]],#REF!,2,FALSE)</f>
        <v>type40</v>
      </c>
      <c r="E3300">
        <v>365.33</v>
      </c>
      <c r="F3300" t="s">
        <v>48</v>
      </c>
      <c r="G3300" s="1">
        <f>qry_ProdData2_PDI_Cash_Exception_Application[[#This Row],[INSERT DATE]]+2</f>
        <v>45198.257071759261</v>
      </c>
      <c r="H3300" t="str">
        <f>VLOOKUP(qry_ProdData2_PDI_Cash_Exception_Application[[#This Row],[MARKET No]],'Site Allocation'!$B$2:$C$37,2,FALSE)</f>
        <v>Analyst5</v>
      </c>
      <c r="I3300" s="4">
        <f t="shared" ca="1" si="51"/>
        <v>45203</v>
      </c>
      <c r="J3300" s="42">
        <f ca="1">TODAY()-qry_ProdData2_PDI_Cash_Exception_Application[[#This Row],[INSERT DATE]]</f>
        <v>6.7429282407392748</v>
      </c>
      <c r="K33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00">
        <f ca="1">qry_ProdData2_PDI_Cash_Exception_Application[[#This Row],[TODAY]]-qry_ProdData2_PDI_Cash_Exception_Application[[#This Row],[CHANGED ON]]</f>
        <v>4.7429282407392748</v>
      </c>
      <c r="M3300">
        <f ca="1">qry_ProdData2_PDI_Cash_Exception_Application[[#This Row],[TODAY]]-qry_ProdData2_PDI_Cash_Exception_Application[[#This Row],[CHANGED ON]]</f>
        <v>4.7429282407392748</v>
      </c>
      <c r="N3300">
        <f ca="1">qry_ProdData2_PDI_Cash_Exception_Application[[#This Row],[TODAY]]-qry_ProdData2_PDI_Cash_Exception_Application[[#This Row],[CHANGED ON]]</f>
        <v>4.7429282407392748</v>
      </c>
    </row>
    <row r="3301" spans="1:14" x14ac:dyDescent="0.35">
      <c r="A3301">
        <v>1005</v>
      </c>
      <c r="B3301" t="s">
        <v>59</v>
      </c>
      <c r="C3301" s="1">
        <v>45190.257071759261</v>
      </c>
      <c r="D3301" t="str">
        <f ca="1">VLOOKUP(qry_ProdData2_PDI_Cash_Exception_Application[[#This Row],[TYPE]],#REF!,2,FALSE)</f>
        <v>type40</v>
      </c>
      <c r="E3301">
        <v>484.13</v>
      </c>
      <c r="F3301" t="s">
        <v>50</v>
      </c>
      <c r="G3301" s="1">
        <f>qry_ProdData2_PDI_Cash_Exception_Application[[#This Row],[INSERT DATE]]+2</f>
        <v>45192.257071759261</v>
      </c>
      <c r="H3301" t="str">
        <f>VLOOKUP(qry_ProdData2_PDI_Cash_Exception_Application[[#This Row],[MARKET No]],'Site Allocation'!$B$2:$C$37,2,FALSE)</f>
        <v>Analyst1</v>
      </c>
      <c r="I3301" s="4">
        <f t="shared" ca="1" si="51"/>
        <v>45203</v>
      </c>
      <c r="J3301" s="42">
        <f ca="1">TODAY()-qry_ProdData2_PDI_Cash_Exception_Application[[#This Row],[INSERT DATE]]</f>
        <v>12.742928240739275</v>
      </c>
      <c r="K33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01">
        <f ca="1">qry_ProdData2_PDI_Cash_Exception_Application[[#This Row],[TODAY]]-qry_ProdData2_PDI_Cash_Exception_Application[[#This Row],[CHANGED ON]]</f>
        <v>10.742928240739275</v>
      </c>
      <c r="M3301">
        <f ca="1">qry_ProdData2_PDI_Cash_Exception_Application[[#This Row],[TODAY]]-qry_ProdData2_PDI_Cash_Exception_Application[[#This Row],[CHANGED ON]]</f>
        <v>10.742928240739275</v>
      </c>
      <c r="N3301">
        <f ca="1">qry_ProdData2_PDI_Cash_Exception_Application[[#This Row],[TODAY]]-qry_ProdData2_PDI_Cash_Exception_Application[[#This Row],[CHANGED ON]]</f>
        <v>10.742928240739275</v>
      </c>
    </row>
    <row r="3302" spans="1:14" x14ac:dyDescent="0.35">
      <c r="A3302">
        <v>1017</v>
      </c>
      <c r="B3302" t="s">
        <v>71</v>
      </c>
      <c r="C3302" s="1">
        <v>45190.257071759261</v>
      </c>
      <c r="D3302" t="str">
        <f ca="1">VLOOKUP(qry_ProdData2_PDI_Cash_Exception_Application[[#This Row],[TYPE]],#REF!,2,FALSE)</f>
        <v>type40</v>
      </c>
      <c r="E3302">
        <v>914.47</v>
      </c>
      <c r="F3302" t="s">
        <v>50</v>
      </c>
      <c r="G3302" s="1">
        <f>qry_ProdData2_PDI_Cash_Exception_Application[[#This Row],[INSERT DATE]]+5</f>
        <v>45195.257071759261</v>
      </c>
      <c r="H3302" t="str">
        <f>VLOOKUP(qry_ProdData2_PDI_Cash_Exception_Application[[#This Row],[MARKET No]],'Site Allocation'!$B$2:$C$37,2,FALSE)</f>
        <v>Analyst3</v>
      </c>
      <c r="I3302" s="4">
        <f t="shared" ca="1" si="51"/>
        <v>45203</v>
      </c>
      <c r="J3302" s="42">
        <f ca="1">TODAY()-qry_ProdData2_PDI_Cash_Exception_Application[[#This Row],[INSERT DATE]]</f>
        <v>12.742928240739275</v>
      </c>
      <c r="K33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02">
        <f ca="1">qry_ProdData2_PDI_Cash_Exception_Application[[#This Row],[TODAY]]-qry_ProdData2_PDI_Cash_Exception_Application[[#This Row],[CHANGED ON]]</f>
        <v>7.7429282407392748</v>
      </c>
      <c r="M3302">
        <f ca="1">qry_ProdData2_PDI_Cash_Exception_Application[[#This Row],[TODAY]]-qry_ProdData2_PDI_Cash_Exception_Application[[#This Row],[CHANGED ON]]</f>
        <v>7.7429282407392748</v>
      </c>
      <c r="N3302">
        <f ca="1">qry_ProdData2_PDI_Cash_Exception_Application[[#This Row],[TODAY]]-qry_ProdData2_PDI_Cash_Exception_Application[[#This Row],[CHANGED ON]]</f>
        <v>7.7429282407392748</v>
      </c>
    </row>
    <row r="3303" spans="1:14" x14ac:dyDescent="0.35">
      <c r="A3303">
        <v>1005</v>
      </c>
      <c r="B3303" t="s">
        <v>59</v>
      </c>
      <c r="C3303" s="1">
        <v>45194.257071759261</v>
      </c>
      <c r="D3303" t="str">
        <f ca="1">VLOOKUP(qry_ProdData2_PDI_Cash_Exception_Application[[#This Row],[TYPE]],#REF!,2,FALSE)</f>
        <v>type43</v>
      </c>
      <c r="E3303">
        <v>405.3</v>
      </c>
      <c r="F3303" t="s">
        <v>51</v>
      </c>
      <c r="G3303" s="1">
        <f>qry_ProdData2_PDI_Cash_Exception_Application[[#This Row],[INSERT DATE]]+2</f>
        <v>45196.257071759261</v>
      </c>
      <c r="H3303" t="str">
        <f>VLOOKUP(qry_ProdData2_PDI_Cash_Exception_Application[[#This Row],[MARKET No]],'Site Allocation'!$B$2:$C$37,2,FALSE)</f>
        <v>Analyst1</v>
      </c>
      <c r="I3303" s="4">
        <f t="shared" ca="1" si="51"/>
        <v>45203</v>
      </c>
      <c r="J3303" s="42">
        <f ca="1">TODAY()-qry_ProdData2_PDI_Cash_Exception_Application[[#This Row],[INSERT DATE]]</f>
        <v>8.7429282407392748</v>
      </c>
      <c r="K33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03">
        <f ca="1">qry_ProdData2_PDI_Cash_Exception_Application[[#This Row],[TODAY]]-qry_ProdData2_PDI_Cash_Exception_Application[[#This Row],[CHANGED ON]]</f>
        <v>6.7429282407392748</v>
      </c>
      <c r="M3303">
        <f ca="1">qry_ProdData2_PDI_Cash_Exception_Application[[#This Row],[TODAY]]-qry_ProdData2_PDI_Cash_Exception_Application[[#This Row],[CHANGED ON]]</f>
        <v>6.7429282407392748</v>
      </c>
      <c r="N3303">
        <f ca="1">qry_ProdData2_PDI_Cash_Exception_Application[[#This Row],[TODAY]]-qry_ProdData2_PDI_Cash_Exception_Application[[#This Row],[CHANGED ON]]</f>
        <v>6.7429282407392748</v>
      </c>
    </row>
    <row r="3304" spans="1:14" x14ac:dyDescent="0.35">
      <c r="A3304">
        <v>1006</v>
      </c>
      <c r="B3304" t="s">
        <v>60</v>
      </c>
      <c r="C3304" s="1">
        <v>45197.257071759261</v>
      </c>
      <c r="D3304" t="str">
        <f ca="1">VLOOKUP(qry_ProdData2_PDI_Cash_Exception_Application[[#This Row],[TYPE]],#REF!,2,FALSE)</f>
        <v>type40</v>
      </c>
      <c r="E3304">
        <v>779.73</v>
      </c>
      <c r="F3304" t="s">
        <v>48</v>
      </c>
      <c r="G3304" s="1">
        <f>qry_ProdData2_PDI_Cash_Exception_Application[[#This Row],[INSERT DATE]]+2</f>
        <v>45199.257071759261</v>
      </c>
      <c r="H3304" t="str">
        <f>VLOOKUP(qry_ProdData2_PDI_Cash_Exception_Application[[#This Row],[MARKET No]],'Site Allocation'!$B$2:$C$37,2,FALSE)</f>
        <v>Analyst2</v>
      </c>
      <c r="I3304" s="4">
        <f t="shared" ca="1" si="51"/>
        <v>45203</v>
      </c>
      <c r="J3304" s="42">
        <f ca="1">TODAY()-qry_ProdData2_PDI_Cash_Exception_Application[[#This Row],[INSERT DATE]]</f>
        <v>5.7429282407392748</v>
      </c>
      <c r="K33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304">
        <f ca="1">qry_ProdData2_PDI_Cash_Exception_Application[[#This Row],[TODAY]]-qry_ProdData2_PDI_Cash_Exception_Application[[#This Row],[CHANGED ON]]</f>
        <v>3.7429282407392748</v>
      </c>
      <c r="M3304">
        <f ca="1">qry_ProdData2_PDI_Cash_Exception_Application[[#This Row],[TODAY]]-qry_ProdData2_PDI_Cash_Exception_Application[[#This Row],[CHANGED ON]]</f>
        <v>3.7429282407392748</v>
      </c>
      <c r="N3304">
        <f ca="1">qry_ProdData2_PDI_Cash_Exception_Application[[#This Row],[TODAY]]-qry_ProdData2_PDI_Cash_Exception_Application[[#This Row],[CHANGED ON]]</f>
        <v>3.7429282407392748</v>
      </c>
    </row>
    <row r="3305" spans="1:14" x14ac:dyDescent="0.35">
      <c r="A3305">
        <v>1026</v>
      </c>
      <c r="B3305" t="s">
        <v>80</v>
      </c>
      <c r="C3305" s="1">
        <v>45193.257071759261</v>
      </c>
      <c r="D3305" t="str">
        <f ca="1">VLOOKUP(qry_ProdData2_PDI_Cash_Exception_Application[[#This Row],[TYPE]],#REF!,2,FALSE)</f>
        <v>type38</v>
      </c>
      <c r="E3305">
        <v>215.64</v>
      </c>
      <c r="G3305" s="1">
        <f>qry_ProdData2_PDI_Cash_Exception_Application[[#This Row],[INSERT DATE]]+7</f>
        <v>45200.257071759261</v>
      </c>
      <c r="H3305" t="str">
        <f>VLOOKUP(qry_ProdData2_PDI_Cash_Exception_Application[[#This Row],[MARKET No]],'Site Allocation'!$B$2:$C$37,2,FALSE)</f>
        <v>Analyst5</v>
      </c>
      <c r="I3305" s="4">
        <f t="shared" ca="1" si="51"/>
        <v>45203</v>
      </c>
      <c r="J3305" s="42">
        <f ca="1">TODAY()-qry_ProdData2_PDI_Cash_Exception_Application[[#This Row],[INSERT DATE]]</f>
        <v>9.7429282407392748</v>
      </c>
      <c r="K33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05">
        <f ca="1">qry_ProdData2_PDI_Cash_Exception_Application[[#This Row],[TODAY]]-qry_ProdData2_PDI_Cash_Exception_Application[[#This Row],[CHANGED ON]]</f>
        <v>2.7429282407392748</v>
      </c>
      <c r="M3305">
        <f ca="1">qry_ProdData2_PDI_Cash_Exception_Application[[#This Row],[TODAY]]-qry_ProdData2_PDI_Cash_Exception_Application[[#This Row],[CHANGED ON]]</f>
        <v>2.7429282407392748</v>
      </c>
      <c r="N3305">
        <f ca="1">qry_ProdData2_PDI_Cash_Exception_Application[[#This Row],[TODAY]]-qry_ProdData2_PDI_Cash_Exception_Application[[#This Row],[CHANGED ON]]</f>
        <v>2.7429282407392748</v>
      </c>
    </row>
    <row r="3306" spans="1:14" x14ac:dyDescent="0.35">
      <c r="A3306">
        <v>1000</v>
      </c>
      <c r="B3306" t="s">
        <v>54</v>
      </c>
      <c r="C3306" s="1">
        <v>45194.257071759261</v>
      </c>
      <c r="D3306" t="str">
        <f ca="1">VLOOKUP(qry_ProdData2_PDI_Cash_Exception_Application[[#This Row],[TYPE]],#REF!,2,FALSE)</f>
        <v>type40</v>
      </c>
      <c r="E3306">
        <v>-1252.24</v>
      </c>
      <c r="F3306" t="s">
        <v>52</v>
      </c>
      <c r="G3306" s="1">
        <f>qry_ProdData2_PDI_Cash_Exception_Application[[#This Row],[INSERT DATE]]+5</f>
        <v>45199.257071759261</v>
      </c>
      <c r="H3306" t="str">
        <f>VLOOKUP(qry_ProdData2_PDI_Cash_Exception_Application[[#This Row],[MARKET No]],'Site Allocation'!$B$2:$C$37,2,FALSE)</f>
        <v>Analyst1</v>
      </c>
      <c r="I3306" s="4">
        <f t="shared" ca="1" si="51"/>
        <v>45203</v>
      </c>
      <c r="J3306" s="42">
        <f ca="1">TODAY()-qry_ProdData2_PDI_Cash_Exception_Application[[#This Row],[INSERT DATE]]</f>
        <v>8.7429282407392748</v>
      </c>
      <c r="K33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06">
        <f ca="1">qry_ProdData2_PDI_Cash_Exception_Application[[#This Row],[TODAY]]-qry_ProdData2_PDI_Cash_Exception_Application[[#This Row],[CHANGED ON]]</f>
        <v>3.7429282407392748</v>
      </c>
      <c r="M3306">
        <f ca="1">qry_ProdData2_PDI_Cash_Exception_Application[[#This Row],[TODAY]]-qry_ProdData2_PDI_Cash_Exception_Application[[#This Row],[CHANGED ON]]</f>
        <v>3.7429282407392748</v>
      </c>
      <c r="N3306">
        <f ca="1">qry_ProdData2_PDI_Cash_Exception_Application[[#This Row],[TODAY]]-qry_ProdData2_PDI_Cash_Exception_Application[[#This Row],[CHANGED ON]]</f>
        <v>3.7429282407392748</v>
      </c>
    </row>
    <row r="3307" spans="1:14" x14ac:dyDescent="0.35">
      <c r="A3307">
        <v>1009</v>
      </c>
      <c r="B3307" t="s">
        <v>63</v>
      </c>
      <c r="C3307" s="1">
        <v>45194.257071759261</v>
      </c>
      <c r="D3307" t="str">
        <f ca="1">VLOOKUP(qry_ProdData2_PDI_Cash_Exception_Application[[#This Row],[TYPE]],#REF!,2,FALSE)</f>
        <v>type16</v>
      </c>
      <c r="E3307">
        <v>-2032</v>
      </c>
      <c r="F3307" t="s">
        <v>51</v>
      </c>
      <c r="G3307" s="1">
        <f>qry_ProdData2_PDI_Cash_Exception_Application[[#This Row],[INSERT DATE]]+7</f>
        <v>45201.257071759261</v>
      </c>
      <c r="H3307" t="str">
        <f>VLOOKUP(qry_ProdData2_PDI_Cash_Exception_Application[[#This Row],[MARKET No]],'Site Allocation'!$B$2:$C$37,2,FALSE)</f>
        <v>Analyst2</v>
      </c>
      <c r="I3307" s="4">
        <f t="shared" ca="1" si="51"/>
        <v>45203</v>
      </c>
      <c r="J3307" s="42">
        <f ca="1">TODAY()-qry_ProdData2_PDI_Cash_Exception_Application[[#This Row],[INSERT DATE]]</f>
        <v>8.7429282407392748</v>
      </c>
      <c r="K33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07">
        <f ca="1">qry_ProdData2_PDI_Cash_Exception_Application[[#This Row],[TODAY]]-qry_ProdData2_PDI_Cash_Exception_Application[[#This Row],[CHANGED ON]]</f>
        <v>1.7429282407392748</v>
      </c>
      <c r="M3307">
        <f ca="1">qry_ProdData2_PDI_Cash_Exception_Application[[#This Row],[TODAY]]-qry_ProdData2_PDI_Cash_Exception_Application[[#This Row],[CHANGED ON]]</f>
        <v>1.7429282407392748</v>
      </c>
      <c r="N3307">
        <f ca="1">qry_ProdData2_PDI_Cash_Exception_Application[[#This Row],[TODAY]]-qry_ProdData2_PDI_Cash_Exception_Application[[#This Row],[CHANGED ON]]</f>
        <v>1.7429282407392748</v>
      </c>
    </row>
    <row r="3308" spans="1:14" x14ac:dyDescent="0.35">
      <c r="A3308">
        <v>1022</v>
      </c>
      <c r="B3308" t="s">
        <v>76</v>
      </c>
      <c r="C3308" s="1">
        <v>45195.257071759261</v>
      </c>
      <c r="D3308" t="str">
        <f ca="1">VLOOKUP(qry_ProdData2_PDI_Cash_Exception_Application[[#This Row],[TYPE]],#REF!,2,FALSE)</f>
        <v>type50</v>
      </c>
      <c r="E3308">
        <v>0</v>
      </c>
      <c r="F3308" t="s">
        <v>47</v>
      </c>
      <c r="G3308" s="1">
        <f>qry_ProdData2_PDI_Cash_Exception_Application[[#This Row],[INSERT DATE]]+2</f>
        <v>45197.257071759261</v>
      </c>
      <c r="H3308" t="str">
        <f>VLOOKUP(qry_ProdData2_PDI_Cash_Exception_Application[[#This Row],[MARKET No]],'Site Allocation'!$B$2:$C$37,2,FALSE)</f>
        <v>Analyst4</v>
      </c>
      <c r="I3308" s="4">
        <f t="shared" ca="1" si="51"/>
        <v>45203</v>
      </c>
      <c r="J3308" s="42">
        <f ca="1">TODAY()-qry_ProdData2_PDI_Cash_Exception_Application[[#This Row],[INSERT DATE]]</f>
        <v>7.7429282407392748</v>
      </c>
      <c r="K33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08">
        <f ca="1">qry_ProdData2_PDI_Cash_Exception_Application[[#This Row],[TODAY]]-qry_ProdData2_PDI_Cash_Exception_Application[[#This Row],[CHANGED ON]]</f>
        <v>5.7429282407392748</v>
      </c>
      <c r="M3308">
        <f ca="1">qry_ProdData2_PDI_Cash_Exception_Application[[#This Row],[TODAY]]-qry_ProdData2_PDI_Cash_Exception_Application[[#This Row],[CHANGED ON]]</f>
        <v>5.7429282407392748</v>
      </c>
      <c r="N3308">
        <f ca="1">qry_ProdData2_PDI_Cash_Exception_Application[[#This Row],[TODAY]]-qry_ProdData2_PDI_Cash_Exception_Application[[#This Row],[CHANGED ON]]</f>
        <v>5.7429282407392748</v>
      </c>
    </row>
    <row r="3309" spans="1:14" x14ac:dyDescent="0.35">
      <c r="A3309">
        <v>1025</v>
      </c>
      <c r="B3309" t="s">
        <v>79</v>
      </c>
      <c r="C3309" s="1">
        <v>45197.257071759261</v>
      </c>
      <c r="D3309" t="str">
        <f ca="1">VLOOKUP(qry_ProdData2_PDI_Cash_Exception_Application[[#This Row],[TYPE]],#REF!,2,FALSE)</f>
        <v>type18</v>
      </c>
      <c r="E3309">
        <v>312.99</v>
      </c>
      <c r="F3309" t="s">
        <v>52</v>
      </c>
      <c r="G3309" s="1">
        <f>qry_ProdData2_PDI_Cash_Exception_Application[[#This Row],[INSERT DATE]]+5</f>
        <v>45202.257071759261</v>
      </c>
      <c r="H3309" t="str">
        <f>VLOOKUP(qry_ProdData2_PDI_Cash_Exception_Application[[#This Row],[MARKET No]],'Site Allocation'!$B$2:$C$37,2,FALSE)</f>
        <v>Analyst5</v>
      </c>
      <c r="I3309" s="4">
        <f t="shared" ca="1" si="51"/>
        <v>45203</v>
      </c>
      <c r="J3309" s="42">
        <f ca="1">TODAY()-qry_ProdData2_PDI_Cash_Exception_Application[[#This Row],[INSERT DATE]]</f>
        <v>5.7429282407392748</v>
      </c>
      <c r="K33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309">
        <f ca="1">qry_ProdData2_PDI_Cash_Exception_Application[[#This Row],[TODAY]]-qry_ProdData2_PDI_Cash_Exception_Application[[#This Row],[CHANGED ON]]</f>
        <v>0.74292824073927477</v>
      </c>
      <c r="M3309">
        <f ca="1">qry_ProdData2_PDI_Cash_Exception_Application[[#This Row],[TODAY]]-qry_ProdData2_PDI_Cash_Exception_Application[[#This Row],[CHANGED ON]]</f>
        <v>0.74292824073927477</v>
      </c>
      <c r="N3309">
        <f ca="1">qry_ProdData2_PDI_Cash_Exception_Application[[#This Row],[TODAY]]-qry_ProdData2_PDI_Cash_Exception_Application[[#This Row],[CHANGED ON]]</f>
        <v>0.74292824073927477</v>
      </c>
    </row>
    <row r="3310" spans="1:14" x14ac:dyDescent="0.35">
      <c r="A3310">
        <v>1007</v>
      </c>
      <c r="B3310" t="s">
        <v>61</v>
      </c>
      <c r="C3310" s="1">
        <v>45196.257071759261</v>
      </c>
      <c r="D3310" t="str">
        <f ca="1">VLOOKUP(qry_ProdData2_PDI_Cash_Exception_Application[[#This Row],[TYPE]],#REF!,2,FALSE)</f>
        <v>type43</v>
      </c>
      <c r="E3310">
        <v>244.2</v>
      </c>
      <c r="F3310" t="s">
        <v>48</v>
      </c>
      <c r="G3310" s="1">
        <f>qry_ProdData2_PDI_Cash_Exception_Application[[#This Row],[INSERT DATE]]+5</f>
        <v>45201.257071759261</v>
      </c>
      <c r="H3310" t="str">
        <f>VLOOKUP(qry_ProdData2_PDI_Cash_Exception_Application[[#This Row],[MARKET No]],'Site Allocation'!$B$2:$C$37,2,FALSE)</f>
        <v>Analyst2</v>
      </c>
      <c r="I3310" s="4">
        <f t="shared" ca="1" si="51"/>
        <v>45203</v>
      </c>
      <c r="J3310" s="42">
        <f ca="1">TODAY()-qry_ProdData2_PDI_Cash_Exception_Application[[#This Row],[INSERT DATE]]</f>
        <v>6.7429282407392748</v>
      </c>
      <c r="K33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10">
        <f ca="1">qry_ProdData2_PDI_Cash_Exception_Application[[#This Row],[TODAY]]-qry_ProdData2_PDI_Cash_Exception_Application[[#This Row],[CHANGED ON]]</f>
        <v>1.7429282407392748</v>
      </c>
      <c r="M3310">
        <f ca="1">qry_ProdData2_PDI_Cash_Exception_Application[[#This Row],[TODAY]]-qry_ProdData2_PDI_Cash_Exception_Application[[#This Row],[CHANGED ON]]</f>
        <v>1.7429282407392748</v>
      </c>
      <c r="N3310">
        <f ca="1">qry_ProdData2_PDI_Cash_Exception_Application[[#This Row],[TODAY]]-qry_ProdData2_PDI_Cash_Exception_Application[[#This Row],[CHANGED ON]]</f>
        <v>1.7429282407392748</v>
      </c>
    </row>
    <row r="3311" spans="1:14" x14ac:dyDescent="0.35">
      <c r="A3311">
        <v>1027</v>
      </c>
      <c r="B3311" t="s">
        <v>81</v>
      </c>
      <c r="C3311" s="1">
        <v>45197.257071759261</v>
      </c>
      <c r="D3311" t="str">
        <f ca="1">VLOOKUP(qry_ProdData2_PDI_Cash_Exception_Application[[#This Row],[TYPE]],#REF!,2,FALSE)</f>
        <v>type40</v>
      </c>
      <c r="E3311">
        <v>616.52</v>
      </c>
      <c r="F3311" t="s">
        <v>48</v>
      </c>
      <c r="G3311" s="1">
        <f>qry_ProdData2_PDI_Cash_Exception_Application[[#This Row],[INSERT DATE]]+2</f>
        <v>45199.257071759261</v>
      </c>
      <c r="H3311" t="str">
        <f>VLOOKUP(qry_ProdData2_PDI_Cash_Exception_Application[[#This Row],[MARKET No]],'Site Allocation'!$B$2:$C$37,2,FALSE)</f>
        <v>Analyst5</v>
      </c>
      <c r="I3311" s="4">
        <f t="shared" ca="1" si="51"/>
        <v>45203</v>
      </c>
      <c r="J3311" s="42">
        <f ca="1">TODAY()-qry_ProdData2_PDI_Cash_Exception_Application[[#This Row],[INSERT DATE]]</f>
        <v>5.7429282407392748</v>
      </c>
      <c r="K33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311">
        <f ca="1">qry_ProdData2_PDI_Cash_Exception_Application[[#This Row],[TODAY]]-qry_ProdData2_PDI_Cash_Exception_Application[[#This Row],[CHANGED ON]]</f>
        <v>3.7429282407392748</v>
      </c>
      <c r="M3311">
        <f ca="1">qry_ProdData2_PDI_Cash_Exception_Application[[#This Row],[TODAY]]-qry_ProdData2_PDI_Cash_Exception_Application[[#This Row],[CHANGED ON]]</f>
        <v>3.7429282407392748</v>
      </c>
      <c r="N3311">
        <f ca="1">qry_ProdData2_PDI_Cash_Exception_Application[[#This Row],[TODAY]]-qry_ProdData2_PDI_Cash_Exception_Application[[#This Row],[CHANGED ON]]</f>
        <v>3.7429282407392748</v>
      </c>
    </row>
    <row r="3312" spans="1:14" x14ac:dyDescent="0.35">
      <c r="A3312">
        <v>1003</v>
      </c>
      <c r="B3312" t="s">
        <v>57</v>
      </c>
      <c r="C3312" s="1">
        <v>45194.257071759261</v>
      </c>
      <c r="D3312" t="str">
        <f ca="1">VLOOKUP(qry_ProdData2_PDI_Cash_Exception_Application[[#This Row],[TYPE]],#REF!,2,FALSE)</f>
        <v>type13</v>
      </c>
      <c r="E3312">
        <v>40800.76</v>
      </c>
      <c r="G3312" s="1">
        <f>qry_ProdData2_PDI_Cash_Exception_Application[[#This Row],[INSERT DATE]]+7</f>
        <v>45201.257071759261</v>
      </c>
      <c r="H3312" t="str">
        <f>VLOOKUP(qry_ProdData2_PDI_Cash_Exception_Application[[#This Row],[MARKET No]],'Site Allocation'!$B$2:$C$37,2,FALSE)</f>
        <v>Analyst1</v>
      </c>
      <c r="I3312" s="4">
        <f t="shared" ca="1" si="51"/>
        <v>45203</v>
      </c>
      <c r="J3312" s="42">
        <f ca="1">TODAY()-qry_ProdData2_PDI_Cash_Exception_Application[[#This Row],[INSERT DATE]]</f>
        <v>8.7429282407392748</v>
      </c>
      <c r="K33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12">
        <f ca="1">qry_ProdData2_PDI_Cash_Exception_Application[[#This Row],[TODAY]]-qry_ProdData2_PDI_Cash_Exception_Application[[#This Row],[CHANGED ON]]</f>
        <v>1.7429282407392748</v>
      </c>
      <c r="M3312">
        <f ca="1">qry_ProdData2_PDI_Cash_Exception_Application[[#This Row],[TODAY]]-qry_ProdData2_PDI_Cash_Exception_Application[[#This Row],[CHANGED ON]]</f>
        <v>1.7429282407392748</v>
      </c>
      <c r="N3312">
        <f ca="1">qry_ProdData2_PDI_Cash_Exception_Application[[#This Row],[TODAY]]-qry_ProdData2_PDI_Cash_Exception_Application[[#This Row],[CHANGED ON]]</f>
        <v>1.7429282407392748</v>
      </c>
    </row>
    <row r="3313" spans="1:14" x14ac:dyDescent="0.35">
      <c r="A3313">
        <v>1014</v>
      </c>
      <c r="B3313" t="s">
        <v>68</v>
      </c>
      <c r="C3313" s="1">
        <v>45182.257071759261</v>
      </c>
      <c r="D3313" t="str">
        <f ca="1">VLOOKUP(qry_ProdData2_PDI_Cash_Exception_Application[[#This Row],[TYPE]],#REF!,2,FALSE)</f>
        <v>type40</v>
      </c>
      <c r="E3313">
        <v>-300.89</v>
      </c>
      <c r="F3313" t="s">
        <v>50</v>
      </c>
      <c r="G3313" s="1">
        <f>qry_ProdData2_PDI_Cash_Exception_Application[[#This Row],[INSERT DATE]]+7</f>
        <v>45189.257071759261</v>
      </c>
      <c r="H3313" t="str">
        <f>VLOOKUP(qry_ProdData2_PDI_Cash_Exception_Application[[#This Row],[MARKET No]],'Site Allocation'!$B$2:$C$37,2,FALSE)</f>
        <v>Analyst3</v>
      </c>
      <c r="I3313" s="4">
        <f t="shared" ca="1" si="51"/>
        <v>45203</v>
      </c>
      <c r="J3313" s="42">
        <f ca="1">TODAY()-qry_ProdData2_PDI_Cash_Exception_Application[[#This Row],[INSERT DATE]]</f>
        <v>20.742928240739275</v>
      </c>
      <c r="K33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13">
        <f ca="1">qry_ProdData2_PDI_Cash_Exception_Application[[#This Row],[TODAY]]-qry_ProdData2_PDI_Cash_Exception_Application[[#This Row],[CHANGED ON]]</f>
        <v>13.742928240739275</v>
      </c>
      <c r="M3313">
        <f ca="1">qry_ProdData2_PDI_Cash_Exception_Application[[#This Row],[TODAY]]-qry_ProdData2_PDI_Cash_Exception_Application[[#This Row],[CHANGED ON]]</f>
        <v>13.742928240739275</v>
      </c>
      <c r="N3313">
        <f ca="1">qry_ProdData2_PDI_Cash_Exception_Application[[#This Row],[TODAY]]-qry_ProdData2_PDI_Cash_Exception_Application[[#This Row],[CHANGED ON]]</f>
        <v>13.742928240739275</v>
      </c>
    </row>
    <row r="3314" spans="1:14" x14ac:dyDescent="0.35">
      <c r="A3314">
        <v>1029</v>
      </c>
      <c r="B3314" t="s">
        <v>83</v>
      </c>
      <c r="C3314" s="1">
        <v>45193.257071759261</v>
      </c>
      <c r="D3314" t="str">
        <f ca="1">VLOOKUP(qry_ProdData2_PDI_Cash_Exception_Application[[#This Row],[TYPE]],#REF!,2,FALSE)</f>
        <v>type38</v>
      </c>
      <c r="E3314">
        <v>150.28</v>
      </c>
      <c r="F3314" t="s">
        <v>47</v>
      </c>
      <c r="G3314" s="1">
        <f>qry_ProdData2_PDI_Cash_Exception_Application[[#This Row],[INSERT DATE]]+1</f>
        <v>45194.257071759261</v>
      </c>
      <c r="H3314" t="str">
        <f>VLOOKUP(qry_ProdData2_PDI_Cash_Exception_Application[[#This Row],[MARKET No]],'Site Allocation'!$B$2:$C$37,2,FALSE)</f>
        <v>Analyst5</v>
      </c>
      <c r="I3314" s="4">
        <f t="shared" ca="1" si="51"/>
        <v>45203</v>
      </c>
      <c r="J3314" s="42">
        <f ca="1">TODAY()-qry_ProdData2_PDI_Cash_Exception_Application[[#This Row],[INSERT DATE]]</f>
        <v>9.7429282407392748</v>
      </c>
      <c r="K33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14">
        <f ca="1">qry_ProdData2_PDI_Cash_Exception_Application[[#This Row],[TODAY]]-qry_ProdData2_PDI_Cash_Exception_Application[[#This Row],[CHANGED ON]]</f>
        <v>8.7429282407392748</v>
      </c>
      <c r="M3314">
        <f ca="1">qry_ProdData2_PDI_Cash_Exception_Application[[#This Row],[TODAY]]-qry_ProdData2_PDI_Cash_Exception_Application[[#This Row],[CHANGED ON]]</f>
        <v>8.7429282407392748</v>
      </c>
      <c r="N3314">
        <f ca="1">qry_ProdData2_PDI_Cash_Exception_Application[[#This Row],[TODAY]]-qry_ProdData2_PDI_Cash_Exception_Application[[#This Row],[CHANGED ON]]</f>
        <v>8.7429282407392748</v>
      </c>
    </row>
    <row r="3315" spans="1:14" x14ac:dyDescent="0.35">
      <c r="A3315">
        <v>1011</v>
      </c>
      <c r="B3315" t="s">
        <v>65</v>
      </c>
      <c r="C3315" s="1">
        <v>45183.257071759261</v>
      </c>
      <c r="D3315" t="str">
        <f ca="1">VLOOKUP(qry_ProdData2_PDI_Cash_Exception_Application[[#This Row],[TYPE]],#REF!,2,FALSE)</f>
        <v>type40</v>
      </c>
      <c r="E3315">
        <v>4831.5600000000004</v>
      </c>
      <c r="F3315" t="s">
        <v>52</v>
      </c>
      <c r="G3315" s="1">
        <f>qry_ProdData2_PDI_Cash_Exception_Application[[#This Row],[INSERT DATE]]+7</f>
        <v>45190.257071759261</v>
      </c>
      <c r="H3315" t="str">
        <f>VLOOKUP(qry_ProdData2_PDI_Cash_Exception_Application[[#This Row],[MARKET No]],'Site Allocation'!$B$2:$C$37,2,FALSE)</f>
        <v>Analyst2</v>
      </c>
      <c r="I3315" s="4">
        <f t="shared" ca="1" si="51"/>
        <v>45203</v>
      </c>
      <c r="J3315" s="42">
        <f ca="1">TODAY()-qry_ProdData2_PDI_Cash_Exception_Application[[#This Row],[INSERT DATE]]</f>
        <v>19.742928240739275</v>
      </c>
      <c r="K33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15">
        <f ca="1">qry_ProdData2_PDI_Cash_Exception_Application[[#This Row],[TODAY]]-qry_ProdData2_PDI_Cash_Exception_Application[[#This Row],[CHANGED ON]]</f>
        <v>12.742928240739275</v>
      </c>
      <c r="M3315">
        <f ca="1">qry_ProdData2_PDI_Cash_Exception_Application[[#This Row],[TODAY]]-qry_ProdData2_PDI_Cash_Exception_Application[[#This Row],[CHANGED ON]]</f>
        <v>12.742928240739275</v>
      </c>
      <c r="N3315">
        <f ca="1">qry_ProdData2_PDI_Cash_Exception_Application[[#This Row],[TODAY]]-qry_ProdData2_PDI_Cash_Exception_Application[[#This Row],[CHANGED ON]]</f>
        <v>12.742928240739275</v>
      </c>
    </row>
    <row r="3316" spans="1:14" x14ac:dyDescent="0.35">
      <c r="A3316">
        <v>1010</v>
      </c>
      <c r="B3316" t="s">
        <v>64</v>
      </c>
      <c r="C3316" s="1">
        <v>45183.257071759261</v>
      </c>
      <c r="D3316" t="str">
        <f ca="1">VLOOKUP(qry_ProdData2_PDI_Cash_Exception_Application[[#This Row],[TYPE]],#REF!,2,FALSE)</f>
        <v>type40</v>
      </c>
      <c r="E3316">
        <v>1369.58</v>
      </c>
      <c r="F3316" t="s">
        <v>52</v>
      </c>
      <c r="G3316" s="1">
        <f>qry_ProdData2_PDI_Cash_Exception_Application[[#This Row],[INSERT DATE]]+7</f>
        <v>45190.257071759261</v>
      </c>
      <c r="H3316" t="str">
        <f>VLOOKUP(qry_ProdData2_PDI_Cash_Exception_Application[[#This Row],[MARKET No]],'Site Allocation'!$B$2:$C$37,2,FALSE)</f>
        <v>Analyst2</v>
      </c>
      <c r="I3316" s="4">
        <f t="shared" ca="1" si="51"/>
        <v>45203</v>
      </c>
      <c r="J3316" s="42">
        <f ca="1">TODAY()-qry_ProdData2_PDI_Cash_Exception_Application[[#This Row],[INSERT DATE]]</f>
        <v>19.742928240739275</v>
      </c>
      <c r="K33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16">
        <f ca="1">qry_ProdData2_PDI_Cash_Exception_Application[[#This Row],[TODAY]]-qry_ProdData2_PDI_Cash_Exception_Application[[#This Row],[CHANGED ON]]</f>
        <v>12.742928240739275</v>
      </c>
      <c r="M3316">
        <f ca="1">qry_ProdData2_PDI_Cash_Exception_Application[[#This Row],[TODAY]]-qry_ProdData2_PDI_Cash_Exception_Application[[#This Row],[CHANGED ON]]</f>
        <v>12.742928240739275</v>
      </c>
      <c r="N3316">
        <f ca="1">qry_ProdData2_PDI_Cash_Exception_Application[[#This Row],[TODAY]]-qry_ProdData2_PDI_Cash_Exception_Application[[#This Row],[CHANGED ON]]</f>
        <v>12.742928240739275</v>
      </c>
    </row>
    <row r="3317" spans="1:14" x14ac:dyDescent="0.35">
      <c r="A3317">
        <v>1028</v>
      </c>
      <c r="B3317" t="s">
        <v>82</v>
      </c>
      <c r="C3317" s="1">
        <v>45193.257071759261</v>
      </c>
      <c r="D3317" t="str">
        <f ca="1">VLOOKUP(qry_ProdData2_PDI_Cash_Exception_Application[[#This Row],[TYPE]],#REF!,2,FALSE)</f>
        <v>type40</v>
      </c>
      <c r="E3317">
        <v>-975.62</v>
      </c>
      <c r="G3317" s="1">
        <f>qry_ProdData2_PDI_Cash_Exception_Application[[#This Row],[INSERT DATE]]+1</f>
        <v>45194.257071759261</v>
      </c>
      <c r="H3317" t="str">
        <f>VLOOKUP(qry_ProdData2_PDI_Cash_Exception_Application[[#This Row],[MARKET No]],'Site Allocation'!$B$2:$C$37,2,FALSE)</f>
        <v>Analyst5</v>
      </c>
      <c r="I3317" s="4">
        <f t="shared" ca="1" si="51"/>
        <v>45203</v>
      </c>
      <c r="J3317" s="42">
        <f ca="1">TODAY()-qry_ProdData2_PDI_Cash_Exception_Application[[#This Row],[INSERT DATE]]</f>
        <v>9.7429282407392748</v>
      </c>
      <c r="K33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17">
        <f ca="1">qry_ProdData2_PDI_Cash_Exception_Application[[#This Row],[TODAY]]-qry_ProdData2_PDI_Cash_Exception_Application[[#This Row],[CHANGED ON]]</f>
        <v>8.7429282407392748</v>
      </c>
      <c r="M3317">
        <f ca="1">qry_ProdData2_PDI_Cash_Exception_Application[[#This Row],[TODAY]]-qry_ProdData2_PDI_Cash_Exception_Application[[#This Row],[CHANGED ON]]</f>
        <v>8.7429282407392748</v>
      </c>
      <c r="N3317">
        <f ca="1">qry_ProdData2_PDI_Cash_Exception_Application[[#This Row],[TODAY]]-qry_ProdData2_PDI_Cash_Exception_Application[[#This Row],[CHANGED ON]]</f>
        <v>8.7429282407392748</v>
      </c>
    </row>
    <row r="3318" spans="1:14" x14ac:dyDescent="0.35">
      <c r="A3318">
        <v>1017</v>
      </c>
      <c r="B3318" t="s">
        <v>71</v>
      </c>
      <c r="C3318" s="1">
        <v>45184.257071759261</v>
      </c>
      <c r="D3318" t="str">
        <f ca="1">VLOOKUP(qry_ProdData2_PDI_Cash_Exception_Application[[#This Row],[TYPE]],#REF!,2,FALSE)</f>
        <v>type40</v>
      </c>
      <c r="E3318">
        <v>30</v>
      </c>
      <c r="F3318" t="s">
        <v>50</v>
      </c>
      <c r="G3318" s="1">
        <f>qry_ProdData2_PDI_Cash_Exception_Application[[#This Row],[INSERT DATE]]+7</f>
        <v>45191.257071759261</v>
      </c>
      <c r="H3318" t="str">
        <f>VLOOKUP(qry_ProdData2_PDI_Cash_Exception_Application[[#This Row],[MARKET No]],'Site Allocation'!$B$2:$C$37,2,FALSE)</f>
        <v>Analyst3</v>
      </c>
      <c r="I3318" s="4">
        <f t="shared" ca="1" si="51"/>
        <v>45203</v>
      </c>
      <c r="J3318" s="42">
        <f ca="1">TODAY()-qry_ProdData2_PDI_Cash_Exception_Application[[#This Row],[INSERT DATE]]</f>
        <v>18.742928240739275</v>
      </c>
      <c r="K33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18">
        <f ca="1">qry_ProdData2_PDI_Cash_Exception_Application[[#This Row],[TODAY]]-qry_ProdData2_PDI_Cash_Exception_Application[[#This Row],[CHANGED ON]]</f>
        <v>11.742928240739275</v>
      </c>
      <c r="M3318">
        <f ca="1">qry_ProdData2_PDI_Cash_Exception_Application[[#This Row],[TODAY]]-qry_ProdData2_PDI_Cash_Exception_Application[[#This Row],[CHANGED ON]]</f>
        <v>11.742928240739275</v>
      </c>
      <c r="N3318">
        <f ca="1">qry_ProdData2_PDI_Cash_Exception_Application[[#This Row],[TODAY]]-qry_ProdData2_PDI_Cash_Exception_Application[[#This Row],[CHANGED ON]]</f>
        <v>11.742928240739275</v>
      </c>
    </row>
    <row r="3319" spans="1:14" x14ac:dyDescent="0.35">
      <c r="A3319">
        <v>1018</v>
      </c>
      <c r="B3319" t="s">
        <v>72</v>
      </c>
      <c r="C3319" s="1">
        <v>45195.257071759261</v>
      </c>
      <c r="D3319" t="str">
        <f ca="1">VLOOKUP(qry_ProdData2_PDI_Cash_Exception_Application[[#This Row],[TYPE]],#REF!,2,FALSE)</f>
        <v>type26</v>
      </c>
      <c r="E3319">
        <v>138.18</v>
      </c>
      <c r="F3319" t="s">
        <v>51</v>
      </c>
      <c r="G3319" s="1">
        <f>qry_ProdData2_PDI_Cash_Exception_Application[[#This Row],[INSERT DATE]]+7</f>
        <v>45202.257071759261</v>
      </c>
      <c r="H3319" t="str">
        <f>VLOOKUP(qry_ProdData2_PDI_Cash_Exception_Application[[#This Row],[MARKET No]],'Site Allocation'!$B$2:$C$37,2,FALSE)</f>
        <v>Analyst4</v>
      </c>
      <c r="I3319" s="4">
        <f t="shared" ca="1" si="51"/>
        <v>45203</v>
      </c>
      <c r="J3319" s="42">
        <f ca="1">TODAY()-qry_ProdData2_PDI_Cash_Exception_Application[[#This Row],[INSERT DATE]]</f>
        <v>7.7429282407392748</v>
      </c>
      <c r="K33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19">
        <f ca="1">qry_ProdData2_PDI_Cash_Exception_Application[[#This Row],[TODAY]]-qry_ProdData2_PDI_Cash_Exception_Application[[#This Row],[CHANGED ON]]</f>
        <v>0.74292824073927477</v>
      </c>
      <c r="M3319">
        <f ca="1">qry_ProdData2_PDI_Cash_Exception_Application[[#This Row],[TODAY]]-qry_ProdData2_PDI_Cash_Exception_Application[[#This Row],[CHANGED ON]]</f>
        <v>0.74292824073927477</v>
      </c>
      <c r="N3319">
        <f ca="1">qry_ProdData2_PDI_Cash_Exception_Application[[#This Row],[TODAY]]-qry_ProdData2_PDI_Cash_Exception_Application[[#This Row],[CHANGED ON]]</f>
        <v>0.74292824073927477</v>
      </c>
    </row>
    <row r="3320" spans="1:14" x14ac:dyDescent="0.35">
      <c r="A3320">
        <v>1020</v>
      </c>
      <c r="B3320" t="s">
        <v>74</v>
      </c>
      <c r="C3320" s="1">
        <v>45185.257071759261</v>
      </c>
      <c r="D3320" t="str">
        <f ca="1">VLOOKUP(qry_ProdData2_PDI_Cash_Exception_Application[[#This Row],[TYPE]],#REF!,2,FALSE)</f>
        <v>type40</v>
      </c>
      <c r="E3320">
        <v>-807.7</v>
      </c>
      <c r="F3320" t="s">
        <v>52</v>
      </c>
      <c r="G3320" s="1">
        <f>qry_ProdData2_PDI_Cash_Exception_Application[[#This Row],[INSERT DATE]]+7</f>
        <v>45192.257071759261</v>
      </c>
      <c r="H3320" t="str">
        <f>VLOOKUP(qry_ProdData2_PDI_Cash_Exception_Application[[#This Row],[MARKET No]],'Site Allocation'!$B$2:$C$37,2,FALSE)</f>
        <v>Analyst4</v>
      </c>
      <c r="I3320" s="4">
        <f t="shared" ca="1" si="51"/>
        <v>45203</v>
      </c>
      <c r="J3320" s="42">
        <f ca="1">TODAY()-qry_ProdData2_PDI_Cash_Exception_Application[[#This Row],[INSERT DATE]]</f>
        <v>17.742928240739275</v>
      </c>
      <c r="K33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20">
        <f ca="1">qry_ProdData2_PDI_Cash_Exception_Application[[#This Row],[TODAY]]-qry_ProdData2_PDI_Cash_Exception_Application[[#This Row],[CHANGED ON]]</f>
        <v>10.742928240739275</v>
      </c>
      <c r="M3320">
        <f ca="1">qry_ProdData2_PDI_Cash_Exception_Application[[#This Row],[TODAY]]-qry_ProdData2_PDI_Cash_Exception_Application[[#This Row],[CHANGED ON]]</f>
        <v>10.742928240739275</v>
      </c>
      <c r="N3320">
        <f ca="1">qry_ProdData2_PDI_Cash_Exception_Application[[#This Row],[TODAY]]-qry_ProdData2_PDI_Cash_Exception_Application[[#This Row],[CHANGED ON]]</f>
        <v>10.742928240739275</v>
      </c>
    </row>
    <row r="3321" spans="1:14" x14ac:dyDescent="0.35">
      <c r="A3321">
        <v>1022</v>
      </c>
      <c r="B3321" t="s">
        <v>76</v>
      </c>
      <c r="C3321" s="1">
        <v>45193.257071759261</v>
      </c>
      <c r="D3321" t="str">
        <f ca="1">VLOOKUP(qry_ProdData2_PDI_Cash_Exception_Application[[#This Row],[TYPE]],#REF!,2,FALSE)</f>
        <v>type40</v>
      </c>
      <c r="E3321">
        <v>-6076.26</v>
      </c>
      <c r="F3321" t="s">
        <v>51</v>
      </c>
      <c r="G3321" s="1">
        <f>qry_ProdData2_PDI_Cash_Exception_Application[[#This Row],[INSERT DATE]]+1</f>
        <v>45194.257071759261</v>
      </c>
      <c r="H3321" t="str">
        <f>VLOOKUP(qry_ProdData2_PDI_Cash_Exception_Application[[#This Row],[MARKET No]],'Site Allocation'!$B$2:$C$37,2,FALSE)</f>
        <v>Analyst4</v>
      </c>
      <c r="I3321" s="4">
        <f t="shared" ca="1" si="51"/>
        <v>45203</v>
      </c>
      <c r="J3321" s="42">
        <f ca="1">TODAY()-qry_ProdData2_PDI_Cash_Exception_Application[[#This Row],[INSERT DATE]]</f>
        <v>9.7429282407392748</v>
      </c>
      <c r="K33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21">
        <f ca="1">qry_ProdData2_PDI_Cash_Exception_Application[[#This Row],[TODAY]]-qry_ProdData2_PDI_Cash_Exception_Application[[#This Row],[CHANGED ON]]</f>
        <v>8.7429282407392748</v>
      </c>
      <c r="M3321">
        <f ca="1">qry_ProdData2_PDI_Cash_Exception_Application[[#This Row],[TODAY]]-qry_ProdData2_PDI_Cash_Exception_Application[[#This Row],[CHANGED ON]]</f>
        <v>8.7429282407392748</v>
      </c>
      <c r="N3321">
        <f ca="1">qry_ProdData2_PDI_Cash_Exception_Application[[#This Row],[TODAY]]-qry_ProdData2_PDI_Cash_Exception_Application[[#This Row],[CHANGED ON]]</f>
        <v>8.7429282407392748</v>
      </c>
    </row>
    <row r="3322" spans="1:14" x14ac:dyDescent="0.35">
      <c r="A3322">
        <v>1031</v>
      </c>
      <c r="B3322" t="s">
        <v>85</v>
      </c>
      <c r="C3322" s="1">
        <v>45193.257071759261</v>
      </c>
      <c r="D3322" t="str">
        <f ca="1">VLOOKUP(qry_ProdData2_PDI_Cash_Exception_Application[[#This Row],[TYPE]],#REF!,2,FALSE)</f>
        <v>type40</v>
      </c>
      <c r="E3322">
        <v>7.09</v>
      </c>
      <c r="F3322" t="s">
        <v>47</v>
      </c>
      <c r="G3322" s="1">
        <f>qry_ProdData2_PDI_Cash_Exception_Application[[#This Row],[INSERT DATE]]+2</f>
        <v>45195.257071759261</v>
      </c>
      <c r="H3322" t="str">
        <f>VLOOKUP(qry_ProdData2_PDI_Cash_Exception_Application[[#This Row],[MARKET No]],'Site Allocation'!$B$2:$C$37,2,FALSE)</f>
        <v>Analyst6</v>
      </c>
      <c r="I3322" s="4">
        <f t="shared" ca="1" si="51"/>
        <v>45203</v>
      </c>
      <c r="J3322" s="42">
        <f ca="1">TODAY()-qry_ProdData2_PDI_Cash_Exception_Application[[#This Row],[INSERT DATE]]</f>
        <v>9.7429282407392748</v>
      </c>
      <c r="K33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22">
        <f ca="1">qry_ProdData2_PDI_Cash_Exception_Application[[#This Row],[TODAY]]-qry_ProdData2_PDI_Cash_Exception_Application[[#This Row],[CHANGED ON]]</f>
        <v>7.7429282407392748</v>
      </c>
      <c r="M3322">
        <f ca="1">qry_ProdData2_PDI_Cash_Exception_Application[[#This Row],[TODAY]]-qry_ProdData2_PDI_Cash_Exception_Application[[#This Row],[CHANGED ON]]</f>
        <v>7.7429282407392748</v>
      </c>
      <c r="N3322">
        <f ca="1">qry_ProdData2_PDI_Cash_Exception_Application[[#This Row],[TODAY]]-qry_ProdData2_PDI_Cash_Exception_Application[[#This Row],[CHANGED ON]]</f>
        <v>7.7429282407392748</v>
      </c>
    </row>
    <row r="3323" spans="1:14" x14ac:dyDescent="0.35">
      <c r="A3323">
        <v>1009</v>
      </c>
      <c r="B3323" t="s">
        <v>63</v>
      </c>
      <c r="C3323" s="1">
        <v>45187.257071759261</v>
      </c>
      <c r="D3323" t="str">
        <f ca="1">VLOOKUP(qry_ProdData2_PDI_Cash_Exception_Application[[#This Row],[TYPE]],#REF!,2,FALSE)</f>
        <v>type40</v>
      </c>
      <c r="E3323">
        <v>783.63</v>
      </c>
      <c r="F3323" t="s">
        <v>52</v>
      </c>
      <c r="G3323" s="1">
        <f>qry_ProdData2_PDI_Cash_Exception_Application[[#This Row],[INSERT DATE]]+7</f>
        <v>45194.257071759261</v>
      </c>
      <c r="H3323" t="str">
        <f>VLOOKUP(qry_ProdData2_PDI_Cash_Exception_Application[[#This Row],[MARKET No]],'Site Allocation'!$B$2:$C$37,2,FALSE)</f>
        <v>Analyst2</v>
      </c>
      <c r="I3323" s="4">
        <f t="shared" ca="1" si="51"/>
        <v>45203</v>
      </c>
      <c r="J3323" s="42">
        <f ca="1">TODAY()-qry_ProdData2_PDI_Cash_Exception_Application[[#This Row],[INSERT DATE]]</f>
        <v>15.742928240739275</v>
      </c>
      <c r="K33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23">
        <f ca="1">qry_ProdData2_PDI_Cash_Exception_Application[[#This Row],[TODAY]]-qry_ProdData2_PDI_Cash_Exception_Application[[#This Row],[CHANGED ON]]</f>
        <v>8.7429282407392748</v>
      </c>
      <c r="M3323">
        <f ca="1">qry_ProdData2_PDI_Cash_Exception_Application[[#This Row],[TODAY]]-qry_ProdData2_PDI_Cash_Exception_Application[[#This Row],[CHANGED ON]]</f>
        <v>8.7429282407392748</v>
      </c>
      <c r="N3323">
        <f ca="1">qry_ProdData2_PDI_Cash_Exception_Application[[#This Row],[TODAY]]-qry_ProdData2_PDI_Cash_Exception_Application[[#This Row],[CHANGED ON]]</f>
        <v>8.7429282407392748</v>
      </c>
    </row>
    <row r="3324" spans="1:14" x14ac:dyDescent="0.35">
      <c r="A3324">
        <v>1007</v>
      </c>
      <c r="B3324" t="s">
        <v>61</v>
      </c>
      <c r="C3324" s="1">
        <v>45197.257071759261</v>
      </c>
      <c r="D3324" t="str">
        <f ca="1">VLOOKUP(qry_ProdData2_PDI_Cash_Exception_Application[[#This Row],[TYPE]],#REF!,2,FALSE)</f>
        <v>type40</v>
      </c>
      <c r="E3324">
        <v>816.93</v>
      </c>
      <c r="F3324" t="s">
        <v>48</v>
      </c>
      <c r="G3324" s="1">
        <f>qry_ProdData2_PDI_Cash_Exception_Application[[#This Row],[INSERT DATE]]+7</f>
        <v>45204.257071759261</v>
      </c>
      <c r="H3324" t="str">
        <f>VLOOKUP(qry_ProdData2_PDI_Cash_Exception_Application[[#This Row],[MARKET No]],'Site Allocation'!$B$2:$C$37,2,FALSE)</f>
        <v>Analyst2</v>
      </c>
      <c r="I3324" s="4">
        <f t="shared" ca="1" si="51"/>
        <v>45203</v>
      </c>
      <c r="J3324" s="42">
        <f ca="1">TODAY()-qry_ProdData2_PDI_Cash_Exception_Application[[#This Row],[INSERT DATE]]</f>
        <v>5.7429282407392748</v>
      </c>
      <c r="K33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324">
        <f ca="1">qry_ProdData2_PDI_Cash_Exception_Application[[#This Row],[TODAY]]-qry_ProdData2_PDI_Cash_Exception_Application[[#This Row],[CHANGED ON]]</f>
        <v>-1.2570717592607252</v>
      </c>
      <c r="M3324">
        <f ca="1">qry_ProdData2_PDI_Cash_Exception_Application[[#This Row],[TODAY]]-qry_ProdData2_PDI_Cash_Exception_Application[[#This Row],[CHANGED ON]]</f>
        <v>-1.2570717592607252</v>
      </c>
      <c r="N3324">
        <f ca="1">qry_ProdData2_PDI_Cash_Exception_Application[[#This Row],[TODAY]]-qry_ProdData2_PDI_Cash_Exception_Application[[#This Row],[CHANGED ON]]</f>
        <v>-1.2570717592607252</v>
      </c>
    </row>
    <row r="3325" spans="1:14" x14ac:dyDescent="0.35">
      <c r="A3325">
        <v>1008</v>
      </c>
      <c r="B3325" t="s">
        <v>62</v>
      </c>
      <c r="C3325" s="1">
        <v>45189.257071759261</v>
      </c>
      <c r="D3325" t="str">
        <f ca="1">VLOOKUP(qry_ProdData2_PDI_Cash_Exception_Application[[#This Row],[TYPE]],#REF!,2,FALSE)</f>
        <v>type8</v>
      </c>
      <c r="E3325">
        <v>52.9</v>
      </c>
      <c r="F3325" t="s">
        <v>50</v>
      </c>
      <c r="G3325" s="1">
        <f>qry_ProdData2_PDI_Cash_Exception_Application[[#This Row],[INSERT DATE]]+7</f>
        <v>45196.257071759261</v>
      </c>
      <c r="H3325" t="str">
        <f>VLOOKUP(qry_ProdData2_PDI_Cash_Exception_Application[[#This Row],[MARKET No]],'Site Allocation'!$B$2:$C$37,2,FALSE)</f>
        <v>Analyst2</v>
      </c>
      <c r="I3325" s="4">
        <f t="shared" ca="1" si="51"/>
        <v>45203</v>
      </c>
      <c r="J3325" s="42">
        <f ca="1">TODAY()-qry_ProdData2_PDI_Cash_Exception_Application[[#This Row],[INSERT DATE]]</f>
        <v>13.742928240739275</v>
      </c>
      <c r="K33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25">
        <f ca="1">qry_ProdData2_PDI_Cash_Exception_Application[[#This Row],[TODAY]]-qry_ProdData2_PDI_Cash_Exception_Application[[#This Row],[CHANGED ON]]</f>
        <v>6.7429282407392748</v>
      </c>
      <c r="M3325">
        <f ca="1">qry_ProdData2_PDI_Cash_Exception_Application[[#This Row],[TODAY]]-qry_ProdData2_PDI_Cash_Exception_Application[[#This Row],[CHANGED ON]]</f>
        <v>6.7429282407392748</v>
      </c>
      <c r="N3325">
        <f ca="1">qry_ProdData2_PDI_Cash_Exception_Application[[#This Row],[TODAY]]-qry_ProdData2_PDI_Cash_Exception_Application[[#This Row],[CHANGED ON]]</f>
        <v>6.7429282407392748</v>
      </c>
    </row>
    <row r="3326" spans="1:14" x14ac:dyDescent="0.35">
      <c r="A3326">
        <v>1024</v>
      </c>
      <c r="B3326" t="s">
        <v>78</v>
      </c>
      <c r="C3326" s="1">
        <v>45189.257071759261</v>
      </c>
      <c r="D3326" t="str">
        <f ca="1">VLOOKUP(qry_ProdData2_PDI_Cash_Exception_Application[[#This Row],[TYPE]],#REF!,2,FALSE)</f>
        <v>type29</v>
      </c>
      <c r="E3326">
        <v>383.47</v>
      </c>
      <c r="F3326" t="s">
        <v>50</v>
      </c>
      <c r="G3326" s="1">
        <f>qry_ProdData2_PDI_Cash_Exception_Application[[#This Row],[INSERT DATE]]+7</f>
        <v>45196.257071759261</v>
      </c>
      <c r="H3326" t="str">
        <f>VLOOKUP(qry_ProdData2_PDI_Cash_Exception_Application[[#This Row],[MARKET No]],'Site Allocation'!$B$2:$C$37,2,FALSE)</f>
        <v>Analyst5</v>
      </c>
      <c r="I3326" s="4">
        <f t="shared" ca="1" si="51"/>
        <v>45203</v>
      </c>
      <c r="J3326" s="42">
        <f ca="1">TODAY()-qry_ProdData2_PDI_Cash_Exception_Application[[#This Row],[INSERT DATE]]</f>
        <v>13.742928240739275</v>
      </c>
      <c r="K33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26">
        <f ca="1">qry_ProdData2_PDI_Cash_Exception_Application[[#This Row],[TODAY]]-qry_ProdData2_PDI_Cash_Exception_Application[[#This Row],[CHANGED ON]]</f>
        <v>6.7429282407392748</v>
      </c>
      <c r="M3326">
        <f ca="1">qry_ProdData2_PDI_Cash_Exception_Application[[#This Row],[TODAY]]-qry_ProdData2_PDI_Cash_Exception_Application[[#This Row],[CHANGED ON]]</f>
        <v>6.7429282407392748</v>
      </c>
      <c r="N3326">
        <f ca="1">qry_ProdData2_PDI_Cash_Exception_Application[[#This Row],[TODAY]]-qry_ProdData2_PDI_Cash_Exception_Application[[#This Row],[CHANGED ON]]</f>
        <v>6.7429282407392748</v>
      </c>
    </row>
    <row r="3327" spans="1:14" x14ac:dyDescent="0.35">
      <c r="A3327">
        <v>1014</v>
      </c>
      <c r="B3327" t="s">
        <v>68</v>
      </c>
      <c r="C3327" s="1">
        <v>45193.257071759261</v>
      </c>
      <c r="D3327" t="str">
        <f ca="1">VLOOKUP(qry_ProdData2_PDI_Cash_Exception_Application[[#This Row],[TYPE]],#REF!,2,FALSE)</f>
        <v>type40</v>
      </c>
      <c r="E3327">
        <v>336.81</v>
      </c>
      <c r="F3327" t="s">
        <v>51</v>
      </c>
      <c r="G3327" s="1">
        <f>qry_ProdData2_PDI_Cash_Exception_Application[[#This Row],[INSERT DATE]]+1</f>
        <v>45194.257071759261</v>
      </c>
      <c r="H3327" t="str">
        <f>VLOOKUP(qry_ProdData2_PDI_Cash_Exception_Application[[#This Row],[MARKET No]],'Site Allocation'!$B$2:$C$37,2,FALSE)</f>
        <v>Analyst3</v>
      </c>
      <c r="I3327" s="4">
        <f t="shared" ca="1" si="51"/>
        <v>45203</v>
      </c>
      <c r="J3327" s="42">
        <f ca="1">TODAY()-qry_ProdData2_PDI_Cash_Exception_Application[[#This Row],[INSERT DATE]]</f>
        <v>9.7429282407392748</v>
      </c>
      <c r="K33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27">
        <f ca="1">qry_ProdData2_PDI_Cash_Exception_Application[[#This Row],[TODAY]]-qry_ProdData2_PDI_Cash_Exception_Application[[#This Row],[CHANGED ON]]</f>
        <v>8.7429282407392748</v>
      </c>
      <c r="M3327">
        <f ca="1">qry_ProdData2_PDI_Cash_Exception_Application[[#This Row],[TODAY]]-qry_ProdData2_PDI_Cash_Exception_Application[[#This Row],[CHANGED ON]]</f>
        <v>8.7429282407392748</v>
      </c>
      <c r="N3327">
        <f ca="1">qry_ProdData2_PDI_Cash_Exception_Application[[#This Row],[TODAY]]-qry_ProdData2_PDI_Cash_Exception_Application[[#This Row],[CHANGED ON]]</f>
        <v>8.7429282407392748</v>
      </c>
    </row>
    <row r="3328" spans="1:14" x14ac:dyDescent="0.35">
      <c r="A3328">
        <v>1031</v>
      </c>
      <c r="B3328" t="s">
        <v>85</v>
      </c>
      <c r="C3328" s="1">
        <v>45193.257071759261</v>
      </c>
      <c r="D3328" t="str">
        <f ca="1">VLOOKUP(qry_ProdData2_PDI_Cash_Exception_Application[[#This Row],[TYPE]],#REF!,2,FALSE)</f>
        <v>type40</v>
      </c>
      <c r="E3328">
        <v>3809.49</v>
      </c>
      <c r="G3328" s="1">
        <f>qry_ProdData2_PDI_Cash_Exception_Application[[#This Row],[INSERT DATE]]+2</f>
        <v>45195.257071759261</v>
      </c>
      <c r="H3328" t="str">
        <f>VLOOKUP(qry_ProdData2_PDI_Cash_Exception_Application[[#This Row],[MARKET No]],'Site Allocation'!$B$2:$C$37,2,FALSE)</f>
        <v>Analyst6</v>
      </c>
      <c r="I3328" s="4">
        <f t="shared" ca="1" si="51"/>
        <v>45203</v>
      </c>
      <c r="J3328" s="42">
        <f ca="1">TODAY()-qry_ProdData2_PDI_Cash_Exception_Application[[#This Row],[INSERT DATE]]</f>
        <v>9.7429282407392748</v>
      </c>
      <c r="K33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28">
        <f ca="1">qry_ProdData2_PDI_Cash_Exception_Application[[#This Row],[TODAY]]-qry_ProdData2_PDI_Cash_Exception_Application[[#This Row],[CHANGED ON]]</f>
        <v>7.7429282407392748</v>
      </c>
      <c r="M3328">
        <f ca="1">qry_ProdData2_PDI_Cash_Exception_Application[[#This Row],[TODAY]]-qry_ProdData2_PDI_Cash_Exception_Application[[#This Row],[CHANGED ON]]</f>
        <v>7.7429282407392748</v>
      </c>
      <c r="N3328">
        <f ca="1">qry_ProdData2_PDI_Cash_Exception_Application[[#This Row],[TODAY]]-qry_ProdData2_PDI_Cash_Exception_Application[[#This Row],[CHANGED ON]]</f>
        <v>7.7429282407392748</v>
      </c>
    </row>
    <row r="3329" spans="1:14" x14ac:dyDescent="0.35">
      <c r="A3329">
        <v>1024</v>
      </c>
      <c r="B3329" t="s">
        <v>78</v>
      </c>
      <c r="C3329" s="1">
        <v>45194.257071759261</v>
      </c>
      <c r="D3329" t="str">
        <f ca="1">VLOOKUP(qry_ProdData2_PDI_Cash_Exception_Application[[#This Row],[TYPE]],#REF!,2,FALSE)</f>
        <v>type40</v>
      </c>
      <c r="E3329">
        <v>16.440000000000001</v>
      </c>
      <c r="F3329" t="s">
        <v>47</v>
      </c>
      <c r="G3329" s="1">
        <f>qry_ProdData2_PDI_Cash_Exception_Application[[#This Row],[INSERT DATE]]+5</f>
        <v>45199.257071759261</v>
      </c>
      <c r="H3329" t="str">
        <f>VLOOKUP(qry_ProdData2_PDI_Cash_Exception_Application[[#This Row],[MARKET No]],'Site Allocation'!$B$2:$C$37,2,FALSE)</f>
        <v>Analyst5</v>
      </c>
      <c r="I3329" s="4">
        <f t="shared" ca="1" si="51"/>
        <v>45203</v>
      </c>
      <c r="J3329" s="42">
        <f ca="1">TODAY()-qry_ProdData2_PDI_Cash_Exception_Application[[#This Row],[INSERT DATE]]</f>
        <v>8.7429282407392748</v>
      </c>
      <c r="K33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29">
        <f ca="1">qry_ProdData2_PDI_Cash_Exception_Application[[#This Row],[TODAY]]-qry_ProdData2_PDI_Cash_Exception_Application[[#This Row],[CHANGED ON]]</f>
        <v>3.7429282407392748</v>
      </c>
      <c r="M3329">
        <f ca="1">qry_ProdData2_PDI_Cash_Exception_Application[[#This Row],[TODAY]]-qry_ProdData2_PDI_Cash_Exception_Application[[#This Row],[CHANGED ON]]</f>
        <v>3.7429282407392748</v>
      </c>
      <c r="N3329">
        <f ca="1">qry_ProdData2_PDI_Cash_Exception_Application[[#This Row],[TODAY]]-qry_ProdData2_PDI_Cash_Exception_Application[[#This Row],[CHANGED ON]]</f>
        <v>3.7429282407392748</v>
      </c>
    </row>
    <row r="3330" spans="1:14" x14ac:dyDescent="0.35">
      <c r="A3330">
        <v>1021</v>
      </c>
      <c r="B3330" t="s">
        <v>75</v>
      </c>
      <c r="C3330" s="1">
        <v>45192.257071759261</v>
      </c>
      <c r="D3330" t="str">
        <f ca="1">VLOOKUP(qry_ProdData2_PDI_Cash_Exception_Application[[#This Row],[TYPE]],#REF!,2,FALSE)</f>
        <v>type40</v>
      </c>
      <c r="E3330">
        <v>-820.65</v>
      </c>
      <c r="F3330" t="s">
        <v>50</v>
      </c>
      <c r="G3330" s="1">
        <f>qry_ProdData2_PDI_Cash_Exception_Application[[#This Row],[INSERT DATE]]+1</f>
        <v>45193.257071759261</v>
      </c>
      <c r="H3330" t="str">
        <f>VLOOKUP(qry_ProdData2_PDI_Cash_Exception_Application[[#This Row],[MARKET No]],'Site Allocation'!$B$2:$C$37,2,FALSE)</f>
        <v>Analyst4</v>
      </c>
      <c r="I3330" s="4">
        <f t="shared" ref="I3330:I3393" ca="1" si="52">TODAY()</f>
        <v>45203</v>
      </c>
      <c r="J3330" s="42">
        <f ca="1">TODAY()-qry_ProdData2_PDI_Cash_Exception_Application[[#This Row],[INSERT DATE]]</f>
        <v>10.742928240739275</v>
      </c>
      <c r="K33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30">
        <f ca="1">qry_ProdData2_PDI_Cash_Exception_Application[[#This Row],[TODAY]]-qry_ProdData2_PDI_Cash_Exception_Application[[#This Row],[CHANGED ON]]</f>
        <v>9.7429282407392748</v>
      </c>
      <c r="M3330">
        <f ca="1">qry_ProdData2_PDI_Cash_Exception_Application[[#This Row],[TODAY]]-qry_ProdData2_PDI_Cash_Exception_Application[[#This Row],[CHANGED ON]]</f>
        <v>9.7429282407392748</v>
      </c>
      <c r="N3330">
        <f ca="1">qry_ProdData2_PDI_Cash_Exception_Application[[#This Row],[TODAY]]-qry_ProdData2_PDI_Cash_Exception_Application[[#This Row],[CHANGED ON]]</f>
        <v>9.7429282407392748</v>
      </c>
    </row>
    <row r="3331" spans="1:14" x14ac:dyDescent="0.35">
      <c r="A3331">
        <v>1033</v>
      </c>
      <c r="B3331" t="s">
        <v>87</v>
      </c>
      <c r="C3331" s="1">
        <v>45194.257071759261</v>
      </c>
      <c r="D3331" t="str">
        <f ca="1">VLOOKUP(qry_ProdData2_PDI_Cash_Exception_Application[[#This Row],[TYPE]],#REF!,2,FALSE)</f>
        <v>type40</v>
      </c>
      <c r="E3331">
        <v>37.909999999999997</v>
      </c>
      <c r="F3331" t="s">
        <v>51</v>
      </c>
      <c r="G3331" s="1">
        <f>qry_ProdData2_PDI_Cash_Exception_Application[[#This Row],[INSERT DATE]]+7</f>
        <v>45201.257071759261</v>
      </c>
      <c r="H3331" t="str">
        <f>VLOOKUP(qry_ProdData2_PDI_Cash_Exception_Application[[#This Row],[MARKET No]],'Site Allocation'!$B$2:$C$37,2,FALSE)</f>
        <v>Analyst6</v>
      </c>
      <c r="I3331" s="4">
        <f t="shared" ca="1" si="52"/>
        <v>45203</v>
      </c>
      <c r="J3331" s="42">
        <f ca="1">TODAY()-qry_ProdData2_PDI_Cash_Exception_Application[[#This Row],[INSERT DATE]]</f>
        <v>8.7429282407392748</v>
      </c>
      <c r="K33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31">
        <f ca="1">qry_ProdData2_PDI_Cash_Exception_Application[[#This Row],[TODAY]]-qry_ProdData2_PDI_Cash_Exception_Application[[#This Row],[CHANGED ON]]</f>
        <v>1.7429282407392748</v>
      </c>
      <c r="M3331">
        <f ca="1">qry_ProdData2_PDI_Cash_Exception_Application[[#This Row],[TODAY]]-qry_ProdData2_PDI_Cash_Exception_Application[[#This Row],[CHANGED ON]]</f>
        <v>1.7429282407392748</v>
      </c>
      <c r="N3331">
        <f ca="1">qry_ProdData2_PDI_Cash_Exception_Application[[#This Row],[TODAY]]-qry_ProdData2_PDI_Cash_Exception_Application[[#This Row],[CHANGED ON]]</f>
        <v>1.7429282407392748</v>
      </c>
    </row>
    <row r="3332" spans="1:14" x14ac:dyDescent="0.35">
      <c r="A3332">
        <v>1007</v>
      </c>
      <c r="B3332" t="s">
        <v>61</v>
      </c>
      <c r="C3332" s="1">
        <v>45194.257071759261</v>
      </c>
      <c r="D3332" t="str">
        <f ca="1">VLOOKUP(qry_ProdData2_PDI_Cash_Exception_Application[[#This Row],[TYPE]],#REF!,2,FALSE)</f>
        <v>type40</v>
      </c>
      <c r="E3332">
        <v>47.49</v>
      </c>
      <c r="F3332" t="s">
        <v>47</v>
      </c>
      <c r="G3332" s="1">
        <f>qry_ProdData2_PDI_Cash_Exception_Application[[#This Row],[INSERT DATE]]+7</f>
        <v>45201.257071759261</v>
      </c>
      <c r="H3332" t="str">
        <f>VLOOKUP(qry_ProdData2_PDI_Cash_Exception_Application[[#This Row],[MARKET No]],'Site Allocation'!$B$2:$C$37,2,FALSE)</f>
        <v>Analyst2</v>
      </c>
      <c r="I3332" s="4">
        <f t="shared" ca="1" si="52"/>
        <v>45203</v>
      </c>
      <c r="J3332" s="42">
        <f ca="1">TODAY()-qry_ProdData2_PDI_Cash_Exception_Application[[#This Row],[INSERT DATE]]</f>
        <v>8.7429282407392748</v>
      </c>
      <c r="K33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32">
        <f ca="1">qry_ProdData2_PDI_Cash_Exception_Application[[#This Row],[TODAY]]-qry_ProdData2_PDI_Cash_Exception_Application[[#This Row],[CHANGED ON]]</f>
        <v>1.7429282407392748</v>
      </c>
      <c r="M3332">
        <f ca="1">qry_ProdData2_PDI_Cash_Exception_Application[[#This Row],[TODAY]]-qry_ProdData2_PDI_Cash_Exception_Application[[#This Row],[CHANGED ON]]</f>
        <v>1.7429282407392748</v>
      </c>
      <c r="N3332">
        <f ca="1">qry_ProdData2_PDI_Cash_Exception_Application[[#This Row],[TODAY]]-qry_ProdData2_PDI_Cash_Exception_Application[[#This Row],[CHANGED ON]]</f>
        <v>1.7429282407392748</v>
      </c>
    </row>
    <row r="3333" spans="1:14" x14ac:dyDescent="0.35">
      <c r="A3333">
        <v>1020</v>
      </c>
      <c r="B3333" t="s">
        <v>74</v>
      </c>
      <c r="C3333" s="1">
        <v>45193.257071759261</v>
      </c>
      <c r="D3333" t="str">
        <f ca="1">VLOOKUP(qry_ProdData2_PDI_Cash_Exception_Application[[#This Row],[TYPE]],#REF!,2,FALSE)</f>
        <v>type13</v>
      </c>
      <c r="E3333">
        <v>58481.9</v>
      </c>
      <c r="F3333" t="s">
        <v>47</v>
      </c>
      <c r="G3333" s="1">
        <f>qry_ProdData2_PDI_Cash_Exception_Application[[#This Row],[INSERT DATE]]+7</f>
        <v>45200.257071759261</v>
      </c>
      <c r="H3333" t="str">
        <f>VLOOKUP(qry_ProdData2_PDI_Cash_Exception_Application[[#This Row],[MARKET No]],'Site Allocation'!$B$2:$C$37,2,FALSE)</f>
        <v>Analyst4</v>
      </c>
      <c r="I3333" s="4">
        <f t="shared" ca="1" si="52"/>
        <v>45203</v>
      </c>
      <c r="J3333" s="42">
        <f ca="1">TODAY()-qry_ProdData2_PDI_Cash_Exception_Application[[#This Row],[INSERT DATE]]</f>
        <v>9.7429282407392748</v>
      </c>
      <c r="K33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33">
        <f ca="1">qry_ProdData2_PDI_Cash_Exception_Application[[#This Row],[TODAY]]-qry_ProdData2_PDI_Cash_Exception_Application[[#This Row],[CHANGED ON]]</f>
        <v>2.7429282407392748</v>
      </c>
      <c r="M3333">
        <f ca="1">qry_ProdData2_PDI_Cash_Exception_Application[[#This Row],[TODAY]]-qry_ProdData2_PDI_Cash_Exception_Application[[#This Row],[CHANGED ON]]</f>
        <v>2.7429282407392748</v>
      </c>
      <c r="N3333">
        <f ca="1">qry_ProdData2_PDI_Cash_Exception_Application[[#This Row],[TODAY]]-qry_ProdData2_PDI_Cash_Exception_Application[[#This Row],[CHANGED ON]]</f>
        <v>2.7429282407392748</v>
      </c>
    </row>
    <row r="3334" spans="1:14" x14ac:dyDescent="0.35">
      <c r="A3334">
        <v>1009</v>
      </c>
      <c r="B3334" t="s">
        <v>63</v>
      </c>
      <c r="C3334" s="1">
        <v>45194.257071759261</v>
      </c>
      <c r="D3334" t="str">
        <f ca="1">VLOOKUP(qry_ProdData2_PDI_Cash_Exception_Application[[#This Row],[TYPE]],#REF!,2,FALSE)</f>
        <v>type41</v>
      </c>
      <c r="E3334">
        <v>740.88</v>
      </c>
      <c r="F3334" t="s">
        <v>51</v>
      </c>
      <c r="G3334" s="1">
        <f>qry_ProdData2_PDI_Cash_Exception_Application[[#This Row],[INSERT DATE]]+1</f>
        <v>45195.257071759261</v>
      </c>
      <c r="H3334" t="str">
        <f>VLOOKUP(qry_ProdData2_PDI_Cash_Exception_Application[[#This Row],[MARKET No]],'Site Allocation'!$B$2:$C$37,2,FALSE)</f>
        <v>Analyst2</v>
      </c>
      <c r="I3334" s="4">
        <f t="shared" ca="1" si="52"/>
        <v>45203</v>
      </c>
      <c r="J3334" s="42">
        <f ca="1">TODAY()-qry_ProdData2_PDI_Cash_Exception_Application[[#This Row],[INSERT DATE]]</f>
        <v>8.7429282407392748</v>
      </c>
      <c r="K33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34">
        <f ca="1">qry_ProdData2_PDI_Cash_Exception_Application[[#This Row],[TODAY]]-qry_ProdData2_PDI_Cash_Exception_Application[[#This Row],[CHANGED ON]]</f>
        <v>7.7429282407392748</v>
      </c>
      <c r="M3334">
        <f ca="1">qry_ProdData2_PDI_Cash_Exception_Application[[#This Row],[TODAY]]-qry_ProdData2_PDI_Cash_Exception_Application[[#This Row],[CHANGED ON]]</f>
        <v>7.7429282407392748</v>
      </c>
      <c r="N3334">
        <f ca="1">qry_ProdData2_PDI_Cash_Exception_Application[[#This Row],[TODAY]]-qry_ProdData2_PDI_Cash_Exception_Application[[#This Row],[CHANGED ON]]</f>
        <v>7.7429282407392748</v>
      </c>
    </row>
    <row r="3335" spans="1:14" x14ac:dyDescent="0.35">
      <c r="A3335">
        <v>1027</v>
      </c>
      <c r="B3335" t="s">
        <v>81</v>
      </c>
      <c r="C3335" s="1">
        <v>45197.257071759261</v>
      </c>
      <c r="D3335" t="str">
        <f ca="1">VLOOKUP(qry_ProdData2_PDI_Cash_Exception_Application[[#This Row],[TYPE]],#REF!,2,FALSE)</f>
        <v>type40</v>
      </c>
      <c r="E3335">
        <v>374.98</v>
      </c>
      <c r="F3335" t="s">
        <v>50</v>
      </c>
      <c r="G3335" s="1">
        <f>qry_ProdData2_PDI_Cash_Exception_Application[[#This Row],[INSERT DATE]]+1</f>
        <v>45198.257071759261</v>
      </c>
      <c r="H3335" t="str">
        <f>VLOOKUP(qry_ProdData2_PDI_Cash_Exception_Application[[#This Row],[MARKET No]],'Site Allocation'!$B$2:$C$37,2,FALSE)</f>
        <v>Analyst5</v>
      </c>
      <c r="I3335" s="4">
        <f t="shared" ca="1" si="52"/>
        <v>45203</v>
      </c>
      <c r="J3335" s="42">
        <f ca="1">TODAY()-qry_ProdData2_PDI_Cash_Exception_Application[[#This Row],[INSERT DATE]]</f>
        <v>5.7429282407392748</v>
      </c>
      <c r="K33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335">
        <f ca="1">qry_ProdData2_PDI_Cash_Exception_Application[[#This Row],[TODAY]]-qry_ProdData2_PDI_Cash_Exception_Application[[#This Row],[CHANGED ON]]</f>
        <v>4.7429282407392748</v>
      </c>
      <c r="M3335">
        <f ca="1">qry_ProdData2_PDI_Cash_Exception_Application[[#This Row],[TODAY]]-qry_ProdData2_PDI_Cash_Exception_Application[[#This Row],[CHANGED ON]]</f>
        <v>4.7429282407392748</v>
      </c>
      <c r="N3335">
        <f ca="1">qry_ProdData2_PDI_Cash_Exception_Application[[#This Row],[TODAY]]-qry_ProdData2_PDI_Cash_Exception_Application[[#This Row],[CHANGED ON]]</f>
        <v>4.7429282407392748</v>
      </c>
    </row>
    <row r="3336" spans="1:14" x14ac:dyDescent="0.35">
      <c r="A3336">
        <v>1024</v>
      </c>
      <c r="B3336" t="s">
        <v>78</v>
      </c>
      <c r="C3336" s="1">
        <v>45185.257071759261</v>
      </c>
      <c r="D3336" t="str">
        <f ca="1">VLOOKUP(qry_ProdData2_PDI_Cash_Exception_Application[[#This Row],[TYPE]],#REF!,2,FALSE)</f>
        <v>type44</v>
      </c>
      <c r="E3336">
        <v>746.73</v>
      </c>
      <c r="F3336" t="s">
        <v>50</v>
      </c>
      <c r="G3336" s="1">
        <f>qry_ProdData2_PDI_Cash_Exception_Application[[#This Row],[INSERT DATE]]+1</f>
        <v>45186.257071759261</v>
      </c>
      <c r="H3336" t="str">
        <f>VLOOKUP(qry_ProdData2_PDI_Cash_Exception_Application[[#This Row],[MARKET No]],'Site Allocation'!$B$2:$C$37,2,FALSE)</f>
        <v>Analyst5</v>
      </c>
      <c r="I3336" s="4">
        <f t="shared" ca="1" si="52"/>
        <v>45203</v>
      </c>
      <c r="J3336" s="42">
        <f ca="1">TODAY()-qry_ProdData2_PDI_Cash_Exception_Application[[#This Row],[INSERT DATE]]</f>
        <v>17.742928240739275</v>
      </c>
      <c r="K33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36">
        <f ca="1">qry_ProdData2_PDI_Cash_Exception_Application[[#This Row],[TODAY]]-qry_ProdData2_PDI_Cash_Exception_Application[[#This Row],[CHANGED ON]]</f>
        <v>16.742928240739275</v>
      </c>
      <c r="M3336">
        <f ca="1">qry_ProdData2_PDI_Cash_Exception_Application[[#This Row],[TODAY]]-qry_ProdData2_PDI_Cash_Exception_Application[[#This Row],[CHANGED ON]]</f>
        <v>16.742928240739275</v>
      </c>
      <c r="N3336">
        <f ca="1">qry_ProdData2_PDI_Cash_Exception_Application[[#This Row],[TODAY]]-qry_ProdData2_PDI_Cash_Exception_Application[[#This Row],[CHANGED ON]]</f>
        <v>16.742928240739275</v>
      </c>
    </row>
    <row r="3337" spans="1:14" x14ac:dyDescent="0.35">
      <c r="A3337">
        <v>1010</v>
      </c>
      <c r="B3337" t="s">
        <v>64</v>
      </c>
      <c r="C3337" s="1">
        <v>45194.257071759261</v>
      </c>
      <c r="D3337" t="str">
        <f ca="1">VLOOKUP(qry_ProdData2_PDI_Cash_Exception_Application[[#This Row],[TYPE]],#REF!,2,FALSE)</f>
        <v>type40</v>
      </c>
      <c r="E3337">
        <v>363.53</v>
      </c>
      <c r="G3337" s="1">
        <f>qry_ProdData2_PDI_Cash_Exception_Application[[#This Row],[INSERT DATE]]+7</f>
        <v>45201.257071759261</v>
      </c>
      <c r="H3337" t="str">
        <f>VLOOKUP(qry_ProdData2_PDI_Cash_Exception_Application[[#This Row],[MARKET No]],'Site Allocation'!$B$2:$C$37,2,FALSE)</f>
        <v>Analyst2</v>
      </c>
      <c r="I3337" s="4">
        <f t="shared" ca="1" si="52"/>
        <v>45203</v>
      </c>
      <c r="J3337" s="42">
        <f ca="1">TODAY()-qry_ProdData2_PDI_Cash_Exception_Application[[#This Row],[INSERT DATE]]</f>
        <v>8.7429282407392748</v>
      </c>
      <c r="K33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37">
        <f ca="1">qry_ProdData2_PDI_Cash_Exception_Application[[#This Row],[TODAY]]-qry_ProdData2_PDI_Cash_Exception_Application[[#This Row],[CHANGED ON]]</f>
        <v>1.7429282407392748</v>
      </c>
      <c r="M3337">
        <f ca="1">qry_ProdData2_PDI_Cash_Exception_Application[[#This Row],[TODAY]]-qry_ProdData2_PDI_Cash_Exception_Application[[#This Row],[CHANGED ON]]</f>
        <v>1.7429282407392748</v>
      </c>
      <c r="N3337">
        <f ca="1">qry_ProdData2_PDI_Cash_Exception_Application[[#This Row],[TODAY]]-qry_ProdData2_PDI_Cash_Exception_Application[[#This Row],[CHANGED ON]]</f>
        <v>1.7429282407392748</v>
      </c>
    </row>
    <row r="3338" spans="1:14" x14ac:dyDescent="0.35">
      <c r="A3338">
        <v>1004</v>
      </c>
      <c r="B3338" t="s">
        <v>58</v>
      </c>
      <c r="C3338" s="1">
        <v>45194.257071759261</v>
      </c>
      <c r="D3338" t="str">
        <f ca="1">VLOOKUP(qry_ProdData2_PDI_Cash_Exception_Application[[#This Row],[TYPE]],#REF!,2,FALSE)</f>
        <v>type40</v>
      </c>
      <c r="E3338">
        <v>418.1</v>
      </c>
      <c r="G3338" s="1">
        <f>qry_ProdData2_PDI_Cash_Exception_Application[[#This Row],[INSERT DATE]]+2</f>
        <v>45196.257071759261</v>
      </c>
      <c r="H3338" t="str">
        <f>VLOOKUP(qry_ProdData2_PDI_Cash_Exception_Application[[#This Row],[MARKET No]],'Site Allocation'!$B$2:$C$37,2,FALSE)</f>
        <v>Analyst1</v>
      </c>
      <c r="I3338" s="4">
        <f t="shared" ca="1" si="52"/>
        <v>45203</v>
      </c>
      <c r="J3338" s="42">
        <f ca="1">TODAY()-qry_ProdData2_PDI_Cash_Exception_Application[[#This Row],[INSERT DATE]]</f>
        <v>8.7429282407392748</v>
      </c>
      <c r="K33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38">
        <f ca="1">qry_ProdData2_PDI_Cash_Exception_Application[[#This Row],[TODAY]]-qry_ProdData2_PDI_Cash_Exception_Application[[#This Row],[CHANGED ON]]</f>
        <v>6.7429282407392748</v>
      </c>
      <c r="M3338">
        <f ca="1">qry_ProdData2_PDI_Cash_Exception_Application[[#This Row],[TODAY]]-qry_ProdData2_PDI_Cash_Exception_Application[[#This Row],[CHANGED ON]]</f>
        <v>6.7429282407392748</v>
      </c>
      <c r="N3338">
        <f ca="1">qry_ProdData2_PDI_Cash_Exception_Application[[#This Row],[TODAY]]-qry_ProdData2_PDI_Cash_Exception_Application[[#This Row],[CHANGED ON]]</f>
        <v>6.7429282407392748</v>
      </c>
    </row>
    <row r="3339" spans="1:14" x14ac:dyDescent="0.35">
      <c r="A3339">
        <v>1013</v>
      </c>
      <c r="B3339" t="s">
        <v>67</v>
      </c>
      <c r="C3339" s="1">
        <v>45194.257071759261</v>
      </c>
      <c r="D3339" t="str">
        <f ca="1">VLOOKUP(qry_ProdData2_PDI_Cash_Exception_Application[[#This Row],[TYPE]],#REF!,2,FALSE)</f>
        <v>type40</v>
      </c>
      <c r="E3339">
        <v>2070.4</v>
      </c>
      <c r="F3339" t="s">
        <v>47</v>
      </c>
      <c r="G3339" s="1">
        <f>qry_ProdData2_PDI_Cash_Exception_Application[[#This Row],[INSERT DATE]]+5</f>
        <v>45199.257071759261</v>
      </c>
      <c r="H3339" t="str">
        <f>VLOOKUP(qry_ProdData2_PDI_Cash_Exception_Application[[#This Row],[MARKET No]],'Site Allocation'!$B$2:$C$37,2,FALSE)</f>
        <v>Analyst3</v>
      </c>
      <c r="I3339" s="4">
        <f t="shared" ca="1" si="52"/>
        <v>45203</v>
      </c>
      <c r="J3339" s="42">
        <f ca="1">TODAY()-qry_ProdData2_PDI_Cash_Exception_Application[[#This Row],[INSERT DATE]]</f>
        <v>8.7429282407392748</v>
      </c>
      <c r="K33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39">
        <f ca="1">qry_ProdData2_PDI_Cash_Exception_Application[[#This Row],[TODAY]]-qry_ProdData2_PDI_Cash_Exception_Application[[#This Row],[CHANGED ON]]</f>
        <v>3.7429282407392748</v>
      </c>
      <c r="M3339">
        <f ca="1">qry_ProdData2_PDI_Cash_Exception_Application[[#This Row],[TODAY]]-qry_ProdData2_PDI_Cash_Exception_Application[[#This Row],[CHANGED ON]]</f>
        <v>3.7429282407392748</v>
      </c>
      <c r="N3339">
        <f ca="1">qry_ProdData2_PDI_Cash_Exception_Application[[#This Row],[TODAY]]-qry_ProdData2_PDI_Cash_Exception_Application[[#This Row],[CHANGED ON]]</f>
        <v>3.7429282407392748</v>
      </c>
    </row>
    <row r="3340" spans="1:14" x14ac:dyDescent="0.35">
      <c r="A3340">
        <v>1020</v>
      </c>
      <c r="B3340" t="s">
        <v>74</v>
      </c>
      <c r="C3340" s="1">
        <v>45195.257071759261</v>
      </c>
      <c r="D3340" t="str">
        <f ca="1">VLOOKUP(qry_ProdData2_PDI_Cash_Exception_Application[[#This Row],[TYPE]],#REF!,2,FALSE)</f>
        <v>type13</v>
      </c>
      <c r="E3340">
        <v>25350.35</v>
      </c>
      <c r="F3340" t="s">
        <v>51</v>
      </c>
      <c r="G3340" s="1">
        <f>qry_ProdData2_PDI_Cash_Exception_Application[[#This Row],[INSERT DATE]]+2</f>
        <v>45197.257071759261</v>
      </c>
      <c r="H3340" t="str">
        <f>VLOOKUP(qry_ProdData2_PDI_Cash_Exception_Application[[#This Row],[MARKET No]],'Site Allocation'!$B$2:$C$37,2,FALSE)</f>
        <v>Analyst4</v>
      </c>
      <c r="I3340" s="4">
        <f t="shared" ca="1" si="52"/>
        <v>45203</v>
      </c>
      <c r="J3340" s="42">
        <f ca="1">TODAY()-qry_ProdData2_PDI_Cash_Exception_Application[[#This Row],[INSERT DATE]]</f>
        <v>7.7429282407392748</v>
      </c>
      <c r="K33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40">
        <f ca="1">qry_ProdData2_PDI_Cash_Exception_Application[[#This Row],[TODAY]]-qry_ProdData2_PDI_Cash_Exception_Application[[#This Row],[CHANGED ON]]</f>
        <v>5.7429282407392748</v>
      </c>
      <c r="M3340">
        <f ca="1">qry_ProdData2_PDI_Cash_Exception_Application[[#This Row],[TODAY]]-qry_ProdData2_PDI_Cash_Exception_Application[[#This Row],[CHANGED ON]]</f>
        <v>5.7429282407392748</v>
      </c>
      <c r="N3340">
        <f ca="1">qry_ProdData2_PDI_Cash_Exception_Application[[#This Row],[TODAY]]-qry_ProdData2_PDI_Cash_Exception_Application[[#This Row],[CHANGED ON]]</f>
        <v>5.7429282407392748</v>
      </c>
    </row>
    <row r="3341" spans="1:14" x14ac:dyDescent="0.35">
      <c r="A3341">
        <v>1005</v>
      </c>
      <c r="B3341" t="s">
        <v>59</v>
      </c>
      <c r="C3341" s="1">
        <v>45193.257071759261</v>
      </c>
      <c r="D3341" t="str">
        <f ca="1">VLOOKUP(qry_ProdData2_PDI_Cash_Exception_Application[[#This Row],[TYPE]],#REF!,2,FALSE)</f>
        <v>type40</v>
      </c>
      <c r="E3341">
        <v>11292.43</v>
      </c>
      <c r="F3341" t="s">
        <v>47</v>
      </c>
      <c r="G3341" s="1">
        <f>qry_ProdData2_PDI_Cash_Exception_Application[[#This Row],[INSERT DATE]]+5</f>
        <v>45198.257071759261</v>
      </c>
      <c r="H3341" t="str">
        <f>VLOOKUP(qry_ProdData2_PDI_Cash_Exception_Application[[#This Row],[MARKET No]],'Site Allocation'!$B$2:$C$37,2,FALSE)</f>
        <v>Analyst1</v>
      </c>
      <c r="I3341" s="4">
        <f t="shared" ca="1" si="52"/>
        <v>45203</v>
      </c>
      <c r="J3341" s="42">
        <f ca="1">TODAY()-qry_ProdData2_PDI_Cash_Exception_Application[[#This Row],[INSERT DATE]]</f>
        <v>9.7429282407392748</v>
      </c>
      <c r="K33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41">
        <f ca="1">qry_ProdData2_PDI_Cash_Exception_Application[[#This Row],[TODAY]]-qry_ProdData2_PDI_Cash_Exception_Application[[#This Row],[CHANGED ON]]</f>
        <v>4.7429282407392748</v>
      </c>
      <c r="M3341">
        <f ca="1">qry_ProdData2_PDI_Cash_Exception_Application[[#This Row],[TODAY]]-qry_ProdData2_PDI_Cash_Exception_Application[[#This Row],[CHANGED ON]]</f>
        <v>4.7429282407392748</v>
      </c>
      <c r="N3341">
        <f ca="1">qry_ProdData2_PDI_Cash_Exception_Application[[#This Row],[TODAY]]-qry_ProdData2_PDI_Cash_Exception_Application[[#This Row],[CHANGED ON]]</f>
        <v>4.7429282407392748</v>
      </c>
    </row>
    <row r="3342" spans="1:14" x14ac:dyDescent="0.35">
      <c r="A3342">
        <v>1010</v>
      </c>
      <c r="B3342" t="s">
        <v>64</v>
      </c>
      <c r="C3342" s="1">
        <v>45189.257071759261</v>
      </c>
      <c r="D3342" t="str">
        <f ca="1">VLOOKUP(qry_ProdData2_PDI_Cash_Exception_Application[[#This Row],[TYPE]],#REF!,2,FALSE)</f>
        <v>type40</v>
      </c>
      <c r="E3342">
        <v>13.79</v>
      </c>
      <c r="F3342" t="s">
        <v>52</v>
      </c>
      <c r="G3342" s="1">
        <f>qry_ProdData2_PDI_Cash_Exception_Application[[#This Row],[INSERT DATE]]+1</f>
        <v>45190.257071759261</v>
      </c>
      <c r="H3342" t="str">
        <f>VLOOKUP(qry_ProdData2_PDI_Cash_Exception_Application[[#This Row],[MARKET No]],'Site Allocation'!$B$2:$C$37,2,FALSE)</f>
        <v>Analyst2</v>
      </c>
      <c r="I3342" s="4">
        <f t="shared" ca="1" si="52"/>
        <v>45203</v>
      </c>
      <c r="J3342" s="42">
        <f ca="1">TODAY()-qry_ProdData2_PDI_Cash_Exception_Application[[#This Row],[INSERT DATE]]</f>
        <v>13.742928240739275</v>
      </c>
      <c r="K33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42">
        <f ca="1">qry_ProdData2_PDI_Cash_Exception_Application[[#This Row],[TODAY]]-qry_ProdData2_PDI_Cash_Exception_Application[[#This Row],[CHANGED ON]]</f>
        <v>12.742928240739275</v>
      </c>
      <c r="M3342">
        <f ca="1">qry_ProdData2_PDI_Cash_Exception_Application[[#This Row],[TODAY]]-qry_ProdData2_PDI_Cash_Exception_Application[[#This Row],[CHANGED ON]]</f>
        <v>12.742928240739275</v>
      </c>
      <c r="N3342">
        <f ca="1">qry_ProdData2_PDI_Cash_Exception_Application[[#This Row],[TODAY]]-qry_ProdData2_PDI_Cash_Exception_Application[[#This Row],[CHANGED ON]]</f>
        <v>12.742928240739275</v>
      </c>
    </row>
    <row r="3343" spans="1:14" x14ac:dyDescent="0.35">
      <c r="A3343">
        <v>1009</v>
      </c>
      <c r="B3343" t="s">
        <v>63</v>
      </c>
      <c r="C3343" s="1">
        <v>45193.257071759261</v>
      </c>
      <c r="D3343" t="str">
        <f ca="1">VLOOKUP(qry_ProdData2_PDI_Cash_Exception_Application[[#This Row],[TYPE]],#REF!,2,FALSE)</f>
        <v>type40</v>
      </c>
      <c r="E3343">
        <v>10369.56</v>
      </c>
      <c r="F3343" t="s">
        <v>47</v>
      </c>
      <c r="G3343" s="1">
        <f>qry_ProdData2_PDI_Cash_Exception_Application[[#This Row],[INSERT DATE]]+7</f>
        <v>45200.257071759261</v>
      </c>
      <c r="H3343" t="str">
        <f>VLOOKUP(qry_ProdData2_PDI_Cash_Exception_Application[[#This Row],[MARKET No]],'Site Allocation'!$B$2:$C$37,2,FALSE)</f>
        <v>Analyst2</v>
      </c>
      <c r="I3343" s="4">
        <f t="shared" ca="1" si="52"/>
        <v>45203</v>
      </c>
      <c r="J3343" s="42">
        <f ca="1">TODAY()-qry_ProdData2_PDI_Cash_Exception_Application[[#This Row],[INSERT DATE]]</f>
        <v>9.7429282407392748</v>
      </c>
      <c r="K33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43">
        <f ca="1">qry_ProdData2_PDI_Cash_Exception_Application[[#This Row],[TODAY]]-qry_ProdData2_PDI_Cash_Exception_Application[[#This Row],[CHANGED ON]]</f>
        <v>2.7429282407392748</v>
      </c>
      <c r="M3343">
        <f ca="1">qry_ProdData2_PDI_Cash_Exception_Application[[#This Row],[TODAY]]-qry_ProdData2_PDI_Cash_Exception_Application[[#This Row],[CHANGED ON]]</f>
        <v>2.7429282407392748</v>
      </c>
      <c r="N3343">
        <f ca="1">qry_ProdData2_PDI_Cash_Exception_Application[[#This Row],[TODAY]]-qry_ProdData2_PDI_Cash_Exception_Application[[#This Row],[CHANGED ON]]</f>
        <v>2.7429282407392748</v>
      </c>
    </row>
    <row r="3344" spans="1:14" x14ac:dyDescent="0.35">
      <c r="A3344">
        <v>1010</v>
      </c>
      <c r="B3344" t="s">
        <v>64</v>
      </c>
      <c r="C3344" s="1">
        <v>45195.257071759261</v>
      </c>
      <c r="D3344" t="str">
        <f ca="1">VLOOKUP(qry_ProdData2_PDI_Cash_Exception_Application[[#This Row],[TYPE]],#REF!,2,FALSE)</f>
        <v>type12</v>
      </c>
      <c r="E3344">
        <v>30</v>
      </c>
      <c r="F3344" t="s">
        <v>51</v>
      </c>
      <c r="G3344" s="1">
        <f>qry_ProdData2_PDI_Cash_Exception_Application[[#This Row],[INSERT DATE]]+5</f>
        <v>45200.257071759261</v>
      </c>
      <c r="H3344" t="str">
        <f>VLOOKUP(qry_ProdData2_PDI_Cash_Exception_Application[[#This Row],[MARKET No]],'Site Allocation'!$B$2:$C$37,2,FALSE)</f>
        <v>Analyst2</v>
      </c>
      <c r="I3344" s="4">
        <f t="shared" ca="1" si="52"/>
        <v>45203</v>
      </c>
      <c r="J3344" s="42">
        <f ca="1">TODAY()-qry_ProdData2_PDI_Cash_Exception_Application[[#This Row],[INSERT DATE]]</f>
        <v>7.7429282407392748</v>
      </c>
      <c r="K33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44">
        <f ca="1">qry_ProdData2_PDI_Cash_Exception_Application[[#This Row],[TODAY]]-qry_ProdData2_PDI_Cash_Exception_Application[[#This Row],[CHANGED ON]]</f>
        <v>2.7429282407392748</v>
      </c>
      <c r="M3344">
        <f ca="1">qry_ProdData2_PDI_Cash_Exception_Application[[#This Row],[TODAY]]-qry_ProdData2_PDI_Cash_Exception_Application[[#This Row],[CHANGED ON]]</f>
        <v>2.7429282407392748</v>
      </c>
      <c r="N3344">
        <f ca="1">qry_ProdData2_PDI_Cash_Exception_Application[[#This Row],[TODAY]]-qry_ProdData2_PDI_Cash_Exception_Application[[#This Row],[CHANGED ON]]</f>
        <v>2.7429282407392748</v>
      </c>
    </row>
    <row r="3345" spans="1:14" x14ac:dyDescent="0.35">
      <c r="A3345">
        <v>1011</v>
      </c>
      <c r="B3345" t="s">
        <v>65</v>
      </c>
      <c r="C3345" s="1">
        <v>45191.257071759261</v>
      </c>
      <c r="D3345" t="str">
        <f ca="1">VLOOKUP(qry_ProdData2_PDI_Cash_Exception_Application[[#This Row],[TYPE]],#REF!,2,FALSE)</f>
        <v>type40</v>
      </c>
      <c r="E3345">
        <v>1156.51</v>
      </c>
      <c r="F3345" t="s">
        <v>50</v>
      </c>
      <c r="G3345" s="1">
        <f>qry_ProdData2_PDI_Cash_Exception_Application[[#This Row],[INSERT DATE]]+1</f>
        <v>45192.257071759261</v>
      </c>
      <c r="H3345" t="str">
        <f>VLOOKUP(qry_ProdData2_PDI_Cash_Exception_Application[[#This Row],[MARKET No]],'Site Allocation'!$B$2:$C$37,2,FALSE)</f>
        <v>Analyst2</v>
      </c>
      <c r="I3345" s="4">
        <f t="shared" ca="1" si="52"/>
        <v>45203</v>
      </c>
      <c r="J3345" s="42">
        <f ca="1">TODAY()-qry_ProdData2_PDI_Cash_Exception_Application[[#This Row],[INSERT DATE]]</f>
        <v>11.742928240739275</v>
      </c>
      <c r="K33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45">
        <f ca="1">qry_ProdData2_PDI_Cash_Exception_Application[[#This Row],[TODAY]]-qry_ProdData2_PDI_Cash_Exception_Application[[#This Row],[CHANGED ON]]</f>
        <v>10.742928240739275</v>
      </c>
      <c r="M3345">
        <f ca="1">qry_ProdData2_PDI_Cash_Exception_Application[[#This Row],[TODAY]]-qry_ProdData2_PDI_Cash_Exception_Application[[#This Row],[CHANGED ON]]</f>
        <v>10.742928240739275</v>
      </c>
      <c r="N3345">
        <f ca="1">qry_ProdData2_PDI_Cash_Exception_Application[[#This Row],[TODAY]]-qry_ProdData2_PDI_Cash_Exception_Application[[#This Row],[CHANGED ON]]</f>
        <v>10.742928240739275</v>
      </c>
    </row>
    <row r="3346" spans="1:14" x14ac:dyDescent="0.35">
      <c r="A3346">
        <v>1031</v>
      </c>
      <c r="B3346" t="s">
        <v>85</v>
      </c>
      <c r="C3346" s="1">
        <v>45197.257071759261</v>
      </c>
      <c r="D3346" t="str">
        <f ca="1">VLOOKUP(qry_ProdData2_PDI_Cash_Exception_Application[[#This Row],[TYPE]],#REF!,2,FALSE)</f>
        <v>type7</v>
      </c>
      <c r="E3346">
        <v>-2030.94</v>
      </c>
      <c r="F3346" t="s">
        <v>48</v>
      </c>
      <c r="G3346" s="1">
        <f>qry_ProdData2_PDI_Cash_Exception_Application[[#This Row],[INSERT DATE]]+2</f>
        <v>45199.257071759261</v>
      </c>
      <c r="H3346" t="str">
        <f>VLOOKUP(qry_ProdData2_PDI_Cash_Exception_Application[[#This Row],[MARKET No]],'Site Allocation'!$B$2:$C$37,2,FALSE)</f>
        <v>Analyst6</v>
      </c>
      <c r="I3346" s="4">
        <f t="shared" ca="1" si="52"/>
        <v>45203</v>
      </c>
      <c r="J3346" s="42">
        <f ca="1">TODAY()-qry_ProdData2_PDI_Cash_Exception_Application[[#This Row],[INSERT DATE]]</f>
        <v>5.7429282407392748</v>
      </c>
      <c r="K33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346">
        <f ca="1">qry_ProdData2_PDI_Cash_Exception_Application[[#This Row],[TODAY]]-qry_ProdData2_PDI_Cash_Exception_Application[[#This Row],[CHANGED ON]]</f>
        <v>3.7429282407392748</v>
      </c>
      <c r="M3346">
        <f ca="1">qry_ProdData2_PDI_Cash_Exception_Application[[#This Row],[TODAY]]-qry_ProdData2_PDI_Cash_Exception_Application[[#This Row],[CHANGED ON]]</f>
        <v>3.7429282407392748</v>
      </c>
      <c r="N3346">
        <f ca="1">qry_ProdData2_PDI_Cash_Exception_Application[[#This Row],[TODAY]]-qry_ProdData2_PDI_Cash_Exception_Application[[#This Row],[CHANGED ON]]</f>
        <v>3.7429282407392748</v>
      </c>
    </row>
    <row r="3347" spans="1:14" x14ac:dyDescent="0.35">
      <c r="A3347">
        <v>1026</v>
      </c>
      <c r="B3347" t="s">
        <v>80</v>
      </c>
      <c r="C3347" s="1">
        <v>45194.257071759261</v>
      </c>
      <c r="D3347" t="str">
        <f ca="1">VLOOKUP(qry_ProdData2_PDI_Cash_Exception_Application[[#This Row],[TYPE]],#REF!,2,FALSE)</f>
        <v>type40</v>
      </c>
      <c r="E3347">
        <v>-403.14</v>
      </c>
      <c r="F3347" t="s">
        <v>47</v>
      </c>
      <c r="G3347" s="1">
        <f>qry_ProdData2_PDI_Cash_Exception_Application[[#This Row],[INSERT DATE]]+1</f>
        <v>45195.257071759261</v>
      </c>
      <c r="H3347" t="str">
        <f>VLOOKUP(qry_ProdData2_PDI_Cash_Exception_Application[[#This Row],[MARKET No]],'Site Allocation'!$B$2:$C$37,2,FALSE)</f>
        <v>Analyst5</v>
      </c>
      <c r="I3347" s="4">
        <f t="shared" ca="1" si="52"/>
        <v>45203</v>
      </c>
      <c r="J3347" s="42">
        <f ca="1">TODAY()-qry_ProdData2_PDI_Cash_Exception_Application[[#This Row],[INSERT DATE]]</f>
        <v>8.7429282407392748</v>
      </c>
      <c r="K33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47">
        <f ca="1">qry_ProdData2_PDI_Cash_Exception_Application[[#This Row],[TODAY]]-qry_ProdData2_PDI_Cash_Exception_Application[[#This Row],[CHANGED ON]]</f>
        <v>7.7429282407392748</v>
      </c>
      <c r="M3347">
        <f ca="1">qry_ProdData2_PDI_Cash_Exception_Application[[#This Row],[TODAY]]-qry_ProdData2_PDI_Cash_Exception_Application[[#This Row],[CHANGED ON]]</f>
        <v>7.7429282407392748</v>
      </c>
      <c r="N3347">
        <f ca="1">qry_ProdData2_PDI_Cash_Exception_Application[[#This Row],[TODAY]]-qry_ProdData2_PDI_Cash_Exception_Application[[#This Row],[CHANGED ON]]</f>
        <v>7.7429282407392748</v>
      </c>
    </row>
    <row r="3348" spans="1:14" x14ac:dyDescent="0.35">
      <c r="A3348">
        <v>1010</v>
      </c>
      <c r="B3348" t="s">
        <v>64</v>
      </c>
      <c r="C3348" s="1">
        <v>45194.257071759261</v>
      </c>
      <c r="D3348" t="str">
        <f ca="1">VLOOKUP(qry_ProdData2_PDI_Cash_Exception_Application[[#This Row],[TYPE]],#REF!,2,FALSE)</f>
        <v>type22</v>
      </c>
      <c r="E3348">
        <v>418.6</v>
      </c>
      <c r="F3348" t="s">
        <v>50</v>
      </c>
      <c r="G3348" s="1">
        <f>qry_ProdData2_PDI_Cash_Exception_Application[[#This Row],[INSERT DATE]]+2</f>
        <v>45196.257071759261</v>
      </c>
      <c r="H3348" t="str">
        <f>VLOOKUP(qry_ProdData2_PDI_Cash_Exception_Application[[#This Row],[MARKET No]],'Site Allocation'!$B$2:$C$37,2,FALSE)</f>
        <v>Analyst2</v>
      </c>
      <c r="I3348" s="4">
        <f t="shared" ca="1" si="52"/>
        <v>45203</v>
      </c>
      <c r="J3348" s="42">
        <f ca="1">TODAY()-qry_ProdData2_PDI_Cash_Exception_Application[[#This Row],[INSERT DATE]]</f>
        <v>8.7429282407392748</v>
      </c>
      <c r="K33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48">
        <f ca="1">qry_ProdData2_PDI_Cash_Exception_Application[[#This Row],[TODAY]]-qry_ProdData2_PDI_Cash_Exception_Application[[#This Row],[CHANGED ON]]</f>
        <v>6.7429282407392748</v>
      </c>
      <c r="M3348">
        <f ca="1">qry_ProdData2_PDI_Cash_Exception_Application[[#This Row],[TODAY]]-qry_ProdData2_PDI_Cash_Exception_Application[[#This Row],[CHANGED ON]]</f>
        <v>6.7429282407392748</v>
      </c>
      <c r="N3348">
        <f ca="1">qry_ProdData2_PDI_Cash_Exception_Application[[#This Row],[TODAY]]-qry_ProdData2_PDI_Cash_Exception_Application[[#This Row],[CHANGED ON]]</f>
        <v>6.7429282407392748</v>
      </c>
    </row>
    <row r="3349" spans="1:14" x14ac:dyDescent="0.35">
      <c r="A3349">
        <v>1016</v>
      </c>
      <c r="B3349" t="s">
        <v>70</v>
      </c>
      <c r="C3349" s="1">
        <v>45195.257071759261</v>
      </c>
      <c r="D3349" t="str">
        <f ca="1">VLOOKUP(qry_ProdData2_PDI_Cash_Exception_Application[[#This Row],[TYPE]],#REF!,2,FALSE)</f>
        <v>type27</v>
      </c>
      <c r="E3349">
        <v>584121.75</v>
      </c>
      <c r="G3349" s="1">
        <f>qry_ProdData2_PDI_Cash_Exception_Application[[#This Row],[INSERT DATE]]+5</f>
        <v>45200.257071759261</v>
      </c>
      <c r="H3349" t="str">
        <f>VLOOKUP(qry_ProdData2_PDI_Cash_Exception_Application[[#This Row],[MARKET No]],'Site Allocation'!$B$2:$C$37,2,FALSE)</f>
        <v>Analyst3</v>
      </c>
      <c r="I3349" s="4">
        <f t="shared" ca="1" si="52"/>
        <v>45203</v>
      </c>
      <c r="J3349" s="42">
        <f ca="1">TODAY()-qry_ProdData2_PDI_Cash_Exception_Application[[#This Row],[INSERT DATE]]</f>
        <v>7.7429282407392748</v>
      </c>
      <c r="K33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49">
        <f ca="1">qry_ProdData2_PDI_Cash_Exception_Application[[#This Row],[TODAY]]-qry_ProdData2_PDI_Cash_Exception_Application[[#This Row],[CHANGED ON]]</f>
        <v>2.7429282407392748</v>
      </c>
      <c r="M3349">
        <f ca="1">qry_ProdData2_PDI_Cash_Exception_Application[[#This Row],[TODAY]]-qry_ProdData2_PDI_Cash_Exception_Application[[#This Row],[CHANGED ON]]</f>
        <v>2.7429282407392748</v>
      </c>
      <c r="N3349">
        <f ca="1">qry_ProdData2_PDI_Cash_Exception_Application[[#This Row],[TODAY]]-qry_ProdData2_PDI_Cash_Exception_Application[[#This Row],[CHANGED ON]]</f>
        <v>2.7429282407392748</v>
      </c>
    </row>
    <row r="3350" spans="1:14" x14ac:dyDescent="0.35">
      <c r="A3350">
        <v>1017</v>
      </c>
      <c r="B3350" t="s">
        <v>71</v>
      </c>
      <c r="C3350" s="1">
        <v>45195.257071759261</v>
      </c>
      <c r="D3350" t="str">
        <f ca="1">VLOOKUP(qry_ProdData2_PDI_Cash_Exception_Application[[#This Row],[TYPE]],#REF!,2,FALSE)</f>
        <v>type40</v>
      </c>
      <c r="E3350">
        <v>-846.96</v>
      </c>
      <c r="F3350" t="s">
        <v>51</v>
      </c>
      <c r="G3350" s="1">
        <f>qry_ProdData2_PDI_Cash_Exception_Application[[#This Row],[INSERT DATE]]+1</f>
        <v>45196.257071759261</v>
      </c>
      <c r="H3350" t="str">
        <f>VLOOKUP(qry_ProdData2_PDI_Cash_Exception_Application[[#This Row],[MARKET No]],'Site Allocation'!$B$2:$C$37,2,FALSE)</f>
        <v>Analyst3</v>
      </c>
      <c r="I3350" s="4">
        <f t="shared" ca="1" si="52"/>
        <v>45203</v>
      </c>
      <c r="J3350" s="42">
        <f ca="1">TODAY()-qry_ProdData2_PDI_Cash_Exception_Application[[#This Row],[INSERT DATE]]</f>
        <v>7.7429282407392748</v>
      </c>
      <c r="K33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50">
        <f ca="1">qry_ProdData2_PDI_Cash_Exception_Application[[#This Row],[TODAY]]-qry_ProdData2_PDI_Cash_Exception_Application[[#This Row],[CHANGED ON]]</f>
        <v>6.7429282407392748</v>
      </c>
      <c r="M3350">
        <f ca="1">qry_ProdData2_PDI_Cash_Exception_Application[[#This Row],[TODAY]]-qry_ProdData2_PDI_Cash_Exception_Application[[#This Row],[CHANGED ON]]</f>
        <v>6.7429282407392748</v>
      </c>
      <c r="N3350">
        <f ca="1">qry_ProdData2_PDI_Cash_Exception_Application[[#This Row],[TODAY]]-qry_ProdData2_PDI_Cash_Exception_Application[[#This Row],[CHANGED ON]]</f>
        <v>6.7429282407392748</v>
      </c>
    </row>
    <row r="3351" spans="1:14" x14ac:dyDescent="0.35">
      <c r="A3351">
        <v>1035</v>
      </c>
      <c r="B3351" t="s">
        <v>89</v>
      </c>
      <c r="C3351" s="1">
        <v>45179.257071759261</v>
      </c>
      <c r="D3351" t="str">
        <f ca="1">VLOOKUP(qry_ProdData2_PDI_Cash_Exception_Application[[#This Row],[TYPE]],#REF!,2,FALSE)</f>
        <v>type40</v>
      </c>
      <c r="E3351">
        <v>-849.19</v>
      </c>
      <c r="F3351" t="s">
        <v>50</v>
      </c>
      <c r="G3351" s="1">
        <f>qry_ProdData2_PDI_Cash_Exception_Application[[#This Row],[INSERT DATE]]+2</f>
        <v>45181.257071759261</v>
      </c>
      <c r="H3351" t="str">
        <f>VLOOKUP(qry_ProdData2_PDI_Cash_Exception_Application[[#This Row],[MARKET No]],'Site Allocation'!$B$2:$C$37,2,FALSE)</f>
        <v>Analyst6</v>
      </c>
      <c r="I3351" s="4">
        <f t="shared" ca="1" si="52"/>
        <v>45203</v>
      </c>
      <c r="J3351" s="42">
        <f ca="1">TODAY()-qry_ProdData2_PDI_Cash_Exception_Application[[#This Row],[INSERT DATE]]</f>
        <v>23.742928240739275</v>
      </c>
      <c r="K33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51">
        <f ca="1">qry_ProdData2_PDI_Cash_Exception_Application[[#This Row],[TODAY]]-qry_ProdData2_PDI_Cash_Exception_Application[[#This Row],[CHANGED ON]]</f>
        <v>21.742928240739275</v>
      </c>
      <c r="M3351">
        <f ca="1">qry_ProdData2_PDI_Cash_Exception_Application[[#This Row],[TODAY]]-qry_ProdData2_PDI_Cash_Exception_Application[[#This Row],[CHANGED ON]]</f>
        <v>21.742928240739275</v>
      </c>
      <c r="N3351">
        <f ca="1">qry_ProdData2_PDI_Cash_Exception_Application[[#This Row],[TODAY]]-qry_ProdData2_PDI_Cash_Exception_Application[[#This Row],[CHANGED ON]]</f>
        <v>21.742928240739275</v>
      </c>
    </row>
    <row r="3352" spans="1:14" x14ac:dyDescent="0.35">
      <c r="A3352">
        <v>1001</v>
      </c>
      <c r="B3352" t="s">
        <v>55</v>
      </c>
      <c r="C3352" s="1">
        <v>45180.257071759261</v>
      </c>
      <c r="D3352" t="str">
        <f ca="1">VLOOKUP(qry_ProdData2_PDI_Cash_Exception_Application[[#This Row],[TYPE]],#REF!,2,FALSE)</f>
        <v>type27</v>
      </c>
      <c r="E3352">
        <v>1027.9000000000001</v>
      </c>
      <c r="F3352" t="s">
        <v>50</v>
      </c>
      <c r="G3352" s="1">
        <f>qry_ProdData2_PDI_Cash_Exception_Application[[#This Row],[INSERT DATE]]+2</f>
        <v>45182.257071759261</v>
      </c>
      <c r="H3352" t="str">
        <f>VLOOKUP(qry_ProdData2_PDI_Cash_Exception_Application[[#This Row],[MARKET No]],'Site Allocation'!$B$2:$C$37,2,FALSE)</f>
        <v>Analyst1</v>
      </c>
      <c r="I3352" s="4">
        <f t="shared" ca="1" si="52"/>
        <v>45203</v>
      </c>
      <c r="J3352" s="42">
        <f ca="1">TODAY()-qry_ProdData2_PDI_Cash_Exception_Application[[#This Row],[INSERT DATE]]</f>
        <v>22.742928240739275</v>
      </c>
      <c r="K33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52">
        <f ca="1">qry_ProdData2_PDI_Cash_Exception_Application[[#This Row],[TODAY]]-qry_ProdData2_PDI_Cash_Exception_Application[[#This Row],[CHANGED ON]]</f>
        <v>20.742928240739275</v>
      </c>
      <c r="M3352">
        <f ca="1">qry_ProdData2_PDI_Cash_Exception_Application[[#This Row],[TODAY]]-qry_ProdData2_PDI_Cash_Exception_Application[[#This Row],[CHANGED ON]]</f>
        <v>20.742928240739275</v>
      </c>
      <c r="N3352">
        <f ca="1">qry_ProdData2_PDI_Cash_Exception_Application[[#This Row],[TODAY]]-qry_ProdData2_PDI_Cash_Exception_Application[[#This Row],[CHANGED ON]]</f>
        <v>20.742928240739275</v>
      </c>
    </row>
    <row r="3353" spans="1:14" x14ac:dyDescent="0.35">
      <c r="A3353">
        <v>1008</v>
      </c>
      <c r="B3353" t="s">
        <v>62</v>
      </c>
      <c r="C3353" s="1">
        <v>45193.257071759261</v>
      </c>
      <c r="D3353" t="str">
        <f ca="1">VLOOKUP(qry_ProdData2_PDI_Cash_Exception_Application[[#This Row],[TYPE]],#REF!,2,FALSE)</f>
        <v>type13</v>
      </c>
      <c r="E3353">
        <v>15812.61</v>
      </c>
      <c r="F3353" t="s">
        <v>51</v>
      </c>
      <c r="G3353" s="1">
        <f>qry_ProdData2_PDI_Cash_Exception_Application[[#This Row],[INSERT DATE]]+5</f>
        <v>45198.257071759261</v>
      </c>
      <c r="H3353" t="str">
        <f>VLOOKUP(qry_ProdData2_PDI_Cash_Exception_Application[[#This Row],[MARKET No]],'Site Allocation'!$B$2:$C$37,2,FALSE)</f>
        <v>Analyst2</v>
      </c>
      <c r="I3353" s="4">
        <f t="shared" ca="1" si="52"/>
        <v>45203</v>
      </c>
      <c r="J3353" s="42">
        <f ca="1">TODAY()-qry_ProdData2_PDI_Cash_Exception_Application[[#This Row],[INSERT DATE]]</f>
        <v>9.7429282407392748</v>
      </c>
      <c r="K33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53">
        <f ca="1">qry_ProdData2_PDI_Cash_Exception_Application[[#This Row],[TODAY]]-qry_ProdData2_PDI_Cash_Exception_Application[[#This Row],[CHANGED ON]]</f>
        <v>4.7429282407392748</v>
      </c>
      <c r="M3353">
        <f ca="1">qry_ProdData2_PDI_Cash_Exception_Application[[#This Row],[TODAY]]-qry_ProdData2_PDI_Cash_Exception_Application[[#This Row],[CHANGED ON]]</f>
        <v>4.7429282407392748</v>
      </c>
      <c r="N3353">
        <f ca="1">qry_ProdData2_PDI_Cash_Exception_Application[[#This Row],[TODAY]]-qry_ProdData2_PDI_Cash_Exception_Application[[#This Row],[CHANGED ON]]</f>
        <v>4.7429282407392748</v>
      </c>
    </row>
    <row r="3354" spans="1:14" x14ac:dyDescent="0.35">
      <c r="A3354">
        <v>1015</v>
      </c>
      <c r="B3354" t="s">
        <v>69</v>
      </c>
      <c r="C3354" s="1">
        <v>45194.257071759261</v>
      </c>
      <c r="D3354" t="str">
        <f ca="1">VLOOKUP(qry_ProdData2_PDI_Cash_Exception_Application[[#This Row],[TYPE]],#REF!,2,FALSE)</f>
        <v>type42</v>
      </c>
      <c r="E3354">
        <v>213.83</v>
      </c>
      <c r="G3354" s="1">
        <f>qry_ProdData2_PDI_Cash_Exception_Application[[#This Row],[INSERT DATE]]+1</f>
        <v>45195.257071759261</v>
      </c>
      <c r="H3354" t="str">
        <f>VLOOKUP(qry_ProdData2_PDI_Cash_Exception_Application[[#This Row],[MARKET No]],'Site Allocation'!$B$2:$C$37,2,FALSE)</f>
        <v>Analyst3</v>
      </c>
      <c r="I3354" s="4">
        <f t="shared" ca="1" si="52"/>
        <v>45203</v>
      </c>
      <c r="J3354" s="42">
        <f ca="1">TODAY()-qry_ProdData2_PDI_Cash_Exception_Application[[#This Row],[INSERT DATE]]</f>
        <v>8.7429282407392748</v>
      </c>
      <c r="K33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54">
        <f ca="1">qry_ProdData2_PDI_Cash_Exception_Application[[#This Row],[TODAY]]-qry_ProdData2_PDI_Cash_Exception_Application[[#This Row],[CHANGED ON]]</f>
        <v>7.7429282407392748</v>
      </c>
      <c r="M3354">
        <f ca="1">qry_ProdData2_PDI_Cash_Exception_Application[[#This Row],[TODAY]]-qry_ProdData2_PDI_Cash_Exception_Application[[#This Row],[CHANGED ON]]</f>
        <v>7.7429282407392748</v>
      </c>
      <c r="N3354">
        <f ca="1">qry_ProdData2_PDI_Cash_Exception_Application[[#This Row],[TODAY]]-qry_ProdData2_PDI_Cash_Exception_Application[[#This Row],[CHANGED ON]]</f>
        <v>7.7429282407392748</v>
      </c>
    </row>
    <row r="3355" spans="1:14" x14ac:dyDescent="0.35">
      <c r="A3355">
        <v>1016</v>
      </c>
      <c r="B3355" t="s">
        <v>70</v>
      </c>
      <c r="C3355" s="1">
        <v>45194.257071759261</v>
      </c>
      <c r="D3355" t="str">
        <f ca="1">VLOOKUP(qry_ProdData2_PDI_Cash_Exception_Application[[#This Row],[TYPE]],#REF!,2,FALSE)</f>
        <v>type40</v>
      </c>
      <c r="E3355">
        <v>4719.5600000000004</v>
      </c>
      <c r="F3355" t="s">
        <v>47</v>
      </c>
      <c r="G3355" s="1">
        <f>qry_ProdData2_PDI_Cash_Exception_Application[[#This Row],[INSERT DATE]]+1</f>
        <v>45195.257071759261</v>
      </c>
      <c r="H3355" t="str">
        <f>VLOOKUP(qry_ProdData2_PDI_Cash_Exception_Application[[#This Row],[MARKET No]],'Site Allocation'!$B$2:$C$37,2,FALSE)</f>
        <v>Analyst3</v>
      </c>
      <c r="I3355" s="4">
        <f t="shared" ca="1" si="52"/>
        <v>45203</v>
      </c>
      <c r="J3355" s="42">
        <f ca="1">TODAY()-qry_ProdData2_PDI_Cash_Exception_Application[[#This Row],[INSERT DATE]]</f>
        <v>8.7429282407392748</v>
      </c>
      <c r="K33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55">
        <f ca="1">qry_ProdData2_PDI_Cash_Exception_Application[[#This Row],[TODAY]]-qry_ProdData2_PDI_Cash_Exception_Application[[#This Row],[CHANGED ON]]</f>
        <v>7.7429282407392748</v>
      </c>
      <c r="M3355">
        <f ca="1">qry_ProdData2_PDI_Cash_Exception_Application[[#This Row],[TODAY]]-qry_ProdData2_PDI_Cash_Exception_Application[[#This Row],[CHANGED ON]]</f>
        <v>7.7429282407392748</v>
      </c>
      <c r="N3355">
        <f ca="1">qry_ProdData2_PDI_Cash_Exception_Application[[#This Row],[TODAY]]-qry_ProdData2_PDI_Cash_Exception_Application[[#This Row],[CHANGED ON]]</f>
        <v>7.7429282407392748</v>
      </c>
    </row>
    <row r="3356" spans="1:14" x14ac:dyDescent="0.35">
      <c r="A3356">
        <v>1011</v>
      </c>
      <c r="B3356" t="s">
        <v>65</v>
      </c>
      <c r="C3356" s="1">
        <v>45196.257071759261</v>
      </c>
      <c r="D3356" t="str">
        <f ca="1">VLOOKUP(qry_ProdData2_PDI_Cash_Exception_Application[[#This Row],[TYPE]],#REF!,2,FALSE)</f>
        <v>type13</v>
      </c>
      <c r="E3356">
        <v>25490.98</v>
      </c>
      <c r="F3356" t="str">
        <f>qry_ProdData2_PDI_Cash_Exception_Application[[#This Row],[ANALYST]]</f>
        <v>Analyst2</v>
      </c>
      <c r="G3356" s="1">
        <f>qry_ProdData2_PDI_Cash_Exception_Application[[#This Row],[INSERT DATE]]+1</f>
        <v>45197.257071759261</v>
      </c>
      <c r="H3356" t="str">
        <f>VLOOKUP(qry_ProdData2_PDI_Cash_Exception_Application[[#This Row],[MARKET No]],'Site Allocation'!$B$2:$C$37,2,FALSE)</f>
        <v>Analyst2</v>
      </c>
      <c r="I3356" s="4">
        <f t="shared" ca="1" si="52"/>
        <v>45203</v>
      </c>
      <c r="J3356" s="42">
        <f ca="1">TODAY()-qry_ProdData2_PDI_Cash_Exception_Application[[#This Row],[INSERT DATE]]</f>
        <v>6.7429282407392748</v>
      </c>
      <c r="K33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56">
        <f ca="1">qry_ProdData2_PDI_Cash_Exception_Application[[#This Row],[TODAY]]-qry_ProdData2_PDI_Cash_Exception_Application[[#This Row],[CHANGED ON]]</f>
        <v>5.7429282407392748</v>
      </c>
      <c r="M3356">
        <f ca="1">qry_ProdData2_PDI_Cash_Exception_Application[[#This Row],[TODAY]]-qry_ProdData2_PDI_Cash_Exception_Application[[#This Row],[CHANGED ON]]</f>
        <v>5.7429282407392748</v>
      </c>
      <c r="N3356">
        <f ca="1">qry_ProdData2_PDI_Cash_Exception_Application[[#This Row],[TODAY]]-qry_ProdData2_PDI_Cash_Exception_Application[[#This Row],[CHANGED ON]]</f>
        <v>5.7429282407392748</v>
      </c>
    </row>
    <row r="3357" spans="1:14" x14ac:dyDescent="0.35">
      <c r="A3357">
        <v>1023</v>
      </c>
      <c r="B3357" t="s">
        <v>77</v>
      </c>
      <c r="C3357" s="1">
        <v>45183.257071759261</v>
      </c>
      <c r="D3357" t="str">
        <f ca="1">VLOOKUP(qry_ProdData2_PDI_Cash_Exception_Application[[#This Row],[TYPE]],#REF!,2,FALSE)</f>
        <v>type13</v>
      </c>
      <c r="E3357">
        <v>21951.97</v>
      </c>
      <c r="F3357" t="s">
        <v>52</v>
      </c>
      <c r="G3357" s="1">
        <f>qry_ProdData2_PDI_Cash_Exception_Application[[#This Row],[INSERT DATE]]+2</f>
        <v>45185.257071759261</v>
      </c>
      <c r="H3357" t="str">
        <f>VLOOKUP(qry_ProdData2_PDI_Cash_Exception_Application[[#This Row],[MARKET No]],'Site Allocation'!$B$2:$C$37,2,FALSE)</f>
        <v>Analyst4</v>
      </c>
      <c r="I3357" s="4">
        <f t="shared" ca="1" si="52"/>
        <v>45203</v>
      </c>
      <c r="J3357" s="42">
        <f ca="1">TODAY()-qry_ProdData2_PDI_Cash_Exception_Application[[#This Row],[INSERT DATE]]</f>
        <v>19.742928240739275</v>
      </c>
      <c r="K33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57">
        <f ca="1">qry_ProdData2_PDI_Cash_Exception_Application[[#This Row],[TODAY]]-qry_ProdData2_PDI_Cash_Exception_Application[[#This Row],[CHANGED ON]]</f>
        <v>17.742928240739275</v>
      </c>
      <c r="M3357">
        <f ca="1">qry_ProdData2_PDI_Cash_Exception_Application[[#This Row],[TODAY]]-qry_ProdData2_PDI_Cash_Exception_Application[[#This Row],[CHANGED ON]]</f>
        <v>17.742928240739275</v>
      </c>
      <c r="N3357">
        <f ca="1">qry_ProdData2_PDI_Cash_Exception_Application[[#This Row],[TODAY]]-qry_ProdData2_PDI_Cash_Exception_Application[[#This Row],[CHANGED ON]]</f>
        <v>17.742928240739275</v>
      </c>
    </row>
    <row r="3358" spans="1:14" x14ac:dyDescent="0.35">
      <c r="A3358">
        <v>1009</v>
      </c>
      <c r="B3358" t="s">
        <v>63</v>
      </c>
      <c r="C3358" s="1">
        <v>45193.257071759261</v>
      </c>
      <c r="D3358" t="str">
        <f ca="1">VLOOKUP(qry_ProdData2_PDI_Cash_Exception_Application[[#This Row],[TYPE]],#REF!,2,FALSE)</f>
        <v>type40</v>
      </c>
      <c r="E3358">
        <v>-410.69</v>
      </c>
      <c r="F3358" t="s">
        <v>51</v>
      </c>
      <c r="G3358" s="1">
        <f>qry_ProdData2_PDI_Cash_Exception_Application[[#This Row],[INSERT DATE]]+7</f>
        <v>45200.257071759261</v>
      </c>
      <c r="H3358" t="str">
        <f>VLOOKUP(qry_ProdData2_PDI_Cash_Exception_Application[[#This Row],[MARKET No]],'Site Allocation'!$B$2:$C$37,2,FALSE)</f>
        <v>Analyst2</v>
      </c>
      <c r="I3358" s="4">
        <f t="shared" ca="1" si="52"/>
        <v>45203</v>
      </c>
      <c r="J3358" s="42">
        <f ca="1">TODAY()-qry_ProdData2_PDI_Cash_Exception_Application[[#This Row],[INSERT DATE]]</f>
        <v>9.7429282407392748</v>
      </c>
      <c r="K33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58">
        <f ca="1">qry_ProdData2_PDI_Cash_Exception_Application[[#This Row],[TODAY]]-qry_ProdData2_PDI_Cash_Exception_Application[[#This Row],[CHANGED ON]]</f>
        <v>2.7429282407392748</v>
      </c>
      <c r="M3358">
        <f ca="1">qry_ProdData2_PDI_Cash_Exception_Application[[#This Row],[TODAY]]-qry_ProdData2_PDI_Cash_Exception_Application[[#This Row],[CHANGED ON]]</f>
        <v>2.7429282407392748</v>
      </c>
      <c r="N3358">
        <f ca="1">qry_ProdData2_PDI_Cash_Exception_Application[[#This Row],[TODAY]]-qry_ProdData2_PDI_Cash_Exception_Application[[#This Row],[CHANGED ON]]</f>
        <v>2.7429282407392748</v>
      </c>
    </row>
    <row r="3359" spans="1:14" x14ac:dyDescent="0.35">
      <c r="A3359">
        <v>1010</v>
      </c>
      <c r="B3359" t="s">
        <v>64</v>
      </c>
      <c r="C3359" s="1">
        <v>45193.257071759261</v>
      </c>
      <c r="D3359" t="str">
        <f ca="1">VLOOKUP(qry_ProdData2_PDI_Cash_Exception_Application[[#This Row],[TYPE]],#REF!,2,FALSE)</f>
        <v>type40</v>
      </c>
      <c r="E3359">
        <v>5841.14</v>
      </c>
      <c r="F3359" t="str">
        <f>qry_ProdData2_PDI_Cash_Exception_Application[[#This Row],[ANALYST]]</f>
        <v>Analyst2</v>
      </c>
      <c r="G3359" s="1">
        <f>qry_ProdData2_PDI_Cash_Exception_Application[[#This Row],[INSERT DATE]]+1</f>
        <v>45194.257071759261</v>
      </c>
      <c r="H3359" t="str">
        <f>VLOOKUP(qry_ProdData2_PDI_Cash_Exception_Application[[#This Row],[MARKET No]],'Site Allocation'!$B$2:$C$37,2,FALSE)</f>
        <v>Analyst2</v>
      </c>
      <c r="I3359" s="4">
        <f t="shared" ca="1" si="52"/>
        <v>45203</v>
      </c>
      <c r="J3359" s="42">
        <f ca="1">TODAY()-qry_ProdData2_PDI_Cash_Exception_Application[[#This Row],[INSERT DATE]]</f>
        <v>9.7429282407392748</v>
      </c>
      <c r="K33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59">
        <f ca="1">qry_ProdData2_PDI_Cash_Exception_Application[[#This Row],[TODAY]]-qry_ProdData2_PDI_Cash_Exception_Application[[#This Row],[CHANGED ON]]</f>
        <v>8.7429282407392748</v>
      </c>
      <c r="M3359">
        <f ca="1">qry_ProdData2_PDI_Cash_Exception_Application[[#This Row],[TODAY]]-qry_ProdData2_PDI_Cash_Exception_Application[[#This Row],[CHANGED ON]]</f>
        <v>8.7429282407392748</v>
      </c>
      <c r="N3359">
        <f ca="1">qry_ProdData2_PDI_Cash_Exception_Application[[#This Row],[TODAY]]-qry_ProdData2_PDI_Cash_Exception_Application[[#This Row],[CHANGED ON]]</f>
        <v>8.7429282407392748</v>
      </c>
    </row>
    <row r="3360" spans="1:14" x14ac:dyDescent="0.35">
      <c r="A3360">
        <v>1010</v>
      </c>
      <c r="B3360" t="s">
        <v>64</v>
      </c>
      <c r="C3360" s="1">
        <v>45195.257071759261</v>
      </c>
      <c r="D3360" t="str">
        <f ca="1">VLOOKUP(qry_ProdData2_PDI_Cash_Exception_Application[[#This Row],[TYPE]],#REF!,2,FALSE)</f>
        <v>type9</v>
      </c>
      <c r="E3360">
        <v>5100</v>
      </c>
      <c r="G3360" s="1">
        <f>qry_ProdData2_PDI_Cash_Exception_Application[[#This Row],[INSERT DATE]]+1</f>
        <v>45196.257071759261</v>
      </c>
      <c r="H3360" t="str">
        <f>VLOOKUP(qry_ProdData2_PDI_Cash_Exception_Application[[#This Row],[MARKET No]],'Site Allocation'!$B$2:$C$37,2,FALSE)</f>
        <v>Analyst2</v>
      </c>
      <c r="I3360" s="4">
        <f t="shared" ca="1" si="52"/>
        <v>45203</v>
      </c>
      <c r="J3360" s="42">
        <f ca="1">TODAY()-qry_ProdData2_PDI_Cash_Exception_Application[[#This Row],[INSERT DATE]]</f>
        <v>7.7429282407392748</v>
      </c>
      <c r="K33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60">
        <f ca="1">qry_ProdData2_PDI_Cash_Exception_Application[[#This Row],[TODAY]]-qry_ProdData2_PDI_Cash_Exception_Application[[#This Row],[CHANGED ON]]</f>
        <v>6.7429282407392748</v>
      </c>
      <c r="M3360">
        <f ca="1">qry_ProdData2_PDI_Cash_Exception_Application[[#This Row],[TODAY]]-qry_ProdData2_PDI_Cash_Exception_Application[[#This Row],[CHANGED ON]]</f>
        <v>6.7429282407392748</v>
      </c>
      <c r="N3360">
        <f ca="1">qry_ProdData2_PDI_Cash_Exception_Application[[#This Row],[TODAY]]-qry_ProdData2_PDI_Cash_Exception_Application[[#This Row],[CHANGED ON]]</f>
        <v>6.7429282407392748</v>
      </c>
    </row>
    <row r="3361" spans="1:14" x14ac:dyDescent="0.35">
      <c r="A3361">
        <v>1008</v>
      </c>
      <c r="B3361" t="s">
        <v>62</v>
      </c>
      <c r="C3361" s="1">
        <v>45193.257071759261</v>
      </c>
      <c r="D3361" t="str">
        <f ca="1">VLOOKUP(qry_ProdData2_PDI_Cash_Exception_Application[[#This Row],[TYPE]],#REF!,2,FALSE)</f>
        <v>type40</v>
      </c>
      <c r="E3361">
        <v>-421.44</v>
      </c>
      <c r="F3361" t="s">
        <v>47</v>
      </c>
      <c r="G3361" s="1">
        <f>qry_ProdData2_PDI_Cash_Exception_Application[[#This Row],[INSERT DATE]]+2</f>
        <v>45195.257071759261</v>
      </c>
      <c r="H3361" t="str">
        <f>VLOOKUP(qry_ProdData2_PDI_Cash_Exception_Application[[#This Row],[MARKET No]],'Site Allocation'!$B$2:$C$37,2,FALSE)</f>
        <v>Analyst2</v>
      </c>
      <c r="I3361" s="4">
        <f t="shared" ca="1" si="52"/>
        <v>45203</v>
      </c>
      <c r="J3361" s="42">
        <f ca="1">TODAY()-qry_ProdData2_PDI_Cash_Exception_Application[[#This Row],[INSERT DATE]]</f>
        <v>9.7429282407392748</v>
      </c>
      <c r="K33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61">
        <f ca="1">qry_ProdData2_PDI_Cash_Exception_Application[[#This Row],[TODAY]]-qry_ProdData2_PDI_Cash_Exception_Application[[#This Row],[CHANGED ON]]</f>
        <v>7.7429282407392748</v>
      </c>
      <c r="M3361">
        <f ca="1">qry_ProdData2_PDI_Cash_Exception_Application[[#This Row],[TODAY]]-qry_ProdData2_PDI_Cash_Exception_Application[[#This Row],[CHANGED ON]]</f>
        <v>7.7429282407392748</v>
      </c>
      <c r="N3361">
        <f ca="1">qry_ProdData2_PDI_Cash_Exception_Application[[#This Row],[TODAY]]-qry_ProdData2_PDI_Cash_Exception_Application[[#This Row],[CHANGED ON]]</f>
        <v>7.7429282407392748</v>
      </c>
    </row>
    <row r="3362" spans="1:14" x14ac:dyDescent="0.35">
      <c r="A3362">
        <v>1013</v>
      </c>
      <c r="B3362" t="s">
        <v>67</v>
      </c>
      <c r="C3362" s="1">
        <v>45195.257071759261</v>
      </c>
      <c r="D3362" t="str">
        <f ca="1">VLOOKUP(qry_ProdData2_PDI_Cash_Exception_Application[[#This Row],[TYPE]],#REF!,2,FALSE)</f>
        <v>type40</v>
      </c>
      <c r="E3362">
        <v>-551.58000000000004</v>
      </c>
      <c r="F3362" t="s">
        <v>51</v>
      </c>
      <c r="G3362" s="1">
        <f>qry_ProdData2_PDI_Cash_Exception_Application[[#This Row],[INSERT DATE]]+2</f>
        <v>45197.257071759261</v>
      </c>
      <c r="H3362" t="str">
        <f>VLOOKUP(qry_ProdData2_PDI_Cash_Exception_Application[[#This Row],[MARKET No]],'Site Allocation'!$B$2:$C$37,2,FALSE)</f>
        <v>Analyst3</v>
      </c>
      <c r="I3362" s="4">
        <f t="shared" ca="1" si="52"/>
        <v>45203</v>
      </c>
      <c r="J3362" s="42">
        <f ca="1">TODAY()-qry_ProdData2_PDI_Cash_Exception_Application[[#This Row],[INSERT DATE]]</f>
        <v>7.7429282407392748</v>
      </c>
      <c r="K33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62">
        <f ca="1">qry_ProdData2_PDI_Cash_Exception_Application[[#This Row],[TODAY]]-qry_ProdData2_PDI_Cash_Exception_Application[[#This Row],[CHANGED ON]]</f>
        <v>5.7429282407392748</v>
      </c>
      <c r="M3362">
        <f ca="1">qry_ProdData2_PDI_Cash_Exception_Application[[#This Row],[TODAY]]-qry_ProdData2_PDI_Cash_Exception_Application[[#This Row],[CHANGED ON]]</f>
        <v>5.7429282407392748</v>
      </c>
      <c r="N3362">
        <f ca="1">qry_ProdData2_PDI_Cash_Exception_Application[[#This Row],[TODAY]]-qry_ProdData2_PDI_Cash_Exception_Application[[#This Row],[CHANGED ON]]</f>
        <v>5.7429282407392748</v>
      </c>
    </row>
    <row r="3363" spans="1:14" x14ac:dyDescent="0.35">
      <c r="A3363">
        <v>1015</v>
      </c>
      <c r="B3363" t="s">
        <v>69</v>
      </c>
      <c r="C3363" s="1">
        <v>45194.257071759261</v>
      </c>
      <c r="D3363" t="str">
        <f ca="1">VLOOKUP(qry_ProdData2_PDI_Cash_Exception_Application[[#This Row],[TYPE]],#REF!,2,FALSE)</f>
        <v>type40</v>
      </c>
      <c r="E3363">
        <v>2269.44</v>
      </c>
      <c r="F3363" t="s">
        <v>51</v>
      </c>
      <c r="G3363" s="1">
        <f>qry_ProdData2_PDI_Cash_Exception_Application[[#This Row],[INSERT DATE]]+2</f>
        <v>45196.257071759261</v>
      </c>
      <c r="H3363" t="str">
        <f>VLOOKUP(qry_ProdData2_PDI_Cash_Exception_Application[[#This Row],[MARKET No]],'Site Allocation'!$B$2:$C$37,2,FALSE)</f>
        <v>Analyst3</v>
      </c>
      <c r="I3363" s="4">
        <f t="shared" ca="1" si="52"/>
        <v>45203</v>
      </c>
      <c r="J3363" s="42">
        <f ca="1">TODAY()-qry_ProdData2_PDI_Cash_Exception_Application[[#This Row],[INSERT DATE]]</f>
        <v>8.7429282407392748</v>
      </c>
      <c r="K33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63">
        <f ca="1">qry_ProdData2_PDI_Cash_Exception_Application[[#This Row],[TODAY]]-qry_ProdData2_PDI_Cash_Exception_Application[[#This Row],[CHANGED ON]]</f>
        <v>6.7429282407392748</v>
      </c>
      <c r="M3363">
        <f ca="1">qry_ProdData2_PDI_Cash_Exception_Application[[#This Row],[TODAY]]-qry_ProdData2_PDI_Cash_Exception_Application[[#This Row],[CHANGED ON]]</f>
        <v>6.7429282407392748</v>
      </c>
      <c r="N3363">
        <f ca="1">qry_ProdData2_PDI_Cash_Exception_Application[[#This Row],[TODAY]]-qry_ProdData2_PDI_Cash_Exception_Application[[#This Row],[CHANGED ON]]</f>
        <v>6.7429282407392748</v>
      </c>
    </row>
    <row r="3364" spans="1:14" x14ac:dyDescent="0.35">
      <c r="A3364">
        <v>1016</v>
      </c>
      <c r="B3364" t="s">
        <v>70</v>
      </c>
      <c r="C3364" s="1">
        <v>45193.257071759261</v>
      </c>
      <c r="D3364" t="str">
        <f ca="1">VLOOKUP(qry_ProdData2_PDI_Cash_Exception_Application[[#This Row],[TYPE]],#REF!,2,FALSE)</f>
        <v>type40</v>
      </c>
      <c r="E3364">
        <v>729.29</v>
      </c>
      <c r="F3364" t="s">
        <v>48</v>
      </c>
      <c r="G3364" s="1">
        <f>qry_ProdData2_PDI_Cash_Exception_Application[[#This Row],[INSERT DATE]]+1</f>
        <v>45194.257071759261</v>
      </c>
      <c r="H3364" t="str">
        <f>VLOOKUP(qry_ProdData2_PDI_Cash_Exception_Application[[#This Row],[MARKET No]],'Site Allocation'!$B$2:$C$37,2,FALSE)</f>
        <v>Analyst3</v>
      </c>
      <c r="I3364" s="4">
        <f t="shared" ca="1" si="52"/>
        <v>45203</v>
      </c>
      <c r="J3364" s="42">
        <f ca="1">TODAY()-qry_ProdData2_PDI_Cash_Exception_Application[[#This Row],[INSERT DATE]]</f>
        <v>9.7429282407392748</v>
      </c>
      <c r="K33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64">
        <f ca="1">qry_ProdData2_PDI_Cash_Exception_Application[[#This Row],[TODAY]]-qry_ProdData2_PDI_Cash_Exception_Application[[#This Row],[CHANGED ON]]</f>
        <v>8.7429282407392748</v>
      </c>
      <c r="M3364">
        <f ca="1">qry_ProdData2_PDI_Cash_Exception_Application[[#This Row],[TODAY]]-qry_ProdData2_PDI_Cash_Exception_Application[[#This Row],[CHANGED ON]]</f>
        <v>8.7429282407392748</v>
      </c>
      <c r="N3364">
        <f ca="1">qry_ProdData2_PDI_Cash_Exception_Application[[#This Row],[TODAY]]-qry_ProdData2_PDI_Cash_Exception_Application[[#This Row],[CHANGED ON]]</f>
        <v>8.7429282407392748</v>
      </c>
    </row>
    <row r="3365" spans="1:14" x14ac:dyDescent="0.35">
      <c r="A3365">
        <v>1024</v>
      </c>
      <c r="B3365" t="s">
        <v>78</v>
      </c>
      <c r="C3365" s="1">
        <v>45193.257071759261</v>
      </c>
      <c r="D3365" t="str">
        <f ca="1">VLOOKUP(qry_ProdData2_PDI_Cash_Exception_Application[[#This Row],[TYPE]],#REF!,2,FALSE)</f>
        <v>type54</v>
      </c>
      <c r="E3365">
        <v>100</v>
      </c>
      <c r="G3365" s="1">
        <f>qry_ProdData2_PDI_Cash_Exception_Application[[#This Row],[INSERT DATE]]+7</f>
        <v>45200.257071759261</v>
      </c>
      <c r="H3365" t="str">
        <f>VLOOKUP(qry_ProdData2_PDI_Cash_Exception_Application[[#This Row],[MARKET No]],'Site Allocation'!$B$2:$C$37,2,FALSE)</f>
        <v>Analyst5</v>
      </c>
      <c r="I3365" s="4">
        <f t="shared" ca="1" si="52"/>
        <v>45203</v>
      </c>
      <c r="J3365" s="42">
        <f ca="1">TODAY()-qry_ProdData2_PDI_Cash_Exception_Application[[#This Row],[INSERT DATE]]</f>
        <v>9.7429282407392748</v>
      </c>
      <c r="K33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65">
        <f ca="1">qry_ProdData2_PDI_Cash_Exception_Application[[#This Row],[TODAY]]-qry_ProdData2_PDI_Cash_Exception_Application[[#This Row],[CHANGED ON]]</f>
        <v>2.7429282407392748</v>
      </c>
      <c r="M3365">
        <f ca="1">qry_ProdData2_PDI_Cash_Exception_Application[[#This Row],[TODAY]]-qry_ProdData2_PDI_Cash_Exception_Application[[#This Row],[CHANGED ON]]</f>
        <v>2.7429282407392748</v>
      </c>
      <c r="N3365">
        <f ca="1">qry_ProdData2_PDI_Cash_Exception_Application[[#This Row],[TODAY]]-qry_ProdData2_PDI_Cash_Exception_Application[[#This Row],[CHANGED ON]]</f>
        <v>2.7429282407392748</v>
      </c>
    </row>
    <row r="3366" spans="1:14" x14ac:dyDescent="0.35">
      <c r="A3366">
        <v>1017</v>
      </c>
      <c r="B3366" t="s">
        <v>71</v>
      </c>
      <c r="C3366" s="1">
        <v>45194.257071759261</v>
      </c>
      <c r="D3366" t="str">
        <f ca="1">VLOOKUP(qry_ProdData2_PDI_Cash_Exception_Application[[#This Row],[TYPE]],#REF!,2,FALSE)</f>
        <v>type40</v>
      </c>
      <c r="E3366">
        <v>3863.75</v>
      </c>
      <c r="F3366" t="s">
        <v>47</v>
      </c>
      <c r="G3366" s="1">
        <f>qry_ProdData2_PDI_Cash_Exception_Application[[#This Row],[INSERT DATE]]+5</f>
        <v>45199.257071759261</v>
      </c>
      <c r="H3366" t="str">
        <f>VLOOKUP(qry_ProdData2_PDI_Cash_Exception_Application[[#This Row],[MARKET No]],'Site Allocation'!$B$2:$C$37,2,FALSE)</f>
        <v>Analyst3</v>
      </c>
      <c r="I3366" s="4">
        <f t="shared" ca="1" si="52"/>
        <v>45203</v>
      </c>
      <c r="J3366" s="42">
        <f ca="1">TODAY()-qry_ProdData2_PDI_Cash_Exception_Application[[#This Row],[INSERT DATE]]</f>
        <v>8.7429282407392748</v>
      </c>
      <c r="K33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66">
        <f ca="1">qry_ProdData2_PDI_Cash_Exception_Application[[#This Row],[TODAY]]-qry_ProdData2_PDI_Cash_Exception_Application[[#This Row],[CHANGED ON]]</f>
        <v>3.7429282407392748</v>
      </c>
      <c r="M3366">
        <f ca="1">qry_ProdData2_PDI_Cash_Exception_Application[[#This Row],[TODAY]]-qry_ProdData2_PDI_Cash_Exception_Application[[#This Row],[CHANGED ON]]</f>
        <v>3.7429282407392748</v>
      </c>
      <c r="N3366">
        <f ca="1">qry_ProdData2_PDI_Cash_Exception_Application[[#This Row],[TODAY]]-qry_ProdData2_PDI_Cash_Exception_Application[[#This Row],[CHANGED ON]]</f>
        <v>3.7429282407392748</v>
      </c>
    </row>
    <row r="3367" spans="1:14" x14ac:dyDescent="0.35">
      <c r="A3367">
        <v>1012</v>
      </c>
      <c r="B3367" t="s">
        <v>66</v>
      </c>
      <c r="C3367" s="1">
        <v>45189.257071759261</v>
      </c>
      <c r="D3367" t="str">
        <f ca="1">VLOOKUP(qry_ProdData2_PDI_Cash_Exception_Application[[#This Row],[TYPE]],#REF!,2,FALSE)</f>
        <v>type5</v>
      </c>
      <c r="E3367">
        <v>2249</v>
      </c>
      <c r="F3367" t="s">
        <v>52</v>
      </c>
      <c r="G3367" s="1">
        <f>qry_ProdData2_PDI_Cash_Exception_Application[[#This Row],[INSERT DATE]]+2</f>
        <v>45191.257071759261</v>
      </c>
      <c r="H3367" t="str">
        <f>VLOOKUP(qry_ProdData2_PDI_Cash_Exception_Application[[#This Row],[MARKET No]],'Site Allocation'!$B$2:$C$37,2,FALSE)</f>
        <v>Analyst3</v>
      </c>
      <c r="I3367" s="4">
        <f t="shared" ca="1" si="52"/>
        <v>45203</v>
      </c>
      <c r="J3367" s="42">
        <f ca="1">TODAY()-qry_ProdData2_PDI_Cash_Exception_Application[[#This Row],[INSERT DATE]]</f>
        <v>13.742928240739275</v>
      </c>
      <c r="K33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67">
        <f ca="1">qry_ProdData2_PDI_Cash_Exception_Application[[#This Row],[TODAY]]-qry_ProdData2_PDI_Cash_Exception_Application[[#This Row],[CHANGED ON]]</f>
        <v>11.742928240739275</v>
      </c>
      <c r="M3367">
        <f ca="1">qry_ProdData2_PDI_Cash_Exception_Application[[#This Row],[TODAY]]-qry_ProdData2_PDI_Cash_Exception_Application[[#This Row],[CHANGED ON]]</f>
        <v>11.742928240739275</v>
      </c>
      <c r="N3367">
        <f ca="1">qry_ProdData2_PDI_Cash_Exception_Application[[#This Row],[TODAY]]-qry_ProdData2_PDI_Cash_Exception_Application[[#This Row],[CHANGED ON]]</f>
        <v>11.742928240739275</v>
      </c>
    </row>
    <row r="3368" spans="1:14" x14ac:dyDescent="0.35">
      <c r="A3368">
        <v>1007</v>
      </c>
      <c r="B3368" t="s">
        <v>61</v>
      </c>
      <c r="C3368" s="1">
        <v>45193.257071759261</v>
      </c>
      <c r="D3368" t="str">
        <f ca="1">VLOOKUP(qry_ProdData2_PDI_Cash_Exception_Application[[#This Row],[TYPE]],#REF!,2,FALSE)</f>
        <v>type13</v>
      </c>
      <c r="E3368">
        <v>51064.53</v>
      </c>
      <c r="F3368" t="str">
        <f>qry_ProdData2_PDI_Cash_Exception_Application[[#This Row],[ANALYST]]</f>
        <v>Analyst2</v>
      </c>
      <c r="G3368" s="1">
        <f>qry_ProdData2_PDI_Cash_Exception_Application[[#This Row],[INSERT DATE]]+2</f>
        <v>45195.257071759261</v>
      </c>
      <c r="H3368" t="str">
        <f>VLOOKUP(qry_ProdData2_PDI_Cash_Exception_Application[[#This Row],[MARKET No]],'Site Allocation'!$B$2:$C$37,2,FALSE)</f>
        <v>Analyst2</v>
      </c>
      <c r="I3368" s="4">
        <f t="shared" ca="1" si="52"/>
        <v>45203</v>
      </c>
      <c r="J3368" s="42">
        <f ca="1">TODAY()-qry_ProdData2_PDI_Cash_Exception_Application[[#This Row],[INSERT DATE]]</f>
        <v>9.7429282407392748</v>
      </c>
      <c r="K33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68">
        <f ca="1">qry_ProdData2_PDI_Cash_Exception_Application[[#This Row],[TODAY]]-qry_ProdData2_PDI_Cash_Exception_Application[[#This Row],[CHANGED ON]]</f>
        <v>7.7429282407392748</v>
      </c>
      <c r="M3368">
        <f ca="1">qry_ProdData2_PDI_Cash_Exception_Application[[#This Row],[TODAY]]-qry_ProdData2_PDI_Cash_Exception_Application[[#This Row],[CHANGED ON]]</f>
        <v>7.7429282407392748</v>
      </c>
      <c r="N3368">
        <f ca="1">qry_ProdData2_PDI_Cash_Exception_Application[[#This Row],[TODAY]]-qry_ProdData2_PDI_Cash_Exception_Application[[#This Row],[CHANGED ON]]</f>
        <v>7.7429282407392748</v>
      </c>
    </row>
    <row r="3369" spans="1:14" x14ac:dyDescent="0.35">
      <c r="A3369">
        <v>1019</v>
      </c>
      <c r="B3369" t="s">
        <v>73</v>
      </c>
      <c r="C3369" s="1">
        <v>45190.257071759261</v>
      </c>
      <c r="D3369" t="str">
        <f ca="1">VLOOKUP(qry_ProdData2_PDI_Cash_Exception_Application[[#This Row],[TYPE]],#REF!,2,FALSE)</f>
        <v>type40</v>
      </c>
      <c r="E3369">
        <v>3860.33</v>
      </c>
      <c r="F3369" t="s">
        <v>52</v>
      </c>
      <c r="G3369" s="1">
        <f>qry_ProdData2_PDI_Cash_Exception_Application[[#This Row],[INSERT DATE]]+5</f>
        <v>45195.257071759261</v>
      </c>
      <c r="H3369" t="str">
        <f>VLOOKUP(qry_ProdData2_PDI_Cash_Exception_Application[[#This Row],[MARKET No]],'Site Allocation'!$B$2:$C$37,2,FALSE)</f>
        <v>Analyst4</v>
      </c>
      <c r="I3369" s="4">
        <f t="shared" ca="1" si="52"/>
        <v>45203</v>
      </c>
      <c r="J3369" s="42">
        <f ca="1">TODAY()-qry_ProdData2_PDI_Cash_Exception_Application[[#This Row],[INSERT DATE]]</f>
        <v>12.742928240739275</v>
      </c>
      <c r="K33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69">
        <f ca="1">qry_ProdData2_PDI_Cash_Exception_Application[[#This Row],[TODAY]]-qry_ProdData2_PDI_Cash_Exception_Application[[#This Row],[CHANGED ON]]</f>
        <v>7.7429282407392748</v>
      </c>
      <c r="M3369">
        <f ca="1">qry_ProdData2_PDI_Cash_Exception_Application[[#This Row],[TODAY]]-qry_ProdData2_PDI_Cash_Exception_Application[[#This Row],[CHANGED ON]]</f>
        <v>7.7429282407392748</v>
      </c>
      <c r="N3369">
        <f ca="1">qry_ProdData2_PDI_Cash_Exception_Application[[#This Row],[TODAY]]-qry_ProdData2_PDI_Cash_Exception_Application[[#This Row],[CHANGED ON]]</f>
        <v>7.7429282407392748</v>
      </c>
    </row>
    <row r="3370" spans="1:14" x14ac:dyDescent="0.35">
      <c r="A3370">
        <v>1006</v>
      </c>
      <c r="B3370" t="s">
        <v>60</v>
      </c>
      <c r="C3370" s="1">
        <v>45191.257071759261</v>
      </c>
      <c r="D3370" t="str">
        <f ca="1">VLOOKUP(qry_ProdData2_PDI_Cash_Exception_Application[[#This Row],[TYPE]],#REF!,2,FALSE)</f>
        <v>type40</v>
      </c>
      <c r="E3370">
        <v>4875</v>
      </c>
      <c r="F3370" t="s">
        <v>52</v>
      </c>
      <c r="G3370" s="1">
        <f>qry_ProdData2_PDI_Cash_Exception_Application[[#This Row],[INSERT DATE]]+5</f>
        <v>45196.257071759261</v>
      </c>
      <c r="H3370" t="str">
        <f>VLOOKUP(qry_ProdData2_PDI_Cash_Exception_Application[[#This Row],[MARKET No]],'Site Allocation'!$B$2:$C$37,2,FALSE)</f>
        <v>Analyst2</v>
      </c>
      <c r="I3370" s="4">
        <f t="shared" ca="1" si="52"/>
        <v>45203</v>
      </c>
      <c r="J3370" s="42">
        <f ca="1">TODAY()-qry_ProdData2_PDI_Cash_Exception_Application[[#This Row],[INSERT DATE]]</f>
        <v>11.742928240739275</v>
      </c>
      <c r="K33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70">
        <f ca="1">qry_ProdData2_PDI_Cash_Exception_Application[[#This Row],[TODAY]]-qry_ProdData2_PDI_Cash_Exception_Application[[#This Row],[CHANGED ON]]</f>
        <v>6.7429282407392748</v>
      </c>
      <c r="M3370">
        <f ca="1">qry_ProdData2_PDI_Cash_Exception_Application[[#This Row],[TODAY]]-qry_ProdData2_PDI_Cash_Exception_Application[[#This Row],[CHANGED ON]]</f>
        <v>6.7429282407392748</v>
      </c>
      <c r="N3370">
        <f ca="1">qry_ProdData2_PDI_Cash_Exception_Application[[#This Row],[TODAY]]-qry_ProdData2_PDI_Cash_Exception_Application[[#This Row],[CHANGED ON]]</f>
        <v>6.7429282407392748</v>
      </c>
    </row>
    <row r="3371" spans="1:14" x14ac:dyDescent="0.35">
      <c r="A3371">
        <v>1009</v>
      </c>
      <c r="B3371" t="s">
        <v>63</v>
      </c>
      <c r="C3371" s="1">
        <v>45194.257071759261</v>
      </c>
      <c r="D3371" t="str">
        <f ca="1">VLOOKUP(qry_ProdData2_PDI_Cash_Exception_Application[[#This Row],[TYPE]],#REF!,2,FALSE)</f>
        <v>type40</v>
      </c>
      <c r="E3371">
        <v>-955.9</v>
      </c>
      <c r="F3371" t="str">
        <f>qry_ProdData2_PDI_Cash_Exception_Application[[#This Row],[ANALYST]]</f>
        <v>Analyst2</v>
      </c>
      <c r="G3371" s="1">
        <f>qry_ProdData2_PDI_Cash_Exception_Application[[#This Row],[INSERT DATE]]+5</f>
        <v>45199.257071759261</v>
      </c>
      <c r="H3371" t="str">
        <f>VLOOKUP(qry_ProdData2_PDI_Cash_Exception_Application[[#This Row],[MARKET No]],'Site Allocation'!$B$2:$C$37,2,FALSE)</f>
        <v>Analyst2</v>
      </c>
      <c r="I3371" s="4">
        <f t="shared" ca="1" si="52"/>
        <v>45203</v>
      </c>
      <c r="J3371" s="42">
        <f ca="1">TODAY()-qry_ProdData2_PDI_Cash_Exception_Application[[#This Row],[INSERT DATE]]</f>
        <v>8.7429282407392748</v>
      </c>
      <c r="K33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71">
        <f ca="1">qry_ProdData2_PDI_Cash_Exception_Application[[#This Row],[TODAY]]-qry_ProdData2_PDI_Cash_Exception_Application[[#This Row],[CHANGED ON]]</f>
        <v>3.7429282407392748</v>
      </c>
      <c r="M3371">
        <f ca="1">qry_ProdData2_PDI_Cash_Exception_Application[[#This Row],[TODAY]]-qry_ProdData2_PDI_Cash_Exception_Application[[#This Row],[CHANGED ON]]</f>
        <v>3.7429282407392748</v>
      </c>
      <c r="N3371">
        <f ca="1">qry_ProdData2_PDI_Cash_Exception_Application[[#This Row],[TODAY]]-qry_ProdData2_PDI_Cash_Exception_Application[[#This Row],[CHANGED ON]]</f>
        <v>3.7429282407392748</v>
      </c>
    </row>
    <row r="3372" spans="1:14" x14ac:dyDescent="0.35">
      <c r="A3372">
        <v>1009</v>
      </c>
      <c r="B3372" t="s">
        <v>63</v>
      </c>
      <c r="C3372" s="1">
        <v>45194.257071759261</v>
      </c>
      <c r="D3372" t="str">
        <f ca="1">VLOOKUP(qry_ProdData2_PDI_Cash_Exception_Application[[#This Row],[TYPE]],#REF!,2,FALSE)</f>
        <v>type38</v>
      </c>
      <c r="E3372">
        <v>366.45</v>
      </c>
      <c r="F3372" t="str">
        <f>qry_ProdData2_PDI_Cash_Exception_Application[[#This Row],[ANALYST]]</f>
        <v>Analyst2</v>
      </c>
      <c r="G3372" s="1">
        <f>qry_ProdData2_PDI_Cash_Exception_Application[[#This Row],[INSERT DATE]]+7</f>
        <v>45201.257071759261</v>
      </c>
      <c r="H3372" t="str">
        <f>VLOOKUP(qry_ProdData2_PDI_Cash_Exception_Application[[#This Row],[MARKET No]],'Site Allocation'!$B$2:$C$37,2,FALSE)</f>
        <v>Analyst2</v>
      </c>
      <c r="I3372" s="4">
        <f t="shared" ca="1" si="52"/>
        <v>45203</v>
      </c>
      <c r="J3372" s="42">
        <f ca="1">TODAY()-qry_ProdData2_PDI_Cash_Exception_Application[[#This Row],[INSERT DATE]]</f>
        <v>8.7429282407392748</v>
      </c>
      <c r="K33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72">
        <f ca="1">qry_ProdData2_PDI_Cash_Exception_Application[[#This Row],[TODAY]]-qry_ProdData2_PDI_Cash_Exception_Application[[#This Row],[CHANGED ON]]</f>
        <v>1.7429282407392748</v>
      </c>
      <c r="M3372">
        <f ca="1">qry_ProdData2_PDI_Cash_Exception_Application[[#This Row],[TODAY]]-qry_ProdData2_PDI_Cash_Exception_Application[[#This Row],[CHANGED ON]]</f>
        <v>1.7429282407392748</v>
      </c>
      <c r="N3372">
        <f ca="1">qry_ProdData2_PDI_Cash_Exception_Application[[#This Row],[TODAY]]-qry_ProdData2_PDI_Cash_Exception_Application[[#This Row],[CHANGED ON]]</f>
        <v>1.7429282407392748</v>
      </c>
    </row>
    <row r="3373" spans="1:14" x14ac:dyDescent="0.35">
      <c r="A3373">
        <v>1032</v>
      </c>
      <c r="B3373" t="s">
        <v>86</v>
      </c>
      <c r="C3373" s="1">
        <v>45194.257071759261</v>
      </c>
      <c r="D3373" t="str">
        <f ca="1">VLOOKUP(qry_ProdData2_PDI_Cash_Exception_Application[[#This Row],[TYPE]],#REF!,2,FALSE)</f>
        <v>type40</v>
      </c>
      <c r="E3373">
        <v>403.68</v>
      </c>
      <c r="F3373" t="s">
        <v>50</v>
      </c>
      <c r="G3373" s="1">
        <f>qry_ProdData2_PDI_Cash_Exception_Application[[#This Row],[INSERT DATE]]+5</f>
        <v>45199.257071759261</v>
      </c>
      <c r="H3373" t="str">
        <f>VLOOKUP(qry_ProdData2_PDI_Cash_Exception_Application[[#This Row],[MARKET No]],'Site Allocation'!$B$2:$C$37,2,FALSE)</f>
        <v>Analyst6</v>
      </c>
      <c r="I3373" s="4">
        <f t="shared" ca="1" si="52"/>
        <v>45203</v>
      </c>
      <c r="J3373" s="42">
        <f ca="1">TODAY()-qry_ProdData2_PDI_Cash_Exception_Application[[#This Row],[INSERT DATE]]</f>
        <v>8.7429282407392748</v>
      </c>
      <c r="K33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73">
        <f ca="1">qry_ProdData2_PDI_Cash_Exception_Application[[#This Row],[TODAY]]-qry_ProdData2_PDI_Cash_Exception_Application[[#This Row],[CHANGED ON]]</f>
        <v>3.7429282407392748</v>
      </c>
      <c r="M3373">
        <f ca="1">qry_ProdData2_PDI_Cash_Exception_Application[[#This Row],[TODAY]]-qry_ProdData2_PDI_Cash_Exception_Application[[#This Row],[CHANGED ON]]</f>
        <v>3.7429282407392748</v>
      </c>
      <c r="N3373">
        <f ca="1">qry_ProdData2_PDI_Cash_Exception_Application[[#This Row],[TODAY]]-qry_ProdData2_PDI_Cash_Exception_Application[[#This Row],[CHANGED ON]]</f>
        <v>3.7429282407392748</v>
      </c>
    </row>
    <row r="3374" spans="1:14" x14ac:dyDescent="0.35">
      <c r="A3374">
        <v>1002</v>
      </c>
      <c r="B3374" t="s">
        <v>56</v>
      </c>
      <c r="C3374" s="1">
        <v>45194.257071759261</v>
      </c>
      <c r="D3374" t="str">
        <f ca="1">VLOOKUP(qry_ProdData2_PDI_Cash_Exception_Application[[#This Row],[TYPE]],#REF!,2,FALSE)</f>
        <v>type40</v>
      </c>
      <c r="E3374">
        <v>-2468.1799999999998</v>
      </c>
      <c r="F3374" t="s">
        <v>48</v>
      </c>
      <c r="G3374" s="1">
        <f>qry_ProdData2_PDI_Cash_Exception_Application[[#This Row],[INSERT DATE]]+7</f>
        <v>45201.257071759261</v>
      </c>
      <c r="H3374" t="str">
        <f>VLOOKUP(qry_ProdData2_PDI_Cash_Exception_Application[[#This Row],[MARKET No]],'Site Allocation'!$B$2:$C$37,2,FALSE)</f>
        <v>Analyst1</v>
      </c>
      <c r="I3374" s="4">
        <f t="shared" ca="1" si="52"/>
        <v>45203</v>
      </c>
      <c r="J3374" s="42">
        <f ca="1">TODAY()-qry_ProdData2_PDI_Cash_Exception_Application[[#This Row],[INSERT DATE]]</f>
        <v>8.7429282407392748</v>
      </c>
      <c r="K33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74">
        <f ca="1">qry_ProdData2_PDI_Cash_Exception_Application[[#This Row],[TODAY]]-qry_ProdData2_PDI_Cash_Exception_Application[[#This Row],[CHANGED ON]]</f>
        <v>1.7429282407392748</v>
      </c>
      <c r="M3374">
        <f ca="1">qry_ProdData2_PDI_Cash_Exception_Application[[#This Row],[TODAY]]-qry_ProdData2_PDI_Cash_Exception_Application[[#This Row],[CHANGED ON]]</f>
        <v>1.7429282407392748</v>
      </c>
      <c r="N3374">
        <f ca="1">qry_ProdData2_PDI_Cash_Exception_Application[[#This Row],[TODAY]]-qry_ProdData2_PDI_Cash_Exception_Application[[#This Row],[CHANGED ON]]</f>
        <v>1.7429282407392748</v>
      </c>
    </row>
    <row r="3375" spans="1:14" x14ac:dyDescent="0.35">
      <c r="A3375">
        <v>1011</v>
      </c>
      <c r="B3375" t="s">
        <v>65</v>
      </c>
      <c r="C3375" s="1">
        <v>45194.257071759261</v>
      </c>
      <c r="D3375" t="str">
        <f ca="1">VLOOKUP(qry_ProdData2_PDI_Cash_Exception_Application[[#This Row],[TYPE]],#REF!,2,FALSE)</f>
        <v>type40</v>
      </c>
      <c r="E3375">
        <v>107.66</v>
      </c>
      <c r="F3375" t="s">
        <v>51</v>
      </c>
      <c r="G3375" s="1">
        <f>qry_ProdData2_PDI_Cash_Exception_Application[[#This Row],[INSERT DATE]]+2</f>
        <v>45196.257071759261</v>
      </c>
      <c r="H3375" t="str">
        <f>VLOOKUP(qry_ProdData2_PDI_Cash_Exception_Application[[#This Row],[MARKET No]],'Site Allocation'!$B$2:$C$37,2,FALSE)</f>
        <v>Analyst2</v>
      </c>
      <c r="I3375" s="4">
        <f t="shared" ca="1" si="52"/>
        <v>45203</v>
      </c>
      <c r="J3375" s="42">
        <f ca="1">TODAY()-qry_ProdData2_PDI_Cash_Exception_Application[[#This Row],[INSERT DATE]]</f>
        <v>8.7429282407392748</v>
      </c>
      <c r="K33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75">
        <f ca="1">qry_ProdData2_PDI_Cash_Exception_Application[[#This Row],[TODAY]]-qry_ProdData2_PDI_Cash_Exception_Application[[#This Row],[CHANGED ON]]</f>
        <v>6.7429282407392748</v>
      </c>
      <c r="M3375">
        <f ca="1">qry_ProdData2_PDI_Cash_Exception_Application[[#This Row],[TODAY]]-qry_ProdData2_PDI_Cash_Exception_Application[[#This Row],[CHANGED ON]]</f>
        <v>6.7429282407392748</v>
      </c>
      <c r="N3375">
        <f ca="1">qry_ProdData2_PDI_Cash_Exception_Application[[#This Row],[TODAY]]-qry_ProdData2_PDI_Cash_Exception_Application[[#This Row],[CHANGED ON]]</f>
        <v>6.7429282407392748</v>
      </c>
    </row>
    <row r="3376" spans="1:14" x14ac:dyDescent="0.35">
      <c r="A3376">
        <v>1032</v>
      </c>
      <c r="B3376" t="s">
        <v>86</v>
      </c>
      <c r="C3376" s="1">
        <v>45194.257071759261</v>
      </c>
      <c r="D3376" t="str">
        <f ca="1">VLOOKUP(qry_ProdData2_PDI_Cash_Exception_Application[[#This Row],[TYPE]],#REF!,2,FALSE)</f>
        <v>type40</v>
      </c>
      <c r="E3376">
        <v>935.07</v>
      </c>
      <c r="F3376" t="s">
        <v>47</v>
      </c>
      <c r="G3376" s="1">
        <f>qry_ProdData2_PDI_Cash_Exception_Application[[#This Row],[INSERT DATE]]+5</f>
        <v>45199.257071759261</v>
      </c>
      <c r="H3376" t="str">
        <f>VLOOKUP(qry_ProdData2_PDI_Cash_Exception_Application[[#This Row],[MARKET No]],'Site Allocation'!$B$2:$C$37,2,FALSE)</f>
        <v>Analyst6</v>
      </c>
      <c r="I3376" s="4">
        <f t="shared" ca="1" si="52"/>
        <v>45203</v>
      </c>
      <c r="J3376" s="42">
        <f ca="1">TODAY()-qry_ProdData2_PDI_Cash_Exception_Application[[#This Row],[INSERT DATE]]</f>
        <v>8.7429282407392748</v>
      </c>
      <c r="K33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76">
        <f ca="1">qry_ProdData2_PDI_Cash_Exception_Application[[#This Row],[TODAY]]-qry_ProdData2_PDI_Cash_Exception_Application[[#This Row],[CHANGED ON]]</f>
        <v>3.7429282407392748</v>
      </c>
      <c r="M3376">
        <f ca="1">qry_ProdData2_PDI_Cash_Exception_Application[[#This Row],[TODAY]]-qry_ProdData2_PDI_Cash_Exception_Application[[#This Row],[CHANGED ON]]</f>
        <v>3.7429282407392748</v>
      </c>
      <c r="N3376">
        <f ca="1">qry_ProdData2_PDI_Cash_Exception_Application[[#This Row],[TODAY]]-qry_ProdData2_PDI_Cash_Exception_Application[[#This Row],[CHANGED ON]]</f>
        <v>3.7429282407392748</v>
      </c>
    </row>
    <row r="3377" spans="1:14" x14ac:dyDescent="0.35">
      <c r="A3377">
        <v>1021</v>
      </c>
      <c r="B3377" t="s">
        <v>75</v>
      </c>
      <c r="C3377" s="1">
        <v>45195.257071759261</v>
      </c>
      <c r="D3377" t="str">
        <f ca="1">VLOOKUP(qry_ProdData2_PDI_Cash_Exception_Application[[#This Row],[TYPE]],#REF!,2,FALSE)</f>
        <v>type13</v>
      </c>
      <c r="E3377">
        <v>36846.39</v>
      </c>
      <c r="F3377" t="s">
        <v>51</v>
      </c>
      <c r="G3377" s="1">
        <f>qry_ProdData2_PDI_Cash_Exception_Application[[#This Row],[INSERT DATE]]+2</f>
        <v>45197.257071759261</v>
      </c>
      <c r="H3377" t="str">
        <f>VLOOKUP(qry_ProdData2_PDI_Cash_Exception_Application[[#This Row],[MARKET No]],'Site Allocation'!$B$2:$C$37,2,FALSE)</f>
        <v>Analyst4</v>
      </c>
      <c r="I3377" s="4">
        <f t="shared" ca="1" si="52"/>
        <v>45203</v>
      </c>
      <c r="J3377" s="42">
        <f ca="1">TODAY()-qry_ProdData2_PDI_Cash_Exception_Application[[#This Row],[INSERT DATE]]</f>
        <v>7.7429282407392748</v>
      </c>
      <c r="K33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77">
        <f ca="1">qry_ProdData2_PDI_Cash_Exception_Application[[#This Row],[TODAY]]-qry_ProdData2_PDI_Cash_Exception_Application[[#This Row],[CHANGED ON]]</f>
        <v>5.7429282407392748</v>
      </c>
      <c r="M3377">
        <f ca="1">qry_ProdData2_PDI_Cash_Exception_Application[[#This Row],[TODAY]]-qry_ProdData2_PDI_Cash_Exception_Application[[#This Row],[CHANGED ON]]</f>
        <v>5.7429282407392748</v>
      </c>
      <c r="N3377">
        <f ca="1">qry_ProdData2_PDI_Cash_Exception_Application[[#This Row],[TODAY]]-qry_ProdData2_PDI_Cash_Exception_Application[[#This Row],[CHANGED ON]]</f>
        <v>5.7429282407392748</v>
      </c>
    </row>
    <row r="3378" spans="1:14" x14ac:dyDescent="0.35">
      <c r="A3378">
        <v>1006</v>
      </c>
      <c r="B3378" t="s">
        <v>60</v>
      </c>
      <c r="C3378" s="1">
        <v>45186.257071759261</v>
      </c>
      <c r="D3378" t="str">
        <f ca="1">VLOOKUP(qry_ProdData2_PDI_Cash_Exception_Application[[#This Row],[TYPE]],#REF!,2,FALSE)</f>
        <v>type40</v>
      </c>
      <c r="E3378">
        <v>577.23</v>
      </c>
      <c r="F3378" t="s">
        <v>50</v>
      </c>
      <c r="G3378" s="1">
        <f>qry_ProdData2_PDI_Cash_Exception_Application[[#This Row],[INSERT DATE]]+7</f>
        <v>45193.257071759261</v>
      </c>
      <c r="H3378" t="str">
        <f>VLOOKUP(qry_ProdData2_PDI_Cash_Exception_Application[[#This Row],[MARKET No]],'Site Allocation'!$B$2:$C$37,2,FALSE)</f>
        <v>Analyst2</v>
      </c>
      <c r="I3378" s="4">
        <f t="shared" ca="1" si="52"/>
        <v>45203</v>
      </c>
      <c r="J3378" s="42">
        <f ca="1">TODAY()-qry_ProdData2_PDI_Cash_Exception_Application[[#This Row],[INSERT DATE]]</f>
        <v>16.742928240739275</v>
      </c>
      <c r="K33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78">
        <f ca="1">qry_ProdData2_PDI_Cash_Exception_Application[[#This Row],[TODAY]]-qry_ProdData2_PDI_Cash_Exception_Application[[#This Row],[CHANGED ON]]</f>
        <v>9.7429282407392748</v>
      </c>
      <c r="M3378">
        <f ca="1">qry_ProdData2_PDI_Cash_Exception_Application[[#This Row],[TODAY]]-qry_ProdData2_PDI_Cash_Exception_Application[[#This Row],[CHANGED ON]]</f>
        <v>9.7429282407392748</v>
      </c>
      <c r="N3378">
        <f ca="1">qry_ProdData2_PDI_Cash_Exception_Application[[#This Row],[TODAY]]-qry_ProdData2_PDI_Cash_Exception_Application[[#This Row],[CHANGED ON]]</f>
        <v>9.7429282407392748</v>
      </c>
    </row>
    <row r="3379" spans="1:14" x14ac:dyDescent="0.35">
      <c r="A3379">
        <v>1018</v>
      </c>
      <c r="B3379" t="s">
        <v>72</v>
      </c>
      <c r="C3379" s="1">
        <v>45195.257071759261</v>
      </c>
      <c r="D3379" t="str">
        <f ca="1">VLOOKUP(qry_ProdData2_PDI_Cash_Exception_Application[[#This Row],[TYPE]],#REF!,2,FALSE)</f>
        <v>type54</v>
      </c>
      <c r="E3379">
        <v>702.1</v>
      </c>
      <c r="G3379" s="1">
        <f>qry_ProdData2_PDI_Cash_Exception_Application[[#This Row],[INSERT DATE]]+7</f>
        <v>45202.257071759261</v>
      </c>
      <c r="H3379" t="str">
        <f>VLOOKUP(qry_ProdData2_PDI_Cash_Exception_Application[[#This Row],[MARKET No]],'Site Allocation'!$B$2:$C$37,2,FALSE)</f>
        <v>Analyst4</v>
      </c>
      <c r="I3379" s="4">
        <f t="shared" ca="1" si="52"/>
        <v>45203</v>
      </c>
      <c r="J3379" s="42">
        <f ca="1">TODAY()-qry_ProdData2_PDI_Cash_Exception_Application[[#This Row],[INSERT DATE]]</f>
        <v>7.7429282407392748</v>
      </c>
      <c r="K33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79">
        <f ca="1">qry_ProdData2_PDI_Cash_Exception_Application[[#This Row],[TODAY]]-qry_ProdData2_PDI_Cash_Exception_Application[[#This Row],[CHANGED ON]]</f>
        <v>0.74292824073927477</v>
      </c>
      <c r="M3379">
        <f ca="1">qry_ProdData2_PDI_Cash_Exception_Application[[#This Row],[TODAY]]-qry_ProdData2_PDI_Cash_Exception_Application[[#This Row],[CHANGED ON]]</f>
        <v>0.74292824073927477</v>
      </c>
      <c r="N3379">
        <f ca="1">qry_ProdData2_PDI_Cash_Exception_Application[[#This Row],[TODAY]]-qry_ProdData2_PDI_Cash_Exception_Application[[#This Row],[CHANGED ON]]</f>
        <v>0.74292824073927477</v>
      </c>
    </row>
    <row r="3380" spans="1:14" x14ac:dyDescent="0.35">
      <c r="A3380">
        <v>1011</v>
      </c>
      <c r="B3380" t="s">
        <v>65</v>
      </c>
      <c r="C3380" s="1">
        <v>45195.257071759261</v>
      </c>
      <c r="D3380" t="str">
        <f ca="1">VLOOKUP(qry_ProdData2_PDI_Cash_Exception_Application[[#This Row],[TYPE]],#REF!,2,FALSE)</f>
        <v>type7</v>
      </c>
      <c r="E3380">
        <v>-10467.58</v>
      </c>
      <c r="G3380" s="1">
        <f>qry_ProdData2_PDI_Cash_Exception_Application[[#This Row],[INSERT DATE]]+5</f>
        <v>45200.257071759261</v>
      </c>
      <c r="H3380" t="str">
        <f>VLOOKUP(qry_ProdData2_PDI_Cash_Exception_Application[[#This Row],[MARKET No]],'Site Allocation'!$B$2:$C$37,2,FALSE)</f>
        <v>Analyst2</v>
      </c>
      <c r="I3380" s="4">
        <f t="shared" ca="1" si="52"/>
        <v>45203</v>
      </c>
      <c r="J3380" s="42">
        <f ca="1">TODAY()-qry_ProdData2_PDI_Cash_Exception_Application[[#This Row],[INSERT DATE]]</f>
        <v>7.7429282407392748</v>
      </c>
      <c r="K33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80">
        <f ca="1">qry_ProdData2_PDI_Cash_Exception_Application[[#This Row],[TODAY]]-qry_ProdData2_PDI_Cash_Exception_Application[[#This Row],[CHANGED ON]]</f>
        <v>2.7429282407392748</v>
      </c>
      <c r="M3380">
        <f ca="1">qry_ProdData2_PDI_Cash_Exception_Application[[#This Row],[TODAY]]-qry_ProdData2_PDI_Cash_Exception_Application[[#This Row],[CHANGED ON]]</f>
        <v>2.7429282407392748</v>
      </c>
      <c r="N3380">
        <f ca="1">qry_ProdData2_PDI_Cash_Exception_Application[[#This Row],[TODAY]]-qry_ProdData2_PDI_Cash_Exception_Application[[#This Row],[CHANGED ON]]</f>
        <v>2.7429282407392748</v>
      </c>
    </row>
    <row r="3381" spans="1:14" x14ac:dyDescent="0.35">
      <c r="A3381">
        <v>1035</v>
      </c>
      <c r="B3381" t="s">
        <v>89</v>
      </c>
      <c r="C3381" s="1">
        <v>45195.257071759261</v>
      </c>
      <c r="D3381" t="str">
        <f ca="1">VLOOKUP(qry_ProdData2_PDI_Cash_Exception_Application[[#This Row],[TYPE]],#REF!,2,FALSE)</f>
        <v>type40</v>
      </c>
      <c r="E3381">
        <v>-9749.56</v>
      </c>
      <c r="F3381" t="s">
        <v>48</v>
      </c>
      <c r="G3381" s="1">
        <f>qry_ProdData2_PDI_Cash_Exception_Application[[#This Row],[INSERT DATE]]+7</f>
        <v>45202.257071759261</v>
      </c>
      <c r="H3381" t="str">
        <f>VLOOKUP(qry_ProdData2_PDI_Cash_Exception_Application[[#This Row],[MARKET No]],'Site Allocation'!$B$2:$C$37,2,FALSE)</f>
        <v>Analyst6</v>
      </c>
      <c r="I3381" s="4">
        <f t="shared" ca="1" si="52"/>
        <v>45203</v>
      </c>
      <c r="J3381" s="42">
        <f ca="1">TODAY()-qry_ProdData2_PDI_Cash_Exception_Application[[#This Row],[INSERT DATE]]</f>
        <v>7.7429282407392748</v>
      </c>
      <c r="K33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81">
        <f ca="1">qry_ProdData2_PDI_Cash_Exception_Application[[#This Row],[TODAY]]-qry_ProdData2_PDI_Cash_Exception_Application[[#This Row],[CHANGED ON]]</f>
        <v>0.74292824073927477</v>
      </c>
      <c r="M3381">
        <f ca="1">qry_ProdData2_PDI_Cash_Exception_Application[[#This Row],[TODAY]]-qry_ProdData2_PDI_Cash_Exception_Application[[#This Row],[CHANGED ON]]</f>
        <v>0.74292824073927477</v>
      </c>
      <c r="N3381">
        <f ca="1">qry_ProdData2_PDI_Cash_Exception_Application[[#This Row],[TODAY]]-qry_ProdData2_PDI_Cash_Exception_Application[[#This Row],[CHANGED ON]]</f>
        <v>0.74292824073927477</v>
      </c>
    </row>
    <row r="3382" spans="1:14" x14ac:dyDescent="0.35">
      <c r="A3382">
        <v>1016</v>
      </c>
      <c r="B3382" t="s">
        <v>70</v>
      </c>
      <c r="C3382" s="1">
        <v>45194.257071759261</v>
      </c>
      <c r="D3382" t="str">
        <f ca="1">VLOOKUP(qry_ProdData2_PDI_Cash_Exception_Application[[#This Row],[TYPE]],#REF!,2,FALSE)</f>
        <v>type13</v>
      </c>
      <c r="E3382">
        <v>14346.1</v>
      </c>
      <c r="G3382" s="1">
        <f>qry_ProdData2_PDI_Cash_Exception_Application[[#This Row],[INSERT DATE]]+7</f>
        <v>45201.257071759261</v>
      </c>
      <c r="H3382" t="str">
        <f>VLOOKUP(qry_ProdData2_PDI_Cash_Exception_Application[[#This Row],[MARKET No]],'Site Allocation'!$B$2:$C$37,2,FALSE)</f>
        <v>Analyst3</v>
      </c>
      <c r="I3382" s="4">
        <f t="shared" ca="1" si="52"/>
        <v>45203</v>
      </c>
      <c r="J3382" s="42">
        <f ca="1">TODAY()-qry_ProdData2_PDI_Cash_Exception_Application[[#This Row],[INSERT DATE]]</f>
        <v>8.7429282407392748</v>
      </c>
      <c r="K33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82">
        <f ca="1">qry_ProdData2_PDI_Cash_Exception_Application[[#This Row],[TODAY]]-qry_ProdData2_PDI_Cash_Exception_Application[[#This Row],[CHANGED ON]]</f>
        <v>1.7429282407392748</v>
      </c>
      <c r="M3382">
        <f ca="1">qry_ProdData2_PDI_Cash_Exception_Application[[#This Row],[TODAY]]-qry_ProdData2_PDI_Cash_Exception_Application[[#This Row],[CHANGED ON]]</f>
        <v>1.7429282407392748</v>
      </c>
      <c r="N3382">
        <f ca="1">qry_ProdData2_PDI_Cash_Exception_Application[[#This Row],[TODAY]]-qry_ProdData2_PDI_Cash_Exception_Application[[#This Row],[CHANGED ON]]</f>
        <v>1.7429282407392748</v>
      </c>
    </row>
    <row r="3383" spans="1:14" x14ac:dyDescent="0.35">
      <c r="A3383">
        <v>1010</v>
      </c>
      <c r="B3383" t="s">
        <v>64</v>
      </c>
      <c r="C3383" s="1">
        <v>45194.257071759261</v>
      </c>
      <c r="D3383" t="str">
        <f ca="1">VLOOKUP(qry_ProdData2_PDI_Cash_Exception_Application[[#This Row],[TYPE]],#REF!,2,FALSE)</f>
        <v>type2</v>
      </c>
      <c r="E3383">
        <v>1670</v>
      </c>
      <c r="F3383" t="s">
        <v>51</v>
      </c>
      <c r="G3383" s="1">
        <f>qry_ProdData2_PDI_Cash_Exception_Application[[#This Row],[INSERT DATE]]+1</f>
        <v>45195.257071759261</v>
      </c>
      <c r="H3383" t="str">
        <f>VLOOKUP(qry_ProdData2_PDI_Cash_Exception_Application[[#This Row],[MARKET No]],'Site Allocation'!$B$2:$C$37,2,FALSE)</f>
        <v>Analyst2</v>
      </c>
      <c r="I3383" s="4">
        <f t="shared" ca="1" si="52"/>
        <v>45203</v>
      </c>
      <c r="J3383" s="42">
        <f ca="1">TODAY()-qry_ProdData2_PDI_Cash_Exception_Application[[#This Row],[INSERT DATE]]</f>
        <v>8.7429282407392748</v>
      </c>
      <c r="K33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83">
        <f ca="1">qry_ProdData2_PDI_Cash_Exception_Application[[#This Row],[TODAY]]-qry_ProdData2_PDI_Cash_Exception_Application[[#This Row],[CHANGED ON]]</f>
        <v>7.7429282407392748</v>
      </c>
      <c r="M3383">
        <f ca="1">qry_ProdData2_PDI_Cash_Exception_Application[[#This Row],[TODAY]]-qry_ProdData2_PDI_Cash_Exception_Application[[#This Row],[CHANGED ON]]</f>
        <v>7.7429282407392748</v>
      </c>
      <c r="N3383">
        <f ca="1">qry_ProdData2_PDI_Cash_Exception_Application[[#This Row],[TODAY]]-qry_ProdData2_PDI_Cash_Exception_Application[[#This Row],[CHANGED ON]]</f>
        <v>7.7429282407392748</v>
      </c>
    </row>
    <row r="3384" spans="1:14" x14ac:dyDescent="0.35">
      <c r="A3384">
        <v>1028</v>
      </c>
      <c r="B3384" t="s">
        <v>82</v>
      </c>
      <c r="C3384" s="1">
        <v>45195.257071759261</v>
      </c>
      <c r="D3384" t="str">
        <f ca="1">VLOOKUP(qry_ProdData2_PDI_Cash_Exception_Application[[#This Row],[TYPE]],#REF!,2,FALSE)</f>
        <v>type40</v>
      </c>
      <c r="E3384">
        <v>1429.73</v>
      </c>
      <c r="F3384" t="s">
        <v>48</v>
      </c>
      <c r="G3384" s="1">
        <f>qry_ProdData2_PDI_Cash_Exception_Application[[#This Row],[INSERT DATE]]+2</f>
        <v>45197.257071759261</v>
      </c>
      <c r="H3384" t="str">
        <f>VLOOKUP(qry_ProdData2_PDI_Cash_Exception_Application[[#This Row],[MARKET No]],'Site Allocation'!$B$2:$C$37,2,FALSE)</f>
        <v>Analyst5</v>
      </c>
      <c r="I3384" s="4">
        <f t="shared" ca="1" si="52"/>
        <v>45203</v>
      </c>
      <c r="J3384" s="42">
        <f ca="1">TODAY()-qry_ProdData2_PDI_Cash_Exception_Application[[#This Row],[INSERT DATE]]</f>
        <v>7.7429282407392748</v>
      </c>
      <c r="K33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84">
        <f ca="1">qry_ProdData2_PDI_Cash_Exception_Application[[#This Row],[TODAY]]-qry_ProdData2_PDI_Cash_Exception_Application[[#This Row],[CHANGED ON]]</f>
        <v>5.7429282407392748</v>
      </c>
      <c r="M3384">
        <f ca="1">qry_ProdData2_PDI_Cash_Exception_Application[[#This Row],[TODAY]]-qry_ProdData2_PDI_Cash_Exception_Application[[#This Row],[CHANGED ON]]</f>
        <v>5.7429282407392748</v>
      </c>
      <c r="N3384">
        <f ca="1">qry_ProdData2_PDI_Cash_Exception_Application[[#This Row],[TODAY]]-qry_ProdData2_PDI_Cash_Exception_Application[[#This Row],[CHANGED ON]]</f>
        <v>5.7429282407392748</v>
      </c>
    </row>
    <row r="3385" spans="1:14" x14ac:dyDescent="0.35">
      <c r="A3385">
        <v>1007</v>
      </c>
      <c r="B3385" t="s">
        <v>61</v>
      </c>
      <c r="C3385" s="1">
        <v>45195.257071759261</v>
      </c>
      <c r="D3385" t="str">
        <f ca="1">VLOOKUP(qry_ProdData2_PDI_Cash_Exception_Application[[#This Row],[TYPE]],#REF!,2,FALSE)</f>
        <v>type40</v>
      </c>
      <c r="E3385">
        <v>4205.7700000000004</v>
      </c>
      <c r="F3385" t="s">
        <v>47</v>
      </c>
      <c r="G3385" s="1">
        <f>qry_ProdData2_PDI_Cash_Exception_Application[[#This Row],[INSERT DATE]]+7</f>
        <v>45202.257071759261</v>
      </c>
      <c r="H3385" t="str">
        <f>VLOOKUP(qry_ProdData2_PDI_Cash_Exception_Application[[#This Row],[MARKET No]],'Site Allocation'!$B$2:$C$37,2,FALSE)</f>
        <v>Analyst2</v>
      </c>
      <c r="I3385" s="4">
        <f t="shared" ca="1" si="52"/>
        <v>45203</v>
      </c>
      <c r="J3385" s="42">
        <f ca="1">TODAY()-qry_ProdData2_PDI_Cash_Exception_Application[[#This Row],[INSERT DATE]]</f>
        <v>7.7429282407392748</v>
      </c>
      <c r="K33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85">
        <f ca="1">qry_ProdData2_PDI_Cash_Exception_Application[[#This Row],[TODAY]]-qry_ProdData2_PDI_Cash_Exception_Application[[#This Row],[CHANGED ON]]</f>
        <v>0.74292824073927477</v>
      </c>
      <c r="M3385">
        <f ca="1">qry_ProdData2_PDI_Cash_Exception_Application[[#This Row],[TODAY]]-qry_ProdData2_PDI_Cash_Exception_Application[[#This Row],[CHANGED ON]]</f>
        <v>0.74292824073927477</v>
      </c>
      <c r="N3385">
        <f ca="1">qry_ProdData2_PDI_Cash_Exception_Application[[#This Row],[TODAY]]-qry_ProdData2_PDI_Cash_Exception_Application[[#This Row],[CHANGED ON]]</f>
        <v>0.74292824073927477</v>
      </c>
    </row>
    <row r="3386" spans="1:14" x14ac:dyDescent="0.35">
      <c r="A3386">
        <v>1010</v>
      </c>
      <c r="B3386" t="s">
        <v>64</v>
      </c>
      <c r="C3386" s="1">
        <v>45193.257071759261</v>
      </c>
      <c r="D3386" t="str">
        <f ca="1">VLOOKUP(qry_ProdData2_PDI_Cash_Exception_Application[[#This Row],[TYPE]],#REF!,2,FALSE)</f>
        <v>type40</v>
      </c>
      <c r="E3386">
        <v>-427.46</v>
      </c>
      <c r="F3386" t="s">
        <v>47</v>
      </c>
      <c r="G3386" s="1">
        <f>qry_ProdData2_PDI_Cash_Exception_Application[[#This Row],[INSERT DATE]]+5</f>
        <v>45198.257071759261</v>
      </c>
      <c r="H3386" t="str">
        <f>VLOOKUP(qry_ProdData2_PDI_Cash_Exception_Application[[#This Row],[MARKET No]],'Site Allocation'!$B$2:$C$37,2,FALSE)</f>
        <v>Analyst2</v>
      </c>
      <c r="I3386" s="4">
        <f t="shared" ca="1" si="52"/>
        <v>45203</v>
      </c>
      <c r="J3386" s="42">
        <f ca="1">TODAY()-qry_ProdData2_PDI_Cash_Exception_Application[[#This Row],[INSERT DATE]]</f>
        <v>9.7429282407392748</v>
      </c>
      <c r="K33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86">
        <f ca="1">qry_ProdData2_PDI_Cash_Exception_Application[[#This Row],[TODAY]]-qry_ProdData2_PDI_Cash_Exception_Application[[#This Row],[CHANGED ON]]</f>
        <v>4.7429282407392748</v>
      </c>
      <c r="M3386">
        <f ca="1">qry_ProdData2_PDI_Cash_Exception_Application[[#This Row],[TODAY]]-qry_ProdData2_PDI_Cash_Exception_Application[[#This Row],[CHANGED ON]]</f>
        <v>4.7429282407392748</v>
      </c>
      <c r="N3386">
        <f ca="1">qry_ProdData2_PDI_Cash_Exception_Application[[#This Row],[TODAY]]-qry_ProdData2_PDI_Cash_Exception_Application[[#This Row],[CHANGED ON]]</f>
        <v>4.7429282407392748</v>
      </c>
    </row>
    <row r="3387" spans="1:14" x14ac:dyDescent="0.35">
      <c r="A3387">
        <v>1030</v>
      </c>
      <c r="B3387" t="s">
        <v>84</v>
      </c>
      <c r="C3387" s="1">
        <v>45194.257071759261</v>
      </c>
      <c r="D3387" t="str">
        <f ca="1">VLOOKUP(qry_ProdData2_PDI_Cash_Exception_Application[[#This Row],[TYPE]],#REF!,2,FALSE)</f>
        <v>type40</v>
      </c>
      <c r="E3387">
        <v>-429.35</v>
      </c>
      <c r="G3387" s="1">
        <f>qry_ProdData2_PDI_Cash_Exception_Application[[#This Row],[INSERT DATE]]+1</f>
        <v>45195.257071759261</v>
      </c>
      <c r="H3387" t="str">
        <f>VLOOKUP(qry_ProdData2_PDI_Cash_Exception_Application[[#This Row],[MARKET No]],'Site Allocation'!$B$2:$C$37,2,FALSE)</f>
        <v>Analyst6</v>
      </c>
      <c r="I3387" s="4">
        <f t="shared" ca="1" si="52"/>
        <v>45203</v>
      </c>
      <c r="J3387" s="42">
        <f ca="1">TODAY()-qry_ProdData2_PDI_Cash_Exception_Application[[#This Row],[INSERT DATE]]</f>
        <v>8.7429282407392748</v>
      </c>
      <c r="K33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87">
        <f ca="1">qry_ProdData2_PDI_Cash_Exception_Application[[#This Row],[TODAY]]-qry_ProdData2_PDI_Cash_Exception_Application[[#This Row],[CHANGED ON]]</f>
        <v>7.7429282407392748</v>
      </c>
      <c r="M3387">
        <f ca="1">qry_ProdData2_PDI_Cash_Exception_Application[[#This Row],[TODAY]]-qry_ProdData2_PDI_Cash_Exception_Application[[#This Row],[CHANGED ON]]</f>
        <v>7.7429282407392748</v>
      </c>
      <c r="N3387">
        <f ca="1">qry_ProdData2_PDI_Cash_Exception_Application[[#This Row],[TODAY]]-qry_ProdData2_PDI_Cash_Exception_Application[[#This Row],[CHANGED ON]]</f>
        <v>7.7429282407392748</v>
      </c>
    </row>
    <row r="3388" spans="1:14" x14ac:dyDescent="0.35">
      <c r="A3388">
        <v>1031</v>
      </c>
      <c r="B3388" t="s">
        <v>85</v>
      </c>
      <c r="C3388" s="1">
        <v>45194.257071759261</v>
      </c>
      <c r="D3388" t="str">
        <f ca="1">VLOOKUP(qry_ProdData2_PDI_Cash_Exception_Application[[#This Row],[TYPE]],#REF!,2,FALSE)</f>
        <v>type40</v>
      </c>
      <c r="E3388">
        <v>-1175.06</v>
      </c>
      <c r="G3388" s="1">
        <f>qry_ProdData2_PDI_Cash_Exception_Application[[#This Row],[INSERT DATE]]+2</f>
        <v>45196.257071759261</v>
      </c>
      <c r="H3388" t="str">
        <f>VLOOKUP(qry_ProdData2_PDI_Cash_Exception_Application[[#This Row],[MARKET No]],'Site Allocation'!$B$2:$C$37,2,FALSE)</f>
        <v>Analyst6</v>
      </c>
      <c r="I3388" s="4">
        <f t="shared" ca="1" si="52"/>
        <v>45203</v>
      </c>
      <c r="J3388" s="42">
        <f ca="1">TODAY()-qry_ProdData2_PDI_Cash_Exception_Application[[#This Row],[INSERT DATE]]</f>
        <v>8.7429282407392748</v>
      </c>
      <c r="K33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88">
        <f ca="1">qry_ProdData2_PDI_Cash_Exception_Application[[#This Row],[TODAY]]-qry_ProdData2_PDI_Cash_Exception_Application[[#This Row],[CHANGED ON]]</f>
        <v>6.7429282407392748</v>
      </c>
      <c r="M3388">
        <f ca="1">qry_ProdData2_PDI_Cash_Exception_Application[[#This Row],[TODAY]]-qry_ProdData2_PDI_Cash_Exception_Application[[#This Row],[CHANGED ON]]</f>
        <v>6.7429282407392748</v>
      </c>
      <c r="N3388">
        <f ca="1">qry_ProdData2_PDI_Cash_Exception_Application[[#This Row],[TODAY]]-qry_ProdData2_PDI_Cash_Exception_Application[[#This Row],[CHANGED ON]]</f>
        <v>6.7429282407392748</v>
      </c>
    </row>
    <row r="3389" spans="1:14" x14ac:dyDescent="0.35">
      <c r="A3389">
        <v>1014</v>
      </c>
      <c r="B3389" t="s">
        <v>68</v>
      </c>
      <c r="C3389" s="1">
        <v>45194.257071759261</v>
      </c>
      <c r="D3389" t="str">
        <f ca="1">VLOOKUP(qry_ProdData2_PDI_Cash_Exception_Application[[#This Row],[TYPE]],#REF!,2,FALSE)</f>
        <v>type40</v>
      </c>
      <c r="E3389">
        <v>-535.30999999999995</v>
      </c>
      <c r="F3389" t="s">
        <v>52</v>
      </c>
      <c r="G3389" s="1">
        <f>qry_ProdData2_PDI_Cash_Exception_Application[[#This Row],[INSERT DATE]]+7</f>
        <v>45201.257071759261</v>
      </c>
      <c r="H3389" t="str">
        <f>VLOOKUP(qry_ProdData2_PDI_Cash_Exception_Application[[#This Row],[MARKET No]],'Site Allocation'!$B$2:$C$37,2,FALSE)</f>
        <v>Analyst3</v>
      </c>
      <c r="I3389" s="4">
        <f t="shared" ca="1" si="52"/>
        <v>45203</v>
      </c>
      <c r="J3389" s="42">
        <f ca="1">TODAY()-qry_ProdData2_PDI_Cash_Exception_Application[[#This Row],[INSERT DATE]]</f>
        <v>8.7429282407392748</v>
      </c>
      <c r="K33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89">
        <f ca="1">qry_ProdData2_PDI_Cash_Exception_Application[[#This Row],[TODAY]]-qry_ProdData2_PDI_Cash_Exception_Application[[#This Row],[CHANGED ON]]</f>
        <v>1.7429282407392748</v>
      </c>
      <c r="M3389">
        <f ca="1">qry_ProdData2_PDI_Cash_Exception_Application[[#This Row],[TODAY]]-qry_ProdData2_PDI_Cash_Exception_Application[[#This Row],[CHANGED ON]]</f>
        <v>1.7429282407392748</v>
      </c>
      <c r="N3389">
        <f ca="1">qry_ProdData2_PDI_Cash_Exception_Application[[#This Row],[TODAY]]-qry_ProdData2_PDI_Cash_Exception_Application[[#This Row],[CHANGED ON]]</f>
        <v>1.7429282407392748</v>
      </c>
    </row>
    <row r="3390" spans="1:14" x14ac:dyDescent="0.35">
      <c r="A3390">
        <v>1004</v>
      </c>
      <c r="B3390" t="s">
        <v>58</v>
      </c>
      <c r="C3390" s="1">
        <v>45193.257071759261</v>
      </c>
      <c r="D3390" t="str">
        <f ca="1">VLOOKUP(qry_ProdData2_PDI_Cash_Exception_Application[[#This Row],[TYPE]],#REF!,2,FALSE)</f>
        <v>type13</v>
      </c>
      <c r="E3390">
        <v>28763.39</v>
      </c>
      <c r="F3390" t="s">
        <v>47</v>
      </c>
      <c r="G3390" s="1">
        <f>qry_ProdData2_PDI_Cash_Exception_Application[[#This Row],[INSERT DATE]]+1</f>
        <v>45194.257071759261</v>
      </c>
      <c r="H3390" t="str">
        <f>VLOOKUP(qry_ProdData2_PDI_Cash_Exception_Application[[#This Row],[MARKET No]],'Site Allocation'!$B$2:$C$37,2,FALSE)</f>
        <v>Analyst1</v>
      </c>
      <c r="I3390" s="4">
        <f t="shared" ca="1" si="52"/>
        <v>45203</v>
      </c>
      <c r="J3390" s="42">
        <f ca="1">TODAY()-qry_ProdData2_PDI_Cash_Exception_Application[[#This Row],[INSERT DATE]]</f>
        <v>9.7429282407392748</v>
      </c>
      <c r="K33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90">
        <f ca="1">qry_ProdData2_PDI_Cash_Exception_Application[[#This Row],[TODAY]]-qry_ProdData2_PDI_Cash_Exception_Application[[#This Row],[CHANGED ON]]</f>
        <v>8.7429282407392748</v>
      </c>
      <c r="M3390">
        <f ca="1">qry_ProdData2_PDI_Cash_Exception_Application[[#This Row],[TODAY]]-qry_ProdData2_PDI_Cash_Exception_Application[[#This Row],[CHANGED ON]]</f>
        <v>8.7429282407392748</v>
      </c>
      <c r="N3390">
        <f ca="1">qry_ProdData2_PDI_Cash_Exception_Application[[#This Row],[TODAY]]-qry_ProdData2_PDI_Cash_Exception_Application[[#This Row],[CHANGED ON]]</f>
        <v>8.7429282407392748</v>
      </c>
    </row>
    <row r="3391" spans="1:14" x14ac:dyDescent="0.35">
      <c r="A3391">
        <v>1032</v>
      </c>
      <c r="B3391" t="s">
        <v>86</v>
      </c>
      <c r="C3391" s="1">
        <v>45195.257071759261</v>
      </c>
      <c r="D3391" t="str">
        <f ca="1">VLOOKUP(qry_ProdData2_PDI_Cash_Exception_Application[[#This Row],[TYPE]],#REF!,2,FALSE)</f>
        <v>type40</v>
      </c>
      <c r="E3391">
        <v>4272.9799999999996</v>
      </c>
      <c r="G3391" s="1">
        <f>qry_ProdData2_PDI_Cash_Exception_Application[[#This Row],[INSERT DATE]]+2</f>
        <v>45197.257071759261</v>
      </c>
      <c r="H3391" t="str">
        <f>VLOOKUP(qry_ProdData2_PDI_Cash_Exception_Application[[#This Row],[MARKET No]],'Site Allocation'!$B$2:$C$37,2,FALSE)</f>
        <v>Analyst6</v>
      </c>
      <c r="I3391" s="4">
        <f t="shared" ca="1" si="52"/>
        <v>45203</v>
      </c>
      <c r="J3391" s="42">
        <f ca="1">TODAY()-qry_ProdData2_PDI_Cash_Exception_Application[[#This Row],[INSERT DATE]]</f>
        <v>7.7429282407392748</v>
      </c>
      <c r="K33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91">
        <f ca="1">qry_ProdData2_PDI_Cash_Exception_Application[[#This Row],[TODAY]]-qry_ProdData2_PDI_Cash_Exception_Application[[#This Row],[CHANGED ON]]</f>
        <v>5.7429282407392748</v>
      </c>
      <c r="M3391">
        <f ca="1">qry_ProdData2_PDI_Cash_Exception_Application[[#This Row],[TODAY]]-qry_ProdData2_PDI_Cash_Exception_Application[[#This Row],[CHANGED ON]]</f>
        <v>5.7429282407392748</v>
      </c>
      <c r="N3391">
        <f ca="1">qry_ProdData2_PDI_Cash_Exception_Application[[#This Row],[TODAY]]-qry_ProdData2_PDI_Cash_Exception_Application[[#This Row],[CHANGED ON]]</f>
        <v>5.7429282407392748</v>
      </c>
    </row>
    <row r="3392" spans="1:14" x14ac:dyDescent="0.35">
      <c r="A3392">
        <v>1009</v>
      </c>
      <c r="B3392" t="s">
        <v>63</v>
      </c>
      <c r="C3392" s="1">
        <v>45194.257071759261</v>
      </c>
      <c r="D3392" t="str">
        <f ca="1">VLOOKUP(qry_ProdData2_PDI_Cash_Exception_Application[[#This Row],[TYPE]],#REF!,2,FALSE)</f>
        <v>type40</v>
      </c>
      <c r="E3392">
        <v>510.68</v>
      </c>
      <c r="F3392" t="s">
        <v>51</v>
      </c>
      <c r="G3392" s="1">
        <f>qry_ProdData2_PDI_Cash_Exception_Application[[#This Row],[INSERT DATE]]+2</f>
        <v>45196.257071759261</v>
      </c>
      <c r="H3392" t="str">
        <f>VLOOKUP(qry_ProdData2_PDI_Cash_Exception_Application[[#This Row],[MARKET No]],'Site Allocation'!$B$2:$C$37,2,FALSE)</f>
        <v>Analyst2</v>
      </c>
      <c r="I3392" s="4">
        <f t="shared" ca="1" si="52"/>
        <v>45203</v>
      </c>
      <c r="J3392" s="42">
        <f ca="1">TODAY()-qry_ProdData2_PDI_Cash_Exception_Application[[#This Row],[INSERT DATE]]</f>
        <v>8.7429282407392748</v>
      </c>
      <c r="K33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92">
        <f ca="1">qry_ProdData2_PDI_Cash_Exception_Application[[#This Row],[TODAY]]-qry_ProdData2_PDI_Cash_Exception_Application[[#This Row],[CHANGED ON]]</f>
        <v>6.7429282407392748</v>
      </c>
      <c r="M3392">
        <f ca="1">qry_ProdData2_PDI_Cash_Exception_Application[[#This Row],[TODAY]]-qry_ProdData2_PDI_Cash_Exception_Application[[#This Row],[CHANGED ON]]</f>
        <v>6.7429282407392748</v>
      </c>
      <c r="N3392">
        <f ca="1">qry_ProdData2_PDI_Cash_Exception_Application[[#This Row],[TODAY]]-qry_ProdData2_PDI_Cash_Exception_Application[[#This Row],[CHANGED ON]]</f>
        <v>6.7429282407392748</v>
      </c>
    </row>
    <row r="3393" spans="1:14" x14ac:dyDescent="0.35">
      <c r="A3393">
        <v>1029</v>
      </c>
      <c r="B3393" t="s">
        <v>83</v>
      </c>
      <c r="C3393" s="1">
        <v>45195.257071759261</v>
      </c>
      <c r="D3393" t="str">
        <f ca="1">VLOOKUP(qry_ProdData2_PDI_Cash_Exception_Application[[#This Row],[TYPE]],#REF!,2,FALSE)</f>
        <v>type40</v>
      </c>
      <c r="E3393">
        <v>300.63</v>
      </c>
      <c r="F3393" t="s">
        <v>47</v>
      </c>
      <c r="G3393" s="1">
        <f>qry_ProdData2_PDI_Cash_Exception_Application[[#This Row],[INSERT DATE]]+2</f>
        <v>45197.257071759261</v>
      </c>
      <c r="H3393" t="str">
        <f>VLOOKUP(qry_ProdData2_PDI_Cash_Exception_Application[[#This Row],[MARKET No]],'Site Allocation'!$B$2:$C$37,2,FALSE)</f>
        <v>Analyst5</v>
      </c>
      <c r="I3393" s="4">
        <f t="shared" ca="1" si="52"/>
        <v>45203</v>
      </c>
      <c r="J3393" s="42">
        <f ca="1">TODAY()-qry_ProdData2_PDI_Cash_Exception_Application[[#This Row],[INSERT DATE]]</f>
        <v>7.7429282407392748</v>
      </c>
      <c r="K33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93">
        <f ca="1">qry_ProdData2_PDI_Cash_Exception_Application[[#This Row],[TODAY]]-qry_ProdData2_PDI_Cash_Exception_Application[[#This Row],[CHANGED ON]]</f>
        <v>5.7429282407392748</v>
      </c>
      <c r="M3393">
        <f ca="1">qry_ProdData2_PDI_Cash_Exception_Application[[#This Row],[TODAY]]-qry_ProdData2_PDI_Cash_Exception_Application[[#This Row],[CHANGED ON]]</f>
        <v>5.7429282407392748</v>
      </c>
      <c r="N3393">
        <f ca="1">qry_ProdData2_PDI_Cash_Exception_Application[[#This Row],[TODAY]]-qry_ProdData2_PDI_Cash_Exception_Application[[#This Row],[CHANGED ON]]</f>
        <v>5.7429282407392748</v>
      </c>
    </row>
    <row r="3394" spans="1:14" x14ac:dyDescent="0.35">
      <c r="A3394">
        <v>1000</v>
      </c>
      <c r="B3394" t="s">
        <v>54</v>
      </c>
      <c r="C3394" s="1">
        <v>45195.257071759261</v>
      </c>
      <c r="D3394" t="str">
        <f ca="1">VLOOKUP(qry_ProdData2_PDI_Cash_Exception_Application[[#This Row],[TYPE]],#REF!,2,FALSE)</f>
        <v>type40</v>
      </c>
      <c r="E3394">
        <v>-321.22000000000003</v>
      </c>
      <c r="F3394" t="s">
        <v>51</v>
      </c>
      <c r="G3394" s="1">
        <f>qry_ProdData2_PDI_Cash_Exception_Application[[#This Row],[INSERT DATE]]+7</f>
        <v>45202.257071759261</v>
      </c>
      <c r="H3394" t="str">
        <f>VLOOKUP(qry_ProdData2_PDI_Cash_Exception_Application[[#This Row],[MARKET No]],'Site Allocation'!$B$2:$C$37,2,FALSE)</f>
        <v>Analyst1</v>
      </c>
      <c r="I3394" s="4">
        <f t="shared" ref="I3394:I3457" ca="1" si="53">TODAY()</f>
        <v>45203</v>
      </c>
      <c r="J3394" s="42">
        <f ca="1">TODAY()-qry_ProdData2_PDI_Cash_Exception_Application[[#This Row],[INSERT DATE]]</f>
        <v>7.7429282407392748</v>
      </c>
      <c r="K33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94">
        <f ca="1">qry_ProdData2_PDI_Cash_Exception_Application[[#This Row],[TODAY]]-qry_ProdData2_PDI_Cash_Exception_Application[[#This Row],[CHANGED ON]]</f>
        <v>0.74292824073927477</v>
      </c>
      <c r="M3394">
        <f ca="1">qry_ProdData2_PDI_Cash_Exception_Application[[#This Row],[TODAY]]-qry_ProdData2_PDI_Cash_Exception_Application[[#This Row],[CHANGED ON]]</f>
        <v>0.74292824073927477</v>
      </c>
      <c r="N3394">
        <f ca="1">qry_ProdData2_PDI_Cash_Exception_Application[[#This Row],[TODAY]]-qry_ProdData2_PDI_Cash_Exception_Application[[#This Row],[CHANGED ON]]</f>
        <v>0.74292824073927477</v>
      </c>
    </row>
    <row r="3395" spans="1:14" x14ac:dyDescent="0.35">
      <c r="A3395">
        <v>1004</v>
      </c>
      <c r="B3395" t="s">
        <v>58</v>
      </c>
      <c r="C3395" s="1">
        <v>45195.257071759261</v>
      </c>
      <c r="D3395" t="str">
        <f ca="1">VLOOKUP(qry_ProdData2_PDI_Cash_Exception_Application[[#This Row],[TYPE]],#REF!,2,FALSE)</f>
        <v>type40</v>
      </c>
      <c r="E3395">
        <v>-421.37</v>
      </c>
      <c r="F3395" t="s">
        <v>47</v>
      </c>
      <c r="G3395" s="1">
        <f>qry_ProdData2_PDI_Cash_Exception_Application[[#This Row],[INSERT DATE]]+5</f>
        <v>45200.257071759261</v>
      </c>
      <c r="H3395" t="str">
        <f>VLOOKUP(qry_ProdData2_PDI_Cash_Exception_Application[[#This Row],[MARKET No]],'Site Allocation'!$B$2:$C$37,2,FALSE)</f>
        <v>Analyst1</v>
      </c>
      <c r="I3395" s="4">
        <f t="shared" ca="1" si="53"/>
        <v>45203</v>
      </c>
      <c r="J3395" s="42">
        <f ca="1">TODAY()-qry_ProdData2_PDI_Cash_Exception_Application[[#This Row],[INSERT DATE]]</f>
        <v>7.7429282407392748</v>
      </c>
      <c r="K33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95">
        <f ca="1">qry_ProdData2_PDI_Cash_Exception_Application[[#This Row],[TODAY]]-qry_ProdData2_PDI_Cash_Exception_Application[[#This Row],[CHANGED ON]]</f>
        <v>2.7429282407392748</v>
      </c>
      <c r="M3395">
        <f ca="1">qry_ProdData2_PDI_Cash_Exception_Application[[#This Row],[TODAY]]-qry_ProdData2_PDI_Cash_Exception_Application[[#This Row],[CHANGED ON]]</f>
        <v>2.7429282407392748</v>
      </c>
      <c r="N3395">
        <f ca="1">qry_ProdData2_PDI_Cash_Exception_Application[[#This Row],[TODAY]]-qry_ProdData2_PDI_Cash_Exception_Application[[#This Row],[CHANGED ON]]</f>
        <v>2.7429282407392748</v>
      </c>
    </row>
    <row r="3396" spans="1:14" x14ac:dyDescent="0.35">
      <c r="A3396">
        <v>1014</v>
      </c>
      <c r="B3396" t="s">
        <v>68</v>
      </c>
      <c r="C3396" s="1">
        <v>45182.257071759261</v>
      </c>
      <c r="D3396" t="str">
        <f ca="1">VLOOKUP(qry_ProdData2_PDI_Cash_Exception_Application[[#This Row],[TYPE]],#REF!,2,FALSE)</f>
        <v>type18</v>
      </c>
      <c r="E3396">
        <v>1225.26</v>
      </c>
      <c r="F3396" t="s">
        <v>52</v>
      </c>
      <c r="G3396" s="1">
        <f>qry_ProdData2_PDI_Cash_Exception_Application[[#This Row],[INSERT DATE]]+1</f>
        <v>45183.257071759261</v>
      </c>
      <c r="H3396" t="str">
        <f>VLOOKUP(qry_ProdData2_PDI_Cash_Exception_Application[[#This Row],[MARKET No]],'Site Allocation'!$B$2:$C$37,2,FALSE)</f>
        <v>Analyst3</v>
      </c>
      <c r="I3396" s="4">
        <f t="shared" ca="1" si="53"/>
        <v>45203</v>
      </c>
      <c r="J3396" s="42">
        <f ca="1">TODAY()-qry_ProdData2_PDI_Cash_Exception_Application[[#This Row],[INSERT DATE]]</f>
        <v>20.742928240739275</v>
      </c>
      <c r="K33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96">
        <f ca="1">qry_ProdData2_PDI_Cash_Exception_Application[[#This Row],[TODAY]]-qry_ProdData2_PDI_Cash_Exception_Application[[#This Row],[CHANGED ON]]</f>
        <v>19.742928240739275</v>
      </c>
      <c r="M3396">
        <f ca="1">qry_ProdData2_PDI_Cash_Exception_Application[[#This Row],[TODAY]]-qry_ProdData2_PDI_Cash_Exception_Application[[#This Row],[CHANGED ON]]</f>
        <v>19.742928240739275</v>
      </c>
      <c r="N3396">
        <f ca="1">qry_ProdData2_PDI_Cash_Exception_Application[[#This Row],[TODAY]]-qry_ProdData2_PDI_Cash_Exception_Application[[#This Row],[CHANGED ON]]</f>
        <v>19.742928240739275</v>
      </c>
    </row>
    <row r="3397" spans="1:14" x14ac:dyDescent="0.35">
      <c r="A3397">
        <v>1032</v>
      </c>
      <c r="B3397" t="s">
        <v>86</v>
      </c>
      <c r="C3397" s="1">
        <v>45195.257071759261</v>
      </c>
      <c r="D3397" t="str">
        <f ca="1">VLOOKUP(qry_ProdData2_PDI_Cash_Exception_Application[[#This Row],[TYPE]],#REF!,2,FALSE)</f>
        <v>type22</v>
      </c>
      <c r="E3397">
        <v>1049.8699999999999</v>
      </c>
      <c r="F3397" t="s">
        <v>48</v>
      </c>
      <c r="G3397" s="1">
        <f>qry_ProdData2_PDI_Cash_Exception_Application[[#This Row],[INSERT DATE]]+7</f>
        <v>45202.257071759261</v>
      </c>
      <c r="H3397" t="str">
        <f>VLOOKUP(qry_ProdData2_PDI_Cash_Exception_Application[[#This Row],[MARKET No]],'Site Allocation'!$B$2:$C$37,2,FALSE)</f>
        <v>Analyst6</v>
      </c>
      <c r="I3397" s="4">
        <f t="shared" ca="1" si="53"/>
        <v>45203</v>
      </c>
      <c r="J3397" s="42">
        <f ca="1">TODAY()-qry_ProdData2_PDI_Cash_Exception_Application[[#This Row],[INSERT DATE]]</f>
        <v>7.7429282407392748</v>
      </c>
      <c r="K33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97">
        <f ca="1">qry_ProdData2_PDI_Cash_Exception_Application[[#This Row],[TODAY]]-qry_ProdData2_PDI_Cash_Exception_Application[[#This Row],[CHANGED ON]]</f>
        <v>0.74292824073927477</v>
      </c>
      <c r="M3397">
        <f ca="1">qry_ProdData2_PDI_Cash_Exception_Application[[#This Row],[TODAY]]-qry_ProdData2_PDI_Cash_Exception_Application[[#This Row],[CHANGED ON]]</f>
        <v>0.74292824073927477</v>
      </c>
      <c r="N3397">
        <f ca="1">qry_ProdData2_PDI_Cash_Exception_Application[[#This Row],[TODAY]]-qry_ProdData2_PDI_Cash_Exception_Application[[#This Row],[CHANGED ON]]</f>
        <v>0.74292824073927477</v>
      </c>
    </row>
    <row r="3398" spans="1:14" x14ac:dyDescent="0.35">
      <c r="A3398">
        <v>1006</v>
      </c>
      <c r="B3398" t="s">
        <v>60</v>
      </c>
      <c r="C3398" s="1">
        <v>45193.257071759261</v>
      </c>
      <c r="D3398" t="str">
        <f ca="1">VLOOKUP(qry_ProdData2_PDI_Cash_Exception_Application[[#This Row],[TYPE]],#REF!,2,FALSE)</f>
        <v>type40</v>
      </c>
      <c r="E3398">
        <v>-2756.33</v>
      </c>
      <c r="F3398" t="s">
        <v>51</v>
      </c>
      <c r="G3398" s="1">
        <f>qry_ProdData2_PDI_Cash_Exception_Application[[#This Row],[INSERT DATE]]+7</f>
        <v>45200.257071759261</v>
      </c>
      <c r="H3398" t="str">
        <f>VLOOKUP(qry_ProdData2_PDI_Cash_Exception_Application[[#This Row],[MARKET No]],'Site Allocation'!$B$2:$C$37,2,FALSE)</f>
        <v>Analyst2</v>
      </c>
      <c r="I3398" s="4">
        <f t="shared" ca="1" si="53"/>
        <v>45203</v>
      </c>
      <c r="J3398" s="42">
        <f ca="1">TODAY()-qry_ProdData2_PDI_Cash_Exception_Application[[#This Row],[INSERT DATE]]</f>
        <v>9.7429282407392748</v>
      </c>
      <c r="K33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398">
        <f ca="1">qry_ProdData2_PDI_Cash_Exception_Application[[#This Row],[TODAY]]-qry_ProdData2_PDI_Cash_Exception_Application[[#This Row],[CHANGED ON]]</f>
        <v>2.7429282407392748</v>
      </c>
      <c r="M3398">
        <f ca="1">qry_ProdData2_PDI_Cash_Exception_Application[[#This Row],[TODAY]]-qry_ProdData2_PDI_Cash_Exception_Application[[#This Row],[CHANGED ON]]</f>
        <v>2.7429282407392748</v>
      </c>
      <c r="N3398">
        <f ca="1">qry_ProdData2_PDI_Cash_Exception_Application[[#This Row],[TODAY]]-qry_ProdData2_PDI_Cash_Exception_Application[[#This Row],[CHANGED ON]]</f>
        <v>2.7429282407392748</v>
      </c>
    </row>
    <row r="3399" spans="1:14" x14ac:dyDescent="0.35">
      <c r="A3399">
        <v>1033</v>
      </c>
      <c r="B3399" t="s">
        <v>87</v>
      </c>
      <c r="C3399" s="1">
        <v>45194.257071759261</v>
      </c>
      <c r="D3399" t="str">
        <f ca="1">VLOOKUP(qry_ProdData2_PDI_Cash_Exception_Application[[#This Row],[TYPE]],#REF!,2,FALSE)</f>
        <v>type40</v>
      </c>
      <c r="E3399">
        <v>-636.04999999999995</v>
      </c>
      <c r="F3399" t="s">
        <v>48</v>
      </c>
      <c r="G3399" s="1">
        <f>qry_ProdData2_PDI_Cash_Exception_Application[[#This Row],[INSERT DATE]]+2</f>
        <v>45196.257071759261</v>
      </c>
      <c r="H3399" t="str">
        <f>VLOOKUP(qry_ProdData2_PDI_Cash_Exception_Application[[#This Row],[MARKET No]],'Site Allocation'!$B$2:$C$37,2,FALSE)</f>
        <v>Analyst6</v>
      </c>
      <c r="I3399" s="4">
        <f t="shared" ca="1" si="53"/>
        <v>45203</v>
      </c>
      <c r="J3399" s="42">
        <f ca="1">TODAY()-qry_ProdData2_PDI_Cash_Exception_Application[[#This Row],[INSERT DATE]]</f>
        <v>8.7429282407392748</v>
      </c>
      <c r="K33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399">
        <f ca="1">qry_ProdData2_PDI_Cash_Exception_Application[[#This Row],[TODAY]]-qry_ProdData2_PDI_Cash_Exception_Application[[#This Row],[CHANGED ON]]</f>
        <v>6.7429282407392748</v>
      </c>
      <c r="M3399">
        <f ca="1">qry_ProdData2_PDI_Cash_Exception_Application[[#This Row],[TODAY]]-qry_ProdData2_PDI_Cash_Exception_Application[[#This Row],[CHANGED ON]]</f>
        <v>6.7429282407392748</v>
      </c>
      <c r="N3399">
        <f ca="1">qry_ProdData2_PDI_Cash_Exception_Application[[#This Row],[TODAY]]-qry_ProdData2_PDI_Cash_Exception_Application[[#This Row],[CHANGED ON]]</f>
        <v>6.7429282407392748</v>
      </c>
    </row>
    <row r="3400" spans="1:14" x14ac:dyDescent="0.35">
      <c r="A3400">
        <v>1008</v>
      </c>
      <c r="B3400" t="s">
        <v>62</v>
      </c>
      <c r="C3400" s="1">
        <v>45193.257071759261</v>
      </c>
      <c r="D3400" t="str">
        <f ca="1">VLOOKUP(qry_ProdData2_PDI_Cash_Exception_Application[[#This Row],[TYPE]],#REF!,2,FALSE)</f>
        <v>type40</v>
      </c>
      <c r="E3400">
        <v>2270.73</v>
      </c>
      <c r="G3400" s="1">
        <f>qry_ProdData2_PDI_Cash_Exception_Application[[#This Row],[INSERT DATE]]+1</f>
        <v>45194.257071759261</v>
      </c>
      <c r="H3400" t="str">
        <f>VLOOKUP(qry_ProdData2_PDI_Cash_Exception_Application[[#This Row],[MARKET No]],'Site Allocation'!$B$2:$C$37,2,FALSE)</f>
        <v>Analyst2</v>
      </c>
      <c r="I3400" s="4">
        <f t="shared" ca="1" si="53"/>
        <v>45203</v>
      </c>
      <c r="J3400" s="42">
        <f ca="1">TODAY()-qry_ProdData2_PDI_Cash_Exception_Application[[#This Row],[INSERT DATE]]</f>
        <v>9.7429282407392748</v>
      </c>
      <c r="K34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00">
        <f ca="1">qry_ProdData2_PDI_Cash_Exception_Application[[#This Row],[TODAY]]-qry_ProdData2_PDI_Cash_Exception_Application[[#This Row],[CHANGED ON]]</f>
        <v>8.7429282407392748</v>
      </c>
      <c r="M3400">
        <f ca="1">qry_ProdData2_PDI_Cash_Exception_Application[[#This Row],[TODAY]]-qry_ProdData2_PDI_Cash_Exception_Application[[#This Row],[CHANGED ON]]</f>
        <v>8.7429282407392748</v>
      </c>
      <c r="N3400">
        <f ca="1">qry_ProdData2_PDI_Cash_Exception_Application[[#This Row],[TODAY]]-qry_ProdData2_PDI_Cash_Exception_Application[[#This Row],[CHANGED ON]]</f>
        <v>8.7429282407392748</v>
      </c>
    </row>
    <row r="3401" spans="1:14" x14ac:dyDescent="0.35">
      <c r="A3401">
        <v>1031</v>
      </c>
      <c r="B3401" t="s">
        <v>85</v>
      </c>
      <c r="C3401" s="1">
        <v>45184.257071759261</v>
      </c>
      <c r="D3401" t="str">
        <f ca="1">VLOOKUP(qry_ProdData2_PDI_Cash_Exception_Application[[#This Row],[TYPE]],#REF!,2,FALSE)</f>
        <v>type40</v>
      </c>
      <c r="E3401">
        <v>548.98</v>
      </c>
      <c r="F3401" t="s">
        <v>50</v>
      </c>
      <c r="G3401" s="1">
        <f>qry_ProdData2_PDI_Cash_Exception_Application[[#This Row],[INSERT DATE]]+1</f>
        <v>45185.257071759261</v>
      </c>
      <c r="H3401" t="str">
        <f>VLOOKUP(qry_ProdData2_PDI_Cash_Exception_Application[[#This Row],[MARKET No]],'Site Allocation'!$B$2:$C$37,2,FALSE)</f>
        <v>Analyst6</v>
      </c>
      <c r="I3401" s="4">
        <f t="shared" ca="1" si="53"/>
        <v>45203</v>
      </c>
      <c r="J3401" s="42">
        <f ca="1">TODAY()-qry_ProdData2_PDI_Cash_Exception_Application[[#This Row],[INSERT DATE]]</f>
        <v>18.742928240739275</v>
      </c>
      <c r="K34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01">
        <f ca="1">qry_ProdData2_PDI_Cash_Exception_Application[[#This Row],[TODAY]]-qry_ProdData2_PDI_Cash_Exception_Application[[#This Row],[CHANGED ON]]</f>
        <v>17.742928240739275</v>
      </c>
      <c r="M3401">
        <f ca="1">qry_ProdData2_PDI_Cash_Exception_Application[[#This Row],[TODAY]]-qry_ProdData2_PDI_Cash_Exception_Application[[#This Row],[CHANGED ON]]</f>
        <v>17.742928240739275</v>
      </c>
      <c r="N3401">
        <f ca="1">qry_ProdData2_PDI_Cash_Exception_Application[[#This Row],[TODAY]]-qry_ProdData2_PDI_Cash_Exception_Application[[#This Row],[CHANGED ON]]</f>
        <v>17.742928240739275</v>
      </c>
    </row>
    <row r="3402" spans="1:14" x14ac:dyDescent="0.35">
      <c r="A3402">
        <v>1011</v>
      </c>
      <c r="B3402" t="s">
        <v>65</v>
      </c>
      <c r="C3402" s="1">
        <v>45195.257071759261</v>
      </c>
      <c r="D3402" t="str">
        <f ca="1">VLOOKUP(qry_ProdData2_PDI_Cash_Exception_Application[[#This Row],[TYPE]],#REF!,2,FALSE)</f>
        <v>type40</v>
      </c>
      <c r="E3402">
        <v>1004.06</v>
      </c>
      <c r="F3402" t="s">
        <v>51</v>
      </c>
      <c r="G3402" s="1">
        <f>qry_ProdData2_PDI_Cash_Exception_Application[[#This Row],[INSERT DATE]]+1</f>
        <v>45196.257071759261</v>
      </c>
      <c r="H3402" t="str">
        <f>VLOOKUP(qry_ProdData2_PDI_Cash_Exception_Application[[#This Row],[MARKET No]],'Site Allocation'!$B$2:$C$37,2,FALSE)</f>
        <v>Analyst2</v>
      </c>
      <c r="I3402" s="4">
        <f t="shared" ca="1" si="53"/>
        <v>45203</v>
      </c>
      <c r="J3402" s="42">
        <f ca="1">TODAY()-qry_ProdData2_PDI_Cash_Exception_Application[[#This Row],[INSERT DATE]]</f>
        <v>7.7429282407392748</v>
      </c>
      <c r="K34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02">
        <f ca="1">qry_ProdData2_PDI_Cash_Exception_Application[[#This Row],[TODAY]]-qry_ProdData2_PDI_Cash_Exception_Application[[#This Row],[CHANGED ON]]</f>
        <v>6.7429282407392748</v>
      </c>
      <c r="M3402">
        <f ca="1">qry_ProdData2_PDI_Cash_Exception_Application[[#This Row],[TODAY]]-qry_ProdData2_PDI_Cash_Exception_Application[[#This Row],[CHANGED ON]]</f>
        <v>6.7429282407392748</v>
      </c>
      <c r="N3402">
        <f ca="1">qry_ProdData2_PDI_Cash_Exception_Application[[#This Row],[TODAY]]-qry_ProdData2_PDI_Cash_Exception_Application[[#This Row],[CHANGED ON]]</f>
        <v>6.7429282407392748</v>
      </c>
    </row>
    <row r="3403" spans="1:14" x14ac:dyDescent="0.35">
      <c r="A3403">
        <v>1025</v>
      </c>
      <c r="B3403" t="s">
        <v>79</v>
      </c>
      <c r="C3403" s="1">
        <v>45185.257071759261</v>
      </c>
      <c r="D3403" t="str">
        <f ca="1">VLOOKUP(qry_ProdData2_PDI_Cash_Exception_Application[[#This Row],[TYPE]],#REF!,2,FALSE)</f>
        <v>type12</v>
      </c>
      <c r="E3403">
        <v>60</v>
      </c>
      <c r="F3403" t="s">
        <v>52</v>
      </c>
      <c r="G3403" s="1">
        <f>qry_ProdData2_PDI_Cash_Exception_Application[[#This Row],[INSERT DATE]]+1</f>
        <v>45186.257071759261</v>
      </c>
      <c r="H3403" t="str">
        <f>VLOOKUP(qry_ProdData2_PDI_Cash_Exception_Application[[#This Row],[MARKET No]],'Site Allocation'!$B$2:$C$37,2,FALSE)</f>
        <v>Analyst5</v>
      </c>
      <c r="I3403" s="4">
        <f t="shared" ca="1" si="53"/>
        <v>45203</v>
      </c>
      <c r="J3403" s="42">
        <f ca="1">TODAY()-qry_ProdData2_PDI_Cash_Exception_Application[[#This Row],[INSERT DATE]]</f>
        <v>17.742928240739275</v>
      </c>
      <c r="K34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03">
        <f ca="1">qry_ProdData2_PDI_Cash_Exception_Application[[#This Row],[TODAY]]-qry_ProdData2_PDI_Cash_Exception_Application[[#This Row],[CHANGED ON]]</f>
        <v>16.742928240739275</v>
      </c>
      <c r="M3403">
        <f ca="1">qry_ProdData2_PDI_Cash_Exception_Application[[#This Row],[TODAY]]-qry_ProdData2_PDI_Cash_Exception_Application[[#This Row],[CHANGED ON]]</f>
        <v>16.742928240739275</v>
      </c>
      <c r="N3403">
        <f ca="1">qry_ProdData2_PDI_Cash_Exception_Application[[#This Row],[TODAY]]-qry_ProdData2_PDI_Cash_Exception_Application[[#This Row],[CHANGED ON]]</f>
        <v>16.742928240739275</v>
      </c>
    </row>
    <row r="3404" spans="1:14" x14ac:dyDescent="0.35">
      <c r="A3404">
        <v>1029</v>
      </c>
      <c r="B3404" t="s">
        <v>83</v>
      </c>
      <c r="C3404" s="1">
        <v>45186.257071759261</v>
      </c>
      <c r="D3404" t="str">
        <f ca="1">VLOOKUP(qry_ProdData2_PDI_Cash_Exception_Application[[#This Row],[TYPE]],#REF!,2,FALSE)</f>
        <v>type40</v>
      </c>
      <c r="E3404">
        <v>-1271.98</v>
      </c>
      <c r="F3404" t="s">
        <v>50</v>
      </c>
      <c r="G3404" s="1">
        <f>qry_ProdData2_PDI_Cash_Exception_Application[[#This Row],[INSERT DATE]]+1</f>
        <v>45187.257071759261</v>
      </c>
      <c r="H3404" t="str">
        <f>VLOOKUP(qry_ProdData2_PDI_Cash_Exception_Application[[#This Row],[MARKET No]],'Site Allocation'!$B$2:$C$37,2,FALSE)</f>
        <v>Analyst5</v>
      </c>
      <c r="I3404" s="4">
        <f t="shared" ca="1" si="53"/>
        <v>45203</v>
      </c>
      <c r="J3404" s="42">
        <f ca="1">TODAY()-qry_ProdData2_PDI_Cash_Exception_Application[[#This Row],[INSERT DATE]]</f>
        <v>16.742928240739275</v>
      </c>
      <c r="K34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04">
        <f ca="1">qry_ProdData2_PDI_Cash_Exception_Application[[#This Row],[TODAY]]-qry_ProdData2_PDI_Cash_Exception_Application[[#This Row],[CHANGED ON]]</f>
        <v>15.742928240739275</v>
      </c>
      <c r="M3404">
        <f ca="1">qry_ProdData2_PDI_Cash_Exception_Application[[#This Row],[TODAY]]-qry_ProdData2_PDI_Cash_Exception_Application[[#This Row],[CHANGED ON]]</f>
        <v>15.742928240739275</v>
      </c>
      <c r="N3404">
        <f ca="1">qry_ProdData2_PDI_Cash_Exception_Application[[#This Row],[TODAY]]-qry_ProdData2_PDI_Cash_Exception_Application[[#This Row],[CHANGED ON]]</f>
        <v>15.742928240739275</v>
      </c>
    </row>
    <row r="3405" spans="1:14" x14ac:dyDescent="0.35">
      <c r="A3405">
        <v>1029</v>
      </c>
      <c r="B3405" t="s">
        <v>83</v>
      </c>
      <c r="C3405" s="1">
        <v>45193.257071759261</v>
      </c>
      <c r="D3405" t="str">
        <f ca="1">VLOOKUP(qry_ProdData2_PDI_Cash_Exception_Application[[#This Row],[TYPE]],#REF!,2,FALSE)</f>
        <v>type28</v>
      </c>
      <c r="E3405">
        <v>1146.76</v>
      </c>
      <c r="F3405" t="s">
        <v>51</v>
      </c>
      <c r="G3405" s="1">
        <f>qry_ProdData2_PDI_Cash_Exception_Application[[#This Row],[INSERT DATE]]+2</f>
        <v>45195.257071759261</v>
      </c>
      <c r="H3405" t="str">
        <f>VLOOKUP(qry_ProdData2_PDI_Cash_Exception_Application[[#This Row],[MARKET No]],'Site Allocation'!$B$2:$C$37,2,FALSE)</f>
        <v>Analyst5</v>
      </c>
      <c r="I3405" s="4">
        <f t="shared" ca="1" si="53"/>
        <v>45203</v>
      </c>
      <c r="J3405" s="42">
        <f ca="1">TODAY()-qry_ProdData2_PDI_Cash_Exception_Application[[#This Row],[INSERT DATE]]</f>
        <v>9.7429282407392748</v>
      </c>
      <c r="K34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05">
        <f ca="1">qry_ProdData2_PDI_Cash_Exception_Application[[#This Row],[TODAY]]-qry_ProdData2_PDI_Cash_Exception_Application[[#This Row],[CHANGED ON]]</f>
        <v>7.7429282407392748</v>
      </c>
      <c r="M3405">
        <f ca="1">qry_ProdData2_PDI_Cash_Exception_Application[[#This Row],[TODAY]]-qry_ProdData2_PDI_Cash_Exception_Application[[#This Row],[CHANGED ON]]</f>
        <v>7.7429282407392748</v>
      </c>
      <c r="N3405">
        <f ca="1">qry_ProdData2_PDI_Cash_Exception_Application[[#This Row],[TODAY]]-qry_ProdData2_PDI_Cash_Exception_Application[[#This Row],[CHANGED ON]]</f>
        <v>7.7429282407392748</v>
      </c>
    </row>
    <row r="3406" spans="1:14" x14ac:dyDescent="0.35">
      <c r="A3406">
        <v>1003</v>
      </c>
      <c r="B3406" t="s">
        <v>57</v>
      </c>
      <c r="C3406" s="1">
        <v>45187.257071759261</v>
      </c>
      <c r="D3406" t="str">
        <f ca="1">VLOOKUP(qry_ProdData2_PDI_Cash_Exception_Application[[#This Row],[TYPE]],#REF!,2,FALSE)</f>
        <v>type40</v>
      </c>
      <c r="E3406">
        <v>4.01</v>
      </c>
      <c r="F3406" t="s">
        <v>52</v>
      </c>
      <c r="G3406" s="1">
        <f>qry_ProdData2_PDI_Cash_Exception_Application[[#This Row],[INSERT DATE]]+1</f>
        <v>45188.257071759261</v>
      </c>
      <c r="H3406" t="str">
        <f>VLOOKUP(qry_ProdData2_PDI_Cash_Exception_Application[[#This Row],[MARKET No]],'Site Allocation'!$B$2:$C$37,2,FALSE)</f>
        <v>Analyst1</v>
      </c>
      <c r="I3406" s="4">
        <f t="shared" ca="1" si="53"/>
        <v>45203</v>
      </c>
      <c r="J3406" s="42">
        <f ca="1">TODAY()-qry_ProdData2_PDI_Cash_Exception_Application[[#This Row],[INSERT DATE]]</f>
        <v>15.742928240739275</v>
      </c>
      <c r="K34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06">
        <f ca="1">qry_ProdData2_PDI_Cash_Exception_Application[[#This Row],[TODAY]]-qry_ProdData2_PDI_Cash_Exception_Application[[#This Row],[CHANGED ON]]</f>
        <v>14.742928240739275</v>
      </c>
      <c r="M3406">
        <f ca="1">qry_ProdData2_PDI_Cash_Exception_Application[[#This Row],[TODAY]]-qry_ProdData2_PDI_Cash_Exception_Application[[#This Row],[CHANGED ON]]</f>
        <v>14.742928240739275</v>
      </c>
      <c r="N3406">
        <f ca="1">qry_ProdData2_PDI_Cash_Exception_Application[[#This Row],[TODAY]]-qry_ProdData2_PDI_Cash_Exception_Application[[#This Row],[CHANGED ON]]</f>
        <v>14.742928240739275</v>
      </c>
    </row>
    <row r="3407" spans="1:14" x14ac:dyDescent="0.35">
      <c r="A3407">
        <v>1027</v>
      </c>
      <c r="B3407" t="s">
        <v>81</v>
      </c>
      <c r="C3407" s="1">
        <v>45193.257071759261</v>
      </c>
      <c r="D3407" t="str">
        <f ca="1">VLOOKUP(qry_ProdData2_PDI_Cash_Exception_Application[[#This Row],[TYPE]],#REF!,2,FALSE)</f>
        <v>type13</v>
      </c>
      <c r="E3407">
        <v>21080.36</v>
      </c>
      <c r="F3407" t="s">
        <v>51</v>
      </c>
      <c r="G3407" s="1">
        <f>qry_ProdData2_PDI_Cash_Exception_Application[[#This Row],[INSERT DATE]]+7</f>
        <v>45200.257071759261</v>
      </c>
      <c r="H3407" t="str">
        <f>VLOOKUP(qry_ProdData2_PDI_Cash_Exception_Application[[#This Row],[MARKET No]],'Site Allocation'!$B$2:$C$37,2,FALSE)</f>
        <v>Analyst5</v>
      </c>
      <c r="I3407" s="4">
        <f t="shared" ca="1" si="53"/>
        <v>45203</v>
      </c>
      <c r="J3407" s="42">
        <f ca="1">TODAY()-qry_ProdData2_PDI_Cash_Exception_Application[[#This Row],[INSERT DATE]]</f>
        <v>9.7429282407392748</v>
      </c>
      <c r="K34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07">
        <f ca="1">qry_ProdData2_PDI_Cash_Exception_Application[[#This Row],[TODAY]]-qry_ProdData2_PDI_Cash_Exception_Application[[#This Row],[CHANGED ON]]</f>
        <v>2.7429282407392748</v>
      </c>
      <c r="M3407">
        <f ca="1">qry_ProdData2_PDI_Cash_Exception_Application[[#This Row],[TODAY]]-qry_ProdData2_PDI_Cash_Exception_Application[[#This Row],[CHANGED ON]]</f>
        <v>2.7429282407392748</v>
      </c>
      <c r="N3407">
        <f ca="1">qry_ProdData2_PDI_Cash_Exception_Application[[#This Row],[TODAY]]-qry_ProdData2_PDI_Cash_Exception_Application[[#This Row],[CHANGED ON]]</f>
        <v>2.7429282407392748</v>
      </c>
    </row>
    <row r="3408" spans="1:14" x14ac:dyDescent="0.35">
      <c r="A3408">
        <v>1015</v>
      </c>
      <c r="B3408" t="s">
        <v>69</v>
      </c>
      <c r="C3408" s="1">
        <v>45194.257071759261</v>
      </c>
      <c r="D3408" t="str">
        <f ca="1">VLOOKUP(qry_ProdData2_PDI_Cash_Exception_Application[[#This Row],[TYPE]],#REF!,2,FALSE)</f>
        <v>type40</v>
      </c>
      <c r="E3408">
        <v>15</v>
      </c>
      <c r="G3408" s="1">
        <f>qry_ProdData2_PDI_Cash_Exception_Application[[#This Row],[INSERT DATE]]+2</f>
        <v>45196.257071759261</v>
      </c>
      <c r="H3408" t="str">
        <f>VLOOKUP(qry_ProdData2_PDI_Cash_Exception_Application[[#This Row],[MARKET No]],'Site Allocation'!$B$2:$C$37,2,FALSE)</f>
        <v>Analyst3</v>
      </c>
      <c r="I3408" s="4">
        <f t="shared" ca="1" si="53"/>
        <v>45203</v>
      </c>
      <c r="J3408" s="42">
        <f ca="1">TODAY()-qry_ProdData2_PDI_Cash_Exception_Application[[#This Row],[INSERT DATE]]</f>
        <v>8.7429282407392748</v>
      </c>
      <c r="K34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08">
        <f ca="1">qry_ProdData2_PDI_Cash_Exception_Application[[#This Row],[TODAY]]-qry_ProdData2_PDI_Cash_Exception_Application[[#This Row],[CHANGED ON]]</f>
        <v>6.7429282407392748</v>
      </c>
      <c r="M3408">
        <f ca="1">qry_ProdData2_PDI_Cash_Exception_Application[[#This Row],[TODAY]]-qry_ProdData2_PDI_Cash_Exception_Application[[#This Row],[CHANGED ON]]</f>
        <v>6.7429282407392748</v>
      </c>
      <c r="N3408">
        <f ca="1">qry_ProdData2_PDI_Cash_Exception_Application[[#This Row],[TODAY]]-qry_ProdData2_PDI_Cash_Exception_Application[[#This Row],[CHANGED ON]]</f>
        <v>6.7429282407392748</v>
      </c>
    </row>
    <row r="3409" spans="1:14" x14ac:dyDescent="0.35">
      <c r="A3409">
        <v>1028</v>
      </c>
      <c r="B3409" t="s">
        <v>82</v>
      </c>
      <c r="C3409" s="1">
        <v>45189.257071759261</v>
      </c>
      <c r="D3409" t="str">
        <f ca="1">VLOOKUP(qry_ProdData2_PDI_Cash_Exception_Application[[#This Row],[TYPE]],#REF!,2,FALSE)</f>
        <v>type35</v>
      </c>
      <c r="E3409">
        <v>1019.58</v>
      </c>
      <c r="F3409" t="s">
        <v>50</v>
      </c>
      <c r="G3409" s="1">
        <f>qry_ProdData2_PDI_Cash_Exception_Application[[#This Row],[INSERT DATE]]+1</f>
        <v>45190.257071759261</v>
      </c>
      <c r="H3409" t="str">
        <f>VLOOKUP(qry_ProdData2_PDI_Cash_Exception_Application[[#This Row],[MARKET No]],'Site Allocation'!$B$2:$C$37,2,FALSE)</f>
        <v>Analyst5</v>
      </c>
      <c r="I3409" s="4">
        <f t="shared" ca="1" si="53"/>
        <v>45203</v>
      </c>
      <c r="J3409" s="42">
        <f ca="1">TODAY()-qry_ProdData2_PDI_Cash_Exception_Application[[#This Row],[INSERT DATE]]</f>
        <v>13.742928240739275</v>
      </c>
      <c r="K34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09">
        <f ca="1">qry_ProdData2_PDI_Cash_Exception_Application[[#This Row],[TODAY]]-qry_ProdData2_PDI_Cash_Exception_Application[[#This Row],[CHANGED ON]]</f>
        <v>12.742928240739275</v>
      </c>
      <c r="M3409">
        <f ca="1">qry_ProdData2_PDI_Cash_Exception_Application[[#This Row],[TODAY]]-qry_ProdData2_PDI_Cash_Exception_Application[[#This Row],[CHANGED ON]]</f>
        <v>12.742928240739275</v>
      </c>
      <c r="N3409">
        <f ca="1">qry_ProdData2_PDI_Cash_Exception_Application[[#This Row],[TODAY]]-qry_ProdData2_PDI_Cash_Exception_Application[[#This Row],[CHANGED ON]]</f>
        <v>12.742928240739275</v>
      </c>
    </row>
    <row r="3410" spans="1:14" x14ac:dyDescent="0.35">
      <c r="A3410">
        <v>1017</v>
      </c>
      <c r="B3410" t="s">
        <v>71</v>
      </c>
      <c r="C3410" s="1">
        <v>45190.257071759261</v>
      </c>
      <c r="D3410" t="str">
        <f ca="1">VLOOKUP(qry_ProdData2_PDI_Cash_Exception_Application[[#This Row],[TYPE]],#REF!,2,FALSE)</f>
        <v>type40</v>
      </c>
      <c r="E3410">
        <v>511.26</v>
      </c>
      <c r="F3410" t="s">
        <v>50</v>
      </c>
      <c r="G3410" s="1">
        <f>qry_ProdData2_PDI_Cash_Exception_Application[[#This Row],[INSERT DATE]]+1</f>
        <v>45191.257071759261</v>
      </c>
      <c r="H3410" t="str">
        <f>VLOOKUP(qry_ProdData2_PDI_Cash_Exception_Application[[#This Row],[MARKET No]],'Site Allocation'!$B$2:$C$37,2,FALSE)</f>
        <v>Analyst3</v>
      </c>
      <c r="I3410" s="4">
        <f t="shared" ca="1" si="53"/>
        <v>45203</v>
      </c>
      <c r="J3410" s="42">
        <f ca="1">TODAY()-qry_ProdData2_PDI_Cash_Exception_Application[[#This Row],[INSERT DATE]]</f>
        <v>12.742928240739275</v>
      </c>
      <c r="K34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10">
        <f ca="1">qry_ProdData2_PDI_Cash_Exception_Application[[#This Row],[TODAY]]-qry_ProdData2_PDI_Cash_Exception_Application[[#This Row],[CHANGED ON]]</f>
        <v>11.742928240739275</v>
      </c>
      <c r="M3410">
        <f ca="1">qry_ProdData2_PDI_Cash_Exception_Application[[#This Row],[TODAY]]-qry_ProdData2_PDI_Cash_Exception_Application[[#This Row],[CHANGED ON]]</f>
        <v>11.742928240739275</v>
      </c>
      <c r="N3410">
        <f ca="1">qry_ProdData2_PDI_Cash_Exception_Application[[#This Row],[TODAY]]-qry_ProdData2_PDI_Cash_Exception_Application[[#This Row],[CHANGED ON]]</f>
        <v>11.742928240739275</v>
      </c>
    </row>
    <row r="3411" spans="1:14" x14ac:dyDescent="0.35">
      <c r="A3411">
        <v>1008</v>
      </c>
      <c r="B3411" t="s">
        <v>62</v>
      </c>
      <c r="C3411" s="1">
        <v>45195.257071759261</v>
      </c>
      <c r="D3411" t="str">
        <f ca="1">VLOOKUP(qry_ProdData2_PDI_Cash_Exception_Application[[#This Row],[TYPE]],#REF!,2,FALSE)</f>
        <v>type40</v>
      </c>
      <c r="E3411">
        <v>-355.71</v>
      </c>
      <c r="F3411" t="s">
        <v>47</v>
      </c>
      <c r="G3411" s="1">
        <f>qry_ProdData2_PDI_Cash_Exception_Application[[#This Row],[INSERT DATE]]+7</f>
        <v>45202.257071759261</v>
      </c>
      <c r="H3411" t="str">
        <f>VLOOKUP(qry_ProdData2_PDI_Cash_Exception_Application[[#This Row],[MARKET No]],'Site Allocation'!$B$2:$C$37,2,FALSE)</f>
        <v>Analyst2</v>
      </c>
      <c r="I3411" s="4">
        <f t="shared" ca="1" si="53"/>
        <v>45203</v>
      </c>
      <c r="J3411" s="42">
        <f ca="1">TODAY()-qry_ProdData2_PDI_Cash_Exception_Application[[#This Row],[INSERT DATE]]</f>
        <v>7.7429282407392748</v>
      </c>
      <c r="K34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11">
        <f ca="1">qry_ProdData2_PDI_Cash_Exception_Application[[#This Row],[TODAY]]-qry_ProdData2_PDI_Cash_Exception_Application[[#This Row],[CHANGED ON]]</f>
        <v>0.74292824073927477</v>
      </c>
      <c r="M3411">
        <f ca="1">qry_ProdData2_PDI_Cash_Exception_Application[[#This Row],[TODAY]]-qry_ProdData2_PDI_Cash_Exception_Application[[#This Row],[CHANGED ON]]</f>
        <v>0.74292824073927477</v>
      </c>
      <c r="N3411">
        <f ca="1">qry_ProdData2_PDI_Cash_Exception_Application[[#This Row],[TODAY]]-qry_ProdData2_PDI_Cash_Exception_Application[[#This Row],[CHANGED ON]]</f>
        <v>0.74292824073927477</v>
      </c>
    </row>
    <row r="3412" spans="1:14" x14ac:dyDescent="0.35">
      <c r="A3412">
        <v>1034</v>
      </c>
      <c r="B3412" t="s">
        <v>88</v>
      </c>
      <c r="C3412" s="1">
        <v>45193.257071759261</v>
      </c>
      <c r="D3412" t="str">
        <f ca="1">VLOOKUP(qry_ProdData2_PDI_Cash_Exception_Application[[#This Row],[TYPE]],#REF!,2,FALSE)</f>
        <v>type40</v>
      </c>
      <c r="E3412">
        <v>-477.09</v>
      </c>
      <c r="F3412" t="s">
        <v>47</v>
      </c>
      <c r="G3412" s="1">
        <f>qry_ProdData2_PDI_Cash_Exception_Application[[#This Row],[INSERT DATE]]+1</f>
        <v>45194.257071759261</v>
      </c>
      <c r="H3412" t="str">
        <f>VLOOKUP(qry_ProdData2_PDI_Cash_Exception_Application[[#This Row],[MARKET No]],'Site Allocation'!$B$2:$C$37,2,FALSE)</f>
        <v>Analyst6</v>
      </c>
      <c r="I3412" s="4">
        <f t="shared" ca="1" si="53"/>
        <v>45203</v>
      </c>
      <c r="J3412" s="42">
        <f ca="1">TODAY()-qry_ProdData2_PDI_Cash_Exception_Application[[#This Row],[INSERT DATE]]</f>
        <v>9.7429282407392748</v>
      </c>
      <c r="K34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12">
        <f ca="1">qry_ProdData2_PDI_Cash_Exception_Application[[#This Row],[TODAY]]-qry_ProdData2_PDI_Cash_Exception_Application[[#This Row],[CHANGED ON]]</f>
        <v>8.7429282407392748</v>
      </c>
      <c r="M3412">
        <f ca="1">qry_ProdData2_PDI_Cash_Exception_Application[[#This Row],[TODAY]]-qry_ProdData2_PDI_Cash_Exception_Application[[#This Row],[CHANGED ON]]</f>
        <v>8.7429282407392748</v>
      </c>
      <c r="N3412">
        <f ca="1">qry_ProdData2_PDI_Cash_Exception_Application[[#This Row],[TODAY]]-qry_ProdData2_PDI_Cash_Exception_Application[[#This Row],[CHANGED ON]]</f>
        <v>8.7429282407392748</v>
      </c>
    </row>
    <row r="3413" spans="1:14" x14ac:dyDescent="0.35">
      <c r="A3413">
        <v>1025</v>
      </c>
      <c r="B3413" t="s">
        <v>79</v>
      </c>
      <c r="C3413" s="1">
        <v>45193.257071759261</v>
      </c>
      <c r="D3413" t="str">
        <f ca="1">VLOOKUP(qry_ProdData2_PDI_Cash_Exception_Application[[#This Row],[TYPE]],#REF!,2,FALSE)</f>
        <v>type13</v>
      </c>
      <c r="E3413">
        <v>17328.43</v>
      </c>
      <c r="G3413" s="1">
        <f>qry_ProdData2_PDI_Cash_Exception_Application[[#This Row],[INSERT DATE]]+1</f>
        <v>45194.257071759261</v>
      </c>
      <c r="H3413" t="str">
        <f>VLOOKUP(qry_ProdData2_PDI_Cash_Exception_Application[[#This Row],[MARKET No]],'Site Allocation'!$B$2:$C$37,2,FALSE)</f>
        <v>Analyst5</v>
      </c>
      <c r="I3413" s="4">
        <f t="shared" ca="1" si="53"/>
        <v>45203</v>
      </c>
      <c r="J3413" s="42">
        <f ca="1">TODAY()-qry_ProdData2_PDI_Cash_Exception_Application[[#This Row],[INSERT DATE]]</f>
        <v>9.7429282407392748</v>
      </c>
      <c r="K34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13">
        <f ca="1">qry_ProdData2_PDI_Cash_Exception_Application[[#This Row],[TODAY]]-qry_ProdData2_PDI_Cash_Exception_Application[[#This Row],[CHANGED ON]]</f>
        <v>8.7429282407392748</v>
      </c>
      <c r="M3413">
        <f ca="1">qry_ProdData2_PDI_Cash_Exception_Application[[#This Row],[TODAY]]-qry_ProdData2_PDI_Cash_Exception_Application[[#This Row],[CHANGED ON]]</f>
        <v>8.7429282407392748</v>
      </c>
      <c r="N3413">
        <f ca="1">qry_ProdData2_PDI_Cash_Exception_Application[[#This Row],[TODAY]]-qry_ProdData2_PDI_Cash_Exception_Application[[#This Row],[CHANGED ON]]</f>
        <v>8.7429282407392748</v>
      </c>
    </row>
    <row r="3414" spans="1:14" x14ac:dyDescent="0.35">
      <c r="A3414">
        <v>1006</v>
      </c>
      <c r="B3414" t="s">
        <v>60</v>
      </c>
      <c r="C3414" s="1">
        <v>45193.257071759261</v>
      </c>
      <c r="D3414" t="str">
        <f ca="1">VLOOKUP(qry_ProdData2_PDI_Cash_Exception_Application[[#This Row],[TYPE]],#REF!,2,FALSE)</f>
        <v>type13</v>
      </c>
      <c r="E3414">
        <v>79278.899999999994</v>
      </c>
      <c r="F3414" t="s">
        <v>48</v>
      </c>
      <c r="G3414" s="1">
        <f>qry_ProdData2_PDI_Cash_Exception_Application[[#This Row],[INSERT DATE]]+1</f>
        <v>45194.257071759261</v>
      </c>
      <c r="H3414" t="str">
        <f>VLOOKUP(qry_ProdData2_PDI_Cash_Exception_Application[[#This Row],[MARKET No]],'Site Allocation'!$B$2:$C$37,2,FALSE)</f>
        <v>Analyst2</v>
      </c>
      <c r="I3414" s="4">
        <f t="shared" ca="1" si="53"/>
        <v>45203</v>
      </c>
      <c r="J3414" s="42">
        <f ca="1">TODAY()-qry_ProdData2_PDI_Cash_Exception_Application[[#This Row],[INSERT DATE]]</f>
        <v>9.7429282407392748</v>
      </c>
      <c r="K34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14">
        <f ca="1">qry_ProdData2_PDI_Cash_Exception_Application[[#This Row],[TODAY]]-qry_ProdData2_PDI_Cash_Exception_Application[[#This Row],[CHANGED ON]]</f>
        <v>8.7429282407392748</v>
      </c>
      <c r="M3414">
        <f ca="1">qry_ProdData2_PDI_Cash_Exception_Application[[#This Row],[TODAY]]-qry_ProdData2_PDI_Cash_Exception_Application[[#This Row],[CHANGED ON]]</f>
        <v>8.7429282407392748</v>
      </c>
      <c r="N3414">
        <f ca="1">qry_ProdData2_PDI_Cash_Exception_Application[[#This Row],[TODAY]]-qry_ProdData2_PDI_Cash_Exception_Application[[#This Row],[CHANGED ON]]</f>
        <v>8.7429282407392748</v>
      </c>
    </row>
    <row r="3415" spans="1:14" x14ac:dyDescent="0.35">
      <c r="A3415">
        <v>1000</v>
      </c>
      <c r="B3415" t="s">
        <v>54</v>
      </c>
      <c r="C3415" s="1">
        <v>45195.257071759261</v>
      </c>
      <c r="D3415" t="str">
        <f ca="1">VLOOKUP(qry_ProdData2_PDI_Cash_Exception_Application[[#This Row],[TYPE]],#REF!,2,FALSE)</f>
        <v>type40</v>
      </c>
      <c r="E3415">
        <v>90</v>
      </c>
      <c r="F3415" t="s">
        <v>51</v>
      </c>
      <c r="G3415" s="1">
        <f>qry_ProdData2_PDI_Cash_Exception_Application[[#This Row],[INSERT DATE]]+2</f>
        <v>45197.257071759261</v>
      </c>
      <c r="H3415" t="str">
        <f>VLOOKUP(qry_ProdData2_PDI_Cash_Exception_Application[[#This Row],[MARKET No]],'Site Allocation'!$B$2:$C$37,2,FALSE)</f>
        <v>Analyst1</v>
      </c>
      <c r="I3415" s="4">
        <f t="shared" ca="1" si="53"/>
        <v>45203</v>
      </c>
      <c r="J3415" s="42">
        <f ca="1">TODAY()-qry_ProdData2_PDI_Cash_Exception_Application[[#This Row],[INSERT DATE]]</f>
        <v>7.7429282407392748</v>
      </c>
      <c r="K34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15">
        <f ca="1">qry_ProdData2_PDI_Cash_Exception_Application[[#This Row],[TODAY]]-qry_ProdData2_PDI_Cash_Exception_Application[[#This Row],[CHANGED ON]]</f>
        <v>5.7429282407392748</v>
      </c>
      <c r="M3415">
        <f ca="1">qry_ProdData2_PDI_Cash_Exception_Application[[#This Row],[TODAY]]-qry_ProdData2_PDI_Cash_Exception_Application[[#This Row],[CHANGED ON]]</f>
        <v>5.7429282407392748</v>
      </c>
      <c r="N3415">
        <f ca="1">qry_ProdData2_PDI_Cash_Exception_Application[[#This Row],[TODAY]]-qry_ProdData2_PDI_Cash_Exception_Application[[#This Row],[CHANGED ON]]</f>
        <v>5.7429282407392748</v>
      </c>
    </row>
    <row r="3416" spans="1:14" x14ac:dyDescent="0.35">
      <c r="A3416">
        <v>1006</v>
      </c>
      <c r="B3416" t="s">
        <v>60</v>
      </c>
      <c r="C3416" s="1">
        <v>45195.257071759261</v>
      </c>
      <c r="D3416" t="str">
        <f ca="1">VLOOKUP(qry_ProdData2_PDI_Cash_Exception_Application[[#This Row],[TYPE]],#REF!,2,FALSE)</f>
        <v>type40</v>
      </c>
      <c r="E3416">
        <v>346.55</v>
      </c>
      <c r="F3416" t="s">
        <v>50</v>
      </c>
      <c r="G3416" s="1">
        <f>qry_ProdData2_PDI_Cash_Exception_Application[[#This Row],[INSERT DATE]]+2</f>
        <v>45197.257071759261</v>
      </c>
      <c r="H3416" t="str">
        <f>VLOOKUP(qry_ProdData2_PDI_Cash_Exception_Application[[#This Row],[MARKET No]],'Site Allocation'!$B$2:$C$37,2,FALSE)</f>
        <v>Analyst2</v>
      </c>
      <c r="I3416" s="4">
        <f t="shared" ca="1" si="53"/>
        <v>45203</v>
      </c>
      <c r="J3416" s="42">
        <f ca="1">TODAY()-qry_ProdData2_PDI_Cash_Exception_Application[[#This Row],[INSERT DATE]]</f>
        <v>7.7429282407392748</v>
      </c>
      <c r="K34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16">
        <f ca="1">qry_ProdData2_PDI_Cash_Exception_Application[[#This Row],[TODAY]]-qry_ProdData2_PDI_Cash_Exception_Application[[#This Row],[CHANGED ON]]</f>
        <v>5.7429282407392748</v>
      </c>
      <c r="M3416">
        <f ca="1">qry_ProdData2_PDI_Cash_Exception_Application[[#This Row],[TODAY]]-qry_ProdData2_PDI_Cash_Exception_Application[[#This Row],[CHANGED ON]]</f>
        <v>5.7429282407392748</v>
      </c>
      <c r="N3416">
        <f ca="1">qry_ProdData2_PDI_Cash_Exception_Application[[#This Row],[TODAY]]-qry_ProdData2_PDI_Cash_Exception_Application[[#This Row],[CHANGED ON]]</f>
        <v>5.7429282407392748</v>
      </c>
    </row>
    <row r="3417" spans="1:14" x14ac:dyDescent="0.35">
      <c r="A3417">
        <v>1011</v>
      </c>
      <c r="B3417" t="s">
        <v>65</v>
      </c>
      <c r="C3417" s="1">
        <v>45194.257071759261</v>
      </c>
      <c r="D3417" t="str">
        <f ca="1">VLOOKUP(qry_ProdData2_PDI_Cash_Exception_Application[[#This Row],[TYPE]],#REF!,2,FALSE)</f>
        <v>type40</v>
      </c>
      <c r="E3417">
        <v>350.19</v>
      </c>
      <c r="F3417" t="s">
        <v>48</v>
      </c>
      <c r="G3417" s="1">
        <f>qry_ProdData2_PDI_Cash_Exception_Application[[#This Row],[INSERT DATE]]+1</f>
        <v>45195.257071759261</v>
      </c>
      <c r="H3417" t="str">
        <f>VLOOKUP(qry_ProdData2_PDI_Cash_Exception_Application[[#This Row],[MARKET No]],'Site Allocation'!$B$2:$C$37,2,FALSE)</f>
        <v>Analyst2</v>
      </c>
      <c r="I3417" s="4">
        <f t="shared" ca="1" si="53"/>
        <v>45203</v>
      </c>
      <c r="J3417" s="42">
        <f ca="1">TODAY()-qry_ProdData2_PDI_Cash_Exception_Application[[#This Row],[INSERT DATE]]</f>
        <v>8.7429282407392748</v>
      </c>
      <c r="K34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17">
        <f ca="1">qry_ProdData2_PDI_Cash_Exception_Application[[#This Row],[TODAY]]-qry_ProdData2_PDI_Cash_Exception_Application[[#This Row],[CHANGED ON]]</f>
        <v>7.7429282407392748</v>
      </c>
      <c r="M3417">
        <f ca="1">qry_ProdData2_PDI_Cash_Exception_Application[[#This Row],[TODAY]]-qry_ProdData2_PDI_Cash_Exception_Application[[#This Row],[CHANGED ON]]</f>
        <v>7.7429282407392748</v>
      </c>
      <c r="N3417">
        <f ca="1">qry_ProdData2_PDI_Cash_Exception_Application[[#This Row],[TODAY]]-qry_ProdData2_PDI_Cash_Exception_Application[[#This Row],[CHANGED ON]]</f>
        <v>7.7429282407392748</v>
      </c>
    </row>
    <row r="3418" spans="1:14" x14ac:dyDescent="0.35">
      <c r="A3418">
        <v>1032</v>
      </c>
      <c r="B3418" t="s">
        <v>86</v>
      </c>
      <c r="C3418" s="1">
        <v>45197.257071759261</v>
      </c>
      <c r="D3418" t="str">
        <f ca="1">VLOOKUP(qry_ProdData2_PDI_Cash_Exception_Application[[#This Row],[TYPE]],#REF!,2,FALSE)</f>
        <v>type40</v>
      </c>
      <c r="E3418">
        <v>834.44</v>
      </c>
      <c r="F3418" t="s">
        <v>52</v>
      </c>
      <c r="G3418" s="1">
        <f>qry_ProdData2_PDI_Cash_Exception_Application[[#This Row],[INSERT DATE]]+2</f>
        <v>45199.257071759261</v>
      </c>
      <c r="H3418" t="str">
        <f>VLOOKUP(qry_ProdData2_PDI_Cash_Exception_Application[[#This Row],[MARKET No]],'Site Allocation'!$B$2:$C$37,2,FALSE)</f>
        <v>Analyst6</v>
      </c>
      <c r="I3418" s="4">
        <f t="shared" ca="1" si="53"/>
        <v>45203</v>
      </c>
      <c r="J3418" s="42">
        <f ca="1">TODAY()-qry_ProdData2_PDI_Cash_Exception_Application[[#This Row],[INSERT DATE]]</f>
        <v>5.7429282407392748</v>
      </c>
      <c r="K34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418">
        <f ca="1">qry_ProdData2_PDI_Cash_Exception_Application[[#This Row],[TODAY]]-qry_ProdData2_PDI_Cash_Exception_Application[[#This Row],[CHANGED ON]]</f>
        <v>3.7429282407392748</v>
      </c>
      <c r="M3418">
        <f ca="1">qry_ProdData2_PDI_Cash_Exception_Application[[#This Row],[TODAY]]-qry_ProdData2_PDI_Cash_Exception_Application[[#This Row],[CHANGED ON]]</f>
        <v>3.7429282407392748</v>
      </c>
      <c r="N3418">
        <f ca="1">qry_ProdData2_PDI_Cash_Exception_Application[[#This Row],[TODAY]]-qry_ProdData2_PDI_Cash_Exception_Application[[#This Row],[CHANGED ON]]</f>
        <v>3.7429282407392748</v>
      </c>
    </row>
    <row r="3419" spans="1:14" x14ac:dyDescent="0.35">
      <c r="A3419">
        <v>1017</v>
      </c>
      <c r="B3419" t="s">
        <v>71</v>
      </c>
      <c r="C3419" s="1">
        <v>45185.257071759261</v>
      </c>
      <c r="D3419" t="str">
        <f ca="1">VLOOKUP(qry_ProdData2_PDI_Cash_Exception_Application[[#This Row],[TYPE]],#REF!,2,FALSE)</f>
        <v>type40</v>
      </c>
      <c r="E3419">
        <v>865.32</v>
      </c>
      <c r="F3419" t="s">
        <v>50</v>
      </c>
      <c r="G3419" s="1">
        <f>qry_ProdData2_PDI_Cash_Exception_Application[[#This Row],[INSERT DATE]]+2</f>
        <v>45187.257071759261</v>
      </c>
      <c r="H3419" t="str">
        <f>VLOOKUP(qry_ProdData2_PDI_Cash_Exception_Application[[#This Row],[MARKET No]],'Site Allocation'!$B$2:$C$37,2,FALSE)</f>
        <v>Analyst3</v>
      </c>
      <c r="I3419" s="4">
        <f t="shared" ca="1" si="53"/>
        <v>45203</v>
      </c>
      <c r="J3419" s="42">
        <f ca="1">TODAY()-qry_ProdData2_PDI_Cash_Exception_Application[[#This Row],[INSERT DATE]]</f>
        <v>17.742928240739275</v>
      </c>
      <c r="K34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19">
        <f ca="1">qry_ProdData2_PDI_Cash_Exception_Application[[#This Row],[TODAY]]-qry_ProdData2_PDI_Cash_Exception_Application[[#This Row],[CHANGED ON]]</f>
        <v>15.742928240739275</v>
      </c>
      <c r="M3419">
        <f ca="1">qry_ProdData2_PDI_Cash_Exception_Application[[#This Row],[TODAY]]-qry_ProdData2_PDI_Cash_Exception_Application[[#This Row],[CHANGED ON]]</f>
        <v>15.742928240739275</v>
      </c>
      <c r="N3419">
        <f ca="1">qry_ProdData2_PDI_Cash_Exception_Application[[#This Row],[TODAY]]-qry_ProdData2_PDI_Cash_Exception_Application[[#This Row],[CHANGED ON]]</f>
        <v>15.742928240739275</v>
      </c>
    </row>
    <row r="3420" spans="1:14" x14ac:dyDescent="0.35">
      <c r="A3420">
        <v>1023</v>
      </c>
      <c r="B3420" t="s">
        <v>77</v>
      </c>
      <c r="C3420" s="1">
        <v>45186.257071759261</v>
      </c>
      <c r="D3420" t="str">
        <f ca="1">VLOOKUP(qry_ProdData2_PDI_Cash_Exception_Application[[#This Row],[TYPE]],#REF!,2,FALSE)</f>
        <v>type40</v>
      </c>
      <c r="E3420">
        <v>322.51</v>
      </c>
      <c r="F3420" t="s">
        <v>52</v>
      </c>
      <c r="G3420" s="1">
        <f>qry_ProdData2_PDI_Cash_Exception_Application[[#This Row],[INSERT DATE]]+2</f>
        <v>45188.257071759261</v>
      </c>
      <c r="H3420" t="str">
        <f>VLOOKUP(qry_ProdData2_PDI_Cash_Exception_Application[[#This Row],[MARKET No]],'Site Allocation'!$B$2:$C$37,2,FALSE)</f>
        <v>Analyst4</v>
      </c>
      <c r="I3420" s="4">
        <f t="shared" ca="1" si="53"/>
        <v>45203</v>
      </c>
      <c r="J3420" s="42">
        <f ca="1">TODAY()-qry_ProdData2_PDI_Cash_Exception_Application[[#This Row],[INSERT DATE]]</f>
        <v>16.742928240739275</v>
      </c>
      <c r="K34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20">
        <f ca="1">qry_ProdData2_PDI_Cash_Exception_Application[[#This Row],[TODAY]]-qry_ProdData2_PDI_Cash_Exception_Application[[#This Row],[CHANGED ON]]</f>
        <v>14.742928240739275</v>
      </c>
      <c r="M3420">
        <f ca="1">qry_ProdData2_PDI_Cash_Exception_Application[[#This Row],[TODAY]]-qry_ProdData2_PDI_Cash_Exception_Application[[#This Row],[CHANGED ON]]</f>
        <v>14.742928240739275</v>
      </c>
      <c r="N3420">
        <f ca="1">qry_ProdData2_PDI_Cash_Exception_Application[[#This Row],[TODAY]]-qry_ProdData2_PDI_Cash_Exception_Application[[#This Row],[CHANGED ON]]</f>
        <v>14.742928240739275</v>
      </c>
    </row>
    <row r="3421" spans="1:14" x14ac:dyDescent="0.35">
      <c r="A3421">
        <v>1022</v>
      </c>
      <c r="B3421" t="s">
        <v>76</v>
      </c>
      <c r="C3421" s="1">
        <v>45195.257071759261</v>
      </c>
      <c r="D3421" t="str">
        <f ca="1">VLOOKUP(qry_ProdData2_PDI_Cash_Exception_Application[[#This Row],[TYPE]],#REF!,2,FALSE)</f>
        <v>type40</v>
      </c>
      <c r="E3421">
        <v>1096.3499999999999</v>
      </c>
      <c r="F3421" t="s">
        <v>48</v>
      </c>
      <c r="G3421" s="1">
        <f>qry_ProdData2_PDI_Cash_Exception_Application[[#This Row],[INSERT DATE]]+2</f>
        <v>45197.257071759261</v>
      </c>
      <c r="H3421" t="str">
        <f>VLOOKUP(qry_ProdData2_PDI_Cash_Exception_Application[[#This Row],[MARKET No]],'Site Allocation'!$B$2:$C$37,2,FALSE)</f>
        <v>Analyst4</v>
      </c>
      <c r="I3421" s="4">
        <f t="shared" ca="1" si="53"/>
        <v>45203</v>
      </c>
      <c r="J3421" s="42">
        <f ca="1">TODAY()-qry_ProdData2_PDI_Cash_Exception_Application[[#This Row],[INSERT DATE]]</f>
        <v>7.7429282407392748</v>
      </c>
      <c r="K34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21">
        <f ca="1">qry_ProdData2_PDI_Cash_Exception_Application[[#This Row],[TODAY]]-qry_ProdData2_PDI_Cash_Exception_Application[[#This Row],[CHANGED ON]]</f>
        <v>5.7429282407392748</v>
      </c>
      <c r="M3421">
        <f ca="1">qry_ProdData2_PDI_Cash_Exception_Application[[#This Row],[TODAY]]-qry_ProdData2_PDI_Cash_Exception_Application[[#This Row],[CHANGED ON]]</f>
        <v>5.7429282407392748</v>
      </c>
      <c r="N3421">
        <f ca="1">qry_ProdData2_PDI_Cash_Exception_Application[[#This Row],[TODAY]]-qry_ProdData2_PDI_Cash_Exception_Application[[#This Row],[CHANGED ON]]</f>
        <v>5.7429282407392748</v>
      </c>
    </row>
    <row r="3422" spans="1:14" x14ac:dyDescent="0.35">
      <c r="A3422">
        <v>1035</v>
      </c>
      <c r="B3422" t="s">
        <v>89</v>
      </c>
      <c r="C3422" s="1">
        <v>45195.257071759261</v>
      </c>
      <c r="D3422" t="str">
        <f ca="1">VLOOKUP(qry_ProdData2_PDI_Cash_Exception_Application[[#This Row],[TYPE]],#REF!,2,FALSE)</f>
        <v>type40</v>
      </c>
      <c r="E3422">
        <v>-539.6</v>
      </c>
      <c r="F3422" t="s">
        <v>47</v>
      </c>
      <c r="G3422" s="1">
        <f>qry_ProdData2_PDI_Cash_Exception_Application[[#This Row],[INSERT DATE]]+1</f>
        <v>45196.257071759261</v>
      </c>
      <c r="H3422" t="str">
        <f>VLOOKUP(qry_ProdData2_PDI_Cash_Exception_Application[[#This Row],[MARKET No]],'Site Allocation'!$B$2:$C$37,2,FALSE)</f>
        <v>Analyst6</v>
      </c>
      <c r="I3422" s="4">
        <f t="shared" ca="1" si="53"/>
        <v>45203</v>
      </c>
      <c r="J3422" s="42">
        <f ca="1">TODAY()-qry_ProdData2_PDI_Cash_Exception_Application[[#This Row],[INSERT DATE]]</f>
        <v>7.7429282407392748</v>
      </c>
      <c r="K34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22">
        <f ca="1">qry_ProdData2_PDI_Cash_Exception_Application[[#This Row],[TODAY]]-qry_ProdData2_PDI_Cash_Exception_Application[[#This Row],[CHANGED ON]]</f>
        <v>6.7429282407392748</v>
      </c>
      <c r="M3422">
        <f ca="1">qry_ProdData2_PDI_Cash_Exception_Application[[#This Row],[TODAY]]-qry_ProdData2_PDI_Cash_Exception_Application[[#This Row],[CHANGED ON]]</f>
        <v>6.7429282407392748</v>
      </c>
      <c r="N3422">
        <f ca="1">qry_ProdData2_PDI_Cash_Exception_Application[[#This Row],[TODAY]]-qry_ProdData2_PDI_Cash_Exception_Application[[#This Row],[CHANGED ON]]</f>
        <v>6.7429282407392748</v>
      </c>
    </row>
    <row r="3423" spans="1:14" x14ac:dyDescent="0.35">
      <c r="A3423">
        <v>1021</v>
      </c>
      <c r="B3423" t="s">
        <v>75</v>
      </c>
      <c r="C3423" s="1">
        <v>45188.257071759261</v>
      </c>
      <c r="D3423" t="str">
        <f ca="1">VLOOKUP(qry_ProdData2_PDI_Cash_Exception_Application[[#This Row],[TYPE]],#REF!,2,FALSE)</f>
        <v>type7</v>
      </c>
      <c r="E3423">
        <v>-1292.3900000000001</v>
      </c>
      <c r="F3423" t="s">
        <v>52</v>
      </c>
      <c r="G3423" s="1">
        <f>qry_ProdData2_PDI_Cash_Exception_Application[[#This Row],[INSERT DATE]]+2</f>
        <v>45190.257071759261</v>
      </c>
      <c r="H3423" t="str">
        <f>VLOOKUP(qry_ProdData2_PDI_Cash_Exception_Application[[#This Row],[MARKET No]],'Site Allocation'!$B$2:$C$37,2,FALSE)</f>
        <v>Analyst4</v>
      </c>
      <c r="I3423" s="4">
        <f t="shared" ca="1" si="53"/>
        <v>45203</v>
      </c>
      <c r="J3423" s="42">
        <f ca="1">TODAY()-qry_ProdData2_PDI_Cash_Exception_Application[[#This Row],[INSERT DATE]]</f>
        <v>14.742928240739275</v>
      </c>
      <c r="K34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23">
        <f ca="1">qry_ProdData2_PDI_Cash_Exception_Application[[#This Row],[TODAY]]-qry_ProdData2_PDI_Cash_Exception_Application[[#This Row],[CHANGED ON]]</f>
        <v>12.742928240739275</v>
      </c>
      <c r="M3423">
        <f ca="1">qry_ProdData2_PDI_Cash_Exception_Application[[#This Row],[TODAY]]-qry_ProdData2_PDI_Cash_Exception_Application[[#This Row],[CHANGED ON]]</f>
        <v>12.742928240739275</v>
      </c>
      <c r="N3423">
        <f ca="1">qry_ProdData2_PDI_Cash_Exception_Application[[#This Row],[TODAY]]-qry_ProdData2_PDI_Cash_Exception_Application[[#This Row],[CHANGED ON]]</f>
        <v>12.742928240739275</v>
      </c>
    </row>
    <row r="3424" spans="1:14" x14ac:dyDescent="0.35">
      <c r="A3424">
        <v>1019</v>
      </c>
      <c r="B3424" t="s">
        <v>73</v>
      </c>
      <c r="C3424" s="1">
        <v>45189.257071759261</v>
      </c>
      <c r="D3424" t="str">
        <f ca="1">VLOOKUP(qry_ProdData2_PDI_Cash_Exception_Application[[#This Row],[TYPE]],#REF!,2,FALSE)</f>
        <v>type18</v>
      </c>
      <c r="E3424">
        <v>313066.25</v>
      </c>
      <c r="F3424" t="s">
        <v>52</v>
      </c>
      <c r="G3424" s="1">
        <f>qry_ProdData2_PDI_Cash_Exception_Application[[#This Row],[INSERT DATE]]+2</f>
        <v>45191.257071759261</v>
      </c>
      <c r="H3424" t="str">
        <f>VLOOKUP(qry_ProdData2_PDI_Cash_Exception_Application[[#This Row],[MARKET No]],'Site Allocation'!$B$2:$C$37,2,FALSE)</f>
        <v>Analyst4</v>
      </c>
      <c r="I3424" s="4">
        <f t="shared" ca="1" si="53"/>
        <v>45203</v>
      </c>
      <c r="J3424" s="42">
        <f ca="1">TODAY()-qry_ProdData2_PDI_Cash_Exception_Application[[#This Row],[INSERT DATE]]</f>
        <v>13.742928240739275</v>
      </c>
      <c r="K34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24">
        <f ca="1">qry_ProdData2_PDI_Cash_Exception_Application[[#This Row],[TODAY]]-qry_ProdData2_PDI_Cash_Exception_Application[[#This Row],[CHANGED ON]]</f>
        <v>11.742928240739275</v>
      </c>
      <c r="M3424">
        <f ca="1">qry_ProdData2_PDI_Cash_Exception_Application[[#This Row],[TODAY]]-qry_ProdData2_PDI_Cash_Exception_Application[[#This Row],[CHANGED ON]]</f>
        <v>11.742928240739275</v>
      </c>
      <c r="N3424">
        <f ca="1">qry_ProdData2_PDI_Cash_Exception_Application[[#This Row],[TODAY]]-qry_ProdData2_PDI_Cash_Exception_Application[[#This Row],[CHANGED ON]]</f>
        <v>11.742928240739275</v>
      </c>
    </row>
    <row r="3425" spans="1:14" x14ac:dyDescent="0.35">
      <c r="A3425">
        <v>1014</v>
      </c>
      <c r="B3425" t="s">
        <v>68</v>
      </c>
      <c r="C3425" s="1">
        <v>45189.257071759261</v>
      </c>
      <c r="D3425" t="str">
        <f ca="1">VLOOKUP(qry_ProdData2_PDI_Cash_Exception_Application[[#This Row],[TYPE]],#REF!,2,FALSE)</f>
        <v>type40</v>
      </c>
      <c r="E3425">
        <v>965.3</v>
      </c>
      <c r="F3425" t="s">
        <v>50</v>
      </c>
      <c r="G3425" s="1">
        <f>qry_ProdData2_PDI_Cash_Exception_Application[[#This Row],[INSERT DATE]]+2</f>
        <v>45191.257071759261</v>
      </c>
      <c r="H3425" t="str">
        <f>VLOOKUP(qry_ProdData2_PDI_Cash_Exception_Application[[#This Row],[MARKET No]],'Site Allocation'!$B$2:$C$37,2,FALSE)</f>
        <v>Analyst3</v>
      </c>
      <c r="I3425" s="4">
        <f t="shared" ca="1" si="53"/>
        <v>45203</v>
      </c>
      <c r="J3425" s="42">
        <f ca="1">TODAY()-qry_ProdData2_PDI_Cash_Exception_Application[[#This Row],[INSERT DATE]]</f>
        <v>13.742928240739275</v>
      </c>
      <c r="K34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25">
        <f ca="1">qry_ProdData2_PDI_Cash_Exception_Application[[#This Row],[TODAY]]-qry_ProdData2_PDI_Cash_Exception_Application[[#This Row],[CHANGED ON]]</f>
        <v>11.742928240739275</v>
      </c>
      <c r="M3425">
        <f ca="1">qry_ProdData2_PDI_Cash_Exception_Application[[#This Row],[TODAY]]-qry_ProdData2_PDI_Cash_Exception_Application[[#This Row],[CHANGED ON]]</f>
        <v>11.742928240739275</v>
      </c>
      <c r="N3425">
        <f ca="1">qry_ProdData2_PDI_Cash_Exception_Application[[#This Row],[TODAY]]-qry_ProdData2_PDI_Cash_Exception_Application[[#This Row],[CHANGED ON]]</f>
        <v>11.742928240739275</v>
      </c>
    </row>
    <row r="3426" spans="1:14" x14ac:dyDescent="0.35">
      <c r="A3426">
        <v>1016</v>
      </c>
      <c r="B3426" t="s">
        <v>70</v>
      </c>
      <c r="C3426" s="1">
        <v>45190.257071759261</v>
      </c>
      <c r="D3426" t="str">
        <f ca="1">VLOOKUP(qry_ProdData2_PDI_Cash_Exception_Application[[#This Row],[TYPE]],#REF!,2,FALSE)</f>
        <v>type40</v>
      </c>
      <c r="E3426">
        <v>-446.44</v>
      </c>
      <c r="F3426" t="s">
        <v>50</v>
      </c>
      <c r="G3426" s="1">
        <f>qry_ProdData2_PDI_Cash_Exception_Application[[#This Row],[INSERT DATE]]+2</f>
        <v>45192.257071759261</v>
      </c>
      <c r="H3426" t="str">
        <f>VLOOKUP(qry_ProdData2_PDI_Cash_Exception_Application[[#This Row],[MARKET No]],'Site Allocation'!$B$2:$C$37,2,FALSE)</f>
        <v>Analyst3</v>
      </c>
      <c r="I3426" s="4">
        <f t="shared" ca="1" si="53"/>
        <v>45203</v>
      </c>
      <c r="J3426" s="42">
        <f ca="1">TODAY()-qry_ProdData2_PDI_Cash_Exception_Application[[#This Row],[INSERT DATE]]</f>
        <v>12.742928240739275</v>
      </c>
      <c r="K34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26">
        <f ca="1">qry_ProdData2_PDI_Cash_Exception_Application[[#This Row],[TODAY]]-qry_ProdData2_PDI_Cash_Exception_Application[[#This Row],[CHANGED ON]]</f>
        <v>10.742928240739275</v>
      </c>
      <c r="M3426">
        <f ca="1">qry_ProdData2_PDI_Cash_Exception_Application[[#This Row],[TODAY]]-qry_ProdData2_PDI_Cash_Exception_Application[[#This Row],[CHANGED ON]]</f>
        <v>10.742928240739275</v>
      </c>
      <c r="N3426">
        <f ca="1">qry_ProdData2_PDI_Cash_Exception_Application[[#This Row],[TODAY]]-qry_ProdData2_PDI_Cash_Exception_Application[[#This Row],[CHANGED ON]]</f>
        <v>10.742928240739275</v>
      </c>
    </row>
    <row r="3427" spans="1:14" x14ac:dyDescent="0.35">
      <c r="A3427">
        <v>1017</v>
      </c>
      <c r="B3427" t="s">
        <v>71</v>
      </c>
      <c r="C3427" s="1">
        <v>45195.257071759261</v>
      </c>
      <c r="D3427" t="str">
        <f ca="1">VLOOKUP(qry_ProdData2_PDI_Cash_Exception_Application[[#This Row],[TYPE]],#REF!,2,FALSE)</f>
        <v>type26</v>
      </c>
      <c r="E3427">
        <v>329.67</v>
      </c>
      <c r="F3427" t="s">
        <v>51</v>
      </c>
      <c r="G3427" s="1">
        <f>qry_ProdData2_PDI_Cash_Exception_Application[[#This Row],[INSERT DATE]]+5</f>
        <v>45200.257071759261</v>
      </c>
      <c r="H3427" t="str">
        <f>VLOOKUP(qry_ProdData2_PDI_Cash_Exception_Application[[#This Row],[MARKET No]],'Site Allocation'!$B$2:$C$37,2,FALSE)</f>
        <v>Analyst3</v>
      </c>
      <c r="I3427" s="4">
        <f t="shared" ca="1" si="53"/>
        <v>45203</v>
      </c>
      <c r="J3427" s="42">
        <f ca="1">TODAY()-qry_ProdData2_PDI_Cash_Exception_Application[[#This Row],[INSERT DATE]]</f>
        <v>7.7429282407392748</v>
      </c>
      <c r="K34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27">
        <f ca="1">qry_ProdData2_PDI_Cash_Exception_Application[[#This Row],[TODAY]]-qry_ProdData2_PDI_Cash_Exception_Application[[#This Row],[CHANGED ON]]</f>
        <v>2.7429282407392748</v>
      </c>
      <c r="M3427">
        <f ca="1">qry_ProdData2_PDI_Cash_Exception_Application[[#This Row],[TODAY]]-qry_ProdData2_PDI_Cash_Exception_Application[[#This Row],[CHANGED ON]]</f>
        <v>2.7429282407392748</v>
      </c>
      <c r="N3427">
        <f ca="1">qry_ProdData2_PDI_Cash_Exception_Application[[#This Row],[TODAY]]-qry_ProdData2_PDI_Cash_Exception_Application[[#This Row],[CHANGED ON]]</f>
        <v>2.7429282407392748</v>
      </c>
    </row>
    <row r="3428" spans="1:14" x14ac:dyDescent="0.35">
      <c r="A3428">
        <v>1025</v>
      </c>
      <c r="B3428" t="s">
        <v>79</v>
      </c>
      <c r="C3428" s="1">
        <v>45191.257071759261</v>
      </c>
      <c r="D3428" t="str">
        <f ca="1">VLOOKUP(qry_ProdData2_PDI_Cash_Exception_Application[[#This Row],[TYPE]],#REF!,2,FALSE)</f>
        <v>type40</v>
      </c>
      <c r="E3428">
        <v>-807.26</v>
      </c>
      <c r="F3428" t="s">
        <v>50</v>
      </c>
      <c r="G3428" s="1">
        <f>qry_ProdData2_PDI_Cash_Exception_Application[[#This Row],[INSERT DATE]]+2</f>
        <v>45193.257071759261</v>
      </c>
      <c r="H3428" t="str">
        <f>VLOOKUP(qry_ProdData2_PDI_Cash_Exception_Application[[#This Row],[MARKET No]],'Site Allocation'!$B$2:$C$37,2,FALSE)</f>
        <v>Analyst5</v>
      </c>
      <c r="I3428" s="4">
        <f t="shared" ca="1" si="53"/>
        <v>45203</v>
      </c>
      <c r="J3428" s="42">
        <f ca="1">TODAY()-qry_ProdData2_PDI_Cash_Exception_Application[[#This Row],[INSERT DATE]]</f>
        <v>11.742928240739275</v>
      </c>
      <c r="K34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28">
        <f ca="1">qry_ProdData2_PDI_Cash_Exception_Application[[#This Row],[TODAY]]-qry_ProdData2_PDI_Cash_Exception_Application[[#This Row],[CHANGED ON]]</f>
        <v>9.7429282407392748</v>
      </c>
      <c r="M3428">
        <f ca="1">qry_ProdData2_PDI_Cash_Exception_Application[[#This Row],[TODAY]]-qry_ProdData2_PDI_Cash_Exception_Application[[#This Row],[CHANGED ON]]</f>
        <v>9.7429282407392748</v>
      </c>
      <c r="N3428">
        <f ca="1">qry_ProdData2_PDI_Cash_Exception_Application[[#This Row],[TODAY]]-qry_ProdData2_PDI_Cash_Exception_Application[[#This Row],[CHANGED ON]]</f>
        <v>9.7429282407392748</v>
      </c>
    </row>
    <row r="3429" spans="1:14" x14ac:dyDescent="0.35">
      <c r="A3429">
        <v>1009</v>
      </c>
      <c r="B3429" t="s">
        <v>63</v>
      </c>
      <c r="C3429" s="1">
        <v>45192.257071759261</v>
      </c>
      <c r="D3429" t="str">
        <f ca="1">VLOOKUP(qry_ProdData2_PDI_Cash_Exception_Application[[#This Row],[TYPE]],#REF!,2,FALSE)</f>
        <v>type40</v>
      </c>
      <c r="E3429">
        <v>3350.39</v>
      </c>
      <c r="F3429" t="s">
        <v>52</v>
      </c>
      <c r="G3429" s="1">
        <f>qry_ProdData2_PDI_Cash_Exception_Application[[#This Row],[INSERT DATE]]+2</f>
        <v>45194.257071759261</v>
      </c>
      <c r="H3429" t="str">
        <f>VLOOKUP(qry_ProdData2_PDI_Cash_Exception_Application[[#This Row],[MARKET No]],'Site Allocation'!$B$2:$C$37,2,FALSE)</f>
        <v>Analyst2</v>
      </c>
      <c r="I3429" s="4">
        <f t="shared" ca="1" si="53"/>
        <v>45203</v>
      </c>
      <c r="J3429" s="42">
        <f ca="1">TODAY()-qry_ProdData2_PDI_Cash_Exception_Application[[#This Row],[INSERT DATE]]</f>
        <v>10.742928240739275</v>
      </c>
      <c r="K34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29">
        <f ca="1">qry_ProdData2_PDI_Cash_Exception_Application[[#This Row],[TODAY]]-qry_ProdData2_PDI_Cash_Exception_Application[[#This Row],[CHANGED ON]]</f>
        <v>8.7429282407392748</v>
      </c>
      <c r="M3429">
        <f ca="1">qry_ProdData2_PDI_Cash_Exception_Application[[#This Row],[TODAY]]-qry_ProdData2_PDI_Cash_Exception_Application[[#This Row],[CHANGED ON]]</f>
        <v>8.7429282407392748</v>
      </c>
      <c r="N3429">
        <f ca="1">qry_ProdData2_PDI_Cash_Exception_Application[[#This Row],[TODAY]]-qry_ProdData2_PDI_Cash_Exception_Application[[#This Row],[CHANGED ON]]</f>
        <v>8.7429282407392748</v>
      </c>
    </row>
    <row r="3430" spans="1:14" x14ac:dyDescent="0.35">
      <c r="A3430">
        <v>1007</v>
      </c>
      <c r="B3430" t="s">
        <v>61</v>
      </c>
      <c r="C3430" s="1">
        <v>45193.257071759261</v>
      </c>
      <c r="D3430" t="str">
        <f ca="1">VLOOKUP(qry_ProdData2_PDI_Cash_Exception_Application[[#This Row],[TYPE]],#REF!,2,FALSE)</f>
        <v>type40</v>
      </c>
      <c r="E3430">
        <v>-760.98</v>
      </c>
      <c r="F3430" t="s">
        <v>50</v>
      </c>
      <c r="G3430" s="1">
        <f>qry_ProdData2_PDI_Cash_Exception_Application[[#This Row],[INSERT DATE]]+2</f>
        <v>45195.257071759261</v>
      </c>
      <c r="H3430" t="str">
        <f>VLOOKUP(qry_ProdData2_PDI_Cash_Exception_Application[[#This Row],[MARKET No]],'Site Allocation'!$B$2:$C$37,2,FALSE)</f>
        <v>Analyst2</v>
      </c>
      <c r="I3430" s="4">
        <f t="shared" ca="1" si="53"/>
        <v>45203</v>
      </c>
      <c r="J3430" s="42">
        <f ca="1">TODAY()-qry_ProdData2_PDI_Cash_Exception_Application[[#This Row],[INSERT DATE]]</f>
        <v>9.7429282407392748</v>
      </c>
      <c r="K34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30">
        <f ca="1">qry_ProdData2_PDI_Cash_Exception_Application[[#This Row],[TODAY]]-qry_ProdData2_PDI_Cash_Exception_Application[[#This Row],[CHANGED ON]]</f>
        <v>7.7429282407392748</v>
      </c>
      <c r="M3430">
        <f ca="1">qry_ProdData2_PDI_Cash_Exception_Application[[#This Row],[TODAY]]-qry_ProdData2_PDI_Cash_Exception_Application[[#This Row],[CHANGED ON]]</f>
        <v>7.7429282407392748</v>
      </c>
      <c r="N3430">
        <f ca="1">qry_ProdData2_PDI_Cash_Exception_Application[[#This Row],[TODAY]]-qry_ProdData2_PDI_Cash_Exception_Application[[#This Row],[CHANGED ON]]</f>
        <v>7.7429282407392748</v>
      </c>
    </row>
    <row r="3431" spans="1:14" x14ac:dyDescent="0.35">
      <c r="A3431">
        <v>1019</v>
      </c>
      <c r="B3431" t="s">
        <v>73</v>
      </c>
      <c r="C3431" s="1">
        <v>45194.257071759261</v>
      </c>
      <c r="D3431" t="str">
        <f ca="1">VLOOKUP(qry_ProdData2_PDI_Cash_Exception_Application[[#This Row],[TYPE]],#REF!,2,FALSE)</f>
        <v>type40</v>
      </c>
      <c r="E3431">
        <v>1570.74</v>
      </c>
      <c r="F3431" t="s">
        <v>50</v>
      </c>
      <c r="G3431" s="1">
        <f>qry_ProdData2_PDI_Cash_Exception_Application[[#This Row],[INSERT DATE]]+2</f>
        <v>45196.257071759261</v>
      </c>
      <c r="H3431" t="str">
        <f>VLOOKUP(qry_ProdData2_PDI_Cash_Exception_Application[[#This Row],[MARKET No]],'Site Allocation'!$B$2:$C$37,2,FALSE)</f>
        <v>Analyst4</v>
      </c>
      <c r="I3431" s="4">
        <f t="shared" ca="1" si="53"/>
        <v>45203</v>
      </c>
      <c r="J3431" s="42">
        <f ca="1">TODAY()-qry_ProdData2_PDI_Cash_Exception_Application[[#This Row],[INSERT DATE]]</f>
        <v>8.7429282407392748</v>
      </c>
      <c r="K34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31">
        <f ca="1">qry_ProdData2_PDI_Cash_Exception_Application[[#This Row],[TODAY]]-qry_ProdData2_PDI_Cash_Exception_Application[[#This Row],[CHANGED ON]]</f>
        <v>6.7429282407392748</v>
      </c>
      <c r="M3431">
        <f ca="1">qry_ProdData2_PDI_Cash_Exception_Application[[#This Row],[TODAY]]-qry_ProdData2_PDI_Cash_Exception_Application[[#This Row],[CHANGED ON]]</f>
        <v>6.7429282407392748</v>
      </c>
      <c r="N3431">
        <f ca="1">qry_ProdData2_PDI_Cash_Exception_Application[[#This Row],[TODAY]]-qry_ProdData2_PDI_Cash_Exception_Application[[#This Row],[CHANGED ON]]</f>
        <v>6.7429282407392748</v>
      </c>
    </row>
    <row r="3432" spans="1:14" x14ac:dyDescent="0.35">
      <c r="A3432">
        <v>1008</v>
      </c>
      <c r="B3432" t="s">
        <v>62</v>
      </c>
      <c r="C3432" s="1">
        <v>45193.257071759261</v>
      </c>
      <c r="D3432" t="str">
        <f ca="1">VLOOKUP(qry_ProdData2_PDI_Cash_Exception_Application[[#This Row],[TYPE]],#REF!,2,FALSE)</f>
        <v>type40</v>
      </c>
      <c r="E3432">
        <v>-358.31</v>
      </c>
      <c r="F3432" t="s">
        <v>47</v>
      </c>
      <c r="G3432" s="1">
        <f>qry_ProdData2_PDI_Cash_Exception_Application[[#This Row],[INSERT DATE]]+5</f>
        <v>45198.257071759261</v>
      </c>
      <c r="H3432" t="str">
        <f>VLOOKUP(qry_ProdData2_PDI_Cash_Exception_Application[[#This Row],[MARKET No]],'Site Allocation'!$B$2:$C$37,2,FALSE)</f>
        <v>Analyst2</v>
      </c>
      <c r="I3432" s="4">
        <f t="shared" ca="1" si="53"/>
        <v>45203</v>
      </c>
      <c r="J3432" s="42">
        <f ca="1">TODAY()-qry_ProdData2_PDI_Cash_Exception_Application[[#This Row],[INSERT DATE]]</f>
        <v>9.7429282407392748</v>
      </c>
      <c r="K34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32">
        <f ca="1">qry_ProdData2_PDI_Cash_Exception_Application[[#This Row],[TODAY]]-qry_ProdData2_PDI_Cash_Exception_Application[[#This Row],[CHANGED ON]]</f>
        <v>4.7429282407392748</v>
      </c>
      <c r="M3432">
        <f ca="1">qry_ProdData2_PDI_Cash_Exception_Application[[#This Row],[TODAY]]-qry_ProdData2_PDI_Cash_Exception_Application[[#This Row],[CHANGED ON]]</f>
        <v>4.7429282407392748</v>
      </c>
      <c r="N3432">
        <f ca="1">qry_ProdData2_PDI_Cash_Exception_Application[[#This Row],[TODAY]]-qry_ProdData2_PDI_Cash_Exception_Application[[#This Row],[CHANGED ON]]</f>
        <v>4.7429282407392748</v>
      </c>
    </row>
    <row r="3433" spans="1:14" x14ac:dyDescent="0.35">
      <c r="A3433">
        <v>1009</v>
      </c>
      <c r="B3433" t="s">
        <v>63</v>
      </c>
      <c r="C3433" s="1">
        <v>45193.257071759261</v>
      </c>
      <c r="D3433" t="str">
        <f ca="1">VLOOKUP(qry_ProdData2_PDI_Cash_Exception_Application[[#This Row],[TYPE]],#REF!,2,FALSE)</f>
        <v>type27</v>
      </c>
      <c r="E3433">
        <v>1042.5999999999999</v>
      </c>
      <c r="F3433" t="s">
        <v>47</v>
      </c>
      <c r="G3433" s="1">
        <f>qry_ProdData2_PDI_Cash_Exception_Application[[#This Row],[INSERT DATE]]+1</f>
        <v>45194.257071759261</v>
      </c>
      <c r="H3433" t="str">
        <f>VLOOKUP(qry_ProdData2_PDI_Cash_Exception_Application[[#This Row],[MARKET No]],'Site Allocation'!$B$2:$C$37,2,FALSE)</f>
        <v>Analyst2</v>
      </c>
      <c r="I3433" s="4">
        <f t="shared" ca="1" si="53"/>
        <v>45203</v>
      </c>
      <c r="J3433" s="42">
        <f ca="1">TODAY()-qry_ProdData2_PDI_Cash_Exception_Application[[#This Row],[INSERT DATE]]</f>
        <v>9.7429282407392748</v>
      </c>
      <c r="K34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33">
        <f ca="1">qry_ProdData2_PDI_Cash_Exception_Application[[#This Row],[TODAY]]-qry_ProdData2_PDI_Cash_Exception_Application[[#This Row],[CHANGED ON]]</f>
        <v>8.7429282407392748</v>
      </c>
      <c r="M3433">
        <f ca="1">qry_ProdData2_PDI_Cash_Exception_Application[[#This Row],[TODAY]]-qry_ProdData2_PDI_Cash_Exception_Application[[#This Row],[CHANGED ON]]</f>
        <v>8.7429282407392748</v>
      </c>
      <c r="N3433">
        <f ca="1">qry_ProdData2_PDI_Cash_Exception_Application[[#This Row],[TODAY]]-qry_ProdData2_PDI_Cash_Exception_Application[[#This Row],[CHANGED ON]]</f>
        <v>8.7429282407392748</v>
      </c>
    </row>
    <row r="3434" spans="1:14" x14ac:dyDescent="0.35">
      <c r="A3434">
        <v>1004</v>
      </c>
      <c r="B3434" t="s">
        <v>58</v>
      </c>
      <c r="C3434" s="1">
        <v>45195.257071759261</v>
      </c>
      <c r="D3434" t="str">
        <f ca="1">VLOOKUP(qry_ProdData2_PDI_Cash_Exception_Application[[#This Row],[TYPE]],#REF!,2,FALSE)</f>
        <v>type26</v>
      </c>
      <c r="E3434">
        <v>149.85</v>
      </c>
      <c r="F3434" t="s">
        <v>51</v>
      </c>
      <c r="G3434" s="1">
        <f>qry_ProdData2_PDI_Cash_Exception_Application[[#This Row],[INSERT DATE]]+7</f>
        <v>45202.257071759261</v>
      </c>
      <c r="H3434" t="str">
        <f>VLOOKUP(qry_ProdData2_PDI_Cash_Exception_Application[[#This Row],[MARKET No]],'Site Allocation'!$B$2:$C$37,2,FALSE)</f>
        <v>Analyst1</v>
      </c>
      <c r="I3434" s="4">
        <f t="shared" ca="1" si="53"/>
        <v>45203</v>
      </c>
      <c r="J3434" s="42">
        <f ca="1">TODAY()-qry_ProdData2_PDI_Cash_Exception_Application[[#This Row],[INSERT DATE]]</f>
        <v>7.7429282407392748</v>
      </c>
      <c r="K34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34">
        <f ca="1">qry_ProdData2_PDI_Cash_Exception_Application[[#This Row],[TODAY]]-qry_ProdData2_PDI_Cash_Exception_Application[[#This Row],[CHANGED ON]]</f>
        <v>0.74292824073927477</v>
      </c>
      <c r="M3434">
        <f ca="1">qry_ProdData2_PDI_Cash_Exception_Application[[#This Row],[TODAY]]-qry_ProdData2_PDI_Cash_Exception_Application[[#This Row],[CHANGED ON]]</f>
        <v>0.74292824073927477</v>
      </c>
      <c r="N3434">
        <f ca="1">qry_ProdData2_PDI_Cash_Exception_Application[[#This Row],[TODAY]]-qry_ProdData2_PDI_Cash_Exception_Application[[#This Row],[CHANGED ON]]</f>
        <v>0.74292824073927477</v>
      </c>
    </row>
    <row r="3435" spans="1:14" x14ac:dyDescent="0.35">
      <c r="A3435">
        <v>1002</v>
      </c>
      <c r="B3435" t="s">
        <v>56</v>
      </c>
      <c r="C3435" s="1">
        <v>45193.257071759261</v>
      </c>
      <c r="D3435" t="str">
        <f ca="1">VLOOKUP(qry_ProdData2_PDI_Cash_Exception_Application[[#This Row],[TYPE]],#REF!,2,FALSE)</f>
        <v>type21</v>
      </c>
      <c r="E3435">
        <v>575.25</v>
      </c>
      <c r="G3435" s="1">
        <f>qry_ProdData2_PDI_Cash_Exception_Application[[#This Row],[INSERT DATE]]+2</f>
        <v>45195.257071759261</v>
      </c>
      <c r="H3435" t="str">
        <f>VLOOKUP(qry_ProdData2_PDI_Cash_Exception_Application[[#This Row],[MARKET No]],'Site Allocation'!$B$2:$C$37,2,FALSE)</f>
        <v>Analyst1</v>
      </c>
      <c r="I3435" s="4">
        <f t="shared" ca="1" si="53"/>
        <v>45203</v>
      </c>
      <c r="J3435" s="42">
        <f ca="1">TODAY()-qry_ProdData2_PDI_Cash_Exception_Application[[#This Row],[INSERT DATE]]</f>
        <v>9.7429282407392748</v>
      </c>
      <c r="K34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35">
        <f ca="1">qry_ProdData2_PDI_Cash_Exception_Application[[#This Row],[TODAY]]-qry_ProdData2_PDI_Cash_Exception_Application[[#This Row],[CHANGED ON]]</f>
        <v>7.7429282407392748</v>
      </c>
      <c r="M3435">
        <f ca="1">qry_ProdData2_PDI_Cash_Exception_Application[[#This Row],[TODAY]]-qry_ProdData2_PDI_Cash_Exception_Application[[#This Row],[CHANGED ON]]</f>
        <v>7.7429282407392748</v>
      </c>
      <c r="N3435">
        <f ca="1">qry_ProdData2_PDI_Cash_Exception_Application[[#This Row],[TODAY]]-qry_ProdData2_PDI_Cash_Exception_Application[[#This Row],[CHANGED ON]]</f>
        <v>7.7429282407392748</v>
      </c>
    </row>
    <row r="3436" spans="1:14" x14ac:dyDescent="0.35">
      <c r="A3436">
        <v>1025</v>
      </c>
      <c r="B3436" t="s">
        <v>79</v>
      </c>
      <c r="C3436" s="1">
        <v>45193.257071759261</v>
      </c>
      <c r="D3436" t="str">
        <f ca="1">VLOOKUP(qry_ProdData2_PDI_Cash_Exception_Application[[#This Row],[TYPE]],#REF!,2,FALSE)</f>
        <v>type40</v>
      </c>
      <c r="E3436">
        <v>-301.32</v>
      </c>
      <c r="F3436" t="s">
        <v>47</v>
      </c>
      <c r="G3436" s="1">
        <f>qry_ProdData2_PDI_Cash_Exception_Application[[#This Row],[INSERT DATE]]+7</f>
        <v>45200.257071759261</v>
      </c>
      <c r="H3436" t="str">
        <f>VLOOKUP(qry_ProdData2_PDI_Cash_Exception_Application[[#This Row],[MARKET No]],'Site Allocation'!$B$2:$C$37,2,FALSE)</f>
        <v>Analyst5</v>
      </c>
      <c r="I3436" s="4">
        <f t="shared" ca="1" si="53"/>
        <v>45203</v>
      </c>
      <c r="J3436" s="42">
        <f ca="1">TODAY()-qry_ProdData2_PDI_Cash_Exception_Application[[#This Row],[INSERT DATE]]</f>
        <v>9.7429282407392748</v>
      </c>
      <c r="K34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36">
        <f ca="1">qry_ProdData2_PDI_Cash_Exception_Application[[#This Row],[TODAY]]-qry_ProdData2_PDI_Cash_Exception_Application[[#This Row],[CHANGED ON]]</f>
        <v>2.7429282407392748</v>
      </c>
      <c r="M3436">
        <f ca="1">qry_ProdData2_PDI_Cash_Exception_Application[[#This Row],[TODAY]]-qry_ProdData2_PDI_Cash_Exception_Application[[#This Row],[CHANGED ON]]</f>
        <v>2.7429282407392748</v>
      </c>
      <c r="N3436">
        <f ca="1">qry_ProdData2_PDI_Cash_Exception_Application[[#This Row],[TODAY]]-qry_ProdData2_PDI_Cash_Exception_Application[[#This Row],[CHANGED ON]]</f>
        <v>2.7429282407392748</v>
      </c>
    </row>
    <row r="3437" spans="1:14" x14ac:dyDescent="0.35">
      <c r="A3437">
        <v>1033</v>
      </c>
      <c r="B3437" t="s">
        <v>87</v>
      </c>
      <c r="C3437" s="1">
        <v>45193.257071759261</v>
      </c>
      <c r="D3437" t="str">
        <f ca="1">VLOOKUP(qry_ProdData2_PDI_Cash_Exception_Application[[#This Row],[TYPE]],#REF!,2,FALSE)</f>
        <v>type40</v>
      </c>
      <c r="E3437">
        <v>-461.15</v>
      </c>
      <c r="F3437" t="s">
        <v>48</v>
      </c>
      <c r="G3437" s="1">
        <f>qry_ProdData2_PDI_Cash_Exception_Application[[#This Row],[INSERT DATE]]+1</f>
        <v>45194.257071759261</v>
      </c>
      <c r="H3437" t="str">
        <f>VLOOKUP(qry_ProdData2_PDI_Cash_Exception_Application[[#This Row],[MARKET No]],'Site Allocation'!$B$2:$C$37,2,FALSE)</f>
        <v>Analyst6</v>
      </c>
      <c r="I3437" s="4">
        <f t="shared" ca="1" si="53"/>
        <v>45203</v>
      </c>
      <c r="J3437" s="42">
        <f ca="1">TODAY()-qry_ProdData2_PDI_Cash_Exception_Application[[#This Row],[INSERT DATE]]</f>
        <v>9.7429282407392748</v>
      </c>
      <c r="K34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37">
        <f ca="1">qry_ProdData2_PDI_Cash_Exception_Application[[#This Row],[TODAY]]-qry_ProdData2_PDI_Cash_Exception_Application[[#This Row],[CHANGED ON]]</f>
        <v>8.7429282407392748</v>
      </c>
      <c r="M3437">
        <f ca="1">qry_ProdData2_PDI_Cash_Exception_Application[[#This Row],[TODAY]]-qry_ProdData2_PDI_Cash_Exception_Application[[#This Row],[CHANGED ON]]</f>
        <v>8.7429282407392748</v>
      </c>
      <c r="N3437">
        <f ca="1">qry_ProdData2_PDI_Cash_Exception_Application[[#This Row],[TODAY]]-qry_ProdData2_PDI_Cash_Exception_Application[[#This Row],[CHANGED ON]]</f>
        <v>8.7429282407392748</v>
      </c>
    </row>
    <row r="3438" spans="1:14" x14ac:dyDescent="0.35">
      <c r="A3438">
        <v>1016</v>
      </c>
      <c r="B3438" t="s">
        <v>70</v>
      </c>
      <c r="C3438" s="1">
        <v>45193.257071759261</v>
      </c>
      <c r="D3438" t="str">
        <f ca="1">VLOOKUP(qry_ProdData2_PDI_Cash_Exception_Application[[#This Row],[TYPE]],#REF!,2,FALSE)</f>
        <v>type13</v>
      </c>
      <c r="E3438">
        <v>15521.5</v>
      </c>
      <c r="F3438" t="s">
        <v>48</v>
      </c>
      <c r="G3438" s="1">
        <f>qry_ProdData2_PDI_Cash_Exception_Application[[#This Row],[INSERT DATE]]+1</f>
        <v>45194.257071759261</v>
      </c>
      <c r="H3438" t="str">
        <f>VLOOKUP(qry_ProdData2_PDI_Cash_Exception_Application[[#This Row],[MARKET No]],'Site Allocation'!$B$2:$C$37,2,FALSE)</f>
        <v>Analyst3</v>
      </c>
      <c r="I3438" s="4">
        <f t="shared" ca="1" si="53"/>
        <v>45203</v>
      </c>
      <c r="J3438" s="42">
        <f ca="1">TODAY()-qry_ProdData2_PDI_Cash_Exception_Application[[#This Row],[INSERT DATE]]</f>
        <v>9.7429282407392748</v>
      </c>
      <c r="K34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38">
        <f ca="1">qry_ProdData2_PDI_Cash_Exception_Application[[#This Row],[TODAY]]-qry_ProdData2_PDI_Cash_Exception_Application[[#This Row],[CHANGED ON]]</f>
        <v>8.7429282407392748</v>
      </c>
      <c r="M3438">
        <f ca="1">qry_ProdData2_PDI_Cash_Exception_Application[[#This Row],[TODAY]]-qry_ProdData2_PDI_Cash_Exception_Application[[#This Row],[CHANGED ON]]</f>
        <v>8.7429282407392748</v>
      </c>
      <c r="N3438">
        <f ca="1">qry_ProdData2_PDI_Cash_Exception_Application[[#This Row],[TODAY]]-qry_ProdData2_PDI_Cash_Exception_Application[[#This Row],[CHANGED ON]]</f>
        <v>8.7429282407392748</v>
      </c>
    </row>
    <row r="3439" spans="1:14" x14ac:dyDescent="0.35">
      <c r="A3439">
        <v>1013</v>
      </c>
      <c r="B3439" t="s">
        <v>67</v>
      </c>
      <c r="C3439" s="1">
        <v>45193.257071759261</v>
      </c>
      <c r="D3439" t="str">
        <f ca="1">VLOOKUP(qry_ProdData2_PDI_Cash_Exception_Application[[#This Row],[TYPE]],#REF!,2,FALSE)</f>
        <v>type40</v>
      </c>
      <c r="E3439">
        <v>-489.63</v>
      </c>
      <c r="F3439" t="s">
        <v>47</v>
      </c>
      <c r="G3439" s="1">
        <f>qry_ProdData2_PDI_Cash_Exception_Application[[#This Row],[INSERT DATE]]+7</f>
        <v>45200.257071759261</v>
      </c>
      <c r="H3439" t="str">
        <f>VLOOKUP(qry_ProdData2_PDI_Cash_Exception_Application[[#This Row],[MARKET No]],'Site Allocation'!$B$2:$C$37,2,FALSE)</f>
        <v>Analyst3</v>
      </c>
      <c r="I3439" s="4">
        <f t="shared" ca="1" si="53"/>
        <v>45203</v>
      </c>
      <c r="J3439" s="42">
        <f ca="1">TODAY()-qry_ProdData2_PDI_Cash_Exception_Application[[#This Row],[INSERT DATE]]</f>
        <v>9.7429282407392748</v>
      </c>
      <c r="K34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39">
        <f ca="1">qry_ProdData2_PDI_Cash_Exception_Application[[#This Row],[TODAY]]-qry_ProdData2_PDI_Cash_Exception_Application[[#This Row],[CHANGED ON]]</f>
        <v>2.7429282407392748</v>
      </c>
      <c r="M3439">
        <f ca="1">qry_ProdData2_PDI_Cash_Exception_Application[[#This Row],[TODAY]]-qry_ProdData2_PDI_Cash_Exception_Application[[#This Row],[CHANGED ON]]</f>
        <v>2.7429282407392748</v>
      </c>
      <c r="N3439">
        <f ca="1">qry_ProdData2_PDI_Cash_Exception_Application[[#This Row],[TODAY]]-qry_ProdData2_PDI_Cash_Exception_Application[[#This Row],[CHANGED ON]]</f>
        <v>2.7429282407392748</v>
      </c>
    </row>
    <row r="3440" spans="1:14" x14ac:dyDescent="0.35">
      <c r="A3440">
        <v>1021</v>
      </c>
      <c r="B3440" t="s">
        <v>75</v>
      </c>
      <c r="C3440" s="1">
        <v>45195.257071759261</v>
      </c>
      <c r="D3440" t="str">
        <f ca="1">VLOOKUP(qry_ProdData2_PDI_Cash_Exception_Application[[#This Row],[TYPE]],#REF!,2,FALSE)</f>
        <v>type27</v>
      </c>
      <c r="E3440">
        <v>819.23</v>
      </c>
      <c r="G3440" s="1">
        <f>qry_ProdData2_PDI_Cash_Exception_Application[[#This Row],[INSERT DATE]]+2</f>
        <v>45197.257071759261</v>
      </c>
      <c r="H3440" t="str">
        <f>VLOOKUP(qry_ProdData2_PDI_Cash_Exception_Application[[#This Row],[MARKET No]],'Site Allocation'!$B$2:$C$37,2,FALSE)</f>
        <v>Analyst4</v>
      </c>
      <c r="I3440" s="4">
        <f t="shared" ca="1" si="53"/>
        <v>45203</v>
      </c>
      <c r="J3440" s="42">
        <f ca="1">TODAY()-qry_ProdData2_PDI_Cash_Exception_Application[[#This Row],[INSERT DATE]]</f>
        <v>7.7429282407392748</v>
      </c>
      <c r="K34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40">
        <f ca="1">qry_ProdData2_PDI_Cash_Exception_Application[[#This Row],[TODAY]]-qry_ProdData2_PDI_Cash_Exception_Application[[#This Row],[CHANGED ON]]</f>
        <v>5.7429282407392748</v>
      </c>
      <c r="M3440">
        <f ca="1">qry_ProdData2_PDI_Cash_Exception_Application[[#This Row],[TODAY]]-qry_ProdData2_PDI_Cash_Exception_Application[[#This Row],[CHANGED ON]]</f>
        <v>5.7429282407392748</v>
      </c>
      <c r="N3440">
        <f ca="1">qry_ProdData2_PDI_Cash_Exception_Application[[#This Row],[TODAY]]-qry_ProdData2_PDI_Cash_Exception_Application[[#This Row],[CHANGED ON]]</f>
        <v>5.7429282407392748</v>
      </c>
    </row>
    <row r="3441" spans="1:14" x14ac:dyDescent="0.35">
      <c r="A3441">
        <v>1005</v>
      </c>
      <c r="B3441" t="s">
        <v>59</v>
      </c>
      <c r="C3441" s="1">
        <v>45183.257071759261</v>
      </c>
      <c r="D3441" t="str">
        <f ca="1">VLOOKUP(qry_ProdData2_PDI_Cash_Exception_Application[[#This Row],[TYPE]],#REF!,2,FALSE)</f>
        <v>type26</v>
      </c>
      <c r="E3441">
        <v>251.34</v>
      </c>
      <c r="F3441" t="s">
        <v>50</v>
      </c>
      <c r="G3441" s="1">
        <f>qry_ProdData2_PDI_Cash_Exception_Application[[#This Row],[INSERT DATE]]+5</f>
        <v>45188.257071759261</v>
      </c>
      <c r="H3441" t="str">
        <f>VLOOKUP(qry_ProdData2_PDI_Cash_Exception_Application[[#This Row],[MARKET No]],'Site Allocation'!$B$2:$C$37,2,FALSE)</f>
        <v>Analyst1</v>
      </c>
      <c r="I3441" s="4">
        <f t="shared" ca="1" si="53"/>
        <v>45203</v>
      </c>
      <c r="J3441" s="42">
        <f ca="1">TODAY()-qry_ProdData2_PDI_Cash_Exception_Application[[#This Row],[INSERT DATE]]</f>
        <v>19.742928240739275</v>
      </c>
      <c r="K34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41">
        <f ca="1">qry_ProdData2_PDI_Cash_Exception_Application[[#This Row],[TODAY]]-qry_ProdData2_PDI_Cash_Exception_Application[[#This Row],[CHANGED ON]]</f>
        <v>14.742928240739275</v>
      </c>
      <c r="M3441">
        <f ca="1">qry_ProdData2_PDI_Cash_Exception_Application[[#This Row],[TODAY]]-qry_ProdData2_PDI_Cash_Exception_Application[[#This Row],[CHANGED ON]]</f>
        <v>14.742928240739275</v>
      </c>
      <c r="N3441">
        <f ca="1">qry_ProdData2_PDI_Cash_Exception_Application[[#This Row],[TODAY]]-qry_ProdData2_PDI_Cash_Exception_Application[[#This Row],[CHANGED ON]]</f>
        <v>14.742928240739275</v>
      </c>
    </row>
    <row r="3442" spans="1:14" x14ac:dyDescent="0.35">
      <c r="A3442">
        <v>1022</v>
      </c>
      <c r="B3442" t="s">
        <v>76</v>
      </c>
      <c r="C3442" s="1">
        <v>45194.257071759261</v>
      </c>
      <c r="D3442" t="str">
        <f ca="1">VLOOKUP(qry_ProdData2_PDI_Cash_Exception_Application[[#This Row],[TYPE]],#REF!,2,FALSE)</f>
        <v>type13</v>
      </c>
      <c r="E3442">
        <v>33384.949999999997</v>
      </c>
      <c r="F3442" t="s">
        <v>48</v>
      </c>
      <c r="G3442" s="1">
        <f>qry_ProdData2_PDI_Cash_Exception_Application[[#This Row],[INSERT DATE]]+1</f>
        <v>45195.257071759261</v>
      </c>
      <c r="H3442" t="str">
        <f>VLOOKUP(qry_ProdData2_PDI_Cash_Exception_Application[[#This Row],[MARKET No]],'Site Allocation'!$B$2:$C$37,2,FALSE)</f>
        <v>Analyst4</v>
      </c>
      <c r="I3442" s="4">
        <f t="shared" ca="1" si="53"/>
        <v>45203</v>
      </c>
      <c r="J3442" s="42">
        <f ca="1">TODAY()-qry_ProdData2_PDI_Cash_Exception_Application[[#This Row],[INSERT DATE]]</f>
        <v>8.7429282407392748</v>
      </c>
      <c r="K34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42">
        <f ca="1">qry_ProdData2_PDI_Cash_Exception_Application[[#This Row],[TODAY]]-qry_ProdData2_PDI_Cash_Exception_Application[[#This Row],[CHANGED ON]]</f>
        <v>7.7429282407392748</v>
      </c>
      <c r="M3442">
        <f ca="1">qry_ProdData2_PDI_Cash_Exception_Application[[#This Row],[TODAY]]-qry_ProdData2_PDI_Cash_Exception_Application[[#This Row],[CHANGED ON]]</f>
        <v>7.7429282407392748</v>
      </c>
      <c r="N3442">
        <f ca="1">qry_ProdData2_PDI_Cash_Exception_Application[[#This Row],[TODAY]]-qry_ProdData2_PDI_Cash_Exception_Application[[#This Row],[CHANGED ON]]</f>
        <v>7.7429282407392748</v>
      </c>
    </row>
    <row r="3443" spans="1:14" x14ac:dyDescent="0.35">
      <c r="A3443">
        <v>1028</v>
      </c>
      <c r="B3443" t="s">
        <v>82</v>
      </c>
      <c r="C3443" s="1">
        <v>45195.257071759261</v>
      </c>
      <c r="D3443" t="str">
        <f ca="1">VLOOKUP(qry_ProdData2_PDI_Cash_Exception_Application[[#This Row],[TYPE]],#REF!,2,FALSE)</f>
        <v>type26</v>
      </c>
      <c r="E3443">
        <v>214.25</v>
      </c>
      <c r="F3443" t="s">
        <v>48</v>
      </c>
      <c r="G3443" s="1">
        <f>qry_ProdData2_PDI_Cash_Exception_Application[[#This Row],[INSERT DATE]]+5</f>
        <v>45200.257071759261</v>
      </c>
      <c r="H3443" t="str">
        <f>VLOOKUP(qry_ProdData2_PDI_Cash_Exception_Application[[#This Row],[MARKET No]],'Site Allocation'!$B$2:$C$37,2,FALSE)</f>
        <v>Analyst5</v>
      </c>
      <c r="I3443" s="4">
        <f t="shared" ca="1" si="53"/>
        <v>45203</v>
      </c>
      <c r="J3443" s="42">
        <f ca="1">TODAY()-qry_ProdData2_PDI_Cash_Exception_Application[[#This Row],[INSERT DATE]]</f>
        <v>7.7429282407392748</v>
      </c>
      <c r="K34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43">
        <f ca="1">qry_ProdData2_PDI_Cash_Exception_Application[[#This Row],[TODAY]]-qry_ProdData2_PDI_Cash_Exception_Application[[#This Row],[CHANGED ON]]</f>
        <v>2.7429282407392748</v>
      </c>
      <c r="M3443">
        <f ca="1">qry_ProdData2_PDI_Cash_Exception_Application[[#This Row],[TODAY]]-qry_ProdData2_PDI_Cash_Exception_Application[[#This Row],[CHANGED ON]]</f>
        <v>2.7429282407392748</v>
      </c>
      <c r="N3443">
        <f ca="1">qry_ProdData2_PDI_Cash_Exception_Application[[#This Row],[TODAY]]-qry_ProdData2_PDI_Cash_Exception_Application[[#This Row],[CHANGED ON]]</f>
        <v>2.7429282407392748</v>
      </c>
    </row>
    <row r="3444" spans="1:14" x14ac:dyDescent="0.35">
      <c r="A3444">
        <v>1018</v>
      </c>
      <c r="B3444" t="s">
        <v>72</v>
      </c>
      <c r="C3444" s="1">
        <v>45194.257071759261</v>
      </c>
      <c r="D3444" t="str">
        <f ca="1">VLOOKUP(qry_ProdData2_PDI_Cash_Exception_Application[[#This Row],[TYPE]],#REF!,2,FALSE)</f>
        <v>type40</v>
      </c>
      <c r="E3444">
        <v>-1140.3499999999999</v>
      </c>
      <c r="G3444" s="1">
        <f>qry_ProdData2_PDI_Cash_Exception_Application[[#This Row],[INSERT DATE]]+2</f>
        <v>45196.257071759261</v>
      </c>
      <c r="H3444" t="str">
        <f>VLOOKUP(qry_ProdData2_PDI_Cash_Exception_Application[[#This Row],[MARKET No]],'Site Allocation'!$B$2:$C$37,2,FALSE)</f>
        <v>Analyst4</v>
      </c>
      <c r="I3444" s="4">
        <f t="shared" ca="1" si="53"/>
        <v>45203</v>
      </c>
      <c r="J3444" s="42">
        <f ca="1">TODAY()-qry_ProdData2_PDI_Cash_Exception_Application[[#This Row],[INSERT DATE]]</f>
        <v>8.7429282407392748</v>
      </c>
      <c r="K34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44">
        <f ca="1">qry_ProdData2_PDI_Cash_Exception_Application[[#This Row],[TODAY]]-qry_ProdData2_PDI_Cash_Exception_Application[[#This Row],[CHANGED ON]]</f>
        <v>6.7429282407392748</v>
      </c>
      <c r="M3444">
        <f ca="1">qry_ProdData2_PDI_Cash_Exception_Application[[#This Row],[TODAY]]-qry_ProdData2_PDI_Cash_Exception_Application[[#This Row],[CHANGED ON]]</f>
        <v>6.7429282407392748</v>
      </c>
      <c r="N3444">
        <f ca="1">qry_ProdData2_PDI_Cash_Exception_Application[[#This Row],[TODAY]]-qry_ProdData2_PDI_Cash_Exception_Application[[#This Row],[CHANGED ON]]</f>
        <v>6.7429282407392748</v>
      </c>
    </row>
    <row r="3445" spans="1:14" x14ac:dyDescent="0.35">
      <c r="A3445">
        <v>1000</v>
      </c>
      <c r="B3445" t="s">
        <v>54</v>
      </c>
      <c r="C3445" s="1">
        <v>45195.257071759261</v>
      </c>
      <c r="D3445" t="str">
        <f ca="1">VLOOKUP(qry_ProdData2_PDI_Cash_Exception_Application[[#This Row],[TYPE]],#REF!,2,FALSE)</f>
        <v>type40</v>
      </c>
      <c r="E3445">
        <v>99</v>
      </c>
      <c r="F3445" t="s">
        <v>51</v>
      </c>
      <c r="G3445" s="1">
        <f>qry_ProdData2_PDI_Cash_Exception_Application[[#This Row],[INSERT DATE]]+7</f>
        <v>45202.257071759261</v>
      </c>
      <c r="H3445" t="str">
        <f>VLOOKUP(qry_ProdData2_PDI_Cash_Exception_Application[[#This Row],[MARKET No]],'Site Allocation'!$B$2:$C$37,2,FALSE)</f>
        <v>Analyst1</v>
      </c>
      <c r="I3445" s="4">
        <f t="shared" ca="1" si="53"/>
        <v>45203</v>
      </c>
      <c r="J3445" s="42">
        <f ca="1">TODAY()-qry_ProdData2_PDI_Cash_Exception_Application[[#This Row],[INSERT DATE]]</f>
        <v>7.7429282407392748</v>
      </c>
      <c r="K34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45">
        <f ca="1">qry_ProdData2_PDI_Cash_Exception_Application[[#This Row],[TODAY]]-qry_ProdData2_PDI_Cash_Exception_Application[[#This Row],[CHANGED ON]]</f>
        <v>0.74292824073927477</v>
      </c>
      <c r="M3445">
        <f ca="1">qry_ProdData2_PDI_Cash_Exception_Application[[#This Row],[TODAY]]-qry_ProdData2_PDI_Cash_Exception_Application[[#This Row],[CHANGED ON]]</f>
        <v>0.74292824073927477</v>
      </c>
      <c r="N3445">
        <f ca="1">qry_ProdData2_PDI_Cash_Exception_Application[[#This Row],[TODAY]]-qry_ProdData2_PDI_Cash_Exception_Application[[#This Row],[CHANGED ON]]</f>
        <v>0.74292824073927477</v>
      </c>
    </row>
    <row r="3446" spans="1:14" x14ac:dyDescent="0.35">
      <c r="A3446">
        <v>1028</v>
      </c>
      <c r="B3446" t="s">
        <v>82</v>
      </c>
      <c r="C3446" s="1">
        <v>45195.257071759261</v>
      </c>
      <c r="D3446" t="str">
        <f ca="1">VLOOKUP(qry_ProdData2_PDI_Cash_Exception_Application[[#This Row],[TYPE]],#REF!,2,FALSE)</f>
        <v>type8</v>
      </c>
      <c r="E3446">
        <v>55.25</v>
      </c>
      <c r="F3446" t="s">
        <v>51</v>
      </c>
      <c r="G3446" s="1">
        <f>qry_ProdData2_PDI_Cash_Exception_Application[[#This Row],[INSERT DATE]]+1</f>
        <v>45196.257071759261</v>
      </c>
      <c r="H3446" t="str">
        <f>VLOOKUP(qry_ProdData2_PDI_Cash_Exception_Application[[#This Row],[MARKET No]],'Site Allocation'!$B$2:$C$37,2,FALSE)</f>
        <v>Analyst5</v>
      </c>
      <c r="I3446" s="4">
        <f t="shared" ca="1" si="53"/>
        <v>45203</v>
      </c>
      <c r="J3446" s="42">
        <f ca="1">TODAY()-qry_ProdData2_PDI_Cash_Exception_Application[[#This Row],[INSERT DATE]]</f>
        <v>7.7429282407392748</v>
      </c>
      <c r="K34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46">
        <f ca="1">qry_ProdData2_PDI_Cash_Exception_Application[[#This Row],[TODAY]]-qry_ProdData2_PDI_Cash_Exception_Application[[#This Row],[CHANGED ON]]</f>
        <v>6.7429282407392748</v>
      </c>
      <c r="M3446">
        <f ca="1">qry_ProdData2_PDI_Cash_Exception_Application[[#This Row],[TODAY]]-qry_ProdData2_PDI_Cash_Exception_Application[[#This Row],[CHANGED ON]]</f>
        <v>6.7429282407392748</v>
      </c>
      <c r="N3446">
        <f ca="1">qry_ProdData2_PDI_Cash_Exception_Application[[#This Row],[TODAY]]-qry_ProdData2_PDI_Cash_Exception_Application[[#This Row],[CHANGED ON]]</f>
        <v>6.7429282407392748</v>
      </c>
    </row>
    <row r="3447" spans="1:14" x14ac:dyDescent="0.35">
      <c r="A3447">
        <v>1019</v>
      </c>
      <c r="B3447" t="s">
        <v>73</v>
      </c>
      <c r="C3447" s="1">
        <v>45195.257071759261</v>
      </c>
      <c r="D3447" t="str">
        <f ca="1">VLOOKUP(qry_ProdData2_PDI_Cash_Exception_Application[[#This Row],[TYPE]],#REF!,2,FALSE)</f>
        <v>type27</v>
      </c>
      <c r="E3447">
        <v>1345.86</v>
      </c>
      <c r="F3447" t="s">
        <v>48</v>
      </c>
      <c r="G3447" s="1">
        <f>qry_ProdData2_PDI_Cash_Exception_Application[[#This Row],[INSERT DATE]]+2</f>
        <v>45197.257071759261</v>
      </c>
      <c r="H3447" t="str">
        <f>VLOOKUP(qry_ProdData2_PDI_Cash_Exception_Application[[#This Row],[MARKET No]],'Site Allocation'!$B$2:$C$37,2,FALSE)</f>
        <v>Analyst4</v>
      </c>
      <c r="I3447" s="4">
        <f t="shared" ca="1" si="53"/>
        <v>45203</v>
      </c>
      <c r="J3447" s="42">
        <f ca="1">TODAY()-qry_ProdData2_PDI_Cash_Exception_Application[[#This Row],[INSERT DATE]]</f>
        <v>7.7429282407392748</v>
      </c>
      <c r="K34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47">
        <f ca="1">qry_ProdData2_PDI_Cash_Exception_Application[[#This Row],[TODAY]]-qry_ProdData2_PDI_Cash_Exception_Application[[#This Row],[CHANGED ON]]</f>
        <v>5.7429282407392748</v>
      </c>
      <c r="M3447">
        <f ca="1">qry_ProdData2_PDI_Cash_Exception_Application[[#This Row],[TODAY]]-qry_ProdData2_PDI_Cash_Exception_Application[[#This Row],[CHANGED ON]]</f>
        <v>5.7429282407392748</v>
      </c>
      <c r="N3447">
        <f ca="1">qry_ProdData2_PDI_Cash_Exception_Application[[#This Row],[TODAY]]-qry_ProdData2_PDI_Cash_Exception_Application[[#This Row],[CHANGED ON]]</f>
        <v>5.7429282407392748</v>
      </c>
    </row>
    <row r="3448" spans="1:14" x14ac:dyDescent="0.35">
      <c r="A3448">
        <v>1000</v>
      </c>
      <c r="B3448" t="s">
        <v>54</v>
      </c>
      <c r="C3448" s="1">
        <v>45187.257071759261</v>
      </c>
      <c r="D3448" t="str">
        <f ca="1">VLOOKUP(qry_ProdData2_PDI_Cash_Exception_Application[[#This Row],[TYPE]],#REF!,2,FALSE)</f>
        <v>type10</v>
      </c>
      <c r="E3448">
        <v>396.43</v>
      </c>
      <c r="F3448" t="s">
        <v>50</v>
      </c>
      <c r="G3448" s="1">
        <f>qry_ProdData2_PDI_Cash_Exception_Application[[#This Row],[INSERT DATE]]+7</f>
        <v>45194.257071759261</v>
      </c>
      <c r="H3448" t="str">
        <f>VLOOKUP(qry_ProdData2_PDI_Cash_Exception_Application[[#This Row],[MARKET No]],'Site Allocation'!$B$2:$C$37,2,FALSE)</f>
        <v>Analyst1</v>
      </c>
      <c r="I3448" s="4">
        <f t="shared" ca="1" si="53"/>
        <v>45203</v>
      </c>
      <c r="J3448" s="42">
        <f ca="1">TODAY()-qry_ProdData2_PDI_Cash_Exception_Application[[#This Row],[INSERT DATE]]</f>
        <v>15.742928240739275</v>
      </c>
      <c r="K34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48">
        <f ca="1">qry_ProdData2_PDI_Cash_Exception_Application[[#This Row],[TODAY]]-qry_ProdData2_PDI_Cash_Exception_Application[[#This Row],[CHANGED ON]]</f>
        <v>8.7429282407392748</v>
      </c>
      <c r="M3448">
        <f ca="1">qry_ProdData2_PDI_Cash_Exception_Application[[#This Row],[TODAY]]-qry_ProdData2_PDI_Cash_Exception_Application[[#This Row],[CHANGED ON]]</f>
        <v>8.7429282407392748</v>
      </c>
      <c r="N3448">
        <f ca="1">qry_ProdData2_PDI_Cash_Exception_Application[[#This Row],[TODAY]]-qry_ProdData2_PDI_Cash_Exception_Application[[#This Row],[CHANGED ON]]</f>
        <v>8.7429282407392748</v>
      </c>
    </row>
    <row r="3449" spans="1:14" x14ac:dyDescent="0.35">
      <c r="A3449">
        <v>1002</v>
      </c>
      <c r="B3449" t="s">
        <v>56</v>
      </c>
      <c r="C3449" s="1">
        <v>45194.257071759261</v>
      </c>
      <c r="D3449" t="str">
        <f ca="1">VLOOKUP(qry_ProdData2_PDI_Cash_Exception_Application[[#This Row],[TYPE]],#REF!,2,FALSE)</f>
        <v>type40</v>
      </c>
      <c r="E3449">
        <v>-850.47</v>
      </c>
      <c r="F3449" t="s">
        <v>51</v>
      </c>
      <c r="G3449" s="1">
        <f>qry_ProdData2_PDI_Cash_Exception_Application[[#This Row],[INSERT DATE]]+1</f>
        <v>45195.257071759261</v>
      </c>
      <c r="H3449" t="str">
        <f>VLOOKUP(qry_ProdData2_PDI_Cash_Exception_Application[[#This Row],[MARKET No]],'Site Allocation'!$B$2:$C$37,2,FALSE)</f>
        <v>Analyst1</v>
      </c>
      <c r="I3449" s="4">
        <f t="shared" ca="1" si="53"/>
        <v>45203</v>
      </c>
      <c r="J3449" s="42">
        <f ca="1">TODAY()-qry_ProdData2_PDI_Cash_Exception_Application[[#This Row],[INSERT DATE]]</f>
        <v>8.7429282407392748</v>
      </c>
      <c r="K34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49">
        <f ca="1">qry_ProdData2_PDI_Cash_Exception_Application[[#This Row],[TODAY]]-qry_ProdData2_PDI_Cash_Exception_Application[[#This Row],[CHANGED ON]]</f>
        <v>7.7429282407392748</v>
      </c>
      <c r="M3449">
        <f ca="1">qry_ProdData2_PDI_Cash_Exception_Application[[#This Row],[TODAY]]-qry_ProdData2_PDI_Cash_Exception_Application[[#This Row],[CHANGED ON]]</f>
        <v>7.7429282407392748</v>
      </c>
      <c r="N3449">
        <f ca="1">qry_ProdData2_PDI_Cash_Exception_Application[[#This Row],[TODAY]]-qry_ProdData2_PDI_Cash_Exception_Application[[#This Row],[CHANGED ON]]</f>
        <v>7.7429282407392748</v>
      </c>
    </row>
    <row r="3450" spans="1:14" x14ac:dyDescent="0.35">
      <c r="A3450">
        <v>1008</v>
      </c>
      <c r="B3450" t="s">
        <v>62</v>
      </c>
      <c r="C3450" s="1">
        <v>45193.257071759261</v>
      </c>
      <c r="D3450" t="str">
        <f ca="1">VLOOKUP(qry_ProdData2_PDI_Cash_Exception_Application[[#This Row],[TYPE]],#REF!,2,FALSE)</f>
        <v>type40</v>
      </c>
      <c r="E3450">
        <v>-879.98</v>
      </c>
      <c r="F3450" t="s">
        <v>51</v>
      </c>
      <c r="G3450" s="1">
        <f>qry_ProdData2_PDI_Cash_Exception_Application[[#This Row],[INSERT DATE]]+1</f>
        <v>45194.257071759261</v>
      </c>
      <c r="H3450" t="str">
        <f>VLOOKUP(qry_ProdData2_PDI_Cash_Exception_Application[[#This Row],[MARKET No]],'Site Allocation'!$B$2:$C$37,2,FALSE)</f>
        <v>Analyst2</v>
      </c>
      <c r="I3450" s="4">
        <f t="shared" ca="1" si="53"/>
        <v>45203</v>
      </c>
      <c r="J3450" s="42">
        <f ca="1">TODAY()-qry_ProdData2_PDI_Cash_Exception_Application[[#This Row],[INSERT DATE]]</f>
        <v>9.7429282407392748</v>
      </c>
      <c r="K34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50">
        <f ca="1">qry_ProdData2_PDI_Cash_Exception_Application[[#This Row],[TODAY]]-qry_ProdData2_PDI_Cash_Exception_Application[[#This Row],[CHANGED ON]]</f>
        <v>8.7429282407392748</v>
      </c>
      <c r="M3450">
        <f ca="1">qry_ProdData2_PDI_Cash_Exception_Application[[#This Row],[TODAY]]-qry_ProdData2_PDI_Cash_Exception_Application[[#This Row],[CHANGED ON]]</f>
        <v>8.7429282407392748</v>
      </c>
      <c r="N3450">
        <f ca="1">qry_ProdData2_PDI_Cash_Exception_Application[[#This Row],[TODAY]]-qry_ProdData2_PDI_Cash_Exception_Application[[#This Row],[CHANGED ON]]</f>
        <v>8.7429282407392748</v>
      </c>
    </row>
    <row r="3451" spans="1:14" x14ac:dyDescent="0.35">
      <c r="A3451">
        <v>1007</v>
      </c>
      <c r="B3451" t="s">
        <v>61</v>
      </c>
      <c r="C3451" s="1">
        <v>45189.257071759261</v>
      </c>
      <c r="D3451" t="str">
        <f ca="1">VLOOKUP(qry_ProdData2_PDI_Cash_Exception_Application[[#This Row],[TYPE]],#REF!,2,FALSE)</f>
        <v>type40</v>
      </c>
      <c r="E3451">
        <v>397.81</v>
      </c>
      <c r="F3451" t="s">
        <v>50</v>
      </c>
      <c r="G3451" s="1">
        <f>qry_ProdData2_PDI_Cash_Exception_Application[[#This Row],[INSERT DATE]]+7</f>
        <v>45196.257071759261</v>
      </c>
      <c r="H3451" t="str">
        <f>VLOOKUP(qry_ProdData2_PDI_Cash_Exception_Application[[#This Row],[MARKET No]],'Site Allocation'!$B$2:$C$37,2,FALSE)</f>
        <v>Analyst2</v>
      </c>
      <c r="I3451" s="4">
        <f t="shared" ca="1" si="53"/>
        <v>45203</v>
      </c>
      <c r="J3451" s="42">
        <f ca="1">TODAY()-qry_ProdData2_PDI_Cash_Exception_Application[[#This Row],[INSERT DATE]]</f>
        <v>13.742928240739275</v>
      </c>
      <c r="K34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51">
        <f ca="1">qry_ProdData2_PDI_Cash_Exception_Application[[#This Row],[TODAY]]-qry_ProdData2_PDI_Cash_Exception_Application[[#This Row],[CHANGED ON]]</f>
        <v>6.7429282407392748</v>
      </c>
      <c r="M3451">
        <f ca="1">qry_ProdData2_PDI_Cash_Exception_Application[[#This Row],[TODAY]]-qry_ProdData2_PDI_Cash_Exception_Application[[#This Row],[CHANGED ON]]</f>
        <v>6.7429282407392748</v>
      </c>
      <c r="N3451">
        <f ca="1">qry_ProdData2_PDI_Cash_Exception_Application[[#This Row],[TODAY]]-qry_ProdData2_PDI_Cash_Exception_Application[[#This Row],[CHANGED ON]]</f>
        <v>6.7429282407392748</v>
      </c>
    </row>
    <row r="3452" spans="1:14" x14ac:dyDescent="0.35">
      <c r="A3452">
        <v>1032</v>
      </c>
      <c r="B3452" t="s">
        <v>86</v>
      </c>
      <c r="C3452" s="1">
        <v>45190.257071759261</v>
      </c>
      <c r="D3452" t="str">
        <f ca="1">VLOOKUP(qry_ProdData2_PDI_Cash_Exception_Application[[#This Row],[TYPE]],#REF!,2,FALSE)</f>
        <v>type41</v>
      </c>
      <c r="E3452">
        <v>588.35</v>
      </c>
      <c r="F3452" t="s">
        <v>52</v>
      </c>
      <c r="G3452" s="1">
        <f>qry_ProdData2_PDI_Cash_Exception_Application[[#This Row],[INSERT DATE]]+7</f>
        <v>45197.257071759261</v>
      </c>
      <c r="H3452" t="str">
        <f>VLOOKUP(qry_ProdData2_PDI_Cash_Exception_Application[[#This Row],[MARKET No]],'Site Allocation'!$B$2:$C$37,2,FALSE)</f>
        <v>Analyst6</v>
      </c>
      <c r="I3452" s="4">
        <f t="shared" ca="1" si="53"/>
        <v>45203</v>
      </c>
      <c r="J3452" s="42">
        <f ca="1">TODAY()-qry_ProdData2_PDI_Cash_Exception_Application[[#This Row],[INSERT DATE]]</f>
        <v>12.742928240739275</v>
      </c>
      <c r="K34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52">
        <f ca="1">qry_ProdData2_PDI_Cash_Exception_Application[[#This Row],[TODAY]]-qry_ProdData2_PDI_Cash_Exception_Application[[#This Row],[CHANGED ON]]</f>
        <v>5.7429282407392748</v>
      </c>
      <c r="M3452">
        <f ca="1">qry_ProdData2_PDI_Cash_Exception_Application[[#This Row],[TODAY]]-qry_ProdData2_PDI_Cash_Exception_Application[[#This Row],[CHANGED ON]]</f>
        <v>5.7429282407392748</v>
      </c>
      <c r="N3452">
        <f ca="1">qry_ProdData2_PDI_Cash_Exception_Application[[#This Row],[TODAY]]-qry_ProdData2_PDI_Cash_Exception_Application[[#This Row],[CHANGED ON]]</f>
        <v>5.7429282407392748</v>
      </c>
    </row>
    <row r="3453" spans="1:14" x14ac:dyDescent="0.35">
      <c r="A3453">
        <v>1032</v>
      </c>
      <c r="B3453" t="s">
        <v>86</v>
      </c>
      <c r="C3453" s="1">
        <v>45190.257071759261</v>
      </c>
      <c r="D3453" t="str">
        <f ca="1">VLOOKUP(qry_ProdData2_PDI_Cash_Exception_Application[[#This Row],[TYPE]],#REF!,2,FALSE)</f>
        <v>type40</v>
      </c>
      <c r="E3453">
        <v>-515.69000000000005</v>
      </c>
      <c r="F3453" t="s">
        <v>52</v>
      </c>
      <c r="G3453" s="1">
        <f>qry_ProdData2_PDI_Cash_Exception_Application[[#This Row],[INSERT DATE]]+7</f>
        <v>45197.257071759261</v>
      </c>
      <c r="H3453" t="str">
        <f>VLOOKUP(qry_ProdData2_PDI_Cash_Exception_Application[[#This Row],[MARKET No]],'Site Allocation'!$B$2:$C$37,2,FALSE)</f>
        <v>Analyst6</v>
      </c>
      <c r="I3453" s="4">
        <f t="shared" ca="1" si="53"/>
        <v>45203</v>
      </c>
      <c r="J3453" s="42">
        <f ca="1">TODAY()-qry_ProdData2_PDI_Cash_Exception_Application[[#This Row],[INSERT DATE]]</f>
        <v>12.742928240739275</v>
      </c>
      <c r="K34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53">
        <f ca="1">qry_ProdData2_PDI_Cash_Exception_Application[[#This Row],[TODAY]]-qry_ProdData2_PDI_Cash_Exception_Application[[#This Row],[CHANGED ON]]</f>
        <v>5.7429282407392748</v>
      </c>
      <c r="M3453">
        <f ca="1">qry_ProdData2_PDI_Cash_Exception_Application[[#This Row],[TODAY]]-qry_ProdData2_PDI_Cash_Exception_Application[[#This Row],[CHANGED ON]]</f>
        <v>5.7429282407392748</v>
      </c>
      <c r="N3453">
        <f ca="1">qry_ProdData2_PDI_Cash_Exception_Application[[#This Row],[TODAY]]-qry_ProdData2_PDI_Cash_Exception_Application[[#This Row],[CHANGED ON]]</f>
        <v>5.7429282407392748</v>
      </c>
    </row>
    <row r="3454" spans="1:14" x14ac:dyDescent="0.35">
      <c r="A3454">
        <v>1026</v>
      </c>
      <c r="B3454" t="s">
        <v>80</v>
      </c>
      <c r="C3454" s="1">
        <v>45194.257071759261</v>
      </c>
      <c r="D3454" t="str">
        <f ca="1">VLOOKUP(qry_ProdData2_PDI_Cash_Exception_Application[[#This Row],[TYPE]],#REF!,2,FALSE)</f>
        <v>type40</v>
      </c>
      <c r="E3454">
        <v>20</v>
      </c>
      <c r="F3454" t="s">
        <v>47</v>
      </c>
      <c r="G3454" s="1">
        <f>qry_ProdData2_PDI_Cash_Exception_Application[[#This Row],[INSERT DATE]]+1</f>
        <v>45195.257071759261</v>
      </c>
      <c r="H3454" t="str">
        <f>VLOOKUP(qry_ProdData2_PDI_Cash_Exception_Application[[#This Row],[MARKET No]],'Site Allocation'!$B$2:$C$37,2,FALSE)</f>
        <v>Analyst5</v>
      </c>
      <c r="I3454" s="4">
        <f t="shared" ca="1" si="53"/>
        <v>45203</v>
      </c>
      <c r="J3454" s="42">
        <f ca="1">TODAY()-qry_ProdData2_PDI_Cash_Exception_Application[[#This Row],[INSERT DATE]]</f>
        <v>8.7429282407392748</v>
      </c>
      <c r="K34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54">
        <f ca="1">qry_ProdData2_PDI_Cash_Exception_Application[[#This Row],[TODAY]]-qry_ProdData2_PDI_Cash_Exception_Application[[#This Row],[CHANGED ON]]</f>
        <v>7.7429282407392748</v>
      </c>
      <c r="M3454">
        <f ca="1">qry_ProdData2_PDI_Cash_Exception_Application[[#This Row],[TODAY]]-qry_ProdData2_PDI_Cash_Exception_Application[[#This Row],[CHANGED ON]]</f>
        <v>7.7429282407392748</v>
      </c>
      <c r="N3454">
        <f ca="1">qry_ProdData2_PDI_Cash_Exception_Application[[#This Row],[TODAY]]-qry_ProdData2_PDI_Cash_Exception_Application[[#This Row],[CHANGED ON]]</f>
        <v>7.7429282407392748</v>
      </c>
    </row>
    <row r="3455" spans="1:14" x14ac:dyDescent="0.35">
      <c r="A3455">
        <v>1016</v>
      </c>
      <c r="B3455" t="s">
        <v>70</v>
      </c>
      <c r="C3455" s="1">
        <v>45192.257071759261</v>
      </c>
      <c r="D3455" t="str">
        <f ca="1">VLOOKUP(qry_ProdData2_PDI_Cash_Exception_Application[[#This Row],[TYPE]],#REF!,2,FALSE)</f>
        <v>type42</v>
      </c>
      <c r="E3455">
        <v>190</v>
      </c>
      <c r="F3455" t="s">
        <v>52</v>
      </c>
      <c r="G3455" s="1">
        <f>qry_ProdData2_PDI_Cash_Exception_Application[[#This Row],[INSERT DATE]]+7</f>
        <v>45199.257071759261</v>
      </c>
      <c r="H3455" t="str">
        <f>VLOOKUP(qry_ProdData2_PDI_Cash_Exception_Application[[#This Row],[MARKET No]],'Site Allocation'!$B$2:$C$37,2,FALSE)</f>
        <v>Analyst3</v>
      </c>
      <c r="I3455" s="4">
        <f t="shared" ca="1" si="53"/>
        <v>45203</v>
      </c>
      <c r="J3455" s="42">
        <f ca="1">TODAY()-qry_ProdData2_PDI_Cash_Exception_Application[[#This Row],[INSERT DATE]]</f>
        <v>10.742928240739275</v>
      </c>
      <c r="K34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55">
        <f ca="1">qry_ProdData2_PDI_Cash_Exception_Application[[#This Row],[TODAY]]-qry_ProdData2_PDI_Cash_Exception_Application[[#This Row],[CHANGED ON]]</f>
        <v>3.7429282407392748</v>
      </c>
      <c r="M3455">
        <f ca="1">qry_ProdData2_PDI_Cash_Exception_Application[[#This Row],[TODAY]]-qry_ProdData2_PDI_Cash_Exception_Application[[#This Row],[CHANGED ON]]</f>
        <v>3.7429282407392748</v>
      </c>
      <c r="N3455">
        <f ca="1">qry_ProdData2_PDI_Cash_Exception_Application[[#This Row],[TODAY]]-qry_ProdData2_PDI_Cash_Exception_Application[[#This Row],[CHANGED ON]]</f>
        <v>3.7429282407392748</v>
      </c>
    </row>
    <row r="3456" spans="1:14" x14ac:dyDescent="0.35">
      <c r="A3456">
        <v>1015</v>
      </c>
      <c r="B3456" t="s">
        <v>69</v>
      </c>
      <c r="C3456" s="1">
        <v>45193.257071759261</v>
      </c>
      <c r="D3456" t="str">
        <f ca="1">VLOOKUP(qry_ProdData2_PDI_Cash_Exception_Application[[#This Row],[TYPE]],#REF!,2,FALSE)</f>
        <v>type40</v>
      </c>
      <c r="E3456">
        <v>-446.43</v>
      </c>
      <c r="F3456" t="s">
        <v>48</v>
      </c>
      <c r="G3456" s="1">
        <f>qry_ProdData2_PDI_Cash_Exception_Application[[#This Row],[INSERT DATE]]+7</f>
        <v>45200.257071759261</v>
      </c>
      <c r="H3456" t="str">
        <f>VLOOKUP(qry_ProdData2_PDI_Cash_Exception_Application[[#This Row],[MARKET No]],'Site Allocation'!$B$2:$C$37,2,FALSE)</f>
        <v>Analyst3</v>
      </c>
      <c r="I3456" s="4">
        <f t="shared" ca="1" si="53"/>
        <v>45203</v>
      </c>
      <c r="J3456" s="42">
        <f ca="1">TODAY()-qry_ProdData2_PDI_Cash_Exception_Application[[#This Row],[INSERT DATE]]</f>
        <v>9.7429282407392748</v>
      </c>
      <c r="K34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56">
        <f ca="1">qry_ProdData2_PDI_Cash_Exception_Application[[#This Row],[TODAY]]-qry_ProdData2_PDI_Cash_Exception_Application[[#This Row],[CHANGED ON]]</f>
        <v>2.7429282407392748</v>
      </c>
      <c r="M3456">
        <f ca="1">qry_ProdData2_PDI_Cash_Exception_Application[[#This Row],[TODAY]]-qry_ProdData2_PDI_Cash_Exception_Application[[#This Row],[CHANGED ON]]</f>
        <v>2.7429282407392748</v>
      </c>
      <c r="N3456">
        <f ca="1">qry_ProdData2_PDI_Cash_Exception_Application[[#This Row],[TODAY]]-qry_ProdData2_PDI_Cash_Exception_Application[[#This Row],[CHANGED ON]]</f>
        <v>2.7429282407392748</v>
      </c>
    </row>
    <row r="3457" spans="1:14" x14ac:dyDescent="0.35">
      <c r="A3457">
        <v>1016</v>
      </c>
      <c r="B3457" t="s">
        <v>70</v>
      </c>
      <c r="C3457" s="1">
        <v>45195.257071759261</v>
      </c>
      <c r="D3457" t="str">
        <f ca="1">VLOOKUP(qry_ProdData2_PDI_Cash_Exception_Application[[#This Row],[TYPE]],#REF!,2,FALSE)</f>
        <v>type40</v>
      </c>
      <c r="E3457">
        <v>-10177.81</v>
      </c>
      <c r="F3457" t="s">
        <v>51</v>
      </c>
      <c r="G3457" s="1">
        <f>qry_ProdData2_PDI_Cash_Exception_Application[[#This Row],[INSERT DATE]]+2</f>
        <v>45197.257071759261</v>
      </c>
      <c r="H3457" t="str">
        <f>VLOOKUP(qry_ProdData2_PDI_Cash_Exception_Application[[#This Row],[MARKET No]],'Site Allocation'!$B$2:$C$37,2,FALSE)</f>
        <v>Analyst3</v>
      </c>
      <c r="I3457" s="4">
        <f t="shared" ca="1" si="53"/>
        <v>45203</v>
      </c>
      <c r="J3457" s="42">
        <f ca="1">TODAY()-qry_ProdData2_PDI_Cash_Exception_Application[[#This Row],[INSERT DATE]]</f>
        <v>7.7429282407392748</v>
      </c>
      <c r="K34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57">
        <f ca="1">qry_ProdData2_PDI_Cash_Exception_Application[[#This Row],[TODAY]]-qry_ProdData2_PDI_Cash_Exception_Application[[#This Row],[CHANGED ON]]</f>
        <v>5.7429282407392748</v>
      </c>
      <c r="M3457">
        <f ca="1">qry_ProdData2_PDI_Cash_Exception_Application[[#This Row],[TODAY]]-qry_ProdData2_PDI_Cash_Exception_Application[[#This Row],[CHANGED ON]]</f>
        <v>5.7429282407392748</v>
      </c>
      <c r="N3457">
        <f ca="1">qry_ProdData2_PDI_Cash_Exception_Application[[#This Row],[TODAY]]-qry_ProdData2_PDI_Cash_Exception_Application[[#This Row],[CHANGED ON]]</f>
        <v>5.7429282407392748</v>
      </c>
    </row>
    <row r="3458" spans="1:14" x14ac:dyDescent="0.35">
      <c r="A3458">
        <v>1026</v>
      </c>
      <c r="B3458" t="s">
        <v>80</v>
      </c>
      <c r="C3458" s="1">
        <v>45195.257071759261</v>
      </c>
      <c r="D3458" t="str">
        <f ca="1">VLOOKUP(qry_ProdData2_PDI_Cash_Exception_Application[[#This Row],[TYPE]],#REF!,2,FALSE)</f>
        <v>type43</v>
      </c>
      <c r="E3458">
        <v>417.42</v>
      </c>
      <c r="F3458" t="s">
        <v>52</v>
      </c>
      <c r="G3458" s="1">
        <f>qry_ProdData2_PDI_Cash_Exception_Application[[#This Row],[INSERT DATE]]+7</f>
        <v>45202.257071759261</v>
      </c>
      <c r="H3458" t="str">
        <f>VLOOKUP(qry_ProdData2_PDI_Cash_Exception_Application[[#This Row],[MARKET No]],'Site Allocation'!$B$2:$C$37,2,FALSE)</f>
        <v>Analyst5</v>
      </c>
      <c r="I3458" s="4">
        <f t="shared" ref="I3458:I3521" ca="1" si="54">TODAY()</f>
        <v>45203</v>
      </c>
      <c r="J3458" s="42">
        <f ca="1">TODAY()-qry_ProdData2_PDI_Cash_Exception_Application[[#This Row],[INSERT DATE]]</f>
        <v>7.7429282407392748</v>
      </c>
      <c r="K34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58">
        <f ca="1">qry_ProdData2_PDI_Cash_Exception_Application[[#This Row],[TODAY]]-qry_ProdData2_PDI_Cash_Exception_Application[[#This Row],[CHANGED ON]]</f>
        <v>0.74292824073927477</v>
      </c>
      <c r="M3458">
        <f ca="1">qry_ProdData2_PDI_Cash_Exception_Application[[#This Row],[TODAY]]-qry_ProdData2_PDI_Cash_Exception_Application[[#This Row],[CHANGED ON]]</f>
        <v>0.74292824073927477</v>
      </c>
      <c r="N3458">
        <f ca="1">qry_ProdData2_PDI_Cash_Exception_Application[[#This Row],[TODAY]]-qry_ProdData2_PDI_Cash_Exception_Application[[#This Row],[CHANGED ON]]</f>
        <v>0.74292824073927477</v>
      </c>
    </row>
    <row r="3459" spans="1:14" x14ac:dyDescent="0.35">
      <c r="A3459">
        <v>1014</v>
      </c>
      <c r="B3459" t="s">
        <v>68</v>
      </c>
      <c r="C3459" s="1">
        <v>45196.257071759261</v>
      </c>
      <c r="D3459" t="str">
        <f ca="1">VLOOKUP(qry_ProdData2_PDI_Cash_Exception_Application[[#This Row],[TYPE]],#REF!,2,FALSE)</f>
        <v>type39</v>
      </c>
      <c r="E3459">
        <v>309.76</v>
      </c>
      <c r="F3459" t="s">
        <v>50</v>
      </c>
      <c r="G3459" s="1">
        <f>qry_ProdData2_PDI_Cash_Exception_Application[[#This Row],[INSERT DATE]]+7</f>
        <v>45203.257071759261</v>
      </c>
      <c r="H3459" t="str">
        <f>VLOOKUP(qry_ProdData2_PDI_Cash_Exception_Application[[#This Row],[MARKET No]],'Site Allocation'!$B$2:$C$37,2,FALSE)</f>
        <v>Analyst3</v>
      </c>
      <c r="I3459" s="4">
        <f t="shared" ca="1" si="54"/>
        <v>45203</v>
      </c>
      <c r="J3459" s="42">
        <f ca="1">TODAY()-qry_ProdData2_PDI_Cash_Exception_Application[[#This Row],[INSERT DATE]]</f>
        <v>6.7429282407392748</v>
      </c>
      <c r="K34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59">
        <f ca="1">qry_ProdData2_PDI_Cash_Exception_Application[[#This Row],[TODAY]]-qry_ProdData2_PDI_Cash_Exception_Application[[#This Row],[CHANGED ON]]</f>
        <v>-0.25707175926072523</v>
      </c>
      <c r="M3459">
        <f ca="1">qry_ProdData2_PDI_Cash_Exception_Application[[#This Row],[TODAY]]-qry_ProdData2_PDI_Cash_Exception_Application[[#This Row],[CHANGED ON]]</f>
        <v>-0.25707175926072523</v>
      </c>
      <c r="N3459">
        <f ca="1">qry_ProdData2_PDI_Cash_Exception_Application[[#This Row],[TODAY]]-qry_ProdData2_PDI_Cash_Exception_Application[[#This Row],[CHANGED ON]]</f>
        <v>-0.25707175926072523</v>
      </c>
    </row>
    <row r="3460" spans="1:14" x14ac:dyDescent="0.35">
      <c r="A3460">
        <v>1015</v>
      </c>
      <c r="B3460" t="s">
        <v>69</v>
      </c>
      <c r="C3460" s="1">
        <v>45193.257071759261</v>
      </c>
      <c r="D3460" t="str">
        <f ca="1">VLOOKUP(qry_ProdData2_PDI_Cash_Exception_Application[[#This Row],[TYPE]],#REF!,2,FALSE)</f>
        <v>type40</v>
      </c>
      <c r="E3460">
        <v>398.73</v>
      </c>
      <c r="F3460" t="s">
        <v>51</v>
      </c>
      <c r="G3460" s="1">
        <f>qry_ProdData2_PDI_Cash_Exception_Application[[#This Row],[INSERT DATE]]+1</f>
        <v>45194.257071759261</v>
      </c>
      <c r="H3460" t="str">
        <f>VLOOKUP(qry_ProdData2_PDI_Cash_Exception_Application[[#This Row],[MARKET No]],'Site Allocation'!$B$2:$C$37,2,FALSE)</f>
        <v>Analyst3</v>
      </c>
      <c r="I3460" s="4">
        <f t="shared" ca="1" si="54"/>
        <v>45203</v>
      </c>
      <c r="J3460" s="42">
        <f ca="1">TODAY()-qry_ProdData2_PDI_Cash_Exception_Application[[#This Row],[INSERT DATE]]</f>
        <v>9.7429282407392748</v>
      </c>
      <c r="K34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60">
        <f ca="1">qry_ProdData2_PDI_Cash_Exception_Application[[#This Row],[TODAY]]-qry_ProdData2_PDI_Cash_Exception_Application[[#This Row],[CHANGED ON]]</f>
        <v>8.7429282407392748</v>
      </c>
      <c r="M3460">
        <f ca="1">qry_ProdData2_PDI_Cash_Exception_Application[[#This Row],[TODAY]]-qry_ProdData2_PDI_Cash_Exception_Application[[#This Row],[CHANGED ON]]</f>
        <v>8.7429282407392748</v>
      </c>
      <c r="N3460">
        <f ca="1">qry_ProdData2_PDI_Cash_Exception_Application[[#This Row],[TODAY]]-qry_ProdData2_PDI_Cash_Exception_Application[[#This Row],[CHANGED ON]]</f>
        <v>8.7429282407392748</v>
      </c>
    </row>
    <row r="3461" spans="1:14" x14ac:dyDescent="0.35">
      <c r="A3461">
        <v>1002</v>
      </c>
      <c r="B3461" t="s">
        <v>56</v>
      </c>
      <c r="C3461" s="1">
        <v>45185.257071759261</v>
      </c>
      <c r="D3461" t="str">
        <f ca="1">VLOOKUP(qry_ProdData2_PDI_Cash_Exception_Application[[#This Row],[TYPE]],#REF!,2,FALSE)</f>
        <v>type40</v>
      </c>
      <c r="E3461">
        <v>-3198.23</v>
      </c>
      <c r="F3461" t="s">
        <v>50</v>
      </c>
      <c r="G3461" s="1">
        <f>qry_ProdData2_PDI_Cash_Exception_Application[[#This Row],[INSERT DATE]]+1</f>
        <v>45186.257071759261</v>
      </c>
      <c r="H3461" t="str">
        <f>VLOOKUP(qry_ProdData2_PDI_Cash_Exception_Application[[#This Row],[MARKET No]],'Site Allocation'!$B$2:$C$37,2,FALSE)</f>
        <v>Analyst1</v>
      </c>
      <c r="I3461" s="4">
        <f t="shared" ca="1" si="54"/>
        <v>45203</v>
      </c>
      <c r="J3461" s="42">
        <f ca="1">TODAY()-qry_ProdData2_PDI_Cash_Exception_Application[[#This Row],[INSERT DATE]]</f>
        <v>17.742928240739275</v>
      </c>
      <c r="K34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61">
        <f ca="1">qry_ProdData2_PDI_Cash_Exception_Application[[#This Row],[TODAY]]-qry_ProdData2_PDI_Cash_Exception_Application[[#This Row],[CHANGED ON]]</f>
        <v>16.742928240739275</v>
      </c>
      <c r="M3461">
        <f ca="1">qry_ProdData2_PDI_Cash_Exception_Application[[#This Row],[TODAY]]-qry_ProdData2_PDI_Cash_Exception_Application[[#This Row],[CHANGED ON]]</f>
        <v>16.742928240739275</v>
      </c>
      <c r="N3461">
        <f ca="1">qry_ProdData2_PDI_Cash_Exception_Application[[#This Row],[TODAY]]-qry_ProdData2_PDI_Cash_Exception_Application[[#This Row],[CHANGED ON]]</f>
        <v>16.742928240739275</v>
      </c>
    </row>
    <row r="3462" spans="1:14" x14ac:dyDescent="0.35">
      <c r="A3462">
        <v>1029</v>
      </c>
      <c r="B3462" t="s">
        <v>83</v>
      </c>
      <c r="C3462" s="1">
        <v>45195.257071759261</v>
      </c>
      <c r="D3462" t="str">
        <f ca="1">VLOOKUP(qry_ProdData2_PDI_Cash_Exception_Application[[#This Row],[TYPE]],#REF!,2,FALSE)</f>
        <v>type13</v>
      </c>
      <c r="E3462">
        <v>41535.440000000002</v>
      </c>
      <c r="F3462" t="s">
        <v>48</v>
      </c>
      <c r="G3462" s="1">
        <f>qry_ProdData2_PDI_Cash_Exception_Application[[#This Row],[INSERT DATE]]+7</f>
        <v>45202.257071759261</v>
      </c>
      <c r="H3462" t="str">
        <f>VLOOKUP(qry_ProdData2_PDI_Cash_Exception_Application[[#This Row],[MARKET No]],'Site Allocation'!$B$2:$C$37,2,FALSE)</f>
        <v>Analyst5</v>
      </c>
      <c r="I3462" s="4">
        <f t="shared" ca="1" si="54"/>
        <v>45203</v>
      </c>
      <c r="J3462" s="42">
        <f ca="1">TODAY()-qry_ProdData2_PDI_Cash_Exception_Application[[#This Row],[INSERT DATE]]</f>
        <v>7.7429282407392748</v>
      </c>
      <c r="K34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62">
        <f ca="1">qry_ProdData2_PDI_Cash_Exception_Application[[#This Row],[TODAY]]-qry_ProdData2_PDI_Cash_Exception_Application[[#This Row],[CHANGED ON]]</f>
        <v>0.74292824073927477</v>
      </c>
      <c r="M3462">
        <f ca="1">qry_ProdData2_PDI_Cash_Exception_Application[[#This Row],[TODAY]]-qry_ProdData2_PDI_Cash_Exception_Application[[#This Row],[CHANGED ON]]</f>
        <v>0.74292824073927477</v>
      </c>
      <c r="N3462">
        <f ca="1">qry_ProdData2_PDI_Cash_Exception_Application[[#This Row],[TODAY]]-qry_ProdData2_PDI_Cash_Exception_Application[[#This Row],[CHANGED ON]]</f>
        <v>0.74292824073927477</v>
      </c>
    </row>
    <row r="3463" spans="1:14" x14ac:dyDescent="0.35">
      <c r="A3463">
        <v>1002</v>
      </c>
      <c r="B3463" t="s">
        <v>56</v>
      </c>
      <c r="C3463" s="1">
        <v>45194.257071759261</v>
      </c>
      <c r="D3463" t="str">
        <f ca="1">VLOOKUP(qry_ProdData2_PDI_Cash_Exception_Application[[#This Row],[TYPE]],#REF!,2,FALSE)</f>
        <v>type40</v>
      </c>
      <c r="E3463">
        <v>-3002.14</v>
      </c>
      <c r="F3463" t="s">
        <v>47</v>
      </c>
      <c r="G3463" s="1">
        <f>qry_ProdData2_PDI_Cash_Exception_Application[[#This Row],[INSERT DATE]]+1</f>
        <v>45195.257071759261</v>
      </c>
      <c r="H3463" t="str">
        <f>VLOOKUP(qry_ProdData2_PDI_Cash_Exception_Application[[#This Row],[MARKET No]],'Site Allocation'!$B$2:$C$37,2,FALSE)</f>
        <v>Analyst1</v>
      </c>
      <c r="I3463" s="4">
        <f t="shared" ca="1" si="54"/>
        <v>45203</v>
      </c>
      <c r="J3463" s="42">
        <f ca="1">TODAY()-qry_ProdData2_PDI_Cash_Exception_Application[[#This Row],[INSERT DATE]]</f>
        <v>8.7429282407392748</v>
      </c>
      <c r="K34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63">
        <f ca="1">qry_ProdData2_PDI_Cash_Exception_Application[[#This Row],[TODAY]]-qry_ProdData2_PDI_Cash_Exception_Application[[#This Row],[CHANGED ON]]</f>
        <v>7.7429282407392748</v>
      </c>
      <c r="M3463">
        <f ca="1">qry_ProdData2_PDI_Cash_Exception_Application[[#This Row],[TODAY]]-qry_ProdData2_PDI_Cash_Exception_Application[[#This Row],[CHANGED ON]]</f>
        <v>7.7429282407392748</v>
      </c>
      <c r="N3463">
        <f ca="1">qry_ProdData2_PDI_Cash_Exception_Application[[#This Row],[TODAY]]-qry_ProdData2_PDI_Cash_Exception_Application[[#This Row],[CHANGED ON]]</f>
        <v>7.7429282407392748</v>
      </c>
    </row>
    <row r="3464" spans="1:14" x14ac:dyDescent="0.35">
      <c r="A3464">
        <v>1025</v>
      </c>
      <c r="B3464" t="s">
        <v>79</v>
      </c>
      <c r="C3464" s="1">
        <v>45195.257071759261</v>
      </c>
      <c r="D3464" t="str">
        <f ca="1">VLOOKUP(qry_ProdData2_PDI_Cash_Exception_Application[[#This Row],[TYPE]],#REF!,2,FALSE)</f>
        <v>type13</v>
      </c>
      <c r="E3464">
        <v>38367.919999999998</v>
      </c>
      <c r="G3464" s="1">
        <f>qry_ProdData2_PDI_Cash_Exception_Application[[#This Row],[INSERT DATE]]+1</f>
        <v>45196.257071759261</v>
      </c>
      <c r="H3464" t="str">
        <f>VLOOKUP(qry_ProdData2_PDI_Cash_Exception_Application[[#This Row],[MARKET No]],'Site Allocation'!$B$2:$C$37,2,FALSE)</f>
        <v>Analyst5</v>
      </c>
      <c r="I3464" s="4">
        <f t="shared" ca="1" si="54"/>
        <v>45203</v>
      </c>
      <c r="J3464" s="42">
        <f ca="1">TODAY()-qry_ProdData2_PDI_Cash_Exception_Application[[#This Row],[INSERT DATE]]</f>
        <v>7.7429282407392748</v>
      </c>
      <c r="K34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64">
        <f ca="1">qry_ProdData2_PDI_Cash_Exception_Application[[#This Row],[TODAY]]-qry_ProdData2_PDI_Cash_Exception_Application[[#This Row],[CHANGED ON]]</f>
        <v>6.7429282407392748</v>
      </c>
      <c r="M3464">
        <f ca="1">qry_ProdData2_PDI_Cash_Exception_Application[[#This Row],[TODAY]]-qry_ProdData2_PDI_Cash_Exception_Application[[#This Row],[CHANGED ON]]</f>
        <v>6.7429282407392748</v>
      </c>
      <c r="N3464">
        <f ca="1">qry_ProdData2_PDI_Cash_Exception_Application[[#This Row],[TODAY]]-qry_ProdData2_PDI_Cash_Exception_Application[[#This Row],[CHANGED ON]]</f>
        <v>6.7429282407392748</v>
      </c>
    </row>
    <row r="3465" spans="1:14" x14ac:dyDescent="0.35">
      <c r="A3465">
        <v>1012</v>
      </c>
      <c r="B3465" t="s">
        <v>66</v>
      </c>
      <c r="C3465" s="1">
        <v>45188.257071759261</v>
      </c>
      <c r="D3465" t="str">
        <f ca="1">VLOOKUP(qry_ProdData2_PDI_Cash_Exception_Application[[#This Row],[TYPE]],#REF!,2,FALSE)</f>
        <v>type40</v>
      </c>
      <c r="E3465">
        <v>-317.48</v>
      </c>
      <c r="F3465" t="s">
        <v>52</v>
      </c>
      <c r="G3465" s="1">
        <f>qry_ProdData2_PDI_Cash_Exception_Application[[#This Row],[INSERT DATE]]+1</f>
        <v>45189.257071759261</v>
      </c>
      <c r="H3465" t="str">
        <f>VLOOKUP(qry_ProdData2_PDI_Cash_Exception_Application[[#This Row],[MARKET No]],'Site Allocation'!$B$2:$C$37,2,FALSE)</f>
        <v>Analyst3</v>
      </c>
      <c r="I3465" s="4">
        <f t="shared" ca="1" si="54"/>
        <v>45203</v>
      </c>
      <c r="J3465" s="42">
        <f ca="1">TODAY()-qry_ProdData2_PDI_Cash_Exception_Application[[#This Row],[INSERT DATE]]</f>
        <v>14.742928240739275</v>
      </c>
      <c r="K34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65">
        <f ca="1">qry_ProdData2_PDI_Cash_Exception_Application[[#This Row],[TODAY]]-qry_ProdData2_PDI_Cash_Exception_Application[[#This Row],[CHANGED ON]]</f>
        <v>13.742928240739275</v>
      </c>
      <c r="M3465">
        <f ca="1">qry_ProdData2_PDI_Cash_Exception_Application[[#This Row],[TODAY]]-qry_ProdData2_PDI_Cash_Exception_Application[[#This Row],[CHANGED ON]]</f>
        <v>13.742928240739275</v>
      </c>
      <c r="N3465">
        <f ca="1">qry_ProdData2_PDI_Cash_Exception_Application[[#This Row],[TODAY]]-qry_ProdData2_PDI_Cash_Exception_Application[[#This Row],[CHANGED ON]]</f>
        <v>13.742928240739275</v>
      </c>
    </row>
    <row r="3466" spans="1:14" x14ac:dyDescent="0.35">
      <c r="A3466">
        <v>1001</v>
      </c>
      <c r="B3466" t="s">
        <v>55</v>
      </c>
      <c r="C3466" s="1">
        <v>45193.257071759261</v>
      </c>
      <c r="D3466" t="str">
        <f ca="1">VLOOKUP(qry_ProdData2_PDI_Cash_Exception_Application[[#This Row],[TYPE]],#REF!,2,FALSE)</f>
        <v>type40</v>
      </c>
      <c r="E3466">
        <v>17.82</v>
      </c>
      <c r="F3466" t="s">
        <v>47</v>
      </c>
      <c r="G3466" s="1">
        <f>qry_ProdData2_PDI_Cash_Exception_Application[[#This Row],[INSERT DATE]]+1</f>
        <v>45194.257071759261</v>
      </c>
      <c r="H3466" t="str">
        <f>VLOOKUP(qry_ProdData2_PDI_Cash_Exception_Application[[#This Row],[MARKET No]],'Site Allocation'!$B$2:$C$37,2,FALSE)</f>
        <v>Analyst1</v>
      </c>
      <c r="I3466" s="4">
        <f t="shared" ca="1" si="54"/>
        <v>45203</v>
      </c>
      <c r="J3466" s="42">
        <f ca="1">TODAY()-qry_ProdData2_PDI_Cash_Exception_Application[[#This Row],[INSERT DATE]]</f>
        <v>9.7429282407392748</v>
      </c>
      <c r="K34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66">
        <f ca="1">qry_ProdData2_PDI_Cash_Exception_Application[[#This Row],[TODAY]]-qry_ProdData2_PDI_Cash_Exception_Application[[#This Row],[CHANGED ON]]</f>
        <v>8.7429282407392748</v>
      </c>
      <c r="M3466">
        <f ca="1">qry_ProdData2_PDI_Cash_Exception_Application[[#This Row],[TODAY]]-qry_ProdData2_PDI_Cash_Exception_Application[[#This Row],[CHANGED ON]]</f>
        <v>8.7429282407392748</v>
      </c>
      <c r="N3466">
        <f ca="1">qry_ProdData2_PDI_Cash_Exception_Application[[#This Row],[TODAY]]-qry_ProdData2_PDI_Cash_Exception_Application[[#This Row],[CHANGED ON]]</f>
        <v>8.7429282407392748</v>
      </c>
    </row>
    <row r="3467" spans="1:14" x14ac:dyDescent="0.35">
      <c r="A3467">
        <v>1001</v>
      </c>
      <c r="B3467" t="s">
        <v>55</v>
      </c>
      <c r="C3467" s="1">
        <v>45189.257071759261</v>
      </c>
      <c r="D3467" t="str">
        <f ca="1">VLOOKUP(qry_ProdData2_PDI_Cash_Exception_Application[[#This Row],[TYPE]],#REF!,2,FALSE)</f>
        <v>type40</v>
      </c>
      <c r="E3467">
        <v>-538.36</v>
      </c>
      <c r="F3467" t="s">
        <v>52</v>
      </c>
      <c r="G3467" s="1">
        <f>qry_ProdData2_PDI_Cash_Exception_Application[[#This Row],[INSERT DATE]]+1</f>
        <v>45190.257071759261</v>
      </c>
      <c r="H3467" t="str">
        <f>VLOOKUP(qry_ProdData2_PDI_Cash_Exception_Application[[#This Row],[MARKET No]],'Site Allocation'!$B$2:$C$37,2,FALSE)</f>
        <v>Analyst1</v>
      </c>
      <c r="I3467" s="4">
        <f t="shared" ca="1" si="54"/>
        <v>45203</v>
      </c>
      <c r="J3467" s="42">
        <f ca="1">TODAY()-qry_ProdData2_PDI_Cash_Exception_Application[[#This Row],[INSERT DATE]]</f>
        <v>13.742928240739275</v>
      </c>
      <c r="K34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67">
        <f ca="1">qry_ProdData2_PDI_Cash_Exception_Application[[#This Row],[TODAY]]-qry_ProdData2_PDI_Cash_Exception_Application[[#This Row],[CHANGED ON]]</f>
        <v>12.742928240739275</v>
      </c>
      <c r="M3467">
        <f ca="1">qry_ProdData2_PDI_Cash_Exception_Application[[#This Row],[TODAY]]-qry_ProdData2_PDI_Cash_Exception_Application[[#This Row],[CHANGED ON]]</f>
        <v>12.742928240739275</v>
      </c>
      <c r="N3467">
        <f ca="1">qry_ProdData2_PDI_Cash_Exception_Application[[#This Row],[TODAY]]-qry_ProdData2_PDI_Cash_Exception_Application[[#This Row],[CHANGED ON]]</f>
        <v>12.742928240739275</v>
      </c>
    </row>
    <row r="3468" spans="1:14" x14ac:dyDescent="0.35">
      <c r="A3468">
        <v>1035</v>
      </c>
      <c r="B3468" t="s">
        <v>89</v>
      </c>
      <c r="C3468" s="1">
        <v>45195.257071759261</v>
      </c>
      <c r="D3468" t="str">
        <f ca="1">VLOOKUP(qry_ProdData2_PDI_Cash_Exception_Application[[#This Row],[TYPE]],#REF!,2,FALSE)</f>
        <v>type7</v>
      </c>
      <c r="E3468">
        <v>-1713.98</v>
      </c>
      <c r="F3468" t="s">
        <v>48</v>
      </c>
      <c r="G3468" s="1">
        <f>qry_ProdData2_PDI_Cash_Exception_Application[[#This Row],[INSERT DATE]]+7</f>
        <v>45202.257071759261</v>
      </c>
      <c r="H3468" t="str">
        <f>VLOOKUP(qry_ProdData2_PDI_Cash_Exception_Application[[#This Row],[MARKET No]],'Site Allocation'!$B$2:$C$37,2,FALSE)</f>
        <v>Analyst6</v>
      </c>
      <c r="I3468" s="4">
        <f t="shared" ca="1" si="54"/>
        <v>45203</v>
      </c>
      <c r="J3468" s="42">
        <f ca="1">TODAY()-qry_ProdData2_PDI_Cash_Exception_Application[[#This Row],[INSERT DATE]]</f>
        <v>7.7429282407392748</v>
      </c>
      <c r="K34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68">
        <f ca="1">qry_ProdData2_PDI_Cash_Exception_Application[[#This Row],[TODAY]]-qry_ProdData2_PDI_Cash_Exception_Application[[#This Row],[CHANGED ON]]</f>
        <v>0.74292824073927477</v>
      </c>
      <c r="M3468">
        <f ca="1">qry_ProdData2_PDI_Cash_Exception_Application[[#This Row],[TODAY]]-qry_ProdData2_PDI_Cash_Exception_Application[[#This Row],[CHANGED ON]]</f>
        <v>0.74292824073927477</v>
      </c>
      <c r="N3468">
        <f ca="1">qry_ProdData2_PDI_Cash_Exception_Application[[#This Row],[TODAY]]-qry_ProdData2_PDI_Cash_Exception_Application[[#This Row],[CHANGED ON]]</f>
        <v>0.74292824073927477</v>
      </c>
    </row>
    <row r="3469" spans="1:14" x14ac:dyDescent="0.35">
      <c r="A3469">
        <v>1002</v>
      </c>
      <c r="B3469" t="s">
        <v>56</v>
      </c>
      <c r="C3469" s="1">
        <v>45190.257071759261</v>
      </c>
      <c r="D3469" t="str">
        <f ca="1">VLOOKUP(qry_ProdData2_PDI_Cash_Exception_Application[[#This Row],[TYPE]],#REF!,2,FALSE)</f>
        <v>type40</v>
      </c>
      <c r="E3469">
        <v>477.07</v>
      </c>
      <c r="F3469" t="s">
        <v>52</v>
      </c>
      <c r="G3469" s="1">
        <f>qry_ProdData2_PDI_Cash_Exception_Application[[#This Row],[INSERT DATE]]+1</f>
        <v>45191.257071759261</v>
      </c>
      <c r="H3469" t="str">
        <f>VLOOKUP(qry_ProdData2_PDI_Cash_Exception_Application[[#This Row],[MARKET No]],'Site Allocation'!$B$2:$C$37,2,FALSE)</f>
        <v>Analyst1</v>
      </c>
      <c r="I3469" s="4">
        <f t="shared" ca="1" si="54"/>
        <v>45203</v>
      </c>
      <c r="J3469" s="42">
        <f ca="1">TODAY()-qry_ProdData2_PDI_Cash_Exception_Application[[#This Row],[INSERT DATE]]</f>
        <v>12.742928240739275</v>
      </c>
      <c r="K34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69">
        <f ca="1">qry_ProdData2_PDI_Cash_Exception_Application[[#This Row],[TODAY]]-qry_ProdData2_PDI_Cash_Exception_Application[[#This Row],[CHANGED ON]]</f>
        <v>11.742928240739275</v>
      </c>
      <c r="M3469">
        <f ca="1">qry_ProdData2_PDI_Cash_Exception_Application[[#This Row],[TODAY]]-qry_ProdData2_PDI_Cash_Exception_Application[[#This Row],[CHANGED ON]]</f>
        <v>11.742928240739275</v>
      </c>
      <c r="N3469">
        <f ca="1">qry_ProdData2_PDI_Cash_Exception_Application[[#This Row],[TODAY]]-qry_ProdData2_PDI_Cash_Exception_Application[[#This Row],[CHANGED ON]]</f>
        <v>11.742928240739275</v>
      </c>
    </row>
    <row r="3470" spans="1:14" x14ac:dyDescent="0.35">
      <c r="A3470">
        <v>1007</v>
      </c>
      <c r="B3470" t="s">
        <v>61</v>
      </c>
      <c r="C3470" s="1">
        <v>45194.257071759261</v>
      </c>
      <c r="D3470" t="str">
        <f ca="1">VLOOKUP(qry_ProdData2_PDI_Cash_Exception_Application[[#This Row],[TYPE]],#REF!,2,FALSE)</f>
        <v>type40</v>
      </c>
      <c r="E3470">
        <v>-949.71</v>
      </c>
      <c r="F3470" t="s">
        <v>48</v>
      </c>
      <c r="G3470" s="1">
        <f>qry_ProdData2_PDI_Cash_Exception_Application[[#This Row],[INSERT DATE]]+1</f>
        <v>45195.257071759261</v>
      </c>
      <c r="H3470" t="str">
        <f>VLOOKUP(qry_ProdData2_PDI_Cash_Exception_Application[[#This Row],[MARKET No]],'Site Allocation'!$B$2:$C$37,2,FALSE)</f>
        <v>Analyst2</v>
      </c>
      <c r="I3470" s="4">
        <f t="shared" ca="1" si="54"/>
        <v>45203</v>
      </c>
      <c r="J3470" s="42">
        <f ca="1">TODAY()-qry_ProdData2_PDI_Cash_Exception_Application[[#This Row],[INSERT DATE]]</f>
        <v>8.7429282407392748</v>
      </c>
      <c r="K34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70">
        <f ca="1">qry_ProdData2_PDI_Cash_Exception_Application[[#This Row],[TODAY]]-qry_ProdData2_PDI_Cash_Exception_Application[[#This Row],[CHANGED ON]]</f>
        <v>7.7429282407392748</v>
      </c>
      <c r="M3470">
        <f ca="1">qry_ProdData2_PDI_Cash_Exception_Application[[#This Row],[TODAY]]-qry_ProdData2_PDI_Cash_Exception_Application[[#This Row],[CHANGED ON]]</f>
        <v>7.7429282407392748</v>
      </c>
      <c r="N3470">
        <f ca="1">qry_ProdData2_PDI_Cash_Exception_Application[[#This Row],[TODAY]]-qry_ProdData2_PDI_Cash_Exception_Application[[#This Row],[CHANGED ON]]</f>
        <v>7.7429282407392748</v>
      </c>
    </row>
    <row r="3471" spans="1:14" x14ac:dyDescent="0.35">
      <c r="A3471">
        <v>1006</v>
      </c>
      <c r="B3471" t="s">
        <v>60</v>
      </c>
      <c r="C3471" s="1">
        <v>45195.257071759261</v>
      </c>
      <c r="D3471" t="str">
        <f ca="1">VLOOKUP(qry_ProdData2_PDI_Cash_Exception_Application[[#This Row],[TYPE]],#REF!,2,FALSE)</f>
        <v>type24</v>
      </c>
      <c r="E3471">
        <v>274.27999999999997</v>
      </c>
      <c r="F3471" t="s">
        <v>47</v>
      </c>
      <c r="G3471" s="1">
        <f>qry_ProdData2_PDI_Cash_Exception_Application[[#This Row],[INSERT DATE]]+1</f>
        <v>45196.257071759261</v>
      </c>
      <c r="H3471" t="str">
        <f>VLOOKUP(qry_ProdData2_PDI_Cash_Exception_Application[[#This Row],[MARKET No]],'Site Allocation'!$B$2:$C$37,2,FALSE)</f>
        <v>Analyst2</v>
      </c>
      <c r="I3471" s="4">
        <f t="shared" ca="1" si="54"/>
        <v>45203</v>
      </c>
      <c r="J3471" s="42">
        <f ca="1">TODAY()-qry_ProdData2_PDI_Cash_Exception_Application[[#This Row],[INSERT DATE]]</f>
        <v>7.7429282407392748</v>
      </c>
      <c r="K34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71">
        <f ca="1">qry_ProdData2_PDI_Cash_Exception_Application[[#This Row],[TODAY]]-qry_ProdData2_PDI_Cash_Exception_Application[[#This Row],[CHANGED ON]]</f>
        <v>6.7429282407392748</v>
      </c>
      <c r="M3471">
        <f ca="1">qry_ProdData2_PDI_Cash_Exception_Application[[#This Row],[TODAY]]-qry_ProdData2_PDI_Cash_Exception_Application[[#This Row],[CHANGED ON]]</f>
        <v>6.7429282407392748</v>
      </c>
      <c r="N3471">
        <f ca="1">qry_ProdData2_PDI_Cash_Exception_Application[[#This Row],[TODAY]]-qry_ProdData2_PDI_Cash_Exception_Application[[#This Row],[CHANGED ON]]</f>
        <v>6.7429282407392748</v>
      </c>
    </row>
    <row r="3472" spans="1:14" x14ac:dyDescent="0.35">
      <c r="A3472">
        <v>1022</v>
      </c>
      <c r="B3472" t="s">
        <v>76</v>
      </c>
      <c r="C3472" s="1">
        <v>45193.257071759261</v>
      </c>
      <c r="D3472" t="str">
        <f ca="1">VLOOKUP(qry_ProdData2_PDI_Cash_Exception_Application[[#This Row],[TYPE]],#REF!,2,FALSE)</f>
        <v>type22</v>
      </c>
      <c r="E3472">
        <v>1134.74</v>
      </c>
      <c r="F3472" t="s">
        <v>50</v>
      </c>
      <c r="G3472" s="1">
        <f>qry_ProdData2_PDI_Cash_Exception_Application[[#This Row],[INSERT DATE]]+1</f>
        <v>45194.257071759261</v>
      </c>
      <c r="H3472" t="str">
        <f>VLOOKUP(qry_ProdData2_PDI_Cash_Exception_Application[[#This Row],[MARKET No]],'Site Allocation'!$B$2:$C$37,2,FALSE)</f>
        <v>Analyst4</v>
      </c>
      <c r="I3472" s="4">
        <f t="shared" ca="1" si="54"/>
        <v>45203</v>
      </c>
      <c r="J3472" s="42">
        <f ca="1">TODAY()-qry_ProdData2_PDI_Cash_Exception_Application[[#This Row],[INSERT DATE]]</f>
        <v>9.7429282407392748</v>
      </c>
      <c r="K34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72">
        <f ca="1">qry_ProdData2_PDI_Cash_Exception_Application[[#This Row],[TODAY]]-qry_ProdData2_PDI_Cash_Exception_Application[[#This Row],[CHANGED ON]]</f>
        <v>8.7429282407392748</v>
      </c>
      <c r="M3472">
        <f ca="1">qry_ProdData2_PDI_Cash_Exception_Application[[#This Row],[TODAY]]-qry_ProdData2_PDI_Cash_Exception_Application[[#This Row],[CHANGED ON]]</f>
        <v>8.7429282407392748</v>
      </c>
      <c r="N3472">
        <f ca="1">qry_ProdData2_PDI_Cash_Exception_Application[[#This Row],[TODAY]]-qry_ProdData2_PDI_Cash_Exception_Application[[#This Row],[CHANGED ON]]</f>
        <v>8.7429282407392748</v>
      </c>
    </row>
    <row r="3473" spans="1:14" x14ac:dyDescent="0.35">
      <c r="A3473">
        <v>1031</v>
      </c>
      <c r="B3473" t="s">
        <v>85</v>
      </c>
      <c r="C3473" s="1">
        <v>45194.257071759261</v>
      </c>
      <c r="D3473" t="str">
        <f ca="1">VLOOKUP(qry_ProdData2_PDI_Cash_Exception_Application[[#This Row],[TYPE]],#REF!,2,FALSE)</f>
        <v>type30</v>
      </c>
      <c r="E3473">
        <v>157.68</v>
      </c>
      <c r="F3473" t="s">
        <v>52</v>
      </c>
      <c r="G3473" s="1">
        <f>qry_ProdData2_PDI_Cash_Exception_Application[[#This Row],[INSERT DATE]]+1</f>
        <v>45195.257071759261</v>
      </c>
      <c r="H3473" t="str">
        <f>VLOOKUP(qry_ProdData2_PDI_Cash_Exception_Application[[#This Row],[MARKET No]],'Site Allocation'!$B$2:$C$37,2,FALSE)</f>
        <v>Analyst6</v>
      </c>
      <c r="I3473" s="4">
        <f t="shared" ca="1" si="54"/>
        <v>45203</v>
      </c>
      <c r="J3473" s="42">
        <f ca="1">TODAY()-qry_ProdData2_PDI_Cash_Exception_Application[[#This Row],[INSERT DATE]]</f>
        <v>8.7429282407392748</v>
      </c>
      <c r="K34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73">
        <f ca="1">qry_ProdData2_PDI_Cash_Exception_Application[[#This Row],[TODAY]]-qry_ProdData2_PDI_Cash_Exception_Application[[#This Row],[CHANGED ON]]</f>
        <v>7.7429282407392748</v>
      </c>
      <c r="M3473">
        <f ca="1">qry_ProdData2_PDI_Cash_Exception_Application[[#This Row],[TODAY]]-qry_ProdData2_PDI_Cash_Exception_Application[[#This Row],[CHANGED ON]]</f>
        <v>7.7429282407392748</v>
      </c>
      <c r="N3473">
        <f ca="1">qry_ProdData2_PDI_Cash_Exception_Application[[#This Row],[TODAY]]-qry_ProdData2_PDI_Cash_Exception_Application[[#This Row],[CHANGED ON]]</f>
        <v>7.7429282407392748</v>
      </c>
    </row>
    <row r="3474" spans="1:14" x14ac:dyDescent="0.35">
      <c r="A3474">
        <v>1018</v>
      </c>
      <c r="B3474" t="s">
        <v>72</v>
      </c>
      <c r="C3474" s="1">
        <v>45194.257071759261</v>
      </c>
      <c r="D3474" t="str">
        <f ca="1">VLOOKUP(qry_ProdData2_PDI_Cash_Exception_Application[[#This Row],[TYPE]],#REF!,2,FALSE)</f>
        <v>type40</v>
      </c>
      <c r="E3474">
        <v>-391.07</v>
      </c>
      <c r="G3474" s="1">
        <f>qry_ProdData2_PDI_Cash_Exception_Application[[#This Row],[INSERT DATE]]+7</f>
        <v>45201.257071759261</v>
      </c>
      <c r="H3474" t="str">
        <f>VLOOKUP(qry_ProdData2_PDI_Cash_Exception_Application[[#This Row],[MARKET No]],'Site Allocation'!$B$2:$C$37,2,FALSE)</f>
        <v>Analyst4</v>
      </c>
      <c r="I3474" s="4">
        <f t="shared" ca="1" si="54"/>
        <v>45203</v>
      </c>
      <c r="J3474" s="42">
        <f ca="1">TODAY()-qry_ProdData2_PDI_Cash_Exception_Application[[#This Row],[INSERT DATE]]</f>
        <v>8.7429282407392748</v>
      </c>
      <c r="K34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74">
        <f ca="1">qry_ProdData2_PDI_Cash_Exception_Application[[#This Row],[TODAY]]-qry_ProdData2_PDI_Cash_Exception_Application[[#This Row],[CHANGED ON]]</f>
        <v>1.7429282407392748</v>
      </c>
      <c r="M3474">
        <f ca="1">qry_ProdData2_PDI_Cash_Exception_Application[[#This Row],[TODAY]]-qry_ProdData2_PDI_Cash_Exception_Application[[#This Row],[CHANGED ON]]</f>
        <v>1.7429282407392748</v>
      </c>
      <c r="N3474">
        <f ca="1">qry_ProdData2_PDI_Cash_Exception_Application[[#This Row],[TODAY]]-qry_ProdData2_PDI_Cash_Exception_Application[[#This Row],[CHANGED ON]]</f>
        <v>1.7429282407392748</v>
      </c>
    </row>
    <row r="3475" spans="1:14" x14ac:dyDescent="0.35">
      <c r="A3475">
        <v>1030</v>
      </c>
      <c r="B3475" t="s">
        <v>84</v>
      </c>
      <c r="C3475" s="1">
        <v>45194.257071759261</v>
      </c>
      <c r="D3475" t="str">
        <f ca="1">VLOOKUP(qry_ProdData2_PDI_Cash_Exception_Application[[#This Row],[TYPE]],#REF!,2,FALSE)</f>
        <v>type40</v>
      </c>
      <c r="E3475">
        <v>-791.2</v>
      </c>
      <c r="F3475" t="s">
        <v>51</v>
      </c>
      <c r="G3475" s="1">
        <f>qry_ProdData2_PDI_Cash_Exception_Application[[#This Row],[INSERT DATE]]+5</f>
        <v>45199.257071759261</v>
      </c>
      <c r="H3475" t="str">
        <f>VLOOKUP(qry_ProdData2_PDI_Cash_Exception_Application[[#This Row],[MARKET No]],'Site Allocation'!$B$2:$C$37,2,FALSE)</f>
        <v>Analyst6</v>
      </c>
      <c r="I3475" s="4">
        <f t="shared" ca="1" si="54"/>
        <v>45203</v>
      </c>
      <c r="J3475" s="42">
        <f ca="1">TODAY()-qry_ProdData2_PDI_Cash_Exception_Application[[#This Row],[INSERT DATE]]</f>
        <v>8.7429282407392748</v>
      </c>
      <c r="K34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75">
        <f ca="1">qry_ProdData2_PDI_Cash_Exception_Application[[#This Row],[TODAY]]-qry_ProdData2_PDI_Cash_Exception_Application[[#This Row],[CHANGED ON]]</f>
        <v>3.7429282407392748</v>
      </c>
      <c r="M3475">
        <f ca="1">qry_ProdData2_PDI_Cash_Exception_Application[[#This Row],[TODAY]]-qry_ProdData2_PDI_Cash_Exception_Application[[#This Row],[CHANGED ON]]</f>
        <v>3.7429282407392748</v>
      </c>
      <c r="N3475">
        <f ca="1">qry_ProdData2_PDI_Cash_Exception_Application[[#This Row],[TODAY]]-qry_ProdData2_PDI_Cash_Exception_Application[[#This Row],[CHANGED ON]]</f>
        <v>3.7429282407392748</v>
      </c>
    </row>
    <row r="3476" spans="1:14" x14ac:dyDescent="0.35">
      <c r="A3476">
        <v>1006</v>
      </c>
      <c r="B3476" t="s">
        <v>60</v>
      </c>
      <c r="C3476" s="1">
        <v>45197.257071759261</v>
      </c>
      <c r="D3476" t="str">
        <f ca="1">VLOOKUP(qry_ProdData2_PDI_Cash_Exception_Application[[#This Row],[TYPE]],#REF!,2,FALSE)</f>
        <v>type26</v>
      </c>
      <c r="E3476">
        <v>215.84</v>
      </c>
      <c r="F3476" t="s">
        <v>50</v>
      </c>
      <c r="G3476" s="1">
        <f>qry_ProdData2_PDI_Cash_Exception_Application[[#This Row],[INSERT DATE]]+1</f>
        <v>45198.257071759261</v>
      </c>
      <c r="H3476" t="str">
        <f>VLOOKUP(qry_ProdData2_PDI_Cash_Exception_Application[[#This Row],[MARKET No]],'Site Allocation'!$B$2:$C$37,2,FALSE)</f>
        <v>Analyst2</v>
      </c>
      <c r="I3476" s="4">
        <f t="shared" ca="1" si="54"/>
        <v>45203</v>
      </c>
      <c r="J3476" s="42">
        <f ca="1">TODAY()-qry_ProdData2_PDI_Cash_Exception_Application[[#This Row],[INSERT DATE]]</f>
        <v>5.7429282407392748</v>
      </c>
      <c r="K34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476">
        <f ca="1">qry_ProdData2_PDI_Cash_Exception_Application[[#This Row],[TODAY]]-qry_ProdData2_PDI_Cash_Exception_Application[[#This Row],[CHANGED ON]]</f>
        <v>4.7429282407392748</v>
      </c>
      <c r="M3476">
        <f ca="1">qry_ProdData2_PDI_Cash_Exception_Application[[#This Row],[TODAY]]-qry_ProdData2_PDI_Cash_Exception_Application[[#This Row],[CHANGED ON]]</f>
        <v>4.7429282407392748</v>
      </c>
      <c r="N3476">
        <f ca="1">qry_ProdData2_PDI_Cash_Exception_Application[[#This Row],[TODAY]]-qry_ProdData2_PDI_Cash_Exception_Application[[#This Row],[CHANGED ON]]</f>
        <v>4.7429282407392748</v>
      </c>
    </row>
    <row r="3477" spans="1:14" x14ac:dyDescent="0.35">
      <c r="A3477">
        <v>1011</v>
      </c>
      <c r="B3477" t="s">
        <v>65</v>
      </c>
      <c r="C3477" s="1">
        <v>45179.257071759261</v>
      </c>
      <c r="D3477" t="str">
        <f ca="1">VLOOKUP(qry_ProdData2_PDI_Cash_Exception_Application[[#This Row],[TYPE]],#REF!,2,FALSE)</f>
        <v>type17</v>
      </c>
      <c r="E3477">
        <v>67774.399999999994</v>
      </c>
      <c r="F3477" t="s">
        <v>52</v>
      </c>
      <c r="G3477" s="1">
        <f>qry_ProdData2_PDI_Cash_Exception_Application[[#This Row],[INSERT DATE]]+1</f>
        <v>45180.257071759261</v>
      </c>
      <c r="H3477" t="str">
        <f>VLOOKUP(qry_ProdData2_PDI_Cash_Exception_Application[[#This Row],[MARKET No]],'Site Allocation'!$B$2:$C$37,2,FALSE)</f>
        <v>Analyst2</v>
      </c>
      <c r="I3477" s="4">
        <f t="shared" ca="1" si="54"/>
        <v>45203</v>
      </c>
      <c r="J3477" s="42">
        <f ca="1">TODAY()-qry_ProdData2_PDI_Cash_Exception_Application[[#This Row],[INSERT DATE]]</f>
        <v>23.742928240739275</v>
      </c>
      <c r="K34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77">
        <f ca="1">qry_ProdData2_PDI_Cash_Exception_Application[[#This Row],[TODAY]]-qry_ProdData2_PDI_Cash_Exception_Application[[#This Row],[CHANGED ON]]</f>
        <v>22.742928240739275</v>
      </c>
      <c r="M3477">
        <f ca="1">qry_ProdData2_PDI_Cash_Exception_Application[[#This Row],[TODAY]]-qry_ProdData2_PDI_Cash_Exception_Application[[#This Row],[CHANGED ON]]</f>
        <v>22.742928240739275</v>
      </c>
      <c r="N3477">
        <f ca="1">qry_ProdData2_PDI_Cash_Exception_Application[[#This Row],[TODAY]]-qry_ProdData2_PDI_Cash_Exception_Application[[#This Row],[CHANGED ON]]</f>
        <v>22.742928240739275</v>
      </c>
    </row>
    <row r="3478" spans="1:14" x14ac:dyDescent="0.35">
      <c r="A3478">
        <v>1002</v>
      </c>
      <c r="B3478" t="s">
        <v>56</v>
      </c>
      <c r="C3478" s="1">
        <v>45193.257071759261</v>
      </c>
      <c r="D3478" t="str">
        <f ca="1">VLOOKUP(qry_ProdData2_PDI_Cash_Exception_Application[[#This Row],[TYPE]],#REF!,2,FALSE)</f>
        <v>type40</v>
      </c>
      <c r="E3478">
        <v>-847.18</v>
      </c>
      <c r="G3478" s="1">
        <f>qry_ProdData2_PDI_Cash_Exception_Application[[#This Row],[INSERT DATE]]+1</f>
        <v>45194.257071759261</v>
      </c>
      <c r="H3478" t="str">
        <f>VLOOKUP(qry_ProdData2_PDI_Cash_Exception_Application[[#This Row],[MARKET No]],'Site Allocation'!$B$2:$C$37,2,FALSE)</f>
        <v>Analyst1</v>
      </c>
      <c r="I3478" s="4">
        <f t="shared" ca="1" si="54"/>
        <v>45203</v>
      </c>
      <c r="J3478" s="42">
        <f ca="1">TODAY()-qry_ProdData2_PDI_Cash_Exception_Application[[#This Row],[INSERT DATE]]</f>
        <v>9.7429282407392748</v>
      </c>
      <c r="K34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78">
        <f ca="1">qry_ProdData2_PDI_Cash_Exception_Application[[#This Row],[TODAY]]-qry_ProdData2_PDI_Cash_Exception_Application[[#This Row],[CHANGED ON]]</f>
        <v>8.7429282407392748</v>
      </c>
      <c r="M3478">
        <f ca="1">qry_ProdData2_PDI_Cash_Exception_Application[[#This Row],[TODAY]]-qry_ProdData2_PDI_Cash_Exception_Application[[#This Row],[CHANGED ON]]</f>
        <v>8.7429282407392748</v>
      </c>
      <c r="N3478">
        <f ca="1">qry_ProdData2_PDI_Cash_Exception_Application[[#This Row],[TODAY]]-qry_ProdData2_PDI_Cash_Exception_Application[[#This Row],[CHANGED ON]]</f>
        <v>8.7429282407392748</v>
      </c>
    </row>
    <row r="3479" spans="1:14" x14ac:dyDescent="0.35">
      <c r="A3479">
        <v>1027</v>
      </c>
      <c r="B3479" t="s">
        <v>81</v>
      </c>
      <c r="C3479" s="1">
        <v>45193.257071759261</v>
      </c>
      <c r="D3479" t="str">
        <f ca="1">VLOOKUP(qry_ProdData2_PDI_Cash_Exception_Application[[#This Row],[TYPE]],#REF!,2,FALSE)</f>
        <v>type40</v>
      </c>
      <c r="E3479">
        <v>-487.55</v>
      </c>
      <c r="F3479" t="s">
        <v>51</v>
      </c>
      <c r="G3479" s="1">
        <f>qry_ProdData2_PDI_Cash_Exception_Application[[#This Row],[INSERT DATE]]+7</f>
        <v>45200.257071759261</v>
      </c>
      <c r="H3479" t="str">
        <f>VLOOKUP(qry_ProdData2_PDI_Cash_Exception_Application[[#This Row],[MARKET No]],'Site Allocation'!$B$2:$C$37,2,FALSE)</f>
        <v>Analyst5</v>
      </c>
      <c r="I3479" s="4">
        <f t="shared" ca="1" si="54"/>
        <v>45203</v>
      </c>
      <c r="J3479" s="42">
        <f ca="1">TODAY()-qry_ProdData2_PDI_Cash_Exception_Application[[#This Row],[INSERT DATE]]</f>
        <v>9.7429282407392748</v>
      </c>
      <c r="K34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79">
        <f ca="1">qry_ProdData2_PDI_Cash_Exception_Application[[#This Row],[TODAY]]-qry_ProdData2_PDI_Cash_Exception_Application[[#This Row],[CHANGED ON]]</f>
        <v>2.7429282407392748</v>
      </c>
      <c r="M3479">
        <f ca="1">qry_ProdData2_PDI_Cash_Exception_Application[[#This Row],[TODAY]]-qry_ProdData2_PDI_Cash_Exception_Application[[#This Row],[CHANGED ON]]</f>
        <v>2.7429282407392748</v>
      </c>
      <c r="N3479">
        <f ca="1">qry_ProdData2_PDI_Cash_Exception_Application[[#This Row],[TODAY]]-qry_ProdData2_PDI_Cash_Exception_Application[[#This Row],[CHANGED ON]]</f>
        <v>2.7429282407392748</v>
      </c>
    </row>
    <row r="3480" spans="1:14" x14ac:dyDescent="0.35">
      <c r="A3480">
        <v>1026</v>
      </c>
      <c r="B3480" t="s">
        <v>80</v>
      </c>
      <c r="C3480" s="1">
        <v>45195.257071759261</v>
      </c>
      <c r="D3480" t="str">
        <f ca="1">VLOOKUP(qry_ProdData2_PDI_Cash_Exception_Application[[#This Row],[TYPE]],#REF!,2,FALSE)</f>
        <v>type40</v>
      </c>
      <c r="E3480">
        <v>-456.42</v>
      </c>
      <c r="F3480" t="s">
        <v>48</v>
      </c>
      <c r="G3480" s="1">
        <f>qry_ProdData2_PDI_Cash_Exception_Application[[#This Row],[INSERT DATE]]+5</f>
        <v>45200.257071759261</v>
      </c>
      <c r="H3480" t="str">
        <f>VLOOKUP(qry_ProdData2_PDI_Cash_Exception_Application[[#This Row],[MARKET No]],'Site Allocation'!$B$2:$C$37,2,FALSE)</f>
        <v>Analyst5</v>
      </c>
      <c r="I3480" s="4">
        <f t="shared" ca="1" si="54"/>
        <v>45203</v>
      </c>
      <c r="J3480" s="42">
        <f ca="1">TODAY()-qry_ProdData2_PDI_Cash_Exception_Application[[#This Row],[INSERT DATE]]</f>
        <v>7.7429282407392748</v>
      </c>
      <c r="K34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80">
        <f ca="1">qry_ProdData2_PDI_Cash_Exception_Application[[#This Row],[TODAY]]-qry_ProdData2_PDI_Cash_Exception_Application[[#This Row],[CHANGED ON]]</f>
        <v>2.7429282407392748</v>
      </c>
      <c r="M3480">
        <f ca="1">qry_ProdData2_PDI_Cash_Exception_Application[[#This Row],[TODAY]]-qry_ProdData2_PDI_Cash_Exception_Application[[#This Row],[CHANGED ON]]</f>
        <v>2.7429282407392748</v>
      </c>
      <c r="N3480">
        <f ca="1">qry_ProdData2_PDI_Cash_Exception_Application[[#This Row],[TODAY]]-qry_ProdData2_PDI_Cash_Exception_Application[[#This Row],[CHANGED ON]]</f>
        <v>2.7429282407392748</v>
      </c>
    </row>
    <row r="3481" spans="1:14" x14ac:dyDescent="0.35">
      <c r="A3481">
        <v>1007</v>
      </c>
      <c r="B3481" t="s">
        <v>61</v>
      </c>
      <c r="C3481" s="1">
        <v>45182.257071759261</v>
      </c>
      <c r="D3481" t="str">
        <f ca="1">VLOOKUP(qry_ProdData2_PDI_Cash_Exception_Application[[#This Row],[TYPE]],#REF!,2,FALSE)</f>
        <v>type40</v>
      </c>
      <c r="E3481">
        <v>500.06</v>
      </c>
      <c r="F3481" t="s">
        <v>52</v>
      </c>
      <c r="G3481" s="1">
        <f>qry_ProdData2_PDI_Cash_Exception_Application[[#This Row],[INSERT DATE]]+2</f>
        <v>45184.257071759261</v>
      </c>
      <c r="H3481" t="str">
        <f>VLOOKUP(qry_ProdData2_PDI_Cash_Exception_Application[[#This Row],[MARKET No]],'Site Allocation'!$B$2:$C$37,2,FALSE)</f>
        <v>Analyst2</v>
      </c>
      <c r="I3481" s="4">
        <f t="shared" ca="1" si="54"/>
        <v>45203</v>
      </c>
      <c r="J3481" s="42">
        <f ca="1">TODAY()-qry_ProdData2_PDI_Cash_Exception_Application[[#This Row],[INSERT DATE]]</f>
        <v>20.742928240739275</v>
      </c>
      <c r="K34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81">
        <f ca="1">qry_ProdData2_PDI_Cash_Exception_Application[[#This Row],[TODAY]]-qry_ProdData2_PDI_Cash_Exception_Application[[#This Row],[CHANGED ON]]</f>
        <v>18.742928240739275</v>
      </c>
      <c r="M3481">
        <f ca="1">qry_ProdData2_PDI_Cash_Exception_Application[[#This Row],[TODAY]]-qry_ProdData2_PDI_Cash_Exception_Application[[#This Row],[CHANGED ON]]</f>
        <v>18.742928240739275</v>
      </c>
      <c r="N3481">
        <f ca="1">qry_ProdData2_PDI_Cash_Exception_Application[[#This Row],[TODAY]]-qry_ProdData2_PDI_Cash_Exception_Application[[#This Row],[CHANGED ON]]</f>
        <v>18.742928240739275</v>
      </c>
    </row>
    <row r="3482" spans="1:14" x14ac:dyDescent="0.35">
      <c r="A3482">
        <v>1024</v>
      </c>
      <c r="B3482" t="s">
        <v>78</v>
      </c>
      <c r="C3482" s="1">
        <v>45183.257071759261</v>
      </c>
      <c r="D3482" t="str">
        <f ca="1">VLOOKUP(qry_ProdData2_PDI_Cash_Exception_Application[[#This Row],[TYPE]],#REF!,2,FALSE)</f>
        <v>type5</v>
      </c>
      <c r="E3482">
        <v>5162.09</v>
      </c>
      <c r="F3482" t="s">
        <v>50</v>
      </c>
      <c r="G3482" s="1">
        <f>qry_ProdData2_PDI_Cash_Exception_Application[[#This Row],[INSERT DATE]]+2</f>
        <v>45185.257071759261</v>
      </c>
      <c r="H3482" t="str">
        <f>VLOOKUP(qry_ProdData2_PDI_Cash_Exception_Application[[#This Row],[MARKET No]],'Site Allocation'!$B$2:$C$37,2,FALSE)</f>
        <v>Analyst5</v>
      </c>
      <c r="I3482" s="4">
        <f t="shared" ca="1" si="54"/>
        <v>45203</v>
      </c>
      <c r="J3482" s="42">
        <f ca="1">TODAY()-qry_ProdData2_PDI_Cash_Exception_Application[[#This Row],[INSERT DATE]]</f>
        <v>19.742928240739275</v>
      </c>
      <c r="K34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82">
        <f ca="1">qry_ProdData2_PDI_Cash_Exception_Application[[#This Row],[TODAY]]-qry_ProdData2_PDI_Cash_Exception_Application[[#This Row],[CHANGED ON]]</f>
        <v>17.742928240739275</v>
      </c>
      <c r="M3482">
        <f ca="1">qry_ProdData2_PDI_Cash_Exception_Application[[#This Row],[TODAY]]-qry_ProdData2_PDI_Cash_Exception_Application[[#This Row],[CHANGED ON]]</f>
        <v>17.742928240739275</v>
      </c>
      <c r="N3482">
        <f ca="1">qry_ProdData2_PDI_Cash_Exception_Application[[#This Row],[TODAY]]-qry_ProdData2_PDI_Cash_Exception_Application[[#This Row],[CHANGED ON]]</f>
        <v>17.742928240739275</v>
      </c>
    </row>
    <row r="3483" spans="1:14" x14ac:dyDescent="0.35">
      <c r="A3483">
        <v>1024</v>
      </c>
      <c r="B3483" t="s">
        <v>78</v>
      </c>
      <c r="C3483" s="1">
        <v>45193.257071759261</v>
      </c>
      <c r="D3483" t="str">
        <f ca="1">VLOOKUP(qry_ProdData2_PDI_Cash_Exception_Application[[#This Row],[TYPE]],#REF!,2,FALSE)</f>
        <v>type40</v>
      </c>
      <c r="E3483">
        <v>-1004.33</v>
      </c>
      <c r="G3483" s="1">
        <f>qry_ProdData2_PDI_Cash_Exception_Application[[#This Row],[INSERT DATE]]+7</f>
        <v>45200.257071759261</v>
      </c>
      <c r="H3483" t="str">
        <f>VLOOKUP(qry_ProdData2_PDI_Cash_Exception_Application[[#This Row],[MARKET No]],'Site Allocation'!$B$2:$C$37,2,FALSE)</f>
        <v>Analyst5</v>
      </c>
      <c r="I3483" s="4">
        <f t="shared" ca="1" si="54"/>
        <v>45203</v>
      </c>
      <c r="J3483" s="42">
        <f ca="1">TODAY()-qry_ProdData2_PDI_Cash_Exception_Application[[#This Row],[INSERT DATE]]</f>
        <v>9.7429282407392748</v>
      </c>
      <c r="K34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83">
        <f ca="1">qry_ProdData2_PDI_Cash_Exception_Application[[#This Row],[TODAY]]-qry_ProdData2_PDI_Cash_Exception_Application[[#This Row],[CHANGED ON]]</f>
        <v>2.7429282407392748</v>
      </c>
      <c r="M3483">
        <f ca="1">qry_ProdData2_PDI_Cash_Exception_Application[[#This Row],[TODAY]]-qry_ProdData2_PDI_Cash_Exception_Application[[#This Row],[CHANGED ON]]</f>
        <v>2.7429282407392748</v>
      </c>
      <c r="N3483">
        <f ca="1">qry_ProdData2_PDI_Cash_Exception_Application[[#This Row],[TODAY]]-qry_ProdData2_PDI_Cash_Exception_Application[[#This Row],[CHANGED ON]]</f>
        <v>2.7429282407392748</v>
      </c>
    </row>
    <row r="3484" spans="1:14" x14ac:dyDescent="0.35">
      <c r="A3484">
        <v>1014</v>
      </c>
      <c r="B3484" t="s">
        <v>68</v>
      </c>
      <c r="C3484" s="1">
        <v>45195.257071759261</v>
      </c>
      <c r="D3484" t="str">
        <f ca="1">VLOOKUP(qry_ProdData2_PDI_Cash_Exception_Application[[#This Row],[TYPE]],#REF!,2,FALSE)</f>
        <v>type40</v>
      </c>
      <c r="E3484">
        <v>999.95</v>
      </c>
      <c r="F3484" t="s">
        <v>51</v>
      </c>
      <c r="G3484" s="1">
        <f>qry_ProdData2_PDI_Cash_Exception_Application[[#This Row],[INSERT DATE]]+7</f>
        <v>45202.257071759261</v>
      </c>
      <c r="H3484" t="str">
        <f>VLOOKUP(qry_ProdData2_PDI_Cash_Exception_Application[[#This Row],[MARKET No]],'Site Allocation'!$B$2:$C$37,2,FALSE)</f>
        <v>Analyst3</v>
      </c>
      <c r="I3484" s="4">
        <f t="shared" ca="1" si="54"/>
        <v>45203</v>
      </c>
      <c r="J3484" s="42">
        <f ca="1">TODAY()-qry_ProdData2_PDI_Cash_Exception_Application[[#This Row],[INSERT DATE]]</f>
        <v>7.7429282407392748</v>
      </c>
      <c r="K34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84">
        <f ca="1">qry_ProdData2_PDI_Cash_Exception_Application[[#This Row],[TODAY]]-qry_ProdData2_PDI_Cash_Exception_Application[[#This Row],[CHANGED ON]]</f>
        <v>0.74292824073927477</v>
      </c>
      <c r="M3484">
        <f ca="1">qry_ProdData2_PDI_Cash_Exception_Application[[#This Row],[TODAY]]-qry_ProdData2_PDI_Cash_Exception_Application[[#This Row],[CHANGED ON]]</f>
        <v>0.74292824073927477</v>
      </c>
      <c r="N3484">
        <f ca="1">qry_ProdData2_PDI_Cash_Exception_Application[[#This Row],[TODAY]]-qry_ProdData2_PDI_Cash_Exception_Application[[#This Row],[CHANGED ON]]</f>
        <v>0.74292824073927477</v>
      </c>
    </row>
    <row r="3485" spans="1:14" x14ac:dyDescent="0.35">
      <c r="A3485">
        <v>1007</v>
      </c>
      <c r="B3485" t="s">
        <v>61</v>
      </c>
      <c r="C3485" s="1">
        <v>45193.257071759261</v>
      </c>
      <c r="D3485" t="str">
        <f ca="1">VLOOKUP(qry_ProdData2_PDI_Cash_Exception_Application[[#This Row],[TYPE]],#REF!,2,FALSE)</f>
        <v>type16</v>
      </c>
      <c r="E3485">
        <v>-1722</v>
      </c>
      <c r="F3485" t="s">
        <v>48</v>
      </c>
      <c r="G3485" s="1">
        <f>qry_ProdData2_PDI_Cash_Exception_Application[[#This Row],[INSERT DATE]]+1</f>
        <v>45194.257071759261</v>
      </c>
      <c r="H3485" t="str">
        <f>VLOOKUP(qry_ProdData2_PDI_Cash_Exception_Application[[#This Row],[MARKET No]],'Site Allocation'!$B$2:$C$37,2,FALSE)</f>
        <v>Analyst2</v>
      </c>
      <c r="I3485" s="4">
        <f t="shared" ca="1" si="54"/>
        <v>45203</v>
      </c>
      <c r="J3485" s="42">
        <f ca="1">TODAY()-qry_ProdData2_PDI_Cash_Exception_Application[[#This Row],[INSERT DATE]]</f>
        <v>9.7429282407392748</v>
      </c>
      <c r="K34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85">
        <f ca="1">qry_ProdData2_PDI_Cash_Exception_Application[[#This Row],[TODAY]]-qry_ProdData2_PDI_Cash_Exception_Application[[#This Row],[CHANGED ON]]</f>
        <v>8.7429282407392748</v>
      </c>
      <c r="M3485">
        <f ca="1">qry_ProdData2_PDI_Cash_Exception_Application[[#This Row],[TODAY]]-qry_ProdData2_PDI_Cash_Exception_Application[[#This Row],[CHANGED ON]]</f>
        <v>8.7429282407392748</v>
      </c>
      <c r="N3485">
        <f ca="1">qry_ProdData2_PDI_Cash_Exception_Application[[#This Row],[TODAY]]-qry_ProdData2_PDI_Cash_Exception_Application[[#This Row],[CHANGED ON]]</f>
        <v>8.7429282407392748</v>
      </c>
    </row>
    <row r="3486" spans="1:14" x14ac:dyDescent="0.35">
      <c r="A3486">
        <v>1008</v>
      </c>
      <c r="B3486" t="s">
        <v>62</v>
      </c>
      <c r="C3486" s="1">
        <v>45185.257071759261</v>
      </c>
      <c r="D3486" t="str">
        <f ca="1">VLOOKUP(qry_ProdData2_PDI_Cash_Exception_Application[[#This Row],[TYPE]],#REF!,2,FALSE)</f>
        <v>type40</v>
      </c>
      <c r="E3486">
        <v>2264.1799999999998</v>
      </c>
      <c r="F3486" t="s">
        <v>52</v>
      </c>
      <c r="G3486" s="1">
        <f>qry_ProdData2_PDI_Cash_Exception_Application[[#This Row],[INSERT DATE]]+2</f>
        <v>45187.257071759261</v>
      </c>
      <c r="H3486" t="str">
        <f>VLOOKUP(qry_ProdData2_PDI_Cash_Exception_Application[[#This Row],[MARKET No]],'Site Allocation'!$B$2:$C$37,2,FALSE)</f>
        <v>Analyst2</v>
      </c>
      <c r="I3486" s="4">
        <f t="shared" ca="1" si="54"/>
        <v>45203</v>
      </c>
      <c r="J3486" s="42">
        <f ca="1">TODAY()-qry_ProdData2_PDI_Cash_Exception_Application[[#This Row],[INSERT DATE]]</f>
        <v>17.742928240739275</v>
      </c>
      <c r="K34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86">
        <f ca="1">qry_ProdData2_PDI_Cash_Exception_Application[[#This Row],[TODAY]]-qry_ProdData2_PDI_Cash_Exception_Application[[#This Row],[CHANGED ON]]</f>
        <v>15.742928240739275</v>
      </c>
      <c r="M3486">
        <f ca="1">qry_ProdData2_PDI_Cash_Exception_Application[[#This Row],[TODAY]]-qry_ProdData2_PDI_Cash_Exception_Application[[#This Row],[CHANGED ON]]</f>
        <v>15.742928240739275</v>
      </c>
      <c r="N3486">
        <f ca="1">qry_ProdData2_PDI_Cash_Exception_Application[[#This Row],[TODAY]]-qry_ProdData2_PDI_Cash_Exception_Application[[#This Row],[CHANGED ON]]</f>
        <v>15.742928240739275</v>
      </c>
    </row>
    <row r="3487" spans="1:14" x14ac:dyDescent="0.35">
      <c r="A3487">
        <v>1012</v>
      </c>
      <c r="B3487" t="s">
        <v>66</v>
      </c>
      <c r="C3487" s="1">
        <v>45193.257071759261</v>
      </c>
      <c r="D3487" t="str">
        <f ca="1">VLOOKUP(qry_ProdData2_PDI_Cash_Exception_Application[[#This Row],[TYPE]],#REF!,2,FALSE)</f>
        <v>type40</v>
      </c>
      <c r="E3487">
        <v>5088.96</v>
      </c>
      <c r="F3487" t="s">
        <v>47</v>
      </c>
      <c r="G3487" s="1">
        <f>qry_ProdData2_PDI_Cash_Exception_Application[[#This Row],[INSERT DATE]]+5</f>
        <v>45198.257071759261</v>
      </c>
      <c r="H3487" t="str">
        <f>VLOOKUP(qry_ProdData2_PDI_Cash_Exception_Application[[#This Row],[MARKET No]],'Site Allocation'!$B$2:$C$37,2,FALSE)</f>
        <v>Analyst3</v>
      </c>
      <c r="I3487" s="4">
        <f t="shared" ca="1" si="54"/>
        <v>45203</v>
      </c>
      <c r="J3487" s="42">
        <f ca="1">TODAY()-qry_ProdData2_PDI_Cash_Exception_Application[[#This Row],[INSERT DATE]]</f>
        <v>9.7429282407392748</v>
      </c>
      <c r="K34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87">
        <f ca="1">qry_ProdData2_PDI_Cash_Exception_Application[[#This Row],[TODAY]]-qry_ProdData2_PDI_Cash_Exception_Application[[#This Row],[CHANGED ON]]</f>
        <v>4.7429282407392748</v>
      </c>
      <c r="M3487">
        <f ca="1">qry_ProdData2_PDI_Cash_Exception_Application[[#This Row],[TODAY]]-qry_ProdData2_PDI_Cash_Exception_Application[[#This Row],[CHANGED ON]]</f>
        <v>4.7429282407392748</v>
      </c>
      <c r="N3487">
        <f ca="1">qry_ProdData2_PDI_Cash_Exception_Application[[#This Row],[TODAY]]-qry_ProdData2_PDI_Cash_Exception_Application[[#This Row],[CHANGED ON]]</f>
        <v>4.7429282407392748</v>
      </c>
    </row>
    <row r="3488" spans="1:14" x14ac:dyDescent="0.35">
      <c r="A3488">
        <v>1013</v>
      </c>
      <c r="B3488" t="s">
        <v>67</v>
      </c>
      <c r="C3488" s="1">
        <v>45186.257071759261</v>
      </c>
      <c r="D3488" t="str">
        <f ca="1">VLOOKUP(qry_ProdData2_PDI_Cash_Exception_Application[[#This Row],[TYPE]],#REF!,2,FALSE)</f>
        <v>type13</v>
      </c>
      <c r="E3488">
        <v>26094</v>
      </c>
      <c r="F3488" t="s">
        <v>50</v>
      </c>
      <c r="G3488" s="1">
        <f>qry_ProdData2_PDI_Cash_Exception_Application[[#This Row],[INSERT DATE]]+2</f>
        <v>45188.257071759261</v>
      </c>
      <c r="H3488" t="str">
        <f>VLOOKUP(qry_ProdData2_PDI_Cash_Exception_Application[[#This Row],[MARKET No]],'Site Allocation'!$B$2:$C$37,2,FALSE)</f>
        <v>Analyst3</v>
      </c>
      <c r="I3488" s="4">
        <f t="shared" ca="1" si="54"/>
        <v>45203</v>
      </c>
      <c r="J3488" s="42">
        <f ca="1">TODAY()-qry_ProdData2_PDI_Cash_Exception_Application[[#This Row],[INSERT DATE]]</f>
        <v>16.742928240739275</v>
      </c>
      <c r="K34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88">
        <f ca="1">qry_ProdData2_PDI_Cash_Exception_Application[[#This Row],[TODAY]]-qry_ProdData2_PDI_Cash_Exception_Application[[#This Row],[CHANGED ON]]</f>
        <v>14.742928240739275</v>
      </c>
      <c r="M3488">
        <f ca="1">qry_ProdData2_PDI_Cash_Exception_Application[[#This Row],[TODAY]]-qry_ProdData2_PDI_Cash_Exception_Application[[#This Row],[CHANGED ON]]</f>
        <v>14.742928240739275</v>
      </c>
      <c r="N3488">
        <f ca="1">qry_ProdData2_PDI_Cash_Exception_Application[[#This Row],[TODAY]]-qry_ProdData2_PDI_Cash_Exception_Application[[#This Row],[CHANGED ON]]</f>
        <v>14.742928240739275</v>
      </c>
    </row>
    <row r="3489" spans="1:14" x14ac:dyDescent="0.35">
      <c r="A3489">
        <v>1021</v>
      </c>
      <c r="B3489" t="s">
        <v>75</v>
      </c>
      <c r="C3489" s="1">
        <v>45195.257071759261</v>
      </c>
      <c r="D3489" t="str">
        <f ca="1">VLOOKUP(qry_ProdData2_PDI_Cash_Exception_Application[[#This Row],[TYPE]],#REF!,2,FALSE)</f>
        <v>type33</v>
      </c>
      <c r="E3489">
        <v>418.6</v>
      </c>
      <c r="F3489" t="s">
        <v>47</v>
      </c>
      <c r="G3489" s="1">
        <f>qry_ProdData2_PDI_Cash_Exception_Application[[#This Row],[INSERT DATE]]+7</f>
        <v>45202.257071759261</v>
      </c>
      <c r="H3489" t="str">
        <f>VLOOKUP(qry_ProdData2_PDI_Cash_Exception_Application[[#This Row],[MARKET No]],'Site Allocation'!$B$2:$C$37,2,FALSE)</f>
        <v>Analyst4</v>
      </c>
      <c r="I3489" s="4">
        <f t="shared" ca="1" si="54"/>
        <v>45203</v>
      </c>
      <c r="J3489" s="42">
        <f ca="1">TODAY()-qry_ProdData2_PDI_Cash_Exception_Application[[#This Row],[INSERT DATE]]</f>
        <v>7.7429282407392748</v>
      </c>
      <c r="K34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89">
        <f ca="1">qry_ProdData2_PDI_Cash_Exception_Application[[#This Row],[TODAY]]-qry_ProdData2_PDI_Cash_Exception_Application[[#This Row],[CHANGED ON]]</f>
        <v>0.74292824073927477</v>
      </c>
      <c r="M3489">
        <f ca="1">qry_ProdData2_PDI_Cash_Exception_Application[[#This Row],[TODAY]]-qry_ProdData2_PDI_Cash_Exception_Application[[#This Row],[CHANGED ON]]</f>
        <v>0.74292824073927477</v>
      </c>
      <c r="N3489">
        <f ca="1">qry_ProdData2_PDI_Cash_Exception_Application[[#This Row],[TODAY]]-qry_ProdData2_PDI_Cash_Exception_Application[[#This Row],[CHANGED ON]]</f>
        <v>0.74292824073927477</v>
      </c>
    </row>
    <row r="3490" spans="1:14" x14ac:dyDescent="0.35">
      <c r="A3490">
        <v>1012</v>
      </c>
      <c r="B3490" t="s">
        <v>66</v>
      </c>
      <c r="C3490" s="1">
        <v>45187.257071759261</v>
      </c>
      <c r="D3490" t="str">
        <f ca="1">VLOOKUP(qry_ProdData2_PDI_Cash_Exception_Application[[#This Row],[TYPE]],#REF!,2,FALSE)</f>
        <v>type40</v>
      </c>
      <c r="E3490">
        <v>856.03</v>
      </c>
      <c r="F3490" t="s">
        <v>52</v>
      </c>
      <c r="G3490" s="1">
        <f>qry_ProdData2_PDI_Cash_Exception_Application[[#This Row],[INSERT DATE]]+2</f>
        <v>45189.257071759261</v>
      </c>
      <c r="H3490" t="str">
        <f>VLOOKUP(qry_ProdData2_PDI_Cash_Exception_Application[[#This Row],[MARKET No]],'Site Allocation'!$B$2:$C$37,2,FALSE)</f>
        <v>Analyst3</v>
      </c>
      <c r="I3490" s="4">
        <f t="shared" ca="1" si="54"/>
        <v>45203</v>
      </c>
      <c r="J3490" s="42">
        <f ca="1">TODAY()-qry_ProdData2_PDI_Cash_Exception_Application[[#This Row],[INSERT DATE]]</f>
        <v>15.742928240739275</v>
      </c>
      <c r="K34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90">
        <f ca="1">qry_ProdData2_PDI_Cash_Exception_Application[[#This Row],[TODAY]]-qry_ProdData2_PDI_Cash_Exception_Application[[#This Row],[CHANGED ON]]</f>
        <v>13.742928240739275</v>
      </c>
      <c r="M3490">
        <f ca="1">qry_ProdData2_PDI_Cash_Exception_Application[[#This Row],[TODAY]]-qry_ProdData2_PDI_Cash_Exception_Application[[#This Row],[CHANGED ON]]</f>
        <v>13.742928240739275</v>
      </c>
      <c r="N3490">
        <f ca="1">qry_ProdData2_PDI_Cash_Exception_Application[[#This Row],[TODAY]]-qry_ProdData2_PDI_Cash_Exception_Application[[#This Row],[CHANGED ON]]</f>
        <v>13.742928240739275</v>
      </c>
    </row>
    <row r="3491" spans="1:14" x14ac:dyDescent="0.35">
      <c r="A3491">
        <v>1032</v>
      </c>
      <c r="B3491" t="s">
        <v>86</v>
      </c>
      <c r="C3491" s="1">
        <v>45195.257071759261</v>
      </c>
      <c r="D3491" t="str">
        <f ca="1">VLOOKUP(qry_ProdData2_PDI_Cash_Exception_Application[[#This Row],[TYPE]],#REF!,2,FALSE)</f>
        <v>type38</v>
      </c>
      <c r="E3491">
        <v>151.82</v>
      </c>
      <c r="F3491" t="s">
        <v>51</v>
      </c>
      <c r="G3491" s="1">
        <f>qry_ProdData2_PDI_Cash_Exception_Application[[#This Row],[INSERT DATE]]+1</f>
        <v>45196.257071759261</v>
      </c>
      <c r="H3491" t="str">
        <f>VLOOKUP(qry_ProdData2_PDI_Cash_Exception_Application[[#This Row],[MARKET No]],'Site Allocation'!$B$2:$C$37,2,FALSE)</f>
        <v>Analyst6</v>
      </c>
      <c r="I3491" s="4">
        <f t="shared" ca="1" si="54"/>
        <v>45203</v>
      </c>
      <c r="J3491" s="42">
        <f ca="1">TODAY()-qry_ProdData2_PDI_Cash_Exception_Application[[#This Row],[INSERT DATE]]</f>
        <v>7.7429282407392748</v>
      </c>
      <c r="K34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91">
        <f ca="1">qry_ProdData2_PDI_Cash_Exception_Application[[#This Row],[TODAY]]-qry_ProdData2_PDI_Cash_Exception_Application[[#This Row],[CHANGED ON]]</f>
        <v>6.7429282407392748</v>
      </c>
      <c r="M3491">
        <f ca="1">qry_ProdData2_PDI_Cash_Exception_Application[[#This Row],[TODAY]]-qry_ProdData2_PDI_Cash_Exception_Application[[#This Row],[CHANGED ON]]</f>
        <v>6.7429282407392748</v>
      </c>
      <c r="N3491">
        <f ca="1">qry_ProdData2_PDI_Cash_Exception_Application[[#This Row],[TODAY]]-qry_ProdData2_PDI_Cash_Exception_Application[[#This Row],[CHANGED ON]]</f>
        <v>6.7429282407392748</v>
      </c>
    </row>
    <row r="3492" spans="1:14" x14ac:dyDescent="0.35">
      <c r="A3492">
        <v>1013</v>
      </c>
      <c r="B3492" t="s">
        <v>67</v>
      </c>
      <c r="C3492" s="1">
        <v>45194.257071759261</v>
      </c>
      <c r="D3492" t="str">
        <f ca="1">VLOOKUP(qry_ProdData2_PDI_Cash_Exception_Application[[#This Row],[TYPE]],#REF!,2,FALSE)</f>
        <v>type40</v>
      </c>
      <c r="E3492">
        <v>-319.02999999999997</v>
      </c>
      <c r="F3492" t="s">
        <v>47</v>
      </c>
      <c r="G3492" s="1">
        <f>qry_ProdData2_PDI_Cash_Exception_Application[[#This Row],[INSERT DATE]]+2</f>
        <v>45196.257071759261</v>
      </c>
      <c r="H3492" t="str">
        <f>VLOOKUP(qry_ProdData2_PDI_Cash_Exception_Application[[#This Row],[MARKET No]],'Site Allocation'!$B$2:$C$37,2,FALSE)</f>
        <v>Analyst3</v>
      </c>
      <c r="I3492" s="4">
        <f t="shared" ca="1" si="54"/>
        <v>45203</v>
      </c>
      <c r="J3492" s="42">
        <f ca="1">TODAY()-qry_ProdData2_PDI_Cash_Exception_Application[[#This Row],[INSERT DATE]]</f>
        <v>8.7429282407392748</v>
      </c>
      <c r="K34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92">
        <f ca="1">qry_ProdData2_PDI_Cash_Exception_Application[[#This Row],[TODAY]]-qry_ProdData2_PDI_Cash_Exception_Application[[#This Row],[CHANGED ON]]</f>
        <v>6.7429282407392748</v>
      </c>
      <c r="M3492">
        <f ca="1">qry_ProdData2_PDI_Cash_Exception_Application[[#This Row],[TODAY]]-qry_ProdData2_PDI_Cash_Exception_Application[[#This Row],[CHANGED ON]]</f>
        <v>6.7429282407392748</v>
      </c>
      <c r="N3492">
        <f ca="1">qry_ProdData2_PDI_Cash_Exception_Application[[#This Row],[TODAY]]-qry_ProdData2_PDI_Cash_Exception_Application[[#This Row],[CHANGED ON]]</f>
        <v>6.7429282407392748</v>
      </c>
    </row>
    <row r="3493" spans="1:14" x14ac:dyDescent="0.35">
      <c r="A3493">
        <v>1019</v>
      </c>
      <c r="B3493" t="s">
        <v>73</v>
      </c>
      <c r="C3493" s="1">
        <v>45194.257071759261</v>
      </c>
      <c r="D3493" t="str">
        <f ca="1">VLOOKUP(qry_ProdData2_PDI_Cash_Exception_Application[[#This Row],[TYPE]],#REF!,2,FALSE)</f>
        <v>type49</v>
      </c>
      <c r="E3493">
        <v>0</v>
      </c>
      <c r="F3493" t="s">
        <v>48</v>
      </c>
      <c r="G3493" s="1">
        <f>qry_ProdData2_PDI_Cash_Exception_Application[[#This Row],[INSERT DATE]]+2</f>
        <v>45196.257071759261</v>
      </c>
      <c r="H3493" t="str">
        <f>VLOOKUP(qry_ProdData2_PDI_Cash_Exception_Application[[#This Row],[MARKET No]],'Site Allocation'!$B$2:$C$37,2,FALSE)</f>
        <v>Analyst4</v>
      </c>
      <c r="I3493" s="4">
        <f t="shared" ca="1" si="54"/>
        <v>45203</v>
      </c>
      <c r="J3493" s="42">
        <f ca="1">TODAY()-qry_ProdData2_PDI_Cash_Exception_Application[[#This Row],[INSERT DATE]]</f>
        <v>8.7429282407392748</v>
      </c>
      <c r="K34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93">
        <f ca="1">qry_ProdData2_PDI_Cash_Exception_Application[[#This Row],[TODAY]]-qry_ProdData2_PDI_Cash_Exception_Application[[#This Row],[CHANGED ON]]</f>
        <v>6.7429282407392748</v>
      </c>
      <c r="M3493">
        <f ca="1">qry_ProdData2_PDI_Cash_Exception_Application[[#This Row],[TODAY]]-qry_ProdData2_PDI_Cash_Exception_Application[[#This Row],[CHANGED ON]]</f>
        <v>6.7429282407392748</v>
      </c>
      <c r="N3493">
        <f ca="1">qry_ProdData2_PDI_Cash_Exception_Application[[#This Row],[TODAY]]-qry_ProdData2_PDI_Cash_Exception_Application[[#This Row],[CHANGED ON]]</f>
        <v>6.7429282407392748</v>
      </c>
    </row>
    <row r="3494" spans="1:14" x14ac:dyDescent="0.35">
      <c r="A3494">
        <v>1034</v>
      </c>
      <c r="B3494" t="s">
        <v>88</v>
      </c>
      <c r="C3494" s="1">
        <v>45195.257071759261</v>
      </c>
      <c r="D3494" t="str">
        <f ca="1">VLOOKUP(qry_ProdData2_PDI_Cash_Exception_Application[[#This Row],[TYPE]],#REF!,2,FALSE)</f>
        <v>type40</v>
      </c>
      <c r="E3494">
        <v>9498.3799999999992</v>
      </c>
      <c r="F3494" t="s">
        <v>47</v>
      </c>
      <c r="G3494" s="1">
        <f>qry_ProdData2_PDI_Cash_Exception_Application[[#This Row],[INSERT DATE]]+2</f>
        <v>45197.257071759261</v>
      </c>
      <c r="H3494" t="str">
        <f>VLOOKUP(qry_ProdData2_PDI_Cash_Exception_Application[[#This Row],[MARKET No]],'Site Allocation'!$B$2:$C$37,2,FALSE)</f>
        <v>Analyst6</v>
      </c>
      <c r="I3494" s="4">
        <f t="shared" ca="1" si="54"/>
        <v>45203</v>
      </c>
      <c r="J3494" s="42">
        <f ca="1">TODAY()-qry_ProdData2_PDI_Cash_Exception_Application[[#This Row],[INSERT DATE]]</f>
        <v>7.7429282407392748</v>
      </c>
      <c r="K34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94">
        <f ca="1">qry_ProdData2_PDI_Cash_Exception_Application[[#This Row],[TODAY]]-qry_ProdData2_PDI_Cash_Exception_Application[[#This Row],[CHANGED ON]]</f>
        <v>5.7429282407392748</v>
      </c>
      <c r="M3494">
        <f ca="1">qry_ProdData2_PDI_Cash_Exception_Application[[#This Row],[TODAY]]-qry_ProdData2_PDI_Cash_Exception_Application[[#This Row],[CHANGED ON]]</f>
        <v>5.7429282407392748</v>
      </c>
      <c r="N3494">
        <f ca="1">qry_ProdData2_PDI_Cash_Exception_Application[[#This Row],[TODAY]]-qry_ProdData2_PDI_Cash_Exception_Application[[#This Row],[CHANGED ON]]</f>
        <v>5.7429282407392748</v>
      </c>
    </row>
    <row r="3495" spans="1:14" x14ac:dyDescent="0.35">
      <c r="A3495">
        <v>1028</v>
      </c>
      <c r="B3495" t="s">
        <v>82</v>
      </c>
      <c r="C3495" s="1">
        <v>45193.257071759261</v>
      </c>
      <c r="D3495" t="str">
        <f ca="1">VLOOKUP(qry_ProdData2_PDI_Cash_Exception_Application[[#This Row],[TYPE]],#REF!,2,FALSE)</f>
        <v>type13</v>
      </c>
      <c r="E3495">
        <v>27582.61</v>
      </c>
      <c r="F3495" t="s">
        <v>51</v>
      </c>
      <c r="G3495" s="1">
        <f>qry_ProdData2_PDI_Cash_Exception_Application[[#This Row],[INSERT DATE]]+7</f>
        <v>45200.257071759261</v>
      </c>
      <c r="H3495" t="str">
        <f>VLOOKUP(qry_ProdData2_PDI_Cash_Exception_Application[[#This Row],[MARKET No]],'Site Allocation'!$B$2:$C$37,2,FALSE)</f>
        <v>Analyst5</v>
      </c>
      <c r="I3495" s="4">
        <f t="shared" ca="1" si="54"/>
        <v>45203</v>
      </c>
      <c r="J3495" s="42">
        <f ca="1">TODAY()-qry_ProdData2_PDI_Cash_Exception_Application[[#This Row],[INSERT DATE]]</f>
        <v>9.7429282407392748</v>
      </c>
      <c r="K34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95">
        <f ca="1">qry_ProdData2_PDI_Cash_Exception_Application[[#This Row],[TODAY]]-qry_ProdData2_PDI_Cash_Exception_Application[[#This Row],[CHANGED ON]]</f>
        <v>2.7429282407392748</v>
      </c>
      <c r="M3495">
        <f ca="1">qry_ProdData2_PDI_Cash_Exception_Application[[#This Row],[TODAY]]-qry_ProdData2_PDI_Cash_Exception_Application[[#This Row],[CHANGED ON]]</f>
        <v>2.7429282407392748</v>
      </c>
      <c r="N3495">
        <f ca="1">qry_ProdData2_PDI_Cash_Exception_Application[[#This Row],[TODAY]]-qry_ProdData2_PDI_Cash_Exception_Application[[#This Row],[CHANGED ON]]</f>
        <v>2.7429282407392748</v>
      </c>
    </row>
    <row r="3496" spans="1:14" x14ac:dyDescent="0.35">
      <c r="A3496">
        <v>1008</v>
      </c>
      <c r="B3496" t="s">
        <v>62</v>
      </c>
      <c r="C3496" s="1">
        <v>45191.257071759261</v>
      </c>
      <c r="D3496" t="str">
        <f ca="1">VLOOKUP(qry_ProdData2_PDI_Cash_Exception_Application[[#This Row],[TYPE]],#REF!,2,FALSE)</f>
        <v>type40</v>
      </c>
      <c r="E3496">
        <v>364.76</v>
      </c>
      <c r="F3496" t="s">
        <v>52</v>
      </c>
      <c r="G3496" s="1">
        <f>qry_ProdData2_PDI_Cash_Exception_Application[[#This Row],[INSERT DATE]]+2</f>
        <v>45193.257071759261</v>
      </c>
      <c r="H3496" t="str">
        <f>VLOOKUP(qry_ProdData2_PDI_Cash_Exception_Application[[#This Row],[MARKET No]],'Site Allocation'!$B$2:$C$37,2,FALSE)</f>
        <v>Analyst2</v>
      </c>
      <c r="I3496" s="4">
        <f t="shared" ca="1" si="54"/>
        <v>45203</v>
      </c>
      <c r="J3496" s="42">
        <f ca="1">TODAY()-qry_ProdData2_PDI_Cash_Exception_Application[[#This Row],[INSERT DATE]]</f>
        <v>11.742928240739275</v>
      </c>
      <c r="K34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496">
        <f ca="1">qry_ProdData2_PDI_Cash_Exception_Application[[#This Row],[TODAY]]-qry_ProdData2_PDI_Cash_Exception_Application[[#This Row],[CHANGED ON]]</f>
        <v>9.7429282407392748</v>
      </c>
      <c r="M3496">
        <f ca="1">qry_ProdData2_PDI_Cash_Exception_Application[[#This Row],[TODAY]]-qry_ProdData2_PDI_Cash_Exception_Application[[#This Row],[CHANGED ON]]</f>
        <v>9.7429282407392748</v>
      </c>
      <c r="N3496">
        <f ca="1">qry_ProdData2_PDI_Cash_Exception_Application[[#This Row],[TODAY]]-qry_ProdData2_PDI_Cash_Exception_Application[[#This Row],[CHANGED ON]]</f>
        <v>9.7429282407392748</v>
      </c>
    </row>
    <row r="3497" spans="1:14" x14ac:dyDescent="0.35">
      <c r="A3497">
        <v>1005</v>
      </c>
      <c r="B3497" t="s">
        <v>59</v>
      </c>
      <c r="C3497" s="1">
        <v>45195.257071759261</v>
      </c>
      <c r="D3497" t="str">
        <f ca="1">VLOOKUP(qry_ProdData2_PDI_Cash_Exception_Application[[#This Row],[TYPE]],#REF!,2,FALSE)</f>
        <v>type40</v>
      </c>
      <c r="E3497">
        <v>334.84</v>
      </c>
      <c r="F3497" t="s">
        <v>51</v>
      </c>
      <c r="G3497" s="1">
        <f>qry_ProdData2_PDI_Cash_Exception_Application[[#This Row],[INSERT DATE]]+1</f>
        <v>45196.257071759261</v>
      </c>
      <c r="H3497" t="str">
        <f>VLOOKUP(qry_ProdData2_PDI_Cash_Exception_Application[[#This Row],[MARKET No]],'Site Allocation'!$B$2:$C$37,2,FALSE)</f>
        <v>Analyst1</v>
      </c>
      <c r="I3497" s="4">
        <f t="shared" ca="1" si="54"/>
        <v>45203</v>
      </c>
      <c r="J3497" s="42">
        <f ca="1">TODAY()-qry_ProdData2_PDI_Cash_Exception_Application[[#This Row],[INSERT DATE]]</f>
        <v>7.7429282407392748</v>
      </c>
      <c r="K34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97">
        <f ca="1">qry_ProdData2_PDI_Cash_Exception_Application[[#This Row],[TODAY]]-qry_ProdData2_PDI_Cash_Exception_Application[[#This Row],[CHANGED ON]]</f>
        <v>6.7429282407392748</v>
      </c>
      <c r="M3497">
        <f ca="1">qry_ProdData2_PDI_Cash_Exception_Application[[#This Row],[TODAY]]-qry_ProdData2_PDI_Cash_Exception_Application[[#This Row],[CHANGED ON]]</f>
        <v>6.7429282407392748</v>
      </c>
      <c r="N3497">
        <f ca="1">qry_ProdData2_PDI_Cash_Exception_Application[[#This Row],[TODAY]]-qry_ProdData2_PDI_Cash_Exception_Application[[#This Row],[CHANGED ON]]</f>
        <v>6.7429282407392748</v>
      </c>
    </row>
    <row r="3498" spans="1:14" x14ac:dyDescent="0.35">
      <c r="A3498">
        <v>1027</v>
      </c>
      <c r="B3498" t="s">
        <v>81</v>
      </c>
      <c r="C3498" s="1">
        <v>45194.257071759261</v>
      </c>
      <c r="D3498" t="str">
        <f ca="1">VLOOKUP(qry_ProdData2_PDI_Cash_Exception_Application[[#This Row],[TYPE]],#REF!,2,FALSE)</f>
        <v>type13</v>
      </c>
      <c r="E3498">
        <v>28275.83</v>
      </c>
      <c r="F3498" t="s">
        <v>47</v>
      </c>
      <c r="G3498" s="1">
        <f>qry_ProdData2_PDI_Cash_Exception_Application[[#This Row],[INSERT DATE]]+5</f>
        <v>45199.257071759261</v>
      </c>
      <c r="H3498" t="str">
        <f>VLOOKUP(qry_ProdData2_PDI_Cash_Exception_Application[[#This Row],[MARKET No]],'Site Allocation'!$B$2:$C$37,2,FALSE)</f>
        <v>Analyst5</v>
      </c>
      <c r="I3498" s="4">
        <f t="shared" ca="1" si="54"/>
        <v>45203</v>
      </c>
      <c r="J3498" s="42">
        <f ca="1">TODAY()-qry_ProdData2_PDI_Cash_Exception_Application[[#This Row],[INSERT DATE]]</f>
        <v>8.7429282407392748</v>
      </c>
      <c r="K34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98">
        <f ca="1">qry_ProdData2_PDI_Cash_Exception_Application[[#This Row],[TODAY]]-qry_ProdData2_PDI_Cash_Exception_Application[[#This Row],[CHANGED ON]]</f>
        <v>3.7429282407392748</v>
      </c>
      <c r="M3498">
        <f ca="1">qry_ProdData2_PDI_Cash_Exception_Application[[#This Row],[TODAY]]-qry_ProdData2_PDI_Cash_Exception_Application[[#This Row],[CHANGED ON]]</f>
        <v>3.7429282407392748</v>
      </c>
      <c r="N3498">
        <f ca="1">qry_ProdData2_PDI_Cash_Exception_Application[[#This Row],[TODAY]]-qry_ProdData2_PDI_Cash_Exception_Application[[#This Row],[CHANGED ON]]</f>
        <v>3.7429282407392748</v>
      </c>
    </row>
    <row r="3499" spans="1:14" x14ac:dyDescent="0.35">
      <c r="A3499">
        <v>1009</v>
      </c>
      <c r="B3499" t="s">
        <v>63</v>
      </c>
      <c r="C3499" s="1">
        <v>45194.257071759261</v>
      </c>
      <c r="D3499" t="str">
        <f ca="1">VLOOKUP(qry_ProdData2_PDI_Cash_Exception_Application[[#This Row],[TYPE]],#REF!,2,FALSE)</f>
        <v>type40</v>
      </c>
      <c r="E3499">
        <v>-2221.8000000000002</v>
      </c>
      <c r="F3499" t="s">
        <v>50</v>
      </c>
      <c r="G3499" s="1">
        <f>qry_ProdData2_PDI_Cash_Exception_Application[[#This Row],[INSERT DATE]]+2</f>
        <v>45196.257071759261</v>
      </c>
      <c r="H3499" t="str">
        <f>VLOOKUP(qry_ProdData2_PDI_Cash_Exception_Application[[#This Row],[MARKET No]],'Site Allocation'!$B$2:$C$37,2,FALSE)</f>
        <v>Analyst2</v>
      </c>
      <c r="I3499" s="4">
        <f t="shared" ca="1" si="54"/>
        <v>45203</v>
      </c>
      <c r="J3499" s="42">
        <f ca="1">TODAY()-qry_ProdData2_PDI_Cash_Exception_Application[[#This Row],[INSERT DATE]]</f>
        <v>8.7429282407392748</v>
      </c>
      <c r="K34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499">
        <f ca="1">qry_ProdData2_PDI_Cash_Exception_Application[[#This Row],[TODAY]]-qry_ProdData2_PDI_Cash_Exception_Application[[#This Row],[CHANGED ON]]</f>
        <v>6.7429282407392748</v>
      </c>
      <c r="M3499">
        <f ca="1">qry_ProdData2_PDI_Cash_Exception_Application[[#This Row],[TODAY]]-qry_ProdData2_PDI_Cash_Exception_Application[[#This Row],[CHANGED ON]]</f>
        <v>6.7429282407392748</v>
      </c>
      <c r="N3499">
        <f ca="1">qry_ProdData2_PDI_Cash_Exception_Application[[#This Row],[TODAY]]-qry_ProdData2_PDI_Cash_Exception_Application[[#This Row],[CHANGED ON]]</f>
        <v>6.7429282407392748</v>
      </c>
    </row>
    <row r="3500" spans="1:14" x14ac:dyDescent="0.35">
      <c r="A3500">
        <v>1014</v>
      </c>
      <c r="B3500" t="s">
        <v>68</v>
      </c>
      <c r="C3500" s="1">
        <v>45193.257071759261</v>
      </c>
      <c r="D3500" t="str">
        <f ca="1">VLOOKUP(qry_ProdData2_PDI_Cash_Exception_Application[[#This Row],[TYPE]],#REF!,2,FALSE)</f>
        <v>type13</v>
      </c>
      <c r="E3500">
        <v>20721.89</v>
      </c>
      <c r="F3500" t="s">
        <v>47</v>
      </c>
      <c r="G3500" s="1">
        <f>qry_ProdData2_PDI_Cash_Exception_Application[[#This Row],[INSERT DATE]]+1</f>
        <v>45194.257071759261</v>
      </c>
      <c r="H3500" t="str">
        <f>VLOOKUP(qry_ProdData2_PDI_Cash_Exception_Application[[#This Row],[MARKET No]],'Site Allocation'!$B$2:$C$37,2,FALSE)</f>
        <v>Analyst3</v>
      </c>
      <c r="I3500" s="4">
        <f t="shared" ca="1" si="54"/>
        <v>45203</v>
      </c>
      <c r="J3500" s="42">
        <f ca="1">TODAY()-qry_ProdData2_PDI_Cash_Exception_Application[[#This Row],[INSERT DATE]]</f>
        <v>9.7429282407392748</v>
      </c>
      <c r="K35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00">
        <f ca="1">qry_ProdData2_PDI_Cash_Exception_Application[[#This Row],[TODAY]]-qry_ProdData2_PDI_Cash_Exception_Application[[#This Row],[CHANGED ON]]</f>
        <v>8.7429282407392748</v>
      </c>
      <c r="M3500">
        <f ca="1">qry_ProdData2_PDI_Cash_Exception_Application[[#This Row],[TODAY]]-qry_ProdData2_PDI_Cash_Exception_Application[[#This Row],[CHANGED ON]]</f>
        <v>8.7429282407392748</v>
      </c>
      <c r="N3500">
        <f ca="1">qry_ProdData2_PDI_Cash_Exception_Application[[#This Row],[TODAY]]-qry_ProdData2_PDI_Cash_Exception_Application[[#This Row],[CHANGED ON]]</f>
        <v>8.7429282407392748</v>
      </c>
    </row>
    <row r="3501" spans="1:14" x14ac:dyDescent="0.35">
      <c r="A3501">
        <v>1004</v>
      </c>
      <c r="B3501" t="s">
        <v>58</v>
      </c>
      <c r="C3501" s="1">
        <v>45195.257071759261</v>
      </c>
      <c r="D3501" t="str">
        <f ca="1">VLOOKUP(qry_ProdData2_PDI_Cash_Exception_Application[[#This Row],[TYPE]],#REF!,2,FALSE)</f>
        <v>type40</v>
      </c>
      <c r="E3501">
        <v>3155.95</v>
      </c>
      <c r="F3501" t="s">
        <v>47</v>
      </c>
      <c r="G3501" s="1">
        <f>qry_ProdData2_PDI_Cash_Exception_Application[[#This Row],[INSERT DATE]]+7</f>
        <v>45202.257071759261</v>
      </c>
      <c r="H3501" t="str">
        <f>VLOOKUP(qry_ProdData2_PDI_Cash_Exception_Application[[#This Row],[MARKET No]],'Site Allocation'!$B$2:$C$37,2,FALSE)</f>
        <v>Analyst1</v>
      </c>
      <c r="I3501" s="4">
        <f t="shared" ca="1" si="54"/>
        <v>45203</v>
      </c>
      <c r="J3501" s="42">
        <f ca="1">TODAY()-qry_ProdData2_PDI_Cash_Exception_Application[[#This Row],[INSERT DATE]]</f>
        <v>7.7429282407392748</v>
      </c>
      <c r="K35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01">
        <f ca="1">qry_ProdData2_PDI_Cash_Exception_Application[[#This Row],[TODAY]]-qry_ProdData2_PDI_Cash_Exception_Application[[#This Row],[CHANGED ON]]</f>
        <v>0.74292824073927477</v>
      </c>
      <c r="M3501">
        <f ca="1">qry_ProdData2_PDI_Cash_Exception_Application[[#This Row],[TODAY]]-qry_ProdData2_PDI_Cash_Exception_Application[[#This Row],[CHANGED ON]]</f>
        <v>0.74292824073927477</v>
      </c>
      <c r="N3501">
        <f ca="1">qry_ProdData2_PDI_Cash_Exception_Application[[#This Row],[TODAY]]-qry_ProdData2_PDI_Cash_Exception_Application[[#This Row],[CHANGED ON]]</f>
        <v>0.74292824073927477</v>
      </c>
    </row>
    <row r="3502" spans="1:14" x14ac:dyDescent="0.35">
      <c r="A3502">
        <v>1017</v>
      </c>
      <c r="B3502" t="s">
        <v>71</v>
      </c>
      <c r="C3502" s="1">
        <v>45197.257071759261</v>
      </c>
      <c r="D3502" t="str">
        <f ca="1">VLOOKUP(qry_ProdData2_PDI_Cash_Exception_Application[[#This Row],[TYPE]],#REF!,2,FALSE)</f>
        <v>type2</v>
      </c>
      <c r="E3502">
        <v>1734</v>
      </c>
      <c r="F3502" t="s">
        <v>52</v>
      </c>
      <c r="G3502" s="1">
        <f>qry_ProdData2_PDI_Cash_Exception_Application[[#This Row],[INSERT DATE]]+5</f>
        <v>45202.257071759261</v>
      </c>
      <c r="H3502" t="str">
        <f>VLOOKUP(qry_ProdData2_PDI_Cash_Exception_Application[[#This Row],[MARKET No]],'Site Allocation'!$B$2:$C$37,2,FALSE)</f>
        <v>Analyst3</v>
      </c>
      <c r="I3502" s="4">
        <f t="shared" ca="1" si="54"/>
        <v>45203</v>
      </c>
      <c r="J3502" s="42">
        <f ca="1">TODAY()-qry_ProdData2_PDI_Cash_Exception_Application[[#This Row],[INSERT DATE]]</f>
        <v>5.7429282407392748</v>
      </c>
      <c r="K35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502">
        <f ca="1">qry_ProdData2_PDI_Cash_Exception_Application[[#This Row],[TODAY]]-qry_ProdData2_PDI_Cash_Exception_Application[[#This Row],[CHANGED ON]]</f>
        <v>0.74292824073927477</v>
      </c>
      <c r="M3502">
        <f ca="1">qry_ProdData2_PDI_Cash_Exception_Application[[#This Row],[TODAY]]-qry_ProdData2_PDI_Cash_Exception_Application[[#This Row],[CHANGED ON]]</f>
        <v>0.74292824073927477</v>
      </c>
      <c r="N3502">
        <f ca="1">qry_ProdData2_PDI_Cash_Exception_Application[[#This Row],[TODAY]]-qry_ProdData2_PDI_Cash_Exception_Application[[#This Row],[CHANGED ON]]</f>
        <v>0.74292824073927477</v>
      </c>
    </row>
    <row r="3503" spans="1:14" x14ac:dyDescent="0.35">
      <c r="A3503">
        <v>1008</v>
      </c>
      <c r="B3503" t="s">
        <v>62</v>
      </c>
      <c r="C3503" s="1">
        <v>45193.257071759261</v>
      </c>
      <c r="D3503" t="str">
        <f ca="1">VLOOKUP(qry_ProdData2_PDI_Cash_Exception_Application[[#This Row],[TYPE]],#REF!,2,FALSE)</f>
        <v>type40</v>
      </c>
      <c r="E3503">
        <v>12.55</v>
      </c>
      <c r="F3503" t="s">
        <v>48</v>
      </c>
      <c r="G3503" s="1">
        <f>qry_ProdData2_PDI_Cash_Exception_Application[[#This Row],[INSERT DATE]]+1</f>
        <v>45194.257071759261</v>
      </c>
      <c r="H3503" t="str">
        <f>VLOOKUP(qry_ProdData2_PDI_Cash_Exception_Application[[#This Row],[MARKET No]],'Site Allocation'!$B$2:$C$37,2,FALSE)</f>
        <v>Analyst2</v>
      </c>
      <c r="I3503" s="4">
        <f t="shared" ca="1" si="54"/>
        <v>45203</v>
      </c>
      <c r="J3503" s="42">
        <f ca="1">TODAY()-qry_ProdData2_PDI_Cash_Exception_Application[[#This Row],[INSERT DATE]]</f>
        <v>9.7429282407392748</v>
      </c>
      <c r="K35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03">
        <f ca="1">qry_ProdData2_PDI_Cash_Exception_Application[[#This Row],[TODAY]]-qry_ProdData2_PDI_Cash_Exception_Application[[#This Row],[CHANGED ON]]</f>
        <v>8.7429282407392748</v>
      </c>
      <c r="M3503">
        <f ca="1">qry_ProdData2_PDI_Cash_Exception_Application[[#This Row],[TODAY]]-qry_ProdData2_PDI_Cash_Exception_Application[[#This Row],[CHANGED ON]]</f>
        <v>8.7429282407392748</v>
      </c>
      <c r="N3503">
        <f ca="1">qry_ProdData2_PDI_Cash_Exception_Application[[#This Row],[TODAY]]-qry_ProdData2_PDI_Cash_Exception_Application[[#This Row],[CHANGED ON]]</f>
        <v>8.7429282407392748</v>
      </c>
    </row>
    <row r="3504" spans="1:14" x14ac:dyDescent="0.35">
      <c r="A3504">
        <v>1012</v>
      </c>
      <c r="B3504" t="s">
        <v>66</v>
      </c>
      <c r="C3504" s="1">
        <v>45186.257071759261</v>
      </c>
      <c r="D3504" t="str">
        <f ca="1">VLOOKUP(qry_ProdData2_PDI_Cash_Exception_Application[[#This Row],[TYPE]],#REF!,2,FALSE)</f>
        <v>type40</v>
      </c>
      <c r="E3504">
        <v>-359.9</v>
      </c>
      <c r="F3504" t="s">
        <v>52</v>
      </c>
      <c r="G3504" s="1">
        <f>qry_ProdData2_PDI_Cash_Exception_Application[[#This Row],[INSERT DATE]]+5</f>
        <v>45191.257071759261</v>
      </c>
      <c r="H3504" t="str">
        <f>VLOOKUP(qry_ProdData2_PDI_Cash_Exception_Application[[#This Row],[MARKET No]],'Site Allocation'!$B$2:$C$37,2,FALSE)</f>
        <v>Analyst3</v>
      </c>
      <c r="I3504" s="4">
        <f t="shared" ca="1" si="54"/>
        <v>45203</v>
      </c>
      <c r="J3504" s="42">
        <f ca="1">TODAY()-qry_ProdData2_PDI_Cash_Exception_Application[[#This Row],[INSERT DATE]]</f>
        <v>16.742928240739275</v>
      </c>
      <c r="K35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04">
        <f ca="1">qry_ProdData2_PDI_Cash_Exception_Application[[#This Row],[TODAY]]-qry_ProdData2_PDI_Cash_Exception_Application[[#This Row],[CHANGED ON]]</f>
        <v>11.742928240739275</v>
      </c>
      <c r="M3504">
        <f ca="1">qry_ProdData2_PDI_Cash_Exception_Application[[#This Row],[TODAY]]-qry_ProdData2_PDI_Cash_Exception_Application[[#This Row],[CHANGED ON]]</f>
        <v>11.742928240739275</v>
      </c>
      <c r="N3504">
        <f ca="1">qry_ProdData2_PDI_Cash_Exception_Application[[#This Row],[TODAY]]-qry_ProdData2_PDI_Cash_Exception_Application[[#This Row],[CHANGED ON]]</f>
        <v>11.742928240739275</v>
      </c>
    </row>
    <row r="3505" spans="1:14" x14ac:dyDescent="0.35">
      <c r="A3505">
        <v>1017</v>
      </c>
      <c r="B3505" t="s">
        <v>71</v>
      </c>
      <c r="C3505" s="1">
        <v>45195.257071759261</v>
      </c>
      <c r="D3505" t="str">
        <f ca="1">VLOOKUP(qry_ProdData2_PDI_Cash_Exception_Application[[#This Row],[TYPE]],#REF!,2,FALSE)</f>
        <v>type13</v>
      </c>
      <c r="E3505">
        <v>31843.48</v>
      </c>
      <c r="F3505" t="s">
        <v>48</v>
      </c>
      <c r="G3505" s="1">
        <f>qry_ProdData2_PDI_Cash_Exception_Application[[#This Row],[INSERT DATE]]+2</f>
        <v>45197.257071759261</v>
      </c>
      <c r="H3505" t="str">
        <f>VLOOKUP(qry_ProdData2_PDI_Cash_Exception_Application[[#This Row],[MARKET No]],'Site Allocation'!$B$2:$C$37,2,FALSE)</f>
        <v>Analyst3</v>
      </c>
      <c r="I3505" s="4">
        <f t="shared" ca="1" si="54"/>
        <v>45203</v>
      </c>
      <c r="J3505" s="42">
        <f ca="1">TODAY()-qry_ProdData2_PDI_Cash_Exception_Application[[#This Row],[INSERT DATE]]</f>
        <v>7.7429282407392748</v>
      </c>
      <c r="K35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05">
        <f ca="1">qry_ProdData2_PDI_Cash_Exception_Application[[#This Row],[TODAY]]-qry_ProdData2_PDI_Cash_Exception_Application[[#This Row],[CHANGED ON]]</f>
        <v>5.7429282407392748</v>
      </c>
      <c r="M3505">
        <f ca="1">qry_ProdData2_PDI_Cash_Exception_Application[[#This Row],[TODAY]]-qry_ProdData2_PDI_Cash_Exception_Application[[#This Row],[CHANGED ON]]</f>
        <v>5.7429282407392748</v>
      </c>
      <c r="N3505">
        <f ca="1">qry_ProdData2_PDI_Cash_Exception_Application[[#This Row],[TODAY]]-qry_ProdData2_PDI_Cash_Exception_Application[[#This Row],[CHANGED ON]]</f>
        <v>5.7429282407392748</v>
      </c>
    </row>
    <row r="3506" spans="1:14" x14ac:dyDescent="0.35">
      <c r="A3506">
        <v>1022</v>
      </c>
      <c r="B3506" t="s">
        <v>76</v>
      </c>
      <c r="C3506" s="1">
        <v>45195.257071759261</v>
      </c>
      <c r="D3506" t="str">
        <f ca="1">VLOOKUP(qry_ProdData2_PDI_Cash_Exception_Application[[#This Row],[TYPE]],#REF!,2,FALSE)</f>
        <v>type13</v>
      </c>
      <c r="E3506">
        <v>26305.49</v>
      </c>
      <c r="F3506" t="s">
        <v>48</v>
      </c>
      <c r="G3506" s="1">
        <f>qry_ProdData2_PDI_Cash_Exception_Application[[#This Row],[INSERT DATE]]+1</f>
        <v>45196.257071759261</v>
      </c>
      <c r="H3506" t="str">
        <f>VLOOKUP(qry_ProdData2_PDI_Cash_Exception_Application[[#This Row],[MARKET No]],'Site Allocation'!$B$2:$C$37,2,FALSE)</f>
        <v>Analyst4</v>
      </c>
      <c r="I3506" s="4">
        <f t="shared" ca="1" si="54"/>
        <v>45203</v>
      </c>
      <c r="J3506" s="42">
        <f ca="1">TODAY()-qry_ProdData2_PDI_Cash_Exception_Application[[#This Row],[INSERT DATE]]</f>
        <v>7.7429282407392748</v>
      </c>
      <c r="K35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06">
        <f ca="1">qry_ProdData2_PDI_Cash_Exception_Application[[#This Row],[TODAY]]-qry_ProdData2_PDI_Cash_Exception_Application[[#This Row],[CHANGED ON]]</f>
        <v>6.7429282407392748</v>
      </c>
      <c r="M3506">
        <f ca="1">qry_ProdData2_PDI_Cash_Exception_Application[[#This Row],[TODAY]]-qry_ProdData2_PDI_Cash_Exception_Application[[#This Row],[CHANGED ON]]</f>
        <v>6.7429282407392748</v>
      </c>
      <c r="N3506">
        <f ca="1">qry_ProdData2_PDI_Cash_Exception_Application[[#This Row],[TODAY]]-qry_ProdData2_PDI_Cash_Exception_Application[[#This Row],[CHANGED ON]]</f>
        <v>6.7429282407392748</v>
      </c>
    </row>
    <row r="3507" spans="1:14" x14ac:dyDescent="0.35">
      <c r="A3507">
        <v>1025</v>
      </c>
      <c r="B3507" t="s">
        <v>79</v>
      </c>
      <c r="C3507" s="1">
        <v>45188.257071759261</v>
      </c>
      <c r="D3507" t="str">
        <f ca="1">VLOOKUP(qry_ProdData2_PDI_Cash_Exception_Application[[#This Row],[TYPE]],#REF!,2,FALSE)</f>
        <v>type40</v>
      </c>
      <c r="E3507">
        <v>-6483.65</v>
      </c>
      <c r="F3507" t="s">
        <v>52</v>
      </c>
      <c r="G3507" s="1">
        <f>qry_ProdData2_PDI_Cash_Exception_Application[[#This Row],[INSERT DATE]]+5</f>
        <v>45193.257071759261</v>
      </c>
      <c r="H3507" t="str">
        <f>VLOOKUP(qry_ProdData2_PDI_Cash_Exception_Application[[#This Row],[MARKET No]],'Site Allocation'!$B$2:$C$37,2,FALSE)</f>
        <v>Analyst5</v>
      </c>
      <c r="I3507" s="4">
        <f t="shared" ca="1" si="54"/>
        <v>45203</v>
      </c>
      <c r="J3507" s="42">
        <f ca="1">TODAY()-qry_ProdData2_PDI_Cash_Exception_Application[[#This Row],[INSERT DATE]]</f>
        <v>14.742928240739275</v>
      </c>
      <c r="K35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07">
        <f ca="1">qry_ProdData2_PDI_Cash_Exception_Application[[#This Row],[TODAY]]-qry_ProdData2_PDI_Cash_Exception_Application[[#This Row],[CHANGED ON]]</f>
        <v>9.7429282407392748</v>
      </c>
      <c r="M3507">
        <f ca="1">qry_ProdData2_PDI_Cash_Exception_Application[[#This Row],[TODAY]]-qry_ProdData2_PDI_Cash_Exception_Application[[#This Row],[CHANGED ON]]</f>
        <v>9.7429282407392748</v>
      </c>
      <c r="N3507">
        <f ca="1">qry_ProdData2_PDI_Cash_Exception_Application[[#This Row],[TODAY]]-qry_ProdData2_PDI_Cash_Exception_Application[[#This Row],[CHANGED ON]]</f>
        <v>9.7429282407392748</v>
      </c>
    </row>
    <row r="3508" spans="1:14" x14ac:dyDescent="0.35">
      <c r="A3508">
        <v>1020</v>
      </c>
      <c r="B3508" t="s">
        <v>74</v>
      </c>
      <c r="C3508" s="1">
        <v>45194.257071759261</v>
      </c>
      <c r="D3508" t="str">
        <f ca="1">VLOOKUP(qry_ProdData2_PDI_Cash_Exception_Application[[#This Row],[TYPE]],#REF!,2,FALSE)</f>
        <v>type40</v>
      </c>
      <c r="E3508">
        <v>-969.43</v>
      </c>
      <c r="F3508" t="s">
        <v>47</v>
      </c>
      <c r="G3508" s="1">
        <f>qry_ProdData2_PDI_Cash_Exception_Application[[#This Row],[INSERT DATE]]+2</f>
        <v>45196.257071759261</v>
      </c>
      <c r="H3508" t="str">
        <f>VLOOKUP(qry_ProdData2_PDI_Cash_Exception_Application[[#This Row],[MARKET No]],'Site Allocation'!$B$2:$C$37,2,FALSE)</f>
        <v>Analyst4</v>
      </c>
      <c r="I3508" s="4">
        <f t="shared" ca="1" si="54"/>
        <v>45203</v>
      </c>
      <c r="J3508" s="42">
        <f ca="1">TODAY()-qry_ProdData2_PDI_Cash_Exception_Application[[#This Row],[INSERT DATE]]</f>
        <v>8.7429282407392748</v>
      </c>
      <c r="K35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08">
        <f ca="1">qry_ProdData2_PDI_Cash_Exception_Application[[#This Row],[TODAY]]-qry_ProdData2_PDI_Cash_Exception_Application[[#This Row],[CHANGED ON]]</f>
        <v>6.7429282407392748</v>
      </c>
      <c r="M3508">
        <f ca="1">qry_ProdData2_PDI_Cash_Exception_Application[[#This Row],[TODAY]]-qry_ProdData2_PDI_Cash_Exception_Application[[#This Row],[CHANGED ON]]</f>
        <v>6.7429282407392748</v>
      </c>
      <c r="N3508">
        <f ca="1">qry_ProdData2_PDI_Cash_Exception_Application[[#This Row],[TODAY]]-qry_ProdData2_PDI_Cash_Exception_Application[[#This Row],[CHANGED ON]]</f>
        <v>6.7429282407392748</v>
      </c>
    </row>
    <row r="3509" spans="1:14" x14ac:dyDescent="0.35">
      <c r="A3509">
        <v>1005</v>
      </c>
      <c r="B3509" t="s">
        <v>59</v>
      </c>
      <c r="C3509" s="1">
        <v>45189.257071759261</v>
      </c>
      <c r="D3509" t="str">
        <f ca="1">VLOOKUP(qry_ProdData2_PDI_Cash_Exception_Application[[#This Row],[TYPE]],#REF!,2,FALSE)</f>
        <v>type40</v>
      </c>
      <c r="E3509">
        <v>502.99</v>
      </c>
      <c r="F3509" t="s">
        <v>52</v>
      </c>
      <c r="G3509" s="1">
        <f>qry_ProdData2_PDI_Cash_Exception_Application[[#This Row],[INSERT DATE]]+7</f>
        <v>45196.257071759261</v>
      </c>
      <c r="H3509" t="str">
        <f>VLOOKUP(qry_ProdData2_PDI_Cash_Exception_Application[[#This Row],[MARKET No]],'Site Allocation'!$B$2:$C$37,2,FALSE)</f>
        <v>Analyst1</v>
      </c>
      <c r="I3509" s="4">
        <f t="shared" ca="1" si="54"/>
        <v>45203</v>
      </c>
      <c r="J3509" s="42">
        <f ca="1">TODAY()-qry_ProdData2_PDI_Cash_Exception_Application[[#This Row],[INSERT DATE]]</f>
        <v>13.742928240739275</v>
      </c>
      <c r="K35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09">
        <f ca="1">qry_ProdData2_PDI_Cash_Exception_Application[[#This Row],[TODAY]]-qry_ProdData2_PDI_Cash_Exception_Application[[#This Row],[CHANGED ON]]</f>
        <v>6.7429282407392748</v>
      </c>
      <c r="M3509">
        <f ca="1">qry_ProdData2_PDI_Cash_Exception_Application[[#This Row],[TODAY]]-qry_ProdData2_PDI_Cash_Exception_Application[[#This Row],[CHANGED ON]]</f>
        <v>6.7429282407392748</v>
      </c>
      <c r="N3509">
        <f ca="1">qry_ProdData2_PDI_Cash_Exception_Application[[#This Row],[TODAY]]-qry_ProdData2_PDI_Cash_Exception_Application[[#This Row],[CHANGED ON]]</f>
        <v>6.7429282407392748</v>
      </c>
    </row>
    <row r="3510" spans="1:14" x14ac:dyDescent="0.35">
      <c r="A3510">
        <v>1018</v>
      </c>
      <c r="B3510" t="s">
        <v>72</v>
      </c>
      <c r="C3510" s="1">
        <v>45194.257071759261</v>
      </c>
      <c r="D3510" t="str">
        <f ca="1">VLOOKUP(qry_ProdData2_PDI_Cash_Exception_Application[[#This Row],[TYPE]],#REF!,2,FALSE)</f>
        <v>type2</v>
      </c>
      <c r="E3510">
        <v>1769</v>
      </c>
      <c r="F3510" t="s">
        <v>47</v>
      </c>
      <c r="G3510" s="1">
        <f>qry_ProdData2_PDI_Cash_Exception_Application[[#This Row],[INSERT DATE]]+2</f>
        <v>45196.257071759261</v>
      </c>
      <c r="H3510" t="str">
        <f>VLOOKUP(qry_ProdData2_PDI_Cash_Exception_Application[[#This Row],[MARKET No]],'Site Allocation'!$B$2:$C$37,2,FALSE)</f>
        <v>Analyst4</v>
      </c>
      <c r="I3510" s="4">
        <f t="shared" ca="1" si="54"/>
        <v>45203</v>
      </c>
      <c r="J3510" s="42">
        <f ca="1">TODAY()-qry_ProdData2_PDI_Cash_Exception_Application[[#This Row],[INSERT DATE]]</f>
        <v>8.7429282407392748</v>
      </c>
      <c r="K35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10">
        <f ca="1">qry_ProdData2_PDI_Cash_Exception_Application[[#This Row],[TODAY]]-qry_ProdData2_PDI_Cash_Exception_Application[[#This Row],[CHANGED ON]]</f>
        <v>6.7429282407392748</v>
      </c>
      <c r="M3510">
        <f ca="1">qry_ProdData2_PDI_Cash_Exception_Application[[#This Row],[TODAY]]-qry_ProdData2_PDI_Cash_Exception_Application[[#This Row],[CHANGED ON]]</f>
        <v>6.7429282407392748</v>
      </c>
      <c r="N3510">
        <f ca="1">qry_ProdData2_PDI_Cash_Exception_Application[[#This Row],[TODAY]]-qry_ProdData2_PDI_Cash_Exception_Application[[#This Row],[CHANGED ON]]</f>
        <v>6.7429282407392748</v>
      </c>
    </row>
    <row r="3511" spans="1:14" x14ac:dyDescent="0.35">
      <c r="A3511">
        <v>1031</v>
      </c>
      <c r="B3511" t="s">
        <v>85</v>
      </c>
      <c r="C3511" s="1">
        <v>45190.257071759261</v>
      </c>
      <c r="D3511" t="str">
        <f ca="1">VLOOKUP(qry_ProdData2_PDI_Cash_Exception_Application[[#This Row],[TYPE]],#REF!,2,FALSE)</f>
        <v>type40</v>
      </c>
      <c r="E3511">
        <v>-456.58</v>
      </c>
      <c r="F3511" t="s">
        <v>50</v>
      </c>
      <c r="G3511" s="1">
        <f>qry_ProdData2_PDI_Cash_Exception_Application[[#This Row],[INSERT DATE]]+7</f>
        <v>45197.257071759261</v>
      </c>
      <c r="H3511" t="str">
        <f>VLOOKUP(qry_ProdData2_PDI_Cash_Exception_Application[[#This Row],[MARKET No]],'Site Allocation'!$B$2:$C$37,2,FALSE)</f>
        <v>Analyst6</v>
      </c>
      <c r="I3511" s="4">
        <f t="shared" ca="1" si="54"/>
        <v>45203</v>
      </c>
      <c r="J3511" s="42">
        <f ca="1">TODAY()-qry_ProdData2_PDI_Cash_Exception_Application[[#This Row],[INSERT DATE]]</f>
        <v>12.742928240739275</v>
      </c>
      <c r="K35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11">
        <f ca="1">qry_ProdData2_PDI_Cash_Exception_Application[[#This Row],[TODAY]]-qry_ProdData2_PDI_Cash_Exception_Application[[#This Row],[CHANGED ON]]</f>
        <v>5.7429282407392748</v>
      </c>
      <c r="M3511">
        <f ca="1">qry_ProdData2_PDI_Cash_Exception_Application[[#This Row],[TODAY]]-qry_ProdData2_PDI_Cash_Exception_Application[[#This Row],[CHANGED ON]]</f>
        <v>5.7429282407392748</v>
      </c>
      <c r="N3511">
        <f ca="1">qry_ProdData2_PDI_Cash_Exception_Application[[#This Row],[TODAY]]-qry_ProdData2_PDI_Cash_Exception_Application[[#This Row],[CHANGED ON]]</f>
        <v>5.7429282407392748</v>
      </c>
    </row>
    <row r="3512" spans="1:14" x14ac:dyDescent="0.35">
      <c r="A3512">
        <v>1027</v>
      </c>
      <c r="B3512" t="s">
        <v>81</v>
      </c>
      <c r="C3512" s="1">
        <v>45193.257071759261</v>
      </c>
      <c r="D3512" t="str">
        <f ca="1">VLOOKUP(qry_ProdData2_PDI_Cash_Exception_Application[[#This Row],[TYPE]],#REF!,2,FALSE)</f>
        <v>type13</v>
      </c>
      <c r="E3512">
        <v>22387.72</v>
      </c>
      <c r="G3512" s="1">
        <f>qry_ProdData2_PDI_Cash_Exception_Application[[#This Row],[INSERT DATE]]+7</f>
        <v>45200.257071759261</v>
      </c>
      <c r="H3512" t="str">
        <f>VLOOKUP(qry_ProdData2_PDI_Cash_Exception_Application[[#This Row],[MARKET No]],'Site Allocation'!$B$2:$C$37,2,FALSE)</f>
        <v>Analyst5</v>
      </c>
      <c r="I3512" s="4">
        <f t="shared" ca="1" si="54"/>
        <v>45203</v>
      </c>
      <c r="J3512" s="42">
        <f ca="1">TODAY()-qry_ProdData2_PDI_Cash_Exception_Application[[#This Row],[INSERT DATE]]</f>
        <v>9.7429282407392748</v>
      </c>
      <c r="K35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12">
        <f ca="1">qry_ProdData2_PDI_Cash_Exception_Application[[#This Row],[TODAY]]-qry_ProdData2_PDI_Cash_Exception_Application[[#This Row],[CHANGED ON]]</f>
        <v>2.7429282407392748</v>
      </c>
      <c r="M3512">
        <f ca="1">qry_ProdData2_PDI_Cash_Exception_Application[[#This Row],[TODAY]]-qry_ProdData2_PDI_Cash_Exception_Application[[#This Row],[CHANGED ON]]</f>
        <v>2.7429282407392748</v>
      </c>
      <c r="N3512">
        <f ca="1">qry_ProdData2_PDI_Cash_Exception_Application[[#This Row],[TODAY]]-qry_ProdData2_PDI_Cash_Exception_Application[[#This Row],[CHANGED ON]]</f>
        <v>2.7429282407392748</v>
      </c>
    </row>
    <row r="3513" spans="1:14" x14ac:dyDescent="0.35">
      <c r="A3513">
        <v>1009</v>
      </c>
      <c r="B3513" t="s">
        <v>63</v>
      </c>
      <c r="C3513" s="1">
        <v>45194.257071759261</v>
      </c>
      <c r="D3513" t="str">
        <f ca="1">VLOOKUP(qry_ProdData2_PDI_Cash_Exception_Application[[#This Row],[TYPE]],#REF!,2,FALSE)</f>
        <v>type52</v>
      </c>
      <c r="E3513">
        <v>74.95</v>
      </c>
      <c r="F3513" t="s">
        <v>48</v>
      </c>
      <c r="G3513" s="1">
        <f>qry_ProdData2_PDI_Cash_Exception_Application[[#This Row],[INSERT DATE]]+2</f>
        <v>45196.257071759261</v>
      </c>
      <c r="H3513" t="str">
        <f>VLOOKUP(qry_ProdData2_PDI_Cash_Exception_Application[[#This Row],[MARKET No]],'Site Allocation'!$B$2:$C$37,2,FALSE)</f>
        <v>Analyst2</v>
      </c>
      <c r="I3513" s="4">
        <f t="shared" ca="1" si="54"/>
        <v>45203</v>
      </c>
      <c r="J3513" s="42">
        <f ca="1">TODAY()-qry_ProdData2_PDI_Cash_Exception_Application[[#This Row],[INSERT DATE]]</f>
        <v>8.7429282407392748</v>
      </c>
      <c r="K35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13">
        <f ca="1">qry_ProdData2_PDI_Cash_Exception_Application[[#This Row],[TODAY]]-qry_ProdData2_PDI_Cash_Exception_Application[[#This Row],[CHANGED ON]]</f>
        <v>6.7429282407392748</v>
      </c>
      <c r="M3513">
        <f ca="1">qry_ProdData2_PDI_Cash_Exception_Application[[#This Row],[TODAY]]-qry_ProdData2_PDI_Cash_Exception_Application[[#This Row],[CHANGED ON]]</f>
        <v>6.7429282407392748</v>
      </c>
      <c r="N3513">
        <f ca="1">qry_ProdData2_PDI_Cash_Exception_Application[[#This Row],[TODAY]]-qry_ProdData2_PDI_Cash_Exception_Application[[#This Row],[CHANGED ON]]</f>
        <v>6.7429282407392748</v>
      </c>
    </row>
    <row r="3514" spans="1:14" x14ac:dyDescent="0.35">
      <c r="A3514">
        <v>1014</v>
      </c>
      <c r="B3514" t="s">
        <v>68</v>
      </c>
      <c r="C3514" s="1">
        <v>45193.257071759261</v>
      </c>
      <c r="D3514" t="str">
        <f ca="1">VLOOKUP(qry_ProdData2_PDI_Cash_Exception_Application[[#This Row],[TYPE]],#REF!,2,FALSE)</f>
        <v>type40</v>
      </c>
      <c r="E3514">
        <v>-2829.99</v>
      </c>
      <c r="F3514" t="s">
        <v>52</v>
      </c>
      <c r="G3514" s="1">
        <f>qry_ProdData2_PDI_Cash_Exception_Application[[#This Row],[INSERT DATE]]+7</f>
        <v>45200.257071759261</v>
      </c>
      <c r="H3514" t="str">
        <f>VLOOKUP(qry_ProdData2_PDI_Cash_Exception_Application[[#This Row],[MARKET No]],'Site Allocation'!$B$2:$C$37,2,FALSE)</f>
        <v>Analyst3</v>
      </c>
      <c r="I3514" s="4">
        <f t="shared" ca="1" si="54"/>
        <v>45203</v>
      </c>
      <c r="J3514" s="42">
        <f ca="1">TODAY()-qry_ProdData2_PDI_Cash_Exception_Application[[#This Row],[INSERT DATE]]</f>
        <v>9.7429282407392748</v>
      </c>
      <c r="K35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14">
        <f ca="1">qry_ProdData2_PDI_Cash_Exception_Application[[#This Row],[TODAY]]-qry_ProdData2_PDI_Cash_Exception_Application[[#This Row],[CHANGED ON]]</f>
        <v>2.7429282407392748</v>
      </c>
      <c r="M3514">
        <f ca="1">qry_ProdData2_PDI_Cash_Exception_Application[[#This Row],[TODAY]]-qry_ProdData2_PDI_Cash_Exception_Application[[#This Row],[CHANGED ON]]</f>
        <v>2.7429282407392748</v>
      </c>
      <c r="N3514">
        <f ca="1">qry_ProdData2_PDI_Cash_Exception_Application[[#This Row],[TODAY]]-qry_ProdData2_PDI_Cash_Exception_Application[[#This Row],[CHANGED ON]]</f>
        <v>2.7429282407392748</v>
      </c>
    </row>
    <row r="3515" spans="1:14" x14ac:dyDescent="0.35">
      <c r="A3515">
        <v>1010</v>
      </c>
      <c r="B3515" t="s">
        <v>64</v>
      </c>
      <c r="C3515" s="1">
        <v>45193.257071759261</v>
      </c>
      <c r="D3515" t="str">
        <f ca="1">VLOOKUP(qry_ProdData2_PDI_Cash_Exception_Application[[#This Row],[TYPE]],#REF!,2,FALSE)</f>
        <v>type13</v>
      </c>
      <c r="E3515">
        <v>26387.8</v>
      </c>
      <c r="F3515" t="s">
        <v>48</v>
      </c>
      <c r="G3515" s="1">
        <f>qry_ProdData2_PDI_Cash_Exception_Application[[#This Row],[INSERT DATE]]+7</f>
        <v>45200.257071759261</v>
      </c>
      <c r="H3515" t="str">
        <f>VLOOKUP(qry_ProdData2_PDI_Cash_Exception_Application[[#This Row],[MARKET No]],'Site Allocation'!$B$2:$C$37,2,FALSE)</f>
        <v>Analyst2</v>
      </c>
      <c r="I3515" s="4">
        <f t="shared" ca="1" si="54"/>
        <v>45203</v>
      </c>
      <c r="J3515" s="42">
        <f ca="1">TODAY()-qry_ProdData2_PDI_Cash_Exception_Application[[#This Row],[INSERT DATE]]</f>
        <v>9.7429282407392748</v>
      </c>
      <c r="K35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15">
        <f ca="1">qry_ProdData2_PDI_Cash_Exception_Application[[#This Row],[TODAY]]-qry_ProdData2_PDI_Cash_Exception_Application[[#This Row],[CHANGED ON]]</f>
        <v>2.7429282407392748</v>
      </c>
      <c r="M3515">
        <f ca="1">qry_ProdData2_PDI_Cash_Exception_Application[[#This Row],[TODAY]]-qry_ProdData2_PDI_Cash_Exception_Application[[#This Row],[CHANGED ON]]</f>
        <v>2.7429282407392748</v>
      </c>
      <c r="N3515">
        <f ca="1">qry_ProdData2_PDI_Cash_Exception_Application[[#This Row],[TODAY]]-qry_ProdData2_PDI_Cash_Exception_Application[[#This Row],[CHANGED ON]]</f>
        <v>2.7429282407392748</v>
      </c>
    </row>
    <row r="3516" spans="1:14" x14ac:dyDescent="0.35">
      <c r="A3516">
        <v>1035</v>
      </c>
      <c r="B3516" t="s">
        <v>89</v>
      </c>
      <c r="C3516" s="1">
        <v>45195.257071759261</v>
      </c>
      <c r="D3516" t="str">
        <f ca="1">VLOOKUP(qry_ProdData2_PDI_Cash_Exception_Application[[#This Row],[TYPE]],#REF!,2,FALSE)</f>
        <v>type26</v>
      </c>
      <c r="E3516">
        <v>273.07</v>
      </c>
      <c r="G3516" s="1">
        <f>qry_ProdData2_PDI_Cash_Exception_Application[[#This Row],[INSERT DATE]]+2</f>
        <v>45197.257071759261</v>
      </c>
      <c r="H3516" t="str">
        <f>VLOOKUP(qry_ProdData2_PDI_Cash_Exception_Application[[#This Row],[MARKET No]],'Site Allocation'!$B$2:$C$37,2,FALSE)</f>
        <v>Analyst6</v>
      </c>
      <c r="I3516" s="4">
        <f t="shared" ca="1" si="54"/>
        <v>45203</v>
      </c>
      <c r="J3516" s="42">
        <f ca="1">TODAY()-qry_ProdData2_PDI_Cash_Exception_Application[[#This Row],[INSERT DATE]]</f>
        <v>7.7429282407392748</v>
      </c>
      <c r="K35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16">
        <f ca="1">qry_ProdData2_PDI_Cash_Exception_Application[[#This Row],[TODAY]]-qry_ProdData2_PDI_Cash_Exception_Application[[#This Row],[CHANGED ON]]</f>
        <v>5.7429282407392748</v>
      </c>
      <c r="M3516">
        <f ca="1">qry_ProdData2_PDI_Cash_Exception_Application[[#This Row],[TODAY]]-qry_ProdData2_PDI_Cash_Exception_Application[[#This Row],[CHANGED ON]]</f>
        <v>5.7429282407392748</v>
      </c>
      <c r="N3516">
        <f ca="1">qry_ProdData2_PDI_Cash_Exception_Application[[#This Row],[TODAY]]-qry_ProdData2_PDI_Cash_Exception_Application[[#This Row],[CHANGED ON]]</f>
        <v>5.7429282407392748</v>
      </c>
    </row>
    <row r="3517" spans="1:14" x14ac:dyDescent="0.35">
      <c r="A3517">
        <v>1020</v>
      </c>
      <c r="B3517" t="s">
        <v>74</v>
      </c>
      <c r="C3517" s="1">
        <v>45196.257071759261</v>
      </c>
      <c r="D3517" t="str">
        <f ca="1">VLOOKUP(qry_ProdData2_PDI_Cash_Exception_Application[[#This Row],[TYPE]],#REF!,2,FALSE)</f>
        <v>type49</v>
      </c>
      <c r="E3517">
        <v>0</v>
      </c>
      <c r="F3517" t="s">
        <v>52</v>
      </c>
      <c r="G3517" s="1">
        <f>qry_ProdData2_PDI_Cash_Exception_Application[[#This Row],[INSERT DATE]]+7</f>
        <v>45203.257071759261</v>
      </c>
      <c r="H3517" t="str">
        <f>VLOOKUP(qry_ProdData2_PDI_Cash_Exception_Application[[#This Row],[MARKET No]],'Site Allocation'!$B$2:$C$37,2,FALSE)</f>
        <v>Analyst4</v>
      </c>
      <c r="I3517" s="4">
        <f t="shared" ca="1" si="54"/>
        <v>45203</v>
      </c>
      <c r="J3517" s="42">
        <f ca="1">TODAY()-qry_ProdData2_PDI_Cash_Exception_Application[[#This Row],[INSERT DATE]]</f>
        <v>6.7429282407392748</v>
      </c>
      <c r="K35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17">
        <f ca="1">qry_ProdData2_PDI_Cash_Exception_Application[[#This Row],[TODAY]]-qry_ProdData2_PDI_Cash_Exception_Application[[#This Row],[CHANGED ON]]</f>
        <v>-0.25707175926072523</v>
      </c>
      <c r="M3517">
        <f ca="1">qry_ProdData2_PDI_Cash_Exception_Application[[#This Row],[TODAY]]-qry_ProdData2_PDI_Cash_Exception_Application[[#This Row],[CHANGED ON]]</f>
        <v>-0.25707175926072523</v>
      </c>
      <c r="N3517">
        <f ca="1">qry_ProdData2_PDI_Cash_Exception_Application[[#This Row],[TODAY]]-qry_ProdData2_PDI_Cash_Exception_Application[[#This Row],[CHANGED ON]]</f>
        <v>-0.25707175926072523</v>
      </c>
    </row>
    <row r="3518" spans="1:14" x14ac:dyDescent="0.35">
      <c r="A3518">
        <v>1002</v>
      </c>
      <c r="B3518" t="s">
        <v>56</v>
      </c>
      <c r="C3518" s="1">
        <v>45193.257071759261</v>
      </c>
      <c r="D3518" t="str">
        <f ca="1">VLOOKUP(qry_ProdData2_PDI_Cash_Exception_Application[[#This Row],[TYPE]],#REF!,2,FALSE)</f>
        <v>type13</v>
      </c>
      <c r="E3518">
        <v>25722.49</v>
      </c>
      <c r="F3518" t="s">
        <v>47</v>
      </c>
      <c r="G3518" s="1">
        <f>qry_ProdData2_PDI_Cash_Exception_Application[[#This Row],[INSERT DATE]]+1</f>
        <v>45194.257071759261</v>
      </c>
      <c r="H3518" t="str">
        <f>VLOOKUP(qry_ProdData2_PDI_Cash_Exception_Application[[#This Row],[MARKET No]],'Site Allocation'!$B$2:$C$37,2,FALSE)</f>
        <v>Analyst1</v>
      </c>
      <c r="I3518" s="4">
        <f t="shared" ca="1" si="54"/>
        <v>45203</v>
      </c>
      <c r="J3518" s="42">
        <f ca="1">TODAY()-qry_ProdData2_PDI_Cash_Exception_Application[[#This Row],[INSERT DATE]]</f>
        <v>9.7429282407392748</v>
      </c>
      <c r="K35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18">
        <f ca="1">qry_ProdData2_PDI_Cash_Exception_Application[[#This Row],[TODAY]]-qry_ProdData2_PDI_Cash_Exception_Application[[#This Row],[CHANGED ON]]</f>
        <v>8.7429282407392748</v>
      </c>
      <c r="M3518">
        <f ca="1">qry_ProdData2_PDI_Cash_Exception_Application[[#This Row],[TODAY]]-qry_ProdData2_PDI_Cash_Exception_Application[[#This Row],[CHANGED ON]]</f>
        <v>8.7429282407392748</v>
      </c>
      <c r="N3518">
        <f ca="1">qry_ProdData2_PDI_Cash_Exception_Application[[#This Row],[TODAY]]-qry_ProdData2_PDI_Cash_Exception_Application[[#This Row],[CHANGED ON]]</f>
        <v>8.7429282407392748</v>
      </c>
    </row>
    <row r="3519" spans="1:14" x14ac:dyDescent="0.35">
      <c r="A3519">
        <v>1019</v>
      </c>
      <c r="B3519" t="s">
        <v>73</v>
      </c>
      <c r="C3519" s="1">
        <v>45179.257071759261</v>
      </c>
      <c r="D3519" t="str">
        <f ca="1">VLOOKUP(qry_ProdData2_PDI_Cash_Exception_Application[[#This Row],[TYPE]],#REF!,2,FALSE)</f>
        <v>type13</v>
      </c>
      <c r="E3519">
        <v>16242.85</v>
      </c>
      <c r="F3519" t="s">
        <v>50</v>
      </c>
      <c r="G3519" s="1">
        <f>qry_ProdData2_PDI_Cash_Exception_Application[[#This Row],[INSERT DATE]]+7</f>
        <v>45186.257071759261</v>
      </c>
      <c r="H3519" t="str">
        <f>VLOOKUP(qry_ProdData2_PDI_Cash_Exception_Application[[#This Row],[MARKET No]],'Site Allocation'!$B$2:$C$37,2,FALSE)</f>
        <v>Analyst4</v>
      </c>
      <c r="I3519" s="4">
        <f t="shared" ca="1" si="54"/>
        <v>45203</v>
      </c>
      <c r="J3519" s="42">
        <f ca="1">TODAY()-qry_ProdData2_PDI_Cash_Exception_Application[[#This Row],[INSERT DATE]]</f>
        <v>23.742928240739275</v>
      </c>
      <c r="K35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19">
        <f ca="1">qry_ProdData2_PDI_Cash_Exception_Application[[#This Row],[TODAY]]-qry_ProdData2_PDI_Cash_Exception_Application[[#This Row],[CHANGED ON]]</f>
        <v>16.742928240739275</v>
      </c>
      <c r="M3519">
        <f ca="1">qry_ProdData2_PDI_Cash_Exception_Application[[#This Row],[TODAY]]-qry_ProdData2_PDI_Cash_Exception_Application[[#This Row],[CHANGED ON]]</f>
        <v>16.742928240739275</v>
      </c>
      <c r="N3519">
        <f ca="1">qry_ProdData2_PDI_Cash_Exception_Application[[#This Row],[TODAY]]-qry_ProdData2_PDI_Cash_Exception_Application[[#This Row],[CHANGED ON]]</f>
        <v>16.742928240739275</v>
      </c>
    </row>
    <row r="3520" spans="1:14" x14ac:dyDescent="0.35">
      <c r="A3520">
        <v>1002</v>
      </c>
      <c r="B3520" t="s">
        <v>56</v>
      </c>
      <c r="C3520" s="1">
        <v>45194.257071759261</v>
      </c>
      <c r="D3520" t="str">
        <f ca="1">VLOOKUP(qry_ProdData2_PDI_Cash_Exception_Application[[#This Row],[TYPE]],#REF!,2,FALSE)</f>
        <v>type40</v>
      </c>
      <c r="E3520">
        <v>37.43</v>
      </c>
      <c r="F3520" t="s">
        <v>47</v>
      </c>
      <c r="G3520" s="1">
        <f>qry_ProdData2_PDI_Cash_Exception_Application[[#This Row],[INSERT DATE]]+7</f>
        <v>45201.257071759261</v>
      </c>
      <c r="H3520" t="str">
        <f>VLOOKUP(qry_ProdData2_PDI_Cash_Exception_Application[[#This Row],[MARKET No]],'Site Allocation'!$B$2:$C$37,2,FALSE)</f>
        <v>Analyst1</v>
      </c>
      <c r="I3520" s="4">
        <f t="shared" ca="1" si="54"/>
        <v>45203</v>
      </c>
      <c r="J3520" s="42">
        <f ca="1">TODAY()-qry_ProdData2_PDI_Cash_Exception_Application[[#This Row],[INSERT DATE]]</f>
        <v>8.7429282407392748</v>
      </c>
      <c r="K35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20">
        <f ca="1">qry_ProdData2_PDI_Cash_Exception_Application[[#This Row],[TODAY]]-qry_ProdData2_PDI_Cash_Exception_Application[[#This Row],[CHANGED ON]]</f>
        <v>1.7429282407392748</v>
      </c>
      <c r="M3520">
        <f ca="1">qry_ProdData2_PDI_Cash_Exception_Application[[#This Row],[TODAY]]-qry_ProdData2_PDI_Cash_Exception_Application[[#This Row],[CHANGED ON]]</f>
        <v>1.7429282407392748</v>
      </c>
      <c r="N3520">
        <f ca="1">qry_ProdData2_PDI_Cash_Exception_Application[[#This Row],[TODAY]]-qry_ProdData2_PDI_Cash_Exception_Application[[#This Row],[CHANGED ON]]</f>
        <v>1.7429282407392748</v>
      </c>
    </row>
    <row r="3521" spans="1:14" x14ac:dyDescent="0.35">
      <c r="A3521">
        <v>1027</v>
      </c>
      <c r="B3521" t="s">
        <v>81</v>
      </c>
      <c r="C3521" s="1">
        <v>45195.257071759261</v>
      </c>
      <c r="D3521" t="str">
        <f ca="1">VLOOKUP(qry_ProdData2_PDI_Cash_Exception_Application[[#This Row],[TYPE]],#REF!,2,FALSE)</f>
        <v>type9</v>
      </c>
      <c r="E3521">
        <v>100</v>
      </c>
      <c r="F3521" t="s">
        <v>48</v>
      </c>
      <c r="G3521" s="1">
        <f>qry_ProdData2_PDI_Cash_Exception_Application[[#This Row],[INSERT DATE]]+7</f>
        <v>45202.257071759261</v>
      </c>
      <c r="H3521" t="str">
        <f>VLOOKUP(qry_ProdData2_PDI_Cash_Exception_Application[[#This Row],[MARKET No]],'Site Allocation'!$B$2:$C$37,2,FALSE)</f>
        <v>Analyst5</v>
      </c>
      <c r="I3521" s="4">
        <f t="shared" ca="1" si="54"/>
        <v>45203</v>
      </c>
      <c r="J3521" s="42">
        <f ca="1">TODAY()-qry_ProdData2_PDI_Cash_Exception_Application[[#This Row],[INSERT DATE]]</f>
        <v>7.7429282407392748</v>
      </c>
      <c r="K35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21">
        <f ca="1">qry_ProdData2_PDI_Cash_Exception_Application[[#This Row],[TODAY]]-qry_ProdData2_PDI_Cash_Exception_Application[[#This Row],[CHANGED ON]]</f>
        <v>0.74292824073927477</v>
      </c>
      <c r="M3521">
        <f ca="1">qry_ProdData2_PDI_Cash_Exception_Application[[#This Row],[TODAY]]-qry_ProdData2_PDI_Cash_Exception_Application[[#This Row],[CHANGED ON]]</f>
        <v>0.74292824073927477</v>
      </c>
      <c r="N3521">
        <f ca="1">qry_ProdData2_PDI_Cash_Exception_Application[[#This Row],[TODAY]]-qry_ProdData2_PDI_Cash_Exception_Application[[#This Row],[CHANGED ON]]</f>
        <v>0.74292824073927477</v>
      </c>
    </row>
    <row r="3522" spans="1:14" x14ac:dyDescent="0.35">
      <c r="A3522">
        <v>1003</v>
      </c>
      <c r="B3522" t="s">
        <v>57</v>
      </c>
      <c r="C3522" s="1">
        <v>45194.257071759261</v>
      </c>
      <c r="D3522" t="str">
        <f ca="1">VLOOKUP(qry_ProdData2_PDI_Cash_Exception_Application[[#This Row],[TYPE]],#REF!,2,FALSE)</f>
        <v>type40</v>
      </c>
      <c r="E3522">
        <v>367.55</v>
      </c>
      <c r="F3522" t="s">
        <v>51</v>
      </c>
      <c r="G3522" s="1">
        <f>qry_ProdData2_PDI_Cash_Exception_Application[[#This Row],[INSERT DATE]]+2</f>
        <v>45196.257071759261</v>
      </c>
      <c r="H3522" t="str">
        <f>VLOOKUP(qry_ProdData2_PDI_Cash_Exception_Application[[#This Row],[MARKET No]],'Site Allocation'!$B$2:$C$37,2,FALSE)</f>
        <v>Analyst1</v>
      </c>
      <c r="I3522" s="4">
        <f t="shared" ref="I3522:I3585" ca="1" si="55">TODAY()</f>
        <v>45203</v>
      </c>
      <c r="J3522" s="42">
        <f ca="1">TODAY()-qry_ProdData2_PDI_Cash_Exception_Application[[#This Row],[INSERT DATE]]</f>
        <v>8.7429282407392748</v>
      </c>
      <c r="K35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22">
        <f ca="1">qry_ProdData2_PDI_Cash_Exception_Application[[#This Row],[TODAY]]-qry_ProdData2_PDI_Cash_Exception_Application[[#This Row],[CHANGED ON]]</f>
        <v>6.7429282407392748</v>
      </c>
      <c r="M3522">
        <f ca="1">qry_ProdData2_PDI_Cash_Exception_Application[[#This Row],[TODAY]]-qry_ProdData2_PDI_Cash_Exception_Application[[#This Row],[CHANGED ON]]</f>
        <v>6.7429282407392748</v>
      </c>
      <c r="N3522">
        <f ca="1">qry_ProdData2_PDI_Cash_Exception_Application[[#This Row],[TODAY]]-qry_ProdData2_PDI_Cash_Exception_Application[[#This Row],[CHANGED ON]]</f>
        <v>6.7429282407392748</v>
      </c>
    </row>
    <row r="3523" spans="1:14" x14ac:dyDescent="0.35">
      <c r="A3523">
        <v>1023</v>
      </c>
      <c r="B3523" t="s">
        <v>77</v>
      </c>
      <c r="C3523" s="1">
        <v>45193.257071759261</v>
      </c>
      <c r="D3523" t="str">
        <f ca="1">VLOOKUP(qry_ProdData2_PDI_Cash_Exception_Application[[#This Row],[TYPE]],#REF!,2,FALSE)</f>
        <v>type13</v>
      </c>
      <c r="E3523">
        <v>30673.919999999998</v>
      </c>
      <c r="F3523" t="s">
        <v>47</v>
      </c>
      <c r="G3523" s="1">
        <f>qry_ProdData2_PDI_Cash_Exception_Application[[#This Row],[INSERT DATE]]+1</f>
        <v>45194.257071759261</v>
      </c>
      <c r="H3523" t="str">
        <f>VLOOKUP(qry_ProdData2_PDI_Cash_Exception_Application[[#This Row],[MARKET No]],'Site Allocation'!$B$2:$C$37,2,FALSE)</f>
        <v>Analyst4</v>
      </c>
      <c r="I3523" s="4">
        <f t="shared" ca="1" si="55"/>
        <v>45203</v>
      </c>
      <c r="J3523" s="42">
        <f ca="1">TODAY()-qry_ProdData2_PDI_Cash_Exception_Application[[#This Row],[INSERT DATE]]</f>
        <v>9.7429282407392748</v>
      </c>
      <c r="K35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23">
        <f ca="1">qry_ProdData2_PDI_Cash_Exception_Application[[#This Row],[TODAY]]-qry_ProdData2_PDI_Cash_Exception_Application[[#This Row],[CHANGED ON]]</f>
        <v>8.7429282407392748</v>
      </c>
      <c r="M3523">
        <f ca="1">qry_ProdData2_PDI_Cash_Exception_Application[[#This Row],[TODAY]]-qry_ProdData2_PDI_Cash_Exception_Application[[#This Row],[CHANGED ON]]</f>
        <v>8.7429282407392748</v>
      </c>
      <c r="N3523">
        <f ca="1">qry_ProdData2_PDI_Cash_Exception_Application[[#This Row],[TODAY]]-qry_ProdData2_PDI_Cash_Exception_Application[[#This Row],[CHANGED ON]]</f>
        <v>8.7429282407392748</v>
      </c>
    </row>
    <row r="3524" spans="1:14" x14ac:dyDescent="0.35">
      <c r="A3524">
        <v>1017</v>
      </c>
      <c r="B3524" t="s">
        <v>71</v>
      </c>
      <c r="C3524" s="1">
        <v>45194.257071759261</v>
      </c>
      <c r="D3524" t="str">
        <f ca="1">VLOOKUP(qry_ProdData2_PDI_Cash_Exception_Application[[#This Row],[TYPE]],#REF!,2,FALSE)</f>
        <v>type13</v>
      </c>
      <c r="E3524">
        <v>17954.11</v>
      </c>
      <c r="F3524" t="s">
        <v>48</v>
      </c>
      <c r="G3524" s="1">
        <f>qry_ProdData2_PDI_Cash_Exception_Application[[#This Row],[INSERT DATE]]+1</f>
        <v>45195.257071759261</v>
      </c>
      <c r="H3524" t="str">
        <f>VLOOKUP(qry_ProdData2_PDI_Cash_Exception_Application[[#This Row],[MARKET No]],'Site Allocation'!$B$2:$C$37,2,FALSE)</f>
        <v>Analyst3</v>
      </c>
      <c r="I3524" s="4">
        <f t="shared" ca="1" si="55"/>
        <v>45203</v>
      </c>
      <c r="J3524" s="42">
        <f ca="1">TODAY()-qry_ProdData2_PDI_Cash_Exception_Application[[#This Row],[INSERT DATE]]</f>
        <v>8.7429282407392748</v>
      </c>
      <c r="K35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24">
        <f ca="1">qry_ProdData2_PDI_Cash_Exception_Application[[#This Row],[TODAY]]-qry_ProdData2_PDI_Cash_Exception_Application[[#This Row],[CHANGED ON]]</f>
        <v>7.7429282407392748</v>
      </c>
      <c r="M3524">
        <f ca="1">qry_ProdData2_PDI_Cash_Exception_Application[[#This Row],[TODAY]]-qry_ProdData2_PDI_Cash_Exception_Application[[#This Row],[CHANGED ON]]</f>
        <v>7.7429282407392748</v>
      </c>
      <c r="N3524">
        <f ca="1">qry_ProdData2_PDI_Cash_Exception_Application[[#This Row],[TODAY]]-qry_ProdData2_PDI_Cash_Exception_Application[[#This Row],[CHANGED ON]]</f>
        <v>7.7429282407392748</v>
      </c>
    </row>
    <row r="3525" spans="1:14" x14ac:dyDescent="0.35">
      <c r="A3525">
        <v>1024</v>
      </c>
      <c r="B3525" t="s">
        <v>78</v>
      </c>
      <c r="C3525" s="1">
        <v>45183.257071759261</v>
      </c>
      <c r="D3525" t="str">
        <f ca="1">VLOOKUP(qry_ProdData2_PDI_Cash_Exception_Application[[#This Row],[TYPE]],#REF!,2,FALSE)</f>
        <v>type11</v>
      </c>
      <c r="E3525">
        <v>100</v>
      </c>
      <c r="F3525" t="s">
        <v>52</v>
      </c>
      <c r="G3525" s="1">
        <f>qry_ProdData2_PDI_Cash_Exception_Application[[#This Row],[INSERT DATE]]+7</f>
        <v>45190.257071759261</v>
      </c>
      <c r="H3525" t="str">
        <f>VLOOKUP(qry_ProdData2_PDI_Cash_Exception_Application[[#This Row],[MARKET No]],'Site Allocation'!$B$2:$C$37,2,FALSE)</f>
        <v>Analyst5</v>
      </c>
      <c r="I3525" s="4">
        <f t="shared" ca="1" si="55"/>
        <v>45203</v>
      </c>
      <c r="J3525" s="42">
        <f ca="1">TODAY()-qry_ProdData2_PDI_Cash_Exception_Application[[#This Row],[INSERT DATE]]</f>
        <v>19.742928240739275</v>
      </c>
      <c r="K35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25">
        <f ca="1">qry_ProdData2_PDI_Cash_Exception_Application[[#This Row],[TODAY]]-qry_ProdData2_PDI_Cash_Exception_Application[[#This Row],[CHANGED ON]]</f>
        <v>12.742928240739275</v>
      </c>
      <c r="M3525">
        <f ca="1">qry_ProdData2_PDI_Cash_Exception_Application[[#This Row],[TODAY]]-qry_ProdData2_PDI_Cash_Exception_Application[[#This Row],[CHANGED ON]]</f>
        <v>12.742928240739275</v>
      </c>
      <c r="N3525">
        <f ca="1">qry_ProdData2_PDI_Cash_Exception_Application[[#This Row],[TODAY]]-qry_ProdData2_PDI_Cash_Exception_Application[[#This Row],[CHANGED ON]]</f>
        <v>12.742928240739275</v>
      </c>
    </row>
    <row r="3526" spans="1:14" x14ac:dyDescent="0.35">
      <c r="A3526">
        <v>1020</v>
      </c>
      <c r="B3526" t="s">
        <v>74</v>
      </c>
      <c r="C3526" s="1">
        <v>45184.257071759261</v>
      </c>
      <c r="D3526" t="str">
        <f ca="1">VLOOKUP(qry_ProdData2_PDI_Cash_Exception_Application[[#This Row],[TYPE]],#REF!,2,FALSE)</f>
        <v>type13</v>
      </c>
      <c r="E3526">
        <v>16565.310000000001</v>
      </c>
      <c r="F3526" t="s">
        <v>52</v>
      </c>
      <c r="G3526" s="1">
        <f>qry_ProdData2_PDI_Cash_Exception_Application[[#This Row],[INSERT DATE]]+7</f>
        <v>45191.257071759261</v>
      </c>
      <c r="H3526" t="str">
        <f>VLOOKUP(qry_ProdData2_PDI_Cash_Exception_Application[[#This Row],[MARKET No]],'Site Allocation'!$B$2:$C$37,2,FALSE)</f>
        <v>Analyst4</v>
      </c>
      <c r="I3526" s="4">
        <f t="shared" ca="1" si="55"/>
        <v>45203</v>
      </c>
      <c r="J3526" s="42">
        <f ca="1">TODAY()-qry_ProdData2_PDI_Cash_Exception_Application[[#This Row],[INSERT DATE]]</f>
        <v>18.742928240739275</v>
      </c>
      <c r="K35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26">
        <f ca="1">qry_ProdData2_PDI_Cash_Exception_Application[[#This Row],[TODAY]]-qry_ProdData2_PDI_Cash_Exception_Application[[#This Row],[CHANGED ON]]</f>
        <v>11.742928240739275</v>
      </c>
      <c r="M3526">
        <f ca="1">qry_ProdData2_PDI_Cash_Exception_Application[[#This Row],[TODAY]]-qry_ProdData2_PDI_Cash_Exception_Application[[#This Row],[CHANGED ON]]</f>
        <v>11.742928240739275</v>
      </c>
      <c r="N3526">
        <f ca="1">qry_ProdData2_PDI_Cash_Exception_Application[[#This Row],[TODAY]]-qry_ProdData2_PDI_Cash_Exception_Application[[#This Row],[CHANGED ON]]</f>
        <v>11.742928240739275</v>
      </c>
    </row>
    <row r="3527" spans="1:14" x14ac:dyDescent="0.35">
      <c r="A3527">
        <v>1012</v>
      </c>
      <c r="B3527" t="s">
        <v>66</v>
      </c>
      <c r="C3527" s="1">
        <v>45195.257071759261</v>
      </c>
      <c r="D3527" t="str">
        <f ca="1">VLOOKUP(qry_ProdData2_PDI_Cash_Exception_Application[[#This Row],[TYPE]],#REF!,2,FALSE)</f>
        <v>type13</v>
      </c>
      <c r="E3527">
        <v>25402.54</v>
      </c>
      <c r="F3527" t="s">
        <v>48</v>
      </c>
      <c r="G3527" s="1">
        <f>qry_ProdData2_PDI_Cash_Exception_Application[[#This Row],[INSERT DATE]]+1</f>
        <v>45196.257071759261</v>
      </c>
      <c r="H3527" t="str">
        <f>VLOOKUP(qry_ProdData2_PDI_Cash_Exception_Application[[#This Row],[MARKET No]],'Site Allocation'!$B$2:$C$37,2,FALSE)</f>
        <v>Analyst3</v>
      </c>
      <c r="I3527" s="4">
        <f t="shared" ca="1" si="55"/>
        <v>45203</v>
      </c>
      <c r="J3527" s="42">
        <f ca="1">TODAY()-qry_ProdData2_PDI_Cash_Exception_Application[[#This Row],[INSERT DATE]]</f>
        <v>7.7429282407392748</v>
      </c>
      <c r="K35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27">
        <f ca="1">qry_ProdData2_PDI_Cash_Exception_Application[[#This Row],[TODAY]]-qry_ProdData2_PDI_Cash_Exception_Application[[#This Row],[CHANGED ON]]</f>
        <v>6.7429282407392748</v>
      </c>
      <c r="M3527">
        <f ca="1">qry_ProdData2_PDI_Cash_Exception_Application[[#This Row],[TODAY]]-qry_ProdData2_PDI_Cash_Exception_Application[[#This Row],[CHANGED ON]]</f>
        <v>6.7429282407392748</v>
      </c>
      <c r="N3527">
        <f ca="1">qry_ProdData2_PDI_Cash_Exception_Application[[#This Row],[TODAY]]-qry_ProdData2_PDI_Cash_Exception_Application[[#This Row],[CHANGED ON]]</f>
        <v>6.7429282407392748</v>
      </c>
    </row>
    <row r="3528" spans="1:14" x14ac:dyDescent="0.35">
      <c r="A3528">
        <v>1013</v>
      </c>
      <c r="B3528" t="s">
        <v>67</v>
      </c>
      <c r="C3528" s="1">
        <v>45193.257071759261</v>
      </c>
      <c r="D3528" t="str">
        <f ca="1">VLOOKUP(qry_ProdData2_PDI_Cash_Exception_Application[[#This Row],[TYPE]],#REF!,2,FALSE)</f>
        <v>type40</v>
      </c>
      <c r="E3528">
        <v>-328.77</v>
      </c>
      <c r="F3528" t="s">
        <v>48</v>
      </c>
      <c r="G3528" s="1">
        <f>qry_ProdData2_PDI_Cash_Exception_Application[[#This Row],[INSERT DATE]]+2</f>
        <v>45195.257071759261</v>
      </c>
      <c r="H3528" t="str">
        <f>VLOOKUP(qry_ProdData2_PDI_Cash_Exception_Application[[#This Row],[MARKET No]],'Site Allocation'!$B$2:$C$37,2,FALSE)</f>
        <v>Analyst3</v>
      </c>
      <c r="I3528" s="4">
        <f t="shared" ca="1" si="55"/>
        <v>45203</v>
      </c>
      <c r="J3528" s="42">
        <f ca="1">TODAY()-qry_ProdData2_PDI_Cash_Exception_Application[[#This Row],[INSERT DATE]]</f>
        <v>9.7429282407392748</v>
      </c>
      <c r="K35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28">
        <f ca="1">qry_ProdData2_PDI_Cash_Exception_Application[[#This Row],[TODAY]]-qry_ProdData2_PDI_Cash_Exception_Application[[#This Row],[CHANGED ON]]</f>
        <v>7.7429282407392748</v>
      </c>
      <c r="M3528">
        <f ca="1">qry_ProdData2_PDI_Cash_Exception_Application[[#This Row],[TODAY]]-qry_ProdData2_PDI_Cash_Exception_Application[[#This Row],[CHANGED ON]]</f>
        <v>7.7429282407392748</v>
      </c>
      <c r="N3528">
        <f ca="1">qry_ProdData2_PDI_Cash_Exception_Application[[#This Row],[TODAY]]-qry_ProdData2_PDI_Cash_Exception_Application[[#This Row],[CHANGED ON]]</f>
        <v>7.7429282407392748</v>
      </c>
    </row>
    <row r="3529" spans="1:14" x14ac:dyDescent="0.35">
      <c r="A3529">
        <v>1004</v>
      </c>
      <c r="B3529" t="s">
        <v>58</v>
      </c>
      <c r="C3529" s="1">
        <v>45195.257071759261</v>
      </c>
      <c r="D3529" t="str">
        <f ca="1">VLOOKUP(qry_ProdData2_PDI_Cash_Exception_Application[[#This Row],[TYPE]],#REF!,2,FALSE)</f>
        <v>type15</v>
      </c>
      <c r="E3529">
        <v>1366.1</v>
      </c>
      <c r="F3529" t="s">
        <v>48</v>
      </c>
      <c r="G3529" s="1">
        <f>qry_ProdData2_PDI_Cash_Exception_Application[[#This Row],[INSERT DATE]]+2</f>
        <v>45197.257071759261</v>
      </c>
      <c r="H3529" t="str">
        <f>VLOOKUP(qry_ProdData2_PDI_Cash_Exception_Application[[#This Row],[MARKET No]],'Site Allocation'!$B$2:$C$37,2,FALSE)</f>
        <v>Analyst1</v>
      </c>
      <c r="I3529" s="4">
        <f t="shared" ca="1" si="55"/>
        <v>45203</v>
      </c>
      <c r="J3529" s="42">
        <f ca="1">TODAY()-qry_ProdData2_PDI_Cash_Exception_Application[[#This Row],[INSERT DATE]]</f>
        <v>7.7429282407392748</v>
      </c>
      <c r="K35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29">
        <f ca="1">qry_ProdData2_PDI_Cash_Exception_Application[[#This Row],[TODAY]]-qry_ProdData2_PDI_Cash_Exception_Application[[#This Row],[CHANGED ON]]</f>
        <v>5.7429282407392748</v>
      </c>
      <c r="M3529">
        <f ca="1">qry_ProdData2_PDI_Cash_Exception_Application[[#This Row],[TODAY]]-qry_ProdData2_PDI_Cash_Exception_Application[[#This Row],[CHANGED ON]]</f>
        <v>5.7429282407392748</v>
      </c>
      <c r="N3529">
        <f ca="1">qry_ProdData2_PDI_Cash_Exception_Application[[#This Row],[TODAY]]-qry_ProdData2_PDI_Cash_Exception_Application[[#This Row],[CHANGED ON]]</f>
        <v>5.7429282407392748</v>
      </c>
    </row>
    <row r="3530" spans="1:14" x14ac:dyDescent="0.35">
      <c r="A3530">
        <v>1028</v>
      </c>
      <c r="B3530" t="s">
        <v>82</v>
      </c>
      <c r="C3530" s="1">
        <v>45195.257071759261</v>
      </c>
      <c r="D3530" t="str">
        <f ca="1">VLOOKUP(qry_ProdData2_PDI_Cash_Exception_Application[[#This Row],[TYPE]],#REF!,2,FALSE)</f>
        <v>type40</v>
      </c>
      <c r="E3530">
        <v>4252.92</v>
      </c>
      <c r="F3530" t="s">
        <v>48</v>
      </c>
      <c r="G3530" s="1">
        <f>qry_ProdData2_PDI_Cash_Exception_Application[[#This Row],[INSERT DATE]]+5</f>
        <v>45200.257071759261</v>
      </c>
      <c r="H3530" t="str">
        <f>VLOOKUP(qry_ProdData2_PDI_Cash_Exception_Application[[#This Row],[MARKET No]],'Site Allocation'!$B$2:$C$37,2,FALSE)</f>
        <v>Analyst5</v>
      </c>
      <c r="I3530" s="4">
        <f t="shared" ca="1" si="55"/>
        <v>45203</v>
      </c>
      <c r="J3530" s="42">
        <f ca="1">TODAY()-qry_ProdData2_PDI_Cash_Exception_Application[[#This Row],[INSERT DATE]]</f>
        <v>7.7429282407392748</v>
      </c>
      <c r="K35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30">
        <f ca="1">qry_ProdData2_PDI_Cash_Exception_Application[[#This Row],[TODAY]]-qry_ProdData2_PDI_Cash_Exception_Application[[#This Row],[CHANGED ON]]</f>
        <v>2.7429282407392748</v>
      </c>
      <c r="M3530">
        <f ca="1">qry_ProdData2_PDI_Cash_Exception_Application[[#This Row],[TODAY]]-qry_ProdData2_PDI_Cash_Exception_Application[[#This Row],[CHANGED ON]]</f>
        <v>2.7429282407392748</v>
      </c>
      <c r="N3530">
        <f ca="1">qry_ProdData2_PDI_Cash_Exception_Application[[#This Row],[TODAY]]-qry_ProdData2_PDI_Cash_Exception_Application[[#This Row],[CHANGED ON]]</f>
        <v>2.7429282407392748</v>
      </c>
    </row>
    <row r="3531" spans="1:14" x14ac:dyDescent="0.35">
      <c r="A3531">
        <v>1035</v>
      </c>
      <c r="B3531" t="s">
        <v>89</v>
      </c>
      <c r="C3531" s="1">
        <v>45192.257071759261</v>
      </c>
      <c r="D3531" t="str">
        <f ca="1">VLOOKUP(qry_ProdData2_PDI_Cash_Exception_Application[[#This Row],[TYPE]],#REF!,2,FALSE)</f>
        <v>type40</v>
      </c>
      <c r="E3531">
        <v>-350.41</v>
      </c>
      <c r="G3531" s="1">
        <f>qry_ProdData2_PDI_Cash_Exception_Application[[#This Row],[INSERT DATE]]+1</f>
        <v>45193.257071759261</v>
      </c>
      <c r="H3531" t="str">
        <f>VLOOKUP(qry_ProdData2_PDI_Cash_Exception_Application[[#This Row],[MARKET No]],'Site Allocation'!$B$2:$C$37,2,FALSE)</f>
        <v>Analyst6</v>
      </c>
      <c r="I3531" s="4">
        <f t="shared" ca="1" si="55"/>
        <v>45203</v>
      </c>
      <c r="J3531" s="42">
        <f ca="1">TODAY()-qry_ProdData2_PDI_Cash_Exception_Application[[#This Row],[INSERT DATE]]</f>
        <v>10.742928240739275</v>
      </c>
      <c r="K35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31">
        <f ca="1">qry_ProdData2_PDI_Cash_Exception_Application[[#This Row],[TODAY]]-qry_ProdData2_PDI_Cash_Exception_Application[[#This Row],[CHANGED ON]]</f>
        <v>9.7429282407392748</v>
      </c>
      <c r="M3531">
        <f ca="1">qry_ProdData2_PDI_Cash_Exception_Application[[#This Row],[TODAY]]-qry_ProdData2_PDI_Cash_Exception_Application[[#This Row],[CHANGED ON]]</f>
        <v>9.7429282407392748</v>
      </c>
      <c r="N3531">
        <f ca="1">qry_ProdData2_PDI_Cash_Exception_Application[[#This Row],[TODAY]]-qry_ProdData2_PDI_Cash_Exception_Application[[#This Row],[CHANGED ON]]</f>
        <v>9.7429282407392748</v>
      </c>
    </row>
    <row r="3532" spans="1:14" x14ac:dyDescent="0.35">
      <c r="A3532">
        <v>1000</v>
      </c>
      <c r="B3532" t="s">
        <v>54</v>
      </c>
      <c r="C3532" s="1">
        <v>45197.257071759261</v>
      </c>
      <c r="D3532" t="str">
        <f ca="1">VLOOKUP(qry_ProdData2_PDI_Cash_Exception_Application[[#This Row],[TYPE]],#REF!,2,FALSE)</f>
        <v>type40</v>
      </c>
      <c r="E3532">
        <v>-774.39</v>
      </c>
      <c r="G3532" s="1">
        <f>qry_ProdData2_PDI_Cash_Exception_Application[[#This Row],[INSERT DATE]]+1</f>
        <v>45198.257071759261</v>
      </c>
      <c r="H3532" t="str">
        <f>VLOOKUP(qry_ProdData2_PDI_Cash_Exception_Application[[#This Row],[MARKET No]],'Site Allocation'!$B$2:$C$37,2,FALSE)</f>
        <v>Analyst1</v>
      </c>
      <c r="I3532" s="4">
        <f t="shared" ca="1" si="55"/>
        <v>45203</v>
      </c>
      <c r="J3532" s="42">
        <f ca="1">TODAY()-qry_ProdData2_PDI_Cash_Exception_Application[[#This Row],[INSERT DATE]]</f>
        <v>5.7429282407392748</v>
      </c>
      <c r="K35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532">
        <f ca="1">qry_ProdData2_PDI_Cash_Exception_Application[[#This Row],[TODAY]]-qry_ProdData2_PDI_Cash_Exception_Application[[#This Row],[CHANGED ON]]</f>
        <v>4.7429282407392748</v>
      </c>
      <c r="M3532">
        <f ca="1">qry_ProdData2_PDI_Cash_Exception_Application[[#This Row],[TODAY]]-qry_ProdData2_PDI_Cash_Exception_Application[[#This Row],[CHANGED ON]]</f>
        <v>4.7429282407392748</v>
      </c>
      <c r="N3532">
        <f ca="1">qry_ProdData2_PDI_Cash_Exception_Application[[#This Row],[TODAY]]-qry_ProdData2_PDI_Cash_Exception_Application[[#This Row],[CHANGED ON]]</f>
        <v>4.7429282407392748</v>
      </c>
    </row>
    <row r="3533" spans="1:14" x14ac:dyDescent="0.35">
      <c r="A3533">
        <v>1005</v>
      </c>
      <c r="B3533" t="s">
        <v>59</v>
      </c>
      <c r="C3533" s="1">
        <v>45194.257071759261</v>
      </c>
      <c r="D3533" t="str">
        <f ca="1">VLOOKUP(qry_ProdData2_PDI_Cash_Exception_Application[[#This Row],[TYPE]],#REF!,2,FALSE)</f>
        <v>type22</v>
      </c>
      <c r="E3533">
        <v>679.71</v>
      </c>
      <c r="F3533" t="s">
        <v>51</v>
      </c>
      <c r="G3533" s="1">
        <f>qry_ProdData2_PDI_Cash_Exception_Application[[#This Row],[INSERT DATE]]+7</f>
        <v>45201.257071759261</v>
      </c>
      <c r="H3533" t="str">
        <f>VLOOKUP(qry_ProdData2_PDI_Cash_Exception_Application[[#This Row],[MARKET No]],'Site Allocation'!$B$2:$C$37,2,FALSE)</f>
        <v>Analyst1</v>
      </c>
      <c r="I3533" s="4">
        <f t="shared" ca="1" si="55"/>
        <v>45203</v>
      </c>
      <c r="J3533" s="42">
        <f ca="1">TODAY()-qry_ProdData2_PDI_Cash_Exception_Application[[#This Row],[INSERT DATE]]</f>
        <v>8.7429282407392748</v>
      </c>
      <c r="K35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33">
        <f ca="1">qry_ProdData2_PDI_Cash_Exception_Application[[#This Row],[TODAY]]-qry_ProdData2_PDI_Cash_Exception_Application[[#This Row],[CHANGED ON]]</f>
        <v>1.7429282407392748</v>
      </c>
      <c r="M3533">
        <f ca="1">qry_ProdData2_PDI_Cash_Exception_Application[[#This Row],[TODAY]]-qry_ProdData2_PDI_Cash_Exception_Application[[#This Row],[CHANGED ON]]</f>
        <v>1.7429282407392748</v>
      </c>
      <c r="N3533">
        <f ca="1">qry_ProdData2_PDI_Cash_Exception_Application[[#This Row],[TODAY]]-qry_ProdData2_PDI_Cash_Exception_Application[[#This Row],[CHANGED ON]]</f>
        <v>1.7429282407392748</v>
      </c>
    </row>
    <row r="3534" spans="1:14" x14ac:dyDescent="0.35">
      <c r="A3534">
        <v>1025</v>
      </c>
      <c r="B3534" t="s">
        <v>79</v>
      </c>
      <c r="C3534" s="1">
        <v>45180.257071759261</v>
      </c>
      <c r="D3534" t="str">
        <f ca="1">VLOOKUP(qry_ProdData2_PDI_Cash_Exception_Application[[#This Row],[TYPE]],#REF!,2,FALSE)</f>
        <v>type13</v>
      </c>
      <c r="E3534">
        <v>40690.720000000001</v>
      </c>
      <c r="G3534" s="1">
        <f>qry_ProdData2_PDI_Cash_Exception_Application[[#This Row],[INSERT DATE]]+1</f>
        <v>45181.257071759261</v>
      </c>
      <c r="H3534" t="str">
        <f>VLOOKUP(qry_ProdData2_PDI_Cash_Exception_Application[[#This Row],[MARKET No]],'Site Allocation'!$B$2:$C$37,2,FALSE)</f>
        <v>Analyst5</v>
      </c>
      <c r="I3534" s="4">
        <f t="shared" ca="1" si="55"/>
        <v>45203</v>
      </c>
      <c r="J3534" s="42">
        <f ca="1">TODAY()-qry_ProdData2_PDI_Cash_Exception_Application[[#This Row],[INSERT DATE]]</f>
        <v>22.742928240739275</v>
      </c>
      <c r="K35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34">
        <f ca="1">qry_ProdData2_PDI_Cash_Exception_Application[[#This Row],[TODAY]]-qry_ProdData2_PDI_Cash_Exception_Application[[#This Row],[CHANGED ON]]</f>
        <v>21.742928240739275</v>
      </c>
      <c r="M3534">
        <f ca="1">qry_ProdData2_PDI_Cash_Exception_Application[[#This Row],[TODAY]]-qry_ProdData2_PDI_Cash_Exception_Application[[#This Row],[CHANGED ON]]</f>
        <v>21.742928240739275</v>
      </c>
      <c r="N3534">
        <f ca="1">qry_ProdData2_PDI_Cash_Exception_Application[[#This Row],[TODAY]]-qry_ProdData2_PDI_Cash_Exception_Application[[#This Row],[CHANGED ON]]</f>
        <v>21.742928240739275</v>
      </c>
    </row>
    <row r="3535" spans="1:14" x14ac:dyDescent="0.35">
      <c r="A3535">
        <v>1003</v>
      </c>
      <c r="B3535" t="s">
        <v>57</v>
      </c>
      <c r="C3535" s="1">
        <v>45182.257071759261</v>
      </c>
      <c r="D3535" t="str">
        <f ca="1">VLOOKUP(qry_ProdData2_PDI_Cash_Exception_Application[[#This Row],[TYPE]],#REF!,2,FALSE)</f>
        <v>type40</v>
      </c>
      <c r="E3535">
        <v>-471.72</v>
      </c>
      <c r="G3535" s="1">
        <f>qry_ProdData2_PDI_Cash_Exception_Application[[#This Row],[INSERT DATE]]+1</f>
        <v>45183.257071759261</v>
      </c>
      <c r="H3535" t="str">
        <f>VLOOKUP(qry_ProdData2_PDI_Cash_Exception_Application[[#This Row],[MARKET No]],'Site Allocation'!$B$2:$C$37,2,FALSE)</f>
        <v>Analyst1</v>
      </c>
      <c r="I3535" s="4">
        <f t="shared" ca="1" si="55"/>
        <v>45203</v>
      </c>
      <c r="J3535" s="42">
        <f ca="1">TODAY()-qry_ProdData2_PDI_Cash_Exception_Application[[#This Row],[INSERT DATE]]</f>
        <v>20.742928240739275</v>
      </c>
      <c r="K35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35">
        <f ca="1">qry_ProdData2_PDI_Cash_Exception_Application[[#This Row],[TODAY]]-qry_ProdData2_PDI_Cash_Exception_Application[[#This Row],[CHANGED ON]]</f>
        <v>19.742928240739275</v>
      </c>
      <c r="M3535">
        <f ca="1">qry_ProdData2_PDI_Cash_Exception_Application[[#This Row],[TODAY]]-qry_ProdData2_PDI_Cash_Exception_Application[[#This Row],[CHANGED ON]]</f>
        <v>19.742928240739275</v>
      </c>
      <c r="N3535">
        <f ca="1">qry_ProdData2_PDI_Cash_Exception_Application[[#This Row],[TODAY]]-qry_ProdData2_PDI_Cash_Exception_Application[[#This Row],[CHANGED ON]]</f>
        <v>19.742928240739275</v>
      </c>
    </row>
    <row r="3536" spans="1:14" x14ac:dyDescent="0.35">
      <c r="A3536">
        <v>1022</v>
      </c>
      <c r="B3536" t="s">
        <v>76</v>
      </c>
      <c r="C3536" s="1">
        <v>45193.257071759261</v>
      </c>
      <c r="D3536" t="str">
        <f ca="1">VLOOKUP(qry_ProdData2_PDI_Cash_Exception_Application[[#This Row],[TYPE]],#REF!,2,FALSE)</f>
        <v>type8</v>
      </c>
      <c r="E3536">
        <v>58.25</v>
      </c>
      <c r="F3536" t="s">
        <v>51</v>
      </c>
      <c r="G3536" s="1">
        <f>qry_ProdData2_PDI_Cash_Exception_Application[[#This Row],[INSERT DATE]]+1</f>
        <v>45194.257071759261</v>
      </c>
      <c r="H3536" t="str">
        <f>VLOOKUP(qry_ProdData2_PDI_Cash_Exception_Application[[#This Row],[MARKET No]],'Site Allocation'!$B$2:$C$37,2,FALSE)</f>
        <v>Analyst4</v>
      </c>
      <c r="I3536" s="4">
        <f t="shared" ca="1" si="55"/>
        <v>45203</v>
      </c>
      <c r="J3536" s="42">
        <f ca="1">TODAY()-qry_ProdData2_PDI_Cash_Exception_Application[[#This Row],[INSERT DATE]]</f>
        <v>9.7429282407392748</v>
      </c>
      <c r="K35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36">
        <f ca="1">qry_ProdData2_PDI_Cash_Exception_Application[[#This Row],[TODAY]]-qry_ProdData2_PDI_Cash_Exception_Application[[#This Row],[CHANGED ON]]</f>
        <v>8.7429282407392748</v>
      </c>
      <c r="M3536">
        <f ca="1">qry_ProdData2_PDI_Cash_Exception_Application[[#This Row],[TODAY]]-qry_ProdData2_PDI_Cash_Exception_Application[[#This Row],[CHANGED ON]]</f>
        <v>8.7429282407392748</v>
      </c>
      <c r="N3536">
        <f ca="1">qry_ProdData2_PDI_Cash_Exception_Application[[#This Row],[TODAY]]-qry_ProdData2_PDI_Cash_Exception_Application[[#This Row],[CHANGED ON]]</f>
        <v>8.7429282407392748</v>
      </c>
    </row>
    <row r="3537" spans="1:14" x14ac:dyDescent="0.35">
      <c r="A3537">
        <v>1011</v>
      </c>
      <c r="B3537" t="s">
        <v>65</v>
      </c>
      <c r="C3537" s="1">
        <v>45195.257071759261</v>
      </c>
      <c r="D3537" t="str">
        <f ca="1">VLOOKUP(qry_ProdData2_PDI_Cash_Exception_Application[[#This Row],[TYPE]],#REF!,2,FALSE)</f>
        <v>type40</v>
      </c>
      <c r="E3537">
        <v>-663.87</v>
      </c>
      <c r="F3537" t="s">
        <v>48</v>
      </c>
      <c r="G3537" s="1">
        <f>qry_ProdData2_PDI_Cash_Exception_Application[[#This Row],[INSERT DATE]]+7</f>
        <v>45202.257071759261</v>
      </c>
      <c r="H3537" t="str">
        <f>VLOOKUP(qry_ProdData2_PDI_Cash_Exception_Application[[#This Row],[MARKET No]],'Site Allocation'!$B$2:$C$37,2,FALSE)</f>
        <v>Analyst2</v>
      </c>
      <c r="I3537" s="4">
        <f t="shared" ca="1" si="55"/>
        <v>45203</v>
      </c>
      <c r="J3537" s="42">
        <f ca="1">TODAY()-qry_ProdData2_PDI_Cash_Exception_Application[[#This Row],[INSERT DATE]]</f>
        <v>7.7429282407392748</v>
      </c>
      <c r="K35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37">
        <f ca="1">qry_ProdData2_PDI_Cash_Exception_Application[[#This Row],[TODAY]]-qry_ProdData2_PDI_Cash_Exception_Application[[#This Row],[CHANGED ON]]</f>
        <v>0.74292824073927477</v>
      </c>
      <c r="M3537">
        <f ca="1">qry_ProdData2_PDI_Cash_Exception_Application[[#This Row],[TODAY]]-qry_ProdData2_PDI_Cash_Exception_Application[[#This Row],[CHANGED ON]]</f>
        <v>0.74292824073927477</v>
      </c>
      <c r="N3537">
        <f ca="1">qry_ProdData2_PDI_Cash_Exception_Application[[#This Row],[TODAY]]-qry_ProdData2_PDI_Cash_Exception_Application[[#This Row],[CHANGED ON]]</f>
        <v>0.74292824073927477</v>
      </c>
    </row>
    <row r="3538" spans="1:14" x14ac:dyDescent="0.35">
      <c r="A3538">
        <v>1021</v>
      </c>
      <c r="B3538" t="s">
        <v>75</v>
      </c>
      <c r="C3538" s="1">
        <v>45191.257071759261</v>
      </c>
      <c r="D3538" t="str">
        <f ca="1">VLOOKUP(qry_ProdData2_PDI_Cash_Exception_Application[[#This Row],[TYPE]],#REF!,2,FALSE)</f>
        <v>type40</v>
      </c>
      <c r="E3538">
        <v>17.100000000000001</v>
      </c>
      <c r="F3538" t="s">
        <v>50</v>
      </c>
      <c r="G3538" s="1">
        <f>qry_ProdData2_PDI_Cash_Exception_Application[[#This Row],[INSERT DATE]]+1</f>
        <v>45192.257071759261</v>
      </c>
      <c r="H3538" t="str">
        <f>VLOOKUP(qry_ProdData2_PDI_Cash_Exception_Application[[#This Row],[MARKET No]],'Site Allocation'!$B$2:$C$37,2,FALSE)</f>
        <v>Analyst4</v>
      </c>
      <c r="I3538" s="4">
        <f t="shared" ca="1" si="55"/>
        <v>45203</v>
      </c>
      <c r="J3538" s="42">
        <f ca="1">TODAY()-qry_ProdData2_PDI_Cash_Exception_Application[[#This Row],[INSERT DATE]]</f>
        <v>11.742928240739275</v>
      </c>
      <c r="K35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38">
        <f ca="1">qry_ProdData2_PDI_Cash_Exception_Application[[#This Row],[TODAY]]-qry_ProdData2_PDI_Cash_Exception_Application[[#This Row],[CHANGED ON]]</f>
        <v>10.742928240739275</v>
      </c>
      <c r="M3538">
        <f ca="1">qry_ProdData2_PDI_Cash_Exception_Application[[#This Row],[TODAY]]-qry_ProdData2_PDI_Cash_Exception_Application[[#This Row],[CHANGED ON]]</f>
        <v>10.742928240739275</v>
      </c>
      <c r="N3538">
        <f ca="1">qry_ProdData2_PDI_Cash_Exception_Application[[#This Row],[TODAY]]-qry_ProdData2_PDI_Cash_Exception_Application[[#This Row],[CHANGED ON]]</f>
        <v>10.742928240739275</v>
      </c>
    </row>
    <row r="3539" spans="1:14" x14ac:dyDescent="0.35">
      <c r="A3539">
        <v>1005</v>
      </c>
      <c r="B3539" t="s">
        <v>59</v>
      </c>
      <c r="C3539" s="1">
        <v>45187.257071759261</v>
      </c>
      <c r="D3539" t="str">
        <f ca="1">VLOOKUP(qry_ProdData2_PDI_Cash_Exception_Application[[#This Row],[TYPE]],#REF!,2,FALSE)</f>
        <v>type13</v>
      </c>
      <c r="E3539">
        <v>51821.07</v>
      </c>
      <c r="G3539" s="1">
        <f>qry_ProdData2_PDI_Cash_Exception_Application[[#This Row],[INSERT DATE]]+1</f>
        <v>45188.257071759261</v>
      </c>
      <c r="H3539" t="str">
        <f>VLOOKUP(qry_ProdData2_PDI_Cash_Exception_Application[[#This Row],[MARKET No]],'Site Allocation'!$B$2:$C$37,2,FALSE)</f>
        <v>Analyst1</v>
      </c>
      <c r="I3539" s="4">
        <f t="shared" ca="1" si="55"/>
        <v>45203</v>
      </c>
      <c r="J3539" s="42">
        <f ca="1">TODAY()-qry_ProdData2_PDI_Cash_Exception_Application[[#This Row],[INSERT DATE]]</f>
        <v>15.742928240739275</v>
      </c>
      <c r="K35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39">
        <f ca="1">qry_ProdData2_PDI_Cash_Exception_Application[[#This Row],[TODAY]]-qry_ProdData2_PDI_Cash_Exception_Application[[#This Row],[CHANGED ON]]</f>
        <v>14.742928240739275</v>
      </c>
      <c r="M3539">
        <f ca="1">qry_ProdData2_PDI_Cash_Exception_Application[[#This Row],[TODAY]]-qry_ProdData2_PDI_Cash_Exception_Application[[#This Row],[CHANGED ON]]</f>
        <v>14.742928240739275</v>
      </c>
      <c r="N3539">
        <f ca="1">qry_ProdData2_PDI_Cash_Exception_Application[[#This Row],[TODAY]]-qry_ProdData2_PDI_Cash_Exception_Application[[#This Row],[CHANGED ON]]</f>
        <v>14.742928240739275</v>
      </c>
    </row>
    <row r="3540" spans="1:14" x14ac:dyDescent="0.35">
      <c r="A3540">
        <v>1009</v>
      </c>
      <c r="B3540" t="s">
        <v>63</v>
      </c>
      <c r="C3540" s="1">
        <v>45195.257071759261</v>
      </c>
      <c r="D3540" t="str">
        <f ca="1">VLOOKUP(qry_ProdData2_PDI_Cash_Exception_Application[[#This Row],[TYPE]],#REF!,2,FALSE)</f>
        <v>type40</v>
      </c>
      <c r="E3540">
        <v>8</v>
      </c>
      <c r="F3540" t="s">
        <v>48</v>
      </c>
      <c r="G3540" s="1">
        <f>qry_ProdData2_PDI_Cash_Exception_Application[[#This Row],[INSERT DATE]]+1</f>
        <v>45196.257071759261</v>
      </c>
      <c r="H3540" t="str">
        <f>VLOOKUP(qry_ProdData2_PDI_Cash_Exception_Application[[#This Row],[MARKET No]],'Site Allocation'!$B$2:$C$37,2,FALSE)</f>
        <v>Analyst2</v>
      </c>
      <c r="I3540" s="4">
        <f t="shared" ca="1" si="55"/>
        <v>45203</v>
      </c>
      <c r="J3540" s="42">
        <f ca="1">TODAY()-qry_ProdData2_PDI_Cash_Exception_Application[[#This Row],[INSERT DATE]]</f>
        <v>7.7429282407392748</v>
      </c>
      <c r="K35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40">
        <f ca="1">qry_ProdData2_PDI_Cash_Exception_Application[[#This Row],[TODAY]]-qry_ProdData2_PDI_Cash_Exception_Application[[#This Row],[CHANGED ON]]</f>
        <v>6.7429282407392748</v>
      </c>
      <c r="M3540">
        <f ca="1">qry_ProdData2_PDI_Cash_Exception_Application[[#This Row],[TODAY]]-qry_ProdData2_PDI_Cash_Exception_Application[[#This Row],[CHANGED ON]]</f>
        <v>6.7429282407392748</v>
      </c>
      <c r="N3540">
        <f ca="1">qry_ProdData2_PDI_Cash_Exception_Application[[#This Row],[TODAY]]-qry_ProdData2_PDI_Cash_Exception_Application[[#This Row],[CHANGED ON]]</f>
        <v>6.7429282407392748</v>
      </c>
    </row>
    <row r="3541" spans="1:14" x14ac:dyDescent="0.35">
      <c r="A3541">
        <v>1030</v>
      </c>
      <c r="B3541" t="s">
        <v>84</v>
      </c>
      <c r="C3541" s="1">
        <v>45195.257071759261</v>
      </c>
      <c r="D3541" t="str">
        <f ca="1">VLOOKUP(qry_ProdData2_PDI_Cash_Exception_Application[[#This Row],[TYPE]],#REF!,2,FALSE)</f>
        <v>type40</v>
      </c>
      <c r="E3541">
        <v>-454.36</v>
      </c>
      <c r="F3541" t="s">
        <v>48</v>
      </c>
      <c r="G3541" s="1">
        <f>qry_ProdData2_PDI_Cash_Exception_Application[[#This Row],[INSERT DATE]]+1</f>
        <v>45196.257071759261</v>
      </c>
      <c r="H3541" t="str">
        <f>VLOOKUP(qry_ProdData2_PDI_Cash_Exception_Application[[#This Row],[MARKET No]],'Site Allocation'!$B$2:$C$37,2,FALSE)</f>
        <v>Analyst6</v>
      </c>
      <c r="I3541" s="4">
        <f t="shared" ca="1" si="55"/>
        <v>45203</v>
      </c>
      <c r="J3541" s="42">
        <f ca="1">TODAY()-qry_ProdData2_PDI_Cash_Exception_Application[[#This Row],[INSERT DATE]]</f>
        <v>7.7429282407392748</v>
      </c>
      <c r="K35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41">
        <f ca="1">qry_ProdData2_PDI_Cash_Exception_Application[[#This Row],[TODAY]]-qry_ProdData2_PDI_Cash_Exception_Application[[#This Row],[CHANGED ON]]</f>
        <v>6.7429282407392748</v>
      </c>
      <c r="M3541">
        <f ca="1">qry_ProdData2_PDI_Cash_Exception_Application[[#This Row],[TODAY]]-qry_ProdData2_PDI_Cash_Exception_Application[[#This Row],[CHANGED ON]]</f>
        <v>6.7429282407392748</v>
      </c>
      <c r="N3541">
        <f ca="1">qry_ProdData2_PDI_Cash_Exception_Application[[#This Row],[TODAY]]-qry_ProdData2_PDI_Cash_Exception_Application[[#This Row],[CHANGED ON]]</f>
        <v>6.7429282407392748</v>
      </c>
    </row>
    <row r="3542" spans="1:14" x14ac:dyDescent="0.35">
      <c r="A3542">
        <v>1019</v>
      </c>
      <c r="B3542" t="s">
        <v>73</v>
      </c>
      <c r="C3542" s="1">
        <v>45194.257071759261</v>
      </c>
      <c r="D3542" t="str">
        <f ca="1">VLOOKUP(qry_ProdData2_PDI_Cash_Exception_Application[[#This Row],[TYPE]],#REF!,2,FALSE)</f>
        <v>type13</v>
      </c>
      <c r="E3542">
        <v>12631.8</v>
      </c>
      <c r="F3542" t="s">
        <v>48</v>
      </c>
      <c r="G3542" s="1">
        <f>qry_ProdData2_PDI_Cash_Exception_Application[[#This Row],[INSERT DATE]]+2</f>
        <v>45196.257071759261</v>
      </c>
      <c r="H3542" t="str">
        <f>VLOOKUP(qry_ProdData2_PDI_Cash_Exception_Application[[#This Row],[MARKET No]],'Site Allocation'!$B$2:$C$37,2,FALSE)</f>
        <v>Analyst4</v>
      </c>
      <c r="I3542" s="4">
        <f t="shared" ca="1" si="55"/>
        <v>45203</v>
      </c>
      <c r="J3542" s="42">
        <f ca="1">TODAY()-qry_ProdData2_PDI_Cash_Exception_Application[[#This Row],[INSERT DATE]]</f>
        <v>8.7429282407392748</v>
      </c>
      <c r="K35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42">
        <f ca="1">qry_ProdData2_PDI_Cash_Exception_Application[[#This Row],[TODAY]]-qry_ProdData2_PDI_Cash_Exception_Application[[#This Row],[CHANGED ON]]</f>
        <v>6.7429282407392748</v>
      </c>
      <c r="M3542">
        <f ca="1">qry_ProdData2_PDI_Cash_Exception_Application[[#This Row],[TODAY]]-qry_ProdData2_PDI_Cash_Exception_Application[[#This Row],[CHANGED ON]]</f>
        <v>6.7429282407392748</v>
      </c>
      <c r="N3542">
        <f ca="1">qry_ProdData2_PDI_Cash_Exception_Application[[#This Row],[TODAY]]-qry_ProdData2_PDI_Cash_Exception_Application[[#This Row],[CHANGED ON]]</f>
        <v>6.7429282407392748</v>
      </c>
    </row>
    <row r="3543" spans="1:14" x14ac:dyDescent="0.35">
      <c r="A3543">
        <v>1031</v>
      </c>
      <c r="B3543" t="s">
        <v>85</v>
      </c>
      <c r="C3543" s="1">
        <v>45194.257071759261</v>
      </c>
      <c r="D3543" t="str">
        <f ca="1">VLOOKUP(qry_ProdData2_PDI_Cash_Exception_Application[[#This Row],[TYPE]],#REF!,2,FALSE)</f>
        <v>type40</v>
      </c>
      <c r="E3543">
        <v>8912.5499999999993</v>
      </c>
      <c r="F3543" t="s">
        <v>51</v>
      </c>
      <c r="G3543" s="1">
        <f>qry_ProdData2_PDI_Cash_Exception_Application[[#This Row],[INSERT DATE]]+1</f>
        <v>45195.257071759261</v>
      </c>
      <c r="H3543" t="str">
        <f>VLOOKUP(qry_ProdData2_PDI_Cash_Exception_Application[[#This Row],[MARKET No]],'Site Allocation'!$B$2:$C$37,2,FALSE)</f>
        <v>Analyst6</v>
      </c>
      <c r="I3543" s="4">
        <f t="shared" ca="1" si="55"/>
        <v>45203</v>
      </c>
      <c r="J3543" s="42">
        <f ca="1">TODAY()-qry_ProdData2_PDI_Cash_Exception_Application[[#This Row],[INSERT DATE]]</f>
        <v>8.7429282407392748</v>
      </c>
      <c r="K35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43">
        <f ca="1">qry_ProdData2_PDI_Cash_Exception_Application[[#This Row],[TODAY]]-qry_ProdData2_PDI_Cash_Exception_Application[[#This Row],[CHANGED ON]]</f>
        <v>7.7429282407392748</v>
      </c>
      <c r="M3543">
        <f ca="1">qry_ProdData2_PDI_Cash_Exception_Application[[#This Row],[TODAY]]-qry_ProdData2_PDI_Cash_Exception_Application[[#This Row],[CHANGED ON]]</f>
        <v>7.7429282407392748</v>
      </c>
      <c r="N3543">
        <f ca="1">qry_ProdData2_PDI_Cash_Exception_Application[[#This Row],[TODAY]]-qry_ProdData2_PDI_Cash_Exception_Application[[#This Row],[CHANGED ON]]</f>
        <v>7.7429282407392748</v>
      </c>
    </row>
    <row r="3544" spans="1:14" x14ac:dyDescent="0.35">
      <c r="A3544">
        <v>1016</v>
      </c>
      <c r="B3544" t="s">
        <v>70</v>
      </c>
      <c r="C3544" s="1">
        <v>45193.257071759261</v>
      </c>
      <c r="D3544" t="str">
        <f ca="1">VLOOKUP(qry_ProdData2_PDI_Cash_Exception_Application[[#This Row],[TYPE]],#REF!,2,FALSE)</f>
        <v>type9</v>
      </c>
      <c r="E3544">
        <v>115</v>
      </c>
      <c r="F3544" t="s">
        <v>48</v>
      </c>
      <c r="G3544" s="1">
        <f>qry_ProdData2_PDI_Cash_Exception_Application[[#This Row],[INSERT DATE]]+7</f>
        <v>45200.257071759261</v>
      </c>
      <c r="H3544" t="str">
        <f>VLOOKUP(qry_ProdData2_PDI_Cash_Exception_Application[[#This Row],[MARKET No]],'Site Allocation'!$B$2:$C$37,2,FALSE)</f>
        <v>Analyst3</v>
      </c>
      <c r="I3544" s="4">
        <f t="shared" ca="1" si="55"/>
        <v>45203</v>
      </c>
      <c r="J3544" s="42">
        <f ca="1">TODAY()-qry_ProdData2_PDI_Cash_Exception_Application[[#This Row],[INSERT DATE]]</f>
        <v>9.7429282407392748</v>
      </c>
      <c r="K35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44">
        <f ca="1">qry_ProdData2_PDI_Cash_Exception_Application[[#This Row],[TODAY]]-qry_ProdData2_PDI_Cash_Exception_Application[[#This Row],[CHANGED ON]]</f>
        <v>2.7429282407392748</v>
      </c>
      <c r="M3544">
        <f ca="1">qry_ProdData2_PDI_Cash_Exception_Application[[#This Row],[TODAY]]-qry_ProdData2_PDI_Cash_Exception_Application[[#This Row],[CHANGED ON]]</f>
        <v>2.7429282407392748</v>
      </c>
      <c r="N3544">
        <f ca="1">qry_ProdData2_PDI_Cash_Exception_Application[[#This Row],[TODAY]]-qry_ProdData2_PDI_Cash_Exception_Application[[#This Row],[CHANGED ON]]</f>
        <v>2.7429282407392748</v>
      </c>
    </row>
    <row r="3545" spans="1:14" x14ac:dyDescent="0.35">
      <c r="A3545">
        <v>1016</v>
      </c>
      <c r="B3545" t="s">
        <v>70</v>
      </c>
      <c r="C3545" s="1">
        <v>45187.257071759261</v>
      </c>
      <c r="D3545" t="str">
        <f ca="1">VLOOKUP(qry_ProdData2_PDI_Cash_Exception_Application[[#This Row],[TYPE]],#REF!,2,FALSE)</f>
        <v>type40</v>
      </c>
      <c r="E3545">
        <v>-468.78</v>
      </c>
      <c r="G3545" s="1">
        <f>qry_ProdData2_PDI_Cash_Exception_Application[[#This Row],[INSERT DATE]]+2</f>
        <v>45189.257071759261</v>
      </c>
      <c r="H3545" t="str">
        <f>VLOOKUP(qry_ProdData2_PDI_Cash_Exception_Application[[#This Row],[MARKET No]],'Site Allocation'!$B$2:$C$37,2,FALSE)</f>
        <v>Analyst3</v>
      </c>
      <c r="I3545" s="4">
        <f t="shared" ca="1" si="55"/>
        <v>45203</v>
      </c>
      <c r="J3545" s="42">
        <f ca="1">TODAY()-qry_ProdData2_PDI_Cash_Exception_Application[[#This Row],[INSERT DATE]]</f>
        <v>15.742928240739275</v>
      </c>
      <c r="K35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45">
        <f ca="1">qry_ProdData2_PDI_Cash_Exception_Application[[#This Row],[TODAY]]-qry_ProdData2_PDI_Cash_Exception_Application[[#This Row],[CHANGED ON]]</f>
        <v>13.742928240739275</v>
      </c>
      <c r="M3545">
        <f ca="1">qry_ProdData2_PDI_Cash_Exception_Application[[#This Row],[TODAY]]-qry_ProdData2_PDI_Cash_Exception_Application[[#This Row],[CHANGED ON]]</f>
        <v>13.742928240739275</v>
      </c>
      <c r="N3545">
        <f ca="1">qry_ProdData2_PDI_Cash_Exception_Application[[#This Row],[TODAY]]-qry_ProdData2_PDI_Cash_Exception_Application[[#This Row],[CHANGED ON]]</f>
        <v>13.742928240739275</v>
      </c>
    </row>
    <row r="3546" spans="1:14" x14ac:dyDescent="0.35">
      <c r="A3546">
        <v>1011</v>
      </c>
      <c r="B3546" t="s">
        <v>65</v>
      </c>
      <c r="C3546" s="1">
        <v>45193.257071759261</v>
      </c>
      <c r="D3546" t="str">
        <f ca="1">VLOOKUP(qry_ProdData2_PDI_Cash_Exception_Application[[#This Row],[TYPE]],#REF!,2,FALSE)</f>
        <v>type40</v>
      </c>
      <c r="E3546">
        <v>-4114.58</v>
      </c>
      <c r="G3546" s="1">
        <f>qry_ProdData2_PDI_Cash_Exception_Application[[#This Row],[INSERT DATE]]+5</f>
        <v>45198.257071759261</v>
      </c>
      <c r="H3546" t="str">
        <f>VLOOKUP(qry_ProdData2_PDI_Cash_Exception_Application[[#This Row],[MARKET No]],'Site Allocation'!$B$2:$C$37,2,FALSE)</f>
        <v>Analyst2</v>
      </c>
      <c r="I3546" s="4">
        <f t="shared" ca="1" si="55"/>
        <v>45203</v>
      </c>
      <c r="J3546" s="42">
        <f ca="1">TODAY()-qry_ProdData2_PDI_Cash_Exception_Application[[#This Row],[INSERT DATE]]</f>
        <v>9.7429282407392748</v>
      </c>
      <c r="K35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46">
        <f ca="1">qry_ProdData2_PDI_Cash_Exception_Application[[#This Row],[TODAY]]-qry_ProdData2_PDI_Cash_Exception_Application[[#This Row],[CHANGED ON]]</f>
        <v>4.7429282407392748</v>
      </c>
      <c r="M3546">
        <f ca="1">qry_ProdData2_PDI_Cash_Exception_Application[[#This Row],[TODAY]]-qry_ProdData2_PDI_Cash_Exception_Application[[#This Row],[CHANGED ON]]</f>
        <v>4.7429282407392748</v>
      </c>
      <c r="N3546">
        <f ca="1">qry_ProdData2_PDI_Cash_Exception_Application[[#This Row],[TODAY]]-qry_ProdData2_PDI_Cash_Exception_Application[[#This Row],[CHANGED ON]]</f>
        <v>4.7429282407392748</v>
      </c>
    </row>
    <row r="3547" spans="1:14" x14ac:dyDescent="0.35">
      <c r="A3547">
        <v>1026</v>
      </c>
      <c r="B3547" t="s">
        <v>80</v>
      </c>
      <c r="C3547" s="1">
        <v>45194.257071759261</v>
      </c>
      <c r="D3547" t="str">
        <f ca="1">VLOOKUP(qry_ProdData2_PDI_Cash_Exception_Application[[#This Row],[TYPE]],#REF!,2,FALSE)</f>
        <v>type40</v>
      </c>
      <c r="E3547">
        <v>607.55999999999995</v>
      </c>
      <c r="F3547" t="s">
        <v>48</v>
      </c>
      <c r="G3547" s="1">
        <f>qry_ProdData2_PDI_Cash_Exception_Application[[#This Row],[INSERT DATE]]+5</f>
        <v>45199.257071759261</v>
      </c>
      <c r="H3547" t="str">
        <f>VLOOKUP(qry_ProdData2_PDI_Cash_Exception_Application[[#This Row],[MARKET No]],'Site Allocation'!$B$2:$C$37,2,FALSE)</f>
        <v>Analyst5</v>
      </c>
      <c r="I3547" s="4">
        <f t="shared" ca="1" si="55"/>
        <v>45203</v>
      </c>
      <c r="J3547" s="42">
        <f ca="1">TODAY()-qry_ProdData2_PDI_Cash_Exception_Application[[#This Row],[INSERT DATE]]</f>
        <v>8.7429282407392748</v>
      </c>
      <c r="K35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47">
        <f ca="1">qry_ProdData2_PDI_Cash_Exception_Application[[#This Row],[TODAY]]-qry_ProdData2_PDI_Cash_Exception_Application[[#This Row],[CHANGED ON]]</f>
        <v>3.7429282407392748</v>
      </c>
      <c r="M3547">
        <f ca="1">qry_ProdData2_PDI_Cash_Exception_Application[[#This Row],[TODAY]]-qry_ProdData2_PDI_Cash_Exception_Application[[#This Row],[CHANGED ON]]</f>
        <v>3.7429282407392748</v>
      </c>
      <c r="N3547">
        <f ca="1">qry_ProdData2_PDI_Cash_Exception_Application[[#This Row],[TODAY]]-qry_ProdData2_PDI_Cash_Exception_Application[[#This Row],[CHANGED ON]]</f>
        <v>3.7429282407392748</v>
      </c>
    </row>
    <row r="3548" spans="1:14" x14ac:dyDescent="0.35">
      <c r="A3548">
        <v>1007</v>
      </c>
      <c r="B3548" t="s">
        <v>61</v>
      </c>
      <c r="C3548" s="1">
        <v>45194.257071759261</v>
      </c>
      <c r="D3548" t="str">
        <f ca="1">VLOOKUP(qry_ProdData2_PDI_Cash_Exception_Application[[#This Row],[TYPE]],#REF!,2,FALSE)</f>
        <v>type27</v>
      </c>
      <c r="E3548">
        <v>1521640.48</v>
      </c>
      <c r="F3548" t="s">
        <v>51</v>
      </c>
      <c r="G3548" s="1">
        <f>qry_ProdData2_PDI_Cash_Exception_Application[[#This Row],[INSERT DATE]]+2</f>
        <v>45196.257071759261</v>
      </c>
      <c r="H3548" t="str">
        <f>VLOOKUP(qry_ProdData2_PDI_Cash_Exception_Application[[#This Row],[MARKET No]],'Site Allocation'!$B$2:$C$37,2,FALSE)</f>
        <v>Analyst2</v>
      </c>
      <c r="I3548" s="4">
        <f t="shared" ca="1" si="55"/>
        <v>45203</v>
      </c>
      <c r="J3548" s="42">
        <f ca="1">TODAY()-qry_ProdData2_PDI_Cash_Exception_Application[[#This Row],[INSERT DATE]]</f>
        <v>8.7429282407392748</v>
      </c>
      <c r="K35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48">
        <f ca="1">qry_ProdData2_PDI_Cash_Exception_Application[[#This Row],[TODAY]]-qry_ProdData2_PDI_Cash_Exception_Application[[#This Row],[CHANGED ON]]</f>
        <v>6.7429282407392748</v>
      </c>
      <c r="M3548">
        <f ca="1">qry_ProdData2_PDI_Cash_Exception_Application[[#This Row],[TODAY]]-qry_ProdData2_PDI_Cash_Exception_Application[[#This Row],[CHANGED ON]]</f>
        <v>6.7429282407392748</v>
      </c>
      <c r="N3548">
        <f ca="1">qry_ProdData2_PDI_Cash_Exception_Application[[#This Row],[TODAY]]-qry_ProdData2_PDI_Cash_Exception_Application[[#This Row],[CHANGED ON]]</f>
        <v>6.7429282407392748</v>
      </c>
    </row>
    <row r="3549" spans="1:14" x14ac:dyDescent="0.35">
      <c r="A3549">
        <v>1032</v>
      </c>
      <c r="B3549" t="s">
        <v>86</v>
      </c>
      <c r="C3549" s="1">
        <v>45188.257071759261</v>
      </c>
      <c r="D3549" t="str">
        <f ca="1">VLOOKUP(qry_ProdData2_PDI_Cash_Exception_Application[[#This Row],[TYPE]],#REF!,2,FALSE)</f>
        <v>type40</v>
      </c>
      <c r="E3549">
        <v>-497.78</v>
      </c>
      <c r="F3549" t="str">
        <f>qry_ProdData2_PDI_Cash_Exception_Application[[#This Row],[ANALYST]]</f>
        <v>Analyst6</v>
      </c>
      <c r="G3549" s="1">
        <f>qry_ProdData2_PDI_Cash_Exception_Application[[#This Row],[INSERT DATE]]+2</f>
        <v>45190.257071759261</v>
      </c>
      <c r="H3549" t="str">
        <f>VLOOKUP(qry_ProdData2_PDI_Cash_Exception_Application[[#This Row],[MARKET No]],'Site Allocation'!$B$2:$C$37,2,FALSE)</f>
        <v>Analyst6</v>
      </c>
      <c r="I3549" s="4">
        <f t="shared" ca="1" si="55"/>
        <v>45203</v>
      </c>
      <c r="J3549" s="42">
        <f ca="1">TODAY()-qry_ProdData2_PDI_Cash_Exception_Application[[#This Row],[INSERT DATE]]</f>
        <v>14.742928240739275</v>
      </c>
      <c r="K35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49">
        <f ca="1">qry_ProdData2_PDI_Cash_Exception_Application[[#This Row],[TODAY]]-qry_ProdData2_PDI_Cash_Exception_Application[[#This Row],[CHANGED ON]]</f>
        <v>12.742928240739275</v>
      </c>
      <c r="M3549">
        <f ca="1">qry_ProdData2_PDI_Cash_Exception_Application[[#This Row],[TODAY]]-qry_ProdData2_PDI_Cash_Exception_Application[[#This Row],[CHANGED ON]]</f>
        <v>12.742928240739275</v>
      </c>
      <c r="N3549">
        <f ca="1">qry_ProdData2_PDI_Cash_Exception_Application[[#This Row],[TODAY]]-qry_ProdData2_PDI_Cash_Exception_Application[[#This Row],[CHANGED ON]]</f>
        <v>12.742928240739275</v>
      </c>
    </row>
    <row r="3550" spans="1:14" x14ac:dyDescent="0.35">
      <c r="A3550">
        <v>1021</v>
      </c>
      <c r="B3550" t="s">
        <v>75</v>
      </c>
      <c r="C3550" s="1">
        <v>45189.257071759261</v>
      </c>
      <c r="D3550" t="str">
        <f ca="1">VLOOKUP(qry_ProdData2_PDI_Cash_Exception_Application[[#This Row],[TYPE]],#REF!,2,FALSE)</f>
        <v>type40</v>
      </c>
      <c r="E3550">
        <v>-337.41</v>
      </c>
      <c r="F3550" t="str">
        <f>qry_ProdData2_PDI_Cash_Exception_Application[[#This Row],[ANALYST]]</f>
        <v>Analyst4</v>
      </c>
      <c r="G3550" s="1">
        <f>qry_ProdData2_PDI_Cash_Exception_Application[[#This Row],[INSERT DATE]]+2</f>
        <v>45191.257071759261</v>
      </c>
      <c r="H3550" t="str">
        <f>VLOOKUP(qry_ProdData2_PDI_Cash_Exception_Application[[#This Row],[MARKET No]],'Site Allocation'!$B$2:$C$37,2,FALSE)</f>
        <v>Analyst4</v>
      </c>
      <c r="I3550" s="4">
        <f t="shared" ca="1" si="55"/>
        <v>45203</v>
      </c>
      <c r="J3550" s="42">
        <f ca="1">TODAY()-qry_ProdData2_PDI_Cash_Exception_Application[[#This Row],[INSERT DATE]]</f>
        <v>13.742928240739275</v>
      </c>
      <c r="K35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50">
        <f ca="1">qry_ProdData2_PDI_Cash_Exception_Application[[#This Row],[TODAY]]-qry_ProdData2_PDI_Cash_Exception_Application[[#This Row],[CHANGED ON]]</f>
        <v>11.742928240739275</v>
      </c>
      <c r="M3550">
        <f ca="1">qry_ProdData2_PDI_Cash_Exception_Application[[#This Row],[TODAY]]-qry_ProdData2_PDI_Cash_Exception_Application[[#This Row],[CHANGED ON]]</f>
        <v>11.742928240739275</v>
      </c>
      <c r="N3550">
        <f ca="1">qry_ProdData2_PDI_Cash_Exception_Application[[#This Row],[TODAY]]-qry_ProdData2_PDI_Cash_Exception_Application[[#This Row],[CHANGED ON]]</f>
        <v>11.742928240739275</v>
      </c>
    </row>
    <row r="3551" spans="1:14" x14ac:dyDescent="0.35">
      <c r="A3551">
        <v>1020</v>
      </c>
      <c r="B3551" t="s">
        <v>74</v>
      </c>
      <c r="C3551" s="1">
        <v>45194.257071759261</v>
      </c>
      <c r="D3551" t="str">
        <f ca="1">VLOOKUP(qry_ProdData2_PDI_Cash_Exception_Application[[#This Row],[TYPE]],#REF!,2,FALSE)</f>
        <v>type38</v>
      </c>
      <c r="E3551">
        <v>152.83000000000001</v>
      </c>
      <c r="F3551" t="s">
        <v>48</v>
      </c>
      <c r="G3551" s="1">
        <f>qry_ProdData2_PDI_Cash_Exception_Application[[#This Row],[INSERT DATE]]+2</f>
        <v>45196.257071759261</v>
      </c>
      <c r="H3551" t="str">
        <f>VLOOKUP(qry_ProdData2_PDI_Cash_Exception_Application[[#This Row],[MARKET No]],'Site Allocation'!$B$2:$C$37,2,FALSE)</f>
        <v>Analyst4</v>
      </c>
      <c r="I3551" s="4">
        <f t="shared" ca="1" si="55"/>
        <v>45203</v>
      </c>
      <c r="J3551" s="42">
        <f ca="1">TODAY()-qry_ProdData2_PDI_Cash_Exception_Application[[#This Row],[INSERT DATE]]</f>
        <v>8.7429282407392748</v>
      </c>
      <c r="K35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51">
        <f ca="1">qry_ProdData2_PDI_Cash_Exception_Application[[#This Row],[TODAY]]-qry_ProdData2_PDI_Cash_Exception_Application[[#This Row],[CHANGED ON]]</f>
        <v>6.7429282407392748</v>
      </c>
      <c r="M3551">
        <f ca="1">qry_ProdData2_PDI_Cash_Exception_Application[[#This Row],[TODAY]]-qry_ProdData2_PDI_Cash_Exception_Application[[#This Row],[CHANGED ON]]</f>
        <v>6.7429282407392748</v>
      </c>
      <c r="N3551">
        <f ca="1">qry_ProdData2_PDI_Cash_Exception_Application[[#This Row],[TODAY]]-qry_ProdData2_PDI_Cash_Exception_Application[[#This Row],[CHANGED ON]]</f>
        <v>6.7429282407392748</v>
      </c>
    </row>
    <row r="3552" spans="1:14" x14ac:dyDescent="0.35">
      <c r="A3552">
        <v>1013</v>
      </c>
      <c r="B3552" t="s">
        <v>67</v>
      </c>
      <c r="C3552" s="1">
        <v>45189.257071759261</v>
      </c>
      <c r="D3552" t="str">
        <f ca="1">VLOOKUP(qry_ProdData2_PDI_Cash_Exception_Application[[#This Row],[TYPE]],#REF!,2,FALSE)</f>
        <v>type40</v>
      </c>
      <c r="E3552">
        <v>-3630.17</v>
      </c>
      <c r="G3552" s="1">
        <f>qry_ProdData2_PDI_Cash_Exception_Application[[#This Row],[INSERT DATE]]+2</f>
        <v>45191.257071759261</v>
      </c>
      <c r="H3552" t="str">
        <f>VLOOKUP(qry_ProdData2_PDI_Cash_Exception_Application[[#This Row],[MARKET No]],'Site Allocation'!$B$2:$C$37,2,FALSE)</f>
        <v>Analyst3</v>
      </c>
      <c r="I3552" s="4">
        <f t="shared" ca="1" si="55"/>
        <v>45203</v>
      </c>
      <c r="J3552" s="42">
        <f ca="1">TODAY()-qry_ProdData2_PDI_Cash_Exception_Application[[#This Row],[INSERT DATE]]</f>
        <v>13.742928240739275</v>
      </c>
      <c r="K35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52">
        <f ca="1">qry_ProdData2_PDI_Cash_Exception_Application[[#This Row],[TODAY]]-qry_ProdData2_PDI_Cash_Exception_Application[[#This Row],[CHANGED ON]]</f>
        <v>11.742928240739275</v>
      </c>
      <c r="M3552">
        <f ca="1">qry_ProdData2_PDI_Cash_Exception_Application[[#This Row],[TODAY]]-qry_ProdData2_PDI_Cash_Exception_Application[[#This Row],[CHANGED ON]]</f>
        <v>11.742928240739275</v>
      </c>
      <c r="N3552">
        <f ca="1">qry_ProdData2_PDI_Cash_Exception_Application[[#This Row],[TODAY]]-qry_ProdData2_PDI_Cash_Exception_Application[[#This Row],[CHANGED ON]]</f>
        <v>11.742928240739275</v>
      </c>
    </row>
    <row r="3553" spans="1:14" x14ac:dyDescent="0.35">
      <c r="A3553">
        <v>1035</v>
      </c>
      <c r="B3553" t="s">
        <v>89</v>
      </c>
      <c r="C3553" s="1">
        <v>45190.257071759261</v>
      </c>
      <c r="D3553" t="str">
        <f ca="1">VLOOKUP(qry_ProdData2_PDI_Cash_Exception_Application[[#This Row],[TYPE]],#REF!,2,FALSE)</f>
        <v>type40</v>
      </c>
      <c r="E3553">
        <v>-697.81</v>
      </c>
      <c r="F3553" t="s">
        <v>52</v>
      </c>
      <c r="G3553" s="1">
        <f>qry_ProdData2_PDI_Cash_Exception_Application[[#This Row],[INSERT DATE]]+2</f>
        <v>45192.257071759261</v>
      </c>
      <c r="H3553" t="str">
        <f>VLOOKUP(qry_ProdData2_PDI_Cash_Exception_Application[[#This Row],[MARKET No]],'Site Allocation'!$B$2:$C$37,2,FALSE)</f>
        <v>Analyst6</v>
      </c>
      <c r="I3553" s="4">
        <f t="shared" ca="1" si="55"/>
        <v>45203</v>
      </c>
      <c r="J3553" s="42">
        <f ca="1">TODAY()-qry_ProdData2_PDI_Cash_Exception_Application[[#This Row],[INSERT DATE]]</f>
        <v>12.742928240739275</v>
      </c>
      <c r="K35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53">
        <f ca="1">qry_ProdData2_PDI_Cash_Exception_Application[[#This Row],[TODAY]]-qry_ProdData2_PDI_Cash_Exception_Application[[#This Row],[CHANGED ON]]</f>
        <v>10.742928240739275</v>
      </c>
      <c r="M3553">
        <f ca="1">qry_ProdData2_PDI_Cash_Exception_Application[[#This Row],[TODAY]]-qry_ProdData2_PDI_Cash_Exception_Application[[#This Row],[CHANGED ON]]</f>
        <v>10.742928240739275</v>
      </c>
      <c r="N3553">
        <f ca="1">qry_ProdData2_PDI_Cash_Exception_Application[[#This Row],[TODAY]]-qry_ProdData2_PDI_Cash_Exception_Application[[#This Row],[CHANGED ON]]</f>
        <v>10.742928240739275</v>
      </c>
    </row>
    <row r="3554" spans="1:14" x14ac:dyDescent="0.35">
      <c r="A3554">
        <v>1004</v>
      </c>
      <c r="B3554" t="s">
        <v>58</v>
      </c>
      <c r="C3554" s="1">
        <v>45195.257071759261</v>
      </c>
      <c r="D3554" t="str">
        <f ca="1">VLOOKUP(qry_ProdData2_PDI_Cash_Exception_Application[[#This Row],[TYPE]],#REF!,2,FALSE)</f>
        <v>type40</v>
      </c>
      <c r="E3554">
        <v>18.149999999999999</v>
      </c>
      <c r="F3554" t="s">
        <v>51</v>
      </c>
      <c r="G3554" s="1">
        <f>qry_ProdData2_PDI_Cash_Exception_Application[[#This Row],[INSERT DATE]]+2</f>
        <v>45197.257071759261</v>
      </c>
      <c r="H3554" t="str">
        <f>VLOOKUP(qry_ProdData2_PDI_Cash_Exception_Application[[#This Row],[MARKET No]],'Site Allocation'!$B$2:$C$37,2,FALSE)</f>
        <v>Analyst1</v>
      </c>
      <c r="I3554" s="4">
        <f t="shared" ca="1" si="55"/>
        <v>45203</v>
      </c>
      <c r="J3554" s="42">
        <f ca="1">TODAY()-qry_ProdData2_PDI_Cash_Exception_Application[[#This Row],[INSERT DATE]]</f>
        <v>7.7429282407392748</v>
      </c>
      <c r="K35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54">
        <f ca="1">qry_ProdData2_PDI_Cash_Exception_Application[[#This Row],[TODAY]]-qry_ProdData2_PDI_Cash_Exception_Application[[#This Row],[CHANGED ON]]</f>
        <v>5.7429282407392748</v>
      </c>
      <c r="M3554">
        <f ca="1">qry_ProdData2_PDI_Cash_Exception_Application[[#This Row],[TODAY]]-qry_ProdData2_PDI_Cash_Exception_Application[[#This Row],[CHANGED ON]]</f>
        <v>5.7429282407392748</v>
      </c>
      <c r="N3554">
        <f ca="1">qry_ProdData2_PDI_Cash_Exception_Application[[#This Row],[TODAY]]-qry_ProdData2_PDI_Cash_Exception_Application[[#This Row],[CHANGED ON]]</f>
        <v>5.7429282407392748</v>
      </c>
    </row>
    <row r="3555" spans="1:14" x14ac:dyDescent="0.35">
      <c r="A3555">
        <v>1020</v>
      </c>
      <c r="B3555" t="s">
        <v>74</v>
      </c>
      <c r="C3555" s="1">
        <v>45192.257071759261</v>
      </c>
      <c r="D3555" t="str">
        <f ca="1">VLOOKUP(qry_ProdData2_PDI_Cash_Exception_Application[[#This Row],[TYPE]],#REF!,2,FALSE)</f>
        <v>type40</v>
      </c>
      <c r="E3555">
        <v>1982.79</v>
      </c>
      <c r="F3555" t="s">
        <v>52</v>
      </c>
      <c r="G3555" s="1">
        <f>qry_ProdData2_PDI_Cash_Exception_Application[[#This Row],[INSERT DATE]]+2</f>
        <v>45194.257071759261</v>
      </c>
      <c r="H3555" t="str">
        <f>VLOOKUP(qry_ProdData2_PDI_Cash_Exception_Application[[#This Row],[MARKET No]],'Site Allocation'!$B$2:$C$37,2,FALSE)</f>
        <v>Analyst4</v>
      </c>
      <c r="I3555" s="4">
        <f t="shared" ca="1" si="55"/>
        <v>45203</v>
      </c>
      <c r="J3555" s="42">
        <f ca="1">TODAY()-qry_ProdData2_PDI_Cash_Exception_Application[[#This Row],[INSERT DATE]]</f>
        <v>10.742928240739275</v>
      </c>
      <c r="K35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55">
        <f ca="1">qry_ProdData2_PDI_Cash_Exception_Application[[#This Row],[TODAY]]-qry_ProdData2_PDI_Cash_Exception_Application[[#This Row],[CHANGED ON]]</f>
        <v>8.7429282407392748</v>
      </c>
      <c r="M3555">
        <f ca="1">qry_ProdData2_PDI_Cash_Exception_Application[[#This Row],[TODAY]]-qry_ProdData2_PDI_Cash_Exception_Application[[#This Row],[CHANGED ON]]</f>
        <v>8.7429282407392748</v>
      </c>
      <c r="N3555">
        <f ca="1">qry_ProdData2_PDI_Cash_Exception_Application[[#This Row],[TODAY]]-qry_ProdData2_PDI_Cash_Exception_Application[[#This Row],[CHANGED ON]]</f>
        <v>8.7429282407392748</v>
      </c>
    </row>
    <row r="3556" spans="1:14" x14ac:dyDescent="0.35">
      <c r="A3556">
        <v>1020</v>
      </c>
      <c r="B3556" t="s">
        <v>74</v>
      </c>
      <c r="C3556" s="1">
        <v>45193.257071759261</v>
      </c>
      <c r="D3556" t="str">
        <f ca="1">VLOOKUP(qry_ProdData2_PDI_Cash_Exception_Application[[#This Row],[TYPE]],#REF!,2,FALSE)</f>
        <v>type6</v>
      </c>
      <c r="E3556">
        <v>140</v>
      </c>
      <c r="F3556" t="s">
        <v>51</v>
      </c>
      <c r="G3556" s="1">
        <f>qry_ProdData2_PDI_Cash_Exception_Application[[#This Row],[INSERT DATE]]+1</f>
        <v>45194.257071759261</v>
      </c>
      <c r="H3556" t="str">
        <f>VLOOKUP(qry_ProdData2_PDI_Cash_Exception_Application[[#This Row],[MARKET No]],'Site Allocation'!$B$2:$C$37,2,FALSE)</f>
        <v>Analyst4</v>
      </c>
      <c r="I3556" s="4">
        <f t="shared" ca="1" si="55"/>
        <v>45203</v>
      </c>
      <c r="J3556" s="42">
        <f ca="1">TODAY()-qry_ProdData2_PDI_Cash_Exception_Application[[#This Row],[INSERT DATE]]</f>
        <v>9.7429282407392748</v>
      </c>
      <c r="K35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56">
        <f ca="1">qry_ProdData2_PDI_Cash_Exception_Application[[#This Row],[TODAY]]-qry_ProdData2_PDI_Cash_Exception_Application[[#This Row],[CHANGED ON]]</f>
        <v>8.7429282407392748</v>
      </c>
      <c r="M3556">
        <f ca="1">qry_ProdData2_PDI_Cash_Exception_Application[[#This Row],[TODAY]]-qry_ProdData2_PDI_Cash_Exception_Application[[#This Row],[CHANGED ON]]</f>
        <v>8.7429282407392748</v>
      </c>
      <c r="N3556">
        <f ca="1">qry_ProdData2_PDI_Cash_Exception_Application[[#This Row],[TODAY]]-qry_ProdData2_PDI_Cash_Exception_Application[[#This Row],[CHANGED ON]]</f>
        <v>8.7429282407392748</v>
      </c>
    </row>
    <row r="3557" spans="1:14" x14ac:dyDescent="0.35">
      <c r="A3557">
        <v>1030</v>
      </c>
      <c r="B3557" t="s">
        <v>84</v>
      </c>
      <c r="C3557" s="1">
        <v>45194.257071759261</v>
      </c>
      <c r="D3557" t="str">
        <f ca="1">VLOOKUP(qry_ProdData2_PDI_Cash_Exception_Application[[#This Row],[TYPE]],#REF!,2,FALSE)</f>
        <v>type24</v>
      </c>
      <c r="E3557">
        <v>1149.3499999999999</v>
      </c>
      <c r="F3557" t="str">
        <f>qry_ProdData2_PDI_Cash_Exception_Application[[#This Row],[ANALYST]]</f>
        <v>Analyst6</v>
      </c>
      <c r="G3557" s="1">
        <f>qry_ProdData2_PDI_Cash_Exception_Application[[#This Row],[INSERT DATE]]+2</f>
        <v>45196.257071759261</v>
      </c>
      <c r="H3557" t="str">
        <f>VLOOKUP(qry_ProdData2_PDI_Cash_Exception_Application[[#This Row],[MARKET No]],'Site Allocation'!$B$2:$C$37,2,FALSE)</f>
        <v>Analyst6</v>
      </c>
      <c r="I3557" s="4">
        <f t="shared" ca="1" si="55"/>
        <v>45203</v>
      </c>
      <c r="J3557" s="42">
        <f ca="1">TODAY()-qry_ProdData2_PDI_Cash_Exception_Application[[#This Row],[INSERT DATE]]</f>
        <v>8.7429282407392748</v>
      </c>
      <c r="K35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57">
        <f ca="1">qry_ProdData2_PDI_Cash_Exception_Application[[#This Row],[TODAY]]-qry_ProdData2_PDI_Cash_Exception_Application[[#This Row],[CHANGED ON]]</f>
        <v>6.7429282407392748</v>
      </c>
      <c r="M3557">
        <f ca="1">qry_ProdData2_PDI_Cash_Exception_Application[[#This Row],[TODAY]]-qry_ProdData2_PDI_Cash_Exception_Application[[#This Row],[CHANGED ON]]</f>
        <v>6.7429282407392748</v>
      </c>
      <c r="N3557">
        <f ca="1">qry_ProdData2_PDI_Cash_Exception_Application[[#This Row],[TODAY]]-qry_ProdData2_PDI_Cash_Exception_Application[[#This Row],[CHANGED ON]]</f>
        <v>6.7429282407392748</v>
      </c>
    </row>
    <row r="3558" spans="1:14" x14ac:dyDescent="0.35">
      <c r="A3558">
        <v>1019</v>
      </c>
      <c r="B3558" t="s">
        <v>73</v>
      </c>
      <c r="C3558" s="1">
        <v>45195.257071759261</v>
      </c>
      <c r="D3558" t="str">
        <f ca="1">VLOOKUP(qry_ProdData2_PDI_Cash_Exception_Application[[#This Row],[TYPE]],#REF!,2,FALSE)</f>
        <v>type40</v>
      </c>
      <c r="E3558">
        <v>-398.78</v>
      </c>
      <c r="F3558" t="s">
        <v>51</v>
      </c>
      <c r="G3558" s="1">
        <f>qry_ProdData2_PDI_Cash_Exception_Application[[#This Row],[INSERT DATE]]+2</f>
        <v>45197.257071759261</v>
      </c>
      <c r="H3558" t="str">
        <f>VLOOKUP(qry_ProdData2_PDI_Cash_Exception_Application[[#This Row],[MARKET No]],'Site Allocation'!$B$2:$C$37,2,FALSE)</f>
        <v>Analyst4</v>
      </c>
      <c r="I3558" s="4">
        <f t="shared" ca="1" si="55"/>
        <v>45203</v>
      </c>
      <c r="J3558" s="42">
        <f ca="1">TODAY()-qry_ProdData2_PDI_Cash_Exception_Application[[#This Row],[INSERT DATE]]</f>
        <v>7.7429282407392748</v>
      </c>
      <c r="K35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58">
        <f ca="1">qry_ProdData2_PDI_Cash_Exception_Application[[#This Row],[TODAY]]-qry_ProdData2_PDI_Cash_Exception_Application[[#This Row],[CHANGED ON]]</f>
        <v>5.7429282407392748</v>
      </c>
      <c r="M3558">
        <f ca="1">qry_ProdData2_PDI_Cash_Exception_Application[[#This Row],[TODAY]]-qry_ProdData2_PDI_Cash_Exception_Application[[#This Row],[CHANGED ON]]</f>
        <v>5.7429282407392748</v>
      </c>
      <c r="N3558">
        <f ca="1">qry_ProdData2_PDI_Cash_Exception_Application[[#This Row],[TODAY]]-qry_ProdData2_PDI_Cash_Exception_Application[[#This Row],[CHANGED ON]]</f>
        <v>5.7429282407392748</v>
      </c>
    </row>
    <row r="3559" spans="1:14" x14ac:dyDescent="0.35">
      <c r="A3559">
        <v>1002</v>
      </c>
      <c r="B3559" t="s">
        <v>56</v>
      </c>
      <c r="C3559" s="1">
        <v>45196.257071759261</v>
      </c>
      <c r="D3559" t="str">
        <f ca="1">VLOOKUP(qry_ProdData2_PDI_Cash_Exception_Application[[#This Row],[TYPE]],#REF!,2,FALSE)</f>
        <v>type40</v>
      </c>
      <c r="E3559">
        <v>3</v>
      </c>
      <c r="F3559" t="s">
        <v>52</v>
      </c>
      <c r="G3559" s="1">
        <f>qry_ProdData2_PDI_Cash_Exception_Application[[#This Row],[INSERT DATE]]+2</f>
        <v>45198.257071759261</v>
      </c>
      <c r="H3559" t="str">
        <f>VLOOKUP(qry_ProdData2_PDI_Cash_Exception_Application[[#This Row],[MARKET No]],'Site Allocation'!$B$2:$C$37,2,FALSE)</f>
        <v>Analyst1</v>
      </c>
      <c r="I3559" s="4">
        <f t="shared" ca="1" si="55"/>
        <v>45203</v>
      </c>
      <c r="J3559" s="42">
        <f ca="1">TODAY()-qry_ProdData2_PDI_Cash_Exception_Application[[#This Row],[INSERT DATE]]</f>
        <v>6.7429282407392748</v>
      </c>
      <c r="K35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59">
        <f ca="1">qry_ProdData2_PDI_Cash_Exception_Application[[#This Row],[TODAY]]-qry_ProdData2_PDI_Cash_Exception_Application[[#This Row],[CHANGED ON]]</f>
        <v>4.7429282407392748</v>
      </c>
      <c r="M3559">
        <f ca="1">qry_ProdData2_PDI_Cash_Exception_Application[[#This Row],[TODAY]]-qry_ProdData2_PDI_Cash_Exception_Application[[#This Row],[CHANGED ON]]</f>
        <v>4.7429282407392748</v>
      </c>
      <c r="N3559">
        <f ca="1">qry_ProdData2_PDI_Cash_Exception_Application[[#This Row],[TODAY]]-qry_ProdData2_PDI_Cash_Exception_Application[[#This Row],[CHANGED ON]]</f>
        <v>4.7429282407392748</v>
      </c>
    </row>
    <row r="3560" spans="1:14" x14ac:dyDescent="0.35">
      <c r="A3560">
        <v>1026</v>
      </c>
      <c r="B3560" t="s">
        <v>80</v>
      </c>
      <c r="C3560" s="1">
        <v>45193.257071759261</v>
      </c>
      <c r="D3560" t="str">
        <f ca="1">VLOOKUP(qry_ProdData2_PDI_Cash_Exception_Application[[#This Row],[TYPE]],#REF!,2,FALSE)</f>
        <v>type40</v>
      </c>
      <c r="E3560">
        <v>-337.45</v>
      </c>
      <c r="F3560" t="s">
        <v>48</v>
      </c>
      <c r="G3560" s="1">
        <f>qry_ProdData2_PDI_Cash_Exception_Application[[#This Row],[INSERT DATE]]+1</f>
        <v>45194.257071759261</v>
      </c>
      <c r="H3560" t="str">
        <f>VLOOKUP(qry_ProdData2_PDI_Cash_Exception_Application[[#This Row],[MARKET No]],'Site Allocation'!$B$2:$C$37,2,FALSE)</f>
        <v>Analyst5</v>
      </c>
      <c r="I3560" s="4">
        <f t="shared" ca="1" si="55"/>
        <v>45203</v>
      </c>
      <c r="J3560" s="42">
        <f ca="1">TODAY()-qry_ProdData2_PDI_Cash_Exception_Application[[#This Row],[INSERT DATE]]</f>
        <v>9.7429282407392748</v>
      </c>
      <c r="K35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60">
        <f ca="1">qry_ProdData2_PDI_Cash_Exception_Application[[#This Row],[TODAY]]-qry_ProdData2_PDI_Cash_Exception_Application[[#This Row],[CHANGED ON]]</f>
        <v>8.7429282407392748</v>
      </c>
      <c r="M3560">
        <f ca="1">qry_ProdData2_PDI_Cash_Exception_Application[[#This Row],[TODAY]]-qry_ProdData2_PDI_Cash_Exception_Application[[#This Row],[CHANGED ON]]</f>
        <v>8.7429282407392748</v>
      </c>
      <c r="N3560">
        <f ca="1">qry_ProdData2_PDI_Cash_Exception_Application[[#This Row],[TODAY]]-qry_ProdData2_PDI_Cash_Exception_Application[[#This Row],[CHANGED ON]]</f>
        <v>8.7429282407392748</v>
      </c>
    </row>
    <row r="3561" spans="1:14" x14ac:dyDescent="0.35">
      <c r="A3561">
        <v>1026</v>
      </c>
      <c r="B3561" t="s">
        <v>80</v>
      </c>
      <c r="C3561" s="1">
        <v>45189.257071759261</v>
      </c>
      <c r="D3561" t="str">
        <f ca="1">VLOOKUP(qry_ProdData2_PDI_Cash_Exception_Application[[#This Row],[TYPE]],#REF!,2,FALSE)</f>
        <v>type40</v>
      </c>
      <c r="E3561">
        <v>12894.1</v>
      </c>
      <c r="G3561" s="1">
        <f>qry_ProdData2_PDI_Cash_Exception_Application[[#This Row],[INSERT DATE]]+2</f>
        <v>45191.257071759261</v>
      </c>
      <c r="H3561" t="str">
        <f>VLOOKUP(qry_ProdData2_PDI_Cash_Exception_Application[[#This Row],[MARKET No]],'Site Allocation'!$B$2:$C$37,2,FALSE)</f>
        <v>Analyst5</v>
      </c>
      <c r="I3561" s="4">
        <f t="shared" ca="1" si="55"/>
        <v>45203</v>
      </c>
      <c r="J3561" s="42">
        <f ca="1">TODAY()-qry_ProdData2_PDI_Cash_Exception_Application[[#This Row],[INSERT DATE]]</f>
        <v>13.742928240739275</v>
      </c>
      <c r="K35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61">
        <f ca="1">qry_ProdData2_PDI_Cash_Exception_Application[[#This Row],[TODAY]]-qry_ProdData2_PDI_Cash_Exception_Application[[#This Row],[CHANGED ON]]</f>
        <v>11.742928240739275</v>
      </c>
      <c r="M3561">
        <f ca="1">qry_ProdData2_PDI_Cash_Exception_Application[[#This Row],[TODAY]]-qry_ProdData2_PDI_Cash_Exception_Application[[#This Row],[CHANGED ON]]</f>
        <v>11.742928240739275</v>
      </c>
      <c r="N3561">
        <f ca="1">qry_ProdData2_PDI_Cash_Exception_Application[[#This Row],[TODAY]]-qry_ProdData2_PDI_Cash_Exception_Application[[#This Row],[CHANGED ON]]</f>
        <v>11.742928240739275</v>
      </c>
    </row>
    <row r="3562" spans="1:14" x14ac:dyDescent="0.35">
      <c r="A3562">
        <v>1018</v>
      </c>
      <c r="B3562" t="s">
        <v>72</v>
      </c>
      <c r="C3562" s="1">
        <v>45180.257071759261</v>
      </c>
      <c r="D3562" t="str">
        <f ca="1">VLOOKUP(qry_ProdData2_PDI_Cash_Exception_Application[[#This Row],[TYPE]],#REF!,2,FALSE)</f>
        <v>type40</v>
      </c>
      <c r="E3562">
        <v>-373.48</v>
      </c>
      <c r="F3562" t="s">
        <v>50</v>
      </c>
      <c r="G3562" s="1">
        <f>qry_ProdData2_PDI_Cash_Exception_Application[[#This Row],[INSERT DATE]]+2</f>
        <v>45182.257071759261</v>
      </c>
      <c r="H3562" t="str">
        <f>VLOOKUP(qry_ProdData2_PDI_Cash_Exception_Application[[#This Row],[MARKET No]],'Site Allocation'!$B$2:$C$37,2,FALSE)</f>
        <v>Analyst4</v>
      </c>
      <c r="I3562" s="4">
        <f t="shared" ca="1" si="55"/>
        <v>45203</v>
      </c>
      <c r="J3562" s="42">
        <f ca="1">TODAY()-qry_ProdData2_PDI_Cash_Exception_Application[[#This Row],[INSERT DATE]]</f>
        <v>22.742928240739275</v>
      </c>
      <c r="K35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62">
        <f ca="1">qry_ProdData2_PDI_Cash_Exception_Application[[#This Row],[TODAY]]-qry_ProdData2_PDI_Cash_Exception_Application[[#This Row],[CHANGED ON]]</f>
        <v>20.742928240739275</v>
      </c>
      <c r="M3562">
        <f ca="1">qry_ProdData2_PDI_Cash_Exception_Application[[#This Row],[TODAY]]-qry_ProdData2_PDI_Cash_Exception_Application[[#This Row],[CHANGED ON]]</f>
        <v>20.742928240739275</v>
      </c>
      <c r="N3562">
        <f ca="1">qry_ProdData2_PDI_Cash_Exception_Application[[#This Row],[TODAY]]-qry_ProdData2_PDI_Cash_Exception_Application[[#This Row],[CHANGED ON]]</f>
        <v>20.742928240739275</v>
      </c>
    </row>
    <row r="3563" spans="1:14" x14ac:dyDescent="0.35">
      <c r="A3563">
        <v>1005</v>
      </c>
      <c r="B3563" t="s">
        <v>59</v>
      </c>
      <c r="C3563" s="1">
        <v>45181.257071759261</v>
      </c>
      <c r="D3563" t="str">
        <f ca="1">VLOOKUP(qry_ProdData2_PDI_Cash_Exception_Application[[#This Row],[TYPE]],#REF!,2,FALSE)</f>
        <v>type26</v>
      </c>
      <c r="E3563">
        <v>146.12</v>
      </c>
      <c r="F3563" t="s">
        <v>50</v>
      </c>
      <c r="G3563" s="1">
        <f>qry_ProdData2_PDI_Cash_Exception_Application[[#This Row],[INSERT DATE]]+2</f>
        <v>45183.257071759261</v>
      </c>
      <c r="H3563" t="str">
        <f>VLOOKUP(qry_ProdData2_PDI_Cash_Exception_Application[[#This Row],[MARKET No]],'Site Allocation'!$B$2:$C$37,2,FALSE)</f>
        <v>Analyst1</v>
      </c>
      <c r="I3563" s="4">
        <f t="shared" ca="1" si="55"/>
        <v>45203</v>
      </c>
      <c r="J3563" s="42">
        <f ca="1">TODAY()-qry_ProdData2_PDI_Cash_Exception_Application[[#This Row],[INSERT DATE]]</f>
        <v>21.742928240739275</v>
      </c>
      <c r="K35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63">
        <f ca="1">qry_ProdData2_PDI_Cash_Exception_Application[[#This Row],[TODAY]]-qry_ProdData2_PDI_Cash_Exception_Application[[#This Row],[CHANGED ON]]</f>
        <v>19.742928240739275</v>
      </c>
      <c r="M3563">
        <f ca="1">qry_ProdData2_PDI_Cash_Exception_Application[[#This Row],[TODAY]]-qry_ProdData2_PDI_Cash_Exception_Application[[#This Row],[CHANGED ON]]</f>
        <v>19.742928240739275</v>
      </c>
      <c r="N3563">
        <f ca="1">qry_ProdData2_PDI_Cash_Exception_Application[[#This Row],[TODAY]]-qry_ProdData2_PDI_Cash_Exception_Application[[#This Row],[CHANGED ON]]</f>
        <v>19.742928240739275</v>
      </c>
    </row>
    <row r="3564" spans="1:14" x14ac:dyDescent="0.35">
      <c r="A3564">
        <v>1010</v>
      </c>
      <c r="B3564" t="s">
        <v>64</v>
      </c>
      <c r="C3564" s="1">
        <v>45195.257071759261</v>
      </c>
      <c r="D3564" t="str">
        <f ca="1">VLOOKUP(qry_ProdData2_PDI_Cash_Exception_Application[[#This Row],[TYPE]],#REF!,2,FALSE)</f>
        <v>type40</v>
      </c>
      <c r="E3564">
        <v>-429.38</v>
      </c>
      <c r="F3564" t="s">
        <v>48</v>
      </c>
      <c r="G3564" s="1">
        <f>qry_ProdData2_PDI_Cash_Exception_Application[[#This Row],[INSERT DATE]]+1</f>
        <v>45196.257071759261</v>
      </c>
      <c r="H3564" t="str">
        <f>VLOOKUP(qry_ProdData2_PDI_Cash_Exception_Application[[#This Row],[MARKET No]],'Site Allocation'!$B$2:$C$37,2,FALSE)</f>
        <v>Analyst2</v>
      </c>
      <c r="I3564" s="4">
        <f t="shared" ca="1" si="55"/>
        <v>45203</v>
      </c>
      <c r="J3564" s="42">
        <f ca="1">TODAY()-qry_ProdData2_PDI_Cash_Exception_Application[[#This Row],[INSERT DATE]]</f>
        <v>7.7429282407392748</v>
      </c>
      <c r="K35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64">
        <f ca="1">qry_ProdData2_PDI_Cash_Exception_Application[[#This Row],[TODAY]]-qry_ProdData2_PDI_Cash_Exception_Application[[#This Row],[CHANGED ON]]</f>
        <v>6.7429282407392748</v>
      </c>
      <c r="M3564">
        <f ca="1">qry_ProdData2_PDI_Cash_Exception_Application[[#This Row],[TODAY]]-qry_ProdData2_PDI_Cash_Exception_Application[[#This Row],[CHANGED ON]]</f>
        <v>6.7429282407392748</v>
      </c>
      <c r="N3564">
        <f ca="1">qry_ProdData2_PDI_Cash_Exception_Application[[#This Row],[TODAY]]-qry_ProdData2_PDI_Cash_Exception_Application[[#This Row],[CHANGED ON]]</f>
        <v>6.7429282407392748</v>
      </c>
    </row>
    <row r="3565" spans="1:14" x14ac:dyDescent="0.35">
      <c r="A3565">
        <v>1016</v>
      </c>
      <c r="B3565" t="s">
        <v>70</v>
      </c>
      <c r="C3565" s="1">
        <v>45182.257071759261</v>
      </c>
      <c r="D3565" t="str">
        <f ca="1">VLOOKUP(qry_ProdData2_PDI_Cash_Exception_Application[[#This Row],[TYPE]],#REF!,2,FALSE)</f>
        <v>type40</v>
      </c>
      <c r="E3565">
        <v>3591.51</v>
      </c>
      <c r="F3565" t="s">
        <v>50</v>
      </c>
      <c r="G3565" s="1">
        <f>qry_ProdData2_PDI_Cash_Exception_Application[[#This Row],[INSERT DATE]]+2</f>
        <v>45184.257071759261</v>
      </c>
      <c r="H3565" t="str">
        <f>VLOOKUP(qry_ProdData2_PDI_Cash_Exception_Application[[#This Row],[MARKET No]],'Site Allocation'!$B$2:$C$37,2,FALSE)</f>
        <v>Analyst3</v>
      </c>
      <c r="I3565" s="4">
        <f t="shared" ca="1" si="55"/>
        <v>45203</v>
      </c>
      <c r="J3565" s="42">
        <f ca="1">TODAY()-qry_ProdData2_PDI_Cash_Exception_Application[[#This Row],[INSERT DATE]]</f>
        <v>20.742928240739275</v>
      </c>
      <c r="K35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65">
        <f ca="1">qry_ProdData2_PDI_Cash_Exception_Application[[#This Row],[TODAY]]-qry_ProdData2_PDI_Cash_Exception_Application[[#This Row],[CHANGED ON]]</f>
        <v>18.742928240739275</v>
      </c>
      <c r="M3565">
        <f ca="1">qry_ProdData2_PDI_Cash_Exception_Application[[#This Row],[TODAY]]-qry_ProdData2_PDI_Cash_Exception_Application[[#This Row],[CHANGED ON]]</f>
        <v>18.742928240739275</v>
      </c>
      <c r="N3565">
        <f ca="1">qry_ProdData2_PDI_Cash_Exception_Application[[#This Row],[TODAY]]-qry_ProdData2_PDI_Cash_Exception_Application[[#This Row],[CHANGED ON]]</f>
        <v>18.742928240739275</v>
      </c>
    </row>
    <row r="3566" spans="1:14" x14ac:dyDescent="0.35">
      <c r="A3566">
        <v>1012</v>
      </c>
      <c r="B3566" t="s">
        <v>66</v>
      </c>
      <c r="C3566" s="1">
        <v>45194.257071759261</v>
      </c>
      <c r="D3566" t="str">
        <f ca="1">VLOOKUP(qry_ProdData2_PDI_Cash_Exception_Application[[#This Row],[TYPE]],#REF!,2,FALSE)</f>
        <v>type17</v>
      </c>
      <c r="E3566">
        <v>400.47</v>
      </c>
      <c r="F3566" t="s">
        <v>51</v>
      </c>
      <c r="G3566" s="1">
        <f>qry_ProdData2_PDI_Cash_Exception_Application[[#This Row],[INSERT DATE]]+2</f>
        <v>45196.257071759261</v>
      </c>
      <c r="H3566" t="str">
        <f>VLOOKUP(qry_ProdData2_PDI_Cash_Exception_Application[[#This Row],[MARKET No]],'Site Allocation'!$B$2:$C$37,2,FALSE)</f>
        <v>Analyst3</v>
      </c>
      <c r="I3566" s="4">
        <f t="shared" ca="1" si="55"/>
        <v>45203</v>
      </c>
      <c r="J3566" s="42">
        <f ca="1">TODAY()-qry_ProdData2_PDI_Cash_Exception_Application[[#This Row],[INSERT DATE]]</f>
        <v>8.7429282407392748</v>
      </c>
      <c r="K35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66">
        <f ca="1">qry_ProdData2_PDI_Cash_Exception_Application[[#This Row],[TODAY]]-qry_ProdData2_PDI_Cash_Exception_Application[[#This Row],[CHANGED ON]]</f>
        <v>6.7429282407392748</v>
      </c>
      <c r="M3566">
        <f ca="1">qry_ProdData2_PDI_Cash_Exception_Application[[#This Row],[TODAY]]-qry_ProdData2_PDI_Cash_Exception_Application[[#This Row],[CHANGED ON]]</f>
        <v>6.7429282407392748</v>
      </c>
      <c r="N3566">
        <f ca="1">qry_ProdData2_PDI_Cash_Exception_Application[[#This Row],[TODAY]]-qry_ProdData2_PDI_Cash_Exception_Application[[#This Row],[CHANGED ON]]</f>
        <v>6.7429282407392748</v>
      </c>
    </row>
    <row r="3567" spans="1:14" x14ac:dyDescent="0.35">
      <c r="A3567">
        <v>1020</v>
      </c>
      <c r="B3567" t="s">
        <v>74</v>
      </c>
      <c r="C3567" s="1">
        <v>45195.257071759261</v>
      </c>
      <c r="D3567" t="str">
        <f ca="1">VLOOKUP(qry_ProdData2_PDI_Cash_Exception_Application[[#This Row],[TYPE]],#REF!,2,FALSE)</f>
        <v>type5</v>
      </c>
      <c r="E3567">
        <v>676</v>
      </c>
      <c r="F3567" t="s">
        <v>48</v>
      </c>
      <c r="G3567" s="1">
        <f>qry_ProdData2_PDI_Cash_Exception_Application[[#This Row],[INSERT DATE]]+7</f>
        <v>45202.257071759261</v>
      </c>
      <c r="H3567" t="str">
        <f>VLOOKUP(qry_ProdData2_PDI_Cash_Exception_Application[[#This Row],[MARKET No]],'Site Allocation'!$B$2:$C$37,2,FALSE)</f>
        <v>Analyst4</v>
      </c>
      <c r="I3567" s="4">
        <f t="shared" ca="1" si="55"/>
        <v>45203</v>
      </c>
      <c r="J3567" s="42">
        <f ca="1">TODAY()-qry_ProdData2_PDI_Cash_Exception_Application[[#This Row],[INSERT DATE]]</f>
        <v>7.7429282407392748</v>
      </c>
      <c r="K35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67">
        <f ca="1">qry_ProdData2_PDI_Cash_Exception_Application[[#This Row],[TODAY]]-qry_ProdData2_PDI_Cash_Exception_Application[[#This Row],[CHANGED ON]]</f>
        <v>0.74292824073927477</v>
      </c>
      <c r="M3567">
        <f ca="1">qry_ProdData2_PDI_Cash_Exception_Application[[#This Row],[TODAY]]-qry_ProdData2_PDI_Cash_Exception_Application[[#This Row],[CHANGED ON]]</f>
        <v>0.74292824073927477</v>
      </c>
      <c r="N3567">
        <f ca="1">qry_ProdData2_PDI_Cash_Exception_Application[[#This Row],[TODAY]]-qry_ProdData2_PDI_Cash_Exception_Application[[#This Row],[CHANGED ON]]</f>
        <v>0.74292824073927477</v>
      </c>
    </row>
    <row r="3568" spans="1:14" x14ac:dyDescent="0.35">
      <c r="A3568">
        <v>1023</v>
      </c>
      <c r="B3568" t="s">
        <v>77</v>
      </c>
      <c r="C3568" s="1">
        <v>45184.257071759261</v>
      </c>
      <c r="D3568" t="str">
        <f ca="1">VLOOKUP(qry_ProdData2_PDI_Cash_Exception_Application[[#This Row],[TYPE]],#REF!,2,FALSE)</f>
        <v>type40</v>
      </c>
      <c r="E3568">
        <v>381.37</v>
      </c>
      <c r="F3568" t="s">
        <v>50</v>
      </c>
      <c r="G3568" s="1">
        <f>qry_ProdData2_PDI_Cash_Exception_Application[[#This Row],[INSERT DATE]]+5</f>
        <v>45189.257071759261</v>
      </c>
      <c r="H3568" t="str">
        <f>VLOOKUP(qry_ProdData2_PDI_Cash_Exception_Application[[#This Row],[MARKET No]],'Site Allocation'!$B$2:$C$37,2,FALSE)</f>
        <v>Analyst4</v>
      </c>
      <c r="I3568" s="4">
        <f t="shared" ca="1" si="55"/>
        <v>45203</v>
      </c>
      <c r="J3568" s="42">
        <f ca="1">TODAY()-qry_ProdData2_PDI_Cash_Exception_Application[[#This Row],[INSERT DATE]]</f>
        <v>18.742928240739275</v>
      </c>
      <c r="K35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68">
        <f ca="1">qry_ProdData2_PDI_Cash_Exception_Application[[#This Row],[TODAY]]-qry_ProdData2_PDI_Cash_Exception_Application[[#This Row],[CHANGED ON]]</f>
        <v>13.742928240739275</v>
      </c>
      <c r="M3568">
        <f ca="1">qry_ProdData2_PDI_Cash_Exception_Application[[#This Row],[TODAY]]-qry_ProdData2_PDI_Cash_Exception_Application[[#This Row],[CHANGED ON]]</f>
        <v>13.742928240739275</v>
      </c>
      <c r="N3568">
        <f ca="1">qry_ProdData2_PDI_Cash_Exception_Application[[#This Row],[TODAY]]-qry_ProdData2_PDI_Cash_Exception_Application[[#This Row],[CHANGED ON]]</f>
        <v>13.742928240739275</v>
      </c>
    </row>
    <row r="3569" spans="1:14" x14ac:dyDescent="0.35">
      <c r="A3569">
        <v>1000</v>
      </c>
      <c r="B3569" t="s">
        <v>54</v>
      </c>
      <c r="C3569" s="1">
        <v>45184.257071759261</v>
      </c>
      <c r="D3569" t="str">
        <f ca="1">VLOOKUP(qry_ProdData2_PDI_Cash_Exception_Application[[#This Row],[TYPE]],#REF!,2,FALSE)</f>
        <v>type10</v>
      </c>
      <c r="E3569">
        <v>71.349999999999994</v>
      </c>
      <c r="F3569" t="s">
        <v>50</v>
      </c>
      <c r="G3569" s="1">
        <f>qry_ProdData2_PDI_Cash_Exception_Application[[#This Row],[INSERT DATE]]+5</f>
        <v>45189.257071759261</v>
      </c>
      <c r="H3569" t="str">
        <f>VLOOKUP(qry_ProdData2_PDI_Cash_Exception_Application[[#This Row],[MARKET No]],'Site Allocation'!$B$2:$C$37,2,FALSE)</f>
        <v>Analyst1</v>
      </c>
      <c r="I3569" s="4">
        <f t="shared" ca="1" si="55"/>
        <v>45203</v>
      </c>
      <c r="J3569" s="42">
        <f ca="1">TODAY()-qry_ProdData2_PDI_Cash_Exception_Application[[#This Row],[INSERT DATE]]</f>
        <v>18.742928240739275</v>
      </c>
      <c r="K35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69">
        <f ca="1">qry_ProdData2_PDI_Cash_Exception_Application[[#This Row],[TODAY]]-qry_ProdData2_PDI_Cash_Exception_Application[[#This Row],[CHANGED ON]]</f>
        <v>13.742928240739275</v>
      </c>
      <c r="M3569">
        <f ca="1">qry_ProdData2_PDI_Cash_Exception_Application[[#This Row],[TODAY]]-qry_ProdData2_PDI_Cash_Exception_Application[[#This Row],[CHANGED ON]]</f>
        <v>13.742928240739275</v>
      </c>
      <c r="N3569">
        <f ca="1">qry_ProdData2_PDI_Cash_Exception_Application[[#This Row],[TODAY]]-qry_ProdData2_PDI_Cash_Exception_Application[[#This Row],[CHANGED ON]]</f>
        <v>13.742928240739275</v>
      </c>
    </row>
    <row r="3570" spans="1:14" x14ac:dyDescent="0.35">
      <c r="A3570">
        <v>1032</v>
      </c>
      <c r="B3570" t="s">
        <v>86</v>
      </c>
      <c r="C3570" s="1">
        <v>45185.257071759261</v>
      </c>
      <c r="D3570" t="str">
        <f ca="1">VLOOKUP(qry_ProdData2_PDI_Cash_Exception_Application[[#This Row],[TYPE]],#REF!,2,FALSE)</f>
        <v>type40</v>
      </c>
      <c r="E3570">
        <v>1</v>
      </c>
      <c r="F3570" t="s">
        <v>50</v>
      </c>
      <c r="G3570" s="1">
        <f>qry_ProdData2_PDI_Cash_Exception_Application[[#This Row],[INSERT DATE]]+5</f>
        <v>45190.257071759261</v>
      </c>
      <c r="H3570" t="str">
        <f>VLOOKUP(qry_ProdData2_PDI_Cash_Exception_Application[[#This Row],[MARKET No]],'Site Allocation'!$B$2:$C$37,2,FALSE)</f>
        <v>Analyst6</v>
      </c>
      <c r="I3570" s="4">
        <f t="shared" ca="1" si="55"/>
        <v>45203</v>
      </c>
      <c r="J3570" s="42">
        <f ca="1">TODAY()-qry_ProdData2_PDI_Cash_Exception_Application[[#This Row],[INSERT DATE]]</f>
        <v>17.742928240739275</v>
      </c>
      <c r="K35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70">
        <f ca="1">qry_ProdData2_PDI_Cash_Exception_Application[[#This Row],[TODAY]]-qry_ProdData2_PDI_Cash_Exception_Application[[#This Row],[CHANGED ON]]</f>
        <v>12.742928240739275</v>
      </c>
      <c r="M3570">
        <f ca="1">qry_ProdData2_PDI_Cash_Exception_Application[[#This Row],[TODAY]]-qry_ProdData2_PDI_Cash_Exception_Application[[#This Row],[CHANGED ON]]</f>
        <v>12.742928240739275</v>
      </c>
      <c r="N3570">
        <f ca="1">qry_ProdData2_PDI_Cash_Exception_Application[[#This Row],[TODAY]]-qry_ProdData2_PDI_Cash_Exception_Application[[#This Row],[CHANGED ON]]</f>
        <v>12.742928240739275</v>
      </c>
    </row>
    <row r="3571" spans="1:14" x14ac:dyDescent="0.35">
      <c r="A3571">
        <v>1013</v>
      </c>
      <c r="B3571" t="s">
        <v>67</v>
      </c>
      <c r="C3571" s="1">
        <v>45195.257071759261</v>
      </c>
      <c r="D3571" t="str">
        <f ca="1">VLOOKUP(qry_ProdData2_PDI_Cash_Exception_Application[[#This Row],[TYPE]],#REF!,2,FALSE)</f>
        <v>type13</v>
      </c>
      <c r="E3571">
        <v>16921.7</v>
      </c>
      <c r="F3571" t="s">
        <v>51</v>
      </c>
      <c r="G3571" s="1">
        <f>qry_ProdData2_PDI_Cash_Exception_Application[[#This Row],[INSERT DATE]]+7</f>
        <v>45202.257071759261</v>
      </c>
      <c r="H3571" t="str">
        <f>VLOOKUP(qry_ProdData2_PDI_Cash_Exception_Application[[#This Row],[MARKET No]],'Site Allocation'!$B$2:$C$37,2,FALSE)</f>
        <v>Analyst3</v>
      </c>
      <c r="I3571" s="4">
        <f t="shared" ca="1" si="55"/>
        <v>45203</v>
      </c>
      <c r="J3571" s="42">
        <f ca="1">TODAY()-qry_ProdData2_PDI_Cash_Exception_Application[[#This Row],[INSERT DATE]]</f>
        <v>7.7429282407392748</v>
      </c>
      <c r="K35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71">
        <f ca="1">qry_ProdData2_PDI_Cash_Exception_Application[[#This Row],[TODAY]]-qry_ProdData2_PDI_Cash_Exception_Application[[#This Row],[CHANGED ON]]</f>
        <v>0.74292824073927477</v>
      </c>
      <c r="M3571">
        <f ca="1">qry_ProdData2_PDI_Cash_Exception_Application[[#This Row],[TODAY]]-qry_ProdData2_PDI_Cash_Exception_Application[[#This Row],[CHANGED ON]]</f>
        <v>0.74292824073927477</v>
      </c>
      <c r="N3571">
        <f ca="1">qry_ProdData2_PDI_Cash_Exception_Application[[#This Row],[TODAY]]-qry_ProdData2_PDI_Cash_Exception_Application[[#This Row],[CHANGED ON]]</f>
        <v>0.74292824073927477</v>
      </c>
    </row>
    <row r="3572" spans="1:14" x14ac:dyDescent="0.35">
      <c r="A3572">
        <v>1033</v>
      </c>
      <c r="B3572" t="s">
        <v>87</v>
      </c>
      <c r="C3572" s="1">
        <v>45186.257071759261</v>
      </c>
      <c r="D3572" t="str">
        <f ca="1">VLOOKUP(qry_ProdData2_PDI_Cash_Exception_Application[[#This Row],[TYPE]],#REF!,2,FALSE)</f>
        <v>type48</v>
      </c>
      <c r="E3572">
        <v>-1977.34</v>
      </c>
      <c r="F3572" t="str">
        <f>qry_ProdData2_PDI_Cash_Exception_Application[[#This Row],[ANALYST]]</f>
        <v>Analyst6</v>
      </c>
      <c r="G3572" s="1">
        <f>qry_ProdData2_PDI_Cash_Exception_Application[[#This Row],[INSERT DATE]]+5</f>
        <v>45191.257071759261</v>
      </c>
      <c r="H3572" t="str">
        <f>VLOOKUP(qry_ProdData2_PDI_Cash_Exception_Application[[#This Row],[MARKET No]],'Site Allocation'!$B$2:$C$37,2,FALSE)</f>
        <v>Analyst6</v>
      </c>
      <c r="I3572" s="4">
        <f t="shared" ca="1" si="55"/>
        <v>45203</v>
      </c>
      <c r="J3572" s="42">
        <f ca="1">TODAY()-qry_ProdData2_PDI_Cash_Exception_Application[[#This Row],[INSERT DATE]]</f>
        <v>16.742928240739275</v>
      </c>
      <c r="K35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72">
        <f ca="1">qry_ProdData2_PDI_Cash_Exception_Application[[#This Row],[TODAY]]-qry_ProdData2_PDI_Cash_Exception_Application[[#This Row],[CHANGED ON]]</f>
        <v>11.742928240739275</v>
      </c>
      <c r="M3572">
        <f ca="1">qry_ProdData2_PDI_Cash_Exception_Application[[#This Row],[TODAY]]-qry_ProdData2_PDI_Cash_Exception_Application[[#This Row],[CHANGED ON]]</f>
        <v>11.742928240739275</v>
      </c>
      <c r="N3572">
        <f ca="1">qry_ProdData2_PDI_Cash_Exception_Application[[#This Row],[TODAY]]-qry_ProdData2_PDI_Cash_Exception_Application[[#This Row],[CHANGED ON]]</f>
        <v>11.742928240739275</v>
      </c>
    </row>
    <row r="3573" spans="1:14" x14ac:dyDescent="0.35">
      <c r="A3573">
        <v>1032</v>
      </c>
      <c r="B3573" t="s">
        <v>86</v>
      </c>
      <c r="C3573" s="1">
        <v>45192.257071759261</v>
      </c>
      <c r="D3573" t="str">
        <f ca="1">VLOOKUP(qry_ProdData2_PDI_Cash_Exception_Application[[#This Row],[TYPE]],#REF!,2,FALSE)</f>
        <v>type40</v>
      </c>
      <c r="E3573">
        <v>-664.68</v>
      </c>
      <c r="G3573" s="1">
        <f>qry_ProdData2_PDI_Cash_Exception_Application[[#This Row],[INSERT DATE]]+5</f>
        <v>45197.257071759261</v>
      </c>
      <c r="H3573" t="str">
        <f>VLOOKUP(qry_ProdData2_PDI_Cash_Exception_Application[[#This Row],[MARKET No]],'Site Allocation'!$B$2:$C$37,2,FALSE)</f>
        <v>Analyst6</v>
      </c>
      <c r="I3573" s="4">
        <f t="shared" ca="1" si="55"/>
        <v>45203</v>
      </c>
      <c r="J3573" s="42">
        <f ca="1">TODAY()-qry_ProdData2_PDI_Cash_Exception_Application[[#This Row],[INSERT DATE]]</f>
        <v>10.742928240739275</v>
      </c>
      <c r="K35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73">
        <f ca="1">qry_ProdData2_PDI_Cash_Exception_Application[[#This Row],[TODAY]]-qry_ProdData2_PDI_Cash_Exception_Application[[#This Row],[CHANGED ON]]</f>
        <v>5.7429282407392748</v>
      </c>
      <c r="M3573">
        <f ca="1">qry_ProdData2_PDI_Cash_Exception_Application[[#This Row],[TODAY]]-qry_ProdData2_PDI_Cash_Exception_Application[[#This Row],[CHANGED ON]]</f>
        <v>5.7429282407392748</v>
      </c>
      <c r="N3573">
        <f ca="1">qry_ProdData2_PDI_Cash_Exception_Application[[#This Row],[TODAY]]-qry_ProdData2_PDI_Cash_Exception_Application[[#This Row],[CHANGED ON]]</f>
        <v>5.7429282407392748</v>
      </c>
    </row>
    <row r="3574" spans="1:14" x14ac:dyDescent="0.35">
      <c r="A3574">
        <v>1011</v>
      </c>
      <c r="B3574" t="s">
        <v>65</v>
      </c>
      <c r="C3574" s="1">
        <v>45193.257071759261</v>
      </c>
      <c r="D3574" t="str">
        <f ca="1">VLOOKUP(qry_ProdData2_PDI_Cash_Exception_Application[[#This Row],[TYPE]],#REF!,2,FALSE)</f>
        <v>type40</v>
      </c>
      <c r="E3574">
        <v>306.58</v>
      </c>
      <c r="F3574" t="s">
        <v>48</v>
      </c>
      <c r="G3574" s="1">
        <f>qry_ProdData2_PDI_Cash_Exception_Application[[#This Row],[INSERT DATE]]+2</f>
        <v>45195.257071759261</v>
      </c>
      <c r="H3574" t="str">
        <f>VLOOKUP(qry_ProdData2_PDI_Cash_Exception_Application[[#This Row],[MARKET No]],'Site Allocation'!$B$2:$C$37,2,FALSE)</f>
        <v>Analyst2</v>
      </c>
      <c r="I3574" s="4">
        <f t="shared" ca="1" si="55"/>
        <v>45203</v>
      </c>
      <c r="J3574" s="42">
        <f ca="1">TODAY()-qry_ProdData2_PDI_Cash_Exception_Application[[#This Row],[INSERT DATE]]</f>
        <v>9.7429282407392748</v>
      </c>
      <c r="K35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74">
        <f ca="1">qry_ProdData2_PDI_Cash_Exception_Application[[#This Row],[TODAY]]-qry_ProdData2_PDI_Cash_Exception_Application[[#This Row],[CHANGED ON]]</f>
        <v>7.7429282407392748</v>
      </c>
      <c r="M3574">
        <f ca="1">qry_ProdData2_PDI_Cash_Exception_Application[[#This Row],[TODAY]]-qry_ProdData2_PDI_Cash_Exception_Application[[#This Row],[CHANGED ON]]</f>
        <v>7.7429282407392748</v>
      </c>
      <c r="N3574">
        <f ca="1">qry_ProdData2_PDI_Cash_Exception_Application[[#This Row],[TODAY]]-qry_ProdData2_PDI_Cash_Exception_Application[[#This Row],[CHANGED ON]]</f>
        <v>7.7429282407392748</v>
      </c>
    </row>
    <row r="3575" spans="1:14" x14ac:dyDescent="0.35">
      <c r="A3575">
        <v>1015</v>
      </c>
      <c r="B3575" t="s">
        <v>69</v>
      </c>
      <c r="C3575" s="1">
        <v>45188.257071759261</v>
      </c>
      <c r="D3575" t="str">
        <f ca="1">VLOOKUP(qry_ProdData2_PDI_Cash_Exception_Application[[#This Row],[TYPE]],#REF!,2,FALSE)</f>
        <v>type40</v>
      </c>
      <c r="E3575">
        <v>-3570.66</v>
      </c>
      <c r="F3575" t="s">
        <v>50</v>
      </c>
      <c r="G3575" s="1">
        <f>qry_ProdData2_PDI_Cash_Exception_Application[[#This Row],[INSERT DATE]]+7</f>
        <v>45195.257071759261</v>
      </c>
      <c r="H3575" t="str">
        <f>VLOOKUP(qry_ProdData2_PDI_Cash_Exception_Application[[#This Row],[MARKET No]],'Site Allocation'!$B$2:$C$37,2,FALSE)</f>
        <v>Analyst3</v>
      </c>
      <c r="I3575" s="4">
        <f t="shared" ca="1" si="55"/>
        <v>45203</v>
      </c>
      <c r="J3575" s="42">
        <f ca="1">TODAY()-qry_ProdData2_PDI_Cash_Exception_Application[[#This Row],[INSERT DATE]]</f>
        <v>14.742928240739275</v>
      </c>
      <c r="K35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75">
        <f ca="1">qry_ProdData2_PDI_Cash_Exception_Application[[#This Row],[TODAY]]-qry_ProdData2_PDI_Cash_Exception_Application[[#This Row],[CHANGED ON]]</f>
        <v>7.7429282407392748</v>
      </c>
      <c r="M3575">
        <f ca="1">qry_ProdData2_PDI_Cash_Exception_Application[[#This Row],[TODAY]]-qry_ProdData2_PDI_Cash_Exception_Application[[#This Row],[CHANGED ON]]</f>
        <v>7.7429282407392748</v>
      </c>
      <c r="N3575">
        <f ca="1">qry_ProdData2_PDI_Cash_Exception_Application[[#This Row],[TODAY]]-qry_ProdData2_PDI_Cash_Exception_Application[[#This Row],[CHANGED ON]]</f>
        <v>7.7429282407392748</v>
      </c>
    </row>
    <row r="3576" spans="1:14" x14ac:dyDescent="0.35">
      <c r="A3576">
        <v>1031</v>
      </c>
      <c r="B3576" t="s">
        <v>85</v>
      </c>
      <c r="C3576" s="1">
        <v>45189.257071759261</v>
      </c>
      <c r="D3576" t="str">
        <f ca="1">VLOOKUP(qry_ProdData2_PDI_Cash_Exception_Application[[#This Row],[TYPE]],#REF!,2,FALSE)</f>
        <v>type18</v>
      </c>
      <c r="E3576">
        <v>380.28</v>
      </c>
      <c r="F3576" t="s">
        <v>52</v>
      </c>
      <c r="G3576" s="1">
        <f>qry_ProdData2_PDI_Cash_Exception_Application[[#This Row],[INSERT DATE]]+7</f>
        <v>45196.257071759261</v>
      </c>
      <c r="H3576" t="str">
        <f>VLOOKUP(qry_ProdData2_PDI_Cash_Exception_Application[[#This Row],[MARKET No]],'Site Allocation'!$B$2:$C$37,2,FALSE)</f>
        <v>Analyst6</v>
      </c>
      <c r="I3576" s="4">
        <f t="shared" ca="1" si="55"/>
        <v>45203</v>
      </c>
      <c r="J3576" s="42">
        <f ca="1">TODAY()-qry_ProdData2_PDI_Cash_Exception_Application[[#This Row],[INSERT DATE]]</f>
        <v>13.742928240739275</v>
      </c>
      <c r="K35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76">
        <f ca="1">qry_ProdData2_PDI_Cash_Exception_Application[[#This Row],[TODAY]]-qry_ProdData2_PDI_Cash_Exception_Application[[#This Row],[CHANGED ON]]</f>
        <v>6.7429282407392748</v>
      </c>
      <c r="M3576">
        <f ca="1">qry_ProdData2_PDI_Cash_Exception_Application[[#This Row],[TODAY]]-qry_ProdData2_PDI_Cash_Exception_Application[[#This Row],[CHANGED ON]]</f>
        <v>6.7429282407392748</v>
      </c>
      <c r="N3576">
        <f ca="1">qry_ProdData2_PDI_Cash_Exception_Application[[#This Row],[TODAY]]-qry_ProdData2_PDI_Cash_Exception_Application[[#This Row],[CHANGED ON]]</f>
        <v>6.7429282407392748</v>
      </c>
    </row>
    <row r="3577" spans="1:14" x14ac:dyDescent="0.35">
      <c r="A3577">
        <v>1006</v>
      </c>
      <c r="B3577" t="s">
        <v>60</v>
      </c>
      <c r="C3577" s="1">
        <v>45189.257071759261</v>
      </c>
      <c r="D3577" t="str">
        <f ca="1">VLOOKUP(qry_ProdData2_PDI_Cash_Exception_Application[[#This Row],[TYPE]],#REF!,2,FALSE)</f>
        <v>type40</v>
      </c>
      <c r="E3577">
        <v>-1732.72</v>
      </c>
      <c r="F3577" t="s">
        <v>50</v>
      </c>
      <c r="G3577" s="1">
        <f>qry_ProdData2_PDI_Cash_Exception_Application[[#This Row],[INSERT DATE]]+7</f>
        <v>45196.257071759261</v>
      </c>
      <c r="H3577" t="str">
        <f>VLOOKUP(qry_ProdData2_PDI_Cash_Exception_Application[[#This Row],[MARKET No]],'Site Allocation'!$B$2:$C$37,2,FALSE)</f>
        <v>Analyst2</v>
      </c>
      <c r="I3577" s="4">
        <f t="shared" ca="1" si="55"/>
        <v>45203</v>
      </c>
      <c r="J3577" s="42">
        <f ca="1">TODAY()-qry_ProdData2_PDI_Cash_Exception_Application[[#This Row],[INSERT DATE]]</f>
        <v>13.742928240739275</v>
      </c>
      <c r="K35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77">
        <f ca="1">qry_ProdData2_PDI_Cash_Exception_Application[[#This Row],[TODAY]]-qry_ProdData2_PDI_Cash_Exception_Application[[#This Row],[CHANGED ON]]</f>
        <v>6.7429282407392748</v>
      </c>
      <c r="M3577">
        <f ca="1">qry_ProdData2_PDI_Cash_Exception_Application[[#This Row],[TODAY]]-qry_ProdData2_PDI_Cash_Exception_Application[[#This Row],[CHANGED ON]]</f>
        <v>6.7429282407392748</v>
      </c>
      <c r="N3577">
        <f ca="1">qry_ProdData2_PDI_Cash_Exception_Application[[#This Row],[TODAY]]-qry_ProdData2_PDI_Cash_Exception_Application[[#This Row],[CHANGED ON]]</f>
        <v>6.7429282407392748</v>
      </c>
    </row>
    <row r="3578" spans="1:14" x14ac:dyDescent="0.35">
      <c r="A3578">
        <v>1008</v>
      </c>
      <c r="B3578" t="s">
        <v>62</v>
      </c>
      <c r="C3578" s="1">
        <v>45190.257071759261</v>
      </c>
      <c r="D3578" t="str">
        <f ca="1">VLOOKUP(qry_ProdData2_PDI_Cash_Exception_Application[[#This Row],[TYPE]],#REF!,2,FALSE)</f>
        <v>type40</v>
      </c>
      <c r="E3578">
        <v>4386.71</v>
      </c>
      <c r="F3578" t="s">
        <v>50</v>
      </c>
      <c r="G3578" s="1">
        <f>qry_ProdData2_PDI_Cash_Exception_Application[[#This Row],[INSERT DATE]]+7</f>
        <v>45197.257071759261</v>
      </c>
      <c r="H3578" t="str">
        <f>VLOOKUP(qry_ProdData2_PDI_Cash_Exception_Application[[#This Row],[MARKET No]],'Site Allocation'!$B$2:$C$37,2,FALSE)</f>
        <v>Analyst2</v>
      </c>
      <c r="I3578" s="4">
        <f t="shared" ca="1" si="55"/>
        <v>45203</v>
      </c>
      <c r="J3578" s="42">
        <f ca="1">TODAY()-qry_ProdData2_PDI_Cash_Exception_Application[[#This Row],[INSERT DATE]]</f>
        <v>12.742928240739275</v>
      </c>
      <c r="K35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78">
        <f ca="1">qry_ProdData2_PDI_Cash_Exception_Application[[#This Row],[TODAY]]-qry_ProdData2_PDI_Cash_Exception_Application[[#This Row],[CHANGED ON]]</f>
        <v>5.7429282407392748</v>
      </c>
      <c r="M3578">
        <f ca="1">qry_ProdData2_PDI_Cash_Exception_Application[[#This Row],[TODAY]]-qry_ProdData2_PDI_Cash_Exception_Application[[#This Row],[CHANGED ON]]</f>
        <v>5.7429282407392748</v>
      </c>
      <c r="N3578">
        <f ca="1">qry_ProdData2_PDI_Cash_Exception_Application[[#This Row],[TODAY]]-qry_ProdData2_PDI_Cash_Exception_Application[[#This Row],[CHANGED ON]]</f>
        <v>5.7429282407392748</v>
      </c>
    </row>
    <row r="3579" spans="1:14" x14ac:dyDescent="0.35">
      <c r="A3579">
        <v>1010</v>
      </c>
      <c r="B3579" t="s">
        <v>64</v>
      </c>
      <c r="C3579" s="1">
        <v>45194.257071759261</v>
      </c>
      <c r="D3579" t="str">
        <f ca="1">VLOOKUP(qry_ProdData2_PDI_Cash_Exception_Application[[#This Row],[TYPE]],#REF!,2,FALSE)</f>
        <v>type13</v>
      </c>
      <c r="E3579">
        <v>57792.37</v>
      </c>
      <c r="F3579" t="s">
        <v>51</v>
      </c>
      <c r="G3579" s="1">
        <f>qry_ProdData2_PDI_Cash_Exception_Application[[#This Row],[INSERT DATE]]+2</f>
        <v>45196.257071759261</v>
      </c>
      <c r="H3579" t="str">
        <f>VLOOKUP(qry_ProdData2_PDI_Cash_Exception_Application[[#This Row],[MARKET No]],'Site Allocation'!$B$2:$C$37,2,FALSE)</f>
        <v>Analyst2</v>
      </c>
      <c r="I3579" s="4">
        <f t="shared" ca="1" si="55"/>
        <v>45203</v>
      </c>
      <c r="J3579" s="42">
        <f ca="1">TODAY()-qry_ProdData2_PDI_Cash_Exception_Application[[#This Row],[INSERT DATE]]</f>
        <v>8.7429282407392748</v>
      </c>
      <c r="K35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79">
        <f ca="1">qry_ProdData2_PDI_Cash_Exception_Application[[#This Row],[TODAY]]-qry_ProdData2_PDI_Cash_Exception_Application[[#This Row],[CHANGED ON]]</f>
        <v>6.7429282407392748</v>
      </c>
      <c r="M3579">
        <f ca="1">qry_ProdData2_PDI_Cash_Exception_Application[[#This Row],[TODAY]]-qry_ProdData2_PDI_Cash_Exception_Application[[#This Row],[CHANGED ON]]</f>
        <v>6.7429282407392748</v>
      </c>
      <c r="N3579">
        <f ca="1">qry_ProdData2_PDI_Cash_Exception_Application[[#This Row],[TODAY]]-qry_ProdData2_PDI_Cash_Exception_Application[[#This Row],[CHANGED ON]]</f>
        <v>6.7429282407392748</v>
      </c>
    </row>
    <row r="3580" spans="1:14" x14ac:dyDescent="0.35">
      <c r="A3580">
        <v>1022</v>
      </c>
      <c r="B3580" t="s">
        <v>76</v>
      </c>
      <c r="C3580" s="1">
        <v>45195.257071759261</v>
      </c>
      <c r="D3580" t="str">
        <f ca="1">VLOOKUP(qry_ProdData2_PDI_Cash_Exception_Application[[#This Row],[TYPE]],#REF!,2,FALSE)</f>
        <v>type40</v>
      </c>
      <c r="E3580">
        <v>370.09</v>
      </c>
      <c r="G3580" s="1">
        <f>qry_ProdData2_PDI_Cash_Exception_Application[[#This Row],[INSERT DATE]]+2</f>
        <v>45197.257071759261</v>
      </c>
      <c r="H3580" t="str">
        <f>VLOOKUP(qry_ProdData2_PDI_Cash_Exception_Application[[#This Row],[MARKET No]],'Site Allocation'!$B$2:$C$37,2,FALSE)</f>
        <v>Analyst4</v>
      </c>
      <c r="I3580" s="4">
        <f t="shared" ca="1" si="55"/>
        <v>45203</v>
      </c>
      <c r="J3580" s="42">
        <f ca="1">TODAY()-qry_ProdData2_PDI_Cash_Exception_Application[[#This Row],[INSERT DATE]]</f>
        <v>7.7429282407392748</v>
      </c>
      <c r="K35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80">
        <f ca="1">qry_ProdData2_PDI_Cash_Exception_Application[[#This Row],[TODAY]]-qry_ProdData2_PDI_Cash_Exception_Application[[#This Row],[CHANGED ON]]</f>
        <v>5.7429282407392748</v>
      </c>
      <c r="M3580">
        <f ca="1">qry_ProdData2_PDI_Cash_Exception_Application[[#This Row],[TODAY]]-qry_ProdData2_PDI_Cash_Exception_Application[[#This Row],[CHANGED ON]]</f>
        <v>5.7429282407392748</v>
      </c>
      <c r="N3580">
        <f ca="1">qry_ProdData2_PDI_Cash_Exception_Application[[#This Row],[TODAY]]-qry_ProdData2_PDI_Cash_Exception_Application[[#This Row],[CHANGED ON]]</f>
        <v>5.7429282407392748</v>
      </c>
    </row>
    <row r="3581" spans="1:14" x14ac:dyDescent="0.35">
      <c r="A3581">
        <v>1012</v>
      </c>
      <c r="B3581" t="s">
        <v>66</v>
      </c>
      <c r="C3581" s="1">
        <v>45192.257071759261</v>
      </c>
      <c r="D3581" t="str">
        <f ca="1">VLOOKUP(qry_ProdData2_PDI_Cash_Exception_Application[[#This Row],[TYPE]],#REF!,2,FALSE)</f>
        <v>type13</v>
      </c>
      <c r="E3581">
        <v>25938.66</v>
      </c>
      <c r="F3581" t="s">
        <v>52</v>
      </c>
      <c r="G3581" s="1">
        <f>qry_ProdData2_PDI_Cash_Exception_Application[[#This Row],[INSERT DATE]]+7</f>
        <v>45199.257071759261</v>
      </c>
      <c r="H3581" t="str">
        <f>VLOOKUP(qry_ProdData2_PDI_Cash_Exception_Application[[#This Row],[MARKET No]],'Site Allocation'!$B$2:$C$37,2,FALSE)</f>
        <v>Analyst3</v>
      </c>
      <c r="I3581" s="4">
        <f t="shared" ca="1" si="55"/>
        <v>45203</v>
      </c>
      <c r="J3581" s="42">
        <f ca="1">TODAY()-qry_ProdData2_PDI_Cash_Exception_Application[[#This Row],[INSERT DATE]]</f>
        <v>10.742928240739275</v>
      </c>
      <c r="K35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81">
        <f ca="1">qry_ProdData2_PDI_Cash_Exception_Application[[#This Row],[TODAY]]-qry_ProdData2_PDI_Cash_Exception_Application[[#This Row],[CHANGED ON]]</f>
        <v>3.7429282407392748</v>
      </c>
      <c r="M3581">
        <f ca="1">qry_ProdData2_PDI_Cash_Exception_Application[[#This Row],[TODAY]]-qry_ProdData2_PDI_Cash_Exception_Application[[#This Row],[CHANGED ON]]</f>
        <v>3.7429282407392748</v>
      </c>
      <c r="N3581">
        <f ca="1">qry_ProdData2_PDI_Cash_Exception_Application[[#This Row],[TODAY]]-qry_ProdData2_PDI_Cash_Exception_Application[[#This Row],[CHANGED ON]]</f>
        <v>3.7429282407392748</v>
      </c>
    </row>
    <row r="3582" spans="1:14" x14ac:dyDescent="0.35">
      <c r="A3582">
        <v>1010</v>
      </c>
      <c r="B3582" t="s">
        <v>64</v>
      </c>
      <c r="C3582" s="1">
        <v>45194.257071759261</v>
      </c>
      <c r="D3582" t="str">
        <f ca="1">VLOOKUP(qry_ProdData2_PDI_Cash_Exception_Application[[#This Row],[TYPE]],#REF!,2,FALSE)</f>
        <v>type40</v>
      </c>
      <c r="E3582">
        <v>377.53</v>
      </c>
      <c r="F3582" t="s">
        <v>48</v>
      </c>
      <c r="G3582" s="1">
        <f>qry_ProdData2_PDI_Cash_Exception_Application[[#This Row],[INSERT DATE]]+2</f>
        <v>45196.257071759261</v>
      </c>
      <c r="H3582" t="str">
        <f>VLOOKUP(qry_ProdData2_PDI_Cash_Exception_Application[[#This Row],[MARKET No]],'Site Allocation'!$B$2:$C$37,2,FALSE)</f>
        <v>Analyst2</v>
      </c>
      <c r="I3582" s="4">
        <f t="shared" ca="1" si="55"/>
        <v>45203</v>
      </c>
      <c r="J3582" s="42">
        <f ca="1">TODAY()-qry_ProdData2_PDI_Cash_Exception_Application[[#This Row],[INSERT DATE]]</f>
        <v>8.7429282407392748</v>
      </c>
      <c r="K35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82">
        <f ca="1">qry_ProdData2_PDI_Cash_Exception_Application[[#This Row],[TODAY]]-qry_ProdData2_PDI_Cash_Exception_Application[[#This Row],[CHANGED ON]]</f>
        <v>6.7429282407392748</v>
      </c>
      <c r="M3582">
        <f ca="1">qry_ProdData2_PDI_Cash_Exception_Application[[#This Row],[TODAY]]-qry_ProdData2_PDI_Cash_Exception_Application[[#This Row],[CHANGED ON]]</f>
        <v>6.7429282407392748</v>
      </c>
      <c r="N3582">
        <f ca="1">qry_ProdData2_PDI_Cash_Exception_Application[[#This Row],[TODAY]]-qry_ProdData2_PDI_Cash_Exception_Application[[#This Row],[CHANGED ON]]</f>
        <v>6.7429282407392748</v>
      </c>
    </row>
    <row r="3583" spans="1:14" x14ac:dyDescent="0.35">
      <c r="A3583">
        <v>1005</v>
      </c>
      <c r="B3583" t="s">
        <v>59</v>
      </c>
      <c r="C3583" s="1">
        <v>45185.257071759261</v>
      </c>
      <c r="D3583" t="str">
        <f ca="1">VLOOKUP(qry_ProdData2_PDI_Cash_Exception_Application[[#This Row],[TYPE]],#REF!,2,FALSE)</f>
        <v>type40</v>
      </c>
      <c r="E3583">
        <v>611.4</v>
      </c>
      <c r="G3583" s="1">
        <f>qry_ProdData2_PDI_Cash_Exception_Application[[#This Row],[INSERT DATE]]+7</f>
        <v>45192.257071759261</v>
      </c>
      <c r="H3583" t="str">
        <f>VLOOKUP(qry_ProdData2_PDI_Cash_Exception_Application[[#This Row],[MARKET No]],'Site Allocation'!$B$2:$C$37,2,FALSE)</f>
        <v>Analyst1</v>
      </c>
      <c r="I3583" s="4">
        <f t="shared" ca="1" si="55"/>
        <v>45203</v>
      </c>
      <c r="J3583" s="42">
        <f ca="1">TODAY()-qry_ProdData2_PDI_Cash_Exception_Application[[#This Row],[INSERT DATE]]</f>
        <v>17.742928240739275</v>
      </c>
      <c r="K35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83">
        <f ca="1">qry_ProdData2_PDI_Cash_Exception_Application[[#This Row],[TODAY]]-qry_ProdData2_PDI_Cash_Exception_Application[[#This Row],[CHANGED ON]]</f>
        <v>10.742928240739275</v>
      </c>
      <c r="M3583">
        <f ca="1">qry_ProdData2_PDI_Cash_Exception_Application[[#This Row],[TODAY]]-qry_ProdData2_PDI_Cash_Exception_Application[[#This Row],[CHANGED ON]]</f>
        <v>10.742928240739275</v>
      </c>
      <c r="N3583">
        <f ca="1">qry_ProdData2_PDI_Cash_Exception_Application[[#This Row],[TODAY]]-qry_ProdData2_PDI_Cash_Exception_Application[[#This Row],[CHANGED ON]]</f>
        <v>10.742928240739275</v>
      </c>
    </row>
    <row r="3584" spans="1:14" x14ac:dyDescent="0.35">
      <c r="A3584">
        <v>1034</v>
      </c>
      <c r="B3584" t="s">
        <v>88</v>
      </c>
      <c r="C3584" s="1">
        <v>45195.257071759261</v>
      </c>
      <c r="D3584" t="str">
        <f ca="1">VLOOKUP(qry_ProdData2_PDI_Cash_Exception_Application[[#This Row],[TYPE]],#REF!,2,FALSE)</f>
        <v>type40</v>
      </c>
      <c r="E3584">
        <v>13.14</v>
      </c>
      <c r="F3584" t="s">
        <v>50</v>
      </c>
      <c r="G3584" s="1">
        <f>qry_ProdData2_PDI_Cash_Exception_Application[[#This Row],[INSERT DATE]]+7</f>
        <v>45202.257071759261</v>
      </c>
      <c r="H3584" t="str">
        <f>VLOOKUP(qry_ProdData2_PDI_Cash_Exception_Application[[#This Row],[MARKET No]],'Site Allocation'!$B$2:$C$37,2,FALSE)</f>
        <v>Analyst6</v>
      </c>
      <c r="I3584" s="4">
        <f t="shared" ca="1" si="55"/>
        <v>45203</v>
      </c>
      <c r="J3584" s="42">
        <f ca="1">TODAY()-qry_ProdData2_PDI_Cash_Exception_Application[[#This Row],[INSERT DATE]]</f>
        <v>7.7429282407392748</v>
      </c>
      <c r="K35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84">
        <f ca="1">qry_ProdData2_PDI_Cash_Exception_Application[[#This Row],[TODAY]]-qry_ProdData2_PDI_Cash_Exception_Application[[#This Row],[CHANGED ON]]</f>
        <v>0.74292824073927477</v>
      </c>
      <c r="M3584">
        <f ca="1">qry_ProdData2_PDI_Cash_Exception_Application[[#This Row],[TODAY]]-qry_ProdData2_PDI_Cash_Exception_Application[[#This Row],[CHANGED ON]]</f>
        <v>0.74292824073927477</v>
      </c>
      <c r="N3584">
        <f ca="1">qry_ProdData2_PDI_Cash_Exception_Application[[#This Row],[TODAY]]-qry_ProdData2_PDI_Cash_Exception_Application[[#This Row],[CHANGED ON]]</f>
        <v>0.74292824073927477</v>
      </c>
    </row>
    <row r="3585" spans="1:14" x14ac:dyDescent="0.35">
      <c r="A3585">
        <v>1008</v>
      </c>
      <c r="B3585" t="s">
        <v>62</v>
      </c>
      <c r="C3585" s="1">
        <v>45190.257071759261</v>
      </c>
      <c r="D3585" t="str">
        <f ca="1">VLOOKUP(qry_ProdData2_PDI_Cash_Exception_Application[[#This Row],[TYPE]],#REF!,2,FALSE)</f>
        <v>type13</v>
      </c>
      <c r="E3585">
        <v>25363.79</v>
      </c>
      <c r="G3585" s="1">
        <f>qry_ProdData2_PDI_Cash_Exception_Application[[#This Row],[INSERT DATE]]+7</f>
        <v>45197.257071759261</v>
      </c>
      <c r="H3585" t="str">
        <f>VLOOKUP(qry_ProdData2_PDI_Cash_Exception_Application[[#This Row],[MARKET No]],'Site Allocation'!$B$2:$C$37,2,FALSE)</f>
        <v>Analyst2</v>
      </c>
      <c r="I3585" s="4">
        <f t="shared" ca="1" si="55"/>
        <v>45203</v>
      </c>
      <c r="J3585" s="42">
        <f ca="1">TODAY()-qry_ProdData2_PDI_Cash_Exception_Application[[#This Row],[INSERT DATE]]</f>
        <v>12.742928240739275</v>
      </c>
      <c r="K35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85">
        <f ca="1">qry_ProdData2_PDI_Cash_Exception_Application[[#This Row],[TODAY]]-qry_ProdData2_PDI_Cash_Exception_Application[[#This Row],[CHANGED ON]]</f>
        <v>5.7429282407392748</v>
      </c>
      <c r="M3585">
        <f ca="1">qry_ProdData2_PDI_Cash_Exception_Application[[#This Row],[TODAY]]-qry_ProdData2_PDI_Cash_Exception_Application[[#This Row],[CHANGED ON]]</f>
        <v>5.7429282407392748</v>
      </c>
      <c r="N3585">
        <f ca="1">qry_ProdData2_PDI_Cash_Exception_Application[[#This Row],[TODAY]]-qry_ProdData2_PDI_Cash_Exception_Application[[#This Row],[CHANGED ON]]</f>
        <v>5.7429282407392748</v>
      </c>
    </row>
    <row r="3586" spans="1:14" x14ac:dyDescent="0.35">
      <c r="A3586">
        <v>1015</v>
      </c>
      <c r="B3586" t="s">
        <v>69</v>
      </c>
      <c r="C3586" s="1">
        <v>45194.257071759261</v>
      </c>
      <c r="D3586" t="str">
        <f ca="1">VLOOKUP(qry_ProdData2_PDI_Cash_Exception_Application[[#This Row],[TYPE]],#REF!,2,FALSE)</f>
        <v>type44</v>
      </c>
      <c r="E3586">
        <v>641.76</v>
      </c>
      <c r="F3586" t="s">
        <v>48</v>
      </c>
      <c r="G3586" s="1">
        <f>qry_ProdData2_PDI_Cash_Exception_Application[[#This Row],[INSERT DATE]]+7</f>
        <v>45201.257071759261</v>
      </c>
      <c r="H3586" t="str">
        <f>VLOOKUP(qry_ProdData2_PDI_Cash_Exception_Application[[#This Row],[MARKET No]],'Site Allocation'!$B$2:$C$37,2,FALSE)</f>
        <v>Analyst3</v>
      </c>
      <c r="I3586" s="4">
        <f t="shared" ref="I3586:I3649" ca="1" si="56">TODAY()</f>
        <v>45203</v>
      </c>
      <c r="J3586" s="42">
        <f ca="1">TODAY()-qry_ProdData2_PDI_Cash_Exception_Application[[#This Row],[INSERT DATE]]</f>
        <v>8.7429282407392748</v>
      </c>
      <c r="K35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86">
        <f ca="1">qry_ProdData2_PDI_Cash_Exception_Application[[#This Row],[TODAY]]-qry_ProdData2_PDI_Cash_Exception_Application[[#This Row],[CHANGED ON]]</f>
        <v>1.7429282407392748</v>
      </c>
      <c r="M3586">
        <f ca="1">qry_ProdData2_PDI_Cash_Exception_Application[[#This Row],[TODAY]]-qry_ProdData2_PDI_Cash_Exception_Application[[#This Row],[CHANGED ON]]</f>
        <v>1.7429282407392748</v>
      </c>
      <c r="N3586">
        <f ca="1">qry_ProdData2_PDI_Cash_Exception_Application[[#This Row],[TODAY]]-qry_ProdData2_PDI_Cash_Exception_Application[[#This Row],[CHANGED ON]]</f>
        <v>1.7429282407392748</v>
      </c>
    </row>
    <row r="3587" spans="1:14" x14ac:dyDescent="0.35">
      <c r="A3587">
        <v>1035</v>
      </c>
      <c r="B3587" t="s">
        <v>89</v>
      </c>
      <c r="C3587" s="1">
        <v>45195.257071759261</v>
      </c>
      <c r="D3587" t="str">
        <f ca="1">VLOOKUP(qry_ProdData2_PDI_Cash_Exception_Application[[#This Row],[TYPE]],#REF!,2,FALSE)</f>
        <v>type13</v>
      </c>
      <c r="E3587">
        <v>32947.26</v>
      </c>
      <c r="F3587" t="s">
        <v>51</v>
      </c>
      <c r="G3587" s="1">
        <f>qry_ProdData2_PDI_Cash_Exception_Application[[#This Row],[INSERT DATE]]+7</f>
        <v>45202.257071759261</v>
      </c>
      <c r="H3587" t="str">
        <f>VLOOKUP(qry_ProdData2_PDI_Cash_Exception_Application[[#This Row],[MARKET No]],'Site Allocation'!$B$2:$C$37,2,FALSE)</f>
        <v>Analyst6</v>
      </c>
      <c r="I3587" s="4">
        <f t="shared" ca="1" si="56"/>
        <v>45203</v>
      </c>
      <c r="J3587" s="42">
        <f ca="1">TODAY()-qry_ProdData2_PDI_Cash_Exception_Application[[#This Row],[INSERT DATE]]</f>
        <v>7.7429282407392748</v>
      </c>
      <c r="K35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87">
        <f ca="1">qry_ProdData2_PDI_Cash_Exception_Application[[#This Row],[TODAY]]-qry_ProdData2_PDI_Cash_Exception_Application[[#This Row],[CHANGED ON]]</f>
        <v>0.74292824073927477</v>
      </c>
      <c r="M3587">
        <f ca="1">qry_ProdData2_PDI_Cash_Exception_Application[[#This Row],[TODAY]]-qry_ProdData2_PDI_Cash_Exception_Application[[#This Row],[CHANGED ON]]</f>
        <v>0.74292824073927477</v>
      </c>
      <c r="N3587">
        <f ca="1">qry_ProdData2_PDI_Cash_Exception_Application[[#This Row],[TODAY]]-qry_ProdData2_PDI_Cash_Exception_Application[[#This Row],[CHANGED ON]]</f>
        <v>0.74292824073927477</v>
      </c>
    </row>
    <row r="3588" spans="1:14" x14ac:dyDescent="0.35">
      <c r="A3588">
        <v>1024</v>
      </c>
      <c r="B3588" t="s">
        <v>78</v>
      </c>
      <c r="C3588" s="1">
        <v>45186.257071759261</v>
      </c>
      <c r="D3588" t="str">
        <f ca="1">VLOOKUP(qry_ProdData2_PDI_Cash_Exception_Application[[#This Row],[TYPE]],#REF!,2,FALSE)</f>
        <v>type13</v>
      </c>
      <c r="E3588">
        <v>25131</v>
      </c>
      <c r="F3588" t="s">
        <v>50</v>
      </c>
      <c r="G3588" s="1">
        <f>qry_ProdData2_PDI_Cash_Exception_Application[[#This Row],[INSERT DATE]]+7</f>
        <v>45193.257071759261</v>
      </c>
      <c r="H3588" t="str">
        <f>VLOOKUP(qry_ProdData2_PDI_Cash_Exception_Application[[#This Row],[MARKET No]],'Site Allocation'!$B$2:$C$37,2,FALSE)</f>
        <v>Analyst5</v>
      </c>
      <c r="I3588" s="4">
        <f t="shared" ca="1" si="56"/>
        <v>45203</v>
      </c>
      <c r="J3588" s="42">
        <f ca="1">TODAY()-qry_ProdData2_PDI_Cash_Exception_Application[[#This Row],[INSERT DATE]]</f>
        <v>16.742928240739275</v>
      </c>
      <c r="K35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88">
        <f ca="1">qry_ProdData2_PDI_Cash_Exception_Application[[#This Row],[TODAY]]-qry_ProdData2_PDI_Cash_Exception_Application[[#This Row],[CHANGED ON]]</f>
        <v>9.7429282407392748</v>
      </c>
      <c r="M3588">
        <f ca="1">qry_ProdData2_PDI_Cash_Exception_Application[[#This Row],[TODAY]]-qry_ProdData2_PDI_Cash_Exception_Application[[#This Row],[CHANGED ON]]</f>
        <v>9.7429282407392748</v>
      </c>
      <c r="N3588">
        <f ca="1">qry_ProdData2_PDI_Cash_Exception_Application[[#This Row],[TODAY]]-qry_ProdData2_PDI_Cash_Exception_Application[[#This Row],[CHANGED ON]]</f>
        <v>9.7429282407392748</v>
      </c>
    </row>
    <row r="3589" spans="1:14" x14ac:dyDescent="0.35">
      <c r="A3589">
        <v>1015</v>
      </c>
      <c r="B3589" t="s">
        <v>69</v>
      </c>
      <c r="C3589" s="1">
        <v>45193.257071759261</v>
      </c>
      <c r="D3589" t="str">
        <f ca="1">VLOOKUP(qry_ProdData2_PDI_Cash_Exception_Application[[#This Row],[TYPE]],#REF!,2,FALSE)</f>
        <v>type40</v>
      </c>
      <c r="E3589">
        <v>1252.92</v>
      </c>
      <c r="F3589" t="s">
        <v>51</v>
      </c>
      <c r="G3589" s="1">
        <f>qry_ProdData2_PDI_Cash_Exception_Application[[#This Row],[INSERT DATE]]+2</f>
        <v>45195.257071759261</v>
      </c>
      <c r="H3589" t="str">
        <f>VLOOKUP(qry_ProdData2_PDI_Cash_Exception_Application[[#This Row],[MARKET No]],'Site Allocation'!$B$2:$C$37,2,FALSE)</f>
        <v>Analyst3</v>
      </c>
      <c r="I3589" s="4">
        <f t="shared" ca="1" si="56"/>
        <v>45203</v>
      </c>
      <c r="J3589" s="42">
        <f ca="1">TODAY()-qry_ProdData2_PDI_Cash_Exception_Application[[#This Row],[INSERT DATE]]</f>
        <v>9.7429282407392748</v>
      </c>
      <c r="K35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89">
        <f ca="1">qry_ProdData2_PDI_Cash_Exception_Application[[#This Row],[TODAY]]-qry_ProdData2_PDI_Cash_Exception_Application[[#This Row],[CHANGED ON]]</f>
        <v>7.7429282407392748</v>
      </c>
      <c r="M3589">
        <f ca="1">qry_ProdData2_PDI_Cash_Exception_Application[[#This Row],[TODAY]]-qry_ProdData2_PDI_Cash_Exception_Application[[#This Row],[CHANGED ON]]</f>
        <v>7.7429282407392748</v>
      </c>
      <c r="N3589">
        <f ca="1">qry_ProdData2_PDI_Cash_Exception_Application[[#This Row],[TODAY]]-qry_ProdData2_PDI_Cash_Exception_Application[[#This Row],[CHANGED ON]]</f>
        <v>7.7429282407392748</v>
      </c>
    </row>
    <row r="3590" spans="1:14" x14ac:dyDescent="0.35">
      <c r="A3590">
        <v>1016</v>
      </c>
      <c r="B3590" t="s">
        <v>70</v>
      </c>
      <c r="C3590" s="1">
        <v>45194.257071759261</v>
      </c>
      <c r="D3590" t="str">
        <f ca="1">VLOOKUP(qry_ProdData2_PDI_Cash_Exception_Application[[#This Row],[TYPE]],#REF!,2,FALSE)</f>
        <v>type27</v>
      </c>
      <c r="E3590">
        <v>927.16</v>
      </c>
      <c r="F3590" t="s">
        <v>48</v>
      </c>
      <c r="G3590" s="1">
        <f>qry_ProdData2_PDI_Cash_Exception_Application[[#This Row],[INSERT DATE]]+2</f>
        <v>45196.257071759261</v>
      </c>
      <c r="H3590" t="str">
        <f>VLOOKUP(qry_ProdData2_PDI_Cash_Exception_Application[[#This Row],[MARKET No]],'Site Allocation'!$B$2:$C$37,2,FALSE)</f>
        <v>Analyst3</v>
      </c>
      <c r="I3590" s="4">
        <f t="shared" ca="1" si="56"/>
        <v>45203</v>
      </c>
      <c r="J3590" s="42">
        <f ca="1">TODAY()-qry_ProdData2_PDI_Cash_Exception_Application[[#This Row],[INSERT DATE]]</f>
        <v>8.7429282407392748</v>
      </c>
      <c r="K35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90">
        <f ca="1">qry_ProdData2_PDI_Cash_Exception_Application[[#This Row],[TODAY]]-qry_ProdData2_PDI_Cash_Exception_Application[[#This Row],[CHANGED ON]]</f>
        <v>6.7429282407392748</v>
      </c>
      <c r="M3590">
        <f ca="1">qry_ProdData2_PDI_Cash_Exception_Application[[#This Row],[TODAY]]-qry_ProdData2_PDI_Cash_Exception_Application[[#This Row],[CHANGED ON]]</f>
        <v>6.7429282407392748</v>
      </c>
      <c r="N3590">
        <f ca="1">qry_ProdData2_PDI_Cash_Exception_Application[[#This Row],[TODAY]]-qry_ProdData2_PDI_Cash_Exception_Application[[#This Row],[CHANGED ON]]</f>
        <v>6.7429282407392748</v>
      </c>
    </row>
    <row r="3591" spans="1:14" x14ac:dyDescent="0.35">
      <c r="A3591">
        <v>1024</v>
      </c>
      <c r="B3591" t="s">
        <v>78</v>
      </c>
      <c r="C3591" s="1">
        <v>45194.257071759261</v>
      </c>
      <c r="D3591" t="str">
        <f ca="1">VLOOKUP(qry_ProdData2_PDI_Cash_Exception_Application[[#This Row],[TYPE]],#REF!,2,FALSE)</f>
        <v>type40</v>
      </c>
      <c r="E3591">
        <v>1</v>
      </c>
      <c r="F3591" t="s">
        <v>48</v>
      </c>
      <c r="G3591" s="1">
        <f>qry_ProdData2_PDI_Cash_Exception_Application[[#This Row],[INSERT DATE]]+7</f>
        <v>45201.257071759261</v>
      </c>
      <c r="H3591" t="str">
        <f>VLOOKUP(qry_ProdData2_PDI_Cash_Exception_Application[[#This Row],[MARKET No]],'Site Allocation'!$B$2:$C$37,2,FALSE)</f>
        <v>Analyst5</v>
      </c>
      <c r="I3591" s="4">
        <f t="shared" ca="1" si="56"/>
        <v>45203</v>
      </c>
      <c r="J3591" s="42">
        <f ca="1">TODAY()-qry_ProdData2_PDI_Cash_Exception_Application[[#This Row],[INSERT DATE]]</f>
        <v>8.7429282407392748</v>
      </c>
      <c r="K35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91">
        <f ca="1">qry_ProdData2_PDI_Cash_Exception_Application[[#This Row],[TODAY]]-qry_ProdData2_PDI_Cash_Exception_Application[[#This Row],[CHANGED ON]]</f>
        <v>1.7429282407392748</v>
      </c>
      <c r="M3591">
        <f ca="1">qry_ProdData2_PDI_Cash_Exception_Application[[#This Row],[TODAY]]-qry_ProdData2_PDI_Cash_Exception_Application[[#This Row],[CHANGED ON]]</f>
        <v>1.7429282407392748</v>
      </c>
      <c r="N3591">
        <f ca="1">qry_ProdData2_PDI_Cash_Exception_Application[[#This Row],[TODAY]]-qry_ProdData2_PDI_Cash_Exception_Application[[#This Row],[CHANGED ON]]</f>
        <v>1.7429282407392748</v>
      </c>
    </row>
    <row r="3592" spans="1:14" x14ac:dyDescent="0.35">
      <c r="A3592">
        <v>1017</v>
      </c>
      <c r="B3592" t="s">
        <v>71</v>
      </c>
      <c r="C3592" s="1">
        <v>45194.257071759261</v>
      </c>
      <c r="D3592" t="str">
        <f ca="1">VLOOKUP(qry_ProdData2_PDI_Cash_Exception_Application[[#This Row],[TYPE]],#REF!,2,FALSE)</f>
        <v>type38</v>
      </c>
      <c r="E3592">
        <v>155.79</v>
      </c>
      <c r="G3592" s="1">
        <f>qry_ProdData2_PDI_Cash_Exception_Application[[#This Row],[INSERT DATE]]+5</f>
        <v>45199.257071759261</v>
      </c>
      <c r="H3592" t="str">
        <f>VLOOKUP(qry_ProdData2_PDI_Cash_Exception_Application[[#This Row],[MARKET No]],'Site Allocation'!$B$2:$C$37,2,FALSE)</f>
        <v>Analyst3</v>
      </c>
      <c r="I3592" s="4">
        <f t="shared" ca="1" si="56"/>
        <v>45203</v>
      </c>
      <c r="J3592" s="42">
        <f ca="1">TODAY()-qry_ProdData2_PDI_Cash_Exception_Application[[#This Row],[INSERT DATE]]</f>
        <v>8.7429282407392748</v>
      </c>
      <c r="K35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92">
        <f ca="1">qry_ProdData2_PDI_Cash_Exception_Application[[#This Row],[TODAY]]-qry_ProdData2_PDI_Cash_Exception_Application[[#This Row],[CHANGED ON]]</f>
        <v>3.7429282407392748</v>
      </c>
      <c r="M3592">
        <f ca="1">qry_ProdData2_PDI_Cash_Exception_Application[[#This Row],[TODAY]]-qry_ProdData2_PDI_Cash_Exception_Application[[#This Row],[CHANGED ON]]</f>
        <v>3.7429282407392748</v>
      </c>
      <c r="N3592">
        <f ca="1">qry_ProdData2_PDI_Cash_Exception_Application[[#This Row],[TODAY]]-qry_ProdData2_PDI_Cash_Exception_Application[[#This Row],[CHANGED ON]]</f>
        <v>3.7429282407392748</v>
      </c>
    </row>
    <row r="3593" spans="1:14" x14ac:dyDescent="0.35">
      <c r="A3593">
        <v>1017</v>
      </c>
      <c r="B3593" t="s">
        <v>71</v>
      </c>
      <c r="C3593" s="1">
        <v>45189.257071759261</v>
      </c>
      <c r="D3593" t="str">
        <f ca="1">VLOOKUP(qry_ProdData2_PDI_Cash_Exception_Application[[#This Row],[TYPE]],#REF!,2,FALSE)</f>
        <v>type40</v>
      </c>
      <c r="E3593">
        <v>11.02</v>
      </c>
      <c r="F3593" t="s">
        <v>52</v>
      </c>
      <c r="G3593" s="1">
        <f>qry_ProdData2_PDI_Cash_Exception_Application[[#This Row],[INSERT DATE]]+1</f>
        <v>45190.257071759261</v>
      </c>
      <c r="H3593" t="str">
        <f>VLOOKUP(qry_ProdData2_PDI_Cash_Exception_Application[[#This Row],[MARKET No]],'Site Allocation'!$B$2:$C$37,2,FALSE)</f>
        <v>Analyst3</v>
      </c>
      <c r="I3593" s="4">
        <f t="shared" ca="1" si="56"/>
        <v>45203</v>
      </c>
      <c r="J3593" s="42">
        <f ca="1">TODAY()-qry_ProdData2_PDI_Cash_Exception_Application[[#This Row],[INSERT DATE]]</f>
        <v>13.742928240739275</v>
      </c>
      <c r="K35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93">
        <f ca="1">qry_ProdData2_PDI_Cash_Exception_Application[[#This Row],[TODAY]]-qry_ProdData2_PDI_Cash_Exception_Application[[#This Row],[CHANGED ON]]</f>
        <v>12.742928240739275</v>
      </c>
      <c r="M3593">
        <f ca="1">qry_ProdData2_PDI_Cash_Exception_Application[[#This Row],[TODAY]]-qry_ProdData2_PDI_Cash_Exception_Application[[#This Row],[CHANGED ON]]</f>
        <v>12.742928240739275</v>
      </c>
      <c r="N3593">
        <f ca="1">qry_ProdData2_PDI_Cash_Exception_Application[[#This Row],[TODAY]]-qry_ProdData2_PDI_Cash_Exception_Application[[#This Row],[CHANGED ON]]</f>
        <v>12.742928240739275</v>
      </c>
    </row>
    <row r="3594" spans="1:14" x14ac:dyDescent="0.35">
      <c r="A3594">
        <v>1020</v>
      </c>
      <c r="B3594" t="s">
        <v>74</v>
      </c>
      <c r="C3594" s="1">
        <v>45194.257071759261</v>
      </c>
      <c r="D3594" t="str">
        <f ca="1">VLOOKUP(qry_ProdData2_PDI_Cash_Exception_Application[[#This Row],[TYPE]],#REF!,2,FALSE)</f>
        <v>type7</v>
      </c>
      <c r="E3594">
        <v>-1230.93</v>
      </c>
      <c r="F3594" t="s">
        <v>51</v>
      </c>
      <c r="G3594" s="1">
        <f>qry_ProdData2_PDI_Cash_Exception_Application[[#This Row],[INSERT DATE]]+7</f>
        <v>45201.257071759261</v>
      </c>
      <c r="H3594" t="str">
        <f>VLOOKUP(qry_ProdData2_PDI_Cash_Exception_Application[[#This Row],[MARKET No]],'Site Allocation'!$B$2:$C$37,2,FALSE)</f>
        <v>Analyst4</v>
      </c>
      <c r="I3594" s="4">
        <f t="shared" ca="1" si="56"/>
        <v>45203</v>
      </c>
      <c r="J3594" s="42">
        <f ca="1">TODAY()-qry_ProdData2_PDI_Cash_Exception_Application[[#This Row],[INSERT DATE]]</f>
        <v>8.7429282407392748</v>
      </c>
      <c r="K35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94">
        <f ca="1">qry_ProdData2_PDI_Cash_Exception_Application[[#This Row],[TODAY]]-qry_ProdData2_PDI_Cash_Exception_Application[[#This Row],[CHANGED ON]]</f>
        <v>1.7429282407392748</v>
      </c>
      <c r="M3594">
        <f ca="1">qry_ProdData2_PDI_Cash_Exception_Application[[#This Row],[TODAY]]-qry_ProdData2_PDI_Cash_Exception_Application[[#This Row],[CHANGED ON]]</f>
        <v>1.7429282407392748</v>
      </c>
      <c r="N3594">
        <f ca="1">qry_ProdData2_PDI_Cash_Exception_Application[[#This Row],[TODAY]]-qry_ProdData2_PDI_Cash_Exception_Application[[#This Row],[CHANGED ON]]</f>
        <v>1.7429282407392748</v>
      </c>
    </row>
    <row r="3595" spans="1:14" x14ac:dyDescent="0.35">
      <c r="A3595">
        <v>1027</v>
      </c>
      <c r="B3595" t="s">
        <v>81</v>
      </c>
      <c r="C3595" s="1">
        <v>45193.257071759261</v>
      </c>
      <c r="D3595" t="str">
        <f ca="1">VLOOKUP(qry_ProdData2_PDI_Cash_Exception_Application[[#This Row],[TYPE]],#REF!,2,FALSE)</f>
        <v>type40</v>
      </c>
      <c r="E3595">
        <v>5427.46</v>
      </c>
      <c r="G3595" s="1">
        <f>qry_ProdData2_PDI_Cash_Exception_Application[[#This Row],[INSERT DATE]]+7</f>
        <v>45200.257071759261</v>
      </c>
      <c r="H3595" t="str">
        <f>VLOOKUP(qry_ProdData2_PDI_Cash_Exception_Application[[#This Row],[MARKET No]],'Site Allocation'!$B$2:$C$37,2,FALSE)</f>
        <v>Analyst5</v>
      </c>
      <c r="I3595" s="4">
        <f t="shared" ca="1" si="56"/>
        <v>45203</v>
      </c>
      <c r="J3595" s="42">
        <f ca="1">TODAY()-qry_ProdData2_PDI_Cash_Exception_Application[[#This Row],[INSERT DATE]]</f>
        <v>9.7429282407392748</v>
      </c>
      <c r="K35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95">
        <f ca="1">qry_ProdData2_PDI_Cash_Exception_Application[[#This Row],[TODAY]]-qry_ProdData2_PDI_Cash_Exception_Application[[#This Row],[CHANGED ON]]</f>
        <v>2.7429282407392748</v>
      </c>
      <c r="M3595">
        <f ca="1">qry_ProdData2_PDI_Cash_Exception_Application[[#This Row],[TODAY]]-qry_ProdData2_PDI_Cash_Exception_Application[[#This Row],[CHANGED ON]]</f>
        <v>2.7429282407392748</v>
      </c>
      <c r="N3595">
        <f ca="1">qry_ProdData2_PDI_Cash_Exception_Application[[#This Row],[TODAY]]-qry_ProdData2_PDI_Cash_Exception_Application[[#This Row],[CHANGED ON]]</f>
        <v>2.7429282407392748</v>
      </c>
    </row>
    <row r="3596" spans="1:14" x14ac:dyDescent="0.35">
      <c r="A3596">
        <v>1033</v>
      </c>
      <c r="B3596" t="s">
        <v>87</v>
      </c>
      <c r="C3596" s="1">
        <v>45191.257071759261</v>
      </c>
      <c r="D3596" t="str">
        <f ca="1">VLOOKUP(qry_ProdData2_PDI_Cash_Exception_Application[[#This Row],[TYPE]],#REF!,2,FALSE)</f>
        <v>type40</v>
      </c>
      <c r="E3596">
        <v>-574.70000000000005</v>
      </c>
      <c r="F3596" t="s">
        <v>50</v>
      </c>
      <c r="G3596" s="1">
        <f>qry_ProdData2_PDI_Cash_Exception_Application[[#This Row],[INSERT DATE]]+1</f>
        <v>45192.257071759261</v>
      </c>
      <c r="H3596" t="str">
        <f>VLOOKUP(qry_ProdData2_PDI_Cash_Exception_Application[[#This Row],[MARKET No]],'Site Allocation'!$B$2:$C$37,2,FALSE)</f>
        <v>Analyst6</v>
      </c>
      <c r="I3596" s="4">
        <f t="shared" ca="1" si="56"/>
        <v>45203</v>
      </c>
      <c r="J3596" s="42">
        <f ca="1">TODAY()-qry_ProdData2_PDI_Cash_Exception_Application[[#This Row],[INSERT DATE]]</f>
        <v>11.742928240739275</v>
      </c>
      <c r="K35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96">
        <f ca="1">qry_ProdData2_PDI_Cash_Exception_Application[[#This Row],[TODAY]]-qry_ProdData2_PDI_Cash_Exception_Application[[#This Row],[CHANGED ON]]</f>
        <v>10.742928240739275</v>
      </c>
      <c r="M3596">
        <f ca="1">qry_ProdData2_PDI_Cash_Exception_Application[[#This Row],[TODAY]]-qry_ProdData2_PDI_Cash_Exception_Application[[#This Row],[CHANGED ON]]</f>
        <v>10.742928240739275</v>
      </c>
      <c r="N3596">
        <f ca="1">qry_ProdData2_PDI_Cash_Exception_Application[[#This Row],[TODAY]]-qry_ProdData2_PDI_Cash_Exception_Application[[#This Row],[CHANGED ON]]</f>
        <v>10.742928240739275</v>
      </c>
    </row>
    <row r="3597" spans="1:14" x14ac:dyDescent="0.35">
      <c r="A3597">
        <v>1010</v>
      </c>
      <c r="B3597" t="s">
        <v>64</v>
      </c>
      <c r="C3597" s="1">
        <v>45179.257071759261</v>
      </c>
      <c r="D3597" t="str">
        <f ca="1">VLOOKUP(qry_ProdData2_PDI_Cash_Exception_Application[[#This Row],[TYPE]],#REF!,2,FALSE)</f>
        <v>type40</v>
      </c>
      <c r="E3597">
        <v>16.25</v>
      </c>
      <c r="G3597" s="1">
        <f>qry_ProdData2_PDI_Cash_Exception_Application[[#This Row],[INSERT DATE]]+1</f>
        <v>45180.257071759261</v>
      </c>
      <c r="H3597" t="str">
        <f>VLOOKUP(qry_ProdData2_PDI_Cash_Exception_Application[[#This Row],[MARKET No]],'Site Allocation'!$B$2:$C$37,2,FALSE)</f>
        <v>Analyst2</v>
      </c>
      <c r="I3597" s="4">
        <f t="shared" ca="1" si="56"/>
        <v>45203</v>
      </c>
      <c r="J3597" s="42">
        <f ca="1">TODAY()-qry_ProdData2_PDI_Cash_Exception_Application[[#This Row],[INSERT DATE]]</f>
        <v>23.742928240739275</v>
      </c>
      <c r="K35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97">
        <f ca="1">qry_ProdData2_PDI_Cash_Exception_Application[[#This Row],[TODAY]]-qry_ProdData2_PDI_Cash_Exception_Application[[#This Row],[CHANGED ON]]</f>
        <v>22.742928240739275</v>
      </c>
      <c r="M3597">
        <f ca="1">qry_ProdData2_PDI_Cash_Exception_Application[[#This Row],[TODAY]]-qry_ProdData2_PDI_Cash_Exception_Application[[#This Row],[CHANGED ON]]</f>
        <v>22.742928240739275</v>
      </c>
      <c r="N3597">
        <f ca="1">qry_ProdData2_PDI_Cash_Exception_Application[[#This Row],[TODAY]]-qry_ProdData2_PDI_Cash_Exception_Application[[#This Row],[CHANGED ON]]</f>
        <v>22.742928240739275</v>
      </c>
    </row>
    <row r="3598" spans="1:14" x14ac:dyDescent="0.35">
      <c r="A3598">
        <v>1015</v>
      </c>
      <c r="B3598" t="s">
        <v>69</v>
      </c>
      <c r="C3598" s="1">
        <v>45193.257071759261</v>
      </c>
      <c r="D3598" t="str">
        <f ca="1">VLOOKUP(qry_ProdData2_PDI_Cash_Exception_Application[[#This Row],[TYPE]],#REF!,2,FALSE)</f>
        <v>type40</v>
      </c>
      <c r="E3598">
        <v>-594.51</v>
      </c>
      <c r="F3598" t="s">
        <v>52</v>
      </c>
      <c r="G3598" s="1">
        <f>qry_ProdData2_PDI_Cash_Exception_Application[[#This Row],[INSERT DATE]]+1</f>
        <v>45194.257071759261</v>
      </c>
      <c r="H3598" t="str">
        <f>VLOOKUP(qry_ProdData2_PDI_Cash_Exception_Application[[#This Row],[MARKET No]],'Site Allocation'!$B$2:$C$37,2,FALSE)</f>
        <v>Analyst3</v>
      </c>
      <c r="I3598" s="4">
        <f t="shared" ca="1" si="56"/>
        <v>45203</v>
      </c>
      <c r="J3598" s="42">
        <f ca="1">TODAY()-qry_ProdData2_PDI_Cash_Exception_Application[[#This Row],[INSERT DATE]]</f>
        <v>9.7429282407392748</v>
      </c>
      <c r="K35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598">
        <f ca="1">qry_ProdData2_PDI_Cash_Exception_Application[[#This Row],[TODAY]]-qry_ProdData2_PDI_Cash_Exception_Application[[#This Row],[CHANGED ON]]</f>
        <v>8.7429282407392748</v>
      </c>
      <c r="M3598">
        <f ca="1">qry_ProdData2_PDI_Cash_Exception_Application[[#This Row],[TODAY]]-qry_ProdData2_PDI_Cash_Exception_Application[[#This Row],[CHANGED ON]]</f>
        <v>8.7429282407392748</v>
      </c>
      <c r="N3598">
        <f ca="1">qry_ProdData2_PDI_Cash_Exception_Application[[#This Row],[TODAY]]-qry_ProdData2_PDI_Cash_Exception_Application[[#This Row],[CHANGED ON]]</f>
        <v>8.7429282407392748</v>
      </c>
    </row>
    <row r="3599" spans="1:14" x14ac:dyDescent="0.35">
      <c r="A3599">
        <v>1013</v>
      </c>
      <c r="B3599" t="s">
        <v>67</v>
      </c>
      <c r="C3599" s="1">
        <v>45195.257071759261</v>
      </c>
      <c r="D3599" t="str">
        <f ca="1">VLOOKUP(qry_ProdData2_PDI_Cash_Exception_Application[[#This Row],[TYPE]],#REF!,2,FALSE)</f>
        <v>type17</v>
      </c>
      <c r="E3599">
        <v>380.2</v>
      </c>
      <c r="F3599" t="s">
        <v>51</v>
      </c>
      <c r="G3599" s="1">
        <f>qry_ProdData2_PDI_Cash_Exception_Application[[#This Row],[INSERT DATE]]+7</f>
        <v>45202.257071759261</v>
      </c>
      <c r="H3599" t="str">
        <f>VLOOKUP(qry_ProdData2_PDI_Cash_Exception_Application[[#This Row],[MARKET No]],'Site Allocation'!$B$2:$C$37,2,FALSE)</f>
        <v>Analyst3</v>
      </c>
      <c r="I3599" s="4">
        <f t="shared" ca="1" si="56"/>
        <v>45203</v>
      </c>
      <c r="J3599" s="42">
        <f ca="1">TODAY()-qry_ProdData2_PDI_Cash_Exception_Application[[#This Row],[INSERT DATE]]</f>
        <v>7.7429282407392748</v>
      </c>
      <c r="K35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599">
        <f ca="1">qry_ProdData2_PDI_Cash_Exception_Application[[#This Row],[TODAY]]-qry_ProdData2_PDI_Cash_Exception_Application[[#This Row],[CHANGED ON]]</f>
        <v>0.74292824073927477</v>
      </c>
      <c r="M3599">
        <f ca="1">qry_ProdData2_PDI_Cash_Exception_Application[[#This Row],[TODAY]]-qry_ProdData2_PDI_Cash_Exception_Application[[#This Row],[CHANGED ON]]</f>
        <v>0.74292824073927477</v>
      </c>
      <c r="N3599">
        <f ca="1">qry_ProdData2_PDI_Cash_Exception_Application[[#This Row],[TODAY]]-qry_ProdData2_PDI_Cash_Exception_Application[[#This Row],[CHANGED ON]]</f>
        <v>0.74292824073927477</v>
      </c>
    </row>
    <row r="3600" spans="1:14" x14ac:dyDescent="0.35">
      <c r="A3600">
        <v>1003</v>
      </c>
      <c r="B3600" t="s">
        <v>57</v>
      </c>
      <c r="C3600" s="1">
        <v>45193.257071759261</v>
      </c>
      <c r="D3600" t="str">
        <f ca="1">VLOOKUP(qry_ProdData2_PDI_Cash_Exception_Application[[#This Row],[TYPE]],#REF!,2,FALSE)</f>
        <v>type38</v>
      </c>
      <c r="E3600">
        <v>396.92</v>
      </c>
      <c r="F3600" t="s">
        <v>51</v>
      </c>
      <c r="G3600" s="1">
        <f>qry_ProdData2_PDI_Cash_Exception_Application[[#This Row],[INSERT DATE]]+1</f>
        <v>45194.257071759261</v>
      </c>
      <c r="H3600" t="str">
        <f>VLOOKUP(qry_ProdData2_PDI_Cash_Exception_Application[[#This Row],[MARKET No]],'Site Allocation'!$B$2:$C$37,2,FALSE)</f>
        <v>Analyst1</v>
      </c>
      <c r="I3600" s="4">
        <f t="shared" ca="1" si="56"/>
        <v>45203</v>
      </c>
      <c r="J3600" s="42">
        <f ca="1">TODAY()-qry_ProdData2_PDI_Cash_Exception_Application[[#This Row],[INSERT DATE]]</f>
        <v>9.7429282407392748</v>
      </c>
      <c r="K36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00">
        <f ca="1">qry_ProdData2_PDI_Cash_Exception_Application[[#This Row],[TODAY]]-qry_ProdData2_PDI_Cash_Exception_Application[[#This Row],[CHANGED ON]]</f>
        <v>8.7429282407392748</v>
      </c>
      <c r="M3600">
        <f ca="1">qry_ProdData2_PDI_Cash_Exception_Application[[#This Row],[TODAY]]-qry_ProdData2_PDI_Cash_Exception_Application[[#This Row],[CHANGED ON]]</f>
        <v>8.7429282407392748</v>
      </c>
      <c r="N3600">
        <f ca="1">qry_ProdData2_PDI_Cash_Exception_Application[[#This Row],[TODAY]]-qry_ProdData2_PDI_Cash_Exception_Application[[#This Row],[CHANGED ON]]</f>
        <v>8.7429282407392748</v>
      </c>
    </row>
    <row r="3601" spans="1:14" x14ac:dyDescent="0.35">
      <c r="A3601">
        <v>1010</v>
      </c>
      <c r="B3601" t="s">
        <v>64</v>
      </c>
      <c r="C3601" s="1">
        <v>45196.257071759261</v>
      </c>
      <c r="D3601" t="str">
        <f ca="1">VLOOKUP(qry_ProdData2_PDI_Cash_Exception_Application[[#This Row],[TYPE]],#REF!,2,FALSE)</f>
        <v>type41</v>
      </c>
      <c r="E3601">
        <v>322.48</v>
      </c>
      <c r="F3601" t="s">
        <v>50</v>
      </c>
      <c r="G3601" s="1">
        <f>qry_ProdData2_PDI_Cash_Exception_Application[[#This Row],[INSERT DATE]]+1</f>
        <v>45197.257071759261</v>
      </c>
      <c r="H3601" t="str">
        <f>VLOOKUP(qry_ProdData2_PDI_Cash_Exception_Application[[#This Row],[MARKET No]],'Site Allocation'!$B$2:$C$37,2,FALSE)</f>
        <v>Analyst2</v>
      </c>
      <c r="I3601" s="4">
        <f t="shared" ca="1" si="56"/>
        <v>45203</v>
      </c>
      <c r="J3601" s="42">
        <f ca="1">TODAY()-qry_ProdData2_PDI_Cash_Exception_Application[[#This Row],[INSERT DATE]]</f>
        <v>6.7429282407392748</v>
      </c>
      <c r="K36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01">
        <f ca="1">qry_ProdData2_PDI_Cash_Exception_Application[[#This Row],[TODAY]]-qry_ProdData2_PDI_Cash_Exception_Application[[#This Row],[CHANGED ON]]</f>
        <v>5.7429282407392748</v>
      </c>
      <c r="M3601">
        <f ca="1">qry_ProdData2_PDI_Cash_Exception_Application[[#This Row],[TODAY]]-qry_ProdData2_PDI_Cash_Exception_Application[[#This Row],[CHANGED ON]]</f>
        <v>5.7429282407392748</v>
      </c>
      <c r="N3601">
        <f ca="1">qry_ProdData2_PDI_Cash_Exception_Application[[#This Row],[TODAY]]-qry_ProdData2_PDI_Cash_Exception_Application[[#This Row],[CHANGED ON]]</f>
        <v>5.7429282407392748</v>
      </c>
    </row>
    <row r="3602" spans="1:14" x14ac:dyDescent="0.35">
      <c r="A3602">
        <v>1009</v>
      </c>
      <c r="B3602" t="s">
        <v>63</v>
      </c>
      <c r="C3602" s="1">
        <v>45195.257071759261</v>
      </c>
      <c r="D3602" t="str">
        <f ca="1">VLOOKUP(qry_ProdData2_PDI_Cash_Exception_Application[[#This Row],[TYPE]],#REF!,2,FALSE)</f>
        <v>type40</v>
      </c>
      <c r="E3602">
        <v>-384.9</v>
      </c>
      <c r="F3602" t="s">
        <v>48</v>
      </c>
      <c r="G3602" s="1">
        <f>qry_ProdData2_PDI_Cash_Exception_Application[[#This Row],[INSERT DATE]]+2</f>
        <v>45197.257071759261</v>
      </c>
      <c r="H3602" t="str">
        <f>VLOOKUP(qry_ProdData2_PDI_Cash_Exception_Application[[#This Row],[MARKET No]],'Site Allocation'!$B$2:$C$37,2,FALSE)</f>
        <v>Analyst2</v>
      </c>
      <c r="I3602" s="4">
        <f t="shared" ca="1" si="56"/>
        <v>45203</v>
      </c>
      <c r="J3602" s="42">
        <f ca="1">TODAY()-qry_ProdData2_PDI_Cash_Exception_Application[[#This Row],[INSERT DATE]]</f>
        <v>7.7429282407392748</v>
      </c>
      <c r="K36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02">
        <f ca="1">qry_ProdData2_PDI_Cash_Exception_Application[[#This Row],[TODAY]]-qry_ProdData2_PDI_Cash_Exception_Application[[#This Row],[CHANGED ON]]</f>
        <v>5.7429282407392748</v>
      </c>
      <c r="M3602">
        <f ca="1">qry_ProdData2_PDI_Cash_Exception_Application[[#This Row],[TODAY]]-qry_ProdData2_PDI_Cash_Exception_Application[[#This Row],[CHANGED ON]]</f>
        <v>5.7429282407392748</v>
      </c>
      <c r="N3602">
        <f ca="1">qry_ProdData2_PDI_Cash_Exception_Application[[#This Row],[TODAY]]-qry_ProdData2_PDI_Cash_Exception_Application[[#This Row],[CHANGED ON]]</f>
        <v>5.7429282407392748</v>
      </c>
    </row>
    <row r="3603" spans="1:14" x14ac:dyDescent="0.35">
      <c r="A3603">
        <v>1007</v>
      </c>
      <c r="B3603" t="s">
        <v>61</v>
      </c>
      <c r="C3603" s="1">
        <v>45187.257071759261</v>
      </c>
      <c r="D3603" t="str">
        <f ca="1">VLOOKUP(qry_ProdData2_PDI_Cash_Exception_Application[[#This Row],[TYPE]],#REF!,2,FALSE)</f>
        <v>type13</v>
      </c>
      <c r="E3603">
        <v>15483.85</v>
      </c>
      <c r="G3603" s="1">
        <f>qry_ProdData2_PDI_Cash_Exception_Application[[#This Row],[INSERT DATE]]+1</f>
        <v>45188.257071759261</v>
      </c>
      <c r="H3603" t="str">
        <f>VLOOKUP(qry_ProdData2_PDI_Cash_Exception_Application[[#This Row],[MARKET No]],'Site Allocation'!$B$2:$C$37,2,FALSE)</f>
        <v>Analyst2</v>
      </c>
      <c r="I3603" s="4">
        <f t="shared" ca="1" si="56"/>
        <v>45203</v>
      </c>
      <c r="J3603" s="42">
        <f ca="1">TODAY()-qry_ProdData2_PDI_Cash_Exception_Application[[#This Row],[INSERT DATE]]</f>
        <v>15.742928240739275</v>
      </c>
      <c r="K36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03">
        <f ca="1">qry_ProdData2_PDI_Cash_Exception_Application[[#This Row],[TODAY]]-qry_ProdData2_PDI_Cash_Exception_Application[[#This Row],[CHANGED ON]]</f>
        <v>14.742928240739275</v>
      </c>
      <c r="M3603">
        <f ca="1">qry_ProdData2_PDI_Cash_Exception_Application[[#This Row],[TODAY]]-qry_ProdData2_PDI_Cash_Exception_Application[[#This Row],[CHANGED ON]]</f>
        <v>14.742928240739275</v>
      </c>
      <c r="N3603">
        <f ca="1">qry_ProdData2_PDI_Cash_Exception_Application[[#This Row],[TODAY]]-qry_ProdData2_PDI_Cash_Exception_Application[[#This Row],[CHANGED ON]]</f>
        <v>14.742928240739275</v>
      </c>
    </row>
    <row r="3604" spans="1:14" x14ac:dyDescent="0.35">
      <c r="A3604">
        <v>1027</v>
      </c>
      <c r="B3604" t="s">
        <v>81</v>
      </c>
      <c r="C3604" s="1">
        <v>45194.257071759261</v>
      </c>
      <c r="D3604" t="str">
        <f ca="1">VLOOKUP(qry_ProdData2_PDI_Cash_Exception_Application[[#This Row],[TYPE]],#REF!,2,FALSE)</f>
        <v>type40</v>
      </c>
      <c r="E3604">
        <v>-741.31</v>
      </c>
      <c r="G3604" s="1">
        <f>qry_ProdData2_PDI_Cash_Exception_Application[[#This Row],[INSERT DATE]]+5</f>
        <v>45199.257071759261</v>
      </c>
      <c r="H3604" t="str">
        <f>VLOOKUP(qry_ProdData2_PDI_Cash_Exception_Application[[#This Row],[MARKET No]],'Site Allocation'!$B$2:$C$37,2,FALSE)</f>
        <v>Analyst5</v>
      </c>
      <c r="I3604" s="4">
        <f t="shared" ca="1" si="56"/>
        <v>45203</v>
      </c>
      <c r="J3604" s="42">
        <f ca="1">TODAY()-qry_ProdData2_PDI_Cash_Exception_Application[[#This Row],[INSERT DATE]]</f>
        <v>8.7429282407392748</v>
      </c>
      <c r="K36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04">
        <f ca="1">qry_ProdData2_PDI_Cash_Exception_Application[[#This Row],[TODAY]]-qry_ProdData2_PDI_Cash_Exception_Application[[#This Row],[CHANGED ON]]</f>
        <v>3.7429282407392748</v>
      </c>
      <c r="M3604">
        <f ca="1">qry_ProdData2_PDI_Cash_Exception_Application[[#This Row],[TODAY]]-qry_ProdData2_PDI_Cash_Exception_Application[[#This Row],[CHANGED ON]]</f>
        <v>3.7429282407392748</v>
      </c>
      <c r="N3604">
        <f ca="1">qry_ProdData2_PDI_Cash_Exception_Application[[#This Row],[TODAY]]-qry_ProdData2_PDI_Cash_Exception_Application[[#This Row],[CHANGED ON]]</f>
        <v>3.7429282407392748</v>
      </c>
    </row>
    <row r="3605" spans="1:14" x14ac:dyDescent="0.35">
      <c r="A3605">
        <v>1013</v>
      </c>
      <c r="B3605" t="s">
        <v>67</v>
      </c>
      <c r="C3605" s="1">
        <v>45181.257071759261</v>
      </c>
      <c r="D3605" t="str">
        <f ca="1">VLOOKUP(qry_ProdData2_PDI_Cash_Exception_Application[[#This Row],[TYPE]],#REF!,2,FALSE)</f>
        <v>type40</v>
      </c>
      <c r="E3605">
        <v>408.08</v>
      </c>
      <c r="F3605" t="s">
        <v>52</v>
      </c>
      <c r="G3605" s="1">
        <f>qry_ProdData2_PDI_Cash_Exception_Application[[#This Row],[INSERT DATE]]+1</f>
        <v>45182.257071759261</v>
      </c>
      <c r="H3605" t="str">
        <f>VLOOKUP(qry_ProdData2_PDI_Cash_Exception_Application[[#This Row],[MARKET No]],'Site Allocation'!$B$2:$C$37,2,FALSE)</f>
        <v>Analyst3</v>
      </c>
      <c r="I3605" s="4">
        <f t="shared" ca="1" si="56"/>
        <v>45203</v>
      </c>
      <c r="J3605" s="42">
        <f ca="1">TODAY()-qry_ProdData2_PDI_Cash_Exception_Application[[#This Row],[INSERT DATE]]</f>
        <v>21.742928240739275</v>
      </c>
      <c r="K36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05">
        <f ca="1">qry_ProdData2_PDI_Cash_Exception_Application[[#This Row],[TODAY]]-qry_ProdData2_PDI_Cash_Exception_Application[[#This Row],[CHANGED ON]]</f>
        <v>20.742928240739275</v>
      </c>
      <c r="M3605">
        <f ca="1">qry_ProdData2_PDI_Cash_Exception_Application[[#This Row],[TODAY]]-qry_ProdData2_PDI_Cash_Exception_Application[[#This Row],[CHANGED ON]]</f>
        <v>20.742928240739275</v>
      </c>
      <c r="N3605">
        <f ca="1">qry_ProdData2_PDI_Cash_Exception_Application[[#This Row],[TODAY]]-qry_ProdData2_PDI_Cash_Exception_Application[[#This Row],[CHANGED ON]]</f>
        <v>20.742928240739275</v>
      </c>
    </row>
    <row r="3606" spans="1:14" x14ac:dyDescent="0.35">
      <c r="A3606">
        <v>1010</v>
      </c>
      <c r="B3606" t="s">
        <v>64</v>
      </c>
      <c r="C3606" s="1">
        <v>45195.257071759261</v>
      </c>
      <c r="D3606" t="str">
        <f ca="1">VLOOKUP(qry_ProdData2_PDI_Cash_Exception_Application[[#This Row],[TYPE]],#REF!,2,FALSE)</f>
        <v>type13</v>
      </c>
      <c r="E3606">
        <v>21544.93</v>
      </c>
      <c r="G3606" s="1">
        <f>qry_ProdData2_PDI_Cash_Exception_Application[[#This Row],[INSERT DATE]]+7</f>
        <v>45202.257071759261</v>
      </c>
      <c r="H3606" t="str">
        <f>VLOOKUP(qry_ProdData2_PDI_Cash_Exception_Application[[#This Row],[MARKET No]],'Site Allocation'!$B$2:$C$37,2,FALSE)</f>
        <v>Analyst2</v>
      </c>
      <c r="I3606" s="4">
        <f t="shared" ca="1" si="56"/>
        <v>45203</v>
      </c>
      <c r="J3606" s="42">
        <f ca="1">TODAY()-qry_ProdData2_PDI_Cash_Exception_Application[[#This Row],[INSERT DATE]]</f>
        <v>7.7429282407392748</v>
      </c>
      <c r="K36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06">
        <f ca="1">qry_ProdData2_PDI_Cash_Exception_Application[[#This Row],[TODAY]]-qry_ProdData2_PDI_Cash_Exception_Application[[#This Row],[CHANGED ON]]</f>
        <v>0.74292824073927477</v>
      </c>
      <c r="M3606">
        <f ca="1">qry_ProdData2_PDI_Cash_Exception_Application[[#This Row],[TODAY]]-qry_ProdData2_PDI_Cash_Exception_Application[[#This Row],[CHANGED ON]]</f>
        <v>0.74292824073927477</v>
      </c>
      <c r="N3606">
        <f ca="1">qry_ProdData2_PDI_Cash_Exception_Application[[#This Row],[TODAY]]-qry_ProdData2_PDI_Cash_Exception_Application[[#This Row],[CHANGED ON]]</f>
        <v>0.74292824073927477</v>
      </c>
    </row>
    <row r="3607" spans="1:14" x14ac:dyDescent="0.35">
      <c r="A3607">
        <v>1000</v>
      </c>
      <c r="B3607" t="s">
        <v>54</v>
      </c>
      <c r="C3607" s="1">
        <v>45182.257071759261</v>
      </c>
      <c r="D3607" t="str">
        <f ca="1">VLOOKUP(qry_ProdData2_PDI_Cash_Exception_Application[[#This Row],[TYPE]],#REF!,2,FALSE)</f>
        <v>type13</v>
      </c>
      <c r="E3607">
        <v>16451.349999999999</v>
      </c>
      <c r="F3607" t="s">
        <v>50</v>
      </c>
      <c r="G3607" s="1">
        <f>qry_ProdData2_PDI_Cash_Exception_Application[[#This Row],[INSERT DATE]]+1</f>
        <v>45183.257071759261</v>
      </c>
      <c r="H3607" t="str">
        <f>VLOOKUP(qry_ProdData2_PDI_Cash_Exception_Application[[#This Row],[MARKET No]],'Site Allocation'!$B$2:$C$37,2,FALSE)</f>
        <v>Analyst1</v>
      </c>
      <c r="I3607" s="4">
        <f t="shared" ca="1" si="56"/>
        <v>45203</v>
      </c>
      <c r="J3607" s="42">
        <f ca="1">TODAY()-qry_ProdData2_PDI_Cash_Exception_Application[[#This Row],[INSERT DATE]]</f>
        <v>20.742928240739275</v>
      </c>
      <c r="K36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07">
        <f ca="1">qry_ProdData2_PDI_Cash_Exception_Application[[#This Row],[TODAY]]-qry_ProdData2_PDI_Cash_Exception_Application[[#This Row],[CHANGED ON]]</f>
        <v>19.742928240739275</v>
      </c>
      <c r="M3607">
        <f ca="1">qry_ProdData2_PDI_Cash_Exception_Application[[#This Row],[TODAY]]-qry_ProdData2_PDI_Cash_Exception_Application[[#This Row],[CHANGED ON]]</f>
        <v>19.742928240739275</v>
      </c>
      <c r="N3607">
        <f ca="1">qry_ProdData2_PDI_Cash_Exception_Application[[#This Row],[TODAY]]-qry_ProdData2_PDI_Cash_Exception_Application[[#This Row],[CHANGED ON]]</f>
        <v>19.742928240739275</v>
      </c>
    </row>
    <row r="3608" spans="1:14" x14ac:dyDescent="0.35">
      <c r="A3608">
        <v>1017</v>
      </c>
      <c r="B3608" t="s">
        <v>71</v>
      </c>
      <c r="C3608" s="1">
        <v>45183.257071759261</v>
      </c>
      <c r="D3608" t="str">
        <f ca="1">VLOOKUP(qry_ProdData2_PDI_Cash_Exception_Application[[#This Row],[TYPE]],#REF!,2,FALSE)</f>
        <v>type40</v>
      </c>
      <c r="E3608">
        <v>813.48</v>
      </c>
      <c r="F3608" t="s">
        <v>50</v>
      </c>
      <c r="G3608" s="1">
        <f>qry_ProdData2_PDI_Cash_Exception_Application[[#This Row],[INSERT DATE]]+1</f>
        <v>45184.257071759261</v>
      </c>
      <c r="H3608" t="str">
        <f>VLOOKUP(qry_ProdData2_PDI_Cash_Exception_Application[[#This Row],[MARKET No]],'Site Allocation'!$B$2:$C$37,2,FALSE)</f>
        <v>Analyst3</v>
      </c>
      <c r="I3608" s="4">
        <f t="shared" ca="1" si="56"/>
        <v>45203</v>
      </c>
      <c r="J3608" s="42">
        <f ca="1">TODAY()-qry_ProdData2_PDI_Cash_Exception_Application[[#This Row],[INSERT DATE]]</f>
        <v>19.742928240739275</v>
      </c>
      <c r="K36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08">
        <f ca="1">qry_ProdData2_PDI_Cash_Exception_Application[[#This Row],[TODAY]]-qry_ProdData2_PDI_Cash_Exception_Application[[#This Row],[CHANGED ON]]</f>
        <v>18.742928240739275</v>
      </c>
      <c r="M3608">
        <f ca="1">qry_ProdData2_PDI_Cash_Exception_Application[[#This Row],[TODAY]]-qry_ProdData2_PDI_Cash_Exception_Application[[#This Row],[CHANGED ON]]</f>
        <v>18.742928240739275</v>
      </c>
      <c r="N3608">
        <f ca="1">qry_ProdData2_PDI_Cash_Exception_Application[[#This Row],[TODAY]]-qry_ProdData2_PDI_Cash_Exception_Application[[#This Row],[CHANGED ON]]</f>
        <v>18.742928240739275</v>
      </c>
    </row>
    <row r="3609" spans="1:14" x14ac:dyDescent="0.35">
      <c r="A3609">
        <v>1014</v>
      </c>
      <c r="B3609" t="s">
        <v>68</v>
      </c>
      <c r="C3609" s="1">
        <v>45193.257071759261</v>
      </c>
      <c r="D3609" t="str">
        <f ca="1">VLOOKUP(qry_ProdData2_PDI_Cash_Exception_Application[[#This Row],[TYPE]],#REF!,2,FALSE)</f>
        <v>type40</v>
      </c>
      <c r="E3609">
        <v>-459.99</v>
      </c>
      <c r="F3609" t="s">
        <v>51</v>
      </c>
      <c r="G3609" s="1">
        <f>qry_ProdData2_PDI_Cash_Exception_Application[[#This Row],[INSERT DATE]]+2</f>
        <v>45195.257071759261</v>
      </c>
      <c r="H3609" t="str">
        <f>VLOOKUP(qry_ProdData2_PDI_Cash_Exception_Application[[#This Row],[MARKET No]],'Site Allocation'!$B$2:$C$37,2,FALSE)</f>
        <v>Analyst3</v>
      </c>
      <c r="I3609" s="4">
        <f t="shared" ca="1" si="56"/>
        <v>45203</v>
      </c>
      <c r="J3609" s="42">
        <f ca="1">TODAY()-qry_ProdData2_PDI_Cash_Exception_Application[[#This Row],[INSERT DATE]]</f>
        <v>9.7429282407392748</v>
      </c>
      <c r="K36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09">
        <f ca="1">qry_ProdData2_PDI_Cash_Exception_Application[[#This Row],[TODAY]]-qry_ProdData2_PDI_Cash_Exception_Application[[#This Row],[CHANGED ON]]</f>
        <v>7.7429282407392748</v>
      </c>
      <c r="M3609">
        <f ca="1">qry_ProdData2_PDI_Cash_Exception_Application[[#This Row],[TODAY]]-qry_ProdData2_PDI_Cash_Exception_Application[[#This Row],[CHANGED ON]]</f>
        <v>7.7429282407392748</v>
      </c>
      <c r="N3609">
        <f ca="1">qry_ProdData2_PDI_Cash_Exception_Application[[#This Row],[TODAY]]-qry_ProdData2_PDI_Cash_Exception_Application[[#This Row],[CHANGED ON]]</f>
        <v>7.7429282407392748</v>
      </c>
    </row>
    <row r="3610" spans="1:14" x14ac:dyDescent="0.35">
      <c r="A3610">
        <v>1026</v>
      </c>
      <c r="B3610" t="s">
        <v>80</v>
      </c>
      <c r="C3610" s="1">
        <v>45194.257071759261</v>
      </c>
      <c r="D3610" t="str">
        <f ca="1">VLOOKUP(qry_ProdData2_PDI_Cash_Exception_Application[[#This Row],[TYPE]],#REF!,2,FALSE)</f>
        <v>type13</v>
      </c>
      <c r="E3610">
        <v>12088.44</v>
      </c>
      <c r="G3610" s="1">
        <f>qry_ProdData2_PDI_Cash_Exception_Application[[#This Row],[INSERT DATE]]+1</f>
        <v>45195.257071759261</v>
      </c>
      <c r="H3610" t="str">
        <f>VLOOKUP(qry_ProdData2_PDI_Cash_Exception_Application[[#This Row],[MARKET No]],'Site Allocation'!$B$2:$C$37,2,FALSE)</f>
        <v>Analyst5</v>
      </c>
      <c r="I3610" s="4">
        <f t="shared" ca="1" si="56"/>
        <v>45203</v>
      </c>
      <c r="J3610" s="42">
        <f ca="1">TODAY()-qry_ProdData2_PDI_Cash_Exception_Application[[#This Row],[INSERT DATE]]</f>
        <v>8.7429282407392748</v>
      </c>
      <c r="K36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10">
        <f ca="1">qry_ProdData2_PDI_Cash_Exception_Application[[#This Row],[TODAY]]-qry_ProdData2_PDI_Cash_Exception_Application[[#This Row],[CHANGED ON]]</f>
        <v>7.7429282407392748</v>
      </c>
      <c r="M3610">
        <f ca="1">qry_ProdData2_PDI_Cash_Exception_Application[[#This Row],[TODAY]]-qry_ProdData2_PDI_Cash_Exception_Application[[#This Row],[CHANGED ON]]</f>
        <v>7.7429282407392748</v>
      </c>
      <c r="N3610">
        <f ca="1">qry_ProdData2_PDI_Cash_Exception_Application[[#This Row],[TODAY]]-qry_ProdData2_PDI_Cash_Exception_Application[[#This Row],[CHANGED ON]]</f>
        <v>7.7429282407392748</v>
      </c>
    </row>
    <row r="3611" spans="1:14" x14ac:dyDescent="0.35">
      <c r="A3611">
        <v>1008</v>
      </c>
      <c r="B3611" t="s">
        <v>62</v>
      </c>
      <c r="C3611" s="1">
        <v>45193.257071759261</v>
      </c>
      <c r="D3611" t="str">
        <f ca="1">VLOOKUP(qry_ProdData2_PDI_Cash_Exception_Application[[#This Row],[TYPE]],#REF!,2,FALSE)</f>
        <v>type40</v>
      </c>
      <c r="E3611">
        <v>-15249.53</v>
      </c>
      <c r="G3611" s="1">
        <f>qry_ProdData2_PDI_Cash_Exception_Application[[#This Row],[INSERT DATE]]+2</f>
        <v>45195.257071759261</v>
      </c>
      <c r="H3611" t="str">
        <f>VLOOKUP(qry_ProdData2_PDI_Cash_Exception_Application[[#This Row],[MARKET No]],'Site Allocation'!$B$2:$C$37,2,FALSE)</f>
        <v>Analyst2</v>
      </c>
      <c r="I3611" s="4">
        <f t="shared" ca="1" si="56"/>
        <v>45203</v>
      </c>
      <c r="J3611" s="42">
        <f ca="1">TODAY()-qry_ProdData2_PDI_Cash_Exception_Application[[#This Row],[INSERT DATE]]</f>
        <v>9.7429282407392748</v>
      </c>
      <c r="K36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11">
        <f ca="1">qry_ProdData2_PDI_Cash_Exception_Application[[#This Row],[TODAY]]-qry_ProdData2_PDI_Cash_Exception_Application[[#This Row],[CHANGED ON]]</f>
        <v>7.7429282407392748</v>
      </c>
      <c r="M3611">
        <f ca="1">qry_ProdData2_PDI_Cash_Exception_Application[[#This Row],[TODAY]]-qry_ProdData2_PDI_Cash_Exception_Application[[#This Row],[CHANGED ON]]</f>
        <v>7.7429282407392748</v>
      </c>
      <c r="N3611">
        <f ca="1">qry_ProdData2_PDI_Cash_Exception_Application[[#This Row],[TODAY]]-qry_ProdData2_PDI_Cash_Exception_Application[[#This Row],[CHANGED ON]]</f>
        <v>7.7429282407392748</v>
      </c>
    </row>
    <row r="3612" spans="1:14" x14ac:dyDescent="0.35">
      <c r="A3612">
        <v>1001</v>
      </c>
      <c r="B3612" t="s">
        <v>55</v>
      </c>
      <c r="C3612" s="1">
        <v>45196.257071759261</v>
      </c>
      <c r="D3612" t="str">
        <f ca="1">VLOOKUP(qry_ProdData2_PDI_Cash_Exception_Application[[#This Row],[TYPE]],#REF!,2,FALSE)</f>
        <v>type13</v>
      </c>
      <c r="E3612">
        <v>21740.07</v>
      </c>
      <c r="G3612" s="1">
        <f>qry_ProdData2_PDI_Cash_Exception_Application[[#This Row],[INSERT DATE]]+2</f>
        <v>45198.257071759261</v>
      </c>
      <c r="H3612" t="str">
        <f>VLOOKUP(qry_ProdData2_PDI_Cash_Exception_Application[[#This Row],[MARKET No]],'Site Allocation'!$B$2:$C$37,2,FALSE)</f>
        <v>Analyst1</v>
      </c>
      <c r="I3612" s="4">
        <f t="shared" ca="1" si="56"/>
        <v>45203</v>
      </c>
      <c r="J3612" s="42">
        <f ca="1">TODAY()-qry_ProdData2_PDI_Cash_Exception_Application[[#This Row],[INSERT DATE]]</f>
        <v>6.7429282407392748</v>
      </c>
      <c r="K36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12">
        <f ca="1">qry_ProdData2_PDI_Cash_Exception_Application[[#This Row],[TODAY]]-qry_ProdData2_PDI_Cash_Exception_Application[[#This Row],[CHANGED ON]]</f>
        <v>4.7429282407392748</v>
      </c>
      <c r="M3612">
        <f ca="1">qry_ProdData2_PDI_Cash_Exception_Application[[#This Row],[TODAY]]-qry_ProdData2_PDI_Cash_Exception_Application[[#This Row],[CHANGED ON]]</f>
        <v>4.7429282407392748</v>
      </c>
      <c r="N3612">
        <f ca="1">qry_ProdData2_PDI_Cash_Exception_Application[[#This Row],[TODAY]]-qry_ProdData2_PDI_Cash_Exception_Application[[#This Row],[CHANGED ON]]</f>
        <v>4.7429282407392748</v>
      </c>
    </row>
    <row r="3613" spans="1:14" x14ac:dyDescent="0.35">
      <c r="A3613">
        <v>1033</v>
      </c>
      <c r="B3613" t="s">
        <v>87</v>
      </c>
      <c r="C3613" s="1">
        <v>45190.257071759261</v>
      </c>
      <c r="D3613" t="str">
        <f ca="1">VLOOKUP(qry_ProdData2_PDI_Cash_Exception_Application[[#This Row],[TYPE]],#REF!,2,FALSE)</f>
        <v>type13</v>
      </c>
      <c r="E3613">
        <v>30094.97</v>
      </c>
      <c r="F3613" t="str">
        <f>qry_ProdData2_PDI_Cash_Exception_Application[[#This Row],[ANALYST]]</f>
        <v>Analyst6</v>
      </c>
      <c r="G3613" s="1">
        <f>qry_ProdData2_PDI_Cash_Exception_Application[[#This Row],[INSERT DATE]]+2</f>
        <v>45192.257071759261</v>
      </c>
      <c r="H3613" t="str">
        <f>VLOOKUP(qry_ProdData2_PDI_Cash_Exception_Application[[#This Row],[MARKET No]],'Site Allocation'!$B$2:$C$37,2,FALSE)</f>
        <v>Analyst6</v>
      </c>
      <c r="I3613" s="4">
        <f t="shared" ca="1" si="56"/>
        <v>45203</v>
      </c>
      <c r="J3613" s="42">
        <f ca="1">TODAY()-qry_ProdData2_PDI_Cash_Exception_Application[[#This Row],[INSERT DATE]]</f>
        <v>12.742928240739275</v>
      </c>
      <c r="K36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13">
        <f ca="1">qry_ProdData2_PDI_Cash_Exception_Application[[#This Row],[TODAY]]-qry_ProdData2_PDI_Cash_Exception_Application[[#This Row],[CHANGED ON]]</f>
        <v>10.742928240739275</v>
      </c>
      <c r="M3613">
        <f ca="1">qry_ProdData2_PDI_Cash_Exception_Application[[#This Row],[TODAY]]-qry_ProdData2_PDI_Cash_Exception_Application[[#This Row],[CHANGED ON]]</f>
        <v>10.742928240739275</v>
      </c>
      <c r="N3613">
        <f ca="1">qry_ProdData2_PDI_Cash_Exception_Application[[#This Row],[TODAY]]-qry_ProdData2_PDI_Cash_Exception_Application[[#This Row],[CHANGED ON]]</f>
        <v>10.742928240739275</v>
      </c>
    </row>
    <row r="3614" spans="1:14" x14ac:dyDescent="0.35">
      <c r="A3614">
        <v>1022</v>
      </c>
      <c r="B3614" t="s">
        <v>76</v>
      </c>
      <c r="C3614" s="1">
        <v>45194.257071759261</v>
      </c>
      <c r="D3614" t="str">
        <f ca="1">VLOOKUP(qry_ProdData2_PDI_Cash_Exception_Application[[#This Row],[TYPE]],#REF!,2,FALSE)</f>
        <v>type40</v>
      </c>
      <c r="E3614">
        <v>3142.53</v>
      </c>
      <c r="F3614" t="s">
        <v>51</v>
      </c>
      <c r="G3614" s="1">
        <f>qry_ProdData2_PDI_Cash_Exception_Application[[#This Row],[INSERT DATE]]+7</f>
        <v>45201.257071759261</v>
      </c>
      <c r="H3614" t="str">
        <f>VLOOKUP(qry_ProdData2_PDI_Cash_Exception_Application[[#This Row],[MARKET No]],'Site Allocation'!$B$2:$C$37,2,FALSE)</f>
        <v>Analyst4</v>
      </c>
      <c r="I3614" s="4">
        <f t="shared" ca="1" si="56"/>
        <v>45203</v>
      </c>
      <c r="J3614" s="42">
        <f ca="1">TODAY()-qry_ProdData2_PDI_Cash_Exception_Application[[#This Row],[INSERT DATE]]</f>
        <v>8.7429282407392748</v>
      </c>
      <c r="K36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14">
        <f ca="1">qry_ProdData2_PDI_Cash_Exception_Application[[#This Row],[TODAY]]-qry_ProdData2_PDI_Cash_Exception_Application[[#This Row],[CHANGED ON]]</f>
        <v>1.7429282407392748</v>
      </c>
      <c r="M3614">
        <f ca="1">qry_ProdData2_PDI_Cash_Exception_Application[[#This Row],[TODAY]]-qry_ProdData2_PDI_Cash_Exception_Application[[#This Row],[CHANGED ON]]</f>
        <v>1.7429282407392748</v>
      </c>
      <c r="N3614">
        <f ca="1">qry_ProdData2_PDI_Cash_Exception_Application[[#This Row],[TODAY]]-qry_ProdData2_PDI_Cash_Exception_Application[[#This Row],[CHANGED ON]]</f>
        <v>1.7429282407392748</v>
      </c>
    </row>
    <row r="3615" spans="1:14" x14ac:dyDescent="0.35">
      <c r="A3615">
        <v>1019</v>
      </c>
      <c r="B3615" t="s">
        <v>73</v>
      </c>
      <c r="C3615" s="1">
        <v>45192.257071759261</v>
      </c>
      <c r="D3615" t="str">
        <f ca="1">VLOOKUP(qry_ProdData2_PDI_Cash_Exception_Application[[#This Row],[TYPE]],#REF!,2,FALSE)</f>
        <v>type40</v>
      </c>
      <c r="E3615">
        <v>326.27999999999997</v>
      </c>
      <c r="G3615" s="1">
        <f>qry_ProdData2_PDI_Cash_Exception_Application[[#This Row],[INSERT DATE]]+2</f>
        <v>45194.257071759261</v>
      </c>
      <c r="H3615" t="str">
        <f>VLOOKUP(qry_ProdData2_PDI_Cash_Exception_Application[[#This Row],[MARKET No]],'Site Allocation'!$B$2:$C$37,2,FALSE)</f>
        <v>Analyst4</v>
      </c>
      <c r="I3615" s="4">
        <f t="shared" ca="1" si="56"/>
        <v>45203</v>
      </c>
      <c r="J3615" s="42">
        <f ca="1">TODAY()-qry_ProdData2_PDI_Cash_Exception_Application[[#This Row],[INSERT DATE]]</f>
        <v>10.742928240739275</v>
      </c>
      <c r="K36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15">
        <f ca="1">qry_ProdData2_PDI_Cash_Exception_Application[[#This Row],[TODAY]]-qry_ProdData2_PDI_Cash_Exception_Application[[#This Row],[CHANGED ON]]</f>
        <v>8.7429282407392748</v>
      </c>
      <c r="M3615">
        <f ca="1">qry_ProdData2_PDI_Cash_Exception_Application[[#This Row],[TODAY]]-qry_ProdData2_PDI_Cash_Exception_Application[[#This Row],[CHANGED ON]]</f>
        <v>8.7429282407392748</v>
      </c>
      <c r="N3615">
        <f ca="1">qry_ProdData2_PDI_Cash_Exception_Application[[#This Row],[TODAY]]-qry_ProdData2_PDI_Cash_Exception_Application[[#This Row],[CHANGED ON]]</f>
        <v>8.7429282407392748</v>
      </c>
    </row>
    <row r="3616" spans="1:14" x14ac:dyDescent="0.35">
      <c r="A3616">
        <v>1012</v>
      </c>
      <c r="B3616" t="s">
        <v>66</v>
      </c>
      <c r="C3616" s="1">
        <v>45195.257071759261</v>
      </c>
      <c r="D3616" t="str">
        <f ca="1">VLOOKUP(qry_ProdData2_PDI_Cash_Exception_Application[[#This Row],[TYPE]],#REF!,2,FALSE)</f>
        <v>type40</v>
      </c>
      <c r="E3616">
        <v>-631.11</v>
      </c>
      <c r="G3616" s="1">
        <f>qry_ProdData2_PDI_Cash_Exception_Application[[#This Row],[INSERT DATE]]+2</f>
        <v>45197.257071759261</v>
      </c>
      <c r="H3616" t="str">
        <f>VLOOKUP(qry_ProdData2_PDI_Cash_Exception_Application[[#This Row],[MARKET No]],'Site Allocation'!$B$2:$C$37,2,FALSE)</f>
        <v>Analyst3</v>
      </c>
      <c r="I3616" s="4">
        <f t="shared" ca="1" si="56"/>
        <v>45203</v>
      </c>
      <c r="J3616" s="42">
        <f ca="1">TODAY()-qry_ProdData2_PDI_Cash_Exception_Application[[#This Row],[INSERT DATE]]</f>
        <v>7.7429282407392748</v>
      </c>
      <c r="K36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16">
        <f ca="1">qry_ProdData2_PDI_Cash_Exception_Application[[#This Row],[TODAY]]-qry_ProdData2_PDI_Cash_Exception_Application[[#This Row],[CHANGED ON]]</f>
        <v>5.7429282407392748</v>
      </c>
      <c r="M3616">
        <f ca="1">qry_ProdData2_PDI_Cash_Exception_Application[[#This Row],[TODAY]]-qry_ProdData2_PDI_Cash_Exception_Application[[#This Row],[CHANGED ON]]</f>
        <v>5.7429282407392748</v>
      </c>
      <c r="N3616">
        <f ca="1">qry_ProdData2_PDI_Cash_Exception_Application[[#This Row],[TODAY]]-qry_ProdData2_PDI_Cash_Exception_Application[[#This Row],[CHANGED ON]]</f>
        <v>5.7429282407392748</v>
      </c>
    </row>
    <row r="3617" spans="1:14" x14ac:dyDescent="0.35">
      <c r="A3617">
        <v>1006</v>
      </c>
      <c r="B3617" t="s">
        <v>60</v>
      </c>
      <c r="C3617" s="1">
        <v>45188.257071759261</v>
      </c>
      <c r="D3617" t="str">
        <f ca="1">VLOOKUP(qry_ProdData2_PDI_Cash_Exception_Application[[#This Row],[TYPE]],#REF!,2,FALSE)</f>
        <v>type40</v>
      </c>
      <c r="E3617">
        <v>453.18</v>
      </c>
      <c r="F3617" t="s">
        <v>52</v>
      </c>
      <c r="G3617" s="1">
        <f>qry_ProdData2_PDI_Cash_Exception_Application[[#This Row],[INSERT DATE]]+2</f>
        <v>45190.257071759261</v>
      </c>
      <c r="H3617" t="str">
        <f>VLOOKUP(qry_ProdData2_PDI_Cash_Exception_Application[[#This Row],[MARKET No]],'Site Allocation'!$B$2:$C$37,2,FALSE)</f>
        <v>Analyst2</v>
      </c>
      <c r="I3617" s="4">
        <f t="shared" ca="1" si="56"/>
        <v>45203</v>
      </c>
      <c r="J3617" s="42">
        <f ca="1">TODAY()-qry_ProdData2_PDI_Cash_Exception_Application[[#This Row],[INSERT DATE]]</f>
        <v>14.742928240739275</v>
      </c>
      <c r="K36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17">
        <f ca="1">qry_ProdData2_PDI_Cash_Exception_Application[[#This Row],[TODAY]]-qry_ProdData2_PDI_Cash_Exception_Application[[#This Row],[CHANGED ON]]</f>
        <v>12.742928240739275</v>
      </c>
      <c r="M3617">
        <f ca="1">qry_ProdData2_PDI_Cash_Exception_Application[[#This Row],[TODAY]]-qry_ProdData2_PDI_Cash_Exception_Application[[#This Row],[CHANGED ON]]</f>
        <v>12.742928240739275</v>
      </c>
      <c r="N3617">
        <f ca="1">qry_ProdData2_PDI_Cash_Exception_Application[[#This Row],[TODAY]]-qry_ProdData2_PDI_Cash_Exception_Application[[#This Row],[CHANGED ON]]</f>
        <v>12.742928240739275</v>
      </c>
    </row>
    <row r="3618" spans="1:14" x14ac:dyDescent="0.35">
      <c r="A3618">
        <v>1018</v>
      </c>
      <c r="B3618" t="s">
        <v>72</v>
      </c>
      <c r="C3618" s="1">
        <v>45195.257071759261</v>
      </c>
      <c r="D3618" t="str">
        <f ca="1">VLOOKUP(qry_ProdData2_PDI_Cash_Exception_Application[[#This Row],[TYPE]],#REF!,2,FALSE)</f>
        <v>type40</v>
      </c>
      <c r="E3618">
        <v>636.95000000000005</v>
      </c>
      <c r="F3618" t="s">
        <v>51</v>
      </c>
      <c r="G3618" s="1">
        <f>qry_ProdData2_PDI_Cash_Exception_Application[[#This Row],[INSERT DATE]]+7</f>
        <v>45202.257071759261</v>
      </c>
      <c r="H3618" t="str">
        <f>VLOOKUP(qry_ProdData2_PDI_Cash_Exception_Application[[#This Row],[MARKET No]],'Site Allocation'!$B$2:$C$37,2,FALSE)</f>
        <v>Analyst4</v>
      </c>
      <c r="I3618" s="4">
        <f t="shared" ca="1" si="56"/>
        <v>45203</v>
      </c>
      <c r="J3618" s="42">
        <f ca="1">TODAY()-qry_ProdData2_PDI_Cash_Exception_Application[[#This Row],[INSERT DATE]]</f>
        <v>7.7429282407392748</v>
      </c>
      <c r="K36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18">
        <f ca="1">qry_ProdData2_PDI_Cash_Exception_Application[[#This Row],[TODAY]]-qry_ProdData2_PDI_Cash_Exception_Application[[#This Row],[CHANGED ON]]</f>
        <v>0.74292824073927477</v>
      </c>
      <c r="M3618">
        <f ca="1">qry_ProdData2_PDI_Cash_Exception_Application[[#This Row],[TODAY]]-qry_ProdData2_PDI_Cash_Exception_Application[[#This Row],[CHANGED ON]]</f>
        <v>0.74292824073927477</v>
      </c>
      <c r="N3618">
        <f ca="1">qry_ProdData2_PDI_Cash_Exception_Application[[#This Row],[TODAY]]-qry_ProdData2_PDI_Cash_Exception_Application[[#This Row],[CHANGED ON]]</f>
        <v>0.74292824073927477</v>
      </c>
    </row>
    <row r="3619" spans="1:14" x14ac:dyDescent="0.35">
      <c r="A3619">
        <v>1012</v>
      </c>
      <c r="B3619" t="s">
        <v>66</v>
      </c>
      <c r="C3619" s="1">
        <v>45189.257071759261</v>
      </c>
      <c r="D3619" t="str">
        <f ca="1">VLOOKUP(qry_ProdData2_PDI_Cash_Exception_Application[[#This Row],[TYPE]],#REF!,2,FALSE)</f>
        <v>type40</v>
      </c>
      <c r="E3619">
        <v>-761.69</v>
      </c>
      <c r="F3619" t="s">
        <v>52</v>
      </c>
      <c r="G3619" s="1">
        <f>qry_ProdData2_PDI_Cash_Exception_Application[[#This Row],[INSERT DATE]]+2</f>
        <v>45191.257071759261</v>
      </c>
      <c r="H3619" t="str">
        <f>VLOOKUP(qry_ProdData2_PDI_Cash_Exception_Application[[#This Row],[MARKET No]],'Site Allocation'!$B$2:$C$37,2,FALSE)</f>
        <v>Analyst3</v>
      </c>
      <c r="I3619" s="4">
        <f t="shared" ca="1" si="56"/>
        <v>45203</v>
      </c>
      <c r="J3619" s="42">
        <f ca="1">TODAY()-qry_ProdData2_PDI_Cash_Exception_Application[[#This Row],[INSERT DATE]]</f>
        <v>13.742928240739275</v>
      </c>
      <c r="K36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19">
        <f ca="1">qry_ProdData2_PDI_Cash_Exception_Application[[#This Row],[TODAY]]-qry_ProdData2_PDI_Cash_Exception_Application[[#This Row],[CHANGED ON]]</f>
        <v>11.742928240739275</v>
      </c>
      <c r="M3619">
        <f ca="1">qry_ProdData2_PDI_Cash_Exception_Application[[#This Row],[TODAY]]-qry_ProdData2_PDI_Cash_Exception_Application[[#This Row],[CHANGED ON]]</f>
        <v>11.742928240739275</v>
      </c>
      <c r="N3619">
        <f ca="1">qry_ProdData2_PDI_Cash_Exception_Application[[#This Row],[TODAY]]-qry_ProdData2_PDI_Cash_Exception_Application[[#This Row],[CHANGED ON]]</f>
        <v>11.742928240739275</v>
      </c>
    </row>
    <row r="3620" spans="1:14" x14ac:dyDescent="0.35">
      <c r="A3620">
        <v>1013</v>
      </c>
      <c r="B3620" t="s">
        <v>67</v>
      </c>
      <c r="C3620" s="1">
        <v>45195.257071759261</v>
      </c>
      <c r="D3620" t="str">
        <f ca="1">VLOOKUP(qry_ProdData2_PDI_Cash_Exception_Application[[#This Row],[TYPE]],#REF!,2,FALSE)</f>
        <v>type13</v>
      </c>
      <c r="E3620">
        <v>30111.200000000001</v>
      </c>
      <c r="G3620" s="1">
        <f>qry_ProdData2_PDI_Cash_Exception_Application[[#This Row],[INSERT DATE]]+2</f>
        <v>45197.257071759261</v>
      </c>
      <c r="H3620" t="str">
        <f>VLOOKUP(qry_ProdData2_PDI_Cash_Exception_Application[[#This Row],[MARKET No]],'Site Allocation'!$B$2:$C$37,2,FALSE)</f>
        <v>Analyst3</v>
      </c>
      <c r="I3620" s="4">
        <f t="shared" ca="1" si="56"/>
        <v>45203</v>
      </c>
      <c r="J3620" s="42">
        <f ca="1">TODAY()-qry_ProdData2_PDI_Cash_Exception_Application[[#This Row],[INSERT DATE]]</f>
        <v>7.7429282407392748</v>
      </c>
      <c r="K36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20">
        <f ca="1">qry_ProdData2_PDI_Cash_Exception_Application[[#This Row],[TODAY]]-qry_ProdData2_PDI_Cash_Exception_Application[[#This Row],[CHANGED ON]]</f>
        <v>5.7429282407392748</v>
      </c>
      <c r="M3620">
        <f ca="1">qry_ProdData2_PDI_Cash_Exception_Application[[#This Row],[TODAY]]-qry_ProdData2_PDI_Cash_Exception_Application[[#This Row],[CHANGED ON]]</f>
        <v>5.7429282407392748</v>
      </c>
      <c r="N3620">
        <f ca="1">qry_ProdData2_PDI_Cash_Exception_Application[[#This Row],[TODAY]]-qry_ProdData2_PDI_Cash_Exception_Application[[#This Row],[CHANGED ON]]</f>
        <v>5.7429282407392748</v>
      </c>
    </row>
    <row r="3621" spans="1:14" x14ac:dyDescent="0.35">
      <c r="A3621">
        <v>1021</v>
      </c>
      <c r="B3621" t="s">
        <v>75</v>
      </c>
      <c r="C3621" s="1">
        <v>45195.257071759261</v>
      </c>
      <c r="D3621" t="str">
        <f ca="1">VLOOKUP(qry_ProdData2_PDI_Cash_Exception_Application[[#This Row],[TYPE]],#REF!,2,FALSE)</f>
        <v>type40</v>
      </c>
      <c r="E3621">
        <v>1578.84</v>
      </c>
      <c r="G3621" s="1">
        <f>qry_ProdData2_PDI_Cash_Exception_Application[[#This Row],[INSERT DATE]]+1</f>
        <v>45196.257071759261</v>
      </c>
      <c r="H3621" t="str">
        <f>VLOOKUP(qry_ProdData2_PDI_Cash_Exception_Application[[#This Row],[MARKET No]],'Site Allocation'!$B$2:$C$37,2,FALSE)</f>
        <v>Analyst4</v>
      </c>
      <c r="I3621" s="4">
        <f t="shared" ca="1" si="56"/>
        <v>45203</v>
      </c>
      <c r="J3621" s="42">
        <f ca="1">TODAY()-qry_ProdData2_PDI_Cash_Exception_Application[[#This Row],[INSERT DATE]]</f>
        <v>7.7429282407392748</v>
      </c>
      <c r="K36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21">
        <f ca="1">qry_ProdData2_PDI_Cash_Exception_Application[[#This Row],[TODAY]]-qry_ProdData2_PDI_Cash_Exception_Application[[#This Row],[CHANGED ON]]</f>
        <v>6.7429282407392748</v>
      </c>
      <c r="M3621">
        <f ca="1">qry_ProdData2_PDI_Cash_Exception_Application[[#This Row],[TODAY]]-qry_ProdData2_PDI_Cash_Exception_Application[[#This Row],[CHANGED ON]]</f>
        <v>6.7429282407392748</v>
      </c>
      <c r="N3621">
        <f ca="1">qry_ProdData2_PDI_Cash_Exception_Application[[#This Row],[TODAY]]-qry_ProdData2_PDI_Cash_Exception_Application[[#This Row],[CHANGED ON]]</f>
        <v>6.7429282407392748</v>
      </c>
    </row>
    <row r="3622" spans="1:14" x14ac:dyDescent="0.35">
      <c r="A3622">
        <v>1033</v>
      </c>
      <c r="B3622" t="s">
        <v>87</v>
      </c>
      <c r="C3622" s="1">
        <v>45194.257071759261</v>
      </c>
      <c r="D3622" t="str">
        <f ca="1">VLOOKUP(qry_ProdData2_PDI_Cash_Exception_Application[[#This Row],[TYPE]],#REF!,2,FALSE)</f>
        <v>type2</v>
      </c>
      <c r="E3622">
        <v>1023</v>
      </c>
      <c r="F3622" t="s">
        <v>51</v>
      </c>
      <c r="G3622" s="1">
        <f>qry_ProdData2_PDI_Cash_Exception_Application[[#This Row],[INSERT DATE]]+5</f>
        <v>45199.257071759261</v>
      </c>
      <c r="H3622" t="str">
        <f>VLOOKUP(qry_ProdData2_PDI_Cash_Exception_Application[[#This Row],[MARKET No]],'Site Allocation'!$B$2:$C$37,2,FALSE)</f>
        <v>Analyst6</v>
      </c>
      <c r="I3622" s="4">
        <f t="shared" ca="1" si="56"/>
        <v>45203</v>
      </c>
      <c r="J3622" s="42">
        <f ca="1">TODAY()-qry_ProdData2_PDI_Cash_Exception_Application[[#This Row],[INSERT DATE]]</f>
        <v>8.7429282407392748</v>
      </c>
      <c r="K36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22">
        <f ca="1">qry_ProdData2_PDI_Cash_Exception_Application[[#This Row],[TODAY]]-qry_ProdData2_PDI_Cash_Exception_Application[[#This Row],[CHANGED ON]]</f>
        <v>3.7429282407392748</v>
      </c>
      <c r="M3622">
        <f ca="1">qry_ProdData2_PDI_Cash_Exception_Application[[#This Row],[TODAY]]-qry_ProdData2_PDI_Cash_Exception_Application[[#This Row],[CHANGED ON]]</f>
        <v>3.7429282407392748</v>
      </c>
      <c r="N3622">
        <f ca="1">qry_ProdData2_PDI_Cash_Exception_Application[[#This Row],[TODAY]]-qry_ProdData2_PDI_Cash_Exception_Application[[#This Row],[CHANGED ON]]</f>
        <v>3.7429282407392748</v>
      </c>
    </row>
    <row r="3623" spans="1:14" x14ac:dyDescent="0.35">
      <c r="A3623">
        <v>1023</v>
      </c>
      <c r="B3623" t="s">
        <v>77</v>
      </c>
      <c r="C3623" s="1">
        <v>45179.257071759261</v>
      </c>
      <c r="D3623" t="str">
        <f ca="1">VLOOKUP(qry_ProdData2_PDI_Cash_Exception_Application[[#This Row],[TYPE]],#REF!,2,FALSE)</f>
        <v>type40</v>
      </c>
      <c r="E3623">
        <v>2310.29</v>
      </c>
      <c r="G3623" s="1">
        <f>qry_ProdData2_PDI_Cash_Exception_Application[[#This Row],[INSERT DATE]]+2</f>
        <v>45181.257071759261</v>
      </c>
      <c r="H3623" t="str">
        <f>VLOOKUP(qry_ProdData2_PDI_Cash_Exception_Application[[#This Row],[MARKET No]],'Site Allocation'!$B$2:$C$37,2,FALSE)</f>
        <v>Analyst4</v>
      </c>
      <c r="I3623" s="4">
        <f t="shared" ca="1" si="56"/>
        <v>45203</v>
      </c>
      <c r="J3623" s="42">
        <f ca="1">TODAY()-qry_ProdData2_PDI_Cash_Exception_Application[[#This Row],[INSERT DATE]]</f>
        <v>23.742928240739275</v>
      </c>
      <c r="K36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23">
        <f ca="1">qry_ProdData2_PDI_Cash_Exception_Application[[#This Row],[TODAY]]-qry_ProdData2_PDI_Cash_Exception_Application[[#This Row],[CHANGED ON]]</f>
        <v>21.742928240739275</v>
      </c>
      <c r="M3623">
        <f ca="1">qry_ProdData2_PDI_Cash_Exception_Application[[#This Row],[TODAY]]-qry_ProdData2_PDI_Cash_Exception_Application[[#This Row],[CHANGED ON]]</f>
        <v>21.742928240739275</v>
      </c>
      <c r="N3623">
        <f ca="1">qry_ProdData2_PDI_Cash_Exception_Application[[#This Row],[TODAY]]-qry_ProdData2_PDI_Cash_Exception_Application[[#This Row],[CHANGED ON]]</f>
        <v>21.742928240739275</v>
      </c>
    </row>
    <row r="3624" spans="1:14" x14ac:dyDescent="0.35">
      <c r="A3624">
        <v>1034</v>
      </c>
      <c r="B3624" t="s">
        <v>88</v>
      </c>
      <c r="C3624" s="1">
        <v>45193.257071759261</v>
      </c>
      <c r="D3624" t="str">
        <f ca="1">VLOOKUP(qry_ProdData2_PDI_Cash_Exception_Application[[#This Row],[TYPE]],#REF!,2,FALSE)</f>
        <v>type13</v>
      </c>
      <c r="E3624">
        <v>16412.21</v>
      </c>
      <c r="F3624" t="s">
        <v>51</v>
      </c>
      <c r="G3624" s="1">
        <f>qry_ProdData2_PDI_Cash_Exception_Application[[#This Row],[INSERT DATE]]+2</f>
        <v>45195.257071759261</v>
      </c>
      <c r="H3624" t="str">
        <f>VLOOKUP(qry_ProdData2_PDI_Cash_Exception_Application[[#This Row],[MARKET No]],'Site Allocation'!$B$2:$C$37,2,FALSE)</f>
        <v>Analyst6</v>
      </c>
      <c r="I3624" s="4">
        <f t="shared" ca="1" si="56"/>
        <v>45203</v>
      </c>
      <c r="J3624" s="42">
        <f ca="1">TODAY()-qry_ProdData2_PDI_Cash_Exception_Application[[#This Row],[INSERT DATE]]</f>
        <v>9.7429282407392748</v>
      </c>
      <c r="K36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24">
        <f ca="1">qry_ProdData2_PDI_Cash_Exception_Application[[#This Row],[TODAY]]-qry_ProdData2_PDI_Cash_Exception_Application[[#This Row],[CHANGED ON]]</f>
        <v>7.7429282407392748</v>
      </c>
      <c r="M3624">
        <f ca="1">qry_ProdData2_PDI_Cash_Exception_Application[[#This Row],[TODAY]]-qry_ProdData2_PDI_Cash_Exception_Application[[#This Row],[CHANGED ON]]</f>
        <v>7.7429282407392748</v>
      </c>
      <c r="N3624">
        <f ca="1">qry_ProdData2_PDI_Cash_Exception_Application[[#This Row],[TODAY]]-qry_ProdData2_PDI_Cash_Exception_Application[[#This Row],[CHANGED ON]]</f>
        <v>7.7429282407392748</v>
      </c>
    </row>
    <row r="3625" spans="1:14" x14ac:dyDescent="0.35">
      <c r="A3625">
        <v>1027</v>
      </c>
      <c r="B3625" t="s">
        <v>81</v>
      </c>
      <c r="C3625" s="1">
        <v>45184.257071759261</v>
      </c>
      <c r="D3625" t="str">
        <f ca="1">VLOOKUP(qry_ProdData2_PDI_Cash_Exception_Application[[#This Row],[TYPE]],#REF!,2,FALSE)</f>
        <v>type24</v>
      </c>
      <c r="E3625">
        <v>154.85</v>
      </c>
      <c r="G3625" s="1">
        <f>qry_ProdData2_PDI_Cash_Exception_Application[[#This Row],[INSERT DATE]]+2</f>
        <v>45186.257071759261</v>
      </c>
      <c r="H3625" t="str">
        <f>VLOOKUP(qry_ProdData2_PDI_Cash_Exception_Application[[#This Row],[MARKET No]],'Site Allocation'!$B$2:$C$37,2,FALSE)</f>
        <v>Analyst5</v>
      </c>
      <c r="I3625" s="4">
        <f t="shared" ca="1" si="56"/>
        <v>45203</v>
      </c>
      <c r="J3625" s="42">
        <f ca="1">TODAY()-qry_ProdData2_PDI_Cash_Exception_Application[[#This Row],[INSERT DATE]]</f>
        <v>18.742928240739275</v>
      </c>
      <c r="K36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25">
        <f ca="1">qry_ProdData2_PDI_Cash_Exception_Application[[#This Row],[TODAY]]-qry_ProdData2_PDI_Cash_Exception_Application[[#This Row],[CHANGED ON]]</f>
        <v>16.742928240739275</v>
      </c>
      <c r="M3625">
        <f ca="1">qry_ProdData2_PDI_Cash_Exception_Application[[#This Row],[TODAY]]-qry_ProdData2_PDI_Cash_Exception_Application[[#This Row],[CHANGED ON]]</f>
        <v>16.742928240739275</v>
      </c>
      <c r="N3625">
        <f ca="1">qry_ProdData2_PDI_Cash_Exception_Application[[#This Row],[TODAY]]-qry_ProdData2_PDI_Cash_Exception_Application[[#This Row],[CHANGED ON]]</f>
        <v>16.742928240739275</v>
      </c>
    </row>
    <row r="3626" spans="1:14" x14ac:dyDescent="0.35">
      <c r="A3626">
        <v>1019</v>
      </c>
      <c r="B3626" t="s">
        <v>73</v>
      </c>
      <c r="C3626" s="1">
        <v>45193.257071759261</v>
      </c>
      <c r="D3626" t="str">
        <f ca="1">VLOOKUP(qry_ProdData2_PDI_Cash_Exception_Application[[#This Row],[TYPE]],#REF!,2,FALSE)</f>
        <v>type40</v>
      </c>
      <c r="E3626">
        <v>7984.7</v>
      </c>
      <c r="G3626" s="1">
        <f>qry_ProdData2_PDI_Cash_Exception_Application[[#This Row],[INSERT DATE]]+1</f>
        <v>45194.257071759261</v>
      </c>
      <c r="H3626" t="str">
        <f>VLOOKUP(qry_ProdData2_PDI_Cash_Exception_Application[[#This Row],[MARKET No]],'Site Allocation'!$B$2:$C$37,2,FALSE)</f>
        <v>Analyst4</v>
      </c>
      <c r="I3626" s="4">
        <f t="shared" ca="1" si="56"/>
        <v>45203</v>
      </c>
      <c r="J3626" s="42">
        <f ca="1">TODAY()-qry_ProdData2_PDI_Cash_Exception_Application[[#This Row],[INSERT DATE]]</f>
        <v>9.7429282407392748</v>
      </c>
      <c r="K36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26">
        <f ca="1">qry_ProdData2_PDI_Cash_Exception_Application[[#This Row],[TODAY]]-qry_ProdData2_PDI_Cash_Exception_Application[[#This Row],[CHANGED ON]]</f>
        <v>8.7429282407392748</v>
      </c>
      <c r="M3626">
        <f ca="1">qry_ProdData2_PDI_Cash_Exception_Application[[#This Row],[TODAY]]-qry_ProdData2_PDI_Cash_Exception_Application[[#This Row],[CHANGED ON]]</f>
        <v>8.7429282407392748</v>
      </c>
      <c r="N3626">
        <f ca="1">qry_ProdData2_PDI_Cash_Exception_Application[[#This Row],[TODAY]]-qry_ProdData2_PDI_Cash_Exception_Application[[#This Row],[CHANGED ON]]</f>
        <v>8.7429282407392748</v>
      </c>
    </row>
    <row r="3627" spans="1:14" x14ac:dyDescent="0.35">
      <c r="A3627">
        <v>1020</v>
      </c>
      <c r="B3627" t="s">
        <v>74</v>
      </c>
      <c r="C3627" s="1">
        <v>45185.257071759261</v>
      </c>
      <c r="D3627" t="str">
        <f ca="1">VLOOKUP(qry_ProdData2_PDI_Cash_Exception_Application[[#This Row],[TYPE]],#REF!,2,FALSE)</f>
        <v>type40</v>
      </c>
      <c r="E3627">
        <v>-577.89</v>
      </c>
      <c r="G3627" s="1">
        <f>qry_ProdData2_PDI_Cash_Exception_Application[[#This Row],[INSERT DATE]]+2</f>
        <v>45187.257071759261</v>
      </c>
      <c r="H3627" t="str">
        <f>VLOOKUP(qry_ProdData2_PDI_Cash_Exception_Application[[#This Row],[MARKET No]],'Site Allocation'!$B$2:$C$37,2,FALSE)</f>
        <v>Analyst4</v>
      </c>
      <c r="I3627" s="4">
        <f t="shared" ca="1" si="56"/>
        <v>45203</v>
      </c>
      <c r="J3627" s="42">
        <f ca="1">TODAY()-qry_ProdData2_PDI_Cash_Exception_Application[[#This Row],[INSERT DATE]]</f>
        <v>17.742928240739275</v>
      </c>
      <c r="K36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27">
        <f ca="1">qry_ProdData2_PDI_Cash_Exception_Application[[#This Row],[TODAY]]-qry_ProdData2_PDI_Cash_Exception_Application[[#This Row],[CHANGED ON]]</f>
        <v>15.742928240739275</v>
      </c>
      <c r="M3627">
        <f ca="1">qry_ProdData2_PDI_Cash_Exception_Application[[#This Row],[TODAY]]-qry_ProdData2_PDI_Cash_Exception_Application[[#This Row],[CHANGED ON]]</f>
        <v>15.742928240739275</v>
      </c>
      <c r="N3627">
        <f ca="1">qry_ProdData2_PDI_Cash_Exception_Application[[#This Row],[TODAY]]-qry_ProdData2_PDI_Cash_Exception_Application[[#This Row],[CHANGED ON]]</f>
        <v>15.742928240739275</v>
      </c>
    </row>
    <row r="3628" spans="1:14" x14ac:dyDescent="0.35">
      <c r="A3628">
        <v>1034</v>
      </c>
      <c r="B3628" t="s">
        <v>88</v>
      </c>
      <c r="C3628" s="1">
        <v>45197.257071759261</v>
      </c>
      <c r="D3628" t="str">
        <f ca="1">VLOOKUP(qry_ProdData2_PDI_Cash_Exception_Application[[#This Row],[TYPE]],#REF!,2,FALSE)</f>
        <v>type13</v>
      </c>
      <c r="E3628">
        <v>61231.64</v>
      </c>
      <c r="F3628" t="s">
        <v>50</v>
      </c>
      <c r="G3628" s="1">
        <f>qry_ProdData2_PDI_Cash_Exception_Application[[#This Row],[INSERT DATE]]+2</f>
        <v>45199.257071759261</v>
      </c>
      <c r="H3628" t="str">
        <f>VLOOKUP(qry_ProdData2_PDI_Cash_Exception_Application[[#This Row],[MARKET No]],'Site Allocation'!$B$2:$C$37,2,FALSE)</f>
        <v>Analyst6</v>
      </c>
      <c r="I3628" s="4">
        <f t="shared" ca="1" si="56"/>
        <v>45203</v>
      </c>
      <c r="J3628" s="42">
        <f ca="1">TODAY()-qry_ProdData2_PDI_Cash_Exception_Application[[#This Row],[INSERT DATE]]</f>
        <v>5.7429282407392748</v>
      </c>
      <c r="K36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628">
        <f ca="1">qry_ProdData2_PDI_Cash_Exception_Application[[#This Row],[TODAY]]-qry_ProdData2_PDI_Cash_Exception_Application[[#This Row],[CHANGED ON]]</f>
        <v>3.7429282407392748</v>
      </c>
      <c r="M3628">
        <f ca="1">qry_ProdData2_PDI_Cash_Exception_Application[[#This Row],[TODAY]]-qry_ProdData2_PDI_Cash_Exception_Application[[#This Row],[CHANGED ON]]</f>
        <v>3.7429282407392748</v>
      </c>
      <c r="N3628">
        <f ca="1">qry_ProdData2_PDI_Cash_Exception_Application[[#This Row],[TODAY]]-qry_ProdData2_PDI_Cash_Exception_Application[[#This Row],[CHANGED ON]]</f>
        <v>3.7429282407392748</v>
      </c>
    </row>
    <row r="3629" spans="1:14" x14ac:dyDescent="0.35">
      <c r="A3629">
        <v>1005</v>
      </c>
      <c r="B3629" t="s">
        <v>59</v>
      </c>
      <c r="C3629" s="1">
        <v>45195.257071759261</v>
      </c>
      <c r="D3629" t="str">
        <f ca="1">VLOOKUP(qry_ProdData2_PDI_Cash_Exception_Application[[#This Row],[TYPE]],#REF!,2,FALSE)</f>
        <v>type13</v>
      </c>
      <c r="E3629">
        <v>38409.17</v>
      </c>
      <c r="G3629" s="1">
        <f>qry_ProdData2_PDI_Cash_Exception_Application[[#This Row],[INSERT DATE]]+7</f>
        <v>45202.257071759261</v>
      </c>
      <c r="H3629" t="str">
        <f>VLOOKUP(qry_ProdData2_PDI_Cash_Exception_Application[[#This Row],[MARKET No]],'Site Allocation'!$B$2:$C$37,2,FALSE)</f>
        <v>Analyst1</v>
      </c>
      <c r="I3629" s="4">
        <f t="shared" ca="1" si="56"/>
        <v>45203</v>
      </c>
      <c r="J3629" s="42">
        <f ca="1">TODAY()-qry_ProdData2_PDI_Cash_Exception_Application[[#This Row],[INSERT DATE]]</f>
        <v>7.7429282407392748</v>
      </c>
      <c r="K36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29">
        <f ca="1">qry_ProdData2_PDI_Cash_Exception_Application[[#This Row],[TODAY]]-qry_ProdData2_PDI_Cash_Exception_Application[[#This Row],[CHANGED ON]]</f>
        <v>0.74292824073927477</v>
      </c>
      <c r="M3629">
        <f ca="1">qry_ProdData2_PDI_Cash_Exception_Application[[#This Row],[TODAY]]-qry_ProdData2_PDI_Cash_Exception_Application[[#This Row],[CHANGED ON]]</f>
        <v>0.74292824073927477</v>
      </c>
      <c r="N3629">
        <f ca="1">qry_ProdData2_PDI_Cash_Exception_Application[[#This Row],[TODAY]]-qry_ProdData2_PDI_Cash_Exception_Application[[#This Row],[CHANGED ON]]</f>
        <v>0.74292824073927477</v>
      </c>
    </row>
    <row r="3630" spans="1:14" x14ac:dyDescent="0.35">
      <c r="A3630">
        <v>1026</v>
      </c>
      <c r="B3630" t="s">
        <v>80</v>
      </c>
      <c r="C3630" s="1">
        <v>45194.257071759261</v>
      </c>
      <c r="D3630" t="str">
        <f ca="1">VLOOKUP(qry_ProdData2_PDI_Cash_Exception_Application[[#This Row],[TYPE]],#REF!,2,FALSE)</f>
        <v>type13</v>
      </c>
      <c r="E3630">
        <v>15768.48</v>
      </c>
      <c r="F3630" t="s">
        <v>51</v>
      </c>
      <c r="G3630" s="1">
        <f>qry_ProdData2_PDI_Cash_Exception_Application[[#This Row],[INSERT DATE]]+2</f>
        <v>45196.257071759261</v>
      </c>
      <c r="H3630" t="str">
        <f>VLOOKUP(qry_ProdData2_PDI_Cash_Exception_Application[[#This Row],[MARKET No]],'Site Allocation'!$B$2:$C$37,2,FALSE)</f>
        <v>Analyst5</v>
      </c>
      <c r="I3630" s="4">
        <f t="shared" ca="1" si="56"/>
        <v>45203</v>
      </c>
      <c r="J3630" s="42">
        <f ca="1">TODAY()-qry_ProdData2_PDI_Cash_Exception_Application[[#This Row],[INSERT DATE]]</f>
        <v>8.7429282407392748</v>
      </c>
      <c r="K36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30">
        <f ca="1">qry_ProdData2_PDI_Cash_Exception_Application[[#This Row],[TODAY]]-qry_ProdData2_PDI_Cash_Exception_Application[[#This Row],[CHANGED ON]]</f>
        <v>6.7429282407392748</v>
      </c>
      <c r="M3630">
        <f ca="1">qry_ProdData2_PDI_Cash_Exception_Application[[#This Row],[TODAY]]-qry_ProdData2_PDI_Cash_Exception_Application[[#This Row],[CHANGED ON]]</f>
        <v>6.7429282407392748</v>
      </c>
      <c r="N3630">
        <f ca="1">qry_ProdData2_PDI_Cash_Exception_Application[[#This Row],[TODAY]]-qry_ProdData2_PDI_Cash_Exception_Application[[#This Row],[CHANGED ON]]</f>
        <v>6.7429282407392748</v>
      </c>
    </row>
    <row r="3631" spans="1:14" x14ac:dyDescent="0.35">
      <c r="A3631">
        <v>1012</v>
      </c>
      <c r="B3631" t="s">
        <v>66</v>
      </c>
      <c r="C3631" s="1">
        <v>45187.257071759261</v>
      </c>
      <c r="D3631" t="str">
        <f ca="1">VLOOKUP(qry_ProdData2_PDI_Cash_Exception_Application[[#This Row],[TYPE]],#REF!,2,FALSE)</f>
        <v>type40</v>
      </c>
      <c r="E3631">
        <v>553.46</v>
      </c>
      <c r="F3631" t="s">
        <v>50</v>
      </c>
      <c r="G3631" s="1">
        <f>qry_ProdData2_PDI_Cash_Exception_Application[[#This Row],[INSERT DATE]]+2</f>
        <v>45189.257071759261</v>
      </c>
      <c r="H3631" t="str">
        <f>VLOOKUP(qry_ProdData2_PDI_Cash_Exception_Application[[#This Row],[MARKET No]],'Site Allocation'!$B$2:$C$37,2,FALSE)</f>
        <v>Analyst3</v>
      </c>
      <c r="I3631" s="4">
        <f t="shared" ca="1" si="56"/>
        <v>45203</v>
      </c>
      <c r="J3631" s="42">
        <f ca="1">TODAY()-qry_ProdData2_PDI_Cash_Exception_Application[[#This Row],[INSERT DATE]]</f>
        <v>15.742928240739275</v>
      </c>
      <c r="K36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31">
        <f ca="1">qry_ProdData2_PDI_Cash_Exception_Application[[#This Row],[TODAY]]-qry_ProdData2_PDI_Cash_Exception_Application[[#This Row],[CHANGED ON]]</f>
        <v>13.742928240739275</v>
      </c>
      <c r="M3631">
        <f ca="1">qry_ProdData2_PDI_Cash_Exception_Application[[#This Row],[TODAY]]-qry_ProdData2_PDI_Cash_Exception_Application[[#This Row],[CHANGED ON]]</f>
        <v>13.742928240739275</v>
      </c>
      <c r="N3631">
        <f ca="1">qry_ProdData2_PDI_Cash_Exception_Application[[#This Row],[TODAY]]-qry_ProdData2_PDI_Cash_Exception_Application[[#This Row],[CHANGED ON]]</f>
        <v>13.742928240739275</v>
      </c>
    </row>
    <row r="3632" spans="1:14" x14ac:dyDescent="0.35">
      <c r="A3632">
        <v>1001</v>
      </c>
      <c r="B3632" t="s">
        <v>55</v>
      </c>
      <c r="C3632" s="1">
        <v>45187.257071759261</v>
      </c>
      <c r="D3632" t="str">
        <f ca="1">VLOOKUP(qry_ProdData2_PDI_Cash_Exception_Application[[#This Row],[TYPE]],#REF!,2,FALSE)</f>
        <v>type40</v>
      </c>
      <c r="E3632">
        <v>1191.02</v>
      </c>
      <c r="G3632" s="1">
        <f>qry_ProdData2_PDI_Cash_Exception_Application[[#This Row],[INSERT DATE]]+5</f>
        <v>45192.257071759261</v>
      </c>
      <c r="H3632" t="str">
        <f>VLOOKUP(qry_ProdData2_PDI_Cash_Exception_Application[[#This Row],[MARKET No]],'Site Allocation'!$B$2:$C$37,2,FALSE)</f>
        <v>Analyst1</v>
      </c>
      <c r="I3632" s="4">
        <f t="shared" ca="1" si="56"/>
        <v>45203</v>
      </c>
      <c r="J3632" s="42">
        <f ca="1">TODAY()-qry_ProdData2_PDI_Cash_Exception_Application[[#This Row],[INSERT DATE]]</f>
        <v>15.742928240739275</v>
      </c>
      <c r="K36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32">
        <f ca="1">qry_ProdData2_PDI_Cash_Exception_Application[[#This Row],[TODAY]]-qry_ProdData2_PDI_Cash_Exception_Application[[#This Row],[CHANGED ON]]</f>
        <v>10.742928240739275</v>
      </c>
      <c r="M3632">
        <f ca="1">qry_ProdData2_PDI_Cash_Exception_Application[[#This Row],[TODAY]]-qry_ProdData2_PDI_Cash_Exception_Application[[#This Row],[CHANGED ON]]</f>
        <v>10.742928240739275</v>
      </c>
      <c r="N3632">
        <f ca="1">qry_ProdData2_PDI_Cash_Exception_Application[[#This Row],[TODAY]]-qry_ProdData2_PDI_Cash_Exception_Application[[#This Row],[CHANGED ON]]</f>
        <v>10.742928240739275</v>
      </c>
    </row>
    <row r="3633" spans="1:14" x14ac:dyDescent="0.35">
      <c r="A3633">
        <v>1035</v>
      </c>
      <c r="B3633" t="s">
        <v>89</v>
      </c>
      <c r="C3633" s="1">
        <v>45188.257071759261</v>
      </c>
      <c r="D3633" t="str">
        <f ca="1">VLOOKUP(qry_ProdData2_PDI_Cash_Exception_Application[[#This Row],[TYPE]],#REF!,2,FALSE)</f>
        <v>type35</v>
      </c>
      <c r="E3633">
        <v>1119.54</v>
      </c>
      <c r="F3633" t="s">
        <v>52</v>
      </c>
      <c r="G3633" s="1">
        <f>qry_ProdData2_PDI_Cash_Exception_Application[[#This Row],[INSERT DATE]]+5</f>
        <v>45193.257071759261</v>
      </c>
      <c r="H3633" t="str">
        <f>VLOOKUP(qry_ProdData2_PDI_Cash_Exception_Application[[#This Row],[MARKET No]],'Site Allocation'!$B$2:$C$37,2,FALSE)</f>
        <v>Analyst6</v>
      </c>
      <c r="I3633" s="4">
        <f t="shared" ca="1" si="56"/>
        <v>45203</v>
      </c>
      <c r="J3633" s="42">
        <f ca="1">TODAY()-qry_ProdData2_PDI_Cash_Exception_Application[[#This Row],[INSERT DATE]]</f>
        <v>14.742928240739275</v>
      </c>
      <c r="K36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33">
        <f ca="1">qry_ProdData2_PDI_Cash_Exception_Application[[#This Row],[TODAY]]-qry_ProdData2_PDI_Cash_Exception_Application[[#This Row],[CHANGED ON]]</f>
        <v>9.7429282407392748</v>
      </c>
      <c r="M3633">
        <f ca="1">qry_ProdData2_PDI_Cash_Exception_Application[[#This Row],[TODAY]]-qry_ProdData2_PDI_Cash_Exception_Application[[#This Row],[CHANGED ON]]</f>
        <v>9.7429282407392748</v>
      </c>
      <c r="N3633">
        <f ca="1">qry_ProdData2_PDI_Cash_Exception_Application[[#This Row],[TODAY]]-qry_ProdData2_PDI_Cash_Exception_Application[[#This Row],[CHANGED ON]]</f>
        <v>9.7429282407392748</v>
      </c>
    </row>
    <row r="3634" spans="1:14" x14ac:dyDescent="0.35">
      <c r="A3634">
        <v>1002</v>
      </c>
      <c r="B3634" t="s">
        <v>56</v>
      </c>
      <c r="C3634" s="1">
        <v>45189.257071759261</v>
      </c>
      <c r="D3634" t="str">
        <f ca="1">VLOOKUP(qry_ProdData2_PDI_Cash_Exception_Application[[#This Row],[TYPE]],#REF!,2,FALSE)</f>
        <v>type40</v>
      </c>
      <c r="E3634">
        <v>-880.95</v>
      </c>
      <c r="F3634" t="s">
        <v>52</v>
      </c>
      <c r="G3634" s="1">
        <f>qry_ProdData2_PDI_Cash_Exception_Application[[#This Row],[INSERT DATE]]+5</f>
        <v>45194.257071759261</v>
      </c>
      <c r="H3634" t="str">
        <f>VLOOKUP(qry_ProdData2_PDI_Cash_Exception_Application[[#This Row],[MARKET No]],'Site Allocation'!$B$2:$C$37,2,FALSE)</f>
        <v>Analyst1</v>
      </c>
      <c r="I3634" s="4">
        <f t="shared" ca="1" si="56"/>
        <v>45203</v>
      </c>
      <c r="J3634" s="42">
        <f ca="1">TODAY()-qry_ProdData2_PDI_Cash_Exception_Application[[#This Row],[INSERT DATE]]</f>
        <v>13.742928240739275</v>
      </c>
      <c r="K36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34">
        <f ca="1">qry_ProdData2_PDI_Cash_Exception_Application[[#This Row],[TODAY]]-qry_ProdData2_PDI_Cash_Exception_Application[[#This Row],[CHANGED ON]]</f>
        <v>8.7429282407392748</v>
      </c>
      <c r="M3634">
        <f ca="1">qry_ProdData2_PDI_Cash_Exception_Application[[#This Row],[TODAY]]-qry_ProdData2_PDI_Cash_Exception_Application[[#This Row],[CHANGED ON]]</f>
        <v>8.7429282407392748</v>
      </c>
      <c r="N3634">
        <f ca="1">qry_ProdData2_PDI_Cash_Exception_Application[[#This Row],[TODAY]]-qry_ProdData2_PDI_Cash_Exception_Application[[#This Row],[CHANGED ON]]</f>
        <v>8.7429282407392748</v>
      </c>
    </row>
    <row r="3635" spans="1:14" x14ac:dyDescent="0.35">
      <c r="A3635">
        <v>1011</v>
      </c>
      <c r="B3635" t="s">
        <v>65</v>
      </c>
      <c r="C3635" s="1">
        <v>45192.257071759261</v>
      </c>
      <c r="D3635" t="str">
        <f ca="1">VLOOKUP(qry_ProdData2_PDI_Cash_Exception_Application[[#This Row],[TYPE]],#REF!,2,FALSE)</f>
        <v>type40</v>
      </c>
      <c r="E3635">
        <v>-475.19</v>
      </c>
      <c r="G3635" s="1">
        <f>qry_ProdData2_PDI_Cash_Exception_Application[[#This Row],[INSERT DATE]]+5</f>
        <v>45197.257071759261</v>
      </c>
      <c r="H3635" t="str">
        <f>VLOOKUP(qry_ProdData2_PDI_Cash_Exception_Application[[#This Row],[MARKET No]],'Site Allocation'!$B$2:$C$37,2,FALSE)</f>
        <v>Analyst2</v>
      </c>
      <c r="I3635" s="4">
        <f t="shared" ca="1" si="56"/>
        <v>45203</v>
      </c>
      <c r="J3635" s="42">
        <f ca="1">TODAY()-qry_ProdData2_PDI_Cash_Exception_Application[[#This Row],[INSERT DATE]]</f>
        <v>10.742928240739275</v>
      </c>
      <c r="K36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35">
        <f ca="1">qry_ProdData2_PDI_Cash_Exception_Application[[#This Row],[TODAY]]-qry_ProdData2_PDI_Cash_Exception_Application[[#This Row],[CHANGED ON]]</f>
        <v>5.7429282407392748</v>
      </c>
      <c r="M3635">
        <f ca="1">qry_ProdData2_PDI_Cash_Exception_Application[[#This Row],[TODAY]]-qry_ProdData2_PDI_Cash_Exception_Application[[#This Row],[CHANGED ON]]</f>
        <v>5.7429282407392748</v>
      </c>
      <c r="N3635">
        <f ca="1">qry_ProdData2_PDI_Cash_Exception_Application[[#This Row],[TODAY]]-qry_ProdData2_PDI_Cash_Exception_Application[[#This Row],[CHANGED ON]]</f>
        <v>5.7429282407392748</v>
      </c>
    </row>
    <row r="3636" spans="1:14" x14ac:dyDescent="0.35">
      <c r="A3636">
        <v>1017</v>
      </c>
      <c r="B3636" t="s">
        <v>71</v>
      </c>
      <c r="C3636" s="1">
        <v>45194.257071759261</v>
      </c>
      <c r="D3636" t="str">
        <f ca="1">VLOOKUP(qry_ProdData2_PDI_Cash_Exception_Application[[#This Row],[TYPE]],#REF!,2,FALSE)</f>
        <v>type40</v>
      </c>
      <c r="E3636">
        <v>-370.53</v>
      </c>
      <c r="G3636" s="1">
        <f>qry_ProdData2_PDI_Cash_Exception_Application[[#This Row],[INSERT DATE]]+5</f>
        <v>45199.257071759261</v>
      </c>
      <c r="H3636" t="str">
        <f>VLOOKUP(qry_ProdData2_PDI_Cash_Exception_Application[[#This Row],[MARKET No]],'Site Allocation'!$B$2:$C$37,2,FALSE)</f>
        <v>Analyst3</v>
      </c>
      <c r="I3636" s="4">
        <f t="shared" ca="1" si="56"/>
        <v>45203</v>
      </c>
      <c r="J3636" s="42">
        <f ca="1">TODAY()-qry_ProdData2_PDI_Cash_Exception_Application[[#This Row],[INSERT DATE]]</f>
        <v>8.7429282407392748</v>
      </c>
      <c r="K36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36">
        <f ca="1">qry_ProdData2_PDI_Cash_Exception_Application[[#This Row],[TODAY]]-qry_ProdData2_PDI_Cash_Exception_Application[[#This Row],[CHANGED ON]]</f>
        <v>3.7429282407392748</v>
      </c>
      <c r="M3636">
        <f ca="1">qry_ProdData2_PDI_Cash_Exception_Application[[#This Row],[TODAY]]-qry_ProdData2_PDI_Cash_Exception_Application[[#This Row],[CHANGED ON]]</f>
        <v>3.7429282407392748</v>
      </c>
      <c r="N3636">
        <f ca="1">qry_ProdData2_PDI_Cash_Exception_Application[[#This Row],[TODAY]]-qry_ProdData2_PDI_Cash_Exception_Application[[#This Row],[CHANGED ON]]</f>
        <v>3.7429282407392748</v>
      </c>
    </row>
    <row r="3637" spans="1:14" x14ac:dyDescent="0.35">
      <c r="A3637">
        <v>1026</v>
      </c>
      <c r="B3637" t="s">
        <v>80</v>
      </c>
      <c r="C3637" s="1">
        <v>45196.257071759261</v>
      </c>
      <c r="D3637" t="str">
        <f ca="1">VLOOKUP(qry_ProdData2_PDI_Cash_Exception_Application[[#This Row],[TYPE]],#REF!,2,FALSE)</f>
        <v>type40</v>
      </c>
      <c r="E3637">
        <v>-331.35</v>
      </c>
      <c r="G3637" s="1">
        <f>qry_ProdData2_PDI_Cash_Exception_Application[[#This Row],[INSERT DATE]]+5</f>
        <v>45201.257071759261</v>
      </c>
      <c r="H3637" t="str">
        <f>VLOOKUP(qry_ProdData2_PDI_Cash_Exception_Application[[#This Row],[MARKET No]],'Site Allocation'!$B$2:$C$37,2,FALSE)</f>
        <v>Analyst5</v>
      </c>
      <c r="I3637" s="4">
        <f t="shared" ca="1" si="56"/>
        <v>45203</v>
      </c>
      <c r="J3637" s="42">
        <f ca="1">TODAY()-qry_ProdData2_PDI_Cash_Exception_Application[[#This Row],[INSERT DATE]]</f>
        <v>6.7429282407392748</v>
      </c>
      <c r="K36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37">
        <f ca="1">qry_ProdData2_PDI_Cash_Exception_Application[[#This Row],[TODAY]]-qry_ProdData2_PDI_Cash_Exception_Application[[#This Row],[CHANGED ON]]</f>
        <v>1.7429282407392748</v>
      </c>
      <c r="M3637">
        <f ca="1">qry_ProdData2_PDI_Cash_Exception_Application[[#This Row],[TODAY]]-qry_ProdData2_PDI_Cash_Exception_Application[[#This Row],[CHANGED ON]]</f>
        <v>1.7429282407392748</v>
      </c>
      <c r="N3637">
        <f ca="1">qry_ProdData2_PDI_Cash_Exception_Application[[#This Row],[TODAY]]-qry_ProdData2_PDI_Cash_Exception_Application[[#This Row],[CHANGED ON]]</f>
        <v>1.7429282407392748</v>
      </c>
    </row>
    <row r="3638" spans="1:14" x14ac:dyDescent="0.35">
      <c r="A3638">
        <v>1024</v>
      </c>
      <c r="B3638" t="s">
        <v>78</v>
      </c>
      <c r="C3638" s="1">
        <v>45187.257071759261</v>
      </c>
      <c r="D3638" t="str">
        <f ca="1">VLOOKUP(qry_ProdData2_PDI_Cash_Exception_Application[[#This Row],[TYPE]],#REF!,2,FALSE)</f>
        <v>type40</v>
      </c>
      <c r="E3638">
        <v>1727.95</v>
      </c>
      <c r="G3638" s="1">
        <f>qry_ProdData2_PDI_Cash_Exception_Application[[#This Row],[INSERT DATE]]+5</f>
        <v>45192.257071759261</v>
      </c>
      <c r="H3638" t="str">
        <f>VLOOKUP(qry_ProdData2_PDI_Cash_Exception_Application[[#This Row],[MARKET No]],'Site Allocation'!$B$2:$C$37,2,FALSE)</f>
        <v>Analyst5</v>
      </c>
      <c r="I3638" s="4">
        <f t="shared" ca="1" si="56"/>
        <v>45203</v>
      </c>
      <c r="J3638" s="42">
        <f ca="1">TODAY()-qry_ProdData2_PDI_Cash_Exception_Application[[#This Row],[INSERT DATE]]</f>
        <v>15.742928240739275</v>
      </c>
      <c r="K36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38">
        <f ca="1">qry_ProdData2_PDI_Cash_Exception_Application[[#This Row],[TODAY]]-qry_ProdData2_PDI_Cash_Exception_Application[[#This Row],[CHANGED ON]]</f>
        <v>10.742928240739275</v>
      </c>
      <c r="M3638">
        <f ca="1">qry_ProdData2_PDI_Cash_Exception_Application[[#This Row],[TODAY]]-qry_ProdData2_PDI_Cash_Exception_Application[[#This Row],[CHANGED ON]]</f>
        <v>10.742928240739275</v>
      </c>
      <c r="N3638">
        <f ca="1">qry_ProdData2_PDI_Cash_Exception_Application[[#This Row],[TODAY]]-qry_ProdData2_PDI_Cash_Exception_Application[[#This Row],[CHANGED ON]]</f>
        <v>10.742928240739275</v>
      </c>
    </row>
    <row r="3639" spans="1:14" x14ac:dyDescent="0.35">
      <c r="A3639">
        <v>1024</v>
      </c>
      <c r="B3639" t="s">
        <v>78</v>
      </c>
      <c r="C3639" s="1">
        <v>45192.257071759261</v>
      </c>
      <c r="D3639" t="str">
        <f ca="1">VLOOKUP(qry_ProdData2_PDI_Cash_Exception_Application[[#This Row],[TYPE]],#REF!,2,FALSE)</f>
        <v>type40</v>
      </c>
      <c r="E3639">
        <v>4067.42</v>
      </c>
      <c r="F3639" t="s">
        <v>52</v>
      </c>
      <c r="G3639" s="1">
        <f>qry_ProdData2_PDI_Cash_Exception_Application[[#This Row],[INSERT DATE]]+5</f>
        <v>45197.257071759261</v>
      </c>
      <c r="H3639" t="str">
        <f>VLOOKUP(qry_ProdData2_PDI_Cash_Exception_Application[[#This Row],[MARKET No]],'Site Allocation'!$B$2:$C$37,2,FALSE)</f>
        <v>Analyst5</v>
      </c>
      <c r="I3639" s="4">
        <f t="shared" ca="1" si="56"/>
        <v>45203</v>
      </c>
      <c r="J3639" s="42">
        <f ca="1">TODAY()-qry_ProdData2_PDI_Cash_Exception_Application[[#This Row],[INSERT DATE]]</f>
        <v>10.742928240739275</v>
      </c>
      <c r="K36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39">
        <f ca="1">qry_ProdData2_PDI_Cash_Exception_Application[[#This Row],[TODAY]]-qry_ProdData2_PDI_Cash_Exception_Application[[#This Row],[CHANGED ON]]</f>
        <v>5.7429282407392748</v>
      </c>
      <c r="M3639">
        <f ca="1">qry_ProdData2_PDI_Cash_Exception_Application[[#This Row],[TODAY]]-qry_ProdData2_PDI_Cash_Exception_Application[[#This Row],[CHANGED ON]]</f>
        <v>5.7429282407392748</v>
      </c>
      <c r="N3639">
        <f ca="1">qry_ProdData2_PDI_Cash_Exception_Application[[#This Row],[TODAY]]-qry_ProdData2_PDI_Cash_Exception_Application[[#This Row],[CHANGED ON]]</f>
        <v>5.7429282407392748</v>
      </c>
    </row>
    <row r="3640" spans="1:14" x14ac:dyDescent="0.35">
      <c r="A3640">
        <v>1007</v>
      </c>
      <c r="B3640" t="s">
        <v>61</v>
      </c>
      <c r="C3640" s="1">
        <v>45194.257071759261</v>
      </c>
      <c r="D3640" t="str">
        <f ca="1">VLOOKUP(qry_ProdData2_PDI_Cash_Exception_Application[[#This Row],[TYPE]],#REF!,2,FALSE)</f>
        <v>type13</v>
      </c>
      <c r="E3640">
        <v>16719.53</v>
      </c>
      <c r="F3640" t="s">
        <v>51</v>
      </c>
      <c r="G3640" s="1">
        <f>qry_ProdData2_PDI_Cash_Exception_Application[[#This Row],[INSERT DATE]]+5</f>
        <v>45199.257071759261</v>
      </c>
      <c r="H3640" t="str">
        <f>VLOOKUP(qry_ProdData2_PDI_Cash_Exception_Application[[#This Row],[MARKET No]],'Site Allocation'!$B$2:$C$37,2,FALSE)</f>
        <v>Analyst2</v>
      </c>
      <c r="I3640" s="4">
        <f t="shared" ca="1" si="56"/>
        <v>45203</v>
      </c>
      <c r="J3640" s="42">
        <f ca="1">TODAY()-qry_ProdData2_PDI_Cash_Exception_Application[[#This Row],[INSERT DATE]]</f>
        <v>8.7429282407392748</v>
      </c>
      <c r="K364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40">
        <f ca="1">qry_ProdData2_PDI_Cash_Exception_Application[[#This Row],[TODAY]]-qry_ProdData2_PDI_Cash_Exception_Application[[#This Row],[CHANGED ON]]</f>
        <v>3.7429282407392748</v>
      </c>
      <c r="M3640">
        <f ca="1">qry_ProdData2_PDI_Cash_Exception_Application[[#This Row],[TODAY]]-qry_ProdData2_PDI_Cash_Exception_Application[[#This Row],[CHANGED ON]]</f>
        <v>3.7429282407392748</v>
      </c>
      <c r="N3640">
        <f ca="1">qry_ProdData2_PDI_Cash_Exception_Application[[#This Row],[TODAY]]-qry_ProdData2_PDI_Cash_Exception_Application[[#This Row],[CHANGED ON]]</f>
        <v>3.7429282407392748</v>
      </c>
    </row>
    <row r="3641" spans="1:14" x14ac:dyDescent="0.35">
      <c r="A3641">
        <v>1020</v>
      </c>
      <c r="B3641" t="s">
        <v>74</v>
      </c>
      <c r="C3641" s="1">
        <v>45194.257071759261</v>
      </c>
      <c r="D3641" t="str">
        <f ca="1">VLOOKUP(qry_ProdData2_PDI_Cash_Exception_Application[[#This Row],[TYPE]],#REF!,2,FALSE)</f>
        <v>type40</v>
      </c>
      <c r="E3641">
        <v>-751.18</v>
      </c>
      <c r="F3641" t="s">
        <v>50</v>
      </c>
      <c r="G3641" s="1">
        <f>qry_ProdData2_PDI_Cash_Exception_Application[[#This Row],[INSERT DATE]]+7</f>
        <v>45201.257071759261</v>
      </c>
      <c r="H3641" t="str">
        <f>VLOOKUP(qry_ProdData2_PDI_Cash_Exception_Application[[#This Row],[MARKET No]],'Site Allocation'!$B$2:$C$37,2,FALSE)</f>
        <v>Analyst4</v>
      </c>
      <c r="I3641" s="4">
        <f t="shared" ca="1" si="56"/>
        <v>45203</v>
      </c>
      <c r="J3641" s="42">
        <f ca="1">TODAY()-qry_ProdData2_PDI_Cash_Exception_Application[[#This Row],[INSERT DATE]]</f>
        <v>8.7429282407392748</v>
      </c>
      <c r="K364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41">
        <f ca="1">qry_ProdData2_PDI_Cash_Exception_Application[[#This Row],[TODAY]]-qry_ProdData2_PDI_Cash_Exception_Application[[#This Row],[CHANGED ON]]</f>
        <v>1.7429282407392748</v>
      </c>
      <c r="M3641">
        <f ca="1">qry_ProdData2_PDI_Cash_Exception_Application[[#This Row],[TODAY]]-qry_ProdData2_PDI_Cash_Exception_Application[[#This Row],[CHANGED ON]]</f>
        <v>1.7429282407392748</v>
      </c>
      <c r="N3641">
        <f ca="1">qry_ProdData2_PDI_Cash_Exception_Application[[#This Row],[TODAY]]-qry_ProdData2_PDI_Cash_Exception_Application[[#This Row],[CHANGED ON]]</f>
        <v>1.7429282407392748</v>
      </c>
    </row>
    <row r="3642" spans="1:14" x14ac:dyDescent="0.35">
      <c r="A3642">
        <v>1009</v>
      </c>
      <c r="B3642" t="s">
        <v>63</v>
      </c>
      <c r="C3642" s="1">
        <v>45195.257071759261</v>
      </c>
      <c r="D3642" t="str">
        <f ca="1">VLOOKUP(qry_ProdData2_PDI_Cash_Exception_Application[[#This Row],[TYPE]],#REF!,2,FALSE)</f>
        <v>type40</v>
      </c>
      <c r="E3642">
        <v>303.85000000000002</v>
      </c>
      <c r="F3642" t="s">
        <v>50</v>
      </c>
      <c r="G3642" s="1">
        <f>qry_ProdData2_PDI_Cash_Exception_Application[[#This Row],[INSERT DATE]]+7</f>
        <v>45202.257071759261</v>
      </c>
      <c r="H3642" t="str">
        <f>VLOOKUP(qry_ProdData2_PDI_Cash_Exception_Application[[#This Row],[MARKET No]],'Site Allocation'!$B$2:$C$37,2,FALSE)</f>
        <v>Analyst2</v>
      </c>
      <c r="I3642" s="4">
        <f t="shared" ca="1" si="56"/>
        <v>45203</v>
      </c>
      <c r="J3642" s="42">
        <f ca="1">TODAY()-qry_ProdData2_PDI_Cash_Exception_Application[[#This Row],[INSERT DATE]]</f>
        <v>7.7429282407392748</v>
      </c>
      <c r="K364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42">
        <f ca="1">qry_ProdData2_PDI_Cash_Exception_Application[[#This Row],[TODAY]]-qry_ProdData2_PDI_Cash_Exception_Application[[#This Row],[CHANGED ON]]</f>
        <v>0.74292824073927477</v>
      </c>
      <c r="M3642">
        <f ca="1">qry_ProdData2_PDI_Cash_Exception_Application[[#This Row],[TODAY]]-qry_ProdData2_PDI_Cash_Exception_Application[[#This Row],[CHANGED ON]]</f>
        <v>0.74292824073927477</v>
      </c>
      <c r="N3642">
        <f ca="1">qry_ProdData2_PDI_Cash_Exception_Application[[#This Row],[TODAY]]-qry_ProdData2_PDI_Cash_Exception_Application[[#This Row],[CHANGED ON]]</f>
        <v>0.74292824073927477</v>
      </c>
    </row>
    <row r="3643" spans="1:14" x14ac:dyDescent="0.35">
      <c r="A3643">
        <v>1005</v>
      </c>
      <c r="B3643" t="s">
        <v>59</v>
      </c>
      <c r="C3643" s="1">
        <v>45196.257071759261</v>
      </c>
      <c r="D3643" t="str">
        <f ca="1">VLOOKUP(qry_ProdData2_PDI_Cash_Exception_Application[[#This Row],[TYPE]],#REF!,2,FALSE)</f>
        <v>type40</v>
      </c>
      <c r="E3643">
        <v>-351.01</v>
      </c>
      <c r="F3643" t="s">
        <v>50</v>
      </c>
      <c r="G3643" s="1">
        <f>qry_ProdData2_PDI_Cash_Exception_Application[[#This Row],[INSERT DATE]]+7</f>
        <v>45203.257071759261</v>
      </c>
      <c r="H3643" t="str">
        <f>VLOOKUP(qry_ProdData2_PDI_Cash_Exception_Application[[#This Row],[MARKET No]],'Site Allocation'!$B$2:$C$37,2,FALSE)</f>
        <v>Analyst1</v>
      </c>
      <c r="I3643" s="4">
        <f t="shared" ca="1" si="56"/>
        <v>45203</v>
      </c>
      <c r="J3643" s="42">
        <f ca="1">TODAY()-qry_ProdData2_PDI_Cash_Exception_Application[[#This Row],[INSERT DATE]]</f>
        <v>6.7429282407392748</v>
      </c>
      <c r="K364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43">
        <f ca="1">qry_ProdData2_PDI_Cash_Exception_Application[[#This Row],[TODAY]]-qry_ProdData2_PDI_Cash_Exception_Application[[#This Row],[CHANGED ON]]</f>
        <v>-0.25707175926072523</v>
      </c>
      <c r="M3643">
        <f ca="1">qry_ProdData2_PDI_Cash_Exception_Application[[#This Row],[TODAY]]-qry_ProdData2_PDI_Cash_Exception_Application[[#This Row],[CHANGED ON]]</f>
        <v>-0.25707175926072523</v>
      </c>
      <c r="N3643">
        <f ca="1">qry_ProdData2_PDI_Cash_Exception_Application[[#This Row],[TODAY]]-qry_ProdData2_PDI_Cash_Exception_Application[[#This Row],[CHANGED ON]]</f>
        <v>-0.25707175926072523</v>
      </c>
    </row>
    <row r="3644" spans="1:14" x14ac:dyDescent="0.35">
      <c r="A3644">
        <v>1011</v>
      </c>
      <c r="B3644" t="s">
        <v>65</v>
      </c>
      <c r="C3644" s="1">
        <v>45189.257071759261</v>
      </c>
      <c r="D3644" t="str">
        <f ca="1">VLOOKUP(qry_ProdData2_PDI_Cash_Exception_Application[[#This Row],[TYPE]],#REF!,2,FALSE)</f>
        <v>type40</v>
      </c>
      <c r="E3644">
        <v>564.94000000000005</v>
      </c>
      <c r="G3644" s="1">
        <f>qry_ProdData2_PDI_Cash_Exception_Application[[#This Row],[INSERT DATE]]+7</f>
        <v>45196.257071759261</v>
      </c>
      <c r="H3644" t="str">
        <f>VLOOKUP(qry_ProdData2_PDI_Cash_Exception_Application[[#This Row],[MARKET No]],'Site Allocation'!$B$2:$C$37,2,FALSE)</f>
        <v>Analyst2</v>
      </c>
      <c r="I3644" s="4">
        <f t="shared" ca="1" si="56"/>
        <v>45203</v>
      </c>
      <c r="J3644" s="42">
        <f ca="1">TODAY()-qry_ProdData2_PDI_Cash_Exception_Application[[#This Row],[INSERT DATE]]</f>
        <v>13.742928240739275</v>
      </c>
      <c r="K364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44">
        <f ca="1">qry_ProdData2_PDI_Cash_Exception_Application[[#This Row],[TODAY]]-qry_ProdData2_PDI_Cash_Exception_Application[[#This Row],[CHANGED ON]]</f>
        <v>6.7429282407392748</v>
      </c>
      <c r="M3644">
        <f ca="1">qry_ProdData2_PDI_Cash_Exception_Application[[#This Row],[TODAY]]-qry_ProdData2_PDI_Cash_Exception_Application[[#This Row],[CHANGED ON]]</f>
        <v>6.7429282407392748</v>
      </c>
      <c r="N3644">
        <f ca="1">qry_ProdData2_PDI_Cash_Exception_Application[[#This Row],[TODAY]]-qry_ProdData2_PDI_Cash_Exception_Application[[#This Row],[CHANGED ON]]</f>
        <v>6.7429282407392748</v>
      </c>
    </row>
    <row r="3645" spans="1:14" x14ac:dyDescent="0.35">
      <c r="A3645">
        <v>1035</v>
      </c>
      <c r="B3645" t="s">
        <v>89</v>
      </c>
      <c r="C3645" s="1">
        <v>45194.257071759261</v>
      </c>
      <c r="D3645" t="str">
        <f ca="1">VLOOKUP(qry_ProdData2_PDI_Cash_Exception_Application[[#This Row],[TYPE]],#REF!,2,FALSE)</f>
        <v>type10</v>
      </c>
      <c r="E3645">
        <v>136</v>
      </c>
      <c r="G3645" s="1">
        <f>qry_ProdData2_PDI_Cash_Exception_Application[[#This Row],[INSERT DATE]]+1</f>
        <v>45195.257071759261</v>
      </c>
      <c r="H3645" t="str">
        <f>VLOOKUP(qry_ProdData2_PDI_Cash_Exception_Application[[#This Row],[MARKET No]],'Site Allocation'!$B$2:$C$37,2,FALSE)</f>
        <v>Analyst6</v>
      </c>
      <c r="I3645" s="4">
        <f t="shared" ca="1" si="56"/>
        <v>45203</v>
      </c>
      <c r="J3645" s="42">
        <f ca="1">TODAY()-qry_ProdData2_PDI_Cash_Exception_Application[[#This Row],[INSERT DATE]]</f>
        <v>8.7429282407392748</v>
      </c>
      <c r="K364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45">
        <f ca="1">qry_ProdData2_PDI_Cash_Exception_Application[[#This Row],[TODAY]]-qry_ProdData2_PDI_Cash_Exception_Application[[#This Row],[CHANGED ON]]</f>
        <v>7.7429282407392748</v>
      </c>
      <c r="M3645">
        <f ca="1">qry_ProdData2_PDI_Cash_Exception_Application[[#This Row],[TODAY]]-qry_ProdData2_PDI_Cash_Exception_Application[[#This Row],[CHANGED ON]]</f>
        <v>7.7429282407392748</v>
      </c>
      <c r="N3645">
        <f ca="1">qry_ProdData2_PDI_Cash_Exception_Application[[#This Row],[TODAY]]-qry_ProdData2_PDI_Cash_Exception_Application[[#This Row],[CHANGED ON]]</f>
        <v>7.7429282407392748</v>
      </c>
    </row>
    <row r="3646" spans="1:14" x14ac:dyDescent="0.35">
      <c r="A3646">
        <v>1034</v>
      </c>
      <c r="B3646" t="s">
        <v>88</v>
      </c>
      <c r="C3646" s="1">
        <v>45180.257071759261</v>
      </c>
      <c r="D3646" t="str">
        <f ca="1">VLOOKUP(qry_ProdData2_PDI_Cash_Exception_Application[[#This Row],[TYPE]],#REF!,2,FALSE)</f>
        <v>type40</v>
      </c>
      <c r="E3646">
        <v>1421.87</v>
      </c>
      <c r="F3646" t="s">
        <v>50</v>
      </c>
      <c r="G3646" s="1">
        <f>qry_ProdData2_PDI_Cash_Exception_Application[[#This Row],[INSERT DATE]]+7</f>
        <v>45187.257071759261</v>
      </c>
      <c r="H3646" t="str">
        <f>VLOOKUP(qry_ProdData2_PDI_Cash_Exception_Application[[#This Row],[MARKET No]],'Site Allocation'!$B$2:$C$37,2,FALSE)</f>
        <v>Analyst6</v>
      </c>
      <c r="I3646" s="4">
        <f t="shared" ca="1" si="56"/>
        <v>45203</v>
      </c>
      <c r="J3646" s="42">
        <f ca="1">TODAY()-qry_ProdData2_PDI_Cash_Exception_Application[[#This Row],[INSERT DATE]]</f>
        <v>22.742928240739275</v>
      </c>
      <c r="K364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46">
        <f ca="1">qry_ProdData2_PDI_Cash_Exception_Application[[#This Row],[TODAY]]-qry_ProdData2_PDI_Cash_Exception_Application[[#This Row],[CHANGED ON]]</f>
        <v>15.742928240739275</v>
      </c>
      <c r="M3646">
        <f ca="1">qry_ProdData2_PDI_Cash_Exception_Application[[#This Row],[TODAY]]-qry_ProdData2_PDI_Cash_Exception_Application[[#This Row],[CHANGED ON]]</f>
        <v>15.742928240739275</v>
      </c>
      <c r="N3646">
        <f ca="1">qry_ProdData2_PDI_Cash_Exception_Application[[#This Row],[TODAY]]-qry_ProdData2_PDI_Cash_Exception_Application[[#This Row],[CHANGED ON]]</f>
        <v>15.742928240739275</v>
      </c>
    </row>
    <row r="3647" spans="1:14" x14ac:dyDescent="0.35">
      <c r="A3647">
        <v>1002</v>
      </c>
      <c r="B3647" t="s">
        <v>56</v>
      </c>
      <c r="C3647" s="1">
        <v>45193.257071759261</v>
      </c>
      <c r="D3647" t="str">
        <f ca="1">VLOOKUP(qry_ProdData2_PDI_Cash_Exception_Application[[#This Row],[TYPE]],#REF!,2,FALSE)</f>
        <v>type43</v>
      </c>
      <c r="E3647">
        <v>208.71</v>
      </c>
      <c r="G3647" s="1">
        <f>qry_ProdData2_PDI_Cash_Exception_Application[[#This Row],[INSERT DATE]]+2</f>
        <v>45195.257071759261</v>
      </c>
      <c r="H3647" t="str">
        <f>VLOOKUP(qry_ProdData2_PDI_Cash_Exception_Application[[#This Row],[MARKET No]],'Site Allocation'!$B$2:$C$37,2,FALSE)</f>
        <v>Analyst1</v>
      </c>
      <c r="I3647" s="4">
        <f t="shared" ca="1" si="56"/>
        <v>45203</v>
      </c>
      <c r="J3647" s="42">
        <f ca="1">TODAY()-qry_ProdData2_PDI_Cash_Exception_Application[[#This Row],[INSERT DATE]]</f>
        <v>9.7429282407392748</v>
      </c>
      <c r="K364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47">
        <f ca="1">qry_ProdData2_PDI_Cash_Exception_Application[[#This Row],[TODAY]]-qry_ProdData2_PDI_Cash_Exception_Application[[#This Row],[CHANGED ON]]</f>
        <v>7.7429282407392748</v>
      </c>
      <c r="M3647">
        <f ca="1">qry_ProdData2_PDI_Cash_Exception_Application[[#This Row],[TODAY]]-qry_ProdData2_PDI_Cash_Exception_Application[[#This Row],[CHANGED ON]]</f>
        <v>7.7429282407392748</v>
      </c>
      <c r="N3647">
        <f ca="1">qry_ProdData2_PDI_Cash_Exception_Application[[#This Row],[TODAY]]-qry_ProdData2_PDI_Cash_Exception_Application[[#This Row],[CHANGED ON]]</f>
        <v>7.7429282407392748</v>
      </c>
    </row>
    <row r="3648" spans="1:14" x14ac:dyDescent="0.35">
      <c r="A3648">
        <v>1020</v>
      </c>
      <c r="B3648" t="s">
        <v>74</v>
      </c>
      <c r="C3648" s="1">
        <v>45182.257071759261</v>
      </c>
      <c r="D3648" t="str">
        <f ca="1">VLOOKUP(qry_ProdData2_PDI_Cash_Exception_Application[[#This Row],[TYPE]],#REF!,2,FALSE)</f>
        <v>type46</v>
      </c>
      <c r="E3648">
        <v>68.97</v>
      </c>
      <c r="F3648" t="s">
        <v>52</v>
      </c>
      <c r="G3648" s="1">
        <f>qry_ProdData2_PDI_Cash_Exception_Application[[#This Row],[INSERT DATE]]+7</f>
        <v>45189.257071759261</v>
      </c>
      <c r="H3648" t="str">
        <f>VLOOKUP(qry_ProdData2_PDI_Cash_Exception_Application[[#This Row],[MARKET No]],'Site Allocation'!$B$2:$C$37,2,FALSE)</f>
        <v>Analyst4</v>
      </c>
      <c r="I3648" s="4">
        <f t="shared" ca="1" si="56"/>
        <v>45203</v>
      </c>
      <c r="J3648" s="42">
        <f ca="1">TODAY()-qry_ProdData2_PDI_Cash_Exception_Application[[#This Row],[INSERT DATE]]</f>
        <v>20.742928240739275</v>
      </c>
      <c r="K364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48">
        <f ca="1">qry_ProdData2_PDI_Cash_Exception_Application[[#This Row],[TODAY]]-qry_ProdData2_PDI_Cash_Exception_Application[[#This Row],[CHANGED ON]]</f>
        <v>13.742928240739275</v>
      </c>
      <c r="M3648">
        <f ca="1">qry_ProdData2_PDI_Cash_Exception_Application[[#This Row],[TODAY]]-qry_ProdData2_PDI_Cash_Exception_Application[[#This Row],[CHANGED ON]]</f>
        <v>13.742928240739275</v>
      </c>
      <c r="N3648">
        <f ca="1">qry_ProdData2_PDI_Cash_Exception_Application[[#This Row],[TODAY]]-qry_ProdData2_PDI_Cash_Exception_Application[[#This Row],[CHANGED ON]]</f>
        <v>13.742928240739275</v>
      </c>
    </row>
    <row r="3649" spans="1:14" x14ac:dyDescent="0.35">
      <c r="A3649">
        <v>1008</v>
      </c>
      <c r="B3649" t="s">
        <v>62</v>
      </c>
      <c r="C3649" s="1">
        <v>45194.257071759261</v>
      </c>
      <c r="D3649" t="str">
        <f ca="1">VLOOKUP(qry_ProdData2_PDI_Cash_Exception_Application[[#This Row],[TYPE]],#REF!,2,FALSE)</f>
        <v>type13</v>
      </c>
      <c r="E3649">
        <v>32935.199999999997</v>
      </c>
      <c r="F3649" t="s">
        <v>51</v>
      </c>
      <c r="G3649" s="1">
        <f>qry_ProdData2_PDI_Cash_Exception_Application[[#This Row],[INSERT DATE]]+1</f>
        <v>45195.257071759261</v>
      </c>
      <c r="H3649" t="str">
        <f>VLOOKUP(qry_ProdData2_PDI_Cash_Exception_Application[[#This Row],[MARKET No]],'Site Allocation'!$B$2:$C$37,2,FALSE)</f>
        <v>Analyst2</v>
      </c>
      <c r="I3649" s="4">
        <f t="shared" ca="1" si="56"/>
        <v>45203</v>
      </c>
      <c r="J3649" s="42">
        <f ca="1">TODAY()-qry_ProdData2_PDI_Cash_Exception_Application[[#This Row],[INSERT DATE]]</f>
        <v>8.7429282407392748</v>
      </c>
      <c r="K364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49">
        <f ca="1">qry_ProdData2_PDI_Cash_Exception_Application[[#This Row],[TODAY]]-qry_ProdData2_PDI_Cash_Exception_Application[[#This Row],[CHANGED ON]]</f>
        <v>7.7429282407392748</v>
      </c>
      <c r="M3649">
        <f ca="1">qry_ProdData2_PDI_Cash_Exception_Application[[#This Row],[TODAY]]-qry_ProdData2_PDI_Cash_Exception_Application[[#This Row],[CHANGED ON]]</f>
        <v>7.7429282407392748</v>
      </c>
      <c r="N3649">
        <f ca="1">qry_ProdData2_PDI_Cash_Exception_Application[[#This Row],[TODAY]]-qry_ProdData2_PDI_Cash_Exception_Application[[#This Row],[CHANGED ON]]</f>
        <v>7.7429282407392748</v>
      </c>
    </row>
    <row r="3650" spans="1:14" x14ac:dyDescent="0.35">
      <c r="A3650">
        <v>1025</v>
      </c>
      <c r="B3650" t="s">
        <v>79</v>
      </c>
      <c r="C3650" s="1">
        <v>45183.257071759261</v>
      </c>
      <c r="D3650" t="str">
        <f ca="1">VLOOKUP(qry_ProdData2_PDI_Cash_Exception_Application[[#This Row],[TYPE]],#REF!,2,FALSE)</f>
        <v>type7</v>
      </c>
      <c r="E3650">
        <v>-9976.0400000000009</v>
      </c>
      <c r="F3650" t="s">
        <v>52</v>
      </c>
      <c r="G3650" s="1">
        <f>qry_ProdData2_PDI_Cash_Exception_Application[[#This Row],[INSERT DATE]]+7</f>
        <v>45190.257071759261</v>
      </c>
      <c r="H3650" t="str">
        <f>VLOOKUP(qry_ProdData2_PDI_Cash_Exception_Application[[#This Row],[MARKET No]],'Site Allocation'!$B$2:$C$37,2,FALSE)</f>
        <v>Analyst5</v>
      </c>
      <c r="I3650" s="4">
        <f t="shared" ref="I3650:I3713" ca="1" si="57">TODAY()</f>
        <v>45203</v>
      </c>
      <c r="J3650" s="42">
        <f ca="1">TODAY()-qry_ProdData2_PDI_Cash_Exception_Application[[#This Row],[INSERT DATE]]</f>
        <v>19.742928240739275</v>
      </c>
      <c r="K365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50">
        <f ca="1">qry_ProdData2_PDI_Cash_Exception_Application[[#This Row],[TODAY]]-qry_ProdData2_PDI_Cash_Exception_Application[[#This Row],[CHANGED ON]]</f>
        <v>12.742928240739275</v>
      </c>
      <c r="M3650">
        <f ca="1">qry_ProdData2_PDI_Cash_Exception_Application[[#This Row],[TODAY]]-qry_ProdData2_PDI_Cash_Exception_Application[[#This Row],[CHANGED ON]]</f>
        <v>12.742928240739275</v>
      </c>
      <c r="N3650">
        <f ca="1">qry_ProdData2_PDI_Cash_Exception_Application[[#This Row],[TODAY]]-qry_ProdData2_PDI_Cash_Exception_Application[[#This Row],[CHANGED ON]]</f>
        <v>12.742928240739275</v>
      </c>
    </row>
    <row r="3651" spans="1:14" x14ac:dyDescent="0.35">
      <c r="A3651">
        <v>1033</v>
      </c>
      <c r="B3651" t="s">
        <v>87</v>
      </c>
      <c r="C3651" s="1">
        <v>45195.257071759261</v>
      </c>
      <c r="D3651" t="str">
        <f ca="1">VLOOKUP(qry_ProdData2_PDI_Cash_Exception_Application[[#This Row],[TYPE]],#REF!,2,FALSE)</f>
        <v>type40</v>
      </c>
      <c r="E3651">
        <v>-719.6</v>
      </c>
      <c r="G3651" s="1">
        <f>qry_ProdData2_PDI_Cash_Exception_Application[[#This Row],[INSERT DATE]]+1</f>
        <v>45196.257071759261</v>
      </c>
      <c r="H3651" t="str">
        <f>VLOOKUP(qry_ProdData2_PDI_Cash_Exception_Application[[#This Row],[MARKET No]],'Site Allocation'!$B$2:$C$37,2,FALSE)</f>
        <v>Analyst6</v>
      </c>
      <c r="I3651" s="4">
        <f t="shared" ca="1" si="57"/>
        <v>45203</v>
      </c>
      <c r="J3651" s="42">
        <f ca="1">TODAY()-qry_ProdData2_PDI_Cash_Exception_Application[[#This Row],[INSERT DATE]]</f>
        <v>7.7429282407392748</v>
      </c>
      <c r="K365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51">
        <f ca="1">qry_ProdData2_PDI_Cash_Exception_Application[[#This Row],[TODAY]]-qry_ProdData2_PDI_Cash_Exception_Application[[#This Row],[CHANGED ON]]</f>
        <v>6.7429282407392748</v>
      </c>
      <c r="M3651">
        <f ca="1">qry_ProdData2_PDI_Cash_Exception_Application[[#This Row],[TODAY]]-qry_ProdData2_PDI_Cash_Exception_Application[[#This Row],[CHANGED ON]]</f>
        <v>6.7429282407392748</v>
      </c>
      <c r="N3651">
        <f ca="1">qry_ProdData2_PDI_Cash_Exception_Application[[#This Row],[TODAY]]-qry_ProdData2_PDI_Cash_Exception_Application[[#This Row],[CHANGED ON]]</f>
        <v>6.7429282407392748</v>
      </c>
    </row>
    <row r="3652" spans="1:14" x14ac:dyDescent="0.35">
      <c r="A3652">
        <v>1025</v>
      </c>
      <c r="B3652" t="s">
        <v>79</v>
      </c>
      <c r="C3652" s="1">
        <v>45190.257071759261</v>
      </c>
      <c r="D3652" t="str">
        <f ca="1">VLOOKUP(qry_ProdData2_PDI_Cash_Exception_Application[[#This Row],[TYPE]],#REF!,2,FALSE)</f>
        <v>type40</v>
      </c>
      <c r="E3652">
        <v>383.79</v>
      </c>
      <c r="G3652" s="1">
        <f>qry_ProdData2_PDI_Cash_Exception_Application[[#This Row],[INSERT DATE]]+7</f>
        <v>45197.257071759261</v>
      </c>
      <c r="H3652" t="str">
        <f>VLOOKUP(qry_ProdData2_PDI_Cash_Exception_Application[[#This Row],[MARKET No]],'Site Allocation'!$B$2:$C$37,2,FALSE)</f>
        <v>Analyst5</v>
      </c>
      <c r="I3652" s="4">
        <f t="shared" ca="1" si="57"/>
        <v>45203</v>
      </c>
      <c r="J3652" s="42">
        <f ca="1">TODAY()-qry_ProdData2_PDI_Cash_Exception_Application[[#This Row],[INSERT DATE]]</f>
        <v>12.742928240739275</v>
      </c>
      <c r="K365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52">
        <f ca="1">qry_ProdData2_PDI_Cash_Exception_Application[[#This Row],[TODAY]]-qry_ProdData2_PDI_Cash_Exception_Application[[#This Row],[CHANGED ON]]</f>
        <v>5.7429282407392748</v>
      </c>
      <c r="M3652">
        <f ca="1">qry_ProdData2_PDI_Cash_Exception_Application[[#This Row],[TODAY]]-qry_ProdData2_PDI_Cash_Exception_Application[[#This Row],[CHANGED ON]]</f>
        <v>5.7429282407392748</v>
      </c>
      <c r="N3652">
        <f ca="1">qry_ProdData2_PDI_Cash_Exception_Application[[#This Row],[TODAY]]-qry_ProdData2_PDI_Cash_Exception_Application[[#This Row],[CHANGED ON]]</f>
        <v>5.7429282407392748</v>
      </c>
    </row>
    <row r="3653" spans="1:14" x14ac:dyDescent="0.35">
      <c r="A3653">
        <v>1033</v>
      </c>
      <c r="B3653" t="s">
        <v>87</v>
      </c>
      <c r="C3653" s="1">
        <v>45195.257071759261</v>
      </c>
      <c r="D3653" t="str">
        <f ca="1">VLOOKUP(qry_ProdData2_PDI_Cash_Exception_Application[[#This Row],[TYPE]],#REF!,2,FALSE)</f>
        <v>type31</v>
      </c>
      <c r="E3653">
        <v>311.25</v>
      </c>
      <c r="G3653" s="1">
        <f>qry_ProdData2_PDI_Cash_Exception_Application[[#This Row],[INSERT DATE]]+1</f>
        <v>45196.257071759261</v>
      </c>
      <c r="H3653" t="str">
        <f>VLOOKUP(qry_ProdData2_PDI_Cash_Exception_Application[[#This Row],[MARKET No]],'Site Allocation'!$B$2:$C$37,2,FALSE)</f>
        <v>Analyst6</v>
      </c>
      <c r="I3653" s="4">
        <f t="shared" ca="1" si="57"/>
        <v>45203</v>
      </c>
      <c r="J3653" s="42">
        <f ca="1">TODAY()-qry_ProdData2_PDI_Cash_Exception_Application[[#This Row],[INSERT DATE]]</f>
        <v>7.7429282407392748</v>
      </c>
      <c r="K365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53">
        <f ca="1">qry_ProdData2_PDI_Cash_Exception_Application[[#This Row],[TODAY]]-qry_ProdData2_PDI_Cash_Exception_Application[[#This Row],[CHANGED ON]]</f>
        <v>6.7429282407392748</v>
      </c>
      <c r="M3653">
        <f ca="1">qry_ProdData2_PDI_Cash_Exception_Application[[#This Row],[TODAY]]-qry_ProdData2_PDI_Cash_Exception_Application[[#This Row],[CHANGED ON]]</f>
        <v>6.7429282407392748</v>
      </c>
      <c r="N3653">
        <f ca="1">qry_ProdData2_PDI_Cash_Exception_Application[[#This Row],[TODAY]]-qry_ProdData2_PDI_Cash_Exception_Application[[#This Row],[CHANGED ON]]</f>
        <v>6.7429282407392748</v>
      </c>
    </row>
    <row r="3654" spans="1:14" x14ac:dyDescent="0.35">
      <c r="A3654">
        <v>1024</v>
      </c>
      <c r="B3654" t="s">
        <v>78</v>
      </c>
      <c r="C3654" s="1">
        <v>45193.257071759261</v>
      </c>
      <c r="D3654" t="str">
        <f ca="1">VLOOKUP(qry_ProdData2_PDI_Cash_Exception_Application[[#This Row],[TYPE]],#REF!,2,FALSE)</f>
        <v>type13</v>
      </c>
      <c r="E3654">
        <v>28892.02</v>
      </c>
      <c r="F3654" t="s">
        <v>51</v>
      </c>
      <c r="G3654" s="1">
        <f>qry_ProdData2_PDI_Cash_Exception_Application[[#This Row],[INSERT DATE]]+2</f>
        <v>45195.257071759261</v>
      </c>
      <c r="H3654" t="str">
        <f>VLOOKUP(qry_ProdData2_PDI_Cash_Exception_Application[[#This Row],[MARKET No]],'Site Allocation'!$B$2:$C$37,2,FALSE)</f>
        <v>Analyst5</v>
      </c>
      <c r="I3654" s="4">
        <f t="shared" ca="1" si="57"/>
        <v>45203</v>
      </c>
      <c r="J3654" s="42">
        <f ca="1">TODAY()-qry_ProdData2_PDI_Cash_Exception_Application[[#This Row],[INSERT DATE]]</f>
        <v>9.7429282407392748</v>
      </c>
      <c r="K365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54">
        <f ca="1">qry_ProdData2_PDI_Cash_Exception_Application[[#This Row],[TODAY]]-qry_ProdData2_PDI_Cash_Exception_Application[[#This Row],[CHANGED ON]]</f>
        <v>7.7429282407392748</v>
      </c>
      <c r="M3654">
        <f ca="1">qry_ProdData2_PDI_Cash_Exception_Application[[#This Row],[TODAY]]-qry_ProdData2_PDI_Cash_Exception_Application[[#This Row],[CHANGED ON]]</f>
        <v>7.7429282407392748</v>
      </c>
      <c r="N3654">
        <f ca="1">qry_ProdData2_PDI_Cash_Exception_Application[[#This Row],[TODAY]]-qry_ProdData2_PDI_Cash_Exception_Application[[#This Row],[CHANGED ON]]</f>
        <v>7.7429282407392748</v>
      </c>
    </row>
    <row r="3655" spans="1:14" x14ac:dyDescent="0.35">
      <c r="A3655">
        <v>1008</v>
      </c>
      <c r="B3655" t="s">
        <v>62</v>
      </c>
      <c r="C3655" s="1">
        <v>45185.257071759261</v>
      </c>
      <c r="D3655" t="str">
        <f ca="1">VLOOKUP(qry_ProdData2_PDI_Cash_Exception_Application[[#This Row],[TYPE]],#REF!,2,FALSE)</f>
        <v>type17</v>
      </c>
      <c r="E3655">
        <v>482.2</v>
      </c>
      <c r="F3655" t="s">
        <v>52</v>
      </c>
      <c r="G3655" s="1">
        <f>qry_ProdData2_PDI_Cash_Exception_Application[[#This Row],[INSERT DATE]]+7</f>
        <v>45192.257071759261</v>
      </c>
      <c r="H3655" t="str">
        <f>VLOOKUP(qry_ProdData2_PDI_Cash_Exception_Application[[#This Row],[MARKET No]],'Site Allocation'!$B$2:$C$37,2,FALSE)</f>
        <v>Analyst2</v>
      </c>
      <c r="I3655" s="4">
        <f t="shared" ca="1" si="57"/>
        <v>45203</v>
      </c>
      <c r="J3655" s="42">
        <f ca="1">TODAY()-qry_ProdData2_PDI_Cash_Exception_Application[[#This Row],[INSERT DATE]]</f>
        <v>17.742928240739275</v>
      </c>
      <c r="K365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55">
        <f ca="1">qry_ProdData2_PDI_Cash_Exception_Application[[#This Row],[TODAY]]-qry_ProdData2_PDI_Cash_Exception_Application[[#This Row],[CHANGED ON]]</f>
        <v>10.742928240739275</v>
      </c>
      <c r="M3655">
        <f ca="1">qry_ProdData2_PDI_Cash_Exception_Application[[#This Row],[TODAY]]-qry_ProdData2_PDI_Cash_Exception_Application[[#This Row],[CHANGED ON]]</f>
        <v>10.742928240739275</v>
      </c>
      <c r="N3655">
        <f ca="1">qry_ProdData2_PDI_Cash_Exception_Application[[#This Row],[TODAY]]-qry_ProdData2_PDI_Cash_Exception_Application[[#This Row],[CHANGED ON]]</f>
        <v>10.742928240739275</v>
      </c>
    </row>
    <row r="3656" spans="1:14" x14ac:dyDescent="0.35">
      <c r="A3656">
        <v>1025</v>
      </c>
      <c r="B3656" t="s">
        <v>79</v>
      </c>
      <c r="C3656" s="1">
        <v>45195.257071759261</v>
      </c>
      <c r="D3656" t="str">
        <f ca="1">VLOOKUP(qry_ProdData2_PDI_Cash_Exception_Application[[#This Row],[TYPE]],#REF!,2,FALSE)</f>
        <v>type25</v>
      </c>
      <c r="E3656">
        <v>163.96</v>
      </c>
      <c r="G3656" s="1">
        <f>qry_ProdData2_PDI_Cash_Exception_Application[[#This Row],[INSERT DATE]]+2</f>
        <v>45197.257071759261</v>
      </c>
      <c r="H3656" t="str">
        <f>VLOOKUP(qry_ProdData2_PDI_Cash_Exception_Application[[#This Row],[MARKET No]],'Site Allocation'!$B$2:$C$37,2,FALSE)</f>
        <v>Analyst5</v>
      </c>
      <c r="I3656" s="4">
        <f t="shared" ca="1" si="57"/>
        <v>45203</v>
      </c>
      <c r="J3656" s="42">
        <f ca="1">TODAY()-qry_ProdData2_PDI_Cash_Exception_Application[[#This Row],[INSERT DATE]]</f>
        <v>7.7429282407392748</v>
      </c>
      <c r="K365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56">
        <f ca="1">qry_ProdData2_PDI_Cash_Exception_Application[[#This Row],[TODAY]]-qry_ProdData2_PDI_Cash_Exception_Application[[#This Row],[CHANGED ON]]</f>
        <v>5.7429282407392748</v>
      </c>
      <c r="M3656">
        <f ca="1">qry_ProdData2_PDI_Cash_Exception_Application[[#This Row],[TODAY]]-qry_ProdData2_PDI_Cash_Exception_Application[[#This Row],[CHANGED ON]]</f>
        <v>5.7429282407392748</v>
      </c>
      <c r="N3656">
        <f ca="1">qry_ProdData2_PDI_Cash_Exception_Application[[#This Row],[TODAY]]-qry_ProdData2_PDI_Cash_Exception_Application[[#This Row],[CHANGED ON]]</f>
        <v>5.7429282407392748</v>
      </c>
    </row>
    <row r="3657" spans="1:14" x14ac:dyDescent="0.35">
      <c r="A3657">
        <v>1024</v>
      </c>
      <c r="B3657" t="s">
        <v>78</v>
      </c>
      <c r="C3657" s="1">
        <v>45187.257071759261</v>
      </c>
      <c r="D3657" t="str">
        <f ca="1">VLOOKUP(qry_ProdData2_PDI_Cash_Exception_Application[[#This Row],[TYPE]],#REF!,2,FALSE)</f>
        <v>type40</v>
      </c>
      <c r="E3657">
        <v>-1029.48</v>
      </c>
      <c r="F3657" t="s">
        <v>50</v>
      </c>
      <c r="G3657" s="1">
        <f>qry_ProdData2_PDI_Cash_Exception_Application[[#This Row],[INSERT DATE]]+7</f>
        <v>45194.257071759261</v>
      </c>
      <c r="H3657" t="str">
        <f>VLOOKUP(qry_ProdData2_PDI_Cash_Exception_Application[[#This Row],[MARKET No]],'Site Allocation'!$B$2:$C$37,2,FALSE)</f>
        <v>Analyst5</v>
      </c>
      <c r="I3657" s="4">
        <f t="shared" ca="1" si="57"/>
        <v>45203</v>
      </c>
      <c r="J3657" s="42">
        <f ca="1">TODAY()-qry_ProdData2_PDI_Cash_Exception_Application[[#This Row],[INSERT DATE]]</f>
        <v>15.742928240739275</v>
      </c>
      <c r="K365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57">
        <f ca="1">qry_ProdData2_PDI_Cash_Exception_Application[[#This Row],[TODAY]]-qry_ProdData2_PDI_Cash_Exception_Application[[#This Row],[CHANGED ON]]</f>
        <v>8.7429282407392748</v>
      </c>
      <c r="M3657">
        <f ca="1">qry_ProdData2_PDI_Cash_Exception_Application[[#This Row],[TODAY]]-qry_ProdData2_PDI_Cash_Exception_Application[[#This Row],[CHANGED ON]]</f>
        <v>8.7429282407392748</v>
      </c>
      <c r="N3657">
        <f ca="1">qry_ProdData2_PDI_Cash_Exception_Application[[#This Row],[TODAY]]-qry_ProdData2_PDI_Cash_Exception_Application[[#This Row],[CHANGED ON]]</f>
        <v>8.7429282407392748</v>
      </c>
    </row>
    <row r="3658" spans="1:14" x14ac:dyDescent="0.35">
      <c r="A3658">
        <v>1011</v>
      </c>
      <c r="B3658" t="s">
        <v>65</v>
      </c>
      <c r="C3658" s="1">
        <v>45187.257071759261</v>
      </c>
      <c r="D3658" t="str">
        <f ca="1">VLOOKUP(qry_ProdData2_PDI_Cash_Exception_Application[[#This Row],[TYPE]],#REF!,2,FALSE)</f>
        <v>type40</v>
      </c>
      <c r="E3658">
        <v>458.19</v>
      </c>
      <c r="F3658" t="s">
        <v>50</v>
      </c>
      <c r="G3658" s="1">
        <f>qry_ProdData2_PDI_Cash_Exception_Application[[#This Row],[INSERT DATE]]+7</f>
        <v>45194.257071759261</v>
      </c>
      <c r="H3658" t="str">
        <f>VLOOKUP(qry_ProdData2_PDI_Cash_Exception_Application[[#This Row],[MARKET No]],'Site Allocation'!$B$2:$C$37,2,FALSE)</f>
        <v>Analyst2</v>
      </c>
      <c r="I3658" s="4">
        <f t="shared" ca="1" si="57"/>
        <v>45203</v>
      </c>
      <c r="J3658" s="42">
        <f ca="1">TODAY()-qry_ProdData2_PDI_Cash_Exception_Application[[#This Row],[INSERT DATE]]</f>
        <v>15.742928240739275</v>
      </c>
      <c r="K365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58">
        <f ca="1">qry_ProdData2_PDI_Cash_Exception_Application[[#This Row],[TODAY]]-qry_ProdData2_PDI_Cash_Exception_Application[[#This Row],[CHANGED ON]]</f>
        <v>8.7429282407392748</v>
      </c>
      <c r="M3658">
        <f ca="1">qry_ProdData2_PDI_Cash_Exception_Application[[#This Row],[TODAY]]-qry_ProdData2_PDI_Cash_Exception_Application[[#This Row],[CHANGED ON]]</f>
        <v>8.7429282407392748</v>
      </c>
      <c r="N3658">
        <f ca="1">qry_ProdData2_PDI_Cash_Exception_Application[[#This Row],[TODAY]]-qry_ProdData2_PDI_Cash_Exception_Application[[#This Row],[CHANGED ON]]</f>
        <v>8.7429282407392748</v>
      </c>
    </row>
    <row r="3659" spans="1:14" x14ac:dyDescent="0.35">
      <c r="A3659">
        <v>1024</v>
      </c>
      <c r="B3659" t="s">
        <v>78</v>
      </c>
      <c r="C3659" s="1">
        <v>45194.257071759261</v>
      </c>
      <c r="D3659" t="str">
        <f ca="1">VLOOKUP(qry_ProdData2_PDI_Cash_Exception_Application[[#This Row],[TYPE]],#REF!,2,FALSE)</f>
        <v>type40</v>
      </c>
      <c r="E3659">
        <v>-774.59</v>
      </c>
      <c r="G3659" s="1">
        <f>qry_ProdData2_PDI_Cash_Exception_Application[[#This Row],[INSERT DATE]]+7</f>
        <v>45201.257071759261</v>
      </c>
      <c r="H3659" t="str">
        <f>VLOOKUP(qry_ProdData2_PDI_Cash_Exception_Application[[#This Row],[MARKET No]],'Site Allocation'!$B$2:$C$37,2,FALSE)</f>
        <v>Analyst5</v>
      </c>
      <c r="I3659" s="4">
        <f t="shared" ca="1" si="57"/>
        <v>45203</v>
      </c>
      <c r="J3659" s="42">
        <f ca="1">TODAY()-qry_ProdData2_PDI_Cash_Exception_Application[[#This Row],[INSERT DATE]]</f>
        <v>8.7429282407392748</v>
      </c>
      <c r="K365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59">
        <f ca="1">qry_ProdData2_PDI_Cash_Exception_Application[[#This Row],[TODAY]]-qry_ProdData2_PDI_Cash_Exception_Application[[#This Row],[CHANGED ON]]</f>
        <v>1.7429282407392748</v>
      </c>
      <c r="M3659">
        <f ca="1">qry_ProdData2_PDI_Cash_Exception_Application[[#This Row],[TODAY]]-qry_ProdData2_PDI_Cash_Exception_Application[[#This Row],[CHANGED ON]]</f>
        <v>1.7429282407392748</v>
      </c>
      <c r="N3659">
        <f ca="1">qry_ProdData2_PDI_Cash_Exception_Application[[#This Row],[TODAY]]-qry_ProdData2_PDI_Cash_Exception_Application[[#This Row],[CHANGED ON]]</f>
        <v>1.7429282407392748</v>
      </c>
    </row>
    <row r="3660" spans="1:14" x14ac:dyDescent="0.35">
      <c r="A3660">
        <v>1030</v>
      </c>
      <c r="B3660" t="s">
        <v>84</v>
      </c>
      <c r="C3660" s="1">
        <v>45193.257071759261</v>
      </c>
      <c r="D3660" t="str">
        <f ca="1">VLOOKUP(qry_ProdData2_PDI_Cash_Exception_Application[[#This Row],[TYPE]],#REF!,2,FALSE)</f>
        <v>type40</v>
      </c>
      <c r="E3660">
        <v>2764.75</v>
      </c>
      <c r="F3660" t="s">
        <v>51</v>
      </c>
      <c r="G3660" s="1">
        <f>qry_ProdData2_PDI_Cash_Exception_Application[[#This Row],[INSERT DATE]]+1</f>
        <v>45194.257071759261</v>
      </c>
      <c r="H3660" t="str">
        <f>VLOOKUP(qry_ProdData2_PDI_Cash_Exception_Application[[#This Row],[MARKET No]],'Site Allocation'!$B$2:$C$37,2,FALSE)</f>
        <v>Analyst6</v>
      </c>
      <c r="I3660" s="4">
        <f t="shared" ca="1" si="57"/>
        <v>45203</v>
      </c>
      <c r="J3660" s="42">
        <f ca="1">TODAY()-qry_ProdData2_PDI_Cash_Exception_Application[[#This Row],[INSERT DATE]]</f>
        <v>9.7429282407392748</v>
      </c>
      <c r="K366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60">
        <f ca="1">qry_ProdData2_PDI_Cash_Exception_Application[[#This Row],[TODAY]]-qry_ProdData2_PDI_Cash_Exception_Application[[#This Row],[CHANGED ON]]</f>
        <v>8.7429282407392748</v>
      </c>
      <c r="M3660">
        <f ca="1">qry_ProdData2_PDI_Cash_Exception_Application[[#This Row],[TODAY]]-qry_ProdData2_PDI_Cash_Exception_Application[[#This Row],[CHANGED ON]]</f>
        <v>8.7429282407392748</v>
      </c>
      <c r="N3660">
        <f ca="1">qry_ProdData2_PDI_Cash_Exception_Application[[#This Row],[TODAY]]-qry_ProdData2_PDI_Cash_Exception_Application[[#This Row],[CHANGED ON]]</f>
        <v>8.7429282407392748</v>
      </c>
    </row>
    <row r="3661" spans="1:14" x14ac:dyDescent="0.35">
      <c r="A3661">
        <v>1021</v>
      </c>
      <c r="B3661" t="s">
        <v>75</v>
      </c>
      <c r="C3661" s="1">
        <v>45189.257071759261</v>
      </c>
      <c r="D3661" t="str">
        <f ca="1">VLOOKUP(qry_ProdData2_PDI_Cash_Exception_Application[[#This Row],[TYPE]],#REF!,2,FALSE)</f>
        <v>type1</v>
      </c>
      <c r="E3661">
        <v>11</v>
      </c>
      <c r="F3661" t="s">
        <v>50</v>
      </c>
      <c r="G3661" s="1">
        <f>qry_ProdData2_PDI_Cash_Exception_Application[[#This Row],[INSERT DATE]]+1</f>
        <v>45190.257071759261</v>
      </c>
      <c r="H3661" t="str">
        <f>VLOOKUP(qry_ProdData2_PDI_Cash_Exception_Application[[#This Row],[MARKET No]],'Site Allocation'!$B$2:$C$37,2,FALSE)</f>
        <v>Analyst4</v>
      </c>
      <c r="I3661" s="4">
        <f t="shared" ca="1" si="57"/>
        <v>45203</v>
      </c>
      <c r="J3661" s="42">
        <f ca="1">TODAY()-qry_ProdData2_PDI_Cash_Exception_Application[[#This Row],[INSERT DATE]]</f>
        <v>13.742928240739275</v>
      </c>
      <c r="K366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61">
        <f ca="1">qry_ProdData2_PDI_Cash_Exception_Application[[#This Row],[TODAY]]-qry_ProdData2_PDI_Cash_Exception_Application[[#This Row],[CHANGED ON]]</f>
        <v>12.742928240739275</v>
      </c>
      <c r="M3661">
        <f ca="1">qry_ProdData2_PDI_Cash_Exception_Application[[#This Row],[TODAY]]-qry_ProdData2_PDI_Cash_Exception_Application[[#This Row],[CHANGED ON]]</f>
        <v>12.742928240739275</v>
      </c>
      <c r="N3661">
        <f ca="1">qry_ProdData2_PDI_Cash_Exception_Application[[#This Row],[TODAY]]-qry_ProdData2_PDI_Cash_Exception_Application[[#This Row],[CHANGED ON]]</f>
        <v>12.742928240739275</v>
      </c>
    </row>
    <row r="3662" spans="1:14" x14ac:dyDescent="0.35">
      <c r="A3662">
        <v>1020</v>
      </c>
      <c r="B3662" t="s">
        <v>74</v>
      </c>
      <c r="C3662" s="1">
        <v>45190.257071759261</v>
      </c>
      <c r="D3662" t="str">
        <f ca="1">VLOOKUP(qry_ProdData2_PDI_Cash_Exception_Application[[#This Row],[TYPE]],#REF!,2,FALSE)</f>
        <v>type17</v>
      </c>
      <c r="E3662">
        <v>420.45</v>
      </c>
      <c r="G3662" s="1">
        <f>qry_ProdData2_PDI_Cash_Exception_Application[[#This Row],[INSERT DATE]]+1</f>
        <v>45191.257071759261</v>
      </c>
      <c r="H3662" t="str">
        <f>VLOOKUP(qry_ProdData2_PDI_Cash_Exception_Application[[#This Row],[MARKET No]],'Site Allocation'!$B$2:$C$37,2,FALSE)</f>
        <v>Analyst4</v>
      </c>
      <c r="I3662" s="4">
        <f t="shared" ca="1" si="57"/>
        <v>45203</v>
      </c>
      <c r="J3662" s="42">
        <f ca="1">TODAY()-qry_ProdData2_PDI_Cash_Exception_Application[[#This Row],[INSERT DATE]]</f>
        <v>12.742928240739275</v>
      </c>
      <c r="K366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62">
        <f ca="1">qry_ProdData2_PDI_Cash_Exception_Application[[#This Row],[TODAY]]-qry_ProdData2_PDI_Cash_Exception_Application[[#This Row],[CHANGED ON]]</f>
        <v>11.742928240739275</v>
      </c>
      <c r="M3662">
        <f ca="1">qry_ProdData2_PDI_Cash_Exception_Application[[#This Row],[TODAY]]-qry_ProdData2_PDI_Cash_Exception_Application[[#This Row],[CHANGED ON]]</f>
        <v>11.742928240739275</v>
      </c>
      <c r="N3662">
        <f ca="1">qry_ProdData2_PDI_Cash_Exception_Application[[#This Row],[TODAY]]-qry_ProdData2_PDI_Cash_Exception_Application[[#This Row],[CHANGED ON]]</f>
        <v>11.742928240739275</v>
      </c>
    </row>
    <row r="3663" spans="1:14" x14ac:dyDescent="0.35">
      <c r="A3663">
        <v>1020</v>
      </c>
      <c r="B3663" t="s">
        <v>74</v>
      </c>
      <c r="C3663" s="1">
        <v>45193.257071759261</v>
      </c>
      <c r="D3663" t="str">
        <f ca="1">VLOOKUP(qry_ProdData2_PDI_Cash_Exception_Application[[#This Row],[TYPE]],#REF!,2,FALSE)</f>
        <v>type40</v>
      </c>
      <c r="E3663">
        <v>-1347.75</v>
      </c>
      <c r="G3663" s="1">
        <f>qry_ProdData2_PDI_Cash_Exception_Application[[#This Row],[INSERT DATE]]+7</f>
        <v>45200.257071759261</v>
      </c>
      <c r="H3663" t="str">
        <f>VLOOKUP(qry_ProdData2_PDI_Cash_Exception_Application[[#This Row],[MARKET No]],'Site Allocation'!$B$2:$C$37,2,FALSE)</f>
        <v>Analyst4</v>
      </c>
      <c r="I3663" s="4">
        <f t="shared" ca="1" si="57"/>
        <v>45203</v>
      </c>
      <c r="J3663" s="42">
        <f ca="1">TODAY()-qry_ProdData2_PDI_Cash_Exception_Application[[#This Row],[INSERT DATE]]</f>
        <v>9.7429282407392748</v>
      </c>
      <c r="K366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63">
        <f ca="1">qry_ProdData2_PDI_Cash_Exception_Application[[#This Row],[TODAY]]-qry_ProdData2_PDI_Cash_Exception_Application[[#This Row],[CHANGED ON]]</f>
        <v>2.7429282407392748</v>
      </c>
      <c r="M3663">
        <f ca="1">qry_ProdData2_PDI_Cash_Exception_Application[[#This Row],[TODAY]]-qry_ProdData2_PDI_Cash_Exception_Application[[#This Row],[CHANGED ON]]</f>
        <v>2.7429282407392748</v>
      </c>
      <c r="N3663">
        <f ca="1">qry_ProdData2_PDI_Cash_Exception_Application[[#This Row],[TODAY]]-qry_ProdData2_PDI_Cash_Exception_Application[[#This Row],[CHANGED ON]]</f>
        <v>2.7429282407392748</v>
      </c>
    </row>
    <row r="3664" spans="1:14" x14ac:dyDescent="0.35">
      <c r="A3664">
        <v>1027</v>
      </c>
      <c r="B3664" t="s">
        <v>81</v>
      </c>
      <c r="C3664" s="1">
        <v>45191.257071759261</v>
      </c>
      <c r="D3664" t="str">
        <f ca="1">VLOOKUP(qry_ProdData2_PDI_Cash_Exception_Application[[#This Row],[TYPE]],#REF!,2,FALSE)</f>
        <v>type41</v>
      </c>
      <c r="E3664">
        <v>445.96</v>
      </c>
      <c r="F3664" t="s">
        <v>52</v>
      </c>
      <c r="G3664" s="1">
        <f>qry_ProdData2_PDI_Cash_Exception_Application[[#This Row],[INSERT DATE]]+1</f>
        <v>45192.257071759261</v>
      </c>
      <c r="H3664" t="str">
        <f>VLOOKUP(qry_ProdData2_PDI_Cash_Exception_Application[[#This Row],[MARKET No]],'Site Allocation'!$B$2:$C$37,2,FALSE)</f>
        <v>Analyst5</v>
      </c>
      <c r="I3664" s="4">
        <f t="shared" ca="1" si="57"/>
        <v>45203</v>
      </c>
      <c r="J3664" s="42">
        <f ca="1">TODAY()-qry_ProdData2_PDI_Cash_Exception_Application[[#This Row],[INSERT DATE]]</f>
        <v>11.742928240739275</v>
      </c>
      <c r="K366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64">
        <f ca="1">qry_ProdData2_PDI_Cash_Exception_Application[[#This Row],[TODAY]]-qry_ProdData2_PDI_Cash_Exception_Application[[#This Row],[CHANGED ON]]</f>
        <v>10.742928240739275</v>
      </c>
      <c r="M3664">
        <f ca="1">qry_ProdData2_PDI_Cash_Exception_Application[[#This Row],[TODAY]]-qry_ProdData2_PDI_Cash_Exception_Application[[#This Row],[CHANGED ON]]</f>
        <v>10.742928240739275</v>
      </c>
      <c r="N3664">
        <f ca="1">qry_ProdData2_PDI_Cash_Exception_Application[[#This Row],[TODAY]]-qry_ProdData2_PDI_Cash_Exception_Application[[#This Row],[CHANGED ON]]</f>
        <v>10.742928240739275</v>
      </c>
    </row>
    <row r="3665" spans="1:14" x14ac:dyDescent="0.35">
      <c r="A3665">
        <v>1005</v>
      </c>
      <c r="B3665" t="s">
        <v>59</v>
      </c>
      <c r="C3665" s="1">
        <v>45194.257071759261</v>
      </c>
      <c r="D3665" t="str">
        <f ca="1">VLOOKUP(qry_ProdData2_PDI_Cash_Exception_Application[[#This Row],[TYPE]],#REF!,2,FALSE)</f>
        <v>type42</v>
      </c>
      <c r="E3665">
        <v>157.62</v>
      </c>
      <c r="G3665" s="1">
        <f>qry_ProdData2_PDI_Cash_Exception_Application[[#This Row],[INSERT DATE]]+5</f>
        <v>45199.257071759261</v>
      </c>
      <c r="H3665" t="str">
        <f>VLOOKUP(qry_ProdData2_PDI_Cash_Exception_Application[[#This Row],[MARKET No]],'Site Allocation'!$B$2:$C$37,2,FALSE)</f>
        <v>Analyst1</v>
      </c>
      <c r="I3665" s="4">
        <f t="shared" ca="1" si="57"/>
        <v>45203</v>
      </c>
      <c r="J3665" s="42">
        <f ca="1">TODAY()-qry_ProdData2_PDI_Cash_Exception_Application[[#This Row],[INSERT DATE]]</f>
        <v>8.7429282407392748</v>
      </c>
      <c r="K366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65">
        <f ca="1">qry_ProdData2_PDI_Cash_Exception_Application[[#This Row],[TODAY]]-qry_ProdData2_PDI_Cash_Exception_Application[[#This Row],[CHANGED ON]]</f>
        <v>3.7429282407392748</v>
      </c>
      <c r="M3665">
        <f ca="1">qry_ProdData2_PDI_Cash_Exception_Application[[#This Row],[TODAY]]-qry_ProdData2_PDI_Cash_Exception_Application[[#This Row],[CHANGED ON]]</f>
        <v>3.7429282407392748</v>
      </c>
      <c r="N3665">
        <f ca="1">qry_ProdData2_PDI_Cash_Exception_Application[[#This Row],[TODAY]]-qry_ProdData2_PDI_Cash_Exception_Application[[#This Row],[CHANGED ON]]</f>
        <v>3.7429282407392748</v>
      </c>
    </row>
    <row r="3666" spans="1:14" x14ac:dyDescent="0.35">
      <c r="A3666">
        <v>1009</v>
      </c>
      <c r="B3666" t="s">
        <v>63</v>
      </c>
      <c r="C3666" s="1">
        <v>45193.257071759261</v>
      </c>
      <c r="D3666" t="str">
        <f ca="1">VLOOKUP(qry_ProdData2_PDI_Cash_Exception_Application[[#This Row],[TYPE]],#REF!,2,FALSE)</f>
        <v>type40</v>
      </c>
      <c r="E3666">
        <v>-5401.67</v>
      </c>
      <c r="F3666" t="s">
        <v>50</v>
      </c>
      <c r="G3666" s="1">
        <f>qry_ProdData2_PDI_Cash_Exception_Application[[#This Row],[INSERT DATE]]+1</f>
        <v>45194.257071759261</v>
      </c>
      <c r="H3666" t="str">
        <f>VLOOKUP(qry_ProdData2_PDI_Cash_Exception_Application[[#This Row],[MARKET No]],'Site Allocation'!$B$2:$C$37,2,FALSE)</f>
        <v>Analyst2</v>
      </c>
      <c r="I3666" s="4">
        <f t="shared" ca="1" si="57"/>
        <v>45203</v>
      </c>
      <c r="J3666" s="42">
        <f ca="1">TODAY()-qry_ProdData2_PDI_Cash_Exception_Application[[#This Row],[INSERT DATE]]</f>
        <v>9.7429282407392748</v>
      </c>
      <c r="K366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66">
        <f ca="1">qry_ProdData2_PDI_Cash_Exception_Application[[#This Row],[TODAY]]-qry_ProdData2_PDI_Cash_Exception_Application[[#This Row],[CHANGED ON]]</f>
        <v>8.7429282407392748</v>
      </c>
      <c r="M3666">
        <f ca="1">qry_ProdData2_PDI_Cash_Exception_Application[[#This Row],[TODAY]]-qry_ProdData2_PDI_Cash_Exception_Application[[#This Row],[CHANGED ON]]</f>
        <v>8.7429282407392748</v>
      </c>
      <c r="N3666">
        <f ca="1">qry_ProdData2_PDI_Cash_Exception_Application[[#This Row],[TODAY]]-qry_ProdData2_PDI_Cash_Exception_Application[[#This Row],[CHANGED ON]]</f>
        <v>8.7429282407392748</v>
      </c>
    </row>
    <row r="3667" spans="1:14" x14ac:dyDescent="0.35">
      <c r="A3667">
        <v>1028</v>
      </c>
      <c r="B3667" t="s">
        <v>82</v>
      </c>
      <c r="C3667" s="1">
        <v>45195.257071759261</v>
      </c>
      <c r="D3667" t="str">
        <f ca="1">VLOOKUP(qry_ProdData2_PDI_Cash_Exception_Application[[#This Row],[TYPE]],#REF!,2,FALSE)</f>
        <v>type40</v>
      </c>
      <c r="E3667">
        <v>4987.16</v>
      </c>
      <c r="G3667" s="1">
        <f>qry_ProdData2_PDI_Cash_Exception_Application[[#This Row],[INSERT DATE]]+2</f>
        <v>45197.257071759261</v>
      </c>
      <c r="H3667" t="str">
        <f>VLOOKUP(qry_ProdData2_PDI_Cash_Exception_Application[[#This Row],[MARKET No]],'Site Allocation'!$B$2:$C$37,2,FALSE)</f>
        <v>Analyst5</v>
      </c>
      <c r="I3667" s="4">
        <f t="shared" ca="1" si="57"/>
        <v>45203</v>
      </c>
      <c r="J3667" s="42">
        <f ca="1">TODAY()-qry_ProdData2_PDI_Cash_Exception_Application[[#This Row],[INSERT DATE]]</f>
        <v>7.7429282407392748</v>
      </c>
      <c r="K366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67">
        <f ca="1">qry_ProdData2_PDI_Cash_Exception_Application[[#This Row],[TODAY]]-qry_ProdData2_PDI_Cash_Exception_Application[[#This Row],[CHANGED ON]]</f>
        <v>5.7429282407392748</v>
      </c>
      <c r="M3667">
        <f ca="1">qry_ProdData2_PDI_Cash_Exception_Application[[#This Row],[TODAY]]-qry_ProdData2_PDI_Cash_Exception_Application[[#This Row],[CHANGED ON]]</f>
        <v>5.7429282407392748</v>
      </c>
      <c r="N3667">
        <f ca="1">qry_ProdData2_PDI_Cash_Exception_Application[[#This Row],[TODAY]]-qry_ProdData2_PDI_Cash_Exception_Application[[#This Row],[CHANGED ON]]</f>
        <v>5.7429282407392748</v>
      </c>
    </row>
    <row r="3668" spans="1:14" x14ac:dyDescent="0.35">
      <c r="A3668">
        <v>1030</v>
      </c>
      <c r="B3668" t="s">
        <v>84</v>
      </c>
      <c r="C3668" s="1">
        <v>45193.257071759261</v>
      </c>
      <c r="D3668" t="str">
        <f ca="1">VLOOKUP(qry_ProdData2_PDI_Cash_Exception_Application[[#This Row],[TYPE]],#REF!,2,FALSE)</f>
        <v>type40</v>
      </c>
      <c r="E3668">
        <v>446.34</v>
      </c>
      <c r="G3668" s="1">
        <f>qry_ProdData2_PDI_Cash_Exception_Application[[#This Row],[INSERT DATE]]+2</f>
        <v>45195.257071759261</v>
      </c>
      <c r="H3668" t="str">
        <f>VLOOKUP(qry_ProdData2_PDI_Cash_Exception_Application[[#This Row],[MARKET No]],'Site Allocation'!$B$2:$C$37,2,FALSE)</f>
        <v>Analyst6</v>
      </c>
      <c r="I3668" s="4">
        <f t="shared" ca="1" si="57"/>
        <v>45203</v>
      </c>
      <c r="J3668" s="42">
        <f ca="1">TODAY()-qry_ProdData2_PDI_Cash_Exception_Application[[#This Row],[INSERT DATE]]</f>
        <v>9.7429282407392748</v>
      </c>
      <c r="K366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68">
        <f ca="1">qry_ProdData2_PDI_Cash_Exception_Application[[#This Row],[TODAY]]-qry_ProdData2_PDI_Cash_Exception_Application[[#This Row],[CHANGED ON]]</f>
        <v>7.7429282407392748</v>
      </c>
      <c r="M3668">
        <f ca="1">qry_ProdData2_PDI_Cash_Exception_Application[[#This Row],[TODAY]]-qry_ProdData2_PDI_Cash_Exception_Application[[#This Row],[CHANGED ON]]</f>
        <v>7.7429282407392748</v>
      </c>
      <c r="N3668">
        <f ca="1">qry_ProdData2_PDI_Cash_Exception_Application[[#This Row],[TODAY]]-qry_ProdData2_PDI_Cash_Exception_Application[[#This Row],[CHANGED ON]]</f>
        <v>7.7429282407392748</v>
      </c>
    </row>
    <row r="3669" spans="1:14" x14ac:dyDescent="0.35">
      <c r="A3669">
        <v>1033</v>
      </c>
      <c r="B3669" t="s">
        <v>87</v>
      </c>
      <c r="C3669" s="1">
        <v>45193.257071759261</v>
      </c>
      <c r="D3669" t="str">
        <f ca="1">VLOOKUP(qry_ProdData2_PDI_Cash_Exception_Application[[#This Row],[TYPE]],#REF!,2,FALSE)</f>
        <v>type27</v>
      </c>
      <c r="E3669">
        <v>3042.03</v>
      </c>
      <c r="G3669" s="1">
        <f>qry_ProdData2_PDI_Cash_Exception_Application[[#This Row],[INSERT DATE]]+1</f>
        <v>45194.257071759261</v>
      </c>
      <c r="H3669" t="str">
        <f>VLOOKUP(qry_ProdData2_PDI_Cash_Exception_Application[[#This Row],[MARKET No]],'Site Allocation'!$B$2:$C$37,2,FALSE)</f>
        <v>Analyst6</v>
      </c>
      <c r="I3669" s="4">
        <f t="shared" ca="1" si="57"/>
        <v>45203</v>
      </c>
      <c r="J3669" s="42">
        <f ca="1">TODAY()-qry_ProdData2_PDI_Cash_Exception_Application[[#This Row],[INSERT DATE]]</f>
        <v>9.7429282407392748</v>
      </c>
      <c r="K366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69">
        <f ca="1">qry_ProdData2_PDI_Cash_Exception_Application[[#This Row],[TODAY]]-qry_ProdData2_PDI_Cash_Exception_Application[[#This Row],[CHANGED ON]]</f>
        <v>8.7429282407392748</v>
      </c>
      <c r="M3669">
        <f ca="1">qry_ProdData2_PDI_Cash_Exception_Application[[#This Row],[TODAY]]-qry_ProdData2_PDI_Cash_Exception_Application[[#This Row],[CHANGED ON]]</f>
        <v>8.7429282407392748</v>
      </c>
      <c r="N3669">
        <f ca="1">qry_ProdData2_PDI_Cash_Exception_Application[[#This Row],[TODAY]]-qry_ProdData2_PDI_Cash_Exception_Application[[#This Row],[CHANGED ON]]</f>
        <v>8.7429282407392748</v>
      </c>
    </row>
    <row r="3670" spans="1:14" x14ac:dyDescent="0.35">
      <c r="A3670">
        <v>1013</v>
      </c>
      <c r="B3670" t="s">
        <v>67</v>
      </c>
      <c r="C3670" s="1">
        <v>45193.257071759261</v>
      </c>
      <c r="D3670" t="str">
        <f ca="1">VLOOKUP(qry_ProdData2_PDI_Cash_Exception_Application[[#This Row],[TYPE]],#REF!,2,FALSE)</f>
        <v>type7</v>
      </c>
      <c r="E3670">
        <v>1546.83</v>
      </c>
      <c r="F3670" t="s">
        <v>51</v>
      </c>
      <c r="G3670" s="1">
        <f>qry_ProdData2_PDI_Cash_Exception_Application[[#This Row],[INSERT DATE]]+2</f>
        <v>45195.257071759261</v>
      </c>
      <c r="H3670" t="str">
        <f>VLOOKUP(qry_ProdData2_PDI_Cash_Exception_Application[[#This Row],[MARKET No]],'Site Allocation'!$B$2:$C$37,2,FALSE)</f>
        <v>Analyst3</v>
      </c>
      <c r="I3670" s="4">
        <f t="shared" ca="1" si="57"/>
        <v>45203</v>
      </c>
      <c r="J3670" s="42">
        <f ca="1">TODAY()-qry_ProdData2_PDI_Cash_Exception_Application[[#This Row],[INSERT DATE]]</f>
        <v>9.7429282407392748</v>
      </c>
      <c r="K367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70">
        <f ca="1">qry_ProdData2_PDI_Cash_Exception_Application[[#This Row],[TODAY]]-qry_ProdData2_PDI_Cash_Exception_Application[[#This Row],[CHANGED ON]]</f>
        <v>7.7429282407392748</v>
      </c>
      <c r="M3670">
        <f ca="1">qry_ProdData2_PDI_Cash_Exception_Application[[#This Row],[TODAY]]-qry_ProdData2_PDI_Cash_Exception_Application[[#This Row],[CHANGED ON]]</f>
        <v>7.7429282407392748</v>
      </c>
      <c r="N3670">
        <f ca="1">qry_ProdData2_PDI_Cash_Exception_Application[[#This Row],[TODAY]]-qry_ProdData2_PDI_Cash_Exception_Application[[#This Row],[CHANGED ON]]</f>
        <v>7.7429282407392748</v>
      </c>
    </row>
    <row r="3671" spans="1:14" x14ac:dyDescent="0.35">
      <c r="A3671">
        <v>1010</v>
      </c>
      <c r="B3671" t="s">
        <v>64</v>
      </c>
      <c r="C3671" s="1">
        <v>45195.257071759261</v>
      </c>
      <c r="D3671" t="str">
        <f ca="1">VLOOKUP(qry_ProdData2_PDI_Cash_Exception_Application[[#This Row],[TYPE]],#REF!,2,FALSE)</f>
        <v>type29</v>
      </c>
      <c r="E3671">
        <v>371.52</v>
      </c>
      <c r="F3671" t="s">
        <v>51</v>
      </c>
      <c r="G3671" s="1">
        <f>qry_ProdData2_PDI_Cash_Exception_Application[[#This Row],[INSERT DATE]]+2</f>
        <v>45197.257071759261</v>
      </c>
      <c r="H3671" t="str">
        <f>VLOOKUP(qry_ProdData2_PDI_Cash_Exception_Application[[#This Row],[MARKET No]],'Site Allocation'!$B$2:$C$37,2,FALSE)</f>
        <v>Analyst2</v>
      </c>
      <c r="I3671" s="4">
        <f t="shared" ca="1" si="57"/>
        <v>45203</v>
      </c>
      <c r="J3671" s="42">
        <f ca="1">TODAY()-qry_ProdData2_PDI_Cash_Exception_Application[[#This Row],[INSERT DATE]]</f>
        <v>7.7429282407392748</v>
      </c>
      <c r="K367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71">
        <f ca="1">qry_ProdData2_PDI_Cash_Exception_Application[[#This Row],[TODAY]]-qry_ProdData2_PDI_Cash_Exception_Application[[#This Row],[CHANGED ON]]</f>
        <v>5.7429282407392748</v>
      </c>
      <c r="M3671">
        <f ca="1">qry_ProdData2_PDI_Cash_Exception_Application[[#This Row],[TODAY]]-qry_ProdData2_PDI_Cash_Exception_Application[[#This Row],[CHANGED ON]]</f>
        <v>5.7429282407392748</v>
      </c>
      <c r="N3671">
        <f ca="1">qry_ProdData2_PDI_Cash_Exception_Application[[#This Row],[TODAY]]-qry_ProdData2_PDI_Cash_Exception_Application[[#This Row],[CHANGED ON]]</f>
        <v>5.7429282407392748</v>
      </c>
    </row>
    <row r="3672" spans="1:14" x14ac:dyDescent="0.35">
      <c r="A3672">
        <v>1002</v>
      </c>
      <c r="B3672" t="s">
        <v>56</v>
      </c>
      <c r="C3672" s="1">
        <v>45194.257071759261</v>
      </c>
      <c r="D3672" t="str">
        <f ca="1">VLOOKUP(qry_ProdData2_PDI_Cash_Exception_Application[[#This Row],[TYPE]],#REF!,2,FALSE)</f>
        <v>type40</v>
      </c>
      <c r="E3672">
        <v>-807.95</v>
      </c>
      <c r="G3672" s="1">
        <f>qry_ProdData2_PDI_Cash_Exception_Application[[#This Row],[INSERT DATE]]+7</f>
        <v>45201.257071759261</v>
      </c>
      <c r="H3672" t="str">
        <f>VLOOKUP(qry_ProdData2_PDI_Cash_Exception_Application[[#This Row],[MARKET No]],'Site Allocation'!$B$2:$C$37,2,FALSE)</f>
        <v>Analyst1</v>
      </c>
      <c r="I3672" s="4">
        <f t="shared" ca="1" si="57"/>
        <v>45203</v>
      </c>
      <c r="J3672" s="42">
        <f ca="1">TODAY()-qry_ProdData2_PDI_Cash_Exception_Application[[#This Row],[INSERT DATE]]</f>
        <v>8.7429282407392748</v>
      </c>
      <c r="K367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72">
        <f ca="1">qry_ProdData2_PDI_Cash_Exception_Application[[#This Row],[TODAY]]-qry_ProdData2_PDI_Cash_Exception_Application[[#This Row],[CHANGED ON]]</f>
        <v>1.7429282407392748</v>
      </c>
      <c r="M3672">
        <f ca="1">qry_ProdData2_PDI_Cash_Exception_Application[[#This Row],[TODAY]]-qry_ProdData2_PDI_Cash_Exception_Application[[#This Row],[CHANGED ON]]</f>
        <v>1.7429282407392748</v>
      </c>
      <c r="N3672">
        <f ca="1">qry_ProdData2_PDI_Cash_Exception_Application[[#This Row],[TODAY]]-qry_ProdData2_PDI_Cash_Exception_Application[[#This Row],[CHANGED ON]]</f>
        <v>1.7429282407392748</v>
      </c>
    </row>
    <row r="3673" spans="1:14" x14ac:dyDescent="0.35">
      <c r="A3673">
        <v>1031</v>
      </c>
      <c r="B3673" t="s">
        <v>85</v>
      </c>
      <c r="C3673" s="1">
        <v>45195.257071759261</v>
      </c>
      <c r="D3673" t="str">
        <f ca="1">VLOOKUP(qry_ProdData2_PDI_Cash_Exception_Application[[#This Row],[TYPE]],#REF!,2,FALSE)</f>
        <v>type5</v>
      </c>
      <c r="E3673">
        <v>645</v>
      </c>
      <c r="G3673" s="1">
        <f>qry_ProdData2_PDI_Cash_Exception_Application[[#This Row],[INSERT DATE]]+1</f>
        <v>45196.257071759261</v>
      </c>
      <c r="H3673" t="str">
        <f>VLOOKUP(qry_ProdData2_PDI_Cash_Exception_Application[[#This Row],[MARKET No]],'Site Allocation'!$B$2:$C$37,2,FALSE)</f>
        <v>Analyst6</v>
      </c>
      <c r="I3673" s="4">
        <f t="shared" ca="1" si="57"/>
        <v>45203</v>
      </c>
      <c r="J3673" s="42">
        <f ca="1">TODAY()-qry_ProdData2_PDI_Cash_Exception_Application[[#This Row],[INSERT DATE]]</f>
        <v>7.7429282407392748</v>
      </c>
      <c r="K367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73">
        <f ca="1">qry_ProdData2_PDI_Cash_Exception_Application[[#This Row],[TODAY]]-qry_ProdData2_PDI_Cash_Exception_Application[[#This Row],[CHANGED ON]]</f>
        <v>6.7429282407392748</v>
      </c>
      <c r="M3673">
        <f ca="1">qry_ProdData2_PDI_Cash_Exception_Application[[#This Row],[TODAY]]-qry_ProdData2_PDI_Cash_Exception_Application[[#This Row],[CHANGED ON]]</f>
        <v>6.7429282407392748</v>
      </c>
      <c r="N3673">
        <f ca="1">qry_ProdData2_PDI_Cash_Exception_Application[[#This Row],[TODAY]]-qry_ProdData2_PDI_Cash_Exception_Application[[#This Row],[CHANGED ON]]</f>
        <v>6.7429282407392748</v>
      </c>
    </row>
    <row r="3674" spans="1:14" x14ac:dyDescent="0.35">
      <c r="A3674">
        <v>1030</v>
      </c>
      <c r="B3674" t="s">
        <v>84</v>
      </c>
      <c r="C3674" s="1">
        <v>45193.257071759261</v>
      </c>
      <c r="D3674" t="str">
        <f ca="1">VLOOKUP(qry_ProdData2_PDI_Cash_Exception_Application[[#This Row],[TYPE]],#REF!,2,FALSE)</f>
        <v>type7</v>
      </c>
      <c r="E3674">
        <v>1755.14</v>
      </c>
      <c r="G3674" s="1">
        <f>qry_ProdData2_PDI_Cash_Exception_Application[[#This Row],[INSERT DATE]]+5</f>
        <v>45198.257071759261</v>
      </c>
      <c r="H3674" t="str">
        <f>VLOOKUP(qry_ProdData2_PDI_Cash_Exception_Application[[#This Row],[MARKET No]],'Site Allocation'!$B$2:$C$37,2,FALSE)</f>
        <v>Analyst6</v>
      </c>
      <c r="I3674" s="4">
        <f t="shared" ca="1" si="57"/>
        <v>45203</v>
      </c>
      <c r="J3674" s="42">
        <f ca="1">TODAY()-qry_ProdData2_PDI_Cash_Exception_Application[[#This Row],[INSERT DATE]]</f>
        <v>9.7429282407392748</v>
      </c>
      <c r="K367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74">
        <f ca="1">qry_ProdData2_PDI_Cash_Exception_Application[[#This Row],[TODAY]]-qry_ProdData2_PDI_Cash_Exception_Application[[#This Row],[CHANGED ON]]</f>
        <v>4.7429282407392748</v>
      </c>
      <c r="M3674">
        <f ca="1">qry_ProdData2_PDI_Cash_Exception_Application[[#This Row],[TODAY]]-qry_ProdData2_PDI_Cash_Exception_Application[[#This Row],[CHANGED ON]]</f>
        <v>4.7429282407392748</v>
      </c>
      <c r="N3674">
        <f ca="1">qry_ProdData2_PDI_Cash_Exception_Application[[#This Row],[TODAY]]-qry_ProdData2_PDI_Cash_Exception_Application[[#This Row],[CHANGED ON]]</f>
        <v>4.7429282407392748</v>
      </c>
    </row>
    <row r="3675" spans="1:14" x14ac:dyDescent="0.35">
      <c r="A3675">
        <v>1029</v>
      </c>
      <c r="B3675" t="s">
        <v>83</v>
      </c>
      <c r="C3675" s="1">
        <v>45188.257071759261</v>
      </c>
      <c r="D3675" t="str">
        <f ca="1">VLOOKUP(qry_ProdData2_PDI_Cash_Exception_Application[[#This Row],[TYPE]],#REF!,2,FALSE)</f>
        <v>type40</v>
      </c>
      <c r="E3675">
        <v>-500.4</v>
      </c>
      <c r="F3675" t="s">
        <v>52</v>
      </c>
      <c r="G3675" s="1">
        <f>qry_ProdData2_PDI_Cash_Exception_Application[[#This Row],[INSERT DATE]]+1</f>
        <v>45189.257071759261</v>
      </c>
      <c r="H3675" t="str">
        <f>VLOOKUP(qry_ProdData2_PDI_Cash_Exception_Application[[#This Row],[MARKET No]],'Site Allocation'!$B$2:$C$37,2,FALSE)</f>
        <v>Analyst5</v>
      </c>
      <c r="I3675" s="4">
        <f t="shared" ca="1" si="57"/>
        <v>45203</v>
      </c>
      <c r="J3675" s="42">
        <f ca="1">TODAY()-qry_ProdData2_PDI_Cash_Exception_Application[[#This Row],[INSERT DATE]]</f>
        <v>14.742928240739275</v>
      </c>
      <c r="K367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75">
        <f ca="1">qry_ProdData2_PDI_Cash_Exception_Application[[#This Row],[TODAY]]-qry_ProdData2_PDI_Cash_Exception_Application[[#This Row],[CHANGED ON]]</f>
        <v>13.742928240739275</v>
      </c>
      <c r="M3675">
        <f ca="1">qry_ProdData2_PDI_Cash_Exception_Application[[#This Row],[TODAY]]-qry_ProdData2_PDI_Cash_Exception_Application[[#This Row],[CHANGED ON]]</f>
        <v>13.742928240739275</v>
      </c>
      <c r="N3675">
        <f ca="1">qry_ProdData2_PDI_Cash_Exception_Application[[#This Row],[TODAY]]-qry_ProdData2_PDI_Cash_Exception_Application[[#This Row],[CHANGED ON]]</f>
        <v>13.742928240739275</v>
      </c>
    </row>
    <row r="3676" spans="1:14" x14ac:dyDescent="0.35">
      <c r="A3676">
        <v>1002</v>
      </c>
      <c r="B3676" t="s">
        <v>56</v>
      </c>
      <c r="C3676" s="1">
        <v>45194.257071759261</v>
      </c>
      <c r="D3676" t="str">
        <f ca="1">VLOOKUP(qry_ProdData2_PDI_Cash_Exception_Application[[#This Row],[TYPE]],#REF!,2,FALSE)</f>
        <v>type13</v>
      </c>
      <c r="E3676">
        <v>32295.05</v>
      </c>
      <c r="F3676" t="s">
        <v>51</v>
      </c>
      <c r="G3676" s="1">
        <f>qry_ProdData2_PDI_Cash_Exception_Application[[#This Row],[INSERT DATE]]+7</f>
        <v>45201.257071759261</v>
      </c>
      <c r="H3676" t="str">
        <f>VLOOKUP(qry_ProdData2_PDI_Cash_Exception_Application[[#This Row],[MARKET No]],'Site Allocation'!$B$2:$C$37,2,FALSE)</f>
        <v>Analyst1</v>
      </c>
      <c r="I3676" s="4">
        <f t="shared" ca="1" si="57"/>
        <v>45203</v>
      </c>
      <c r="J3676" s="42">
        <f ca="1">TODAY()-qry_ProdData2_PDI_Cash_Exception_Application[[#This Row],[INSERT DATE]]</f>
        <v>8.7429282407392748</v>
      </c>
      <c r="K367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76">
        <f ca="1">qry_ProdData2_PDI_Cash_Exception_Application[[#This Row],[TODAY]]-qry_ProdData2_PDI_Cash_Exception_Application[[#This Row],[CHANGED ON]]</f>
        <v>1.7429282407392748</v>
      </c>
      <c r="M3676">
        <f ca="1">qry_ProdData2_PDI_Cash_Exception_Application[[#This Row],[TODAY]]-qry_ProdData2_PDI_Cash_Exception_Application[[#This Row],[CHANGED ON]]</f>
        <v>1.7429282407392748</v>
      </c>
      <c r="N3676">
        <f ca="1">qry_ProdData2_PDI_Cash_Exception_Application[[#This Row],[TODAY]]-qry_ProdData2_PDI_Cash_Exception_Application[[#This Row],[CHANGED ON]]</f>
        <v>1.7429282407392748</v>
      </c>
    </row>
    <row r="3677" spans="1:14" x14ac:dyDescent="0.35">
      <c r="A3677">
        <v>1012</v>
      </c>
      <c r="B3677" t="s">
        <v>66</v>
      </c>
      <c r="C3677" s="1">
        <v>45195.257071759261</v>
      </c>
      <c r="D3677" t="str">
        <f ca="1">VLOOKUP(qry_ProdData2_PDI_Cash_Exception_Application[[#This Row],[TYPE]],#REF!,2,FALSE)</f>
        <v>type33</v>
      </c>
      <c r="E3677">
        <v>333.55</v>
      </c>
      <c r="G3677" s="1">
        <f>qry_ProdData2_PDI_Cash_Exception_Application[[#This Row],[INSERT DATE]]+7</f>
        <v>45202.257071759261</v>
      </c>
      <c r="H3677" t="str">
        <f>VLOOKUP(qry_ProdData2_PDI_Cash_Exception_Application[[#This Row],[MARKET No]],'Site Allocation'!$B$2:$C$37,2,FALSE)</f>
        <v>Analyst3</v>
      </c>
      <c r="I3677" s="4">
        <f t="shared" ca="1" si="57"/>
        <v>45203</v>
      </c>
      <c r="J3677" s="42">
        <f ca="1">TODAY()-qry_ProdData2_PDI_Cash_Exception_Application[[#This Row],[INSERT DATE]]</f>
        <v>7.7429282407392748</v>
      </c>
      <c r="K367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77">
        <f ca="1">qry_ProdData2_PDI_Cash_Exception_Application[[#This Row],[TODAY]]-qry_ProdData2_PDI_Cash_Exception_Application[[#This Row],[CHANGED ON]]</f>
        <v>0.74292824073927477</v>
      </c>
      <c r="M3677">
        <f ca="1">qry_ProdData2_PDI_Cash_Exception_Application[[#This Row],[TODAY]]-qry_ProdData2_PDI_Cash_Exception_Application[[#This Row],[CHANGED ON]]</f>
        <v>0.74292824073927477</v>
      </c>
      <c r="N3677">
        <f ca="1">qry_ProdData2_PDI_Cash_Exception_Application[[#This Row],[TODAY]]-qry_ProdData2_PDI_Cash_Exception_Application[[#This Row],[CHANGED ON]]</f>
        <v>0.74292824073927477</v>
      </c>
    </row>
    <row r="3678" spans="1:14" x14ac:dyDescent="0.35">
      <c r="A3678">
        <v>1011</v>
      </c>
      <c r="B3678" t="s">
        <v>65</v>
      </c>
      <c r="C3678" s="1">
        <v>45195.257071759261</v>
      </c>
      <c r="D3678" t="str">
        <f ca="1">VLOOKUP(qry_ProdData2_PDI_Cash_Exception_Application[[#This Row],[TYPE]],#REF!,2,FALSE)</f>
        <v>type8</v>
      </c>
      <c r="E3678">
        <v>89.26</v>
      </c>
      <c r="F3678" t="s">
        <v>51</v>
      </c>
      <c r="G3678" s="1">
        <f>qry_ProdData2_PDI_Cash_Exception_Application[[#This Row],[INSERT DATE]]+7</f>
        <v>45202.257071759261</v>
      </c>
      <c r="H3678" t="str">
        <f>VLOOKUP(qry_ProdData2_PDI_Cash_Exception_Application[[#This Row],[MARKET No]],'Site Allocation'!$B$2:$C$37,2,FALSE)</f>
        <v>Analyst2</v>
      </c>
      <c r="I3678" s="4">
        <f t="shared" ca="1" si="57"/>
        <v>45203</v>
      </c>
      <c r="J3678" s="42">
        <f ca="1">TODAY()-qry_ProdData2_PDI_Cash_Exception_Application[[#This Row],[INSERT DATE]]</f>
        <v>7.7429282407392748</v>
      </c>
      <c r="K367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78">
        <f ca="1">qry_ProdData2_PDI_Cash_Exception_Application[[#This Row],[TODAY]]-qry_ProdData2_PDI_Cash_Exception_Application[[#This Row],[CHANGED ON]]</f>
        <v>0.74292824073927477</v>
      </c>
      <c r="M3678">
        <f ca="1">qry_ProdData2_PDI_Cash_Exception_Application[[#This Row],[TODAY]]-qry_ProdData2_PDI_Cash_Exception_Application[[#This Row],[CHANGED ON]]</f>
        <v>0.74292824073927477</v>
      </c>
      <c r="N3678">
        <f ca="1">qry_ProdData2_PDI_Cash_Exception_Application[[#This Row],[TODAY]]-qry_ProdData2_PDI_Cash_Exception_Application[[#This Row],[CHANGED ON]]</f>
        <v>0.74292824073927477</v>
      </c>
    </row>
    <row r="3679" spans="1:14" x14ac:dyDescent="0.35">
      <c r="A3679">
        <v>1002</v>
      </c>
      <c r="B3679" t="s">
        <v>56</v>
      </c>
      <c r="C3679" s="1">
        <v>45190.257071759261</v>
      </c>
      <c r="D3679" t="str">
        <f ca="1">VLOOKUP(qry_ProdData2_PDI_Cash_Exception_Application[[#This Row],[TYPE]],#REF!,2,FALSE)</f>
        <v>type52</v>
      </c>
      <c r="E3679">
        <v>125.01</v>
      </c>
      <c r="F3679" t="s">
        <v>52</v>
      </c>
      <c r="G3679" s="1">
        <f>qry_ProdData2_PDI_Cash_Exception_Application[[#This Row],[INSERT DATE]]+2</f>
        <v>45192.257071759261</v>
      </c>
      <c r="H3679" t="str">
        <f>VLOOKUP(qry_ProdData2_PDI_Cash_Exception_Application[[#This Row],[MARKET No]],'Site Allocation'!$B$2:$C$37,2,FALSE)</f>
        <v>Analyst1</v>
      </c>
      <c r="I3679" s="4">
        <f t="shared" ca="1" si="57"/>
        <v>45203</v>
      </c>
      <c r="J3679" s="42">
        <f ca="1">TODAY()-qry_ProdData2_PDI_Cash_Exception_Application[[#This Row],[INSERT DATE]]</f>
        <v>12.742928240739275</v>
      </c>
      <c r="K367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79">
        <f ca="1">qry_ProdData2_PDI_Cash_Exception_Application[[#This Row],[TODAY]]-qry_ProdData2_PDI_Cash_Exception_Application[[#This Row],[CHANGED ON]]</f>
        <v>10.742928240739275</v>
      </c>
      <c r="M3679">
        <f ca="1">qry_ProdData2_PDI_Cash_Exception_Application[[#This Row],[TODAY]]-qry_ProdData2_PDI_Cash_Exception_Application[[#This Row],[CHANGED ON]]</f>
        <v>10.742928240739275</v>
      </c>
      <c r="N3679">
        <f ca="1">qry_ProdData2_PDI_Cash_Exception_Application[[#This Row],[TODAY]]-qry_ProdData2_PDI_Cash_Exception_Application[[#This Row],[CHANGED ON]]</f>
        <v>10.742928240739275</v>
      </c>
    </row>
    <row r="3680" spans="1:14" x14ac:dyDescent="0.35">
      <c r="A3680">
        <v>1025</v>
      </c>
      <c r="B3680" t="s">
        <v>79</v>
      </c>
      <c r="C3680" s="1">
        <v>45195.257071759261</v>
      </c>
      <c r="D3680" t="str">
        <f ca="1">VLOOKUP(qry_ProdData2_PDI_Cash_Exception_Application[[#This Row],[TYPE]],#REF!,2,FALSE)</f>
        <v>type15</v>
      </c>
      <c r="E3680">
        <v>-1816.4</v>
      </c>
      <c r="G3680" s="1">
        <f>qry_ProdData2_PDI_Cash_Exception_Application[[#This Row],[INSERT DATE]]+1</f>
        <v>45196.257071759261</v>
      </c>
      <c r="H3680" t="str">
        <f>VLOOKUP(qry_ProdData2_PDI_Cash_Exception_Application[[#This Row],[MARKET No]],'Site Allocation'!$B$2:$C$37,2,FALSE)</f>
        <v>Analyst5</v>
      </c>
      <c r="I3680" s="4">
        <f t="shared" ca="1" si="57"/>
        <v>45203</v>
      </c>
      <c r="J3680" s="42">
        <f ca="1">TODAY()-qry_ProdData2_PDI_Cash_Exception_Application[[#This Row],[INSERT DATE]]</f>
        <v>7.7429282407392748</v>
      </c>
      <c r="K368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80">
        <f ca="1">qry_ProdData2_PDI_Cash_Exception_Application[[#This Row],[TODAY]]-qry_ProdData2_PDI_Cash_Exception_Application[[#This Row],[CHANGED ON]]</f>
        <v>6.7429282407392748</v>
      </c>
      <c r="M3680">
        <f ca="1">qry_ProdData2_PDI_Cash_Exception_Application[[#This Row],[TODAY]]-qry_ProdData2_PDI_Cash_Exception_Application[[#This Row],[CHANGED ON]]</f>
        <v>6.7429282407392748</v>
      </c>
      <c r="N3680">
        <f ca="1">qry_ProdData2_PDI_Cash_Exception_Application[[#This Row],[TODAY]]-qry_ProdData2_PDI_Cash_Exception_Application[[#This Row],[CHANGED ON]]</f>
        <v>6.7429282407392748</v>
      </c>
    </row>
    <row r="3681" spans="1:14" x14ac:dyDescent="0.35">
      <c r="A3681">
        <v>1010</v>
      </c>
      <c r="B3681" t="s">
        <v>64</v>
      </c>
      <c r="C3681" s="1">
        <v>45193.257071759261</v>
      </c>
      <c r="D3681" t="str">
        <f ca="1">VLOOKUP(qry_ProdData2_PDI_Cash_Exception_Application[[#This Row],[TYPE]],#REF!,2,FALSE)</f>
        <v>type40</v>
      </c>
      <c r="E3681">
        <v>-4837</v>
      </c>
      <c r="F3681" t="s">
        <v>51</v>
      </c>
      <c r="G3681" s="1">
        <f>qry_ProdData2_PDI_Cash_Exception_Application[[#This Row],[INSERT DATE]]+2</f>
        <v>45195.257071759261</v>
      </c>
      <c r="H3681" t="str">
        <f>VLOOKUP(qry_ProdData2_PDI_Cash_Exception_Application[[#This Row],[MARKET No]],'Site Allocation'!$B$2:$C$37,2,FALSE)</f>
        <v>Analyst2</v>
      </c>
      <c r="I3681" s="4">
        <f t="shared" ca="1" si="57"/>
        <v>45203</v>
      </c>
      <c r="J3681" s="42">
        <f ca="1">TODAY()-qry_ProdData2_PDI_Cash_Exception_Application[[#This Row],[INSERT DATE]]</f>
        <v>9.7429282407392748</v>
      </c>
      <c r="K368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81">
        <f ca="1">qry_ProdData2_PDI_Cash_Exception_Application[[#This Row],[TODAY]]-qry_ProdData2_PDI_Cash_Exception_Application[[#This Row],[CHANGED ON]]</f>
        <v>7.7429282407392748</v>
      </c>
      <c r="M3681">
        <f ca="1">qry_ProdData2_PDI_Cash_Exception_Application[[#This Row],[TODAY]]-qry_ProdData2_PDI_Cash_Exception_Application[[#This Row],[CHANGED ON]]</f>
        <v>7.7429282407392748</v>
      </c>
      <c r="N3681">
        <f ca="1">qry_ProdData2_PDI_Cash_Exception_Application[[#This Row],[TODAY]]-qry_ProdData2_PDI_Cash_Exception_Application[[#This Row],[CHANGED ON]]</f>
        <v>7.7429282407392748</v>
      </c>
    </row>
    <row r="3682" spans="1:14" x14ac:dyDescent="0.35">
      <c r="A3682">
        <v>1006</v>
      </c>
      <c r="B3682" t="s">
        <v>60</v>
      </c>
      <c r="C3682" s="1">
        <v>45195.257071759261</v>
      </c>
      <c r="D3682" t="str">
        <f ca="1">VLOOKUP(qry_ProdData2_PDI_Cash_Exception_Application[[#This Row],[TYPE]],#REF!,2,FALSE)</f>
        <v>type40</v>
      </c>
      <c r="E3682">
        <v>6484.97</v>
      </c>
      <c r="F3682" t="s">
        <v>51</v>
      </c>
      <c r="G3682" s="1">
        <f>qry_ProdData2_PDI_Cash_Exception_Application[[#This Row],[INSERT DATE]]+2</f>
        <v>45197.257071759261</v>
      </c>
      <c r="H3682" t="str">
        <f>VLOOKUP(qry_ProdData2_PDI_Cash_Exception_Application[[#This Row],[MARKET No]],'Site Allocation'!$B$2:$C$37,2,FALSE)</f>
        <v>Analyst2</v>
      </c>
      <c r="I3682" s="4">
        <f t="shared" ca="1" si="57"/>
        <v>45203</v>
      </c>
      <c r="J3682" s="42">
        <f ca="1">TODAY()-qry_ProdData2_PDI_Cash_Exception_Application[[#This Row],[INSERT DATE]]</f>
        <v>7.7429282407392748</v>
      </c>
      <c r="K368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82">
        <f ca="1">qry_ProdData2_PDI_Cash_Exception_Application[[#This Row],[TODAY]]-qry_ProdData2_PDI_Cash_Exception_Application[[#This Row],[CHANGED ON]]</f>
        <v>5.7429282407392748</v>
      </c>
      <c r="M3682">
        <f ca="1">qry_ProdData2_PDI_Cash_Exception_Application[[#This Row],[TODAY]]-qry_ProdData2_PDI_Cash_Exception_Application[[#This Row],[CHANGED ON]]</f>
        <v>5.7429282407392748</v>
      </c>
      <c r="N3682">
        <f ca="1">qry_ProdData2_PDI_Cash_Exception_Application[[#This Row],[TODAY]]-qry_ProdData2_PDI_Cash_Exception_Application[[#This Row],[CHANGED ON]]</f>
        <v>5.7429282407392748</v>
      </c>
    </row>
    <row r="3683" spans="1:14" x14ac:dyDescent="0.35">
      <c r="A3683">
        <v>1015</v>
      </c>
      <c r="B3683" t="s">
        <v>69</v>
      </c>
      <c r="C3683" s="1">
        <v>45195.257071759261</v>
      </c>
      <c r="D3683" t="str">
        <f ca="1">VLOOKUP(qry_ProdData2_PDI_Cash_Exception_Application[[#This Row],[TYPE]],#REF!,2,FALSE)</f>
        <v>type13</v>
      </c>
      <c r="E3683">
        <v>17379.849999999999</v>
      </c>
      <c r="F3683" t="s">
        <v>51</v>
      </c>
      <c r="G3683" s="1">
        <f>qry_ProdData2_PDI_Cash_Exception_Application[[#This Row],[INSERT DATE]]+5</f>
        <v>45200.257071759261</v>
      </c>
      <c r="H3683" t="str">
        <f>VLOOKUP(qry_ProdData2_PDI_Cash_Exception_Application[[#This Row],[MARKET No]],'Site Allocation'!$B$2:$C$37,2,FALSE)</f>
        <v>Analyst3</v>
      </c>
      <c r="I3683" s="4">
        <f t="shared" ca="1" si="57"/>
        <v>45203</v>
      </c>
      <c r="J3683" s="42">
        <f ca="1">TODAY()-qry_ProdData2_PDI_Cash_Exception_Application[[#This Row],[INSERT DATE]]</f>
        <v>7.7429282407392748</v>
      </c>
      <c r="K368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83">
        <f ca="1">qry_ProdData2_PDI_Cash_Exception_Application[[#This Row],[TODAY]]-qry_ProdData2_PDI_Cash_Exception_Application[[#This Row],[CHANGED ON]]</f>
        <v>2.7429282407392748</v>
      </c>
      <c r="M3683">
        <f ca="1">qry_ProdData2_PDI_Cash_Exception_Application[[#This Row],[TODAY]]-qry_ProdData2_PDI_Cash_Exception_Application[[#This Row],[CHANGED ON]]</f>
        <v>2.7429282407392748</v>
      </c>
      <c r="N3683">
        <f ca="1">qry_ProdData2_PDI_Cash_Exception_Application[[#This Row],[TODAY]]-qry_ProdData2_PDI_Cash_Exception_Application[[#This Row],[CHANGED ON]]</f>
        <v>2.7429282407392748</v>
      </c>
    </row>
    <row r="3684" spans="1:14" x14ac:dyDescent="0.35">
      <c r="A3684">
        <v>1002</v>
      </c>
      <c r="B3684" t="s">
        <v>56</v>
      </c>
      <c r="C3684" s="1">
        <v>45193.257071759261</v>
      </c>
      <c r="D3684" t="str">
        <f ca="1">VLOOKUP(qry_ProdData2_PDI_Cash_Exception_Application[[#This Row],[TYPE]],#REF!,2,FALSE)</f>
        <v>type40</v>
      </c>
      <c r="E3684">
        <v>-305.56</v>
      </c>
      <c r="F3684" t="s">
        <v>51</v>
      </c>
      <c r="G3684" s="1">
        <f>qry_ProdData2_PDI_Cash_Exception_Application[[#This Row],[INSERT DATE]]+1</f>
        <v>45194.257071759261</v>
      </c>
      <c r="H3684" t="str">
        <f>VLOOKUP(qry_ProdData2_PDI_Cash_Exception_Application[[#This Row],[MARKET No]],'Site Allocation'!$B$2:$C$37,2,FALSE)</f>
        <v>Analyst1</v>
      </c>
      <c r="I3684" s="4">
        <f t="shared" ca="1" si="57"/>
        <v>45203</v>
      </c>
      <c r="J3684" s="42">
        <f ca="1">TODAY()-qry_ProdData2_PDI_Cash_Exception_Application[[#This Row],[INSERT DATE]]</f>
        <v>9.7429282407392748</v>
      </c>
      <c r="K368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84">
        <f ca="1">qry_ProdData2_PDI_Cash_Exception_Application[[#This Row],[TODAY]]-qry_ProdData2_PDI_Cash_Exception_Application[[#This Row],[CHANGED ON]]</f>
        <v>8.7429282407392748</v>
      </c>
      <c r="M3684">
        <f ca="1">qry_ProdData2_PDI_Cash_Exception_Application[[#This Row],[TODAY]]-qry_ProdData2_PDI_Cash_Exception_Application[[#This Row],[CHANGED ON]]</f>
        <v>8.7429282407392748</v>
      </c>
      <c r="N3684">
        <f ca="1">qry_ProdData2_PDI_Cash_Exception_Application[[#This Row],[TODAY]]-qry_ProdData2_PDI_Cash_Exception_Application[[#This Row],[CHANGED ON]]</f>
        <v>8.7429282407392748</v>
      </c>
    </row>
    <row r="3685" spans="1:14" x14ac:dyDescent="0.35">
      <c r="A3685">
        <v>1010</v>
      </c>
      <c r="B3685" t="s">
        <v>64</v>
      </c>
      <c r="C3685" s="1">
        <v>45196.257071759261</v>
      </c>
      <c r="D3685" t="str">
        <f ca="1">VLOOKUP(qry_ProdData2_PDI_Cash_Exception_Application[[#This Row],[TYPE]],#REF!,2,FALSE)</f>
        <v>type40</v>
      </c>
      <c r="E3685">
        <v>2697.62</v>
      </c>
      <c r="F3685" t="s">
        <v>50</v>
      </c>
      <c r="G3685" s="1">
        <f>qry_ProdData2_PDI_Cash_Exception_Application[[#This Row],[INSERT DATE]]+2</f>
        <v>45198.257071759261</v>
      </c>
      <c r="H3685" t="str">
        <f>VLOOKUP(qry_ProdData2_PDI_Cash_Exception_Application[[#This Row],[MARKET No]],'Site Allocation'!$B$2:$C$37,2,FALSE)</f>
        <v>Analyst2</v>
      </c>
      <c r="I3685" s="4">
        <f t="shared" ca="1" si="57"/>
        <v>45203</v>
      </c>
      <c r="J3685" s="42">
        <f ca="1">TODAY()-qry_ProdData2_PDI_Cash_Exception_Application[[#This Row],[INSERT DATE]]</f>
        <v>6.7429282407392748</v>
      </c>
      <c r="K368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85">
        <f ca="1">qry_ProdData2_PDI_Cash_Exception_Application[[#This Row],[TODAY]]-qry_ProdData2_PDI_Cash_Exception_Application[[#This Row],[CHANGED ON]]</f>
        <v>4.7429282407392748</v>
      </c>
      <c r="M3685">
        <f ca="1">qry_ProdData2_PDI_Cash_Exception_Application[[#This Row],[TODAY]]-qry_ProdData2_PDI_Cash_Exception_Application[[#This Row],[CHANGED ON]]</f>
        <v>4.7429282407392748</v>
      </c>
      <c r="N3685">
        <f ca="1">qry_ProdData2_PDI_Cash_Exception_Application[[#This Row],[TODAY]]-qry_ProdData2_PDI_Cash_Exception_Application[[#This Row],[CHANGED ON]]</f>
        <v>4.7429282407392748</v>
      </c>
    </row>
    <row r="3686" spans="1:14" x14ac:dyDescent="0.35">
      <c r="A3686">
        <v>1035</v>
      </c>
      <c r="B3686" t="s">
        <v>89</v>
      </c>
      <c r="C3686" s="1">
        <v>45197.257071759261</v>
      </c>
      <c r="D3686" t="str">
        <f ca="1">VLOOKUP(qry_ProdData2_PDI_Cash_Exception_Application[[#This Row],[TYPE]],#REF!,2,FALSE)</f>
        <v>type40</v>
      </c>
      <c r="E3686">
        <v>957.58</v>
      </c>
      <c r="F3686" t="s">
        <v>52</v>
      </c>
      <c r="G3686" s="1">
        <f>qry_ProdData2_PDI_Cash_Exception_Application[[#This Row],[INSERT DATE]]+2</f>
        <v>45199.257071759261</v>
      </c>
      <c r="H3686" t="str">
        <f>VLOOKUP(qry_ProdData2_PDI_Cash_Exception_Application[[#This Row],[MARKET No]],'Site Allocation'!$B$2:$C$37,2,FALSE)</f>
        <v>Analyst6</v>
      </c>
      <c r="I3686" s="4">
        <f t="shared" ca="1" si="57"/>
        <v>45203</v>
      </c>
      <c r="J3686" s="42">
        <f ca="1">TODAY()-qry_ProdData2_PDI_Cash_Exception_Application[[#This Row],[INSERT DATE]]</f>
        <v>5.7429282407392748</v>
      </c>
      <c r="K368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686">
        <f ca="1">qry_ProdData2_PDI_Cash_Exception_Application[[#This Row],[TODAY]]-qry_ProdData2_PDI_Cash_Exception_Application[[#This Row],[CHANGED ON]]</f>
        <v>3.7429282407392748</v>
      </c>
      <c r="M3686">
        <f ca="1">qry_ProdData2_PDI_Cash_Exception_Application[[#This Row],[TODAY]]-qry_ProdData2_PDI_Cash_Exception_Application[[#This Row],[CHANGED ON]]</f>
        <v>3.7429282407392748</v>
      </c>
      <c r="N3686">
        <f ca="1">qry_ProdData2_PDI_Cash_Exception_Application[[#This Row],[TODAY]]-qry_ProdData2_PDI_Cash_Exception_Application[[#This Row],[CHANGED ON]]</f>
        <v>3.7429282407392748</v>
      </c>
    </row>
    <row r="3687" spans="1:14" x14ac:dyDescent="0.35">
      <c r="A3687">
        <v>1030</v>
      </c>
      <c r="B3687" t="s">
        <v>84</v>
      </c>
      <c r="C3687" s="1">
        <v>45194.257071759261</v>
      </c>
      <c r="D3687" t="str">
        <f ca="1">VLOOKUP(qry_ProdData2_PDI_Cash_Exception_Application[[#This Row],[TYPE]],#REF!,2,FALSE)</f>
        <v>type40</v>
      </c>
      <c r="E3687">
        <v>-499.8</v>
      </c>
      <c r="F3687" t="s">
        <v>51</v>
      </c>
      <c r="G3687" s="1">
        <f>qry_ProdData2_PDI_Cash_Exception_Application[[#This Row],[INSERT DATE]]+2</f>
        <v>45196.257071759261</v>
      </c>
      <c r="H3687" t="str">
        <f>VLOOKUP(qry_ProdData2_PDI_Cash_Exception_Application[[#This Row],[MARKET No]],'Site Allocation'!$B$2:$C$37,2,FALSE)</f>
        <v>Analyst6</v>
      </c>
      <c r="I3687" s="4">
        <f t="shared" ca="1" si="57"/>
        <v>45203</v>
      </c>
      <c r="J3687" s="42">
        <f ca="1">TODAY()-qry_ProdData2_PDI_Cash_Exception_Application[[#This Row],[INSERT DATE]]</f>
        <v>8.7429282407392748</v>
      </c>
      <c r="K368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87">
        <f ca="1">qry_ProdData2_PDI_Cash_Exception_Application[[#This Row],[TODAY]]-qry_ProdData2_PDI_Cash_Exception_Application[[#This Row],[CHANGED ON]]</f>
        <v>6.7429282407392748</v>
      </c>
      <c r="M3687">
        <f ca="1">qry_ProdData2_PDI_Cash_Exception_Application[[#This Row],[TODAY]]-qry_ProdData2_PDI_Cash_Exception_Application[[#This Row],[CHANGED ON]]</f>
        <v>6.7429282407392748</v>
      </c>
      <c r="N3687">
        <f ca="1">qry_ProdData2_PDI_Cash_Exception_Application[[#This Row],[TODAY]]-qry_ProdData2_PDI_Cash_Exception_Application[[#This Row],[CHANGED ON]]</f>
        <v>6.7429282407392748</v>
      </c>
    </row>
    <row r="3688" spans="1:14" x14ac:dyDescent="0.35">
      <c r="A3688">
        <v>1007</v>
      </c>
      <c r="B3688" t="s">
        <v>61</v>
      </c>
      <c r="C3688" s="1">
        <v>45180.257071759261</v>
      </c>
      <c r="D3688" t="str">
        <f ca="1">VLOOKUP(qry_ProdData2_PDI_Cash_Exception_Application[[#This Row],[TYPE]],#REF!,2,FALSE)</f>
        <v>type13</v>
      </c>
      <c r="E3688">
        <v>28738</v>
      </c>
      <c r="F3688" t="s">
        <v>52</v>
      </c>
      <c r="G3688" s="1">
        <f>qry_ProdData2_PDI_Cash_Exception_Application[[#This Row],[INSERT DATE]]+2</f>
        <v>45182.257071759261</v>
      </c>
      <c r="H3688" t="str">
        <f>VLOOKUP(qry_ProdData2_PDI_Cash_Exception_Application[[#This Row],[MARKET No]],'Site Allocation'!$B$2:$C$37,2,FALSE)</f>
        <v>Analyst2</v>
      </c>
      <c r="I3688" s="4">
        <f t="shared" ca="1" si="57"/>
        <v>45203</v>
      </c>
      <c r="J3688" s="42">
        <f ca="1">TODAY()-qry_ProdData2_PDI_Cash_Exception_Application[[#This Row],[INSERT DATE]]</f>
        <v>22.742928240739275</v>
      </c>
      <c r="K368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88">
        <f ca="1">qry_ProdData2_PDI_Cash_Exception_Application[[#This Row],[TODAY]]-qry_ProdData2_PDI_Cash_Exception_Application[[#This Row],[CHANGED ON]]</f>
        <v>20.742928240739275</v>
      </c>
      <c r="M3688">
        <f ca="1">qry_ProdData2_PDI_Cash_Exception_Application[[#This Row],[TODAY]]-qry_ProdData2_PDI_Cash_Exception_Application[[#This Row],[CHANGED ON]]</f>
        <v>20.742928240739275</v>
      </c>
      <c r="N3688">
        <f ca="1">qry_ProdData2_PDI_Cash_Exception_Application[[#This Row],[TODAY]]-qry_ProdData2_PDI_Cash_Exception_Application[[#This Row],[CHANGED ON]]</f>
        <v>20.742928240739275</v>
      </c>
    </row>
    <row r="3689" spans="1:14" x14ac:dyDescent="0.35">
      <c r="A3689">
        <v>1027</v>
      </c>
      <c r="B3689" t="s">
        <v>81</v>
      </c>
      <c r="C3689" s="1">
        <v>45194.257071759261</v>
      </c>
      <c r="D3689" t="str">
        <f ca="1">VLOOKUP(qry_ProdData2_PDI_Cash_Exception_Application[[#This Row],[TYPE]],#REF!,2,FALSE)</f>
        <v>type40</v>
      </c>
      <c r="E3689">
        <v>-521.09</v>
      </c>
      <c r="G3689" s="1">
        <f>qry_ProdData2_PDI_Cash_Exception_Application[[#This Row],[INSERT DATE]]+1</f>
        <v>45195.257071759261</v>
      </c>
      <c r="H3689" t="str">
        <f>VLOOKUP(qry_ProdData2_PDI_Cash_Exception_Application[[#This Row],[MARKET No]],'Site Allocation'!$B$2:$C$37,2,FALSE)</f>
        <v>Analyst5</v>
      </c>
      <c r="I3689" s="4">
        <f t="shared" ca="1" si="57"/>
        <v>45203</v>
      </c>
      <c r="J3689" s="42">
        <f ca="1">TODAY()-qry_ProdData2_PDI_Cash_Exception_Application[[#This Row],[INSERT DATE]]</f>
        <v>8.7429282407392748</v>
      </c>
      <c r="K368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89">
        <f ca="1">qry_ProdData2_PDI_Cash_Exception_Application[[#This Row],[TODAY]]-qry_ProdData2_PDI_Cash_Exception_Application[[#This Row],[CHANGED ON]]</f>
        <v>7.7429282407392748</v>
      </c>
      <c r="M3689">
        <f ca="1">qry_ProdData2_PDI_Cash_Exception_Application[[#This Row],[TODAY]]-qry_ProdData2_PDI_Cash_Exception_Application[[#This Row],[CHANGED ON]]</f>
        <v>7.7429282407392748</v>
      </c>
      <c r="N3689">
        <f ca="1">qry_ProdData2_PDI_Cash_Exception_Application[[#This Row],[TODAY]]-qry_ProdData2_PDI_Cash_Exception_Application[[#This Row],[CHANGED ON]]</f>
        <v>7.7429282407392748</v>
      </c>
    </row>
    <row r="3690" spans="1:14" x14ac:dyDescent="0.35">
      <c r="A3690">
        <v>1004</v>
      </c>
      <c r="B3690" t="s">
        <v>58</v>
      </c>
      <c r="C3690" s="1">
        <v>45194.257071759261</v>
      </c>
      <c r="D3690" t="str">
        <f ca="1">VLOOKUP(qry_ProdData2_PDI_Cash_Exception_Application[[#This Row],[TYPE]],#REF!,2,FALSE)</f>
        <v>type40</v>
      </c>
      <c r="E3690">
        <v>-357.15</v>
      </c>
      <c r="G3690" s="1">
        <f>qry_ProdData2_PDI_Cash_Exception_Application[[#This Row],[INSERT DATE]]+1</f>
        <v>45195.257071759261</v>
      </c>
      <c r="H3690" t="str">
        <f>VLOOKUP(qry_ProdData2_PDI_Cash_Exception_Application[[#This Row],[MARKET No]],'Site Allocation'!$B$2:$C$37,2,FALSE)</f>
        <v>Analyst1</v>
      </c>
      <c r="I3690" s="4">
        <f t="shared" ca="1" si="57"/>
        <v>45203</v>
      </c>
      <c r="J3690" s="42">
        <f ca="1">TODAY()-qry_ProdData2_PDI_Cash_Exception_Application[[#This Row],[INSERT DATE]]</f>
        <v>8.7429282407392748</v>
      </c>
      <c r="K369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90">
        <f ca="1">qry_ProdData2_PDI_Cash_Exception_Application[[#This Row],[TODAY]]-qry_ProdData2_PDI_Cash_Exception_Application[[#This Row],[CHANGED ON]]</f>
        <v>7.7429282407392748</v>
      </c>
      <c r="M3690">
        <f ca="1">qry_ProdData2_PDI_Cash_Exception_Application[[#This Row],[TODAY]]-qry_ProdData2_PDI_Cash_Exception_Application[[#This Row],[CHANGED ON]]</f>
        <v>7.7429282407392748</v>
      </c>
      <c r="N3690">
        <f ca="1">qry_ProdData2_PDI_Cash_Exception_Application[[#This Row],[TODAY]]-qry_ProdData2_PDI_Cash_Exception_Application[[#This Row],[CHANGED ON]]</f>
        <v>7.7429282407392748</v>
      </c>
    </row>
    <row r="3691" spans="1:14" x14ac:dyDescent="0.35">
      <c r="A3691">
        <v>1003</v>
      </c>
      <c r="B3691" t="s">
        <v>57</v>
      </c>
      <c r="C3691" s="1">
        <v>45182.257071759261</v>
      </c>
      <c r="D3691" t="str">
        <f ca="1">VLOOKUP(qry_ProdData2_PDI_Cash_Exception_Application[[#This Row],[TYPE]],#REF!,2,FALSE)</f>
        <v>type8</v>
      </c>
      <c r="E3691">
        <v>105</v>
      </c>
      <c r="F3691" t="s">
        <v>50</v>
      </c>
      <c r="G3691" s="1">
        <f>qry_ProdData2_PDI_Cash_Exception_Application[[#This Row],[INSERT DATE]]+2</f>
        <v>45184.257071759261</v>
      </c>
      <c r="H3691" t="str">
        <f>VLOOKUP(qry_ProdData2_PDI_Cash_Exception_Application[[#This Row],[MARKET No]],'Site Allocation'!$B$2:$C$37,2,FALSE)</f>
        <v>Analyst1</v>
      </c>
      <c r="I3691" s="4">
        <f t="shared" ca="1" si="57"/>
        <v>45203</v>
      </c>
      <c r="J3691" s="42">
        <f ca="1">TODAY()-qry_ProdData2_PDI_Cash_Exception_Application[[#This Row],[INSERT DATE]]</f>
        <v>20.742928240739275</v>
      </c>
      <c r="K369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91">
        <f ca="1">qry_ProdData2_PDI_Cash_Exception_Application[[#This Row],[TODAY]]-qry_ProdData2_PDI_Cash_Exception_Application[[#This Row],[CHANGED ON]]</f>
        <v>18.742928240739275</v>
      </c>
      <c r="M3691">
        <f ca="1">qry_ProdData2_PDI_Cash_Exception_Application[[#This Row],[TODAY]]-qry_ProdData2_PDI_Cash_Exception_Application[[#This Row],[CHANGED ON]]</f>
        <v>18.742928240739275</v>
      </c>
      <c r="N3691">
        <f ca="1">qry_ProdData2_PDI_Cash_Exception_Application[[#This Row],[TODAY]]-qry_ProdData2_PDI_Cash_Exception_Application[[#This Row],[CHANGED ON]]</f>
        <v>18.742928240739275</v>
      </c>
    </row>
    <row r="3692" spans="1:14" x14ac:dyDescent="0.35">
      <c r="A3692">
        <v>1032</v>
      </c>
      <c r="B3692" t="s">
        <v>86</v>
      </c>
      <c r="C3692" s="1">
        <v>45194.257071759261</v>
      </c>
      <c r="D3692" t="str">
        <f ca="1">VLOOKUP(qry_ProdData2_PDI_Cash_Exception_Application[[#This Row],[TYPE]],#REF!,2,FALSE)</f>
        <v>type41</v>
      </c>
      <c r="E3692">
        <v>469.94</v>
      </c>
      <c r="F3692" t="s">
        <v>51</v>
      </c>
      <c r="G3692" s="1">
        <f>qry_ProdData2_PDI_Cash_Exception_Application[[#This Row],[INSERT DATE]]+7</f>
        <v>45201.257071759261</v>
      </c>
      <c r="H3692" t="str">
        <f>VLOOKUP(qry_ProdData2_PDI_Cash_Exception_Application[[#This Row],[MARKET No]],'Site Allocation'!$B$2:$C$37,2,FALSE)</f>
        <v>Analyst6</v>
      </c>
      <c r="I3692" s="4">
        <f t="shared" ca="1" si="57"/>
        <v>45203</v>
      </c>
      <c r="J3692" s="42">
        <f ca="1">TODAY()-qry_ProdData2_PDI_Cash_Exception_Application[[#This Row],[INSERT DATE]]</f>
        <v>8.7429282407392748</v>
      </c>
      <c r="K369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92">
        <f ca="1">qry_ProdData2_PDI_Cash_Exception_Application[[#This Row],[TODAY]]-qry_ProdData2_PDI_Cash_Exception_Application[[#This Row],[CHANGED ON]]</f>
        <v>1.7429282407392748</v>
      </c>
      <c r="M3692">
        <f ca="1">qry_ProdData2_PDI_Cash_Exception_Application[[#This Row],[TODAY]]-qry_ProdData2_PDI_Cash_Exception_Application[[#This Row],[CHANGED ON]]</f>
        <v>1.7429282407392748</v>
      </c>
      <c r="N3692">
        <f ca="1">qry_ProdData2_PDI_Cash_Exception_Application[[#This Row],[TODAY]]-qry_ProdData2_PDI_Cash_Exception_Application[[#This Row],[CHANGED ON]]</f>
        <v>1.7429282407392748</v>
      </c>
    </row>
    <row r="3693" spans="1:14" x14ac:dyDescent="0.35">
      <c r="A3693">
        <v>1011</v>
      </c>
      <c r="B3693" t="s">
        <v>65</v>
      </c>
      <c r="C3693" s="1">
        <v>45183.257071759261</v>
      </c>
      <c r="D3693" t="str">
        <f ca="1">VLOOKUP(qry_ProdData2_PDI_Cash_Exception_Application[[#This Row],[TYPE]],#REF!,2,FALSE)</f>
        <v>type41</v>
      </c>
      <c r="E3693">
        <v>432.18</v>
      </c>
      <c r="F3693" t="s">
        <v>52</v>
      </c>
      <c r="G3693" s="1">
        <f>qry_ProdData2_PDI_Cash_Exception_Application[[#This Row],[INSERT DATE]]+2</f>
        <v>45185.257071759261</v>
      </c>
      <c r="H3693" t="str">
        <f>VLOOKUP(qry_ProdData2_PDI_Cash_Exception_Application[[#This Row],[MARKET No]],'Site Allocation'!$B$2:$C$37,2,FALSE)</f>
        <v>Analyst2</v>
      </c>
      <c r="I3693" s="4">
        <f t="shared" ca="1" si="57"/>
        <v>45203</v>
      </c>
      <c r="J3693" s="42">
        <f ca="1">TODAY()-qry_ProdData2_PDI_Cash_Exception_Application[[#This Row],[INSERT DATE]]</f>
        <v>19.742928240739275</v>
      </c>
      <c r="K369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93">
        <f ca="1">qry_ProdData2_PDI_Cash_Exception_Application[[#This Row],[TODAY]]-qry_ProdData2_PDI_Cash_Exception_Application[[#This Row],[CHANGED ON]]</f>
        <v>17.742928240739275</v>
      </c>
      <c r="M3693">
        <f ca="1">qry_ProdData2_PDI_Cash_Exception_Application[[#This Row],[TODAY]]-qry_ProdData2_PDI_Cash_Exception_Application[[#This Row],[CHANGED ON]]</f>
        <v>17.742928240739275</v>
      </c>
      <c r="N3693">
        <f ca="1">qry_ProdData2_PDI_Cash_Exception_Application[[#This Row],[TODAY]]-qry_ProdData2_PDI_Cash_Exception_Application[[#This Row],[CHANGED ON]]</f>
        <v>17.742928240739275</v>
      </c>
    </row>
    <row r="3694" spans="1:14" x14ac:dyDescent="0.35">
      <c r="A3694">
        <v>1009</v>
      </c>
      <c r="B3694" t="s">
        <v>63</v>
      </c>
      <c r="C3694" s="1">
        <v>45195.257071759261</v>
      </c>
      <c r="D3694" t="str">
        <f ca="1">VLOOKUP(qry_ProdData2_PDI_Cash_Exception_Application[[#This Row],[TYPE]],#REF!,2,FALSE)</f>
        <v>type17</v>
      </c>
      <c r="E3694">
        <v>368.58</v>
      </c>
      <c r="G3694" s="1">
        <f>qry_ProdData2_PDI_Cash_Exception_Application[[#This Row],[INSERT DATE]]+2</f>
        <v>45197.257071759261</v>
      </c>
      <c r="H3694" t="str">
        <f>VLOOKUP(qry_ProdData2_PDI_Cash_Exception_Application[[#This Row],[MARKET No]],'Site Allocation'!$B$2:$C$37,2,FALSE)</f>
        <v>Analyst2</v>
      </c>
      <c r="I3694" s="4">
        <f t="shared" ca="1" si="57"/>
        <v>45203</v>
      </c>
      <c r="J3694" s="42">
        <f ca="1">TODAY()-qry_ProdData2_PDI_Cash_Exception_Application[[#This Row],[INSERT DATE]]</f>
        <v>7.7429282407392748</v>
      </c>
      <c r="K369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694">
        <f ca="1">qry_ProdData2_PDI_Cash_Exception_Application[[#This Row],[TODAY]]-qry_ProdData2_PDI_Cash_Exception_Application[[#This Row],[CHANGED ON]]</f>
        <v>5.7429282407392748</v>
      </c>
      <c r="M3694">
        <f ca="1">qry_ProdData2_PDI_Cash_Exception_Application[[#This Row],[TODAY]]-qry_ProdData2_PDI_Cash_Exception_Application[[#This Row],[CHANGED ON]]</f>
        <v>5.7429282407392748</v>
      </c>
      <c r="N3694">
        <f ca="1">qry_ProdData2_PDI_Cash_Exception_Application[[#This Row],[TODAY]]-qry_ProdData2_PDI_Cash_Exception_Application[[#This Row],[CHANGED ON]]</f>
        <v>5.7429282407392748</v>
      </c>
    </row>
    <row r="3695" spans="1:14" x14ac:dyDescent="0.35">
      <c r="A3695">
        <v>1034</v>
      </c>
      <c r="B3695" t="s">
        <v>88</v>
      </c>
      <c r="C3695" s="1">
        <v>45193.257071759261</v>
      </c>
      <c r="D3695" t="str">
        <f ca="1">VLOOKUP(qry_ProdData2_PDI_Cash_Exception_Application[[#This Row],[TYPE]],#REF!,2,FALSE)</f>
        <v>type40</v>
      </c>
      <c r="E3695">
        <v>-1436.48</v>
      </c>
      <c r="G3695" s="1">
        <f>qry_ProdData2_PDI_Cash_Exception_Application[[#This Row],[INSERT DATE]]+5</f>
        <v>45198.257071759261</v>
      </c>
      <c r="H3695" t="str">
        <f>VLOOKUP(qry_ProdData2_PDI_Cash_Exception_Application[[#This Row],[MARKET No]],'Site Allocation'!$B$2:$C$37,2,FALSE)</f>
        <v>Analyst6</v>
      </c>
      <c r="I3695" s="4">
        <f t="shared" ca="1" si="57"/>
        <v>45203</v>
      </c>
      <c r="J3695" s="42">
        <f ca="1">TODAY()-qry_ProdData2_PDI_Cash_Exception_Application[[#This Row],[INSERT DATE]]</f>
        <v>9.7429282407392748</v>
      </c>
      <c r="K369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95">
        <f ca="1">qry_ProdData2_PDI_Cash_Exception_Application[[#This Row],[TODAY]]-qry_ProdData2_PDI_Cash_Exception_Application[[#This Row],[CHANGED ON]]</f>
        <v>4.7429282407392748</v>
      </c>
      <c r="M3695">
        <f ca="1">qry_ProdData2_PDI_Cash_Exception_Application[[#This Row],[TODAY]]-qry_ProdData2_PDI_Cash_Exception_Application[[#This Row],[CHANGED ON]]</f>
        <v>4.7429282407392748</v>
      </c>
      <c r="N3695">
        <f ca="1">qry_ProdData2_PDI_Cash_Exception_Application[[#This Row],[TODAY]]-qry_ProdData2_PDI_Cash_Exception_Application[[#This Row],[CHANGED ON]]</f>
        <v>4.7429282407392748</v>
      </c>
    </row>
    <row r="3696" spans="1:14" x14ac:dyDescent="0.35">
      <c r="A3696">
        <v>1027</v>
      </c>
      <c r="B3696" t="s">
        <v>81</v>
      </c>
      <c r="C3696" s="1">
        <v>45185.257071759261</v>
      </c>
      <c r="D3696" t="str">
        <f ca="1">VLOOKUP(qry_ProdData2_PDI_Cash_Exception_Application[[#This Row],[TYPE]],#REF!,2,FALSE)</f>
        <v>type40</v>
      </c>
      <c r="E3696">
        <v>3588.19</v>
      </c>
      <c r="F3696" t="s">
        <v>50</v>
      </c>
      <c r="G3696" s="1">
        <f>qry_ProdData2_PDI_Cash_Exception_Application[[#This Row],[INSERT DATE]]+2</f>
        <v>45187.257071759261</v>
      </c>
      <c r="H3696" t="str">
        <f>VLOOKUP(qry_ProdData2_PDI_Cash_Exception_Application[[#This Row],[MARKET No]],'Site Allocation'!$B$2:$C$37,2,FALSE)</f>
        <v>Analyst5</v>
      </c>
      <c r="I3696" s="4">
        <f t="shared" ca="1" si="57"/>
        <v>45203</v>
      </c>
      <c r="J3696" s="42">
        <f ca="1">TODAY()-qry_ProdData2_PDI_Cash_Exception_Application[[#This Row],[INSERT DATE]]</f>
        <v>17.742928240739275</v>
      </c>
      <c r="K369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96">
        <f ca="1">qry_ProdData2_PDI_Cash_Exception_Application[[#This Row],[TODAY]]-qry_ProdData2_PDI_Cash_Exception_Application[[#This Row],[CHANGED ON]]</f>
        <v>15.742928240739275</v>
      </c>
      <c r="M3696">
        <f ca="1">qry_ProdData2_PDI_Cash_Exception_Application[[#This Row],[TODAY]]-qry_ProdData2_PDI_Cash_Exception_Application[[#This Row],[CHANGED ON]]</f>
        <v>15.742928240739275</v>
      </c>
      <c r="N3696">
        <f ca="1">qry_ProdData2_PDI_Cash_Exception_Application[[#This Row],[TODAY]]-qry_ProdData2_PDI_Cash_Exception_Application[[#This Row],[CHANGED ON]]</f>
        <v>15.742928240739275</v>
      </c>
    </row>
    <row r="3697" spans="1:14" x14ac:dyDescent="0.35">
      <c r="A3697">
        <v>1019</v>
      </c>
      <c r="B3697" t="s">
        <v>73</v>
      </c>
      <c r="C3697" s="1">
        <v>45185.257071759261</v>
      </c>
      <c r="D3697" t="str">
        <f ca="1">VLOOKUP(qry_ProdData2_PDI_Cash_Exception_Application[[#This Row],[TYPE]],#REF!,2,FALSE)</f>
        <v>type40</v>
      </c>
      <c r="E3697">
        <v>10.57</v>
      </c>
      <c r="F3697" t="s">
        <v>50</v>
      </c>
      <c r="G3697" s="1">
        <f>qry_ProdData2_PDI_Cash_Exception_Application[[#This Row],[INSERT DATE]]+2</f>
        <v>45187.257071759261</v>
      </c>
      <c r="H3697" t="str">
        <f>VLOOKUP(qry_ProdData2_PDI_Cash_Exception_Application[[#This Row],[MARKET No]],'Site Allocation'!$B$2:$C$37,2,FALSE)</f>
        <v>Analyst4</v>
      </c>
      <c r="I3697" s="4">
        <f t="shared" ca="1" si="57"/>
        <v>45203</v>
      </c>
      <c r="J3697" s="42">
        <f ca="1">TODAY()-qry_ProdData2_PDI_Cash_Exception_Application[[#This Row],[INSERT DATE]]</f>
        <v>17.742928240739275</v>
      </c>
      <c r="K369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97">
        <f ca="1">qry_ProdData2_PDI_Cash_Exception_Application[[#This Row],[TODAY]]-qry_ProdData2_PDI_Cash_Exception_Application[[#This Row],[CHANGED ON]]</f>
        <v>15.742928240739275</v>
      </c>
      <c r="M3697">
        <f ca="1">qry_ProdData2_PDI_Cash_Exception_Application[[#This Row],[TODAY]]-qry_ProdData2_PDI_Cash_Exception_Application[[#This Row],[CHANGED ON]]</f>
        <v>15.742928240739275</v>
      </c>
      <c r="N3697">
        <f ca="1">qry_ProdData2_PDI_Cash_Exception_Application[[#This Row],[TODAY]]-qry_ProdData2_PDI_Cash_Exception_Application[[#This Row],[CHANGED ON]]</f>
        <v>15.742928240739275</v>
      </c>
    </row>
    <row r="3698" spans="1:14" x14ac:dyDescent="0.35">
      <c r="A3698">
        <v>1033</v>
      </c>
      <c r="B3698" t="s">
        <v>87</v>
      </c>
      <c r="C3698" s="1">
        <v>45186.257071759261</v>
      </c>
      <c r="D3698" t="str">
        <f ca="1">VLOOKUP(qry_ProdData2_PDI_Cash_Exception_Application[[#This Row],[TYPE]],#REF!,2,FALSE)</f>
        <v>type40</v>
      </c>
      <c r="E3698">
        <v>-532.74</v>
      </c>
      <c r="F3698" t="str">
        <f>qry_ProdData2_PDI_Cash_Exception_Application[[#This Row],[ANALYST]]</f>
        <v>Analyst6</v>
      </c>
      <c r="G3698" s="1">
        <f>qry_ProdData2_PDI_Cash_Exception_Application[[#This Row],[INSERT DATE]]+5</f>
        <v>45191.257071759261</v>
      </c>
      <c r="H3698" t="str">
        <f>VLOOKUP(qry_ProdData2_PDI_Cash_Exception_Application[[#This Row],[MARKET No]],'Site Allocation'!$B$2:$C$37,2,FALSE)</f>
        <v>Analyst6</v>
      </c>
      <c r="I3698" s="4">
        <f t="shared" ca="1" si="57"/>
        <v>45203</v>
      </c>
      <c r="J3698" s="42">
        <f ca="1">TODAY()-qry_ProdData2_PDI_Cash_Exception_Application[[#This Row],[INSERT DATE]]</f>
        <v>16.742928240739275</v>
      </c>
      <c r="K369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98">
        <f ca="1">qry_ProdData2_PDI_Cash_Exception_Application[[#This Row],[TODAY]]-qry_ProdData2_PDI_Cash_Exception_Application[[#This Row],[CHANGED ON]]</f>
        <v>11.742928240739275</v>
      </c>
      <c r="M3698">
        <f ca="1">qry_ProdData2_PDI_Cash_Exception_Application[[#This Row],[TODAY]]-qry_ProdData2_PDI_Cash_Exception_Application[[#This Row],[CHANGED ON]]</f>
        <v>11.742928240739275</v>
      </c>
      <c r="N3698">
        <f ca="1">qry_ProdData2_PDI_Cash_Exception_Application[[#This Row],[TODAY]]-qry_ProdData2_PDI_Cash_Exception_Application[[#This Row],[CHANGED ON]]</f>
        <v>11.742928240739275</v>
      </c>
    </row>
    <row r="3699" spans="1:14" x14ac:dyDescent="0.35">
      <c r="A3699">
        <v>1016</v>
      </c>
      <c r="B3699" t="s">
        <v>70</v>
      </c>
      <c r="C3699" s="1">
        <v>45187.257071759261</v>
      </c>
      <c r="D3699" t="str">
        <f ca="1">VLOOKUP(qry_ProdData2_PDI_Cash_Exception_Application[[#This Row],[TYPE]],#REF!,2,FALSE)</f>
        <v>type7</v>
      </c>
      <c r="E3699">
        <v>-1640.63</v>
      </c>
      <c r="F3699" t="s">
        <v>52</v>
      </c>
      <c r="G3699" s="1">
        <f>qry_ProdData2_PDI_Cash_Exception_Application[[#This Row],[INSERT DATE]]+5</f>
        <v>45192.257071759261</v>
      </c>
      <c r="H3699" t="str">
        <f>VLOOKUP(qry_ProdData2_PDI_Cash_Exception_Application[[#This Row],[MARKET No]],'Site Allocation'!$B$2:$C$37,2,FALSE)</f>
        <v>Analyst3</v>
      </c>
      <c r="I3699" s="4">
        <f t="shared" ca="1" si="57"/>
        <v>45203</v>
      </c>
      <c r="J3699" s="42">
        <f ca="1">TODAY()-qry_ProdData2_PDI_Cash_Exception_Application[[#This Row],[INSERT DATE]]</f>
        <v>15.742928240739275</v>
      </c>
      <c r="K369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699">
        <f ca="1">qry_ProdData2_PDI_Cash_Exception_Application[[#This Row],[TODAY]]-qry_ProdData2_PDI_Cash_Exception_Application[[#This Row],[CHANGED ON]]</f>
        <v>10.742928240739275</v>
      </c>
      <c r="M3699">
        <f ca="1">qry_ProdData2_PDI_Cash_Exception_Application[[#This Row],[TODAY]]-qry_ProdData2_PDI_Cash_Exception_Application[[#This Row],[CHANGED ON]]</f>
        <v>10.742928240739275</v>
      </c>
      <c r="N3699">
        <f ca="1">qry_ProdData2_PDI_Cash_Exception_Application[[#This Row],[TODAY]]-qry_ProdData2_PDI_Cash_Exception_Application[[#This Row],[CHANGED ON]]</f>
        <v>10.742928240739275</v>
      </c>
    </row>
    <row r="3700" spans="1:14" x14ac:dyDescent="0.35">
      <c r="A3700">
        <v>1020</v>
      </c>
      <c r="B3700" t="s">
        <v>74</v>
      </c>
      <c r="C3700" s="1">
        <v>45193.257071759261</v>
      </c>
      <c r="D3700" t="str">
        <f ca="1">VLOOKUP(qry_ProdData2_PDI_Cash_Exception_Application[[#This Row],[TYPE]],#REF!,2,FALSE)</f>
        <v>type40</v>
      </c>
      <c r="E3700">
        <v>-1704.36</v>
      </c>
      <c r="F3700" t="s">
        <v>51</v>
      </c>
      <c r="G3700" s="1">
        <f>qry_ProdData2_PDI_Cash_Exception_Application[[#This Row],[INSERT DATE]]+2</f>
        <v>45195.257071759261</v>
      </c>
      <c r="H3700" t="str">
        <f>VLOOKUP(qry_ProdData2_PDI_Cash_Exception_Application[[#This Row],[MARKET No]],'Site Allocation'!$B$2:$C$37,2,FALSE)</f>
        <v>Analyst4</v>
      </c>
      <c r="I3700" s="4">
        <f t="shared" ca="1" si="57"/>
        <v>45203</v>
      </c>
      <c r="J3700" s="42">
        <f ca="1">TODAY()-qry_ProdData2_PDI_Cash_Exception_Application[[#This Row],[INSERT DATE]]</f>
        <v>9.7429282407392748</v>
      </c>
      <c r="K370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00">
        <f ca="1">qry_ProdData2_PDI_Cash_Exception_Application[[#This Row],[TODAY]]-qry_ProdData2_PDI_Cash_Exception_Application[[#This Row],[CHANGED ON]]</f>
        <v>7.7429282407392748</v>
      </c>
      <c r="M3700">
        <f ca="1">qry_ProdData2_PDI_Cash_Exception_Application[[#This Row],[TODAY]]-qry_ProdData2_PDI_Cash_Exception_Application[[#This Row],[CHANGED ON]]</f>
        <v>7.7429282407392748</v>
      </c>
      <c r="N3700">
        <f ca="1">qry_ProdData2_PDI_Cash_Exception_Application[[#This Row],[TODAY]]-qry_ProdData2_PDI_Cash_Exception_Application[[#This Row],[CHANGED ON]]</f>
        <v>7.7429282407392748</v>
      </c>
    </row>
    <row r="3701" spans="1:14" x14ac:dyDescent="0.35">
      <c r="A3701">
        <v>1029</v>
      </c>
      <c r="B3701" t="s">
        <v>83</v>
      </c>
      <c r="C3701" s="1">
        <v>45195.257071759261</v>
      </c>
      <c r="D3701" t="str">
        <f ca="1">VLOOKUP(qry_ProdData2_PDI_Cash_Exception_Application[[#This Row],[TYPE]],#REF!,2,FALSE)</f>
        <v>type7</v>
      </c>
      <c r="E3701">
        <v>-9830.7800000000007</v>
      </c>
      <c r="F3701" t="s">
        <v>51</v>
      </c>
      <c r="G3701" s="1">
        <f>qry_ProdData2_PDI_Cash_Exception_Application[[#This Row],[INSERT DATE]]+2</f>
        <v>45197.257071759261</v>
      </c>
      <c r="H3701" t="str">
        <f>VLOOKUP(qry_ProdData2_PDI_Cash_Exception_Application[[#This Row],[MARKET No]],'Site Allocation'!$B$2:$C$37,2,FALSE)</f>
        <v>Analyst5</v>
      </c>
      <c r="I3701" s="4">
        <f t="shared" ca="1" si="57"/>
        <v>45203</v>
      </c>
      <c r="J3701" s="42">
        <f ca="1">TODAY()-qry_ProdData2_PDI_Cash_Exception_Application[[#This Row],[INSERT DATE]]</f>
        <v>7.7429282407392748</v>
      </c>
      <c r="K370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01">
        <f ca="1">qry_ProdData2_PDI_Cash_Exception_Application[[#This Row],[TODAY]]-qry_ProdData2_PDI_Cash_Exception_Application[[#This Row],[CHANGED ON]]</f>
        <v>5.7429282407392748</v>
      </c>
      <c r="M3701">
        <f ca="1">qry_ProdData2_PDI_Cash_Exception_Application[[#This Row],[TODAY]]-qry_ProdData2_PDI_Cash_Exception_Application[[#This Row],[CHANGED ON]]</f>
        <v>5.7429282407392748</v>
      </c>
      <c r="N3701">
        <f ca="1">qry_ProdData2_PDI_Cash_Exception_Application[[#This Row],[TODAY]]-qry_ProdData2_PDI_Cash_Exception_Application[[#This Row],[CHANGED ON]]</f>
        <v>5.7429282407392748</v>
      </c>
    </row>
    <row r="3702" spans="1:14" x14ac:dyDescent="0.35">
      <c r="A3702">
        <v>1019</v>
      </c>
      <c r="B3702" t="s">
        <v>73</v>
      </c>
      <c r="C3702" s="1">
        <v>45189.257071759261</v>
      </c>
      <c r="D3702" t="str">
        <f ca="1">VLOOKUP(qry_ProdData2_PDI_Cash_Exception_Application[[#This Row],[TYPE]],#REF!,2,FALSE)</f>
        <v>type40</v>
      </c>
      <c r="E3702">
        <v>342.46</v>
      </c>
      <c r="F3702" t="s">
        <v>50</v>
      </c>
      <c r="G3702" s="1">
        <f>qry_ProdData2_PDI_Cash_Exception_Application[[#This Row],[INSERT DATE]]+5</f>
        <v>45194.257071759261</v>
      </c>
      <c r="H3702" t="str">
        <f>VLOOKUP(qry_ProdData2_PDI_Cash_Exception_Application[[#This Row],[MARKET No]],'Site Allocation'!$B$2:$C$37,2,FALSE)</f>
        <v>Analyst4</v>
      </c>
      <c r="I3702" s="4">
        <f t="shared" ca="1" si="57"/>
        <v>45203</v>
      </c>
      <c r="J3702" s="42">
        <f ca="1">TODAY()-qry_ProdData2_PDI_Cash_Exception_Application[[#This Row],[INSERT DATE]]</f>
        <v>13.742928240739275</v>
      </c>
      <c r="K370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02">
        <f ca="1">qry_ProdData2_PDI_Cash_Exception_Application[[#This Row],[TODAY]]-qry_ProdData2_PDI_Cash_Exception_Application[[#This Row],[CHANGED ON]]</f>
        <v>8.7429282407392748</v>
      </c>
      <c r="M3702">
        <f ca="1">qry_ProdData2_PDI_Cash_Exception_Application[[#This Row],[TODAY]]-qry_ProdData2_PDI_Cash_Exception_Application[[#This Row],[CHANGED ON]]</f>
        <v>8.7429282407392748</v>
      </c>
      <c r="N3702">
        <f ca="1">qry_ProdData2_PDI_Cash_Exception_Application[[#This Row],[TODAY]]-qry_ProdData2_PDI_Cash_Exception_Application[[#This Row],[CHANGED ON]]</f>
        <v>8.7429282407392748</v>
      </c>
    </row>
    <row r="3703" spans="1:14" x14ac:dyDescent="0.35">
      <c r="A3703">
        <v>1003</v>
      </c>
      <c r="B3703" t="s">
        <v>57</v>
      </c>
      <c r="C3703" s="1">
        <v>45189.257071759261</v>
      </c>
      <c r="D3703" t="str">
        <f ca="1">VLOOKUP(qry_ProdData2_PDI_Cash_Exception_Application[[#This Row],[TYPE]],#REF!,2,FALSE)</f>
        <v>type40</v>
      </c>
      <c r="E3703">
        <v>5180.6000000000004</v>
      </c>
      <c r="F3703" t="s">
        <v>52</v>
      </c>
      <c r="G3703" s="1">
        <f>qry_ProdData2_PDI_Cash_Exception_Application[[#This Row],[INSERT DATE]]+5</f>
        <v>45194.257071759261</v>
      </c>
      <c r="H3703" t="str">
        <f>VLOOKUP(qry_ProdData2_PDI_Cash_Exception_Application[[#This Row],[MARKET No]],'Site Allocation'!$B$2:$C$37,2,FALSE)</f>
        <v>Analyst1</v>
      </c>
      <c r="I3703" s="4">
        <f t="shared" ca="1" si="57"/>
        <v>45203</v>
      </c>
      <c r="J3703" s="42">
        <f ca="1">TODAY()-qry_ProdData2_PDI_Cash_Exception_Application[[#This Row],[INSERT DATE]]</f>
        <v>13.742928240739275</v>
      </c>
      <c r="K370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03">
        <f ca="1">qry_ProdData2_PDI_Cash_Exception_Application[[#This Row],[TODAY]]-qry_ProdData2_PDI_Cash_Exception_Application[[#This Row],[CHANGED ON]]</f>
        <v>8.7429282407392748</v>
      </c>
      <c r="M3703">
        <f ca="1">qry_ProdData2_PDI_Cash_Exception_Application[[#This Row],[TODAY]]-qry_ProdData2_PDI_Cash_Exception_Application[[#This Row],[CHANGED ON]]</f>
        <v>8.7429282407392748</v>
      </c>
      <c r="N3703">
        <f ca="1">qry_ProdData2_PDI_Cash_Exception_Application[[#This Row],[TODAY]]-qry_ProdData2_PDI_Cash_Exception_Application[[#This Row],[CHANGED ON]]</f>
        <v>8.7429282407392748</v>
      </c>
    </row>
    <row r="3704" spans="1:14" x14ac:dyDescent="0.35">
      <c r="A3704">
        <v>1007</v>
      </c>
      <c r="B3704" t="s">
        <v>61</v>
      </c>
      <c r="C3704" s="1">
        <v>45193.257071759261</v>
      </c>
      <c r="D3704" t="str">
        <f ca="1">VLOOKUP(qry_ProdData2_PDI_Cash_Exception_Application[[#This Row],[TYPE]],#REF!,2,FALSE)</f>
        <v>type40</v>
      </c>
      <c r="E3704">
        <v>396.22</v>
      </c>
      <c r="G3704" s="1">
        <f>qry_ProdData2_PDI_Cash_Exception_Application[[#This Row],[INSERT DATE]]+2</f>
        <v>45195.257071759261</v>
      </c>
      <c r="H3704" t="str">
        <f>VLOOKUP(qry_ProdData2_PDI_Cash_Exception_Application[[#This Row],[MARKET No]],'Site Allocation'!$B$2:$C$37,2,FALSE)</f>
        <v>Analyst2</v>
      </c>
      <c r="I3704" s="4">
        <f t="shared" ca="1" si="57"/>
        <v>45203</v>
      </c>
      <c r="J3704" s="42">
        <f ca="1">TODAY()-qry_ProdData2_PDI_Cash_Exception_Application[[#This Row],[INSERT DATE]]</f>
        <v>9.7429282407392748</v>
      </c>
      <c r="K370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04">
        <f ca="1">qry_ProdData2_PDI_Cash_Exception_Application[[#This Row],[TODAY]]-qry_ProdData2_PDI_Cash_Exception_Application[[#This Row],[CHANGED ON]]</f>
        <v>7.7429282407392748</v>
      </c>
      <c r="M3704">
        <f ca="1">qry_ProdData2_PDI_Cash_Exception_Application[[#This Row],[TODAY]]-qry_ProdData2_PDI_Cash_Exception_Application[[#This Row],[CHANGED ON]]</f>
        <v>7.7429282407392748</v>
      </c>
      <c r="N3704">
        <f ca="1">qry_ProdData2_PDI_Cash_Exception_Application[[#This Row],[TODAY]]-qry_ProdData2_PDI_Cash_Exception_Application[[#This Row],[CHANGED ON]]</f>
        <v>7.7429282407392748</v>
      </c>
    </row>
    <row r="3705" spans="1:14" x14ac:dyDescent="0.35">
      <c r="A3705">
        <v>1033</v>
      </c>
      <c r="B3705" t="s">
        <v>87</v>
      </c>
      <c r="C3705" s="1">
        <v>45195.257071759261</v>
      </c>
      <c r="D3705" t="str">
        <f ca="1">VLOOKUP(qry_ProdData2_PDI_Cash_Exception_Application[[#This Row],[TYPE]],#REF!,2,FALSE)</f>
        <v>type32</v>
      </c>
      <c r="E3705">
        <v>521745.6</v>
      </c>
      <c r="F3705" t="str">
        <f>qry_ProdData2_PDI_Cash_Exception_Application[[#This Row],[ANALYST]]</f>
        <v>Analyst6</v>
      </c>
      <c r="G3705" s="1">
        <f>qry_ProdData2_PDI_Cash_Exception_Application[[#This Row],[INSERT DATE]]+5</f>
        <v>45200.257071759261</v>
      </c>
      <c r="H3705" t="str">
        <f>VLOOKUP(qry_ProdData2_PDI_Cash_Exception_Application[[#This Row],[MARKET No]],'Site Allocation'!$B$2:$C$37,2,FALSE)</f>
        <v>Analyst6</v>
      </c>
      <c r="I3705" s="4">
        <f t="shared" ca="1" si="57"/>
        <v>45203</v>
      </c>
      <c r="J3705" s="42">
        <f ca="1">TODAY()-qry_ProdData2_PDI_Cash_Exception_Application[[#This Row],[INSERT DATE]]</f>
        <v>7.7429282407392748</v>
      </c>
      <c r="K370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05">
        <f ca="1">qry_ProdData2_PDI_Cash_Exception_Application[[#This Row],[TODAY]]-qry_ProdData2_PDI_Cash_Exception_Application[[#This Row],[CHANGED ON]]</f>
        <v>2.7429282407392748</v>
      </c>
      <c r="M3705">
        <f ca="1">qry_ProdData2_PDI_Cash_Exception_Application[[#This Row],[TODAY]]-qry_ProdData2_PDI_Cash_Exception_Application[[#This Row],[CHANGED ON]]</f>
        <v>2.7429282407392748</v>
      </c>
      <c r="N3705">
        <f ca="1">qry_ProdData2_PDI_Cash_Exception_Application[[#This Row],[TODAY]]-qry_ProdData2_PDI_Cash_Exception_Application[[#This Row],[CHANGED ON]]</f>
        <v>2.7429282407392748</v>
      </c>
    </row>
    <row r="3706" spans="1:14" x14ac:dyDescent="0.35">
      <c r="A3706">
        <v>1025</v>
      </c>
      <c r="B3706" t="s">
        <v>79</v>
      </c>
      <c r="C3706" s="1">
        <v>45191.257071759261</v>
      </c>
      <c r="D3706" t="str">
        <f ca="1">VLOOKUP(qry_ProdData2_PDI_Cash_Exception_Application[[#This Row],[TYPE]],#REF!,2,FALSE)</f>
        <v>type2</v>
      </c>
      <c r="E3706">
        <v>1057</v>
      </c>
      <c r="F3706" t="s">
        <v>52</v>
      </c>
      <c r="G3706" s="1">
        <f>qry_ProdData2_PDI_Cash_Exception_Application[[#This Row],[INSERT DATE]]+5</f>
        <v>45196.257071759261</v>
      </c>
      <c r="H3706" t="str">
        <f>VLOOKUP(qry_ProdData2_PDI_Cash_Exception_Application[[#This Row],[MARKET No]],'Site Allocation'!$B$2:$C$37,2,FALSE)</f>
        <v>Analyst5</v>
      </c>
      <c r="I3706" s="4">
        <f t="shared" ca="1" si="57"/>
        <v>45203</v>
      </c>
      <c r="J3706" s="42">
        <f ca="1">TODAY()-qry_ProdData2_PDI_Cash_Exception_Application[[#This Row],[INSERT DATE]]</f>
        <v>11.742928240739275</v>
      </c>
      <c r="K370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06">
        <f ca="1">qry_ProdData2_PDI_Cash_Exception_Application[[#This Row],[TODAY]]-qry_ProdData2_PDI_Cash_Exception_Application[[#This Row],[CHANGED ON]]</f>
        <v>6.7429282407392748</v>
      </c>
      <c r="M3706">
        <f ca="1">qry_ProdData2_PDI_Cash_Exception_Application[[#This Row],[TODAY]]-qry_ProdData2_PDI_Cash_Exception_Application[[#This Row],[CHANGED ON]]</f>
        <v>6.7429282407392748</v>
      </c>
      <c r="N3706">
        <f ca="1">qry_ProdData2_PDI_Cash_Exception_Application[[#This Row],[TODAY]]-qry_ProdData2_PDI_Cash_Exception_Application[[#This Row],[CHANGED ON]]</f>
        <v>6.7429282407392748</v>
      </c>
    </row>
    <row r="3707" spans="1:14" x14ac:dyDescent="0.35">
      <c r="A3707">
        <v>1013</v>
      </c>
      <c r="B3707" t="s">
        <v>67</v>
      </c>
      <c r="C3707" s="1">
        <v>45195.257071759261</v>
      </c>
      <c r="D3707" t="str">
        <f ca="1">VLOOKUP(qry_ProdData2_PDI_Cash_Exception_Application[[#This Row],[TYPE]],#REF!,2,FALSE)</f>
        <v>type9</v>
      </c>
      <c r="E3707">
        <v>-100</v>
      </c>
      <c r="G3707" s="1">
        <f>qry_ProdData2_PDI_Cash_Exception_Application[[#This Row],[INSERT DATE]]+1</f>
        <v>45196.257071759261</v>
      </c>
      <c r="H3707" t="str">
        <f>VLOOKUP(qry_ProdData2_PDI_Cash_Exception_Application[[#This Row],[MARKET No]],'Site Allocation'!$B$2:$C$37,2,FALSE)</f>
        <v>Analyst3</v>
      </c>
      <c r="I3707" s="4">
        <f t="shared" ca="1" si="57"/>
        <v>45203</v>
      </c>
      <c r="J3707" s="42">
        <f ca="1">TODAY()-qry_ProdData2_PDI_Cash_Exception_Application[[#This Row],[INSERT DATE]]</f>
        <v>7.7429282407392748</v>
      </c>
      <c r="K370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07">
        <f ca="1">qry_ProdData2_PDI_Cash_Exception_Application[[#This Row],[TODAY]]-qry_ProdData2_PDI_Cash_Exception_Application[[#This Row],[CHANGED ON]]</f>
        <v>6.7429282407392748</v>
      </c>
      <c r="M3707">
        <f ca="1">qry_ProdData2_PDI_Cash_Exception_Application[[#This Row],[TODAY]]-qry_ProdData2_PDI_Cash_Exception_Application[[#This Row],[CHANGED ON]]</f>
        <v>6.7429282407392748</v>
      </c>
      <c r="N3707">
        <f ca="1">qry_ProdData2_PDI_Cash_Exception_Application[[#This Row],[TODAY]]-qry_ProdData2_PDI_Cash_Exception_Application[[#This Row],[CHANGED ON]]</f>
        <v>6.7429282407392748</v>
      </c>
    </row>
    <row r="3708" spans="1:14" x14ac:dyDescent="0.35">
      <c r="A3708">
        <v>1016</v>
      </c>
      <c r="B3708" t="s">
        <v>70</v>
      </c>
      <c r="C3708" s="1">
        <v>45194.257071759261</v>
      </c>
      <c r="D3708" t="str">
        <f ca="1">VLOOKUP(qry_ProdData2_PDI_Cash_Exception_Application[[#This Row],[TYPE]],#REF!,2,FALSE)</f>
        <v>type40</v>
      </c>
      <c r="E3708">
        <v>-762.68</v>
      </c>
      <c r="F3708" t="s">
        <v>51</v>
      </c>
      <c r="G3708" s="1">
        <f>qry_ProdData2_PDI_Cash_Exception_Application[[#This Row],[INSERT DATE]]+1</f>
        <v>45195.257071759261</v>
      </c>
      <c r="H3708" t="str">
        <f>VLOOKUP(qry_ProdData2_PDI_Cash_Exception_Application[[#This Row],[MARKET No]],'Site Allocation'!$B$2:$C$37,2,FALSE)</f>
        <v>Analyst3</v>
      </c>
      <c r="I3708" s="4">
        <f t="shared" ca="1" si="57"/>
        <v>45203</v>
      </c>
      <c r="J3708" s="42">
        <f ca="1">TODAY()-qry_ProdData2_PDI_Cash_Exception_Application[[#This Row],[INSERT DATE]]</f>
        <v>8.7429282407392748</v>
      </c>
      <c r="K370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08">
        <f ca="1">qry_ProdData2_PDI_Cash_Exception_Application[[#This Row],[TODAY]]-qry_ProdData2_PDI_Cash_Exception_Application[[#This Row],[CHANGED ON]]</f>
        <v>7.7429282407392748</v>
      </c>
      <c r="M3708">
        <f ca="1">qry_ProdData2_PDI_Cash_Exception_Application[[#This Row],[TODAY]]-qry_ProdData2_PDI_Cash_Exception_Application[[#This Row],[CHANGED ON]]</f>
        <v>7.7429282407392748</v>
      </c>
      <c r="N3708">
        <f ca="1">qry_ProdData2_PDI_Cash_Exception_Application[[#This Row],[TODAY]]-qry_ProdData2_PDI_Cash_Exception_Application[[#This Row],[CHANGED ON]]</f>
        <v>7.7429282407392748</v>
      </c>
    </row>
    <row r="3709" spans="1:14" x14ac:dyDescent="0.35">
      <c r="A3709">
        <v>1026</v>
      </c>
      <c r="B3709" t="s">
        <v>80</v>
      </c>
      <c r="C3709" s="1">
        <v>45195.257071759261</v>
      </c>
      <c r="D3709" t="str">
        <f ca="1">VLOOKUP(qry_ProdData2_PDI_Cash_Exception_Application[[#This Row],[TYPE]],#REF!,2,FALSE)</f>
        <v>type17</v>
      </c>
      <c r="E3709">
        <v>586.61</v>
      </c>
      <c r="F3709" t="s">
        <v>51</v>
      </c>
      <c r="G3709" s="1">
        <f>qry_ProdData2_PDI_Cash_Exception_Application[[#This Row],[INSERT DATE]]+1</f>
        <v>45196.257071759261</v>
      </c>
      <c r="H3709" t="str">
        <f>VLOOKUP(qry_ProdData2_PDI_Cash_Exception_Application[[#This Row],[MARKET No]],'Site Allocation'!$B$2:$C$37,2,FALSE)</f>
        <v>Analyst5</v>
      </c>
      <c r="I3709" s="4">
        <f t="shared" ca="1" si="57"/>
        <v>45203</v>
      </c>
      <c r="J3709" s="42">
        <f ca="1">TODAY()-qry_ProdData2_PDI_Cash_Exception_Application[[#This Row],[INSERT DATE]]</f>
        <v>7.7429282407392748</v>
      </c>
      <c r="K370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09">
        <f ca="1">qry_ProdData2_PDI_Cash_Exception_Application[[#This Row],[TODAY]]-qry_ProdData2_PDI_Cash_Exception_Application[[#This Row],[CHANGED ON]]</f>
        <v>6.7429282407392748</v>
      </c>
      <c r="M3709">
        <f ca="1">qry_ProdData2_PDI_Cash_Exception_Application[[#This Row],[TODAY]]-qry_ProdData2_PDI_Cash_Exception_Application[[#This Row],[CHANGED ON]]</f>
        <v>6.7429282407392748</v>
      </c>
      <c r="N3709">
        <f ca="1">qry_ProdData2_PDI_Cash_Exception_Application[[#This Row],[TODAY]]-qry_ProdData2_PDI_Cash_Exception_Application[[#This Row],[CHANGED ON]]</f>
        <v>6.7429282407392748</v>
      </c>
    </row>
    <row r="3710" spans="1:14" x14ac:dyDescent="0.35">
      <c r="A3710">
        <v>1017</v>
      </c>
      <c r="B3710" t="s">
        <v>71</v>
      </c>
      <c r="C3710" s="1">
        <v>45195.257071759261</v>
      </c>
      <c r="D3710" t="str">
        <f ca="1">VLOOKUP(qry_ProdData2_PDI_Cash_Exception_Application[[#This Row],[TYPE]],#REF!,2,FALSE)</f>
        <v>type10</v>
      </c>
      <c r="E3710">
        <v>37</v>
      </c>
      <c r="G3710" s="1">
        <f>qry_ProdData2_PDI_Cash_Exception_Application[[#This Row],[INSERT DATE]]+7</f>
        <v>45202.257071759261</v>
      </c>
      <c r="H3710" t="str">
        <f>VLOOKUP(qry_ProdData2_PDI_Cash_Exception_Application[[#This Row],[MARKET No]],'Site Allocation'!$B$2:$C$37,2,FALSE)</f>
        <v>Analyst3</v>
      </c>
      <c r="I3710" s="4">
        <f t="shared" ca="1" si="57"/>
        <v>45203</v>
      </c>
      <c r="J3710" s="42">
        <f ca="1">TODAY()-qry_ProdData2_PDI_Cash_Exception_Application[[#This Row],[INSERT DATE]]</f>
        <v>7.7429282407392748</v>
      </c>
      <c r="K371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10">
        <f ca="1">qry_ProdData2_PDI_Cash_Exception_Application[[#This Row],[TODAY]]-qry_ProdData2_PDI_Cash_Exception_Application[[#This Row],[CHANGED ON]]</f>
        <v>0.74292824073927477</v>
      </c>
      <c r="M3710">
        <f ca="1">qry_ProdData2_PDI_Cash_Exception_Application[[#This Row],[TODAY]]-qry_ProdData2_PDI_Cash_Exception_Application[[#This Row],[CHANGED ON]]</f>
        <v>0.74292824073927477</v>
      </c>
      <c r="N3710">
        <f ca="1">qry_ProdData2_PDI_Cash_Exception_Application[[#This Row],[TODAY]]-qry_ProdData2_PDI_Cash_Exception_Application[[#This Row],[CHANGED ON]]</f>
        <v>0.74292824073927477</v>
      </c>
    </row>
    <row r="3711" spans="1:14" x14ac:dyDescent="0.35">
      <c r="A3711">
        <v>1009</v>
      </c>
      <c r="B3711" t="s">
        <v>63</v>
      </c>
      <c r="C3711" s="1">
        <v>45193.257071759261</v>
      </c>
      <c r="D3711" t="str">
        <f ca="1">VLOOKUP(qry_ProdData2_PDI_Cash_Exception_Application[[#This Row],[TYPE]],#REF!,2,FALSE)</f>
        <v>type40</v>
      </c>
      <c r="E3711">
        <v>1190.78</v>
      </c>
      <c r="G3711" s="1">
        <f>qry_ProdData2_PDI_Cash_Exception_Application[[#This Row],[INSERT DATE]]+7</f>
        <v>45200.257071759261</v>
      </c>
      <c r="H3711" t="str">
        <f>VLOOKUP(qry_ProdData2_PDI_Cash_Exception_Application[[#This Row],[MARKET No]],'Site Allocation'!$B$2:$C$37,2,FALSE)</f>
        <v>Analyst2</v>
      </c>
      <c r="I3711" s="4">
        <f t="shared" ca="1" si="57"/>
        <v>45203</v>
      </c>
      <c r="J3711" s="42">
        <f ca="1">TODAY()-qry_ProdData2_PDI_Cash_Exception_Application[[#This Row],[INSERT DATE]]</f>
        <v>9.7429282407392748</v>
      </c>
      <c r="K371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11">
        <f ca="1">qry_ProdData2_PDI_Cash_Exception_Application[[#This Row],[TODAY]]-qry_ProdData2_PDI_Cash_Exception_Application[[#This Row],[CHANGED ON]]</f>
        <v>2.7429282407392748</v>
      </c>
      <c r="M3711">
        <f ca="1">qry_ProdData2_PDI_Cash_Exception_Application[[#This Row],[TODAY]]-qry_ProdData2_PDI_Cash_Exception_Application[[#This Row],[CHANGED ON]]</f>
        <v>2.7429282407392748</v>
      </c>
      <c r="N3711">
        <f ca="1">qry_ProdData2_PDI_Cash_Exception_Application[[#This Row],[TODAY]]-qry_ProdData2_PDI_Cash_Exception_Application[[#This Row],[CHANGED ON]]</f>
        <v>2.7429282407392748</v>
      </c>
    </row>
    <row r="3712" spans="1:14" x14ac:dyDescent="0.35">
      <c r="A3712">
        <v>1005</v>
      </c>
      <c r="B3712" t="s">
        <v>59</v>
      </c>
      <c r="C3712" s="1">
        <v>45193.257071759261</v>
      </c>
      <c r="D3712" t="str">
        <f ca="1">VLOOKUP(qry_ProdData2_PDI_Cash_Exception_Application[[#This Row],[TYPE]],#REF!,2,FALSE)</f>
        <v>type7</v>
      </c>
      <c r="E3712">
        <v>-1126.48</v>
      </c>
      <c r="F3712" t="s">
        <v>51</v>
      </c>
      <c r="G3712" s="1">
        <f>qry_ProdData2_PDI_Cash_Exception_Application[[#This Row],[INSERT DATE]]+2</f>
        <v>45195.257071759261</v>
      </c>
      <c r="H3712" t="str">
        <f>VLOOKUP(qry_ProdData2_PDI_Cash_Exception_Application[[#This Row],[MARKET No]],'Site Allocation'!$B$2:$C$37,2,FALSE)</f>
        <v>Analyst1</v>
      </c>
      <c r="I3712" s="4">
        <f t="shared" ca="1" si="57"/>
        <v>45203</v>
      </c>
      <c r="J3712" s="42">
        <f ca="1">TODAY()-qry_ProdData2_PDI_Cash_Exception_Application[[#This Row],[INSERT DATE]]</f>
        <v>9.7429282407392748</v>
      </c>
      <c r="K371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12">
        <f ca="1">qry_ProdData2_PDI_Cash_Exception_Application[[#This Row],[TODAY]]-qry_ProdData2_PDI_Cash_Exception_Application[[#This Row],[CHANGED ON]]</f>
        <v>7.7429282407392748</v>
      </c>
      <c r="M3712">
        <f ca="1">qry_ProdData2_PDI_Cash_Exception_Application[[#This Row],[TODAY]]-qry_ProdData2_PDI_Cash_Exception_Application[[#This Row],[CHANGED ON]]</f>
        <v>7.7429282407392748</v>
      </c>
      <c r="N3712">
        <f ca="1">qry_ProdData2_PDI_Cash_Exception_Application[[#This Row],[TODAY]]-qry_ProdData2_PDI_Cash_Exception_Application[[#This Row],[CHANGED ON]]</f>
        <v>7.7429282407392748</v>
      </c>
    </row>
    <row r="3713" spans="1:14" x14ac:dyDescent="0.35">
      <c r="A3713">
        <v>1028</v>
      </c>
      <c r="B3713" t="s">
        <v>82</v>
      </c>
      <c r="C3713" s="1">
        <v>45197.257071759261</v>
      </c>
      <c r="D3713" t="str">
        <f ca="1">VLOOKUP(qry_ProdData2_PDI_Cash_Exception_Application[[#This Row],[TYPE]],#REF!,2,FALSE)</f>
        <v>type13</v>
      </c>
      <c r="E3713">
        <v>17346.03</v>
      </c>
      <c r="F3713" t="s">
        <v>50</v>
      </c>
      <c r="G3713" s="1">
        <f>qry_ProdData2_PDI_Cash_Exception_Application[[#This Row],[INSERT DATE]]+7</f>
        <v>45204.257071759261</v>
      </c>
      <c r="H3713" t="str">
        <f>VLOOKUP(qry_ProdData2_PDI_Cash_Exception_Application[[#This Row],[MARKET No]],'Site Allocation'!$B$2:$C$37,2,FALSE)</f>
        <v>Analyst5</v>
      </c>
      <c r="I3713" s="4">
        <f t="shared" ca="1" si="57"/>
        <v>45203</v>
      </c>
      <c r="J3713" s="42">
        <f ca="1">TODAY()-qry_ProdData2_PDI_Cash_Exception_Application[[#This Row],[INSERT DATE]]</f>
        <v>5.7429282407392748</v>
      </c>
      <c r="K371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713">
        <f ca="1">qry_ProdData2_PDI_Cash_Exception_Application[[#This Row],[TODAY]]-qry_ProdData2_PDI_Cash_Exception_Application[[#This Row],[CHANGED ON]]</f>
        <v>-1.2570717592607252</v>
      </c>
      <c r="M3713">
        <f ca="1">qry_ProdData2_PDI_Cash_Exception_Application[[#This Row],[TODAY]]-qry_ProdData2_PDI_Cash_Exception_Application[[#This Row],[CHANGED ON]]</f>
        <v>-1.2570717592607252</v>
      </c>
      <c r="N3713">
        <f ca="1">qry_ProdData2_PDI_Cash_Exception_Application[[#This Row],[TODAY]]-qry_ProdData2_PDI_Cash_Exception_Application[[#This Row],[CHANGED ON]]</f>
        <v>-1.2570717592607252</v>
      </c>
    </row>
    <row r="3714" spans="1:14" x14ac:dyDescent="0.35">
      <c r="A3714">
        <v>1011</v>
      </c>
      <c r="B3714" t="s">
        <v>65</v>
      </c>
      <c r="C3714" s="1">
        <v>45194.257071759261</v>
      </c>
      <c r="D3714" t="str">
        <f ca="1">VLOOKUP(qry_ProdData2_PDI_Cash_Exception_Application[[#This Row],[TYPE]],#REF!,2,FALSE)</f>
        <v>type33</v>
      </c>
      <c r="E3714">
        <v>714.1</v>
      </c>
      <c r="G3714" s="1">
        <f>qry_ProdData2_PDI_Cash_Exception_Application[[#This Row],[INSERT DATE]]+1</f>
        <v>45195.257071759261</v>
      </c>
      <c r="H3714" t="str">
        <f>VLOOKUP(qry_ProdData2_PDI_Cash_Exception_Application[[#This Row],[MARKET No]],'Site Allocation'!$B$2:$C$37,2,FALSE)</f>
        <v>Analyst2</v>
      </c>
      <c r="I3714" s="4">
        <f t="shared" ref="I3714:I3739" ca="1" si="58">TODAY()</f>
        <v>45203</v>
      </c>
      <c r="J3714" s="42">
        <f ca="1">TODAY()-qry_ProdData2_PDI_Cash_Exception_Application[[#This Row],[INSERT DATE]]</f>
        <v>8.7429282407392748</v>
      </c>
      <c r="K371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14">
        <f ca="1">qry_ProdData2_PDI_Cash_Exception_Application[[#This Row],[TODAY]]-qry_ProdData2_PDI_Cash_Exception_Application[[#This Row],[CHANGED ON]]</f>
        <v>7.7429282407392748</v>
      </c>
      <c r="M3714">
        <f ca="1">qry_ProdData2_PDI_Cash_Exception_Application[[#This Row],[TODAY]]-qry_ProdData2_PDI_Cash_Exception_Application[[#This Row],[CHANGED ON]]</f>
        <v>7.7429282407392748</v>
      </c>
      <c r="N3714">
        <f ca="1">qry_ProdData2_PDI_Cash_Exception_Application[[#This Row],[TODAY]]-qry_ProdData2_PDI_Cash_Exception_Application[[#This Row],[CHANGED ON]]</f>
        <v>7.7429282407392748</v>
      </c>
    </row>
    <row r="3715" spans="1:14" x14ac:dyDescent="0.35">
      <c r="A3715">
        <v>1002</v>
      </c>
      <c r="B3715" t="s">
        <v>56</v>
      </c>
      <c r="C3715" s="1">
        <v>45193.257071759261</v>
      </c>
      <c r="D3715" t="str">
        <f ca="1">VLOOKUP(qry_ProdData2_PDI_Cash_Exception_Application[[#This Row],[TYPE]],#REF!,2,FALSE)</f>
        <v>type40</v>
      </c>
      <c r="E3715">
        <v>-471.03</v>
      </c>
      <c r="G3715" s="1">
        <f>qry_ProdData2_PDI_Cash_Exception_Application[[#This Row],[INSERT DATE]]+2</f>
        <v>45195.257071759261</v>
      </c>
      <c r="H3715" t="str">
        <f>VLOOKUP(qry_ProdData2_PDI_Cash_Exception_Application[[#This Row],[MARKET No]],'Site Allocation'!$B$2:$C$37,2,FALSE)</f>
        <v>Analyst1</v>
      </c>
      <c r="I3715" s="4">
        <f t="shared" ca="1" si="58"/>
        <v>45203</v>
      </c>
      <c r="J3715" s="42">
        <f ca="1">TODAY()-qry_ProdData2_PDI_Cash_Exception_Application[[#This Row],[INSERT DATE]]</f>
        <v>9.7429282407392748</v>
      </c>
      <c r="K371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15">
        <f ca="1">qry_ProdData2_PDI_Cash_Exception_Application[[#This Row],[TODAY]]-qry_ProdData2_PDI_Cash_Exception_Application[[#This Row],[CHANGED ON]]</f>
        <v>7.7429282407392748</v>
      </c>
      <c r="M3715">
        <f ca="1">qry_ProdData2_PDI_Cash_Exception_Application[[#This Row],[TODAY]]-qry_ProdData2_PDI_Cash_Exception_Application[[#This Row],[CHANGED ON]]</f>
        <v>7.7429282407392748</v>
      </c>
      <c r="N3715">
        <f ca="1">qry_ProdData2_PDI_Cash_Exception_Application[[#This Row],[TODAY]]-qry_ProdData2_PDI_Cash_Exception_Application[[#This Row],[CHANGED ON]]</f>
        <v>7.7429282407392748</v>
      </c>
    </row>
    <row r="3716" spans="1:14" x14ac:dyDescent="0.35">
      <c r="A3716">
        <v>1018</v>
      </c>
      <c r="B3716" t="s">
        <v>72</v>
      </c>
      <c r="C3716" s="1">
        <v>45187.257071759261</v>
      </c>
      <c r="D3716" t="str">
        <f ca="1">VLOOKUP(qry_ProdData2_PDI_Cash_Exception_Application[[#This Row],[TYPE]],#REF!,2,FALSE)</f>
        <v>type13</v>
      </c>
      <c r="E3716">
        <v>14679.26</v>
      </c>
      <c r="F3716" t="s">
        <v>50</v>
      </c>
      <c r="G3716" s="1">
        <f>qry_ProdData2_PDI_Cash_Exception_Application[[#This Row],[INSERT DATE]]+7</f>
        <v>45194.257071759261</v>
      </c>
      <c r="H3716" t="str">
        <f>VLOOKUP(qry_ProdData2_PDI_Cash_Exception_Application[[#This Row],[MARKET No]],'Site Allocation'!$B$2:$C$37,2,FALSE)</f>
        <v>Analyst4</v>
      </c>
      <c r="I3716" s="4">
        <f t="shared" ca="1" si="58"/>
        <v>45203</v>
      </c>
      <c r="J3716" s="42">
        <f ca="1">TODAY()-qry_ProdData2_PDI_Cash_Exception_Application[[#This Row],[INSERT DATE]]</f>
        <v>15.742928240739275</v>
      </c>
      <c r="K371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16">
        <f ca="1">qry_ProdData2_PDI_Cash_Exception_Application[[#This Row],[TODAY]]-qry_ProdData2_PDI_Cash_Exception_Application[[#This Row],[CHANGED ON]]</f>
        <v>8.7429282407392748</v>
      </c>
      <c r="M3716">
        <f ca="1">qry_ProdData2_PDI_Cash_Exception_Application[[#This Row],[TODAY]]-qry_ProdData2_PDI_Cash_Exception_Application[[#This Row],[CHANGED ON]]</f>
        <v>8.7429282407392748</v>
      </c>
      <c r="N3716">
        <f ca="1">qry_ProdData2_PDI_Cash_Exception_Application[[#This Row],[TODAY]]-qry_ProdData2_PDI_Cash_Exception_Application[[#This Row],[CHANGED ON]]</f>
        <v>8.7429282407392748</v>
      </c>
    </row>
    <row r="3717" spans="1:14" x14ac:dyDescent="0.35">
      <c r="A3717">
        <v>1026</v>
      </c>
      <c r="B3717" t="s">
        <v>80</v>
      </c>
      <c r="C3717" s="1">
        <v>45193.257071759261</v>
      </c>
      <c r="D3717" t="str">
        <f ca="1">VLOOKUP(qry_ProdData2_PDI_Cash_Exception_Application[[#This Row],[TYPE]],#REF!,2,FALSE)</f>
        <v>type40</v>
      </c>
      <c r="E3717">
        <v>405.04</v>
      </c>
      <c r="F3717" t="s">
        <v>51</v>
      </c>
      <c r="G3717" s="1">
        <f>qry_ProdData2_PDI_Cash_Exception_Application[[#This Row],[INSERT DATE]]+5</f>
        <v>45198.257071759261</v>
      </c>
      <c r="H3717" t="str">
        <f>VLOOKUP(qry_ProdData2_PDI_Cash_Exception_Application[[#This Row],[MARKET No]],'Site Allocation'!$B$2:$C$37,2,FALSE)</f>
        <v>Analyst5</v>
      </c>
      <c r="I3717" s="4">
        <f t="shared" ca="1" si="58"/>
        <v>45203</v>
      </c>
      <c r="J3717" s="42">
        <f ca="1">TODAY()-qry_ProdData2_PDI_Cash_Exception_Application[[#This Row],[INSERT DATE]]</f>
        <v>9.7429282407392748</v>
      </c>
      <c r="K371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17">
        <f ca="1">qry_ProdData2_PDI_Cash_Exception_Application[[#This Row],[TODAY]]-qry_ProdData2_PDI_Cash_Exception_Application[[#This Row],[CHANGED ON]]</f>
        <v>4.7429282407392748</v>
      </c>
      <c r="M3717">
        <f ca="1">qry_ProdData2_PDI_Cash_Exception_Application[[#This Row],[TODAY]]-qry_ProdData2_PDI_Cash_Exception_Application[[#This Row],[CHANGED ON]]</f>
        <v>4.7429282407392748</v>
      </c>
      <c r="N3717">
        <f ca="1">qry_ProdData2_PDI_Cash_Exception_Application[[#This Row],[TODAY]]-qry_ProdData2_PDI_Cash_Exception_Application[[#This Row],[CHANGED ON]]</f>
        <v>4.7429282407392748</v>
      </c>
    </row>
    <row r="3718" spans="1:14" x14ac:dyDescent="0.35">
      <c r="A3718">
        <v>1020</v>
      </c>
      <c r="B3718" t="s">
        <v>74</v>
      </c>
      <c r="C3718" s="1">
        <v>45188.257071759261</v>
      </c>
      <c r="D3718" t="str">
        <f ca="1">VLOOKUP(qry_ProdData2_PDI_Cash_Exception_Application[[#This Row],[TYPE]],#REF!,2,FALSE)</f>
        <v>type40</v>
      </c>
      <c r="E3718">
        <v>-677.06</v>
      </c>
      <c r="F3718" t="s">
        <v>52</v>
      </c>
      <c r="G3718" s="1">
        <f>qry_ProdData2_PDI_Cash_Exception_Application[[#This Row],[INSERT DATE]]+7</f>
        <v>45195.257071759261</v>
      </c>
      <c r="H3718" t="str">
        <f>VLOOKUP(qry_ProdData2_PDI_Cash_Exception_Application[[#This Row],[MARKET No]],'Site Allocation'!$B$2:$C$37,2,FALSE)</f>
        <v>Analyst4</v>
      </c>
      <c r="I3718" s="4">
        <f t="shared" ca="1" si="58"/>
        <v>45203</v>
      </c>
      <c r="J3718" s="42">
        <f ca="1">TODAY()-qry_ProdData2_PDI_Cash_Exception_Application[[#This Row],[INSERT DATE]]</f>
        <v>14.742928240739275</v>
      </c>
      <c r="K371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18">
        <f ca="1">qry_ProdData2_PDI_Cash_Exception_Application[[#This Row],[TODAY]]-qry_ProdData2_PDI_Cash_Exception_Application[[#This Row],[CHANGED ON]]</f>
        <v>7.7429282407392748</v>
      </c>
      <c r="M3718">
        <f ca="1">qry_ProdData2_PDI_Cash_Exception_Application[[#This Row],[TODAY]]-qry_ProdData2_PDI_Cash_Exception_Application[[#This Row],[CHANGED ON]]</f>
        <v>7.7429282407392748</v>
      </c>
      <c r="N3718">
        <f ca="1">qry_ProdData2_PDI_Cash_Exception_Application[[#This Row],[TODAY]]-qry_ProdData2_PDI_Cash_Exception_Application[[#This Row],[CHANGED ON]]</f>
        <v>7.7429282407392748</v>
      </c>
    </row>
    <row r="3719" spans="1:14" x14ac:dyDescent="0.35">
      <c r="A3719">
        <v>1019</v>
      </c>
      <c r="B3719" t="s">
        <v>73</v>
      </c>
      <c r="C3719" s="1">
        <v>45194.257071759261</v>
      </c>
      <c r="D3719" t="str">
        <f ca="1">VLOOKUP(qry_ProdData2_PDI_Cash_Exception_Application[[#This Row],[TYPE]],#REF!,2,FALSE)</f>
        <v>type8</v>
      </c>
      <c r="E3719">
        <v>80</v>
      </c>
      <c r="G3719" s="1">
        <f>qry_ProdData2_PDI_Cash_Exception_Application[[#This Row],[INSERT DATE]]+2</f>
        <v>45196.257071759261</v>
      </c>
      <c r="H3719" t="str">
        <f>VLOOKUP(qry_ProdData2_PDI_Cash_Exception_Application[[#This Row],[MARKET No]],'Site Allocation'!$B$2:$C$37,2,FALSE)</f>
        <v>Analyst4</v>
      </c>
      <c r="I3719" s="4">
        <f t="shared" ca="1" si="58"/>
        <v>45203</v>
      </c>
      <c r="J3719" s="42">
        <f ca="1">TODAY()-qry_ProdData2_PDI_Cash_Exception_Application[[#This Row],[INSERT DATE]]</f>
        <v>8.7429282407392748</v>
      </c>
      <c r="K371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19">
        <f ca="1">qry_ProdData2_PDI_Cash_Exception_Application[[#This Row],[TODAY]]-qry_ProdData2_PDI_Cash_Exception_Application[[#This Row],[CHANGED ON]]</f>
        <v>6.7429282407392748</v>
      </c>
      <c r="M3719">
        <f ca="1">qry_ProdData2_PDI_Cash_Exception_Application[[#This Row],[TODAY]]-qry_ProdData2_PDI_Cash_Exception_Application[[#This Row],[CHANGED ON]]</f>
        <v>6.7429282407392748</v>
      </c>
      <c r="N3719">
        <f ca="1">qry_ProdData2_PDI_Cash_Exception_Application[[#This Row],[TODAY]]-qry_ProdData2_PDI_Cash_Exception_Application[[#This Row],[CHANGED ON]]</f>
        <v>6.7429282407392748</v>
      </c>
    </row>
    <row r="3720" spans="1:14" x14ac:dyDescent="0.35">
      <c r="A3720">
        <v>1011</v>
      </c>
      <c r="B3720" t="s">
        <v>65</v>
      </c>
      <c r="C3720" s="1">
        <v>45189.257071759261</v>
      </c>
      <c r="D3720" t="str">
        <f ca="1">VLOOKUP(qry_ProdData2_PDI_Cash_Exception_Application[[#This Row],[TYPE]],#REF!,2,FALSE)</f>
        <v>type7</v>
      </c>
      <c r="E3720">
        <v>1309.07</v>
      </c>
      <c r="F3720" t="s">
        <v>50</v>
      </c>
      <c r="G3720" s="1">
        <f>qry_ProdData2_PDI_Cash_Exception_Application[[#This Row],[INSERT DATE]]+7</f>
        <v>45196.257071759261</v>
      </c>
      <c r="H3720" t="str">
        <f>VLOOKUP(qry_ProdData2_PDI_Cash_Exception_Application[[#This Row],[MARKET No]],'Site Allocation'!$B$2:$C$37,2,FALSE)</f>
        <v>Analyst2</v>
      </c>
      <c r="I3720" s="4">
        <f t="shared" ca="1" si="58"/>
        <v>45203</v>
      </c>
      <c r="J3720" s="42">
        <f ca="1">TODAY()-qry_ProdData2_PDI_Cash_Exception_Application[[#This Row],[INSERT DATE]]</f>
        <v>13.742928240739275</v>
      </c>
      <c r="K372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20">
        <f ca="1">qry_ProdData2_PDI_Cash_Exception_Application[[#This Row],[TODAY]]-qry_ProdData2_PDI_Cash_Exception_Application[[#This Row],[CHANGED ON]]</f>
        <v>6.7429282407392748</v>
      </c>
      <c r="M3720">
        <f ca="1">qry_ProdData2_PDI_Cash_Exception_Application[[#This Row],[TODAY]]-qry_ProdData2_PDI_Cash_Exception_Application[[#This Row],[CHANGED ON]]</f>
        <v>6.7429282407392748</v>
      </c>
      <c r="N3720">
        <f ca="1">qry_ProdData2_PDI_Cash_Exception_Application[[#This Row],[TODAY]]-qry_ProdData2_PDI_Cash_Exception_Application[[#This Row],[CHANGED ON]]</f>
        <v>6.7429282407392748</v>
      </c>
    </row>
    <row r="3721" spans="1:14" x14ac:dyDescent="0.35">
      <c r="A3721">
        <v>1029</v>
      </c>
      <c r="B3721" t="s">
        <v>83</v>
      </c>
      <c r="C3721" s="1">
        <v>45193.257071759261</v>
      </c>
      <c r="D3721" t="str">
        <f ca="1">VLOOKUP(qry_ProdData2_PDI_Cash_Exception_Application[[#This Row],[TYPE]],#REF!,2,FALSE)</f>
        <v>type13</v>
      </c>
      <c r="E3721">
        <v>25139.46</v>
      </c>
      <c r="F3721" t="s">
        <v>51</v>
      </c>
      <c r="G3721" s="1">
        <f>qry_ProdData2_PDI_Cash_Exception_Application[[#This Row],[INSERT DATE]]+2</f>
        <v>45195.257071759261</v>
      </c>
      <c r="H3721" t="str">
        <f>VLOOKUP(qry_ProdData2_PDI_Cash_Exception_Application[[#This Row],[MARKET No]],'Site Allocation'!$B$2:$C$37,2,FALSE)</f>
        <v>Analyst5</v>
      </c>
      <c r="I3721" s="4">
        <f t="shared" ca="1" si="58"/>
        <v>45203</v>
      </c>
      <c r="J3721" s="42">
        <f ca="1">TODAY()-qry_ProdData2_PDI_Cash_Exception_Application[[#This Row],[INSERT DATE]]</f>
        <v>9.7429282407392748</v>
      </c>
      <c r="K372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21">
        <f ca="1">qry_ProdData2_PDI_Cash_Exception_Application[[#This Row],[TODAY]]-qry_ProdData2_PDI_Cash_Exception_Application[[#This Row],[CHANGED ON]]</f>
        <v>7.7429282407392748</v>
      </c>
      <c r="M3721">
        <f ca="1">qry_ProdData2_PDI_Cash_Exception_Application[[#This Row],[TODAY]]-qry_ProdData2_PDI_Cash_Exception_Application[[#This Row],[CHANGED ON]]</f>
        <v>7.7429282407392748</v>
      </c>
      <c r="N3721">
        <f ca="1">qry_ProdData2_PDI_Cash_Exception_Application[[#This Row],[TODAY]]-qry_ProdData2_PDI_Cash_Exception_Application[[#This Row],[CHANGED ON]]</f>
        <v>7.7429282407392748</v>
      </c>
    </row>
    <row r="3722" spans="1:14" x14ac:dyDescent="0.35">
      <c r="A3722">
        <v>1018</v>
      </c>
      <c r="B3722" t="s">
        <v>72</v>
      </c>
      <c r="C3722" s="1">
        <v>45190.257071759261</v>
      </c>
      <c r="D3722" t="str">
        <f ca="1">VLOOKUP(qry_ProdData2_PDI_Cash_Exception_Application[[#This Row],[TYPE]],#REF!,2,FALSE)</f>
        <v>type40</v>
      </c>
      <c r="E3722">
        <v>36.47</v>
      </c>
      <c r="F3722" t="str">
        <f>qry_ProdData2_PDI_Cash_Exception_Application[[#This Row],[ANALYST]]</f>
        <v>Analyst4</v>
      </c>
      <c r="G3722" s="1">
        <f>qry_ProdData2_PDI_Cash_Exception_Application[[#This Row],[INSERT DATE]]+7</f>
        <v>45197.257071759261</v>
      </c>
      <c r="H3722" t="str">
        <f>VLOOKUP(qry_ProdData2_PDI_Cash_Exception_Application[[#This Row],[MARKET No]],'Site Allocation'!$B$2:$C$37,2,FALSE)</f>
        <v>Analyst4</v>
      </c>
      <c r="I3722" s="4">
        <f t="shared" ca="1" si="58"/>
        <v>45203</v>
      </c>
      <c r="J3722" s="42">
        <f ca="1">TODAY()-qry_ProdData2_PDI_Cash_Exception_Application[[#This Row],[INSERT DATE]]</f>
        <v>12.742928240739275</v>
      </c>
      <c r="K372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22">
        <f ca="1">qry_ProdData2_PDI_Cash_Exception_Application[[#This Row],[TODAY]]-qry_ProdData2_PDI_Cash_Exception_Application[[#This Row],[CHANGED ON]]</f>
        <v>5.7429282407392748</v>
      </c>
      <c r="M3722">
        <f ca="1">qry_ProdData2_PDI_Cash_Exception_Application[[#This Row],[TODAY]]-qry_ProdData2_PDI_Cash_Exception_Application[[#This Row],[CHANGED ON]]</f>
        <v>5.7429282407392748</v>
      </c>
      <c r="N3722">
        <f ca="1">qry_ProdData2_PDI_Cash_Exception_Application[[#This Row],[TODAY]]-qry_ProdData2_PDI_Cash_Exception_Application[[#This Row],[CHANGED ON]]</f>
        <v>5.7429282407392748</v>
      </c>
    </row>
    <row r="3723" spans="1:14" x14ac:dyDescent="0.35">
      <c r="A3723">
        <v>1004</v>
      </c>
      <c r="B3723" t="s">
        <v>58</v>
      </c>
      <c r="C3723" s="1">
        <v>45195.257071759261</v>
      </c>
      <c r="D3723" t="str">
        <f ca="1">VLOOKUP(qry_ProdData2_PDI_Cash_Exception_Application[[#This Row],[TYPE]],#REF!,2,FALSE)</f>
        <v>type27</v>
      </c>
      <c r="E3723">
        <v>746508.2</v>
      </c>
      <c r="G3723" s="1">
        <f>qry_ProdData2_PDI_Cash_Exception_Application[[#This Row],[INSERT DATE]]+2</f>
        <v>45197.257071759261</v>
      </c>
      <c r="H3723" t="str">
        <f>VLOOKUP(qry_ProdData2_PDI_Cash_Exception_Application[[#This Row],[MARKET No]],'Site Allocation'!$B$2:$C$37,2,FALSE)</f>
        <v>Analyst1</v>
      </c>
      <c r="I3723" s="4">
        <f t="shared" ca="1" si="58"/>
        <v>45203</v>
      </c>
      <c r="J3723" s="42">
        <f ca="1">TODAY()-qry_ProdData2_PDI_Cash_Exception_Application[[#This Row],[INSERT DATE]]</f>
        <v>7.7429282407392748</v>
      </c>
      <c r="K372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23">
        <f ca="1">qry_ProdData2_PDI_Cash_Exception_Application[[#This Row],[TODAY]]-qry_ProdData2_PDI_Cash_Exception_Application[[#This Row],[CHANGED ON]]</f>
        <v>5.7429282407392748</v>
      </c>
      <c r="M3723">
        <f ca="1">qry_ProdData2_PDI_Cash_Exception_Application[[#This Row],[TODAY]]-qry_ProdData2_PDI_Cash_Exception_Application[[#This Row],[CHANGED ON]]</f>
        <v>5.7429282407392748</v>
      </c>
      <c r="N3723">
        <f ca="1">qry_ProdData2_PDI_Cash_Exception_Application[[#This Row],[TODAY]]-qry_ProdData2_PDI_Cash_Exception_Application[[#This Row],[CHANGED ON]]</f>
        <v>5.7429282407392748</v>
      </c>
    </row>
    <row r="3724" spans="1:14" x14ac:dyDescent="0.35">
      <c r="A3724">
        <v>1027</v>
      </c>
      <c r="B3724" t="s">
        <v>81</v>
      </c>
      <c r="C3724" s="1">
        <v>45194.257071759261</v>
      </c>
      <c r="D3724" t="str">
        <f ca="1">VLOOKUP(qry_ProdData2_PDI_Cash_Exception_Application[[#This Row],[TYPE]],#REF!,2,FALSE)</f>
        <v>type13</v>
      </c>
      <c r="E3724">
        <v>34733.620000000003</v>
      </c>
      <c r="F3724" t="str">
        <f>qry_ProdData2_PDI_Cash_Exception_Application[[#This Row],[ANALYST]]</f>
        <v>Analyst5</v>
      </c>
      <c r="G3724" s="1">
        <f>qry_ProdData2_PDI_Cash_Exception_Application[[#This Row],[INSERT DATE]]+2</f>
        <v>45196.257071759261</v>
      </c>
      <c r="H3724" t="str">
        <f>VLOOKUP(qry_ProdData2_PDI_Cash_Exception_Application[[#This Row],[MARKET No]],'Site Allocation'!$B$2:$C$37,2,FALSE)</f>
        <v>Analyst5</v>
      </c>
      <c r="I3724" s="4">
        <f t="shared" ca="1" si="58"/>
        <v>45203</v>
      </c>
      <c r="J3724" s="42">
        <f ca="1">TODAY()-qry_ProdData2_PDI_Cash_Exception_Application[[#This Row],[INSERT DATE]]</f>
        <v>8.7429282407392748</v>
      </c>
      <c r="K372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24">
        <f ca="1">qry_ProdData2_PDI_Cash_Exception_Application[[#This Row],[TODAY]]-qry_ProdData2_PDI_Cash_Exception_Application[[#This Row],[CHANGED ON]]</f>
        <v>6.7429282407392748</v>
      </c>
      <c r="M3724">
        <f ca="1">qry_ProdData2_PDI_Cash_Exception_Application[[#This Row],[TODAY]]-qry_ProdData2_PDI_Cash_Exception_Application[[#This Row],[CHANGED ON]]</f>
        <v>6.7429282407392748</v>
      </c>
      <c r="N3724">
        <f ca="1">qry_ProdData2_PDI_Cash_Exception_Application[[#This Row],[TODAY]]-qry_ProdData2_PDI_Cash_Exception_Application[[#This Row],[CHANGED ON]]</f>
        <v>6.7429282407392748</v>
      </c>
    </row>
    <row r="3725" spans="1:14" x14ac:dyDescent="0.35">
      <c r="A3725">
        <v>1005</v>
      </c>
      <c r="B3725" t="s">
        <v>59</v>
      </c>
      <c r="C3725" s="1">
        <v>45195.257071759261</v>
      </c>
      <c r="D3725" t="str">
        <f ca="1">VLOOKUP(qry_ProdData2_PDI_Cash_Exception_Application[[#This Row],[TYPE]],#REF!,2,FALSE)</f>
        <v>type40</v>
      </c>
      <c r="E3725">
        <v>2830.22</v>
      </c>
      <c r="G3725" s="1">
        <f>qry_ProdData2_PDI_Cash_Exception_Application[[#This Row],[INSERT DATE]]+5</f>
        <v>45200.257071759261</v>
      </c>
      <c r="H3725" t="str">
        <f>VLOOKUP(qry_ProdData2_PDI_Cash_Exception_Application[[#This Row],[MARKET No]],'Site Allocation'!$B$2:$C$37,2,FALSE)</f>
        <v>Analyst1</v>
      </c>
      <c r="I3725" s="4">
        <f t="shared" ca="1" si="58"/>
        <v>45203</v>
      </c>
      <c r="J3725" s="42">
        <f ca="1">TODAY()-qry_ProdData2_PDI_Cash_Exception_Application[[#This Row],[INSERT DATE]]</f>
        <v>7.7429282407392748</v>
      </c>
      <c r="K372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25">
        <f ca="1">qry_ProdData2_PDI_Cash_Exception_Application[[#This Row],[TODAY]]-qry_ProdData2_PDI_Cash_Exception_Application[[#This Row],[CHANGED ON]]</f>
        <v>2.7429282407392748</v>
      </c>
      <c r="M3725">
        <f ca="1">qry_ProdData2_PDI_Cash_Exception_Application[[#This Row],[TODAY]]-qry_ProdData2_PDI_Cash_Exception_Application[[#This Row],[CHANGED ON]]</f>
        <v>2.7429282407392748</v>
      </c>
      <c r="N3725">
        <f ca="1">qry_ProdData2_PDI_Cash_Exception_Application[[#This Row],[TODAY]]-qry_ProdData2_PDI_Cash_Exception_Application[[#This Row],[CHANGED ON]]</f>
        <v>2.7429282407392748</v>
      </c>
    </row>
    <row r="3726" spans="1:14" x14ac:dyDescent="0.35">
      <c r="A3726">
        <v>1003</v>
      </c>
      <c r="B3726" t="s">
        <v>57</v>
      </c>
      <c r="C3726" s="1">
        <v>45192.257071759261</v>
      </c>
      <c r="D3726" t="str">
        <f ca="1">VLOOKUP(qry_ProdData2_PDI_Cash_Exception_Application[[#This Row],[TYPE]],#REF!,2,FALSE)</f>
        <v>type29</v>
      </c>
      <c r="E3726">
        <v>473.53</v>
      </c>
      <c r="F3726" t="s">
        <v>50</v>
      </c>
      <c r="G3726" s="1">
        <f>qry_ProdData2_PDI_Cash_Exception_Application[[#This Row],[INSERT DATE]]+1</f>
        <v>45193.257071759261</v>
      </c>
      <c r="H3726" t="str">
        <f>VLOOKUP(qry_ProdData2_PDI_Cash_Exception_Application[[#This Row],[MARKET No]],'Site Allocation'!$B$2:$C$37,2,FALSE)</f>
        <v>Analyst1</v>
      </c>
      <c r="I3726" s="4">
        <f t="shared" ca="1" si="58"/>
        <v>45203</v>
      </c>
      <c r="J3726" s="42">
        <f ca="1">TODAY()-qry_ProdData2_PDI_Cash_Exception_Application[[#This Row],[INSERT DATE]]</f>
        <v>10.742928240739275</v>
      </c>
      <c r="K372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26">
        <f ca="1">qry_ProdData2_PDI_Cash_Exception_Application[[#This Row],[TODAY]]-qry_ProdData2_PDI_Cash_Exception_Application[[#This Row],[CHANGED ON]]</f>
        <v>9.7429282407392748</v>
      </c>
      <c r="M3726">
        <f ca="1">qry_ProdData2_PDI_Cash_Exception_Application[[#This Row],[TODAY]]-qry_ProdData2_PDI_Cash_Exception_Application[[#This Row],[CHANGED ON]]</f>
        <v>9.7429282407392748</v>
      </c>
      <c r="N3726">
        <f ca="1">qry_ProdData2_PDI_Cash_Exception_Application[[#This Row],[TODAY]]-qry_ProdData2_PDI_Cash_Exception_Application[[#This Row],[CHANGED ON]]</f>
        <v>9.7429282407392748</v>
      </c>
    </row>
    <row r="3727" spans="1:14" x14ac:dyDescent="0.35">
      <c r="A3727">
        <v>1011</v>
      </c>
      <c r="B3727" t="s">
        <v>65</v>
      </c>
      <c r="C3727" s="1">
        <v>45193.257071759261</v>
      </c>
      <c r="D3727" t="str">
        <f ca="1">VLOOKUP(qry_ProdData2_PDI_Cash_Exception_Application[[#This Row],[TYPE]],#REF!,2,FALSE)</f>
        <v>type40</v>
      </c>
      <c r="E3727">
        <v>783.21</v>
      </c>
      <c r="F3727" t="s">
        <v>52</v>
      </c>
      <c r="G3727" s="1">
        <f>qry_ProdData2_PDI_Cash_Exception_Application[[#This Row],[INSERT DATE]]+1</f>
        <v>45194.257071759261</v>
      </c>
      <c r="H3727" t="str">
        <f>VLOOKUP(qry_ProdData2_PDI_Cash_Exception_Application[[#This Row],[MARKET No]],'Site Allocation'!$B$2:$C$37,2,FALSE)</f>
        <v>Analyst2</v>
      </c>
      <c r="I3727" s="4">
        <f t="shared" ca="1" si="58"/>
        <v>45203</v>
      </c>
      <c r="J3727" s="42">
        <f ca="1">TODAY()-qry_ProdData2_PDI_Cash_Exception_Application[[#This Row],[INSERT DATE]]</f>
        <v>9.7429282407392748</v>
      </c>
      <c r="K372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27">
        <f ca="1">qry_ProdData2_PDI_Cash_Exception_Application[[#This Row],[TODAY]]-qry_ProdData2_PDI_Cash_Exception_Application[[#This Row],[CHANGED ON]]</f>
        <v>8.7429282407392748</v>
      </c>
      <c r="M3727">
        <f ca="1">qry_ProdData2_PDI_Cash_Exception_Application[[#This Row],[TODAY]]-qry_ProdData2_PDI_Cash_Exception_Application[[#This Row],[CHANGED ON]]</f>
        <v>8.7429282407392748</v>
      </c>
      <c r="N3727">
        <f ca="1">qry_ProdData2_PDI_Cash_Exception_Application[[#This Row],[TODAY]]-qry_ProdData2_PDI_Cash_Exception_Application[[#This Row],[CHANGED ON]]</f>
        <v>8.7429282407392748</v>
      </c>
    </row>
    <row r="3728" spans="1:14" x14ac:dyDescent="0.35">
      <c r="A3728">
        <v>1035</v>
      </c>
      <c r="B3728" t="s">
        <v>89</v>
      </c>
      <c r="C3728" s="1">
        <v>45194.257071759261</v>
      </c>
      <c r="D3728" t="str">
        <f ca="1">VLOOKUP(qry_ProdData2_PDI_Cash_Exception_Application[[#This Row],[TYPE]],#REF!,2,FALSE)</f>
        <v>type35</v>
      </c>
      <c r="E3728">
        <v>1518.25</v>
      </c>
      <c r="F3728" t="s">
        <v>50</v>
      </c>
      <c r="G3728" s="1">
        <f>qry_ProdData2_PDI_Cash_Exception_Application[[#This Row],[INSERT DATE]]+1</f>
        <v>45195.257071759261</v>
      </c>
      <c r="H3728" t="str">
        <f>VLOOKUP(qry_ProdData2_PDI_Cash_Exception_Application[[#This Row],[MARKET No]],'Site Allocation'!$B$2:$C$37,2,FALSE)</f>
        <v>Analyst6</v>
      </c>
      <c r="I3728" s="4">
        <f t="shared" ca="1" si="58"/>
        <v>45203</v>
      </c>
      <c r="J3728" s="42">
        <f ca="1">TODAY()-qry_ProdData2_PDI_Cash_Exception_Application[[#This Row],[INSERT DATE]]</f>
        <v>8.7429282407392748</v>
      </c>
      <c r="K372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28">
        <f ca="1">qry_ProdData2_PDI_Cash_Exception_Application[[#This Row],[TODAY]]-qry_ProdData2_PDI_Cash_Exception_Application[[#This Row],[CHANGED ON]]</f>
        <v>7.7429282407392748</v>
      </c>
      <c r="M3728">
        <f ca="1">qry_ProdData2_PDI_Cash_Exception_Application[[#This Row],[TODAY]]-qry_ProdData2_PDI_Cash_Exception_Application[[#This Row],[CHANGED ON]]</f>
        <v>7.7429282407392748</v>
      </c>
      <c r="N3728">
        <f ca="1">qry_ProdData2_PDI_Cash_Exception_Application[[#This Row],[TODAY]]-qry_ProdData2_PDI_Cash_Exception_Application[[#This Row],[CHANGED ON]]</f>
        <v>7.7429282407392748</v>
      </c>
    </row>
    <row r="3729" spans="1:14" x14ac:dyDescent="0.35">
      <c r="A3729">
        <v>1029</v>
      </c>
      <c r="B3729" t="s">
        <v>83</v>
      </c>
      <c r="C3729" s="1">
        <v>45195.257071759261</v>
      </c>
      <c r="D3729" t="str">
        <f ca="1">VLOOKUP(qry_ProdData2_PDI_Cash_Exception_Application[[#This Row],[TYPE]],#REF!,2,FALSE)</f>
        <v>type40</v>
      </c>
      <c r="E3729">
        <v>316.14</v>
      </c>
      <c r="G3729" s="1">
        <f>qry_ProdData2_PDI_Cash_Exception_Application[[#This Row],[INSERT DATE]]+7</f>
        <v>45202.257071759261</v>
      </c>
      <c r="H3729" t="str">
        <f>VLOOKUP(qry_ProdData2_PDI_Cash_Exception_Application[[#This Row],[MARKET No]],'Site Allocation'!$B$2:$C$37,2,FALSE)</f>
        <v>Analyst5</v>
      </c>
      <c r="I3729" s="4">
        <f t="shared" ca="1" si="58"/>
        <v>45203</v>
      </c>
      <c r="J3729" s="42">
        <f ca="1">TODAY()-qry_ProdData2_PDI_Cash_Exception_Application[[#This Row],[INSERT DATE]]</f>
        <v>7.7429282407392748</v>
      </c>
      <c r="K372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29">
        <f ca="1">qry_ProdData2_PDI_Cash_Exception_Application[[#This Row],[TODAY]]-qry_ProdData2_PDI_Cash_Exception_Application[[#This Row],[CHANGED ON]]</f>
        <v>0.74292824073927477</v>
      </c>
      <c r="M3729">
        <f ca="1">qry_ProdData2_PDI_Cash_Exception_Application[[#This Row],[TODAY]]-qry_ProdData2_PDI_Cash_Exception_Application[[#This Row],[CHANGED ON]]</f>
        <v>0.74292824073927477</v>
      </c>
      <c r="N3729">
        <f ca="1">qry_ProdData2_PDI_Cash_Exception_Application[[#This Row],[TODAY]]-qry_ProdData2_PDI_Cash_Exception_Application[[#This Row],[CHANGED ON]]</f>
        <v>0.74292824073927477</v>
      </c>
    </row>
    <row r="3730" spans="1:14" x14ac:dyDescent="0.35">
      <c r="A3730">
        <v>1022</v>
      </c>
      <c r="B3730" t="s">
        <v>76</v>
      </c>
      <c r="C3730" s="1">
        <v>45195.257071759261</v>
      </c>
      <c r="D3730" t="str">
        <f ca="1">VLOOKUP(qry_ProdData2_PDI_Cash_Exception_Application[[#This Row],[TYPE]],#REF!,2,FALSE)</f>
        <v>type13</v>
      </c>
      <c r="E3730">
        <v>26980.51</v>
      </c>
      <c r="F3730" t="s">
        <v>51</v>
      </c>
      <c r="G3730" s="1">
        <f>qry_ProdData2_PDI_Cash_Exception_Application[[#This Row],[INSERT DATE]]+2</f>
        <v>45197.257071759261</v>
      </c>
      <c r="H3730" t="str">
        <f>VLOOKUP(qry_ProdData2_PDI_Cash_Exception_Application[[#This Row],[MARKET No]],'Site Allocation'!$B$2:$C$37,2,FALSE)</f>
        <v>Analyst4</v>
      </c>
      <c r="I3730" s="4">
        <f t="shared" ca="1" si="58"/>
        <v>45203</v>
      </c>
      <c r="J3730" s="42">
        <f ca="1">TODAY()-qry_ProdData2_PDI_Cash_Exception_Application[[#This Row],[INSERT DATE]]</f>
        <v>7.7429282407392748</v>
      </c>
      <c r="K3730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30">
        <f ca="1">qry_ProdData2_PDI_Cash_Exception_Application[[#This Row],[TODAY]]-qry_ProdData2_PDI_Cash_Exception_Application[[#This Row],[CHANGED ON]]</f>
        <v>5.7429282407392748</v>
      </c>
      <c r="M3730">
        <f ca="1">qry_ProdData2_PDI_Cash_Exception_Application[[#This Row],[TODAY]]-qry_ProdData2_PDI_Cash_Exception_Application[[#This Row],[CHANGED ON]]</f>
        <v>5.7429282407392748</v>
      </c>
      <c r="N3730">
        <f ca="1">qry_ProdData2_PDI_Cash_Exception_Application[[#This Row],[TODAY]]-qry_ProdData2_PDI_Cash_Exception_Application[[#This Row],[CHANGED ON]]</f>
        <v>5.7429282407392748</v>
      </c>
    </row>
    <row r="3731" spans="1:14" x14ac:dyDescent="0.35">
      <c r="A3731">
        <v>1005</v>
      </c>
      <c r="B3731" t="s">
        <v>59</v>
      </c>
      <c r="C3731" s="1">
        <v>45193.257071759261</v>
      </c>
      <c r="D3731" t="str">
        <f ca="1">VLOOKUP(qry_ProdData2_PDI_Cash_Exception_Application[[#This Row],[TYPE]],#REF!,2,FALSE)</f>
        <v>type27</v>
      </c>
      <c r="E3731">
        <v>826.36</v>
      </c>
      <c r="G3731" s="1">
        <f>qry_ProdData2_PDI_Cash_Exception_Application[[#This Row],[INSERT DATE]]+7</f>
        <v>45200.257071759261</v>
      </c>
      <c r="H3731" t="str">
        <f>VLOOKUP(qry_ProdData2_PDI_Cash_Exception_Application[[#This Row],[MARKET No]],'Site Allocation'!$B$2:$C$37,2,FALSE)</f>
        <v>Analyst1</v>
      </c>
      <c r="I3731" s="4">
        <f t="shared" ca="1" si="58"/>
        <v>45203</v>
      </c>
      <c r="J3731" s="42">
        <f ca="1">TODAY()-qry_ProdData2_PDI_Cash_Exception_Application[[#This Row],[INSERT DATE]]</f>
        <v>9.7429282407392748</v>
      </c>
      <c r="K3731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31">
        <f ca="1">qry_ProdData2_PDI_Cash_Exception_Application[[#This Row],[TODAY]]-qry_ProdData2_PDI_Cash_Exception_Application[[#This Row],[CHANGED ON]]</f>
        <v>2.7429282407392748</v>
      </c>
      <c r="M3731">
        <f ca="1">qry_ProdData2_PDI_Cash_Exception_Application[[#This Row],[TODAY]]-qry_ProdData2_PDI_Cash_Exception_Application[[#This Row],[CHANGED ON]]</f>
        <v>2.7429282407392748</v>
      </c>
      <c r="N3731">
        <f ca="1">qry_ProdData2_PDI_Cash_Exception_Application[[#This Row],[TODAY]]-qry_ProdData2_PDI_Cash_Exception_Application[[#This Row],[CHANGED ON]]</f>
        <v>2.7429282407392748</v>
      </c>
    </row>
    <row r="3732" spans="1:14" x14ac:dyDescent="0.35">
      <c r="A3732">
        <v>1003</v>
      </c>
      <c r="B3732" t="s">
        <v>57</v>
      </c>
      <c r="C3732" s="1">
        <v>45194.257071759261</v>
      </c>
      <c r="D3732" t="str">
        <f ca="1">VLOOKUP(qry_ProdData2_PDI_Cash_Exception_Application[[#This Row],[TYPE]],#REF!,2,FALSE)</f>
        <v>type13</v>
      </c>
      <c r="E3732">
        <v>16387.05</v>
      </c>
      <c r="G3732" s="1">
        <f>qry_ProdData2_PDI_Cash_Exception_Application[[#This Row],[INSERT DATE]]+7</f>
        <v>45201.257071759261</v>
      </c>
      <c r="H3732" t="str">
        <f>VLOOKUP(qry_ProdData2_PDI_Cash_Exception_Application[[#This Row],[MARKET No]],'Site Allocation'!$B$2:$C$37,2,FALSE)</f>
        <v>Analyst1</v>
      </c>
      <c r="I3732" s="4">
        <f t="shared" ca="1" si="58"/>
        <v>45203</v>
      </c>
      <c r="J3732" s="42">
        <f ca="1">TODAY()-qry_ProdData2_PDI_Cash_Exception_Application[[#This Row],[INSERT DATE]]</f>
        <v>8.7429282407392748</v>
      </c>
      <c r="K3732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32">
        <f ca="1">qry_ProdData2_PDI_Cash_Exception_Application[[#This Row],[TODAY]]-qry_ProdData2_PDI_Cash_Exception_Application[[#This Row],[CHANGED ON]]</f>
        <v>1.7429282407392748</v>
      </c>
      <c r="M3732">
        <f ca="1">qry_ProdData2_PDI_Cash_Exception_Application[[#This Row],[TODAY]]-qry_ProdData2_PDI_Cash_Exception_Application[[#This Row],[CHANGED ON]]</f>
        <v>1.7429282407392748</v>
      </c>
      <c r="N3732">
        <f ca="1">qry_ProdData2_PDI_Cash_Exception_Application[[#This Row],[TODAY]]-qry_ProdData2_PDI_Cash_Exception_Application[[#This Row],[CHANGED ON]]</f>
        <v>1.7429282407392748</v>
      </c>
    </row>
    <row r="3733" spans="1:14" x14ac:dyDescent="0.35">
      <c r="A3733">
        <v>1013</v>
      </c>
      <c r="B3733" t="s">
        <v>67</v>
      </c>
      <c r="C3733" s="1">
        <v>45194.257071759261</v>
      </c>
      <c r="D3733" t="str">
        <f ca="1">VLOOKUP(qry_ProdData2_PDI_Cash_Exception_Application[[#This Row],[TYPE]],#REF!,2,FALSE)</f>
        <v>type40</v>
      </c>
      <c r="E3733">
        <v>4930.5</v>
      </c>
      <c r="F3733" t="str">
        <f>qry_ProdData2_PDI_Cash_Exception_Application[[#This Row],[ANALYST]]</f>
        <v>Analyst3</v>
      </c>
      <c r="G3733" s="1">
        <f>qry_ProdData2_PDI_Cash_Exception_Application[[#This Row],[INSERT DATE]]+2</f>
        <v>45196.257071759261</v>
      </c>
      <c r="H3733" t="str">
        <f>VLOOKUP(qry_ProdData2_PDI_Cash_Exception_Application[[#This Row],[MARKET No]],'Site Allocation'!$B$2:$C$37,2,FALSE)</f>
        <v>Analyst3</v>
      </c>
      <c r="I3733" s="4">
        <f t="shared" ca="1" si="58"/>
        <v>45203</v>
      </c>
      <c r="J3733" s="42">
        <f ca="1">TODAY()-qry_ProdData2_PDI_Cash_Exception_Application[[#This Row],[INSERT DATE]]</f>
        <v>8.7429282407392748</v>
      </c>
      <c r="K3733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33">
        <f ca="1">qry_ProdData2_PDI_Cash_Exception_Application[[#This Row],[TODAY]]-qry_ProdData2_PDI_Cash_Exception_Application[[#This Row],[CHANGED ON]]</f>
        <v>6.7429282407392748</v>
      </c>
      <c r="M3733">
        <f ca="1">qry_ProdData2_PDI_Cash_Exception_Application[[#This Row],[TODAY]]-qry_ProdData2_PDI_Cash_Exception_Application[[#This Row],[CHANGED ON]]</f>
        <v>6.7429282407392748</v>
      </c>
      <c r="N3733">
        <f ca="1">qry_ProdData2_PDI_Cash_Exception_Application[[#This Row],[TODAY]]-qry_ProdData2_PDI_Cash_Exception_Application[[#This Row],[CHANGED ON]]</f>
        <v>6.7429282407392748</v>
      </c>
    </row>
    <row r="3734" spans="1:14" x14ac:dyDescent="0.35">
      <c r="A3734">
        <v>1022</v>
      </c>
      <c r="B3734" t="s">
        <v>76</v>
      </c>
      <c r="C3734" s="1">
        <v>45197.257071759261</v>
      </c>
      <c r="D3734" t="str">
        <f ca="1">VLOOKUP(qry_ProdData2_PDI_Cash_Exception_Application[[#This Row],[TYPE]],#REF!,2,FALSE)</f>
        <v>type42</v>
      </c>
      <c r="E3734">
        <v>161.78</v>
      </c>
      <c r="F3734" t="s">
        <v>52</v>
      </c>
      <c r="G3734" s="1">
        <f>qry_ProdData2_PDI_Cash_Exception_Application[[#This Row],[INSERT DATE]]+1</f>
        <v>45198.257071759261</v>
      </c>
      <c r="H3734" t="str">
        <f>VLOOKUP(qry_ProdData2_PDI_Cash_Exception_Application[[#This Row],[MARKET No]],'Site Allocation'!$B$2:$C$37,2,FALSE)</f>
        <v>Analyst4</v>
      </c>
      <c r="I3734" s="4">
        <f t="shared" ca="1" si="58"/>
        <v>45203</v>
      </c>
      <c r="J3734" s="42">
        <f ca="1">TODAY()-qry_ProdData2_PDI_Cash_Exception_Application[[#This Row],[INSERT DATE]]</f>
        <v>5.7429282407392748</v>
      </c>
      <c r="K3734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5-6</v>
      </c>
      <c r="L3734">
        <f ca="1">qry_ProdData2_PDI_Cash_Exception_Application[[#This Row],[TODAY]]-qry_ProdData2_PDI_Cash_Exception_Application[[#This Row],[CHANGED ON]]</f>
        <v>4.7429282407392748</v>
      </c>
      <c r="M3734">
        <f ca="1">qry_ProdData2_PDI_Cash_Exception_Application[[#This Row],[TODAY]]-qry_ProdData2_PDI_Cash_Exception_Application[[#This Row],[CHANGED ON]]</f>
        <v>4.7429282407392748</v>
      </c>
      <c r="N3734">
        <f ca="1">qry_ProdData2_PDI_Cash_Exception_Application[[#This Row],[TODAY]]-qry_ProdData2_PDI_Cash_Exception_Application[[#This Row],[CHANGED ON]]</f>
        <v>4.7429282407392748</v>
      </c>
    </row>
    <row r="3735" spans="1:14" x14ac:dyDescent="0.35">
      <c r="A3735">
        <v>1000</v>
      </c>
      <c r="B3735" t="s">
        <v>54</v>
      </c>
      <c r="C3735" s="1">
        <v>45195.257071759261</v>
      </c>
      <c r="D3735" t="str">
        <f ca="1">VLOOKUP(qry_ProdData2_PDI_Cash_Exception_Application[[#This Row],[TYPE]],#REF!,2,FALSE)</f>
        <v>type40</v>
      </c>
      <c r="E3735">
        <v>-496.91</v>
      </c>
      <c r="G3735" s="1">
        <f>qry_ProdData2_PDI_Cash_Exception_Application[[#This Row],[INSERT DATE]]+1</f>
        <v>45196.257071759261</v>
      </c>
      <c r="H3735" t="str">
        <f>VLOOKUP(qry_ProdData2_PDI_Cash_Exception_Application[[#This Row],[MARKET No]],'Site Allocation'!$B$2:$C$37,2,FALSE)</f>
        <v>Analyst1</v>
      </c>
      <c r="I3735" s="4">
        <f t="shared" ca="1" si="58"/>
        <v>45203</v>
      </c>
      <c r="J3735" s="42">
        <f ca="1">TODAY()-qry_ProdData2_PDI_Cash_Exception_Application[[#This Row],[INSERT DATE]]</f>
        <v>7.7429282407392748</v>
      </c>
      <c r="K3735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35">
        <f ca="1">qry_ProdData2_PDI_Cash_Exception_Application[[#This Row],[TODAY]]-qry_ProdData2_PDI_Cash_Exception_Application[[#This Row],[CHANGED ON]]</f>
        <v>6.7429282407392748</v>
      </c>
      <c r="M3735">
        <f ca="1">qry_ProdData2_PDI_Cash_Exception_Application[[#This Row],[TODAY]]-qry_ProdData2_PDI_Cash_Exception_Application[[#This Row],[CHANGED ON]]</f>
        <v>6.7429282407392748</v>
      </c>
      <c r="N3735">
        <f ca="1">qry_ProdData2_PDI_Cash_Exception_Application[[#This Row],[TODAY]]-qry_ProdData2_PDI_Cash_Exception_Application[[#This Row],[CHANGED ON]]</f>
        <v>6.7429282407392748</v>
      </c>
    </row>
    <row r="3736" spans="1:14" x14ac:dyDescent="0.35">
      <c r="A3736">
        <v>1015</v>
      </c>
      <c r="B3736" t="s">
        <v>69</v>
      </c>
      <c r="C3736" s="1">
        <v>45193.257071759261</v>
      </c>
      <c r="D3736" t="str">
        <f ca="1">VLOOKUP(qry_ProdData2_PDI_Cash_Exception_Application[[#This Row],[TYPE]],#REF!,2,FALSE)</f>
        <v>type13</v>
      </c>
      <c r="E3736">
        <v>20414.75</v>
      </c>
      <c r="F3736" t="s">
        <v>51</v>
      </c>
      <c r="G3736" s="1">
        <f>qry_ProdData2_PDI_Cash_Exception_Application[[#This Row],[INSERT DATE]]+7</f>
        <v>45200.257071759261</v>
      </c>
      <c r="H3736" t="str">
        <f>VLOOKUP(qry_ProdData2_PDI_Cash_Exception_Application[[#This Row],[MARKET No]],'Site Allocation'!$B$2:$C$37,2,FALSE)</f>
        <v>Analyst3</v>
      </c>
      <c r="I3736" s="4">
        <f t="shared" ca="1" si="58"/>
        <v>45203</v>
      </c>
      <c r="J3736" s="42">
        <f ca="1">TODAY()-qry_ProdData2_PDI_Cash_Exception_Application[[#This Row],[INSERT DATE]]</f>
        <v>9.7429282407392748</v>
      </c>
      <c r="K3736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36">
        <f ca="1">qry_ProdData2_PDI_Cash_Exception_Application[[#This Row],[TODAY]]-qry_ProdData2_PDI_Cash_Exception_Application[[#This Row],[CHANGED ON]]</f>
        <v>2.7429282407392748</v>
      </c>
      <c r="M3736">
        <f ca="1">qry_ProdData2_PDI_Cash_Exception_Application[[#This Row],[TODAY]]-qry_ProdData2_PDI_Cash_Exception_Application[[#This Row],[CHANGED ON]]</f>
        <v>2.7429282407392748</v>
      </c>
      <c r="N3736">
        <f ca="1">qry_ProdData2_PDI_Cash_Exception_Application[[#This Row],[TODAY]]-qry_ProdData2_PDI_Cash_Exception_Application[[#This Row],[CHANGED ON]]</f>
        <v>2.7429282407392748</v>
      </c>
    </row>
    <row r="3737" spans="1:14" x14ac:dyDescent="0.35">
      <c r="A3737">
        <v>1009</v>
      </c>
      <c r="B3737" t="s">
        <v>63</v>
      </c>
      <c r="C3737" s="1">
        <v>45195.257071759261</v>
      </c>
      <c r="D3737" t="str">
        <f ca="1">VLOOKUP(qry_ProdData2_PDI_Cash_Exception_Application[[#This Row],[TYPE]],#REF!,2,FALSE)</f>
        <v>type40</v>
      </c>
      <c r="E3737">
        <v>-645.69000000000005</v>
      </c>
      <c r="F3737" t="s">
        <v>48</v>
      </c>
      <c r="G3737" s="1">
        <f>qry_ProdData2_PDI_Cash_Exception_Application[[#This Row],[INSERT DATE]]+1</f>
        <v>45196.257071759261</v>
      </c>
      <c r="H3737" t="str">
        <f>VLOOKUP(qry_ProdData2_PDI_Cash_Exception_Application[[#This Row],[MARKET No]],'Site Allocation'!$B$2:$C$37,2,FALSE)</f>
        <v>Analyst2</v>
      </c>
      <c r="I3737" s="4">
        <f t="shared" ca="1" si="58"/>
        <v>45203</v>
      </c>
      <c r="J3737" s="42">
        <f ca="1">TODAY()-qry_ProdData2_PDI_Cash_Exception_Application[[#This Row],[INSERT DATE]]</f>
        <v>7.7429282407392748</v>
      </c>
      <c r="K3737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7-9</v>
      </c>
      <c r="L3737">
        <f ca="1">qry_ProdData2_PDI_Cash_Exception_Application[[#This Row],[TODAY]]-qry_ProdData2_PDI_Cash_Exception_Application[[#This Row],[CHANGED ON]]</f>
        <v>6.7429282407392748</v>
      </c>
      <c r="M3737">
        <f ca="1">qry_ProdData2_PDI_Cash_Exception_Application[[#This Row],[TODAY]]-qry_ProdData2_PDI_Cash_Exception_Application[[#This Row],[CHANGED ON]]</f>
        <v>6.7429282407392748</v>
      </c>
      <c r="N3737">
        <f ca="1">qry_ProdData2_PDI_Cash_Exception_Application[[#This Row],[TODAY]]-qry_ProdData2_PDI_Cash_Exception_Application[[#This Row],[CHANGED ON]]</f>
        <v>6.7429282407392748</v>
      </c>
    </row>
    <row r="3738" spans="1:14" x14ac:dyDescent="0.35">
      <c r="A3738">
        <v>1029</v>
      </c>
      <c r="B3738" t="s">
        <v>83</v>
      </c>
      <c r="C3738" s="1">
        <v>45180.257071759261</v>
      </c>
      <c r="D3738" t="str">
        <f ca="1">VLOOKUP(qry_ProdData2_PDI_Cash_Exception_Application[[#This Row],[TYPE]],#REF!,2,FALSE)</f>
        <v>type37</v>
      </c>
      <c r="E3738">
        <v>571.04999999999995</v>
      </c>
      <c r="F3738" t="s">
        <v>52</v>
      </c>
      <c r="G3738" s="1">
        <f>qry_ProdData2_PDI_Cash_Exception_Application[[#This Row],[INSERT DATE]]+1</f>
        <v>45181.257071759261</v>
      </c>
      <c r="H3738" t="str">
        <f>VLOOKUP(qry_ProdData2_PDI_Cash_Exception_Application[[#This Row],[MARKET No]],'Site Allocation'!$B$2:$C$37,2,FALSE)</f>
        <v>Analyst5</v>
      </c>
      <c r="I3738" s="4">
        <f t="shared" ca="1" si="58"/>
        <v>45203</v>
      </c>
      <c r="J3738" s="42">
        <f ca="1">TODAY()-qry_ProdData2_PDI_Cash_Exception_Application[[#This Row],[INSERT DATE]]</f>
        <v>22.742928240739275</v>
      </c>
      <c r="K3738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38">
        <f ca="1">qry_ProdData2_PDI_Cash_Exception_Application[[#This Row],[TODAY]]-qry_ProdData2_PDI_Cash_Exception_Application[[#This Row],[CHANGED ON]]</f>
        <v>21.742928240739275</v>
      </c>
      <c r="M3738">
        <f ca="1">qry_ProdData2_PDI_Cash_Exception_Application[[#This Row],[TODAY]]-qry_ProdData2_PDI_Cash_Exception_Application[[#This Row],[CHANGED ON]]</f>
        <v>21.742928240739275</v>
      </c>
      <c r="N3738">
        <f ca="1">qry_ProdData2_PDI_Cash_Exception_Application[[#This Row],[TODAY]]-qry_ProdData2_PDI_Cash_Exception_Application[[#This Row],[CHANGED ON]]</f>
        <v>21.742928240739275</v>
      </c>
    </row>
    <row r="3739" spans="1:14" x14ac:dyDescent="0.35">
      <c r="A3739">
        <v>1023</v>
      </c>
      <c r="B3739" t="s">
        <v>77</v>
      </c>
      <c r="C3739" s="1">
        <v>45181.257071759261</v>
      </c>
      <c r="D3739" t="str">
        <f ca="1">VLOOKUP(qry_ProdData2_PDI_Cash_Exception_Application[[#This Row],[TYPE]],#REF!,2,FALSE)</f>
        <v>type40</v>
      </c>
      <c r="E3739">
        <v>-1285.75</v>
      </c>
      <c r="F3739" t="s">
        <v>52</v>
      </c>
      <c r="G3739" s="1">
        <f>qry_ProdData2_PDI_Cash_Exception_Application[[#This Row],[INSERT DATE]]+1</f>
        <v>45182.257071759261</v>
      </c>
      <c r="H3739" t="str">
        <f>VLOOKUP(qry_ProdData2_PDI_Cash_Exception_Application[[#This Row],[MARKET No]],'Site Allocation'!$B$2:$C$37,2,FALSE)</f>
        <v>Analyst4</v>
      </c>
      <c r="I3739" s="4">
        <f t="shared" ca="1" si="58"/>
        <v>45203</v>
      </c>
      <c r="J3739" s="42">
        <f ca="1">TODAY()-qry_ProdData2_PDI_Cash_Exception_Application[[#This Row],[INSERT DATE]]</f>
        <v>21.742928240739275</v>
      </c>
      <c r="K3739" t="str">
        <f ca="1">IF(qry_ProdData2_PDI_Cash_Exception_Application[[#This Row],[AGEING]]&lt;=1,"0-1 ",IF(qry_ProdData2_PDI_Cash_Exception_Application[[#This Row],[AGEING]]&lt;=4,"2-4",IF(qry_ProdData2_PDI_Cash_Exception_Application[[#This Row],[AGEING]]&lt;=6,"5-6",IF(qry_ProdData2_PDI_Cash_Exception_Application[[#This Row],[AGEING]]&lt;=9,"7-9",IF(qry_ProdData2_PDI_Cash_Exception_Application[[#This Row],[AGEING]]&gt;9,"10-12","Error")))))</f>
        <v>10-12</v>
      </c>
      <c r="L3739">
        <f ca="1">qry_ProdData2_PDI_Cash_Exception_Application[[#This Row],[TODAY]]-qry_ProdData2_PDI_Cash_Exception_Application[[#This Row],[CHANGED ON]]</f>
        <v>20.742928240739275</v>
      </c>
      <c r="M3739">
        <f ca="1">qry_ProdData2_PDI_Cash_Exception_Application[[#This Row],[TODAY]]-qry_ProdData2_PDI_Cash_Exception_Application[[#This Row],[CHANGED ON]]</f>
        <v>20.742928240739275</v>
      </c>
      <c r="N3739">
        <f ca="1">qry_ProdData2_PDI_Cash_Exception_Application[[#This Row],[TODAY]]-qry_ProdData2_PDI_Cash_Exception_Application[[#This Row],[CHANGED ON]]</f>
        <v>20.742928240739275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1FBC5-1260-4BBB-B3C8-E0EB47C417ED}">
  <dimension ref="A1:S35"/>
  <sheetViews>
    <sheetView zoomScaleNormal="100" workbookViewId="0">
      <selection activeCell="C17" sqref="C17"/>
    </sheetView>
  </sheetViews>
  <sheetFormatPr defaultRowHeight="14.5" x14ac:dyDescent="0.35"/>
  <cols>
    <col min="1" max="1" width="16.453125" bestFit="1" customWidth="1"/>
    <col min="2" max="2" width="15.26953125" bestFit="1" customWidth="1"/>
    <col min="3" max="3" width="5.453125" bestFit="1" customWidth="1"/>
    <col min="4" max="4" width="3.453125" bestFit="1" customWidth="1"/>
    <col min="5" max="7" width="10.7265625" bestFit="1" customWidth="1"/>
  </cols>
  <sheetData>
    <row r="1" spans="1:19" x14ac:dyDescent="0.3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</row>
    <row r="2" spans="1:19" x14ac:dyDescent="0.35">
      <c r="A2" s="2" t="s">
        <v>96</v>
      </c>
      <c r="B2" t="s">
        <v>98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</row>
    <row r="3" spans="1:19" x14ac:dyDescent="0.3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</row>
    <row r="4" spans="1:19" x14ac:dyDescent="0.35">
      <c r="A4" s="2" t="s">
        <v>99</v>
      </c>
      <c r="B4" s="2" t="s">
        <v>4</v>
      </c>
      <c r="F4" s="19"/>
      <c r="G4" s="19"/>
      <c r="H4" s="19"/>
      <c r="I4" s="19"/>
      <c r="J4" s="19"/>
      <c r="K4" s="20"/>
      <c r="L4" s="19"/>
      <c r="M4" s="19"/>
      <c r="N4" s="19"/>
      <c r="O4" s="19"/>
      <c r="P4" s="19"/>
      <c r="Q4" s="19"/>
      <c r="R4" s="19"/>
      <c r="S4" s="19"/>
    </row>
    <row r="5" spans="1:19" x14ac:dyDescent="0.35">
      <c r="A5" s="2" t="s">
        <v>0</v>
      </c>
      <c r="B5" t="s">
        <v>32</v>
      </c>
      <c r="C5" t="s">
        <v>33</v>
      </c>
      <c r="D5" t="s">
        <v>31</v>
      </c>
      <c r="E5" t="s">
        <v>1</v>
      </c>
      <c r="F5" s="19"/>
      <c r="G5" s="19"/>
      <c r="H5" s="19"/>
      <c r="I5" s="19"/>
      <c r="J5" s="19"/>
      <c r="K5" s="20"/>
      <c r="L5" s="19"/>
      <c r="M5" s="19"/>
      <c r="N5" s="19"/>
      <c r="O5" s="19"/>
      <c r="P5" s="19"/>
      <c r="Q5" s="19"/>
      <c r="R5" s="19"/>
      <c r="S5" s="19"/>
    </row>
    <row r="6" spans="1:19" x14ac:dyDescent="0.35">
      <c r="A6" s="3" t="s">
        <v>48</v>
      </c>
      <c r="B6">
        <v>13</v>
      </c>
      <c r="C6">
        <v>29</v>
      </c>
      <c r="D6">
        <v>9</v>
      </c>
      <c r="E6">
        <v>51</v>
      </c>
      <c r="F6" s="19"/>
      <c r="G6" s="19"/>
      <c r="H6" s="19"/>
      <c r="I6" s="19"/>
      <c r="J6" s="19"/>
      <c r="K6" s="20"/>
      <c r="L6" s="19"/>
      <c r="M6" s="19"/>
      <c r="N6" s="19"/>
      <c r="O6" s="19"/>
      <c r="P6" s="19"/>
      <c r="Q6" s="19"/>
      <c r="R6" s="19"/>
      <c r="S6" s="19"/>
    </row>
    <row r="7" spans="1:19" x14ac:dyDescent="0.35">
      <c r="A7" s="3" t="s">
        <v>52</v>
      </c>
      <c r="B7">
        <v>19</v>
      </c>
      <c r="C7">
        <v>35</v>
      </c>
      <c r="D7">
        <v>12</v>
      </c>
      <c r="E7">
        <v>66</v>
      </c>
      <c r="F7" s="19"/>
      <c r="G7" s="19"/>
      <c r="H7" s="19"/>
      <c r="I7" s="19"/>
      <c r="J7" s="19"/>
      <c r="K7" s="20"/>
      <c r="L7" s="19"/>
      <c r="M7" s="19"/>
      <c r="N7" s="19"/>
      <c r="O7" s="19"/>
      <c r="P7" s="19"/>
      <c r="Q7" s="19"/>
      <c r="R7" s="19"/>
      <c r="S7" s="19"/>
    </row>
    <row r="8" spans="1:19" x14ac:dyDescent="0.35">
      <c r="A8" s="3" t="s">
        <v>49</v>
      </c>
      <c r="B8">
        <v>12</v>
      </c>
      <c r="C8">
        <v>37</v>
      </c>
      <c r="D8">
        <v>9</v>
      </c>
      <c r="E8">
        <v>58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19" x14ac:dyDescent="0.35">
      <c r="A9" s="3" t="s">
        <v>51</v>
      </c>
      <c r="B9">
        <v>16</v>
      </c>
      <c r="C9">
        <v>5</v>
      </c>
      <c r="D9">
        <v>14</v>
      </c>
      <c r="E9">
        <v>35</v>
      </c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</row>
    <row r="10" spans="1:19" x14ac:dyDescent="0.35">
      <c r="A10" s="3" t="s">
        <v>47</v>
      </c>
      <c r="B10">
        <v>15</v>
      </c>
      <c r="C10">
        <v>31</v>
      </c>
      <c r="D10">
        <v>16</v>
      </c>
      <c r="E10">
        <v>62</v>
      </c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19" x14ac:dyDescent="0.35">
      <c r="A11" s="3" t="s">
        <v>50</v>
      </c>
      <c r="B11">
        <v>9</v>
      </c>
      <c r="C11">
        <v>7</v>
      </c>
      <c r="D11">
        <v>8</v>
      </c>
      <c r="E11">
        <v>24</v>
      </c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19" x14ac:dyDescent="0.35">
      <c r="A12" s="3" t="s">
        <v>1</v>
      </c>
      <c r="B12">
        <v>84</v>
      </c>
      <c r="C12">
        <v>144</v>
      </c>
      <c r="D12">
        <v>68</v>
      </c>
      <c r="E12">
        <v>296</v>
      </c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19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19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19" x14ac:dyDescent="0.3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19" x14ac:dyDescent="0.3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3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3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3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3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3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3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3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3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3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3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3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3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3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3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3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3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3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3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3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</sheetData>
  <conditionalFormatting sqref="B5:F5">
    <cfRule type="containsText" dxfId="39" priority="14" operator="containsText" text="5-6">
      <formula>NOT(ISERROR(SEARCH("5-6",B5)))</formula>
    </cfRule>
  </conditionalFormatting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8F248-3C68-40ED-BC71-1A50054BB4F8}">
  <dimension ref="A1:X38"/>
  <sheetViews>
    <sheetView tabSelected="1" zoomScaleNormal="100" zoomScaleSheetLayoutView="80" workbookViewId="0">
      <selection activeCell="J18" sqref="J18"/>
    </sheetView>
  </sheetViews>
  <sheetFormatPr defaultRowHeight="14.5" x14ac:dyDescent="0.35"/>
  <cols>
    <col min="1" max="1" width="12.36328125" bestFit="1" customWidth="1"/>
    <col min="2" max="2" width="16.453125" bestFit="1" customWidth="1"/>
    <col min="3" max="3" width="17.7265625" customWidth="1"/>
    <col min="4" max="4" width="12.36328125" bestFit="1" customWidth="1"/>
    <col min="5" max="5" width="14.08984375" bestFit="1" customWidth="1"/>
    <col min="7" max="7" width="13.7265625" bestFit="1" customWidth="1"/>
    <col min="8" max="8" width="20.7265625" bestFit="1" customWidth="1"/>
    <col min="9" max="9" width="15.7265625" customWidth="1"/>
    <col min="10" max="10" width="13.7265625" bestFit="1" customWidth="1"/>
    <col min="11" max="11" width="22.81640625" bestFit="1" customWidth="1"/>
    <col min="12" max="12" width="21.453125" bestFit="1" customWidth="1"/>
    <col min="13" max="23" width="9.7265625" bestFit="1" customWidth="1"/>
    <col min="24" max="24" width="32" bestFit="1" customWidth="1"/>
    <col min="25" max="25" width="30.54296875" bestFit="1" customWidth="1"/>
  </cols>
  <sheetData>
    <row r="1" spans="1:24" x14ac:dyDescent="0.35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8"/>
      <c r="V1" s="8"/>
      <c r="W1" s="8"/>
      <c r="X1" s="8"/>
    </row>
    <row r="2" spans="1:24" ht="15" thickBot="1" x14ac:dyDescent="0.4">
      <c r="A2" s="19"/>
      <c r="B2" s="19"/>
      <c r="C2" s="19"/>
      <c r="D2" s="19"/>
      <c r="E2" s="19"/>
      <c r="F2" s="19"/>
      <c r="G2" s="19"/>
      <c r="H2" s="19"/>
      <c r="I2" s="18"/>
      <c r="J2" s="19"/>
      <c r="K2" s="19"/>
      <c r="L2" s="18"/>
      <c r="M2" s="18"/>
      <c r="N2" s="18"/>
      <c r="O2" s="18"/>
      <c r="P2" s="18"/>
      <c r="Q2" s="18"/>
      <c r="R2" s="18"/>
      <c r="S2" s="18"/>
      <c r="T2" s="18"/>
      <c r="U2" s="8"/>
      <c r="V2" s="8"/>
      <c r="W2" s="8"/>
      <c r="X2" s="8"/>
    </row>
    <row r="3" spans="1:24" ht="29" x14ac:dyDescent="0.35">
      <c r="A3" s="27" t="s">
        <v>3</v>
      </c>
      <c r="B3" s="29" t="s">
        <v>28</v>
      </c>
      <c r="C3" s="29" t="s">
        <v>29</v>
      </c>
      <c r="D3" s="28" t="s">
        <v>25</v>
      </c>
      <c r="E3" s="19"/>
      <c r="F3" s="19"/>
      <c r="G3" s="19"/>
      <c r="H3" s="19"/>
      <c r="I3" s="18"/>
      <c r="J3" s="19"/>
      <c r="K3" s="19"/>
      <c r="L3" s="18"/>
      <c r="M3" s="18"/>
      <c r="N3" s="18"/>
      <c r="O3" s="18"/>
      <c r="P3" s="18"/>
      <c r="Q3" s="18"/>
      <c r="R3" s="18"/>
      <c r="S3" s="18"/>
      <c r="T3" s="18"/>
      <c r="U3" s="8"/>
      <c r="V3" s="8"/>
      <c r="W3" s="8"/>
      <c r="X3" s="8"/>
    </row>
    <row r="4" spans="1:24" x14ac:dyDescent="0.35">
      <c r="A4" s="13" t="s">
        <v>47</v>
      </c>
      <c r="B4" s="8">
        <f t="shared" ref="B4:B9" si="0">IFERROR(INDEX($A$14:$B$21,MATCH($A4,$A$14:$A$21,0),MATCH($B$3,$A$14:$B$14,0)),0)</f>
        <v>33</v>
      </c>
      <c r="C4" s="8">
        <f>IFERROR(INDEX($D$14:$E$21,MATCH($A4,$D$14:$D$21,0),MATCH($C$3,$D$14:$E$14,0)),0)</f>
        <v>23</v>
      </c>
      <c r="D4" s="14">
        <f t="shared" ref="D4:D9" si="1">SUM(B4:C4)</f>
        <v>56</v>
      </c>
      <c r="E4" s="19"/>
      <c r="F4" s="19"/>
      <c r="G4" s="19"/>
      <c r="H4" s="19"/>
      <c r="I4" s="18"/>
      <c r="J4" s="19"/>
      <c r="K4" s="19"/>
      <c r="L4" s="19"/>
      <c r="M4" s="18"/>
      <c r="N4" s="18"/>
      <c r="O4" s="18"/>
      <c r="P4" s="18"/>
      <c r="Q4" s="18"/>
      <c r="R4" s="18"/>
      <c r="S4" s="18"/>
      <c r="T4" s="18"/>
      <c r="U4" s="8"/>
      <c r="V4" s="8"/>
      <c r="W4" s="8"/>
      <c r="X4" s="8"/>
    </row>
    <row r="5" spans="1:24" x14ac:dyDescent="0.35">
      <c r="A5" s="13" t="s">
        <v>48</v>
      </c>
      <c r="B5" s="8">
        <f t="shared" si="0"/>
        <v>25</v>
      </c>
      <c r="C5" s="8">
        <f t="shared" ref="C5:C9" si="2">IFERROR(INDEX($D$14:$E$21,MATCH($A5,$D$14:$D$21,0),MATCH($C$3,$D$14:$E$14,0)),0)</f>
        <v>34</v>
      </c>
      <c r="D5" s="14">
        <f t="shared" si="1"/>
        <v>59</v>
      </c>
      <c r="E5" s="19"/>
      <c r="F5" s="19"/>
      <c r="G5" s="19"/>
      <c r="H5" s="19"/>
      <c r="I5" s="18"/>
      <c r="J5" s="19"/>
      <c r="K5" s="19"/>
      <c r="L5" s="19"/>
      <c r="M5" s="18"/>
      <c r="N5" s="18"/>
      <c r="O5" s="18"/>
      <c r="P5" s="18"/>
      <c r="Q5" s="18"/>
      <c r="R5" s="18"/>
      <c r="S5" s="18"/>
      <c r="T5" s="18"/>
      <c r="U5" s="8"/>
      <c r="V5" s="8"/>
      <c r="W5" s="8"/>
      <c r="X5" s="8"/>
    </row>
    <row r="6" spans="1:24" x14ac:dyDescent="0.35">
      <c r="A6" s="13" t="s">
        <v>49</v>
      </c>
      <c r="B6" s="8">
        <f t="shared" si="0"/>
        <v>27</v>
      </c>
      <c r="C6" s="8">
        <f t="shared" si="2"/>
        <v>30</v>
      </c>
      <c r="D6" s="14">
        <f t="shared" si="1"/>
        <v>57</v>
      </c>
      <c r="E6" s="19"/>
      <c r="F6" s="19"/>
      <c r="G6" s="19"/>
      <c r="H6" s="19"/>
      <c r="I6" s="18"/>
      <c r="J6" s="19"/>
      <c r="K6" s="19"/>
      <c r="L6" s="19"/>
      <c r="M6" s="18"/>
      <c r="N6" s="18"/>
      <c r="O6" s="18"/>
      <c r="P6" s="18"/>
      <c r="Q6" s="18"/>
      <c r="R6" s="18"/>
      <c r="S6" s="18"/>
      <c r="T6" s="18"/>
      <c r="U6" s="8"/>
      <c r="V6" s="8"/>
      <c r="W6" s="8"/>
      <c r="X6" s="8"/>
    </row>
    <row r="7" spans="1:24" x14ac:dyDescent="0.35">
      <c r="A7" s="13" t="s">
        <v>50</v>
      </c>
      <c r="B7" s="8">
        <f>IFERROR(INDEX($A$14:$B$21,MATCH($A7,$A$14:$A$21,0),MATCH($B$3,$A$14:$B$14,0)),0)</f>
        <v>25</v>
      </c>
      <c r="C7" s="8">
        <f t="shared" si="2"/>
        <v>35</v>
      </c>
      <c r="D7" s="14">
        <f t="shared" si="1"/>
        <v>60</v>
      </c>
      <c r="E7" s="19"/>
      <c r="F7" s="19"/>
      <c r="G7" s="19"/>
      <c r="H7" s="19"/>
      <c r="I7" s="18"/>
      <c r="J7" s="19"/>
      <c r="K7" s="19"/>
      <c r="L7" s="19"/>
      <c r="M7" s="18"/>
      <c r="N7" s="18"/>
      <c r="O7" s="18"/>
      <c r="P7" s="18"/>
      <c r="Q7" s="18"/>
      <c r="R7" s="18"/>
      <c r="S7" s="18"/>
      <c r="T7" s="18"/>
      <c r="U7" s="8"/>
      <c r="V7" s="8"/>
      <c r="W7" s="8"/>
      <c r="X7" s="8"/>
    </row>
    <row r="8" spans="1:24" x14ac:dyDescent="0.35">
      <c r="A8" s="13" t="s">
        <v>51</v>
      </c>
      <c r="B8" s="8">
        <f t="shared" si="0"/>
        <v>27</v>
      </c>
      <c r="C8" s="8">
        <f t="shared" si="2"/>
        <v>37</v>
      </c>
      <c r="D8" s="14">
        <f t="shared" si="1"/>
        <v>64</v>
      </c>
      <c r="E8" s="19"/>
      <c r="F8" s="19"/>
      <c r="G8" s="19"/>
      <c r="H8" s="19"/>
      <c r="I8" s="18"/>
      <c r="J8" s="19"/>
      <c r="K8" s="19"/>
      <c r="L8" s="19"/>
      <c r="M8" s="18"/>
      <c r="N8" s="18"/>
      <c r="O8" s="18"/>
      <c r="P8" s="18"/>
      <c r="Q8" s="18"/>
      <c r="R8" s="18"/>
      <c r="S8" s="18"/>
      <c r="T8" s="18"/>
      <c r="U8" s="8"/>
      <c r="V8" s="8"/>
      <c r="W8" s="8"/>
      <c r="X8" s="8"/>
    </row>
    <row r="9" spans="1:24" ht="15" thickBot="1" x14ac:dyDescent="0.4">
      <c r="A9" s="15" t="s">
        <v>52</v>
      </c>
      <c r="B9" s="16">
        <f t="shared" si="0"/>
        <v>20</v>
      </c>
      <c r="C9" s="8">
        <f t="shared" si="2"/>
        <v>23</v>
      </c>
      <c r="D9" s="17">
        <f t="shared" si="1"/>
        <v>43</v>
      </c>
      <c r="E9" s="19"/>
      <c r="F9" s="19"/>
      <c r="G9" s="19"/>
      <c r="H9" s="19"/>
      <c r="I9" s="18"/>
      <c r="J9" s="19"/>
      <c r="K9" s="19"/>
      <c r="L9" s="19"/>
      <c r="M9" s="18"/>
      <c r="N9" s="18"/>
      <c r="O9" s="18"/>
      <c r="P9" s="18"/>
      <c r="Q9" s="18"/>
      <c r="R9" s="18"/>
      <c r="S9" s="18"/>
      <c r="T9" s="18"/>
      <c r="U9" s="8"/>
      <c r="V9" s="8"/>
      <c r="W9" s="8"/>
      <c r="X9" s="8"/>
    </row>
    <row r="10" spans="1:24" x14ac:dyDescent="0.35">
      <c r="A10" s="19"/>
      <c r="B10" s="19"/>
      <c r="C10" s="19"/>
      <c r="D10" s="19"/>
      <c r="E10" s="19"/>
      <c r="F10" s="19"/>
      <c r="G10" s="19"/>
      <c r="H10" s="19"/>
      <c r="I10" s="18"/>
      <c r="J10" s="19"/>
      <c r="K10" s="19"/>
      <c r="L10" s="19"/>
      <c r="M10" s="18"/>
      <c r="N10" s="18"/>
      <c r="O10" s="18"/>
      <c r="P10" s="18"/>
      <c r="Q10" s="18"/>
      <c r="R10" s="18"/>
      <c r="S10" s="18"/>
      <c r="T10" s="18"/>
      <c r="U10" s="8"/>
      <c r="V10" s="8"/>
      <c r="W10" s="8"/>
      <c r="X10" s="8"/>
    </row>
    <row r="11" spans="1:24" ht="15" thickBot="1" x14ac:dyDescent="0.4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8"/>
      <c r="N11" s="18"/>
      <c r="O11" s="18"/>
      <c r="P11" s="18"/>
      <c r="Q11" s="18"/>
      <c r="R11" s="18"/>
      <c r="S11" s="18"/>
      <c r="T11" s="18"/>
      <c r="U11" s="8"/>
      <c r="V11" s="8"/>
      <c r="W11" s="8"/>
      <c r="X11" s="8"/>
    </row>
    <row r="12" spans="1:24" ht="15" thickBot="1" x14ac:dyDescent="0.4">
      <c r="A12" s="30" t="s">
        <v>27</v>
      </c>
      <c r="B12" s="44" t="s">
        <v>34</v>
      </c>
      <c r="C12" s="19"/>
      <c r="D12" s="30" t="s">
        <v>26</v>
      </c>
      <c r="E12" s="40">
        <v>8.7429282407392748</v>
      </c>
      <c r="F12" s="19"/>
      <c r="G12" s="19"/>
      <c r="H12" s="19"/>
      <c r="I12" s="19"/>
      <c r="J12" s="19"/>
      <c r="K12" s="19"/>
      <c r="L12" s="19"/>
      <c r="M12" s="18"/>
      <c r="N12" s="18"/>
      <c r="O12" s="18"/>
      <c r="P12" s="18"/>
      <c r="Q12" s="18"/>
      <c r="R12" s="18"/>
      <c r="S12" s="18"/>
      <c r="T12" s="18"/>
      <c r="U12" s="8"/>
      <c r="V12" s="8"/>
      <c r="W12" s="8"/>
      <c r="X12" s="8"/>
    </row>
    <row r="13" spans="1:24" ht="15" thickBot="1" x14ac:dyDescent="0.4">
      <c r="A13" s="24"/>
      <c r="B13" s="25"/>
      <c r="C13" s="19"/>
      <c r="D13" s="24"/>
      <c r="E13" s="26"/>
      <c r="F13" s="19"/>
      <c r="G13" s="18"/>
      <c r="H13" s="18"/>
      <c r="I13" s="19"/>
      <c r="J13" s="19"/>
      <c r="K13" s="19"/>
      <c r="L13" s="19"/>
      <c r="M13" s="18"/>
      <c r="N13" s="18"/>
      <c r="O13" s="18"/>
      <c r="P13" s="18"/>
      <c r="Q13" s="18"/>
      <c r="R13" s="18"/>
      <c r="S13" s="8"/>
      <c r="T13" s="8"/>
      <c r="U13" s="8"/>
      <c r="V13" s="8"/>
      <c r="W13" s="8"/>
      <c r="X13" s="8"/>
    </row>
    <row r="14" spans="1:24" ht="29.5" thickBot="1" x14ac:dyDescent="0.4">
      <c r="A14" s="31" t="s">
        <v>0</v>
      </c>
      <c r="B14" s="33" t="s">
        <v>28</v>
      </c>
      <c r="C14" s="19"/>
      <c r="D14" s="31" t="s">
        <v>0</v>
      </c>
      <c r="E14" s="33" t="s">
        <v>29</v>
      </c>
      <c r="F14" s="19"/>
      <c r="G14" s="19"/>
      <c r="H14" s="19"/>
      <c r="I14" s="19"/>
      <c r="J14" s="19"/>
      <c r="K14" s="19"/>
      <c r="L14" s="19"/>
      <c r="M14" s="18"/>
      <c r="N14" s="18"/>
      <c r="O14" s="18"/>
      <c r="P14" s="18"/>
      <c r="Q14" s="18"/>
      <c r="R14" s="18"/>
      <c r="S14" s="8"/>
      <c r="T14" s="8"/>
      <c r="U14" s="8"/>
      <c r="V14" s="8"/>
      <c r="W14" s="8"/>
      <c r="X14" s="8"/>
    </row>
    <row r="15" spans="1:24" x14ac:dyDescent="0.35">
      <c r="A15" s="41" t="s">
        <v>48</v>
      </c>
      <c r="B15" s="45">
        <v>25</v>
      </c>
      <c r="C15" s="19"/>
      <c r="D15" s="41" t="s">
        <v>48</v>
      </c>
      <c r="E15" s="45">
        <v>34</v>
      </c>
      <c r="F15" s="19"/>
      <c r="G15" s="19"/>
      <c r="H15" s="19"/>
      <c r="I15" s="19"/>
      <c r="J15" s="19"/>
      <c r="K15" s="19"/>
      <c r="L15" s="19"/>
      <c r="M15" s="18"/>
      <c r="N15" s="18"/>
      <c r="O15" s="18"/>
      <c r="P15" s="18"/>
      <c r="Q15" s="18"/>
      <c r="R15" s="18"/>
      <c r="S15" s="8"/>
      <c r="T15" s="8"/>
      <c r="U15" s="8"/>
      <c r="V15" s="8"/>
      <c r="W15" s="8"/>
      <c r="X15" s="8"/>
    </row>
    <row r="16" spans="1:24" x14ac:dyDescent="0.35">
      <c r="A16" s="41" t="s">
        <v>52</v>
      </c>
      <c r="B16" s="46">
        <v>20</v>
      </c>
      <c r="C16" s="19"/>
      <c r="D16" s="41" t="s">
        <v>52</v>
      </c>
      <c r="E16" s="46">
        <v>23</v>
      </c>
      <c r="F16" s="19"/>
      <c r="G16" s="19"/>
      <c r="H16" s="19"/>
      <c r="I16" s="19"/>
      <c r="J16" s="19"/>
      <c r="K16" s="19"/>
      <c r="L16" s="19"/>
      <c r="M16" s="18"/>
      <c r="N16" s="18"/>
      <c r="O16" s="18"/>
      <c r="P16" s="18"/>
      <c r="Q16" s="18"/>
      <c r="R16" s="18"/>
      <c r="S16" s="8"/>
      <c r="T16" s="8"/>
      <c r="U16" s="8"/>
      <c r="V16" s="8"/>
      <c r="W16" s="8"/>
      <c r="X16" s="8"/>
    </row>
    <row r="17" spans="1:24" x14ac:dyDescent="0.35">
      <c r="A17" s="41" t="s">
        <v>49</v>
      </c>
      <c r="B17" s="46">
        <v>27</v>
      </c>
      <c r="C17" s="19"/>
      <c r="D17" s="41" t="s">
        <v>49</v>
      </c>
      <c r="E17" s="46">
        <v>30</v>
      </c>
      <c r="F17" s="19"/>
      <c r="G17" s="19"/>
      <c r="H17" s="19"/>
      <c r="I17" s="19"/>
      <c r="J17" s="19"/>
      <c r="K17" s="19"/>
      <c r="L17" s="19"/>
      <c r="M17" s="18"/>
      <c r="N17" s="18"/>
      <c r="O17" s="18"/>
      <c r="P17" s="18"/>
      <c r="Q17" s="18"/>
      <c r="R17" s="18"/>
      <c r="S17" s="8"/>
      <c r="T17" s="8"/>
      <c r="U17" s="8"/>
      <c r="V17" s="8"/>
      <c r="W17" s="8"/>
      <c r="X17" s="8"/>
    </row>
    <row r="18" spans="1:24" x14ac:dyDescent="0.35">
      <c r="A18" s="41" t="s">
        <v>51</v>
      </c>
      <c r="B18" s="46">
        <v>27</v>
      </c>
      <c r="C18" s="19"/>
      <c r="D18" s="41" t="s">
        <v>51</v>
      </c>
      <c r="E18" s="46">
        <v>37</v>
      </c>
      <c r="F18" s="19"/>
      <c r="G18" s="19"/>
      <c r="H18" s="19"/>
      <c r="I18" s="19"/>
      <c r="J18" s="19"/>
      <c r="K18" s="19"/>
      <c r="L18" s="19"/>
      <c r="M18" s="18"/>
      <c r="N18" s="18"/>
      <c r="O18" s="18"/>
      <c r="P18" s="18"/>
      <c r="Q18" s="18"/>
      <c r="R18" s="18"/>
      <c r="S18" s="8"/>
      <c r="T18" s="8"/>
      <c r="U18" s="8"/>
      <c r="V18" s="8"/>
      <c r="W18" s="8"/>
      <c r="X18" s="8"/>
    </row>
    <row r="19" spans="1:24" x14ac:dyDescent="0.35">
      <c r="A19" s="41" t="s">
        <v>47</v>
      </c>
      <c r="B19" s="46">
        <v>33</v>
      </c>
      <c r="C19" s="19"/>
      <c r="D19" s="41" t="s">
        <v>47</v>
      </c>
      <c r="E19" s="46">
        <v>23</v>
      </c>
      <c r="F19" s="18"/>
      <c r="G19" s="19"/>
      <c r="H19" s="19"/>
      <c r="I19" s="19"/>
      <c r="J19" s="19"/>
      <c r="K19" s="19"/>
      <c r="L19" s="19"/>
      <c r="M19" s="18"/>
      <c r="N19" s="18"/>
      <c r="O19" s="18"/>
      <c r="P19" s="18"/>
      <c r="Q19" s="18"/>
      <c r="R19" s="18"/>
      <c r="S19" s="8"/>
      <c r="T19" s="8"/>
      <c r="U19" s="8"/>
      <c r="V19" s="8"/>
      <c r="W19" s="8"/>
      <c r="X19" s="8"/>
    </row>
    <row r="20" spans="1:24" ht="15" thickBot="1" x14ac:dyDescent="0.4">
      <c r="A20" s="41" t="s">
        <v>50</v>
      </c>
      <c r="B20" s="46">
        <v>25</v>
      </c>
      <c r="C20" s="19"/>
      <c r="D20" s="41" t="s">
        <v>50</v>
      </c>
      <c r="E20" s="46">
        <v>35</v>
      </c>
      <c r="F20" s="18"/>
      <c r="G20" s="19"/>
      <c r="H20" s="19"/>
      <c r="I20" s="19"/>
      <c r="J20" s="19"/>
      <c r="K20" s="19"/>
      <c r="L20" s="19"/>
      <c r="M20" s="18"/>
      <c r="N20" s="18"/>
      <c r="O20" s="18"/>
      <c r="P20" s="18"/>
      <c r="Q20" s="18"/>
      <c r="R20" s="18"/>
      <c r="S20" s="8"/>
      <c r="T20" s="8"/>
      <c r="U20" s="8"/>
      <c r="V20" s="8"/>
      <c r="W20" s="8"/>
      <c r="X20" s="8"/>
    </row>
    <row r="21" spans="1:24" s="19" customFormat="1" ht="15" thickBot="1" x14ac:dyDescent="0.4">
      <c r="A21" s="32" t="s">
        <v>1</v>
      </c>
      <c r="B21" s="47">
        <v>157</v>
      </c>
      <c r="D21" s="32" t="s">
        <v>1</v>
      </c>
      <c r="E21" s="47">
        <v>182</v>
      </c>
      <c r="F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</row>
    <row r="22" spans="1:24" s="19" customFormat="1" x14ac:dyDescent="0.35">
      <c r="A22"/>
      <c r="B22"/>
      <c r="D22"/>
      <c r="E22"/>
      <c r="F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</row>
    <row r="23" spans="1:24" s="19" customFormat="1" x14ac:dyDescent="0.35">
      <c r="D23"/>
      <c r="E23"/>
      <c r="F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</row>
    <row r="24" spans="1:24" ht="15" thickBot="1" x14ac:dyDescent="0.4"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</row>
    <row r="25" spans="1:24" x14ac:dyDescent="0.35"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</row>
    <row r="26" spans="1:24" x14ac:dyDescent="0.35"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</row>
    <row r="27" spans="1:24" x14ac:dyDescent="0.35"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</row>
    <row r="28" spans="1:24" x14ac:dyDescent="0.35"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</row>
    <row r="29" spans="1:24" x14ac:dyDescent="0.35"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</row>
    <row r="30" spans="1:24" x14ac:dyDescent="0.35"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</row>
    <row r="31" spans="1:24" x14ac:dyDescent="0.35"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</row>
    <row r="32" spans="1:24" x14ac:dyDescent="0.35"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</row>
    <row r="33" spans="7:24" x14ac:dyDescent="0.35"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</row>
    <row r="34" spans="7:24" x14ac:dyDescent="0.35"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</row>
    <row r="35" spans="7:24" x14ac:dyDescent="0.35"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</row>
    <row r="36" spans="7:24" x14ac:dyDescent="0.35"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</row>
    <row r="37" spans="7:24" x14ac:dyDescent="0.35"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</row>
    <row r="38" spans="7:24" x14ac:dyDescent="0.35"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</row>
  </sheetData>
  <sheetProtection formatCells="0" pivotTables="0"/>
  <autoFilter ref="A3:D9" xr:uid="{C8B8F248-3C68-40ED-BC71-1A50054BB4F8}">
    <sortState xmlns:xlrd2="http://schemas.microsoft.com/office/spreadsheetml/2017/richdata2" ref="A4:D9">
      <sortCondition descending="1" ref="D3:D9"/>
    </sortState>
  </autoFilter>
  <pageMargins left="0.7" right="0.7" top="0.75" bottom="0.75" header="0.3" footer="0.3"/>
  <pageSetup orientation="portrait" r:id="rId3"/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0E459-8643-4313-B4B6-09B762B2D43F}">
  <dimension ref="A1:T90"/>
  <sheetViews>
    <sheetView workbookViewId="0">
      <selection activeCell="B2" sqref="B2"/>
    </sheetView>
  </sheetViews>
  <sheetFormatPr defaultRowHeight="14.5" x14ac:dyDescent="0.35"/>
  <cols>
    <col min="1" max="1" width="12" bestFit="1" customWidth="1"/>
  </cols>
  <sheetData>
    <row r="1" spans="1:20" x14ac:dyDescent="0.35">
      <c r="A1" s="43" t="s">
        <v>3</v>
      </c>
      <c r="B1" s="43" t="s">
        <v>38</v>
      </c>
      <c r="C1" s="43" t="s">
        <v>30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0" x14ac:dyDescent="0.35">
      <c r="A2" s="36" t="s">
        <v>47</v>
      </c>
      <c r="B2" s="36">
        <v>1000</v>
      </c>
      <c r="C2" s="36" t="str">
        <f t="shared" ref="C2:C37" si="0">A2</f>
        <v>Analyst1</v>
      </c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</row>
    <row r="3" spans="1:20" x14ac:dyDescent="0.35">
      <c r="A3" s="36" t="s">
        <v>47</v>
      </c>
      <c r="B3" s="36">
        <v>1001</v>
      </c>
      <c r="C3" s="36" t="str">
        <f t="shared" si="0"/>
        <v>Analyst1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4" spans="1:20" x14ac:dyDescent="0.35">
      <c r="A4" s="36" t="s">
        <v>47</v>
      </c>
      <c r="B4" s="36">
        <v>1002</v>
      </c>
      <c r="C4" s="36" t="str">
        <f t="shared" si="0"/>
        <v>Analyst1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</row>
    <row r="5" spans="1:20" x14ac:dyDescent="0.35">
      <c r="A5" s="36" t="s">
        <v>47</v>
      </c>
      <c r="B5" s="36">
        <v>1003</v>
      </c>
      <c r="C5" s="36" t="str">
        <f t="shared" si="0"/>
        <v>Analyst1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</row>
    <row r="6" spans="1:20" x14ac:dyDescent="0.35">
      <c r="A6" s="36" t="s">
        <v>47</v>
      </c>
      <c r="B6" s="36">
        <v>1004</v>
      </c>
      <c r="C6" s="36" t="str">
        <f t="shared" si="0"/>
        <v>Analyst1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</row>
    <row r="7" spans="1:20" x14ac:dyDescent="0.35">
      <c r="A7" s="36" t="s">
        <v>47</v>
      </c>
      <c r="B7" s="36">
        <v>1005</v>
      </c>
      <c r="C7" s="36" t="str">
        <f t="shared" si="0"/>
        <v>Analyst1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</row>
    <row r="8" spans="1:20" x14ac:dyDescent="0.35">
      <c r="A8" s="39" t="s">
        <v>48</v>
      </c>
      <c r="B8" s="39">
        <v>1006</v>
      </c>
      <c r="C8" s="39" t="str">
        <f t="shared" si="0"/>
        <v>Analyst2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</row>
    <row r="9" spans="1:20" x14ac:dyDescent="0.35">
      <c r="A9" s="39" t="s">
        <v>48</v>
      </c>
      <c r="B9" s="39">
        <v>1007</v>
      </c>
      <c r="C9" s="39" t="str">
        <f t="shared" si="0"/>
        <v>Analyst2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</row>
    <row r="10" spans="1:20" x14ac:dyDescent="0.35">
      <c r="A10" s="39" t="s">
        <v>48</v>
      </c>
      <c r="B10" s="39">
        <v>1008</v>
      </c>
      <c r="C10" s="39" t="str">
        <f t="shared" si="0"/>
        <v>Analyst2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1:20" x14ac:dyDescent="0.35">
      <c r="A11" s="39" t="s">
        <v>48</v>
      </c>
      <c r="B11" s="39">
        <v>1009</v>
      </c>
      <c r="C11" s="39" t="str">
        <f t="shared" si="0"/>
        <v>Analyst2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</row>
    <row r="12" spans="1:20" x14ac:dyDescent="0.35">
      <c r="A12" s="39" t="s">
        <v>48</v>
      </c>
      <c r="B12" s="39">
        <v>1010</v>
      </c>
      <c r="C12" s="39" t="str">
        <f t="shared" si="0"/>
        <v>Analyst2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</row>
    <row r="13" spans="1:20" x14ac:dyDescent="0.35">
      <c r="A13" s="39" t="s">
        <v>48</v>
      </c>
      <c r="B13" s="39">
        <v>1011</v>
      </c>
      <c r="C13" s="39" t="str">
        <f t="shared" si="0"/>
        <v>Analyst2</v>
      </c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</row>
    <row r="14" spans="1:20" x14ac:dyDescent="0.35">
      <c r="A14" s="35" t="s">
        <v>49</v>
      </c>
      <c r="B14" s="35">
        <v>1012</v>
      </c>
      <c r="C14" s="35" t="str">
        <f t="shared" si="0"/>
        <v>Analyst3</v>
      </c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</row>
    <row r="15" spans="1:20" x14ac:dyDescent="0.35">
      <c r="A15" s="35" t="s">
        <v>49</v>
      </c>
      <c r="B15" s="35">
        <v>1013</v>
      </c>
      <c r="C15" s="35" t="str">
        <f t="shared" si="0"/>
        <v>Analyst3</v>
      </c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</row>
    <row r="16" spans="1:20" x14ac:dyDescent="0.35">
      <c r="A16" s="35" t="s">
        <v>49</v>
      </c>
      <c r="B16" s="35">
        <v>1014</v>
      </c>
      <c r="C16" s="35" t="str">
        <f t="shared" si="0"/>
        <v>Analyst3</v>
      </c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35">
      <c r="A17" s="35" t="s">
        <v>49</v>
      </c>
      <c r="B17" s="35">
        <v>1015</v>
      </c>
      <c r="C17" s="35" t="str">
        <f t="shared" si="0"/>
        <v>Analyst3</v>
      </c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35">
      <c r="A18" s="35" t="s">
        <v>49</v>
      </c>
      <c r="B18" s="35">
        <v>1016</v>
      </c>
      <c r="C18" s="35" t="str">
        <f t="shared" si="0"/>
        <v>Analyst3</v>
      </c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35">
      <c r="A19" s="35" t="s">
        <v>49</v>
      </c>
      <c r="B19" s="35">
        <v>1017</v>
      </c>
      <c r="C19" s="35" t="str">
        <f t="shared" si="0"/>
        <v>Analyst3</v>
      </c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35">
      <c r="A20" s="34" t="s">
        <v>50</v>
      </c>
      <c r="B20" s="34">
        <v>1018</v>
      </c>
      <c r="C20" s="34" t="str">
        <f t="shared" si="0"/>
        <v>Analyst4</v>
      </c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35">
      <c r="A21" s="34" t="s">
        <v>50</v>
      </c>
      <c r="B21" s="34">
        <v>1019</v>
      </c>
      <c r="C21" s="34" t="str">
        <f t="shared" si="0"/>
        <v>Analyst4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35">
      <c r="A22" s="34" t="s">
        <v>50</v>
      </c>
      <c r="B22" s="34">
        <v>1020</v>
      </c>
      <c r="C22" s="34" t="str">
        <f t="shared" si="0"/>
        <v>Analyst4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35">
      <c r="A23" s="34" t="s">
        <v>50</v>
      </c>
      <c r="B23" s="34">
        <v>1021</v>
      </c>
      <c r="C23" s="34" t="str">
        <f t="shared" si="0"/>
        <v>Analyst4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35">
      <c r="A24" s="34" t="s">
        <v>50</v>
      </c>
      <c r="B24" s="34">
        <v>1022</v>
      </c>
      <c r="C24" s="34" t="str">
        <f t="shared" si="0"/>
        <v>Analyst4</v>
      </c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35">
      <c r="A25" s="34" t="s">
        <v>50</v>
      </c>
      <c r="B25" s="34">
        <v>1023</v>
      </c>
      <c r="C25" s="34" t="str">
        <f t="shared" si="0"/>
        <v>Analyst4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35">
      <c r="A26" s="38" t="s">
        <v>51</v>
      </c>
      <c r="B26" s="38">
        <v>1024</v>
      </c>
      <c r="C26" s="38" t="str">
        <f t="shared" si="0"/>
        <v>Analyst5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35">
      <c r="A27" s="38" t="s">
        <v>51</v>
      </c>
      <c r="B27" s="38">
        <v>1025</v>
      </c>
      <c r="C27" s="38" t="str">
        <f t="shared" si="0"/>
        <v>Analyst5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</row>
    <row r="28" spans="1:20" x14ac:dyDescent="0.35">
      <c r="A28" s="38" t="s">
        <v>51</v>
      </c>
      <c r="B28" s="38">
        <v>1026</v>
      </c>
      <c r="C28" s="38" t="str">
        <f t="shared" si="0"/>
        <v>Analyst5</v>
      </c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</row>
    <row r="29" spans="1:20" x14ac:dyDescent="0.35">
      <c r="A29" s="38" t="s">
        <v>51</v>
      </c>
      <c r="B29" s="38">
        <v>1027</v>
      </c>
      <c r="C29" s="38" t="str">
        <f t="shared" si="0"/>
        <v>Analyst5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</row>
    <row r="30" spans="1:20" x14ac:dyDescent="0.35">
      <c r="A30" s="38" t="s">
        <v>51</v>
      </c>
      <c r="B30" s="38">
        <v>1028</v>
      </c>
      <c r="C30" s="38" t="str">
        <f t="shared" si="0"/>
        <v>Analyst5</v>
      </c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</row>
    <row r="31" spans="1:20" x14ac:dyDescent="0.35">
      <c r="A31" s="38" t="s">
        <v>51</v>
      </c>
      <c r="B31" s="38">
        <v>1029</v>
      </c>
      <c r="C31" s="38" t="str">
        <f t="shared" si="0"/>
        <v>Analyst5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</row>
    <row r="32" spans="1:20" x14ac:dyDescent="0.35">
      <c r="A32" s="37" t="s">
        <v>52</v>
      </c>
      <c r="B32" s="37">
        <v>1030</v>
      </c>
      <c r="C32" s="37" t="str">
        <f t="shared" si="0"/>
        <v>Analyst6</v>
      </c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</row>
    <row r="33" spans="1:20" x14ac:dyDescent="0.35">
      <c r="A33" s="37" t="s">
        <v>52</v>
      </c>
      <c r="B33" s="37">
        <v>1031</v>
      </c>
      <c r="C33" s="37" t="str">
        <f t="shared" si="0"/>
        <v>Analyst6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</row>
    <row r="34" spans="1:20" x14ac:dyDescent="0.35">
      <c r="A34" s="37" t="s">
        <v>52</v>
      </c>
      <c r="B34" s="37">
        <v>1032</v>
      </c>
      <c r="C34" s="37" t="str">
        <f t="shared" si="0"/>
        <v>Analyst6</v>
      </c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</row>
    <row r="35" spans="1:20" x14ac:dyDescent="0.35">
      <c r="A35" s="37" t="s">
        <v>52</v>
      </c>
      <c r="B35" s="37">
        <v>1033</v>
      </c>
      <c r="C35" s="37" t="str">
        <f t="shared" si="0"/>
        <v>Analyst6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</row>
    <row r="36" spans="1:20" x14ac:dyDescent="0.35">
      <c r="A36" s="37" t="s">
        <v>52</v>
      </c>
      <c r="B36" s="37">
        <v>1034</v>
      </c>
      <c r="C36" s="37" t="str">
        <f t="shared" si="0"/>
        <v>Analyst6</v>
      </c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1:20" x14ac:dyDescent="0.35">
      <c r="A37" s="37" t="s">
        <v>52</v>
      </c>
      <c r="B37" s="37">
        <v>1035</v>
      </c>
      <c r="C37" s="37" t="str">
        <f t="shared" si="0"/>
        <v>Analyst6</v>
      </c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1:20" x14ac:dyDescent="0.3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39" spans="1:20" x14ac:dyDescent="0.3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</row>
    <row r="40" spans="1:20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</row>
    <row r="41" spans="1:20" x14ac:dyDescent="0.3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1:20" x14ac:dyDescent="0.3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</row>
    <row r="43" spans="1:20" x14ac:dyDescent="0.3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</row>
    <row r="44" spans="1:20" x14ac:dyDescent="0.3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</row>
    <row r="45" spans="1:20" x14ac:dyDescent="0.3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</row>
    <row r="46" spans="1:20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</row>
    <row r="47" spans="1:20" x14ac:dyDescent="0.3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</row>
    <row r="48" spans="1:20" x14ac:dyDescent="0.3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</row>
    <row r="49" spans="1:20" x14ac:dyDescent="0.3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</row>
    <row r="50" spans="1:20" x14ac:dyDescent="0.3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</row>
    <row r="51" spans="1:20" x14ac:dyDescent="0.3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</row>
    <row r="52" spans="1:20" x14ac:dyDescent="0.3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</row>
    <row r="53" spans="1:20" x14ac:dyDescent="0.3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</row>
    <row r="54" spans="1:20" x14ac:dyDescent="0.3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</row>
    <row r="55" spans="1:20" x14ac:dyDescent="0.3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</row>
    <row r="56" spans="1:20" x14ac:dyDescent="0.3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</row>
    <row r="57" spans="1:20" x14ac:dyDescent="0.3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</row>
    <row r="58" spans="1:20" x14ac:dyDescent="0.3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</row>
    <row r="59" spans="1:20" x14ac:dyDescent="0.3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</row>
    <row r="60" spans="1:20" x14ac:dyDescent="0.3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</row>
    <row r="61" spans="1:20" x14ac:dyDescent="0.3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</row>
    <row r="62" spans="1:20" x14ac:dyDescent="0.3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</row>
    <row r="63" spans="1:20" x14ac:dyDescent="0.3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</row>
    <row r="64" spans="1:20" x14ac:dyDescent="0.3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</row>
    <row r="65" spans="1:20" x14ac:dyDescent="0.3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</row>
    <row r="66" spans="1:20" x14ac:dyDescent="0.3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</row>
    <row r="67" spans="1:20" x14ac:dyDescent="0.3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</row>
    <row r="68" spans="1:20" x14ac:dyDescent="0.3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</row>
    <row r="69" spans="1:20" x14ac:dyDescent="0.3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</row>
    <row r="70" spans="1:20" x14ac:dyDescent="0.3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</row>
    <row r="71" spans="1:20" x14ac:dyDescent="0.3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</row>
    <row r="72" spans="1:20" x14ac:dyDescent="0.3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</row>
    <row r="73" spans="1:20" x14ac:dyDescent="0.3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</row>
    <row r="74" spans="1:20" x14ac:dyDescent="0.3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</row>
    <row r="75" spans="1:20" x14ac:dyDescent="0.3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</row>
    <row r="76" spans="1:20" x14ac:dyDescent="0.3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</row>
    <row r="77" spans="1:20" x14ac:dyDescent="0.3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</row>
    <row r="78" spans="1:20" x14ac:dyDescent="0.3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</row>
    <row r="79" spans="1:20" x14ac:dyDescent="0.3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</row>
    <row r="80" spans="1:20" x14ac:dyDescent="0.3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</row>
    <row r="81" spans="1:20" x14ac:dyDescent="0.3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</row>
    <row r="82" spans="1:20" x14ac:dyDescent="0.35">
      <c r="A82" s="18"/>
      <c r="B82" s="18"/>
      <c r="C82" s="18"/>
      <c r="D82" s="18"/>
    </row>
    <row r="83" spans="1:20" x14ac:dyDescent="0.35">
      <c r="A83" s="18"/>
      <c r="B83" s="18"/>
      <c r="C83" s="18"/>
      <c r="D83" s="18"/>
    </row>
    <row r="84" spans="1:20" x14ac:dyDescent="0.35">
      <c r="A84" s="18"/>
      <c r="B84" s="18"/>
      <c r="C84" s="18"/>
      <c r="D84" s="18"/>
    </row>
    <row r="85" spans="1:20" x14ac:dyDescent="0.35">
      <c r="A85" s="18"/>
      <c r="B85" s="18"/>
      <c r="C85" s="18"/>
      <c r="D85" s="18"/>
    </row>
    <row r="86" spans="1:20" x14ac:dyDescent="0.35">
      <c r="A86" s="18"/>
      <c r="B86" s="18"/>
      <c r="C86" s="18"/>
      <c r="D86" s="18"/>
    </row>
    <row r="87" spans="1:20" x14ac:dyDescent="0.35">
      <c r="A87" s="18"/>
      <c r="B87" s="18"/>
      <c r="C87" s="18"/>
      <c r="D87" s="18"/>
    </row>
    <row r="88" spans="1:20" x14ac:dyDescent="0.35">
      <c r="A88" s="18"/>
      <c r="B88" s="18"/>
      <c r="C88" s="18"/>
      <c r="D88" s="18"/>
    </row>
    <row r="89" spans="1:20" x14ac:dyDescent="0.35">
      <c r="A89" s="18"/>
      <c r="B89" s="18"/>
      <c r="C89" s="18"/>
      <c r="D89" s="18"/>
    </row>
    <row r="90" spans="1:20" x14ac:dyDescent="0.35">
      <c r="A90" s="18"/>
      <c r="B90" s="18"/>
      <c r="C90" s="18"/>
      <c r="D90" s="18"/>
    </row>
  </sheetData>
  <autoFilter ref="A1:C37" xr:uid="{C220E459-8643-4313-B4B6-09B762B2D43F}">
    <sortState xmlns:xlrd2="http://schemas.microsoft.com/office/spreadsheetml/2017/richdata2" ref="A2:C37">
      <sortCondition ref="A1:A37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38233A-185E-4F94-BD93-90011720B5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How to use</vt:lpstr>
      <vt:lpstr>Pending Activity 1</vt:lpstr>
      <vt:lpstr>Pending Activity 2</vt:lpstr>
      <vt:lpstr>Database_query_name</vt:lpstr>
      <vt:lpstr>Pending Activity 3 Ageing</vt:lpstr>
      <vt:lpstr>Processed Activity 3</vt:lpstr>
      <vt:lpstr>Site 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Bisht, Ajay</dc:creator>
  <cp:lastModifiedBy>Bisht, Ajay C.</cp:lastModifiedBy>
  <dcterms:created xsi:type="dcterms:W3CDTF">2015-06-05T18:17:20Z</dcterms:created>
  <dcterms:modified xsi:type="dcterms:W3CDTF">2023-10-03T18:32:34Z</dcterms:modified>
</cp:coreProperties>
</file>